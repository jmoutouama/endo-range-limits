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ource population" sheetId="2" r:id="rId5"/>
    <sheet state="visible" name="Range Limit Greenhouse" sheetId="3" r:id="rId6"/>
    <sheet state="visible" name="Range Limit Seed Plating " sheetId="4" r:id="rId7"/>
    <sheet state="visible" name="Updated Pivot table" sheetId="5" r:id="rId8"/>
    <sheet state="visible" name="Pivot Table 1" sheetId="6" r:id="rId9"/>
    <sheet state="visible" name="Seed Farm Data" sheetId="7" r:id="rId10"/>
  </sheets>
  <definedNames>
    <definedName hidden="1" localSheetId="2" name="_xlnm._FilterDatabase">'Range Limit Greenhouse'!$A$1:$AB$2812</definedName>
    <definedName hidden="1" localSheetId="2" name="Z_B1C1A5C1_D915_4884_93F4_2F69B7A8FB3D_.wvu.FilterData">'Range Limit Greenhouse'!$A$1:$AB$2812</definedName>
    <definedName hidden="1" localSheetId="2" name="Z_23C93939_78C2_4AD6_A7B4_8983D30DC1B2_.wvu.FilterData">'Range Limit Greenhouse'!$K$5</definedName>
  </definedNames>
  <calcPr/>
  <customWorkbookViews>
    <customWorkbookView activeSheetId="0" maximized="1" windowHeight="0" windowWidth="0" guid="{23C93939-78C2-4AD6-A7B4-8983D30DC1B2}" name="Filter 2"/>
    <customWorkbookView activeSheetId="0" maximized="1" windowHeight="0" windowWidth="0" guid="{B1C1A5C1-D915-4884-93F4-2F69B7A8FB3D}" name="Filter 1"/>
  </customWorkbookViews>
  <pivotCaches>
    <pivotCache cacheId="0" r:id="rId11"/>
  </pivotCaches>
  <extLst>
    <ext uri="GoogleSheetsCustomDataVersion2">
      <go:sheetsCustomData xmlns:go="http://customooxmlschemas.google.com/" r:id="rId12" roundtripDataChecksum="Y7hO8x7Iy1SGFnPKig8aazedhlz9gq8+XmgQVIhYmkM="/>
    </ext>
  </extLst>
</workbook>
</file>

<file path=xl/sharedStrings.xml><?xml version="1.0" encoding="utf-8"?>
<sst xmlns="http://schemas.openxmlformats.org/spreadsheetml/2006/main" count="25128" uniqueCount="2335">
  <si>
    <t>Sheet Name</t>
  </si>
  <si>
    <t>Column Name</t>
  </si>
  <si>
    <t>Explanation</t>
  </si>
  <si>
    <t>Range Limit</t>
  </si>
  <si>
    <t>*Only for plants within range limit experiment</t>
  </si>
  <si>
    <t>TABLE</t>
  </si>
  <si>
    <t>Table letters correspond to the map to which the plant is located</t>
  </si>
  <si>
    <t>SPECIES</t>
  </si>
  <si>
    <t xml:space="preserve">Abbreviations of plant species </t>
  </si>
  <si>
    <t>POPULATION</t>
  </si>
  <si>
    <t>The code of origin for the seeds treated</t>
  </si>
  <si>
    <t>INDIVIDUAL ID</t>
  </si>
  <si>
    <t>Number of the origin seeds of the same population</t>
  </si>
  <si>
    <t>ENDOPHYTE</t>
  </si>
  <si>
    <t>4 types of plants: E+ Con (unmanipulated control E+ plants), E+/- (E- plants that we generated by heat treatment of E+ plants), E- Con (unmainpulated control E- plants), E- heat (E- plants that were heat treated, with no change in endohpye status)</t>
  </si>
  <si>
    <t>HEALTH</t>
  </si>
  <si>
    <t>Mortality status of plant</t>
  </si>
  <si>
    <t>UPDATED</t>
  </si>
  <si>
    <t>Last date of the plant's status check</t>
  </si>
  <si>
    <t>Entire Inventory</t>
  </si>
  <si>
    <t>*Includes all plants in greenhouse</t>
  </si>
  <si>
    <t>…</t>
  </si>
  <si>
    <t xml:space="preserve">ENDOPHYTE </t>
  </si>
  <si>
    <t>Source Population</t>
  </si>
  <si>
    <t>Species</t>
  </si>
  <si>
    <t>Population</t>
  </si>
  <si>
    <t>Lat</t>
  </si>
  <si>
    <t>Long</t>
  </si>
  <si>
    <t>Notes</t>
  </si>
  <si>
    <t>AGHY</t>
  </si>
  <si>
    <t>SJC</t>
  </si>
  <si>
    <t>Ecolab property (owner Andy Stilley astilleypb72@gmail.com) visited May 4, 2018; heat-treated in 2019, current seed stock is &gt;= 1 generation removed from heat treatment</t>
  </si>
  <si>
    <t>COHR</t>
  </si>
  <si>
    <t>Columbus TX AGHY Herbarium Record, visited May 10 2018 (rogue collection); heat-treated in 2019, current seed stock is &gt;= 1 generation removed from heat treatment</t>
  </si>
  <si>
    <t>LPEF</t>
  </si>
  <si>
    <t>Lost Pines, visited May 10 2018 (rogue collection); heat-treated in 2019, current seed stock is &gt;= 1 generation removed from heat treatment</t>
  </si>
  <si>
    <t>POAU</t>
  </si>
  <si>
    <t>LA7</t>
  </si>
  <si>
    <t>DeRidder LA, few greenhouse individuals that were one generation removed from Josh's endo treatment, plus some seedlings from Josh's experiment seed production</t>
  </si>
  <si>
    <t>LA1</t>
  </si>
  <si>
    <t>Heavily cloned out from a few greenhouse individuals that were one generation removed from Josh's endo treatment, plus some seedlings from Josh's experiment seed production</t>
  </si>
  <si>
    <t>LA2</t>
  </si>
  <si>
    <t>SFAEF</t>
  </si>
  <si>
    <t>Stephen F Austin Experimental Forest near Nacogdoches, TX. This is the natural population adjacent to our LTREB plots. Bell heat-treated seeds in summer 2022 and we are working with heat-terated seeds</t>
  </si>
  <si>
    <t>WB</t>
  </si>
  <si>
    <t>Winter's Bayou scenic area in Sam Houston National Forest. This is a natural population near the big iron bridge.</t>
  </si>
  <si>
    <t>ELVI</t>
  </si>
  <si>
    <t>HUNT</t>
  </si>
  <si>
    <t>Sam Houston State University Field Station natural population (2021 collection), no heat treatment, natural E+ and E-</t>
  </si>
  <si>
    <t>SHS</t>
  </si>
  <si>
    <t>Sam Houston State University Field Station natural population but part of Josh's experiment one generatino removed from heat treatment</t>
  </si>
  <si>
    <t>RL5</t>
  </si>
  <si>
    <t>Seeds from Junction natural population of ELVI, likely that heat and control labels were switched bc higher prevalence in the E- group</t>
  </si>
  <si>
    <t>PALM</t>
  </si>
  <si>
    <t>Natural population from Palmetto State Park, TX. Collecting by Michelle Sneck -- our seeds are heat-treated but it did not work, and apparently the orginal 100% E+ stock lost endophyte because the controls are mixed</t>
  </si>
  <si>
    <t>JLP</t>
  </si>
  <si>
    <t>Jean Laffitte Park, outside of NOLA (Tom collection in August 2019)</t>
  </si>
  <si>
    <t>Clone ID</t>
  </si>
  <si>
    <t>PopIndCloneEndo</t>
  </si>
  <si>
    <t>Jan23 mortality census (0=dead, 1=alive)</t>
  </si>
  <si>
    <t>Selected</t>
  </si>
  <si>
    <t>Leaf_peel_liberal</t>
  </si>
  <si>
    <t>Leaf_peel_conservative</t>
  </si>
  <si>
    <t>seed_score_liberal</t>
  </si>
  <si>
    <t>seed_score_conservative</t>
  </si>
  <si>
    <t>agrinostics_score_liberal</t>
  </si>
  <si>
    <t>agrinostics_score_conservative</t>
  </si>
  <si>
    <t>avg score</t>
  </si>
  <si>
    <t>agrinostics_date</t>
  </si>
  <si>
    <t>agrinostics_location</t>
  </si>
  <si>
    <t xml:space="preserve"> </t>
  </si>
  <si>
    <t>real_endo</t>
  </si>
  <si>
    <t>NOTES</t>
  </si>
  <si>
    <t>MAP</t>
  </si>
  <si>
    <t>E+ Con</t>
  </si>
  <si>
    <t>ALIVE</t>
  </si>
  <si>
    <t>134-4-1</t>
  </si>
  <si>
    <t>134-4-10</t>
  </si>
  <si>
    <t>134-4-11</t>
  </si>
  <si>
    <t>134-4-12</t>
  </si>
  <si>
    <t>134-4-13</t>
  </si>
  <si>
    <t>134-4-14</t>
  </si>
  <si>
    <t>134-4-15</t>
  </si>
  <si>
    <t>134-4-16</t>
  </si>
  <si>
    <t>134-4-17</t>
  </si>
  <si>
    <t>134-4-18</t>
  </si>
  <si>
    <t>134-4-19</t>
  </si>
  <si>
    <t>134-4-2</t>
  </si>
  <si>
    <t>134-4-20</t>
  </si>
  <si>
    <t>134-4-21</t>
  </si>
  <si>
    <t>134-4-22</t>
  </si>
  <si>
    <t>134-4-23</t>
  </si>
  <si>
    <t>134-4-24</t>
  </si>
  <si>
    <t>134-4-25</t>
  </si>
  <si>
    <t>134-4-26</t>
  </si>
  <si>
    <t>134-4-27</t>
  </si>
  <si>
    <t>134-4-28</t>
  </si>
  <si>
    <t>134-4-29</t>
  </si>
  <si>
    <t>134-4-3</t>
  </si>
  <si>
    <t>134-4-30</t>
  </si>
  <si>
    <t>134-4-31</t>
  </si>
  <si>
    <t>134-4-32</t>
  </si>
  <si>
    <t>134-4-4</t>
  </si>
  <si>
    <t>134-4-5</t>
  </si>
  <si>
    <t>134-4-6</t>
  </si>
  <si>
    <t>134-4-7</t>
  </si>
  <si>
    <t>134-4-8</t>
  </si>
  <si>
    <t>DEAD</t>
  </si>
  <si>
    <t>134-4-9</t>
  </si>
  <si>
    <t>215-1-15</t>
  </si>
  <si>
    <t>BQ</t>
  </si>
  <si>
    <t>E+/- Heat</t>
  </si>
  <si>
    <t>BQ2</t>
  </si>
  <si>
    <t>BR</t>
  </si>
  <si>
    <t>BR2</t>
  </si>
  <si>
    <t>BS</t>
  </si>
  <si>
    <t>BS2</t>
  </si>
  <si>
    <t>BT</t>
  </si>
  <si>
    <t>BT2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</si>
  <si>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</si>
  <si>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</si>
  <si>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</si>
  <si>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</si>
  <si>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</si>
  <si>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</si>
  <si>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</si>
  <si>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</si>
  <si>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</si>
  <si>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</si>
  <si>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</si>
  <si>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</si>
  <si>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</si>
  <si>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</si>
  <si>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</si>
  <si>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</si>
  <si>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</si>
  <si>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</si>
  <si>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</si>
  <si>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</si>
  <si>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</si>
  <si>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</si>
  <si>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</si>
  <si>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</si>
  <si>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</si>
  <si>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</si>
  <si>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</si>
  <si>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</si>
  <si>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</si>
  <si>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</si>
  <si>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</si>
  <si>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</si>
  <si>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</si>
  <si>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</si>
  <si>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</si>
  <si>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</si>
  <si>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</si>
  <si>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</si>
  <si>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</si>
  <si>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</si>
  <si>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</si>
  <si>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</si>
  <si>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</si>
  <si>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</si>
  <si>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</si>
  <si>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</si>
  <si>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</si>
  <si>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</si>
  <si>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215-2</t>
  </si>
  <si>
    <t>BJ</t>
  </si>
  <si>
    <t>BK</t>
  </si>
  <si>
    <t>BL</t>
  </si>
  <si>
    <t>BM</t>
  </si>
  <si>
    <t>BN</t>
  </si>
  <si>
    <t>215-2-1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</si>
  <si>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</si>
  <si>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</si>
  <si>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</si>
  <si>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</si>
  <si>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</si>
  <si>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</si>
  <si>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</si>
  <si>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</si>
  <si>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</si>
  <si>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</si>
  <si>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</si>
  <si>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</si>
  <si>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</si>
  <si>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</si>
  <si>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</si>
  <si>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</si>
  <si>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</si>
  <si>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</si>
  <si>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</si>
  <si>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</si>
  <si>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</si>
  <si>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</si>
  <si>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</si>
  <si>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</si>
  <si>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215-3-1</t>
  </si>
  <si>
    <t>215-3-10</t>
  </si>
  <si>
    <t>215-3-11</t>
  </si>
  <si>
    <t>215-3-12</t>
  </si>
  <si>
    <t>215-3-13</t>
  </si>
  <si>
    <t>215-3-14</t>
  </si>
  <si>
    <t>215-3-15</t>
  </si>
  <si>
    <t>215-3-16</t>
  </si>
  <si>
    <t>215-3-17</t>
  </si>
  <si>
    <t>215-3-18</t>
  </si>
  <si>
    <t>215-3-19</t>
  </si>
  <si>
    <t>215-3-2</t>
  </si>
  <si>
    <t>215-3-20</t>
  </si>
  <si>
    <t>215-3-21</t>
  </si>
  <si>
    <t>215-3-22</t>
  </si>
  <si>
    <t>215-3-3</t>
  </si>
  <si>
    <t>215-3-4</t>
  </si>
  <si>
    <t>215-3-45</t>
  </si>
  <si>
    <t>215-3-6</t>
  </si>
  <si>
    <t>215-3-7</t>
  </si>
  <si>
    <t>215-3-8</t>
  </si>
  <si>
    <t>215-3-9</t>
  </si>
  <si>
    <t>215-5-1</t>
  </si>
  <si>
    <t>215-5-2</t>
  </si>
  <si>
    <t>215-5-3</t>
  </si>
  <si>
    <t>225-1-1</t>
  </si>
  <si>
    <t>225-1-10</t>
  </si>
  <si>
    <t>225-1-11</t>
  </si>
  <si>
    <t>225-1-12</t>
  </si>
  <si>
    <t>225-1-13</t>
  </si>
  <si>
    <t>225-1-14</t>
  </si>
  <si>
    <t>225-1-15</t>
  </si>
  <si>
    <t>225-1-16</t>
  </si>
  <si>
    <t>225-1-17</t>
  </si>
  <si>
    <t>225-1-18</t>
  </si>
  <si>
    <t>225-1-19</t>
  </si>
  <si>
    <t>225-1-2</t>
  </si>
  <si>
    <t>225-1-20</t>
  </si>
  <si>
    <t>225-1-21</t>
  </si>
  <si>
    <t>225-1-22</t>
  </si>
  <si>
    <t>225-1-23</t>
  </si>
  <si>
    <t>225-1-24</t>
  </si>
  <si>
    <t>225-1-25</t>
  </si>
  <si>
    <t>225-1-26</t>
  </si>
  <si>
    <t>225-1-27</t>
  </si>
  <si>
    <t>225-1-28</t>
  </si>
  <si>
    <t>225-1-29</t>
  </si>
  <si>
    <t>225-1-3</t>
  </si>
  <si>
    <t>225-1-30</t>
  </si>
  <si>
    <t>225-1-31</t>
  </si>
  <si>
    <t>225-1-32</t>
  </si>
  <si>
    <t>225-1-33</t>
  </si>
  <si>
    <t>225-1-34</t>
  </si>
  <si>
    <t>225-1-35</t>
  </si>
  <si>
    <t>225-1-4</t>
  </si>
  <si>
    <t>225-1-5</t>
  </si>
  <si>
    <t>225-1-6</t>
  </si>
  <si>
    <t>225-1-7</t>
  </si>
  <si>
    <t>225-1-8</t>
  </si>
  <si>
    <t>225-1-9</t>
  </si>
  <si>
    <t>225-5-1</t>
  </si>
  <si>
    <t>225-5-10</t>
  </si>
  <si>
    <t>225-5-11</t>
  </si>
  <si>
    <t>225-5-12</t>
  </si>
  <si>
    <t>225-5-13</t>
  </si>
  <si>
    <t>225-5-14</t>
  </si>
  <si>
    <t>225-5-15</t>
  </si>
  <si>
    <t>225-5-16</t>
  </si>
  <si>
    <t>225-5-17</t>
  </si>
  <si>
    <t>225-5-18</t>
  </si>
  <si>
    <t>225-5-19</t>
  </si>
  <si>
    <t>225-5-2</t>
  </si>
  <si>
    <t>225-5-20</t>
  </si>
  <si>
    <t>225-5-21</t>
  </si>
  <si>
    <t>225-5-22</t>
  </si>
  <si>
    <t>225-5-23</t>
  </si>
  <si>
    <t>225-5-24</t>
  </si>
  <si>
    <t>225-5-25</t>
  </si>
  <si>
    <t>225-5-26</t>
  </si>
  <si>
    <t>225-5-27</t>
  </si>
  <si>
    <t>225-5-28</t>
  </si>
  <si>
    <t>225-5-3</t>
  </si>
  <si>
    <t>225-5-4</t>
  </si>
  <si>
    <t>225-5-5</t>
  </si>
  <si>
    <t>225-5-6</t>
  </si>
  <si>
    <t>225-5-7</t>
  </si>
  <si>
    <t>225-5-8</t>
  </si>
  <si>
    <t>225-5-9</t>
  </si>
  <si>
    <t>234-2-8</t>
  </si>
  <si>
    <t>234-3-1</t>
  </si>
  <si>
    <t>234-3-2</t>
  </si>
  <si>
    <t>234-3-3</t>
  </si>
  <si>
    <t>234-3-4</t>
  </si>
  <si>
    <t>234-3-5</t>
  </si>
  <si>
    <t>234-3-6</t>
  </si>
  <si>
    <t>234-3-7</t>
  </si>
  <si>
    <t>25-1-33</t>
  </si>
  <si>
    <t>26-5-1</t>
  </si>
  <si>
    <t>26-7-22</t>
  </si>
  <si>
    <t>26-8-1</t>
  </si>
  <si>
    <t>26-8-2</t>
  </si>
  <si>
    <t>26-8-3</t>
  </si>
  <si>
    <t>26-8-4</t>
  </si>
  <si>
    <t>26-8-5</t>
  </si>
  <si>
    <t>26-8-6</t>
  </si>
  <si>
    <t>26-8-7</t>
  </si>
  <si>
    <t>26-8-8</t>
  </si>
  <si>
    <t>26-8-9</t>
  </si>
  <si>
    <t>35-1-1</t>
  </si>
  <si>
    <t>35-1-10</t>
  </si>
  <si>
    <t>35-1-11</t>
  </si>
  <si>
    <t>35-1-12</t>
  </si>
  <si>
    <t>35-1-13</t>
  </si>
  <si>
    <t>35-1-14</t>
  </si>
  <si>
    <t>35-1-15</t>
  </si>
  <si>
    <t>35-1-16</t>
  </si>
  <si>
    <t>35-1-17</t>
  </si>
  <si>
    <t>35-1-18</t>
  </si>
  <si>
    <t>35-1-19</t>
  </si>
  <si>
    <t>35-1-2</t>
  </si>
  <si>
    <t>35-1-20</t>
  </si>
  <si>
    <t>35-1-21</t>
  </si>
  <si>
    <t>35-1-22</t>
  </si>
  <si>
    <t>35-1-23</t>
  </si>
  <si>
    <t>35-1-24</t>
  </si>
  <si>
    <t>35-1-25</t>
  </si>
  <si>
    <t>35-1-26</t>
  </si>
  <si>
    <t>35-1-27</t>
  </si>
  <si>
    <t>35-1-28</t>
  </si>
  <si>
    <t>35-1-29</t>
  </si>
  <si>
    <t>35-1-3</t>
  </si>
  <si>
    <t>35-1-30</t>
  </si>
  <si>
    <t>35-1-31</t>
  </si>
  <si>
    <t>35-1-32</t>
  </si>
  <si>
    <t>35-1-33</t>
  </si>
  <si>
    <t>35-1-34</t>
  </si>
  <si>
    <t>35-1-35</t>
  </si>
  <si>
    <t>35-1-36</t>
  </si>
  <si>
    <t>35-1-37</t>
  </si>
  <si>
    <t>35-1-38</t>
  </si>
  <si>
    <t>35-1-39</t>
  </si>
  <si>
    <t>35-1-4</t>
  </si>
  <si>
    <t>35-1-40</t>
  </si>
  <si>
    <t>35-1-41</t>
  </si>
  <si>
    <t>35-1-42</t>
  </si>
  <si>
    <t>35-1-43</t>
  </si>
  <si>
    <t>35-1-44</t>
  </si>
  <si>
    <t>35-1-45</t>
  </si>
  <si>
    <t>35-1-5</t>
  </si>
  <si>
    <t>35-1-6</t>
  </si>
  <si>
    <t>35-1-7</t>
  </si>
  <si>
    <t>35-1-8</t>
  </si>
  <si>
    <t>35-1-9</t>
  </si>
  <si>
    <t>35-6-1</t>
  </si>
  <si>
    <t>35-6-10</t>
  </si>
  <si>
    <t>35-6-11</t>
  </si>
  <si>
    <t>35-6-12</t>
  </si>
  <si>
    <t>35-6-13</t>
  </si>
  <si>
    <t>35-6-14</t>
  </si>
  <si>
    <t>35-6-15</t>
  </si>
  <si>
    <t>35-6-16</t>
  </si>
  <si>
    <t>35-6-17</t>
  </si>
  <si>
    <t>35-6-18</t>
  </si>
  <si>
    <t>35-6-19</t>
  </si>
  <si>
    <t>35-6-2</t>
  </si>
  <si>
    <t>35-6-20</t>
  </si>
  <si>
    <t>35-6-21</t>
  </si>
  <si>
    <t>35-6-22</t>
  </si>
  <si>
    <t>35-6-23</t>
  </si>
  <si>
    <t>35-6-3</t>
  </si>
  <si>
    <t>35-6-4</t>
  </si>
  <si>
    <t>35-6-5</t>
  </si>
  <si>
    <t>35-6-6</t>
  </si>
  <si>
    <t>35-6-7</t>
  </si>
  <si>
    <t>35-6-8</t>
  </si>
  <si>
    <t>35-6-9</t>
  </si>
  <si>
    <t>E13</t>
  </si>
  <si>
    <t>E14</t>
  </si>
  <si>
    <t>E16</t>
  </si>
  <si>
    <t>E2</t>
  </si>
  <si>
    <t>KS leaf peel</t>
  </si>
  <si>
    <t>E20</t>
  </si>
  <si>
    <t>E21</t>
  </si>
  <si>
    <t>E23</t>
  </si>
  <si>
    <t>E25</t>
  </si>
  <si>
    <t>E28</t>
  </si>
  <si>
    <t>E32</t>
  </si>
  <si>
    <t>E34</t>
  </si>
  <si>
    <t>E37</t>
  </si>
  <si>
    <t>E38</t>
  </si>
  <si>
    <t>E39</t>
  </si>
  <si>
    <t>E4</t>
  </si>
  <si>
    <t>E40</t>
  </si>
  <si>
    <t>E44</t>
  </si>
  <si>
    <t>E45</t>
  </si>
  <si>
    <t>E5</t>
  </si>
  <si>
    <t>KS peel</t>
  </si>
  <si>
    <t>E8</t>
  </si>
  <si>
    <t>E9</t>
  </si>
  <si>
    <t>ks peel</t>
  </si>
  <si>
    <t>F11</t>
  </si>
  <si>
    <t>F15</t>
  </si>
  <si>
    <t>F16</t>
  </si>
  <si>
    <t>F17</t>
  </si>
  <si>
    <t>F18</t>
  </si>
  <si>
    <t>F21</t>
  </si>
  <si>
    <t>F22</t>
  </si>
  <si>
    <t>F23</t>
  </si>
  <si>
    <t>F24</t>
  </si>
  <si>
    <t>F3</t>
  </si>
  <si>
    <t>F32</t>
  </si>
  <si>
    <t>F33</t>
  </si>
  <si>
    <t>F34</t>
  </si>
  <si>
    <t>F37</t>
  </si>
  <si>
    <t>F38</t>
  </si>
  <si>
    <t>F39</t>
  </si>
  <si>
    <t>F4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</si>
  <si>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</si>
  <si>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</si>
  <si>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</si>
  <si>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</si>
  <si>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</si>
  <si>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</si>
  <si>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</si>
  <si>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</si>
  <si>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</si>
  <si>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</si>
  <si>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</si>
  <si>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</si>
  <si>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</si>
  <si>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</si>
  <si>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</si>
  <si>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</si>
  <si>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F9</t>
  </si>
  <si>
    <t>109-19A-25</t>
  </si>
  <si>
    <t>AY</t>
  </si>
  <si>
    <t>AZ</t>
  </si>
  <si>
    <t>BA</t>
  </si>
  <si>
    <t>BB</t>
  </si>
  <si>
    <t>BC</t>
  </si>
  <si>
    <t>110-2a-13-c</t>
  </si>
  <si>
    <t>110-2A-13D</t>
  </si>
  <si>
    <t>BD</t>
  </si>
  <si>
    <t>BE</t>
  </si>
  <si>
    <t>110-2A-21</t>
  </si>
  <si>
    <t>110-2A-22</t>
  </si>
  <si>
    <t>110-2A-6A-1A</t>
  </si>
  <si>
    <t>110-2A-6A-1B</t>
  </si>
  <si>
    <t>110-2A-6A-1C</t>
  </si>
  <si>
    <t>110-2A-6A-1D</t>
  </si>
  <si>
    <t>110-2A-6A-1E</t>
  </si>
  <si>
    <t>110-2A-6A-1F</t>
  </si>
  <si>
    <t>110-2A-6A-1G</t>
  </si>
  <si>
    <t>110-2A-6A-1H</t>
  </si>
  <si>
    <t>110-2A-6A-1I</t>
  </si>
  <si>
    <t>110-2A-6A-1J</t>
  </si>
  <si>
    <t>110-2A-6A-1K</t>
  </si>
  <si>
    <t>110-2A-6A-1L</t>
  </si>
  <si>
    <t>110-2A-6A-1M</t>
  </si>
  <si>
    <t>110-2A-6A-1N</t>
  </si>
  <si>
    <t>110-2A-6A-1O</t>
  </si>
  <si>
    <t>110-2A-6A-1P</t>
  </si>
  <si>
    <t>110-2A-6A-1Q</t>
  </si>
  <si>
    <t>110-2A-6A-1R</t>
  </si>
  <si>
    <t>110-2A-6A-1S</t>
  </si>
  <si>
    <t>110-2A-6A-1T</t>
  </si>
  <si>
    <t>110-2A-6A-1U</t>
  </si>
  <si>
    <t>110-2A-6A-1V</t>
  </si>
  <si>
    <t>110-2A-6A-1W</t>
  </si>
  <si>
    <t>110-2A-6A-1X</t>
  </si>
  <si>
    <t>110-2A-6A-1Y</t>
  </si>
  <si>
    <t>110-2A-6A-1Z</t>
  </si>
  <si>
    <t>110-2A-6A-2A</t>
  </si>
  <si>
    <t>110-2A-6A-2B</t>
  </si>
  <si>
    <t>110-2A-6A-2C</t>
  </si>
  <si>
    <t>110-2A-6A-2D</t>
  </si>
  <si>
    <t>110-2A-6A-2E</t>
  </si>
  <si>
    <t>110-2A-6A-2F</t>
  </si>
  <si>
    <t>110-2A-6A-2G</t>
  </si>
  <si>
    <t>110-2A-6A-2H</t>
  </si>
  <si>
    <t>110-2A-6A-2I</t>
  </si>
  <si>
    <t>110-44C-2</t>
  </si>
  <si>
    <t>110-44L-10</t>
  </si>
  <si>
    <t>AA2</t>
  </si>
  <si>
    <t>110-5A-1A</t>
  </si>
  <si>
    <t>CO peel</t>
  </si>
  <si>
    <t>110-5A-1B</t>
  </si>
  <si>
    <t>110-5A-1C</t>
  </si>
  <si>
    <t>110-5A-1D</t>
  </si>
  <si>
    <t>110-5A-1E</t>
  </si>
  <si>
    <t>110-5A-1F</t>
  </si>
  <si>
    <t>110-5A-1G</t>
  </si>
  <si>
    <t>110-5A-1H</t>
  </si>
  <si>
    <t>110-5A-1I</t>
  </si>
  <si>
    <t>110-5A-1J</t>
  </si>
  <si>
    <t>110-5A-1K</t>
  </si>
  <si>
    <t>110-5A-1L</t>
  </si>
  <si>
    <t>110-5A-1M</t>
  </si>
  <si>
    <t>110-5A-1N</t>
  </si>
  <si>
    <t>110-5A-1P</t>
  </si>
  <si>
    <t>110-5A-1Q</t>
  </si>
  <si>
    <t>110-5A-1R</t>
  </si>
  <si>
    <t>110-5A-1S</t>
  </si>
  <si>
    <t>110-5A-1T</t>
  </si>
  <si>
    <t>110-5A-1U</t>
  </si>
  <si>
    <t>110-5A-1V</t>
  </si>
  <si>
    <t>110-5A-1W</t>
  </si>
  <si>
    <t>110-5A-1X</t>
  </si>
  <si>
    <t>110-5A-1Z</t>
  </si>
  <si>
    <t>110-5A-2A</t>
  </si>
  <si>
    <t>110-5A-2B</t>
  </si>
  <si>
    <t>110-5A-2C</t>
  </si>
  <si>
    <t>110-5A-2D</t>
  </si>
  <si>
    <t>110-5A-2E</t>
  </si>
  <si>
    <t>110-5A-2F</t>
  </si>
  <si>
    <t>110-5A-2G</t>
  </si>
  <si>
    <t>110-5A-2H</t>
  </si>
  <si>
    <t>110-5A-2I</t>
  </si>
  <si>
    <t>110-5A-2J</t>
  </si>
  <si>
    <t>110-5A-2K</t>
  </si>
  <si>
    <t>110-5A-2L</t>
  </si>
  <si>
    <t>110-5A-2M</t>
  </si>
  <si>
    <t>110-5A-2N</t>
  </si>
  <si>
    <t>110-5A-2O</t>
  </si>
  <si>
    <t>110-5A-2P</t>
  </si>
  <si>
    <t>110-5A-2Q</t>
  </si>
  <si>
    <t>110-5A-2R</t>
  </si>
  <si>
    <t>110-5A-2S</t>
  </si>
  <si>
    <t>110-5A-2T</t>
  </si>
  <si>
    <t>110-5A-2U</t>
  </si>
  <si>
    <t>110-5A-2V</t>
  </si>
  <si>
    <t>110-5A-2W</t>
  </si>
  <si>
    <t>110-5A-2X</t>
  </si>
  <si>
    <t>110-5A-2Y</t>
  </si>
  <si>
    <t>110-5A-2Z</t>
  </si>
  <si>
    <t>110-5A-3A</t>
  </si>
  <si>
    <t>110-5A-3B</t>
  </si>
  <si>
    <t>110-5A-3C</t>
  </si>
  <si>
    <t>110-5A-3D</t>
  </si>
  <si>
    <t>110-5A-3E</t>
  </si>
  <si>
    <t>110-5A-3F</t>
  </si>
  <si>
    <t>110-5A-3G</t>
  </si>
  <si>
    <t>110-5A-3H</t>
  </si>
  <si>
    <t>110-5A-3I</t>
  </si>
  <si>
    <t>110-5A-3J</t>
  </si>
  <si>
    <t>110-5A-3K</t>
  </si>
  <si>
    <t>110-5A-3L</t>
  </si>
  <si>
    <t>110-5A-3M</t>
  </si>
  <si>
    <t>110-5A-3N</t>
  </si>
  <si>
    <t>110-5A-3O</t>
  </si>
  <si>
    <t>110-5A-3P</t>
  </si>
  <si>
    <t>201-15A-1</t>
  </si>
  <si>
    <t>201-29A</t>
  </si>
  <si>
    <t>BF</t>
  </si>
  <si>
    <t>201-29B</t>
  </si>
  <si>
    <t>BG</t>
  </si>
  <si>
    <t>BH</t>
  </si>
  <si>
    <t>BI</t>
  </si>
  <si>
    <t>BO</t>
  </si>
  <si>
    <t>BP</t>
  </si>
  <si>
    <t>201-29B-3</t>
  </si>
  <si>
    <t>A</t>
  </si>
  <si>
    <t>B</t>
  </si>
  <si>
    <t>DOW Peel</t>
  </si>
  <si>
    <t>C</t>
  </si>
  <si>
    <t>D</t>
  </si>
  <si>
    <t>201-29B-4</t>
  </si>
  <si>
    <t>DOW LP 4 Apr 23</t>
  </si>
  <si>
    <t>201-30B-6</t>
  </si>
  <si>
    <t>2019-2-1A</t>
  </si>
  <si>
    <t>2019-2-1B</t>
  </si>
  <si>
    <t>2019-2-1C</t>
  </si>
  <si>
    <t>2019-2-1D</t>
  </si>
  <si>
    <t>20-I7-1</t>
  </si>
  <si>
    <t>20-I7-2</t>
  </si>
  <si>
    <t>20-I7-3</t>
  </si>
  <si>
    <t>20-I7-4</t>
  </si>
  <si>
    <t>20-I7-5</t>
  </si>
  <si>
    <t>20-I7-6</t>
  </si>
  <si>
    <t>20-I8-1</t>
  </si>
  <si>
    <t>20-I8-2</t>
  </si>
  <si>
    <t>20-I8-3</t>
  </si>
  <si>
    <t>20-I8-4</t>
  </si>
  <si>
    <t>20-I8-5</t>
  </si>
  <si>
    <t>20-I8-6</t>
  </si>
  <si>
    <t>20-I8-7</t>
  </si>
  <si>
    <t>20-I8-8</t>
  </si>
  <si>
    <t>84-1L RL2L-3</t>
  </si>
  <si>
    <t>84-1L RL2L-4</t>
  </si>
  <si>
    <t>84-5G-40</t>
  </si>
  <si>
    <t>84-5G-41</t>
  </si>
  <si>
    <t>E</t>
  </si>
  <si>
    <t>F</t>
  </si>
  <si>
    <t>G</t>
  </si>
  <si>
    <t>84-5G-43</t>
  </si>
  <si>
    <t>I</t>
  </si>
  <si>
    <t>J</t>
  </si>
  <si>
    <t>K</t>
  </si>
  <si>
    <t>L</t>
  </si>
  <si>
    <t>M</t>
  </si>
  <si>
    <t>84-5G-63</t>
  </si>
  <si>
    <t>84-5G-76</t>
  </si>
  <si>
    <t>A-25</t>
  </si>
  <si>
    <t>203-29A-1</t>
  </si>
  <si>
    <t>203-29A-2</t>
  </si>
  <si>
    <t>203-29A-3</t>
  </si>
  <si>
    <t>203-29A-4</t>
  </si>
  <si>
    <t>203-29A-5</t>
  </si>
  <si>
    <t>203-6B-2</t>
  </si>
  <si>
    <t>203-7A</t>
  </si>
  <si>
    <t>203-7B</t>
  </si>
  <si>
    <t>203-7C</t>
  </si>
  <si>
    <t>203-7D</t>
  </si>
  <si>
    <t>203-9A</t>
  </si>
  <si>
    <t>207-7-2</t>
  </si>
  <si>
    <t>207-7-4</t>
  </si>
  <si>
    <t>207-7-5</t>
  </si>
  <si>
    <t>207-7-6</t>
  </si>
  <si>
    <t>207-7-7</t>
  </si>
  <si>
    <t>242-2-1</t>
  </si>
  <si>
    <t>242-2-10</t>
  </si>
  <si>
    <t>242-2-11</t>
  </si>
  <si>
    <t>242-2-12</t>
  </si>
  <si>
    <t>242-2-13</t>
  </si>
  <si>
    <t>242-2-14</t>
  </si>
  <si>
    <t>242-2-15</t>
  </si>
  <si>
    <t>242-2-16</t>
  </si>
  <si>
    <t>242-2-17</t>
  </si>
  <si>
    <t>242-2-18</t>
  </si>
  <si>
    <t>242-2-19</t>
  </si>
  <si>
    <t>242-2-2</t>
  </si>
  <si>
    <t>242-2-20</t>
  </si>
  <si>
    <t>242-2-21</t>
  </si>
  <si>
    <t>242-2-22</t>
  </si>
  <si>
    <t>242-2-23</t>
  </si>
  <si>
    <t>242-2-24</t>
  </si>
  <si>
    <t>242-2-25</t>
  </si>
  <si>
    <t>242-2-26</t>
  </si>
  <si>
    <t>242-2-27</t>
  </si>
  <si>
    <t>242-2-28</t>
  </si>
  <si>
    <t>242-2-29</t>
  </si>
  <si>
    <t>242-2-3</t>
  </si>
  <si>
    <t>242-2-30</t>
  </si>
  <si>
    <t>242-2-31</t>
  </si>
  <si>
    <t>242-2-32</t>
  </si>
  <si>
    <t>242-2-33</t>
  </si>
  <si>
    <t>242-2-34</t>
  </si>
  <si>
    <t>242-2-35</t>
  </si>
  <si>
    <t>242-2-36</t>
  </si>
  <si>
    <t>242-2-37</t>
  </si>
  <si>
    <t>242-2-38</t>
  </si>
  <si>
    <t>242-2-39</t>
  </si>
  <si>
    <t>242-2-4</t>
  </si>
  <si>
    <t>242-2-40</t>
  </si>
  <si>
    <t>242-2-41</t>
  </si>
  <si>
    <t>242-2-42</t>
  </si>
  <si>
    <t>242-2-43</t>
  </si>
  <si>
    <t>242-2-44</t>
  </si>
  <si>
    <t>242-2-45</t>
  </si>
  <si>
    <t>242-2-46</t>
  </si>
  <si>
    <t>242-2-47</t>
  </si>
  <si>
    <t>242-2-48</t>
  </si>
  <si>
    <t>242-2-49</t>
  </si>
  <si>
    <t>242-2-5</t>
  </si>
  <si>
    <t>242-2-50</t>
  </si>
  <si>
    <t>242-2-51</t>
  </si>
  <si>
    <t>242-2-52</t>
  </si>
  <si>
    <t>242-2-53</t>
  </si>
  <si>
    <t>242-2-54</t>
  </si>
  <si>
    <t>242-2-55</t>
  </si>
  <si>
    <t>242-2-6</t>
  </si>
  <si>
    <t>242-2-7</t>
  </si>
  <si>
    <t>242-2-8</t>
  </si>
  <si>
    <t>242-2-9</t>
  </si>
  <si>
    <t>242-5-1</t>
  </si>
  <si>
    <t>242-5-10</t>
  </si>
  <si>
    <t>242-5-11</t>
  </si>
  <si>
    <t>242-5-12</t>
  </si>
  <si>
    <t>242-5-13</t>
  </si>
  <si>
    <t>242-5-14</t>
  </si>
  <si>
    <t>242-5-15</t>
  </si>
  <si>
    <t>242-5-16</t>
  </si>
  <si>
    <t>242-5-17</t>
  </si>
  <si>
    <t>242-5-18</t>
  </si>
  <si>
    <t>242-5-19</t>
  </si>
  <si>
    <t>242-5-2</t>
  </si>
  <si>
    <t>242-5-20</t>
  </si>
  <si>
    <t>242-5-21</t>
  </si>
  <si>
    <t>242-5-22</t>
  </si>
  <si>
    <t>242-5-23</t>
  </si>
  <si>
    <t>242-5-24</t>
  </si>
  <si>
    <t>242-5-25</t>
  </si>
  <si>
    <t>242-5-26</t>
  </si>
  <si>
    <t>242-5-27</t>
  </si>
  <si>
    <t>242-5-28</t>
  </si>
  <si>
    <t>242-5-29</t>
  </si>
  <si>
    <t>242-5-3</t>
  </si>
  <si>
    <t>242-5-30</t>
  </si>
  <si>
    <t>242-5-31</t>
  </si>
  <si>
    <t>242-5-4</t>
  </si>
  <si>
    <t>242-5-5</t>
  </si>
  <si>
    <t>242-5-6</t>
  </si>
  <si>
    <t>242-5-7</t>
  </si>
  <si>
    <t>242-5-8</t>
  </si>
  <si>
    <t>242-5-9</t>
  </si>
  <si>
    <t>242-7-6U</t>
  </si>
  <si>
    <t>242-7-6V</t>
  </si>
  <si>
    <t>DQ</t>
  </si>
  <si>
    <t>DR</t>
  </si>
  <si>
    <t>DS</t>
  </si>
  <si>
    <t>DT</t>
  </si>
  <si>
    <t>DU</t>
  </si>
  <si>
    <t>DV</t>
  </si>
  <si>
    <t>DW</t>
  </si>
  <si>
    <t>24-4-1</t>
  </si>
  <si>
    <t>24-4-2</t>
  </si>
  <si>
    <t>24-4-3</t>
  </si>
  <si>
    <t>24-4-4</t>
  </si>
  <si>
    <t>24-4-5</t>
  </si>
  <si>
    <t>31-4-1</t>
  </si>
  <si>
    <t>31-4-2</t>
  </si>
  <si>
    <t>31-4-3</t>
  </si>
  <si>
    <t>GH-35-1</t>
  </si>
  <si>
    <t>GH-35-3</t>
  </si>
  <si>
    <t>GH-35-6</t>
  </si>
  <si>
    <t>GH-35-8</t>
  </si>
  <si>
    <t>MS7</t>
  </si>
  <si>
    <t>#001</t>
  </si>
  <si>
    <t>23-1-1</t>
  </si>
  <si>
    <t>23-1-10</t>
  </si>
  <si>
    <t>23-1-11</t>
  </si>
  <si>
    <t>23-1-12</t>
  </si>
  <si>
    <t>23-1-13</t>
  </si>
  <si>
    <t>23-1-14</t>
  </si>
  <si>
    <t>23-1-2</t>
  </si>
  <si>
    <t>23-1-3</t>
  </si>
  <si>
    <t>23-1-4</t>
  </si>
  <si>
    <t>23-1-5</t>
  </si>
  <si>
    <t>23-1-6</t>
  </si>
  <si>
    <t>23-1-7</t>
  </si>
  <si>
    <t>23-1-8</t>
  </si>
  <si>
    <t>23-1-9</t>
  </si>
  <si>
    <t>23-2-1</t>
  </si>
  <si>
    <t>23-2-2</t>
  </si>
  <si>
    <t>23-2-3</t>
  </si>
  <si>
    <t>23-2-4</t>
  </si>
  <si>
    <t>23-2-5</t>
  </si>
  <si>
    <t>23-2-6</t>
  </si>
  <si>
    <t>23-2-7</t>
  </si>
  <si>
    <t>23-2-8</t>
  </si>
  <si>
    <t>110-5A-8</t>
  </si>
  <si>
    <t>121A</t>
  </si>
  <si>
    <t>121E</t>
  </si>
  <si>
    <t>121F</t>
  </si>
  <si>
    <t>121G</t>
  </si>
  <si>
    <t>121J</t>
  </si>
  <si>
    <t>121K</t>
  </si>
  <si>
    <t>121M</t>
  </si>
  <si>
    <t>121N</t>
  </si>
  <si>
    <t>121O</t>
  </si>
  <si>
    <t>121Q</t>
  </si>
  <si>
    <t>121R</t>
  </si>
  <si>
    <t>121S</t>
  </si>
  <si>
    <t>121T</t>
  </si>
  <si>
    <t>216A</t>
  </si>
  <si>
    <t>218B</t>
  </si>
  <si>
    <t>218D</t>
  </si>
  <si>
    <t>220B</t>
  </si>
  <si>
    <t>220D</t>
  </si>
  <si>
    <t>222-A</t>
  </si>
  <si>
    <t>228C</t>
  </si>
  <si>
    <t>322A</t>
  </si>
  <si>
    <t>322B</t>
  </si>
  <si>
    <t>322C</t>
  </si>
  <si>
    <t>322D</t>
  </si>
  <si>
    <t>322E</t>
  </si>
  <si>
    <t>322F</t>
  </si>
  <si>
    <t>322G</t>
  </si>
  <si>
    <t>322H</t>
  </si>
  <si>
    <t>322I</t>
  </si>
  <si>
    <t>322J</t>
  </si>
  <si>
    <t>322K</t>
  </si>
  <si>
    <t>322L</t>
  </si>
  <si>
    <t>322M</t>
  </si>
  <si>
    <t>322N</t>
  </si>
  <si>
    <t>322O</t>
  </si>
  <si>
    <t>322P</t>
  </si>
  <si>
    <t>322Q</t>
  </si>
  <si>
    <t>322R</t>
  </si>
  <si>
    <t>322S</t>
  </si>
  <si>
    <t>322T</t>
  </si>
  <si>
    <t>322U</t>
  </si>
  <si>
    <t>322V</t>
  </si>
  <si>
    <t>322W</t>
  </si>
  <si>
    <t>322X</t>
  </si>
  <si>
    <t>322Y</t>
  </si>
  <si>
    <t>322Z</t>
  </si>
  <si>
    <t>333A</t>
  </si>
  <si>
    <t>333B</t>
  </si>
  <si>
    <t>333C</t>
  </si>
  <si>
    <t>333D</t>
  </si>
  <si>
    <t>333E</t>
  </si>
  <si>
    <t>333F</t>
  </si>
  <si>
    <t>333G</t>
  </si>
  <si>
    <t>333H</t>
  </si>
  <si>
    <t>333I</t>
  </si>
  <si>
    <t>333J</t>
  </si>
  <si>
    <t>333K</t>
  </si>
  <si>
    <t>333L</t>
  </si>
  <si>
    <t>333M</t>
  </si>
  <si>
    <t>333N</t>
  </si>
  <si>
    <t>333O</t>
  </si>
  <si>
    <t>333P</t>
  </si>
  <si>
    <t>333Q</t>
  </si>
  <si>
    <t>333R</t>
  </si>
  <si>
    <t>333S</t>
  </si>
  <si>
    <t>A1</t>
  </si>
  <si>
    <t>A11</t>
  </si>
  <si>
    <t>A12</t>
  </si>
  <si>
    <t>A18</t>
  </si>
  <si>
    <t>A2</t>
  </si>
  <si>
    <t>co peel</t>
  </si>
  <si>
    <t>A21</t>
  </si>
  <si>
    <t>A24</t>
  </si>
  <si>
    <t>A26</t>
  </si>
  <si>
    <t>A27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</si>
  <si>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</si>
  <si>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</si>
  <si>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</si>
  <si>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</si>
  <si>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</si>
  <si>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</si>
  <si>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</si>
  <si>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</si>
  <si>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</si>
  <si>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</si>
  <si>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</t>
  </si>
  <si>
    <t>A40</t>
  </si>
  <si>
    <t>A41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</si>
  <si>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</si>
  <si>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</si>
  <si>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</si>
  <si>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</si>
  <si>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</si>
  <si>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</si>
  <si>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</si>
  <si>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</si>
  <si>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</si>
  <si>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TM peel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</si>
  <si>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</si>
  <si>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</si>
  <si>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</si>
  <si>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</si>
  <si>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</si>
  <si>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</si>
  <si>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</si>
  <si>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</si>
  <si>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</si>
  <si>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</si>
  <si>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A7</t>
  </si>
  <si>
    <t>A9</t>
  </si>
  <si>
    <t>B1</t>
  </si>
  <si>
    <t>B10</t>
  </si>
  <si>
    <t>B11</t>
  </si>
  <si>
    <t>B12</t>
  </si>
  <si>
    <t>B13</t>
  </si>
  <si>
    <t>B14</t>
  </si>
  <si>
    <t>B15</t>
  </si>
  <si>
    <t>B16</t>
  </si>
  <si>
    <t>B17</t>
  </si>
  <si>
    <t>B21</t>
  </si>
  <si>
    <t>B22</t>
  </si>
  <si>
    <t>B30</t>
  </si>
  <si>
    <t>B31</t>
  </si>
  <si>
    <t>B32</t>
  </si>
  <si>
    <t>B33</t>
  </si>
  <si>
    <t>DOW peel</t>
  </si>
  <si>
    <t>B34</t>
  </si>
  <si>
    <t>B35</t>
  </si>
  <si>
    <t>B36</t>
  </si>
  <si>
    <t>B37</t>
  </si>
  <si>
    <t>B38</t>
  </si>
  <si>
    <t>B39</t>
  </si>
  <si>
    <t>B40</t>
  </si>
  <si>
    <t>B46</t>
  </si>
  <si>
    <t>B47</t>
  </si>
  <si>
    <t>B48</t>
  </si>
  <si>
    <t>B5</t>
  </si>
  <si>
    <t>B50</t>
  </si>
  <si>
    <t>B53</t>
  </si>
  <si>
    <t>B55</t>
  </si>
  <si>
    <t>B57</t>
  </si>
  <si>
    <t>B58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</si>
  <si>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</si>
  <si>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</si>
  <si>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</si>
  <si>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</si>
  <si>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</si>
  <si>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</si>
  <si>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</si>
  <si>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</si>
  <si>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</si>
  <si>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</si>
  <si>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B71</t>
  </si>
  <si>
    <t>B72</t>
  </si>
  <si>
    <t>B73</t>
  </si>
  <si>
    <t>B74</t>
  </si>
  <si>
    <t>B75</t>
  </si>
  <si>
    <t>B8</t>
  </si>
  <si>
    <t>B9</t>
  </si>
  <si>
    <t>G10</t>
  </si>
  <si>
    <t>G11</t>
  </si>
  <si>
    <t>G12</t>
  </si>
  <si>
    <t>G13</t>
  </si>
  <si>
    <t>G14</t>
  </si>
  <si>
    <t>G17</t>
  </si>
  <si>
    <t>G18</t>
  </si>
  <si>
    <t>G19</t>
  </si>
  <si>
    <t>G20</t>
  </si>
  <si>
    <t>G22</t>
  </si>
  <si>
    <t>G23</t>
  </si>
  <si>
    <t>G25</t>
  </si>
  <si>
    <t>G27</t>
  </si>
  <si>
    <t>G28</t>
  </si>
  <si>
    <t>G3</t>
  </si>
  <si>
    <t>G32</t>
  </si>
  <si>
    <t>G34</t>
  </si>
  <si>
    <t>G39</t>
  </si>
  <si>
    <t>G44</t>
  </si>
  <si>
    <t>G45</t>
  </si>
  <si>
    <t>G48</t>
  </si>
  <si>
    <t>G49</t>
  </si>
  <si>
    <t>G54</t>
  </si>
  <si>
    <t>G59</t>
  </si>
  <si>
    <t>G6</t>
  </si>
  <si>
    <t>G61</t>
  </si>
  <si>
    <t>G62</t>
  </si>
  <si>
    <t>G63</t>
  </si>
  <si>
    <t>G64</t>
  </si>
  <si>
    <t>G8</t>
  </si>
  <si>
    <t>G9</t>
  </si>
  <si>
    <t>H1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</si>
  <si>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</si>
  <si>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</si>
  <si>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</si>
  <si>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</si>
  <si>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</si>
  <si>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</si>
  <si>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</si>
  <si>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</si>
  <si>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</si>
  <si>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</si>
  <si>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</t>
  </si>
  <si>
    <t>H23</t>
  </si>
  <si>
    <t>H24</t>
  </si>
  <si>
    <t>H25</t>
  </si>
  <si>
    <t>H3</t>
  </si>
  <si>
    <t>H30</t>
  </si>
  <si>
    <t>H31</t>
  </si>
  <si>
    <t>H37</t>
  </si>
  <si>
    <t>H4</t>
  </si>
  <si>
    <t>H40</t>
  </si>
  <si>
    <t>H41</t>
  </si>
  <si>
    <t>H43</t>
  </si>
  <si>
    <t>H5</t>
  </si>
  <si>
    <t>H54</t>
  </si>
  <si>
    <t>H55</t>
  </si>
  <si>
    <t>H56</t>
  </si>
  <si>
    <t>H6</t>
  </si>
  <si>
    <t>H7</t>
  </si>
  <si>
    <t>H8</t>
  </si>
  <si>
    <t>H9</t>
  </si>
  <si>
    <t>I1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</si>
  <si>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</si>
  <si>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</si>
  <si>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</si>
  <si>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</si>
  <si>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</si>
  <si>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</si>
  <si>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</si>
  <si>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</si>
  <si>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</si>
  <si>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</si>
  <si>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</si>
  <si>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</si>
  <si>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</si>
  <si>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</si>
  <si>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</si>
  <si>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</si>
  <si>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</si>
  <si>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</si>
  <si>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</si>
  <si>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</si>
  <si>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</si>
  <si>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</t>
  </si>
  <si>
    <t>I4</t>
  </si>
  <si>
    <t>I5</t>
  </si>
  <si>
    <t>I6</t>
  </si>
  <si>
    <t>I7</t>
  </si>
  <si>
    <t>I8</t>
  </si>
  <si>
    <t>I9</t>
  </si>
  <si>
    <t>K1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</si>
  <si>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</si>
  <si>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</si>
  <si>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</si>
  <si>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</si>
  <si>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</si>
  <si>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</si>
  <si>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</si>
  <si>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</si>
  <si>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</si>
  <si>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</si>
  <si>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</si>
  <si>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</si>
  <si>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</si>
  <si>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</si>
  <si>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</si>
  <si>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</si>
  <si>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</si>
  <si>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</si>
  <si>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</si>
  <si>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</si>
  <si>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</si>
  <si>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</si>
  <si>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</si>
  <si>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</si>
  <si>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</si>
  <si>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</si>
  <si>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</si>
  <si>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</si>
  <si>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</si>
  <si>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</si>
  <si>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</si>
  <si>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</si>
  <si>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</si>
  <si>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</si>
  <si>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</si>
  <si>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</si>
  <si>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</si>
  <si>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</si>
  <si>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</si>
  <si>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</si>
  <si>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</si>
  <si>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</si>
  <si>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</si>
  <si>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</si>
  <si>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</si>
  <si>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</si>
  <si>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</si>
  <si>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</si>
  <si>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</si>
  <si>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</si>
  <si>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</si>
  <si>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</si>
  <si>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</si>
  <si>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K6</t>
  </si>
  <si>
    <t>K7</t>
  </si>
  <si>
    <t>K8</t>
  </si>
  <si>
    <t>K9</t>
  </si>
  <si>
    <t>C20</t>
  </si>
  <si>
    <t>C21</t>
  </si>
  <si>
    <t>C23</t>
  </si>
  <si>
    <t>C24</t>
  </si>
  <si>
    <t>C26</t>
  </si>
  <si>
    <t>C27</t>
  </si>
  <si>
    <t>C30</t>
  </si>
  <si>
    <t>C31</t>
  </si>
  <si>
    <t>C32</t>
  </si>
  <si>
    <t>C33</t>
  </si>
  <si>
    <t>C34</t>
  </si>
  <si>
    <t>C36</t>
  </si>
  <si>
    <t>C37</t>
  </si>
  <si>
    <t>C39</t>
  </si>
  <si>
    <t>tm peel</t>
  </si>
  <si>
    <t>C56</t>
  </si>
  <si>
    <t>C59</t>
  </si>
  <si>
    <t>C6</t>
  </si>
  <si>
    <t>C62</t>
  </si>
  <si>
    <t>C63</t>
  </si>
  <si>
    <t>C64</t>
  </si>
  <si>
    <t>C65</t>
  </si>
  <si>
    <t>C66</t>
  </si>
  <si>
    <t>C7</t>
  </si>
  <si>
    <t>C8</t>
  </si>
  <si>
    <t>C9</t>
  </si>
  <si>
    <t>D1</t>
  </si>
  <si>
    <t>KS PEEL</t>
  </si>
  <si>
    <t>D10</t>
  </si>
  <si>
    <t>D12</t>
  </si>
  <si>
    <t>D13</t>
  </si>
  <si>
    <t>D14</t>
  </si>
  <si>
    <t>D15</t>
  </si>
  <si>
    <t>D16</t>
  </si>
  <si>
    <t>D17</t>
  </si>
  <si>
    <t>D18</t>
  </si>
  <si>
    <t>D19</t>
  </si>
  <si>
    <t>D2</t>
  </si>
  <si>
    <t>D22</t>
  </si>
  <si>
    <t>D23</t>
  </si>
  <si>
    <t>D25</t>
  </si>
  <si>
    <t>D26</t>
  </si>
  <si>
    <t>D27</t>
  </si>
  <si>
    <t>D28</t>
  </si>
  <si>
    <t>D29</t>
  </si>
  <si>
    <t>D3</t>
  </si>
  <si>
    <t>D30</t>
  </si>
  <si>
    <t>D31</t>
  </si>
  <si>
    <t>D33</t>
  </si>
  <si>
    <t>D34</t>
  </si>
  <si>
    <t>D36</t>
  </si>
  <si>
    <t>D37</t>
  </si>
  <si>
    <t>D38</t>
  </si>
  <si>
    <t>D4</t>
  </si>
  <si>
    <t>D46</t>
  </si>
  <si>
    <t>D47</t>
  </si>
  <si>
    <t>D48</t>
  </si>
  <si>
    <t>D49</t>
  </si>
  <si>
    <t>D5</t>
  </si>
  <si>
    <t>D50</t>
  </si>
  <si>
    <t>D51</t>
  </si>
  <si>
    <t>D52</t>
  </si>
  <si>
    <t>D54</t>
  </si>
  <si>
    <t>D55</t>
  </si>
  <si>
    <t>D56</t>
  </si>
  <si>
    <t>D57</t>
  </si>
  <si>
    <t>D58</t>
  </si>
  <si>
    <t>D59</t>
  </si>
  <si>
    <t>D6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</si>
  <si>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</si>
  <si>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</si>
  <si>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</si>
  <si>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</si>
  <si>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</si>
  <si>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</si>
  <si>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</si>
  <si>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</si>
  <si>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</si>
  <si>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</si>
  <si>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</si>
  <si>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</si>
  <si>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#1</t>
  </si>
  <si>
    <t>#3</t>
  </si>
  <si>
    <t>#4</t>
  </si>
  <si>
    <t>#7</t>
  </si>
  <si>
    <t>#9</t>
  </si>
  <si>
    <t>10-133</t>
  </si>
  <si>
    <t>10-133-1A</t>
  </si>
  <si>
    <t>10-133-1B</t>
  </si>
  <si>
    <t>10-133-1C</t>
  </si>
  <si>
    <t>10-133-1D</t>
  </si>
  <si>
    <t>10-133-1E</t>
  </si>
  <si>
    <t>10-133-1F</t>
  </si>
  <si>
    <t>10-133-1G</t>
  </si>
  <si>
    <t>10-133-1H</t>
  </si>
  <si>
    <t>10-133-1I</t>
  </si>
  <si>
    <t>10-133-1J</t>
  </si>
  <si>
    <t>10-133-1K</t>
  </si>
  <si>
    <t>201-15</t>
  </si>
  <si>
    <t>39-10-128</t>
  </si>
  <si>
    <t>39-10-129</t>
  </si>
  <si>
    <t>39-10-130</t>
  </si>
  <si>
    <t>39-10-131</t>
  </si>
  <si>
    <t>39-10-132</t>
  </si>
  <si>
    <t>39-10-133</t>
  </si>
  <si>
    <t>39-10-134</t>
  </si>
  <si>
    <t>8B-19</t>
  </si>
  <si>
    <t>8B-2</t>
  </si>
  <si>
    <t>8B-20</t>
  </si>
  <si>
    <t>8B-21</t>
  </si>
  <si>
    <t>8B-3</t>
  </si>
  <si>
    <t>8B-4</t>
  </si>
  <si>
    <t>8B-5</t>
  </si>
  <si>
    <t>8B-6</t>
  </si>
  <si>
    <t>8B-7</t>
  </si>
  <si>
    <t>8B-8</t>
  </si>
  <si>
    <t>8B-9</t>
  </si>
  <si>
    <t>A-1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</si>
  <si>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</si>
  <si>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</si>
  <si>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</si>
  <si>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</si>
  <si>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</si>
  <si>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</si>
  <si>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</si>
  <si>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</si>
  <si>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</si>
  <si>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</si>
  <si>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</t>
  </si>
  <si>
    <t>A-20</t>
  </si>
  <si>
    <t>A-21</t>
  </si>
  <si>
    <t>A-22</t>
  </si>
  <si>
    <t>A-23</t>
  </si>
  <si>
    <t>A-3</t>
  </si>
  <si>
    <t>A-4</t>
  </si>
  <si>
    <t>A-5</t>
  </si>
  <si>
    <t>A-6</t>
  </si>
  <si>
    <t>A-7</t>
  </si>
  <si>
    <t>A-8</t>
  </si>
  <si>
    <t>A-9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</si>
  <si>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</si>
  <si>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</si>
  <si>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</si>
  <si>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</si>
  <si>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</si>
  <si>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</si>
  <si>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</si>
  <si>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</si>
  <si>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</si>
  <si>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</si>
  <si>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</t>
  </si>
  <si>
    <t>B-20</t>
  </si>
  <si>
    <t>B-21</t>
  </si>
  <si>
    <t>B-22</t>
  </si>
  <si>
    <t>B-23</t>
  </si>
  <si>
    <t>B-24</t>
  </si>
  <si>
    <t>B-25</t>
  </si>
  <si>
    <t>B-28</t>
  </si>
  <si>
    <t>B-29</t>
  </si>
  <si>
    <t>B-3</t>
  </si>
  <si>
    <t>B-30</t>
  </si>
  <si>
    <t>B-31</t>
  </si>
  <si>
    <t>B-4</t>
  </si>
  <si>
    <t>B-5</t>
  </si>
  <si>
    <t>B-6</t>
  </si>
  <si>
    <t>B-7</t>
  </si>
  <si>
    <t>B-8</t>
  </si>
  <si>
    <t>B-9</t>
  </si>
  <si>
    <t>106-150A-1A</t>
  </si>
  <si>
    <t>106-150A-1B</t>
  </si>
  <si>
    <t>106-150A-1C</t>
  </si>
  <si>
    <t>106-150A-1D</t>
  </si>
  <si>
    <t>106-150A-1E</t>
  </si>
  <si>
    <t>106-150A-1F</t>
  </si>
  <si>
    <t>106-150A-1G</t>
  </si>
  <si>
    <t>106-150A-1H</t>
  </si>
  <si>
    <t>106-150A-1I</t>
  </si>
  <si>
    <t>106-150A-1J</t>
  </si>
  <si>
    <t>106-150A-1K</t>
  </si>
  <si>
    <t>106-150A-1L</t>
  </si>
  <si>
    <t>106-150A-1M</t>
  </si>
  <si>
    <t>106-150A-1N</t>
  </si>
  <si>
    <t>106-150A-1O</t>
  </si>
  <si>
    <t>106-150A-1P</t>
  </si>
  <si>
    <t>106-150A-1Q</t>
  </si>
  <si>
    <t>106-150A-4B-1A</t>
  </si>
  <si>
    <t>106-150A-4B-1B</t>
  </si>
  <si>
    <t>106-150A-4B-1C</t>
  </si>
  <si>
    <t>106-150A-4B-1D</t>
  </si>
  <si>
    <t>106-150A-4B-1E</t>
  </si>
  <si>
    <t>106-150A-4B-1F</t>
  </si>
  <si>
    <t>106-150A-4B-1G</t>
  </si>
  <si>
    <t>106-150A-4B-1H</t>
  </si>
  <si>
    <t>106-150A-4B-1I</t>
  </si>
  <si>
    <t>106-150A-4B-1J</t>
  </si>
  <si>
    <t>106-150A-4B-1K</t>
  </si>
  <si>
    <t>106-150A-4B-1L</t>
  </si>
  <si>
    <t>106-36A-20</t>
  </si>
  <si>
    <t>106-36A-24</t>
  </si>
  <si>
    <t>106-36A-4G-1A</t>
  </si>
  <si>
    <t>106-36A-4G-1B</t>
  </si>
  <si>
    <t>106-36A-4G-1C</t>
  </si>
  <si>
    <t>106-36A-4G-1D</t>
  </si>
  <si>
    <t>106-36A-4G-1E</t>
  </si>
  <si>
    <t>106-36A-4G-1F</t>
  </si>
  <si>
    <t>106-36A-4G-1G</t>
  </si>
  <si>
    <t>106-36A-4G-1H</t>
  </si>
  <si>
    <t>106-36A-4G-1I</t>
  </si>
  <si>
    <t>106-36A-4G-1J</t>
  </si>
  <si>
    <t>106-36A-4G-1K</t>
  </si>
  <si>
    <t>106-36A-4G-1L</t>
  </si>
  <si>
    <t>106-36A-4G-1M</t>
  </si>
  <si>
    <t>106-36A-4G-1N</t>
  </si>
  <si>
    <t>106-36A-4G-1O</t>
  </si>
  <si>
    <t>106-36A-4G-1P</t>
  </si>
  <si>
    <t>106-36A-4G-1Q</t>
  </si>
  <si>
    <t>106-36A-4G-1R</t>
  </si>
  <si>
    <t>106-36A-4G-1S</t>
  </si>
  <si>
    <t>106-36A-4G-1T</t>
  </si>
  <si>
    <t>106-36A-4G-1U</t>
  </si>
  <si>
    <t>106-36A-4G-1V</t>
  </si>
  <si>
    <t>134-6-1</t>
  </si>
  <si>
    <t>134-6-10</t>
  </si>
  <si>
    <t>134-6-11</t>
  </si>
  <si>
    <t>134-6-12</t>
  </si>
  <si>
    <t>134-6-13</t>
  </si>
  <si>
    <t>134-6-14</t>
  </si>
  <si>
    <t>134-6-15</t>
  </si>
  <si>
    <t>134-6-16</t>
  </si>
  <si>
    <t>134-6-17</t>
  </si>
  <si>
    <t>134-6-18</t>
  </si>
  <si>
    <t>134-6-19</t>
  </si>
  <si>
    <t>134-6-1A</t>
  </si>
  <si>
    <t>134-6-1B</t>
  </si>
  <si>
    <t>134-6-1C</t>
  </si>
  <si>
    <t>134-6-1D</t>
  </si>
  <si>
    <t>134-6-1E</t>
  </si>
  <si>
    <t>134-6-1F</t>
  </si>
  <si>
    <t>134-6-2</t>
  </si>
  <si>
    <t>134-6-20</t>
  </si>
  <si>
    <t>134-6-21</t>
  </si>
  <si>
    <t>134-6-22</t>
  </si>
  <si>
    <t>134-6-23</t>
  </si>
  <si>
    <t>134-6-24</t>
  </si>
  <si>
    <t>134-6-25</t>
  </si>
  <si>
    <t>134-6-26</t>
  </si>
  <si>
    <t>134-6-27</t>
  </si>
  <si>
    <t>134-6-28</t>
  </si>
  <si>
    <t>134-6-29</t>
  </si>
  <si>
    <t>134-6-3</t>
  </si>
  <si>
    <t>134-6-30</t>
  </si>
  <si>
    <t>134-6-31</t>
  </si>
  <si>
    <t>134-6-32</t>
  </si>
  <si>
    <t>134-6-33</t>
  </si>
  <si>
    <t>134-6-34</t>
  </si>
  <si>
    <t>134-6-35</t>
  </si>
  <si>
    <t>134-6-36</t>
  </si>
  <si>
    <t>134-6-37</t>
  </si>
  <si>
    <t>134-6-38</t>
  </si>
  <si>
    <t>134-6-39</t>
  </si>
  <si>
    <t>134-6-4</t>
  </si>
  <si>
    <t>134-6-40</t>
  </si>
  <si>
    <t>134-6-41</t>
  </si>
  <si>
    <t>134-6-42</t>
  </si>
  <si>
    <t>134-6-43</t>
  </si>
  <si>
    <t>134-6-44</t>
  </si>
  <si>
    <t>134-6-45</t>
  </si>
  <si>
    <t>134-6-46</t>
  </si>
  <si>
    <t>134-6-47</t>
  </si>
  <si>
    <t>134-6-48</t>
  </si>
  <si>
    <t>134-6-49</t>
  </si>
  <si>
    <t>134-6-5</t>
  </si>
  <si>
    <t>134-6-50</t>
  </si>
  <si>
    <t>134-6-51</t>
  </si>
  <si>
    <t>134-6-6</t>
  </si>
  <si>
    <t>134-6-7</t>
  </si>
  <si>
    <t>134-6-8</t>
  </si>
  <si>
    <t>134-6-9</t>
  </si>
  <si>
    <t>211-10-1</t>
  </si>
  <si>
    <t>211-10-10</t>
  </si>
  <si>
    <t>211-10-11</t>
  </si>
  <si>
    <t>211-10-12</t>
  </si>
  <si>
    <t>211-10-13</t>
  </si>
  <si>
    <t>211-10-14</t>
  </si>
  <si>
    <t>211-10-15</t>
  </si>
  <si>
    <t>211-10-16</t>
  </si>
  <si>
    <t>211-10-17</t>
  </si>
  <si>
    <t>211-10-18</t>
  </si>
  <si>
    <t>211-10-19</t>
  </si>
  <si>
    <t>211-10-2</t>
  </si>
  <si>
    <t>211-10-20</t>
  </si>
  <si>
    <t>211-10-21</t>
  </si>
  <si>
    <t>211-10-22</t>
  </si>
  <si>
    <t>211-10-23</t>
  </si>
  <si>
    <t>211-10-24</t>
  </si>
  <si>
    <t>211-10-25</t>
  </si>
  <si>
    <t>211-10-26</t>
  </si>
  <si>
    <t>211-10-27</t>
  </si>
  <si>
    <t>211-10-28</t>
  </si>
  <si>
    <t>211-10-29</t>
  </si>
  <si>
    <t>211-10-3</t>
  </si>
  <si>
    <t>211-10-30</t>
  </si>
  <si>
    <t>211-10-31</t>
  </si>
  <si>
    <t>211-10-32</t>
  </si>
  <si>
    <t>211-10-33</t>
  </si>
  <si>
    <t>211-10-34</t>
  </si>
  <si>
    <t>211-10-35</t>
  </si>
  <si>
    <t>211-10-36</t>
  </si>
  <si>
    <t>211-10-37</t>
  </si>
  <si>
    <t>211-10-38</t>
  </si>
  <si>
    <t>211-10-39</t>
  </si>
  <si>
    <t>211-10-4</t>
  </si>
  <si>
    <t>211-10-40</t>
  </si>
  <si>
    <t>211-10-41</t>
  </si>
  <si>
    <t>211-10-42</t>
  </si>
  <si>
    <t>211-10-43</t>
  </si>
  <si>
    <t>211-10-44</t>
  </si>
  <si>
    <t>211-10-45</t>
  </si>
  <si>
    <t>211-10-46</t>
  </si>
  <si>
    <t>211-10-47</t>
  </si>
  <si>
    <t>211-10-48</t>
  </si>
  <si>
    <t>211-10-49</t>
  </si>
  <si>
    <t>211-10-5</t>
  </si>
  <si>
    <t>211-10-50</t>
  </si>
  <si>
    <t>211-10-51</t>
  </si>
  <si>
    <t>211-10-52</t>
  </si>
  <si>
    <t>211-10-53</t>
  </si>
  <si>
    <t>211-10-54</t>
  </si>
  <si>
    <t>211-10-55</t>
  </si>
  <si>
    <t>211-10-56</t>
  </si>
  <si>
    <t>211-10-57</t>
  </si>
  <si>
    <t>211-10-58</t>
  </si>
  <si>
    <t>211-10-59</t>
  </si>
  <si>
    <t>211-10-6</t>
  </si>
  <si>
    <t>211-10-60</t>
  </si>
  <si>
    <t>211-10-61</t>
  </si>
  <si>
    <t>211-10-62</t>
  </si>
  <si>
    <t>211-10-63</t>
  </si>
  <si>
    <t>211-10-64</t>
  </si>
  <si>
    <t>211-10-65</t>
  </si>
  <si>
    <t>211-10-66</t>
  </si>
  <si>
    <t>211-10-67</t>
  </si>
  <si>
    <t>211-10-68</t>
  </si>
  <si>
    <t>211-10-69</t>
  </si>
  <si>
    <t>211-10-7</t>
  </si>
  <si>
    <t>211-10-70</t>
  </si>
  <si>
    <t>211-10-71</t>
  </si>
  <si>
    <t>211-10-72</t>
  </si>
  <si>
    <t>211-10-73</t>
  </si>
  <si>
    <t>211-10-74</t>
  </si>
  <si>
    <t>211-10-75</t>
  </si>
  <si>
    <t>211-10-76</t>
  </si>
  <si>
    <t>211-10-77</t>
  </si>
  <si>
    <t>211-10-78</t>
  </si>
  <si>
    <t>211-10-79</t>
  </si>
  <si>
    <t>211-10-8</t>
  </si>
  <si>
    <t>211-10-80</t>
  </si>
  <si>
    <t>211-10-81</t>
  </si>
  <si>
    <t>211-10-82</t>
  </si>
  <si>
    <t>211-10-83</t>
  </si>
  <si>
    <t>211-10-84</t>
  </si>
  <si>
    <t>211-10-85</t>
  </si>
  <si>
    <t>211-10-86</t>
  </si>
  <si>
    <t>211-10-87</t>
  </si>
  <si>
    <t>211-10-88</t>
  </si>
  <si>
    <t>211-10-89</t>
  </si>
  <si>
    <t>211-10-9</t>
  </si>
  <si>
    <t>211-10-90</t>
  </si>
  <si>
    <t>211-10-91</t>
  </si>
  <si>
    <t>211-10-92</t>
  </si>
  <si>
    <t>211-10-93</t>
  </si>
  <si>
    <t>211-10-94</t>
  </si>
  <si>
    <t>211-10-95</t>
  </si>
  <si>
    <t>211-10-96</t>
  </si>
  <si>
    <t>211-10-97</t>
  </si>
  <si>
    <t>211-10-98</t>
  </si>
  <si>
    <t>211-8-1</t>
  </si>
  <si>
    <t>211-8-2</t>
  </si>
  <si>
    <t>211-8-3</t>
  </si>
  <si>
    <t>211-8-4</t>
  </si>
  <si>
    <t>211-8-5</t>
  </si>
  <si>
    <t>211-8-6</t>
  </si>
  <si>
    <t>211-8-7</t>
  </si>
  <si>
    <t>211-8-8</t>
  </si>
  <si>
    <t>211-8-9</t>
  </si>
  <si>
    <t>42-3-1</t>
  </si>
  <si>
    <t>42-3-10</t>
  </si>
  <si>
    <t>42-3-11</t>
  </si>
  <si>
    <t>42-3-12</t>
  </si>
  <si>
    <t>42-3-13</t>
  </si>
  <si>
    <t>42-3-14</t>
  </si>
  <si>
    <t>42-3-15</t>
  </si>
  <si>
    <t>42-3-16</t>
  </si>
  <si>
    <t>42-3-17</t>
  </si>
  <si>
    <t>42-3-18</t>
  </si>
  <si>
    <t>42-3-19</t>
  </si>
  <si>
    <t>42-3-2</t>
  </si>
  <si>
    <t>42-3-20</t>
  </si>
  <si>
    <t>42-3-21</t>
  </si>
  <si>
    <t>42-3-22</t>
  </si>
  <si>
    <t>42-3-23</t>
  </si>
  <si>
    <t>42-3-24</t>
  </si>
  <si>
    <t>42-3-25</t>
  </si>
  <si>
    <t>42-3-26</t>
  </si>
  <si>
    <t>42-3-27</t>
  </si>
  <si>
    <t>42-3-28</t>
  </si>
  <si>
    <t>42-3-29</t>
  </si>
  <si>
    <t>42-3-3</t>
  </si>
  <si>
    <t>42-3-30</t>
  </si>
  <si>
    <t>42-3-31</t>
  </si>
  <si>
    <t>42-3-32</t>
  </si>
  <si>
    <t>42-3-33</t>
  </si>
  <si>
    <t>42-3-34</t>
  </si>
  <si>
    <t>42-3-35</t>
  </si>
  <si>
    <t>42-3-36</t>
  </si>
  <si>
    <t>42-3-37</t>
  </si>
  <si>
    <t>42-3-38</t>
  </si>
  <si>
    <t>42-3-39</t>
  </si>
  <si>
    <t>42-3-4</t>
  </si>
  <si>
    <t>42-3-40</t>
  </si>
  <si>
    <t>42-3-41</t>
  </si>
  <si>
    <t>42-3-42</t>
  </si>
  <si>
    <t>42-3-43</t>
  </si>
  <si>
    <t>42-3-44</t>
  </si>
  <si>
    <t>42-3-45</t>
  </si>
  <si>
    <t>42-3-46</t>
  </si>
  <si>
    <t>42-3-47</t>
  </si>
  <si>
    <t>42-3-48</t>
  </si>
  <si>
    <t>42-3-49</t>
  </si>
  <si>
    <t>42-3-5</t>
  </si>
  <si>
    <t>42-3-50</t>
  </si>
  <si>
    <t>42-3-51</t>
  </si>
  <si>
    <t>42-3-52</t>
  </si>
  <si>
    <t>42-3-53</t>
  </si>
  <si>
    <t>42-3-54</t>
  </si>
  <si>
    <t>42-3-55</t>
  </si>
  <si>
    <t>42-3-56</t>
  </si>
  <si>
    <t>42-3-57</t>
  </si>
  <si>
    <t>42-3-58</t>
  </si>
  <si>
    <t>42-3-59</t>
  </si>
  <si>
    <t>42-3-6</t>
  </si>
  <si>
    <t>42-3-60</t>
  </si>
  <si>
    <t>42-3-61</t>
  </si>
  <si>
    <t>42-3-62</t>
  </si>
  <si>
    <t>42-3-63</t>
  </si>
  <si>
    <t>42-3-64</t>
  </si>
  <si>
    <t>42-3-65</t>
  </si>
  <si>
    <t>42-3-7</t>
  </si>
  <si>
    <t>42-3-8</t>
  </si>
  <si>
    <t>42-3-9</t>
  </si>
  <si>
    <t>42-4-1</t>
  </si>
  <si>
    <t>42-4-10</t>
  </si>
  <si>
    <t>42-4-100</t>
  </si>
  <si>
    <t>42-4-101</t>
  </si>
  <si>
    <t>42-4-102</t>
  </si>
  <si>
    <t>42-4-103</t>
  </si>
  <si>
    <t>42-4-104</t>
  </si>
  <si>
    <t>42-4-11</t>
  </si>
  <si>
    <t>42-4-12</t>
  </si>
  <si>
    <t>42-4-13</t>
  </si>
  <si>
    <t>42-4-14</t>
  </si>
  <si>
    <t>42-4-15</t>
  </si>
  <si>
    <t>42-4-16</t>
  </si>
  <si>
    <t>42-4-17</t>
  </si>
  <si>
    <t>42-4-18</t>
  </si>
  <si>
    <t>42-4-19</t>
  </si>
  <si>
    <t>42-4-2</t>
  </si>
  <si>
    <t>42-4-20</t>
  </si>
  <si>
    <t>42-4-21</t>
  </si>
  <si>
    <t>42-4-22</t>
  </si>
  <si>
    <t>42-4-23</t>
  </si>
  <si>
    <t>42-4-24</t>
  </si>
  <si>
    <t>42-4-25</t>
  </si>
  <si>
    <t>42-4-26</t>
  </si>
  <si>
    <t>42-4-27</t>
  </si>
  <si>
    <t>42-4-28</t>
  </si>
  <si>
    <t>42-4-29</t>
  </si>
  <si>
    <t>42-4-3</t>
  </si>
  <si>
    <t>42-4-30</t>
  </si>
  <si>
    <t>42-4-31</t>
  </si>
  <si>
    <t>42-4-32</t>
  </si>
  <si>
    <t>42-4-33</t>
  </si>
  <si>
    <t>42-4-34</t>
  </si>
  <si>
    <t>42-4-35</t>
  </si>
  <si>
    <t>42-4-36</t>
  </si>
  <si>
    <t>42-4-37</t>
  </si>
  <si>
    <t>42-4-38</t>
  </si>
  <si>
    <t>42-4-39</t>
  </si>
  <si>
    <t>42-4-4</t>
  </si>
  <si>
    <t>42-4-40</t>
  </si>
  <si>
    <t>42-4-41</t>
  </si>
  <si>
    <t>42-4-42</t>
  </si>
  <si>
    <t>42-4-43</t>
  </si>
  <si>
    <t>42-4-44</t>
  </si>
  <si>
    <t>42-4-45</t>
  </si>
  <si>
    <t>42-4-46</t>
  </si>
  <si>
    <t>42-4-47</t>
  </si>
  <si>
    <t>42-4-48</t>
  </si>
  <si>
    <t>42-4-49</t>
  </si>
  <si>
    <t>42-4-5</t>
  </si>
  <si>
    <t>42-4-50</t>
  </si>
  <si>
    <t>42-4-51</t>
  </si>
  <si>
    <t>42-4-52</t>
  </si>
  <si>
    <t>42-4-53</t>
  </si>
  <si>
    <t>42-4-54</t>
  </si>
  <si>
    <t>42-4-55</t>
  </si>
  <si>
    <t>42-4-56</t>
  </si>
  <si>
    <t>42-4-57</t>
  </si>
  <si>
    <t>42-4-58</t>
  </si>
  <si>
    <t>42-4-59</t>
  </si>
  <si>
    <t>42-4-6</t>
  </si>
  <si>
    <t>42-4-60</t>
  </si>
  <si>
    <t>42-4-61</t>
  </si>
  <si>
    <t>42-4-62</t>
  </si>
  <si>
    <t>42-4-63</t>
  </si>
  <si>
    <t>42-4-64</t>
  </si>
  <si>
    <t>42-4-65</t>
  </si>
  <si>
    <t>42-4-66</t>
  </si>
  <si>
    <t>42-4-67</t>
  </si>
  <si>
    <t>42-4-68</t>
  </si>
  <si>
    <t>42-4-69</t>
  </si>
  <si>
    <t>42-4-7</t>
  </si>
  <si>
    <t>42-4-70</t>
  </si>
  <si>
    <t>42-4-71</t>
  </si>
  <si>
    <t>42-4-72</t>
  </si>
  <si>
    <t>42-4-73</t>
  </si>
  <si>
    <t>42-4-74</t>
  </si>
  <si>
    <t>42-4-75</t>
  </si>
  <si>
    <t>42-4-76</t>
  </si>
  <si>
    <t>42-4-77</t>
  </si>
  <si>
    <t>42-4-78</t>
  </si>
  <si>
    <t>42-4-79</t>
  </si>
  <si>
    <t>42-4-8</t>
  </si>
  <si>
    <t>42-4-80</t>
  </si>
  <si>
    <t>42-4-81</t>
  </si>
  <si>
    <t>42-4-82</t>
  </si>
  <si>
    <t>42-4-83</t>
  </si>
  <si>
    <t>42-4-84</t>
  </si>
  <si>
    <t>42-4-85</t>
  </si>
  <si>
    <t>42-4-86</t>
  </si>
  <si>
    <t>42-4-87</t>
  </si>
  <si>
    <t>42-4-88</t>
  </si>
  <si>
    <t>42-4-89</t>
  </si>
  <si>
    <t>42-4-9</t>
  </si>
  <si>
    <t>42-4-90</t>
  </si>
  <si>
    <t>42-4-91</t>
  </si>
  <si>
    <t>42-4-92</t>
  </si>
  <si>
    <t>42-4-93</t>
  </si>
  <si>
    <t>42-4-94</t>
  </si>
  <si>
    <t>42-4-95</t>
  </si>
  <si>
    <t>42-4-96</t>
  </si>
  <si>
    <t>42-4-97</t>
  </si>
  <si>
    <t>42-4-98</t>
  </si>
  <si>
    <t>42-4-99</t>
  </si>
  <si>
    <t>909-4-1</t>
  </si>
  <si>
    <t>909-4-10</t>
  </si>
  <si>
    <t>909-4-11</t>
  </si>
  <si>
    <t>909-4-12</t>
  </si>
  <si>
    <t>909-4-13</t>
  </si>
  <si>
    <t>909-4-14</t>
  </si>
  <si>
    <t>909-4-15</t>
  </si>
  <si>
    <t>909-4-16</t>
  </si>
  <si>
    <t>909-4-17</t>
  </si>
  <si>
    <t>909-4-18</t>
  </si>
  <si>
    <t>909-4-19</t>
  </si>
  <si>
    <t>909-4-2</t>
  </si>
  <si>
    <t>909-4-20</t>
  </si>
  <si>
    <t>909-4-21</t>
  </si>
  <si>
    <t>909-4-22</t>
  </si>
  <si>
    <t>909-4-23</t>
  </si>
  <si>
    <t>909-4-24</t>
  </si>
  <si>
    <t>909-4-25</t>
  </si>
  <si>
    <t>909-4-26</t>
  </si>
  <si>
    <t>909-4-27</t>
  </si>
  <si>
    <t>909-4-3</t>
  </si>
  <si>
    <t>909-4-4</t>
  </si>
  <si>
    <t>909-4-5</t>
  </si>
  <si>
    <t>909-4-6</t>
  </si>
  <si>
    <t>909-4-7</t>
  </si>
  <si>
    <t>909-4-8</t>
  </si>
  <si>
    <t>909-4-9</t>
  </si>
  <si>
    <t>909-5-1</t>
  </si>
  <si>
    <t>909-5-10</t>
  </si>
  <si>
    <t>909-5-11</t>
  </si>
  <si>
    <t>909-5-12</t>
  </si>
  <si>
    <t>909-5-13</t>
  </si>
  <si>
    <t>909-5-14</t>
  </si>
  <si>
    <t>909-5-15</t>
  </si>
  <si>
    <t>909-5-16</t>
  </si>
  <si>
    <t>909-5-17</t>
  </si>
  <si>
    <t>909-5-18</t>
  </si>
  <si>
    <t>909-5-19</t>
  </si>
  <si>
    <t>909-5-2</t>
  </si>
  <si>
    <t>909-5-20</t>
  </si>
  <si>
    <t>909-5-21</t>
  </si>
  <si>
    <t>909-5-22</t>
  </si>
  <si>
    <t>909-5-23</t>
  </si>
  <si>
    <t>909-5-24</t>
  </si>
  <si>
    <t>909-5-25</t>
  </si>
  <si>
    <t>909-5-26</t>
  </si>
  <si>
    <t>909-5-27</t>
  </si>
  <si>
    <t>909-5-28</t>
  </si>
  <si>
    <t>909-5-29</t>
  </si>
  <si>
    <t>909-5-3</t>
  </si>
  <si>
    <t>909-5-30</t>
  </si>
  <si>
    <t>909-5-31</t>
  </si>
  <si>
    <t>909-5-32</t>
  </si>
  <si>
    <t>909-5-33</t>
  </si>
  <si>
    <t>909-5-34</t>
  </si>
  <si>
    <t>909-5-35</t>
  </si>
  <si>
    <t>909-5-36</t>
  </si>
  <si>
    <t>909-5-37</t>
  </si>
  <si>
    <t>909-5-38</t>
  </si>
  <si>
    <t>909-5-39</t>
  </si>
  <si>
    <t>909-5-4</t>
  </si>
  <si>
    <t>909-5-40</t>
  </si>
  <si>
    <t>909-5-5</t>
  </si>
  <si>
    <t>909-5-6</t>
  </si>
  <si>
    <t>909-5-7</t>
  </si>
  <si>
    <t>909-5-8</t>
  </si>
  <si>
    <t>909-5-9</t>
  </si>
  <si>
    <t>909-6-1</t>
  </si>
  <si>
    <t>909-6-10</t>
  </si>
  <si>
    <t>909-6-11</t>
  </si>
  <si>
    <t>909-6-12</t>
  </si>
  <si>
    <t>909-6-13</t>
  </si>
  <si>
    <t>909-6-14</t>
  </si>
  <si>
    <t>909-6-15</t>
  </si>
  <si>
    <t>909-6-16</t>
  </si>
  <si>
    <t>909-6-17</t>
  </si>
  <si>
    <t>909-6-18</t>
  </si>
  <si>
    <t>909-6-19</t>
  </si>
  <si>
    <t>909-6-2</t>
  </si>
  <si>
    <t>909-6-20</t>
  </si>
  <si>
    <t>909-6-21</t>
  </si>
  <si>
    <t>909-6-22</t>
  </si>
  <si>
    <t>909-6-23</t>
  </si>
  <si>
    <t>909-6-24</t>
  </si>
  <si>
    <t>909-6-25</t>
  </si>
  <si>
    <t>909-6-26</t>
  </si>
  <si>
    <t>909-6-27</t>
  </si>
  <si>
    <t>909-6-28</t>
  </si>
  <si>
    <t>909-6-29</t>
  </si>
  <si>
    <t>909-6-3</t>
  </si>
  <si>
    <t>909-6-30</t>
  </si>
  <si>
    <t>909-6-31</t>
  </si>
  <si>
    <t>909-6-32</t>
  </si>
  <si>
    <t>909-6-33</t>
  </si>
  <si>
    <t>909-6-34</t>
  </si>
  <si>
    <t>909-6-35</t>
  </si>
  <si>
    <t>909-6-36</t>
  </si>
  <si>
    <t>909-6-37</t>
  </si>
  <si>
    <t>909-6-38</t>
  </si>
  <si>
    <t>909-6-39</t>
  </si>
  <si>
    <t>909-6-4</t>
  </si>
  <si>
    <t>909-6-40</t>
  </si>
  <si>
    <t>909-6-41</t>
  </si>
  <si>
    <t>909-6-42</t>
  </si>
  <si>
    <t>909-6-43</t>
  </si>
  <si>
    <t>909-6-44</t>
  </si>
  <si>
    <t>909-6-45</t>
  </si>
  <si>
    <t>909-6-46</t>
  </si>
  <si>
    <t>909-6-47</t>
  </si>
  <si>
    <t>909-6-48</t>
  </si>
  <si>
    <t>909-6-49</t>
  </si>
  <si>
    <t>909-6-5</t>
  </si>
  <si>
    <t>ZC</t>
  </si>
  <si>
    <t>?</t>
  </si>
  <si>
    <t>#10</t>
  </si>
  <si>
    <t>#11</t>
  </si>
  <si>
    <t>#12</t>
  </si>
  <si>
    <t>#13</t>
  </si>
  <si>
    <t>#14</t>
  </si>
  <si>
    <t>#15</t>
  </si>
  <si>
    <t>#16</t>
  </si>
  <si>
    <t>#2</t>
  </si>
  <si>
    <t>#5</t>
  </si>
  <si>
    <t>#6</t>
  </si>
  <si>
    <t>#8</t>
  </si>
  <si>
    <t>200-16B-1</t>
  </si>
  <si>
    <t>200-16B-2</t>
  </si>
  <si>
    <t>200-24A</t>
  </si>
  <si>
    <t>909-6-50</t>
  </si>
  <si>
    <t>909-6-51</t>
  </si>
  <si>
    <t>909-6-52</t>
  </si>
  <si>
    <t xml:space="preserve"> Leaf Peel KS 3/20/23</t>
  </si>
  <si>
    <t>102C</t>
  </si>
  <si>
    <t>Leaf Peel DOW 3/20/23</t>
  </si>
  <si>
    <t>909-6-53</t>
  </si>
  <si>
    <t>909-6-54</t>
  </si>
  <si>
    <t>909-6-55</t>
  </si>
  <si>
    <t>909-6-56</t>
  </si>
  <si>
    <t>909-6-57</t>
  </si>
  <si>
    <t>909-6-58</t>
  </si>
  <si>
    <t>909-6-59</t>
  </si>
  <si>
    <t>909-6-6</t>
  </si>
  <si>
    <t>909-6-7</t>
  </si>
  <si>
    <t>909-6-8</t>
  </si>
  <si>
    <t>909-6-9</t>
  </si>
  <si>
    <t>110-5A-3Q</t>
  </si>
  <si>
    <t>110-5A-3R</t>
  </si>
  <si>
    <t>110-5A-3S</t>
  </si>
  <si>
    <t>110-5A-3T</t>
  </si>
  <si>
    <t>110-5A-3U</t>
  </si>
  <si>
    <t>110-5A-3V</t>
  </si>
  <si>
    <t>110-5A-3W</t>
  </si>
  <si>
    <t>110-5A-3X</t>
  </si>
  <si>
    <t>110-5A-3Y</t>
  </si>
  <si>
    <t>110-5A-3Z</t>
  </si>
  <si>
    <t>110-5A-4A</t>
  </si>
  <si>
    <t>110-5A-4I</t>
  </si>
  <si>
    <t>110-5A-4M</t>
  </si>
  <si>
    <t>110-5A-4N</t>
  </si>
  <si>
    <t>110-5A-4Q</t>
  </si>
  <si>
    <t>110-5A-4U</t>
  </si>
  <si>
    <t>110-5A-4V</t>
  </si>
  <si>
    <t>110-5A-4W</t>
  </si>
  <si>
    <t>110-5A-5B</t>
  </si>
  <si>
    <t>110-5A-5C</t>
  </si>
  <si>
    <t>110-5A-5D</t>
  </si>
  <si>
    <t>110-5A-5E</t>
  </si>
  <si>
    <t>110-5A-5G</t>
  </si>
  <si>
    <t>110-5A-5H</t>
  </si>
  <si>
    <t>110-5A-5I</t>
  </si>
  <si>
    <t>110-5A-5J</t>
  </si>
  <si>
    <t>110-5A-5L</t>
  </si>
  <si>
    <t>110-5A-5S</t>
  </si>
  <si>
    <t>110-5A-5T</t>
  </si>
  <si>
    <t>110-5A-5V</t>
  </si>
  <si>
    <t>110-5A-6A</t>
  </si>
  <si>
    <t>110-5A-6F</t>
  </si>
  <si>
    <t>110-5A-6M</t>
  </si>
  <si>
    <t>110-5A-6N</t>
  </si>
  <si>
    <t>110-5A-6O</t>
  </si>
  <si>
    <t>110-5A-6P</t>
  </si>
  <si>
    <t>110-5A-6Q</t>
  </si>
  <si>
    <t>110-5A-6R</t>
  </si>
  <si>
    <t>203-25C-1</t>
  </si>
  <si>
    <t>110-5A-6S</t>
  </si>
  <si>
    <t>110-5A-6T</t>
  </si>
  <si>
    <t>110-5A-6U</t>
  </si>
  <si>
    <t>110-5A-6V</t>
  </si>
  <si>
    <t>110-5A-6W</t>
  </si>
  <si>
    <t>110-5A-6X</t>
  </si>
  <si>
    <t>110-5A-6Y</t>
  </si>
  <si>
    <t>110-5A-6Z</t>
  </si>
  <si>
    <t>110-5A-7A</t>
  </si>
  <si>
    <t>110-5A-7B</t>
  </si>
  <si>
    <t>110-5A-7C</t>
  </si>
  <si>
    <t>110-5A-7D</t>
  </si>
  <si>
    <t>110-5A-7E</t>
  </si>
  <si>
    <t>110-5A-7F</t>
  </si>
  <si>
    <t>110-5A-7G</t>
  </si>
  <si>
    <t>110-5A-7H</t>
  </si>
  <si>
    <t>110-5A-7I</t>
  </si>
  <si>
    <t>110-5A-4B</t>
  </si>
  <si>
    <t>110-5A-4C</t>
  </si>
  <si>
    <t>110-5A-4D</t>
  </si>
  <si>
    <t>110-5A-4E</t>
  </si>
  <si>
    <t>110-5A-4F</t>
  </si>
  <si>
    <t>110-5A-4G</t>
  </si>
  <si>
    <t>110-5A-4H</t>
  </si>
  <si>
    <t>110-5A-4J</t>
  </si>
  <si>
    <t>110-5A-4K</t>
  </si>
  <si>
    <t>110-5A-4L</t>
  </si>
  <si>
    <t>110-5A-4O</t>
  </si>
  <si>
    <t>110-5A-4P</t>
  </si>
  <si>
    <t>110-5A-4R</t>
  </si>
  <si>
    <t>203-25C-2</t>
  </si>
  <si>
    <t>203-25C-3</t>
  </si>
  <si>
    <t>203-29A-6</t>
  </si>
  <si>
    <t>110-5A-4S</t>
  </si>
  <si>
    <t>110-5A-4T</t>
  </si>
  <si>
    <t>110-5A-4X</t>
  </si>
  <si>
    <t>110-5A-4Y</t>
  </si>
  <si>
    <t>110-5A-4Z</t>
  </si>
  <si>
    <t>110-5A-5A</t>
  </si>
  <si>
    <t>110-5A-5F</t>
  </si>
  <si>
    <t>110-5A-5K</t>
  </si>
  <si>
    <t>110-5A-5M</t>
  </si>
  <si>
    <t>110-5A-5N</t>
  </si>
  <si>
    <t>110-5A-5O</t>
  </si>
  <si>
    <t>110-5A-5P</t>
  </si>
  <si>
    <t>110-5A-5Q</t>
  </si>
  <si>
    <t>110-5A-5R</t>
  </si>
  <si>
    <t>110-5A-5U</t>
  </si>
  <si>
    <t>110-5A-5W</t>
  </si>
  <si>
    <t>110-5A-5X</t>
  </si>
  <si>
    <t>110-5A-5Y</t>
  </si>
  <si>
    <t>110-5A-5Z</t>
  </si>
  <si>
    <t>110-5A-6B</t>
  </si>
  <si>
    <t>110-5A-6C</t>
  </si>
  <si>
    <t>110-5A-6D</t>
  </si>
  <si>
    <t>110-5A-6E</t>
  </si>
  <si>
    <t>110-5A-6G</t>
  </si>
  <si>
    <t>110-5A-6H</t>
  </si>
  <si>
    <t>110-5A-6I</t>
  </si>
  <si>
    <t>110-5A-6J</t>
  </si>
  <si>
    <t>110-5A-6K</t>
  </si>
  <si>
    <t>84-1L RL2L-1</t>
  </si>
  <si>
    <t>84-1L RL2L-2</t>
  </si>
  <si>
    <t>203-29A-7</t>
  </si>
  <si>
    <t>203-4B-1B</t>
  </si>
  <si>
    <t>84-1L-3</t>
  </si>
  <si>
    <t>110-5A-6L</t>
  </si>
  <si>
    <t>106-150A-4B</t>
  </si>
  <si>
    <t>C10</t>
  </si>
  <si>
    <t>C11</t>
  </si>
  <si>
    <t>C15</t>
  </si>
  <si>
    <t>C16</t>
  </si>
  <si>
    <t>C17</t>
  </si>
  <si>
    <t>C18</t>
  </si>
  <si>
    <t>C19</t>
  </si>
  <si>
    <t>C22</t>
  </si>
  <si>
    <t>C25</t>
  </si>
  <si>
    <t>200-3C-4B</t>
  </si>
  <si>
    <t>AB2</t>
  </si>
  <si>
    <t>AC2</t>
  </si>
  <si>
    <t>C35</t>
  </si>
  <si>
    <t>C38</t>
  </si>
  <si>
    <t>C42</t>
  </si>
  <si>
    <t>AD2</t>
  </si>
  <si>
    <t>AE2</t>
  </si>
  <si>
    <t>AF2</t>
  </si>
  <si>
    <t>AG2</t>
  </si>
  <si>
    <t>C44</t>
  </si>
  <si>
    <t>AH2</t>
  </si>
  <si>
    <t>C45</t>
  </si>
  <si>
    <t>106-36A-33A</t>
  </si>
  <si>
    <t>C46</t>
  </si>
  <si>
    <t>C47</t>
  </si>
  <si>
    <t>C48</t>
  </si>
  <si>
    <t>C5</t>
  </si>
  <si>
    <t>C51</t>
  </si>
  <si>
    <t>C55</t>
  </si>
  <si>
    <t>AI2</t>
  </si>
  <si>
    <t>D11</t>
  </si>
  <si>
    <t>AJ2</t>
  </si>
  <si>
    <t>AK2</t>
  </si>
  <si>
    <t>AL2</t>
  </si>
  <si>
    <t>AM2</t>
  </si>
  <si>
    <t>AN2</t>
  </si>
  <si>
    <t>AO2</t>
  </si>
  <si>
    <t>AP2</t>
  </si>
  <si>
    <t>AQ2</t>
  </si>
  <si>
    <t>109-19A-24</t>
  </si>
  <si>
    <t>D53</t>
  </si>
  <si>
    <t>D7</t>
  </si>
  <si>
    <t>D8</t>
  </si>
  <si>
    <t>D9</t>
  </si>
  <si>
    <t>E10</t>
  </si>
  <si>
    <t>AR2</t>
  </si>
  <si>
    <t>AS2</t>
  </si>
  <si>
    <t>E11</t>
  </si>
  <si>
    <t>E15</t>
  </si>
  <si>
    <t>E17</t>
  </si>
  <si>
    <t>E29</t>
  </si>
  <si>
    <t>E3</t>
  </si>
  <si>
    <t>AT2</t>
  </si>
  <si>
    <t>AU2</t>
  </si>
  <si>
    <t>AV2</t>
  </si>
  <si>
    <t>AW2</t>
  </si>
  <si>
    <t>AX2</t>
  </si>
  <si>
    <t>E30</t>
  </si>
  <si>
    <t>E33</t>
  </si>
  <si>
    <t>E35</t>
  </si>
  <si>
    <t>E36</t>
  </si>
  <si>
    <t>E41</t>
  </si>
  <si>
    <t>E42</t>
  </si>
  <si>
    <t>E43</t>
  </si>
  <si>
    <t>F1</t>
  </si>
  <si>
    <t>F10</t>
  </si>
  <si>
    <t>F12</t>
  </si>
  <si>
    <t>F13</t>
  </si>
  <si>
    <t>F14</t>
  </si>
  <si>
    <t>F19</t>
  </si>
  <si>
    <t>F2</t>
  </si>
  <si>
    <t>F20</t>
  </si>
  <si>
    <t>F25</t>
  </si>
  <si>
    <t>F26</t>
  </si>
  <si>
    <t>F27</t>
  </si>
  <si>
    <t>F28</t>
  </si>
  <si>
    <t>F29</t>
  </si>
  <si>
    <t>F30</t>
  </si>
  <si>
    <t>F31</t>
  </si>
  <si>
    <t>AY2</t>
  </si>
  <si>
    <t>AZ2</t>
  </si>
  <si>
    <t>F35</t>
  </si>
  <si>
    <t>F36</t>
  </si>
  <si>
    <t>F5</t>
  </si>
  <si>
    <t>BA2</t>
  </si>
  <si>
    <t>BB2</t>
  </si>
  <si>
    <t>BC2</t>
  </si>
  <si>
    <t>BD2</t>
  </si>
  <si>
    <t>F6</t>
  </si>
  <si>
    <t>BE2</t>
  </si>
  <si>
    <t>F7</t>
  </si>
  <si>
    <t>F8</t>
  </si>
  <si>
    <t>BF2</t>
  </si>
  <si>
    <t>BG2</t>
  </si>
  <si>
    <t>BH2</t>
  </si>
  <si>
    <t>BI2</t>
  </si>
  <si>
    <t>BJ2</t>
  </si>
  <si>
    <t>BK2</t>
  </si>
  <si>
    <t>BL2</t>
  </si>
  <si>
    <t>BM2</t>
  </si>
  <si>
    <t>BN2</t>
  </si>
  <si>
    <t>BO2</t>
  </si>
  <si>
    <t>BP2</t>
  </si>
  <si>
    <t>203-6B-1</t>
  </si>
  <si>
    <t>84-4G-4</t>
  </si>
  <si>
    <t>110-5A-1O</t>
  </si>
  <si>
    <t>110-5A-1Y</t>
  </si>
  <si>
    <t>84-5C</t>
  </si>
  <si>
    <t>H</t>
  </si>
  <si>
    <t>27-2</t>
  </si>
  <si>
    <t>27-2-1</t>
  </si>
  <si>
    <t>27-2-2</t>
  </si>
  <si>
    <t>G1</t>
  </si>
  <si>
    <t>G16</t>
  </si>
  <si>
    <t>G2</t>
  </si>
  <si>
    <t>G21</t>
  </si>
  <si>
    <t>G24</t>
  </si>
  <si>
    <t>G26</t>
  </si>
  <si>
    <t>G29</t>
  </si>
  <si>
    <t>G30</t>
  </si>
  <si>
    <t>G31</t>
  </si>
  <si>
    <t>G33</t>
  </si>
  <si>
    <t>G35</t>
  </si>
  <si>
    <t>G36</t>
  </si>
  <si>
    <t>G37</t>
  </si>
  <si>
    <t>G38</t>
  </si>
  <si>
    <t>G4</t>
  </si>
  <si>
    <t>G40</t>
  </si>
  <si>
    <t>G41</t>
  </si>
  <si>
    <t>5B-1</t>
  </si>
  <si>
    <t>5B-2</t>
  </si>
  <si>
    <t>5B-3</t>
  </si>
  <si>
    <t>5B-4</t>
  </si>
  <si>
    <t>8B-1</t>
  </si>
  <si>
    <t>8B-10</t>
  </si>
  <si>
    <t>8B-11</t>
  </si>
  <si>
    <t>8B-12</t>
  </si>
  <si>
    <t>8B-13</t>
  </si>
  <si>
    <t>8B-14</t>
  </si>
  <si>
    <t>8B-15</t>
  </si>
  <si>
    <t>8B-16</t>
  </si>
  <si>
    <t>8B-17</t>
  </si>
  <si>
    <t>G42</t>
  </si>
  <si>
    <t>G43</t>
  </si>
  <si>
    <t>G46</t>
  </si>
  <si>
    <t>G47</t>
  </si>
  <si>
    <t>G5</t>
  </si>
  <si>
    <t>G50</t>
  </si>
  <si>
    <t>G51</t>
  </si>
  <si>
    <t>G52</t>
  </si>
  <si>
    <t>G53</t>
  </si>
  <si>
    <t>G55</t>
  </si>
  <si>
    <t>G56</t>
  </si>
  <si>
    <t>G57</t>
  </si>
  <si>
    <t>G58</t>
  </si>
  <si>
    <t>G60</t>
  </si>
  <si>
    <t>G7</t>
  </si>
  <si>
    <t>H20</t>
  </si>
  <si>
    <t>H22</t>
  </si>
  <si>
    <t>H26</t>
  </si>
  <si>
    <t>H27</t>
  </si>
  <si>
    <t>H28</t>
  </si>
  <si>
    <t>H29</t>
  </si>
  <si>
    <t>H32</t>
  </si>
  <si>
    <t>H33</t>
  </si>
  <si>
    <t>H34</t>
  </si>
  <si>
    <t>H35</t>
  </si>
  <si>
    <t>8B-18</t>
  </si>
  <si>
    <t>H36</t>
  </si>
  <si>
    <t>H38</t>
  </si>
  <si>
    <t>H39</t>
  </si>
  <si>
    <t>H42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</si>
  <si>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</si>
  <si>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</si>
  <si>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</si>
  <si>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</si>
  <si>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</si>
  <si>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</si>
  <si>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</si>
  <si>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</si>
  <si>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</si>
  <si>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</si>
  <si>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H57</t>
  </si>
  <si>
    <t>H58</t>
  </si>
  <si>
    <t>H59</t>
  </si>
  <si>
    <t>H60</t>
  </si>
  <si>
    <t>102-B</t>
  </si>
  <si>
    <t>121B</t>
  </si>
  <si>
    <t>121C</t>
  </si>
  <si>
    <t>121D</t>
  </si>
  <si>
    <t>121H</t>
  </si>
  <si>
    <t>121I</t>
  </si>
  <si>
    <t>121L</t>
  </si>
  <si>
    <t>121P</t>
  </si>
  <si>
    <t>121U</t>
  </si>
  <si>
    <t>121V</t>
  </si>
  <si>
    <t>121W</t>
  </si>
  <si>
    <t>121X</t>
  </si>
  <si>
    <t>121Y</t>
  </si>
  <si>
    <t>121Z</t>
  </si>
  <si>
    <t>122A</t>
  </si>
  <si>
    <t>122B</t>
  </si>
  <si>
    <t>A10</t>
  </si>
  <si>
    <t>A13</t>
  </si>
  <si>
    <t>A14</t>
  </si>
  <si>
    <t>A19</t>
  </si>
  <si>
    <t>TM peel, dark septate endophyte</t>
  </si>
  <si>
    <t>A22</t>
  </si>
  <si>
    <t>A23</t>
  </si>
  <si>
    <t>A25</t>
  </si>
  <si>
    <t>A28</t>
  </si>
  <si>
    <t>A3</t>
  </si>
  <si>
    <t>A42</t>
  </si>
  <si>
    <t>A5</t>
  </si>
  <si>
    <t>A6</t>
  </si>
  <si>
    <t>A8</t>
  </si>
  <si>
    <t>B18</t>
  </si>
  <si>
    <t>B19</t>
  </si>
  <si>
    <t>B20</t>
  </si>
  <si>
    <t>B23</t>
  </si>
  <si>
    <t>B24</t>
  </si>
  <si>
    <t>B25</t>
  </si>
  <si>
    <t>B26</t>
  </si>
  <si>
    <t>B28</t>
  </si>
  <si>
    <t>B4</t>
  </si>
  <si>
    <t>B41</t>
  </si>
  <si>
    <t>B42</t>
  </si>
  <si>
    <t>B43</t>
  </si>
  <si>
    <t>B45</t>
  </si>
  <si>
    <t>B49</t>
  </si>
  <si>
    <t>B51</t>
  </si>
  <si>
    <t xml:space="preserve">co peel </t>
  </si>
  <si>
    <t>B52</t>
  </si>
  <si>
    <t>B54</t>
  </si>
  <si>
    <t>B56</t>
  </si>
  <si>
    <t>B59</t>
  </si>
  <si>
    <t>B6</t>
  </si>
  <si>
    <t>B7</t>
  </si>
  <si>
    <t>B70</t>
  </si>
  <si>
    <t>C1</t>
  </si>
  <si>
    <t>C12</t>
  </si>
  <si>
    <t>C13</t>
  </si>
  <si>
    <t>C14</t>
  </si>
  <si>
    <t>C2</t>
  </si>
  <si>
    <t>C28</t>
  </si>
  <si>
    <t>C29</t>
  </si>
  <si>
    <t>C3</t>
  </si>
  <si>
    <t>C4</t>
  </si>
  <si>
    <t>C40</t>
  </si>
  <si>
    <t>C41</t>
  </si>
  <si>
    <t>C43</t>
  </si>
  <si>
    <t>C49</t>
  </si>
  <si>
    <t>C50</t>
  </si>
  <si>
    <t>C52</t>
  </si>
  <si>
    <t>C53</t>
  </si>
  <si>
    <t>C54</t>
  </si>
  <si>
    <t>C57</t>
  </si>
  <si>
    <t>C58</t>
  </si>
  <si>
    <t>C60</t>
  </si>
  <si>
    <t>C61</t>
  </si>
  <si>
    <t>D20</t>
  </si>
  <si>
    <t>D21</t>
  </si>
  <si>
    <t>D24</t>
  </si>
  <si>
    <t>D32</t>
  </si>
  <si>
    <t>D35</t>
  </si>
  <si>
    <t>E1</t>
  </si>
  <si>
    <t>E12</t>
  </si>
  <si>
    <t>D39</t>
  </si>
  <si>
    <t>D40</t>
  </si>
  <si>
    <t>D41</t>
  </si>
  <si>
    <t>D42</t>
  </si>
  <si>
    <t>D43</t>
  </si>
  <si>
    <t>D44</t>
  </si>
  <si>
    <t>D45</t>
  </si>
  <si>
    <t>B-1</t>
  </si>
  <si>
    <t>A-24</t>
  </si>
  <si>
    <t>E18</t>
  </si>
  <si>
    <t>E19</t>
  </si>
  <si>
    <t>E22</t>
  </si>
  <si>
    <t>E24</t>
  </si>
  <si>
    <t>E26</t>
  </si>
  <si>
    <t>E27</t>
  </si>
  <si>
    <t>E31</t>
  </si>
  <si>
    <t>E6</t>
  </si>
  <si>
    <t>E7</t>
  </si>
  <si>
    <t>B-26</t>
  </si>
  <si>
    <t>B-27</t>
  </si>
  <si>
    <t>B-32</t>
  </si>
  <si>
    <t>A15</t>
  </si>
  <si>
    <t>A16</t>
  </si>
  <si>
    <t>A17</t>
  </si>
  <si>
    <t>A20</t>
  </si>
  <si>
    <t>A29</t>
  </si>
  <si>
    <t>B2</t>
  </si>
  <si>
    <t>B27</t>
  </si>
  <si>
    <t>B29</t>
  </si>
  <si>
    <t>B3</t>
  </si>
  <si>
    <t>B44</t>
  </si>
  <si>
    <t>ks LEAF PEEL</t>
  </si>
  <si>
    <t>28-1-1</t>
  </si>
  <si>
    <t>CO Leaf Peel</t>
  </si>
  <si>
    <t>28-1-2</t>
  </si>
  <si>
    <t>28-1-3</t>
  </si>
  <si>
    <t xml:space="preserve">Species </t>
  </si>
  <si>
    <t xml:space="preserve">Population </t>
  </si>
  <si>
    <t>ID (if applicable)</t>
  </si>
  <si>
    <t>Endophte Status</t>
  </si>
  <si>
    <t>Date Plated</t>
  </si>
  <si>
    <t>Cold Room End</t>
  </si>
  <si>
    <t>Number of Seeds</t>
  </si>
  <si>
    <t xml:space="preserve">SJC </t>
  </si>
  <si>
    <t>134-4</t>
  </si>
  <si>
    <t>E+</t>
  </si>
  <si>
    <t xml:space="preserve">Seed plating metadata </t>
  </si>
  <si>
    <t>134-6</t>
  </si>
  <si>
    <t>E-</t>
  </si>
  <si>
    <t>237-4</t>
  </si>
  <si>
    <t>E+/-</t>
  </si>
  <si>
    <t>211-8</t>
  </si>
  <si>
    <t>237-2</t>
  </si>
  <si>
    <t>211-9</t>
  </si>
  <si>
    <t>40-1</t>
  </si>
  <si>
    <t>215-5</t>
  </si>
  <si>
    <t>234-3</t>
  </si>
  <si>
    <t>34-2</t>
  </si>
  <si>
    <t>26-5</t>
  </si>
  <si>
    <t>242-5</t>
  </si>
  <si>
    <t>TOTAL SEEDS=</t>
  </si>
  <si>
    <t>24-4</t>
  </si>
  <si>
    <t>207-7</t>
  </si>
  <si>
    <t>E- heat</t>
  </si>
  <si>
    <t>31-4</t>
  </si>
  <si>
    <t>28-1</t>
  </si>
  <si>
    <t>28-2</t>
  </si>
  <si>
    <t>84-11E RL2M</t>
  </si>
  <si>
    <t>84-10 RL2J</t>
  </si>
  <si>
    <t>201-16B RL2J</t>
  </si>
  <si>
    <t xml:space="preserve">TOTAL SEEDS= </t>
  </si>
  <si>
    <t>84-1L RL2L</t>
  </si>
  <si>
    <t>80-8B RL2M</t>
  </si>
  <si>
    <t>Targets</t>
  </si>
  <si>
    <t>200-3L RL2L</t>
  </si>
  <si>
    <t>E-(?)</t>
  </si>
  <si>
    <t>200-3B RL2K</t>
  </si>
  <si>
    <t>203-21A RL2I</t>
  </si>
  <si>
    <t>200-6D RL2L</t>
  </si>
  <si>
    <t>200-24-J RL2J</t>
  </si>
  <si>
    <t>200-23B RL2J</t>
  </si>
  <si>
    <t>201-29B RL2K</t>
  </si>
  <si>
    <t>201-16B RLSJ</t>
  </si>
  <si>
    <t>Heat Treated</t>
  </si>
  <si>
    <t>Control</t>
  </si>
  <si>
    <t>200-15F</t>
  </si>
  <si>
    <t>200-16B</t>
  </si>
  <si>
    <t>200-18C</t>
  </si>
  <si>
    <t>201-15A</t>
  </si>
  <si>
    <t>E+ con</t>
  </si>
  <si>
    <t>203-29A</t>
  </si>
  <si>
    <t>E- Con</t>
  </si>
  <si>
    <t>203-9A-2B</t>
  </si>
  <si>
    <t>202-1A</t>
  </si>
  <si>
    <t>E- Heat</t>
  </si>
  <si>
    <t>203-26A</t>
  </si>
  <si>
    <t>203-6B</t>
  </si>
  <si>
    <t>201-6A</t>
  </si>
  <si>
    <t>203-25C</t>
  </si>
  <si>
    <t>203-8C</t>
  </si>
  <si>
    <t>134-5</t>
  </si>
  <si>
    <t>211-10</t>
  </si>
  <si>
    <t xml:space="preserve">E+/- </t>
  </si>
  <si>
    <t>35-1</t>
  </si>
  <si>
    <t>26-8</t>
  </si>
  <si>
    <t>215-3</t>
  </si>
  <si>
    <t>E+/- heat</t>
  </si>
  <si>
    <t>225-1</t>
  </si>
  <si>
    <t>2019-1</t>
  </si>
  <si>
    <t>2019-2</t>
  </si>
  <si>
    <t>242-2</t>
  </si>
  <si>
    <t>28-3</t>
  </si>
  <si>
    <t>225-5</t>
  </si>
  <si>
    <t>COUNTA of INDIVIDUAL ID</t>
  </si>
  <si>
    <t>COUNTA of Clone ID</t>
  </si>
  <si>
    <t>COUNTA of PopIndCloneEndo</t>
  </si>
  <si>
    <t xml:space="preserve"> Total</t>
  </si>
  <si>
    <t>NA</t>
  </si>
  <si>
    <t>COHR Total</t>
  </si>
  <si>
    <t>LPEF Total</t>
  </si>
  <si>
    <t>SJC Total</t>
  </si>
  <si>
    <t>AGHY Total</t>
  </si>
  <si>
    <t>HUNT Total</t>
  </si>
  <si>
    <t>JLP Total</t>
  </si>
  <si>
    <t>PALM Total</t>
  </si>
  <si>
    <t>RL5 Total</t>
  </si>
  <si>
    <t>SHS Total</t>
  </si>
  <si>
    <t>ELVI Total</t>
  </si>
  <si>
    <t>LA1 Total</t>
  </si>
  <si>
    <t>LA2 Total</t>
  </si>
  <si>
    <t>LA7 Total</t>
  </si>
  <si>
    <t>MS7 Total</t>
  </si>
  <si>
    <t>SFAEF Total</t>
  </si>
  <si>
    <t>ZC Total</t>
  </si>
  <si>
    <t>POAU Total</t>
  </si>
  <si>
    <t>Grand Total</t>
  </si>
  <si>
    <t>E+ Con Total</t>
  </si>
  <si>
    <t>E+/- Heat Total</t>
  </si>
  <si>
    <t>Palm</t>
  </si>
  <si>
    <t>? Total</t>
  </si>
  <si>
    <t>E16-AA</t>
  </si>
  <si>
    <t>106-36A-24-AA</t>
  </si>
  <si>
    <t>D27-AA</t>
  </si>
  <si>
    <t>C32-AA</t>
  </si>
  <si>
    <t>281B-AX</t>
  </si>
  <si>
    <t>143-AI</t>
  </si>
  <si>
    <t>109-19A-25-AT</t>
  </si>
  <si>
    <t>F9-AA</t>
  </si>
  <si>
    <t>106-36A-24-AB</t>
  </si>
  <si>
    <t>143-AJ</t>
  </si>
  <si>
    <t>110-2A-13D-AA</t>
  </si>
  <si>
    <t>E15-AA</t>
  </si>
  <si>
    <t>106-36A-24-AI</t>
  </si>
  <si>
    <t>C6-AB</t>
  </si>
  <si>
    <t xml:space="preserve">C32 </t>
  </si>
  <si>
    <t>98-AG</t>
  </si>
  <si>
    <t>143-AD</t>
  </si>
  <si>
    <t>110-44L-10-AL</t>
  </si>
  <si>
    <t>E15-AB</t>
  </si>
  <si>
    <t>D23-AA</t>
  </si>
  <si>
    <t>218D-AQ</t>
  </si>
  <si>
    <t>143-AL</t>
  </si>
  <si>
    <t>110-44L-2-AF</t>
  </si>
  <si>
    <t>143-AG</t>
  </si>
  <si>
    <t>110-2A-22-AH</t>
  </si>
  <si>
    <t>203-9A-AT</t>
  </si>
  <si>
    <t>201-30B-6-AD</t>
  </si>
  <si>
    <t>201-29A-BE</t>
  </si>
  <si>
    <t>84-5G-63-AY</t>
  </si>
  <si>
    <t>616-BE</t>
  </si>
  <si>
    <t>1245-BF</t>
  </si>
  <si>
    <t>203-7A-BA</t>
  </si>
  <si>
    <t>201-30B-6-AZ</t>
  </si>
  <si>
    <t>201-29B-4-AD</t>
  </si>
  <si>
    <t>B-111</t>
  </si>
  <si>
    <t>712-BV</t>
  </si>
  <si>
    <t>203-9A-AX</t>
  </si>
  <si>
    <t>201-30B-6-BP</t>
  </si>
  <si>
    <t>201-29B-BS</t>
  </si>
  <si>
    <t>84-5G-43-A</t>
  </si>
  <si>
    <t>B-89</t>
  </si>
  <si>
    <t>1-AG</t>
  </si>
  <si>
    <t>203-7A-AD</t>
  </si>
  <si>
    <t>201-30B-6-BO</t>
  </si>
  <si>
    <t>200-24A-BI</t>
  </si>
  <si>
    <t>84-5G-43-B</t>
  </si>
  <si>
    <t>B-82</t>
  </si>
  <si>
    <t>4-AG</t>
  </si>
  <si>
    <t>203-9A-AS</t>
  </si>
  <si>
    <t>201-30B-6-BW</t>
  </si>
  <si>
    <t>201-29B-BD</t>
  </si>
  <si>
    <t>872-CY</t>
  </si>
  <si>
    <t>712-BQ</t>
  </si>
  <si>
    <t>35-1-32-AA</t>
  </si>
  <si>
    <t>242-7-6V-AV</t>
  </si>
  <si>
    <t>211-10-88-AA</t>
  </si>
  <si>
    <t>35-1-17-AA</t>
  </si>
  <si>
    <t>242-7-6V-DU</t>
  </si>
  <si>
    <t>35-1-20-AA</t>
  </si>
  <si>
    <t>35-1-28-AA</t>
  </si>
  <si>
    <t>35-1-14-AA</t>
  </si>
  <si>
    <t>215-1-15-CP</t>
  </si>
  <si>
    <t>Set up 10 Apr 2023</t>
  </si>
  <si>
    <t>As of 9 Aug 2023: No seeds for highlighted cells</t>
  </si>
  <si>
    <t>SHS and HUNT are the same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</si>
</sst>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yyyy\-m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sz val="10.0"/>
      <color theme="1"/>
      <name val="Helvetica Neue"/>
    </font>
    <font>
      <b/>
      <color theme="1"/>
      <name val="Arial"/>
    </font>
    <font>
      <color theme="1"/>
      <name val="Arial"/>
    </font>
    <font/>
    <font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E2EFDA"/>
        <bgColor rgb="FFE2EFDA"/>
      </patternFill>
    </fill>
    <fill>
      <patternFill patternType="solid">
        <fgColor rgb="FFA8D08D"/>
        <bgColor rgb="FFA8D08D"/>
      </patternFill>
    </fill>
    <fill>
      <patternFill patternType="solid">
        <fgColor rgb="FFA9D08E"/>
        <bgColor rgb="FFA9D08E"/>
      </patternFill>
    </fill>
    <fill>
      <patternFill patternType="solid">
        <fgColor rgb="FFB7B7B7"/>
        <bgColor rgb="FFB7B7B7"/>
      </patternFill>
    </fill>
  </fills>
  <borders count="37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  <top style="thin">
        <color rgb="FF000000"/>
      </top>
    </border>
    <border>
      <left style="thin">
        <color rgb="FFFFFFFF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2" fontId="6" numFmtId="0" xfId="0" applyAlignment="1" applyFill="1" applyFont="1">
      <alignment horizontal="center"/>
    </xf>
    <xf borderId="0" fillId="2" fontId="7" numFmtId="0" xfId="0" applyAlignment="1" applyFont="1">
      <alignment horizontal="center"/>
    </xf>
    <xf borderId="0" fillId="3" fontId="7" numFmtId="0" xfId="0" applyAlignment="1" applyFill="1" applyFont="1">
      <alignment horizontal="center"/>
    </xf>
    <xf borderId="0" fillId="4" fontId="7" numFmtId="0" xfId="0" applyAlignment="1" applyFill="1" applyFont="1">
      <alignment horizont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6" fontId="1" numFmtId="49" xfId="0" applyAlignment="1" applyBorder="1" applyFont="1" applyNumberFormat="1">
      <alignment horizontal="center"/>
    </xf>
    <xf borderId="1" fillId="0" fontId="1" numFmtId="1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0" fillId="2" fontId="3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3" fontId="2" numFmtId="0" xfId="0" applyFont="1"/>
    <xf borderId="1" fillId="6" fontId="1" numFmtId="0" xfId="0" applyBorder="1" applyFont="1"/>
    <xf borderId="0" fillId="5" fontId="3" numFmtId="0" xfId="0" applyAlignment="1" applyFont="1">
      <alignment horizontal="center"/>
    </xf>
    <xf borderId="0" fillId="2" fontId="2" numFmtId="0" xfId="0" applyFont="1"/>
    <xf borderId="0" fillId="4" fontId="2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3" numFmtId="14" xfId="0" applyFont="1" applyNumberFormat="1"/>
    <xf borderId="0" fillId="0" fontId="8" numFmtId="0" xfId="0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1" fillId="7" fontId="3" numFmtId="0" xfId="0" applyBorder="1" applyFill="1" applyFont="1"/>
    <xf borderId="6" fillId="7" fontId="3" numFmtId="3" xfId="0" applyBorder="1" applyFont="1" applyNumberFormat="1"/>
    <xf borderId="1" fillId="8" fontId="3" numFmtId="0" xfId="0" applyBorder="1" applyFill="1" applyFont="1"/>
    <xf borderId="6" fillId="8" fontId="3" numFmtId="0" xfId="0" applyBorder="1" applyFont="1"/>
    <xf borderId="1" fillId="9" fontId="3" numFmtId="0" xfId="0" applyBorder="1" applyFill="1" applyFont="1"/>
    <xf borderId="6" fillId="9" fontId="3" numFmtId="0" xfId="0" applyBorder="1" applyFont="1"/>
    <xf borderId="6" fillId="10" fontId="1" numFmtId="0" xfId="0" applyBorder="1" applyFill="1" applyFont="1"/>
    <xf borderId="1" fillId="11" fontId="3" numFmtId="0" xfId="0" applyBorder="1" applyFill="1" applyFont="1"/>
    <xf borderId="6" fillId="11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10" fontId="1" numFmtId="0" xfId="0" applyBorder="1" applyFont="1"/>
    <xf borderId="11" fillId="11" fontId="3" numFmtId="0" xfId="0" applyBorder="1" applyFont="1"/>
    <xf borderId="0" fillId="0" fontId="3" numFmtId="3" xfId="0" applyFont="1" applyNumberFormat="1"/>
    <xf borderId="12" fillId="0" fontId="3" numFmtId="0" xfId="0" applyBorder="1" applyFont="1"/>
    <xf borderId="0" fillId="0" fontId="3" numFmtId="4" xfId="0" applyFont="1" applyNumberFormat="1"/>
    <xf quotePrefix="1" borderId="0" fillId="0" fontId="3" numFmtId="0" xfId="0" applyFont="1"/>
    <xf borderId="0" fillId="0" fontId="1" numFmtId="14" xfId="0" applyFont="1" applyNumberFormat="1"/>
    <xf borderId="0" fillId="0" fontId="9" numFmtId="0" xfId="0" applyFont="1"/>
    <xf borderId="0" fillId="0" fontId="1" numFmtId="16" xfId="0" applyFont="1" applyNumberFormat="1"/>
    <xf borderId="0" fillId="0" fontId="1" numFmtId="165" xfId="0" applyFont="1" applyNumberFormat="1"/>
    <xf borderId="0" fillId="0" fontId="2" numFmtId="0" xfId="0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31" fillId="0" fontId="1" numFmtId="0" xfId="0" applyBorder="1" applyFont="1"/>
    <xf borderId="32" fillId="0" fontId="1" numFmtId="0" xfId="0" applyBorder="1" applyFont="1"/>
    <xf borderId="33" fillId="0" fontId="10" numFmtId="0" xfId="0" applyAlignment="1" applyBorder="1" applyFont="1">
      <alignment vertical="bottom"/>
    </xf>
    <xf borderId="20" fillId="0" fontId="11" numFmtId="0" xfId="0" applyAlignment="1" applyBorder="1" applyFont="1">
      <alignment horizontal="center" vertical="bottom"/>
    </xf>
    <xf borderId="21" fillId="0" fontId="12" numFmtId="0" xfId="0" applyBorder="1" applyFont="1"/>
    <xf borderId="34" fillId="0" fontId="11" numFmtId="0" xfId="0" applyAlignment="1" applyBorder="1" applyFont="1">
      <alignment vertical="bottom"/>
    </xf>
    <xf borderId="35" fillId="0" fontId="11" numFmtId="0" xfId="0" applyAlignment="1" applyBorder="1" applyFont="1">
      <alignment vertical="bottom"/>
    </xf>
    <xf borderId="35" fillId="6" fontId="11" numFmtId="0" xfId="0" applyAlignment="1" applyBorder="1" applyFont="1">
      <alignment vertical="bottom"/>
    </xf>
    <xf borderId="34" fillId="0" fontId="11" numFmtId="0" xfId="0" applyAlignment="1" applyBorder="1" applyFont="1">
      <alignment horizontal="right" vertical="bottom"/>
    </xf>
    <xf borderId="35" fillId="12" fontId="11" numFmtId="0" xfId="0" applyAlignment="1" applyBorder="1" applyFill="1" applyFont="1">
      <alignment readingOrder="0" vertical="bottom"/>
    </xf>
    <xf borderId="35" fillId="12" fontId="11" numFmtId="0" xfId="0" applyAlignment="1" applyBorder="1" applyFont="1">
      <alignment vertical="bottom"/>
    </xf>
    <xf borderId="35" fillId="0" fontId="11" numFmtId="0" xfId="0" applyAlignment="1" applyBorder="1" applyFont="1">
      <alignment readingOrder="0" vertical="bottom"/>
    </xf>
    <xf borderId="34" fillId="0" fontId="10" numFmtId="0" xfId="0" applyAlignment="1" applyBorder="1" applyFont="1">
      <alignment vertical="bottom"/>
    </xf>
    <xf borderId="36" fillId="0" fontId="11" numFmtId="0" xfId="0" applyAlignment="1" applyBorder="1" applyFont="1">
      <alignment horizontal="center" vertical="bottom"/>
    </xf>
    <xf borderId="35" fillId="0" fontId="12" numFmtId="0" xfId="0" applyBorder="1" applyFont="1"/>
    <xf borderId="35" fillId="0" fontId="11" numFmtId="49" xfId="0" applyAlignment="1" applyBorder="1" applyFont="1" applyNumberFormat="1">
      <alignment readingOrder="0" vertical="bottom"/>
    </xf>
    <xf borderId="35" fillId="0" fontId="11" numFmtId="49" xfId="0" applyAlignment="1" applyBorder="1" applyFont="1" applyNumberFormat="1">
      <alignment vertical="bottom"/>
    </xf>
    <xf borderId="0" fillId="0" fontId="13" numFmtId="0" xfId="0" applyFont="1"/>
    <xf borderId="0" fillId="6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95250</xdr:colOff>
      <xdr:row>2705</xdr:row>
      <xdr:rowOff>0</xdr:rowOff>
    </xdr:from>
    <xdr:ext cx="361950" cy="485775"/>
    <xdr:sp>
      <xdr:nvSpPr>
        <xdr:cNvPr id="3" name="Shape 3"/>
        <xdr:cNvSpPr/>
      </xdr:nvSpPr>
      <xdr:spPr>
        <a:xfrm>
          <a:off x="5169788" y="3541875"/>
          <a:ext cx="352425" cy="476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sz="140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33</xdr:col>
      <xdr:colOff>95250</xdr:colOff>
      <xdr:row>1845</xdr:row>
      <xdr:rowOff>0</xdr:rowOff>
    </xdr:from>
    <xdr:ext cx="361950" cy="485775"/>
    <xdr:sp>
      <xdr:nvSpPr>
        <xdr:cNvPr id="3" name="Shape 3"/>
        <xdr:cNvSpPr/>
      </xdr:nvSpPr>
      <xdr:spPr>
        <a:xfrm>
          <a:off x="5169788" y="3541875"/>
          <a:ext cx="352425" cy="476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sz="140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32</xdr:col>
      <xdr:colOff>104775</xdr:colOff>
      <xdr:row>2187</xdr:row>
      <xdr:rowOff>0</xdr:rowOff>
    </xdr:from>
    <xdr:ext cx="361950" cy="485775"/>
    <xdr:sp>
      <xdr:nvSpPr>
        <xdr:cNvPr id="3" name="Shape 3"/>
        <xdr:cNvSpPr/>
      </xdr:nvSpPr>
      <xdr:spPr>
        <a:xfrm>
          <a:off x="5169788" y="3541875"/>
          <a:ext cx="352425" cy="476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sz="140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32</xdr:col>
      <xdr:colOff>104775</xdr:colOff>
      <xdr:row>844</xdr:row>
      <xdr:rowOff>0</xdr:rowOff>
    </xdr:from>
    <xdr:ext cx="361950" cy="485775"/>
    <xdr:sp>
      <xdr:nvSpPr>
        <xdr:cNvPr id="3" name="Shape 3"/>
        <xdr:cNvSpPr/>
      </xdr:nvSpPr>
      <xdr:spPr>
        <a:xfrm>
          <a:off x="5169788" y="3541875"/>
          <a:ext cx="352425" cy="476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sz="140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32</xdr:col>
      <xdr:colOff>104775</xdr:colOff>
      <xdr:row>2704</xdr:row>
      <xdr:rowOff>0</xdr:rowOff>
    </xdr:from>
    <xdr:ext cx="361950" cy="485775"/>
    <xdr:sp>
      <xdr:nvSpPr>
        <xdr:cNvPr id="3" name="Shape 3"/>
        <xdr:cNvSpPr/>
      </xdr:nvSpPr>
      <xdr:spPr>
        <a:xfrm>
          <a:off x="5169788" y="3541875"/>
          <a:ext cx="352425" cy="476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sz="140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33</xdr:col>
      <xdr:colOff>0</xdr:colOff>
      <xdr:row>2704</xdr:row>
      <xdr:rowOff>0</xdr:rowOff>
    </xdr:from>
    <xdr:ext cx="485775" cy="333375"/>
    <xdr:sp>
      <xdr:nvSpPr>
        <xdr:cNvPr id="4" name="Shape 4"/>
        <xdr:cNvSpPr/>
      </xdr:nvSpPr>
      <xdr:spPr>
        <a:xfrm rot="5400000">
          <a:off x="5184075" y="3541875"/>
          <a:ext cx="323850" cy="476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sz="140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27</xdr:col>
      <xdr:colOff>28575</xdr:colOff>
      <xdr:row>2005</xdr:row>
      <xdr:rowOff>28575</xdr:rowOff>
    </xdr:from>
    <xdr:ext cx="4057650" cy="449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4439" sheet="Range Limit Greenhouse"/>
  </cacheSource>
  <cacheFields>
    <cacheField name="SPECIES" numFmtId="0">
      <sharedItems containsBlank="1">
        <s v="AGHY"/>
        <s v="ELVI"/>
        <s v="POAU"/>
        <m/>
      </sharedItems>
    </cacheField>
    <cacheField name="POPULATION" numFmtId="0">
      <sharedItems containsBlank="1">
        <s v="COHR"/>
        <s v="HUNT"/>
        <s v="JLP"/>
        <s v="LA1"/>
        <s v="LA2"/>
        <s v="LA7"/>
        <s v="LPEF"/>
        <s v="MS7"/>
        <s v="PALM"/>
        <s v="RL5"/>
        <s v="SFAEF"/>
        <s v="SHS"/>
        <s v="SJC"/>
        <s v="ZC"/>
        <m/>
      </sharedItems>
    </cacheField>
    <cacheField name="INDIVIDUAL ID">
      <sharedItems containsDate="1" containsBlank="1" containsMixedTypes="1">
        <n v="1.0"/>
        <s v="134-4-1"/>
        <s v="134-4-10"/>
        <s v="134-4-11"/>
        <s v="134-4-12"/>
        <s v="134-4-13"/>
        <s v="134-4-14"/>
        <s v="134-4-15"/>
        <s v="134-4-16"/>
        <s v="134-4-17"/>
        <s v="134-4-18"/>
        <s v="134-4-19"/>
        <s v="134-4-2"/>
        <s v="134-4-20"/>
        <s v="134-4-21"/>
        <s v="134-4-22"/>
        <s v="134-4-23"/>
        <s v="134-4-24"/>
        <s v="134-4-25"/>
        <s v="134-4-26"/>
        <s v="134-4-27"/>
        <s v="134-4-28"/>
        <s v="134-4-29"/>
        <s v="134-4-3"/>
        <s v="134-4-30"/>
        <s v="134-4-31"/>
        <s v="134-4-32"/>
        <s v="134-4-4"/>
        <s v="134-4-5"/>
        <s v="134-4-6"/>
        <s v="134-4-7"/>
        <s v="134-4-8"/>
        <s v="134-4-9"/>
        <s v="215-1-15"/>
        <s v="215-2"/>
        <s v="215-2-1"/>
        <s v="215-3-1"/>
        <s v="215-3-10"/>
        <s v="215-3-11"/>
        <s v="215-3-12"/>
        <s v="215-3-13"/>
        <s v="215-3-14"/>
        <s v="215-3-15"/>
        <s v="215-3-16"/>
        <s v="215-3-17"/>
        <s v="215-3-18"/>
        <s v="215-3-19"/>
        <s v="215-3-2"/>
        <s v="215-3-20"/>
        <s v="215-3-21"/>
        <s v="215-3-22"/>
        <s v="215-3-3"/>
        <s v="215-3-4"/>
        <s v="215-3-45"/>
        <s v="215-3-6"/>
        <s v="215-3-7"/>
        <s v="215-3-8"/>
        <s v="215-3-9"/>
        <s v="215-5-1"/>
        <s v="215-5-2"/>
        <s v="215-5-3"/>
        <s v="225-1-1"/>
        <s v="225-1-10"/>
        <s v="225-1-11"/>
        <s v="225-1-12"/>
        <s v="225-1-13"/>
        <s v="225-1-14"/>
        <s v="225-1-15"/>
        <s v="225-1-16"/>
        <s v="225-1-17"/>
        <s v="225-1-18"/>
        <s v="225-1-19"/>
        <s v="225-1-2"/>
        <s v="225-1-20"/>
        <s v="225-1-21"/>
        <s v="225-1-22"/>
        <s v="225-1-23"/>
        <s v="225-1-24"/>
        <s v="225-1-25"/>
        <s v="225-1-26"/>
        <s v="225-1-27"/>
        <s v="225-1-28"/>
        <s v="225-1-29"/>
        <s v="225-1-3"/>
        <s v="225-1-30"/>
        <s v="225-1-31"/>
        <s v="225-1-32"/>
        <s v="225-1-33"/>
        <s v="225-1-34"/>
        <s v="225-1-35"/>
        <s v="225-1-4"/>
        <s v="225-1-5"/>
        <s v="225-1-6"/>
        <s v="225-1-7"/>
        <s v="225-1-8"/>
        <s v="225-1-9"/>
        <s v="225-5-1"/>
        <s v="225-5-10"/>
        <s v="225-5-11"/>
        <s v="225-5-12"/>
        <s v="225-5-13"/>
        <s v="225-5-14"/>
        <s v="225-5-15"/>
        <s v="225-5-16"/>
        <s v="225-5-17"/>
        <s v="225-5-18"/>
        <s v="225-5-19"/>
        <s v="225-5-2"/>
        <s v="225-5-20"/>
        <s v="225-5-21"/>
        <s v="225-5-22"/>
        <s v="225-5-23"/>
        <s v="225-5-24"/>
        <s v="225-5-25"/>
        <s v="225-5-26"/>
        <s v="225-5-27"/>
        <s v="225-5-28"/>
        <s v="225-5-3"/>
        <s v="225-5-4"/>
        <s v="225-5-5"/>
        <s v="225-5-6"/>
        <s v="225-5-7"/>
        <s v="225-5-8"/>
        <s v="225-5-9"/>
        <s v="234-2-8"/>
        <s v="234-3-1"/>
        <s v="234-3-2"/>
        <s v="234-3-3"/>
        <s v="234-3-4"/>
        <s v="234-3-5"/>
        <s v="234-3-6"/>
        <s v="234-3-7"/>
        <s v="25-1-33"/>
        <s v="26-5-1"/>
        <s v="26-7-22"/>
        <s v="26-8-1"/>
        <s v="26-8-2"/>
        <s v="26-8-3"/>
        <s v="26-8-4"/>
        <s v="26-8-5"/>
        <s v="26-8-6"/>
        <s v="26-8-7"/>
        <s v="26-8-8"/>
        <s v="26-8-9"/>
        <s v="35-1-1"/>
        <s v="35-1-10"/>
        <s v="35-1-11"/>
        <s v="35-1-12"/>
        <s v="35-1-13"/>
        <s v="35-1-14"/>
        <s v="35-1-15"/>
        <s v="35-1-16"/>
        <s v="35-1-17"/>
        <s v="35-1-18"/>
        <s v="35-1-19"/>
        <s v="35-1-2"/>
        <s v="35-1-20"/>
        <s v="35-1-21"/>
        <s v="35-1-22"/>
        <s v="35-1-23"/>
        <s v="35-1-24"/>
        <s v="35-1-25"/>
        <s v="35-1-26"/>
        <s v="35-1-27"/>
        <s v="35-1-28"/>
        <s v="35-1-29"/>
        <s v="35-1-3"/>
        <s v="35-1-30"/>
        <s v="35-1-31"/>
        <s v="35-1-32"/>
        <s v="35-1-33"/>
        <s v="35-1-34"/>
        <s v="35-1-35"/>
        <s v="35-1-36"/>
        <s v="35-1-37"/>
        <s v="35-1-38"/>
        <s v="35-1-39"/>
        <s v="35-1-4"/>
        <s v="35-1-40"/>
        <s v="35-1-41"/>
        <s v="35-1-42"/>
        <s v="35-1-43"/>
        <s v="35-1-44"/>
        <s v="35-1-45"/>
        <s v="35-1-5"/>
        <s v="35-1-6"/>
        <s v="35-1-7"/>
        <s v="35-1-8"/>
        <s v="35-1-9"/>
        <s v="35-6-1"/>
        <s v="35-6-10"/>
        <s v="35-6-11"/>
        <s v="35-6-12"/>
        <s v="35-6-13"/>
        <s v="35-6-14"/>
        <s v="35-6-15"/>
        <s v="35-6-16"/>
        <s v="35-6-17"/>
        <s v="35-6-18"/>
        <s v="35-6-19"/>
        <s v="35-6-2"/>
        <s v="35-6-20"/>
        <s v="35-6-21"/>
        <s v="35-6-22"/>
        <s v="35-6-23"/>
        <s v="35-6-3"/>
        <s v="35-6-4"/>
        <s v="35-6-5"/>
        <s v="35-6-6"/>
        <s v="35-6-7"/>
        <s v="35-6-8"/>
        <s v="35-6-9"/>
        <s v="AA"/>
        <s v="E13"/>
        <s v="E14"/>
        <s v="E16"/>
        <s v="E2"/>
        <s v="E20"/>
        <s v="E21"/>
        <s v="E23"/>
        <s v="E25"/>
        <s v="E28"/>
        <s v="E32"/>
        <s v="E34"/>
        <s v="E37"/>
        <s v="E38"/>
        <s v="E39"/>
        <s v="E4"/>
        <s v="E40"/>
        <s v="E44"/>
        <s v="E45"/>
        <s v="E5"/>
        <s v="E8"/>
        <s v="E9"/>
        <s v="F11"/>
        <s v="F15"/>
        <s v="F16"/>
        <s v="F17"/>
        <s v="F18"/>
        <s v="F21"/>
        <s v="F22"/>
        <s v="F23"/>
        <s v="F24"/>
        <s v="F3"/>
        <s v="F32"/>
        <s v="F33"/>
        <s v="F34"/>
        <s v="F37"/>
        <s v="F38"/>
        <s v="F39"/>
        <s v="F4"/>
        <s v="F40"/>
        <s v="F41"/>
        <s v="F42"/>
        <s v="F43"/>
        <s v="F44"/>
        <s v="F45"/>
        <s v="F46"/>
        <s v="F47"/>
        <s v="F48"/>
        <s v="F49"/>
        <s v="F50"/>
        <s v="F51"/>
        <s v="F52"/>
        <s v="F53"/>
        <s v="F54"/>
        <s v="F55"/>
        <s v="F9"/>
        <s v="109-19A-25"/>
        <s v="110-2a-13-c"/>
        <s v="110-2A-13D"/>
        <s v="110-2A-21"/>
        <s v="110-2A-22"/>
        <s v="110-2A-6A-1A"/>
        <s v="110-2A-6A-1B"/>
        <s v="110-2A-6A-1C"/>
        <s v="110-2A-6A-1D"/>
        <s v="110-2A-6A-1E"/>
        <s v="110-2A-6A-1F"/>
        <s v="110-2A-6A-1G"/>
        <s v="110-2A-6A-1H"/>
        <s v="110-2A-6A-1I"/>
        <s v="110-2A-6A-1J"/>
        <s v="110-2A-6A-1K"/>
        <s v="110-2A-6A-1L"/>
        <s v="110-2A-6A-1M"/>
        <s v="110-2A-6A-1N"/>
        <s v="110-2A-6A-1O"/>
        <s v="110-2A-6A-1P"/>
        <s v="110-2A-6A-1Q"/>
        <s v="110-2A-6A-1R"/>
        <s v="110-2A-6A-1S"/>
        <s v="110-2A-6A-1T"/>
        <s v="110-2A-6A-1U"/>
        <s v="110-2A-6A-1V"/>
        <s v="110-2A-6A-1W"/>
        <s v="110-2A-6A-1X"/>
        <s v="110-2A-6A-1Y"/>
        <s v="110-2A-6A-1Z"/>
        <s v="110-2A-6A-2A"/>
        <s v="110-2A-6A-2B"/>
        <s v="110-2A-6A-2C"/>
        <s v="110-2A-6A-2D"/>
        <s v="110-2A-6A-2E"/>
        <s v="110-2A-6A-2F"/>
        <s v="110-2A-6A-2G"/>
        <s v="110-2A-6A-2H"/>
        <s v="110-2A-6A-2I"/>
        <s v="110-44C-2"/>
        <s v="110-44L-10"/>
        <s v="110-5A-1A"/>
        <s v="110-5A-1B"/>
        <s v="110-5A-1C"/>
        <s v="110-5A-1D"/>
        <s v="110-5A-1E"/>
        <s v="110-5A-1F"/>
        <s v="110-5A-1G"/>
        <s v="110-5A-1H"/>
        <s v="110-5A-1I"/>
        <s v="110-5A-1J"/>
        <s v="110-5A-1K"/>
        <s v="110-5A-1L"/>
        <s v="110-5A-1M"/>
        <s v="110-5A-1N"/>
        <s v="110-5A-1P"/>
        <s v="110-5A-1Q"/>
        <s v="110-5A-1R"/>
        <s v="110-5A-1S"/>
        <s v="110-5A-1T"/>
        <s v="110-5A-1U"/>
        <s v="110-5A-1V"/>
        <s v="110-5A-1W"/>
        <s v="110-5A-1X"/>
        <s v="110-5A-1Z"/>
        <s v="110-5A-2A"/>
        <s v="110-5A-2B"/>
        <s v="110-5A-2C"/>
        <s v="110-5A-2D"/>
        <s v="110-5A-2E"/>
        <s v="110-5A-2F"/>
        <s v="110-5A-2G"/>
        <s v="110-5A-2H"/>
        <s v="110-5A-2I"/>
        <s v="110-5A-2J"/>
        <s v="110-5A-2K"/>
        <s v="110-5A-2L"/>
        <s v="110-5A-2M"/>
        <s v="110-5A-2N"/>
        <s v="110-5A-2O"/>
        <s v="110-5A-2P"/>
        <s v="110-5A-2Q"/>
        <s v="110-5A-2R"/>
        <s v="110-5A-2S"/>
        <s v="110-5A-2T"/>
        <s v="110-5A-2U"/>
        <s v="110-5A-2V"/>
        <s v="110-5A-2W"/>
        <s v="110-5A-2X"/>
        <s v="110-5A-2Y"/>
        <s v="110-5A-2Z"/>
        <s v="110-5A-3A"/>
        <s v="110-5A-3B"/>
        <s v="110-5A-3C"/>
        <s v="110-5A-3D"/>
        <s v="110-5A-3E"/>
        <s v="110-5A-3F"/>
        <s v="110-5A-3G"/>
        <s v="110-5A-3H"/>
        <s v="110-5A-3I"/>
        <s v="110-5A-3J"/>
        <s v="110-5A-3K"/>
        <s v="110-5A-3L"/>
        <s v="110-5A-3M"/>
        <s v="110-5A-3N"/>
        <s v="110-5A-3O"/>
        <s v="110-5A-3P"/>
        <s v="201-15A-1"/>
        <s v="201-29A"/>
        <s v="201-29B"/>
        <s v="201-29B-3"/>
        <s v="201-29B-4"/>
        <s v="201-30B-6"/>
        <s v="2019-2-1A"/>
        <s v="2019-2-1B"/>
        <s v="2019-2-1C"/>
        <s v="2019-2-1D"/>
        <s v="20-I7-1"/>
        <s v="20-I7-2"/>
        <s v="20-I7-3"/>
        <s v="20-I7-4"/>
        <s v="20-I7-5"/>
        <s v="20-I7-6"/>
        <s v="20-I8-1"/>
        <s v="20-I8-2"/>
        <s v="20-I8-3"/>
        <s v="20-I8-4"/>
        <s v="20-I8-5"/>
        <s v="20-I8-6"/>
        <s v="20-I8-7"/>
        <s v="20-I8-8"/>
        <s v="84-1L RL2L-3"/>
        <s v="84-1L RL2L-4"/>
        <s v="84-5G-40"/>
        <s v="84-5G-41"/>
        <s v="84-5G-43"/>
        <s v="84-5G-63"/>
        <s v="84-5G-76"/>
        <s v="A-25"/>
        <s v="203-29A-1"/>
        <s v="203-29A-2"/>
        <s v="203-29A-3"/>
        <s v="203-29A-4"/>
        <s v="203-29A-5"/>
        <s v="203-6B-2"/>
        <s v="203-7A"/>
        <s v="203-7B"/>
        <s v="203-7C"/>
        <s v="203-7D"/>
        <s v="203-9A"/>
        <d v="2019-01-01T00:00:00Z"/>
        <d v="2019-02-01T00:00:00Z"/>
        <d v="2019-03-01T00:00:00Z"/>
        <d v="2019-04-01T00:00:00Z"/>
        <d v="2019-05-01T00:00:00Z"/>
        <s v="207-7-2"/>
        <s v="207-7-4"/>
        <s v="207-7-5"/>
        <s v="207-7-6"/>
        <s v="207-7-7"/>
        <s v="242-2-1"/>
        <s v="242-2-10"/>
        <s v="242-2-11"/>
        <s v="242-2-12"/>
        <s v="242-2-13"/>
        <s v="242-2-14"/>
        <s v="242-2-15"/>
        <s v="242-2-16"/>
        <s v="242-2-17"/>
        <s v="242-2-18"/>
        <s v="242-2-19"/>
        <s v="242-2-2"/>
        <s v="242-2-20"/>
        <s v="242-2-21"/>
        <s v="242-2-22"/>
        <s v="242-2-23"/>
        <s v="242-2-24"/>
        <s v="242-2-25"/>
        <s v="242-2-26"/>
        <s v="242-2-27"/>
        <s v="242-2-28"/>
        <s v="242-2-29"/>
        <s v="242-2-3"/>
        <s v="242-2-30"/>
        <s v="242-2-31"/>
        <s v="242-2-32"/>
        <s v="242-2-33"/>
        <s v="242-2-34"/>
        <s v="242-2-35"/>
        <s v="242-2-36"/>
        <s v="242-2-37"/>
        <s v="242-2-38"/>
        <s v="242-2-39"/>
        <s v="242-2-4"/>
        <s v="242-2-40"/>
        <s v="242-2-41"/>
        <s v="242-2-42"/>
        <s v="242-2-43"/>
        <s v="242-2-44"/>
        <s v="242-2-45"/>
        <s v="242-2-46"/>
        <s v="242-2-47"/>
        <s v="242-2-48"/>
        <s v="242-2-49"/>
        <s v="242-2-5"/>
        <s v="242-2-50"/>
        <s v="242-2-51"/>
        <s v="242-2-52"/>
        <s v="242-2-53"/>
        <s v="242-2-54"/>
        <s v="242-2-55"/>
        <s v="242-2-6"/>
        <s v="242-2-7"/>
        <s v="242-2-8"/>
        <s v="242-2-9"/>
        <s v="242-5-1"/>
        <s v="242-5-10"/>
        <s v="242-5-11"/>
        <s v="242-5-12"/>
        <s v="242-5-13"/>
        <s v="242-5-14"/>
        <s v="242-5-15"/>
        <s v="242-5-16"/>
        <s v="242-5-17"/>
        <s v="242-5-18"/>
        <s v="242-5-19"/>
        <s v="242-5-2"/>
        <s v="242-5-20"/>
        <s v="242-5-21"/>
        <s v="242-5-22"/>
        <s v="242-5-23"/>
        <s v="242-5-24"/>
        <s v="242-5-25"/>
        <s v="242-5-26"/>
        <s v="242-5-27"/>
        <s v="242-5-28"/>
        <s v="242-5-29"/>
        <s v="242-5-3"/>
        <s v="242-5-30"/>
        <s v="242-5-31"/>
        <s v="242-5-4"/>
        <s v="242-5-5"/>
        <s v="242-5-6"/>
        <s v="242-5-7"/>
        <s v="242-5-8"/>
        <s v="242-5-9"/>
        <s v="242-7-6U"/>
        <s v="242-7-6V"/>
        <s v="24-4-1"/>
        <s v="24-4-2"/>
        <s v="24-4-3"/>
        <s v="24-4-4"/>
        <s v="24-4-5"/>
        <s v="31-4-1"/>
        <s v="31-4-2"/>
        <s v="31-4-3"/>
        <s v="GH-35-1"/>
        <s v="GH-35-3"/>
        <s v="GH-35-6"/>
        <s v="GH-35-8"/>
        <s v="#001"/>
        <s v="23-1-1"/>
        <s v="23-1-10"/>
        <s v="23-1-11"/>
        <s v="23-1-12"/>
        <s v="23-1-13"/>
        <s v="23-1-14"/>
        <s v="23-1-2"/>
        <s v="23-1-3"/>
        <s v="23-1-4"/>
        <s v="23-1-5"/>
        <s v="23-1-6"/>
        <s v="23-1-7"/>
        <s v="23-1-8"/>
        <s v="23-1-9"/>
        <s v="23-2-1"/>
        <s v="23-2-2"/>
        <s v="23-2-3"/>
        <s v="23-2-4"/>
        <s v="23-2-5"/>
        <s v="23-2-6"/>
        <s v="23-2-7"/>
        <s v="23-2-8"/>
        <m/>
        <n v="101.0"/>
        <s v="110-5A-8"/>
        <s v="121A"/>
        <s v="121E"/>
        <s v="121F"/>
        <s v="121G"/>
        <s v="121J"/>
        <s v="121K"/>
        <s v="121M"/>
        <s v="121N"/>
        <s v="121O"/>
        <s v="121Q"/>
        <s v="121R"/>
        <s v="121S"/>
        <s v="121T"/>
        <s v="216A"/>
        <s v="218B"/>
        <s v="218D"/>
        <s v="220B"/>
        <s v="220D"/>
        <n v="221.0"/>
        <s v="222-A"/>
        <s v="228C"/>
        <n v="238.0"/>
        <n v="239.0"/>
        <s v="322A"/>
        <s v="322B"/>
        <s v="322C"/>
        <s v="322D"/>
        <s v="322E"/>
        <s v="322F"/>
        <s v="322G"/>
        <s v="322H"/>
        <s v="322I"/>
        <s v="322J"/>
        <s v="322K"/>
        <s v="322L"/>
        <s v="322M"/>
        <s v="322N"/>
        <s v="322O"/>
        <s v="322P"/>
        <s v="322Q"/>
        <s v="322R"/>
        <s v="322S"/>
        <s v="322T"/>
        <s v="322U"/>
        <s v="322V"/>
        <s v="322W"/>
        <s v="322X"/>
        <s v="322Y"/>
        <s v="322Z"/>
        <s v="333A"/>
        <s v="333B"/>
        <s v="333C"/>
        <s v="333D"/>
        <s v="333E"/>
        <s v="333F"/>
        <s v="333G"/>
        <s v="333H"/>
        <s v="333I"/>
        <s v="333J"/>
        <s v="333K"/>
        <s v="333L"/>
        <s v="333M"/>
        <s v="333N"/>
        <s v="333O"/>
        <s v="333P"/>
        <s v="333Q"/>
        <s v="333R"/>
        <s v="333S"/>
        <s v="A1"/>
        <s v="A11"/>
        <s v="A12"/>
        <s v="A18"/>
        <s v="A2"/>
        <s v="A21"/>
        <s v="A24"/>
        <s v="A26"/>
        <s v="A27"/>
        <s v="A30"/>
        <s v="A31"/>
        <s v="A32"/>
        <s v="A33"/>
        <s v="A34"/>
        <s v="A35"/>
        <s v="A36"/>
        <s v="A37"/>
        <s v="A38"/>
        <s v="A39"/>
        <s v="A4"/>
        <s v="A40"/>
        <s v="A41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7"/>
        <s v="A9"/>
        <s v="B1"/>
        <s v="B10"/>
        <s v="B11"/>
        <s v="B12"/>
        <s v="B13"/>
        <s v="B14"/>
        <s v="B15"/>
        <s v="B16"/>
        <s v="B17"/>
        <s v="B21"/>
        <s v="B22"/>
        <s v="B30"/>
        <s v="B31"/>
        <s v="B32"/>
        <s v="B33"/>
        <s v="B34"/>
        <s v="B35"/>
        <s v="B36"/>
        <s v="B37"/>
        <s v="B38"/>
        <s v="B39"/>
        <s v="B40"/>
        <s v="B46"/>
        <s v="B47"/>
        <s v="B48"/>
        <s v="B5"/>
        <s v="B50"/>
        <s v="B53"/>
        <s v="B55"/>
        <s v="B57"/>
        <s v="B58"/>
        <s v="B60"/>
        <s v="B61"/>
        <s v="B62"/>
        <s v="B63"/>
        <s v="B64"/>
        <s v="B65"/>
        <s v="B66"/>
        <s v="B67"/>
        <s v="B68"/>
        <s v="B69"/>
        <s v="B71"/>
        <s v="B72"/>
        <s v="B73"/>
        <s v="B74"/>
        <s v="B75"/>
        <s v="B8"/>
        <s v="B9"/>
        <s v="G10"/>
        <s v="G11"/>
        <s v="G12"/>
        <s v="G13"/>
        <s v="G14"/>
        <s v="G17"/>
        <s v="G18"/>
        <s v="G19"/>
        <s v="G20"/>
        <s v="G22"/>
        <s v="G23"/>
        <s v="G25"/>
        <s v="G27"/>
        <s v="G28"/>
        <s v="G3"/>
        <s v="G32"/>
        <s v="G34"/>
        <s v="G39"/>
        <s v="G44"/>
        <s v="G45"/>
        <s v="G48"/>
        <s v="G49"/>
        <s v="G54"/>
        <s v="G59"/>
        <s v="G6"/>
        <s v="G61"/>
        <s v="G62"/>
        <s v="G63"/>
        <s v="G64"/>
        <s v="G8"/>
        <s v="G9"/>
        <s v="H1"/>
        <s v="H10"/>
        <s v="H11"/>
        <s v="H12"/>
        <s v="H13"/>
        <s v="H14"/>
        <s v="H15"/>
        <s v="H16"/>
        <s v="H17"/>
        <s v="H18"/>
        <s v="H19"/>
        <s v="H2"/>
        <s v="H23"/>
        <s v="H24"/>
        <s v="H25"/>
        <s v="H3"/>
        <s v="H30"/>
        <s v="H31"/>
        <s v="H37"/>
        <s v="H4"/>
        <s v="H40"/>
        <s v="H41"/>
        <s v="H43"/>
        <s v="H5"/>
        <s v="H54"/>
        <s v="H55"/>
        <s v="H56"/>
        <s v="H6"/>
        <s v="H7"/>
        <s v="H8"/>
        <s v="H9"/>
        <s v="I1"/>
        <s v="I10"/>
        <s v="I11"/>
        <s v="I12"/>
        <s v="I13"/>
        <s v="I14"/>
        <s v="I15"/>
        <s v="I16"/>
        <s v="I17"/>
        <s v="I18"/>
        <s v="I19"/>
        <s v="I2"/>
        <s v="I20"/>
        <s v="I21"/>
        <s v="I22"/>
        <s v="I23"/>
        <s v="I24"/>
        <s v="I25"/>
        <s v="I26"/>
        <s v="I27"/>
        <s v="I28"/>
        <s v="I29"/>
        <s v="I3"/>
        <s v="I4"/>
        <s v="I5"/>
        <s v="I6"/>
        <s v="I7"/>
        <s v="I8"/>
        <s v="I9"/>
        <s v="K1"/>
        <s v="K10"/>
        <s v="K11"/>
        <s v="K12"/>
        <s v="K13"/>
        <s v="K14"/>
        <s v="K15"/>
        <s v="K16"/>
        <s v="K17"/>
        <s v="K18"/>
        <s v="K19"/>
        <s v="K2"/>
        <s v="K20"/>
        <s v="K21"/>
        <s v="K22"/>
        <s v="K23"/>
        <s v="K24"/>
        <s v="K25"/>
        <s v="K26"/>
        <s v="K27"/>
        <s v="K28"/>
        <s v="K29"/>
        <s v="K3"/>
        <s v="K30"/>
        <s v="K31"/>
        <s v="K32"/>
        <s v="K33"/>
        <s v="K34"/>
        <s v="K35"/>
        <s v="K36"/>
        <s v="K37"/>
        <s v="K38"/>
        <s v="K39"/>
        <s v="K4"/>
        <s v="K40"/>
        <s v="K41"/>
        <s v="K42"/>
        <s v="K43"/>
        <s v="K44"/>
        <s v="K45"/>
        <s v="K46"/>
        <s v="K47"/>
        <s v="K48"/>
        <s v="K49"/>
        <s v="K5"/>
        <s v="K50"/>
        <s v="K51"/>
        <s v="K52"/>
        <s v="K53"/>
        <s v="K54"/>
        <s v="K55"/>
        <s v="K56"/>
        <s v="K57"/>
        <s v="K58"/>
        <s v="K6"/>
        <s v="K7"/>
        <s v="K8"/>
        <s v="K9"/>
        <s v="C20"/>
        <s v="C21"/>
        <s v="C23"/>
        <s v="C24"/>
        <s v="C26"/>
        <s v="C27"/>
        <s v="C30"/>
        <s v="C31"/>
        <s v="C32"/>
        <s v="C33"/>
        <s v="C34"/>
        <s v="C36"/>
        <s v="C37"/>
        <s v="C39"/>
        <s v="C56"/>
        <s v="C59"/>
        <s v="C6"/>
        <s v="C62"/>
        <s v="C63"/>
        <s v="C64"/>
        <s v="C65"/>
        <s v="C66"/>
        <s v="C7"/>
        <s v="C8"/>
        <s v="C9"/>
        <s v="D1"/>
        <s v="D10"/>
        <s v="D12"/>
        <s v="D13"/>
        <s v="D14"/>
        <s v="D15"/>
        <s v="D16"/>
        <s v="D17"/>
        <s v="D18"/>
        <s v="D19"/>
        <s v="D2"/>
        <s v="D22"/>
        <s v="D23"/>
        <s v="D25"/>
        <s v="D26"/>
        <s v="D27"/>
        <s v="D28"/>
        <s v="D29"/>
        <s v="D3"/>
        <s v="D30"/>
        <s v="D31"/>
        <s v="D33"/>
        <s v="D34"/>
        <s v="D36"/>
        <s v="D37"/>
        <s v="D38"/>
        <s v="D4"/>
        <s v="D46"/>
        <s v="D47"/>
        <s v="D48"/>
        <s v="D49"/>
        <s v="D5"/>
        <s v="D50"/>
        <s v="D51"/>
        <s v="D52"/>
        <s v="D54"/>
        <s v="D55"/>
        <s v="D56"/>
        <s v="D57"/>
        <s v="D58"/>
        <s v="D59"/>
        <s v="D6"/>
        <s v="D60"/>
        <s v="D61"/>
        <s v="D62"/>
        <s v="D63"/>
        <s v="D64"/>
        <s v="D65"/>
        <s v="D66"/>
        <s v="D67"/>
        <s v="D68"/>
        <s v="D69"/>
        <s v="D70"/>
        <s v="D71"/>
        <s v="#1"/>
        <s v="#3"/>
        <s v="#4"/>
        <s v="#7"/>
        <s v="#9"/>
        <s v="10-133"/>
        <s v="10-133-1A"/>
        <s v="10-133-1B"/>
        <s v="10-133-1C"/>
        <s v="10-133-1D"/>
        <s v="10-133-1E"/>
        <s v="10-133-1F"/>
        <s v="10-133-1G"/>
        <s v="10-133-1H"/>
        <s v="10-133-1I"/>
        <s v="10-133-1J"/>
        <s v="10-133-1K"/>
        <n v="1245.0"/>
        <n v="1335.0"/>
        <s v="201-15"/>
        <s v="39-10-128"/>
        <s v="39-10-129"/>
        <s v="39-10-130"/>
        <s v="39-10-131"/>
        <s v="39-10-132"/>
        <s v="39-10-133"/>
        <s v="39-10-134"/>
        <n v="4.0"/>
        <n v="616.0"/>
        <n v="617.0"/>
        <n v="618.0"/>
        <n v="619.0"/>
        <n v="620.0"/>
        <n v="621.0"/>
        <n v="622.0"/>
        <n v="712.0"/>
        <n v="810.0"/>
        <n v="872.0"/>
        <s v="8B-19"/>
        <s v="8B-2"/>
        <s v="8B-20"/>
        <s v="8B-21"/>
        <s v="8B-3"/>
        <s v="8B-4"/>
        <s v="8B-5"/>
        <s v="8B-6"/>
        <s v="8B-7"/>
        <s v="8B-8"/>
        <s v="8B-9"/>
        <s v="A-1"/>
        <s v="A-10"/>
        <s v="A-11"/>
        <s v="A-12"/>
        <s v="A-13"/>
        <s v="A-14"/>
        <s v="A-15"/>
        <s v="A-16"/>
        <s v="A-17"/>
        <s v="A-18"/>
        <s v="A-19"/>
        <s v="A-2"/>
        <s v="A-20"/>
        <s v="A-21"/>
        <s v="A-22"/>
        <s v="A-23"/>
        <s v="A-3"/>
        <s v="A-4"/>
        <s v="A-5"/>
        <s v="A-6"/>
        <s v="A-7"/>
        <s v="A-8"/>
        <s v="A-9"/>
        <s v="B-10"/>
        <s v="B-11"/>
        <s v="B-12"/>
        <s v="B-13"/>
        <s v="B-14"/>
        <s v="B-15"/>
        <s v="B-16"/>
        <s v="B-17"/>
        <s v="B-18"/>
        <s v="B-19"/>
        <s v="B-2"/>
        <s v="B-20"/>
        <s v="B-21"/>
        <s v="B-22"/>
        <s v="B-23"/>
        <s v="B-24"/>
        <s v="B-25"/>
        <s v="B-28"/>
        <s v="B-29"/>
        <s v="B-3"/>
        <s v="B-30"/>
        <s v="B-31"/>
        <s v="B-4"/>
        <s v="B-5"/>
        <s v="B-6"/>
        <s v="B-7"/>
        <s v="B-8"/>
        <s v="B-9"/>
        <s v="106-150A-1A"/>
        <s v="106-150A-1B"/>
        <s v="106-150A-1C"/>
        <s v="106-150A-1D"/>
        <s v="106-150A-1E"/>
        <s v="106-150A-1F"/>
        <s v="106-150A-1G"/>
        <s v="106-150A-1H"/>
        <s v="106-150A-1I"/>
        <s v="106-150A-1J"/>
        <s v="106-150A-1K"/>
        <s v="106-150A-1L"/>
        <s v="106-150A-1M"/>
        <s v="106-150A-1N"/>
        <s v="106-150A-1O"/>
        <s v="106-150A-1P"/>
        <s v="106-150A-1Q"/>
        <s v="106-150A-4B-1A"/>
        <s v="106-150A-4B-1B"/>
        <s v="106-150A-4B-1C"/>
        <s v="106-150A-4B-1D"/>
        <s v="106-150A-4B-1E"/>
        <s v="106-150A-4B-1F"/>
        <s v="106-150A-4B-1G"/>
        <s v="106-150A-4B-1H"/>
        <s v="106-150A-4B-1I"/>
        <s v="106-150A-4B-1J"/>
        <s v="106-150A-4B-1K"/>
        <s v="106-150A-4B-1L"/>
        <s v="106-36A-20"/>
        <s v="106-36A-24"/>
        <s v="106-36A-4G-1A"/>
        <s v="106-36A-4G-1B"/>
        <s v="106-36A-4G-1C"/>
        <s v="106-36A-4G-1D"/>
        <s v="106-36A-4G-1E"/>
        <s v="106-36A-4G-1F"/>
        <s v="106-36A-4G-1G"/>
        <s v="106-36A-4G-1H"/>
        <s v="106-36A-4G-1I"/>
        <s v="106-36A-4G-1J"/>
        <s v="106-36A-4G-1K"/>
        <s v="106-36A-4G-1L"/>
        <s v="106-36A-4G-1M"/>
        <s v="106-36A-4G-1N"/>
        <s v="106-36A-4G-1O"/>
        <s v="106-36A-4G-1P"/>
        <s v="106-36A-4G-1Q"/>
        <s v="106-36A-4G-1R"/>
        <s v="106-36A-4G-1S"/>
        <s v="106-36A-4G-1T"/>
        <s v="106-36A-4G-1U"/>
        <s v="106-36A-4G-1V"/>
        <s v="134-6-1"/>
        <s v="134-6-10"/>
        <s v="134-6-11"/>
        <s v="134-6-12"/>
        <s v="134-6-13"/>
        <s v="134-6-14"/>
        <s v="134-6-15"/>
        <s v="134-6-16"/>
        <s v="134-6-17"/>
        <s v="134-6-18"/>
        <s v="134-6-19"/>
        <s v="134-6-1A"/>
        <s v="134-6-1B"/>
        <s v="134-6-1C"/>
        <s v="134-6-1D"/>
        <s v="134-6-1E"/>
        <s v="134-6-1F"/>
        <s v="134-6-2"/>
        <s v="134-6-20"/>
        <s v="134-6-21"/>
        <s v="134-6-22"/>
        <s v="134-6-23"/>
        <s v="134-6-24"/>
        <s v="134-6-25"/>
        <s v="134-6-26"/>
        <s v="134-6-27"/>
        <s v="134-6-28"/>
        <s v="134-6-29"/>
        <s v="134-6-3"/>
        <s v="134-6-30"/>
        <s v="134-6-31"/>
        <s v="134-6-32"/>
        <s v="134-6-33"/>
        <s v="134-6-34"/>
        <s v="134-6-35"/>
        <s v="134-6-36"/>
        <s v="134-6-37"/>
        <s v="134-6-38"/>
        <s v="134-6-39"/>
        <s v="134-6-4"/>
        <s v="134-6-40"/>
        <s v="134-6-41"/>
        <s v="134-6-42"/>
        <s v="134-6-43"/>
        <s v="134-6-44"/>
        <s v="134-6-45"/>
        <s v="134-6-46"/>
        <s v="134-6-47"/>
        <s v="134-6-48"/>
        <s v="134-6-49"/>
        <s v="134-6-5"/>
        <s v="134-6-50"/>
        <s v="134-6-51"/>
        <s v="134-6-6"/>
        <s v="134-6-7"/>
        <s v="134-6-8"/>
        <s v="134-6-9"/>
        <s v="211-10-1"/>
        <s v="211-10-10"/>
        <s v="211-10-11"/>
        <s v="211-10-12"/>
        <s v="211-10-13"/>
        <s v="211-10-14"/>
        <s v="211-10-15"/>
        <s v="211-10-16"/>
        <s v="211-10-17"/>
        <s v="211-10-18"/>
        <s v="211-10-19"/>
        <s v="211-10-2"/>
        <s v="211-10-20"/>
        <s v="211-10-21"/>
        <s v="211-10-22"/>
        <s v="211-10-23"/>
        <s v="211-10-24"/>
        <s v="211-10-25"/>
        <s v="211-10-26"/>
        <s v="211-10-27"/>
        <s v="211-10-28"/>
        <s v="211-10-29"/>
        <s v="211-10-3"/>
        <s v="211-10-30"/>
        <s v="211-10-31"/>
        <s v="211-10-32"/>
        <s v="211-10-33"/>
        <s v="211-10-34"/>
        <s v="211-10-35"/>
        <s v="211-10-36"/>
        <s v="211-10-37"/>
        <s v="211-10-38"/>
        <s v="211-10-39"/>
        <s v="211-10-4"/>
        <s v="211-10-40"/>
        <s v="211-10-41"/>
        <s v="211-10-42"/>
        <s v="211-10-43"/>
        <s v="211-10-44"/>
        <s v="211-10-45"/>
        <s v="211-10-46"/>
        <s v="211-10-47"/>
        <s v="211-10-48"/>
        <s v="211-10-49"/>
        <s v="211-10-5"/>
        <s v="211-10-50"/>
        <s v="211-10-51"/>
        <s v="211-10-52"/>
        <s v="211-10-53"/>
        <s v="211-10-54"/>
        <s v="211-10-55"/>
        <s v="211-10-56"/>
        <s v="211-10-57"/>
        <s v="211-10-58"/>
        <s v="211-10-59"/>
        <s v="211-10-6"/>
        <s v="211-10-60"/>
        <s v="211-10-61"/>
        <s v="211-10-62"/>
        <s v="211-10-63"/>
        <s v="211-10-64"/>
        <s v="211-10-65"/>
        <s v="211-10-66"/>
        <s v="211-10-67"/>
        <s v="211-10-68"/>
        <s v="211-10-69"/>
        <s v="211-10-7"/>
        <s v="211-10-70"/>
        <s v="211-10-71"/>
        <s v="211-10-72"/>
        <s v="211-10-73"/>
        <s v="211-10-74"/>
        <s v="211-10-75"/>
        <s v="211-10-76"/>
        <s v="211-10-77"/>
        <s v="211-10-78"/>
        <s v="211-10-79"/>
        <s v="211-10-8"/>
        <s v="211-10-80"/>
        <s v="211-10-81"/>
        <s v="211-10-82"/>
        <s v="211-10-83"/>
        <s v="211-10-84"/>
        <s v="211-10-85"/>
        <s v="211-10-86"/>
        <s v="211-10-87"/>
        <s v="211-10-88"/>
        <s v="211-10-89"/>
        <s v="211-10-9"/>
        <s v="211-10-90"/>
        <s v="211-10-91"/>
        <s v="211-10-92"/>
        <s v="211-10-93"/>
        <s v="211-10-94"/>
        <s v="211-10-95"/>
        <s v="211-10-96"/>
        <s v="211-10-97"/>
        <s v="211-10-98"/>
        <s v="211-8-1"/>
        <s v="211-8-2"/>
        <s v="211-8-3"/>
        <s v="211-8-4"/>
        <s v="211-8-5"/>
        <s v="211-8-6"/>
        <s v="211-8-7"/>
        <s v="211-8-8"/>
        <s v="211-8-9"/>
        <s v="42-3-1"/>
        <s v="42-3-10"/>
        <s v="42-3-11"/>
        <s v="42-3-12"/>
        <s v="42-3-13"/>
        <s v="42-3-14"/>
        <s v="42-3-15"/>
        <s v="42-3-16"/>
        <s v="42-3-17"/>
        <s v="42-3-18"/>
        <s v="42-3-19"/>
        <s v="42-3-2"/>
        <s v="42-3-20"/>
        <s v="42-3-21"/>
        <s v="42-3-22"/>
        <s v="42-3-23"/>
        <s v="42-3-24"/>
        <s v="42-3-25"/>
        <s v="42-3-26"/>
        <s v="42-3-27"/>
        <s v="42-3-28"/>
        <s v="42-3-29"/>
        <s v="42-3-3"/>
        <s v="42-3-30"/>
        <s v="42-3-31"/>
        <s v="42-3-32"/>
        <s v="42-3-33"/>
        <s v="42-3-34"/>
        <s v="42-3-35"/>
        <s v="42-3-36"/>
        <s v="42-3-37"/>
        <s v="42-3-38"/>
        <s v="42-3-39"/>
        <s v="42-3-4"/>
        <s v="42-3-40"/>
        <s v="42-3-41"/>
        <s v="42-3-42"/>
        <s v="42-3-43"/>
        <s v="42-3-44"/>
        <s v="42-3-45"/>
        <s v="42-3-46"/>
        <s v="42-3-47"/>
        <s v="42-3-48"/>
        <s v="42-3-49"/>
        <s v="42-3-5"/>
        <s v="42-3-50"/>
        <s v="42-3-51"/>
        <s v="42-3-52"/>
        <s v="42-3-53"/>
        <s v="42-3-54"/>
        <s v="42-3-55"/>
        <s v="42-3-56"/>
        <s v="42-3-57"/>
        <s v="42-3-58"/>
        <s v="42-3-59"/>
        <s v="42-3-6"/>
        <s v="42-3-60"/>
        <s v="42-3-61"/>
        <s v="42-3-62"/>
        <s v="42-3-63"/>
        <s v="42-3-64"/>
        <s v="42-3-65"/>
        <s v="42-3-7"/>
        <s v="42-3-8"/>
        <s v="42-3-9"/>
        <s v="42-4-1"/>
        <s v="42-4-10"/>
        <s v="42-4-100"/>
        <s v="42-4-101"/>
        <s v="42-4-102"/>
        <s v="42-4-103"/>
        <s v="42-4-104"/>
        <s v="42-4-11"/>
        <s v="42-4-12"/>
        <s v="42-4-13"/>
        <s v="42-4-14"/>
        <s v="42-4-15"/>
        <s v="42-4-16"/>
        <s v="42-4-17"/>
        <s v="42-4-18"/>
        <s v="42-4-19"/>
        <s v="42-4-2"/>
        <s v="42-4-20"/>
        <s v="42-4-21"/>
        <s v="42-4-22"/>
        <s v="42-4-23"/>
        <s v="42-4-24"/>
        <s v="42-4-25"/>
        <s v="42-4-26"/>
        <s v="42-4-27"/>
        <s v="42-4-28"/>
        <s v="42-4-29"/>
        <s v="42-4-3"/>
        <s v="42-4-30"/>
        <s v="42-4-31"/>
        <s v="42-4-32"/>
        <s v="42-4-33"/>
        <s v="42-4-34"/>
        <s v="42-4-35"/>
        <s v="42-4-36"/>
        <s v="42-4-37"/>
        <s v="42-4-38"/>
        <s v="42-4-39"/>
        <s v="42-4-4"/>
        <s v="42-4-40"/>
        <s v="42-4-41"/>
        <s v="42-4-42"/>
        <s v="42-4-43"/>
        <s v="42-4-44"/>
        <s v="42-4-45"/>
        <s v="42-4-46"/>
        <s v="42-4-47"/>
        <s v="42-4-48"/>
        <s v="42-4-49"/>
        <s v="42-4-5"/>
        <s v="42-4-50"/>
        <s v="42-4-51"/>
        <s v="42-4-52"/>
        <s v="42-4-53"/>
        <s v="42-4-54"/>
        <s v="42-4-55"/>
        <s v="42-4-56"/>
        <s v="42-4-57"/>
        <s v="42-4-58"/>
        <s v="42-4-59"/>
        <s v="42-4-6"/>
        <s v="42-4-60"/>
        <s v="42-4-61"/>
        <s v="42-4-62"/>
        <s v="42-4-63"/>
        <s v="42-4-64"/>
        <s v="42-4-65"/>
        <s v="42-4-66"/>
        <s v="42-4-67"/>
        <s v="42-4-68"/>
        <s v="42-4-69"/>
        <s v="42-4-7"/>
        <s v="42-4-70"/>
        <s v="42-4-71"/>
        <s v="42-4-72"/>
        <s v="42-4-73"/>
        <s v="42-4-74"/>
        <s v="42-4-75"/>
        <s v="42-4-76"/>
        <s v="42-4-77"/>
        <s v="42-4-78"/>
        <s v="42-4-79"/>
        <s v="42-4-8"/>
        <s v="42-4-80"/>
        <s v="42-4-81"/>
        <s v="42-4-82"/>
        <s v="42-4-83"/>
        <s v="42-4-84"/>
        <s v="42-4-85"/>
        <s v="42-4-86"/>
        <s v="42-4-87"/>
        <s v="42-4-88"/>
        <s v="42-4-89"/>
        <s v="42-4-9"/>
        <s v="42-4-90"/>
        <s v="42-4-91"/>
        <s v="42-4-92"/>
        <s v="42-4-93"/>
        <s v="42-4-94"/>
        <s v="42-4-95"/>
        <s v="42-4-96"/>
        <s v="42-4-97"/>
        <s v="42-4-98"/>
        <s v="42-4-99"/>
        <s v="909-4-1"/>
        <s v="909-4-10"/>
        <s v="909-4-11"/>
        <s v="909-4-12"/>
        <s v="909-4-13"/>
        <s v="909-4-14"/>
        <s v="909-4-15"/>
        <s v="909-4-16"/>
        <s v="909-4-17"/>
        <s v="909-4-18"/>
        <s v="909-4-19"/>
        <s v="909-4-2"/>
        <s v="909-4-20"/>
        <s v="909-4-21"/>
        <s v="909-4-22"/>
        <s v="909-4-23"/>
        <s v="909-4-24"/>
        <s v="909-4-25"/>
        <s v="909-4-26"/>
        <s v="909-4-27"/>
        <s v="909-4-3"/>
        <s v="909-4-4"/>
        <s v="909-4-5"/>
        <s v="909-4-6"/>
        <s v="909-4-7"/>
        <s v="909-4-8"/>
        <s v="909-4-9"/>
        <s v="909-5-1"/>
        <s v="909-5-10"/>
        <s v="909-5-11"/>
        <s v="909-5-12"/>
        <s v="909-5-13"/>
        <s v="909-5-14"/>
        <s v="909-5-15"/>
        <s v="909-5-16"/>
        <s v="909-5-17"/>
        <s v="909-5-18"/>
        <s v="909-5-19"/>
        <s v="909-5-2"/>
        <s v="909-5-20"/>
        <s v="909-5-21"/>
        <s v="909-5-22"/>
        <s v="909-5-23"/>
        <s v="909-5-24"/>
        <s v="909-5-25"/>
        <s v="909-5-26"/>
        <s v="909-5-27"/>
        <s v="909-5-28"/>
        <s v="909-5-29"/>
        <s v="909-5-3"/>
        <s v="909-5-30"/>
        <s v="909-5-31"/>
        <s v="909-5-32"/>
        <s v="909-5-33"/>
        <s v="909-5-34"/>
        <s v="909-5-35"/>
        <s v="909-5-36"/>
        <s v="909-5-37"/>
        <s v="909-5-38"/>
        <s v="909-5-39"/>
        <s v="909-5-4"/>
        <s v="909-5-40"/>
        <s v="909-5-5"/>
        <s v="909-5-6"/>
        <s v="909-5-7"/>
        <s v="909-5-8"/>
        <s v="909-5-9"/>
        <s v="909-6-1"/>
        <s v="909-6-10"/>
        <s v="909-6-11"/>
        <s v="909-6-12"/>
        <s v="909-6-13"/>
        <s v="909-6-14"/>
        <s v="909-6-15"/>
        <s v="909-6-16"/>
        <s v="909-6-17"/>
        <s v="909-6-18"/>
        <s v="909-6-19"/>
        <s v="909-6-2"/>
        <s v="909-6-20"/>
        <s v="909-6-21"/>
        <s v="909-6-22"/>
        <s v="909-6-23"/>
        <s v="909-6-24"/>
        <s v="909-6-25"/>
        <s v="909-6-26"/>
        <s v="909-6-27"/>
        <s v="909-6-28"/>
        <s v="909-6-29"/>
        <s v="909-6-3"/>
        <s v="909-6-30"/>
        <s v="909-6-31"/>
        <s v="909-6-32"/>
        <s v="909-6-33"/>
        <s v="909-6-34"/>
        <s v="909-6-35"/>
        <s v="909-6-36"/>
        <s v="909-6-37"/>
        <s v="909-6-38"/>
        <s v="909-6-39"/>
        <s v="909-6-4"/>
        <s v="909-6-40"/>
        <s v="909-6-41"/>
        <s v="909-6-42"/>
        <s v="909-6-43"/>
        <s v="909-6-44"/>
        <s v="909-6-45"/>
        <s v="909-6-46"/>
        <s v="909-6-47"/>
        <s v="909-6-48"/>
        <s v="909-6-49"/>
        <s v="909-6-5"/>
        <s v="#10"/>
        <s v="#11"/>
        <s v="#12"/>
        <s v="#13"/>
        <s v="#14"/>
        <s v="#15"/>
        <s v="#16"/>
        <s v="#2"/>
        <s v="#5"/>
        <s v="#6"/>
        <s v="#8"/>
        <s v="200-16B-1"/>
        <s v="200-16B-2"/>
        <s v="200-24A"/>
        <s v="909-6-50"/>
        <n v="2.0"/>
        <s v="909-6-51"/>
        <s v="909-6-52"/>
        <n v="100.0"/>
        <s v="102C"/>
        <s v="909-6-53"/>
        <s v="909-6-54"/>
        <s v="909-6-55"/>
        <s v="909-6-56"/>
        <n v="79.0"/>
        <s v="909-6-57"/>
        <s v="909-6-58"/>
        <s v="909-6-59"/>
        <s v="909-6-6"/>
        <s v="909-6-7"/>
        <s v="909-6-8"/>
        <s v="909-6-9"/>
        <s v="110-5A-3Q"/>
        <s v="110-5A-3R"/>
        <s v="110-5A-3S"/>
        <s v="110-5A-3T"/>
        <s v="110-5A-3U"/>
        <s v="110-5A-3V"/>
        <s v="110-5A-3W"/>
        <s v="110-5A-3X"/>
        <s v="110-5A-3Y"/>
        <s v="110-5A-3Z"/>
        <s v="110-5A-4A"/>
        <s v="110-5A-4I"/>
        <s v="110-5A-4M"/>
        <s v="110-5A-4N"/>
        <s v="110-5A-4Q"/>
        <s v="110-5A-4U"/>
        <s v="110-5A-4V"/>
        <s v="110-5A-4W"/>
        <s v="110-5A-5B"/>
        <s v="110-5A-5C"/>
        <s v="110-5A-5D"/>
        <s v="110-5A-5E"/>
        <s v="110-5A-5G"/>
        <s v="110-5A-5H"/>
        <s v="110-5A-5I"/>
        <s v="110-5A-5J"/>
        <s v="110-5A-5L"/>
        <s v="110-5A-5S"/>
        <s v="110-5A-5T"/>
        <s v="110-5A-5V"/>
        <s v="110-5A-6A"/>
        <s v="110-5A-6F"/>
        <s v="110-5A-6M"/>
        <s v="110-5A-6N"/>
        <s v="110-5A-6O"/>
        <s v="110-5A-6P"/>
        <s v="110-5A-6Q"/>
        <s v="110-5A-6R"/>
        <n v="3.0"/>
        <s v="203-25C-1"/>
        <s v="110-5A-6S"/>
        <s v="110-5A-6T"/>
        <s v="110-5A-6U"/>
        <s v="110-5A-6V"/>
        <s v="110-5A-6W"/>
        <s v="110-5A-6X"/>
        <s v="110-5A-6Y"/>
        <s v="110-5A-6Z"/>
        <s v="110-5A-7A"/>
        <s v="110-5A-7B"/>
        <s v="110-5A-7C"/>
        <s v="110-5A-7D"/>
        <s v="110-5A-7E"/>
        <s v="110-5A-7F"/>
        <s v="110-5A-7G"/>
        <s v="110-5A-7H"/>
        <s v="110-5A-7I"/>
        <s v="110-5A-4B"/>
        <s v="110-5A-4C"/>
        <s v="110-5A-4D"/>
        <s v="110-5A-4E"/>
        <s v="110-5A-4F"/>
        <s v="110-5A-4G"/>
        <s v="110-5A-4H"/>
        <s v="110-5A-4J"/>
        <s v="110-5A-4K"/>
        <s v="110-5A-4L"/>
        <s v="110-5A-4O"/>
        <s v="110-5A-4P"/>
        <s v="110-5A-4R"/>
        <s v="203-25C-2"/>
        <s v="203-25C-3"/>
        <s v="203-29A-6"/>
        <s v="110-5A-4S"/>
        <s v="110-5A-4T"/>
        <s v="110-5A-4X"/>
        <s v="110-5A-4Y"/>
        <s v="110-5A-4Z"/>
        <s v="110-5A-5A"/>
        <s v="110-5A-5F"/>
        <s v="110-5A-5K"/>
        <s v="110-5A-5M"/>
        <s v="110-5A-5N"/>
        <s v="110-5A-5O"/>
        <s v="110-5A-5P"/>
        <s v="110-5A-5Q"/>
        <s v="110-5A-5R"/>
        <s v="110-5A-5U"/>
        <s v="110-5A-5W"/>
        <s v="110-5A-5X"/>
        <s v="110-5A-5Y"/>
        <s v="110-5A-5Z"/>
        <s v="110-5A-6B"/>
        <n v="226.0"/>
        <s v="110-5A-6C"/>
        <s v="110-5A-6D"/>
        <s v="110-5A-6E"/>
        <s v="110-5A-6G"/>
        <s v="110-5A-6H"/>
        <s v="110-5A-6I"/>
        <s v="110-5A-6J"/>
        <s v="110-5A-6K"/>
        <s v="84-1L RL2L-1"/>
        <s v="84-1L RL2L-2"/>
        <s v="203-29A-7"/>
        <s v="203-4B-1B"/>
        <s v="84-1L-3"/>
        <s v="110-5A-6L"/>
        <s v="106-150A-4B"/>
        <s v="C10"/>
        <s v="C11"/>
        <s v="C15"/>
        <s v="C16"/>
        <s v="C17"/>
        <s v="C18"/>
        <s v="C19"/>
        <s v="C22"/>
        <s v="C25"/>
        <s v="200-3C-4B"/>
        <s v="C35"/>
        <s v="C38"/>
        <s v="C42"/>
        <s v="C44"/>
        <s v="C45"/>
        <s v="106-36A-33A"/>
        <s v="C46"/>
        <s v="C47"/>
        <s v="C48"/>
        <s v="C5"/>
        <s v="C51"/>
        <s v="C55"/>
        <s v="D11"/>
        <s v="109-19A-24"/>
        <s v="D53"/>
        <s v="D7"/>
        <s v="D8"/>
        <s v="D9"/>
        <s v="E10"/>
        <s v="E11"/>
        <s v="E15"/>
        <s v="E17"/>
        <s v="E29"/>
        <s v="E3"/>
        <s v="E30"/>
        <s v="E33"/>
        <s v="E35"/>
        <s v="E36"/>
        <s v="E41"/>
        <s v="E42"/>
        <s v="E43"/>
        <s v="F1"/>
        <s v="F10"/>
        <s v="F12"/>
        <s v="F13"/>
        <s v="F14"/>
        <s v="F19"/>
        <s v="F2"/>
        <s v="F20"/>
        <s v="F25"/>
        <s v="F26"/>
        <s v="F27"/>
        <s v="F28"/>
        <s v="F29"/>
        <s v="F30"/>
        <s v="F31"/>
        <s v="F35"/>
        <s v="F36"/>
        <s v="F5"/>
        <s v="F6"/>
        <s v="F7"/>
        <s v="F8"/>
        <s v="203-6B-1"/>
        <s v="84-4G-4"/>
        <s v="110-5A-1O"/>
        <s v="110-5A-1Y"/>
        <s v="84-5C"/>
        <n v="1328.0"/>
        <s v="27-2"/>
        <s v="27-2-1"/>
        <s v="27-2-2"/>
        <s v="G1"/>
        <s v="G16"/>
        <s v="G2"/>
        <s v="G21"/>
        <s v="G24"/>
        <s v="G26"/>
        <s v="G29"/>
        <s v="G30"/>
        <s v="G31"/>
        <s v="G33"/>
        <s v="G35"/>
        <s v="G36"/>
        <s v="G37"/>
        <s v="G38"/>
        <s v="G4"/>
        <s v="G40"/>
        <s v="G41"/>
        <s v="5B-1"/>
        <s v="5B-2"/>
        <s v="5B-3"/>
        <s v="5B-4"/>
        <s v="8B-1"/>
        <s v="8B-10"/>
        <s v="8B-11"/>
        <s v="8B-12"/>
        <s v="8B-13"/>
        <s v="8B-14"/>
        <s v="8B-15"/>
        <s v="8B-16"/>
        <s v="8B-17"/>
        <s v="G42"/>
        <s v="G43"/>
        <s v="G46"/>
        <s v="G47"/>
        <s v="G5"/>
        <s v="G50"/>
        <s v="G51"/>
        <s v="G52"/>
        <s v="G53"/>
        <s v="G55"/>
        <s v="G56"/>
        <s v="G57"/>
        <s v="G58"/>
        <s v="G60"/>
        <s v="G7"/>
        <s v="H20"/>
        <s v="H22"/>
        <s v="H26"/>
        <s v="H27"/>
        <s v="H28"/>
        <s v="H29"/>
        <s v="H32"/>
        <s v="H33"/>
        <s v="H34"/>
        <s v="H35"/>
        <s v="8B-18"/>
        <s v="H36"/>
        <s v="H38"/>
        <s v="H39"/>
        <s v="H42"/>
        <s v="H44"/>
        <s v="H45"/>
        <s v="H46"/>
        <s v="H47"/>
        <s v="H48"/>
        <s v="H49"/>
        <s v="H50"/>
        <s v="H51"/>
        <s v="H52"/>
        <s v="H53"/>
        <s v="H57"/>
        <s v="H58"/>
        <s v="H59"/>
        <s v="H60"/>
        <s v="102-B"/>
        <s v="121B"/>
        <s v="121C"/>
        <s v="121D"/>
        <s v="121H"/>
        <s v="121I"/>
        <s v="121L"/>
        <s v="121P"/>
        <s v="121U"/>
        <s v="121V"/>
        <s v="121W"/>
        <s v="121X"/>
        <s v="121Y"/>
        <s v="121Z"/>
        <s v="122A"/>
        <s v="122B"/>
        <s v="A10"/>
        <s v="A13"/>
        <s v="A14"/>
        <s v="A19"/>
        <s v="A22"/>
        <s v="A23"/>
        <s v="A25"/>
        <s v="A28"/>
        <s v="A3"/>
        <s v="A42"/>
        <s v="A5"/>
        <s v="A6"/>
        <s v="A8"/>
        <s v="B18"/>
        <s v="B19"/>
        <s v="B20"/>
        <s v="B23"/>
        <s v="B24"/>
        <s v="B25"/>
        <s v="B26"/>
        <s v="B28"/>
        <s v="B4"/>
        <s v="B41"/>
        <s v="B42"/>
        <s v="B43"/>
        <s v="B45"/>
        <s v="B49"/>
        <s v="B51"/>
        <s v="B52"/>
        <s v="B54"/>
        <s v="B56"/>
        <s v="B59"/>
        <s v="B6"/>
        <s v="B7"/>
        <s v="B70"/>
        <n v="98.0"/>
        <n v="225.0"/>
        <s v="C1"/>
        <s v="C12"/>
        <s v="C13"/>
        <s v="C14"/>
        <s v="C2"/>
        <s v="C28"/>
        <s v="C29"/>
        <s v="C3"/>
        <s v="C4"/>
        <s v="C40"/>
        <s v="C41"/>
        <s v="C43"/>
        <s v="C49"/>
        <s v="C50"/>
        <s v="C52"/>
        <s v="C53"/>
        <s v="C54"/>
        <s v="C57"/>
        <s v="C58"/>
        <s v="C60"/>
        <s v="C61"/>
        <s v="D20"/>
        <s v="D21"/>
        <s v="D24"/>
        <s v="D32"/>
        <s v="D35"/>
        <s v="E1"/>
        <s v="E12"/>
        <s v="D39"/>
        <s v="D40"/>
        <s v="D41"/>
        <s v="D42"/>
        <s v="D43"/>
        <s v="D44"/>
        <s v="D45"/>
        <s v="B-1"/>
        <s v="A-24"/>
        <s v="E18"/>
        <s v="E19"/>
        <s v="E22"/>
        <s v="E24"/>
        <s v="E26"/>
        <s v="E27"/>
        <s v="E31"/>
        <s v="E6"/>
        <s v="E7"/>
        <s v="B-26"/>
        <s v="B-27"/>
        <s v="B-32"/>
        <s v="A15"/>
        <s v="A16"/>
        <s v="A17"/>
        <s v="A20"/>
        <s v="A29"/>
        <s v="B2"/>
        <s v="B27"/>
        <s v="B29"/>
        <s v="B3"/>
        <s v="B44"/>
        <n v="63.0"/>
        <n v="103.0"/>
        <n v="80.0"/>
        <n v="143.0"/>
        <n v="106.0"/>
      </sharedItems>
    </cacheField>
    <cacheField name="Clone ID" numFmtId="0">
      <sharedItems containsBlank="1">
        <m/>
        <s v="BQ"/>
        <s v="BQ2"/>
        <s v="BR"/>
        <s v="BR2"/>
        <s v="BS"/>
        <s v="BS2"/>
        <s v="BT"/>
        <s v="BT2"/>
        <s v="BU"/>
        <s v="BV"/>
        <s v="BW"/>
        <s v="BX"/>
        <s v="BY"/>
        <s v="BZ"/>
        <s v="CA"/>
        <s v="CB"/>
        <s v="CC"/>
        <s v="CD"/>
        <s v="CE"/>
        <s v="CF"/>
        <s v="CG"/>
        <s v="CH"/>
        <s v="CI"/>
        <s v="CJ"/>
        <s v="CK"/>
        <s v="CL"/>
        <s v="CM"/>
        <s v="CN"/>
        <s v="CO"/>
        <s v="CP"/>
        <s v="CQ"/>
        <s v="CR"/>
        <s v="CS"/>
        <s v="CT"/>
        <s v="CU"/>
        <s v="CV"/>
        <s v="CW"/>
        <s v="CX"/>
        <s v="CY"/>
        <s v="CZ"/>
        <s v="DA"/>
        <s v="DB"/>
        <s v="DC"/>
        <s v="DD"/>
        <s v="DE"/>
        <s v="DF"/>
        <s v="DG"/>
        <s v="DH"/>
        <s v="DI"/>
        <s v="DJ"/>
        <s v="DK"/>
        <s v="DL"/>
        <s v="DM"/>
        <s v="DN"/>
        <s v="DO"/>
        <s v="DP"/>
        <s v="BJ"/>
        <s v="BK"/>
        <s v="BL"/>
        <s v="BM"/>
        <s v="BN"/>
        <s v="AA"/>
        <s v="AB"/>
        <s v="AC"/>
        <s v="AD"/>
        <s v="AE"/>
        <s v="AF"/>
        <s v="AG"/>
        <s v="AH"/>
        <s v="AI"/>
        <s v="AJ"/>
        <s v="AK"/>
        <s v="AL"/>
        <s v="AM"/>
        <s v="AN"/>
        <s v="AO"/>
        <s v="AP"/>
        <s v="AQ"/>
        <s v="AR"/>
        <s v="AS"/>
        <s v="AT"/>
        <s v="AU"/>
        <s v="AV"/>
        <s v="AW"/>
        <s v="AX"/>
        <s v="AY"/>
        <s v="AZ"/>
        <s v="BA"/>
        <s v="BB"/>
        <s v="BC"/>
        <s v="BD"/>
        <s v="BE"/>
        <s v="AA2"/>
        <s v="BF"/>
        <s v="BG"/>
        <s v="BH"/>
        <s v="BI"/>
        <s v="BO"/>
        <s v="BP"/>
        <s v="A"/>
        <s v="B"/>
        <s v="C"/>
        <s v="D"/>
        <s v="E"/>
        <s v="F"/>
        <s v="G"/>
        <s v="I"/>
        <s v="J"/>
        <s v="K"/>
        <s v="L"/>
        <s v="M"/>
        <s v="DQ"/>
        <s v="DR"/>
        <s v="DS"/>
        <s v="DT"/>
        <s v="DU"/>
        <s v="DV"/>
        <s v="DW"/>
        <s v="AB2"/>
        <s v="AC2"/>
        <s v="AD2"/>
        <s v="AE2"/>
        <s v="AF2"/>
        <s v="AG2"/>
        <s v="AH2"/>
        <s v="AI2"/>
        <s v="AJ2"/>
        <s v="AK2"/>
        <s v="AL2"/>
        <s v="AM2"/>
        <s v="AN2"/>
        <s v="AO2"/>
        <s v="AP2"/>
        <s v="AQ2"/>
        <s v="AR2"/>
        <s v="AS2"/>
        <s v="AT2"/>
        <s v="AU2"/>
        <s v="AV2"/>
        <s v="AW2"/>
        <s v="AX2"/>
        <s v="AY2"/>
        <s v="AZ2"/>
        <s v="BA2"/>
        <s v="BB2"/>
        <s v="BC2"/>
        <s v="BD2"/>
        <s v="BE2"/>
        <s v="BF2"/>
        <s v="BG2"/>
        <s v="BH2"/>
        <s v="BI2"/>
        <s v="BJ2"/>
        <s v="BK2"/>
        <s v="BL2"/>
        <s v="BM2"/>
        <s v="BN2"/>
        <s v="BO2"/>
        <s v="BP2"/>
        <s v="H"/>
      </sharedItems>
    </cacheField>
    <cacheField name="PopIndCloneEndo" numFmtId="0">
      <sharedItems containsBlank="1">
        <s v="COHR,1,,1"/>
        <s v="COHR,134-4-1,,1"/>
        <s v="COHR,134-4-10,,1"/>
        <s v="COHR,134-4-11,,1"/>
        <s v="COHR,134-4-12,,1"/>
        <s v="COHR,134-4-13,,1"/>
        <s v="COHR,134-4-14,,1"/>
        <s v="COHR,134-4-15,,1"/>
        <s v="COHR,134-4-16,,1"/>
        <s v="COHR,134-4-17,,1"/>
        <s v="COHR,134-4-18,,1"/>
        <s v="COHR,134-4-19,,1"/>
        <s v="COHR,134-4-2,,1"/>
        <s v="COHR,134-4-20,,1"/>
        <s v="COHR,134-4-21,,1"/>
        <s v="COHR,134-4-22,,1"/>
        <s v="COHR,134-4-23,,1"/>
        <s v="COHR,134-4-24,,1"/>
        <s v="COHR,134-4-25,,1"/>
        <s v="COHR,134-4-26,,1"/>
        <s v="COHR,134-4-27,,1"/>
        <s v="COHR,134-4-28,,1"/>
        <s v="COHR,134-4-29,,1"/>
        <s v="COHR,134-4-3,,1"/>
        <s v="COHR,134-4-30,,1"/>
        <s v="COHR,134-4-31,,1"/>
        <s v="COHR,134-4-32,,1"/>
        <s v="COHR,134-4-4,,1"/>
        <s v="COHR,134-4-5,,1"/>
        <s v="COHR,134-4-6,,1"/>
        <s v="COHR,134-4-7,,1"/>
        <s v="COHR,134-4-8,,1"/>
        <s v="COHR,134-4-9,,1"/>
        <s v="COHR,215-1-15,BQ,0"/>
        <s v="COHR,215-1-15,BQ2,0"/>
        <s v="COHR,215-1-15,BR,0"/>
        <s v="COHR,215-1-15,BR2,0"/>
        <s v="COHR,215-1-15,BS,0"/>
        <s v="COHR,215-1-15,BS2,0"/>
        <s v="COHR,215-1-15,BT,0"/>
        <s v="COHR,215-1-15,BT2,0"/>
        <s v="COHR,215-1-15,BU,0"/>
        <s v="COHR,215-1-15,BV,0"/>
        <s v="COHR,215-1-15,BW,0"/>
        <s v="COHR,215-1-15,BX,0"/>
        <s v="COHR,215-1-15,BY,0"/>
        <s v="COHR,215-1-15,BZ,0"/>
        <s v="COHR,215-1-15,CA,0"/>
        <s v="COHR,215-1-15,CB,0"/>
        <s v="COHR,215-1-15,CC,0"/>
        <s v="COHR,215-1-15,CD,0"/>
        <s v="COHR,215-1-15,CE,0"/>
        <s v="COHR,215-1-15,CF,0"/>
        <s v="COHR,215-1-15,CG,0"/>
        <s v="COHR,215-1-15,CH,0"/>
        <s v="COHR,215-1-15,CI,0"/>
        <s v="COHR,215-1-15,CJ,0"/>
        <s v="COHR,215-1-15,CK,0"/>
        <s v="COHR,215-1-15,CL,0"/>
        <s v="COHR,215-1-15,CM,0"/>
        <s v="COHR,215-1-15,CN,0"/>
        <s v="COHR,215-1-15,CO,0"/>
        <s v="COHR,215-1-15,CP,0"/>
        <s v="COHR,215-1-15,CQ,0"/>
        <s v="COHR,215-1-15,CR,0"/>
        <s v="COHR,215-1-15,CS,0"/>
        <s v="COHR,215-1-15,CT,0"/>
        <s v="COHR,215-1-15,CU,0"/>
        <s v="COHR,215-1-15,CV,0"/>
        <s v="COHR,215-1-15,CW,0"/>
        <s v="COHR,215-1-15,CX,0"/>
        <s v="COHR,215-1-15,CY,0"/>
        <s v="COHR,215-1-15,CZ,0"/>
        <s v="COHR,215-1-15,DA,0"/>
        <s v="COHR,215-1-15,DB,0"/>
        <s v="COHR,215-1-15,DC,0"/>
        <s v="COHR,215-1-15,DD,0"/>
        <s v="COHR,215-1-15,DE,0"/>
        <s v="COHR,215-1-15,DF,0"/>
        <s v="COHR,215-1-15,DG,0"/>
        <s v="COHR,215-1-15,DH,0"/>
        <s v="COHR,215-1-15,DI,0"/>
        <s v="COHR,215-1-15,DJ,0"/>
        <s v="COHR,215-1-15,DK,0"/>
        <s v="COHR,215-1-15,DL,0"/>
        <s v="COHR,215-1-15,DM,0"/>
        <s v="COHR,215-1-15,DN,0"/>
        <s v="COHR,215-1-15,DO,0"/>
        <s v="COHR,215-1-15,DP,0"/>
        <s v="COHR,215-2,BJ,0"/>
        <s v="COHR,215-2,BK,0"/>
        <s v="COHR,215-2,BL,0"/>
        <s v="COHR,215-2,BM,0"/>
        <s v="COHR,215-2,BN,0"/>
        <s v="COHR,215-2-1,AA,0"/>
        <s v="COHR,215-2-1,AB,0"/>
        <s v="COHR,215-2-1,AC,0"/>
        <s v="COHR,215-2-1,AD,0"/>
        <s v="COHR,215-2-1,AE,0"/>
        <s v="COHR,215-2-1,AF,0"/>
        <s v="COHR,215-2-1,AG,0"/>
        <s v="COHR,215-2-1,AH,0"/>
        <s v="COHR,215-2-1,AI,0"/>
        <s v="COHR,215-2-1,AJ,0"/>
        <s v="COHR,215-2-1,AK,0"/>
        <s v="COHR,215-2-1,AL,0"/>
        <s v="COHR,215-2-1,AM,0"/>
        <s v="COHR,215-2-1,AN,0"/>
        <s v="COHR,215-2-1,AO,0"/>
        <s v="COHR,215-2-1,AP,0"/>
        <s v="COHR,215-2-1,AQ,0"/>
        <s v="COHR,215-2-1,AR,0"/>
        <s v="COHR,215-2-1,AS,0"/>
        <s v="COHR,215-2-1,AT,0"/>
        <s v="COHR,215-2-1,AU,0"/>
        <s v="COHR,215-2-1,AV,0"/>
        <s v="COHR,215-2-1,AW,0"/>
        <s v="COHR,215-2-1,AX,0"/>
        <s v="COHR,215-3-1,,0"/>
        <s v="COHR,215-3-10,,0"/>
        <s v="COHR,215-3-11,,0"/>
        <s v="COHR,215-3-12,,0"/>
        <s v="COHR,215-3-13,,0"/>
        <s v="COHR,215-3-13,AA,0"/>
        <s v="COHR,215-3-13,AB,0"/>
        <s v="COHR,215-3-13,AC,0"/>
        <s v="COHR,215-3-14,,0"/>
        <s v="COHR,215-3-15,,0"/>
        <s v="COHR,215-3-16,,0"/>
        <s v="COHR,215-3-17,,0"/>
        <s v="COHR,215-3-18,,0"/>
        <s v="COHR,215-3-19,,0"/>
        <s v="COHR,215-3-2,,0"/>
        <s v="COHR,215-3-20,,0"/>
        <s v="COHR,215-3-21,,0"/>
        <s v="COHR,215-3-22,,0"/>
        <s v="COHR,215-3-3,,0"/>
        <s v="COHR,215-3-4,,0"/>
        <s v="COHR,215-3-45,AH,0"/>
        <s v="COHR,215-3-45,AI,0"/>
        <s v="COHR,215-3-45,AJ,0"/>
        <s v="COHR,215-3-45,AK,0"/>
        <s v="COHR,215-3-45,AL,0"/>
        <s v="COHR,215-3-45,AM,0"/>
        <s v="COHR,215-3-6,,0"/>
        <s v="COHR,215-3-7,,0"/>
        <s v="COHR,215-3-8,,0"/>
        <s v="COHR,215-3-9,,0"/>
        <s v="COHR,215-5-1,,1"/>
        <s v="COHR,215-5-2,,1"/>
        <s v="COHR,215-5-3,,0"/>
        <s v="COHR,225-1-1,,0"/>
        <s v="COHR,225-1-10,,0"/>
        <s v="COHR,225-1-11,,NA"/>
        <s v="COHR,225-1-12,,NA"/>
        <s v="COHR,225-1-13,,0"/>
        <s v="COHR,225-1-13,AA,0"/>
        <s v="COHR,225-1-14,,NA"/>
        <s v="COHR,225-1-15,,NA"/>
        <s v="COHR,225-1-16,,0"/>
        <s v="COHR,225-1-17,,NA"/>
        <s v="COHR,225-1-18,,NA"/>
        <s v="COHR,225-1-19,,NA"/>
        <s v="COHR,225-1-2,,0"/>
        <s v="COHR,225-1-20,,NA"/>
        <s v="COHR,225-1-21,,0"/>
        <s v="COHR,225-1-22,,NA"/>
        <s v="COHR,225-1-23,,NA"/>
        <s v="COHR,225-1-24,,NA"/>
        <s v="COHR,225-1-25,,0"/>
        <s v="COHR,225-1-26,,NA"/>
        <s v="COHR,225-1-27,,NA"/>
        <s v="COHR,225-1-28,,0"/>
        <s v="COHR,225-1-29,,NA"/>
        <s v="COHR,225-1-3,,NA"/>
        <s v="COHR,225-1-30,,0"/>
        <s v="COHR,225-1-31,,0"/>
        <s v="COHR,225-1-32,,0"/>
        <s v="COHR,225-1-33,,0"/>
        <s v="COHR,225-1-34,,0"/>
        <s v="COHR,225-1-35,,NA"/>
        <s v="COHR,225-1-4,,NA"/>
        <s v="COHR,225-1-5,,NA"/>
        <s v="COHR,225-1-6,,NA"/>
        <s v="COHR,225-1-7,,0"/>
        <s v="COHR,225-1-8,,NA"/>
        <s v="COHR,225-1-9,,0"/>
        <s v="COHR,225-5-1,,0"/>
        <s v="COHR,225-5-10,,0"/>
        <s v="COHR,225-5-11,,0"/>
        <s v="COHR,225-5-12,,0"/>
        <s v="COHR,225-5-13,,0"/>
        <s v="COHR,225-5-14,,0"/>
        <s v="COHR,225-5-15,,0"/>
        <s v="COHR,225-5-16,,0"/>
        <s v="COHR,225-5-17,,0"/>
        <s v="COHR,225-5-18,,0"/>
        <s v="COHR,225-5-19,,0"/>
        <s v="COHR,225-5-2,,0"/>
        <s v="COHR,225-5-20,,0"/>
        <s v="COHR,225-5-21,,0"/>
        <s v="COHR,225-5-22,,0"/>
        <s v="COHR,225-5-23,,0"/>
        <s v="COHR,225-5-24,,0"/>
        <s v="COHR,225-5-25,,0"/>
        <s v="COHR,225-5-26,,0"/>
        <s v="COHR,225-5-27,,0"/>
        <s v="COHR,225-5-28,,0"/>
        <s v="COHR,225-5-3,,0"/>
        <s v="COHR,225-5-4,,0"/>
        <s v="COHR,225-5-5,,0"/>
        <s v="COHR,225-5-6,,0"/>
        <s v="COHR,225-5-7,,0"/>
        <s v="COHR,225-5-8,,0"/>
        <s v="COHR,225-5-9,,0"/>
        <s v="COHR,234-2-8,,0"/>
        <s v="COHR,234-3-1,,NA"/>
        <s v="COHR,234-3-2,,NA"/>
        <s v="COHR,234-3-3,,NA"/>
        <s v="COHR,234-3-4,,0"/>
        <s v="COHR,234-3-5,,0"/>
        <s v="COHR,234-3-6,,NA"/>
        <s v="COHR,234-3-7,,1"/>
        <s v="COHR,25-1-33,AA,NA"/>
        <s v="COHR,25-1-33,AB,NA"/>
        <s v="COHR,26-5-1,,NA"/>
        <s v="COHR,26-7-22,AA,NA"/>
        <s v="COHR,26-8-1,,1"/>
        <s v="COHR,26-8-1,AA,1"/>
        <s v="COHR,26-8-1,AB,1"/>
        <s v="COHR,26-8-1,AC,1"/>
        <s v="COHR,26-8-1,AD,1"/>
        <s v="COHR,26-8-1,AE,1"/>
        <s v="COHR,26-8-1,AF,1"/>
        <s v="COHR,26-8-1,AG,1"/>
        <s v="COHR,26-8-1,AH,1"/>
        <s v="COHR,26-8-2,,NA"/>
        <s v="COHR,26-8-3,,0.5"/>
        <s v="COHR,26-8-3,AA,0.5"/>
        <s v="COHR,26-8-3,AB,0.5"/>
        <s v="COHR,26-8-4,,NA"/>
        <s v="COHR,26-8-4,AA,1"/>
        <s v="COHR,26-8-5,,NA"/>
        <s v="COHR,26-8-6,,NA"/>
        <s v="COHR,26-8-6,AA,1"/>
        <s v="COHR,26-8-7,,NA"/>
        <s v="COHR,26-8-8,,NA"/>
        <s v="COHR,26-8-9,,NA"/>
        <s v="COHR,35-1-1,,NA"/>
        <s v="COHR,35-1-10,,NA"/>
        <s v="COHR,35-1-11,,NA"/>
        <s v="COHR,35-1-12,,NA"/>
        <s v="COHR,35-1-13,,NA"/>
        <s v="COHR,35-1-14,,1"/>
        <s v="COHR,35-1-14,AA,1"/>
        <s v="COHR,35-1-14,AB,1"/>
        <s v="COHR,35-1-14,AC,1"/>
        <s v="COHR,35-1-14,AD,1"/>
        <s v="COHR,35-1-15,,1"/>
        <s v="COHR,35-1-15,AA,1"/>
        <s v="COHR,35-1-15,AB,1"/>
        <s v="COHR,35-1-15,AC,1"/>
        <s v="COHR,35-1-15,AD,1"/>
        <s v="COHR,35-1-15,AE,1"/>
        <s v="COHR,35-1-15,AF,1"/>
        <s v="COHR,35-1-15,AG,1"/>
        <s v="COHR,35-1-15,AH,1"/>
        <s v="COHR,35-1-15,AI,1"/>
        <s v="COHR,35-1-15,AJ,1"/>
        <s v="COHR,35-1-15,AK,1"/>
        <s v="COHR,35-1-16,,1"/>
        <s v="COHR,35-1-16,AA,1"/>
        <s v="COHR,35-1-16,AB,1"/>
        <s v="COHR,35-1-16,AC,1"/>
        <s v="COHR,35-1-17,,1"/>
        <s v="COHR,35-1-17,AA,1"/>
        <s v="COHR,35-1-17,AB,1"/>
        <s v="COHR,35-1-18,,0.5"/>
        <s v="COHR,35-1-18,AA,0.5"/>
        <s v="COHR,35-1-18,AB,0.5"/>
        <s v="COHR,35-1-19,,0"/>
        <s v="COHR,35-1-19,AA,NA"/>
        <s v="COHR,35-1-19,AB,NA"/>
        <s v="COHR,35-1-2,,NA"/>
        <s v="COHR,35-1-2,AA,0"/>
        <s v="COHR,35-1-2,AB,0"/>
        <s v="COHR,35-1-2,AC,0"/>
        <s v="COHR,35-1-20,,1"/>
        <s v="COHR,35-1-20,AA,1"/>
        <s v="COHR,35-1-20,AB,1"/>
        <s v="COHR,35-1-21,,NA"/>
        <s v="COHR,35-1-22,,NA"/>
        <s v="COHR,35-1-23,,NA"/>
        <s v="COHR,35-1-24,,NA"/>
        <s v="COHR,35-1-25,,1"/>
        <s v="COHR,35-1-25,AA,1"/>
        <s v="COHR,35-1-25,AB,1"/>
        <s v="COHR,35-1-25,AC,1"/>
        <s v="COHR,35-1-25,AD,1"/>
        <s v="COHR,35-1-25,AE,1"/>
        <s v="COHR,35-1-25,AF,1"/>
        <s v="COHR,35-1-25,AG,1"/>
        <s v="COHR,35-1-26,,0"/>
        <s v="COHR,35-1-26,AA,0"/>
        <s v="COHR,35-1-26,AB,0"/>
        <s v="COHR,35-1-27,,1"/>
        <s v="COHR,35-1-27,AA,1"/>
        <s v="COHR,35-1-27,AB,1"/>
        <s v="COHR,35-1-27,AC,1"/>
        <s v="COHR,35-1-27,AD,1"/>
        <s v="COHR,35-1-27,AE,1"/>
        <s v="COHR,35-1-27,AF,1"/>
        <s v="COHR,35-1-28,,0"/>
        <s v="COHR,35-1-28,AA,0"/>
        <s v="COHR,35-1-28,AB,0"/>
        <s v="COHR,35-1-28,AC,0"/>
        <s v="COHR,35-1-29,,1"/>
        <s v="COHR,35-1-29,AA,1"/>
        <s v="COHR,35-1-29,AB,1"/>
        <s v="COHR,35-1-29,AC,1"/>
        <s v="COHR,35-1-3,,NA"/>
        <s v="COHR,35-1-30,,1"/>
        <s v="COHR,35-1-30,AA,1"/>
        <s v="COHR,35-1-30,AB,1"/>
        <s v="COHR,35-1-30,AC,1"/>
        <s v="COHR,35-1-30,AD,1"/>
        <s v="COHR,35-1-30,AE,1"/>
        <s v="COHR,35-1-30,AF,1"/>
        <s v="COHR,35-1-30,AG,1"/>
        <s v="COHR,35-1-30,AH,1"/>
        <s v="COHR,35-1-30,AI,1"/>
        <s v="COHR,35-1-30,AJ,1"/>
        <s v="COHR,35-1-31,,1"/>
        <s v="COHR,35-1-31,AA,1"/>
        <s v="COHR,35-1-31,AB,1"/>
        <s v="COHR,35-1-31,AC,1"/>
        <s v="COHR,35-1-31,AD,1"/>
        <s v="COHR,35-1-32,,1"/>
        <s v="COHR,35-1-32,AA,1"/>
        <s v="COHR,35-1-32,AB,1"/>
        <s v="COHR,35-1-33,,1"/>
        <s v="COHR,35-1-33,AA,1"/>
        <s v="COHR,35-1-33,AB,1"/>
        <s v="COHR,35-1-33,AC,1"/>
        <s v="COHR,35-1-33,AD,1"/>
        <s v="COHR,35-1-33,AE,1"/>
        <s v="COHR,35-1-33,AF,1"/>
        <s v="COHR,35-1-34,,1"/>
        <s v="COHR,35-1-34,AA,1"/>
        <s v="COHR,35-1-35,,NA"/>
        <s v="COHR,35-1-36,,1"/>
        <s v="COHR,35-1-36,AA,1"/>
        <s v="COHR,35-1-36,AB,1"/>
        <s v="COHR,35-1-36,AC,1"/>
        <s v="COHR,35-1-36,AD,1"/>
        <s v="COHR,35-1-37,,NA"/>
        <s v="COHR,35-1-38,,NA"/>
        <s v="COHR,35-1-39,AA,1"/>
        <s v="COHR,35-1-39,AB,1"/>
        <s v="COHR,35-1-39,AC,1"/>
        <s v="COHR,35-1-4,,NA"/>
        <s v="COHR,35-1-40,,1"/>
        <s v="COHR,35-1-40,AA,1"/>
        <s v="COHR,35-1-40,AB,1"/>
        <s v="COHR,35-1-41,,NA"/>
        <s v="COHR,35-1-41,AA,NA"/>
        <s v="COHR,35-1-41,AB,NA"/>
        <s v="COHR,35-1-41,AC,NA"/>
        <s v="COHR,35-1-41,AD,NA"/>
        <s v="COHR,35-1-42,,NA"/>
        <s v="COHR,35-1-42,AA,NA"/>
        <s v="COHR,35-1-43,,NA"/>
        <s v="COHR,35-1-44,,1"/>
        <s v="COHR,35-1-44,AA,1"/>
        <s v="COHR,35-1-44,AB,1"/>
        <s v="COHR,35-1-44,AC,1"/>
        <s v="COHR,35-1-44,AD,1"/>
        <s v="COHR,35-1-44,AE,1"/>
        <s v="COHR,35-1-44,AF,1"/>
        <s v="COHR,35-1-44,AG,1"/>
        <s v="COHR,35-1-44,AH,1"/>
        <s v="COHR,35-1-44,AI,1"/>
        <s v="COHR,35-1-44,AJ,1"/>
        <s v="COHR,35-1-45,AA,0"/>
        <s v="COHR,35-1-5,,NA"/>
        <s v="COHR,35-1-6,,NA"/>
        <s v="COHR,35-1-7,,NA"/>
        <s v="COHR,35-1-8,,NA"/>
        <s v="COHR,35-1-9,,NA"/>
        <s v="COHR,35-6-1,,NA"/>
        <s v="COHR,35-6-10,,NA"/>
        <s v="COHR,35-6-11,,NA"/>
        <s v="COHR,35-6-12,,0"/>
        <s v="COHR,35-6-13,,0"/>
        <s v="COHR,35-6-13,AA,0"/>
        <s v="COHR,35-6-14,,1"/>
        <s v="COHR,35-6-14,AA,1"/>
        <s v="COHR,35-6-14,AB,1"/>
        <s v="COHR,35-6-14,AC,1"/>
        <s v="COHR,35-6-14,AD,1"/>
        <s v="COHR,35-6-14,AE,1"/>
        <s v="COHR,35-6-14,AF,1"/>
        <s v="COHR,35-6-14,AG,1"/>
        <s v="COHR,35-6-14,AH,1"/>
        <s v="COHR,35-6-14,AI,1"/>
        <s v="COHR,35-6-14,AJ,1"/>
        <s v="COHR,35-6-15,,1"/>
        <s v="COHR,35-6-15,AA,1"/>
        <s v="COHR,35-6-15,AB,1"/>
        <s v="COHR,35-6-15,AC,1"/>
        <s v="COHR,35-6-15,AD,1"/>
        <s v="COHR,35-6-15,AE,1"/>
        <s v="COHR,35-6-16,,NA"/>
        <s v="COHR,35-6-16,AA,1"/>
        <s v="COHR,35-6-16,AB,1"/>
        <s v="COHR,35-6-16,AC,1"/>
        <s v="COHR,35-6-16,AD,1"/>
        <s v="COHR,35-6-16,AE,1"/>
        <s v="COHR,35-6-16,AF,1"/>
        <s v="COHR,35-6-16,AG,1"/>
        <s v="COHR,35-6-17,,1"/>
        <s v="COHR,35-6-17,AA,1"/>
        <s v="COHR,35-6-17,AB,1"/>
        <s v="COHR,35-6-17,AC,1"/>
        <s v="COHR,35-6-17,AD,1"/>
        <s v="COHR,35-6-17,AE,1"/>
        <s v="COHR,35-6-18,,1"/>
        <s v="COHR,35-6-18,AA,1"/>
        <s v="COHR,35-6-19,,1"/>
        <s v="COHR,35-6-19,AA,1"/>
        <s v="COHR,35-6-19,AB,1"/>
        <s v="COHR,35-6-19,AC,1"/>
        <s v="COHR,35-6-19,AD,1"/>
        <s v="COHR,35-6-19,AE,1"/>
        <s v="COHR,35-6-19,AF,1"/>
        <s v="COHR,35-6-19,AG,1"/>
        <s v="COHR,35-6-19,AH,1"/>
        <s v="COHR,35-6-19,AI,1"/>
        <s v="COHR,35-6-19,AJ,1"/>
        <s v="COHR,35-6-19,AK,1"/>
        <s v="COHR,35-6-19,AL,1"/>
        <s v="COHR,35-6-19,AM,1"/>
        <s v="COHR,35-6-19,AN,1"/>
        <s v="COHR,35-6-19,AO,1"/>
        <s v="COHR,35-6-19,AP,1"/>
        <s v="COHR,35-6-19,AQ,1"/>
        <s v="COHR,35-6-19,AR,1"/>
        <s v="COHR,35-6-2,,NA"/>
        <s v="COHR,35-6-20,,NA"/>
        <s v="COHR,35-6-21,,1"/>
        <s v="COHR,35-6-21,AA,1"/>
        <s v="COHR,35-6-21,AB,1"/>
        <s v="COHR,35-6-21,AC,1"/>
        <s v="COHR,35-6-21,AD,1"/>
        <s v="COHR,35-6-21,AE,1"/>
        <s v="COHR,35-6-21,AF,1"/>
        <s v="COHR,35-6-21,AG,1"/>
        <s v="COHR,35-6-21,AH,1"/>
        <s v="COHR,35-6-21,AI,1"/>
        <s v="COHR,35-6-21,AJ,1"/>
        <s v="COHR,35-6-21,AK,1"/>
        <s v="COHR,35-6-21,AL,1"/>
        <s v="COHR,35-6-21,AM,1"/>
        <s v="COHR,35-6-22,,NA"/>
        <s v="COHR,35-6-23,,NA"/>
        <s v="COHR,35-6-3,,0.5"/>
        <s v="COHR,35-6-3,AA,0.5"/>
        <s v="COHR,35-6-4,,NA"/>
        <s v="COHR,35-6-5,,NA"/>
        <s v="COHR,35-6-6,,NA"/>
        <s v="COHR,35-6-7,,1"/>
        <s v="COHR,35-6-7,AA,1"/>
        <s v="COHR,35-6-8,,NA"/>
        <s v="COHR,35-6-9,,NA"/>
        <s v="COHR,AA,,NA"/>
        <s v="HUNT,E13,,NA"/>
        <s v="HUNT,E14,,NA"/>
        <s v="HUNT,E16,AA,1"/>
        <s v="HUNT,E2,,0"/>
        <s v="HUNT,E20,,1"/>
        <s v="HUNT,E21,,NA"/>
        <s v="HUNT,E23,,NA"/>
        <s v="HUNT,E25,,NA"/>
        <s v="HUNT,E28,,NA"/>
        <s v="HUNT,E32,,NA"/>
        <s v="HUNT,E34,,1"/>
        <s v="HUNT,E37,,NA"/>
        <s v="HUNT,E38,,NA"/>
        <s v="HUNT,E39,,NA"/>
        <s v="HUNT,E4,,0"/>
        <s v="HUNT,E40,,NA"/>
        <s v="HUNT,E44,,NA"/>
        <s v="HUNT,E45,,NA"/>
        <s v="HUNT,E5,,0"/>
        <s v="HUNT,E8,AA,1"/>
        <s v="HUNT,E9,,0"/>
        <s v="HUNT,F11,AA,"/>
        <s v="HUNT,F15,,NA"/>
        <s v="HUNT,F16,,NA"/>
        <s v="HUNT,F17,,NA"/>
        <s v="HUNT,F18,,NA"/>
        <s v="HUNT,F21,,NA"/>
        <s v="HUNT,F22,,NA"/>
        <s v="HUNT,F23,,NA"/>
        <s v="HUNT,F24,,NA"/>
        <s v="HUNT,F3,,NA"/>
        <s v="HUNT,F32,,1"/>
        <s v="HUNT,F33,,1"/>
        <s v="HUNT,F34,,1"/>
        <s v="HUNT,F37,,0"/>
        <s v="HUNT,F38,,0"/>
        <s v="HUNT,F39,,1"/>
        <s v="HUNT,F4,AA,NA"/>
        <s v="HUNT,F40,,0"/>
        <s v="HUNT,F41,,1"/>
        <s v="HUNT,F42,,NA"/>
        <s v="HUNT,F43,,NA"/>
        <s v="HUNT,F44,,1"/>
        <s v="HUNT,F45,,1"/>
        <s v="HUNT,F46,,1"/>
        <s v="HUNT,F47,,NA"/>
        <s v="HUNT,F48,,NA"/>
        <s v="HUNT,F49,,NA"/>
        <s v="HUNT,F50,,0"/>
        <s v="HUNT,F51,,0"/>
        <s v="HUNT,F52,,0"/>
        <s v="HUNT,F53,,0"/>
        <s v="HUNT,F54,,NA"/>
        <s v="HUNT,F55,,NA"/>
        <s v="HUNT,F9,AA,0"/>
        <s v="JLP,109-19A-25,AS,1"/>
        <s v="JLP,109-19A-25,AW,1"/>
        <s v="JLP,109-19A-25,AX,1"/>
        <s v="JLP,109-19A-25,AY,1"/>
        <s v="JLP,109-19A-25,AZ,1"/>
        <s v="JLP,109-19A-25,BA,1"/>
        <s v="JLP,109-19A-25,BB,1"/>
        <s v="JLP,109-19A-25,BC,1"/>
        <s v="JLP,110-2a-13-c,AP,1"/>
        <s v="JLP,110-2a-13-c,AQ,1"/>
        <s v="JLP,110-2a-13-c,AR,1"/>
        <s v="JLP,110-2a-13-c,AS,1"/>
        <s v="JLP,110-2a-13-c,AT,1"/>
        <s v="JLP,110-2a-13-c,AU,1"/>
        <s v="JLP,110-2a-13-c,AV,1"/>
        <s v="JLP,110-2a-13-c,AW,1"/>
        <s v="JLP,110-2a-13-c,AX,1"/>
        <s v="JLP,110-2a-13-c,AY,1"/>
        <s v="JLP,110-2a-13-c,AZ,1"/>
        <s v="JLP,110-2a-13-c,BA,1"/>
        <s v="JLP,110-2a-13-c,BB,1"/>
        <s v="JLP,110-2A-13D,AP,1"/>
        <s v="JLP,110-2A-13D,AQ,1"/>
        <s v="JLP,110-2A-13D,AR,1"/>
        <s v="JLP,110-2A-13D,AS,1"/>
        <s v="JLP,110-2A-13D,AT,1"/>
        <s v="JLP,110-2A-13D,AU,1"/>
        <s v="JLP,110-2A-13D,AV,1"/>
        <s v="JLP,110-2A-13D,AW,1"/>
        <s v="JLP,110-2A-13D,AX,1"/>
        <s v="JLP,110-2A-13D,AY,1"/>
        <s v="JLP,110-2A-13D,AZ,1"/>
        <s v="JLP,110-2A-13D,BA,1"/>
        <s v="JLP,110-2A-13D,BB,1"/>
        <s v="JLP,110-2A-13D,BC,1"/>
        <s v="JLP,110-2A-13D,BD,1"/>
        <s v="JLP,110-2A-13D,BE,1"/>
        <m/>
        <s v="JLP,110-2A-22,AG,1"/>
        <s v="JLP,110-2A-22,AH,1"/>
        <s v="JLP,110-2A-22,AI,1"/>
        <s v="JLP,110-2A-22,AJ,1"/>
        <s v="JLP,110-2A-22,AK,1"/>
        <s v="JLP,110-2A-22,AL,1"/>
        <s v="JLP,110-2A-22,AM,1"/>
        <s v="JLP,110-2A-22,AN,1"/>
        <s v="JLP,110-2A-22,AO,1"/>
        <s v="JLP,110-2A-22,AP,1"/>
        <s v="JLP,110-2A-22,AQ,1"/>
        <s v="JLP,110-2A-22,AR,1"/>
        <s v="JLP,110-2A-22,AS,1"/>
        <s v="JLP,110-2A-6A-1A,,1"/>
        <s v="JLP,110-2A-6A-1B,,1"/>
        <s v="JLP,110-2A-6A-1C,,1"/>
        <s v="JLP,110-2A-6A-1D,,1"/>
        <s v="JLP,110-2A-6A-1E,,1"/>
        <s v="JLP,110-2A-6A-1F,,1"/>
        <s v="JLP,110-2A-6A-1G,,1"/>
        <s v="JLP,110-2A-6A-1H,,1"/>
        <s v="JLP,110-2A-6A-1I,,1"/>
        <s v="JLP,110-2A-6A-1J,,1"/>
        <s v="JLP,110-2A-6A-1K,,NA"/>
        <s v="JLP,110-2A-6A-1L,,1"/>
        <s v="JLP,110-2A-6A-1M,,1"/>
        <s v="JLP,110-2A-6A-1N,,NA"/>
        <s v="JLP,110-2A-6A-1O,,1"/>
        <s v="JLP,110-2A-6A-1P,,1"/>
        <s v="JLP,110-2A-6A-1Q,,1"/>
        <s v="JLP,110-2A-6A-1R,,NA"/>
        <s v="JLP,110-2A-6A-1S,,NA"/>
        <s v="JLP,110-2A-6A-1T,,NA"/>
        <s v="JLP,110-2A-6A-1U,,NA"/>
        <s v="JLP,110-2A-6A-1V,,NA"/>
        <s v="JLP,110-2A-6A-1W,,1"/>
        <s v="JLP,110-2A-6A-1X,,1"/>
        <s v="JLP,110-2A-6A-1Y,,NA"/>
        <s v="JLP,110-2A-6A-1Z,,NA"/>
        <s v="JLP,110-2A-6A-2A,,1"/>
        <s v="JLP,110-2A-6A-2B,,NA"/>
        <s v="JLP,110-2A-6A-2C,,NA"/>
        <s v="JLP,110-2A-6A-2D,,NA"/>
        <s v="JLP,110-2A-6A-2E,,NA"/>
        <s v="JLP,110-2A-6A-2F,,NA"/>
        <s v="JLP,110-2A-6A-2G,,NA"/>
        <s v="JLP,110-2A-6A-2H,,NA"/>
        <s v="JLP,110-2A-6A-2I,,1"/>
        <s v="JLP,110-44C-2,AA,1"/>
        <s v="JLP,110-44C-2,AB,1"/>
        <s v="JLP,110-44C-2,AC,1"/>
        <s v="JLP,110-44C-2,AD,1"/>
        <s v="JLP,110-44C-2,AE,1"/>
        <s v="JLP,110-44C-2,AF,1"/>
        <s v="JLP,110-44C-2,AG,1"/>
        <s v="JLP,110-44C-2,AH,1"/>
        <s v="JLP,110-44L-10,AI,1"/>
        <s v="JLP,110-44L-10,AJ,1"/>
        <s v="JLP,110-44L-10,AK,1"/>
        <s v="JLP,110-44L-10,AL,1"/>
        <s v="JLP,110-44L-10,AM,1"/>
        <s v="JLP,110-44L-10,AN,1"/>
        <s v="JLP,110-5A-2A,,0.5"/>
        <s v="JLP,110-5A-2B,,NA"/>
        <s v="JLP,110-5A-2C,,0"/>
        <s v="JLP,110-5A-2D,,0"/>
        <s v="JLP,110-5A-2E,,0"/>
        <s v="JLP,110-5A-2F,,0"/>
        <s v="JLP,110-5A-2G,,NA"/>
        <s v="JLP,110-5A-2H,,0"/>
        <s v="JLP,110-5A-2I,,NA"/>
        <s v="JLP,110-5A-2J,,0"/>
        <s v="JLP,110-5A-2K,,0"/>
        <s v="JLP,110-5A-2L,,0"/>
        <s v="JLP,110-5A-2M,,0"/>
        <s v="JLP,110-5A-2N,,NA"/>
        <s v="JLP,110-5A-2O,,NA"/>
        <s v="JLP,110-5A-2P,,NA"/>
        <s v="JLP,110-5A-2R,,0"/>
        <s v="JLP,110-5A-2U,,NA"/>
        <s v="JLP,110-5A-2V,,NA"/>
        <s v="JLP,110-5A-2W,,NA"/>
        <s v="JLP,110-5A-2Y,,0"/>
        <s v="JLP,110-5A-2Z,,0"/>
        <s v="LA1,201-15A-1,,NA"/>
        <s v="LA1,201-29A,AL,0"/>
        <s v="LA1,201-29A,AM,0"/>
        <s v="LA1,201-29A,AN,0"/>
        <s v="LA1,201-29A,AO,0"/>
        <s v="LA1,201-29A,AP,0"/>
        <s v="LA1,201-29A,AQ,0"/>
        <s v="LA1,201-29A,AR,0"/>
        <s v="LA1,201-29A,AS,0"/>
        <s v="LA1,201-29A,AT,0"/>
        <s v="LA1,201-29A,AU,0"/>
        <s v="LA1,201-29A,AV,0"/>
        <s v="LA1,201-29A,AW,0"/>
        <s v="LA1,201-29A,AX,0"/>
        <s v="LA1,201-29A,AY,0"/>
        <s v="LA1,201-29A,AZ,0"/>
        <s v="LA1,201-29A,BA,0"/>
        <s v="LA1,201-29A,BB,0"/>
        <s v="LA1,201-29A,BC,0"/>
        <s v="LA1,201-29A,BD,0"/>
        <s v="LA1,201-29A,BE,0"/>
        <s v="LA1,201-29A,BF,0"/>
        <s v="LA1,201-29B,AA,0"/>
        <s v="LA1,201-29B,AB,0"/>
        <s v="LA1,201-29B,AC,0"/>
        <s v="LA1,201-29B,AD,0"/>
        <s v="LA1,201-29B,AE,0"/>
        <s v="LA1,201-29B,AF,0"/>
        <s v="LA1,201-29B,AG,0"/>
        <s v="LA1,201-29B,AH,0"/>
        <s v="LA1,201-29B,AI,0"/>
        <s v="LA1,201-29B,AJ,0"/>
        <s v="LA1,201-29B,AK,0"/>
        <s v="LA1,201-29B,AL,0"/>
        <s v="LA1,201-29B,AM,0"/>
        <s v="LA1,201-29B,AN,0"/>
        <s v="LA1,201-29B,AO,0"/>
        <s v="LA1,201-29B,AP,0"/>
        <s v="LA1,201-29B,AQ,0"/>
        <s v="LA1,201-29B,AR,0"/>
        <s v="LA1,201-29B,AS,0"/>
        <s v="LA1,201-29B,AT,0"/>
        <s v="LA1,201-29B,AU,0"/>
        <s v="LA1,201-29B,AV,0"/>
        <s v="LA1,201-29B,AW,0"/>
        <s v="LA1,201-29B,AX,0"/>
        <s v="LA1,201-29B,AY,0"/>
        <s v="LA1,201-29B,AZ,0"/>
        <s v="LA1,201-29B,BA,0"/>
        <s v="LA1,201-29B,BB,0"/>
        <s v="LA1,201-29B,BC,0"/>
        <s v="LA1,201-29B,BD,0"/>
        <s v="LA1,201-29B,BE,0"/>
        <s v="LA1,201-29B,BF,0"/>
        <s v="LA1,201-29B,BG,0"/>
        <s v="LA1,201-29B,BH,0"/>
        <s v="LA1,201-29B,BI,0"/>
        <s v="LA1,201-29B,BJ,0"/>
        <s v="LA1,201-29B,BK,0"/>
        <s v="LA1,201-29B,BL,0"/>
        <s v="LA1,201-29B,BM,0"/>
        <s v="LA1,201-29B,BN,0"/>
        <s v="LA1,201-29B,BO,0"/>
        <s v="LA1,201-29B,BP,0"/>
        <s v="LA1,201-29B,BQ,0"/>
        <s v="LA1,201-29B,BR,0"/>
        <s v="LA1,201-29B,BS,0"/>
        <s v="LA1,201-29B,BT,0"/>
        <s v="LA1,201-29B,BU,0"/>
        <s v="LA1,201-29B,BV,0"/>
        <s v="LA1,201-29B,BW,0"/>
        <s v="LA1,201-29B,BX,0"/>
        <s v="LA1,201-29B,BY,0"/>
        <s v="LA1,201-29B,BZ,0"/>
        <s v="LA1,201-29B,CA,0"/>
        <s v="LA1,201-29B,CB,0"/>
        <s v="LA1,201-29B,CC,0"/>
        <s v="LA1,201-29B,CD,0"/>
        <s v="LA1,201-29B,CE,0"/>
        <s v="LA1,201-29B-3,A,0"/>
        <s v="LA1,201-29B-3,B,0"/>
        <s v="LA1,201-29B-3,C,0"/>
        <s v="LA1,201-29B-3,D,0"/>
        <s v="LA1,201-29B-4,AA,0"/>
        <s v="LA1,201-29B-4,AB,0"/>
        <s v="LA1,201-29B-4,AC,0"/>
        <s v="LA1,201-29B-4,AD,0"/>
        <s v="LA1,201-29B-4,AE,0"/>
        <s v="LA1,201-29B-4,AF,0"/>
        <s v="LA1,201-29B-4,AG,0"/>
        <s v="LA1,201-29B-4,AH,0"/>
        <s v="LA1,201-29B-4,AI,0"/>
        <s v="LA1,201-29B-4,AJ,0"/>
        <s v="LA1,201-29B-4,AK,0"/>
        <s v="LA1,201-29B-4,AL,0"/>
        <s v="LA1,201-29B-4,AM,0"/>
        <s v="LA1,201-29B-4,AN,0"/>
        <s v="LA1,201-29B-4,AO,0"/>
        <s v="LA1,201-29B-4,AP,0"/>
        <s v="LA1,201-29B-4,AQ,0"/>
        <s v="LA1,201-29B-4,AR,0"/>
        <s v="LA1,201-29B-4,AS,0"/>
        <s v="LA1,201-29B-4,AT,0"/>
        <s v="LA1,201-29B-4,AU,0"/>
        <s v="LA1,201-29B-4,AV,0"/>
        <s v="LA1,201-29B-4,AW,0"/>
        <s v="LA1,201-29B-4,AX,0"/>
        <s v="LA1,201-29B-4,AY,0"/>
        <s v="LA1,201-29B-4,AZ,0"/>
        <s v="LA1,201-29B-4,BA,0"/>
        <s v="LA1,201-29B-4,BB,0"/>
        <s v="LA1,201-29B-4,BC,0"/>
        <s v="LA1,201-29B-4,BD,0"/>
        <s v="LA1,201-29B-4,BE,0"/>
        <s v="LA1,201-30B-6,BO,1"/>
        <s v="LA1,201-30B-6,BP,1"/>
        <s v="LA1,201-30B-6,BQ,1"/>
        <s v="LA1,201-30B-6,BR,1"/>
        <s v="LA1,201-30B-6,BS,1"/>
        <s v="LA1,201-30B-6,BT,1"/>
        <s v="LA1,201-30B-6,BU,1"/>
        <s v="LA1,201-30B-6,BV,1"/>
        <s v="LA1,201-30B-6,BW,1"/>
        <s v="LA1,201-30B-6,BX,1"/>
        <s v="LA1,201-30B-6,BY,1"/>
        <s v="LA1,201-30B-6,BZ,1"/>
        <s v="LA1,201-30B-6,CA,1"/>
        <s v="LA1,201-30B-6,CB,1"/>
        <s v="LA1,201-30B-6,CC,1"/>
        <s v="LA1,201-30B-6,CD,1"/>
        <s v="LA1,201-30B-6,CE,1"/>
        <s v="LA1,201-30B-6,CF,1"/>
        <s v="LA1,201-30B-6,CG,1"/>
        <s v="LA1,201-30B-6,CH,1"/>
        <s v="LA1,201-30B-6,CI,1"/>
        <s v="LA1,201-30B-6,CJ,1"/>
        <s v="LA1,201-30B-6,CK,1"/>
        <s v="LA1,201-30B-6,CL,1"/>
        <s v="LA1,201-30B-6,CM,1"/>
        <s v="LA1,201-30B-6,CN,1"/>
        <s v="LA1,201-30B-6,CO,1"/>
        <s v="LA1,201-30B-6,CP,1"/>
        <s v="LA2,2019-2-1A,,NA"/>
        <s v="LA2,2019-2-1B,,NA"/>
        <s v="LA2,2019-2-1C,,NA"/>
        <s v="LA2,2019-2-1D,,NA"/>
        <s v="LA2,20-I7-1,,NA"/>
        <s v="LA2,20-I7-2,,NA"/>
        <s v="LA2,20-I7-3,,NA"/>
        <s v="LA2,20-I7-4,,NA"/>
        <s v="LA2,20-I7-5,,NA"/>
        <s v="LA2,20-I7-6,,NA"/>
        <s v="LA2,20-I8-1,,NA"/>
        <s v="LA2,20-I8-2,,NA"/>
        <s v="LA2,20-I8-3,,NA"/>
        <s v="LA2,20-I8-4,,NA"/>
        <s v="LA2,20-I8-5,,0"/>
        <s v="LA2,20-I8-6,,NA"/>
        <s v="LA2,20-I8-7,,NA"/>
        <s v="LA2,20-I8-8,,NA"/>
        <s v="LA2,84-1L RL2L-3,,NA"/>
        <s v="LA2,84-1L RL2L-4,,NA"/>
        <s v="LA2,84-5G-40,BK,1"/>
        <s v="LA2,84-5G-40,BL,1"/>
        <s v="LA2,84-5G-40,BM,1"/>
        <s v="LA2,84-5G-40,BN,1"/>
        <s v="LA2,84-5G-40,BO,1"/>
        <s v="LA2,84-5G-40,BP,1"/>
        <s v="LA2,84-5G-40,BQ,1"/>
        <s v="LA2,84-5G-40,BR,1"/>
        <s v="LA2,84-5G-40,BS,1"/>
        <s v="LA2,84-5G-41,E,1"/>
        <s v="LA2,84-5G-41,F,1"/>
        <s v="LA2,84-5G-41,G,1"/>
        <s v="LA2,84-5G-43,I,1"/>
        <s v="LA2,84-5G-43,J,1"/>
        <s v="LA2,84-5G-43,K,1"/>
        <s v="LA2,84-5G-43,L,1"/>
        <s v="LA2,84-5G-43,M,1"/>
        <s v="LA2,84-5G-63,AA,1"/>
        <s v="LA2,84-5G-63,AB,1"/>
        <s v="LA2,84-5G-63,AC,1"/>
        <s v="LA2,84-5G-63,AD,1"/>
        <s v="LA2,84-5G-63,AE,1"/>
        <s v="LA2,84-5G-63,AF,1"/>
        <s v="LA2,84-5G-63,AG,1"/>
        <s v="LA2,84-5G-63,AH,1"/>
        <s v="LA2,84-5G-63,AI,1"/>
        <s v="LA2,84-5G-63,AJ,1"/>
        <s v="LA2,84-5G-63,AK,1"/>
        <s v="LA2,84-5G-63,AL,1"/>
        <s v="LA2,84-5G-63,AM,1"/>
        <s v="LA2,84-5G-63,AN,1"/>
        <s v="LA2,84-5G-63,AO,1"/>
        <s v="LA2,84-5G-63,AP,1"/>
        <s v="LA2,84-5G-63,AQ,1"/>
        <s v="LA2,84-5G-63,AR,1"/>
        <s v="LA2,84-5G-63,AS,1"/>
        <s v="LA2,84-5G-63,AT,1"/>
        <s v="LA2,84-5G-63,AU,1"/>
        <s v="LA2,84-5G-63,AV,1"/>
        <s v="LA2,84-5G-63,AW,1"/>
        <s v="LA2,84-5G-63,AX,1"/>
        <s v="LA2,84-5G-63,AY,1"/>
        <s v="LA2,84-5G-63,AZ,1"/>
        <s v="LA2,84-5G-63,BA,1"/>
        <s v="LA2,84-5G-63,BB,1"/>
        <s v="LA2,84-5G-63,BC,1"/>
        <s v="LA2,84-5G-63,BD,1"/>
        <s v="LA2,84-5G-63,BE,1"/>
        <s v="LA2,84-5G-63,BF,1"/>
        <s v="LA2,84-5G-63,BG,1"/>
        <s v="LA2,84-5G-63,BH,1"/>
        <s v="LA2,84-5G-63,BI,1"/>
        <s v="LA2,84-5G-63,BJ,1"/>
        <s v="LA2,84-5G-63,BK,1"/>
        <s v="LA2,84-5G-63,BL,1"/>
        <s v="LA2,84-5G-63,BM,1"/>
        <s v="LA2,84-5G-63,BN,1"/>
        <s v="LA2,84-5G-63,BO,1"/>
        <s v="LA2,84-5G-63,BP,1"/>
        <s v="LA2,84-5G-63,BQ,1"/>
        <s v="LA2,84-5G-63,BR,1"/>
        <s v="LA2,84-5G-63,BS,1"/>
        <s v="LA2,84-5G-63,BT,1"/>
        <s v="LA2,84-5G-63,BU,1"/>
        <s v="LA2,84-5G-63,BV,1"/>
        <s v="LA2,84-5G-63,BW,1"/>
        <s v="LA2,84-5G-63,BX,1"/>
        <s v="LA2,84-5G-63,BY,1"/>
        <s v="LA2,84-5G-63,BZ,1"/>
        <s v="LA2,84-5G-63,CA,1"/>
        <s v="LA2,84-5G-63,CB,1"/>
        <s v="LA2,84-5G-63,CC,1"/>
        <s v="LA2,84-5G-63,CD,1"/>
        <s v="LA2,84-5G-63,CE,1"/>
        <s v="LA2,84-5G-63,CF,1"/>
        <s v="LA2,84-5G-63,CG,1"/>
        <s v="LA2,84-5G-63,CH,1"/>
        <s v="LA2,84-5G-63,CI,1"/>
        <s v="LA2,84-5G-63,CJ,1"/>
        <s v="LA2,84-5G-63,CK,1"/>
        <s v="LA2,84-5G-63,CL,1"/>
        <s v="LA2,84-5G-63,CM,1"/>
        <s v="LA2,84-5G-63,CN,1"/>
        <s v="LA2,84-5G-63,CO,1"/>
        <s v="LA2,84-5G-63,CP,1"/>
        <s v="LA2,84-5G-76,A,1"/>
        <s v="LA2,84-5G-76,B,1"/>
        <s v="LA2,84-5G-76,C,1"/>
        <s v="LA2,84-5G-76,D,1"/>
        <s v="LA2,A-25,,1"/>
        <s v="LA7,203-29A-1,,0"/>
        <s v="LA7,203-29A-2,,0"/>
        <s v="LA7,203-29A-3,,0"/>
        <s v="LA7,203-29A-4,,0"/>
        <s v="LA7,203-29A-5,,0"/>
        <s v="LA7,203-6B-2,,NA"/>
        <s v="LA7,203-7A,,NA"/>
        <s v="LA7,203-7A,AY,0"/>
        <s v="LA7,203-7A,AZ,0"/>
        <s v="LA7,203-7A,BA,0"/>
        <s v="LA7,203-7A,BB,0"/>
        <s v="LA7,203-7A,BC,0"/>
        <s v="LA7,203-7A,BD,0"/>
        <s v="LA7,203-7B,,NA"/>
        <s v="LA7,203-7C,,NA"/>
        <s v="LA7,203-7D,,NA"/>
        <s v="LA7,203-9A,AY,0"/>
        <s v="LA7,203-9A,AZ,0"/>
        <s v="LA7,203-9A,BA,0"/>
        <s v="LA7,203-9A,BB,0"/>
        <s v="LA7,203-9A,BC,0"/>
        <s v="LA7,203-9A,BD,0"/>
        <s v="LA7,203-9A,BE,0"/>
        <s v="LA7,203-9A,BF,0"/>
        <s v="LA7,203-9A,BG,0"/>
        <s v="LA7,203-9A,BH,0"/>
        <s v="LA7,43466,,0"/>
        <s v="LA7,43497,,0"/>
        <s v="LA7,43525,,NA"/>
        <s v="LA7,43556,,NA"/>
        <s v="LA7,43586,,NA"/>
        <s v="LPEF,207-7-2,,NA"/>
        <s v="LPEF,207-7-4,,NA"/>
        <s v="LPEF,207-7-5,,NA"/>
        <s v="LPEF,207-7-6,,NA"/>
        <s v="LPEF,207-7-7,,NA"/>
        <s v="LPEF,242-2-1,,0"/>
        <s v="LPEF,242-2-10,,0"/>
        <s v="LPEF,242-2-11,,0"/>
        <s v="LPEF,242-2-12,,0"/>
        <s v="LPEF,242-2-13,,0"/>
        <s v="LPEF,242-2-14,,0"/>
        <s v="LPEF,242-2-15,,0"/>
        <s v="LPEF,242-2-16,,0"/>
        <s v="LPEF,242-2-17,,0"/>
        <s v="LPEF,242-2-18,,0"/>
        <s v="LPEF,242-2-19,,0"/>
        <s v="LPEF,242-2-2,,0"/>
        <s v="LPEF,242-2-20,,0"/>
        <s v="LPEF,242-2-21,,0"/>
        <s v="LPEF,242-2-21,AA,0"/>
        <s v="LPEF,242-2-22,,0"/>
        <s v="LPEF,242-2-23,,0"/>
        <s v="LPEF,242-2-23,AA,0"/>
        <s v="LPEF,242-2-24,,0"/>
        <s v="LPEF,242-2-25,,0"/>
        <s v="LPEF,242-2-25,AA,0"/>
        <s v="LPEF,242-2-25,AB,0"/>
        <s v="LPEF,242-2-25,AC,0"/>
        <s v="LPEF,242-2-26,,0"/>
        <s v="LPEF,242-2-27,,0"/>
        <s v="LPEF,242-2-27,AA,0"/>
        <s v="LPEF,242-2-28,,0"/>
        <s v="LPEF,242-2-29,,0"/>
        <s v="LPEF,242-2-3,,0"/>
        <s v="LPEF,242-2-30,,0"/>
        <s v="LPEF,242-2-31,,0"/>
        <s v="LPEF,242-2-32,,0"/>
        <s v="LPEF,242-2-33,,0"/>
        <s v="LPEF,242-2-34,,0"/>
        <s v="LPEF,242-2-35,,0"/>
        <s v="LPEF,242-2-36,,0"/>
        <s v="LPEF,242-2-37,,0"/>
        <s v="LPEF,242-2-38,,0"/>
        <s v="LPEF,242-2-39,,0"/>
        <s v="LPEF,242-2-4,,0"/>
        <s v="LPEF,242-2-40,,0"/>
        <s v="LPEF,242-2-41,,0"/>
        <s v="LPEF,242-2-42,,0"/>
        <s v="LPEF,242-2-42,AA,0"/>
        <s v="LPEF,242-2-43,,0"/>
        <s v="LPEF,242-2-43,AA,0"/>
        <s v="LPEF,242-2-44,,0"/>
        <s v="LPEF,242-2-45,,0"/>
        <s v="LPEF,242-2-46,,0"/>
        <s v="LPEF,242-2-47,,0"/>
        <s v="LPEF,242-2-47,AA,0"/>
        <s v="LPEF,242-2-48,,0"/>
        <s v="LPEF,242-2-49,,0"/>
        <s v="LPEF,242-2-5,,0"/>
        <s v="LPEF,242-2-50,,0"/>
        <s v="LPEF,242-2-51,,0"/>
        <s v="LPEF,242-2-52,,0"/>
        <s v="LPEF,242-2-53,,0"/>
        <s v="LPEF,242-2-54,,0"/>
        <s v="LPEF,242-2-55,,0"/>
        <s v="LPEF,242-2-6,,0"/>
        <s v="LPEF,242-2-7,,0"/>
        <s v="LPEF,242-2-8,,0"/>
        <s v="LPEF,242-2-9,,0"/>
        <s v="LPEF,242-5-1,,0"/>
        <s v="LPEF,242-5-10,,0"/>
        <s v="LPEF,242-5-11,,0"/>
        <s v="LPEF,242-5-12,,0"/>
        <s v="LPEF,242-5-13,,0"/>
        <s v="LPEF,242-5-14,,0"/>
        <s v="LPEF,242-5-15,,0"/>
        <s v="LPEF,242-5-16,,0"/>
        <s v="LPEF,242-5-17,,0"/>
        <s v="LPEF,242-5-18,,0"/>
        <s v="LPEF,242-5-19,,0"/>
        <s v="LPEF,242-5-2,,0"/>
        <s v="LPEF,242-5-20,,0"/>
        <s v="LPEF,242-5-21,,0"/>
        <s v="LPEF,242-5-22,,0"/>
        <s v="LPEF,242-5-23,,0"/>
        <s v="LPEF,242-5-24,,0"/>
        <s v="LPEF,242-5-25,,0"/>
        <s v="LPEF,242-5-26,,0"/>
        <s v="LPEF,242-5-27,,0"/>
        <s v="LPEF,242-5-28,,0"/>
        <s v="LPEF,242-5-29,,0"/>
        <s v="LPEF,242-5-3,,0"/>
        <s v="LPEF,242-5-30,,0"/>
        <s v="LPEF,242-5-31,,0"/>
        <s v="LPEF,242-5-4,,0"/>
        <s v="LPEF,242-5-5,,0"/>
        <s v="LPEF,242-5-6,,0"/>
        <s v="LPEF,242-5-7,,0"/>
        <s v="LPEF,242-5-8,,0"/>
        <s v="LPEF,242-5-9,,0"/>
        <s v="LPEF,242-7-6U,AA,0"/>
        <s v="LPEF,242-7-6U,AB,0"/>
        <s v="LPEF,242-7-6U,AC,0"/>
        <s v="LPEF,242-7-6U,AD,0"/>
        <s v="LPEF,242-7-6U,AE,0"/>
        <s v="LPEF,242-7-6U,AF,0"/>
        <s v="LPEF,242-7-6U,AG,0"/>
        <s v="LPEF,242-7-6U,AH,0"/>
        <s v="LPEF,242-7-6U,AI,0"/>
        <s v="LPEF,242-7-6U,AJ,0"/>
        <s v="LPEF,242-7-6U,AK,0"/>
        <s v="LPEF,242-7-6U,AL,0"/>
        <s v="LPEF,242-7-6U,AM,0"/>
        <s v="LPEF,242-7-6U,AN,0"/>
        <s v="LPEF,242-7-6U,AO,0"/>
        <s v="LPEF,242-7-6U,AP,0"/>
        <s v="LPEF,242-7-6U,AQ,0"/>
        <s v="LPEF,242-7-6U,AR,0"/>
        <s v="LPEF,242-7-6U,AS,0"/>
        <s v="LPEF,242-7-6U,AT,0"/>
        <s v="LPEF,242-7-6U,AU,0"/>
        <s v="LPEF,242-7-6U,AV,0"/>
        <s v="LPEF,242-7-6U,AW,0"/>
        <s v="LPEF,242-7-6U,AX,0"/>
        <s v="LPEF,242-7-6U,AY,0"/>
        <s v="LPEF,242-7-6U,AZ,0"/>
        <s v="LPEF,242-7-6U,BA,0"/>
        <s v="LPEF,242-7-6U,BB,0"/>
        <s v="LPEF,242-7-6V,CE,0"/>
        <s v="LPEF,242-7-6V,CF,0"/>
        <s v="LPEF,242-7-6V,CG,0"/>
        <s v="LPEF,242-7-6V,CH,0"/>
        <s v="LPEF,242-7-6V,CI,0"/>
        <s v="LPEF,242-7-6V,CJ,0"/>
        <s v="LPEF,242-7-6V,CK,0"/>
        <s v="LPEF,242-7-6V,CL,0"/>
        <s v="LPEF,242-7-6V,CM,0"/>
        <s v="LPEF,242-7-6V,CN,0"/>
        <s v="LPEF,242-7-6V,CO,0"/>
        <s v="LPEF,242-7-6V,CP,0"/>
        <s v="LPEF,242-7-6V,CQ,0"/>
        <s v="LPEF,242-7-6V,CR,0"/>
        <s v="LPEF,242-7-6V,CS,0"/>
        <s v="LPEF,242-7-6V,CT,0"/>
        <s v="LPEF,242-7-6V,CU,0"/>
        <s v="LPEF,242-7-6V,CV,0"/>
        <s v="LPEF,242-7-6V,CW,0"/>
        <s v="LPEF,242-7-6V,CX,0"/>
        <s v="LPEF,242-7-6V,CY,0"/>
        <s v="LPEF,242-7-6V,CZ,0"/>
        <s v="LPEF,242-7-6V,DA,0"/>
        <s v="LPEF,242-7-6V,DB,0"/>
        <s v="LPEF,242-7-6V,DC,0"/>
        <s v="LPEF,242-7-6V,DD,0"/>
        <s v="LPEF,242-7-6V,DE,0"/>
        <s v="LPEF,242-7-6V,DF,0"/>
        <s v="LPEF,242-7-6V,DG,0"/>
        <s v="LPEF,242-7-6V,DH,0"/>
        <s v="LPEF,242-7-6V,DI,0"/>
        <s v="LPEF,242-7-6V,DJ,0"/>
        <s v="LPEF,242-7-6V,DK,0"/>
        <s v="LPEF,242-7-6V,DL,0"/>
        <s v="LPEF,242-7-6V,DM,0"/>
        <s v="LPEF,242-7-6V,DN,0"/>
        <s v="LPEF,242-7-6V,DO,0"/>
        <s v="LPEF,242-7-6V,DP,0"/>
        <s v="LPEF,242-7-6V,DQ,0"/>
        <s v="LPEF,242-7-6V,DR,0"/>
        <s v="LPEF,242-7-6V,DS,0"/>
        <s v="LPEF,242-7-6V,DT,0"/>
        <s v="LPEF,242-7-6V,DU,0"/>
        <s v="LPEF,242-7-6V,DV,0"/>
        <s v="LPEF,242-7-6V,DW,0"/>
        <s v="LPEF,24-4-1,,NA"/>
        <s v="LPEF,24-4-2,,NA"/>
        <s v="LPEF,24-4-3,,NA"/>
        <s v="LPEF,24-4-4,,NA"/>
        <s v="LPEF,24-4-5,,NA"/>
        <s v="LPEF,31-4-1,,NA"/>
        <s v="LPEF,31-4-2,,NA"/>
        <s v="LPEF,31-4-3,,NA"/>
        <s v="LPEF,GH-35-1,AA,1"/>
        <s v="LPEF,GH-35-1,AB,1"/>
        <s v="LPEF,GH-35-1,AC,1"/>
        <s v="LPEF,GH-35-1,AD,1"/>
        <s v="LPEF,GH-35-1,AE,1"/>
        <s v="LPEF,GH-35-1,AF,1"/>
        <s v="LPEF,GH-35-1,AG,1"/>
        <s v="LPEF,GH-35-1,AH,1"/>
        <s v="LPEF,GH-35-1,AI,1"/>
        <s v="LPEF,GH-35-1,AJ,1"/>
        <s v="LPEF,GH-35-1,AK,1"/>
        <s v="LPEF,GH-35-1,AL,1"/>
        <s v="LPEF,GH-35-1,AM,1"/>
        <s v="LPEF,GH-35-1,AN,1"/>
        <s v="LPEF,GH-35-1,AO,1"/>
        <s v="LPEF,GH-35-1,AP,1"/>
        <s v="LPEF,GH-35-1,AQ,1"/>
        <s v="LPEF,GH-35-1,AR,1"/>
        <s v="LPEF,GH-35-1,AS,1"/>
        <s v="LPEF,GH-35-1,AT,1"/>
        <s v="LPEF,GH-35-1,AU,1"/>
        <s v="LPEF,GH-35-1,AV,1"/>
        <s v="LPEF,GH-35-1,AW,1"/>
        <s v="LPEF,GH-35-1,AX,1"/>
        <s v="LPEF,GH-35-1,AY,1"/>
        <s v="LPEF,GH-35-1,AZ,1"/>
        <s v="LPEF,GH-35-1,BA,1"/>
        <s v="LPEF,GH-35-1,BB,1"/>
        <s v="LPEF,GH-35-3,AA,1"/>
        <s v="LPEF,GH-35-3,AB,1"/>
        <s v="LPEF,GH-35-3,AC,1"/>
        <s v="LPEF,GH-35-3,AD,1"/>
        <s v="LPEF,GH-35-3,AE,1"/>
        <s v="LPEF,GH-35-3,AF,1"/>
        <s v="LPEF,GH-35-3,AG,1"/>
        <s v="LPEF,GH-35-3,AH,1"/>
        <s v="LPEF,GH-35-3,AI,1"/>
        <s v="LPEF,GH-35-3,AJ,1"/>
        <s v="LPEF,GH-35-3,AK,1"/>
        <s v="LPEF,GH-35-3,AL,1"/>
        <s v="LPEF,GH-35-3,AM,1"/>
        <s v="LPEF,GH-35-3,AN,1"/>
        <s v="LPEF,GH-35-3,AO,1"/>
        <s v="LPEF,GH-35-3,AP,1"/>
        <s v="LPEF,GH-35-3,AQ,1"/>
        <s v="LPEF,GH-35-3,AR,1"/>
        <s v="LPEF,GH-35-3,AS,1"/>
        <s v="LPEF,GH-35-3,AT,1"/>
        <s v="LPEF,GH-35-3,AU,1"/>
        <s v="LPEF,GH-35-3,AV,1"/>
        <s v="LPEF,GH-35-3,AW,1"/>
        <s v="LPEF,GH-35-3,AX,1"/>
        <s v="LPEF,GH-35-3,AY,1"/>
        <s v="LPEF,GH-35-3,AZ,1"/>
        <s v="LPEF,GH-35-3,BA,1"/>
        <s v="LPEF,GH-35-3,BB,1"/>
        <s v="LPEF,GH-35-3,BC,1"/>
        <s v="LPEF,GH-35-3,BD,1"/>
        <s v="LPEF,GH-35-3,BE,1"/>
        <s v="LPEF,GH-35-3,BF,1"/>
        <s v="LPEF,GH-35-3,BG,1"/>
        <s v="LPEF,GH-35-3,BH,1"/>
        <s v="LPEF,GH-35-3,BI,1"/>
        <s v="LPEF,GH-35-3,BJ,1"/>
        <s v="LPEF,GH-35-3,BK,1"/>
        <s v="LPEF,GH-35-3,BL,1"/>
        <s v="LPEF,GH-35-3,BM,1"/>
        <s v="LPEF,GH-35-3,BN,1"/>
        <s v="LPEF,GH-35-3,BO,1"/>
        <s v="LPEF,GH-35-3,BP,1"/>
        <s v="LPEF,GH-35-3,BQ,1"/>
        <s v="LPEF,GH-35-3,BR,1"/>
        <s v="LPEF,GH-35-3,BS,1"/>
        <s v="LPEF,GH-35-3,BT,1"/>
        <s v="LPEF,GH-35-3,BU,1"/>
        <s v="LPEF,GH-35-3,BV,1"/>
        <s v="LPEF,GH-35-3,BW,1"/>
        <s v="LPEF,GH-35-3,BX,1"/>
        <s v="LPEF,GH-35-3,BY,1"/>
        <s v="LPEF,GH-35-3,BZ,1"/>
        <s v="LPEF,GH-35-3,CA,1"/>
        <s v="LPEF,GH-35-3,CB,1"/>
        <s v="LPEF,GH-35-3,CC,1"/>
        <s v="LPEF,GH-35-3,CD,1"/>
        <s v="LPEF,GH-35-6,AA,1"/>
        <s v="LPEF,GH-35-6,AB,1"/>
        <s v="LPEF,GH-35-6,AC,1"/>
        <s v="LPEF,GH-35-6,AD,1"/>
        <s v="LPEF,GH-35-6,AE,1"/>
        <s v="LPEF,GH-35-6,AF,1"/>
        <s v="LPEF,GH-35-6,AG,1"/>
        <s v="LPEF,GH-35-6,AH,1"/>
        <s v="LPEF,GH-35-6,AI,1"/>
        <s v="LPEF,GH-35-6,AJ,1"/>
        <s v="LPEF,GH-35-6,AK,1"/>
        <s v="LPEF,GH-35-6,AL,1"/>
        <s v="LPEF,GH-35-6,AM,1"/>
        <s v="LPEF,GH-35-6,AN,1"/>
        <s v="LPEF,GH-35-6,AO,1"/>
        <s v="LPEF,GH-35-6,AP,1"/>
        <s v="LPEF,GH-35-6,AQ,1"/>
        <s v="LPEF,GH-35-6,AR,1"/>
        <s v="LPEF,GH-35-6,AS,1"/>
        <s v="LPEF,GH-35-6,AT,1"/>
        <s v="LPEF,GH-35-6,AU,1"/>
        <s v="LPEF,GH-35-6,AV,1"/>
        <s v="LPEF,GH-35-6,AW,1"/>
        <s v="LPEF,GH-35-6,AX,1"/>
        <s v="LPEF,GH-35-6,AY,1"/>
        <s v="LPEF,GH-35-6,AZ,1"/>
        <s v="LPEF,GH-35-6,BA,1"/>
        <s v="LPEF,GH-35-6,BB,1"/>
        <s v="LPEF,GH-35-8,AA,1"/>
        <s v="LPEF,GH-35-8,AB,1"/>
        <s v="LPEF,GH-35-8,AC,1"/>
        <s v="LPEF,GH-35-8,AD,1"/>
        <s v="LPEF,GH-35-8,AE,1"/>
        <s v="LPEF,GH-35-8,AF,1"/>
        <s v="LPEF,GH-35-8,AG,1"/>
        <s v="LPEF,GH-35-8,AH,1"/>
        <s v="LPEF,GH-35-8,AI,1"/>
        <s v="LPEF,GH-35-8,AJ,1"/>
        <s v="LPEF,GH-35-8,AK,1"/>
        <s v="LPEF,GH-35-8,AL,1"/>
        <s v="LPEF,GH-35-8,AM,1"/>
        <s v="LPEF,GH-35-8,AN,1"/>
        <s v="LPEF,GH-35-8,AO,1"/>
        <s v="LPEF,GH-35-8,AP,1"/>
        <s v="LPEF,GH-35-8,AQ,1"/>
        <s v="LPEF,GH-35-8,AR,1"/>
        <s v="LPEF,GH-35-8,AS,1"/>
        <s v="LPEF,GH-35-8,AT,1"/>
        <s v="LPEF,GH-35-8,AU,1"/>
        <s v="LPEF,GH-35-8,AV,1"/>
        <s v="LPEF,GH-35-8,AW,1"/>
        <s v="LPEF,GH-35-8,AX,1"/>
        <s v="LPEF,GH-35-8,AY,1"/>
        <s v="LPEF,GH-35-8,AZ,1"/>
        <s v="MS7,#001,,NA"/>
        <s v="MS7,23-1-1,,1"/>
        <s v="MS7,23-1-10,,NA"/>
        <s v="MS7,23-1-11,,NA"/>
        <s v="MS7,23-1-12,,NA"/>
        <s v="MS7,23-1-13,,NA"/>
        <s v="MS7,23-1-14,,NA"/>
        <s v="MS7,23-1-2,,NA"/>
        <s v="MS7,23-1-3,,1"/>
        <s v="MS7,23-1-4,,1"/>
        <s v="MS7,23-1-5,,NA"/>
        <s v="MS7,23-1-6,,NA"/>
        <s v="MS7,23-1-7,,NA"/>
        <s v="MS7,23-1-8,,NA"/>
        <s v="MS7,23-1-9,,NA"/>
        <s v="MS7,23-2-1,,NA"/>
        <s v="MS7,23-2-2,,NA"/>
        <s v="MS7,23-2-3,,NA"/>
        <s v="MS7,23-2-4,,NA"/>
        <s v="MS7,23-2-5,,NA"/>
        <s v="MS7,23-2-6,,NA"/>
        <s v="MS7,23-2-7,,NA"/>
        <s v="MS7,23-2-8,,NA"/>
        <s v="PALM,,,1"/>
        <s v="PALM,101,AP,1"/>
        <s v="PALM,110-5A-8,AP,1"/>
        <s v="PALM,110-5A-8,AT,1"/>
        <s v="PALM,121A,,NA"/>
        <s v="PALM,121E,,NA"/>
        <s v="PALM,121F,,NA"/>
        <s v="PALM,121G,,NA"/>
        <s v="PALM,121J,,NA"/>
        <s v="PALM,121K,,NA"/>
        <s v="PALM,121M,,NA"/>
        <s v="PALM,121N,,1"/>
        <s v="PALM,121O,,1"/>
        <s v="PALM,121Q,,NA"/>
        <s v="PALM,121R,,1"/>
        <s v="PALM,121S,,NA"/>
        <s v="PALM,121T,,NA"/>
        <s v="PALM,216A,AP,1"/>
        <s v="PALM,216A,AQ,1"/>
        <s v="PALM,216A,AR,1"/>
        <s v="PALM,218B,AK,1"/>
        <s v="PALM,218B,AL,1"/>
        <s v="PALM,218B,AM,1"/>
        <s v="PALM,218B,AP,1"/>
        <s v="PALM,218B,AQ,1"/>
        <s v="PALM,218B,AU,1"/>
        <s v="PALM,218B,AV,1"/>
        <s v="PALM,218B,AW,1"/>
        <s v="PALM,218B,AX,1"/>
        <s v="PALM,218B,AY,1"/>
        <s v="PALM,218B,AZ,1"/>
        <s v="PALM,218B,BA,1"/>
        <s v="PALM,218B,BB,1"/>
        <s v="PALM,218B,BC,1"/>
        <s v="PALM,218B,BD,1"/>
        <s v="PALM,218B,BE,1"/>
        <s v="PALM,218B,BF,1"/>
        <s v="PALM,218B,BG,1"/>
        <s v="PALM,218B,BH,1"/>
        <s v="PALM,218B,BI,1"/>
        <s v="PALM,218B,BJ,1"/>
        <s v="PALM,218B,BK,1"/>
        <s v="PALM,218B,BL,1"/>
        <s v="PALM,218B,BM,1"/>
        <s v="PALM,218B,BN,1"/>
        <s v="PALM,218B,BO,1"/>
        <s v="PALM,218D,AE,1"/>
        <s v="PALM,218D,AG,1"/>
        <s v="PALM,218D,AH,1"/>
        <s v="PALM,218D,AI,1"/>
        <s v="PALM,218D,AJ,1"/>
        <s v="PALM,218D,AK,1"/>
        <s v="PALM,218D,AL,1"/>
        <s v="PALM,218D,AM,1"/>
        <s v="PALM,218D,AN,1"/>
        <s v="PALM,218D,AO,1"/>
        <s v="PALM,218D,AP,1"/>
        <s v="PALM,218D,AQ,1"/>
        <s v="PALM,218D,AR,1"/>
        <s v="PALM,218D,AS,1"/>
        <s v="PALM,218D,AT,1"/>
        <s v="PALM,218D,AU,1"/>
        <s v="PALM,218D,AV,1"/>
        <s v="PALM,218D,AW,1"/>
        <s v="PALM,218D,AX,1"/>
        <s v="PALM,220B,AE,1"/>
        <s v="PALM,220B,AF,1"/>
        <s v="PALM,220B,AG,1"/>
        <s v="PALM,220B,AH,1"/>
        <s v="PALM,220B,AI,1"/>
        <s v="PALM,220B,AJ,1"/>
        <s v="PALM,220B,AK,1"/>
        <s v="PALM,220B,AL,1"/>
        <s v="PALM,220B,AM,1"/>
        <s v="PALM,220B,AN,1"/>
        <s v="PALM,220B,AO,1"/>
        <s v="PALM,220B,AP,1"/>
        <s v="PALM,220B,AQ,1"/>
        <s v="PALM,220B,AR,1"/>
        <s v="PALM,220B,AS,1"/>
        <s v="PALM,220B,AT,1"/>
        <s v="PALM,220B,AU,1"/>
        <s v="PALM,220B,AV,1"/>
        <s v="PALM,220D,AD,1"/>
        <s v="PALM,220D,AF,1"/>
        <s v="PALM,220D,AG,1"/>
        <s v="PALM,220D,AH,1"/>
        <s v="PALM,220D,AI,1"/>
        <s v="PALM,220D,AJ,1"/>
        <s v="PALM,220D,AK,1"/>
        <s v="PALM,220D,AL,1"/>
        <s v="PALM,220D,AM,1"/>
        <s v="PALM,220D,AN,1"/>
        <s v="PALM,220D,AO,1"/>
        <s v="PALM,220D,AP,1"/>
        <s v="PALM,220D,AW,1"/>
        <s v="PALM,220D,AX,1"/>
        <s v="PALM,221,BB,NA"/>
        <s v="PALM,222-A,AH,1"/>
        <s v="PALM,222-A,AI,1"/>
        <s v="PALM,222-A,AJ,1"/>
        <s v="PALM,222-A,AK,1"/>
        <s v="PALM,222-A,AL,1"/>
        <s v="PALM,222-A,AM,1"/>
        <s v="PALM,222-A,AN,1"/>
        <s v="PALM,222-A,AO,1"/>
        <s v="PALM,222-A,AP,1"/>
        <s v="PALM,222-A,AQ,1"/>
        <s v="PALM,222-A,AR,1"/>
        <s v="PALM,222-A,AS,1"/>
        <s v="PALM,222-A,AT,1"/>
        <s v="PALM,222-A,AU,1"/>
        <s v="PALM,222-A,AV,1"/>
        <s v="PALM,228C,AD,1"/>
        <s v="PALM,228C,AE,1"/>
        <s v="PALM,228C,AI,1"/>
        <s v="PALM,228C,AJ,1"/>
        <s v="PALM,228C,AK,1"/>
        <s v="PALM,228C,AL,1"/>
        <s v="PALM,228C,AM,1"/>
        <s v="PALM,238,AA,NA"/>
        <s v="PALM,239,AA,NA"/>
        <s v="PALM,239,AY,1"/>
        <s v="PALM,322A,,1"/>
        <s v="PALM,322B,,1"/>
        <s v="PALM,322C,,1"/>
        <s v="PALM,322D,,1"/>
        <s v="PALM,322E,,1"/>
        <s v="PALM,322F,,1"/>
        <s v="PALM,322G,,1"/>
        <s v="PALM,322H,,1"/>
        <s v="PALM,322I,,1"/>
        <s v="PALM,322J,,1"/>
        <s v="PALM,322K,,1"/>
        <s v="PALM,322L,,1"/>
        <s v="PALM,322M,,1"/>
        <s v="PALM,322N,,1"/>
        <s v="PALM,322O,,1"/>
        <s v="PALM,322P,,1"/>
        <s v="PALM,322Q,,1"/>
        <s v="PALM,322R,,1"/>
        <s v="PALM,322S,,1"/>
        <s v="PALM,322T,,1"/>
        <s v="PALM,322U,,1"/>
        <s v="PALM,322V,,1"/>
        <s v="PALM,322W,,1"/>
        <s v="PALM,322X,,1"/>
        <s v="PALM,322Y,,NA"/>
        <s v="PALM,322Z,,NA"/>
        <s v="PALM,333A,,1"/>
        <s v="PALM,333B,,1"/>
        <s v="PALM,333C,,1"/>
        <s v="PALM,333D,,1"/>
        <s v="PALM,333E,,1"/>
        <s v="PALM,333F,,1"/>
        <s v="PALM,333G,,1"/>
        <s v="PALM,333H,,1"/>
        <s v="PALM,333I,,1"/>
        <s v="PALM,333J,,1"/>
        <s v="PALM,333K,,1"/>
        <s v="PALM,333L,,1"/>
        <s v="PALM,333M,,1"/>
        <s v="PALM,333N,,1"/>
        <s v="PALM,333O,,1"/>
        <s v="PALM,333P,,1"/>
        <s v="PALM,333Q,,1"/>
        <s v="PALM,333R,,1"/>
        <s v="PALM,333S,,1"/>
        <s v="PALM,A1,,1"/>
        <s v="PALM,A11,AA,1"/>
        <s v="PALM,A12,AA,1"/>
        <s v="PALM,A18,,NA"/>
        <s v="PALM,A2,,0.75"/>
        <s v="PALM,A21,,1"/>
        <s v="PALM,A24,,1"/>
        <s v="PALM,A26,,NA"/>
        <s v="PALM,A26,AA,NA"/>
        <s v="PALM,A27,,NA"/>
        <s v="PALM,A30,,1"/>
        <s v="PALM,A31,,NA"/>
        <s v="PALM,A31,AA,NA"/>
        <s v="PALM,A32,,1"/>
        <s v="PALM,A33,,1"/>
        <s v="PALM,A33,AA,1"/>
        <s v="PALM,A34,,1"/>
        <s v="PALM,A34,AA,NA"/>
        <s v="PALM,A35,,1"/>
        <s v="PALM,A36,,1"/>
        <s v="PALM,A37,,1"/>
        <s v="PALM,A38,,1"/>
        <s v="PALM,A38,AA,1"/>
        <s v="PALM,A39,,1"/>
        <s v="PALM,A4,,NA"/>
        <s v="PALM,A4,AA,1"/>
        <s v="PALM,A40,,1"/>
        <s v="PALM,A41,,1"/>
        <s v="PALM,A41,AA,NA"/>
        <s v="PALM,A43,,1"/>
        <s v="PALM,A44,,1"/>
        <s v="PALM,A44,AA,NA"/>
        <s v="PALM,A45,,1"/>
        <s v="PALM,A46,,1"/>
        <s v="PALM,A46,AA,1"/>
        <s v="PALM,A47,,1"/>
        <s v="PALM,A47,AA,1"/>
        <s v="PALM,A48,,1"/>
        <s v="PALM,A49,,1"/>
        <s v="PALM,A50,,NA"/>
        <s v="PALM,A51,,1"/>
        <s v="PALM,A51,AA,1"/>
        <s v="PALM,A51,AB,1"/>
        <s v="PALM,A51,AC,1"/>
        <s v="PALM,A52,,NA"/>
        <s v="PALM,A52,AA,1"/>
        <s v="PALM,A53,,1"/>
        <s v="PALM,A53,AA,1"/>
        <s v="PALM,A54,,NA"/>
        <s v="PALM,A54,AA,NA"/>
        <s v="PALM,A55,,1"/>
        <s v="PALM,A56,,1"/>
        <s v="PALM,A57,,1"/>
        <s v="PALM,A58,,1"/>
        <s v="PALM,A59,,1"/>
        <s v="PALM,A60,,1"/>
        <s v="PALM,A61,,NA"/>
        <s v="PALM,A61,AA,1"/>
        <s v="PALM,A7,,1"/>
        <s v="PALM,A7,AA,1"/>
        <s v="PALM,A7,AB,1"/>
        <s v="PALM,A7,AC,1"/>
        <s v="PALM,A9,,1"/>
        <s v="PALM,A9,AA,1"/>
        <s v="PALM,B1,,1"/>
        <s v="PALM,B10,,1"/>
        <s v="PALM,B11,,1"/>
        <s v="PALM,B12,,1"/>
        <s v="PALM,B12,AA,1"/>
        <s v="PALM,B12,AB,1"/>
        <s v="PALM,B12,AC,1"/>
        <s v="PALM,B12,AD,1"/>
        <s v="PALM,B13,,1"/>
        <s v="PALM,B14,,1"/>
        <s v="PALM,B15,,1"/>
        <s v="PALM,B16,,1"/>
        <s v="PALM,B17,,1"/>
        <s v="PALM,B21,,NA"/>
        <s v="PALM,B22,,NA"/>
        <s v="PALM,B30,,1"/>
        <s v="PALM,B31,,NA"/>
        <s v="PALM,B32,,NA"/>
        <s v="PALM,B33,,0.5"/>
        <s v="PALM,B34,,1"/>
        <s v="PALM,B35,,1"/>
        <s v="PALM,B35,AA,1"/>
        <s v="PALM,B35,AB,1"/>
        <s v="PALM,B35,AC,1"/>
        <s v="PALM,B36,,NA"/>
        <s v="PALM,B37,,1"/>
        <s v="PALM,B38,,1"/>
        <s v="PALM,B39,,1"/>
        <s v="PALM,B40,,NA"/>
        <s v="PALM,B46,,1"/>
        <s v="PALM,B47,,1"/>
        <s v="PALM,B48,,1"/>
        <s v="PALM,B5,,1"/>
        <s v="PALM,B50,,NA"/>
        <s v="PALM,B53,,NA"/>
        <s v="PALM,B55,,1"/>
        <s v="PALM,B57,,1"/>
        <s v="PALM,B58,,1"/>
        <s v="PALM,B60,,1"/>
        <s v="PALM,B61,,1"/>
        <s v="PALM,B62,,1"/>
        <s v="PALM,B63,,NA"/>
        <s v="PALM,B64,,1"/>
        <s v="PALM,B65,,1"/>
        <s v="PALM,B66,,1"/>
        <s v="PALM,B67,,1"/>
        <s v="PALM,B68,,NA"/>
        <s v="PALM,B69,,1"/>
        <s v="PALM,B71,,NA"/>
        <s v="PALM,B72,,1"/>
        <s v="PALM,B73,,1"/>
        <s v="PALM,B74,,1"/>
        <s v="PALM,B75,,1"/>
        <s v="PALM,B8,,1"/>
        <s v="PALM,B9,,1"/>
        <s v="PALM,G10,,1"/>
        <s v="PALM,G11,,1"/>
        <s v="PALM,G12,,1"/>
        <s v="PALM,G13,,1"/>
        <s v="PALM,G14,,1"/>
        <s v="PALM,G17,,1"/>
        <s v="PALM,G18,,1"/>
        <s v="PALM,G19,,1"/>
        <s v="PALM,G20,,1"/>
        <s v="PALM,G22,,1"/>
        <s v="PALM,G23,,1"/>
        <s v="PALM,G25,,1"/>
        <s v="PALM,G27,,1"/>
        <s v="PALM,G28,,1"/>
        <s v="PALM,G3,,1"/>
        <s v="PALM,G32,,1"/>
        <s v="PALM,G34,,1"/>
        <s v="PALM,G39,,1"/>
        <s v="PALM,G44,,1"/>
        <s v="PALM,G45,,1"/>
        <s v="PALM,G48,,1"/>
        <s v="PALM,G49,,1"/>
        <s v="PALM,G54,,NA"/>
        <s v="PALM,G59,,1"/>
        <s v="PALM,G6,,1"/>
        <s v="PALM,G61,,1"/>
        <s v="PALM,G62,,NA"/>
        <s v="PALM,G63,,1"/>
        <s v="PALM,G64,,1"/>
        <s v="PALM,G8,,1"/>
        <s v="PALM,G9,,1"/>
        <s v="PALM,H1,,1"/>
        <s v="PALM,H10,,1"/>
        <s v="PALM,H11,,1"/>
        <s v="PALM,H12,,1"/>
        <s v="PALM,H13,,1"/>
        <s v="PALM,H14,,1"/>
        <s v="PALM,H15,,1"/>
        <s v="PALM,H16,,1"/>
        <s v="PALM,H17,,1"/>
        <s v="PALM,H18,,1"/>
        <s v="PALM,H19,,1"/>
        <s v="PALM,H2,,1"/>
        <s v="PALM,H23,,1"/>
        <s v="PALM,H24,,1"/>
        <s v="PALM,H25,,1"/>
        <s v="PALM,H3,,1"/>
        <s v="PALM,H30,,1"/>
        <s v="PALM,H31,,1"/>
        <s v="PALM,H37,,1"/>
        <s v="PALM,H4,,1"/>
        <s v="PALM,H40,,1"/>
        <s v="PALM,H41,,1"/>
        <s v="PALM,H43,,1"/>
        <s v="PALM,H5,,1"/>
        <s v="PALM,H54,,1"/>
        <s v="PALM,H55,,1"/>
        <s v="PALM,H56,,1"/>
        <s v="PALM,H6,,1"/>
        <s v="PALM,H7,,1"/>
        <s v="PALM,H8,,1"/>
        <s v="PALM,H9,,1"/>
        <s v="PALM,I1,,1"/>
        <s v="PALM,I10,,1"/>
        <s v="PALM,I11,,1"/>
        <s v="PALM,I12,,1"/>
        <s v="PALM,I13,,1"/>
        <s v="PALM,I14,,1"/>
        <s v="PALM,I15,,1"/>
        <s v="PALM,I16,,1"/>
        <s v="PALM,I17,,1"/>
        <s v="PALM,I18,,1"/>
        <s v="PALM,I19,,1"/>
        <s v="PALM,I2,,1"/>
        <s v="PALM,I20,,1"/>
        <s v="PALM,I21,,1"/>
        <s v="PALM,I22,,1"/>
        <s v="PALM,I23,,1"/>
        <s v="PALM,I24,,0"/>
        <s v="PALM,I25,,1"/>
        <s v="PALM,I26,,1"/>
        <s v="PALM,I27,,1"/>
        <s v="PALM,I28,,1"/>
        <s v="PALM,I29,,1"/>
        <s v="PALM,I3,,1"/>
        <s v="PALM,I4,,1"/>
        <s v="PALM,I5,,0"/>
        <s v="PALM,I6,,0"/>
        <s v="PALM,I7,,1"/>
        <s v="PALM,I8,,1"/>
        <s v="PALM,I9,,1"/>
        <s v="PALM,K1,,0"/>
        <s v="PALM,K10,,1"/>
        <s v="PALM,K11,,0"/>
        <s v="PALM,K12,,0"/>
        <s v="PALM,K13,,0"/>
        <s v="PALM,K14,,1"/>
        <s v="PALM,K15,,1"/>
        <s v="PALM,K16,,1"/>
        <s v="PALM,K17,,1"/>
        <s v="PALM,K18,,1"/>
        <s v="PALM,K19,,1"/>
        <s v="PALM,K2,,0"/>
        <s v="PALM,K20,,1"/>
        <s v="PALM,K21,,1"/>
        <s v="PALM,K22,,1"/>
        <s v="PALM,K23,,1"/>
        <s v="PALM,K24,,1"/>
        <s v="PALM,K25,,1"/>
        <s v="PALM,K26,,0"/>
        <s v="PALM,K27,,1"/>
        <s v="PALM,K28,,1"/>
        <s v="PALM,K29,,1"/>
        <s v="PALM,K3,,0"/>
        <s v="PALM,K30,,1"/>
        <s v="PALM,K31,,1"/>
        <s v="PALM,K32,,1"/>
        <s v="PALM,K33,,1"/>
        <s v="PALM,K34,,1"/>
        <s v="PALM,K35,,1"/>
        <s v="PALM,K36,,1"/>
        <s v="PALM,K37,,1"/>
        <s v="PALM,K38,,1"/>
        <s v="PALM,K39,,1"/>
        <s v="PALM,K4,,0"/>
        <s v="PALM,K40,,1"/>
        <s v="PALM,K41,,1"/>
        <s v="PALM,K42,,1"/>
        <s v="PALM,K43,,1"/>
        <s v="PALM,K44,,1"/>
        <s v="PALM,K45,,1"/>
        <s v="PALM,K46,,1"/>
        <s v="PALM,K47,,1"/>
        <s v="PALM,K48,,0"/>
        <s v="PALM,K49,,1"/>
        <s v="PALM,K5,,0"/>
        <s v="PALM,K50,,0"/>
        <s v="PALM,K51,,0"/>
        <s v="PALM,K52,,1"/>
        <s v="PALM,K53,,1"/>
        <s v="PALM,K54,,1"/>
        <s v="PALM,K55,,1"/>
        <s v="PALM,K56,,1"/>
        <s v="PALM,K57,,1"/>
        <s v="PALM,K58,,0"/>
        <s v="PALM,K6,,0"/>
        <s v="PALM,K7,,0"/>
        <s v="PALM,K8,,1"/>
        <s v="PALM,K9,,1"/>
        <s v="RL5,C39,,0.25"/>
        <s v="RL5,C56,,NA"/>
        <s v="RL5,C6,AB,1"/>
        <s v="RL5,C6,AC,1"/>
        <s v="RL5,C62,,1"/>
        <s v="RL5,C63,,1"/>
        <s v="RL5,C64,,1"/>
        <s v="RL5,C7,,1"/>
        <s v="RL5,C7,AA,1"/>
        <s v="RL5,C8,,1"/>
        <s v="RL5,C9,,1"/>
        <s v="RL5,C9,,NA"/>
        <s v="RL5,C9,AA,1"/>
        <s v="RL5,C9,AB,1"/>
        <s v="RL5,D1,,0"/>
        <s v="RL5,D10,,0"/>
        <s v="RL5,D10,AA,0"/>
        <s v="RL5,D12,AA,0"/>
        <s v="RL5,D13,AA,0"/>
        <s v="RL5,D14,AA,0"/>
        <s v="RL5,D15,AA,0"/>
        <s v="RL5,D16,,0"/>
        <s v="RL5,D16,AA,0"/>
        <s v="RL5,D17,,0"/>
        <s v="RL5,D17,AA,0"/>
        <s v="RL5,D17,AB,0"/>
        <s v="RL5,D17,AC,0"/>
        <s v="RL5,D18,,0"/>
        <s v="RL5,D18,AA,0"/>
        <s v="RL5,D18,AB,0"/>
        <s v="RL5,D19,AA,0"/>
        <s v="RL5,D2,AA,0"/>
        <s v="RL5,D22,AA,0"/>
        <s v="RL5,D23,AA,1"/>
        <s v="RL5,D25,AA,1"/>
        <s v="RL5,D26,AA,1"/>
        <s v="RL5,D27,,1"/>
        <s v="RL5,D27,AA,1"/>
        <s v="RL5,D28,,1"/>
        <s v="RL5,D28,AA,1"/>
        <s v="RL5,D29,AA,1"/>
        <s v="RL5,D3,AA,0"/>
        <s v="RL5,D30,AA,1"/>
        <s v="RL5,D31,AA,1"/>
        <s v="RL5,D33,AA,1"/>
        <s v="RL5,D34,AA,1"/>
        <s v="RL5,D36,,1"/>
        <s v="RL5,D36,AA,1"/>
        <s v="RL5,D37,,1"/>
        <s v="RL5,D37,AA,1"/>
        <s v="RL5,D38,AA,1"/>
        <s v="RL5,D4,AA,0"/>
        <s v="RL5,D46,,1"/>
        <s v="RL5,D47,,1"/>
        <s v="RL5,D48,,1"/>
        <s v="RL5,D49,,1"/>
        <s v="RL5,D5,AA,0"/>
        <s v="RL5,D50,,1"/>
        <s v="RL5,D51,,1"/>
        <s v="RL5,D52,,1"/>
        <s v="RL5,D54,,1"/>
        <s v="RL5,D55,,1"/>
        <s v="RL5,D55,AA,1"/>
        <s v="RL5,D55,AB,1"/>
        <s v="RL5,D56,,1"/>
        <s v="RL5,D57,,1"/>
        <s v="RL5,D58,,1"/>
        <s v="RL5,D59,,1"/>
        <s v="RL5,D59,AA,1"/>
        <s v="RL5,D59,AB,1"/>
        <s v="RL5,D59,AC,1"/>
        <s v="RL5,D6,AA,1"/>
        <s v="RL5,D60,,1"/>
        <s v="RL5,D61,,1"/>
        <s v="RL5,D62,,1"/>
        <s v="RL5,D63,,1"/>
        <s v="RL5,D64,,1"/>
        <s v="RL5,D65,,1"/>
        <s v="RL5,D66,,1"/>
        <s v="RL5,D67,,1"/>
        <s v="RL5,D68,,1"/>
        <s v="RL5,D69,,1"/>
        <s v="RL5,D69,AA,1"/>
        <s v="RL5,D70,,1"/>
        <s v="RL5,D71,,1"/>
        <s v="SFAEF,#1,,1"/>
        <s v="SFAEF,#3,,1"/>
        <s v="SFAEF,#4,,1"/>
        <s v="SFAEF,#7,,NA"/>
        <s v="SFAEF,#9,,NA"/>
        <s v="SFAEF,1,AG,0"/>
        <s v="SFAEF,10-133,,NA"/>
        <s v="SFAEF,10-133-1A,,NA"/>
        <s v="SFAEF,10-133-1B,,NA"/>
        <s v="SFAEF,10-133-1C,,NA"/>
        <s v="SFAEF,10-133-1D,,NA"/>
        <s v="SFAEF,10-133-1E,,NA"/>
        <s v="SFAEF,10-133-1F,,NA"/>
        <s v="SFAEF,10-133-1G,,NA"/>
        <s v="SFAEF,10-133-1H,,NA"/>
        <s v="SFAEF,10-133-1I,,NA"/>
        <s v="SFAEF,10-133-1J,,NA"/>
        <s v="SFAEF,10-133-1K,,NA"/>
        <s v="SFAEF,1245,AY,0"/>
        <s v="SFAEF,1245,AZ,0"/>
        <s v="SFAEF,1245,BA,0"/>
        <s v="SFAEF,1245,BB,0"/>
        <s v="SFAEF,1245,BC,0"/>
        <s v="SFAEF,1245,BD,0"/>
        <s v="SFAEF,1245,BE,0"/>
        <s v="SFAEF,1245,BF,0"/>
        <s v="SFAEF,1245,BG,0"/>
        <s v="SFAEF,1245,BH,0"/>
        <s v="SFAEF,1335,BJ,0"/>
        <s v="SFAEF,1335,BK,0"/>
        <s v="SFAEF,1335,BL,0"/>
        <s v="SFAEF,1335,BM,0"/>
        <s v="SFAEF,1335,BN,0"/>
        <s v="SFAEF,1335,BO,0"/>
        <s v="SFAEF,1335,BP,0"/>
        <s v="SFAEF,1335,BQ,0"/>
        <s v="SFAEF,201-15,AG,1"/>
        <s v="SFAEF,39-10-128,,NA"/>
        <s v="SFAEF,39-10-129,,NA"/>
        <s v="SFAEF,39-10-130,,NA"/>
        <s v="SFAEF,39-10-131,,NA"/>
        <s v="SFAEF,39-10-132,,NA"/>
        <s v="SFAEF,39-10-133,,NA"/>
        <s v="SFAEF,39-10-134,,NA"/>
        <s v="SFAEF,4,AA,0.5"/>
        <s v="SFAEF,4,AB,0.5"/>
        <s v="SFAEF,4,AC,0.5"/>
        <s v="SFAEF,4,AD,0.5"/>
        <s v="SFAEF,4,AE,0.5"/>
        <s v="SFAEF,4,AF,0.5"/>
        <s v="SFAEF,4,AG,0.5"/>
        <s v="SFAEF,4,AH,0.5"/>
        <s v="SFAEF,616,,1"/>
        <s v="SFAEF,616,BW,1"/>
        <s v="SFAEF,616,BX,1"/>
        <s v="SFAEF,616,BY,1"/>
        <s v="SFAEF,616,BZ,1"/>
        <s v="SFAEF,616,CA,1"/>
        <s v="SFAEF,616,CB,1"/>
        <s v="SFAEF,616,CC,1"/>
        <s v="SFAEF,616,CD,1"/>
        <s v="SFAEF,616,CE,1"/>
        <s v="SFAEF,616,CF,1"/>
        <s v="SFAEF,616,CG,1"/>
        <s v="SFAEF,616,CH,1"/>
        <s v="SFAEF,616,CI,1"/>
        <s v="SFAEF,617,,NA"/>
        <s v="SFAEF,618,,NA"/>
        <s v="SFAEF,619,,NA"/>
        <s v="SFAEF,620,,NA"/>
        <s v="SFAEF,621,,NA"/>
        <s v="SFAEF,622,,NA"/>
        <s v="SFAEF,712,AM,0"/>
        <s v="SFAEF,712,AN,0"/>
        <s v="SFAEF,712,AO,0"/>
        <s v="SFAEF,712,AP,0"/>
        <s v="SFAEF,712,AQ,0"/>
        <s v="SFAEF,712,AR,0"/>
        <s v="SFAEF,712,AS,0"/>
        <s v="SFAEF,712,AT,0"/>
        <s v="SFAEF,712,AU,0"/>
        <s v="SFAEF,712,AV,0"/>
        <s v="SFAEF,712,AW,0"/>
        <s v="SFAEF,712,AX,0"/>
        <s v="SFAEF,712,AY,0"/>
        <s v="SFAEF,712,AZ,0"/>
        <s v="SFAEF,712,BA,0"/>
        <s v="SFAEF,712,BB,0"/>
        <s v="SFAEF,712,BC,0"/>
        <s v="SFAEF,712,BD,0"/>
        <s v="SFAEF,712,BE,0"/>
        <s v="SFAEF,712,BF,0"/>
        <s v="SFAEF,712,BG,0"/>
        <s v="SFAEF,712,BH,0"/>
        <s v="SFAEF,712,BI,0"/>
        <s v="SFAEF,712,BJ,0"/>
        <s v="SFAEF,712,BK,0"/>
        <s v="SFAEF,712,BL,0"/>
        <s v="SFAEF,712,BM,0"/>
        <s v="SFAEF,712,BN,0"/>
        <s v="SFAEF,712,BO,0"/>
        <s v="SFAEF,712,BP,0"/>
        <s v="SFAEF,712,BQ,0"/>
        <s v="SFAEF,712,BR,0"/>
        <s v="SFAEF,712,BS,0"/>
        <s v="SFAEF,712,BT,0"/>
        <s v="SFAEF,712,BU,0"/>
        <s v="SFAEF,712,BV,0"/>
        <s v="SFAEF,712,BW,0"/>
        <s v="SFAEF,712,BX,0"/>
        <s v="SFAEF,712,BY,0"/>
        <s v="SFAEF,810,,NA"/>
        <s v="SFAEF,872,BK,1"/>
        <s v="SFAEF,872,BL,1"/>
        <s v="SFAEF,872,BM,1"/>
        <s v="SFAEF,872,BN,1"/>
        <s v="SFAEF,872,BO,1"/>
        <s v="SFAEF,872,BP,1"/>
        <s v="SFAEF,872,BQ,1"/>
        <s v="SFAEF,872,BR,1"/>
        <s v="SFAEF,872,BS,1"/>
        <s v="SFAEF,872,BT,1"/>
        <s v="SFAEF,872,BU,1"/>
        <s v="SFAEF,872,BV,1"/>
        <s v="SFAEF,872,BW,1"/>
        <s v="SFAEF,872,BX,1"/>
        <s v="SFAEF,872,BY,1"/>
        <s v="SFAEF,872,BZ,1"/>
        <s v="SFAEF,872,CA,1"/>
        <s v="SFAEF,872,CB,1"/>
        <s v="SFAEF,872,CC,1"/>
        <s v="SFAEF,872,CD,1"/>
        <s v="SFAEF,872,CE,1"/>
        <s v="SFAEF,872,CF,1"/>
        <s v="SFAEF,872,CG,1"/>
        <s v="SFAEF,872,CH,1"/>
        <s v="SFAEF,872,CI,1"/>
        <s v="SFAEF,872,CJ,1"/>
        <s v="SFAEF,872,CK,1"/>
        <s v="SFAEF,872,CL,1"/>
        <s v="SFAEF,872,CM,1"/>
        <s v="SFAEF,872,CN,1"/>
        <s v="SFAEF,872,CO,1"/>
        <s v="SFAEF,872,CP,1"/>
        <s v="SFAEF,872,CQ,1"/>
        <s v="SFAEF,872,CR,1"/>
        <s v="SFAEF,872,CS,1"/>
        <s v="SFAEF,872,CT,1"/>
        <s v="SFAEF,872,CU,1"/>
        <s v="SFAEF,872,CV,1"/>
        <s v="SFAEF,872,CW,1"/>
        <s v="SFAEF,872,CX,1"/>
        <s v="SFAEF,872,CY,1"/>
        <s v="SFAEF,872,CZ,1"/>
        <s v="SFAEF,872,DA,1"/>
        <s v="SFAEF,8B-19,,0"/>
        <s v="SFAEF,8B-2,,NA"/>
        <s v="SFAEF,8B-20,,0"/>
        <s v="SFAEF,8B-21,,0"/>
        <s v="SFAEF,8B-3,,0"/>
        <s v="SFAEF,8B-4,,0"/>
        <s v="SFAEF,8B-5,,NA"/>
        <s v="SFAEF,8B-6,,0"/>
        <s v="SFAEF,8B-7,,0"/>
        <s v="SFAEF,8B-8,,NA"/>
        <s v="SFAEF,8B-9,,0"/>
        <s v="SFAEF,A-1,,NA"/>
        <s v="SFAEF,A-10,,1"/>
        <s v="SFAEF,A-11,,NA"/>
        <s v="SFAEF,A-12,,NA"/>
        <s v="SFAEF,A-13,,NA"/>
        <s v="SFAEF,A-14,,NA"/>
        <s v="SFAEF,A-15,,NA"/>
        <s v="SFAEF,A-16,,NA"/>
        <s v="SFAEF,A-17,,NA"/>
        <s v="SFAEF,A-18,,NA"/>
        <s v="SFAEF,A-19,,0"/>
        <s v="SFAEF,A-2,,NA"/>
        <s v="SFAEF,A-20,,0"/>
        <s v="SFAEF,A-21,,0"/>
        <s v="SFAEF,A-22,,0"/>
        <s v="SFAEF,A-23,,0"/>
        <s v="SFAEF,A-3,,NA"/>
        <s v="SFAEF,A-4,,NA"/>
        <s v="SFAEF,A-5,,NA"/>
        <s v="SFAEF,A-6,,NA"/>
        <s v="SFAEF,A-7,,NA"/>
        <s v="SFAEF,A-8,,NA"/>
        <s v="SFAEF,A-9,,NA"/>
        <s v="SFAEF,B-10,,0"/>
        <s v="SFAEF,B-11,,0"/>
        <s v="SFAEF,B-12,,NA"/>
        <s v="SFAEF,B-13,,NA"/>
        <s v="SFAEF,B-14,,NA"/>
        <s v="SFAEF,B-15,,NA"/>
        <s v="SFAEF,B-16,,NA"/>
        <s v="SFAEF,B-17,,NA"/>
        <s v="SFAEF,B-18,,NA"/>
        <s v="SFAEF,B-19,,NA"/>
        <s v="SFAEF,B-2,,0"/>
        <s v="SFAEF,B-20,,NA"/>
        <s v="SFAEF,B-21,,NA"/>
        <s v="SFAEF,B-22,,NA"/>
        <s v="SFAEF,B-23,,NA"/>
        <s v="SFAEF,B-24,,NA"/>
        <s v="SFAEF,B-25,,NA"/>
        <s v="SFAEF,B-28,,NA"/>
        <s v="SFAEF,B-29,,NA"/>
        <s v="SFAEF,B-3,,0"/>
        <s v="SFAEF,B-30,,0"/>
        <s v="SFAEF,B-31,,NA"/>
        <s v="SFAEF,B-4,,0"/>
        <s v="SFAEF,B-5,,0"/>
        <s v="SFAEF,B-6,,0"/>
        <s v="SFAEF,B-7,,0"/>
        <s v="SFAEF,B-8,,0"/>
        <s v="SFAEF,B-9,,0"/>
        <s v="SHS,106-150A-1A,,1"/>
        <s v="SHS,106-150A-1B,,1"/>
        <s v="SHS,106-150A-1C,,NA"/>
        <s v="SHS,106-150A-1D,,NA"/>
        <s v="SHS,106-150A-1E,,NA"/>
        <s v="SHS,106-150A-1F,,NA"/>
        <s v="SHS,106-150A-1G,,NA"/>
        <s v="SHS,106-150A-1H,,NA"/>
        <s v="SHS,106-150A-1I,,NA"/>
        <s v="SHS,106-150A-1J,,NA"/>
        <s v="SHS,106-150A-1K,,NA"/>
        <s v="SHS,106-150A-1L,,NA"/>
        <s v="SHS,106-150A-1M,,NA"/>
        <s v="SHS,106-150A-1N,,NA"/>
        <s v="SHS,106-150A-1O,,NA"/>
        <s v="SHS,106-150A-1P,,NA"/>
        <s v="SHS,106-150A-1Q,,NA"/>
        <s v="SHS,106-150A-4B-1A,,0"/>
        <s v="SHS,106-150A-4B-1B,,0"/>
        <s v="SHS,106-150A-4B-1C,,NA"/>
        <s v="SHS,106-150A-4B-1D,,1"/>
        <s v="SHS,106-150A-4B-1E,,0"/>
        <s v="SHS,106-150A-4B-1F,,0"/>
        <s v="SHS,106-150A-4B-1G,,1"/>
        <s v="SHS,106-150A-4B-1H,,1"/>
        <s v="SHS,106-150A-4B-1I,,0"/>
        <s v="SHS,106-150A-4B-1J,,0"/>
        <s v="SHS,106-150A-4B-1K,,0"/>
        <s v="SHS,106-150A-4B-1L,,1"/>
        <s v="SHS,106-36A-20,AB,1"/>
        <s v="SHS,106-36A-20,AC,1"/>
        <s v="SHS,106-36A-20,AD,1"/>
        <s v="SHS,106-36A-20,AE,1"/>
        <s v="SHS,106-36A-20,AF,1"/>
        <s v="SHS,106-36A-20,AG,1"/>
        <s v="SHS,106-36A-20,AH,1"/>
        <s v="SHS,106-36A-20,AI,1"/>
        <s v="SHS,106-36A-24,AA,1"/>
        <s v="SHS,106-36A-24,AB,1"/>
        <s v="SHS,106-36A-24,AC,1"/>
        <s v="SHS,106-36A-24,AD,1"/>
        <s v="SHS,106-36A-24,AE,1"/>
        <s v="SHS,106-36A-24,AG,1"/>
        <s v="SHS,106-36A-24,AH,1"/>
        <s v="SHS,106-36A-24,AI,1"/>
        <s v="SHS,106-36A-24,AJ,1"/>
        <s v="SHS,106-36A-24,AK,1"/>
        <s v="SHS,106-36A-4G-1A,,1"/>
        <s v="SHS,106-36A-4G-1B,,1"/>
        <s v="SHS,106-36A-4G-1C,,1"/>
        <s v="SHS,106-36A-4G-1D,,1"/>
        <s v="SHS,106-36A-4G-1E,,1"/>
        <s v="SHS,106-36A-4G-1F,,0"/>
        <s v="SHS,106-36A-4G-1G,,1"/>
        <s v="SHS,106-36A-4G-1H,,1"/>
        <s v="SHS,106-36A-4G-1I,,1"/>
        <s v="SHS,106-36A-4G-1J,,1"/>
        <s v="SHS,106-36A-4G-1K,,1"/>
        <s v="SHS,106-36A-4G-1L,,1"/>
        <s v="SHS,106-36A-4G-1M,,1"/>
        <s v="SHS,106-36A-4G-1N,,1"/>
        <s v="SHS,106-36A-4G-1O,,1"/>
        <s v="SHS,106-36A-4G-1P,,1"/>
        <s v="SHS,106-36A-4G-1Q,,1"/>
        <s v="SHS,106-36A-4G-1R,,0"/>
        <s v="SHS,106-36A-4G-1S,,1"/>
        <s v="SHS,106-36A-4G-1T,,1"/>
        <s v="SHS,106-36A-4G-1U,,1"/>
        <s v="SHS,106-36A-4G-1V,,1"/>
        <s v="SJC,134-4-1,,1"/>
        <s v="SJC,134-4-10,,1"/>
        <s v="SJC,134-4-11,,1"/>
        <s v="SJC,134-4-12,,1"/>
        <s v="SJC,134-4-2,,1"/>
        <s v="SJC,134-4-3,,1"/>
        <s v="SJC,134-4-4,,1"/>
        <s v="SJC,134-4-5,,1"/>
        <s v="SJC,134-4-6,,1"/>
        <s v="SJC,134-4-7,,1"/>
        <s v="SJC,134-4-8,,1"/>
        <s v="SJC,134-4-9,,1"/>
        <s v="SJC,134-6-1,,NA"/>
        <s v="SJC,134-6-14,,1"/>
        <s v="SJC,134-6-15,,1"/>
        <s v="SJC,134-6-16,,1"/>
        <s v="SJC,134-6-17,,1"/>
        <s v="SJC,134-6-18,,1"/>
        <s v="SJC,134-6-19,,1"/>
        <s v="SJC,134-6-1A,,1"/>
        <s v="SJC,134-6-1B,,1"/>
        <s v="SJC,134-6-1C,,1"/>
        <s v="SJC,134-6-1D,,1"/>
        <s v="SJC,134-6-1E,,1"/>
        <s v="SJC,134-6-1F,,1"/>
        <s v="SJC,134-6-2,,1"/>
        <s v="SJC,134-6-20,,1"/>
        <s v="SJC,134-6-21,,1"/>
        <s v="SJC,134-6-22,,1"/>
        <s v="SJC,134-6-23,,1"/>
        <s v="SJC,134-6-24,,1"/>
        <s v="SJC,134-6-25,,1"/>
        <s v="SJC,134-6-26,,1"/>
        <s v="SJC,134-6-27,,1"/>
        <s v="SJC,134-6-28,,1"/>
        <s v="SJC,134-6-29,,1"/>
        <s v="SJC,134-6-3,,1"/>
        <s v="SJC,134-6-30,,1"/>
        <s v="SJC,134-6-31,,1"/>
        <s v="SJC,134-6-32,,1"/>
        <s v="SJC,134-6-33,,1"/>
        <s v="SJC,134-6-34,,1"/>
        <s v="SJC,134-6-35,,1"/>
        <s v="SJC,134-6-36,,1"/>
        <s v="SJC,134-6-37,,1"/>
        <s v="SJC,134-6-38,,1"/>
        <s v="SJC,134-6-39,,1"/>
        <s v="SJC,134-6-4,,1"/>
        <s v="SJC,134-6-40,,1"/>
        <s v="SJC,134-6-41,,1"/>
        <s v="SJC,134-6-42,,1"/>
        <s v="SJC,134-6-43,,1"/>
        <s v="SJC,134-6-44,,1"/>
        <s v="SJC,134-6-45,,1"/>
        <s v="SJC,134-6-46,,1"/>
        <s v="SJC,134-6-47,,1"/>
        <s v="SJC,134-6-48,,1"/>
        <s v="SJC,134-6-49,,1"/>
        <s v="SJC,134-6-5,,1"/>
        <s v="SJC,134-6-50,,1"/>
        <s v="SJC,134-6-51,,1"/>
        <s v="SJC,134-6-6,,1"/>
        <s v="SJC,134-6-7,,1"/>
        <s v="SJC,134-6-8,,1"/>
        <s v="SJC,134-6-9,,1"/>
        <s v="SJC,211-10-1,,0"/>
        <s v="SJC,211-10-10,,0"/>
        <s v="SJC,211-10-11,,0"/>
        <s v="SJC,211-10-12,,0"/>
        <s v="SJC,211-10-13,,0"/>
        <s v="SJC,211-10-14,,0"/>
        <s v="SJC,211-10-15,,0"/>
        <s v="SJC,211-10-16,,0"/>
        <s v="SJC,211-10-17,,0"/>
        <s v="SJC,211-10-18,,0"/>
        <s v="SJC,211-10-19,,0"/>
        <s v="SJC,211-10-2,,0"/>
        <s v="SJC,211-10-20,,0"/>
        <s v="SJC,211-10-21,,0"/>
        <s v="SJC,211-10-22,,0"/>
        <s v="SJC,211-10-23,,0"/>
        <s v="SJC,211-10-24,,0"/>
        <s v="SJC,211-10-25,,0"/>
        <s v="SJC,211-10-26,,0"/>
        <s v="SJC,211-10-27,,0"/>
        <s v="SJC,211-10-28,,0"/>
        <s v="SJC,211-10-28,AA,0"/>
        <s v="SJC,211-10-28,AB,0"/>
        <s v="SJC,211-10-28,AC,0"/>
        <s v="SJC,211-10-28,AD,0"/>
        <s v="SJC,211-10-28,AE,0"/>
        <s v="SJC,211-10-28,AF,0"/>
        <s v="SJC,211-10-28,AG,0"/>
        <s v="SJC,211-10-28,AH,0"/>
        <s v="SJC,211-10-29,,0"/>
        <s v="SJC,211-10-3,,0"/>
        <s v="SJC,211-10-3,AA,0"/>
        <s v="SJC,211-10-3,AB,0"/>
        <s v="SJC,211-10-3,AC,0"/>
        <s v="SJC,211-10-30,,0"/>
        <s v="SJC,211-10-31,,0"/>
        <s v="SJC,211-10-32,,0"/>
        <s v="SJC,211-10-33,,0"/>
        <s v="SJC,211-10-34,,0"/>
        <s v="SJC,211-10-34,AA,0"/>
        <s v="SJC,211-10-34,AB,0"/>
        <s v="SJC,211-10-34,AC,0"/>
        <s v="SJC,211-10-34,AD,0"/>
        <s v="SJC,211-10-34,AE,0"/>
        <s v="SJC,211-10-34,AF,0"/>
        <s v="SJC,211-10-34,AG,0"/>
        <s v="SJC,211-10-34,AH,0"/>
        <s v="SJC,211-10-35,,0"/>
        <s v="SJC,211-10-36,,0"/>
        <s v="SJC,211-10-37,,0"/>
        <s v="SJC,211-10-38,,0"/>
        <s v="SJC,211-10-39,,0"/>
        <s v="SJC,211-10-4,,0"/>
        <s v="SJC,211-10-40,,0"/>
        <s v="SJC,211-10-41,,0"/>
        <s v="SJC,211-10-42,,0"/>
        <s v="SJC,211-10-43,,0"/>
        <s v="SJC,211-10-44,,0"/>
        <s v="SJC,211-10-44,AA,0"/>
        <s v="SJC,211-10-44,AB,0"/>
        <s v="SJC,211-10-45,,0"/>
        <s v="SJC,211-10-46,,0"/>
        <s v="SJC,211-10-46,AA,0"/>
        <s v="SJC,211-10-47,,0"/>
        <s v="SJC,211-10-48,,0"/>
        <s v="SJC,211-10-49,,0"/>
        <s v="SJC,211-10-5,,0"/>
        <s v="SJC,211-10-50,,0"/>
        <s v="SJC,211-10-50,AA,0"/>
        <s v="SJC,211-10-50,AB,0"/>
        <s v="SJC,211-10-50,AC,0"/>
        <s v="SJC,211-10-51,,0"/>
        <s v="SJC,211-10-52,,0"/>
        <s v="SJC,211-10-52,AA,0"/>
        <s v="SJC,211-10-52,AB,0"/>
        <s v="SJC,211-10-52,AC,0"/>
        <s v="SJC,211-10-52,AD,0"/>
        <s v="SJC,211-10-53,,0"/>
        <s v="SJC,211-10-54,,0"/>
        <s v="SJC,211-10-55,,0"/>
        <s v="SJC,211-10-56,,0"/>
        <s v="SJC,211-10-57,,0"/>
        <s v="SJC,211-10-57,AA,0"/>
        <s v="SJC,211-10-57,AB,0"/>
        <s v="SJC,211-10-58,,0"/>
        <s v="SJC,211-10-59,,0"/>
        <s v="SJC,211-10-6,,0"/>
        <s v="SJC,211-10-60,,0"/>
        <s v="SJC,211-10-61,,0"/>
        <s v="SJC,211-10-62,,0"/>
        <s v="SJC,211-10-63,,0"/>
        <s v="SJC,211-10-63,AA,0"/>
        <s v="SJC,211-10-63,AB,0"/>
        <s v="SJC,211-10-63,AC,0"/>
        <s v="SJC,211-10-63,AD,0"/>
        <s v="SJC,211-10-64,,0"/>
        <s v="SJC,211-10-64,AA,0"/>
        <s v="SJC,211-10-64,AB,0"/>
        <s v="SJC,211-10-64,AC,0"/>
        <s v="SJC,211-10-65,,0"/>
        <s v="SJC,211-10-65,AA,0"/>
        <s v="SJC,211-10-65,AB,0"/>
        <s v="SJC,211-10-65,AC,0"/>
        <s v="SJC,211-10-65,AD,0"/>
        <s v="SJC,211-10-65,AE,0"/>
        <s v="SJC,211-10-65,AF,0"/>
        <s v="SJC,211-10-65,AG,0"/>
        <s v="SJC,211-10-65,AH,0"/>
        <s v="SJC,211-10-66,,0"/>
        <s v="SJC,211-10-67,,0"/>
        <s v="SJC,211-10-68,,0"/>
        <s v="SJC,211-10-69,,0"/>
        <s v="SJC,211-10-7,,0"/>
        <s v="SJC,211-10-70,,0"/>
        <s v="SJC,211-10-70,AA,0"/>
        <s v="SJC,211-10-70,AB,0"/>
        <s v="SJC,211-10-70,AC,0"/>
        <s v="SJC,211-10-71,,0"/>
        <s v="SJC,211-10-72,,0"/>
        <s v="SJC,211-10-73,,0"/>
        <s v="SJC,211-10-74,,0"/>
        <s v="SJC,211-10-75,,0"/>
        <s v="SJC,211-10-76,,0"/>
        <s v="SJC,211-10-76,AA,0"/>
        <s v="SJC,211-10-76,AB,0"/>
        <s v="SJC,211-10-77,,0"/>
        <s v="SJC,211-10-77,AA,0"/>
        <s v="SJC,211-10-77,AB,0"/>
        <s v="SJC,211-10-78,,0"/>
        <s v="SJC,211-10-78,AA,0"/>
        <s v="SJC,211-10-78,AB,0"/>
        <s v="SJC,211-10-79,,0"/>
        <s v="SJC,211-10-79,AA,0"/>
        <s v="SJC,211-10-79,AB,0"/>
        <s v="SJC,211-10-8,,0"/>
        <s v="SJC,211-10-80,,0"/>
        <s v="SJC,211-10-81,,0"/>
        <s v="SJC,211-10-81,AA,0"/>
        <s v="SJC,211-10-81,AB,0"/>
        <s v="SJC,211-10-82,,0"/>
        <s v="SJC,211-10-83,,0"/>
        <s v="SJC,211-10-84,,0"/>
        <s v="SJC,211-10-85,,0"/>
        <s v="SJC,211-10-86,,0"/>
        <s v="SJC,211-10-87,,0"/>
        <s v="SJC,211-10-88,,0"/>
        <s v="SJC,211-10-88,AA,0"/>
        <s v="SJC,211-10-88,AB,0"/>
        <s v="SJC,211-10-88,AC,0"/>
        <s v="SJC,211-10-89,,0"/>
        <s v="SJC,211-10-9,,0"/>
        <s v="SJC,211-10-90,,0"/>
        <s v="SJC,211-10-91,,0"/>
        <s v="SJC,211-10-92,,0"/>
        <s v="SJC,211-10-93,,0"/>
        <s v="SJC,211-10-94,,0"/>
        <s v="SJC,211-10-95,,0"/>
        <s v="SJC,211-10-96,,0"/>
        <s v="SJC,211-10-97,,0"/>
        <s v="SJC,211-10-98,,0"/>
        <s v="SJC,211-8-1,,NA"/>
        <s v="SJC,211-8-2,,1"/>
        <s v="SJC,211-8-3,,1"/>
        <s v="SJC,211-8-4,,1"/>
        <s v="SJC,211-8-5,,1"/>
        <s v="SJC,211-8-6,,1"/>
        <s v="SJC,211-8-7,,1"/>
        <s v="SJC,211-8-8,,1"/>
        <s v="SJC,211-8-9,,1"/>
        <s v="SJC,42-3-1,,1"/>
        <s v="SJC,42-3-10,,1"/>
        <s v="SJC,42-3-11,,1"/>
        <s v="SJC,42-3-12,,1"/>
        <s v="SJC,42-3-13,,1"/>
        <s v="SJC,42-3-14,,1"/>
        <s v="SJC,42-3-15,,1"/>
        <s v="SJC,42-3-16,,1"/>
        <s v="SJC,42-3-17,,1"/>
        <s v="SJC,42-3-18,,1"/>
        <s v="SJC,42-3-19,,1"/>
        <s v="SJC,42-3-2,,1"/>
        <s v="SJC,42-3-20,,1"/>
        <s v="SJC,42-3-21,,1"/>
        <s v="SJC,42-3-22,,1"/>
        <s v="SJC,42-3-23,,1"/>
        <s v="SJC,42-3-24,,1"/>
        <s v="SJC,42-3-25,,1"/>
        <s v="SJC,42-3-26,,1"/>
        <s v="SJC,42-3-27,,1"/>
        <s v="SJC,42-3-28,,1"/>
        <s v="SJC,42-3-29,,1"/>
        <s v="SJC,42-3-3,,1"/>
        <s v="SJC,42-3-30,,1"/>
        <s v="SJC,42-3-31,,1"/>
        <s v="SJC,42-3-32,,1"/>
        <s v="SJC,42-3-33,,1"/>
        <s v="SJC,42-3-34,,1"/>
        <s v="SJC,42-3-35,,1"/>
        <s v="SJC,42-3-36,,1"/>
        <s v="SJC,42-3-37,,1"/>
        <s v="SJC,42-3-38,,1"/>
        <s v="SJC,42-3-39,,1"/>
        <s v="SJC,42-3-4,,1"/>
        <s v="SJC,42-3-40,,1"/>
        <s v="SJC,42-3-41,,NA"/>
        <s v="SJC,42-3-42,,NA"/>
        <s v="SJC,42-3-43,,NA"/>
        <s v="SJC,42-3-44,,1"/>
        <s v="SJC,42-3-45,,1"/>
        <s v="SJC,42-3-46,,1"/>
        <s v="SJC,42-3-47,,1"/>
        <s v="SJC,42-3-48,,1"/>
        <s v="SJC,42-3-49,,1"/>
        <s v="SJC,42-3-5,,NA"/>
        <s v="SJC,42-3-50,,1"/>
        <s v="SJC,42-3-51,,1"/>
        <s v="SJC,42-3-52,,1"/>
        <s v="SJC,42-3-53,,1"/>
        <s v="SJC,42-3-54,,1"/>
        <s v="SJC,42-3-55,,1"/>
        <s v="SJC,42-3-56,,1"/>
        <s v="SJC,42-3-57,,1"/>
        <s v="SJC,42-3-58,,1"/>
        <s v="SJC,42-3-59,,1"/>
        <s v="SJC,42-3-6,,1"/>
        <s v="SJC,42-3-60,,1"/>
        <s v="SJC,42-3-61,,1"/>
        <s v="SJC,42-3-62,,1"/>
        <s v="SJC,42-3-63,,1"/>
        <s v="SJC,42-3-64,,1"/>
        <s v="SJC,42-3-65,,1"/>
        <s v="SJC,42-3-7,,1"/>
        <s v="SJC,42-3-8,,1"/>
        <s v="SJC,42-3-9,,1"/>
        <s v="SJC,42-4-1,,0"/>
        <s v="SJC,42-4-10,,NA"/>
        <s v="SJC,42-4-100,,0"/>
        <s v="SJC,42-4-101,,0"/>
        <s v="SJC,42-4-102,,NA"/>
        <s v="SJC,42-4-103,,0"/>
        <s v="SJC,42-4-104,,0"/>
        <s v="SJC,42-4-11,,0"/>
        <s v="SJC,42-4-12,,NA"/>
        <s v="SJC,42-4-13,,0"/>
        <s v="SJC,42-4-14,,0"/>
        <s v="SJC,42-4-15,,0"/>
        <s v="SJC,42-4-16,,0"/>
        <s v="SJC,42-4-17,,0"/>
        <s v="SJC,42-4-18,,0"/>
        <s v="SJC,42-4-19,,0"/>
        <s v="SJC,42-4-2,,NA"/>
        <s v="SJC,42-4-20,,NA"/>
        <s v="SJC,42-4-21,,0"/>
        <s v="SJC,42-4-22,,0"/>
        <s v="SJC,42-4-23,,0"/>
        <s v="SJC,42-4-24,,0"/>
        <s v="SJC,42-4-25,,0"/>
        <s v="SJC,42-4-26,,0"/>
        <s v="SJC,42-4-27,,0"/>
        <s v="SJC,42-4-28,,0"/>
        <s v="SJC,42-4-29,,0"/>
        <s v="SJC,42-4-3,,0"/>
        <s v="SJC,42-4-30,,0"/>
        <s v="SJC,42-4-31,,0"/>
        <s v="SJC,42-4-32,,0"/>
        <s v="SJC,42-4-33,,0"/>
        <s v="SJC,42-4-34,,NA"/>
        <s v="SJC,42-4-35,,NA"/>
        <s v="SJC,42-4-36,,0"/>
        <s v="SJC,42-4-37,,0"/>
        <s v="SJC,42-4-38,,NA"/>
        <s v="SJC,42-4-39,,0"/>
        <s v="SJC,42-4-4,,0"/>
        <s v="SJC,42-4-40,,0"/>
        <s v="SJC,42-4-41,,0"/>
        <s v="SJC,42-4-42,,0"/>
        <s v="SJC,42-4-43,,1"/>
        <s v="SJC,42-4-44,,0"/>
        <s v="SJC,42-4-45,,0"/>
        <s v="SJC,42-4-46,,NA"/>
        <s v="SJC,42-4-47,,0"/>
        <s v="SJC,42-4-48,,0"/>
        <s v="SJC,42-4-49,,0"/>
        <s v="SJC,42-4-5,,NA"/>
        <s v="SJC,42-4-50,,0"/>
        <s v="SJC,42-4-51,,0"/>
        <s v="SJC,42-4-52,,0"/>
        <s v="SJC,42-4-53,,NA"/>
        <s v="SJC,42-4-54,,0"/>
        <s v="SJC,42-4-55,,0"/>
        <s v="SJC,42-4-56,,0"/>
        <s v="SJC,42-4-57,,NA"/>
        <s v="SJC,42-4-58,,0"/>
        <s v="SJC,42-4-59,,0"/>
        <s v="SJC,42-4-6,,NA"/>
        <s v="SJC,42-4-60,,0"/>
        <s v="SJC,42-4-61,,NA"/>
        <s v="SJC,42-4-62,,0"/>
        <s v="SJC,42-4-63,,0"/>
        <s v="SJC,42-4-64,,0"/>
        <s v="SJC,42-4-65,,0"/>
        <s v="SJC,42-4-66,,NA"/>
        <s v="SJC,42-4-67,,0"/>
        <s v="SJC,42-4-68,,0"/>
        <s v="SJC,42-4-69,,0"/>
        <s v="SJC,42-4-7,,NA"/>
        <s v="SJC,42-4-70,,NA"/>
        <s v="SJC,42-4-71,,NA"/>
        <s v="SJC,42-4-72,,0"/>
        <s v="SJC,42-4-73,,0"/>
        <s v="SJC,42-4-74,,0"/>
        <s v="SJC,42-4-75,,0"/>
        <s v="SJC,42-4-76,,0"/>
        <s v="SJC,42-4-77,,0"/>
        <s v="SJC,42-4-78,,0"/>
        <s v="SJC,42-4-79,,0"/>
        <s v="SJC,42-4-8,,0"/>
        <s v="SJC,42-4-80,,0"/>
        <s v="SJC,42-4-81,,0"/>
        <s v="SJC,42-4-82,,0"/>
        <s v="SJC,42-4-83,,0"/>
        <s v="SJC,42-4-84,,0"/>
        <s v="SJC,42-4-85,,0"/>
        <s v="SJC,42-4-86,,0"/>
        <s v="SJC,42-4-87,,0"/>
        <s v="SJC,42-4-88,,0"/>
        <s v="SJC,42-4-89,,0"/>
        <s v="SJC,42-4-9,,0"/>
        <s v="SJC,42-4-90,,0"/>
        <s v="SJC,42-4-91,,0"/>
        <s v="SJC,42-4-92,,0"/>
        <s v="SJC,42-4-93,,0"/>
        <s v="SJC,42-4-94,,0"/>
        <s v="SJC,42-4-95,,0"/>
        <s v="SJC,42-4-96,,0"/>
        <s v="SJC,42-4-97,,0"/>
        <s v="SJC,42-4-98,,0"/>
        <s v="SJC,42-4-99,,NA"/>
        <s v="SJC,909-4-1,,1"/>
        <s v="SJC,909-4-10,,1"/>
        <s v="SJC,909-4-11,,NA"/>
        <s v="SJC,909-4-12,,1"/>
        <s v="SJC,909-4-13,,1"/>
        <s v="SJC,909-4-14,,NA"/>
        <s v="SJC,909-4-15,,1"/>
        <s v="SJC,909-4-16,,1"/>
        <s v="SJC,909-4-17,,NA"/>
        <s v="SJC,909-4-18,,1"/>
        <s v="SJC,909-4-19,,1"/>
        <s v="SJC,909-4-2,,NA"/>
        <s v="SJC,909-4-20,,NA"/>
        <s v="SJC,909-4-21,,1"/>
        <s v="SJC,909-4-22,,1"/>
        <s v="SJC,909-4-23,,NA"/>
        <s v="SJC,909-4-24,,1"/>
        <s v="SJC,909-4-25,,1"/>
        <s v="SJC,909-4-26,,NA"/>
        <s v="SJC,909-4-27,,1"/>
        <s v="SJC,909-4-3,,1"/>
        <s v="SJC,909-4-4,,1"/>
        <s v="SJC,909-4-5,,NA"/>
        <s v="SJC,909-4-6,,1"/>
        <s v="SJC,909-4-7,,1"/>
        <s v="SJC,909-4-8,,NA"/>
        <s v="SJC,909-4-9,,1"/>
        <s v="SJC,909-5-1,,1"/>
        <s v="SJC,909-5-10,,1"/>
        <s v="SJC,909-5-11,,1"/>
        <s v="SJC,909-5-12,,1"/>
        <s v="SJC,909-5-13,,1"/>
        <s v="SJC,909-5-14,,1"/>
        <s v="SJC,909-5-15,,1"/>
        <s v="SJC,909-5-16,,1"/>
        <s v="SJC,909-5-17,,1"/>
        <s v="SJC,909-5-18,,1"/>
        <s v="SJC,909-5-19,,1"/>
        <s v="SJC,909-5-2,,1"/>
        <s v="SJC,909-5-20,,1"/>
        <s v="SJC,909-5-21,,1"/>
        <s v="SJC,909-5-22,,1"/>
        <s v="SJC,909-5-23,,1"/>
        <s v="SJC,909-5-24,,1"/>
        <s v="SJC,909-5-25,,1"/>
        <s v="SJC,909-5-26,,1"/>
        <s v="SJC,909-5-27,,1"/>
        <s v="SJC,909-5-28,,1"/>
        <s v="SJC,909-5-29,,1"/>
        <s v="SJC,909-5-3,,1"/>
        <s v="SJC,909-5-30,,1"/>
        <s v="SJC,909-5-31,,1"/>
        <s v="SJC,909-5-32,,1"/>
        <s v="SJC,909-5-33,,1"/>
        <s v="SJC,909-5-34,,1"/>
        <s v="SJC,909-5-35,,1"/>
        <s v="SJC,909-5-36,,1"/>
        <s v="SJC,909-5-37,,1"/>
        <s v="SJC,909-5-38,,1"/>
        <s v="SJC,909-5-39,,1"/>
        <s v="SJC,909-5-4,,1"/>
        <s v="SJC,909-5-40,,1"/>
        <s v="SJC,909-5-5,,1"/>
        <s v="SJC,909-5-6,,1"/>
        <s v="SJC,909-5-7,,1"/>
        <s v="SJC,909-5-8,,1"/>
        <s v="SJC,909-5-9,,1"/>
        <s v="SJC,909-6-1,,NA"/>
        <s v="SJC,909-6-10,,NA"/>
        <s v="SJC,909-6-11,,NA"/>
        <s v="SJC,909-6-12,,NA"/>
        <s v="SJC,909-6-13,,NA"/>
        <s v="SJC,909-6-14,,NA"/>
        <s v="SJC,909-6-15,,NA"/>
        <s v="SJC,909-6-16,,NA"/>
        <s v="SJC,909-6-17,,NA"/>
        <s v="SJC,909-6-18,,NA"/>
        <s v="SJC,909-6-19,,NA"/>
        <s v="SJC,909-6-2,,NA"/>
        <s v="SJC,909-6-20,,NA"/>
        <s v="SJC,909-6-21,,NA"/>
        <s v="SJC,909-6-22,,NA"/>
        <s v="SJC,909-6-23,,NA"/>
        <s v="SJC,909-6-24,,NA"/>
        <s v="SJC,909-6-25,,NA"/>
        <s v="SJC,909-6-26,,NA"/>
        <s v="SJC,909-6-27,,NA"/>
        <s v="SJC,909-6-28,,NA"/>
        <s v="SJC,909-6-29,,NA"/>
        <s v="SJC,909-6-3,,NA"/>
        <s v="SJC,909-6-30,,NA"/>
        <s v="SJC,909-6-31,,NA"/>
        <s v="SJC,909-6-32,,NA"/>
        <s v="SJC,909-6-33,,NA"/>
        <s v="SJC,909-6-34,,NA"/>
        <s v="SJC,909-6-35,,NA"/>
        <s v="SJC,909-6-36,,NA"/>
        <s v="SJC,909-6-37,,NA"/>
        <s v="SJC,909-6-38,,NA"/>
        <s v="SJC,909-6-39,,NA"/>
        <s v="SJC,909-6-4,,NA"/>
        <s v="SJC,909-6-40,,NA"/>
        <s v="SJC,909-6-41,,NA"/>
        <s v="SJC,909-6-42,,NA"/>
        <s v="SJC,909-6-43,,NA"/>
        <s v="SJC,909-6-44,,NA"/>
        <s v="SJC,909-6-45,,NA"/>
        <s v="SJC,909-6-46,,NA"/>
        <s v="SJC,909-6-47,,NA"/>
        <s v="SJC,909-6-48,,NA"/>
        <s v="SJC,909-6-49,,NA"/>
        <s v="SJC,909-6-5,,NA"/>
        <s v="ZC,#1,,NA"/>
        <s v="ZC,#10,,NA"/>
        <s v="ZC,#11,,NA"/>
        <s v="ZC,#12,,NA"/>
        <s v="ZC,#13,,NA"/>
        <s v="ZC,#14,,NA"/>
        <s v="ZC,#15,,NA"/>
        <s v="ZC,#16,,NA"/>
        <s v="ZC,#2,,NA"/>
        <s v="ZC,#3,,NA"/>
        <s v="ZC,#4,,NA"/>
        <s v="ZC,#5,,NA"/>
        <s v="ZC,#6,,NA"/>
        <s v="ZC,#7,,NA"/>
        <s v="ZC,#8,,NA"/>
        <s v="ZC,#9,,NA"/>
        <s v="SJC,909-6-50,,NA"/>
        <s v="SJC,909-6-51,,NA"/>
        <s v="SJC,909-6-52,,NA"/>
        <s v="SJC,909-6-53,,NA"/>
        <s v="SJC,909-6-54,,NA"/>
        <s v="SJC,909-6-55,,NA"/>
        <s v="SJC,909-6-56,,NA"/>
        <s v="SJC,909-6-57,,NA"/>
        <s v="SJC,909-6-58,,NA"/>
        <s v="SJC,909-6-59,,1"/>
        <s v="SJC,909-6-6,,NA"/>
        <s v="SJC,909-6-7,,NA"/>
        <s v="SJC,909-6-8,,NA"/>
        <s v="SJC,909-6-9,,NA"/>
        <s v="JLP,110-5A-4I,,1"/>
        <s v="JLP,110-5A-4M,,NA"/>
        <s v="JLP,110-5A-4N,,NA"/>
        <s v="JLP,110-5A-4Q,,NA"/>
        <s v="JLP,110-5A-4U,,NA"/>
        <s v="JLP,110-5A-4V,,NA"/>
        <s v="JLP,110-5A-4W,,NA"/>
        <s v="JLP,110-5A-5B,,NA"/>
        <s v="JLP,110-5A-5C,,NA"/>
        <s v="JLP,110-5A-5D,,NA"/>
        <s v="JLP,110-5A-5E,,NA"/>
        <s v="JLP,110-5A-5G,,NA"/>
        <s v="JLP,110-5A-5H,,NA"/>
        <s v="JLP,110-5A-5I,,NA"/>
        <s v="JLP,110-5A-5J,,NA"/>
        <s v="JLP,110-5A-5L,,NA"/>
        <s v="JLP,110-5A-5S,,NA"/>
        <s v="JLP,110-5A-5T,,NA"/>
        <s v="JLP,110-5A-5V,,NA"/>
        <s v="JLP,110-5A-6A,,NA"/>
        <s v="JLP,110-5A-6F,,NA"/>
        <s v="JLP,110-5A-6M,,NA"/>
        <s v="JLP,110-5A-6N,,NA"/>
        <s v="JLP,110-5A-6O,,NA"/>
        <s v="JLP,110-5A-6P,,NA"/>
        <s v="JLP,110-5A-6Q,,NA"/>
        <s v="JLP,110-5A-6R,,NA"/>
        <s v="JLP,110-5A-6S,,NA"/>
        <s v="JLP,110-5A-6T,,NA"/>
        <s v="JLP,110-5A-6U,,NA"/>
        <s v="JLP,110-5A-6V,,NA"/>
        <s v="JLP,110-5A-6W,,NA"/>
        <s v="JLP,110-5A-6X,,NA"/>
        <s v="JLP,110-5A-6Y,,NA"/>
        <s v="JLP,110-5A-6Z,,NA"/>
        <s v="JLP,110-5A-7A,,NA"/>
        <s v="JLP,110-5A-7B,,NA"/>
        <s v="JLP,110-5A-7C,,NA"/>
        <s v="JLP,110-5A-7D,,NA"/>
        <s v="JLP,110-5A-7E,,NA"/>
        <s v="JLP,110-5A-7F,,NA"/>
        <s v="JLP,110-5A-7G,,NA"/>
        <s v="JLP,110-5A-7H,,NA"/>
        <s v="JLP,110-5A-7I,,NA"/>
        <s v="JLP,110-2A-21,AE,1"/>
        <s v="JLP,110-2A-21,AK,1"/>
        <s v="JLP,110-2A-21,AL,1"/>
      </sharedItems>
    </cacheField>
    <cacheField name="Jan23 mortality census (0=dead, 1=alive)" numFmtId="0">
      <sharedItems containsString="0" containsBlank="1">
        <m/>
      </sharedItems>
    </cacheField>
    <cacheField name="ENDOPHYTE" numFmtId="0">
      <sharedItems containsBlank="1">
        <s v="E+ Con"/>
        <s v="E+/- Heat"/>
        <m/>
        <s v="?"/>
      </sharedItems>
    </cacheField>
    <cacheField name="HEALTH" numFmtId="0">
      <sharedItems containsBlank="1">
        <s v="ALIVE"/>
        <s v="DEAD"/>
        <m/>
      </sharedItems>
    </cacheField>
    <cacheField name="UPDATED" numFmtId="14">
      <sharedItems containsDate="1" containsString="0" containsBlank="1">
        <d v="2022-12-20T00:00:00Z"/>
        <m/>
        <d v="2022-10-28T00:00:00Z"/>
        <d v="2022-12-22T00:00:00Z"/>
        <d v="2022-11-10T00:00:00Z"/>
        <d v="2022-11-29T00:00:00Z"/>
        <d v="2022-12-12T00:00:00Z"/>
        <d v="2022-12-13T00:00:00Z"/>
        <d v="2022-12-14T00:00:00Z"/>
        <d v="2022-12-15T00:00:00Z"/>
        <d v="2022-11-01T00:00:00Z"/>
        <d v="2022-11-15T00:00:00Z"/>
      </sharedItems>
    </cacheField>
    <cacheField name="Selected" numFmtId="0">
      <sharedItems containsString="0" containsBlank="1" containsNumber="1" containsInteger="1">
        <m/>
        <n v="1.0"/>
      </sharedItems>
    </cacheField>
    <cacheField name="Leaf_peel_liberal" numFmtId="0">
      <sharedItems containsString="0" containsBlank="1" containsNumber="1" containsInteger="1">
        <m/>
        <n v="0.0"/>
        <n v="1.0"/>
      </sharedItems>
    </cacheField>
    <cacheField name="Leaf_peel_conservative" numFmtId="0">
      <sharedItems containsString="0" containsBlank="1" containsNumber="1" containsInteger="1">
        <m/>
        <n v="0.0"/>
        <n v="1.0"/>
      </sharedItems>
    </cacheField>
    <cacheField name="seed_score_liberal" numFmtId="0">
      <sharedItems containsString="0" containsBlank="1" containsNumber="1" containsInteger="1">
        <m/>
        <n v="0.0"/>
        <n v="1.0"/>
      </sharedItems>
    </cacheField>
    <cacheField name="seed_score_conservative" numFmtId="0">
      <sharedItems containsString="0" containsBlank="1" containsNumber="1" containsInteger="1">
        <m/>
        <n v="0.0"/>
        <n v="1.0"/>
      </sharedItems>
    </cacheField>
    <cacheField name="agrinostics_score_liberal" numFmtId="0">
      <sharedItems containsString="0" containsBlank="1" containsNumber="1" containsInteger="1">
        <n v="1.0"/>
        <n v="0.0"/>
        <m/>
      </sharedItems>
    </cacheField>
    <cacheField name="agrinostics_score_conservative" numFmtId="0">
      <sharedItems containsString="0" containsBlank="1" containsNumber="1" containsInteger="1">
        <n v="1.0"/>
        <n v="0.0"/>
        <m/>
      </sharedItems>
    </cacheField>
    <cacheField name="avg score">
      <sharedItems containsBlank="1" containsMixedTypes="1" containsNumber="1">
        <e v="#REF!"/>
        <n v="1.1666666666666667"/>
        <m/>
        <n v="0.0"/>
        <n v="1.0"/>
        <n v="2.0"/>
        <n v="3.1666666666666665"/>
        <n v="3.0"/>
      </sharedItems>
    </cacheField>
    <cacheField name="agrinostics_date">
      <sharedItems containsDate="1" containsString="0" containsBlank="1" containsMixedTypes="1">
        <m/>
        <d v="2023-03-22T00:00:00Z"/>
        <d v="2023-02-17T00:00:00Z"/>
        <d v="2023-02-14T00:00:00Z"/>
        <n v="1.0"/>
        <d v="2023-02-09T00:00:00Z"/>
        <d v="2023-02-16T00:00:00Z"/>
        <d v="2023-04-07T00:00:00Z"/>
        <d v="2023-02-10T00:00:00Z"/>
        <n v="0.0"/>
      </sharedItems>
    </cacheField>
    <cacheField name="agrinostics_location" numFmtId="0">
      <sharedItems containsString="0" containsBlank="1">
        <m/>
      </sharedItems>
    </cacheField>
    <cacheField name=" " numFmtId="0">
      <sharedItems containsString="0" containsBlank="1" containsNumber="1" containsInteger="1">
        <n v="0.0"/>
        <n v="1.0"/>
        <m/>
      </sharedItems>
    </cacheField>
    <cacheField name=" 2" numFmtId="0">
      <sharedItems containsString="0" containsBlank="1" containsNumber="1" containsInteger="1">
        <n v="0.0"/>
        <n v="1.0"/>
        <m/>
      </sharedItems>
    </cacheField>
    <cacheField name=" 3" numFmtId="0">
      <sharedItems containsString="0" containsBlank="1" containsNumber="1" containsInteger="1">
        <n v="0.0"/>
        <n v="1.0"/>
        <m/>
      </sharedItems>
    </cacheField>
    <cacheField name=" 4" numFmtId="0">
      <sharedItems containsString="0" containsBlank="1" containsNumber="1" containsInteger="1">
        <n v="0.0"/>
        <n v="1.0"/>
        <m/>
      </sharedItems>
    </cacheField>
    <cacheField name=" 5" numFmtId="0">
      <sharedItems containsString="0" containsBlank="1" containsNumber="1" containsInteger="1">
        <n v="1.0"/>
        <n v="0.0"/>
        <m/>
      </sharedItems>
    </cacheField>
    <cacheField name=" 6" numFmtId="0">
      <sharedItems containsString="0" containsBlank="1" containsNumber="1" containsInteger="1">
        <n v="1.0"/>
        <n v="0.0"/>
        <m/>
      </sharedItems>
    </cacheField>
    <cacheField name="real_endo">
      <sharedItems containsBlank="1" containsMixedTypes="1" containsNumber="1">
        <n v="1.0"/>
        <n v="0.0"/>
        <s v="NA"/>
        <n v="0.5"/>
        <m/>
        <n v="0.75"/>
        <n v="0.25"/>
      </sharedItems>
    </cacheField>
    <cacheField name="NOTES" numFmtId="0">
      <sharedItems containsBlank="1">
        <m/>
        <s v="KS leaf peel"/>
        <s v="KS peel"/>
        <s v="CO peel"/>
        <s v="DOW Peel"/>
        <s v="DOW LP 4 Apr 23"/>
        <s v="TM peel"/>
        <s v=" Leaf Peel KS 3/20/23"/>
        <s v="Leaf Peel DOW 3/20/23"/>
        <s v="TM peel, dark septate endophyte"/>
        <s v="co peel "/>
      </sharedItems>
    </cacheField>
    <cacheField name="MAP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Updated Pivot table" cacheId="0" dataCaption="" compact="0" compactData="0">
  <location ref="A1:F68" firstHeaderRow="0" firstDataRow="4" firstDataCol="0"/>
  <pivotFields>
    <pivotField name="SPECIES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POPULATION" axis="axisRow" compact="0" outline="0" multipleItemSelectionAllowed="1" showAll="0" sortType="ascending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DIVIDUAL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t="default"/>
      </items>
    </pivotField>
    <pivotField name="Clon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PopIndCloneEn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t="default"/>
      </items>
    </pivotField>
    <pivotField name="Jan23 mortality census (0=dead, 1=alive)" compact="0" outline="0" multipleItemSelectionAllowed="1" showAll="0">
      <items>
        <item x="0"/>
        <item t="default"/>
      </items>
    </pivotField>
    <pivotField name="ENDOPHYTE" compact="0" outline="0" multipleItemSelectionAllowed="1" showAll="0">
      <items>
        <item x="0"/>
        <item x="1"/>
        <item x="2"/>
        <item x="3"/>
        <item t="default"/>
      </items>
    </pivotField>
    <pivotField name="HEALTH" compact="0" outline="0" multipleItemSelectionAllowed="1" showAll="0">
      <items>
        <item x="0"/>
        <item x="1"/>
        <item x="2"/>
        <item t="default"/>
      </items>
    </pivotField>
    <pivotField name="UPDATED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lected" compact="0" outline="0" multipleItemSelectionAllowed="1" showAll="0">
      <items>
        <item x="0"/>
        <item x="1"/>
        <item t="default"/>
      </items>
    </pivotField>
    <pivotField name="Leaf_peel_liberal" compact="0" outline="0" multipleItemSelectionAllowed="1" showAll="0">
      <items>
        <item x="0"/>
        <item x="1"/>
        <item x="2"/>
        <item t="default"/>
      </items>
    </pivotField>
    <pivotField name="Leaf_peel_conservative" compact="0" outline="0" multipleItemSelectionAllowed="1" showAll="0">
      <items>
        <item x="0"/>
        <item x="1"/>
        <item x="2"/>
        <item t="default"/>
      </items>
    </pivotField>
    <pivotField name="seed_score_liberal" compact="0" outline="0" multipleItemSelectionAllowed="1" showAll="0">
      <items>
        <item x="0"/>
        <item x="1"/>
        <item x="2"/>
        <item t="default"/>
      </items>
    </pivotField>
    <pivotField name="seed_score_conservative" compact="0" outline="0" multipleItemSelectionAllowed="1" showAll="0">
      <items>
        <item x="0"/>
        <item x="1"/>
        <item x="2"/>
        <item t="default"/>
      </items>
    </pivotField>
    <pivotField name="agrinostics_score_liberal" compact="0" outline="0" multipleItemSelectionAllowed="1" showAll="0">
      <items>
        <item x="0"/>
        <item x="1"/>
        <item x="2"/>
        <item t="default"/>
      </items>
    </pivotField>
    <pivotField name="agrinostics_score_conservative" compact="0" outline="0" multipleItemSelectionAllowed="1" showAll="0">
      <items>
        <item x="0"/>
        <item x="1"/>
        <item x="2"/>
        <item t="default"/>
      </items>
    </pivotField>
    <pivotField name="av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rinostics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rinostics_location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x="2"/>
        <item t="default"/>
      </items>
    </pivotField>
    <pivotField name=" 6" compact="0" outline="0" multipleItemSelectionAllowed="1" showAll="0">
      <items>
        <item x="0"/>
        <item x="1"/>
        <item x="2"/>
        <item t="default"/>
      </items>
    </pivotField>
    <pivotField name="real_endo" axis="axisRow" compact="0" outline="0" multipleItemSelectionAllowed="1" showAll="0" sortType="ascending">
      <items>
        <item x="4"/>
        <item x="1"/>
        <item x="6"/>
        <item x="3"/>
        <item x="5"/>
        <item x="0"/>
        <item x="2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AP" compact="0" outline="0" multipleItemSelectionAllowed="1" showAll="0">
      <items>
        <item x="0"/>
        <item t="default"/>
      </items>
    </pivotField>
  </pivotFields>
  <rowFields>
    <field x="0"/>
    <field x="1"/>
    <field x="25"/>
  </rowFields>
  <colFields>
    <field x="-2"/>
  </colFields>
  <dataFields>
    <dataField name="COUNTA of INDIVIDUAL ID" fld="2" subtotal="count" baseField="0"/>
    <dataField name="COUNTA of Clone ID" fld="3" subtotal="count" baseField="0"/>
    <dataField name="COUNTA of PopIndCloneEndo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4.0"/>
    <col customWidth="1" min="3" max="3" width="221.0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/>
    <row r="3" ht="14.25" customHeight="1">
      <c r="A3" s="1" t="s">
        <v>3</v>
      </c>
      <c r="C3" s="1" t="s">
        <v>4</v>
      </c>
    </row>
    <row r="4" ht="14.25" customHeight="1">
      <c r="B4" s="1" t="s">
        <v>5</v>
      </c>
      <c r="C4" s="1" t="s">
        <v>6</v>
      </c>
    </row>
    <row r="5" ht="14.25" customHeight="1">
      <c r="B5" s="1" t="s">
        <v>7</v>
      </c>
      <c r="C5" s="1" t="s">
        <v>8</v>
      </c>
    </row>
    <row r="6" ht="14.25" customHeight="1">
      <c r="B6" s="1" t="s">
        <v>9</v>
      </c>
      <c r="C6" s="1" t="s">
        <v>10</v>
      </c>
    </row>
    <row r="7" ht="14.25" customHeight="1">
      <c r="B7" s="1" t="s">
        <v>11</v>
      </c>
      <c r="C7" s="1" t="s">
        <v>12</v>
      </c>
    </row>
    <row r="8" ht="14.25" customHeight="1">
      <c r="B8" s="1" t="s">
        <v>13</v>
      </c>
      <c r="C8" s="2" t="s">
        <v>14</v>
      </c>
    </row>
    <row r="9" ht="14.25" customHeight="1">
      <c r="B9" s="1" t="s">
        <v>15</v>
      </c>
      <c r="C9" s="1" t="s">
        <v>16</v>
      </c>
    </row>
    <row r="10" ht="14.25" customHeight="1">
      <c r="B10" s="1" t="s">
        <v>17</v>
      </c>
      <c r="C10" s="1" t="s">
        <v>18</v>
      </c>
    </row>
    <row r="11" ht="14.25" customHeight="1"/>
    <row r="12" ht="14.25" customHeight="1">
      <c r="A12" s="1" t="s">
        <v>19</v>
      </c>
      <c r="C12" s="1" t="s">
        <v>20</v>
      </c>
    </row>
    <row r="13" ht="14.25" customHeight="1">
      <c r="B13" s="1" t="s">
        <v>5</v>
      </c>
      <c r="C13" s="1" t="s">
        <v>21</v>
      </c>
    </row>
    <row r="14" ht="14.25" customHeight="1">
      <c r="B14" s="1" t="s">
        <v>7</v>
      </c>
    </row>
    <row r="15" ht="14.25" customHeight="1">
      <c r="B15" s="1" t="s">
        <v>9</v>
      </c>
    </row>
    <row r="16" ht="14.25" customHeight="1">
      <c r="B16" s="1" t="s">
        <v>11</v>
      </c>
    </row>
    <row r="17" ht="14.25" customHeight="1">
      <c r="B17" s="1" t="s">
        <v>22</v>
      </c>
    </row>
    <row r="18" ht="14.25" customHeight="1">
      <c r="B18" s="1" t="s">
        <v>15</v>
      </c>
    </row>
    <row r="19" ht="14.25" customHeight="1">
      <c r="B19" s="1" t="s">
        <v>17</v>
      </c>
    </row>
    <row r="20" ht="14.25" customHeight="1"/>
    <row r="21" ht="14.25" customHeight="1">
      <c r="A21" s="3" t="s">
        <v>23</v>
      </c>
      <c r="C21" s="3"/>
    </row>
    <row r="22" ht="14.25" customHeight="1">
      <c r="B22" s="3" t="s">
        <v>24</v>
      </c>
    </row>
    <row r="23" ht="14.25" customHeight="1">
      <c r="B23" s="3" t="s">
        <v>25</v>
      </c>
    </row>
    <row r="24" ht="14.25" customHeight="1">
      <c r="B24" s="3" t="s">
        <v>26</v>
      </c>
    </row>
    <row r="25" ht="14.25" customHeight="1">
      <c r="B25" s="3" t="s">
        <v>27</v>
      </c>
    </row>
    <row r="26" ht="14.25" customHeight="1">
      <c r="B26" s="3" t="s">
        <v>28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3" width="10.0"/>
    <col customWidth="1" min="4" max="4" width="10.71"/>
    <col customWidth="1" min="5" max="5" width="156.43"/>
    <col customWidth="1" min="6" max="26" width="8.71"/>
  </cols>
  <sheetData>
    <row r="1" ht="14.25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ht="14.25" customHeight="1">
      <c r="A2" s="1" t="s">
        <v>29</v>
      </c>
      <c r="B2" s="4" t="s">
        <v>30</v>
      </c>
      <c r="C2" s="5">
        <v>30.771969</v>
      </c>
      <c r="D2" s="1">
        <v>-95.20062</v>
      </c>
      <c r="E2" s="1" t="s">
        <v>31</v>
      </c>
    </row>
    <row r="3" ht="14.25" customHeight="1">
      <c r="A3" s="1" t="s">
        <v>29</v>
      </c>
      <c r="B3" s="4" t="s">
        <v>32</v>
      </c>
      <c r="C3" s="1">
        <v>29.672833</v>
      </c>
      <c r="D3" s="1">
        <v>-96.567517</v>
      </c>
      <c r="E3" s="1" t="s">
        <v>33</v>
      </c>
    </row>
    <row r="4" ht="14.25" customHeight="1">
      <c r="A4" s="1" t="s">
        <v>29</v>
      </c>
      <c r="B4" s="4" t="s">
        <v>34</v>
      </c>
      <c r="C4" s="1">
        <v>30.085383</v>
      </c>
      <c r="D4" s="1">
        <v>-97.172508</v>
      </c>
      <c r="E4" s="1" t="s">
        <v>35</v>
      </c>
    </row>
    <row r="5" ht="14.25" customHeight="1">
      <c r="A5" s="1" t="s">
        <v>36</v>
      </c>
      <c r="B5" s="4" t="s">
        <v>37</v>
      </c>
      <c r="C5" s="1">
        <v>30.84966</v>
      </c>
      <c r="D5" s="1">
        <v>-93.276772</v>
      </c>
      <c r="E5" s="1" t="s">
        <v>38</v>
      </c>
    </row>
    <row r="6" ht="14.25" customHeight="1">
      <c r="A6" s="1" t="s">
        <v>36</v>
      </c>
      <c r="B6" s="4" t="s">
        <v>39</v>
      </c>
      <c r="C6" s="1">
        <v>32.568125</v>
      </c>
      <c r="D6" s="1">
        <v>-93.932976</v>
      </c>
      <c r="E6" s="1" t="s">
        <v>40</v>
      </c>
    </row>
    <row r="7" ht="14.25" customHeight="1">
      <c r="A7" s="1" t="s">
        <v>36</v>
      </c>
      <c r="B7" s="4" t="s">
        <v>41</v>
      </c>
      <c r="C7" s="1">
        <v>31.18304</v>
      </c>
      <c r="D7" s="1">
        <v>-92.616969</v>
      </c>
      <c r="E7" s="1" t="s">
        <v>40</v>
      </c>
    </row>
    <row r="8" ht="14.25" customHeight="1">
      <c r="A8" s="1" t="s">
        <v>36</v>
      </c>
      <c r="B8" s="4" t="s">
        <v>42</v>
      </c>
      <c r="C8" s="3">
        <v>31.492158</v>
      </c>
      <c r="D8" s="3">
        <v>-94.7722</v>
      </c>
      <c r="E8" s="1" t="s">
        <v>43</v>
      </c>
    </row>
    <row r="9" ht="14.25" customHeight="1">
      <c r="A9" s="1" t="s">
        <v>36</v>
      </c>
      <c r="B9" s="4" t="s">
        <v>44</v>
      </c>
      <c r="C9" s="3">
        <v>30.399346</v>
      </c>
      <c r="D9" s="3">
        <v>-95.150026</v>
      </c>
      <c r="E9" s="1" t="s">
        <v>45</v>
      </c>
    </row>
    <row r="10" ht="14.25" customHeight="1">
      <c r="A10" s="1" t="s">
        <v>46</v>
      </c>
      <c r="B10" s="4" t="s">
        <v>47</v>
      </c>
      <c r="C10" s="3">
        <v>30.741797</v>
      </c>
      <c r="D10" s="3">
        <v>-95.474508</v>
      </c>
      <c r="E10" s="1" t="s">
        <v>48</v>
      </c>
    </row>
    <row r="11" ht="14.25" customHeight="1">
      <c r="A11" s="1" t="s">
        <v>46</v>
      </c>
      <c r="B11" s="4" t="s">
        <v>49</v>
      </c>
      <c r="C11" s="3">
        <v>30.741797</v>
      </c>
      <c r="D11" s="3">
        <v>-95.474508</v>
      </c>
      <c r="E11" s="1" t="s">
        <v>50</v>
      </c>
    </row>
    <row r="12" ht="14.25" customHeight="1">
      <c r="A12" s="1" t="s">
        <v>46</v>
      </c>
      <c r="B12" s="4" t="s">
        <v>51</v>
      </c>
      <c r="C12" s="3">
        <v>30.471717</v>
      </c>
      <c r="D12" s="3">
        <v>-99.783803</v>
      </c>
      <c r="E12" s="1" t="s">
        <v>52</v>
      </c>
    </row>
    <row r="13" ht="14.25" customHeight="1">
      <c r="A13" s="1" t="s">
        <v>46</v>
      </c>
      <c r="B13" s="4" t="s">
        <v>53</v>
      </c>
      <c r="C13" s="3">
        <v>29.591623</v>
      </c>
      <c r="D13" s="3">
        <v>-97.584781</v>
      </c>
      <c r="E13" s="1" t="s">
        <v>54</v>
      </c>
    </row>
    <row r="14" ht="14.25" customHeight="1">
      <c r="A14" s="1" t="s">
        <v>46</v>
      </c>
      <c r="B14" s="4" t="s">
        <v>55</v>
      </c>
      <c r="C14" s="3">
        <v>29.785105</v>
      </c>
      <c r="D14" s="3">
        <v>-90.114933</v>
      </c>
      <c r="E14" s="3" t="s">
        <v>56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3" width="16.86"/>
    <col customWidth="1" min="4" max="4" width="15.29"/>
    <col customWidth="1" min="5" max="5" width="21.43"/>
    <col customWidth="1" min="6" max="6" width="24.43"/>
    <col customWidth="1" min="7" max="7" width="15.29"/>
    <col customWidth="1" min="8" max="8" width="11.29"/>
    <col customWidth="1" hidden="1" min="9" max="9" width="11.29"/>
    <col customWidth="1" min="10" max="10" width="11.29"/>
    <col customWidth="1" min="11" max="11" width="17.57"/>
    <col customWidth="1" min="12" max="12" width="22.57"/>
    <col customWidth="1" min="13" max="13" width="18.71"/>
    <col customWidth="1" min="14" max="14" width="23.71"/>
    <col customWidth="1" min="15" max="15" width="23.43"/>
    <col customWidth="1" min="16" max="16" width="28.57"/>
    <col customWidth="1" hidden="1" min="17" max="17" width="17.86"/>
    <col customWidth="1" min="18" max="18" width="17.0"/>
    <col customWidth="1" min="19" max="26" width="19.71"/>
    <col customWidth="1" min="27" max="27" width="55.71"/>
    <col customWidth="1" min="28" max="28" width="61.43"/>
    <col customWidth="1" min="29" max="45" width="8.86"/>
  </cols>
  <sheetData>
    <row r="1" ht="14.25" customHeight="1">
      <c r="A1" s="6" t="s">
        <v>7</v>
      </c>
      <c r="B1" s="6" t="s">
        <v>9</v>
      </c>
      <c r="C1" s="6" t="s">
        <v>11</v>
      </c>
      <c r="D1" s="6" t="s">
        <v>57</v>
      </c>
      <c r="E1" s="6" t="s">
        <v>58</v>
      </c>
      <c r="F1" s="7" t="s">
        <v>59</v>
      </c>
      <c r="G1" s="6" t="s">
        <v>13</v>
      </c>
      <c r="H1" s="6" t="s">
        <v>15</v>
      </c>
      <c r="I1" s="6" t="s">
        <v>17</v>
      </c>
      <c r="J1" s="6" t="s">
        <v>60</v>
      </c>
      <c r="K1" s="8" t="s">
        <v>61</v>
      </c>
      <c r="L1" s="9" t="s">
        <v>62</v>
      </c>
      <c r="M1" s="10" t="s">
        <v>63</v>
      </c>
      <c r="N1" s="10" t="s">
        <v>64</v>
      </c>
      <c r="O1" s="11" t="s">
        <v>65</v>
      </c>
      <c r="P1" s="11" t="s">
        <v>66</v>
      </c>
      <c r="Q1" s="12" t="s">
        <v>67</v>
      </c>
      <c r="R1" s="12" t="s">
        <v>68</v>
      </c>
      <c r="S1" s="12" t="s">
        <v>69</v>
      </c>
      <c r="T1" s="12" t="s">
        <v>70</v>
      </c>
      <c r="U1" s="12" t="s">
        <v>70</v>
      </c>
      <c r="V1" s="12" t="s">
        <v>70</v>
      </c>
      <c r="W1" s="12" t="s">
        <v>70</v>
      </c>
      <c r="X1" s="12" t="s">
        <v>70</v>
      </c>
      <c r="Y1" s="12" t="s">
        <v>70</v>
      </c>
      <c r="Z1" s="12" t="s">
        <v>71</v>
      </c>
      <c r="AA1" s="6" t="s">
        <v>72</v>
      </c>
      <c r="AB1" s="6" t="s">
        <v>73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</row>
    <row r="2" ht="14.25" hidden="1" customHeight="1">
      <c r="A2" s="13" t="s">
        <v>29</v>
      </c>
      <c r="B2" s="13" t="s">
        <v>32</v>
      </c>
      <c r="C2" s="13">
        <v>1.0</v>
      </c>
      <c r="D2" s="13"/>
      <c r="E2" s="13" t="str">
        <f t="shared" ref="E2:E568" si="2">CONCATENATE(B2,",",C2,",",D2,",",Z2)</f>
        <v>COHR,1,,1</v>
      </c>
      <c r="F2" s="13"/>
      <c r="G2" s="13" t="s">
        <v>74</v>
      </c>
      <c r="H2" s="13" t="s">
        <v>75</v>
      </c>
      <c r="I2" s="14">
        <v>44915.0</v>
      </c>
      <c r="J2" s="14"/>
      <c r="K2" s="15"/>
      <c r="L2" s="15"/>
      <c r="M2" s="16"/>
      <c r="N2" s="16"/>
      <c r="O2" s="17">
        <v>1.0</v>
      </c>
      <c r="P2" s="17">
        <v>1.0</v>
      </c>
      <c r="Q2" s="13" t="str">
        <f>#REF!+#REF!+#REF!+#REF!+#REF!+#REF!/6</f>
        <v>#REF!</v>
      </c>
      <c r="R2" s="13"/>
      <c r="S2" s="13"/>
      <c r="T2" s="13">
        <f t="shared" ref="T2:Y2" si="1">IF(ISBLANK(K2)=TRUE,0,1)</f>
        <v>0</v>
      </c>
      <c r="U2" s="13">
        <f t="shared" si="1"/>
        <v>0</v>
      </c>
      <c r="V2" s="13">
        <f t="shared" si="1"/>
        <v>0</v>
      </c>
      <c r="W2" s="13">
        <f t="shared" si="1"/>
        <v>0</v>
      </c>
      <c r="X2" s="13">
        <f t="shared" si="1"/>
        <v>1</v>
      </c>
      <c r="Y2" s="13">
        <f t="shared" si="1"/>
        <v>1</v>
      </c>
      <c r="Z2" s="13">
        <f t="shared" ref="Z2:Z497" si="4">IF(SUM(T2:Y2)=0,"NA",AVERAGE(K2:P2))</f>
        <v>1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ht="14.25" hidden="1" customHeight="1">
      <c r="A3" s="13" t="s">
        <v>29</v>
      </c>
      <c r="B3" s="13" t="s">
        <v>32</v>
      </c>
      <c r="C3" s="18" t="s">
        <v>76</v>
      </c>
      <c r="D3" s="13"/>
      <c r="E3" s="13" t="str">
        <f t="shared" si="2"/>
        <v>COHR,134-4-1,,1</v>
      </c>
      <c r="F3" s="13"/>
      <c r="G3" s="13" t="s">
        <v>74</v>
      </c>
      <c r="H3" s="13" t="s">
        <v>75</v>
      </c>
      <c r="I3" s="14">
        <v>44915.0</v>
      </c>
      <c r="J3" s="14"/>
      <c r="K3" s="15"/>
      <c r="L3" s="15"/>
      <c r="M3" s="16"/>
      <c r="N3" s="16"/>
      <c r="O3" s="17">
        <v>1.0</v>
      </c>
      <c r="P3" s="17">
        <v>1.0</v>
      </c>
      <c r="Q3" s="13">
        <f t="shared" ref="Q3:Q34" si="5">K2+L2+M2+N2+O2+P2/6</f>
        <v>1.166666667</v>
      </c>
      <c r="R3" s="13"/>
      <c r="S3" s="13"/>
      <c r="T3" s="13">
        <f t="shared" ref="T3:Y3" si="3">IF(ISBLANK(K3)=TRUE,0,1)</f>
        <v>0</v>
      </c>
      <c r="U3" s="13">
        <f t="shared" si="3"/>
        <v>0</v>
      </c>
      <c r="V3" s="13">
        <f t="shared" si="3"/>
        <v>0</v>
      </c>
      <c r="W3" s="13">
        <f t="shared" si="3"/>
        <v>0</v>
      </c>
      <c r="X3" s="13">
        <f t="shared" si="3"/>
        <v>1</v>
      </c>
      <c r="Y3" s="13">
        <f t="shared" si="3"/>
        <v>1</v>
      </c>
      <c r="Z3" s="13">
        <f t="shared" si="4"/>
        <v>1</v>
      </c>
      <c r="AA3" s="13"/>
      <c r="AB3" s="13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</row>
    <row r="4" ht="14.25" hidden="1" customHeight="1">
      <c r="A4" s="13" t="s">
        <v>29</v>
      </c>
      <c r="B4" s="13" t="s">
        <v>32</v>
      </c>
      <c r="C4" s="18" t="s">
        <v>77</v>
      </c>
      <c r="D4" s="13"/>
      <c r="E4" s="13" t="str">
        <f t="shared" si="2"/>
        <v>COHR,134-4-10,,1</v>
      </c>
      <c r="F4" s="13"/>
      <c r="G4" s="13" t="s">
        <v>74</v>
      </c>
      <c r="H4" s="13" t="s">
        <v>75</v>
      </c>
      <c r="I4" s="14">
        <v>44915.0</v>
      </c>
      <c r="J4" s="14"/>
      <c r="K4" s="15"/>
      <c r="L4" s="15"/>
      <c r="M4" s="16"/>
      <c r="N4" s="16"/>
      <c r="O4" s="17">
        <v>1.0</v>
      </c>
      <c r="P4" s="17">
        <v>1.0</v>
      </c>
      <c r="Q4" s="13">
        <f t="shared" si="5"/>
        <v>1.166666667</v>
      </c>
      <c r="R4" s="13"/>
      <c r="S4" s="13"/>
      <c r="T4" s="13">
        <f t="shared" ref="T4:Y4" si="6">IF(ISBLANK(K4)=TRUE,0,1)</f>
        <v>0</v>
      </c>
      <c r="U4" s="13">
        <f t="shared" si="6"/>
        <v>0</v>
      </c>
      <c r="V4" s="13">
        <f t="shared" si="6"/>
        <v>0</v>
      </c>
      <c r="W4" s="13">
        <f t="shared" si="6"/>
        <v>0</v>
      </c>
      <c r="X4" s="13">
        <f t="shared" si="6"/>
        <v>1</v>
      </c>
      <c r="Y4" s="13">
        <f t="shared" si="6"/>
        <v>1</v>
      </c>
      <c r="Z4" s="13">
        <f t="shared" si="4"/>
        <v>1</v>
      </c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</row>
    <row r="5" ht="14.25" hidden="1" customHeight="1">
      <c r="A5" s="13" t="s">
        <v>29</v>
      </c>
      <c r="B5" s="13" t="s">
        <v>32</v>
      </c>
      <c r="C5" s="18" t="s">
        <v>78</v>
      </c>
      <c r="D5" s="13"/>
      <c r="E5" s="13" t="str">
        <f t="shared" si="2"/>
        <v>COHR,134-4-11,,1</v>
      </c>
      <c r="F5" s="13"/>
      <c r="G5" s="13" t="s">
        <v>74</v>
      </c>
      <c r="H5" s="13" t="s">
        <v>75</v>
      </c>
      <c r="I5" s="14">
        <v>44915.0</v>
      </c>
      <c r="J5" s="14"/>
      <c r="K5" s="15"/>
      <c r="L5" s="15"/>
      <c r="M5" s="16"/>
      <c r="N5" s="16"/>
      <c r="O5" s="17">
        <v>1.0</v>
      </c>
      <c r="P5" s="17">
        <v>1.0</v>
      </c>
      <c r="Q5" s="13">
        <f t="shared" si="5"/>
        <v>1.166666667</v>
      </c>
      <c r="R5" s="13"/>
      <c r="S5" s="13"/>
      <c r="T5" s="13">
        <f t="shared" ref="T5:Y5" si="7">IF(ISBLANK(K5)=TRUE,0,1)</f>
        <v>0</v>
      </c>
      <c r="U5" s="13">
        <f t="shared" si="7"/>
        <v>0</v>
      </c>
      <c r="V5" s="13">
        <f t="shared" si="7"/>
        <v>0</v>
      </c>
      <c r="W5" s="13">
        <f t="shared" si="7"/>
        <v>0</v>
      </c>
      <c r="X5" s="13">
        <f t="shared" si="7"/>
        <v>1</v>
      </c>
      <c r="Y5" s="13">
        <f t="shared" si="7"/>
        <v>1</v>
      </c>
      <c r="Z5" s="13">
        <f t="shared" si="4"/>
        <v>1</v>
      </c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ht="14.25" hidden="1" customHeight="1">
      <c r="A6" s="13" t="s">
        <v>29</v>
      </c>
      <c r="B6" s="13" t="s">
        <v>32</v>
      </c>
      <c r="C6" s="18" t="s">
        <v>79</v>
      </c>
      <c r="D6" s="13"/>
      <c r="E6" s="13" t="str">
        <f t="shared" si="2"/>
        <v>COHR,134-4-12,,1</v>
      </c>
      <c r="F6" s="13"/>
      <c r="G6" s="13" t="s">
        <v>74</v>
      </c>
      <c r="H6" s="13" t="s">
        <v>75</v>
      </c>
      <c r="I6" s="14">
        <v>44915.0</v>
      </c>
      <c r="J6" s="14"/>
      <c r="K6" s="15"/>
      <c r="L6" s="15"/>
      <c r="M6" s="16"/>
      <c r="N6" s="16"/>
      <c r="O6" s="17">
        <v>1.0</v>
      </c>
      <c r="P6" s="17">
        <v>1.0</v>
      </c>
      <c r="Q6" s="13">
        <f t="shared" si="5"/>
        <v>1.166666667</v>
      </c>
      <c r="R6" s="13"/>
      <c r="S6" s="13"/>
      <c r="T6" s="13">
        <f t="shared" ref="T6:Y6" si="8">IF(ISBLANK(K6)=TRUE,0,1)</f>
        <v>0</v>
      </c>
      <c r="U6" s="13">
        <f t="shared" si="8"/>
        <v>0</v>
      </c>
      <c r="V6" s="13">
        <f t="shared" si="8"/>
        <v>0</v>
      </c>
      <c r="W6" s="13">
        <f t="shared" si="8"/>
        <v>0</v>
      </c>
      <c r="X6" s="13">
        <f t="shared" si="8"/>
        <v>1</v>
      </c>
      <c r="Y6" s="13">
        <f t="shared" si="8"/>
        <v>1</v>
      </c>
      <c r="Z6" s="13">
        <f t="shared" si="4"/>
        <v>1</v>
      </c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</row>
    <row r="7" ht="14.25" hidden="1" customHeight="1">
      <c r="A7" s="13" t="s">
        <v>29</v>
      </c>
      <c r="B7" s="13" t="s">
        <v>32</v>
      </c>
      <c r="C7" s="18" t="s">
        <v>80</v>
      </c>
      <c r="D7" s="13"/>
      <c r="E7" s="13" t="str">
        <f t="shared" si="2"/>
        <v>COHR,134-4-13,,1</v>
      </c>
      <c r="F7" s="13"/>
      <c r="G7" s="13" t="s">
        <v>74</v>
      </c>
      <c r="H7" s="13" t="s">
        <v>75</v>
      </c>
      <c r="I7" s="14">
        <v>44915.0</v>
      </c>
      <c r="J7" s="14"/>
      <c r="K7" s="15"/>
      <c r="L7" s="15"/>
      <c r="M7" s="16"/>
      <c r="N7" s="16"/>
      <c r="O7" s="17">
        <v>1.0</v>
      </c>
      <c r="P7" s="17">
        <v>1.0</v>
      </c>
      <c r="Q7" s="13">
        <f t="shared" si="5"/>
        <v>1.166666667</v>
      </c>
      <c r="R7" s="13"/>
      <c r="S7" s="13"/>
      <c r="T7" s="13">
        <f t="shared" ref="T7:Y7" si="9">IF(ISBLANK(K7)=TRUE,0,1)</f>
        <v>0</v>
      </c>
      <c r="U7" s="13">
        <f t="shared" si="9"/>
        <v>0</v>
      </c>
      <c r="V7" s="13">
        <f t="shared" si="9"/>
        <v>0</v>
      </c>
      <c r="W7" s="13">
        <f t="shared" si="9"/>
        <v>0</v>
      </c>
      <c r="X7" s="13">
        <f t="shared" si="9"/>
        <v>1</v>
      </c>
      <c r="Y7" s="13">
        <f t="shared" si="9"/>
        <v>1</v>
      </c>
      <c r="Z7" s="13">
        <f t="shared" si="4"/>
        <v>1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</row>
    <row r="8" ht="14.25" hidden="1" customHeight="1">
      <c r="A8" s="13" t="s">
        <v>29</v>
      </c>
      <c r="B8" s="13" t="s">
        <v>32</v>
      </c>
      <c r="C8" s="18" t="s">
        <v>81</v>
      </c>
      <c r="D8" s="13"/>
      <c r="E8" s="13" t="str">
        <f t="shared" si="2"/>
        <v>COHR,134-4-14,,1</v>
      </c>
      <c r="F8" s="13"/>
      <c r="G8" s="13" t="s">
        <v>74</v>
      </c>
      <c r="H8" s="13" t="s">
        <v>75</v>
      </c>
      <c r="I8" s="14">
        <v>44915.0</v>
      </c>
      <c r="J8" s="14"/>
      <c r="K8" s="15"/>
      <c r="L8" s="15"/>
      <c r="M8" s="16"/>
      <c r="N8" s="16"/>
      <c r="O8" s="17">
        <v>1.0</v>
      </c>
      <c r="P8" s="17">
        <v>1.0</v>
      </c>
      <c r="Q8" s="13">
        <f t="shared" si="5"/>
        <v>1.166666667</v>
      </c>
      <c r="R8" s="13"/>
      <c r="S8" s="13"/>
      <c r="T8" s="13">
        <f t="shared" ref="T8:Y8" si="10">IF(ISBLANK(K8)=TRUE,0,1)</f>
        <v>0</v>
      </c>
      <c r="U8" s="13">
        <f t="shared" si="10"/>
        <v>0</v>
      </c>
      <c r="V8" s="13">
        <f t="shared" si="10"/>
        <v>0</v>
      </c>
      <c r="W8" s="13">
        <f t="shared" si="10"/>
        <v>0</v>
      </c>
      <c r="X8" s="13">
        <f t="shared" si="10"/>
        <v>1</v>
      </c>
      <c r="Y8" s="13">
        <f t="shared" si="10"/>
        <v>1</v>
      </c>
      <c r="Z8" s="13">
        <f t="shared" si="4"/>
        <v>1</v>
      </c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</row>
    <row r="9" ht="14.25" hidden="1" customHeight="1">
      <c r="A9" s="13" t="s">
        <v>29</v>
      </c>
      <c r="B9" s="13" t="s">
        <v>32</v>
      </c>
      <c r="C9" s="18" t="s">
        <v>82</v>
      </c>
      <c r="D9" s="13"/>
      <c r="E9" s="13" t="str">
        <f t="shared" si="2"/>
        <v>COHR,134-4-15,,1</v>
      </c>
      <c r="F9" s="13"/>
      <c r="G9" s="13" t="s">
        <v>74</v>
      </c>
      <c r="H9" s="13" t="s">
        <v>75</v>
      </c>
      <c r="I9" s="14">
        <v>44915.0</v>
      </c>
      <c r="J9" s="14"/>
      <c r="K9" s="15"/>
      <c r="L9" s="15"/>
      <c r="M9" s="16"/>
      <c r="N9" s="16"/>
      <c r="O9" s="17">
        <v>1.0</v>
      </c>
      <c r="P9" s="17">
        <v>1.0</v>
      </c>
      <c r="Q9" s="13">
        <f t="shared" si="5"/>
        <v>1.166666667</v>
      </c>
      <c r="R9" s="13"/>
      <c r="S9" s="13"/>
      <c r="T9" s="13">
        <f t="shared" ref="T9:Y9" si="11">IF(ISBLANK(K9)=TRUE,0,1)</f>
        <v>0</v>
      </c>
      <c r="U9" s="13">
        <f t="shared" si="11"/>
        <v>0</v>
      </c>
      <c r="V9" s="13">
        <f t="shared" si="11"/>
        <v>0</v>
      </c>
      <c r="W9" s="13">
        <f t="shared" si="11"/>
        <v>0</v>
      </c>
      <c r="X9" s="13">
        <f t="shared" si="11"/>
        <v>1</v>
      </c>
      <c r="Y9" s="13">
        <f t="shared" si="11"/>
        <v>1</v>
      </c>
      <c r="Z9" s="13">
        <f t="shared" si="4"/>
        <v>1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</row>
    <row r="10" ht="14.25" hidden="1" customHeight="1">
      <c r="A10" s="13" t="s">
        <v>29</v>
      </c>
      <c r="B10" s="13" t="s">
        <v>32</v>
      </c>
      <c r="C10" s="18" t="s">
        <v>83</v>
      </c>
      <c r="D10" s="13"/>
      <c r="E10" s="13" t="str">
        <f t="shared" si="2"/>
        <v>COHR,134-4-16,,1</v>
      </c>
      <c r="F10" s="13"/>
      <c r="G10" s="13" t="s">
        <v>74</v>
      </c>
      <c r="H10" s="13" t="s">
        <v>75</v>
      </c>
      <c r="I10" s="14">
        <v>44915.0</v>
      </c>
      <c r="J10" s="14"/>
      <c r="K10" s="15"/>
      <c r="L10" s="15"/>
      <c r="M10" s="16"/>
      <c r="N10" s="16"/>
      <c r="O10" s="17">
        <v>1.0</v>
      </c>
      <c r="P10" s="17">
        <v>1.0</v>
      </c>
      <c r="Q10" s="13">
        <f t="shared" si="5"/>
        <v>1.166666667</v>
      </c>
      <c r="R10" s="13"/>
      <c r="S10" s="13"/>
      <c r="T10" s="13">
        <f t="shared" ref="T10:Y10" si="12">IF(ISBLANK(K10)=TRUE,0,1)</f>
        <v>0</v>
      </c>
      <c r="U10" s="13">
        <f t="shared" si="12"/>
        <v>0</v>
      </c>
      <c r="V10" s="13">
        <f t="shared" si="12"/>
        <v>0</v>
      </c>
      <c r="W10" s="13">
        <f t="shared" si="12"/>
        <v>0</v>
      </c>
      <c r="X10" s="13">
        <f t="shared" si="12"/>
        <v>1</v>
      </c>
      <c r="Y10" s="13">
        <f t="shared" si="12"/>
        <v>1</v>
      </c>
      <c r="Z10" s="13">
        <f t="shared" si="4"/>
        <v>1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ht="14.25" hidden="1" customHeight="1">
      <c r="A11" s="13" t="s">
        <v>29</v>
      </c>
      <c r="B11" s="13" t="s">
        <v>32</v>
      </c>
      <c r="C11" s="18" t="s">
        <v>84</v>
      </c>
      <c r="D11" s="13"/>
      <c r="E11" s="13" t="str">
        <f t="shared" si="2"/>
        <v>COHR,134-4-17,,1</v>
      </c>
      <c r="F11" s="13"/>
      <c r="G11" s="13" t="s">
        <v>74</v>
      </c>
      <c r="H11" s="13" t="s">
        <v>75</v>
      </c>
      <c r="I11" s="14">
        <v>44915.0</v>
      </c>
      <c r="J11" s="14"/>
      <c r="K11" s="15"/>
      <c r="L11" s="15"/>
      <c r="M11" s="16"/>
      <c r="N11" s="16"/>
      <c r="O11" s="17">
        <v>1.0</v>
      </c>
      <c r="P11" s="17">
        <v>1.0</v>
      </c>
      <c r="Q11" s="13">
        <f t="shared" si="5"/>
        <v>1.166666667</v>
      </c>
      <c r="R11" s="13"/>
      <c r="S11" s="13"/>
      <c r="T11" s="13">
        <f t="shared" ref="T11:Y11" si="13">IF(ISBLANK(K11)=TRUE,0,1)</f>
        <v>0</v>
      </c>
      <c r="U11" s="13">
        <f t="shared" si="13"/>
        <v>0</v>
      </c>
      <c r="V11" s="13">
        <f t="shared" si="13"/>
        <v>0</v>
      </c>
      <c r="W11" s="13">
        <f t="shared" si="13"/>
        <v>0</v>
      </c>
      <c r="X11" s="13">
        <f t="shared" si="13"/>
        <v>1</v>
      </c>
      <c r="Y11" s="13">
        <f t="shared" si="13"/>
        <v>1</v>
      </c>
      <c r="Z11" s="13">
        <f t="shared" si="4"/>
        <v>1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</row>
    <row r="12" ht="14.25" hidden="1" customHeight="1">
      <c r="A12" s="13" t="s">
        <v>29</v>
      </c>
      <c r="B12" s="13" t="s">
        <v>32</v>
      </c>
      <c r="C12" s="18" t="s">
        <v>85</v>
      </c>
      <c r="D12" s="13"/>
      <c r="E12" s="13" t="str">
        <f t="shared" si="2"/>
        <v>COHR,134-4-18,,1</v>
      </c>
      <c r="F12" s="13"/>
      <c r="G12" s="13" t="s">
        <v>74</v>
      </c>
      <c r="H12" s="13" t="s">
        <v>75</v>
      </c>
      <c r="I12" s="14">
        <v>44915.0</v>
      </c>
      <c r="J12" s="14"/>
      <c r="K12" s="15"/>
      <c r="L12" s="15"/>
      <c r="M12" s="16"/>
      <c r="N12" s="16"/>
      <c r="O12" s="17">
        <v>1.0</v>
      </c>
      <c r="P12" s="17">
        <v>1.0</v>
      </c>
      <c r="Q12" s="13">
        <f t="shared" si="5"/>
        <v>1.166666667</v>
      </c>
      <c r="R12" s="13"/>
      <c r="S12" s="13"/>
      <c r="T12" s="13">
        <f t="shared" ref="T12:Y12" si="14">IF(ISBLANK(K12)=TRUE,0,1)</f>
        <v>0</v>
      </c>
      <c r="U12" s="13">
        <f t="shared" si="14"/>
        <v>0</v>
      </c>
      <c r="V12" s="13">
        <f t="shared" si="14"/>
        <v>0</v>
      </c>
      <c r="W12" s="13">
        <f t="shared" si="14"/>
        <v>0</v>
      </c>
      <c r="X12" s="13">
        <f t="shared" si="14"/>
        <v>1</v>
      </c>
      <c r="Y12" s="13">
        <f t="shared" si="14"/>
        <v>1</v>
      </c>
      <c r="Z12" s="13">
        <f t="shared" si="4"/>
        <v>1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</row>
    <row r="13" ht="14.25" hidden="1" customHeight="1">
      <c r="A13" s="13" t="s">
        <v>29</v>
      </c>
      <c r="B13" s="13" t="s">
        <v>32</v>
      </c>
      <c r="C13" s="18" t="s">
        <v>86</v>
      </c>
      <c r="D13" s="13"/>
      <c r="E13" s="13" t="str">
        <f t="shared" si="2"/>
        <v>COHR,134-4-19,,1</v>
      </c>
      <c r="F13" s="13"/>
      <c r="G13" s="13" t="s">
        <v>74</v>
      </c>
      <c r="H13" s="13" t="s">
        <v>75</v>
      </c>
      <c r="I13" s="14">
        <v>44915.0</v>
      </c>
      <c r="J13" s="14"/>
      <c r="K13" s="15"/>
      <c r="L13" s="15"/>
      <c r="M13" s="16"/>
      <c r="N13" s="16"/>
      <c r="O13" s="17">
        <v>1.0</v>
      </c>
      <c r="P13" s="17">
        <v>1.0</v>
      </c>
      <c r="Q13" s="13">
        <f t="shared" si="5"/>
        <v>1.166666667</v>
      </c>
      <c r="R13" s="13"/>
      <c r="S13" s="13"/>
      <c r="T13" s="13">
        <f t="shared" ref="T13:Y13" si="15">IF(ISBLANK(K13)=TRUE,0,1)</f>
        <v>0</v>
      </c>
      <c r="U13" s="13">
        <f t="shared" si="15"/>
        <v>0</v>
      </c>
      <c r="V13" s="13">
        <f t="shared" si="15"/>
        <v>0</v>
      </c>
      <c r="W13" s="13">
        <f t="shared" si="15"/>
        <v>0</v>
      </c>
      <c r="X13" s="13">
        <f t="shared" si="15"/>
        <v>1</v>
      </c>
      <c r="Y13" s="13">
        <f t="shared" si="15"/>
        <v>1</v>
      </c>
      <c r="Z13" s="13">
        <f t="shared" si="4"/>
        <v>1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</row>
    <row r="14" ht="14.25" hidden="1" customHeight="1">
      <c r="A14" s="13" t="s">
        <v>29</v>
      </c>
      <c r="B14" s="13" t="s">
        <v>32</v>
      </c>
      <c r="C14" s="18" t="s">
        <v>87</v>
      </c>
      <c r="D14" s="13"/>
      <c r="E14" s="13" t="str">
        <f t="shared" si="2"/>
        <v>COHR,134-4-2,,1</v>
      </c>
      <c r="F14" s="13"/>
      <c r="G14" s="13" t="s">
        <v>74</v>
      </c>
      <c r="H14" s="13" t="s">
        <v>75</v>
      </c>
      <c r="I14" s="14">
        <v>44915.0</v>
      </c>
      <c r="J14" s="14"/>
      <c r="K14" s="15"/>
      <c r="L14" s="15"/>
      <c r="M14" s="16"/>
      <c r="N14" s="16"/>
      <c r="O14" s="17">
        <v>1.0</v>
      </c>
      <c r="P14" s="17">
        <v>1.0</v>
      </c>
      <c r="Q14" s="13">
        <f t="shared" si="5"/>
        <v>1.166666667</v>
      </c>
      <c r="R14" s="13"/>
      <c r="S14" s="13"/>
      <c r="T14" s="13">
        <f t="shared" ref="T14:Y14" si="16">IF(ISBLANK(K14)=TRUE,0,1)</f>
        <v>0</v>
      </c>
      <c r="U14" s="13">
        <f t="shared" si="16"/>
        <v>0</v>
      </c>
      <c r="V14" s="13">
        <f t="shared" si="16"/>
        <v>0</v>
      </c>
      <c r="W14" s="13">
        <f t="shared" si="16"/>
        <v>0</v>
      </c>
      <c r="X14" s="13">
        <f t="shared" si="16"/>
        <v>1</v>
      </c>
      <c r="Y14" s="13">
        <f t="shared" si="16"/>
        <v>1</v>
      </c>
      <c r="Z14" s="13">
        <f t="shared" si="4"/>
        <v>1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</row>
    <row r="15" ht="14.25" hidden="1" customHeight="1">
      <c r="A15" s="13" t="s">
        <v>29</v>
      </c>
      <c r="B15" s="13" t="s">
        <v>32</v>
      </c>
      <c r="C15" s="18" t="s">
        <v>88</v>
      </c>
      <c r="D15" s="13"/>
      <c r="E15" s="13" t="str">
        <f t="shared" si="2"/>
        <v>COHR,134-4-20,,1</v>
      </c>
      <c r="F15" s="13"/>
      <c r="G15" s="13" t="s">
        <v>74</v>
      </c>
      <c r="H15" s="13" t="s">
        <v>75</v>
      </c>
      <c r="I15" s="14">
        <v>44915.0</v>
      </c>
      <c r="J15" s="14"/>
      <c r="K15" s="15"/>
      <c r="L15" s="15"/>
      <c r="M15" s="16"/>
      <c r="N15" s="16"/>
      <c r="O15" s="17">
        <v>1.0</v>
      </c>
      <c r="P15" s="17">
        <v>1.0</v>
      </c>
      <c r="Q15" s="13">
        <f t="shared" si="5"/>
        <v>1.166666667</v>
      </c>
      <c r="R15" s="13"/>
      <c r="S15" s="13"/>
      <c r="T15" s="13">
        <f t="shared" ref="T15:Y15" si="17">IF(ISBLANK(K15)=TRUE,0,1)</f>
        <v>0</v>
      </c>
      <c r="U15" s="13">
        <f t="shared" si="17"/>
        <v>0</v>
      </c>
      <c r="V15" s="13">
        <f t="shared" si="17"/>
        <v>0</v>
      </c>
      <c r="W15" s="13">
        <f t="shared" si="17"/>
        <v>0</v>
      </c>
      <c r="X15" s="13">
        <f t="shared" si="17"/>
        <v>1</v>
      </c>
      <c r="Y15" s="13">
        <f t="shared" si="17"/>
        <v>1</v>
      </c>
      <c r="Z15" s="13">
        <f t="shared" si="4"/>
        <v>1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ht="14.25" hidden="1" customHeight="1">
      <c r="A16" s="13" t="s">
        <v>29</v>
      </c>
      <c r="B16" s="13" t="s">
        <v>32</v>
      </c>
      <c r="C16" s="18" t="s">
        <v>89</v>
      </c>
      <c r="D16" s="13"/>
      <c r="E16" s="13" t="str">
        <f t="shared" si="2"/>
        <v>COHR,134-4-21,,1</v>
      </c>
      <c r="F16" s="13"/>
      <c r="G16" s="13" t="s">
        <v>74</v>
      </c>
      <c r="H16" s="13" t="s">
        <v>75</v>
      </c>
      <c r="I16" s="14">
        <v>44915.0</v>
      </c>
      <c r="J16" s="14"/>
      <c r="K16" s="15"/>
      <c r="L16" s="15"/>
      <c r="M16" s="16"/>
      <c r="N16" s="16"/>
      <c r="O16" s="17">
        <v>1.0</v>
      </c>
      <c r="P16" s="17">
        <v>1.0</v>
      </c>
      <c r="Q16" s="13">
        <f t="shared" si="5"/>
        <v>1.166666667</v>
      </c>
      <c r="R16" s="13"/>
      <c r="S16" s="13"/>
      <c r="T16" s="13">
        <f t="shared" ref="T16:Y16" si="18">IF(ISBLANK(K16)=TRUE,0,1)</f>
        <v>0</v>
      </c>
      <c r="U16" s="13">
        <f t="shared" si="18"/>
        <v>0</v>
      </c>
      <c r="V16" s="13">
        <f t="shared" si="18"/>
        <v>0</v>
      </c>
      <c r="W16" s="13">
        <f t="shared" si="18"/>
        <v>0</v>
      </c>
      <c r="X16" s="13">
        <f t="shared" si="18"/>
        <v>1</v>
      </c>
      <c r="Y16" s="13">
        <f t="shared" si="18"/>
        <v>1</v>
      </c>
      <c r="Z16" s="13">
        <f t="shared" si="4"/>
        <v>1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</row>
    <row r="17" ht="14.25" hidden="1" customHeight="1">
      <c r="A17" s="13" t="s">
        <v>29</v>
      </c>
      <c r="B17" s="13" t="s">
        <v>32</v>
      </c>
      <c r="C17" s="18" t="s">
        <v>90</v>
      </c>
      <c r="D17" s="13"/>
      <c r="E17" s="13" t="str">
        <f t="shared" si="2"/>
        <v>COHR,134-4-22,,1</v>
      </c>
      <c r="F17" s="13"/>
      <c r="G17" s="13" t="s">
        <v>74</v>
      </c>
      <c r="H17" s="13" t="s">
        <v>75</v>
      </c>
      <c r="I17" s="14">
        <v>44915.0</v>
      </c>
      <c r="J17" s="14"/>
      <c r="K17" s="15"/>
      <c r="L17" s="15"/>
      <c r="M17" s="16"/>
      <c r="N17" s="16"/>
      <c r="O17" s="17">
        <v>1.0</v>
      </c>
      <c r="P17" s="17">
        <v>1.0</v>
      </c>
      <c r="Q17" s="13">
        <f t="shared" si="5"/>
        <v>1.166666667</v>
      </c>
      <c r="R17" s="13"/>
      <c r="S17" s="13"/>
      <c r="T17" s="13">
        <f t="shared" ref="T17:Y17" si="19">IF(ISBLANK(K17)=TRUE,0,1)</f>
        <v>0</v>
      </c>
      <c r="U17" s="13">
        <f t="shared" si="19"/>
        <v>0</v>
      </c>
      <c r="V17" s="13">
        <f t="shared" si="19"/>
        <v>0</v>
      </c>
      <c r="W17" s="13">
        <f t="shared" si="19"/>
        <v>0</v>
      </c>
      <c r="X17" s="13">
        <f t="shared" si="19"/>
        <v>1</v>
      </c>
      <c r="Y17" s="13">
        <f t="shared" si="19"/>
        <v>1</v>
      </c>
      <c r="Z17" s="13">
        <f t="shared" si="4"/>
        <v>1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</row>
    <row r="18" ht="14.25" hidden="1" customHeight="1">
      <c r="A18" s="13" t="s">
        <v>29</v>
      </c>
      <c r="B18" s="13" t="s">
        <v>32</v>
      </c>
      <c r="C18" s="18" t="s">
        <v>91</v>
      </c>
      <c r="D18" s="13"/>
      <c r="E18" s="13" t="str">
        <f t="shared" si="2"/>
        <v>COHR,134-4-23,,1</v>
      </c>
      <c r="F18" s="13"/>
      <c r="G18" s="13" t="s">
        <v>74</v>
      </c>
      <c r="H18" s="13" t="s">
        <v>75</v>
      </c>
      <c r="I18" s="14">
        <v>44915.0</v>
      </c>
      <c r="J18" s="14"/>
      <c r="K18" s="15"/>
      <c r="L18" s="15"/>
      <c r="M18" s="16"/>
      <c r="N18" s="16"/>
      <c r="O18" s="17">
        <v>1.0</v>
      </c>
      <c r="P18" s="17">
        <v>1.0</v>
      </c>
      <c r="Q18" s="13">
        <f t="shared" si="5"/>
        <v>1.166666667</v>
      </c>
      <c r="R18" s="13"/>
      <c r="S18" s="13"/>
      <c r="T18" s="13">
        <f t="shared" ref="T18:Y18" si="20">IF(ISBLANK(K18)=TRUE,0,1)</f>
        <v>0</v>
      </c>
      <c r="U18" s="13">
        <f t="shared" si="20"/>
        <v>0</v>
      </c>
      <c r="V18" s="13">
        <f t="shared" si="20"/>
        <v>0</v>
      </c>
      <c r="W18" s="13">
        <f t="shared" si="20"/>
        <v>0</v>
      </c>
      <c r="X18" s="13">
        <f t="shared" si="20"/>
        <v>1</v>
      </c>
      <c r="Y18" s="13">
        <f t="shared" si="20"/>
        <v>1</v>
      </c>
      <c r="Z18" s="13">
        <f t="shared" si="4"/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ht="14.25" hidden="1" customHeight="1">
      <c r="A19" s="13" t="s">
        <v>29</v>
      </c>
      <c r="B19" s="13" t="s">
        <v>32</v>
      </c>
      <c r="C19" s="18" t="s">
        <v>92</v>
      </c>
      <c r="D19" s="13"/>
      <c r="E19" s="13" t="str">
        <f t="shared" si="2"/>
        <v>COHR,134-4-24,,1</v>
      </c>
      <c r="F19" s="13"/>
      <c r="G19" s="13" t="s">
        <v>74</v>
      </c>
      <c r="H19" s="13" t="s">
        <v>75</v>
      </c>
      <c r="I19" s="14">
        <v>44915.0</v>
      </c>
      <c r="J19" s="14"/>
      <c r="K19" s="15"/>
      <c r="L19" s="15"/>
      <c r="M19" s="16"/>
      <c r="N19" s="16"/>
      <c r="O19" s="17">
        <v>1.0</v>
      </c>
      <c r="P19" s="17">
        <v>1.0</v>
      </c>
      <c r="Q19" s="13">
        <f t="shared" si="5"/>
        <v>1.166666667</v>
      </c>
      <c r="R19" s="13"/>
      <c r="S19" s="13"/>
      <c r="T19" s="13">
        <f t="shared" ref="T19:Y19" si="21">IF(ISBLANK(K19)=TRUE,0,1)</f>
        <v>0</v>
      </c>
      <c r="U19" s="13">
        <f t="shared" si="21"/>
        <v>0</v>
      </c>
      <c r="V19" s="13">
        <f t="shared" si="21"/>
        <v>0</v>
      </c>
      <c r="W19" s="13">
        <f t="shared" si="21"/>
        <v>0</v>
      </c>
      <c r="X19" s="13">
        <f t="shared" si="21"/>
        <v>1</v>
      </c>
      <c r="Y19" s="13">
        <f t="shared" si="21"/>
        <v>1</v>
      </c>
      <c r="Z19" s="13">
        <f t="shared" si="4"/>
        <v>1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ht="14.25" hidden="1" customHeight="1">
      <c r="A20" s="13" t="s">
        <v>29</v>
      </c>
      <c r="B20" s="13" t="s">
        <v>32</v>
      </c>
      <c r="C20" s="18" t="s">
        <v>93</v>
      </c>
      <c r="D20" s="13"/>
      <c r="E20" s="13" t="str">
        <f t="shared" si="2"/>
        <v>COHR,134-4-25,,1</v>
      </c>
      <c r="F20" s="13"/>
      <c r="G20" s="13" t="s">
        <v>74</v>
      </c>
      <c r="H20" s="13" t="s">
        <v>75</v>
      </c>
      <c r="I20" s="14">
        <v>44915.0</v>
      </c>
      <c r="J20" s="14"/>
      <c r="K20" s="15"/>
      <c r="L20" s="15"/>
      <c r="M20" s="16"/>
      <c r="N20" s="16"/>
      <c r="O20" s="17">
        <v>1.0</v>
      </c>
      <c r="P20" s="17">
        <v>1.0</v>
      </c>
      <c r="Q20" s="13">
        <f t="shared" si="5"/>
        <v>1.166666667</v>
      </c>
      <c r="R20" s="13"/>
      <c r="S20" s="13"/>
      <c r="T20" s="13">
        <f t="shared" ref="T20:Y20" si="22">IF(ISBLANK(K20)=TRUE,0,1)</f>
        <v>0</v>
      </c>
      <c r="U20" s="13">
        <f t="shared" si="22"/>
        <v>0</v>
      </c>
      <c r="V20" s="13">
        <f t="shared" si="22"/>
        <v>0</v>
      </c>
      <c r="W20" s="13">
        <f t="shared" si="22"/>
        <v>0</v>
      </c>
      <c r="X20" s="13">
        <f t="shared" si="22"/>
        <v>1</v>
      </c>
      <c r="Y20" s="13">
        <f t="shared" si="22"/>
        <v>1</v>
      </c>
      <c r="Z20" s="13">
        <f t="shared" si="4"/>
        <v>1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ht="14.25" hidden="1" customHeight="1">
      <c r="A21" s="13" t="s">
        <v>29</v>
      </c>
      <c r="B21" s="13" t="s">
        <v>32</v>
      </c>
      <c r="C21" s="18" t="s">
        <v>94</v>
      </c>
      <c r="D21" s="13"/>
      <c r="E21" s="13" t="str">
        <f t="shared" si="2"/>
        <v>COHR,134-4-26,,1</v>
      </c>
      <c r="F21" s="13"/>
      <c r="G21" s="13" t="s">
        <v>74</v>
      </c>
      <c r="H21" s="13" t="s">
        <v>75</v>
      </c>
      <c r="I21" s="14">
        <v>44915.0</v>
      </c>
      <c r="J21" s="14"/>
      <c r="K21" s="15"/>
      <c r="L21" s="15"/>
      <c r="M21" s="16"/>
      <c r="N21" s="16"/>
      <c r="O21" s="17">
        <v>1.0</v>
      </c>
      <c r="P21" s="17">
        <v>1.0</v>
      </c>
      <c r="Q21" s="13">
        <f t="shared" si="5"/>
        <v>1.166666667</v>
      </c>
      <c r="R21" s="13"/>
      <c r="S21" s="13"/>
      <c r="T21" s="13">
        <f t="shared" ref="T21:Y21" si="23">IF(ISBLANK(K21)=TRUE,0,1)</f>
        <v>0</v>
      </c>
      <c r="U21" s="13">
        <f t="shared" si="23"/>
        <v>0</v>
      </c>
      <c r="V21" s="13">
        <f t="shared" si="23"/>
        <v>0</v>
      </c>
      <c r="W21" s="13">
        <f t="shared" si="23"/>
        <v>0</v>
      </c>
      <c r="X21" s="13">
        <f t="shared" si="23"/>
        <v>1</v>
      </c>
      <c r="Y21" s="13">
        <f t="shared" si="23"/>
        <v>1</v>
      </c>
      <c r="Z21" s="13">
        <f t="shared" si="4"/>
        <v>1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 ht="14.25" hidden="1" customHeight="1">
      <c r="A22" s="13" t="s">
        <v>29</v>
      </c>
      <c r="B22" s="13" t="s">
        <v>32</v>
      </c>
      <c r="C22" s="18" t="s">
        <v>95</v>
      </c>
      <c r="D22" s="13"/>
      <c r="E22" s="13" t="str">
        <f t="shared" si="2"/>
        <v>COHR,134-4-27,,1</v>
      </c>
      <c r="F22" s="13"/>
      <c r="G22" s="13" t="s">
        <v>74</v>
      </c>
      <c r="H22" s="13" t="s">
        <v>75</v>
      </c>
      <c r="I22" s="14">
        <v>44915.0</v>
      </c>
      <c r="J22" s="14"/>
      <c r="K22" s="15"/>
      <c r="L22" s="15"/>
      <c r="M22" s="16"/>
      <c r="N22" s="16"/>
      <c r="O22" s="17">
        <v>1.0</v>
      </c>
      <c r="P22" s="17">
        <v>1.0</v>
      </c>
      <c r="Q22" s="13">
        <f t="shared" si="5"/>
        <v>1.166666667</v>
      </c>
      <c r="R22" s="13"/>
      <c r="S22" s="13"/>
      <c r="T22" s="13">
        <f t="shared" ref="T22:Y22" si="24">IF(ISBLANK(K22)=TRUE,0,1)</f>
        <v>0</v>
      </c>
      <c r="U22" s="13">
        <f t="shared" si="24"/>
        <v>0</v>
      </c>
      <c r="V22" s="13">
        <f t="shared" si="24"/>
        <v>0</v>
      </c>
      <c r="W22" s="13">
        <f t="shared" si="24"/>
        <v>0</v>
      </c>
      <c r="X22" s="13">
        <f t="shared" si="24"/>
        <v>1</v>
      </c>
      <c r="Y22" s="13">
        <f t="shared" si="24"/>
        <v>1</v>
      </c>
      <c r="Z22" s="13">
        <f t="shared" si="4"/>
        <v>1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ht="14.25" hidden="1" customHeight="1">
      <c r="A23" s="20" t="s">
        <v>29</v>
      </c>
      <c r="B23" s="20" t="s">
        <v>32</v>
      </c>
      <c r="C23" s="21" t="s">
        <v>96</v>
      </c>
      <c r="D23" s="20"/>
      <c r="E23" s="13" t="str">
        <f t="shared" si="2"/>
        <v>COHR,134-4-28,,1</v>
      </c>
      <c r="F23" s="20"/>
      <c r="G23" s="20" t="s">
        <v>74</v>
      </c>
      <c r="H23" s="20" t="s">
        <v>75</v>
      </c>
      <c r="I23" s="14">
        <v>44915.0</v>
      </c>
      <c r="J23" s="22"/>
      <c r="K23" s="23"/>
      <c r="L23" s="23"/>
      <c r="M23" s="24"/>
      <c r="N23" s="24"/>
      <c r="O23" s="25">
        <v>1.0</v>
      </c>
      <c r="P23" s="25">
        <v>1.0</v>
      </c>
      <c r="Q23" s="13">
        <f t="shared" si="5"/>
        <v>1.166666667</v>
      </c>
      <c r="R23" s="20"/>
      <c r="S23" s="20"/>
      <c r="T23" s="13">
        <f t="shared" ref="T23:Y23" si="25">IF(ISBLANK(K23)=TRUE,0,1)</f>
        <v>0</v>
      </c>
      <c r="U23" s="13">
        <f t="shared" si="25"/>
        <v>0</v>
      </c>
      <c r="V23" s="13">
        <f t="shared" si="25"/>
        <v>0</v>
      </c>
      <c r="W23" s="13">
        <f t="shared" si="25"/>
        <v>0</v>
      </c>
      <c r="X23" s="13">
        <f t="shared" si="25"/>
        <v>1</v>
      </c>
      <c r="Y23" s="13">
        <f t="shared" si="25"/>
        <v>1</v>
      </c>
      <c r="Z23" s="20">
        <f t="shared" si="4"/>
        <v>1</v>
      </c>
      <c r="AA23" s="20"/>
      <c r="AB23" s="20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ht="14.25" hidden="1" customHeight="1">
      <c r="A24" s="13" t="s">
        <v>29</v>
      </c>
      <c r="B24" s="13" t="s">
        <v>32</v>
      </c>
      <c r="C24" s="18" t="s">
        <v>97</v>
      </c>
      <c r="D24" s="13"/>
      <c r="E24" s="13" t="str">
        <f t="shared" si="2"/>
        <v>COHR,134-4-29,,1</v>
      </c>
      <c r="F24" s="13"/>
      <c r="G24" s="13" t="s">
        <v>74</v>
      </c>
      <c r="H24" s="13" t="s">
        <v>75</v>
      </c>
      <c r="I24" s="14">
        <v>44915.0</v>
      </c>
      <c r="J24" s="14"/>
      <c r="K24" s="15"/>
      <c r="L24" s="15"/>
      <c r="M24" s="16"/>
      <c r="N24" s="16"/>
      <c r="O24" s="17">
        <v>1.0</v>
      </c>
      <c r="P24" s="17">
        <v>1.0</v>
      </c>
      <c r="Q24" s="13">
        <f t="shared" si="5"/>
        <v>1.166666667</v>
      </c>
      <c r="R24" s="13"/>
      <c r="S24" s="13"/>
      <c r="T24" s="13">
        <f t="shared" ref="T24:Y24" si="26">IF(ISBLANK(K24)=TRUE,0,1)</f>
        <v>0</v>
      </c>
      <c r="U24" s="13">
        <f t="shared" si="26"/>
        <v>0</v>
      </c>
      <c r="V24" s="13">
        <f t="shared" si="26"/>
        <v>0</v>
      </c>
      <c r="W24" s="13">
        <f t="shared" si="26"/>
        <v>0</v>
      </c>
      <c r="X24" s="13">
        <f t="shared" si="26"/>
        <v>1</v>
      </c>
      <c r="Y24" s="13">
        <f t="shared" si="26"/>
        <v>1</v>
      </c>
      <c r="Z24" s="13">
        <f t="shared" si="4"/>
        <v>1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ht="14.25" hidden="1" customHeight="1">
      <c r="A25" s="13" t="s">
        <v>29</v>
      </c>
      <c r="B25" s="13" t="s">
        <v>32</v>
      </c>
      <c r="C25" s="18" t="s">
        <v>98</v>
      </c>
      <c r="D25" s="13"/>
      <c r="E25" s="13" t="str">
        <f t="shared" si="2"/>
        <v>COHR,134-4-3,,1</v>
      </c>
      <c r="F25" s="13"/>
      <c r="G25" s="13" t="s">
        <v>74</v>
      </c>
      <c r="H25" s="13" t="s">
        <v>75</v>
      </c>
      <c r="I25" s="14">
        <v>44915.0</v>
      </c>
      <c r="J25" s="14"/>
      <c r="K25" s="15"/>
      <c r="L25" s="15"/>
      <c r="M25" s="16"/>
      <c r="N25" s="16"/>
      <c r="O25" s="17">
        <v>1.0</v>
      </c>
      <c r="P25" s="17">
        <v>1.0</v>
      </c>
      <c r="Q25" s="13">
        <f t="shared" si="5"/>
        <v>1.166666667</v>
      </c>
      <c r="R25" s="13"/>
      <c r="S25" s="13"/>
      <c r="T25" s="13">
        <f t="shared" ref="T25:Y25" si="27">IF(ISBLANK(K25)=TRUE,0,1)</f>
        <v>0</v>
      </c>
      <c r="U25" s="13">
        <f t="shared" si="27"/>
        <v>0</v>
      </c>
      <c r="V25" s="13">
        <f t="shared" si="27"/>
        <v>0</v>
      </c>
      <c r="W25" s="13">
        <f t="shared" si="27"/>
        <v>0</v>
      </c>
      <c r="X25" s="13">
        <f t="shared" si="27"/>
        <v>1</v>
      </c>
      <c r="Y25" s="13">
        <f t="shared" si="27"/>
        <v>1</v>
      </c>
      <c r="Z25" s="13">
        <f t="shared" si="4"/>
        <v>1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</row>
    <row r="26" ht="14.25" hidden="1" customHeight="1">
      <c r="A26" s="13" t="s">
        <v>29</v>
      </c>
      <c r="B26" s="13" t="s">
        <v>32</v>
      </c>
      <c r="C26" s="18" t="s">
        <v>99</v>
      </c>
      <c r="D26" s="13"/>
      <c r="E26" s="13" t="str">
        <f t="shared" si="2"/>
        <v>COHR,134-4-30,,1</v>
      </c>
      <c r="F26" s="13"/>
      <c r="G26" s="13" t="s">
        <v>74</v>
      </c>
      <c r="H26" s="13" t="s">
        <v>75</v>
      </c>
      <c r="I26" s="14">
        <v>44915.0</v>
      </c>
      <c r="J26" s="14"/>
      <c r="K26" s="15"/>
      <c r="L26" s="15"/>
      <c r="M26" s="16"/>
      <c r="N26" s="16"/>
      <c r="O26" s="17">
        <v>1.0</v>
      </c>
      <c r="P26" s="17">
        <v>1.0</v>
      </c>
      <c r="Q26" s="13">
        <f t="shared" si="5"/>
        <v>1.166666667</v>
      </c>
      <c r="R26" s="13"/>
      <c r="S26" s="13"/>
      <c r="T26" s="13">
        <f t="shared" ref="T26:Y26" si="28">IF(ISBLANK(K26)=TRUE,0,1)</f>
        <v>0</v>
      </c>
      <c r="U26" s="13">
        <f t="shared" si="28"/>
        <v>0</v>
      </c>
      <c r="V26" s="13">
        <f t="shared" si="28"/>
        <v>0</v>
      </c>
      <c r="W26" s="13">
        <f t="shared" si="28"/>
        <v>0</v>
      </c>
      <c r="X26" s="13">
        <f t="shared" si="28"/>
        <v>1</v>
      </c>
      <c r="Y26" s="13">
        <f t="shared" si="28"/>
        <v>1</v>
      </c>
      <c r="Z26" s="13">
        <f t="shared" si="4"/>
        <v>1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ht="14.25" hidden="1" customHeight="1">
      <c r="A27" s="13" t="s">
        <v>29</v>
      </c>
      <c r="B27" s="13" t="s">
        <v>32</v>
      </c>
      <c r="C27" s="18" t="s">
        <v>100</v>
      </c>
      <c r="D27" s="13"/>
      <c r="E27" s="13" t="str">
        <f t="shared" si="2"/>
        <v>COHR,134-4-31,,1</v>
      </c>
      <c r="F27" s="13"/>
      <c r="G27" s="13" t="s">
        <v>74</v>
      </c>
      <c r="H27" s="13" t="s">
        <v>75</v>
      </c>
      <c r="I27" s="14">
        <v>44915.0</v>
      </c>
      <c r="J27" s="14"/>
      <c r="K27" s="15"/>
      <c r="L27" s="15"/>
      <c r="M27" s="16"/>
      <c r="N27" s="16"/>
      <c r="O27" s="17">
        <v>1.0</v>
      </c>
      <c r="P27" s="17">
        <v>1.0</v>
      </c>
      <c r="Q27" s="13">
        <f t="shared" si="5"/>
        <v>1.166666667</v>
      </c>
      <c r="R27" s="13"/>
      <c r="S27" s="13"/>
      <c r="T27" s="13">
        <f t="shared" ref="T27:Y27" si="29">IF(ISBLANK(K27)=TRUE,0,1)</f>
        <v>0</v>
      </c>
      <c r="U27" s="13">
        <f t="shared" si="29"/>
        <v>0</v>
      </c>
      <c r="V27" s="13">
        <f t="shared" si="29"/>
        <v>0</v>
      </c>
      <c r="W27" s="13">
        <f t="shared" si="29"/>
        <v>0</v>
      </c>
      <c r="X27" s="13">
        <f t="shared" si="29"/>
        <v>1</v>
      </c>
      <c r="Y27" s="13">
        <f t="shared" si="29"/>
        <v>1</v>
      </c>
      <c r="Z27" s="13">
        <f t="shared" si="4"/>
        <v>1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</row>
    <row r="28" ht="14.25" hidden="1" customHeight="1">
      <c r="A28" s="13" t="s">
        <v>29</v>
      </c>
      <c r="B28" s="13" t="s">
        <v>32</v>
      </c>
      <c r="C28" s="18" t="s">
        <v>101</v>
      </c>
      <c r="D28" s="13"/>
      <c r="E28" s="13" t="str">
        <f t="shared" si="2"/>
        <v>COHR,134-4-32,,1</v>
      </c>
      <c r="F28" s="13"/>
      <c r="G28" s="13" t="s">
        <v>74</v>
      </c>
      <c r="H28" s="13" t="s">
        <v>75</v>
      </c>
      <c r="I28" s="14">
        <v>44915.0</v>
      </c>
      <c r="J28" s="14"/>
      <c r="K28" s="15"/>
      <c r="L28" s="15"/>
      <c r="M28" s="16"/>
      <c r="N28" s="16"/>
      <c r="O28" s="17">
        <v>1.0</v>
      </c>
      <c r="P28" s="17">
        <v>1.0</v>
      </c>
      <c r="Q28" s="13">
        <f t="shared" si="5"/>
        <v>1.166666667</v>
      </c>
      <c r="R28" s="13"/>
      <c r="S28" s="13"/>
      <c r="T28" s="13">
        <f t="shared" ref="T28:Y28" si="30">IF(ISBLANK(K28)=TRUE,0,1)</f>
        <v>0</v>
      </c>
      <c r="U28" s="13">
        <f t="shared" si="30"/>
        <v>0</v>
      </c>
      <c r="V28" s="13">
        <f t="shared" si="30"/>
        <v>0</v>
      </c>
      <c r="W28" s="13">
        <f t="shared" si="30"/>
        <v>0</v>
      </c>
      <c r="X28" s="13">
        <f t="shared" si="30"/>
        <v>1</v>
      </c>
      <c r="Y28" s="13">
        <f t="shared" si="30"/>
        <v>1</v>
      </c>
      <c r="Z28" s="13">
        <f t="shared" si="4"/>
        <v>1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</row>
    <row r="29" ht="14.25" hidden="1" customHeight="1">
      <c r="A29" s="13" t="s">
        <v>29</v>
      </c>
      <c r="B29" s="13" t="s">
        <v>32</v>
      </c>
      <c r="C29" s="18" t="s">
        <v>102</v>
      </c>
      <c r="D29" s="13"/>
      <c r="E29" s="13" t="str">
        <f t="shared" si="2"/>
        <v>COHR,134-4-4,,1</v>
      </c>
      <c r="F29" s="13"/>
      <c r="G29" s="13" t="s">
        <v>74</v>
      </c>
      <c r="H29" s="13" t="s">
        <v>75</v>
      </c>
      <c r="I29" s="14">
        <v>44915.0</v>
      </c>
      <c r="J29" s="14"/>
      <c r="K29" s="15"/>
      <c r="L29" s="15"/>
      <c r="M29" s="16"/>
      <c r="N29" s="16"/>
      <c r="O29" s="17">
        <v>1.0</v>
      </c>
      <c r="P29" s="17">
        <v>1.0</v>
      </c>
      <c r="Q29" s="13">
        <f t="shared" si="5"/>
        <v>1.166666667</v>
      </c>
      <c r="R29" s="13"/>
      <c r="S29" s="13"/>
      <c r="T29" s="13">
        <f t="shared" ref="T29:Y29" si="31">IF(ISBLANK(K29)=TRUE,0,1)</f>
        <v>0</v>
      </c>
      <c r="U29" s="13">
        <f t="shared" si="31"/>
        <v>0</v>
      </c>
      <c r="V29" s="13">
        <f t="shared" si="31"/>
        <v>0</v>
      </c>
      <c r="W29" s="13">
        <f t="shared" si="31"/>
        <v>0</v>
      </c>
      <c r="X29" s="13">
        <f t="shared" si="31"/>
        <v>1</v>
      </c>
      <c r="Y29" s="13">
        <f t="shared" si="31"/>
        <v>1</v>
      </c>
      <c r="Z29" s="13">
        <f t="shared" si="4"/>
        <v>1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</row>
    <row r="30" ht="14.25" hidden="1" customHeight="1">
      <c r="A30" s="13" t="s">
        <v>29</v>
      </c>
      <c r="B30" s="13" t="s">
        <v>32</v>
      </c>
      <c r="C30" s="18" t="s">
        <v>103</v>
      </c>
      <c r="D30" s="13"/>
      <c r="E30" s="13" t="str">
        <f t="shared" si="2"/>
        <v>COHR,134-4-5,,1</v>
      </c>
      <c r="F30" s="13"/>
      <c r="G30" s="13" t="s">
        <v>74</v>
      </c>
      <c r="H30" s="13" t="s">
        <v>75</v>
      </c>
      <c r="I30" s="14">
        <v>44915.0</v>
      </c>
      <c r="J30" s="14"/>
      <c r="K30" s="15"/>
      <c r="L30" s="15"/>
      <c r="M30" s="16"/>
      <c r="N30" s="16"/>
      <c r="O30" s="17">
        <v>1.0</v>
      </c>
      <c r="P30" s="17">
        <v>1.0</v>
      </c>
      <c r="Q30" s="13">
        <f t="shared" si="5"/>
        <v>1.166666667</v>
      </c>
      <c r="R30" s="13"/>
      <c r="S30" s="13"/>
      <c r="T30" s="13">
        <f t="shared" ref="T30:Y30" si="32">IF(ISBLANK(K30)=TRUE,0,1)</f>
        <v>0</v>
      </c>
      <c r="U30" s="13">
        <f t="shared" si="32"/>
        <v>0</v>
      </c>
      <c r="V30" s="13">
        <f t="shared" si="32"/>
        <v>0</v>
      </c>
      <c r="W30" s="13">
        <f t="shared" si="32"/>
        <v>0</v>
      </c>
      <c r="X30" s="13">
        <f t="shared" si="32"/>
        <v>1</v>
      </c>
      <c r="Y30" s="13">
        <f t="shared" si="32"/>
        <v>1</v>
      </c>
      <c r="Z30" s="13">
        <f t="shared" si="4"/>
        <v>1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ht="14.25" hidden="1" customHeight="1">
      <c r="A31" s="13" t="s">
        <v>29</v>
      </c>
      <c r="B31" s="13" t="s">
        <v>32</v>
      </c>
      <c r="C31" s="18" t="s">
        <v>104</v>
      </c>
      <c r="D31" s="13"/>
      <c r="E31" s="13" t="str">
        <f t="shared" si="2"/>
        <v>COHR,134-4-6,,1</v>
      </c>
      <c r="F31" s="13"/>
      <c r="G31" s="13" t="s">
        <v>74</v>
      </c>
      <c r="H31" s="13" t="s">
        <v>75</v>
      </c>
      <c r="I31" s="14">
        <v>44915.0</v>
      </c>
      <c r="J31" s="14"/>
      <c r="K31" s="15"/>
      <c r="L31" s="15"/>
      <c r="M31" s="16"/>
      <c r="N31" s="16"/>
      <c r="O31" s="17">
        <v>1.0</v>
      </c>
      <c r="P31" s="17">
        <v>1.0</v>
      </c>
      <c r="Q31" s="13">
        <f t="shared" si="5"/>
        <v>1.166666667</v>
      </c>
      <c r="R31" s="13"/>
      <c r="S31" s="13"/>
      <c r="T31" s="13">
        <f t="shared" ref="T31:Y31" si="33">IF(ISBLANK(K31)=TRUE,0,1)</f>
        <v>0</v>
      </c>
      <c r="U31" s="13">
        <f t="shared" si="33"/>
        <v>0</v>
      </c>
      <c r="V31" s="13">
        <f t="shared" si="33"/>
        <v>0</v>
      </c>
      <c r="W31" s="13">
        <f t="shared" si="33"/>
        <v>0</v>
      </c>
      <c r="X31" s="13">
        <f t="shared" si="33"/>
        <v>1</v>
      </c>
      <c r="Y31" s="13">
        <f t="shared" si="33"/>
        <v>1</v>
      </c>
      <c r="Z31" s="13">
        <f t="shared" si="4"/>
        <v>1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 ht="14.25" hidden="1" customHeight="1">
      <c r="A32" s="13" t="s">
        <v>29</v>
      </c>
      <c r="B32" s="13" t="s">
        <v>32</v>
      </c>
      <c r="C32" s="18" t="s">
        <v>105</v>
      </c>
      <c r="D32" s="13"/>
      <c r="E32" s="13" t="str">
        <f t="shared" si="2"/>
        <v>COHR,134-4-7,,1</v>
      </c>
      <c r="F32" s="13"/>
      <c r="G32" s="13" t="s">
        <v>74</v>
      </c>
      <c r="H32" s="13" t="s">
        <v>75</v>
      </c>
      <c r="I32" s="14">
        <v>44915.0</v>
      </c>
      <c r="J32" s="14"/>
      <c r="K32" s="15"/>
      <c r="L32" s="15"/>
      <c r="M32" s="16"/>
      <c r="N32" s="16"/>
      <c r="O32" s="17">
        <v>1.0</v>
      </c>
      <c r="P32" s="17">
        <v>1.0</v>
      </c>
      <c r="Q32" s="13">
        <f t="shared" si="5"/>
        <v>1.166666667</v>
      </c>
      <c r="R32" s="13"/>
      <c r="S32" s="13"/>
      <c r="T32" s="13">
        <f t="shared" ref="T32:Y32" si="34">IF(ISBLANK(K32)=TRUE,0,1)</f>
        <v>0</v>
      </c>
      <c r="U32" s="13">
        <f t="shared" si="34"/>
        <v>0</v>
      </c>
      <c r="V32" s="13">
        <f t="shared" si="34"/>
        <v>0</v>
      </c>
      <c r="W32" s="13">
        <f t="shared" si="34"/>
        <v>0</v>
      </c>
      <c r="X32" s="13">
        <f t="shared" si="34"/>
        <v>1</v>
      </c>
      <c r="Y32" s="13">
        <f t="shared" si="34"/>
        <v>1</v>
      </c>
      <c r="Z32" s="13">
        <f t="shared" si="4"/>
        <v>1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ht="14.25" hidden="1" customHeight="1">
      <c r="A33" s="13" t="s">
        <v>29</v>
      </c>
      <c r="B33" s="13" t="s">
        <v>32</v>
      </c>
      <c r="C33" s="18" t="s">
        <v>106</v>
      </c>
      <c r="D33" s="13"/>
      <c r="E33" s="13" t="str">
        <f t="shared" si="2"/>
        <v>COHR,134-4-8,,1</v>
      </c>
      <c r="F33" s="13"/>
      <c r="G33" s="13" t="s">
        <v>74</v>
      </c>
      <c r="H33" s="13" t="s">
        <v>107</v>
      </c>
      <c r="I33" s="14">
        <v>44915.0</v>
      </c>
      <c r="J33" s="14"/>
      <c r="K33" s="15"/>
      <c r="L33" s="15"/>
      <c r="M33" s="16"/>
      <c r="N33" s="16"/>
      <c r="O33" s="17">
        <v>1.0</v>
      </c>
      <c r="P33" s="17">
        <v>1.0</v>
      </c>
      <c r="Q33" s="13">
        <f t="shared" si="5"/>
        <v>1.166666667</v>
      </c>
      <c r="R33" s="13"/>
      <c r="S33" s="13"/>
      <c r="T33" s="13">
        <f t="shared" ref="T33:Y33" si="35">IF(ISBLANK(K33)=TRUE,0,1)</f>
        <v>0</v>
      </c>
      <c r="U33" s="13">
        <f t="shared" si="35"/>
        <v>0</v>
      </c>
      <c r="V33" s="13">
        <f t="shared" si="35"/>
        <v>0</v>
      </c>
      <c r="W33" s="13">
        <f t="shared" si="35"/>
        <v>0</v>
      </c>
      <c r="X33" s="13">
        <f t="shared" si="35"/>
        <v>1</v>
      </c>
      <c r="Y33" s="13">
        <f t="shared" si="35"/>
        <v>1</v>
      </c>
      <c r="Z33" s="13">
        <f t="shared" si="4"/>
        <v>1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</row>
    <row r="34" ht="14.25" hidden="1" customHeight="1">
      <c r="A34" s="13" t="s">
        <v>29</v>
      </c>
      <c r="B34" s="13" t="s">
        <v>32</v>
      </c>
      <c r="C34" s="18" t="s">
        <v>108</v>
      </c>
      <c r="D34" s="13"/>
      <c r="E34" s="13" t="str">
        <f t="shared" si="2"/>
        <v>COHR,134-4-9,,1</v>
      </c>
      <c r="F34" s="13"/>
      <c r="G34" s="13" t="s">
        <v>74</v>
      </c>
      <c r="H34" s="13" t="s">
        <v>75</v>
      </c>
      <c r="I34" s="14">
        <v>44915.0</v>
      </c>
      <c r="J34" s="14"/>
      <c r="K34" s="15"/>
      <c r="L34" s="15"/>
      <c r="M34" s="16"/>
      <c r="N34" s="16"/>
      <c r="O34" s="17">
        <v>1.0</v>
      </c>
      <c r="P34" s="17">
        <v>1.0</v>
      </c>
      <c r="Q34" s="13">
        <f t="shared" si="5"/>
        <v>1.166666667</v>
      </c>
      <c r="R34" s="13"/>
      <c r="S34" s="13"/>
      <c r="T34" s="13">
        <f t="shared" ref="T34:Y34" si="36">IF(ISBLANK(K34)=TRUE,0,1)</f>
        <v>0</v>
      </c>
      <c r="U34" s="13">
        <f t="shared" si="36"/>
        <v>0</v>
      </c>
      <c r="V34" s="13">
        <f t="shared" si="36"/>
        <v>0</v>
      </c>
      <c r="W34" s="13">
        <f t="shared" si="36"/>
        <v>0</v>
      </c>
      <c r="X34" s="13">
        <f t="shared" si="36"/>
        <v>1</v>
      </c>
      <c r="Y34" s="13">
        <f t="shared" si="36"/>
        <v>1</v>
      </c>
      <c r="Z34" s="13">
        <f t="shared" si="4"/>
        <v>1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</row>
    <row r="35" ht="14.25" hidden="1" customHeight="1">
      <c r="A35" s="26" t="s">
        <v>29</v>
      </c>
      <c r="B35" s="26" t="s">
        <v>32</v>
      </c>
      <c r="C35" s="27" t="s">
        <v>109</v>
      </c>
      <c r="D35" s="26" t="s">
        <v>110</v>
      </c>
      <c r="E35" s="13" t="str">
        <f t="shared" si="2"/>
        <v>COHR,215-1-15,BQ,0</v>
      </c>
      <c r="F35" s="26"/>
      <c r="G35" s="13" t="s">
        <v>111</v>
      </c>
      <c r="H35" s="26" t="s">
        <v>75</v>
      </c>
      <c r="I35" s="26"/>
      <c r="J35" s="26"/>
      <c r="K35" s="28"/>
      <c r="L35" s="28"/>
      <c r="M35" s="16">
        <v>0.0</v>
      </c>
      <c r="N35" s="16">
        <v>0.0</v>
      </c>
      <c r="O35" s="17">
        <v>0.0</v>
      </c>
      <c r="P35" s="17">
        <v>0.0</v>
      </c>
      <c r="Q35" s="13"/>
      <c r="R35" s="13"/>
      <c r="S35" s="13"/>
      <c r="T35" s="13">
        <f t="shared" ref="T35:Y35" si="37">IF(ISBLANK(K35)=TRUE,0,1)</f>
        <v>0</v>
      </c>
      <c r="U35" s="13">
        <f t="shared" si="37"/>
        <v>0</v>
      </c>
      <c r="V35" s="13">
        <f t="shared" si="37"/>
        <v>1</v>
      </c>
      <c r="W35" s="13">
        <f t="shared" si="37"/>
        <v>1</v>
      </c>
      <c r="X35" s="13">
        <f t="shared" si="37"/>
        <v>1</v>
      </c>
      <c r="Y35" s="13">
        <f t="shared" si="37"/>
        <v>1</v>
      </c>
      <c r="Z35" s="13">
        <f t="shared" si="4"/>
        <v>0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</row>
    <row r="36" ht="14.25" hidden="1" customHeight="1">
      <c r="A36" s="13" t="s">
        <v>29</v>
      </c>
      <c r="B36" s="13" t="s">
        <v>32</v>
      </c>
      <c r="C36" s="18" t="s">
        <v>109</v>
      </c>
      <c r="D36" s="13" t="s">
        <v>112</v>
      </c>
      <c r="E36" s="13" t="str">
        <f t="shared" si="2"/>
        <v>COHR,215-1-15,BQ2,0</v>
      </c>
      <c r="F36" s="13"/>
      <c r="G36" s="13" t="s">
        <v>111</v>
      </c>
      <c r="H36" s="13" t="s">
        <v>75</v>
      </c>
      <c r="I36" s="13"/>
      <c r="J36" s="13"/>
      <c r="K36" s="15"/>
      <c r="L36" s="15"/>
      <c r="M36" s="16">
        <v>0.0</v>
      </c>
      <c r="N36" s="16">
        <v>0.0</v>
      </c>
      <c r="O36" s="17">
        <v>0.0</v>
      </c>
      <c r="P36" s="17">
        <v>0.0</v>
      </c>
      <c r="Q36" s="13"/>
      <c r="R36" s="13"/>
      <c r="S36" s="13"/>
      <c r="T36" s="13">
        <f t="shared" ref="T36:Y36" si="38">IF(ISBLANK(K36)=TRUE,0,1)</f>
        <v>0</v>
      </c>
      <c r="U36" s="13">
        <f t="shared" si="38"/>
        <v>0</v>
      </c>
      <c r="V36" s="13">
        <f t="shared" si="38"/>
        <v>1</v>
      </c>
      <c r="W36" s="13">
        <f t="shared" si="38"/>
        <v>1</v>
      </c>
      <c r="X36" s="13">
        <f t="shared" si="38"/>
        <v>1</v>
      </c>
      <c r="Y36" s="13">
        <f t="shared" si="38"/>
        <v>1</v>
      </c>
      <c r="Z36" s="13">
        <f t="shared" si="4"/>
        <v>0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ht="14.25" hidden="1" customHeight="1">
      <c r="A37" s="26" t="s">
        <v>29</v>
      </c>
      <c r="B37" s="26" t="s">
        <v>32</v>
      </c>
      <c r="C37" s="27" t="s">
        <v>109</v>
      </c>
      <c r="D37" s="26" t="s">
        <v>113</v>
      </c>
      <c r="E37" s="13" t="str">
        <f t="shared" si="2"/>
        <v>COHR,215-1-15,BR,0</v>
      </c>
      <c r="F37" s="26"/>
      <c r="G37" s="13" t="s">
        <v>111</v>
      </c>
      <c r="H37" s="26" t="s">
        <v>75</v>
      </c>
      <c r="I37" s="26"/>
      <c r="J37" s="26"/>
      <c r="K37" s="28"/>
      <c r="L37" s="28"/>
      <c r="M37" s="16">
        <v>0.0</v>
      </c>
      <c r="N37" s="16">
        <v>0.0</v>
      </c>
      <c r="O37" s="17">
        <v>0.0</v>
      </c>
      <c r="P37" s="17">
        <v>0.0</v>
      </c>
      <c r="Q37" s="13"/>
      <c r="R37" s="13"/>
      <c r="S37" s="13"/>
      <c r="T37" s="13">
        <f t="shared" ref="T37:Y37" si="39">IF(ISBLANK(K37)=TRUE,0,1)</f>
        <v>0</v>
      </c>
      <c r="U37" s="13">
        <f t="shared" si="39"/>
        <v>0</v>
      </c>
      <c r="V37" s="13">
        <f t="shared" si="39"/>
        <v>1</v>
      </c>
      <c r="W37" s="13">
        <f t="shared" si="39"/>
        <v>1</v>
      </c>
      <c r="X37" s="13">
        <f t="shared" si="39"/>
        <v>1</v>
      </c>
      <c r="Y37" s="13">
        <f t="shared" si="39"/>
        <v>1</v>
      </c>
      <c r="Z37" s="13">
        <f t="shared" si="4"/>
        <v>0</v>
      </c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ht="14.25" hidden="1" customHeight="1">
      <c r="A38" s="13" t="s">
        <v>29</v>
      </c>
      <c r="B38" s="13" t="s">
        <v>32</v>
      </c>
      <c r="C38" s="18" t="s">
        <v>109</v>
      </c>
      <c r="D38" s="13" t="s">
        <v>114</v>
      </c>
      <c r="E38" s="13" t="str">
        <f t="shared" si="2"/>
        <v>COHR,215-1-15,BR2,0</v>
      </c>
      <c r="F38" s="13"/>
      <c r="G38" s="13" t="s">
        <v>111</v>
      </c>
      <c r="H38" s="13" t="s">
        <v>75</v>
      </c>
      <c r="I38" s="13"/>
      <c r="J38" s="13"/>
      <c r="K38" s="15"/>
      <c r="L38" s="15"/>
      <c r="M38" s="16">
        <v>0.0</v>
      </c>
      <c r="N38" s="16">
        <v>0.0</v>
      </c>
      <c r="O38" s="17">
        <v>0.0</v>
      </c>
      <c r="P38" s="17">
        <v>0.0</v>
      </c>
      <c r="Q38" s="13"/>
      <c r="R38" s="13"/>
      <c r="S38" s="13"/>
      <c r="T38" s="13">
        <f t="shared" ref="T38:Y38" si="40">IF(ISBLANK(K38)=TRUE,0,1)</f>
        <v>0</v>
      </c>
      <c r="U38" s="13">
        <f t="shared" si="40"/>
        <v>0</v>
      </c>
      <c r="V38" s="13">
        <f t="shared" si="40"/>
        <v>1</v>
      </c>
      <c r="W38" s="13">
        <f t="shared" si="40"/>
        <v>1</v>
      </c>
      <c r="X38" s="13">
        <f t="shared" si="40"/>
        <v>1</v>
      </c>
      <c r="Y38" s="13">
        <f t="shared" si="40"/>
        <v>1</v>
      </c>
      <c r="Z38" s="13">
        <f t="shared" si="4"/>
        <v>0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</row>
    <row r="39" ht="14.25" hidden="1" customHeight="1">
      <c r="A39" s="26" t="s">
        <v>29</v>
      </c>
      <c r="B39" s="26" t="s">
        <v>32</v>
      </c>
      <c r="C39" s="27" t="s">
        <v>109</v>
      </c>
      <c r="D39" s="26" t="s">
        <v>115</v>
      </c>
      <c r="E39" s="13" t="str">
        <f t="shared" si="2"/>
        <v>COHR,215-1-15,BS,0</v>
      </c>
      <c r="F39" s="26"/>
      <c r="G39" s="13" t="s">
        <v>111</v>
      </c>
      <c r="H39" s="26" t="s">
        <v>75</v>
      </c>
      <c r="I39" s="26"/>
      <c r="J39" s="26"/>
      <c r="K39" s="28"/>
      <c r="L39" s="28"/>
      <c r="M39" s="16">
        <v>0.0</v>
      </c>
      <c r="N39" s="16">
        <v>0.0</v>
      </c>
      <c r="O39" s="17">
        <v>0.0</v>
      </c>
      <c r="P39" s="17">
        <v>0.0</v>
      </c>
      <c r="Q39" s="13"/>
      <c r="R39" s="13"/>
      <c r="S39" s="13"/>
      <c r="T39" s="13">
        <f t="shared" ref="T39:Y39" si="41">IF(ISBLANK(K39)=TRUE,0,1)</f>
        <v>0</v>
      </c>
      <c r="U39" s="13">
        <f t="shared" si="41"/>
        <v>0</v>
      </c>
      <c r="V39" s="13">
        <f t="shared" si="41"/>
        <v>1</v>
      </c>
      <c r="W39" s="13">
        <f t="shared" si="41"/>
        <v>1</v>
      </c>
      <c r="X39" s="13">
        <f t="shared" si="41"/>
        <v>1</v>
      </c>
      <c r="Y39" s="13">
        <f t="shared" si="41"/>
        <v>1</v>
      </c>
      <c r="Z39" s="13">
        <f t="shared" si="4"/>
        <v>0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ht="14.25" hidden="1" customHeight="1">
      <c r="A40" s="13" t="s">
        <v>29</v>
      </c>
      <c r="B40" s="13" t="s">
        <v>32</v>
      </c>
      <c r="C40" s="18" t="s">
        <v>109</v>
      </c>
      <c r="D40" s="13" t="s">
        <v>116</v>
      </c>
      <c r="E40" s="13" t="str">
        <f t="shared" si="2"/>
        <v>COHR,215-1-15,BS2,0</v>
      </c>
      <c r="F40" s="13"/>
      <c r="G40" s="13" t="s">
        <v>111</v>
      </c>
      <c r="H40" s="13" t="s">
        <v>75</v>
      </c>
      <c r="I40" s="13"/>
      <c r="J40" s="13"/>
      <c r="K40" s="15"/>
      <c r="L40" s="15"/>
      <c r="M40" s="16">
        <v>0.0</v>
      </c>
      <c r="N40" s="16">
        <v>0.0</v>
      </c>
      <c r="O40" s="17">
        <v>0.0</v>
      </c>
      <c r="P40" s="17">
        <v>0.0</v>
      </c>
      <c r="Q40" s="13"/>
      <c r="R40" s="13"/>
      <c r="S40" s="13"/>
      <c r="T40" s="13">
        <f t="shared" ref="T40:Y40" si="42">IF(ISBLANK(K40)=TRUE,0,1)</f>
        <v>0</v>
      </c>
      <c r="U40" s="13">
        <f t="shared" si="42"/>
        <v>0</v>
      </c>
      <c r="V40" s="13">
        <f t="shared" si="42"/>
        <v>1</v>
      </c>
      <c r="W40" s="13">
        <f t="shared" si="42"/>
        <v>1</v>
      </c>
      <c r="X40" s="13">
        <f t="shared" si="42"/>
        <v>1</v>
      </c>
      <c r="Y40" s="13">
        <f t="shared" si="42"/>
        <v>1</v>
      </c>
      <c r="Z40" s="13">
        <f t="shared" si="4"/>
        <v>0</v>
      </c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</row>
    <row r="41" ht="14.25" hidden="1" customHeight="1">
      <c r="A41" s="26" t="s">
        <v>29</v>
      </c>
      <c r="B41" s="26" t="s">
        <v>32</v>
      </c>
      <c r="C41" s="27" t="s">
        <v>109</v>
      </c>
      <c r="D41" s="26" t="s">
        <v>117</v>
      </c>
      <c r="E41" s="13" t="str">
        <f t="shared" si="2"/>
        <v>COHR,215-1-15,BT,0</v>
      </c>
      <c r="F41" s="26"/>
      <c r="G41" s="13" t="s">
        <v>111</v>
      </c>
      <c r="H41" s="26" t="s">
        <v>75</v>
      </c>
      <c r="I41" s="26"/>
      <c r="J41" s="26"/>
      <c r="K41" s="28"/>
      <c r="L41" s="28"/>
      <c r="M41" s="16">
        <v>0.0</v>
      </c>
      <c r="N41" s="16">
        <v>0.0</v>
      </c>
      <c r="O41" s="17">
        <v>0.0</v>
      </c>
      <c r="P41" s="17">
        <v>0.0</v>
      </c>
      <c r="Q41" s="13"/>
      <c r="R41" s="13"/>
      <c r="S41" s="13"/>
      <c r="T41" s="13">
        <f t="shared" ref="T41:Y41" si="43">IF(ISBLANK(K41)=TRUE,0,1)</f>
        <v>0</v>
      </c>
      <c r="U41" s="13">
        <f t="shared" si="43"/>
        <v>0</v>
      </c>
      <c r="V41" s="13">
        <f t="shared" si="43"/>
        <v>1</v>
      </c>
      <c r="W41" s="13">
        <f t="shared" si="43"/>
        <v>1</v>
      </c>
      <c r="X41" s="13">
        <f t="shared" si="43"/>
        <v>1</v>
      </c>
      <c r="Y41" s="13">
        <f t="shared" si="43"/>
        <v>1</v>
      </c>
      <c r="Z41" s="13">
        <f t="shared" si="4"/>
        <v>0</v>
      </c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</row>
    <row r="42" ht="14.25" hidden="1" customHeight="1">
      <c r="A42" s="13" t="s">
        <v>29</v>
      </c>
      <c r="B42" s="13" t="s">
        <v>32</v>
      </c>
      <c r="C42" s="18" t="s">
        <v>109</v>
      </c>
      <c r="D42" s="13" t="s">
        <v>118</v>
      </c>
      <c r="E42" s="13" t="str">
        <f t="shared" si="2"/>
        <v>COHR,215-1-15,BT2,0</v>
      </c>
      <c r="F42" s="13"/>
      <c r="G42" s="13" t="s">
        <v>111</v>
      </c>
      <c r="H42" s="13" t="s">
        <v>75</v>
      </c>
      <c r="I42" s="13"/>
      <c r="J42" s="13"/>
      <c r="K42" s="15"/>
      <c r="L42" s="15"/>
      <c r="M42" s="16">
        <v>0.0</v>
      </c>
      <c r="N42" s="16">
        <v>0.0</v>
      </c>
      <c r="O42" s="17">
        <v>0.0</v>
      </c>
      <c r="P42" s="17">
        <v>0.0</v>
      </c>
      <c r="Q42" s="13"/>
      <c r="R42" s="13"/>
      <c r="S42" s="13"/>
      <c r="T42" s="13">
        <f t="shared" ref="T42:Y42" si="44">IF(ISBLANK(K42)=TRUE,0,1)</f>
        <v>0</v>
      </c>
      <c r="U42" s="13">
        <f t="shared" si="44"/>
        <v>0</v>
      </c>
      <c r="V42" s="13">
        <f t="shared" si="44"/>
        <v>1</v>
      </c>
      <c r="W42" s="13">
        <f t="shared" si="44"/>
        <v>1</v>
      </c>
      <c r="X42" s="13">
        <f t="shared" si="44"/>
        <v>1</v>
      </c>
      <c r="Y42" s="13">
        <f t="shared" si="44"/>
        <v>1</v>
      </c>
      <c r="Z42" s="13">
        <f t="shared" si="4"/>
        <v>0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</row>
    <row r="43" ht="14.25" hidden="1" customHeight="1">
      <c r="A43" s="26" t="s">
        <v>29</v>
      </c>
      <c r="B43" s="26" t="s">
        <v>32</v>
      </c>
      <c r="C43" s="27" t="s">
        <v>109</v>
      </c>
      <c r="D43" s="26" t="s">
        <v>119</v>
      </c>
      <c r="E43" s="13" t="str">
        <f t="shared" si="2"/>
        <v>COHR,215-1-15,BU,0</v>
      </c>
      <c r="F43" s="26"/>
      <c r="G43" s="13" t="s">
        <v>111</v>
      </c>
      <c r="H43" s="26" t="s">
        <v>75</v>
      </c>
      <c r="I43" s="26"/>
      <c r="J43" s="26"/>
      <c r="K43" s="28"/>
      <c r="L43" s="28"/>
      <c r="M43" s="16">
        <v>0.0</v>
      </c>
      <c r="N43" s="16">
        <v>0.0</v>
      </c>
      <c r="O43" s="17">
        <v>0.0</v>
      </c>
      <c r="P43" s="17">
        <v>0.0</v>
      </c>
      <c r="Q43" s="13"/>
      <c r="R43" s="13"/>
      <c r="S43" s="13"/>
      <c r="T43" s="13">
        <f t="shared" ref="T43:Y43" si="45">IF(ISBLANK(K43)=TRUE,0,1)</f>
        <v>0</v>
      </c>
      <c r="U43" s="13">
        <f t="shared" si="45"/>
        <v>0</v>
      </c>
      <c r="V43" s="13">
        <f t="shared" si="45"/>
        <v>1</v>
      </c>
      <c r="W43" s="13">
        <f t="shared" si="45"/>
        <v>1</v>
      </c>
      <c r="X43" s="13">
        <f t="shared" si="45"/>
        <v>1</v>
      </c>
      <c r="Y43" s="13">
        <f t="shared" si="45"/>
        <v>1</v>
      </c>
      <c r="Z43" s="13">
        <f t="shared" si="4"/>
        <v>0</v>
      </c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</row>
    <row r="44" ht="14.25" hidden="1" customHeight="1">
      <c r="A44" s="26" t="s">
        <v>29</v>
      </c>
      <c r="B44" s="26" t="s">
        <v>32</v>
      </c>
      <c r="C44" s="27" t="s">
        <v>109</v>
      </c>
      <c r="D44" s="26" t="s">
        <v>120</v>
      </c>
      <c r="E44" s="13" t="str">
        <f t="shared" si="2"/>
        <v>COHR,215-1-15,BV,0</v>
      </c>
      <c r="F44" s="26"/>
      <c r="G44" s="13" t="s">
        <v>111</v>
      </c>
      <c r="H44" s="26" t="s">
        <v>75</v>
      </c>
      <c r="I44" s="26"/>
      <c r="J44" s="26"/>
      <c r="K44" s="28"/>
      <c r="L44" s="28"/>
      <c r="M44" s="16">
        <v>0.0</v>
      </c>
      <c r="N44" s="16">
        <v>0.0</v>
      </c>
      <c r="O44" s="17">
        <v>0.0</v>
      </c>
      <c r="P44" s="17">
        <v>0.0</v>
      </c>
      <c r="Q44" s="13"/>
      <c r="R44" s="13"/>
      <c r="S44" s="13"/>
      <c r="T44" s="13">
        <f t="shared" ref="T44:Y44" si="46">IF(ISBLANK(K44)=TRUE,0,1)</f>
        <v>0</v>
      </c>
      <c r="U44" s="13">
        <f t="shared" si="46"/>
        <v>0</v>
      </c>
      <c r="V44" s="13">
        <f t="shared" si="46"/>
        <v>1</v>
      </c>
      <c r="W44" s="13">
        <f t="shared" si="46"/>
        <v>1</v>
      </c>
      <c r="X44" s="13">
        <f t="shared" si="46"/>
        <v>1</v>
      </c>
      <c r="Y44" s="13">
        <f t="shared" si="46"/>
        <v>1</v>
      </c>
      <c r="Z44" s="13">
        <f t="shared" si="4"/>
        <v>0</v>
      </c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</row>
    <row r="45" ht="14.25" hidden="1" customHeight="1">
      <c r="A45" s="26" t="s">
        <v>29</v>
      </c>
      <c r="B45" s="26" t="s">
        <v>32</v>
      </c>
      <c r="C45" s="27" t="s">
        <v>109</v>
      </c>
      <c r="D45" s="26" t="s">
        <v>121</v>
      </c>
      <c r="E45" s="13" t="str">
        <f t="shared" si="2"/>
        <v>COHR,215-1-15,BW,0</v>
      </c>
      <c r="F45" s="26"/>
      <c r="G45" s="13" t="s">
        <v>111</v>
      </c>
      <c r="H45" s="26" t="s">
        <v>75</v>
      </c>
      <c r="I45" s="26"/>
      <c r="J45" s="26"/>
      <c r="K45" s="28"/>
      <c r="L45" s="28"/>
      <c r="M45" s="16">
        <v>0.0</v>
      </c>
      <c r="N45" s="16">
        <v>0.0</v>
      </c>
      <c r="O45" s="17">
        <v>0.0</v>
      </c>
      <c r="P45" s="17">
        <v>0.0</v>
      </c>
      <c r="Q45" s="13"/>
      <c r="R45" s="13"/>
      <c r="S45" s="13"/>
      <c r="T45" s="13">
        <f t="shared" ref="T45:Y45" si="47">IF(ISBLANK(K45)=TRUE,0,1)</f>
        <v>0</v>
      </c>
      <c r="U45" s="13">
        <f t="shared" si="47"/>
        <v>0</v>
      </c>
      <c r="V45" s="13">
        <f t="shared" si="47"/>
        <v>1</v>
      </c>
      <c r="W45" s="13">
        <f t="shared" si="47"/>
        <v>1</v>
      </c>
      <c r="X45" s="13">
        <f t="shared" si="47"/>
        <v>1</v>
      </c>
      <c r="Y45" s="13">
        <f t="shared" si="47"/>
        <v>1</v>
      </c>
      <c r="Z45" s="13">
        <f t="shared" si="4"/>
        <v>0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</row>
    <row r="46" ht="14.25" hidden="1" customHeight="1">
      <c r="A46" s="26" t="s">
        <v>29</v>
      </c>
      <c r="B46" s="26" t="s">
        <v>32</v>
      </c>
      <c r="C46" s="27" t="s">
        <v>109</v>
      </c>
      <c r="D46" s="26" t="s">
        <v>122</v>
      </c>
      <c r="E46" s="13" t="str">
        <f t="shared" si="2"/>
        <v>COHR,215-1-15,BX,0</v>
      </c>
      <c r="F46" s="26"/>
      <c r="G46" s="13" t="s">
        <v>111</v>
      </c>
      <c r="H46" s="26" t="s">
        <v>75</v>
      </c>
      <c r="I46" s="26"/>
      <c r="J46" s="26"/>
      <c r="K46" s="28"/>
      <c r="L46" s="28"/>
      <c r="M46" s="16">
        <v>0.0</v>
      </c>
      <c r="N46" s="16">
        <v>0.0</v>
      </c>
      <c r="O46" s="17">
        <v>0.0</v>
      </c>
      <c r="P46" s="17">
        <v>0.0</v>
      </c>
      <c r="Q46" s="13"/>
      <c r="R46" s="13"/>
      <c r="S46" s="13"/>
      <c r="T46" s="13">
        <f t="shared" ref="T46:Y46" si="48">IF(ISBLANK(K46)=TRUE,0,1)</f>
        <v>0</v>
      </c>
      <c r="U46" s="13">
        <f t="shared" si="48"/>
        <v>0</v>
      </c>
      <c r="V46" s="13">
        <f t="shared" si="48"/>
        <v>1</v>
      </c>
      <c r="W46" s="13">
        <f t="shared" si="48"/>
        <v>1</v>
      </c>
      <c r="X46" s="13">
        <f t="shared" si="48"/>
        <v>1</v>
      </c>
      <c r="Y46" s="13">
        <f t="shared" si="48"/>
        <v>1</v>
      </c>
      <c r="Z46" s="13">
        <f t="shared" si="4"/>
        <v>0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</row>
    <row r="47" ht="14.25" hidden="1" customHeight="1">
      <c r="A47" s="26" t="s">
        <v>29</v>
      </c>
      <c r="B47" s="26" t="s">
        <v>32</v>
      </c>
      <c r="C47" s="27" t="s">
        <v>109</v>
      </c>
      <c r="D47" s="26" t="s">
        <v>123</v>
      </c>
      <c r="E47" s="13" t="str">
        <f t="shared" si="2"/>
        <v>COHR,215-1-15,BY,0</v>
      </c>
      <c r="F47" s="26"/>
      <c r="G47" s="13" t="s">
        <v>111</v>
      </c>
      <c r="H47" s="26" t="s">
        <v>75</v>
      </c>
      <c r="I47" s="26"/>
      <c r="J47" s="26"/>
      <c r="K47" s="28"/>
      <c r="L47" s="28"/>
      <c r="M47" s="16">
        <v>0.0</v>
      </c>
      <c r="N47" s="16">
        <v>0.0</v>
      </c>
      <c r="O47" s="17">
        <v>0.0</v>
      </c>
      <c r="P47" s="17">
        <v>0.0</v>
      </c>
      <c r="Q47" s="13"/>
      <c r="R47" s="13"/>
      <c r="S47" s="13"/>
      <c r="T47" s="13">
        <f t="shared" ref="T47:Y47" si="49">IF(ISBLANK(K47)=TRUE,0,1)</f>
        <v>0</v>
      </c>
      <c r="U47" s="13">
        <f t="shared" si="49"/>
        <v>0</v>
      </c>
      <c r="V47" s="13">
        <f t="shared" si="49"/>
        <v>1</v>
      </c>
      <c r="W47" s="13">
        <f t="shared" si="49"/>
        <v>1</v>
      </c>
      <c r="X47" s="13">
        <f t="shared" si="49"/>
        <v>1</v>
      </c>
      <c r="Y47" s="13">
        <f t="shared" si="49"/>
        <v>1</v>
      </c>
      <c r="Z47" s="13">
        <f t="shared" si="4"/>
        <v>0</v>
      </c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</row>
    <row r="48" ht="14.25" hidden="1" customHeight="1">
      <c r="A48" s="26" t="s">
        <v>29</v>
      </c>
      <c r="B48" s="26" t="s">
        <v>32</v>
      </c>
      <c r="C48" s="27" t="s">
        <v>109</v>
      </c>
      <c r="D48" s="26" t="s">
        <v>124</v>
      </c>
      <c r="E48" s="13" t="str">
        <f t="shared" si="2"/>
        <v>COHR,215-1-15,BZ,0</v>
      </c>
      <c r="F48" s="26"/>
      <c r="G48" s="13" t="s">
        <v>111</v>
      </c>
      <c r="H48" s="26" t="s">
        <v>75</v>
      </c>
      <c r="I48" s="26"/>
      <c r="J48" s="26"/>
      <c r="K48" s="28"/>
      <c r="L48" s="28"/>
      <c r="M48" s="16">
        <v>0.0</v>
      </c>
      <c r="N48" s="16">
        <v>0.0</v>
      </c>
      <c r="O48" s="17">
        <v>0.0</v>
      </c>
      <c r="P48" s="17">
        <v>0.0</v>
      </c>
      <c r="Q48" s="13"/>
      <c r="R48" s="13"/>
      <c r="S48" s="13"/>
      <c r="T48" s="13">
        <f t="shared" ref="T48:Y48" si="50">IF(ISBLANK(K48)=TRUE,0,1)</f>
        <v>0</v>
      </c>
      <c r="U48" s="13">
        <f t="shared" si="50"/>
        <v>0</v>
      </c>
      <c r="V48" s="13">
        <f t="shared" si="50"/>
        <v>1</v>
      </c>
      <c r="W48" s="13">
        <f t="shared" si="50"/>
        <v>1</v>
      </c>
      <c r="X48" s="13">
        <f t="shared" si="50"/>
        <v>1</v>
      </c>
      <c r="Y48" s="13">
        <f t="shared" si="50"/>
        <v>1</v>
      </c>
      <c r="Z48" s="13">
        <f t="shared" si="4"/>
        <v>0</v>
      </c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</row>
    <row r="49" ht="14.25" hidden="1" customHeight="1">
      <c r="A49" s="26" t="s">
        <v>29</v>
      </c>
      <c r="B49" s="26" t="s">
        <v>32</v>
      </c>
      <c r="C49" s="27" t="s">
        <v>109</v>
      </c>
      <c r="D49" s="26" t="s">
        <v>125</v>
      </c>
      <c r="E49" s="13" t="str">
        <f t="shared" si="2"/>
        <v>COHR,215-1-15,CA,0</v>
      </c>
      <c r="F49" s="26"/>
      <c r="G49" s="13" t="s">
        <v>111</v>
      </c>
      <c r="H49" s="26" t="s">
        <v>75</v>
      </c>
      <c r="I49" s="26"/>
      <c r="J49" s="26"/>
      <c r="K49" s="28"/>
      <c r="L49" s="28"/>
      <c r="M49" s="16">
        <v>0.0</v>
      </c>
      <c r="N49" s="16">
        <v>0.0</v>
      </c>
      <c r="O49" s="17">
        <v>0.0</v>
      </c>
      <c r="P49" s="17">
        <v>0.0</v>
      </c>
      <c r="Q49" s="13"/>
      <c r="R49" s="13"/>
      <c r="S49" s="13"/>
      <c r="T49" s="13">
        <f t="shared" ref="T49:Y49" si="51">IF(ISBLANK(K49)=TRUE,0,1)</f>
        <v>0</v>
      </c>
      <c r="U49" s="13">
        <f t="shared" si="51"/>
        <v>0</v>
      </c>
      <c r="V49" s="13">
        <f t="shared" si="51"/>
        <v>1</v>
      </c>
      <c r="W49" s="13">
        <f t="shared" si="51"/>
        <v>1</v>
      </c>
      <c r="X49" s="13">
        <f t="shared" si="51"/>
        <v>1</v>
      </c>
      <c r="Y49" s="13">
        <f t="shared" si="51"/>
        <v>1</v>
      </c>
      <c r="Z49" s="13">
        <f t="shared" si="4"/>
        <v>0</v>
      </c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</row>
    <row r="50" ht="14.25" hidden="1" customHeight="1">
      <c r="A50" s="26" t="s">
        <v>29</v>
      </c>
      <c r="B50" s="26" t="s">
        <v>32</v>
      </c>
      <c r="C50" s="27" t="s">
        <v>109</v>
      </c>
      <c r="D50" s="26" t="s">
        <v>126</v>
      </c>
      <c r="E50" s="13" t="str">
        <f t="shared" si="2"/>
        <v>COHR,215-1-15,CB,0</v>
      </c>
      <c r="F50" s="26"/>
      <c r="G50" s="13" t="s">
        <v>111</v>
      </c>
      <c r="H50" s="26" t="s">
        <v>75</v>
      </c>
      <c r="I50" s="26"/>
      <c r="J50" s="26"/>
      <c r="K50" s="28"/>
      <c r="L50" s="28"/>
      <c r="M50" s="16">
        <v>0.0</v>
      </c>
      <c r="N50" s="16">
        <v>0.0</v>
      </c>
      <c r="O50" s="17">
        <v>0.0</v>
      </c>
      <c r="P50" s="17">
        <v>0.0</v>
      </c>
      <c r="Q50" s="13"/>
      <c r="R50" s="13"/>
      <c r="S50" s="13"/>
      <c r="T50" s="13">
        <f t="shared" ref="T50:Y50" si="52">IF(ISBLANK(K50)=TRUE,0,1)</f>
        <v>0</v>
      </c>
      <c r="U50" s="13">
        <f t="shared" si="52"/>
        <v>0</v>
      </c>
      <c r="V50" s="13">
        <f t="shared" si="52"/>
        <v>1</v>
      </c>
      <c r="W50" s="13">
        <f t="shared" si="52"/>
        <v>1</v>
      </c>
      <c r="X50" s="13">
        <f t="shared" si="52"/>
        <v>1</v>
      </c>
      <c r="Y50" s="13">
        <f t="shared" si="52"/>
        <v>1</v>
      </c>
      <c r="Z50" s="13">
        <f t="shared" si="4"/>
        <v>0</v>
      </c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</row>
    <row r="51" ht="14.25" hidden="1" customHeight="1">
      <c r="A51" s="26" t="s">
        <v>29</v>
      </c>
      <c r="B51" s="26" t="s">
        <v>32</v>
      </c>
      <c r="C51" s="27" t="s">
        <v>109</v>
      </c>
      <c r="D51" s="26" t="s">
        <v>127</v>
      </c>
      <c r="E51" s="13" t="str">
        <f t="shared" si="2"/>
        <v>COHR,215-1-15,CC,0</v>
      </c>
      <c r="F51" s="26"/>
      <c r="G51" s="13" t="s">
        <v>111</v>
      </c>
      <c r="H51" s="26" t="s">
        <v>75</v>
      </c>
      <c r="I51" s="26"/>
      <c r="J51" s="26"/>
      <c r="K51" s="28"/>
      <c r="L51" s="28"/>
      <c r="M51" s="16">
        <v>0.0</v>
      </c>
      <c r="N51" s="16">
        <v>0.0</v>
      </c>
      <c r="O51" s="17">
        <v>0.0</v>
      </c>
      <c r="P51" s="17">
        <v>0.0</v>
      </c>
      <c r="Q51" s="13"/>
      <c r="R51" s="13"/>
      <c r="S51" s="13"/>
      <c r="T51" s="13">
        <f t="shared" ref="T51:Y51" si="53">IF(ISBLANK(K51)=TRUE,0,1)</f>
        <v>0</v>
      </c>
      <c r="U51" s="13">
        <f t="shared" si="53"/>
        <v>0</v>
      </c>
      <c r="V51" s="13">
        <f t="shared" si="53"/>
        <v>1</v>
      </c>
      <c r="W51" s="13">
        <f t="shared" si="53"/>
        <v>1</v>
      </c>
      <c r="X51" s="13">
        <f t="shared" si="53"/>
        <v>1</v>
      </c>
      <c r="Y51" s="13">
        <f t="shared" si="53"/>
        <v>1</v>
      </c>
      <c r="Z51" s="13">
        <f t="shared" si="4"/>
        <v>0</v>
      </c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</row>
    <row r="52" ht="14.25" hidden="1" customHeight="1">
      <c r="A52" s="26" t="s">
        <v>29</v>
      </c>
      <c r="B52" s="26" t="s">
        <v>32</v>
      </c>
      <c r="C52" s="27" t="s">
        <v>109</v>
      </c>
      <c r="D52" s="26" t="s">
        <v>128</v>
      </c>
      <c r="E52" s="13" t="str">
        <f t="shared" si="2"/>
        <v>COHR,215-1-15,CD,0</v>
      </c>
      <c r="F52" s="26"/>
      <c r="G52" s="13" t="s">
        <v>111</v>
      </c>
      <c r="H52" s="26" t="s">
        <v>75</v>
      </c>
      <c r="I52" s="26"/>
      <c r="J52" s="26"/>
      <c r="K52" s="28"/>
      <c r="L52" s="28"/>
      <c r="M52" s="16">
        <v>0.0</v>
      </c>
      <c r="N52" s="16">
        <v>0.0</v>
      </c>
      <c r="O52" s="17">
        <v>0.0</v>
      </c>
      <c r="P52" s="17">
        <v>0.0</v>
      </c>
      <c r="Q52" s="13"/>
      <c r="R52" s="13"/>
      <c r="S52" s="13"/>
      <c r="T52" s="13">
        <f t="shared" ref="T52:Y52" si="54">IF(ISBLANK(K52)=TRUE,0,1)</f>
        <v>0</v>
      </c>
      <c r="U52" s="13">
        <f t="shared" si="54"/>
        <v>0</v>
      </c>
      <c r="V52" s="13">
        <f t="shared" si="54"/>
        <v>1</v>
      </c>
      <c r="W52" s="13">
        <f t="shared" si="54"/>
        <v>1</v>
      </c>
      <c r="X52" s="13">
        <f t="shared" si="54"/>
        <v>1</v>
      </c>
      <c r="Y52" s="13">
        <f t="shared" si="54"/>
        <v>1</v>
      </c>
      <c r="Z52" s="13">
        <f t="shared" si="4"/>
        <v>0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</row>
    <row r="53" ht="14.25" hidden="1" customHeight="1">
      <c r="A53" s="26" t="s">
        <v>29</v>
      </c>
      <c r="B53" s="26" t="s">
        <v>32</v>
      </c>
      <c r="C53" s="27" t="s">
        <v>109</v>
      </c>
      <c r="D53" s="26" t="s">
        <v>129</v>
      </c>
      <c r="E53" s="13" t="str">
        <f t="shared" si="2"/>
        <v>COHR,215-1-15,CE,0</v>
      </c>
      <c r="F53" s="26"/>
      <c r="G53" s="13" t="s">
        <v>111</v>
      </c>
      <c r="H53" s="26" t="s">
        <v>75</v>
      </c>
      <c r="I53" s="26"/>
      <c r="J53" s="26"/>
      <c r="K53" s="28"/>
      <c r="L53" s="28"/>
      <c r="M53" s="16">
        <v>0.0</v>
      </c>
      <c r="N53" s="16">
        <v>0.0</v>
      </c>
      <c r="O53" s="17">
        <v>0.0</v>
      </c>
      <c r="P53" s="17">
        <v>0.0</v>
      </c>
      <c r="Q53" s="13"/>
      <c r="R53" s="13"/>
      <c r="S53" s="13"/>
      <c r="T53" s="13">
        <f t="shared" ref="T53:Y53" si="55">IF(ISBLANK(K53)=TRUE,0,1)</f>
        <v>0</v>
      </c>
      <c r="U53" s="13">
        <f t="shared" si="55"/>
        <v>0</v>
      </c>
      <c r="V53" s="13">
        <f t="shared" si="55"/>
        <v>1</v>
      </c>
      <c r="W53" s="13">
        <f t="shared" si="55"/>
        <v>1</v>
      </c>
      <c r="X53" s="13">
        <f t="shared" si="55"/>
        <v>1</v>
      </c>
      <c r="Y53" s="13">
        <f t="shared" si="55"/>
        <v>1</v>
      </c>
      <c r="Z53" s="13">
        <f t="shared" si="4"/>
        <v>0</v>
      </c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</row>
    <row r="54" ht="14.25" hidden="1" customHeight="1">
      <c r="A54" s="26" t="s">
        <v>29</v>
      </c>
      <c r="B54" s="26" t="s">
        <v>32</v>
      </c>
      <c r="C54" s="27" t="s">
        <v>109</v>
      </c>
      <c r="D54" s="26" t="s">
        <v>130</v>
      </c>
      <c r="E54" s="13" t="str">
        <f t="shared" si="2"/>
        <v>COHR,215-1-15,CF,0</v>
      </c>
      <c r="F54" s="26"/>
      <c r="G54" s="13" t="s">
        <v>111</v>
      </c>
      <c r="H54" s="26" t="s">
        <v>75</v>
      </c>
      <c r="I54" s="26"/>
      <c r="J54" s="26"/>
      <c r="K54" s="28"/>
      <c r="L54" s="28"/>
      <c r="M54" s="16">
        <v>0.0</v>
      </c>
      <c r="N54" s="16">
        <v>0.0</v>
      </c>
      <c r="O54" s="17">
        <v>0.0</v>
      </c>
      <c r="P54" s="17">
        <v>0.0</v>
      </c>
      <c r="Q54" s="13"/>
      <c r="R54" s="13"/>
      <c r="S54" s="13"/>
      <c r="T54" s="13">
        <f t="shared" ref="T54:Y54" si="56">IF(ISBLANK(K54)=TRUE,0,1)</f>
        <v>0</v>
      </c>
      <c r="U54" s="13">
        <f t="shared" si="56"/>
        <v>0</v>
      </c>
      <c r="V54" s="13">
        <f t="shared" si="56"/>
        <v>1</v>
      </c>
      <c r="W54" s="13">
        <f t="shared" si="56"/>
        <v>1</v>
      </c>
      <c r="X54" s="13">
        <f t="shared" si="56"/>
        <v>1</v>
      </c>
      <c r="Y54" s="13">
        <f t="shared" si="56"/>
        <v>1</v>
      </c>
      <c r="Z54" s="13">
        <f t="shared" si="4"/>
        <v>0</v>
      </c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</row>
    <row r="55" ht="14.25" hidden="1" customHeight="1">
      <c r="A55" s="26" t="s">
        <v>29</v>
      </c>
      <c r="B55" s="26" t="s">
        <v>32</v>
      </c>
      <c r="C55" s="27" t="s">
        <v>109</v>
      </c>
      <c r="D55" s="26" t="s">
        <v>131</v>
      </c>
      <c r="E55" s="13" t="str">
        <f t="shared" si="2"/>
        <v>COHR,215-1-15,CG,0</v>
      </c>
      <c r="F55" s="26"/>
      <c r="G55" s="13" t="s">
        <v>111</v>
      </c>
      <c r="H55" s="26" t="s">
        <v>75</v>
      </c>
      <c r="I55" s="26"/>
      <c r="J55" s="26"/>
      <c r="K55" s="28"/>
      <c r="L55" s="28"/>
      <c r="M55" s="16">
        <v>0.0</v>
      </c>
      <c r="N55" s="16">
        <v>0.0</v>
      </c>
      <c r="O55" s="17">
        <v>0.0</v>
      </c>
      <c r="P55" s="17">
        <v>0.0</v>
      </c>
      <c r="Q55" s="13"/>
      <c r="R55" s="13"/>
      <c r="S55" s="13"/>
      <c r="T55" s="13">
        <f t="shared" ref="T55:Y55" si="57">IF(ISBLANK(K55)=TRUE,0,1)</f>
        <v>0</v>
      </c>
      <c r="U55" s="13">
        <f t="shared" si="57"/>
        <v>0</v>
      </c>
      <c r="V55" s="13">
        <f t="shared" si="57"/>
        <v>1</v>
      </c>
      <c r="W55" s="13">
        <f t="shared" si="57"/>
        <v>1</v>
      </c>
      <c r="X55" s="13">
        <f t="shared" si="57"/>
        <v>1</v>
      </c>
      <c r="Y55" s="13">
        <f t="shared" si="57"/>
        <v>1</v>
      </c>
      <c r="Z55" s="13">
        <f t="shared" si="4"/>
        <v>0</v>
      </c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</row>
    <row r="56" ht="14.25" hidden="1" customHeight="1">
      <c r="A56" s="26" t="s">
        <v>29</v>
      </c>
      <c r="B56" s="26" t="s">
        <v>32</v>
      </c>
      <c r="C56" s="27" t="s">
        <v>109</v>
      </c>
      <c r="D56" s="26" t="s">
        <v>132</v>
      </c>
      <c r="E56" s="13" t="str">
        <f t="shared" si="2"/>
        <v>COHR,215-1-15,CH,0</v>
      </c>
      <c r="F56" s="26"/>
      <c r="G56" s="13" t="s">
        <v>111</v>
      </c>
      <c r="H56" s="26" t="s">
        <v>75</v>
      </c>
      <c r="I56" s="26"/>
      <c r="J56" s="26"/>
      <c r="K56" s="28"/>
      <c r="L56" s="28"/>
      <c r="M56" s="16">
        <v>0.0</v>
      </c>
      <c r="N56" s="16">
        <v>0.0</v>
      </c>
      <c r="O56" s="17">
        <v>0.0</v>
      </c>
      <c r="P56" s="17">
        <v>0.0</v>
      </c>
      <c r="Q56" s="13"/>
      <c r="R56" s="13"/>
      <c r="S56" s="13"/>
      <c r="T56" s="13">
        <f t="shared" ref="T56:Y56" si="58">IF(ISBLANK(K56)=TRUE,0,1)</f>
        <v>0</v>
      </c>
      <c r="U56" s="13">
        <f t="shared" si="58"/>
        <v>0</v>
      </c>
      <c r="V56" s="13">
        <f t="shared" si="58"/>
        <v>1</v>
      </c>
      <c r="W56" s="13">
        <f t="shared" si="58"/>
        <v>1</v>
      </c>
      <c r="X56" s="13">
        <f t="shared" si="58"/>
        <v>1</v>
      </c>
      <c r="Y56" s="13">
        <f t="shared" si="58"/>
        <v>1</v>
      </c>
      <c r="Z56" s="13">
        <f t="shared" si="4"/>
        <v>0</v>
      </c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ht="14.25" hidden="1" customHeight="1">
      <c r="A57" s="26" t="s">
        <v>29</v>
      </c>
      <c r="B57" s="26" t="s">
        <v>32</v>
      </c>
      <c r="C57" s="27" t="s">
        <v>109</v>
      </c>
      <c r="D57" s="26" t="s">
        <v>133</v>
      </c>
      <c r="E57" s="13" t="str">
        <f t="shared" si="2"/>
        <v>COHR,215-1-15,CI,0</v>
      </c>
      <c r="F57" s="26"/>
      <c r="G57" s="13" t="s">
        <v>111</v>
      </c>
      <c r="H57" s="26" t="s">
        <v>75</v>
      </c>
      <c r="I57" s="26"/>
      <c r="J57" s="26"/>
      <c r="K57" s="28"/>
      <c r="L57" s="28"/>
      <c r="M57" s="16">
        <v>0.0</v>
      </c>
      <c r="N57" s="16">
        <v>0.0</v>
      </c>
      <c r="O57" s="17">
        <v>0.0</v>
      </c>
      <c r="P57" s="17">
        <v>0.0</v>
      </c>
      <c r="Q57" s="13"/>
      <c r="R57" s="13"/>
      <c r="S57" s="13"/>
      <c r="T57" s="13">
        <f t="shared" ref="T57:Y57" si="59">IF(ISBLANK(K57)=TRUE,0,1)</f>
        <v>0</v>
      </c>
      <c r="U57" s="13">
        <f t="shared" si="59"/>
        <v>0</v>
      </c>
      <c r="V57" s="13">
        <f t="shared" si="59"/>
        <v>1</v>
      </c>
      <c r="W57" s="13">
        <f t="shared" si="59"/>
        <v>1</v>
      </c>
      <c r="X57" s="13">
        <f t="shared" si="59"/>
        <v>1</v>
      </c>
      <c r="Y57" s="13">
        <f t="shared" si="59"/>
        <v>1</v>
      </c>
      <c r="Z57" s="13">
        <f t="shared" si="4"/>
        <v>0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ht="14.25" hidden="1" customHeight="1">
      <c r="A58" s="26" t="s">
        <v>29</v>
      </c>
      <c r="B58" s="26" t="s">
        <v>32</v>
      </c>
      <c r="C58" s="27" t="s">
        <v>109</v>
      </c>
      <c r="D58" s="26" t="s">
        <v>134</v>
      </c>
      <c r="E58" s="13" t="str">
        <f t="shared" si="2"/>
        <v>COHR,215-1-15,CJ,0</v>
      </c>
      <c r="F58" s="26"/>
      <c r="G58" s="13" t="s">
        <v>111</v>
      </c>
      <c r="H58" s="26" t="s">
        <v>75</v>
      </c>
      <c r="I58" s="26"/>
      <c r="J58" s="26"/>
      <c r="K58" s="28"/>
      <c r="L58" s="28"/>
      <c r="M58" s="16">
        <v>0.0</v>
      </c>
      <c r="N58" s="16">
        <v>0.0</v>
      </c>
      <c r="O58" s="17">
        <v>0.0</v>
      </c>
      <c r="P58" s="17">
        <v>0.0</v>
      </c>
      <c r="Q58" s="13"/>
      <c r="R58" s="13"/>
      <c r="S58" s="13"/>
      <c r="T58" s="13">
        <f t="shared" ref="T58:Y58" si="60">IF(ISBLANK(K58)=TRUE,0,1)</f>
        <v>0</v>
      </c>
      <c r="U58" s="13">
        <f t="shared" si="60"/>
        <v>0</v>
      </c>
      <c r="V58" s="13">
        <f t="shared" si="60"/>
        <v>1</v>
      </c>
      <c r="W58" s="13">
        <f t="shared" si="60"/>
        <v>1</v>
      </c>
      <c r="X58" s="13">
        <f t="shared" si="60"/>
        <v>1</v>
      </c>
      <c r="Y58" s="13">
        <f t="shared" si="60"/>
        <v>1</v>
      </c>
      <c r="Z58" s="13">
        <f t="shared" si="4"/>
        <v>0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ht="14.25" hidden="1" customHeight="1">
      <c r="A59" s="26" t="s">
        <v>29</v>
      </c>
      <c r="B59" s="26" t="s">
        <v>32</v>
      </c>
      <c r="C59" s="27" t="s">
        <v>109</v>
      </c>
      <c r="D59" s="26" t="s">
        <v>135</v>
      </c>
      <c r="E59" s="13" t="str">
        <f t="shared" si="2"/>
        <v>COHR,215-1-15,CK,0</v>
      </c>
      <c r="F59" s="26"/>
      <c r="G59" s="13" t="s">
        <v>111</v>
      </c>
      <c r="H59" s="26" t="s">
        <v>75</v>
      </c>
      <c r="I59" s="26"/>
      <c r="J59" s="26"/>
      <c r="K59" s="28"/>
      <c r="L59" s="28"/>
      <c r="M59" s="16">
        <v>0.0</v>
      </c>
      <c r="N59" s="16">
        <v>0.0</v>
      </c>
      <c r="O59" s="17">
        <v>0.0</v>
      </c>
      <c r="P59" s="17">
        <v>0.0</v>
      </c>
      <c r="Q59" s="13"/>
      <c r="R59" s="13"/>
      <c r="S59" s="13"/>
      <c r="T59" s="13">
        <f t="shared" ref="T59:Y59" si="61">IF(ISBLANK(K59)=TRUE,0,1)</f>
        <v>0</v>
      </c>
      <c r="U59" s="13">
        <f t="shared" si="61"/>
        <v>0</v>
      </c>
      <c r="V59" s="13">
        <f t="shared" si="61"/>
        <v>1</v>
      </c>
      <c r="W59" s="13">
        <f t="shared" si="61"/>
        <v>1</v>
      </c>
      <c r="X59" s="13">
        <f t="shared" si="61"/>
        <v>1</v>
      </c>
      <c r="Y59" s="13">
        <f t="shared" si="61"/>
        <v>1</v>
      </c>
      <c r="Z59" s="13">
        <f t="shared" si="4"/>
        <v>0</v>
      </c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ht="14.25" hidden="1" customHeight="1">
      <c r="A60" s="26" t="s">
        <v>29</v>
      </c>
      <c r="B60" s="26" t="s">
        <v>32</v>
      </c>
      <c r="C60" s="27" t="s">
        <v>109</v>
      </c>
      <c r="D60" s="26" t="s">
        <v>136</v>
      </c>
      <c r="E60" s="13" t="str">
        <f t="shared" si="2"/>
        <v>COHR,215-1-15,CL,0</v>
      </c>
      <c r="F60" s="26"/>
      <c r="G60" s="13" t="s">
        <v>111</v>
      </c>
      <c r="H60" s="26" t="s">
        <v>75</v>
      </c>
      <c r="I60" s="26"/>
      <c r="J60" s="26"/>
      <c r="K60" s="28"/>
      <c r="L60" s="28"/>
      <c r="M60" s="16">
        <v>0.0</v>
      </c>
      <c r="N60" s="16">
        <v>0.0</v>
      </c>
      <c r="O60" s="17">
        <v>0.0</v>
      </c>
      <c r="P60" s="17">
        <v>0.0</v>
      </c>
      <c r="Q60" s="13"/>
      <c r="R60" s="13"/>
      <c r="S60" s="13"/>
      <c r="T60" s="13">
        <f t="shared" ref="T60:Y60" si="62">IF(ISBLANK(K60)=TRUE,0,1)</f>
        <v>0</v>
      </c>
      <c r="U60" s="13">
        <f t="shared" si="62"/>
        <v>0</v>
      </c>
      <c r="V60" s="13">
        <f t="shared" si="62"/>
        <v>1</v>
      </c>
      <c r="W60" s="13">
        <f t="shared" si="62"/>
        <v>1</v>
      </c>
      <c r="X60" s="13">
        <f t="shared" si="62"/>
        <v>1</v>
      </c>
      <c r="Y60" s="13">
        <f t="shared" si="62"/>
        <v>1</v>
      </c>
      <c r="Z60" s="13">
        <f t="shared" si="4"/>
        <v>0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ht="14.25" hidden="1" customHeight="1">
      <c r="A61" s="26" t="s">
        <v>29</v>
      </c>
      <c r="B61" s="26" t="s">
        <v>32</v>
      </c>
      <c r="C61" s="27" t="s">
        <v>109</v>
      </c>
      <c r="D61" s="26" t="s">
        <v>137</v>
      </c>
      <c r="E61" s="13" t="str">
        <f t="shared" si="2"/>
        <v>COHR,215-1-15,CM,0</v>
      </c>
      <c r="F61" s="26"/>
      <c r="G61" s="13" t="s">
        <v>111</v>
      </c>
      <c r="H61" s="26" t="s">
        <v>75</v>
      </c>
      <c r="I61" s="26"/>
      <c r="J61" s="26"/>
      <c r="K61" s="28"/>
      <c r="L61" s="28"/>
      <c r="M61" s="16">
        <v>0.0</v>
      </c>
      <c r="N61" s="16">
        <v>0.0</v>
      </c>
      <c r="O61" s="17">
        <v>0.0</v>
      </c>
      <c r="P61" s="17">
        <v>0.0</v>
      </c>
      <c r="Q61" s="13"/>
      <c r="R61" s="13"/>
      <c r="S61" s="13"/>
      <c r="T61" s="13">
        <f t="shared" ref="T61:Y61" si="63">IF(ISBLANK(K61)=TRUE,0,1)</f>
        <v>0</v>
      </c>
      <c r="U61" s="13">
        <f t="shared" si="63"/>
        <v>0</v>
      </c>
      <c r="V61" s="13">
        <f t="shared" si="63"/>
        <v>1</v>
      </c>
      <c r="W61" s="13">
        <f t="shared" si="63"/>
        <v>1</v>
      </c>
      <c r="X61" s="13">
        <f t="shared" si="63"/>
        <v>1</v>
      </c>
      <c r="Y61" s="13">
        <f t="shared" si="63"/>
        <v>1</v>
      </c>
      <c r="Z61" s="13">
        <f t="shared" si="4"/>
        <v>0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ht="14.25" hidden="1" customHeight="1">
      <c r="A62" s="26" t="s">
        <v>29</v>
      </c>
      <c r="B62" s="26" t="s">
        <v>32</v>
      </c>
      <c r="C62" s="27" t="s">
        <v>109</v>
      </c>
      <c r="D62" s="26" t="s">
        <v>138</v>
      </c>
      <c r="E62" s="13" t="str">
        <f t="shared" si="2"/>
        <v>COHR,215-1-15,CN,0</v>
      </c>
      <c r="F62" s="26"/>
      <c r="G62" s="13" t="s">
        <v>111</v>
      </c>
      <c r="H62" s="26" t="s">
        <v>75</v>
      </c>
      <c r="I62" s="26"/>
      <c r="J62" s="26"/>
      <c r="K62" s="28"/>
      <c r="L62" s="28"/>
      <c r="M62" s="16">
        <v>0.0</v>
      </c>
      <c r="N62" s="16">
        <v>0.0</v>
      </c>
      <c r="O62" s="17">
        <v>0.0</v>
      </c>
      <c r="P62" s="17">
        <v>0.0</v>
      </c>
      <c r="Q62" s="13"/>
      <c r="R62" s="13"/>
      <c r="S62" s="13"/>
      <c r="T62" s="13">
        <f t="shared" ref="T62:Y62" si="64">IF(ISBLANK(K62)=TRUE,0,1)</f>
        <v>0</v>
      </c>
      <c r="U62" s="13">
        <f t="shared" si="64"/>
        <v>0</v>
      </c>
      <c r="V62" s="13">
        <f t="shared" si="64"/>
        <v>1</v>
      </c>
      <c r="W62" s="13">
        <f t="shared" si="64"/>
        <v>1</v>
      </c>
      <c r="X62" s="13">
        <f t="shared" si="64"/>
        <v>1</v>
      </c>
      <c r="Y62" s="13">
        <f t="shared" si="64"/>
        <v>1</v>
      </c>
      <c r="Z62" s="13">
        <f t="shared" si="4"/>
        <v>0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ht="14.25" hidden="1" customHeight="1">
      <c r="A63" s="26" t="s">
        <v>29</v>
      </c>
      <c r="B63" s="26" t="s">
        <v>32</v>
      </c>
      <c r="C63" s="27" t="s">
        <v>109</v>
      </c>
      <c r="D63" s="26" t="s">
        <v>139</v>
      </c>
      <c r="E63" s="13" t="str">
        <f t="shared" si="2"/>
        <v>COHR,215-1-15,CO,0</v>
      </c>
      <c r="F63" s="26"/>
      <c r="G63" s="13" t="s">
        <v>111</v>
      </c>
      <c r="H63" s="26" t="s">
        <v>75</v>
      </c>
      <c r="I63" s="26"/>
      <c r="J63" s="26"/>
      <c r="K63" s="28"/>
      <c r="L63" s="28"/>
      <c r="M63" s="16">
        <v>0.0</v>
      </c>
      <c r="N63" s="16">
        <v>0.0</v>
      </c>
      <c r="O63" s="17">
        <v>0.0</v>
      </c>
      <c r="P63" s="17">
        <v>0.0</v>
      </c>
      <c r="Q63" s="13"/>
      <c r="R63" s="13"/>
      <c r="S63" s="13"/>
      <c r="T63" s="13">
        <f t="shared" ref="T63:Y63" si="65">IF(ISBLANK(K63)=TRUE,0,1)</f>
        <v>0</v>
      </c>
      <c r="U63" s="13">
        <f t="shared" si="65"/>
        <v>0</v>
      </c>
      <c r="V63" s="13">
        <f t="shared" si="65"/>
        <v>1</v>
      </c>
      <c r="W63" s="13">
        <f t="shared" si="65"/>
        <v>1</v>
      </c>
      <c r="X63" s="13">
        <f t="shared" si="65"/>
        <v>1</v>
      </c>
      <c r="Y63" s="13">
        <f t="shared" si="65"/>
        <v>1</v>
      </c>
      <c r="Z63" s="13">
        <f t="shared" si="4"/>
        <v>0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ht="14.25" hidden="1" customHeight="1">
      <c r="A64" s="26" t="s">
        <v>29</v>
      </c>
      <c r="B64" s="26" t="s">
        <v>32</v>
      </c>
      <c r="C64" s="27" t="s">
        <v>109</v>
      </c>
      <c r="D64" s="26" t="s">
        <v>140</v>
      </c>
      <c r="E64" s="13" t="str">
        <f t="shared" si="2"/>
        <v>COHR,215-1-15,CP,0</v>
      </c>
      <c r="F64" s="26"/>
      <c r="G64" s="13" t="s">
        <v>111</v>
      </c>
      <c r="H64" s="26" t="s">
        <v>75</v>
      </c>
      <c r="I64" s="26"/>
      <c r="J64" s="26"/>
      <c r="K64" s="28"/>
      <c r="L64" s="28"/>
      <c r="M64" s="16">
        <v>0.0</v>
      </c>
      <c r="N64" s="16">
        <v>0.0</v>
      </c>
      <c r="O64" s="17">
        <v>0.0</v>
      </c>
      <c r="P64" s="17">
        <v>0.0</v>
      </c>
      <c r="Q64" s="13"/>
      <c r="R64" s="13"/>
      <c r="S64" s="13"/>
      <c r="T64" s="13">
        <f t="shared" ref="T64:Y64" si="66">IF(ISBLANK(K64)=TRUE,0,1)</f>
        <v>0</v>
      </c>
      <c r="U64" s="13">
        <f t="shared" si="66"/>
        <v>0</v>
      </c>
      <c r="V64" s="13">
        <f t="shared" si="66"/>
        <v>1</v>
      </c>
      <c r="W64" s="13">
        <f t="shared" si="66"/>
        <v>1</v>
      </c>
      <c r="X64" s="13">
        <f t="shared" si="66"/>
        <v>1</v>
      </c>
      <c r="Y64" s="13">
        <f t="shared" si="66"/>
        <v>1</v>
      </c>
      <c r="Z64" s="13">
        <f t="shared" si="4"/>
        <v>0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ht="14.25" hidden="1" customHeight="1">
      <c r="A65" s="26" t="s">
        <v>29</v>
      </c>
      <c r="B65" s="26" t="s">
        <v>32</v>
      </c>
      <c r="C65" s="27" t="s">
        <v>109</v>
      </c>
      <c r="D65" s="26" t="s">
        <v>141</v>
      </c>
      <c r="E65" s="13" t="str">
        <f t="shared" si="2"/>
        <v>COHR,215-1-15,CQ,0</v>
      </c>
      <c r="F65" s="26"/>
      <c r="G65" s="13" t="s">
        <v>111</v>
      </c>
      <c r="H65" s="26" t="s">
        <v>75</v>
      </c>
      <c r="I65" s="26"/>
      <c r="J65" s="26"/>
      <c r="K65" s="28"/>
      <c r="L65" s="28"/>
      <c r="M65" s="16">
        <v>0.0</v>
      </c>
      <c r="N65" s="16">
        <v>0.0</v>
      </c>
      <c r="O65" s="17">
        <v>0.0</v>
      </c>
      <c r="P65" s="17">
        <v>0.0</v>
      </c>
      <c r="Q65" s="13"/>
      <c r="R65" s="13"/>
      <c r="S65" s="13"/>
      <c r="T65" s="13">
        <f t="shared" ref="T65:Y65" si="67">IF(ISBLANK(K65)=TRUE,0,1)</f>
        <v>0</v>
      </c>
      <c r="U65" s="13">
        <f t="shared" si="67"/>
        <v>0</v>
      </c>
      <c r="V65" s="13">
        <f t="shared" si="67"/>
        <v>1</v>
      </c>
      <c r="W65" s="13">
        <f t="shared" si="67"/>
        <v>1</v>
      </c>
      <c r="X65" s="13">
        <f t="shared" si="67"/>
        <v>1</v>
      </c>
      <c r="Y65" s="13">
        <f t="shared" si="67"/>
        <v>1</v>
      </c>
      <c r="Z65" s="13">
        <f t="shared" si="4"/>
        <v>0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66" ht="14.25" hidden="1" customHeight="1">
      <c r="A66" s="26" t="s">
        <v>29</v>
      </c>
      <c r="B66" s="26" t="s">
        <v>32</v>
      </c>
      <c r="C66" s="27" t="s">
        <v>109</v>
      </c>
      <c r="D66" s="26" t="s">
        <v>142</v>
      </c>
      <c r="E66" s="13" t="str">
        <f t="shared" si="2"/>
        <v>COHR,215-1-15,CR,0</v>
      </c>
      <c r="F66" s="26"/>
      <c r="G66" s="13" t="s">
        <v>111</v>
      </c>
      <c r="H66" s="26" t="s">
        <v>75</v>
      </c>
      <c r="I66" s="26"/>
      <c r="J66" s="26"/>
      <c r="K66" s="28"/>
      <c r="L66" s="28"/>
      <c r="M66" s="16">
        <v>0.0</v>
      </c>
      <c r="N66" s="16">
        <v>0.0</v>
      </c>
      <c r="O66" s="17">
        <v>0.0</v>
      </c>
      <c r="P66" s="17">
        <v>0.0</v>
      </c>
      <c r="Q66" s="13"/>
      <c r="R66" s="13"/>
      <c r="S66" s="13"/>
      <c r="T66" s="13">
        <f t="shared" ref="T66:Y66" si="68">IF(ISBLANK(K66)=TRUE,0,1)</f>
        <v>0</v>
      </c>
      <c r="U66" s="13">
        <f t="shared" si="68"/>
        <v>0</v>
      </c>
      <c r="V66" s="13">
        <f t="shared" si="68"/>
        <v>1</v>
      </c>
      <c r="W66" s="13">
        <f t="shared" si="68"/>
        <v>1</v>
      </c>
      <c r="X66" s="13">
        <f t="shared" si="68"/>
        <v>1</v>
      </c>
      <c r="Y66" s="13">
        <f t="shared" si="68"/>
        <v>1</v>
      </c>
      <c r="Z66" s="13">
        <f t="shared" si="4"/>
        <v>0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</row>
    <row r="67" ht="14.25" hidden="1" customHeight="1">
      <c r="A67" s="26" t="s">
        <v>29</v>
      </c>
      <c r="B67" s="26" t="s">
        <v>32</v>
      </c>
      <c r="C67" s="27" t="s">
        <v>109</v>
      </c>
      <c r="D67" s="26" t="s">
        <v>143</v>
      </c>
      <c r="E67" s="13" t="str">
        <f t="shared" si="2"/>
        <v>COHR,215-1-15,CS,0</v>
      </c>
      <c r="F67" s="26"/>
      <c r="G67" s="13" t="s">
        <v>111</v>
      </c>
      <c r="H67" s="26" t="s">
        <v>75</v>
      </c>
      <c r="I67" s="26"/>
      <c r="J67" s="26"/>
      <c r="K67" s="28"/>
      <c r="L67" s="28"/>
      <c r="M67" s="16">
        <v>0.0</v>
      </c>
      <c r="N67" s="16">
        <v>0.0</v>
      </c>
      <c r="O67" s="17">
        <v>0.0</v>
      </c>
      <c r="P67" s="17">
        <v>0.0</v>
      </c>
      <c r="Q67" s="13"/>
      <c r="R67" s="13"/>
      <c r="S67" s="13"/>
      <c r="T67" s="13">
        <f t="shared" ref="T67:Y67" si="69">IF(ISBLANK(K67)=TRUE,0,1)</f>
        <v>0</v>
      </c>
      <c r="U67" s="13">
        <f t="shared" si="69"/>
        <v>0</v>
      </c>
      <c r="V67" s="13">
        <f t="shared" si="69"/>
        <v>1</v>
      </c>
      <c r="W67" s="13">
        <f t="shared" si="69"/>
        <v>1</v>
      </c>
      <c r="X67" s="13">
        <f t="shared" si="69"/>
        <v>1</v>
      </c>
      <c r="Y67" s="13">
        <f t="shared" si="69"/>
        <v>1</v>
      </c>
      <c r="Z67" s="13">
        <f t="shared" si="4"/>
        <v>0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</row>
    <row r="68" ht="14.25" hidden="1" customHeight="1">
      <c r="A68" s="26" t="s">
        <v>29</v>
      </c>
      <c r="B68" s="26" t="s">
        <v>32</v>
      </c>
      <c r="C68" s="27" t="s">
        <v>109</v>
      </c>
      <c r="D68" s="26" t="s">
        <v>144</v>
      </c>
      <c r="E68" s="13" t="str">
        <f t="shared" si="2"/>
        <v>COHR,215-1-15,CT,0</v>
      </c>
      <c r="F68" s="26"/>
      <c r="G68" s="13" t="s">
        <v>111</v>
      </c>
      <c r="H68" s="26" t="s">
        <v>75</v>
      </c>
      <c r="I68" s="26"/>
      <c r="J68" s="26"/>
      <c r="K68" s="28"/>
      <c r="L68" s="28"/>
      <c r="M68" s="16">
        <v>0.0</v>
      </c>
      <c r="N68" s="16">
        <v>0.0</v>
      </c>
      <c r="O68" s="17">
        <v>0.0</v>
      </c>
      <c r="P68" s="17">
        <v>0.0</v>
      </c>
      <c r="Q68" s="13"/>
      <c r="R68" s="13"/>
      <c r="S68" s="13"/>
      <c r="T68" s="13">
        <f t="shared" ref="T68:Y68" si="70">IF(ISBLANK(K68)=TRUE,0,1)</f>
        <v>0</v>
      </c>
      <c r="U68" s="13">
        <f t="shared" si="70"/>
        <v>0</v>
      </c>
      <c r="V68" s="13">
        <f t="shared" si="70"/>
        <v>1</v>
      </c>
      <c r="W68" s="13">
        <f t="shared" si="70"/>
        <v>1</v>
      </c>
      <c r="X68" s="13">
        <f t="shared" si="70"/>
        <v>1</v>
      </c>
      <c r="Y68" s="13">
        <f t="shared" si="70"/>
        <v>1</v>
      </c>
      <c r="Z68" s="13">
        <f t="shared" si="4"/>
        <v>0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</row>
    <row r="69" ht="14.25" hidden="1" customHeight="1">
      <c r="A69" s="26" t="s">
        <v>29</v>
      </c>
      <c r="B69" s="26" t="s">
        <v>32</v>
      </c>
      <c r="C69" s="27" t="s">
        <v>109</v>
      </c>
      <c r="D69" s="26" t="s">
        <v>145</v>
      </c>
      <c r="E69" s="13" t="str">
        <f t="shared" si="2"/>
        <v>COHR,215-1-15,CU,0</v>
      </c>
      <c r="F69" s="26"/>
      <c r="G69" s="13" t="s">
        <v>111</v>
      </c>
      <c r="H69" s="26" t="s">
        <v>75</v>
      </c>
      <c r="I69" s="26"/>
      <c r="J69" s="26"/>
      <c r="K69" s="28"/>
      <c r="L69" s="28"/>
      <c r="M69" s="16">
        <v>0.0</v>
      </c>
      <c r="N69" s="16">
        <v>0.0</v>
      </c>
      <c r="O69" s="17">
        <v>0.0</v>
      </c>
      <c r="P69" s="17">
        <v>0.0</v>
      </c>
      <c r="Q69" s="13"/>
      <c r="R69" s="13"/>
      <c r="S69" s="13"/>
      <c r="T69" s="13">
        <f t="shared" ref="T69:Y69" si="71">IF(ISBLANK(K69)=TRUE,0,1)</f>
        <v>0</v>
      </c>
      <c r="U69" s="13">
        <f t="shared" si="71"/>
        <v>0</v>
      </c>
      <c r="V69" s="13">
        <f t="shared" si="71"/>
        <v>1</v>
      </c>
      <c r="W69" s="13">
        <f t="shared" si="71"/>
        <v>1</v>
      </c>
      <c r="X69" s="13">
        <f t="shared" si="71"/>
        <v>1</v>
      </c>
      <c r="Y69" s="13">
        <f t="shared" si="71"/>
        <v>1</v>
      </c>
      <c r="Z69" s="13">
        <f t="shared" si="4"/>
        <v>0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</row>
    <row r="70" ht="14.25" hidden="1" customHeight="1">
      <c r="A70" s="26" t="s">
        <v>29</v>
      </c>
      <c r="B70" s="26" t="s">
        <v>32</v>
      </c>
      <c r="C70" s="27" t="s">
        <v>109</v>
      </c>
      <c r="D70" s="26" t="s">
        <v>146</v>
      </c>
      <c r="E70" s="13" t="str">
        <f t="shared" si="2"/>
        <v>COHR,215-1-15,CV,0</v>
      </c>
      <c r="F70" s="26"/>
      <c r="G70" s="13" t="s">
        <v>111</v>
      </c>
      <c r="H70" s="26" t="s">
        <v>75</v>
      </c>
      <c r="I70" s="26"/>
      <c r="J70" s="26"/>
      <c r="K70" s="28"/>
      <c r="L70" s="28"/>
      <c r="M70" s="16">
        <v>0.0</v>
      </c>
      <c r="N70" s="16">
        <v>0.0</v>
      </c>
      <c r="O70" s="17">
        <v>0.0</v>
      </c>
      <c r="P70" s="17">
        <v>0.0</v>
      </c>
      <c r="Q70" s="13"/>
      <c r="R70" s="13"/>
      <c r="S70" s="13"/>
      <c r="T70" s="13">
        <f t="shared" ref="T70:Y70" si="72">IF(ISBLANK(K70)=TRUE,0,1)</f>
        <v>0</v>
      </c>
      <c r="U70" s="13">
        <f t="shared" si="72"/>
        <v>0</v>
      </c>
      <c r="V70" s="13">
        <f t="shared" si="72"/>
        <v>1</v>
      </c>
      <c r="W70" s="13">
        <f t="shared" si="72"/>
        <v>1</v>
      </c>
      <c r="X70" s="13">
        <f t="shared" si="72"/>
        <v>1</v>
      </c>
      <c r="Y70" s="13">
        <f t="shared" si="72"/>
        <v>1</v>
      </c>
      <c r="Z70" s="13">
        <f t="shared" si="4"/>
        <v>0</v>
      </c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</row>
    <row r="71" ht="14.25" hidden="1" customHeight="1">
      <c r="A71" s="26" t="s">
        <v>29</v>
      </c>
      <c r="B71" s="26" t="s">
        <v>32</v>
      </c>
      <c r="C71" s="27" t="s">
        <v>109</v>
      </c>
      <c r="D71" s="26" t="s">
        <v>147</v>
      </c>
      <c r="E71" s="13" t="str">
        <f t="shared" si="2"/>
        <v>COHR,215-1-15,CW,0</v>
      </c>
      <c r="F71" s="26"/>
      <c r="G71" s="13" t="s">
        <v>111</v>
      </c>
      <c r="H71" s="26" t="s">
        <v>75</v>
      </c>
      <c r="I71" s="26"/>
      <c r="J71" s="26"/>
      <c r="K71" s="28"/>
      <c r="L71" s="28"/>
      <c r="M71" s="16">
        <v>0.0</v>
      </c>
      <c r="N71" s="16">
        <v>0.0</v>
      </c>
      <c r="O71" s="17">
        <v>0.0</v>
      </c>
      <c r="P71" s="17">
        <v>0.0</v>
      </c>
      <c r="Q71" s="13"/>
      <c r="R71" s="13"/>
      <c r="S71" s="13"/>
      <c r="T71" s="13">
        <f t="shared" ref="T71:Y71" si="73">IF(ISBLANK(K71)=TRUE,0,1)</f>
        <v>0</v>
      </c>
      <c r="U71" s="13">
        <f t="shared" si="73"/>
        <v>0</v>
      </c>
      <c r="V71" s="13">
        <f t="shared" si="73"/>
        <v>1</v>
      </c>
      <c r="W71" s="13">
        <f t="shared" si="73"/>
        <v>1</v>
      </c>
      <c r="X71" s="13">
        <f t="shared" si="73"/>
        <v>1</v>
      </c>
      <c r="Y71" s="13">
        <f t="shared" si="73"/>
        <v>1</v>
      </c>
      <c r="Z71" s="13">
        <f t="shared" si="4"/>
        <v>0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</row>
    <row r="72" ht="14.25" hidden="1" customHeight="1">
      <c r="A72" s="26" t="s">
        <v>29</v>
      </c>
      <c r="B72" s="26" t="s">
        <v>32</v>
      </c>
      <c r="C72" s="27" t="s">
        <v>109</v>
      </c>
      <c r="D72" s="26" t="s">
        <v>148</v>
      </c>
      <c r="E72" s="13" t="str">
        <f t="shared" si="2"/>
        <v>COHR,215-1-15,CX,0</v>
      </c>
      <c r="F72" s="26"/>
      <c r="G72" s="13" t="s">
        <v>111</v>
      </c>
      <c r="H72" s="26" t="s">
        <v>75</v>
      </c>
      <c r="I72" s="26"/>
      <c r="J72" s="26"/>
      <c r="K72" s="28"/>
      <c r="L72" s="28"/>
      <c r="M72" s="16">
        <v>0.0</v>
      </c>
      <c r="N72" s="16">
        <v>0.0</v>
      </c>
      <c r="O72" s="17">
        <v>0.0</v>
      </c>
      <c r="P72" s="17">
        <v>0.0</v>
      </c>
      <c r="Q72" s="13"/>
      <c r="R72" s="13"/>
      <c r="S72" s="13"/>
      <c r="T72" s="13">
        <f t="shared" ref="T72:Y72" si="74">IF(ISBLANK(K72)=TRUE,0,1)</f>
        <v>0</v>
      </c>
      <c r="U72" s="13">
        <f t="shared" si="74"/>
        <v>0</v>
      </c>
      <c r="V72" s="13">
        <f t="shared" si="74"/>
        <v>1</v>
      </c>
      <c r="W72" s="13">
        <f t="shared" si="74"/>
        <v>1</v>
      </c>
      <c r="X72" s="13">
        <f t="shared" si="74"/>
        <v>1</v>
      </c>
      <c r="Y72" s="13">
        <f t="shared" si="74"/>
        <v>1</v>
      </c>
      <c r="Z72" s="13">
        <f t="shared" si="4"/>
        <v>0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</row>
    <row r="73" ht="14.25" hidden="1" customHeight="1">
      <c r="A73" s="26" t="s">
        <v>29</v>
      </c>
      <c r="B73" s="26" t="s">
        <v>32</v>
      </c>
      <c r="C73" s="27" t="s">
        <v>109</v>
      </c>
      <c r="D73" s="26" t="s">
        <v>149</v>
      </c>
      <c r="E73" s="13" t="str">
        <f t="shared" si="2"/>
        <v>COHR,215-1-15,CY,0</v>
      </c>
      <c r="F73" s="26"/>
      <c r="G73" s="13" t="s">
        <v>111</v>
      </c>
      <c r="H73" s="26" t="s">
        <v>75</v>
      </c>
      <c r="I73" s="26"/>
      <c r="J73" s="26"/>
      <c r="K73" s="28"/>
      <c r="L73" s="28"/>
      <c r="M73" s="16">
        <v>0.0</v>
      </c>
      <c r="N73" s="16">
        <v>0.0</v>
      </c>
      <c r="O73" s="17">
        <v>0.0</v>
      </c>
      <c r="P73" s="17">
        <v>0.0</v>
      </c>
      <c r="Q73" s="13"/>
      <c r="R73" s="13"/>
      <c r="S73" s="13"/>
      <c r="T73" s="13">
        <f t="shared" ref="T73:Y73" si="75">IF(ISBLANK(K73)=TRUE,0,1)</f>
        <v>0</v>
      </c>
      <c r="U73" s="13">
        <f t="shared" si="75"/>
        <v>0</v>
      </c>
      <c r="V73" s="13">
        <f t="shared" si="75"/>
        <v>1</v>
      </c>
      <c r="W73" s="13">
        <f t="shared" si="75"/>
        <v>1</v>
      </c>
      <c r="X73" s="13">
        <f t="shared" si="75"/>
        <v>1</v>
      </c>
      <c r="Y73" s="13">
        <f t="shared" si="75"/>
        <v>1</v>
      </c>
      <c r="Z73" s="13">
        <f t="shared" si="4"/>
        <v>0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</row>
    <row r="74" ht="14.25" hidden="1" customHeight="1">
      <c r="A74" s="26" t="s">
        <v>29</v>
      </c>
      <c r="B74" s="26" t="s">
        <v>32</v>
      </c>
      <c r="C74" s="27" t="s">
        <v>109</v>
      </c>
      <c r="D74" s="26" t="s">
        <v>150</v>
      </c>
      <c r="E74" s="13" t="str">
        <f t="shared" si="2"/>
        <v>COHR,215-1-15,CZ,0</v>
      </c>
      <c r="F74" s="26"/>
      <c r="G74" s="13" t="s">
        <v>111</v>
      </c>
      <c r="H74" s="26" t="s">
        <v>75</v>
      </c>
      <c r="I74" s="26"/>
      <c r="J74" s="26"/>
      <c r="K74" s="28"/>
      <c r="L74" s="28"/>
      <c r="M74" s="16">
        <v>0.0</v>
      </c>
      <c r="N74" s="16">
        <v>0.0</v>
      </c>
      <c r="O74" s="17">
        <v>0.0</v>
      </c>
      <c r="P74" s="17">
        <v>0.0</v>
      </c>
      <c r="Q74" s="13"/>
      <c r="R74" s="13"/>
      <c r="S74" s="13"/>
      <c r="T74" s="13">
        <f t="shared" ref="T74:Y74" si="76">IF(ISBLANK(K74)=TRUE,0,1)</f>
        <v>0</v>
      </c>
      <c r="U74" s="13">
        <f t="shared" si="76"/>
        <v>0</v>
      </c>
      <c r="V74" s="13">
        <f t="shared" si="76"/>
        <v>1</v>
      </c>
      <c r="W74" s="13">
        <f t="shared" si="76"/>
        <v>1</v>
      </c>
      <c r="X74" s="13">
        <f t="shared" si="76"/>
        <v>1</v>
      </c>
      <c r="Y74" s="13">
        <f t="shared" si="76"/>
        <v>1</v>
      </c>
      <c r="Z74" s="13">
        <f t="shared" si="4"/>
        <v>0</v>
      </c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</row>
    <row r="75" ht="14.25" hidden="1" customHeight="1">
      <c r="A75" s="26" t="s">
        <v>29</v>
      </c>
      <c r="B75" s="26" t="s">
        <v>32</v>
      </c>
      <c r="C75" s="27" t="s">
        <v>109</v>
      </c>
      <c r="D75" s="26" t="s">
        <v>151</v>
      </c>
      <c r="E75" s="13" t="str">
        <f t="shared" si="2"/>
        <v>COHR,215-1-15,DA,0</v>
      </c>
      <c r="F75" s="26"/>
      <c r="G75" s="13" t="s">
        <v>111</v>
      </c>
      <c r="H75" s="26" t="s">
        <v>75</v>
      </c>
      <c r="I75" s="26"/>
      <c r="J75" s="26"/>
      <c r="K75" s="28"/>
      <c r="L75" s="28"/>
      <c r="M75" s="16">
        <v>0.0</v>
      </c>
      <c r="N75" s="16">
        <v>0.0</v>
      </c>
      <c r="O75" s="17">
        <v>0.0</v>
      </c>
      <c r="P75" s="17">
        <v>0.0</v>
      </c>
      <c r="Q75" s="13"/>
      <c r="R75" s="13"/>
      <c r="S75" s="13"/>
      <c r="T75" s="13">
        <f t="shared" ref="T75:Y75" si="77">IF(ISBLANK(K75)=TRUE,0,1)</f>
        <v>0</v>
      </c>
      <c r="U75" s="13">
        <f t="shared" si="77"/>
        <v>0</v>
      </c>
      <c r="V75" s="13">
        <f t="shared" si="77"/>
        <v>1</v>
      </c>
      <c r="W75" s="13">
        <f t="shared" si="77"/>
        <v>1</v>
      </c>
      <c r="X75" s="13">
        <f t="shared" si="77"/>
        <v>1</v>
      </c>
      <c r="Y75" s="13">
        <f t="shared" si="77"/>
        <v>1</v>
      </c>
      <c r="Z75" s="13">
        <f t="shared" si="4"/>
        <v>0</v>
      </c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</row>
    <row r="76" ht="14.25" hidden="1" customHeight="1">
      <c r="A76" s="26" t="s">
        <v>29</v>
      </c>
      <c r="B76" s="26" t="s">
        <v>32</v>
      </c>
      <c r="C76" s="27" t="s">
        <v>109</v>
      </c>
      <c r="D76" s="26" t="s">
        <v>152</v>
      </c>
      <c r="E76" s="13" t="str">
        <f t="shared" si="2"/>
        <v>COHR,215-1-15,DB,0</v>
      </c>
      <c r="F76" s="26"/>
      <c r="G76" s="13" t="s">
        <v>111</v>
      </c>
      <c r="H76" s="26" t="s">
        <v>75</v>
      </c>
      <c r="I76" s="26"/>
      <c r="J76" s="26"/>
      <c r="K76" s="28"/>
      <c r="L76" s="28"/>
      <c r="M76" s="16">
        <v>0.0</v>
      </c>
      <c r="N76" s="16">
        <v>0.0</v>
      </c>
      <c r="O76" s="17">
        <v>0.0</v>
      </c>
      <c r="P76" s="17">
        <v>0.0</v>
      </c>
      <c r="Q76" s="13"/>
      <c r="R76" s="13"/>
      <c r="S76" s="13"/>
      <c r="T76" s="13">
        <f t="shared" ref="T76:Y76" si="78">IF(ISBLANK(K76)=TRUE,0,1)</f>
        <v>0</v>
      </c>
      <c r="U76" s="13">
        <f t="shared" si="78"/>
        <v>0</v>
      </c>
      <c r="V76" s="13">
        <f t="shared" si="78"/>
        <v>1</v>
      </c>
      <c r="W76" s="13">
        <f t="shared" si="78"/>
        <v>1</v>
      </c>
      <c r="X76" s="13">
        <f t="shared" si="78"/>
        <v>1</v>
      </c>
      <c r="Y76" s="13">
        <f t="shared" si="78"/>
        <v>1</v>
      </c>
      <c r="Z76" s="13">
        <f t="shared" si="4"/>
        <v>0</v>
      </c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</row>
    <row r="77" ht="14.25" hidden="1" customHeight="1">
      <c r="A77" s="26" t="s">
        <v>29</v>
      </c>
      <c r="B77" s="26" t="s">
        <v>32</v>
      </c>
      <c r="C77" s="27" t="s">
        <v>109</v>
      </c>
      <c r="D77" s="26" t="s">
        <v>153</v>
      </c>
      <c r="E77" s="13" t="str">
        <f t="shared" si="2"/>
        <v>COHR,215-1-15,DC,0</v>
      </c>
      <c r="F77" s="26"/>
      <c r="G77" s="13" t="s">
        <v>111</v>
      </c>
      <c r="H77" s="26" t="s">
        <v>75</v>
      </c>
      <c r="I77" s="26"/>
      <c r="J77" s="26"/>
      <c r="K77" s="28"/>
      <c r="L77" s="28"/>
      <c r="M77" s="16">
        <v>0.0</v>
      </c>
      <c r="N77" s="16">
        <v>0.0</v>
      </c>
      <c r="O77" s="17">
        <v>0.0</v>
      </c>
      <c r="P77" s="17">
        <v>0.0</v>
      </c>
      <c r="Q77" s="13"/>
      <c r="R77" s="13"/>
      <c r="S77" s="13"/>
      <c r="T77" s="13">
        <f t="shared" ref="T77:Y77" si="79">IF(ISBLANK(K77)=TRUE,0,1)</f>
        <v>0</v>
      </c>
      <c r="U77" s="13">
        <f t="shared" si="79"/>
        <v>0</v>
      </c>
      <c r="V77" s="13">
        <f t="shared" si="79"/>
        <v>1</v>
      </c>
      <c r="W77" s="13">
        <f t="shared" si="79"/>
        <v>1</v>
      </c>
      <c r="X77" s="13">
        <f t="shared" si="79"/>
        <v>1</v>
      </c>
      <c r="Y77" s="13">
        <f t="shared" si="79"/>
        <v>1</v>
      </c>
      <c r="Z77" s="13">
        <f t="shared" si="4"/>
        <v>0</v>
      </c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</row>
    <row r="78" ht="14.25" hidden="1" customHeight="1">
      <c r="A78" s="26" t="s">
        <v>29</v>
      </c>
      <c r="B78" s="26" t="s">
        <v>32</v>
      </c>
      <c r="C78" s="27" t="s">
        <v>109</v>
      </c>
      <c r="D78" s="26" t="s">
        <v>154</v>
      </c>
      <c r="E78" s="13" t="str">
        <f t="shared" si="2"/>
        <v>COHR,215-1-15,DD,0</v>
      </c>
      <c r="F78" s="26"/>
      <c r="G78" s="13" t="s">
        <v>111</v>
      </c>
      <c r="H78" s="26" t="s">
        <v>75</v>
      </c>
      <c r="I78" s="26"/>
      <c r="J78" s="26"/>
      <c r="K78" s="28"/>
      <c r="L78" s="28"/>
      <c r="M78" s="16">
        <v>0.0</v>
      </c>
      <c r="N78" s="16">
        <v>0.0</v>
      </c>
      <c r="O78" s="17">
        <v>0.0</v>
      </c>
      <c r="P78" s="17">
        <v>0.0</v>
      </c>
      <c r="Q78" s="13"/>
      <c r="R78" s="13"/>
      <c r="S78" s="13"/>
      <c r="T78" s="13">
        <f t="shared" ref="T78:Y78" si="80">IF(ISBLANK(K78)=TRUE,0,1)</f>
        <v>0</v>
      </c>
      <c r="U78" s="13">
        <f t="shared" si="80"/>
        <v>0</v>
      </c>
      <c r="V78" s="13">
        <f t="shared" si="80"/>
        <v>1</v>
      </c>
      <c r="W78" s="13">
        <f t="shared" si="80"/>
        <v>1</v>
      </c>
      <c r="X78" s="13">
        <f t="shared" si="80"/>
        <v>1</v>
      </c>
      <c r="Y78" s="13">
        <f t="shared" si="80"/>
        <v>1</v>
      </c>
      <c r="Z78" s="13">
        <f t="shared" si="4"/>
        <v>0</v>
      </c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</row>
    <row r="79" ht="14.25" hidden="1" customHeight="1">
      <c r="A79" s="26" t="s">
        <v>29</v>
      </c>
      <c r="B79" s="26" t="s">
        <v>32</v>
      </c>
      <c r="C79" s="27" t="s">
        <v>109</v>
      </c>
      <c r="D79" s="26" t="s">
        <v>155</v>
      </c>
      <c r="E79" s="13" t="str">
        <f t="shared" si="2"/>
        <v>COHR,215-1-15,DE,0</v>
      </c>
      <c r="F79" s="26"/>
      <c r="G79" s="13" t="s">
        <v>111</v>
      </c>
      <c r="H79" s="26" t="s">
        <v>75</v>
      </c>
      <c r="I79" s="26"/>
      <c r="J79" s="26"/>
      <c r="K79" s="28"/>
      <c r="L79" s="28"/>
      <c r="M79" s="16">
        <v>0.0</v>
      </c>
      <c r="N79" s="16">
        <v>0.0</v>
      </c>
      <c r="O79" s="17">
        <v>0.0</v>
      </c>
      <c r="P79" s="17">
        <v>0.0</v>
      </c>
      <c r="Q79" s="13"/>
      <c r="R79" s="13"/>
      <c r="S79" s="13"/>
      <c r="T79" s="13">
        <f t="shared" ref="T79:Y79" si="81">IF(ISBLANK(K79)=TRUE,0,1)</f>
        <v>0</v>
      </c>
      <c r="U79" s="13">
        <f t="shared" si="81"/>
        <v>0</v>
      </c>
      <c r="V79" s="13">
        <f t="shared" si="81"/>
        <v>1</v>
      </c>
      <c r="W79" s="13">
        <f t="shared" si="81"/>
        <v>1</v>
      </c>
      <c r="X79" s="13">
        <f t="shared" si="81"/>
        <v>1</v>
      </c>
      <c r="Y79" s="13">
        <f t="shared" si="81"/>
        <v>1</v>
      </c>
      <c r="Z79" s="13">
        <f t="shared" si="4"/>
        <v>0</v>
      </c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</row>
    <row r="80" ht="14.25" hidden="1" customHeight="1">
      <c r="A80" s="26" t="s">
        <v>29</v>
      </c>
      <c r="B80" s="26" t="s">
        <v>32</v>
      </c>
      <c r="C80" s="27" t="s">
        <v>109</v>
      </c>
      <c r="D80" s="26" t="s">
        <v>156</v>
      </c>
      <c r="E80" s="13" t="str">
        <f t="shared" si="2"/>
        <v>COHR,215-1-15,DF,0</v>
      </c>
      <c r="F80" s="26"/>
      <c r="G80" s="13" t="s">
        <v>111</v>
      </c>
      <c r="H80" s="26" t="s">
        <v>75</v>
      </c>
      <c r="I80" s="26"/>
      <c r="J80" s="26"/>
      <c r="K80" s="28"/>
      <c r="L80" s="28"/>
      <c r="M80" s="16">
        <v>0.0</v>
      </c>
      <c r="N80" s="16">
        <v>0.0</v>
      </c>
      <c r="O80" s="17">
        <v>0.0</v>
      </c>
      <c r="P80" s="17">
        <v>0.0</v>
      </c>
      <c r="Q80" s="13"/>
      <c r="R80" s="13"/>
      <c r="S80" s="13"/>
      <c r="T80" s="13">
        <f t="shared" ref="T80:Y80" si="82">IF(ISBLANK(K80)=TRUE,0,1)</f>
        <v>0</v>
      </c>
      <c r="U80" s="13">
        <f t="shared" si="82"/>
        <v>0</v>
      </c>
      <c r="V80" s="13">
        <f t="shared" si="82"/>
        <v>1</v>
      </c>
      <c r="W80" s="13">
        <f t="shared" si="82"/>
        <v>1</v>
      </c>
      <c r="X80" s="13">
        <f t="shared" si="82"/>
        <v>1</v>
      </c>
      <c r="Y80" s="13">
        <f t="shared" si="82"/>
        <v>1</v>
      </c>
      <c r="Z80" s="13">
        <f t="shared" si="4"/>
        <v>0</v>
      </c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</row>
    <row r="81" ht="14.25" hidden="1" customHeight="1">
      <c r="A81" s="26" t="s">
        <v>29</v>
      </c>
      <c r="B81" s="26" t="s">
        <v>32</v>
      </c>
      <c r="C81" s="27" t="s">
        <v>109</v>
      </c>
      <c r="D81" s="26" t="s">
        <v>157</v>
      </c>
      <c r="E81" s="13" t="str">
        <f t="shared" si="2"/>
        <v>COHR,215-1-15,DG,0</v>
      </c>
      <c r="F81" s="26"/>
      <c r="G81" s="13" t="s">
        <v>111</v>
      </c>
      <c r="H81" s="26" t="s">
        <v>75</v>
      </c>
      <c r="I81" s="26"/>
      <c r="J81" s="26"/>
      <c r="K81" s="28"/>
      <c r="L81" s="28"/>
      <c r="M81" s="16">
        <v>0.0</v>
      </c>
      <c r="N81" s="16">
        <v>0.0</v>
      </c>
      <c r="O81" s="17">
        <v>0.0</v>
      </c>
      <c r="P81" s="17">
        <v>0.0</v>
      </c>
      <c r="Q81" s="13"/>
      <c r="R81" s="13"/>
      <c r="S81" s="13"/>
      <c r="T81" s="13">
        <f t="shared" ref="T81:Y81" si="83">IF(ISBLANK(K81)=TRUE,0,1)</f>
        <v>0</v>
      </c>
      <c r="U81" s="13">
        <f t="shared" si="83"/>
        <v>0</v>
      </c>
      <c r="V81" s="13">
        <f t="shared" si="83"/>
        <v>1</v>
      </c>
      <c r="W81" s="13">
        <f t="shared" si="83"/>
        <v>1</v>
      </c>
      <c r="X81" s="13">
        <f t="shared" si="83"/>
        <v>1</v>
      </c>
      <c r="Y81" s="13">
        <f t="shared" si="83"/>
        <v>1</v>
      </c>
      <c r="Z81" s="13">
        <f t="shared" si="4"/>
        <v>0</v>
      </c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</row>
    <row r="82" ht="14.25" hidden="1" customHeight="1">
      <c r="A82" s="26" t="s">
        <v>29</v>
      </c>
      <c r="B82" s="26" t="s">
        <v>32</v>
      </c>
      <c r="C82" s="27" t="s">
        <v>109</v>
      </c>
      <c r="D82" s="26" t="s">
        <v>158</v>
      </c>
      <c r="E82" s="13" t="str">
        <f t="shared" si="2"/>
        <v>COHR,215-1-15,DH,0</v>
      </c>
      <c r="F82" s="26"/>
      <c r="G82" s="13" t="s">
        <v>111</v>
      </c>
      <c r="H82" s="26" t="s">
        <v>75</v>
      </c>
      <c r="I82" s="26"/>
      <c r="J82" s="26"/>
      <c r="K82" s="28"/>
      <c r="L82" s="28"/>
      <c r="M82" s="16">
        <v>0.0</v>
      </c>
      <c r="N82" s="16">
        <v>0.0</v>
      </c>
      <c r="O82" s="17">
        <v>0.0</v>
      </c>
      <c r="P82" s="17">
        <v>0.0</v>
      </c>
      <c r="Q82" s="13"/>
      <c r="R82" s="13"/>
      <c r="S82" s="13"/>
      <c r="T82" s="13">
        <f t="shared" ref="T82:Y82" si="84">IF(ISBLANK(K82)=TRUE,0,1)</f>
        <v>0</v>
      </c>
      <c r="U82" s="13">
        <f t="shared" si="84"/>
        <v>0</v>
      </c>
      <c r="V82" s="13">
        <f t="shared" si="84"/>
        <v>1</v>
      </c>
      <c r="W82" s="13">
        <f t="shared" si="84"/>
        <v>1</v>
      </c>
      <c r="X82" s="13">
        <f t="shared" si="84"/>
        <v>1</v>
      </c>
      <c r="Y82" s="13">
        <f t="shared" si="84"/>
        <v>1</v>
      </c>
      <c r="Z82" s="13">
        <f t="shared" si="4"/>
        <v>0</v>
      </c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</row>
    <row r="83" ht="14.25" hidden="1" customHeight="1">
      <c r="A83" s="26" t="s">
        <v>29</v>
      </c>
      <c r="B83" s="26" t="s">
        <v>32</v>
      </c>
      <c r="C83" s="27" t="s">
        <v>109</v>
      </c>
      <c r="D83" s="26" t="s">
        <v>159</v>
      </c>
      <c r="E83" s="13" t="str">
        <f t="shared" si="2"/>
        <v>COHR,215-1-15,DI,0</v>
      </c>
      <c r="F83" s="26"/>
      <c r="G83" s="13" t="s">
        <v>111</v>
      </c>
      <c r="H83" s="26" t="s">
        <v>75</v>
      </c>
      <c r="I83" s="26"/>
      <c r="J83" s="26"/>
      <c r="K83" s="28"/>
      <c r="L83" s="28"/>
      <c r="M83" s="16">
        <v>0.0</v>
      </c>
      <c r="N83" s="16">
        <v>0.0</v>
      </c>
      <c r="O83" s="17">
        <v>0.0</v>
      </c>
      <c r="P83" s="17">
        <v>0.0</v>
      </c>
      <c r="Q83" s="13"/>
      <c r="R83" s="13"/>
      <c r="S83" s="13"/>
      <c r="T83" s="13">
        <f t="shared" ref="T83:Y83" si="85">IF(ISBLANK(K83)=TRUE,0,1)</f>
        <v>0</v>
      </c>
      <c r="U83" s="13">
        <f t="shared" si="85"/>
        <v>0</v>
      </c>
      <c r="V83" s="13">
        <f t="shared" si="85"/>
        <v>1</v>
      </c>
      <c r="W83" s="13">
        <f t="shared" si="85"/>
        <v>1</v>
      </c>
      <c r="X83" s="13">
        <f t="shared" si="85"/>
        <v>1</v>
      </c>
      <c r="Y83" s="13">
        <f t="shared" si="85"/>
        <v>1</v>
      </c>
      <c r="Z83" s="13">
        <f t="shared" si="4"/>
        <v>0</v>
      </c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</row>
    <row r="84" ht="14.25" hidden="1" customHeight="1">
      <c r="A84" s="26" t="s">
        <v>29</v>
      </c>
      <c r="B84" s="26" t="s">
        <v>32</v>
      </c>
      <c r="C84" s="27" t="s">
        <v>109</v>
      </c>
      <c r="D84" s="26" t="s">
        <v>160</v>
      </c>
      <c r="E84" s="13" t="str">
        <f t="shared" si="2"/>
        <v>COHR,215-1-15,DJ,0</v>
      </c>
      <c r="F84" s="26"/>
      <c r="G84" s="13" t="s">
        <v>111</v>
      </c>
      <c r="H84" s="26" t="s">
        <v>75</v>
      </c>
      <c r="I84" s="26"/>
      <c r="J84" s="26"/>
      <c r="K84" s="28"/>
      <c r="L84" s="28"/>
      <c r="M84" s="16">
        <v>0.0</v>
      </c>
      <c r="N84" s="16">
        <v>0.0</v>
      </c>
      <c r="O84" s="17">
        <v>0.0</v>
      </c>
      <c r="P84" s="17">
        <v>0.0</v>
      </c>
      <c r="Q84" s="13"/>
      <c r="R84" s="13"/>
      <c r="S84" s="13"/>
      <c r="T84" s="13">
        <f t="shared" ref="T84:Y84" si="86">IF(ISBLANK(K84)=TRUE,0,1)</f>
        <v>0</v>
      </c>
      <c r="U84" s="13">
        <f t="shared" si="86"/>
        <v>0</v>
      </c>
      <c r="V84" s="13">
        <f t="shared" si="86"/>
        <v>1</v>
      </c>
      <c r="W84" s="13">
        <f t="shared" si="86"/>
        <v>1</v>
      </c>
      <c r="X84" s="13">
        <f t="shared" si="86"/>
        <v>1</v>
      </c>
      <c r="Y84" s="13">
        <f t="shared" si="86"/>
        <v>1</v>
      </c>
      <c r="Z84" s="13">
        <f t="shared" si="4"/>
        <v>0</v>
      </c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</row>
    <row r="85" ht="14.25" hidden="1" customHeight="1">
      <c r="A85" s="26" t="s">
        <v>29</v>
      </c>
      <c r="B85" s="26" t="s">
        <v>32</v>
      </c>
      <c r="C85" s="27" t="s">
        <v>109</v>
      </c>
      <c r="D85" s="26" t="s">
        <v>161</v>
      </c>
      <c r="E85" s="13" t="str">
        <f t="shared" si="2"/>
        <v>COHR,215-1-15,DK,0</v>
      </c>
      <c r="F85" s="26"/>
      <c r="G85" s="13" t="s">
        <v>111</v>
      </c>
      <c r="H85" s="26" t="s">
        <v>75</v>
      </c>
      <c r="I85" s="26"/>
      <c r="J85" s="26"/>
      <c r="K85" s="28"/>
      <c r="L85" s="28"/>
      <c r="M85" s="16">
        <v>0.0</v>
      </c>
      <c r="N85" s="16">
        <v>0.0</v>
      </c>
      <c r="O85" s="17">
        <v>0.0</v>
      </c>
      <c r="P85" s="17">
        <v>0.0</v>
      </c>
      <c r="Q85" s="13"/>
      <c r="R85" s="13"/>
      <c r="S85" s="13"/>
      <c r="T85" s="13">
        <f t="shared" ref="T85:Y85" si="87">IF(ISBLANK(K85)=TRUE,0,1)</f>
        <v>0</v>
      </c>
      <c r="U85" s="13">
        <f t="shared" si="87"/>
        <v>0</v>
      </c>
      <c r="V85" s="13">
        <f t="shared" si="87"/>
        <v>1</v>
      </c>
      <c r="W85" s="13">
        <f t="shared" si="87"/>
        <v>1</v>
      </c>
      <c r="X85" s="13">
        <f t="shared" si="87"/>
        <v>1</v>
      </c>
      <c r="Y85" s="13">
        <f t="shared" si="87"/>
        <v>1</v>
      </c>
      <c r="Z85" s="13">
        <f t="shared" si="4"/>
        <v>0</v>
      </c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</row>
    <row r="86" ht="14.25" hidden="1" customHeight="1">
      <c r="A86" s="26" t="s">
        <v>29</v>
      </c>
      <c r="B86" s="26" t="s">
        <v>32</v>
      </c>
      <c r="C86" s="27" t="s">
        <v>109</v>
      </c>
      <c r="D86" s="26" t="s">
        <v>162</v>
      </c>
      <c r="E86" s="13" t="str">
        <f t="shared" si="2"/>
        <v>COHR,215-1-15,DL,0</v>
      </c>
      <c r="F86" s="26"/>
      <c r="G86" s="13" t="s">
        <v>111</v>
      </c>
      <c r="H86" s="26" t="s">
        <v>75</v>
      </c>
      <c r="I86" s="26"/>
      <c r="J86" s="26"/>
      <c r="K86" s="28"/>
      <c r="L86" s="28"/>
      <c r="M86" s="16">
        <v>0.0</v>
      </c>
      <c r="N86" s="16">
        <v>0.0</v>
      </c>
      <c r="O86" s="17">
        <v>0.0</v>
      </c>
      <c r="P86" s="17">
        <v>0.0</v>
      </c>
      <c r="Q86" s="13"/>
      <c r="R86" s="13"/>
      <c r="S86" s="13"/>
      <c r="T86" s="13">
        <f t="shared" ref="T86:Y86" si="88">IF(ISBLANK(K86)=TRUE,0,1)</f>
        <v>0</v>
      </c>
      <c r="U86" s="13">
        <f t="shared" si="88"/>
        <v>0</v>
      </c>
      <c r="V86" s="13">
        <f t="shared" si="88"/>
        <v>1</v>
      </c>
      <c r="W86" s="13">
        <f t="shared" si="88"/>
        <v>1</v>
      </c>
      <c r="X86" s="13">
        <f t="shared" si="88"/>
        <v>1</v>
      </c>
      <c r="Y86" s="13">
        <f t="shared" si="88"/>
        <v>1</v>
      </c>
      <c r="Z86" s="13">
        <f t="shared" si="4"/>
        <v>0</v>
      </c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</row>
    <row r="87" ht="14.25" hidden="1" customHeight="1">
      <c r="A87" s="26" t="s">
        <v>29</v>
      </c>
      <c r="B87" s="26" t="s">
        <v>32</v>
      </c>
      <c r="C87" s="27" t="s">
        <v>109</v>
      </c>
      <c r="D87" s="26" t="s">
        <v>163</v>
      </c>
      <c r="E87" s="13" t="str">
        <f t="shared" si="2"/>
        <v>COHR,215-1-15,DM,0</v>
      </c>
      <c r="F87" s="26"/>
      <c r="G87" s="13" t="s">
        <v>111</v>
      </c>
      <c r="H87" s="26" t="s">
        <v>75</v>
      </c>
      <c r="I87" s="26"/>
      <c r="J87" s="26"/>
      <c r="K87" s="28"/>
      <c r="L87" s="28"/>
      <c r="M87" s="16">
        <v>0.0</v>
      </c>
      <c r="N87" s="16">
        <v>0.0</v>
      </c>
      <c r="O87" s="17">
        <v>0.0</v>
      </c>
      <c r="P87" s="17">
        <v>0.0</v>
      </c>
      <c r="Q87" s="13"/>
      <c r="R87" s="13"/>
      <c r="S87" s="13"/>
      <c r="T87" s="13">
        <f t="shared" ref="T87:Y87" si="89">IF(ISBLANK(K87)=TRUE,0,1)</f>
        <v>0</v>
      </c>
      <c r="U87" s="13">
        <f t="shared" si="89"/>
        <v>0</v>
      </c>
      <c r="V87" s="13">
        <f t="shared" si="89"/>
        <v>1</v>
      </c>
      <c r="W87" s="13">
        <f t="shared" si="89"/>
        <v>1</v>
      </c>
      <c r="X87" s="13">
        <f t="shared" si="89"/>
        <v>1</v>
      </c>
      <c r="Y87" s="13">
        <f t="shared" si="89"/>
        <v>1</v>
      </c>
      <c r="Z87" s="13">
        <f t="shared" si="4"/>
        <v>0</v>
      </c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</row>
    <row r="88" ht="14.25" hidden="1" customHeight="1">
      <c r="A88" s="26" t="s">
        <v>29</v>
      </c>
      <c r="B88" s="26" t="s">
        <v>32</v>
      </c>
      <c r="C88" s="27" t="s">
        <v>109</v>
      </c>
      <c r="D88" s="26" t="s">
        <v>164</v>
      </c>
      <c r="E88" s="13" t="str">
        <f t="shared" si="2"/>
        <v>COHR,215-1-15,DN,0</v>
      </c>
      <c r="F88" s="26"/>
      <c r="G88" s="13" t="s">
        <v>111</v>
      </c>
      <c r="H88" s="26" t="s">
        <v>75</v>
      </c>
      <c r="I88" s="26"/>
      <c r="J88" s="26"/>
      <c r="K88" s="28"/>
      <c r="L88" s="28"/>
      <c r="M88" s="16">
        <v>0.0</v>
      </c>
      <c r="N88" s="16">
        <v>0.0</v>
      </c>
      <c r="O88" s="17">
        <v>0.0</v>
      </c>
      <c r="P88" s="17">
        <v>0.0</v>
      </c>
      <c r="Q88" s="13"/>
      <c r="R88" s="13"/>
      <c r="S88" s="13"/>
      <c r="T88" s="13">
        <f t="shared" ref="T88:Y88" si="90">IF(ISBLANK(K88)=TRUE,0,1)</f>
        <v>0</v>
      </c>
      <c r="U88" s="13">
        <f t="shared" si="90"/>
        <v>0</v>
      </c>
      <c r="V88" s="13">
        <f t="shared" si="90"/>
        <v>1</v>
      </c>
      <c r="W88" s="13">
        <f t="shared" si="90"/>
        <v>1</v>
      </c>
      <c r="X88" s="13">
        <f t="shared" si="90"/>
        <v>1</v>
      </c>
      <c r="Y88" s="13">
        <f t="shared" si="90"/>
        <v>1</v>
      </c>
      <c r="Z88" s="13">
        <f t="shared" si="4"/>
        <v>0</v>
      </c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</row>
    <row r="89" ht="14.25" hidden="1" customHeight="1">
      <c r="A89" s="26" t="s">
        <v>29</v>
      </c>
      <c r="B89" s="26" t="s">
        <v>32</v>
      </c>
      <c r="C89" s="27" t="s">
        <v>109</v>
      </c>
      <c r="D89" s="26" t="s">
        <v>165</v>
      </c>
      <c r="E89" s="13" t="str">
        <f t="shared" si="2"/>
        <v>COHR,215-1-15,DO,0</v>
      </c>
      <c r="F89" s="26"/>
      <c r="G89" s="13" t="s">
        <v>111</v>
      </c>
      <c r="H89" s="26" t="s">
        <v>75</v>
      </c>
      <c r="I89" s="26"/>
      <c r="J89" s="26"/>
      <c r="K89" s="28"/>
      <c r="L89" s="28"/>
      <c r="M89" s="16">
        <v>0.0</v>
      </c>
      <c r="N89" s="16">
        <v>0.0</v>
      </c>
      <c r="O89" s="17">
        <v>0.0</v>
      </c>
      <c r="P89" s="17">
        <v>0.0</v>
      </c>
      <c r="Q89" s="13"/>
      <c r="R89" s="13"/>
      <c r="S89" s="13"/>
      <c r="T89" s="13">
        <f t="shared" ref="T89:Y89" si="91">IF(ISBLANK(K89)=TRUE,0,1)</f>
        <v>0</v>
      </c>
      <c r="U89" s="13">
        <f t="shared" si="91"/>
        <v>0</v>
      </c>
      <c r="V89" s="13">
        <f t="shared" si="91"/>
        <v>1</v>
      </c>
      <c r="W89" s="13">
        <f t="shared" si="91"/>
        <v>1</v>
      </c>
      <c r="X89" s="13">
        <f t="shared" si="91"/>
        <v>1</v>
      </c>
      <c r="Y89" s="13">
        <f t="shared" si="91"/>
        <v>1</v>
      </c>
      <c r="Z89" s="13">
        <f t="shared" si="4"/>
        <v>0</v>
      </c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</row>
    <row r="90" ht="14.25" hidden="1" customHeight="1">
      <c r="A90" s="26" t="s">
        <v>29</v>
      </c>
      <c r="B90" s="26" t="s">
        <v>32</v>
      </c>
      <c r="C90" s="27" t="s">
        <v>109</v>
      </c>
      <c r="D90" s="26" t="s">
        <v>166</v>
      </c>
      <c r="E90" s="13" t="str">
        <f t="shared" si="2"/>
        <v>COHR,215-1-15,DP,0</v>
      </c>
      <c r="F90" s="26"/>
      <c r="G90" s="13" t="s">
        <v>111</v>
      </c>
      <c r="H90" s="26" t="s">
        <v>75</v>
      </c>
      <c r="I90" s="26"/>
      <c r="J90" s="26"/>
      <c r="K90" s="28"/>
      <c r="L90" s="28"/>
      <c r="M90" s="16">
        <v>0.0</v>
      </c>
      <c r="N90" s="16">
        <v>0.0</v>
      </c>
      <c r="O90" s="17">
        <v>0.0</v>
      </c>
      <c r="P90" s="17">
        <v>0.0</v>
      </c>
      <c r="Q90" s="13"/>
      <c r="R90" s="13"/>
      <c r="S90" s="13"/>
      <c r="T90" s="13">
        <f t="shared" ref="T90:Y90" si="92">IF(ISBLANK(K90)=TRUE,0,1)</f>
        <v>0</v>
      </c>
      <c r="U90" s="13">
        <f t="shared" si="92"/>
        <v>0</v>
      </c>
      <c r="V90" s="13">
        <f t="shared" si="92"/>
        <v>1</v>
      </c>
      <c r="W90" s="13">
        <f t="shared" si="92"/>
        <v>1</v>
      </c>
      <c r="X90" s="13">
        <f t="shared" si="92"/>
        <v>1</v>
      </c>
      <c r="Y90" s="13">
        <f t="shared" si="92"/>
        <v>1</v>
      </c>
      <c r="Z90" s="13">
        <f t="shared" si="4"/>
        <v>0</v>
      </c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</row>
    <row r="91" ht="14.25" hidden="1" customHeight="1">
      <c r="A91" s="13" t="s">
        <v>29</v>
      </c>
      <c r="B91" s="13" t="s">
        <v>32</v>
      </c>
      <c r="C91" s="13" t="s">
        <v>167</v>
      </c>
      <c r="D91" s="13" t="s">
        <v>168</v>
      </c>
      <c r="E91" s="13" t="str">
        <f t="shared" si="2"/>
        <v>COHR,215-2,BJ,0</v>
      </c>
      <c r="F91" s="13"/>
      <c r="G91" s="13" t="s">
        <v>111</v>
      </c>
      <c r="H91" s="13" t="s">
        <v>75</v>
      </c>
      <c r="I91" s="13"/>
      <c r="J91" s="13"/>
      <c r="K91" s="15"/>
      <c r="L91" s="15"/>
      <c r="M91" s="16">
        <v>0.0</v>
      </c>
      <c r="N91" s="16">
        <v>0.0</v>
      </c>
      <c r="O91" s="17">
        <v>0.0</v>
      </c>
      <c r="P91" s="17">
        <v>0.0</v>
      </c>
      <c r="Q91" s="13"/>
      <c r="R91" s="13"/>
      <c r="S91" s="13"/>
      <c r="T91" s="13">
        <f t="shared" ref="T91:Y91" si="93">IF(ISBLANK(K91)=TRUE,0,1)</f>
        <v>0</v>
      </c>
      <c r="U91" s="13">
        <f t="shared" si="93"/>
        <v>0</v>
      </c>
      <c r="V91" s="13">
        <f t="shared" si="93"/>
        <v>1</v>
      </c>
      <c r="W91" s="13">
        <f t="shared" si="93"/>
        <v>1</v>
      </c>
      <c r="X91" s="13">
        <f t="shared" si="93"/>
        <v>1</v>
      </c>
      <c r="Y91" s="13">
        <f t="shared" si="93"/>
        <v>1</v>
      </c>
      <c r="Z91" s="13">
        <f t="shared" si="4"/>
        <v>0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</row>
    <row r="92" ht="14.25" hidden="1" customHeight="1">
      <c r="A92" s="13" t="s">
        <v>29</v>
      </c>
      <c r="B92" s="13" t="s">
        <v>32</v>
      </c>
      <c r="C92" s="13" t="s">
        <v>167</v>
      </c>
      <c r="D92" s="13" t="s">
        <v>169</v>
      </c>
      <c r="E92" s="13" t="str">
        <f t="shared" si="2"/>
        <v>COHR,215-2,BK,0</v>
      </c>
      <c r="F92" s="13"/>
      <c r="G92" s="13" t="s">
        <v>111</v>
      </c>
      <c r="H92" s="13" t="s">
        <v>75</v>
      </c>
      <c r="I92" s="13"/>
      <c r="J92" s="13"/>
      <c r="K92" s="15"/>
      <c r="L92" s="15"/>
      <c r="M92" s="16">
        <v>0.0</v>
      </c>
      <c r="N92" s="16">
        <v>0.0</v>
      </c>
      <c r="O92" s="17">
        <v>0.0</v>
      </c>
      <c r="P92" s="17">
        <v>0.0</v>
      </c>
      <c r="Q92" s="13"/>
      <c r="R92" s="13"/>
      <c r="S92" s="13"/>
      <c r="T92" s="13">
        <f t="shared" ref="T92:Y92" si="94">IF(ISBLANK(K92)=TRUE,0,1)</f>
        <v>0</v>
      </c>
      <c r="U92" s="13">
        <f t="shared" si="94"/>
        <v>0</v>
      </c>
      <c r="V92" s="13">
        <f t="shared" si="94"/>
        <v>1</v>
      </c>
      <c r="W92" s="13">
        <f t="shared" si="94"/>
        <v>1</v>
      </c>
      <c r="X92" s="13">
        <f t="shared" si="94"/>
        <v>1</v>
      </c>
      <c r="Y92" s="13">
        <f t="shared" si="94"/>
        <v>1</v>
      </c>
      <c r="Z92" s="13">
        <f t="shared" si="4"/>
        <v>0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</row>
    <row r="93" ht="14.25" hidden="1" customHeight="1">
      <c r="A93" s="13" t="s">
        <v>29</v>
      </c>
      <c r="B93" s="13" t="s">
        <v>32</v>
      </c>
      <c r="C93" s="13" t="s">
        <v>167</v>
      </c>
      <c r="D93" s="13" t="s">
        <v>170</v>
      </c>
      <c r="E93" s="13" t="str">
        <f t="shared" si="2"/>
        <v>COHR,215-2,BL,0</v>
      </c>
      <c r="F93" s="13"/>
      <c r="G93" s="13" t="s">
        <v>111</v>
      </c>
      <c r="H93" s="13" t="s">
        <v>75</v>
      </c>
      <c r="I93" s="13"/>
      <c r="J93" s="13"/>
      <c r="K93" s="15"/>
      <c r="L93" s="15"/>
      <c r="M93" s="16">
        <v>0.0</v>
      </c>
      <c r="N93" s="16">
        <v>0.0</v>
      </c>
      <c r="O93" s="17">
        <v>0.0</v>
      </c>
      <c r="P93" s="17">
        <v>0.0</v>
      </c>
      <c r="Q93" s="13"/>
      <c r="R93" s="13"/>
      <c r="S93" s="13"/>
      <c r="T93" s="13">
        <f t="shared" ref="T93:Y93" si="95">IF(ISBLANK(K93)=TRUE,0,1)</f>
        <v>0</v>
      </c>
      <c r="U93" s="13">
        <f t="shared" si="95"/>
        <v>0</v>
      </c>
      <c r="V93" s="13">
        <f t="shared" si="95"/>
        <v>1</v>
      </c>
      <c r="W93" s="13">
        <f t="shared" si="95"/>
        <v>1</v>
      </c>
      <c r="X93" s="13">
        <f t="shared" si="95"/>
        <v>1</v>
      </c>
      <c r="Y93" s="13">
        <f t="shared" si="95"/>
        <v>1</v>
      </c>
      <c r="Z93" s="13">
        <f t="shared" si="4"/>
        <v>0</v>
      </c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</row>
    <row r="94" ht="14.25" hidden="1" customHeight="1">
      <c r="A94" s="13" t="s">
        <v>29</v>
      </c>
      <c r="B94" s="13" t="s">
        <v>32</v>
      </c>
      <c r="C94" s="13" t="s">
        <v>167</v>
      </c>
      <c r="D94" s="13" t="s">
        <v>171</v>
      </c>
      <c r="E94" s="13" t="str">
        <f t="shared" si="2"/>
        <v>COHR,215-2,BM,0</v>
      </c>
      <c r="F94" s="13"/>
      <c r="G94" s="13" t="s">
        <v>111</v>
      </c>
      <c r="H94" s="13" t="s">
        <v>75</v>
      </c>
      <c r="I94" s="13"/>
      <c r="J94" s="13"/>
      <c r="K94" s="15"/>
      <c r="L94" s="15"/>
      <c r="M94" s="16">
        <v>0.0</v>
      </c>
      <c r="N94" s="16">
        <v>0.0</v>
      </c>
      <c r="O94" s="17">
        <v>0.0</v>
      </c>
      <c r="P94" s="17">
        <v>0.0</v>
      </c>
      <c r="Q94" s="13"/>
      <c r="R94" s="13"/>
      <c r="S94" s="13"/>
      <c r="T94" s="13">
        <f t="shared" ref="T94:Y94" si="96">IF(ISBLANK(K94)=TRUE,0,1)</f>
        <v>0</v>
      </c>
      <c r="U94" s="13">
        <f t="shared" si="96"/>
        <v>0</v>
      </c>
      <c r="V94" s="13">
        <f t="shared" si="96"/>
        <v>1</v>
      </c>
      <c r="W94" s="13">
        <f t="shared" si="96"/>
        <v>1</v>
      </c>
      <c r="X94" s="13">
        <f t="shared" si="96"/>
        <v>1</v>
      </c>
      <c r="Y94" s="13">
        <f t="shared" si="96"/>
        <v>1</v>
      </c>
      <c r="Z94" s="13">
        <f t="shared" si="4"/>
        <v>0</v>
      </c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</row>
    <row r="95" ht="14.25" hidden="1" customHeight="1">
      <c r="A95" s="13" t="s">
        <v>29</v>
      </c>
      <c r="B95" s="13" t="s">
        <v>32</v>
      </c>
      <c r="C95" s="13" t="s">
        <v>167</v>
      </c>
      <c r="D95" s="13" t="s">
        <v>172</v>
      </c>
      <c r="E95" s="13" t="str">
        <f t="shared" si="2"/>
        <v>COHR,215-2,BN,0</v>
      </c>
      <c r="F95" s="13"/>
      <c r="G95" s="13" t="s">
        <v>111</v>
      </c>
      <c r="H95" s="13" t="s">
        <v>75</v>
      </c>
      <c r="I95" s="13"/>
      <c r="J95" s="13"/>
      <c r="K95" s="15"/>
      <c r="L95" s="15"/>
      <c r="M95" s="16">
        <v>0.0</v>
      </c>
      <c r="N95" s="16">
        <v>0.0</v>
      </c>
      <c r="O95" s="17">
        <v>0.0</v>
      </c>
      <c r="P95" s="17">
        <v>0.0</v>
      </c>
      <c r="Q95" s="13"/>
      <c r="R95" s="13"/>
      <c r="S95" s="13"/>
      <c r="T95" s="13">
        <f t="shared" ref="T95:Y95" si="97">IF(ISBLANK(K95)=TRUE,0,1)</f>
        <v>0</v>
      </c>
      <c r="U95" s="13">
        <f t="shared" si="97"/>
        <v>0</v>
      </c>
      <c r="V95" s="13">
        <f t="shared" si="97"/>
        <v>1</v>
      </c>
      <c r="W95" s="13">
        <f t="shared" si="97"/>
        <v>1</v>
      </c>
      <c r="X95" s="13">
        <f t="shared" si="97"/>
        <v>1</v>
      </c>
      <c r="Y95" s="13">
        <f t="shared" si="97"/>
        <v>1</v>
      </c>
      <c r="Z95" s="13">
        <f t="shared" si="4"/>
        <v>0</v>
      </c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</row>
    <row r="96" ht="14.25" hidden="1" customHeight="1">
      <c r="A96" s="26" t="s">
        <v>29</v>
      </c>
      <c r="B96" s="26" t="s">
        <v>32</v>
      </c>
      <c r="C96" s="27" t="s">
        <v>173</v>
      </c>
      <c r="D96" s="26" t="s">
        <v>174</v>
      </c>
      <c r="E96" s="13" t="str">
        <f t="shared" si="2"/>
        <v>COHR,215-2-1,AA,0</v>
      </c>
      <c r="F96" s="26"/>
      <c r="G96" s="13" t="s">
        <v>111</v>
      </c>
      <c r="H96" s="26" t="s">
        <v>75</v>
      </c>
      <c r="I96" s="26"/>
      <c r="J96" s="26"/>
      <c r="K96" s="28"/>
      <c r="L96" s="28"/>
      <c r="M96" s="16">
        <v>0.0</v>
      </c>
      <c r="N96" s="16">
        <v>0.0</v>
      </c>
      <c r="O96" s="17">
        <v>0.0</v>
      </c>
      <c r="P96" s="17">
        <v>0.0</v>
      </c>
      <c r="Q96" s="13"/>
      <c r="R96" s="13"/>
      <c r="S96" s="13"/>
      <c r="T96" s="13">
        <f t="shared" ref="T96:Y96" si="98">IF(ISBLANK(K96)=TRUE,0,1)</f>
        <v>0</v>
      </c>
      <c r="U96" s="13">
        <f t="shared" si="98"/>
        <v>0</v>
      </c>
      <c r="V96" s="13">
        <f t="shared" si="98"/>
        <v>1</v>
      </c>
      <c r="W96" s="13">
        <f t="shared" si="98"/>
        <v>1</v>
      </c>
      <c r="X96" s="13">
        <f t="shared" si="98"/>
        <v>1</v>
      </c>
      <c r="Y96" s="13">
        <f t="shared" si="98"/>
        <v>1</v>
      </c>
      <c r="Z96" s="13">
        <f t="shared" si="4"/>
        <v>0</v>
      </c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</row>
    <row r="97" ht="14.25" hidden="1" customHeight="1">
      <c r="A97" s="26" t="s">
        <v>29</v>
      </c>
      <c r="B97" s="26" t="s">
        <v>32</v>
      </c>
      <c r="C97" s="27" t="s">
        <v>173</v>
      </c>
      <c r="D97" s="26" t="s">
        <v>175</v>
      </c>
      <c r="E97" s="13" t="str">
        <f t="shared" si="2"/>
        <v>COHR,215-2-1,AB,0</v>
      </c>
      <c r="F97" s="26"/>
      <c r="G97" s="13" t="s">
        <v>111</v>
      </c>
      <c r="H97" s="26" t="s">
        <v>75</v>
      </c>
      <c r="I97" s="26"/>
      <c r="J97" s="26"/>
      <c r="K97" s="28"/>
      <c r="L97" s="28"/>
      <c r="M97" s="16">
        <v>0.0</v>
      </c>
      <c r="N97" s="16">
        <v>0.0</v>
      </c>
      <c r="O97" s="17">
        <v>0.0</v>
      </c>
      <c r="P97" s="17">
        <v>0.0</v>
      </c>
      <c r="Q97" s="13"/>
      <c r="R97" s="13"/>
      <c r="S97" s="13"/>
      <c r="T97" s="13">
        <f t="shared" ref="T97:Y97" si="99">IF(ISBLANK(K97)=TRUE,0,1)</f>
        <v>0</v>
      </c>
      <c r="U97" s="13">
        <f t="shared" si="99"/>
        <v>0</v>
      </c>
      <c r="V97" s="13">
        <f t="shared" si="99"/>
        <v>1</v>
      </c>
      <c r="W97" s="13">
        <f t="shared" si="99"/>
        <v>1</v>
      </c>
      <c r="X97" s="13">
        <f t="shared" si="99"/>
        <v>1</v>
      </c>
      <c r="Y97" s="13">
        <f t="shared" si="99"/>
        <v>1</v>
      </c>
      <c r="Z97" s="13">
        <f t="shared" si="4"/>
        <v>0</v>
      </c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</row>
    <row r="98" ht="14.25" hidden="1" customHeight="1">
      <c r="A98" s="26" t="s">
        <v>29</v>
      </c>
      <c r="B98" s="26" t="s">
        <v>32</v>
      </c>
      <c r="C98" s="27" t="s">
        <v>173</v>
      </c>
      <c r="D98" s="26" t="s">
        <v>176</v>
      </c>
      <c r="E98" s="13" t="str">
        <f t="shared" si="2"/>
        <v>COHR,215-2-1,AC,0</v>
      </c>
      <c r="F98" s="26"/>
      <c r="G98" s="13" t="s">
        <v>111</v>
      </c>
      <c r="H98" s="26" t="s">
        <v>75</v>
      </c>
      <c r="I98" s="26"/>
      <c r="J98" s="26"/>
      <c r="K98" s="28"/>
      <c r="L98" s="28"/>
      <c r="M98" s="16">
        <v>0.0</v>
      </c>
      <c r="N98" s="16">
        <v>0.0</v>
      </c>
      <c r="O98" s="17">
        <v>0.0</v>
      </c>
      <c r="P98" s="17">
        <v>0.0</v>
      </c>
      <c r="Q98" s="13"/>
      <c r="R98" s="13"/>
      <c r="S98" s="13"/>
      <c r="T98" s="13">
        <f t="shared" ref="T98:Y98" si="100">IF(ISBLANK(K98)=TRUE,0,1)</f>
        <v>0</v>
      </c>
      <c r="U98" s="13">
        <f t="shared" si="100"/>
        <v>0</v>
      </c>
      <c r="V98" s="13">
        <f t="shared" si="100"/>
        <v>1</v>
      </c>
      <c r="W98" s="13">
        <f t="shared" si="100"/>
        <v>1</v>
      </c>
      <c r="X98" s="13">
        <f t="shared" si="100"/>
        <v>1</v>
      </c>
      <c r="Y98" s="13">
        <f t="shared" si="100"/>
        <v>1</v>
      </c>
      <c r="Z98" s="13">
        <f t="shared" si="4"/>
        <v>0</v>
      </c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ht="14.25" hidden="1" customHeight="1">
      <c r="A99" s="26" t="s">
        <v>29</v>
      </c>
      <c r="B99" s="26" t="s">
        <v>32</v>
      </c>
      <c r="C99" s="27" t="s">
        <v>173</v>
      </c>
      <c r="D99" s="26" t="s">
        <v>177</v>
      </c>
      <c r="E99" s="13" t="str">
        <f t="shared" si="2"/>
        <v>COHR,215-2-1,AD,0</v>
      </c>
      <c r="F99" s="26"/>
      <c r="G99" s="13" t="s">
        <v>111</v>
      </c>
      <c r="H99" s="26" t="s">
        <v>75</v>
      </c>
      <c r="I99" s="26"/>
      <c r="J99" s="26"/>
      <c r="K99" s="28"/>
      <c r="L99" s="28"/>
      <c r="M99" s="16">
        <v>0.0</v>
      </c>
      <c r="N99" s="16">
        <v>0.0</v>
      </c>
      <c r="O99" s="17">
        <v>0.0</v>
      </c>
      <c r="P99" s="17">
        <v>0.0</v>
      </c>
      <c r="Q99" s="13"/>
      <c r="R99" s="13"/>
      <c r="S99" s="13"/>
      <c r="T99" s="13">
        <f t="shared" ref="T99:Y99" si="101">IF(ISBLANK(K99)=TRUE,0,1)</f>
        <v>0</v>
      </c>
      <c r="U99" s="13">
        <f t="shared" si="101"/>
        <v>0</v>
      </c>
      <c r="V99" s="13">
        <f t="shared" si="101"/>
        <v>1</v>
      </c>
      <c r="W99" s="13">
        <f t="shared" si="101"/>
        <v>1</v>
      </c>
      <c r="X99" s="13">
        <f t="shared" si="101"/>
        <v>1</v>
      </c>
      <c r="Y99" s="13">
        <f t="shared" si="101"/>
        <v>1</v>
      </c>
      <c r="Z99" s="13">
        <f t="shared" si="4"/>
        <v>0</v>
      </c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</row>
    <row r="100" ht="14.25" hidden="1" customHeight="1">
      <c r="A100" s="26" t="s">
        <v>29</v>
      </c>
      <c r="B100" s="26" t="s">
        <v>32</v>
      </c>
      <c r="C100" s="27" t="s">
        <v>173</v>
      </c>
      <c r="D100" s="26" t="s">
        <v>178</v>
      </c>
      <c r="E100" s="13" t="str">
        <f t="shared" si="2"/>
        <v>COHR,215-2-1,AE,0</v>
      </c>
      <c r="F100" s="26"/>
      <c r="G100" s="13" t="s">
        <v>111</v>
      </c>
      <c r="H100" s="26" t="s">
        <v>75</v>
      </c>
      <c r="I100" s="26"/>
      <c r="J100" s="26"/>
      <c r="K100" s="28"/>
      <c r="L100" s="28"/>
      <c r="M100" s="16">
        <v>0.0</v>
      </c>
      <c r="N100" s="16">
        <v>0.0</v>
      </c>
      <c r="O100" s="17">
        <v>0.0</v>
      </c>
      <c r="P100" s="17">
        <v>0.0</v>
      </c>
      <c r="Q100" s="13"/>
      <c r="R100" s="13"/>
      <c r="S100" s="13"/>
      <c r="T100" s="13">
        <f t="shared" ref="T100:Y100" si="102">IF(ISBLANK(K100)=TRUE,0,1)</f>
        <v>0</v>
      </c>
      <c r="U100" s="13">
        <f t="shared" si="102"/>
        <v>0</v>
      </c>
      <c r="V100" s="13">
        <f t="shared" si="102"/>
        <v>1</v>
      </c>
      <c r="W100" s="13">
        <f t="shared" si="102"/>
        <v>1</v>
      </c>
      <c r="X100" s="13">
        <f t="shared" si="102"/>
        <v>1</v>
      </c>
      <c r="Y100" s="13">
        <f t="shared" si="102"/>
        <v>1</v>
      </c>
      <c r="Z100" s="13">
        <f t="shared" si="4"/>
        <v>0</v>
      </c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</row>
    <row r="101" ht="14.25" hidden="1" customHeight="1">
      <c r="A101" s="26" t="s">
        <v>29</v>
      </c>
      <c r="B101" s="26" t="s">
        <v>32</v>
      </c>
      <c r="C101" s="27" t="s">
        <v>173</v>
      </c>
      <c r="D101" s="26" t="s">
        <v>179</v>
      </c>
      <c r="E101" s="13" t="str">
        <f t="shared" si="2"/>
        <v>COHR,215-2-1,AF,0</v>
      </c>
      <c r="F101" s="26"/>
      <c r="G101" s="13" t="s">
        <v>111</v>
      </c>
      <c r="H101" s="26" t="s">
        <v>75</v>
      </c>
      <c r="I101" s="26"/>
      <c r="J101" s="26"/>
      <c r="K101" s="28"/>
      <c r="L101" s="28"/>
      <c r="M101" s="16">
        <v>0.0</v>
      </c>
      <c r="N101" s="16">
        <v>0.0</v>
      </c>
      <c r="O101" s="17">
        <v>0.0</v>
      </c>
      <c r="P101" s="17">
        <v>0.0</v>
      </c>
      <c r="Q101" s="13"/>
      <c r="R101" s="13"/>
      <c r="S101" s="13"/>
      <c r="T101" s="13">
        <f t="shared" ref="T101:Y101" si="103">IF(ISBLANK(K101)=TRUE,0,1)</f>
        <v>0</v>
      </c>
      <c r="U101" s="13">
        <f t="shared" si="103"/>
        <v>0</v>
      </c>
      <c r="V101" s="13">
        <f t="shared" si="103"/>
        <v>1</v>
      </c>
      <c r="W101" s="13">
        <f t="shared" si="103"/>
        <v>1</v>
      </c>
      <c r="X101" s="13">
        <f t="shared" si="103"/>
        <v>1</v>
      </c>
      <c r="Y101" s="13">
        <f t="shared" si="103"/>
        <v>1</v>
      </c>
      <c r="Z101" s="13">
        <f t="shared" si="4"/>
        <v>0</v>
      </c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</row>
    <row r="102" ht="14.25" hidden="1" customHeight="1">
      <c r="A102" s="26" t="s">
        <v>29</v>
      </c>
      <c r="B102" s="26" t="s">
        <v>32</v>
      </c>
      <c r="C102" s="27" t="s">
        <v>173</v>
      </c>
      <c r="D102" s="26" t="s">
        <v>180</v>
      </c>
      <c r="E102" s="13" t="str">
        <f t="shared" si="2"/>
        <v>COHR,215-2-1,AG,0</v>
      </c>
      <c r="F102" s="26"/>
      <c r="G102" s="13" t="s">
        <v>111</v>
      </c>
      <c r="H102" s="26" t="s">
        <v>75</v>
      </c>
      <c r="I102" s="26"/>
      <c r="J102" s="26"/>
      <c r="K102" s="28"/>
      <c r="L102" s="28"/>
      <c r="M102" s="16">
        <v>0.0</v>
      </c>
      <c r="N102" s="16">
        <v>0.0</v>
      </c>
      <c r="O102" s="17">
        <v>0.0</v>
      </c>
      <c r="P102" s="17">
        <v>0.0</v>
      </c>
      <c r="Q102" s="13"/>
      <c r="R102" s="13"/>
      <c r="S102" s="13"/>
      <c r="T102" s="13">
        <f t="shared" ref="T102:Y102" si="104">IF(ISBLANK(K102)=TRUE,0,1)</f>
        <v>0</v>
      </c>
      <c r="U102" s="13">
        <f t="shared" si="104"/>
        <v>0</v>
      </c>
      <c r="V102" s="13">
        <f t="shared" si="104"/>
        <v>1</v>
      </c>
      <c r="W102" s="13">
        <f t="shared" si="104"/>
        <v>1</v>
      </c>
      <c r="X102" s="13">
        <f t="shared" si="104"/>
        <v>1</v>
      </c>
      <c r="Y102" s="13">
        <f t="shared" si="104"/>
        <v>1</v>
      </c>
      <c r="Z102" s="13">
        <f t="shared" si="4"/>
        <v>0</v>
      </c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</row>
    <row r="103" ht="14.25" hidden="1" customHeight="1">
      <c r="A103" s="26" t="s">
        <v>29</v>
      </c>
      <c r="B103" s="26" t="s">
        <v>32</v>
      </c>
      <c r="C103" s="27" t="s">
        <v>173</v>
      </c>
      <c r="D103" s="26" t="s">
        <v>181</v>
      </c>
      <c r="E103" s="13" t="str">
        <f t="shared" si="2"/>
        <v>COHR,215-2-1,AH,0</v>
      </c>
      <c r="F103" s="26"/>
      <c r="G103" s="13" t="s">
        <v>111</v>
      </c>
      <c r="H103" s="26" t="s">
        <v>75</v>
      </c>
      <c r="I103" s="26"/>
      <c r="J103" s="26"/>
      <c r="K103" s="28"/>
      <c r="L103" s="28"/>
      <c r="M103" s="16">
        <v>0.0</v>
      </c>
      <c r="N103" s="16">
        <v>0.0</v>
      </c>
      <c r="O103" s="17">
        <v>0.0</v>
      </c>
      <c r="P103" s="17">
        <v>0.0</v>
      </c>
      <c r="Q103" s="13"/>
      <c r="R103" s="13"/>
      <c r="S103" s="13"/>
      <c r="T103" s="13">
        <f t="shared" ref="T103:Y103" si="105">IF(ISBLANK(K103)=TRUE,0,1)</f>
        <v>0</v>
      </c>
      <c r="U103" s="13">
        <f t="shared" si="105"/>
        <v>0</v>
      </c>
      <c r="V103" s="13">
        <f t="shared" si="105"/>
        <v>1</v>
      </c>
      <c r="W103" s="13">
        <f t="shared" si="105"/>
        <v>1</v>
      </c>
      <c r="X103" s="13">
        <f t="shared" si="105"/>
        <v>1</v>
      </c>
      <c r="Y103" s="13">
        <f t="shared" si="105"/>
        <v>1</v>
      </c>
      <c r="Z103" s="13">
        <f t="shared" si="4"/>
        <v>0</v>
      </c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</row>
    <row r="104" ht="14.25" hidden="1" customHeight="1">
      <c r="A104" s="26" t="s">
        <v>29</v>
      </c>
      <c r="B104" s="26" t="s">
        <v>32</v>
      </c>
      <c r="C104" s="27" t="s">
        <v>173</v>
      </c>
      <c r="D104" s="26" t="s">
        <v>182</v>
      </c>
      <c r="E104" s="13" t="str">
        <f t="shared" si="2"/>
        <v>COHR,215-2-1,AI,0</v>
      </c>
      <c r="F104" s="26"/>
      <c r="G104" s="13" t="s">
        <v>111</v>
      </c>
      <c r="H104" s="26" t="s">
        <v>75</v>
      </c>
      <c r="I104" s="26"/>
      <c r="J104" s="26"/>
      <c r="K104" s="28"/>
      <c r="L104" s="28"/>
      <c r="M104" s="16">
        <v>0.0</v>
      </c>
      <c r="N104" s="16">
        <v>0.0</v>
      </c>
      <c r="O104" s="17">
        <v>0.0</v>
      </c>
      <c r="P104" s="17">
        <v>0.0</v>
      </c>
      <c r="Q104" s="13"/>
      <c r="R104" s="13"/>
      <c r="S104" s="13"/>
      <c r="T104" s="13">
        <f t="shared" ref="T104:Y104" si="106">IF(ISBLANK(K104)=TRUE,0,1)</f>
        <v>0</v>
      </c>
      <c r="U104" s="13">
        <f t="shared" si="106"/>
        <v>0</v>
      </c>
      <c r="V104" s="13">
        <f t="shared" si="106"/>
        <v>1</v>
      </c>
      <c r="W104" s="13">
        <f t="shared" si="106"/>
        <v>1</v>
      </c>
      <c r="X104" s="13">
        <f t="shared" si="106"/>
        <v>1</v>
      </c>
      <c r="Y104" s="13">
        <f t="shared" si="106"/>
        <v>1</v>
      </c>
      <c r="Z104" s="13">
        <f t="shared" si="4"/>
        <v>0</v>
      </c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 ht="14.25" hidden="1" customHeight="1">
      <c r="A105" s="26" t="s">
        <v>29</v>
      </c>
      <c r="B105" s="26" t="s">
        <v>32</v>
      </c>
      <c r="C105" s="27" t="s">
        <v>173</v>
      </c>
      <c r="D105" s="26" t="s">
        <v>183</v>
      </c>
      <c r="E105" s="13" t="str">
        <f t="shared" si="2"/>
        <v>COHR,215-2-1,AJ,0</v>
      </c>
      <c r="F105" s="26"/>
      <c r="G105" s="13" t="s">
        <v>111</v>
      </c>
      <c r="H105" s="26" t="s">
        <v>75</v>
      </c>
      <c r="I105" s="26"/>
      <c r="J105" s="26"/>
      <c r="K105" s="28"/>
      <c r="L105" s="28"/>
      <c r="M105" s="16">
        <v>0.0</v>
      </c>
      <c r="N105" s="16">
        <v>0.0</v>
      </c>
      <c r="O105" s="17">
        <v>0.0</v>
      </c>
      <c r="P105" s="17">
        <v>0.0</v>
      </c>
      <c r="Q105" s="13"/>
      <c r="R105" s="13"/>
      <c r="S105" s="13"/>
      <c r="T105" s="13">
        <f t="shared" ref="T105:Y105" si="107">IF(ISBLANK(K105)=TRUE,0,1)</f>
        <v>0</v>
      </c>
      <c r="U105" s="13">
        <f t="shared" si="107"/>
        <v>0</v>
      </c>
      <c r="V105" s="13">
        <f t="shared" si="107"/>
        <v>1</v>
      </c>
      <c r="W105" s="13">
        <f t="shared" si="107"/>
        <v>1</v>
      </c>
      <c r="X105" s="13">
        <f t="shared" si="107"/>
        <v>1</v>
      </c>
      <c r="Y105" s="13">
        <f t="shared" si="107"/>
        <v>1</v>
      </c>
      <c r="Z105" s="13">
        <f t="shared" si="4"/>
        <v>0</v>
      </c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ht="14.25" hidden="1" customHeight="1">
      <c r="A106" s="26" t="s">
        <v>29</v>
      </c>
      <c r="B106" s="26" t="s">
        <v>32</v>
      </c>
      <c r="C106" s="27" t="s">
        <v>173</v>
      </c>
      <c r="D106" s="26" t="s">
        <v>184</v>
      </c>
      <c r="E106" s="13" t="str">
        <f t="shared" si="2"/>
        <v>COHR,215-2-1,AK,0</v>
      </c>
      <c r="F106" s="26"/>
      <c r="G106" s="13" t="s">
        <v>111</v>
      </c>
      <c r="H106" s="26" t="s">
        <v>75</v>
      </c>
      <c r="I106" s="26"/>
      <c r="J106" s="26"/>
      <c r="K106" s="28"/>
      <c r="L106" s="28"/>
      <c r="M106" s="16">
        <v>0.0</v>
      </c>
      <c r="N106" s="16">
        <v>0.0</v>
      </c>
      <c r="O106" s="17">
        <v>0.0</v>
      </c>
      <c r="P106" s="17">
        <v>0.0</v>
      </c>
      <c r="Q106" s="13"/>
      <c r="R106" s="13"/>
      <c r="S106" s="13"/>
      <c r="T106" s="13">
        <f t="shared" ref="T106:Y106" si="108">IF(ISBLANK(K106)=TRUE,0,1)</f>
        <v>0</v>
      </c>
      <c r="U106" s="13">
        <f t="shared" si="108"/>
        <v>0</v>
      </c>
      <c r="V106" s="13">
        <f t="shared" si="108"/>
        <v>1</v>
      </c>
      <c r="W106" s="13">
        <f t="shared" si="108"/>
        <v>1</v>
      </c>
      <c r="X106" s="13">
        <f t="shared" si="108"/>
        <v>1</v>
      </c>
      <c r="Y106" s="13">
        <f t="shared" si="108"/>
        <v>1</v>
      </c>
      <c r="Z106" s="13">
        <f t="shared" si="4"/>
        <v>0</v>
      </c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</row>
    <row r="107" ht="14.25" hidden="1" customHeight="1">
      <c r="A107" s="26" t="s">
        <v>29</v>
      </c>
      <c r="B107" s="26" t="s">
        <v>32</v>
      </c>
      <c r="C107" s="27" t="s">
        <v>173</v>
      </c>
      <c r="D107" s="26" t="s">
        <v>185</v>
      </c>
      <c r="E107" s="13" t="str">
        <f t="shared" si="2"/>
        <v>COHR,215-2-1,AL,0</v>
      </c>
      <c r="F107" s="26"/>
      <c r="G107" s="13" t="s">
        <v>111</v>
      </c>
      <c r="H107" s="26" t="s">
        <v>75</v>
      </c>
      <c r="I107" s="26"/>
      <c r="J107" s="26"/>
      <c r="K107" s="28"/>
      <c r="L107" s="28"/>
      <c r="M107" s="16">
        <v>0.0</v>
      </c>
      <c r="N107" s="16">
        <v>0.0</v>
      </c>
      <c r="O107" s="17">
        <v>0.0</v>
      </c>
      <c r="P107" s="17">
        <v>0.0</v>
      </c>
      <c r="Q107" s="13"/>
      <c r="R107" s="13"/>
      <c r="S107" s="13"/>
      <c r="T107" s="13">
        <f t="shared" ref="T107:Y107" si="109">IF(ISBLANK(K107)=TRUE,0,1)</f>
        <v>0</v>
      </c>
      <c r="U107" s="13">
        <f t="shared" si="109"/>
        <v>0</v>
      </c>
      <c r="V107" s="13">
        <f t="shared" si="109"/>
        <v>1</v>
      </c>
      <c r="W107" s="13">
        <f t="shared" si="109"/>
        <v>1</v>
      </c>
      <c r="X107" s="13">
        <f t="shared" si="109"/>
        <v>1</v>
      </c>
      <c r="Y107" s="13">
        <f t="shared" si="109"/>
        <v>1</v>
      </c>
      <c r="Z107" s="13">
        <f t="shared" si="4"/>
        <v>0</v>
      </c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</row>
    <row r="108" ht="14.25" hidden="1" customHeight="1">
      <c r="A108" s="26" t="s">
        <v>29</v>
      </c>
      <c r="B108" s="26" t="s">
        <v>32</v>
      </c>
      <c r="C108" s="27" t="s">
        <v>173</v>
      </c>
      <c r="D108" s="26" t="s">
        <v>186</v>
      </c>
      <c r="E108" s="13" t="str">
        <f t="shared" si="2"/>
        <v>COHR,215-2-1,AM,0</v>
      </c>
      <c r="F108" s="26"/>
      <c r="G108" s="13" t="s">
        <v>111</v>
      </c>
      <c r="H108" s="26" t="s">
        <v>75</v>
      </c>
      <c r="I108" s="26"/>
      <c r="J108" s="26"/>
      <c r="K108" s="28"/>
      <c r="L108" s="28"/>
      <c r="M108" s="16">
        <v>0.0</v>
      </c>
      <c r="N108" s="16">
        <v>0.0</v>
      </c>
      <c r="O108" s="17">
        <v>0.0</v>
      </c>
      <c r="P108" s="17">
        <v>0.0</v>
      </c>
      <c r="Q108" s="13"/>
      <c r="R108" s="13"/>
      <c r="S108" s="13"/>
      <c r="T108" s="13">
        <f t="shared" ref="T108:Y108" si="110">IF(ISBLANK(K108)=TRUE,0,1)</f>
        <v>0</v>
      </c>
      <c r="U108" s="13">
        <f t="shared" si="110"/>
        <v>0</v>
      </c>
      <c r="V108" s="13">
        <f t="shared" si="110"/>
        <v>1</v>
      </c>
      <c r="W108" s="13">
        <f t="shared" si="110"/>
        <v>1</v>
      </c>
      <c r="X108" s="13">
        <f t="shared" si="110"/>
        <v>1</v>
      </c>
      <c r="Y108" s="13">
        <f t="shared" si="110"/>
        <v>1</v>
      </c>
      <c r="Z108" s="13">
        <f t="shared" si="4"/>
        <v>0</v>
      </c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</row>
    <row r="109" ht="14.25" hidden="1" customHeight="1">
      <c r="A109" s="26" t="s">
        <v>29</v>
      </c>
      <c r="B109" s="26" t="s">
        <v>32</v>
      </c>
      <c r="C109" s="27" t="s">
        <v>173</v>
      </c>
      <c r="D109" s="26" t="s">
        <v>187</v>
      </c>
      <c r="E109" s="13" t="str">
        <f t="shared" si="2"/>
        <v>COHR,215-2-1,AN,0</v>
      </c>
      <c r="F109" s="26"/>
      <c r="G109" s="13" t="s">
        <v>111</v>
      </c>
      <c r="H109" s="26" t="s">
        <v>75</v>
      </c>
      <c r="I109" s="26"/>
      <c r="J109" s="26"/>
      <c r="K109" s="28"/>
      <c r="L109" s="28"/>
      <c r="M109" s="16">
        <v>0.0</v>
      </c>
      <c r="N109" s="16">
        <v>0.0</v>
      </c>
      <c r="O109" s="17">
        <v>0.0</v>
      </c>
      <c r="P109" s="17">
        <v>0.0</v>
      </c>
      <c r="Q109" s="13"/>
      <c r="R109" s="13"/>
      <c r="S109" s="13"/>
      <c r="T109" s="13">
        <f t="shared" ref="T109:Y109" si="111">IF(ISBLANK(K109)=TRUE,0,1)</f>
        <v>0</v>
      </c>
      <c r="U109" s="13">
        <f t="shared" si="111"/>
        <v>0</v>
      </c>
      <c r="V109" s="13">
        <f t="shared" si="111"/>
        <v>1</v>
      </c>
      <c r="W109" s="13">
        <f t="shared" si="111"/>
        <v>1</v>
      </c>
      <c r="X109" s="13">
        <f t="shared" si="111"/>
        <v>1</v>
      </c>
      <c r="Y109" s="13">
        <f t="shared" si="111"/>
        <v>1</v>
      </c>
      <c r="Z109" s="13">
        <f t="shared" si="4"/>
        <v>0</v>
      </c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ht="14.25" hidden="1" customHeight="1">
      <c r="A110" s="26" t="s">
        <v>29</v>
      </c>
      <c r="B110" s="26" t="s">
        <v>32</v>
      </c>
      <c r="C110" s="27" t="s">
        <v>173</v>
      </c>
      <c r="D110" s="26" t="s">
        <v>188</v>
      </c>
      <c r="E110" s="13" t="str">
        <f t="shared" si="2"/>
        <v>COHR,215-2-1,AO,0</v>
      </c>
      <c r="F110" s="26"/>
      <c r="G110" s="13" t="s">
        <v>111</v>
      </c>
      <c r="H110" s="26" t="s">
        <v>75</v>
      </c>
      <c r="I110" s="26"/>
      <c r="J110" s="26"/>
      <c r="K110" s="28"/>
      <c r="L110" s="28"/>
      <c r="M110" s="16">
        <v>0.0</v>
      </c>
      <c r="N110" s="16">
        <v>0.0</v>
      </c>
      <c r="O110" s="17">
        <v>0.0</v>
      </c>
      <c r="P110" s="17">
        <v>0.0</v>
      </c>
      <c r="Q110" s="13"/>
      <c r="R110" s="13"/>
      <c r="S110" s="13"/>
      <c r="T110" s="13">
        <f t="shared" ref="T110:Y110" si="112">IF(ISBLANK(K110)=TRUE,0,1)</f>
        <v>0</v>
      </c>
      <c r="U110" s="13">
        <f t="shared" si="112"/>
        <v>0</v>
      </c>
      <c r="V110" s="13">
        <f t="shared" si="112"/>
        <v>1</v>
      </c>
      <c r="W110" s="13">
        <f t="shared" si="112"/>
        <v>1</v>
      </c>
      <c r="X110" s="13">
        <f t="shared" si="112"/>
        <v>1</v>
      </c>
      <c r="Y110" s="13">
        <f t="shared" si="112"/>
        <v>1</v>
      </c>
      <c r="Z110" s="13">
        <f t="shared" si="4"/>
        <v>0</v>
      </c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</row>
    <row r="111" ht="14.25" hidden="1" customHeight="1">
      <c r="A111" s="26" t="s">
        <v>29</v>
      </c>
      <c r="B111" s="26" t="s">
        <v>32</v>
      </c>
      <c r="C111" s="27" t="s">
        <v>173</v>
      </c>
      <c r="D111" s="26" t="s">
        <v>189</v>
      </c>
      <c r="E111" s="13" t="str">
        <f t="shared" si="2"/>
        <v>COHR,215-2-1,AP,0</v>
      </c>
      <c r="F111" s="26"/>
      <c r="G111" s="13" t="s">
        <v>111</v>
      </c>
      <c r="H111" s="26" t="s">
        <v>75</v>
      </c>
      <c r="I111" s="26"/>
      <c r="J111" s="26"/>
      <c r="K111" s="28"/>
      <c r="L111" s="28"/>
      <c r="M111" s="16">
        <v>0.0</v>
      </c>
      <c r="N111" s="16">
        <v>0.0</v>
      </c>
      <c r="O111" s="17">
        <v>0.0</v>
      </c>
      <c r="P111" s="17">
        <v>0.0</v>
      </c>
      <c r="Q111" s="13"/>
      <c r="R111" s="13"/>
      <c r="S111" s="13"/>
      <c r="T111" s="13">
        <f t="shared" ref="T111:Y111" si="113">IF(ISBLANK(K111)=TRUE,0,1)</f>
        <v>0</v>
      </c>
      <c r="U111" s="13">
        <f t="shared" si="113"/>
        <v>0</v>
      </c>
      <c r="V111" s="13">
        <f t="shared" si="113"/>
        <v>1</v>
      </c>
      <c r="W111" s="13">
        <f t="shared" si="113"/>
        <v>1</v>
      </c>
      <c r="X111" s="13">
        <f t="shared" si="113"/>
        <v>1</v>
      </c>
      <c r="Y111" s="13">
        <f t="shared" si="113"/>
        <v>1</v>
      </c>
      <c r="Z111" s="13">
        <f t="shared" si="4"/>
        <v>0</v>
      </c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</row>
    <row r="112" ht="14.25" hidden="1" customHeight="1">
      <c r="A112" s="26" t="s">
        <v>29</v>
      </c>
      <c r="B112" s="26" t="s">
        <v>32</v>
      </c>
      <c r="C112" s="27" t="s">
        <v>173</v>
      </c>
      <c r="D112" s="26" t="s">
        <v>190</v>
      </c>
      <c r="E112" s="13" t="str">
        <f t="shared" si="2"/>
        <v>COHR,215-2-1,AQ,0</v>
      </c>
      <c r="F112" s="26"/>
      <c r="G112" s="13" t="s">
        <v>111</v>
      </c>
      <c r="H112" s="26" t="s">
        <v>75</v>
      </c>
      <c r="I112" s="26"/>
      <c r="J112" s="26"/>
      <c r="K112" s="28"/>
      <c r="L112" s="28"/>
      <c r="M112" s="16">
        <v>0.0</v>
      </c>
      <c r="N112" s="16">
        <v>0.0</v>
      </c>
      <c r="O112" s="17">
        <v>0.0</v>
      </c>
      <c r="P112" s="17">
        <v>0.0</v>
      </c>
      <c r="Q112" s="13"/>
      <c r="R112" s="13"/>
      <c r="S112" s="13"/>
      <c r="T112" s="13">
        <f t="shared" ref="T112:Y112" si="114">IF(ISBLANK(K112)=TRUE,0,1)</f>
        <v>0</v>
      </c>
      <c r="U112" s="13">
        <f t="shared" si="114"/>
        <v>0</v>
      </c>
      <c r="V112" s="13">
        <f t="shared" si="114"/>
        <v>1</v>
      </c>
      <c r="W112" s="13">
        <f t="shared" si="114"/>
        <v>1</v>
      </c>
      <c r="X112" s="13">
        <f t="shared" si="114"/>
        <v>1</v>
      </c>
      <c r="Y112" s="13">
        <f t="shared" si="114"/>
        <v>1</v>
      </c>
      <c r="Z112" s="13">
        <f t="shared" si="4"/>
        <v>0</v>
      </c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</row>
    <row r="113" ht="14.25" hidden="1" customHeight="1">
      <c r="A113" s="26" t="s">
        <v>29</v>
      </c>
      <c r="B113" s="26" t="s">
        <v>32</v>
      </c>
      <c r="C113" s="27" t="s">
        <v>173</v>
      </c>
      <c r="D113" s="26" t="s">
        <v>191</v>
      </c>
      <c r="E113" s="13" t="str">
        <f t="shared" si="2"/>
        <v>COHR,215-2-1,AR,0</v>
      </c>
      <c r="F113" s="26"/>
      <c r="G113" s="13" t="s">
        <v>111</v>
      </c>
      <c r="H113" s="26" t="s">
        <v>75</v>
      </c>
      <c r="I113" s="26"/>
      <c r="J113" s="26"/>
      <c r="K113" s="28"/>
      <c r="L113" s="28"/>
      <c r="M113" s="16">
        <v>0.0</v>
      </c>
      <c r="N113" s="16">
        <v>0.0</v>
      </c>
      <c r="O113" s="17">
        <v>0.0</v>
      </c>
      <c r="P113" s="17">
        <v>0.0</v>
      </c>
      <c r="Q113" s="13"/>
      <c r="R113" s="13"/>
      <c r="S113" s="13"/>
      <c r="T113" s="13">
        <f t="shared" ref="T113:Y113" si="115">IF(ISBLANK(K113)=TRUE,0,1)</f>
        <v>0</v>
      </c>
      <c r="U113" s="13">
        <f t="shared" si="115"/>
        <v>0</v>
      </c>
      <c r="V113" s="13">
        <f t="shared" si="115"/>
        <v>1</v>
      </c>
      <c r="W113" s="13">
        <f t="shared" si="115"/>
        <v>1</v>
      </c>
      <c r="X113" s="13">
        <f t="shared" si="115"/>
        <v>1</v>
      </c>
      <c r="Y113" s="13">
        <f t="shared" si="115"/>
        <v>1</v>
      </c>
      <c r="Z113" s="13">
        <f t="shared" si="4"/>
        <v>0</v>
      </c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ht="14.25" hidden="1" customHeight="1">
      <c r="A114" s="26" t="s">
        <v>29</v>
      </c>
      <c r="B114" s="26" t="s">
        <v>32</v>
      </c>
      <c r="C114" s="27" t="s">
        <v>173</v>
      </c>
      <c r="D114" s="26" t="s">
        <v>192</v>
      </c>
      <c r="E114" s="13" t="str">
        <f t="shared" si="2"/>
        <v>COHR,215-2-1,AS,0</v>
      </c>
      <c r="F114" s="26"/>
      <c r="G114" s="13" t="s">
        <v>111</v>
      </c>
      <c r="H114" s="26" t="s">
        <v>75</v>
      </c>
      <c r="I114" s="26"/>
      <c r="J114" s="26"/>
      <c r="K114" s="28"/>
      <c r="L114" s="28"/>
      <c r="M114" s="16">
        <v>0.0</v>
      </c>
      <c r="N114" s="16">
        <v>0.0</v>
      </c>
      <c r="O114" s="17">
        <v>0.0</v>
      </c>
      <c r="P114" s="17">
        <v>0.0</v>
      </c>
      <c r="Q114" s="13"/>
      <c r="R114" s="13"/>
      <c r="S114" s="13"/>
      <c r="T114" s="13">
        <f t="shared" ref="T114:Y114" si="116">IF(ISBLANK(K114)=TRUE,0,1)</f>
        <v>0</v>
      </c>
      <c r="U114" s="13">
        <f t="shared" si="116"/>
        <v>0</v>
      </c>
      <c r="V114" s="13">
        <f t="shared" si="116"/>
        <v>1</v>
      </c>
      <c r="W114" s="13">
        <f t="shared" si="116"/>
        <v>1</v>
      </c>
      <c r="X114" s="13">
        <f t="shared" si="116"/>
        <v>1</v>
      </c>
      <c r="Y114" s="13">
        <f t="shared" si="116"/>
        <v>1</v>
      </c>
      <c r="Z114" s="13">
        <f t="shared" si="4"/>
        <v>0</v>
      </c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</row>
    <row r="115" ht="14.25" hidden="1" customHeight="1">
      <c r="A115" s="26" t="s">
        <v>29</v>
      </c>
      <c r="B115" s="26" t="s">
        <v>32</v>
      </c>
      <c r="C115" s="27" t="s">
        <v>173</v>
      </c>
      <c r="D115" s="26" t="s">
        <v>193</v>
      </c>
      <c r="E115" s="13" t="str">
        <f t="shared" si="2"/>
        <v>COHR,215-2-1,AT,0</v>
      </c>
      <c r="F115" s="26"/>
      <c r="G115" s="13" t="s">
        <v>111</v>
      </c>
      <c r="H115" s="26" t="s">
        <v>75</v>
      </c>
      <c r="I115" s="26"/>
      <c r="J115" s="26"/>
      <c r="K115" s="28"/>
      <c r="L115" s="28"/>
      <c r="M115" s="16">
        <v>0.0</v>
      </c>
      <c r="N115" s="16">
        <v>0.0</v>
      </c>
      <c r="O115" s="17">
        <v>0.0</v>
      </c>
      <c r="P115" s="17">
        <v>0.0</v>
      </c>
      <c r="Q115" s="13"/>
      <c r="R115" s="13"/>
      <c r="S115" s="13"/>
      <c r="T115" s="13">
        <f t="shared" ref="T115:Y115" si="117">IF(ISBLANK(K115)=TRUE,0,1)</f>
        <v>0</v>
      </c>
      <c r="U115" s="13">
        <f t="shared" si="117"/>
        <v>0</v>
      </c>
      <c r="V115" s="13">
        <f t="shared" si="117"/>
        <v>1</v>
      </c>
      <c r="W115" s="13">
        <f t="shared" si="117"/>
        <v>1</v>
      </c>
      <c r="X115" s="13">
        <f t="shared" si="117"/>
        <v>1</v>
      </c>
      <c r="Y115" s="13">
        <f t="shared" si="117"/>
        <v>1</v>
      </c>
      <c r="Z115" s="13">
        <f t="shared" si="4"/>
        <v>0</v>
      </c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</row>
    <row r="116" ht="14.25" hidden="1" customHeight="1">
      <c r="A116" s="26" t="s">
        <v>29</v>
      </c>
      <c r="B116" s="26" t="s">
        <v>32</v>
      </c>
      <c r="C116" s="27" t="s">
        <v>173</v>
      </c>
      <c r="D116" s="26" t="s">
        <v>194</v>
      </c>
      <c r="E116" s="13" t="str">
        <f t="shared" si="2"/>
        <v>COHR,215-2-1,AU,0</v>
      </c>
      <c r="F116" s="26"/>
      <c r="G116" s="13" t="s">
        <v>111</v>
      </c>
      <c r="H116" s="26" t="s">
        <v>75</v>
      </c>
      <c r="I116" s="26"/>
      <c r="J116" s="26"/>
      <c r="K116" s="28"/>
      <c r="L116" s="28"/>
      <c r="M116" s="16">
        <v>0.0</v>
      </c>
      <c r="N116" s="16">
        <v>0.0</v>
      </c>
      <c r="O116" s="17">
        <v>0.0</v>
      </c>
      <c r="P116" s="17">
        <v>0.0</v>
      </c>
      <c r="Q116" s="13"/>
      <c r="R116" s="13"/>
      <c r="S116" s="13"/>
      <c r="T116" s="13">
        <f t="shared" ref="T116:Y116" si="118">IF(ISBLANK(K116)=TRUE,0,1)</f>
        <v>0</v>
      </c>
      <c r="U116" s="13">
        <f t="shared" si="118"/>
        <v>0</v>
      </c>
      <c r="V116" s="13">
        <f t="shared" si="118"/>
        <v>1</v>
      </c>
      <c r="W116" s="13">
        <f t="shared" si="118"/>
        <v>1</v>
      </c>
      <c r="X116" s="13">
        <f t="shared" si="118"/>
        <v>1</v>
      </c>
      <c r="Y116" s="13">
        <f t="shared" si="118"/>
        <v>1</v>
      </c>
      <c r="Z116" s="13">
        <f t="shared" si="4"/>
        <v>0</v>
      </c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</row>
    <row r="117" ht="14.25" hidden="1" customHeight="1">
      <c r="A117" s="26" t="s">
        <v>29</v>
      </c>
      <c r="B117" s="26" t="s">
        <v>32</v>
      </c>
      <c r="C117" s="27" t="s">
        <v>173</v>
      </c>
      <c r="D117" s="26" t="s">
        <v>195</v>
      </c>
      <c r="E117" s="13" t="str">
        <f t="shared" si="2"/>
        <v>COHR,215-2-1,AV,0</v>
      </c>
      <c r="F117" s="26"/>
      <c r="G117" s="13" t="s">
        <v>111</v>
      </c>
      <c r="H117" s="26" t="s">
        <v>75</v>
      </c>
      <c r="I117" s="26"/>
      <c r="J117" s="26"/>
      <c r="K117" s="28"/>
      <c r="L117" s="28"/>
      <c r="M117" s="16">
        <v>0.0</v>
      </c>
      <c r="N117" s="16">
        <v>0.0</v>
      </c>
      <c r="O117" s="17">
        <v>0.0</v>
      </c>
      <c r="P117" s="17">
        <v>0.0</v>
      </c>
      <c r="Q117" s="13"/>
      <c r="R117" s="13"/>
      <c r="S117" s="13"/>
      <c r="T117" s="13">
        <f t="shared" ref="T117:Y117" si="119">IF(ISBLANK(K117)=TRUE,0,1)</f>
        <v>0</v>
      </c>
      <c r="U117" s="13">
        <f t="shared" si="119"/>
        <v>0</v>
      </c>
      <c r="V117" s="13">
        <f t="shared" si="119"/>
        <v>1</v>
      </c>
      <c r="W117" s="13">
        <f t="shared" si="119"/>
        <v>1</v>
      </c>
      <c r="X117" s="13">
        <f t="shared" si="119"/>
        <v>1</v>
      </c>
      <c r="Y117" s="13">
        <f t="shared" si="119"/>
        <v>1</v>
      </c>
      <c r="Z117" s="13">
        <f t="shared" si="4"/>
        <v>0</v>
      </c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</row>
    <row r="118" ht="14.25" hidden="1" customHeight="1">
      <c r="A118" s="26" t="s">
        <v>29</v>
      </c>
      <c r="B118" s="26" t="s">
        <v>32</v>
      </c>
      <c r="C118" s="27" t="s">
        <v>173</v>
      </c>
      <c r="D118" s="26" t="s">
        <v>196</v>
      </c>
      <c r="E118" s="13" t="str">
        <f t="shared" si="2"/>
        <v>COHR,215-2-1,AW,0</v>
      </c>
      <c r="F118" s="26"/>
      <c r="G118" s="13" t="s">
        <v>111</v>
      </c>
      <c r="H118" s="26" t="s">
        <v>75</v>
      </c>
      <c r="I118" s="26"/>
      <c r="J118" s="26"/>
      <c r="K118" s="28"/>
      <c r="L118" s="28"/>
      <c r="M118" s="16">
        <v>0.0</v>
      </c>
      <c r="N118" s="16">
        <v>0.0</v>
      </c>
      <c r="O118" s="17">
        <v>0.0</v>
      </c>
      <c r="P118" s="17">
        <v>0.0</v>
      </c>
      <c r="Q118" s="13"/>
      <c r="R118" s="13"/>
      <c r="S118" s="13"/>
      <c r="T118" s="13">
        <f t="shared" ref="T118:Y118" si="120">IF(ISBLANK(K118)=TRUE,0,1)</f>
        <v>0</v>
      </c>
      <c r="U118" s="13">
        <f t="shared" si="120"/>
        <v>0</v>
      </c>
      <c r="V118" s="13">
        <f t="shared" si="120"/>
        <v>1</v>
      </c>
      <c r="W118" s="13">
        <f t="shared" si="120"/>
        <v>1</v>
      </c>
      <c r="X118" s="13">
        <f t="shared" si="120"/>
        <v>1</v>
      </c>
      <c r="Y118" s="13">
        <f t="shared" si="120"/>
        <v>1</v>
      </c>
      <c r="Z118" s="13">
        <f t="shared" si="4"/>
        <v>0</v>
      </c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</row>
    <row r="119" ht="14.25" hidden="1" customHeight="1">
      <c r="A119" s="26" t="s">
        <v>29</v>
      </c>
      <c r="B119" s="26" t="s">
        <v>32</v>
      </c>
      <c r="C119" s="27" t="s">
        <v>173</v>
      </c>
      <c r="D119" s="26" t="s">
        <v>197</v>
      </c>
      <c r="E119" s="13" t="str">
        <f t="shared" si="2"/>
        <v>COHR,215-2-1,AX,0</v>
      </c>
      <c r="F119" s="26"/>
      <c r="G119" s="13" t="s">
        <v>111</v>
      </c>
      <c r="H119" s="26" t="s">
        <v>75</v>
      </c>
      <c r="I119" s="26"/>
      <c r="J119" s="26"/>
      <c r="K119" s="28"/>
      <c r="L119" s="28"/>
      <c r="M119" s="16">
        <v>0.0</v>
      </c>
      <c r="N119" s="16">
        <v>0.0</v>
      </c>
      <c r="O119" s="17">
        <v>0.0</v>
      </c>
      <c r="P119" s="17">
        <v>0.0</v>
      </c>
      <c r="Q119" s="13"/>
      <c r="R119" s="13"/>
      <c r="S119" s="13"/>
      <c r="T119" s="13">
        <f t="shared" ref="T119:Y119" si="121">IF(ISBLANK(K119)=TRUE,0,1)</f>
        <v>0</v>
      </c>
      <c r="U119" s="13">
        <f t="shared" si="121"/>
        <v>0</v>
      </c>
      <c r="V119" s="13">
        <f t="shared" si="121"/>
        <v>1</v>
      </c>
      <c r="W119" s="13">
        <f t="shared" si="121"/>
        <v>1</v>
      </c>
      <c r="X119" s="13">
        <f t="shared" si="121"/>
        <v>1</v>
      </c>
      <c r="Y119" s="13">
        <f t="shared" si="121"/>
        <v>1</v>
      </c>
      <c r="Z119" s="13">
        <f t="shared" si="4"/>
        <v>0</v>
      </c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</row>
    <row r="120" ht="14.25" hidden="1" customHeight="1">
      <c r="A120" s="13" t="s">
        <v>29</v>
      </c>
      <c r="B120" s="13" t="s">
        <v>32</v>
      </c>
      <c r="C120" s="18" t="s">
        <v>198</v>
      </c>
      <c r="D120" s="13"/>
      <c r="E120" s="13" t="str">
        <f t="shared" si="2"/>
        <v>COHR,215-3-1,,0</v>
      </c>
      <c r="F120" s="13"/>
      <c r="G120" s="13" t="s">
        <v>111</v>
      </c>
      <c r="H120" s="13" t="s">
        <v>107</v>
      </c>
      <c r="I120" s="14">
        <v>44915.0</v>
      </c>
      <c r="J120" s="14"/>
      <c r="K120" s="15"/>
      <c r="L120" s="15"/>
      <c r="M120" s="16">
        <v>0.0</v>
      </c>
      <c r="N120" s="16">
        <v>0.0</v>
      </c>
      <c r="O120" s="17"/>
      <c r="P120" s="17"/>
      <c r="Q120" s="13">
        <f t="shared" ref="Q120:Q124" si="123">K119+L119+M119+N119+O119+P119/6</f>
        <v>0</v>
      </c>
      <c r="R120" s="13"/>
      <c r="S120" s="13"/>
      <c r="T120" s="13">
        <f t="shared" ref="T120:Y120" si="122">IF(ISBLANK(K120)=TRUE,0,1)</f>
        <v>0</v>
      </c>
      <c r="U120" s="13">
        <f t="shared" si="122"/>
        <v>0</v>
      </c>
      <c r="V120" s="13">
        <f t="shared" si="122"/>
        <v>1</v>
      </c>
      <c r="W120" s="13">
        <f t="shared" si="122"/>
        <v>1</v>
      </c>
      <c r="X120" s="13">
        <f t="shared" si="122"/>
        <v>0</v>
      </c>
      <c r="Y120" s="13">
        <f t="shared" si="122"/>
        <v>0</v>
      </c>
      <c r="Z120" s="13">
        <f t="shared" si="4"/>
        <v>0</v>
      </c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ht="14.25" hidden="1" customHeight="1">
      <c r="A121" s="13" t="s">
        <v>29</v>
      </c>
      <c r="B121" s="13" t="s">
        <v>32</v>
      </c>
      <c r="C121" s="18" t="s">
        <v>199</v>
      </c>
      <c r="D121" s="13"/>
      <c r="E121" s="13" t="str">
        <f t="shared" si="2"/>
        <v>COHR,215-3-10,,0</v>
      </c>
      <c r="F121" s="13"/>
      <c r="G121" s="13" t="s">
        <v>111</v>
      </c>
      <c r="H121" s="13" t="s">
        <v>75</v>
      </c>
      <c r="I121" s="14">
        <v>44915.0</v>
      </c>
      <c r="J121" s="14"/>
      <c r="K121" s="15"/>
      <c r="L121" s="15"/>
      <c r="M121" s="16">
        <v>0.0</v>
      </c>
      <c r="N121" s="16">
        <v>0.0</v>
      </c>
      <c r="O121" s="17">
        <v>0.0</v>
      </c>
      <c r="P121" s="17">
        <v>0.0</v>
      </c>
      <c r="Q121" s="13">
        <f t="shared" si="123"/>
        <v>0</v>
      </c>
      <c r="R121" s="13"/>
      <c r="S121" s="13"/>
      <c r="T121" s="13">
        <f t="shared" ref="T121:Y121" si="124">IF(ISBLANK(K121)=TRUE,0,1)</f>
        <v>0</v>
      </c>
      <c r="U121" s="13">
        <f t="shared" si="124"/>
        <v>0</v>
      </c>
      <c r="V121" s="13">
        <f t="shared" si="124"/>
        <v>1</v>
      </c>
      <c r="W121" s="13">
        <f t="shared" si="124"/>
        <v>1</v>
      </c>
      <c r="X121" s="13">
        <f t="shared" si="124"/>
        <v>1</v>
      </c>
      <c r="Y121" s="13">
        <f t="shared" si="124"/>
        <v>1</v>
      </c>
      <c r="Z121" s="13">
        <f t="shared" si="4"/>
        <v>0</v>
      </c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</row>
    <row r="122" ht="14.25" hidden="1" customHeight="1">
      <c r="A122" s="13" t="s">
        <v>29</v>
      </c>
      <c r="B122" s="13" t="s">
        <v>32</v>
      </c>
      <c r="C122" s="18" t="s">
        <v>200</v>
      </c>
      <c r="D122" s="13"/>
      <c r="E122" s="13" t="str">
        <f t="shared" si="2"/>
        <v>COHR,215-3-11,,0</v>
      </c>
      <c r="F122" s="13"/>
      <c r="G122" s="13" t="s">
        <v>111</v>
      </c>
      <c r="H122" s="13" t="s">
        <v>107</v>
      </c>
      <c r="I122" s="14">
        <v>44915.0</v>
      </c>
      <c r="J122" s="14"/>
      <c r="K122" s="15"/>
      <c r="L122" s="15"/>
      <c r="M122" s="16">
        <v>0.0</v>
      </c>
      <c r="N122" s="16">
        <v>0.0</v>
      </c>
      <c r="O122" s="17"/>
      <c r="P122" s="17"/>
      <c r="Q122" s="13">
        <f t="shared" si="123"/>
        <v>0</v>
      </c>
      <c r="R122" s="13"/>
      <c r="S122" s="13"/>
      <c r="T122" s="13">
        <f t="shared" ref="T122:Y122" si="125">IF(ISBLANK(K122)=TRUE,0,1)</f>
        <v>0</v>
      </c>
      <c r="U122" s="13">
        <f t="shared" si="125"/>
        <v>0</v>
      </c>
      <c r="V122" s="13">
        <f t="shared" si="125"/>
        <v>1</v>
      </c>
      <c r="W122" s="13">
        <f t="shared" si="125"/>
        <v>1</v>
      </c>
      <c r="X122" s="13">
        <f t="shared" si="125"/>
        <v>0</v>
      </c>
      <c r="Y122" s="13">
        <f t="shared" si="125"/>
        <v>0</v>
      </c>
      <c r="Z122" s="13">
        <f t="shared" si="4"/>
        <v>0</v>
      </c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</row>
    <row r="123" ht="14.25" hidden="1" customHeight="1">
      <c r="A123" s="13" t="s">
        <v>29</v>
      </c>
      <c r="B123" s="13" t="s">
        <v>32</v>
      </c>
      <c r="C123" s="18" t="s">
        <v>201</v>
      </c>
      <c r="D123" s="13"/>
      <c r="E123" s="13" t="str">
        <f t="shared" si="2"/>
        <v>COHR,215-3-12,,0</v>
      </c>
      <c r="F123" s="13"/>
      <c r="G123" s="13" t="s">
        <v>111</v>
      </c>
      <c r="H123" s="13" t="s">
        <v>107</v>
      </c>
      <c r="I123" s="14">
        <v>44915.0</v>
      </c>
      <c r="J123" s="14"/>
      <c r="K123" s="15"/>
      <c r="L123" s="15"/>
      <c r="M123" s="16">
        <v>0.0</v>
      </c>
      <c r="N123" s="16">
        <v>0.0</v>
      </c>
      <c r="O123" s="17"/>
      <c r="P123" s="17"/>
      <c r="Q123" s="13">
        <f t="shared" si="123"/>
        <v>0</v>
      </c>
      <c r="R123" s="13"/>
      <c r="S123" s="13"/>
      <c r="T123" s="13">
        <f t="shared" ref="T123:Y123" si="126">IF(ISBLANK(K123)=TRUE,0,1)</f>
        <v>0</v>
      </c>
      <c r="U123" s="13">
        <f t="shared" si="126"/>
        <v>0</v>
      </c>
      <c r="V123" s="13">
        <f t="shared" si="126"/>
        <v>1</v>
      </c>
      <c r="W123" s="13">
        <f t="shared" si="126"/>
        <v>1</v>
      </c>
      <c r="X123" s="13">
        <f t="shared" si="126"/>
        <v>0</v>
      </c>
      <c r="Y123" s="13">
        <f t="shared" si="126"/>
        <v>0</v>
      </c>
      <c r="Z123" s="13">
        <f t="shared" si="4"/>
        <v>0</v>
      </c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</row>
    <row r="124" ht="14.25" hidden="1" customHeight="1">
      <c r="A124" s="13" t="s">
        <v>29</v>
      </c>
      <c r="B124" s="13" t="s">
        <v>32</v>
      </c>
      <c r="C124" s="18" t="s">
        <v>202</v>
      </c>
      <c r="D124" s="13"/>
      <c r="E124" s="13" t="str">
        <f t="shared" si="2"/>
        <v>COHR,215-3-13,,0</v>
      </c>
      <c r="F124" s="13"/>
      <c r="G124" s="13" t="s">
        <v>111</v>
      </c>
      <c r="H124" s="13" t="s">
        <v>75</v>
      </c>
      <c r="I124" s="14">
        <v>44915.0</v>
      </c>
      <c r="J124" s="14"/>
      <c r="K124" s="15"/>
      <c r="L124" s="15"/>
      <c r="M124" s="16">
        <v>0.0</v>
      </c>
      <c r="N124" s="16">
        <v>0.0</v>
      </c>
      <c r="O124" s="17">
        <v>0.0</v>
      </c>
      <c r="P124" s="17">
        <v>0.0</v>
      </c>
      <c r="Q124" s="13">
        <f t="shared" si="123"/>
        <v>0</v>
      </c>
      <c r="R124" s="13"/>
      <c r="S124" s="13"/>
      <c r="T124" s="13">
        <f t="shared" ref="T124:Y124" si="127">IF(ISBLANK(K124)=TRUE,0,1)</f>
        <v>0</v>
      </c>
      <c r="U124" s="13">
        <f t="shared" si="127"/>
        <v>0</v>
      </c>
      <c r="V124" s="13">
        <f t="shared" si="127"/>
        <v>1</v>
      </c>
      <c r="W124" s="13">
        <f t="shared" si="127"/>
        <v>1</v>
      </c>
      <c r="X124" s="13">
        <f t="shared" si="127"/>
        <v>1</v>
      </c>
      <c r="Y124" s="13">
        <f t="shared" si="127"/>
        <v>1</v>
      </c>
      <c r="Z124" s="13">
        <f t="shared" si="4"/>
        <v>0</v>
      </c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</row>
    <row r="125" ht="14.25" hidden="1" customHeight="1">
      <c r="A125" s="13" t="s">
        <v>29</v>
      </c>
      <c r="B125" s="13" t="s">
        <v>32</v>
      </c>
      <c r="C125" s="18" t="s">
        <v>202</v>
      </c>
      <c r="D125" s="13" t="s">
        <v>174</v>
      </c>
      <c r="E125" s="13" t="str">
        <f t="shared" si="2"/>
        <v>COHR,215-3-13,AA,0</v>
      </c>
      <c r="F125" s="13"/>
      <c r="G125" s="13" t="s">
        <v>111</v>
      </c>
      <c r="H125" s="13" t="s">
        <v>75</v>
      </c>
      <c r="I125" s="13"/>
      <c r="J125" s="13"/>
      <c r="K125" s="15"/>
      <c r="L125" s="15"/>
      <c r="M125" s="16">
        <v>0.0</v>
      </c>
      <c r="N125" s="16">
        <v>0.0</v>
      </c>
      <c r="O125" s="17">
        <v>0.0</v>
      </c>
      <c r="P125" s="17">
        <v>0.0</v>
      </c>
      <c r="Q125" s="13"/>
      <c r="R125" s="13"/>
      <c r="S125" s="13"/>
      <c r="T125" s="13">
        <f t="shared" ref="T125:Y125" si="128">IF(ISBLANK(K125)=TRUE,0,1)</f>
        <v>0</v>
      </c>
      <c r="U125" s="13">
        <f t="shared" si="128"/>
        <v>0</v>
      </c>
      <c r="V125" s="13">
        <f t="shared" si="128"/>
        <v>1</v>
      </c>
      <c r="W125" s="13">
        <f t="shared" si="128"/>
        <v>1</v>
      </c>
      <c r="X125" s="13">
        <f t="shared" si="128"/>
        <v>1</v>
      </c>
      <c r="Y125" s="13">
        <f t="shared" si="128"/>
        <v>1</v>
      </c>
      <c r="Z125" s="13">
        <f t="shared" si="4"/>
        <v>0</v>
      </c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</row>
    <row r="126" ht="14.25" hidden="1" customHeight="1">
      <c r="A126" s="13" t="s">
        <v>29</v>
      </c>
      <c r="B126" s="13" t="s">
        <v>32</v>
      </c>
      <c r="C126" s="18" t="s">
        <v>202</v>
      </c>
      <c r="D126" s="13" t="s">
        <v>175</v>
      </c>
      <c r="E126" s="13" t="str">
        <f t="shared" si="2"/>
        <v>COHR,215-3-13,AB,0</v>
      </c>
      <c r="F126" s="13"/>
      <c r="G126" s="13" t="s">
        <v>111</v>
      </c>
      <c r="H126" s="13" t="s">
        <v>75</v>
      </c>
      <c r="I126" s="13"/>
      <c r="J126" s="13"/>
      <c r="K126" s="15"/>
      <c r="L126" s="15"/>
      <c r="M126" s="16">
        <v>0.0</v>
      </c>
      <c r="N126" s="16">
        <v>0.0</v>
      </c>
      <c r="O126" s="17">
        <v>0.0</v>
      </c>
      <c r="P126" s="17">
        <v>0.0</v>
      </c>
      <c r="Q126" s="13"/>
      <c r="R126" s="13"/>
      <c r="S126" s="13"/>
      <c r="T126" s="13">
        <f t="shared" ref="T126:Y126" si="129">IF(ISBLANK(K126)=TRUE,0,1)</f>
        <v>0</v>
      </c>
      <c r="U126" s="13">
        <f t="shared" si="129"/>
        <v>0</v>
      </c>
      <c r="V126" s="13">
        <f t="shared" si="129"/>
        <v>1</v>
      </c>
      <c r="W126" s="13">
        <f t="shared" si="129"/>
        <v>1</v>
      </c>
      <c r="X126" s="13">
        <f t="shared" si="129"/>
        <v>1</v>
      </c>
      <c r="Y126" s="13">
        <f t="shared" si="129"/>
        <v>1</v>
      </c>
      <c r="Z126" s="13">
        <f t="shared" si="4"/>
        <v>0</v>
      </c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</row>
    <row r="127" ht="14.25" hidden="1" customHeight="1">
      <c r="A127" s="13" t="s">
        <v>29</v>
      </c>
      <c r="B127" s="13" t="s">
        <v>32</v>
      </c>
      <c r="C127" s="18" t="s">
        <v>202</v>
      </c>
      <c r="D127" s="13" t="s">
        <v>176</v>
      </c>
      <c r="E127" s="13" t="str">
        <f t="shared" si="2"/>
        <v>COHR,215-3-13,AC,0</v>
      </c>
      <c r="F127" s="13"/>
      <c r="G127" s="13" t="s">
        <v>111</v>
      </c>
      <c r="H127" s="13" t="s">
        <v>75</v>
      </c>
      <c r="I127" s="13"/>
      <c r="J127" s="13"/>
      <c r="K127" s="15"/>
      <c r="L127" s="15"/>
      <c r="M127" s="16">
        <v>0.0</v>
      </c>
      <c r="N127" s="16">
        <v>0.0</v>
      </c>
      <c r="O127" s="17">
        <v>0.0</v>
      </c>
      <c r="P127" s="17">
        <v>0.0</v>
      </c>
      <c r="Q127" s="13"/>
      <c r="R127" s="13"/>
      <c r="S127" s="13"/>
      <c r="T127" s="13">
        <f t="shared" ref="T127:Y127" si="130">IF(ISBLANK(K127)=TRUE,0,1)</f>
        <v>0</v>
      </c>
      <c r="U127" s="13">
        <f t="shared" si="130"/>
        <v>0</v>
      </c>
      <c r="V127" s="13">
        <f t="shared" si="130"/>
        <v>1</v>
      </c>
      <c r="W127" s="13">
        <f t="shared" si="130"/>
        <v>1</v>
      </c>
      <c r="X127" s="13">
        <f t="shared" si="130"/>
        <v>1</v>
      </c>
      <c r="Y127" s="13">
        <f t="shared" si="130"/>
        <v>1</v>
      </c>
      <c r="Z127" s="13">
        <f t="shared" si="4"/>
        <v>0</v>
      </c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</row>
    <row r="128" ht="14.25" hidden="1" customHeight="1">
      <c r="A128" s="13" t="s">
        <v>29</v>
      </c>
      <c r="B128" s="13" t="s">
        <v>32</v>
      </c>
      <c r="C128" s="18" t="s">
        <v>203</v>
      </c>
      <c r="D128" s="13"/>
      <c r="E128" s="13" t="str">
        <f t="shared" si="2"/>
        <v>COHR,215-3-14,,0</v>
      </c>
      <c r="F128" s="13"/>
      <c r="G128" s="13" t="s">
        <v>111</v>
      </c>
      <c r="H128" s="13" t="s">
        <v>107</v>
      </c>
      <c r="I128" s="14">
        <v>44915.0</v>
      </c>
      <c r="J128" s="14"/>
      <c r="K128" s="15"/>
      <c r="L128" s="15"/>
      <c r="M128" s="16">
        <v>0.0</v>
      </c>
      <c r="N128" s="16">
        <v>0.0</v>
      </c>
      <c r="O128" s="17"/>
      <c r="P128" s="17"/>
      <c r="Q128" s="13">
        <f t="shared" ref="Q128:Q139" si="132">K127+L127+M127+N127+O127+P127/6</f>
        <v>0</v>
      </c>
      <c r="R128" s="13"/>
      <c r="S128" s="13"/>
      <c r="T128" s="13">
        <f t="shared" ref="T128:Y128" si="131">IF(ISBLANK(K128)=TRUE,0,1)</f>
        <v>0</v>
      </c>
      <c r="U128" s="13">
        <f t="shared" si="131"/>
        <v>0</v>
      </c>
      <c r="V128" s="13">
        <f t="shared" si="131"/>
        <v>1</v>
      </c>
      <c r="W128" s="13">
        <f t="shared" si="131"/>
        <v>1</v>
      </c>
      <c r="X128" s="13">
        <f t="shared" si="131"/>
        <v>0</v>
      </c>
      <c r="Y128" s="13">
        <f t="shared" si="131"/>
        <v>0</v>
      </c>
      <c r="Z128" s="13">
        <f t="shared" si="4"/>
        <v>0</v>
      </c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</row>
    <row r="129" ht="14.25" hidden="1" customHeight="1">
      <c r="A129" s="13" t="s">
        <v>29</v>
      </c>
      <c r="B129" s="13" t="s">
        <v>32</v>
      </c>
      <c r="C129" s="18" t="s">
        <v>204</v>
      </c>
      <c r="D129" s="13"/>
      <c r="E129" s="13" t="str">
        <f t="shared" si="2"/>
        <v>COHR,215-3-15,,0</v>
      </c>
      <c r="F129" s="13"/>
      <c r="G129" s="13" t="s">
        <v>111</v>
      </c>
      <c r="H129" s="13" t="s">
        <v>75</v>
      </c>
      <c r="I129" s="13"/>
      <c r="J129" s="13"/>
      <c r="K129" s="15"/>
      <c r="L129" s="15"/>
      <c r="M129" s="16">
        <v>0.0</v>
      </c>
      <c r="N129" s="16">
        <v>0.0</v>
      </c>
      <c r="O129" s="17"/>
      <c r="P129" s="17"/>
      <c r="Q129" s="13">
        <f t="shared" si="132"/>
        <v>0</v>
      </c>
      <c r="R129" s="13"/>
      <c r="S129" s="13"/>
      <c r="T129" s="13">
        <f t="shared" ref="T129:Y129" si="133">IF(ISBLANK(K129)=TRUE,0,1)</f>
        <v>0</v>
      </c>
      <c r="U129" s="13">
        <f t="shared" si="133"/>
        <v>0</v>
      </c>
      <c r="V129" s="13">
        <f t="shared" si="133"/>
        <v>1</v>
      </c>
      <c r="W129" s="13">
        <f t="shared" si="133"/>
        <v>1</v>
      </c>
      <c r="X129" s="13">
        <f t="shared" si="133"/>
        <v>0</v>
      </c>
      <c r="Y129" s="13">
        <f t="shared" si="133"/>
        <v>0</v>
      </c>
      <c r="Z129" s="13">
        <f t="shared" si="4"/>
        <v>0</v>
      </c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</row>
    <row r="130" ht="14.25" hidden="1" customHeight="1">
      <c r="A130" s="13" t="s">
        <v>29</v>
      </c>
      <c r="B130" s="13" t="s">
        <v>32</v>
      </c>
      <c r="C130" s="18" t="s">
        <v>205</v>
      </c>
      <c r="D130" s="13"/>
      <c r="E130" s="13" t="str">
        <f t="shared" si="2"/>
        <v>COHR,215-3-16,,0</v>
      </c>
      <c r="F130" s="13"/>
      <c r="G130" s="13" t="s">
        <v>111</v>
      </c>
      <c r="H130" s="13" t="s">
        <v>75</v>
      </c>
      <c r="I130" s="13"/>
      <c r="J130" s="13"/>
      <c r="K130" s="15"/>
      <c r="L130" s="15"/>
      <c r="M130" s="16">
        <v>0.0</v>
      </c>
      <c r="N130" s="16">
        <v>0.0</v>
      </c>
      <c r="O130" s="17"/>
      <c r="P130" s="17"/>
      <c r="Q130" s="13">
        <f t="shared" si="132"/>
        <v>0</v>
      </c>
      <c r="R130" s="13"/>
      <c r="S130" s="13"/>
      <c r="T130" s="13">
        <f t="shared" ref="T130:Y130" si="134">IF(ISBLANK(K130)=TRUE,0,1)</f>
        <v>0</v>
      </c>
      <c r="U130" s="13">
        <f t="shared" si="134"/>
        <v>0</v>
      </c>
      <c r="V130" s="13">
        <f t="shared" si="134"/>
        <v>1</v>
      </c>
      <c r="W130" s="13">
        <f t="shared" si="134"/>
        <v>1</v>
      </c>
      <c r="X130" s="13">
        <f t="shared" si="134"/>
        <v>0</v>
      </c>
      <c r="Y130" s="13">
        <f t="shared" si="134"/>
        <v>0</v>
      </c>
      <c r="Z130" s="13">
        <f t="shared" si="4"/>
        <v>0</v>
      </c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</row>
    <row r="131" ht="14.25" hidden="1" customHeight="1">
      <c r="A131" s="13" t="s">
        <v>29</v>
      </c>
      <c r="B131" s="13" t="s">
        <v>32</v>
      </c>
      <c r="C131" s="18" t="s">
        <v>206</v>
      </c>
      <c r="D131" s="13"/>
      <c r="E131" s="13" t="str">
        <f t="shared" si="2"/>
        <v>COHR,215-3-17,,0</v>
      </c>
      <c r="F131" s="13"/>
      <c r="G131" s="13" t="s">
        <v>111</v>
      </c>
      <c r="H131" s="13" t="s">
        <v>75</v>
      </c>
      <c r="I131" s="13"/>
      <c r="J131" s="13"/>
      <c r="K131" s="15"/>
      <c r="L131" s="15"/>
      <c r="M131" s="16">
        <v>0.0</v>
      </c>
      <c r="N131" s="16">
        <v>0.0</v>
      </c>
      <c r="O131" s="17"/>
      <c r="P131" s="17"/>
      <c r="Q131" s="13">
        <f t="shared" si="132"/>
        <v>0</v>
      </c>
      <c r="R131" s="13"/>
      <c r="S131" s="13"/>
      <c r="T131" s="13">
        <f t="shared" ref="T131:Y131" si="135">IF(ISBLANK(K131)=TRUE,0,1)</f>
        <v>0</v>
      </c>
      <c r="U131" s="13">
        <f t="shared" si="135"/>
        <v>0</v>
      </c>
      <c r="V131" s="13">
        <f t="shared" si="135"/>
        <v>1</v>
      </c>
      <c r="W131" s="13">
        <f t="shared" si="135"/>
        <v>1</v>
      </c>
      <c r="X131" s="13">
        <f t="shared" si="135"/>
        <v>0</v>
      </c>
      <c r="Y131" s="13">
        <f t="shared" si="135"/>
        <v>0</v>
      </c>
      <c r="Z131" s="13">
        <f t="shared" si="4"/>
        <v>0</v>
      </c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</row>
    <row r="132" ht="14.25" hidden="1" customHeight="1">
      <c r="A132" s="13" t="s">
        <v>29</v>
      </c>
      <c r="B132" s="13" t="s">
        <v>32</v>
      </c>
      <c r="C132" s="18" t="s">
        <v>207</v>
      </c>
      <c r="D132" s="13"/>
      <c r="E132" s="13" t="str">
        <f t="shared" si="2"/>
        <v>COHR,215-3-18,,0</v>
      </c>
      <c r="F132" s="13"/>
      <c r="G132" s="13" t="s">
        <v>111</v>
      </c>
      <c r="H132" s="13" t="s">
        <v>75</v>
      </c>
      <c r="I132" s="13"/>
      <c r="J132" s="13"/>
      <c r="K132" s="15"/>
      <c r="L132" s="15"/>
      <c r="M132" s="16">
        <v>0.0</v>
      </c>
      <c r="N132" s="16">
        <v>0.0</v>
      </c>
      <c r="O132" s="17"/>
      <c r="P132" s="17"/>
      <c r="Q132" s="13">
        <f t="shared" si="132"/>
        <v>0</v>
      </c>
      <c r="R132" s="13"/>
      <c r="S132" s="13"/>
      <c r="T132" s="13">
        <f t="shared" ref="T132:Y132" si="136">IF(ISBLANK(K132)=TRUE,0,1)</f>
        <v>0</v>
      </c>
      <c r="U132" s="13">
        <f t="shared" si="136"/>
        <v>0</v>
      </c>
      <c r="V132" s="13">
        <f t="shared" si="136"/>
        <v>1</v>
      </c>
      <c r="W132" s="13">
        <f t="shared" si="136"/>
        <v>1</v>
      </c>
      <c r="X132" s="13">
        <f t="shared" si="136"/>
        <v>0</v>
      </c>
      <c r="Y132" s="13">
        <f t="shared" si="136"/>
        <v>0</v>
      </c>
      <c r="Z132" s="13">
        <f t="shared" si="4"/>
        <v>0</v>
      </c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</row>
    <row r="133" ht="14.25" hidden="1" customHeight="1">
      <c r="A133" s="13" t="s">
        <v>29</v>
      </c>
      <c r="B133" s="13" t="s">
        <v>32</v>
      </c>
      <c r="C133" s="18" t="s">
        <v>208</v>
      </c>
      <c r="D133" s="13"/>
      <c r="E133" s="13" t="str">
        <f t="shared" si="2"/>
        <v>COHR,215-3-19,,0</v>
      </c>
      <c r="F133" s="13"/>
      <c r="G133" s="13" t="s">
        <v>111</v>
      </c>
      <c r="H133" s="13" t="s">
        <v>75</v>
      </c>
      <c r="I133" s="13"/>
      <c r="J133" s="13"/>
      <c r="K133" s="15"/>
      <c r="L133" s="15"/>
      <c r="M133" s="16">
        <v>0.0</v>
      </c>
      <c r="N133" s="16">
        <v>0.0</v>
      </c>
      <c r="O133" s="17"/>
      <c r="P133" s="17"/>
      <c r="Q133" s="13">
        <f t="shared" si="132"/>
        <v>0</v>
      </c>
      <c r="R133" s="13"/>
      <c r="S133" s="13"/>
      <c r="T133" s="13">
        <f t="shared" ref="T133:Y133" si="137">IF(ISBLANK(K133)=TRUE,0,1)</f>
        <v>0</v>
      </c>
      <c r="U133" s="13">
        <f t="shared" si="137"/>
        <v>0</v>
      </c>
      <c r="V133" s="13">
        <f t="shared" si="137"/>
        <v>1</v>
      </c>
      <c r="W133" s="13">
        <f t="shared" si="137"/>
        <v>1</v>
      </c>
      <c r="X133" s="13">
        <f t="shared" si="137"/>
        <v>0</v>
      </c>
      <c r="Y133" s="13">
        <f t="shared" si="137"/>
        <v>0</v>
      </c>
      <c r="Z133" s="13">
        <f t="shared" si="4"/>
        <v>0</v>
      </c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</row>
    <row r="134" ht="14.25" hidden="1" customHeight="1">
      <c r="A134" s="13" t="s">
        <v>29</v>
      </c>
      <c r="B134" s="13" t="s">
        <v>32</v>
      </c>
      <c r="C134" s="18" t="s">
        <v>209</v>
      </c>
      <c r="D134" s="13"/>
      <c r="E134" s="13" t="str">
        <f t="shared" si="2"/>
        <v>COHR,215-3-2,,0</v>
      </c>
      <c r="F134" s="13"/>
      <c r="G134" s="13" t="s">
        <v>111</v>
      </c>
      <c r="H134" s="13" t="s">
        <v>107</v>
      </c>
      <c r="I134" s="14">
        <v>44915.0</v>
      </c>
      <c r="J134" s="14"/>
      <c r="K134" s="15"/>
      <c r="L134" s="15"/>
      <c r="M134" s="16">
        <v>0.0</v>
      </c>
      <c r="N134" s="16">
        <v>0.0</v>
      </c>
      <c r="O134" s="17"/>
      <c r="P134" s="17"/>
      <c r="Q134" s="13">
        <f t="shared" si="132"/>
        <v>0</v>
      </c>
      <c r="R134" s="13"/>
      <c r="S134" s="13"/>
      <c r="T134" s="13">
        <f t="shared" ref="T134:Y134" si="138">IF(ISBLANK(K134)=TRUE,0,1)</f>
        <v>0</v>
      </c>
      <c r="U134" s="13">
        <f t="shared" si="138"/>
        <v>0</v>
      </c>
      <c r="V134" s="13">
        <f t="shared" si="138"/>
        <v>1</v>
      </c>
      <c r="W134" s="13">
        <f t="shared" si="138"/>
        <v>1</v>
      </c>
      <c r="X134" s="13">
        <f t="shared" si="138"/>
        <v>0</v>
      </c>
      <c r="Y134" s="13">
        <f t="shared" si="138"/>
        <v>0</v>
      </c>
      <c r="Z134" s="13">
        <f t="shared" si="4"/>
        <v>0</v>
      </c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</row>
    <row r="135" ht="14.25" hidden="1" customHeight="1">
      <c r="A135" s="13" t="s">
        <v>29</v>
      </c>
      <c r="B135" s="13" t="s">
        <v>32</v>
      </c>
      <c r="C135" s="18" t="s">
        <v>210</v>
      </c>
      <c r="D135" s="13"/>
      <c r="E135" s="13" t="str">
        <f t="shared" si="2"/>
        <v>COHR,215-3-20,,0</v>
      </c>
      <c r="F135" s="13"/>
      <c r="G135" s="13" t="s">
        <v>111</v>
      </c>
      <c r="H135" s="13" t="s">
        <v>75</v>
      </c>
      <c r="I135" s="13"/>
      <c r="J135" s="13"/>
      <c r="K135" s="15"/>
      <c r="L135" s="15"/>
      <c r="M135" s="16">
        <v>0.0</v>
      </c>
      <c r="N135" s="16">
        <v>0.0</v>
      </c>
      <c r="O135" s="17"/>
      <c r="P135" s="17"/>
      <c r="Q135" s="13">
        <f t="shared" si="132"/>
        <v>0</v>
      </c>
      <c r="R135" s="13"/>
      <c r="S135" s="13"/>
      <c r="T135" s="13">
        <f t="shared" ref="T135:Y135" si="139">IF(ISBLANK(K135)=TRUE,0,1)</f>
        <v>0</v>
      </c>
      <c r="U135" s="13">
        <f t="shared" si="139"/>
        <v>0</v>
      </c>
      <c r="V135" s="13">
        <f t="shared" si="139"/>
        <v>1</v>
      </c>
      <c r="W135" s="13">
        <f t="shared" si="139"/>
        <v>1</v>
      </c>
      <c r="X135" s="13">
        <f t="shared" si="139"/>
        <v>0</v>
      </c>
      <c r="Y135" s="13">
        <f t="shared" si="139"/>
        <v>0</v>
      </c>
      <c r="Z135" s="13">
        <f t="shared" si="4"/>
        <v>0</v>
      </c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</row>
    <row r="136" ht="14.25" hidden="1" customHeight="1">
      <c r="A136" s="13" t="s">
        <v>29</v>
      </c>
      <c r="B136" s="13" t="s">
        <v>32</v>
      </c>
      <c r="C136" s="18" t="s">
        <v>211</v>
      </c>
      <c r="D136" s="13"/>
      <c r="E136" s="13" t="str">
        <f t="shared" si="2"/>
        <v>COHR,215-3-21,,0</v>
      </c>
      <c r="F136" s="13"/>
      <c r="G136" s="13" t="s">
        <v>111</v>
      </c>
      <c r="H136" s="13" t="s">
        <v>75</v>
      </c>
      <c r="I136" s="13"/>
      <c r="J136" s="13"/>
      <c r="K136" s="15"/>
      <c r="L136" s="15"/>
      <c r="M136" s="16">
        <v>0.0</v>
      </c>
      <c r="N136" s="16">
        <v>0.0</v>
      </c>
      <c r="O136" s="17"/>
      <c r="P136" s="17"/>
      <c r="Q136" s="13">
        <f t="shared" si="132"/>
        <v>0</v>
      </c>
      <c r="R136" s="13"/>
      <c r="S136" s="13"/>
      <c r="T136" s="13">
        <f t="shared" ref="T136:Y136" si="140">IF(ISBLANK(K136)=TRUE,0,1)</f>
        <v>0</v>
      </c>
      <c r="U136" s="13">
        <f t="shared" si="140"/>
        <v>0</v>
      </c>
      <c r="V136" s="13">
        <f t="shared" si="140"/>
        <v>1</v>
      </c>
      <c r="W136" s="13">
        <f t="shared" si="140"/>
        <v>1</v>
      </c>
      <c r="X136" s="13">
        <f t="shared" si="140"/>
        <v>0</v>
      </c>
      <c r="Y136" s="13">
        <f t="shared" si="140"/>
        <v>0</v>
      </c>
      <c r="Z136" s="13">
        <f t="shared" si="4"/>
        <v>0</v>
      </c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</row>
    <row r="137" ht="14.25" hidden="1" customHeight="1">
      <c r="A137" s="13" t="s">
        <v>29</v>
      </c>
      <c r="B137" s="13" t="s">
        <v>32</v>
      </c>
      <c r="C137" s="18" t="s">
        <v>212</v>
      </c>
      <c r="D137" s="13"/>
      <c r="E137" s="13" t="str">
        <f t="shared" si="2"/>
        <v>COHR,215-3-22,,0</v>
      </c>
      <c r="F137" s="13"/>
      <c r="G137" s="13" t="s">
        <v>111</v>
      </c>
      <c r="H137" s="13" t="s">
        <v>75</v>
      </c>
      <c r="I137" s="13"/>
      <c r="J137" s="13"/>
      <c r="K137" s="15"/>
      <c r="L137" s="15"/>
      <c r="M137" s="16">
        <v>0.0</v>
      </c>
      <c r="N137" s="16">
        <v>0.0</v>
      </c>
      <c r="O137" s="17"/>
      <c r="P137" s="17"/>
      <c r="Q137" s="13">
        <f t="shared" si="132"/>
        <v>0</v>
      </c>
      <c r="R137" s="13"/>
      <c r="S137" s="13"/>
      <c r="T137" s="13">
        <f t="shared" ref="T137:Y137" si="141">IF(ISBLANK(K137)=TRUE,0,1)</f>
        <v>0</v>
      </c>
      <c r="U137" s="13">
        <f t="shared" si="141"/>
        <v>0</v>
      </c>
      <c r="V137" s="13">
        <f t="shared" si="141"/>
        <v>1</v>
      </c>
      <c r="W137" s="13">
        <f t="shared" si="141"/>
        <v>1</v>
      </c>
      <c r="X137" s="13">
        <f t="shared" si="141"/>
        <v>0</v>
      </c>
      <c r="Y137" s="13">
        <f t="shared" si="141"/>
        <v>0</v>
      </c>
      <c r="Z137" s="13">
        <f t="shared" si="4"/>
        <v>0</v>
      </c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</row>
    <row r="138" ht="14.25" hidden="1" customHeight="1">
      <c r="A138" s="13" t="s">
        <v>29</v>
      </c>
      <c r="B138" s="13" t="s">
        <v>32</v>
      </c>
      <c r="C138" s="18" t="s">
        <v>213</v>
      </c>
      <c r="D138" s="13"/>
      <c r="E138" s="13" t="str">
        <f t="shared" si="2"/>
        <v>COHR,215-3-3,,0</v>
      </c>
      <c r="F138" s="13"/>
      <c r="G138" s="13" t="s">
        <v>111</v>
      </c>
      <c r="H138" s="13" t="s">
        <v>75</v>
      </c>
      <c r="I138" s="14">
        <v>44915.0</v>
      </c>
      <c r="J138" s="14"/>
      <c r="K138" s="15"/>
      <c r="L138" s="15"/>
      <c r="M138" s="16">
        <v>0.0</v>
      </c>
      <c r="N138" s="16">
        <v>0.0</v>
      </c>
      <c r="O138" s="17">
        <v>0.0</v>
      </c>
      <c r="P138" s="17">
        <v>0.0</v>
      </c>
      <c r="Q138" s="13">
        <f t="shared" si="132"/>
        <v>0</v>
      </c>
      <c r="R138" s="13"/>
      <c r="S138" s="13"/>
      <c r="T138" s="13">
        <f t="shared" ref="T138:Y138" si="142">IF(ISBLANK(K138)=TRUE,0,1)</f>
        <v>0</v>
      </c>
      <c r="U138" s="13">
        <f t="shared" si="142"/>
        <v>0</v>
      </c>
      <c r="V138" s="13">
        <f t="shared" si="142"/>
        <v>1</v>
      </c>
      <c r="W138" s="13">
        <f t="shared" si="142"/>
        <v>1</v>
      </c>
      <c r="X138" s="13">
        <f t="shared" si="142"/>
        <v>1</v>
      </c>
      <c r="Y138" s="13">
        <f t="shared" si="142"/>
        <v>1</v>
      </c>
      <c r="Z138" s="13">
        <f t="shared" si="4"/>
        <v>0</v>
      </c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</row>
    <row r="139" ht="14.25" hidden="1" customHeight="1">
      <c r="A139" s="13" t="s">
        <v>29</v>
      </c>
      <c r="B139" s="13" t="s">
        <v>32</v>
      </c>
      <c r="C139" s="18" t="s">
        <v>214</v>
      </c>
      <c r="D139" s="13"/>
      <c r="E139" s="13" t="str">
        <f t="shared" si="2"/>
        <v>COHR,215-3-4,,0</v>
      </c>
      <c r="F139" s="13"/>
      <c r="G139" s="13" t="s">
        <v>111</v>
      </c>
      <c r="H139" s="13" t="s">
        <v>75</v>
      </c>
      <c r="I139" s="14">
        <v>44915.0</v>
      </c>
      <c r="J139" s="14"/>
      <c r="K139" s="15"/>
      <c r="L139" s="15"/>
      <c r="M139" s="16">
        <v>0.0</v>
      </c>
      <c r="N139" s="16">
        <v>0.0</v>
      </c>
      <c r="O139" s="17">
        <v>0.0</v>
      </c>
      <c r="P139" s="17">
        <v>0.0</v>
      </c>
      <c r="Q139" s="13">
        <f t="shared" si="132"/>
        <v>0</v>
      </c>
      <c r="R139" s="13"/>
      <c r="S139" s="13"/>
      <c r="T139" s="13">
        <f t="shared" ref="T139:Y139" si="143">IF(ISBLANK(K139)=TRUE,0,1)</f>
        <v>0</v>
      </c>
      <c r="U139" s="13">
        <f t="shared" si="143"/>
        <v>0</v>
      </c>
      <c r="V139" s="13">
        <f t="shared" si="143"/>
        <v>1</v>
      </c>
      <c r="W139" s="13">
        <f t="shared" si="143"/>
        <v>1</v>
      </c>
      <c r="X139" s="13">
        <f t="shared" si="143"/>
        <v>1</v>
      </c>
      <c r="Y139" s="13">
        <f t="shared" si="143"/>
        <v>1</v>
      </c>
      <c r="Z139" s="13">
        <f t="shared" si="4"/>
        <v>0</v>
      </c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</row>
    <row r="140" ht="14.25" hidden="1" customHeight="1">
      <c r="A140" s="13" t="s">
        <v>29</v>
      </c>
      <c r="B140" s="13" t="s">
        <v>32</v>
      </c>
      <c r="C140" s="13" t="s">
        <v>215</v>
      </c>
      <c r="D140" s="13" t="s">
        <v>181</v>
      </c>
      <c r="E140" s="13" t="str">
        <f t="shared" si="2"/>
        <v>COHR,215-3-45,AH,0</v>
      </c>
      <c r="F140" s="13"/>
      <c r="G140" s="13" t="s">
        <v>111</v>
      </c>
      <c r="H140" s="13" t="s">
        <v>75</v>
      </c>
      <c r="I140" s="13"/>
      <c r="J140" s="13"/>
      <c r="K140" s="15"/>
      <c r="L140" s="15"/>
      <c r="M140" s="16">
        <v>0.0</v>
      </c>
      <c r="N140" s="16">
        <v>0.0</v>
      </c>
      <c r="O140" s="17"/>
      <c r="P140" s="17"/>
      <c r="Q140" s="13"/>
      <c r="R140" s="13"/>
      <c r="S140" s="13"/>
      <c r="T140" s="13">
        <f t="shared" ref="T140:Y140" si="144">IF(ISBLANK(K140)=TRUE,0,1)</f>
        <v>0</v>
      </c>
      <c r="U140" s="13">
        <f t="shared" si="144"/>
        <v>0</v>
      </c>
      <c r="V140" s="13">
        <f t="shared" si="144"/>
        <v>1</v>
      </c>
      <c r="W140" s="13">
        <f t="shared" si="144"/>
        <v>1</v>
      </c>
      <c r="X140" s="13">
        <f t="shared" si="144"/>
        <v>0</v>
      </c>
      <c r="Y140" s="13">
        <f t="shared" si="144"/>
        <v>0</v>
      </c>
      <c r="Z140" s="13">
        <f t="shared" si="4"/>
        <v>0</v>
      </c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</row>
    <row r="141" ht="14.25" hidden="1" customHeight="1">
      <c r="A141" s="13" t="s">
        <v>29</v>
      </c>
      <c r="B141" s="13" t="s">
        <v>32</v>
      </c>
      <c r="C141" s="13" t="s">
        <v>215</v>
      </c>
      <c r="D141" s="13" t="s">
        <v>182</v>
      </c>
      <c r="E141" s="13" t="str">
        <f t="shared" si="2"/>
        <v>COHR,215-3-45,AI,0</v>
      </c>
      <c r="F141" s="13"/>
      <c r="G141" s="13" t="s">
        <v>111</v>
      </c>
      <c r="H141" s="13" t="s">
        <v>75</v>
      </c>
      <c r="I141" s="13"/>
      <c r="J141" s="13"/>
      <c r="K141" s="15"/>
      <c r="L141" s="15"/>
      <c r="M141" s="16">
        <v>0.0</v>
      </c>
      <c r="N141" s="16">
        <v>0.0</v>
      </c>
      <c r="O141" s="17"/>
      <c r="P141" s="17"/>
      <c r="Q141" s="13"/>
      <c r="R141" s="13"/>
      <c r="S141" s="13"/>
      <c r="T141" s="13">
        <f t="shared" ref="T141:Y141" si="145">IF(ISBLANK(K141)=TRUE,0,1)</f>
        <v>0</v>
      </c>
      <c r="U141" s="13">
        <f t="shared" si="145"/>
        <v>0</v>
      </c>
      <c r="V141" s="13">
        <f t="shared" si="145"/>
        <v>1</v>
      </c>
      <c r="W141" s="13">
        <f t="shared" si="145"/>
        <v>1</v>
      </c>
      <c r="X141" s="13">
        <f t="shared" si="145"/>
        <v>0</v>
      </c>
      <c r="Y141" s="13">
        <f t="shared" si="145"/>
        <v>0</v>
      </c>
      <c r="Z141" s="13">
        <f t="shared" si="4"/>
        <v>0</v>
      </c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</row>
    <row r="142" ht="14.25" hidden="1" customHeight="1">
      <c r="A142" s="13" t="s">
        <v>29</v>
      </c>
      <c r="B142" s="13" t="s">
        <v>32</v>
      </c>
      <c r="C142" s="13" t="s">
        <v>215</v>
      </c>
      <c r="D142" s="13" t="s">
        <v>183</v>
      </c>
      <c r="E142" s="13" t="str">
        <f t="shared" si="2"/>
        <v>COHR,215-3-45,AJ,0</v>
      </c>
      <c r="F142" s="13"/>
      <c r="G142" s="13" t="s">
        <v>111</v>
      </c>
      <c r="H142" s="13" t="s">
        <v>75</v>
      </c>
      <c r="I142" s="13"/>
      <c r="J142" s="13"/>
      <c r="K142" s="15"/>
      <c r="L142" s="15"/>
      <c r="M142" s="16">
        <v>0.0</v>
      </c>
      <c r="N142" s="16">
        <v>0.0</v>
      </c>
      <c r="O142" s="17"/>
      <c r="P142" s="17"/>
      <c r="Q142" s="13"/>
      <c r="R142" s="13"/>
      <c r="S142" s="13"/>
      <c r="T142" s="13">
        <f t="shared" ref="T142:Y142" si="146">IF(ISBLANK(K142)=TRUE,0,1)</f>
        <v>0</v>
      </c>
      <c r="U142" s="13">
        <f t="shared" si="146"/>
        <v>0</v>
      </c>
      <c r="V142" s="13">
        <f t="shared" si="146"/>
        <v>1</v>
      </c>
      <c r="W142" s="13">
        <f t="shared" si="146"/>
        <v>1</v>
      </c>
      <c r="X142" s="13">
        <f t="shared" si="146"/>
        <v>0</v>
      </c>
      <c r="Y142" s="13">
        <f t="shared" si="146"/>
        <v>0</v>
      </c>
      <c r="Z142" s="13">
        <f t="shared" si="4"/>
        <v>0</v>
      </c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</row>
    <row r="143" ht="14.25" hidden="1" customHeight="1">
      <c r="A143" s="13" t="s">
        <v>29</v>
      </c>
      <c r="B143" s="13" t="s">
        <v>32</v>
      </c>
      <c r="C143" s="13" t="s">
        <v>215</v>
      </c>
      <c r="D143" s="13" t="s">
        <v>184</v>
      </c>
      <c r="E143" s="13" t="str">
        <f t="shared" si="2"/>
        <v>COHR,215-3-45,AK,0</v>
      </c>
      <c r="F143" s="13"/>
      <c r="G143" s="13" t="s">
        <v>111</v>
      </c>
      <c r="H143" s="13" t="s">
        <v>75</v>
      </c>
      <c r="I143" s="13"/>
      <c r="J143" s="13"/>
      <c r="K143" s="15"/>
      <c r="L143" s="15"/>
      <c r="M143" s="16">
        <v>0.0</v>
      </c>
      <c r="N143" s="16">
        <v>0.0</v>
      </c>
      <c r="O143" s="17"/>
      <c r="P143" s="17"/>
      <c r="Q143" s="13"/>
      <c r="R143" s="13"/>
      <c r="S143" s="13"/>
      <c r="T143" s="13">
        <f t="shared" ref="T143:Y143" si="147">IF(ISBLANK(K143)=TRUE,0,1)</f>
        <v>0</v>
      </c>
      <c r="U143" s="13">
        <f t="shared" si="147"/>
        <v>0</v>
      </c>
      <c r="V143" s="13">
        <f t="shared" si="147"/>
        <v>1</v>
      </c>
      <c r="W143" s="13">
        <f t="shared" si="147"/>
        <v>1</v>
      </c>
      <c r="X143" s="13">
        <f t="shared" si="147"/>
        <v>0</v>
      </c>
      <c r="Y143" s="13">
        <f t="shared" si="147"/>
        <v>0</v>
      </c>
      <c r="Z143" s="13">
        <f t="shared" si="4"/>
        <v>0</v>
      </c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 ht="14.25" hidden="1" customHeight="1">
      <c r="A144" s="13" t="s">
        <v>29</v>
      </c>
      <c r="B144" s="13" t="s">
        <v>32</v>
      </c>
      <c r="C144" s="13" t="s">
        <v>215</v>
      </c>
      <c r="D144" s="13" t="s">
        <v>185</v>
      </c>
      <c r="E144" s="13" t="str">
        <f t="shared" si="2"/>
        <v>COHR,215-3-45,AL,0</v>
      </c>
      <c r="F144" s="13"/>
      <c r="G144" s="13" t="s">
        <v>111</v>
      </c>
      <c r="H144" s="13" t="s">
        <v>75</v>
      </c>
      <c r="I144" s="13"/>
      <c r="J144" s="13"/>
      <c r="K144" s="15"/>
      <c r="L144" s="15"/>
      <c r="M144" s="16">
        <v>0.0</v>
      </c>
      <c r="N144" s="16">
        <v>0.0</v>
      </c>
      <c r="O144" s="17"/>
      <c r="P144" s="17"/>
      <c r="Q144" s="13"/>
      <c r="R144" s="13"/>
      <c r="S144" s="13"/>
      <c r="T144" s="13">
        <f t="shared" ref="T144:Y144" si="148">IF(ISBLANK(K144)=TRUE,0,1)</f>
        <v>0</v>
      </c>
      <c r="U144" s="13">
        <f t="shared" si="148"/>
        <v>0</v>
      </c>
      <c r="V144" s="13">
        <f t="shared" si="148"/>
        <v>1</v>
      </c>
      <c r="W144" s="13">
        <f t="shared" si="148"/>
        <v>1</v>
      </c>
      <c r="X144" s="13">
        <f t="shared" si="148"/>
        <v>0</v>
      </c>
      <c r="Y144" s="13">
        <f t="shared" si="148"/>
        <v>0</v>
      </c>
      <c r="Z144" s="13">
        <f t="shared" si="4"/>
        <v>0</v>
      </c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</row>
    <row r="145" ht="14.25" hidden="1" customHeight="1">
      <c r="A145" s="13" t="s">
        <v>29</v>
      </c>
      <c r="B145" s="13" t="s">
        <v>32</v>
      </c>
      <c r="C145" s="13" t="s">
        <v>215</v>
      </c>
      <c r="D145" s="13" t="s">
        <v>186</v>
      </c>
      <c r="E145" s="13" t="str">
        <f t="shared" si="2"/>
        <v>COHR,215-3-45,AM,0</v>
      </c>
      <c r="F145" s="13"/>
      <c r="G145" s="13" t="s">
        <v>111</v>
      </c>
      <c r="H145" s="13" t="s">
        <v>75</v>
      </c>
      <c r="I145" s="13"/>
      <c r="J145" s="13"/>
      <c r="K145" s="15"/>
      <c r="L145" s="15"/>
      <c r="M145" s="16">
        <v>0.0</v>
      </c>
      <c r="N145" s="16">
        <v>0.0</v>
      </c>
      <c r="O145" s="17"/>
      <c r="P145" s="17"/>
      <c r="Q145" s="13"/>
      <c r="R145" s="13"/>
      <c r="S145" s="13"/>
      <c r="T145" s="13">
        <f t="shared" ref="T145:Y145" si="149">IF(ISBLANK(K145)=TRUE,0,1)</f>
        <v>0</v>
      </c>
      <c r="U145" s="13">
        <f t="shared" si="149"/>
        <v>0</v>
      </c>
      <c r="V145" s="13">
        <f t="shared" si="149"/>
        <v>1</v>
      </c>
      <c r="W145" s="13">
        <f t="shared" si="149"/>
        <v>1</v>
      </c>
      <c r="X145" s="13">
        <f t="shared" si="149"/>
        <v>0</v>
      </c>
      <c r="Y145" s="13">
        <f t="shared" si="149"/>
        <v>0</v>
      </c>
      <c r="Z145" s="13">
        <f t="shared" si="4"/>
        <v>0</v>
      </c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</row>
    <row r="146" ht="14.25" hidden="1" customHeight="1">
      <c r="A146" s="13" t="s">
        <v>29</v>
      </c>
      <c r="B146" s="13" t="s">
        <v>32</v>
      </c>
      <c r="C146" s="18" t="s">
        <v>216</v>
      </c>
      <c r="D146" s="13"/>
      <c r="E146" s="13" t="str">
        <f t="shared" si="2"/>
        <v>COHR,215-3-6,,0</v>
      </c>
      <c r="F146" s="13"/>
      <c r="G146" s="13" t="s">
        <v>111</v>
      </c>
      <c r="H146" s="13" t="s">
        <v>75</v>
      </c>
      <c r="I146" s="14">
        <v>44915.0</v>
      </c>
      <c r="J146" s="14"/>
      <c r="K146" s="15"/>
      <c r="L146" s="15"/>
      <c r="M146" s="16">
        <v>0.0</v>
      </c>
      <c r="N146" s="16">
        <v>0.0</v>
      </c>
      <c r="O146" s="17">
        <v>0.0</v>
      </c>
      <c r="P146" s="17">
        <v>0.0</v>
      </c>
      <c r="Q146" s="13">
        <f t="shared" ref="Q146:Q157" si="151">K145+L145+M145+N145+O145+P145/6</f>
        <v>0</v>
      </c>
      <c r="R146" s="13"/>
      <c r="S146" s="13"/>
      <c r="T146" s="13">
        <f t="shared" ref="T146:Y146" si="150">IF(ISBLANK(K146)=TRUE,0,1)</f>
        <v>0</v>
      </c>
      <c r="U146" s="13">
        <f t="shared" si="150"/>
        <v>0</v>
      </c>
      <c r="V146" s="13">
        <f t="shared" si="150"/>
        <v>1</v>
      </c>
      <c r="W146" s="13">
        <f t="shared" si="150"/>
        <v>1</v>
      </c>
      <c r="X146" s="13">
        <f t="shared" si="150"/>
        <v>1</v>
      </c>
      <c r="Y146" s="13">
        <f t="shared" si="150"/>
        <v>1</v>
      </c>
      <c r="Z146" s="13">
        <f t="shared" si="4"/>
        <v>0</v>
      </c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</row>
    <row r="147" ht="14.25" hidden="1" customHeight="1">
      <c r="A147" s="13" t="s">
        <v>29</v>
      </c>
      <c r="B147" s="13" t="s">
        <v>32</v>
      </c>
      <c r="C147" s="18" t="s">
        <v>217</v>
      </c>
      <c r="D147" s="13"/>
      <c r="E147" s="13" t="str">
        <f t="shared" si="2"/>
        <v>COHR,215-3-7,,0</v>
      </c>
      <c r="F147" s="13"/>
      <c r="G147" s="13" t="s">
        <v>111</v>
      </c>
      <c r="H147" s="13" t="s">
        <v>75</v>
      </c>
      <c r="I147" s="14">
        <v>44915.0</v>
      </c>
      <c r="J147" s="14"/>
      <c r="K147" s="15"/>
      <c r="L147" s="15"/>
      <c r="M147" s="16">
        <v>0.0</v>
      </c>
      <c r="N147" s="16">
        <v>0.0</v>
      </c>
      <c r="O147" s="17"/>
      <c r="P147" s="17"/>
      <c r="Q147" s="13">
        <f t="shared" si="151"/>
        <v>0</v>
      </c>
      <c r="R147" s="13"/>
      <c r="S147" s="13"/>
      <c r="T147" s="13">
        <f t="shared" ref="T147:Y147" si="152">IF(ISBLANK(K147)=TRUE,0,1)</f>
        <v>0</v>
      </c>
      <c r="U147" s="13">
        <f t="shared" si="152"/>
        <v>0</v>
      </c>
      <c r="V147" s="13">
        <f t="shared" si="152"/>
        <v>1</v>
      </c>
      <c r="W147" s="13">
        <f t="shared" si="152"/>
        <v>1</v>
      </c>
      <c r="X147" s="13">
        <f t="shared" si="152"/>
        <v>0</v>
      </c>
      <c r="Y147" s="13">
        <f t="shared" si="152"/>
        <v>0</v>
      </c>
      <c r="Z147" s="13">
        <f t="shared" si="4"/>
        <v>0</v>
      </c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</row>
    <row r="148" ht="14.25" hidden="1" customHeight="1">
      <c r="A148" s="13" t="s">
        <v>29</v>
      </c>
      <c r="B148" s="13" t="s">
        <v>32</v>
      </c>
      <c r="C148" s="18" t="s">
        <v>218</v>
      </c>
      <c r="D148" s="13"/>
      <c r="E148" s="13" t="str">
        <f t="shared" si="2"/>
        <v>COHR,215-3-8,,0</v>
      </c>
      <c r="F148" s="13"/>
      <c r="G148" s="13" t="s">
        <v>111</v>
      </c>
      <c r="H148" s="13" t="s">
        <v>107</v>
      </c>
      <c r="I148" s="14">
        <v>44915.0</v>
      </c>
      <c r="J148" s="14"/>
      <c r="K148" s="15"/>
      <c r="L148" s="15"/>
      <c r="M148" s="16">
        <v>0.0</v>
      </c>
      <c r="N148" s="16">
        <v>0.0</v>
      </c>
      <c r="O148" s="17"/>
      <c r="P148" s="17"/>
      <c r="Q148" s="13">
        <f t="shared" si="151"/>
        <v>0</v>
      </c>
      <c r="R148" s="13"/>
      <c r="S148" s="13"/>
      <c r="T148" s="13">
        <f t="shared" ref="T148:Y148" si="153">IF(ISBLANK(K148)=TRUE,0,1)</f>
        <v>0</v>
      </c>
      <c r="U148" s="13">
        <f t="shared" si="153"/>
        <v>0</v>
      </c>
      <c r="V148" s="13">
        <f t="shared" si="153"/>
        <v>1</v>
      </c>
      <c r="W148" s="13">
        <f t="shared" si="153"/>
        <v>1</v>
      </c>
      <c r="X148" s="13">
        <f t="shared" si="153"/>
        <v>0</v>
      </c>
      <c r="Y148" s="13">
        <f t="shared" si="153"/>
        <v>0</v>
      </c>
      <c r="Z148" s="13">
        <f t="shared" si="4"/>
        <v>0</v>
      </c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</row>
    <row r="149" ht="14.25" hidden="1" customHeight="1">
      <c r="A149" s="13" t="s">
        <v>29</v>
      </c>
      <c r="B149" s="13" t="s">
        <v>32</v>
      </c>
      <c r="C149" s="18" t="s">
        <v>219</v>
      </c>
      <c r="D149" s="13"/>
      <c r="E149" s="13" t="str">
        <f t="shared" si="2"/>
        <v>COHR,215-3-9,,0</v>
      </c>
      <c r="F149" s="13"/>
      <c r="G149" s="13" t="s">
        <v>111</v>
      </c>
      <c r="H149" s="13" t="s">
        <v>75</v>
      </c>
      <c r="I149" s="14">
        <v>44915.0</v>
      </c>
      <c r="J149" s="14"/>
      <c r="K149" s="15"/>
      <c r="L149" s="15"/>
      <c r="M149" s="16">
        <v>0.0</v>
      </c>
      <c r="N149" s="16">
        <v>0.0</v>
      </c>
      <c r="O149" s="17">
        <v>0.0</v>
      </c>
      <c r="P149" s="17">
        <v>0.0</v>
      </c>
      <c r="Q149" s="13">
        <f t="shared" si="151"/>
        <v>0</v>
      </c>
      <c r="R149" s="13"/>
      <c r="S149" s="13"/>
      <c r="T149" s="13">
        <f t="shared" ref="T149:Y149" si="154">IF(ISBLANK(K149)=TRUE,0,1)</f>
        <v>0</v>
      </c>
      <c r="U149" s="13">
        <f t="shared" si="154"/>
        <v>0</v>
      </c>
      <c r="V149" s="13">
        <f t="shared" si="154"/>
        <v>1</v>
      </c>
      <c r="W149" s="13">
        <f t="shared" si="154"/>
        <v>1</v>
      </c>
      <c r="X149" s="13">
        <f t="shared" si="154"/>
        <v>1</v>
      </c>
      <c r="Y149" s="13">
        <f t="shared" si="154"/>
        <v>1</v>
      </c>
      <c r="Z149" s="13">
        <f t="shared" si="4"/>
        <v>0</v>
      </c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</row>
    <row r="150" ht="14.25" hidden="1" customHeight="1">
      <c r="A150" s="13" t="s">
        <v>29</v>
      </c>
      <c r="B150" s="13" t="s">
        <v>32</v>
      </c>
      <c r="C150" s="18" t="s">
        <v>220</v>
      </c>
      <c r="D150" s="13"/>
      <c r="E150" s="13" t="str">
        <f t="shared" si="2"/>
        <v>COHR,215-5-1,,1</v>
      </c>
      <c r="F150" s="13"/>
      <c r="G150" s="13" t="s">
        <v>111</v>
      </c>
      <c r="H150" s="13" t="s">
        <v>75</v>
      </c>
      <c r="I150" s="13"/>
      <c r="J150" s="13"/>
      <c r="K150" s="15"/>
      <c r="L150" s="15"/>
      <c r="M150" s="16"/>
      <c r="N150" s="16"/>
      <c r="O150" s="17">
        <v>1.0</v>
      </c>
      <c r="P150" s="17">
        <v>1.0</v>
      </c>
      <c r="Q150" s="13">
        <f t="shared" si="151"/>
        <v>0</v>
      </c>
      <c r="R150" s="13"/>
      <c r="S150" s="13"/>
      <c r="T150" s="13">
        <f t="shared" ref="T150:Y150" si="155">IF(ISBLANK(K150)=TRUE,0,1)</f>
        <v>0</v>
      </c>
      <c r="U150" s="13">
        <f t="shared" si="155"/>
        <v>0</v>
      </c>
      <c r="V150" s="13">
        <f t="shared" si="155"/>
        <v>0</v>
      </c>
      <c r="W150" s="13">
        <f t="shared" si="155"/>
        <v>0</v>
      </c>
      <c r="X150" s="13">
        <f t="shared" si="155"/>
        <v>1</v>
      </c>
      <c r="Y150" s="13">
        <f t="shared" si="155"/>
        <v>1</v>
      </c>
      <c r="Z150" s="13">
        <f t="shared" si="4"/>
        <v>1</v>
      </c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ht="14.25" hidden="1" customHeight="1">
      <c r="A151" s="13" t="s">
        <v>29</v>
      </c>
      <c r="B151" s="13" t="s">
        <v>32</v>
      </c>
      <c r="C151" s="18" t="s">
        <v>221</v>
      </c>
      <c r="D151" s="13"/>
      <c r="E151" s="13" t="str">
        <f t="shared" si="2"/>
        <v>COHR,215-5-2,,1</v>
      </c>
      <c r="F151" s="13"/>
      <c r="G151" s="13" t="s">
        <v>111</v>
      </c>
      <c r="H151" s="13" t="s">
        <v>75</v>
      </c>
      <c r="I151" s="13"/>
      <c r="J151" s="13"/>
      <c r="K151" s="15"/>
      <c r="L151" s="15"/>
      <c r="M151" s="16"/>
      <c r="N151" s="16"/>
      <c r="O151" s="17">
        <v>1.0</v>
      </c>
      <c r="P151" s="17">
        <v>1.0</v>
      </c>
      <c r="Q151" s="13">
        <f t="shared" si="151"/>
        <v>1.166666667</v>
      </c>
      <c r="R151" s="13"/>
      <c r="S151" s="13"/>
      <c r="T151" s="13">
        <f t="shared" ref="T151:Y151" si="156">IF(ISBLANK(K151)=TRUE,0,1)</f>
        <v>0</v>
      </c>
      <c r="U151" s="13">
        <f t="shared" si="156"/>
        <v>0</v>
      </c>
      <c r="V151" s="13">
        <f t="shared" si="156"/>
        <v>0</v>
      </c>
      <c r="W151" s="13">
        <f t="shared" si="156"/>
        <v>0</v>
      </c>
      <c r="X151" s="13">
        <f t="shared" si="156"/>
        <v>1</v>
      </c>
      <c r="Y151" s="13">
        <f t="shared" si="156"/>
        <v>1</v>
      </c>
      <c r="Z151" s="13">
        <f t="shared" si="4"/>
        <v>1</v>
      </c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ht="14.25" hidden="1" customHeight="1">
      <c r="A152" s="13" t="s">
        <v>29</v>
      </c>
      <c r="B152" s="13" t="s">
        <v>32</v>
      </c>
      <c r="C152" s="18" t="s">
        <v>222</v>
      </c>
      <c r="D152" s="13"/>
      <c r="E152" s="13" t="str">
        <f t="shared" si="2"/>
        <v>COHR,215-5-3,,0</v>
      </c>
      <c r="F152" s="13"/>
      <c r="G152" s="13" t="s">
        <v>111</v>
      </c>
      <c r="H152" s="13" t="s">
        <v>75</v>
      </c>
      <c r="I152" s="13"/>
      <c r="J152" s="13"/>
      <c r="K152" s="15"/>
      <c r="L152" s="15"/>
      <c r="M152" s="16"/>
      <c r="N152" s="16"/>
      <c r="O152" s="17">
        <v>0.0</v>
      </c>
      <c r="P152" s="17">
        <v>0.0</v>
      </c>
      <c r="Q152" s="13">
        <f t="shared" si="151"/>
        <v>1.166666667</v>
      </c>
      <c r="R152" s="13"/>
      <c r="S152" s="13"/>
      <c r="T152" s="13">
        <f t="shared" ref="T152:Y152" si="157">IF(ISBLANK(K152)=TRUE,0,1)</f>
        <v>0</v>
      </c>
      <c r="U152" s="13">
        <f t="shared" si="157"/>
        <v>0</v>
      </c>
      <c r="V152" s="13">
        <f t="shared" si="157"/>
        <v>0</v>
      </c>
      <c r="W152" s="13">
        <f t="shared" si="157"/>
        <v>0</v>
      </c>
      <c r="X152" s="13">
        <f t="shared" si="157"/>
        <v>1</v>
      </c>
      <c r="Y152" s="13">
        <f t="shared" si="157"/>
        <v>1</v>
      </c>
      <c r="Z152" s="13">
        <f t="shared" si="4"/>
        <v>0</v>
      </c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</row>
    <row r="153" ht="14.25" hidden="1" customHeight="1">
      <c r="A153" s="13" t="s">
        <v>29</v>
      </c>
      <c r="B153" s="13" t="s">
        <v>32</v>
      </c>
      <c r="C153" s="18" t="s">
        <v>223</v>
      </c>
      <c r="D153" s="13"/>
      <c r="E153" s="13" t="str">
        <f t="shared" si="2"/>
        <v>COHR,225-1-1,,0</v>
      </c>
      <c r="F153" s="13"/>
      <c r="G153" s="13" t="s">
        <v>111</v>
      </c>
      <c r="H153" s="13" t="s">
        <v>75</v>
      </c>
      <c r="I153" s="14">
        <v>44915.0</v>
      </c>
      <c r="J153" s="14"/>
      <c r="K153" s="15"/>
      <c r="L153" s="15"/>
      <c r="M153" s="16"/>
      <c r="N153" s="16"/>
      <c r="O153" s="17">
        <v>0.0</v>
      </c>
      <c r="P153" s="17">
        <v>0.0</v>
      </c>
      <c r="Q153" s="13">
        <f t="shared" si="151"/>
        <v>0</v>
      </c>
      <c r="R153" s="13"/>
      <c r="S153" s="13"/>
      <c r="T153" s="13">
        <f t="shared" ref="T153:Y153" si="158">IF(ISBLANK(K153)=TRUE,0,1)</f>
        <v>0</v>
      </c>
      <c r="U153" s="13">
        <f t="shared" si="158"/>
        <v>0</v>
      </c>
      <c r="V153" s="13">
        <f t="shared" si="158"/>
        <v>0</v>
      </c>
      <c r="W153" s="13">
        <f t="shared" si="158"/>
        <v>0</v>
      </c>
      <c r="X153" s="13">
        <f t="shared" si="158"/>
        <v>1</v>
      </c>
      <c r="Y153" s="13">
        <f t="shared" si="158"/>
        <v>1</v>
      </c>
      <c r="Z153" s="13">
        <f t="shared" si="4"/>
        <v>0</v>
      </c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ht="14.25" hidden="1" customHeight="1">
      <c r="A154" s="13" t="s">
        <v>29</v>
      </c>
      <c r="B154" s="13" t="s">
        <v>32</v>
      </c>
      <c r="C154" s="27" t="s">
        <v>224</v>
      </c>
      <c r="D154" s="13"/>
      <c r="E154" s="13" t="str">
        <f t="shared" si="2"/>
        <v>COHR,225-1-10,,0</v>
      </c>
      <c r="F154" s="13"/>
      <c r="G154" s="13" t="s">
        <v>111</v>
      </c>
      <c r="H154" s="13" t="s">
        <v>75</v>
      </c>
      <c r="I154" s="14">
        <v>44915.0</v>
      </c>
      <c r="J154" s="14"/>
      <c r="K154" s="15"/>
      <c r="L154" s="15"/>
      <c r="M154" s="16"/>
      <c r="N154" s="16"/>
      <c r="O154" s="17">
        <v>0.0</v>
      </c>
      <c r="P154" s="17">
        <v>0.0</v>
      </c>
      <c r="Q154" s="13">
        <f t="shared" si="151"/>
        <v>0</v>
      </c>
      <c r="R154" s="13"/>
      <c r="S154" s="13"/>
      <c r="T154" s="13">
        <f t="shared" ref="T154:Y154" si="159">IF(ISBLANK(K154)=TRUE,0,1)</f>
        <v>0</v>
      </c>
      <c r="U154" s="13">
        <f t="shared" si="159"/>
        <v>0</v>
      </c>
      <c r="V154" s="13">
        <f t="shared" si="159"/>
        <v>0</v>
      </c>
      <c r="W154" s="13">
        <f t="shared" si="159"/>
        <v>0</v>
      </c>
      <c r="X154" s="13">
        <f t="shared" si="159"/>
        <v>1</v>
      </c>
      <c r="Y154" s="13">
        <f t="shared" si="159"/>
        <v>1</v>
      </c>
      <c r="Z154" s="13">
        <f t="shared" si="4"/>
        <v>0</v>
      </c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ht="14.25" hidden="1" customHeight="1">
      <c r="A155" s="13" t="s">
        <v>29</v>
      </c>
      <c r="B155" s="13" t="s">
        <v>32</v>
      </c>
      <c r="C155" s="27" t="s">
        <v>225</v>
      </c>
      <c r="D155" s="13"/>
      <c r="E155" s="13" t="str">
        <f t="shared" si="2"/>
        <v>COHR,225-1-11,,NA</v>
      </c>
      <c r="F155" s="13"/>
      <c r="G155" s="13" t="s">
        <v>111</v>
      </c>
      <c r="H155" s="13" t="s">
        <v>107</v>
      </c>
      <c r="I155" s="14">
        <v>44915.0</v>
      </c>
      <c r="J155" s="14"/>
      <c r="K155" s="15"/>
      <c r="L155" s="15"/>
      <c r="M155" s="16"/>
      <c r="N155" s="16"/>
      <c r="O155" s="17"/>
      <c r="P155" s="17"/>
      <c r="Q155" s="13">
        <f t="shared" si="151"/>
        <v>0</v>
      </c>
      <c r="R155" s="13"/>
      <c r="S155" s="13"/>
      <c r="T155" s="13">
        <f t="shared" ref="T155:Y155" si="160">IF(ISBLANK(K155)=TRUE,0,1)</f>
        <v>0</v>
      </c>
      <c r="U155" s="13">
        <f t="shared" si="160"/>
        <v>0</v>
      </c>
      <c r="V155" s="13">
        <f t="shared" si="160"/>
        <v>0</v>
      </c>
      <c r="W155" s="13">
        <f t="shared" si="160"/>
        <v>0</v>
      </c>
      <c r="X155" s="13">
        <f t="shared" si="160"/>
        <v>0</v>
      </c>
      <c r="Y155" s="13">
        <f t="shared" si="160"/>
        <v>0</v>
      </c>
      <c r="Z155" s="13" t="str">
        <f t="shared" si="4"/>
        <v>NA</v>
      </c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ht="14.25" hidden="1" customHeight="1">
      <c r="A156" s="13" t="s">
        <v>29</v>
      </c>
      <c r="B156" s="13" t="s">
        <v>32</v>
      </c>
      <c r="C156" s="27" t="s">
        <v>226</v>
      </c>
      <c r="D156" s="13"/>
      <c r="E156" s="13" t="str">
        <f t="shared" si="2"/>
        <v>COHR,225-1-12,,NA</v>
      </c>
      <c r="F156" s="13"/>
      <c r="G156" s="13" t="s">
        <v>111</v>
      </c>
      <c r="H156" s="13" t="s">
        <v>107</v>
      </c>
      <c r="I156" s="14">
        <v>44915.0</v>
      </c>
      <c r="J156" s="14"/>
      <c r="K156" s="15"/>
      <c r="L156" s="15"/>
      <c r="M156" s="16"/>
      <c r="N156" s="16"/>
      <c r="O156" s="17"/>
      <c r="P156" s="17"/>
      <c r="Q156" s="13">
        <f t="shared" si="151"/>
        <v>0</v>
      </c>
      <c r="R156" s="13"/>
      <c r="S156" s="13"/>
      <c r="T156" s="13">
        <f t="shared" ref="T156:Y156" si="161">IF(ISBLANK(K156)=TRUE,0,1)</f>
        <v>0</v>
      </c>
      <c r="U156" s="13">
        <f t="shared" si="161"/>
        <v>0</v>
      </c>
      <c r="V156" s="13">
        <f t="shared" si="161"/>
        <v>0</v>
      </c>
      <c r="W156" s="13">
        <f t="shared" si="161"/>
        <v>0</v>
      </c>
      <c r="X156" s="13">
        <f t="shared" si="161"/>
        <v>0</v>
      </c>
      <c r="Y156" s="13">
        <f t="shared" si="161"/>
        <v>0</v>
      </c>
      <c r="Z156" s="13" t="str">
        <f t="shared" si="4"/>
        <v>NA</v>
      </c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</row>
    <row r="157" ht="14.25" hidden="1" customHeight="1">
      <c r="A157" s="13" t="s">
        <v>29</v>
      </c>
      <c r="B157" s="13" t="s">
        <v>32</v>
      </c>
      <c r="C157" s="27" t="s">
        <v>227</v>
      </c>
      <c r="D157" s="13"/>
      <c r="E157" s="13" t="str">
        <f t="shared" si="2"/>
        <v>COHR,225-1-13,,0</v>
      </c>
      <c r="F157" s="13"/>
      <c r="G157" s="13" t="s">
        <v>111</v>
      </c>
      <c r="H157" s="13" t="s">
        <v>75</v>
      </c>
      <c r="I157" s="14">
        <v>44915.0</v>
      </c>
      <c r="J157" s="14"/>
      <c r="K157" s="15"/>
      <c r="L157" s="15"/>
      <c r="M157" s="16"/>
      <c r="N157" s="16"/>
      <c r="O157" s="17">
        <v>0.0</v>
      </c>
      <c r="P157" s="17">
        <v>0.0</v>
      </c>
      <c r="Q157" s="13">
        <f t="shared" si="151"/>
        <v>0</v>
      </c>
      <c r="R157" s="13"/>
      <c r="S157" s="13"/>
      <c r="T157" s="13">
        <f t="shared" ref="T157:Y157" si="162">IF(ISBLANK(K157)=TRUE,0,1)</f>
        <v>0</v>
      </c>
      <c r="U157" s="13">
        <f t="shared" si="162"/>
        <v>0</v>
      </c>
      <c r="V157" s="13">
        <f t="shared" si="162"/>
        <v>0</v>
      </c>
      <c r="W157" s="13">
        <f t="shared" si="162"/>
        <v>0</v>
      </c>
      <c r="X157" s="13">
        <f t="shared" si="162"/>
        <v>1</v>
      </c>
      <c r="Y157" s="13">
        <f t="shared" si="162"/>
        <v>1</v>
      </c>
      <c r="Z157" s="13">
        <f t="shared" si="4"/>
        <v>0</v>
      </c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</row>
    <row r="158" ht="14.25" hidden="1" customHeight="1">
      <c r="A158" s="13" t="s">
        <v>29</v>
      </c>
      <c r="B158" s="13" t="s">
        <v>32</v>
      </c>
      <c r="C158" s="27" t="s">
        <v>227</v>
      </c>
      <c r="D158" s="13" t="s">
        <v>174</v>
      </c>
      <c r="E158" s="13" t="str">
        <f t="shared" si="2"/>
        <v>COHR,225-1-13,AA,0</v>
      </c>
      <c r="F158" s="13"/>
      <c r="G158" s="13" t="s">
        <v>111</v>
      </c>
      <c r="H158" s="13" t="s">
        <v>75</v>
      </c>
      <c r="I158" s="13"/>
      <c r="J158" s="13"/>
      <c r="K158" s="15"/>
      <c r="L158" s="15"/>
      <c r="M158" s="16"/>
      <c r="N158" s="16"/>
      <c r="O158" s="17">
        <v>0.0</v>
      </c>
      <c r="P158" s="17">
        <v>0.0</v>
      </c>
      <c r="Q158" s="13"/>
      <c r="R158" s="13"/>
      <c r="S158" s="13"/>
      <c r="T158" s="13">
        <f t="shared" ref="T158:Y158" si="163">IF(ISBLANK(K158)=TRUE,0,1)</f>
        <v>0</v>
      </c>
      <c r="U158" s="13">
        <f t="shared" si="163"/>
        <v>0</v>
      </c>
      <c r="V158" s="13">
        <f t="shared" si="163"/>
        <v>0</v>
      </c>
      <c r="W158" s="13">
        <f t="shared" si="163"/>
        <v>0</v>
      </c>
      <c r="X158" s="13">
        <f t="shared" si="163"/>
        <v>1</v>
      </c>
      <c r="Y158" s="13">
        <f t="shared" si="163"/>
        <v>1</v>
      </c>
      <c r="Z158" s="13">
        <f t="shared" si="4"/>
        <v>0</v>
      </c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</row>
    <row r="159" ht="14.25" hidden="1" customHeight="1">
      <c r="A159" s="13" t="s">
        <v>29</v>
      </c>
      <c r="B159" s="13" t="s">
        <v>32</v>
      </c>
      <c r="C159" s="27" t="s">
        <v>228</v>
      </c>
      <c r="D159" s="13"/>
      <c r="E159" s="13" t="str">
        <f t="shared" si="2"/>
        <v>COHR,225-1-14,,NA</v>
      </c>
      <c r="F159" s="13"/>
      <c r="G159" s="13" t="s">
        <v>111</v>
      </c>
      <c r="H159" s="13" t="s">
        <v>107</v>
      </c>
      <c r="I159" s="14">
        <v>44915.0</v>
      </c>
      <c r="J159" s="14"/>
      <c r="K159" s="15"/>
      <c r="L159" s="15"/>
      <c r="M159" s="16"/>
      <c r="N159" s="16"/>
      <c r="O159" s="17"/>
      <c r="P159" s="17"/>
      <c r="Q159" s="13">
        <f t="shared" ref="Q159:Q205" si="165">K158+L158+M158+N158+O158+P158/6</f>
        <v>0</v>
      </c>
      <c r="R159" s="13"/>
      <c r="S159" s="13"/>
      <c r="T159" s="13">
        <f t="shared" ref="T159:Y159" si="164">IF(ISBLANK(K159)=TRUE,0,1)</f>
        <v>0</v>
      </c>
      <c r="U159" s="13">
        <f t="shared" si="164"/>
        <v>0</v>
      </c>
      <c r="V159" s="13">
        <f t="shared" si="164"/>
        <v>0</v>
      </c>
      <c r="W159" s="13">
        <f t="shared" si="164"/>
        <v>0</v>
      </c>
      <c r="X159" s="13">
        <f t="shared" si="164"/>
        <v>0</v>
      </c>
      <c r="Y159" s="13">
        <f t="shared" si="164"/>
        <v>0</v>
      </c>
      <c r="Z159" s="13" t="str">
        <f t="shared" si="4"/>
        <v>NA</v>
      </c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</row>
    <row r="160" ht="14.25" hidden="1" customHeight="1">
      <c r="A160" s="13" t="s">
        <v>29</v>
      </c>
      <c r="B160" s="13" t="s">
        <v>32</v>
      </c>
      <c r="C160" s="27" t="s">
        <v>229</v>
      </c>
      <c r="D160" s="13"/>
      <c r="E160" s="13" t="str">
        <f t="shared" si="2"/>
        <v>COHR,225-1-15,,NA</v>
      </c>
      <c r="F160" s="13"/>
      <c r="G160" s="13" t="s">
        <v>111</v>
      </c>
      <c r="H160" s="13" t="s">
        <v>75</v>
      </c>
      <c r="I160" s="14">
        <v>44915.0</v>
      </c>
      <c r="J160" s="14"/>
      <c r="K160" s="15"/>
      <c r="L160" s="15"/>
      <c r="M160" s="16"/>
      <c r="N160" s="16"/>
      <c r="O160" s="17"/>
      <c r="P160" s="17"/>
      <c r="Q160" s="13">
        <f t="shared" si="165"/>
        <v>0</v>
      </c>
      <c r="R160" s="13"/>
      <c r="S160" s="13"/>
      <c r="T160" s="13">
        <f t="shared" ref="T160:Y160" si="166">IF(ISBLANK(K160)=TRUE,0,1)</f>
        <v>0</v>
      </c>
      <c r="U160" s="13">
        <f t="shared" si="166"/>
        <v>0</v>
      </c>
      <c r="V160" s="13">
        <f t="shared" si="166"/>
        <v>0</v>
      </c>
      <c r="W160" s="13">
        <f t="shared" si="166"/>
        <v>0</v>
      </c>
      <c r="X160" s="13">
        <f t="shared" si="166"/>
        <v>0</v>
      </c>
      <c r="Y160" s="13">
        <f t="shared" si="166"/>
        <v>0</v>
      </c>
      <c r="Z160" s="13" t="str">
        <f t="shared" si="4"/>
        <v>NA</v>
      </c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</row>
    <row r="161" ht="14.25" hidden="1" customHeight="1">
      <c r="A161" s="13" t="s">
        <v>29</v>
      </c>
      <c r="B161" s="13" t="s">
        <v>32</v>
      </c>
      <c r="C161" s="27" t="s">
        <v>230</v>
      </c>
      <c r="D161" s="13"/>
      <c r="E161" s="13" t="str">
        <f t="shared" si="2"/>
        <v>COHR,225-1-16,,0</v>
      </c>
      <c r="F161" s="13"/>
      <c r="G161" s="13" t="s">
        <v>111</v>
      </c>
      <c r="H161" s="13" t="s">
        <v>75</v>
      </c>
      <c r="I161" s="14">
        <v>44915.0</v>
      </c>
      <c r="J161" s="14"/>
      <c r="K161" s="15"/>
      <c r="L161" s="15"/>
      <c r="M161" s="16"/>
      <c r="N161" s="16"/>
      <c r="O161" s="17">
        <v>0.0</v>
      </c>
      <c r="P161" s="17">
        <v>0.0</v>
      </c>
      <c r="Q161" s="13">
        <f t="shared" si="165"/>
        <v>0</v>
      </c>
      <c r="R161" s="13"/>
      <c r="S161" s="13"/>
      <c r="T161" s="13">
        <f t="shared" ref="T161:Y161" si="167">IF(ISBLANK(K161)=TRUE,0,1)</f>
        <v>0</v>
      </c>
      <c r="U161" s="13">
        <f t="shared" si="167"/>
        <v>0</v>
      </c>
      <c r="V161" s="13">
        <f t="shared" si="167"/>
        <v>0</v>
      </c>
      <c r="W161" s="13">
        <f t="shared" si="167"/>
        <v>0</v>
      </c>
      <c r="X161" s="13">
        <f t="shared" si="167"/>
        <v>1</v>
      </c>
      <c r="Y161" s="13">
        <f t="shared" si="167"/>
        <v>1</v>
      </c>
      <c r="Z161" s="13">
        <f t="shared" si="4"/>
        <v>0</v>
      </c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</row>
    <row r="162" ht="14.25" hidden="1" customHeight="1">
      <c r="A162" s="13" t="s">
        <v>29</v>
      </c>
      <c r="B162" s="13" t="s">
        <v>32</v>
      </c>
      <c r="C162" s="27" t="s">
        <v>231</v>
      </c>
      <c r="D162" s="13"/>
      <c r="E162" s="13" t="str">
        <f t="shared" si="2"/>
        <v>COHR,225-1-17,,NA</v>
      </c>
      <c r="F162" s="13"/>
      <c r="G162" s="13" t="s">
        <v>111</v>
      </c>
      <c r="H162" s="13" t="s">
        <v>107</v>
      </c>
      <c r="I162" s="14">
        <v>44915.0</v>
      </c>
      <c r="J162" s="14"/>
      <c r="K162" s="15"/>
      <c r="L162" s="15"/>
      <c r="M162" s="16"/>
      <c r="N162" s="16"/>
      <c r="O162" s="17"/>
      <c r="P162" s="17"/>
      <c r="Q162" s="13">
        <f t="shared" si="165"/>
        <v>0</v>
      </c>
      <c r="R162" s="13"/>
      <c r="S162" s="13"/>
      <c r="T162" s="13">
        <f t="shared" ref="T162:Y162" si="168">IF(ISBLANK(K162)=TRUE,0,1)</f>
        <v>0</v>
      </c>
      <c r="U162" s="13">
        <f t="shared" si="168"/>
        <v>0</v>
      </c>
      <c r="V162" s="13">
        <f t="shared" si="168"/>
        <v>0</v>
      </c>
      <c r="W162" s="13">
        <f t="shared" si="168"/>
        <v>0</v>
      </c>
      <c r="X162" s="13">
        <f t="shared" si="168"/>
        <v>0</v>
      </c>
      <c r="Y162" s="13">
        <f t="shared" si="168"/>
        <v>0</v>
      </c>
      <c r="Z162" s="13" t="str">
        <f t="shared" si="4"/>
        <v>NA</v>
      </c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</row>
    <row r="163" ht="14.25" hidden="1" customHeight="1">
      <c r="A163" s="13" t="s">
        <v>29</v>
      </c>
      <c r="B163" s="13" t="s">
        <v>32</v>
      </c>
      <c r="C163" s="27" t="s">
        <v>232</v>
      </c>
      <c r="D163" s="13"/>
      <c r="E163" s="13" t="str">
        <f t="shared" si="2"/>
        <v>COHR,225-1-18,,NA</v>
      </c>
      <c r="F163" s="13"/>
      <c r="G163" s="13" t="s">
        <v>111</v>
      </c>
      <c r="H163" s="13" t="s">
        <v>107</v>
      </c>
      <c r="I163" s="14">
        <v>44915.0</v>
      </c>
      <c r="J163" s="14"/>
      <c r="K163" s="15"/>
      <c r="L163" s="15"/>
      <c r="M163" s="16"/>
      <c r="N163" s="16"/>
      <c r="O163" s="17"/>
      <c r="P163" s="17"/>
      <c r="Q163" s="13">
        <f t="shared" si="165"/>
        <v>0</v>
      </c>
      <c r="R163" s="13"/>
      <c r="S163" s="13"/>
      <c r="T163" s="13">
        <f t="shared" ref="T163:Y163" si="169">IF(ISBLANK(K163)=TRUE,0,1)</f>
        <v>0</v>
      </c>
      <c r="U163" s="13">
        <f t="shared" si="169"/>
        <v>0</v>
      </c>
      <c r="V163" s="13">
        <f t="shared" si="169"/>
        <v>0</v>
      </c>
      <c r="W163" s="13">
        <f t="shared" si="169"/>
        <v>0</v>
      </c>
      <c r="X163" s="13">
        <f t="shared" si="169"/>
        <v>0</v>
      </c>
      <c r="Y163" s="13">
        <f t="shared" si="169"/>
        <v>0</v>
      </c>
      <c r="Z163" s="13" t="str">
        <f t="shared" si="4"/>
        <v>NA</v>
      </c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</row>
    <row r="164" ht="14.25" hidden="1" customHeight="1">
      <c r="A164" s="13" t="s">
        <v>29</v>
      </c>
      <c r="B164" s="13" t="s">
        <v>32</v>
      </c>
      <c r="C164" s="27" t="s">
        <v>233</v>
      </c>
      <c r="D164" s="13"/>
      <c r="E164" s="13" t="str">
        <f t="shared" si="2"/>
        <v>COHR,225-1-19,,NA</v>
      </c>
      <c r="F164" s="13"/>
      <c r="G164" s="13" t="s">
        <v>111</v>
      </c>
      <c r="H164" s="13" t="s">
        <v>107</v>
      </c>
      <c r="I164" s="14">
        <v>44915.0</v>
      </c>
      <c r="J164" s="14"/>
      <c r="K164" s="15"/>
      <c r="L164" s="15"/>
      <c r="M164" s="16"/>
      <c r="N164" s="16"/>
      <c r="O164" s="17"/>
      <c r="P164" s="17"/>
      <c r="Q164" s="13">
        <f t="shared" si="165"/>
        <v>0</v>
      </c>
      <c r="R164" s="13"/>
      <c r="S164" s="13"/>
      <c r="T164" s="13">
        <f t="shared" ref="T164:Y164" si="170">IF(ISBLANK(K164)=TRUE,0,1)</f>
        <v>0</v>
      </c>
      <c r="U164" s="13">
        <f t="shared" si="170"/>
        <v>0</v>
      </c>
      <c r="V164" s="13">
        <f t="shared" si="170"/>
        <v>0</v>
      </c>
      <c r="W164" s="13">
        <f t="shared" si="170"/>
        <v>0</v>
      </c>
      <c r="X164" s="13">
        <f t="shared" si="170"/>
        <v>0</v>
      </c>
      <c r="Y164" s="13">
        <f t="shared" si="170"/>
        <v>0</v>
      </c>
      <c r="Z164" s="13" t="str">
        <f t="shared" si="4"/>
        <v>NA</v>
      </c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</row>
    <row r="165" ht="14.25" hidden="1" customHeight="1">
      <c r="A165" s="13" t="s">
        <v>29</v>
      </c>
      <c r="B165" s="13" t="s">
        <v>32</v>
      </c>
      <c r="C165" s="27" t="s">
        <v>234</v>
      </c>
      <c r="D165" s="13"/>
      <c r="E165" s="13" t="str">
        <f t="shared" si="2"/>
        <v>COHR,225-1-2,,0</v>
      </c>
      <c r="F165" s="13"/>
      <c r="G165" s="13" t="s">
        <v>111</v>
      </c>
      <c r="H165" s="13" t="s">
        <v>75</v>
      </c>
      <c r="I165" s="14">
        <v>44915.0</v>
      </c>
      <c r="J165" s="14"/>
      <c r="K165" s="15"/>
      <c r="L165" s="15"/>
      <c r="M165" s="16"/>
      <c r="N165" s="16"/>
      <c r="O165" s="17">
        <v>0.0</v>
      </c>
      <c r="P165" s="17">
        <v>0.0</v>
      </c>
      <c r="Q165" s="13">
        <f t="shared" si="165"/>
        <v>0</v>
      </c>
      <c r="R165" s="13"/>
      <c r="S165" s="13"/>
      <c r="T165" s="13">
        <f t="shared" ref="T165:Y165" si="171">IF(ISBLANK(K165)=TRUE,0,1)</f>
        <v>0</v>
      </c>
      <c r="U165" s="13">
        <f t="shared" si="171"/>
        <v>0</v>
      </c>
      <c r="V165" s="13">
        <f t="shared" si="171"/>
        <v>0</v>
      </c>
      <c r="W165" s="13">
        <f t="shared" si="171"/>
        <v>0</v>
      </c>
      <c r="X165" s="13">
        <f t="shared" si="171"/>
        <v>1</v>
      </c>
      <c r="Y165" s="13">
        <f t="shared" si="171"/>
        <v>1</v>
      </c>
      <c r="Z165" s="13">
        <f t="shared" si="4"/>
        <v>0</v>
      </c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</row>
    <row r="166" ht="14.25" hidden="1" customHeight="1">
      <c r="A166" s="13" t="s">
        <v>29</v>
      </c>
      <c r="B166" s="13" t="s">
        <v>32</v>
      </c>
      <c r="C166" s="27" t="s">
        <v>235</v>
      </c>
      <c r="D166" s="13"/>
      <c r="E166" s="13" t="str">
        <f t="shared" si="2"/>
        <v>COHR,225-1-20,,NA</v>
      </c>
      <c r="F166" s="13"/>
      <c r="G166" s="13" t="s">
        <v>111</v>
      </c>
      <c r="H166" s="13" t="s">
        <v>107</v>
      </c>
      <c r="I166" s="14">
        <v>44915.0</v>
      </c>
      <c r="J166" s="14"/>
      <c r="K166" s="15"/>
      <c r="L166" s="15"/>
      <c r="M166" s="16"/>
      <c r="N166" s="16"/>
      <c r="O166" s="17"/>
      <c r="P166" s="17"/>
      <c r="Q166" s="13">
        <f t="shared" si="165"/>
        <v>0</v>
      </c>
      <c r="R166" s="13"/>
      <c r="S166" s="13"/>
      <c r="T166" s="13">
        <f t="shared" ref="T166:Y166" si="172">IF(ISBLANK(K166)=TRUE,0,1)</f>
        <v>0</v>
      </c>
      <c r="U166" s="13">
        <f t="shared" si="172"/>
        <v>0</v>
      </c>
      <c r="V166" s="13">
        <f t="shared" si="172"/>
        <v>0</v>
      </c>
      <c r="W166" s="13">
        <f t="shared" si="172"/>
        <v>0</v>
      </c>
      <c r="X166" s="13">
        <f t="shared" si="172"/>
        <v>0</v>
      </c>
      <c r="Y166" s="13">
        <f t="shared" si="172"/>
        <v>0</v>
      </c>
      <c r="Z166" s="13" t="str">
        <f t="shared" si="4"/>
        <v>NA</v>
      </c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</row>
    <row r="167" ht="14.25" hidden="1" customHeight="1">
      <c r="A167" s="13" t="s">
        <v>29</v>
      </c>
      <c r="B167" s="13" t="s">
        <v>32</v>
      </c>
      <c r="C167" s="27" t="s">
        <v>236</v>
      </c>
      <c r="D167" s="13"/>
      <c r="E167" s="13" t="str">
        <f t="shared" si="2"/>
        <v>COHR,225-1-21,,0</v>
      </c>
      <c r="F167" s="13"/>
      <c r="G167" s="13" t="s">
        <v>111</v>
      </c>
      <c r="H167" s="13" t="s">
        <v>75</v>
      </c>
      <c r="I167" s="14">
        <v>44915.0</v>
      </c>
      <c r="J167" s="14"/>
      <c r="K167" s="15"/>
      <c r="L167" s="15"/>
      <c r="M167" s="16"/>
      <c r="N167" s="16"/>
      <c r="O167" s="17">
        <v>0.0</v>
      </c>
      <c r="P167" s="17">
        <v>0.0</v>
      </c>
      <c r="Q167" s="13">
        <f t="shared" si="165"/>
        <v>0</v>
      </c>
      <c r="R167" s="13"/>
      <c r="S167" s="13"/>
      <c r="T167" s="13">
        <f t="shared" ref="T167:Y167" si="173">IF(ISBLANK(K167)=TRUE,0,1)</f>
        <v>0</v>
      </c>
      <c r="U167" s="13">
        <f t="shared" si="173"/>
        <v>0</v>
      </c>
      <c r="V167" s="13">
        <f t="shared" si="173"/>
        <v>0</v>
      </c>
      <c r="W167" s="13">
        <f t="shared" si="173"/>
        <v>0</v>
      </c>
      <c r="X167" s="13">
        <f t="shared" si="173"/>
        <v>1</v>
      </c>
      <c r="Y167" s="13">
        <f t="shared" si="173"/>
        <v>1</v>
      </c>
      <c r="Z167" s="13">
        <f t="shared" si="4"/>
        <v>0</v>
      </c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</row>
    <row r="168" ht="14.25" hidden="1" customHeight="1">
      <c r="A168" s="13" t="s">
        <v>29</v>
      </c>
      <c r="B168" s="13" t="s">
        <v>32</v>
      </c>
      <c r="C168" s="27" t="s">
        <v>237</v>
      </c>
      <c r="D168" s="13"/>
      <c r="E168" s="13" t="str">
        <f t="shared" si="2"/>
        <v>COHR,225-1-22,,NA</v>
      </c>
      <c r="F168" s="13"/>
      <c r="G168" s="13" t="s">
        <v>111</v>
      </c>
      <c r="H168" s="13" t="s">
        <v>75</v>
      </c>
      <c r="I168" s="14">
        <v>44915.0</v>
      </c>
      <c r="J168" s="14"/>
      <c r="K168" s="15"/>
      <c r="L168" s="15"/>
      <c r="M168" s="16"/>
      <c r="N168" s="16"/>
      <c r="O168" s="17"/>
      <c r="P168" s="17"/>
      <c r="Q168" s="13">
        <f t="shared" si="165"/>
        <v>0</v>
      </c>
      <c r="R168" s="13"/>
      <c r="S168" s="13"/>
      <c r="T168" s="13">
        <f t="shared" ref="T168:Y168" si="174">IF(ISBLANK(K168)=TRUE,0,1)</f>
        <v>0</v>
      </c>
      <c r="U168" s="13">
        <f t="shared" si="174"/>
        <v>0</v>
      </c>
      <c r="V168" s="13">
        <f t="shared" si="174"/>
        <v>0</v>
      </c>
      <c r="W168" s="13">
        <f t="shared" si="174"/>
        <v>0</v>
      </c>
      <c r="X168" s="13">
        <f t="shared" si="174"/>
        <v>0</v>
      </c>
      <c r="Y168" s="13">
        <f t="shared" si="174"/>
        <v>0</v>
      </c>
      <c r="Z168" s="13" t="str">
        <f t="shared" si="4"/>
        <v>NA</v>
      </c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</row>
    <row r="169" ht="14.25" hidden="1" customHeight="1">
      <c r="A169" s="13" t="s">
        <v>29</v>
      </c>
      <c r="B169" s="13" t="s">
        <v>32</v>
      </c>
      <c r="C169" s="27" t="s">
        <v>238</v>
      </c>
      <c r="D169" s="13"/>
      <c r="E169" s="13" t="str">
        <f t="shared" si="2"/>
        <v>COHR,225-1-23,,NA</v>
      </c>
      <c r="F169" s="13"/>
      <c r="G169" s="13" t="s">
        <v>111</v>
      </c>
      <c r="H169" s="13" t="s">
        <v>107</v>
      </c>
      <c r="I169" s="14">
        <v>44915.0</v>
      </c>
      <c r="J169" s="14"/>
      <c r="K169" s="15"/>
      <c r="L169" s="15"/>
      <c r="M169" s="16"/>
      <c r="N169" s="16"/>
      <c r="O169" s="17"/>
      <c r="P169" s="17"/>
      <c r="Q169" s="13">
        <f t="shared" si="165"/>
        <v>0</v>
      </c>
      <c r="R169" s="13"/>
      <c r="S169" s="13"/>
      <c r="T169" s="13">
        <f t="shared" ref="T169:Y169" si="175">IF(ISBLANK(K169)=TRUE,0,1)</f>
        <v>0</v>
      </c>
      <c r="U169" s="13">
        <f t="shared" si="175"/>
        <v>0</v>
      </c>
      <c r="V169" s="13">
        <f t="shared" si="175"/>
        <v>0</v>
      </c>
      <c r="W169" s="13">
        <f t="shared" si="175"/>
        <v>0</v>
      </c>
      <c r="X169" s="13">
        <f t="shared" si="175"/>
        <v>0</v>
      </c>
      <c r="Y169" s="13">
        <f t="shared" si="175"/>
        <v>0</v>
      </c>
      <c r="Z169" s="13" t="str">
        <f t="shared" si="4"/>
        <v>NA</v>
      </c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</row>
    <row r="170" ht="14.25" hidden="1" customHeight="1">
      <c r="A170" s="13" t="s">
        <v>29</v>
      </c>
      <c r="B170" s="13" t="s">
        <v>32</v>
      </c>
      <c r="C170" s="27" t="s">
        <v>239</v>
      </c>
      <c r="D170" s="13"/>
      <c r="E170" s="13" t="str">
        <f t="shared" si="2"/>
        <v>COHR,225-1-24,,NA</v>
      </c>
      <c r="F170" s="13"/>
      <c r="G170" s="13" t="s">
        <v>111</v>
      </c>
      <c r="H170" s="13" t="s">
        <v>107</v>
      </c>
      <c r="I170" s="14">
        <v>44915.0</v>
      </c>
      <c r="J170" s="14"/>
      <c r="K170" s="15"/>
      <c r="L170" s="15"/>
      <c r="M170" s="16"/>
      <c r="N170" s="16"/>
      <c r="O170" s="17"/>
      <c r="P170" s="17"/>
      <c r="Q170" s="13">
        <f t="shared" si="165"/>
        <v>0</v>
      </c>
      <c r="R170" s="13"/>
      <c r="S170" s="13"/>
      <c r="T170" s="13">
        <f t="shared" ref="T170:Y170" si="176">IF(ISBLANK(K170)=TRUE,0,1)</f>
        <v>0</v>
      </c>
      <c r="U170" s="13">
        <f t="shared" si="176"/>
        <v>0</v>
      </c>
      <c r="V170" s="13">
        <f t="shared" si="176"/>
        <v>0</v>
      </c>
      <c r="W170" s="13">
        <f t="shared" si="176"/>
        <v>0</v>
      </c>
      <c r="X170" s="13">
        <f t="shared" si="176"/>
        <v>0</v>
      </c>
      <c r="Y170" s="13">
        <f t="shared" si="176"/>
        <v>0</v>
      </c>
      <c r="Z170" s="13" t="str">
        <f t="shared" si="4"/>
        <v>NA</v>
      </c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</row>
    <row r="171" ht="14.25" hidden="1" customHeight="1">
      <c r="A171" s="13" t="s">
        <v>29</v>
      </c>
      <c r="B171" s="13" t="s">
        <v>32</v>
      </c>
      <c r="C171" s="27" t="s">
        <v>240</v>
      </c>
      <c r="D171" s="13"/>
      <c r="E171" s="13" t="str">
        <f t="shared" si="2"/>
        <v>COHR,225-1-25,,0</v>
      </c>
      <c r="F171" s="13"/>
      <c r="G171" s="13" t="s">
        <v>111</v>
      </c>
      <c r="H171" s="13" t="s">
        <v>107</v>
      </c>
      <c r="I171" s="14">
        <v>44915.0</v>
      </c>
      <c r="J171" s="14"/>
      <c r="K171" s="15"/>
      <c r="L171" s="15"/>
      <c r="M171" s="16"/>
      <c r="N171" s="16"/>
      <c r="O171" s="17">
        <v>0.0</v>
      </c>
      <c r="P171" s="17">
        <v>0.0</v>
      </c>
      <c r="Q171" s="13">
        <f t="shared" si="165"/>
        <v>0</v>
      </c>
      <c r="R171" s="13"/>
      <c r="S171" s="13"/>
      <c r="T171" s="13">
        <f t="shared" ref="T171:Y171" si="177">IF(ISBLANK(K171)=TRUE,0,1)</f>
        <v>0</v>
      </c>
      <c r="U171" s="13">
        <f t="shared" si="177"/>
        <v>0</v>
      </c>
      <c r="V171" s="13">
        <f t="shared" si="177"/>
        <v>0</v>
      </c>
      <c r="W171" s="13">
        <f t="shared" si="177"/>
        <v>0</v>
      </c>
      <c r="X171" s="13">
        <f t="shared" si="177"/>
        <v>1</v>
      </c>
      <c r="Y171" s="13">
        <f t="shared" si="177"/>
        <v>1</v>
      </c>
      <c r="Z171" s="13">
        <f t="shared" si="4"/>
        <v>0</v>
      </c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</row>
    <row r="172" ht="14.25" hidden="1" customHeight="1">
      <c r="A172" s="13" t="s">
        <v>29</v>
      </c>
      <c r="B172" s="13" t="s">
        <v>32</v>
      </c>
      <c r="C172" s="27" t="s">
        <v>241</v>
      </c>
      <c r="D172" s="13"/>
      <c r="E172" s="13" t="str">
        <f t="shared" si="2"/>
        <v>COHR,225-1-26,,NA</v>
      </c>
      <c r="F172" s="13"/>
      <c r="G172" s="13" t="s">
        <v>111</v>
      </c>
      <c r="H172" s="13" t="s">
        <v>75</v>
      </c>
      <c r="I172" s="14">
        <v>44915.0</v>
      </c>
      <c r="J172" s="14"/>
      <c r="K172" s="15"/>
      <c r="L172" s="15"/>
      <c r="M172" s="16"/>
      <c r="N172" s="16"/>
      <c r="O172" s="17"/>
      <c r="P172" s="17"/>
      <c r="Q172" s="13">
        <f t="shared" si="165"/>
        <v>0</v>
      </c>
      <c r="R172" s="13"/>
      <c r="S172" s="13"/>
      <c r="T172" s="13">
        <f t="shared" ref="T172:Y172" si="178">IF(ISBLANK(K172)=TRUE,0,1)</f>
        <v>0</v>
      </c>
      <c r="U172" s="13">
        <f t="shared" si="178"/>
        <v>0</v>
      </c>
      <c r="V172" s="13">
        <f t="shared" si="178"/>
        <v>0</v>
      </c>
      <c r="W172" s="13">
        <f t="shared" si="178"/>
        <v>0</v>
      </c>
      <c r="X172" s="13">
        <f t="shared" si="178"/>
        <v>0</v>
      </c>
      <c r="Y172" s="13">
        <f t="shared" si="178"/>
        <v>0</v>
      </c>
      <c r="Z172" s="13" t="str">
        <f t="shared" si="4"/>
        <v>NA</v>
      </c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</row>
    <row r="173" ht="14.25" hidden="1" customHeight="1">
      <c r="A173" s="13" t="s">
        <v>29</v>
      </c>
      <c r="B173" s="13" t="s">
        <v>32</v>
      </c>
      <c r="C173" s="27" t="s">
        <v>242</v>
      </c>
      <c r="D173" s="13"/>
      <c r="E173" s="13" t="str">
        <f t="shared" si="2"/>
        <v>COHR,225-1-27,,NA</v>
      </c>
      <c r="F173" s="13"/>
      <c r="G173" s="13" t="s">
        <v>111</v>
      </c>
      <c r="H173" s="13" t="s">
        <v>107</v>
      </c>
      <c r="I173" s="14">
        <v>44915.0</v>
      </c>
      <c r="J173" s="14"/>
      <c r="K173" s="15"/>
      <c r="L173" s="15"/>
      <c r="M173" s="16"/>
      <c r="N173" s="16"/>
      <c r="O173" s="17"/>
      <c r="P173" s="17"/>
      <c r="Q173" s="13">
        <f t="shared" si="165"/>
        <v>0</v>
      </c>
      <c r="R173" s="13"/>
      <c r="S173" s="13"/>
      <c r="T173" s="13">
        <f t="shared" ref="T173:Y173" si="179">IF(ISBLANK(K173)=TRUE,0,1)</f>
        <v>0</v>
      </c>
      <c r="U173" s="13">
        <f t="shared" si="179"/>
        <v>0</v>
      </c>
      <c r="V173" s="13">
        <f t="shared" si="179"/>
        <v>0</v>
      </c>
      <c r="W173" s="13">
        <f t="shared" si="179"/>
        <v>0</v>
      </c>
      <c r="X173" s="13">
        <f t="shared" si="179"/>
        <v>0</v>
      </c>
      <c r="Y173" s="13">
        <f t="shared" si="179"/>
        <v>0</v>
      </c>
      <c r="Z173" s="13" t="str">
        <f t="shared" si="4"/>
        <v>NA</v>
      </c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</row>
    <row r="174" ht="14.25" hidden="1" customHeight="1">
      <c r="A174" s="13" t="s">
        <v>29</v>
      </c>
      <c r="B174" s="13" t="s">
        <v>32</v>
      </c>
      <c r="C174" s="27" t="s">
        <v>243</v>
      </c>
      <c r="D174" s="13"/>
      <c r="E174" s="13" t="str">
        <f t="shared" si="2"/>
        <v>COHR,225-1-28,,0</v>
      </c>
      <c r="F174" s="13"/>
      <c r="G174" s="13" t="s">
        <v>111</v>
      </c>
      <c r="H174" s="13" t="s">
        <v>75</v>
      </c>
      <c r="I174" s="14">
        <v>44915.0</v>
      </c>
      <c r="J174" s="14"/>
      <c r="K174" s="15"/>
      <c r="L174" s="15"/>
      <c r="M174" s="16"/>
      <c r="N174" s="16"/>
      <c r="O174" s="17">
        <v>0.0</v>
      </c>
      <c r="P174" s="17">
        <v>0.0</v>
      </c>
      <c r="Q174" s="13">
        <f t="shared" si="165"/>
        <v>0</v>
      </c>
      <c r="R174" s="13"/>
      <c r="S174" s="13"/>
      <c r="T174" s="13">
        <f t="shared" ref="T174:Y174" si="180">IF(ISBLANK(K174)=TRUE,0,1)</f>
        <v>0</v>
      </c>
      <c r="U174" s="13">
        <f t="shared" si="180"/>
        <v>0</v>
      </c>
      <c r="V174" s="13">
        <f t="shared" si="180"/>
        <v>0</v>
      </c>
      <c r="W174" s="13">
        <f t="shared" si="180"/>
        <v>0</v>
      </c>
      <c r="X174" s="13">
        <f t="shared" si="180"/>
        <v>1</v>
      </c>
      <c r="Y174" s="13">
        <f t="shared" si="180"/>
        <v>1</v>
      </c>
      <c r="Z174" s="13">
        <f t="shared" si="4"/>
        <v>0</v>
      </c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</row>
    <row r="175" ht="14.25" hidden="1" customHeight="1">
      <c r="A175" s="13" t="s">
        <v>29</v>
      </c>
      <c r="B175" s="13" t="s">
        <v>32</v>
      </c>
      <c r="C175" s="27" t="s">
        <v>244</v>
      </c>
      <c r="D175" s="13"/>
      <c r="E175" s="13" t="str">
        <f t="shared" si="2"/>
        <v>COHR,225-1-29,,NA</v>
      </c>
      <c r="F175" s="13"/>
      <c r="G175" s="13" t="s">
        <v>111</v>
      </c>
      <c r="H175" s="13" t="s">
        <v>107</v>
      </c>
      <c r="I175" s="14">
        <v>44915.0</v>
      </c>
      <c r="J175" s="14"/>
      <c r="K175" s="15"/>
      <c r="L175" s="15"/>
      <c r="M175" s="16"/>
      <c r="N175" s="16"/>
      <c r="O175" s="17"/>
      <c r="P175" s="17"/>
      <c r="Q175" s="13">
        <f t="shared" si="165"/>
        <v>0</v>
      </c>
      <c r="R175" s="13"/>
      <c r="S175" s="13"/>
      <c r="T175" s="13">
        <f t="shared" ref="T175:Y175" si="181">IF(ISBLANK(K175)=TRUE,0,1)</f>
        <v>0</v>
      </c>
      <c r="U175" s="13">
        <f t="shared" si="181"/>
        <v>0</v>
      </c>
      <c r="V175" s="13">
        <f t="shared" si="181"/>
        <v>0</v>
      </c>
      <c r="W175" s="13">
        <f t="shared" si="181"/>
        <v>0</v>
      </c>
      <c r="X175" s="13">
        <f t="shared" si="181"/>
        <v>0</v>
      </c>
      <c r="Y175" s="13">
        <f t="shared" si="181"/>
        <v>0</v>
      </c>
      <c r="Z175" s="13" t="str">
        <f t="shared" si="4"/>
        <v>NA</v>
      </c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</row>
    <row r="176" ht="14.25" hidden="1" customHeight="1">
      <c r="A176" s="13" t="s">
        <v>29</v>
      </c>
      <c r="B176" s="13" t="s">
        <v>32</v>
      </c>
      <c r="C176" s="27" t="s">
        <v>245</v>
      </c>
      <c r="D176" s="13"/>
      <c r="E176" s="13" t="str">
        <f t="shared" si="2"/>
        <v>COHR,225-1-3,,NA</v>
      </c>
      <c r="F176" s="13"/>
      <c r="G176" s="13" t="s">
        <v>111</v>
      </c>
      <c r="H176" s="13" t="s">
        <v>107</v>
      </c>
      <c r="I176" s="14">
        <v>44915.0</v>
      </c>
      <c r="J176" s="14"/>
      <c r="K176" s="15"/>
      <c r="L176" s="15"/>
      <c r="M176" s="16"/>
      <c r="N176" s="16"/>
      <c r="O176" s="17"/>
      <c r="P176" s="17"/>
      <c r="Q176" s="13">
        <f t="shared" si="165"/>
        <v>0</v>
      </c>
      <c r="R176" s="13"/>
      <c r="S176" s="13"/>
      <c r="T176" s="13">
        <f t="shared" ref="T176:Y176" si="182">IF(ISBLANK(K176)=TRUE,0,1)</f>
        <v>0</v>
      </c>
      <c r="U176" s="13">
        <f t="shared" si="182"/>
        <v>0</v>
      </c>
      <c r="V176" s="13">
        <f t="shared" si="182"/>
        <v>0</v>
      </c>
      <c r="W176" s="13">
        <f t="shared" si="182"/>
        <v>0</v>
      </c>
      <c r="X176" s="13">
        <f t="shared" si="182"/>
        <v>0</v>
      </c>
      <c r="Y176" s="13">
        <f t="shared" si="182"/>
        <v>0</v>
      </c>
      <c r="Z176" s="13" t="str">
        <f t="shared" si="4"/>
        <v>NA</v>
      </c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</row>
    <row r="177" ht="14.25" hidden="1" customHeight="1">
      <c r="A177" s="13" t="s">
        <v>29</v>
      </c>
      <c r="B177" s="13" t="s">
        <v>32</v>
      </c>
      <c r="C177" s="27" t="s">
        <v>246</v>
      </c>
      <c r="D177" s="13"/>
      <c r="E177" s="13" t="str">
        <f t="shared" si="2"/>
        <v>COHR,225-1-30,,0</v>
      </c>
      <c r="F177" s="13"/>
      <c r="G177" s="13" t="s">
        <v>111</v>
      </c>
      <c r="H177" s="13" t="s">
        <v>75</v>
      </c>
      <c r="I177" s="14">
        <v>44915.0</v>
      </c>
      <c r="J177" s="14"/>
      <c r="K177" s="15"/>
      <c r="L177" s="15"/>
      <c r="M177" s="16"/>
      <c r="N177" s="16"/>
      <c r="O177" s="17">
        <v>0.0</v>
      </c>
      <c r="P177" s="17">
        <v>0.0</v>
      </c>
      <c r="Q177" s="13">
        <f t="shared" si="165"/>
        <v>0</v>
      </c>
      <c r="R177" s="13"/>
      <c r="S177" s="13"/>
      <c r="T177" s="13">
        <f t="shared" ref="T177:Y177" si="183">IF(ISBLANK(K177)=TRUE,0,1)</f>
        <v>0</v>
      </c>
      <c r="U177" s="13">
        <f t="shared" si="183"/>
        <v>0</v>
      </c>
      <c r="V177" s="13">
        <f t="shared" si="183"/>
        <v>0</v>
      </c>
      <c r="W177" s="13">
        <f t="shared" si="183"/>
        <v>0</v>
      </c>
      <c r="X177" s="13">
        <f t="shared" si="183"/>
        <v>1</v>
      </c>
      <c r="Y177" s="13">
        <f t="shared" si="183"/>
        <v>1</v>
      </c>
      <c r="Z177" s="13">
        <f t="shared" si="4"/>
        <v>0</v>
      </c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</row>
    <row r="178" ht="14.25" hidden="1" customHeight="1">
      <c r="A178" s="13" t="s">
        <v>29</v>
      </c>
      <c r="B178" s="13" t="s">
        <v>32</v>
      </c>
      <c r="C178" s="27" t="s">
        <v>247</v>
      </c>
      <c r="D178" s="13"/>
      <c r="E178" s="13" t="str">
        <f t="shared" si="2"/>
        <v>COHR,225-1-31,,0</v>
      </c>
      <c r="F178" s="13"/>
      <c r="G178" s="13" t="s">
        <v>111</v>
      </c>
      <c r="H178" s="13" t="s">
        <v>75</v>
      </c>
      <c r="I178" s="14">
        <v>44915.0</v>
      </c>
      <c r="J178" s="14"/>
      <c r="K178" s="15"/>
      <c r="L178" s="15"/>
      <c r="M178" s="16"/>
      <c r="N178" s="16"/>
      <c r="O178" s="17">
        <v>0.0</v>
      </c>
      <c r="P178" s="17">
        <v>0.0</v>
      </c>
      <c r="Q178" s="13">
        <f t="shared" si="165"/>
        <v>0</v>
      </c>
      <c r="R178" s="13"/>
      <c r="S178" s="13"/>
      <c r="T178" s="13">
        <f t="shared" ref="T178:Y178" si="184">IF(ISBLANK(K178)=TRUE,0,1)</f>
        <v>0</v>
      </c>
      <c r="U178" s="13">
        <f t="shared" si="184"/>
        <v>0</v>
      </c>
      <c r="V178" s="13">
        <f t="shared" si="184"/>
        <v>0</v>
      </c>
      <c r="W178" s="13">
        <f t="shared" si="184"/>
        <v>0</v>
      </c>
      <c r="X178" s="13">
        <f t="shared" si="184"/>
        <v>1</v>
      </c>
      <c r="Y178" s="13">
        <f t="shared" si="184"/>
        <v>1</v>
      </c>
      <c r="Z178" s="13">
        <f t="shared" si="4"/>
        <v>0</v>
      </c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</row>
    <row r="179" ht="14.25" hidden="1" customHeight="1">
      <c r="A179" s="13" t="s">
        <v>29</v>
      </c>
      <c r="B179" s="13" t="s">
        <v>32</v>
      </c>
      <c r="C179" s="27" t="s">
        <v>248</v>
      </c>
      <c r="D179" s="13"/>
      <c r="E179" s="13" t="str">
        <f t="shared" si="2"/>
        <v>COHR,225-1-32,,0</v>
      </c>
      <c r="F179" s="13"/>
      <c r="G179" s="13" t="s">
        <v>111</v>
      </c>
      <c r="H179" s="13" t="s">
        <v>107</v>
      </c>
      <c r="I179" s="14">
        <v>44915.0</v>
      </c>
      <c r="J179" s="14"/>
      <c r="K179" s="15"/>
      <c r="L179" s="15"/>
      <c r="M179" s="16"/>
      <c r="N179" s="16"/>
      <c r="O179" s="17">
        <v>0.0</v>
      </c>
      <c r="P179" s="17">
        <v>0.0</v>
      </c>
      <c r="Q179" s="13">
        <f t="shared" si="165"/>
        <v>0</v>
      </c>
      <c r="R179" s="13"/>
      <c r="S179" s="13"/>
      <c r="T179" s="13">
        <f t="shared" ref="T179:Y179" si="185">IF(ISBLANK(K179)=TRUE,0,1)</f>
        <v>0</v>
      </c>
      <c r="U179" s="13">
        <f t="shared" si="185"/>
        <v>0</v>
      </c>
      <c r="V179" s="13">
        <f t="shared" si="185"/>
        <v>0</v>
      </c>
      <c r="W179" s="13">
        <f t="shared" si="185"/>
        <v>0</v>
      </c>
      <c r="X179" s="13">
        <f t="shared" si="185"/>
        <v>1</v>
      </c>
      <c r="Y179" s="13">
        <f t="shared" si="185"/>
        <v>1</v>
      </c>
      <c r="Z179" s="13">
        <f t="shared" si="4"/>
        <v>0</v>
      </c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</row>
    <row r="180" ht="14.25" hidden="1" customHeight="1">
      <c r="A180" s="13" t="s">
        <v>29</v>
      </c>
      <c r="B180" s="13" t="s">
        <v>32</v>
      </c>
      <c r="C180" s="27" t="s">
        <v>249</v>
      </c>
      <c r="D180" s="13"/>
      <c r="E180" s="13" t="str">
        <f t="shared" si="2"/>
        <v>COHR,225-1-33,,0</v>
      </c>
      <c r="F180" s="13"/>
      <c r="G180" s="13" t="s">
        <v>111</v>
      </c>
      <c r="H180" s="13" t="s">
        <v>75</v>
      </c>
      <c r="I180" s="14">
        <v>44915.0</v>
      </c>
      <c r="J180" s="14"/>
      <c r="K180" s="15"/>
      <c r="L180" s="15"/>
      <c r="M180" s="16"/>
      <c r="N180" s="16"/>
      <c r="O180" s="17">
        <v>0.0</v>
      </c>
      <c r="P180" s="17">
        <v>0.0</v>
      </c>
      <c r="Q180" s="13">
        <f t="shared" si="165"/>
        <v>0</v>
      </c>
      <c r="R180" s="13"/>
      <c r="S180" s="13"/>
      <c r="T180" s="13">
        <f t="shared" ref="T180:Y180" si="186">IF(ISBLANK(K180)=TRUE,0,1)</f>
        <v>0</v>
      </c>
      <c r="U180" s="13">
        <f t="shared" si="186"/>
        <v>0</v>
      </c>
      <c r="V180" s="13">
        <f t="shared" si="186"/>
        <v>0</v>
      </c>
      <c r="W180" s="13">
        <f t="shared" si="186"/>
        <v>0</v>
      </c>
      <c r="X180" s="13">
        <f t="shared" si="186"/>
        <v>1</v>
      </c>
      <c r="Y180" s="13">
        <f t="shared" si="186"/>
        <v>1</v>
      </c>
      <c r="Z180" s="13">
        <f t="shared" si="4"/>
        <v>0</v>
      </c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</row>
    <row r="181" ht="14.25" hidden="1" customHeight="1">
      <c r="A181" s="13" t="s">
        <v>29</v>
      </c>
      <c r="B181" s="13" t="s">
        <v>32</v>
      </c>
      <c r="C181" s="27" t="s">
        <v>250</v>
      </c>
      <c r="D181" s="13"/>
      <c r="E181" s="13" t="str">
        <f t="shared" si="2"/>
        <v>COHR,225-1-34,,0</v>
      </c>
      <c r="F181" s="13"/>
      <c r="G181" s="13" t="s">
        <v>111</v>
      </c>
      <c r="H181" s="13" t="s">
        <v>75</v>
      </c>
      <c r="I181" s="14">
        <v>44915.0</v>
      </c>
      <c r="J181" s="14"/>
      <c r="K181" s="15"/>
      <c r="L181" s="15"/>
      <c r="M181" s="16"/>
      <c r="N181" s="16"/>
      <c r="O181" s="17">
        <v>0.0</v>
      </c>
      <c r="P181" s="17">
        <v>0.0</v>
      </c>
      <c r="Q181" s="13">
        <f t="shared" si="165"/>
        <v>0</v>
      </c>
      <c r="R181" s="13"/>
      <c r="S181" s="13"/>
      <c r="T181" s="13">
        <f t="shared" ref="T181:Y181" si="187">IF(ISBLANK(K181)=TRUE,0,1)</f>
        <v>0</v>
      </c>
      <c r="U181" s="13">
        <f t="shared" si="187"/>
        <v>0</v>
      </c>
      <c r="V181" s="13">
        <f t="shared" si="187"/>
        <v>0</v>
      </c>
      <c r="W181" s="13">
        <f t="shared" si="187"/>
        <v>0</v>
      </c>
      <c r="X181" s="13">
        <f t="shared" si="187"/>
        <v>1</v>
      </c>
      <c r="Y181" s="13">
        <f t="shared" si="187"/>
        <v>1</v>
      </c>
      <c r="Z181" s="13">
        <f t="shared" si="4"/>
        <v>0</v>
      </c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</row>
    <row r="182" ht="14.25" hidden="1" customHeight="1">
      <c r="A182" s="13" t="s">
        <v>29</v>
      </c>
      <c r="B182" s="13" t="s">
        <v>32</v>
      </c>
      <c r="C182" s="27" t="s">
        <v>251</v>
      </c>
      <c r="D182" s="13"/>
      <c r="E182" s="13" t="str">
        <f t="shared" si="2"/>
        <v>COHR,225-1-35,,NA</v>
      </c>
      <c r="F182" s="13"/>
      <c r="G182" s="13" t="s">
        <v>111</v>
      </c>
      <c r="H182" s="13" t="s">
        <v>107</v>
      </c>
      <c r="I182" s="14">
        <v>44915.0</v>
      </c>
      <c r="J182" s="14"/>
      <c r="K182" s="15"/>
      <c r="L182" s="15"/>
      <c r="M182" s="16"/>
      <c r="N182" s="16"/>
      <c r="O182" s="17"/>
      <c r="P182" s="17"/>
      <c r="Q182" s="13">
        <f t="shared" si="165"/>
        <v>0</v>
      </c>
      <c r="R182" s="13"/>
      <c r="S182" s="13"/>
      <c r="T182" s="13">
        <f t="shared" ref="T182:Y182" si="188">IF(ISBLANK(K182)=TRUE,0,1)</f>
        <v>0</v>
      </c>
      <c r="U182" s="13">
        <f t="shared" si="188"/>
        <v>0</v>
      </c>
      <c r="V182" s="13">
        <f t="shared" si="188"/>
        <v>0</v>
      </c>
      <c r="W182" s="13">
        <f t="shared" si="188"/>
        <v>0</v>
      </c>
      <c r="X182" s="13">
        <f t="shared" si="188"/>
        <v>0</v>
      </c>
      <c r="Y182" s="13">
        <f t="shared" si="188"/>
        <v>0</v>
      </c>
      <c r="Z182" s="13" t="str">
        <f t="shared" si="4"/>
        <v>NA</v>
      </c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</row>
    <row r="183" ht="14.25" hidden="1" customHeight="1">
      <c r="A183" s="13" t="s">
        <v>29</v>
      </c>
      <c r="B183" s="13" t="s">
        <v>32</v>
      </c>
      <c r="C183" s="27" t="s">
        <v>252</v>
      </c>
      <c r="D183" s="13"/>
      <c r="E183" s="13" t="str">
        <f t="shared" si="2"/>
        <v>COHR,225-1-4,,NA</v>
      </c>
      <c r="F183" s="13"/>
      <c r="G183" s="13" t="s">
        <v>111</v>
      </c>
      <c r="H183" s="13" t="s">
        <v>107</v>
      </c>
      <c r="I183" s="14">
        <v>44915.0</v>
      </c>
      <c r="J183" s="14"/>
      <c r="K183" s="15"/>
      <c r="L183" s="15"/>
      <c r="M183" s="16"/>
      <c r="N183" s="16"/>
      <c r="O183" s="17"/>
      <c r="P183" s="17"/>
      <c r="Q183" s="13">
        <f t="shared" si="165"/>
        <v>0</v>
      </c>
      <c r="R183" s="13"/>
      <c r="S183" s="13"/>
      <c r="T183" s="13">
        <f t="shared" ref="T183:Y183" si="189">IF(ISBLANK(K183)=TRUE,0,1)</f>
        <v>0</v>
      </c>
      <c r="U183" s="13">
        <f t="shared" si="189"/>
        <v>0</v>
      </c>
      <c r="V183" s="13">
        <f t="shared" si="189"/>
        <v>0</v>
      </c>
      <c r="W183" s="13">
        <f t="shared" si="189"/>
        <v>0</v>
      </c>
      <c r="X183" s="13">
        <f t="shared" si="189"/>
        <v>0</v>
      </c>
      <c r="Y183" s="13">
        <f t="shared" si="189"/>
        <v>0</v>
      </c>
      <c r="Z183" s="13" t="str">
        <f t="shared" si="4"/>
        <v>NA</v>
      </c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</row>
    <row r="184" ht="14.25" hidden="1" customHeight="1">
      <c r="A184" s="13" t="s">
        <v>29</v>
      </c>
      <c r="B184" s="13" t="s">
        <v>32</v>
      </c>
      <c r="C184" s="27" t="s">
        <v>253</v>
      </c>
      <c r="D184" s="13"/>
      <c r="E184" s="13" t="str">
        <f t="shared" si="2"/>
        <v>COHR,225-1-5,,NA</v>
      </c>
      <c r="F184" s="13"/>
      <c r="G184" s="13" t="s">
        <v>111</v>
      </c>
      <c r="H184" s="13" t="s">
        <v>107</v>
      </c>
      <c r="I184" s="14">
        <v>44915.0</v>
      </c>
      <c r="J184" s="14"/>
      <c r="K184" s="15"/>
      <c r="L184" s="15"/>
      <c r="M184" s="16"/>
      <c r="N184" s="16"/>
      <c r="O184" s="17"/>
      <c r="P184" s="17"/>
      <c r="Q184" s="13">
        <f t="shared" si="165"/>
        <v>0</v>
      </c>
      <c r="R184" s="13"/>
      <c r="S184" s="13"/>
      <c r="T184" s="13">
        <f t="shared" ref="T184:Y184" si="190">IF(ISBLANK(K184)=TRUE,0,1)</f>
        <v>0</v>
      </c>
      <c r="U184" s="13">
        <f t="shared" si="190"/>
        <v>0</v>
      </c>
      <c r="V184" s="13">
        <f t="shared" si="190"/>
        <v>0</v>
      </c>
      <c r="W184" s="13">
        <f t="shared" si="190"/>
        <v>0</v>
      </c>
      <c r="X184" s="13">
        <f t="shared" si="190"/>
        <v>0</v>
      </c>
      <c r="Y184" s="13">
        <f t="shared" si="190"/>
        <v>0</v>
      </c>
      <c r="Z184" s="13" t="str">
        <f t="shared" si="4"/>
        <v>NA</v>
      </c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</row>
    <row r="185" ht="14.25" hidden="1" customHeight="1">
      <c r="A185" s="13" t="s">
        <v>29</v>
      </c>
      <c r="B185" s="13" t="s">
        <v>32</v>
      </c>
      <c r="C185" s="27" t="s">
        <v>254</v>
      </c>
      <c r="D185" s="13"/>
      <c r="E185" s="13" t="str">
        <f t="shared" si="2"/>
        <v>COHR,225-1-6,,NA</v>
      </c>
      <c r="F185" s="13"/>
      <c r="G185" s="13" t="s">
        <v>111</v>
      </c>
      <c r="H185" s="13" t="s">
        <v>107</v>
      </c>
      <c r="I185" s="14">
        <v>44915.0</v>
      </c>
      <c r="J185" s="14"/>
      <c r="K185" s="15"/>
      <c r="L185" s="15"/>
      <c r="M185" s="16"/>
      <c r="N185" s="16"/>
      <c r="O185" s="17"/>
      <c r="P185" s="17"/>
      <c r="Q185" s="13">
        <f t="shared" si="165"/>
        <v>0</v>
      </c>
      <c r="R185" s="13"/>
      <c r="S185" s="13"/>
      <c r="T185" s="13">
        <f t="shared" ref="T185:Y185" si="191">IF(ISBLANK(K185)=TRUE,0,1)</f>
        <v>0</v>
      </c>
      <c r="U185" s="13">
        <f t="shared" si="191"/>
        <v>0</v>
      </c>
      <c r="V185" s="13">
        <f t="shared" si="191"/>
        <v>0</v>
      </c>
      <c r="W185" s="13">
        <f t="shared" si="191"/>
        <v>0</v>
      </c>
      <c r="X185" s="13">
        <f t="shared" si="191"/>
        <v>0</v>
      </c>
      <c r="Y185" s="13">
        <f t="shared" si="191"/>
        <v>0</v>
      </c>
      <c r="Z185" s="13" t="str">
        <f t="shared" si="4"/>
        <v>NA</v>
      </c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</row>
    <row r="186" ht="14.25" hidden="1" customHeight="1">
      <c r="A186" s="13" t="s">
        <v>29</v>
      </c>
      <c r="B186" s="13" t="s">
        <v>32</v>
      </c>
      <c r="C186" s="27" t="s">
        <v>255</v>
      </c>
      <c r="D186" s="13"/>
      <c r="E186" s="13" t="str">
        <f t="shared" si="2"/>
        <v>COHR,225-1-7,,0</v>
      </c>
      <c r="F186" s="13"/>
      <c r="G186" s="13" t="s">
        <v>111</v>
      </c>
      <c r="H186" s="13" t="s">
        <v>75</v>
      </c>
      <c r="I186" s="14">
        <v>44915.0</v>
      </c>
      <c r="J186" s="14"/>
      <c r="K186" s="15"/>
      <c r="L186" s="15"/>
      <c r="M186" s="16"/>
      <c r="N186" s="16"/>
      <c r="O186" s="17">
        <v>0.0</v>
      </c>
      <c r="P186" s="17">
        <v>0.0</v>
      </c>
      <c r="Q186" s="13">
        <f t="shared" si="165"/>
        <v>0</v>
      </c>
      <c r="R186" s="13"/>
      <c r="S186" s="13"/>
      <c r="T186" s="13">
        <f t="shared" ref="T186:Y186" si="192">IF(ISBLANK(K186)=TRUE,0,1)</f>
        <v>0</v>
      </c>
      <c r="U186" s="13">
        <f t="shared" si="192"/>
        <v>0</v>
      </c>
      <c r="V186" s="13">
        <f t="shared" si="192"/>
        <v>0</v>
      </c>
      <c r="W186" s="13">
        <f t="shared" si="192"/>
        <v>0</v>
      </c>
      <c r="X186" s="13">
        <f t="shared" si="192"/>
        <v>1</v>
      </c>
      <c r="Y186" s="13">
        <f t="shared" si="192"/>
        <v>1</v>
      </c>
      <c r="Z186" s="13">
        <f t="shared" si="4"/>
        <v>0</v>
      </c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</row>
    <row r="187" ht="14.25" hidden="1" customHeight="1">
      <c r="A187" s="13" t="s">
        <v>29</v>
      </c>
      <c r="B187" s="13" t="s">
        <v>32</v>
      </c>
      <c r="C187" s="27" t="s">
        <v>256</v>
      </c>
      <c r="D187" s="13"/>
      <c r="E187" s="13" t="str">
        <f t="shared" si="2"/>
        <v>COHR,225-1-8,,NA</v>
      </c>
      <c r="F187" s="13"/>
      <c r="G187" s="13" t="s">
        <v>111</v>
      </c>
      <c r="H187" s="13" t="s">
        <v>107</v>
      </c>
      <c r="I187" s="14">
        <v>44915.0</v>
      </c>
      <c r="J187" s="14"/>
      <c r="K187" s="15"/>
      <c r="L187" s="15"/>
      <c r="M187" s="16"/>
      <c r="N187" s="16"/>
      <c r="O187" s="17"/>
      <c r="P187" s="17"/>
      <c r="Q187" s="13">
        <f t="shared" si="165"/>
        <v>0</v>
      </c>
      <c r="R187" s="13"/>
      <c r="S187" s="13"/>
      <c r="T187" s="13">
        <f t="shared" ref="T187:Y187" si="193">IF(ISBLANK(K187)=TRUE,0,1)</f>
        <v>0</v>
      </c>
      <c r="U187" s="13">
        <f t="shared" si="193"/>
        <v>0</v>
      </c>
      <c r="V187" s="13">
        <f t="shared" si="193"/>
        <v>0</v>
      </c>
      <c r="W187" s="13">
        <f t="shared" si="193"/>
        <v>0</v>
      </c>
      <c r="X187" s="13">
        <f t="shared" si="193"/>
        <v>0</v>
      </c>
      <c r="Y187" s="13">
        <f t="shared" si="193"/>
        <v>0</v>
      </c>
      <c r="Z187" s="13" t="str">
        <f t="shared" si="4"/>
        <v>NA</v>
      </c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</row>
    <row r="188" ht="14.25" hidden="1" customHeight="1">
      <c r="A188" s="13" t="s">
        <v>29</v>
      </c>
      <c r="B188" s="13" t="s">
        <v>32</v>
      </c>
      <c r="C188" s="27" t="s">
        <v>257</v>
      </c>
      <c r="D188" s="13"/>
      <c r="E188" s="13" t="str">
        <f t="shared" si="2"/>
        <v>COHR,225-1-9,,0</v>
      </c>
      <c r="F188" s="13"/>
      <c r="G188" s="13" t="s">
        <v>111</v>
      </c>
      <c r="H188" s="13" t="s">
        <v>75</v>
      </c>
      <c r="I188" s="14">
        <v>44915.0</v>
      </c>
      <c r="J188" s="14"/>
      <c r="K188" s="15"/>
      <c r="L188" s="15"/>
      <c r="M188" s="16"/>
      <c r="N188" s="16"/>
      <c r="O188" s="17">
        <v>0.0</v>
      </c>
      <c r="P188" s="17">
        <v>0.0</v>
      </c>
      <c r="Q188" s="13">
        <f t="shared" si="165"/>
        <v>0</v>
      </c>
      <c r="R188" s="13"/>
      <c r="S188" s="13"/>
      <c r="T188" s="13">
        <f t="shared" ref="T188:Y188" si="194">IF(ISBLANK(K188)=TRUE,0,1)</f>
        <v>0</v>
      </c>
      <c r="U188" s="13">
        <f t="shared" si="194"/>
        <v>0</v>
      </c>
      <c r="V188" s="13">
        <f t="shared" si="194"/>
        <v>0</v>
      </c>
      <c r="W188" s="13">
        <f t="shared" si="194"/>
        <v>0</v>
      </c>
      <c r="X188" s="13">
        <f t="shared" si="194"/>
        <v>1</v>
      </c>
      <c r="Y188" s="13">
        <f t="shared" si="194"/>
        <v>1</v>
      </c>
      <c r="Z188" s="13">
        <f t="shared" si="4"/>
        <v>0</v>
      </c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</row>
    <row r="189" ht="14.25" hidden="1" customHeight="1">
      <c r="A189" s="13" t="s">
        <v>29</v>
      </c>
      <c r="B189" s="13" t="s">
        <v>32</v>
      </c>
      <c r="C189" s="18" t="s">
        <v>258</v>
      </c>
      <c r="D189" s="13"/>
      <c r="E189" s="13" t="str">
        <f t="shared" si="2"/>
        <v>COHR,225-5-1,,0</v>
      </c>
      <c r="F189" s="13"/>
      <c r="G189" s="13" t="s">
        <v>111</v>
      </c>
      <c r="H189" s="13" t="s">
        <v>75</v>
      </c>
      <c r="I189" s="13"/>
      <c r="J189" s="13"/>
      <c r="K189" s="15"/>
      <c r="L189" s="15"/>
      <c r="M189" s="16">
        <v>0.0</v>
      </c>
      <c r="N189" s="16">
        <v>0.0</v>
      </c>
      <c r="O189" s="17"/>
      <c r="P189" s="17"/>
      <c r="Q189" s="13">
        <f t="shared" si="165"/>
        <v>0</v>
      </c>
      <c r="R189" s="13"/>
      <c r="S189" s="13"/>
      <c r="T189" s="13">
        <f t="shared" ref="T189:Y189" si="195">IF(ISBLANK(K189)=TRUE,0,1)</f>
        <v>0</v>
      </c>
      <c r="U189" s="13">
        <f t="shared" si="195"/>
        <v>0</v>
      </c>
      <c r="V189" s="13">
        <f t="shared" si="195"/>
        <v>1</v>
      </c>
      <c r="W189" s="13">
        <f t="shared" si="195"/>
        <v>1</v>
      </c>
      <c r="X189" s="13">
        <f t="shared" si="195"/>
        <v>0</v>
      </c>
      <c r="Y189" s="13">
        <f t="shared" si="195"/>
        <v>0</v>
      </c>
      <c r="Z189" s="13">
        <f t="shared" si="4"/>
        <v>0</v>
      </c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</row>
    <row r="190" ht="14.25" hidden="1" customHeight="1">
      <c r="A190" s="13" t="s">
        <v>29</v>
      </c>
      <c r="B190" s="13" t="s">
        <v>32</v>
      </c>
      <c r="C190" s="18" t="s">
        <v>259</v>
      </c>
      <c r="D190" s="13"/>
      <c r="E190" s="13" t="str">
        <f t="shared" si="2"/>
        <v>COHR,225-5-10,,0</v>
      </c>
      <c r="F190" s="13"/>
      <c r="G190" s="13" t="s">
        <v>111</v>
      </c>
      <c r="H190" s="13" t="s">
        <v>75</v>
      </c>
      <c r="I190" s="13"/>
      <c r="J190" s="13"/>
      <c r="K190" s="15"/>
      <c r="L190" s="15"/>
      <c r="M190" s="16">
        <v>0.0</v>
      </c>
      <c r="N190" s="16">
        <v>0.0</v>
      </c>
      <c r="O190" s="17"/>
      <c r="P190" s="17"/>
      <c r="Q190" s="13">
        <f t="shared" si="165"/>
        <v>0</v>
      </c>
      <c r="R190" s="13"/>
      <c r="S190" s="13"/>
      <c r="T190" s="13">
        <f t="shared" ref="T190:Y190" si="196">IF(ISBLANK(K190)=TRUE,0,1)</f>
        <v>0</v>
      </c>
      <c r="U190" s="13">
        <f t="shared" si="196"/>
        <v>0</v>
      </c>
      <c r="V190" s="13">
        <f t="shared" si="196"/>
        <v>1</v>
      </c>
      <c r="W190" s="13">
        <f t="shared" si="196"/>
        <v>1</v>
      </c>
      <c r="X190" s="13">
        <f t="shared" si="196"/>
        <v>0</v>
      </c>
      <c r="Y190" s="13">
        <f t="shared" si="196"/>
        <v>0</v>
      </c>
      <c r="Z190" s="13">
        <f t="shared" si="4"/>
        <v>0</v>
      </c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</row>
    <row r="191" ht="14.25" hidden="1" customHeight="1">
      <c r="A191" s="13" t="s">
        <v>29</v>
      </c>
      <c r="B191" s="13" t="s">
        <v>32</v>
      </c>
      <c r="C191" s="18" t="s">
        <v>260</v>
      </c>
      <c r="D191" s="13"/>
      <c r="E191" s="13" t="str">
        <f t="shared" si="2"/>
        <v>COHR,225-5-11,,0</v>
      </c>
      <c r="F191" s="13"/>
      <c r="G191" s="13" t="s">
        <v>111</v>
      </c>
      <c r="H191" s="13" t="s">
        <v>75</v>
      </c>
      <c r="I191" s="13"/>
      <c r="J191" s="13"/>
      <c r="K191" s="15"/>
      <c r="L191" s="15"/>
      <c r="M191" s="16">
        <v>0.0</v>
      </c>
      <c r="N191" s="16">
        <v>0.0</v>
      </c>
      <c r="O191" s="17"/>
      <c r="P191" s="17"/>
      <c r="Q191" s="13">
        <f t="shared" si="165"/>
        <v>0</v>
      </c>
      <c r="R191" s="13"/>
      <c r="S191" s="13"/>
      <c r="T191" s="13">
        <f t="shared" ref="T191:Y191" si="197">IF(ISBLANK(K191)=TRUE,0,1)</f>
        <v>0</v>
      </c>
      <c r="U191" s="13">
        <f t="shared" si="197"/>
        <v>0</v>
      </c>
      <c r="V191" s="13">
        <f t="shared" si="197"/>
        <v>1</v>
      </c>
      <c r="W191" s="13">
        <f t="shared" si="197"/>
        <v>1</v>
      </c>
      <c r="X191" s="13">
        <f t="shared" si="197"/>
        <v>0</v>
      </c>
      <c r="Y191" s="13">
        <f t="shared" si="197"/>
        <v>0</v>
      </c>
      <c r="Z191" s="13">
        <f t="shared" si="4"/>
        <v>0</v>
      </c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</row>
    <row r="192" ht="14.25" hidden="1" customHeight="1">
      <c r="A192" s="13" t="s">
        <v>29</v>
      </c>
      <c r="B192" s="13" t="s">
        <v>32</v>
      </c>
      <c r="C192" s="18" t="s">
        <v>261</v>
      </c>
      <c r="D192" s="13"/>
      <c r="E192" s="13" t="str">
        <f t="shared" si="2"/>
        <v>COHR,225-5-12,,0</v>
      </c>
      <c r="F192" s="13"/>
      <c r="G192" s="13" t="s">
        <v>111</v>
      </c>
      <c r="H192" s="13" t="s">
        <v>75</v>
      </c>
      <c r="I192" s="13"/>
      <c r="J192" s="13"/>
      <c r="K192" s="15"/>
      <c r="L192" s="15"/>
      <c r="M192" s="16">
        <v>0.0</v>
      </c>
      <c r="N192" s="16">
        <v>0.0</v>
      </c>
      <c r="O192" s="17"/>
      <c r="P192" s="17"/>
      <c r="Q192" s="13">
        <f t="shared" si="165"/>
        <v>0</v>
      </c>
      <c r="R192" s="13"/>
      <c r="S192" s="13"/>
      <c r="T192" s="13">
        <f t="shared" ref="T192:Y192" si="198">IF(ISBLANK(K192)=TRUE,0,1)</f>
        <v>0</v>
      </c>
      <c r="U192" s="13">
        <f t="shared" si="198"/>
        <v>0</v>
      </c>
      <c r="V192" s="13">
        <f t="shared" si="198"/>
        <v>1</v>
      </c>
      <c r="W192" s="13">
        <f t="shared" si="198"/>
        <v>1</v>
      </c>
      <c r="X192" s="13">
        <f t="shared" si="198"/>
        <v>0</v>
      </c>
      <c r="Y192" s="13">
        <f t="shared" si="198"/>
        <v>0</v>
      </c>
      <c r="Z192" s="13">
        <f t="shared" si="4"/>
        <v>0</v>
      </c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</row>
    <row r="193" ht="14.25" hidden="1" customHeight="1">
      <c r="A193" s="13" t="s">
        <v>29</v>
      </c>
      <c r="B193" s="13" t="s">
        <v>32</v>
      </c>
      <c r="C193" s="18" t="s">
        <v>262</v>
      </c>
      <c r="D193" s="13"/>
      <c r="E193" s="13" t="str">
        <f t="shared" si="2"/>
        <v>COHR,225-5-13,,0</v>
      </c>
      <c r="F193" s="13"/>
      <c r="G193" s="13" t="s">
        <v>111</v>
      </c>
      <c r="H193" s="13" t="s">
        <v>75</v>
      </c>
      <c r="I193" s="13"/>
      <c r="J193" s="13"/>
      <c r="K193" s="15"/>
      <c r="L193" s="15"/>
      <c r="M193" s="16">
        <v>0.0</v>
      </c>
      <c r="N193" s="16">
        <v>0.0</v>
      </c>
      <c r="O193" s="17"/>
      <c r="P193" s="17"/>
      <c r="Q193" s="13">
        <f t="shared" si="165"/>
        <v>0</v>
      </c>
      <c r="R193" s="13"/>
      <c r="S193" s="13"/>
      <c r="T193" s="13">
        <f t="shared" ref="T193:Y193" si="199">IF(ISBLANK(K193)=TRUE,0,1)</f>
        <v>0</v>
      </c>
      <c r="U193" s="13">
        <f t="shared" si="199"/>
        <v>0</v>
      </c>
      <c r="V193" s="13">
        <f t="shared" si="199"/>
        <v>1</v>
      </c>
      <c r="W193" s="13">
        <f t="shared" si="199"/>
        <v>1</v>
      </c>
      <c r="X193" s="13">
        <f t="shared" si="199"/>
        <v>0</v>
      </c>
      <c r="Y193" s="13">
        <f t="shared" si="199"/>
        <v>0</v>
      </c>
      <c r="Z193" s="13">
        <f t="shared" si="4"/>
        <v>0</v>
      </c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</row>
    <row r="194" ht="14.25" hidden="1" customHeight="1">
      <c r="A194" s="13" t="s">
        <v>29</v>
      </c>
      <c r="B194" s="13" t="s">
        <v>32</v>
      </c>
      <c r="C194" s="18" t="s">
        <v>263</v>
      </c>
      <c r="D194" s="13"/>
      <c r="E194" s="13" t="str">
        <f t="shared" si="2"/>
        <v>COHR,225-5-14,,0</v>
      </c>
      <c r="F194" s="13"/>
      <c r="G194" s="13" t="s">
        <v>111</v>
      </c>
      <c r="H194" s="13" t="s">
        <v>75</v>
      </c>
      <c r="I194" s="13"/>
      <c r="J194" s="13"/>
      <c r="K194" s="15"/>
      <c r="L194" s="15"/>
      <c r="M194" s="16">
        <v>0.0</v>
      </c>
      <c r="N194" s="16">
        <v>0.0</v>
      </c>
      <c r="O194" s="17"/>
      <c r="P194" s="17"/>
      <c r="Q194" s="13">
        <f t="shared" si="165"/>
        <v>0</v>
      </c>
      <c r="R194" s="13"/>
      <c r="S194" s="13"/>
      <c r="T194" s="13">
        <f t="shared" ref="T194:Y194" si="200">IF(ISBLANK(K194)=TRUE,0,1)</f>
        <v>0</v>
      </c>
      <c r="U194" s="13">
        <f t="shared" si="200"/>
        <v>0</v>
      </c>
      <c r="V194" s="13">
        <f t="shared" si="200"/>
        <v>1</v>
      </c>
      <c r="W194" s="13">
        <f t="shared" si="200"/>
        <v>1</v>
      </c>
      <c r="X194" s="13">
        <f t="shared" si="200"/>
        <v>0</v>
      </c>
      <c r="Y194" s="13">
        <f t="shared" si="200"/>
        <v>0</v>
      </c>
      <c r="Z194" s="13">
        <f t="shared" si="4"/>
        <v>0</v>
      </c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</row>
    <row r="195" ht="14.25" hidden="1" customHeight="1">
      <c r="A195" s="13" t="s">
        <v>29</v>
      </c>
      <c r="B195" s="13" t="s">
        <v>32</v>
      </c>
      <c r="C195" s="18" t="s">
        <v>264</v>
      </c>
      <c r="D195" s="13"/>
      <c r="E195" s="13" t="str">
        <f t="shared" si="2"/>
        <v>COHR,225-5-15,,0</v>
      </c>
      <c r="F195" s="13"/>
      <c r="G195" s="13" t="s">
        <v>111</v>
      </c>
      <c r="H195" s="13" t="s">
        <v>75</v>
      </c>
      <c r="I195" s="13"/>
      <c r="J195" s="13"/>
      <c r="K195" s="15"/>
      <c r="L195" s="15"/>
      <c r="M195" s="16">
        <v>0.0</v>
      </c>
      <c r="N195" s="16">
        <v>0.0</v>
      </c>
      <c r="O195" s="17"/>
      <c r="P195" s="17"/>
      <c r="Q195" s="13">
        <f t="shared" si="165"/>
        <v>0</v>
      </c>
      <c r="R195" s="13"/>
      <c r="S195" s="13"/>
      <c r="T195" s="13">
        <f t="shared" ref="T195:Y195" si="201">IF(ISBLANK(K195)=TRUE,0,1)</f>
        <v>0</v>
      </c>
      <c r="U195" s="13">
        <f t="shared" si="201"/>
        <v>0</v>
      </c>
      <c r="V195" s="13">
        <f t="shared" si="201"/>
        <v>1</v>
      </c>
      <c r="W195" s="13">
        <f t="shared" si="201"/>
        <v>1</v>
      </c>
      <c r="X195" s="13">
        <f t="shared" si="201"/>
        <v>0</v>
      </c>
      <c r="Y195" s="13">
        <f t="shared" si="201"/>
        <v>0</v>
      </c>
      <c r="Z195" s="13">
        <f t="shared" si="4"/>
        <v>0</v>
      </c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</row>
    <row r="196" ht="14.25" hidden="1" customHeight="1">
      <c r="A196" s="13" t="s">
        <v>29</v>
      </c>
      <c r="B196" s="13" t="s">
        <v>32</v>
      </c>
      <c r="C196" s="18" t="s">
        <v>265</v>
      </c>
      <c r="D196" s="13"/>
      <c r="E196" s="13" t="str">
        <f t="shared" si="2"/>
        <v>COHR,225-5-16,,0</v>
      </c>
      <c r="F196" s="13"/>
      <c r="G196" s="13" t="s">
        <v>111</v>
      </c>
      <c r="H196" s="13" t="s">
        <v>75</v>
      </c>
      <c r="I196" s="13"/>
      <c r="J196" s="13"/>
      <c r="K196" s="15"/>
      <c r="L196" s="15"/>
      <c r="M196" s="16">
        <v>0.0</v>
      </c>
      <c r="N196" s="16">
        <v>0.0</v>
      </c>
      <c r="O196" s="17"/>
      <c r="P196" s="17"/>
      <c r="Q196" s="13">
        <f t="shared" si="165"/>
        <v>0</v>
      </c>
      <c r="R196" s="13"/>
      <c r="S196" s="13"/>
      <c r="T196" s="13">
        <f t="shared" ref="T196:Y196" si="202">IF(ISBLANK(K196)=TRUE,0,1)</f>
        <v>0</v>
      </c>
      <c r="U196" s="13">
        <f t="shared" si="202"/>
        <v>0</v>
      </c>
      <c r="V196" s="13">
        <f t="shared" si="202"/>
        <v>1</v>
      </c>
      <c r="W196" s="13">
        <f t="shared" si="202"/>
        <v>1</v>
      </c>
      <c r="X196" s="13">
        <f t="shared" si="202"/>
        <v>0</v>
      </c>
      <c r="Y196" s="13">
        <f t="shared" si="202"/>
        <v>0</v>
      </c>
      <c r="Z196" s="13">
        <f t="shared" si="4"/>
        <v>0</v>
      </c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</row>
    <row r="197" ht="14.25" hidden="1" customHeight="1">
      <c r="A197" s="13" t="s">
        <v>29</v>
      </c>
      <c r="B197" s="13" t="s">
        <v>32</v>
      </c>
      <c r="C197" s="18" t="s">
        <v>266</v>
      </c>
      <c r="D197" s="13"/>
      <c r="E197" s="13" t="str">
        <f t="shared" si="2"/>
        <v>COHR,225-5-17,,0</v>
      </c>
      <c r="F197" s="13"/>
      <c r="G197" s="13" t="s">
        <v>111</v>
      </c>
      <c r="H197" s="13" t="s">
        <v>75</v>
      </c>
      <c r="I197" s="13"/>
      <c r="J197" s="13"/>
      <c r="K197" s="15"/>
      <c r="L197" s="15"/>
      <c r="M197" s="16">
        <v>0.0</v>
      </c>
      <c r="N197" s="16">
        <v>0.0</v>
      </c>
      <c r="O197" s="17"/>
      <c r="P197" s="17"/>
      <c r="Q197" s="13">
        <f t="shared" si="165"/>
        <v>0</v>
      </c>
      <c r="R197" s="13"/>
      <c r="S197" s="13"/>
      <c r="T197" s="13">
        <f t="shared" ref="T197:Y197" si="203">IF(ISBLANK(K197)=TRUE,0,1)</f>
        <v>0</v>
      </c>
      <c r="U197" s="13">
        <f t="shared" si="203"/>
        <v>0</v>
      </c>
      <c r="V197" s="13">
        <f t="shared" si="203"/>
        <v>1</v>
      </c>
      <c r="W197" s="13">
        <f t="shared" si="203"/>
        <v>1</v>
      </c>
      <c r="X197" s="13">
        <f t="shared" si="203"/>
        <v>0</v>
      </c>
      <c r="Y197" s="13">
        <f t="shared" si="203"/>
        <v>0</v>
      </c>
      <c r="Z197" s="13">
        <f t="shared" si="4"/>
        <v>0</v>
      </c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</row>
    <row r="198" ht="14.25" hidden="1" customHeight="1">
      <c r="A198" s="13" t="s">
        <v>29</v>
      </c>
      <c r="B198" s="13" t="s">
        <v>32</v>
      </c>
      <c r="C198" s="18" t="s">
        <v>267</v>
      </c>
      <c r="D198" s="13"/>
      <c r="E198" s="13" t="str">
        <f t="shared" si="2"/>
        <v>COHR,225-5-18,,0</v>
      </c>
      <c r="F198" s="13"/>
      <c r="G198" s="13" t="s">
        <v>111</v>
      </c>
      <c r="H198" s="13" t="s">
        <v>75</v>
      </c>
      <c r="I198" s="13"/>
      <c r="J198" s="13"/>
      <c r="K198" s="15"/>
      <c r="L198" s="15"/>
      <c r="M198" s="16">
        <v>0.0</v>
      </c>
      <c r="N198" s="16">
        <v>0.0</v>
      </c>
      <c r="O198" s="17"/>
      <c r="P198" s="17"/>
      <c r="Q198" s="13">
        <f t="shared" si="165"/>
        <v>0</v>
      </c>
      <c r="R198" s="13"/>
      <c r="S198" s="13"/>
      <c r="T198" s="13">
        <f t="shared" ref="T198:Y198" si="204">IF(ISBLANK(K198)=TRUE,0,1)</f>
        <v>0</v>
      </c>
      <c r="U198" s="13">
        <f t="shared" si="204"/>
        <v>0</v>
      </c>
      <c r="V198" s="13">
        <f t="shared" si="204"/>
        <v>1</v>
      </c>
      <c r="W198" s="13">
        <f t="shared" si="204"/>
        <v>1</v>
      </c>
      <c r="X198" s="13">
        <f t="shared" si="204"/>
        <v>0</v>
      </c>
      <c r="Y198" s="13">
        <f t="shared" si="204"/>
        <v>0</v>
      </c>
      <c r="Z198" s="13">
        <f t="shared" si="4"/>
        <v>0</v>
      </c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</row>
    <row r="199" ht="14.25" hidden="1" customHeight="1">
      <c r="A199" s="13" t="s">
        <v>29</v>
      </c>
      <c r="B199" s="13" t="s">
        <v>32</v>
      </c>
      <c r="C199" s="18" t="s">
        <v>268</v>
      </c>
      <c r="D199" s="13"/>
      <c r="E199" s="13" t="str">
        <f t="shared" si="2"/>
        <v>COHR,225-5-19,,0</v>
      </c>
      <c r="F199" s="13"/>
      <c r="G199" s="13" t="s">
        <v>111</v>
      </c>
      <c r="H199" s="13" t="s">
        <v>75</v>
      </c>
      <c r="I199" s="13"/>
      <c r="J199" s="13"/>
      <c r="K199" s="15"/>
      <c r="L199" s="15"/>
      <c r="M199" s="16">
        <v>0.0</v>
      </c>
      <c r="N199" s="16">
        <v>0.0</v>
      </c>
      <c r="O199" s="17"/>
      <c r="P199" s="17"/>
      <c r="Q199" s="13">
        <f t="shared" si="165"/>
        <v>0</v>
      </c>
      <c r="R199" s="13"/>
      <c r="S199" s="13"/>
      <c r="T199" s="13">
        <f t="shared" ref="T199:Y199" si="205">IF(ISBLANK(K199)=TRUE,0,1)</f>
        <v>0</v>
      </c>
      <c r="U199" s="13">
        <f t="shared" si="205"/>
        <v>0</v>
      </c>
      <c r="V199" s="13">
        <f t="shared" si="205"/>
        <v>1</v>
      </c>
      <c r="W199" s="13">
        <f t="shared" si="205"/>
        <v>1</v>
      </c>
      <c r="X199" s="13">
        <f t="shared" si="205"/>
        <v>0</v>
      </c>
      <c r="Y199" s="13">
        <f t="shared" si="205"/>
        <v>0</v>
      </c>
      <c r="Z199" s="13">
        <f t="shared" si="4"/>
        <v>0</v>
      </c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</row>
    <row r="200" ht="14.25" hidden="1" customHeight="1">
      <c r="A200" s="13" t="s">
        <v>29</v>
      </c>
      <c r="B200" s="13" t="s">
        <v>32</v>
      </c>
      <c r="C200" s="18" t="s">
        <v>269</v>
      </c>
      <c r="D200" s="13"/>
      <c r="E200" s="13" t="str">
        <f t="shared" si="2"/>
        <v>COHR,225-5-2,,0</v>
      </c>
      <c r="F200" s="13"/>
      <c r="G200" s="13" t="s">
        <v>111</v>
      </c>
      <c r="H200" s="13" t="s">
        <v>75</v>
      </c>
      <c r="I200" s="13"/>
      <c r="J200" s="13"/>
      <c r="K200" s="15"/>
      <c r="L200" s="15"/>
      <c r="M200" s="16">
        <v>0.0</v>
      </c>
      <c r="N200" s="16">
        <v>0.0</v>
      </c>
      <c r="O200" s="17"/>
      <c r="P200" s="17"/>
      <c r="Q200" s="13">
        <f t="shared" si="165"/>
        <v>0</v>
      </c>
      <c r="R200" s="13"/>
      <c r="S200" s="13"/>
      <c r="T200" s="13">
        <f t="shared" ref="T200:Y200" si="206">IF(ISBLANK(K200)=TRUE,0,1)</f>
        <v>0</v>
      </c>
      <c r="U200" s="13">
        <f t="shared" si="206"/>
        <v>0</v>
      </c>
      <c r="V200" s="13">
        <f t="shared" si="206"/>
        <v>1</v>
      </c>
      <c r="W200" s="13">
        <f t="shared" si="206"/>
        <v>1</v>
      </c>
      <c r="X200" s="13">
        <f t="shared" si="206"/>
        <v>0</v>
      </c>
      <c r="Y200" s="13">
        <f t="shared" si="206"/>
        <v>0</v>
      </c>
      <c r="Z200" s="13">
        <f t="shared" si="4"/>
        <v>0</v>
      </c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</row>
    <row r="201" ht="14.25" hidden="1" customHeight="1">
      <c r="A201" s="13" t="s">
        <v>29</v>
      </c>
      <c r="B201" s="13" t="s">
        <v>32</v>
      </c>
      <c r="C201" s="18" t="s">
        <v>270</v>
      </c>
      <c r="D201" s="13"/>
      <c r="E201" s="13" t="str">
        <f t="shared" si="2"/>
        <v>COHR,225-5-20,,0</v>
      </c>
      <c r="F201" s="13"/>
      <c r="G201" s="13" t="s">
        <v>111</v>
      </c>
      <c r="H201" s="13" t="s">
        <v>75</v>
      </c>
      <c r="I201" s="13"/>
      <c r="J201" s="13"/>
      <c r="K201" s="15"/>
      <c r="L201" s="15"/>
      <c r="M201" s="16">
        <v>0.0</v>
      </c>
      <c r="N201" s="16">
        <v>0.0</v>
      </c>
      <c r="O201" s="17"/>
      <c r="P201" s="17"/>
      <c r="Q201" s="13">
        <f t="shared" si="165"/>
        <v>0</v>
      </c>
      <c r="R201" s="13"/>
      <c r="S201" s="13"/>
      <c r="T201" s="13">
        <f t="shared" ref="T201:Y201" si="207">IF(ISBLANK(K201)=TRUE,0,1)</f>
        <v>0</v>
      </c>
      <c r="U201" s="13">
        <f t="shared" si="207"/>
        <v>0</v>
      </c>
      <c r="V201" s="13">
        <f t="shared" si="207"/>
        <v>1</v>
      </c>
      <c r="W201" s="13">
        <f t="shared" si="207"/>
        <v>1</v>
      </c>
      <c r="X201" s="13">
        <f t="shared" si="207"/>
        <v>0</v>
      </c>
      <c r="Y201" s="13">
        <f t="shared" si="207"/>
        <v>0</v>
      </c>
      <c r="Z201" s="13">
        <f t="shared" si="4"/>
        <v>0</v>
      </c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</row>
    <row r="202" ht="14.25" hidden="1" customHeight="1">
      <c r="A202" s="13" t="s">
        <v>29</v>
      </c>
      <c r="B202" s="13" t="s">
        <v>32</v>
      </c>
      <c r="C202" s="18" t="s">
        <v>271</v>
      </c>
      <c r="D202" s="13"/>
      <c r="E202" s="13" t="str">
        <f t="shared" si="2"/>
        <v>COHR,225-5-21,,0</v>
      </c>
      <c r="F202" s="13"/>
      <c r="G202" s="13" t="s">
        <v>111</v>
      </c>
      <c r="H202" s="13" t="s">
        <v>75</v>
      </c>
      <c r="I202" s="13"/>
      <c r="J202" s="13"/>
      <c r="K202" s="15"/>
      <c r="L202" s="15"/>
      <c r="M202" s="16">
        <v>0.0</v>
      </c>
      <c r="N202" s="16">
        <v>0.0</v>
      </c>
      <c r="O202" s="17"/>
      <c r="P202" s="17"/>
      <c r="Q202" s="13">
        <f t="shared" si="165"/>
        <v>0</v>
      </c>
      <c r="R202" s="13"/>
      <c r="S202" s="13"/>
      <c r="T202" s="13">
        <f t="shared" ref="T202:Y202" si="208">IF(ISBLANK(K202)=TRUE,0,1)</f>
        <v>0</v>
      </c>
      <c r="U202" s="13">
        <f t="shared" si="208"/>
        <v>0</v>
      </c>
      <c r="V202" s="13">
        <f t="shared" si="208"/>
        <v>1</v>
      </c>
      <c r="W202" s="13">
        <f t="shared" si="208"/>
        <v>1</v>
      </c>
      <c r="X202" s="13">
        <f t="shared" si="208"/>
        <v>0</v>
      </c>
      <c r="Y202" s="13">
        <f t="shared" si="208"/>
        <v>0</v>
      </c>
      <c r="Z202" s="13">
        <f t="shared" si="4"/>
        <v>0</v>
      </c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</row>
    <row r="203" ht="14.25" hidden="1" customHeight="1">
      <c r="A203" s="13" t="s">
        <v>29</v>
      </c>
      <c r="B203" s="13" t="s">
        <v>32</v>
      </c>
      <c r="C203" s="18" t="s">
        <v>272</v>
      </c>
      <c r="D203" s="13"/>
      <c r="E203" s="13" t="str">
        <f t="shared" si="2"/>
        <v>COHR,225-5-22,,0</v>
      </c>
      <c r="F203" s="13"/>
      <c r="G203" s="13" t="s">
        <v>111</v>
      </c>
      <c r="H203" s="13" t="s">
        <v>75</v>
      </c>
      <c r="I203" s="13"/>
      <c r="J203" s="13"/>
      <c r="K203" s="15"/>
      <c r="L203" s="15"/>
      <c r="M203" s="16">
        <v>0.0</v>
      </c>
      <c r="N203" s="16">
        <v>0.0</v>
      </c>
      <c r="O203" s="17"/>
      <c r="P203" s="17"/>
      <c r="Q203" s="13">
        <f t="shared" si="165"/>
        <v>0</v>
      </c>
      <c r="R203" s="13"/>
      <c r="S203" s="13"/>
      <c r="T203" s="13">
        <f t="shared" ref="T203:Y203" si="209">IF(ISBLANK(K203)=TRUE,0,1)</f>
        <v>0</v>
      </c>
      <c r="U203" s="13">
        <f t="shared" si="209"/>
        <v>0</v>
      </c>
      <c r="V203" s="13">
        <f t="shared" si="209"/>
        <v>1</v>
      </c>
      <c r="W203" s="13">
        <f t="shared" si="209"/>
        <v>1</v>
      </c>
      <c r="X203" s="13">
        <f t="shared" si="209"/>
        <v>0</v>
      </c>
      <c r="Y203" s="13">
        <f t="shared" si="209"/>
        <v>0</v>
      </c>
      <c r="Z203" s="13">
        <f t="shared" si="4"/>
        <v>0</v>
      </c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</row>
    <row r="204" ht="14.25" hidden="1" customHeight="1">
      <c r="A204" s="13" t="s">
        <v>29</v>
      </c>
      <c r="B204" s="13" t="s">
        <v>32</v>
      </c>
      <c r="C204" s="18" t="s">
        <v>273</v>
      </c>
      <c r="D204" s="13"/>
      <c r="E204" s="13" t="str">
        <f t="shared" si="2"/>
        <v>COHR,225-5-23,,0</v>
      </c>
      <c r="F204" s="13"/>
      <c r="G204" s="13" t="s">
        <v>111</v>
      </c>
      <c r="H204" s="13" t="s">
        <v>75</v>
      </c>
      <c r="I204" s="13"/>
      <c r="J204" s="13"/>
      <c r="K204" s="15"/>
      <c r="L204" s="15"/>
      <c r="M204" s="16">
        <v>0.0</v>
      </c>
      <c r="N204" s="16">
        <v>0.0</v>
      </c>
      <c r="O204" s="17"/>
      <c r="P204" s="17"/>
      <c r="Q204" s="13">
        <f t="shared" si="165"/>
        <v>0</v>
      </c>
      <c r="R204" s="13"/>
      <c r="S204" s="13"/>
      <c r="T204" s="13">
        <f t="shared" ref="T204:Y204" si="210">IF(ISBLANK(K204)=TRUE,0,1)</f>
        <v>0</v>
      </c>
      <c r="U204" s="13">
        <f t="shared" si="210"/>
        <v>0</v>
      </c>
      <c r="V204" s="13">
        <f t="shared" si="210"/>
        <v>1</v>
      </c>
      <c r="W204" s="13">
        <f t="shared" si="210"/>
        <v>1</v>
      </c>
      <c r="X204" s="13">
        <f t="shared" si="210"/>
        <v>0</v>
      </c>
      <c r="Y204" s="13">
        <f t="shared" si="210"/>
        <v>0</v>
      </c>
      <c r="Z204" s="13">
        <f t="shared" si="4"/>
        <v>0</v>
      </c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</row>
    <row r="205" ht="14.25" hidden="1" customHeight="1">
      <c r="A205" s="13" t="s">
        <v>29</v>
      </c>
      <c r="B205" s="13" t="s">
        <v>32</v>
      </c>
      <c r="C205" s="18" t="s">
        <v>274</v>
      </c>
      <c r="D205" s="13"/>
      <c r="E205" s="13" t="str">
        <f t="shared" si="2"/>
        <v>COHR,225-5-24,,0</v>
      </c>
      <c r="F205" s="13"/>
      <c r="G205" s="13" t="s">
        <v>111</v>
      </c>
      <c r="H205" s="13" t="s">
        <v>75</v>
      </c>
      <c r="I205" s="13"/>
      <c r="J205" s="13"/>
      <c r="K205" s="15">
        <v>0.0</v>
      </c>
      <c r="L205" s="15">
        <v>0.0</v>
      </c>
      <c r="M205" s="16">
        <v>0.0</v>
      </c>
      <c r="N205" s="16">
        <v>0.0</v>
      </c>
      <c r="O205" s="17"/>
      <c r="P205" s="17"/>
      <c r="Q205" s="13">
        <f t="shared" si="165"/>
        <v>0</v>
      </c>
      <c r="R205" s="13"/>
      <c r="S205" s="13"/>
      <c r="T205" s="13">
        <f t="shared" ref="T205:Y205" si="211">IF(ISBLANK(K205)=TRUE,0,1)</f>
        <v>1</v>
      </c>
      <c r="U205" s="13">
        <f t="shared" si="211"/>
        <v>1</v>
      </c>
      <c r="V205" s="13">
        <f t="shared" si="211"/>
        <v>1</v>
      </c>
      <c r="W205" s="13">
        <f t="shared" si="211"/>
        <v>1</v>
      </c>
      <c r="X205" s="13">
        <f t="shared" si="211"/>
        <v>0</v>
      </c>
      <c r="Y205" s="13">
        <f t="shared" si="211"/>
        <v>0</v>
      </c>
      <c r="Z205" s="13">
        <f t="shared" si="4"/>
        <v>0</v>
      </c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</row>
    <row r="206" ht="14.25" hidden="1" customHeight="1">
      <c r="A206" s="13" t="s">
        <v>29</v>
      </c>
      <c r="B206" s="13" t="s">
        <v>32</v>
      </c>
      <c r="C206" s="18" t="s">
        <v>275</v>
      </c>
      <c r="D206" s="13"/>
      <c r="E206" s="13" t="str">
        <f t="shared" si="2"/>
        <v>COHR,225-5-25,,0</v>
      </c>
      <c r="F206" s="13"/>
      <c r="G206" s="13" t="s">
        <v>111</v>
      </c>
      <c r="H206" s="13" t="s">
        <v>75</v>
      </c>
      <c r="I206" s="13"/>
      <c r="J206" s="13"/>
      <c r="K206" s="15"/>
      <c r="L206" s="15"/>
      <c r="M206" s="16">
        <v>0.0</v>
      </c>
      <c r="N206" s="16">
        <v>0.0</v>
      </c>
      <c r="O206" s="17"/>
      <c r="P206" s="17"/>
      <c r="Q206" s="13"/>
      <c r="R206" s="13"/>
      <c r="S206" s="13"/>
      <c r="T206" s="13">
        <f t="shared" ref="T206:Y206" si="212">IF(ISBLANK(K206)=TRUE,0,1)</f>
        <v>0</v>
      </c>
      <c r="U206" s="13">
        <f t="shared" si="212"/>
        <v>0</v>
      </c>
      <c r="V206" s="13">
        <f t="shared" si="212"/>
        <v>1</v>
      </c>
      <c r="W206" s="13">
        <f t="shared" si="212"/>
        <v>1</v>
      </c>
      <c r="X206" s="13">
        <f t="shared" si="212"/>
        <v>0</v>
      </c>
      <c r="Y206" s="13">
        <f t="shared" si="212"/>
        <v>0</v>
      </c>
      <c r="Z206" s="13">
        <f t="shared" si="4"/>
        <v>0</v>
      </c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</row>
    <row r="207" ht="14.25" hidden="1" customHeight="1">
      <c r="A207" s="13" t="s">
        <v>29</v>
      </c>
      <c r="B207" s="13" t="s">
        <v>32</v>
      </c>
      <c r="C207" s="18" t="s">
        <v>276</v>
      </c>
      <c r="D207" s="13"/>
      <c r="E207" s="13" t="str">
        <f t="shared" si="2"/>
        <v>COHR,225-5-26,,0</v>
      </c>
      <c r="F207" s="13"/>
      <c r="G207" s="13" t="s">
        <v>111</v>
      </c>
      <c r="H207" s="13" t="s">
        <v>75</v>
      </c>
      <c r="I207" s="13"/>
      <c r="J207" s="13"/>
      <c r="K207" s="15"/>
      <c r="L207" s="15"/>
      <c r="M207" s="16"/>
      <c r="N207" s="16"/>
      <c r="O207" s="17">
        <v>0.0</v>
      </c>
      <c r="P207" s="17">
        <v>0.0</v>
      </c>
      <c r="Q207" s="13"/>
      <c r="R207" s="13"/>
      <c r="S207" s="13"/>
      <c r="T207" s="13">
        <f t="shared" ref="T207:Y207" si="213">IF(ISBLANK(K207)=TRUE,0,1)</f>
        <v>0</v>
      </c>
      <c r="U207" s="13">
        <f t="shared" si="213"/>
        <v>0</v>
      </c>
      <c r="V207" s="13">
        <f t="shared" si="213"/>
        <v>0</v>
      </c>
      <c r="W207" s="13">
        <f t="shared" si="213"/>
        <v>0</v>
      </c>
      <c r="X207" s="13">
        <f t="shared" si="213"/>
        <v>1</v>
      </c>
      <c r="Y207" s="13">
        <f t="shared" si="213"/>
        <v>1</v>
      </c>
      <c r="Z207" s="13">
        <f t="shared" si="4"/>
        <v>0</v>
      </c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</row>
    <row r="208" ht="14.25" hidden="1" customHeight="1">
      <c r="A208" s="13" t="s">
        <v>29</v>
      </c>
      <c r="B208" s="13" t="s">
        <v>32</v>
      </c>
      <c r="C208" s="18" t="s">
        <v>277</v>
      </c>
      <c r="D208" s="13"/>
      <c r="E208" s="13" t="str">
        <f t="shared" si="2"/>
        <v>COHR,225-5-27,,0</v>
      </c>
      <c r="F208" s="13"/>
      <c r="G208" s="13" t="s">
        <v>111</v>
      </c>
      <c r="H208" s="13" t="s">
        <v>75</v>
      </c>
      <c r="I208" s="13"/>
      <c r="J208" s="13"/>
      <c r="K208" s="15"/>
      <c r="L208" s="15"/>
      <c r="M208" s="16"/>
      <c r="N208" s="16"/>
      <c r="O208" s="17">
        <v>0.0</v>
      </c>
      <c r="P208" s="17">
        <v>0.0</v>
      </c>
      <c r="Q208" s="13"/>
      <c r="R208" s="13"/>
      <c r="S208" s="13"/>
      <c r="T208" s="13">
        <f t="shared" ref="T208:Y208" si="214">IF(ISBLANK(K208)=TRUE,0,1)</f>
        <v>0</v>
      </c>
      <c r="U208" s="13">
        <f t="shared" si="214"/>
        <v>0</v>
      </c>
      <c r="V208" s="13">
        <f t="shared" si="214"/>
        <v>0</v>
      </c>
      <c r="W208" s="13">
        <f t="shared" si="214"/>
        <v>0</v>
      </c>
      <c r="X208" s="13">
        <f t="shared" si="214"/>
        <v>1</v>
      </c>
      <c r="Y208" s="13">
        <f t="shared" si="214"/>
        <v>1</v>
      </c>
      <c r="Z208" s="13">
        <f t="shared" si="4"/>
        <v>0</v>
      </c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</row>
    <row r="209" ht="14.25" hidden="1" customHeight="1">
      <c r="A209" s="13" t="s">
        <v>29</v>
      </c>
      <c r="B209" s="13" t="s">
        <v>32</v>
      </c>
      <c r="C209" s="18" t="s">
        <v>278</v>
      </c>
      <c r="D209" s="13"/>
      <c r="E209" s="13" t="str">
        <f t="shared" si="2"/>
        <v>COHR,225-5-28,,0</v>
      </c>
      <c r="F209" s="13"/>
      <c r="G209" s="13" t="s">
        <v>111</v>
      </c>
      <c r="H209" s="13" t="s">
        <v>75</v>
      </c>
      <c r="I209" s="13"/>
      <c r="J209" s="13"/>
      <c r="K209" s="15"/>
      <c r="L209" s="15"/>
      <c r="M209" s="16"/>
      <c r="N209" s="16"/>
      <c r="O209" s="17">
        <v>0.0</v>
      </c>
      <c r="P209" s="17">
        <v>0.0</v>
      </c>
      <c r="Q209" s="13"/>
      <c r="R209" s="13"/>
      <c r="S209" s="13"/>
      <c r="T209" s="13">
        <f t="shared" ref="T209:Y209" si="215">IF(ISBLANK(K209)=TRUE,0,1)</f>
        <v>0</v>
      </c>
      <c r="U209" s="13">
        <f t="shared" si="215"/>
        <v>0</v>
      </c>
      <c r="V209" s="13">
        <f t="shared" si="215"/>
        <v>0</v>
      </c>
      <c r="W209" s="13">
        <f t="shared" si="215"/>
        <v>0</v>
      </c>
      <c r="X209" s="13">
        <f t="shared" si="215"/>
        <v>1</v>
      </c>
      <c r="Y209" s="13">
        <f t="shared" si="215"/>
        <v>1</v>
      </c>
      <c r="Z209" s="13">
        <f t="shared" si="4"/>
        <v>0</v>
      </c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</row>
    <row r="210" ht="14.25" hidden="1" customHeight="1">
      <c r="A210" s="13" t="s">
        <v>29</v>
      </c>
      <c r="B210" s="13" t="s">
        <v>32</v>
      </c>
      <c r="C210" s="18" t="s">
        <v>279</v>
      </c>
      <c r="D210" s="13"/>
      <c r="E210" s="13" t="str">
        <f t="shared" si="2"/>
        <v>COHR,225-5-3,,0</v>
      </c>
      <c r="F210" s="13"/>
      <c r="G210" s="13" t="s">
        <v>111</v>
      </c>
      <c r="H210" s="13" t="s">
        <v>75</v>
      </c>
      <c r="I210" s="13"/>
      <c r="J210" s="13"/>
      <c r="K210" s="15"/>
      <c r="L210" s="15"/>
      <c r="M210" s="16">
        <v>0.0</v>
      </c>
      <c r="N210" s="16">
        <v>0.0</v>
      </c>
      <c r="O210" s="17"/>
      <c r="P210" s="17"/>
      <c r="Q210" s="13">
        <f t="shared" ref="Q210:Q216" si="217">K209+L209+M209+N209+O209+P209/6</f>
        <v>0</v>
      </c>
      <c r="R210" s="13"/>
      <c r="S210" s="13"/>
      <c r="T210" s="13">
        <f t="shared" ref="T210:Y210" si="216">IF(ISBLANK(K210)=TRUE,0,1)</f>
        <v>0</v>
      </c>
      <c r="U210" s="13">
        <f t="shared" si="216"/>
        <v>0</v>
      </c>
      <c r="V210" s="13">
        <f t="shared" si="216"/>
        <v>1</v>
      </c>
      <c r="W210" s="13">
        <f t="shared" si="216"/>
        <v>1</v>
      </c>
      <c r="X210" s="13">
        <f t="shared" si="216"/>
        <v>0</v>
      </c>
      <c r="Y210" s="13">
        <f t="shared" si="216"/>
        <v>0</v>
      </c>
      <c r="Z210" s="13">
        <f t="shared" si="4"/>
        <v>0</v>
      </c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</row>
    <row r="211" ht="14.25" hidden="1" customHeight="1">
      <c r="A211" s="13" t="s">
        <v>29</v>
      </c>
      <c r="B211" s="13" t="s">
        <v>32</v>
      </c>
      <c r="C211" s="18" t="s">
        <v>280</v>
      </c>
      <c r="D211" s="13"/>
      <c r="E211" s="13" t="str">
        <f t="shared" si="2"/>
        <v>COHR,225-5-4,,0</v>
      </c>
      <c r="F211" s="13"/>
      <c r="G211" s="13" t="s">
        <v>111</v>
      </c>
      <c r="H211" s="13" t="s">
        <v>75</v>
      </c>
      <c r="I211" s="13"/>
      <c r="J211" s="13"/>
      <c r="K211" s="15"/>
      <c r="L211" s="15"/>
      <c r="M211" s="16">
        <v>0.0</v>
      </c>
      <c r="N211" s="16">
        <v>0.0</v>
      </c>
      <c r="O211" s="17"/>
      <c r="P211" s="17"/>
      <c r="Q211" s="13">
        <f t="shared" si="217"/>
        <v>0</v>
      </c>
      <c r="R211" s="13"/>
      <c r="S211" s="13"/>
      <c r="T211" s="13">
        <f t="shared" ref="T211:Y211" si="218">IF(ISBLANK(K211)=TRUE,0,1)</f>
        <v>0</v>
      </c>
      <c r="U211" s="13">
        <f t="shared" si="218"/>
        <v>0</v>
      </c>
      <c r="V211" s="13">
        <f t="shared" si="218"/>
        <v>1</v>
      </c>
      <c r="W211" s="13">
        <f t="shared" si="218"/>
        <v>1</v>
      </c>
      <c r="X211" s="13">
        <f t="shared" si="218"/>
        <v>0</v>
      </c>
      <c r="Y211" s="13">
        <f t="shared" si="218"/>
        <v>0</v>
      </c>
      <c r="Z211" s="13">
        <f t="shared" si="4"/>
        <v>0</v>
      </c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</row>
    <row r="212" ht="14.25" hidden="1" customHeight="1">
      <c r="A212" s="13" t="s">
        <v>29</v>
      </c>
      <c r="B212" s="13" t="s">
        <v>32</v>
      </c>
      <c r="C212" s="18" t="s">
        <v>281</v>
      </c>
      <c r="D212" s="13"/>
      <c r="E212" s="13" t="str">
        <f t="shared" si="2"/>
        <v>COHR,225-5-5,,0</v>
      </c>
      <c r="F212" s="13"/>
      <c r="G212" s="13" t="s">
        <v>111</v>
      </c>
      <c r="H212" s="13" t="s">
        <v>75</v>
      </c>
      <c r="I212" s="13"/>
      <c r="J212" s="13"/>
      <c r="K212" s="15"/>
      <c r="L212" s="15"/>
      <c r="M212" s="16">
        <v>0.0</v>
      </c>
      <c r="N212" s="16">
        <v>0.0</v>
      </c>
      <c r="O212" s="17"/>
      <c r="P212" s="17"/>
      <c r="Q212" s="13">
        <f t="shared" si="217"/>
        <v>0</v>
      </c>
      <c r="R212" s="13"/>
      <c r="S212" s="13"/>
      <c r="T212" s="13">
        <f t="shared" ref="T212:Y212" si="219">IF(ISBLANK(K212)=TRUE,0,1)</f>
        <v>0</v>
      </c>
      <c r="U212" s="13">
        <f t="shared" si="219"/>
        <v>0</v>
      </c>
      <c r="V212" s="13">
        <f t="shared" si="219"/>
        <v>1</v>
      </c>
      <c r="W212" s="13">
        <f t="shared" si="219"/>
        <v>1</v>
      </c>
      <c r="X212" s="13">
        <f t="shared" si="219"/>
        <v>0</v>
      </c>
      <c r="Y212" s="13">
        <f t="shared" si="219"/>
        <v>0</v>
      </c>
      <c r="Z212" s="13">
        <f t="shared" si="4"/>
        <v>0</v>
      </c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</row>
    <row r="213" ht="14.25" hidden="1" customHeight="1">
      <c r="A213" s="13" t="s">
        <v>29</v>
      </c>
      <c r="B213" s="13" t="s">
        <v>32</v>
      </c>
      <c r="C213" s="18" t="s">
        <v>282</v>
      </c>
      <c r="D213" s="13"/>
      <c r="E213" s="13" t="str">
        <f t="shared" si="2"/>
        <v>COHR,225-5-6,,0</v>
      </c>
      <c r="F213" s="13"/>
      <c r="G213" s="13" t="s">
        <v>111</v>
      </c>
      <c r="H213" s="13" t="s">
        <v>75</v>
      </c>
      <c r="I213" s="13"/>
      <c r="J213" s="13"/>
      <c r="K213" s="15"/>
      <c r="L213" s="15"/>
      <c r="M213" s="16">
        <v>0.0</v>
      </c>
      <c r="N213" s="16">
        <v>0.0</v>
      </c>
      <c r="O213" s="17"/>
      <c r="P213" s="17"/>
      <c r="Q213" s="13">
        <f t="shared" si="217"/>
        <v>0</v>
      </c>
      <c r="R213" s="13"/>
      <c r="S213" s="13"/>
      <c r="T213" s="13">
        <f t="shared" ref="T213:Y213" si="220">IF(ISBLANK(K213)=TRUE,0,1)</f>
        <v>0</v>
      </c>
      <c r="U213" s="13">
        <f t="shared" si="220"/>
        <v>0</v>
      </c>
      <c r="V213" s="13">
        <f t="shared" si="220"/>
        <v>1</v>
      </c>
      <c r="W213" s="13">
        <f t="shared" si="220"/>
        <v>1</v>
      </c>
      <c r="X213" s="13">
        <f t="shared" si="220"/>
        <v>0</v>
      </c>
      <c r="Y213" s="13">
        <f t="shared" si="220"/>
        <v>0</v>
      </c>
      <c r="Z213" s="13">
        <f t="shared" si="4"/>
        <v>0</v>
      </c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</row>
    <row r="214" ht="14.25" hidden="1" customHeight="1">
      <c r="A214" s="13" t="s">
        <v>29</v>
      </c>
      <c r="B214" s="13" t="s">
        <v>32</v>
      </c>
      <c r="C214" s="18" t="s">
        <v>283</v>
      </c>
      <c r="D214" s="13"/>
      <c r="E214" s="13" t="str">
        <f t="shared" si="2"/>
        <v>COHR,225-5-7,,0</v>
      </c>
      <c r="F214" s="13"/>
      <c r="G214" s="13" t="s">
        <v>111</v>
      </c>
      <c r="H214" s="13" t="s">
        <v>75</v>
      </c>
      <c r="I214" s="13"/>
      <c r="J214" s="13"/>
      <c r="K214" s="15"/>
      <c r="L214" s="15"/>
      <c r="M214" s="16">
        <v>0.0</v>
      </c>
      <c r="N214" s="16">
        <v>0.0</v>
      </c>
      <c r="O214" s="17"/>
      <c r="P214" s="17"/>
      <c r="Q214" s="13">
        <f t="shared" si="217"/>
        <v>0</v>
      </c>
      <c r="R214" s="13"/>
      <c r="S214" s="13"/>
      <c r="T214" s="13">
        <f t="shared" ref="T214:Y214" si="221">IF(ISBLANK(K214)=TRUE,0,1)</f>
        <v>0</v>
      </c>
      <c r="U214" s="13">
        <f t="shared" si="221"/>
        <v>0</v>
      </c>
      <c r="V214" s="13">
        <f t="shared" si="221"/>
        <v>1</v>
      </c>
      <c r="W214" s="13">
        <f t="shared" si="221"/>
        <v>1</v>
      </c>
      <c r="X214" s="13">
        <f t="shared" si="221"/>
        <v>0</v>
      </c>
      <c r="Y214" s="13">
        <f t="shared" si="221"/>
        <v>0</v>
      </c>
      <c r="Z214" s="13">
        <f t="shared" si="4"/>
        <v>0</v>
      </c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</row>
    <row r="215" ht="14.25" hidden="1" customHeight="1">
      <c r="A215" s="13" t="s">
        <v>29</v>
      </c>
      <c r="B215" s="13" t="s">
        <v>32</v>
      </c>
      <c r="C215" s="18" t="s">
        <v>284</v>
      </c>
      <c r="D215" s="13"/>
      <c r="E215" s="13" t="str">
        <f t="shared" si="2"/>
        <v>COHR,225-5-8,,0</v>
      </c>
      <c r="F215" s="13"/>
      <c r="G215" s="13" t="s">
        <v>111</v>
      </c>
      <c r="H215" s="13" t="s">
        <v>75</v>
      </c>
      <c r="I215" s="13"/>
      <c r="J215" s="13"/>
      <c r="K215" s="15"/>
      <c r="L215" s="15"/>
      <c r="M215" s="16">
        <v>0.0</v>
      </c>
      <c r="N215" s="16">
        <v>0.0</v>
      </c>
      <c r="O215" s="17"/>
      <c r="P215" s="17"/>
      <c r="Q215" s="13">
        <f t="shared" si="217"/>
        <v>0</v>
      </c>
      <c r="R215" s="13"/>
      <c r="S215" s="13"/>
      <c r="T215" s="13">
        <f t="shared" ref="T215:Y215" si="222">IF(ISBLANK(K215)=TRUE,0,1)</f>
        <v>0</v>
      </c>
      <c r="U215" s="13">
        <f t="shared" si="222"/>
        <v>0</v>
      </c>
      <c r="V215" s="13">
        <f t="shared" si="222"/>
        <v>1</v>
      </c>
      <c r="W215" s="13">
        <f t="shared" si="222"/>
        <v>1</v>
      </c>
      <c r="X215" s="13">
        <f t="shared" si="222"/>
        <v>0</v>
      </c>
      <c r="Y215" s="13">
        <f t="shared" si="222"/>
        <v>0</v>
      </c>
      <c r="Z215" s="13">
        <f t="shared" si="4"/>
        <v>0</v>
      </c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</row>
    <row r="216" ht="14.25" hidden="1" customHeight="1">
      <c r="A216" s="13" t="s">
        <v>29</v>
      </c>
      <c r="B216" s="13" t="s">
        <v>32</v>
      </c>
      <c r="C216" s="18" t="s">
        <v>285</v>
      </c>
      <c r="D216" s="13"/>
      <c r="E216" s="13" t="str">
        <f t="shared" si="2"/>
        <v>COHR,225-5-9,,0</v>
      </c>
      <c r="F216" s="13"/>
      <c r="G216" s="13" t="s">
        <v>111</v>
      </c>
      <c r="H216" s="13" t="s">
        <v>75</v>
      </c>
      <c r="I216" s="13"/>
      <c r="J216" s="13"/>
      <c r="K216" s="15"/>
      <c r="L216" s="15"/>
      <c r="M216" s="16">
        <v>0.0</v>
      </c>
      <c r="N216" s="16">
        <v>0.0</v>
      </c>
      <c r="O216" s="17"/>
      <c r="P216" s="17"/>
      <c r="Q216" s="13">
        <f t="shared" si="217"/>
        <v>0</v>
      </c>
      <c r="R216" s="13"/>
      <c r="S216" s="13"/>
      <c r="T216" s="13">
        <f t="shared" ref="T216:Y216" si="223">IF(ISBLANK(K216)=TRUE,0,1)</f>
        <v>0</v>
      </c>
      <c r="U216" s="13">
        <f t="shared" si="223"/>
        <v>0</v>
      </c>
      <c r="V216" s="13">
        <f t="shared" si="223"/>
        <v>1</v>
      </c>
      <c r="W216" s="13">
        <f t="shared" si="223"/>
        <v>1</v>
      </c>
      <c r="X216" s="13">
        <f t="shared" si="223"/>
        <v>0</v>
      </c>
      <c r="Y216" s="13">
        <f t="shared" si="223"/>
        <v>0</v>
      </c>
      <c r="Z216" s="13">
        <f t="shared" si="4"/>
        <v>0</v>
      </c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</row>
    <row r="217" ht="14.25" hidden="1" customHeight="1">
      <c r="A217" s="13" t="s">
        <v>29</v>
      </c>
      <c r="B217" s="13" t="s">
        <v>32</v>
      </c>
      <c r="C217" s="18" t="s">
        <v>286</v>
      </c>
      <c r="D217" s="13"/>
      <c r="E217" s="13" t="str">
        <f t="shared" si="2"/>
        <v>COHR,234-2-8,,0</v>
      </c>
      <c r="F217" s="13"/>
      <c r="G217" s="13" t="s">
        <v>111</v>
      </c>
      <c r="H217" s="13" t="s">
        <v>75</v>
      </c>
      <c r="I217" s="13"/>
      <c r="J217" s="13"/>
      <c r="K217" s="15"/>
      <c r="L217" s="15"/>
      <c r="M217" s="16"/>
      <c r="N217" s="16"/>
      <c r="O217" s="17">
        <v>0.0</v>
      </c>
      <c r="P217" s="17">
        <v>0.0</v>
      </c>
      <c r="Q217" s="13"/>
      <c r="R217" s="13"/>
      <c r="S217" s="13"/>
      <c r="T217" s="13">
        <f t="shared" ref="T217:Y217" si="224">IF(ISBLANK(K217)=TRUE,0,1)</f>
        <v>0</v>
      </c>
      <c r="U217" s="13">
        <f t="shared" si="224"/>
        <v>0</v>
      </c>
      <c r="V217" s="13">
        <f t="shared" si="224"/>
        <v>0</v>
      </c>
      <c r="W217" s="13">
        <f t="shared" si="224"/>
        <v>0</v>
      </c>
      <c r="X217" s="13">
        <f t="shared" si="224"/>
        <v>1</v>
      </c>
      <c r="Y217" s="13">
        <f t="shared" si="224"/>
        <v>1</v>
      </c>
      <c r="Z217" s="13">
        <f t="shared" si="4"/>
        <v>0</v>
      </c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</row>
    <row r="218" ht="14.25" hidden="1" customHeight="1">
      <c r="A218" s="13" t="s">
        <v>29</v>
      </c>
      <c r="B218" s="13" t="s">
        <v>32</v>
      </c>
      <c r="C218" s="18" t="s">
        <v>287</v>
      </c>
      <c r="D218" s="13"/>
      <c r="E218" s="13" t="str">
        <f t="shared" si="2"/>
        <v>COHR,234-3-1,,NA</v>
      </c>
      <c r="F218" s="13"/>
      <c r="G218" s="13" t="s">
        <v>111</v>
      </c>
      <c r="H218" s="13" t="s">
        <v>107</v>
      </c>
      <c r="I218" s="14">
        <v>44915.0</v>
      </c>
      <c r="J218" s="14"/>
      <c r="K218" s="15"/>
      <c r="L218" s="15"/>
      <c r="M218" s="16"/>
      <c r="N218" s="16"/>
      <c r="O218" s="17"/>
      <c r="P218" s="17"/>
      <c r="Q218" s="13">
        <f t="shared" ref="Q218:Q223" si="226">K217+L217+M217+N217+O217+P217/6</f>
        <v>0</v>
      </c>
      <c r="R218" s="13"/>
      <c r="S218" s="13"/>
      <c r="T218" s="13">
        <f t="shared" ref="T218:Y218" si="225">IF(ISBLANK(K218)=TRUE,0,1)</f>
        <v>0</v>
      </c>
      <c r="U218" s="13">
        <f t="shared" si="225"/>
        <v>0</v>
      </c>
      <c r="V218" s="13">
        <f t="shared" si="225"/>
        <v>0</v>
      </c>
      <c r="W218" s="13">
        <f t="shared" si="225"/>
        <v>0</v>
      </c>
      <c r="X218" s="13">
        <f t="shared" si="225"/>
        <v>0</v>
      </c>
      <c r="Y218" s="13">
        <f t="shared" si="225"/>
        <v>0</v>
      </c>
      <c r="Z218" s="13" t="str">
        <f t="shared" si="4"/>
        <v>NA</v>
      </c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</row>
    <row r="219" ht="14.25" hidden="1" customHeight="1">
      <c r="A219" s="13" t="s">
        <v>29</v>
      </c>
      <c r="B219" s="13" t="s">
        <v>32</v>
      </c>
      <c r="C219" s="18" t="s">
        <v>288</v>
      </c>
      <c r="D219" s="13"/>
      <c r="E219" s="13" t="str">
        <f t="shared" si="2"/>
        <v>COHR,234-3-2,,NA</v>
      </c>
      <c r="F219" s="13"/>
      <c r="G219" s="13" t="s">
        <v>111</v>
      </c>
      <c r="H219" s="13" t="s">
        <v>107</v>
      </c>
      <c r="I219" s="14">
        <v>44915.0</v>
      </c>
      <c r="J219" s="14"/>
      <c r="K219" s="15"/>
      <c r="L219" s="15"/>
      <c r="M219" s="16"/>
      <c r="N219" s="16"/>
      <c r="O219" s="17"/>
      <c r="P219" s="17"/>
      <c r="Q219" s="13">
        <f t="shared" si="226"/>
        <v>0</v>
      </c>
      <c r="R219" s="13"/>
      <c r="S219" s="13"/>
      <c r="T219" s="13">
        <f t="shared" ref="T219:Y219" si="227">IF(ISBLANK(K219)=TRUE,0,1)</f>
        <v>0</v>
      </c>
      <c r="U219" s="13">
        <f t="shared" si="227"/>
        <v>0</v>
      </c>
      <c r="V219" s="13">
        <f t="shared" si="227"/>
        <v>0</v>
      </c>
      <c r="W219" s="13">
        <f t="shared" si="227"/>
        <v>0</v>
      </c>
      <c r="X219" s="13">
        <f t="shared" si="227"/>
        <v>0</v>
      </c>
      <c r="Y219" s="13">
        <f t="shared" si="227"/>
        <v>0</v>
      </c>
      <c r="Z219" s="13" t="str">
        <f t="shared" si="4"/>
        <v>NA</v>
      </c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</row>
    <row r="220" ht="14.25" hidden="1" customHeight="1">
      <c r="A220" s="13" t="s">
        <v>29</v>
      </c>
      <c r="B220" s="13" t="s">
        <v>32</v>
      </c>
      <c r="C220" s="18" t="s">
        <v>289</v>
      </c>
      <c r="D220" s="13"/>
      <c r="E220" s="13" t="str">
        <f t="shared" si="2"/>
        <v>COHR,234-3-3,,NA</v>
      </c>
      <c r="F220" s="13"/>
      <c r="G220" s="13" t="s">
        <v>111</v>
      </c>
      <c r="H220" s="13" t="s">
        <v>107</v>
      </c>
      <c r="I220" s="14">
        <v>44915.0</v>
      </c>
      <c r="J220" s="14"/>
      <c r="K220" s="15"/>
      <c r="L220" s="15"/>
      <c r="M220" s="16"/>
      <c r="N220" s="16"/>
      <c r="O220" s="17"/>
      <c r="P220" s="17"/>
      <c r="Q220" s="13">
        <f t="shared" si="226"/>
        <v>0</v>
      </c>
      <c r="R220" s="13"/>
      <c r="S220" s="13"/>
      <c r="T220" s="13">
        <f t="shared" ref="T220:Y220" si="228">IF(ISBLANK(K220)=TRUE,0,1)</f>
        <v>0</v>
      </c>
      <c r="U220" s="13">
        <f t="shared" si="228"/>
        <v>0</v>
      </c>
      <c r="V220" s="13">
        <f t="shared" si="228"/>
        <v>0</v>
      </c>
      <c r="W220" s="13">
        <f t="shared" si="228"/>
        <v>0</v>
      </c>
      <c r="X220" s="13">
        <f t="shared" si="228"/>
        <v>0</v>
      </c>
      <c r="Y220" s="13">
        <f t="shared" si="228"/>
        <v>0</v>
      </c>
      <c r="Z220" s="13" t="str">
        <f t="shared" si="4"/>
        <v>NA</v>
      </c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</row>
    <row r="221" ht="14.25" hidden="1" customHeight="1">
      <c r="A221" s="13" t="s">
        <v>29</v>
      </c>
      <c r="B221" s="13" t="s">
        <v>32</v>
      </c>
      <c r="C221" s="18" t="s">
        <v>290</v>
      </c>
      <c r="D221" s="13"/>
      <c r="E221" s="13" t="str">
        <f t="shared" si="2"/>
        <v>COHR,234-3-4,,0</v>
      </c>
      <c r="F221" s="13"/>
      <c r="G221" s="13" t="s">
        <v>111</v>
      </c>
      <c r="H221" s="13" t="s">
        <v>75</v>
      </c>
      <c r="I221" s="14">
        <v>44915.0</v>
      </c>
      <c r="J221" s="14"/>
      <c r="K221" s="15"/>
      <c r="L221" s="15"/>
      <c r="M221" s="16"/>
      <c r="N221" s="16"/>
      <c r="O221" s="17">
        <v>0.0</v>
      </c>
      <c r="P221" s="17">
        <v>0.0</v>
      </c>
      <c r="Q221" s="13">
        <f t="shared" si="226"/>
        <v>0</v>
      </c>
      <c r="R221" s="13"/>
      <c r="S221" s="13"/>
      <c r="T221" s="13">
        <f t="shared" ref="T221:Y221" si="229">IF(ISBLANK(K221)=TRUE,0,1)</f>
        <v>0</v>
      </c>
      <c r="U221" s="13">
        <f t="shared" si="229"/>
        <v>0</v>
      </c>
      <c r="V221" s="13">
        <f t="shared" si="229"/>
        <v>0</v>
      </c>
      <c r="W221" s="13">
        <f t="shared" si="229"/>
        <v>0</v>
      </c>
      <c r="X221" s="13">
        <f t="shared" si="229"/>
        <v>1</v>
      </c>
      <c r="Y221" s="13">
        <f t="shared" si="229"/>
        <v>1</v>
      </c>
      <c r="Z221" s="13">
        <f t="shared" si="4"/>
        <v>0</v>
      </c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</row>
    <row r="222" ht="14.25" hidden="1" customHeight="1">
      <c r="A222" s="13" t="s">
        <v>29</v>
      </c>
      <c r="B222" s="13" t="s">
        <v>32</v>
      </c>
      <c r="C222" s="18" t="s">
        <v>291</v>
      </c>
      <c r="D222" s="13"/>
      <c r="E222" s="13" t="str">
        <f t="shared" si="2"/>
        <v>COHR,234-3-5,,0</v>
      </c>
      <c r="F222" s="13"/>
      <c r="G222" s="13" t="s">
        <v>111</v>
      </c>
      <c r="H222" s="13" t="s">
        <v>75</v>
      </c>
      <c r="I222" s="14">
        <v>44915.0</v>
      </c>
      <c r="J222" s="14"/>
      <c r="K222" s="15"/>
      <c r="L222" s="15"/>
      <c r="M222" s="16"/>
      <c r="N222" s="16"/>
      <c r="O222" s="17">
        <v>0.0</v>
      </c>
      <c r="P222" s="17">
        <v>0.0</v>
      </c>
      <c r="Q222" s="13">
        <f t="shared" si="226"/>
        <v>0</v>
      </c>
      <c r="R222" s="13"/>
      <c r="S222" s="13"/>
      <c r="T222" s="13">
        <f t="shared" ref="T222:Y222" si="230">IF(ISBLANK(K222)=TRUE,0,1)</f>
        <v>0</v>
      </c>
      <c r="U222" s="13">
        <f t="shared" si="230"/>
        <v>0</v>
      </c>
      <c r="V222" s="13">
        <f t="shared" si="230"/>
        <v>0</v>
      </c>
      <c r="W222" s="13">
        <f t="shared" si="230"/>
        <v>0</v>
      </c>
      <c r="X222" s="13">
        <f t="shared" si="230"/>
        <v>1</v>
      </c>
      <c r="Y222" s="13">
        <f t="shared" si="230"/>
        <v>1</v>
      </c>
      <c r="Z222" s="13">
        <f t="shared" si="4"/>
        <v>0</v>
      </c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</row>
    <row r="223" ht="14.25" hidden="1" customHeight="1">
      <c r="A223" s="13" t="s">
        <v>29</v>
      </c>
      <c r="B223" s="13" t="s">
        <v>32</v>
      </c>
      <c r="C223" s="18" t="s">
        <v>292</v>
      </c>
      <c r="D223" s="13"/>
      <c r="E223" s="13" t="str">
        <f t="shared" si="2"/>
        <v>COHR,234-3-6,,NA</v>
      </c>
      <c r="F223" s="13"/>
      <c r="G223" s="13" t="s">
        <v>111</v>
      </c>
      <c r="H223" s="13" t="s">
        <v>107</v>
      </c>
      <c r="I223" s="14">
        <v>44915.0</v>
      </c>
      <c r="J223" s="14"/>
      <c r="K223" s="15"/>
      <c r="L223" s="15"/>
      <c r="M223" s="16"/>
      <c r="N223" s="16"/>
      <c r="O223" s="17"/>
      <c r="P223" s="17"/>
      <c r="Q223" s="13">
        <f t="shared" si="226"/>
        <v>0</v>
      </c>
      <c r="R223" s="13"/>
      <c r="S223" s="13"/>
      <c r="T223" s="13">
        <f t="shared" ref="T223:Y223" si="231">IF(ISBLANK(K223)=TRUE,0,1)</f>
        <v>0</v>
      </c>
      <c r="U223" s="13">
        <f t="shared" si="231"/>
        <v>0</v>
      </c>
      <c r="V223" s="13">
        <f t="shared" si="231"/>
        <v>0</v>
      </c>
      <c r="W223" s="13">
        <f t="shared" si="231"/>
        <v>0</v>
      </c>
      <c r="X223" s="13">
        <f t="shared" si="231"/>
        <v>0</v>
      </c>
      <c r="Y223" s="13">
        <f t="shared" si="231"/>
        <v>0</v>
      </c>
      <c r="Z223" s="13" t="str">
        <f t="shared" si="4"/>
        <v>NA</v>
      </c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</row>
    <row r="224" ht="14.25" hidden="1" customHeight="1">
      <c r="A224" s="13" t="s">
        <v>29</v>
      </c>
      <c r="B224" s="13" t="s">
        <v>32</v>
      </c>
      <c r="C224" s="18" t="s">
        <v>293</v>
      </c>
      <c r="D224" s="13"/>
      <c r="E224" s="13" t="str">
        <f t="shared" si="2"/>
        <v>COHR,234-3-7,,1</v>
      </c>
      <c r="F224" s="13"/>
      <c r="G224" s="13" t="s">
        <v>111</v>
      </c>
      <c r="H224" s="13" t="s">
        <v>75</v>
      </c>
      <c r="I224" s="13"/>
      <c r="J224" s="13"/>
      <c r="K224" s="15"/>
      <c r="L224" s="15"/>
      <c r="M224" s="16"/>
      <c r="N224" s="16"/>
      <c r="O224" s="17">
        <v>1.0</v>
      </c>
      <c r="P224" s="17">
        <v>1.0</v>
      </c>
      <c r="Q224" s="13"/>
      <c r="R224" s="13"/>
      <c r="S224" s="13"/>
      <c r="T224" s="13">
        <f t="shared" ref="T224:Y224" si="232">IF(ISBLANK(K224)=TRUE,0,1)</f>
        <v>0</v>
      </c>
      <c r="U224" s="13">
        <f t="shared" si="232"/>
        <v>0</v>
      </c>
      <c r="V224" s="13">
        <f t="shared" si="232"/>
        <v>0</v>
      </c>
      <c r="W224" s="13">
        <f t="shared" si="232"/>
        <v>0</v>
      </c>
      <c r="X224" s="13">
        <f t="shared" si="232"/>
        <v>1</v>
      </c>
      <c r="Y224" s="13">
        <f t="shared" si="232"/>
        <v>1</v>
      </c>
      <c r="Z224" s="13">
        <f t="shared" si="4"/>
        <v>1</v>
      </c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</row>
    <row r="225" ht="14.25" hidden="1" customHeight="1">
      <c r="A225" s="13" t="s">
        <v>29</v>
      </c>
      <c r="B225" s="13" t="s">
        <v>32</v>
      </c>
      <c r="C225" s="13" t="s">
        <v>294</v>
      </c>
      <c r="D225" s="13" t="s">
        <v>174</v>
      </c>
      <c r="E225" s="13" t="str">
        <f t="shared" si="2"/>
        <v>COHR,25-1-33,AA,NA</v>
      </c>
      <c r="F225" s="13"/>
      <c r="G225" s="26" t="s">
        <v>74</v>
      </c>
      <c r="H225" s="13" t="s">
        <v>75</v>
      </c>
      <c r="I225" s="13"/>
      <c r="J225" s="13"/>
      <c r="K225" s="15"/>
      <c r="L225" s="15"/>
      <c r="M225" s="16"/>
      <c r="N225" s="16"/>
      <c r="O225" s="17"/>
      <c r="P225" s="17"/>
      <c r="Q225" s="13"/>
      <c r="R225" s="13"/>
      <c r="S225" s="13"/>
      <c r="T225" s="13">
        <f t="shared" ref="T225:Y225" si="233">IF(ISBLANK(K225)=TRUE,0,1)</f>
        <v>0</v>
      </c>
      <c r="U225" s="13">
        <f t="shared" si="233"/>
        <v>0</v>
      </c>
      <c r="V225" s="13">
        <f t="shared" si="233"/>
        <v>0</v>
      </c>
      <c r="W225" s="13">
        <f t="shared" si="233"/>
        <v>0</v>
      </c>
      <c r="X225" s="13">
        <f t="shared" si="233"/>
        <v>0</v>
      </c>
      <c r="Y225" s="13">
        <f t="shared" si="233"/>
        <v>0</v>
      </c>
      <c r="Z225" s="13" t="str">
        <f t="shared" si="4"/>
        <v>NA</v>
      </c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</row>
    <row r="226" ht="14.25" hidden="1" customHeight="1">
      <c r="A226" s="13" t="s">
        <v>29</v>
      </c>
      <c r="B226" s="13" t="s">
        <v>32</v>
      </c>
      <c r="C226" s="13" t="s">
        <v>294</v>
      </c>
      <c r="D226" s="13" t="s">
        <v>175</v>
      </c>
      <c r="E226" s="13" t="str">
        <f t="shared" si="2"/>
        <v>COHR,25-1-33,AB,NA</v>
      </c>
      <c r="F226" s="13"/>
      <c r="G226" s="26" t="s">
        <v>74</v>
      </c>
      <c r="H226" s="13" t="s">
        <v>75</v>
      </c>
      <c r="I226" s="13"/>
      <c r="J226" s="13"/>
      <c r="K226" s="15"/>
      <c r="L226" s="15"/>
      <c r="M226" s="16"/>
      <c r="N226" s="16"/>
      <c r="O226" s="17"/>
      <c r="P226" s="17"/>
      <c r="Q226" s="13"/>
      <c r="R226" s="13"/>
      <c r="S226" s="13"/>
      <c r="T226" s="13">
        <f t="shared" ref="T226:Y226" si="234">IF(ISBLANK(K226)=TRUE,0,1)</f>
        <v>0</v>
      </c>
      <c r="U226" s="13">
        <f t="shared" si="234"/>
        <v>0</v>
      </c>
      <c r="V226" s="13">
        <f t="shared" si="234"/>
        <v>0</v>
      </c>
      <c r="W226" s="13">
        <f t="shared" si="234"/>
        <v>0</v>
      </c>
      <c r="X226" s="13">
        <f t="shared" si="234"/>
        <v>0</v>
      </c>
      <c r="Y226" s="13">
        <f t="shared" si="234"/>
        <v>0</v>
      </c>
      <c r="Z226" s="13" t="str">
        <f t="shared" si="4"/>
        <v>NA</v>
      </c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</row>
    <row r="227" ht="14.25" hidden="1" customHeight="1">
      <c r="A227" s="13" t="s">
        <v>29</v>
      </c>
      <c r="B227" s="13" t="s">
        <v>32</v>
      </c>
      <c r="C227" s="13" t="s">
        <v>295</v>
      </c>
      <c r="D227" s="13"/>
      <c r="E227" s="13" t="str">
        <f t="shared" si="2"/>
        <v>COHR,26-5-1,,NA</v>
      </c>
      <c r="F227" s="13"/>
      <c r="G227" s="13" t="s">
        <v>74</v>
      </c>
      <c r="H227" s="13" t="s">
        <v>107</v>
      </c>
      <c r="I227" s="14">
        <v>44915.0</v>
      </c>
      <c r="J227" s="14"/>
      <c r="K227" s="15"/>
      <c r="L227" s="15"/>
      <c r="M227" s="16"/>
      <c r="N227" s="16"/>
      <c r="O227" s="17"/>
      <c r="P227" s="17"/>
      <c r="Q227" s="13">
        <f>K226+L226+M226+N226+O226+P226/6</f>
        <v>0</v>
      </c>
      <c r="R227" s="13"/>
      <c r="S227" s="13"/>
      <c r="T227" s="13">
        <f t="shared" ref="T227:Y227" si="235">IF(ISBLANK(K227)=TRUE,0,1)</f>
        <v>0</v>
      </c>
      <c r="U227" s="13">
        <f t="shared" si="235"/>
        <v>0</v>
      </c>
      <c r="V227" s="13">
        <f t="shared" si="235"/>
        <v>0</v>
      </c>
      <c r="W227" s="13">
        <f t="shared" si="235"/>
        <v>0</v>
      </c>
      <c r="X227" s="13">
        <f t="shared" si="235"/>
        <v>0</v>
      </c>
      <c r="Y227" s="13">
        <f t="shared" si="235"/>
        <v>0</v>
      </c>
      <c r="Z227" s="13" t="str">
        <f t="shared" si="4"/>
        <v>NA</v>
      </c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</row>
    <row r="228" ht="14.25" hidden="1" customHeight="1">
      <c r="A228" s="13" t="s">
        <v>29</v>
      </c>
      <c r="B228" s="13" t="s">
        <v>32</v>
      </c>
      <c r="C228" s="13" t="s">
        <v>296</v>
      </c>
      <c r="D228" s="13" t="s">
        <v>174</v>
      </c>
      <c r="E228" s="13" t="str">
        <f t="shared" si="2"/>
        <v>COHR,26-7-22,AA,NA</v>
      </c>
      <c r="F228" s="13"/>
      <c r="G228" s="13" t="s">
        <v>74</v>
      </c>
      <c r="H228" s="13" t="s">
        <v>75</v>
      </c>
      <c r="I228" s="13"/>
      <c r="J228" s="13"/>
      <c r="K228" s="15"/>
      <c r="L228" s="15"/>
      <c r="M228" s="16"/>
      <c r="N228" s="16"/>
      <c r="O228" s="17"/>
      <c r="P228" s="17"/>
      <c r="Q228" s="13"/>
      <c r="R228" s="13"/>
      <c r="S228" s="13"/>
      <c r="T228" s="13">
        <f t="shared" ref="T228:Y228" si="236">IF(ISBLANK(K228)=TRUE,0,1)</f>
        <v>0</v>
      </c>
      <c r="U228" s="13">
        <f t="shared" si="236"/>
        <v>0</v>
      </c>
      <c r="V228" s="13">
        <f t="shared" si="236"/>
        <v>0</v>
      </c>
      <c r="W228" s="13">
        <f t="shared" si="236"/>
        <v>0</v>
      </c>
      <c r="X228" s="13">
        <f t="shared" si="236"/>
        <v>0</v>
      </c>
      <c r="Y228" s="13">
        <f t="shared" si="236"/>
        <v>0</v>
      </c>
      <c r="Z228" s="13" t="str">
        <f t="shared" si="4"/>
        <v>NA</v>
      </c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</row>
    <row r="229" ht="14.25" hidden="1" customHeight="1">
      <c r="A229" s="13" t="s">
        <v>29</v>
      </c>
      <c r="B229" s="13" t="s">
        <v>32</v>
      </c>
      <c r="C229" s="13" t="s">
        <v>297</v>
      </c>
      <c r="D229" s="13"/>
      <c r="E229" s="13" t="str">
        <f t="shared" si="2"/>
        <v>COHR,26-8-1,,1</v>
      </c>
      <c r="F229" s="13"/>
      <c r="G229" s="13" t="s">
        <v>74</v>
      </c>
      <c r="H229" s="13" t="s">
        <v>75</v>
      </c>
      <c r="I229" s="14">
        <v>44915.0</v>
      </c>
      <c r="J229" s="14"/>
      <c r="K229" s="15"/>
      <c r="L229" s="15"/>
      <c r="M229" s="16"/>
      <c r="N229" s="16"/>
      <c r="O229" s="17">
        <v>1.0</v>
      </c>
      <c r="P229" s="17">
        <v>1.0</v>
      </c>
      <c r="Q229" s="13">
        <f>K228+L228+M228+N228+O228+P228/6</f>
        <v>0</v>
      </c>
      <c r="R229" s="13"/>
      <c r="S229" s="13"/>
      <c r="T229" s="13">
        <f t="shared" ref="T229:Y229" si="237">IF(ISBLANK(K229)=TRUE,0,1)</f>
        <v>0</v>
      </c>
      <c r="U229" s="13">
        <f t="shared" si="237"/>
        <v>0</v>
      </c>
      <c r="V229" s="13">
        <f t="shared" si="237"/>
        <v>0</v>
      </c>
      <c r="W229" s="13">
        <f t="shared" si="237"/>
        <v>0</v>
      </c>
      <c r="X229" s="13">
        <f t="shared" si="237"/>
        <v>1</v>
      </c>
      <c r="Y229" s="13">
        <f t="shared" si="237"/>
        <v>1</v>
      </c>
      <c r="Z229" s="13">
        <f t="shared" si="4"/>
        <v>1</v>
      </c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</row>
    <row r="230" ht="14.25" hidden="1" customHeight="1">
      <c r="A230" s="13" t="s">
        <v>29</v>
      </c>
      <c r="B230" s="13" t="s">
        <v>32</v>
      </c>
      <c r="C230" s="13" t="s">
        <v>297</v>
      </c>
      <c r="D230" s="13" t="s">
        <v>174</v>
      </c>
      <c r="E230" s="13" t="str">
        <f t="shared" si="2"/>
        <v>COHR,26-8-1,AA,1</v>
      </c>
      <c r="F230" s="13"/>
      <c r="G230" s="13" t="s">
        <v>74</v>
      </c>
      <c r="H230" s="13" t="s">
        <v>75</v>
      </c>
      <c r="I230" s="13"/>
      <c r="J230" s="13"/>
      <c r="K230" s="15"/>
      <c r="L230" s="15"/>
      <c r="M230" s="16"/>
      <c r="N230" s="16"/>
      <c r="O230" s="17">
        <v>1.0</v>
      </c>
      <c r="P230" s="17">
        <v>1.0</v>
      </c>
      <c r="Q230" s="13"/>
      <c r="R230" s="13"/>
      <c r="S230" s="13"/>
      <c r="T230" s="13">
        <f t="shared" ref="T230:Y230" si="238">IF(ISBLANK(K230)=TRUE,0,1)</f>
        <v>0</v>
      </c>
      <c r="U230" s="13">
        <f t="shared" si="238"/>
        <v>0</v>
      </c>
      <c r="V230" s="13">
        <f t="shared" si="238"/>
        <v>0</v>
      </c>
      <c r="W230" s="13">
        <f t="shared" si="238"/>
        <v>0</v>
      </c>
      <c r="X230" s="13">
        <f t="shared" si="238"/>
        <v>1</v>
      </c>
      <c r="Y230" s="13">
        <f t="shared" si="238"/>
        <v>1</v>
      </c>
      <c r="Z230" s="13">
        <f t="shared" si="4"/>
        <v>1</v>
      </c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</row>
    <row r="231" ht="14.25" hidden="1" customHeight="1">
      <c r="A231" s="13" t="s">
        <v>29</v>
      </c>
      <c r="B231" s="13" t="s">
        <v>32</v>
      </c>
      <c r="C231" s="13" t="s">
        <v>297</v>
      </c>
      <c r="D231" s="13" t="s">
        <v>175</v>
      </c>
      <c r="E231" s="13" t="str">
        <f t="shared" si="2"/>
        <v>COHR,26-8-1,AB,1</v>
      </c>
      <c r="F231" s="13"/>
      <c r="G231" s="13" t="s">
        <v>74</v>
      </c>
      <c r="H231" s="13" t="s">
        <v>75</v>
      </c>
      <c r="I231" s="13"/>
      <c r="J231" s="13"/>
      <c r="K231" s="15"/>
      <c r="L231" s="15"/>
      <c r="M231" s="16"/>
      <c r="N231" s="16"/>
      <c r="O231" s="17">
        <v>1.0</v>
      </c>
      <c r="P231" s="17">
        <v>1.0</v>
      </c>
      <c r="Q231" s="13"/>
      <c r="R231" s="13"/>
      <c r="S231" s="13"/>
      <c r="T231" s="13">
        <f t="shared" ref="T231:Y231" si="239">IF(ISBLANK(K231)=TRUE,0,1)</f>
        <v>0</v>
      </c>
      <c r="U231" s="13">
        <f t="shared" si="239"/>
        <v>0</v>
      </c>
      <c r="V231" s="13">
        <f t="shared" si="239"/>
        <v>0</v>
      </c>
      <c r="W231" s="13">
        <f t="shared" si="239"/>
        <v>0</v>
      </c>
      <c r="X231" s="13">
        <f t="shared" si="239"/>
        <v>1</v>
      </c>
      <c r="Y231" s="13">
        <f t="shared" si="239"/>
        <v>1</v>
      </c>
      <c r="Z231" s="13">
        <f t="shared" si="4"/>
        <v>1</v>
      </c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</row>
    <row r="232" ht="14.25" hidden="1" customHeight="1">
      <c r="A232" s="13" t="s">
        <v>29</v>
      </c>
      <c r="B232" s="13" t="s">
        <v>32</v>
      </c>
      <c r="C232" s="13" t="s">
        <v>297</v>
      </c>
      <c r="D232" s="13" t="s">
        <v>176</v>
      </c>
      <c r="E232" s="13" t="str">
        <f t="shared" si="2"/>
        <v>COHR,26-8-1,AC,1</v>
      </c>
      <c r="F232" s="13"/>
      <c r="G232" s="13" t="s">
        <v>74</v>
      </c>
      <c r="H232" s="13" t="s">
        <v>75</v>
      </c>
      <c r="I232" s="13"/>
      <c r="J232" s="13"/>
      <c r="K232" s="15"/>
      <c r="L232" s="15"/>
      <c r="M232" s="16"/>
      <c r="N232" s="16"/>
      <c r="O232" s="17">
        <v>1.0</v>
      </c>
      <c r="P232" s="17">
        <v>1.0</v>
      </c>
      <c r="Q232" s="13"/>
      <c r="R232" s="13"/>
      <c r="S232" s="13"/>
      <c r="T232" s="13">
        <f t="shared" ref="T232:Y232" si="240">IF(ISBLANK(K232)=TRUE,0,1)</f>
        <v>0</v>
      </c>
      <c r="U232" s="13">
        <f t="shared" si="240"/>
        <v>0</v>
      </c>
      <c r="V232" s="13">
        <f t="shared" si="240"/>
        <v>0</v>
      </c>
      <c r="W232" s="13">
        <f t="shared" si="240"/>
        <v>0</v>
      </c>
      <c r="X232" s="13">
        <f t="shared" si="240"/>
        <v>1</v>
      </c>
      <c r="Y232" s="13">
        <f t="shared" si="240"/>
        <v>1</v>
      </c>
      <c r="Z232" s="13">
        <f t="shared" si="4"/>
        <v>1</v>
      </c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</row>
    <row r="233" ht="14.25" hidden="1" customHeight="1">
      <c r="A233" s="13" t="s">
        <v>29</v>
      </c>
      <c r="B233" s="13" t="s">
        <v>32</v>
      </c>
      <c r="C233" s="13" t="s">
        <v>297</v>
      </c>
      <c r="D233" s="13" t="s">
        <v>177</v>
      </c>
      <c r="E233" s="13" t="str">
        <f t="shared" si="2"/>
        <v>COHR,26-8-1,AD,1</v>
      </c>
      <c r="F233" s="13"/>
      <c r="G233" s="13" t="s">
        <v>74</v>
      </c>
      <c r="H233" s="13" t="s">
        <v>75</v>
      </c>
      <c r="I233" s="13"/>
      <c r="J233" s="13"/>
      <c r="K233" s="15"/>
      <c r="L233" s="15"/>
      <c r="M233" s="16"/>
      <c r="N233" s="16"/>
      <c r="O233" s="17">
        <v>1.0</v>
      </c>
      <c r="P233" s="17">
        <v>1.0</v>
      </c>
      <c r="Q233" s="13"/>
      <c r="R233" s="13"/>
      <c r="S233" s="13"/>
      <c r="T233" s="13">
        <f t="shared" ref="T233:Y233" si="241">IF(ISBLANK(K233)=TRUE,0,1)</f>
        <v>0</v>
      </c>
      <c r="U233" s="13">
        <f t="shared" si="241"/>
        <v>0</v>
      </c>
      <c r="V233" s="13">
        <f t="shared" si="241"/>
        <v>0</v>
      </c>
      <c r="W233" s="13">
        <f t="shared" si="241"/>
        <v>0</v>
      </c>
      <c r="X233" s="13">
        <f t="shared" si="241"/>
        <v>1</v>
      </c>
      <c r="Y233" s="13">
        <f t="shared" si="241"/>
        <v>1</v>
      </c>
      <c r="Z233" s="13">
        <f t="shared" si="4"/>
        <v>1</v>
      </c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</row>
    <row r="234" ht="14.25" hidden="1" customHeight="1">
      <c r="A234" s="13" t="s">
        <v>29</v>
      </c>
      <c r="B234" s="13" t="s">
        <v>32</v>
      </c>
      <c r="C234" s="13" t="s">
        <v>297</v>
      </c>
      <c r="D234" s="13" t="s">
        <v>178</v>
      </c>
      <c r="E234" s="13" t="str">
        <f t="shared" si="2"/>
        <v>COHR,26-8-1,AE,1</v>
      </c>
      <c r="F234" s="13"/>
      <c r="G234" s="13" t="s">
        <v>74</v>
      </c>
      <c r="H234" s="13" t="s">
        <v>75</v>
      </c>
      <c r="I234" s="14">
        <v>44915.0</v>
      </c>
      <c r="J234" s="14"/>
      <c r="K234" s="15"/>
      <c r="L234" s="15"/>
      <c r="M234" s="16"/>
      <c r="N234" s="16"/>
      <c r="O234" s="17">
        <v>1.0</v>
      </c>
      <c r="P234" s="17">
        <v>1.0</v>
      </c>
      <c r="Q234" s="13">
        <f t="shared" ref="Q234:Q237" si="243">K233+L233+M233+N233+O233+P233/6</f>
        <v>1.166666667</v>
      </c>
      <c r="R234" s="13"/>
      <c r="S234" s="13"/>
      <c r="T234" s="13">
        <f t="shared" ref="T234:Y234" si="242">IF(ISBLANK(K234)=TRUE,0,1)</f>
        <v>0</v>
      </c>
      <c r="U234" s="13">
        <f t="shared" si="242"/>
        <v>0</v>
      </c>
      <c r="V234" s="13">
        <f t="shared" si="242"/>
        <v>0</v>
      </c>
      <c r="W234" s="13">
        <f t="shared" si="242"/>
        <v>0</v>
      </c>
      <c r="X234" s="13">
        <f t="shared" si="242"/>
        <v>1</v>
      </c>
      <c r="Y234" s="13">
        <f t="shared" si="242"/>
        <v>1</v>
      </c>
      <c r="Z234" s="13">
        <f t="shared" si="4"/>
        <v>1</v>
      </c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</row>
    <row r="235" ht="14.25" hidden="1" customHeight="1">
      <c r="A235" s="13" t="s">
        <v>29</v>
      </c>
      <c r="B235" s="13" t="s">
        <v>32</v>
      </c>
      <c r="C235" s="13" t="s">
        <v>297</v>
      </c>
      <c r="D235" s="13" t="s">
        <v>179</v>
      </c>
      <c r="E235" s="13" t="str">
        <f t="shared" si="2"/>
        <v>COHR,26-8-1,AF,1</v>
      </c>
      <c r="F235" s="13"/>
      <c r="G235" s="13" t="s">
        <v>74</v>
      </c>
      <c r="H235" s="13" t="s">
        <v>75</v>
      </c>
      <c r="I235" s="14">
        <v>44915.0</v>
      </c>
      <c r="J235" s="14"/>
      <c r="K235" s="15"/>
      <c r="L235" s="15"/>
      <c r="M235" s="16"/>
      <c r="N235" s="16"/>
      <c r="O235" s="17">
        <v>1.0</v>
      </c>
      <c r="P235" s="17">
        <v>1.0</v>
      </c>
      <c r="Q235" s="13">
        <f t="shared" si="243"/>
        <v>1.166666667</v>
      </c>
      <c r="R235" s="13"/>
      <c r="S235" s="13"/>
      <c r="T235" s="13">
        <f t="shared" ref="T235:Y235" si="244">IF(ISBLANK(K235)=TRUE,0,1)</f>
        <v>0</v>
      </c>
      <c r="U235" s="13">
        <f t="shared" si="244"/>
        <v>0</v>
      </c>
      <c r="V235" s="13">
        <f t="shared" si="244"/>
        <v>0</v>
      </c>
      <c r="W235" s="13">
        <f t="shared" si="244"/>
        <v>0</v>
      </c>
      <c r="X235" s="13">
        <f t="shared" si="244"/>
        <v>1</v>
      </c>
      <c r="Y235" s="13">
        <f t="shared" si="244"/>
        <v>1</v>
      </c>
      <c r="Z235" s="13">
        <f t="shared" si="4"/>
        <v>1</v>
      </c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</row>
    <row r="236" ht="14.25" hidden="1" customHeight="1">
      <c r="A236" s="13" t="s">
        <v>29</v>
      </c>
      <c r="B236" s="13" t="s">
        <v>32</v>
      </c>
      <c r="C236" s="13" t="s">
        <v>297</v>
      </c>
      <c r="D236" s="13" t="s">
        <v>180</v>
      </c>
      <c r="E236" s="13" t="str">
        <f t="shared" si="2"/>
        <v>COHR,26-8-1,AG,1</v>
      </c>
      <c r="F236" s="13"/>
      <c r="G236" s="13" t="s">
        <v>74</v>
      </c>
      <c r="H236" s="13" t="s">
        <v>75</v>
      </c>
      <c r="I236" s="14">
        <v>44915.0</v>
      </c>
      <c r="J236" s="14"/>
      <c r="K236" s="15"/>
      <c r="L236" s="15"/>
      <c r="M236" s="16"/>
      <c r="N236" s="16"/>
      <c r="O236" s="17">
        <v>1.0</v>
      </c>
      <c r="P236" s="17">
        <v>1.0</v>
      </c>
      <c r="Q236" s="13">
        <f t="shared" si="243"/>
        <v>1.166666667</v>
      </c>
      <c r="R236" s="13"/>
      <c r="S236" s="13"/>
      <c r="T236" s="13">
        <f t="shared" ref="T236:Y236" si="245">IF(ISBLANK(K236)=TRUE,0,1)</f>
        <v>0</v>
      </c>
      <c r="U236" s="13">
        <f t="shared" si="245"/>
        <v>0</v>
      </c>
      <c r="V236" s="13">
        <f t="shared" si="245"/>
        <v>0</v>
      </c>
      <c r="W236" s="13">
        <f t="shared" si="245"/>
        <v>0</v>
      </c>
      <c r="X236" s="13">
        <f t="shared" si="245"/>
        <v>1</v>
      </c>
      <c r="Y236" s="13">
        <f t="shared" si="245"/>
        <v>1</v>
      </c>
      <c r="Z236" s="13">
        <f t="shared" si="4"/>
        <v>1</v>
      </c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</row>
    <row r="237" ht="14.25" hidden="1" customHeight="1">
      <c r="A237" s="13" t="s">
        <v>29</v>
      </c>
      <c r="B237" s="13" t="s">
        <v>32</v>
      </c>
      <c r="C237" s="13" t="s">
        <v>297</v>
      </c>
      <c r="D237" s="13" t="s">
        <v>181</v>
      </c>
      <c r="E237" s="13" t="str">
        <f t="shared" si="2"/>
        <v>COHR,26-8-1,AH,1</v>
      </c>
      <c r="F237" s="13"/>
      <c r="G237" s="13" t="s">
        <v>74</v>
      </c>
      <c r="H237" s="13" t="s">
        <v>75</v>
      </c>
      <c r="I237" s="14">
        <v>44915.0</v>
      </c>
      <c r="J237" s="14"/>
      <c r="K237" s="15"/>
      <c r="L237" s="15"/>
      <c r="M237" s="16"/>
      <c r="N237" s="16"/>
      <c r="O237" s="17">
        <v>1.0</v>
      </c>
      <c r="P237" s="17">
        <v>1.0</v>
      </c>
      <c r="Q237" s="13">
        <f t="shared" si="243"/>
        <v>1.166666667</v>
      </c>
      <c r="R237" s="13"/>
      <c r="S237" s="13"/>
      <c r="T237" s="13">
        <f t="shared" ref="T237:Y237" si="246">IF(ISBLANK(K237)=TRUE,0,1)</f>
        <v>0</v>
      </c>
      <c r="U237" s="13">
        <f t="shared" si="246"/>
        <v>0</v>
      </c>
      <c r="V237" s="13">
        <f t="shared" si="246"/>
        <v>0</v>
      </c>
      <c r="W237" s="13">
        <f t="shared" si="246"/>
        <v>0</v>
      </c>
      <c r="X237" s="13">
        <f t="shared" si="246"/>
        <v>1</v>
      </c>
      <c r="Y237" s="13">
        <f t="shared" si="246"/>
        <v>1</v>
      </c>
      <c r="Z237" s="13">
        <f t="shared" si="4"/>
        <v>1</v>
      </c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</row>
    <row r="238" ht="14.25" hidden="1" customHeight="1">
      <c r="A238" s="13" t="s">
        <v>29</v>
      </c>
      <c r="B238" s="13" t="s">
        <v>32</v>
      </c>
      <c r="C238" s="13" t="s">
        <v>298</v>
      </c>
      <c r="D238" s="13"/>
      <c r="E238" s="13" t="str">
        <f t="shared" si="2"/>
        <v>COHR,26-8-2,,NA</v>
      </c>
      <c r="F238" s="13"/>
      <c r="G238" s="13" t="s">
        <v>74</v>
      </c>
      <c r="H238" s="13" t="s">
        <v>107</v>
      </c>
      <c r="I238" s="14">
        <v>44915.0</v>
      </c>
      <c r="J238" s="14"/>
      <c r="K238" s="15"/>
      <c r="L238" s="15"/>
      <c r="M238" s="16"/>
      <c r="N238" s="16"/>
      <c r="O238" s="17"/>
      <c r="P238" s="17"/>
      <c r="Q238" s="13">
        <f>K233+L233+M233+N233+O233+P233/6</f>
        <v>1.166666667</v>
      </c>
      <c r="R238" s="13"/>
      <c r="S238" s="13"/>
      <c r="T238" s="13">
        <f t="shared" ref="T238:Y238" si="247">IF(ISBLANK(K238)=TRUE,0,1)</f>
        <v>0</v>
      </c>
      <c r="U238" s="13">
        <f t="shared" si="247"/>
        <v>0</v>
      </c>
      <c r="V238" s="13">
        <f t="shared" si="247"/>
        <v>0</v>
      </c>
      <c r="W238" s="13">
        <f t="shared" si="247"/>
        <v>0</v>
      </c>
      <c r="X238" s="13">
        <f t="shared" si="247"/>
        <v>0</v>
      </c>
      <c r="Y238" s="13">
        <f t="shared" si="247"/>
        <v>0</v>
      </c>
      <c r="Z238" s="13" t="str">
        <f t="shared" si="4"/>
        <v>NA</v>
      </c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</row>
    <row r="239" ht="14.25" hidden="1" customHeight="1">
      <c r="A239" s="13" t="s">
        <v>29</v>
      </c>
      <c r="B239" s="13" t="s">
        <v>32</v>
      </c>
      <c r="C239" s="13" t="s">
        <v>299</v>
      </c>
      <c r="D239" s="13"/>
      <c r="E239" s="13" t="str">
        <f t="shared" si="2"/>
        <v>COHR,26-8-3,,0.5</v>
      </c>
      <c r="F239" s="13"/>
      <c r="G239" s="13" t="s">
        <v>74</v>
      </c>
      <c r="H239" s="13" t="s">
        <v>75</v>
      </c>
      <c r="I239" s="14">
        <v>44915.0</v>
      </c>
      <c r="J239" s="14"/>
      <c r="K239" s="15"/>
      <c r="L239" s="15"/>
      <c r="M239" s="16"/>
      <c r="N239" s="16"/>
      <c r="O239" s="17">
        <v>1.0</v>
      </c>
      <c r="P239" s="17">
        <v>0.0</v>
      </c>
      <c r="Q239" s="13">
        <f>K238+L238+M238+N238+O238+P238/6</f>
        <v>0</v>
      </c>
      <c r="R239" s="13"/>
      <c r="S239" s="13"/>
      <c r="T239" s="13">
        <f t="shared" ref="T239:Y239" si="248">IF(ISBLANK(K239)=TRUE,0,1)</f>
        <v>0</v>
      </c>
      <c r="U239" s="13">
        <f t="shared" si="248"/>
        <v>0</v>
      </c>
      <c r="V239" s="13">
        <f t="shared" si="248"/>
        <v>0</v>
      </c>
      <c r="W239" s="13">
        <f t="shared" si="248"/>
        <v>0</v>
      </c>
      <c r="X239" s="13">
        <f t="shared" si="248"/>
        <v>1</v>
      </c>
      <c r="Y239" s="13">
        <f t="shared" si="248"/>
        <v>1</v>
      </c>
      <c r="Z239" s="13">
        <f t="shared" si="4"/>
        <v>0.5</v>
      </c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</row>
    <row r="240" ht="14.25" hidden="1" customHeight="1">
      <c r="A240" s="13" t="s">
        <v>29</v>
      </c>
      <c r="B240" s="13" t="s">
        <v>32</v>
      </c>
      <c r="C240" s="13" t="s">
        <v>299</v>
      </c>
      <c r="D240" s="13" t="s">
        <v>174</v>
      </c>
      <c r="E240" s="13" t="str">
        <f t="shared" si="2"/>
        <v>COHR,26-8-3,AA,0.5</v>
      </c>
      <c r="F240" s="13"/>
      <c r="G240" s="26" t="s">
        <v>74</v>
      </c>
      <c r="H240" s="13" t="s">
        <v>75</v>
      </c>
      <c r="I240" s="13"/>
      <c r="J240" s="13"/>
      <c r="K240" s="15"/>
      <c r="L240" s="15"/>
      <c r="M240" s="16"/>
      <c r="N240" s="16"/>
      <c r="O240" s="17">
        <v>1.0</v>
      </c>
      <c r="P240" s="17">
        <v>0.0</v>
      </c>
      <c r="Q240" s="13"/>
      <c r="R240" s="13"/>
      <c r="S240" s="13"/>
      <c r="T240" s="13">
        <f t="shared" ref="T240:Y240" si="249">IF(ISBLANK(K240)=TRUE,0,1)</f>
        <v>0</v>
      </c>
      <c r="U240" s="13">
        <f t="shared" si="249"/>
        <v>0</v>
      </c>
      <c r="V240" s="13">
        <f t="shared" si="249"/>
        <v>0</v>
      </c>
      <c r="W240" s="13">
        <f t="shared" si="249"/>
        <v>0</v>
      </c>
      <c r="X240" s="13">
        <f t="shared" si="249"/>
        <v>1</v>
      </c>
      <c r="Y240" s="13">
        <f t="shared" si="249"/>
        <v>1</v>
      </c>
      <c r="Z240" s="13">
        <f t="shared" si="4"/>
        <v>0.5</v>
      </c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</row>
    <row r="241" ht="14.25" hidden="1" customHeight="1">
      <c r="A241" s="13" t="s">
        <v>29</v>
      </c>
      <c r="B241" s="13" t="s">
        <v>32</v>
      </c>
      <c r="C241" s="13" t="s">
        <v>299</v>
      </c>
      <c r="D241" s="13" t="s">
        <v>175</v>
      </c>
      <c r="E241" s="13" t="str">
        <f t="shared" si="2"/>
        <v>COHR,26-8-3,AB,0.5</v>
      </c>
      <c r="F241" s="13"/>
      <c r="G241" s="26" t="s">
        <v>74</v>
      </c>
      <c r="H241" s="13" t="s">
        <v>75</v>
      </c>
      <c r="I241" s="13"/>
      <c r="J241" s="13"/>
      <c r="K241" s="15"/>
      <c r="L241" s="15"/>
      <c r="M241" s="16"/>
      <c r="N241" s="16"/>
      <c r="O241" s="17">
        <v>1.0</v>
      </c>
      <c r="P241" s="17">
        <v>0.0</v>
      </c>
      <c r="Q241" s="13"/>
      <c r="R241" s="13"/>
      <c r="S241" s="13"/>
      <c r="T241" s="13">
        <f t="shared" ref="T241:Y241" si="250">IF(ISBLANK(K241)=TRUE,0,1)</f>
        <v>0</v>
      </c>
      <c r="U241" s="13">
        <f t="shared" si="250"/>
        <v>0</v>
      </c>
      <c r="V241" s="13">
        <f t="shared" si="250"/>
        <v>0</v>
      </c>
      <c r="W241" s="13">
        <f t="shared" si="250"/>
        <v>0</v>
      </c>
      <c r="X241" s="13">
        <f t="shared" si="250"/>
        <v>1</v>
      </c>
      <c r="Y241" s="13">
        <f t="shared" si="250"/>
        <v>1</v>
      </c>
      <c r="Z241" s="13">
        <f t="shared" si="4"/>
        <v>0.5</v>
      </c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</row>
    <row r="242" ht="14.25" hidden="1" customHeight="1">
      <c r="A242" s="13" t="s">
        <v>29</v>
      </c>
      <c r="B242" s="13" t="s">
        <v>32</v>
      </c>
      <c r="C242" s="13" t="s">
        <v>300</v>
      </c>
      <c r="D242" s="13"/>
      <c r="E242" s="13" t="str">
        <f t="shared" si="2"/>
        <v>COHR,26-8-4,,NA</v>
      </c>
      <c r="F242" s="13"/>
      <c r="G242" s="13" t="s">
        <v>74</v>
      </c>
      <c r="H242" s="13" t="s">
        <v>75</v>
      </c>
      <c r="I242" s="14">
        <v>44915.0</v>
      </c>
      <c r="J242" s="14"/>
      <c r="K242" s="15"/>
      <c r="L242" s="15"/>
      <c r="M242" s="16"/>
      <c r="N242" s="16"/>
      <c r="O242" s="17"/>
      <c r="P242" s="17"/>
      <c r="Q242" s="13">
        <f>K241+L241+M241+N241+O241+P241/6</f>
        <v>1</v>
      </c>
      <c r="R242" s="13"/>
      <c r="S242" s="13"/>
      <c r="T242" s="13">
        <f t="shared" ref="T242:Y242" si="251">IF(ISBLANK(K242)=TRUE,0,1)</f>
        <v>0</v>
      </c>
      <c r="U242" s="13">
        <f t="shared" si="251"/>
        <v>0</v>
      </c>
      <c r="V242" s="13">
        <f t="shared" si="251"/>
        <v>0</v>
      </c>
      <c r="W242" s="13">
        <f t="shared" si="251"/>
        <v>0</v>
      </c>
      <c r="X242" s="13">
        <f t="shared" si="251"/>
        <v>0</v>
      </c>
      <c r="Y242" s="13">
        <f t="shared" si="251"/>
        <v>0</v>
      </c>
      <c r="Z242" s="13" t="str">
        <f t="shared" si="4"/>
        <v>NA</v>
      </c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</row>
    <row r="243" ht="14.25" hidden="1" customHeight="1">
      <c r="A243" s="13" t="s">
        <v>29</v>
      </c>
      <c r="B243" s="13" t="s">
        <v>32</v>
      </c>
      <c r="C243" s="13" t="s">
        <v>300</v>
      </c>
      <c r="D243" s="13" t="s">
        <v>174</v>
      </c>
      <c r="E243" s="13" t="str">
        <f t="shared" si="2"/>
        <v>COHR,26-8-4,AA,1</v>
      </c>
      <c r="F243" s="13"/>
      <c r="G243" s="13" t="s">
        <v>74</v>
      </c>
      <c r="H243" s="13" t="s">
        <v>75</v>
      </c>
      <c r="I243" s="13"/>
      <c r="J243" s="13"/>
      <c r="K243" s="15"/>
      <c r="L243" s="15"/>
      <c r="M243" s="16"/>
      <c r="N243" s="16"/>
      <c r="O243" s="17">
        <v>1.0</v>
      </c>
      <c r="P243" s="17">
        <v>1.0</v>
      </c>
      <c r="Q243" s="13"/>
      <c r="R243" s="13"/>
      <c r="S243" s="13"/>
      <c r="T243" s="13">
        <f t="shared" ref="T243:Y243" si="252">IF(ISBLANK(K243)=TRUE,0,1)</f>
        <v>0</v>
      </c>
      <c r="U243" s="13">
        <f t="shared" si="252"/>
        <v>0</v>
      </c>
      <c r="V243" s="13">
        <f t="shared" si="252"/>
        <v>0</v>
      </c>
      <c r="W243" s="13">
        <f t="shared" si="252"/>
        <v>0</v>
      </c>
      <c r="X243" s="13">
        <f t="shared" si="252"/>
        <v>1</v>
      </c>
      <c r="Y243" s="13">
        <f t="shared" si="252"/>
        <v>1</v>
      </c>
      <c r="Z243" s="13">
        <f t="shared" si="4"/>
        <v>1</v>
      </c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</row>
    <row r="244" ht="14.25" hidden="1" customHeight="1">
      <c r="A244" s="13" t="s">
        <v>29</v>
      </c>
      <c r="B244" s="13" t="s">
        <v>32</v>
      </c>
      <c r="C244" s="13" t="s">
        <v>301</v>
      </c>
      <c r="D244" s="13"/>
      <c r="E244" s="13" t="str">
        <f t="shared" si="2"/>
        <v>COHR,26-8-5,,NA</v>
      </c>
      <c r="F244" s="13"/>
      <c r="G244" s="13" t="s">
        <v>74</v>
      </c>
      <c r="H244" s="13" t="s">
        <v>107</v>
      </c>
      <c r="I244" s="14">
        <v>44915.0</v>
      </c>
      <c r="J244" s="14"/>
      <c r="K244" s="15"/>
      <c r="L244" s="15"/>
      <c r="M244" s="16"/>
      <c r="N244" s="16"/>
      <c r="O244" s="17"/>
      <c r="P244" s="17"/>
      <c r="Q244" s="13">
        <f t="shared" ref="Q244:Q245" si="254">K243+L243+M243+N243+O243+P243/6</f>
        <v>1.166666667</v>
      </c>
      <c r="R244" s="13"/>
      <c r="S244" s="13"/>
      <c r="T244" s="13">
        <f t="shared" ref="T244:Y244" si="253">IF(ISBLANK(K244)=TRUE,0,1)</f>
        <v>0</v>
      </c>
      <c r="U244" s="13">
        <f t="shared" si="253"/>
        <v>0</v>
      </c>
      <c r="V244" s="13">
        <f t="shared" si="253"/>
        <v>0</v>
      </c>
      <c r="W244" s="13">
        <f t="shared" si="253"/>
        <v>0</v>
      </c>
      <c r="X244" s="13">
        <f t="shared" si="253"/>
        <v>0</v>
      </c>
      <c r="Y244" s="13">
        <f t="shared" si="253"/>
        <v>0</v>
      </c>
      <c r="Z244" s="13" t="str">
        <f t="shared" si="4"/>
        <v>NA</v>
      </c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</row>
    <row r="245" ht="14.25" hidden="1" customHeight="1">
      <c r="A245" s="13" t="s">
        <v>29</v>
      </c>
      <c r="B245" s="13" t="s">
        <v>32</v>
      </c>
      <c r="C245" s="13" t="s">
        <v>302</v>
      </c>
      <c r="D245" s="13"/>
      <c r="E245" s="13" t="str">
        <f t="shared" si="2"/>
        <v>COHR,26-8-6,,NA</v>
      </c>
      <c r="F245" s="13"/>
      <c r="G245" s="13" t="s">
        <v>74</v>
      </c>
      <c r="H245" s="13" t="s">
        <v>75</v>
      </c>
      <c r="I245" s="14">
        <v>44915.0</v>
      </c>
      <c r="J245" s="14"/>
      <c r="K245" s="15"/>
      <c r="L245" s="15"/>
      <c r="M245" s="16"/>
      <c r="N245" s="16"/>
      <c r="O245" s="17"/>
      <c r="P245" s="17"/>
      <c r="Q245" s="13">
        <f t="shared" si="254"/>
        <v>0</v>
      </c>
      <c r="R245" s="13"/>
      <c r="S245" s="13"/>
      <c r="T245" s="13">
        <f t="shared" ref="T245:Y245" si="255">IF(ISBLANK(K245)=TRUE,0,1)</f>
        <v>0</v>
      </c>
      <c r="U245" s="13">
        <f t="shared" si="255"/>
        <v>0</v>
      </c>
      <c r="V245" s="13">
        <f t="shared" si="255"/>
        <v>0</v>
      </c>
      <c r="W245" s="13">
        <f t="shared" si="255"/>
        <v>0</v>
      </c>
      <c r="X245" s="13">
        <f t="shared" si="255"/>
        <v>0</v>
      </c>
      <c r="Y245" s="13">
        <f t="shared" si="255"/>
        <v>0</v>
      </c>
      <c r="Z245" s="13" t="str">
        <f t="shared" si="4"/>
        <v>NA</v>
      </c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</row>
    <row r="246" ht="14.25" hidden="1" customHeight="1">
      <c r="A246" s="13" t="s">
        <v>29</v>
      </c>
      <c r="B246" s="13" t="s">
        <v>32</v>
      </c>
      <c r="C246" s="13" t="s">
        <v>302</v>
      </c>
      <c r="D246" s="13" t="s">
        <v>174</v>
      </c>
      <c r="E246" s="13" t="str">
        <f t="shared" si="2"/>
        <v>COHR,26-8-6,AA,1</v>
      </c>
      <c r="F246" s="13"/>
      <c r="G246" s="13" t="s">
        <v>74</v>
      </c>
      <c r="H246" s="13" t="s">
        <v>75</v>
      </c>
      <c r="I246" s="13"/>
      <c r="J246" s="13"/>
      <c r="K246" s="15"/>
      <c r="L246" s="15"/>
      <c r="M246" s="16"/>
      <c r="N246" s="16"/>
      <c r="O246" s="17">
        <v>1.0</v>
      </c>
      <c r="P246" s="17">
        <v>1.0</v>
      </c>
      <c r="Q246" s="13"/>
      <c r="R246" s="13"/>
      <c r="S246" s="13"/>
      <c r="T246" s="13">
        <f t="shared" ref="T246:Y246" si="256">IF(ISBLANK(K246)=TRUE,0,1)</f>
        <v>0</v>
      </c>
      <c r="U246" s="13">
        <f t="shared" si="256"/>
        <v>0</v>
      </c>
      <c r="V246" s="13">
        <f t="shared" si="256"/>
        <v>0</v>
      </c>
      <c r="W246" s="13">
        <f t="shared" si="256"/>
        <v>0</v>
      </c>
      <c r="X246" s="13">
        <f t="shared" si="256"/>
        <v>1</v>
      </c>
      <c r="Y246" s="13">
        <f t="shared" si="256"/>
        <v>1</v>
      </c>
      <c r="Z246" s="13">
        <f t="shared" si="4"/>
        <v>1</v>
      </c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</row>
    <row r="247" ht="14.25" hidden="1" customHeight="1">
      <c r="A247" s="13" t="s">
        <v>29</v>
      </c>
      <c r="B247" s="13" t="s">
        <v>32</v>
      </c>
      <c r="C247" s="13" t="s">
        <v>303</v>
      </c>
      <c r="D247" s="13"/>
      <c r="E247" s="13" t="str">
        <f t="shared" si="2"/>
        <v>COHR,26-8-7,,NA</v>
      </c>
      <c r="F247" s="13"/>
      <c r="G247" s="13" t="s">
        <v>74</v>
      </c>
      <c r="H247" s="13" t="s">
        <v>107</v>
      </c>
      <c r="I247" s="14">
        <v>44915.0</v>
      </c>
      <c r="J247" s="14"/>
      <c r="K247" s="15"/>
      <c r="L247" s="15"/>
      <c r="M247" s="16"/>
      <c r="N247" s="16"/>
      <c r="O247" s="17"/>
      <c r="P247" s="17"/>
      <c r="Q247" s="13">
        <f t="shared" ref="Q247:Q255" si="258">K246+L246+M246+N246+O246+P246/6</f>
        <v>1.166666667</v>
      </c>
      <c r="R247" s="13"/>
      <c r="S247" s="13"/>
      <c r="T247" s="13">
        <f t="shared" ref="T247:Y247" si="257">IF(ISBLANK(K247)=TRUE,0,1)</f>
        <v>0</v>
      </c>
      <c r="U247" s="13">
        <f t="shared" si="257"/>
        <v>0</v>
      </c>
      <c r="V247" s="13">
        <f t="shared" si="257"/>
        <v>0</v>
      </c>
      <c r="W247" s="13">
        <f t="shared" si="257"/>
        <v>0</v>
      </c>
      <c r="X247" s="13">
        <f t="shared" si="257"/>
        <v>0</v>
      </c>
      <c r="Y247" s="13">
        <f t="shared" si="257"/>
        <v>0</v>
      </c>
      <c r="Z247" s="13" t="str">
        <f t="shared" si="4"/>
        <v>NA</v>
      </c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</row>
    <row r="248" ht="14.25" hidden="1" customHeight="1">
      <c r="A248" s="13" t="s">
        <v>29</v>
      </c>
      <c r="B248" s="13" t="s">
        <v>32</v>
      </c>
      <c r="C248" s="13" t="s">
        <v>304</v>
      </c>
      <c r="D248" s="13"/>
      <c r="E248" s="13" t="str">
        <f t="shared" si="2"/>
        <v>COHR,26-8-8,,NA</v>
      </c>
      <c r="F248" s="13"/>
      <c r="G248" s="13" t="s">
        <v>74</v>
      </c>
      <c r="H248" s="13" t="s">
        <v>107</v>
      </c>
      <c r="I248" s="14">
        <v>44915.0</v>
      </c>
      <c r="J248" s="14"/>
      <c r="K248" s="15"/>
      <c r="L248" s="15"/>
      <c r="M248" s="16"/>
      <c r="N248" s="16"/>
      <c r="O248" s="17"/>
      <c r="P248" s="17"/>
      <c r="Q248" s="13">
        <f t="shared" si="258"/>
        <v>0</v>
      </c>
      <c r="R248" s="13"/>
      <c r="S248" s="13"/>
      <c r="T248" s="13">
        <f t="shared" ref="T248:Y248" si="259">IF(ISBLANK(K248)=TRUE,0,1)</f>
        <v>0</v>
      </c>
      <c r="U248" s="13">
        <f t="shared" si="259"/>
        <v>0</v>
      </c>
      <c r="V248" s="13">
        <f t="shared" si="259"/>
        <v>0</v>
      </c>
      <c r="W248" s="13">
        <f t="shared" si="259"/>
        <v>0</v>
      </c>
      <c r="X248" s="13">
        <f t="shared" si="259"/>
        <v>0</v>
      </c>
      <c r="Y248" s="13">
        <f t="shared" si="259"/>
        <v>0</v>
      </c>
      <c r="Z248" s="13" t="str">
        <f t="shared" si="4"/>
        <v>NA</v>
      </c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</row>
    <row r="249" ht="14.25" hidden="1" customHeight="1">
      <c r="A249" s="13" t="s">
        <v>29</v>
      </c>
      <c r="B249" s="13" t="s">
        <v>32</v>
      </c>
      <c r="C249" s="13" t="s">
        <v>305</v>
      </c>
      <c r="D249" s="13"/>
      <c r="E249" s="13" t="str">
        <f t="shared" si="2"/>
        <v>COHR,26-8-9,,NA</v>
      </c>
      <c r="F249" s="13"/>
      <c r="G249" s="13" t="s">
        <v>74</v>
      </c>
      <c r="H249" s="13" t="s">
        <v>107</v>
      </c>
      <c r="I249" s="14">
        <v>44915.0</v>
      </c>
      <c r="J249" s="14"/>
      <c r="K249" s="15"/>
      <c r="L249" s="15"/>
      <c r="M249" s="16"/>
      <c r="N249" s="16"/>
      <c r="O249" s="17"/>
      <c r="P249" s="17"/>
      <c r="Q249" s="13">
        <f t="shared" si="258"/>
        <v>0</v>
      </c>
      <c r="R249" s="13"/>
      <c r="S249" s="13"/>
      <c r="T249" s="13">
        <f t="shared" ref="T249:Y249" si="260">IF(ISBLANK(K249)=TRUE,0,1)</f>
        <v>0</v>
      </c>
      <c r="U249" s="13">
        <f t="shared" si="260"/>
        <v>0</v>
      </c>
      <c r="V249" s="13">
        <f t="shared" si="260"/>
        <v>0</v>
      </c>
      <c r="W249" s="13">
        <f t="shared" si="260"/>
        <v>0</v>
      </c>
      <c r="X249" s="13">
        <f t="shared" si="260"/>
        <v>0</v>
      </c>
      <c r="Y249" s="13">
        <f t="shared" si="260"/>
        <v>0</v>
      </c>
      <c r="Z249" s="13" t="str">
        <f t="shared" si="4"/>
        <v>NA</v>
      </c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</row>
    <row r="250" ht="14.25" hidden="1" customHeight="1">
      <c r="A250" s="13" t="s">
        <v>29</v>
      </c>
      <c r="B250" s="13" t="s">
        <v>32</v>
      </c>
      <c r="C250" s="13" t="s">
        <v>306</v>
      </c>
      <c r="D250" s="13"/>
      <c r="E250" s="13" t="str">
        <f t="shared" si="2"/>
        <v>COHR,35-1-1,,NA</v>
      </c>
      <c r="F250" s="13"/>
      <c r="G250" s="13" t="s">
        <v>74</v>
      </c>
      <c r="H250" s="13" t="s">
        <v>107</v>
      </c>
      <c r="I250" s="14">
        <v>44915.0</v>
      </c>
      <c r="J250" s="14"/>
      <c r="K250" s="15"/>
      <c r="L250" s="15"/>
      <c r="M250" s="16"/>
      <c r="N250" s="16"/>
      <c r="O250" s="17"/>
      <c r="P250" s="17"/>
      <c r="Q250" s="13">
        <f t="shared" si="258"/>
        <v>0</v>
      </c>
      <c r="R250" s="13"/>
      <c r="S250" s="13"/>
      <c r="T250" s="13">
        <f t="shared" ref="T250:Y250" si="261">IF(ISBLANK(K250)=TRUE,0,1)</f>
        <v>0</v>
      </c>
      <c r="U250" s="13">
        <f t="shared" si="261"/>
        <v>0</v>
      </c>
      <c r="V250" s="13">
        <f t="shared" si="261"/>
        <v>0</v>
      </c>
      <c r="W250" s="13">
        <f t="shared" si="261"/>
        <v>0</v>
      </c>
      <c r="X250" s="13">
        <f t="shared" si="261"/>
        <v>0</v>
      </c>
      <c r="Y250" s="13">
        <f t="shared" si="261"/>
        <v>0</v>
      </c>
      <c r="Z250" s="13" t="str">
        <f t="shared" si="4"/>
        <v>NA</v>
      </c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</row>
    <row r="251" ht="14.25" hidden="1" customHeight="1">
      <c r="A251" s="13" t="s">
        <v>29</v>
      </c>
      <c r="B251" s="13" t="s">
        <v>32</v>
      </c>
      <c r="C251" s="13" t="s">
        <v>307</v>
      </c>
      <c r="D251" s="13"/>
      <c r="E251" s="13" t="str">
        <f t="shared" si="2"/>
        <v>COHR,35-1-10,,NA</v>
      </c>
      <c r="F251" s="13"/>
      <c r="G251" s="13" t="s">
        <v>74</v>
      </c>
      <c r="H251" s="13" t="s">
        <v>107</v>
      </c>
      <c r="I251" s="14">
        <v>44915.0</v>
      </c>
      <c r="J251" s="14"/>
      <c r="K251" s="15"/>
      <c r="L251" s="15"/>
      <c r="M251" s="16"/>
      <c r="N251" s="16"/>
      <c r="O251" s="17"/>
      <c r="P251" s="17"/>
      <c r="Q251" s="13">
        <f t="shared" si="258"/>
        <v>0</v>
      </c>
      <c r="R251" s="13"/>
      <c r="S251" s="13"/>
      <c r="T251" s="13">
        <f t="shared" ref="T251:Y251" si="262">IF(ISBLANK(K251)=TRUE,0,1)</f>
        <v>0</v>
      </c>
      <c r="U251" s="13">
        <f t="shared" si="262"/>
        <v>0</v>
      </c>
      <c r="V251" s="13">
        <f t="shared" si="262"/>
        <v>0</v>
      </c>
      <c r="W251" s="13">
        <f t="shared" si="262"/>
        <v>0</v>
      </c>
      <c r="X251" s="13">
        <f t="shared" si="262"/>
        <v>0</v>
      </c>
      <c r="Y251" s="13">
        <f t="shared" si="262"/>
        <v>0</v>
      </c>
      <c r="Z251" s="13" t="str">
        <f t="shared" si="4"/>
        <v>NA</v>
      </c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</row>
    <row r="252" ht="14.25" hidden="1" customHeight="1">
      <c r="A252" s="13" t="s">
        <v>29</v>
      </c>
      <c r="B252" s="13" t="s">
        <v>32</v>
      </c>
      <c r="C252" s="13" t="s">
        <v>308</v>
      </c>
      <c r="D252" s="13"/>
      <c r="E252" s="13" t="str">
        <f t="shared" si="2"/>
        <v>COHR,35-1-11,,NA</v>
      </c>
      <c r="F252" s="13"/>
      <c r="G252" s="13" t="s">
        <v>74</v>
      </c>
      <c r="H252" s="13" t="s">
        <v>107</v>
      </c>
      <c r="I252" s="14">
        <v>44915.0</v>
      </c>
      <c r="J252" s="14"/>
      <c r="K252" s="15"/>
      <c r="L252" s="15"/>
      <c r="M252" s="16"/>
      <c r="N252" s="16"/>
      <c r="O252" s="17"/>
      <c r="P252" s="17"/>
      <c r="Q252" s="13">
        <f t="shared" si="258"/>
        <v>0</v>
      </c>
      <c r="R252" s="13"/>
      <c r="S252" s="13"/>
      <c r="T252" s="13">
        <f t="shared" ref="T252:Y252" si="263">IF(ISBLANK(K252)=TRUE,0,1)</f>
        <v>0</v>
      </c>
      <c r="U252" s="13">
        <f t="shared" si="263"/>
        <v>0</v>
      </c>
      <c r="V252" s="13">
        <f t="shared" si="263"/>
        <v>0</v>
      </c>
      <c r="W252" s="13">
        <f t="shared" si="263"/>
        <v>0</v>
      </c>
      <c r="X252" s="13">
        <f t="shared" si="263"/>
        <v>0</v>
      </c>
      <c r="Y252" s="13">
        <f t="shared" si="263"/>
        <v>0</v>
      </c>
      <c r="Z252" s="13" t="str">
        <f t="shared" si="4"/>
        <v>NA</v>
      </c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</row>
    <row r="253" ht="14.25" hidden="1" customHeight="1">
      <c r="A253" s="13" t="s">
        <v>29</v>
      </c>
      <c r="B253" s="13" t="s">
        <v>32</v>
      </c>
      <c r="C253" s="13" t="s">
        <v>309</v>
      </c>
      <c r="D253" s="13"/>
      <c r="E253" s="13" t="str">
        <f t="shared" si="2"/>
        <v>COHR,35-1-12,,NA</v>
      </c>
      <c r="F253" s="13"/>
      <c r="G253" s="13" t="s">
        <v>74</v>
      </c>
      <c r="H253" s="13" t="s">
        <v>107</v>
      </c>
      <c r="I253" s="14">
        <v>44915.0</v>
      </c>
      <c r="J253" s="14"/>
      <c r="K253" s="15"/>
      <c r="L253" s="15"/>
      <c r="M253" s="16"/>
      <c r="N253" s="16"/>
      <c r="O253" s="17"/>
      <c r="P253" s="17"/>
      <c r="Q253" s="13">
        <f t="shared" si="258"/>
        <v>0</v>
      </c>
      <c r="R253" s="13"/>
      <c r="S253" s="13"/>
      <c r="T253" s="13">
        <f t="shared" ref="T253:Y253" si="264">IF(ISBLANK(K253)=TRUE,0,1)</f>
        <v>0</v>
      </c>
      <c r="U253" s="13">
        <f t="shared" si="264"/>
        <v>0</v>
      </c>
      <c r="V253" s="13">
        <f t="shared" si="264"/>
        <v>0</v>
      </c>
      <c r="W253" s="13">
        <f t="shared" si="264"/>
        <v>0</v>
      </c>
      <c r="X253" s="13">
        <f t="shared" si="264"/>
        <v>0</v>
      </c>
      <c r="Y253" s="13">
        <f t="shared" si="264"/>
        <v>0</v>
      </c>
      <c r="Z253" s="13" t="str">
        <f t="shared" si="4"/>
        <v>NA</v>
      </c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</row>
    <row r="254" ht="14.25" hidden="1" customHeight="1">
      <c r="A254" s="13" t="s">
        <v>29</v>
      </c>
      <c r="B254" s="13" t="s">
        <v>32</v>
      </c>
      <c r="C254" s="13" t="s">
        <v>310</v>
      </c>
      <c r="D254" s="13"/>
      <c r="E254" s="13" t="str">
        <f t="shared" si="2"/>
        <v>COHR,35-1-13,,NA</v>
      </c>
      <c r="F254" s="13"/>
      <c r="G254" s="13" t="s">
        <v>74</v>
      </c>
      <c r="H254" s="13" t="s">
        <v>107</v>
      </c>
      <c r="I254" s="14">
        <v>44915.0</v>
      </c>
      <c r="J254" s="14"/>
      <c r="K254" s="15"/>
      <c r="L254" s="15"/>
      <c r="M254" s="16"/>
      <c r="N254" s="16"/>
      <c r="O254" s="17"/>
      <c r="P254" s="17"/>
      <c r="Q254" s="13">
        <f t="shared" si="258"/>
        <v>0</v>
      </c>
      <c r="R254" s="13"/>
      <c r="S254" s="13"/>
      <c r="T254" s="13">
        <f t="shared" ref="T254:Y254" si="265">IF(ISBLANK(K254)=TRUE,0,1)</f>
        <v>0</v>
      </c>
      <c r="U254" s="13">
        <f t="shared" si="265"/>
        <v>0</v>
      </c>
      <c r="V254" s="13">
        <f t="shared" si="265"/>
        <v>0</v>
      </c>
      <c r="W254" s="13">
        <f t="shared" si="265"/>
        <v>0</v>
      </c>
      <c r="X254" s="13">
        <f t="shared" si="265"/>
        <v>0</v>
      </c>
      <c r="Y254" s="13">
        <f t="shared" si="265"/>
        <v>0</v>
      </c>
      <c r="Z254" s="13" t="str">
        <f t="shared" si="4"/>
        <v>NA</v>
      </c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</row>
    <row r="255" ht="14.25" hidden="1" customHeight="1">
      <c r="A255" s="13" t="s">
        <v>29</v>
      </c>
      <c r="B255" s="13" t="s">
        <v>32</v>
      </c>
      <c r="C255" s="13" t="s">
        <v>311</v>
      </c>
      <c r="D255" s="13"/>
      <c r="E255" s="13" t="str">
        <f t="shared" si="2"/>
        <v>COHR,35-1-14,,1</v>
      </c>
      <c r="F255" s="13"/>
      <c r="G255" s="13" t="s">
        <v>74</v>
      </c>
      <c r="H255" s="13" t="s">
        <v>75</v>
      </c>
      <c r="I255" s="14">
        <v>44915.0</v>
      </c>
      <c r="J255" s="14"/>
      <c r="K255" s="15"/>
      <c r="L255" s="15"/>
      <c r="M255" s="16"/>
      <c r="N255" s="16"/>
      <c r="O255" s="17">
        <v>1.0</v>
      </c>
      <c r="P255" s="17">
        <v>1.0</v>
      </c>
      <c r="Q255" s="13">
        <f t="shared" si="258"/>
        <v>0</v>
      </c>
      <c r="R255" s="13"/>
      <c r="S255" s="13"/>
      <c r="T255" s="13">
        <f t="shared" ref="T255:Y255" si="266">IF(ISBLANK(K255)=TRUE,0,1)</f>
        <v>0</v>
      </c>
      <c r="U255" s="13">
        <f t="shared" si="266"/>
        <v>0</v>
      </c>
      <c r="V255" s="13">
        <f t="shared" si="266"/>
        <v>0</v>
      </c>
      <c r="W255" s="13">
        <f t="shared" si="266"/>
        <v>0</v>
      </c>
      <c r="X255" s="13">
        <f t="shared" si="266"/>
        <v>1</v>
      </c>
      <c r="Y255" s="13">
        <f t="shared" si="266"/>
        <v>1</v>
      </c>
      <c r="Z255" s="13">
        <f t="shared" si="4"/>
        <v>1</v>
      </c>
      <c r="AA255" s="13"/>
      <c r="AB255" s="13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</row>
    <row r="256" ht="14.25" hidden="1" customHeight="1">
      <c r="A256" s="13" t="s">
        <v>29</v>
      </c>
      <c r="B256" s="13" t="s">
        <v>32</v>
      </c>
      <c r="C256" s="13" t="s">
        <v>311</v>
      </c>
      <c r="D256" s="13" t="s">
        <v>174</v>
      </c>
      <c r="E256" s="13" t="str">
        <f t="shared" si="2"/>
        <v>COHR,35-1-14,AA,1</v>
      </c>
      <c r="F256" s="13"/>
      <c r="G256" s="26" t="s">
        <v>74</v>
      </c>
      <c r="H256" s="13" t="s">
        <v>75</v>
      </c>
      <c r="I256" s="13"/>
      <c r="J256" s="13"/>
      <c r="K256" s="15"/>
      <c r="L256" s="15"/>
      <c r="M256" s="16"/>
      <c r="N256" s="16"/>
      <c r="O256" s="17">
        <v>1.0</v>
      </c>
      <c r="P256" s="17">
        <v>1.0</v>
      </c>
      <c r="Q256" s="13"/>
      <c r="R256" s="13"/>
      <c r="S256" s="13"/>
      <c r="T256" s="13">
        <f t="shared" ref="T256:Y256" si="267">IF(ISBLANK(K256)=TRUE,0,1)</f>
        <v>0</v>
      </c>
      <c r="U256" s="13">
        <f t="shared" si="267"/>
        <v>0</v>
      </c>
      <c r="V256" s="13">
        <f t="shared" si="267"/>
        <v>0</v>
      </c>
      <c r="W256" s="13">
        <f t="shared" si="267"/>
        <v>0</v>
      </c>
      <c r="X256" s="13">
        <f t="shared" si="267"/>
        <v>1</v>
      </c>
      <c r="Y256" s="13">
        <f t="shared" si="267"/>
        <v>1</v>
      </c>
      <c r="Z256" s="13">
        <f t="shared" si="4"/>
        <v>1</v>
      </c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</row>
    <row r="257" ht="14.25" hidden="1" customHeight="1">
      <c r="A257" s="13" t="s">
        <v>29</v>
      </c>
      <c r="B257" s="13" t="s">
        <v>32</v>
      </c>
      <c r="C257" s="13" t="s">
        <v>311</v>
      </c>
      <c r="D257" s="13" t="s">
        <v>175</v>
      </c>
      <c r="E257" s="13" t="str">
        <f t="shared" si="2"/>
        <v>COHR,35-1-14,AB,1</v>
      </c>
      <c r="F257" s="13"/>
      <c r="G257" s="26" t="s">
        <v>74</v>
      </c>
      <c r="H257" s="13" t="s">
        <v>75</v>
      </c>
      <c r="I257" s="13"/>
      <c r="J257" s="13"/>
      <c r="K257" s="15"/>
      <c r="L257" s="15"/>
      <c r="M257" s="16"/>
      <c r="N257" s="16"/>
      <c r="O257" s="17">
        <v>1.0</v>
      </c>
      <c r="P257" s="17">
        <v>1.0</v>
      </c>
      <c r="Q257" s="13"/>
      <c r="R257" s="13"/>
      <c r="S257" s="13"/>
      <c r="T257" s="13">
        <f t="shared" ref="T257:Y257" si="268">IF(ISBLANK(K257)=TRUE,0,1)</f>
        <v>0</v>
      </c>
      <c r="U257" s="13">
        <f t="shared" si="268"/>
        <v>0</v>
      </c>
      <c r="V257" s="13">
        <f t="shared" si="268"/>
        <v>0</v>
      </c>
      <c r="W257" s="13">
        <f t="shared" si="268"/>
        <v>0</v>
      </c>
      <c r="X257" s="13">
        <f t="shared" si="268"/>
        <v>1</v>
      </c>
      <c r="Y257" s="13">
        <f t="shared" si="268"/>
        <v>1</v>
      </c>
      <c r="Z257" s="13">
        <f t="shared" si="4"/>
        <v>1</v>
      </c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</row>
    <row r="258" ht="14.25" hidden="1" customHeight="1">
      <c r="A258" s="13" t="s">
        <v>29</v>
      </c>
      <c r="B258" s="13" t="s">
        <v>32</v>
      </c>
      <c r="C258" s="13" t="s">
        <v>311</v>
      </c>
      <c r="D258" s="13" t="s">
        <v>176</v>
      </c>
      <c r="E258" s="13" t="str">
        <f t="shared" si="2"/>
        <v>COHR,35-1-14,AC,1</v>
      </c>
      <c r="F258" s="13"/>
      <c r="G258" s="13" t="s">
        <v>74</v>
      </c>
      <c r="H258" s="13" t="s">
        <v>75</v>
      </c>
      <c r="I258" s="13"/>
      <c r="J258" s="13"/>
      <c r="K258" s="15">
        <v>1.0</v>
      </c>
      <c r="L258" s="15">
        <v>1.0</v>
      </c>
      <c r="M258" s="16"/>
      <c r="N258" s="16"/>
      <c r="O258" s="17"/>
      <c r="P258" s="17"/>
      <c r="Q258" s="13"/>
      <c r="R258" s="13"/>
      <c r="S258" s="13"/>
      <c r="T258" s="13">
        <f t="shared" ref="T258:Y258" si="269">IF(ISBLANK(K258)=TRUE,0,1)</f>
        <v>1</v>
      </c>
      <c r="U258" s="13">
        <f t="shared" si="269"/>
        <v>1</v>
      </c>
      <c r="V258" s="13">
        <f t="shared" si="269"/>
        <v>0</v>
      </c>
      <c r="W258" s="13">
        <f t="shared" si="269"/>
        <v>0</v>
      </c>
      <c r="X258" s="13">
        <f t="shared" si="269"/>
        <v>0</v>
      </c>
      <c r="Y258" s="13">
        <f t="shared" si="269"/>
        <v>0</v>
      </c>
      <c r="Z258" s="13">
        <f t="shared" si="4"/>
        <v>1</v>
      </c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</row>
    <row r="259" ht="14.25" hidden="1" customHeight="1">
      <c r="A259" s="13" t="s">
        <v>29</v>
      </c>
      <c r="B259" s="13" t="s">
        <v>32</v>
      </c>
      <c r="C259" s="13" t="s">
        <v>311</v>
      </c>
      <c r="D259" s="13" t="s">
        <v>177</v>
      </c>
      <c r="E259" s="13" t="str">
        <f t="shared" si="2"/>
        <v>COHR,35-1-14,AD,1</v>
      </c>
      <c r="F259" s="13"/>
      <c r="G259" s="13" t="s">
        <v>74</v>
      </c>
      <c r="H259" s="13" t="s">
        <v>75</v>
      </c>
      <c r="I259" s="13"/>
      <c r="J259" s="13"/>
      <c r="K259" s="15">
        <v>1.0</v>
      </c>
      <c r="L259" s="15">
        <v>1.0</v>
      </c>
      <c r="M259" s="16"/>
      <c r="N259" s="16"/>
      <c r="O259" s="17"/>
      <c r="P259" s="17"/>
      <c r="Q259" s="13"/>
      <c r="R259" s="13"/>
      <c r="S259" s="13"/>
      <c r="T259" s="13">
        <f t="shared" ref="T259:Y259" si="270">IF(ISBLANK(K259)=TRUE,0,1)</f>
        <v>1</v>
      </c>
      <c r="U259" s="13">
        <f t="shared" si="270"/>
        <v>1</v>
      </c>
      <c r="V259" s="13">
        <f t="shared" si="270"/>
        <v>0</v>
      </c>
      <c r="W259" s="13">
        <f t="shared" si="270"/>
        <v>0</v>
      </c>
      <c r="X259" s="13">
        <f t="shared" si="270"/>
        <v>0</v>
      </c>
      <c r="Y259" s="13">
        <f t="shared" si="270"/>
        <v>0</v>
      </c>
      <c r="Z259" s="13">
        <f t="shared" si="4"/>
        <v>1</v>
      </c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</row>
    <row r="260" ht="14.25" hidden="1" customHeight="1">
      <c r="A260" s="13" t="s">
        <v>29</v>
      </c>
      <c r="B260" s="13" t="s">
        <v>32</v>
      </c>
      <c r="C260" s="13" t="s">
        <v>312</v>
      </c>
      <c r="D260" s="13"/>
      <c r="E260" s="13" t="str">
        <f t="shared" si="2"/>
        <v>COHR,35-1-15,,1</v>
      </c>
      <c r="F260" s="13"/>
      <c r="G260" s="13" t="s">
        <v>74</v>
      </c>
      <c r="H260" s="13" t="s">
        <v>75</v>
      </c>
      <c r="I260" s="14">
        <v>44915.0</v>
      </c>
      <c r="J260" s="14"/>
      <c r="K260" s="15"/>
      <c r="L260" s="15"/>
      <c r="M260" s="16"/>
      <c r="N260" s="16"/>
      <c r="O260" s="17">
        <v>1.0</v>
      </c>
      <c r="P260" s="17">
        <v>1.0</v>
      </c>
      <c r="Q260" s="13">
        <f>K259+L259+M259+N259+O259+P259/6</f>
        <v>2</v>
      </c>
      <c r="R260" s="13"/>
      <c r="S260" s="13"/>
      <c r="T260" s="13">
        <f t="shared" ref="T260:Y260" si="271">IF(ISBLANK(K260)=TRUE,0,1)</f>
        <v>0</v>
      </c>
      <c r="U260" s="13">
        <f t="shared" si="271"/>
        <v>0</v>
      </c>
      <c r="V260" s="13">
        <f t="shared" si="271"/>
        <v>0</v>
      </c>
      <c r="W260" s="13">
        <f t="shared" si="271"/>
        <v>0</v>
      </c>
      <c r="X260" s="13">
        <f t="shared" si="271"/>
        <v>1</v>
      </c>
      <c r="Y260" s="13">
        <f t="shared" si="271"/>
        <v>1</v>
      </c>
      <c r="Z260" s="13">
        <f t="shared" si="4"/>
        <v>1</v>
      </c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</row>
    <row r="261" ht="14.25" hidden="1" customHeight="1">
      <c r="A261" s="13" t="s">
        <v>29</v>
      </c>
      <c r="B261" s="13" t="s">
        <v>32</v>
      </c>
      <c r="C261" s="13" t="s">
        <v>312</v>
      </c>
      <c r="D261" s="13" t="s">
        <v>174</v>
      </c>
      <c r="E261" s="13" t="str">
        <f t="shared" si="2"/>
        <v>COHR,35-1-15,AA,1</v>
      </c>
      <c r="F261" s="13"/>
      <c r="G261" s="26" t="s">
        <v>74</v>
      </c>
      <c r="H261" s="13" t="s">
        <v>75</v>
      </c>
      <c r="I261" s="13"/>
      <c r="J261" s="13"/>
      <c r="K261" s="15"/>
      <c r="L261" s="15"/>
      <c r="M261" s="16"/>
      <c r="N261" s="16"/>
      <c r="O261" s="17">
        <v>1.0</v>
      </c>
      <c r="P261" s="17">
        <v>1.0</v>
      </c>
      <c r="Q261" s="13"/>
      <c r="R261" s="13"/>
      <c r="S261" s="13"/>
      <c r="T261" s="13">
        <f t="shared" ref="T261:Y261" si="272">IF(ISBLANK(K261)=TRUE,0,1)</f>
        <v>0</v>
      </c>
      <c r="U261" s="13">
        <f t="shared" si="272"/>
        <v>0</v>
      </c>
      <c r="V261" s="13">
        <f t="shared" si="272"/>
        <v>0</v>
      </c>
      <c r="W261" s="13">
        <f t="shared" si="272"/>
        <v>0</v>
      </c>
      <c r="X261" s="13">
        <f t="shared" si="272"/>
        <v>1</v>
      </c>
      <c r="Y261" s="13">
        <f t="shared" si="272"/>
        <v>1</v>
      </c>
      <c r="Z261" s="13">
        <f t="shared" si="4"/>
        <v>1</v>
      </c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</row>
    <row r="262" ht="14.25" hidden="1" customHeight="1">
      <c r="A262" s="13" t="s">
        <v>29</v>
      </c>
      <c r="B262" s="13" t="s">
        <v>32</v>
      </c>
      <c r="C262" s="13" t="s">
        <v>312</v>
      </c>
      <c r="D262" s="13" t="s">
        <v>175</v>
      </c>
      <c r="E262" s="13" t="str">
        <f t="shared" si="2"/>
        <v>COHR,35-1-15,AB,1</v>
      </c>
      <c r="F262" s="13"/>
      <c r="G262" s="26" t="s">
        <v>74</v>
      </c>
      <c r="H262" s="13" t="s">
        <v>75</v>
      </c>
      <c r="I262" s="13"/>
      <c r="J262" s="13"/>
      <c r="K262" s="15"/>
      <c r="L262" s="15"/>
      <c r="M262" s="16"/>
      <c r="N262" s="16"/>
      <c r="O262" s="17">
        <v>1.0</v>
      </c>
      <c r="P262" s="17">
        <v>1.0</v>
      </c>
      <c r="Q262" s="13"/>
      <c r="R262" s="13"/>
      <c r="S262" s="13"/>
      <c r="T262" s="13">
        <f t="shared" ref="T262:Y262" si="273">IF(ISBLANK(K262)=TRUE,0,1)</f>
        <v>0</v>
      </c>
      <c r="U262" s="13">
        <f t="shared" si="273"/>
        <v>0</v>
      </c>
      <c r="V262" s="13">
        <f t="shared" si="273"/>
        <v>0</v>
      </c>
      <c r="W262" s="13">
        <f t="shared" si="273"/>
        <v>0</v>
      </c>
      <c r="X262" s="13">
        <f t="shared" si="273"/>
        <v>1</v>
      </c>
      <c r="Y262" s="13">
        <f t="shared" si="273"/>
        <v>1</v>
      </c>
      <c r="Z262" s="13">
        <f t="shared" si="4"/>
        <v>1</v>
      </c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</row>
    <row r="263" ht="14.25" hidden="1" customHeight="1">
      <c r="A263" s="13" t="s">
        <v>29</v>
      </c>
      <c r="B263" s="13" t="s">
        <v>32</v>
      </c>
      <c r="C263" s="13" t="s">
        <v>312</v>
      </c>
      <c r="D263" s="13" t="s">
        <v>176</v>
      </c>
      <c r="E263" s="13" t="str">
        <f t="shared" si="2"/>
        <v>COHR,35-1-15,AC,1</v>
      </c>
      <c r="F263" s="13"/>
      <c r="G263" s="26" t="s">
        <v>74</v>
      </c>
      <c r="H263" s="13" t="s">
        <v>75</v>
      </c>
      <c r="I263" s="13"/>
      <c r="J263" s="13"/>
      <c r="K263" s="15"/>
      <c r="L263" s="15"/>
      <c r="M263" s="16"/>
      <c r="N263" s="16"/>
      <c r="O263" s="17">
        <v>1.0</v>
      </c>
      <c r="P263" s="17">
        <v>1.0</v>
      </c>
      <c r="Q263" s="13"/>
      <c r="R263" s="13"/>
      <c r="S263" s="13"/>
      <c r="T263" s="13">
        <f t="shared" ref="T263:Y263" si="274">IF(ISBLANK(K263)=TRUE,0,1)</f>
        <v>0</v>
      </c>
      <c r="U263" s="13">
        <f t="shared" si="274"/>
        <v>0</v>
      </c>
      <c r="V263" s="13">
        <f t="shared" si="274"/>
        <v>0</v>
      </c>
      <c r="W263" s="13">
        <f t="shared" si="274"/>
        <v>0</v>
      </c>
      <c r="X263" s="13">
        <f t="shared" si="274"/>
        <v>1</v>
      </c>
      <c r="Y263" s="13">
        <f t="shared" si="274"/>
        <v>1</v>
      </c>
      <c r="Z263" s="13">
        <f t="shared" si="4"/>
        <v>1</v>
      </c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</row>
    <row r="264" ht="14.25" hidden="1" customHeight="1">
      <c r="A264" s="13" t="s">
        <v>29</v>
      </c>
      <c r="B264" s="13" t="s">
        <v>32</v>
      </c>
      <c r="C264" s="13" t="s">
        <v>312</v>
      </c>
      <c r="D264" s="13" t="s">
        <v>177</v>
      </c>
      <c r="E264" s="13" t="str">
        <f t="shared" si="2"/>
        <v>COHR,35-1-15,AD,1</v>
      </c>
      <c r="F264" s="13"/>
      <c r="G264" s="13" t="s">
        <v>74</v>
      </c>
      <c r="H264" s="13" t="s">
        <v>75</v>
      </c>
      <c r="I264" s="13"/>
      <c r="J264" s="13"/>
      <c r="K264" s="15">
        <v>1.0</v>
      </c>
      <c r="L264" s="15">
        <v>1.0</v>
      </c>
      <c r="M264" s="16"/>
      <c r="N264" s="16"/>
      <c r="O264" s="17"/>
      <c r="P264" s="17"/>
      <c r="Q264" s="13"/>
      <c r="R264" s="13"/>
      <c r="S264" s="13"/>
      <c r="T264" s="13">
        <f t="shared" ref="T264:Y264" si="275">IF(ISBLANK(K264)=TRUE,0,1)</f>
        <v>1</v>
      </c>
      <c r="U264" s="13">
        <f t="shared" si="275"/>
        <v>1</v>
      </c>
      <c r="V264" s="13">
        <f t="shared" si="275"/>
        <v>0</v>
      </c>
      <c r="W264" s="13">
        <f t="shared" si="275"/>
        <v>0</v>
      </c>
      <c r="X264" s="13">
        <f t="shared" si="275"/>
        <v>0</v>
      </c>
      <c r="Y264" s="13">
        <f t="shared" si="275"/>
        <v>0</v>
      </c>
      <c r="Z264" s="13">
        <f t="shared" si="4"/>
        <v>1</v>
      </c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</row>
    <row r="265" ht="14.25" hidden="1" customHeight="1">
      <c r="A265" s="13" t="s">
        <v>29</v>
      </c>
      <c r="B265" s="13" t="s">
        <v>32</v>
      </c>
      <c r="C265" s="13" t="s">
        <v>312</v>
      </c>
      <c r="D265" s="13" t="s">
        <v>178</v>
      </c>
      <c r="E265" s="13" t="str">
        <f t="shared" si="2"/>
        <v>COHR,35-1-15,AE,1</v>
      </c>
      <c r="F265" s="13"/>
      <c r="G265" s="13" t="s">
        <v>74</v>
      </c>
      <c r="H265" s="13" t="s">
        <v>75</v>
      </c>
      <c r="I265" s="14">
        <v>44915.0</v>
      </c>
      <c r="J265" s="14"/>
      <c r="K265" s="15"/>
      <c r="L265" s="15"/>
      <c r="M265" s="16"/>
      <c r="N265" s="16"/>
      <c r="O265" s="17">
        <v>1.0</v>
      </c>
      <c r="P265" s="17">
        <v>1.0</v>
      </c>
      <c r="Q265" s="13">
        <f t="shared" ref="Q265:Q272" si="277">K264+L264+M264+N264+O264+P264/6</f>
        <v>2</v>
      </c>
      <c r="R265" s="13"/>
      <c r="S265" s="13"/>
      <c r="T265" s="13">
        <f t="shared" ref="T265:Y265" si="276">IF(ISBLANK(K265)=TRUE,0,1)</f>
        <v>0</v>
      </c>
      <c r="U265" s="13">
        <f t="shared" si="276"/>
        <v>0</v>
      </c>
      <c r="V265" s="13">
        <f t="shared" si="276"/>
        <v>0</v>
      </c>
      <c r="W265" s="13">
        <f t="shared" si="276"/>
        <v>0</v>
      </c>
      <c r="X265" s="13">
        <f t="shared" si="276"/>
        <v>1</v>
      </c>
      <c r="Y265" s="13">
        <f t="shared" si="276"/>
        <v>1</v>
      </c>
      <c r="Z265" s="13">
        <f t="shared" si="4"/>
        <v>1</v>
      </c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</row>
    <row r="266" ht="14.25" hidden="1" customHeight="1">
      <c r="A266" s="13" t="s">
        <v>29</v>
      </c>
      <c r="B266" s="13" t="s">
        <v>32</v>
      </c>
      <c r="C266" s="13" t="s">
        <v>312</v>
      </c>
      <c r="D266" s="13" t="s">
        <v>179</v>
      </c>
      <c r="E266" s="13" t="str">
        <f t="shared" si="2"/>
        <v>COHR,35-1-15,AF,1</v>
      </c>
      <c r="F266" s="13"/>
      <c r="G266" s="13" t="s">
        <v>74</v>
      </c>
      <c r="H266" s="13" t="s">
        <v>75</v>
      </c>
      <c r="I266" s="14">
        <v>44915.0</v>
      </c>
      <c r="J266" s="14"/>
      <c r="K266" s="15"/>
      <c r="L266" s="15"/>
      <c r="M266" s="16"/>
      <c r="N266" s="16"/>
      <c r="O266" s="17">
        <v>1.0</v>
      </c>
      <c r="P266" s="17">
        <v>1.0</v>
      </c>
      <c r="Q266" s="13">
        <f t="shared" si="277"/>
        <v>1.166666667</v>
      </c>
      <c r="R266" s="13"/>
      <c r="S266" s="13"/>
      <c r="T266" s="13">
        <f t="shared" ref="T266:Y266" si="278">IF(ISBLANK(K266)=TRUE,0,1)</f>
        <v>0</v>
      </c>
      <c r="U266" s="13">
        <f t="shared" si="278"/>
        <v>0</v>
      </c>
      <c r="V266" s="13">
        <f t="shared" si="278"/>
        <v>0</v>
      </c>
      <c r="W266" s="13">
        <f t="shared" si="278"/>
        <v>0</v>
      </c>
      <c r="X266" s="13">
        <f t="shared" si="278"/>
        <v>1</v>
      </c>
      <c r="Y266" s="13">
        <f t="shared" si="278"/>
        <v>1</v>
      </c>
      <c r="Z266" s="13">
        <f t="shared" si="4"/>
        <v>1</v>
      </c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</row>
    <row r="267" ht="14.25" hidden="1" customHeight="1">
      <c r="A267" s="13" t="s">
        <v>29</v>
      </c>
      <c r="B267" s="13" t="s">
        <v>32</v>
      </c>
      <c r="C267" s="13" t="s">
        <v>312</v>
      </c>
      <c r="D267" s="13" t="s">
        <v>180</v>
      </c>
      <c r="E267" s="13" t="str">
        <f t="shared" si="2"/>
        <v>COHR,35-1-15,AG,1</v>
      </c>
      <c r="F267" s="13"/>
      <c r="G267" s="13" t="s">
        <v>74</v>
      </c>
      <c r="H267" s="13" t="s">
        <v>75</v>
      </c>
      <c r="I267" s="14">
        <v>44915.0</v>
      </c>
      <c r="J267" s="14"/>
      <c r="K267" s="15"/>
      <c r="L267" s="15"/>
      <c r="M267" s="16"/>
      <c r="N267" s="16"/>
      <c r="O267" s="17">
        <v>1.0</v>
      </c>
      <c r="P267" s="17">
        <v>1.0</v>
      </c>
      <c r="Q267" s="13">
        <f t="shared" si="277"/>
        <v>1.166666667</v>
      </c>
      <c r="R267" s="13"/>
      <c r="S267" s="13"/>
      <c r="T267" s="13">
        <f t="shared" ref="T267:Y267" si="279">IF(ISBLANK(K267)=TRUE,0,1)</f>
        <v>0</v>
      </c>
      <c r="U267" s="13">
        <f t="shared" si="279"/>
        <v>0</v>
      </c>
      <c r="V267" s="13">
        <f t="shared" si="279"/>
        <v>0</v>
      </c>
      <c r="W267" s="13">
        <f t="shared" si="279"/>
        <v>0</v>
      </c>
      <c r="X267" s="13">
        <f t="shared" si="279"/>
        <v>1</v>
      </c>
      <c r="Y267" s="13">
        <f t="shared" si="279"/>
        <v>1</v>
      </c>
      <c r="Z267" s="13">
        <f t="shared" si="4"/>
        <v>1</v>
      </c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</row>
    <row r="268" ht="14.25" hidden="1" customHeight="1">
      <c r="A268" s="13" t="s">
        <v>29</v>
      </c>
      <c r="B268" s="13" t="s">
        <v>32</v>
      </c>
      <c r="C268" s="13" t="s">
        <v>312</v>
      </c>
      <c r="D268" s="13" t="s">
        <v>181</v>
      </c>
      <c r="E268" s="13" t="str">
        <f t="shared" si="2"/>
        <v>COHR,35-1-15,AH,1</v>
      </c>
      <c r="F268" s="13"/>
      <c r="G268" s="13" t="s">
        <v>74</v>
      </c>
      <c r="H268" s="13" t="s">
        <v>75</v>
      </c>
      <c r="I268" s="14">
        <v>44915.0</v>
      </c>
      <c r="J268" s="14"/>
      <c r="K268" s="15"/>
      <c r="L268" s="15"/>
      <c r="M268" s="16"/>
      <c r="N268" s="16"/>
      <c r="O268" s="17">
        <v>1.0</v>
      </c>
      <c r="P268" s="17">
        <v>1.0</v>
      </c>
      <c r="Q268" s="13">
        <f t="shared" si="277"/>
        <v>1.166666667</v>
      </c>
      <c r="R268" s="13"/>
      <c r="S268" s="13"/>
      <c r="T268" s="13">
        <f t="shared" ref="T268:Y268" si="280">IF(ISBLANK(K268)=TRUE,0,1)</f>
        <v>0</v>
      </c>
      <c r="U268" s="13">
        <f t="shared" si="280"/>
        <v>0</v>
      </c>
      <c r="V268" s="13">
        <f t="shared" si="280"/>
        <v>0</v>
      </c>
      <c r="W268" s="13">
        <f t="shared" si="280"/>
        <v>0</v>
      </c>
      <c r="X268" s="13">
        <f t="shared" si="280"/>
        <v>1</v>
      </c>
      <c r="Y268" s="13">
        <f t="shared" si="280"/>
        <v>1</v>
      </c>
      <c r="Z268" s="13">
        <f t="shared" si="4"/>
        <v>1</v>
      </c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</row>
    <row r="269" ht="14.25" hidden="1" customHeight="1">
      <c r="A269" s="13" t="s">
        <v>29</v>
      </c>
      <c r="B269" s="13" t="s">
        <v>32</v>
      </c>
      <c r="C269" s="13" t="s">
        <v>312</v>
      </c>
      <c r="D269" s="13" t="s">
        <v>182</v>
      </c>
      <c r="E269" s="13" t="str">
        <f t="shared" si="2"/>
        <v>COHR,35-1-15,AI,1</v>
      </c>
      <c r="F269" s="13"/>
      <c r="G269" s="13" t="s">
        <v>74</v>
      </c>
      <c r="H269" s="13" t="s">
        <v>75</v>
      </c>
      <c r="I269" s="14">
        <v>44915.0</v>
      </c>
      <c r="J269" s="14"/>
      <c r="K269" s="15"/>
      <c r="L269" s="15"/>
      <c r="M269" s="16"/>
      <c r="N269" s="16"/>
      <c r="O269" s="17">
        <v>1.0</v>
      </c>
      <c r="P269" s="17">
        <v>1.0</v>
      </c>
      <c r="Q269" s="13">
        <f t="shared" si="277"/>
        <v>1.166666667</v>
      </c>
      <c r="R269" s="13"/>
      <c r="S269" s="13"/>
      <c r="T269" s="13">
        <f t="shared" ref="T269:Y269" si="281">IF(ISBLANK(K269)=TRUE,0,1)</f>
        <v>0</v>
      </c>
      <c r="U269" s="13">
        <f t="shared" si="281"/>
        <v>0</v>
      </c>
      <c r="V269" s="13">
        <f t="shared" si="281"/>
        <v>0</v>
      </c>
      <c r="W269" s="13">
        <f t="shared" si="281"/>
        <v>0</v>
      </c>
      <c r="X269" s="13">
        <f t="shared" si="281"/>
        <v>1</v>
      </c>
      <c r="Y269" s="13">
        <f t="shared" si="281"/>
        <v>1</v>
      </c>
      <c r="Z269" s="13">
        <f t="shared" si="4"/>
        <v>1</v>
      </c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</row>
    <row r="270" ht="14.25" hidden="1" customHeight="1">
      <c r="A270" s="13" t="s">
        <v>29</v>
      </c>
      <c r="B270" s="13" t="s">
        <v>32</v>
      </c>
      <c r="C270" s="13" t="s">
        <v>312</v>
      </c>
      <c r="D270" s="13" t="s">
        <v>183</v>
      </c>
      <c r="E270" s="13" t="str">
        <f t="shared" si="2"/>
        <v>COHR,35-1-15,AJ,1</v>
      </c>
      <c r="F270" s="13"/>
      <c r="G270" s="13" t="s">
        <v>74</v>
      </c>
      <c r="H270" s="13" t="s">
        <v>75</v>
      </c>
      <c r="I270" s="14">
        <v>44915.0</v>
      </c>
      <c r="J270" s="14"/>
      <c r="K270" s="15"/>
      <c r="L270" s="15"/>
      <c r="M270" s="16"/>
      <c r="N270" s="16"/>
      <c r="O270" s="17">
        <v>1.0</v>
      </c>
      <c r="P270" s="17">
        <v>1.0</v>
      </c>
      <c r="Q270" s="13">
        <f t="shared" si="277"/>
        <v>1.166666667</v>
      </c>
      <c r="R270" s="13"/>
      <c r="S270" s="13"/>
      <c r="T270" s="13">
        <f t="shared" ref="T270:Y270" si="282">IF(ISBLANK(K270)=TRUE,0,1)</f>
        <v>0</v>
      </c>
      <c r="U270" s="13">
        <f t="shared" si="282"/>
        <v>0</v>
      </c>
      <c r="V270" s="13">
        <f t="shared" si="282"/>
        <v>0</v>
      </c>
      <c r="W270" s="13">
        <f t="shared" si="282"/>
        <v>0</v>
      </c>
      <c r="X270" s="13">
        <f t="shared" si="282"/>
        <v>1</v>
      </c>
      <c r="Y270" s="13">
        <f t="shared" si="282"/>
        <v>1</v>
      </c>
      <c r="Z270" s="13">
        <f t="shared" si="4"/>
        <v>1</v>
      </c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</row>
    <row r="271" ht="14.25" hidden="1" customHeight="1">
      <c r="A271" s="13" t="s">
        <v>29</v>
      </c>
      <c r="B271" s="13" t="s">
        <v>32</v>
      </c>
      <c r="C271" s="13" t="s">
        <v>312</v>
      </c>
      <c r="D271" s="13" t="s">
        <v>184</v>
      </c>
      <c r="E271" s="13" t="str">
        <f t="shared" si="2"/>
        <v>COHR,35-1-15,AK,1</v>
      </c>
      <c r="F271" s="13"/>
      <c r="G271" s="13" t="s">
        <v>74</v>
      </c>
      <c r="H271" s="13" t="s">
        <v>75</v>
      </c>
      <c r="I271" s="14">
        <v>44915.0</v>
      </c>
      <c r="J271" s="14"/>
      <c r="K271" s="15"/>
      <c r="L271" s="15"/>
      <c r="M271" s="16"/>
      <c r="N271" s="16"/>
      <c r="O271" s="17">
        <v>1.0</v>
      </c>
      <c r="P271" s="17">
        <v>1.0</v>
      </c>
      <c r="Q271" s="13">
        <f t="shared" si="277"/>
        <v>1.166666667</v>
      </c>
      <c r="R271" s="13"/>
      <c r="S271" s="13"/>
      <c r="T271" s="13">
        <f t="shared" ref="T271:Y271" si="283">IF(ISBLANK(K271)=TRUE,0,1)</f>
        <v>0</v>
      </c>
      <c r="U271" s="13">
        <f t="shared" si="283"/>
        <v>0</v>
      </c>
      <c r="V271" s="13">
        <f t="shared" si="283"/>
        <v>0</v>
      </c>
      <c r="W271" s="13">
        <f t="shared" si="283"/>
        <v>0</v>
      </c>
      <c r="X271" s="13">
        <f t="shared" si="283"/>
        <v>1</v>
      </c>
      <c r="Y271" s="13">
        <f t="shared" si="283"/>
        <v>1</v>
      </c>
      <c r="Z271" s="13">
        <f t="shared" si="4"/>
        <v>1</v>
      </c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</row>
    <row r="272" ht="14.25" hidden="1" customHeight="1">
      <c r="A272" s="13" t="s">
        <v>29</v>
      </c>
      <c r="B272" s="13" t="s">
        <v>32</v>
      </c>
      <c r="C272" s="13" t="s">
        <v>313</v>
      </c>
      <c r="D272" s="13"/>
      <c r="E272" s="13" t="str">
        <f t="shared" si="2"/>
        <v>COHR,35-1-16,,1</v>
      </c>
      <c r="F272" s="13"/>
      <c r="G272" s="13" t="s">
        <v>74</v>
      </c>
      <c r="H272" s="13" t="s">
        <v>75</v>
      </c>
      <c r="I272" s="14">
        <v>44915.0</v>
      </c>
      <c r="J272" s="14"/>
      <c r="K272" s="15"/>
      <c r="L272" s="15"/>
      <c r="M272" s="16"/>
      <c r="N272" s="16"/>
      <c r="O272" s="17">
        <v>1.0</v>
      </c>
      <c r="P272" s="17">
        <v>1.0</v>
      </c>
      <c r="Q272" s="13">
        <f t="shared" si="277"/>
        <v>1.166666667</v>
      </c>
      <c r="R272" s="13"/>
      <c r="S272" s="13"/>
      <c r="T272" s="13">
        <f t="shared" ref="T272:Y272" si="284">IF(ISBLANK(K272)=TRUE,0,1)</f>
        <v>0</v>
      </c>
      <c r="U272" s="13">
        <f t="shared" si="284"/>
        <v>0</v>
      </c>
      <c r="V272" s="13">
        <f t="shared" si="284"/>
        <v>0</v>
      </c>
      <c r="W272" s="13">
        <f t="shared" si="284"/>
        <v>0</v>
      </c>
      <c r="X272" s="13">
        <f t="shared" si="284"/>
        <v>1</v>
      </c>
      <c r="Y272" s="13">
        <f t="shared" si="284"/>
        <v>1</v>
      </c>
      <c r="Z272" s="13">
        <f t="shared" si="4"/>
        <v>1</v>
      </c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</row>
    <row r="273" ht="14.25" hidden="1" customHeight="1">
      <c r="A273" s="13" t="s">
        <v>29</v>
      </c>
      <c r="B273" s="13" t="s">
        <v>32</v>
      </c>
      <c r="C273" s="13" t="s">
        <v>313</v>
      </c>
      <c r="D273" s="13" t="s">
        <v>174</v>
      </c>
      <c r="E273" s="13" t="str">
        <f t="shared" si="2"/>
        <v>COHR,35-1-16,AA,1</v>
      </c>
      <c r="F273" s="13"/>
      <c r="G273" s="26" t="s">
        <v>74</v>
      </c>
      <c r="H273" s="13" t="s">
        <v>75</v>
      </c>
      <c r="I273" s="13"/>
      <c r="J273" s="13"/>
      <c r="K273" s="15"/>
      <c r="L273" s="15"/>
      <c r="M273" s="16"/>
      <c r="N273" s="16"/>
      <c r="O273" s="17">
        <v>1.0</v>
      </c>
      <c r="P273" s="17">
        <v>1.0</v>
      </c>
      <c r="Q273" s="13"/>
      <c r="R273" s="13"/>
      <c r="S273" s="13"/>
      <c r="T273" s="13">
        <f t="shared" ref="T273:Y273" si="285">IF(ISBLANK(K273)=TRUE,0,1)</f>
        <v>0</v>
      </c>
      <c r="U273" s="13">
        <f t="shared" si="285"/>
        <v>0</v>
      </c>
      <c r="V273" s="13">
        <f t="shared" si="285"/>
        <v>0</v>
      </c>
      <c r="W273" s="13">
        <f t="shared" si="285"/>
        <v>0</v>
      </c>
      <c r="X273" s="13">
        <f t="shared" si="285"/>
        <v>1</v>
      </c>
      <c r="Y273" s="13">
        <f t="shared" si="285"/>
        <v>1</v>
      </c>
      <c r="Z273" s="13">
        <f t="shared" si="4"/>
        <v>1</v>
      </c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</row>
    <row r="274" ht="14.25" hidden="1" customHeight="1">
      <c r="A274" s="13" t="s">
        <v>29</v>
      </c>
      <c r="B274" s="13" t="s">
        <v>32</v>
      </c>
      <c r="C274" s="13" t="s">
        <v>313</v>
      </c>
      <c r="D274" s="13" t="s">
        <v>175</v>
      </c>
      <c r="E274" s="13" t="str">
        <f t="shared" si="2"/>
        <v>COHR,35-1-16,AB,1</v>
      </c>
      <c r="F274" s="13"/>
      <c r="G274" s="26" t="s">
        <v>74</v>
      </c>
      <c r="H274" s="13" t="s">
        <v>75</v>
      </c>
      <c r="I274" s="13"/>
      <c r="J274" s="13"/>
      <c r="K274" s="15"/>
      <c r="L274" s="15"/>
      <c r="M274" s="16"/>
      <c r="N274" s="16"/>
      <c r="O274" s="17">
        <v>1.0</v>
      </c>
      <c r="P274" s="17">
        <v>1.0</v>
      </c>
      <c r="Q274" s="13"/>
      <c r="R274" s="13"/>
      <c r="S274" s="13"/>
      <c r="T274" s="13">
        <f t="shared" ref="T274:Y274" si="286">IF(ISBLANK(K274)=TRUE,0,1)</f>
        <v>0</v>
      </c>
      <c r="U274" s="13">
        <f t="shared" si="286"/>
        <v>0</v>
      </c>
      <c r="V274" s="13">
        <f t="shared" si="286"/>
        <v>0</v>
      </c>
      <c r="W274" s="13">
        <f t="shared" si="286"/>
        <v>0</v>
      </c>
      <c r="X274" s="13">
        <f t="shared" si="286"/>
        <v>1</v>
      </c>
      <c r="Y274" s="13">
        <f t="shared" si="286"/>
        <v>1</v>
      </c>
      <c r="Z274" s="13">
        <f t="shared" si="4"/>
        <v>1</v>
      </c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</row>
    <row r="275" ht="14.25" hidden="1" customHeight="1">
      <c r="A275" s="13" t="s">
        <v>29</v>
      </c>
      <c r="B275" s="13" t="s">
        <v>32</v>
      </c>
      <c r="C275" s="13" t="s">
        <v>313</v>
      </c>
      <c r="D275" s="13" t="s">
        <v>176</v>
      </c>
      <c r="E275" s="13" t="str">
        <f t="shared" si="2"/>
        <v>COHR,35-1-16,AC,1</v>
      </c>
      <c r="F275" s="13"/>
      <c r="G275" s="26" t="s">
        <v>74</v>
      </c>
      <c r="H275" s="13" t="s">
        <v>75</v>
      </c>
      <c r="I275" s="13"/>
      <c r="J275" s="13"/>
      <c r="K275" s="15"/>
      <c r="L275" s="15"/>
      <c r="M275" s="16"/>
      <c r="N275" s="16"/>
      <c r="O275" s="17">
        <v>1.0</v>
      </c>
      <c r="P275" s="17">
        <v>1.0</v>
      </c>
      <c r="Q275" s="13"/>
      <c r="R275" s="13"/>
      <c r="S275" s="13"/>
      <c r="T275" s="13">
        <f t="shared" ref="T275:Y275" si="287">IF(ISBLANK(K275)=TRUE,0,1)</f>
        <v>0</v>
      </c>
      <c r="U275" s="13">
        <f t="shared" si="287"/>
        <v>0</v>
      </c>
      <c r="V275" s="13">
        <f t="shared" si="287"/>
        <v>0</v>
      </c>
      <c r="W275" s="13">
        <f t="shared" si="287"/>
        <v>0</v>
      </c>
      <c r="X275" s="13">
        <f t="shared" si="287"/>
        <v>1</v>
      </c>
      <c r="Y275" s="13">
        <f t="shared" si="287"/>
        <v>1</v>
      </c>
      <c r="Z275" s="13">
        <f t="shared" si="4"/>
        <v>1</v>
      </c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</row>
    <row r="276" ht="14.25" hidden="1" customHeight="1">
      <c r="A276" s="13" t="s">
        <v>29</v>
      </c>
      <c r="B276" s="13" t="s">
        <v>32</v>
      </c>
      <c r="C276" s="13" t="s">
        <v>314</v>
      </c>
      <c r="D276" s="13"/>
      <c r="E276" s="13" t="str">
        <f t="shared" si="2"/>
        <v>COHR,35-1-17,,1</v>
      </c>
      <c r="F276" s="13"/>
      <c r="G276" s="13" t="s">
        <v>74</v>
      </c>
      <c r="H276" s="13" t="s">
        <v>75</v>
      </c>
      <c r="I276" s="14">
        <v>44915.0</v>
      </c>
      <c r="J276" s="14"/>
      <c r="K276" s="15"/>
      <c r="L276" s="15"/>
      <c r="M276" s="16"/>
      <c r="N276" s="16"/>
      <c r="O276" s="17">
        <v>1.0</v>
      </c>
      <c r="P276" s="17">
        <v>1.0</v>
      </c>
      <c r="Q276" s="13">
        <f>K275+L275+M275+N275+O275+P275/6</f>
        <v>1.166666667</v>
      </c>
      <c r="R276" s="13"/>
      <c r="S276" s="13"/>
      <c r="T276" s="13">
        <f t="shared" ref="T276:Y276" si="288">IF(ISBLANK(K276)=TRUE,0,1)</f>
        <v>0</v>
      </c>
      <c r="U276" s="13">
        <f t="shared" si="288"/>
        <v>0</v>
      </c>
      <c r="V276" s="13">
        <f t="shared" si="288"/>
        <v>0</v>
      </c>
      <c r="W276" s="13">
        <f t="shared" si="288"/>
        <v>0</v>
      </c>
      <c r="X276" s="13">
        <f t="shared" si="288"/>
        <v>1</v>
      </c>
      <c r="Y276" s="13">
        <f t="shared" si="288"/>
        <v>1</v>
      </c>
      <c r="Z276" s="13">
        <f t="shared" si="4"/>
        <v>1</v>
      </c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</row>
    <row r="277" ht="14.25" hidden="1" customHeight="1">
      <c r="A277" s="13" t="s">
        <v>29</v>
      </c>
      <c r="B277" s="13" t="s">
        <v>32</v>
      </c>
      <c r="C277" s="13" t="s">
        <v>314</v>
      </c>
      <c r="D277" s="13" t="s">
        <v>174</v>
      </c>
      <c r="E277" s="13" t="str">
        <f t="shared" si="2"/>
        <v>COHR,35-1-17,AA,1</v>
      </c>
      <c r="F277" s="13"/>
      <c r="G277" s="26" t="s">
        <v>74</v>
      </c>
      <c r="H277" s="13" t="s">
        <v>75</v>
      </c>
      <c r="I277" s="13"/>
      <c r="J277" s="13"/>
      <c r="K277" s="15"/>
      <c r="L277" s="15"/>
      <c r="M277" s="16"/>
      <c r="N277" s="16"/>
      <c r="O277" s="17">
        <v>1.0</v>
      </c>
      <c r="P277" s="17">
        <v>1.0</v>
      </c>
      <c r="Q277" s="13"/>
      <c r="R277" s="13"/>
      <c r="S277" s="13"/>
      <c r="T277" s="13">
        <f t="shared" ref="T277:Y277" si="289">IF(ISBLANK(K277)=TRUE,0,1)</f>
        <v>0</v>
      </c>
      <c r="U277" s="13">
        <f t="shared" si="289"/>
        <v>0</v>
      </c>
      <c r="V277" s="13">
        <f t="shared" si="289"/>
        <v>0</v>
      </c>
      <c r="W277" s="13">
        <f t="shared" si="289"/>
        <v>0</v>
      </c>
      <c r="X277" s="13">
        <f t="shared" si="289"/>
        <v>1</v>
      </c>
      <c r="Y277" s="13">
        <f t="shared" si="289"/>
        <v>1</v>
      </c>
      <c r="Z277" s="13">
        <f t="shared" si="4"/>
        <v>1</v>
      </c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</row>
    <row r="278" ht="14.25" hidden="1" customHeight="1">
      <c r="A278" s="13" t="s">
        <v>29</v>
      </c>
      <c r="B278" s="13" t="s">
        <v>32</v>
      </c>
      <c r="C278" s="13" t="s">
        <v>314</v>
      </c>
      <c r="D278" s="13" t="s">
        <v>175</v>
      </c>
      <c r="E278" s="13" t="str">
        <f t="shared" si="2"/>
        <v>COHR,35-1-17,AB,1</v>
      </c>
      <c r="F278" s="13"/>
      <c r="G278" s="26" t="s">
        <v>74</v>
      </c>
      <c r="H278" s="13" t="s">
        <v>75</v>
      </c>
      <c r="I278" s="13"/>
      <c r="J278" s="13"/>
      <c r="K278" s="15"/>
      <c r="L278" s="15"/>
      <c r="M278" s="16"/>
      <c r="N278" s="16"/>
      <c r="O278" s="17">
        <v>1.0</v>
      </c>
      <c r="P278" s="17">
        <v>1.0</v>
      </c>
      <c r="Q278" s="13"/>
      <c r="R278" s="13"/>
      <c r="S278" s="13"/>
      <c r="T278" s="13">
        <f t="shared" ref="T278:Y278" si="290">IF(ISBLANK(K278)=TRUE,0,1)</f>
        <v>0</v>
      </c>
      <c r="U278" s="13">
        <f t="shared" si="290"/>
        <v>0</v>
      </c>
      <c r="V278" s="13">
        <f t="shared" si="290"/>
        <v>0</v>
      </c>
      <c r="W278" s="13">
        <f t="shared" si="290"/>
        <v>0</v>
      </c>
      <c r="X278" s="13">
        <f t="shared" si="290"/>
        <v>1</v>
      </c>
      <c r="Y278" s="13">
        <f t="shared" si="290"/>
        <v>1</v>
      </c>
      <c r="Z278" s="13">
        <f t="shared" si="4"/>
        <v>1</v>
      </c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</row>
    <row r="279" ht="14.25" hidden="1" customHeight="1">
      <c r="A279" s="13" t="s">
        <v>29</v>
      </c>
      <c r="B279" s="13" t="s">
        <v>32</v>
      </c>
      <c r="C279" s="13" t="s">
        <v>315</v>
      </c>
      <c r="D279" s="13"/>
      <c r="E279" s="13" t="str">
        <f t="shared" si="2"/>
        <v>COHR,35-1-18,,0.5</v>
      </c>
      <c r="F279" s="13"/>
      <c r="G279" s="13" t="s">
        <v>74</v>
      </c>
      <c r="H279" s="13" t="s">
        <v>75</v>
      </c>
      <c r="I279" s="14">
        <v>44915.0</v>
      </c>
      <c r="J279" s="14"/>
      <c r="K279" s="15"/>
      <c r="L279" s="15"/>
      <c r="M279" s="16"/>
      <c r="N279" s="16"/>
      <c r="O279" s="17">
        <v>1.0</v>
      </c>
      <c r="P279" s="17">
        <v>0.0</v>
      </c>
      <c r="Q279" s="13">
        <f>K278+L278+M278+N278+O278+P278/6</f>
        <v>1.166666667</v>
      </c>
      <c r="R279" s="13"/>
      <c r="S279" s="13"/>
      <c r="T279" s="13">
        <f t="shared" ref="T279:Y279" si="291">IF(ISBLANK(K279)=TRUE,0,1)</f>
        <v>0</v>
      </c>
      <c r="U279" s="13">
        <f t="shared" si="291"/>
        <v>0</v>
      </c>
      <c r="V279" s="13">
        <f t="shared" si="291"/>
        <v>0</v>
      </c>
      <c r="W279" s="13">
        <f t="shared" si="291"/>
        <v>0</v>
      </c>
      <c r="X279" s="13">
        <f t="shared" si="291"/>
        <v>1</v>
      </c>
      <c r="Y279" s="13">
        <f t="shared" si="291"/>
        <v>1</v>
      </c>
      <c r="Z279" s="13">
        <f t="shared" si="4"/>
        <v>0.5</v>
      </c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</row>
    <row r="280" ht="14.25" hidden="1" customHeight="1">
      <c r="A280" s="13" t="s">
        <v>29</v>
      </c>
      <c r="B280" s="13" t="s">
        <v>32</v>
      </c>
      <c r="C280" s="13" t="s">
        <v>315</v>
      </c>
      <c r="D280" s="13" t="s">
        <v>174</v>
      </c>
      <c r="E280" s="13" t="str">
        <f t="shared" si="2"/>
        <v>COHR,35-1-18,AA,0.5</v>
      </c>
      <c r="F280" s="13"/>
      <c r="G280" s="26" t="s">
        <v>74</v>
      </c>
      <c r="H280" s="13" t="s">
        <v>75</v>
      </c>
      <c r="I280" s="13"/>
      <c r="J280" s="13"/>
      <c r="K280" s="15"/>
      <c r="L280" s="15"/>
      <c r="M280" s="16"/>
      <c r="N280" s="16"/>
      <c r="O280" s="17">
        <v>1.0</v>
      </c>
      <c r="P280" s="17">
        <v>0.0</v>
      </c>
      <c r="Q280" s="13"/>
      <c r="R280" s="13"/>
      <c r="S280" s="13"/>
      <c r="T280" s="13">
        <f t="shared" ref="T280:Y280" si="292">IF(ISBLANK(K280)=TRUE,0,1)</f>
        <v>0</v>
      </c>
      <c r="U280" s="13">
        <f t="shared" si="292"/>
        <v>0</v>
      </c>
      <c r="V280" s="13">
        <f t="shared" si="292"/>
        <v>0</v>
      </c>
      <c r="W280" s="13">
        <f t="shared" si="292"/>
        <v>0</v>
      </c>
      <c r="X280" s="13">
        <f t="shared" si="292"/>
        <v>1</v>
      </c>
      <c r="Y280" s="13">
        <f t="shared" si="292"/>
        <v>1</v>
      </c>
      <c r="Z280" s="13">
        <f t="shared" si="4"/>
        <v>0.5</v>
      </c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</row>
    <row r="281" ht="14.25" hidden="1" customHeight="1">
      <c r="A281" s="13" t="s">
        <v>29</v>
      </c>
      <c r="B281" s="13" t="s">
        <v>32</v>
      </c>
      <c r="C281" s="13" t="s">
        <v>315</v>
      </c>
      <c r="D281" s="13" t="s">
        <v>175</v>
      </c>
      <c r="E281" s="13" t="str">
        <f t="shared" si="2"/>
        <v>COHR,35-1-18,AB,0.5</v>
      </c>
      <c r="F281" s="13"/>
      <c r="G281" s="26" t="s">
        <v>74</v>
      </c>
      <c r="H281" s="13" t="s">
        <v>75</v>
      </c>
      <c r="I281" s="13"/>
      <c r="J281" s="13"/>
      <c r="K281" s="15"/>
      <c r="L281" s="15"/>
      <c r="M281" s="16"/>
      <c r="N281" s="16"/>
      <c r="O281" s="17">
        <v>1.0</v>
      </c>
      <c r="P281" s="17">
        <v>0.0</v>
      </c>
      <c r="Q281" s="13"/>
      <c r="R281" s="13"/>
      <c r="S281" s="13"/>
      <c r="T281" s="13">
        <f t="shared" ref="T281:Y281" si="293">IF(ISBLANK(K281)=TRUE,0,1)</f>
        <v>0</v>
      </c>
      <c r="U281" s="13">
        <f t="shared" si="293"/>
        <v>0</v>
      </c>
      <c r="V281" s="13">
        <f t="shared" si="293"/>
        <v>0</v>
      </c>
      <c r="W281" s="13">
        <f t="shared" si="293"/>
        <v>0</v>
      </c>
      <c r="X281" s="13">
        <f t="shared" si="293"/>
        <v>1</v>
      </c>
      <c r="Y281" s="13">
        <f t="shared" si="293"/>
        <v>1</v>
      </c>
      <c r="Z281" s="13">
        <f t="shared" si="4"/>
        <v>0.5</v>
      </c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</row>
    <row r="282" ht="14.25" hidden="1" customHeight="1">
      <c r="A282" s="13" t="s">
        <v>29</v>
      </c>
      <c r="B282" s="13" t="s">
        <v>32</v>
      </c>
      <c r="C282" s="13" t="s">
        <v>316</v>
      </c>
      <c r="D282" s="13"/>
      <c r="E282" s="13" t="str">
        <f t="shared" si="2"/>
        <v>COHR,35-1-19,,0</v>
      </c>
      <c r="F282" s="13"/>
      <c r="G282" s="13" t="s">
        <v>74</v>
      </c>
      <c r="H282" s="13" t="s">
        <v>75</v>
      </c>
      <c r="I282" s="14">
        <v>44915.0</v>
      </c>
      <c r="J282" s="14"/>
      <c r="K282" s="15"/>
      <c r="L282" s="15"/>
      <c r="M282" s="16"/>
      <c r="N282" s="16"/>
      <c r="O282" s="17">
        <v>0.0</v>
      </c>
      <c r="P282" s="17">
        <v>0.0</v>
      </c>
      <c r="Q282" s="13">
        <f>K281+L281+M281+N281+O281+P281/6</f>
        <v>1</v>
      </c>
      <c r="R282" s="13"/>
      <c r="S282" s="13"/>
      <c r="T282" s="13">
        <f t="shared" ref="T282:Y282" si="294">IF(ISBLANK(K282)=TRUE,0,1)</f>
        <v>0</v>
      </c>
      <c r="U282" s="13">
        <f t="shared" si="294"/>
        <v>0</v>
      </c>
      <c r="V282" s="13">
        <f t="shared" si="294"/>
        <v>0</v>
      </c>
      <c r="W282" s="13">
        <f t="shared" si="294"/>
        <v>0</v>
      </c>
      <c r="X282" s="13">
        <f t="shared" si="294"/>
        <v>1</v>
      </c>
      <c r="Y282" s="13">
        <f t="shared" si="294"/>
        <v>1</v>
      </c>
      <c r="Z282" s="13">
        <f t="shared" si="4"/>
        <v>0</v>
      </c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</row>
    <row r="283" ht="14.25" hidden="1" customHeight="1">
      <c r="A283" s="13" t="s">
        <v>29</v>
      </c>
      <c r="B283" s="13" t="s">
        <v>32</v>
      </c>
      <c r="C283" s="13" t="s">
        <v>316</v>
      </c>
      <c r="D283" s="13" t="s">
        <v>174</v>
      </c>
      <c r="E283" s="13" t="str">
        <f t="shared" si="2"/>
        <v>COHR,35-1-19,AA,NA</v>
      </c>
      <c r="F283" s="13"/>
      <c r="G283" s="26" t="s">
        <v>74</v>
      </c>
      <c r="H283" s="13" t="s">
        <v>75</v>
      </c>
      <c r="I283" s="13"/>
      <c r="J283" s="13"/>
      <c r="K283" s="15"/>
      <c r="L283" s="15"/>
      <c r="M283" s="16"/>
      <c r="N283" s="16"/>
      <c r="O283" s="17"/>
      <c r="P283" s="17"/>
      <c r="Q283" s="13"/>
      <c r="R283" s="13"/>
      <c r="S283" s="13"/>
      <c r="T283" s="13">
        <f t="shared" ref="T283:Y283" si="295">IF(ISBLANK(K283)=TRUE,0,1)</f>
        <v>0</v>
      </c>
      <c r="U283" s="13">
        <f t="shared" si="295"/>
        <v>0</v>
      </c>
      <c r="V283" s="13">
        <f t="shared" si="295"/>
        <v>0</v>
      </c>
      <c r="W283" s="13">
        <f t="shared" si="295"/>
        <v>0</v>
      </c>
      <c r="X283" s="13">
        <f t="shared" si="295"/>
        <v>0</v>
      </c>
      <c r="Y283" s="13">
        <f t="shared" si="295"/>
        <v>0</v>
      </c>
      <c r="Z283" s="13" t="str">
        <f t="shared" si="4"/>
        <v>NA</v>
      </c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</row>
    <row r="284" ht="14.25" hidden="1" customHeight="1">
      <c r="A284" s="13" t="s">
        <v>29</v>
      </c>
      <c r="B284" s="13" t="s">
        <v>32</v>
      </c>
      <c r="C284" s="13" t="s">
        <v>316</v>
      </c>
      <c r="D284" s="13" t="s">
        <v>175</v>
      </c>
      <c r="E284" s="13" t="str">
        <f t="shared" si="2"/>
        <v>COHR,35-1-19,AB,NA</v>
      </c>
      <c r="F284" s="13"/>
      <c r="G284" s="26" t="s">
        <v>74</v>
      </c>
      <c r="H284" s="13" t="s">
        <v>75</v>
      </c>
      <c r="I284" s="13"/>
      <c r="J284" s="13"/>
      <c r="K284" s="15"/>
      <c r="L284" s="15"/>
      <c r="M284" s="16"/>
      <c r="N284" s="16"/>
      <c r="O284" s="17"/>
      <c r="P284" s="17"/>
      <c r="Q284" s="13"/>
      <c r="R284" s="13"/>
      <c r="S284" s="13"/>
      <c r="T284" s="13">
        <f t="shared" ref="T284:Y284" si="296">IF(ISBLANK(K284)=TRUE,0,1)</f>
        <v>0</v>
      </c>
      <c r="U284" s="13">
        <f t="shared" si="296"/>
        <v>0</v>
      </c>
      <c r="V284" s="13">
        <f t="shared" si="296"/>
        <v>0</v>
      </c>
      <c r="W284" s="13">
        <f t="shared" si="296"/>
        <v>0</v>
      </c>
      <c r="X284" s="13">
        <f t="shared" si="296"/>
        <v>0</v>
      </c>
      <c r="Y284" s="13">
        <f t="shared" si="296"/>
        <v>0</v>
      </c>
      <c r="Z284" s="13" t="str">
        <f t="shared" si="4"/>
        <v>NA</v>
      </c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</row>
    <row r="285" ht="14.25" hidden="1" customHeight="1">
      <c r="A285" s="13" t="s">
        <v>29</v>
      </c>
      <c r="B285" s="13" t="s">
        <v>32</v>
      </c>
      <c r="C285" s="13" t="s">
        <v>317</v>
      </c>
      <c r="D285" s="13"/>
      <c r="E285" s="13" t="str">
        <f t="shared" si="2"/>
        <v>COHR,35-1-2,,NA</v>
      </c>
      <c r="F285" s="13"/>
      <c r="G285" s="13" t="s">
        <v>74</v>
      </c>
      <c r="H285" s="13" t="s">
        <v>75</v>
      </c>
      <c r="I285" s="14">
        <v>44915.0</v>
      </c>
      <c r="J285" s="14"/>
      <c r="K285" s="15"/>
      <c r="L285" s="15"/>
      <c r="M285" s="16"/>
      <c r="N285" s="16"/>
      <c r="O285" s="17"/>
      <c r="P285" s="17"/>
      <c r="Q285" s="13">
        <f>K284+L284+M284+N284+O284+P284/6</f>
        <v>0</v>
      </c>
      <c r="R285" s="13"/>
      <c r="S285" s="13"/>
      <c r="T285" s="13">
        <f t="shared" ref="T285:Y285" si="297">IF(ISBLANK(K285)=TRUE,0,1)</f>
        <v>0</v>
      </c>
      <c r="U285" s="13">
        <f t="shared" si="297"/>
        <v>0</v>
      </c>
      <c r="V285" s="13">
        <f t="shared" si="297"/>
        <v>0</v>
      </c>
      <c r="W285" s="13">
        <f t="shared" si="297"/>
        <v>0</v>
      </c>
      <c r="X285" s="13">
        <f t="shared" si="297"/>
        <v>0</v>
      </c>
      <c r="Y285" s="13">
        <f t="shared" si="297"/>
        <v>0</v>
      </c>
      <c r="Z285" s="13" t="str">
        <f t="shared" si="4"/>
        <v>NA</v>
      </c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</row>
    <row r="286" ht="14.25" hidden="1" customHeight="1">
      <c r="A286" s="13" t="s">
        <v>29</v>
      </c>
      <c r="B286" s="13" t="s">
        <v>32</v>
      </c>
      <c r="C286" s="13" t="s">
        <v>317</v>
      </c>
      <c r="D286" s="13" t="s">
        <v>174</v>
      </c>
      <c r="E286" s="13" t="str">
        <f t="shared" si="2"/>
        <v>COHR,35-1-2,AA,0</v>
      </c>
      <c r="F286" s="13"/>
      <c r="G286" s="26" t="s">
        <v>74</v>
      </c>
      <c r="H286" s="13" t="s">
        <v>75</v>
      </c>
      <c r="I286" s="13"/>
      <c r="J286" s="13"/>
      <c r="K286" s="15"/>
      <c r="L286" s="15"/>
      <c r="M286" s="16"/>
      <c r="N286" s="16"/>
      <c r="O286" s="17">
        <v>0.0</v>
      </c>
      <c r="P286" s="17">
        <v>0.0</v>
      </c>
      <c r="Q286" s="13"/>
      <c r="R286" s="13"/>
      <c r="S286" s="13"/>
      <c r="T286" s="13">
        <f t="shared" ref="T286:Y286" si="298">IF(ISBLANK(K286)=TRUE,0,1)</f>
        <v>0</v>
      </c>
      <c r="U286" s="13">
        <f t="shared" si="298"/>
        <v>0</v>
      </c>
      <c r="V286" s="13">
        <f t="shared" si="298"/>
        <v>0</v>
      </c>
      <c r="W286" s="13">
        <f t="shared" si="298"/>
        <v>0</v>
      </c>
      <c r="X286" s="13">
        <f t="shared" si="298"/>
        <v>1</v>
      </c>
      <c r="Y286" s="13">
        <f t="shared" si="298"/>
        <v>1</v>
      </c>
      <c r="Z286" s="13">
        <f t="shared" si="4"/>
        <v>0</v>
      </c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</row>
    <row r="287" ht="14.25" hidden="1" customHeight="1">
      <c r="A287" s="13" t="s">
        <v>29</v>
      </c>
      <c r="B287" s="13" t="s">
        <v>32</v>
      </c>
      <c r="C287" s="13" t="s">
        <v>317</v>
      </c>
      <c r="D287" s="13" t="s">
        <v>175</v>
      </c>
      <c r="E287" s="13" t="str">
        <f t="shared" si="2"/>
        <v>COHR,35-1-2,AB,0</v>
      </c>
      <c r="F287" s="13"/>
      <c r="G287" s="26" t="s">
        <v>74</v>
      </c>
      <c r="H287" s="13" t="s">
        <v>75</v>
      </c>
      <c r="I287" s="13"/>
      <c r="J287" s="13"/>
      <c r="K287" s="15"/>
      <c r="L287" s="15"/>
      <c r="M287" s="16"/>
      <c r="N287" s="16"/>
      <c r="O287" s="17">
        <v>0.0</v>
      </c>
      <c r="P287" s="17">
        <v>0.0</v>
      </c>
      <c r="Q287" s="13"/>
      <c r="R287" s="13"/>
      <c r="S287" s="13"/>
      <c r="T287" s="13">
        <f t="shared" ref="T287:Y287" si="299">IF(ISBLANK(K287)=TRUE,0,1)</f>
        <v>0</v>
      </c>
      <c r="U287" s="13">
        <f t="shared" si="299"/>
        <v>0</v>
      </c>
      <c r="V287" s="13">
        <f t="shared" si="299"/>
        <v>0</v>
      </c>
      <c r="W287" s="13">
        <f t="shared" si="299"/>
        <v>0</v>
      </c>
      <c r="X287" s="13">
        <f t="shared" si="299"/>
        <v>1</v>
      </c>
      <c r="Y287" s="13">
        <f t="shared" si="299"/>
        <v>1</v>
      </c>
      <c r="Z287" s="13">
        <f t="shared" si="4"/>
        <v>0</v>
      </c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</row>
    <row r="288" ht="14.25" hidden="1" customHeight="1">
      <c r="A288" s="13" t="s">
        <v>29</v>
      </c>
      <c r="B288" s="13" t="s">
        <v>32</v>
      </c>
      <c r="C288" s="13" t="s">
        <v>317</v>
      </c>
      <c r="D288" s="13" t="s">
        <v>176</v>
      </c>
      <c r="E288" s="13" t="str">
        <f t="shared" si="2"/>
        <v>COHR,35-1-2,AC,0</v>
      </c>
      <c r="F288" s="13"/>
      <c r="G288" s="26" t="s">
        <v>74</v>
      </c>
      <c r="H288" s="13" t="s">
        <v>75</v>
      </c>
      <c r="I288" s="13"/>
      <c r="J288" s="13"/>
      <c r="K288" s="15"/>
      <c r="L288" s="15"/>
      <c r="M288" s="16"/>
      <c r="N288" s="16"/>
      <c r="O288" s="17">
        <v>0.0</v>
      </c>
      <c r="P288" s="17">
        <v>0.0</v>
      </c>
      <c r="Q288" s="13"/>
      <c r="R288" s="13"/>
      <c r="S288" s="13"/>
      <c r="T288" s="13">
        <f t="shared" ref="T288:Y288" si="300">IF(ISBLANK(K288)=TRUE,0,1)</f>
        <v>0</v>
      </c>
      <c r="U288" s="13">
        <f t="shared" si="300"/>
        <v>0</v>
      </c>
      <c r="V288" s="13">
        <f t="shared" si="300"/>
        <v>0</v>
      </c>
      <c r="W288" s="13">
        <f t="shared" si="300"/>
        <v>0</v>
      </c>
      <c r="X288" s="13">
        <f t="shared" si="300"/>
        <v>1</v>
      </c>
      <c r="Y288" s="13">
        <f t="shared" si="300"/>
        <v>1</v>
      </c>
      <c r="Z288" s="13">
        <f t="shared" si="4"/>
        <v>0</v>
      </c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</row>
    <row r="289" ht="14.25" hidden="1" customHeight="1">
      <c r="A289" s="13" t="s">
        <v>29</v>
      </c>
      <c r="B289" s="13" t="s">
        <v>32</v>
      </c>
      <c r="C289" s="13" t="s">
        <v>318</v>
      </c>
      <c r="D289" s="13"/>
      <c r="E289" s="13" t="str">
        <f t="shared" si="2"/>
        <v>COHR,35-1-20,,1</v>
      </c>
      <c r="F289" s="13"/>
      <c r="G289" s="13" t="s">
        <v>74</v>
      </c>
      <c r="H289" s="13" t="s">
        <v>75</v>
      </c>
      <c r="I289" s="14">
        <v>44915.0</v>
      </c>
      <c r="J289" s="14"/>
      <c r="K289" s="15"/>
      <c r="L289" s="15"/>
      <c r="M289" s="16"/>
      <c r="N289" s="16"/>
      <c r="O289" s="17">
        <v>1.0</v>
      </c>
      <c r="P289" s="17">
        <v>1.0</v>
      </c>
      <c r="Q289" s="13">
        <f>K288+L288+M288+N288+O288+P288/6</f>
        <v>0</v>
      </c>
      <c r="R289" s="13"/>
      <c r="S289" s="13"/>
      <c r="T289" s="13">
        <f t="shared" ref="T289:Y289" si="301">IF(ISBLANK(K289)=TRUE,0,1)</f>
        <v>0</v>
      </c>
      <c r="U289" s="13">
        <f t="shared" si="301"/>
        <v>0</v>
      </c>
      <c r="V289" s="13">
        <f t="shared" si="301"/>
        <v>0</v>
      </c>
      <c r="W289" s="13">
        <f t="shared" si="301"/>
        <v>0</v>
      </c>
      <c r="X289" s="13">
        <f t="shared" si="301"/>
        <v>1</v>
      </c>
      <c r="Y289" s="13">
        <f t="shared" si="301"/>
        <v>1</v>
      </c>
      <c r="Z289" s="13">
        <f t="shared" si="4"/>
        <v>1</v>
      </c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</row>
    <row r="290" ht="14.25" hidden="1" customHeight="1">
      <c r="A290" s="13" t="s">
        <v>29</v>
      </c>
      <c r="B290" s="13" t="s">
        <v>32</v>
      </c>
      <c r="C290" s="13" t="s">
        <v>318</v>
      </c>
      <c r="D290" s="13" t="s">
        <v>174</v>
      </c>
      <c r="E290" s="13" t="str">
        <f t="shared" si="2"/>
        <v>COHR,35-1-20,AA,1</v>
      </c>
      <c r="F290" s="13"/>
      <c r="G290" s="26" t="s">
        <v>74</v>
      </c>
      <c r="H290" s="13" t="s">
        <v>75</v>
      </c>
      <c r="I290" s="13"/>
      <c r="J290" s="13"/>
      <c r="K290" s="15"/>
      <c r="L290" s="15"/>
      <c r="M290" s="16"/>
      <c r="N290" s="16"/>
      <c r="O290" s="17">
        <v>1.0</v>
      </c>
      <c r="P290" s="17">
        <v>1.0</v>
      </c>
      <c r="Q290" s="13"/>
      <c r="R290" s="13"/>
      <c r="S290" s="13"/>
      <c r="T290" s="13">
        <f t="shared" ref="T290:Y290" si="302">IF(ISBLANK(K290)=TRUE,0,1)</f>
        <v>0</v>
      </c>
      <c r="U290" s="13">
        <f t="shared" si="302"/>
        <v>0</v>
      </c>
      <c r="V290" s="13">
        <f t="shared" si="302"/>
        <v>0</v>
      </c>
      <c r="W290" s="13">
        <f t="shared" si="302"/>
        <v>0</v>
      </c>
      <c r="X290" s="13">
        <f t="shared" si="302"/>
        <v>1</v>
      </c>
      <c r="Y290" s="13">
        <f t="shared" si="302"/>
        <v>1</v>
      </c>
      <c r="Z290" s="13">
        <f t="shared" si="4"/>
        <v>1</v>
      </c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</row>
    <row r="291" ht="14.25" hidden="1" customHeight="1">
      <c r="A291" s="13" t="s">
        <v>29</v>
      </c>
      <c r="B291" s="13" t="s">
        <v>32</v>
      </c>
      <c r="C291" s="13" t="s">
        <v>318</v>
      </c>
      <c r="D291" s="13" t="s">
        <v>175</v>
      </c>
      <c r="E291" s="13" t="str">
        <f t="shared" si="2"/>
        <v>COHR,35-1-20,AB,1</v>
      </c>
      <c r="F291" s="13"/>
      <c r="G291" s="26" t="s">
        <v>74</v>
      </c>
      <c r="H291" s="13" t="s">
        <v>75</v>
      </c>
      <c r="I291" s="13"/>
      <c r="J291" s="13"/>
      <c r="K291" s="15"/>
      <c r="L291" s="15"/>
      <c r="M291" s="16"/>
      <c r="N291" s="16"/>
      <c r="O291" s="17">
        <v>1.0</v>
      </c>
      <c r="P291" s="17">
        <v>1.0</v>
      </c>
      <c r="Q291" s="13"/>
      <c r="R291" s="13"/>
      <c r="S291" s="13"/>
      <c r="T291" s="13">
        <f t="shared" ref="T291:Y291" si="303">IF(ISBLANK(K291)=TRUE,0,1)</f>
        <v>0</v>
      </c>
      <c r="U291" s="13">
        <f t="shared" si="303"/>
        <v>0</v>
      </c>
      <c r="V291" s="13">
        <f t="shared" si="303"/>
        <v>0</v>
      </c>
      <c r="W291" s="13">
        <f t="shared" si="303"/>
        <v>0</v>
      </c>
      <c r="X291" s="13">
        <f t="shared" si="303"/>
        <v>1</v>
      </c>
      <c r="Y291" s="13">
        <f t="shared" si="303"/>
        <v>1</v>
      </c>
      <c r="Z291" s="13">
        <f t="shared" si="4"/>
        <v>1</v>
      </c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</row>
    <row r="292" ht="14.25" hidden="1" customHeight="1">
      <c r="A292" s="13" t="s">
        <v>29</v>
      </c>
      <c r="B292" s="13" t="s">
        <v>32</v>
      </c>
      <c r="C292" s="13" t="s">
        <v>319</v>
      </c>
      <c r="D292" s="13"/>
      <c r="E292" s="13" t="str">
        <f t="shared" si="2"/>
        <v>COHR,35-1-21,,NA</v>
      </c>
      <c r="F292" s="13"/>
      <c r="G292" s="13" t="s">
        <v>74</v>
      </c>
      <c r="H292" s="13" t="s">
        <v>107</v>
      </c>
      <c r="I292" s="14">
        <v>44915.0</v>
      </c>
      <c r="J292" s="14"/>
      <c r="K292" s="15"/>
      <c r="L292" s="15"/>
      <c r="M292" s="16"/>
      <c r="N292" s="16"/>
      <c r="O292" s="17"/>
      <c r="P292" s="17"/>
      <c r="Q292" s="13">
        <f t="shared" ref="Q292:Q296" si="305">K291+L291+M291+N291+O291+P291/6</f>
        <v>1.166666667</v>
      </c>
      <c r="R292" s="13"/>
      <c r="S292" s="13"/>
      <c r="T292" s="13">
        <f t="shared" ref="T292:Y292" si="304">IF(ISBLANK(K292)=TRUE,0,1)</f>
        <v>0</v>
      </c>
      <c r="U292" s="13">
        <f t="shared" si="304"/>
        <v>0</v>
      </c>
      <c r="V292" s="13">
        <f t="shared" si="304"/>
        <v>0</v>
      </c>
      <c r="W292" s="13">
        <f t="shared" si="304"/>
        <v>0</v>
      </c>
      <c r="X292" s="13">
        <f t="shared" si="304"/>
        <v>0</v>
      </c>
      <c r="Y292" s="13">
        <f t="shared" si="304"/>
        <v>0</v>
      </c>
      <c r="Z292" s="13" t="str">
        <f t="shared" si="4"/>
        <v>NA</v>
      </c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</row>
    <row r="293" ht="14.25" hidden="1" customHeight="1">
      <c r="A293" s="13" t="s">
        <v>29</v>
      </c>
      <c r="B293" s="13" t="s">
        <v>32</v>
      </c>
      <c r="C293" s="13" t="s">
        <v>320</v>
      </c>
      <c r="D293" s="13"/>
      <c r="E293" s="13" t="str">
        <f t="shared" si="2"/>
        <v>COHR,35-1-22,,NA</v>
      </c>
      <c r="F293" s="13"/>
      <c r="G293" s="13" t="s">
        <v>74</v>
      </c>
      <c r="H293" s="13" t="s">
        <v>107</v>
      </c>
      <c r="I293" s="14">
        <v>44915.0</v>
      </c>
      <c r="J293" s="14"/>
      <c r="K293" s="15"/>
      <c r="L293" s="15"/>
      <c r="M293" s="16"/>
      <c r="N293" s="16"/>
      <c r="O293" s="17"/>
      <c r="P293" s="17"/>
      <c r="Q293" s="13">
        <f t="shared" si="305"/>
        <v>0</v>
      </c>
      <c r="R293" s="13"/>
      <c r="S293" s="13"/>
      <c r="T293" s="13">
        <f t="shared" ref="T293:Y293" si="306">IF(ISBLANK(K293)=TRUE,0,1)</f>
        <v>0</v>
      </c>
      <c r="U293" s="13">
        <f t="shared" si="306"/>
        <v>0</v>
      </c>
      <c r="V293" s="13">
        <f t="shared" si="306"/>
        <v>0</v>
      </c>
      <c r="W293" s="13">
        <f t="shared" si="306"/>
        <v>0</v>
      </c>
      <c r="X293" s="13">
        <f t="shared" si="306"/>
        <v>0</v>
      </c>
      <c r="Y293" s="13">
        <f t="shared" si="306"/>
        <v>0</v>
      </c>
      <c r="Z293" s="13" t="str">
        <f t="shared" si="4"/>
        <v>NA</v>
      </c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</row>
    <row r="294" ht="14.25" hidden="1" customHeight="1">
      <c r="A294" s="13" t="s">
        <v>29</v>
      </c>
      <c r="B294" s="13" t="s">
        <v>32</v>
      </c>
      <c r="C294" s="13" t="s">
        <v>321</v>
      </c>
      <c r="D294" s="13"/>
      <c r="E294" s="13" t="str">
        <f t="shared" si="2"/>
        <v>COHR,35-1-23,,NA</v>
      </c>
      <c r="F294" s="13"/>
      <c r="G294" s="13" t="s">
        <v>74</v>
      </c>
      <c r="H294" s="13" t="s">
        <v>107</v>
      </c>
      <c r="I294" s="14">
        <v>44915.0</v>
      </c>
      <c r="J294" s="14"/>
      <c r="K294" s="15"/>
      <c r="L294" s="15"/>
      <c r="M294" s="16"/>
      <c r="N294" s="16"/>
      <c r="O294" s="17"/>
      <c r="P294" s="17"/>
      <c r="Q294" s="13">
        <f t="shared" si="305"/>
        <v>0</v>
      </c>
      <c r="R294" s="13"/>
      <c r="S294" s="13"/>
      <c r="T294" s="13">
        <f t="shared" ref="T294:Y294" si="307">IF(ISBLANK(K294)=TRUE,0,1)</f>
        <v>0</v>
      </c>
      <c r="U294" s="13">
        <f t="shared" si="307"/>
        <v>0</v>
      </c>
      <c r="V294" s="13">
        <f t="shared" si="307"/>
        <v>0</v>
      </c>
      <c r="W294" s="13">
        <f t="shared" si="307"/>
        <v>0</v>
      </c>
      <c r="X294" s="13">
        <f t="shared" si="307"/>
        <v>0</v>
      </c>
      <c r="Y294" s="13">
        <f t="shared" si="307"/>
        <v>0</v>
      </c>
      <c r="Z294" s="13" t="str">
        <f t="shared" si="4"/>
        <v>NA</v>
      </c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</row>
    <row r="295" ht="14.25" hidden="1" customHeight="1">
      <c r="A295" s="13" t="s">
        <v>29</v>
      </c>
      <c r="B295" s="13" t="s">
        <v>32</v>
      </c>
      <c r="C295" s="13" t="s">
        <v>322</v>
      </c>
      <c r="D295" s="13"/>
      <c r="E295" s="13" t="str">
        <f t="shared" si="2"/>
        <v>COHR,35-1-24,,NA</v>
      </c>
      <c r="F295" s="13"/>
      <c r="G295" s="13" t="s">
        <v>74</v>
      </c>
      <c r="H295" s="13" t="s">
        <v>107</v>
      </c>
      <c r="I295" s="14">
        <v>44915.0</v>
      </c>
      <c r="J295" s="14"/>
      <c r="K295" s="15"/>
      <c r="L295" s="15"/>
      <c r="M295" s="16"/>
      <c r="N295" s="16"/>
      <c r="O295" s="17"/>
      <c r="P295" s="17"/>
      <c r="Q295" s="13">
        <f t="shared" si="305"/>
        <v>0</v>
      </c>
      <c r="R295" s="13"/>
      <c r="S295" s="13"/>
      <c r="T295" s="13">
        <f t="shared" ref="T295:Y295" si="308">IF(ISBLANK(K295)=TRUE,0,1)</f>
        <v>0</v>
      </c>
      <c r="U295" s="13">
        <f t="shared" si="308"/>
        <v>0</v>
      </c>
      <c r="V295" s="13">
        <f t="shared" si="308"/>
        <v>0</v>
      </c>
      <c r="W295" s="13">
        <f t="shared" si="308"/>
        <v>0</v>
      </c>
      <c r="X295" s="13">
        <f t="shared" si="308"/>
        <v>0</v>
      </c>
      <c r="Y295" s="13">
        <f t="shared" si="308"/>
        <v>0</v>
      </c>
      <c r="Z295" s="13" t="str">
        <f t="shared" si="4"/>
        <v>NA</v>
      </c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</row>
    <row r="296" ht="14.25" hidden="1" customHeight="1">
      <c r="A296" s="13" t="s">
        <v>29</v>
      </c>
      <c r="B296" s="13" t="s">
        <v>32</v>
      </c>
      <c r="C296" s="13" t="s">
        <v>323</v>
      </c>
      <c r="D296" s="13"/>
      <c r="E296" s="13" t="str">
        <f t="shared" si="2"/>
        <v>COHR,35-1-25,,1</v>
      </c>
      <c r="F296" s="13"/>
      <c r="G296" s="13" t="s">
        <v>74</v>
      </c>
      <c r="H296" s="13" t="s">
        <v>75</v>
      </c>
      <c r="I296" s="14">
        <v>44915.0</v>
      </c>
      <c r="J296" s="14"/>
      <c r="K296" s="15">
        <v>1.0</v>
      </c>
      <c r="L296" s="15">
        <v>1.0</v>
      </c>
      <c r="M296" s="16"/>
      <c r="N296" s="16"/>
      <c r="O296" s="17">
        <v>1.0</v>
      </c>
      <c r="P296" s="17">
        <v>1.0</v>
      </c>
      <c r="Q296" s="13">
        <f t="shared" si="305"/>
        <v>0</v>
      </c>
      <c r="R296" s="13"/>
      <c r="S296" s="13"/>
      <c r="T296" s="13">
        <f t="shared" ref="T296:Y296" si="309">IF(ISBLANK(K296)=TRUE,0,1)</f>
        <v>1</v>
      </c>
      <c r="U296" s="13">
        <f t="shared" si="309"/>
        <v>1</v>
      </c>
      <c r="V296" s="13">
        <f t="shared" si="309"/>
        <v>0</v>
      </c>
      <c r="W296" s="13">
        <f t="shared" si="309"/>
        <v>0</v>
      </c>
      <c r="X296" s="13">
        <f t="shared" si="309"/>
        <v>1</v>
      </c>
      <c r="Y296" s="13">
        <f t="shared" si="309"/>
        <v>1</v>
      </c>
      <c r="Z296" s="13">
        <f t="shared" si="4"/>
        <v>1</v>
      </c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</row>
    <row r="297" ht="14.25" hidden="1" customHeight="1">
      <c r="A297" s="13" t="s">
        <v>29</v>
      </c>
      <c r="B297" s="13" t="s">
        <v>32</v>
      </c>
      <c r="C297" s="13" t="s">
        <v>323</v>
      </c>
      <c r="D297" s="13" t="s">
        <v>174</v>
      </c>
      <c r="E297" s="13" t="str">
        <f t="shared" si="2"/>
        <v>COHR,35-1-25,AA,1</v>
      </c>
      <c r="F297" s="13"/>
      <c r="G297" s="26" t="s">
        <v>74</v>
      </c>
      <c r="H297" s="13" t="s">
        <v>75</v>
      </c>
      <c r="I297" s="13"/>
      <c r="J297" s="13"/>
      <c r="K297" s="15">
        <v>1.0</v>
      </c>
      <c r="L297" s="15">
        <v>1.0</v>
      </c>
      <c r="M297" s="16"/>
      <c r="N297" s="16"/>
      <c r="O297" s="17">
        <v>1.0</v>
      </c>
      <c r="P297" s="17">
        <v>1.0</v>
      </c>
      <c r="Q297" s="13"/>
      <c r="R297" s="13"/>
      <c r="S297" s="13"/>
      <c r="T297" s="13">
        <f t="shared" ref="T297:Y297" si="310">IF(ISBLANK(K297)=TRUE,0,1)</f>
        <v>1</v>
      </c>
      <c r="U297" s="13">
        <f t="shared" si="310"/>
        <v>1</v>
      </c>
      <c r="V297" s="13">
        <f t="shared" si="310"/>
        <v>0</v>
      </c>
      <c r="W297" s="13">
        <f t="shared" si="310"/>
        <v>0</v>
      </c>
      <c r="X297" s="13">
        <f t="shared" si="310"/>
        <v>1</v>
      </c>
      <c r="Y297" s="13">
        <f t="shared" si="310"/>
        <v>1</v>
      </c>
      <c r="Z297" s="13">
        <f t="shared" si="4"/>
        <v>1</v>
      </c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</row>
    <row r="298" ht="14.25" hidden="1" customHeight="1">
      <c r="A298" s="13" t="s">
        <v>29</v>
      </c>
      <c r="B298" s="13" t="s">
        <v>32</v>
      </c>
      <c r="C298" s="13" t="s">
        <v>323</v>
      </c>
      <c r="D298" s="13" t="s">
        <v>175</v>
      </c>
      <c r="E298" s="13" t="str">
        <f t="shared" si="2"/>
        <v>COHR,35-1-25,AB,1</v>
      </c>
      <c r="F298" s="13"/>
      <c r="G298" s="26" t="s">
        <v>74</v>
      </c>
      <c r="H298" s="13" t="s">
        <v>75</v>
      </c>
      <c r="I298" s="13"/>
      <c r="J298" s="13"/>
      <c r="K298" s="15">
        <v>1.0</v>
      </c>
      <c r="L298" s="15">
        <v>1.0</v>
      </c>
      <c r="M298" s="16"/>
      <c r="N298" s="16"/>
      <c r="O298" s="17">
        <v>1.0</v>
      </c>
      <c r="P298" s="17">
        <v>1.0</v>
      </c>
      <c r="Q298" s="13"/>
      <c r="R298" s="13"/>
      <c r="S298" s="13"/>
      <c r="T298" s="13">
        <f t="shared" ref="T298:Y298" si="311">IF(ISBLANK(K298)=TRUE,0,1)</f>
        <v>1</v>
      </c>
      <c r="U298" s="13">
        <f t="shared" si="311"/>
        <v>1</v>
      </c>
      <c r="V298" s="13">
        <f t="shared" si="311"/>
        <v>0</v>
      </c>
      <c r="W298" s="13">
        <f t="shared" si="311"/>
        <v>0</v>
      </c>
      <c r="X298" s="13">
        <f t="shared" si="311"/>
        <v>1</v>
      </c>
      <c r="Y298" s="13">
        <f t="shared" si="311"/>
        <v>1</v>
      </c>
      <c r="Z298" s="13">
        <f t="shared" si="4"/>
        <v>1</v>
      </c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</row>
    <row r="299" ht="14.25" hidden="1" customHeight="1">
      <c r="A299" s="13" t="s">
        <v>29</v>
      </c>
      <c r="B299" s="13" t="s">
        <v>32</v>
      </c>
      <c r="C299" s="13" t="s">
        <v>323</v>
      </c>
      <c r="D299" s="13" t="s">
        <v>176</v>
      </c>
      <c r="E299" s="13" t="str">
        <f t="shared" si="2"/>
        <v>COHR,35-1-25,AC,1</v>
      </c>
      <c r="F299" s="13"/>
      <c r="G299" s="13" t="s">
        <v>74</v>
      </c>
      <c r="H299" s="13" t="s">
        <v>75</v>
      </c>
      <c r="I299" s="13"/>
      <c r="J299" s="13"/>
      <c r="K299" s="15">
        <v>1.0</v>
      </c>
      <c r="L299" s="15">
        <v>1.0</v>
      </c>
      <c r="M299" s="16"/>
      <c r="N299" s="16"/>
      <c r="O299" s="17">
        <v>1.0</v>
      </c>
      <c r="P299" s="17">
        <v>1.0</v>
      </c>
      <c r="Q299" s="13"/>
      <c r="R299" s="13"/>
      <c r="S299" s="13"/>
      <c r="T299" s="13">
        <f t="shared" ref="T299:Y299" si="312">IF(ISBLANK(K299)=TRUE,0,1)</f>
        <v>1</v>
      </c>
      <c r="U299" s="13">
        <f t="shared" si="312"/>
        <v>1</v>
      </c>
      <c r="V299" s="13">
        <f t="shared" si="312"/>
        <v>0</v>
      </c>
      <c r="W299" s="13">
        <f t="shared" si="312"/>
        <v>0</v>
      </c>
      <c r="X299" s="13">
        <f t="shared" si="312"/>
        <v>1</v>
      </c>
      <c r="Y299" s="13">
        <f t="shared" si="312"/>
        <v>1</v>
      </c>
      <c r="Z299" s="13">
        <f t="shared" si="4"/>
        <v>1</v>
      </c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</row>
    <row r="300" ht="14.25" hidden="1" customHeight="1">
      <c r="A300" s="13" t="s">
        <v>29</v>
      </c>
      <c r="B300" s="13" t="s">
        <v>32</v>
      </c>
      <c r="C300" s="13" t="s">
        <v>323</v>
      </c>
      <c r="D300" s="13" t="s">
        <v>177</v>
      </c>
      <c r="E300" s="13" t="str">
        <f t="shared" si="2"/>
        <v>COHR,35-1-25,AD,1</v>
      </c>
      <c r="F300" s="13"/>
      <c r="G300" s="13" t="s">
        <v>74</v>
      </c>
      <c r="H300" s="13" t="s">
        <v>75</v>
      </c>
      <c r="I300" s="13"/>
      <c r="J300" s="13"/>
      <c r="K300" s="15">
        <v>1.0</v>
      </c>
      <c r="L300" s="15">
        <v>1.0</v>
      </c>
      <c r="M300" s="16"/>
      <c r="N300" s="16"/>
      <c r="O300" s="17">
        <v>1.0</v>
      </c>
      <c r="P300" s="17">
        <v>1.0</v>
      </c>
      <c r="Q300" s="13"/>
      <c r="R300" s="13"/>
      <c r="S300" s="13"/>
      <c r="T300" s="13">
        <f t="shared" ref="T300:Y300" si="313">IF(ISBLANK(K300)=TRUE,0,1)</f>
        <v>1</v>
      </c>
      <c r="U300" s="13">
        <f t="shared" si="313"/>
        <v>1</v>
      </c>
      <c r="V300" s="13">
        <f t="shared" si="313"/>
        <v>0</v>
      </c>
      <c r="W300" s="13">
        <f t="shared" si="313"/>
        <v>0</v>
      </c>
      <c r="X300" s="13">
        <f t="shared" si="313"/>
        <v>1</v>
      </c>
      <c r="Y300" s="13">
        <f t="shared" si="313"/>
        <v>1</v>
      </c>
      <c r="Z300" s="13">
        <f t="shared" si="4"/>
        <v>1</v>
      </c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</row>
    <row r="301" ht="14.25" hidden="1" customHeight="1">
      <c r="A301" s="13" t="s">
        <v>29</v>
      </c>
      <c r="B301" s="13" t="s">
        <v>32</v>
      </c>
      <c r="C301" s="13" t="s">
        <v>323</v>
      </c>
      <c r="D301" s="13" t="s">
        <v>178</v>
      </c>
      <c r="E301" s="13" t="str">
        <f t="shared" si="2"/>
        <v>COHR,35-1-25,AE,1</v>
      </c>
      <c r="F301" s="13"/>
      <c r="G301" s="13" t="s">
        <v>74</v>
      </c>
      <c r="H301" s="13" t="s">
        <v>75</v>
      </c>
      <c r="I301" s="13"/>
      <c r="J301" s="13"/>
      <c r="K301" s="15">
        <v>1.0</v>
      </c>
      <c r="L301" s="15">
        <v>1.0</v>
      </c>
      <c r="M301" s="16"/>
      <c r="N301" s="16"/>
      <c r="O301" s="17">
        <v>1.0</v>
      </c>
      <c r="P301" s="17">
        <v>1.0</v>
      </c>
      <c r="Q301" s="13"/>
      <c r="R301" s="13"/>
      <c r="S301" s="13"/>
      <c r="T301" s="13">
        <f t="shared" ref="T301:Y301" si="314">IF(ISBLANK(K301)=TRUE,0,1)</f>
        <v>1</v>
      </c>
      <c r="U301" s="13">
        <f t="shared" si="314"/>
        <v>1</v>
      </c>
      <c r="V301" s="13">
        <f t="shared" si="314"/>
        <v>0</v>
      </c>
      <c r="W301" s="13">
        <f t="shared" si="314"/>
        <v>0</v>
      </c>
      <c r="X301" s="13">
        <f t="shared" si="314"/>
        <v>1</v>
      </c>
      <c r="Y301" s="13">
        <f t="shared" si="314"/>
        <v>1</v>
      </c>
      <c r="Z301" s="13">
        <f t="shared" si="4"/>
        <v>1</v>
      </c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</row>
    <row r="302" ht="14.25" hidden="1" customHeight="1">
      <c r="A302" s="13" t="s">
        <v>29</v>
      </c>
      <c r="B302" s="13" t="s">
        <v>32</v>
      </c>
      <c r="C302" s="13" t="s">
        <v>323</v>
      </c>
      <c r="D302" s="13" t="s">
        <v>179</v>
      </c>
      <c r="E302" s="13" t="str">
        <f t="shared" si="2"/>
        <v>COHR,35-1-25,AF,1</v>
      </c>
      <c r="F302" s="13"/>
      <c r="G302" s="13" t="s">
        <v>74</v>
      </c>
      <c r="H302" s="13" t="s">
        <v>75</v>
      </c>
      <c r="I302" s="14">
        <v>44915.0</v>
      </c>
      <c r="J302" s="14"/>
      <c r="K302" s="15">
        <v>1.0</v>
      </c>
      <c r="L302" s="15">
        <v>1.0</v>
      </c>
      <c r="M302" s="16"/>
      <c r="N302" s="16"/>
      <c r="O302" s="17">
        <v>1.0</v>
      </c>
      <c r="P302" s="17">
        <v>1.0</v>
      </c>
      <c r="Q302" s="13">
        <f t="shared" ref="Q302:Q304" si="316">K301+L301+M301+N301+O301+P301/6</f>
        <v>3.166666667</v>
      </c>
      <c r="R302" s="13"/>
      <c r="S302" s="13"/>
      <c r="T302" s="13">
        <f t="shared" ref="T302:Y302" si="315">IF(ISBLANK(K302)=TRUE,0,1)</f>
        <v>1</v>
      </c>
      <c r="U302" s="13">
        <f t="shared" si="315"/>
        <v>1</v>
      </c>
      <c r="V302" s="13">
        <f t="shared" si="315"/>
        <v>0</v>
      </c>
      <c r="W302" s="13">
        <f t="shared" si="315"/>
        <v>0</v>
      </c>
      <c r="X302" s="13">
        <f t="shared" si="315"/>
        <v>1</v>
      </c>
      <c r="Y302" s="13">
        <f t="shared" si="315"/>
        <v>1</v>
      </c>
      <c r="Z302" s="13">
        <f t="shared" si="4"/>
        <v>1</v>
      </c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</row>
    <row r="303" ht="14.25" hidden="1" customHeight="1">
      <c r="A303" s="13" t="s">
        <v>29</v>
      </c>
      <c r="B303" s="13" t="s">
        <v>32</v>
      </c>
      <c r="C303" s="13" t="s">
        <v>323</v>
      </c>
      <c r="D303" s="13" t="s">
        <v>180</v>
      </c>
      <c r="E303" s="13" t="str">
        <f t="shared" si="2"/>
        <v>COHR,35-1-25,AG,1</v>
      </c>
      <c r="F303" s="13"/>
      <c r="G303" s="13" t="s">
        <v>74</v>
      </c>
      <c r="H303" s="13" t="s">
        <v>75</v>
      </c>
      <c r="I303" s="14">
        <v>44915.0</v>
      </c>
      <c r="J303" s="14"/>
      <c r="K303" s="15">
        <v>1.0</v>
      </c>
      <c r="L303" s="15">
        <v>1.0</v>
      </c>
      <c r="M303" s="16"/>
      <c r="N303" s="16"/>
      <c r="O303" s="17">
        <v>1.0</v>
      </c>
      <c r="P303" s="17">
        <v>1.0</v>
      </c>
      <c r="Q303" s="13">
        <f t="shared" si="316"/>
        <v>3.166666667</v>
      </c>
      <c r="R303" s="13"/>
      <c r="S303" s="13"/>
      <c r="T303" s="13">
        <f t="shared" ref="T303:Y303" si="317">IF(ISBLANK(K303)=TRUE,0,1)</f>
        <v>1</v>
      </c>
      <c r="U303" s="13">
        <f t="shared" si="317"/>
        <v>1</v>
      </c>
      <c r="V303" s="13">
        <f t="shared" si="317"/>
        <v>0</v>
      </c>
      <c r="W303" s="13">
        <f t="shared" si="317"/>
        <v>0</v>
      </c>
      <c r="X303" s="13">
        <f t="shared" si="317"/>
        <v>1</v>
      </c>
      <c r="Y303" s="13">
        <f t="shared" si="317"/>
        <v>1</v>
      </c>
      <c r="Z303" s="13">
        <f t="shared" si="4"/>
        <v>1</v>
      </c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</row>
    <row r="304" ht="14.25" hidden="1" customHeight="1">
      <c r="A304" s="13" t="s">
        <v>29</v>
      </c>
      <c r="B304" s="13" t="s">
        <v>32</v>
      </c>
      <c r="C304" s="13" t="s">
        <v>324</v>
      </c>
      <c r="D304" s="13"/>
      <c r="E304" s="13" t="str">
        <f t="shared" si="2"/>
        <v>COHR,35-1-26,,0</v>
      </c>
      <c r="F304" s="13"/>
      <c r="G304" s="13" t="s">
        <v>74</v>
      </c>
      <c r="H304" s="13" t="s">
        <v>75</v>
      </c>
      <c r="I304" s="14">
        <v>44915.0</v>
      </c>
      <c r="J304" s="14"/>
      <c r="K304" s="15"/>
      <c r="L304" s="15"/>
      <c r="M304" s="16"/>
      <c r="N304" s="16"/>
      <c r="O304" s="17">
        <v>0.0</v>
      </c>
      <c r="P304" s="17">
        <v>0.0</v>
      </c>
      <c r="Q304" s="13">
        <f t="shared" si="316"/>
        <v>3.166666667</v>
      </c>
      <c r="R304" s="13"/>
      <c r="S304" s="13"/>
      <c r="T304" s="13">
        <f t="shared" ref="T304:Y304" si="318">IF(ISBLANK(K304)=TRUE,0,1)</f>
        <v>0</v>
      </c>
      <c r="U304" s="13">
        <f t="shared" si="318"/>
        <v>0</v>
      </c>
      <c r="V304" s="13">
        <f t="shared" si="318"/>
        <v>0</v>
      </c>
      <c r="W304" s="13">
        <f t="shared" si="318"/>
        <v>0</v>
      </c>
      <c r="X304" s="13">
        <f t="shared" si="318"/>
        <v>1</v>
      </c>
      <c r="Y304" s="13">
        <f t="shared" si="318"/>
        <v>1</v>
      </c>
      <c r="Z304" s="13">
        <f t="shared" si="4"/>
        <v>0</v>
      </c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</row>
    <row r="305" ht="14.25" hidden="1" customHeight="1">
      <c r="A305" s="13" t="s">
        <v>29</v>
      </c>
      <c r="B305" s="13" t="s">
        <v>32</v>
      </c>
      <c r="C305" s="13" t="s">
        <v>324</v>
      </c>
      <c r="D305" s="13" t="s">
        <v>174</v>
      </c>
      <c r="E305" s="13" t="str">
        <f t="shared" si="2"/>
        <v>COHR,35-1-26,AA,0</v>
      </c>
      <c r="F305" s="13"/>
      <c r="G305" s="26" t="s">
        <v>74</v>
      </c>
      <c r="H305" s="13" t="s">
        <v>75</v>
      </c>
      <c r="I305" s="13"/>
      <c r="J305" s="13"/>
      <c r="K305" s="15"/>
      <c r="L305" s="15"/>
      <c r="M305" s="16"/>
      <c r="N305" s="16"/>
      <c r="O305" s="17">
        <v>0.0</v>
      </c>
      <c r="P305" s="17">
        <v>0.0</v>
      </c>
      <c r="Q305" s="13"/>
      <c r="R305" s="13"/>
      <c r="S305" s="13"/>
      <c r="T305" s="13">
        <f t="shared" ref="T305:Y305" si="319">IF(ISBLANK(K305)=TRUE,0,1)</f>
        <v>0</v>
      </c>
      <c r="U305" s="13">
        <f t="shared" si="319"/>
        <v>0</v>
      </c>
      <c r="V305" s="13">
        <f t="shared" si="319"/>
        <v>0</v>
      </c>
      <c r="W305" s="13">
        <f t="shared" si="319"/>
        <v>0</v>
      </c>
      <c r="X305" s="13">
        <f t="shared" si="319"/>
        <v>1</v>
      </c>
      <c r="Y305" s="13">
        <f t="shared" si="319"/>
        <v>1</v>
      </c>
      <c r="Z305" s="13">
        <f t="shared" si="4"/>
        <v>0</v>
      </c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</row>
    <row r="306" ht="14.25" hidden="1" customHeight="1">
      <c r="A306" s="13" t="s">
        <v>29</v>
      </c>
      <c r="B306" s="13" t="s">
        <v>32</v>
      </c>
      <c r="C306" s="13" t="s">
        <v>324</v>
      </c>
      <c r="D306" s="13" t="s">
        <v>175</v>
      </c>
      <c r="E306" s="13" t="str">
        <f t="shared" si="2"/>
        <v>COHR,35-1-26,AB,0</v>
      </c>
      <c r="F306" s="13"/>
      <c r="G306" s="26" t="s">
        <v>74</v>
      </c>
      <c r="H306" s="13" t="s">
        <v>75</v>
      </c>
      <c r="I306" s="13"/>
      <c r="J306" s="13"/>
      <c r="K306" s="15"/>
      <c r="L306" s="15"/>
      <c r="M306" s="16"/>
      <c r="N306" s="16"/>
      <c r="O306" s="17">
        <v>0.0</v>
      </c>
      <c r="P306" s="17">
        <v>0.0</v>
      </c>
      <c r="Q306" s="13"/>
      <c r="R306" s="13"/>
      <c r="S306" s="13"/>
      <c r="T306" s="13">
        <f t="shared" ref="T306:Y306" si="320">IF(ISBLANK(K306)=TRUE,0,1)</f>
        <v>0</v>
      </c>
      <c r="U306" s="13">
        <f t="shared" si="320"/>
        <v>0</v>
      </c>
      <c r="V306" s="13">
        <f t="shared" si="320"/>
        <v>0</v>
      </c>
      <c r="W306" s="13">
        <f t="shared" si="320"/>
        <v>0</v>
      </c>
      <c r="X306" s="13">
        <f t="shared" si="320"/>
        <v>1</v>
      </c>
      <c r="Y306" s="13">
        <f t="shared" si="320"/>
        <v>1</v>
      </c>
      <c r="Z306" s="13">
        <f t="shared" si="4"/>
        <v>0</v>
      </c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</row>
    <row r="307" ht="14.25" hidden="1" customHeight="1">
      <c r="A307" s="13" t="s">
        <v>29</v>
      </c>
      <c r="B307" s="13" t="s">
        <v>32</v>
      </c>
      <c r="C307" s="13" t="s">
        <v>325</v>
      </c>
      <c r="D307" s="13"/>
      <c r="E307" s="13" t="str">
        <f t="shared" si="2"/>
        <v>COHR,35-1-27,,1</v>
      </c>
      <c r="F307" s="13"/>
      <c r="G307" s="13" t="s">
        <v>74</v>
      </c>
      <c r="H307" s="13" t="s">
        <v>75</v>
      </c>
      <c r="I307" s="14">
        <v>44915.0</v>
      </c>
      <c r="J307" s="14"/>
      <c r="K307" s="15"/>
      <c r="L307" s="15"/>
      <c r="M307" s="16"/>
      <c r="N307" s="16"/>
      <c r="O307" s="17">
        <v>1.0</v>
      </c>
      <c r="P307" s="17">
        <v>1.0</v>
      </c>
      <c r="Q307" s="13">
        <f>K306+L306+M306+N306+O306+P306/6</f>
        <v>0</v>
      </c>
      <c r="R307" s="13"/>
      <c r="S307" s="13"/>
      <c r="T307" s="13">
        <f t="shared" ref="T307:Y307" si="321">IF(ISBLANK(K307)=TRUE,0,1)</f>
        <v>0</v>
      </c>
      <c r="U307" s="13">
        <f t="shared" si="321"/>
        <v>0</v>
      </c>
      <c r="V307" s="13">
        <f t="shared" si="321"/>
        <v>0</v>
      </c>
      <c r="W307" s="13">
        <f t="shared" si="321"/>
        <v>0</v>
      </c>
      <c r="X307" s="13">
        <f t="shared" si="321"/>
        <v>1</v>
      </c>
      <c r="Y307" s="13">
        <f t="shared" si="321"/>
        <v>1</v>
      </c>
      <c r="Z307" s="13">
        <f t="shared" si="4"/>
        <v>1</v>
      </c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</row>
    <row r="308" ht="14.25" hidden="1" customHeight="1">
      <c r="A308" s="13" t="s">
        <v>29</v>
      </c>
      <c r="B308" s="13" t="s">
        <v>32</v>
      </c>
      <c r="C308" s="13" t="s">
        <v>325</v>
      </c>
      <c r="D308" s="13" t="s">
        <v>174</v>
      </c>
      <c r="E308" s="13" t="str">
        <f t="shared" si="2"/>
        <v>COHR,35-1-27,AA,1</v>
      </c>
      <c r="F308" s="13"/>
      <c r="G308" s="26" t="s">
        <v>74</v>
      </c>
      <c r="H308" s="13" t="s">
        <v>75</v>
      </c>
      <c r="I308" s="13"/>
      <c r="J308" s="13"/>
      <c r="K308" s="15"/>
      <c r="L308" s="15"/>
      <c r="M308" s="16"/>
      <c r="N308" s="16"/>
      <c r="O308" s="17">
        <v>1.0</v>
      </c>
      <c r="P308" s="17">
        <v>1.0</v>
      </c>
      <c r="Q308" s="13"/>
      <c r="R308" s="13"/>
      <c r="S308" s="13"/>
      <c r="T308" s="13">
        <f t="shared" ref="T308:Y308" si="322">IF(ISBLANK(K308)=TRUE,0,1)</f>
        <v>0</v>
      </c>
      <c r="U308" s="13">
        <f t="shared" si="322"/>
        <v>0</v>
      </c>
      <c r="V308" s="13">
        <f t="shared" si="322"/>
        <v>0</v>
      </c>
      <c r="W308" s="13">
        <f t="shared" si="322"/>
        <v>0</v>
      </c>
      <c r="X308" s="13">
        <f t="shared" si="322"/>
        <v>1</v>
      </c>
      <c r="Y308" s="13">
        <f t="shared" si="322"/>
        <v>1</v>
      </c>
      <c r="Z308" s="13">
        <f t="shared" si="4"/>
        <v>1</v>
      </c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</row>
    <row r="309" ht="14.25" hidden="1" customHeight="1">
      <c r="A309" s="13" t="s">
        <v>29</v>
      </c>
      <c r="B309" s="13" t="s">
        <v>32</v>
      </c>
      <c r="C309" s="13" t="s">
        <v>325</v>
      </c>
      <c r="D309" s="13" t="s">
        <v>175</v>
      </c>
      <c r="E309" s="13" t="str">
        <f t="shared" si="2"/>
        <v>COHR,35-1-27,AB,1</v>
      </c>
      <c r="F309" s="13"/>
      <c r="G309" s="26" t="s">
        <v>74</v>
      </c>
      <c r="H309" s="13" t="s">
        <v>75</v>
      </c>
      <c r="I309" s="13"/>
      <c r="J309" s="13"/>
      <c r="K309" s="15"/>
      <c r="L309" s="15"/>
      <c r="M309" s="16"/>
      <c r="N309" s="16"/>
      <c r="O309" s="17">
        <v>1.0</v>
      </c>
      <c r="P309" s="17">
        <v>1.0</v>
      </c>
      <c r="Q309" s="13"/>
      <c r="R309" s="13"/>
      <c r="S309" s="13"/>
      <c r="T309" s="13">
        <f t="shared" ref="T309:Y309" si="323">IF(ISBLANK(K309)=TRUE,0,1)</f>
        <v>0</v>
      </c>
      <c r="U309" s="13">
        <f t="shared" si="323"/>
        <v>0</v>
      </c>
      <c r="V309" s="13">
        <f t="shared" si="323"/>
        <v>0</v>
      </c>
      <c r="W309" s="13">
        <f t="shared" si="323"/>
        <v>0</v>
      </c>
      <c r="X309" s="13">
        <f t="shared" si="323"/>
        <v>1</v>
      </c>
      <c r="Y309" s="13">
        <f t="shared" si="323"/>
        <v>1</v>
      </c>
      <c r="Z309" s="13">
        <f t="shared" si="4"/>
        <v>1</v>
      </c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</row>
    <row r="310" ht="14.25" hidden="1" customHeight="1">
      <c r="A310" s="13" t="s">
        <v>29</v>
      </c>
      <c r="B310" s="13" t="s">
        <v>32</v>
      </c>
      <c r="C310" s="13" t="s">
        <v>325</v>
      </c>
      <c r="D310" s="13" t="s">
        <v>176</v>
      </c>
      <c r="E310" s="13" t="str">
        <f t="shared" si="2"/>
        <v>COHR,35-1-27,AC,1</v>
      </c>
      <c r="F310" s="13"/>
      <c r="G310" s="13" t="s">
        <v>74</v>
      </c>
      <c r="H310" s="13" t="s">
        <v>75</v>
      </c>
      <c r="I310" s="13"/>
      <c r="J310" s="13"/>
      <c r="K310" s="15">
        <v>1.0</v>
      </c>
      <c r="L310" s="15">
        <v>1.0</v>
      </c>
      <c r="M310" s="16"/>
      <c r="N310" s="16"/>
      <c r="O310" s="17"/>
      <c r="P310" s="17"/>
      <c r="Q310" s="13"/>
      <c r="R310" s="13"/>
      <c r="S310" s="13"/>
      <c r="T310" s="13">
        <f t="shared" ref="T310:Y310" si="324">IF(ISBLANK(K310)=TRUE,0,1)</f>
        <v>1</v>
      </c>
      <c r="U310" s="13">
        <f t="shared" si="324"/>
        <v>1</v>
      </c>
      <c r="V310" s="13">
        <f t="shared" si="324"/>
        <v>0</v>
      </c>
      <c r="W310" s="13">
        <f t="shared" si="324"/>
        <v>0</v>
      </c>
      <c r="X310" s="13">
        <f t="shared" si="324"/>
        <v>0</v>
      </c>
      <c r="Y310" s="13">
        <f t="shared" si="324"/>
        <v>0</v>
      </c>
      <c r="Z310" s="13">
        <f t="shared" si="4"/>
        <v>1</v>
      </c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</row>
    <row r="311" ht="14.25" hidden="1" customHeight="1">
      <c r="A311" s="13" t="s">
        <v>29</v>
      </c>
      <c r="B311" s="13" t="s">
        <v>32</v>
      </c>
      <c r="C311" s="13" t="s">
        <v>325</v>
      </c>
      <c r="D311" s="13" t="s">
        <v>177</v>
      </c>
      <c r="E311" s="13" t="str">
        <f t="shared" si="2"/>
        <v>COHR,35-1-27,AD,1</v>
      </c>
      <c r="F311" s="13"/>
      <c r="G311" s="13" t="s">
        <v>74</v>
      </c>
      <c r="H311" s="13" t="s">
        <v>75</v>
      </c>
      <c r="I311" s="13"/>
      <c r="J311" s="13"/>
      <c r="K311" s="15">
        <v>1.0</v>
      </c>
      <c r="L311" s="15">
        <v>1.0</v>
      </c>
      <c r="M311" s="16"/>
      <c r="N311" s="16"/>
      <c r="O311" s="17"/>
      <c r="P311" s="17"/>
      <c r="Q311" s="13"/>
      <c r="R311" s="13"/>
      <c r="S311" s="13"/>
      <c r="T311" s="13">
        <f t="shared" ref="T311:Y311" si="325">IF(ISBLANK(K311)=TRUE,0,1)</f>
        <v>1</v>
      </c>
      <c r="U311" s="13">
        <f t="shared" si="325"/>
        <v>1</v>
      </c>
      <c r="V311" s="13">
        <f t="shared" si="325"/>
        <v>0</v>
      </c>
      <c r="W311" s="13">
        <f t="shared" si="325"/>
        <v>0</v>
      </c>
      <c r="X311" s="13">
        <f t="shared" si="325"/>
        <v>0</v>
      </c>
      <c r="Y311" s="13">
        <f t="shared" si="325"/>
        <v>0</v>
      </c>
      <c r="Z311" s="13">
        <f t="shared" si="4"/>
        <v>1</v>
      </c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</row>
    <row r="312" ht="14.25" hidden="1" customHeight="1">
      <c r="A312" s="13" t="s">
        <v>29</v>
      </c>
      <c r="B312" s="13" t="s">
        <v>32</v>
      </c>
      <c r="C312" s="13" t="s">
        <v>325</v>
      </c>
      <c r="D312" s="13" t="s">
        <v>178</v>
      </c>
      <c r="E312" s="13" t="str">
        <f t="shared" si="2"/>
        <v>COHR,35-1-27,AE,1</v>
      </c>
      <c r="F312" s="13"/>
      <c r="G312" s="13" t="s">
        <v>74</v>
      </c>
      <c r="H312" s="13" t="s">
        <v>75</v>
      </c>
      <c r="I312" s="13"/>
      <c r="J312" s="13"/>
      <c r="K312" s="15">
        <v>1.0</v>
      </c>
      <c r="L312" s="15">
        <v>1.0</v>
      </c>
      <c r="M312" s="16"/>
      <c r="N312" s="16"/>
      <c r="O312" s="17"/>
      <c r="P312" s="17"/>
      <c r="Q312" s="13"/>
      <c r="R312" s="13"/>
      <c r="S312" s="13"/>
      <c r="T312" s="13">
        <f t="shared" ref="T312:Y312" si="326">IF(ISBLANK(K312)=TRUE,0,1)</f>
        <v>1</v>
      </c>
      <c r="U312" s="13">
        <f t="shared" si="326"/>
        <v>1</v>
      </c>
      <c r="V312" s="13">
        <f t="shared" si="326"/>
        <v>0</v>
      </c>
      <c r="W312" s="13">
        <f t="shared" si="326"/>
        <v>0</v>
      </c>
      <c r="X312" s="13">
        <f t="shared" si="326"/>
        <v>0</v>
      </c>
      <c r="Y312" s="13">
        <f t="shared" si="326"/>
        <v>0</v>
      </c>
      <c r="Z312" s="13">
        <f t="shared" si="4"/>
        <v>1</v>
      </c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</row>
    <row r="313" ht="14.25" hidden="1" customHeight="1">
      <c r="A313" s="13" t="s">
        <v>29</v>
      </c>
      <c r="B313" s="13" t="s">
        <v>32</v>
      </c>
      <c r="C313" s="13" t="s">
        <v>325</v>
      </c>
      <c r="D313" s="13" t="s">
        <v>179</v>
      </c>
      <c r="E313" s="13" t="str">
        <f t="shared" si="2"/>
        <v>COHR,35-1-27,AF,1</v>
      </c>
      <c r="F313" s="13"/>
      <c r="G313" s="13" t="s">
        <v>74</v>
      </c>
      <c r="H313" s="13" t="s">
        <v>75</v>
      </c>
      <c r="I313" s="13"/>
      <c r="J313" s="13"/>
      <c r="K313" s="15">
        <v>1.0</v>
      </c>
      <c r="L313" s="15">
        <v>1.0</v>
      </c>
      <c r="M313" s="16"/>
      <c r="N313" s="16"/>
      <c r="O313" s="17"/>
      <c r="P313" s="17"/>
      <c r="Q313" s="13"/>
      <c r="R313" s="13"/>
      <c r="S313" s="13"/>
      <c r="T313" s="13">
        <f t="shared" ref="T313:Y313" si="327">IF(ISBLANK(K313)=TRUE,0,1)</f>
        <v>1</v>
      </c>
      <c r="U313" s="13">
        <f t="shared" si="327"/>
        <v>1</v>
      </c>
      <c r="V313" s="13">
        <f t="shared" si="327"/>
        <v>0</v>
      </c>
      <c r="W313" s="13">
        <f t="shared" si="327"/>
        <v>0</v>
      </c>
      <c r="X313" s="13">
        <f t="shared" si="327"/>
        <v>0</v>
      </c>
      <c r="Y313" s="13">
        <f t="shared" si="327"/>
        <v>0</v>
      </c>
      <c r="Z313" s="13">
        <f t="shared" si="4"/>
        <v>1</v>
      </c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</row>
    <row r="314" ht="14.25" hidden="1" customHeight="1">
      <c r="A314" s="13" t="s">
        <v>29</v>
      </c>
      <c r="B314" s="13" t="s">
        <v>32</v>
      </c>
      <c r="C314" s="13" t="s">
        <v>326</v>
      </c>
      <c r="D314" s="13"/>
      <c r="E314" s="13" t="str">
        <f t="shared" si="2"/>
        <v>COHR,35-1-28,,0</v>
      </c>
      <c r="F314" s="13"/>
      <c r="G314" s="13" t="s">
        <v>74</v>
      </c>
      <c r="H314" s="13" t="s">
        <v>75</v>
      </c>
      <c r="I314" s="14">
        <v>44915.0</v>
      </c>
      <c r="J314" s="14"/>
      <c r="K314" s="15"/>
      <c r="L314" s="15"/>
      <c r="M314" s="16"/>
      <c r="N314" s="16"/>
      <c r="O314" s="17">
        <v>0.0</v>
      </c>
      <c r="P314" s="17">
        <v>0.0</v>
      </c>
      <c r="Q314" s="13">
        <f>K313+L313+M313+N313+O313+P313/6</f>
        <v>2</v>
      </c>
      <c r="R314" s="13"/>
      <c r="S314" s="13"/>
      <c r="T314" s="13">
        <f t="shared" ref="T314:Y314" si="328">IF(ISBLANK(K314)=TRUE,0,1)</f>
        <v>0</v>
      </c>
      <c r="U314" s="13">
        <f t="shared" si="328"/>
        <v>0</v>
      </c>
      <c r="V314" s="13">
        <f t="shared" si="328"/>
        <v>0</v>
      </c>
      <c r="W314" s="13">
        <f t="shared" si="328"/>
        <v>0</v>
      </c>
      <c r="X314" s="13">
        <f t="shared" si="328"/>
        <v>1</v>
      </c>
      <c r="Y314" s="13">
        <f t="shared" si="328"/>
        <v>1</v>
      </c>
      <c r="Z314" s="13">
        <f t="shared" si="4"/>
        <v>0</v>
      </c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</row>
    <row r="315" ht="14.25" hidden="1" customHeight="1">
      <c r="A315" s="13" t="s">
        <v>29</v>
      </c>
      <c r="B315" s="13" t="s">
        <v>32</v>
      </c>
      <c r="C315" s="13" t="s">
        <v>326</v>
      </c>
      <c r="D315" s="13" t="s">
        <v>174</v>
      </c>
      <c r="E315" s="13" t="str">
        <f t="shared" si="2"/>
        <v>COHR,35-1-28,AA,0</v>
      </c>
      <c r="F315" s="13"/>
      <c r="G315" s="26" t="s">
        <v>74</v>
      </c>
      <c r="H315" s="13" t="s">
        <v>75</v>
      </c>
      <c r="I315" s="13"/>
      <c r="J315" s="13"/>
      <c r="K315" s="15"/>
      <c r="L315" s="15"/>
      <c r="M315" s="16"/>
      <c r="N315" s="16"/>
      <c r="O315" s="17">
        <v>0.0</v>
      </c>
      <c r="P315" s="17">
        <v>0.0</v>
      </c>
      <c r="Q315" s="13"/>
      <c r="R315" s="13"/>
      <c r="S315" s="13"/>
      <c r="T315" s="13">
        <f t="shared" ref="T315:Y315" si="329">IF(ISBLANK(K315)=TRUE,0,1)</f>
        <v>0</v>
      </c>
      <c r="U315" s="13">
        <f t="shared" si="329"/>
        <v>0</v>
      </c>
      <c r="V315" s="13">
        <f t="shared" si="329"/>
        <v>0</v>
      </c>
      <c r="W315" s="13">
        <f t="shared" si="329"/>
        <v>0</v>
      </c>
      <c r="X315" s="13">
        <f t="shared" si="329"/>
        <v>1</v>
      </c>
      <c r="Y315" s="13">
        <f t="shared" si="329"/>
        <v>1</v>
      </c>
      <c r="Z315" s="13">
        <f t="shared" si="4"/>
        <v>0</v>
      </c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</row>
    <row r="316" ht="14.25" hidden="1" customHeight="1">
      <c r="A316" s="13" t="s">
        <v>29</v>
      </c>
      <c r="B316" s="13" t="s">
        <v>32</v>
      </c>
      <c r="C316" s="13" t="s">
        <v>326</v>
      </c>
      <c r="D316" s="13" t="s">
        <v>175</v>
      </c>
      <c r="E316" s="13" t="str">
        <f t="shared" si="2"/>
        <v>COHR,35-1-28,AB,0</v>
      </c>
      <c r="F316" s="13"/>
      <c r="G316" s="26" t="s">
        <v>74</v>
      </c>
      <c r="H316" s="13" t="s">
        <v>75</v>
      </c>
      <c r="I316" s="13"/>
      <c r="J316" s="13"/>
      <c r="K316" s="15"/>
      <c r="L316" s="15"/>
      <c r="M316" s="16"/>
      <c r="N316" s="16"/>
      <c r="O316" s="17">
        <v>0.0</v>
      </c>
      <c r="P316" s="17">
        <v>0.0</v>
      </c>
      <c r="Q316" s="13"/>
      <c r="R316" s="13"/>
      <c r="S316" s="13"/>
      <c r="T316" s="13">
        <f t="shared" ref="T316:Y316" si="330">IF(ISBLANK(K316)=TRUE,0,1)</f>
        <v>0</v>
      </c>
      <c r="U316" s="13">
        <f t="shared" si="330"/>
        <v>0</v>
      </c>
      <c r="V316" s="13">
        <f t="shared" si="330"/>
        <v>0</v>
      </c>
      <c r="W316" s="13">
        <f t="shared" si="330"/>
        <v>0</v>
      </c>
      <c r="X316" s="13">
        <f t="shared" si="330"/>
        <v>1</v>
      </c>
      <c r="Y316" s="13">
        <f t="shared" si="330"/>
        <v>1</v>
      </c>
      <c r="Z316" s="13">
        <f t="shared" si="4"/>
        <v>0</v>
      </c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</row>
    <row r="317" ht="14.25" hidden="1" customHeight="1">
      <c r="A317" s="13" t="s">
        <v>29</v>
      </c>
      <c r="B317" s="13" t="s">
        <v>32</v>
      </c>
      <c r="C317" s="13" t="s">
        <v>326</v>
      </c>
      <c r="D317" s="13" t="s">
        <v>176</v>
      </c>
      <c r="E317" s="13" t="str">
        <f t="shared" si="2"/>
        <v>COHR,35-1-28,AC,0</v>
      </c>
      <c r="F317" s="13"/>
      <c r="G317" s="26" t="s">
        <v>74</v>
      </c>
      <c r="H317" s="13" t="s">
        <v>75</v>
      </c>
      <c r="I317" s="13"/>
      <c r="J317" s="13"/>
      <c r="K317" s="15"/>
      <c r="L317" s="15"/>
      <c r="M317" s="16"/>
      <c r="N317" s="16"/>
      <c r="O317" s="17">
        <v>0.0</v>
      </c>
      <c r="P317" s="17">
        <v>0.0</v>
      </c>
      <c r="Q317" s="13"/>
      <c r="R317" s="13"/>
      <c r="S317" s="13"/>
      <c r="T317" s="13">
        <f t="shared" ref="T317:Y317" si="331">IF(ISBLANK(K317)=TRUE,0,1)</f>
        <v>0</v>
      </c>
      <c r="U317" s="13">
        <f t="shared" si="331"/>
        <v>0</v>
      </c>
      <c r="V317" s="13">
        <f t="shared" si="331"/>
        <v>0</v>
      </c>
      <c r="W317" s="13">
        <f t="shared" si="331"/>
        <v>0</v>
      </c>
      <c r="X317" s="13">
        <f t="shared" si="331"/>
        <v>1</v>
      </c>
      <c r="Y317" s="13">
        <f t="shared" si="331"/>
        <v>1</v>
      </c>
      <c r="Z317" s="13">
        <f t="shared" si="4"/>
        <v>0</v>
      </c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</row>
    <row r="318" ht="14.25" hidden="1" customHeight="1">
      <c r="A318" s="13" t="s">
        <v>29</v>
      </c>
      <c r="B318" s="13" t="s">
        <v>32</v>
      </c>
      <c r="C318" s="13" t="s">
        <v>327</v>
      </c>
      <c r="D318" s="13"/>
      <c r="E318" s="13" t="str">
        <f t="shared" si="2"/>
        <v>COHR,35-1-29,,1</v>
      </c>
      <c r="F318" s="13"/>
      <c r="G318" s="13" t="s">
        <v>74</v>
      </c>
      <c r="H318" s="13" t="s">
        <v>75</v>
      </c>
      <c r="I318" s="14">
        <v>44915.0</v>
      </c>
      <c r="J318" s="14"/>
      <c r="K318" s="15"/>
      <c r="L318" s="15"/>
      <c r="M318" s="16"/>
      <c r="N318" s="16"/>
      <c r="O318" s="17">
        <v>1.0</v>
      </c>
      <c r="P318" s="17">
        <v>1.0</v>
      </c>
      <c r="Q318" s="13">
        <f>K317+L317+M317+N317+O317+P317/6</f>
        <v>0</v>
      </c>
      <c r="R318" s="13"/>
      <c r="S318" s="13"/>
      <c r="T318" s="13">
        <f t="shared" ref="T318:Y318" si="332">IF(ISBLANK(K318)=TRUE,0,1)</f>
        <v>0</v>
      </c>
      <c r="U318" s="13">
        <f t="shared" si="332"/>
        <v>0</v>
      </c>
      <c r="V318" s="13">
        <f t="shared" si="332"/>
        <v>0</v>
      </c>
      <c r="W318" s="13">
        <f t="shared" si="332"/>
        <v>0</v>
      </c>
      <c r="X318" s="13">
        <f t="shared" si="332"/>
        <v>1</v>
      </c>
      <c r="Y318" s="13">
        <f t="shared" si="332"/>
        <v>1</v>
      </c>
      <c r="Z318" s="13">
        <f t="shared" si="4"/>
        <v>1</v>
      </c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</row>
    <row r="319" ht="14.25" hidden="1" customHeight="1">
      <c r="A319" s="13" t="s">
        <v>29</v>
      </c>
      <c r="B319" s="13" t="s">
        <v>32</v>
      </c>
      <c r="C319" s="13" t="s">
        <v>327</v>
      </c>
      <c r="D319" s="13" t="s">
        <v>174</v>
      </c>
      <c r="E319" s="13" t="str">
        <f t="shared" si="2"/>
        <v>COHR,35-1-29,AA,1</v>
      </c>
      <c r="F319" s="13"/>
      <c r="G319" s="26" t="s">
        <v>74</v>
      </c>
      <c r="H319" s="13" t="s">
        <v>75</v>
      </c>
      <c r="I319" s="13"/>
      <c r="J319" s="13"/>
      <c r="K319" s="15"/>
      <c r="L319" s="15"/>
      <c r="M319" s="16"/>
      <c r="N319" s="16"/>
      <c r="O319" s="17">
        <v>1.0</v>
      </c>
      <c r="P319" s="17">
        <v>1.0</v>
      </c>
      <c r="Q319" s="13"/>
      <c r="R319" s="13"/>
      <c r="S319" s="13"/>
      <c r="T319" s="13">
        <f t="shared" ref="T319:Y319" si="333">IF(ISBLANK(K319)=TRUE,0,1)</f>
        <v>0</v>
      </c>
      <c r="U319" s="13">
        <f t="shared" si="333"/>
        <v>0</v>
      </c>
      <c r="V319" s="13">
        <f t="shared" si="333"/>
        <v>0</v>
      </c>
      <c r="W319" s="13">
        <f t="shared" si="333"/>
        <v>0</v>
      </c>
      <c r="X319" s="13">
        <f t="shared" si="333"/>
        <v>1</v>
      </c>
      <c r="Y319" s="13">
        <f t="shared" si="333"/>
        <v>1</v>
      </c>
      <c r="Z319" s="13">
        <f t="shared" si="4"/>
        <v>1</v>
      </c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</row>
    <row r="320" ht="14.25" hidden="1" customHeight="1">
      <c r="A320" s="13" t="s">
        <v>29</v>
      </c>
      <c r="B320" s="13" t="s">
        <v>32</v>
      </c>
      <c r="C320" s="13" t="s">
        <v>327</v>
      </c>
      <c r="D320" s="13" t="s">
        <v>175</v>
      </c>
      <c r="E320" s="13" t="str">
        <f t="shared" si="2"/>
        <v>COHR,35-1-29,AB,1</v>
      </c>
      <c r="F320" s="13"/>
      <c r="G320" s="26" t="s">
        <v>74</v>
      </c>
      <c r="H320" s="13" t="s">
        <v>75</v>
      </c>
      <c r="I320" s="13"/>
      <c r="J320" s="13"/>
      <c r="K320" s="15"/>
      <c r="L320" s="15"/>
      <c r="M320" s="16"/>
      <c r="N320" s="16"/>
      <c r="O320" s="17">
        <v>1.0</v>
      </c>
      <c r="P320" s="17">
        <v>1.0</v>
      </c>
      <c r="Q320" s="13"/>
      <c r="R320" s="13"/>
      <c r="S320" s="13"/>
      <c r="T320" s="13">
        <f t="shared" ref="T320:Y320" si="334">IF(ISBLANK(K320)=TRUE,0,1)</f>
        <v>0</v>
      </c>
      <c r="U320" s="13">
        <f t="shared" si="334"/>
        <v>0</v>
      </c>
      <c r="V320" s="13">
        <f t="shared" si="334"/>
        <v>0</v>
      </c>
      <c r="W320" s="13">
        <f t="shared" si="334"/>
        <v>0</v>
      </c>
      <c r="X320" s="13">
        <f t="shared" si="334"/>
        <v>1</v>
      </c>
      <c r="Y320" s="13">
        <f t="shared" si="334"/>
        <v>1</v>
      </c>
      <c r="Z320" s="13">
        <f t="shared" si="4"/>
        <v>1</v>
      </c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</row>
    <row r="321" ht="14.25" hidden="1" customHeight="1">
      <c r="A321" s="13" t="s">
        <v>29</v>
      </c>
      <c r="B321" s="13" t="s">
        <v>32</v>
      </c>
      <c r="C321" s="13" t="s">
        <v>327</v>
      </c>
      <c r="D321" s="13" t="s">
        <v>176</v>
      </c>
      <c r="E321" s="13" t="str">
        <f t="shared" si="2"/>
        <v>COHR,35-1-29,AC,1</v>
      </c>
      <c r="F321" s="13"/>
      <c r="G321" s="26" t="s">
        <v>74</v>
      </c>
      <c r="H321" s="13" t="s">
        <v>75</v>
      </c>
      <c r="I321" s="13"/>
      <c r="J321" s="13"/>
      <c r="K321" s="15"/>
      <c r="L321" s="15"/>
      <c r="M321" s="16"/>
      <c r="N321" s="16"/>
      <c r="O321" s="17">
        <v>1.0</v>
      </c>
      <c r="P321" s="17">
        <v>1.0</v>
      </c>
      <c r="Q321" s="13"/>
      <c r="R321" s="13"/>
      <c r="S321" s="13"/>
      <c r="T321" s="13">
        <f t="shared" ref="T321:Y321" si="335">IF(ISBLANK(K321)=TRUE,0,1)</f>
        <v>0</v>
      </c>
      <c r="U321" s="13">
        <f t="shared" si="335"/>
        <v>0</v>
      </c>
      <c r="V321" s="13">
        <f t="shared" si="335"/>
        <v>0</v>
      </c>
      <c r="W321" s="13">
        <f t="shared" si="335"/>
        <v>0</v>
      </c>
      <c r="X321" s="13">
        <f t="shared" si="335"/>
        <v>1</v>
      </c>
      <c r="Y321" s="13">
        <f t="shared" si="335"/>
        <v>1</v>
      </c>
      <c r="Z321" s="13">
        <f t="shared" si="4"/>
        <v>1</v>
      </c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</row>
    <row r="322" ht="14.25" hidden="1" customHeight="1">
      <c r="A322" s="13" t="s">
        <v>29</v>
      </c>
      <c r="B322" s="13" t="s">
        <v>32</v>
      </c>
      <c r="C322" s="13" t="s">
        <v>328</v>
      </c>
      <c r="D322" s="13"/>
      <c r="E322" s="13" t="str">
        <f t="shared" si="2"/>
        <v>COHR,35-1-3,,NA</v>
      </c>
      <c r="F322" s="13"/>
      <c r="G322" s="13" t="s">
        <v>74</v>
      </c>
      <c r="H322" s="13" t="s">
        <v>107</v>
      </c>
      <c r="I322" s="14">
        <v>44915.0</v>
      </c>
      <c r="J322" s="14"/>
      <c r="K322" s="15"/>
      <c r="L322" s="15"/>
      <c r="M322" s="16"/>
      <c r="N322" s="16"/>
      <c r="O322" s="17"/>
      <c r="P322" s="17"/>
      <c r="Q322" s="13">
        <f t="shared" ref="Q322:Q323" si="337">K321+L321+M321+N321+O321+P321/6</f>
        <v>1.166666667</v>
      </c>
      <c r="R322" s="13"/>
      <c r="S322" s="13"/>
      <c r="T322" s="13">
        <f t="shared" ref="T322:Y322" si="336">IF(ISBLANK(K322)=TRUE,0,1)</f>
        <v>0</v>
      </c>
      <c r="U322" s="13">
        <f t="shared" si="336"/>
        <v>0</v>
      </c>
      <c r="V322" s="13">
        <f t="shared" si="336"/>
        <v>0</v>
      </c>
      <c r="W322" s="13">
        <f t="shared" si="336"/>
        <v>0</v>
      </c>
      <c r="X322" s="13">
        <f t="shared" si="336"/>
        <v>0</v>
      </c>
      <c r="Y322" s="13">
        <f t="shared" si="336"/>
        <v>0</v>
      </c>
      <c r="Z322" s="13" t="str">
        <f t="shared" si="4"/>
        <v>NA</v>
      </c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</row>
    <row r="323" ht="14.25" hidden="1" customHeight="1">
      <c r="A323" s="13" t="s">
        <v>29</v>
      </c>
      <c r="B323" s="13" t="s">
        <v>32</v>
      </c>
      <c r="C323" s="13" t="s">
        <v>329</v>
      </c>
      <c r="D323" s="13"/>
      <c r="E323" s="13" t="str">
        <f t="shared" si="2"/>
        <v>COHR,35-1-30,,1</v>
      </c>
      <c r="F323" s="13"/>
      <c r="G323" s="13" t="s">
        <v>74</v>
      </c>
      <c r="H323" s="13" t="s">
        <v>75</v>
      </c>
      <c r="I323" s="14">
        <v>44915.0</v>
      </c>
      <c r="J323" s="14"/>
      <c r="K323" s="15">
        <v>1.0</v>
      </c>
      <c r="L323" s="15">
        <v>1.0</v>
      </c>
      <c r="M323" s="16"/>
      <c r="N323" s="16"/>
      <c r="O323" s="17">
        <v>1.0</v>
      </c>
      <c r="P323" s="17">
        <v>1.0</v>
      </c>
      <c r="Q323" s="13">
        <f t="shared" si="337"/>
        <v>0</v>
      </c>
      <c r="R323" s="13"/>
      <c r="S323" s="13"/>
      <c r="T323" s="13">
        <f t="shared" ref="T323:Y323" si="338">IF(ISBLANK(K323)=TRUE,0,1)</f>
        <v>1</v>
      </c>
      <c r="U323" s="13">
        <f t="shared" si="338"/>
        <v>1</v>
      </c>
      <c r="V323" s="13">
        <f t="shared" si="338"/>
        <v>0</v>
      </c>
      <c r="W323" s="13">
        <f t="shared" si="338"/>
        <v>0</v>
      </c>
      <c r="X323" s="13">
        <f t="shared" si="338"/>
        <v>1</v>
      </c>
      <c r="Y323" s="13">
        <f t="shared" si="338"/>
        <v>1</v>
      </c>
      <c r="Z323" s="13">
        <f t="shared" si="4"/>
        <v>1</v>
      </c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</row>
    <row r="324" ht="14.25" hidden="1" customHeight="1">
      <c r="A324" s="13" t="s">
        <v>29</v>
      </c>
      <c r="B324" s="13" t="s">
        <v>32</v>
      </c>
      <c r="C324" s="13" t="s">
        <v>329</v>
      </c>
      <c r="D324" s="13" t="s">
        <v>174</v>
      </c>
      <c r="E324" s="13" t="str">
        <f t="shared" si="2"/>
        <v>COHR,35-1-30,AA,1</v>
      </c>
      <c r="F324" s="13"/>
      <c r="G324" s="26" t="s">
        <v>74</v>
      </c>
      <c r="H324" s="13" t="s">
        <v>75</v>
      </c>
      <c r="I324" s="13"/>
      <c r="J324" s="13"/>
      <c r="K324" s="15"/>
      <c r="L324" s="15"/>
      <c r="M324" s="16"/>
      <c r="N324" s="16"/>
      <c r="O324" s="17">
        <v>1.0</v>
      </c>
      <c r="P324" s="17">
        <v>1.0</v>
      </c>
      <c r="Q324" s="13"/>
      <c r="R324" s="13"/>
      <c r="S324" s="13"/>
      <c r="T324" s="13">
        <f t="shared" ref="T324:Y324" si="339">IF(ISBLANK(K324)=TRUE,0,1)</f>
        <v>0</v>
      </c>
      <c r="U324" s="13">
        <f t="shared" si="339"/>
        <v>0</v>
      </c>
      <c r="V324" s="13">
        <f t="shared" si="339"/>
        <v>0</v>
      </c>
      <c r="W324" s="13">
        <f t="shared" si="339"/>
        <v>0</v>
      </c>
      <c r="X324" s="13">
        <f t="shared" si="339"/>
        <v>1</v>
      </c>
      <c r="Y324" s="13">
        <f t="shared" si="339"/>
        <v>1</v>
      </c>
      <c r="Z324" s="13">
        <f t="shared" si="4"/>
        <v>1</v>
      </c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</row>
    <row r="325" ht="14.25" hidden="1" customHeight="1">
      <c r="A325" s="13" t="s">
        <v>29</v>
      </c>
      <c r="B325" s="13" t="s">
        <v>32</v>
      </c>
      <c r="C325" s="13" t="s">
        <v>329</v>
      </c>
      <c r="D325" s="13" t="s">
        <v>175</v>
      </c>
      <c r="E325" s="13" t="str">
        <f t="shared" si="2"/>
        <v>COHR,35-1-30,AB,1</v>
      </c>
      <c r="F325" s="13"/>
      <c r="G325" s="26" t="s">
        <v>74</v>
      </c>
      <c r="H325" s="13" t="s">
        <v>75</v>
      </c>
      <c r="I325" s="13"/>
      <c r="J325" s="13"/>
      <c r="K325" s="15"/>
      <c r="L325" s="15"/>
      <c r="M325" s="16"/>
      <c r="N325" s="16"/>
      <c r="O325" s="17">
        <v>1.0</v>
      </c>
      <c r="P325" s="17">
        <v>1.0</v>
      </c>
      <c r="Q325" s="13"/>
      <c r="R325" s="13"/>
      <c r="S325" s="13"/>
      <c r="T325" s="13">
        <f t="shared" ref="T325:Y325" si="340">IF(ISBLANK(K325)=TRUE,0,1)</f>
        <v>0</v>
      </c>
      <c r="U325" s="13">
        <f t="shared" si="340"/>
        <v>0</v>
      </c>
      <c r="V325" s="13">
        <f t="shared" si="340"/>
        <v>0</v>
      </c>
      <c r="W325" s="13">
        <f t="shared" si="340"/>
        <v>0</v>
      </c>
      <c r="X325" s="13">
        <f t="shared" si="340"/>
        <v>1</v>
      </c>
      <c r="Y325" s="13">
        <f t="shared" si="340"/>
        <v>1</v>
      </c>
      <c r="Z325" s="13">
        <f t="shared" si="4"/>
        <v>1</v>
      </c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</row>
    <row r="326" ht="14.25" hidden="1" customHeight="1">
      <c r="A326" s="13" t="s">
        <v>29</v>
      </c>
      <c r="B326" s="13" t="s">
        <v>32</v>
      </c>
      <c r="C326" s="13" t="s">
        <v>329</v>
      </c>
      <c r="D326" s="13" t="s">
        <v>176</v>
      </c>
      <c r="E326" s="13" t="str">
        <f t="shared" si="2"/>
        <v>COHR,35-1-30,AC,1</v>
      </c>
      <c r="F326" s="13"/>
      <c r="G326" s="13" t="s">
        <v>74</v>
      </c>
      <c r="H326" s="13" t="s">
        <v>75</v>
      </c>
      <c r="I326" s="13"/>
      <c r="J326" s="13"/>
      <c r="K326" s="15">
        <v>1.0</v>
      </c>
      <c r="L326" s="15">
        <v>1.0</v>
      </c>
      <c r="M326" s="16"/>
      <c r="N326" s="16"/>
      <c r="O326" s="17"/>
      <c r="P326" s="17"/>
      <c r="Q326" s="13"/>
      <c r="R326" s="13"/>
      <c r="S326" s="13"/>
      <c r="T326" s="13">
        <f t="shared" ref="T326:Y326" si="341">IF(ISBLANK(K326)=TRUE,0,1)</f>
        <v>1</v>
      </c>
      <c r="U326" s="13">
        <f t="shared" si="341"/>
        <v>1</v>
      </c>
      <c r="V326" s="13">
        <f t="shared" si="341"/>
        <v>0</v>
      </c>
      <c r="W326" s="13">
        <f t="shared" si="341"/>
        <v>0</v>
      </c>
      <c r="X326" s="13">
        <f t="shared" si="341"/>
        <v>0</v>
      </c>
      <c r="Y326" s="13">
        <f t="shared" si="341"/>
        <v>0</v>
      </c>
      <c r="Z326" s="13">
        <f t="shared" si="4"/>
        <v>1</v>
      </c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</row>
    <row r="327" ht="14.25" hidden="1" customHeight="1">
      <c r="A327" s="13" t="s">
        <v>29</v>
      </c>
      <c r="B327" s="13" t="s">
        <v>32</v>
      </c>
      <c r="C327" s="13" t="s">
        <v>329</v>
      </c>
      <c r="D327" s="13" t="s">
        <v>177</v>
      </c>
      <c r="E327" s="13" t="str">
        <f t="shared" si="2"/>
        <v>COHR,35-1-30,AD,1</v>
      </c>
      <c r="F327" s="13"/>
      <c r="G327" s="13" t="s">
        <v>74</v>
      </c>
      <c r="H327" s="13" t="s">
        <v>75</v>
      </c>
      <c r="I327" s="13"/>
      <c r="J327" s="13"/>
      <c r="K327" s="15">
        <v>1.0</v>
      </c>
      <c r="L327" s="15">
        <v>1.0</v>
      </c>
      <c r="M327" s="16"/>
      <c r="N327" s="16"/>
      <c r="O327" s="17"/>
      <c r="P327" s="17"/>
      <c r="Q327" s="13"/>
      <c r="R327" s="13"/>
      <c r="S327" s="13"/>
      <c r="T327" s="13">
        <f t="shared" ref="T327:Y327" si="342">IF(ISBLANK(K327)=TRUE,0,1)</f>
        <v>1</v>
      </c>
      <c r="U327" s="13">
        <f t="shared" si="342"/>
        <v>1</v>
      </c>
      <c r="V327" s="13">
        <f t="shared" si="342"/>
        <v>0</v>
      </c>
      <c r="W327" s="13">
        <f t="shared" si="342"/>
        <v>0</v>
      </c>
      <c r="X327" s="13">
        <f t="shared" si="342"/>
        <v>0</v>
      </c>
      <c r="Y327" s="13">
        <f t="shared" si="342"/>
        <v>0</v>
      </c>
      <c r="Z327" s="13">
        <f t="shared" si="4"/>
        <v>1</v>
      </c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</row>
    <row r="328" ht="14.25" hidden="1" customHeight="1">
      <c r="A328" s="13" t="s">
        <v>29</v>
      </c>
      <c r="B328" s="13" t="s">
        <v>32</v>
      </c>
      <c r="C328" s="13" t="s">
        <v>329</v>
      </c>
      <c r="D328" s="13" t="s">
        <v>178</v>
      </c>
      <c r="E328" s="13" t="str">
        <f t="shared" si="2"/>
        <v>COHR,35-1-30,AE,1</v>
      </c>
      <c r="F328" s="13"/>
      <c r="G328" s="13" t="s">
        <v>74</v>
      </c>
      <c r="H328" s="13" t="s">
        <v>75</v>
      </c>
      <c r="I328" s="13"/>
      <c r="J328" s="13"/>
      <c r="K328" s="15">
        <v>1.0</v>
      </c>
      <c r="L328" s="15">
        <v>1.0</v>
      </c>
      <c r="M328" s="16"/>
      <c r="N328" s="16"/>
      <c r="O328" s="17"/>
      <c r="P328" s="17"/>
      <c r="Q328" s="13"/>
      <c r="R328" s="13"/>
      <c r="S328" s="13"/>
      <c r="T328" s="13">
        <f t="shared" ref="T328:Y328" si="343">IF(ISBLANK(K328)=TRUE,0,1)</f>
        <v>1</v>
      </c>
      <c r="U328" s="13">
        <f t="shared" si="343"/>
        <v>1</v>
      </c>
      <c r="V328" s="13">
        <f t="shared" si="343"/>
        <v>0</v>
      </c>
      <c r="W328" s="13">
        <f t="shared" si="343"/>
        <v>0</v>
      </c>
      <c r="X328" s="13">
        <f t="shared" si="343"/>
        <v>0</v>
      </c>
      <c r="Y328" s="13">
        <f t="shared" si="343"/>
        <v>0</v>
      </c>
      <c r="Z328" s="13">
        <f t="shared" si="4"/>
        <v>1</v>
      </c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</row>
    <row r="329" ht="14.25" hidden="1" customHeight="1">
      <c r="A329" s="13" t="s">
        <v>29</v>
      </c>
      <c r="B329" s="13" t="s">
        <v>32</v>
      </c>
      <c r="C329" s="13" t="s">
        <v>329</v>
      </c>
      <c r="D329" s="13" t="s">
        <v>179</v>
      </c>
      <c r="E329" s="13" t="str">
        <f t="shared" si="2"/>
        <v>COHR,35-1-30,AF,1</v>
      </c>
      <c r="F329" s="13"/>
      <c r="G329" s="13" t="s">
        <v>74</v>
      </c>
      <c r="H329" s="13" t="s">
        <v>75</v>
      </c>
      <c r="I329" s="13"/>
      <c r="J329" s="13"/>
      <c r="K329" s="15">
        <v>1.0</v>
      </c>
      <c r="L329" s="15">
        <v>1.0</v>
      </c>
      <c r="M329" s="16"/>
      <c r="N329" s="16"/>
      <c r="O329" s="17"/>
      <c r="P329" s="17"/>
      <c r="Q329" s="13"/>
      <c r="R329" s="13"/>
      <c r="S329" s="13"/>
      <c r="T329" s="13">
        <f t="shared" ref="T329:Y329" si="344">IF(ISBLANK(K329)=TRUE,0,1)</f>
        <v>1</v>
      </c>
      <c r="U329" s="13">
        <f t="shared" si="344"/>
        <v>1</v>
      </c>
      <c r="V329" s="13">
        <f t="shared" si="344"/>
        <v>0</v>
      </c>
      <c r="W329" s="13">
        <f t="shared" si="344"/>
        <v>0</v>
      </c>
      <c r="X329" s="13">
        <f t="shared" si="344"/>
        <v>0</v>
      </c>
      <c r="Y329" s="13">
        <f t="shared" si="344"/>
        <v>0</v>
      </c>
      <c r="Z329" s="13">
        <f t="shared" si="4"/>
        <v>1</v>
      </c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</row>
    <row r="330" ht="14.25" hidden="1" customHeight="1">
      <c r="A330" s="13" t="s">
        <v>29</v>
      </c>
      <c r="B330" s="13" t="s">
        <v>32</v>
      </c>
      <c r="C330" s="13" t="s">
        <v>329</v>
      </c>
      <c r="D330" s="13" t="s">
        <v>180</v>
      </c>
      <c r="E330" s="13" t="str">
        <f t="shared" si="2"/>
        <v>COHR,35-1-30,AG,1</v>
      </c>
      <c r="F330" s="13"/>
      <c r="G330" s="13" t="s">
        <v>74</v>
      </c>
      <c r="H330" s="13" t="s">
        <v>75</v>
      </c>
      <c r="I330" s="13"/>
      <c r="J330" s="13"/>
      <c r="K330" s="15">
        <v>1.0</v>
      </c>
      <c r="L330" s="15">
        <v>1.0</v>
      </c>
      <c r="M330" s="16"/>
      <c r="N330" s="16"/>
      <c r="O330" s="17"/>
      <c r="P330" s="17"/>
      <c r="Q330" s="13"/>
      <c r="R330" s="13"/>
      <c r="S330" s="13"/>
      <c r="T330" s="13">
        <f t="shared" ref="T330:Y330" si="345">IF(ISBLANK(K330)=TRUE,0,1)</f>
        <v>1</v>
      </c>
      <c r="U330" s="13">
        <f t="shared" si="345"/>
        <v>1</v>
      </c>
      <c r="V330" s="13">
        <f t="shared" si="345"/>
        <v>0</v>
      </c>
      <c r="W330" s="13">
        <f t="shared" si="345"/>
        <v>0</v>
      </c>
      <c r="X330" s="13">
        <f t="shared" si="345"/>
        <v>0</v>
      </c>
      <c r="Y330" s="13">
        <f t="shared" si="345"/>
        <v>0</v>
      </c>
      <c r="Z330" s="13">
        <f t="shared" si="4"/>
        <v>1</v>
      </c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</row>
    <row r="331" ht="14.25" hidden="1" customHeight="1">
      <c r="A331" s="13" t="s">
        <v>29</v>
      </c>
      <c r="B331" s="13" t="s">
        <v>32</v>
      </c>
      <c r="C331" s="13" t="s">
        <v>329</v>
      </c>
      <c r="D331" s="13" t="s">
        <v>181</v>
      </c>
      <c r="E331" s="13" t="str">
        <f t="shared" si="2"/>
        <v>COHR,35-1-30,AH,1</v>
      </c>
      <c r="F331" s="13"/>
      <c r="G331" s="13" t="s">
        <v>74</v>
      </c>
      <c r="H331" s="13" t="s">
        <v>75</v>
      </c>
      <c r="I331" s="14">
        <v>44915.0</v>
      </c>
      <c r="J331" s="14"/>
      <c r="K331" s="15">
        <v>1.0</v>
      </c>
      <c r="L331" s="15">
        <v>1.0</v>
      </c>
      <c r="M331" s="16"/>
      <c r="N331" s="16"/>
      <c r="O331" s="17">
        <v>1.0</v>
      </c>
      <c r="P331" s="17">
        <v>1.0</v>
      </c>
      <c r="Q331" s="13">
        <f t="shared" ref="Q331:Q334" si="347">K330+L330+M330+N330+O330+P330/6</f>
        <v>2</v>
      </c>
      <c r="R331" s="13"/>
      <c r="S331" s="13"/>
      <c r="T331" s="13">
        <f t="shared" ref="T331:Y331" si="346">IF(ISBLANK(K331)=TRUE,0,1)</f>
        <v>1</v>
      </c>
      <c r="U331" s="13">
        <f t="shared" si="346"/>
        <v>1</v>
      </c>
      <c r="V331" s="13">
        <f t="shared" si="346"/>
        <v>0</v>
      </c>
      <c r="W331" s="13">
        <f t="shared" si="346"/>
        <v>0</v>
      </c>
      <c r="X331" s="13">
        <f t="shared" si="346"/>
        <v>1</v>
      </c>
      <c r="Y331" s="13">
        <f t="shared" si="346"/>
        <v>1</v>
      </c>
      <c r="Z331" s="13">
        <f t="shared" si="4"/>
        <v>1</v>
      </c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</row>
    <row r="332" ht="14.25" hidden="1" customHeight="1">
      <c r="A332" s="13" t="s">
        <v>29</v>
      </c>
      <c r="B332" s="13" t="s">
        <v>32</v>
      </c>
      <c r="C332" s="13" t="s">
        <v>329</v>
      </c>
      <c r="D332" s="13" t="s">
        <v>182</v>
      </c>
      <c r="E332" s="13" t="str">
        <f t="shared" si="2"/>
        <v>COHR,35-1-30,AI,1</v>
      </c>
      <c r="F332" s="13"/>
      <c r="G332" s="13" t="s">
        <v>74</v>
      </c>
      <c r="H332" s="13" t="s">
        <v>75</v>
      </c>
      <c r="I332" s="14">
        <v>44915.0</v>
      </c>
      <c r="J332" s="14"/>
      <c r="K332" s="15">
        <v>1.0</v>
      </c>
      <c r="L332" s="15">
        <v>1.0</v>
      </c>
      <c r="M332" s="16"/>
      <c r="N332" s="16"/>
      <c r="O332" s="17">
        <v>1.0</v>
      </c>
      <c r="P332" s="17">
        <v>1.0</v>
      </c>
      <c r="Q332" s="13">
        <f t="shared" si="347"/>
        <v>3.166666667</v>
      </c>
      <c r="R332" s="13"/>
      <c r="S332" s="13"/>
      <c r="T332" s="13">
        <f t="shared" ref="T332:Y332" si="348">IF(ISBLANK(K332)=TRUE,0,1)</f>
        <v>1</v>
      </c>
      <c r="U332" s="13">
        <f t="shared" si="348"/>
        <v>1</v>
      </c>
      <c r="V332" s="13">
        <f t="shared" si="348"/>
        <v>0</v>
      </c>
      <c r="W332" s="13">
        <f t="shared" si="348"/>
        <v>0</v>
      </c>
      <c r="X332" s="13">
        <f t="shared" si="348"/>
        <v>1</v>
      </c>
      <c r="Y332" s="13">
        <f t="shared" si="348"/>
        <v>1</v>
      </c>
      <c r="Z332" s="13">
        <f t="shared" si="4"/>
        <v>1</v>
      </c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</row>
    <row r="333" ht="14.25" hidden="1" customHeight="1">
      <c r="A333" s="13" t="s">
        <v>29</v>
      </c>
      <c r="B333" s="13" t="s">
        <v>32</v>
      </c>
      <c r="C333" s="13" t="s">
        <v>329</v>
      </c>
      <c r="D333" s="13" t="s">
        <v>183</v>
      </c>
      <c r="E333" s="13" t="str">
        <f t="shared" si="2"/>
        <v>COHR,35-1-30,AJ,1</v>
      </c>
      <c r="F333" s="13"/>
      <c r="G333" s="13" t="s">
        <v>74</v>
      </c>
      <c r="H333" s="13" t="s">
        <v>75</v>
      </c>
      <c r="I333" s="14">
        <v>44915.0</v>
      </c>
      <c r="J333" s="14"/>
      <c r="K333" s="15">
        <v>1.0</v>
      </c>
      <c r="L333" s="15">
        <v>1.0</v>
      </c>
      <c r="M333" s="16"/>
      <c r="N333" s="16"/>
      <c r="O333" s="17">
        <v>1.0</v>
      </c>
      <c r="P333" s="17">
        <v>1.0</v>
      </c>
      <c r="Q333" s="13">
        <f t="shared" si="347"/>
        <v>3.166666667</v>
      </c>
      <c r="R333" s="13"/>
      <c r="S333" s="13"/>
      <c r="T333" s="13">
        <f t="shared" ref="T333:Y333" si="349">IF(ISBLANK(K333)=TRUE,0,1)</f>
        <v>1</v>
      </c>
      <c r="U333" s="13">
        <f t="shared" si="349"/>
        <v>1</v>
      </c>
      <c r="V333" s="13">
        <f t="shared" si="349"/>
        <v>0</v>
      </c>
      <c r="W333" s="13">
        <f t="shared" si="349"/>
        <v>0</v>
      </c>
      <c r="X333" s="13">
        <f t="shared" si="349"/>
        <v>1</v>
      </c>
      <c r="Y333" s="13">
        <f t="shared" si="349"/>
        <v>1</v>
      </c>
      <c r="Z333" s="13">
        <f t="shared" si="4"/>
        <v>1</v>
      </c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</row>
    <row r="334" ht="14.25" hidden="1" customHeight="1">
      <c r="A334" s="13" t="s">
        <v>29</v>
      </c>
      <c r="B334" s="13" t="s">
        <v>32</v>
      </c>
      <c r="C334" s="13" t="s">
        <v>330</v>
      </c>
      <c r="D334" s="13"/>
      <c r="E334" s="13" t="str">
        <f t="shared" si="2"/>
        <v>COHR,35-1-31,,1</v>
      </c>
      <c r="F334" s="13"/>
      <c r="G334" s="13" t="s">
        <v>74</v>
      </c>
      <c r="H334" s="13" t="s">
        <v>75</v>
      </c>
      <c r="I334" s="14">
        <v>44915.0</v>
      </c>
      <c r="J334" s="14"/>
      <c r="K334" s="15"/>
      <c r="L334" s="15"/>
      <c r="M334" s="16"/>
      <c r="N334" s="16"/>
      <c r="O334" s="17">
        <v>1.0</v>
      </c>
      <c r="P334" s="17">
        <v>1.0</v>
      </c>
      <c r="Q334" s="13">
        <f t="shared" si="347"/>
        <v>3.166666667</v>
      </c>
      <c r="R334" s="13"/>
      <c r="S334" s="13"/>
      <c r="T334" s="13">
        <f t="shared" ref="T334:Y334" si="350">IF(ISBLANK(K334)=TRUE,0,1)</f>
        <v>0</v>
      </c>
      <c r="U334" s="13">
        <f t="shared" si="350"/>
        <v>0</v>
      </c>
      <c r="V334" s="13">
        <f t="shared" si="350"/>
        <v>0</v>
      </c>
      <c r="W334" s="13">
        <f t="shared" si="350"/>
        <v>0</v>
      </c>
      <c r="X334" s="13">
        <f t="shared" si="350"/>
        <v>1</v>
      </c>
      <c r="Y334" s="13">
        <f t="shared" si="350"/>
        <v>1</v>
      </c>
      <c r="Z334" s="13">
        <f t="shared" si="4"/>
        <v>1</v>
      </c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</row>
    <row r="335" ht="14.25" hidden="1" customHeight="1">
      <c r="A335" s="13" t="s">
        <v>29</v>
      </c>
      <c r="B335" s="13" t="s">
        <v>32</v>
      </c>
      <c r="C335" s="13" t="s">
        <v>330</v>
      </c>
      <c r="D335" s="13" t="s">
        <v>174</v>
      </c>
      <c r="E335" s="13" t="str">
        <f t="shared" si="2"/>
        <v>COHR,35-1-31,AA,1</v>
      </c>
      <c r="F335" s="13"/>
      <c r="G335" s="13" t="s">
        <v>74</v>
      </c>
      <c r="H335" s="13" t="s">
        <v>75</v>
      </c>
      <c r="I335" s="13"/>
      <c r="J335" s="13"/>
      <c r="K335" s="15"/>
      <c r="L335" s="15"/>
      <c r="M335" s="16"/>
      <c r="N335" s="16"/>
      <c r="O335" s="17">
        <v>1.0</v>
      </c>
      <c r="P335" s="17">
        <v>1.0</v>
      </c>
      <c r="Q335" s="13"/>
      <c r="R335" s="13"/>
      <c r="S335" s="13"/>
      <c r="T335" s="13">
        <f t="shared" ref="T335:Y335" si="351">IF(ISBLANK(K335)=TRUE,0,1)</f>
        <v>0</v>
      </c>
      <c r="U335" s="13">
        <f t="shared" si="351"/>
        <v>0</v>
      </c>
      <c r="V335" s="13">
        <f t="shared" si="351"/>
        <v>0</v>
      </c>
      <c r="W335" s="13">
        <f t="shared" si="351"/>
        <v>0</v>
      </c>
      <c r="X335" s="13">
        <f t="shared" si="351"/>
        <v>1</v>
      </c>
      <c r="Y335" s="13">
        <f t="shared" si="351"/>
        <v>1</v>
      </c>
      <c r="Z335" s="13">
        <f t="shared" si="4"/>
        <v>1</v>
      </c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</row>
    <row r="336" ht="14.25" hidden="1" customHeight="1">
      <c r="A336" s="13" t="s">
        <v>29</v>
      </c>
      <c r="B336" s="13" t="s">
        <v>32</v>
      </c>
      <c r="C336" s="13" t="s">
        <v>330</v>
      </c>
      <c r="D336" s="13" t="s">
        <v>175</v>
      </c>
      <c r="E336" s="13" t="str">
        <f t="shared" si="2"/>
        <v>COHR,35-1-31,AB,1</v>
      </c>
      <c r="F336" s="13"/>
      <c r="G336" s="13" t="s">
        <v>74</v>
      </c>
      <c r="H336" s="13" t="s">
        <v>75</v>
      </c>
      <c r="I336" s="13"/>
      <c r="J336" s="13"/>
      <c r="K336" s="15"/>
      <c r="L336" s="15"/>
      <c r="M336" s="16"/>
      <c r="N336" s="16"/>
      <c r="O336" s="17">
        <v>1.0</v>
      </c>
      <c r="P336" s="17">
        <v>1.0</v>
      </c>
      <c r="Q336" s="13"/>
      <c r="R336" s="13"/>
      <c r="S336" s="13"/>
      <c r="T336" s="13">
        <f t="shared" ref="T336:Y336" si="352">IF(ISBLANK(K336)=TRUE,0,1)</f>
        <v>0</v>
      </c>
      <c r="U336" s="13">
        <f t="shared" si="352"/>
        <v>0</v>
      </c>
      <c r="V336" s="13">
        <f t="shared" si="352"/>
        <v>0</v>
      </c>
      <c r="W336" s="13">
        <f t="shared" si="352"/>
        <v>0</v>
      </c>
      <c r="X336" s="13">
        <f t="shared" si="352"/>
        <v>1</v>
      </c>
      <c r="Y336" s="13">
        <f t="shared" si="352"/>
        <v>1</v>
      </c>
      <c r="Z336" s="13">
        <f t="shared" si="4"/>
        <v>1</v>
      </c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</row>
    <row r="337" ht="14.25" hidden="1" customHeight="1">
      <c r="A337" s="13" t="s">
        <v>29</v>
      </c>
      <c r="B337" s="13" t="s">
        <v>32</v>
      </c>
      <c r="C337" s="13" t="s">
        <v>330</v>
      </c>
      <c r="D337" s="13" t="s">
        <v>176</v>
      </c>
      <c r="E337" s="13" t="str">
        <f t="shared" si="2"/>
        <v>COHR,35-1-31,AC,1</v>
      </c>
      <c r="F337" s="13"/>
      <c r="G337" s="13" t="s">
        <v>74</v>
      </c>
      <c r="H337" s="13" t="s">
        <v>75</v>
      </c>
      <c r="I337" s="13"/>
      <c r="J337" s="13"/>
      <c r="K337" s="15"/>
      <c r="L337" s="15"/>
      <c r="M337" s="16"/>
      <c r="N337" s="16"/>
      <c r="O337" s="17">
        <v>1.0</v>
      </c>
      <c r="P337" s="17">
        <v>1.0</v>
      </c>
      <c r="Q337" s="13"/>
      <c r="R337" s="13"/>
      <c r="S337" s="13"/>
      <c r="T337" s="13">
        <f t="shared" ref="T337:Y337" si="353">IF(ISBLANK(K337)=TRUE,0,1)</f>
        <v>0</v>
      </c>
      <c r="U337" s="13">
        <f t="shared" si="353"/>
        <v>0</v>
      </c>
      <c r="V337" s="13">
        <f t="shared" si="353"/>
        <v>0</v>
      </c>
      <c r="W337" s="13">
        <f t="shared" si="353"/>
        <v>0</v>
      </c>
      <c r="X337" s="13">
        <f t="shared" si="353"/>
        <v>1</v>
      </c>
      <c r="Y337" s="13">
        <f t="shared" si="353"/>
        <v>1</v>
      </c>
      <c r="Z337" s="13">
        <f t="shared" si="4"/>
        <v>1</v>
      </c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</row>
    <row r="338" ht="14.25" hidden="1" customHeight="1">
      <c r="A338" s="13" t="s">
        <v>29</v>
      </c>
      <c r="B338" s="13" t="s">
        <v>32</v>
      </c>
      <c r="C338" s="13" t="s">
        <v>330</v>
      </c>
      <c r="D338" s="13" t="s">
        <v>177</v>
      </c>
      <c r="E338" s="13" t="str">
        <f t="shared" si="2"/>
        <v>COHR,35-1-31,AD,1</v>
      </c>
      <c r="F338" s="13"/>
      <c r="G338" s="13" t="s">
        <v>74</v>
      </c>
      <c r="H338" s="13" t="s">
        <v>75</v>
      </c>
      <c r="I338" s="13"/>
      <c r="J338" s="13"/>
      <c r="K338" s="15"/>
      <c r="L338" s="15"/>
      <c r="M338" s="16"/>
      <c r="N338" s="16"/>
      <c r="O338" s="17">
        <v>1.0</v>
      </c>
      <c r="P338" s="17">
        <v>1.0</v>
      </c>
      <c r="Q338" s="13"/>
      <c r="R338" s="13"/>
      <c r="S338" s="13"/>
      <c r="T338" s="13">
        <f t="shared" ref="T338:Y338" si="354">IF(ISBLANK(K338)=TRUE,0,1)</f>
        <v>0</v>
      </c>
      <c r="U338" s="13">
        <f t="shared" si="354"/>
        <v>0</v>
      </c>
      <c r="V338" s="13">
        <f t="shared" si="354"/>
        <v>0</v>
      </c>
      <c r="W338" s="13">
        <f t="shared" si="354"/>
        <v>0</v>
      </c>
      <c r="X338" s="13">
        <f t="shared" si="354"/>
        <v>1</v>
      </c>
      <c r="Y338" s="13">
        <f t="shared" si="354"/>
        <v>1</v>
      </c>
      <c r="Z338" s="13">
        <f t="shared" si="4"/>
        <v>1</v>
      </c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</row>
    <row r="339" ht="14.25" hidden="1" customHeight="1">
      <c r="A339" s="13" t="s">
        <v>29</v>
      </c>
      <c r="B339" s="13" t="s">
        <v>32</v>
      </c>
      <c r="C339" s="13" t="s">
        <v>331</v>
      </c>
      <c r="D339" s="13"/>
      <c r="E339" s="13" t="str">
        <f t="shared" si="2"/>
        <v>COHR,35-1-32,,1</v>
      </c>
      <c r="F339" s="13"/>
      <c r="G339" s="13" t="s">
        <v>74</v>
      </c>
      <c r="H339" s="13" t="s">
        <v>75</v>
      </c>
      <c r="I339" s="14">
        <v>44915.0</v>
      </c>
      <c r="J339" s="14"/>
      <c r="K339" s="15"/>
      <c r="L339" s="15"/>
      <c r="M339" s="16"/>
      <c r="N339" s="16"/>
      <c r="O339" s="17">
        <v>1.0</v>
      </c>
      <c r="P339" s="17">
        <v>1.0</v>
      </c>
      <c r="Q339" s="13">
        <f>K338+L338+M338+N338+O338+P338/6</f>
        <v>1.166666667</v>
      </c>
      <c r="R339" s="13"/>
      <c r="S339" s="13"/>
      <c r="T339" s="13">
        <f t="shared" ref="T339:Y339" si="355">IF(ISBLANK(K339)=TRUE,0,1)</f>
        <v>0</v>
      </c>
      <c r="U339" s="13">
        <f t="shared" si="355"/>
        <v>0</v>
      </c>
      <c r="V339" s="13">
        <f t="shared" si="355"/>
        <v>0</v>
      </c>
      <c r="W339" s="13">
        <f t="shared" si="355"/>
        <v>0</v>
      </c>
      <c r="X339" s="13">
        <f t="shared" si="355"/>
        <v>1</v>
      </c>
      <c r="Y339" s="13">
        <f t="shared" si="355"/>
        <v>1</v>
      </c>
      <c r="Z339" s="13">
        <f t="shared" si="4"/>
        <v>1</v>
      </c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</row>
    <row r="340" ht="14.25" hidden="1" customHeight="1">
      <c r="A340" s="13" t="s">
        <v>29</v>
      </c>
      <c r="B340" s="13" t="s">
        <v>32</v>
      </c>
      <c r="C340" s="13" t="s">
        <v>331</v>
      </c>
      <c r="D340" s="13" t="s">
        <v>174</v>
      </c>
      <c r="E340" s="13" t="str">
        <f t="shared" si="2"/>
        <v>COHR,35-1-32,AA,1</v>
      </c>
      <c r="F340" s="13"/>
      <c r="G340" s="26" t="s">
        <v>74</v>
      </c>
      <c r="H340" s="13" t="s">
        <v>75</v>
      </c>
      <c r="I340" s="13"/>
      <c r="J340" s="13"/>
      <c r="K340" s="15"/>
      <c r="L340" s="15"/>
      <c r="M340" s="16"/>
      <c r="N340" s="16"/>
      <c r="O340" s="17">
        <v>1.0</v>
      </c>
      <c r="P340" s="17">
        <v>1.0</v>
      </c>
      <c r="Q340" s="13"/>
      <c r="R340" s="13"/>
      <c r="S340" s="13"/>
      <c r="T340" s="13">
        <f t="shared" ref="T340:Y340" si="356">IF(ISBLANK(K340)=TRUE,0,1)</f>
        <v>0</v>
      </c>
      <c r="U340" s="13">
        <f t="shared" si="356"/>
        <v>0</v>
      </c>
      <c r="V340" s="13">
        <f t="shared" si="356"/>
        <v>0</v>
      </c>
      <c r="W340" s="13">
        <f t="shared" si="356"/>
        <v>0</v>
      </c>
      <c r="X340" s="13">
        <f t="shared" si="356"/>
        <v>1</v>
      </c>
      <c r="Y340" s="13">
        <f t="shared" si="356"/>
        <v>1</v>
      </c>
      <c r="Z340" s="13">
        <f t="shared" si="4"/>
        <v>1</v>
      </c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</row>
    <row r="341" ht="14.25" hidden="1" customHeight="1">
      <c r="A341" s="13" t="s">
        <v>29</v>
      </c>
      <c r="B341" s="13" t="s">
        <v>32</v>
      </c>
      <c r="C341" s="13" t="s">
        <v>331</v>
      </c>
      <c r="D341" s="13" t="s">
        <v>175</v>
      </c>
      <c r="E341" s="13" t="str">
        <f t="shared" si="2"/>
        <v>COHR,35-1-32,AB,1</v>
      </c>
      <c r="F341" s="13"/>
      <c r="G341" s="13" t="s">
        <v>74</v>
      </c>
      <c r="H341" s="13" t="s">
        <v>75</v>
      </c>
      <c r="I341" s="13"/>
      <c r="J341" s="13"/>
      <c r="K341" s="15">
        <v>1.0</v>
      </c>
      <c r="L341" s="15">
        <v>1.0</v>
      </c>
      <c r="M341" s="16"/>
      <c r="N341" s="16"/>
      <c r="O341" s="17"/>
      <c r="P341" s="17"/>
      <c r="Q341" s="13"/>
      <c r="R341" s="13"/>
      <c r="S341" s="13"/>
      <c r="T341" s="13">
        <f t="shared" ref="T341:Y341" si="357">IF(ISBLANK(K341)=TRUE,0,1)</f>
        <v>1</v>
      </c>
      <c r="U341" s="13">
        <f t="shared" si="357"/>
        <v>1</v>
      </c>
      <c r="V341" s="13">
        <f t="shared" si="357"/>
        <v>0</v>
      </c>
      <c r="W341" s="13">
        <f t="shared" si="357"/>
        <v>0</v>
      </c>
      <c r="X341" s="13">
        <f t="shared" si="357"/>
        <v>0</v>
      </c>
      <c r="Y341" s="13">
        <f t="shared" si="357"/>
        <v>0</v>
      </c>
      <c r="Z341" s="13">
        <f t="shared" si="4"/>
        <v>1</v>
      </c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</row>
    <row r="342" ht="14.25" hidden="1" customHeight="1">
      <c r="A342" s="13" t="s">
        <v>29</v>
      </c>
      <c r="B342" s="13" t="s">
        <v>32</v>
      </c>
      <c r="C342" s="13" t="s">
        <v>332</v>
      </c>
      <c r="D342" s="13"/>
      <c r="E342" s="13" t="str">
        <f t="shared" si="2"/>
        <v>COHR,35-1-33,,1</v>
      </c>
      <c r="F342" s="13"/>
      <c r="G342" s="13" t="s">
        <v>74</v>
      </c>
      <c r="H342" s="13" t="s">
        <v>75</v>
      </c>
      <c r="I342" s="14">
        <v>44915.0</v>
      </c>
      <c r="J342" s="14"/>
      <c r="K342" s="15">
        <v>1.0</v>
      </c>
      <c r="L342" s="15">
        <v>1.0</v>
      </c>
      <c r="M342" s="16"/>
      <c r="N342" s="16"/>
      <c r="O342" s="17">
        <v>1.0</v>
      </c>
      <c r="P342" s="17">
        <v>1.0</v>
      </c>
      <c r="Q342" s="13">
        <f>K341+L341+M341+N341+O341+P341/6</f>
        <v>2</v>
      </c>
      <c r="R342" s="13"/>
      <c r="S342" s="13"/>
      <c r="T342" s="13">
        <f t="shared" ref="T342:Y342" si="358">IF(ISBLANK(K342)=TRUE,0,1)</f>
        <v>1</v>
      </c>
      <c r="U342" s="13">
        <f t="shared" si="358"/>
        <v>1</v>
      </c>
      <c r="V342" s="13">
        <f t="shared" si="358"/>
        <v>0</v>
      </c>
      <c r="W342" s="13">
        <f t="shared" si="358"/>
        <v>0</v>
      </c>
      <c r="X342" s="13">
        <f t="shared" si="358"/>
        <v>1</v>
      </c>
      <c r="Y342" s="13">
        <f t="shared" si="358"/>
        <v>1</v>
      </c>
      <c r="Z342" s="13">
        <f t="shared" si="4"/>
        <v>1</v>
      </c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</row>
    <row r="343" ht="14.25" hidden="1" customHeight="1">
      <c r="A343" s="13" t="s">
        <v>29</v>
      </c>
      <c r="B343" s="13" t="s">
        <v>32</v>
      </c>
      <c r="C343" s="13" t="s">
        <v>332</v>
      </c>
      <c r="D343" s="13" t="s">
        <v>174</v>
      </c>
      <c r="E343" s="13" t="str">
        <f t="shared" si="2"/>
        <v>COHR,35-1-33,AA,1</v>
      </c>
      <c r="F343" s="13"/>
      <c r="G343" s="13" t="s">
        <v>74</v>
      </c>
      <c r="H343" s="13" t="s">
        <v>75</v>
      </c>
      <c r="I343" s="13"/>
      <c r="J343" s="13"/>
      <c r="K343" s="15">
        <v>1.0</v>
      </c>
      <c r="L343" s="15">
        <v>1.0</v>
      </c>
      <c r="M343" s="16"/>
      <c r="N343" s="16"/>
      <c r="O343" s="17"/>
      <c r="P343" s="17"/>
      <c r="Q343" s="13"/>
      <c r="R343" s="13"/>
      <c r="S343" s="13"/>
      <c r="T343" s="13">
        <f t="shared" ref="T343:Y343" si="359">IF(ISBLANK(K343)=TRUE,0,1)</f>
        <v>1</v>
      </c>
      <c r="U343" s="13">
        <f t="shared" si="359"/>
        <v>1</v>
      </c>
      <c r="V343" s="13">
        <f t="shared" si="359"/>
        <v>0</v>
      </c>
      <c r="W343" s="13">
        <f t="shared" si="359"/>
        <v>0</v>
      </c>
      <c r="X343" s="13">
        <f t="shared" si="359"/>
        <v>0</v>
      </c>
      <c r="Y343" s="13">
        <f t="shared" si="359"/>
        <v>0</v>
      </c>
      <c r="Z343" s="13">
        <f t="shared" si="4"/>
        <v>1</v>
      </c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</row>
    <row r="344" ht="14.25" hidden="1" customHeight="1">
      <c r="A344" s="13" t="s">
        <v>29</v>
      </c>
      <c r="B344" s="13" t="s">
        <v>32</v>
      </c>
      <c r="C344" s="13" t="s">
        <v>332</v>
      </c>
      <c r="D344" s="13" t="s">
        <v>175</v>
      </c>
      <c r="E344" s="13" t="str">
        <f t="shared" si="2"/>
        <v>COHR,35-1-33,AB,1</v>
      </c>
      <c r="F344" s="13"/>
      <c r="G344" s="13" t="s">
        <v>74</v>
      </c>
      <c r="H344" s="13" t="s">
        <v>75</v>
      </c>
      <c r="I344" s="13"/>
      <c r="J344" s="13"/>
      <c r="K344" s="15">
        <v>1.0</v>
      </c>
      <c r="L344" s="15">
        <v>1.0</v>
      </c>
      <c r="M344" s="16"/>
      <c r="N344" s="16"/>
      <c r="O344" s="17"/>
      <c r="P344" s="17"/>
      <c r="Q344" s="13"/>
      <c r="R344" s="13"/>
      <c r="S344" s="13"/>
      <c r="T344" s="13">
        <f t="shared" ref="T344:Y344" si="360">IF(ISBLANK(K344)=TRUE,0,1)</f>
        <v>1</v>
      </c>
      <c r="U344" s="13">
        <f t="shared" si="360"/>
        <v>1</v>
      </c>
      <c r="V344" s="13">
        <f t="shared" si="360"/>
        <v>0</v>
      </c>
      <c r="W344" s="13">
        <f t="shared" si="360"/>
        <v>0</v>
      </c>
      <c r="X344" s="13">
        <f t="shared" si="360"/>
        <v>0</v>
      </c>
      <c r="Y344" s="13">
        <f t="shared" si="360"/>
        <v>0</v>
      </c>
      <c r="Z344" s="13">
        <f t="shared" si="4"/>
        <v>1</v>
      </c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</row>
    <row r="345" ht="14.25" hidden="1" customHeight="1">
      <c r="A345" s="13" t="s">
        <v>29</v>
      </c>
      <c r="B345" s="13" t="s">
        <v>32</v>
      </c>
      <c r="C345" s="13" t="s">
        <v>332</v>
      </c>
      <c r="D345" s="13" t="s">
        <v>176</v>
      </c>
      <c r="E345" s="13" t="str">
        <f t="shared" si="2"/>
        <v>COHR,35-1-33,AC,1</v>
      </c>
      <c r="F345" s="13"/>
      <c r="G345" s="13" t="s">
        <v>74</v>
      </c>
      <c r="H345" s="13" t="s">
        <v>75</v>
      </c>
      <c r="I345" s="13"/>
      <c r="J345" s="13"/>
      <c r="K345" s="15">
        <v>1.0</v>
      </c>
      <c r="L345" s="15">
        <v>1.0</v>
      </c>
      <c r="M345" s="16"/>
      <c r="N345" s="16"/>
      <c r="O345" s="17"/>
      <c r="P345" s="17"/>
      <c r="Q345" s="13"/>
      <c r="R345" s="13"/>
      <c r="S345" s="13"/>
      <c r="T345" s="13">
        <f t="shared" ref="T345:Y345" si="361">IF(ISBLANK(K345)=TRUE,0,1)</f>
        <v>1</v>
      </c>
      <c r="U345" s="13">
        <f t="shared" si="361"/>
        <v>1</v>
      </c>
      <c r="V345" s="13">
        <f t="shared" si="361"/>
        <v>0</v>
      </c>
      <c r="W345" s="13">
        <f t="shared" si="361"/>
        <v>0</v>
      </c>
      <c r="X345" s="13">
        <f t="shared" si="361"/>
        <v>0</v>
      </c>
      <c r="Y345" s="13">
        <f t="shared" si="361"/>
        <v>0</v>
      </c>
      <c r="Z345" s="13">
        <f t="shared" si="4"/>
        <v>1</v>
      </c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</row>
    <row r="346" ht="14.25" hidden="1" customHeight="1">
      <c r="A346" s="13" t="s">
        <v>29</v>
      </c>
      <c r="B346" s="13" t="s">
        <v>32</v>
      </c>
      <c r="C346" s="13" t="s">
        <v>332</v>
      </c>
      <c r="D346" s="13" t="s">
        <v>177</v>
      </c>
      <c r="E346" s="13" t="str">
        <f t="shared" si="2"/>
        <v>COHR,35-1-33,AD,1</v>
      </c>
      <c r="F346" s="13"/>
      <c r="G346" s="13" t="s">
        <v>74</v>
      </c>
      <c r="H346" s="13" t="s">
        <v>75</v>
      </c>
      <c r="I346" s="13"/>
      <c r="J346" s="13"/>
      <c r="K346" s="15">
        <v>1.0</v>
      </c>
      <c r="L346" s="15">
        <v>1.0</v>
      </c>
      <c r="M346" s="16"/>
      <c r="N346" s="16"/>
      <c r="O346" s="17"/>
      <c r="P346" s="17"/>
      <c r="Q346" s="13"/>
      <c r="R346" s="13"/>
      <c r="S346" s="13"/>
      <c r="T346" s="13">
        <f t="shared" ref="T346:Y346" si="362">IF(ISBLANK(K346)=TRUE,0,1)</f>
        <v>1</v>
      </c>
      <c r="U346" s="13">
        <f t="shared" si="362"/>
        <v>1</v>
      </c>
      <c r="V346" s="13">
        <f t="shared" si="362"/>
        <v>0</v>
      </c>
      <c r="W346" s="13">
        <f t="shared" si="362"/>
        <v>0</v>
      </c>
      <c r="X346" s="13">
        <f t="shared" si="362"/>
        <v>0</v>
      </c>
      <c r="Y346" s="13">
        <f t="shared" si="362"/>
        <v>0</v>
      </c>
      <c r="Z346" s="13">
        <f t="shared" si="4"/>
        <v>1</v>
      </c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</row>
    <row r="347" ht="14.25" hidden="1" customHeight="1">
      <c r="A347" s="13" t="s">
        <v>29</v>
      </c>
      <c r="B347" s="13" t="s">
        <v>32</v>
      </c>
      <c r="C347" s="13" t="s">
        <v>332</v>
      </c>
      <c r="D347" s="13" t="s">
        <v>178</v>
      </c>
      <c r="E347" s="13" t="str">
        <f t="shared" si="2"/>
        <v>COHR,35-1-33,AE,1</v>
      </c>
      <c r="F347" s="13"/>
      <c r="G347" s="13" t="s">
        <v>74</v>
      </c>
      <c r="H347" s="13" t="s">
        <v>75</v>
      </c>
      <c r="I347" s="13"/>
      <c r="J347" s="13"/>
      <c r="K347" s="15">
        <v>1.0</v>
      </c>
      <c r="L347" s="15">
        <v>1.0</v>
      </c>
      <c r="M347" s="16"/>
      <c r="N347" s="16"/>
      <c r="O347" s="17"/>
      <c r="P347" s="17"/>
      <c r="Q347" s="13"/>
      <c r="R347" s="13"/>
      <c r="S347" s="13"/>
      <c r="T347" s="13">
        <f t="shared" ref="T347:Y347" si="363">IF(ISBLANK(K347)=TRUE,0,1)</f>
        <v>1</v>
      </c>
      <c r="U347" s="13">
        <f t="shared" si="363"/>
        <v>1</v>
      </c>
      <c r="V347" s="13">
        <f t="shared" si="363"/>
        <v>0</v>
      </c>
      <c r="W347" s="13">
        <f t="shared" si="363"/>
        <v>0</v>
      </c>
      <c r="X347" s="13">
        <f t="shared" si="363"/>
        <v>0</v>
      </c>
      <c r="Y347" s="13">
        <f t="shared" si="363"/>
        <v>0</v>
      </c>
      <c r="Z347" s="13">
        <f t="shared" si="4"/>
        <v>1</v>
      </c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</row>
    <row r="348" ht="14.25" hidden="1" customHeight="1">
      <c r="A348" s="13" t="s">
        <v>29</v>
      </c>
      <c r="B348" s="13" t="s">
        <v>32</v>
      </c>
      <c r="C348" s="13" t="s">
        <v>332</v>
      </c>
      <c r="D348" s="13" t="s">
        <v>179</v>
      </c>
      <c r="E348" s="13" t="str">
        <f t="shared" si="2"/>
        <v>COHR,35-1-33,AF,1</v>
      </c>
      <c r="F348" s="13"/>
      <c r="G348" s="13" t="s">
        <v>74</v>
      </c>
      <c r="H348" s="13" t="s">
        <v>75</v>
      </c>
      <c r="I348" s="14">
        <v>44915.0</v>
      </c>
      <c r="J348" s="14"/>
      <c r="K348" s="15">
        <v>1.0</v>
      </c>
      <c r="L348" s="15">
        <v>1.0</v>
      </c>
      <c r="M348" s="16"/>
      <c r="N348" s="16"/>
      <c r="O348" s="17">
        <v>1.0</v>
      </c>
      <c r="P348" s="17">
        <v>1.0</v>
      </c>
      <c r="Q348" s="13">
        <f t="shared" ref="Q348:Q349" si="365">K347+L347+M347+N347+O347+P347/6</f>
        <v>2</v>
      </c>
      <c r="R348" s="13"/>
      <c r="S348" s="13"/>
      <c r="T348" s="13">
        <f t="shared" ref="T348:Y348" si="364">IF(ISBLANK(K348)=TRUE,0,1)</f>
        <v>1</v>
      </c>
      <c r="U348" s="13">
        <f t="shared" si="364"/>
        <v>1</v>
      </c>
      <c r="V348" s="13">
        <f t="shared" si="364"/>
        <v>0</v>
      </c>
      <c r="W348" s="13">
        <f t="shared" si="364"/>
        <v>0</v>
      </c>
      <c r="X348" s="13">
        <f t="shared" si="364"/>
        <v>1</v>
      </c>
      <c r="Y348" s="13">
        <f t="shared" si="364"/>
        <v>1</v>
      </c>
      <c r="Z348" s="13">
        <f t="shared" si="4"/>
        <v>1</v>
      </c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</row>
    <row r="349" ht="14.25" hidden="1" customHeight="1">
      <c r="A349" s="13" t="s">
        <v>29</v>
      </c>
      <c r="B349" s="13" t="s">
        <v>32</v>
      </c>
      <c r="C349" s="13" t="s">
        <v>333</v>
      </c>
      <c r="D349" s="13"/>
      <c r="E349" s="13" t="str">
        <f t="shared" si="2"/>
        <v>COHR,35-1-34,,1</v>
      </c>
      <c r="F349" s="13"/>
      <c r="G349" s="13" t="s">
        <v>74</v>
      </c>
      <c r="H349" s="13" t="s">
        <v>75</v>
      </c>
      <c r="I349" s="14">
        <v>44915.0</v>
      </c>
      <c r="J349" s="14"/>
      <c r="K349" s="15"/>
      <c r="L349" s="15"/>
      <c r="M349" s="16"/>
      <c r="N349" s="16"/>
      <c r="O349" s="17">
        <v>1.0</v>
      </c>
      <c r="P349" s="17">
        <v>1.0</v>
      </c>
      <c r="Q349" s="13">
        <f t="shared" si="365"/>
        <v>3.166666667</v>
      </c>
      <c r="R349" s="13"/>
      <c r="S349" s="13"/>
      <c r="T349" s="13">
        <f t="shared" ref="T349:Y349" si="366">IF(ISBLANK(K349)=TRUE,0,1)</f>
        <v>0</v>
      </c>
      <c r="U349" s="13">
        <f t="shared" si="366"/>
        <v>0</v>
      </c>
      <c r="V349" s="13">
        <f t="shared" si="366"/>
        <v>0</v>
      </c>
      <c r="W349" s="13">
        <f t="shared" si="366"/>
        <v>0</v>
      </c>
      <c r="X349" s="13">
        <f t="shared" si="366"/>
        <v>1</v>
      </c>
      <c r="Y349" s="13">
        <f t="shared" si="366"/>
        <v>1</v>
      </c>
      <c r="Z349" s="13">
        <f t="shared" si="4"/>
        <v>1</v>
      </c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</row>
    <row r="350" ht="14.25" hidden="1" customHeight="1">
      <c r="A350" s="13" t="s">
        <v>29</v>
      </c>
      <c r="B350" s="13" t="s">
        <v>32</v>
      </c>
      <c r="C350" s="13" t="s">
        <v>333</v>
      </c>
      <c r="D350" s="13" t="s">
        <v>174</v>
      </c>
      <c r="E350" s="13" t="str">
        <f t="shared" si="2"/>
        <v>COHR,35-1-34,AA,1</v>
      </c>
      <c r="F350" s="13"/>
      <c r="G350" s="13" t="s">
        <v>74</v>
      </c>
      <c r="H350" s="13" t="s">
        <v>75</v>
      </c>
      <c r="I350" s="13"/>
      <c r="J350" s="13"/>
      <c r="K350" s="15"/>
      <c r="L350" s="15"/>
      <c r="M350" s="16"/>
      <c r="N350" s="16"/>
      <c r="O350" s="17">
        <v>1.0</v>
      </c>
      <c r="P350" s="17">
        <v>1.0</v>
      </c>
      <c r="Q350" s="13"/>
      <c r="R350" s="13"/>
      <c r="S350" s="13"/>
      <c r="T350" s="13">
        <f t="shared" ref="T350:Y350" si="367">IF(ISBLANK(K350)=TRUE,0,1)</f>
        <v>0</v>
      </c>
      <c r="U350" s="13">
        <f t="shared" si="367"/>
        <v>0</v>
      </c>
      <c r="V350" s="13">
        <f t="shared" si="367"/>
        <v>0</v>
      </c>
      <c r="W350" s="13">
        <f t="shared" si="367"/>
        <v>0</v>
      </c>
      <c r="X350" s="13">
        <f t="shared" si="367"/>
        <v>1</v>
      </c>
      <c r="Y350" s="13">
        <f t="shared" si="367"/>
        <v>1</v>
      </c>
      <c r="Z350" s="13">
        <f t="shared" si="4"/>
        <v>1</v>
      </c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</row>
    <row r="351" ht="14.25" hidden="1" customHeight="1">
      <c r="A351" s="13" t="s">
        <v>29</v>
      </c>
      <c r="B351" s="13" t="s">
        <v>32</v>
      </c>
      <c r="C351" s="13" t="s">
        <v>334</v>
      </c>
      <c r="D351" s="13"/>
      <c r="E351" s="13" t="str">
        <f t="shared" si="2"/>
        <v>COHR,35-1-35,,NA</v>
      </c>
      <c r="F351" s="13"/>
      <c r="G351" s="13" t="s">
        <v>74</v>
      </c>
      <c r="H351" s="13" t="s">
        <v>107</v>
      </c>
      <c r="I351" s="14">
        <v>44915.0</v>
      </c>
      <c r="J351" s="14"/>
      <c r="K351" s="15"/>
      <c r="L351" s="15"/>
      <c r="M351" s="16"/>
      <c r="N351" s="16"/>
      <c r="O351" s="17"/>
      <c r="P351" s="17"/>
      <c r="Q351" s="13">
        <f t="shared" ref="Q351:Q352" si="369">K350+L350+M350+N350+O350+P350/6</f>
        <v>1.166666667</v>
      </c>
      <c r="R351" s="13"/>
      <c r="S351" s="13"/>
      <c r="T351" s="13">
        <f t="shared" ref="T351:Y351" si="368">IF(ISBLANK(K351)=TRUE,0,1)</f>
        <v>0</v>
      </c>
      <c r="U351" s="13">
        <f t="shared" si="368"/>
        <v>0</v>
      </c>
      <c r="V351" s="13">
        <f t="shared" si="368"/>
        <v>0</v>
      </c>
      <c r="W351" s="13">
        <f t="shared" si="368"/>
        <v>0</v>
      </c>
      <c r="X351" s="13">
        <f t="shared" si="368"/>
        <v>0</v>
      </c>
      <c r="Y351" s="13">
        <f t="shared" si="368"/>
        <v>0</v>
      </c>
      <c r="Z351" s="13" t="str">
        <f t="shared" si="4"/>
        <v>NA</v>
      </c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</row>
    <row r="352" ht="14.25" hidden="1" customHeight="1">
      <c r="A352" s="13" t="s">
        <v>29</v>
      </c>
      <c r="B352" s="13" t="s">
        <v>32</v>
      </c>
      <c r="C352" s="13" t="s">
        <v>335</v>
      </c>
      <c r="D352" s="13"/>
      <c r="E352" s="13" t="str">
        <f t="shared" si="2"/>
        <v>COHR,35-1-36,,1</v>
      </c>
      <c r="F352" s="13"/>
      <c r="G352" s="13" t="s">
        <v>74</v>
      </c>
      <c r="H352" s="13" t="s">
        <v>75</v>
      </c>
      <c r="I352" s="14">
        <v>44915.0</v>
      </c>
      <c r="J352" s="14"/>
      <c r="K352" s="15"/>
      <c r="L352" s="15"/>
      <c r="M352" s="16"/>
      <c r="N352" s="16"/>
      <c r="O352" s="17">
        <v>1.0</v>
      </c>
      <c r="P352" s="17">
        <v>1.0</v>
      </c>
      <c r="Q352" s="13">
        <f t="shared" si="369"/>
        <v>0</v>
      </c>
      <c r="R352" s="13"/>
      <c r="S352" s="13"/>
      <c r="T352" s="13">
        <f t="shared" ref="T352:Y352" si="370">IF(ISBLANK(K352)=TRUE,0,1)</f>
        <v>0</v>
      </c>
      <c r="U352" s="13">
        <f t="shared" si="370"/>
        <v>0</v>
      </c>
      <c r="V352" s="13">
        <f t="shared" si="370"/>
        <v>0</v>
      </c>
      <c r="W352" s="13">
        <f t="shared" si="370"/>
        <v>0</v>
      </c>
      <c r="X352" s="13">
        <f t="shared" si="370"/>
        <v>1</v>
      </c>
      <c r="Y352" s="13">
        <f t="shared" si="370"/>
        <v>1</v>
      </c>
      <c r="Z352" s="13">
        <f t="shared" si="4"/>
        <v>1</v>
      </c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</row>
    <row r="353" ht="14.25" hidden="1" customHeight="1">
      <c r="A353" s="13" t="s">
        <v>29</v>
      </c>
      <c r="B353" s="13" t="s">
        <v>32</v>
      </c>
      <c r="C353" s="13" t="s">
        <v>335</v>
      </c>
      <c r="D353" s="13" t="s">
        <v>174</v>
      </c>
      <c r="E353" s="13" t="str">
        <f t="shared" si="2"/>
        <v>COHR,35-1-36,AA,1</v>
      </c>
      <c r="F353" s="13"/>
      <c r="G353" s="13" t="s">
        <v>74</v>
      </c>
      <c r="H353" s="13" t="s">
        <v>75</v>
      </c>
      <c r="I353" s="13"/>
      <c r="J353" s="13"/>
      <c r="K353" s="15"/>
      <c r="L353" s="15"/>
      <c r="M353" s="16"/>
      <c r="N353" s="16"/>
      <c r="O353" s="17">
        <v>1.0</v>
      </c>
      <c r="P353" s="17">
        <v>1.0</v>
      </c>
      <c r="Q353" s="13"/>
      <c r="R353" s="13"/>
      <c r="S353" s="13"/>
      <c r="T353" s="13">
        <f t="shared" ref="T353:Y353" si="371">IF(ISBLANK(K353)=TRUE,0,1)</f>
        <v>0</v>
      </c>
      <c r="U353" s="13">
        <f t="shared" si="371"/>
        <v>0</v>
      </c>
      <c r="V353" s="13">
        <f t="shared" si="371"/>
        <v>0</v>
      </c>
      <c r="W353" s="13">
        <f t="shared" si="371"/>
        <v>0</v>
      </c>
      <c r="X353" s="13">
        <f t="shared" si="371"/>
        <v>1</v>
      </c>
      <c r="Y353" s="13">
        <f t="shared" si="371"/>
        <v>1</v>
      </c>
      <c r="Z353" s="13">
        <f t="shared" si="4"/>
        <v>1</v>
      </c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</row>
    <row r="354" ht="14.25" hidden="1" customHeight="1">
      <c r="A354" s="13" t="s">
        <v>29</v>
      </c>
      <c r="B354" s="13" t="s">
        <v>32</v>
      </c>
      <c r="C354" s="13" t="s">
        <v>335</v>
      </c>
      <c r="D354" s="13" t="s">
        <v>175</v>
      </c>
      <c r="E354" s="13" t="str">
        <f t="shared" si="2"/>
        <v>COHR,35-1-36,AB,1</v>
      </c>
      <c r="F354" s="13"/>
      <c r="G354" s="13" t="s">
        <v>74</v>
      </c>
      <c r="H354" s="13" t="s">
        <v>75</v>
      </c>
      <c r="I354" s="13"/>
      <c r="J354" s="13"/>
      <c r="K354" s="15"/>
      <c r="L354" s="15"/>
      <c r="M354" s="16"/>
      <c r="N354" s="16"/>
      <c r="O354" s="17">
        <v>1.0</v>
      </c>
      <c r="P354" s="17">
        <v>1.0</v>
      </c>
      <c r="Q354" s="13"/>
      <c r="R354" s="13"/>
      <c r="S354" s="13"/>
      <c r="T354" s="13">
        <f t="shared" ref="T354:Y354" si="372">IF(ISBLANK(K354)=TRUE,0,1)</f>
        <v>0</v>
      </c>
      <c r="U354" s="13">
        <f t="shared" si="372"/>
        <v>0</v>
      </c>
      <c r="V354" s="13">
        <f t="shared" si="372"/>
        <v>0</v>
      </c>
      <c r="W354" s="13">
        <f t="shared" si="372"/>
        <v>0</v>
      </c>
      <c r="X354" s="13">
        <f t="shared" si="372"/>
        <v>1</v>
      </c>
      <c r="Y354" s="13">
        <f t="shared" si="372"/>
        <v>1</v>
      </c>
      <c r="Z354" s="13">
        <f t="shared" si="4"/>
        <v>1</v>
      </c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</row>
    <row r="355" ht="14.25" hidden="1" customHeight="1">
      <c r="A355" s="13" t="s">
        <v>29</v>
      </c>
      <c r="B355" s="13" t="s">
        <v>32</v>
      </c>
      <c r="C355" s="13" t="s">
        <v>335</v>
      </c>
      <c r="D355" s="13" t="s">
        <v>176</v>
      </c>
      <c r="E355" s="13" t="str">
        <f t="shared" si="2"/>
        <v>COHR,35-1-36,AC,1</v>
      </c>
      <c r="F355" s="13"/>
      <c r="G355" s="13" t="s">
        <v>74</v>
      </c>
      <c r="H355" s="13" t="s">
        <v>75</v>
      </c>
      <c r="I355" s="13"/>
      <c r="J355" s="13"/>
      <c r="K355" s="15"/>
      <c r="L355" s="15"/>
      <c r="M355" s="16"/>
      <c r="N355" s="16"/>
      <c r="O355" s="17">
        <v>1.0</v>
      </c>
      <c r="P355" s="17">
        <v>1.0</v>
      </c>
      <c r="Q355" s="13"/>
      <c r="R355" s="13"/>
      <c r="S355" s="13"/>
      <c r="T355" s="13">
        <f t="shared" ref="T355:Y355" si="373">IF(ISBLANK(K355)=TRUE,0,1)</f>
        <v>0</v>
      </c>
      <c r="U355" s="13">
        <f t="shared" si="373"/>
        <v>0</v>
      </c>
      <c r="V355" s="13">
        <f t="shared" si="373"/>
        <v>0</v>
      </c>
      <c r="W355" s="13">
        <f t="shared" si="373"/>
        <v>0</v>
      </c>
      <c r="X355" s="13">
        <f t="shared" si="373"/>
        <v>1</v>
      </c>
      <c r="Y355" s="13">
        <f t="shared" si="373"/>
        <v>1</v>
      </c>
      <c r="Z355" s="13">
        <f t="shared" si="4"/>
        <v>1</v>
      </c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</row>
    <row r="356" ht="14.25" hidden="1" customHeight="1">
      <c r="A356" s="13" t="s">
        <v>29</v>
      </c>
      <c r="B356" s="13" t="s">
        <v>32</v>
      </c>
      <c r="C356" s="13" t="s">
        <v>335</v>
      </c>
      <c r="D356" s="13" t="s">
        <v>177</v>
      </c>
      <c r="E356" s="13" t="str">
        <f t="shared" si="2"/>
        <v>COHR,35-1-36,AD,1</v>
      </c>
      <c r="F356" s="13"/>
      <c r="G356" s="13" t="s">
        <v>74</v>
      </c>
      <c r="H356" s="13" t="s">
        <v>75</v>
      </c>
      <c r="I356" s="13"/>
      <c r="J356" s="13"/>
      <c r="K356" s="15"/>
      <c r="L356" s="15"/>
      <c r="M356" s="16"/>
      <c r="N356" s="16"/>
      <c r="O356" s="17">
        <v>1.0</v>
      </c>
      <c r="P356" s="17">
        <v>1.0</v>
      </c>
      <c r="Q356" s="13"/>
      <c r="R356" s="13"/>
      <c r="S356" s="13"/>
      <c r="T356" s="13">
        <f t="shared" ref="T356:Y356" si="374">IF(ISBLANK(K356)=TRUE,0,1)</f>
        <v>0</v>
      </c>
      <c r="U356" s="13">
        <f t="shared" si="374"/>
        <v>0</v>
      </c>
      <c r="V356" s="13">
        <f t="shared" si="374"/>
        <v>0</v>
      </c>
      <c r="W356" s="13">
        <f t="shared" si="374"/>
        <v>0</v>
      </c>
      <c r="X356" s="13">
        <f t="shared" si="374"/>
        <v>1</v>
      </c>
      <c r="Y356" s="13">
        <f t="shared" si="374"/>
        <v>1</v>
      </c>
      <c r="Z356" s="13">
        <f t="shared" si="4"/>
        <v>1</v>
      </c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</row>
    <row r="357" ht="14.25" hidden="1" customHeight="1">
      <c r="A357" s="13" t="s">
        <v>29</v>
      </c>
      <c r="B357" s="13" t="s">
        <v>32</v>
      </c>
      <c r="C357" s="13" t="s">
        <v>336</v>
      </c>
      <c r="D357" s="13"/>
      <c r="E357" s="13" t="str">
        <f t="shared" si="2"/>
        <v>COHR,35-1-37,,NA</v>
      </c>
      <c r="F357" s="13"/>
      <c r="G357" s="13" t="s">
        <v>74</v>
      </c>
      <c r="H357" s="13" t="s">
        <v>107</v>
      </c>
      <c r="I357" s="14">
        <v>44915.0</v>
      </c>
      <c r="J357" s="14"/>
      <c r="K357" s="15"/>
      <c r="L357" s="15"/>
      <c r="M357" s="16"/>
      <c r="N357" s="16"/>
      <c r="O357" s="17"/>
      <c r="P357" s="17"/>
      <c r="Q357" s="13">
        <f t="shared" ref="Q357:Q358" si="376">K356+L356+M356+N356+O356+P356/6</f>
        <v>1.166666667</v>
      </c>
      <c r="R357" s="13"/>
      <c r="S357" s="13"/>
      <c r="T357" s="13">
        <f t="shared" ref="T357:Y357" si="375">IF(ISBLANK(K357)=TRUE,0,1)</f>
        <v>0</v>
      </c>
      <c r="U357" s="13">
        <f t="shared" si="375"/>
        <v>0</v>
      </c>
      <c r="V357" s="13">
        <f t="shared" si="375"/>
        <v>0</v>
      </c>
      <c r="W357" s="13">
        <f t="shared" si="375"/>
        <v>0</v>
      </c>
      <c r="X357" s="13">
        <f t="shared" si="375"/>
        <v>0</v>
      </c>
      <c r="Y357" s="13">
        <f t="shared" si="375"/>
        <v>0</v>
      </c>
      <c r="Z357" s="13" t="str">
        <f t="shared" si="4"/>
        <v>NA</v>
      </c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</row>
    <row r="358" ht="14.25" hidden="1" customHeight="1">
      <c r="A358" s="13" t="s">
        <v>29</v>
      </c>
      <c r="B358" s="13" t="s">
        <v>32</v>
      </c>
      <c r="C358" s="13" t="s">
        <v>337</v>
      </c>
      <c r="D358" s="13"/>
      <c r="E358" s="13" t="str">
        <f t="shared" si="2"/>
        <v>COHR,35-1-38,,NA</v>
      </c>
      <c r="F358" s="13"/>
      <c r="G358" s="13" t="s">
        <v>74</v>
      </c>
      <c r="H358" s="13" t="s">
        <v>107</v>
      </c>
      <c r="I358" s="14">
        <v>44915.0</v>
      </c>
      <c r="J358" s="14"/>
      <c r="K358" s="15"/>
      <c r="L358" s="15"/>
      <c r="M358" s="16"/>
      <c r="N358" s="16"/>
      <c r="O358" s="17"/>
      <c r="P358" s="17"/>
      <c r="Q358" s="13">
        <f t="shared" si="376"/>
        <v>0</v>
      </c>
      <c r="R358" s="13"/>
      <c r="S358" s="13"/>
      <c r="T358" s="13">
        <f t="shared" ref="T358:Y358" si="377">IF(ISBLANK(K358)=TRUE,0,1)</f>
        <v>0</v>
      </c>
      <c r="U358" s="13">
        <f t="shared" si="377"/>
        <v>0</v>
      </c>
      <c r="V358" s="13">
        <f t="shared" si="377"/>
        <v>0</v>
      </c>
      <c r="W358" s="13">
        <f t="shared" si="377"/>
        <v>0</v>
      </c>
      <c r="X358" s="13">
        <f t="shared" si="377"/>
        <v>0</v>
      </c>
      <c r="Y358" s="13">
        <f t="shared" si="377"/>
        <v>0</v>
      </c>
      <c r="Z358" s="13" t="str">
        <f t="shared" si="4"/>
        <v>NA</v>
      </c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</row>
    <row r="359" ht="14.25" hidden="1" customHeight="1">
      <c r="A359" s="13" t="s">
        <v>29</v>
      </c>
      <c r="B359" s="13" t="s">
        <v>32</v>
      </c>
      <c r="C359" s="13" t="s">
        <v>338</v>
      </c>
      <c r="D359" s="13" t="s">
        <v>174</v>
      </c>
      <c r="E359" s="13" t="str">
        <f t="shared" si="2"/>
        <v>COHR,35-1-39,AA,1</v>
      </c>
      <c r="F359" s="13"/>
      <c r="G359" s="13" t="s">
        <v>74</v>
      </c>
      <c r="H359" s="13" t="s">
        <v>75</v>
      </c>
      <c r="I359" s="13"/>
      <c r="J359" s="13"/>
      <c r="K359" s="15"/>
      <c r="L359" s="15"/>
      <c r="M359" s="16"/>
      <c r="N359" s="16"/>
      <c r="O359" s="17">
        <v>1.0</v>
      </c>
      <c r="P359" s="17">
        <v>1.0</v>
      </c>
      <c r="Q359" s="13"/>
      <c r="R359" s="13"/>
      <c r="S359" s="13"/>
      <c r="T359" s="13">
        <f t="shared" ref="T359:Y359" si="378">IF(ISBLANK(K359)=TRUE,0,1)</f>
        <v>0</v>
      </c>
      <c r="U359" s="13">
        <f t="shared" si="378"/>
        <v>0</v>
      </c>
      <c r="V359" s="13">
        <f t="shared" si="378"/>
        <v>0</v>
      </c>
      <c r="W359" s="13">
        <f t="shared" si="378"/>
        <v>0</v>
      </c>
      <c r="X359" s="13">
        <f t="shared" si="378"/>
        <v>1</v>
      </c>
      <c r="Y359" s="13">
        <f t="shared" si="378"/>
        <v>1</v>
      </c>
      <c r="Z359" s="13">
        <f t="shared" si="4"/>
        <v>1</v>
      </c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</row>
    <row r="360" ht="14.25" hidden="1" customHeight="1">
      <c r="A360" s="13" t="s">
        <v>29</v>
      </c>
      <c r="B360" s="13" t="s">
        <v>32</v>
      </c>
      <c r="C360" s="13" t="s">
        <v>338</v>
      </c>
      <c r="D360" s="13" t="s">
        <v>175</v>
      </c>
      <c r="E360" s="13" t="str">
        <f t="shared" si="2"/>
        <v>COHR,35-1-39,AB,1</v>
      </c>
      <c r="F360" s="13"/>
      <c r="G360" s="13" t="s">
        <v>74</v>
      </c>
      <c r="H360" s="13" t="s">
        <v>75</v>
      </c>
      <c r="I360" s="13"/>
      <c r="J360" s="13"/>
      <c r="K360" s="15"/>
      <c r="L360" s="15"/>
      <c r="M360" s="16"/>
      <c r="N360" s="16"/>
      <c r="O360" s="17">
        <v>1.0</v>
      </c>
      <c r="P360" s="17">
        <v>1.0</v>
      </c>
      <c r="Q360" s="13"/>
      <c r="R360" s="13"/>
      <c r="S360" s="13"/>
      <c r="T360" s="13">
        <f t="shared" ref="T360:Y360" si="379">IF(ISBLANK(K360)=TRUE,0,1)</f>
        <v>0</v>
      </c>
      <c r="U360" s="13">
        <f t="shared" si="379"/>
        <v>0</v>
      </c>
      <c r="V360" s="13">
        <f t="shared" si="379"/>
        <v>0</v>
      </c>
      <c r="W360" s="13">
        <f t="shared" si="379"/>
        <v>0</v>
      </c>
      <c r="X360" s="13">
        <f t="shared" si="379"/>
        <v>1</v>
      </c>
      <c r="Y360" s="13">
        <f t="shared" si="379"/>
        <v>1</v>
      </c>
      <c r="Z360" s="13">
        <f t="shared" si="4"/>
        <v>1</v>
      </c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</row>
    <row r="361" ht="14.25" hidden="1" customHeight="1">
      <c r="A361" s="13" t="s">
        <v>29</v>
      </c>
      <c r="B361" s="13" t="s">
        <v>32</v>
      </c>
      <c r="C361" s="13" t="s">
        <v>338</v>
      </c>
      <c r="D361" s="13" t="s">
        <v>176</v>
      </c>
      <c r="E361" s="13" t="str">
        <f t="shared" si="2"/>
        <v>COHR,35-1-39,AC,1</v>
      </c>
      <c r="F361" s="13"/>
      <c r="G361" s="13" t="s">
        <v>74</v>
      </c>
      <c r="H361" s="13" t="s">
        <v>75</v>
      </c>
      <c r="I361" s="13"/>
      <c r="J361" s="13"/>
      <c r="K361" s="15"/>
      <c r="L361" s="15"/>
      <c r="M361" s="16"/>
      <c r="N361" s="16"/>
      <c r="O361" s="17">
        <v>1.0</v>
      </c>
      <c r="P361" s="17">
        <v>1.0</v>
      </c>
      <c r="Q361" s="13"/>
      <c r="R361" s="13"/>
      <c r="S361" s="13"/>
      <c r="T361" s="13">
        <f t="shared" ref="T361:Y361" si="380">IF(ISBLANK(K361)=TRUE,0,1)</f>
        <v>0</v>
      </c>
      <c r="U361" s="13">
        <f t="shared" si="380"/>
        <v>0</v>
      </c>
      <c r="V361" s="13">
        <f t="shared" si="380"/>
        <v>0</v>
      </c>
      <c r="W361" s="13">
        <f t="shared" si="380"/>
        <v>0</v>
      </c>
      <c r="X361" s="13">
        <f t="shared" si="380"/>
        <v>1</v>
      </c>
      <c r="Y361" s="13">
        <f t="shared" si="380"/>
        <v>1</v>
      </c>
      <c r="Z361" s="13">
        <f t="shared" si="4"/>
        <v>1</v>
      </c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</row>
    <row r="362" ht="14.25" hidden="1" customHeight="1">
      <c r="A362" s="13" t="s">
        <v>29</v>
      </c>
      <c r="B362" s="13" t="s">
        <v>32</v>
      </c>
      <c r="C362" s="13" t="s">
        <v>339</v>
      </c>
      <c r="D362" s="13"/>
      <c r="E362" s="13" t="str">
        <f t="shared" si="2"/>
        <v>COHR,35-1-4,,NA</v>
      </c>
      <c r="F362" s="13"/>
      <c r="G362" s="13" t="s">
        <v>74</v>
      </c>
      <c r="H362" s="13" t="s">
        <v>107</v>
      </c>
      <c r="I362" s="14">
        <v>44915.0</v>
      </c>
      <c r="J362" s="14"/>
      <c r="K362" s="15"/>
      <c r="L362" s="15"/>
      <c r="M362" s="16"/>
      <c r="N362" s="16"/>
      <c r="O362" s="17"/>
      <c r="P362" s="17"/>
      <c r="Q362" s="13">
        <f t="shared" ref="Q362:Q363" si="382">K361+L361+M361+N361+O361+P361/6</f>
        <v>1.166666667</v>
      </c>
      <c r="R362" s="13"/>
      <c r="S362" s="13"/>
      <c r="T362" s="13">
        <f t="shared" ref="T362:Y362" si="381">IF(ISBLANK(K362)=TRUE,0,1)</f>
        <v>0</v>
      </c>
      <c r="U362" s="13">
        <f t="shared" si="381"/>
        <v>0</v>
      </c>
      <c r="V362" s="13">
        <f t="shared" si="381"/>
        <v>0</v>
      </c>
      <c r="W362" s="13">
        <f t="shared" si="381"/>
        <v>0</v>
      </c>
      <c r="X362" s="13">
        <f t="shared" si="381"/>
        <v>0</v>
      </c>
      <c r="Y362" s="13">
        <f t="shared" si="381"/>
        <v>0</v>
      </c>
      <c r="Z362" s="13" t="str">
        <f t="shared" si="4"/>
        <v>NA</v>
      </c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</row>
    <row r="363" ht="14.25" hidden="1" customHeight="1">
      <c r="A363" s="13" t="s">
        <v>29</v>
      </c>
      <c r="B363" s="13" t="s">
        <v>32</v>
      </c>
      <c r="C363" s="13" t="s">
        <v>340</v>
      </c>
      <c r="D363" s="13"/>
      <c r="E363" s="13" t="str">
        <f t="shared" si="2"/>
        <v>COHR,35-1-40,,1</v>
      </c>
      <c r="F363" s="13"/>
      <c r="G363" s="13" t="s">
        <v>74</v>
      </c>
      <c r="H363" s="13" t="s">
        <v>75</v>
      </c>
      <c r="I363" s="14">
        <v>44915.0</v>
      </c>
      <c r="J363" s="14"/>
      <c r="K363" s="15"/>
      <c r="L363" s="15"/>
      <c r="M363" s="16"/>
      <c r="N363" s="16"/>
      <c r="O363" s="17">
        <v>1.0</v>
      </c>
      <c r="P363" s="17">
        <v>1.0</v>
      </c>
      <c r="Q363" s="13">
        <f t="shared" si="382"/>
        <v>0</v>
      </c>
      <c r="R363" s="13"/>
      <c r="S363" s="13"/>
      <c r="T363" s="13">
        <f t="shared" ref="T363:Y363" si="383">IF(ISBLANK(K363)=TRUE,0,1)</f>
        <v>0</v>
      </c>
      <c r="U363" s="13">
        <f t="shared" si="383"/>
        <v>0</v>
      </c>
      <c r="V363" s="13">
        <f t="shared" si="383"/>
        <v>0</v>
      </c>
      <c r="W363" s="13">
        <f t="shared" si="383"/>
        <v>0</v>
      </c>
      <c r="X363" s="13">
        <f t="shared" si="383"/>
        <v>1</v>
      </c>
      <c r="Y363" s="13">
        <f t="shared" si="383"/>
        <v>1</v>
      </c>
      <c r="Z363" s="13">
        <f t="shared" si="4"/>
        <v>1</v>
      </c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</row>
    <row r="364" ht="14.25" hidden="1" customHeight="1">
      <c r="A364" s="13" t="s">
        <v>29</v>
      </c>
      <c r="B364" s="13" t="s">
        <v>32</v>
      </c>
      <c r="C364" s="13" t="s">
        <v>340</v>
      </c>
      <c r="D364" s="13" t="s">
        <v>174</v>
      </c>
      <c r="E364" s="13" t="str">
        <f t="shared" si="2"/>
        <v>COHR,35-1-40,AA,1</v>
      </c>
      <c r="F364" s="13"/>
      <c r="G364" s="13" t="s">
        <v>74</v>
      </c>
      <c r="H364" s="13" t="s">
        <v>75</v>
      </c>
      <c r="I364" s="13"/>
      <c r="J364" s="13"/>
      <c r="K364" s="15"/>
      <c r="L364" s="15"/>
      <c r="M364" s="16"/>
      <c r="N364" s="16"/>
      <c r="O364" s="17">
        <v>1.0</v>
      </c>
      <c r="P364" s="17">
        <v>1.0</v>
      </c>
      <c r="Q364" s="13"/>
      <c r="R364" s="13"/>
      <c r="S364" s="13"/>
      <c r="T364" s="13">
        <f t="shared" ref="T364:Y364" si="384">IF(ISBLANK(K364)=TRUE,0,1)</f>
        <v>0</v>
      </c>
      <c r="U364" s="13">
        <f t="shared" si="384"/>
        <v>0</v>
      </c>
      <c r="V364" s="13">
        <f t="shared" si="384"/>
        <v>0</v>
      </c>
      <c r="W364" s="13">
        <f t="shared" si="384"/>
        <v>0</v>
      </c>
      <c r="X364" s="13">
        <f t="shared" si="384"/>
        <v>1</v>
      </c>
      <c r="Y364" s="13">
        <f t="shared" si="384"/>
        <v>1</v>
      </c>
      <c r="Z364" s="13">
        <f t="shared" si="4"/>
        <v>1</v>
      </c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</row>
    <row r="365" ht="14.25" hidden="1" customHeight="1">
      <c r="A365" s="13" t="s">
        <v>29</v>
      </c>
      <c r="B365" s="13" t="s">
        <v>32</v>
      </c>
      <c r="C365" s="13" t="s">
        <v>340</v>
      </c>
      <c r="D365" s="13" t="s">
        <v>175</v>
      </c>
      <c r="E365" s="13" t="str">
        <f t="shared" si="2"/>
        <v>COHR,35-1-40,AB,1</v>
      </c>
      <c r="F365" s="13"/>
      <c r="G365" s="13" t="s">
        <v>74</v>
      </c>
      <c r="H365" s="13" t="s">
        <v>75</v>
      </c>
      <c r="I365" s="13"/>
      <c r="J365" s="13"/>
      <c r="K365" s="15"/>
      <c r="L365" s="15"/>
      <c r="M365" s="16"/>
      <c r="N365" s="16"/>
      <c r="O365" s="17">
        <v>1.0</v>
      </c>
      <c r="P365" s="17">
        <v>1.0</v>
      </c>
      <c r="Q365" s="13"/>
      <c r="R365" s="13"/>
      <c r="S365" s="13"/>
      <c r="T365" s="13">
        <f t="shared" ref="T365:Y365" si="385">IF(ISBLANK(K365)=TRUE,0,1)</f>
        <v>0</v>
      </c>
      <c r="U365" s="13">
        <f t="shared" si="385"/>
        <v>0</v>
      </c>
      <c r="V365" s="13">
        <f t="shared" si="385"/>
        <v>0</v>
      </c>
      <c r="W365" s="13">
        <f t="shared" si="385"/>
        <v>0</v>
      </c>
      <c r="X365" s="13">
        <f t="shared" si="385"/>
        <v>1</v>
      </c>
      <c r="Y365" s="13">
        <f t="shared" si="385"/>
        <v>1</v>
      </c>
      <c r="Z365" s="13">
        <f t="shared" si="4"/>
        <v>1</v>
      </c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</row>
    <row r="366" ht="14.25" hidden="1" customHeight="1">
      <c r="A366" s="13" t="s">
        <v>29</v>
      </c>
      <c r="B366" s="13" t="s">
        <v>32</v>
      </c>
      <c r="C366" s="13" t="s">
        <v>341</v>
      </c>
      <c r="D366" s="13"/>
      <c r="E366" s="13" t="str">
        <f t="shared" si="2"/>
        <v>COHR,35-1-41,,NA</v>
      </c>
      <c r="F366" s="13"/>
      <c r="G366" s="13" t="s">
        <v>74</v>
      </c>
      <c r="H366" s="13" t="s">
        <v>75</v>
      </c>
      <c r="I366" s="14">
        <v>44915.0</v>
      </c>
      <c r="J366" s="14"/>
      <c r="K366" s="15"/>
      <c r="L366" s="15"/>
      <c r="M366" s="16"/>
      <c r="N366" s="16"/>
      <c r="O366" s="17"/>
      <c r="P366" s="17"/>
      <c r="Q366" s="13">
        <f>K365+L365+M365+N365+O365+P365/6</f>
        <v>1.166666667</v>
      </c>
      <c r="R366" s="13"/>
      <c r="S366" s="13"/>
      <c r="T366" s="13">
        <f t="shared" ref="T366:Y366" si="386">IF(ISBLANK(K366)=TRUE,0,1)</f>
        <v>0</v>
      </c>
      <c r="U366" s="13">
        <f t="shared" si="386"/>
        <v>0</v>
      </c>
      <c r="V366" s="13">
        <f t="shared" si="386"/>
        <v>0</v>
      </c>
      <c r="W366" s="13">
        <f t="shared" si="386"/>
        <v>0</v>
      </c>
      <c r="X366" s="13">
        <f t="shared" si="386"/>
        <v>0</v>
      </c>
      <c r="Y366" s="13">
        <f t="shared" si="386"/>
        <v>0</v>
      </c>
      <c r="Z366" s="13" t="str">
        <f t="shared" si="4"/>
        <v>NA</v>
      </c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</row>
    <row r="367" ht="14.25" hidden="1" customHeight="1">
      <c r="A367" s="13" t="s">
        <v>29</v>
      </c>
      <c r="B367" s="13" t="s">
        <v>32</v>
      </c>
      <c r="C367" s="13" t="s">
        <v>341</v>
      </c>
      <c r="D367" s="13" t="s">
        <v>174</v>
      </c>
      <c r="E367" s="13" t="str">
        <f t="shared" si="2"/>
        <v>COHR,35-1-41,AA,NA</v>
      </c>
      <c r="F367" s="13"/>
      <c r="G367" s="13" t="s">
        <v>74</v>
      </c>
      <c r="H367" s="13" t="s">
        <v>75</v>
      </c>
      <c r="I367" s="13"/>
      <c r="J367" s="13"/>
      <c r="K367" s="15"/>
      <c r="L367" s="15"/>
      <c r="M367" s="16"/>
      <c r="N367" s="16"/>
      <c r="O367" s="17"/>
      <c r="P367" s="17"/>
      <c r="Q367" s="13"/>
      <c r="R367" s="13"/>
      <c r="S367" s="13"/>
      <c r="T367" s="13">
        <f t="shared" ref="T367:Y367" si="387">IF(ISBLANK(K367)=TRUE,0,1)</f>
        <v>0</v>
      </c>
      <c r="U367" s="13">
        <f t="shared" si="387"/>
        <v>0</v>
      </c>
      <c r="V367" s="13">
        <f t="shared" si="387"/>
        <v>0</v>
      </c>
      <c r="W367" s="13">
        <f t="shared" si="387"/>
        <v>0</v>
      </c>
      <c r="X367" s="13">
        <f t="shared" si="387"/>
        <v>0</v>
      </c>
      <c r="Y367" s="13">
        <f t="shared" si="387"/>
        <v>0</v>
      </c>
      <c r="Z367" s="13" t="str">
        <f t="shared" si="4"/>
        <v>NA</v>
      </c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</row>
    <row r="368" ht="14.25" hidden="1" customHeight="1">
      <c r="A368" s="13" t="s">
        <v>29</v>
      </c>
      <c r="B368" s="13" t="s">
        <v>32</v>
      </c>
      <c r="C368" s="13" t="s">
        <v>341</v>
      </c>
      <c r="D368" s="13" t="s">
        <v>175</v>
      </c>
      <c r="E368" s="13" t="str">
        <f t="shared" si="2"/>
        <v>COHR,35-1-41,AB,NA</v>
      </c>
      <c r="F368" s="13"/>
      <c r="G368" s="13" t="s">
        <v>74</v>
      </c>
      <c r="H368" s="13" t="s">
        <v>75</v>
      </c>
      <c r="I368" s="13"/>
      <c r="J368" s="13"/>
      <c r="K368" s="15"/>
      <c r="L368" s="15"/>
      <c r="M368" s="16"/>
      <c r="N368" s="16"/>
      <c r="O368" s="17"/>
      <c r="P368" s="17"/>
      <c r="Q368" s="13"/>
      <c r="R368" s="13"/>
      <c r="S368" s="13"/>
      <c r="T368" s="13">
        <f t="shared" ref="T368:Y368" si="388">IF(ISBLANK(K368)=TRUE,0,1)</f>
        <v>0</v>
      </c>
      <c r="U368" s="13">
        <f t="shared" si="388"/>
        <v>0</v>
      </c>
      <c r="V368" s="13">
        <f t="shared" si="388"/>
        <v>0</v>
      </c>
      <c r="W368" s="13">
        <f t="shared" si="388"/>
        <v>0</v>
      </c>
      <c r="X368" s="13">
        <f t="shared" si="388"/>
        <v>0</v>
      </c>
      <c r="Y368" s="13">
        <f t="shared" si="388"/>
        <v>0</v>
      </c>
      <c r="Z368" s="13" t="str">
        <f t="shared" si="4"/>
        <v>NA</v>
      </c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</row>
    <row r="369" ht="14.25" hidden="1" customHeight="1">
      <c r="A369" s="13" t="s">
        <v>29</v>
      </c>
      <c r="B369" s="13" t="s">
        <v>32</v>
      </c>
      <c r="C369" s="13" t="s">
        <v>341</v>
      </c>
      <c r="D369" s="13" t="s">
        <v>176</v>
      </c>
      <c r="E369" s="13" t="str">
        <f t="shared" si="2"/>
        <v>COHR,35-1-41,AC,NA</v>
      </c>
      <c r="F369" s="13"/>
      <c r="G369" s="13" t="s">
        <v>74</v>
      </c>
      <c r="H369" s="13" t="s">
        <v>75</v>
      </c>
      <c r="I369" s="13"/>
      <c r="J369" s="13"/>
      <c r="K369" s="15"/>
      <c r="L369" s="15"/>
      <c r="M369" s="16"/>
      <c r="N369" s="16"/>
      <c r="O369" s="17"/>
      <c r="P369" s="17"/>
      <c r="Q369" s="13"/>
      <c r="R369" s="13"/>
      <c r="S369" s="13"/>
      <c r="T369" s="13">
        <f t="shared" ref="T369:Y369" si="389">IF(ISBLANK(K369)=TRUE,0,1)</f>
        <v>0</v>
      </c>
      <c r="U369" s="13">
        <f t="shared" si="389"/>
        <v>0</v>
      </c>
      <c r="V369" s="13">
        <f t="shared" si="389"/>
        <v>0</v>
      </c>
      <c r="W369" s="13">
        <f t="shared" si="389"/>
        <v>0</v>
      </c>
      <c r="X369" s="13">
        <f t="shared" si="389"/>
        <v>0</v>
      </c>
      <c r="Y369" s="13">
        <f t="shared" si="389"/>
        <v>0</v>
      </c>
      <c r="Z369" s="13" t="str">
        <f t="shared" si="4"/>
        <v>NA</v>
      </c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</row>
    <row r="370" ht="14.25" hidden="1" customHeight="1">
      <c r="A370" s="13" t="s">
        <v>29</v>
      </c>
      <c r="B370" s="13" t="s">
        <v>32</v>
      </c>
      <c r="C370" s="13" t="s">
        <v>341</v>
      </c>
      <c r="D370" s="13" t="s">
        <v>177</v>
      </c>
      <c r="E370" s="13" t="str">
        <f t="shared" si="2"/>
        <v>COHR,35-1-41,AD,NA</v>
      </c>
      <c r="F370" s="13"/>
      <c r="G370" s="13" t="s">
        <v>74</v>
      </c>
      <c r="H370" s="13" t="s">
        <v>75</v>
      </c>
      <c r="I370" s="13"/>
      <c r="J370" s="13"/>
      <c r="K370" s="15"/>
      <c r="L370" s="15"/>
      <c r="M370" s="16"/>
      <c r="N370" s="16"/>
      <c r="O370" s="17"/>
      <c r="P370" s="17"/>
      <c r="Q370" s="13"/>
      <c r="R370" s="13"/>
      <c r="S370" s="13"/>
      <c r="T370" s="13">
        <f t="shared" ref="T370:Y370" si="390">IF(ISBLANK(K370)=TRUE,0,1)</f>
        <v>0</v>
      </c>
      <c r="U370" s="13">
        <f t="shared" si="390"/>
        <v>0</v>
      </c>
      <c r="V370" s="13">
        <f t="shared" si="390"/>
        <v>0</v>
      </c>
      <c r="W370" s="13">
        <f t="shared" si="390"/>
        <v>0</v>
      </c>
      <c r="X370" s="13">
        <f t="shared" si="390"/>
        <v>0</v>
      </c>
      <c r="Y370" s="13">
        <f t="shared" si="390"/>
        <v>0</v>
      </c>
      <c r="Z370" s="13" t="str">
        <f t="shared" si="4"/>
        <v>NA</v>
      </c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</row>
    <row r="371" ht="14.25" hidden="1" customHeight="1">
      <c r="A371" s="13" t="s">
        <v>29</v>
      </c>
      <c r="B371" s="13" t="s">
        <v>32</v>
      </c>
      <c r="C371" s="13" t="s">
        <v>342</v>
      </c>
      <c r="D371" s="13"/>
      <c r="E371" s="13" t="str">
        <f t="shared" si="2"/>
        <v>COHR,35-1-42,,NA</v>
      </c>
      <c r="F371" s="13"/>
      <c r="G371" s="13" t="s">
        <v>74</v>
      </c>
      <c r="H371" s="13" t="s">
        <v>75</v>
      </c>
      <c r="I371" s="14">
        <v>44915.0</v>
      </c>
      <c r="J371" s="14"/>
      <c r="K371" s="15"/>
      <c r="L371" s="15"/>
      <c r="M371" s="16"/>
      <c r="N371" s="16"/>
      <c r="O371" s="17"/>
      <c r="P371" s="17"/>
      <c r="Q371" s="13">
        <f>K370+L370+M370+N370+O370+P370/6</f>
        <v>0</v>
      </c>
      <c r="R371" s="13"/>
      <c r="S371" s="13"/>
      <c r="T371" s="13">
        <f t="shared" ref="T371:Y371" si="391">IF(ISBLANK(K371)=TRUE,0,1)</f>
        <v>0</v>
      </c>
      <c r="U371" s="13">
        <f t="shared" si="391"/>
        <v>0</v>
      </c>
      <c r="V371" s="13">
        <f t="shared" si="391"/>
        <v>0</v>
      </c>
      <c r="W371" s="13">
        <f t="shared" si="391"/>
        <v>0</v>
      </c>
      <c r="X371" s="13">
        <f t="shared" si="391"/>
        <v>0</v>
      </c>
      <c r="Y371" s="13">
        <f t="shared" si="391"/>
        <v>0</v>
      </c>
      <c r="Z371" s="13" t="str">
        <f t="shared" si="4"/>
        <v>NA</v>
      </c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</row>
    <row r="372" ht="14.25" hidden="1" customHeight="1">
      <c r="A372" s="13" t="s">
        <v>29</v>
      </c>
      <c r="B372" s="13" t="s">
        <v>32</v>
      </c>
      <c r="C372" s="13" t="s">
        <v>342</v>
      </c>
      <c r="D372" s="13" t="s">
        <v>174</v>
      </c>
      <c r="E372" s="13" t="str">
        <f t="shared" si="2"/>
        <v>COHR,35-1-42,AA,NA</v>
      </c>
      <c r="F372" s="13"/>
      <c r="G372" s="13" t="s">
        <v>74</v>
      </c>
      <c r="H372" s="13" t="s">
        <v>75</v>
      </c>
      <c r="I372" s="13"/>
      <c r="J372" s="13"/>
      <c r="K372" s="15"/>
      <c r="L372" s="15"/>
      <c r="M372" s="16"/>
      <c r="N372" s="16"/>
      <c r="O372" s="17"/>
      <c r="P372" s="17"/>
      <c r="Q372" s="13"/>
      <c r="R372" s="13"/>
      <c r="S372" s="13"/>
      <c r="T372" s="13">
        <f t="shared" ref="T372:Y372" si="392">IF(ISBLANK(K372)=TRUE,0,1)</f>
        <v>0</v>
      </c>
      <c r="U372" s="13">
        <f t="shared" si="392"/>
        <v>0</v>
      </c>
      <c r="V372" s="13">
        <f t="shared" si="392"/>
        <v>0</v>
      </c>
      <c r="W372" s="13">
        <f t="shared" si="392"/>
        <v>0</v>
      </c>
      <c r="X372" s="13">
        <f t="shared" si="392"/>
        <v>0</v>
      </c>
      <c r="Y372" s="13">
        <f t="shared" si="392"/>
        <v>0</v>
      </c>
      <c r="Z372" s="13" t="str">
        <f t="shared" si="4"/>
        <v>NA</v>
      </c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</row>
    <row r="373" ht="14.25" hidden="1" customHeight="1">
      <c r="A373" s="13" t="s">
        <v>29</v>
      </c>
      <c r="B373" s="13" t="s">
        <v>32</v>
      </c>
      <c r="C373" s="13" t="s">
        <v>343</v>
      </c>
      <c r="D373" s="13"/>
      <c r="E373" s="13" t="str">
        <f t="shared" si="2"/>
        <v>COHR,35-1-43,,NA</v>
      </c>
      <c r="F373" s="13"/>
      <c r="G373" s="13" t="s">
        <v>74</v>
      </c>
      <c r="H373" s="13" t="s">
        <v>107</v>
      </c>
      <c r="I373" s="14">
        <v>44915.0</v>
      </c>
      <c r="J373" s="14"/>
      <c r="K373" s="15"/>
      <c r="L373" s="15"/>
      <c r="M373" s="16"/>
      <c r="N373" s="16"/>
      <c r="O373" s="17"/>
      <c r="P373" s="17"/>
      <c r="Q373" s="13">
        <f t="shared" ref="Q373:Q374" si="394">K372+L372+M372+N372+O372+P372/6</f>
        <v>0</v>
      </c>
      <c r="R373" s="13"/>
      <c r="S373" s="13"/>
      <c r="T373" s="13">
        <f t="shared" ref="T373:Y373" si="393">IF(ISBLANK(K373)=TRUE,0,1)</f>
        <v>0</v>
      </c>
      <c r="U373" s="13">
        <f t="shared" si="393"/>
        <v>0</v>
      </c>
      <c r="V373" s="13">
        <f t="shared" si="393"/>
        <v>0</v>
      </c>
      <c r="W373" s="13">
        <f t="shared" si="393"/>
        <v>0</v>
      </c>
      <c r="X373" s="13">
        <f t="shared" si="393"/>
        <v>0</v>
      </c>
      <c r="Y373" s="13">
        <f t="shared" si="393"/>
        <v>0</v>
      </c>
      <c r="Z373" s="13" t="str">
        <f t="shared" si="4"/>
        <v>NA</v>
      </c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</row>
    <row r="374" ht="14.25" hidden="1" customHeight="1">
      <c r="A374" s="13" t="s">
        <v>29</v>
      </c>
      <c r="B374" s="13" t="s">
        <v>32</v>
      </c>
      <c r="C374" s="13" t="s">
        <v>344</v>
      </c>
      <c r="D374" s="13"/>
      <c r="E374" s="13" t="str">
        <f t="shared" si="2"/>
        <v>COHR,35-1-44,,1</v>
      </c>
      <c r="F374" s="13"/>
      <c r="G374" s="13" t="s">
        <v>74</v>
      </c>
      <c r="H374" s="13" t="s">
        <v>75</v>
      </c>
      <c r="I374" s="14">
        <v>44915.0</v>
      </c>
      <c r="J374" s="14"/>
      <c r="K374" s="15"/>
      <c r="L374" s="15"/>
      <c r="M374" s="16"/>
      <c r="N374" s="16"/>
      <c r="O374" s="17">
        <v>1.0</v>
      </c>
      <c r="P374" s="17">
        <v>1.0</v>
      </c>
      <c r="Q374" s="13">
        <f t="shared" si="394"/>
        <v>0</v>
      </c>
      <c r="R374" s="13"/>
      <c r="S374" s="13"/>
      <c r="T374" s="13">
        <f t="shared" ref="T374:Y374" si="395">IF(ISBLANK(K374)=TRUE,0,1)</f>
        <v>0</v>
      </c>
      <c r="U374" s="13">
        <f t="shared" si="395"/>
        <v>0</v>
      </c>
      <c r="V374" s="13">
        <f t="shared" si="395"/>
        <v>0</v>
      </c>
      <c r="W374" s="13">
        <f t="shared" si="395"/>
        <v>0</v>
      </c>
      <c r="X374" s="13">
        <f t="shared" si="395"/>
        <v>1</v>
      </c>
      <c r="Y374" s="13">
        <f t="shared" si="395"/>
        <v>1</v>
      </c>
      <c r="Z374" s="13">
        <f t="shared" si="4"/>
        <v>1</v>
      </c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</row>
    <row r="375" ht="14.25" hidden="1" customHeight="1">
      <c r="A375" s="13" t="s">
        <v>29</v>
      </c>
      <c r="B375" s="13" t="s">
        <v>32</v>
      </c>
      <c r="C375" s="13" t="s">
        <v>344</v>
      </c>
      <c r="D375" s="13" t="s">
        <v>174</v>
      </c>
      <c r="E375" s="13" t="str">
        <f t="shared" si="2"/>
        <v>COHR,35-1-44,AA,1</v>
      </c>
      <c r="F375" s="13"/>
      <c r="G375" s="26" t="s">
        <v>74</v>
      </c>
      <c r="H375" s="13" t="s">
        <v>75</v>
      </c>
      <c r="I375" s="13"/>
      <c r="J375" s="13"/>
      <c r="K375" s="15"/>
      <c r="L375" s="15"/>
      <c r="M375" s="16"/>
      <c r="N375" s="16"/>
      <c r="O375" s="17">
        <v>1.0</v>
      </c>
      <c r="P375" s="17">
        <v>1.0</v>
      </c>
      <c r="Q375" s="13"/>
      <c r="R375" s="13"/>
      <c r="S375" s="13"/>
      <c r="T375" s="13">
        <f t="shared" ref="T375:Y375" si="396">IF(ISBLANK(K375)=TRUE,0,1)</f>
        <v>0</v>
      </c>
      <c r="U375" s="13">
        <f t="shared" si="396"/>
        <v>0</v>
      </c>
      <c r="V375" s="13">
        <f t="shared" si="396"/>
        <v>0</v>
      </c>
      <c r="W375" s="13">
        <f t="shared" si="396"/>
        <v>0</v>
      </c>
      <c r="X375" s="13">
        <f t="shared" si="396"/>
        <v>1</v>
      </c>
      <c r="Y375" s="13">
        <f t="shared" si="396"/>
        <v>1</v>
      </c>
      <c r="Z375" s="13">
        <f t="shared" si="4"/>
        <v>1</v>
      </c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</row>
    <row r="376" ht="14.25" hidden="1" customHeight="1">
      <c r="A376" s="13" t="s">
        <v>29</v>
      </c>
      <c r="B376" s="13" t="s">
        <v>32</v>
      </c>
      <c r="C376" s="13" t="s">
        <v>344</v>
      </c>
      <c r="D376" s="13" t="s">
        <v>175</v>
      </c>
      <c r="E376" s="13" t="str">
        <f t="shared" si="2"/>
        <v>COHR,35-1-44,AB,1</v>
      </c>
      <c r="F376" s="13"/>
      <c r="G376" s="26" t="s">
        <v>74</v>
      </c>
      <c r="H376" s="13" t="s">
        <v>75</v>
      </c>
      <c r="I376" s="13"/>
      <c r="J376" s="13"/>
      <c r="K376" s="15"/>
      <c r="L376" s="15"/>
      <c r="M376" s="16"/>
      <c r="N376" s="16"/>
      <c r="O376" s="17">
        <v>1.0</v>
      </c>
      <c r="P376" s="17">
        <v>1.0</v>
      </c>
      <c r="Q376" s="13"/>
      <c r="R376" s="13"/>
      <c r="S376" s="13"/>
      <c r="T376" s="13">
        <f t="shared" ref="T376:Y376" si="397">IF(ISBLANK(K376)=TRUE,0,1)</f>
        <v>0</v>
      </c>
      <c r="U376" s="13">
        <f t="shared" si="397"/>
        <v>0</v>
      </c>
      <c r="V376" s="13">
        <f t="shared" si="397"/>
        <v>0</v>
      </c>
      <c r="W376" s="13">
        <f t="shared" si="397"/>
        <v>0</v>
      </c>
      <c r="X376" s="13">
        <f t="shared" si="397"/>
        <v>1</v>
      </c>
      <c r="Y376" s="13">
        <f t="shared" si="397"/>
        <v>1</v>
      </c>
      <c r="Z376" s="13">
        <f t="shared" si="4"/>
        <v>1</v>
      </c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</row>
    <row r="377" ht="14.25" hidden="1" customHeight="1">
      <c r="A377" s="13" t="s">
        <v>29</v>
      </c>
      <c r="B377" s="13" t="s">
        <v>32</v>
      </c>
      <c r="C377" s="13" t="s">
        <v>344</v>
      </c>
      <c r="D377" s="13" t="s">
        <v>176</v>
      </c>
      <c r="E377" s="13" t="str">
        <f t="shared" si="2"/>
        <v>COHR,35-1-44,AC,1</v>
      </c>
      <c r="F377" s="13"/>
      <c r="G377" s="26" t="s">
        <v>74</v>
      </c>
      <c r="H377" s="13" t="s">
        <v>75</v>
      </c>
      <c r="I377" s="13"/>
      <c r="J377" s="13"/>
      <c r="K377" s="15"/>
      <c r="L377" s="15"/>
      <c r="M377" s="16"/>
      <c r="N377" s="16"/>
      <c r="O377" s="17">
        <v>1.0</v>
      </c>
      <c r="P377" s="17">
        <v>1.0</v>
      </c>
      <c r="Q377" s="13"/>
      <c r="R377" s="13"/>
      <c r="S377" s="13"/>
      <c r="T377" s="13">
        <f t="shared" ref="T377:Y377" si="398">IF(ISBLANK(K377)=TRUE,0,1)</f>
        <v>0</v>
      </c>
      <c r="U377" s="13">
        <f t="shared" si="398"/>
        <v>0</v>
      </c>
      <c r="V377" s="13">
        <f t="shared" si="398"/>
        <v>0</v>
      </c>
      <c r="W377" s="13">
        <f t="shared" si="398"/>
        <v>0</v>
      </c>
      <c r="X377" s="13">
        <f t="shared" si="398"/>
        <v>1</v>
      </c>
      <c r="Y377" s="13">
        <f t="shared" si="398"/>
        <v>1</v>
      </c>
      <c r="Z377" s="13">
        <f t="shared" si="4"/>
        <v>1</v>
      </c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</row>
    <row r="378" ht="14.25" hidden="1" customHeight="1">
      <c r="A378" s="13" t="s">
        <v>29</v>
      </c>
      <c r="B378" s="13" t="s">
        <v>32</v>
      </c>
      <c r="C378" s="13" t="s">
        <v>344</v>
      </c>
      <c r="D378" s="13" t="s">
        <v>177</v>
      </c>
      <c r="E378" s="13" t="str">
        <f t="shared" si="2"/>
        <v>COHR,35-1-44,AD,1</v>
      </c>
      <c r="F378" s="13"/>
      <c r="G378" s="26" t="s">
        <v>74</v>
      </c>
      <c r="H378" s="13" t="s">
        <v>75</v>
      </c>
      <c r="I378" s="13"/>
      <c r="J378" s="13"/>
      <c r="K378" s="15"/>
      <c r="L378" s="15"/>
      <c r="M378" s="16"/>
      <c r="N378" s="16"/>
      <c r="O378" s="17">
        <v>1.0</v>
      </c>
      <c r="P378" s="17">
        <v>1.0</v>
      </c>
      <c r="Q378" s="13"/>
      <c r="R378" s="13"/>
      <c r="S378" s="13"/>
      <c r="T378" s="13">
        <f t="shared" ref="T378:Y378" si="399">IF(ISBLANK(K378)=TRUE,0,1)</f>
        <v>0</v>
      </c>
      <c r="U378" s="13">
        <f t="shared" si="399"/>
        <v>0</v>
      </c>
      <c r="V378" s="13">
        <f t="shared" si="399"/>
        <v>0</v>
      </c>
      <c r="W378" s="13">
        <f t="shared" si="399"/>
        <v>0</v>
      </c>
      <c r="X378" s="13">
        <f t="shared" si="399"/>
        <v>1</v>
      </c>
      <c r="Y378" s="13">
        <f t="shared" si="399"/>
        <v>1</v>
      </c>
      <c r="Z378" s="13">
        <f t="shared" si="4"/>
        <v>1</v>
      </c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</row>
    <row r="379" ht="14.25" hidden="1" customHeight="1">
      <c r="A379" s="13" t="s">
        <v>29</v>
      </c>
      <c r="B379" s="13" t="s">
        <v>32</v>
      </c>
      <c r="C379" s="13" t="s">
        <v>344</v>
      </c>
      <c r="D379" s="13" t="s">
        <v>178</v>
      </c>
      <c r="E379" s="13" t="str">
        <f t="shared" si="2"/>
        <v>COHR,35-1-44,AE,1</v>
      </c>
      <c r="F379" s="13"/>
      <c r="G379" s="13" t="s">
        <v>74</v>
      </c>
      <c r="H379" s="13" t="s">
        <v>75</v>
      </c>
      <c r="I379" s="13"/>
      <c r="J379" s="13"/>
      <c r="K379" s="15">
        <v>1.0</v>
      </c>
      <c r="L379" s="15">
        <v>1.0</v>
      </c>
      <c r="M379" s="16"/>
      <c r="N379" s="16"/>
      <c r="O379" s="17"/>
      <c r="P379" s="17"/>
      <c r="Q379" s="13"/>
      <c r="R379" s="13"/>
      <c r="S379" s="13"/>
      <c r="T379" s="13">
        <f t="shared" ref="T379:Y379" si="400">IF(ISBLANK(K379)=TRUE,0,1)</f>
        <v>1</v>
      </c>
      <c r="U379" s="13">
        <f t="shared" si="400"/>
        <v>1</v>
      </c>
      <c r="V379" s="13">
        <f t="shared" si="400"/>
        <v>0</v>
      </c>
      <c r="W379" s="13">
        <f t="shared" si="400"/>
        <v>0</v>
      </c>
      <c r="X379" s="13">
        <f t="shared" si="400"/>
        <v>0</v>
      </c>
      <c r="Y379" s="13">
        <f t="shared" si="400"/>
        <v>0</v>
      </c>
      <c r="Z379" s="13">
        <f t="shared" si="4"/>
        <v>1</v>
      </c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</row>
    <row r="380" ht="14.25" hidden="1" customHeight="1">
      <c r="A380" s="13" t="s">
        <v>29</v>
      </c>
      <c r="B380" s="13" t="s">
        <v>32</v>
      </c>
      <c r="C380" s="13" t="s">
        <v>344</v>
      </c>
      <c r="D380" s="13" t="s">
        <v>179</v>
      </c>
      <c r="E380" s="13" t="str">
        <f t="shared" si="2"/>
        <v>COHR,35-1-44,AF,1</v>
      </c>
      <c r="F380" s="13"/>
      <c r="G380" s="13" t="s">
        <v>74</v>
      </c>
      <c r="H380" s="13" t="s">
        <v>75</v>
      </c>
      <c r="I380" s="13"/>
      <c r="J380" s="13"/>
      <c r="K380" s="15">
        <v>1.0</v>
      </c>
      <c r="L380" s="15">
        <v>1.0</v>
      </c>
      <c r="M380" s="16"/>
      <c r="N380" s="16"/>
      <c r="O380" s="17"/>
      <c r="P380" s="17"/>
      <c r="Q380" s="13"/>
      <c r="R380" s="13"/>
      <c r="S380" s="13"/>
      <c r="T380" s="13">
        <f t="shared" ref="T380:Y380" si="401">IF(ISBLANK(K380)=TRUE,0,1)</f>
        <v>1</v>
      </c>
      <c r="U380" s="13">
        <f t="shared" si="401"/>
        <v>1</v>
      </c>
      <c r="V380" s="13">
        <f t="shared" si="401"/>
        <v>0</v>
      </c>
      <c r="W380" s="13">
        <f t="shared" si="401"/>
        <v>0</v>
      </c>
      <c r="X380" s="13">
        <f t="shared" si="401"/>
        <v>0</v>
      </c>
      <c r="Y380" s="13">
        <f t="shared" si="401"/>
        <v>0</v>
      </c>
      <c r="Z380" s="13">
        <f t="shared" si="4"/>
        <v>1</v>
      </c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</row>
    <row r="381" ht="14.25" hidden="1" customHeight="1">
      <c r="A381" s="13" t="s">
        <v>29</v>
      </c>
      <c r="B381" s="13" t="s">
        <v>32</v>
      </c>
      <c r="C381" s="13" t="s">
        <v>344</v>
      </c>
      <c r="D381" s="13" t="s">
        <v>180</v>
      </c>
      <c r="E381" s="13" t="str">
        <f t="shared" si="2"/>
        <v>COHR,35-1-44,AG,1</v>
      </c>
      <c r="F381" s="13"/>
      <c r="G381" s="13" t="s">
        <v>74</v>
      </c>
      <c r="H381" s="13" t="s">
        <v>75</v>
      </c>
      <c r="I381" s="13"/>
      <c r="J381" s="13"/>
      <c r="K381" s="15">
        <v>1.0</v>
      </c>
      <c r="L381" s="15">
        <v>1.0</v>
      </c>
      <c r="M381" s="16"/>
      <c r="N381" s="16"/>
      <c r="O381" s="17"/>
      <c r="P381" s="17"/>
      <c r="Q381" s="13"/>
      <c r="R381" s="13"/>
      <c r="S381" s="13"/>
      <c r="T381" s="13">
        <f t="shared" ref="T381:Y381" si="402">IF(ISBLANK(K381)=TRUE,0,1)</f>
        <v>1</v>
      </c>
      <c r="U381" s="13">
        <f t="shared" si="402"/>
        <v>1</v>
      </c>
      <c r="V381" s="13">
        <f t="shared" si="402"/>
        <v>0</v>
      </c>
      <c r="W381" s="13">
        <f t="shared" si="402"/>
        <v>0</v>
      </c>
      <c r="X381" s="13">
        <f t="shared" si="402"/>
        <v>0</v>
      </c>
      <c r="Y381" s="13">
        <f t="shared" si="402"/>
        <v>0</v>
      </c>
      <c r="Z381" s="13">
        <f t="shared" si="4"/>
        <v>1</v>
      </c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</row>
    <row r="382" ht="14.25" hidden="1" customHeight="1">
      <c r="A382" s="13" t="s">
        <v>29</v>
      </c>
      <c r="B382" s="13" t="s">
        <v>32</v>
      </c>
      <c r="C382" s="13" t="s">
        <v>344</v>
      </c>
      <c r="D382" s="13" t="s">
        <v>181</v>
      </c>
      <c r="E382" s="13" t="str">
        <f t="shared" si="2"/>
        <v>COHR,35-1-44,AH,1</v>
      </c>
      <c r="F382" s="13"/>
      <c r="G382" s="13" t="s">
        <v>74</v>
      </c>
      <c r="H382" s="13" t="s">
        <v>75</v>
      </c>
      <c r="I382" s="13"/>
      <c r="J382" s="13"/>
      <c r="K382" s="15">
        <v>1.0</v>
      </c>
      <c r="L382" s="15">
        <v>1.0</v>
      </c>
      <c r="M382" s="16"/>
      <c r="N382" s="16"/>
      <c r="O382" s="17"/>
      <c r="P382" s="17"/>
      <c r="Q382" s="13"/>
      <c r="R382" s="13"/>
      <c r="S382" s="13"/>
      <c r="T382" s="13">
        <f t="shared" ref="T382:Y382" si="403">IF(ISBLANK(K382)=TRUE,0,1)</f>
        <v>1</v>
      </c>
      <c r="U382" s="13">
        <f t="shared" si="403"/>
        <v>1</v>
      </c>
      <c r="V382" s="13">
        <f t="shared" si="403"/>
        <v>0</v>
      </c>
      <c r="W382" s="13">
        <f t="shared" si="403"/>
        <v>0</v>
      </c>
      <c r="X382" s="13">
        <f t="shared" si="403"/>
        <v>0</v>
      </c>
      <c r="Y382" s="13">
        <f t="shared" si="403"/>
        <v>0</v>
      </c>
      <c r="Z382" s="13">
        <f t="shared" si="4"/>
        <v>1</v>
      </c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</row>
    <row r="383" ht="14.25" hidden="1" customHeight="1">
      <c r="A383" s="13" t="s">
        <v>29</v>
      </c>
      <c r="B383" s="13" t="s">
        <v>32</v>
      </c>
      <c r="C383" s="13" t="s">
        <v>344</v>
      </c>
      <c r="D383" s="13" t="s">
        <v>182</v>
      </c>
      <c r="E383" s="13" t="str">
        <f t="shared" si="2"/>
        <v>COHR,35-1-44,AI,1</v>
      </c>
      <c r="F383" s="13"/>
      <c r="G383" s="13" t="s">
        <v>74</v>
      </c>
      <c r="H383" s="13" t="s">
        <v>75</v>
      </c>
      <c r="I383" s="13"/>
      <c r="J383" s="13"/>
      <c r="K383" s="15">
        <v>1.0</v>
      </c>
      <c r="L383" s="15">
        <v>1.0</v>
      </c>
      <c r="M383" s="16"/>
      <c r="N383" s="16"/>
      <c r="O383" s="17"/>
      <c r="P383" s="17"/>
      <c r="Q383" s="13"/>
      <c r="R383" s="13"/>
      <c r="S383" s="13"/>
      <c r="T383" s="13">
        <f t="shared" ref="T383:Y383" si="404">IF(ISBLANK(K383)=TRUE,0,1)</f>
        <v>1</v>
      </c>
      <c r="U383" s="13">
        <f t="shared" si="404"/>
        <v>1</v>
      </c>
      <c r="V383" s="13">
        <f t="shared" si="404"/>
        <v>0</v>
      </c>
      <c r="W383" s="13">
        <f t="shared" si="404"/>
        <v>0</v>
      </c>
      <c r="X383" s="13">
        <f t="shared" si="404"/>
        <v>0</v>
      </c>
      <c r="Y383" s="13">
        <f t="shared" si="404"/>
        <v>0</v>
      </c>
      <c r="Z383" s="13">
        <f t="shared" si="4"/>
        <v>1</v>
      </c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</row>
    <row r="384" ht="14.25" hidden="1" customHeight="1">
      <c r="A384" s="13" t="s">
        <v>29</v>
      </c>
      <c r="B384" s="13" t="s">
        <v>32</v>
      </c>
      <c r="C384" s="13" t="s">
        <v>344</v>
      </c>
      <c r="D384" s="13" t="s">
        <v>183</v>
      </c>
      <c r="E384" s="13" t="str">
        <f t="shared" si="2"/>
        <v>COHR,35-1-44,AJ,1</v>
      </c>
      <c r="F384" s="13"/>
      <c r="G384" s="13" t="s">
        <v>74</v>
      </c>
      <c r="H384" s="13" t="s">
        <v>75</v>
      </c>
      <c r="I384" s="13"/>
      <c r="J384" s="13"/>
      <c r="K384" s="15">
        <v>1.0</v>
      </c>
      <c r="L384" s="15">
        <v>1.0</v>
      </c>
      <c r="M384" s="16"/>
      <c r="N384" s="16"/>
      <c r="O384" s="17"/>
      <c r="P384" s="17"/>
      <c r="Q384" s="13"/>
      <c r="R384" s="13"/>
      <c r="S384" s="13"/>
      <c r="T384" s="13">
        <f t="shared" ref="T384:Y384" si="405">IF(ISBLANK(K384)=TRUE,0,1)</f>
        <v>1</v>
      </c>
      <c r="U384" s="13">
        <f t="shared" si="405"/>
        <v>1</v>
      </c>
      <c r="V384" s="13">
        <f t="shared" si="405"/>
        <v>0</v>
      </c>
      <c r="W384" s="13">
        <f t="shared" si="405"/>
        <v>0</v>
      </c>
      <c r="X384" s="13">
        <f t="shared" si="405"/>
        <v>0</v>
      </c>
      <c r="Y384" s="13">
        <f t="shared" si="405"/>
        <v>0</v>
      </c>
      <c r="Z384" s="13">
        <f t="shared" si="4"/>
        <v>1</v>
      </c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</row>
    <row r="385" ht="14.25" hidden="1" customHeight="1">
      <c r="A385" s="13" t="s">
        <v>29</v>
      </c>
      <c r="B385" s="13" t="s">
        <v>32</v>
      </c>
      <c r="C385" s="13" t="s">
        <v>345</v>
      </c>
      <c r="D385" s="13" t="s">
        <v>174</v>
      </c>
      <c r="E385" s="13" t="str">
        <f t="shared" si="2"/>
        <v>COHR,35-1-45,AA,0</v>
      </c>
      <c r="F385" s="13"/>
      <c r="G385" s="26" t="s">
        <v>74</v>
      </c>
      <c r="H385" s="13" t="s">
        <v>75</v>
      </c>
      <c r="I385" s="13"/>
      <c r="J385" s="13"/>
      <c r="K385" s="15"/>
      <c r="L385" s="15"/>
      <c r="M385" s="16"/>
      <c r="N385" s="16"/>
      <c r="O385" s="17">
        <v>0.0</v>
      </c>
      <c r="P385" s="17">
        <v>0.0</v>
      </c>
      <c r="Q385" s="13"/>
      <c r="R385" s="13"/>
      <c r="S385" s="13"/>
      <c r="T385" s="13">
        <f t="shared" ref="T385:Y385" si="406">IF(ISBLANK(K385)=TRUE,0,1)</f>
        <v>0</v>
      </c>
      <c r="U385" s="13">
        <f t="shared" si="406"/>
        <v>0</v>
      </c>
      <c r="V385" s="13">
        <f t="shared" si="406"/>
        <v>0</v>
      </c>
      <c r="W385" s="13">
        <f t="shared" si="406"/>
        <v>0</v>
      </c>
      <c r="X385" s="13">
        <f t="shared" si="406"/>
        <v>1</v>
      </c>
      <c r="Y385" s="13">
        <f t="shared" si="406"/>
        <v>1</v>
      </c>
      <c r="Z385" s="13">
        <f t="shared" si="4"/>
        <v>0</v>
      </c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</row>
    <row r="386" ht="14.25" hidden="1" customHeight="1">
      <c r="A386" s="13" t="s">
        <v>29</v>
      </c>
      <c r="B386" s="13" t="s">
        <v>32</v>
      </c>
      <c r="C386" s="13" t="s">
        <v>346</v>
      </c>
      <c r="D386" s="13"/>
      <c r="E386" s="13" t="str">
        <f t="shared" si="2"/>
        <v>COHR,35-1-5,,NA</v>
      </c>
      <c r="F386" s="13"/>
      <c r="G386" s="13" t="s">
        <v>74</v>
      </c>
      <c r="H386" s="13" t="s">
        <v>107</v>
      </c>
      <c r="I386" s="14">
        <v>44915.0</v>
      </c>
      <c r="J386" s="14"/>
      <c r="K386" s="15"/>
      <c r="L386" s="15"/>
      <c r="M386" s="16"/>
      <c r="N386" s="16"/>
      <c r="O386" s="17"/>
      <c r="P386" s="17"/>
      <c r="Q386" s="13">
        <f t="shared" ref="Q386:Q395" si="408">K385+L385+M385+N385+O385+P385/6</f>
        <v>0</v>
      </c>
      <c r="R386" s="13"/>
      <c r="S386" s="13"/>
      <c r="T386" s="13">
        <f t="shared" ref="T386:Y386" si="407">IF(ISBLANK(K386)=TRUE,0,1)</f>
        <v>0</v>
      </c>
      <c r="U386" s="13">
        <f t="shared" si="407"/>
        <v>0</v>
      </c>
      <c r="V386" s="13">
        <f t="shared" si="407"/>
        <v>0</v>
      </c>
      <c r="W386" s="13">
        <f t="shared" si="407"/>
        <v>0</v>
      </c>
      <c r="X386" s="13">
        <f t="shared" si="407"/>
        <v>0</v>
      </c>
      <c r="Y386" s="13">
        <f t="shared" si="407"/>
        <v>0</v>
      </c>
      <c r="Z386" s="13" t="str">
        <f t="shared" si="4"/>
        <v>NA</v>
      </c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</row>
    <row r="387" ht="14.25" hidden="1" customHeight="1">
      <c r="A387" s="13" t="s">
        <v>29</v>
      </c>
      <c r="B387" s="13" t="s">
        <v>32</v>
      </c>
      <c r="C387" s="13" t="s">
        <v>347</v>
      </c>
      <c r="D387" s="13"/>
      <c r="E387" s="13" t="str">
        <f t="shared" si="2"/>
        <v>COHR,35-1-6,,NA</v>
      </c>
      <c r="F387" s="13"/>
      <c r="G387" s="13" t="s">
        <v>74</v>
      </c>
      <c r="H387" s="13" t="s">
        <v>107</v>
      </c>
      <c r="I387" s="14">
        <v>44915.0</v>
      </c>
      <c r="J387" s="14"/>
      <c r="K387" s="15"/>
      <c r="L387" s="15"/>
      <c r="M387" s="16"/>
      <c r="N387" s="16"/>
      <c r="O387" s="17"/>
      <c r="P387" s="17"/>
      <c r="Q387" s="13">
        <f t="shared" si="408"/>
        <v>0</v>
      </c>
      <c r="R387" s="13"/>
      <c r="S387" s="13"/>
      <c r="T387" s="13">
        <f t="shared" ref="T387:Y387" si="409">IF(ISBLANK(K387)=TRUE,0,1)</f>
        <v>0</v>
      </c>
      <c r="U387" s="13">
        <f t="shared" si="409"/>
        <v>0</v>
      </c>
      <c r="V387" s="13">
        <f t="shared" si="409"/>
        <v>0</v>
      </c>
      <c r="W387" s="13">
        <f t="shared" si="409"/>
        <v>0</v>
      </c>
      <c r="X387" s="13">
        <f t="shared" si="409"/>
        <v>0</v>
      </c>
      <c r="Y387" s="13">
        <f t="shared" si="409"/>
        <v>0</v>
      </c>
      <c r="Z387" s="13" t="str">
        <f t="shared" si="4"/>
        <v>NA</v>
      </c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</row>
    <row r="388" ht="14.25" hidden="1" customHeight="1">
      <c r="A388" s="13" t="s">
        <v>29</v>
      </c>
      <c r="B388" s="13" t="s">
        <v>32</v>
      </c>
      <c r="C388" s="13" t="s">
        <v>348</v>
      </c>
      <c r="D388" s="13"/>
      <c r="E388" s="13" t="str">
        <f t="shared" si="2"/>
        <v>COHR,35-1-7,,NA</v>
      </c>
      <c r="F388" s="13"/>
      <c r="G388" s="13" t="s">
        <v>74</v>
      </c>
      <c r="H388" s="13" t="s">
        <v>107</v>
      </c>
      <c r="I388" s="14">
        <v>44915.0</v>
      </c>
      <c r="J388" s="14"/>
      <c r="K388" s="15"/>
      <c r="L388" s="15"/>
      <c r="M388" s="16"/>
      <c r="N388" s="16"/>
      <c r="O388" s="17"/>
      <c r="P388" s="17"/>
      <c r="Q388" s="13">
        <f t="shared" si="408"/>
        <v>0</v>
      </c>
      <c r="R388" s="13"/>
      <c r="S388" s="13"/>
      <c r="T388" s="13">
        <f t="shared" ref="T388:Y388" si="410">IF(ISBLANK(K388)=TRUE,0,1)</f>
        <v>0</v>
      </c>
      <c r="U388" s="13">
        <f t="shared" si="410"/>
        <v>0</v>
      </c>
      <c r="V388" s="13">
        <f t="shared" si="410"/>
        <v>0</v>
      </c>
      <c r="W388" s="13">
        <f t="shared" si="410"/>
        <v>0</v>
      </c>
      <c r="X388" s="13">
        <f t="shared" si="410"/>
        <v>0</v>
      </c>
      <c r="Y388" s="13">
        <f t="shared" si="410"/>
        <v>0</v>
      </c>
      <c r="Z388" s="13" t="str">
        <f t="shared" si="4"/>
        <v>NA</v>
      </c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</row>
    <row r="389" ht="14.25" hidden="1" customHeight="1">
      <c r="A389" s="13" t="s">
        <v>29</v>
      </c>
      <c r="B389" s="13" t="s">
        <v>32</v>
      </c>
      <c r="C389" s="13" t="s">
        <v>349</v>
      </c>
      <c r="D389" s="13"/>
      <c r="E389" s="13" t="str">
        <f t="shared" si="2"/>
        <v>COHR,35-1-8,,NA</v>
      </c>
      <c r="F389" s="13"/>
      <c r="G389" s="13" t="s">
        <v>74</v>
      </c>
      <c r="H389" s="13" t="s">
        <v>107</v>
      </c>
      <c r="I389" s="14">
        <v>44915.0</v>
      </c>
      <c r="J389" s="14"/>
      <c r="K389" s="15"/>
      <c r="L389" s="15"/>
      <c r="M389" s="16"/>
      <c r="N389" s="16"/>
      <c r="O389" s="17"/>
      <c r="P389" s="17"/>
      <c r="Q389" s="13">
        <f t="shared" si="408"/>
        <v>0</v>
      </c>
      <c r="R389" s="13"/>
      <c r="S389" s="13"/>
      <c r="T389" s="13">
        <f t="shared" ref="T389:Y389" si="411">IF(ISBLANK(K389)=TRUE,0,1)</f>
        <v>0</v>
      </c>
      <c r="U389" s="13">
        <f t="shared" si="411"/>
        <v>0</v>
      </c>
      <c r="V389" s="13">
        <f t="shared" si="411"/>
        <v>0</v>
      </c>
      <c r="W389" s="13">
        <f t="shared" si="411"/>
        <v>0</v>
      </c>
      <c r="X389" s="13">
        <f t="shared" si="411"/>
        <v>0</v>
      </c>
      <c r="Y389" s="13">
        <f t="shared" si="411"/>
        <v>0</v>
      </c>
      <c r="Z389" s="13" t="str">
        <f t="shared" si="4"/>
        <v>NA</v>
      </c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</row>
    <row r="390" ht="14.25" hidden="1" customHeight="1">
      <c r="A390" s="13" t="s">
        <v>29</v>
      </c>
      <c r="B390" s="13" t="s">
        <v>32</v>
      </c>
      <c r="C390" s="13" t="s">
        <v>350</v>
      </c>
      <c r="D390" s="13"/>
      <c r="E390" s="13" t="str">
        <f t="shared" si="2"/>
        <v>COHR,35-1-9,,NA</v>
      </c>
      <c r="F390" s="13"/>
      <c r="G390" s="13" t="s">
        <v>74</v>
      </c>
      <c r="H390" s="13" t="s">
        <v>107</v>
      </c>
      <c r="I390" s="14">
        <v>44915.0</v>
      </c>
      <c r="J390" s="14"/>
      <c r="K390" s="15"/>
      <c r="L390" s="15"/>
      <c r="M390" s="16"/>
      <c r="N390" s="16"/>
      <c r="O390" s="17"/>
      <c r="P390" s="17"/>
      <c r="Q390" s="13">
        <f t="shared" si="408"/>
        <v>0</v>
      </c>
      <c r="R390" s="13"/>
      <c r="S390" s="13"/>
      <c r="T390" s="13">
        <f t="shared" ref="T390:Y390" si="412">IF(ISBLANK(K390)=TRUE,0,1)</f>
        <v>0</v>
      </c>
      <c r="U390" s="13">
        <f t="shared" si="412"/>
        <v>0</v>
      </c>
      <c r="V390" s="13">
        <f t="shared" si="412"/>
        <v>0</v>
      </c>
      <c r="W390" s="13">
        <f t="shared" si="412"/>
        <v>0</v>
      </c>
      <c r="X390" s="13">
        <f t="shared" si="412"/>
        <v>0</v>
      </c>
      <c r="Y390" s="13">
        <f t="shared" si="412"/>
        <v>0</v>
      </c>
      <c r="Z390" s="13" t="str">
        <f t="shared" si="4"/>
        <v>NA</v>
      </c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</row>
    <row r="391" ht="14.25" hidden="1" customHeight="1">
      <c r="A391" s="13" t="s">
        <v>29</v>
      </c>
      <c r="B391" s="13" t="s">
        <v>32</v>
      </c>
      <c r="C391" s="13" t="s">
        <v>351</v>
      </c>
      <c r="D391" s="13"/>
      <c r="E391" s="13" t="str">
        <f t="shared" si="2"/>
        <v>COHR,35-6-1,,NA</v>
      </c>
      <c r="F391" s="13"/>
      <c r="G391" s="13" t="s">
        <v>74</v>
      </c>
      <c r="H391" s="13" t="s">
        <v>107</v>
      </c>
      <c r="I391" s="14">
        <v>44915.0</v>
      </c>
      <c r="J391" s="14"/>
      <c r="K391" s="15"/>
      <c r="L391" s="15"/>
      <c r="M391" s="16"/>
      <c r="N391" s="16"/>
      <c r="O391" s="17"/>
      <c r="P391" s="17"/>
      <c r="Q391" s="13">
        <f t="shared" si="408"/>
        <v>0</v>
      </c>
      <c r="R391" s="13"/>
      <c r="S391" s="13"/>
      <c r="T391" s="13">
        <f t="shared" ref="T391:Y391" si="413">IF(ISBLANK(K391)=TRUE,0,1)</f>
        <v>0</v>
      </c>
      <c r="U391" s="13">
        <f t="shared" si="413"/>
        <v>0</v>
      </c>
      <c r="V391" s="13">
        <f t="shared" si="413"/>
        <v>0</v>
      </c>
      <c r="W391" s="13">
        <f t="shared" si="413"/>
        <v>0</v>
      </c>
      <c r="X391" s="13">
        <f t="shared" si="413"/>
        <v>0</v>
      </c>
      <c r="Y391" s="13">
        <f t="shared" si="413"/>
        <v>0</v>
      </c>
      <c r="Z391" s="13" t="str">
        <f t="shared" si="4"/>
        <v>NA</v>
      </c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</row>
    <row r="392" ht="14.25" hidden="1" customHeight="1">
      <c r="A392" s="13" t="s">
        <v>29</v>
      </c>
      <c r="B392" s="13" t="s">
        <v>32</v>
      </c>
      <c r="C392" s="13" t="s">
        <v>352</v>
      </c>
      <c r="D392" s="13"/>
      <c r="E392" s="13" t="str">
        <f t="shared" si="2"/>
        <v>COHR,35-6-10,,NA</v>
      </c>
      <c r="F392" s="13"/>
      <c r="G392" s="13" t="s">
        <v>74</v>
      </c>
      <c r="H392" s="13" t="s">
        <v>107</v>
      </c>
      <c r="I392" s="14">
        <v>44915.0</v>
      </c>
      <c r="J392" s="14"/>
      <c r="K392" s="15"/>
      <c r="L392" s="15"/>
      <c r="M392" s="16"/>
      <c r="N392" s="16"/>
      <c r="O392" s="17"/>
      <c r="P392" s="17"/>
      <c r="Q392" s="13">
        <f t="shared" si="408"/>
        <v>0</v>
      </c>
      <c r="R392" s="13"/>
      <c r="S392" s="13"/>
      <c r="T392" s="13">
        <f t="shared" ref="T392:Y392" si="414">IF(ISBLANK(K392)=TRUE,0,1)</f>
        <v>0</v>
      </c>
      <c r="U392" s="13">
        <f t="shared" si="414"/>
        <v>0</v>
      </c>
      <c r="V392" s="13">
        <f t="shared" si="414"/>
        <v>0</v>
      </c>
      <c r="W392" s="13">
        <f t="shared" si="414"/>
        <v>0</v>
      </c>
      <c r="X392" s="13">
        <f t="shared" si="414"/>
        <v>0</v>
      </c>
      <c r="Y392" s="13">
        <f t="shared" si="414"/>
        <v>0</v>
      </c>
      <c r="Z392" s="13" t="str">
        <f t="shared" si="4"/>
        <v>NA</v>
      </c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</row>
    <row r="393" ht="14.25" hidden="1" customHeight="1">
      <c r="A393" s="13" t="s">
        <v>29</v>
      </c>
      <c r="B393" s="13" t="s">
        <v>32</v>
      </c>
      <c r="C393" s="13" t="s">
        <v>353</v>
      </c>
      <c r="D393" s="13"/>
      <c r="E393" s="13" t="str">
        <f t="shared" si="2"/>
        <v>COHR,35-6-11,,NA</v>
      </c>
      <c r="F393" s="13"/>
      <c r="G393" s="13" t="s">
        <v>74</v>
      </c>
      <c r="H393" s="13" t="s">
        <v>107</v>
      </c>
      <c r="I393" s="14">
        <v>44915.0</v>
      </c>
      <c r="J393" s="14"/>
      <c r="K393" s="15"/>
      <c r="L393" s="15"/>
      <c r="M393" s="16"/>
      <c r="N393" s="16"/>
      <c r="O393" s="17"/>
      <c r="P393" s="17"/>
      <c r="Q393" s="13">
        <f t="shared" si="408"/>
        <v>0</v>
      </c>
      <c r="R393" s="13"/>
      <c r="S393" s="13"/>
      <c r="T393" s="13">
        <f t="shared" ref="T393:Y393" si="415">IF(ISBLANK(K393)=TRUE,0,1)</f>
        <v>0</v>
      </c>
      <c r="U393" s="13">
        <f t="shared" si="415"/>
        <v>0</v>
      </c>
      <c r="V393" s="13">
        <f t="shared" si="415"/>
        <v>0</v>
      </c>
      <c r="W393" s="13">
        <f t="shared" si="415"/>
        <v>0</v>
      </c>
      <c r="X393" s="13">
        <f t="shared" si="415"/>
        <v>0</v>
      </c>
      <c r="Y393" s="13">
        <f t="shared" si="415"/>
        <v>0</v>
      </c>
      <c r="Z393" s="13" t="str">
        <f t="shared" si="4"/>
        <v>NA</v>
      </c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</row>
    <row r="394" ht="14.25" hidden="1" customHeight="1">
      <c r="A394" s="13" t="s">
        <v>29</v>
      </c>
      <c r="B394" s="13" t="s">
        <v>32</v>
      </c>
      <c r="C394" s="13" t="s">
        <v>354</v>
      </c>
      <c r="D394" s="13"/>
      <c r="E394" s="13" t="str">
        <f t="shared" si="2"/>
        <v>COHR,35-6-12,,0</v>
      </c>
      <c r="F394" s="13"/>
      <c r="G394" s="13" t="s">
        <v>74</v>
      </c>
      <c r="H394" s="13" t="s">
        <v>107</v>
      </c>
      <c r="I394" s="14">
        <v>44915.0</v>
      </c>
      <c r="J394" s="14"/>
      <c r="K394" s="15"/>
      <c r="L394" s="15"/>
      <c r="M394" s="16"/>
      <c r="N394" s="16"/>
      <c r="O394" s="17">
        <v>0.0</v>
      </c>
      <c r="P394" s="17">
        <v>0.0</v>
      </c>
      <c r="Q394" s="13">
        <f t="shared" si="408"/>
        <v>0</v>
      </c>
      <c r="R394" s="13"/>
      <c r="S394" s="13"/>
      <c r="T394" s="13">
        <f t="shared" ref="T394:Y394" si="416">IF(ISBLANK(K394)=TRUE,0,1)</f>
        <v>0</v>
      </c>
      <c r="U394" s="13">
        <f t="shared" si="416"/>
        <v>0</v>
      </c>
      <c r="V394" s="13">
        <f t="shared" si="416"/>
        <v>0</v>
      </c>
      <c r="W394" s="13">
        <f t="shared" si="416"/>
        <v>0</v>
      </c>
      <c r="X394" s="13">
        <f t="shared" si="416"/>
        <v>1</v>
      </c>
      <c r="Y394" s="13">
        <f t="shared" si="416"/>
        <v>1</v>
      </c>
      <c r="Z394" s="13">
        <f t="shared" si="4"/>
        <v>0</v>
      </c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</row>
    <row r="395" ht="14.25" hidden="1" customHeight="1">
      <c r="A395" s="13" t="s">
        <v>29</v>
      </c>
      <c r="B395" s="13" t="s">
        <v>32</v>
      </c>
      <c r="C395" s="13" t="s">
        <v>355</v>
      </c>
      <c r="D395" s="13"/>
      <c r="E395" s="13" t="str">
        <f t="shared" si="2"/>
        <v>COHR,35-6-13,,0</v>
      </c>
      <c r="F395" s="13"/>
      <c r="G395" s="13" t="s">
        <v>74</v>
      </c>
      <c r="H395" s="13" t="s">
        <v>75</v>
      </c>
      <c r="I395" s="14">
        <v>44915.0</v>
      </c>
      <c r="J395" s="14"/>
      <c r="K395" s="15"/>
      <c r="L395" s="15"/>
      <c r="M395" s="16"/>
      <c r="N395" s="16"/>
      <c r="O395" s="17">
        <v>0.0</v>
      </c>
      <c r="P395" s="17">
        <v>0.0</v>
      </c>
      <c r="Q395" s="13">
        <f t="shared" si="408"/>
        <v>0</v>
      </c>
      <c r="R395" s="13"/>
      <c r="S395" s="13"/>
      <c r="T395" s="13">
        <f t="shared" ref="T395:Y395" si="417">IF(ISBLANK(K395)=TRUE,0,1)</f>
        <v>0</v>
      </c>
      <c r="U395" s="13">
        <f t="shared" si="417"/>
        <v>0</v>
      </c>
      <c r="V395" s="13">
        <f t="shared" si="417"/>
        <v>0</v>
      </c>
      <c r="W395" s="13">
        <f t="shared" si="417"/>
        <v>0</v>
      </c>
      <c r="X395" s="13">
        <f t="shared" si="417"/>
        <v>1</v>
      </c>
      <c r="Y395" s="13">
        <f t="shared" si="417"/>
        <v>1</v>
      </c>
      <c r="Z395" s="13">
        <f t="shared" si="4"/>
        <v>0</v>
      </c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</row>
    <row r="396" ht="14.25" hidden="1" customHeight="1">
      <c r="A396" s="13" t="s">
        <v>29</v>
      </c>
      <c r="B396" s="13" t="s">
        <v>32</v>
      </c>
      <c r="C396" s="13" t="s">
        <v>355</v>
      </c>
      <c r="D396" s="13" t="s">
        <v>174</v>
      </c>
      <c r="E396" s="13" t="str">
        <f t="shared" si="2"/>
        <v>COHR,35-6-13,AA,0</v>
      </c>
      <c r="F396" s="13"/>
      <c r="G396" s="26" t="s">
        <v>74</v>
      </c>
      <c r="H396" s="13" t="s">
        <v>75</v>
      </c>
      <c r="I396" s="13"/>
      <c r="J396" s="13"/>
      <c r="K396" s="15"/>
      <c r="L396" s="15"/>
      <c r="M396" s="16"/>
      <c r="N396" s="16"/>
      <c r="O396" s="17">
        <v>0.0</v>
      </c>
      <c r="P396" s="17">
        <v>0.0</v>
      </c>
      <c r="Q396" s="13"/>
      <c r="R396" s="13"/>
      <c r="S396" s="13"/>
      <c r="T396" s="13">
        <f t="shared" ref="T396:Y396" si="418">IF(ISBLANK(K396)=TRUE,0,1)</f>
        <v>0</v>
      </c>
      <c r="U396" s="13">
        <f t="shared" si="418"/>
        <v>0</v>
      </c>
      <c r="V396" s="13">
        <f t="shared" si="418"/>
        <v>0</v>
      </c>
      <c r="W396" s="13">
        <f t="shared" si="418"/>
        <v>0</v>
      </c>
      <c r="X396" s="13">
        <f t="shared" si="418"/>
        <v>1</v>
      </c>
      <c r="Y396" s="13">
        <f t="shared" si="418"/>
        <v>1</v>
      </c>
      <c r="Z396" s="13">
        <f t="shared" si="4"/>
        <v>0</v>
      </c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</row>
    <row r="397" ht="14.25" hidden="1" customHeight="1">
      <c r="A397" s="13" t="s">
        <v>29</v>
      </c>
      <c r="B397" s="13" t="s">
        <v>32</v>
      </c>
      <c r="C397" s="13" t="s">
        <v>356</v>
      </c>
      <c r="D397" s="13"/>
      <c r="E397" s="13" t="str">
        <f t="shared" si="2"/>
        <v>COHR,35-6-14,,1</v>
      </c>
      <c r="F397" s="13"/>
      <c r="G397" s="13" t="s">
        <v>74</v>
      </c>
      <c r="H397" s="13" t="s">
        <v>75</v>
      </c>
      <c r="I397" s="14">
        <v>44915.0</v>
      </c>
      <c r="J397" s="14"/>
      <c r="K397" s="15"/>
      <c r="L397" s="15"/>
      <c r="M397" s="16"/>
      <c r="N397" s="16"/>
      <c r="O397" s="17">
        <v>1.0</v>
      </c>
      <c r="P397" s="17">
        <v>1.0</v>
      </c>
      <c r="Q397" s="13">
        <f>K396+L396+M396+N396+O396+P396/6</f>
        <v>0</v>
      </c>
      <c r="R397" s="13"/>
      <c r="S397" s="13"/>
      <c r="T397" s="13">
        <f t="shared" ref="T397:Y397" si="419">IF(ISBLANK(K397)=TRUE,0,1)</f>
        <v>0</v>
      </c>
      <c r="U397" s="13">
        <f t="shared" si="419"/>
        <v>0</v>
      </c>
      <c r="V397" s="13">
        <f t="shared" si="419"/>
        <v>0</v>
      </c>
      <c r="W397" s="13">
        <f t="shared" si="419"/>
        <v>0</v>
      </c>
      <c r="X397" s="13">
        <f t="shared" si="419"/>
        <v>1</v>
      </c>
      <c r="Y397" s="13">
        <f t="shared" si="419"/>
        <v>1</v>
      </c>
      <c r="Z397" s="13">
        <f t="shared" si="4"/>
        <v>1</v>
      </c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</row>
    <row r="398" ht="14.25" hidden="1" customHeight="1">
      <c r="A398" s="13" t="s">
        <v>29</v>
      </c>
      <c r="B398" s="13" t="s">
        <v>32</v>
      </c>
      <c r="C398" s="13" t="s">
        <v>356</v>
      </c>
      <c r="D398" s="13" t="s">
        <v>174</v>
      </c>
      <c r="E398" s="13" t="str">
        <f t="shared" si="2"/>
        <v>COHR,35-6-14,AA,1</v>
      </c>
      <c r="F398" s="13"/>
      <c r="G398" s="26" t="s">
        <v>74</v>
      </c>
      <c r="H398" s="13" t="s">
        <v>75</v>
      </c>
      <c r="I398" s="13"/>
      <c r="J398" s="13"/>
      <c r="K398" s="15"/>
      <c r="L398" s="15"/>
      <c r="M398" s="16"/>
      <c r="N398" s="16"/>
      <c r="O398" s="17">
        <v>1.0</v>
      </c>
      <c r="P398" s="17">
        <v>1.0</v>
      </c>
      <c r="Q398" s="13"/>
      <c r="R398" s="13"/>
      <c r="S398" s="13"/>
      <c r="T398" s="13">
        <f t="shared" ref="T398:Y398" si="420">IF(ISBLANK(K398)=TRUE,0,1)</f>
        <v>0</v>
      </c>
      <c r="U398" s="13">
        <f t="shared" si="420"/>
        <v>0</v>
      </c>
      <c r="V398" s="13">
        <f t="shared" si="420"/>
        <v>0</v>
      </c>
      <c r="W398" s="13">
        <f t="shared" si="420"/>
        <v>0</v>
      </c>
      <c r="X398" s="13">
        <f t="shared" si="420"/>
        <v>1</v>
      </c>
      <c r="Y398" s="13">
        <f t="shared" si="420"/>
        <v>1</v>
      </c>
      <c r="Z398" s="13">
        <f t="shared" si="4"/>
        <v>1</v>
      </c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</row>
    <row r="399" ht="14.25" hidden="1" customHeight="1">
      <c r="A399" s="13" t="s">
        <v>29</v>
      </c>
      <c r="B399" s="13" t="s">
        <v>32</v>
      </c>
      <c r="C399" s="13" t="s">
        <v>356</v>
      </c>
      <c r="D399" s="13" t="s">
        <v>175</v>
      </c>
      <c r="E399" s="13" t="str">
        <f t="shared" si="2"/>
        <v>COHR,35-6-14,AB,1</v>
      </c>
      <c r="F399" s="13"/>
      <c r="G399" s="26" t="s">
        <v>74</v>
      </c>
      <c r="H399" s="13" t="s">
        <v>75</v>
      </c>
      <c r="I399" s="13"/>
      <c r="J399" s="13"/>
      <c r="K399" s="15"/>
      <c r="L399" s="15"/>
      <c r="M399" s="16"/>
      <c r="N399" s="16"/>
      <c r="O399" s="17">
        <v>1.0</v>
      </c>
      <c r="P399" s="17">
        <v>1.0</v>
      </c>
      <c r="Q399" s="13"/>
      <c r="R399" s="13"/>
      <c r="S399" s="13"/>
      <c r="T399" s="13">
        <f t="shared" ref="T399:Y399" si="421">IF(ISBLANK(K399)=TRUE,0,1)</f>
        <v>0</v>
      </c>
      <c r="U399" s="13">
        <f t="shared" si="421"/>
        <v>0</v>
      </c>
      <c r="V399" s="13">
        <f t="shared" si="421"/>
        <v>0</v>
      </c>
      <c r="W399" s="13">
        <f t="shared" si="421"/>
        <v>0</v>
      </c>
      <c r="X399" s="13">
        <f t="shared" si="421"/>
        <v>1</v>
      </c>
      <c r="Y399" s="13">
        <f t="shared" si="421"/>
        <v>1</v>
      </c>
      <c r="Z399" s="13">
        <f t="shared" si="4"/>
        <v>1</v>
      </c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</row>
    <row r="400" ht="14.25" hidden="1" customHeight="1">
      <c r="A400" s="13" t="s">
        <v>29</v>
      </c>
      <c r="B400" s="13" t="s">
        <v>32</v>
      </c>
      <c r="C400" s="13" t="s">
        <v>356</v>
      </c>
      <c r="D400" s="13" t="s">
        <v>176</v>
      </c>
      <c r="E400" s="13" t="str">
        <f t="shared" si="2"/>
        <v>COHR,35-6-14,AC,1</v>
      </c>
      <c r="F400" s="13"/>
      <c r="G400" s="26" t="s">
        <v>74</v>
      </c>
      <c r="H400" s="13" t="s">
        <v>75</v>
      </c>
      <c r="I400" s="13"/>
      <c r="J400" s="13"/>
      <c r="K400" s="15"/>
      <c r="L400" s="15"/>
      <c r="M400" s="16"/>
      <c r="N400" s="16"/>
      <c r="O400" s="17">
        <v>1.0</v>
      </c>
      <c r="P400" s="17">
        <v>1.0</v>
      </c>
      <c r="Q400" s="13"/>
      <c r="R400" s="13"/>
      <c r="S400" s="13"/>
      <c r="T400" s="13">
        <f t="shared" ref="T400:Y400" si="422">IF(ISBLANK(K400)=TRUE,0,1)</f>
        <v>0</v>
      </c>
      <c r="U400" s="13">
        <f t="shared" si="422"/>
        <v>0</v>
      </c>
      <c r="V400" s="13">
        <f t="shared" si="422"/>
        <v>0</v>
      </c>
      <c r="W400" s="13">
        <f t="shared" si="422"/>
        <v>0</v>
      </c>
      <c r="X400" s="13">
        <f t="shared" si="422"/>
        <v>1</v>
      </c>
      <c r="Y400" s="13">
        <f t="shared" si="422"/>
        <v>1</v>
      </c>
      <c r="Z400" s="13">
        <f t="shared" si="4"/>
        <v>1</v>
      </c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</row>
    <row r="401" ht="14.25" hidden="1" customHeight="1">
      <c r="A401" s="13" t="s">
        <v>29</v>
      </c>
      <c r="B401" s="13" t="s">
        <v>32</v>
      </c>
      <c r="C401" s="13" t="s">
        <v>356</v>
      </c>
      <c r="D401" s="13" t="s">
        <v>177</v>
      </c>
      <c r="E401" s="13" t="str">
        <f t="shared" si="2"/>
        <v>COHR,35-6-14,AD,1</v>
      </c>
      <c r="F401" s="13"/>
      <c r="G401" s="26" t="s">
        <v>74</v>
      </c>
      <c r="H401" s="13" t="s">
        <v>75</v>
      </c>
      <c r="I401" s="13"/>
      <c r="J401" s="13"/>
      <c r="K401" s="15"/>
      <c r="L401" s="15"/>
      <c r="M401" s="16"/>
      <c r="N401" s="16"/>
      <c r="O401" s="17">
        <v>1.0</v>
      </c>
      <c r="P401" s="17">
        <v>1.0</v>
      </c>
      <c r="Q401" s="13"/>
      <c r="R401" s="13"/>
      <c r="S401" s="13"/>
      <c r="T401" s="13">
        <f t="shared" ref="T401:Y401" si="423">IF(ISBLANK(K401)=TRUE,0,1)</f>
        <v>0</v>
      </c>
      <c r="U401" s="13">
        <f t="shared" si="423"/>
        <v>0</v>
      </c>
      <c r="V401" s="13">
        <f t="shared" si="423"/>
        <v>0</v>
      </c>
      <c r="W401" s="13">
        <f t="shared" si="423"/>
        <v>0</v>
      </c>
      <c r="X401" s="13">
        <f t="shared" si="423"/>
        <v>1</v>
      </c>
      <c r="Y401" s="13">
        <f t="shared" si="423"/>
        <v>1</v>
      </c>
      <c r="Z401" s="13">
        <f t="shared" si="4"/>
        <v>1</v>
      </c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</row>
    <row r="402" ht="14.25" hidden="1" customHeight="1">
      <c r="A402" s="13" t="s">
        <v>29</v>
      </c>
      <c r="B402" s="13" t="s">
        <v>32</v>
      </c>
      <c r="C402" s="13" t="s">
        <v>356</v>
      </c>
      <c r="D402" s="13" t="s">
        <v>178</v>
      </c>
      <c r="E402" s="13" t="str">
        <f t="shared" si="2"/>
        <v>COHR,35-6-14,AE,1</v>
      </c>
      <c r="F402" s="13"/>
      <c r="G402" s="26" t="s">
        <v>74</v>
      </c>
      <c r="H402" s="13" t="s">
        <v>75</v>
      </c>
      <c r="I402" s="13"/>
      <c r="J402" s="13"/>
      <c r="K402" s="15"/>
      <c r="L402" s="15"/>
      <c r="M402" s="16"/>
      <c r="N402" s="16"/>
      <c r="O402" s="17">
        <v>1.0</v>
      </c>
      <c r="P402" s="17">
        <v>1.0</v>
      </c>
      <c r="Q402" s="13"/>
      <c r="R402" s="13"/>
      <c r="S402" s="13"/>
      <c r="T402" s="13">
        <f t="shared" ref="T402:Y402" si="424">IF(ISBLANK(K402)=TRUE,0,1)</f>
        <v>0</v>
      </c>
      <c r="U402" s="13">
        <f t="shared" si="424"/>
        <v>0</v>
      </c>
      <c r="V402" s="13">
        <f t="shared" si="424"/>
        <v>0</v>
      </c>
      <c r="W402" s="13">
        <f t="shared" si="424"/>
        <v>0</v>
      </c>
      <c r="X402" s="13">
        <f t="shared" si="424"/>
        <v>1</v>
      </c>
      <c r="Y402" s="13">
        <f t="shared" si="424"/>
        <v>1</v>
      </c>
      <c r="Z402" s="13">
        <f t="shared" si="4"/>
        <v>1</v>
      </c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</row>
    <row r="403" ht="14.25" hidden="1" customHeight="1">
      <c r="A403" s="13" t="s">
        <v>29</v>
      </c>
      <c r="B403" s="13" t="s">
        <v>32</v>
      </c>
      <c r="C403" s="13" t="s">
        <v>356</v>
      </c>
      <c r="D403" s="13" t="s">
        <v>179</v>
      </c>
      <c r="E403" s="13" t="str">
        <f t="shared" si="2"/>
        <v>COHR,35-6-14,AF,1</v>
      </c>
      <c r="F403" s="13"/>
      <c r="G403" s="13" t="s">
        <v>74</v>
      </c>
      <c r="H403" s="13" t="s">
        <v>75</v>
      </c>
      <c r="I403" s="13"/>
      <c r="J403" s="13"/>
      <c r="K403" s="15">
        <v>1.0</v>
      </c>
      <c r="L403" s="15">
        <v>1.0</v>
      </c>
      <c r="M403" s="16"/>
      <c r="N403" s="16"/>
      <c r="O403" s="17"/>
      <c r="P403" s="17"/>
      <c r="Q403" s="13"/>
      <c r="R403" s="13"/>
      <c r="S403" s="13"/>
      <c r="T403" s="13">
        <f t="shared" ref="T403:Y403" si="425">IF(ISBLANK(K403)=TRUE,0,1)</f>
        <v>1</v>
      </c>
      <c r="U403" s="13">
        <f t="shared" si="425"/>
        <v>1</v>
      </c>
      <c r="V403" s="13">
        <f t="shared" si="425"/>
        <v>0</v>
      </c>
      <c r="W403" s="13">
        <f t="shared" si="425"/>
        <v>0</v>
      </c>
      <c r="X403" s="13">
        <f t="shared" si="425"/>
        <v>0</v>
      </c>
      <c r="Y403" s="13">
        <f t="shared" si="425"/>
        <v>0</v>
      </c>
      <c r="Z403" s="13">
        <f t="shared" si="4"/>
        <v>1</v>
      </c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</row>
    <row r="404" ht="14.25" hidden="1" customHeight="1">
      <c r="A404" s="13" t="s">
        <v>29</v>
      </c>
      <c r="B404" s="13" t="s">
        <v>32</v>
      </c>
      <c r="C404" s="13" t="s">
        <v>356</v>
      </c>
      <c r="D404" s="13" t="s">
        <v>180</v>
      </c>
      <c r="E404" s="13" t="str">
        <f t="shared" si="2"/>
        <v>COHR,35-6-14,AG,1</v>
      </c>
      <c r="F404" s="13"/>
      <c r="G404" s="13" t="s">
        <v>74</v>
      </c>
      <c r="H404" s="13" t="s">
        <v>75</v>
      </c>
      <c r="I404" s="13"/>
      <c r="J404" s="13"/>
      <c r="K404" s="15">
        <v>1.0</v>
      </c>
      <c r="L404" s="15">
        <v>1.0</v>
      </c>
      <c r="M404" s="16"/>
      <c r="N404" s="16"/>
      <c r="O404" s="17"/>
      <c r="P404" s="17"/>
      <c r="Q404" s="13"/>
      <c r="R404" s="13"/>
      <c r="S404" s="13"/>
      <c r="T404" s="13">
        <f t="shared" ref="T404:Y404" si="426">IF(ISBLANK(K404)=TRUE,0,1)</f>
        <v>1</v>
      </c>
      <c r="U404" s="13">
        <f t="shared" si="426"/>
        <v>1</v>
      </c>
      <c r="V404" s="13">
        <f t="shared" si="426"/>
        <v>0</v>
      </c>
      <c r="W404" s="13">
        <f t="shared" si="426"/>
        <v>0</v>
      </c>
      <c r="X404" s="13">
        <f t="shared" si="426"/>
        <v>0</v>
      </c>
      <c r="Y404" s="13">
        <f t="shared" si="426"/>
        <v>0</v>
      </c>
      <c r="Z404" s="13">
        <f t="shared" si="4"/>
        <v>1</v>
      </c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</row>
    <row r="405" ht="14.25" hidden="1" customHeight="1">
      <c r="A405" s="13" t="s">
        <v>29</v>
      </c>
      <c r="B405" s="13" t="s">
        <v>32</v>
      </c>
      <c r="C405" s="13" t="s">
        <v>356</v>
      </c>
      <c r="D405" s="13" t="s">
        <v>181</v>
      </c>
      <c r="E405" s="13" t="str">
        <f t="shared" si="2"/>
        <v>COHR,35-6-14,AH,1</v>
      </c>
      <c r="F405" s="13"/>
      <c r="G405" s="13" t="s">
        <v>74</v>
      </c>
      <c r="H405" s="13" t="s">
        <v>75</v>
      </c>
      <c r="I405" s="13"/>
      <c r="J405" s="13"/>
      <c r="K405" s="15">
        <v>1.0</v>
      </c>
      <c r="L405" s="15">
        <v>1.0</v>
      </c>
      <c r="M405" s="16"/>
      <c r="N405" s="16"/>
      <c r="O405" s="17"/>
      <c r="P405" s="17"/>
      <c r="Q405" s="13"/>
      <c r="R405" s="13"/>
      <c r="S405" s="13"/>
      <c r="T405" s="13">
        <f t="shared" ref="T405:Y405" si="427">IF(ISBLANK(K405)=TRUE,0,1)</f>
        <v>1</v>
      </c>
      <c r="U405" s="13">
        <f t="shared" si="427"/>
        <v>1</v>
      </c>
      <c r="V405" s="13">
        <f t="shared" si="427"/>
        <v>0</v>
      </c>
      <c r="W405" s="13">
        <f t="shared" si="427"/>
        <v>0</v>
      </c>
      <c r="X405" s="13">
        <f t="shared" si="427"/>
        <v>0</v>
      </c>
      <c r="Y405" s="13">
        <f t="shared" si="427"/>
        <v>0</v>
      </c>
      <c r="Z405" s="13">
        <f t="shared" si="4"/>
        <v>1</v>
      </c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</row>
    <row r="406" ht="14.25" hidden="1" customHeight="1">
      <c r="A406" s="13" t="s">
        <v>29</v>
      </c>
      <c r="B406" s="13" t="s">
        <v>32</v>
      </c>
      <c r="C406" s="13" t="s">
        <v>356</v>
      </c>
      <c r="D406" s="13" t="s">
        <v>182</v>
      </c>
      <c r="E406" s="13" t="str">
        <f t="shared" si="2"/>
        <v>COHR,35-6-14,AI,1</v>
      </c>
      <c r="F406" s="13"/>
      <c r="G406" s="13" t="s">
        <v>74</v>
      </c>
      <c r="H406" s="13" t="s">
        <v>75</v>
      </c>
      <c r="I406" s="13"/>
      <c r="J406" s="13"/>
      <c r="K406" s="15">
        <v>1.0</v>
      </c>
      <c r="L406" s="15">
        <v>1.0</v>
      </c>
      <c r="M406" s="16"/>
      <c r="N406" s="16"/>
      <c r="O406" s="17"/>
      <c r="P406" s="17"/>
      <c r="Q406" s="13"/>
      <c r="R406" s="13"/>
      <c r="S406" s="13"/>
      <c r="T406" s="13">
        <f t="shared" ref="T406:Y406" si="428">IF(ISBLANK(K406)=TRUE,0,1)</f>
        <v>1</v>
      </c>
      <c r="U406" s="13">
        <f t="shared" si="428"/>
        <v>1</v>
      </c>
      <c r="V406" s="13">
        <f t="shared" si="428"/>
        <v>0</v>
      </c>
      <c r="W406" s="13">
        <f t="shared" si="428"/>
        <v>0</v>
      </c>
      <c r="X406" s="13">
        <f t="shared" si="428"/>
        <v>0</v>
      </c>
      <c r="Y406" s="13">
        <f t="shared" si="428"/>
        <v>0</v>
      </c>
      <c r="Z406" s="13">
        <f t="shared" si="4"/>
        <v>1</v>
      </c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</row>
    <row r="407" ht="14.25" hidden="1" customHeight="1">
      <c r="A407" s="13" t="s">
        <v>29</v>
      </c>
      <c r="B407" s="13" t="s">
        <v>32</v>
      </c>
      <c r="C407" s="13" t="s">
        <v>356</v>
      </c>
      <c r="D407" s="13" t="s">
        <v>183</v>
      </c>
      <c r="E407" s="13" t="str">
        <f t="shared" si="2"/>
        <v>COHR,35-6-14,AJ,1</v>
      </c>
      <c r="F407" s="13"/>
      <c r="G407" s="13" t="s">
        <v>74</v>
      </c>
      <c r="H407" s="13" t="s">
        <v>75</v>
      </c>
      <c r="I407" s="13"/>
      <c r="J407" s="13"/>
      <c r="K407" s="15">
        <v>1.0</v>
      </c>
      <c r="L407" s="15">
        <v>1.0</v>
      </c>
      <c r="M407" s="16"/>
      <c r="N407" s="16"/>
      <c r="O407" s="17"/>
      <c r="P407" s="17"/>
      <c r="Q407" s="13"/>
      <c r="R407" s="13"/>
      <c r="S407" s="13"/>
      <c r="T407" s="13">
        <f t="shared" ref="T407:Y407" si="429">IF(ISBLANK(K407)=TRUE,0,1)</f>
        <v>1</v>
      </c>
      <c r="U407" s="13">
        <f t="shared" si="429"/>
        <v>1</v>
      </c>
      <c r="V407" s="13">
        <f t="shared" si="429"/>
        <v>0</v>
      </c>
      <c r="W407" s="13">
        <f t="shared" si="429"/>
        <v>0</v>
      </c>
      <c r="X407" s="13">
        <f t="shared" si="429"/>
        <v>0</v>
      </c>
      <c r="Y407" s="13">
        <f t="shared" si="429"/>
        <v>0</v>
      </c>
      <c r="Z407" s="13">
        <f t="shared" si="4"/>
        <v>1</v>
      </c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</row>
    <row r="408" ht="14.25" hidden="1" customHeight="1">
      <c r="A408" s="13" t="s">
        <v>29</v>
      </c>
      <c r="B408" s="13" t="s">
        <v>32</v>
      </c>
      <c r="C408" s="13" t="s">
        <v>357</v>
      </c>
      <c r="D408" s="13"/>
      <c r="E408" s="13" t="str">
        <f t="shared" si="2"/>
        <v>COHR,35-6-15,,1</v>
      </c>
      <c r="F408" s="13"/>
      <c r="G408" s="13" t="s">
        <v>74</v>
      </c>
      <c r="H408" s="13" t="s">
        <v>75</v>
      </c>
      <c r="I408" s="14">
        <v>44915.0</v>
      </c>
      <c r="J408" s="14"/>
      <c r="K408" s="15"/>
      <c r="L408" s="15"/>
      <c r="M408" s="16"/>
      <c r="N408" s="16"/>
      <c r="O408" s="17">
        <v>1.0</v>
      </c>
      <c r="P408" s="17">
        <v>1.0</v>
      </c>
      <c r="Q408" s="13">
        <f>K407+L407+M407+N407+O407+P407/6</f>
        <v>2</v>
      </c>
      <c r="R408" s="13"/>
      <c r="S408" s="13"/>
      <c r="T408" s="13">
        <f t="shared" ref="T408:Y408" si="430">IF(ISBLANK(K408)=TRUE,0,1)</f>
        <v>0</v>
      </c>
      <c r="U408" s="13">
        <f t="shared" si="430"/>
        <v>0</v>
      </c>
      <c r="V408" s="13">
        <f t="shared" si="430"/>
        <v>0</v>
      </c>
      <c r="W408" s="13">
        <f t="shared" si="430"/>
        <v>0</v>
      </c>
      <c r="X408" s="13">
        <f t="shared" si="430"/>
        <v>1</v>
      </c>
      <c r="Y408" s="13">
        <f t="shared" si="430"/>
        <v>1</v>
      </c>
      <c r="Z408" s="13">
        <f t="shared" si="4"/>
        <v>1</v>
      </c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</row>
    <row r="409" ht="14.25" hidden="1" customHeight="1">
      <c r="A409" s="13" t="s">
        <v>29</v>
      </c>
      <c r="B409" s="13" t="s">
        <v>32</v>
      </c>
      <c r="C409" s="13" t="s">
        <v>357</v>
      </c>
      <c r="D409" s="13" t="s">
        <v>174</v>
      </c>
      <c r="E409" s="13" t="str">
        <f t="shared" si="2"/>
        <v>COHR,35-6-15,AA,1</v>
      </c>
      <c r="F409" s="13"/>
      <c r="G409" s="26" t="s">
        <v>74</v>
      </c>
      <c r="H409" s="13" t="s">
        <v>75</v>
      </c>
      <c r="I409" s="13"/>
      <c r="J409" s="13"/>
      <c r="K409" s="15"/>
      <c r="L409" s="15"/>
      <c r="M409" s="16"/>
      <c r="N409" s="16"/>
      <c r="O409" s="17">
        <v>1.0</v>
      </c>
      <c r="P409" s="17">
        <v>1.0</v>
      </c>
      <c r="Q409" s="13"/>
      <c r="R409" s="13"/>
      <c r="S409" s="13"/>
      <c r="T409" s="13">
        <f t="shared" ref="T409:Y409" si="431">IF(ISBLANK(K409)=TRUE,0,1)</f>
        <v>0</v>
      </c>
      <c r="U409" s="13">
        <f t="shared" si="431"/>
        <v>0</v>
      </c>
      <c r="V409" s="13">
        <f t="shared" si="431"/>
        <v>0</v>
      </c>
      <c r="W409" s="13">
        <f t="shared" si="431"/>
        <v>0</v>
      </c>
      <c r="X409" s="13">
        <f t="shared" si="431"/>
        <v>1</v>
      </c>
      <c r="Y409" s="13">
        <f t="shared" si="431"/>
        <v>1</v>
      </c>
      <c r="Z409" s="13">
        <f t="shared" si="4"/>
        <v>1</v>
      </c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</row>
    <row r="410" ht="14.25" hidden="1" customHeight="1">
      <c r="A410" s="13" t="s">
        <v>29</v>
      </c>
      <c r="B410" s="13" t="s">
        <v>32</v>
      </c>
      <c r="C410" s="13" t="s">
        <v>357</v>
      </c>
      <c r="D410" s="13" t="s">
        <v>175</v>
      </c>
      <c r="E410" s="13" t="str">
        <f t="shared" si="2"/>
        <v>COHR,35-6-15,AB,1</v>
      </c>
      <c r="F410" s="13"/>
      <c r="G410" s="26" t="s">
        <v>74</v>
      </c>
      <c r="H410" s="13" t="s">
        <v>75</v>
      </c>
      <c r="I410" s="13"/>
      <c r="J410" s="13"/>
      <c r="K410" s="15"/>
      <c r="L410" s="15"/>
      <c r="M410" s="16"/>
      <c r="N410" s="16"/>
      <c r="O410" s="17">
        <v>1.0</v>
      </c>
      <c r="P410" s="17">
        <v>1.0</v>
      </c>
      <c r="Q410" s="13"/>
      <c r="R410" s="13"/>
      <c r="S410" s="13"/>
      <c r="T410" s="13">
        <f t="shared" ref="T410:Y410" si="432">IF(ISBLANK(K410)=TRUE,0,1)</f>
        <v>0</v>
      </c>
      <c r="U410" s="13">
        <f t="shared" si="432"/>
        <v>0</v>
      </c>
      <c r="V410" s="13">
        <f t="shared" si="432"/>
        <v>0</v>
      </c>
      <c r="W410" s="13">
        <f t="shared" si="432"/>
        <v>0</v>
      </c>
      <c r="X410" s="13">
        <f t="shared" si="432"/>
        <v>1</v>
      </c>
      <c r="Y410" s="13">
        <f t="shared" si="432"/>
        <v>1</v>
      </c>
      <c r="Z410" s="13">
        <f t="shared" si="4"/>
        <v>1</v>
      </c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</row>
    <row r="411" ht="14.25" hidden="1" customHeight="1">
      <c r="A411" s="13" t="s">
        <v>29</v>
      </c>
      <c r="B411" s="13" t="s">
        <v>32</v>
      </c>
      <c r="C411" s="13" t="s">
        <v>357</v>
      </c>
      <c r="D411" s="13" t="s">
        <v>176</v>
      </c>
      <c r="E411" s="13" t="str">
        <f t="shared" si="2"/>
        <v>COHR,35-6-15,AC,1</v>
      </c>
      <c r="F411" s="13"/>
      <c r="G411" s="26" t="s">
        <v>74</v>
      </c>
      <c r="H411" s="13" t="s">
        <v>75</v>
      </c>
      <c r="I411" s="13"/>
      <c r="J411" s="13"/>
      <c r="K411" s="15"/>
      <c r="L411" s="15"/>
      <c r="M411" s="16"/>
      <c r="N411" s="16"/>
      <c r="O411" s="17">
        <v>1.0</v>
      </c>
      <c r="P411" s="17">
        <v>1.0</v>
      </c>
      <c r="Q411" s="13"/>
      <c r="R411" s="13"/>
      <c r="S411" s="13"/>
      <c r="T411" s="13">
        <f t="shared" ref="T411:Y411" si="433">IF(ISBLANK(K411)=TRUE,0,1)</f>
        <v>0</v>
      </c>
      <c r="U411" s="13">
        <f t="shared" si="433"/>
        <v>0</v>
      </c>
      <c r="V411" s="13">
        <f t="shared" si="433"/>
        <v>0</v>
      </c>
      <c r="W411" s="13">
        <f t="shared" si="433"/>
        <v>0</v>
      </c>
      <c r="X411" s="13">
        <f t="shared" si="433"/>
        <v>1</v>
      </c>
      <c r="Y411" s="13">
        <f t="shared" si="433"/>
        <v>1</v>
      </c>
      <c r="Z411" s="13">
        <f t="shared" si="4"/>
        <v>1</v>
      </c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</row>
    <row r="412" ht="14.25" hidden="1" customHeight="1">
      <c r="A412" s="13" t="s">
        <v>29</v>
      </c>
      <c r="B412" s="13" t="s">
        <v>32</v>
      </c>
      <c r="C412" s="13" t="s">
        <v>357</v>
      </c>
      <c r="D412" s="13" t="s">
        <v>177</v>
      </c>
      <c r="E412" s="13" t="str">
        <f t="shared" si="2"/>
        <v>COHR,35-6-15,AD,1</v>
      </c>
      <c r="F412" s="13"/>
      <c r="G412" s="13" t="s">
        <v>74</v>
      </c>
      <c r="H412" s="13" t="s">
        <v>75</v>
      </c>
      <c r="I412" s="13"/>
      <c r="J412" s="13"/>
      <c r="K412" s="15">
        <v>1.0</v>
      </c>
      <c r="L412" s="15">
        <v>1.0</v>
      </c>
      <c r="M412" s="16"/>
      <c r="N412" s="16"/>
      <c r="O412" s="17"/>
      <c r="P412" s="17"/>
      <c r="Q412" s="13"/>
      <c r="R412" s="13"/>
      <c r="S412" s="13"/>
      <c r="T412" s="13">
        <f t="shared" ref="T412:Y412" si="434">IF(ISBLANK(K412)=TRUE,0,1)</f>
        <v>1</v>
      </c>
      <c r="U412" s="13">
        <f t="shared" si="434"/>
        <v>1</v>
      </c>
      <c r="V412" s="13">
        <f t="shared" si="434"/>
        <v>0</v>
      </c>
      <c r="W412" s="13">
        <f t="shared" si="434"/>
        <v>0</v>
      </c>
      <c r="X412" s="13">
        <f t="shared" si="434"/>
        <v>0</v>
      </c>
      <c r="Y412" s="13">
        <f t="shared" si="434"/>
        <v>0</v>
      </c>
      <c r="Z412" s="13">
        <f t="shared" si="4"/>
        <v>1</v>
      </c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</row>
    <row r="413" ht="14.25" hidden="1" customHeight="1">
      <c r="A413" s="13" t="s">
        <v>29</v>
      </c>
      <c r="B413" s="13" t="s">
        <v>32</v>
      </c>
      <c r="C413" s="13" t="s">
        <v>357</v>
      </c>
      <c r="D413" s="13" t="s">
        <v>178</v>
      </c>
      <c r="E413" s="13" t="str">
        <f t="shared" si="2"/>
        <v>COHR,35-6-15,AE,1</v>
      </c>
      <c r="F413" s="13"/>
      <c r="G413" s="13" t="s">
        <v>74</v>
      </c>
      <c r="H413" s="13" t="s">
        <v>75</v>
      </c>
      <c r="I413" s="13"/>
      <c r="J413" s="13"/>
      <c r="K413" s="15">
        <v>1.0</v>
      </c>
      <c r="L413" s="15">
        <v>1.0</v>
      </c>
      <c r="M413" s="16"/>
      <c r="N413" s="16"/>
      <c r="O413" s="17"/>
      <c r="P413" s="17"/>
      <c r="Q413" s="13"/>
      <c r="R413" s="13"/>
      <c r="S413" s="13"/>
      <c r="T413" s="13">
        <f t="shared" ref="T413:Y413" si="435">IF(ISBLANK(K413)=TRUE,0,1)</f>
        <v>1</v>
      </c>
      <c r="U413" s="13">
        <f t="shared" si="435"/>
        <v>1</v>
      </c>
      <c r="V413" s="13">
        <f t="shared" si="435"/>
        <v>0</v>
      </c>
      <c r="W413" s="13">
        <f t="shared" si="435"/>
        <v>0</v>
      </c>
      <c r="X413" s="13">
        <f t="shared" si="435"/>
        <v>0</v>
      </c>
      <c r="Y413" s="13">
        <f t="shared" si="435"/>
        <v>0</v>
      </c>
      <c r="Z413" s="13">
        <f t="shared" si="4"/>
        <v>1</v>
      </c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</row>
    <row r="414" ht="14.25" hidden="1" customHeight="1">
      <c r="A414" s="13" t="s">
        <v>29</v>
      </c>
      <c r="B414" s="13" t="s">
        <v>32</v>
      </c>
      <c r="C414" s="13" t="s">
        <v>358</v>
      </c>
      <c r="D414" s="13"/>
      <c r="E414" s="13" t="str">
        <f t="shared" si="2"/>
        <v>COHR,35-6-16,,NA</v>
      </c>
      <c r="F414" s="13"/>
      <c r="G414" s="13" t="s">
        <v>74</v>
      </c>
      <c r="H414" s="13" t="s">
        <v>75</v>
      </c>
      <c r="I414" s="14">
        <v>44915.0</v>
      </c>
      <c r="J414" s="14"/>
      <c r="K414" s="15"/>
      <c r="L414" s="15"/>
      <c r="M414" s="16"/>
      <c r="N414" s="16"/>
      <c r="O414" s="17"/>
      <c r="P414" s="17"/>
      <c r="Q414" s="13">
        <f>K413+L413+M413+N413+O413+P413/6</f>
        <v>2</v>
      </c>
      <c r="R414" s="13"/>
      <c r="S414" s="13"/>
      <c r="T414" s="13">
        <f t="shared" ref="T414:Y414" si="436">IF(ISBLANK(K414)=TRUE,0,1)</f>
        <v>0</v>
      </c>
      <c r="U414" s="13">
        <f t="shared" si="436"/>
        <v>0</v>
      </c>
      <c r="V414" s="13">
        <f t="shared" si="436"/>
        <v>0</v>
      </c>
      <c r="W414" s="13">
        <f t="shared" si="436"/>
        <v>0</v>
      </c>
      <c r="X414" s="13">
        <f t="shared" si="436"/>
        <v>0</v>
      </c>
      <c r="Y414" s="13">
        <f t="shared" si="436"/>
        <v>0</v>
      </c>
      <c r="Z414" s="13" t="str">
        <f t="shared" si="4"/>
        <v>NA</v>
      </c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</row>
    <row r="415" ht="14.25" hidden="1" customHeight="1">
      <c r="A415" s="13" t="s">
        <v>29</v>
      </c>
      <c r="B415" s="13" t="s">
        <v>32</v>
      </c>
      <c r="C415" s="13" t="s">
        <v>358</v>
      </c>
      <c r="D415" s="13" t="s">
        <v>174</v>
      </c>
      <c r="E415" s="13" t="str">
        <f t="shared" si="2"/>
        <v>COHR,35-6-16,AA,1</v>
      </c>
      <c r="F415" s="13"/>
      <c r="G415" s="26" t="s">
        <v>74</v>
      </c>
      <c r="H415" s="13" t="s">
        <v>75</v>
      </c>
      <c r="I415" s="13"/>
      <c r="J415" s="13"/>
      <c r="K415" s="15"/>
      <c r="L415" s="15"/>
      <c r="M415" s="16"/>
      <c r="N415" s="16"/>
      <c r="O415" s="17">
        <v>1.0</v>
      </c>
      <c r="P415" s="17">
        <v>1.0</v>
      </c>
      <c r="Q415" s="13"/>
      <c r="R415" s="13"/>
      <c r="S415" s="13"/>
      <c r="T415" s="13">
        <f t="shared" ref="T415:Y415" si="437">IF(ISBLANK(K415)=TRUE,0,1)</f>
        <v>0</v>
      </c>
      <c r="U415" s="13">
        <f t="shared" si="437"/>
        <v>0</v>
      </c>
      <c r="V415" s="13">
        <f t="shared" si="437"/>
        <v>0</v>
      </c>
      <c r="W415" s="13">
        <f t="shared" si="437"/>
        <v>0</v>
      </c>
      <c r="X415" s="13">
        <f t="shared" si="437"/>
        <v>1</v>
      </c>
      <c r="Y415" s="13">
        <f t="shared" si="437"/>
        <v>1</v>
      </c>
      <c r="Z415" s="13">
        <f t="shared" si="4"/>
        <v>1</v>
      </c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</row>
    <row r="416" ht="14.25" hidden="1" customHeight="1">
      <c r="A416" s="13" t="s">
        <v>29</v>
      </c>
      <c r="B416" s="13" t="s">
        <v>32</v>
      </c>
      <c r="C416" s="13" t="s">
        <v>358</v>
      </c>
      <c r="D416" s="13" t="s">
        <v>175</v>
      </c>
      <c r="E416" s="13" t="str">
        <f t="shared" si="2"/>
        <v>COHR,35-6-16,AB,1</v>
      </c>
      <c r="F416" s="13"/>
      <c r="G416" s="13" t="s">
        <v>74</v>
      </c>
      <c r="H416" s="13" t="s">
        <v>75</v>
      </c>
      <c r="I416" s="13"/>
      <c r="J416" s="13"/>
      <c r="K416" s="15">
        <v>1.0</v>
      </c>
      <c r="L416" s="15">
        <v>1.0</v>
      </c>
      <c r="M416" s="16"/>
      <c r="N416" s="16"/>
      <c r="O416" s="17"/>
      <c r="P416" s="17"/>
      <c r="Q416" s="13"/>
      <c r="R416" s="13"/>
      <c r="S416" s="13"/>
      <c r="T416" s="13">
        <f t="shared" ref="T416:Y416" si="438">IF(ISBLANK(K416)=TRUE,0,1)</f>
        <v>1</v>
      </c>
      <c r="U416" s="13">
        <f t="shared" si="438"/>
        <v>1</v>
      </c>
      <c r="V416" s="13">
        <f t="shared" si="438"/>
        <v>0</v>
      </c>
      <c r="W416" s="13">
        <f t="shared" si="438"/>
        <v>0</v>
      </c>
      <c r="X416" s="13">
        <f t="shared" si="438"/>
        <v>0</v>
      </c>
      <c r="Y416" s="13">
        <f t="shared" si="438"/>
        <v>0</v>
      </c>
      <c r="Z416" s="13">
        <f t="shared" si="4"/>
        <v>1</v>
      </c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</row>
    <row r="417" ht="14.25" hidden="1" customHeight="1">
      <c r="A417" s="13" t="s">
        <v>29</v>
      </c>
      <c r="B417" s="13" t="s">
        <v>32</v>
      </c>
      <c r="C417" s="13" t="s">
        <v>358</v>
      </c>
      <c r="D417" s="13" t="s">
        <v>176</v>
      </c>
      <c r="E417" s="13" t="str">
        <f t="shared" si="2"/>
        <v>COHR,35-6-16,AC,1</v>
      </c>
      <c r="F417" s="13"/>
      <c r="G417" s="13" t="s">
        <v>74</v>
      </c>
      <c r="H417" s="13" t="s">
        <v>75</v>
      </c>
      <c r="I417" s="13"/>
      <c r="J417" s="13"/>
      <c r="K417" s="15">
        <v>1.0</v>
      </c>
      <c r="L417" s="15">
        <v>1.0</v>
      </c>
      <c r="M417" s="16"/>
      <c r="N417" s="16"/>
      <c r="O417" s="17"/>
      <c r="P417" s="17"/>
      <c r="Q417" s="13"/>
      <c r="R417" s="13"/>
      <c r="S417" s="13"/>
      <c r="T417" s="13">
        <f t="shared" ref="T417:Y417" si="439">IF(ISBLANK(K417)=TRUE,0,1)</f>
        <v>1</v>
      </c>
      <c r="U417" s="13">
        <f t="shared" si="439"/>
        <v>1</v>
      </c>
      <c r="V417" s="13">
        <f t="shared" si="439"/>
        <v>0</v>
      </c>
      <c r="W417" s="13">
        <f t="shared" si="439"/>
        <v>0</v>
      </c>
      <c r="X417" s="13">
        <f t="shared" si="439"/>
        <v>0</v>
      </c>
      <c r="Y417" s="13">
        <f t="shared" si="439"/>
        <v>0</v>
      </c>
      <c r="Z417" s="13">
        <f t="shared" si="4"/>
        <v>1</v>
      </c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</row>
    <row r="418" ht="14.25" hidden="1" customHeight="1">
      <c r="A418" s="13" t="s">
        <v>29</v>
      </c>
      <c r="B418" s="13" t="s">
        <v>32</v>
      </c>
      <c r="C418" s="13" t="s">
        <v>358</v>
      </c>
      <c r="D418" s="13" t="s">
        <v>177</v>
      </c>
      <c r="E418" s="13" t="str">
        <f t="shared" si="2"/>
        <v>COHR,35-6-16,AD,1</v>
      </c>
      <c r="F418" s="13"/>
      <c r="G418" s="13" t="s">
        <v>74</v>
      </c>
      <c r="H418" s="13" t="s">
        <v>75</v>
      </c>
      <c r="I418" s="13"/>
      <c r="J418" s="13"/>
      <c r="K418" s="15">
        <v>1.0</v>
      </c>
      <c r="L418" s="15">
        <v>1.0</v>
      </c>
      <c r="M418" s="16"/>
      <c r="N418" s="16"/>
      <c r="O418" s="17"/>
      <c r="P418" s="17"/>
      <c r="Q418" s="13"/>
      <c r="R418" s="13"/>
      <c r="S418" s="13"/>
      <c r="T418" s="13">
        <f t="shared" ref="T418:Y418" si="440">IF(ISBLANK(K418)=TRUE,0,1)</f>
        <v>1</v>
      </c>
      <c r="U418" s="13">
        <f t="shared" si="440"/>
        <v>1</v>
      </c>
      <c r="V418" s="13">
        <f t="shared" si="440"/>
        <v>0</v>
      </c>
      <c r="W418" s="13">
        <f t="shared" si="440"/>
        <v>0</v>
      </c>
      <c r="X418" s="13">
        <f t="shared" si="440"/>
        <v>0</v>
      </c>
      <c r="Y418" s="13">
        <f t="shared" si="440"/>
        <v>0</v>
      </c>
      <c r="Z418" s="13">
        <f t="shared" si="4"/>
        <v>1</v>
      </c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</row>
    <row r="419" ht="14.25" hidden="1" customHeight="1">
      <c r="A419" s="13" t="s">
        <v>29</v>
      </c>
      <c r="B419" s="13" t="s">
        <v>32</v>
      </c>
      <c r="C419" s="13" t="s">
        <v>358</v>
      </c>
      <c r="D419" s="13" t="s">
        <v>178</v>
      </c>
      <c r="E419" s="13" t="str">
        <f t="shared" si="2"/>
        <v>COHR,35-6-16,AE,1</v>
      </c>
      <c r="F419" s="13"/>
      <c r="G419" s="13" t="s">
        <v>74</v>
      </c>
      <c r="H419" s="13" t="s">
        <v>75</v>
      </c>
      <c r="I419" s="13"/>
      <c r="J419" s="13"/>
      <c r="K419" s="15">
        <v>1.0</v>
      </c>
      <c r="L419" s="15">
        <v>1.0</v>
      </c>
      <c r="M419" s="16"/>
      <c r="N419" s="16"/>
      <c r="O419" s="17"/>
      <c r="P419" s="17"/>
      <c r="Q419" s="13"/>
      <c r="R419" s="13"/>
      <c r="S419" s="13"/>
      <c r="T419" s="13">
        <f t="shared" ref="T419:Y419" si="441">IF(ISBLANK(K419)=TRUE,0,1)</f>
        <v>1</v>
      </c>
      <c r="U419" s="13">
        <f t="shared" si="441"/>
        <v>1</v>
      </c>
      <c r="V419" s="13">
        <f t="shared" si="441"/>
        <v>0</v>
      </c>
      <c r="W419" s="13">
        <f t="shared" si="441"/>
        <v>0</v>
      </c>
      <c r="X419" s="13">
        <f t="shared" si="441"/>
        <v>0</v>
      </c>
      <c r="Y419" s="13">
        <f t="shared" si="441"/>
        <v>0</v>
      </c>
      <c r="Z419" s="13">
        <f t="shared" si="4"/>
        <v>1</v>
      </c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</row>
    <row r="420" ht="14.25" hidden="1" customHeight="1">
      <c r="A420" s="13" t="s">
        <v>29</v>
      </c>
      <c r="B420" s="13" t="s">
        <v>32</v>
      </c>
      <c r="C420" s="13" t="s">
        <v>358</v>
      </c>
      <c r="D420" s="13" t="s">
        <v>179</v>
      </c>
      <c r="E420" s="13" t="str">
        <f t="shared" si="2"/>
        <v>COHR,35-6-16,AF,1</v>
      </c>
      <c r="F420" s="13"/>
      <c r="G420" s="13" t="s">
        <v>74</v>
      </c>
      <c r="H420" s="13" t="s">
        <v>75</v>
      </c>
      <c r="I420" s="13"/>
      <c r="J420" s="13"/>
      <c r="K420" s="15">
        <v>1.0</v>
      </c>
      <c r="L420" s="15">
        <v>1.0</v>
      </c>
      <c r="M420" s="16"/>
      <c r="N420" s="16"/>
      <c r="O420" s="17"/>
      <c r="P420" s="17"/>
      <c r="Q420" s="13"/>
      <c r="R420" s="13"/>
      <c r="S420" s="13"/>
      <c r="T420" s="13">
        <f t="shared" ref="T420:Y420" si="442">IF(ISBLANK(K420)=TRUE,0,1)</f>
        <v>1</v>
      </c>
      <c r="U420" s="13">
        <f t="shared" si="442"/>
        <v>1</v>
      </c>
      <c r="V420" s="13">
        <f t="shared" si="442"/>
        <v>0</v>
      </c>
      <c r="W420" s="13">
        <f t="shared" si="442"/>
        <v>0</v>
      </c>
      <c r="X420" s="13">
        <f t="shared" si="442"/>
        <v>0</v>
      </c>
      <c r="Y420" s="13">
        <f t="shared" si="442"/>
        <v>0</v>
      </c>
      <c r="Z420" s="13">
        <f t="shared" si="4"/>
        <v>1</v>
      </c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</row>
    <row r="421" ht="14.25" hidden="1" customHeight="1">
      <c r="A421" s="13" t="s">
        <v>29</v>
      </c>
      <c r="B421" s="13" t="s">
        <v>32</v>
      </c>
      <c r="C421" s="13" t="s">
        <v>358</v>
      </c>
      <c r="D421" s="13" t="s">
        <v>180</v>
      </c>
      <c r="E421" s="13" t="str">
        <f t="shared" si="2"/>
        <v>COHR,35-6-16,AG,1</v>
      </c>
      <c r="F421" s="13"/>
      <c r="G421" s="13" t="s">
        <v>74</v>
      </c>
      <c r="H421" s="13" t="s">
        <v>75</v>
      </c>
      <c r="I421" s="13"/>
      <c r="J421" s="13"/>
      <c r="K421" s="15">
        <v>1.0</v>
      </c>
      <c r="L421" s="15">
        <v>1.0</v>
      </c>
      <c r="M421" s="16"/>
      <c r="N421" s="16"/>
      <c r="O421" s="17"/>
      <c r="P421" s="17"/>
      <c r="Q421" s="13"/>
      <c r="R421" s="13"/>
      <c r="S421" s="13"/>
      <c r="T421" s="13">
        <f t="shared" ref="T421:Y421" si="443">IF(ISBLANK(K421)=TRUE,0,1)</f>
        <v>1</v>
      </c>
      <c r="U421" s="13">
        <f t="shared" si="443"/>
        <v>1</v>
      </c>
      <c r="V421" s="13">
        <f t="shared" si="443"/>
        <v>0</v>
      </c>
      <c r="W421" s="13">
        <f t="shared" si="443"/>
        <v>0</v>
      </c>
      <c r="X421" s="13">
        <f t="shared" si="443"/>
        <v>0</v>
      </c>
      <c r="Y421" s="13">
        <f t="shared" si="443"/>
        <v>0</v>
      </c>
      <c r="Z421" s="13">
        <f t="shared" si="4"/>
        <v>1</v>
      </c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</row>
    <row r="422" ht="14.25" hidden="1" customHeight="1">
      <c r="A422" s="13" t="s">
        <v>29</v>
      </c>
      <c r="B422" s="13" t="s">
        <v>32</v>
      </c>
      <c r="C422" s="13" t="s">
        <v>359</v>
      </c>
      <c r="D422" s="13"/>
      <c r="E422" s="13" t="str">
        <f t="shared" si="2"/>
        <v>COHR,35-6-17,,1</v>
      </c>
      <c r="F422" s="13"/>
      <c r="G422" s="13" t="s">
        <v>74</v>
      </c>
      <c r="H422" s="13" t="s">
        <v>75</v>
      </c>
      <c r="I422" s="14">
        <v>44915.0</v>
      </c>
      <c r="J422" s="14"/>
      <c r="K422" s="15"/>
      <c r="L422" s="15"/>
      <c r="M422" s="16"/>
      <c r="N422" s="16"/>
      <c r="O422" s="17">
        <v>1.0</v>
      </c>
      <c r="P422" s="17">
        <v>1.0</v>
      </c>
      <c r="Q422" s="13">
        <f>K421+L421+M421+N421+O421+P421/6</f>
        <v>2</v>
      </c>
      <c r="R422" s="13"/>
      <c r="S422" s="13"/>
      <c r="T422" s="13">
        <f t="shared" ref="T422:Y422" si="444">IF(ISBLANK(K422)=TRUE,0,1)</f>
        <v>0</v>
      </c>
      <c r="U422" s="13">
        <f t="shared" si="444"/>
        <v>0</v>
      </c>
      <c r="V422" s="13">
        <f t="shared" si="444"/>
        <v>0</v>
      </c>
      <c r="W422" s="13">
        <f t="shared" si="444"/>
        <v>0</v>
      </c>
      <c r="X422" s="13">
        <f t="shared" si="444"/>
        <v>1</v>
      </c>
      <c r="Y422" s="13">
        <f t="shared" si="444"/>
        <v>1</v>
      </c>
      <c r="Z422" s="13">
        <f t="shared" si="4"/>
        <v>1</v>
      </c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</row>
    <row r="423" ht="14.25" hidden="1" customHeight="1">
      <c r="A423" s="13" t="s">
        <v>29</v>
      </c>
      <c r="B423" s="13" t="s">
        <v>32</v>
      </c>
      <c r="C423" s="13" t="s">
        <v>359</v>
      </c>
      <c r="D423" s="13" t="s">
        <v>174</v>
      </c>
      <c r="E423" s="13" t="str">
        <f t="shared" si="2"/>
        <v>COHR,35-6-17,AA,1</v>
      </c>
      <c r="F423" s="13"/>
      <c r="G423" s="26" t="s">
        <v>74</v>
      </c>
      <c r="H423" s="13" t="s">
        <v>75</v>
      </c>
      <c r="I423" s="13"/>
      <c r="J423" s="13"/>
      <c r="K423" s="15"/>
      <c r="L423" s="15"/>
      <c r="M423" s="16"/>
      <c r="N423" s="16"/>
      <c r="O423" s="17">
        <v>1.0</v>
      </c>
      <c r="P423" s="17">
        <v>1.0</v>
      </c>
      <c r="Q423" s="13"/>
      <c r="R423" s="13"/>
      <c r="S423" s="13"/>
      <c r="T423" s="13">
        <f t="shared" ref="T423:Y423" si="445">IF(ISBLANK(K423)=TRUE,0,1)</f>
        <v>0</v>
      </c>
      <c r="U423" s="13">
        <f t="shared" si="445"/>
        <v>0</v>
      </c>
      <c r="V423" s="13">
        <f t="shared" si="445"/>
        <v>0</v>
      </c>
      <c r="W423" s="13">
        <f t="shared" si="445"/>
        <v>0</v>
      </c>
      <c r="X423" s="13">
        <f t="shared" si="445"/>
        <v>1</v>
      </c>
      <c r="Y423" s="13">
        <f t="shared" si="445"/>
        <v>1</v>
      </c>
      <c r="Z423" s="13">
        <f t="shared" si="4"/>
        <v>1</v>
      </c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</row>
    <row r="424" ht="14.25" hidden="1" customHeight="1">
      <c r="A424" s="13" t="s">
        <v>29</v>
      </c>
      <c r="B424" s="13" t="s">
        <v>32</v>
      </c>
      <c r="C424" s="13" t="s">
        <v>359</v>
      </c>
      <c r="D424" s="13" t="s">
        <v>175</v>
      </c>
      <c r="E424" s="13" t="str">
        <f t="shared" si="2"/>
        <v>COHR,35-6-17,AB,1</v>
      </c>
      <c r="F424" s="13"/>
      <c r="G424" s="26" t="s">
        <v>74</v>
      </c>
      <c r="H424" s="13" t="s">
        <v>75</v>
      </c>
      <c r="I424" s="13"/>
      <c r="J424" s="13"/>
      <c r="K424" s="15"/>
      <c r="L424" s="15"/>
      <c r="M424" s="16"/>
      <c r="N424" s="16"/>
      <c r="O424" s="17">
        <v>1.0</v>
      </c>
      <c r="P424" s="17">
        <v>1.0</v>
      </c>
      <c r="Q424" s="13"/>
      <c r="R424" s="13"/>
      <c r="S424" s="13"/>
      <c r="T424" s="13">
        <f t="shared" ref="T424:Y424" si="446">IF(ISBLANK(K424)=TRUE,0,1)</f>
        <v>0</v>
      </c>
      <c r="U424" s="13">
        <f t="shared" si="446"/>
        <v>0</v>
      </c>
      <c r="V424" s="13">
        <f t="shared" si="446"/>
        <v>0</v>
      </c>
      <c r="W424" s="13">
        <f t="shared" si="446"/>
        <v>0</v>
      </c>
      <c r="X424" s="13">
        <f t="shared" si="446"/>
        <v>1</v>
      </c>
      <c r="Y424" s="13">
        <f t="shared" si="446"/>
        <v>1</v>
      </c>
      <c r="Z424" s="13">
        <f t="shared" si="4"/>
        <v>1</v>
      </c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</row>
    <row r="425" ht="14.25" hidden="1" customHeight="1">
      <c r="A425" s="13" t="s">
        <v>29</v>
      </c>
      <c r="B425" s="13" t="s">
        <v>32</v>
      </c>
      <c r="C425" s="13" t="s">
        <v>359</v>
      </c>
      <c r="D425" s="13" t="s">
        <v>176</v>
      </c>
      <c r="E425" s="13" t="str">
        <f t="shared" si="2"/>
        <v>COHR,35-6-17,AC,1</v>
      </c>
      <c r="F425" s="13"/>
      <c r="G425" s="26" t="s">
        <v>74</v>
      </c>
      <c r="H425" s="13" t="s">
        <v>75</v>
      </c>
      <c r="I425" s="13"/>
      <c r="J425" s="13"/>
      <c r="K425" s="15"/>
      <c r="L425" s="15"/>
      <c r="M425" s="16"/>
      <c r="N425" s="16"/>
      <c r="O425" s="17">
        <v>1.0</v>
      </c>
      <c r="P425" s="17">
        <v>1.0</v>
      </c>
      <c r="Q425" s="13"/>
      <c r="R425" s="13"/>
      <c r="S425" s="13"/>
      <c r="T425" s="13">
        <f t="shared" ref="T425:Y425" si="447">IF(ISBLANK(K425)=TRUE,0,1)</f>
        <v>0</v>
      </c>
      <c r="U425" s="13">
        <f t="shared" si="447"/>
        <v>0</v>
      </c>
      <c r="V425" s="13">
        <f t="shared" si="447"/>
        <v>0</v>
      </c>
      <c r="W425" s="13">
        <f t="shared" si="447"/>
        <v>0</v>
      </c>
      <c r="X425" s="13">
        <f t="shared" si="447"/>
        <v>1</v>
      </c>
      <c r="Y425" s="13">
        <f t="shared" si="447"/>
        <v>1</v>
      </c>
      <c r="Z425" s="13">
        <f t="shared" si="4"/>
        <v>1</v>
      </c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</row>
    <row r="426" ht="14.25" hidden="1" customHeight="1">
      <c r="A426" s="13" t="s">
        <v>29</v>
      </c>
      <c r="B426" s="13" t="s">
        <v>32</v>
      </c>
      <c r="C426" s="13" t="s">
        <v>359</v>
      </c>
      <c r="D426" s="13" t="s">
        <v>177</v>
      </c>
      <c r="E426" s="13" t="str">
        <f t="shared" si="2"/>
        <v>COHR,35-6-17,AD,1</v>
      </c>
      <c r="F426" s="13"/>
      <c r="G426" s="26" t="s">
        <v>74</v>
      </c>
      <c r="H426" s="13" t="s">
        <v>75</v>
      </c>
      <c r="I426" s="13"/>
      <c r="J426" s="13"/>
      <c r="K426" s="15"/>
      <c r="L426" s="15"/>
      <c r="M426" s="16"/>
      <c r="N426" s="16"/>
      <c r="O426" s="17">
        <v>1.0</v>
      </c>
      <c r="P426" s="17">
        <v>1.0</v>
      </c>
      <c r="Q426" s="13"/>
      <c r="R426" s="13"/>
      <c r="S426" s="13"/>
      <c r="T426" s="13">
        <f t="shared" ref="T426:Y426" si="448">IF(ISBLANK(K426)=TRUE,0,1)</f>
        <v>0</v>
      </c>
      <c r="U426" s="13">
        <f t="shared" si="448"/>
        <v>0</v>
      </c>
      <c r="V426" s="13">
        <f t="shared" si="448"/>
        <v>0</v>
      </c>
      <c r="W426" s="13">
        <f t="shared" si="448"/>
        <v>0</v>
      </c>
      <c r="X426" s="13">
        <f t="shared" si="448"/>
        <v>1</v>
      </c>
      <c r="Y426" s="13">
        <f t="shared" si="448"/>
        <v>1</v>
      </c>
      <c r="Z426" s="13">
        <f t="shared" si="4"/>
        <v>1</v>
      </c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</row>
    <row r="427" ht="14.25" hidden="1" customHeight="1">
      <c r="A427" s="13" t="s">
        <v>29</v>
      </c>
      <c r="B427" s="13" t="s">
        <v>32</v>
      </c>
      <c r="C427" s="13" t="s">
        <v>359</v>
      </c>
      <c r="D427" s="13" t="s">
        <v>178</v>
      </c>
      <c r="E427" s="13" t="str">
        <f t="shared" si="2"/>
        <v>COHR,35-6-17,AE,1</v>
      </c>
      <c r="F427" s="13"/>
      <c r="G427" s="26" t="s">
        <v>74</v>
      </c>
      <c r="H427" s="13" t="s">
        <v>75</v>
      </c>
      <c r="I427" s="13"/>
      <c r="J427" s="13"/>
      <c r="K427" s="15"/>
      <c r="L427" s="15"/>
      <c r="M427" s="16"/>
      <c r="N427" s="16"/>
      <c r="O427" s="17">
        <v>1.0</v>
      </c>
      <c r="P427" s="17">
        <v>1.0</v>
      </c>
      <c r="Q427" s="13"/>
      <c r="R427" s="13"/>
      <c r="S427" s="13"/>
      <c r="T427" s="13">
        <f t="shared" ref="T427:Y427" si="449">IF(ISBLANK(K427)=TRUE,0,1)</f>
        <v>0</v>
      </c>
      <c r="U427" s="13">
        <f t="shared" si="449"/>
        <v>0</v>
      </c>
      <c r="V427" s="13">
        <f t="shared" si="449"/>
        <v>0</v>
      </c>
      <c r="W427" s="13">
        <f t="shared" si="449"/>
        <v>0</v>
      </c>
      <c r="X427" s="13">
        <f t="shared" si="449"/>
        <v>1</v>
      </c>
      <c r="Y427" s="13">
        <f t="shared" si="449"/>
        <v>1</v>
      </c>
      <c r="Z427" s="13">
        <f t="shared" si="4"/>
        <v>1</v>
      </c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</row>
    <row r="428" ht="14.25" hidden="1" customHeight="1">
      <c r="A428" s="13" t="s">
        <v>29</v>
      </c>
      <c r="B428" s="13" t="s">
        <v>32</v>
      </c>
      <c r="C428" s="13" t="s">
        <v>360</v>
      </c>
      <c r="D428" s="13"/>
      <c r="E428" s="13" t="str">
        <f t="shared" si="2"/>
        <v>COHR,35-6-18,,1</v>
      </c>
      <c r="F428" s="13"/>
      <c r="G428" s="13" t="s">
        <v>74</v>
      </c>
      <c r="H428" s="13" t="s">
        <v>75</v>
      </c>
      <c r="I428" s="14">
        <v>44915.0</v>
      </c>
      <c r="J428" s="14"/>
      <c r="K428" s="15"/>
      <c r="L428" s="15"/>
      <c r="M428" s="16"/>
      <c r="N428" s="16"/>
      <c r="O428" s="17">
        <v>1.0</v>
      </c>
      <c r="P428" s="17">
        <v>1.0</v>
      </c>
      <c r="Q428" s="13">
        <f>K427+L427+M427+N427+O427+P427/6</f>
        <v>1.166666667</v>
      </c>
      <c r="R428" s="13"/>
      <c r="S428" s="13"/>
      <c r="T428" s="13">
        <f t="shared" ref="T428:Y428" si="450">IF(ISBLANK(K428)=TRUE,0,1)</f>
        <v>0</v>
      </c>
      <c r="U428" s="13">
        <f t="shared" si="450"/>
        <v>0</v>
      </c>
      <c r="V428" s="13">
        <f t="shared" si="450"/>
        <v>0</v>
      </c>
      <c r="W428" s="13">
        <f t="shared" si="450"/>
        <v>0</v>
      </c>
      <c r="X428" s="13">
        <f t="shared" si="450"/>
        <v>1</v>
      </c>
      <c r="Y428" s="13">
        <f t="shared" si="450"/>
        <v>1</v>
      </c>
      <c r="Z428" s="13">
        <f t="shared" si="4"/>
        <v>1</v>
      </c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</row>
    <row r="429" ht="14.25" hidden="1" customHeight="1">
      <c r="A429" s="13" t="s">
        <v>29</v>
      </c>
      <c r="B429" s="13" t="s">
        <v>32</v>
      </c>
      <c r="C429" s="13" t="s">
        <v>360</v>
      </c>
      <c r="D429" s="13" t="s">
        <v>174</v>
      </c>
      <c r="E429" s="13" t="str">
        <f t="shared" si="2"/>
        <v>COHR,35-6-18,AA,1</v>
      </c>
      <c r="F429" s="13"/>
      <c r="G429" s="26" t="s">
        <v>74</v>
      </c>
      <c r="H429" s="13" t="s">
        <v>75</v>
      </c>
      <c r="I429" s="13"/>
      <c r="J429" s="13"/>
      <c r="K429" s="15"/>
      <c r="L429" s="15"/>
      <c r="M429" s="16"/>
      <c r="N429" s="16"/>
      <c r="O429" s="17">
        <v>1.0</v>
      </c>
      <c r="P429" s="17">
        <v>1.0</v>
      </c>
      <c r="Q429" s="13"/>
      <c r="R429" s="13"/>
      <c r="S429" s="13"/>
      <c r="T429" s="13">
        <f t="shared" ref="T429:Y429" si="451">IF(ISBLANK(K429)=TRUE,0,1)</f>
        <v>0</v>
      </c>
      <c r="U429" s="13">
        <f t="shared" si="451"/>
        <v>0</v>
      </c>
      <c r="V429" s="13">
        <f t="shared" si="451"/>
        <v>0</v>
      </c>
      <c r="W429" s="13">
        <f t="shared" si="451"/>
        <v>0</v>
      </c>
      <c r="X429" s="13">
        <f t="shared" si="451"/>
        <v>1</v>
      </c>
      <c r="Y429" s="13">
        <f t="shared" si="451"/>
        <v>1</v>
      </c>
      <c r="Z429" s="13">
        <f t="shared" si="4"/>
        <v>1</v>
      </c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</row>
    <row r="430" ht="14.25" hidden="1" customHeight="1">
      <c r="A430" s="20" t="s">
        <v>29</v>
      </c>
      <c r="B430" s="20" t="s">
        <v>32</v>
      </c>
      <c r="C430" s="20" t="s">
        <v>361</v>
      </c>
      <c r="D430" s="20"/>
      <c r="E430" s="13" t="str">
        <f t="shared" si="2"/>
        <v>COHR,35-6-19,,1</v>
      </c>
      <c r="F430" s="20"/>
      <c r="G430" s="20" t="s">
        <v>74</v>
      </c>
      <c r="H430" s="20" t="s">
        <v>75</v>
      </c>
      <c r="I430" s="14">
        <v>44915.0</v>
      </c>
      <c r="J430" s="22"/>
      <c r="K430" s="23"/>
      <c r="L430" s="23"/>
      <c r="M430" s="24"/>
      <c r="N430" s="24"/>
      <c r="O430" s="25">
        <v>1.0</v>
      </c>
      <c r="P430" s="25">
        <v>1.0</v>
      </c>
      <c r="Q430" s="13">
        <f>K429+L429+M429+N429+O429+P429/6</f>
        <v>1.166666667</v>
      </c>
      <c r="R430" s="20"/>
      <c r="S430" s="20"/>
      <c r="T430" s="13">
        <f t="shared" ref="T430:Y430" si="452">IF(ISBLANK(K430)=TRUE,0,1)</f>
        <v>0</v>
      </c>
      <c r="U430" s="13">
        <f t="shared" si="452"/>
        <v>0</v>
      </c>
      <c r="V430" s="13">
        <f t="shared" si="452"/>
        <v>0</v>
      </c>
      <c r="W430" s="13">
        <f t="shared" si="452"/>
        <v>0</v>
      </c>
      <c r="X430" s="13">
        <f t="shared" si="452"/>
        <v>1</v>
      </c>
      <c r="Y430" s="13">
        <f t="shared" si="452"/>
        <v>1</v>
      </c>
      <c r="Z430" s="20">
        <f t="shared" si="4"/>
        <v>1</v>
      </c>
      <c r="AA430" s="20"/>
      <c r="AB430" s="20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</row>
    <row r="431" ht="14.25" hidden="1" customHeight="1">
      <c r="A431" s="13" t="s">
        <v>29</v>
      </c>
      <c r="B431" s="13" t="s">
        <v>32</v>
      </c>
      <c r="C431" s="13" t="s">
        <v>361</v>
      </c>
      <c r="D431" s="13" t="s">
        <v>174</v>
      </c>
      <c r="E431" s="13" t="str">
        <f t="shared" si="2"/>
        <v>COHR,35-6-19,AA,1</v>
      </c>
      <c r="F431" s="13"/>
      <c r="G431" s="26" t="s">
        <v>74</v>
      </c>
      <c r="H431" s="13" t="s">
        <v>75</v>
      </c>
      <c r="I431" s="13"/>
      <c r="J431" s="13"/>
      <c r="K431" s="15"/>
      <c r="L431" s="15"/>
      <c r="M431" s="16"/>
      <c r="N431" s="16"/>
      <c r="O431" s="17">
        <v>1.0</v>
      </c>
      <c r="P431" s="17">
        <v>1.0</v>
      </c>
      <c r="Q431" s="13"/>
      <c r="R431" s="13"/>
      <c r="S431" s="13"/>
      <c r="T431" s="13">
        <f t="shared" ref="T431:Y431" si="453">IF(ISBLANK(K431)=TRUE,0,1)</f>
        <v>0</v>
      </c>
      <c r="U431" s="13">
        <f t="shared" si="453"/>
        <v>0</v>
      </c>
      <c r="V431" s="13">
        <f t="shared" si="453"/>
        <v>0</v>
      </c>
      <c r="W431" s="13">
        <f t="shared" si="453"/>
        <v>0</v>
      </c>
      <c r="X431" s="13">
        <f t="shared" si="453"/>
        <v>1</v>
      </c>
      <c r="Y431" s="13">
        <f t="shared" si="453"/>
        <v>1</v>
      </c>
      <c r="Z431" s="13">
        <f t="shared" si="4"/>
        <v>1</v>
      </c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</row>
    <row r="432" ht="14.25" hidden="1" customHeight="1">
      <c r="A432" s="13" t="s">
        <v>29</v>
      </c>
      <c r="B432" s="13" t="s">
        <v>32</v>
      </c>
      <c r="C432" s="13" t="s">
        <v>361</v>
      </c>
      <c r="D432" s="13" t="s">
        <v>175</v>
      </c>
      <c r="E432" s="13" t="str">
        <f t="shared" si="2"/>
        <v>COHR,35-6-19,AB,1</v>
      </c>
      <c r="F432" s="13"/>
      <c r="G432" s="26" t="s">
        <v>74</v>
      </c>
      <c r="H432" s="13" t="s">
        <v>75</v>
      </c>
      <c r="I432" s="13"/>
      <c r="J432" s="13"/>
      <c r="K432" s="15"/>
      <c r="L432" s="15"/>
      <c r="M432" s="16"/>
      <c r="N432" s="16"/>
      <c r="O432" s="17">
        <v>1.0</v>
      </c>
      <c r="P432" s="17">
        <v>1.0</v>
      </c>
      <c r="Q432" s="13"/>
      <c r="R432" s="13"/>
      <c r="S432" s="13"/>
      <c r="T432" s="13">
        <f t="shared" ref="T432:Y432" si="454">IF(ISBLANK(K432)=TRUE,0,1)</f>
        <v>0</v>
      </c>
      <c r="U432" s="13">
        <f t="shared" si="454"/>
        <v>0</v>
      </c>
      <c r="V432" s="13">
        <f t="shared" si="454"/>
        <v>0</v>
      </c>
      <c r="W432" s="13">
        <f t="shared" si="454"/>
        <v>0</v>
      </c>
      <c r="X432" s="13">
        <f t="shared" si="454"/>
        <v>1</v>
      </c>
      <c r="Y432" s="13">
        <f t="shared" si="454"/>
        <v>1</v>
      </c>
      <c r="Z432" s="13">
        <f t="shared" si="4"/>
        <v>1</v>
      </c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</row>
    <row r="433" ht="14.25" hidden="1" customHeight="1">
      <c r="A433" s="13" t="s">
        <v>29</v>
      </c>
      <c r="B433" s="13" t="s">
        <v>32</v>
      </c>
      <c r="C433" s="13" t="s">
        <v>361</v>
      </c>
      <c r="D433" s="13" t="s">
        <v>176</v>
      </c>
      <c r="E433" s="13" t="str">
        <f t="shared" si="2"/>
        <v>COHR,35-6-19,AC,1</v>
      </c>
      <c r="F433" s="13"/>
      <c r="G433" s="26" t="s">
        <v>74</v>
      </c>
      <c r="H433" s="13" t="s">
        <v>75</v>
      </c>
      <c r="I433" s="13"/>
      <c r="J433" s="13"/>
      <c r="K433" s="15"/>
      <c r="L433" s="15"/>
      <c r="M433" s="16"/>
      <c r="N433" s="16"/>
      <c r="O433" s="17">
        <v>1.0</v>
      </c>
      <c r="P433" s="17">
        <v>1.0</v>
      </c>
      <c r="Q433" s="13"/>
      <c r="R433" s="13"/>
      <c r="S433" s="13"/>
      <c r="T433" s="13">
        <f t="shared" ref="T433:Y433" si="455">IF(ISBLANK(K433)=TRUE,0,1)</f>
        <v>0</v>
      </c>
      <c r="U433" s="13">
        <f t="shared" si="455"/>
        <v>0</v>
      </c>
      <c r="V433" s="13">
        <f t="shared" si="455"/>
        <v>0</v>
      </c>
      <c r="W433" s="13">
        <f t="shared" si="455"/>
        <v>0</v>
      </c>
      <c r="X433" s="13">
        <f t="shared" si="455"/>
        <v>1</v>
      </c>
      <c r="Y433" s="13">
        <f t="shared" si="455"/>
        <v>1</v>
      </c>
      <c r="Z433" s="13">
        <f t="shared" si="4"/>
        <v>1</v>
      </c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</row>
    <row r="434" ht="14.25" hidden="1" customHeight="1">
      <c r="A434" s="13" t="s">
        <v>29</v>
      </c>
      <c r="B434" s="13" t="s">
        <v>32</v>
      </c>
      <c r="C434" s="13" t="s">
        <v>361</v>
      </c>
      <c r="D434" s="13" t="s">
        <v>177</v>
      </c>
      <c r="E434" s="13" t="str">
        <f t="shared" si="2"/>
        <v>COHR,35-6-19,AD,1</v>
      </c>
      <c r="F434" s="13"/>
      <c r="G434" s="26" t="s">
        <v>74</v>
      </c>
      <c r="H434" s="13" t="s">
        <v>75</v>
      </c>
      <c r="I434" s="13"/>
      <c r="J434" s="13"/>
      <c r="K434" s="15"/>
      <c r="L434" s="15"/>
      <c r="M434" s="16"/>
      <c r="N434" s="16"/>
      <c r="O434" s="17">
        <v>1.0</v>
      </c>
      <c r="P434" s="17">
        <v>1.0</v>
      </c>
      <c r="Q434" s="13"/>
      <c r="R434" s="13"/>
      <c r="S434" s="13"/>
      <c r="T434" s="13">
        <f t="shared" ref="T434:Y434" si="456">IF(ISBLANK(K434)=TRUE,0,1)</f>
        <v>0</v>
      </c>
      <c r="U434" s="13">
        <f t="shared" si="456"/>
        <v>0</v>
      </c>
      <c r="V434" s="13">
        <f t="shared" si="456"/>
        <v>0</v>
      </c>
      <c r="W434" s="13">
        <f t="shared" si="456"/>
        <v>0</v>
      </c>
      <c r="X434" s="13">
        <f t="shared" si="456"/>
        <v>1</v>
      </c>
      <c r="Y434" s="13">
        <f t="shared" si="456"/>
        <v>1</v>
      </c>
      <c r="Z434" s="13">
        <f t="shared" si="4"/>
        <v>1</v>
      </c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</row>
    <row r="435" ht="14.25" hidden="1" customHeight="1">
      <c r="A435" s="13" t="s">
        <v>29</v>
      </c>
      <c r="B435" s="13" t="s">
        <v>32</v>
      </c>
      <c r="C435" s="13" t="s">
        <v>361</v>
      </c>
      <c r="D435" s="13" t="s">
        <v>178</v>
      </c>
      <c r="E435" s="13" t="str">
        <f t="shared" si="2"/>
        <v>COHR,35-6-19,AE,1</v>
      </c>
      <c r="F435" s="13"/>
      <c r="G435" s="13" t="s">
        <v>74</v>
      </c>
      <c r="H435" s="13" t="s">
        <v>75</v>
      </c>
      <c r="I435" s="13"/>
      <c r="J435" s="13"/>
      <c r="K435" s="15">
        <v>1.0</v>
      </c>
      <c r="L435" s="15">
        <v>1.0</v>
      </c>
      <c r="M435" s="16"/>
      <c r="N435" s="16"/>
      <c r="O435" s="17"/>
      <c r="P435" s="17"/>
      <c r="Q435" s="13"/>
      <c r="R435" s="13"/>
      <c r="S435" s="13"/>
      <c r="T435" s="13">
        <f t="shared" ref="T435:Y435" si="457">IF(ISBLANK(K435)=TRUE,0,1)</f>
        <v>1</v>
      </c>
      <c r="U435" s="13">
        <f t="shared" si="457"/>
        <v>1</v>
      </c>
      <c r="V435" s="13">
        <f t="shared" si="457"/>
        <v>0</v>
      </c>
      <c r="W435" s="13">
        <f t="shared" si="457"/>
        <v>0</v>
      </c>
      <c r="X435" s="13">
        <f t="shared" si="457"/>
        <v>0</v>
      </c>
      <c r="Y435" s="13">
        <f t="shared" si="457"/>
        <v>0</v>
      </c>
      <c r="Z435" s="13">
        <f t="shared" si="4"/>
        <v>1</v>
      </c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</row>
    <row r="436" ht="14.25" hidden="1" customHeight="1">
      <c r="A436" s="13" t="s">
        <v>29</v>
      </c>
      <c r="B436" s="13" t="s">
        <v>32</v>
      </c>
      <c r="C436" s="13" t="s">
        <v>361</v>
      </c>
      <c r="D436" s="13" t="s">
        <v>179</v>
      </c>
      <c r="E436" s="13" t="str">
        <f t="shared" si="2"/>
        <v>COHR,35-6-19,AF,1</v>
      </c>
      <c r="F436" s="13"/>
      <c r="G436" s="13" t="s">
        <v>74</v>
      </c>
      <c r="H436" s="13" t="s">
        <v>75</v>
      </c>
      <c r="I436" s="13"/>
      <c r="J436" s="13"/>
      <c r="K436" s="15">
        <v>1.0</v>
      </c>
      <c r="L436" s="15">
        <v>1.0</v>
      </c>
      <c r="M436" s="16"/>
      <c r="N436" s="16"/>
      <c r="O436" s="17"/>
      <c r="P436" s="17"/>
      <c r="Q436" s="13"/>
      <c r="R436" s="13"/>
      <c r="S436" s="13"/>
      <c r="T436" s="13">
        <f t="shared" ref="T436:Y436" si="458">IF(ISBLANK(K436)=TRUE,0,1)</f>
        <v>1</v>
      </c>
      <c r="U436" s="13">
        <f t="shared" si="458"/>
        <v>1</v>
      </c>
      <c r="V436" s="13">
        <f t="shared" si="458"/>
        <v>0</v>
      </c>
      <c r="W436" s="13">
        <f t="shared" si="458"/>
        <v>0</v>
      </c>
      <c r="X436" s="13">
        <f t="shared" si="458"/>
        <v>0</v>
      </c>
      <c r="Y436" s="13">
        <f t="shared" si="458"/>
        <v>0</v>
      </c>
      <c r="Z436" s="13">
        <f t="shared" si="4"/>
        <v>1</v>
      </c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</row>
    <row r="437" ht="14.25" hidden="1" customHeight="1">
      <c r="A437" s="13" t="s">
        <v>29</v>
      </c>
      <c r="B437" s="13" t="s">
        <v>32</v>
      </c>
      <c r="C437" s="13" t="s">
        <v>361</v>
      </c>
      <c r="D437" s="13" t="s">
        <v>180</v>
      </c>
      <c r="E437" s="13" t="str">
        <f t="shared" si="2"/>
        <v>COHR,35-6-19,AG,1</v>
      </c>
      <c r="F437" s="13"/>
      <c r="G437" s="13" t="s">
        <v>74</v>
      </c>
      <c r="H437" s="13" t="s">
        <v>75</v>
      </c>
      <c r="I437" s="13"/>
      <c r="J437" s="13"/>
      <c r="K437" s="15">
        <v>1.0</v>
      </c>
      <c r="L437" s="15">
        <v>1.0</v>
      </c>
      <c r="M437" s="16"/>
      <c r="N437" s="16"/>
      <c r="O437" s="17"/>
      <c r="P437" s="17"/>
      <c r="Q437" s="13"/>
      <c r="R437" s="13"/>
      <c r="S437" s="13"/>
      <c r="T437" s="13">
        <f t="shared" ref="T437:Y437" si="459">IF(ISBLANK(K437)=TRUE,0,1)</f>
        <v>1</v>
      </c>
      <c r="U437" s="13">
        <f t="shared" si="459"/>
        <v>1</v>
      </c>
      <c r="V437" s="13">
        <f t="shared" si="459"/>
        <v>0</v>
      </c>
      <c r="W437" s="13">
        <f t="shared" si="459"/>
        <v>0</v>
      </c>
      <c r="X437" s="13">
        <f t="shared" si="459"/>
        <v>0</v>
      </c>
      <c r="Y437" s="13">
        <f t="shared" si="459"/>
        <v>0</v>
      </c>
      <c r="Z437" s="13">
        <f t="shared" si="4"/>
        <v>1</v>
      </c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</row>
    <row r="438" ht="14.25" hidden="1" customHeight="1">
      <c r="A438" s="13" t="s">
        <v>29</v>
      </c>
      <c r="B438" s="13" t="s">
        <v>32</v>
      </c>
      <c r="C438" s="13" t="s">
        <v>361</v>
      </c>
      <c r="D438" s="13" t="s">
        <v>181</v>
      </c>
      <c r="E438" s="13" t="str">
        <f t="shared" si="2"/>
        <v>COHR,35-6-19,AH,1</v>
      </c>
      <c r="F438" s="13"/>
      <c r="G438" s="13" t="s">
        <v>74</v>
      </c>
      <c r="H438" s="13" t="s">
        <v>75</v>
      </c>
      <c r="I438" s="13"/>
      <c r="J438" s="13"/>
      <c r="K438" s="15">
        <v>1.0</v>
      </c>
      <c r="L438" s="15">
        <v>1.0</v>
      </c>
      <c r="M438" s="16"/>
      <c r="N438" s="16"/>
      <c r="O438" s="17"/>
      <c r="P438" s="17"/>
      <c r="Q438" s="13"/>
      <c r="R438" s="13"/>
      <c r="S438" s="13"/>
      <c r="T438" s="13">
        <f t="shared" ref="T438:Y438" si="460">IF(ISBLANK(K438)=TRUE,0,1)</f>
        <v>1</v>
      </c>
      <c r="U438" s="13">
        <f t="shared" si="460"/>
        <v>1</v>
      </c>
      <c r="V438" s="13">
        <f t="shared" si="460"/>
        <v>0</v>
      </c>
      <c r="W438" s="13">
        <f t="shared" si="460"/>
        <v>0</v>
      </c>
      <c r="X438" s="13">
        <f t="shared" si="460"/>
        <v>0</v>
      </c>
      <c r="Y438" s="13">
        <f t="shared" si="460"/>
        <v>0</v>
      </c>
      <c r="Z438" s="13">
        <f t="shared" si="4"/>
        <v>1</v>
      </c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</row>
    <row r="439" ht="14.25" hidden="1" customHeight="1">
      <c r="A439" s="13" t="s">
        <v>29</v>
      </c>
      <c r="B439" s="13" t="s">
        <v>32</v>
      </c>
      <c r="C439" s="13" t="s">
        <v>361</v>
      </c>
      <c r="D439" s="13" t="s">
        <v>182</v>
      </c>
      <c r="E439" s="13" t="str">
        <f t="shared" si="2"/>
        <v>COHR,35-6-19,AI,1</v>
      </c>
      <c r="F439" s="13"/>
      <c r="G439" s="13" t="s">
        <v>74</v>
      </c>
      <c r="H439" s="13" t="s">
        <v>75</v>
      </c>
      <c r="I439" s="13"/>
      <c r="J439" s="13"/>
      <c r="K439" s="15">
        <v>1.0</v>
      </c>
      <c r="L439" s="15">
        <v>1.0</v>
      </c>
      <c r="M439" s="16"/>
      <c r="N439" s="16"/>
      <c r="O439" s="17"/>
      <c r="P439" s="17"/>
      <c r="Q439" s="13"/>
      <c r="R439" s="13"/>
      <c r="S439" s="13"/>
      <c r="T439" s="13">
        <f t="shared" ref="T439:Y439" si="461">IF(ISBLANK(K439)=TRUE,0,1)</f>
        <v>1</v>
      </c>
      <c r="U439" s="13">
        <f t="shared" si="461"/>
        <v>1</v>
      </c>
      <c r="V439" s="13">
        <f t="shared" si="461"/>
        <v>0</v>
      </c>
      <c r="W439" s="13">
        <f t="shared" si="461"/>
        <v>0</v>
      </c>
      <c r="X439" s="13">
        <f t="shared" si="461"/>
        <v>0</v>
      </c>
      <c r="Y439" s="13">
        <f t="shared" si="461"/>
        <v>0</v>
      </c>
      <c r="Z439" s="13">
        <f t="shared" si="4"/>
        <v>1</v>
      </c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</row>
    <row r="440" ht="14.25" hidden="1" customHeight="1">
      <c r="A440" s="13" t="s">
        <v>29</v>
      </c>
      <c r="B440" s="13" t="s">
        <v>32</v>
      </c>
      <c r="C440" s="13" t="s">
        <v>361</v>
      </c>
      <c r="D440" s="13" t="s">
        <v>183</v>
      </c>
      <c r="E440" s="13" t="str">
        <f t="shared" si="2"/>
        <v>COHR,35-6-19,AJ,1</v>
      </c>
      <c r="F440" s="13"/>
      <c r="G440" s="13" t="s">
        <v>74</v>
      </c>
      <c r="H440" s="13" t="s">
        <v>75</v>
      </c>
      <c r="I440" s="13"/>
      <c r="J440" s="13"/>
      <c r="K440" s="15">
        <v>1.0</v>
      </c>
      <c r="L440" s="15">
        <v>1.0</v>
      </c>
      <c r="M440" s="16"/>
      <c r="N440" s="16"/>
      <c r="O440" s="17"/>
      <c r="P440" s="17"/>
      <c r="Q440" s="13"/>
      <c r="R440" s="13"/>
      <c r="S440" s="13"/>
      <c r="T440" s="13">
        <f t="shared" ref="T440:Y440" si="462">IF(ISBLANK(K440)=TRUE,0,1)</f>
        <v>1</v>
      </c>
      <c r="U440" s="13">
        <f t="shared" si="462"/>
        <v>1</v>
      </c>
      <c r="V440" s="13">
        <f t="shared" si="462"/>
        <v>0</v>
      </c>
      <c r="W440" s="13">
        <f t="shared" si="462"/>
        <v>0</v>
      </c>
      <c r="X440" s="13">
        <f t="shared" si="462"/>
        <v>0</v>
      </c>
      <c r="Y440" s="13">
        <f t="shared" si="462"/>
        <v>0</v>
      </c>
      <c r="Z440" s="13">
        <f t="shared" si="4"/>
        <v>1</v>
      </c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</row>
    <row r="441" ht="14.25" hidden="1" customHeight="1">
      <c r="A441" s="13" t="s">
        <v>29</v>
      </c>
      <c r="B441" s="13" t="s">
        <v>32</v>
      </c>
      <c r="C441" s="13" t="s">
        <v>361</v>
      </c>
      <c r="D441" s="13" t="s">
        <v>184</v>
      </c>
      <c r="E441" s="13" t="str">
        <f t="shared" si="2"/>
        <v>COHR,35-6-19,AK,1</v>
      </c>
      <c r="F441" s="13"/>
      <c r="G441" s="13" t="s">
        <v>74</v>
      </c>
      <c r="H441" s="13" t="s">
        <v>75</v>
      </c>
      <c r="I441" s="13"/>
      <c r="J441" s="13"/>
      <c r="K441" s="15">
        <v>1.0</v>
      </c>
      <c r="L441" s="15">
        <v>1.0</v>
      </c>
      <c r="M441" s="16"/>
      <c r="N441" s="16"/>
      <c r="O441" s="17"/>
      <c r="P441" s="17"/>
      <c r="Q441" s="13"/>
      <c r="R441" s="13"/>
      <c r="S441" s="13"/>
      <c r="T441" s="13">
        <f t="shared" ref="T441:Y441" si="463">IF(ISBLANK(K441)=TRUE,0,1)</f>
        <v>1</v>
      </c>
      <c r="U441" s="13">
        <f t="shared" si="463"/>
        <v>1</v>
      </c>
      <c r="V441" s="13">
        <f t="shared" si="463"/>
        <v>0</v>
      </c>
      <c r="W441" s="13">
        <f t="shared" si="463"/>
        <v>0</v>
      </c>
      <c r="X441" s="13">
        <f t="shared" si="463"/>
        <v>0</v>
      </c>
      <c r="Y441" s="13">
        <f t="shared" si="463"/>
        <v>0</v>
      </c>
      <c r="Z441" s="13">
        <f t="shared" si="4"/>
        <v>1</v>
      </c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</row>
    <row r="442" ht="14.25" hidden="1" customHeight="1">
      <c r="A442" s="13" t="s">
        <v>29</v>
      </c>
      <c r="B442" s="13" t="s">
        <v>32</v>
      </c>
      <c r="C442" s="13" t="s">
        <v>361</v>
      </c>
      <c r="D442" s="13" t="s">
        <v>185</v>
      </c>
      <c r="E442" s="13" t="str">
        <f t="shared" si="2"/>
        <v>COHR,35-6-19,AL,1</v>
      </c>
      <c r="F442" s="13"/>
      <c r="G442" s="13" t="s">
        <v>74</v>
      </c>
      <c r="H442" s="13" t="s">
        <v>75</v>
      </c>
      <c r="I442" s="13"/>
      <c r="J442" s="13"/>
      <c r="K442" s="15">
        <v>1.0</v>
      </c>
      <c r="L442" s="15">
        <v>1.0</v>
      </c>
      <c r="M442" s="16"/>
      <c r="N442" s="16"/>
      <c r="O442" s="17"/>
      <c r="P442" s="17"/>
      <c r="Q442" s="13"/>
      <c r="R442" s="13"/>
      <c r="S442" s="13"/>
      <c r="T442" s="13">
        <f t="shared" ref="T442:Y442" si="464">IF(ISBLANK(K442)=TRUE,0,1)</f>
        <v>1</v>
      </c>
      <c r="U442" s="13">
        <f t="shared" si="464"/>
        <v>1</v>
      </c>
      <c r="V442" s="13">
        <f t="shared" si="464"/>
        <v>0</v>
      </c>
      <c r="W442" s="13">
        <f t="shared" si="464"/>
        <v>0</v>
      </c>
      <c r="X442" s="13">
        <f t="shared" si="464"/>
        <v>0</v>
      </c>
      <c r="Y442" s="13">
        <f t="shared" si="464"/>
        <v>0</v>
      </c>
      <c r="Z442" s="13">
        <f t="shared" si="4"/>
        <v>1</v>
      </c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</row>
    <row r="443" ht="14.25" hidden="1" customHeight="1">
      <c r="A443" s="13" t="s">
        <v>29</v>
      </c>
      <c r="B443" s="13" t="s">
        <v>32</v>
      </c>
      <c r="C443" s="13" t="s">
        <v>361</v>
      </c>
      <c r="D443" s="13" t="s">
        <v>186</v>
      </c>
      <c r="E443" s="13" t="str">
        <f t="shared" si="2"/>
        <v>COHR,35-6-19,AM,1</v>
      </c>
      <c r="F443" s="13"/>
      <c r="G443" s="13" t="s">
        <v>74</v>
      </c>
      <c r="H443" s="13" t="s">
        <v>75</v>
      </c>
      <c r="I443" s="13"/>
      <c r="J443" s="13"/>
      <c r="K443" s="15">
        <v>1.0</v>
      </c>
      <c r="L443" s="15">
        <v>1.0</v>
      </c>
      <c r="M443" s="16"/>
      <c r="N443" s="16"/>
      <c r="O443" s="17"/>
      <c r="P443" s="17"/>
      <c r="Q443" s="13"/>
      <c r="R443" s="13"/>
      <c r="S443" s="13"/>
      <c r="T443" s="13">
        <f t="shared" ref="T443:Y443" si="465">IF(ISBLANK(K443)=TRUE,0,1)</f>
        <v>1</v>
      </c>
      <c r="U443" s="13">
        <f t="shared" si="465"/>
        <v>1</v>
      </c>
      <c r="V443" s="13">
        <f t="shared" si="465"/>
        <v>0</v>
      </c>
      <c r="W443" s="13">
        <f t="shared" si="465"/>
        <v>0</v>
      </c>
      <c r="X443" s="13">
        <f t="shared" si="465"/>
        <v>0</v>
      </c>
      <c r="Y443" s="13">
        <f t="shared" si="465"/>
        <v>0</v>
      </c>
      <c r="Z443" s="13">
        <f t="shared" si="4"/>
        <v>1</v>
      </c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</row>
    <row r="444" ht="14.25" hidden="1" customHeight="1">
      <c r="A444" s="13" t="s">
        <v>29</v>
      </c>
      <c r="B444" s="13" t="s">
        <v>32</v>
      </c>
      <c r="C444" s="13" t="s">
        <v>361</v>
      </c>
      <c r="D444" s="13" t="s">
        <v>187</v>
      </c>
      <c r="E444" s="13" t="str">
        <f t="shared" si="2"/>
        <v>COHR,35-6-19,AN,1</v>
      </c>
      <c r="F444" s="13"/>
      <c r="G444" s="13" t="s">
        <v>74</v>
      </c>
      <c r="H444" s="13" t="s">
        <v>75</v>
      </c>
      <c r="I444" s="13"/>
      <c r="J444" s="13"/>
      <c r="K444" s="15">
        <v>1.0</v>
      </c>
      <c r="L444" s="15">
        <v>1.0</v>
      </c>
      <c r="M444" s="16"/>
      <c r="N444" s="16"/>
      <c r="O444" s="17"/>
      <c r="P444" s="17"/>
      <c r="Q444" s="13"/>
      <c r="R444" s="13"/>
      <c r="S444" s="13"/>
      <c r="T444" s="13">
        <f t="shared" ref="T444:Y444" si="466">IF(ISBLANK(K444)=TRUE,0,1)</f>
        <v>1</v>
      </c>
      <c r="U444" s="13">
        <f t="shared" si="466"/>
        <v>1</v>
      </c>
      <c r="V444" s="13">
        <f t="shared" si="466"/>
        <v>0</v>
      </c>
      <c r="W444" s="13">
        <f t="shared" si="466"/>
        <v>0</v>
      </c>
      <c r="X444" s="13">
        <f t="shared" si="466"/>
        <v>0</v>
      </c>
      <c r="Y444" s="13">
        <f t="shared" si="466"/>
        <v>0</v>
      </c>
      <c r="Z444" s="13">
        <f t="shared" si="4"/>
        <v>1</v>
      </c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</row>
    <row r="445" ht="14.25" hidden="1" customHeight="1">
      <c r="A445" s="13" t="s">
        <v>29</v>
      </c>
      <c r="B445" s="13" t="s">
        <v>32</v>
      </c>
      <c r="C445" s="13" t="s">
        <v>361</v>
      </c>
      <c r="D445" s="13" t="s">
        <v>188</v>
      </c>
      <c r="E445" s="13" t="str">
        <f t="shared" si="2"/>
        <v>COHR,35-6-19,AO,1</v>
      </c>
      <c r="F445" s="13"/>
      <c r="G445" s="13" t="s">
        <v>74</v>
      </c>
      <c r="H445" s="13" t="s">
        <v>75</v>
      </c>
      <c r="I445" s="13"/>
      <c r="J445" s="13"/>
      <c r="K445" s="15">
        <v>1.0</v>
      </c>
      <c r="L445" s="15">
        <v>1.0</v>
      </c>
      <c r="M445" s="16"/>
      <c r="N445" s="16"/>
      <c r="O445" s="17"/>
      <c r="P445" s="17"/>
      <c r="Q445" s="13"/>
      <c r="R445" s="13"/>
      <c r="S445" s="13"/>
      <c r="T445" s="13">
        <f t="shared" ref="T445:Y445" si="467">IF(ISBLANK(K445)=TRUE,0,1)</f>
        <v>1</v>
      </c>
      <c r="U445" s="13">
        <f t="shared" si="467"/>
        <v>1</v>
      </c>
      <c r="V445" s="13">
        <f t="shared" si="467"/>
        <v>0</v>
      </c>
      <c r="W445" s="13">
        <f t="shared" si="467"/>
        <v>0</v>
      </c>
      <c r="X445" s="13">
        <f t="shared" si="467"/>
        <v>0</v>
      </c>
      <c r="Y445" s="13">
        <f t="shared" si="467"/>
        <v>0</v>
      </c>
      <c r="Z445" s="13">
        <f t="shared" si="4"/>
        <v>1</v>
      </c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</row>
    <row r="446" ht="14.25" hidden="1" customHeight="1">
      <c r="A446" s="13" t="s">
        <v>29</v>
      </c>
      <c r="B446" s="13" t="s">
        <v>32</v>
      </c>
      <c r="C446" s="13" t="s">
        <v>361</v>
      </c>
      <c r="D446" s="13" t="s">
        <v>189</v>
      </c>
      <c r="E446" s="13" t="str">
        <f t="shared" si="2"/>
        <v>COHR,35-6-19,AP,1</v>
      </c>
      <c r="F446" s="13"/>
      <c r="G446" s="13" t="s">
        <v>74</v>
      </c>
      <c r="H446" s="13" t="s">
        <v>75</v>
      </c>
      <c r="I446" s="13"/>
      <c r="J446" s="13"/>
      <c r="K446" s="15">
        <v>1.0</v>
      </c>
      <c r="L446" s="15">
        <v>1.0</v>
      </c>
      <c r="M446" s="16"/>
      <c r="N446" s="16"/>
      <c r="O446" s="17"/>
      <c r="P446" s="17"/>
      <c r="Q446" s="13"/>
      <c r="R446" s="13"/>
      <c r="S446" s="13"/>
      <c r="T446" s="13">
        <f t="shared" ref="T446:Y446" si="468">IF(ISBLANK(K446)=TRUE,0,1)</f>
        <v>1</v>
      </c>
      <c r="U446" s="13">
        <f t="shared" si="468"/>
        <v>1</v>
      </c>
      <c r="V446" s="13">
        <f t="shared" si="468"/>
        <v>0</v>
      </c>
      <c r="W446" s="13">
        <f t="shared" si="468"/>
        <v>0</v>
      </c>
      <c r="X446" s="13">
        <f t="shared" si="468"/>
        <v>0</v>
      </c>
      <c r="Y446" s="13">
        <f t="shared" si="468"/>
        <v>0</v>
      </c>
      <c r="Z446" s="13">
        <f t="shared" si="4"/>
        <v>1</v>
      </c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</row>
    <row r="447" ht="14.25" hidden="1" customHeight="1">
      <c r="A447" s="13" t="s">
        <v>29</v>
      </c>
      <c r="B447" s="13" t="s">
        <v>32</v>
      </c>
      <c r="C447" s="13" t="s">
        <v>361</v>
      </c>
      <c r="D447" s="13" t="s">
        <v>190</v>
      </c>
      <c r="E447" s="13" t="str">
        <f t="shared" si="2"/>
        <v>COHR,35-6-19,AQ,1</v>
      </c>
      <c r="F447" s="13"/>
      <c r="G447" s="13" t="s">
        <v>74</v>
      </c>
      <c r="H447" s="13" t="s">
        <v>75</v>
      </c>
      <c r="I447" s="13"/>
      <c r="J447" s="13"/>
      <c r="K447" s="15">
        <v>1.0</v>
      </c>
      <c r="L447" s="15">
        <v>1.0</v>
      </c>
      <c r="M447" s="16"/>
      <c r="N447" s="16"/>
      <c r="O447" s="17"/>
      <c r="P447" s="17"/>
      <c r="Q447" s="13"/>
      <c r="R447" s="13"/>
      <c r="S447" s="13"/>
      <c r="T447" s="13">
        <f t="shared" ref="T447:Y447" si="469">IF(ISBLANK(K447)=TRUE,0,1)</f>
        <v>1</v>
      </c>
      <c r="U447" s="13">
        <f t="shared" si="469"/>
        <v>1</v>
      </c>
      <c r="V447" s="13">
        <f t="shared" si="469"/>
        <v>0</v>
      </c>
      <c r="W447" s="13">
        <f t="shared" si="469"/>
        <v>0</v>
      </c>
      <c r="X447" s="13">
        <f t="shared" si="469"/>
        <v>0</v>
      </c>
      <c r="Y447" s="13">
        <f t="shared" si="469"/>
        <v>0</v>
      </c>
      <c r="Z447" s="13">
        <f t="shared" si="4"/>
        <v>1</v>
      </c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</row>
    <row r="448" ht="14.25" hidden="1" customHeight="1">
      <c r="A448" s="13" t="s">
        <v>29</v>
      </c>
      <c r="B448" s="13" t="s">
        <v>32</v>
      </c>
      <c r="C448" s="13" t="s">
        <v>361</v>
      </c>
      <c r="D448" s="13" t="s">
        <v>191</v>
      </c>
      <c r="E448" s="13" t="str">
        <f t="shared" si="2"/>
        <v>COHR,35-6-19,AR,1</v>
      </c>
      <c r="F448" s="13"/>
      <c r="G448" s="13" t="s">
        <v>74</v>
      </c>
      <c r="H448" s="13" t="s">
        <v>75</v>
      </c>
      <c r="I448" s="13"/>
      <c r="J448" s="13"/>
      <c r="K448" s="15">
        <v>1.0</v>
      </c>
      <c r="L448" s="15">
        <v>1.0</v>
      </c>
      <c r="M448" s="16"/>
      <c r="N448" s="16"/>
      <c r="O448" s="17"/>
      <c r="P448" s="17"/>
      <c r="Q448" s="13"/>
      <c r="R448" s="13"/>
      <c r="S448" s="13"/>
      <c r="T448" s="13">
        <f t="shared" ref="T448:Y448" si="470">IF(ISBLANK(K448)=TRUE,0,1)</f>
        <v>1</v>
      </c>
      <c r="U448" s="13">
        <f t="shared" si="470"/>
        <v>1</v>
      </c>
      <c r="V448" s="13">
        <f t="shared" si="470"/>
        <v>0</v>
      </c>
      <c r="W448" s="13">
        <f t="shared" si="470"/>
        <v>0</v>
      </c>
      <c r="X448" s="13">
        <f t="shared" si="470"/>
        <v>0</v>
      </c>
      <c r="Y448" s="13">
        <f t="shared" si="470"/>
        <v>0</v>
      </c>
      <c r="Z448" s="13">
        <f t="shared" si="4"/>
        <v>1</v>
      </c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</row>
    <row r="449" ht="14.25" hidden="1" customHeight="1">
      <c r="A449" s="13" t="s">
        <v>29</v>
      </c>
      <c r="B449" s="13" t="s">
        <v>32</v>
      </c>
      <c r="C449" s="13" t="s">
        <v>362</v>
      </c>
      <c r="D449" s="13"/>
      <c r="E449" s="13" t="str">
        <f t="shared" si="2"/>
        <v>COHR,35-6-2,,NA</v>
      </c>
      <c r="F449" s="13"/>
      <c r="G449" s="13" t="s">
        <v>74</v>
      </c>
      <c r="H449" s="13" t="s">
        <v>107</v>
      </c>
      <c r="I449" s="14">
        <v>44915.0</v>
      </c>
      <c r="J449" s="14"/>
      <c r="K449" s="15"/>
      <c r="L449" s="15"/>
      <c r="M449" s="16"/>
      <c r="N449" s="16"/>
      <c r="O449" s="17"/>
      <c r="P449" s="17"/>
      <c r="Q449" s="13">
        <f>K446+L446+M446+N446+O446+P446/6</f>
        <v>2</v>
      </c>
      <c r="R449" s="13"/>
      <c r="S449" s="13"/>
      <c r="T449" s="13">
        <f t="shared" ref="T449:Y449" si="471">IF(ISBLANK(K449)=TRUE,0,1)</f>
        <v>0</v>
      </c>
      <c r="U449" s="13">
        <f t="shared" si="471"/>
        <v>0</v>
      </c>
      <c r="V449" s="13">
        <f t="shared" si="471"/>
        <v>0</v>
      </c>
      <c r="W449" s="13">
        <f t="shared" si="471"/>
        <v>0</v>
      </c>
      <c r="X449" s="13">
        <f t="shared" si="471"/>
        <v>0</v>
      </c>
      <c r="Y449" s="13">
        <f t="shared" si="471"/>
        <v>0</v>
      </c>
      <c r="Z449" s="13" t="str">
        <f t="shared" si="4"/>
        <v>NA</v>
      </c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</row>
    <row r="450" ht="14.25" hidden="1" customHeight="1">
      <c r="A450" s="13" t="s">
        <v>29</v>
      </c>
      <c r="B450" s="13" t="s">
        <v>32</v>
      </c>
      <c r="C450" s="13" t="s">
        <v>363</v>
      </c>
      <c r="D450" s="13"/>
      <c r="E450" s="13" t="str">
        <f t="shared" si="2"/>
        <v>COHR,35-6-20,,NA</v>
      </c>
      <c r="F450" s="13"/>
      <c r="G450" s="13" t="s">
        <v>74</v>
      </c>
      <c r="H450" s="13" t="s">
        <v>107</v>
      </c>
      <c r="I450" s="14">
        <v>44915.0</v>
      </c>
      <c r="J450" s="14"/>
      <c r="K450" s="15"/>
      <c r="L450" s="15"/>
      <c r="M450" s="16"/>
      <c r="N450" s="16"/>
      <c r="O450" s="17"/>
      <c r="P450" s="17"/>
      <c r="Q450" s="13">
        <f t="shared" ref="Q450:Q451" si="473">K449+L449+M449+N449+O449+P449/6</f>
        <v>0</v>
      </c>
      <c r="R450" s="13"/>
      <c r="S450" s="13"/>
      <c r="T450" s="13">
        <f t="shared" ref="T450:Y450" si="472">IF(ISBLANK(K450)=TRUE,0,1)</f>
        <v>0</v>
      </c>
      <c r="U450" s="13">
        <f t="shared" si="472"/>
        <v>0</v>
      </c>
      <c r="V450" s="13">
        <f t="shared" si="472"/>
        <v>0</v>
      </c>
      <c r="W450" s="13">
        <f t="shared" si="472"/>
        <v>0</v>
      </c>
      <c r="X450" s="13">
        <f t="shared" si="472"/>
        <v>0</v>
      </c>
      <c r="Y450" s="13">
        <f t="shared" si="472"/>
        <v>0</v>
      </c>
      <c r="Z450" s="13" t="str">
        <f t="shared" si="4"/>
        <v>NA</v>
      </c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</row>
    <row r="451" ht="14.25" hidden="1" customHeight="1">
      <c r="A451" s="13" t="s">
        <v>29</v>
      </c>
      <c r="B451" s="13" t="s">
        <v>32</v>
      </c>
      <c r="C451" s="13" t="s">
        <v>364</v>
      </c>
      <c r="D451" s="13"/>
      <c r="E451" s="13" t="str">
        <f t="shared" si="2"/>
        <v>COHR,35-6-21,,1</v>
      </c>
      <c r="F451" s="13"/>
      <c r="G451" s="13" t="s">
        <v>74</v>
      </c>
      <c r="H451" s="13" t="s">
        <v>75</v>
      </c>
      <c r="I451" s="14">
        <v>44915.0</v>
      </c>
      <c r="J451" s="14"/>
      <c r="K451" s="15"/>
      <c r="L451" s="15"/>
      <c r="M451" s="16"/>
      <c r="N451" s="16"/>
      <c r="O451" s="17">
        <v>1.0</v>
      </c>
      <c r="P451" s="17">
        <v>1.0</v>
      </c>
      <c r="Q451" s="13">
        <f t="shared" si="473"/>
        <v>0</v>
      </c>
      <c r="R451" s="13"/>
      <c r="S451" s="13"/>
      <c r="T451" s="13">
        <f t="shared" ref="T451:Y451" si="474">IF(ISBLANK(K451)=TRUE,0,1)</f>
        <v>0</v>
      </c>
      <c r="U451" s="13">
        <f t="shared" si="474"/>
        <v>0</v>
      </c>
      <c r="V451" s="13">
        <f t="shared" si="474"/>
        <v>0</v>
      </c>
      <c r="W451" s="13">
        <f t="shared" si="474"/>
        <v>0</v>
      </c>
      <c r="X451" s="13">
        <f t="shared" si="474"/>
        <v>1</v>
      </c>
      <c r="Y451" s="13">
        <f t="shared" si="474"/>
        <v>1</v>
      </c>
      <c r="Z451" s="13">
        <f t="shared" si="4"/>
        <v>1</v>
      </c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</row>
    <row r="452" ht="14.25" hidden="1" customHeight="1">
      <c r="A452" s="13" t="s">
        <v>29</v>
      </c>
      <c r="B452" s="13" t="s">
        <v>32</v>
      </c>
      <c r="C452" s="13" t="s">
        <v>364</v>
      </c>
      <c r="D452" s="13" t="s">
        <v>174</v>
      </c>
      <c r="E452" s="13" t="str">
        <f t="shared" si="2"/>
        <v>COHR,35-6-21,AA,1</v>
      </c>
      <c r="F452" s="13"/>
      <c r="G452" s="26" t="s">
        <v>74</v>
      </c>
      <c r="H452" s="13" t="s">
        <v>75</v>
      </c>
      <c r="I452" s="13"/>
      <c r="J452" s="13"/>
      <c r="K452" s="15"/>
      <c r="L452" s="15"/>
      <c r="M452" s="16"/>
      <c r="N452" s="16"/>
      <c r="O452" s="17">
        <v>1.0</v>
      </c>
      <c r="P452" s="17">
        <v>1.0</v>
      </c>
      <c r="Q452" s="13"/>
      <c r="R452" s="13"/>
      <c r="S452" s="13"/>
      <c r="T452" s="13">
        <f t="shared" ref="T452:Y452" si="475">IF(ISBLANK(K452)=TRUE,0,1)</f>
        <v>0</v>
      </c>
      <c r="U452" s="13">
        <f t="shared" si="475"/>
        <v>0</v>
      </c>
      <c r="V452" s="13">
        <f t="shared" si="475"/>
        <v>0</v>
      </c>
      <c r="W452" s="13">
        <f t="shared" si="475"/>
        <v>0</v>
      </c>
      <c r="X452" s="13">
        <f t="shared" si="475"/>
        <v>1</v>
      </c>
      <c r="Y452" s="13">
        <f t="shared" si="475"/>
        <v>1</v>
      </c>
      <c r="Z452" s="13">
        <f t="shared" si="4"/>
        <v>1</v>
      </c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</row>
    <row r="453" ht="14.25" hidden="1" customHeight="1">
      <c r="A453" s="13" t="s">
        <v>29</v>
      </c>
      <c r="B453" s="13" t="s">
        <v>32</v>
      </c>
      <c r="C453" s="13" t="s">
        <v>364</v>
      </c>
      <c r="D453" s="13" t="s">
        <v>175</v>
      </c>
      <c r="E453" s="13" t="str">
        <f t="shared" si="2"/>
        <v>COHR,35-6-21,AB,1</v>
      </c>
      <c r="F453" s="13"/>
      <c r="G453" s="26" t="s">
        <v>74</v>
      </c>
      <c r="H453" s="13" t="s">
        <v>75</v>
      </c>
      <c r="I453" s="13"/>
      <c r="J453" s="13"/>
      <c r="K453" s="15"/>
      <c r="L453" s="15"/>
      <c r="M453" s="16"/>
      <c r="N453" s="16"/>
      <c r="O453" s="17">
        <v>1.0</v>
      </c>
      <c r="P453" s="17">
        <v>1.0</v>
      </c>
      <c r="Q453" s="13"/>
      <c r="R453" s="13"/>
      <c r="S453" s="13"/>
      <c r="T453" s="13">
        <f t="shared" ref="T453:Y453" si="476">IF(ISBLANK(K453)=TRUE,0,1)</f>
        <v>0</v>
      </c>
      <c r="U453" s="13">
        <f t="shared" si="476"/>
        <v>0</v>
      </c>
      <c r="V453" s="13">
        <f t="shared" si="476"/>
        <v>0</v>
      </c>
      <c r="W453" s="13">
        <f t="shared" si="476"/>
        <v>0</v>
      </c>
      <c r="X453" s="13">
        <f t="shared" si="476"/>
        <v>1</v>
      </c>
      <c r="Y453" s="13">
        <f t="shared" si="476"/>
        <v>1</v>
      </c>
      <c r="Z453" s="13">
        <f t="shared" si="4"/>
        <v>1</v>
      </c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</row>
    <row r="454" ht="14.25" hidden="1" customHeight="1">
      <c r="A454" s="13" t="s">
        <v>29</v>
      </c>
      <c r="B454" s="13" t="s">
        <v>32</v>
      </c>
      <c r="C454" s="13" t="s">
        <v>364</v>
      </c>
      <c r="D454" s="13" t="s">
        <v>176</v>
      </c>
      <c r="E454" s="13" t="str">
        <f t="shared" si="2"/>
        <v>COHR,35-6-21,AC,1</v>
      </c>
      <c r="F454" s="13"/>
      <c r="G454" s="26" t="s">
        <v>74</v>
      </c>
      <c r="H454" s="13" t="s">
        <v>75</v>
      </c>
      <c r="I454" s="13"/>
      <c r="J454" s="13"/>
      <c r="K454" s="15"/>
      <c r="L454" s="15"/>
      <c r="M454" s="16"/>
      <c r="N454" s="16"/>
      <c r="O454" s="17">
        <v>1.0</v>
      </c>
      <c r="P454" s="17">
        <v>1.0</v>
      </c>
      <c r="Q454" s="13"/>
      <c r="R454" s="13"/>
      <c r="S454" s="13"/>
      <c r="T454" s="13">
        <f t="shared" ref="T454:Y454" si="477">IF(ISBLANK(K454)=TRUE,0,1)</f>
        <v>0</v>
      </c>
      <c r="U454" s="13">
        <f t="shared" si="477"/>
        <v>0</v>
      </c>
      <c r="V454" s="13">
        <f t="shared" si="477"/>
        <v>0</v>
      </c>
      <c r="W454" s="13">
        <f t="shared" si="477"/>
        <v>0</v>
      </c>
      <c r="X454" s="13">
        <f t="shared" si="477"/>
        <v>1</v>
      </c>
      <c r="Y454" s="13">
        <f t="shared" si="477"/>
        <v>1</v>
      </c>
      <c r="Z454" s="13">
        <f t="shared" si="4"/>
        <v>1</v>
      </c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</row>
    <row r="455" ht="14.25" hidden="1" customHeight="1">
      <c r="A455" s="13" t="s">
        <v>29</v>
      </c>
      <c r="B455" s="13" t="s">
        <v>32</v>
      </c>
      <c r="C455" s="13" t="s">
        <v>364</v>
      </c>
      <c r="D455" s="13" t="s">
        <v>177</v>
      </c>
      <c r="E455" s="13" t="str">
        <f t="shared" si="2"/>
        <v>COHR,35-6-21,AD,1</v>
      </c>
      <c r="F455" s="13"/>
      <c r="G455" s="26" t="s">
        <v>74</v>
      </c>
      <c r="H455" s="13" t="s">
        <v>75</v>
      </c>
      <c r="I455" s="13"/>
      <c r="J455" s="13"/>
      <c r="K455" s="15"/>
      <c r="L455" s="15"/>
      <c r="M455" s="16"/>
      <c r="N455" s="16"/>
      <c r="O455" s="17">
        <v>1.0</v>
      </c>
      <c r="P455" s="17">
        <v>1.0</v>
      </c>
      <c r="Q455" s="13"/>
      <c r="R455" s="13"/>
      <c r="S455" s="13"/>
      <c r="T455" s="13">
        <f t="shared" ref="T455:Y455" si="478">IF(ISBLANK(K455)=TRUE,0,1)</f>
        <v>0</v>
      </c>
      <c r="U455" s="13">
        <f t="shared" si="478"/>
        <v>0</v>
      </c>
      <c r="V455" s="13">
        <f t="shared" si="478"/>
        <v>0</v>
      </c>
      <c r="W455" s="13">
        <f t="shared" si="478"/>
        <v>0</v>
      </c>
      <c r="X455" s="13">
        <f t="shared" si="478"/>
        <v>1</v>
      </c>
      <c r="Y455" s="13">
        <f t="shared" si="478"/>
        <v>1</v>
      </c>
      <c r="Z455" s="13">
        <f t="shared" si="4"/>
        <v>1</v>
      </c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</row>
    <row r="456" ht="14.25" hidden="1" customHeight="1">
      <c r="A456" s="13" t="s">
        <v>29</v>
      </c>
      <c r="B456" s="13" t="s">
        <v>32</v>
      </c>
      <c r="C456" s="13" t="s">
        <v>364</v>
      </c>
      <c r="D456" s="13" t="s">
        <v>178</v>
      </c>
      <c r="E456" s="13" t="str">
        <f t="shared" si="2"/>
        <v>COHR,35-6-21,AE,1</v>
      </c>
      <c r="F456" s="13"/>
      <c r="G456" s="13" t="s">
        <v>74</v>
      </c>
      <c r="H456" s="13" t="s">
        <v>75</v>
      </c>
      <c r="I456" s="13"/>
      <c r="J456" s="13"/>
      <c r="K456" s="15">
        <v>1.0</v>
      </c>
      <c r="L456" s="15">
        <v>1.0</v>
      </c>
      <c r="M456" s="16"/>
      <c r="N456" s="16"/>
      <c r="O456" s="17"/>
      <c r="P456" s="17"/>
      <c r="Q456" s="13"/>
      <c r="R456" s="13"/>
      <c r="S456" s="13"/>
      <c r="T456" s="13">
        <f t="shared" ref="T456:Y456" si="479">IF(ISBLANK(K456)=TRUE,0,1)</f>
        <v>1</v>
      </c>
      <c r="U456" s="13">
        <f t="shared" si="479"/>
        <v>1</v>
      </c>
      <c r="V456" s="13">
        <f t="shared" si="479"/>
        <v>0</v>
      </c>
      <c r="W456" s="13">
        <f t="shared" si="479"/>
        <v>0</v>
      </c>
      <c r="X456" s="13">
        <f t="shared" si="479"/>
        <v>0</v>
      </c>
      <c r="Y456" s="13">
        <f t="shared" si="479"/>
        <v>0</v>
      </c>
      <c r="Z456" s="13">
        <f t="shared" si="4"/>
        <v>1</v>
      </c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</row>
    <row r="457" ht="14.25" hidden="1" customHeight="1">
      <c r="A457" s="13" t="s">
        <v>29</v>
      </c>
      <c r="B457" s="13" t="s">
        <v>32</v>
      </c>
      <c r="C457" s="13" t="s">
        <v>364</v>
      </c>
      <c r="D457" s="13" t="s">
        <v>179</v>
      </c>
      <c r="E457" s="13" t="str">
        <f t="shared" si="2"/>
        <v>COHR,35-6-21,AF,1</v>
      </c>
      <c r="F457" s="13"/>
      <c r="G457" s="13" t="s">
        <v>74</v>
      </c>
      <c r="H457" s="13" t="s">
        <v>75</v>
      </c>
      <c r="I457" s="13"/>
      <c r="J457" s="13"/>
      <c r="K457" s="15">
        <v>1.0</v>
      </c>
      <c r="L457" s="15">
        <v>1.0</v>
      </c>
      <c r="M457" s="16"/>
      <c r="N457" s="16"/>
      <c r="O457" s="17"/>
      <c r="P457" s="17"/>
      <c r="Q457" s="13"/>
      <c r="R457" s="13"/>
      <c r="S457" s="13"/>
      <c r="T457" s="13">
        <f t="shared" ref="T457:Y457" si="480">IF(ISBLANK(K457)=TRUE,0,1)</f>
        <v>1</v>
      </c>
      <c r="U457" s="13">
        <f t="shared" si="480"/>
        <v>1</v>
      </c>
      <c r="V457" s="13">
        <f t="shared" si="480"/>
        <v>0</v>
      </c>
      <c r="W457" s="13">
        <f t="shared" si="480"/>
        <v>0</v>
      </c>
      <c r="X457" s="13">
        <f t="shared" si="480"/>
        <v>0</v>
      </c>
      <c r="Y457" s="13">
        <f t="shared" si="480"/>
        <v>0</v>
      </c>
      <c r="Z457" s="13">
        <f t="shared" si="4"/>
        <v>1</v>
      </c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</row>
    <row r="458" ht="14.25" hidden="1" customHeight="1">
      <c r="A458" s="13" t="s">
        <v>29</v>
      </c>
      <c r="B458" s="13" t="s">
        <v>32</v>
      </c>
      <c r="C458" s="13" t="s">
        <v>364</v>
      </c>
      <c r="D458" s="13" t="s">
        <v>180</v>
      </c>
      <c r="E458" s="13" t="str">
        <f t="shared" si="2"/>
        <v>COHR,35-6-21,AG,1</v>
      </c>
      <c r="F458" s="13"/>
      <c r="G458" s="13" t="s">
        <v>74</v>
      </c>
      <c r="H458" s="13" t="s">
        <v>75</v>
      </c>
      <c r="I458" s="13"/>
      <c r="J458" s="13"/>
      <c r="K458" s="15">
        <v>1.0</v>
      </c>
      <c r="L458" s="15">
        <v>1.0</v>
      </c>
      <c r="M458" s="16"/>
      <c r="N458" s="16"/>
      <c r="O458" s="17"/>
      <c r="P458" s="17"/>
      <c r="Q458" s="13"/>
      <c r="R458" s="13"/>
      <c r="S458" s="13"/>
      <c r="T458" s="13">
        <f t="shared" ref="T458:Y458" si="481">IF(ISBLANK(K458)=TRUE,0,1)</f>
        <v>1</v>
      </c>
      <c r="U458" s="13">
        <f t="shared" si="481"/>
        <v>1</v>
      </c>
      <c r="V458" s="13">
        <f t="shared" si="481"/>
        <v>0</v>
      </c>
      <c r="W458" s="13">
        <f t="shared" si="481"/>
        <v>0</v>
      </c>
      <c r="X458" s="13">
        <f t="shared" si="481"/>
        <v>0</v>
      </c>
      <c r="Y458" s="13">
        <f t="shared" si="481"/>
        <v>0</v>
      </c>
      <c r="Z458" s="13">
        <f t="shared" si="4"/>
        <v>1</v>
      </c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</row>
    <row r="459" ht="14.25" hidden="1" customHeight="1">
      <c r="A459" s="13" t="s">
        <v>29</v>
      </c>
      <c r="B459" s="13" t="s">
        <v>32</v>
      </c>
      <c r="C459" s="13" t="s">
        <v>364</v>
      </c>
      <c r="D459" s="13" t="s">
        <v>181</v>
      </c>
      <c r="E459" s="13" t="str">
        <f t="shared" si="2"/>
        <v>COHR,35-6-21,AH,1</v>
      </c>
      <c r="F459" s="13"/>
      <c r="G459" s="13" t="s">
        <v>74</v>
      </c>
      <c r="H459" s="13" t="s">
        <v>75</v>
      </c>
      <c r="I459" s="13"/>
      <c r="J459" s="13"/>
      <c r="K459" s="15">
        <v>1.0</v>
      </c>
      <c r="L459" s="15">
        <v>1.0</v>
      </c>
      <c r="M459" s="16"/>
      <c r="N459" s="16"/>
      <c r="O459" s="17"/>
      <c r="P459" s="17"/>
      <c r="Q459" s="13"/>
      <c r="R459" s="13"/>
      <c r="S459" s="13"/>
      <c r="T459" s="13">
        <f t="shared" ref="T459:Y459" si="482">IF(ISBLANK(K459)=TRUE,0,1)</f>
        <v>1</v>
      </c>
      <c r="U459" s="13">
        <f t="shared" si="482"/>
        <v>1</v>
      </c>
      <c r="V459" s="13">
        <f t="shared" si="482"/>
        <v>0</v>
      </c>
      <c r="W459" s="13">
        <f t="shared" si="482"/>
        <v>0</v>
      </c>
      <c r="X459" s="13">
        <f t="shared" si="482"/>
        <v>0</v>
      </c>
      <c r="Y459" s="13">
        <f t="shared" si="482"/>
        <v>0</v>
      </c>
      <c r="Z459" s="13">
        <f t="shared" si="4"/>
        <v>1</v>
      </c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</row>
    <row r="460" ht="14.25" hidden="1" customHeight="1">
      <c r="A460" s="13" t="s">
        <v>29</v>
      </c>
      <c r="B460" s="13" t="s">
        <v>32</v>
      </c>
      <c r="C460" s="13" t="s">
        <v>364</v>
      </c>
      <c r="D460" s="13" t="s">
        <v>182</v>
      </c>
      <c r="E460" s="13" t="str">
        <f t="shared" si="2"/>
        <v>COHR,35-6-21,AI,1</v>
      </c>
      <c r="F460" s="13"/>
      <c r="G460" s="13" t="s">
        <v>74</v>
      </c>
      <c r="H460" s="13" t="s">
        <v>75</v>
      </c>
      <c r="I460" s="13"/>
      <c r="J460" s="13"/>
      <c r="K460" s="15">
        <v>1.0</v>
      </c>
      <c r="L460" s="15">
        <v>1.0</v>
      </c>
      <c r="M460" s="16"/>
      <c r="N460" s="16"/>
      <c r="O460" s="17"/>
      <c r="P460" s="17"/>
      <c r="Q460" s="13"/>
      <c r="R460" s="13"/>
      <c r="S460" s="13"/>
      <c r="T460" s="13">
        <f t="shared" ref="T460:Y460" si="483">IF(ISBLANK(K460)=TRUE,0,1)</f>
        <v>1</v>
      </c>
      <c r="U460" s="13">
        <f t="shared" si="483"/>
        <v>1</v>
      </c>
      <c r="V460" s="13">
        <f t="shared" si="483"/>
        <v>0</v>
      </c>
      <c r="W460" s="13">
        <f t="shared" si="483"/>
        <v>0</v>
      </c>
      <c r="X460" s="13">
        <f t="shared" si="483"/>
        <v>0</v>
      </c>
      <c r="Y460" s="13">
        <f t="shared" si="483"/>
        <v>0</v>
      </c>
      <c r="Z460" s="13">
        <f t="shared" si="4"/>
        <v>1</v>
      </c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</row>
    <row r="461" ht="14.25" hidden="1" customHeight="1">
      <c r="A461" s="13" t="s">
        <v>29</v>
      </c>
      <c r="B461" s="13" t="s">
        <v>32</v>
      </c>
      <c r="C461" s="13" t="s">
        <v>364</v>
      </c>
      <c r="D461" s="13" t="s">
        <v>183</v>
      </c>
      <c r="E461" s="13" t="str">
        <f t="shared" si="2"/>
        <v>COHR,35-6-21,AJ,1</v>
      </c>
      <c r="F461" s="13"/>
      <c r="G461" s="13" t="s">
        <v>74</v>
      </c>
      <c r="H461" s="13" t="s">
        <v>75</v>
      </c>
      <c r="I461" s="14">
        <v>44915.0</v>
      </c>
      <c r="J461" s="14"/>
      <c r="K461" s="15"/>
      <c r="L461" s="15"/>
      <c r="M461" s="16"/>
      <c r="N461" s="16"/>
      <c r="O461" s="17">
        <v>1.0</v>
      </c>
      <c r="P461" s="17">
        <v>1.0</v>
      </c>
      <c r="Q461" s="13">
        <f t="shared" ref="Q461:Q464" si="485">K460+L460+M460+N460+O460+P460/6</f>
        <v>2</v>
      </c>
      <c r="R461" s="13"/>
      <c r="S461" s="13"/>
      <c r="T461" s="13">
        <f t="shared" ref="T461:Y461" si="484">IF(ISBLANK(K461)=TRUE,0,1)</f>
        <v>0</v>
      </c>
      <c r="U461" s="13">
        <f t="shared" si="484"/>
        <v>0</v>
      </c>
      <c r="V461" s="13">
        <f t="shared" si="484"/>
        <v>0</v>
      </c>
      <c r="W461" s="13">
        <f t="shared" si="484"/>
        <v>0</v>
      </c>
      <c r="X461" s="13">
        <f t="shared" si="484"/>
        <v>1</v>
      </c>
      <c r="Y461" s="13">
        <f t="shared" si="484"/>
        <v>1</v>
      </c>
      <c r="Z461" s="13">
        <f t="shared" si="4"/>
        <v>1</v>
      </c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</row>
    <row r="462" ht="14.25" hidden="1" customHeight="1">
      <c r="A462" s="13" t="s">
        <v>29</v>
      </c>
      <c r="B462" s="13" t="s">
        <v>32</v>
      </c>
      <c r="C462" s="13" t="s">
        <v>364</v>
      </c>
      <c r="D462" s="13" t="s">
        <v>184</v>
      </c>
      <c r="E462" s="13" t="str">
        <f t="shared" si="2"/>
        <v>COHR,35-6-21,AK,1</v>
      </c>
      <c r="F462" s="13"/>
      <c r="G462" s="13" t="s">
        <v>74</v>
      </c>
      <c r="H462" s="13" t="s">
        <v>75</v>
      </c>
      <c r="I462" s="14">
        <v>44915.0</v>
      </c>
      <c r="J462" s="14"/>
      <c r="K462" s="15"/>
      <c r="L462" s="15"/>
      <c r="M462" s="16"/>
      <c r="N462" s="16"/>
      <c r="O462" s="17">
        <v>1.0</v>
      </c>
      <c r="P462" s="17">
        <v>1.0</v>
      </c>
      <c r="Q462" s="13">
        <f t="shared" si="485"/>
        <v>1.166666667</v>
      </c>
      <c r="R462" s="13"/>
      <c r="S462" s="13"/>
      <c r="T462" s="13">
        <f t="shared" ref="T462:Y462" si="486">IF(ISBLANK(K462)=TRUE,0,1)</f>
        <v>0</v>
      </c>
      <c r="U462" s="13">
        <f t="shared" si="486"/>
        <v>0</v>
      </c>
      <c r="V462" s="13">
        <f t="shared" si="486"/>
        <v>0</v>
      </c>
      <c r="W462" s="13">
        <f t="shared" si="486"/>
        <v>0</v>
      </c>
      <c r="X462" s="13">
        <f t="shared" si="486"/>
        <v>1</v>
      </c>
      <c r="Y462" s="13">
        <f t="shared" si="486"/>
        <v>1</v>
      </c>
      <c r="Z462" s="13">
        <f t="shared" si="4"/>
        <v>1</v>
      </c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</row>
    <row r="463" ht="14.25" hidden="1" customHeight="1">
      <c r="A463" s="13" t="s">
        <v>29</v>
      </c>
      <c r="B463" s="13" t="s">
        <v>32</v>
      </c>
      <c r="C463" s="13" t="s">
        <v>364</v>
      </c>
      <c r="D463" s="13" t="s">
        <v>185</v>
      </c>
      <c r="E463" s="13" t="str">
        <f t="shared" si="2"/>
        <v>COHR,35-6-21,AL,1</v>
      </c>
      <c r="F463" s="13"/>
      <c r="G463" s="13" t="s">
        <v>74</v>
      </c>
      <c r="H463" s="13" t="s">
        <v>75</v>
      </c>
      <c r="I463" s="14">
        <v>44915.0</v>
      </c>
      <c r="J463" s="14"/>
      <c r="K463" s="15"/>
      <c r="L463" s="15"/>
      <c r="M463" s="16"/>
      <c r="N463" s="16"/>
      <c r="O463" s="17">
        <v>1.0</v>
      </c>
      <c r="P463" s="17">
        <v>1.0</v>
      </c>
      <c r="Q463" s="13">
        <f t="shared" si="485"/>
        <v>1.166666667</v>
      </c>
      <c r="R463" s="13"/>
      <c r="S463" s="13"/>
      <c r="T463" s="13">
        <f t="shared" ref="T463:Y463" si="487">IF(ISBLANK(K463)=TRUE,0,1)</f>
        <v>0</v>
      </c>
      <c r="U463" s="13">
        <f t="shared" si="487"/>
        <v>0</v>
      </c>
      <c r="V463" s="13">
        <f t="shared" si="487"/>
        <v>0</v>
      </c>
      <c r="W463" s="13">
        <f t="shared" si="487"/>
        <v>0</v>
      </c>
      <c r="X463" s="13">
        <f t="shared" si="487"/>
        <v>1</v>
      </c>
      <c r="Y463" s="13">
        <f t="shared" si="487"/>
        <v>1</v>
      </c>
      <c r="Z463" s="13">
        <f t="shared" si="4"/>
        <v>1</v>
      </c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</row>
    <row r="464" ht="14.25" hidden="1" customHeight="1">
      <c r="A464" s="13" t="s">
        <v>29</v>
      </c>
      <c r="B464" s="13" t="s">
        <v>32</v>
      </c>
      <c r="C464" s="13" t="s">
        <v>364</v>
      </c>
      <c r="D464" s="13" t="s">
        <v>186</v>
      </c>
      <c r="E464" s="13" t="str">
        <f t="shared" si="2"/>
        <v>COHR,35-6-21,AM,1</v>
      </c>
      <c r="F464" s="13"/>
      <c r="G464" s="13" t="s">
        <v>74</v>
      </c>
      <c r="H464" s="13" t="s">
        <v>75</v>
      </c>
      <c r="I464" s="14">
        <v>44915.0</v>
      </c>
      <c r="J464" s="14"/>
      <c r="K464" s="15"/>
      <c r="L464" s="15"/>
      <c r="M464" s="16"/>
      <c r="N464" s="16"/>
      <c r="O464" s="17">
        <v>1.0</v>
      </c>
      <c r="P464" s="17">
        <v>1.0</v>
      </c>
      <c r="Q464" s="13">
        <f t="shared" si="485"/>
        <v>1.166666667</v>
      </c>
      <c r="R464" s="13"/>
      <c r="S464" s="13"/>
      <c r="T464" s="13">
        <f t="shared" ref="T464:Y464" si="488">IF(ISBLANK(K464)=TRUE,0,1)</f>
        <v>0</v>
      </c>
      <c r="U464" s="13">
        <f t="shared" si="488"/>
        <v>0</v>
      </c>
      <c r="V464" s="13">
        <f t="shared" si="488"/>
        <v>0</v>
      </c>
      <c r="W464" s="13">
        <f t="shared" si="488"/>
        <v>0</v>
      </c>
      <c r="X464" s="13">
        <f t="shared" si="488"/>
        <v>1</v>
      </c>
      <c r="Y464" s="13">
        <f t="shared" si="488"/>
        <v>1</v>
      </c>
      <c r="Z464" s="13">
        <f t="shared" si="4"/>
        <v>1</v>
      </c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</row>
    <row r="465" ht="14.25" hidden="1" customHeight="1">
      <c r="A465" s="13" t="s">
        <v>29</v>
      </c>
      <c r="B465" s="13" t="s">
        <v>32</v>
      </c>
      <c r="C465" s="18" t="s">
        <v>365</v>
      </c>
      <c r="D465" s="13"/>
      <c r="E465" s="13" t="str">
        <f t="shared" si="2"/>
        <v>COHR,35-6-22,,NA</v>
      </c>
      <c r="F465" s="13"/>
      <c r="G465" s="13" t="s">
        <v>74</v>
      </c>
      <c r="H465" s="13" t="s">
        <v>75</v>
      </c>
      <c r="I465" s="13"/>
      <c r="J465" s="13"/>
      <c r="K465" s="15"/>
      <c r="L465" s="15"/>
      <c r="M465" s="16"/>
      <c r="N465" s="16"/>
      <c r="O465" s="17"/>
      <c r="P465" s="17"/>
      <c r="Q465" s="13">
        <f>K460+L460+M460+N460+O460+P460/6</f>
        <v>2</v>
      </c>
      <c r="R465" s="13"/>
      <c r="S465" s="13"/>
      <c r="T465" s="13">
        <f t="shared" ref="T465:Y465" si="489">IF(ISBLANK(K465)=TRUE,0,1)</f>
        <v>0</v>
      </c>
      <c r="U465" s="13">
        <f t="shared" si="489"/>
        <v>0</v>
      </c>
      <c r="V465" s="13">
        <f t="shared" si="489"/>
        <v>0</v>
      </c>
      <c r="W465" s="13">
        <f t="shared" si="489"/>
        <v>0</v>
      </c>
      <c r="X465" s="13">
        <f t="shared" si="489"/>
        <v>0</v>
      </c>
      <c r="Y465" s="13">
        <f t="shared" si="489"/>
        <v>0</v>
      </c>
      <c r="Z465" s="13" t="str">
        <f t="shared" si="4"/>
        <v>NA</v>
      </c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</row>
    <row r="466" ht="14.25" hidden="1" customHeight="1">
      <c r="A466" s="13" t="s">
        <v>29</v>
      </c>
      <c r="B466" s="13" t="s">
        <v>32</v>
      </c>
      <c r="C466" s="13" t="s">
        <v>366</v>
      </c>
      <c r="D466" s="13"/>
      <c r="E466" s="13" t="str">
        <f t="shared" si="2"/>
        <v>COHR,35-6-23,,NA</v>
      </c>
      <c r="F466" s="13"/>
      <c r="G466" s="13" t="s">
        <v>74</v>
      </c>
      <c r="H466" s="13" t="s">
        <v>75</v>
      </c>
      <c r="I466" s="13"/>
      <c r="J466" s="13"/>
      <c r="K466" s="15"/>
      <c r="L466" s="15"/>
      <c r="M466" s="16"/>
      <c r="N466" s="16"/>
      <c r="O466" s="17"/>
      <c r="P466" s="17"/>
      <c r="Q466" s="13">
        <f t="shared" ref="Q466:Q467" si="491">K465+L465+M465+N465+O465+P465/6</f>
        <v>0</v>
      </c>
      <c r="R466" s="13"/>
      <c r="S466" s="13"/>
      <c r="T466" s="13">
        <f t="shared" ref="T466:Y466" si="490">IF(ISBLANK(K466)=TRUE,0,1)</f>
        <v>0</v>
      </c>
      <c r="U466" s="13">
        <f t="shared" si="490"/>
        <v>0</v>
      </c>
      <c r="V466" s="13">
        <f t="shared" si="490"/>
        <v>0</v>
      </c>
      <c r="W466" s="13">
        <f t="shared" si="490"/>
        <v>0</v>
      </c>
      <c r="X466" s="13">
        <f t="shared" si="490"/>
        <v>0</v>
      </c>
      <c r="Y466" s="13">
        <f t="shared" si="490"/>
        <v>0</v>
      </c>
      <c r="Z466" s="13" t="str">
        <f t="shared" si="4"/>
        <v>NA</v>
      </c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</row>
    <row r="467" ht="14.25" hidden="1" customHeight="1">
      <c r="A467" s="13" t="s">
        <v>29</v>
      </c>
      <c r="B467" s="13" t="s">
        <v>32</v>
      </c>
      <c r="C467" s="13" t="s">
        <v>367</v>
      </c>
      <c r="D467" s="13"/>
      <c r="E467" s="13" t="str">
        <f t="shared" si="2"/>
        <v>COHR,35-6-3,,0.5</v>
      </c>
      <c r="F467" s="13"/>
      <c r="G467" s="13" t="s">
        <v>74</v>
      </c>
      <c r="H467" s="13" t="s">
        <v>75</v>
      </c>
      <c r="I467" s="14">
        <v>44915.0</v>
      </c>
      <c r="J467" s="14"/>
      <c r="K467" s="15"/>
      <c r="L467" s="15"/>
      <c r="M467" s="16"/>
      <c r="N467" s="16"/>
      <c r="O467" s="17">
        <v>1.0</v>
      </c>
      <c r="P467" s="17">
        <v>0.0</v>
      </c>
      <c r="Q467" s="13">
        <f t="shared" si="491"/>
        <v>0</v>
      </c>
      <c r="R467" s="13"/>
      <c r="S467" s="13"/>
      <c r="T467" s="13">
        <f t="shared" ref="T467:Y467" si="492">IF(ISBLANK(K467)=TRUE,0,1)</f>
        <v>0</v>
      </c>
      <c r="U467" s="13">
        <f t="shared" si="492"/>
        <v>0</v>
      </c>
      <c r="V467" s="13">
        <f t="shared" si="492"/>
        <v>0</v>
      </c>
      <c r="W467" s="13">
        <f t="shared" si="492"/>
        <v>0</v>
      </c>
      <c r="X467" s="13">
        <f t="shared" si="492"/>
        <v>1</v>
      </c>
      <c r="Y467" s="13">
        <f t="shared" si="492"/>
        <v>1</v>
      </c>
      <c r="Z467" s="13">
        <f t="shared" si="4"/>
        <v>0.5</v>
      </c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</row>
    <row r="468" ht="14.25" hidden="1" customHeight="1">
      <c r="A468" s="13" t="s">
        <v>29</v>
      </c>
      <c r="B468" s="13" t="s">
        <v>32</v>
      </c>
      <c r="C468" s="13" t="s">
        <v>367</v>
      </c>
      <c r="D468" s="13" t="s">
        <v>174</v>
      </c>
      <c r="E468" s="13" t="str">
        <f t="shared" si="2"/>
        <v>COHR,35-6-3,AA,0.5</v>
      </c>
      <c r="F468" s="13"/>
      <c r="G468" s="26" t="s">
        <v>74</v>
      </c>
      <c r="H468" s="13" t="s">
        <v>75</v>
      </c>
      <c r="I468" s="13"/>
      <c r="J468" s="13"/>
      <c r="K468" s="15"/>
      <c r="L468" s="15"/>
      <c r="M468" s="16"/>
      <c r="N468" s="16"/>
      <c r="O468" s="17">
        <v>1.0</v>
      </c>
      <c r="P468" s="17">
        <v>0.0</v>
      </c>
      <c r="Q468" s="13"/>
      <c r="R468" s="13"/>
      <c r="S468" s="13"/>
      <c r="T468" s="13">
        <f t="shared" ref="T468:Y468" si="493">IF(ISBLANK(K468)=TRUE,0,1)</f>
        <v>0</v>
      </c>
      <c r="U468" s="13">
        <f t="shared" si="493"/>
        <v>0</v>
      </c>
      <c r="V468" s="13">
        <f t="shared" si="493"/>
        <v>0</v>
      </c>
      <c r="W468" s="13">
        <f t="shared" si="493"/>
        <v>0</v>
      </c>
      <c r="X468" s="13">
        <f t="shared" si="493"/>
        <v>1</v>
      </c>
      <c r="Y468" s="13">
        <f t="shared" si="493"/>
        <v>1</v>
      </c>
      <c r="Z468" s="13">
        <f t="shared" si="4"/>
        <v>0.5</v>
      </c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</row>
    <row r="469" ht="14.25" hidden="1" customHeight="1">
      <c r="A469" s="13" t="s">
        <v>29</v>
      </c>
      <c r="B469" s="13" t="s">
        <v>32</v>
      </c>
      <c r="C469" s="13" t="s">
        <v>368</v>
      </c>
      <c r="D469" s="13"/>
      <c r="E469" s="13" t="str">
        <f t="shared" si="2"/>
        <v>COHR,35-6-4,,NA</v>
      </c>
      <c r="F469" s="13"/>
      <c r="G469" s="13" t="s">
        <v>74</v>
      </c>
      <c r="H469" s="13" t="s">
        <v>107</v>
      </c>
      <c r="I469" s="14">
        <v>44915.0</v>
      </c>
      <c r="J469" s="14"/>
      <c r="K469" s="15"/>
      <c r="L469" s="15"/>
      <c r="M469" s="16"/>
      <c r="N469" s="16"/>
      <c r="O469" s="17"/>
      <c r="P469" s="17"/>
      <c r="Q469" s="13">
        <f t="shared" ref="Q469:Q472" si="495">K468+L468+M468+N468+O468+P468/6</f>
        <v>1</v>
      </c>
      <c r="R469" s="13"/>
      <c r="S469" s="13"/>
      <c r="T469" s="13">
        <f t="shared" ref="T469:Y469" si="494">IF(ISBLANK(K469)=TRUE,0,1)</f>
        <v>0</v>
      </c>
      <c r="U469" s="13">
        <f t="shared" si="494"/>
        <v>0</v>
      </c>
      <c r="V469" s="13">
        <f t="shared" si="494"/>
        <v>0</v>
      </c>
      <c r="W469" s="13">
        <f t="shared" si="494"/>
        <v>0</v>
      </c>
      <c r="X469" s="13">
        <f t="shared" si="494"/>
        <v>0</v>
      </c>
      <c r="Y469" s="13">
        <f t="shared" si="494"/>
        <v>0</v>
      </c>
      <c r="Z469" s="13" t="str">
        <f t="shared" si="4"/>
        <v>NA</v>
      </c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</row>
    <row r="470" ht="14.25" hidden="1" customHeight="1">
      <c r="A470" s="13" t="s">
        <v>29</v>
      </c>
      <c r="B470" s="13" t="s">
        <v>32</v>
      </c>
      <c r="C470" s="13" t="s">
        <v>369</v>
      </c>
      <c r="D470" s="13"/>
      <c r="E470" s="13" t="str">
        <f t="shared" si="2"/>
        <v>COHR,35-6-5,,NA</v>
      </c>
      <c r="F470" s="13"/>
      <c r="G470" s="13" t="s">
        <v>74</v>
      </c>
      <c r="H470" s="13" t="s">
        <v>107</v>
      </c>
      <c r="I470" s="14">
        <v>44915.0</v>
      </c>
      <c r="J470" s="14"/>
      <c r="K470" s="15"/>
      <c r="L470" s="15"/>
      <c r="M470" s="16"/>
      <c r="N470" s="16"/>
      <c r="O470" s="17"/>
      <c r="P470" s="17"/>
      <c r="Q470" s="13">
        <f t="shared" si="495"/>
        <v>0</v>
      </c>
      <c r="R470" s="13"/>
      <c r="S470" s="13"/>
      <c r="T470" s="13">
        <f t="shared" ref="T470:Y470" si="496">IF(ISBLANK(K470)=TRUE,0,1)</f>
        <v>0</v>
      </c>
      <c r="U470" s="13">
        <f t="shared" si="496"/>
        <v>0</v>
      </c>
      <c r="V470" s="13">
        <f t="shared" si="496"/>
        <v>0</v>
      </c>
      <c r="W470" s="13">
        <f t="shared" si="496"/>
        <v>0</v>
      </c>
      <c r="X470" s="13">
        <f t="shared" si="496"/>
        <v>0</v>
      </c>
      <c r="Y470" s="13">
        <f t="shared" si="496"/>
        <v>0</v>
      </c>
      <c r="Z470" s="13" t="str">
        <f t="shared" si="4"/>
        <v>NA</v>
      </c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</row>
    <row r="471" ht="14.25" hidden="1" customHeight="1">
      <c r="A471" s="13" t="s">
        <v>29</v>
      </c>
      <c r="B471" s="13" t="s">
        <v>32</v>
      </c>
      <c r="C471" s="13" t="s">
        <v>370</v>
      </c>
      <c r="D471" s="13"/>
      <c r="E471" s="13" t="str">
        <f t="shared" si="2"/>
        <v>COHR,35-6-6,,NA</v>
      </c>
      <c r="F471" s="13"/>
      <c r="G471" s="13" t="s">
        <v>74</v>
      </c>
      <c r="H471" s="13" t="s">
        <v>107</v>
      </c>
      <c r="I471" s="14">
        <v>44915.0</v>
      </c>
      <c r="J471" s="14"/>
      <c r="K471" s="15"/>
      <c r="L471" s="15"/>
      <c r="M471" s="16"/>
      <c r="N471" s="16"/>
      <c r="O471" s="17"/>
      <c r="P471" s="17"/>
      <c r="Q471" s="13">
        <f t="shared" si="495"/>
        <v>0</v>
      </c>
      <c r="R471" s="13"/>
      <c r="S471" s="13"/>
      <c r="T471" s="13">
        <f t="shared" ref="T471:Y471" si="497">IF(ISBLANK(K471)=TRUE,0,1)</f>
        <v>0</v>
      </c>
      <c r="U471" s="13">
        <f t="shared" si="497"/>
        <v>0</v>
      </c>
      <c r="V471" s="13">
        <f t="shared" si="497"/>
        <v>0</v>
      </c>
      <c r="W471" s="13">
        <f t="shared" si="497"/>
        <v>0</v>
      </c>
      <c r="X471" s="13">
        <f t="shared" si="497"/>
        <v>0</v>
      </c>
      <c r="Y471" s="13">
        <f t="shared" si="497"/>
        <v>0</v>
      </c>
      <c r="Z471" s="13" t="str">
        <f t="shared" si="4"/>
        <v>NA</v>
      </c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</row>
    <row r="472" ht="14.25" hidden="1" customHeight="1">
      <c r="A472" s="13" t="s">
        <v>29</v>
      </c>
      <c r="B472" s="13" t="s">
        <v>32</v>
      </c>
      <c r="C472" s="13" t="s">
        <v>371</v>
      </c>
      <c r="D472" s="13"/>
      <c r="E472" s="13" t="str">
        <f t="shared" si="2"/>
        <v>COHR,35-6-7,,1</v>
      </c>
      <c r="F472" s="13"/>
      <c r="G472" s="13" t="s">
        <v>74</v>
      </c>
      <c r="H472" s="13" t="s">
        <v>75</v>
      </c>
      <c r="I472" s="14">
        <v>44915.0</v>
      </c>
      <c r="J472" s="14"/>
      <c r="K472" s="15"/>
      <c r="L472" s="15"/>
      <c r="M472" s="16"/>
      <c r="N472" s="16"/>
      <c r="O472" s="17">
        <v>1.0</v>
      </c>
      <c r="P472" s="17">
        <v>1.0</v>
      </c>
      <c r="Q472" s="13">
        <f t="shared" si="495"/>
        <v>0</v>
      </c>
      <c r="R472" s="13"/>
      <c r="S472" s="13"/>
      <c r="T472" s="13">
        <f t="shared" ref="T472:Y472" si="498">IF(ISBLANK(K472)=TRUE,0,1)</f>
        <v>0</v>
      </c>
      <c r="U472" s="13">
        <f t="shared" si="498"/>
        <v>0</v>
      </c>
      <c r="V472" s="13">
        <f t="shared" si="498"/>
        <v>0</v>
      </c>
      <c r="W472" s="13">
        <f t="shared" si="498"/>
        <v>0</v>
      </c>
      <c r="X472" s="13">
        <f t="shared" si="498"/>
        <v>1</v>
      </c>
      <c r="Y472" s="13">
        <f t="shared" si="498"/>
        <v>1</v>
      </c>
      <c r="Z472" s="13">
        <f t="shared" si="4"/>
        <v>1</v>
      </c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</row>
    <row r="473" ht="14.25" hidden="1" customHeight="1">
      <c r="A473" s="13" t="s">
        <v>29</v>
      </c>
      <c r="B473" s="13" t="s">
        <v>32</v>
      </c>
      <c r="C473" s="13" t="s">
        <v>371</v>
      </c>
      <c r="D473" s="13" t="s">
        <v>174</v>
      </c>
      <c r="E473" s="13" t="str">
        <f t="shared" si="2"/>
        <v>COHR,35-6-7,AA,1</v>
      </c>
      <c r="F473" s="13"/>
      <c r="G473" s="26" t="s">
        <v>74</v>
      </c>
      <c r="H473" s="13" t="s">
        <v>75</v>
      </c>
      <c r="I473" s="13"/>
      <c r="J473" s="13"/>
      <c r="K473" s="15"/>
      <c r="L473" s="15"/>
      <c r="M473" s="16"/>
      <c r="N473" s="16"/>
      <c r="O473" s="17">
        <v>1.0</v>
      </c>
      <c r="P473" s="17">
        <v>1.0</v>
      </c>
      <c r="Q473" s="13"/>
      <c r="R473" s="13"/>
      <c r="S473" s="13"/>
      <c r="T473" s="13">
        <f t="shared" ref="T473:Y473" si="499">IF(ISBLANK(K473)=TRUE,0,1)</f>
        <v>0</v>
      </c>
      <c r="U473" s="13">
        <f t="shared" si="499"/>
        <v>0</v>
      </c>
      <c r="V473" s="13">
        <f t="shared" si="499"/>
        <v>0</v>
      </c>
      <c r="W473" s="13">
        <f t="shared" si="499"/>
        <v>0</v>
      </c>
      <c r="X473" s="13">
        <f t="shared" si="499"/>
        <v>1</v>
      </c>
      <c r="Y473" s="13">
        <f t="shared" si="499"/>
        <v>1</v>
      </c>
      <c r="Z473" s="13">
        <f t="shared" si="4"/>
        <v>1</v>
      </c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</row>
    <row r="474" ht="14.25" hidden="1" customHeight="1">
      <c r="A474" s="13" t="s">
        <v>29</v>
      </c>
      <c r="B474" s="13" t="s">
        <v>32</v>
      </c>
      <c r="C474" s="13" t="s">
        <v>372</v>
      </c>
      <c r="D474" s="13"/>
      <c r="E474" s="13" t="str">
        <f t="shared" si="2"/>
        <v>COHR,35-6-8,,NA</v>
      </c>
      <c r="F474" s="13"/>
      <c r="G474" s="13" t="s">
        <v>74</v>
      </c>
      <c r="H474" s="13" t="s">
        <v>107</v>
      </c>
      <c r="I474" s="14">
        <v>44915.0</v>
      </c>
      <c r="J474" s="14"/>
      <c r="K474" s="15"/>
      <c r="L474" s="15"/>
      <c r="M474" s="16"/>
      <c r="N474" s="16"/>
      <c r="O474" s="17"/>
      <c r="P474" s="17"/>
      <c r="Q474" s="13">
        <f t="shared" ref="Q474:Q492" si="501">K473+L473+M473+N473+O473+P473/6</f>
        <v>1.166666667</v>
      </c>
      <c r="R474" s="13"/>
      <c r="S474" s="13"/>
      <c r="T474" s="13">
        <f t="shared" ref="T474:Y474" si="500">IF(ISBLANK(K474)=TRUE,0,1)</f>
        <v>0</v>
      </c>
      <c r="U474" s="13">
        <f t="shared" si="500"/>
        <v>0</v>
      </c>
      <c r="V474" s="13">
        <f t="shared" si="500"/>
        <v>0</v>
      </c>
      <c r="W474" s="13">
        <f t="shared" si="500"/>
        <v>0</v>
      </c>
      <c r="X474" s="13">
        <f t="shared" si="500"/>
        <v>0</v>
      </c>
      <c r="Y474" s="13">
        <f t="shared" si="500"/>
        <v>0</v>
      </c>
      <c r="Z474" s="13" t="str">
        <f t="shared" si="4"/>
        <v>NA</v>
      </c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</row>
    <row r="475" ht="14.25" hidden="1" customHeight="1">
      <c r="A475" s="13" t="s">
        <v>29</v>
      </c>
      <c r="B475" s="13" t="s">
        <v>32</v>
      </c>
      <c r="C475" s="13" t="s">
        <v>373</v>
      </c>
      <c r="D475" s="13"/>
      <c r="E475" s="13" t="str">
        <f t="shared" si="2"/>
        <v>COHR,35-6-9,,NA</v>
      </c>
      <c r="F475" s="13"/>
      <c r="G475" s="13" t="s">
        <v>74</v>
      </c>
      <c r="H475" s="13" t="s">
        <v>107</v>
      </c>
      <c r="I475" s="14">
        <v>44915.0</v>
      </c>
      <c r="J475" s="14"/>
      <c r="K475" s="15"/>
      <c r="L475" s="15"/>
      <c r="M475" s="16"/>
      <c r="N475" s="16"/>
      <c r="O475" s="17"/>
      <c r="P475" s="17"/>
      <c r="Q475" s="13">
        <f t="shared" si="501"/>
        <v>0</v>
      </c>
      <c r="R475" s="13"/>
      <c r="S475" s="13"/>
      <c r="T475" s="13">
        <f t="shared" ref="T475:Y475" si="502">IF(ISBLANK(K475)=TRUE,0,1)</f>
        <v>0</v>
      </c>
      <c r="U475" s="13">
        <f t="shared" si="502"/>
        <v>0</v>
      </c>
      <c r="V475" s="13">
        <f t="shared" si="502"/>
        <v>0</v>
      </c>
      <c r="W475" s="13">
        <f t="shared" si="502"/>
        <v>0</v>
      </c>
      <c r="X475" s="13">
        <f t="shared" si="502"/>
        <v>0</v>
      </c>
      <c r="Y475" s="13">
        <f t="shared" si="502"/>
        <v>0</v>
      </c>
      <c r="Z475" s="13" t="str">
        <f t="shared" si="4"/>
        <v>NA</v>
      </c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</row>
    <row r="476" ht="14.25" hidden="1" customHeight="1">
      <c r="A476" s="13" t="s">
        <v>29</v>
      </c>
      <c r="B476" s="13" t="s">
        <v>32</v>
      </c>
      <c r="C476" s="13" t="s">
        <v>174</v>
      </c>
      <c r="D476" s="13"/>
      <c r="E476" s="13" t="str">
        <f t="shared" si="2"/>
        <v>COHR,AA,,NA</v>
      </c>
      <c r="F476" s="13"/>
      <c r="G476" s="13" t="s">
        <v>74</v>
      </c>
      <c r="H476" s="13" t="s">
        <v>75</v>
      </c>
      <c r="I476" s="14">
        <v>44915.0</v>
      </c>
      <c r="J476" s="14"/>
      <c r="K476" s="15"/>
      <c r="L476" s="15"/>
      <c r="M476" s="16"/>
      <c r="N476" s="16"/>
      <c r="O476" s="17"/>
      <c r="P476" s="17"/>
      <c r="Q476" s="13">
        <f t="shared" si="501"/>
        <v>0</v>
      </c>
      <c r="R476" s="13"/>
      <c r="S476" s="13"/>
      <c r="T476" s="13">
        <f t="shared" ref="T476:Y476" si="503">IF(ISBLANK(K476)=TRUE,0,1)</f>
        <v>0</v>
      </c>
      <c r="U476" s="13">
        <f t="shared" si="503"/>
        <v>0</v>
      </c>
      <c r="V476" s="13">
        <f t="shared" si="503"/>
        <v>0</v>
      </c>
      <c r="W476" s="13">
        <f t="shared" si="503"/>
        <v>0</v>
      </c>
      <c r="X476" s="13">
        <f t="shared" si="503"/>
        <v>0</v>
      </c>
      <c r="Y476" s="13">
        <f t="shared" si="503"/>
        <v>0</v>
      </c>
      <c r="Z476" s="13" t="str">
        <f t="shared" si="4"/>
        <v>NA</v>
      </c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</row>
    <row r="477" ht="14.25" hidden="1" customHeight="1">
      <c r="A477" s="13" t="s">
        <v>46</v>
      </c>
      <c r="B477" s="13" t="s">
        <v>47</v>
      </c>
      <c r="C477" s="13" t="s">
        <v>374</v>
      </c>
      <c r="D477" s="13"/>
      <c r="E477" s="13" t="str">
        <f t="shared" si="2"/>
        <v>HUNT,E13,,NA</v>
      </c>
      <c r="F477" s="13"/>
      <c r="G477" s="13" t="s">
        <v>74</v>
      </c>
      <c r="H477" s="13" t="s">
        <v>75</v>
      </c>
      <c r="I477" s="13"/>
      <c r="J477" s="13"/>
      <c r="K477" s="15"/>
      <c r="L477" s="15"/>
      <c r="M477" s="16"/>
      <c r="N477" s="16"/>
      <c r="O477" s="17"/>
      <c r="P477" s="17"/>
      <c r="Q477" s="13">
        <f t="shared" si="501"/>
        <v>0</v>
      </c>
      <c r="R477" s="13"/>
      <c r="S477" s="13"/>
      <c r="T477" s="13">
        <f t="shared" ref="T477:Y477" si="504">IF(ISBLANK(K477)=TRUE,0,1)</f>
        <v>0</v>
      </c>
      <c r="U477" s="13">
        <f t="shared" si="504"/>
        <v>0</v>
      </c>
      <c r="V477" s="13">
        <f t="shared" si="504"/>
        <v>0</v>
      </c>
      <c r="W477" s="13">
        <f t="shared" si="504"/>
        <v>0</v>
      </c>
      <c r="X477" s="13">
        <f t="shared" si="504"/>
        <v>0</v>
      </c>
      <c r="Y477" s="13">
        <f t="shared" si="504"/>
        <v>0</v>
      </c>
      <c r="Z477" s="13" t="str">
        <f t="shared" si="4"/>
        <v>NA</v>
      </c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</row>
    <row r="478" ht="14.25" hidden="1" customHeight="1">
      <c r="A478" s="13" t="s">
        <v>46</v>
      </c>
      <c r="B478" s="13" t="s">
        <v>47</v>
      </c>
      <c r="C478" s="13" t="s">
        <v>375</v>
      </c>
      <c r="D478" s="13"/>
      <c r="E478" s="13" t="str">
        <f t="shared" si="2"/>
        <v>HUNT,E14,,NA</v>
      </c>
      <c r="F478" s="13"/>
      <c r="G478" s="13" t="s">
        <v>74</v>
      </c>
      <c r="H478" s="13" t="s">
        <v>75</v>
      </c>
      <c r="I478" s="13"/>
      <c r="J478" s="13"/>
      <c r="K478" s="15"/>
      <c r="L478" s="15"/>
      <c r="M478" s="16"/>
      <c r="N478" s="16"/>
      <c r="O478" s="17"/>
      <c r="P478" s="17"/>
      <c r="Q478" s="13">
        <f t="shared" si="501"/>
        <v>0</v>
      </c>
      <c r="R478" s="13"/>
      <c r="S478" s="13"/>
      <c r="T478" s="13">
        <f t="shared" ref="T478:Y478" si="505">IF(ISBLANK(K478)=TRUE,0,1)</f>
        <v>0</v>
      </c>
      <c r="U478" s="13">
        <f t="shared" si="505"/>
        <v>0</v>
      </c>
      <c r="V478" s="13">
        <f t="shared" si="505"/>
        <v>0</v>
      </c>
      <c r="W478" s="13">
        <f t="shared" si="505"/>
        <v>0</v>
      </c>
      <c r="X478" s="13">
        <f t="shared" si="505"/>
        <v>0</v>
      </c>
      <c r="Y478" s="13">
        <f t="shared" si="505"/>
        <v>0</v>
      </c>
      <c r="Z478" s="13" t="str">
        <f t="shared" si="4"/>
        <v>NA</v>
      </c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</row>
    <row r="479" ht="14.25" hidden="1" customHeight="1">
      <c r="A479" s="13" t="s">
        <v>46</v>
      </c>
      <c r="B479" s="13" t="s">
        <v>47</v>
      </c>
      <c r="C479" s="13" t="s">
        <v>376</v>
      </c>
      <c r="D479" s="13" t="s">
        <v>174</v>
      </c>
      <c r="E479" s="13" t="str">
        <f t="shared" si="2"/>
        <v>HUNT,E16,AA,1</v>
      </c>
      <c r="F479" s="13"/>
      <c r="G479" s="13" t="s">
        <v>74</v>
      </c>
      <c r="H479" s="13" t="s">
        <v>75</v>
      </c>
      <c r="I479" s="13"/>
      <c r="J479" s="13"/>
      <c r="K479" s="15">
        <v>1.0</v>
      </c>
      <c r="L479" s="15">
        <v>1.0</v>
      </c>
      <c r="M479" s="16"/>
      <c r="N479" s="16"/>
      <c r="O479" s="17"/>
      <c r="P479" s="17"/>
      <c r="Q479" s="13">
        <f t="shared" si="501"/>
        <v>0</v>
      </c>
      <c r="R479" s="13"/>
      <c r="S479" s="13"/>
      <c r="T479" s="13">
        <f t="shared" ref="T479:Y479" si="506">IF(ISBLANK(K479)=TRUE,0,1)</f>
        <v>1</v>
      </c>
      <c r="U479" s="13">
        <f t="shared" si="506"/>
        <v>1</v>
      </c>
      <c r="V479" s="13">
        <f t="shared" si="506"/>
        <v>0</v>
      </c>
      <c r="W479" s="13">
        <f t="shared" si="506"/>
        <v>0</v>
      </c>
      <c r="X479" s="13">
        <f t="shared" si="506"/>
        <v>0</v>
      </c>
      <c r="Y479" s="13">
        <f t="shared" si="506"/>
        <v>0</v>
      </c>
      <c r="Z479" s="13">
        <f t="shared" si="4"/>
        <v>1</v>
      </c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</row>
    <row r="480" ht="14.25" hidden="1" customHeight="1">
      <c r="A480" s="13" t="s">
        <v>46</v>
      </c>
      <c r="B480" s="13" t="s">
        <v>47</v>
      </c>
      <c r="C480" s="13" t="s">
        <v>377</v>
      </c>
      <c r="D480" s="13"/>
      <c r="E480" s="13" t="str">
        <f t="shared" si="2"/>
        <v>HUNT,E2,,0</v>
      </c>
      <c r="F480" s="13"/>
      <c r="G480" s="13" t="s">
        <v>74</v>
      </c>
      <c r="H480" s="13" t="s">
        <v>75</v>
      </c>
      <c r="I480" s="13"/>
      <c r="J480" s="13"/>
      <c r="K480" s="15">
        <v>0.0</v>
      </c>
      <c r="L480" s="15">
        <v>0.0</v>
      </c>
      <c r="M480" s="16"/>
      <c r="N480" s="16"/>
      <c r="O480" s="17"/>
      <c r="P480" s="17"/>
      <c r="Q480" s="13">
        <f t="shared" si="501"/>
        <v>2</v>
      </c>
      <c r="R480" s="13"/>
      <c r="S480" s="13"/>
      <c r="T480" s="13">
        <f t="shared" ref="T480:Y480" si="507">IF(ISBLANK(K480)=TRUE,0,1)</f>
        <v>1</v>
      </c>
      <c r="U480" s="13">
        <f t="shared" si="507"/>
        <v>1</v>
      </c>
      <c r="V480" s="13">
        <f t="shared" si="507"/>
        <v>0</v>
      </c>
      <c r="W480" s="13">
        <f t="shared" si="507"/>
        <v>0</v>
      </c>
      <c r="X480" s="13">
        <f t="shared" si="507"/>
        <v>0</v>
      </c>
      <c r="Y480" s="13">
        <f t="shared" si="507"/>
        <v>0</v>
      </c>
      <c r="Z480" s="13">
        <f t="shared" si="4"/>
        <v>0</v>
      </c>
      <c r="AA480" s="13" t="s">
        <v>378</v>
      </c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</row>
    <row r="481" ht="14.25" hidden="1" customHeight="1">
      <c r="A481" s="13" t="s">
        <v>46</v>
      </c>
      <c r="B481" s="13" t="s">
        <v>47</v>
      </c>
      <c r="C481" s="13" t="s">
        <v>379</v>
      </c>
      <c r="D481" s="13"/>
      <c r="E481" s="13" t="str">
        <f t="shared" si="2"/>
        <v>HUNT,E20,,1</v>
      </c>
      <c r="F481" s="13"/>
      <c r="G481" s="13" t="s">
        <v>74</v>
      </c>
      <c r="H481" s="13" t="s">
        <v>75</v>
      </c>
      <c r="I481" s="13"/>
      <c r="J481" s="13"/>
      <c r="K481" s="15">
        <v>1.0</v>
      </c>
      <c r="L481" s="15">
        <v>1.0</v>
      </c>
      <c r="M481" s="16"/>
      <c r="N481" s="16"/>
      <c r="O481" s="17"/>
      <c r="P481" s="17"/>
      <c r="Q481" s="13">
        <f t="shared" si="501"/>
        <v>0</v>
      </c>
      <c r="R481" s="13"/>
      <c r="S481" s="13"/>
      <c r="T481" s="13">
        <f t="shared" ref="T481:Y481" si="508">IF(ISBLANK(K481)=TRUE,0,1)</f>
        <v>1</v>
      </c>
      <c r="U481" s="13">
        <f t="shared" si="508"/>
        <v>1</v>
      </c>
      <c r="V481" s="13">
        <f t="shared" si="508"/>
        <v>0</v>
      </c>
      <c r="W481" s="13">
        <f t="shared" si="508"/>
        <v>0</v>
      </c>
      <c r="X481" s="13">
        <f t="shared" si="508"/>
        <v>0</v>
      </c>
      <c r="Y481" s="13">
        <f t="shared" si="508"/>
        <v>0</v>
      </c>
      <c r="Z481" s="13">
        <f t="shared" si="4"/>
        <v>1</v>
      </c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</row>
    <row r="482" ht="14.25" hidden="1" customHeight="1">
      <c r="A482" s="13" t="s">
        <v>46</v>
      </c>
      <c r="B482" s="13" t="s">
        <v>47</v>
      </c>
      <c r="C482" s="13" t="s">
        <v>380</v>
      </c>
      <c r="D482" s="13"/>
      <c r="E482" s="13" t="str">
        <f t="shared" si="2"/>
        <v>HUNT,E21,,NA</v>
      </c>
      <c r="F482" s="13"/>
      <c r="G482" s="13" t="s">
        <v>74</v>
      </c>
      <c r="H482" s="13" t="s">
        <v>75</v>
      </c>
      <c r="I482" s="13"/>
      <c r="J482" s="13"/>
      <c r="K482" s="15"/>
      <c r="L482" s="15"/>
      <c r="M482" s="16"/>
      <c r="N482" s="16"/>
      <c r="O482" s="17"/>
      <c r="P482" s="17"/>
      <c r="Q482" s="13">
        <f t="shared" si="501"/>
        <v>2</v>
      </c>
      <c r="R482" s="13"/>
      <c r="S482" s="13"/>
      <c r="T482" s="13">
        <f t="shared" ref="T482:Y482" si="509">IF(ISBLANK(K482)=TRUE,0,1)</f>
        <v>0</v>
      </c>
      <c r="U482" s="13">
        <f t="shared" si="509"/>
        <v>0</v>
      </c>
      <c r="V482" s="13">
        <f t="shared" si="509"/>
        <v>0</v>
      </c>
      <c r="W482" s="13">
        <f t="shared" si="509"/>
        <v>0</v>
      </c>
      <c r="X482" s="13">
        <f t="shared" si="509"/>
        <v>0</v>
      </c>
      <c r="Y482" s="13">
        <f t="shared" si="509"/>
        <v>0</v>
      </c>
      <c r="Z482" s="13" t="str">
        <f t="shared" si="4"/>
        <v>NA</v>
      </c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</row>
    <row r="483" ht="14.25" hidden="1" customHeight="1">
      <c r="A483" s="13" t="s">
        <v>46</v>
      </c>
      <c r="B483" s="13" t="s">
        <v>47</v>
      </c>
      <c r="C483" s="13" t="s">
        <v>381</v>
      </c>
      <c r="D483" s="13"/>
      <c r="E483" s="13" t="str">
        <f t="shared" si="2"/>
        <v>HUNT,E23,,NA</v>
      </c>
      <c r="F483" s="13"/>
      <c r="G483" s="13" t="s">
        <v>74</v>
      </c>
      <c r="H483" s="13" t="s">
        <v>75</v>
      </c>
      <c r="I483" s="13"/>
      <c r="J483" s="13"/>
      <c r="K483" s="15"/>
      <c r="L483" s="15"/>
      <c r="M483" s="16"/>
      <c r="N483" s="16"/>
      <c r="O483" s="17"/>
      <c r="P483" s="17"/>
      <c r="Q483" s="13">
        <f t="shared" si="501"/>
        <v>0</v>
      </c>
      <c r="R483" s="13"/>
      <c r="S483" s="13"/>
      <c r="T483" s="13">
        <f t="shared" ref="T483:Y483" si="510">IF(ISBLANK(K483)=TRUE,0,1)</f>
        <v>0</v>
      </c>
      <c r="U483" s="13">
        <f t="shared" si="510"/>
        <v>0</v>
      </c>
      <c r="V483" s="13">
        <f t="shared" si="510"/>
        <v>0</v>
      </c>
      <c r="W483" s="13">
        <f t="shared" si="510"/>
        <v>0</v>
      </c>
      <c r="X483" s="13">
        <f t="shared" si="510"/>
        <v>0</v>
      </c>
      <c r="Y483" s="13">
        <f t="shared" si="510"/>
        <v>0</v>
      </c>
      <c r="Z483" s="13" t="str">
        <f t="shared" si="4"/>
        <v>NA</v>
      </c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</row>
    <row r="484" ht="14.25" hidden="1" customHeight="1">
      <c r="A484" s="13" t="s">
        <v>46</v>
      </c>
      <c r="B484" s="13" t="s">
        <v>47</v>
      </c>
      <c r="C484" s="13" t="s">
        <v>382</v>
      </c>
      <c r="D484" s="13"/>
      <c r="E484" s="13" t="str">
        <f t="shared" si="2"/>
        <v>HUNT,E25,,NA</v>
      </c>
      <c r="F484" s="13"/>
      <c r="G484" s="13" t="s">
        <v>74</v>
      </c>
      <c r="H484" s="13" t="s">
        <v>75</v>
      </c>
      <c r="I484" s="13"/>
      <c r="J484" s="13"/>
      <c r="K484" s="15"/>
      <c r="L484" s="15"/>
      <c r="M484" s="16"/>
      <c r="N484" s="16"/>
      <c r="O484" s="17"/>
      <c r="P484" s="17"/>
      <c r="Q484" s="13">
        <f t="shared" si="501"/>
        <v>0</v>
      </c>
      <c r="R484" s="13"/>
      <c r="S484" s="13"/>
      <c r="T484" s="13">
        <f t="shared" ref="T484:Y484" si="511">IF(ISBLANK(K484)=TRUE,0,1)</f>
        <v>0</v>
      </c>
      <c r="U484" s="13">
        <f t="shared" si="511"/>
        <v>0</v>
      </c>
      <c r="V484" s="13">
        <f t="shared" si="511"/>
        <v>0</v>
      </c>
      <c r="W484" s="13">
        <f t="shared" si="511"/>
        <v>0</v>
      </c>
      <c r="X484" s="13">
        <f t="shared" si="511"/>
        <v>0</v>
      </c>
      <c r="Y484" s="13">
        <f t="shared" si="511"/>
        <v>0</v>
      </c>
      <c r="Z484" s="13" t="str">
        <f t="shared" si="4"/>
        <v>NA</v>
      </c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</row>
    <row r="485" ht="14.25" hidden="1" customHeight="1">
      <c r="A485" s="13" t="s">
        <v>46</v>
      </c>
      <c r="B485" s="13" t="s">
        <v>47</v>
      </c>
      <c r="C485" s="13" t="s">
        <v>383</v>
      </c>
      <c r="D485" s="13"/>
      <c r="E485" s="13" t="str">
        <f t="shared" si="2"/>
        <v>HUNT,E28,,NA</v>
      </c>
      <c r="F485" s="13"/>
      <c r="G485" s="13" t="s">
        <v>74</v>
      </c>
      <c r="H485" s="13" t="s">
        <v>75</v>
      </c>
      <c r="I485" s="13"/>
      <c r="J485" s="13"/>
      <c r="K485" s="15"/>
      <c r="L485" s="15"/>
      <c r="M485" s="16"/>
      <c r="N485" s="16"/>
      <c r="O485" s="17"/>
      <c r="P485" s="17"/>
      <c r="Q485" s="13">
        <f t="shared" si="501"/>
        <v>0</v>
      </c>
      <c r="R485" s="13"/>
      <c r="S485" s="13"/>
      <c r="T485" s="13">
        <f t="shared" ref="T485:Y485" si="512">IF(ISBLANK(K485)=TRUE,0,1)</f>
        <v>0</v>
      </c>
      <c r="U485" s="13">
        <f t="shared" si="512"/>
        <v>0</v>
      </c>
      <c r="V485" s="13">
        <f t="shared" si="512"/>
        <v>0</v>
      </c>
      <c r="W485" s="13">
        <f t="shared" si="512"/>
        <v>0</v>
      </c>
      <c r="X485" s="13">
        <f t="shared" si="512"/>
        <v>0</v>
      </c>
      <c r="Y485" s="13">
        <f t="shared" si="512"/>
        <v>0</v>
      </c>
      <c r="Z485" s="13" t="str">
        <f t="shared" si="4"/>
        <v>NA</v>
      </c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</row>
    <row r="486" ht="14.25" hidden="1" customHeight="1">
      <c r="A486" s="13" t="s">
        <v>46</v>
      </c>
      <c r="B486" s="13" t="s">
        <v>47</v>
      </c>
      <c r="C486" s="13" t="s">
        <v>384</v>
      </c>
      <c r="D486" s="13"/>
      <c r="E486" s="13" t="str">
        <f t="shared" si="2"/>
        <v>HUNT,E32,,NA</v>
      </c>
      <c r="F486" s="13"/>
      <c r="G486" s="13" t="s">
        <v>74</v>
      </c>
      <c r="H486" s="13" t="s">
        <v>75</v>
      </c>
      <c r="I486" s="13"/>
      <c r="J486" s="13"/>
      <c r="K486" s="15"/>
      <c r="L486" s="15"/>
      <c r="M486" s="16"/>
      <c r="N486" s="16"/>
      <c r="O486" s="17"/>
      <c r="P486" s="17"/>
      <c r="Q486" s="13">
        <f t="shared" si="501"/>
        <v>0</v>
      </c>
      <c r="R486" s="13"/>
      <c r="S486" s="13"/>
      <c r="T486" s="13">
        <f t="shared" ref="T486:Y486" si="513">IF(ISBLANK(K486)=TRUE,0,1)</f>
        <v>0</v>
      </c>
      <c r="U486" s="13">
        <f t="shared" si="513"/>
        <v>0</v>
      </c>
      <c r="V486" s="13">
        <f t="shared" si="513"/>
        <v>0</v>
      </c>
      <c r="W486" s="13">
        <f t="shared" si="513"/>
        <v>0</v>
      </c>
      <c r="X486" s="13">
        <f t="shared" si="513"/>
        <v>0</v>
      </c>
      <c r="Y486" s="13">
        <f t="shared" si="513"/>
        <v>0</v>
      </c>
      <c r="Z486" s="13" t="str">
        <f t="shared" si="4"/>
        <v>NA</v>
      </c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</row>
    <row r="487" ht="14.25" hidden="1" customHeight="1">
      <c r="A487" s="13" t="s">
        <v>46</v>
      </c>
      <c r="B487" s="13" t="s">
        <v>47</v>
      </c>
      <c r="C487" s="13" t="s">
        <v>385</v>
      </c>
      <c r="D487" s="13"/>
      <c r="E487" s="13" t="str">
        <f t="shared" si="2"/>
        <v>HUNT,E34,,1</v>
      </c>
      <c r="F487" s="13"/>
      <c r="G487" s="13" t="s">
        <v>74</v>
      </c>
      <c r="H487" s="13" t="s">
        <v>75</v>
      </c>
      <c r="I487" s="13"/>
      <c r="J487" s="13"/>
      <c r="K487" s="15">
        <v>1.0</v>
      </c>
      <c r="L487" s="15">
        <v>1.0</v>
      </c>
      <c r="M487" s="16"/>
      <c r="N487" s="16"/>
      <c r="O487" s="17"/>
      <c r="P487" s="17"/>
      <c r="Q487" s="13">
        <f t="shared" si="501"/>
        <v>0</v>
      </c>
      <c r="R487" s="13"/>
      <c r="S487" s="13"/>
      <c r="T487" s="13">
        <f t="shared" ref="T487:Y487" si="514">IF(ISBLANK(K487)=TRUE,0,1)</f>
        <v>1</v>
      </c>
      <c r="U487" s="13">
        <f t="shared" si="514"/>
        <v>1</v>
      </c>
      <c r="V487" s="13">
        <f t="shared" si="514"/>
        <v>0</v>
      </c>
      <c r="W487" s="13">
        <f t="shared" si="514"/>
        <v>0</v>
      </c>
      <c r="X487" s="13">
        <f t="shared" si="514"/>
        <v>0</v>
      </c>
      <c r="Y487" s="13">
        <f t="shared" si="514"/>
        <v>0</v>
      </c>
      <c r="Z487" s="13">
        <f t="shared" si="4"/>
        <v>1</v>
      </c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</row>
    <row r="488" ht="14.25" hidden="1" customHeight="1">
      <c r="A488" s="13" t="s">
        <v>46</v>
      </c>
      <c r="B488" s="13" t="s">
        <v>47</v>
      </c>
      <c r="C488" s="13" t="s">
        <v>386</v>
      </c>
      <c r="D488" s="13"/>
      <c r="E488" s="13" t="str">
        <f t="shared" si="2"/>
        <v>HUNT,E37,,NA</v>
      </c>
      <c r="F488" s="13"/>
      <c r="G488" s="13" t="s">
        <v>74</v>
      </c>
      <c r="H488" s="13" t="s">
        <v>75</v>
      </c>
      <c r="I488" s="13"/>
      <c r="J488" s="13"/>
      <c r="K488" s="15"/>
      <c r="L488" s="15"/>
      <c r="M488" s="16"/>
      <c r="N488" s="16"/>
      <c r="O488" s="17"/>
      <c r="P488" s="17"/>
      <c r="Q488" s="13">
        <f t="shared" si="501"/>
        <v>2</v>
      </c>
      <c r="R488" s="13"/>
      <c r="S488" s="13"/>
      <c r="T488" s="13">
        <f t="shared" ref="T488:Y488" si="515">IF(ISBLANK(K488)=TRUE,0,1)</f>
        <v>0</v>
      </c>
      <c r="U488" s="13">
        <f t="shared" si="515"/>
        <v>0</v>
      </c>
      <c r="V488" s="13">
        <f t="shared" si="515"/>
        <v>0</v>
      </c>
      <c r="W488" s="13">
        <f t="shared" si="515"/>
        <v>0</v>
      </c>
      <c r="X488" s="13">
        <f t="shared" si="515"/>
        <v>0</v>
      </c>
      <c r="Y488" s="13">
        <f t="shared" si="515"/>
        <v>0</v>
      </c>
      <c r="Z488" s="13" t="str">
        <f t="shared" si="4"/>
        <v>NA</v>
      </c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</row>
    <row r="489" ht="14.25" hidden="1" customHeight="1">
      <c r="A489" s="13" t="s">
        <v>46</v>
      </c>
      <c r="B489" s="13" t="s">
        <v>47</v>
      </c>
      <c r="C489" s="13" t="s">
        <v>387</v>
      </c>
      <c r="D489" s="13"/>
      <c r="E489" s="13" t="str">
        <f t="shared" si="2"/>
        <v>HUNT,E38,,NA</v>
      </c>
      <c r="F489" s="13"/>
      <c r="G489" s="13" t="s">
        <v>74</v>
      </c>
      <c r="H489" s="13" t="s">
        <v>75</v>
      </c>
      <c r="I489" s="13"/>
      <c r="J489" s="13"/>
      <c r="K489" s="15"/>
      <c r="L489" s="15"/>
      <c r="M489" s="16"/>
      <c r="N489" s="16"/>
      <c r="O489" s="17"/>
      <c r="P489" s="17"/>
      <c r="Q489" s="13">
        <f t="shared" si="501"/>
        <v>0</v>
      </c>
      <c r="R489" s="13"/>
      <c r="S489" s="13"/>
      <c r="T489" s="13">
        <f t="shared" ref="T489:Y489" si="516">IF(ISBLANK(K489)=TRUE,0,1)</f>
        <v>0</v>
      </c>
      <c r="U489" s="13">
        <f t="shared" si="516"/>
        <v>0</v>
      </c>
      <c r="V489" s="13">
        <f t="shared" si="516"/>
        <v>0</v>
      </c>
      <c r="W489" s="13">
        <f t="shared" si="516"/>
        <v>0</v>
      </c>
      <c r="X489" s="13">
        <f t="shared" si="516"/>
        <v>0</v>
      </c>
      <c r="Y489" s="13">
        <f t="shared" si="516"/>
        <v>0</v>
      </c>
      <c r="Z489" s="13" t="str">
        <f t="shared" si="4"/>
        <v>NA</v>
      </c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</row>
    <row r="490" ht="14.25" hidden="1" customHeight="1">
      <c r="A490" s="13" t="s">
        <v>46</v>
      </c>
      <c r="B490" s="13" t="s">
        <v>47</v>
      </c>
      <c r="C490" s="13" t="s">
        <v>388</v>
      </c>
      <c r="D490" s="13"/>
      <c r="E490" s="13" t="str">
        <f t="shared" si="2"/>
        <v>HUNT,E39,,NA</v>
      </c>
      <c r="F490" s="13"/>
      <c r="G490" s="13" t="s">
        <v>74</v>
      </c>
      <c r="H490" s="13" t="s">
        <v>75</v>
      </c>
      <c r="I490" s="13"/>
      <c r="J490" s="13"/>
      <c r="K490" s="15"/>
      <c r="L490" s="15"/>
      <c r="M490" s="16"/>
      <c r="N490" s="16"/>
      <c r="O490" s="17"/>
      <c r="P490" s="17"/>
      <c r="Q490" s="13">
        <f t="shared" si="501"/>
        <v>0</v>
      </c>
      <c r="R490" s="13"/>
      <c r="S490" s="13"/>
      <c r="T490" s="13">
        <f t="shared" ref="T490:Y490" si="517">IF(ISBLANK(K490)=TRUE,0,1)</f>
        <v>0</v>
      </c>
      <c r="U490" s="13">
        <f t="shared" si="517"/>
        <v>0</v>
      </c>
      <c r="V490" s="13">
        <f t="shared" si="517"/>
        <v>0</v>
      </c>
      <c r="W490" s="13">
        <f t="shared" si="517"/>
        <v>0</v>
      </c>
      <c r="X490" s="13">
        <f t="shared" si="517"/>
        <v>0</v>
      </c>
      <c r="Y490" s="13">
        <f t="shared" si="517"/>
        <v>0</v>
      </c>
      <c r="Z490" s="13" t="str">
        <f t="shared" si="4"/>
        <v>NA</v>
      </c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</row>
    <row r="491" ht="14.25" hidden="1" customHeight="1">
      <c r="A491" s="13" t="s">
        <v>46</v>
      </c>
      <c r="B491" s="13" t="s">
        <v>47</v>
      </c>
      <c r="C491" s="13" t="s">
        <v>389</v>
      </c>
      <c r="D491" s="13"/>
      <c r="E491" s="13" t="str">
        <f t="shared" si="2"/>
        <v>HUNT,E4,,0</v>
      </c>
      <c r="F491" s="13"/>
      <c r="G491" s="13" t="s">
        <v>74</v>
      </c>
      <c r="H491" s="13" t="s">
        <v>75</v>
      </c>
      <c r="I491" s="13"/>
      <c r="J491" s="13"/>
      <c r="K491" s="15">
        <v>0.0</v>
      </c>
      <c r="L491" s="15">
        <v>0.0</v>
      </c>
      <c r="M491" s="16"/>
      <c r="N491" s="16"/>
      <c r="O491" s="17"/>
      <c r="P491" s="17"/>
      <c r="Q491" s="13">
        <f t="shared" si="501"/>
        <v>0</v>
      </c>
      <c r="R491" s="13"/>
      <c r="S491" s="13"/>
      <c r="T491" s="13">
        <f t="shared" ref="T491:Y491" si="518">IF(ISBLANK(K491)=TRUE,0,1)</f>
        <v>1</v>
      </c>
      <c r="U491" s="13">
        <f t="shared" si="518"/>
        <v>1</v>
      </c>
      <c r="V491" s="13">
        <f t="shared" si="518"/>
        <v>0</v>
      </c>
      <c r="W491" s="13">
        <f t="shared" si="518"/>
        <v>0</v>
      </c>
      <c r="X491" s="13">
        <f t="shared" si="518"/>
        <v>0</v>
      </c>
      <c r="Y491" s="13">
        <f t="shared" si="518"/>
        <v>0</v>
      </c>
      <c r="Z491" s="13">
        <f t="shared" si="4"/>
        <v>0</v>
      </c>
      <c r="AA491" s="13" t="s">
        <v>378</v>
      </c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</row>
    <row r="492" ht="14.25" hidden="1" customHeight="1">
      <c r="A492" s="13" t="s">
        <v>46</v>
      </c>
      <c r="B492" s="13" t="s">
        <v>47</v>
      </c>
      <c r="C492" s="13" t="s">
        <v>390</v>
      </c>
      <c r="D492" s="13"/>
      <c r="E492" s="13" t="str">
        <f t="shared" si="2"/>
        <v>HUNT,E40,,NA</v>
      </c>
      <c r="F492" s="13"/>
      <c r="G492" s="13" t="s">
        <v>74</v>
      </c>
      <c r="H492" s="13" t="s">
        <v>75</v>
      </c>
      <c r="I492" s="13"/>
      <c r="J492" s="13"/>
      <c r="K492" s="15"/>
      <c r="L492" s="15"/>
      <c r="M492" s="16"/>
      <c r="N492" s="16"/>
      <c r="O492" s="17"/>
      <c r="P492" s="17"/>
      <c r="Q492" s="13">
        <f t="shared" si="501"/>
        <v>0</v>
      </c>
      <c r="R492" s="13"/>
      <c r="S492" s="13"/>
      <c r="T492" s="13">
        <f t="shared" ref="T492:Y492" si="519">IF(ISBLANK(K492)=TRUE,0,1)</f>
        <v>0</v>
      </c>
      <c r="U492" s="13">
        <f t="shared" si="519"/>
        <v>0</v>
      </c>
      <c r="V492" s="13">
        <f t="shared" si="519"/>
        <v>0</v>
      </c>
      <c r="W492" s="13">
        <f t="shared" si="519"/>
        <v>0</v>
      </c>
      <c r="X492" s="13">
        <f t="shared" si="519"/>
        <v>0</v>
      </c>
      <c r="Y492" s="13">
        <f t="shared" si="519"/>
        <v>0</v>
      </c>
      <c r="Z492" s="13" t="str">
        <f t="shared" si="4"/>
        <v>NA</v>
      </c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</row>
    <row r="493" ht="14.25" hidden="1" customHeight="1">
      <c r="A493" s="13" t="s">
        <v>46</v>
      </c>
      <c r="B493" s="13" t="s">
        <v>47</v>
      </c>
      <c r="C493" s="13" t="s">
        <v>391</v>
      </c>
      <c r="D493" s="13"/>
      <c r="E493" s="13" t="str">
        <f t="shared" si="2"/>
        <v>HUNT,E44,,NA</v>
      </c>
      <c r="F493" s="13"/>
      <c r="G493" s="13" t="s">
        <v>74</v>
      </c>
      <c r="H493" s="13" t="s">
        <v>75</v>
      </c>
      <c r="I493" s="13"/>
      <c r="J493" s="13"/>
      <c r="K493" s="15"/>
      <c r="L493" s="15"/>
      <c r="M493" s="16"/>
      <c r="N493" s="16"/>
      <c r="O493" s="17"/>
      <c r="P493" s="17"/>
      <c r="Q493" s="13"/>
      <c r="R493" s="13"/>
      <c r="S493" s="13"/>
      <c r="T493" s="13">
        <f t="shared" ref="T493:Y493" si="520">IF(ISBLANK(K493)=TRUE,0,1)</f>
        <v>0</v>
      </c>
      <c r="U493" s="13">
        <f t="shared" si="520"/>
        <v>0</v>
      </c>
      <c r="V493" s="13">
        <f t="shared" si="520"/>
        <v>0</v>
      </c>
      <c r="W493" s="13">
        <f t="shared" si="520"/>
        <v>0</v>
      </c>
      <c r="X493" s="13">
        <f t="shared" si="520"/>
        <v>0</v>
      </c>
      <c r="Y493" s="13">
        <f t="shared" si="520"/>
        <v>0</v>
      </c>
      <c r="Z493" s="13" t="str">
        <f t="shared" si="4"/>
        <v>NA</v>
      </c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</row>
    <row r="494" ht="14.25" hidden="1" customHeight="1">
      <c r="A494" s="13" t="s">
        <v>46</v>
      </c>
      <c r="B494" s="13" t="s">
        <v>47</v>
      </c>
      <c r="C494" s="13" t="s">
        <v>392</v>
      </c>
      <c r="D494" s="13"/>
      <c r="E494" s="13" t="str">
        <f t="shared" si="2"/>
        <v>HUNT,E45,,NA</v>
      </c>
      <c r="F494" s="13"/>
      <c r="G494" s="13" t="s">
        <v>74</v>
      </c>
      <c r="H494" s="13" t="s">
        <v>75</v>
      </c>
      <c r="I494" s="13"/>
      <c r="J494" s="13"/>
      <c r="K494" s="15"/>
      <c r="L494" s="15"/>
      <c r="M494" s="16"/>
      <c r="N494" s="16"/>
      <c r="O494" s="17"/>
      <c r="P494" s="17"/>
      <c r="Q494" s="13"/>
      <c r="R494" s="13"/>
      <c r="S494" s="13"/>
      <c r="T494" s="13">
        <f t="shared" ref="T494:Y494" si="521">IF(ISBLANK(K494)=TRUE,0,1)</f>
        <v>0</v>
      </c>
      <c r="U494" s="13">
        <f t="shared" si="521"/>
        <v>0</v>
      </c>
      <c r="V494" s="13">
        <f t="shared" si="521"/>
        <v>0</v>
      </c>
      <c r="W494" s="13">
        <f t="shared" si="521"/>
        <v>0</v>
      </c>
      <c r="X494" s="13">
        <f t="shared" si="521"/>
        <v>0</v>
      </c>
      <c r="Y494" s="13">
        <f t="shared" si="521"/>
        <v>0</v>
      </c>
      <c r="Z494" s="13" t="str">
        <f t="shared" si="4"/>
        <v>NA</v>
      </c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</row>
    <row r="495" ht="14.25" hidden="1" customHeight="1">
      <c r="A495" s="13" t="s">
        <v>46</v>
      </c>
      <c r="B495" s="13" t="s">
        <v>47</v>
      </c>
      <c r="C495" s="13" t="s">
        <v>393</v>
      </c>
      <c r="D495" s="13"/>
      <c r="E495" s="13" t="str">
        <f t="shared" si="2"/>
        <v>HUNT,E5,,0</v>
      </c>
      <c r="F495" s="13"/>
      <c r="G495" s="13" t="s">
        <v>74</v>
      </c>
      <c r="H495" s="13" t="s">
        <v>75</v>
      </c>
      <c r="I495" s="13"/>
      <c r="J495" s="13"/>
      <c r="K495" s="15">
        <v>0.0</v>
      </c>
      <c r="L495" s="15">
        <v>0.0</v>
      </c>
      <c r="M495" s="16"/>
      <c r="N495" s="16"/>
      <c r="O495" s="17"/>
      <c r="P495" s="17"/>
      <c r="Q495" s="13">
        <f t="shared" ref="Q495:Q497" si="523">K494+L494+M494+N494+O494+P494/6</f>
        <v>0</v>
      </c>
      <c r="R495" s="13"/>
      <c r="S495" s="13"/>
      <c r="T495" s="13">
        <f t="shared" ref="T495:Y495" si="522">IF(ISBLANK(K495)=TRUE,0,1)</f>
        <v>1</v>
      </c>
      <c r="U495" s="13">
        <f t="shared" si="522"/>
        <v>1</v>
      </c>
      <c r="V495" s="13">
        <f t="shared" si="522"/>
        <v>0</v>
      </c>
      <c r="W495" s="13">
        <f t="shared" si="522"/>
        <v>0</v>
      </c>
      <c r="X495" s="13">
        <f t="shared" si="522"/>
        <v>0</v>
      </c>
      <c r="Y495" s="13">
        <f t="shared" si="522"/>
        <v>0</v>
      </c>
      <c r="Z495" s="13">
        <f t="shared" si="4"/>
        <v>0</v>
      </c>
      <c r="AA495" s="13" t="s">
        <v>394</v>
      </c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</row>
    <row r="496" ht="14.25" hidden="1" customHeight="1">
      <c r="A496" s="13" t="s">
        <v>46</v>
      </c>
      <c r="B496" s="13" t="s">
        <v>47</v>
      </c>
      <c r="C496" s="13" t="s">
        <v>395</v>
      </c>
      <c r="D496" s="13" t="s">
        <v>174</v>
      </c>
      <c r="E496" s="13" t="str">
        <f t="shared" si="2"/>
        <v>HUNT,E8,AA,1</v>
      </c>
      <c r="F496" s="13"/>
      <c r="G496" s="13" t="s">
        <v>74</v>
      </c>
      <c r="H496" s="13" t="s">
        <v>75</v>
      </c>
      <c r="I496" s="13"/>
      <c r="J496" s="13"/>
      <c r="K496" s="15">
        <v>1.0</v>
      </c>
      <c r="L496" s="15">
        <v>1.0</v>
      </c>
      <c r="M496" s="16"/>
      <c r="N496" s="16"/>
      <c r="O496" s="17"/>
      <c r="P496" s="17"/>
      <c r="Q496" s="13">
        <f t="shared" si="523"/>
        <v>0</v>
      </c>
      <c r="R496" s="13"/>
      <c r="S496" s="13"/>
      <c r="T496" s="13">
        <f t="shared" ref="T496:Y496" si="524">IF(ISBLANK(K496)=TRUE,0,1)</f>
        <v>1</v>
      </c>
      <c r="U496" s="13">
        <f t="shared" si="524"/>
        <v>1</v>
      </c>
      <c r="V496" s="13">
        <f t="shared" si="524"/>
        <v>0</v>
      </c>
      <c r="W496" s="13">
        <f t="shared" si="524"/>
        <v>0</v>
      </c>
      <c r="X496" s="13">
        <f t="shared" si="524"/>
        <v>0</v>
      </c>
      <c r="Y496" s="13">
        <f t="shared" si="524"/>
        <v>0</v>
      </c>
      <c r="Z496" s="13">
        <f t="shared" si="4"/>
        <v>1</v>
      </c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</row>
    <row r="497" ht="14.25" hidden="1" customHeight="1">
      <c r="A497" s="13" t="s">
        <v>46</v>
      </c>
      <c r="B497" s="13" t="s">
        <v>47</v>
      </c>
      <c r="C497" s="13" t="s">
        <v>396</v>
      </c>
      <c r="D497" s="13"/>
      <c r="E497" s="13" t="str">
        <f t="shared" si="2"/>
        <v>HUNT,E9,,0</v>
      </c>
      <c r="F497" s="13"/>
      <c r="G497" s="13" t="s">
        <v>74</v>
      </c>
      <c r="H497" s="13" t="s">
        <v>75</v>
      </c>
      <c r="I497" s="13"/>
      <c r="J497" s="13"/>
      <c r="K497" s="15">
        <v>0.0</v>
      </c>
      <c r="L497" s="15">
        <v>0.0</v>
      </c>
      <c r="M497" s="16"/>
      <c r="N497" s="16"/>
      <c r="O497" s="17"/>
      <c r="P497" s="17"/>
      <c r="Q497" s="13">
        <f t="shared" si="523"/>
        <v>2</v>
      </c>
      <c r="R497" s="13"/>
      <c r="S497" s="13"/>
      <c r="T497" s="13">
        <f t="shared" ref="T497:Y497" si="525">IF(ISBLANK(K497)=TRUE,0,1)</f>
        <v>1</v>
      </c>
      <c r="U497" s="13">
        <f t="shared" si="525"/>
        <v>1</v>
      </c>
      <c r="V497" s="13">
        <f t="shared" si="525"/>
        <v>0</v>
      </c>
      <c r="W497" s="13">
        <f t="shared" si="525"/>
        <v>0</v>
      </c>
      <c r="X497" s="13">
        <f t="shared" si="525"/>
        <v>0</v>
      </c>
      <c r="Y497" s="13">
        <f t="shared" si="525"/>
        <v>0</v>
      </c>
      <c r="Z497" s="13">
        <f t="shared" si="4"/>
        <v>0</v>
      </c>
      <c r="AA497" s="13" t="s">
        <v>397</v>
      </c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</row>
    <row r="498" ht="14.25" hidden="1" customHeight="1">
      <c r="A498" s="13" t="s">
        <v>46</v>
      </c>
      <c r="B498" s="13" t="s">
        <v>47</v>
      </c>
      <c r="C498" s="13" t="s">
        <v>398</v>
      </c>
      <c r="D498" s="13" t="s">
        <v>174</v>
      </c>
      <c r="E498" s="13" t="str">
        <f t="shared" si="2"/>
        <v>HUNT,F11,AA,</v>
      </c>
      <c r="F498" s="13"/>
      <c r="G498" s="13"/>
      <c r="H498" s="13"/>
      <c r="I498" s="13"/>
      <c r="J498" s="13"/>
      <c r="K498" s="15"/>
      <c r="L498" s="15"/>
      <c r="M498" s="16"/>
      <c r="N498" s="16"/>
      <c r="O498" s="17"/>
      <c r="P498" s="17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</row>
    <row r="499" ht="14.25" hidden="1" customHeight="1">
      <c r="A499" s="13" t="s">
        <v>46</v>
      </c>
      <c r="B499" s="13" t="s">
        <v>47</v>
      </c>
      <c r="C499" s="13" t="s">
        <v>399</v>
      </c>
      <c r="D499" s="13"/>
      <c r="E499" s="13" t="str">
        <f t="shared" si="2"/>
        <v>HUNT,F15,,NA</v>
      </c>
      <c r="F499" s="13"/>
      <c r="G499" s="13" t="s">
        <v>111</v>
      </c>
      <c r="H499" s="13" t="s">
        <v>75</v>
      </c>
      <c r="I499" s="13"/>
      <c r="J499" s="13"/>
      <c r="K499" s="15"/>
      <c r="L499" s="15"/>
      <c r="M499" s="16"/>
      <c r="N499" s="16"/>
      <c r="O499" s="17"/>
      <c r="P499" s="17"/>
      <c r="Q499" s="13">
        <f t="shared" ref="Q499:Q507" si="527">K498+L498+M498+N498+O498+P498/6</f>
        <v>0</v>
      </c>
      <c r="R499" s="13"/>
      <c r="S499" s="13"/>
      <c r="T499" s="13">
        <f t="shared" ref="T499:Y499" si="526">IF(ISBLANK(K499)=TRUE,0,1)</f>
        <v>0</v>
      </c>
      <c r="U499" s="13">
        <f t="shared" si="526"/>
        <v>0</v>
      </c>
      <c r="V499" s="13">
        <f t="shared" si="526"/>
        <v>0</v>
      </c>
      <c r="W499" s="13">
        <f t="shared" si="526"/>
        <v>0</v>
      </c>
      <c r="X499" s="13">
        <f t="shared" si="526"/>
        <v>0</v>
      </c>
      <c r="Y499" s="13">
        <f t="shared" si="526"/>
        <v>0</v>
      </c>
      <c r="Z499" s="13" t="str">
        <f t="shared" ref="Z499:Z1802" si="529">IF(SUM(T499:Y499)=0,"NA",AVERAGE(K499:P499))</f>
        <v>NA</v>
      </c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</row>
    <row r="500" ht="14.25" hidden="1" customHeight="1">
      <c r="A500" s="13" t="s">
        <v>46</v>
      </c>
      <c r="B500" s="13" t="s">
        <v>47</v>
      </c>
      <c r="C500" s="13" t="s">
        <v>400</v>
      </c>
      <c r="D500" s="13"/>
      <c r="E500" s="13" t="str">
        <f t="shared" si="2"/>
        <v>HUNT,F16,,NA</v>
      </c>
      <c r="F500" s="13"/>
      <c r="G500" s="13" t="s">
        <v>111</v>
      </c>
      <c r="H500" s="13" t="s">
        <v>75</v>
      </c>
      <c r="I500" s="13"/>
      <c r="J500" s="13"/>
      <c r="K500" s="15"/>
      <c r="L500" s="15"/>
      <c r="M500" s="16"/>
      <c r="N500" s="16"/>
      <c r="O500" s="17"/>
      <c r="P500" s="17"/>
      <c r="Q500" s="13">
        <f t="shared" si="527"/>
        <v>0</v>
      </c>
      <c r="R500" s="13"/>
      <c r="S500" s="13"/>
      <c r="T500" s="13">
        <f t="shared" ref="T500:Y500" si="528">IF(ISBLANK(K500)=TRUE,0,1)</f>
        <v>0</v>
      </c>
      <c r="U500" s="13">
        <f t="shared" si="528"/>
        <v>0</v>
      </c>
      <c r="V500" s="13">
        <f t="shared" si="528"/>
        <v>0</v>
      </c>
      <c r="W500" s="13">
        <f t="shared" si="528"/>
        <v>0</v>
      </c>
      <c r="X500" s="13">
        <f t="shared" si="528"/>
        <v>0</v>
      </c>
      <c r="Y500" s="13">
        <f t="shared" si="528"/>
        <v>0</v>
      </c>
      <c r="Z500" s="13" t="str">
        <f t="shared" si="529"/>
        <v>NA</v>
      </c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</row>
    <row r="501" ht="14.25" hidden="1" customHeight="1">
      <c r="A501" s="13" t="s">
        <v>46</v>
      </c>
      <c r="B501" s="13" t="s">
        <v>47</v>
      </c>
      <c r="C501" s="13" t="s">
        <v>401</v>
      </c>
      <c r="D501" s="13"/>
      <c r="E501" s="13" t="str">
        <f t="shared" si="2"/>
        <v>HUNT,F17,,NA</v>
      </c>
      <c r="F501" s="13"/>
      <c r="G501" s="13" t="s">
        <v>111</v>
      </c>
      <c r="H501" s="13" t="s">
        <v>75</v>
      </c>
      <c r="I501" s="13"/>
      <c r="J501" s="13"/>
      <c r="K501" s="15"/>
      <c r="L501" s="15"/>
      <c r="M501" s="16"/>
      <c r="N501" s="16"/>
      <c r="O501" s="17"/>
      <c r="P501" s="17"/>
      <c r="Q501" s="13">
        <f t="shared" si="527"/>
        <v>0</v>
      </c>
      <c r="R501" s="13"/>
      <c r="S501" s="13"/>
      <c r="T501" s="13">
        <f t="shared" ref="T501:Y501" si="530">IF(ISBLANK(K501)=TRUE,0,1)</f>
        <v>0</v>
      </c>
      <c r="U501" s="13">
        <f t="shared" si="530"/>
        <v>0</v>
      </c>
      <c r="V501" s="13">
        <f t="shared" si="530"/>
        <v>0</v>
      </c>
      <c r="W501" s="13">
        <f t="shared" si="530"/>
        <v>0</v>
      </c>
      <c r="X501" s="13">
        <f t="shared" si="530"/>
        <v>0</v>
      </c>
      <c r="Y501" s="13">
        <f t="shared" si="530"/>
        <v>0</v>
      </c>
      <c r="Z501" s="13" t="str">
        <f t="shared" si="529"/>
        <v>NA</v>
      </c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</row>
    <row r="502" ht="14.25" hidden="1" customHeight="1">
      <c r="A502" s="13" t="s">
        <v>46</v>
      </c>
      <c r="B502" s="13" t="s">
        <v>47</v>
      </c>
      <c r="C502" s="13" t="s">
        <v>402</v>
      </c>
      <c r="D502" s="13"/>
      <c r="E502" s="13" t="str">
        <f t="shared" si="2"/>
        <v>HUNT,F18,,NA</v>
      </c>
      <c r="F502" s="13"/>
      <c r="G502" s="13" t="s">
        <v>111</v>
      </c>
      <c r="H502" s="13" t="s">
        <v>75</v>
      </c>
      <c r="I502" s="13"/>
      <c r="J502" s="13"/>
      <c r="K502" s="15"/>
      <c r="L502" s="15"/>
      <c r="M502" s="16"/>
      <c r="N502" s="16"/>
      <c r="O502" s="17"/>
      <c r="P502" s="17"/>
      <c r="Q502" s="13">
        <f t="shared" si="527"/>
        <v>0</v>
      </c>
      <c r="R502" s="13"/>
      <c r="S502" s="13"/>
      <c r="T502" s="13">
        <f t="shared" ref="T502:Y502" si="531">IF(ISBLANK(K502)=TRUE,0,1)</f>
        <v>0</v>
      </c>
      <c r="U502" s="13">
        <f t="shared" si="531"/>
        <v>0</v>
      </c>
      <c r="V502" s="13">
        <f t="shared" si="531"/>
        <v>0</v>
      </c>
      <c r="W502" s="13">
        <f t="shared" si="531"/>
        <v>0</v>
      </c>
      <c r="X502" s="13">
        <f t="shared" si="531"/>
        <v>0</v>
      </c>
      <c r="Y502" s="13">
        <f t="shared" si="531"/>
        <v>0</v>
      </c>
      <c r="Z502" s="13" t="str">
        <f t="shared" si="529"/>
        <v>NA</v>
      </c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</row>
    <row r="503" ht="14.25" hidden="1" customHeight="1">
      <c r="A503" s="13" t="s">
        <v>46</v>
      </c>
      <c r="B503" s="13" t="s">
        <v>47</v>
      </c>
      <c r="C503" s="13" t="s">
        <v>403</v>
      </c>
      <c r="D503" s="13"/>
      <c r="E503" s="13" t="str">
        <f t="shared" si="2"/>
        <v>HUNT,F21,,NA</v>
      </c>
      <c r="F503" s="13"/>
      <c r="G503" s="13" t="s">
        <v>111</v>
      </c>
      <c r="H503" s="13" t="s">
        <v>75</v>
      </c>
      <c r="I503" s="13"/>
      <c r="J503" s="13"/>
      <c r="K503" s="15"/>
      <c r="L503" s="15"/>
      <c r="M503" s="16"/>
      <c r="N503" s="16"/>
      <c r="O503" s="17"/>
      <c r="P503" s="17"/>
      <c r="Q503" s="13">
        <f t="shared" si="527"/>
        <v>0</v>
      </c>
      <c r="R503" s="13"/>
      <c r="S503" s="13"/>
      <c r="T503" s="13">
        <f t="shared" ref="T503:Y503" si="532">IF(ISBLANK(K503)=TRUE,0,1)</f>
        <v>0</v>
      </c>
      <c r="U503" s="13">
        <f t="shared" si="532"/>
        <v>0</v>
      </c>
      <c r="V503" s="13">
        <f t="shared" si="532"/>
        <v>0</v>
      </c>
      <c r="W503" s="13">
        <f t="shared" si="532"/>
        <v>0</v>
      </c>
      <c r="X503" s="13">
        <f t="shared" si="532"/>
        <v>0</v>
      </c>
      <c r="Y503" s="13">
        <f t="shared" si="532"/>
        <v>0</v>
      </c>
      <c r="Z503" s="13" t="str">
        <f t="shared" si="529"/>
        <v>NA</v>
      </c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</row>
    <row r="504" ht="14.25" hidden="1" customHeight="1">
      <c r="A504" s="13" t="s">
        <v>46</v>
      </c>
      <c r="B504" s="13" t="s">
        <v>47</v>
      </c>
      <c r="C504" s="13" t="s">
        <v>404</v>
      </c>
      <c r="D504" s="13"/>
      <c r="E504" s="13" t="str">
        <f t="shared" si="2"/>
        <v>HUNT,F22,,NA</v>
      </c>
      <c r="F504" s="13"/>
      <c r="G504" s="13" t="s">
        <v>111</v>
      </c>
      <c r="H504" s="13" t="s">
        <v>75</v>
      </c>
      <c r="I504" s="13"/>
      <c r="J504" s="13"/>
      <c r="K504" s="15"/>
      <c r="L504" s="15"/>
      <c r="M504" s="16"/>
      <c r="N504" s="16"/>
      <c r="O504" s="17"/>
      <c r="P504" s="17"/>
      <c r="Q504" s="13">
        <f t="shared" si="527"/>
        <v>0</v>
      </c>
      <c r="R504" s="13"/>
      <c r="S504" s="13"/>
      <c r="T504" s="13">
        <f t="shared" ref="T504:Y504" si="533">IF(ISBLANK(K504)=TRUE,0,1)</f>
        <v>0</v>
      </c>
      <c r="U504" s="13">
        <f t="shared" si="533"/>
        <v>0</v>
      </c>
      <c r="V504" s="13">
        <f t="shared" si="533"/>
        <v>0</v>
      </c>
      <c r="W504" s="13">
        <f t="shared" si="533"/>
        <v>0</v>
      </c>
      <c r="X504" s="13">
        <f t="shared" si="533"/>
        <v>0</v>
      </c>
      <c r="Y504" s="13">
        <f t="shared" si="533"/>
        <v>0</v>
      </c>
      <c r="Z504" s="13" t="str">
        <f t="shared" si="529"/>
        <v>NA</v>
      </c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</row>
    <row r="505" ht="14.25" hidden="1" customHeight="1">
      <c r="A505" s="13" t="s">
        <v>46</v>
      </c>
      <c r="B505" s="13" t="s">
        <v>47</v>
      </c>
      <c r="C505" s="13" t="s">
        <v>405</v>
      </c>
      <c r="D505" s="13"/>
      <c r="E505" s="13" t="str">
        <f t="shared" si="2"/>
        <v>HUNT,F23,,NA</v>
      </c>
      <c r="F505" s="13"/>
      <c r="G505" s="13" t="s">
        <v>111</v>
      </c>
      <c r="H505" s="13" t="s">
        <v>75</v>
      </c>
      <c r="I505" s="13"/>
      <c r="J505" s="13"/>
      <c r="K505" s="15"/>
      <c r="L505" s="15"/>
      <c r="M505" s="16"/>
      <c r="N505" s="16"/>
      <c r="O505" s="17"/>
      <c r="P505" s="17"/>
      <c r="Q505" s="13">
        <f t="shared" si="527"/>
        <v>0</v>
      </c>
      <c r="R505" s="13"/>
      <c r="S505" s="13"/>
      <c r="T505" s="13">
        <f t="shared" ref="T505:Y505" si="534">IF(ISBLANK(K505)=TRUE,0,1)</f>
        <v>0</v>
      </c>
      <c r="U505" s="13">
        <f t="shared" si="534"/>
        <v>0</v>
      </c>
      <c r="V505" s="13">
        <f t="shared" si="534"/>
        <v>0</v>
      </c>
      <c r="W505" s="13">
        <f t="shared" si="534"/>
        <v>0</v>
      </c>
      <c r="X505" s="13">
        <f t="shared" si="534"/>
        <v>0</v>
      </c>
      <c r="Y505" s="13">
        <f t="shared" si="534"/>
        <v>0</v>
      </c>
      <c r="Z505" s="13" t="str">
        <f t="shared" si="529"/>
        <v>NA</v>
      </c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</row>
    <row r="506" ht="14.25" hidden="1" customHeight="1">
      <c r="A506" s="13" t="s">
        <v>46</v>
      </c>
      <c r="B506" s="13" t="s">
        <v>47</v>
      </c>
      <c r="C506" s="13" t="s">
        <v>406</v>
      </c>
      <c r="D506" s="13"/>
      <c r="E506" s="13" t="str">
        <f t="shared" si="2"/>
        <v>HUNT,F24,,NA</v>
      </c>
      <c r="F506" s="13"/>
      <c r="G506" s="13" t="s">
        <v>111</v>
      </c>
      <c r="H506" s="13" t="s">
        <v>75</v>
      </c>
      <c r="I506" s="13"/>
      <c r="J506" s="13"/>
      <c r="K506" s="15"/>
      <c r="L506" s="15"/>
      <c r="M506" s="16"/>
      <c r="N506" s="16"/>
      <c r="O506" s="17"/>
      <c r="P506" s="17"/>
      <c r="Q506" s="13">
        <f t="shared" si="527"/>
        <v>0</v>
      </c>
      <c r="R506" s="13"/>
      <c r="S506" s="13"/>
      <c r="T506" s="13">
        <f t="shared" ref="T506:Y506" si="535">IF(ISBLANK(K506)=TRUE,0,1)</f>
        <v>0</v>
      </c>
      <c r="U506" s="13">
        <f t="shared" si="535"/>
        <v>0</v>
      </c>
      <c r="V506" s="13">
        <f t="shared" si="535"/>
        <v>0</v>
      </c>
      <c r="W506" s="13">
        <f t="shared" si="535"/>
        <v>0</v>
      </c>
      <c r="X506" s="13">
        <f t="shared" si="535"/>
        <v>0</v>
      </c>
      <c r="Y506" s="13">
        <f t="shared" si="535"/>
        <v>0</v>
      </c>
      <c r="Z506" s="13" t="str">
        <f t="shared" si="529"/>
        <v>NA</v>
      </c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</row>
    <row r="507" ht="14.25" hidden="1" customHeight="1">
      <c r="A507" s="13" t="s">
        <v>46</v>
      </c>
      <c r="B507" s="13" t="s">
        <v>47</v>
      </c>
      <c r="C507" s="13" t="s">
        <v>407</v>
      </c>
      <c r="D507" s="13"/>
      <c r="E507" s="13" t="str">
        <f t="shared" si="2"/>
        <v>HUNT,F3,,NA</v>
      </c>
      <c r="F507" s="13"/>
      <c r="G507" s="13" t="s">
        <v>111</v>
      </c>
      <c r="H507" s="13" t="s">
        <v>75</v>
      </c>
      <c r="I507" s="13"/>
      <c r="J507" s="13"/>
      <c r="K507" s="15"/>
      <c r="L507" s="15"/>
      <c r="M507" s="16"/>
      <c r="N507" s="16"/>
      <c r="O507" s="17"/>
      <c r="P507" s="17"/>
      <c r="Q507" s="13">
        <f t="shared" si="527"/>
        <v>0</v>
      </c>
      <c r="R507" s="13"/>
      <c r="S507" s="13"/>
      <c r="T507" s="13">
        <f t="shared" ref="T507:Y507" si="536">IF(ISBLANK(K507)=TRUE,0,1)</f>
        <v>0</v>
      </c>
      <c r="U507" s="13">
        <f t="shared" si="536"/>
        <v>0</v>
      </c>
      <c r="V507" s="13">
        <f t="shared" si="536"/>
        <v>0</v>
      </c>
      <c r="W507" s="13">
        <f t="shared" si="536"/>
        <v>0</v>
      </c>
      <c r="X507" s="13">
        <f t="shared" si="536"/>
        <v>0</v>
      </c>
      <c r="Y507" s="13">
        <f t="shared" si="536"/>
        <v>0</v>
      </c>
      <c r="Z507" s="13" t="str">
        <f t="shared" si="529"/>
        <v>NA</v>
      </c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</row>
    <row r="508" ht="14.25" hidden="1" customHeight="1">
      <c r="A508" s="13" t="s">
        <v>46</v>
      </c>
      <c r="B508" s="13" t="s">
        <v>47</v>
      </c>
      <c r="C508" s="13" t="s">
        <v>408</v>
      </c>
      <c r="D508" s="13"/>
      <c r="E508" s="13" t="str">
        <f t="shared" si="2"/>
        <v>HUNT,F32,,1</v>
      </c>
      <c r="F508" s="13"/>
      <c r="G508" s="13" t="s">
        <v>111</v>
      </c>
      <c r="H508" s="13" t="s">
        <v>75</v>
      </c>
      <c r="I508" s="13"/>
      <c r="J508" s="13"/>
      <c r="K508" s="15"/>
      <c r="L508" s="15"/>
      <c r="M508" s="16"/>
      <c r="N508" s="16"/>
      <c r="O508" s="17">
        <v>1.0</v>
      </c>
      <c r="P508" s="17">
        <v>1.0</v>
      </c>
      <c r="Q508" s="13"/>
      <c r="R508" s="13"/>
      <c r="S508" s="13"/>
      <c r="T508" s="13">
        <f t="shared" ref="T508:Y508" si="537">IF(ISBLANK(K508)=TRUE,0,1)</f>
        <v>0</v>
      </c>
      <c r="U508" s="13">
        <f t="shared" si="537"/>
        <v>0</v>
      </c>
      <c r="V508" s="13">
        <f t="shared" si="537"/>
        <v>0</v>
      </c>
      <c r="W508" s="13">
        <f t="shared" si="537"/>
        <v>0</v>
      </c>
      <c r="X508" s="13">
        <f t="shared" si="537"/>
        <v>1</v>
      </c>
      <c r="Y508" s="13">
        <f t="shared" si="537"/>
        <v>1</v>
      </c>
      <c r="Z508" s="13">
        <f t="shared" si="529"/>
        <v>1</v>
      </c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</row>
    <row r="509" ht="14.25" hidden="1" customHeight="1">
      <c r="A509" s="13" t="s">
        <v>46</v>
      </c>
      <c r="B509" s="13" t="s">
        <v>47</v>
      </c>
      <c r="C509" s="13" t="s">
        <v>409</v>
      </c>
      <c r="D509" s="13"/>
      <c r="E509" s="13" t="str">
        <f t="shared" si="2"/>
        <v>HUNT,F33,,1</v>
      </c>
      <c r="F509" s="13"/>
      <c r="G509" s="13" t="s">
        <v>111</v>
      </c>
      <c r="H509" s="13" t="s">
        <v>75</v>
      </c>
      <c r="I509" s="13"/>
      <c r="J509" s="13"/>
      <c r="K509" s="15"/>
      <c r="L509" s="15"/>
      <c r="M509" s="16"/>
      <c r="N509" s="16"/>
      <c r="O509" s="17">
        <v>1.0</v>
      </c>
      <c r="P509" s="17">
        <v>1.0</v>
      </c>
      <c r="Q509" s="13"/>
      <c r="R509" s="29">
        <v>45007.0</v>
      </c>
      <c r="S509" s="13"/>
      <c r="T509" s="13">
        <f t="shared" ref="T509:Y509" si="538">IF(ISBLANK(K509)=TRUE,0,1)</f>
        <v>0</v>
      </c>
      <c r="U509" s="13">
        <f t="shared" si="538"/>
        <v>0</v>
      </c>
      <c r="V509" s="13">
        <f t="shared" si="538"/>
        <v>0</v>
      </c>
      <c r="W509" s="13">
        <f t="shared" si="538"/>
        <v>0</v>
      </c>
      <c r="X509" s="13">
        <f t="shared" si="538"/>
        <v>1</v>
      </c>
      <c r="Y509" s="13">
        <f t="shared" si="538"/>
        <v>1</v>
      </c>
      <c r="Z509" s="13">
        <f t="shared" si="529"/>
        <v>1</v>
      </c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</row>
    <row r="510" ht="14.25" hidden="1" customHeight="1">
      <c r="A510" s="13" t="s">
        <v>46</v>
      </c>
      <c r="B510" s="13" t="s">
        <v>47</v>
      </c>
      <c r="C510" s="13" t="s">
        <v>410</v>
      </c>
      <c r="D510" s="13"/>
      <c r="E510" s="13" t="str">
        <f t="shared" si="2"/>
        <v>HUNT,F34,,1</v>
      </c>
      <c r="F510" s="13"/>
      <c r="G510" s="13" t="s">
        <v>111</v>
      </c>
      <c r="H510" s="13" t="s">
        <v>75</v>
      </c>
      <c r="I510" s="13"/>
      <c r="J510" s="13"/>
      <c r="K510" s="15"/>
      <c r="L510" s="15"/>
      <c r="M510" s="16"/>
      <c r="N510" s="16"/>
      <c r="O510" s="17">
        <v>1.0</v>
      </c>
      <c r="P510" s="17">
        <v>1.0</v>
      </c>
      <c r="Q510" s="13"/>
      <c r="R510" s="29">
        <v>45007.0</v>
      </c>
      <c r="S510" s="13"/>
      <c r="T510" s="13">
        <f t="shared" ref="T510:Y510" si="539">IF(ISBLANK(K510)=TRUE,0,1)</f>
        <v>0</v>
      </c>
      <c r="U510" s="13">
        <f t="shared" si="539"/>
        <v>0</v>
      </c>
      <c r="V510" s="13">
        <f t="shared" si="539"/>
        <v>0</v>
      </c>
      <c r="W510" s="13">
        <f t="shared" si="539"/>
        <v>0</v>
      </c>
      <c r="X510" s="13">
        <f t="shared" si="539"/>
        <v>1</v>
      </c>
      <c r="Y510" s="13">
        <f t="shared" si="539"/>
        <v>1</v>
      </c>
      <c r="Z510" s="13">
        <f t="shared" si="529"/>
        <v>1</v>
      </c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</row>
    <row r="511" ht="14.25" hidden="1" customHeight="1">
      <c r="A511" s="13" t="s">
        <v>46</v>
      </c>
      <c r="B511" s="13" t="s">
        <v>47</v>
      </c>
      <c r="C511" s="13" t="s">
        <v>411</v>
      </c>
      <c r="D511" s="13"/>
      <c r="E511" s="13" t="str">
        <f t="shared" si="2"/>
        <v>HUNT,F37,,0</v>
      </c>
      <c r="F511" s="13"/>
      <c r="G511" s="13" t="s">
        <v>111</v>
      </c>
      <c r="H511" s="13" t="s">
        <v>75</v>
      </c>
      <c r="I511" s="13"/>
      <c r="J511" s="13"/>
      <c r="K511" s="15"/>
      <c r="L511" s="15"/>
      <c r="M511" s="16"/>
      <c r="N511" s="16"/>
      <c r="O511" s="17">
        <v>0.0</v>
      </c>
      <c r="P511" s="17">
        <v>0.0</v>
      </c>
      <c r="Q511" s="13"/>
      <c r="R511" s="29">
        <v>45007.0</v>
      </c>
      <c r="S511" s="13"/>
      <c r="T511" s="13">
        <f t="shared" ref="T511:Y511" si="540">IF(ISBLANK(K511)=TRUE,0,1)</f>
        <v>0</v>
      </c>
      <c r="U511" s="13">
        <f t="shared" si="540"/>
        <v>0</v>
      </c>
      <c r="V511" s="13">
        <f t="shared" si="540"/>
        <v>0</v>
      </c>
      <c r="W511" s="13">
        <f t="shared" si="540"/>
        <v>0</v>
      </c>
      <c r="X511" s="13">
        <f t="shared" si="540"/>
        <v>1</v>
      </c>
      <c r="Y511" s="13">
        <f t="shared" si="540"/>
        <v>1</v>
      </c>
      <c r="Z511" s="13">
        <f t="shared" si="529"/>
        <v>0</v>
      </c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</row>
    <row r="512" ht="14.25" hidden="1" customHeight="1">
      <c r="A512" s="13" t="s">
        <v>46</v>
      </c>
      <c r="B512" s="13" t="s">
        <v>47</v>
      </c>
      <c r="C512" s="13" t="s">
        <v>412</v>
      </c>
      <c r="D512" s="13"/>
      <c r="E512" s="13" t="str">
        <f t="shared" si="2"/>
        <v>HUNT,F38,,0</v>
      </c>
      <c r="F512" s="13"/>
      <c r="G512" s="13" t="s">
        <v>111</v>
      </c>
      <c r="H512" s="13" t="s">
        <v>75</v>
      </c>
      <c r="I512" s="13"/>
      <c r="J512" s="13"/>
      <c r="K512" s="15"/>
      <c r="L512" s="15"/>
      <c r="M512" s="16"/>
      <c r="N512" s="16"/>
      <c r="O512" s="17">
        <v>0.0</v>
      </c>
      <c r="P512" s="17">
        <v>0.0</v>
      </c>
      <c r="Q512" s="13"/>
      <c r="R512" s="29">
        <v>45007.0</v>
      </c>
      <c r="S512" s="13"/>
      <c r="T512" s="13">
        <f t="shared" ref="T512:Y512" si="541">IF(ISBLANK(K512)=TRUE,0,1)</f>
        <v>0</v>
      </c>
      <c r="U512" s="13">
        <f t="shared" si="541"/>
        <v>0</v>
      </c>
      <c r="V512" s="13">
        <f t="shared" si="541"/>
        <v>0</v>
      </c>
      <c r="W512" s="13">
        <f t="shared" si="541"/>
        <v>0</v>
      </c>
      <c r="X512" s="13">
        <f t="shared" si="541"/>
        <v>1</v>
      </c>
      <c r="Y512" s="13">
        <f t="shared" si="541"/>
        <v>1</v>
      </c>
      <c r="Z512" s="13">
        <f t="shared" si="529"/>
        <v>0</v>
      </c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</row>
    <row r="513" ht="14.25" hidden="1" customHeight="1">
      <c r="A513" s="13" t="s">
        <v>46</v>
      </c>
      <c r="B513" s="13" t="s">
        <v>47</v>
      </c>
      <c r="C513" s="13" t="s">
        <v>413</v>
      </c>
      <c r="D513" s="13"/>
      <c r="E513" s="13" t="str">
        <f t="shared" si="2"/>
        <v>HUNT,F39,,1</v>
      </c>
      <c r="F513" s="13"/>
      <c r="G513" s="13" t="s">
        <v>111</v>
      </c>
      <c r="H513" s="13" t="s">
        <v>75</v>
      </c>
      <c r="I513" s="13"/>
      <c r="J513" s="13"/>
      <c r="K513" s="15"/>
      <c r="L513" s="15"/>
      <c r="M513" s="16"/>
      <c r="N513" s="16"/>
      <c r="O513" s="17">
        <v>1.0</v>
      </c>
      <c r="P513" s="17">
        <v>1.0</v>
      </c>
      <c r="Q513" s="13"/>
      <c r="R513" s="29">
        <v>45007.0</v>
      </c>
      <c r="S513" s="13"/>
      <c r="T513" s="13">
        <f t="shared" ref="T513:Y513" si="542">IF(ISBLANK(K513)=TRUE,0,1)</f>
        <v>0</v>
      </c>
      <c r="U513" s="13">
        <f t="shared" si="542"/>
        <v>0</v>
      </c>
      <c r="V513" s="13">
        <f t="shared" si="542"/>
        <v>0</v>
      </c>
      <c r="W513" s="13">
        <f t="shared" si="542"/>
        <v>0</v>
      </c>
      <c r="X513" s="13">
        <f t="shared" si="542"/>
        <v>1</v>
      </c>
      <c r="Y513" s="13">
        <f t="shared" si="542"/>
        <v>1</v>
      </c>
      <c r="Z513" s="13">
        <f t="shared" si="529"/>
        <v>1</v>
      </c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</row>
    <row r="514" ht="14.25" hidden="1" customHeight="1">
      <c r="A514" s="13" t="s">
        <v>46</v>
      </c>
      <c r="B514" s="13" t="s">
        <v>47</v>
      </c>
      <c r="C514" s="13" t="s">
        <v>414</v>
      </c>
      <c r="D514" s="13" t="s">
        <v>174</v>
      </c>
      <c r="E514" s="13" t="str">
        <f t="shared" si="2"/>
        <v>HUNT,F4,AA,NA</v>
      </c>
      <c r="F514" s="13"/>
      <c r="G514" s="13" t="s">
        <v>111</v>
      </c>
      <c r="H514" s="13" t="s">
        <v>75</v>
      </c>
      <c r="I514" s="13"/>
      <c r="J514" s="13"/>
      <c r="K514" s="15"/>
      <c r="L514" s="15"/>
      <c r="M514" s="16"/>
      <c r="N514" s="16"/>
      <c r="O514" s="17"/>
      <c r="P514" s="17"/>
      <c r="Q514" s="13">
        <f>K513+L513+M513+N513+O513+P513/6</f>
        <v>1.166666667</v>
      </c>
      <c r="R514" s="14">
        <v>44974.0</v>
      </c>
      <c r="S514" s="13"/>
      <c r="T514" s="13">
        <f t="shared" ref="T514:Y514" si="543">IF(ISBLANK(K514)=TRUE,0,1)</f>
        <v>0</v>
      </c>
      <c r="U514" s="13">
        <f t="shared" si="543"/>
        <v>0</v>
      </c>
      <c r="V514" s="13">
        <f t="shared" si="543"/>
        <v>0</v>
      </c>
      <c r="W514" s="13">
        <f t="shared" si="543"/>
        <v>0</v>
      </c>
      <c r="X514" s="13">
        <f t="shared" si="543"/>
        <v>0</v>
      </c>
      <c r="Y514" s="13">
        <f t="shared" si="543"/>
        <v>0</v>
      </c>
      <c r="Z514" s="13" t="str">
        <f t="shared" si="529"/>
        <v>NA</v>
      </c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</row>
    <row r="515" ht="14.25" hidden="1" customHeight="1">
      <c r="A515" s="13" t="s">
        <v>46</v>
      </c>
      <c r="B515" s="13" t="s">
        <v>47</v>
      </c>
      <c r="C515" s="13" t="s">
        <v>415</v>
      </c>
      <c r="D515" s="13"/>
      <c r="E515" s="13" t="str">
        <f t="shared" si="2"/>
        <v>HUNT,F40,,0</v>
      </c>
      <c r="F515" s="13"/>
      <c r="G515" s="13" t="s">
        <v>111</v>
      </c>
      <c r="H515" s="13" t="s">
        <v>75</v>
      </c>
      <c r="I515" s="13"/>
      <c r="J515" s="13"/>
      <c r="K515" s="15"/>
      <c r="L515" s="15"/>
      <c r="M515" s="16"/>
      <c r="N515" s="16"/>
      <c r="O515" s="17">
        <v>0.0</v>
      </c>
      <c r="P515" s="17">
        <v>0.0</v>
      </c>
      <c r="Q515" s="13"/>
      <c r="R515" s="29">
        <v>45007.0</v>
      </c>
      <c r="S515" s="13"/>
      <c r="T515" s="13">
        <f t="shared" ref="T515:Y515" si="544">IF(ISBLANK(K515)=TRUE,0,1)</f>
        <v>0</v>
      </c>
      <c r="U515" s="13">
        <f t="shared" si="544"/>
        <v>0</v>
      </c>
      <c r="V515" s="13">
        <f t="shared" si="544"/>
        <v>0</v>
      </c>
      <c r="W515" s="13">
        <f t="shared" si="544"/>
        <v>0</v>
      </c>
      <c r="X515" s="13">
        <f t="shared" si="544"/>
        <v>1</v>
      </c>
      <c r="Y515" s="13">
        <f t="shared" si="544"/>
        <v>1</v>
      </c>
      <c r="Z515" s="13">
        <f t="shared" si="529"/>
        <v>0</v>
      </c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</row>
    <row r="516" ht="14.25" hidden="1" customHeight="1">
      <c r="A516" s="13" t="s">
        <v>46</v>
      </c>
      <c r="B516" s="13" t="s">
        <v>47</v>
      </c>
      <c r="C516" s="13" t="s">
        <v>416</v>
      </c>
      <c r="D516" s="13"/>
      <c r="E516" s="13" t="str">
        <f t="shared" si="2"/>
        <v>HUNT,F41,,1</v>
      </c>
      <c r="F516" s="13"/>
      <c r="G516" s="13" t="s">
        <v>111</v>
      </c>
      <c r="H516" s="13" t="s">
        <v>75</v>
      </c>
      <c r="I516" s="13"/>
      <c r="J516" s="13"/>
      <c r="K516" s="15"/>
      <c r="L516" s="15"/>
      <c r="M516" s="16"/>
      <c r="N516" s="16"/>
      <c r="O516" s="17">
        <v>1.0</v>
      </c>
      <c r="P516" s="17">
        <v>1.0</v>
      </c>
      <c r="Q516" s="13"/>
      <c r="R516" s="29">
        <v>45007.0</v>
      </c>
      <c r="S516" s="13"/>
      <c r="T516" s="13">
        <f t="shared" ref="T516:Y516" si="545">IF(ISBLANK(K516)=TRUE,0,1)</f>
        <v>0</v>
      </c>
      <c r="U516" s="13">
        <f t="shared" si="545"/>
        <v>0</v>
      </c>
      <c r="V516" s="13">
        <f t="shared" si="545"/>
        <v>0</v>
      </c>
      <c r="W516" s="13">
        <f t="shared" si="545"/>
        <v>0</v>
      </c>
      <c r="X516" s="13">
        <f t="shared" si="545"/>
        <v>1</v>
      </c>
      <c r="Y516" s="13">
        <f t="shared" si="545"/>
        <v>1</v>
      </c>
      <c r="Z516" s="13">
        <f t="shared" si="529"/>
        <v>1</v>
      </c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</row>
    <row r="517" ht="14.25" hidden="1" customHeight="1">
      <c r="A517" s="13" t="s">
        <v>46</v>
      </c>
      <c r="B517" s="13" t="s">
        <v>47</v>
      </c>
      <c r="C517" s="13" t="s">
        <v>417</v>
      </c>
      <c r="D517" s="13"/>
      <c r="E517" s="13" t="str">
        <f t="shared" si="2"/>
        <v>HUNT,F42,,NA</v>
      </c>
      <c r="F517" s="13"/>
      <c r="G517" s="13" t="s">
        <v>111</v>
      </c>
      <c r="H517" s="13" t="s">
        <v>75</v>
      </c>
      <c r="I517" s="13"/>
      <c r="J517" s="13"/>
      <c r="K517" s="15"/>
      <c r="L517" s="15"/>
      <c r="M517" s="16"/>
      <c r="N517" s="16"/>
      <c r="O517" s="17"/>
      <c r="P517" s="17"/>
      <c r="Q517" s="13"/>
      <c r="R517" s="13"/>
      <c r="S517" s="13"/>
      <c r="T517" s="13">
        <f t="shared" ref="T517:Y517" si="546">IF(ISBLANK(K517)=TRUE,0,1)</f>
        <v>0</v>
      </c>
      <c r="U517" s="13">
        <f t="shared" si="546"/>
        <v>0</v>
      </c>
      <c r="V517" s="13">
        <f t="shared" si="546"/>
        <v>0</v>
      </c>
      <c r="W517" s="13">
        <f t="shared" si="546"/>
        <v>0</v>
      </c>
      <c r="X517" s="13">
        <f t="shared" si="546"/>
        <v>0</v>
      </c>
      <c r="Y517" s="13">
        <f t="shared" si="546"/>
        <v>0</v>
      </c>
      <c r="Z517" s="13" t="str">
        <f t="shared" si="529"/>
        <v>NA</v>
      </c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</row>
    <row r="518" ht="14.25" hidden="1" customHeight="1">
      <c r="A518" s="13" t="s">
        <v>46</v>
      </c>
      <c r="B518" s="13" t="s">
        <v>47</v>
      </c>
      <c r="C518" s="13" t="s">
        <v>418</v>
      </c>
      <c r="D518" s="13"/>
      <c r="E518" s="13" t="str">
        <f t="shared" si="2"/>
        <v>HUNT,F43,,NA</v>
      </c>
      <c r="F518" s="13"/>
      <c r="G518" s="13" t="s">
        <v>111</v>
      </c>
      <c r="H518" s="13" t="s">
        <v>75</v>
      </c>
      <c r="I518" s="13"/>
      <c r="J518" s="13"/>
      <c r="K518" s="15"/>
      <c r="L518" s="15"/>
      <c r="M518" s="16"/>
      <c r="N518" s="16"/>
      <c r="O518" s="17"/>
      <c r="P518" s="17"/>
      <c r="Q518" s="13"/>
      <c r="R518" s="13"/>
      <c r="S518" s="13"/>
      <c r="T518" s="13">
        <f t="shared" ref="T518:Y518" si="547">IF(ISBLANK(K518)=TRUE,0,1)</f>
        <v>0</v>
      </c>
      <c r="U518" s="13">
        <f t="shared" si="547"/>
        <v>0</v>
      </c>
      <c r="V518" s="13">
        <f t="shared" si="547"/>
        <v>0</v>
      </c>
      <c r="W518" s="13">
        <f t="shared" si="547"/>
        <v>0</v>
      </c>
      <c r="X518" s="13">
        <f t="shared" si="547"/>
        <v>0</v>
      </c>
      <c r="Y518" s="13">
        <f t="shared" si="547"/>
        <v>0</v>
      </c>
      <c r="Z518" s="13" t="str">
        <f t="shared" si="529"/>
        <v>NA</v>
      </c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</row>
    <row r="519" ht="14.25" hidden="1" customHeight="1">
      <c r="A519" s="13" t="s">
        <v>46</v>
      </c>
      <c r="B519" s="13" t="s">
        <v>47</v>
      </c>
      <c r="C519" s="13" t="s">
        <v>419</v>
      </c>
      <c r="D519" s="13"/>
      <c r="E519" s="13" t="str">
        <f t="shared" si="2"/>
        <v>HUNT,F44,,1</v>
      </c>
      <c r="F519" s="13"/>
      <c r="G519" s="13" t="s">
        <v>111</v>
      </c>
      <c r="H519" s="13" t="s">
        <v>75</v>
      </c>
      <c r="I519" s="13"/>
      <c r="J519" s="13"/>
      <c r="K519" s="15"/>
      <c r="L519" s="15"/>
      <c r="M519" s="16"/>
      <c r="N519" s="16"/>
      <c r="O519" s="17">
        <v>1.0</v>
      </c>
      <c r="P519" s="17">
        <v>1.0</v>
      </c>
      <c r="Q519" s="13"/>
      <c r="R519" s="29">
        <v>45007.0</v>
      </c>
      <c r="S519" s="13"/>
      <c r="T519" s="13">
        <f t="shared" ref="T519:Y519" si="548">IF(ISBLANK(K519)=TRUE,0,1)</f>
        <v>0</v>
      </c>
      <c r="U519" s="13">
        <f t="shared" si="548"/>
        <v>0</v>
      </c>
      <c r="V519" s="13">
        <f t="shared" si="548"/>
        <v>0</v>
      </c>
      <c r="W519" s="13">
        <f t="shared" si="548"/>
        <v>0</v>
      </c>
      <c r="X519" s="13">
        <f t="shared" si="548"/>
        <v>1</v>
      </c>
      <c r="Y519" s="13">
        <f t="shared" si="548"/>
        <v>1</v>
      </c>
      <c r="Z519" s="13">
        <f t="shared" si="529"/>
        <v>1</v>
      </c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</row>
    <row r="520" ht="14.25" hidden="1" customHeight="1">
      <c r="A520" s="13" t="s">
        <v>46</v>
      </c>
      <c r="B520" s="13" t="s">
        <v>47</v>
      </c>
      <c r="C520" s="13" t="s">
        <v>420</v>
      </c>
      <c r="D520" s="13"/>
      <c r="E520" s="13" t="str">
        <f t="shared" si="2"/>
        <v>HUNT,F45,,1</v>
      </c>
      <c r="F520" s="13"/>
      <c r="G520" s="13" t="s">
        <v>111</v>
      </c>
      <c r="H520" s="13" t="s">
        <v>75</v>
      </c>
      <c r="I520" s="13"/>
      <c r="J520" s="13"/>
      <c r="K520" s="15"/>
      <c r="L520" s="15"/>
      <c r="M520" s="16"/>
      <c r="N520" s="16"/>
      <c r="O520" s="17">
        <v>1.0</v>
      </c>
      <c r="P520" s="17">
        <v>1.0</v>
      </c>
      <c r="Q520" s="13"/>
      <c r="R520" s="29">
        <v>45007.0</v>
      </c>
      <c r="S520" s="13"/>
      <c r="T520" s="13">
        <f t="shared" ref="T520:Y520" si="549">IF(ISBLANK(K520)=TRUE,0,1)</f>
        <v>0</v>
      </c>
      <c r="U520" s="13">
        <f t="shared" si="549"/>
        <v>0</v>
      </c>
      <c r="V520" s="13">
        <f t="shared" si="549"/>
        <v>0</v>
      </c>
      <c r="W520" s="13">
        <f t="shared" si="549"/>
        <v>0</v>
      </c>
      <c r="X520" s="13">
        <f t="shared" si="549"/>
        <v>1</v>
      </c>
      <c r="Y520" s="13">
        <f t="shared" si="549"/>
        <v>1</v>
      </c>
      <c r="Z520" s="13">
        <f t="shared" si="529"/>
        <v>1</v>
      </c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</row>
    <row r="521" ht="14.25" hidden="1" customHeight="1">
      <c r="A521" s="13" t="s">
        <v>46</v>
      </c>
      <c r="B521" s="13" t="s">
        <v>47</v>
      </c>
      <c r="C521" s="13" t="s">
        <v>421</v>
      </c>
      <c r="D521" s="13"/>
      <c r="E521" s="13" t="str">
        <f t="shared" si="2"/>
        <v>HUNT,F46,,1</v>
      </c>
      <c r="F521" s="13"/>
      <c r="G521" s="13" t="s">
        <v>111</v>
      </c>
      <c r="H521" s="13" t="s">
        <v>75</v>
      </c>
      <c r="I521" s="13"/>
      <c r="J521" s="13"/>
      <c r="K521" s="15"/>
      <c r="L521" s="15"/>
      <c r="M521" s="16"/>
      <c r="N521" s="16"/>
      <c r="O521" s="17">
        <v>1.0</v>
      </c>
      <c r="P521" s="17">
        <v>1.0</v>
      </c>
      <c r="Q521" s="13"/>
      <c r="R521" s="29">
        <v>45007.0</v>
      </c>
      <c r="S521" s="13"/>
      <c r="T521" s="13">
        <f t="shared" ref="T521:Y521" si="550">IF(ISBLANK(K521)=TRUE,0,1)</f>
        <v>0</v>
      </c>
      <c r="U521" s="13">
        <f t="shared" si="550"/>
        <v>0</v>
      </c>
      <c r="V521" s="13">
        <f t="shared" si="550"/>
        <v>0</v>
      </c>
      <c r="W521" s="13">
        <f t="shared" si="550"/>
        <v>0</v>
      </c>
      <c r="X521" s="13">
        <f t="shared" si="550"/>
        <v>1</v>
      </c>
      <c r="Y521" s="13">
        <f t="shared" si="550"/>
        <v>1</v>
      </c>
      <c r="Z521" s="13">
        <f t="shared" si="529"/>
        <v>1</v>
      </c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</row>
    <row r="522" ht="14.25" hidden="1" customHeight="1">
      <c r="A522" s="13" t="s">
        <v>46</v>
      </c>
      <c r="B522" s="13" t="s">
        <v>47</v>
      </c>
      <c r="C522" s="13" t="s">
        <v>422</v>
      </c>
      <c r="D522" s="13"/>
      <c r="E522" s="13" t="str">
        <f t="shared" si="2"/>
        <v>HUNT,F47,,NA</v>
      </c>
      <c r="F522" s="13"/>
      <c r="G522" s="13" t="s">
        <v>111</v>
      </c>
      <c r="H522" s="13" t="s">
        <v>75</v>
      </c>
      <c r="I522" s="13"/>
      <c r="J522" s="13"/>
      <c r="K522" s="15"/>
      <c r="L522" s="15"/>
      <c r="M522" s="16"/>
      <c r="N522" s="16"/>
      <c r="O522" s="17"/>
      <c r="P522" s="17"/>
      <c r="Q522" s="13"/>
      <c r="R522" s="13"/>
      <c r="S522" s="13"/>
      <c r="T522" s="13">
        <f t="shared" ref="T522:Y522" si="551">IF(ISBLANK(K522)=TRUE,0,1)</f>
        <v>0</v>
      </c>
      <c r="U522" s="13">
        <f t="shared" si="551"/>
        <v>0</v>
      </c>
      <c r="V522" s="13">
        <f t="shared" si="551"/>
        <v>0</v>
      </c>
      <c r="W522" s="13">
        <f t="shared" si="551"/>
        <v>0</v>
      </c>
      <c r="X522" s="13">
        <f t="shared" si="551"/>
        <v>0</v>
      </c>
      <c r="Y522" s="13">
        <f t="shared" si="551"/>
        <v>0</v>
      </c>
      <c r="Z522" s="13" t="str">
        <f t="shared" si="529"/>
        <v>NA</v>
      </c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</row>
    <row r="523" ht="14.25" hidden="1" customHeight="1">
      <c r="A523" s="13" t="s">
        <v>46</v>
      </c>
      <c r="B523" s="13" t="s">
        <v>47</v>
      </c>
      <c r="C523" s="13" t="s">
        <v>423</v>
      </c>
      <c r="D523" s="13"/>
      <c r="E523" s="13" t="str">
        <f t="shared" si="2"/>
        <v>HUNT,F48,,NA</v>
      </c>
      <c r="F523" s="13"/>
      <c r="G523" s="13" t="s">
        <v>111</v>
      </c>
      <c r="H523" s="13" t="s">
        <v>75</v>
      </c>
      <c r="I523" s="13"/>
      <c r="J523" s="13"/>
      <c r="K523" s="15"/>
      <c r="L523" s="15"/>
      <c r="M523" s="16"/>
      <c r="N523" s="16"/>
      <c r="O523" s="17"/>
      <c r="P523" s="17"/>
      <c r="Q523" s="13"/>
      <c r="R523" s="13"/>
      <c r="S523" s="13"/>
      <c r="T523" s="13">
        <f t="shared" ref="T523:Y523" si="552">IF(ISBLANK(K523)=TRUE,0,1)</f>
        <v>0</v>
      </c>
      <c r="U523" s="13">
        <f t="shared" si="552"/>
        <v>0</v>
      </c>
      <c r="V523" s="13">
        <f t="shared" si="552"/>
        <v>0</v>
      </c>
      <c r="W523" s="13">
        <f t="shared" si="552"/>
        <v>0</v>
      </c>
      <c r="X523" s="13">
        <f t="shared" si="552"/>
        <v>0</v>
      </c>
      <c r="Y523" s="13">
        <f t="shared" si="552"/>
        <v>0</v>
      </c>
      <c r="Z523" s="13" t="str">
        <f t="shared" si="529"/>
        <v>NA</v>
      </c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</row>
    <row r="524" ht="14.25" hidden="1" customHeight="1">
      <c r="A524" s="13" t="s">
        <v>46</v>
      </c>
      <c r="B524" s="13" t="s">
        <v>47</v>
      </c>
      <c r="C524" s="13" t="s">
        <v>424</v>
      </c>
      <c r="D524" s="13"/>
      <c r="E524" s="13" t="str">
        <f t="shared" si="2"/>
        <v>HUNT,F49,,NA</v>
      </c>
      <c r="F524" s="13"/>
      <c r="G524" s="13" t="s">
        <v>111</v>
      </c>
      <c r="H524" s="13" t="s">
        <v>75</v>
      </c>
      <c r="I524" s="13"/>
      <c r="J524" s="13"/>
      <c r="K524" s="15"/>
      <c r="L524" s="15"/>
      <c r="M524" s="16"/>
      <c r="N524" s="16"/>
      <c r="O524" s="17"/>
      <c r="P524" s="17"/>
      <c r="Q524" s="13"/>
      <c r="R524" s="13"/>
      <c r="S524" s="13"/>
      <c r="T524" s="13">
        <f t="shared" ref="T524:Y524" si="553">IF(ISBLANK(K524)=TRUE,0,1)</f>
        <v>0</v>
      </c>
      <c r="U524" s="13">
        <f t="shared" si="553"/>
        <v>0</v>
      </c>
      <c r="V524" s="13">
        <f t="shared" si="553"/>
        <v>0</v>
      </c>
      <c r="W524" s="13">
        <f t="shared" si="553"/>
        <v>0</v>
      </c>
      <c r="X524" s="13">
        <f t="shared" si="553"/>
        <v>0</v>
      </c>
      <c r="Y524" s="13">
        <f t="shared" si="553"/>
        <v>0</v>
      </c>
      <c r="Z524" s="13" t="str">
        <f t="shared" si="529"/>
        <v>NA</v>
      </c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</row>
    <row r="525" ht="14.25" hidden="1" customHeight="1">
      <c r="A525" s="13" t="s">
        <v>46</v>
      </c>
      <c r="B525" s="13" t="s">
        <v>47</v>
      </c>
      <c r="C525" s="13" t="s">
        <v>425</v>
      </c>
      <c r="D525" s="13"/>
      <c r="E525" s="13" t="str">
        <f t="shared" si="2"/>
        <v>HUNT,F50,,0</v>
      </c>
      <c r="F525" s="13"/>
      <c r="G525" s="13" t="s">
        <v>111</v>
      </c>
      <c r="H525" s="13" t="s">
        <v>75</v>
      </c>
      <c r="I525" s="13"/>
      <c r="J525" s="13"/>
      <c r="K525" s="15"/>
      <c r="L525" s="15"/>
      <c r="M525" s="16"/>
      <c r="N525" s="16"/>
      <c r="O525" s="17">
        <v>0.0</v>
      </c>
      <c r="P525" s="17">
        <v>0.0</v>
      </c>
      <c r="Q525" s="13"/>
      <c r="R525" s="29">
        <v>45007.0</v>
      </c>
      <c r="S525" s="13"/>
      <c r="T525" s="13">
        <f t="shared" ref="T525:Y525" si="554">IF(ISBLANK(K525)=TRUE,0,1)</f>
        <v>0</v>
      </c>
      <c r="U525" s="13">
        <f t="shared" si="554"/>
        <v>0</v>
      </c>
      <c r="V525" s="13">
        <f t="shared" si="554"/>
        <v>0</v>
      </c>
      <c r="W525" s="13">
        <f t="shared" si="554"/>
        <v>0</v>
      </c>
      <c r="X525" s="13">
        <f t="shared" si="554"/>
        <v>1</v>
      </c>
      <c r="Y525" s="13">
        <f t="shared" si="554"/>
        <v>1</v>
      </c>
      <c r="Z525" s="13">
        <f t="shared" si="529"/>
        <v>0</v>
      </c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</row>
    <row r="526" ht="14.25" hidden="1" customHeight="1">
      <c r="A526" s="13" t="s">
        <v>46</v>
      </c>
      <c r="B526" s="13" t="s">
        <v>47</v>
      </c>
      <c r="C526" s="13" t="s">
        <v>426</v>
      </c>
      <c r="D526" s="13"/>
      <c r="E526" s="13" t="str">
        <f t="shared" si="2"/>
        <v>HUNT,F51,,0</v>
      </c>
      <c r="F526" s="13"/>
      <c r="G526" s="13" t="s">
        <v>111</v>
      </c>
      <c r="H526" s="13" t="s">
        <v>75</v>
      </c>
      <c r="I526" s="13"/>
      <c r="J526" s="13"/>
      <c r="K526" s="15"/>
      <c r="L526" s="15"/>
      <c r="M526" s="16"/>
      <c r="N526" s="16"/>
      <c r="O526" s="17">
        <v>0.0</v>
      </c>
      <c r="P526" s="17">
        <v>0.0</v>
      </c>
      <c r="Q526" s="13"/>
      <c r="R526" s="29">
        <v>45007.0</v>
      </c>
      <c r="S526" s="13"/>
      <c r="T526" s="13">
        <f t="shared" ref="T526:Y526" si="555">IF(ISBLANK(K526)=TRUE,0,1)</f>
        <v>0</v>
      </c>
      <c r="U526" s="13">
        <f t="shared" si="555"/>
        <v>0</v>
      </c>
      <c r="V526" s="13">
        <f t="shared" si="555"/>
        <v>0</v>
      </c>
      <c r="W526" s="13">
        <f t="shared" si="555"/>
        <v>0</v>
      </c>
      <c r="X526" s="13">
        <f t="shared" si="555"/>
        <v>1</v>
      </c>
      <c r="Y526" s="13">
        <f t="shared" si="555"/>
        <v>1</v>
      </c>
      <c r="Z526" s="13">
        <f t="shared" si="529"/>
        <v>0</v>
      </c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</row>
    <row r="527" ht="14.25" hidden="1" customHeight="1">
      <c r="A527" s="13" t="s">
        <v>46</v>
      </c>
      <c r="B527" s="13" t="s">
        <v>47</v>
      </c>
      <c r="C527" s="13" t="s">
        <v>427</v>
      </c>
      <c r="D527" s="13"/>
      <c r="E527" s="13" t="str">
        <f t="shared" si="2"/>
        <v>HUNT,F52,,0</v>
      </c>
      <c r="F527" s="13"/>
      <c r="G527" s="13" t="s">
        <v>111</v>
      </c>
      <c r="H527" s="13" t="s">
        <v>75</v>
      </c>
      <c r="I527" s="13"/>
      <c r="J527" s="13"/>
      <c r="K527" s="15"/>
      <c r="L527" s="15"/>
      <c r="M527" s="16"/>
      <c r="N527" s="16"/>
      <c r="O527" s="17">
        <v>0.0</v>
      </c>
      <c r="P527" s="17">
        <v>0.0</v>
      </c>
      <c r="Q527" s="13"/>
      <c r="R527" s="29">
        <v>45007.0</v>
      </c>
      <c r="S527" s="13"/>
      <c r="T527" s="13">
        <f t="shared" ref="T527:Y527" si="556">IF(ISBLANK(K527)=TRUE,0,1)</f>
        <v>0</v>
      </c>
      <c r="U527" s="13">
        <f t="shared" si="556"/>
        <v>0</v>
      </c>
      <c r="V527" s="13">
        <f t="shared" si="556"/>
        <v>0</v>
      </c>
      <c r="W527" s="13">
        <f t="shared" si="556"/>
        <v>0</v>
      </c>
      <c r="X527" s="13">
        <f t="shared" si="556"/>
        <v>1</v>
      </c>
      <c r="Y527" s="13">
        <f t="shared" si="556"/>
        <v>1</v>
      </c>
      <c r="Z527" s="13">
        <f t="shared" si="529"/>
        <v>0</v>
      </c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</row>
    <row r="528" ht="14.25" hidden="1" customHeight="1">
      <c r="A528" s="13" t="s">
        <v>46</v>
      </c>
      <c r="B528" s="13" t="s">
        <v>47</v>
      </c>
      <c r="C528" s="13" t="s">
        <v>428</v>
      </c>
      <c r="D528" s="13"/>
      <c r="E528" s="13" t="str">
        <f t="shared" si="2"/>
        <v>HUNT,F53,,0</v>
      </c>
      <c r="F528" s="13"/>
      <c r="G528" s="13" t="s">
        <v>111</v>
      </c>
      <c r="H528" s="13" t="s">
        <v>75</v>
      </c>
      <c r="I528" s="13"/>
      <c r="J528" s="13"/>
      <c r="K528" s="15">
        <v>0.0</v>
      </c>
      <c r="L528" s="15">
        <v>0.0</v>
      </c>
      <c r="M528" s="16"/>
      <c r="N528" s="16"/>
      <c r="O528" s="17"/>
      <c r="P528" s="17"/>
      <c r="Q528" s="13"/>
      <c r="R528" s="13"/>
      <c r="S528" s="13"/>
      <c r="T528" s="13">
        <f t="shared" ref="T528:Y528" si="557">IF(ISBLANK(K528)=TRUE,0,1)</f>
        <v>1</v>
      </c>
      <c r="U528" s="13">
        <f t="shared" si="557"/>
        <v>1</v>
      </c>
      <c r="V528" s="13">
        <f t="shared" si="557"/>
        <v>0</v>
      </c>
      <c r="W528" s="13">
        <f t="shared" si="557"/>
        <v>0</v>
      </c>
      <c r="X528" s="13">
        <f t="shared" si="557"/>
        <v>0</v>
      </c>
      <c r="Y528" s="13">
        <f t="shared" si="557"/>
        <v>0</v>
      </c>
      <c r="Z528" s="13">
        <f t="shared" si="529"/>
        <v>0</v>
      </c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</row>
    <row r="529" ht="14.25" hidden="1" customHeight="1">
      <c r="A529" s="13" t="s">
        <v>46</v>
      </c>
      <c r="B529" s="13" t="s">
        <v>47</v>
      </c>
      <c r="C529" s="13" t="s">
        <v>429</v>
      </c>
      <c r="D529" s="13"/>
      <c r="E529" s="13" t="str">
        <f t="shared" si="2"/>
        <v>HUNT,F54,,NA</v>
      </c>
      <c r="F529" s="13"/>
      <c r="G529" s="13" t="s">
        <v>111</v>
      </c>
      <c r="H529" s="13" t="s">
        <v>75</v>
      </c>
      <c r="I529" s="13"/>
      <c r="J529" s="13"/>
      <c r="K529" s="15"/>
      <c r="L529" s="15"/>
      <c r="M529" s="16"/>
      <c r="N529" s="16"/>
      <c r="O529" s="17"/>
      <c r="P529" s="17"/>
      <c r="Q529" s="13"/>
      <c r="R529" s="13"/>
      <c r="S529" s="13"/>
      <c r="T529" s="13">
        <f t="shared" ref="T529:Y529" si="558">IF(ISBLANK(K529)=TRUE,0,1)</f>
        <v>0</v>
      </c>
      <c r="U529" s="13">
        <f t="shared" si="558"/>
        <v>0</v>
      </c>
      <c r="V529" s="13">
        <f t="shared" si="558"/>
        <v>0</v>
      </c>
      <c r="W529" s="13">
        <f t="shared" si="558"/>
        <v>0</v>
      </c>
      <c r="X529" s="13">
        <f t="shared" si="558"/>
        <v>0</v>
      </c>
      <c r="Y529" s="13">
        <f t="shared" si="558"/>
        <v>0</v>
      </c>
      <c r="Z529" s="13" t="str">
        <f t="shared" si="529"/>
        <v>NA</v>
      </c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</row>
    <row r="530" ht="14.25" hidden="1" customHeight="1">
      <c r="A530" s="13" t="s">
        <v>46</v>
      </c>
      <c r="B530" s="13" t="s">
        <v>47</v>
      </c>
      <c r="C530" s="13" t="s">
        <v>430</v>
      </c>
      <c r="D530" s="13"/>
      <c r="E530" s="13" t="str">
        <f t="shared" si="2"/>
        <v>HUNT,F55,,NA</v>
      </c>
      <c r="F530" s="13"/>
      <c r="G530" s="13" t="s">
        <v>111</v>
      </c>
      <c r="H530" s="13" t="s">
        <v>75</v>
      </c>
      <c r="I530" s="13"/>
      <c r="J530" s="13"/>
      <c r="K530" s="15"/>
      <c r="L530" s="15"/>
      <c r="M530" s="16"/>
      <c r="N530" s="16"/>
      <c r="O530" s="17"/>
      <c r="P530" s="17"/>
      <c r="Q530" s="13"/>
      <c r="R530" s="13"/>
      <c r="S530" s="13"/>
      <c r="T530" s="13">
        <f t="shared" ref="T530:Y530" si="559">IF(ISBLANK(K530)=TRUE,0,1)</f>
        <v>0</v>
      </c>
      <c r="U530" s="13">
        <f t="shared" si="559"/>
        <v>0</v>
      </c>
      <c r="V530" s="13">
        <f t="shared" si="559"/>
        <v>0</v>
      </c>
      <c r="W530" s="13">
        <f t="shared" si="559"/>
        <v>0</v>
      </c>
      <c r="X530" s="13">
        <f t="shared" si="559"/>
        <v>0</v>
      </c>
      <c r="Y530" s="13">
        <f t="shared" si="559"/>
        <v>0</v>
      </c>
      <c r="Z530" s="13" t="str">
        <f t="shared" si="529"/>
        <v>NA</v>
      </c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</row>
    <row r="531" ht="14.25" hidden="1" customHeight="1">
      <c r="A531" s="13" t="s">
        <v>46</v>
      </c>
      <c r="B531" s="13" t="s">
        <v>47</v>
      </c>
      <c r="C531" s="13" t="s">
        <v>431</v>
      </c>
      <c r="D531" s="13" t="s">
        <v>174</v>
      </c>
      <c r="E531" s="13" t="str">
        <f t="shared" si="2"/>
        <v>HUNT,F9,AA,0</v>
      </c>
      <c r="F531" s="13"/>
      <c r="G531" s="13" t="s">
        <v>111</v>
      </c>
      <c r="H531" s="13" t="s">
        <v>75</v>
      </c>
      <c r="I531" s="13"/>
      <c r="J531" s="13"/>
      <c r="K531" s="15">
        <v>0.0</v>
      </c>
      <c r="L531" s="15">
        <v>0.0</v>
      </c>
      <c r="M531" s="16"/>
      <c r="N531" s="16"/>
      <c r="O531" s="17"/>
      <c r="P531" s="17"/>
      <c r="Q531" s="13">
        <f>K530+L530+M530+N530+O530+P530/6</f>
        <v>0</v>
      </c>
      <c r="R531" s="13"/>
      <c r="S531" s="13"/>
      <c r="T531" s="13">
        <f t="shared" ref="T531:Y531" si="560">IF(ISBLANK(K531)=TRUE,0,1)</f>
        <v>1</v>
      </c>
      <c r="U531" s="13">
        <f t="shared" si="560"/>
        <v>1</v>
      </c>
      <c r="V531" s="13">
        <f t="shared" si="560"/>
        <v>0</v>
      </c>
      <c r="W531" s="13">
        <f t="shared" si="560"/>
        <v>0</v>
      </c>
      <c r="X531" s="13">
        <f t="shared" si="560"/>
        <v>0</v>
      </c>
      <c r="Y531" s="13">
        <f t="shared" si="560"/>
        <v>0</v>
      </c>
      <c r="Z531" s="13">
        <f t="shared" si="529"/>
        <v>0</v>
      </c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</row>
    <row r="532" ht="14.25" hidden="1" customHeight="1">
      <c r="A532" s="13" t="s">
        <v>46</v>
      </c>
      <c r="B532" s="13" t="s">
        <v>55</v>
      </c>
      <c r="C532" s="13" t="s">
        <v>432</v>
      </c>
      <c r="D532" s="13" t="s">
        <v>192</v>
      </c>
      <c r="E532" s="13" t="str">
        <f t="shared" si="2"/>
        <v>JLP,109-19A-25,AS,1</v>
      </c>
      <c r="F532" s="13"/>
      <c r="G532" s="26" t="s">
        <v>74</v>
      </c>
      <c r="H532" s="13" t="s">
        <v>107</v>
      </c>
      <c r="I532" s="13"/>
      <c r="J532" s="13"/>
      <c r="K532" s="15">
        <v>1.0</v>
      </c>
      <c r="L532" s="15">
        <v>1.0</v>
      </c>
      <c r="M532" s="16"/>
      <c r="N532" s="16"/>
      <c r="O532" s="17"/>
      <c r="P532" s="17"/>
      <c r="Q532" s="13"/>
      <c r="R532" s="13"/>
      <c r="S532" s="13"/>
      <c r="T532" s="13">
        <f t="shared" ref="T532:Y532" si="561">IF(ISBLANK(K532)=TRUE,0,1)</f>
        <v>1</v>
      </c>
      <c r="U532" s="13">
        <f t="shared" si="561"/>
        <v>1</v>
      </c>
      <c r="V532" s="13">
        <f t="shared" si="561"/>
        <v>0</v>
      </c>
      <c r="W532" s="13">
        <f t="shared" si="561"/>
        <v>0</v>
      </c>
      <c r="X532" s="13">
        <f t="shared" si="561"/>
        <v>0</v>
      </c>
      <c r="Y532" s="13">
        <f t="shared" si="561"/>
        <v>0</v>
      </c>
      <c r="Z532" s="13">
        <f t="shared" si="529"/>
        <v>1</v>
      </c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</row>
    <row r="533" ht="14.25" hidden="1" customHeight="1">
      <c r="A533" s="13" t="s">
        <v>46</v>
      </c>
      <c r="B533" s="13" t="s">
        <v>55</v>
      </c>
      <c r="C533" s="13" t="s">
        <v>432</v>
      </c>
      <c r="D533" s="26" t="s">
        <v>196</v>
      </c>
      <c r="E533" s="13" t="str">
        <f t="shared" si="2"/>
        <v>JLP,109-19A-25,AW,1</v>
      </c>
      <c r="F533" s="13"/>
      <c r="G533" s="26" t="s">
        <v>74</v>
      </c>
      <c r="H533" s="13" t="s">
        <v>75</v>
      </c>
      <c r="I533" s="13"/>
      <c r="J533" s="13"/>
      <c r="K533" s="15">
        <v>1.0</v>
      </c>
      <c r="L533" s="15">
        <v>1.0</v>
      </c>
      <c r="M533" s="16"/>
      <c r="N533" s="16"/>
      <c r="O533" s="17"/>
      <c r="P533" s="17"/>
      <c r="Q533" s="13"/>
      <c r="R533" s="13"/>
      <c r="S533" s="13"/>
      <c r="T533" s="13">
        <f t="shared" ref="T533:Y533" si="562">IF(ISBLANK(K533)=TRUE,0,1)</f>
        <v>1</v>
      </c>
      <c r="U533" s="13">
        <f t="shared" si="562"/>
        <v>1</v>
      </c>
      <c r="V533" s="13">
        <f t="shared" si="562"/>
        <v>0</v>
      </c>
      <c r="W533" s="13">
        <f t="shared" si="562"/>
        <v>0</v>
      </c>
      <c r="X533" s="13">
        <f t="shared" si="562"/>
        <v>0</v>
      </c>
      <c r="Y533" s="13">
        <f t="shared" si="562"/>
        <v>0</v>
      </c>
      <c r="Z533" s="13">
        <f t="shared" si="529"/>
        <v>1</v>
      </c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</row>
    <row r="534" ht="14.25" hidden="1" customHeight="1">
      <c r="A534" s="13" t="s">
        <v>46</v>
      </c>
      <c r="B534" s="13" t="s">
        <v>55</v>
      </c>
      <c r="C534" s="13" t="s">
        <v>432</v>
      </c>
      <c r="D534" s="26" t="s">
        <v>197</v>
      </c>
      <c r="E534" s="13" t="str">
        <f t="shared" si="2"/>
        <v>JLP,109-19A-25,AX,1</v>
      </c>
      <c r="F534" s="13"/>
      <c r="G534" s="26" t="s">
        <v>74</v>
      </c>
      <c r="H534" s="13" t="s">
        <v>75</v>
      </c>
      <c r="I534" s="13"/>
      <c r="J534" s="13"/>
      <c r="K534" s="15">
        <v>1.0</v>
      </c>
      <c r="L534" s="15">
        <v>1.0</v>
      </c>
      <c r="M534" s="16"/>
      <c r="N534" s="16"/>
      <c r="O534" s="17"/>
      <c r="P534" s="17"/>
      <c r="Q534" s="13"/>
      <c r="R534" s="13"/>
      <c r="S534" s="13"/>
      <c r="T534" s="13">
        <f t="shared" ref="T534:Y534" si="563">IF(ISBLANK(K534)=TRUE,0,1)</f>
        <v>1</v>
      </c>
      <c r="U534" s="13">
        <f t="shared" si="563"/>
        <v>1</v>
      </c>
      <c r="V534" s="13">
        <f t="shared" si="563"/>
        <v>0</v>
      </c>
      <c r="W534" s="13">
        <f t="shared" si="563"/>
        <v>0</v>
      </c>
      <c r="X534" s="13">
        <f t="shared" si="563"/>
        <v>0</v>
      </c>
      <c r="Y534" s="13">
        <f t="shared" si="563"/>
        <v>0</v>
      </c>
      <c r="Z534" s="13">
        <f t="shared" si="529"/>
        <v>1</v>
      </c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</row>
    <row r="535" ht="14.25" hidden="1" customHeight="1">
      <c r="A535" s="13" t="s">
        <v>46</v>
      </c>
      <c r="B535" s="13" t="s">
        <v>55</v>
      </c>
      <c r="C535" s="13" t="s">
        <v>432</v>
      </c>
      <c r="D535" s="26" t="s">
        <v>433</v>
      </c>
      <c r="E535" s="13" t="str">
        <f t="shared" si="2"/>
        <v>JLP,109-19A-25,AY,1</v>
      </c>
      <c r="F535" s="13"/>
      <c r="G535" s="26" t="s">
        <v>74</v>
      </c>
      <c r="H535" s="13" t="s">
        <v>75</v>
      </c>
      <c r="I535" s="13"/>
      <c r="J535" s="13"/>
      <c r="K535" s="15">
        <v>1.0</v>
      </c>
      <c r="L535" s="15">
        <v>1.0</v>
      </c>
      <c r="M535" s="16"/>
      <c r="N535" s="16"/>
      <c r="O535" s="17"/>
      <c r="P535" s="17"/>
      <c r="Q535" s="13"/>
      <c r="R535" s="13"/>
      <c r="S535" s="13"/>
      <c r="T535" s="13">
        <f t="shared" ref="T535:Y535" si="564">IF(ISBLANK(K535)=TRUE,0,1)</f>
        <v>1</v>
      </c>
      <c r="U535" s="13">
        <f t="shared" si="564"/>
        <v>1</v>
      </c>
      <c r="V535" s="13">
        <f t="shared" si="564"/>
        <v>0</v>
      </c>
      <c r="W535" s="13">
        <f t="shared" si="564"/>
        <v>0</v>
      </c>
      <c r="X535" s="13">
        <f t="shared" si="564"/>
        <v>0</v>
      </c>
      <c r="Y535" s="13">
        <f t="shared" si="564"/>
        <v>0</v>
      </c>
      <c r="Z535" s="13">
        <f t="shared" si="529"/>
        <v>1</v>
      </c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</row>
    <row r="536" ht="14.25" hidden="1" customHeight="1">
      <c r="A536" s="13" t="s">
        <v>46</v>
      </c>
      <c r="B536" s="13" t="s">
        <v>55</v>
      </c>
      <c r="C536" s="13" t="s">
        <v>432</v>
      </c>
      <c r="D536" s="26" t="s">
        <v>434</v>
      </c>
      <c r="E536" s="13" t="str">
        <f t="shared" si="2"/>
        <v>JLP,109-19A-25,AZ,1</v>
      </c>
      <c r="F536" s="13"/>
      <c r="G536" s="26" t="s">
        <v>74</v>
      </c>
      <c r="H536" s="13" t="s">
        <v>75</v>
      </c>
      <c r="I536" s="13"/>
      <c r="J536" s="13"/>
      <c r="K536" s="15">
        <v>1.0</v>
      </c>
      <c r="L536" s="15">
        <v>1.0</v>
      </c>
      <c r="M536" s="16"/>
      <c r="N536" s="16"/>
      <c r="O536" s="17"/>
      <c r="P536" s="17"/>
      <c r="Q536" s="13"/>
      <c r="R536" s="13"/>
      <c r="S536" s="13"/>
      <c r="T536" s="13">
        <f t="shared" ref="T536:Y536" si="565">IF(ISBLANK(K536)=TRUE,0,1)</f>
        <v>1</v>
      </c>
      <c r="U536" s="13">
        <f t="shared" si="565"/>
        <v>1</v>
      </c>
      <c r="V536" s="13">
        <f t="shared" si="565"/>
        <v>0</v>
      </c>
      <c r="W536" s="13">
        <f t="shared" si="565"/>
        <v>0</v>
      </c>
      <c r="X536" s="13">
        <f t="shared" si="565"/>
        <v>0</v>
      </c>
      <c r="Y536" s="13">
        <f t="shared" si="565"/>
        <v>0</v>
      </c>
      <c r="Z536" s="13">
        <f t="shared" si="529"/>
        <v>1</v>
      </c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</row>
    <row r="537" ht="14.25" hidden="1" customHeight="1">
      <c r="A537" s="13" t="s">
        <v>46</v>
      </c>
      <c r="B537" s="13" t="s">
        <v>55</v>
      </c>
      <c r="C537" s="13" t="s">
        <v>432</v>
      </c>
      <c r="D537" s="26" t="s">
        <v>435</v>
      </c>
      <c r="E537" s="13" t="str">
        <f t="shared" si="2"/>
        <v>JLP,109-19A-25,BA,1</v>
      </c>
      <c r="F537" s="13"/>
      <c r="G537" s="26" t="s">
        <v>74</v>
      </c>
      <c r="H537" s="13" t="s">
        <v>75</v>
      </c>
      <c r="I537" s="13"/>
      <c r="J537" s="13"/>
      <c r="K537" s="15">
        <v>1.0</v>
      </c>
      <c r="L537" s="15">
        <v>1.0</v>
      </c>
      <c r="M537" s="16"/>
      <c r="N537" s="16"/>
      <c r="O537" s="17"/>
      <c r="P537" s="17"/>
      <c r="Q537" s="13"/>
      <c r="R537" s="13"/>
      <c r="S537" s="13"/>
      <c r="T537" s="13">
        <f t="shared" ref="T537:Y537" si="566">IF(ISBLANK(K537)=TRUE,0,1)</f>
        <v>1</v>
      </c>
      <c r="U537" s="13">
        <f t="shared" si="566"/>
        <v>1</v>
      </c>
      <c r="V537" s="13">
        <f t="shared" si="566"/>
        <v>0</v>
      </c>
      <c r="W537" s="13">
        <f t="shared" si="566"/>
        <v>0</v>
      </c>
      <c r="X537" s="13">
        <f t="shared" si="566"/>
        <v>0</v>
      </c>
      <c r="Y537" s="13">
        <f t="shared" si="566"/>
        <v>0</v>
      </c>
      <c r="Z537" s="13">
        <f t="shared" si="529"/>
        <v>1</v>
      </c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</row>
    <row r="538" ht="14.25" hidden="1" customHeight="1">
      <c r="A538" s="13" t="s">
        <v>46</v>
      </c>
      <c r="B538" s="13" t="s">
        <v>55</v>
      </c>
      <c r="C538" s="13" t="s">
        <v>432</v>
      </c>
      <c r="D538" s="26" t="s">
        <v>436</v>
      </c>
      <c r="E538" s="13" t="str">
        <f t="shared" si="2"/>
        <v>JLP,109-19A-25,BB,1</v>
      </c>
      <c r="F538" s="13"/>
      <c r="G538" s="26" t="s">
        <v>74</v>
      </c>
      <c r="H538" s="13" t="s">
        <v>75</v>
      </c>
      <c r="I538" s="13"/>
      <c r="J538" s="13"/>
      <c r="K538" s="15">
        <v>1.0</v>
      </c>
      <c r="L538" s="15">
        <v>1.0</v>
      </c>
      <c r="M538" s="16"/>
      <c r="N538" s="16"/>
      <c r="O538" s="17"/>
      <c r="P538" s="17"/>
      <c r="Q538" s="13"/>
      <c r="R538" s="13"/>
      <c r="S538" s="13"/>
      <c r="T538" s="13">
        <f t="shared" ref="T538:Y538" si="567">IF(ISBLANK(K538)=TRUE,0,1)</f>
        <v>1</v>
      </c>
      <c r="U538" s="13">
        <f t="shared" si="567"/>
        <v>1</v>
      </c>
      <c r="V538" s="13">
        <f t="shared" si="567"/>
        <v>0</v>
      </c>
      <c r="W538" s="13">
        <f t="shared" si="567"/>
        <v>0</v>
      </c>
      <c r="X538" s="13">
        <f t="shared" si="567"/>
        <v>0</v>
      </c>
      <c r="Y538" s="13">
        <f t="shared" si="567"/>
        <v>0</v>
      </c>
      <c r="Z538" s="13">
        <f t="shared" si="529"/>
        <v>1</v>
      </c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</row>
    <row r="539" ht="14.25" hidden="1" customHeight="1">
      <c r="A539" s="13" t="s">
        <v>46</v>
      </c>
      <c r="B539" s="13" t="s">
        <v>55</v>
      </c>
      <c r="C539" s="13" t="s">
        <v>432</v>
      </c>
      <c r="D539" s="26" t="s">
        <v>437</v>
      </c>
      <c r="E539" s="13" t="str">
        <f t="shared" si="2"/>
        <v>JLP,109-19A-25,BC,1</v>
      </c>
      <c r="F539" s="13"/>
      <c r="G539" s="26" t="s">
        <v>74</v>
      </c>
      <c r="H539" s="13" t="s">
        <v>75</v>
      </c>
      <c r="I539" s="13"/>
      <c r="J539" s="13"/>
      <c r="K539" s="15">
        <v>1.0</v>
      </c>
      <c r="L539" s="15">
        <v>1.0</v>
      </c>
      <c r="M539" s="16"/>
      <c r="N539" s="16"/>
      <c r="O539" s="17"/>
      <c r="P539" s="17"/>
      <c r="Q539" s="13"/>
      <c r="R539" s="13"/>
      <c r="S539" s="13"/>
      <c r="T539" s="13">
        <f t="shared" ref="T539:Y539" si="568">IF(ISBLANK(K539)=TRUE,0,1)</f>
        <v>1</v>
      </c>
      <c r="U539" s="13">
        <f t="shared" si="568"/>
        <v>1</v>
      </c>
      <c r="V539" s="13">
        <f t="shared" si="568"/>
        <v>0</v>
      </c>
      <c r="W539" s="13">
        <f t="shared" si="568"/>
        <v>0</v>
      </c>
      <c r="X539" s="13">
        <f t="shared" si="568"/>
        <v>0</v>
      </c>
      <c r="Y539" s="13">
        <f t="shared" si="568"/>
        <v>0</v>
      </c>
      <c r="Z539" s="13">
        <f t="shared" si="529"/>
        <v>1</v>
      </c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</row>
    <row r="540" ht="14.25" hidden="1" customHeight="1">
      <c r="A540" s="26" t="s">
        <v>46</v>
      </c>
      <c r="B540" s="26" t="s">
        <v>55</v>
      </c>
      <c r="C540" s="26" t="s">
        <v>438</v>
      </c>
      <c r="D540" s="26" t="s">
        <v>189</v>
      </c>
      <c r="E540" s="13" t="str">
        <f t="shared" si="2"/>
        <v>JLP,110-2a-13-c,AP,1</v>
      </c>
      <c r="F540" s="26"/>
      <c r="G540" s="26" t="s">
        <v>74</v>
      </c>
      <c r="H540" s="26" t="s">
        <v>107</v>
      </c>
      <c r="I540" s="26"/>
      <c r="J540" s="26"/>
      <c r="K540" s="28">
        <v>1.0</v>
      </c>
      <c r="L540" s="28">
        <v>1.0</v>
      </c>
      <c r="M540" s="30"/>
      <c r="N540" s="30"/>
      <c r="O540" s="17"/>
      <c r="P540" s="17"/>
      <c r="Q540" s="13"/>
      <c r="R540" s="13"/>
      <c r="S540" s="13"/>
      <c r="T540" s="13">
        <f t="shared" ref="T540:Y540" si="569">IF(ISBLANK(K540)=TRUE,0,1)</f>
        <v>1</v>
      </c>
      <c r="U540" s="13">
        <f t="shared" si="569"/>
        <v>1</v>
      </c>
      <c r="V540" s="13">
        <f t="shared" si="569"/>
        <v>0</v>
      </c>
      <c r="W540" s="13">
        <f t="shared" si="569"/>
        <v>0</v>
      </c>
      <c r="X540" s="13">
        <f t="shared" si="569"/>
        <v>0</v>
      </c>
      <c r="Y540" s="13">
        <f t="shared" si="569"/>
        <v>0</v>
      </c>
      <c r="Z540" s="13">
        <f t="shared" si="529"/>
        <v>1</v>
      </c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</row>
    <row r="541" ht="14.25" hidden="1" customHeight="1">
      <c r="A541" s="26" t="s">
        <v>46</v>
      </c>
      <c r="B541" s="26" t="s">
        <v>55</v>
      </c>
      <c r="C541" s="26" t="s">
        <v>438</v>
      </c>
      <c r="D541" s="26" t="s">
        <v>190</v>
      </c>
      <c r="E541" s="13" t="str">
        <f t="shared" si="2"/>
        <v>JLP,110-2a-13-c,AQ,1</v>
      </c>
      <c r="F541" s="26"/>
      <c r="G541" s="26" t="s">
        <v>74</v>
      </c>
      <c r="H541" s="26" t="s">
        <v>75</v>
      </c>
      <c r="I541" s="26"/>
      <c r="J541" s="26"/>
      <c r="K541" s="28">
        <v>1.0</v>
      </c>
      <c r="L541" s="28">
        <v>1.0</v>
      </c>
      <c r="M541" s="30"/>
      <c r="N541" s="30"/>
      <c r="O541" s="17"/>
      <c r="P541" s="17"/>
      <c r="Q541" s="13"/>
      <c r="R541" s="13"/>
      <c r="S541" s="13"/>
      <c r="T541" s="13">
        <f t="shared" ref="T541:Y541" si="570">IF(ISBLANK(K541)=TRUE,0,1)</f>
        <v>1</v>
      </c>
      <c r="U541" s="13">
        <f t="shared" si="570"/>
        <v>1</v>
      </c>
      <c r="V541" s="13">
        <f t="shared" si="570"/>
        <v>0</v>
      </c>
      <c r="W541" s="13">
        <f t="shared" si="570"/>
        <v>0</v>
      </c>
      <c r="X541" s="13">
        <f t="shared" si="570"/>
        <v>0</v>
      </c>
      <c r="Y541" s="13">
        <f t="shared" si="570"/>
        <v>0</v>
      </c>
      <c r="Z541" s="13">
        <f t="shared" si="529"/>
        <v>1</v>
      </c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</row>
    <row r="542" ht="14.25" hidden="1" customHeight="1">
      <c r="A542" s="26" t="s">
        <v>46</v>
      </c>
      <c r="B542" s="26" t="s">
        <v>55</v>
      </c>
      <c r="C542" s="26" t="s">
        <v>438</v>
      </c>
      <c r="D542" s="26" t="s">
        <v>191</v>
      </c>
      <c r="E542" s="13" t="str">
        <f t="shared" si="2"/>
        <v>JLP,110-2a-13-c,AR,1</v>
      </c>
      <c r="F542" s="26"/>
      <c r="G542" s="26" t="s">
        <v>74</v>
      </c>
      <c r="H542" s="26" t="s">
        <v>75</v>
      </c>
      <c r="I542" s="26"/>
      <c r="J542" s="26"/>
      <c r="K542" s="28">
        <v>1.0</v>
      </c>
      <c r="L542" s="28">
        <v>1.0</v>
      </c>
      <c r="M542" s="30"/>
      <c r="N542" s="30"/>
      <c r="O542" s="17"/>
      <c r="P542" s="17"/>
      <c r="Q542" s="13"/>
      <c r="R542" s="13"/>
      <c r="S542" s="13"/>
      <c r="T542" s="13">
        <f t="shared" ref="T542:Y542" si="571">IF(ISBLANK(K542)=TRUE,0,1)</f>
        <v>1</v>
      </c>
      <c r="U542" s="13">
        <f t="shared" si="571"/>
        <v>1</v>
      </c>
      <c r="V542" s="13">
        <f t="shared" si="571"/>
        <v>0</v>
      </c>
      <c r="W542" s="13">
        <f t="shared" si="571"/>
        <v>0</v>
      </c>
      <c r="X542" s="13">
        <f t="shared" si="571"/>
        <v>0</v>
      </c>
      <c r="Y542" s="13">
        <f t="shared" si="571"/>
        <v>0</v>
      </c>
      <c r="Z542" s="13">
        <f t="shared" si="529"/>
        <v>1</v>
      </c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</row>
    <row r="543" ht="14.25" hidden="1" customHeight="1">
      <c r="A543" s="26" t="s">
        <v>46</v>
      </c>
      <c r="B543" s="26" t="s">
        <v>55</v>
      </c>
      <c r="C543" s="26" t="s">
        <v>438</v>
      </c>
      <c r="D543" s="26" t="s">
        <v>192</v>
      </c>
      <c r="E543" s="13" t="str">
        <f t="shared" si="2"/>
        <v>JLP,110-2a-13-c,AS,1</v>
      </c>
      <c r="F543" s="26"/>
      <c r="G543" s="26" t="s">
        <v>74</v>
      </c>
      <c r="H543" s="26" t="s">
        <v>75</v>
      </c>
      <c r="I543" s="26"/>
      <c r="J543" s="26"/>
      <c r="K543" s="28">
        <v>1.0</v>
      </c>
      <c r="L543" s="28">
        <v>1.0</v>
      </c>
      <c r="M543" s="30"/>
      <c r="N543" s="30"/>
      <c r="O543" s="17"/>
      <c r="P543" s="17"/>
      <c r="Q543" s="13"/>
      <c r="R543" s="13"/>
      <c r="S543" s="13"/>
      <c r="T543" s="13">
        <f t="shared" ref="T543:Y543" si="572">IF(ISBLANK(K543)=TRUE,0,1)</f>
        <v>1</v>
      </c>
      <c r="U543" s="13">
        <f t="shared" si="572"/>
        <v>1</v>
      </c>
      <c r="V543" s="13">
        <f t="shared" si="572"/>
        <v>0</v>
      </c>
      <c r="W543" s="13">
        <f t="shared" si="572"/>
        <v>0</v>
      </c>
      <c r="X543" s="13">
        <f t="shared" si="572"/>
        <v>0</v>
      </c>
      <c r="Y543" s="13">
        <f t="shared" si="572"/>
        <v>0</v>
      </c>
      <c r="Z543" s="13">
        <f t="shared" si="529"/>
        <v>1</v>
      </c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</row>
    <row r="544" ht="14.25" hidden="1" customHeight="1">
      <c r="A544" s="26" t="s">
        <v>46</v>
      </c>
      <c r="B544" s="26" t="s">
        <v>55</v>
      </c>
      <c r="C544" s="26" t="s">
        <v>438</v>
      </c>
      <c r="D544" s="26" t="s">
        <v>193</v>
      </c>
      <c r="E544" s="13" t="str">
        <f t="shared" si="2"/>
        <v>JLP,110-2a-13-c,AT,1</v>
      </c>
      <c r="F544" s="26"/>
      <c r="G544" s="26" t="s">
        <v>74</v>
      </c>
      <c r="H544" s="26" t="s">
        <v>75</v>
      </c>
      <c r="I544" s="26"/>
      <c r="J544" s="26"/>
      <c r="K544" s="28">
        <v>1.0</v>
      </c>
      <c r="L544" s="28">
        <v>1.0</v>
      </c>
      <c r="M544" s="30"/>
      <c r="N544" s="30"/>
      <c r="O544" s="17"/>
      <c r="P544" s="17"/>
      <c r="Q544" s="13"/>
      <c r="R544" s="13"/>
      <c r="S544" s="13"/>
      <c r="T544" s="13">
        <f t="shared" ref="T544:Y544" si="573">IF(ISBLANK(K544)=TRUE,0,1)</f>
        <v>1</v>
      </c>
      <c r="U544" s="13">
        <f t="shared" si="573"/>
        <v>1</v>
      </c>
      <c r="V544" s="13">
        <f t="shared" si="573"/>
        <v>0</v>
      </c>
      <c r="W544" s="13">
        <f t="shared" si="573"/>
        <v>0</v>
      </c>
      <c r="X544" s="13">
        <f t="shared" si="573"/>
        <v>0</v>
      </c>
      <c r="Y544" s="13">
        <f t="shared" si="573"/>
        <v>0</v>
      </c>
      <c r="Z544" s="13">
        <f t="shared" si="529"/>
        <v>1</v>
      </c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</row>
    <row r="545" ht="14.25" hidden="1" customHeight="1">
      <c r="A545" s="26" t="s">
        <v>46</v>
      </c>
      <c r="B545" s="26" t="s">
        <v>55</v>
      </c>
      <c r="C545" s="26" t="s">
        <v>438</v>
      </c>
      <c r="D545" s="26" t="s">
        <v>194</v>
      </c>
      <c r="E545" s="13" t="str">
        <f t="shared" si="2"/>
        <v>JLP,110-2a-13-c,AU,1</v>
      </c>
      <c r="F545" s="26"/>
      <c r="G545" s="26" t="s">
        <v>74</v>
      </c>
      <c r="H545" s="26" t="s">
        <v>75</v>
      </c>
      <c r="I545" s="26"/>
      <c r="J545" s="26"/>
      <c r="K545" s="28">
        <v>1.0</v>
      </c>
      <c r="L545" s="28">
        <v>1.0</v>
      </c>
      <c r="M545" s="30"/>
      <c r="N545" s="30"/>
      <c r="O545" s="17"/>
      <c r="P545" s="17"/>
      <c r="Q545" s="13"/>
      <c r="R545" s="13"/>
      <c r="S545" s="13"/>
      <c r="T545" s="13">
        <f t="shared" ref="T545:Y545" si="574">IF(ISBLANK(K545)=TRUE,0,1)</f>
        <v>1</v>
      </c>
      <c r="U545" s="13">
        <f t="shared" si="574"/>
        <v>1</v>
      </c>
      <c r="V545" s="13">
        <f t="shared" si="574"/>
        <v>0</v>
      </c>
      <c r="W545" s="13">
        <f t="shared" si="574"/>
        <v>0</v>
      </c>
      <c r="X545" s="13">
        <f t="shared" si="574"/>
        <v>0</v>
      </c>
      <c r="Y545" s="13">
        <f t="shared" si="574"/>
        <v>0</v>
      </c>
      <c r="Z545" s="13">
        <f t="shared" si="529"/>
        <v>1</v>
      </c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</row>
    <row r="546" ht="14.25" hidden="1" customHeight="1">
      <c r="A546" s="26" t="s">
        <v>46</v>
      </c>
      <c r="B546" s="26" t="s">
        <v>55</v>
      </c>
      <c r="C546" s="26" t="s">
        <v>438</v>
      </c>
      <c r="D546" s="26" t="s">
        <v>195</v>
      </c>
      <c r="E546" s="13" t="str">
        <f t="shared" si="2"/>
        <v>JLP,110-2a-13-c,AV,1</v>
      </c>
      <c r="F546" s="26"/>
      <c r="G546" s="26" t="s">
        <v>74</v>
      </c>
      <c r="H546" s="26" t="s">
        <v>75</v>
      </c>
      <c r="I546" s="26"/>
      <c r="J546" s="26"/>
      <c r="K546" s="28">
        <v>1.0</v>
      </c>
      <c r="L546" s="28">
        <v>1.0</v>
      </c>
      <c r="M546" s="30"/>
      <c r="N546" s="30"/>
      <c r="O546" s="17"/>
      <c r="P546" s="17"/>
      <c r="Q546" s="13"/>
      <c r="R546" s="13"/>
      <c r="S546" s="13"/>
      <c r="T546" s="13">
        <f t="shared" ref="T546:Y546" si="575">IF(ISBLANK(K546)=TRUE,0,1)</f>
        <v>1</v>
      </c>
      <c r="U546" s="13">
        <f t="shared" si="575"/>
        <v>1</v>
      </c>
      <c r="V546" s="13">
        <f t="shared" si="575"/>
        <v>0</v>
      </c>
      <c r="W546" s="13">
        <f t="shared" si="575"/>
        <v>0</v>
      </c>
      <c r="X546" s="13">
        <f t="shared" si="575"/>
        <v>0</v>
      </c>
      <c r="Y546" s="13">
        <f t="shared" si="575"/>
        <v>0</v>
      </c>
      <c r="Z546" s="13">
        <f t="shared" si="529"/>
        <v>1</v>
      </c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</row>
    <row r="547" ht="14.25" hidden="1" customHeight="1">
      <c r="A547" s="26" t="s">
        <v>46</v>
      </c>
      <c r="B547" s="26" t="s">
        <v>55</v>
      </c>
      <c r="C547" s="26" t="s">
        <v>438</v>
      </c>
      <c r="D547" s="26" t="s">
        <v>196</v>
      </c>
      <c r="E547" s="13" t="str">
        <f t="shared" si="2"/>
        <v>JLP,110-2a-13-c,AW,1</v>
      </c>
      <c r="F547" s="26"/>
      <c r="G547" s="26" t="s">
        <v>74</v>
      </c>
      <c r="H547" s="26" t="s">
        <v>75</v>
      </c>
      <c r="I547" s="26"/>
      <c r="J547" s="26"/>
      <c r="K547" s="28">
        <v>1.0</v>
      </c>
      <c r="L547" s="28">
        <v>1.0</v>
      </c>
      <c r="M547" s="30"/>
      <c r="N547" s="30"/>
      <c r="O547" s="17"/>
      <c r="P547" s="17"/>
      <c r="Q547" s="13"/>
      <c r="R547" s="13"/>
      <c r="S547" s="13"/>
      <c r="T547" s="13">
        <f t="shared" ref="T547:Y547" si="576">IF(ISBLANK(K547)=TRUE,0,1)</f>
        <v>1</v>
      </c>
      <c r="U547" s="13">
        <f t="shared" si="576"/>
        <v>1</v>
      </c>
      <c r="V547" s="13">
        <f t="shared" si="576"/>
        <v>0</v>
      </c>
      <c r="W547" s="13">
        <f t="shared" si="576"/>
        <v>0</v>
      </c>
      <c r="X547" s="13">
        <f t="shared" si="576"/>
        <v>0</v>
      </c>
      <c r="Y547" s="13">
        <f t="shared" si="576"/>
        <v>0</v>
      </c>
      <c r="Z547" s="13">
        <f t="shared" si="529"/>
        <v>1</v>
      </c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</row>
    <row r="548" ht="14.25" hidden="1" customHeight="1">
      <c r="A548" s="26" t="s">
        <v>46</v>
      </c>
      <c r="B548" s="26" t="s">
        <v>55</v>
      </c>
      <c r="C548" s="26" t="s">
        <v>438</v>
      </c>
      <c r="D548" s="26" t="s">
        <v>197</v>
      </c>
      <c r="E548" s="13" t="str">
        <f t="shared" si="2"/>
        <v>JLP,110-2a-13-c,AX,1</v>
      </c>
      <c r="F548" s="26"/>
      <c r="G548" s="26" t="s">
        <v>74</v>
      </c>
      <c r="H548" s="26" t="s">
        <v>75</v>
      </c>
      <c r="I548" s="26"/>
      <c r="J548" s="26"/>
      <c r="K548" s="28">
        <v>1.0</v>
      </c>
      <c r="L548" s="28">
        <v>1.0</v>
      </c>
      <c r="M548" s="30"/>
      <c r="N548" s="30"/>
      <c r="O548" s="17"/>
      <c r="P548" s="17"/>
      <c r="Q548" s="13"/>
      <c r="R548" s="13"/>
      <c r="S548" s="13"/>
      <c r="T548" s="13">
        <f t="shared" ref="T548:Y548" si="577">IF(ISBLANK(K548)=TRUE,0,1)</f>
        <v>1</v>
      </c>
      <c r="U548" s="13">
        <f t="shared" si="577"/>
        <v>1</v>
      </c>
      <c r="V548" s="13">
        <f t="shared" si="577"/>
        <v>0</v>
      </c>
      <c r="W548" s="13">
        <f t="shared" si="577"/>
        <v>0</v>
      </c>
      <c r="X548" s="13">
        <f t="shared" si="577"/>
        <v>0</v>
      </c>
      <c r="Y548" s="13">
        <f t="shared" si="577"/>
        <v>0</v>
      </c>
      <c r="Z548" s="13">
        <f t="shared" si="529"/>
        <v>1</v>
      </c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</row>
    <row r="549" ht="14.25" hidden="1" customHeight="1">
      <c r="A549" s="26" t="s">
        <v>46</v>
      </c>
      <c r="B549" s="26" t="s">
        <v>55</v>
      </c>
      <c r="C549" s="26" t="s">
        <v>438</v>
      </c>
      <c r="D549" s="26" t="s">
        <v>433</v>
      </c>
      <c r="E549" s="13" t="str">
        <f t="shared" si="2"/>
        <v>JLP,110-2a-13-c,AY,1</v>
      </c>
      <c r="F549" s="26"/>
      <c r="G549" s="26" t="s">
        <v>74</v>
      </c>
      <c r="H549" s="26" t="s">
        <v>75</v>
      </c>
      <c r="I549" s="26"/>
      <c r="J549" s="26"/>
      <c r="K549" s="28">
        <v>1.0</v>
      </c>
      <c r="L549" s="28">
        <v>1.0</v>
      </c>
      <c r="M549" s="30"/>
      <c r="N549" s="30"/>
      <c r="O549" s="17"/>
      <c r="P549" s="17"/>
      <c r="Q549" s="13"/>
      <c r="R549" s="13"/>
      <c r="S549" s="13"/>
      <c r="T549" s="13">
        <f t="shared" ref="T549:Y549" si="578">IF(ISBLANK(K549)=TRUE,0,1)</f>
        <v>1</v>
      </c>
      <c r="U549" s="13">
        <f t="shared" si="578"/>
        <v>1</v>
      </c>
      <c r="V549" s="13">
        <f t="shared" si="578"/>
        <v>0</v>
      </c>
      <c r="W549" s="13">
        <f t="shared" si="578"/>
        <v>0</v>
      </c>
      <c r="X549" s="13">
        <f t="shared" si="578"/>
        <v>0</v>
      </c>
      <c r="Y549" s="13">
        <f t="shared" si="578"/>
        <v>0</v>
      </c>
      <c r="Z549" s="13">
        <f t="shared" si="529"/>
        <v>1</v>
      </c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</row>
    <row r="550" ht="14.25" hidden="1" customHeight="1">
      <c r="A550" s="26" t="s">
        <v>46</v>
      </c>
      <c r="B550" s="26" t="s">
        <v>55</v>
      </c>
      <c r="C550" s="26" t="s">
        <v>438</v>
      </c>
      <c r="D550" s="26" t="s">
        <v>434</v>
      </c>
      <c r="E550" s="13" t="str">
        <f t="shared" si="2"/>
        <v>JLP,110-2a-13-c,AZ,1</v>
      </c>
      <c r="F550" s="26"/>
      <c r="G550" s="26" t="s">
        <v>74</v>
      </c>
      <c r="H550" s="26" t="s">
        <v>75</v>
      </c>
      <c r="I550" s="26"/>
      <c r="J550" s="26"/>
      <c r="K550" s="28">
        <v>1.0</v>
      </c>
      <c r="L550" s="28">
        <v>1.0</v>
      </c>
      <c r="M550" s="30"/>
      <c r="N550" s="30"/>
      <c r="O550" s="17"/>
      <c r="P550" s="17"/>
      <c r="Q550" s="13"/>
      <c r="R550" s="13"/>
      <c r="S550" s="13"/>
      <c r="T550" s="13">
        <f t="shared" ref="T550:Y550" si="579">IF(ISBLANK(K550)=TRUE,0,1)</f>
        <v>1</v>
      </c>
      <c r="U550" s="13">
        <f t="shared" si="579"/>
        <v>1</v>
      </c>
      <c r="V550" s="13">
        <f t="shared" si="579"/>
        <v>0</v>
      </c>
      <c r="W550" s="13">
        <f t="shared" si="579"/>
        <v>0</v>
      </c>
      <c r="X550" s="13">
        <f t="shared" si="579"/>
        <v>0</v>
      </c>
      <c r="Y550" s="13">
        <f t="shared" si="579"/>
        <v>0</v>
      </c>
      <c r="Z550" s="13">
        <f t="shared" si="529"/>
        <v>1</v>
      </c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</row>
    <row r="551" ht="14.25" hidden="1" customHeight="1">
      <c r="A551" s="26" t="s">
        <v>46</v>
      </c>
      <c r="B551" s="26" t="s">
        <v>55</v>
      </c>
      <c r="C551" s="26" t="s">
        <v>438</v>
      </c>
      <c r="D551" s="26" t="s">
        <v>435</v>
      </c>
      <c r="E551" s="13" t="str">
        <f t="shared" si="2"/>
        <v>JLP,110-2a-13-c,BA,1</v>
      </c>
      <c r="F551" s="26"/>
      <c r="G551" s="26" t="s">
        <v>74</v>
      </c>
      <c r="H551" s="26" t="s">
        <v>75</v>
      </c>
      <c r="I551" s="26"/>
      <c r="J551" s="26"/>
      <c r="K551" s="28">
        <v>1.0</v>
      </c>
      <c r="L551" s="28">
        <v>1.0</v>
      </c>
      <c r="M551" s="30"/>
      <c r="N551" s="30"/>
      <c r="O551" s="17"/>
      <c r="P551" s="17"/>
      <c r="Q551" s="13"/>
      <c r="R551" s="13"/>
      <c r="S551" s="13"/>
      <c r="T551" s="13">
        <f t="shared" ref="T551:Y551" si="580">IF(ISBLANK(K551)=TRUE,0,1)</f>
        <v>1</v>
      </c>
      <c r="U551" s="13">
        <f t="shared" si="580"/>
        <v>1</v>
      </c>
      <c r="V551" s="13">
        <f t="shared" si="580"/>
        <v>0</v>
      </c>
      <c r="W551" s="13">
        <f t="shared" si="580"/>
        <v>0</v>
      </c>
      <c r="X551" s="13">
        <f t="shared" si="580"/>
        <v>0</v>
      </c>
      <c r="Y551" s="13">
        <f t="shared" si="580"/>
        <v>0</v>
      </c>
      <c r="Z551" s="13">
        <f t="shared" si="529"/>
        <v>1</v>
      </c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</row>
    <row r="552" ht="14.25" hidden="1" customHeight="1">
      <c r="A552" s="26" t="s">
        <v>46</v>
      </c>
      <c r="B552" s="26" t="s">
        <v>55</v>
      </c>
      <c r="C552" s="26" t="s">
        <v>438</v>
      </c>
      <c r="D552" s="26" t="s">
        <v>436</v>
      </c>
      <c r="E552" s="13" t="str">
        <f t="shared" si="2"/>
        <v>JLP,110-2a-13-c,BB,1</v>
      </c>
      <c r="F552" s="26"/>
      <c r="G552" s="26" t="s">
        <v>74</v>
      </c>
      <c r="H552" s="26" t="s">
        <v>75</v>
      </c>
      <c r="I552" s="26"/>
      <c r="J552" s="26"/>
      <c r="K552" s="28">
        <v>1.0</v>
      </c>
      <c r="L552" s="28">
        <v>1.0</v>
      </c>
      <c r="M552" s="30"/>
      <c r="N552" s="30"/>
      <c r="O552" s="17"/>
      <c r="P552" s="17"/>
      <c r="Q552" s="13"/>
      <c r="R552" s="13"/>
      <c r="S552" s="13"/>
      <c r="T552" s="13">
        <f t="shared" ref="T552:Y552" si="581">IF(ISBLANK(K552)=TRUE,0,1)</f>
        <v>1</v>
      </c>
      <c r="U552" s="13">
        <f t="shared" si="581"/>
        <v>1</v>
      </c>
      <c r="V552" s="13">
        <f t="shared" si="581"/>
        <v>0</v>
      </c>
      <c r="W552" s="13">
        <f t="shared" si="581"/>
        <v>0</v>
      </c>
      <c r="X552" s="13">
        <f t="shared" si="581"/>
        <v>0</v>
      </c>
      <c r="Y552" s="13">
        <f t="shared" si="581"/>
        <v>0</v>
      </c>
      <c r="Z552" s="13">
        <f t="shared" si="529"/>
        <v>1</v>
      </c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</row>
    <row r="553" ht="14.25" hidden="1" customHeight="1">
      <c r="A553" s="13" t="s">
        <v>46</v>
      </c>
      <c r="B553" s="13" t="s">
        <v>55</v>
      </c>
      <c r="C553" s="13" t="s">
        <v>439</v>
      </c>
      <c r="D553" s="26" t="s">
        <v>189</v>
      </c>
      <c r="E553" s="13" t="str">
        <f t="shared" si="2"/>
        <v>JLP,110-2A-13D,AP,1</v>
      </c>
      <c r="F553" s="13"/>
      <c r="G553" s="26" t="s">
        <v>74</v>
      </c>
      <c r="H553" s="13" t="s">
        <v>75</v>
      </c>
      <c r="I553" s="13"/>
      <c r="J553" s="13"/>
      <c r="K553" s="15">
        <v>1.0</v>
      </c>
      <c r="L553" s="15">
        <v>1.0</v>
      </c>
      <c r="M553" s="16"/>
      <c r="N553" s="16"/>
      <c r="O553" s="17"/>
      <c r="P553" s="17"/>
      <c r="Q553" s="13"/>
      <c r="R553" s="13"/>
      <c r="S553" s="13"/>
      <c r="T553" s="13">
        <f t="shared" ref="T553:Y553" si="582">IF(ISBLANK(K553)=TRUE,0,1)</f>
        <v>1</v>
      </c>
      <c r="U553" s="13">
        <f t="shared" si="582"/>
        <v>1</v>
      </c>
      <c r="V553" s="13">
        <f t="shared" si="582"/>
        <v>0</v>
      </c>
      <c r="W553" s="13">
        <f t="shared" si="582"/>
        <v>0</v>
      </c>
      <c r="X553" s="13">
        <f t="shared" si="582"/>
        <v>0</v>
      </c>
      <c r="Y553" s="13">
        <f t="shared" si="582"/>
        <v>0</v>
      </c>
      <c r="Z553" s="13">
        <f t="shared" si="529"/>
        <v>1</v>
      </c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</row>
    <row r="554" ht="14.25" hidden="1" customHeight="1">
      <c r="A554" s="13" t="s">
        <v>46</v>
      </c>
      <c r="B554" s="13" t="s">
        <v>55</v>
      </c>
      <c r="C554" s="13" t="s">
        <v>439</v>
      </c>
      <c r="D554" s="26" t="s">
        <v>190</v>
      </c>
      <c r="E554" s="13" t="str">
        <f t="shared" si="2"/>
        <v>JLP,110-2A-13D,AQ,1</v>
      </c>
      <c r="F554" s="13"/>
      <c r="G554" s="26" t="s">
        <v>74</v>
      </c>
      <c r="H554" s="13" t="s">
        <v>75</v>
      </c>
      <c r="I554" s="13"/>
      <c r="J554" s="13"/>
      <c r="K554" s="15">
        <v>1.0</v>
      </c>
      <c r="L554" s="15">
        <v>1.0</v>
      </c>
      <c r="M554" s="16"/>
      <c r="N554" s="16"/>
      <c r="O554" s="17"/>
      <c r="P554" s="17"/>
      <c r="Q554" s="13"/>
      <c r="R554" s="13"/>
      <c r="S554" s="13"/>
      <c r="T554" s="13">
        <f t="shared" ref="T554:Y554" si="583">IF(ISBLANK(K554)=TRUE,0,1)</f>
        <v>1</v>
      </c>
      <c r="U554" s="13">
        <f t="shared" si="583"/>
        <v>1</v>
      </c>
      <c r="V554" s="13">
        <f t="shared" si="583"/>
        <v>0</v>
      </c>
      <c r="W554" s="13">
        <f t="shared" si="583"/>
        <v>0</v>
      </c>
      <c r="X554" s="13">
        <f t="shared" si="583"/>
        <v>0</v>
      </c>
      <c r="Y554" s="13">
        <f t="shared" si="583"/>
        <v>0</v>
      </c>
      <c r="Z554" s="13">
        <f t="shared" si="529"/>
        <v>1</v>
      </c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</row>
    <row r="555" ht="14.25" hidden="1" customHeight="1">
      <c r="A555" s="13" t="s">
        <v>46</v>
      </c>
      <c r="B555" s="13" t="s">
        <v>55</v>
      </c>
      <c r="C555" s="13" t="s">
        <v>439</v>
      </c>
      <c r="D555" s="26" t="s">
        <v>191</v>
      </c>
      <c r="E555" s="13" t="str">
        <f t="shared" si="2"/>
        <v>JLP,110-2A-13D,AR,1</v>
      </c>
      <c r="F555" s="13"/>
      <c r="G555" s="26" t="s">
        <v>74</v>
      </c>
      <c r="H555" s="13" t="s">
        <v>75</v>
      </c>
      <c r="I555" s="13"/>
      <c r="J555" s="13"/>
      <c r="K555" s="15">
        <v>1.0</v>
      </c>
      <c r="L555" s="15">
        <v>1.0</v>
      </c>
      <c r="M555" s="16"/>
      <c r="N555" s="16"/>
      <c r="O555" s="17"/>
      <c r="P555" s="17"/>
      <c r="Q555" s="13"/>
      <c r="R555" s="13"/>
      <c r="S555" s="13"/>
      <c r="T555" s="13">
        <f t="shared" ref="T555:Y555" si="584">IF(ISBLANK(K555)=TRUE,0,1)</f>
        <v>1</v>
      </c>
      <c r="U555" s="13">
        <f t="shared" si="584"/>
        <v>1</v>
      </c>
      <c r="V555" s="13">
        <f t="shared" si="584"/>
        <v>0</v>
      </c>
      <c r="W555" s="13">
        <f t="shared" si="584"/>
        <v>0</v>
      </c>
      <c r="X555" s="13">
        <f t="shared" si="584"/>
        <v>0</v>
      </c>
      <c r="Y555" s="13">
        <f t="shared" si="584"/>
        <v>0</v>
      </c>
      <c r="Z555" s="13">
        <f t="shared" si="529"/>
        <v>1</v>
      </c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</row>
    <row r="556" ht="14.25" hidden="1" customHeight="1">
      <c r="A556" s="13" t="s">
        <v>46</v>
      </c>
      <c r="B556" s="13" t="s">
        <v>55</v>
      </c>
      <c r="C556" s="13" t="s">
        <v>439</v>
      </c>
      <c r="D556" s="26" t="s">
        <v>192</v>
      </c>
      <c r="E556" s="13" t="str">
        <f t="shared" si="2"/>
        <v>JLP,110-2A-13D,AS,1</v>
      </c>
      <c r="F556" s="13"/>
      <c r="G556" s="26" t="s">
        <v>74</v>
      </c>
      <c r="H556" s="13" t="s">
        <v>75</v>
      </c>
      <c r="I556" s="13"/>
      <c r="J556" s="13"/>
      <c r="K556" s="15">
        <v>1.0</v>
      </c>
      <c r="L556" s="15">
        <v>1.0</v>
      </c>
      <c r="M556" s="16"/>
      <c r="N556" s="16"/>
      <c r="O556" s="17"/>
      <c r="P556" s="17"/>
      <c r="Q556" s="13"/>
      <c r="R556" s="13"/>
      <c r="S556" s="13"/>
      <c r="T556" s="13">
        <f t="shared" ref="T556:Y556" si="585">IF(ISBLANK(K556)=TRUE,0,1)</f>
        <v>1</v>
      </c>
      <c r="U556" s="13">
        <f t="shared" si="585"/>
        <v>1</v>
      </c>
      <c r="V556" s="13">
        <f t="shared" si="585"/>
        <v>0</v>
      </c>
      <c r="W556" s="13">
        <f t="shared" si="585"/>
        <v>0</v>
      </c>
      <c r="X556" s="13">
        <f t="shared" si="585"/>
        <v>0</v>
      </c>
      <c r="Y556" s="13">
        <f t="shared" si="585"/>
        <v>0</v>
      </c>
      <c r="Z556" s="13">
        <f t="shared" si="529"/>
        <v>1</v>
      </c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</row>
    <row r="557" ht="14.25" hidden="1" customHeight="1">
      <c r="A557" s="13" t="s">
        <v>46</v>
      </c>
      <c r="B557" s="13" t="s">
        <v>55</v>
      </c>
      <c r="C557" s="13" t="s">
        <v>439</v>
      </c>
      <c r="D557" s="26" t="s">
        <v>193</v>
      </c>
      <c r="E557" s="13" t="str">
        <f t="shared" si="2"/>
        <v>JLP,110-2A-13D,AT,1</v>
      </c>
      <c r="F557" s="13"/>
      <c r="G557" s="26" t="s">
        <v>74</v>
      </c>
      <c r="H557" s="13" t="s">
        <v>75</v>
      </c>
      <c r="I557" s="13"/>
      <c r="J557" s="13"/>
      <c r="K557" s="15">
        <v>1.0</v>
      </c>
      <c r="L557" s="15">
        <v>1.0</v>
      </c>
      <c r="M557" s="16"/>
      <c r="N557" s="16"/>
      <c r="O557" s="17"/>
      <c r="P557" s="17"/>
      <c r="Q557" s="13"/>
      <c r="R557" s="13"/>
      <c r="S557" s="13"/>
      <c r="T557" s="13">
        <f t="shared" ref="T557:Y557" si="586">IF(ISBLANK(K557)=TRUE,0,1)</f>
        <v>1</v>
      </c>
      <c r="U557" s="13">
        <f t="shared" si="586"/>
        <v>1</v>
      </c>
      <c r="V557" s="13">
        <f t="shared" si="586"/>
        <v>0</v>
      </c>
      <c r="W557" s="13">
        <f t="shared" si="586"/>
        <v>0</v>
      </c>
      <c r="X557" s="13">
        <f t="shared" si="586"/>
        <v>0</v>
      </c>
      <c r="Y557" s="13">
        <f t="shared" si="586"/>
        <v>0</v>
      </c>
      <c r="Z557" s="13">
        <f t="shared" si="529"/>
        <v>1</v>
      </c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</row>
    <row r="558" ht="14.25" hidden="1" customHeight="1">
      <c r="A558" s="13" t="s">
        <v>46</v>
      </c>
      <c r="B558" s="13" t="s">
        <v>55</v>
      </c>
      <c r="C558" s="13" t="s">
        <v>439</v>
      </c>
      <c r="D558" s="26" t="s">
        <v>194</v>
      </c>
      <c r="E558" s="13" t="str">
        <f t="shared" si="2"/>
        <v>JLP,110-2A-13D,AU,1</v>
      </c>
      <c r="F558" s="13"/>
      <c r="G558" s="26" t="s">
        <v>74</v>
      </c>
      <c r="H558" s="13" t="s">
        <v>75</v>
      </c>
      <c r="I558" s="13"/>
      <c r="J558" s="13"/>
      <c r="K558" s="15">
        <v>1.0</v>
      </c>
      <c r="L558" s="15">
        <v>1.0</v>
      </c>
      <c r="M558" s="16"/>
      <c r="N558" s="16"/>
      <c r="O558" s="17"/>
      <c r="P558" s="17"/>
      <c r="Q558" s="13"/>
      <c r="R558" s="13"/>
      <c r="S558" s="13"/>
      <c r="T558" s="13">
        <f t="shared" ref="T558:Y558" si="587">IF(ISBLANK(K558)=TRUE,0,1)</f>
        <v>1</v>
      </c>
      <c r="U558" s="13">
        <f t="shared" si="587"/>
        <v>1</v>
      </c>
      <c r="V558" s="13">
        <f t="shared" si="587"/>
        <v>0</v>
      </c>
      <c r="W558" s="13">
        <f t="shared" si="587"/>
        <v>0</v>
      </c>
      <c r="X558" s="13">
        <f t="shared" si="587"/>
        <v>0</v>
      </c>
      <c r="Y558" s="13">
        <f t="shared" si="587"/>
        <v>0</v>
      </c>
      <c r="Z558" s="13">
        <f t="shared" si="529"/>
        <v>1</v>
      </c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</row>
    <row r="559" ht="14.25" hidden="1" customHeight="1">
      <c r="A559" s="13" t="s">
        <v>46</v>
      </c>
      <c r="B559" s="13" t="s">
        <v>55</v>
      </c>
      <c r="C559" s="13" t="s">
        <v>439</v>
      </c>
      <c r="D559" s="26" t="s">
        <v>195</v>
      </c>
      <c r="E559" s="13" t="str">
        <f t="shared" si="2"/>
        <v>JLP,110-2A-13D,AV,1</v>
      </c>
      <c r="F559" s="13"/>
      <c r="G559" s="26" t="s">
        <v>74</v>
      </c>
      <c r="H559" s="13" t="s">
        <v>75</v>
      </c>
      <c r="I559" s="13"/>
      <c r="J559" s="13"/>
      <c r="K559" s="15">
        <v>1.0</v>
      </c>
      <c r="L559" s="15">
        <v>1.0</v>
      </c>
      <c r="M559" s="16"/>
      <c r="N559" s="16"/>
      <c r="O559" s="17"/>
      <c r="P559" s="17"/>
      <c r="Q559" s="13"/>
      <c r="R559" s="13"/>
      <c r="S559" s="13"/>
      <c r="T559" s="13">
        <f t="shared" ref="T559:Y559" si="588">IF(ISBLANK(K559)=TRUE,0,1)</f>
        <v>1</v>
      </c>
      <c r="U559" s="13">
        <f t="shared" si="588"/>
        <v>1</v>
      </c>
      <c r="V559" s="13">
        <f t="shared" si="588"/>
        <v>0</v>
      </c>
      <c r="W559" s="13">
        <f t="shared" si="588"/>
        <v>0</v>
      </c>
      <c r="X559" s="13">
        <f t="shared" si="588"/>
        <v>0</v>
      </c>
      <c r="Y559" s="13">
        <f t="shared" si="588"/>
        <v>0</v>
      </c>
      <c r="Z559" s="13">
        <f t="shared" si="529"/>
        <v>1</v>
      </c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</row>
    <row r="560" ht="14.25" hidden="1" customHeight="1">
      <c r="A560" s="13" t="s">
        <v>46</v>
      </c>
      <c r="B560" s="13" t="s">
        <v>55</v>
      </c>
      <c r="C560" s="13" t="s">
        <v>439</v>
      </c>
      <c r="D560" s="26" t="s">
        <v>196</v>
      </c>
      <c r="E560" s="13" t="str">
        <f t="shared" si="2"/>
        <v>JLP,110-2A-13D,AW,1</v>
      </c>
      <c r="F560" s="13"/>
      <c r="G560" s="26" t="s">
        <v>74</v>
      </c>
      <c r="H560" s="13" t="s">
        <v>75</v>
      </c>
      <c r="I560" s="13"/>
      <c r="J560" s="13"/>
      <c r="K560" s="15">
        <v>1.0</v>
      </c>
      <c r="L560" s="15">
        <v>1.0</v>
      </c>
      <c r="M560" s="16"/>
      <c r="N560" s="16"/>
      <c r="O560" s="17"/>
      <c r="P560" s="17"/>
      <c r="Q560" s="13"/>
      <c r="R560" s="13"/>
      <c r="S560" s="13"/>
      <c r="T560" s="13">
        <f t="shared" ref="T560:Y560" si="589">IF(ISBLANK(K560)=TRUE,0,1)</f>
        <v>1</v>
      </c>
      <c r="U560" s="13">
        <f t="shared" si="589"/>
        <v>1</v>
      </c>
      <c r="V560" s="13">
        <f t="shared" si="589"/>
        <v>0</v>
      </c>
      <c r="W560" s="13">
        <f t="shared" si="589"/>
        <v>0</v>
      </c>
      <c r="X560" s="13">
        <f t="shared" si="589"/>
        <v>0</v>
      </c>
      <c r="Y560" s="13">
        <f t="shared" si="589"/>
        <v>0</v>
      </c>
      <c r="Z560" s="13">
        <f t="shared" si="529"/>
        <v>1</v>
      </c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</row>
    <row r="561" ht="14.25" hidden="1" customHeight="1">
      <c r="A561" s="13" t="s">
        <v>46</v>
      </c>
      <c r="B561" s="13" t="s">
        <v>55</v>
      </c>
      <c r="C561" s="13" t="s">
        <v>439</v>
      </c>
      <c r="D561" s="26" t="s">
        <v>197</v>
      </c>
      <c r="E561" s="13" t="str">
        <f t="shared" si="2"/>
        <v>JLP,110-2A-13D,AX,1</v>
      </c>
      <c r="F561" s="13"/>
      <c r="G561" s="26" t="s">
        <v>74</v>
      </c>
      <c r="H561" s="13" t="s">
        <v>75</v>
      </c>
      <c r="I561" s="13"/>
      <c r="J561" s="13"/>
      <c r="K561" s="15">
        <v>1.0</v>
      </c>
      <c r="L561" s="15">
        <v>1.0</v>
      </c>
      <c r="M561" s="16"/>
      <c r="N561" s="16"/>
      <c r="O561" s="17"/>
      <c r="P561" s="17"/>
      <c r="Q561" s="13"/>
      <c r="R561" s="13"/>
      <c r="S561" s="13"/>
      <c r="T561" s="13">
        <f t="shared" ref="T561:Y561" si="590">IF(ISBLANK(K561)=TRUE,0,1)</f>
        <v>1</v>
      </c>
      <c r="U561" s="13">
        <f t="shared" si="590"/>
        <v>1</v>
      </c>
      <c r="V561" s="13">
        <f t="shared" si="590"/>
        <v>0</v>
      </c>
      <c r="W561" s="13">
        <f t="shared" si="590"/>
        <v>0</v>
      </c>
      <c r="X561" s="13">
        <f t="shared" si="590"/>
        <v>0</v>
      </c>
      <c r="Y561" s="13">
        <f t="shared" si="590"/>
        <v>0</v>
      </c>
      <c r="Z561" s="13">
        <f t="shared" si="529"/>
        <v>1</v>
      </c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</row>
    <row r="562" ht="14.25" hidden="1" customHeight="1">
      <c r="A562" s="13" t="s">
        <v>46</v>
      </c>
      <c r="B562" s="13" t="s">
        <v>55</v>
      </c>
      <c r="C562" s="13" t="s">
        <v>439</v>
      </c>
      <c r="D562" s="26" t="s">
        <v>433</v>
      </c>
      <c r="E562" s="13" t="str">
        <f t="shared" si="2"/>
        <v>JLP,110-2A-13D,AY,1</v>
      </c>
      <c r="F562" s="13"/>
      <c r="G562" s="26" t="s">
        <v>74</v>
      </c>
      <c r="H562" s="13" t="s">
        <v>75</v>
      </c>
      <c r="I562" s="13"/>
      <c r="J562" s="13"/>
      <c r="K562" s="15">
        <v>1.0</v>
      </c>
      <c r="L562" s="15">
        <v>1.0</v>
      </c>
      <c r="M562" s="16"/>
      <c r="N562" s="16"/>
      <c r="O562" s="17"/>
      <c r="P562" s="17"/>
      <c r="Q562" s="13"/>
      <c r="R562" s="13"/>
      <c r="S562" s="13"/>
      <c r="T562" s="13">
        <f t="shared" ref="T562:Y562" si="591">IF(ISBLANK(K562)=TRUE,0,1)</f>
        <v>1</v>
      </c>
      <c r="U562" s="13">
        <f t="shared" si="591"/>
        <v>1</v>
      </c>
      <c r="V562" s="13">
        <f t="shared" si="591"/>
        <v>0</v>
      </c>
      <c r="W562" s="13">
        <f t="shared" si="591"/>
        <v>0</v>
      </c>
      <c r="X562" s="13">
        <f t="shared" si="591"/>
        <v>0</v>
      </c>
      <c r="Y562" s="13">
        <f t="shared" si="591"/>
        <v>0</v>
      </c>
      <c r="Z562" s="13">
        <f t="shared" si="529"/>
        <v>1</v>
      </c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</row>
    <row r="563" ht="14.25" hidden="1" customHeight="1">
      <c r="A563" s="13" t="s">
        <v>46</v>
      </c>
      <c r="B563" s="13" t="s">
        <v>55</v>
      </c>
      <c r="C563" s="13" t="s">
        <v>439</v>
      </c>
      <c r="D563" s="26" t="s">
        <v>434</v>
      </c>
      <c r="E563" s="13" t="str">
        <f t="shared" si="2"/>
        <v>JLP,110-2A-13D,AZ,1</v>
      </c>
      <c r="F563" s="13"/>
      <c r="G563" s="26" t="s">
        <v>74</v>
      </c>
      <c r="H563" s="13" t="s">
        <v>75</v>
      </c>
      <c r="I563" s="13"/>
      <c r="J563" s="13"/>
      <c r="K563" s="15">
        <v>1.0</v>
      </c>
      <c r="L563" s="15">
        <v>1.0</v>
      </c>
      <c r="M563" s="16"/>
      <c r="N563" s="16"/>
      <c r="O563" s="17"/>
      <c r="P563" s="17"/>
      <c r="Q563" s="13"/>
      <c r="R563" s="13"/>
      <c r="S563" s="13"/>
      <c r="T563" s="13">
        <f t="shared" ref="T563:Y563" si="592">IF(ISBLANK(K563)=TRUE,0,1)</f>
        <v>1</v>
      </c>
      <c r="U563" s="13">
        <f t="shared" si="592"/>
        <v>1</v>
      </c>
      <c r="V563" s="13">
        <f t="shared" si="592"/>
        <v>0</v>
      </c>
      <c r="W563" s="13">
        <f t="shared" si="592"/>
        <v>0</v>
      </c>
      <c r="X563" s="13">
        <f t="shared" si="592"/>
        <v>0</v>
      </c>
      <c r="Y563" s="13">
        <f t="shared" si="592"/>
        <v>0</v>
      </c>
      <c r="Z563" s="13">
        <f t="shared" si="529"/>
        <v>1</v>
      </c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</row>
    <row r="564" ht="14.25" hidden="1" customHeight="1">
      <c r="A564" s="13" t="s">
        <v>46</v>
      </c>
      <c r="B564" s="13" t="s">
        <v>55</v>
      </c>
      <c r="C564" s="13" t="s">
        <v>439</v>
      </c>
      <c r="D564" s="26" t="s">
        <v>435</v>
      </c>
      <c r="E564" s="13" t="str">
        <f t="shared" si="2"/>
        <v>JLP,110-2A-13D,BA,1</v>
      </c>
      <c r="F564" s="13"/>
      <c r="G564" s="26" t="s">
        <v>74</v>
      </c>
      <c r="H564" s="13" t="s">
        <v>75</v>
      </c>
      <c r="I564" s="13"/>
      <c r="J564" s="13"/>
      <c r="K564" s="15">
        <v>1.0</v>
      </c>
      <c r="L564" s="15">
        <v>1.0</v>
      </c>
      <c r="M564" s="16"/>
      <c r="N564" s="16"/>
      <c r="O564" s="17"/>
      <c r="P564" s="17"/>
      <c r="Q564" s="13"/>
      <c r="R564" s="13"/>
      <c r="S564" s="13"/>
      <c r="T564" s="13">
        <f t="shared" ref="T564:Y564" si="593">IF(ISBLANK(K564)=TRUE,0,1)</f>
        <v>1</v>
      </c>
      <c r="U564" s="13">
        <f t="shared" si="593"/>
        <v>1</v>
      </c>
      <c r="V564" s="13">
        <f t="shared" si="593"/>
        <v>0</v>
      </c>
      <c r="W564" s="13">
        <f t="shared" si="593"/>
        <v>0</v>
      </c>
      <c r="X564" s="13">
        <f t="shared" si="593"/>
        <v>0</v>
      </c>
      <c r="Y564" s="13">
        <f t="shared" si="593"/>
        <v>0</v>
      </c>
      <c r="Z564" s="13">
        <f t="shared" si="529"/>
        <v>1</v>
      </c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</row>
    <row r="565" ht="14.25" hidden="1" customHeight="1">
      <c r="A565" s="13" t="s">
        <v>46</v>
      </c>
      <c r="B565" s="13" t="s">
        <v>55</v>
      </c>
      <c r="C565" s="13" t="s">
        <v>439</v>
      </c>
      <c r="D565" s="26" t="s">
        <v>436</v>
      </c>
      <c r="E565" s="13" t="str">
        <f t="shared" si="2"/>
        <v>JLP,110-2A-13D,BB,1</v>
      </c>
      <c r="F565" s="13"/>
      <c r="G565" s="26" t="s">
        <v>74</v>
      </c>
      <c r="H565" s="13" t="s">
        <v>75</v>
      </c>
      <c r="I565" s="13"/>
      <c r="J565" s="13"/>
      <c r="K565" s="15">
        <v>1.0</v>
      </c>
      <c r="L565" s="15">
        <v>1.0</v>
      </c>
      <c r="M565" s="16"/>
      <c r="N565" s="16"/>
      <c r="O565" s="17"/>
      <c r="P565" s="17"/>
      <c r="Q565" s="13"/>
      <c r="R565" s="13"/>
      <c r="S565" s="13"/>
      <c r="T565" s="13">
        <f t="shared" ref="T565:Y565" si="594">IF(ISBLANK(K565)=TRUE,0,1)</f>
        <v>1</v>
      </c>
      <c r="U565" s="13">
        <f t="shared" si="594"/>
        <v>1</v>
      </c>
      <c r="V565" s="13">
        <f t="shared" si="594"/>
        <v>0</v>
      </c>
      <c r="W565" s="13">
        <f t="shared" si="594"/>
        <v>0</v>
      </c>
      <c r="X565" s="13">
        <f t="shared" si="594"/>
        <v>0</v>
      </c>
      <c r="Y565" s="13">
        <f t="shared" si="594"/>
        <v>0</v>
      </c>
      <c r="Z565" s="13">
        <f t="shared" si="529"/>
        <v>1</v>
      </c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</row>
    <row r="566" ht="14.25" hidden="1" customHeight="1">
      <c r="A566" s="13" t="s">
        <v>46</v>
      </c>
      <c r="B566" s="13" t="s">
        <v>55</v>
      </c>
      <c r="C566" s="13" t="s">
        <v>439</v>
      </c>
      <c r="D566" s="26" t="s">
        <v>437</v>
      </c>
      <c r="E566" s="13" t="str">
        <f t="shared" si="2"/>
        <v>JLP,110-2A-13D,BC,1</v>
      </c>
      <c r="F566" s="13"/>
      <c r="G566" s="26" t="s">
        <v>74</v>
      </c>
      <c r="H566" s="13" t="s">
        <v>75</v>
      </c>
      <c r="I566" s="13"/>
      <c r="J566" s="13"/>
      <c r="K566" s="15">
        <v>1.0</v>
      </c>
      <c r="L566" s="15">
        <v>1.0</v>
      </c>
      <c r="M566" s="16"/>
      <c r="N566" s="16"/>
      <c r="O566" s="17"/>
      <c r="P566" s="17"/>
      <c r="Q566" s="13"/>
      <c r="R566" s="13"/>
      <c r="S566" s="13"/>
      <c r="T566" s="13">
        <f t="shared" ref="T566:Y566" si="595">IF(ISBLANK(K566)=TRUE,0,1)</f>
        <v>1</v>
      </c>
      <c r="U566" s="13">
        <f t="shared" si="595"/>
        <v>1</v>
      </c>
      <c r="V566" s="13">
        <f t="shared" si="595"/>
        <v>0</v>
      </c>
      <c r="W566" s="13">
        <f t="shared" si="595"/>
        <v>0</v>
      </c>
      <c r="X566" s="13">
        <f t="shared" si="595"/>
        <v>0</v>
      </c>
      <c r="Y566" s="13">
        <f t="shared" si="595"/>
        <v>0</v>
      </c>
      <c r="Z566" s="13">
        <f t="shared" si="529"/>
        <v>1</v>
      </c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</row>
    <row r="567" ht="14.25" hidden="1" customHeight="1">
      <c r="A567" s="13" t="s">
        <v>46</v>
      </c>
      <c r="B567" s="13" t="s">
        <v>55</v>
      </c>
      <c r="C567" s="13" t="s">
        <v>439</v>
      </c>
      <c r="D567" s="26" t="s">
        <v>440</v>
      </c>
      <c r="E567" s="13" t="str">
        <f t="shared" si="2"/>
        <v>JLP,110-2A-13D,BD,1</v>
      </c>
      <c r="F567" s="13"/>
      <c r="G567" s="26" t="s">
        <v>74</v>
      </c>
      <c r="H567" s="13" t="s">
        <v>75</v>
      </c>
      <c r="I567" s="13"/>
      <c r="J567" s="13"/>
      <c r="K567" s="15">
        <v>1.0</v>
      </c>
      <c r="L567" s="15">
        <v>1.0</v>
      </c>
      <c r="M567" s="16"/>
      <c r="N567" s="16"/>
      <c r="O567" s="17"/>
      <c r="P567" s="17"/>
      <c r="Q567" s="13"/>
      <c r="R567" s="13"/>
      <c r="S567" s="13"/>
      <c r="T567" s="13">
        <f t="shared" ref="T567:Y567" si="596">IF(ISBLANK(K567)=TRUE,0,1)</f>
        <v>1</v>
      </c>
      <c r="U567" s="13">
        <f t="shared" si="596"/>
        <v>1</v>
      </c>
      <c r="V567" s="13">
        <f t="shared" si="596"/>
        <v>0</v>
      </c>
      <c r="W567" s="13">
        <f t="shared" si="596"/>
        <v>0</v>
      </c>
      <c r="X567" s="13">
        <f t="shared" si="596"/>
        <v>0</v>
      </c>
      <c r="Y567" s="13">
        <f t="shared" si="596"/>
        <v>0</v>
      </c>
      <c r="Z567" s="13">
        <f t="shared" si="529"/>
        <v>1</v>
      </c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</row>
    <row r="568" ht="14.25" hidden="1" customHeight="1">
      <c r="A568" s="13" t="s">
        <v>46</v>
      </c>
      <c r="B568" s="13" t="s">
        <v>55</v>
      </c>
      <c r="C568" s="13" t="s">
        <v>439</v>
      </c>
      <c r="D568" s="26" t="s">
        <v>441</v>
      </c>
      <c r="E568" s="13" t="str">
        <f t="shared" si="2"/>
        <v>JLP,110-2A-13D,BE,1</v>
      </c>
      <c r="F568" s="13"/>
      <c r="G568" s="26" t="s">
        <v>74</v>
      </c>
      <c r="H568" s="13" t="s">
        <v>75</v>
      </c>
      <c r="I568" s="13"/>
      <c r="J568" s="13"/>
      <c r="K568" s="15">
        <v>1.0</v>
      </c>
      <c r="L568" s="15">
        <v>1.0</v>
      </c>
      <c r="M568" s="16"/>
      <c r="N568" s="16"/>
      <c r="O568" s="17"/>
      <c r="P568" s="17"/>
      <c r="Q568" s="13"/>
      <c r="R568" s="13"/>
      <c r="S568" s="13"/>
      <c r="T568" s="13">
        <f t="shared" ref="T568:Y568" si="597">IF(ISBLANK(K568)=TRUE,0,1)</f>
        <v>1</v>
      </c>
      <c r="U568" s="13">
        <f t="shared" si="597"/>
        <v>1</v>
      </c>
      <c r="V568" s="13">
        <f t="shared" si="597"/>
        <v>0</v>
      </c>
      <c r="W568" s="13">
        <f t="shared" si="597"/>
        <v>0</v>
      </c>
      <c r="X568" s="13">
        <f t="shared" si="597"/>
        <v>0</v>
      </c>
      <c r="Y568" s="13">
        <f t="shared" si="597"/>
        <v>0</v>
      </c>
      <c r="Z568" s="13">
        <f t="shared" si="529"/>
        <v>1</v>
      </c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</row>
    <row r="569" ht="14.25" hidden="1" customHeight="1">
      <c r="A569" s="13" t="s">
        <v>46</v>
      </c>
      <c r="B569" s="13" t="s">
        <v>55</v>
      </c>
      <c r="C569" s="13" t="s">
        <v>442</v>
      </c>
      <c r="D569" s="26" t="s">
        <v>174</v>
      </c>
      <c r="E569" s="13"/>
      <c r="F569" s="13"/>
      <c r="G569" s="26" t="s">
        <v>74</v>
      </c>
      <c r="H569" s="13" t="s">
        <v>75</v>
      </c>
      <c r="I569" s="13"/>
      <c r="J569" s="13"/>
      <c r="K569" s="15">
        <v>1.0</v>
      </c>
      <c r="L569" s="15">
        <v>1.0</v>
      </c>
      <c r="M569" s="16"/>
      <c r="N569" s="16"/>
      <c r="O569" s="17"/>
      <c r="P569" s="17"/>
      <c r="Q569" s="13"/>
      <c r="R569" s="13"/>
      <c r="S569" s="13"/>
      <c r="T569" s="13">
        <f t="shared" ref="T569:Y569" si="598">IF(ISBLANK(K569)=TRUE,0,1)</f>
        <v>1</v>
      </c>
      <c r="U569" s="13">
        <f t="shared" si="598"/>
        <v>1</v>
      </c>
      <c r="V569" s="13">
        <f t="shared" si="598"/>
        <v>0</v>
      </c>
      <c r="W569" s="13">
        <f t="shared" si="598"/>
        <v>0</v>
      </c>
      <c r="X569" s="13">
        <f t="shared" si="598"/>
        <v>0</v>
      </c>
      <c r="Y569" s="13">
        <f t="shared" si="598"/>
        <v>0</v>
      </c>
      <c r="Z569" s="13">
        <f t="shared" si="529"/>
        <v>1</v>
      </c>
      <c r="AA569" s="13" t="s">
        <v>378</v>
      </c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</row>
    <row r="570" ht="14.25" hidden="1" customHeight="1">
      <c r="A570" s="13" t="s">
        <v>46</v>
      </c>
      <c r="B570" s="13" t="s">
        <v>55</v>
      </c>
      <c r="C570" s="13" t="s">
        <v>442</v>
      </c>
      <c r="D570" s="26" t="s">
        <v>175</v>
      </c>
      <c r="E570" s="13"/>
      <c r="F570" s="13"/>
      <c r="G570" s="26" t="s">
        <v>74</v>
      </c>
      <c r="H570" s="13" t="s">
        <v>75</v>
      </c>
      <c r="I570" s="13"/>
      <c r="J570" s="13"/>
      <c r="K570" s="15">
        <v>1.0</v>
      </c>
      <c r="L570" s="15">
        <v>1.0</v>
      </c>
      <c r="M570" s="16"/>
      <c r="N570" s="16"/>
      <c r="O570" s="17"/>
      <c r="P570" s="17"/>
      <c r="Q570" s="13"/>
      <c r="R570" s="13"/>
      <c r="S570" s="13"/>
      <c r="T570" s="13">
        <f t="shared" ref="T570:Y570" si="599">IF(ISBLANK(K570)=TRUE,0,1)</f>
        <v>1</v>
      </c>
      <c r="U570" s="13">
        <f t="shared" si="599"/>
        <v>1</v>
      </c>
      <c r="V570" s="13">
        <f t="shared" si="599"/>
        <v>0</v>
      </c>
      <c r="W570" s="13">
        <f t="shared" si="599"/>
        <v>0</v>
      </c>
      <c r="X570" s="13">
        <f t="shared" si="599"/>
        <v>0</v>
      </c>
      <c r="Y570" s="13">
        <f t="shared" si="599"/>
        <v>0</v>
      </c>
      <c r="Z570" s="13">
        <f t="shared" si="529"/>
        <v>1</v>
      </c>
      <c r="AA570" s="13" t="s">
        <v>378</v>
      </c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</row>
    <row r="571" ht="14.25" hidden="1" customHeight="1">
      <c r="A571" s="13" t="s">
        <v>46</v>
      </c>
      <c r="B571" s="13" t="s">
        <v>55</v>
      </c>
      <c r="C571" s="13" t="s">
        <v>442</v>
      </c>
      <c r="D571" s="26" t="s">
        <v>176</v>
      </c>
      <c r="E571" s="13"/>
      <c r="F571" s="13"/>
      <c r="G571" s="26" t="s">
        <v>74</v>
      </c>
      <c r="H571" s="13" t="s">
        <v>75</v>
      </c>
      <c r="I571" s="13"/>
      <c r="J571" s="13"/>
      <c r="K571" s="15">
        <v>1.0</v>
      </c>
      <c r="L571" s="15">
        <v>1.0</v>
      </c>
      <c r="M571" s="16"/>
      <c r="N571" s="16"/>
      <c r="O571" s="17"/>
      <c r="P571" s="17"/>
      <c r="Q571" s="13"/>
      <c r="R571" s="13"/>
      <c r="S571" s="13"/>
      <c r="T571" s="13">
        <f t="shared" ref="T571:Y571" si="600">IF(ISBLANK(K571)=TRUE,0,1)</f>
        <v>1</v>
      </c>
      <c r="U571" s="13">
        <f t="shared" si="600"/>
        <v>1</v>
      </c>
      <c r="V571" s="13">
        <f t="shared" si="600"/>
        <v>0</v>
      </c>
      <c r="W571" s="13">
        <f t="shared" si="600"/>
        <v>0</v>
      </c>
      <c r="X571" s="13">
        <f t="shared" si="600"/>
        <v>0</v>
      </c>
      <c r="Y571" s="13">
        <f t="shared" si="600"/>
        <v>0</v>
      </c>
      <c r="Z571" s="13">
        <f t="shared" si="529"/>
        <v>1</v>
      </c>
      <c r="AA571" s="13" t="s">
        <v>378</v>
      </c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</row>
    <row r="572" ht="14.25" hidden="1" customHeight="1">
      <c r="A572" s="26" t="s">
        <v>46</v>
      </c>
      <c r="B572" s="26" t="s">
        <v>55</v>
      </c>
      <c r="C572" s="26" t="s">
        <v>443</v>
      </c>
      <c r="D572" s="26" t="s">
        <v>180</v>
      </c>
      <c r="E572" s="13" t="str">
        <f t="shared" ref="E572:E633" si="602">CONCATENATE(B572,",",C572,",",D572,",",Z572)</f>
        <v>JLP,110-2A-22,AG,1</v>
      </c>
      <c r="F572" s="26"/>
      <c r="G572" s="26" t="s">
        <v>74</v>
      </c>
      <c r="H572" s="26" t="s">
        <v>75</v>
      </c>
      <c r="I572" s="13"/>
      <c r="J572" s="13"/>
      <c r="K572" s="15">
        <v>1.0</v>
      </c>
      <c r="L572" s="15">
        <v>1.0</v>
      </c>
      <c r="M572" s="16"/>
      <c r="N572" s="16"/>
      <c r="O572" s="17"/>
      <c r="P572" s="17"/>
      <c r="Q572" s="13"/>
      <c r="R572" s="13"/>
      <c r="S572" s="13"/>
      <c r="T572" s="13">
        <f t="shared" ref="T572:Y572" si="601">IF(ISBLANK(K572)=TRUE,0,1)</f>
        <v>1</v>
      </c>
      <c r="U572" s="13">
        <f t="shared" si="601"/>
        <v>1</v>
      </c>
      <c r="V572" s="13">
        <f t="shared" si="601"/>
        <v>0</v>
      </c>
      <c r="W572" s="13">
        <f t="shared" si="601"/>
        <v>0</v>
      </c>
      <c r="X572" s="13">
        <f t="shared" si="601"/>
        <v>0</v>
      </c>
      <c r="Y572" s="13">
        <f t="shared" si="601"/>
        <v>0</v>
      </c>
      <c r="Z572" s="13">
        <f t="shared" si="529"/>
        <v>1</v>
      </c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</row>
    <row r="573" ht="14.25" hidden="1" customHeight="1">
      <c r="A573" s="26" t="s">
        <v>46</v>
      </c>
      <c r="B573" s="26" t="s">
        <v>55</v>
      </c>
      <c r="C573" s="26" t="s">
        <v>443</v>
      </c>
      <c r="D573" s="26" t="s">
        <v>181</v>
      </c>
      <c r="E573" s="13" t="str">
        <f t="shared" si="602"/>
        <v>JLP,110-2A-22,AH,1</v>
      </c>
      <c r="F573" s="26"/>
      <c r="G573" s="26" t="s">
        <v>74</v>
      </c>
      <c r="H573" s="26" t="s">
        <v>75</v>
      </c>
      <c r="I573" s="13"/>
      <c r="J573" s="13"/>
      <c r="K573" s="15">
        <v>1.0</v>
      </c>
      <c r="L573" s="15">
        <v>1.0</v>
      </c>
      <c r="M573" s="16"/>
      <c r="N573" s="16"/>
      <c r="O573" s="17"/>
      <c r="P573" s="17"/>
      <c r="Q573" s="13"/>
      <c r="R573" s="13"/>
      <c r="S573" s="13"/>
      <c r="T573" s="13">
        <f t="shared" ref="T573:Y573" si="603">IF(ISBLANK(K573)=TRUE,0,1)</f>
        <v>1</v>
      </c>
      <c r="U573" s="13">
        <f t="shared" si="603"/>
        <v>1</v>
      </c>
      <c r="V573" s="13">
        <f t="shared" si="603"/>
        <v>0</v>
      </c>
      <c r="W573" s="13">
        <f t="shared" si="603"/>
        <v>0</v>
      </c>
      <c r="X573" s="13">
        <f t="shared" si="603"/>
        <v>0</v>
      </c>
      <c r="Y573" s="13">
        <f t="shared" si="603"/>
        <v>0</v>
      </c>
      <c r="Z573" s="13">
        <f t="shared" si="529"/>
        <v>1</v>
      </c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</row>
    <row r="574" ht="14.25" hidden="1" customHeight="1">
      <c r="A574" s="26" t="s">
        <v>46</v>
      </c>
      <c r="B574" s="26" t="s">
        <v>55</v>
      </c>
      <c r="C574" s="26" t="s">
        <v>443</v>
      </c>
      <c r="D574" s="26" t="s">
        <v>182</v>
      </c>
      <c r="E574" s="13" t="str">
        <f t="shared" si="602"/>
        <v>JLP,110-2A-22,AI,1</v>
      </c>
      <c r="F574" s="26"/>
      <c r="G574" s="26" t="s">
        <v>74</v>
      </c>
      <c r="H574" s="26" t="s">
        <v>75</v>
      </c>
      <c r="I574" s="13"/>
      <c r="J574" s="13"/>
      <c r="K574" s="15">
        <v>1.0</v>
      </c>
      <c r="L574" s="15">
        <v>1.0</v>
      </c>
      <c r="M574" s="16"/>
      <c r="N574" s="16"/>
      <c r="O574" s="17"/>
      <c r="P574" s="17"/>
      <c r="Q574" s="13"/>
      <c r="R574" s="13"/>
      <c r="S574" s="13"/>
      <c r="T574" s="13">
        <f t="shared" ref="T574:Y574" si="604">IF(ISBLANK(K574)=TRUE,0,1)</f>
        <v>1</v>
      </c>
      <c r="U574" s="13">
        <f t="shared" si="604"/>
        <v>1</v>
      </c>
      <c r="V574" s="13">
        <f t="shared" si="604"/>
        <v>0</v>
      </c>
      <c r="W574" s="13">
        <f t="shared" si="604"/>
        <v>0</v>
      </c>
      <c r="X574" s="13">
        <f t="shared" si="604"/>
        <v>0</v>
      </c>
      <c r="Y574" s="13">
        <f t="shared" si="604"/>
        <v>0</v>
      </c>
      <c r="Z574" s="13">
        <f t="shared" si="529"/>
        <v>1</v>
      </c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</row>
    <row r="575" ht="14.25" hidden="1" customHeight="1">
      <c r="A575" s="26" t="s">
        <v>46</v>
      </c>
      <c r="B575" s="26" t="s">
        <v>55</v>
      </c>
      <c r="C575" s="26" t="s">
        <v>443</v>
      </c>
      <c r="D575" s="26" t="s">
        <v>183</v>
      </c>
      <c r="E575" s="13" t="str">
        <f t="shared" si="602"/>
        <v>JLP,110-2A-22,AJ,1</v>
      </c>
      <c r="F575" s="26"/>
      <c r="G575" s="26" t="s">
        <v>74</v>
      </c>
      <c r="H575" s="26" t="s">
        <v>75</v>
      </c>
      <c r="I575" s="13"/>
      <c r="J575" s="13"/>
      <c r="K575" s="15">
        <v>1.0</v>
      </c>
      <c r="L575" s="15">
        <v>1.0</v>
      </c>
      <c r="M575" s="16"/>
      <c r="N575" s="16"/>
      <c r="O575" s="17"/>
      <c r="P575" s="17"/>
      <c r="Q575" s="13"/>
      <c r="R575" s="13"/>
      <c r="S575" s="13"/>
      <c r="T575" s="13">
        <f t="shared" ref="T575:Y575" si="605">IF(ISBLANK(K575)=TRUE,0,1)</f>
        <v>1</v>
      </c>
      <c r="U575" s="13">
        <f t="shared" si="605"/>
        <v>1</v>
      </c>
      <c r="V575" s="13">
        <f t="shared" si="605"/>
        <v>0</v>
      </c>
      <c r="W575" s="13">
        <f t="shared" si="605"/>
        <v>0</v>
      </c>
      <c r="X575" s="13">
        <f t="shared" si="605"/>
        <v>0</v>
      </c>
      <c r="Y575" s="13">
        <f t="shared" si="605"/>
        <v>0</v>
      </c>
      <c r="Z575" s="13">
        <f t="shared" si="529"/>
        <v>1</v>
      </c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</row>
    <row r="576" ht="14.25" hidden="1" customHeight="1">
      <c r="A576" s="26" t="s">
        <v>46</v>
      </c>
      <c r="B576" s="26" t="s">
        <v>55</v>
      </c>
      <c r="C576" s="26" t="s">
        <v>443</v>
      </c>
      <c r="D576" s="26" t="s">
        <v>184</v>
      </c>
      <c r="E576" s="13" t="str">
        <f t="shared" si="602"/>
        <v>JLP,110-2A-22,AK,1</v>
      </c>
      <c r="F576" s="26"/>
      <c r="G576" s="26" t="s">
        <v>74</v>
      </c>
      <c r="H576" s="26" t="s">
        <v>75</v>
      </c>
      <c r="I576" s="13"/>
      <c r="J576" s="13"/>
      <c r="K576" s="15">
        <v>1.0</v>
      </c>
      <c r="L576" s="15">
        <v>1.0</v>
      </c>
      <c r="M576" s="16"/>
      <c r="N576" s="16"/>
      <c r="O576" s="17"/>
      <c r="P576" s="17"/>
      <c r="Q576" s="13"/>
      <c r="R576" s="13"/>
      <c r="S576" s="13"/>
      <c r="T576" s="13">
        <f t="shared" ref="T576:Y576" si="606">IF(ISBLANK(K576)=TRUE,0,1)</f>
        <v>1</v>
      </c>
      <c r="U576" s="13">
        <f t="shared" si="606"/>
        <v>1</v>
      </c>
      <c r="V576" s="13">
        <f t="shared" si="606"/>
        <v>0</v>
      </c>
      <c r="W576" s="13">
        <f t="shared" si="606"/>
        <v>0</v>
      </c>
      <c r="X576" s="13">
        <f t="shared" si="606"/>
        <v>0</v>
      </c>
      <c r="Y576" s="13">
        <f t="shared" si="606"/>
        <v>0</v>
      </c>
      <c r="Z576" s="13">
        <f t="shared" si="529"/>
        <v>1</v>
      </c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</row>
    <row r="577" ht="14.25" hidden="1" customHeight="1">
      <c r="A577" s="26" t="s">
        <v>46</v>
      </c>
      <c r="B577" s="26" t="s">
        <v>55</v>
      </c>
      <c r="C577" s="26" t="s">
        <v>443</v>
      </c>
      <c r="D577" s="26" t="s">
        <v>185</v>
      </c>
      <c r="E577" s="13" t="str">
        <f t="shared" si="602"/>
        <v>JLP,110-2A-22,AL,1</v>
      </c>
      <c r="F577" s="26"/>
      <c r="G577" s="26" t="s">
        <v>74</v>
      </c>
      <c r="H577" s="26" t="s">
        <v>75</v>
      </c>
      <c r="I577" s="13"/>
      <c r="J577" s="13"/>
      <c r="K577" s="15">
        <v>1.0</v>
      </c>
      <c r="L577" s="15">
        <v>1.0</v>
      </c>
      <c r="M577" s="16"/>
      <c r="N577" s="16"/>
      <c r="O577" s="17"/>
      <c r="P577" s="17"/>
      <c r="Q577" s="13"/>
      <c r="R577" s="13"/>
      <c r="S577" s="13"/>
      <c r="T577" s="13">
        <f t="shared" ref="T577:Y577" si="607">IF(ISBLANK(K577)=TRUE,0,1)</f>
        <v>1</v>
      </c>
      <c r="U577" s="13">
        <f t="shared" si="607"/>
        <v>1</v>
      </c>
      <c r="V577" s="13">
        <f t="shared" si="607"/>
        <v>0</v>
      </c>
      <c r="W577" s="13">
        <f t="shared" si="607"/>
        <v>0</v>
      </c>
      <c r="X577" s="13">
        <f t="shared" si="607"/>
        <v>0</v>
      </c>
      <c r="Y577" s="13">
        <f t="shared" si="607"/>
        <v>0</v>
      </c>
      <c r="Z577" s="13">
        <f t="shared" si="529"/>
        <v>1</v>
      </c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</row>
    <row r="578" ht="14.25" hidden="1" customHeight="1">
      <c r="A578" s="26" t="s">
        <v>46</v>
      </c>
      <c r="B578" s="26" t="s">
        <v>55</v>
      </c>
      <c r="C578" s="26" t="s">
        <v>443</v>
      </c>
      <c r="D578" s="26" t="s">
        <v>186</v>
      </c>
      <c r="E578" s="13" t="str">
        <f t="shared" si="602"/>
        <v>JLP,110-2A-22,AM,1</v>
      </c>
      <c r="F578" s="26"/>
      <c r="G578" s="26" t="s">
        <v>74</v>
      </c>
      <c r="H578" s="26" t="s">
        <v>75</v>
      </c>
      <c r="I578" s="13"/>
      <c r="J578" s="13"/>
      <c r="K578" s="15">
        <v>1.0</v>
      </c>
      <c r="L578" s="15">
        <v>1.0</v>
      </c>
      <c r="M578" s="16"/>
      <c r="N578" s="16"/>
      <c r="O578" s="17"/>
      <c r="P578" s="17"/>
      <c r="Q578" s="13"/>
      <c r="R578" s="13"/>
      <c r="S578" s="13"/>
      <c r="T578" s="13">
        <f t="shared" ref="T578:Y578" si="608">IF(ISBLANK(K578)=TRUE,0,1)</f>
        <v>1</v>
      </c>
      <c r="U578" s="13">
        <f t="shared" si="608"/>
        <v>1</v>
      </c>
      <c r="V578" s="13">
        <f t="shared" si="608"/>
        <v>0</v>
      </c>
      <c r="W578" s="13">
        <f t="shared" si="608"/>
        <v>0</v>
      </c>
      <c r="X578" s="13">
        <f t="shared" si="608"/>
        <v>0</v>
      </c>
      <c r="Y578" s="13">
        <f t="shared" si="608"/>
        <v>0</v>
      </c>
      <c r="Z578" s="13">
        <f t="shared" si="529"/>
        <v>1</v>
      </c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</row>
    <row r="579" ht="14.25" hidden="1" customHeight="1">
      <c r="A579" s="26" t="s">
        <v>46</v>
      </c>
      <c r="B579" s="26" t="s">
        <v>55</v>
      </c>
      <c r="C579" s="26" t="s">
        <v>443</v>
      </c>
      <c r="D579" s="26" t="s">
        <v>187</v>
      </c>
      <c r="E579" s="13" t="str">
        <f t="shared" si="602"/>
        <v>JLP,110-2A-22,AN,1</v>
      </c>
      <c r="F579" s="26"/>
      <c r="G579" s="26" t="s">
        <v>74</v>
      </c>
      <c r="H579" s="26" t="s">
        <v>75</v>
      </c>
      <c r="I579" s="13"/>
      <c r="J579" s="13"/>
      <c r="K579" s="15">
        <v>1.0</v>
      </c>
      <c r="L579" s="15">
        <v>1.0</v>
      </c>
      <c r="M579" s="16"/>
      <c r="N579" s="16"/>
      <c r="O579" s="17"/>
      <c r="P579" s="17"/>
      <c r="Q579" s="13"/>
      <c r="R579" s="13"/>
      <c r="S579" s="13"/>
      <c r="T579" s="13">
        <f t="shared" ref="T579:Y579" si="609">IF(ISBLANK(K579)=TRUE,0,1)</f>
        <v>1</v>
      </c>
      <c r="U579" s="13">
        <f t="shared" si="609"/>
        <v>1</v>
      </c>
      <c r="V579" s="13">
        <f t="shared" si="609"/>
        <v>0</v>
      </c>
      <c r="W579" s="13">
        <f t="shared" si="609"/>
        <v>0</v>
      </c>
      <c r="X579" s="13">
        <f t="shared" si="609"/>
        <v>0</v>
      </c>
      <c r="Y579" s="13">
        <f t="shared" si="609"/>
        <v>0</v>
      </c>
      <c r="Z579" s="13">
        <f t="shared" si="529"/>
        <v>1</v>
      </c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</row>
    <row r="580" ht="14.25" hidden="1" customHeight="1">
      <c r="A580" s="26" t="s">
        <v>46</v>
      </c>
      <c r="B580" s="26" t="s">
        <v>55</v>
      </c>
      <c r="C580" s="26" t="s">
        <v>443</v>
      </c>
      <c r="D580" s="26" t="s">
        <v>188</v>
      </c>
      <c r="E580" s="13" t="str">
        <f t="shared" si="602"/>
        <v>JLP,110-2A-22,AO,1</v>
      </c>
      <c r="F580" s="26"/>
      <c r="G580" s="26" t="s">
        <v>74</v>
      </c>
      <c r="H580" s="26" t="s">
        <v>75</v>
      </c>
      <c r="I580" s="13"/>
      <c r="J580" s="13"/>
      <c r="K580" s="15">
        <v>1.0</v>
      </c>
      <c r="L580" s="15">
        <v>1.0</v>
      </c>
      <c r="M580" s="16"/>
      <c r="N580" s="16"/>
      <c r="O580" s="17"/>
      <c r="P580" s="17"/>
      <c r="Q580" s="13"/>
      <c r="R580" s="13"/>
      <c r="S580" s="13"/>
      <c r="T580" s="13">
        <f t="shared" ref="T580:Y580" si="610">IF(ISBLANK(K580)=TRUE,0,1)</f>
        <v>1</v>
      </c>
      <c r="U580" s="13">
        <f t="shared" si="610"/>
        <v>1</v>
      </c>
      <c r="V580" s="13">
        <f t="shared" si="610"/>
        <v>0</v>
      </c>
      <c r="W580" s="13">
        <f t="shared" si="610"/>
        <v>0</v>
      </c>
      <c r="X580" s="13">
        <f t="shared" si="610"/>
        <v>0</v>
      </c>
      <c r="Y580" s="13">
        <f t="shared" si="610"/>
        <v>0</v>
      </c>
      <c r="Z580" s="13">
        <f t="shared" si="529"/>
        <v>1</v>
      </c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</row>
    <row r="581" ht="14.25" hidden="1" customHeight="1">
      <c r="A581" s="26" t="s">
        <v>46</v>
      </c>
      <c r="B581" s="26" t="s">
        <v>55</v>
      </c>
      <c r="C581" s="26" t="s">
        <v>443</v>
      </c>
      <c r="D581" s="26" t="s">
        <v>189</v>
      </c>
      <c r="E581" s="13" t="str">
        <f t="shared" si="602"/>
        <v>JLP,110-2A-22,AP,1</v>
      </c>
      <c r="F581" s="26"/>
      <c r="G581" s="26" t="s">
        <v>74</v>
      </c>
      <c r="H581" s="26" t="s">
        <v>75</v>
      </c>
      <c r="I581" s="13"/>
      <c r="J581" s="13"/>
      <c r="K581" s="15">
        <v>1.0</v>
      </c>
      <c r="L581" s="15">
        <v>1.0</v>
      </c>
      <c r="M581" s="16"/>
      <c r="N581" s="16"/>
      <c r="O581" s="17"/>
      <c r="P581" s="17"/>
      <c r="Q581" s="13"/>
      <c r="R581" s="13"/>
      <c r="S581" s="13"/>
      <c r="T581" s="13">
        <f t="shared" ref="T581:Y581" si="611">IF(ISBLANK(K581)=TRUE,0,1)</f>
        <v>1</v>
      </c>
      <c r="U581" s="13">
        <f t="shared" si="611"/>
        <v>1</v>
      </c>
      <c r="V581" s="13">
        <f t="shared" si="611"/>
        <v>0</v>
      </c>
      <c r="W581" s="13">
        <f t="shared" si="611"/>
        <v>0</v>
      </c>
      <c r="X581" s="13">
        <f t="shared" si="611"/>
        <v>0</v>
      </c>
      <c r="Y581" s="13">
        <f t="shared" si="611"/>
        <v>0</v>
      </c>
      <c r="Z581" s="13">
        <f t="shared" si="529"/>
        <v>1</v>
      </c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</row>
    <row r="582" ht="14.25" hidden="1" customHeight="1">
      <c r="A582" s="26" t="s">
        <v>46</v>
      </c>
      <c r="B582" s="26" t="s">
        <v>55</v>
      </c>
      <c r="C582" s="26" t="s">
        <v>443</v>
      </c>
      <c r="D582" s="26" t="s">
        <v>190</v>
      </c>
      <c r="E582" s="13" t="str">
        <f t="shared" si="602"/>
        <v>JLP,110-2A-22,AQ,1</v>
      </c>
      <c r="F582" s="26"/>
      <c r="G582" s="26" t="s">
        <v>74</v>
      </c>
      <c r="H582" s="26" t="s">
        <v>75</v>
      </c>
      <c r="I582" s="13"/>
      <c r="J582" s="13"/>
      <c r="K582" s="15">
        <v>1.0</v>
      </c>
      <c r="L582" s="15">
        <v>1.0</v>
      </c>
      <c r="M582" s="16"/>
      <c r="N582" s="16"/>
      <c r="O582" s="17"/>
      <c r="P582" s="17"/>
      <c r="Q582" s="13"/>
      <c r="R582" s="13"/>
      <c r="S582" s="13"/>
      <c r="T582" s="13">
        <f t="shared" ref="T582:Y582" si="612">IF(ISBLANK(K582)=TRUE,0,1)</f>
        <v>1</v>
      </c>
      <c r="U582" s="13">
        <f t="shared" si="612"/>
        <v>1</v>
      </c>
      <c r="V582" s="13">
        <f t="shared" si="612"/>
        <v>0</v>
      </c>
      <c r="W582" s="13">
        <f t="shared" si="612"/>
        <v>0</v>
      </c>
      <c r="X582" s="13">
        <f t="shared" si="612"/>
        <v>0</v>
      </c>
      <c r="Y582" s="13">
        <f t="shared" si="612"/>
        <v>0</v>
      </c>
      <c r="Z582" s="13">
        <f t="shared" si="529"/>
        <v>1</v>
      </c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</row>
    <row r="583" ht="14.25" hidden="1" customHeight="1">
      <c r="A583" s="26" t="s">
        <v>46</v>
      </c>
      <c r="B583" s="26" t="s">
        <v>55</v>
      </c>
      <c r="C583" s="26" t="s">
        <v>443</v>
      </c>
      <c r="D583" s="26" t="s">
        <v>191</v>
      </c>
      <c r="E583" s="13" t="str">
        <f t="shared" si="602"/>
        <v>JLP,110-2A-22,AR,1</v>
      </c>
      <c r="F583" s="26"/>
      <c r="G583" s="26" t="s">
        <v>74</v>
      </c>
      <c r="H583" s="26" t="s">
        <v>75</v>
      </c>
      <c r="I583" s="13"/>
      <c r="J583" s="13"/>
      <c r="K583" s="15">
        <v>1.0</v>
      </c>
      <c r="L583" s="15">
        <v>1.0</v>
      </c>
      <c r="M583" s="16"/>
      <c r="N583" s="16"/>
      <c r="O583" s="17"/>
      <c r="P583" s="17"/>
      <c r="Q583" s="13"/>
      <c r="R583" s="13"/>
      <c r="S583" s="13"/>
      <c r="T583" s="13">
        <f t="shared" ref="T583:Y583" si="613">IF(ISBLANK(K583)=TRUE,0,1)</f>
        <v>1</v>
      </c>
      <c r="U583" s="13">
        <f t="shared" si="613"/>
        <v>1</v>
      </c>
      <c r="V583" s="13">
        <f t="shared" si="613"/>
        <v>0</v>
      </c>
      <c r="W583" s="13">
        <f t="shared" si="613"/>
        <v>0</v>
      </c>
      <c r="X583" s="13">
        <f t="shared" si="613"/>
        <v>0</v>
      </c>
      <c r="Y583" s="13">
        <f t="shared" si="613"/>
        <v>0</v>
      </c>
      <c r="Z583" s="13">
        <f t="shared" si="529"/>
        <v>1</v>
      </c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</row>
    <row r="584" ht="14.25" hidden="1" customHeight="1">
      <c r="A584" s="26" t="s">
        <v>46</v>
      </c>
      <c r="B584" s="26" t="s">
        <v>55</v>
      </c>
      <c r="C584" s="26" t="s">
        <v>443</v>
      </c>
      <c r="D584" s="26" t="s">
        <v>192</v>
      </c>
      <c r="E584" s="13" t="str">
        <f t="shared" si="602"/>
        <v>JLP,110-2A-22,AS,1</v>
      </c>
      <c r="F584" s="26"/>
      <c r="G584" s="26" t="s">
        <v>74</v>
      </c>
      <c r="H584" s="26" t="s">
        <v>75</v>
      </c>
      <c r="I584" s="13"/>
      <c r="J584" s="13"/>
      <c r="K584" s="15">
        <v>1.0</v>
      </c>
      <c r="L584" s="15">
        <v>1.0</v>
      </c>
      <c r="M584" s="16"/>
      <c r="N584" s="16"/>
      <c r="O584" s="17"/>
      <c r="P584" s="17"/>
      <c r="Q584" s="13"/>
      <c r="R584" s="13"/>
      <c r="S584" s="13"/>
      <c r="T584" s="13">
        <f t="shared" ref="T584:Y584" si="614">IF(ISBLANK(K584)=TRUE,0,1)</f>
        <v>1</v>
      </c>
      <c r="U584" s="13">
        <f t="shared" si="614"/>
        <v>1</v>
      </c>
      <c r="V584" s="13">
        <f t="shared" si="614"/>
        <v>0</v>
      </c>
      <c r="W584" s="13">
        <f t="shared" si="614"/>
        <v>0</v>
      </c>
      <c r="X584" s="13">
        <f t="shared" si="614"/>
        <v>0</v>
      </c>
      <c r="Y584" s="13">
        <f t="shared" si="614"/>
        <v>0</v>
      </c>
      <c r="Z584" s="13">
        <f t="shared" si="529"/>
        <v>1</v>
      </c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</row>
    <row r="585" ht="14.25" hidden="1" customHeight="1">
      <c r="A585" s="13" t="s">
        <v>46</v>
      </c>
      <c r="B585" s="13" t="s">
        <v>55</v>
      </c>
      <c r="C585" s="13" t="s">
        <v>444</v>
      </c>
      <c r="D585" s="13"/>
      <c r="E585" s="13" t="str">
        <f t="shared" si="602"/>
        <v>JLP,110-2A-6A-1A,,1</v>
      </c>
      <c r="F585" s="13"/>
      <c r="G585" s="13" t="s">
        <v>74</v>
      </c>
      <c r="H585" s="13" t="s">
        <v>75</v>
      </c>
      <c r="I585" s="13"/>
      <c r="J585" s="13"/>
      <c r="K585" s="15"/>
      <c r="L585" s="15"/>
      <c r="M585" s="16"/>
      <c r="N585" s="16"/>
      <c r="O585" s="17">
        <v>1.0</v>
      </c>
      <c r="P585" s="17">
        <v>1.0</v>
      </c>
      <c r="Q585" s="13"/>
      <c r="R585" s="13"/>
      <c r="S585" s="13"/>
      <c r="T585" s="13">
        <f t="shared" ref="T585:Y585" si="615">IF(ISBLANK(K585)=TRUE,0,1)</f>
        <v>0</v>
      </c>
      <c r="U585" s="13">
        <f t="shared" si="615"/>
        <v>0</v>
      </c>
      <c r="V585" s="13">
        <f t="shared" si="615"/>
        <v>0</v>
      </c>
      <c r="W585" s="13">
        <f t="shared" si="615"/>
        <v>0</v>
      </c>
      <c r="X585" s="13">
        <f t="shared" si="615"/>
        <v>1</v>
      </c>
      <c r="Y585" s="13">
        <f t="shared" si="615"/>
        <v>1</v>
      </c>
      <c r="Z585" s="13">
        <f t="shared" si="529"/>
        <v>1</v>
      </c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</row>
    <row r="586" ht="14.25" hidden="1" customHeight="1">
      <c r="A586" s="13" t="s">
        <v>46</v>
      </c>
      <c r="B586" s="13" t="s">
        <v>55</v>
      </c>
      <c r="C586" s="13" t="s">
        <v>445</v>
      </c>
      <c r="D586" s="13"/>
      <c r="E586" s="13" t="str">
        <f t="shared" si="602"/>
        <v>JLP,110-2A-6A-1B,,1</v>
      </c>
      <c r="F586" s="13"/>
      <c r="G586" s="13" t="s">
        <v>74</v>
      </c>
      <c r="H586" s="13" t="s">
        <v>75</v>
      </c>
      <c r="I586" s="13"/>
      <c r="J586" s="13"/>
      <c r="K586" s="15"/>
      <c r="L586" s="15"/>
      <c r="M586" s="16"/>
      <c r="N586" s="16"/>
      <c r="O586" s="17">
        <v>1.0</v>
      </c>
      <c r="P586" s="17">
        <v>1.0</v>
      </c>
      <c r="Q586" s="13"/>
      <c r="R586" s="13"/>
      <c r="S586" s="13"/>
      <c r="T586" s="13">
        <f t="shared" ref="T586:Y586" si="616">IF(ISBLANK(K586)=TRUE,0,1)</f>
        <v>0</v>
      </c>
      <c r="U586" s="13">
        <f t="shared" si="616"/>
        <v>0</v>
      </c>
      <c r="V586" s="13">
        <f t="shared" si="616"/>
        <v>0</v>
      </c>
      <c r="W586" s="13">
        <f t="shared" si="616"/>
        <v>0</v>
      </c>
      <c r="X586" s="13">
        <f t="shared" si="616"/>
        <v>1</v>
      </c>
      <c r="Y586" s="13">
        <f t="shared" si="616"/>
        <v>1</v>
      </c>
      <c r="Z586" s="13">
        <f t="shared" si="529"/>
        <v>1</v>
      </c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</row>
    <row r="587" ht="14.25" hidden="1" customHeight="1">
      <c r="A587" s="13" t="s">
        <v>46</v>
      </c>
      <c r="B587" s="13" t="s">
        <v>55</v>
      </c>
      <c r="C587" s="13" t="s">
        <v>446</v>
      </c>
      <c r="D587" s="13"/>
      <c r="E587" s="13" t="str">
        <f t="shared" si="602"/>
        <v>JLP,110-2A-6A-1C,,1</v>
      </c>
      <c r="F587" s="13"/>
      <c r="G587" s="13" t="s">
        <v>74</v>
      </c>
      <c r="H587" s="13" t="s">
        <v>75</v>
      </c>
      <c r="I587" s="13"/>
      <c r="J587" s="13"/>
      <c r="K587" s="15"/>
      <c r="L587" s="15"/>
      <c r="M587" s="16"/>
      <c r="N587" s="16"/>
      <c r="O587" s="17">
        <v>1.0</v>
      </c>
      <c r="P587" s="17">
        <v>1.0</v>
      </c>
      <c r="Q587" s="13"/>
      <c r="R587" s="13"/>
      <c r="S587" s="13"/>
      <c r="T587" s="13">
        <f t="shared" ref="T587:Y587" si="617">IF(ISBLANK(K587)=TRUE,0,1)</f>
        <v>0</v>
      </c>
      <c r="U587" s="13">
        <f t="shared" si="617"/>
        <v>0</v>
      </c>
      <c r="V587" s="13">
        <f t="shared" si="617"/>
        <v>0</v>
      </c>
      <c r="W587" s="13">
        <f t="shared" si="617"/>
        <v>0</v>
      </c>
      <c r="X587" s="13">
        <f t="shared" si="617"/>
        <v>1</v>
      </c>
      <c r="Y587" s="13">
        <f t="shared" si="617"/>
        <v>1</v>
      </c>
      <c r="Z587" s="13">
        <f t="shared" si="529"/>
        <v>1</v>
      </c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</row>
    <row r="588" ht="14.25" hidden="1" customHeight="1">
      <c r="A588" s="13" t="s">
        <v>46</v>
      </c>
      <c r="B588" s="13" t="s">
        <v>55</v>
      </c>
      <c r="C588" s="13" t="s">
        <v>447</v>
      </c>
      <c r="D588" s="13"/>
      <c r="E588" s="13" t="str">
        <f t="shared" si="602"/>
        <v>JLP,110-2A-6A-1D,,1</v>
      </c>
      <c r="F588" s="13"/>
      <c r="G588" s="13" t="s">
        <v>74</v>
      </c>
      <c r="H588" s="13" t="s">
        <v>75</v>
      </c>
      <c r="I588" s="13"/>
      <c r="J588" s="13"/>
      <c r="K588" s="15"/>
      <c r="L588" s="15"/>
      <c r="M588" s="16"/>
      <c r="N588" s="16"/>
      <c r="O588" s="17">
        <v>1.0</v>
      </c>
      <c r="P588" s="17">
        <v>1.0</v>
      </c>
      <c r="Q588" s="13"/>
      <c r="R588" s="13"/>
      <c r="S588" s="13"/>
      <c r="T588" s="13">
        <f t="shared" ref="T588:Y588" si="618">IF(ISBLANK(K588)=TRUE,0,1)</f>
        <v>0</v>
      </c>
      <c r="U588" s="13">
        <f t="shared" si="618"/>
        <v>0</v>
      </c>
      <c r="V588" s="13">
        <f t="shared" si="618"/>
        <v>0</v>
      </c>
      <c r="W588" s="13">
        <f t="shared" si="618"/>
        <v>0</v>
      </c>
      <c r="X588" s="13">
        <f t="shared" si="618"/>
        <v>1</v>
      </c>
      <c r="Y588" s="13">
        <f t="shared" si="618"/>
        <v>1</v>
      </c>
      <c r="Z588" s="13">
        <f t="shared" si="529"/>
        <v>1</v>
      </c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</row>
    <row r="589" ht="14.25" hidden="1" customHeight="1">
      <c r="A589" s="13" t="s">
        <v>46</v>
      </c>
      <c r="B589" s="13" t="s">
        <v>55</v>
      </c>
      <c r="C589" s="13" t="s">
        <v>448</v>
      </c>
      <c r="D589" s="13"/>
      <c r="E589" s="13" t="str">
        <f t="shared" si="602"/>
        <v>JLP,110-2A-6A-1E,,1</v>
      </c>
      <c r="F589" s="13"/>
      <c r="G589" s="13" t="s">
        <v>74</v>
      </c>
      <c r="H589" s="13" t="s">
        <v>75</v>
      </c>
      <c r="I589" s="13"/>
      <c r="J589" s="13"/>
      <c r="K589" s="15"/>
      <c r="L589" s="15"/>
      <c r="M589" s="16"/>
      <c r="N589" s="16"/>
      <c r="O589" s="17">
        <v>1.0</v>
      </c>
      <c r="P589" s="17">
        <v>1.0</v>
      </c>
      <c r="Q589" s="13"/>
      <c r="R589" s="13"/>
      <c r="S589" s="13"/>
      <c r="T589" s="13">
        <f t="shared" ref="T589:Y589" si="619">IF(ISBLANK(K589)=TRUE,0,1)</f>
        <v>0</v>
      </c>
      <c r="U589" s="13">
        <f t="shared" si="619"/>
        <v>0</v>
      </c>
      <c r="V589" s="13">
        <f t="shared" si="619"/>
        <v>0</v>
      </c>
      <c r="W589" s="13">
        <f t="shared" si="619"/>
        <v>0</v>
      </c>
      <c r="X589" s="13">
        <f t="shared" si="619"/>
        <v>1</v>
      </c>
      <c r="Y589" s="13">
        <f t="shared" si="619"/>
        <v>1</v>
      </c>
      <c r="Z589" s="13">
        <f t="shared" si="529"/>
        <v>1</v>
      </c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</row>
    <row r="590" ht="14.25" hidden="1" customHeight="1">
      <c r="A590" s="13" t="s">
        <v>46</v>
      </c>
      <c r="B590" s="13" t="s">
        <v>55</v>
      </c>
      <c r="C590" s="13" t="s">
        <v>449</v>
      </c>
      <c r="D590" s="13"/>
      <c r="E590" s="13" t="str">
        <f t="shared" si="602"/>
        <v>JLP,110-2A-6A-1F,,1</v>
      </c>
      <c r="F590" s="13"/>
      <c r="G590" s="13" t="s">
        <v>74</v>
      </c>
      <c r="H590" s="13" t="s">
        <v>75</v>
      </c>
      <c r="I590" s="13"/>
      <c r="J590" s="13"/>
      <c r="K590" s="15"/>
      <c r="L590" s="15"/>
      <c r="M590" s="16"/>
      <c r="N590" s="16"/>
      <c r="O590" s="17">
        <v>1.0</v>
      </c>
      <c r="P590" s="17">
        <v>1.0</v>
      </c>
      <c r="Q590" s="13"/>
      <c r="R590" s="13"/>
      <c r="S590" s="13"/>
      <c r="T590" s="13">
        <f t="shared" ref="T590:Y590" si="620">IF(ISBLANK(K590)=TRUE,0,1)</f>
        <v>0</v>
      </c>
      <c r="U590" s="13">
        <f t="shared" si="620"/>
        <v>0</v>
      </c>
      <c r="V590" s="13">
        <f t="shared" si="620"/>
        <v>0</v>
      </c>
      <c r="W590" s="13">
        <f t="shared" si="620"/>
        <v>0</v>
      </c>
      <c r="X590" s="13">
        <f t="shared" si="620"/>
        <v>1</v>
      </c>
      <c r="Y590" s="13">
        <f t="shared" si="620"/>
        <v>1</v>
      </c>
      <c r="Z590" s="13">
        <f t="shared" si="529"/>
        <v>1</v>
      </c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</row>
    <row r="591" ht="14.25" hidden="1" customHeight="1">
      <c r="A591" s="13" t="s">
        <v>46</v>
      </c>
      <c r="B591" s="13" t="s">
        <v>55</v>
      </c>
      <c r="C591" s="13" t="s">
        <v>450</v>
      </c>
      <c r="D591" s="13"/>
      <c r="E591" s="13" t="str">
        <f t="shared" si="602"/>
        <v>JLP,110-2A-6A-1G,,1</v>
      </c>
      <c r="F591" s="13"/>
      <c r="G591" s="13" t="s">
        <v>74</v>
      </c>
      <c r="H591" s="13" t="s">
        <v>75</v>
      </c>
      <c r="I591" s="13"/>
      <c r="J591" s="13"/>
      <c r="K591" s="15"/>
      <c r="L591" s="15"/>
      <c r="M591" s="16"/>
      <c r="N591" s="16"/>
      <c r="O591" s="17">
        <v>1.0</v>
      </c>
      <c r="P591" s="17">
        <v>1.0</v>
      </c>
      <c r="Q591" s="13"/>
      <c r="R591" s="13"/>
      <c r="S591" s="13"/>
      <c r="T591" s="13">
        <f t="shared" ref="T591:Y591" si="621">IF(ISBLANK(K591)=TRUE,0,1)</f>
        <v>0</v>
      </c>
      <c r="U591" s="13">
        <f t="shared" si="621"/>
        <v>0</v>
      </c>
      <c r="V591" s="13">
        <f t="shared" si="621"/>
        <v>0</v>
      </c>
      <c r="W591" s="13">
        <f t="shared" si="621"/>
        <v>0</v>
      </c>
      <c r="X591" s="13">
        <f t="shared" si="621"/>
        <v>1</v>
      </c>
      <c r="Y591" s="13">
        <f t="shared" si="621"/>
        <v>1</v>
      </c>
      <c r="Z591" s="13">
        <f t="shared" si="529"/>
        <v>1</v>
      </c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</row>
    <row r="592" ht="14.25" hidden="1" customHeight="1">
      <c r="A592" s="13" t="s">
        <v>46</v>
      </c>
      <c r="B592" s="13" t="s">
        <v>55</v>
      </c>
      <c r="C592" s="13" t="s">
        <v>451</v>
      </c>
      <c r="D592" s="13"/>
      <c r="E592" s="13" t="str">
        <f t="shared" si="602"/>
        <v>JLP,110-2A-6A-1H,,1</v>
      </c>
      <c r="F592" s="13"/>
      <c r="G592" s="13" t="s">
        <v>74</v>
      </c>
      <c r="H592" s="13" t="s">
        <v>75</v>
      </c>
      <c r="I592" s="13"/>
      <c r="J592" s="13"/>
      <c r="K592" s="15"/>
      <c r="L592" s="15"/>
      <c r="M592" s="16"/>
      <c r="N592" s="16"/>
      <c r="O592" s="17">
        <v>1.0</v>
      </c>
      <c r="P592" s="17">
        <v>1.0</v>
      </c>
      <c r="Q592" s="13"/>
      <c r="R592" s="13"/>
      <c r="S592" s="13"/>
      <c r="T592" s="13">
        <f t="shared" ref="T592:Y592" si="622">IF(ISBLANK(K592)=TRUE,0,1)</f>
        <v>0</v>
      </c>
      <c r="U592" s="13">
        <f t="shared" si="622"/>
        <v>0</v>
      </c>
      <c r="V592" s="13">
        <f t="shared" si="622"/>
        <v>0</v>
      </c>
      <c r="W592" s="13">
        <f t="shared" si="622"/>
        <v>0</v>
      </c>
      <c r="X592" s="13">
        <f t="shared" si="622"/>
        <v>1</v>
      </c>
      <c r="Y592" s="13">
        <f t="shared" si="622"/>
        <v>1</v>
      </c>
      <c r="Z592" s="13">
        <f t="shared" si="529"/>
        <v>1</v>
      </c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</row>
    <row r="593" ht="14.25" hidden="1" customHeight="1">
      <c r="A593" s="13" t="s">
        <v>46</v>
      </c>
      <c r="B593" s="13" t="s">
        <v>55</v>
      </c>
      <c r="C593" s="13" t="s">
        <v>452</v>
      </c>
      <c r="D593" s="13"/>
      <c r="E593" s="13" t="str">
        <f t="shared" si="602"/>
        <v>JLP,110-2A-6A-1I,,1</v>
      </c>
      <c r="F593" s="13"/>
      <c r="G593" s="13" t="s">
        <v>74</v>
      </c>
      <c r="H593" s="13" t="s">
        <v>75</v>
      </c>
      <c r="I593" s="13"/>
      <c r="J593" s="13"/>
      <c r="K593" s="15"/>
      <c r="L593" s="15"/>
      <c r="M593" s="16"/>
      <c r="N593" s="16"/>
      <c r="O593" s="17">
        <v>1.0</v>
      </c>
      <c r="P593" s="17">
        <v>1.0</v>
      </c>
      <c r="Q593" s="13"/>
      <c r="R593" s="13"/>
      <c r="S593" s="13"/>
      <c r="T593" s="13">
        <f t="shared" ref="T593:Y593" si="623">IF(ISBLANK(K593)=TRUE,0,1)</f>
        <v>0</v>
      </c>
      <c r="U593" s="13">
        <f t="shared" si="623"/>
        <v>0</v>
      </c>
      <c r="V593" s="13">
        <f t="shared" si="623"/>
        <v>0</v>
      </c>
      <c r="W593" s="13">
        <f t="shared" si="623"/>
        <v>0</v>
      </c>
      <c r="X593" s="13">
        <f t="shared" si="623"/>
        <v>1</v>
      </c>
      <c r="Y593" s="13">
        <f t="shared" si="623"/>
        <v>1</v>
      </c>
      <c r="Z593" s="13">
        <f t="shared" si="529"/>
        <v>1</v>
      </c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</row>
    <row r="594" ht="14.25" hidden="1" customHeight="1">
      <c r="A594" s="13" t="s">
        <v>46</v>
      </c>
      <c r="B594" s="13" t="s">
        <v>55</v>
      </c>
      <c r="C594" s="13" t="s">
        <v>453</v>
      </c>
      <c r="D594" s="13"/>
      <c r="E594" s="13" t="str">
        <f t="shared" si="602"/>
        <v>JLP,110-2A-6A-1J,,1</v>
      </c>
      <c r="F594" s="13"/>
      <c r="G594" s="13" t="s">
        <v>74</v>
      </c>
      <c r="H594" s="13" t="s">
        <v>75</v>
      </c>
      <c r="I594" s="13"/>
      <c r="J594" s="13"/>
      <c r="K594" s="15"/>
      <c r="L594" s="15"/>
      <c r="M594" s="16"/>
      <c r="N594" s="16"/>
      <c r="O594" s="17">
        <v>1.0</v>
      </c>
      <c r="P594" s="17">
        <v>1.0</v>
      </c>
      <c r="Q594" s="13"/>
      <c r="R594" s="13"/>
      <c r="S594" s="13"/>
      <c r="T594" s="13">
        <f t="shared" ref="T594:Y594" si="624">IF(ISBLANK(K594)=TRUE,0,1)</f>
        <v>0</v>
      </c>
      <c r="U594" s="13">
        <f t="shared" si="624"/>
        <v>0</v>
      </c>
      <c r="V594" s="13">
        <f t="shared" si="624"/>
        <v>0</v>
      </c>
      <c r="W594" s="13">
        <f t="shared" si="624"/>
        <v>0</v>
      </c>
      <c r="X594" s="13">
        <f t="shared" si="624"/>
        <v>1</v>
      </c>
      <c r="Y594" s="13">
        <f t="shared" si="624"/>
        <v>1</v>
      </c>
      <c r="Z594" s="13">
        <f t="shared" si="529"/>
        <v>1</v>
      </c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</row>
    <row r="595" ht="14.25" hidden="1" customHeight="1">
      <c r="A595" s="13" t="s">
        <v>46</v>
      </c>
      <c r="B595" s="13" t="s">
        <v>55</v>
      </c>
      <c r="C595" s="13" t="s">
        <v>454</v>
      </c>
      <c r="D595" s="13"/>
      <c r="E595" s="13" t="str">
        <f t="shared" si="602"/>
        <v>JLP,110-2A-6A-1K,,NA</v>
      </c>
      <c r="F595" s="13"/>
      <c r="G595" s="13" t="s">
        <v>74</v>
      </c>
      <c r="H595" s="13" t="s">
        <v>75</v>
      </c>
      <c r="I595" s="13"/>
      <c r="J595" s="13"/>
      <c r="K595" s="15"/>
      <c r="L595" s="15"/>
      <c r="M595" s="16"/>
      <c r="N595" s="16"/>
      <c r="O595" s="17"/>
      <c r="P595" s="17"/>
      <c r="Q595" s="13"/>
      <c r="R595" s="13"/>
      <c r="S595" s="13"/>
      <c r="T595" s="13">
        <f t="shared" ref="T595:Y595" si="625">IF(ISBLANK(K595)=TRUE,0,1)</f>
        <v>0</v>
      </c>
      <c r="U595" s="13">
        <f t="shared" si="625"/>
        <v>0</v>
      </c>
      <c r="V595" s="13">
        <f t="shared" si="625"/>
        <v>0</v>
      </c>
      <c r="W595" s="13">
        <f t="shared" si="625"/>
        <v>0</v>
      </c>
      <c r="X595" s="13">
        <f t="shared" si="625"/>
        <v>0</v>
      </c>
      <c r="Y595" s="13">
        <f t="shared" si="625"/>
        <v>0</v>
      </c>
      <c r="Z595" s="13" t="str">
        <f t="shared" si="529"/>
        <v>NA</v>
      </c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</row>
    <row r="596" ht="14.25" hidden="1" customHeight="1">
      <c r="A596" s="13" t="s">
        <v>46</v>
      </c>
      <c r="B596" s="13" t="s">
        <v>55</v>
      </c>
      <c r="C596" s="13" t="s">
        <v>455</v>
      </c>
      <c r="D596" s="13"/>
      <c r="E596" s="13" t="str">
        <f t="shared" si="602"/>
        <v>JLP,110-2A-6A-1L,,1</v>
      </c>
      <c r="F596" s="13"/>
      <c r="G596" s="13" t="s">
        <v>74</v>
      </c>
      <c r="H596" s="13" t="s">
        <v>75</v>
      </c>
      <c r="I596" s="13"/>
      <c r="J596" s="13"/>
      <c r="K596" s="15"/>
      <c r="L596" s="15"/>
      <c r="M596" s="16"/>
      <c r="N596" s="16"/>
      <c r="O596" s="17">
        <v>1.0</v>
      </c>
      <c r="P596" s="17">
        <v>1.0</v>
      </c>
      <c r="Q596" s="13"/>
      <c r="R596" s="13"/>
      <c r="S596" s="13"/>
      <c r="T596" s="13">
        <f t="shared" ref="T596:Y596" si="626">IF(ISBLANK(K596)=TRUE,0,1)</f>
        <v>0</v>
      </c>
      <c r="U596" s="13">
        <f t="shared" si="626"/>
        <v>0</v>
      </c>
      <c r="V596" s="13">
        <f t="shared" si="626"/>
        <v>0</v>
      </c>
      <c r="W596" s="13">
        <f t="shared" si="626"/>
        <v>0</v>
      </c>
      <c r="X596" s="13">
        <f t="shared" si="626"/>
        <v>1</v>
      </c>
      <c r="Y596" s="13">
        <f t="shared" si="626"/>
        <v>1</v>
      </c>
      <c r="Z596" s="13">
        <f t="shared" si="529"/>
        <v>1</v>
      </c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</row>
    <row r="597" ht="14.25" hidden="1" customHeight="1">
      <c r="A597" s="13" t="s">
        <v>46</v>
      </c>
      <c r="B597" s="13" t="s">
        <v>55</v>
      </c>
      <c r="C597" s="13" t="s">
        <v>456</v>
      </c>
      <c r="D597" s="13"/>
      <c r="E597" s="13" t="str">
        <f t="shared" si="602"/>
        <v>JLP,110-2A-6A-1M,,1</v>
      </c>
      <c r="F597" s="13"/>
      <c r="G597" s="13" t="s">
        <v>74</v>
      </c>
      <c r="H597" s="13" t="s">
        <v>75</v>
      </c>
      <c r="I597" s="13"/>
      <c r="J597" s="13"/>
      <c r="K597" s="15"/>
      <c r="L597" s="15"/>
      <c r="M597" s="16"/>
      <c r="N597" s="16"/>
      <c r="O597" s="17">
        <v>1.0</v>
      </c>
      <c r="P597" s="17">
        <v>1.0</v>
      </c>
      <c r="Q597" s="13"/>
      <c r="R597" s="13"/>
      <c r="S597" s="13"/>
      <c r="T597" s="13">
        <f t="shared" ref="T597:Y597" si="627">IF(ISBLANK(K597)=TRUE,0,1)</f>
        <v>0</v>
      </c>
      <c r="U597" s="13">
        <f t="shared" si="627"/>
        <v>0</v>
      </c>
      <c r="V597" s="13">
        <f t="shared" si="627"/>
        <v>0</v>
      </c>
      <c r="W597" s="13">
        <f t="shared" si="627"/>
        <v>0</v>
      </c>
      <c r="X597" s="13">
        <f t="shared" si="627"/>
        <v>1</v>
      </c>
      <c r="Y597" s="13">
        <f t="shared" si="627"/>
        <v>1</v>
      </c>
      <c r="Z597" s="13">
        <f t="shared" si="529"/>
        <v>1</v>
      </c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</row>
    <row r="598" ht="14.25" hidden="1" customHeight="1">
      <c r="A598" s="13" t="s">
        <v>46</v>
      </c>
      <c r="B598" s="13" t="s">
        <v>55</v>
      </c>
      <c r="C598" s="13" t="s">
        <v>457</v>
      </c>
      <c r="D598" s="13"/>
      <c r="E598" s="13" t="str">
        <f t="shared" si="602"/>
        <v>JLP,110-2A-6A-1N,,NA</v>
      </c>
      <c r="F598" s="13"/>
      <c r="G598" s="13" t="s">
        <v>74</v>
      </c>
      <c r="H598" s="13" t="s">
        <v>75</v>
      </c>
      <c r="I598" s="13"/>
      <c r="J598" s="13"/>
      <c r="K598" s="15"/>
      <c r="L598" s="15"/>
      <c r="M598" s="16"/>
      <c r="N598" s="16"/>
      <c r="O598" s="17"/>
      <c r="P598" s="17"/>
      <c r="Q598" s="13"/>
      <c r="R598" s="13"/>
      <c r="S598" s="13"/>
      <c r="T598" s="13">
        <f t="shared" ref="T598:Y598" si="628">IF(ISBLANK(K598)=TRUE,0,1)</f>
        <v>0</v>
      </c>
      <c r="U598" s="13">
        <f t="shared" si="628"/>
        <v>0</v>
      </c>
      <c r="V598" s="13">
        <f t="shared" si="628"/>
        <v>0</v>
      </c>
      <c r="W598" s="13">
        <f t="shared" si="628"/>
        <v>0</v>
      </c>
      <c r="X598" s="13">
        <f t="shared" si="628"/>
        <v>0</v>
      </c>
      <c r="Y598" s="13">
        <f t="shared" si="628"/>
        <v>0</v>
      </c>
      <c r="Z598" s="13" t="str">
        <f t="shared" si="529"/>
        <v>NA</v>
      </c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</row>
    <row r="599" ht="14.25" hidden="1" customHeight="1">
      <c r="A599" s="13" t="s">
        <v>46</v>
      </c>
      <c r="B599" s="13" t="s">
        <v>55</v>
      </c>
      <c r="C599" s="13" t="s">
        <v>458</v>
      </c>
      <c r="D599" s="13"/>
      <c r="E599" s="13" t="str">
        <f t="shared" si="602"/>
        <v>JLP,110-2A-6A-1O,,1</v>
      </c>
      <c r="F599" s="13"/>
      <c r="G599" s="13" t="s">
        <v>74</v>
      </c>
      <c r="H599" s="13" t="s">
        <v>75</v>
      </c>
      <c r="I599" s="13"/>
      <c r="J599" s="13"/>
      <c r="K599" s="15"/>
      <c r="L599" s="15"/>
      <c r="M599" s="16"/>
      <c r="N599" s="16"/>
      <c r="O599" s="17">
        <v>1.0</v>
      </c>
      <c r="P599" s="17">
        <v>1.0</v>
      </c>
      <c r="Q599" s="13"/>
      <c r="R599" s="13"/>
      <c r="S599" s="13"/>
      <c r="T599" s="13">
        <f t="shared" ref="T599:Y599" si="629">IF(ISBLANK(K599)=TRUE,0,1)</f>
        <v>0</v>
      </c>
      <c r="U599" s="13">
        <f t="shared" si="629"/>
        <v>0</v>
      </c>
      <c r="V599" s="13">
        <f t="shared" si="629"/>
        <v>0</v>
      </c>
      <c r="W599" s="13">
        <f t="shared" si="629"/>
        <v>0</v>
      </c>
      <c r="X599" s="13">
        <f t="shared" si="629"/>
        <v>1</v>
      </c>
      <c r="Y599" s="13">
        <f t="shared" si="629"/>
        <v>1</v>
      </c>
      <c r="Z599" s="13">
        <f t="shared" si="529"/>
        <v>1</v>
      </c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</row>
    <row r="600" ht="14.25" hidden="1" customHeight="1">
      <c r="A600" s="13" t="s">
        <v>46</v>
      </c>
      <c r="B600" s="13" t="s">
        <v>55</v>
      </c>
      <c r="C600" s="13" t="s">
        <v>459</v>
      </c>
      <c r="D600" s="13"/>
      <c r="E600" s="13" t="str">
        <f t="shared" si="602"/>
        <v>JLP,110-2A-6A-1P,,1</v>
      </c>
      <c r="F600" s="13"/>
      <c r="G600" s="13" t="s">
        <v>74</v>
      </c>
      <c r="H600" s="13" t="s">
        <v>75</v>
      </c>
      <c r="I600" s="13"/>
      <c r="J600" s="13"/>
      <c r="K600" s="15"/>
      <c r="L600" s="15"/>
      <c r="M600" s="16"/>
      <c r="N600" s="16"/>
      <c r="O600" s="17">
        <v>1.0</v>
      </c>
      <c r="P600" s="17">
        <v>1.0</v>
      </c>
      <c r="Q600" s="13"/>
      <c r="R600" s="13"/>
      <c r="S600" s="13"/>
      <c r="T600" s="13">
        <f t="shared" ref="T600:Y600" si="630">IF(ISBLANK(K600)=TRUE,0,1)</f>
        <v>0</v>
      </c>
      <c r="U600" s="13">
        <f t="shared" si="630"/>
        <v>0</v>
      </c>
      <c r="V600" s="13">
        <f t="shared" si="630"/>
        <v>0</v>
      </c>
      <c r="W600" s="13">
        <f t="shared" si="630"/>
        <v>0</v>
      </c>
      <c r="X600" s="13">
        <f t="shared" si="630"/>
        <v>1</v>
      </c>
      <c r="Y600" s="13">
        <f t="shared" si="630"/>
        <v>1</v>
      </c>
      <c r="Z600" s="13">
        <f t="shared" si="529"/>
        <v>1</v>
      </c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</row>
    <row r="601" ht="14.25" hidden="1" customHeight="1">
      <c r="A601" s="13" t="s">
        <v>46</v>
      </c>
      <c r="B601" s="13" t="s">
        <v>55</v>
      </c>
      <c r="C601" s="13" t="s">
        <v>460</v>
      </c>
      <c r="D601" s="13"/>
      <c r="E601" s="13" t="str">
        <f t="shared" si="602"/>
        <v>JLP,110-2A-6A-1Q,,1</v>
      </c>
      <c r="F601" s="13"/>
      <c r="G601" s="13" t="s">
        <v>74</v>
      </c>
      <c r="H601" s="13" t="s">
        <v>75</v>
      </c>
      <c r="I601" s="13"/>
      <c r="J601" s="13"/>
      <c r="K601" s="15"/>
      <c r="L601" s="15"/>
      <c r="M601" s="16"/>
      <c r="N601" s="16"/>
      <c r="O601" s="17">
        <v>1.0</v>
      </c>
      <c r="P601" s="17">
        <v>1.0</v>
      </c>
      <c r="Q601" s="13"/>
      <c r="R601" s="13"/>
      <c r="S601" s="13"/>
      <c r="T601" s="13">
        <f t="shared" ref="T601:Y601" si="631">IF(ISBLANK(K601)=TRUE,0,1)</f>
        <v>0</v>
      </c>
      <c r="U601" s="13">
        <f t="shared" si="631"/>
        <v>0</v>
      </c>
      <c r="V601" s="13">
        <f t="shared" si="631"/>
        <v>0</v>
      </c>
      <c r="W601" s="13">
        <f t="shared" si="631"/>
        <v>0</v>
      </c>
      <c r="X601" s="13">
        <f t="shared" si="631"/>
        <v>1</v>
      </c>
      <c r="Y601" s="13">
        <f t="shared" si="631"/>
        <v>1</v>
      </c>
      <c r="Z601" s="13">
        <f t="shared" si="529"/>
        <v>1</v>
      </c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</row>
    <row r="602" ht="14.25" hidden="1" customHeight="1">
      <c r="A602" s="13" t="s">
        <v>46</v>
      </c>
      <c r="B602" s="13" t="s">
        <v>55</v>
      </c>
      <c r="C602" s="13" t="s">
        <v>461</v>
      </c>
      <c r="D602" s="13"/>
      <c r="E602" s="13" t="str">
        <f t="shared" si="602"/>
        <v>JLP,110-2A-6A-1R,,NA</v>
      </c>
      <c r="F602" s="13"/>
      <c r="G602" s="13" t="s">
        <v>74</v>
      </c>
      <c r="H602" s="13" t="s">
        <v>75</v>
      </c>
      <c r="I602" s="13"/>
      <c r="J602" s="13"/>
      <c r="K602" s="15"/>
      <c r="L602" s="15"/>
      <c r="M602" s="16"/>
      <c r="N602" s="16"/>
      <c r="O602" s="17"/>
      <c r="P602" s="17"/>
      <c r="Q602" s="13"/>
      <c r="R602" s="13"/>
      <c r="S602" s="13"/>
      <c r="T602" s="13">
        <f t="shared" ref="T602:Y602" si="632">IF(ISBLANK(K602)=TRUE,0,1)</f>
        <v>0</v>
      </c>
      <c r="U602" s="13">
        <f t="shared" si="632"/>
        <v>0</v>
      </c>
      <c r="V602" s="13">
        <f t="shared" si="632"/>
        <v>0</v>
      </c>
      <c r="W602" s="13">
        <f t="shared" si="632"/>
        <v>0</v>
      </c>
      <c r="X602" s="13">
        <f t="shared" si="632"/>
        <v>0</v>
      </c>
      <c r="Y602" s="13">
        <f t="shared" si="632"/>
        <v>0</v>
      </c>
      <c r="Z602" s="13" t="str">
        <f t="shared" si="529"/>
        <v>NA</v>
      </c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</row>
    <row r="603" ht="14.25" hidden="1" customHeight="1">
      <c r="A603" s="13" t="s">
        <v>46</v>
      </c>
      <c r="B603" s="13" t="s">
        <v>55</v>
      </c>
      <c r="C603" s="13" t="s">
        <v>462</v>
      </c>
      <c r="D603" s="13"/>
      <c r="E603" s="13" t="str">
        <f t="shared" si="602"/>
        <v>JLP,110-2A-6A-1S,,NA</v>
      </c>
      <c r="F603" s="13"/>
      <c r="G603" s="13" t="s">
        <v>74</v>
      </c>
      <c r="H603" s="13" t="s">
        <v>75</v>
      </c>
      <c r="I603" s="13"/>
      <c r="J603" s="13"/>
      <c r="K603" s="15"/>
      <c r="L603" s="15"/>
      <c r="M603" s="16"/>
      <c r="N603" s="16"/>
      <c r="O603" s="17"/>
      <c r="P603" s="17"/>
      <c r="Q603" s="13"/>
      <c r="R603" s="13"/>
      <c r="S603" s="13"/>
      <c r="T603" s="13">
        <f t="shared" ref="T603:Y603" si="633">IF(ISBLANK(K603)=TRUE,0,1)</f>
        <v>0</v>
      </c>
      <c r="U603" s="13">
        <f t="shared" si="633"/>
        <v>0</v>
      </c>
      <c r="V603" s="13">
        <f t="shared" si="633"/>
        <v>0</v>
      </c>
      <c r="W603" s="13">
        <f t="shared" si="633"/>
        <v>0</v>
      </c>
      <c r="X603" s="13">
        <f t="shared" si="633"/>
        <v>0</v>
      </c>
      <c r="Y603" s="13">
        <f t="shared" si="633"/>
        <v>0</v>
      </c>
      <c r="Z603" s="13" t="str">
        <f t="shared" si="529"/>
        <v>NA</v>
      </c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</row>
    <row r="604" ht="14.25" hidden="1" customHeight="1">
      <c r="A604" s="13" t="s">
        <v>46</v>
      </c>
      <c r="B604" s="13" t="s">
        <v>55</v>
      </c>
      <c r="C604" s="13" t="s">
        <v>463</v>
      </c>
      <c r="D604" s="13"/>
      <c r="E604" s="13" t="str">
        <f t="shared" si="602"/>
        <v>JLP,110-2A-6A-1T,,NA</v>
      </c>
      <c r="F604" s="13"/>
      <c r="G604" s="13" t="s">
        <v>74</v>
      </c>
      <c r="H604" s="13" t="s">
        <v>75</v>
      </c>
      <c r="I604" s="13"/>
      <c r="J604" s="13"/>
      <c r="K604" s="15"/>
      <c r="L604" s="15"/>
      <c r="M604" s="16"/>
      <c r="N604" s="16"/>
      <c r="O604" s="17"/>
      <c r="P604" s="17"/>
      <c r="Q604" s="13"/>
      <c r="R604" s="13"/>
      <c r="S604" s="13"/>
      <c r="T604" s="13">
        <f t="shared" ref="T604:Y604" si="634">IF(ISBLANK(K604)=TRUE,0,1)</f>
        <v>0</v>
      </c>
      <c r="U604" s="13">
        <f t="shared" si="634"/>
        <v>0</v>
      </c>
      <c r="V604" s="13">
        <f t="shared" si="634"/>
        <v>0</v>
      </c>
      <c r="W604" s="13">
        <f t="shared" si="634"/>
        <v>0</v>
      </c>
      <c r="X604" s="13">
        <f t="shared" si="634"/>
        <v>0</v>
      </c>
      <c r="Y604" s="13">
        <f t="shared" si="634"/>
        <v>0</v>
      </c>
      <c r="Z604" s="13" t="str">
        <f t="shared" si="529"/>
        <v>NA</v>
      </c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</row>
    <row r="605" ht="14.25" hidden="1" customHeight="1">
      <c r="A605" s="13" t="s">
        <v>46</v>
      </c>
      <c r="B605" s="13" t="s">
        <v>55</v>
      </c>
      <c r="C605" s="13" t="s">
        <v>464</v>
      </c>
      <c r="D605" s="13"/>
      <c r="E605" s="13" t="str">
        <f t="shared" si="602"/>
        <v>JLP,110-2A-6A-1U,,NA</v>
      </c>
      <c r="F605" s="13"/>
      <c r="G605" s="13" t="s">
        <v>74</v>
      </c>
      <c r="H605" s="13" t="s">
        <v>75</v>
      </c>
      <c r="I605" s="13"/>
      <c r="J605" s="13"/>
      <c r="K605" s="15"/>
      <c r="L605" s="15"/>
      <c r="M605" s="16"/>
      <c r="N605" s="16"/>
      <c r="O605" s="17"/>
      <c r="P605" s="17"/>
      <c r="Q605" s="13"/>
      <c r="R605" s="13"/>
      <c r="S605" s="13"/>
      <c r="T605" s="13">
        <f t="shared" ref="T605:Y605" si="635">IF(ISBLANK(K605)=TRUE,0,1)</f>
        <v>0</v>
      </c>
      <c r="U605" s="13">
        <f t="shared" si="635"/>
        <v>0</v>
      </c>
      <c r="V605" s="13">
        <f t="shared" si="635"/>
        <v>0</v>
      </c>
      <c r="W605" s="13">
        <f t="shared" si="635"/>
        <v>0</v>
      </c>
      <c r="X605" s="13">
        <f t="shared" si="635"/>
        <v>0</v>
      </c>
      <c r="Y605" s="13">
        <f t="shared" si="635"/>
        <v>0</v>
      </c>
      <c r="Z605" s="13" t="str">
        <f t="shared" si="529"/>
        <v>NA</v>
      </c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</row>
    <row r="606" ht="14.25" hidden="1" customHeight="1">
      <c r="A606" s="13" t="s">
        <v>46</v>
      </c>
      <c r="B606" s="13" t="s">
        <v>55</v>
      </c>
      <c r="C606" s="13" t="s">
        <v>465</v>
      </c>
      <c r="D606" s="13"/>
      <c r="E606" s="13" t="str">
        <f t="shared" si="602"/>
        <v>JLP,110-2A-6A-1V,,NA</v>
      </c>
      <c r="F606" s="13"/>
      <c r="G606" s="13" t="s">
        <v>74</v>
      </c>
      <c r="H606" s="13" t="s">
        <v>75</v>
      </c>
      <c r="I606" s="13"/>
      <c r="J606" s="13"/>
      <c r="K606" s="15"/>
      <c r="L606" s="15"/>
      <c r="M606" s="16"/>
      <c r="N606" s="16"/>
      <c r="O606" s="17"/>
      <c r="P606" s="17"/>
      <c r="Q606" s="13"/>
      <c r="R606" s="13"/>
      <c r="S606" s="13"/>
      <c r="T606" s="13">
        <f t="shared" ref="T606:Y606" si="636">IF(ISBLANK(K606)=TRUE,0,1)</f>
        <v>0</v>
      </c>
      <c r="U606" s="13">
        <f t="shared" si="636"/>
        <v>0</v>
      </c>
      <c r="V606" s="13">
        <f t="shared" si="636"/>
        <v>0</v>
      </c>
      <c r="W606" s="13">
        <f t="shared" si="636"/>
        <v>0</v>
      </c>
      <c r="X606" s="13">
        <f t="shared" si="636"/>
        <v>0</v>
      </c>
      <c r="Y606" s="13">
        <f t="shared" si="636"/>
        <v>0</v>
      </c>
      <c r="Z606" s="13" t="str">
        <f t="shared" si="529"/>
        <v>NA</v>
      </c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</row>
    <row r="607" ht="14.25" hidden="1" customHeight="1">
      <c r="A607" s="13" t="s">
        <v>46</v>
      </c>
      <c r="B607" s="13" t="s">
        <v>55</v>
      </c>
      <c r="C607" s="13" t="s">
        <v>466</v>
      </c>
      <c r="D607" s="13"/>
      <c r="E607" s="13" t="str">
        <f t="shared" si="602"/>
        <v>JLP,110-2A-6A-1W,,1</v>
      </c>
      <c r="F607" s="13"/>
      <c r="G607" s="13" t="s">
        <v>74</v>
      </c>
      <c r="H607" s="13" t="s">
        <v>75</v>
      </c>
      <c r="I607" s="13"/>
      <c r="J607" s="13"/>
      <c r="K607" s="15"/>
      <c r="L607" s="15"/>
      <c r="M607" s="16"/>
      <c r="N607" s="16"/>
      <c r="O607" s="17">
        <v>1.0</v>
      </c>
      <c r="P607" s="17">
        <v>1.0</v>
      </c>
      <c r="Q607" s="13"/>
      <c r="R607" s="13"/>
      <c r="S607" s="13"/>
      <c r="T607" s="13">
        <f t="shared" ref="T607:Y607" si="637">IF(ISBLANK(K607)=TRUE,0,1)</f>
        <v>0</v>
      </c>
      <c r="U607" s="13">
        <f t="shared" si="637"/>
        <v>0</v>
      </c>
      <c r="V607" s="13">
        <f t="shared" si="637"/>
        <v>0</v>
      </c>
      <c r="W607" s="13">
        <f t="shared" si="637"/>
        <v>0</v>
      </c>
      <c r="X607" s="13">
        <f t="shared" si="637"/>
        <v>1</v>
      </c>
      <c r="Y607" s="13">
        <f t="shared" si="637"/>
        <v>1</v>
      </c>
      <c r="Z607" s="13">
        <f t="shared" si="529"/>
        <v>1</v>
      </c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</row>
    <row r="608" ht="14.25" hidden="1" customHeight="1">
      <c r="A608" s="13" t="s">
        <v>46</v>
      </c>
      <c r="B608" s="13" t="s">
        <v>55</v>
      </c>
      <c r="C608" s="13" t="s">
        <v>467</v>
      </c>
      <c r="D608" s="13"/>
      <c r="E608" s="13" t="str">
        <f t="shared" si="602"/>
        <v>JLP,110-2A-6A-1X,,1</v>
      </c>
      <c r="F608" s="13"/>
      <c r="G608" s="13" t="s">
        <v>74</v>
      </c>
      <c r="H608" s="13" t="s">
        <v>75</v>
      </c>
      <c r="I608" s="13"/>
      <c r="J608" s="13"/>
      <c r="K608" s="15"/>
      <c r="L608" s="15"/>
      <c r="M608" s="16"/>
      <c r="N608" s="16"/>
      <c r="O608" s="17">
        <v>1.0</v>
      </c>
      <c r="P608" s="17">
        <v>1.0</v>
      </c>
      <c r="Q608" s="13"/>
      <c r="R608" s="13"/>
      <c r="S608" s="13"/>
      <c r="T608" s="13">
        <f t="shared" ref="T608:Y608" si="638">IF(ISBLANK(K608)=TRUE,0,1)</f>
        <v>0</v>
      </c>
      <c r="U608" s="13">
        <f t="shared" si="638"/>
        <v>0</v>
      </c>
      <c r="V608" s="13">
        <f t="shared" si="638"/>
        <v>0</v>
      </c>
      <c r="W608" s="13">
        <f t="shared" si="638"/>
        <v>0</v>
      </c>
      <c r="X608" s="13">
        <f t="shared" si="638"/>
        <v>1</v>
      </c>
      <c r="Y608" s="13">
        <f t="shared" si="638"/>
        <v>1</v>
      </c>
      <c r="Z608" s="13">
        <f t="shared" si="529"/>
        <v>1</v>
      </c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</row>
    <row r="609" ht="14.25" hidden="1" customHeight="1">
      <c r="A609" s="13" t="s">
        <v>46</v>
      </c>
      <c r="B609" s="13" t="s">
        <v>55</v>
      </c>
      <c r="C609" s="13" t="s">
        <v>468</v>
      </c>
      <c r="D609" s="13"/>
      <c r="E609" s="13" t="str">
        <f t="shared" si="602"/>
        <v>JLP,110-2A-6A-1Y,,NA</v>
      </c>
      <c r="F609" s="13"/>
      <c r="G609" s="13" t="s">
        <v>74</v>
      </c>
      <c r="H609" s="13" t="s">
        <v>75</v>
      </c>
      <c r="I609" s="13"/>
      <c r="J609" s="13"/>
      <c r="K609" s="15"/>
      <c r="L609" s="15"/>
      <c r="M609" s="16"/>
      <c r="N609" s="16"/>
      <c r="O609" s="17"/>
      <c r="P609" s="17"/>
      <c r="Q609" s="13"/>
      <c r="R609" s="13"/>
      <c r="S609" s="13"/>
      <c r="T609" s="13">
        <f t="shared" ref="T609:Y609" si="639">IF(ISBLANK(K609)=TRUE,0,1)</f>
        <v>0</v>
      </c>
      <c r="U609" s="13">
        <f t="shared" si="639"/>
        <v>0</v>
      </c>
      <c r="V609" s="13">
        <f t="shared" si="639"/>
        <v>0</v>
      </c>
      <c r="W609" s="13">
        <f t="shared" si="639"/>
        <v>0</v>
      </c>
      <c r="X609" s="13">
        <f t="shared" si="639"/>
        <v>0</v>
      </c>
      <c r="Y609" s="13">
        <f t="shared" si="639"/>
        <v>0</v>
      </c>
      <c r="Z609" s="13" t="str">
        <f t="shared" si="529"/>
        <v>NA</v>
      </c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</row>
    <row r="610" ht="14.25" hidden="1" customHeight="1">
      <c r="A610" s="13" t="s">
        <v>46</v>
      </c>
      <c r="B610" s="13" t="s">
        <v>55</v>
      </c>
      <c r="C610" s="13" t="s">
        <v>469</v>
      </c>
      <c r="D610" s="13"/>
      <c r="E610" s="13" t="str">
        <f t="shared" si="602"/>
        <v>JLP,110-2A-6A-1Z,,NA</v>
      </c>
      <c r="F610" s="13"/>
      <c r="G610" s="13" t="s">
        <v>74</v>
      </c>
      <c r="H610" s="13" t="s">
        <v>75</v>
      </c>
      <c r="I610" s="13"/>
      <c r="J610" s="13"/>
      <c r="K610" s="15"/>
      <c r="L610" s="15"/>
      <c r="M610" s="16"/>
      <c r="N610" s="16"/>
      <c r="O610" s="17"/>
      <c r="P610" s="17"/>
      <c r="Q610" s="13"/>
      <c r="R610" s="13"/>
      <c r="S610" s="13"/>
      <c r="T610" s="13">
        <f t="shared" ref="T610:Y610" si="640">IF(ISBLANK(K610)=TRUE,0,1)</f>
        <v>0</v>
      </c>
      <c r="U610" s="13">
        <f t="shared" si="640"/>
        <v>0</v>
      </c>
      <c r="V610" s="13">
        <f t="shared" si="640"/>
        <v>0</v>
      </c>
      <c r="W610" s="13">
        <f t="shared" si="640"/>
        <v>0</v>
      </c>
      <c r="X610" s="13">
        <f t="shared" si="640"/>
        <v>0</v>
      </c>
      <c r="Y610" s="13">
        <f t="shared" si="640"/>
        <v>0</v>
      </c>
      <c r="Z610" s="13" t="str">
        <f t="shared" si="529"/>
        <v>NA</v>
      </c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</row>
    <row r="611" ht="14.25" hidden="1" customHeight="1">
      <c r="A611" s="13" t="s">
        <v>46</v>
      </c>
      <c r="B611" s="13" t="s">
        <v>55</v>
      </c>
      <c r="C611" s="13" t="s">
        <v>470</v>
      </c>
      <c r="D611" s="13"/>
      <c r="E611" s="13" t="str">
        <f t="shared" si="602"/>
        <v>JLP,110-2A-6A-2A,,1</v>
      </c>
      <c r="F611" s="13"/>
      <c r="G611" s="13" t="s">
        <v>74</v>
      </c>
      <c r="H611" s="13" t="s">
        <v>75</v>
      </c>
      <c r="I611" s="13"/>
      <c r="J611" s="13"/>
      <c r="K611" s="15"/>
      <c r="L611" s="15"/>
      <c r="M611" s="16"/>
      <c r="N611" s="16"/>
      <c r="O611" s="17">
        <v>1.0</v>
      </c>
      <c r="P611" s="17">
        <v>1.0</v>
      </c>
      <c r="Q611" s="13"/>
      <c r="R611" s="13"/>
      <c r="S611" s="13"/>
      <c r="T611" s="13">
        <f t="shared" ref="T611:Y611" si="641">IF(ISBLANK(K611)=TRUE,0,1)</f>
        <v>0</v>
      </c>
      <c r="U611" s="13">
        <f t="shared" si="641"/>
        <v>0</v>
      </c>
      <c r="V611" s="13">
        <f t="shared" si="641"/>
        <v>0</v>
      </c>
      <c r="W611" s="13">
        <f t="shared" si="641"/>
        <v>0</v>
      </c>
      <c r="X611" s="13">
        <f t="shared" si="641"/>
        <v>1</v>
      </c>
      <c r="Y611" s="13">
        <f t="shared" si="641"/>
        <v>1</v>
      </c>
      <c r="Z611" s="13">
        <f t="shared" si="529"/>
        <v>1</v>
      </c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</row>
    <row r="612" ht="14.25" hidden="1" customHeight="1">
      <c r="A612" s="13" t="s">
        <v>46</v>
      </c>
      <c r="B612" s="13" t="s">
        <v>55</v>
      </c>
      <c r="C612" s="13" t="s">
        <v>471</v>
      </c>
      <c r="D612" s="13"/>
      <c r="E612" s="13" t="str">
        <f t="shared" si="602"/>
        <v>JLP,110-2A-6A-2B,,NA</v>
      </c>
      <c r="F612" s="13"/>
      <c r="G612" s="13" t="s">
        <v>74</v>
      </c>
      <c r="H612" s="13" t="s">
        <v>75</v>
      </c>
      <c r="I612" s="13"/>
      <c r="J612" s="13"/>
      <c r="K612" s="15"/>
      <c r="L612" s="15"/>
      <c r="M612" s="16"/>
      <c r="N612" s="16"/>
      <c r="O612" s="17"/>
      <c r="P612" s="17"/>
      <c r="Q612" s="13"/>
      <c r="R612" s="13"/>
      <c r="S612" s="13"/>
      <c r="T612" s="13">
        <f t="shared" ref="T612:Y612" si="642">IF(ISBLANK(K612)=TRUE,0,1)</f>
        <v>0</v>
      </c>
      <c r="U612" s="13">
        <f t="shared" si="642"/>
        <v>0</v>
      </c>
      <c r="V612" s="13">
        <f t="shared" si="642"/>
        <v>0</v>
      </c>
      <c r="W612" s="13">
        <f t="shared" si="642"/>
        <v>0</v>
      </c>
      <c r="X612" s="13">
        <f t="shared" si="642"/>
        <v>0</v>
      </c>
      <c r="Y612" s="13">
        <f t="shared" si="642"/>
        <v>0</v>
      </c>
      <c r="Z612" s="13" t="str">
        <f t="shared" si="529"/>
        <v>NA</v>
      </c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</row>
    <row r="613" ht="14.25" hidden="1" customHeight="1">
      <c r="A613" s="13" t="s">
        <v>46</v>
      </c>
      <c r="B613" s="13" t="s">
        <v>55</v>
      </c>
      <c r="C613" s="13" t="s">
        <v>472</v>
      </c>
      <c r="D613" s="13"/>
      <c r="E613" s="13" t="str">
        <f t="shared" si="602"/>
        <v>JLP,110-2A-6A-2C,,NA</v>
      </c>
      <c r="F613" s="13"/>
      <c r="G613" s="13" t="s">
        <v>74</v>
      </c>
      <c r="H613" s="13" t="s">
        <v>75</v>
      </c>
      <c r="I613" s="13"/>
      <c r="J613" s="13"/>
      <c r="K613" s="15"/>
      <c r="L613" s="15"/>
      <c r="M613" s="16"/>
      <c r="N613" s="16"/>
      <c r="O613" s="17"/>
      <c r="P613" s="17"/>
      <c r="Q613" s="13"/>
      <c r="R613" s="13"/>
      <c r="S613" s="13"/>
      <c r="T613" s="13">
        <f t="shared" ref="T613:Y613" si="643">IF(ISBLANK(K613)=TRUE,0,1)</f>
        <v>0</v>
      </c>
      <c r="U613" s="13">
        <f t="shared" si="643"/>
        <v>0</v>
      </c>
      <c r="V613" s="13">
        <f t="shared" si="643"/>
        <v>0</v>
      </c>
      <c r="W613" s="13">
        <f t="shared" si="643"/>
        <v>0</v>
      </c>
      <c r="X613" s="13">
        <f t="shared" si="643"/>
        <v>0</v>
      </c>
      <c r="Y613" s="13">
        <f t="shared" si="643"/>
        <v>0</v>
      </c>
      <c r="Z613" s="13" t="str">
        <f t="shared" si="529"/>
        <v>NA</v>
      </c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</row>
    <row r="614" ht="14.25" hidden="1" customHeight="1">
      <c r="A614" s="13" t="s">
        <v>46</v>
      </c>
      <c r="B614" s="13" t="s">
        <v>55</v>
      </c>
      <c r="C614" s="13" t="s">
        <v>473</v>
      </c>
      <c r="D614" s="13"/>
      <c r="E614" s="13" t="str">
        <f t="shared" si="602"/>
        <v>JLP,110-2A-6A-2D,,NA</v>
      </c>
      <c r="F614" s="13"/>
      <c r="G614" s="13" t="s">
        <v>74</v>
      </c>
      <c r="H614" s="13" t="s">
        <v>75</v>
      </c>
      <c r="I614" s="13"/>
      <c r="J614" s="13"/>
      <c r="K614" s="15"/>
      <c r="L614" s="15"/>
      <c r="M614" s="16"/>
      <c r="N614" s="16"/>
      <c r="O614" s="17"/>
      <c r="P614" s="17"/>
      <c r="Q614" s="13"/>
      <c r="R614" s="13"/>
      <c r="S614" s="13"/>
      <c r="T614" s="13">
        <f t="shared" ref="T614:Y614" si="644">IF(ISBLANK(K614)=TRUE,0,1)</f>
        <v>0</v>
      </c>
      <c r="U614" s="13">
        <f t="shared" si="644"/>
        <v>0</v>
      </c>
      <c r="V614" s="13">
        <f t="shared" si="644"/>
        <v>0</v>
      </c>
      <c r="W614" s="13">
        <f t="shared" si="644"/>
        <v>0</v>
      </c>
      <c r="X614" s="13">
        <f t="shared" si="644"/>
        <v>0</v>
      </c>
      <c r="Y614" s="13">
        <f t="shared" si="644"/>
        <v>0</v>
      </c>
      <c r="Z614" s="13" t="str">
        <f t="shared" si="529"/>
        <v>NA</v>
      </c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</row>
    <row r="615" ht="14.25" hidden="1" customHeight="1">
      <c r="A615" s="13" t="s">
        <v>46</v>
      </c>
      <c r="B615" s="13" t="s">
        <v>55</v>
      </c>
      <c r="C615" s="13" t="s">
        <v>474</v>
      </c>
      <c r="D615" s="13"/>
      <c r="E615" s="13" t="str">
        <f t="shared" si="602"/>
        <v>JLP,110-2A-6A-2E,,NA</v>
      </c>
      <c r="F615" s="13"/>
      <c r="G615" s="13" t="s">
        <v>74</v>
      </c>
      <c r="H615" s="13" t="s">
        <v>75</v>
      </c>
      <c r="I615" s="13"/>
      <c r="J615" s="13"/>
      <c r="K615" s="15"/>
      <c r="L615" s="15"/>
      <c r="M615" s="16"/>
      <c r="N615" s="16"/>
      <c r="O615" s="17"/>
      <c r="P615" s="17"/>
      <c r="Q615" s="13"/>
      <c r="R615" s="13"/>
      <c r="S615" s="13"/>
      <c r="T615" s="13">
        <f t="shared" ref="T615:Y615" si="645">IF(ISBLANK(K615)=TRUE,0,1)</f>
        <v>0</v>
      </c>
      <c r="U615" s="13">
        <f t="shared" si="645"/>
        <v>0</v>
      </c>
      <c r="V615" s="13">
        <f t="shared" si="645"/>
        <v>0</v>
      </c>
      <c r="W615" s="13">
        <f t="shared" si="645"/>
        <v>0</v>
      </c>
      <c r="X615" s="13">
        <f t="shared" si="645"/>
        <v>0</v>
      </c>
      <c r="Y615" s="13">
        <f t="shared" si="645"/>
        <v>0</v>
      </c>
      <c r="Z615" s="13" t="str">
        <f t="shared" si="529"/>
        <v>NA</v>
      </c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</row>
    <row r="616" ht="14.25" hidden="1" customHeight="1">
      <c r="A616" s="13" t="s">
        <v>46</v>
      </c>
      <c r="B616" s="13" t="s">
        <v>55</v>
      </c>
      <c r="C616" s="13" t="s">
        <v>475</v>
      </c>
      <c r="D616" s="13"/>
      <c r="E616" s="13" t="str">
        <f t="shared" si="602"/>
        <v>JLP,110-2A-6A-2F,,NA</v>
      </c>
      <c r="F616" s="13"/>
      <c r="G616" s="13" t="s">
        <v>74</v>
      </c>
      <c r="H616" s="13" t="s">
        <v>75</v>
      </c>
      <c r="I616" s="13"/>
      <c r="J616" s="13"/>
      <c r="K616" s="15"/>
      <c r="L616" s="15"/>
      <c r="M616" s="16"/>
      <c r="N616" s="16"/>
      <c r="O616" s="17"/>
      <c r="P616" s="17"/>
      <c r="Q616" s="13"/>
      <c r="R616" s="13"/>
      <c r="S616" s="13"/>
      <c r="T616" s="13">
        <f t="shared" ref="T616:Y616" si="646">IF(ISBLANK(K616)=TRUE,0,1)</f>
        <v>0</v>
      </c>
      <c r="U616" s="13">
        <f t="shared" si="646"/>
        <v>0</v>
      </c>
      <c r="V616" s="13">
        <f t="shared" si="646"/>
        <v>0</v>
      </c>
      <c r="W616" s="13">
        <f t="shared" si="646"/>
        <v>0</v>
      </c>
      <c r="X616" s="13">
        <f t="shared" si="646"/>
        <v>0</v>
      </c>
      <c r="Y616" s="13">
        <f t="shared" si="646"/>
        <v>0</v>
      </c>
      <c r="Z616" s="13" t="str">
        <f t="shared" si="529"/>
        <v>NA</v>
      </c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</row>
    <row r="617" ht="14.25" hidden="1" customHeight="1">
      <c r="A617" s="13" t="s">
        <v>46</v>
      </c>
      <c r="B617" s="13" t="s">
        <v>55</v>
      </c>
      <c r="C617" s="13" t="s">
        <v>476</v>
      </c>
      <c r="D617" s="13"/>
      <c r="E617" s="13" t="str">
        <f t="shared" si="602"/>
        <v>JLP,110-2A-6A-2G,,NA</v>
      </c>
      <c r="F617" s="13"/>
      <c r="G617" s="13" t="s">
        <v>74</v>
      </c>
      <c r="H617" s="13" t="s">
        <v>75</v>
      </c>
      <c r="I617" s="13"/>
      <c r="J617" s="13"/>
      <c r="K617" s="15"/>
      <c r="L617" s="15"/>
      <c r="M617" s="16"/>
      <c r="N617" s="16"/>
      <c r="O617" s="17"/>
      <c r="P617" s="17"/>
      <c r="Q617" s="13"/>
      <c r="R617" s="13"/>
      <c r="S617" s="13"/>
      <c r="T617" s="13">
        <f t="shared" ref="T617:Y617" si="647">IF(ISBLANK(K617)=TRUE,0,1)</f>
        <v>0</v>
      </c>
      <c r="U617" s="13">
        <f t="shared" si="647"/>
        <v>0</v>
      </c>
      <c r="V617" s="13">
        <f t="shared" si="647"/>
        <v>0</v>
      </c>
      <c r="W617" s="13">
        <f t="shared" si="647"/>
        <v>0</v>
      </c>
      <c r="X617" s="13">
        <f t="shared" si="647"/>
        <v>0</v>
      </c>
      <c r="Y617" s="13">
        <f t="shared" si="647"/>
        <v>0</v>
      </c>
      <c r="Z617" s="13" t="str">
        <f t="shared" si="529"/>
        <v>NA</v>
      </c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</row>
    <row r="618" ht="14.25" hidden="1" customHeight="1">
      <c r="A618" s="13" t="s">
        <v>46</v>
      </c>
      <c r="B618" s="13" t="s">
        <v>55</v>
      </c>
      <c r="C618" s="13" t="s">
        <v>477</v>
      </c>
      <c r="D618" s="13"/>
      <c r="E618" s="13" t="str">
        <f t="shared" si="602"/>
        <v>JLP,110-2A-6A-2H,,NA</v>
      </c>
      <c r="F618" s="13"/>
      <c r="G618" s="13" t="s">
        <v>74</v>
      </c>
      <c r="H618" s="13" t="s">
        <v>75</v>
      </c>
      <c r="I618" s="13"/>
      <c r="J618" s="13"/>
      <c r="K618" s="15"/>
      <c r="L618" s="15"/>
      <c r="M618" s="16"/>
      <c r="N618" s="16"/>
      <c r="O618" s="17"/>
      <c r="P618" s="17"/>
      <c r="Q618" s="13"/>
      <c r="R618" s="13"/>
      <c r="S618" s="13"/>
      <c r="T618" s="13">
        <f t="shared" ref="T618:Y618" si="648">IF(ISBLANK(K618)=TRUE,0,1)</f>
        <v>0</v>
      </c>
      <c r="U618" s="13">
        <f t="shared" si="648"/>
        <v>0</v>
      </c>
      <c r="V618" s="13">
        <f t="shared" si="648"/>
        <v>0</v>
      </c>
      <c r="W618" s="13">
        <f t="shared" si="648"/>
        <v>0</v>
      </c>
      <c r="X618" s="13">
        <f t="shared" si="648"/>
        <v>0</v>
      </c>
      <c r="Y618" s="13">
        <f t="shared" si="648"/>
        <v>0</v>
      </c>
      <c r="Z618" s="13" t="str">
        <f t="shared" si="529"/>
        <v>NA</v>
      </c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</row>
    <row r="619" ht="14.25" hidden="1" customHeight="1">
      <c r="A619" s="13" t="s">
        <v>46</v>
      </c>
      <c r="B619" s="13" t="s">
        <v>55</v>
      </c>
      <c r="C619" s="13" t="s">
        <v>478</v>
      </c>
      <c r="D619" s="13"/>
      <c r="E619" s="13" t="str">
        <f t="shared" si="602"/>
        <v>JLP,110-2A-6A-2I,,1</v>
      </c>
      <c r="F619" s="13"/>
      <c r="G619" s="13" t="s">
        <v>74</v>
      </c>
      <c r="H619" s="13" t="s">
        <v>75</v>
      </c>
      <c r="I619" s="13"/>
      <c r="J619" s="13"/>
      <c r="K619" s="15"/>
      <c r="L619" s="15"/>
      <c r="M619" s="16"/>
      <c r="N619" s="16"/>
      <c r="O619" s="17">
        <v>1.0</v>
      </c>
      <c r="P619" s="17">
        <v>1.0</v>
      </c>
      <c r="Q619" s="13"/>
      <c r="R619" s="13"/>
      <c r="S619" s="13"/>
      <c r="T619" s="13">
        <f t="shared" ref="T619:Y619" si="649">IF(ISBLANK(K619)=TRUE,0,1)</f>
        <v>0</v>
      </c>
      <c r="U619" s="13">
        <f t="shared" si="649"/>
        <v>0</v>
      </c>
      <c r="V619" s="13">
        <f t="shared" si="649"/>
        <v>0</v>
      </c>
      <c r="W619" s="13">
        <f t="shared" si="649"/>
        <v>0</v>
      </c>
      <c r="X619" s="13">
        <f t="shared" si="649"/>
        <v>1</v>
      </c>
      <c r="Y619" s="13">
        <f t="shared" si="649"/>
        <v>1</v>
      </c>
      <c r="Z619" s="13">
        <f t="shared" si="529"/>
        <v>1</v>
      </c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</row>
    <row r="620" ht="14.25" hidden="1" customHeight="1">
      <c r="A620" s="13" t="s">
        <v>46</v>
      </c>
      <c r="B620" s="13" t="s">
        <v>55</v>
      </c>
      <c r="C620" s="13" t="s">
        <v>479</v>
      </c>
      <c r="D620" s="26" t="s">
        <v>174</v>
      </c>
      <c r="E620" s="13" t="str">
        <f t="shared" si="602"/>
        <v>JLP,110-44C-2,AA,1</v>
      </c>
      <c r="F620" s="13"/>
      <c r="G620" s="26" t="s">
        <v>74</v>
      </c>
      <c r="H620" s="13" t="s">
        <v>75</v>
      </c>
      <c r="I620" s="13"/>
      <c r="J620" s="13"/>
      <c r="K620" s="15">
        <v>1.0</v>
      </c>
      <c r="L620" s="15">
        <v>1.0</v>
      </c>
      <c r="M620" s="16"/>
      <c r="N620" s="16"/>
      <c r="O620" s="17"/>
      <c r="P620" s="17"/>
      <c r="Q620" s="13"/>
      <c r="R620" s="13"/>
      <c r="S620" s="13"/>
      <c r="T620" s="13">
        <f t="shared" ref="T620:Y620" si="650">IF(ISBLANK(K620)=TRUE,0,1)</f>
        <v>1</v>
      </c>
      <c r="U620" s="13">
        <f t="shared" si="650"/>
        <v>1</v>
      </c>
      <c r="V620" s="13">
        <f t="shared" si="650"/>
        <v>0</v>
      </c>
      <c r="W620" s="13">
        <f t="shared" si="650"/>
        <v>0</v>
      </c>
      <c r="X620" s="13">
        <f t="shared" si="650"/>
        <v>0</v>
      </c>
      <c r="Y620" s="13">
        <f t="shared" si="650"/>
        <v>0</v>
      </c>
      <c r="Z620" s="13">
        <f t="shared" si="529"/>
        <v>1</v>
      </c>
      <c r="AA620" s="13" t="s">
        <v>378</v>
      </c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</row>
    <row r="621" ht="14.25" hidden="1" customHeight="1">
      <c r="A621" s="13" t="s">
        <v>46</v>
      </c>
      <c r="B621" s="13" t="s">
        <v>55</v>
      </c>
      <c r="C621" s="13" t="s">
        <v>479</v>
      </c>
      <c r="D621" s="26" t="s">
        <v>175</v>
      </c>
      <c r="E621" s="13" t="str">
        <f t="shared" si="602"/>
        <v>JLP,110-44C-2,AB,1</v>
      </c>
      <c r="F621" s="13"/>
      <c r="G621" s="26" t="s">
        <v>74</v>
      </c>
      <c r="H621" s="13" t="s">
        <v>107</v>
      </c>
      <c r="I621" s="13"/>
      <c r="J621" s="13"/>
      <c r="K621" s="15">
        <v>1.0</v>
      </c>
      <c r="L621" s="15">
        <v>1.0</v>
      </c>
      <c r="M621" s="16"/>
      <c r="N621" s="16"/>
      <c r="O621" s="17"/>
      <c r="P621" s="17"/>
      <c r="Q621" s="13"/>
      <c r="R621" s="13"/>
      <c r="S621" s="13"/>
      <c r="T621" s="13">
        <f t="shared" ref="T621:Y621" si="651">IF(ISBLANK(K621)=TRUE,0,1)</f>
        <v>1</v>
      </c>
      <c r="U621" s="13">
        <f t="shared" si="651"/>
        <v>1</v>
      </c>
      <c r="V621" s="13">
        <f t="shared" si="651"/>
        <v>0</v>
      </c>
      <c r="W621" s="13">
        <f t="shared" si="651"/>
        <v>0</v>
      </c>
      <c r="X621" s="13">
        <f t="shared" si="651"/>
        <v>0</v>
      </c>
      <c r="Y621" s="13">
        <f t="shared" si="651"/>
        <v>0</v>
      </c>
      <c r="Z621" s="13">
        <f t="shared" si="529"/>
        <v>1</v>
      </c>
      <c r="AA621" s="13" t="s">
        <v>378</v>
      </c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</row>
    <row r="622" ht="14.25" hidden="1" customHeight="1">
      <c r="A622" s="13" t="s">
        <v>46</v>
      </c>
      <c r="B622" s="13" t="s">
        <v>55</v>
      </c>
      <c r="C622" s="13" t="s">
        <v>479</v>
      </c>
      <c r="D622" s="26" t="s">
        <v>176</v>
      </c>
      <c r="E622" s="13" t="str">
        <f t="shared" si="602"/>
        <v>JLP,110-44C-2,AC,1</v>
      </c>
      <c r="F622" s="13"/>
      <c r="G622" s="26" t="s">
        <v>74</v>
      </c>
      <c r="H622" s="13" t="s">
        <v>107</v>
      </c>
      <c r="I622" s="13"/>
      <c r="J622" s="13"/>
      <c r="K622" s="15">
        <v>1.0</v>
      </c>
      <c r="L622" s="15">
        <v>1.0</v>
      </c>
      <c r="M622" s="16"/>
      <c r="N622" s="16"/>
      <c r="O622" s="17"/>
      <c r="P622" s="17"/>
      <c r="Q622" s="13"/>
      <c r="R622" s="13"/>
      <c r="S622" s="13"/>
      <c r="T622" s="13">
        <f t="shared" ref="T622:Y622" si="652">IF(ISBLANK(K622)=TRUE,0,1)</f>
        <v>1</v>
      </c>
      <c r="U622" s="13">
        <f t="shared" si="652"/>
        <v>1</v>
      </c>
      <c r="V622" s="13">
        <f t="shared" si="652"/>
        <v>0</v>
      </c>
      <c r="W622" s="13">
        <f t="shared" si="652"/>
        <v>0</v>
      </c>
      <c r="X622" s="13">
        <f t="shared" si="652"/>
        <v>0</v>
      </c>
      <c r="Y622" s="13">
        <f t="shared" si="652"/>
        <v>0</v>
      </c>
      <c r="Z622" s="13">
        <f t="shared" si="529"/>
        <v>1</v>
      </c>
      <c r="AA622" s="13" t="s">
        <v>378</v>
      </c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</row>
    <row r="623" ht="14.25" hidden="1" customHeight="1">
      <c r="A623" s="13" t="s">
        <v>46</v>
      </c>
      <c r="B623" s="13" t="s">
        <v>55</v>
      </c>
      <c r="C623" s="13" t="s">
        <v>479</v>
      </c>
      <c r="D623" s="26" t="s">
        <v>177</v>
      </c>
      <c r="E623" s="13" t="str">
        <f t="shared" si="602"/>
        <v>JLP,110-44C-2,AD,1</v>
      </c>
      <c r="F623" s="13"/>
      <c r="G623" s="26" t="s">
        <v>74</v>
      </c>
      <c r="H623" s="13" t="s">
        <v>75</v>
      </c>
      <c r="I623" s="13"/>
      <c r="J623" s="13"/>
      <c r="K623" s="15">
        <v>1.0</v>
      </c>
      <c r="L623" s="15">
        <v>1.0</v>
      </c>
      <c r="M623" s="16"/>
      <c r="N623" s="16"/>
      <c r="O623" s="17"/>
      <c r="P623" s="17"/>
      <c r="Q623" s="13"/>
      <c r="R623" s="13"/>
      <c r="S623" s="13"/>
      <c r="T623" s="13">
        <f t="shared" ref="T623:Y623" si="653">IF(ISBLANK(K623)=TRUE,0,1)</f>
        <v>1</v>
      </c>
      <c r="U623" s="13">
        <f t="shared" si="653"/>
        <v>1</v>
      </c>
      <c r="V623" s="13">
        <f t="shared" si="653"/>
        <v>0</v>
      </c>
      <c r="W623" s="13">
        <f t="shared" si="653"/>
        <v>0</v>
      </c>
      <c r="X623" s="13">
        <f t="shared" si="653"/>
        <v>0</v>
      </c>
      <c r="Y623" s="13">
        <f t="shared" si="653"/>
        <v>0</v>
      </c>
      <c r="Z623" s="13">
        <f t="shared" si="529"/>
        <v>1</v>
      </c>
      <c r="AA623" s="13" t="s">
        <v>378</v>
      </c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</row>
    <row r="624" ht="14.25" hidden="1" customHeight="1">
      <c r="A624" s="13" t="s">
        <v>46</v>
      </c>
      <c r="B624" s="13" t="s">
        <v>55</v>
      </c>
      <c r="C624" s="13" t="s">
        <v>479</v>
      </c>
      <c r="D624" s="26" t="s">
        <v>178</v>
      </c>
      <c r="E624" s="13" t="str">
        <f t="shared" si="602"/>
        <v>JLP,110-44C-2,AE,1</v>
      </c>
      <c r="F624" s="13"/>
      <c r="G624" s="26" t="s">
        <v>74</v>
      </c>
      <c r="H624" s="13" t="s">
        <v>75</v>
      </c>
      <c r="I624" s="13"/>
      <c r="J624" s="13"/>
      <c r="K624" s="15">
        <v>1.0</v>
      </c>
      <c r="L624" s="15">
        <v>1.0</v>
      </c>
      <c r="M624" s="16"/>
      <c r="N624" s="16"/>
      <c r="O624" s="17"/>
      <c r="P624" s="17"/>
      <c r="Q624" s="13"/>
      <c r="R624" s="13"/>
      <c r="S624" s="13"/>
      <c r="T624" s="13">
        <f t="shared" ref="T624:Y624" si="654">IF(ISBLANK(K624)=TRUE,0,1)</f>
        <v>1</v>
      </c>
      <c r="U624" s="13">
        <f t="shared" si="654"/>
        <v>1</v>
      </c>
      <c r="V624" s="13">
        <f t="shared" si="654"/>
        <v>0</v>
      </c>
      <c r="W624" s="13">
        <f t="shared" si="654"/>
        <v>0</v>
      </c>
      <c r="X624" s="13">
        <f t="shared" si="654"/>
        <v>0</v>
      </c>
      <c r="Y624" s="13">
        <f t="shared" si="654"/>
        <v>0</v>
      </c>
      <c r="Z624" s="13">
        <f t="shared" si="529"/>
        <v>1</v>
      </c>
      <c r="AA624" s="13" t="s">
        <v>378</v>
      </c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</row>
    <row r="625" ht="14.25" hidden="1" customHeight="1">
      <c r="A625" s="13" t="s">
        <v>46</v>
      </c>
      <c r="B625" s="13" t="s">
        <v>55</v>
      </c>
      <c r="C625" s="13" t="s">
        <v>479</v>
      </c>
      <c r="D625" s="26" t="s">
        <v>179</v>
      </c>
      <c r="E625" s="13" t="str">
        <f t="shared" si="602"/>
        <v>JLP,110-44C-2,AF,1</v>
      </c>
      <c r="F625" s="13"/>
      <c r="G625" s="26" t="s">
        <v>74</v>
      </c>
      <c r="H625" s="13" t="s">
        <v>75</v>
      </c>
      <c r="I625" s="13"/>
      <c r="J625" s="13"/>
      <c r="K625" s="15">
        <v>1.0</v>
      </c>
      <c r="L625" s="15">
        <v>1.0</v>
      </c>
      <c r="M625" s="16"/>
      <c r="N625" s="16"/>
      <c r="O625" s="17"/>
      <c r="P625" s="17"/>
      <c r="Q625" s="13"/>
      <c r="R625" s="13"/>
      <c r="S625" s="13"/>
      <c r="T625" s="13">
        <f t="shared" ref="T625:Y625" si="655">IF(ISBLANK(K625)=TRUE,0,1)</f>
        <v>1</v>
      </c>
      <c r="U625" s="13">
        <f t="shared" si="655"/>
        <v>1</v>
      </c>
      <c r="V625" s="13">
        <f t="shared" si="655"/>
        <v>0</v>
      </c>
      <c r="W625" s="13">
        <f t="shared" si="655"/>
        <v>0</v>
      </c>
      <c r="X625" s="13">
        <f t="shared" si="655"/>
        <v>0</v>
      </c>
      <c r="Y625" s="13">
        <f t="shared" si="655"/>
        <v>0</v>
      </c>
      <c r="Z625" s="13">
        <f t="shared" si="529"/>
        <v>1</v>
      </c>
      <c r="AA625" s="13" t="s">
        <v>378</v>
      </c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</row>
    <row r="626" ht="14.25" hidden="1" customHeight="1">
      <c r="A626" s="13" t="s">
        <v>46</v>
      </c>
      <c r="B626" s="13" t="s">
        <v>55</v>
      </c>
      <c r="C626" s="13" t="s">
        <v>479</v>
      </c>
      <c r="D626" s="26" t="s">
        <v>180</v>
      </c>
      <c r="E626" s="13" t="str">
        <f t="shared" si="602"/>
        <v>JLP,110-44C-2,AG,1</v>
      </c>
      <c r="F626" s="13"/>
      <c r="G626" s="26" t="s">
        <v>74</v>
      </c>
      <c r="H626" s="13" t="s">
        <v>75</v>
      </c>
      <c r="I626" s="13"/>
      <c r="J626" s="13"/>
      <c r="K626" s="15">
        <v>1.0</v>
      </c>
      <c r="L626" s="15">
        <v>1.0</v>
      </c>
      <c r="M626" s="16"/>
      <c r="N626" s="16"/>
      <c r="O626" s="17"/>
      <c r="P626" s="17"/>
      <c r="Q626" s="13"/>
      <c r="R626" s="13"/>
      <c r="S626" s="13"/>
      <c r="T626" s="13">
        <f t="shared" ref="T626:Y626" si="656">IF(ISBLANK(K626)=TRUE,0,1)</f>
        <v>1</v>
      </c>
      <c r="U626" s="13">
        <f t="shared" si="656"/>
        <v>1</v>
      </c>
      <c r="V626" s="13">
        <f t="shared" si="656"/>
        <v>0</v>
      </c>
      <c r="W626" s="13">
        <f t="shared" si="656"/>
        <v>0</v>
      </c>
      <c r="X626" s="13">
        <f t="shared" si="656"/>
        <v>0</v>
      </c>
      <c r="Y626" s="13">
        <f t="shared" si="656"/>
        <v>0</v>
      </c>
      <c r="Z626" s="13">
        <f t="shared" si="529"/>
        <v>1</v>
      </c>
      <c r="AA626" s="13" t="s">
        <v>378</v>
      </c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</row>
    <row r="627" ht="14.25" hidden="1" customHeight="1">
      <c r="A627" s="13" t="s">
        <v>46</v>
      </c>
      <c r="B627" s="13" t="s">
        <v>55</v>
      </c>
      <c r="C627" s="13" t="s">
        <v>479</v>
      </c>
      <c r="D627" s="26" t="s">
        <v>181</v>
      </c>
      <c r="E627" s="13" t="str">
        <f t="shared" si="602"/>
        <v>JLP,110-44C-2,AH,1</v>
      </c>
      <c r="F627" s="13"/>
      <c r="G627" s="26" t="s">
        <v>74</v>
      </c>
      <c r="H627" s="13" t="s">
        <v>75</v>
      </c>
      <c r="I627" s="13"/>
      <c r="J627" s="13"/>
      <c r="K627" s="15">
        <v>1.0</v>
      </c>
      <c r="L627" s="15">
        <v>1.0</v>
      </c>
      <c r="M627" s="16"/>
      <c r="N627" s="16"/>
      <c r="O627" s="17"/>
      <c r="P627" s="17"/>
      <c r="Q627" s="13"/>
      <c r="R627" s="13"/>
      <c r="S627" s="13"/>
      <c r="T627" s="13">
        <f t="shared" ref="T627:Y627" si="657">IF(ISBLANK(K627)=TRUE,0,1)</f>
        <v>1</v>
      </c>
      <c r="U627" s="13">
        <f t="shared" si="657"/>
        <v>1</v>
      </c>
      <c r="V627" s="13">
        <f t="shared" si="657"/>
        <v>0</v>
      </c>
      <c r="W627" s="13">
        <f t="shared" si="657"/>
        <v>0</v>
      </c>
      <c r="X627" s="13">
        <f t="shared" si="657"/>
        <v>0</v>
      </c>
      <c r="Y627" s="13">
        <f t="shared" si="657"/>
        <v>0</v>
      </c>
      <c r="Z627" s="13">
        <f t="shared" si="529"/>
        <v>1</v>
      </c>
      <c r="AA627" s="13" t="s">
        <v>378</v>
      </c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</row>
    <row r="628" ht="14.25" hidden="1" customHeight="1">
      <c r="A628" s="13" t="s">
        <v>46</v>
      </c>
      <c r="B628" s="13" t="s">
        <v>55</v>
      </c>
      <c r="C628" s="13" t="s">
        <v>480</v>
      </c>
      <c r="D628" s="26" t="s">
        <v>182</v>
      </c>
      <c r="E628" s="13" t="str">
        <f t="shared" si="602"/>
        <v>JLP,110-44L-10,AI,1</v>
      </c>
      <c r="F628" s="13"/>
      <c r="G628" s="26" t="s">
        <v>74</v>
      </c>
      <c r="H628" s="13" t="s">
        <v>75</v>
      </c>
      <c r="I628" s="13"/>
      <c r="J628" s="13"/>
      <c r="K628" s="15">
        <v>1.0</v>
      </c>
      <c r="L628" s="15">
        <v>1.0</v>
      </c>
      <c r="M628" s="16"/>
      <c r="N628" s="16"/>
      <c r="O628" s="17"/>
      <c r="P628" s="17"/>
      <c r="Q628" s="13"/>
      <c r="R628" s="13"/>
      <c r="S628" s="13"/>
      <c r="T628" s="13">
        <f t="shared" ref="T628:Y628" si="658">IF(ISBLANK(K628)=TRUE,0,1)</f>
        <v>1</v>
      </c>
      <c r="U628" s="13">
        <f t="shared" si="658"/>
        <v>1</v>
      </c>
      <c r="V628" s="13">
        <f t="shared" si="658"/>
        <v>0</v>
      </c>
      <c r="W628" s="13">
        <f t="shared" si="658"/>
        <v>0</v>
      </c>
      <c r="X628" s="13">
        <f t="shared" si="658"/>
        <v>0</v>
      </c>
      <c r="Y628" s="13">
        <f t="shared" si="658"/>
        <v>0</v>
      </c>
      <c r="Z628" s="13">
        <f t="shared" si="529"/>
        <v>1</v>
      </c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</row>
    <row r="629" ht="14.25" hidden="1" customHeight="1">
      <c r="A629" s="13" t="s">
        <v>46</v>
      </c>
      <c r="B629" s="13" t="s">
        <v>55</v>
      </c>
      <c r="C629" s="13" t="s">
        <v>480</v>
      </c>
      <c r="D629" s="26" t="s">
        <v>183</v>
      </c>
      <c r="E629" s="13" t="str">
        <f t="shared" si="602"/>
        <v>JLP,110-44L-10,AJ,1</v>
      </c>
      <c r="F629" s="13"/>
      <c r="G629" s="26" t="s">
        <v>74</v>
      </c>
      <c r="H629" s="13" t="s">
        <v>75</v>
      </c>
      <c r="I629" s="13"/>
      <c r="J629" s="13"/>
      <c r="K629" s="15">
        <v>1.0</v>
      </c>
      <c r="L629" s="15">
        <v>1.0</v>
      </c>
      <c r="M629" s="16"/>
      <c r="N629" s="16"/>
      <c r="O629" s="17"/>
      <c r="P629" s="17"/>
      <c r="Q629" s="13"/>
      <c r="R629" s="13"/>
      <c r="S629" s="13"/>
      <c r="T629" s="13">
        <f t="shared" ref="T629:Y629" si="659">IF(ISBLANK(K629)=TRUE,0,1)</f>
        <v>1</v>
      </c>
      <c r="U629" s="13">
        <f t="shared" si="659"/>
        <v>1</v>
      </c>
      <c r="V629" s="13">
        <f t="shared" si="659"/>
        <v>0</v>
      </c>
      <c r="W629" s="13">
        <f t="shared" si="659"/>
        <v>0</v>
      </c>
      <c r="X629" s="13">
        <f t="shared" si="659"/>
        <v>0</v>
      </c>
      <c r="Y629" s="13">
        <f t="shared" si="659"/>
        <v>0</v>
      </c>
      <c r="Z629" s="13">
        <f t="shared" si="529"/>
        <v>1</v>
      </c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</row>
    <row r="630" ht="14.25" hidden="1" customHeight="1">
      <c r="A630" s="13" t="s">
        <v>46</v>
      </c>
      <c r="B630" s="13" t="s">
        <v>55</v>
      </c>
      <c r="C630" s="13" t="s">
        <v>480</v>
      </c>
      <c r="D630" s="26" t="s">
        <v>184</v>
      </c>
      <c r="E630" s="13" t="str">
        <f t="shared" si="602"/>
        <v>JLP,110-44L-10,AK,1</v>
      </c>
      <c r="F630" s="13"/>
      <c r="G630" s="26" t="s">
        <v>74</v>
      </c>
      <c r="H630" s="13" t="s">
        <v>75</v>
      </c>
      <c r="I630" s="13"/>
      <c r="J630" s="13"/>
      <c r="K630" s="15">
        <v>1.0</v>
      </c>
      <c r="L630" s="15">
        <v>1.0</v>
      </c>
      <c r="M630" s="16"/>
      <c r="N630" s="16"/>
      <c r="O630" s="17"/>
      <c r="P630" s="17"/>
      <c r="Q630" s="13"/>
      <c r="R630" s="13"/>
      <c r="S630" s="13"/>
      <c r="T630" s="13">
        <f t="shared" ref="T630:Y630" si="660">IF(ISBLANK(K630)=TRUE,0,1)</f>
        <v>1</v>
      </c>
      <c r="U630" s="13">
        <f t="shared" si="660"/>
        <v>1</v>
      </c>
      <c r="V630" s="13">
        <f t="shared" si="660"/>
        <v>0</v>
      </c>
      <c r="W630" s="13">
        <f t="shared" si="660"/>
        <v>0</v>
      </c>
      <c r="X630" s="13">
        <f t="shared" si="660"/>
        <v>0</v>
      </c>
      <c r="Y630" s="13">
        <f t="shared" si="660"/>
        <v>0</v>
      </c>
      <c r="Z630" s="13">
        <f t="shared" si="529"/>
        <v>1</v>
      </c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</row>
    <row r="631" ht="14.25" hidden="1" customHeight="1">
      <c r="A631" s="13" t="s">
        <v>46</v>
      </c>
      <c r="B631" s="13" t="s">
        <v>55</v>
      </c>
      <c r="C631" s="13" t="s">
        <v>480</v>
      </c>
      <c r="D631" s="26" t="s">
        <v>185</v>
      </c>
      <c r="E631" s="13" t="str">
        <f t="shared" si="602"/>
        <v>JLP,110-44L-10,AL,1</v>
      </c>
      <c r="F631" s="13"/>
      <c r="G631" s="26" t="s">
        <v>74</v>
      </c>
      <c r="H631" s="13" t="s">
        <v>75</v>
      </c>
      <c r="I631" s="13"/>
      <c r="J631" s="13"/>
      <c r="K631" s="15">
        <v>1.0</v>
      </c>
      <c r="L631" s="15">
        <v>1.0</v>
      </c>
      <c r="M631" s="16"/>
      <c r="N631" s="16"/>
      <c r="O631" s="17"/>
      <c r="P631" s="17"/>
      <c r="Q631" s="13"/>
      <c r="R631" s="13"/>
      <c r="S631" s="13"/>
      <c r="T631" s="13">
        <f t="shared" ref="T631:Y631" si="661">IF(ISBLANK(K631)=TRUE,0,1)</f>
        <v>1</v>
      </c>
      <c r="U631" s="13">
        <f t="shared" si="661"/>
        <v>1</v>
      </c>
      <c r="V631" s="13">
        <f t="shared" si="661"/>
        <v>0</v>
      </c>
      <c r="W631" s="13">
        <f t="shared" si="661"/>
        <v>0</v>
      </c>
      <c r="X631" s="13">
        <f t="shared" si="661"/>
        <v>0</v>
      </c>
      <c r="Y631" s="13">
        <f t="shared" si="661"/>
        <v>0</v>
      </c>
      <c r="Z631" s="13">
        <f t="shared" si="529"/>
        <v>1</v>
      </c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</row>
    <row r="632" ht="14.25" hidden="1" customHeight="1">
      <c r="A632" s="13" t="s">
        <v>46</v>
      </c>
      <c r="B632" s="13" t="s">
        <v>55</v>
      </c>
      <c r="C632" s="13" t="s">
        <v>480</v>
      </c>
      <c r="D632" s="26" t="s">
        <v>186</v>
      </c>
      <c r="E632" s="13" t="str">
        <f t="shared" si="602"/>
        <v>JLP,110-44L-10,AM,1</v>
      </c>
      <c r="F632" s="13"/>
      <c r="G632" s="26" t="s">
        <v>74</v>
      </c>
      <c r="H632" s="13" t="s">
        <v>75</v>
      </c>
      <c r="I632" s="13"/>
      <c r="J632" s="13"/>
      <c r="K632" s="15">
        <v>1.0</v>
      </c>
      <c r="L632" s="15">
        <v>1.0</v>
      </c>
      <c r="M632" s="16"/>
      <c r="N632" s="16"/>
      <c r="O632" s="17"/>
      <c r="P632" s="17"/>
      <c r="Q632" s="13"/>
      <c r="R632" s="13"/>
      <c r="S632" s="13"/>
      <c r="T632" s="13">
        <f t="shared" ref="T632:Y632" si="662">IF(ISBLANK(K632)=TRUE,0,1)</f>
        <v>1</v>
      </c>
      <c r="U632" s="13">
        <f t="shared" si="662"/>
        <v>1</v>
      </c>
      <c r="V632" s="13">
        <f t="shared" si="662"/>
        <v>0</v>
      </c>
      <c r="W632" s="13">
        <f t="shared" si="662"/>
        <v>0</v>
      </c>
      <c r="X632" s="13">
        <f t="shared" si="662"/>
        <v>0</v>
      </c>
      <c r="Y632" s="13">
        <f t="shared" si="662"/>
        <v>0</v>
      </c>
      <c r="Z632" s="13">
        <f t="shared" si="529"/>
        <v>1</v>
      </c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</row>
    <row r="633" ht="14.25" hidden="1" customHeight="1">
      <c r="A633" s="13" t="s">
        <v>46</v>
      </c>
      <c r="B633" s="13" t="s">
        <v>55</v>
      </c>
      <c r="C633" s="13" t="s">
        <v>480</v>
      </c>
      <c r="D633" s="26" t="s">
        <v>187</v>
      </c>
      <c r="E633" s="13" t="str">
        <f t="shared" si="602"/>
        <v>JLP,110-44L-10,AN,1</v>
      </c>
      <c r="F633" s="13"/>
      <c r="G633" s="26" t="s">
        <v>74</v>
      </c>
      <c r="H633" s="13" t="s">
        <v>75</v>
      </c>
      <c r="I633" s="13"/>
      <c r="J633" s="13"/>
      <c r="K633" s="15">
        <v>1.0</v>
      </c>
      <c r="L633" s="15">
        <v>1.0</v>
      </c>
      <c r="M633" s="16"/>
      <c r="N633" s="16"/>
      <c r="O633" s="17"/>
      <c r="P633" s="17"/>
      <c r="Q633" s="13"/>
      <c r="R633" s="13"/>
      <c r="S633" s="13"/>
      <c r="T633" s="13">
        <f t="shared" ref="T633:Y633" si="663">IF(ISBLANK(K633)=TRUE,0,1)</f>
        <v>1</v>
      </c>
      <c r="U633" s="13">
        <f t="shared" si="663"/>
        <v>1</v>
      </c>
      <c r="V633" s="13">
        <f t="shared" si="663"/>
        <v>0</v>
      </c>
      <c r="W633" s="13">
        <f t="shared" si="663"/>
        <v>0</v>
      </c>
      <c r="X633" s="13">
        <f t="shared" si="663"/>
        <v>0</v>
      </c>
      <c r="Y633" s="13">
        <f t="shared" si="663"/>
        <v>0</v>
      </c>
      <c r="Z633" s="13">
        <f t="shared" si="529"/>
        <v>1</v>
      </c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</row>
    <row r="634" ht="14.25" hidden="1" customHeight="1">
      <c r="A634" s="13" t="s">
        <v>46</v>
      </c>
      <c r="B634" s="13" t="s">
        <v>55</v>
      </c>
      <c r="C634" s="13" t="s">
        <v>480</v>
      </c>
      <c r="D634" s="31" t="s">
        <v>481</v>
      </c>
      <c r="E634" s="13"/>
      <c r="F634" s="13"/>
      <c r="G634" s="26" t="s">
        <v>74</v>
      </c>
      <c r="H634" s="13" t="s">
        <v>75</v>
      </c>
      <c r="I634" s="13"/>
      <c r="J634" s="13"/>
      <c r="K634" s="15">
        <v>1.0</v>
      </c>
      <c r="L634" s="15">
        <v>1.0</v>
      </c>
      <c r="M634" s="16"/>
      <c r="N634" s="16"/>
      <c r="O634" s="17"/>
      <c r="P634" s="17"/>
      <c r="Q634" s="13"/>
      <c r="R634" s="13"/>
      <c r="S634" s="13"/>
      <c r="T634" s="13">
        <f t="shared" ref="T634:Y634" si="664">IF(ISBLANK(K634)=TRUE,0,1)</f>
        <v>1</v>
      </c>
      <c r="U634" s="13">
        <f t="shared" si="664"/>
        <v>1</v>
      </c>
      <c r="V634" s="13">
        <f t="shared" si="664"/>
        <v>0</v>
      </c>
      <c r="W634" s="13">
        <f t="shared" si="664"/>
        <v>0</v>
      </c>
      <c r="X634" s="13">
        <f t="shared" si="664"/>
        <v>0</v>
      </c>
      <c r="Y634" s="13">
        <f t="shared" si="664"/>
        <v>0</v>
      </c>
      <c r="Z634" s="13">
        <f t="shared" si="529"/>
        <v>1</v>
      </c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</row>
    <row r="635" ht="14.25" hidden="1" customHeight="1">
      <c r="A635" s="13" t="s">
        <v>46</v>
      </c>
      <c r="B635" s="13" t="s">
        <v>55</v>
      </c>
      <c r="C635" s="13" t="s">
        <v>482</v>
      </c>
      <c r="D635" s="13"/>
      <c r="E635" s="13"/>
      <c r="F635" s="13"/>
      <c r="G635" s="13" t="s">
        <v>111</v>
      </c>
      <c r="H635" s="13" t="s">
        <v>75</v>
      </c>
      <c r="I635" s="13"/>
      <c r="J635" s="13"/>
      <c r="K635" s="15">
        <v>0.0</v>
      </c>
      <c r="L635" s="15">
        <v>0.0</v>
      </c>
      <c r="M635" s="16"/>
      <c r="N635" s="16"/>
      <c r="O635" s="17"/>
      <c r="P635" s="17"/>
      <c r="Q635" s="13"/>
      <c r="R635" s="13"/>
      <c r="S635" s="13"/>
      <c r="T635" s="13">
        <f t="shared" ref="T635:Y635" si="665">IF(ISBLANK(K635)=TRUE,0,1)</f>
        <v>1</v>
      </c>
      <c r="U635" s="13">
        <f t="shared" si="665"/>
        <v>1</v>
      </c>
      <c r="V635" s="13">
        <f t="shared" si="665"/>
        <v>0</v>
      </c>
      <c r="W635" s="13">
        <f t="shared" si="665"/>
        <v>0</v>
      </c>
      <c r="X635" s="13">
        <f t="shared" si="665"/>
        <v>0</v>
      </c>
      <c r="Y635" s="13">
        <f t="shared" si="665"/>
        <v>0</v>
      </c>
      <c r="Z635" s="13">
        <f t="shared" si="529"/>
        <v>0</v>
      </c>
      <c r="AA635" s="13" t="s">
        <v>483</v>
      </c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</row>
    <row r="636" ht="14.25" hidden="1" customHeight="1">
      <c r="A636" s="13" t="s">
        <v>46</v>
      </c>
      <c r="B636" s="13" t="s">
        <v>55</v>
      </c>
      <c r="C636" s="13" t="s">
        <v>484</v>
      </c>
      <c r="D636" s="13"/>
      <c r="E636" s="13"/>
      <c r="F636" s="13"/>
      <c r="G636" s="13" t="s">
        <v>111</v>
      </c>
      <c r="H636" s="13" t="s">
        <v>75</v>
      </c>
      <c r="I636" s="13"/>
      <c r="J636" s="13"/>
      <c r="K636" s="15">
        <v>0.0</v>
      </c>
      <c r="L636" s="15">
        <v>0.0</v>
      </c>
      <c r="M636" s="16"/>
      <c r="N636" s="16"/>
      <c r="O636" s="17"/>
      <c r="P636" s="17"/>
      <c r="Q636" s="13"/>
      <c r="R636" s="13"/>
      <c r="S636" s="13"/>
      <c r="T636" s="13">
        <f t="shared" ref="T636:Y636" si="666">IF(ISBLANK(K636)=TRUE,0,1)</f>
        <v>1</v>
      </c>
      <c r="U636" s="13">
        <f t="shared" si="666"/>
        <v>1</v>
      </c>
      <c r="V636" s="13">
        <f t="shared" si="666"/>
        <v>0</v>
      </c>
      <c r="W636" s="13">
        <f t="shared" si="666"/>
        <v>0</v>
      </c>
      <c r="X636" s="13">
        <f t="shared" si="666"/>
        <v>0</v>
      </c>
      <c r="Y636" s="13">
        <f t="shared" si="666"/>
        <v>0</v>
      </c>
      <c r="Z636" s="13">
        <f t="shared" si="529"/>
        <v>0</v>
      </c>
      <c r="AA636" s="13" t="s">
        <v>483</v>
      </c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</row>
    <row r="637" ht="14.25" hidden="1" customHeight="1">
      <c r="A637" s="13" t="s">
        <v>46</v>
      </c>
      <c r="B637" s="13" t="s">
        <v>55</v>
      </c>
      <c r="C637" s="13" t="s">
        <v>485</v>
      </c>
      <c r="D637" s="13"/>
      <c r="E637" s="13"/>
      <c r="F637" s="13"/>
      <c r="G637" s="13" t="s">
        <v>111</v>
      </c>
      <c r="H637" s="13" t="s">
        <v>75</v>
      </c>
      <c r="I637" s="13"/>
      <c r="J637" s="13"/>
      <c r="K637" s="15">
        <v>0.0</v>
      </c>
      <c r="L637" s="15">
        <v>0.0</v>
      </c>
      <c r="M637" s="16"/>
      <c r="N637" s="16"/>
      <c r="O637" s="17"/>
      <c r="P637" s="17"/>
      <c r="Q637" s="13"/>
      <c r="R637" s="13"/>
      <c r="S637" s="13"/>
      <c r="T637" s="13">
        <f t="shared" ref="T637:Y637" si="667">IF(ISBLANK(K637)=TRUE,0,1)</f>
        <v>1</v>
      </c>
      <c r="U637" s="13">
        <f t="shared" si="667"/>
        <v>1</v>
      </c>
      <c r="V637" s="13">
        <f t="shared" si="667"/>
        <v>0</v>
      </c>
      <c r="W637" s="13">
        <f t="shared" si="667"/>
        <v>0</v>
      </c>
      <c r="X637" s="13">
        <f t="shared" si="667"/>
        <v>0</v>
      </c>
      <c r="Y637" s="13">
        <f t="shared" si="667"/>
        <v>0</v>
      </c>
      <c r="Z637" s="13">
        <f t="shared" si="529"/>
        <v>0</v>
      </c>
      <c r="AA637" s="13" t="s">
        <v>483</v>
      </c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</row>
    <row r="638" ht="14.25" hidden="1" customHeight="1">
      <c r="A638" s="13" t="s">
        <v>46</v>
      </c>
      <c r="B638" s="13" t="s">
        <v>55</v>
      </c>
      <c r="C638" s="13" t="s">
        <v>486</v>
      </c>
      <c r="D638" s="13"/>
      <c r="E638" s="13"/>
      <c r="F638" s="13"/>
      <c r="G638" s="13" t="s">
        <v>111</v>
      </c>
      <c r="H638" s="13" t="s">
        <v>75</v>
      </c>
      <c r="I638" s="13"/>
      <c r="J638" s="13"/>
      <c r="K638" s="15">
        <v>0.0</v>
      </c>
      <c r="L638" s="15">
        <v>0.0</v>
      </c>
      <c r="M638" s="16"/>
      <c r="N638" s="16"/>
      <c r="O638" s="17"/>
      <c r="P638" s="17"/>
      <c r="Q638" s="13"/>
      <c r="R638" s="13"/>
      <c r="S638" s="13"/>
      <c r="T638" s="13">
        <f t="shared" ref="T638:Y638" si="668">IF(ISBLANK(K638)=TRUE,0,1)</f>
        <v>1</v>
      </c>
      <c r="U638" s="13">
        <f t="shared" si="668"/>
        <v>1</v>
      </c>
      <c r="V638" s="13">
        <f t="shared" si="668"/>
        <v>0</v>
      </c>
      <c r="W638" s="13">
        <f t="shared" si="668"/>
        <v>0</v>
      </c>
      <c r="X638" s="13">
        <f t="shared" si="668"/>
        <v>0</v>
      </c>
      <c r="Y638" s="13">
        <f t="shared" si="668"/>
        <v>0</v>
      </c>
      <c r="Z638" s="13">
        <f t="shared" si="529"/>
        <v>0</v>
      </c>
      <c r="AA638" s="13" t="s">
        <v>483</v>
      </c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</row>
    <row r="639" ht="14.25" hidden="1" customHeight="1">
      <c r="A639" s="13" t="s">
        <v>46</v>
      </c>
      <c r="B639" s="13" t="s">
        <v>55</v>
      </c>
      <c r="C639" s="13" t="s">
        <v>487</v>
      </c>
      <c r="D639" s="13"/>
      <c r="E639" s="13"/>
      <c r="F639" s="13"/>
      <c r="G639" s="13" t="s">
        <v>111</v>
      </c>
      <c r="H639" s="13" t="s">
        <v>75</v>
      </c>
      <c r="I639" s="13"/>
      <c r="J639" s="13"/>
      <c r="K639" s="15">
        <v>0.0</v>
      </c>
      <c r="L639" s="15">
        <v>0.0</v>
      </c>
      <c r="M639" s="16"/>
      <c r="N639" s="16"/>
      <c r="O639" s="17"/>
      <c r="P639" s="17"/>
      <c r="Q639" s="13"/>
      <c r="R639" s="13"/>
      <c r="S639" s="13"/>
      <c r="T639" s="13">
        <f t="shared" ref="T639:Y639" si="669">IF(ISBLANK(K639)=TRUE,0,1)</f>
        <v>1</v>
      </c>
      <c r="U639" s="13">
        <f t="shared" si="669"/>
        <v>1</v>
      </c>
      <c r="V639" s="13">
        <f t="shared" si="669"/>
        <v>0</v>
      </c>
      <c r="W639" s="13">
        <f t="shared" si="669"/>
        <v>0</v>
      </c>
      <c r="X639" s="13">
        <f t="shared" si="669"/>
        <v>0</v>
      </c>
      <c r="Y639" s="13">
        <f t="shared" si="669"/>
        <v>0</v>
      </c>
      <c r="Z639" s="13">
        <f t="shared" si="529"/>
        <v>0</v>
      </c>
      <c r="AA639" s="13" t="s">
        <v>483</v>
      </c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</row>
    <row r="640" ht="14.25" hidden="1" customHeight="1">
      <c r="A640" s="13" t="s">
        <v>46</v>
      </c>
      <c r="B640" s="13" t="s">
        <v>55</v>
      </c>
      <c r="C640" s="13" t="s">
        <v>488</v>
      </c>
      <c r="D640" s="13"/>
      <c r="E640" s="13"/>
      <c r="F640" s="13"/>
      <c r="G640" s="13" t="s">
        <v>111</v>
      </c>
      <c r="H640" s="13" t="s">
        <v>75</v>
      </c>
      <c r="I640" s="13"/>
      <c r="J640" s="13"/>
      <c r="K640" s="15">
        <v>0.0</v>
      </c>
      <c r="L640" s="15">
        <v>0.0</v>
      </c>
      <c r="M640" s="16"/>
      <c r="N640" s="16"/>
      <c r="O640" s="17"/>
      <c r="P640" s="17"/>
      <c r="Q640" s="13"/>
      <c r="R640" s="13"/>
      <c r="S640" s="13"/>
      <c r="T640" s="13">
        <f t="shared" ref="T640:Y640" si="670">IF(ISBLANK(K640)=TRUE,0,1)</f>
        <v>1</v>
      </c>
      <c r="U640" s="13">
        <f t="shared" si="670"/>
        <v>1</v>
      </c>
      <c r="V640" s="13">
        <f t="shared" si="670"/>
        <v>0</v>
      </c>
      <c r="W640" s="13">
        <f t="shared" si="670"/>
        <v>0</v>
      </c>
      <c r="X640" s="13">
        <f t="shared" si="670"/>
        <v>0</v>
      </c>
      <c r="Y640" s="13">
        <f t="shared" si="670"/>
        <v>0</v>
      </c>
      <c r="Z640" s="13">
        <f t="shared" si="529"/>
        <v>0</v>
      </c>
      <c r="AA640" s="13" t="s">
        <v>483</v>
      </c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</row>
    <row r="641" ht="14.25" hidden="1" customHeight="1">
      <c r="A641" s="13" t="s">
        <v>46</v>
      </c>
      <c r="B641" s="13" t="s">
        <v>55</v>
      </c>
      <c r="C641" s="13" t="s">
        <v>489</v>
      </c>
      <c r="D641" s="13"/>
      <c r="E641" s="13"/>
      <c r="F641" s="13"/>
      <c r="G641" s="13" t="s">
        <v>111</v>
      </c>
      <c r="H641" s="13" t="s">
        <v>75</v>
      </c>
      <c r="I641" s="13"/>
      <c r="J641" s="13"/>
      <c r="K641" s="15">
        <v>0.0</v>
      </c>
      <c r="L641" s="15">
        <v>0.0</v>
      </c>
      <c r="M641" s="16"/>
      <c r="N641" s="16"/>
      <c r="O641" s="17"/>
      <c r="P641" s="17"/>
      <c r="Q641" s="13"/>
      <c r="R641" s="13"/>
      <c r="S641" s="13"/>
      <c r="T641" s="13">
        <f t="shared" ref="T641:Y641" si="671">IF(ISBLANK(K641)=TRUE,0,1)</f>
        <v>1</v>
      </c>
      <c r="U641" s="13">
        <f t="shared" si="671"/>
        <v>1</v>
      </c>
      <c r="V641" s="13">
        <f t="shared" si="671"/>
        <v>0</v>
      </c>
      <c r="W641" s="13">
        <f t="shared" si="671"/>
        <v>0</v>
      </c>
      <c r="X641" s="13">
        <f t="shared" si="671"/>
        <v>0</v>
      </c>
      <c r="Y641" s="13">
        <f t="shared" si="671"/>
        <v>0</v>
      </c>
      <c r="Z641" s="13">
        <f t="shared" si="529"/>
        <v>0</v>
      </c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</row>
    <row r="642" ht="14.25" hidden="1" customHeight="1">
      <c r="A642" s="13" t="s">
        <v>46</v>
      </c>
      <c r="B642" s="13" t="s">
        <v>55</v>
      </c>
      <c r="C642" s="13" t="s">
        <v>490</v>
      </c>
      <c r="D642" s="13"/>
      <c r="E642" s="13"/>
      <c r="F642" s="13"/>
      <c r="G642" s="13" t="s">
        <v>111</v>
      </c>
      <c r="H642" s="13" t="s">
        <v>75</v>
      </c>
      <c r="I642" s="13"/>
      <c r="J642" s="13"/>
      <c r="K642" s="15">
        <v>0.0</v>
      </c>
      <c r="L642" s="15">
        <v>0.0</v>
      </c>
      <c r="M642" s="16"/>
      <c r="N642" s="16"/>
      <c r="O642" s="17"/>
      <c r="P642" s="17"/>
      <c r="Q642" s="13"/>
      <c r="R642" s="13"/>
      <c r="S642" s="13"/>
      <c r="T642" s="13">
        <f t="shared" ref="T642:Y642" si="672">IF(ISBLANK(K642)=TRUE,0,1)</f>
        <v>1</v>
      </c>
      <c r="U642" s="13">
        <f t="shared" si="672"/>
        <v>1</v>
      </c>
      <c r="V642" s="13">
        <f t="shared" si="672"/>
        <v>0</v>
      </c>
      <c r="W642" s="13">
        <f t="shared" si="672"/>
        <v>0</v>
      </c>
      <c r="X642" s="13">
        <f t="shared" si="672"/>
        <v>0</v>
      </c>
      <c r="Y642" s="13">
        <f t="shared" si="672"/>
        <v>0</v>
      </c>
      <c r="Z642" s="13">
        <f t="shared" si="529"/>
        <v>0</v>
      </c>
      <c r="AA642" s="13" t="s">
        <v>483</v>
      </c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</row>
    <row r="643" ht="14.25" hidden="1" customHeight="1">
      <c r="A643" s="13" t="s">
        <v>46</v>
      </c>
      <c r="B643" s="13" t="s">
        <v>55</v>
      </c>
      <c r="C643" s="13" t="s">
        <v>491</v>
      </c>
      <c r="D643" s="13"/>
      <c r="E643" s="13"/>
      <c r="F643" s="13"/>
      <c r="G643" s="13" t="s">
        <v>111</v>
      </c>
      <c r="H643" s="13" t="s">
        <v>75</v>
      </c>
      <c r="I643" s="13"/>
      <c r="J643" s="13"/>
      <c r="K643" s="15">
        <v>0.0</v>
      </c>
      <c r="L643" s="15">
        <v>0.0</v>
      </c>
      <c r="M643" s="16"/>
      <c r="N643" s="16"/>
      <c r="O643" s="17"/>
      <c r="P643" s="17"/>
      <c r="Q643" s="13"/>
      <c r="R643" s="13"/>
      <c r="S643" s="13"/>
      <c r="T643" s="13">
        <f t="shared" ref="T643:Y643" si="673">IF(ISBLANK(K643)=TRUE,0,1)</f>
        <v>1</v>
      </c>
      <c r="U643" s="13">
        <f t="shared" si="673"/>
        <v>1</v>
      </c>
      <c r="V643" s="13">
        <f t="shared" si="673"/>
        <v>0</v>
      </c>
      <c r="W643" s="13">
        <f t="shared" si="673"/>
        <v>0</v>
      </c>
      <c r="X643" s="13">
        <f t="shared" si="673"/>
        <v>0</v>
      </c>
      <c r="Y643" s="13">
        <f t="shared" si="673"/>
        <v>0</v>
      </c>
      <c r="Z643" s="13">
        <f t="shared" si="529"/>
        <v>0</v>
      </c>
      <c r="AA643" s="13" t="s">
        <v>483</v>
      </c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</row>
    <row r="644" ht="14.25" hidden="1" customHeight="1">
      <c r="A644" s="13" t="s">
        <v>46</v>
      </c>
      <c r="B644" s="13" t="s">
        <v>55</v>
      </c>
      <c r="C644" s="13" t="s">
        <v>492</v>
      </c>
      <c r="D644" s="13"/>
      <c r="E644" s="13"/>
      <c r="F644" s="13"/>
      <c r="G644" s="13" t="s">
        <v>111</v>
      </c>
      <c r="H644" s="13" t="s">
        <v>75</v>
      </c>
      <c r="I644" s="13"/>
      <c r="J644" s="13"/>
      <c r="K644" s="15">
        <v>0.0</v>
      </c>
      <c r="L644" s="15">
        <v>0.0</v>
      </c>
      <c r="M644" s="16"/>
      <c r="N644" s="16"/>
      <c r="O644" s="17"/>
      <c r="P644" s="17"/>
      <c r="Q644" s="13"/>
      <c r="R644" s="13"/>
      <c r="S644" s="13"/>
      <c r="T644" s="13">
        <f t="shared" ref="T644:Y644" si="674">IF(ISBLANK(K644)=TRUE,0,1)</f>
        <v>1</v>
      </c>
      <c r="U644" s="13">
        <f t="shared" si="674"/>
        <v>1</v>
      </c>
      <c r="V644" s="13">
        <f t="shared" si="674"/>
        <v>0</v>
      </c>
      <c r="W644" s="13">
        <f t="shared" si="674"/>
        <v>0</v>
      </c>
      <c r="X644" s="13">
        <f t="shared" si="674"/>
        <v>0</v>
      </c>
      <c r="Y644" s="13">
        <f t="shared" si="674"/>
        <v>0</v>
      </c>
      <c r="Z644" s="13">
        <f t="shared" si="529"/>
        <v>0</v>
      </c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</row>
    <row r="645" ht="14.25" hidden="1" customHeight="1">
      <c r="A645" s="13" t="s">
        <v>46</v>
      </c>
      <c r="B645" s="13" t="s">
        <v>55</v>
      </c>
      <c r="C645" s="13" t="s">
        <v>493</v>
      </c>
      <c r="D645" s="13"/>
      <c r="E645" s="13"/>
      <c r="F645" s="13"/>
      <c r="G645" s="13" t="s">
        <v>111</v>
      </c>
      <c r="H645" s="13" t="s">
        <v>75</v>
      </c>
      <c r="I645" s="13"/>
      <c r="J645" s="13"/>
      <c r="K645" s="15">
        <v>0.0</v>
      </c>
      <c r="L645" s="15">
        <v>0.0</v>
      </c>
      <c r="M645" s="16"/>
      <c r="N645" s="16"/>
      <c r="O645" s="17"/>
      <c r="P645" s="17"/>
      <c r="Q645" s="13"/>
      <c r="R645" s="13"/>
      <c r="S645" s="13"/>
      <c r="T645" s="13">
        <f t="shared" ref="T645:Y645" si="675">IF(ISBLANK(K645)=TRUE,0,1)</f>
        <v>1</v>
      </c>
      <c r="U645" s="13">
        <f t="shared" si="675"/>
        <v>1</v>
      </c>
      <c r="V645" s="13">
        <f t="shared" si="675"/>
        <v>0</v>
      </c>
      <c r="W645" s="13">
        <f t="shared" si="675"/>
        <v>0</v>
      </c>
      <c r="X645" s="13">
        <f t="shared" si="675"/>
        <v>0</v>
      </c>
      <c r="Y645" s="13">
        <f t="shared" si="675"/>
        <v>0</v>
      </c>
      <c r="Z645" s="13">
        <f t="shared" si="529"/>
        <v>0</v>
      </c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</row>
    <row r="646" ht="14.25" hidden="1" customHeight="1">
      <c r="A646" s="13" t="s">
        <v>46</v>
      </c>
      <c r="B646" s="13" t="s">
        <v>55</v>
      </c>
      <c r="C646" s="13" t="s">
        <v>494</v>
      </c>
      <c r="D646" s="13"/>
      <c r="E646" s="13"/>
      <c r="F646" s="13"/>
      <c r="G646" s="13" t="s">
        <v>111</v>
      </c>
      <c r="H646" s="13" t="s">
        <v>75</v>
      </c>
      <c r="I646" s="13"/>
      <c r="J646" s="13"/>
      <c r="K646" s="15">
        <v>0.0</v>
      </c>
      <c r="L646" s="15">
        <v>0.0</v>
      </c>
      <c r="M646" s="16"/>
      <c r="N646" s="16"/>
      <c r="O646" s="17"/>
      <c r="P646" s="17"/>
      <c r="Q646" s="13"/>
      <c r="R646" s="13"/>
      <c r="S646" s="13"/>
      <c r="T646" s="13">
        <f t="shared" ref="T646:Y646" si="676">IF(ISBLANK(K646)=TRUE,0,1)</f>
        <v>1</v>
      </c>
      <c r="U646" s="13">
        <f t="shared" si="676"/>
        <v>1</v>
      </c>
      <c r="V646" s="13">
        <f t="shared" si="676"/>
        <v>0</v>
      </c>
      <c r="W646" s="13">
        <f t="shared" si="676"/>
        <v>0</v>
      </c>
      <c r="X646" s="13">
        <f t="shared" si="676"/>
        <v>0</v>
      </c>
      <c r="Y646" s="13">
        <f t="shared" si="676"/>
        <v>0</v>
      </c>
      <c r="Z646" s="13">
        <f t="shared" si="529"/>
        <v>0</v>
      </c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</row>
    <row r="647" ht="14.25" hidden="1" customHeight="1">
      <c r="A647" s="13" t="s">
        <v>46</v>
      </c>
      <c r="B647" s="13" t="s">
        <v>55</v>
      </c>
      <c r="C647" s="13" t="s">
        <v>495</v>
      </c>
      <c r="D647" s="13"/>
      <c r="E647" s="13"/>
      <c r="F647" s="13"/>
      <c r="G647" s="13" t="s">
        <v>111</v>
      </c>
      <c r="H647" s="13" t="s">
        <v>75</v>
      </c>
      <c r="I647" s="13"/>
      <c r="J647" s="13"/>
      <c r="K647" s="15">
        <v>0.0</v>
      </c>
      <c r="L647" s="15">
        <v>0.0</v>
      </c>
      <c r="M647" s="16"/>
      <c r="N647" s="16"/>
      <c r="O647" s="17"/>
      <c r="P647" s="17"/>
      <c r="Q647" s="13"/>
      <c r="R647" s="13"/>
      <c r="S647" s="13"/>
      <c r="T647" s="13">
        <f t="shared" ref="T647:Y647" si="677">IF(ISBLANK(K647)=TRUE,0,1)</f>
        <v>1</v>
      </c>
      <c r="U647" s="13">
        <f t="shared" si="677"/>
        <v>1</v>
      </c>
      <c r="V647" s="13">
        <f t="shared" si="677"/>
        <v>0</v>
      </c>
      <c r="W647" s="13">
        <f t="shared" si="677"/>
        <v>0</v>
      </c>
      <c r="X647" s="13">
        <f t="shared" si="677"/>
        <v>0</v>
      </c>
      <c r="Y647" s="13">
        <f t="shared" si="677"/>
        <v>0</v>
      </c>
      <c r="Z647" s="13">
        <f t="shared" si="529"/>
        <v>0</v>
      </c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</row>
    <row r="648" ht="14.25" hidden="1" customHeight="1">
      <c r="A648" s="13" t="s">
        <v>46</v>
      </c>
      <c r="B648" s="13" t="s">
        <v>55</v>
      </c>
      <c r="C648" s="13" t="s">
        <v>496</v>
      </c>
      <c r="D648" s="13"/>
      <c r="E648" s="13"/>
      <c r="F648" s="13"/>
      <c r="G648" s="13" t="s">
        <v>111</v>
      </c>
      <c r="H648" s="13" t="s">
        <v>75</v>
      </c>
      <c r="I648" s="13"/>
      <c r="J648" s="13"/>
      <c r="K648" s="15">
        <v>0.0</v>
      </c>
      <c r="L648" s="15">
        <v>0.0</v>
      </c>
      <c r="M648" s="16"/>
      <c r="N648" s="16"/>
      <c r="O648" s="17"/>
      <c r="P648" s="17"/>
      <c r="Q648" s="13"/>
      <c r="R648" s="13"/>
      <c r="S648" s="13"/>
      <c r="T648" s="13">
        <f t="shared" ref="T648:Y648" si="678">IF(ISBLANK(K648)=TRUE,0,1)</f>
        <v>1</v>
      </c>
      <c r="U648" s="13">
        <f t="shared" si="678"/>
        <v>1</v>
      </c>
      <c r="V648" s="13">
        <f t="shared" si="678"/>
        <v>0</v>
      </c>
      <c r="W648" s="13">
        <f t="shared" si="678"/>
        <v>0</v>
      </c>
      <c r="X648" s="13">
        <f t="shared" si="678"/>
        <v>0</v>
      </c>
      <c r="Y648" s="13">
        <f t="shared" si="678"/>
        <v>0</v>
      </c>
      <c r="Z648" s="13">
        <f t="shared" si="529"/>
        <v>0</v>
      </c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</row>
    <row r="649" ht="14.25" hidden="1" customHeight="1">
      <c r="A649" s="13" t="s">
        <v>46</v>
      </c>
      <c r="B649" s="13" t="s">
        <v>55</v>
      </c>
      <c r="C649" s="13" t="s">
        <v>497</v>
      </c>
      <c r="D649" s="13"/>
      <c r="E649" s="13"/>
      <c r="F649" s="13"/>
      <c r="G649" s="13" t="s">
        <v>111</v>
      </c>
      <c r="H649" s="13" t="s">
        <v>75</v>
      </c>
      <c r="I649" s="13"/>
      <c r="J649" s="13"/>
      <c r="K649" s="15">
        <v>0.0</v>
      </c>
      <c r="L649" s="15">
        <v>0.0</v>
      </c>
      <c r="M649" s="16"/>
      <c r="N649" s="16"/>
      <c r="O649" s="17"/>
      <c r="P649" s="17"/>
      <c r="Q649" s="13"/>
      <c r="R649" s="13"/>
      <c r="S649" s="13"/>
      <c r="T649" s="13">
        <f t="shared" ref="T649:Y649" si="679">IF(ISBLANK(K649)=TRUE,0,1)</f>
        <v>1</v>
      </c>
      <c r="U649" s="13">
        <f t="shared" si="679"/>
        <v>1</v>
      </c>
      <c r="V649" s="13">
        <f t="shared" si="679"/>
        <v>0</v>
      </c>
      <c r="W649" s="13">
        <f t="shared" si="679"/>
        <v>0</v>
      </c>
      <c r="X649" s="13">
        <f t="shared" si="679"/>
        <v>0</v>
      </c>
      <c r="Y649" s="13">
        <f t="shared" si="679"/>
        <v>0</v>
      </c>
      <c r="Z649" s="13">
        <f t="shared" si="529"/>
        <v>0</v>
      </c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</row>
    <row r="650" ht="14.25" hidden="1" customHeight="1">
      <c r="A650" s="13" t="s">
        <v>46</v>
      </c>
      <c r="B650" s="13" t="s">
        <v>55</v>
      </c>
      <c r="C650" s="13" t="s">
        <v>498</v>
      </c>
      <c r="D650" s="13"/>
      <c r="E650" s="13"/>
      <c r="F650" s="13"/>
      <c r="G650" s="13" t="s">
        <v>111</v>
      </c>
      <c r="H650" s="13" t="s">
        <v>75</v>
      </c>
      <c r="I650" s="13"/>
      <c r="J650" s="13"/>
      <c r="K650" s="15">
        <v>0.0</v>
      </c>
      <c r="L650" s="15">
        <v>0.0</v>
      </c>
      <c r="M650" s="16"/>
      <c r="N650" s="16"/>
      <c r="O650" s="17"/>
      <c r="P650" s="17"/>
      <c r="Q650" s="13"/>
      <c r="R650" s="13"/>
      <c r="S650" s="13"/>
      <c r="T650" s="13">
        <f t="shared" ref="T650:Y650" si="680">IF(ISBLANK(K650)=TRUE,0,1)</f>
        <v>1</v>
      </c>
      <c r="U650" s="13">
        <f t="shared" si="680"/>
        <v>1</v>
      </c>
      <c r="V650" s="13">
        <f t="shared" si="680"/>
        <v>0</v>
      </c>
      <c r="W650" s="13">
        <f t="shared" si="680"/>
        <v>0</v>
      </c>
      <c r="X650" s="13">
        <f t="shared" si="680"/>
        <v>0</v>
      </c>
      <c r="Y650" s="13">
        <f t="shared" si="680"/>
        <v>0</v>
      </c>
      <c r="Z650" s="13">
        <f t="shared" si="529"/>
        <v>0</v>
      </c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</row>
    <row r="651" ht="14.25" hidden="1" customHeight="1">
      <c r="A651" s="13" t="s">
        <v>46</v>
      </c>
      <c r="B651" s="13" t="s">
        <v>55</v>
      </c>
      <c r="C651" s="13" t="s">
        <v>499</v>
      </c>
      <c r="D651" s="13"/>
      <c r="E651" s="13"/>
      <c r="F651" s="13"/>
      <c r="G651" s="13" t="s">
        <v>111</v>
      </c>
      <c r="H651" s="13" t="s">
        <v>75</v>
      </c>
      <c r="I651" s="13"/>
      <c r="J651" s="13"/>
      <c r="K651" s="15">
        <v>0.0</v>
      </c>
      <c r="L651" s="15">
        <v>0.0</v>
      </c>
      <c r="M651" s="16"/>
      <c r="N651" s="16"/>
      <c r="O651" s="17"/>
      <c r="P651" s="17"/>
      <c r="Q651" s="13"/>
      <c r="R651" s="13"/>
      <c r="S651" s="13"/>
      <c r="T651" s="13">
        <f t="shared" ref="T651:Y651" si="681">IF(ISBLANK(K651)=TRUE,0,1)</f>
        <v>1</v>
      </c>
      <c r="U651" s="13">
        <f t="shared" si="681"/>
        <v>1</v>
      </c>
      <c r="V651" s="13">
        <f t="shared" si="681"/>
        <v>0</v>
      </c>
      <c r="W651" s="13">
        <f t="shared" si="681"/>
        <v>0</v>
      </c>
      <c r="X651" s="13">
        <f t="shared" si="681"/>
        <v>0</v>
      </c>
      <c r="Y651" s="13">
        <f t="shared" si="681"/>
        <v>0</v>
      </c>
      <c r="Z651" s="13">
        <f t="shared" si="529"/>
        <v>0</v>
      </c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</row>
    <row r="652" ht="14.25" hidden="1" customHeight="1">
      <c r="A652" s="13" t="s">
        <v>46</v>
      </c>
      <c r="B652" s="13" t="s">
        <v>55</v>
      </c>
      <c r="C652" s="13" t="s">
        <v>500</v>
      </c>
      <c r="D652" s="13"/>
      <c r="E652" s="13"/>
      <c r="F652" s="13"/>
      <c r="G652" s="13" t="s">
        <v>111</v>
      </c>
      <c r="H652" s="13" t="s">
        <v>75</v>
      </c>
      <c r="I652" s="13"/>
      <c r="J652" s="13"/>
      <c r="K652" s="15">
        <v>0.0</v>
      </c>
      <c r="L652" s="15">
        <v>0.0</v>
      </c>
      <c r="M652" s="16"/>
      <c r="N652" s="16"/>
      <c r="O652" s="17"/>
      <c r="P652" s="17"/>
      <c r="Q652" s="13"/>
      <c r="R652" s="13"/>
      <c r="S652" s="13"/>
      <c r="T652" s="13">
        <f t="shared" ref="T652:Y652" si="682">IF(ISBLANK(K652)=TRUE,0,1)</f>
        <v>1</v>
      </c>
      <c r="U652" s="13">
        <f t="shared" si="682"/>
        <v>1</v>
      </c>
      <c r="V652" s="13">
        <f t="shared" si="682"/>
        <v>0</v>
      </c>
      <c r="W652" s="13">
        <f t="shared" si="682"/>
        <v>0</v>
      </c>
      <c r="X652" s="13">
        <f t="shared" si="682"/>
        <v>0</v>
      </c>
      <c r="Y652" s="13">
        <f t="shared" si="682"/>
        <v>0</v>
      </c>
      <c r="Z652" s="13">
        <f t="shared" si="529"/>
        <v>0</v>
      </c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</row>
    <row r="653" ht="14.25" hidden="1" customHeight="1">
      <c r="A653" s="13" t="s">
        <v>46</v>
      </c>
      <c r="B653" s="13" t="s">
        <v>55</v>
      </c>
      <c r="C653" s="13" t="s">
        <v>501</v>
      </c>
      <c r="D653" s="13"/>
      <c r="E653" s="13"/>
      <c r="F653" s="13"/>
      <c r="G653" s="13" t="s">
        <v>111</v>
      </c>
      <c r="H653" s="13" t="s">
        <v>75</v>
      </c>
      <c r="I653" s="13"/>
      <c r="J653" s="13"/>
      <c r="K653" s="15">
        <v>0.0</v>
      </c>
      <c r="L653" s="15">
        <v>0.0</v>
      </c>
      <c r="M653" s="16"/>
      <c r="N653" s="16"/>
      <c r="O653" s="17"/>
      <c r="P653" s="17"/>
      <c r="Q653" s="13"/>
      <c r="R653" s="13"/>
      <c r="S653" s="13"/>
      <c r="T653" s="13">
        <f t="shared" ref="T653:Y653" si="683">IF(ISBLANK(K653)=TRUE,0,1)</f>
        <v>1</v>
      </c>
      <c r="U653" s="13">
        <f t="shared" si="683"/>
        <v>1</v>
      </c>
      <c r="V653" s="13">
        <f t="shared" si="683"/>
        <v>0</v>
      </c>
      <c r="W653" s="13">
        <f t="shared" si="683"/>
        <v>0</v>
      </c>
      <c r="X653" s="13">
        <f t="shared" si="683"/>
        <v>0</v>
      </c>
      <c r="Y653" s="13">
        <f t="shared" si="683"/>
        <v>0</v>
      </c>
      <c r="Z653" s="13">
        <f t="shared" si="529"/>
        <v>0</v>
      </c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</row>
    <row r="654" ht="14.25" hidden="1" customHeight="1">
      <c r="A654" s="13" t="s">
        <v>46</v>
      </c>
      <c r="B654" s="13" t="s">
        <v>55</v>
      </c>
      <c r="C654" s="13" t="s">
        <v>502</v>
      </c>
      <c r="D654" s="13"/>
      <c r="E654" s="13"/>
      <c r="F654" s="13"/>
      <c r="G654" s="13" t="s">
        <v>111</v>
      </c>
      <c r="H654" s="13" t="s">
        <v>75</v>
      </c>
      <c r="I654" s="13"/>
      <c r="J654" s="13"/>
      <c r="K654" s="15">
        <v>0.0</v>
      </c>
      <c r="L654" s="15">
        <v>0.0</v>
      </c>
      <c r="M654" s="16"/>
      <c r="N654" s="16"/>
      <c r="O654" s="17"/>
      <c r="P654" s="17"/>
      <c r="Q654" s="13"/>
      <c r="R654" s="13"/>
      <c r="S654" s="13"/>
      <c r="T654" s="13">
        <f t="shared" ref="T654:Y654" si="684">IF(ISBLANK(K654)=TRUE,0,1)</f>
        <v>1</v>
      </c>
      <c r="U654" s="13">
        <f t="shared" si="684"/>
        <v>1</v>
      </c>
      <c r="V654" s="13">
        <f t="shared" si="684"/>
        <v>0</v>
      </c>
      <c r="W654" s="13">
        <f t="shared" si="684"/>
        <v>0</v>
      </c>
      <c r="X654" s="13">
        <f t="shared" si="684"/>
        <v>0</v>
      </c>
      <c r="Y654" s="13">
        <f t="shared" si="684"/>
        <v>0</v>
      </c>
      <c r="Z654" s="13">
        <f t="shared" si="529"/>
        <v>0</v>
      </c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</row>
    <row r="655" ht="14.25" hidden="1" customHeight="1">
      <c r="A655" s="13" t="s">
        <v>46</v>
      </c>
      <c r="B655" s="13" t="s">
        <v>55</v>
      </c>
      <c r="C655" s="13" t="s">
        <v>503</v>
      </c>
      <c r="D655" s="13"/>
      <c r="E655" s="13"/>
      <c r="F655" s="13"/>
      <c r="G655" s="13" t="s">
        <v>111</v>
      </c>
      <c r="H655" s="13" t="s">
        <v>75</v>
      </c>
      <c r="I655" s="13"/>
      <c r="J655" s="13"/>
      <c r="K655" s="15">
        <v>0.0</v>
      </c>
      <c r="L655" s="15">
        <v>0.0</v>
      </c>
      <c r="M655" s="16"/>
      <c r="N655" s="16"/>
      <c r="O655" s="17"/>
      <c r="P655" s="17"/>
      <c r="Q655" s="13"/>
      <c r="R655" s="13"/>
      <c r="S655" s="13"/>
      <c r="T655" s="13">
        <f t="shared" ref="T655:Y655" si="685">IF(ISBLANK(K655)=TRUE,0,1)</f>
        <v>1</v>
      </c>
      <c r="U655" s="13">
        <f t="shared" si="685"/>
        <v>1</v>
      </c>
      <c r="V655" s="13">
        <f t="shared" si="685"/>
        <v>0</v>
      </c>
      <c r="W655" s="13">
        <f t="shared" si="685"/>
        <v>0</v>
      </c>
      <c r="X655" s="13">
        <f t="shared" si="685"/>
        <v>0</v>
      </c>
      <c r="Y655" s="13">
        <f t="shared" si="685"/>
        <v>0</v>
      </c>
      <c r="Z655" s="13">
        <f t="shared" si="529"/>
        <v>0</v>
      </c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</row>
    <row r="656" ht="14.25" hidden="1" customHeight="1">
      <c r="A656" s="13" t="s">
        <v>46</v>
      </c>
      <c r="B656" s="13" t="s">
        <v>55</v>
      </c>
      <c r="C656" s="13" t="s">
        <v>504</v>
      </c>
      <c r="D656" s="13"/>
      <c r="E656" s="13"/>
      <c r="F656" s="13"/>
      <c r="G656" s="13" t="s">
        <v>111</v>
      </c>
      <c r="H656" s="13" t="s">
        <v>75</v>
      </c>
      <c r="I656" s="13"/>
      <c r="J656" s="13"/>
      <c r="K656" s="15">
        <v>0.0</v>
      </c>
      <c r="L656" s="15">
        <v>0.0</v>
      </c>
      <c r="M656" s="16"/>
      <c r="N656" s="16"/>
      <c r="O656" s="17"/>
      <c r="P656" s="17"/>
      <c r="Q656" s="13"/>
      <c r="R656" s="13"/>
      <c r="S656" s="13"/>
      <c r="T656" s="13">
        <f t="shared" ref="T656:Y656" si="686">IF(ISBLANK(K656)=TRUE,0,1)</f>
        <v>1</v>
      </c>
      <c r="U656" s="13">
        <f t="shared" si="686"/>
        <v>1</v>
      </c>
      <c r="V656" s="13">
        <f t="shared" si="686"/>
        <v>0</v>
      </c>
      <c r="W656" s="13">
        <f t="shared" si="686"/>
        <v>0</v>
      </c>
      <c r="X656" s="13">
        <f t="shared" si="686"/>
        <v>0</v>
      </c>
      <c r="Y656" s="13">
        <f t="shared" si="686"/>
        <v>0</v>
      </c>
      <c r="Z656" s="13">
        <f t="shared" si="529"/>
        <v>0</v>
      </c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</row>
    <row r="657" ht="14.25" hidden="1" customHeight="1">
      <c r="A657" s="13" t="s">
        <v>46</v>
      </c>
      <c r="B657" s="13" t="s">
        <v>55</v>
      </c>
      <c r="C657" s="13" t="s">
        <v>505</v>
      </c>
      <c r="D657" s="13"/>
      <c r="E657" s="13"/>
      <c r="F657" s="13"/>
      <c r="G657" s="13" t="s">
        <v>111</v>
      </c>
      <c r="H657" s="13" t="s">
        <v>75</v>
      </c>
      <c r="I657" s="13"/>
      <c r="J657" s="13"/>
      <c r="K657" s="15">
        <v>0.0</v>
      </c>
      <c r="L657" s="15">
        <v>0.0</v>
      </c>
      <c r="M657" s="16"/>
      <c r="N657" s="16"/>
      <c r="O657" s="17"/>
      <c r="P657" s="17"/>
      <c r="Q657" s="13"/>
      <c r="R657" s="13"/>
      <c r="S657" s="13"/>
      <c r="T657" s="13">
        <f t="shared" ref="T657:Y657" si="687">IF(ISBLANK(K657)=TRUE,0,1)</f>
        <v>1</v>
      </c>
      <c r="U657" s="13">
        <f t="shared" si="687"/>
        <v>1</v>
      </c>
      <c r="V657" s="13">
        <f t="shared" si="687"/>
        <v>0</v>
      </c>
      <c r="W657" s="13">
        <f t="shared" si="687"/>
        <v>0</v>
      </c>
      <c r="X657" s="13">
        <f t="shared" si="687"/>
        <v>0</v>
      </c>
      <c r="Y657" s="13">
        <f t="shared" si="687"/>
        <v>0</v>
      </c>
      <c r="Z657" s="13">
        <f t="shared" si="529"/>
        <v>0</v>
      </c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</row>
    <row r="658" ht="14.25" hidden="1" customHeight="1">
      <c r="A658" s="13" t="s">
        <v>46</v>
      </c>
      <c r="B658" s="13" t="s">
        <v>55</v>
      </c>
      <c r="C658" s="13" t="s">
        <v>506</v>
      </c>
      <c r="D658" s="13"/>
      <c r="E658" s="13"/>
      <c r="F658" s="13"/>
      <c r="G658" s="13" t="s">
        <v>111</v>
      </c>
      <c r="H658" s="13" t="s">
        <v>75</v>
      </c>
      <c r="I658" s="13"/>
      <c r="J658" s="13"/>
      <c r="K658" s="15">
        <v>0.0</v>
      </c>
      <c r="L658" s="15">
        <v>0.0</v>
      </c>
      <c r="M658" s="16"/>
      <c r="N658" s="16"/>
      <c r="O658" s="17"/>
      <c r="P658" s="17"/>
      <c r="Q658" s="13"/>
      <c r="R658" s="13"/>
      <c r="S658" s="13"/>
      <c r="T658" s="13">
        <f t="shared" ref="T658:Y658" si="688">IF(ISBLANK(K658)=TRUE,0,1)</f>
        <v>1</v>
      </c>
      <c r="U658" s="13">
        <f t="shared" si="688"/>
        <v>1</v>
      </c>
      <c r="V658" s="13">
        <f t="shared" si="688"/>
        <v>0</v>
      </c>
      <c r="W658" s="13">
        <f t="shared" si="688"/>
        <v>0</v>
      </c>
      <c r="X658" s="13">
        <f t="shared" si="688"/>
        <v>0</v>
      </c>
      <c r="Y658" s="13">
        <f t="shared" si="688"/>
        <v>0</v>
      </c>
      <c r="Z658" s="13">
        <f t="shared" si="529"/>
        <v>0</v>
      </c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</row>
    <row r="659" ht="14.25" hidden="1" customHeight="1">
      <c r="A659" s="13" t="s">
        <v>46</v>
      </c>
      <c r="B659" s="13" t="s">
        <v>55</v>
      </c>
      <c r="C659" s="13" t="s">
        <v>507</v>
      </c>
      <c r="D659" s="13"/>
      <c r="E659" s="13" t="str">
        <f t="shared" ref="E659:E674" si="690">CONCATENATE(B659,",",C659,",",D659,",",Z659)</f>
        <v>JLP,110-5A-2A,,0.5</v>
      </c>
      <c r="F659" s="13"/>
      <c r="G659" s="13" t="s">
        <v>111</v>
      </c>
      <c r="H659" s="13" t="s">
        <v>75</v>
      </c>
      <c r="I659" s="13"/>
      <c r="J659" s="13"/>
      <c r="K659" s="15">
        <v>1.0</v>
      </c>
      <c r="L659" s="15">
        <v>0.0</v>
      </c>
      <c r="M659" s="16"/>
      <c r="N659" s="16"/>
      <c r="O659" s="17"/>
      <c r="P659" s="17"/>
      <c r="Q659" s="13"/>
      <c r="R659" s="13"/>
      <c r="S659" s="13"/>
      <c r="T659" s="13">
        <f t="shared" ref="T659:Y659" si="689">IF(ISBLANK(K659)=TRUE,0,1)</f>
        <v>1</v>
      </c>
      <c r="U659" s="13">
        <f t="shared" si="689"/>
        <v>1</v>
      </c>
      <c r="V659" s="13">
        <f t="shared" si="689"/>
        <v>0</v>
      </c>
      <c r="W659" s="13">
        <f t="shared" si="689"/>
        <v>0</v>
      </c>
      <c r="X659" s="13">
        <f t="shared" si="689"/>
        <v>0</v>
      </c>
      <c r="Y659" s="13">
        <f t="shared" si="689"/>
        <v>0</v>
      </c>
      <c r="Z659" s="13">
        <f t="shared" si="529"/>
        <v>0.5</v>
      </c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</row>
    <row r="660" ht="14.25" hidden="1" customHeight="1">
      <c r="A660" s="13" t="s">
        <v>46</v>
      </c>
      <c r="B660" s="13" t="s">
        <v>55</v>
      </c>
      <c r="C660" s="13" t="s">
        <v>508</v>
      </c>
      <c r="D660" s="13"/>
      <c r="E660" s="13" t="str">
        <f t="shared" si="690"/>
        <v>JLP,110-5A-2B,,NA</v>
      </c>
      <c r="F660" s="13"/>
      <c r="G660" s="13" t="s">
        <v>111</v>
      </c>
      <c r="H660" s="13" t="s">
        <v>75</v>
      </c>
      <c r="I660" s="13"/>
      <c r="J660" s="13"/>
      <c r="K660" s="15"/>
      <c r="L660" s="15"/>
      <c r="M660" s="16"/>
      <c r="N660" s="16"/>
      <c r="O660" s="17"/>
      <c r="P660" s="17"/>
      <c r="Q660" s="13"/>
      <c r="R660" s="13"/>
      <c r="S660" s="13"/>
      <c r="T660" s="13">
        <f t="shared" ref="T660:Y660" si="691">IF(ISBLANK(K660)=TRUE,0,1)</f>
        <v>0</v>
      </c>
      <c r="U660" s="13">
        <f t="shared" si="691"/>
        <v>0</v>
      </c>
      <c r="V660" s="13">
        <f t="shared" si="691"/>
        <v>0</v>
      </c>
      <c r="W660" s="13">
        <f t="shared" si="691"/>
        <v>0</v>
      </c>
      <c r="X660" s="13">
        <f t="shared" si="691"/>
        <v>0</v>
      </c>
      <c r="Y660" s="13">
        <f t="shared" si="691"/>
        <v>0</v>
      </c>
      <c r="Z660" s="13" t="str">
        <f t="shared" si="529"/>
        <v>NA</v>
      </c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</row>
    <row r="661" ht="14.25" hidden="1" customHeight="1">
      <c r="A661" s="13" t="s">
        <v>46</v>
      </c>
      <c r="B661" s="13" t="s">
        <v>55</v>
      </c>
      <c r="C661" s="32" t="s">
        <v>509</v>
      </c>
      <c r="D661" s="13"/>
      <c r="E661" s="13" t="str">
        <f t="shared" si="690"/>
        <v>JLP,110-5A-2C,,0</v>
      </c>
      <c r="F661" s="13"/>
      <c r="G661" s="13" t="s">
        <v>111</v>
      </c>
      <c r="H661" s="13" t="s">
        <v>75</v>
      </c>
      <c r="I661" s="13"/>
      <c r="J661" s="13"/>
      <c r="K661" s="15">
        <v>0.0</v>
      </c>
      <c r="L661" s="15">
        <v>0.0</v>
      </c>
      <c r="M661" s="16"/>
      <c r="N661" s="16"/>
      <c r="O661" s="17"/>
      <c r="P661" s="17"/>
      <c r="Q661" s="13"/>
      <c r="R661" s="13"/>
      <c r="S661" s="13"/>
      <c r="T661" s="13">
        <f t="shared" ref="T661:Y661" si="692">IF(ISBLANK(K661)=TRUE,0,1)</f>
        <v>1</v>
      </c>
      <c r="U661" s="13">
        <f t="shared" si="692"/>
        <v>1</v>
      </c>
      <c r="V661" s="13">
        <f t="shared" si="692"/>
        <v>0</v>
      </c>
      <c r="W661" s="13">
        <f t="shared" si="692"/>
        <v>0</v>
      </c>
      <c r="X661" s="13">
        <f t="shared" si="692"/>
        <v>0</v>
      </c>
      <c r="Y661" s="13">
        <f t="shared" si="692"/>
        <v>0</v>
      </c>
      <c r="Z661" s="13">
        <f t="shared" si="529"/>
        <v>0</v>
      </c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</row>
    <row r="662" ht="14.25" hidden="1" customHeight="1">
      <c r="A662" s="13" t="s">
        <v>46</v>
      </c>
      <c r="B662" s="13" t="s">
        <v>55</v>
      </c>
      <c r="C662" s="32" t="s">
        <v>510</v>
      </c>
      <c r="D662" s="13"/>
      <c r="E662" s="13" t="str">
        <f t="shared" si="690"/>
        <v>JLP,110-5A-2D,,0</v>
      </c>
      <c r="F662" s="13"/>
      <c r="G662" s="13" t="s">
        <v>111</v>
      </c>
      <c r="H662" s="13" t="s">
        <v>75</v>
      </c>
      <c r="I662" s="13"/>
      <c r="J662" s="13"/>
      <c r="K662" s="15">
        <v>0.0</v>
      </c>
      <c r="L662" s="15">
        <v>0.0</v>
      </c>
      <c r="M662" s="16"/>
      <c r="N662" s="16"/>
      <c r="O662" s="17"/>
      <c r="P662" s="17"/>
      <c r="Q662" s="13"/>
      <c r="R662" s="13"/>
      <c r="S662" s="13"/>
      <c r="T662" s="13">
        <f t="shared" ref="T662:Y662" si="693">IF(ISBLANK(K662)=TRUE,0,1)</f>
        <v>1</v>
      </c>
      <c r="U662" s="13">
        <f t="shared" si="693"/>
        <v>1</v>
      </c>
      <c r="V662" s="13">
        <f t="shared" si="693"/>
        <v>0</v>
      </c>
      <c r="W662" s="13">
        <f t="shared" si="693"/>
        <v>0</v>
      </c>
      <c r="X662" s="13">
        <f t="shared" si="693"/>
        <v>0</v>
      </c>
      <c r="Y662" s="13">
        <f t="shared" si="693"/>
        <v>0</v>
      </c>
      <c r="Z662" s="13">
        <f t="shared" si="529"/>
        <v>0</v>
      </c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</row>
    <row r="663" ht="14.25" hidden="1" customHeight="1">
      <c r="A663" s="13" t="s">
        <v>46</v>
      </c>
      <c r="B663" s="13" t="s">
        <v>55</v>
      </c>
      <c r="C663" s="13" t="s">
        <v>511</v>
      </c>
      <c r="D663" s="13"/>
      <c r="E663" s="13" t="str">
        <f t="shared" si="690"/>
        <v>JLP,110-5A-2E,,0</v>
      </c>
      <c r="F663" s="13"/>
      <c r="G663" s="13" t="s">
        <v>111</v>
      </c>
      <c r="H663" s="13" t="s">
        <v>75</v>
      </c>
      <c r="I663" s="13"/>
      <c r="J663" s="13"/>
      <c r="K663" s="15">
        <v>0.0</v>
      </c>
      <c r="L663" s="15">
        <v>0.0</v>
      </c>
      <c r="M663" s="16"/>
      <c r="N663" s="16"/>
      <c r="O663" s="17"/>
      <c r="P663" s="17"/>
      <c r="Q663" s="13"/>
      <c r="R663" s="13"/>
      <c r="S663" s="13"/>
      <c r="T663" s="13">
        <f t="shared" ref="T663:Y663" si="694">IF(ISBLANK(K663)=TRUE,0,1)</f>
        <v>1</v>
      </c>
      <c r="U663" s="13">
        <f t="shared" si="694"/>
        <v>1</v>
      </c>
      <c r="V663" s="13">
        <f t="shared" si="694"/>
        <v>0</v>
      </c>
      <c r="W663" s="13">
        <f t="shared" si="694"/>
        <v>0</v>
      </c>
      <c r="X663" s="13">
        <f t="shared" si="694"/>
        <v>0</v>
      </c>
      <c r="Y663" s="13">
        <f t="shared" si="694"/>
        <v>0</v>
      </c>
      <c r="Z663" s="13">
        <f t="shared" si="529"/>
        <v>0</v>
      </c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</row>
    <row r="664" ht="14.25" hidden="1" customHeight="1">
      <c r="A664" s="13" t="s">
        <v>46</v>
      </c>
      <c r="B664" s="13" t="s">
        <v>55</v>
      </c>
      <c r="C664" s="13" t="s">
        <v>512</v>
      </c>
      <c r="D664" s="13"/>
      <c r="E664" s="13" t="str">
        <f t="shared" si="690"/>
        <v>JLP,110-5A-2F,,0</v>
      </c>
      <c r="F664" s="13"/>
      <c r="G664" s="13" t="s">
        <v>111</v>
      </c>
      <c r="H664" s="13" t="s">
        <v>75</v>
      </c>
      <c r="I664" s="13"/>
      <c r="J664" s="13"/>
      <c r="K664" s="15">
        <v>0.0</v>
      </c>
      <c r="L664" s="15">
        <v>0.0</v>
      </c>
      <c r="M664" s="16"/>
      <c r="N664" s="16"/>
      <c r="O664" s="17"/>
      <c r="P664" s="17"/>
      <c r="Q664" s="13"/>
      <c r="R664" s="13"/>
      <c r="S664" s="13"/>
      <c r="T664" s="13">
        <f t="shared" ref="T664:Y664" si="695">IF(ISBLANK(K664)=TRUE,0,1)</f>
        <v>1</v>
      </c>
      <c r="U664" s="13">
        <f t="shared" si="695"/>
        <v>1</v>
      </c>
      <c r="V664" s="13">
        <f t="shared" si="695"/>
        <v>0</v>
      </c>
      <c r="W664" s="13">
        <f t="shared" si="695"/>
        <v>0</v>
      </c>
      <c r="X664" s="13">
        <f t="shared" si="695"/>
        <v>0</v>
      </c>
      <c r="Y664" s="13">
        <f t="shared" si="695"/>
        <v>0</v>
      </c>
      <c r="Z664" s="13">
        <f t="shared" si="529"/>
        <v>0</v>
      </c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</row>
    <row r="665" ht="14.25" hidden="1" customHeight="1">
      <c r="A665" s="13" t="s">
        <v>46</v>
      </c>
      <c r="B665" s="13" t="s">
        <v>55</v>
      </c>
      <c r="C665" s="13" t="s">
        <v>513</v>
      </c>
      <c r="D665" s="13"/>
      <c r="E665" s="13" t="str">
        <f t="shared" si="690"/>
        <v>JLP,110-5A-2G,,NA</v>
      </c>
      <c r="F665" s="13"/>
      <c r="G665" s="13" t="s">
        <v>111</v>
      </c>
      <c r="H665" s="13" t="s">
        <v>75</v>
      </c>
      <c r="I665" s="13"/>
      <c r="J665" s="13"/>
      <c r="K665" s="15"/>
      <c r="L665" s="15"/>
      <c r="M665" s="16"/>
      <c r="N665" s="16"/>
      <c r="O665" s="17"/>
      <c r="P665" s="17"/>
      <c r="Q665" s="13"/>
      <c r="R665" s="13"/>
      <c r="S665" s="13"/>
      <c r="T665" s="13">
        <f t="shared" ref="T665:Y665" si="696">IF(ISBLANK(K665)=TRUE,0,1)</f>
        <v>0</v>
      </c>
      <c r="U665" s="13">
        <f t="shared" si="696"/>
        <v>0</v>
      </c>
      <c r="V665" s="13">
        <f t="shared" si="696"/>
        <v>0</v>
      </c>
      <c r="W665" s="13">
        <f t="shared" si="696"/>
        <v>0</v>
      </c>
      <c r="X665" s="13">
        <f t="shared" si="696"/>
        <v>0</v>
      </c>
      <c r="Y665" s="13">
        <f t="shared" si="696"/>
        <v>0</v>
      </c>
      <c r="Z665" s="13" t="str">
        <f t="shared" si="529"/>
        <v>NA</v>
      </c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</row>
    <row r="666" ht="14.25" hidden="1" customHeight="1">
      <c r="A666" s="13" t="s">
        <v>46</v>
      </c>
      <c r="B666" s="13" t="s">
        <v>55</v>
      </c>
      <c r="C666" s="13" t="s">
        <v>514</v>
      </c>
      <c r="D666" s="13"/>
      <c r="E666" s="13" t="str">
        <f t="shared" si="690"/>
        <v>JLP,110-5A-2H,,0</v>
      </c>
      <c r="F666" s="13"/>
      <c r="G666" s="13" t="s">
        <v>111</v>
      </c>
      <c r="H666" s="13" t="s">
        <v>75</v>
      </c>
      <c r="I666" s="13"/>
      <c r="J666" s="13"/>
      <c r="K666" s="15">
        <v>0.0</v>
      </c>
      <c r="L666" s="15">
        <v>0.0</v>
      </c>
      <c r="M666" s="16"/>
      <c r="N666" s="16"/>
      <c r="O666" s="17"/>
      <c r="P666" s="17"/>
      <c r="Q666" s="13"/>
      <c r="R666" s="13"/>
      <c r="S666" s="13"/>
      <c r="T666" s="13">
        <f t="shared" ref="T666:Y666" si="697">IF(ISBLANK(K666)=TRUE,0,1)</f>
        <v>1</v>
      </c>
      <c r="U666" s="13">
        <f t="shared" si="697"/>
        <v>1</v>
      </c>
      <c r="V666" s="13">
        <f t="shared" si="697"/>
        <v>0</v>
      </c>
      <c r="W666" s="13">
        <f t="shared" si="697"/>
        <v>0</v>
      </c>
      <c r="X666" s="13">
        <f t="shared" si="697"/>
        <v>0</v>
      </c>
      <c r="Y666" s="13">
        <f t="shared" si="697"/>
        <v>0</v>
      </c>
      <c r="Z666" s="13">
        <f t="shared" si="529"/>
        <v>0</v>
      </c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</row>
    <row r="667" ht="14.25" hidden="1" customHeight="1">
      <c r="A667" s="13" t="s">
        <v>46</v>
      </c>
      <c r="B667" s="13" t="s">
        <v>55</v>
      </c>
      <c r="C667" s="13" t="s">
        <v>515</v>
      </c>
      <c r="D667" s="13"/>
      <c r="E667" s="13" t="str">
        <f t="shared" si="690"/>
        <v>JLP,110-5A-2I,,NA</v>
      </c>
      <c r="F667" s="13"/>
      <c r="G667" s="13" t="s">
        <v>111</v>
      </c>
      <c r="H667" s="13" t="s">
        <v>75</v>
      </c>
      <c r="I667" s="13"/>
      <c r="J667" s="13"/>
      <c r="K667" s="15"/>
      <c r="L667" s="15"/>
      <c r="M667" s="16"/>
      <c r="N667" s="16"/>
      <c r="O667" s="17"/>
      <c r="P667" s="17"/>
      <c r="Q667" s="13"/>
      <c r="R667" s="13"/>
      <c r="S667" s="13"/>
      <c r="T667" s="13">
        <f t="shared" ref="T667:Y667" si="698">IF(ISBLANK(K667)=TRUE,0,1)</f>
        <v>0</v>
      </c>
      <c r="U667" s="13">
        <f t="shared" si="698"/>
        <v>0</v>
      </c>
      <c r="V667" s="13">
        <f t="shared" si="698"/>
        <v>0</v>
      </c>
      <c r="W667" s="13">
        <f t="shared" si="698"/>
        <v>0</v>
      </c>
      <c r="X667" s="13">
        <f t="shared" si="698"/>
        <v>0</v>
      </c>
      <c r="Y667" s="13">
        <f t="shared" si="698"/>
        <v>0</v>
      </c>
      <c r="Z667" s="13" t="str">
        <f t="shared" si="529"/>
        <v>NA</v>
      </c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</row>
    <row r="668" ht="14.25" hidden="1" customHeight="1">
      <c r="A668" s="13" t="s">
        <v>46</v>
      </c>
      <c r="B668" s="13" t="s">
        <v>55</v>
      </c>
      <c r="C668" s="13" t="s">
        <v>516</v>
      </c>
      <c r="D668" s="13"/>
      <c r="E668" s="13" t="str">
        <f t="shared" si="690"/>
        <v>JLP,110-5A-2J,,0</v>
      </c>
      <c r="F668" s="13"/>
      <c r="G668" s="13" t="s">
        <v>111</v>
      </c>
      <c r="H668" s="13" t="s">
        <v>75</v>
      </c>
      <c r="I668" s="13"/>
      <c r="J668" s="13"/>
      <c r="K668" s="15">
        <v>0.0</v>
      </c>
      <c r="L668" s="15">
        <v>0.0</v>
      </c>
      <c r="M668" s="16"/>
      <c r="N668" s="16"/>
      <c r="O668" s="17"/>
      <c r="P668" s="17"/>
      <c r="Q668" s="13"/>
      <c r="R668" s="13"/>
      <c r="S668" s="13"/>
      <c r="T668" s="13">
        <f t="shared" ref="T668:Y668" si="699">IF(ISBLANK(K668)=TRUE,0,1)</f>
        <v>1</v>
      </c>
      <c r="U668" s="13">
        <f t="shared" si="699"/>
        <v>1</v>
      </c>
      <c r="V668" s="13">
        <f t="shared" si="699"/>
        <v>0</v>
      </c>
      <c r="W668" s="13">
        <f t="shared" si="699"/>
        <v>0</v>
      </c>
      <c r="X668" s="13">
        <f t="shared" si="699"/>
        <v>0</v>
      </c>
      <c r="Y668" s="13">
        <f t="shared" si="699"/>
        <v>0</v>
      </c>
      <c r="Z668" s="13">
        <f t="shared" si="529"/>
        <v>0</v>
      </c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</row>
    <row r="669" ht="14.25" hidden="1" customHeight="1">
      <c r="A669" s="13" t="s">
        <v>46</v>
      </c>
      <c r="B669" s="13" t="s">
        <v>55</v>
      </c>
      <c r="C669" s="13" t="s">
        <v>517</v>
      </c>
      <c r="D669" s="13"/>
      <c r="E669" s="13" t="str">
        <f t="shared" si="690"/>
        <v>JLP,110-5A-2K,,0</v>
      </c>
      <c r="F669" s="13"/>
      <c r="G669" s="13" t="s">
        <v>111</v>
      </c>
      <c r="H669" s="13" t="s">
        <v>75</v>
      </c>
      <c r="I669" s="13"/>
      <c r="J669" s="13"/>
      <c r="K669" s="15">
        <v>0.0</v>
      </c>
      <c r="L669" s="15">
        <v>0.0</v>
      </c>
      <c r="M669" s="16"/>
      <c r="N669" s="16"/>
      <c r="O669" s="17"/>
      <c r="P669" s="17"/>
      <c r="Q669" s="13"/>
      <c r="R669" s="13"/>
      <c r="S669" s="13"/>
      <c r="T669" s="13">
        <f t="shared" ref="T669:Y669" si="700">IF(ISBLANK(K669)=TRUE,0,1)</f>
        <v>1</v>
      </c>
      <c r="U669" s="13">
        <f t="shared" si="700"/>
        <v>1</v>
      </c>
      <c r="V669" s="13">
        <f t="shared" si="700"/>
        <v>0</v>
      </c>
      <c r="W669" s="13">
        <f t="shared" si="700"/>
        <v>0</v>
      </c>
      <c r="X669" s="13">
        <f t="shared" si="700"/>
        <v>0</v>
      </c>
      <c r="Y669" s="13">
        <f t="shared" si="700"/>
        <v>0</v>
      </c>
      <c r="Z669" s="13">
        <f t="shared" si="529"/>
        <v>0</v>
      </c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</row>
    <row r="670" ht="14.25" hidden="1" customHeight="1">
      <c r="A670" s="13" t="s">
        <v>46</v>
      </c>
      <c r="B670" s="13" t="s">
        <v>55</v>
      </c>
      <c r="C670" s="13" t="s">
        <v>518</v>
      </c>
      <c r="D670" s="13"/>
      <c r="E670" s="13" t="str">
        <f t="shared" si="690"/>
        <v>JLP,110-5A-2L,,0</v>
      </c>
      <c r="F670" s="13"/>
      <c r="G670" s="13" t="s">
        <v>111</v>
      </c>
      <c r="H670" s="13" t="s">
        <v>75</v>
      </c>
      <c r="I670" s="13"/>
      <c r="J670" s="13"/>
      <c r="K670" s="15">
        <v>0.0</v>
      </c>
      <c r="L670" s="15">
        <v>0.0</v>
      </c>
      <c r="M670" s="16"/>
      <c r="N670" s="16"/>
      <c r="O670" s="17"/>
      <c r="P670" s="17"/>
      <c r="Q670" s="13"/>
      <c r="R670" s="13"/>
      <c r="S670" s="13"/>
      <c r="T670" s="13">
        <f t="shared" ref="T670:Y670" si="701">IF(ISBLANK(K670)=TRUE,0,1)</f>
        <v>1</v>
      </c>
      <c r="U670" s="13">
        <f t="shared" si="701"/>
        <v>1</v>
      </c>
      <c r="V670" s="13">
        <f t="shared" si="701"/>
        <v>0</v>
      </c>
      <c r="W670" s="13">
        <f t="shared" si="701"/>
        <v>0</v>
      </c>
      <c r="X670" s="13">
        <f t="shared" si="701"/>
        <v>0</v>
      </c>
      <c r="Y670" s="13">
        <f t="shared" si="701"/>
        <v>0</v>
      </c>
      <c r="Z670" s="13">
        <f t="shared" si="529"/>
        <v>0</v>
      </c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</row>
    <row r="671" ht="14.25" hidden="1" customHeight="1">
      <c r="A671" s="13" t="s">
        <v>46</v>
      </c>
      <c r="B671" s="13" t="s">
        <v>55</v>
      </c>
      <c r="C671" s="13" t="s">
        <v>519</v>
      </c>
      <c r="D671" s="13"/>
      <c r="E671" s="13" t="str">
        <f t="shared" si="690"/>
        <v>JLP,110-5A-2M,,0</v>
      </c>
      <c r="F671" s="13"/>
      <c r="G671" s="13" t="s">
        <v>111</v>
      </c>
      <c r="H671" s="13" t="s">
        <v>75</v>
      </c>
      <c r="I671" s="13"/>
      <c r="J671" s="13"/>
      <c r="K671" s="15">
        <v>0.0</v>
      </c>
      <c r="L671" s="15">
        <v>0.0</v>
      </c>
      <c r="M671" s="16"/>
      <c r="N671" s="16"/>
      <c r="O671" s="17"/>
      <c r="P671" s="17"/>
      <c r="Q671" s="13"/>
      <c r="R671" s="13"/>
      <c r="S671" s="13"/>
      <c r="T671" s="13">
        <f t="shared" ref="T671:Y671" si="702">IF(ISBLANK(K671)=TRUE,0,1)</f>
        <v>1</v>
      </c>
      <c r="U671" s="13">
        <f t="shared" si="702"/>
        <v>1</v>
      </c>
      <c r="V671" s="13">
        <f t="shared" si="702"/>
        <v>0</v>
      </c>
      <c r="W671" s="13">
        <f t="shared" si="702"/>
        <v>0</v>
      </c>
      <c r="X671" s="13">
        <f t="shared" si="702"/>
        <v>0</v>
      </c>
      <c r="Y671" s="13">
        <f t="shared" si="702"/>
        <v>0</v>
      </c>
      <c r="Z671" s="13">
        <f t="shared" si="529"/>
        <v>0</v>
      </c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</row>
    <row r="672" ht="14.25" hidden="1" customHeight="1">
      <c r="A672" s="13" t="s">
        <v>46</v>
      </c>
      <c r="B672" s="13" t="s">
        <v>55</v>
      </c>
      <c r="C672" s="13" t="s">
        <v>520</v>
      </c>
      <c r="D672" s="13"/>
      <c r="E672" s="13" t="str">
        <f t="shared" si="690"/>
        <v>JLP,110-5A-2N,,NA</v>
      </c>
      <c r="F672" s="13"/>
      <c r="G672" s="13" t="s">
        <v>111</v>
      </c>
      <c r="H672" s="13" t="s">
        <v>75</v>
      </c>
      <c r="I672" s="13"/>
      <c r="J672" s="13"/>
      <c r="K672" s="15"/>
      <c r="L672" s="15"/>
      <c r="M672" s="16"/>
      <c r="N672" s="16"/>
      <c r="O672" s="17"/>
      <c r="P672" s="17"/>
      <c r="Q672" s="13"/>
      <c r="R672" s="13"/>
      <c r="S672" s="13"/>
      <c r="T672" s="13">
        <f t="shared" ref="T672:Y672" si="703">IF(ISBLANK(K672)=TRUE,0,1)</f>
        <v>0</v>
      </c>
      <c r="U672" s="13">
        <f t="shared" si="703"/>
        <v>0</v>
      </c>
      <c r="V672" s="13">
        <f t="shared" si="703"/>
        <v>0</v>
      </c>
      <c r="W672" s="13">
        <f t="shared" si="703"/>
        <v>0</v>
      </c>
      <c r="X672" s="13">
        <f t="shared" si="703"/>
        <v>0</v>
      </c>
      <c r="Y672" s="13">
        <f t="shared" si="703"/>
        <v>0</v>
      </c>
      <c r="Z672" s="13" t="str">
        <f t="shared" si="529"/>
        <v>NA</v>
      </c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</row>
    <row r="673" ht="14.25" hidden="1" customHeight="1">
      <c r="A673" s="13" t="s">
        <v>46</v>
      </c>
      <c r="B673" s="13" t="s">
        <v>55</v>
      </c>
      <c r="C673" s="13" t="s">
        <v>521</v>
      </c>
      <c r="D673" s="13"/>
      <c r="E673" s="13" t="str">
        <f t="shared" si="690"/>
        <v>JLP,110-5A-2O,,NA</v>
      </c>
      <c r="F673" s="13"/>
      <c r="G673" s="13" t="s">
        <v>111</v>
      </c>
      <c r="H673" s="13" t="s">
        <v>75</v>
      </c>
      <c r="I673" s="13"/>
      <c r="J673" s="13"/>
      <c r="K673" s="15"/>
      <c r="L673" s="15"/>
      <c r="M673" s="16"/>
      <c r="N673" s="16"/>
      <c r="O673" s="17"/>
      <c r="P673" s="17"/>
      <c r="Q673" s="13"/>
      <c r="R673" s="13"/>
      <c r="S673" s="13"/>
      <c r="T673" s="13">
        <f t="shared" ref="T673:Y673" si="704">IF(ISBLANK(K673)=TRUE,0,1)</f>
        <v>0</v>
      </c>
      <c r="U673" s="13">
        <f t="shared" si="704"/>
        <v>0</v>
      </c>
      <c r="V673" s="13">
        <f t="shared" si="704"/>
        <v>0</v>
      </c>
      <c r="W673" s="13">
        <f t="shared" si="704"/>
        <v>0</v>
      </c>
      <c r="X673" s="13">
        <f t="shared" si="704"/>
        <v>0</v>
      </c>
      <c r="Y673" s="13">
        <f t="shared" si="704"/>
        <v>0</v>
      </c>
      <c r="Z673" s="13" t="str">
        <f t="shared" si="529"/>
        <v>NA</v>
      </c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</row>
    <row r="674" ht="14.25" hidden="1" customHeight="1">
      <c r="A674" s="13" t="s">
        <v>46</v>
      </c>
      <c r="B674" s="13" t="s">
        <v>55</v>
      </c>
      <c r="C674" s="13" t="s">
        <v>522</v>
      </c>
      <c r="D674" s="13"/>
      <c r="E674" s="13" t="str">
        <f t="shared" si="690"/>
        <v>JLP,110-5A-2P,,NA</v>
      </c>
      <c r="F674" s="13"/>
      <c r="G674" s="13" t="s">
        <v>111</v>
      </c>
      <c r="H674" s="13" t="s">
        <v>75</v>
      </c>
      <c r="I674" s="13"/>
      <c r="J674" s="13"/>
      <c r="K674" s="15"/>
      <c r="L674" s="15"/>
      <c r="M674" s="16"/>
      <c r="N674" s="16"/>
      <c r="O674" s="17"/>
      <c r="P674" s="17"/>
      <c r="Q674" s="13"/>
      <c r="R674" s="13"/>
      <c r="S674" s="13"/>
      <c r="T674" s="13">
        <f t="shared" ref="T674:Y674" si="705">IF(ISBLANK(K674)=TRUE,0,1)</f>
        <v>0</v>
      </c>
      <c r="U674" s="13">
        <f t="shared" si="705"/>
        <v>0</v>
      </c>
      <c r="V674" s="13">
        <f t="shared" si="705"/>
        <v>0</v>
      </c>
      <c r="W674" s="13">
        <f t="shared" si="705"/>
        <v>0</v>
      </c>
      <c r="X674" s="13">
        <f t="shared" si="705"/>
        <v>0</v>
      </c>
      <c r="Y674" s="13">
        <f t="shared" si="705"/>
        <v>0</v>
      </c>
      <c r="Z674" s="13" t="str">
        <f t="shared" si="529"/>
        <v>NA</v>
      </c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</row>
    <row r="675" ht="14.25" hidden="1" customHeight="1">
      <c r="A675" s="13" t="s">
        <v>46</v>
      </c>
      <c r="B675" s="13" t="s">
        <v>55</v>
      </c>
      <c r="C675" s="13" t="s">
        <v>523</v>
      </c>
      <c r="D675" s="13"/>
      <c r="E675" s="13"/>
      <c r="F675" s="13"/>
      <c r="G675" s="13" t="s">
        <v>111</v>
      </c>
      <c r="H675" s="13" t="s">
        <v>75</v>
      </c>
      <c r="I675" s="13"/>
      <c r="J675" s="13"/>
      <c r="K675" s="15"/>
      <c r="L675" s="15"/>
      <c r="M675" s="16"/>
      <c r="N675" s="16"/>
      <c r="O675" s="17">
        <v>0.0</v>
      </c>
      <c r="P675" s="17">
        <v>0.0</v>
      </c>
      <c r="Q675" s="13"/>
      <c r="R675" s="13"/>
      <c r="S675" s="13"/>
      <c r="T675" s="13">
        <f t="shared" ref="T675:Y675" si="706">IF(ISBLANK(K675)=TRUE,0,1)</f>
        <v>0</v>
      </c>
      <c r="U675" s="13">
        <f t="shared" si="706"/>
        <v>0</v>
      </c>
      <c r="V675" s="13">
        <f t="shared" si="706"/>
        <v>0</v>
      </c>
      <c r="W675" s="13">
        <f t="shared" si="706"/>
        <v>0</v>
      </c>
      <c r="X675" s="13">
        <f t="shared" si="706"/>
        <v>1</v>
      </c>
      <c r="Y675" s="13">
        <f t="shared" si="706"/>
        <v>1</v>
      </c>
      <c r="Z675" s="13">
        <f t="shared" si="529"/>
        <v>0</v>
      </c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</row>
    <row r="676" ht="14.25" hidden="1" customHeight="1">
      <c r="A676" s="13" t="s">
        <v>46</v>
      </c>
      <c r="B676" s="13" t="s">
        <v>55</v>
      </c>
      <c r="C676" s="13" t="s">
        <v>524</v>
      </c>
      <c r="D676" s="13"/>
      <c r="E676" s="13" t="str">
        <f>CONCATENATE(B676,",",C676,",",D676,",",Z676)</f>
        <v>JLP,110-5A-2R,,0</v>
      </c>
      <c r="F676" s="13"/>
      <c r="G676" s="13" t="s">
        <v>111</v>
      </c>
      <c r="H676" s="13" t="s">
        <v>75</v>
      </c>
      <c r="I676" s="13"/>
      <c r="J676" s="13"/>
      <c r="K676" s="15">
        <v>0.0</v>
      </c>
      <c r="L676" s="15">
        <v>0.0</v>
      </c>
      <c r="M676" s="16"/>
      <c r="N676" s="16"/>
      <c r="O676" s="17"/>
      <c r="P676" s="17"/>
      <c r="Q676" s="13"/>
      <c r="R676" s="13"/>
      <c r="S676" s="13"/>
      <c r="T676" s="13">
        <f t="shared" ref="T676:Y676" si="707">IF(ISBLANK(K676)=TRUE,0,1)</f>
        <v>1</v>
      </c>
      <c r="U676" s="13">
        <f t="shared" si="707"/>
        <v>1</v>
      </c>
      <c r="V676" s="13">
        <f t="shared" si="707"/>
        <v>0</v>
      </c>
      <c r="W676" s="13">
        <f t="shared" si="707"/>
        <v>0</v>
      </c>
      <c r="X676" s="13">
        <f t="shared" si="707"/>
        <v>0</v>
      </c>
      <c r="Y676" s="13">
        <f t="shared" si="707"/>
        <v>0</v>
      </c>
      <c r="Z676" s="13">
        <f t="shared" si="529"/>
        <v>0</v>
      </c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</row>
    <row r="677" ht="14.25" hidden="1" customHeight="1">
      <c r="A677" s="13" t="s">
        <v>46</v>
      </c>
      <c r="B677" s="13" t="s">
        <v>55</v>
      </c>
      <c r="C677" s="13" t="s">
        <v>525</v>
      </c>
      <c r="D677" s="13"/>
      <c r="E677" s="13"/>
      <c r="F677" s="13"/>
      <c r="G677" s="13" t="s">
        <v>111</v>
      </c>
      <c r="H677" s="13" t="s">
        <v>75</v>
      </c>
      <c r="I677" s="13"/>
      <c r="J677" s="13"/>
      <c r="K677" s="15"/>
      <c r="L677" s="15"/>
      <c r="M677" s="16"/>
      <c r="N677" s="16"/>
      <c r="O677" s="17">
        <v>0.0</v>
      </c>
      <c r="P677" s="17">
        <v>0.0</v>
      </c>
      <c r="Q677" s="13"/>
      <c r="R677" s="13"/>
      <c r="S677" s="13"/>
      <c r="T677" s="13">
        <f t="shared" ref="T677:Y677" si="708">IF(ISBLANK(K677)=TRUE,0,1)</f>
        <v>0</v>
      </c>
      <c r="U677" s="13">
        <f t="shared" si="708"/>
        <v>0</v>
      </c>
      <c r="V677" s="13">
        <f t="shared" si="708"/>
        <v>0</v>
      </c>
      <c r="W677" s="13">
        <f t="shared" si="708"/>
        <v>0</v>
      </c>
      <c r="X677" s="13">
        <f t="shared" si="708"/>
        <v>1</v>
      </c>
      <c r="Y677" s="13">
        <f t="shared" si="708"/>
        <v>1</v>
      </c>
      <c r="Z677" s="13">
        <f t="shared" si="529"/>
        <v>0</v>
      </c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</row>
    <row r="678" ht="14.25" hidden="1" customHeight="1">
      <c r="A678" s="13" t="s">
        <v>46</v>
      </c>
      <c r="B678" s="13" t="s">
        <v>55</v>
      </c>
      <c r="C678" s="13" t="s">
        <v>526</v>
      </c>
      <c r="D678" s="13"/>
      <c r="E678" s="13"/>
      <c r="F678" s="13"/>
      <c r="G678" s="13" t="s">
        <v>111</v>
      </c>
      <c r="H678" s="13" t="s">
        <v>75</v>
      </c>
      <c r="I678" s="13"/>
      <c r="J678" s="13"/>
      <c r="K678" s="15"/>
      <c r="L678" s="15"/>
      <c r="M678" s="16"/>
      <c r="N678" s="16"/>
      <c r="O678" s="17">
        <v>0.0</v>
      </c>
      <c r="P678" s="17">
        <v>0.0</v>
      </c>
      <c r="Q678" s="13"/>
      <c r="R678" s="13"/>
      <c r="S678" s="13"/>
      <c r="T678" s="13">
        <f t="shared" ref="T678:Y678" si="709">IF(ISBLANK(K678)=TRUE,0,1)</f>
        <v>0</v>
      </c>
      <c r="U678" s="13">
        <f t="shared" si="709"/>
        <v>0</v>
      </c>
      <c r="V678" s="13">
        <f t="shared" si="709"/>
        <v>0</v>
      </c>
      <c r="W678" s="13">
        <f t="shared" si="709"/>
        <v>0</v>
      </c>
      <c r="X678" s="13">
        <f t="shared" si="709"/>
        <v>1</v>
      </c>
      <c r="Y678" s="13">
        <f t="shared" si="709"/>
        <v>1</v>
      </c>
      <c r="Z678" s="13">
        <f t="shared" si="529"/>
        <v>0</v>
      </c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</row>
    <row r="679" ht="14.25" hidden="1" customHeight="1">
      <c r="A679" s="13" t="s">
        <v>46</v>
      </c>
      <c r="B679" s="13" t="s">
        <v>55</v>
      </c>
      <c r="C679" s="13" t="s">
        <v>527</v>
      </c>
      <c r="D679" s="13"/>
      <c r="E679" s="13" t="str">
        <f t="shared" ref="E679:E681" si="711">CONCATENATE(B679,",",C679,",",D679,",",Z679)</f>
        <v>JLP,110-5A-2U,,NA</v>
      </c>
      <c r="F679" s="13"/>
      <c r="G679" s="13" t="s">
        <v>111</v>
      </c>
      <c r="H679" s="13" t="s">
        <v>75</v>
      </c>
      <c r="I679" s="13"/>
      <c r="J679" s="13"/>
      <c r="K679" s="15"/>
      <c r="L679" s="15"/>
      <c r="M679" s="16"/>
      <c r="N679" s="16"/>
      <c r="O679" s="17"/>
      <c r="P679" s="17"/>
      <c r="Q679" s="13"/>
      <c r="R679" s="13"/>
      <c r="S679" s="13"/>
      <c r="T679" s="13">
        <f t="shared" ref="T679:Y679" si="710">IF(ISBLANK(K679)=TRUE,0,1)</f>
        <v>0</v>
      </c>
      <c r="U679" s="13">
        <f t="shared" si="710"/>
        <v>0</v>
      </c>
      <c r="V679" s="13">
        <f t="shared" si="710"/>
        <v>0</v>
      </c>
      <c r="W679" s="13">
        <f t="shared" si="710"/>
        <v>0</v>
      </c>
      <c r="X679" s="13">
        <f t="shared" si="710"/>
        <v>0</v>
      </c>
      <c r="Y679" s="13">
        <f t="shared" si="710"/>
        <v>0</v>
      </c>
      <c r="Z679" s="13" t="str">
        <f t="shared" si="529"/>
        <v>NA</v>
      </c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</row>
    <row r="680" ht="14.25" hidden="1" customHeight="1">
      <c r="A680" s="13" t="s">
        <v>46</v>
      </c>
      <c r="B680" s="13" t="s">
        <v>55</v>
      </c>
      <c r="C680" s="13" t="s">
        <v>528</v>
      </c>
      <c r="D680" s="13"/>
      <c r="E680" s="13" t="str">
        <f t="shared" si="711"/>
        <v>JLP,110-5A-2V,,NA</v>
      </c>
      <c r="F680" s="13"/>
      <c r="G680" s="13" t="s">
        <v>111</v>
      </c>
      <c r="H680" s="13" t="s">
        <v>75</v>
      </c>
      <c r="I680" s="13"/>
      <c r="J680" s="13"/>
      <c r="K680" s="15"/>
      <c r="L680" s="15"/>
      <c r="M680" s="16"/>
      <c r="N680" s="16"/>
      <c r="O680" s="17"/>
      <c r="P680" s="17"/>
      <c r="Q680" s="13"/>
      <c r="R680" s="13"/>
      <c r="S680" s="13"/>
      <c r="T680" s="13">
        <f t="shared" ref="T680:Y680" si="712">IF(ISBLANK(K680)=TRUE,0,1)</f>
        <v>0</v>
      </c>
      <c r="U680" s="13">
        <f t="shared" si="712"/>
        <v>0</v>
      </c>
      <c r="V680" s="13">
        <f t="shared" si="712"/>
        <v>0</v>
      </c>
      <c r="W680" s="13">
        <f t="shared" si="712"/>
        <v>0</v>
      </c>
      <c r="X680" s="13">
        <f t="shared" si="712"/>
        <v>0</v>
      </c>
      <c r="Y680" s="13">
        <f t="shared" si="712"/>
        <v>0</v>
      </c>
      <c r="Z680" s="13" t="str">
        <f t="shared" si="529"/>
        <v>NA</v>
      </c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</row>
    <row r="681" ht="14.25" hidden="1" customHeight="1">
      <c r="A681" s="13" t="s">
        <v>46</v>
      </c>
      <c r="B681" s="13" t="s">
        <v>55</v>
      </c>
      <c r="C681" s="13" t="s">
        <v>529</v>
      </c>
      <c r="D681" s="13"/>
      <c r="E681" s="13" t="str">
        <f t="shared" si="711"/>
        <v>JLP,110-5A-2W,,NA</v>
      </c>
      <c r="F681" s="13"/>
      <c r="G681" s="13" t="s">
        <v>111</v>
      </c>
      <c r="H681" s="13" t="s">
        <v>75</v>
      </c>
      <c r="I681" s="13"/>
      <c r="J681" s="13"/>
      <c r="K681" s="15"/>
      <c r="L681" s="15"/>
      <c r="M681" s="16"/>
      <c r="N681" s="16"/>
      <c r="O681" s="17"/>
      <c r="P681" s="17"/>
      <c r="Q681" s="13"/>
      <c r="R681" s="13"/>
      <c r="S681" s="13"/>
      <c r="T681" s="13">
        <f t="shared" ref="T681:Y681" si="713">IF(ISBLANK(K681)=TRUE,0,1)</f>
        <v>0</v>
      </c>
      <c r="U681" s="13">
        <f t="shared" si="713"/>
        <v>0</v>
      </c>
      <c r="V681" s="13">
        <f t="shared" si="713"/>
        <v>0</v>
      </c>
      <c r="W681" s="13">
        <f t="shared" si="713"/>
        <v>0</v>
      </c>
      <c r="X681" s="13">
        <f t="shared" si="713"/>
        <v>0</v>
      </c>
      <c r="Y681" s="13">
        <f t="shared" si="713"/>
        <v>0</v>
      </c>
      <c r="Z681" s="13" t="str">
        <f t="shared" si="529"/>
        <v>NA</v>
      </c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</row>
    <row r="682" ht="14.25" hidden="1" customHeight="1">
      <c r="A682" s="13" t="s">
        <v>46</v>
      </c>
      <c r="B682" s="13" t="s">
        <v>55</v>
      </c>
      <c r="C682" s="13" t="s">
        <v>530</v>
      </c>
      <c r="D682" s="13"/>
      <c r="E682" s="13"/>
      <c r="F682" s="13"/>
      <c r="G682" s="13" t="s">
        <v>111</v>
      </c>
      <c r="H682" s="13" t="s">
        <v>75</v>
      </c>
      <c r="I682" s="13"/>
      <c r="J682" s="13"/>
      <c r="K682" s="15"/>
      <c r="L682" s="15"/>
      <c r="M682" s="16"/>
      <c r="N682" s="16"/>
      <c r="O682" s="17">
        <v>0.0</v>
      </c>
      <c r="P682" s="17">
        <v>0.0</v>
      </c>
      <c r="Q682" s="13"/>
      <c r="R682" s="13"/>
      <c r="S682" s="13"/>
      <c r="T682" s="13">
        <f t="shared" ref="T682:Y682" si="714">IF(ISBLANK(K682)=TRUE,0,1)</f>
        <v>0</v>
      </c>
      <c r="U682" s="13">
        <f t="shared" si="714"/>
        <v>0</v>
      </c>
      <c r="V682" s="13">
        <f t="shared" si="714"/>
        <v>0</v>
      </c>
      <c r="W682" s="13">
        <f t="shared" si="714"/>
        <v>0</v>
      </c>
      <c r="X682" s="13">
        <f t="shared" si="714"/>
        <v>1</v>
      </c>
      <c r="Y682" s="13">
        <f t="shared" si="714"/>
        <v>1</v>
      </c>
      <c r="Z682" s="13">
        <f t="shared" si="529"/>
        <v>0</v>
      </c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</row>
    <row r="683" ht="14.25" hidden="1" customHeight="1">
      <c r="A683" s="13" t="s">
        <v>46</v>
      </c>
      <c r="B683" s="13" t="s">
        <v>55</v>
      </c>
      <c r="C683" s="13" t="s">
        <v>531</v>
      </c>
      <c r="D683" s="13"/>
      <c r="E683" s="13" t="str">
        <f t="shared" ref="E683:E684" si="716">CONCATENATE(B683,",",C683,",",D683,",",Z683)</f>
        <v>JLP,110-5A-2Y,,0</v>
      </c>
      <c r="F683" s="13"/>
      <c r="G683" s="13" t="s">
        <v>111</v>
      </c>
      <c r="H683" s="13" t="s">
        <v>75</v>
      </c>
      <c r="I683" s="13"/>
      <c r="J683" s="13"/>
      <c r="K683" s="15">
        <v>0.0</v>
      </c>
      <c r="L683" s="15">
        <v>0.0</v>
      </c>
      <c r="M683" s="16"/>
      <c r="N683" s="16"/>
      <c r="O683" s="17"/>
      <c r="P683" s="17"/>
      <c r="Q683" s="13"/>
      <c r="R683" s="13"/>
      <c r="S683" s="13"/>
      <c r="T683" s="13">
        <f t="shared" ref="T683:Y683" si="715">IF(ISBLANK(K683)=TRUE,0,1)</f>
        <v>1</v>
      </c>
      <c r="U683" s="13">
        <f t="shared" si="715"/>
        <v>1</v>
      </c>
      <c r="V683" s="13">
        <f t="shared" si="715"/>
        <v>0</v>
      </c>
      <c r="W683" s="13">
        <f t="shared" si="715"/>
        <v>0</v>
      </c>
      <c r="X683" s="13">
        <f t="shared" si="715"/>
        <v>0</v>
      </c>
      <c r="Y683" s="13">
        <f t="shared" si="715"/>
        <v>0</v>
      </c>
      <c r="Z683" s="13">
        <f t="shared" si="529"/>
        <v>0</v>
      </c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</row>
    <row r="684" ht="14.25" hidden="1" customHeight="1">
      <c r="A684" s="13" t="s">
        <v>46</v>
      </c>
      <c r="B684" s="13" t="s">
        <v>55</v>
      </c>
      <c r="C684" s="13" t="s">
        <v>532</v>
      </c>
      <c r="D684" s="13"/>
      <c r="E684" s="13" t="str">
        <f t="shared" si="716"/>
        <v>JLP,110-5A-2Z,,0</v>
      </c>
      <c r="F684" s="13"/>
      <c r="G684" s="13" t="s">
        <v>111</v>
      </c>
      <c r="H684" s="13" t="s">
        <v>75</v>
      </c>
      <c r="I684" s="13"/>
      <c r="J684" s="13"/>
      <c r="K684" s="15">
        <v>0.0</v>
      </c>
      <c r="L684" s="15">
        <v>0.0</v>
      </c>
      <c r="M684" s="16"/>
      <c r="N684" s="16"/>
      <c r="O684" s="17"/>
      <c r="P684" s="17"/>
      <c r="Q684" s="13"/>
      <c r="R684" s="13"/>
      <c r="S684" s="13"/>
      <c r="T684" s="13">
        <f t="shared" ref="T684:Y684" si="717">IF(ISBLANK(K684)=TRUE,0,1)</f>
        <v>1</v>
      </c>
      <c r="U684" s="13">
        <f t="shared" si="717"/>
        <v>1</v>
      </c>
      <c r="V684" s="13">
        <f t="shared" si="717"/>
        <v>0</v>
      </c>
      <c r="W684" s="13">
        <f t="shared" si="717"/>
        <v>0</v>
      </c>
      <c r="X684" s="13">
        <f t="shared" si="717"/>
        <v>0</v>
      </c>
      <c r="Y684" s="13">
        <f t="shared" si="717"/>
        <v>0</v>
      </c>
      <c r="Z684" s="13">
        <f t="shared" si="529"/>
        <v>0</v>
      </c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</row>
    <row r="685" ht="14.25" hidden="1" customHeight="1">
      <c r="A685" s="13" t="s">
        <v>46</v>
      </c>
      <c r="B685" s="13" t="s">
        <v>55</v>
      </c>
      <c r="C685" s="13" t="s">
        <v>533</v>
      </c>
      <c r="D685" s="13"/>
      <c r="E685" s="13"/>
      <c r="F685" s="13"/>
      <c r="G685" s="13" t="s">
        <v>111</v>
      </c>
      <c r="H685" s="13" t="s">
        <v>75</v>
      </c>
      <c r="I685" s="13"/>
      <c r="J685" s="13"/>
      <c r="K685" s="15">
        <v>0.0</v>
      </c>
      <c r="L685" s="15">
        <v>0.0</v>
      </c>
      <c r="M685" s="16"/>
      <c r="N685" s="16"/>
      <c r="O685" s="17"/>
      <c r="P685" s="17"/>
      <c r="Q685" s="13"/>
      <c r="R685" s="13"/>
      <c r="S685" s="13"/>
      <c r="T685" s="13">
        <f t="shared" ref="T685:Y685" si="718">IF(ISBLANK(K685)=TRUE,0,1)</f>
        <v>1</v>
      </c>
      <c r="U685" s="13">
        <f t="shared" si="718"/>
        <v>1</v>
      </c>
      <c r="V685" s="13">
        <f t="shared" si="718"/>
        <v>0</v>
      </c>
      <c r="W685" s="13">
        <f t="shared" si="718"/>
        <v>0</v>
      </c>
      <c r="X685" s="13">
        <f t="shared" si="718"/>
        <v>0</v>
      </c>
      <c r="Y685" s="13">
        <f t="shared" si="718"/>
        <v>0</v>
      </c>
      <c r="Z685" s="13">
        <f t="shared" si="529"/>
        <v>0</v>
      </c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</row>
    <row r="686" ht="14.25" hidden="1" customHeight="1">
      <c r="A686" s="13" t="s">
        <v>46</v>
      </c>
      <c r="B686" s="13" t="s">
        <v>55</v>
      </c>
      <c r="C686" s="13" t="s">
        <v>534</v>
      </c>
      <c r="D686" s="13"/>
      <c r="E686" s="13"/>
      <c r="F686" s="13"/>
      <c r="G686" s="13" t="s">
        <v>111</v>
      </c>
      <c r="H686" s="13" t="s">
        <v>75</v>
      </c>
      <c r="I686" s="13"/>
      <c r="J686" s="13"/>
      <c r="K686" s="15">
        <v>0.0</v>
      </c>
      <c r="L686" s="15">
        <v>0.0</v>
      </c>
      <c r="M686" s="16"/>
      <c r="N686" s="16"/>
      <c r="O686" s="17"/>
      <c r="P686" s="17"/>
      <c r="Q686" s="13"/>
      <c r="R686" s="13"/>
      <c r="S686" s="13"/>
      <c r="T686" s="13">
        <f t="shared" ref="T686:Y686" si="719">IF(ISBLANK(K686)=TRUE,0,1)</f>
        <v>1</v>
      </c>
      <c r="U686" s="13">
        <f t="shared" si="719"/>
        <v>1</v>
      </c>
      <c r="V686" s="13">
        <f t="shared" si="719"/>
        <v>0</v>
      </c>
      <c r="W686" s="13">
        <f t="shared" si="719"/>
        <v>0</v>
      </c>
      <c r="X686" s="13">
        <f t="shared" si="719"/>
        <v>0</v>
      </c>
      <c r="Y686" s="13">
        <f t="shared" si="719"/>
        <v>0</v>
      </c>
      <c r="Z686" s="13">
        <f t="shared" si="529"/>
        <v>0</v>
      </c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</row>
    <row r="687" ht="14.25" hidden="1" customHeight="1">
      <c r="A687" s="13" t="s">
        <v>46</v>
      </c>
      <c r="B687" s="13" t="s">
        <v>55</v>
      </c>
      <c r="C687" s="13" t="s">
        <v>535</v>
      </c>
      <c r="D687" s="13"/>
      <c r="E687" s="13"/>
      <c r="F687" s="13"/>
      <c r="G687" s="13" t="s">
        <v>111</v>
      </c>
      <c r="H687" s="13" t="s">
        <v>75</v>
      </c>
      <c r="I687" s="13"/>
      <c r="J687" s="13"/>
      <c r="K687" s="15">
        <v>0.0</v>
      </c>
      <c r="L687" s="15">
        <v>0.0</v>
      </c>
      <c r="M687" s="16"/>
      <c r="N687" s="16"/>
      <c r="O687" s="17"/>
      <c r="P687" s="17"/>
      <c r="Q687" s="13"/>
      <c r="R687" s="13"/>
      <c r="S687" s="13"/>
      <c r="T687" s="13">
        <f t="shared" ref="T687:Y687" si="720">IF(ISBLANK(K687)=TRUE,0,1)</f>
        <v>1</v>
      </c>
      <c r="U687" s="13">
        <f t="shared" si="720"/>
        <v>1</v>
      </c>
      <c r="V687" s="13">
        <f t="shared" si="720"/>
        <v>0</v>
      </c>
      <c r="W687" s="13">
        <f t="shared" si="720"/>
        <v>0</v>
      </c>
      <c r="X687" s="13">
        <f t="shared" si="720"/>
        <v>0</v>
      </c>
      <c r="Y687" s="13">
        <f t="shared" si="720"/>
        <v>0</v>
      </c>
      <c r="Z687" s="13">
        <f t="shared" si="529"/>
        <v>0</v>
      </c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</row>
    <row r="688" ht="14.25" hidden="1" customHeight="1">
      <c r="A688" s="13" t="s">
        <v>46</v>
      </c>
      <c r="B688" s="13" t="s">
        <v>55</v>
      </c>
      <c r="C688" s="13" t="s">
        <v>536</v>
      </c>
      <c r="D688" s="13"/>
      <c r="E688" s="13"/>
      <c r="F688" s="13"/>
      <c r="G688" s="13" t="s">
        <v>111</v>
      </c>
      <c r="H688" s="13" t="s">
        <v>75</v>
      </c>
      <c r="I688" s="13"/>
      <c r="J688" s="13"/>
      <c r="K688" s="15">
        <v>0.0</v>
      </c>
      <c r="L688" s="15">
        <v>0.0</v>
      </c>
      <c r="M688" s="16"/>
      <c r="N688" s="16"/>
      <c r="O688" s="17"/>
      <c r="P688" s="17"/>
      <c r="Q688" s="13"/>
      <c r="R688" s="13"/>
      <c r="S688" s="13"/>
      <c r="T688" s="13">
        <f t="shared" ref="T688:Y688" si="721">IF(ISBLANK(K688)=TRUE,0,1)</f>
        <v>1</v>
      </c>
      <c r="U688" s="13">
        <f t="shared" si="721"/>
        <v>1</v>
      </c>
      <c r="V688" s="13">
        <f t="shared" si="721"/>
        <v>0</v>
      </c>
      <c r="W688" s="13">
        <f t="shared" si="721"/>
        <v>0</v>
      </c>
      <c r="X688" s="13">
        <f t="shared" si="721"/>
        <v>0</v>
      </c>
      <c r="Y688" s="13">
        <f t="shared" si="721"/>
        <v>0</v>
      </c>
      <c r="Z688" s="13">
        <f t="shared" si="529"/>
        <v>0</v>
      </c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</row>
    <row r="689" ht="14.25" hidden="1" customHeight="1">
      <c r="A689" s="13" t="s">
        <v>46</v>
      </c>
      <c r="B689" s="13" t="s">
        <v>55</v>
      </c>
      <c r="C689" s="13" t="s">
        <v>537</v>
      </c>
      <c r="D689" s="13"/>
      <c r="E689" s="13"/>
      <c r="F689" s="13"/>
      <c r="G689" s="13" t="s">
        <v>111</v>
      </c>
      <c r="H689" s="13" t="s">
        <v>75</v>
      </c>
      <c r="I689" s="13"/>
      <c r="J689" s="13"/>
      <c r="K689" s="15">
        <v>0.0</v>
      </c>
      <c r="L689" s="15">
        <v>0.0</v>
      </c>
      <c r="M689" s="16"/>
      <c r="N689" s="16"/>
      <c r="O689" s="17"/>
      <c r="P689" s="17"/>
      <c r="Q689" s="13"/>
      <c r="R689" s="13"/>
      <c r="S689" s="13"/>
      <c r="T689" s="13">
        <f t="shared" ref="T689:Y689" si="722">IF(ISBLANK(K689)=TRUE,0,1)</f>
        <v>1</v>
      </c>
      <c r="U689" s="13">
        <f t="shared" si="722"/>
        <v>1</v>
      </c>
      <c r="V689" s="13">
        <f t="shared" si="722"/>
        <v>0</v>
      </c>
      <c r="W689" s="13">
        <f t="shared" si="722"/>
        <v>0</v>
      </c>
      <c r="X689" s="13">
        <f t="shared" si="722"/>
        <v>0</v>
      </c>
      <c r="Y689" s="13">
        <f t="shared" si="722"/>
        <v>0</v>
      </c>
      <c r="Z689" s="13">
        <f t="shared" si="529"/>
        <v>0</v>
      </c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</row>
    <row r="690" ht="14.25" hidden="1" customHeight="1">
      <c r="A690" s="13" t="s">
        <v>46</v>
      </c>
      <c r="B690" s="13" t="s">
        <v>55</v>
      </c>
      <c r="C690" s="13" t="s">
        <v>538</v>
      </c>
      <c r="D690" s="13"/>
      <c r="E690" s="13"/>
      <c r="F690" s="13"/>
      <c r="G690" s="13" t="s">
        <v>111</v>
      </c>
      <c r="H690" s="13" t="s">
        <v>75</v>
      </c>
      <c r="I690" s="13"/>
      <c r="J690" s="13"/>
      <c r="K690" s="15">
        <v>0.0</v>
      </c>
      <c r="L690" s="15">
        <v>0.0</v>
      </c>
      <c r="M690" s="16"/>
      <c r="N690" s="16"/>
      <c r="O690" s="17"/>
      <c r="P690" s="17"/>
      <c r="Q690" s="13"/>
      <c r="R690" s="13"/>
      <c r="S690" s="13"/>
      <c r="T690" s="13">
        <f t="shared" ref="T690:Y690" si="723">IF(ISBLANK(K690)=TRUE,0,1)</f>
        <v>1</v>
      </c>
      <c r="U690" s="13">
        <f t="shared" si="723"/>
        <v>1</v>
      </c>
      <c r="V690" s="13">
        <f t="shared" si="723"/>
        <v>0</v>
      </c>
      <c r="W690" s="13">
        <f t="shared" si="723"/>
        <v>0</v>
      </c>
      <c r="X690" s="13">
        <f t="shared" si="723"/>
        <v>0</v>
      </c>
      <c r="Y690" s="13">
        <f t="shared" si="723"/>
        <v>0</v>
      </c>
      <c r="Z690" s="13">
        <f t="shared" si="529"/>
        <v>0</v>
      </c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</row>
    <row r="691" ht="14.25" hidden="1" customHeight="1">
      <c r="A691" s="13" t="s">
        <v>46</v>
      </c>
      <c r="B691" s="13" t="s">
        <v>55</v>
      </c>
      <c r="C691" s="13" t="s">
        <v>539</v>
      </c>
      <c r="D691" s="13"/>
      <c r="E691" s="13"/>
      <c r="F691" s="13"/>
      <c r="G691" s="13" t="s">
        <v>111</v>
      </c>
      <c r="H691" s="13" t="s">
        <v>75</v>
      </c>
      <c r="I691" s="13"/>
      <c r="J691" s="13"/>
      <c r="K691" s="15">
        <v>0.0</v>
      </c>
      <c r="L691" s="15">
        <v>0.0</v>
      </c>
      <c r="M691" s="16"/>
      <c r="N691" s="16"/>
      <c r="O691" s="17">
        <v>0.0</v>
      </c>
      <c r="P691" s="17">
        <v>0.0</v>
      </c>
      <c r="Q691" s="13"/>
      <c r="R691" s="13"/>
      <c r="S691" s="13"/>
      <c r="T691" s="13">
        <f t="shared" ref="T691:Y691" si="724">IF(ISBLANK(K691)=TRUE,0,1)</f>
        <v>1</v>
      </c>
      <c r="U691" s="13">
        <f t="shared" si="724"/>
        <v>1</v>
      </c>
      <c r="V691" s="13">
        <f t="shared" si="724"/>
        <v>0</v>
      </c>
      <c r="W691" s="13">
        <f t="shared" si="724"/>
        <v>0</v>
      </c>
      <c r="X691" s="13">
        <f t="shared" si="724"/>
        <v>1</v>
      </c>
      <c r="Y691" s="13">
        <f t="shared" si="724"/>
        <v>1</v>
      </c>
      <c r="Z691" s="13">
        <f t="shared" si="529"/>
        <v>0</v>
      </c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</row>
    <row r="692" ht="14.25" hidden="1" customHeight="1">
      <c r="A692" s="13" t="s">
        <v>46</v>
      </c>
      <c r="B692" s="13" t="s">
        <v>55</v>
      </c>
      <c r="C692" s="13" t="s">
        <v>540</v>
      </c>
      <c r="D692" s="13"/>
      <c r="E692" s="13"/>
      <c r="F692" s="13"/>
      <c r="G692" s="13" t="s">
        <v>111</v>
      </c>
      <c r="H692" s="13" t="s">
        <v>75</v>
      </c>
      <c r="I692" s="13"/>
      <c r="J692" s="13"/>
      <c r="K692" s="15">
        <v>0.0</v>
      </c>
      <c r="L692" s="15">
        <v>0.0</v>
      </c>
      <c r="M692" s="16"/>
      <c r="N692" s="16"/>
      <c r="O692" s="17">
        <v>0.0</v>
      </c>
      <c r="P692" s="17">
        <v>0.0</v>
      </c>
      <c r="Q692" s="13"/>
      <c r="R692" s="13"/>
      <c r="S692" s="13"/>
      <c r="T692" s="13">
        <f t="shared" ref="T692:Y692" si="725">IF(ISBLANK(K692)=TRUE,0,1)</f>
        <v>1</v>
      </c>
      <c r="U692" s="13">
        <f t="shared" si="725"/>
        <v>1</v>
      </c>
      <c r="V692" s="13">
        <f t="shared" si="725"/>
        <v>0</v>
      </c>
      <c r="W692" s="13">
        <f t="shared" si="725"/>
        <v>0</v>
      </c>
      <c r="X692" s="13">
        <f t="shared" si="725"/>
        <v>1</v>
      </c>
      <c r="Y692" s="13">
        <f t="shared" si="725"/>
        <v>1</v>
      </c>
      <c r="Z692" s="13">
        <f t="shared" si="529"/>
        <v>0</v>
      </c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</row>
    <row r="693" ht="14.25" hidden="1" customHeight="1">
      <c r="A693" s="13" t="s">
        <v>46</v>
      </c>
      <c r="B693" s="13" t="s">
        <v>55</v>
      </c>
      <c r="C693" s="13" t="s">
        <v>541</v>
      </c>
      <c r="D693" s="13"/>
      <c r="E693" s="13"/>
      <c r="F693" s="13"/>
      <c r="G693" s="13" t="s">
        <v>111</v>
      </c>
      <c r="H693" s="13" t="s">
        <v>75</v>
      </c>
      <c r="I693" s="13"/>
      <c r="J693" s="13"/>
      <c r="K693" s="15">
        <v>0.0</v>
      </c>
      <c r="L693" s="15">
        <v>0.0</v>
      </c>
      <c r="M693" s="16"/>
      <c r="N693" s="16"/>
      <c r="O693" s="17">
        <v>0.0</v>
      </c>
      <c r="P693" s="17">
        <v>0.0</v>
      </c>
      <c r="Q693" s="13"/>
      <c r="R693" s="13"/>
      <c r="S693" s="13"/>
      <c r="T693" s="13">
        <f t="shared" ref="T693:Y693" si="726">IF(ISBLANK(K693)=TRUE,0,1)</f>
        <v>1</v>
      </c>
      <c r="U693" s="13">
        <f t="shared" si="726"/>
        <v>1</v>
      </c>
      <c r="V693" s="13">
        <f t="shared" si="726"/>
        <v>0</v>
      </c>
      <c r="W693" s="13">
        <f t="shared" si="726"/>
        <v>0</v>
      </c>
      <c r="X693" s="13">
        <f t="shared" si="726"/>
        <v>1</v>
      </c>
      <c r="Y693" s="13">
        <f t="shared" si="726"/>
        <v>1</v>
      </c>
      <c r="Z693" s="13">
        <f t="shared" si="529"/>
        <v>0</v>
      </c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</row>
    <row r="694" ht="14.25" hidden="1" customHeight="1">
      <c r="A694" s="13" t="s">
        <v>46</v>
      </c>
      <c r="B694" s="13" t="s">
        <v>55</v>
      </c>
      <c r="C694" s="13" t="s">
        <v>542</v>
      </c>
      <c r="D694" s="13"/>
      <c r="E694" s="13"/>
      <c r="F694" s="13"/>
      <c r="G694" s="13" t="s">
        <v>111</v>
      </c>
      <c r="H694" s="13" t="s">
        <v>75</v>
      </c>
      <c r="I694" s="13"/>
      <c r="J694" s="13"/>
      <c r="K694" s="15">
        <v>0.0</v>
      </c>
      <c r="L694" s="15">
        <v>0.0</v>
      </c>
      <c r="M694" s="16"/>
      <c r="N694" s="16"/>
      <c r="O694" s="17">
        <v>0.0</v>
      </c>
      <c r="P694" s="17">
        <v>0.0</v>
      </c>
      <c r="Q694" s="13"/>
      <c r="R694" s="13"/>
      <c r="S694" s="13"/>
      <c r="T694" s="13">
        <f t="shared" ref="T694:Y694" si="727">IF(ISBLANK(K694)=TRUE,0,1)</f>
        <v>1</v>
      </c>
      <c r="U694" s="13">
        <f t="shared" si="727"/>
        <v>1</v>
      </c>
      <c r="V694" s="13">
        <f t="shared" si="727"/>
        <v>0</v>
      </c>
      <c r="W694" s="13">
        <f t="shared" si="727"/>
        <v>0</v>
      </c>
      <c r="X694" s="13">
        <f t="shared" si="727"/>
        <v>1</v>
      </c>
      <c r="Y694" s="13">
        <f t="shared" si="727"/>
        <v>1</v>
      </c>
      <c r="Z694" s="13">
        <f t="shared" si="529"/>
        <v>0</v>
      </c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</row>
    <row r="695" ht="14.25" hidden="1" customHeight="1">
      <c r="A695" s="13" t="s">
        <v>46</v>
      </c>
      <c r="B695" s="13" t="s">
        <v>55</v>
      </c>
      <c r="C695" s="13" t="s">
        <v>543</v>
      </c>
      <c r="D695" s="13"/>
      <c r="E695" s="13"/>
      <c r="F695" s="13"/>
      <c r="G695" s="13" t="s">
        <v>111</v>
      </c>
      <c r="H695" s="13" t="s">
        <v>75</v>
      </c>
      <c r="I695" s="13"/>
      <c r="J695" s="13"/>
      <c r="K695" s="15">
        <v>0.0</v>
      </c>
      <c r="L695" s="15">
        <v>0.0</v>
      </c>
      <c r="M695" s="16"/>
      <c r="N695" s="16"/>
      <c r="O695" s="17">
        <v>0.0</v>
      </c>
      <c r="P695" s="17">
        <v>0.0</v>
      </c>
      <c r="Q695" s="13"/>
      <c r="R695" s="13"/>
      <c r="S695" s="13"/>
      <c r="T695" s="13">
        <f t="shared" ref="T695:Y695" si="728">IF(ISBLANK(K695)=TRUE,0,1)</f>
        <v>1</v>
      </c>
      <c r="U695" s="13">
        <f t="shared" si="728"/>
        <v>1</v>
      </c>
      <c r="V695" s="13">
        <f t="shared" si="728"/>
        <v>0</v>
      </c>
      <c r="W695" s="13">
        <f t="shared" si="728"/>
        <v>0</v>
      </c>
      <c r="X695" s="13">
        <f t="shared" si="728"/>
        <v>1</v>
      </c>
      <c r="Y695" s="13">
        <f t="shared" si="728"/>
        <v>1</v>
      </c>
      <c r="Z695" s="13">
        <f t="shared" si="529"/>
        <v>0</v>
      </c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</row>
    <row r="696" ht="14.25" hidden="1" customHeight="1">
      <c r="A696" s="13" t="s">
        <v>46</v>
      </c>
      <c r="B696" s="13" t="s">
        <v>55</v>
      </c>
      <c r="C696" s="13" t="s">
        <v>544</v>
      </c>
      <c r="D696" s="13"/>
      <c r="E696" s="13"/>
      <c r="F696" s="13"/>
      <c r="G696" s="13" t="s">
        <v>111</v>
      </c>
      <c r="H696" s="13" t="s">
        <v>75</v>
      </c>
      <c r="I696" s="13"/>
      <c r="J696" s="13"/>
      <c r="K696" s="15">
        <v>0.0</v>
      </c>
      <c r="L696" s="15">
        <v>0.0</v>
      </c>
      <c r="M696" s="16"/>
      <c r="N696" s="16"/>
      <c r="O696" s="17"/>
      <c r="P696" s="17"/>
      <c r="Q696" s="13"/>
      <c r="R696" s="13"/>
      <c r="S696" s="13"/>
      <c r="T696" s="13">
        <f t="shared" ref="T696:Y696" si="729">IF(ISBLANK(K696)=TRUE,0,1)</f>
        <v>1</v>
      </c>
      <c r="U696" s="13">
        <f t="shared" si="729"/>
        <v>1</v>
      </c>
      <c r="V696" s="13">
        <f t="shared" si="729"/>
        <v>0</v>
      </c>
      <c r="W696" s="13">
        <f t="shared" si="729"/>
        <v>0</v>
      </c>
      <c r="X696" s="13">
        <f t="shared" si="729"/>
        <v>0</v>
      </c>
      <c r="Y696" s="13">
        <f t="shared" si="729"/>
        <v>0</v>
      </c>
      <c r="Z696" s="13">
        <f t="shared" si="529"/>
        <v>0</v>
      </c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</row>
    <row r="697" ht="14.25" hidden="1" customHeight="1">
      <c r="A697" s="13" t="s">
        <v>46</v>
      </c>
      <c r="B697" s="13" t="s">
        <v>55</v>
      </c>
      <c r="C697" s="13" t="s">
        <v>545</v>
      </c>
      <c r="D697" s="13"/>
      <c r="E697" s="13"/>
      <c r="F697" s="13"/>
      <c r="G697" s="13" t="s">
        <v>111</v>
      </c>
      <c r="H697" s="13" t="s">
        <v>75</v>
      </c>
      <c r="I697" s="13"/>
      <c r="J697" s="13"/>
      <c r="K697" s="15">
        <v>0.0</v>
      </c>
      <c r="L697" s="15">
        <v>0.0</v>
      </c>
      <c r="M697" s="16"/>
      <c r="N697" s="16"/>
      <c r="O697" s="17"/>
      <c r="P697" s="17"/>
      <c r="Q697" s="13"/>
      <c r="R697" s="13"/>
      <c r="S697" s="13"/>
      <c r="T697" s="13">
        <f t="shared" ref="T697:Y697" si="730">IF(ISBLANK(K697)=TRUE,0,1)</f>
        <v>1</v>
      </c>
      <c r="U697" s="13">
        <f t="shared" si="730"/>
        <v>1</v>
      </c>
      <c r="V697" s="13">
        <f t="shared" si="730"/>
        <v>0</v>
      </c>
      <c r="W697" s="13">
        <f t="shared" si="730"/>
        <v>0</v>
      </c>
      <c r="X697" s="13">
        <f t="shared" si="730"/>
        <v>0</v>
      </c>
      <c r="Y697" s="13">
        <f t="shared" si="730"/>
        <v>0</v>
      </c>
      <c r="Z697" s="13">
        <f t="shared" si="529"/>
        <v>0</v>
      </c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</row>
    <row r="698" ht="14.25" hidden="1" customHeight="1">
      <c r="A698" s="13" t="s">
        <v>46</v>
      </c>
      <c r="B698" s="13" t="s">
        <v>55</v>
      </c>
      <c r="C698" s="13" t="s">
        <v>546</v>
      </c>
      <c r="D698" s="13"/>
      <c r="E698" s="13"/>
      <c r="F698" s="13"/>
      <c r="G698" s="13" t="s">
        <v>111</v>
      </c>
      <c r="H698" s="13" t="s">
        <v>75</v>
      </c>
      <c r="I698" s="13"/>
      <c r="J698" s="13"/>
      <c r="K698" s="15">
        <v>0.0</v>
      </c>
      <c r="L698" s="15">
        <v>0.0</v>
      </c>
      <c r="M698" s="16"/>
      <c r="N698" s="16"/>
      <c r="O698" s="17"/>
      <c r="P698" s="17"/>
      <c r="Q698" s="13"/>
      <c r="R698" s="13"/>
      <c r="S698" s="13"/>
      <c r="T698" s="13">
        <f t="shared" ref="T698:Y698" si="731">IF(ISBLANK(K698)=TRUE,0,1)</f>
        <v>1</v>
      </c>
      <c r="U698" s="13">
        <f t="shared" si="731"/>
        <v>1</v>
      </c>
      <c r="V698" s="13">
        <f t="shared" si="731"/>
        <v>0</v>
      </c>
      <c r="W698" s="13">
        <f t="shared" si="731"/>
        <v>0</v>
      </c>
      <c r="X698" s="13">
        <f t="shared" si="731"/>
        <v>0</v>
      </c>
      <c r="Y698" s="13">
        <f t="shared" si="731"/>
        <v>0</v>
      </c>
      <c r="Z698" s="13">
        <f t="shared" si="529"/>
        <v>0</v>
      </c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</row>
    <row r="699" ht="14.25" hidden="1" customHeight="1">
      <c r="A699" s="13" t="s">
        <v>46</v>
      </c>
      <c r="B699" s="13" t="s">
        <v>55</v>
      </c>
      <c r="C699" s="13" t="s">
        <v>547</v>
      </c>
      <c r="D699" s="13"/>
      <c r="E699" s="13"/>
      <c r="F699" s="13"/>
      <c r="G699" s="13" t="s">
        <v>111</v>
      </c>
      <c r="H699" s="13" t="s">
        <v>75</v>
      </c>
      <c r="I699" s="13"/>
      <c r="J699" s="13"/>
      <c r="K699" s="15">
        <v>0.0</v>
      </c>
      <c r="L699" s="15">
        <v>0.0</v>
      </c>
      <c r="M699" s="16"/>
      <c r="N699" s="16"/>
      <c r="O699" s="17"/>
      <c r="P699" s="17"/>
      <c r="Q699" s="13"/>
      <c r="R699" s="13"/>
      <c r="S699" s="13"/>
      <c r="T699" s="13">
        <f t="shared" ref="T699:Y699" si="732">IF(ISBLANK(K699)=TRUE,0,1)</f>
        <v>1</v>
      </c>
      <c r="U699" s="13">
        <f t="shared" si="732"/>
        <v>1</v>
      </c>
      <c r="V699" s="13">
        <f t="shared" si="732"/>
        <v>0</v>
      </c>
      <c r="W699" s="13">
        <f t="shared" si="732"/>
        <v>0</v>
      </c>
      <c r="X699" s="13">
        <f t="shared" si="732"/>
        <v>0</v>
      </c>
      <c r="Y699" s="13">
        <f t="shared" si="732"/>
        <v>0</v>
      </c>
      <c r="Z699" s="13">
        <f t="shared" si="529"/>
        <v>0</v>
      </c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</row>
    <row r="700" ht="14.25" hidden="1" customHeight="1">
      <c r="A700" s="13" t="s">
        <v>46</v>
      </c>
      <c r="B700" s="13" t="s">
        <v>55</v>
      </c>
      <c r="C700" s="13" t="s">
        <v>548</v>
      </c>
      <c r="D700" s="13"/>
      <c r="E700" s="13"/>
      <c r="F700" s="13"/>
      <c r="G700" s="13" t="s">
        <v>111</v>
      </c>
      <c r="H700" s="13" t="s">
        <v>75</v>
      </c>
      <c r="I700" s="13"/>
      <c r="J700" s="13"/>
      <c r="K700" s="15">
        <v>0.0</v>
      </c>
      <c r="L700" s="15">
        <v>0.0</v>
      </c>
      <c r="M700" s="16"/>
      <c r="N700" s="16"/>
      <c r="O700" s="17"/>
      <c r="P700" s="17"/>
      <c r="Q700" s="13"/>
      <c r="R700" s="13"/>
      <c r="S700" s="13"/>
      <c r="T700" s="13">
        <f t="shared" ref="T700:Y700" si="733">IF(ISBLANK(K700)=TRUE,0,1)</f>
        <v>1</v>
      </c>
      <c r="U700" s="13">
        <f t="shared" si="733"/>
        <v>1</v>
      </c>
      <c r="V700" s="13">
        <f t="shared" si="733"/>
        <v>0</v>
      </c>
      <c r="W700" s="13">
        <f t="shared" si="733"/>
        <v>0</v>
      </c>
      <c r="X700" s="13">
        <f t="shared" si="733"/>
        <v>0</v>
      </c>
      <c r="Y700" s="13">
        <f t="shared" si="733"/>
        <v>0</v>
      </c>
      <c r="Z700" s="13">
        <f t="shared" si="529"/>
        <v>0</v>
      </c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</row>
    <row r="701" ht="14.25" hidden="1" customHeight="1">
      <c r="A701" s="13" t="s">
        <v>36</v>
      </c>
      <c r="B701" s="13" t="s">
        <v>39</v>
      </c>
      <c r="C701" s="13" t="s">
        <v>549</v>
      </c>
      <c r="D701" s="13"/>
      <c r="E701" s="13" t="str">
        <f t="shared" ref="E701:E1763" si="735">CONCATENATE(B701,",",C701,",",D701,",",Z701)</f>
        <v>LA1,201-15A-1,,NA</v>
      </c>
      <c r="F701" s="13"/>
      <c r="G701" s="13" t="s">
        <v>74</v>
      </c>
      <c r="H701" s="13" t="s">
        <v>107</v>
      </c>
      <c r="I701" s="14">
        <v>44862.0</v>
      </c>
      <c r="J701" s="14"/>
      <c r="K701" s="15"/>
      <c r="L701" s="15"/>
      <c r="M701" s="16"/>
      <c r="N701" s="16"/>
      <c r="O701" s="17"/>
      <c r="P701" s="17"/>
      <c r="Q701" s="13">
        <f t="shared" ref="Q701:Q783" si="736">K700+L700+M700+N700+O700+P700/6</f>
        <v>0</v>
      </c>
      <c r="R701" s="13"/>
      <c r="S701" s="13"/>
      <c r="T701" s="13">
        <f t="shared" ref="T701:Y701" si="734">IF(ISBLANK(K701)=TRUE,0,1)</f>
        <v>0</v>
      </c>
      <c r="U701" s="13">
        <f t="shared" si="734"/>
        <v>0</v>
      </c>
      <c r="V701" s="13">
        <f t="shared" si="734"/>
        <v>0</v>
      </c>
      <c r="W701" s="13">
        <f t="shared" si="734"/>
        <v>0</v>
      </c>
      <c r="X701" s="13">
        <f t="shared" si="734"/>
        <v>0</v>
      </c>
      <c r="Y701" s="13">
        <f t="shared" si="734"/>
        <v>0</v>
      </c>
      <c r="Z701" s="13" t="str">
        <f t="shared" si="529"/>
        <v>NA</v>
      </c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</row>
    <row r="702" ht="14.25" hidden="1" customHeight="1">
      <c r="A702" s="13" t="s">
        <v>36</v>
      </c>
      <c r="B702" s="13" t="s">
        <v>39</v>
      </c>
      <c r="C702" s="13" t="s">
        <v>550</v>
      </c>
      <c r="D702" s="13" t="s">
        <v>185</v>
      </c>
      <c r="E702" s="13" t="str">
        <f t="shared" si="735"/>
        <v>LA1,201-29A,AL,0</v>
      </c>
      <c r="F702" s="13"/>
      <c r="G702" s="13" t="s">
        <v>74</v>
      </c>
      <c r="H702" s="13" t="s">
        <v>75</v>
      </c>
      <c r="I702" s="13"/>
      <c r="J702" s="13"/>
      <c r="K702" s="15">
        <v>0.0</v>
      </c>
      <c r="L702" s="15">
        <v>0.0</v>
      </c>
      <c r="M702" s="16"/>
      <c r="N702" s="16"/>
      <c r="O702" s="17"/>
      <c r="P702" s="17"/>
      <c r="Q702" s="13">
        <f t="shared" si="736"/>
        <v>0</v>
      </c>
      <c r="R702" s="13"/>
      <c r="S702" s="13"/>
      <c r="T702" s="13">
        <f t="shared" ref="T702:Y702" si="737">IF(ISBLANK(K702)=TRUE,0,1)</f>
        <v>1</v>
      </c>
      <c r="U702" s="13">
        <f t="shared" si="737"/>
        <v>1</v>
      </c>
      <c r="V702" s="13">
        <f t="shared" si="737"/>
        <v>0</v>
      </c>
      <c r="W702" s="13">
        <f t="shared" si="737"/>
        <v>0</v>
      </c>
      <c r="X702" s="13">
        <f t="shared" si="737"/>
        <v>0</v>
      </c>
      <c r="Y702" s="13">
        <f t="shared" si="737"/>
        <v>0</v>
      </c>
      <c r="Z702" s="13">
        <f t="shared" si="529"/>
        <v>0</v>
      </c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</row>
    <row r="703" ht="14.25" hidden="1" customHeight="1">
      <c r="A703" s="13" t="s">
        <v>36</v>
      </c>
      <c r="B703" s="13" t="s">
        <v>39</v>
      </c>
      <c r="C703" s="13" t="s">
        <v>550</v>
      </c>
      <c r="D703" s="13" t="s">
        <v>186</v>
      </c>
      <c r="E703" s="13" t="str">
        <f t="shared" si="735"/>
        <v>LA1,201-29A,AM,0</v>
      </c>
      <c r="F703" s="13"/>
      <c r="G703" s="13" t="s">
        <v>74</v>
      </c>
      <c r="H703" s="13" t="s">
        <v>75</v>
      </c>
      <c r="I703" s="13"/>
      <c r="J703" s="13"/>
      <c r="K703" s="15">
        <v>0.0</v>
      </c>
      <c r="L703" s="15">
        <v>0.0</v>
      </c>
      <c r="M703" s="16"/>
      <c r="N703" s="16"/>
      <c r="O703" s="17"/>
      <c r="P703" s="17"/>
      <c r="Q703" s="13">
        <f t="shared" si="736"/>
        <v>0</v>
      </c>
      <c r="R703" s="13"/>
      <c r="S703" s="13"/>
      <c r="T703" s="13">
        <f t="shared" ref="T703:Y703" si="738">IF(ISBLANK(K703)=TRUE,0,1)</f>
        <v>1</v>
      </c>
      <c r="U703" s="13">
        <f t="shared" si="738"/>
        <v>1</v>
      </c>
      <c r="V703" s="13">
        <f t="shared" si="738"/>
        <v>0</v>
      </c>
      <c r="W703" s="13">
        <f t="shared" si="738"/>
        <v>0</v>
      </c>
      <c r="X703" s="13">
        <f t="shared" si="738"/>
        <v>0</v>
      </c>
      <c r="Y703" s="13">
        <f t="shared" si="738"/>
        <v>0</v>
      </c>
      <c r="Z703" s="13">
        <f t="shared" si="529"/>
        <v>0</v>
      </c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</row>
    <row r="704" ht="14.25" hidden="1" customHeight="1">
      <c r="A704" s="13" t="s">
        <v>36</v>
      </c>
      <c r="B704" s="13" t="s">
        <v>39</v>
      </c>
      <c r="C704" s="13" t="s">
        <v>550</v>
      </c>
      <c r="D704" s="13" t="s">
        <v>187</v>
      </c>
      <c r="E704" s="13" t="str">
        <f t="shared" si="735"/>
        <v>LA1,201-29A,AN,0</v>
      </c>
      <c r="F704" s="13"/>
      <c r="G704" s="13" t="s">
        <v>74</v>
      </c>
      <c r="H704" s="13" t="s">
        <v>75</v>
      </c>
      <c r="I704" s="13"/>
      <c r="J704" s="13"/>
      <c r="K704" s="15">
        <v>0.0</v>
      </c>
      <c r="L704" s="15">
        <v>0.0</v>
      </c>
      <c r="M704" s="16"/>
      <c r="N704" s="16"/>
      <c r="O704" s="17"/>
      <c r="P704" s="17"/>
      <c r="Q704" s="13">
        <f t="shared" si="736"/>
        <v>0</v>
      </c>
      <c r="R704" s="13"/>
      <c r="S704" s="13"/>
      <c r="T704" s="13">
        <f t="shared" ref="T704:Y704" si="739">IF(ISBLANK(K704)=TRUE,0,1)</f>
        <v>1</v>
      </c>
      <c r="U704" s="13">
        <f t="shared" si="739"/>
        <v>1</v>
      </c>
      <c r="V704" s="13">
        <f t="shared" si="739"/>
        <v>0</v>
      </c>
      <c r="W704" s="13">
        <f t="shared" si="739"/>
        <v>0</v>
      </c>
      <c r="X704" s="13">
        <f t="shared" si="739"/>
        <v>0</v>
      </c>
      <c r="Y704" s="13">
        <f t="shared" si="739"/>
        <v>0</v>
      </c>
      <c r="Z704" s="13">
        <f t="shared" si="529"/>
        <v>0</v>
      </c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</row>
    <row r="705" ht="14.25" hidden="1" customHeight="1">
      <c r="A705" s="13" t="s">
        <v>36</v>
      </c>
      <c r="B705" s="13" t="s">
        <v>39</v>
      </c>
      <c r="C705" s="13" t="s">
        <v>550</v>
      </c>
      <c r="D705" s="13" t="s">
        <v>188</v>
      </c>
      <c r="E705" s="13" t="str">
        <f t="shared" si="735"/>
        <v>LA1,201-29A,AO,0</v>
      </c>
      <c r="F705" s="13"/>
      <c r="G705" s="13" t="s">
        <v>74</v>
      </c>
      <c r="H705" s="13" t="s">
        <v>75</v>
      </c>
      <c r="I705" s="13"/>
      <c r="J705" s="13"/>
      <c r="K705" s="15">
        <v>0.0</v>
      </c>
      <c r="L705" s="15">
        <v>0.0</v>
      </c>
      <c r="M705" s="16"/>
      <c r="N705" s="16"/>
      <c r="O705" s="17"/>
      <c r="P705" s="17"/>
      <c r="Q705" s="13">
        <f t="shared" si="736"/>
        <v>0</v>
      </c>
      <c r="R705" s="13"/>
      <c r="S705" s="13"/>
      <c r="T705" s="13">
        <f t="shared" ref="T705:Y705" si="740">IF(ISBLANK(K705)=TRUE,0,1)</f>
        <v>1</v>
      </c>
      <c r="U705" s="13">
        <f t="shared" si="740"/>
        <v>1</v>
      </c>
      <c r="V705" s="13">
        <f t="shared" si="740"/>
        <v>0</v>
      </c>
      <c r="W705" s="13">
        <f t="shared" si="740"/>
        <v>0</v>
      </c>
      <c r="X705" s="13">
        <f t="shared" si="740"/>
        <v>0</v>
      </c>
      <c r="Y705" s="13">
        <f t="shared" si="740"/>
        <v>0</v>
      </c>
      <c r="Z705" s="13">
        <f t="shared" si="529"/>
        <v>0</v>
      </c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</row>
    <row r="706" ht="14.25" hidden="1" customHeight="1">
      <c r="A706" s="13" t="s">
        <v>36</v>
      </c>
      <c r="B706" s="13" t="s">
        <v>39</v>
      </c>
      <c r="C706" s="13" t="s">
        <v>550</v>
      </c>
      <c r="D706" s="13" t="s">
        <v>189</v>
      </c>
      <c r="E706" s="13" t="str">
        <f t="shared" si="735"/>
        <v>LA1,201-29A,AP,0</v>
      </c>
      <c r="F706" s="13"/>
      <c r="G706" s="13" t="s">
        <v>74</v>
      </c>
      <c r="H706" s="13" t="s">
        <v>75</v>
      </c>
      <c r="I706" s="13"/>
      <c r="J706" s="13"/>
      <c r="K706" s="15">
        <v>0.0</v>
      </c>
      <c r="L706" s="15">
        <v>0.0</v>
      </c>
      <c r="M706" s="16"/>
      <c r="N706" s="16"/>
      <c r="O706" s="17"/>
      <c r="P706" s="17"/>
      <c r="Q706" s="13">
        <f t="shared" si="736"/>
        <v>0</v>
      </c>
      <c r="R706" s="13"/>
      <c r="S706" s="13"/>
      <c r="T706" s="13">
        <f t="shared" ref="T706:Y706" si="741">IF(ISBLANK(K706)=TRUE,0,1)</f>
        <v>1</v>
      </c>
      <c r="U706" s="13">
        <f t="shared" si="741"/>
        <v>1</v>
      </c>
      <c r="V706" s="13">
        <f t="shared" si="741"/>
        <v>0</v>
      </c>
      <c r="W706" s="13">
        <f t="shared" si="741"/>
        <v>0</v>
      </c>
      <c r="X706" s="13">
        <f t="shared" si="741"/>
        <v>0</v>
      </c>
      <c r="Y706" s="13">
        <f t="shared" si="741"/>
        <v>0</v>
      </c>
      <c r="Z706" s="13">
        <f t="shared" si="529"/>
        <v>0</v>
      </c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</row>
    <row r="707" ht="14.25" hidden="1" customHeight="1">
      <c r="A707" s="13" t="s">
        <v>36</v>
      </c>
      <c r="B707" s="13" t="s">
        <v>39</v>
      </c>
      <c r="C707" s="13" t="s">
        <v>550</v>
      </c>
      <c r="D707" s="13" t="s">
        <v>190</v>
      </c>
      <c r="E707" s="13" t="str">
        <f t="shared" si="735"/>
        <v>LA1,201-29A,AQ,0</v>
      </c>
      <c r="F707" s="13"/>
      <c r="G707" s="13" t="s">
        <v>74</v>
      </c>
      <c r="H707" s="13" t="s">
        <v>75</v>
      </c>
      <c r="I707" s="13"/>
      <c r="J707" s="13"/>
      <c r="K707" s="15">
        <v>0.0</v>
      </c>
      <c r="L707" s="15">
        <v>0.0</v>
      </c>
      <c r="M707" s="16"/>
      <c r="N707" s="16"/>
      <c r="O707" s="17"/>
      <c r="P707" s="17"/>
      <c r="Q707" s="13">
        <f t="shared" si="736"/>
        <v>0</v>
      </c>
      <c r="R707" s="13"/>
      <c r="S707" s="13"/>
      <c r="T707" s="13">
        <f t="shared" ref="T707:Y707" si="742">IF(ISBLANK(K707)=TRUE,0,1)</f>
        <v>1</v>
      </c>
      <c r="U707" s="13">
        <f t="shared" si="742"/>
        <v>1</v>
      </c>
      <c r="V707" s="13">
        <f t="shared" si="742"/>
        <v>0</v>
      </c>
      <c r="W707" s="13">
        <f t="shared" si="742"/>
        <v>0</v>
      </c>
      <c r="X707" s="13">
        <f t="shared" si="742"/>
        <v>0</v>
      </c>
      <c r="Y707" s="13">
        <f t="shared" si="742"/>
        <v>0</v>
      </c>
      <c r="Z707" s="13">
        <f t="shared" si="529"/>
        <v>0</v>
      </c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</row>
    <row r="708" ht="14.25" hidden="1" customHeight="1">
      <c r="A708" s="13" t="s">
        <v>36</v>
      </c>
      <c r="B708" s="13" t="s">
        <v>39</v>
      </c>
      <c r="C708" s="13" t="s">
        <v>550</v>
      </c>
      <c r="D708" s="13" t="s">
        <v>191</v>
      </c>
      <c r="E708" s="13" t="str">
        <f t="shared" si="735"/>
        <v>LA1,201-29A,AR,0</v>
      </c>
      <c r="F708" s="13"/>
      <c r="G708" s="13" t="s">
        <v>74</v>
      </c>
      <c r="H708" s="13" t="s">
        <v>75</v>
      </c>
      <c r="I708" s="13"/>
      <c r="J708" s="13"/>
      <c r="K708" s="15">
        <v>0.0</v>
      </c>
      <c r="L708" s="15">
        <v>0.0</v>
      </c>
      <c r="M708" s="16"/>
      <c r="N708" s="16"/>
      <c r="O708" s="17"/>
      <c r="P708" s="17"/>
      <c r="Q708" s="13">
        <f t="shared" si="736"/>
        <v>0</v>
      </c>
      <c r="R708" s="13"/>
      <c r="S708" s="13"/>
      <c r="T708" s="13">
        <f t="shared" ref="T708:Y708" si="743">IF(ISBLANK(K708)=TRUE,0,1)</f>
        <v>1</v>
      </c>
      <c r="U708" s="13">
        <f t="shared" si="743"/>
        <v>1</v>
      </c>
      <c r="V708" s="13">
        <f t="shared" si="743"/>
        <v>0</v>
      </c>
      <c r="W708" s="13">
        <f t="shared" si="743"/>
        <v>0</v>
      </c>
      <c r="X708" s="13">
        <f t="shared" si="743"/>
        <v>0</v>
      </c>
      <c r="Y708" s="13">
        <f t="shared" si="743"/>
        <v>0</v>
      </c>
      <c r="Z708" s="13">
        <f t="shared" si="529"/>
        <v>0</v>
      </c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</row>
    <row r="709" ht="14.25" hidden="1" customHeight="1">
      <c r="A709" s="13" t="s">
        <v>36</v>
      </c>
      <c r="B709" s="13" t="s">
        <v>39</v>
      </c>
      <c r="C709" s="13" t="s">
        <v>550</v>
      </c>
      <c r="D709" s="13" t="s">
        <v>192</v>
      </c>
      <c r="E709" s="13" t="str">
        <f t="shared" si="735"/>
        <v>LA1,201-29A,AS,0</v>
      </c>
      <c r="F709" s="13"/>
      <c r="G709" s="13" t="s">
        <v>74</v>
      </c>
      <c r="H709" s="13" t="s">
        <v>75</v>
      </c>
      <c r="I709" s="13"/>
      <c r="J709" s="13"/>
      <c r="K709" s="15">
        <v>0.0</v>
      </c>
      <c r="L709" s="15">
        <v>0.0</v>
      </c>
      <c r="M709" s="16"/>
      <c r="N709" s="16"/>
      <c r="O709" s="17"/>
      <c r="P709" s="17"/>
      <c r="Q709" s="13">
        <f t="shared" si="736"/>
        <v>0</v>
      </c>
      <c r="R709" s="13"/>
      <c r="S709" s="13"/>
      <c r="T709" s="13">
        <f t="shared" ref="T709:Y709" si="744">IF(ISBLANK(K709)=TRUE,0,1)</f>
        <v>1</v>
      </c>
      <c r="U709" s="13">
        <f t="shared" si="744"/>
        <v>1</v>
      </c>
      <c r="V709" s="13">
        <f t="shared" si="744"/>
        <v>0</v>
      </c>
      <c r="W709" s="13">
        <f t="shared" si="744"/>
        <v>0</v>
      </c>
      <c r="X709" s="13">
        <f t="shared" si="744"/>
        <v>0</v>
      </c>
      <c r="Y709" s="13">
        <f t="shared" si="744"/>
        <v>0</v>
      </c>
      <c r="Z709" s="13">
        <f t="shared" si="529"/>
        <v>0</v>
      </c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</row>
    <row r="710" ht="14.25" hidden="1" customHeight="1">
      <c r="A710" s="13" t="s">
        <v>36</v>
      </c>
      <c r="B710" s="13" t="s">
        <v>39</v>
      </c>
      <c r="C710" s="13" t="s">
        <v>550</v>
      </c>
      <c r="D710" s="13" t="s">
        <v>193</v>
      </c>
      <c r="E710" s="13" t="str">
        <f t="shared" si="735"/>
        <v>LA1,201-29A,AT,0</v>
      </c>
      <c r="F710" s="13"/>
      <c r="G710" s="13" t="s">
        <v>74</v>
      </c>
      <c r="H710" s="13" t="s">
        <v>75</v>
      </c>
      <c r="I710" s="13"/>
      <c r="J710" s="13"/>
      <c r="K710" s="15">
        <v>0.0</v>
      </c>
      <c r="L710" s="15">
        <v>0.0</v>
      </c>
      <c r="M710" s="16"/>
      <c r="N710" s="16"/>
      <c r="O710" s="17"/>
      <c r="P710" s="17"/>
      <c r="Q710" s="13">
        <f t="shared" si="736"/>
        <v>0</v>
      </c>
      <c r="R710" s="13"/>
      <c r="S710" s="13"/>
      <c r="T710" s="13">
        <f t="shared" ref="T710:Y710" si="745">IF(ISBLANK(K710)=TRUE,0,1)</f>
        <v>1</v>
      </c>
      <c r="U710" s="13">
        <f t="shared" si="745"/>
        <v>1</v>
      </c>
      <c r="V710" s="13">
        <f t="shared" si="745"/>
        <v>0</v>
      </c>
      <c r="W710" s="13">
        <f t="shared" si="745"/>
        <v>0</v>
      </c>
      <c r="X710" s="13">
        <f t="shared" si="745"/>
        <v>0</v>
      </c>
      <c r="Y710" s="13">
        <f t="shared" si="745"/>
        <v>0</v>
      </c>
      <c r="Z710" s="13">
        <f t="shared" si="529"/>
        <v>0</v>
      </c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</row>
    <row r="711" ht="14.25" hidden="1" customHeight="1">
      <c r="A711" s="13" t="s">
        <v>36</v>
      </c>
      <c r="B711" s="13" t="s">
        <v>39</v>
      </c>
      <c r="C711" s="13" t="s">
        <v>550</v>
      </c>
      <c r="D711" s="13" t="s">
        <v>194</v>
      </c>
      <c r="E711" s="13" t="str">
        <f t="shared" si="735"/>
        <v>LA1,201-29A,AU,0</v>
      </c>
      <c r="F711" s="13"/>
      <c r="G711" s="13" t="s">
        <v>74</v>
      </c>
      <c r="H711" s="13" t="s">
        <v>75</v>
      </c>
      <c r="I711" s="13"/>
      <c r="J711" s="13"/>
      <c r="K711" s="15">
        <v>0.0</v>
      </c>
      <c r="L711" s="15">
        <v>0.0</v>
      </c>
      <c r="M711" s="16"/>
      <c r="N711" s="16"/>
      <c r="O711" s="17"/>
      <c r="P711" s="17"/>
      <c r="Q711" s="13">
        <f t="shared" si="736"/>
        <v>0</v>
      </c>
      <c r="R711" s="13"/>
      <c r="S711" s="13"/>
      <c r="T711" s="13">
        <f t="shared" ref="T711:Y711" si="746">IF(ISBLANK(K711)=TRUE,0,1)</f>
        <v>1</v>
      </c>
      <c r="U711" s="13">
        <f t="shared" si="746"/>
        <v>1</v>
      </c>
      <c r="V711" s="13">
        <f t="shared" si="746"/>
        <v>0</v>
      </c>
      <c r="W711" s="13">
        <f t="shared" si="746"/>
        <v>0</v>
      </c>
      <c r="X711" s="13">
        <f t="shared" si="746"/>
        <v>0</v>
      </c>
      <c r="Y711" s="13">
        <f t="shared" si="746"/>
        <v>0</v>
      </c>
      <c r="Z711" s="13">
        <f t="shared" si="529"/>
        <v>0</v>
      </c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</row>
    <row r="712" ht="14.25" hidden="1" customHeight="1">
      <c r="A712" s="13" t="s">
        <v>36</v>
      </c>
      <c r="B712" s="13" t="s">
        <v>39</v>
      </c>
      <c r="C712" s="13" t="s">
        <v>550</v>
      </c>
      <c r="D712" s="13" t="s">
        <v>195</v>
      </c>
      <c r="E712" s="13" t="str">
        <f t="shared" si="735"/>
        <v>LA1,201-29A,AV,0</v>
      </c>
      <c r="F712" s="13"/>
      <c r="G712" s="13" t="s">
        <v>74</v>
      </c>
      <c r="H712" s="13" t="s">
        <v>75</v>
      </c>
      <c r="I712" s="13"/>
      <c r="J712" s="13"/>
      <c r="K712" s="15">
        <v>0.0</v>
      </c>
      <c r="L712" s="15">
        <v>0.0</v>
      </c>
      <c r="M712" s="16"/>
      <c r="N712" s="16"/>
      <c r="O712" s="17"/>
      <c r="P712" s="17"/>
      <c r="Q712" s="13">
        <f t="shared" si="736"/>
        <v>0</v>
      </c>
      <c r="R712" s="13"/>
      <c r="S712" s="13"/>
      <c r="T712" s="13">
        <f t="shared" ref="T712:Y712" si="747">IF(ISBLANK(K712)=TRUE,0,1)</f>
        <v>1</v>
      </c>
      <c r="U712" s="13">
        <f t="shared" si="747"/>
        <v>1</v>
      </c>
      <c r="V712" s="13">
        <f t="shared" si="747"/>
        <v>0</v>
      </c>
      <c r="W712" s="13">
        <f t="shared" si="747"/>
        <v>0</v>
      </c>
      <c r="X712" s="13">
        <f t="shared" si="747"/>
        <v>0</v>
      </c>
      <c r="Y712" s="13">
        <f t="shared" si="747"/>
        <v>0</v>
      </c>
      <c r="Z712" s="13">
        <f t="shared" si="529"/>
        <v>0</v>
      </c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</row>
    <row r="713" ht="14.25" hidden="1" customHeight="1">
      <c r="A713" s="13" t="s">
        <v>36</v>
      </c>
      <c r="B713" s="13" t="s">
        <v>39</v>
      </c>
      <c r="C713" s="13" t="s">
        <v>550</v>
      </c>
      <c r="D713" s="13" t="s">
        <v>196</v>
      </c>
      <c r="E713" s="13" t="str">
        <f t="shared" si="735"/>
        <v>LA1,201-29A,AW,0</v>
      </c>
      <c r="F713" s="13"/>
      <c r="G713" s="13" t="s">
        <v>74</v>
      </c>
      <c r="H713" s="13" t="s">
        <v>75</v>
      </c>
      <c r="I713" s="13"/>
      <c r="J713" s="13"/>
      <c r="K713" s="15">
        <v>0.0</v>
      </c>
      <c r="L713" s="15">
        <v>0.0</v>
      </c>
      <c r="M713" s="16"/>
      <c r="N713" s="16"/>
      <c r="O713" s="17"/>
      <c r="P713" s="17"/>
      <c r="Q713" s="13">
        <f t="shared" si="736"/>
        <v>0</v>
      </c>
      <c r="R713" s="13"/>
      <c r="S713" s="13"/>
      <c r="T713" s="13">
        <f t="shared" ref="T713:Y713" si="748">IF(ISBLANK(K713)=TRUE,0,1)</f>
        <v>1</v>
      </c>
      <c r="U713" s="13">
        <f t="shared" si="748"/>
        <v>1</v>
      </c>
      <c r="V713" s="13">
        <f t="shared" si="748"/>
        <v>0</v>
      </c>
      <c r="W713" s="13">
        <f t="shared" si="748"/>
        <v>0</v>
      </c>
      <c r="X713" s="13">
        <f t="shared" si="748"/>
        <v>0</v>
      </c>
      <c r="Y713" s="13">
        <f t="shared" si="748"/>
        <v>0</v>
      </c>
      <c r="Z713" s="13">
        <f t="shared" si="529"/>
        <v>0</v>
      </c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</row>
    <row r="714" ht="14.25" hidden="1" customHeight="1">
      <c r="A714" s="13" t="s">
        <v>36</v>
      </c>
      <c r="B714" s="13" t="s">
        <v>39</v>
      </c>
      <c r="C714" s="13" t="s">
        <v>550</v>
      </c>
      <c r="D714" s="13" t="s">
        <v>197</v>
      </c>
      <c r="E714" s="13" t="str">
        <f t="shared" si="735"/>
        <v>LA1,201-29A,AX,0</v>
      </c>
      <c r="F714" s="13"/>
      <c r="G714" s="13" t="s">
        <v>74</v>
      </c>
      <c r="H714" s="13" t="s">
        <v>75</v>
      </c>
      <c r="I714" s="13"/>
      <c r="J714" s="13"/>
      <c r="K714" s="15">
        <v>0.0</v>
      </c>
      <c r="L714" s="15">
        <v>0.0</v>
      </c>
      <c r="M714" s="16"/>
      <c r="N714" s="16"/>
      <c r="O714" s="17"/>
      <c r="P714" s="17"/>
      <c r="Q714" s="13">
        <f t="shared" si="736"/>
        <v>0</v>
      </c>
      <c r="R714" s="13"/>
      <c r="S714" s="13"/>
      <c r="T714" s="13">
        <f t="shared" ref="T714:Y714" si="749">IF(ISBLANK(K714)=TRUE,0,1)</f>
        <v>1</v>
      </c>
      <c r="U714" s="13">
        <f t="shared" si="749"/>
        <v>1</v>
      </c>
      <c r="V714" s="13">
        <f t="shared" si="749"/>
        <v>0</v>
      </c>
      <c r="W714" s="13">
        <f t="shared" si="749"/>
        <v>0</v>
      </c>
      <c r="X714" s="13">
        <f t="shared" si="749"/>
        <v>0</v>
      </c>
      <c r="Y714" s="13">
        <f t="shared" si="749"/>
        <v>0</v>
      </c>
      <c r="Z714" s="13">
        <f t="shared" si="529"/>
        <v>0</v>
      </c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</row>
    <row r="715" ht="14.25" hidden="1" customHeight="1">
      <c r="A715" s="13" t="s">
        <v>36</v>
      </c>
      <c r="B715" s="13" t="s">
        <v>39</v>
      </c>
      <c r="C715" s="13" t="s">
        <v>550</v>
      </c>
      <c r="D715" s="13" t="s">
        <v>433</v>
      </c>
      <c r="E715" s="13" t="str">
        <f t="shared" si="735"/>
        <v>LA1,201-29A,AY,0</v>
      </c>
      <c r="F715" s="13"/>
      <c r="G715" s="13" t="s">
        <v>74</v>
      </c>
      <c r="H715" s="13" t="s">
        <v>75</v>
      </c>
      <c r="I715" s="13"/>
      <c r="J715" s="13"/>
      <c r="K715" s="15">
        <v>0.0</v>
      </c>
      <c r="L715" s="15">
        <v>0.0</v>
      </c>
      <c r="M715" s="16"/>
      <c r="N715" s="16"/>
      <c r="O715" s="17"/>
      <c r="P715" s="17"/>
      <c r="Q715" s="13">
        <f t="shared" si="736"/>
        <v>0</v>
      </c>
      <c r="R715" s="13"/>
      <c r="S715" s="13"/>
      <c r="T715" s="13">
        <f t="shared" ref="T715:Y715" si="750">IF(ISBLANK(K715)=TRUE,0,1)</f>
        <v>1</v>
      </c>
      <c r="U715" s="13">
        <f t="shared" si="750"/>
        <v>1</v>
      </c>
      <c r="V715" s="13">
        <f t="shared" si="750"/>
        <v>0</v>
      </c>
      <c r="W715" s="13">
        <f t="shared" si="750"/>
        <v>0</v>
      </c>
      <c r="X715" s="13">
        <f t="shared" si="750"/>
        <v>0</v>
      </c>
      <c r="Y715" s="13">
        <f t="shared" si="750"/>
        <v>0</v>
      </c>
      <c r="Z715" s="13">
        <f t="shared" si="529"/>
        <v>0</v>
      </c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</row>
    <row r="716" ht="14.25" hidden="1" customHeight="1">
      <c r="A716" s="13" t="s">
        <v>36</v>
      </c>
      <c r="B716" s="13" t="s">
        <v>39</v>
      </c>
      <c r="C716" s="13" t="s">
        <v>550</v>
      </c>
      <c r="D716" s="13" t="s">
        <v>434</v>
      </c>
      <c r="E716" s="13" t="str">
        <f t="shared" si="735"/>
        <v>LA1,201-29A,AZ,0</v>
      </c>
      <c r="F716" s="13"/>
      <c r="G716" s="13" t="s">
        <v>74</v>
      </c>
      <c r="H716" s="13" t="s">
        <v>75</v>
      </c>
      <c r="I716" s="13"/>
      <c r="J716" s="13"/>
      <c r="K716" s="15">
        <v>0.0</v>
      </c>
      <c r="L716" s="15">
        <v>0.0</v>
      </c>
      <c r="M716" s="16"/>
      <c r="N716" s="16"/>
      <c r="O716" s="17"/>
      <c r="P716" s="17"/>
      <c r="Q716" s="13">
        <f t="shared" si="736"/>
        <v>0</v>
      </c>
      <c r="R716" s="13"/>
      <c r="S716" s="13"/>
      <c r="T716" s="13">
        <f t="shared" ref="T716:Y716" si="751">IF(ISBLANK(K716)=TRUE,0,1)</f>
        <v>1</v>
      </c>
      <c r="U716" s="13">
        <f t="shared" si="751"/>
        <v>1</v>
      </c>
      <c r="V716" s="13">
        <f t="shared" si="751"/>
        <v>0</v>
      </c>
      <c r="W716" s="13">
        <f t="shared" si="751"/>
        <v>0</v>
      </c>
      <c r="X716" s="13">
        <f t="shared" si="751"/>
        <v>0</v>
      </c>
      <c r="Y716" s="13">
        <f t="shared" si="751"/>
        <v>0</v>
      </c>
      <c r="Z716" s="13">
        <f t="shared" si="529"/>
        <v>0</v>
      </c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</row>
    <row r="717" ht="14.25" hidden="1" customHeight="1">
      <c r="A717" s="13" t="s">
        <v>36</v>
      </c>
      <c r="B717" s="13" t="s">
        <v>39</v>
      </c>
      <c r="C717" s="13" t="s">
        <v>550</v>
      </c>
      <c r="D717" s="13" t="s">
        <v>435</v>
      </c>
      <c r="E717" s="13" t="str">
        <f t="shared" si="735"/>
        <v>LA1,201-29A,BA,0</v>
      </c>
      <c r="F717" s="13"/>
      <c r="G717" s="13" t="s">
        <v>74</v>
      </c>
      <c r="H717" s="13" t="s">
        <v>75</v>
      </c>
      <c r="I717" s="13"/>
      <c r="J717" s="13"/>
      <c r="K717" s="15">
        <v>0.0</v>
      </c>
      <c r="L717" s="15">
        <v>0.0</v>
      </c>
      <c r="M717" s="16"/>
      <c r="N717" s="16"/>
      <c r="O717" s="17"/>
      <c r="P717" s="17"/>
      <c r="Q717" s="13">
        <f t="shared" si="736"/>
        <v>0</v>
      </c>
      <c r="R717" s="13"/>
      <c r="S717" s="13"/>
      <c r="T717" s="13">
        <f t="shared" ref="T717:Y717" si="752">IF(ISBLANK(K717)=TRUE,0,1)</f>
        <v>1</v>
      </c>
      <c r="U717" s="13">
        <f t="shared" si="752"/>
        <v>1</v>
      </c>
      <c r="V717" s="13">
        <f t="shared" si="752"/>
        <v>0</v>
      </c>
      <c r="W717" s="13">
        <f t="shared" si="752"/>
        <v>0</v>
      </c>
      <c r="X717" s="13">
        <f t="shared" si="752"/>
        <v>0</v>
      </c>
      <c r="Y717" s="13">
        <f t="shared" si="752"/>
        <v>0</v>
      </c>
      <c r="Z717" s="13">
        <f t="shared" si="529"/>
        <v>0</v>
      </c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</row>
    <row r="718" ht="14.25" hidden="1" customHeight="1">
      <c r="A718" s="13" t="s">
        <v>36</v>
      </c>
      <c r="B718" s="13" t="s">
        <v>39</v>
      </c>
      <c r="C718" s="13" t="s">
        <v>550</v>
      </c>
      <c r="D718" s="13" t="s">
        <v>436</v>
      </c>
      <c r="E718" s="13" t="str">
        <f t="shared" si="735"/>
        <v>LA1,201-29A,BB,0</v>
      </c>
      <c r="F718" s="13"/>
      <c r="G718" s="13" t="s">
        <v>74</v>
      </c>
      <c r="H718" s="13" t="s">
        <v>75</v>
      </c>
      <c r="I718" s="13"/>
      <c r="J718" s="13"/>
      <c r="K718" s="15">
        <v>0.0</v>
      </c>
      <c r="L718" s="15">
        <v>0.0</v>
      </c>
      <c r="M718" s="16"/>
      <c r="N718" s="16"/>
      <c r="O718" s="17"/>
      <c r="P718" s="17"/>
      <c r="Q718" s="13">
        <f t="shared" si="736"/>
        <v>0</v>
      </c>
      <c r="R718" s="13"/>
      <c r="S718" s="13"/>
      <c r="T718" s="13">
        <f t="shared" ref="T718:Y718" si="753">IF(ISBLANK(K718)=TRUE,0,1)</f>
        <v>1</v>
      </c>
      <c r="U718" s="13">
        <f t="shared" si="753"/>
        <v>1</v>
      </c>
      <c r="V718" s="13">
        <f t="shared" si="753"/>
        <v>0</v>
      </c>
      <c r="W718" s="13">
        <f t="shared" si="753"/>
        <v>0</v>
      </c>
      <c r="X718" s="13">
        <f t="shared" si="753"/>
        <v>0</v>
      </c>
      <c r="Y718" s="13">
        <f t="shared" si="753"/>
        <v>0</v>
      </c>
      <c r="Z718" s="13">
        <f t="shared" si="529"/>
        <v>0</v>
      </c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</row>
    <row r="719" ht="14.25" hidden="1" customHeight="1">
      <c r="A719" s="13" t="s">
        <v>36</v>
      </c>
      <c r="B719" s="13" t="s">
        <v>39</v>
      </c>
      <c r="C719" s="13" t="s">
        <v>550</v>
      </c>
      <c r="D719" s="13" t="s">
        <v>437</v>
      </c>
      <c r="E719" s="13" t="str">
        <f t="shared" si="735"/>
        <v>LA1,201-29A,BC,0</v>
      </c>
      <c r="F719" s="13"/>
      <c r="G719" s="13" t="s">
        <v>74</v>
      </c>
      <c r="H719" s="13" t="s">
        <v>75</v>
      </c>
      <c r="I719" s="13"/>
      <c r="J719" s="13"/>
      <c r="K719" s="15">
        <v>0.0</v>
      </c>
      <c r="L719" s="15">
        <v>0.0</v>
      </c>
      <c r="M719" s="16"/>
      <c r="N719" s="16"/>
      <c r="O719" s="17"/>
      <c r="P719" s="17"/>
      <c r="Q719" s="13">
        <f t="shared" si="736"/>
        <v>0</v>
      </c>
      <c r="R719" s="13"/>
      <c r="S719" s="13"/>
      <c r="T719" s="13">
        <f t="shared" ref="T719:Y719" si="754">IF(ISBLANK(K719)=TRUE,0,1)</f>
        <v>1</v>
      </c>
      <c r="U719" s="13">
        <f t="shared" si="754"/>
        <v>1</v>
      </c>
      <c r="V719" s="13">
        <f t="shared" si="754"/>
        <v>0</v>
      </c>
      <c r="W719" s="13">
        <f t="shared" si="754"/>
        <v>0</v>
      </c>
      <c r="X719" s="13">
        <f t="shared" si="754"/>
        <v>0</v>
      </c>
      <c r="Y719" s="13">
        <f t="shared" si="754"/>
        <v>0</v>
      </c>
      <c r="Z719" s="13">
        <f t="shared" si="529"/>
        <v>0</v>
      </c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</row>
    <row r="720" ht="14.25" hidden="1" customHeight="1">
      <c r="A720" s="13" t="s">
        <v>36</v>
      </c>
      <c r="B720" s="13" t="s">
        <v>39</v>
      </c>
      <c r="C720" s="13" t="s">
        <v>550</v>
      </c>
      <c r="D720" s="13" t="s">
        <v>440</v>
      </c>
      <c r="E720" s="13" t="str">
        <f t="shared" si="735"/>
        <v>LA1,201-29A,BD,0</v>
      </c>
      <c r="F720" s="13"/>
      <c r="G720" s="13" t="s">
        <v>74</v>
      </c>
      <c r="H720" s="13" t="s">
        <v>75</v>
      </c>
      <c r="I720" s="13"/>
      <c r="J720" s="13"/>
      <c r="K720" s="15">
        <v>0.0</v>
      </c>
      <c r="L720" s="15">
        <v>0.0</v>
      </c>
      <c r="M720" s="16"/>
      <c r="N720" s="16"/>
      <c r="O720" s="17"/>
      <c r="P720" s="17"/>
      <c r="Q720" s="13">
        <f t="shared" si="736"/>
        <v>0</v>
      </c>
      <c r="R720" s="13"/>
      <c r="S720" s="13"/>
      <c r="T720" s="13">
        <f t="shared" ref="T720:Y720" si="755">IF(ISBLANK(K720)=TRUE,0,1)</f>
        <v>1</v>
      </c>
      <c r="U720" s="13">
        <f t="shared" si="755"/>
        <v>1</v>
      </c>
      <c r="V720" s="13">
        <f t="shared" si="755"/>
        <v>0</v>
      </c>
      <c r="W720" s="13">
        <f t="shared" si="755"/>
        <v>0</v>
      </c>
      <c r="X720" s="13">
        <f t="shared" si="755"/>
        <v>0</v>
      </c>
      <c r="Y720" s="13">
        <f t="shared" si="755"/>
        <v>0</v>
      </c>
      <c r="Z720" s="13">
        <f t="shared" si="529"/>
        <v>0</v>
      </c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</row>
    <row r="721" ht="14.25" hidden="1" customHeight="1">
      <c r="A721" s="13" t="s">
        <v>36</v>
      </c>
      <c r="B721" s="13" t="s">
        <v>39</v>
      </c>
      <c r="C721" s="13" t="s">
        <v>550</v>
      </c>
      <c r="D721" s="13" t="s">
        <v>441</v>
      </c>
      <c r="E721" s="13" t="str">
        <f t="shared" si="735"/>
        <v>LA1,201-29A,BE,0</v>
      </c>
      <c r="F721" s="13"/>
      <c r="G721" s="13" t="s">
        <v>74</v>
      </c>
      <c r="H721" s="13" t="s">
        <v>75</v>
      </c>
      <c r="I721" s="13"/>
      <c r="J721" s="13"/>
      <c r="K721" s="15">
        <v>0.0</v>
      </c>
      <c r="L721" s="15">
        <v>0.0</v>
      </c>
      <c r="M721" s="16"/>
      <c r="N721" s="16"/>
      <c r="O721" s="17"/>
      <c r="P721" s="17"/>
      <c r="Q721" s="13">
        <f t="shared" si="736"/>
        <v>0</v>
      </c>
      <c r="R721" s="13"/>
      <c r="S721" s="13"/>
      <c r="T721" s="13">
        <f t="shared" ref="T721:Y721" si="756">IF(ISBLANK(K721)=TRUE,0,1)</f>
        <v>1</v>
      </c>
      <c r="U721" s="13">
        <f t="shared" si="756"/>
        <v>1</v>
      </c>
      <c r="V721" s="13">
        <f t="shared" si="756"/>
        <v>0</v>
      </c>
      <c r="W721" s="13">
        <f t="shared" si="756"/>
        <v>0</v>
      </c>
      <c r="X721" s="13">
        <f t="shared" si="756"/>
        <v>0</v>
      </c>
      <c r="Y721" s="13">
        <f t="shared" si="756"/>
        <v>0</v>
      </c>
      <c r="Z721" s="13">
        <f t="shared" si="529"/>
        <v>0</v>
      </c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</row>
    <row r="722" ht="14.25" hidden="1" customHeight="1">
      <c r="A722" s="13" t="s">
        <v>36</v>
      </c>
      <c r="B722" s="13" t="s">
        <v>39</v>
      </c>
      <c r="C722" s="13" t="s">
        <v>550</v>
      </c>
      <c r="D722" s="13" t="s">
        <v>551</v>
      </c>
      <c r="E722" s="13" t="str">
        <f t="shared" si="735"/>
        <v>LA1,201-29A,BF,0</v>
      </c>
      <c r="F722" s="13"/>
      <c r="G722" s="13" t="s">
        <v>74</v>
      </c>
      <c r="H722" s="13" t="s">
        <v>75</v>
      </c>
      <c r="I722" s="13"/>
      <c r="J722" s="13"/>
      <c r="K722" s="15">
        <v>0.0</v>
      </c>
      <c r="L722" s="15">
        <v>0.0</v>
      </c>
      <c r="M722" s="16"/>
      <c r="N722" s="16"/>
      <c r="O722" s="17"/>
      <c r="P722" s="17"/>
      <c r="Q722" s="13">
        <f t="shared" si="736"/>
        <v>0</v>
      </c>
      <c r="R722" s="13"/>
      <c r="S722" s="13"/>
      <c r="T722" s="13">
        <f t="shared" ref="T722:Y722" si="757">IF(ISBLANK(K722)=TRUE,0,1)</f>
        <v>1</v>
      </c>
      <c r="U722" s="13">
        <f t="shared" si="757"/>
        <v>1</v>
      </c>
      <c r="V722" s="13">
        <f t="shared" si="757"/>
        <v>0</v>
      </c>
      <c r="W722" s="13">
        <f t="shared" si="757"/>
        <v>0</v>
      </c>
      <c r="X722" s="13">
        <f t="shared" si="757"/>
        <v>0</v>
      </c>
      <c r="Y722" s="13">
        <f t="shared" si="757"/>
        <v>0</v>
      </c>
      <c r="Z722" s="13">
        <f t="shared" si="529"/>
        <v>0</v>
      </c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</row>
    <row r="723" ht="14.25" hidden="1" customHeight="1">
      <c r="A723" s="13" t="s">
        <v>36</v>
      </c>
      <c r="B723" s="13" t="s">
        <v>39</v>
      </c>
      <c r="C723" s="13" t="s">
        <v>552</v>
      </c>
      <c r="D723" s="13" t="s">
        <v>174</v>
      </c>
      <c r="E723" s="13" t="str">
        <f t="shared" si="735"/>
        <v>LA1,201-29B,AA,0</v>
      </c>
      <c r="F723" s="13"/>
      <c r="G723" s="13" t="s">
        <v>74</v>
      </c>
      <c r="H723" s="13" t="s">
        <v>75</v>
      </c>
      <c r="I723" s="13"/>
      <c r="J723" s="13"/>
      <c r="K723" s="15">
        <v>0.0</v>
      </c>
      <c r="L723" s="15">
        <v>0.0</v>
      </c>
      <c r="M723" s="16"/>
      <c r="N723" s="16"/>
      <c r="O723" s="17"/>
      <c r="P723" s="17"/>
      <c r="Q723" s="13">
        <f t="shared" si="736"/>
        <v>0</v>
      </c>
      <c r="R723" s="13"/>
      <c r="S723" s="13"/>
      <c r="T723" s="13">
        <f t="shared" ref="T723:Y723" si="758">IF(ISBLANK(K723)=TRUE,0,1)</f>
        <v>1</v>
      </c>
      <c r="U723" s="13">
        <f t="shared" si="758"/>
        <v>1</v>
      </c>
      <c r="V723" s="13">
        <f t="shared" si="758"/>
        <v>0</v>
      </c>
      <c r="W723" s="13">
        <f t="shared" si="758"/>
        <v>0</v>
      </c>
      <c r="X723" s="13">
        <f t="shared" si="758"/>
        <v>0</v>
      </c>
      <c r="Y723" s="13">
        <f t="shared" si="758"/>
        <v>0</v>
      </c>
      <c r="Z723" s="13">
        <f t="shared" si="529"/>
        <v>0</v>
      </c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</row>
    <row r="724" ht="14.25" hidden="1" customHeight="1">
      <c r="A724" s="13" t="s">
        <v>36</v>
      </c>
      <c r="B724" s="13" t="s">
        <v>39</v>
      </c>
      <c r="C724" s="13" t="s">
        <v>552</v>
      </c>
      <c r="D724" s="13" t="s">
        <v>175</v>
      </c>
      <c r="E724" s="13" t="str">
        <f t="shared" si="735"/>
        <v>LA1,201-29B,AB,0</v>
      </c>
      <c r="F724" s="13"/>
      <c r="G724" s="13" t="s">
        <v>74</v>
      </c>
      <c r="H724" s="13" t="s">
        <v>75</v>
      </c>
      <c r="I724" s="13"/>
      <c r="J724" s="13"/>
      <c r="K724" s="15">
        <v>0.0</v>
      </c>
      <c r="L724" s="15">
        <v>0.0</v>
      </c>
      <c r="M724" s="16"/>
      <c r="N724" s="16"/>
      <c r="O724" s="17"/>
      <c r="P724" s="17"/>
      <c r="Q724" s="13">
        <f t="shared" si="736"/>
        <v>0</v>
      </c>
      <c r="R724" s="13"/>
      <c r="S724" s="13"/>
      <c r="T724" s="13">
        <f t="shared" ref="T724:Y724" si="759">IF(ISBLANK(K724)=TRUE,0,1)</f>
        <v>1</v>
      </c>
      <c r="U724" s="13">
        <f t="shared" si="759"/>
        <v>1</v>
      </c>
      <c r="V724" s="13">
        <f t="shared" si="759"/>
        <v>0</v>
      </c>
      <c r="W724" s="13">
        <f t="shared" si="759"/>
        <v>0</v>
      </c>
      <c r="X724" s="13">
        <f t="shared" si="759"/>
        <v>0</v>
      </c>
      <c r="Y724" s="13">
        <f t="shared" si="759"/>
        <v>0</v>
      </c>
      <c r="Z724" s="13">
        <f t="shared" si="529"/>
        <v>0</v>
      </c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</row>
    <row r="725" ht="14.25" hidden="1" customHeight="1">
      <c r="A725" s="13" t="s">
        <v>36</v>
      </c>
      <c r="B725" s="13" t="s">
        <v>39</v>
      </c>
      <c r="C725" s="13" t="s">
        <v>552</v>
      </c>
      <c r="D725" s="13" t="s">
        <v>176</v>
      </c>
      <c r="E725" s="13" t="str">
        <f t="shared" si="735"/>
        <v>LA1,201-29B,AC,0</v>
      </c>
      <c r="F725" s="13"/>
      <c r="G725" s="13" t="s">
        <v>74</v>
      </c>
      <c r="H725" s="13" t="s">
        <v>75</v>
      </c>
      <c r="I725" s="13"/>
      <c r="J725" s="13"/>
      <c r="K725" s="15">
        <v>0.0</v>
      </c>
      <c r="L725" s="15">
        <v>0.0</v>
      </c>
      <c r="M725" s="16"/>
      <c r="N725" s="16"/>
      <c r="O725" s="17"/>
      <c r="P725" s="17"/>
      <c r="Q725" s="13">
        <f t="shared" si="736"/>
        <v>0</v>
      </c>
      <c r="R725" s="13"/>
      <c r="S725" s="13"/>
      <c r="T725" s="13">
        <f t="shared" ref="T725:Y725" si="760">IF(ISBLANK(K725)=TRUE,0,1)</f>
        <v>1</v>
      </c>
      <c r="U725" s="13">
        <f t="shared" si="760"/>
        <v>1</v>
      </c>
      <c r="V725" s="13">
        <f t="shared" si="760"/>
        <v>0</v>
      </c>
      <c r="W725" s="13">
        <f t="shared" si="760"/>
        <v>0</v>
      </c>
      <c r="X725" s="13">
        <f t="shared" si="760"/>
        <v>0</v>
      </c>
      <c r="Y725" s="13">
        <f t="shared" si="760"/>
        <v>0</v>
      </c>
      <c r="Z725" s="13">
        <f t="shared" si="529"/>
        <v>0</v>
      </c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</row>
    <row r="726" ht="14.25" hidden="1" customHeight="1">
      <c r="A726" s="13" t="s">
        <v>36</v>
      </c>
      <c r="B726" s="13" t="s">
        <v>39</v>
      </c>
      <c r="C726" s="13" t="s">
        <v>552</v>
      </c>
      <c r="D726" s="13" t="s">
        <v>177</v>
      </c>
      <c r="E726" s="13" t="str">
        <f t="shared" si="735"/>
        <v>LA1,201-29B,AD,0</v>
      </c>
      <c r="F726" s="13"/>
      <c r="G726" s="13" t="s">
        <v>74</v>
      </c>
      <c r="H726" s="13" t="s">
        <v>75</v>
      </c>
      <c r="I726" s="13"/>
      <c r="J726" s="13"/>
      <c r="K726" s="15">
        <v>0.0</v>
      </c>
      <c r="L726" s="15">
        <v>0.0</v>
      </c>
      <c r="M726" s="16"/>
      <c r="N726" s="16"/>
      <c r="O726" s="17"/>
      <c r="P726" s="17"/>
      <c r="Q726" s="13">
        <f t="shared" si="736"/>
        <v>0</v>
      </c>
      <c r="R726" s="13"/>
      <c r="S726" s="13"/>
      <c r="T726" s="13">
        <f t="shared" ref="T726:Y726" si="761">IF(ISBLANK(K726)=TRUE,0,1)</f>
        <v>1</v>
      </c>
      <c r="U726" s="13">
        <f t="shared" si="761"/>
        <v>1</v>
      </c>
      <c r="V726" s="13">
        <f t="shared" si="761"/>
        <v>0</v>
      </c>
      <c r="W726" s="13">
        <f t="shared" si="761"/>
        <v>0</v>
      </c>
      <c r="X726" s="13">
        <f t="shared" si="761"/>
        <v>0</v>
      </c>
      <c r="Y726" s="13">
        <f t="shared" si="761"/>
        <v>0</v>
      </c>
      <c r="Z726" s="13">
        <f t="shared" si="529"/>
        <v>0</v>
      </c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</row>
    <row r="727" ht="14.25" hidden="1" customHeight="1">
      <c r="A727" s="13" t="s">
        <v>36</v>
      </c>
      <c r="B727" s="13" t="s">
        <v>39</v>
      </c>
      <c r="C727" s="13" t="s">
        <v>552</v>
      </c>
      <c r="D727" s="13" t="s">
        <v>178</v>
      </c>
      <c r="E727" s="13" t="str">
        <f t="shared" si="735"/>
        <v>LA1,201-29B,AE,0</v>
      </c>
      <c r="F727" s="13"/>
      <c r="G727" s="13" t="s">
        <v>74</v>
      </c>
      <c r="H727" s="13" t="s">
        <v>75</v>
      </c>
      <c r="I727" s="13"/>
      <c r="J727" s="13"/>
      <c r="K727" s="15">
        <v>0.0</v>
      </c>
      <c r="L727" s="15">
        <v>0.0</v>
      </c>
      <c r="M727" s="16"/>
      <c r="N727" s="16"/>
      <c r="O727" s="17"/>
      <c r="P727" s="17"/>
      <c r="Q727" s="13">
        <f t="shared" si="736"/>
        <v>0</v>
      </c>
      <c r="R727" s="13"/>
      <c r="S727" s="13"/>
      <c r="T727" s="13">
        <f t="shared" ref="T727:Y727" si="762">IF(ISBLANK(K727)=TRUE,0,1)</f>
        <v>1</v>
      </c>
      <c r="U727" s="13">
        <f t="shared" si="762"/>
        <v>1</v>
      </c>
      <c r="V727" s="13">
        <f t="shared" si="762"/>
        <v>0</v>
      </c>
      <c r="W727" s="13">
        <f t="shared" si="762"/>
        <v>0</v>
      </c>
      <c r="X727" s="13">
        <f t="shared" si="762"/>
        <v>0</v>
      </c>
      <c r="Y727" s="13">
        <f t="shared" si="762"/>
        <v>0</v>
      </c>
      <c r="Z727" s="13">
        <f t="shared" si="529"/>
        <v>0</v>
      </c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</row>
    <row r="728" ht="14.25" hidden="1" customHeight="1">
      <c r="A728" s="13" t="s">
        <v>36</v>
      </c>
      <c r="B728" s="13" t="s">
        <v>39</v>
      </c>
      <c r="C728" s="13" t="s">
        <v>552</v>
      </c>
      <c r="D728" s="13" t="s">
        <v>179</v>
      </c>
      <c r="E728" s="13" t="str">
        <f t="shared" si="735"/>
        <v>LA1,201-29B,AF,0</v>
      </c>
      <c r="F728" s="13"/>
      <c r="G728" s="13" t="s">
        <v>74</v>
      </c>
      <c r="H728" s="13" t="s">
        <v>75</v>
      </c>
      <c r="I728" s="13"/>
      <c r="J728" s="13"/>
      <c r="K728" s="15">
        <v>0.0</v>
      </c>
      <c r="L728" s="15">
        <v>0.0</v>
      </c>
      <c r="M728" s="16"/>
      <c r="N728" s="16"/>
      <c r="O728" s="17"/>
      <c r="P728" s="17"/>
      <c r="Q728" s="13">
        <f t="shared" si="736"/>
        <v>0</v>
      </c>
      <c r="R728" s="13"/>
      <c r="S728" s="13"/>
      <c r="T728" s="13">
        <f t="shared" ref="T728:Y728" si="763">IF(ISBLANK(K728)=TRUE,0,1)</f>
        <v>1</v>
      </c>
      <c r="U728" s="13">
        <f t="shared" si="763"/>
        <v>1</v>
      </c>
      <c r="V728" s="13">
        <f t="shared" si="763"/>
        <v>0</v>
      </c>
      <c r="W728" s="13">
        <f t="shared" si="763"/>
        <v>0</v>
      </c>
      <c r="X728" s="13">
        <f t="shared" si="763"/>
        <v>0</v>
      </c>
      <c r="Y728" s="13">
        <f t="shared" si="763"/>
        <v>0</v>
      </c>
      <c r="Z728" s="13">
        <f t="shared" si="529"/>
        <v>0</v>
      </c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</row>
    <row r="729" ht="14.25" hidden="1" customHeight="1">
      <c r="A729" s="13" t="s">
        <v>36</v>
      </c>
      <c r="B729" s="13" t="s">
        <v>39</v>
      </c>
      <c r="C729" s="13" t="s">
        <v>552</v>
      </c>
      <c r="D729" s="13" t="s">
        <v>180</v>
      </c>
      <c r="E729" s="13" t="str">
        <f t="shared" si="735"/>
        <v>LA1,201-29B,AG,0</v>
      </c>
      <c r="F729" s="13"/>
      <c r="G729" s="13" t="s">
        <v>74</v>
      </c>
      <c r="H729" s="13" t="s">
        <v>75</v>
      </c>
      <c r="I729" s="13"/>
      <c r="J729" s="13"/>
      <c r="K729" s="15">
        <v>0.0</v>
      </c>
      <c r="L729" s="15">
        <v>0.0</v>
      </c>
      <c r="M729" s="16"/>
      <c r="N729" s="16"/>
      <c r="O729" s="17"/>
      <c r="P729" s="17"/>
      <c r="Q729" s="13">
        <f t="shared" si="736"/>
        <v>0</v>
      </c>
      <c r="R729" s="13"/>
      <c r="S729" s="13"/>
      <c r="T729" s="13">
        <f t="shared" ref="T729:Y729" si="764">IF(ISBLANK(K729)=TRUE,0,1)</f>
        <v>1</v>
      </c>
      <c r="U729" s="13">
        <f t="shared" si="764"/>
        <v>1</v>
      </c>
      <c r="V729" s="13">
        <f t="shared" si="764"/>
        <v>0</v>
      </c>
      <c r="W729" s="13">
        <f t="shared" si="764"/>
        <v>0</v>
      </c>
      <c r="X729" s="13">
        <f t="shared" si="764"/>
        <v>0</v>
      </c>
      <c r="Y729" s="13">
        <f t="shared" si="764"/>
        <v>0</v>
      </c>
      <c r="Z729" s="13">
        <f t="shared" si="529"/>
        <v>0</v>
      </c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</row>
    <row r="730" ht="14.25" hidden="1" customHeight="1">
      <c r="A730" s="13" t="s">
        <v>36</v>
      </c>
      <c r="B730" s="13" t="s">
        <v>39</v>
      </c>
      <c r="C730" s="13" t="s">
        <v>552</v>
      </c>
      <c r="D730" s="13" t="s">
        <v>181</v>
      </c>
      <c r="E730" s="13" t="str">
        <f t="shared" si="735"/>
        <v>LA1,201-29B,AH,0</v>
      </c>
      <c r="F730" s="13"/>
      <c r="G730" s="13" t="s">
        <v>74</v>
      </c>
      <c r="H730" s="13" t="s">
        <v>75</v>
      </c>
      <c r="I730" s="13"/>
      <c r="J730" s="13"/>
      <c r="K730" s="15">
        <v>0.0</v>
      </c>
      <c r="L730" s="15">
        <v>0.0</v>
      </c>
      <c r="M730" s="16"/>
      <c r="N730" s="16"/>
      <c r="O730" s="17"/>
      <c r="P730" s="17"/>
      <c r="Q730" s="13">
        <f t="shared" si="736"/>
        <v>0</v>
      </c>
      <c r="R730" s="13"/>
      <c r="S730" s="13"/>
      <c r="T730" s="13">
        <f t="shared" ref="T730:Y730" si="765">IF(ISBLANK(K730)=TRUE,0,1)</f>
        <v>1</v>
      </c>
      <c r="U730" s="13">
        <f t="shared" si="765"/>
        <v>1</v>
      </c>
      <c r="V730" s="13">
        <f t="shared" si="765"/>
        <v>0</v>
      </c>
      <c r="W730" s="13">
        <f t="shared" si="765"/>
        <v>0</v>
      </c>
      <c r="X730" s="13">
        <f t="shared" si="765"/>
        <v>0</v>
      </c>
      <c r="Y730" s="13">
        <f t="shared" si="765"/>
        <v>0</v>
      </c>
      <c r="Z730" s="13">
        <f t="shared" si="529"/>
        <v>0</v>
      </c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</row>
    <row r="731" ht="14.25" hidden="1" customHeight="1">
      <c r="A731" s="13" t="s">
        <v>36</v>
      </c>
      <c r="B731" s="13" t="s">
        <v>39</v>
      </c>
      <c r="C731" s="13" t="s">
        <v>552</v>
      </c>
      <c r="D731" s="13" t="s">
        <v>182</v>
      </c>
      <c r="E731" s="13" t="str">
        <f t="shared" si="735"/>
        <v>LA1,201-29B,AI,0</v>
      </c>
      <c r="F731" s="13"/>
      <c r="G731" s="13" t="s">
        <v>74</v>
      </c>
      <c r="H731" s="13" t="s">
        <v>75</v>
      </c>
      <c r="I731" s="13"/>
      <c r="J731" s="13"/>
      <c r="K731" s="15">
        <v>0.0</v>
      </c>
      <c r="L731" s="15">
        <v>0.0</v>
      </c>
      <c r="M731" s="16"/>
      <c r="N731" s="16"/>
      <c r="O731" s="17"/>
      <c r="P731" s="17"/>
      <c r="Q731" s="13">
        <f t="shared" si="736"/>
        <v>0</v>
      </c>
      <c r="R731" s="13"/>
      <c r="S731" s="13"/>
      <c r="T731" s="13">
        <f t="shared" ref="T731:Y731" si="766">IF(ISBLANK(K731)=TRUE,0,1)</f>
        <v>1</v>
      </c>
      <c r="U731" s="13">
        <f t="shared" si="766"/>
        <v>1</v>
      </c>
      <c r="V731" s="13">
        <f t="shared" si="766"/>
        <v>0</v>
      </c>
      <c r="W731" s="13">
        <f t="shared" si="766"/>
        <v>0</v>
      </c>
      <c r="X731" s="13">
        <f t="shared" si="766"/>
        <v>0</v>
      </c>
      <c r="Y731" s="13">
        <f t="shared" si="766"/>
        <v>0</v>
      </c>
      <c r="Z731" s="13">
        <f t="shared" si="529"/>
        <v>0</v>
      </c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</row>
    <row r="732" ht="14.25" hidden="1" customHeight="1">
      <c r="A732" s="13" t="s">
        <v>36</v>
      </c>
      <c r="B732" s="13" t="s">
        <v>39</v>
      </c>
      <c r="C732" s="13" t="s">
        <v>552</v>
      </c>
      <c r="D732" s="13" t="s">
        <v>183</v>
      </c>
      <c r="E732" s="13" t="str">
        <f t="shared" si="735"/>
        <v>LA1,201-29B,AJ,0</v>
      </c>
      <c r="F732" s="13"/>
      <c r="G732" s="13" t="s">
        <v>74</v>
      </c>
      <c r="H732" s="13" t="s">
        <v>75</v>
      </c>
      <c r="I732" s="13"/>
      <c r="J732" s="13"/>
      <c r="K732" s="15">
        <v>0.0</v>
      </c>
      <c r="L732" s="15">
        <v>0.0</v>
      </c>
      <c r="M732" s="16"/>
      <c r="N732" s="16"/>
      <c r="O732" s="17"/>
      <c r="P732" s="17"/>
      <c r="Q732" s="13">
        <f t="shared" si="736"/>
        <v>0</v>
      </c>
      <c r="R732" s="13"/>
      <c r="S732" s="13"/>
      <c r="T732" s="13">
        <f t="shared" ref="T732:Y732" si="767">IF(ISBLANK(K732)=TRUE,0,1)</f>
        <v>1</v>
      </c>
      <c r="U732" s="13">
        <f t="shared" si="767"/>
        <v>1</v>
      </c>
      <c r="V732" s="13">
        <f t="shared" si="767"/>
        <v>0</v>
      </c>
      <c r="W732" s="13">
        <f t="shared" si="767"/>
        <v>0</v>
      </c>
      <c r="X732" s="13">
        <f t="shared" si="767"/>
        <v>0</v>
      </c>
      <c r="Y732" s="13">
        <f t="shared" si="767"/>
        <v>0</v>
      </c>
      <c r="Z732" s="13">
        <f t="shared" si="529"/>
        <v>0</v>
      </c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</row>
    <row r="733" ht="14.25" hidden="1" customHeight="1">
      <c r="A733" s="13" t="s">
        <v>36</v>
      </c>
      <c r="B733" s="13" t="s">
        <v>39</v>
      </c>
      <c r="C733" s="13" t="s">
        <v>552</v>
      </c>
      <c r="D733" s="13" t="s">
        <v>184</v>
      </c>
      <c r="E733" s="13" t="str">
        <f t="shared" si="735"/>
        <v>LA1,201-29B,AK,0</v>
      </c>
      <c r="F733" s="13"/>
      <c r="G733" s="13" t="s">
        <v>74</v>
      </c>
      <c r="H733" s="13" t="s">
        <v>75</v>
      </c>
      <c r="I733" s="13"/>
      <c r="J733" s="13"/>
      <c r="K733" s="15">
        <v>0.0</v>
      </c>
      <c r="L733" s="15">
        <v>0.0</v>
      </c>
      <c r="M733" s="16"/>
      <c r="N733" s="16"/>
      <c r="O733" s="17"/>
      <c r="P733" s="17"/>
      <c r="Q733" s="13">
        <f t="shared" si="736"/>
        <v>0</v>
      </c>
      <c r="R733" s="13"/>
      <c r="S733" s="13"/>
      <c r="T733" s="13">
        <f t="shared" ref="T733:Y733" si="768">IF(ISBLANK(K733)=TRUE,0,1)</f>
        <v>1</v>
      </c>
      <c r="U733" s="13">
        <f t="shared" si="768"/>
        <v>1</v>
      </c>
      <c r="V733" s="13">
        <f t="shared" si="768"/>
        <v>0</v>
      </c>
      <c r="W733" s="13">
        <f t="shared" si="768"/>
        <v>0</v>
      </c>
      <c r="X733" s="13">
        <f t="shared" si="768"/>
        <v>0</v>
      </c>
      <c r="Y733" s="13">
        <f t="shared" si="768"/>
        <v>0</v>
      </c>
      <c r="Z733" s="13">
        <f t="shared" si="529"/>
        <v>0</v>
      </c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</row>
    <row r="734" ht="14.25" hidden="1" customHeight="1">
      <c r="A734" s="13" t="s">
        <v>36</v>
      </c>
      <c r="B734" s="13" t="s">
        <v>39</v>
      </c>
      <c r="C734" s="13" t="s">
        <v>552</v>
      </c>
      <c r="D734" s="13" t="s">
        <v>185</v>
      </c>
      <c r="E734" s="13" t="str">
        <f t="shared" si="735"/>
        <v>LA1,201-29B,AL,0</v>
      </c>
      <c r="F734" s="13"/>
      <c r="G734" s="13" t="s">
        <v>74</v>
      </c>
      <c r="H734" s="13" t="s">
        <v>75</v>
      </c>
      <c r="I734" s="13"/>
      <c r="J734" s="13"/>
      <c r="K734" s="15">
        <v>0.0</v>
      </c>
      <c r="L734" s="15">
        <v>0.0</v>
      </c>
      <c r="M734" s="16"/>
      <c r="N734" s="16"/>
      <c r="O734" s="17"/>
      <c r="P734" s="17"/>
      <c r="Q734" s="13">
        <f t="shared" si="736"/>
        <v>0</v>
      </c>
      <c r="R734" s="13"/>
      <c r="S734" s="13"/>
      <c r="T734" s="13">
        <f t="shared" ref="T734:Y734" si="769">IF(ISBLANK(K734)=TRUE,0,1)</f>
        <v>1</v>
      </c>
      <c r="U734" s="13">
        <f t="shared" si="769"/>
        <v>1</v>
      </c>
      <c r="V734" s="13">
        <f t="shared" si="769"/>
        <v>0</v>
      </c>
      <c r="W734" s="13">
        <f t="shared" si="769"/>
        <v>0</v>
      </c>
      <c r="X734" s="13">
        <f t="shared" si="769"/>
        <v>0</v>
      </c>
      <c r="Y734" s="13">
        <f t="shared" si="769"/>
        <v>0</v>
      </c>
      <c r="Z734" s="13">
        <f t="shared" si="529"/>
        <v>0</v>
      </c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</row>
    <row r="735" ht="14.25" hidden="1" customHeight="1">
      <c r="A735" s="13" t="s">
        <v>36</v>
      </c>
      <c r="B735" s="13" t="s">
        <v>39</v>
      </c>
      <c r="C735" s="13" t="s">
        <v>552</v>
      </c>
      <c r="D735" s="13" t="s">
        <v>186</v>
      </c>
      <c r="E735" s="13" t="str">
        <f t="shared" si="735"/>
        <v>LA1,201-29B,AM,0</v>
      </c>
      <c r="F735" s="13"/>
      <c r="G735" s="13" t="s">
        <v>74</v>
      </c>
      <c r="H735" s="13" t="s">
        <v>75</v>
      </c>
      <c r="I735" s="13"/>
      <c r="J735" s="13"/>
      <c r="K735" s="15">
        <v>0.0</v>
      </c>
      <c r="L735" s="15">
        <v>0.0</v>
      </c>
      <c r="M735" s="16"/>
      <c r="N735" s="16"/>
      <c r="O735" s="17"/>
      <c r="P735" s="17"/>
      <c r="Q735" s="13">
        <f t="shared" si="736"/>
        <v>0</v>
      </c>
      <c r="R735" s="13"/>
      <c r="S735" s="13"/>
      <c r="T735" s="13">
        <f t="shared" ref="T735:Y735" si="770">IF(ISBLANK(K735)=TRUE,0,1)</f>
        <v>1</v>
      </c>
      <c r="U735" s="13">
        <f t="shared" si="770"/>
        <v>1</v>
      </c>
      <c r="V735" s="13">
        <f t="shared" si="770"/>
        <v>0</v>
      </c>
      <c r="W735" s="13">
        <f t="shared" si="770"/>
        <v>0</v>
      </c>
      <c r="X735" s="13">
        <f t="shared" si="770"/>
        <v>0</v>
      </c>
      <c r="Y735" s="13">
        <f t="shared" si="770"/>
        <v>0</v>
      </c>
      <c r="Z735" s="13">
        <f t="shared" si="529"/>
        <v>0</v>
      </c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</row>
    <row r="736" ht="14.25" hidden="1" customHeight="1">
      <c r="A736" s="13" t="s">
        <v>36</v>
      </c>
      <c r="B736" s="13" t="s">
        <v>39</v>
      </c>
      <c r="C736" s="13" t="s">
        <v>552</v>
      </c>
      <c r="D736" s="13" t="s">
        <v>187</v>
      </c>
      <c r="E736" s="13" t="str">
        <f t="shared" si="735"/>
        <v>LA1,201-29B,AN,0</v>
      </c>
      <c r="F736" s="13"/>
      <c r="G736" s="13" t="s">
        <v>74</v>
      </c>
      <c r="H736" s="13" t="s">
        <v>75</v>
      </c>
      <c r="I736" s="13"/>
      <c r="J736" s="13"/>
      <c r="K736" s="15">
        <v>0.0</v>
      </c>
      <c r="L736" s="15">
        <v>0.0</v>
      </c>
      <c r="M736" s="16"/>
      <c r="N736" s="16"/>
      <c r="O736" s="17"/>
      <c r="P736" s="17"/>
      <c r="Q736" s="13">
        <f t="shared" si="736"/>
        <v>0</v>
      </c>
      <c r="R736" s="13"/>
      <c r="S736" s="13"/>
      <c r="T736" s="13">
        <f t="shared" ref="T736:Y736" si="771">IF(ISBLANK(K736)=TRUE,0,1)</f>
        <v>1</v>
      </c>
      <c r="U736" s="13">
        <f t="shared" si="771"/>
        <v>1</v>
      </c>
      <c r="V736" s="13">
        <f t="shared" si="771"/>
        <v>0</v>
      </c>
      <c r="W736" s="13">
        <f t="shared" si="771"/>
        <v>0</v>
      </c>
      <c r="X736" s="13">
        <f t="shared" si="771"/>
        <v>0</v>
      </c>
      <c r="Y736" s="13">
        <f t="shared" si="771"/>
        <v>0</v>
      </c>
      <c r="Z736" s="13">
        <f t="shared" si="529"/>
        <v>0</v>
      </c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</row>
    <row r="737" ht="14.25" hidden="1" customHeight="1">
      <c r="A737" s="13" t="s">
        <v>36</v>
      </c>
      <c r="B737" s="13" t="s">
        <v>39</v>
      </c>
      <c r="C737" s="13" t="s">
        <v>552</v>
      </c>
      <c r="D737" s="13" t="s">
        <v>188</v>
      </c>
      <c r="E737" s="13" t="str">
        <f t="shared" si="735"/>
        <v>LA1,201-29B,AO,0</v>
      </c>
      <c r="F737" s="13"/>
      <c r="G737" s="13" t="s">
        <v>74</v>
      </c>
      <c r="H737" s="13" t="s">
        <v>75</v>
      </c>
      <c r="I737" s="13"/>
      <c r="J737" s="13"/>
      <c r="K737" s="15">
        <v>0.0</v>
      </c>
      <c r="L737" s="15">
        <v>0.0</v>
      </c>
      <c r="M737" s="16"/>
      <c r="N737" s="16"/>
      <c r="O737" s="17"/>
      <c r="P737" s="17"/>
      <c r="Q737" s="13">
        <f t="shared" si="736"/>
        <v>0</v>
      </c>
      <c r="R737" s="13"/>
      <c r="S737" s="13"/>
      <c r="T737" s="13">
        <f t="shared" ref="T737:Y737" si="772">IF(ISBLANK(K737)=TRUE,0,1)</f>
        <v>1</v>
      </c>
      <c r="U737" s="13">
        <f t="shared" si="772"/>
        <v>1</v>
      </c>
      <c r="V737" s="13">
        <f t="shared" si="772"/>
        <v>0</v>
      </c>
      <c r="W737" s="13">
        <f t="shared" si="772"/>
        <v>0</v>
      </c>
      <c r="X737" s="13">
        <f t="shared" si="772"/>
        <v>0</v>
      </c>
      <c r="Y737" s="13">
        <f t="shared" si="772"/>
        <v>0</v>
      </c>
      <c r="Z737" s="13">
        <f t="shared" si="529"/>
        <v>0</v>
      </c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</row>
    <row r="738" ht="14.25" hidden="1" customHeight="1">
      <c r="A738" s="13" t="s">
        <v>36</v>
      </c>
      <c r="B738" s="13" t="s">
        <v>39</v>
      </c>
      <c r="C738" s="13" t="s">
        <v>552</v>
      </c>
      <c r="D738" s="13" t="s">
        <v>189</v>
      </c>
      <c r="E738" s="13" t="str">
        <f t="shared" si="735"/>
        <v>LA1,201-29B,AP,0</v>
      </c>
      <c r="F738" s="13"/>
      <c r="G738" s="13" t="s">
        <v>74</v>
      </c>
      <c r="H738" s="13" t="s">
        <v>75</v>
      </c>
      <c r="I738" s="13"/>
      <c r="J738" s="13"/>
      <c r="K738" s="15">
        <v>0.0</v>
      </c>
      <c r="L738" s="15">
        <v>0.0</v>
      </c>
      <c r="M738" s="16"/>
      <c r="N738" s="16"/>
      <c r="O738" s="17"/>
      <c r="P738" s="17"/>
      <c r="Q738" s="13">
        <f t="shared" si="736"/>
        <v>0</v>
      </c>
      <c r="R738" s="13"/>
      <c r="S738" s="13"/>
      <c r="T738" s="13">
        <f t="shared" ref="T738:Y738" si="773">IF(ISBLANK(K738)=TRUE,0,1)</f>
        <v>1</v>
      </c>
      <c r="U738" s="13">
        <f t="shared" si="773"/>
        <v>1</v>
      </c>
      <c r="V738" s="13">
        <f t="shared" si="773"/>
        <v>0</v>
      </c>
      <c r="W738" s="13">
        <f t="shared" si="773"/>
        <v>0</v>
      </c>
      <c r="X738" s="13">
        <f t="shared" si="773"/>
        <v>0</v>
      </c>
      <c r="Y738" s="13">
        <f t="shared" si="773"/>
        <v>0</v>
      </c>
      <c r="Z738" s="13">
        <f t="shared" si="529"/>
        <v>0</v>
      </c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</row>
    <row r="739" ht="14.25" hidden="1" customHeight="1">
      <c r="A739" s="13" t="s">
        <v>36</v>
      </c>
      <c r="B739" s="13" t="s">
        <v>39</v>
      </c>
      <c r="C739" s="13" t="s">
        <v>552</v>
      </c>
      <c r="D739" s="13" t="s">
        <v>190</v>
      </c>
      <c r="E739" s="13" t="str">
        <f t="shared" si="735"/>
        <v>LA1,201-29B,AQ,0</v>
      </c>
      <c r="F739" s="13"/>
      <c r="G739" s="13" t="s">
        <v>74</v>
      </c>
      <c r="H739" s="13" t="s">
        <v>75</v>
      </c>
      <c r="I739" s="13"/>
      <c r="J739" s="13"/>
      <c r="K739" s="15">
        <v>0.0</v>
      </c>
      <c r="L739" s="15">
        <v>0.0</v>
      </c>
      <c r="M739" s="16"/>
      <c r="N739" s="16"/>
      <c r="O739" s="17"/>
      <c r="P739" s="17"/>
      <c r="Q739" s="13">
        <f t="shared" si="736"/>
        <v>0</v>
      </c>
      <c r="R739" s="13"/>
      <c r="S739" s="13"/>
      <c r="T739" s="13">
        <f t="shared" ref="T739:Y739" si="774">IF(ISBLANK(K739)=TRUE,0,1)</f>
        <v>1</v>
      </c>
      <c r="U739" s="13">
        <f t="shared" si="774"/>
        <v>1</v>
      </c>
      <c r="V739" s="13">
        <f t="shared" si="774"/>
        <v>0</v>
      </c>
      <c r="W739" s="13">
        <f t="shared" si="774"/>
        <v>0</v>
      </c>
      <c r="X739" s="13">
        <f t="shared" si="774"/>
        <v>0</v>
      </c>
      <c r="Y739" s="13">
        <f t="shared" si="774"/>
        <v>0</v>
      </c>
      <c r="Z739" s="13">
        <f t="shared" si="529"/>
        <v>0</v>
      </c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</row>
    <row r="740" ht="14.25" hidden="1" customHeight="1">
      <c r="A740" s="13" t="s">
        <v>36</v>
      </c>
      <c r="B740" s="13" t="s">
        <v>39</v>
      </c>
      <c r="C740" s="13" t="s">
        <v>552</v>
      </c>
      <c r="D740" s="13" t="s">
        <v>191</v>
      </c>
      <c r="E740" s="13" t="str">
        <f t="shared" si="735"/>
        <v>LA1,201-29B,AR,0</v>
      </c>
      <c r="F740" s="13"/>
      <c r="G740" s="13" t="s">
        <v>74</v>
      </c>
      <c r="H740" s="13" t="s">
        <v>75</v>
      </c>
      <c r="I740" s="13"/>
      <c r="J740" s="13"/>
      <c r="K740" s="15">
        <v>0.0</v>
      </c>
      <c r="L740" s="15">
        <v>0.0</v>
      </c>
      <c r="M740" s="16"/>
      <c r="N740" s="16"/>
      <c r="O740" s="17"/>
      <c r="P740" s="17"/>
      <c r="Q740" s="13">
        <f t="shared" si="736"/>
        <v>0</v>
      </c>
      <c r="R740" s="13"/>
      <c r="S740" s="13"/>
      <c r="T740" s="13">
        <f t="shared" ref="T740:Y740" si="775">IF(ISBLANK(K740)=TRUE,0,1)</f>
        <v>1</v>
      </c>
      <c r="U740" s="13">
        <f t="shared" si="775"/>
        <v>1</v>
      </c>
      <c r="V740" s="13">
        <f t="shared" si="775"/>
        <v>0</v>
      </c>
      <c r="W740" s="13">
        <f t="shared" si="775"/>
        <v>0</v>
      </c>
      <c r="X740" s="13">
        <f t="shared" si="775"/>
        <v>0</v>
      </c>
      <c r="Y740" s="13">
        <f t="shared" si="775"/>
        <v>0</v>
      </c>
      <c r="Z740" s="13">
        <f t="shared" si="529"/>
        <v>0</v>
      </c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</row>
    <row r="741" ht="14.25" hidden="1" customHeight="1">
      <c r="A741" s="13" t="s">
        <v>36</v>
      </c>
      <c r="B741" s="13" t="s">
        <v>39</v>
      </c>
      <c r="C741" s="13" t="s">
        <v>552</v>
      </c>
      <c r="D741" s="13" t="s">
        <v>192</v>
      </c>
      <c r="E741" s="13" t="str">
        <f t="shared" si="735"/>
        <v>LA1,201-29B,AS,0</v>
      </c>
      <c r="F741" s="13"/>
      <c r="G741" s="13" t="s">
        <v>74</v>
      </c>
      <c r="H741" s="13" t="s">
        <v>75</v>
      </c>
      <c r="I741" s="13"/>
      <c r="J741" s="13"/>
      <c r="K741" s="15">
        <v>0.0</v>
      </c>
      <c r="L741" s="15">
        <v>0.0</v>
      </c>
      <c r="M741" s="16"/>
      <c r="N741" s="16"/>
      <c r="O741" s="17"/>
      <c r="P741" s="17"/>
      <c r="Q741" s="13">
        <f t="shared" si="736"/>
        <v>0</v>
      </c>
      <c r="R741" s="13"/>
      <c r="S741" s="13"/>
      <c r="T741" s="13">
        <f t="shared" ref="T741:Y741" si="776">IF(ISBLANK(K741)=TRUE,0,1)</f>
        <v>1</v>
      </c>
      <c r="U741" s="13">
        <f t="shared" si="776"/>
        <v>1</v>
      </c>
      <c r="V741" s="13">
        <f t="shared" si="776"/>
        <v>0</v>
      </c>
      <c r="W741" s="13">
        <f t="shared" si="776"/>
        <v>0</v>
      </c>
      <c r="X741" s="13">
        <f t="shared" si="776"/>
        <v>0</v>
      </c>
      <c r="Y741" s="13">
        <f t="shared" si="776"/>
        <v>0</v>
      </c>
      <c r="Z741" s="13">
        <f t="shared" si="529"/>
        <v>0</v>
      </c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</row>
    <row r="742" ht="14.25" hidden="1" customHeight="1">
      <c r="A742" s="13" t="s">
        <v>36</v>
      </c>
      <c r="B742" s="13" t="s">
        <v>39</v>
      </c>
      <c r="C742" s="13" t="s">
        <v>552</v>
      </c>
      <c r="D742" s="13" t="s">
        <v>193</v>
      </c>
      <c r="E742" s="13" t="str">
        <f t="shared" si="735"/>
        <v>LA1,201-29B,AT,0</v>
      </c>
      <c r="F742" s="13"/>
      <c r="G742" s="13" t="s">
        <v>74</v>
      </c>
      <c r="H742" s="13" t="s">
        <v>75</v>
      </c>
      <c r="I742" s="13"/>
      <c r="J742" s="13"/>
      <c r="K742" s="15">
        <v>0.0</v>
      </c>
      <c r="L742" s="15">
        <v>0.0</v>
      </c>
      <c r="M742" s="16"/>
      <c r="N742" s="16"/>
      <c r="O742" s="17"/>
      <c r="P742" s="17"/>
      <c r="Q742" s="13">
        <f t="shared" si="736"/>
        <v>0</v>
      </c>
      <c r="R742" s="13"/>
      <c r="S742" s="13"/>
      <c r="T742" s="13">
        <f t="shared" ref="T742:Y742" si="777">IF(ISBLANK(K742)=TRUE,0,1)</f>
        <v>1</v>
      </c>
      <c r="U742" s="13">
        <f t="shared" si="777"/>
        <v>1</v>
      </c>
      <c r="V742" s="13">
        <f t="shared" si="777"/>
        <v>0</v>
      </c>
      <c r="W742" s="13">
        <f t="shared" si="777"/>
        <v>0</v>
      </c>
      <c r="X742" s="13">
        <f t="shared" si="777"/>
        <v>0</v>
      </c>
      <c r="Y742" s="13">
        <f t="shared" si="777"/>
        <v>0</v>
      </c>
      <c r="Z742" s="13">
        <f t="shared" si="529"/>
        <v>0</v>
      </c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</row>
    <row r="743" ht="14.25" hidden="1" customHeight="1">
      <c r="A743" s="13" t="s">
        <v>36</v>
      </c>
      <c r="B743" s="13" t="s">
        <v>39</v>
      </c>
      <c r="C743" s="13" t="s">
        <v>552</v>
      </c>
      <c r="D743" s="13" t="s">
        <v>194</v>
      </c>
      <c r="E743" s="13" t="str">
        <f t="shared" si="735"/>
        <v>LA1,201-29B,AU,0</v>
      </c>
      <c r="F743" s="13"/>
      <c r="G743" s="13" t="s">
        <v>74</v>
      </c>
      <c r="H743" s="13" t="s">
        <v>75</v>
      </c>
      <c r="I743" s="13"/>
      <c r="J743" s="13"/>
      <c r="K743" s="15">
        <v>0.0</v>
      </c>
      <c r="L743" s="15">
        <v>0.0</v>
      </c>
      <c r="M743" s="16"/>
      <c r="N743" s="16"/>
      <c r="O743" s="17"/>
      <c r="P743" s="17"/>
      <c r="Q743" s="13">
        <f t="shared" si="736"/>
        <v>0</v>
      </c>
      <c r="R743" s="13"/>
      <c r="S743" s="13"/>
      <c r="T743" s="13">
        <f t="shared" ref="T743:Y743" si="778">IF(ISBLANK(K743)=TRUE,0,1)</f>
        <v>1</v>
      </c>
      <c r="U743" s="13">
        <f t="shared" si="778"/>
        <v>1</v>
      </c>
      <c r="V743" s="13">
        <f t="shared" si="778"/>
        <v>0</v>
      </c>
      <c r="W743" s="13">
        <f t="shared" si="778"/>
        <v>0</v>
      </c>
      <c r="X743" s="13">
        <f t="shared" si="778"/>
        <v>0</v>
      </c>
      <c r="Y743" s="13">
        <f t="shared" si="778"/>
        <v>0</v>
      </c>
      <c r="Z743" s="13">
        <f t="shared" si="529"/>
        <v>0</v>
      </c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</row>
    <row r="744" ht="14.25" hidden="1" customHeight="1">
      <c r="A744" s="13" t="s">
        <v>36</v>
      </c>
      <c r="B744" s="13" t="s">
        <v>39</v>
      </c>
      <c r="C744" s="13" t="s">
        <v>552</v>
      </c>
      <c r="D744" s="13" t="s">
        <v>195</v>
      </c>
      <c r="E744" s="13" t="str">
        <f t="shared" si="735"/>
        <v>LA1,201-29B,AV,0</v>
      </c>
      <c r="F744" s="13"/>
      <c r="G744" s="13" t="s">
        <v>74</v>
      </c>
      <c r="H744" s="13" t="s">
        <v>75</v>
      </c>
      <c r="I744" s="13"/>
      <c r="J744" s="13"/>
      <c r="K744" s="15">
        <v>0.0</v>
      </c>
      <c r="L744" s="15">
        <v>0.0</v>
      </c>
      <c r="M744" s="16"/>
      <c r="N744" s="16"/>
      <c r="O744" s="17"/>
      <c r="P744" s="17"/>
      <c r="Q744" s="13">
        <f t="shared" si="736"/>
        <v>0</v>
      </c>
      <c r="R744" s="13"/>
      <c r="S744" s="13"/>
      <c r="T744" s="13">
        <f t="shared" ref="T744:Y744" si="779">IF(ISBLANK(K744)=TRUE,0,1)</f>
        <v>1</v>
      </c>
      <c r="U744" s="13">
        <f t="shared" si="779"/>
        <v>1</v>
      </c>
      <c r="V744" s="13">
        <f t="shared" si="779"/>
        <v>0</v>
      </c>
      <c r="W744" s="13">
        <f t="shared" si="779"/>
        <v>0</v>
      </c>
      <c r="X744" s="13">
        <f t="shared" si="779"/>
        <v>0</v>
      </c>
      <c r="Y744" s="13">
        <f t="shared" si="779"/>
        <v>0</v>
      </c>
      <c r="Z744" s="13">
        <f t="shared" si="529"/>
        <v>0</v>
      </c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</row>
    <row r="745" ht="14.25" hidden="1" customHeight="1">
      <c r="A745" s="13" t="s">
        <v>36</v>
      </c>
      <c r="B745" s="13" t="s">
        <v>39</v>
      </c>
      <c r="C745" s="13" t="s">
        <v>552</v>
      </c>
      <c r="D745" s="13" t="s">
        <v>196</v>
      </c>
      <c r="E745" s="13" t="str">
        <f t="shared" si="735"/>
        <v>LA1,201-29B,AW,0</v>
      </c>
      <c r="F745" s="13"/>
      <c r="G745" s="13" t="s">
        <v>74</v>
      </c>
      <c r="H745" s="13" t="s">
        <v>75</v>
      </c>
      <c r="I745" s="13"/>
      <c r="J745" s="13"/>
      <c r="K745" s="15">
        <v>0.0</v>
      </c>
      <c r="L745" s="15">
        <v>0.0</v>
      </c>
      <c r="M745" s="16"/>
      <c r="N745" s="16"/>
      <c r="O745" s="17"/>
      <c r="P745" s="17"/>
      <c r="Q745" s="13">
        <f t="shared" si="736"/>
        <v>0</v>
      </c>
      <c r="R745" s="13"/>
      <c r="S745" s="13"/>
      <c r="T745" s="13">
        <f t="shared" ref="T745:Y745" si="780">IF(ISBLANK(K745)=TRUE,0,1)</f>
        <v>1</v>
      </c>
      <c r="U745" s="13">
        <f t="shared" si="780"/>
        <v>1</v>
      </c>
      <c r="V745" s="13">
        <f t="shared" si="780"/>
        <v>0</v>
      </c>
      <c r="W745" s="13">
        <f t="shared" si="780"/>
        <v>0</v>
      </c>
      <c r="X745" s="13">
        <f t="shared" si="780"/>
        <v>0</v>
      </c>
      <c r="Y745" s="13">
        <f t="shared" si="780"/>
        <v>0</v>
      </c>
      <c r="Z745" s="13">
        <f t="shared" si="529"/>
        <v>0</v>
      </c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</row>
    <row r="746" ht="14.25" hidden="1" customHeight="1">
      <c r="A746" s="13" t="s">
        <v>36</v>
      </c>
      <c r="B746" s="13" t="s">
        <v>39</v>
      </c>
      <c r="C746" s="13" t="s">
        <v>552</v>
      </c>
      <c r="D746" s="13" t="s">
        <v>197</v>
      </c>
      <c r="E746" s="13" t="str">
        <f t="shared" si="735"/>
        <v>LA1,201-29B,AX,0</v>
      </c>
      <c r="F746" s="13"/>
      <c r="G746" s="13" t="s">
        <v>74</v>
      </c>
      <c r="H746" s="13" t="s">
        <v>75</v>
      </c>
      <c r="I746" s="13"/>
      <c r="J746" s="13"/>
      <c r="K746" s="15">
        <v>0.0</v>
      </c>
      <c r="L746" s="15">
        <v>0.0</v>
      </c>
      <c r="M746" s="16"/>
      <c r="N746" s="16"/>
      <c r="O746" s="17"/>
      <c r="P746" s="17"/>
      <c r="Q746" s="13">
        <f t="shared" si="736"/>
        <v>0</v>
      </c>
      <c r="R746" s="13"/>
      <c r="S746" s="13"/>
      <c r="T746" s="13">
        <f t="shared" ref="T746:Y746" si="781">IF(ISBLANK(K746)=TRUE,0,1)</f>
        <v>1</v>
      </c>
      <c r="U746" s="13">
        <f t="shared" si="781"/>
        <v>1</v>
      </c>
      <c r="V746" s="13">
        <f t="shared" si="781"/>
        <v>0</v>
      </c>
      <c r="W746" s="13">
        <f t="shared" si="781"/>
        <v>0</v>
      </c>
      <c r="X746" s="13">
        <f t="shared" si="781"/>
        <v>0</v>
      </c>
      <c r="Y746" s="13">
        <f t="shared" si="781"/>
        <v>0</v>
      </c>
      <c r="Z746" s="13">
        <f t="shared" si="529"/>
        <v>0</v>
      </c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</row>
    <row r="747" ht="14.25" hidden="1" customHeight="1">
      <c r="A747" s="13" t="s">
        <v>36</v>
      </c>
      <c r="B747" s="13" t="s">
        <v>39</v>
      </c>
      <c r="C747" s="13" t="s">
        <v>552</v>
      </c>
      <c r="D747" s="13" t="s">
        <v>433</v>
      </c>
      <c r="E747" s="13" t="str">
        <f t="shared" si="735"/>
        <v>LA1,201-29B,AY,0</v>
      </c>
      <c r="F747" s="13"/>
      <c r="G747" s="13" t="s">
        <v>74</v>
      </c>
      <c r="H747" s="13" t="s">
        <v>75</v>
      </c>
      <c r="I747" s="13"/>
      <c r="J747" s="13"/>
      <c r="K747" s="15">
        <v>0.0</v>
      </c>
      <c r="L747" s="15">
        <v>0.0</v>
      </c>
      <c r="M747" s="16"/>
      <c r="N747" s="16"/>
      <c r="O747" s="17"/>
      <c r="P747" s="17"/>
      <c r="Q747" s="13">
        <f t="shared" si="736"/>
        <v>0</v>
      </c>
      <c r="R747" s="13"/>
      <c r="S747" s="13"/>
      <c r="T747" s="13">
        <f t="shared" ref="T747:Y747" si="782">IF(ISBLANK(K747)=TRUE,0,1)</f>
        <v>1</v>
      </c>
      <c r="U747" s="13">
        <f t="shared" si="782"/>
        <v>1</v>
      </c>
      <c r="V747" s="13">
        <f t="shared" si="782"/>
        <v>0</v>
      </c>
      <c r="W747" s="13">
        <f t="shared" si="782"/>
        <v>0</v>
      </c>
      <c r="X747" s="13">
        <f t="shared" si="782"/>
        <v>0</v>
      </c>
      <c r="Y747" s="13">
        <f t="shared" si="782"/>
        <v>0</v>
      </c>
      <c r="Z747" s="13">
        <f t="shared" si="529"/>
        <v>0</v>
      </c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</row>
    <row r="748" ht="14.25" hidden="1" customHeight="1">
      <c r="A748" s="13" t="s">
        <v>36</v>
      </c>
      <c r="B748" s="13" t="s">
        <v>39</v>
      </c>
      <c r="C748" s="13" t="s">
        <v>552</v>
      </c>
      <c r="D748" s="13" t="s">
        <v>434</v>
      </c>
      <c r="E748" s="13" t="str">
        <f t="shared" si="735"/>
        <v>LA1,201-29B,AZ,0</v>
      </c>
      <c r="F748" s="13"/>
      <c r="G748" s="13" t="s">
        <v>74</v>
      </c>
      <c r="H748" s="13" t="s">
        <v>75</v>
      </c>
      <c r="I748" s="13"/>
      <c r="J748" s="13"/>
      <c r="K748" s="15">
        <v>0.0</v>
      </c>
      <c r="L748" s="15">
        <v>0.0</v>
      </c>
      <c r="M748" s="16"/>
      <c r="N748" s="16"/>
      <c r="O748" s="17"/>
      <c r="P748" s="17"/>
      <c r="Q748" s="13">
        <f t="shared" si="736"/>
        <v>0</v>
      </c>
      <c r="R748" s="13"/>
      <c r="S748" s="13"/>
      <c r="T748" s="13">
        <f t="shared" ref="T748:Y748" si="783">IF(ISBLANK(K748)=TRUE,0,1)</f>
        <v>1</v>
      </c>
      <c r="U748" s="13">
        <f t="shared" si="783"/>
        <v>1</v>
      </c>
      <c r="V748" s="13">
        <f t="shared" si="783"/>
        <v>0</v>
      </c>
      <c r="W748" s="13">
        <f t="shared" si="783"/>
        <v>0</v>
      </c>
      <c r="X748" s="13">
        <f t="shared" si="783"/>
        <v>0</v>
      </c>
      <c r="Y748" s="13">
        <f t="shared" si="783"/>
        <v>0</v>
      </c>
      <c r="Z748" s="13">
        <f t="shared" si="529"/>
        <v>0</v>
      </c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</row>
    <row r="749" ht="14.25" hidden="1" customHeight="1">
      <c r="A749" s="13" t="s">
        <v>36</v>
      </c>
      <c r="B749" s="13" t="s">
        <v>39</v>
      </c>
      <c r="C749" s="13" t="s">
        <v>552</v>
      </c>
      <c r="D749" s="13" t="s">
        <v>435</v>
      </c>
      <c r="E749" s="13" t="str">
        <f t="shared" si="735"/>
        <v>LA1,201-29B,BA,0</v>
      </c>
      <c r="F749" s="13"/>
      <c r="G749" s="13" t="s">
        <v>74</v>
      </c>
      <c r="H749" s="13" t="s">
        <v>75</v>
      </c>
      <c r="I749" s="13"/>
      <c r="J749" s="13"/>
      <c r="K749" s="15">
        <v>0.0</v>
      </c>
      <c r="L749" s="15">
        <v>0.0</v>
      </c>
      <c r="M749" s="16"/>
      <c r="N749" s="16"/>
      <c r="O749" s="17"/>
      <c r="P749" s="17"/>
      <c r="Q749" s="13">
        <f t="shared" si="736"/>
        <v>0</v>
      </c>
      <c r="R749" s="13"/>
      <c r="S749" s="13"/>
      <c r="T749" s="13">
        <f t="shared" ref="T749:Y749" si="784">IF(ISBLANK(K749)=TRUE,0,1)</f>
        <v>1</v>
      </c>
      <c r="U749" s="13">
        <f t="shared" si="784"/>
        <v>1</v>
      </c>
      <c r="V749" s="13">
        <f t="shared" si="784"/>
        <v>0</v>
      </c>
      <c r="W749" s="13">
        <f t="shared" si="784"/>
        <v>0</v>
      </c>
      <c r="X749" s="13">
        <f t="shared" si="784"/>
        <v>0</v>
      </c>
      <c r="Y749" s="13">
        <f t="shared" si="784"/>
        <v>0</v>
      </c>
      <c r="Z749" s="13">
        <f t="shared" si="529"/>
        <v>0</v>
      </c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</row>
    <row r="750" ht="14.25" hidden="1" customHeight="1">
      <c r="A750" s="13" t="s">
        <v>36</v>
      </c>
      <c r="B750" s="13" t="s">
        <v>39</v>
      </c>
      <c r="C750" s="13" t="s">
        <v>552</v>
      </c>
      <c r="D750" s="13" t="s">
        <v>436</v>
      </c>
      <c r="E750" s="13" t="str">
        <f t="shared" si="735"/>
        <v>LA1,201-29B,BB,0</v>
      </c>
      <c r="F750" s="13"/>
      <c r="G750" s="13" t="s">
        <v>74</v>
      </c>
      <c r="H750" s="13" t="s">
        <v>75</v>
      </c>
      <c r="I750" s="13"/>
      <c r="J750" s="13"/>
      <c r="K750" s="15">
        <v>0.0</v>
      </c>
      <c r="L750" s="15">
        <v>0.0</v>
      </c>
      <c r="M750" s="16"/>
      <c r="N750" s="16"/>
      <c r="O750" s="17"/>
      <c r="P750" s="17"/>
      <c r="Q750" s="13">
        <f t="shared" si="736"/>
        <v>0</v>
      </c>
      <c r="R750" s="13"/>
      <c r="S750" s="13"/>
      <c r="T750" s="13">
        <f t="shared" ref="T750:Y750" si="785">IF(ISBLANK(K750)=TRUE,0,1)</f>
        <v>1</v>
      </c>
      <c r="U750" s="13">
        <f t="shared" si="785"/>
        <v>1</v>
      </c>
      <c r="V750" s="13">
        <f t="shared" si="785"/>
        <v>0</v>
      </c>
      <c r="W750" s="13">
        <f t="shared" si="785"/>
        <v>0</v>
      </c>
      <c r="X750" s="13">
        <f t="shared" si="785"/>
        <v>0</v>
      </c>
      <c r="Y750" s="13">
        <f t="shared" si="785"/>
        <v>0</v>
      </c>
      <c r="Z750" s="13">
        <f t="shared" si="529"/>
        <v>0</v>
      </c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</row>
    <row r="751" ht="14.25" hidden="1" customHeight="1">
      <c r="A751" s="13" t="s">
        <v>36</v>
      </c>
      <c r="B751" s="13" t="s">
        <v>39</v>
      </c>
      <c r="C751" s="13" t="s">
        <v>552</v>
      </c>
      <c r="D751" s="13" t="s">
        <v>437</v>
      </c>
      <c r="E751" s="13" t="str">
        <f t="shared" si="735"/>
        <v>LA1,201-29B,BC,0</v>
      </c>
      <c r="F751" s="13"/>
      <c r="G751" s="13" t="s">
        <v>74</v>
      </c>
      <c r="H751" s="13" t="s">
        <v>75</v>
      </c>
      <c r="I751" s="13"/>
      <c r="J751" s="13"/>
      <c r="K751" s="15">
        <v>0.0</v>
      </c>
      <c r="L751" s="15">
        <v>0.0</v>
      </c>
      <c r="M751" s="16"/>
      <c r="N751" s="16"/>
      <c r="O751" s="17"/>
      <c r="P751" s="17"/>
      <c r="Q751" s="13">
        <f t="shared" si="736"/>
        <v>0</v>
      </c>
      <c r="R751" s="13"/>
      <c r="S751" s="13"/>
      <c r="T751" s="13">
        <f t="shared" ref="T751:Y751" si="786">IF(ISBLANK(K751)=TRUE,0,1)</f>
        <v>1</v>
      </c>
      <c r="U751" s="13">
        <f t="shared" si="786"/>
        <v>1</v>
      </c>
      <c r="V751" s="13">
        <f t="shared" si="786"/>
        <v>0</v>
      </c>
      <c r="W751" s="13">
        <f t="shared" si="786"/>
        <v>0</v>
      </c>
      <c r="X751" s="13">
        <f t="shared" si="786"/>
        <v>0</v>
      </c>
      <c r="Y751" s="13">
        <f t="shared" si="786"/>
        <v>0</v>
      </c>
      <c r="Z751" s="13">
        <f t="shared" si="529"/>
        <v>0</v>
      </c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</row>
    <row r="752" ht="14.25" hidden="1" customHeight="1">
      <c r="A752" s="13" t="s">
        <v>36</v>
      </c>
      <c r="B752" s="13" t="s">
        <v>39</v>
      </c>
      <c r="C752" s="13" t="s">
        <v>552</v>
      </c>
      <c r="D752" s="13" t="s">
        <v>440</v>
      </c>
      <c r="E752" s="13" t="str">
        <f t="shared" si="735"/>
        <v>LA1,201-29B,BD,0</v>
      </c>
      <c r="F752" s="13"/>
      <c r="G752" s="13" t="s">
        <v>74</v>
      </c>
      <c r="H752" s="13" t="s">
        <v>75</v>
      </c>
      <c r="I752" s="13"/>
      <c r="J752" s="13"/>
      <c r="K752" s="15">
        <v>0.0</v>
      </c>
      <c r="L752" s="15">
        <v>0.0</v>
      </c>
      <c r="M752" s="16"/>
      <c r="N752" s="16"/>
      <c r="O752" s="17"/>
      <c r="P752" s="17"/>
      <c r="Q752" s="13">
        <f t="shared" si="736"/>
        <v>0</v>
      </c>
      <c r="R752" s="13"/>
      <c r="S752" s="13"/>
      <c r="T752" s="13">
        <f t="shared" ref="T752:Y752" si="787">IF(ISBLANK(K752)=TRUE,0,1)</f>
        <v>1</v>
      </c>
      <c r="U752" s="13">
        <f t="shared" si="787"/>
        <v>1</v>
      </c>
      <c r="V752" s="13">
        <f t="shared" si="787"/>
        <v>0</v>
      </c>
      <c r="W752" s="13">
        <f t="shared" si="787"/>
        <v>0</v>
      </c>
      <c r="X752" s="13">
        <f t="shared" si="787"/>
        <v>0</v>
      </c>
      <c r="Y752" s="13">
        <f t="shared" si="787"/>
        <v>0</v>
      </c>
      <c r="Z752" s="13">
        <f t="shared" si="529"/>
        <v>0</v>
      </c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</row>
    <row r="753" ht="14.25" hidden="1" customHeight="1">
      <c r="A753" s="13" t="s">
        <v>36</v>
      </c>
      <c r="B753" s="13" t="s">
        <v>39</v>
      </c>
      <c r="C753" s="13" t="s">
        <v>552</v>
      </c>
      <c r="D753" s="13" t="s">
        <v>441</v>
      </c>
      <c r="E753" s="13" t="str">
        <f t="shared" si="735"/>
        <v>LA1,201-29B,BE,0</v>
      </c>
      <c r="F753" s="13"/>
      <c r="G753" s="13" t="s">
        <v>74</v>
      </c>
      <c r="H753" s="13" t="s">
        <v>75</v>
      </c>
      <c r="I753" s="13"/>
      <c r="J753" s="13"/>
      <c r="K753" s="15">
        <v>0.0</v>
      </c>
      <c r="L753" s="15">
        <v>0.0</v>
      </c>
      <c r="M753" s="16"/>
      <c r="N753" s="16"/>
      <c r="O753" s="17"/>
      <c r="P753" s="17"/>
      <c r="Q753" s="13">
        <f t="shared" si="736"/>
        <v>0</v>
      </c>
      <c r="R753" s="13"/>
      <c r="S753" s="13"/>
      <c r="T753" s="13">
        <f t="shared" ref="T753:Y753" si="788">IF(ISBLANK(K753)=TRUE,0,1)</f>
        <v>1</v>
      </c>
      <c r="U753" s="13">
        <f t="shared" si="788"/>
        <v>1</v>
      </c>
      <c r="V753" s="13">
        <f t="shared" si="788"/>
        <v>0</v>
      </c>
      <c r="W753" s="13">
        <f t="shared" si="788"/>
        <v>0</v>
      </c>
      <c r="X753" s="13">
        <f t="shared" si="788"/>
        <v>0</v>
      </c>
      <c r="Y753" s="13">
        <f t="shared" si="788"/>
        <v>0</v>
      </c>
      <c r="Z753" s="13">
        <f t="shared" si="529"/>
        <v>0</v>
      </c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</row>
    <row r="754" ht="14.25" hidden="1" customHeight="1">
      <c r="A754" s="13" t="s">
        <v>36</v>
      </c>
      <c r="B754" s="13" t="s">
        <v>39</v>
      </c>
      <c r="C754" s="13" t="s">
        <v>552</v>
      </c>
      <c r="D754" s="13" t="s">
        <v>551</v>
      </c>
      <c r="E754" s="13" t="str">
        <f t="shared" si="735"/>
        <v>LA1,201-29B,BF,0</v>
      </c>
      <c r="F754" s="13"/>
      <c r="G754" s="13" t="s">
        <v>74</v>
      </c>
      <c r="H754" s="13" t="s">
        <v>75</v>
      </c>
      <c r="I754" s="13"/>
      <c r="J754" s="13"/>
      <c r="K754" s="15">
        <v>0.0</v>
      </c>
      <c r="L754" s="15">
        <v>0.0</v>
      </c>
      <c r="M754" s="16"/>
      <c r="N754" s="16"/>
      <c r="O754" s="17"/>
      <c r="P754" s="17"/>
      <c r="Q754" s="13">
        <f t="shared" si="736"/>
        <v>0</v>
      </c>
      <c r="R754" s="13"/>
      <c r="S754" s="13"/>
      <c r="T754" s="13">
        <f t="shared" ref="T754:Y754" si="789">IF(ISBLANK(K754)=TRUE,0,1)</f>
        <v>1</v>
      </c>
      <c r="U754" s="13">
        <f t="shared" si="789"/>
        <v>1</v>
      </c>
      <c r="V754" s="13">
        <f t="shared" si="789"/>
        <v>0</v>
      </c>
      <c r="W754" s="13">
        <f t="shared" si="789"/>
        <v>0</v>
      </c>
      <c r="X754" s="13">
        <f t="shared" si="789"/>
        <v>0</v>
      </c>
      <c r="Y754" s="13">
        <f t="shared" si="789"/>
        <v>0</v>
      </c>
      <c r="Z754" s="13">
        <f t="shared" si="529"/>
        <v>0</v>
      </c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</row>
    <row r="755" ht="14.25" hidden="1" customHeight="1">
      <c r="A755" s="13" t="s">
        <v>36</v>
      </c>
      <c r="B755" s="13" t="s">
        <v>39</v>
      </c>
      <c r="C755" s="13" t="s">
        <v>552</v>
      </c>
      <c r="D755" s="13" t="s">
        <v>553</v>
      </c>
      <c r="E755" s="13" t="str">
        <f t="shared" si="735"/>
        <v>LA1,201-29B,BG,0</v>
      </c>
      <c r="F755" s="13"/>
      <c r="G755" s="13" t="s">
        <v>74</v>
      </c>
      <c r="H755" s="13" t="s">
        <v>75</v>
      </c>
      <c r="I755" s="13"/>
      <c r="J755" s="13"/>
      <c r="K755" s="15">
        <v>0.0</v>
      </c>
      <c r="L755" s="15">
        <v>0.0</v>
      </c>
      <c r="M755" s="16"/>
      <c r="N755" s="16"/>
      <c r="O755" s="17"/>
      <c r="P755" s="17"/>
      <c r="Q755" s="13">
        <f t="shared" si="736"/>
        <v>0</v>
      </c>
      <c r="R755" s="13"/>
      <c r="S755" s="13"/>
      <c r="T755" s="13">
        <f t="shared" ref="T755:Y755" si="790">IF(ISBLANK(K755)=TRUE,0,1)</f>
        <v>1</v>
      </c>
      <c r="U755" s="13">
        <f t="shared" si="790"/>
        <v>1</v>
      </c>
      <c r="V755" s="13">
        <f t="shared" si="790"/>
        <v>0</v>
      </c>
      <c r="W755" s="13">
        <f t="shared" si="790"/>
        <v>0</v>
      </c>
      <c r="X755" s="13">
        <f t="shared" si="790"/>
        <v>0</v>
      </c>
      <c r="Y755" s="13">
        <f t="shared" si="790"/>
        <v>0</v>
      </c>
      <c r="Z755" s="13">
        <f t="shared" si="529"/>
        <v>0</v>
      </c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</row>
    <row r="756" ht="14.25" hidden="1" customHeight="1">
      <c r="A756" s="13" t="s">
        <v>36</v>
      </c>
      <c r="B756" s="13" t="s">
        <v>39</v>
      </c>
      <c r="C756" s="13" t="s">
        <v>552</v>
      </c>
      <c r="D756" s="13" t="s">
        <v>554</v>
      </c>
      <c r="E756" s="13" t="str">
        <f t="shared" si="735"/>
        <v>LA1,201-29B,BH,0</v>
      </c>
      <c r="F756" s="13"/>
      <c r="G756" s="13" t="s">
        <v>74</v>
      </c>
      <c r="H756" s="13" t="s">
        <v>75</v>
      </c>
      <c r="I756" s="13"/>
      <c r="J756" s="13"/>
      <c r="K756" s="15">
        <v>0.0</v>
      </c>
      <c r="L756" s="15">
        <v>0.0</v>
      </c>
      <c r="M756" s="16"/>
      <c r="N756" s="16"/>
      <c r="O756" s="17"/>
      <c r="P756" s="17"/>
      <c r="Q756" s="13">
        <f t="shared" si="736"/>
        <v>0</v>
      </c>
      <c r="R756" s="13"/>
      <c r="S756" s="13"/>
      <c r="T756" s="13">
        <f t="shared" ref="T756:Y756" si="791">IF(ISBLANK(K756)=TRUE,0,1)</f>
        <v>1</v>
      </c>
      <c r="U756" s="13">
        <f t="shared" si="791"/>
        <v>1</v>
      </c>
      <c r="V756" s="13">
        <f t="shared" si="791"/>
        <v>0</v>
      </c>
      <c r="W756" s="13">
        <f t="shared" si="791"/>
        <v>0</v>
      </c>
      <c r="X756" s="13">
        <f t="shared" si="791"/>
        <v>0</v>
      </c>
      <c r="Y756" s="13">
        <f t="shared" si="791"/>
        <v>0</v>
      </c>
      <c r="Z756" s="13">
        <f t="shared" si="529"/>
        <v>0</v>
      </c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</row>
    <row r="757" ht="14.25" hidden="1" customHeight="1">
      <c r="A757" s="13" t="s">
        <v>36</v>
      </c>
      <c r="B757" s="13" t="s">
        <v>39</v>
      </c>
      <c r="C757" s="13" t="s">
        <v>552</v>
      </c>
      <c r="D757" s="13" t="s">
        <v>555</v>
      </c>
      <c r="E757" s="13" t="str">
        <f t="shared" si="735"/>
        <v>LA1,201-29B,BI,0</v>
      </c>
      <c r="F757" s="13"/>
      <c r="G757" s="13" t="s">
        <v>74</v>
      </c>
      <c r="H757" s="13" t="s">
        <v>75</v>
      </c>
      <c r="I757" s="13"/>
      <c r="J757" s="13"/>
      <c r="K757" s="15">
        <v>0.0</v>
      </c>
      <c r="L757" s="15">
        <v>0.0</v>
      </c>
      <c r="M757" s="16"/>
      <c r="N757" s="16"/>
      <c r="O757" s="17"/>
      <c r="P757" s="17"/>
      <c r="Q757" s="13">
        <f t="shared" si="736"/>
        <v>0</v>
      </c>
      <c r="R757" s="13"/>
      <c r="S757" s="13"/>
      <c r="T757" s="13">
        <f t="shared" ref="T757:Y757" si="792">IF(ISBLANK(K757)=TRUE,0,1)</f>
        <v>1</v>
      </c>
      <c r="U757" s="13">
        <f t="shared" si="792"/>
        <v>1</v>
      </c>
      <c r="V757" s="13">
        <f t="shared" si="792"/>
        <v>0</v>
      </c>
      <c r="W757" s="13">
        <f t="shared" si="792"/>
        <v>0</v>
      </c>
      <c r="X757" s="13">
        <f t="shared" si="792"/>
        <v>0</v>
      </c>
      <c r="Y757" s="13">
        <f t="shared" si="792"/>
        <v>0</v>
      </c>
      <c r="Z757" s="13">
        <f t="shared" si="529"/>
        <v>0</v>
      </c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</row>
    <row r="758" ht="14.25" hidden="1" customHeight="1">
      <c r="A758" s="13" t="s">
        <v>36</v>
      </c>
      <c r="B758" s="13" t="s">
        <v>39</v>
      </c>
      <c r="C758" s="13" t="s">
        <v>552</v>
      </c>
      <c r="D758" s="13" t="s">
        <v>168</v>
      </c>
      <c r="E758" s="13" t="str">
        <f t="shared" si="735"/>
        <v>LA1,201-29B,BJ,0</v>
      </c>
      <c r="F758" s="13"/>
      <c r="G758" s="13" t="s">
        <v>74</v>
      </c>
      <c r="H758" s="13" t="s">
        <v>75</v>
      </c>
      <c r="I758" s="13"/>
      <c r="J758" s="13"/>
      <c r="K758" s="15">
        <v>0.0</v>
      </c>
      <c r="L758" s="15">
        <v>0.0</v>
      </c>
      <c r="M758" s="16"/>
      <c r="N758" s="16"/>
      <c r="O758" s="17"/>
      <c r="P758" s="17"/>
      <c r="Q758" s="13">
        <f t="shared" si="736"/>
        <v>0</v>
      </c>
      <c r="R758" s="13"/>
      <c r="S758" s="13"/>
      <c r="T758" s="13">
        <f t="shared" ref="T758:Y758" si="793">IF(ISBLANK(K758)=TRUE,0,1)</f>
        <v>1</v>
      </c>
      <c r="U758" s="13">
        <f t="shared" si="793"/>
        <v>1</v>
      </c>
      <c r="V758" s="13">
        <f t="shared" si="793"/>
        <v>0</v>
      </c>
      <c r="W758" s="13">
        <f t="shared" si="793"/>
        <v>0</v>
      </c>
      <c r="X758" s="13">
        <f t="shared" si="793"/>
        <v>0</v>
      </c>
      <c r="Y758" s="13">
        <f t="shared" si="793"/>
        <v>0</v>
      </c>
      <c r="Z758" s="13">
        <f t="shared" si="529"/>
        <v>0</v>
      </c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</row>
    <row r="759" ht="14.25" hidden="1" customHeight="1">
      <c r="A759" s="13" t="s">
        <v>36</v>
      </c>
      <c r="B759" s="13" t="s">
        <v>39</v>
      </c>
      <c r="C759" s="13" t="s">
        <v>552</v>
      </c>
      <c r="D759" s="13" t="s">
        <v>169</v>
      </c>
      <c r="E759" s="13" t="str">
        <f t="shared" si="735"/>
        <v>LA1,201-29B,BK,0</v>
      </c>
      <c r="F759" s="13"/>
      <c r="G759" s="13" t="s">
        <v>74</v>
      </c>
      <c r="H759" s="13" t="s">
        <v>75</v>
      </c>
      <c r="I759" s="13"/>
      <c r="J759" s="13"/>
      <c r="K759" s="15">
        <v>0.0</v>
      </c>
      <c r="L759" s="15">
        <v>0.0</v>
      </c>
      <c r="M759" s="16"/>
      <c r="N759" s="16"/>
      <c r="O759" s="17"/>
      <c r="P759" s="17"/>
      <c r="Q759" s="13">
        <f t="shared" si="736"/>
        <v>0</v>
      </c>
      <c r="R759" s="13"/>
      <c r="S759" s="13"/>
      <c r="T759" s="13">
        <f t="shared" ref="T759:Y759" si="794">IF(ISBLANK(K759)=TRUE,0,1)</f>
        <v>1</v>
      </c>
      <c r="U759" s="13">
        <f t="shared" si="794"/>
        <v>1</v>
      </c>
      <c r="V759" s="13">
        <f t="shared" si="794"/>
        <v>0</v>
      </c>
      <c r="W759" s="13">
        <f t="shared" si="794"/>
        <v>0</v>
      </c>
      <c r="X759" s="13">
        <f t="shared" si="794"/>
        <v>0</v>
      </c>
      <c r="Y759" s="13">
        <f t="shared" si="794"/>
        <v>0</v>
      </c>
      <c r="Z759" s="13">
        <f t="shared" si="529"/>
        <v>0</v>
      </c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</row>
    <row r="760" ht="14.25" hidden="1" customHeight="1">
      <c r="A760" s="13" t="s">
        <v>36</v>
      </c>
      <c r="B760" s="13" t="s">
        <v>39</v>
      </c>
      <c r="C760" s="13" t="s">
        <v>552</v>
      </c>
      <c r="D760" s="13" t="s">
        <v>170</v>
      </c>
      <c r="E760" s="13" t="str">
        <f t="shared" si="735"/>
        <v>LA1,201-29B,BL,0</v>
      </c>
      <c r="F760" s="13"/>
      <c r="G760" s="13" t="s">
        <v>74</v>
      </c>
      <c r="H760" s="13" t="s">
        <v>75</v>
      </c>
      <c r="I760" s="13"/>
      <c r="J760" s="13"/>
      <c r="K760" s="15">
        <v>0.0</v>
      </c>
      <c r="L760" s="15">
        <v>0.0</v>
      </c>
      <c r="M760" s="16"/>
      <c r="N760" s="16"/>
      <c r="O760" s="17"/>
      <c r="P760" s="17"/>
      <c r="Q760" s="13">
        <f t="shared" si="736"/>
        <v>0</v>
      </c>
      <c r="R760" s="13"/>
      <c r="S760" s="13"/>
      <c r="T760" s="13">
        <f t="shared" ref="T760:Y760" si="795">IF(ISBLANK(K760)=TRUE,0,1)</f>
        <v>1</v>
      </c>
      <c r="U760" s="13">
        <f t="shared" si="795"/>
        <v>1</v>
      </c>
      <c r="V760" s="13">
        <f t="shared" si="795"/>
        <v>0</v>
      </c>
      <c r="W760" s="13">
        <f t="shared" si="795"/>
        <v>0</v>
      </c>
      <c r="X760" s="13">
        <f t="shared" si="795"/>
        <v>0</v>
      </c>
      <c r="Y760" s="13">
        <f t="shared" si="795"/>
        <v>0</v>
      </c>
      <c r="Z760" s="13">
        <f t="shared" si="529"/>
        <v>0</v>
      </c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</row>
    <row r="761" ht="14.25" hidden="1" customHeight="1">
      <c r="A761" s="13" t="s">
        <v>36</v>
      </c>
      <c r="B761" s="13" t="s">
        <v>39</v>
      </c>
      <c r="C761" s="13" t="s">
        <v>552</v>
      </c>
      <c r="D761" s="13" t="s">
        <v>171</v>
      </c>
      <c r="E761" s="13" t="str">
        <f t="shared" si="735"/>
        <v>LA1,201-29B,BM,0</v>
      </c>
      <c r="F761" s="13"/>
      <c r="G761" s="13" t="s">
        <v>74</v>
      </c>
      <c r="H761" s="13" t="s">
        <v>75</v>
      </c>
      <c r="I761" s="13"/>
      <c r="J761" s="13"/>
      <c r="K761" s="15">
        <v>0.0</v>
      </c>
      <c r="L761" s="15">
        <v>0.0</v>
      </c>
      <c r="M761" s="16"/>
      <c r="N761" s="16"/>
      <c r="O761" s="17"/>
      <c r="P761" s="17"/>
      <c r="Q761" s="13">
        <f t="shared" si="736"/>
        <v>0</v>
      </c>
      <c r="R761" s="13"/>
      <c r="S761" s="13"/>
      <c r="T761" s="13">
        <f t="shared" ref="T761:Y761" si="796">IF(ISBLANK(K761)=TRUE,0,1)</f>
        <v>1</v>
      </c>
      <c r="U761" s="13">
        <f t="shared" si="796"/>
        <v>1</v>
      </c>
      <c r="V761" s="13">
        <f t="shared" si="796"/>
        <v>0</v>
      </c>
      <c r="W761" s="13">
        <f t="shared" si="796"/>
        <v>0</v>
      </c>
      <c r="X761" s="13">
        <f t="shared" si="796"/>
        <v>0</v>
      </c>
      <c r="Y761" s="13">
        <f t="shared" si="796"/>
        <v>0</v>
      </c>
      <c r="Z761" s="13">
        <f t="shared" si="529"/>
        <v>0</v>
      </c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</row>
    <row r="762" ht="14.25" hidden="1" customHeight="1">
      <c r="A762" s="13" t="s">
        <v>36</v>
      </c>
      <c r="B762" s="13" t="s">
        <v>39</v>
      </c>
      <c r="C762" s="13" t="s">
        <v>552</v>
      </c>
      <c r="D762" s="13" t="s">
        <v>172</v>
      </c>
      <c r="E762" s="13" t="str">
        <f t="shared" si="735"/>
        <v>LA1,201-29B,BN,0</v>
      </c>
      <c r="F762" s="13"/>
      <c r="G762" s="13" t="s">
        <v>74</v>
      </c>
      <c r="H762" s="13" t="s">
        <v>75</v>
      </c>
      <c r="I762" s="13"/>
      <c r="J762" s="13"/>
      <c r="K762" s="15">
        <v>0.0</v>
      </c>
      <c r="L762" s="15">
        <v>0.0</v>
      </c>
      <c r="M762" s="16"/>
      <c r="N762" s="16"/>
      <c r="O762" s="17"/>
      <c r="P762" s="17"/>
      <c r="Q762" s="13">
        <f t="shared" si="736"/>
        <v>0</v>
      </c>
      <c r="R762" s="13"/>
      <c r="S762" s="13"/>
      <c r="T762" s="13">
        <f t="shared" ref="T762:Y762" si="797">IF(ISBLANK(K762)=TRUE,0,1)</f>
        <v>1</v>
      </c>
      <c r="U762" s="13">
        <f t="shared" si="797"/>
        <v>1</v>
      </c>
      <c r="V762" s="13">
        <f t="shared" si="797"/>
        <v>0</v>
      </c>
      <c r="W762" s="13">
        <f t="shared" si="797"/>
        <v>0</v>
      </c>
      <c r="X762" s="13">
        <f t="shared" si="797"/>
        <v>0</v>
      </c>
      <c r="Y762" s="13">
        <f t="shared" si="797"/>
        <v>0</v>
      </c>
      <c r="Z762" s="13">
        <f t="shared" si="529"/>
        <v>0</v>
      </c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</row>
    <row r="763" ht="14.25" hidden="1" customHeight="1">
      <c r="A763" s="13" t="s">
        <v>36</v>
      </c>
      <c r="B763" s="13" t="s">
        <v>39</v>
      </c>
      <c r="C763" s="13" t="s">
        <v>552</v>
      </c>
      <c r="D763" s="13" t="s">
        <v>556</v>
      </c>
      <c r="E763" s="13" t="str">
        <f t="shared" si="735"/>
        <v>LA1,201-29B,BO,0</v>
      </c>
      <c r="F763" s="13"/>
      <c r="G763" s="13" t="s">
        <v>74</v>
      </c>
      <c r="H763" s="13" t="s">
        <v>75</v>
      </c>
      <c r="I763" s="13"/>
      <c r="J763" s="13"/>
      <c r="K763" s="15">
        <v>0.0</v>
      </c>
      <c r="L763" s="15">
        <v>0.0</v>
      </c>
      <c r="M763" s="16"/>
      <c r="N763" s="16"/>
      <c r="O763" s="17"/>
      <c r="P763" s="17"/>
      <c r="Q763" s="13">
        <f t="shared" si="736"/>
        <v>0</v>
      </c>
      <c r="R763" s="13"/>
      <c r="S763" s="13"/>
      <c r="T763" s="13">
        <f t="shared" ref="T763:Y763" si="798">IF(ISBLANK(K763)=TRUE,0,1)</f>
        <v>1</v>
      </c>
      <c r="U763" s="13">
        <f t="shared" si="798"/>
        <v>1</v>
      </c>
      <c r="V763" s="13">
        <f t="shared" si="798"/>
        <v>0</v>
      </c>
      <c r="W763" s="13">
        <f t="shared" si="798"/>
        <v>0</v>
      </c>
      <c r="X763" s="13">
        <f t="shared" si="798"/>
        <v>0</v>
      </c>
      <c r="Y763" s="13">
        <f t="shared" si="798"/>
        <v>0</v>
      </c>
      <c r="Z763" s="13">
        <f t="shared" si="529"/>
        <v>0</v>
      </c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</row>
    <row r="764" ht="14.25" hidden="1" customHeight="1">
      <c r="A764" s="13" t="s">
        <v>36</v>
      </c>
      <c r="B764" s="13" t="s">
        <v>39</v>
      </c>
      <c r="C764" s="13" t="s">
        <v>552</v>
      </c>
      <c r="D764" s="13" t="s">
        <v>557</v>
      </c>
      <c r="E764" s="13" t="str">
        <f t="shared" si="735"/>
        <v>LA1,201-29B,BP,0</v>
      </c>
      <c r="F764" s="13"/>
      <c r="G764" s="13" t="s">
        <v>74</v>
      </c>
      <c r="H764" s="13" t="s">
        <v>75</v>
      </c>
      <c r="I764" s="13"/>
      <c r="J764" s="13"/>
      <c r="K764" s="15">
        <v>0.0</v>
      </c>
      <c r="L764" s="15">
        <v>0.0</v>
      </c>
      <c r="M764" s="16"/>
      <c r="N764" s="16"/>
      <c r="O764" s="17"/>
      <c r="P764" s="17"/>
      <c r="Q764" s="13">
        <f t="shared" si="736"/>
        <v>0</v>
      </c>
      <c r="R764" s="13"/>
      <c r="S764" s="13"/>
      <c r="T764" s="13">
        <f t="shared" ref="T764:Y764" si="799">IF(ISBLANK(K764)=TRUE,0,1)</f>
        <v>1</v>
      </c>
      <c r="U764" s="13">
        <f t="shared" si="799"/>
        <v>1</v>
      </c>
      <c r="V764" s="13">
        <f t="shared" si="799"/>
        <v>0</v>
      </c>
      <c r="W764" s="13">
        <f t="shared" si="799"/>
        <v>0</v>
      </c>
      <c r="X764" s="13">
        <f t="shared" si="799"/>
        <v>0</v>
      </c>
      <c r="Y764" s="13">
        <f t="shared" si="799"/>
        <v>0</v>
      </c>
      <c r="Z764" s="13">
        <f t="shared" si="529"/>
        <v>0</v>
      </c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</row>
    <row r="765" ht="14.25" hidden="1" customHeight="1">
      <c r="A765" s="13" t="s">
        <v>36</v>
      </c>
      <c r="B765" s="13" t="s">
        <v>39</v>
      </c>
      <c r="C765" s="13" t="s">
        <v>552</v>
      </c>
      <c r="D765" s="13" t="s">
        <v>110</v>
      </c>
      <c r="E765" s="13" t="str">
        <f t="shared" si="735"/>
        <v>LA1,201-29B,BQ,0</v>
      </c>
      <c r="F765" s="13"/>
      <c r="G765" s="13" t="s">
        <v>74</v>
      </c>
      <c r="H765" s="13" t="s">
        <v>75</v>
      </c>
      <c r="I765" s="13"/>
      <c r="J765" s="13"/>
      <c r="K765" s="15">
        <v>0.0</v>
      </c>
      <c r="L765" s="15">
        <v>0.0</v>
      </c>
      <c r="M765" s="16"/>
      <c r="N765" s="16"/>
      <c r="O765" s="17"/>
      <c r="P765" s="17"/>
      <c r="Q765" s="13">
        <f t="shared" si="736"/>
        <v>0</v>
      </c>
      <c r="R765" s="13"/>
      <c r="S765" s="13"/>
      <c r="T765" s="13">
        <f t="shared" ref="T765:Y765" si="800">IF(ISBLANK(K765)=TRUE,0,1)</f>
        <v>1</v>
      </c>
      <c r="U765" s="13">
        <f t="shared" si="800"/>
        <v>1</v>
      </c>
      <c r="V765" s="13">
        <f t="shared" si="800"/>
        <v>0</v>
      </c>
      <c r="W765" s="13">
        <f t="shared" si="800"/>
        <v>0</v>
      </c>
      <c r="X765" s="13">
        <f t="shared" si="800"/>
        <v>0</v>
      </c>
      <c r="Y765" s="13">
        <f t="shared" si="800"/>
        <v>0</v>
      </c>
      <c r="Z765" s="13">
        <f t="shared" si="529"/>
        <v>0</v>
      </c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</row>
    <row r="766" ht="14.25" hidden="1" customHeight="1">
      <c r="A766" s="13" t="s">
        <v>36</v>
      </c>
      <c r="B766" s="13" t="s">
        <v>39</v>
      </c>
      <c r="C766" s="13" t="s">
        <v>552</v>
      </c>
      <c r="D766" s="13" t="s">
        <v>113</v>
      </c>
      <c r="E766" s="13" t="str">
        <f t="shared" si="735"/>
        <v>LA1,201-29B,BR,0</v>
      </c>
      <c r="F766" s="13"/>
      <c r="G766" s="13" t="s">
        <v>74</v>
      </c>
      <c r="H766" s="13" t="s">
        <v>75</v>
      </c>
      <c r="I766" s="13"/>
      <c r="J766" s="13"/>
      <c r="K766" s="15">
        <v>0.0</v>
      </c>
      <c r="L766" s="15">
        <v>0.0</v>
      </c>
      <c r="M766" s="16"/>
      <c r="N766" s="16"/>
      <c r="O766" s="17"/>
      <c r="P766" s="17"/>
      <c r="Q766" s="13">
        <f t="shared" si="736"/>
        <v>0</v>
      </c>
      <c r="R766" s="13"/>
      <c r="S766" s="13"/>
      <c r="T766" s="13">
        <f t="shared" ref="T766:Y766" si="801">IF(ISBLANK(K766)=TRUE,0,1)</f>
        <v>1</v>
      </c>
      <c r="U766" s="13">
        <f t="shared" si="801"/>
        <v>1</v>
      </c>
      <c r="V766" s="13">
        <f t="shared" si="801"/>
        <v>0</v>
      </c>
      <c r="W766" s="13">
        <f t="shared" si="801"/>
        <v>0</v>
      </c>
      <c r="X766" s="13">
        <f t="shared" si="801"/>
        <v>0</v>
      </c>
      <c r="Y766" s="13">
        <f t="shared" si="801"/>
        <v>0</v>
      </c>
      <c r="Z766" s="13">
        <f t="shared" si="529"/>
        <v>0</v>
      </c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</row>
    <row r="767" ht="14.25" hidden="1" customHeight="1">
      <c r="A767" s="13" t="s">
        <v>36</v>
      </c>
      <c r="B767" s="13" t="s">
        <v>39</v>
      </c>
      <c r="C767" s="13" t="s">
        <v>552</v>
      </c>
      <c r="D767" s="13" t="s">
        <v>115</v>
      </c>
      <c r="E767" s="13" t="str">
        <f t="shared" si="735"/>
        <v>LA1,201-29B,BS,0</v>
      </c>
      <c r="F767" s="13"/>
      <c r="G767" s="13" t="s">
        <v>74</v>
      </c>
      <c r="H767" s="13" t="s">
        <v>75</v>
      </c>
      <c r="I767" s="13"/>
      <c r="J767" s="13"/>
      <c r="K767" s="15">
        <v>0.0</v>
      </c>
      <c r="L767" s="15">
        <v>0.0</v>
      </c>
      <c r="M767" s="16"/>
      <c r="N767" s="16"/>
      <c r="O767" s="17"/>
      <c r="P767" s="17"/>
      <c r="Q767" s="13">
        <f t="shared" si="736"/>
        <v>0</v>
      </c>
      <c r="R767" s="13"/>
      <c r="S767" s="13"/>
      <c r="T767" s="13">
        <f t="shared" ref="T767:Y767" si="802">IF(ISBLANK(K767)=TRUE,0,1)</f>
        <v>1</v>
      </c>
      <c r="U767" s="13">
        <f t="shared" si="802"/>
        <v>1</v>
      </c>
      <c r="V767" s="13">
        <f t="shared" si="802"/>
        <v>0</v>
      </c>
      <c r="W767" s="13">
        <f t="shared" si="802"/>
        <v>0</v>
      </c>
      <c r="X767" s="13">
        <f t="shared" si="802"/>
        <v>0</v>
      </c>
      <c r="Y767" s="13">
        <f t="shared" si="802"/>
        <v>0</v>
      </c>
      <c r="Z767" s="13">
        <f t="shared" si="529"/>
        <v>0</v>
      </c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</row>
    <row r="768" ht="14.25" hidden="1" customHeight="1">
      <c r="A768" s="13" t="s">
        <v>36</v>
      </c>
      <c r="B768" s="13" t="s">
        <v>39</v>
      </c>
      <c r="C768" s="13" t="s">
        <v>552</v>
      </c>
      <c r="D768" s="13" t="s">
        <v>117</v>
      </c>
      <c r="E768" s="13" t="str">
        <f t="shared" si="735"/>
        <v>LA1,201-29B,BT,0</v>
      </c>
      <c r="F768" s="13"/>
      <c r="G768" s="13" t="s">
        <v>74</v>
      </c>
      <c r="H768" s="13" t="s">
        <v>75</v>
      </c>
      <c r="I768" s="13"/>
      <c r="J768" s="13"/>
      <c r="K768" s="15">
        <v>0.0</v>
      </c>
      <c r="L768" s="15">
        <v>0.0</v>
      </c>
      <c r="M768" s="16"/>
      <c r="N768" s="16"/>
      <c r="O768" s="17"/>
      <c r="P768" s="17"/>
      <c r="Q768" s="13">
        <f t="shared" si="736"/>
        <v>0</v>
      </c>
      <c r="R768" s="13"/>
      <c r="S768" s="13"/>
      <c r="T768" s="13">
        <f t="shared" ref="T768:Y768" si="803">IF(ISBLANK(K768)=TRUE,0,1)</f>
        <v>1</v>
      </c>
      <c r="U768" s="13">
        <f t="shared" si="803"/>
        <v>1</v>
      </c>
      <c r="V768" s="13">
        <f t="shared" si="803"/>
        <v>0</v>
      </c>
      <c r="W768" s="13">
        <f t="shared" si="803"/>
        <v>0</v>
      </c>
      <c r="X768" s="13">
        <f t="shared" si="803"/>
        <v>0</v>
      </c>
      <c r="Y768" s="13">
        <f t="shared" si="803"/>
        <v>0</v>
      </c>
      <c r="Z768" s="13">
        <f t="shared" si="529"/>
        <v>0</v>
      </c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</row>
    <row r="769" ht="14.25" hidden="1" customHeight="1">
      <c r="A769" s="13" t="s">
        <v>36</v>
      </c>
      <c r="B769" s="13" t="s">
        <v>39</v>
      </c>
      <c r="C769" s="13" t="s">
        <v>552</v>
      </c>
      <c r="D769" s="13" t="s">
        <v>119</v>
      </c>
      <c r="E769" s="13" t="str">
        <f t="shared" si="735"/>
        <v>LA1,201-29B,BU,0</v>
      </c>
      <c r="F769" s="13"/>
      <c r="G769" s="13" t="s">
        <v>74</v>
      </c>
      <c r="H769" s="13" t="s">
        <v>75</v>
      </c>
      <c r="I769" s="13"/>
      <c r="J769" s="13"/>
      <c r="K769" s="15">
        <v>0.0</v>
      </c>
      <c r="L769" s="15">
        <v>0.0</v>
      </c>
      <c r="M769" s="16"/>
      <c r="N769" s="16"/>
      <c r="O769" s="17"/>
      <c r="P769" s="17"/>
      <c r="Q769" s="13">
        <f t="shared" si="736"/>
        <v>0</v>
      </c>
      <c r="R769" s="13"/>
      <c r="S769" s="13"/>
      <c r="T769" s="13">
        <f t="shared" ref="T769:Y769" si="804">IF(ISBLANK(K769)=TRUE,0,1)</f>
        <v>1</v>
      </c>
      <c r="U769" s="13">
        <f t="shared" si="804"/>
        <v>1</v>
      </c>
      <c r="V769" s="13">
        <f t="shared" si="804"/>
        <v>0</v>
      </c>
      <c r="W769" s="13">
        <f t="shared" si="804"/>
        <v>0</v>
      </c>
      <c r="X769" s="13">
        <f t="shared" si="804"/>
        <v>0</v>
      </c>
      <c r="Y769" s="13">
        <f t="shared" si="804"/>
        <v>0</v>
      </c>
      <c r="Z769" s="13">
        <f t="shared" si="529"/>
        <v>0</v>
      </c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</row>
    <row r="770" ht="14.25" hidden="1" customHeight="1">
      <c r="A770" s="13" t="s">
        <v>36</v>
      </c>
      <c r="B770" s="13" t="s">
        <v>39</v>
      </c>
      <c r="C770" s="13" t="s">
        <v>552</v>
      </c>
      <c r="D770" s="13" t="s">
        <v>120</v>
      </c>
      <c r="E770" s="13" t="str">
        <f t="shared" si="735"/>
        <v>LA1,201-29B,BV,0</v>
      </c>
      <c r="F770" s="13"/>
      <c r="G770" s="13" t="s">
        <v>74</v>
      </c>
      <c r="H770" s="13" t="s">
        <v>75</v>
      </c>
      <c r="I770" s="13"/>
      <c r="J770" s="13"/>
      <c r="K770" s="15">
        <v>0.0</v>
      </c>
      <c r="L770" s="15">
        <v>0.0</v>
      </c>
      <c r="M770" s="16"/>
      <c r="N770" s="16"/>
      <c r="O770" s="17"/>
      <c r="P770" s="17"/>
      <c r="Q770" s="13">
        <f t="shared" si="736"/>
        <v>0</v>
      </c>
      <c r="R770" s="13"/>
      <c r="S770" s="13"/>
      <c r="T770" s="13">
        <f t="shared" ref="T770:Y770" si="805">IF(ISBLANK(K770)=TRUE,0,1)</f>
        <v>1</v>
      </c>
      <c r="U770" s="13">
        <f t="shared" si="805"/>
        <v>1</v>
      </c>
      <c r="V770" s="13">
        <f t="shared" si="805"/>
        <v>0</v>
      </c>
      <c r="W770" s="13">
        <f t="shared" si="805"/>
        <v>0</v>
      </c>
      <c r="X770" s="13">
        <f t="shared" si="805"/>
        <v>0</v>
      </c>
      <c r="Y770" s="13">
        <f t="shared" si="805"/>
        <v>0</v>
      </c>
      <c r="Z770" s="13">
        <f t="shared" si="529"/>
        <v>0</v>
      </c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</row>
    <row r="771" ht="14.25" hidden="1" customHeight="1">
      <c r="A771" s="13" t="s">
        <v>36</v>
      </c>
      <c r="B771" s="13" t="s">
        <v>39</v>
      </c>
      <c r="C771" s="13" t="s">
        <v>552</v>
      </c>
      <c r="D771" s="13" t="s">
        <v>121</v>
      </c>
      <c r="E771" s="13" t="str">
        <f t="shared" si="735"/>
        <v>LA1,201-29B,BW,0</v>
      </c>
      <c r="F771" s="13"/>
      <c r="G771" s="13" t="s">
        <v>74</v>
      </c>
      <c r="H771" s="13" t="s">
        <v>75</v>
      </c>
      <c r="I771" s="13"/>
      <c r="J771" s="13"/>
      <c r="K771" s="15">
        <v>0.0</v>
      </c>
      <c r="L771" s="15">
        <v>0.0</v>
      </c>
      <c r="M771" s="16"/>
      <c r="N771" s="16"/>
      <c r="O771" s="17"/>
      <c r="P771" s="17"/>
      <c r="Q771" s="13">
        <f t="shared" si="736"/>
        <v>0</v>
      </c>
      <c r="R771" s="13"/>
      <c r="S771" s="13"/>
      <c r="T771" s="13">
        <f t="shared" ref="T771:Y771" si="806">IF(ISBLANK(K771)=TRUE,0,1)</f>
        <v>1</v>
      </c>
      <c r="U771" s="13">
        <f t="shared" si="806"/>
        <v>1</v>
      </c>
      <c r="V771" s="13">
        <f t="shared" si="806"/>
        <v>0</v>
      </c>
      <c r="W771" s="13">
        <f t="shared" si="806"/>
        <v>0</v>
      </c>
      <c r="X771" s="13">
        <f t="shared" si="806"/>
        <v>0</v>
      </c>
      <c r="Y771" s="13">
        <f t="shared" si="806"/>
        <v>0</v>
      </c>
      <c r="Z771" s="13">
        <f t="shared" si="529"/>
        <v>0</v>
      </c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</row>
    <row r="772" ht="14.25" hidden="1" customHeight="1">
      <c r="A772" s="13" t="s">
        <v>36</v>
      </c>
      <c r="B772" s="13" t="s">
        <v>39</v>
      </c>
      <c r="C772" s="13" t="s">
        <v>552</v>
      </c>
      <c r="D772" s="13" t="s">
        <v>122</v>
      </c>
      <c r="E772" s="13" t="str">
        <f t="shared" si="735"/>
        <v>LA1,201-29B,BX,0</v>
      </c>
      <c r="F772" s="13"/>
      <c r="G772" s="13" t="s">
        <v>74</v>
      </c>
      <c r="H772" s="13" t="s">
        <v>75</v>
      </c>
      <c r="I772" s="13"/>
      <c r="J772" s="13"/>
      <c r="K772" s="15">
        <v>0.0</v>
      </c>
      <c r="L772" s="15">
        <v>0.0</v>
      </c>
      <c r="M772" s="16"/>
      <c r="N772" s="16"/>
      <c r="O772" s="17"/>
      <c r="P772" s="17"/>
      <c r="Q772" s="13">
        <f t="shared" si="736"/>
        <v>0</v>
      </c>
      <c r="R772" s="13"/>
      <c r="S772" s="13"/>
      <c r="T772" s="13">
        <f t="shared" ref="T772:Y772" si="807">IF(ISBLANK(K772)=TRUE,0,1)</f>
        <v>1</v>
      </c>
      <c r="U772" s="13">
        <f t="shared" si="807"/>
        <v>1</v>
      </c>
      <c r="V772" s="13">
        <f t="shared" si="807"/>
        <v>0</v>
      </c>
      <c r="W772" s="13">
        <f t="shared" si="807"/>
        <v>0</v>
      </c>
      <c r="X772" s="13">
        <f t="shared" si="807"/>
        <v>0</v>
      </c>
      <c r="Y772" s="13">
        <f t="shared" si="807"/>
        <v>0</v>
      </c>
      <c r="Z772" s="13">
        <f t="shared" si="529"/>
        <v>0</v>
      </c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</row>
    <row r="773" ht="14.25" hidden="1" customHeight="1">
      <c r="A773" s="13" t="s">
        <v>36</v>
      </c>
      <c r="B773" s="13" t="s">
        <v>39</v>
      </c>
      <c r="C773" s="13" t="s">
        <v>552</v>
      </c>
      <c r="D773" s="13" t="s">
        <v>123</v>
      </c>
      <c r="E773" s="13" t="str">
        <f t="shared" si="735"/>
        <v>LA1,201-29B,BY,0</v>
      </c>
      <c r="F773" s="13"/>
      <c r="G773" s="13" t="s">
        <v>74</v>
      </c>
      <c r="H773" s="13" t="s">
        <v>75</v>
      </c>
      <c r="I773" s="13"/>
      <c r="J773" s="13"/>
      <c r="K773" s="15">
        <v>0.0</v>
      </c>
      <c r="L773" s="15">
        <v>0.0</v>
      </c>
      <c r="M773" s="16"/>
      <c r="N773" s="16"/>
      <c r="O773" s="17"/>
      <c r="P773" s="17"/>
      <c r="Q773" s="13">
        <f t="shared" si="736"/>
        <v>0</v>
      </c>
      <c r="R773" s="13"/>
      <c r="S773" s="13"/>
      <c r="T773" s="13">
        <f t="shared" ref="T773:Y773" si="808">IF(ISBLANK(K773)=TRUE,0,1)</f>
        <v>1</v>
      </c>
      <c r="U773" s="13">
        <f t="shared" si="808"/>
        <v>1</v>
      </c>
      <c r="V773" s="13">
        <f t="shared" si="808"/>
        <v>0</v>
      </c>
      <c r="W773" s="13">
        <f t="shared" si="808"/>
        <v>0</v>
      </c>
      <c r="X773" s="13">
        <f t="shared" si="808"/>
        <v>0</v>
      </c>
      <c r="Y773" s="13">
        <f t="shared" si="808"/>
        <v>0</v>
      </c>
      <c r="Z773" s="13">
        <f t="shared" si="529"/>
        <v>0</v>
      </c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</row>
    <row r="774" ht="14.25" hidden="1" customHeight="1">
      <c r="A774" s="13" t="s">
        <v>36</v>
      </c>
      <c r="B774" s="13" t="s">
        <v>39</v>
      </c>
      <c r="C774" s="13" t="s">
        <v>552</v>
      </c>
      <c r="D774" s="13" t="s">
        <v>124</v>
      </c>
      <c r="E774" s="13" t="str">
        <f t="shared" si="735"/>
        <v>LA1,201-29B,BZ,0</v>
      </c>
      <c r="F774" s="13"/>
      <c r="G774" s="13" t="s">
        <v>74</v>
      </c>
      <c r="H774" s="13" t="s">
        <v>75</v>
      </c>
      <c r="I774" s="13"/>
      <c r="J774" s="13"/>
      <c r="K774" s="15">
        <v>0.0</v>
      </c>
      <c r="L774" s="15">
        <v>0.0</v>
      </c>
      <c r="M774" s="16"/>
      <c r="N774" s="16"/>
      <c r="O774" s="17"/>
      <c r="P774" s="17"/>
      <c r="Q774" s="13">
        <f t="shared" si="736"/>
        <v>0</v>
      </c>
      <c r="R774" s="13"/>
      <c r="S774" s="13"/>
      <c r="T774" s="13">
        <f t="shared" ref="T774:Y774" si="809">IF(ISBLANK(K774)=TRUE,0,1)</f>
        <v>1</v>
      </c>
      <c r="U774" s="13">
        <f t="shared" si="809"/>
        <v>1</v>
      </c>
      <c r="V774" s="13">
        <f t="shared" si="809"/>
        <v>0</v>
      </c>
      <c r="W774" s="13">
        <f t="shared" si="809"/>
        <v>0</v>
      </c>
      <c r="X774" s="13">
        <f t="shared" si="809"/>
        <v>0</v>
      </c>
      <c r="Y774" s="13">
        <f t="shared" si="809"/>
        <v>0</v>
      </c>
      <c r="Z774" s="13">
        <f t="shared" si="529"/>
        <v>0</v>
      </c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</row>
    <row r="775" ht="14.25" hidden="1" customHeight="1">
      <c r="A775" s="13" t="s">
        <v>36</v>
      </c>
      <c r="B775" s="13" t="s">
        <v>39</v>
      </c>
      <c r="C775" s="13" t="s">
        <v>552</v>
      </c>
      <c r="D775" s="13" t="s">
        <v>125</v>
      </c>
      <c r="E775" s="13" t="str">
        <f t="shared" si="735"/>
        <v>LA1,201-29B,CA,0</v>
      </c>
      <c r="F775" s="13"/>
      <c r="G775" s="13" t="s">
        <v>74</v>
      </c>
      <c r="H775" s="13" t="s">
        <v>75</v>
      </c>
      <c r="I775" s="13"/>
      <c r="J775" s="13"/>
      <c r="K775" s="15">
        <v>0.0</v>
      </c>
      <c r="L775" s="15">
        <v>0.0</v>
      </c>
      <c r="M775" s="16"/>
      <c r="N775" s="16"/>
      <c r="O775" s="17"/>
      <c r="P775" s="17"/>
      <c r="Q775" s="13">
        <f t="shared" si="736"/>
        <v>0</v>
      </c>
      <c r="R775" s="13"/>
      <c r="S775" s="13"/>
      <c r="T775" s="13">
        <f t="shared" ref="T775:Y775" si="810">IF(ISBLANK(K775)=TRUE,0,1)</f>
        <v>1</v>
      </c>
      <c r="U775" s="13">
        <f t="shared" si="810"/>
        <v>1</v>
      </c>
      <c r="V775" s="13">
        <f t="shared" si="810"/>
        <v>0</v>
      </c>
      <c r="W775" s="13">
        <f t="shared" si="810"/>
        <v>0</v>
      </c>
      <c r="X775" s="13">
        <f t="shared" si="810"/>
        <v>0</v>
      </c>
      <c r="Y775" s="13">
        <f t="shared" si="810"/>
        <v>0</v>
      </c>
      <c r="Z775" s="13">
        <f t="shared" si="529"/>
        <v>0</v>
      </c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</row>
    <row r="776" ht="14.25" hidden="1" customHeight="1">
      <c r="A776" s="13" t="s">
        <v>36</v>
      </c>
      <c r="B776" s="13" t="s">
        <v>39</v>
      </c>
      <c r="C776" s="13" t="s">
        <v>552</v>
      </c>
      <c r="D776" s="13" t="s">
        <v>126</v>
      </c>
      <c r="E776" s="13" t="str">
        <f t="shared" si="735"/>
        <v>LA1,201-29B,CB,0</v>
      </c>
      <c r="F776" s="13"/>
      <c r="G776" s="13" t="s">
        <v>74</v>
      </c>
      <c r="H776" s="13" t="s">
        <v>75</v>
      </c>
      <c r="I776" s="13"/>
      <c r="J776" s="13"/>
      <c r="K776" s="15">
        <v>0.0</v>
      </c>
      <c r="L776" s="15">
        <v>0.0</v>
      </c>
      <c r="M776" s="16"/>
      <c r="N776" s="16"/>
      <c r="O776" s="17"/>
      <c r="P776" s="17"/>
      <c r="Q776" s="13">
        <f t="shared" si="736"/>
        <v>0</v>
      </c>
      <c r="R776" s="13"/>
      <c r="S776" s="13"/>
      <c r="T776" s="13">
        <f t="shared" ref="T776:Y776" si="811">IF(ISBLANK(K776)=TRUE,0,1)</f>
        <v>1</v>
      </c>
      <c r="U776" s="13">
        <f t="shared" si="811"/>
        <v>1</v>
      </c>
      <c r="V776" s="13">
        <f t="shared" si="811"/>
        <v>0</v>
      </c>
      <c r="W776" s="13">
        <f t="shared" si="811"/>
        <v>0</v>
      </c>
      <c r="X776" s="13">
        <f t="shared" si="811"/>
        <v>0</v>
      </c>
      <c r="Y776" s="13">
        <f t="shared" si="811"/>
        <v>0</v>
      </c>
      <c r="Z776" s="13">
        <f t="shared" si="529"/>
        <v>0</v>
      </c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</row>
    <row r="777" ht="14.25" hidden="1" customHeight="1">
      <c r="A777" s="13" t="s">
        <v>36</v>
      </c>
      <c r="B777" s="13" t="s">
        <v>39</v>
      </c>
      <c r="C777" s="13" t="s">
        <v>552</v>
      </c>
      <c r="D777" s="13" t="s">
        <v>127</v>
      </c>
      <c r="E777" s="13" t="str">
        <f t="shared" si="735"/>
        <v>LA1,201-29B,CC,0</v>
      </c>
      <c r="F777" s="13"/>
      <c r="G777" s="13" t="s">
        <v>74</v>
      </c>
      <c r="H777" s="13" t="s">
        <v>75</v>
      </c>
      <c r="I777" s="13"/>
      <c r="J777" s="13"/>
      <c r="K777" s="15">
        <v>0.0</v>
      </c>
      <c r="L777" s="15">
        <v>0.0</v>
      </c>
      <c r="M777" s="16"/>
      <c r="N777" s="16"/>
      <c r="O777" s="17"/>
      <c r="P777" s="17"/>
      <c r="Q777" s="13">
        <f t="shared" si="736"/>
        <v>0</v>
      </c>
      <c r="R777" s="13"/>
      <c r="S777" s="13"/>
      <c r="T777" s="13">
        <f t="shared" ref="T777:Y777" si="812">IF(ISBLANK(K777)=TRUE,0,1)</f>
        <v>1</v>
      </c>
      <c r="U777" s="13">
        <f t="shared" si="812"/>
        <v>1</v>
      </c>
      <c r="V777" s="13">
        <f t="shared" si="812"/>
        <v>0</v>
      </c>
      <c r="W777" s="13">
        <f t="shared" si="812"/>
        <v>0</v>
      </c>
      <c r="X777" s="13">
        <f t="shared" si="812"/>
        <v>0</v>
      </c>
      <c r="Y777" s="13">
        <f t="shared" si="812"/>
        <v>0</v>
      </c>
      <c r="Z777" s="13">
        <f t="shared" si="529"/>
        <v>0</v>
      </c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</row>
    <row r="778" ht="14.25" hidden="1" customHeight="1">
      <c r="A778" s="13" t="s">
        <v>36</v>
      </c>
      <c r="B778" s="13" t="s">
        <v>39</v>
      </c>
      <c r="C778" s="13" t="s">
        <v>552</v>
      </c>
      <c r="D778" s="13" t="s">
        <v>128</v>
      </c>
      <c r="E778" s="13" t="str">
        <f t="shared" si="735"/>
        <v>LA1,201-29B,CD,0</v>
      </c>
      <c r="F778" s="13"/>
      <c r="G778" s="13" t="s">
        <v>74</v>
      </c>
      <c r="H778" s="13" t="s">
        <v>75</v>
      </c>
      <c r="I778" s="13"/>
      <c r="J778" s="13"/>
      <c r="K778" s="15">
        <v>0.0</v>
      </c>
      <c r="L778" s="15">
        <v>0.0</v>
      </c>
      <c r="M778" s="16"/>
      <c r="N778" s="16"/>
      <c r="O778" s="17"/>
      <c r="P778" s="17"/>
      <c r="Q778" s="13">
        <f t="shared" si="736"/>
        <v>0</v>
      </c>
      <c r="R778" s="13"/>
      <c r="S778" s="13"/>
      <c r="T778" s="13">
        <f t="shared" ref="T778:Y778" si="813">IF(ISBLANK(K778)=TRUE,0,1)</f>
        <v>1</v>
      </c>
      <c r="U778" s="13">
        <f t="shared" si="813"/>
        <v>1</v>
      </c>
      <c r="V778" s="13">
        <f t="shared" si="813"/>
        <v>0</v>
      </c>
      <c r="W778" s="13">
        <f t="shared" si="813"/>
        <v>0</v>
      </c>
      <c r="X778" s="13">
        <f t="shared" si="813"/>
        <v>0</v>
      </c>
      <c r="Y778" s="13">
        <f t="shared" si="813"/>
        <v>0</v>
      </c>
      <c r="Z778" s="13">
        <f t="shared" si="529"/>
        <v>0</v>
      </c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</row>
    <row r="779" ht="14.25" hidden="1" customHeight="1">
      <c r="A779" s="13" t="s">
        <v>36</v>
      </c>
      <c r="B779" s="13" t="s">
        <v>39</v>
      </c>
      <c r="C779" s="13" t="s">
        <v>552</v>
      </c>
      <c r="D779" s="13" t="s">
        <v>129</v>
      </c>
      <c r="E779" s="13" t="str">
        <f t="shared" si="735"/>
        <v>LA1,201-29B,CE,0</v>
      </c>
      <c r="F779" s="13"/>
      <c r="G779" s="13" t="s">
        <v>74</v>
      </c>
      <c r="H779" s="13" t="s">
        <v>75</v>
      </c>
      <c r="I779" s="13"/>
      <c r="J779" s="13"/>
      <c r="K779" s="15">
        <v>0.0</v>
      </c>
      <c r="L779" s="15">
        <v>0.0</v>
      </c>
      <c r="M779" s="16"/>
      <c r="N779" s="16"/>
      <c r="O779" s="17"/>
      <c r="P779" s="17"/>
      <c r="Q779" s="13">
        <f t="shared" si="736"/>
        <v>0</v>
      </c>
      <c r="R779" s="13"/>
      <c r="S779" s="13"/>
      <c r="T779" s="13">
        <f t="shared" ref="T779:Y779" si="814">IF(ISBLANK(K779)=TRUE,0,1)</f>
        <v>1</v>
      </c>
      <c r="U779" s="13">
        <f t="shared" si="814"/>
        <v>1</v>
      </c>
      <c r="V779" s="13">
        <f t="shared" si="814"/>
        <v>0</v>
      </c>
      <c r="W779" s="13">
        <f t="shared" si="814"/>
        <v>0</v>
      </c>
      <c r="X779" s="13">
        <f t="shared" si="814"/>
        <v>0</v>
      </c>
      <c r="Y779" s="13">
        <f t="shared" si="814"/>
        <v>0</v>
      </c>
      <c r="Z779" s="13">
        <f t="shared" si="529"/>
        <v>0</v>
      </c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</row>
    <row r="780" ht="14.25" hidden="1" customHeight="1">
      <c r="A780" s="13" t="s">
        <v>36</v>
      </c>
      <c r="B780" s="13" t="s">
        <v>39</v>
      </c>
      <c r="C780" s="13" t="s">
        <v>558</v>
      </c>
      <c r="D780" s="13" t="s">
        <v>559</v>
      </c>
      <c r="E780" s="13" t="str">
        <f t="shared" si="735"/>
        <v>LA1,201-29B-3,A,0</v>
      </c>
      <c r="F780" s="13"/>
      <c r="G780" s="13" t="s">
        <v>74</v>
      </c>
      <c r="H780" s="13" t="s">
        <v>75</v>
      </c>
      <c r="I780" s="14">
        <v>44915.0</v>
      </c>
      <c r="J780" s="14"/>
      <c r="K780" s="15">
        <v>0.0</v>
      </c>
      <c r="L780" s="15">
        <v>0.0</v>
      </c>
      <c r="M780" s="16"/>
      <c r="N780" s="16"/>
      <c r="O780" s="17"/>
      <c r="P780" s="17"/>
      <c r="Q780" s="13">
        <f t="shared" si="736"/>
        <v>0</v>
      </c>
      <c r="R780" s="13"/>
      <c r="S780" s="13"/>
      <c r="T780" s="13">
        <f t="shared" ref="T780:Y780" si="815">IF(ISBLANK(K780)=TRUE,0,1)</f>
        <v>1</v>
      </c>
      <c r="U780" s="13">
        <f t="shared" si="815"/>
        <v>1</v>
      </c>
      <c r="V780" s="13">
        <f t="shared" si="815"/>
        <v>0</v>
      </c>
      <c r="W780" s="13">
        <f t="shared" si="815"/>
        <v>0</v>
      </c>
      <c r="X780" s="13">
        <f t="shared" si="815"/>
        <v>0</v>
      </c>
      <c r="Y780" s="13">
        <f t="shared" si="815"/>
        <v>0</v>
      </c>
      <c r="Z780" s="13">
        <f t="shared" si="529"/>
        <v>0</v>
      </c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</row>
    <row r="781" ht="14.25" hidden="1" customHeight="1">
      <c r="A781" s="13" t="s">
        <v>36</v>
      </c>
      <c r="B781" s="13" t="s">
        <v>39</v>
      </c>
      <c r="C781" s="13" t="s">
        <v>558</v>
      </c>
      <c r="D781" s="13" t="s">
        <v>560</v>
      </c>
      <c r="E781" s="13" t="str">
        <f t="shared" si="735"/>
        <v>LA1,201-29B-3,B,0</v>
      </c>
      <c r="F781" s="13"/>
      <c r="G781" s="13" t="s">
        <v>74</v>
      </c>
      <c r="H781" s="13" t="s">
        <v>75</v>
      </c>
      <c r="I781" s="14">
        <v>44915.0</v>
      </c>
      <c r="J781" s="14"/>
      <c r="K781" s="15">
        <v>0.0</v>
      </c>
      <c r="L781" s="15">
        <v>0.0</v>
      </c>
      <c r="M781" s="16"/>
      <c r="N781" s="16"/>
      <c r="O781" s="17"/>
      <c r="P781" s="17"/>
      <c r="Q781" s="13">
        <f t="shared" si="736"/>
        <v>0</v>
      </c>
      <c r="R781" s="13"/>
      <c r="S781" s="13"/>
      <c r="T781" s="13">
        <f t="shared" ref="T781:Y781" si="816">IF(ISBLANK(K781)=TRUE,0,1)</f>
        <v>1</v>
      </c>
      <c r="U781" s="13">
        <f t="shared" si="816"/>
        <v>1</v>
      </c>
      <c r="V781" s="13">
        <f t="shared" si="816"/>
        <v>0</v>
      </c>
      <c r="W781" s="13">
        <f t="shared" si="816"/>
        <v>0</v>
      </c>
      <c r="X781" s="13">
        <f t="shared" si="816"/>
        <v>0</v>
      </c>
      <c r="Y781" s="13">
        <f t="shared" si="816"/>
        <v>0</v>
      </c>
      <c r="Z781" s="13">
        <f t="shared" si="529"/>
        <v>0</v>
      </c>
      <c r="AA781" s="13" t="s">
        <v>561</v>
      </c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</row>
    <row r="782" ht="14.25" hidden="1" customHeight="1">
      <c r="A782" s="13" t="s">
        <v>36</v>
      </c>
      <c r="B782" s="13" t="s">
        <v>39</v>
      </c>
      <c r="C782" s="13" t="s">
        <v>558</v>
      </c>
      <c r="D782" s="13" t="s">
        <v>562</v>
      </c>
      <c r="E782" s="13" t="str">
        <f t="shared" si="735"/>
        <v>LA1,201-29B-3,C,0</v>
      </c>
      <c r="F782" s="13"/>
      <c r="G782" s="13" t="s">
        <v>74</v>
      </c>
      <c r="H782" s="13" t="s">
        <v>75</v>
      </c>
      <c r="I782" s="14">
        <v>44915.0</v>
      </c>
      <c r="J782" s="14"/>
      <c r="K782" s="15">
        <v>0.0</v>
      </c>
      <c r="L782" s="15">
        <v>0.0</v>
      </c>
      <c r="M782" s="16"/>
      <c r="N782" s="16"/>
      <c r="O782" s="17"/>
      <c r="P782" s="17"/>
      <c r="Q782" s="13">
        <f t="shared" si="736"/>
        <v>0</v>
      </c>
      <c r="R782" s="13"/>
      <c r="S782" s="13"/>
      <c r="T782" s="13">
        <f t="shared" ref="T782:Y782" si="817">IF(ISBLANK(K782)=TRUE,0,1)</f>
        <v>1</v>
      </c>
      <c r="U782" s="13">
        <f t="shared" si="817"/>
        <v>1</v>
      </c>
      <c r="V782" s="13">
        <f t="shared" si="817"/>
        <v>0</v>
      </c>
      <c r="W782" s="13">
        <f t="shared" si="817"/>
        <v>0</v>
      </c>
      <c r="X782" s="13">
        <f t="shared" si="817"/>
        <v>0</v>
      </c>
      <c r="Y782" s="13">
        <f t="shared" si="817"/>
        <v>0</v>
      </c>
      <c r="Z782" s="13">
        <f t="shared" si="529"/>
        <v>0</v>
      </c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</row>
    <row r="783" ht="14.25" hidden="1" customHeight="1">
      <c r="A783" s="13" t="s">
        <v>36</v>
      </c>
      <c r="B783" s="13" t="s">
        <v>39</v>
      </c>
      <c r="C783" s="13" t="s">
        <v>558</v>
      </c>
      <c r="D783" s="13" t="s">
        <v>563</v>
      </c>
      <c r="E783" s="13" t="str">
        <f t="shared" si="735"/>
        <v>LA1,201-29B-3,D,0</v>
      </c>
      <c r="F783" s="13"/>
      <c r="G783" s="13" t="s">
        <v>74</v>
      </c>
      <c r="H783" s="13" t="s">
        <v>75</v>
      </c>
      <c r="I783" s="14">
        <v>44915.0</v>
      </c>
      <c r="J783" s="14"/>
      <c r="K783" s="15">
        <v>0.0</v>
      </c>
      <c r="L783" s="15">
        <v>0.0</v>
      </c>
      <c r="M783" s="16"/>
      <c r="N783" s="16"/>
      <c r="O783" s="17"/>
      <c r="P783" s="17"/>
      <c r="Q783" s="13">
        <f t="shared" si="736"/>
        <v>0</v>
      </c>
      <c r="R783" s="13"/>
      <c r="S783" s="13"/>
      <c r="T783" s="13">
        <f t="shared" ref="T783:Y783" si="818">IF(ISBLANK(K783)=TRUE,0,1)</f>
        <v>1</v>
      </c>
      <c r="U783" s="13">
        <f t="shared" si="818"/>
        <v>1</v>
      </c>
      <c r="V783" s="13">
        <f t="shared" si="818"/>
        <v>0</v>
      </c>
      <c r="W783" s="13">
        <f t="shared" si="818"/>
        <v>0</v>
      </c>
      <c r="X783" s="13">
        <f t="shared" si="818"/>
        <v>0</v>
      </c>
      <c r="Y783" s="13">
        <f t="shared" si="818"/>
        <v>0</v>
      </c>
      <c r="Z783" s="13">
        <f t="shared" si="529"/>
        <v>0</v>
      </c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</row>
    <row r="784" ht="14.25" hidden="1" customHeight="1">
      <c r="A784" s="13" t="s">
        <v>36</v>
      </c>
      <c r="B784" s="13" t="s">
        <v>39</v>
      </c>
      <c r="C784" s="13" t="s">
        <v>564</v>
      </c>
      <c r="D784" s="13" t="s">
        <v>174</v>
      </c>
      <c r="E784" s="13" t="str">
        <f t="shared" si="735"/>
        <v>LA1,201-29B-4,AA,0</v>
      </c>
      <c r="F784" s="13"/>
      <c r="G784" s="13" t="s">
        <v>74</v>
      </c>
      <c r="H784" s="13" t="s">
        <v>75</v>
      </c>
      <c r="I784" s="13"/>
      <c r="J784" s="13"/>
      <c r="K784" s="15">
        <v>0.0</v>
      </c>
      <c r="L784" s="15">
        <v>0.0</v>
      </c>
      <c r="M784" s="16"/>
      <c r="N784" s="16"/>
      <c r="O784" s="17"/>
      <c r="P784" s="17"/>
      <c r="Q784" s="13"/>
      <c r="R784" s="13"/>
      <c r="S784" s="13"/>
      <c r="T784" s="13">
        <f t="shared" ref="T784:Y784" si="819">IF(ISBLANK(K784)=TRUE,0,1)</f>
        <v>1</v>
      </c>
      <c r="U784" s="13">
        <f t="shared" si="819"/>
        <v>1</v>
      </c>
      <c r="V784" s="13">
        <f t="shared" si="819"/>
        <v>0</v>
      </c>
      <c r="W784" s="13">
        <f t="shared" si="819"/>
        <v>0</v>
      </c>
      <c r="X784" s="13">
        <f t="shared" si="819"/>
        <v>0</v>
      </c>
      <c r="Y784" s="13">
        <f t="shared" si="819"/>
        <v>0</v>
      </c>
      <c r="Z784" s="13">
        <f t="shared" si="529"/>
        <v>0</v>
      </c>
      <c r="AA784" s="13" t="s">
        <v>565</v>
      </c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</row>
    <row r="785" ht="14.25" hidden="1" customHeight="1">
      <c r="A785" s="13" t="s">
        <v>36</v>
      </c>
      <c r="B785" s="13" t="s">
        <v>39</v>
      </c>
      <c r="C785" s="13" t="s">
        <v>564</v>
      </c>
      <c r="D785" s="13" t="s">
        <v>175</v>
      </c>
      <c r="E785" s="13" t="str">
        <f t="shared" si="735"/>
        <v>LA1,201-29B-4,AB,0</v>
      </c>
      <c r="F785" s="13"/>
      <c r="G785" s="13" t="s">
        <v>74</v>
      </c>
      <c r="H785" s="13" t="s">
        <v>75</v>
      </c>
      <c r="I785" s="13"/>
      <c r="J785" s="13"/>
      <c r="K785" s="15">
        <v>0.0</v>
      </c>
      <c r="L785" s="15">
        <v>0.0</v>
      </c>
      <c r="M785" s="16"/>
      <c r="N785" s="16"/>
      <c r="O785" s="17"/>
      <c r="P785" s="17"/>
      <c r="Q785" s="13"/>
      <c r="R785" s="13"/>
      <c r="S785" s="13"/>
      <c r="T785" s="13">
        <f t="shared" ref="T785:Y785" si="820">IF(ISBLANK(K785)=TRUE,0,1)</f>
        <v>1</v>
      </c>
      <c r="U785" s="13">
        <f t="shared" si="820"/>
        <v>1</v>
      </c>
      <c r="V785" s="13">
        <f t="shared" si="820"/>
        <v>0</v>
      </c>
      <c r="W785" s="13">
        <f t="shared" si="820"/>
        <v>0</v>
      </c>
      <c r="X785" s="13">
        <f t="shared" si="820"/>
        <v>0</v>
      </c>
      <c r="Y785" s="13">
        <f t="shared" si="820"/>
        <v>0</v>
      </c>
      <c r="Z785" s="13">
        <f t="shared" si="529"/>
        <v>0</v>
      </c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</row>
    <row r="786" ht="14.25" hidden="1" customHeight="1">
      <c r="A786" s="13" t="s">
        <v>36</v>
      </c>
      <c r="B786" s="13" t="s">
        <v>39</v>
      </c>
      <c r="C786" s="13" t="s">
        <v>564</v>
      </c>
      <c r="D786" s="13" t="s">
        <v>176</v>
      </c>
      <c r="E786" s="13" t="str">
        <f t="shared" si="735"/>
        <v>LA1,201-29B-4,AC,0</v>
      </c>
      <c r="F786" s="13"/>
      <c r="G786" s="13" t="s">
        <v>74</v>
      </c>
      <c r="H786" s="13" t="s">
        <v>75</v>
      </c>
      <c r="I786" s="13"/>
      <c r="J786" s="13"/>
      <c r="K786" s="15">
        <v>0.0</v>
      </c>
      <c r="L786" s="15">
        <v>0.0</v>
      </c>
      <c r="M786" s="16"/>
      <c r="N786" s="16"/>
      <c r="O786" s="17"/>
      <c r="P786" s="17"/>
      <c r="Q786" s="13"/>
      <c r="R786" s="13"/>
      <c r="S786" s="13"/>
      <c r="T786" s="13">
        <f t="shared" ref="T786:Y786" si="821">IF(ISBLANK(K786)=TRUE,0,1)</f>
        <v>1</v>
      </c>
      <c r="U786" s="13">
        <f t="shared" si="821"/>
        <v>1</v>
      </c>
      <c r="V786" s="13">
        <f t="shared" si="821"/>
        <v>0</v>
      </c>
      <c r="W786" s="13">
        <f t="shared" si="821"/>
        <v>0</v>
      </c>
      <c r="X786" s="13">
        <f t="shared" si="821"/>
        <v>0</v>
      </c>
      <c r="Y786" s="13">
        <f t="shared" si="821"/>
        <v>0</v>
      </c>
      <c r="Z786" s="13">
        <f t="shared" si="529"/>
        <v>0</v>
      </c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</row>
    <row r="787" ht="14.25" hidden="1" customHeight="1">
      <c r="A787" s="13" t="s">
        <v>36</v>
      </c>
      <c r="B787" s="13" t="s">
        <v>39</v>
      </c>
      <c r="C787" s="13" t="s">
        <v>564</v>
      </c>
      <c r="D787" s="13" t="s">
        <v>177</v>
      </c>
      <c r="E787" s="13" t="str">
        <f t="shared" si="735"/>
        <v>LA1,201-29B-4,AD,0</v>
      </c>
      <c r="F787" s="13"/>
      <c r="G787" s="13" t="s">
        <v>74</v>
      </c>
      <c r="H787" s="13" t="s">
        <v>75</v>
      </c>
      <c r="I787" s="13"/>
      <c r="J787" s="13"/>
      <c r="K787" s="15">
        <v>0.0</v>
      </c>
      <c r="L787" s="15">
        <v>0.0</v>
      </c>
      <c r="M787" s="16"/>
      <c r="N787" s="16"/>
      <c r="O787" s="17"/>
      <c r="P787" s="17"/>
      <c r="Q787" s="13"/>
      <c r="R787" s="13"/>
      <c r="S787" s="13"/>
      <c r="T787" s="13">
        <f t="shared" ref="T787:Y787" si="822">IF(ISBLANK(K787)=TRUE,0,1)</f>
        <v>1</v>
      </c>
      <c r="U787" s="13">
        <f t="shared" si="822"/>
        <v>1</v>
      </c>
      <c r="V787" s="13">
        <f t="shared" si="822"/>
        <v>0</v>
      </c>
      <c r="W787" s="13">
        <f t="shared" si="822"/>
        <v>0</v>
      </c>
      <c r="X787" s="13">
        <f t="shared" si="822"/>
        <v>0</v>
      </c>
      <c r="Y787" s="13">
        <f t="shared" si="822"/>
        <v>0</v>
      </c>
      <c r="Z787" s="13">
        <f t="shared" si="529"/>
        <v>0</v>
      </c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</row>
    <row r="788" ht="14.25" hidden="1" customHeight="1">
      <c r="A788" s="13" t="s">
        <v>36</v>
      </c>
      <c r="B788" s="13" t="s">
        <v>39</v>
      </c>
      <c r="C788" s="13" t="s">
        <v>564</v>
      </c>
      <c r="D788" s="13" t="s">
        <v>178</v>
      </c>
      <c r="E788" s="13" t="str">
        <f t="shared" si="735"/>
        <v>LA1,201-29B-4,AE,0</v>
      </c>
      <c r="F788" s="13"/>
      <c r="G788" s="13" t="s">
        <v>74</v>
      </c>
      <c r="H788" s="13" t="s">
        <v>75</v>
      </c>
      <c r="I788" s="13"/>
      <c r="J788" s="13"/>
      <c r="K788" s="15">
        <v>0.0</v>
      </c>
      <c r="L788" s="15">
        <v>0.0</v>
      </c>
      <c r="M788" s="16"/>
      <c r="N788" s="16"/>
      <c r="O788" s="17"/>
      <c r="P788" s="17"/>
      <c r="Q788" s="13"/>
      <c r="R788" s="13"/>
      <c r="S788" s="13"/>
      <c r="T788" s="13">
        <f t="shared" ref="T788:Y788" si="823">IF(ISBLANK(K788)=TRUE,0,1)</f>
        <v>1</v>
      </c>
      <c r="U788" s="13">
        <f t="shared" si="823"/>
        <v>1</v>
      </c>
      <c r="V788" s="13">
        <f t="shared" si="823"/>
        <v>0</v>
      </c>
      <c r="W788" s="13">
        <f t="shared" si="823"/>
        <v>0</v>
      </c>
      <c r="X788" s="13">
        <f t="shared" si="823"/>
        <v>0</v>
      </c>
      <c r="Y788" s="13">
        <f t="shared" si="823"/>
        <v>0</v>
      </c>
      <c r="Z788" s="13">
        <f t="shared" si="529"/>
        <v>0</v>
      </c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</row>
    <row r="789" ht="14.25" hidden="1" customHeight="1">
      <c r="A789" s="13" t="s">
        <v>36</v>
      </c>
      <c r="B789" s="13" t="s">
        <v>39</v>
      </c>
      <c r="C789" s="13" t="s">
        <v>564</v>
      </c>
      <c r="D789" s="13" t="s">
        <v>179</v>
      </c>
      <c r="E789" s="13" t="str">
        <f t="shared" si="735"/>
        <v>LA1,201-29B-4,AF,0</v>
      </c>
      <c r="F789" s="13"/>
      <c r="G789" s="13" t="s">
        <v>74</v>
      </c>
      <c r="H789" s="13" t="s">
        <v>75</v>
      </c>
      <c r="I789" s="13"/>
      <c r="J789" s="13"/>
      <c r="K789" s="15">
        <v>0.0</v>
      </c>
      <c r="L789" s="15">
        <v>0.0</v>
      </c>
      <c r="M789" s="16"/>
      <c r="N789" s="16"/>
      <c r="O789" s="17"/>
      <c r="P789" s="17"/>
      <c r="Q789" s="13"/>
      <c r="R789" s="13"/>
      <c r="S789" s="13"/>
      <c r="T789" s="13">
        <f t="shared" ref="T789:Y789" si="824">IF(ISBLANK(K789)=TRUE,0,1)</f>
        <v>1</v>
      </c>
      <c r="U789" s="13">
        <f t="shared" si="824"/>
        <v>1</v>
      </c>
      <c r="V789" s="13">
        <f t="shared" si="824"/>
        <v>0</v>
      </c>
      <c r="W789" s="13">
        <f t="shared" si="824"/>
        <v>0</v>
      </c>
      <c r="X789" s="13">
        <f t="shared" si="824"/>
        <v>0</v>
      </c>
      <c r="Y789" s="13">
        <f t="shared" si="824"/>
        <v>0</v>
      </c>
      <c r="Z789" s="13">
        <f t="shared" si="529"/>
        <v>0</v>
      </c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</row>
    <row r="790" ht="14.25" hidden="1" customHeight="1">
      <c r="A790" s="13" t="s">
        <v>36</v>
      </c>
      <c r="B790" s="13" t="s">
        <v>39</v>
      </c>
      <c r="C790" s="13" t="s">
        <v>564</v>
      </c>
      <c r="D790" s="13" t="s">
        <v>180</v>
      </c>
      <c r="E790" s="13" t="str">
        <f t="shared" si="735"/>
        <v>LA1,201-29B-4,AG,0</v>
      </c>
      <c r="F790" s="13"/>
      <c r="G790" s="13" t="s">
        <v>74</v>
      </c>
      <c r="H790" s="13" t="s">
        <v>75</v>
      </c>
      <c r="I790" s="13"/>
      <c r="J790" s="13"/>
      <c r="K790" s="15">
        <v>0.0</v>
      </c>
      <c r="L790" s="15">
        <v>0.0</v>
      </c>
      <c r="M790" s="16"/>
      <c r="N790" s="16"/>
      <c r="O790" s="17"/>
      <c r="P790" s="17"/>
      <c r="Q790" s="13"/>
      <c r="R790" s="13"/>
      <c r="S790" s="13"/>
      <c r="T790" s="13">
        <f t="shared" ref="T790:Y790" si="825">IF(ISBLANK(K790)=TRUE,0,1)</f>
        <v>1</v>
      </c>
      <c r="U790" s="13">
        <f t="shared" si="825"/>
        <v>1</v>
      </c>
      <c r="V790" s="13">
        <f t="shared" si="825"/>
        <v>0</v>
      </c>
      <c r="W790" s="13">
        <f t="shared" si="825"/>
        <v>0</v>
      </c>
      <c r="X790" s="13">
        <f t="shared" si="825"/>
        <v>0</v>
      </c>
      <c r="Y790" s="13">
        <f t="shared" si="825"/>
        <v>0</v>
      </c>
      <c r="Z790" s="13">
        <f t="shared" si="529"/>
        <v>0</v>
      </c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</row>
    <row r="791" ht="14.25" hidden="1" customHeight="1">
      <c r="A791" s="13" t="s">
        <v>36</v>
      </c>
      <c r="B791" s="13" t="s">
        <v>39</v>
      </c>
      <c r="C791" s="13" t="s">
        <v>564</v>
      </c>
      <c r="D791" s="13" t="s">
        <v>181</v>
      </c>
      <c r="E791" s="13" t="str">
        <f t="shared" si="735"/>
        <v>LA1,201-29B-4,AH,0</v>
      </c>
      <c r="F791" s="13"/>
      <c r="G791" s="13" t="s">
        <v>74</v>
      </c>
      <c r="H791" s="13" t="s">
        <v>75</v>
      </c>
      <c r="I791" s="13"/>
      <c r="J791" s="13"/>
      <c r="K791" s="15">
        <v>0.0</v>
      </c>
      <c r="L791" s="15">
        <v>0.0</v>
      </c>
      <c r="M791" s="16"/>
      <c r="N791" s="16"/>
      <c r="O791" s="17"/>
      <c r="P791" s="17"/>
      <c r="Q791" s="13"/>
      <c r="R791" s="13"/>
      <c r="S791" s="13"/>
      <c r="T791" s="13">
        <f t="shared" ref="T791:Y791" si="826">IF(ISBLANK(K791)=TRUE,0,1)</f>
        <v>1</v>
      </c>
      <c r="U791" s="13">
        <f t="shared" si="826"/>
        <v>1</v>
      </c>
      <c r="V791" s="13">
        <f t="shared" si="826"/>
        <v>0</v>
      </c>
      <c r="W791" s="13">
        <f t="shared" si="826"/>
        <v>0</v>
      </c>
      <c r="X791" s="13">
        <f t="shared" si="826"/>
        <v>0</v>
      </c>
      <c r="Y791" s="13">
        <f t="shared" si="826"/>
        <v>0</v>
      </c>
      <c r="Z791" s="13">
        <f t="shared" si="529"/>
        <v>0</v>
      </c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</row>
    <row r="792" ht="14.25" hidden="1" customHeight="1">
      <c r="A792" s="13" t="s">
        <v>36</v>
      </c>
      <c r="B792" s="13" t="s">
        <v>39</v>
      </c>
      <c r="C792" s="13" t="s">
        <v>564</v>
      </c>
      <c r="D792" s="13" t="s">
        <v>182</v>
      </c>
      <c r="E792" s="13" t="str">
        <f t="shared" si="735"/>
        <v>LA1,201-29B-4,AI,0</v>
      </c>
      <c r="F792" s="13"/>
      <c r="G792" s="13" t="s">
        <v>74</v>
      </c>
      <c r="H792" s="13" t="s">
        <v>75</v>
      </c>
      <c r="I792" s="13"/>
      <c r="J792" s="13"/>
      <c r="K792" s="15">
        <v>0.0</v>
      </c>
      <c r="L792" s="15">
        <v>0.0</v>
      </c>
      <c r="M792" s="16"/>
      <c r="N792" s="16"/>
      <c r="O792" s="17"/>
      <c r="P792" s="17"/>
      <c r="Q792" s="13"/>
      <c r="R792" s="13"/>
      <c r="S792" s="13"/>
      <c r="T792" s="13">
        <f t="shared" ref="T792:Y792" si="827">IF(ISBLANK(K792)=TRUE,0,1)</f>
        <v>1</v>
      </c>
      <c r="U792" s="13">
        <f t="shared" si="827"/>
        <v>1</v>
      </c>
      <c r="V792" s="13">
        <f t="shared" si="827"/>
        <v>0</v>
      </c>
      <c r="W792" s="13">
        <f t="shared" si="827"/>
        <v>0</v>
      </c>
      <c r="X792" s="13">
        <f t="shared" si="827"/>
        <v>0</v>
      </c>
      <c r="Y792" s="13">
        <f t="shared" si="827"/>
        <v>0</v>
      </c>
      <c r="Z792" s="13">
        <f t="shared" si="529"/>
        <v>0</v>
      </c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</row>
    <row r="793" ht="14.25" hidden="1" customHeight="1">
      <c r="A793" s="13" t="s">
        <v>36</v>
      </c>
      <c r="B793" s="13" t="s">
        <v>39</v>
      </c>
      <c r="C793" s="13" t="s">
        <v>564</v>
      </c>
      <c r="D793" s="13" t="s">
        <v>183</v>
      </c>
      <c r="E793" s="13" t="str">
        <f t="shared" si="735"/>
        <v>LA1,201-29B-4,AJ,0</v>
      </c>
      <c r="F793" s="13"/>
      <c r="G793" s="13" t="s">
        <v>74</v>
      </c>
      <c r="H793" s="13" t="s">
        <v>75</v>
      </c>
      <c r="I793" s="13"/>
      <c r="J793" s="13"/>
      <c r="K793" s="15">
        <v>0.0</v>
      </c>
      <c r="L793" s="15">
        <v>0.0</v>
      </c>
      <c r="M793" s="16"/>
      <c r="N793" s="16"/>
      <c r="O793" s="17"/>
      <c r="P793" s="17"/>
      <c r="Q793" s="13"/>
      <c r="R793" s="13"/>
      <c r="S793" s="13"/>
      <c r="T793" s="13">
        <f t="shared" ref="T793:Y793" si="828">IF(ISBLANK(K793)=TRUE,0,1)</f>
        <v>1</v>
      </c>
      <c r="U793" s="13">
        <f t="shared" si="828"/>
        <v>1</v>
      </c>
      <c r="V793" s="13">
        <f t="shared" si="828"/>
        <v>0</v>
      </c>
      <c r="W793" s="13">
        <f t="shared" si="828"/>
        <v>0</v>
      </c>
      <c r="X793" s="13">
        <f t="shared" si="828"/>
        <v>0</v>
      </c>
      <c r="Y793" s="13">
        <f t="shared" si="828"/>
        <v>0</v>
      </c>
      <c r="Z793" s="13">
        <f t="shared" si="529"/>
        <v>0</v>
      </c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</row>
    <row r="794" ht="14.25" hidden="1" customHeight="1">
      <c r="A794" s="13" t="s">
        <v>36</v>
      </c>
      <c r="B794" s="13" t="s">
        <v>39</v>
      </c>
      <c r="C794" s="13" t="s">
        <v>564</v>
      </c>
      <c r="D794" s="13" t="s">
        <v>184</v>
      </c>
      <c r="E794" s="13" t="str">
        <f t="shared" si="735"/>
        <v>LA1,201-29B-4,AK,0</v>
      </c>
      <c r="F794" s="13"/>
      <c r="G794" s="13" t="s">
        <v>74</v>
      </c>
      <c r="H794" s="13" t="s">
        <v>75</v>
      </c>
      <c r="I794" s="13"/>
      <c r="J794" s="13"/>
      <c r="K794" s="15">
        <v>0.0</v>
      </c>
      <c r="L794" s="15">
        <v>0.0</v>
      </c>
      <c r="M794" s="16"/>
      <c r="N794" s="16"/>
      <c r="O794" s="17"/>
      <c r="P794" s="17"/>
      <c r="Q794" s="13"/>
      <c r="R794" s="13"/>
      <c r="S794" s="13"/>
      <c r="T794" s="13">
        <f t="shared" ref="T794:Y794" si="829">IF(ISBLANK(K794)=TRUE,0,1)</f>
        <v>1</v>
      </c>
      <c r="U794" s="13">
        <f t="shared" si="829"/>
        <v>1</v>
      </c>
      <c r="V794" s="13">
        <f t="shared" si="829"/>
        <v>0</v>
      </c>
      <c r="W794" s="13">
        <f t="shared" si="829"/>
        <v>0</v>
      </c>
      <c r="X794" s="13">
        <f t="shared" si="829"/>
        <v>0</v>
      </c>
      <c r="Y794" s="13">
        <f t="shared" si="829"/>
        <v>0</v>
      </c>
      <c r="Z794" s="13">
        <f t="shared" si="529"/>
        <v>0</v>
      </c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</row>
    <row r="795" ht="14.25" hidden="1" customHeight="1">
      <c r="A795" s="13" t="s">
        <v>36</v>
      </c>
      <c r="B795" s="13" t="s">
        <v>39</v>
      </c>
      <c r="C795" s="13" t="s">
        <v>564</v>
      </c>
      <c r="D795" s="13" t="s">
        <v>185</v>
      </c>
      <c r="E795" s="13" t="str">
        <f t="shared" si="735"/>
        <v>LA1,201-29B-4,AL,0</v>
      </c>
      <c r="F795" s="13"/>
      <c r="G795" s="13" t="s">
        <v>74</v>
      </c>
      <c r="H795" s="13" t="s">
        <v>75</v>
      </c>
      <c r="I795" s="13"/>
      <c r="J795" s="13"/>
      <c r="K795" s="15">
        <v>0.0</v>
      </c>
      <c r="L795" s="15">
        <v>0.0</v>
      </c>
      <c r="M795" s="16"/>
      <c r="N795" s="16"/>
      <c r="O795" s="17"/>
      <c r="P795" s="17"/>
      <c r="Q795" s="13"/>
      <c r="R795" s="13"/>
      <c r="S795" s="13"/>
      <c r="T795" s="13">
        <f t="shared" ref="T795:Y795" si="830">IF(ISBLANK(K795)=TRUE,0,1)</f>
        <v>1</v>
      </c>
      <c r="U795" s="13">
        <f t="shared" si="830"/>
        <v>1</v>
      </c>
      <c r="V795" s="13">
        <f t="shared" si="830"/>
        <v>0</v>
      </c>
      <c r="W795" s="13">
        <f t="shared" si="830"/>
        <v>0</v>
      </c>
      <c r="X795" s="13">
        <f t="shared" si="830"/>
        <v>0</v>
      </c>
      <c r="Y795" s="13">
        <f t="shared" si="830"/>
        <v>0</v>
      </c>
      <c r="Z795" s="13">
        <f t="shared" si="529"/>
        <v>0</v>
      </c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</row>
    <row r="796" ht="14.25" hidden="1" customHeight="1">
      <c r="A796" s="13" t="s">
        <v>36</v>
      </c>
      <c r="B796" s="13" t="s">
        <v>39</v>
      </c>
      <c r="C796" s="13" t="s">
        <v>564</v>
      </c>
      <c r="D796" s="13" t="s">
        <v>186</v>
      </c>
      <c r="E796" s="13" t="str">
        <f t="shared" si="735"/>
        <v>LA1,201-29B-4,AM,0</v>
      </c>
      <c r="F796" s="13"/>
      <c r="G796" s="13" t="s">
        <v>74</v>
      </c>
      <c r="H796" s="13" t="s">
        <v>75</v>
      </c>
      <c r="I796" s="13"/>
      <c r="J796" s="13"/>
      <c r="K796" s="15">
        <v>0.0</v>
      </c>
      <c r="L796" s="15">
        <v>0.0</v>
      </c>
      <c r="M796" s="16"/>
      <c r="N796" s="16"/>
      <c r="O796" s="17"/>
      <c r="P796" s="17"/>
      <c r="Q796" s="13"/>
      <c r="R796" s="13"/>
      <c r="S796" s="13"/>
      <c r="T796" s="13">
        <f t="shared" ref="T796:Y796" si="831">IF(ISBLANK(K796)=TRUE,0,1)</f>
        <v>1</v>
      </c>
      <c r="U796" s="13">
        <f t="shared" si="831"/>
        <v>1</v>
      </c>
      <c r="V796" s="13">
        <f t="shared" si="831"/>
        <v>0</v>
      </c>
      <c r="W796" s="13">
        <f t="shared" si="831"/>
        <v>0</v>
      </c>
      <c r="X796" s="13">
        <f t="shared" si="831"/>
        <v>0</v>
      </c>
      <c r="Y796" s="13">
        <f t="shared" si="831"/>
        <v>0</v>
      </c>
      <c r="Z796" s="13">
        <f t="shared" si="529"/>
        <v>0</v>
      </c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</row>
    <row r="797" ht="14.25" hidden="1" customHeight="1">
      <c r="A797" s="13" t="s">
        <v>36</v>
      </c>
      <c r="B797" s="13" t="s">
        <v>39</v>
      </c>
      <c r="C797" s="13" t="s">
        <v>564</v>
      </c>
      <c r="D797" s="13" t="s">
        <v>187</v>
      </c>
      <c r="E797" s="13" t="str">
        <f t="shared" si="735"/>
        <v>LA1,201-29B-4,AN,0</v>
      </c>
      <c r="F797" s="13"/>
      <c r="G797" s="13" t="s">
        <v>74</v>
      </c>
      <c r="H797" s="13" t="s">
        <v>75</v>
      </c>
      <c r="I797" s="13"/>
      <c r="J797" s="13"/>
      <c r="K797" s="15">
        <v>0.0</v>
      </c>
      <c r="L797" s="15">
        <v>0.0</v>
      </c>
      <c r="M797" s="16"/>
      <c r="N797" s="16"/>
      <c r="O797" s="17"/>
      <c r="P797" s="17"/>
      <c r="Q797" s="13"/>
      <c r="R797" s="13"/>
      <c r="S797" s="13"/>
      <c r="T797" s="13">
        <f t="shared" ref="T797:Y797" si="832">IF(ISBLANK(K797)=TRUE,0,1)</f>
        <v>1</v>
      </c>
      <c r="U797" s="13">
        <f t="shared" si="832"/>
        <v>1</v>
      </c>
      <c r="V797" s="13">
        <f t="shared" si="832"/>
        <v>0</v>
      </c>
      <c r="W797" s="13">
        <f t="shared" si="832"/>
        <v>0</v>
      </c>
      <c r="X797" s="13">
        <f t="shared" si="832"/>
        <v>0</v>
      </c>
      <c r="Y797" s="13">
        <f t="shared" si="832"/>
        <v>0</v>
      </c>
      <c r="Z797" s="13">
        <f t="shared" si="529"/>
        <v>0</v>
      </c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</row>
    <row r="798" ht="14.25" hidden="1" customHeight="1">
      <c r="A798" s="13" t="s">
        <v>36</v>
      </c>
      <c r="B798" s="13" t="s">
        <v>39</v>
      </c>
      <c r="C798" s="13" t="s">
        <v>564</v>
      </c>
      <c r="D798" s="13" t="s">
        <v>188</v>
      </c>
      <c r="E798" s="13" t="str">
        <f t="shared" si="735"/>
        <v>LA1,201-29B-4,AO,0</v>
      </c>
      <c r="F798" s="13"/>
      <c r="G798" s="13" t="s">
        <v>74</v>
      </c>
      <c r="H798" s="13" t="s">
        <v>75</v>
      </c>
      <c r="I798" s="13"/>
      <c r="J798" s="13"/>
      <c r="K798" s="15">
        <v>0.0</v>
      </c>
      <c r="L798" s="15">
        <v>0.0</v>
      </c>
      <c r="M798" s="16"/>
      <c r="N798" s="16"/>
      <c r="O798" s="17"/>
      <c r="P798" s="17"/>
      <c r="Q798" s="13"/>
      <c r="R798" s="13"/>
      <c r="S798" s="13"/>
      <c r="T798" s="13">
        <f t="shared" ref="T798:Y798" si="833">IF(ISBLANK(K798)=TRUE,0,1)</f>
        <v>1</v>
      </c>
      <c r="U798" s="13">
        <f t="shared" si="833"/>
        <v>1</v>
      </c>
      <c r="V798" s="13">
        <f t="shared" si="833"/>
        <v>0</v>
      </c>
      <c r="W798" s="13">
        <f t="shared" si="833"/>
        <v>0</v>
      </c>
      <c r="X798" s="13">
        <f t="shared" si="833"/>
        <v>0</v>
      </c>
      <c r="Y798" s="13">
        <f t="shared" si="833"/>
        <v>0</v>
      </c>
      <c r="Z798" s="13">
        <f t="shared" si="529"/>
        <v>0</v>
      </c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</row>
    <row r="799" ht="14.25" hidden="1" customHeight="1">
      <c r="A799" s="13" t="s">
        <v>36</v>
      </c>
      <c r="B799" s="13" t="s">
        <v>39</v>
      </c>
      <c r="C799" s="13" t="s">
        <v>564</v>
      </c>
      <c r="D799" s="13" t="s">
        <v>189</v>
      </c>
      <c r="E799" s="13" t="str">
        <f t="shared" si="735"/>
        <v>LA1,201-29B-4,AP,0</v>
      </c>
      <c r="F799" s="13"/>
      <c r="G799" s="13" t="s">
        <v>74</v>
      </c>
      <c r="H799" s="13" t="s">
        <v>75</v>
      </c>
      <c r="I799" s="13"/>
      <c r="J799" s="13"/>
      <c r="K799" s="15">
        <v>0.0</v>
      </c>
      <c r="L799" s="15">
        <v>0.0</v>
      </c>
      <c r="M799" s="16"/>
      <c r="N799" s="16"/>
      <c r="O799" s="17"/>
      <c r="P799" s="17"/>
      <c r="Q799" s="13"/>
      <c r="R799" s="13"/>
      <c r="S799" s="13"/>
      <c r="T799" s="13">
        <f t="shared" ref="T799:Y799" si="834">IF(ISBLANK(K799)=TRUE,0,1)</f>
        <v>1</v>
      </c>
      <c r="U799" s="13">
        <f t="shared" si="834"/>
        <v>1</v>
      </c>
      <c r="V799" s="13">
        <f t="shared" si="834"/>
        <v>0</v>
      </c>
      <c r="W799" s="13">
        <f t="shared" si="834"/>
        <v>0</v>
      </c>
      <c r="X799" s="13">
        <f t="shared" si="834"/>
        <v>0</v>
      </c>
      <c r="Y799" s="13">
        <f t="shared" si="834"/>
        <v>0</v>
      </c>
      <c r="Z799" s="13">
        <f t="shared" si="529"/>
        <v>0</v>
      </c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</row>
    <row r="800" ht="14.25" hidden="1" customHeight="1">
      <c r="A800" s="13" t="s">
        <v>36</v>
      </c>
      <c r="B800" s="13" t="s">
        <v>39</v>
      </c>
      <c r="C800" s="13" t="s">
        <v>564</v>
      </c>
      <c r="D800" s="13" t="s">
        <v>190</v>
      </c>
      <c r="E800" s="13" t="str">
        <f t="shared" si="735"/>
        <v>LA1,201-29B-4,AQ,0</v>
      </c>
      <c r="F800" s="13"/>
      <c r="G800" s="13" t="s">
        <v>74</v>
      </c>
      <c r="H800" s="13" t="s">
        <v>75</v>
      </c>
      <c r="I800" s="13"/>
      <c r="J800" s="13"/>
      <c r="K800" s="15">
        <v>0.0</v>
      </c>
      <c r="L800" s="15">
        <v>0.0</v>
      </c>
      <c r="M800" s="16"/>
      <c r="N800" s="16"/>
      <c r="O800" s="17"/>
      <c r="P800" s="17"/>
      <c r="Q800" s="13"/>
      <c r="R800" s="13"/>
      <c r="S800" s="13"/>
      <c r="T800" s="13">
        <f t="shared" ref="T800:Y800" si="835">IF(ISBLANK(K800)=TRUE,0,1)</f>
        <v>1</v>
      </c>
      <c r="U800" s="13">
        <f t="shared" si="835"/>
        <v>1</v>
      </c>
      <c r="V800" s="13">
        <f t="shared" si="835"/>
        <v>0</v>
      </c>
      <c r="W800" s="13">
        <f t="shared" si="835"/>
        <v>0</v>
      </c>
      <c r="X800" s="13">
        <f t="shared" si="835"/>
        <v>0</v>
      </c>
      <c r="Y800" s="13">
        <f t="shared" si="835"/>
        <v>0</v>
      </c>
      <c r="Z800" s="13">
        <f t="shared" si="529"/>
        <v>0</v>
      </c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</row>
    <row r="801" ht="14.25" hidden="1" customHeight="1">
      <c r="A801" s="13" t="s">
        <v>36</v>
      </c>
      <c r="B801" s="13" t="s">
        <v>39</v>
      </c>
      <c r="C801" s="13" t="s">
        <v>564</v>
      </c>
      <c r="D801" s="13" t="s">
        <v>191</v>
      </c>
      <c r="E801" s="13" t="str">
        <f t="shared" si="735"/>
        <v>LA1,201-29B-4,AR,0</v>
      </c>
      <c r="F801" s="13"/>
      <c r="G801" s="13" t="s">
        <v>74</v>
      </c>
      <c r="H801" s="13" t="s">
        <v>75</v>
      </c>
      <c r="I801" s="13"/>
      <c r="J801" s="13"/>
      <c r="K801" s="15">
        <v>0.0</v>
      </c>
      <c r="L801" s="15">
        <v>0.0</v>
      </c>
      <c r="M801" s="16"/>
      <c r="N801" s="16"/>
      <c r="O801" s="17"/>
      <c r="P801" s="17"/>
      <c r="Q801" s="13"/>
      <c r="R801" s="13"/>
      <c r="S801" s="13"/>
      <c r="T801" s="13">
        <f t="shared" ref="T801:Y801" si="836">IF(ISBLANK(K801)=TRUE,0,1)</f>
        <v>1</v>
      </c>
      <c r="U801" s="13">
        <f t="shared" si="836"/>
        <v>1</v>
      </c>
      <c r="V801" s="13">
        <f t="shared" si="836"/>
        <v>0</v>
      </c>
      <c r="W801" s="13">
        <f t="shared" si="836"/>
        <v>0</v>
      </c>
      <c r="X801" s="13">
        <f t="shared" si="836"/>
        <v>0</v>
      </c>
      <c r="Y801" s="13">
        <f t="shared" si="836"/>
        <v>0</v>
      </c>
      <c r="Z801" s="13">
        <f t="shared" si="529"/>
        <v>0</v>
      </c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</row>
    <row r="802" ht="14.25" hidden="1" customHeight="1">
      <c r="A802" s="13" t="s">
        <v>36</v>
      </c>
      <c r="B802" s="13" t="s">
        <v>39</v>
      </c>
      <c r="C802" s="13" t="s">
        <v>564</v>
      </c>
      <c r="D802" s="13" t="s">
        <v>192</v>
      </c>
      <c r="E802" s="13" t="str">
        <f t="shared" si="735"/>
        <v>LA1,201-29B-4,AS,0</v>
      </c>
      <c r="F802" s="13"/>
      <c r="G802" s="13" t="s">
        <v>74</v>
      </c>
      <c r="H802" s="13" t="s">
        <v>75</v>
      </c>
      <c r="I802" s="13"/>
      <c r="J802" s="13"/>
      <c r="K802" s="15">
        <v>0.0</v>
      </c>
      <c r="L802" s="15">
        <v>0.0</v>
      </c>
      <c r="M802" s="16"/>
      <c r="N802" s="16"/>
      <c r="O802" s="17"/>
      <c r="P802" s="17"/>
      <c r="Q802" s="13"/>
      <c r="R802" s="13"/>
      <c r="S802" s="13"/>
      <c r="T802" s="13">
        <f t="shared" ref="T802:Y802" si="837">IF(ISBLANK(K802)=TRUE,0,1)</f>
        <v>1</v>
      </c>
      <c r="U802" s="13">
        <f t="shared" si="837"/>
        <v>1</v>
      </c>
      <c r="V802" s="13">
        <f t="shared" si="837"/>
        <v>0</v>
      </c>
      <c r="W802" s="13">
        <f t="shared" si="837"/>
        <v>0</v>
      </c>
      <c r="X802" s="13">
        <f t="shared" si="837"/>
        <v>0</v>
      </c>
      <c r="Y802" s="13">
        <f t="shared" si="837"/>
        <v>0</v>
      </c>
      <c r="Z802" s="13">
        <f t="shared" si="529"/>
        <v>0</v>
      </c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</row>
    <row r="803" ht="14.25" hidden="1" customHeight="1">
      <c r="A803" s="13" t="s">
        <v>36</v>
      </c>
      <c r="B803" s="13" t="s">
        <v>39</v>
      </c>
      <c r="C803" s="13" t="s">
        <v>564</v>
      </c>
      <c r="D803" s="13" t="s">
        <v>193</v>
      </c>
      <c r="E803" s="13" t="str">
        <f t="shared" si="735"/>
        <v>LA1,201-29B-4,AT,0</v>
      </c>
      <c r="F803" s="13"/>
      <c r="G803" s="13" t="s">
        <v>74</v>
      </c>
      <c r="H803" s="13" t="s">
        <v>75</v>
      </c>
      <c r="I803" s="13"/>
      <c r="J803" s="13"/>
      <c r="K803" s="15">
        <v>0.0</v>
      </c>
      <c r="L803" s="15">
        <v>0.0</v>
      </c>
      <c r="M803" s="16"/>
      <c r="N803" s="16"/>
      <c r="O803" s="17"/>
      <c r="P803" s="17"/>
      <c r="Q803" s="13"/>
      <c r="R803" s="13"/>
      <c r="S803" s="13"/>
      <c r="T803" s="13">
        <f t="shared" ref="T803:Y803" si="838">IF(ISBLANK(K803)=TRUE,0,1)</f>
        <v>1</v>
      </c>
      <c r="U803" s="13">
        <f t="shared" si="838"/>
        <v>1</v>
      </c>
      <c r="V803" s="13">
        <f t="shared" si="838"/>
        <v>0</v>
      </c>
      <c r="W803" s="13">
        <f t="shared" si="838"/>
        <v>0</v>
      </c>
      <c r="X803" s="13">
        <f t="shared" si="838"/>
        <v>0</v>
      </c>
      <c r="Y803" s="13">
        <f t="shared" si="838"/>
        <v>0</v>
      </c>
      <c r="Z803" s="13">
        <f t="shared" si="529"/>
        <v>0</v>
      </c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</row>
    <row r="804" ht="14.25" hidden="1" customHeight="1">
      <c r="A804" s="13" t="s">
        <v>36</v>
      </c>
      <c r="B804" s="13" t="s">
        <v>39</v>
      </c>
      <c r="C804" s="13" t="s">
        <v>564</v>
      </c>
      <c r="D804" s="13" t="s">
        <v>194</v>
      </c>
      <c r="E804" s="13" t="str">
        <f t="shared" si="735"/>
        <v>LA1,201-29B-4,AU,0</v>
      </c>
      <c r="F804" s="13"/>
      <c r="G804" s="13" t="s">
        <v>74</v>
      </c>
      <c r="H804" s="13" t="s">
        <v>75</v>
      </c>
      <c r="I804" s="13"/>
      <c r="J804" s="13"/>
      <c r="K804" s="15">
        <v>0.0</v>
      </c>
      <c r="L804" s="15">
        <v>0.0</v>
      </c>
      <c r="M804" s="16"/>
      <c r="N804" s="16"/>
      <c r="O804" s="17"/>
      <c r="P804" s="17"/>
      <c r="Q804" s="13"/>
      <c r="R804" s="13"/>
      <c r="S804" s="13"/>
      <c r="T804" s="13">
        <f t="shared" ref="T804:Y804" si="839">IF(ISBLANK(K804)=TRUE,0,1)</f>
        <v>1</v>
      </c>
      <c r="U804" s="13">
        <f t="shared" si="839"/>
        <v>1</v>
      </c>
      <c r="V804" s="13">
        <f t="shared" si="839"/>
        <v>0</v>
      </c>
      <c r="W804" s="13">
        <f t="shared" si="839"/>
        <v>0</v>
      </c>
      <c r="X804" s="13">
        <f t="shared" si="839"/>
        <v>0</v>
      </c>
      <c r="Y804" s="13">
        <f t="shared" si="839"/>
        <v>0</v>
      </c>
      <c r="Z804" s="13">
        <f t="shared" si="529"/>
        <v>0</v>
      </c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</row>
    <row r="805" ht="14.25" hidden="1" customHeight="1">
      <c r="A805" s="13" t="s">
        <v>36</v>
      </c>
      <c r="B805" s="13" t="s">
        <v>39</v>
      </c>
      <c r="C805" s="13" t="s">
        <v>564</v>
      </c>
      <c r="D805" s="13" t="s">
        <v>195</v>
      </c>
      <c r="E805" s="13" t="str">
        <f t="shared" si="735"/>
        <v>LA1,201-29B-4,AV,0</v>
      </c>
      <c r="F805" s="13"/>
      <c r="G805" s="13" t="s">
        <v>74</v>
      </c>
      <c r="H805" s="13" t="s">
        <v>75</v>
      </c>
      <c r="I805" s="13"/>
      <c r="J805" s="13"/>
      <c r="K805" s="15">
        <v>0.0</v>
      </c>
      <c r="L805" s="15">
        <v>0.0</v>
      </c>
      <c r="M805" s="16"/>
      <c r="N805" s="16"/>
      <c r="O805" s="17"/>
      <c r="P805" s="17"/>
      <c r="Q805" s="13"/>
      <c r="R805" s="13"/>
      <c r="S805" s="13"/>
      <c r="T805" s="13">
        <f t="shared" ref="T805:Y805" si="840">IF(ISBLANK(K805)=TRUE,0,1)</f>
        <v>1</v>
      </c>
      <c r="U805" s="13">
        <f t="shared" si="840"/>
        <v>1</v>
      </c>
      <c r="V805" s="13">
        <f t="shared" si="840"/>
        <v>0</v>
      </c>
      <c r="W805" s="13">
        <f t="shared" si="840"/>
        <v>0</v>
      </c>
      <c r="X805" s="13">
        <f t="shared" si="840"/>
        <v>0</v>
      </c>
      <c r="Y805" s="13">
        <f t="shared" si="840"/>
        <v>0</v>
      </c>
      <c r="Z805" s="13">
        <f t="shared" si="529"/>
        <v>0</v>
      </c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</row>
    <row r="806" ht="14.25" hidden="1" customHeight="1">
      <c r="A806" s="13" t="s">
        <v>36</v>
      </c>
      <c r="B806" s="13" t="s">
        <v>39</v>
      </c>
      <c r="C806" s="13" t="s">
        <v>564</v>
      </c>
      <c r="D806" s="13" t="s">
        <v>196</v>
      </c>
      <c r="E806" s="13" t="str">
        <f t="shared" si="735"/>
        <v>LA1,201-29B-4,AW,0</v>
      </c>
      <c r="F806" s="13"/>
      <c r="G806" s="13" t="s">
        <v>74</v>
      </c>
      <c r="H806" s="13" t="s">
        <v>75</v>
      </c>
      <c r="I806" s="13"/>
      <c r="J806" s="13"/>
      <c r="K806" s="15">
        <v>0.0</v>
      </c>
      <c r="L806" s="15">
        <v>0.0</v>
      </c>
      <c r="M806" s="16"/>
      <c r="N806" s="16"/>
      <c r="O806" s="17"/>
      <c r="P806" s="17"/>
      <c r="Q806" s="13"/>
      <c r="R806" s="13"/>
      <c r="S806" s="13"/>
      <c r="T806" s="13">
        <f t="shared" ref="T806:Y806" si="841">IF(ISBLANK(K806)=TRUE,0,1)</f>
        <v>1</v>
      </c>
      <c r="U806" s="13">
        <f t="shared" si="841"/>
        <v>1</v>
      </c>
      <c r="V806" s="13">
        <f t="shared" si="841"/>
        <v>0</v>
      </c>
      <c r="W806" s="13">
        <f t="shared" si="841"/>
        <v>0</v>
      </c>
      <c r="X806" s="13">
        <f t="shared" si="841"/>
        <v>0</v>
      </c>
      <c r="Y806" s="13">
        <f t="shared" si="841"/>
        <v>0</v>
      </c>
      <c r="Z806" s="13">
        <f t="shared" si="529"/>
        <v>0</v>
      </c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</row>
    <row r="807" ht="14.25" hidden="1" customHeight="1">
      <c r="A807" s="13" t="s">
        <v>36</v>
      </c>
      <c r="B807" s="13" t="s">
        <v>39</v>
      </c>
      <c r="C807" s="13" t="s">
        <v>564</v>
      </c>
      <c r="D807" s="13" t="s">
        <v>197</v>
      </c>
      <c r="E807" s="13" t="str">
        <f t="shared" si="735"/>
        <v>LA1,201-29B-4,AX,0</v>
      </c>
      <c r="F807" s="13"/>
      <c r="G807" s="13" t="s">
        <v>74</v>
      </c>
      <c r="H807" s="13" t="s">
        <v>75</v>
      </c>
      <c r="I807" s="13"/>
      <c r="J807" s="13"/>
      <c r="K807" s="15">
        <v>0.0</v>
      </c>
      <c r="L807" s="15">
        <v>0.0</v>
      </c>
      <c r="M807" s="16"/>
      <c r="N807" s="16"/>
      <c r="O807" s="17"/>
      <c r="P807" s="17"/>
      <c r="Q807" s="13"/>
      <c r="R807" s="13"/>
      <c r="S807" s="13"/>
      <c r="T807" s="13">
        <f t="shared" ref="T807:Y807" si="842">IF(ISBLANK(K807)=TRUE,0,1)</f>
        <v>1</v>
      </c>
      <c r="U807" s="13">
        <f t="shared" si="842"/>
        <v>1</v>
      </c>
      <c r="V807" s="13">
        <f t="shared" si="842"/>
        <v>0</v>
      </c>
      <c r="W807" s="13">
        <f t="shared" si="842"/>
        <v>0</v>
      </c>
      <c r="X807" s="13">
        <f t="shared" si="842"/>
        <v>0</v>
      </c>
      <c r="Y807" s="13">
        <f t="shared" si="842"/>
        <v>0</v>
      </c>
      <c r="Z807" s="13">
        <f t="shared" si="529"/>
        <v>0</v>
      </c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</row>
    <row r="808" ht="14.25" hidden="1" customHeight="1">
      <c r="A808" s="13" t="s">
        <v>36</v>
      </c>
      <c r="B808" s="13" t="s">
        <v>39</v>
      </c>
      <c r="C808" s="13" t="s">
        <v>564</v>
      </c>
      <c r="D808" s="13" t="s">
        <v>433</v>
      </c>
      <c r="E808" s="13" t="str">
        <f t="shared" si="735"/>
        <v>LA1,201-29B-4,AY,0</v>
      </c>
      <c r="F808" s="13"/>
      <c r="G808" s="13" t="s">
        <v>74</v>
      </c>
      <c r="H808" s="13" t="s">
        <v>75</v>
      </c>
      <c r="I808" s="13"/>
      <c r="J808" s="13"/>
      <c r="K808" s="15">
        <v>0.0</v>
      </c>
      <c r="L808" s="15">
        <v>0.0</v>
      </c>
      <c r="M808" s="16"/>
      <c r="N808" s="16"/>
      <c r="O808" s="17"/>
      <c r="P808" s="17"/>
      <c r="Q808" s="13"/>
      <c r="R808" s="13"/>
      <c r="S808" s="13"/>
      <c r="T808" s="13">
        <f t="shared" ref="T808:Y808" si="843">IF(ISBLANK(K808)=TRUE,0,1)</f>
        <v>1</v>
      </c>
      <c r="U808" s="13">
        <f t="shared" si="843"/>
        <v>1</v>
      </c>
      <c r="V808" s="13">
        <f t="shared" si="843"/>
        <v>0</v>
      </c>
      <c r="W808" s="13">
        <f t="shared" si="843"/>
        <v>0</v>
      </c>
      <c r="X808" s="13">
        <f t="shared" si="843"/>
        <v>0</v>
      </c>
      <c r="Y808" s="13">
        <f t="shared" si="843"/>
        <v>0</v>
      </c>
      <c r="Z808" s="13">
        <f t="shared" si="529"/>
        <v>0</v>
      </c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</row>
    <row r="809" ht="14.25" hidden="1" customHeight="1">
      <c r="A809" s="13" t="s">
        <v>36</v>
      </c>
      <c r="B809" s="13" t="s">
        <v>39</v>
      </c>
      <c r="C809" s="13" t="s">
        <v>564</v>
      </c>
      <c r="D809" s="13" t="s">
        <v>434</v>
      </c>
      <c r="E809" s="13" t="str">
        <f t="shared" si="735"/>
        <v>LA1,201-29B-4,AZ,0</v>
      </c>
      <c r="F809" s="13"/>
      <c r="G809" s="13" t="s">
        <v>74</v>
      </c>
      <c r="H809" s="13" t="s">
        <v>75</v>
      </c>
      <c r="I809" s="13"/>
      <c r="J809" s="13"/>
      <c r="K809" s="15">
        <v>0.0</v>
      </c>
      <c r="L809" s="15">
        <v>0.0</v>
      </c>
      <c r="M809" s="16"/>
      <c r="N809" s="16"/>
      <c r="O809" s="17"/>
      <c r="P809" s="17"/>
      <c r="Q809" s="13"/>
      <c r="R809" s="13"/>
      <c r="S809" s="13"/>
      <c r="T809" s="13">
        <f t="shared" ref="T809:Y809" si="844">IF(ISBLANK(K809)=TRUE,0,1)</f>
        <v>1</v>
      </c>
      <c r="U809" s="13">
        <f t="shared" si="844"/>
        <v>1</v>
      </c>
      <c r="V809" s="13">
        <f t="shared" si="844"/>
        <v>0</v>
      </c>
      <c r="W809" s="13">
        <f t="shared" si="844"/>
        <v>0</v>
      </c>
      <c r="X809" s="13">
        <f t="shared" si="844"/>
        <v>0</v>
      </c>
      <c r="Y809" s="13">
        <f t="shared" si="844"/>
        <v>0</v>
      </c>
      <c r="Z809" s="13">
        <f t="shared" si="529"/>
        <v>0</v>
      </c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</row>
    <row r="810" ht="14.25" hidden="1" customHeight="1">
      <c r="A810" s="13" t="s">
        <v>36</v>
      </c>
      <c r="B810" s="13" t="s">
        <v>39</v>
      </c>
      <c r="C810" s="13" t="s">
        <v>564</v>
      </c>
      <c r="D810" s="13" t="s">
        <v>435</v>
      </c>
      <c r="E810" s="13" t="str">
        <f t="shared" si="735"/>
        <v>LA1,201-29B-4,BA,0</v>
      </c>
      <c r="F810" s="13"/>
      <c r="G810" s="13" t="s">
        <v>74</v>
      </c>
      <c r="H810" s="13" t="s">
        <v>75</v>
      </c>
      <c r="I810" s="13"/>
      <c r="J810" s="13"/>
      <c r="K810" s="15">
        <v>0.0</v>
      </c>
      <c r="L810" s="15">
        <v>0.0</v>
      </c>
      <c r="M810" s="16"/>
      <c r="N810" s="16"/>
      <c r="O810" s="17"/>
      <c r="P810" s="17"/>
      <c r="Q810" s="13"/>
      <c r="R810" s="13"/>
      <c r="S810" s="13"/>
      <c r="T810" s="13">
        <f t="shared" ref="T810:Y810" si="845">IF(ISBLANK(K810)=TRUE,0,1)</f>
        <v>1</v>
      </c>
      <c r="U810" s="13">
        <f t="shared" si="845"/>
        <v>1</v>
      </c>
      <c r="V810" s="13">
        <f t="shared" si="845"/>
        <v>0</v>
      </c>
      <c r="W810" s="13">
        <f t="shared" si="845"/>
        <v>0</v>
      </c>
      <c r="X810" s="13">
        <f t="shared" si="845"/>
        <v>0</v>
      </c>
      <c r="Y810" s="13">
        <f t="shared" si="845"/>
        <v>0</v>
      </c>
      <c r="Z810" s="13">
        <f t="shared" si="529"/>
        <v>0</v>
      </c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</row>
    <row r="811" ht="14.25" hidden="1" customHeight="1">
      <c r="A811" s="13" t="s">
        <v>36</v>
      </c>
      <c r="B811" s="13" t="s">
        <v>39</v>
      </c>
      <c r="C811" s="13" t="s">
        <v>564</v>
      </c>
      <c r="D811" s="13" t="s">
        <v>436</v>
      </c>
      <c r="E811" s="13" t="str">
        <f t="shared" si="735"/>
        <v>LA1,201-29B-4,BB,0</v>
      </c>
      <c r="F811" s="13"/>
      <c r="G811" s="13" t="s">
        <v>74</v>
      </c>
      <c r="H811" s="13" t="s">
        <v>75</v>
      </c>
      <c r="I811" s="13"/>
      <c r="J811" s="13"/>
      <c r="K811" s="15">
        <v>0.0</v>
      </c>
      <c r="L811" s="15">
        <v>0.0</v>
      </c>
      <c r="M811" s="16"/>
      <c r="N811" s="16"/>
      <c r="O811" s="17"/>
      <c r="P811" s="17"/>
      <c r="Q811" s="13"/>
      <c r="R811" s="13"/>
      <c r="S811" s="13"/>
      <c r="T811" s="13">
        <f t="shared" ref="T811:Y811" si="846">IF(ISBLANK(K811)=TRUE,0,1)</f>
        <v>1</v>
      </c>
      <c r="U811" s="13">
        <f t="shared" si="846"/>
        <v>1</v>
      </c>
      <c r="V811" s="13">
        <f t="shared" si="846"/>
        <v>0</v>
      </c>
      <c r="W811" s="13">
        <f t="shared" si="846"/>
        <v>0</v>
      </c>
      <c r="X811" s="13">
        <f t="shared" si="846"/>
        <v>0</v>
      </c>
      <c r="Y811" s="13">
        <f t="shared" si="846"/>
        <v>0</v>
      </c>
      <c r="Z811" s="13">
        <f t="shared" si="529"/>
        <v>0</v>
      </c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</row>
    <row r="812" ht="14.25" hidden="1" customHeight="1">
      <c r="A812" s="13" t="s">
        <v>36</v>
      </c>
      <c r="B812" s="13" t="s">
        <v>39</v>
      </c>
      <c r="C812" s="13" t="s">
        <v>564</v>
      </c>
      <c r="D812" s="13" t="s">
        <v>437</v>
      </c>
      <c r="E812" s="13" t="str">
        <f t="shared" si="735"/>
        <v>LA1,201-29B-4,BC,0</v>
      </c>
      <c r="F812" s="13"/>
      <c r="G812" s="13" t="s">
        <v>74</v>
      </c>
      <c r="H812" s="13" t="s">
        <v>75</v>
      </c>
      <c r="I812" s="13"/>
      <c r="J812" s="13"/>
      <c r="K812" s="15">
        <v>0.0</v>
      </c>
      <c r="L812" s="15">
        <v>0.0</v>
      </c>
      <c r="M812" s="16"/>
      <c r="N812" s="16"/>
      <c r="O812" s="17"/>
      <c r="P812" s="17"/>
      <c r="Q812" s="13"/>
      <c r="R812" s="13"/>
      <c r="S812" s="13"/>
      <c r="T812" s="13">
        <f t="shared" ref="T812:Y812" si="847">IF(ISBLANK(K812)=TRUE,0,1)</f>
        <v>1</v>
      </c>
      <c r="U812" s="13">
        <f t="shared" si="847"/>
        <v>1</v>
      </c>
      <c r="V812" s="13">
        <f t="shared" si="847"/>
        <v>0</v>
      </c>
      <c r="W812" s="13">
        <f t="shared" si="847"/>
        <v>0</v>
      </c>
      <c r="X812" s="13">
        <f t="shared" si="847"/>
        <v>0</v>
      </c>
      <c r="Y812" s="13">
        <f t="shared" si="847"/>
        <v>0</v>
      </c>
      <c r="Z812" s="13">
        <f t="shared" si="529"/>
        <v>0</v>
      </c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</row>
    <row r="813" ht="14.25" hidden="1" customHeight="1">
      <c r="A813" s="13" t="s">
        <v>36</v>
      </c>
      <c r="B813" s="13" t="s">
        <v>39</v>
      </c>
      <c r="C813" s="13" t="s">
        <v>564</v>
      </c>
      <c r="D813" s="13" t="s">
        <v>440</v>
      </c>
      <c r="E813" s="13" t="str">
        <f t="shared" si="735"/>
        <v>LA1,201-29B-4,BD,0</v>
      </c>
      <c r="F813" s="13"/>
      <c r="G813" s="13" t="s">
        <v>74</v>
      </c>
      <c r="H813" s="13" t="s">
        <v>75</v>
      </c>
      <c r="I813" s="13"/>
      <c r="J813" s="13"/>
      <c r="K813" s="15">
        <v>0.0</v>
      </c>
      <c r="L813" s="15">
        <v>0.0</v>
      </c>
      <c r="M813" s="16"/>
      <c r="N813" s="16"/>
      <c r="O813" s="17"/>
      <c r="P813" s="17"/>
      <c r="Q813" s="13"/>
      <c r="R813" s="13"/>
      <c r="S813" s="13"/>
      <c r="T813" s="13">
        <f t="shared" ref="T813:Y813" si="848">IF(ISBLANK(K813)=TRUE,0,1)</f>
        <v>1</v>
      </c>
      <c r="U813" s="13">
        <f t="shared" si="848"/>
        <v>1</v>
      </c>
      <c r="V813" s="13">
        <f t="shared" si="848"/>
        <v>0</v>
      </c>
      <c r="W813" s="13">
        <f t="shared" si="848"/>
        <v>0</v>
      </c>
      <c r="X813" s="13">
        <f t="shared" si="848"/>
        <v>0</v>
      </c>
      <c r="Y813" s="13">
        <f t="shared" si="848"/>
        <v>0</v>
      </c>
      <c r="Z813" s="13">
        <f t="shared" si="529"/>
        <v>0</v>
      </c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</row>
    <row r="814" ht="14.25" hidden="1" customHeight="1">
      <c r="A814" s="13" t="s">
        <v>36</v>
      </c>
      <c r="B814" s="13" t="s">
        <v>39</v>
      </c>
      <c r="C814" s="13" t="s">
        <v>564</v>
      </c>
      <c r="D814" s="13" t="s">
        <v>441</v>
      </c>
      <c r="E814" s="13" t="str">
        <f t="shared" si="735"/>
        <v>LA1,201-29B-4,BE,0</v>
      </c>
      <c r="F814" s="13"/>
      <c r="G814" s="13" t="s">
        <v>74</v>
      </c>
      <c r="H814" s="13" t="s">
        <v>75</v>
      </c>
      <c r="I814" s="13"/>
      <c r="J814" s="13"/>
      <c r="K814" s="15">
        <v>0.0</v>
      </c>
      <c r="L814" s="15">
        <v>0.0</v>
      </c>
      <c r="M814" s="16"/>
      <c r="N814" s="16"/>
      <c r="O814" s="17"/>
      <c r="P814" s="17"/>
      <c r="Q814" s="13"/>
      <c r="R814" s="13"/>
      <c r="S814" s="13"/>
      <c r="T814" s="13">
        <f t="shared" ref="T814:Y814" si="849">IF(ISBLANK(K814)=TRUE,0,1)</f>
        <v>1</v>
      </c>
      <c r="U814" s="13">
        <f t="shared" si="849"/>
        <v>1</v>
      </c>
      <c r="V814" s="13">
        <f t="shared" si="849"/>
        <v>0</v>
      </c>
      <c r="W814" s="13">
        <f t="shared" si="849"/>
        <v>0</v>
      </c>
      <c r="X814" s="13">
        <f t="shared" si="849"/>
        <v>0</v>
      </c>
      <c r="Y814" s="13">
        <f t="shared" si="849"/>
        <v>0</v>
      </c>
      <c r="Z814" s="13">
        <f t="shared" si="529"/>
        <v>0</v>
      </c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</row>
    <row r="815" ht="14.25" hidden="1" customHeight="1">
      <c r="A815" s="13" t="s">
        <v>36</v>
      </c>
      <c r="B815" s="13" t="s">
        <v>39</v>
      </c>
      <c r="C815" s="13" t="s">
        <v>566</v>
      </c>
      <c r="D815" s="13" t="s">
        <v>556</v>
      </c>
      <c r="E815" s="13" t="str">
        <f t="shared" si="735"/>
        <v>LA1,201-30B-6,BO,1</v>
      </c>
      <c r="F815" s="13"/>
      <c r="G815" s="13" t="s">
        <v>74</v>
      </c>
      <c r="H815" s="13" t="s">
        <v>75</v>
      </c>
      <c r="I815" s="13"/>
      <c r="J815" s="13"/>
      <c r="K815" s="15">
        <v>1.0</v>
      </c>
      <c r="L815" s="15">
        <v>1.0</v>
      </c>
      <c r="M815" s="16"/>
      <c r="N815" s="16"/>
      <c r="O815" s="17"/>
      <c r="P815" s="17"/>
      <c r="Q815" s="13">
        <f t="shared" ref="Q815:Q842" si="851">K814+L814+M814+N814+O814+P814/6</f>
        <v>0</v>
      </c>
      <c r="R815" s="13"/>
      <c r="S815" s="13"/>
      <c r="T815" s="13">
        <f t="shared" ref="T815:Y815" si="850">IF(ISBLANK(K815)=TRUE,0,1)</f>
        <v>1</v>
      </c>
      <c r="U815" s="13">
        <f t="shared" si="850"/>
        <v>1</v>
      </c>
      <c r="V815" s="13">
        <f t="shared" si="850"/>
        <v>0</v>
      </c>
      <c r="W815" s="13">
        <f t="shared" si="850"/>
        <v>0</v>
      </c>
      <c r="X815" s="13">
        <f t="shared" si="850"/>
        <v>0</v>
      </c>
      <c r="Y815" s="13">
        <f t="shared" si="850"/>
        <v>0</v>
      </c>
      <c r="Z815" s="13">
        <f t="shared" si="529"/>
        <v>1</v>
      </c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</row>
    <row r="816" ht="14.25" hidden="1" customHeight="1">
      <c r="A816" s="13" t="s">
        <v>36</v>
      </c>
      <c r="B816" s="13" t="s">
        <v>39</v>
      </c>
      <c r="C816" s="13" t="s">
        <v>566</v>
      </c>
      <c r="D816" s="13" t="s">
        <v>557</v>
      </c>
      <c r="E816" s="13" t="str">
        <f t="shared" si="735"/>
        <v>LA1,201-30B-6,BP,1</v>
      </c>
      <c r="F816" s="13"/>
      <c r="G816" s="13" t="s">
        <v>74</v>
      </c>
      <c r="H816" s="13" t="s">
        <v>75</v>
      </c>
      <c r="I816" s="13"/>
      <c r="J816" s="13"/>
      <c r="K816" s="15">
        <v>1.0</v>
      </c>
      <c r="L816" s="15">
        <v>1.0</v>
      </c>
      <c r="M816" s="16"/>
      <c r="N816" s="16"/>
      <c r="O816" s="17"/>
      <c r="P816" s="17"/>
      <c r="Q816" s="13">
        <f t="shared" si="851"/>
        <v>2</v>
      </c>
      <c r="R816" s="13"/>
      <c r="S816" s="13"/>
      <c r="T816" s="13">
        <f t="shared" ref="T816:Y816" si="852">IF(ISBLANK(K816)=TRUE,0,1)</f>
        <v>1</v>
      </c>
      <c r="U816" s="13">
        <f t="shared" si="852"/>
        <v>1</v>
      </c>
      <c r="V816" s="13">
        <f t="shared" si="852"/>
        <v>0</v>
      </c>
      <c r="W816" s="13">
        <f t="shared" si="852"/>
        <v>0</v>
      </c>
      <c r="X816" s="13">
        <f t="shared" si="852"/>
        <v>0</v>
      </c>
      <c r="Y816" s="13">
        <f t="shared" si="852"/>
        <v>0</v>
      </c>
      <c r="Z816" s="13">
        <f t="shared" si="529"/>
        <v>1</v>
      </c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</row>
    <row r="817" ht="14.25" hidden="1" customHeight="1">
      <c r="A817" s="13" t="s">
        <v>36</v>
      </c>
      <c r="B817" s="13" t="s">
        <v>39</v>
      </c>
      <c r="C817" s="13" t="s">
        <v>566</v>
      </c>
      <c r="D817" s="13" t="s">
        <v>110</v>
      </c>
      <c r="E817" s="13" t="str">
        <f t="shared" si="735"/>
        <v>LA1,201-30B-6,BQ,1</v>
      </c>
      <c r="F817" s="13"/>
      <c r="G817" s="13" t="s">
        <v>74</v>
      </c>
      <c r="H817" s="13" t="s">
        <v>75</v>
      </c>
      <c r="I817" s="13"/>
      <c r="J817" s="13"/>
      <c r="K817" s="15">
        <v>1.0</v>
      </c>
      <c r="L817" s="15">
        <v>1.0</v>
      </c>
      <c r="M817" s="16"/>
      <c r="N817" s="16"/>
      <c r="O817" s="17"/>
      <c r="P817" s="17"/>
      <c r="Q817" s="13">
        <f t="shared" si="851"/>
        <v>2</v>
      </c>
      <c r="R817" s="13"/>
      <c r="S817" s="13"/>
      <c r="T817" s="13">
        <f t="shared" ref="T817:Y817" si="853">IF(ISBLANK(K817)=TRUE,0,1)</f>
        <v>1</v>
      </c>
      <c r="U817" s="13">
        <f t="shared" si="853"/>
        <v>1</v>
      </c>
      <c r="V817" s="13">
        <f t="shared" si="853"/>
        <v>0</v>
      </c>
      <c r="W817" s="13">
        <f t="shared" si="853"/>
        <v>0</v>
      </c>
      <c r="X817" s="13">
        <f t="shared" si="853"/>
        <v>0</v>
      </c>
      <c r="Y817" s="13">
        <f t="shared" si="853"/>
        <v>0</v>
      </c>
      <c r="Z817" s="13">
        <f t="shared" si="529"/>
        <v>1</v>
      </c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</row>
    <row r="818" ht="14.25" hidden="1" customHeight="1">
      <c r="A818" s="13" t="s">
        <v>36</v>
      </c>
      <c r="B818" s="13" t="s">
        <v>39</v>
      </c>
      <c r="C818" s="13" t="s">
        <v>566</v>
      </c>
      <c r="D818" s="13" t="s">
        <v>113</v>
      </c>
      <c r="E818" s="13" t="str">
        <f t="shared" si="735"/>
        <v>LA1,201-30B-6,BR,1</v>
      </c>
      <c r="F818" s="13"/>
      <c r="G818" s="13" t="s">
        <v>74</v>
      </c>
      <c r="H818" s="13" t="s">
        <v>75</v>
      </c>
      <c r="I818" s="13"/>
      <c r="J818" s="13"/>
      <c r="K818" s="15">
        <v>1.0</v>
      </c>
      <c r="L818" s="15">
        <v>1.0</v>
      </c>
      <c r="M818" s="16"/>
      <c r="N818" s="16"/>
      <c r="O818" s="17"/>
      <c r="P818" s="17"/>
      <c r="Q818" s="13">
        <f t="shared" si="851"/>
        <v>2</v>
      </c>
      <c r="R818" s="13"/>
      <c r="S818" s="13"/>
      <c r="T818" s="13">
        <f t="shared" ref="T818:Y818" si="854">IF(ISBLANK(K818)=TRUE,0,1)</f>
        <v>1</v>
      </c>
      <c r="U818" s="13">
        <f t="shared" si="854"/>
        <v>1</v>
      </c>
      <c r="V818" s="13">
        <f t="shared" si="854"/>
        <v>0</v>
      </c>
      <c r="W818" s="13">
        <f t="shared" si="854"/>
        <v>0</v>
      </c>
      <c r="X818" s="13">
        <f t="shared" si="854"/>
        <v>0</v>
      </c>
      <c r="Y818" s="13">
        <f t="shared" si="854"/>
        <v>0</v>
      </c>
      <c r="Z818" s="13">
        <f t="shared" si="529"/>
        <v>1</v>
      </c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</row>
    <row r="819" ht="14.25" hidden="1" customHeight="1">
      <c r="A819" s="13" t="s">
        <v>36</v>
      </c>
      <c r="B819" s="13" t="s">
        <v>39</v>
      </c>
      <c r="C819" s="13" t="s">
        <v>566</v>
      </c>
      <c r="D819" s="13" t="s">
        <v>115</v>
      </c>
      <c r="E819" s="13" t="str">
        <f t="shared" si="735"/>
        <v>LA1,201-30B-6,BS,1</v>
      </c>
      <c r="F819" s="13"/>
      <c r="G819" s="13" t="s">
        <v>74</v>
      </c>
      <c r="H819" s="13" t="s">
        <v>75</v>
      </c>
      <c r="I819" s="13"/>
      <c r="J819" s="13"/>
      <c r="K819" s="15">
        <v>1.0</v>
      </c>
      <c r="L819" s="15">
        <v>1.0</v>
      </c>
      <c r="M819" s="16"/>
      <c r="N819" s="16"/>
      <c r="O819" s="17"/>
      <c r="P819" s="17"/>
      <c r="Q819" s="13">
        <f t="shared" si="851"/>
        <v>2</v>
      </c>
      <c r="R819" s="13"/>
      <c r="S819" s="13"/>
      <c r="T819" s="13">
        <f t="shared" ref="T819:Y819" si="855">IF(ISBLANK(K819)=TRUE,0,1)</f>
        <v>1</v>
      </c>
      <c r="U819" s="13">
        <f t="shared" si="855"/>
        <v>1</v>
      </c>
      <c r="V819" s="13">
        <f t="shared" si="855"/>
        <v>0</v>
      </c>
      <c r="W819" s="13">
        <f t="shared" si="855"/>
        <v>0</v>
      </c>
      <c r="X819" s="13">
        <f t="shared" si="855"/>
        <v>0</v>
      </c>
      <c r="Y819" s="13">
        <f t="shared" si="855"/>
        <v>0</v>
      </c>
      <c r="Z819" s="13">
        <f t="shared" si="529"/>
        <v>1</v>
      </c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</row>
    <row r="820" ht="14.25" hidden="1" customHeight="1">
      <c r="A820" s="13" t="s">
        <v>36</v>
      </c>
      <c r="B820" s="13" t="s">
        <v>39</v>
      </c>
      <c r="C820" s="13" t="s">
        <v>566</v>
      </c>
      <c r="D820" s="13" t="s">
        <v>117</v>
      </c>
      <c r="E820" s="13" t="str">
        <f t="shared" si="735"/>
        <v>LA1,201-30B-6,BT,1</v>
      </c>
      <c r="F820" s="13"/>
      <c r="G820" s="13" t="s">
        <v>74</v>
      </c>
      <c r="H820" s="13" t="s">
        <v>75</v>
      </c>
      <c r="I820" s="13"/>
      <c r="J820" s="13"/>
      <c r="K820" s="15">
        <v>1.0</v>
      </c>
      <c r="L820" s="15">
        <v>1.0</v>
      </c>
      <c r="M820" s="16"/>
      <c r="N820" s="16"/>
      <c r="O820" s="17"/>
      <c r="P820" s="17"/>
      <c r="Q820" s="13">
        <f t="shared" si="851"/>
        <v>2</v>
      </c>
      <c r="R820" s="13"/>
      <c r="S820" s="13"/>
      <c r="T820" s="13">
        <f t="shared" ref="T820:Y820" si="856">IF(ISBLANK(K820)=TRUE,0,1)</f>
        <v>1</v>
      </c>
      <c r="U820" s="13">
        <f t="shared" si="856"/>
        <v>1</v>
      </c>
      <c r="V820" s="13">
        <f t="shared" si="856"/>
        <v>0</v>
      </c>
      <c r="W820" s="13">
        <f t="shared" si="856"/>
        <v>0</v>
      </c>
      <c r="X820" s="13">
        <f t="shared" si="856"/>
        <v>0</v>
      </c>
      <c r="Y820" s="13">
        <f t="shared" si="856"/>
        <v>0</v>
      </c>
      <c r="Z820" s="13">
        <f t="shared" si="529"/>
        <v>1</v>
      </c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</row>
    <row r="821" ht="14.25" hidden="1" customHeight="1">
      <c r="A821" s="13" t="s">
        <v>36</v>
      </c>
      <c r="B821" s="13" t="s">
        <v>39</v>
      </c>
      <c r="C821" s="13" t="s">
        <v>566</v>
      </c>
      <c r="D821" s="13" t="s">
        <v>119</v>
      </c>
      <c r="E821" s="13" t="str">
        <f t="shared" si="735"/>
        <v>LA1,201-30B-6,BU,1</v>
      </c>
      <c r="F821" s="13"/>
      <c r="G821" s="13" t="s">
        <v>74</v>
      </c>
      <c r="H821" s="13" t="s">
        <v>75</v>
      </c>
      <c r="I821" s="13"/>
      <c r="J821" s="13"/>
      <c r="K821" s="15">
        <v>1.0</v>
      </c>
      <c r="L821" s="15">
        <v>1.0</v>
      </c>
      <c r="M821" s="16"/>
      <c r="N821" s="16"/>
      <c r="O821" s="17"/>
      <c r="P821" s="17"/>
      <c r="Q821" s="13">
        <f t="shared" si="851"/>
        <v>2</v>
      </c>
      <c r="R821" s="13"/>
      <c r="S821" s="13"/>
      <c r="T821" s="13">
        <f t="shared" ref="T821:Y821" si="857">IF(ISBLANK(K821)=TRUE,0,1)</f>
        <v>1</v>
      </c>
      <c r="U821" s="13">
        <f t="shared" si="857"/>
        <v>1</v>
      </c>
      <c r="V821" s="13">
        <f t="shared" si="857"/>
        <v>0</v>
      </c>
      <c r="W821" s="13">
        <f t="shared" si="857"/>
        <v>0</v>
      </c>
      <c r="X821" s="13">
        <f t="shared" si="857"/>
        <v>0</v>
      </c>
      <c r="Y821" s="13">
        <f t="shared" si="857"/>
        <v>0</v>
      </c>
      <c r="Z821" s="13">
        <f t="shared" si="529"/>
        <v>1</v>
      </c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</row>
    <row r="822" ht="14.25" hidden="1" customHeight="1">
      <c r="A822" s="13" t="s">
        <v>36</v>
      </c>
      <c r="B822" s="13" t="s">
        <v>39</v>
      </c>
      <c r="C822" s="13" t="s">
        <v>566</v>
      </c>
      <c r="D822" s="13" t="s">
        <v>120</v>
      </c>
      <c r="E822" s="13" t="str">
        <f t="shared" si="735"/>
        <v>LA1,201-30B-6,BV,1</v>
      </c>
      <c r="F822" s="13"/>
      <c r="G822" s="13" t="s">
        <v>74</v>
      </c>
      <c r="H822" s="13" t="s">
        <v>75</v>
      </c>
      <c r="I822" s="13"/>
      <c r="J822" s="13"/>
      <c r="K822" s="15">
        <v>1.0</v>
      </c>
      <c r="L822" s="15">
        <v>1.0</v>
      </c>
      <c r="M822" s="16"/>
      <c r="N822" s="16"/>
      <c r="O822" s="17"/>
      <c r="P822" s="17"/>
      <c r="Q822" s="13">
        <f t="shared" si="851"/>
        <v>2</v>
      </c>
      <c r="R822" s="13"/>
      <c r="S822" s="13"/>
      <c r="T822" s="13">
        <f t="shared" ref="T822:Y822" si="858">IF(ISBLANK(K822)=TRUE,0,1)</f>
        <v>1</v>
      </c>
      <c r="U822" s="13">
        <f t="shared" si="858"/>
        <v>1</v>
      </c>
      <c r="V822" s="13">
        <f t="shared" si="858"/>
        <v>0</v>
      </c>
      <c r="W822" s="13">
        <f t="shared" si="858"/>
        <v>0</v>
      </c>
      <c r="X822" s="13">
        <f t="shared" si="858"/>
        <v>0</v>
      </c>
      <c r="Y822" s="13">
        <f t="shared" si="858"/>
        <v>0</v>
      </c>
      <c r="Z822" s="13">
        <f t="shared" si="529"/>
        <v>1</v>
      </c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</row>
    <row r="823" ht="14.25" hidden="1" customHeight="1">
      <c r="A823" s="13" t="s">
        <v>36</v>
      </c>
      <c r="B823" s="13" t="s">
        <v>39</v>
      </c>
      <c r="C823" s="13" t="s">
        <v>566</v>
      </c>
      <c r="D823" s="13" t="s">
        <v>121</v>
      </c>
      <c r="E823" s="13" t="str">
        <f t="shared" si="735"/>
        <v>LA1,201-30B-6,BW,1</v>
      </c>
      <c r="F823" s="13"/>
      <c r="G823" s="13" t="s">
        <v>74</v>
      </c>
      <c r="H823" s="13" t="s">
        <v>75</v>
      </c>
      <c r="I823" s="13"/>
      <c r="J823" s="13"/>
      <c r="K823" s="15">
        <v>1.0</v>
      </c>
      <c r="L823" s="15">
        <v>1.0</v>
      </c>
      <c r="M823" s="16"/>
      <c r="N823" s="16"/>
      <c r="O823" s="17"/>
      <c r="P823" s="17"/>
      <c r="Q823" s="13">
        <f t="shared" si="851"/>
        <v>2</v>
      </c>
      <c r="R823" s="13"/>
      <c r="S823" s="13"/>
      <c r="T823" s="13">
        <f t="shared" ref="T823:Y823" si="859">IF(ISBLANK(K823)=TRUE,0,1)</f>
        <v>1</v>
      </c>
      <c r="U823" s="13">
        <f t="shared" si="859"/>
        <v>1</v>
      </c>
      <c r="V823" s="13">
        <f t="shared" si="859"/>
        <v>0</v>
      </c>
      <c r="W823" s="13">
        <f t="shared" si="859"/>
        <v>0</v>
      </c>
      <c r="X823" s="13">
        <f t="shared" si="859"/>
        <v>0</v>
      </c>
      <c r="Y823" s="13">
        <f t="shared" si="859"/>
        <v>0</v>
      </c>
      <c r="Z823" s="13">
        <f t="shared" si="529"/>
        <v>1</v>
      </c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</row>
    <row r="824" ht="14.25" hidden="1" customHeight="1">
      <c r="A824" s="13" t="s">
        <v>36</v>
      </c>
      <c r="B824" s="13" t="s">
        <v>39</v>
      </c>
      <c r="C824" s="13" t="s">
        <v>566</v>
      </c>
      <c r="D824" s="13" t="s">
        <v>122</v>
      </c>
      <c r="E824" s="13" t="str">
        <f t="shared" si="735"/>
        <v>LA1,201-30B-6,BX,1</v>
      </c>
      <c r="F824" s="13"/>
      <c r="G824" s="13" t="s">
        <v>74</v>
      </c>
      <c r="H824" s="13" t="s">
        <v>75</v>
      </c>
      <c r="I824" s="13"/>
      <c r="J824" s="13"/>
      <c r="K824" s="15">
        <v>1.0</v>
      </c>
      <c r="L824" s="15">
        <v>1.0</v>
      </c>
      <c r="M824" s="16"/>
      <c r="N824" s="16"/>
      <c r="O824" s="17"/>
      <c r="P824" s="17"/>
      <c r="Q824" s="13">
        <f t="shared" si="851"/>
        <v>2</v>
      </c>
      <c r="R824" s="13"/>
      <c r="S824" s="13"/>
      <c r="T824" s="13">
        <f t="shared" ref="T824:Y824" si="860">IF(ISBLANK(K824)=TRUE,0,1)</f>
        <v>1</v>
      </c>
      <c r="U824" s="13">
        <f t="shared" si="860"/>
        <v>1</v>
      </c>
      <c r="V824" s="13">
        <f t="shared" si="860"/>
        <v>0</v>
      </c>
      <c r="W824" s="13">
        <f t="shared" si="860"/>
        <v>0</v>
      </c>
      <c r="X824" s="13">
        <f t="shared" si="860"/>
        <v>0</v>
      </c>
      <c r="Y824" s="13">
        <f t="shared" si="860"/>
        <v>0</v>
      </c>
      <c r="Z824" s="13">
        <f t="shared" si="529"/>
        <v>1</v>
      </c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</row>
    <row r="825" ht="14.25" hidden="1" customHeight="1">
      <c r="A825" s="13" t="s">
        <v>36</v>
      </c>
      <c r="B825" s="13" t="s">
        <v>39</v>
      </c>
      <c r="C825" s="13" t="s">
        <v>566</v>
      </c>
      <c r="D825" s="13" t="s">
        <v>123</v>
      </c>
      <c r="E825" s="13" t="str">
        <f t="shared" si="735"/>
        <v>LA1,201-30B-6,BY,1</v>
      </c>
      <c r="F825" s="13"/>
      <c r="G825" s="13" t="s">
        <v>74</v>
      </c>
      <c r="H825" s="13" t="s">
        <v>75</v>
      </c>
      <c r="I825" s="13"/>
      <c r="J825" s="13"/>
      <c r="K825" s="15">
        <v>1.0</v>
      </c>
      <c r="L825" s="15">
        <v>1.0</v>
      </c>
      <c r="M825" s="16"/>
      <c r="N825" s="16"/>
      <c r="O825" s="17"/>
      <c r="P825" s="17"/>
      <c r="Q825" s="13">
        <f t="shared" si="851"/>
        <v>2</v>
      </c>
      <c r="R825" s="13"/>
      <c r="S825" s="13"/>
      <c r="T825" s="13">
        <f t="shared" ref="T825:Y825" si="861">IF(ISBLANK(K825)=TRUE,0,1)</f>
        <v>1</v>
      </c>
      <c r="U825" s="13">
        <f t="shared" si="861"/>
        <v>1</v>
      </c>
      <c r="V825" s="13">
        <f t="shared" si="861"/>
        <v>0</v>
      </c>
      <c r="W825" s="13">
        <f t="shared" si="861"/>
        <v>0</v>
      </c>
      <c r="X825" s="13">
        <f t="shared" si="861"/>
        <v>0</v>
      </c>
      <c r="Y825" s="13">
        <f t="shared" si="861"/>
        <v>0</v>
      </c>
      <c r="Z825" s="13">
        <f t="shared" si="529"/>
        <v>1</v>
      </c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</row>
    <row r="826" ht="14.25" hidden="1" customHeight="1">
      <c r="A826" s="13" t="s">
        <v>36</v>
      </c>
      <c r="B826" s="13" t="s">
        <v>39</v>
      </c>
      <c r="C826" s="13" t="s">
        <v>566</v>
      </c>
      <c r="D826" s="13" t="s">
        <v>124</v>
      </c>
      <c r="E826" s="13" t="str">
        <f t="shared" si="735"/>
        <v>LA1,201-30B-6,BZ,1</v>
      </c>
      <c r="F826" s="13"/>
      <c r="G826" s="13" t="s">
        <v>74</v>
      </c>
      <c r="H826" s="13" t="s">
        <v>75</v>
      </c>
      <c r="I826" s="13"/>
      <c r="J826" s="13"/>
      <c r="K826" s="15">
        <v>1.0</v>
      </c>
      <c r="L826" s="15">
        <v>1.0</v>
      </c>
      <c r="M826" s="16"/>
      <c r="N826" s="16"/>
      <c r="O826" s="17"/>
      <c r="P826" s="17"/>
      <c r="Q826" s="13">
        <f t="shared" si="851"/>
        <v>2</v>
      </c>
      <c r="R826" s="13"/>
      <c r="S826" s="13"/>
      <c r="T826" s="13">
        <f t="shared" ref="T826:Y826" si="862">IF(ISBLANK(K826)=TRUE,0,1)</f>
        <v>1</v>
      </c>
      <c r="U826" s="13">
        <f t="shared" si="862"/>
        <v>1</v>
      </c>
      <c r="V826" s="13">
        <f t="shared" si="862"/>
        <v>0</v>
      </c>
      <c r="W826" s="13">
        <f t="shared" si="862"/>
        <v>0</v>
      </c>
      <c r="X826" s="13">
        <f t="shared" si="862"/>
        <v>0</v>
      </c>
      <c r="Y826" s="13">
        <f t="shared" si="862"/>
        <v>0</v>
      </c>
      <c r="Z826" s="13">
        <f t="shared" si="529"/>
        <v>1</v>
      </c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</row>
    <row r="827" ht="14.25" hidden="1" customHeight="1">
      <c r="A827" s="13" t="s">
        <v>36</v>
      </c>
      <c r="B827" s="13" t="s">
        <v>39</v>
      </c>
      <c r="C827" s="13" t="s">
        <v>566</v>
      </c>
      <c r="D827" s="13" t="s">
        <v>125</v>
      </c>
      <c r="E827" s="13" t="str">
        <f t="shared" si="735"/>
        <v>LA1,201-30B-6,CA,1</v>
      </c>
      <c r="F827" s="13"/>
      <c r="G827" s="13" t="s">
        <v>74</v>
      </c>
      <c r="H827" s="13" t="s">
        <v>75</v>
      </c>
      <c r="I827" s="13"/>
      <c r="J827" s="13"/>
      <c r="K827" s="15">
        <v>1.0</v>
      </c>
      <c r="L827" s="15">
        <v>1.0</v>
      </c>
      <c r="M827" s="16"/>
      <c r="N827" s="16"/>
      <c r="O827" s="17"/>
      <c r="P827" s="17"/>
      <c r="Q827" s="13">
        <f t="shared" si="851"/>
        <v>2</v>
      </c>
      <c r="R827" s="13"/>
      <c r="S827" s="13"/>
      <c r="T827" s="13">
        <f t="shared" ref="T827:Y827" si="863">IF(ISBLANK(K827)=TRUE,0,1)</f>
        <v>1</v>
      </c>
      <c r="U827" s="13">
        <f t="shared" si="863"/>
        <v>1</v>
      </c>
      <c r="V827" s="13">
        <f t="shared" si="863"/>
        <v>0</v>
      </c>
      <c r="W827" s="13">
        <f t="shared" si="863"/>
        <v>0</v>
      </c>
      <c r="X827" s="13">
        <f t="shared" si="863"/>
        <v>0</v>
      </c>
      <c r="Y827" s="13">
        <f t="shared" si="863"/>
        <v>0</v>
      </c>
      <c r="Z827" s="13">
        <f t="shared" si="529"/>
        <v>1</v>
      </c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</row>
    <row r="828" ht="14.25" hidden="1" customHeight="1">
      <c r="A828" s="13" t="s">
        <v>36</v>
      </c>
      <c r="B828" s="13" t="s">
        <v>39</v>
      </c>
      <c r="C828" s="13" t="s">
        <v>566</v>
      </c>
      <c r="D828" s="13" t="s">
        <v>126</v>
      </c>
      <c r="E828" s="13" t="str">
        <f t="shared" si="735"/>
        <v>LA1,201-30B-6,CB,1</v>
      </c>
      <c r="F828" s="13"/>
      <c r="G828" s="13" t="s">
        <v>74</v>
      </c>
      <c r="H828" s="13" t="s">
        <v>75</v>
      </c>
      <c r="I828" s="13"/>
      <c r="J828" s="13"/>
      <c r="K828" s="15">
        <v>1.0</v>
      </c>
      <c r="L828" s="15">
        <v>1.0</v>
      </c>
      <c r="M828" s="16"/>
      <c r="N828" s="16"/>
      <c r="O828" s="17"/>
      <c r="P828" s="17"/>
      <c r="Q828" s="13">
        <f t="shared" si="851"/>
        <v>2</v>
      </c>
      <c r="R828" s="13"/>
      <c r="S828" s="13"/>
      <c r="T828" s="13">
        <f t="shared" ref="T828:Y828" si="864">IF(ISBLANK(K828)=TRUE,0,1)</f>
        <v>1</v>
      </c>
      <c r="U828" s="13">
        <f t="shared" si="864"/>
        <v>1</v>
      </c>
      <c r="V828" s="13">
        <f t="shared" si="864"/>
        <v>0</v>
      </c>
      <c r="W828" s="13">
        <f t="shared" si="864"/>
        <v>0</v>
      </c>
      <c r="X828" s="13">
        <f t="shared" si="864"/>
        <v>0</v>
      </c>
      <c r="Y828" s="13">
        <f t="shared" si="864"/>
        <v>0</v>
      </c>
      <c r="Z828" s="13">
        <f t="shared" si="529"/>
        <v>1</v>
      </c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</row>
    <row r="829" ht="14.25" hidden="1" customHeight="1">
      <c r="A829" s="13" t="s">
        <v>36</v>
      </c>
      <c r="B829" s="13" t="s">
        <v>39</v>
      </c>
      <c r="C829" s="13" t="s">
        <v>566</v>
      </c>
      <c r="D829" s="13" t="s">
        <v>127</v>
      </c>
      <c r="E829" s="13" t="str">
        <f t="shared" si="735"/>
        <v>LA1,201-30B-6,CC,1</v>
      </c>
      <c r="F829" s="13"/>
      <c r="G829" s="13" t="s">
        <v>74</v>
      </c>
      <c r="H829" s="13" t="s">
        <v>75</v>
      </c>
      <c r="I829" s="13"/>
      <c r="J829" s="13"/>
      <c r="K829" s="15">
        <v>1.0</v>
      </c>
      <c r="L829" s="15">
        <v>1.0</v>
      </c>
      <c r="M829" s="16"/>
      <c r="N829" s="16"/>
      <c r="O829" s="17"/>
      <c r="P829" s="17"/>
      <c r="Q829" s="13">
        <f t="shared" si="851"/>
        <v>2</v>
      </c>
      <c r="R829" s="13"/>
      <c r="S829" s="13"/>
      <c r="T829" s="13">
        <f t="shared" ref="T829:Y829" si="865">IF(ISBLANK(K829)=TRUE,0,1)</f>
        <v>1</v>
      </c>
      <c r="U829" s="13">
        <f t="shared" si="865"/>
        <v>1</v>
      </c>
      <c r="V829" s="13">
        <f t="shared" si="865"/>
        <v>0</v>
      </c>
      <c r="W829" s="13">
        <f t="shared" si="865"/>
        <v>0</v>
      </c>
      <c r="X829" s="13">
        <f t="shared" si="865"/>
        <v>0</v>
      </c>
      <c r="Y829" s="13">
        <f t="shared" si="865"/>
        <v>0</v>
      </c>
      <c r="Z829" s="13">
        <f t="shared" si="529"/>
        <v>1</v>
      </c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</row>
    <row r="830" ht="14.25" hidden="1" customHeight="1">
      <c r="A830" s="13" t="s">
        <v>36</v>
      </c>
      <c r="B830" s="13" t="s">
        <v>39</v>
      </c>
      <c r="C830" s="13" t="s">
        <v>566</v>
      </c>
      <c r="D830" s="13" t="s">
        <v>128</v>
      </c>
      <c r="E830" s="13" t="str">
        <f t="shared" si="735"/>
        <v>LA1,201-30B-6,CD,1</v>
      </c>
      <c r="F830" s="13"/>
      <c r="G830" s="13" t="s">
        <v>74</v>
      </c>
      <c r="H830" s="13" t="s">
        <v>75</v>
      </c>
      <c r="I830" s="13"/>
      <c r="J830" s="13"/>
      <c r="K830" s="15">
        <v>1.0</v>
      </c>
      <c r="L830" s="15">
        <v>1.0</v>
      </c>
      <c r="M830" s="16"/>
      <c r="N830" s="16"/>
      <c r="O830" s="17"/>
      <c r="P830" s="17"/>
      <c r="Q830" s="13">
        <f t="shared" si="851"/>
        <v>2</v>
      </c>
      <c r="R830" s="13"/>
      <c r="S830" s="13"/>
      <c r="T830" s="13">
        <f t="shared" ref="T830:Y830" si="866">IF(ISBLANK(K830)=TRUE,0,1)</f>
        <v>1</v>
      </c>
      <c r="U830" s="13">
        <f t="shared" si="866"/>
        <v>1</v>
      </c>
      <c r="V830" s="13">
        <f t="shared" si="866"/>
        <v>0</v>
      </c>
      <c r="W830" s="13">
        <f t="shared" si="866"/>
        <v>0</v>
      </c>
      <c r="X830" s="13">
        <f t="shared" si="866"/>
        <v>0</v>
      </c>
      <c r="Y830" s="13">
        <f t="shared" si="866"/>
        <v>0</v>
      </c>
      <c r="Z830" s="13">
        <f t="shared" si="529"/>
        <v>1</v>
      </c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</row>
    <row r="831" ht="14.25" hidden="1" customHeight="1">
      <c r="A831" s="13" t="s">
        <v>36</v>
      </c>
      <c r="B831" s="13" t="s">
        <v>39</v>
      </c>
      <c r="C831" s="13" t="s">
        <v>566</v>
      </c>
      <c r="D831" s="13" t="s">
        <v>129</v>
      </c>
      <c r="E831" s="13" t="str">
        <f t="shared" si="735"/>
        <v>LA1,201-30B-6,CE,1</v>
      </c>
      <c r="F831" s="13"/>
      <c r="G831" s="13" t="s">
        <v>74</v>
      </c>
      <c r="H831" s="13" t="s">
        <v>75</v>
      </c>
      <c r="I831" s="13"/>
      <c r="J831" s="13"/>
      <c r="K831" s="15">
        <v>1.0</v>
      </c>
      <c r="L831" s="15">
        <v>1.0</v>
      </c>
      <c r="M831" s="16"/>
      <c r="N831" s="16"/>
      <c r="O831" s="17"/>
      <c r="P831" s="17"/>
      <c r="Q831" s="13">
        <f t="shared" si="851"/>
        <v>2</v>
      </c>
      <c r="R831" s="13"/>
      <c r="S831" s="13"/>
      <c r="T831" s="13">
        <f t="shared" ref="T831:Y831" si="867">IF(ISBLANK(K831)=TRUE,0,1)</f>
        <v>1</v>
      </c>
      <c r="U831" s="13">
        <f t="shared" si="867"/>
        <v>1</v>
      </c>
      <c r="V831" s="13">
        <f t="shared" si="867"/>
        <v>0</v>
      </c>
      <c r="W831" s="13">
        <f t="shared" si="867"/>
        <v>0</v>
      </c>
      <c r="X831" s="13">
        <f t="shared" si="867"/>
        <v>0</v>
      </c>
      <c r="Y831" s="13">
        <f t="shared" si="867"/>
        <v>0</v>
      </c>
      <c r="Z831" s="13">
        <f t="shared" si="529"/>
        <v>1</v>
      </c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</row>
    <row r="832" ht="14.25" hidden="1" customHeight="1">
      <c r="A832" s="13" t="s">
        <v>36</v>
      </c>
      <c r="B832" s="13" t="s">
        <v>39</v>
      </c>
      <c r="C832" s="13" t="s">
        <v>566</v>
      </c>
      <c r="D832" s="13" t="s">
        <v>130</v>
      </c>
      <c r="E832" s="13" t="str">
        <f t="shared" si="735"/>
        <v>LA1,201-30B-6,CF,1</v>
      </c>
      <c r="F832" s="13"/>
      <c r="G832" s="13" t="s">
        <v>74</v>
      </c>
      <c r="H832" s="13" t="s">
        <v>75</v>
      </c>
      <c r="I832" s="13"/>
      <c r="J832" s="13"/>
      <c r="K832" s="15">
        <v>1.0</v>
      </c>
      <c r="L832" s="15">
        <v>1.0</v>
      </c>
      <c r="M832" s="16"/>
      <c r="N832" s="16"/>
      <c r="O832" s="17"/>
      <c r="P832" s="17"/>
      <c r="Q832" s="13">
        <f t="shared" si="851"/>
        <v>2</v>
      </c>
      <c r="R832" s="13"/>
      <c r="S832" s="13"/>
      <c r="T832" s="13">
        <f t="shared" ref="T832:Y832" si="868">IF(ISBLANK(K832)=TRUE,0,1)</f>
        <v>1</v>
      </c>
      <c r="U832" s="13">
        <f t="shared" si="868"/>
        <v>1</v>
      </c>
      <c r="V832" s="13">
        <f t="shared" si="868"/>
        <v>0</v>
      </c>
      <c r="W832" s="13">
        <f t="shared" si="868"/>
        <v>0</v>
      </c>
      <c r="X832" s="13">
        <f t="shared" si="868"/>
        <v>0</v>
      </c>
      <c r="Y832" s="13">
        <f t="shared" si="868"/>
        <v>0</v>
      </c>
      <c r="Z832" s="13">
        <f t="shared" si="529"/>
        <v>1</v>
      </c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</row>
    <row r="833" ht="14.25" hidden="1" customHeight="1">
      <c r="A833" s="13" t="s">
        <v>36</v>
      </c>
      <c r="B833" s="13" t="s">
        <v>39</v>
      </c>
      <c r="C833" s="13" t="s">
        <v>566</v>
      </c>
      <c r="D833" s="13" t="s">
        <v>131</v>
      </c>
      <c r="E833" s="13" t="str">
        <f t="shared" si="735"/>
        <v>LA1,201-30B-6,CG,1</v>
      </c>
      <c r="F833" s="13"/>
      <c r="G833" s="13" t="s">
        <v>74</v>
      </c>
      <c r="H833" s="13" t="s">
        <v>75</v>
      </c>
      <c r="I833" s="13"/>
      <c r="J833" s="13"/>
      <c r="K833" s="15">
        <v>1.0</v>
      </c>
      <c r="L833" s="15">
        <v>1.0</v>
      </c>
      <c r="M833" s="16"/>
      <c r="N833" s="16"/>
      <c r="O833" s="17"/>
      <c r="P833" s="17"/>
      <c r="Q833" s="13">
        <f t="shared" si="851"/>
        <v>2</v>
      </c>
      <c r="R833" s="13"/>
      <c r="S833" s="13"/>
      <c r="T833" s="13">
        <f t="shared" ref="T833:Y833" si="869">IF(ISBLANK(K833)=TRUE,0,1)</f>
        <v>1</v>
      </c>
      <c r="U833" s="13">
        <f t="shared" si="869"/>
        <v>1</v>
      </c>
      <c r="V833" s="13">
        <f t="shared" si="869"/>
        <v>0</v>
      </c>
      <c r="W833" s="13">
        <f t="shared" si="869"/>
        <v>0</v>
      </c>
      <c r="X833" s="13">
        <f t="shared" si="869"/>
        <v>0</v>
      </c>
      <c r="Y833" s="13">
        <f t="shared" si="869"/>
        <v>0</v>
      </c>
      <c r="Z833" s="13">
        <f t="shared" si="529"/>
        <v>1</v>
      </c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</row>
    <row r="834" ht="14.25" hidden="1" customHeight="1">
      <c r="A834" s="13" t="s">
        <v>36</v>
      </c>
      <c r="B834" s="13" t="s">
        <v>39</v>
      </c>
      <c r="C834" s="13" t="s">
        <v>566</v>
      </c>
      <c r="D834" s="13" t="s">
        <v>132</v>
      </c>
      <c r="E834" s="13" t="str">
        <f t="shared" si="735"/>
        <v>LA1,201-30B-6,CH,1</v>
      </c>
      <c r="F834" s="13"/>
      <c r="G834" s="13" t="s">
        <v>74</v>
      </c>
      <c r="H834" s="13" t="s">
        <v>75</v>
      </c>
      <c r="I834" s="13"/>
      <c r="J834" s="13"/>
      <c r="K834" s="15">
        <v>1.0</v>
      </c>
      <c r="L834" s="15">
        <v>1.0</v>
      </c>
      <c r="M834" s="16"/>
      <c r="N834" s="16"/>
      <c r="O834" s="17"/>
      <c r="P834" s="17"/>
      <c r="Q834" s="13">
        <f t="shared" si="851"/>
        <v>2</v>
      </c>
      <c r="R834" s="13"/>
      <c r="S834" s="13"/>
      <c r="T834" s="13">
        <f t="shared" ref="T834:Y834" si="870">IF(ISBLANK(K834)=TRUE,0,1)</f>
        <v>1</v>
      </c>
      <c r="U834" s="13">
        <f t="shared" si="870"/>
        <v>1</v>
      </c>
      <c r="V834" s="13">
        <f t="shared" si="870"/>
        <v>0</v>
      </c>
      <c r="W834" s="13">
        <f t="shared" si="870"/>
        <v>0</v>
      </c>
      <c r="X834" s="13">
        <f t="shared" si="870"/>
        <v>0</v>
      </c>
      <c r="Y834" s="13">
        <f t="shared" si="870"/>
        <v>0</v>
      </c>
      <c r="Z834" s="13">
        <f t="shared" si="529"/>
        <v>1</v>
      </c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</row>
    <row r="835" ht="14.25" hidden="1" customHeight="1">
      <c r="A835" s="13" t="s">
        <v>36</v>
      </c>
      <c r="B835" s="13" t="s">
        <v>39</v>
      </c>
      <c r="C835" s="13" t="s">
        <v>566</v>
      </c>
      <c r="D835" s="13" t="s">
        <v>133</v>
      </c>
      <c r="E835" s="13" t="str">
        <f t="shared" si="735"/>
        <v>LA1,201-30B-6,CI,1</v>
      </c>
      <c r="F835" s="13"/>
      <c r="G835" s="13" t="s">
        <v>74</v>
      </c>
      <c r="H835" s="13" t="s">
        <v>75</v>
      </c>
      <c r="I835" s="13"/>
      <c r="J835" s="13"/>
      <c r="K835" s="15">
        <v>1.0</v>
      </c>
      <c r="L835" s="15">
        <v>1.0</v>
      </c>
      <c r="M835" s="16"/>
      <c r="N835" s="16"/>
      <c r="O835" s="17"/>
      <c r="P835" s="17"/>
      <c r="Q835" s="13">
        <f t="shared" si="851"/>
        <v>2</v>
      </c>
      <c r="R835" s="13"/>
      <c r="S835" s="13"/>
      <c r="T835" s="13">
        <f t="shared" ref="T835:Y835" si="871">IF(ISBLANK(K835)=TRUE,0,1)</f>
        <v>1</v>
      </c>
      <c r="U835" s="13">
        <f t="shared" si="871"/>
        <v>1</v>
      </c>
      <c r="V835" s="13">
        <f t="shared" si="871"/>
        <v>0</v>
      </c>
      <c r="W835" s="13">
        <f t="shared" si="871"/>
        <v>0</v>
      </c>
      <c r="X835" s="13">
        <f t="shared" si="871"/>
        <v>0</v>
      </c>
      <c r="Y835" s="13">
        <f t="shared" si="871"/>
        <v>0</v>
      </c>
      <c r="Z835" s="13">
        <f t="shared" si="529"/>
        <v>1</v>
      </c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</row>
    <row r="836" ht="14.25" hidden="1" customHeight="1">
      <c r="A836" s="13" t="s">
        <v>36</v>
      </c>
      <c r="B836" s="13" t="s">
        <v>39</v>
      </c>
      <c r="C836" s="13" t="s">
        <v>566</v>
      </c>
      <c r="D836" s="13" t="s">
        <v>134</v>
      </c>
      <c r="E836" s="13" t="str">
        <f t="shared" si="735"/>
        <v>LA1,201-30B-6,CJ,1</v>
      </c>
      <c r="F836" s="13"/>
      <c r="G836" s="13" t="s">
        <v>74</v>
      </c>
      <c r="H836" s="13" t="s">
        <v>75</v>
      </c>
      <c r="I836" s="13"/>
      <c r="J836" s="13"/>
      <c r="K836" s="15">
        <v>1.0</v>
      </c>
      <c r="L836" s="15">
        <v>1.0</v>
      </c>
      <c r="M836" s="16"/>
      <c r="N836" s="16"/>
      <c r="O836" s="17"/>
      <c r="P836" s="17"/>
      <c r="Q836" s="13">
        <f t="shared" si="851"/>
        <v>2</v>
      </c>
      <c r="R836" s="13"/>
      <c r="S836" s="13"/>
      <c r="T836" s="13">
        <f t="shared" ref="T836:Y836" si="872">IF(ISBLANK(K836)=TRUE,0,1)</f>
        <v>1</v>
      </c>
      <c r="U836" s="13">
        <f t="shared" si="872"/>
        <v>1</v>
      </c>
      <c r="V836" s="13">
        <f t="shared" si="872"/>
        <v>0</v>
      </c>
      <c r="W836" s="13">
        <f t="shared" si="872"/>
        <v>0</v>
      </c>
      <c r="X836" s="13">
        <f t="shared" si="872"/>
        <v>0</v>
      </c>
      <c r="Y836" s="13">
        <f t="shared" si="872"/>
        <v>0</v>
      </c>
      <c r="Z836" s="13">
        <f t="shared" si="529"/>
        <v>1</v>
      </c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</row>
    <row r="837" ht="14.25" hidden="1" customHeight="1">
      <c r="A837" s="13" t="s">
        <v>36</v>
      </c>
      <c r="B837" s="13" t="s">
        <v>39</v>
      </c>
      <c r="C837" s="13" t="s">
        <v>566</v>
      </c>
      <c r="D837" s="13" t="s">
        <v>135</v>
      </c>
      <c r="E837" s="13" t="str">
        <f t="shared" si="735"/>
        <v>LA1,201-30B-6,CK,1</v>
      </c>
      <c r="F837" s="13"/>
      <c r="G837" s="13" t="s">
        <v>74</v>
      </c>
      <c r="H837" s="13" t="s">
        <v>75</v>
      </c>
      <c r="I837" s="13"/>
      <c r="J837" s="13"/>
      <c r="K837" s="15">
        <v>1.0</v>
      </c>
      <c r="L837" s="15">
        <v>1.0</v>
      </c>
      <c r="M837" s="16"/>
      <c r="N837" s="16"/>
      <c r="O837" s="17"/>
      <c r="P837" s="17"/>
      <c r="Q837" s="13">
        <f t="shared" si="851"/>
        <v>2</v>
      </c>
      <c r="R837" s="13"/>
      <c r="S837" s="13"/>
      <c r="T837" s="13">
        <f t="shared" ref="T837:Y837" si="873">IF(ISBLANK(K837)=TRUE,0,1)</f>
        <v>1</v>
      </c>
      <c r="U837" s="13">
        <f t="shared" si="873"/>
        <v>1</v>
      </c>
      <c r="V837" s="13">
        <f t="shared" si="873"/>
        <v>0</v>
      </c>
      <c r="W837" s="13">
        <f t="shared" si="873"/>
        <v>0</v>
      </c>
      <c r="X837" s="13">
        <f t="shared" si="873"/>
        <v>0</v>
      </c>
      <c r="Y837" s="13">
        <f t="shared" si="873"/>
        <v>0</v>
      </c>
      <c r="Z837" s="13">
        <f t="shared" si="529"/>
        <v>1</v>
      </c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</row>
    <row r="838" ht="14.25" hidden="1" customHeight="1">
      <c r="A838" s="13" t="s">
        <v>36</v>
      </c>
      <c r="B838" s="13" t="s">
        <v>39</v>
      </c>
      <c r="C838" s="13" t="s">
        <v>566</v>
      </c>
      <c r="D838" s="13" t="s">
        <v>136</v>
      </c>
      <c r="E838" s="13" t="str">
        <f t="shared" si="735"/>
        <v>LA1,201-30B-6,CL,1</v>
      </c>
      <c r="F838" s="13"/>
      <c r="G838" s="13" t="s">
        <v>74</v>
      </c>
      <c r="H838" s="13" t="s">
        <v>75</v>
      </c>
      <c r="I838" s="13"/>
      <c r="J838" s="13"/>
      <c r="K838" s="15">
        <v>1.0</v>
      </c>
      <c r="L838" s="15">
        <v>1.0</v>
      </c>
      <c r="M838" s="16"/>
      <c r="N838" s="16"/>
      <c r="O838" s="17"/>
      <c r="P838" s="17"/>
      <c r="Q838" s="13">
        <f t="shared" si="851"/>
        <v>2</v>
      </c>
      <c r="R838" s="13"/>
      <c r="S838" s="13"/>
      <c r="T838" s="13">
        <f t="shared" ref="T838:Y838" si="874">IF(ISBLANK(K838)=TRUE,0,1)</f>
        <v>1</v>
      </c>
      <c r="U838" s="13">
        <f t="shared" si="874"/>
        <v>1</v>
      </c>
      <c r="V838" s="13">
        <f t="shared" si="874"/>
        <v>0</v>
      </c>
      <c r="W838" s="13">
        <f t="shared" si="874"/>
        <v>0</v>
      </c>
      <c r="X838" s="13">
        <f t="shared" si="874"/>
        <v>0</v>
      </c>
      <c r="Y838" s="13">
        <f t="shared" si="874"/>
        <v>0</v>
      </c>
      <c r="Z838" s="13">
        <f t="shared" si="529"/>
        <v>1</v>
      </c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</row>
    <row r="839" ht="14.25" hidden="1" customHeight="1">
      <c r="A839" s="13" t="s">
        <v>36</v>
      </c>
      <c r="B839" s="13" t="s">
        <v>39</v>
      </c>
      <c r="C839" s="13" t="s">
        <v>566</v>
      </c>
      <c r="D839" s="13" t="s">
        <v>137</v>
      </c>
      <c r="E839" s="13" t="str">
        <f t="shared" si="735"/>
        <v>LA1,201-30B-6,CM,1</v>
      </c>
      <c r="F839" s="13"/>
      <c r="G839" s="13" t="s">
        <v>74</v>
      </c>
      <c r="H839" s="13" t="s">
        <v>75</v>
      </c>
      <c r="I839" s="13"/>
      <c r="J839" s="13"/>
      <c r="K839" s="15">
        <v>1.0</v>
      </c>
      <c r="L839" s="15">
        <v>1.0</v>
      </c>
      <c r="M839" s="16"/>
      <c r="N839" s="16"/>
      <c r="O839" s="17"/>
      <c r="P839" s="17"/>
      <c r="Q839" s="13">
        <f t="shared" si="851"/>
        <v>2</v>
      </c>
      <c r="R839" s="13"/>
      <c r="S839" s="13"/>
      <c r="T839" s="13">
        <f t="shared" ref="T839:Y839" si="875">IF(ISBLANK(K839)=TRUE,0,1)</f>
        <v>1</v>
      </c>
      <c r="U839" s="13">
        <f t="shared" si="875"/>
        <v>1</v>
      </c>
      <c r="V839" s="13">
        <f t="shared" si="875"/>
        <v>0</v>
      </c>
      <c r="W839" s="13">
        <f t="shared" si="875"/>
        <v>0</v>
      </c>
      <c r="X839" s="13">
        <f t="shared" si="875"/>
        <v>0</v>
      </c>
      <c r="Y839" s="13">
        <f t="shared" si="875"/>
        <v>0</v>
      </c>
      <c r="Z839" s="13">
        <f t="shared" si="529"/>
        <v>1</v>
      </c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</row>
    <row r="840" ht="14.25" hidden="1" customHeight="1">
      <c r="A840" s="13" t="s">
        <v>36</v>
      </c>
      <c r="B840" s="13" t="s">
        <v>39</v>
      </c>
      <c r="C840" s="13" t="s">
        <v>566</v>
      </c>
      <c r="D840" s="13" t="s">
        <v>138</v>
      </c>
      <c r="E840" s="13" t="str">
        <f t="shared" si="735"/>
        <v>LA1,201-30B-6,CN,1</v>
      </c>
      <c r="F840" s="13"/>
      <c r="G840" s="13" t="s">
        <v>74</v>
      </c>
      <c r="H840" s="13" t="s">
        <v>75</v>
      </c>
      <c r="I840" s="13"/>
      <c r="J840" s="13"/>
      <c r="K840" s="15">
        <v>1.0</v>
      </c>
      <c r="L840" s="15">
        <v>1.0</v>
      </c>
      <c r="M840" s="16"/>
      <c r="N840" s="16"/>
      <c r="O840" s="17"/>
      <c r="P840" s="17"/>
      <c r="Q840" s="13">
        <f t="shared" si="851"/>
        <v>2</v>
      </c>
      <c r="R840" s="13"/>
      <c r="S840" s="13"/>
      <c r="T840" s="13">
        <f t="shared" ref="T840:Y840" si="876">IF(ISBLANK(K840)=TRUE,0,1)</f>
        <v>1</v>
      </c>
      <c r="U840" s="13">
        <f t="shared" si="876"/>
        <v>1</v>
      </c>
      <c r="V840" s="13">
        <f t="shared" si="876"/>
        <v>0</v>
      </c>
      <c r="W840" s="13">
        <f t="shared" si="876"/>
        <v>0</v>
      </c>
      <c r="X840" s="13">
        <f t="shared" si="876"/>
        <v>0</v>
      </c>
      <c r="Y840" s="13">
        <f t="shared" si="876"/>
        <v>0</v>
      </c>
      <c r="Z840" s="13">
        <f t="shared" si="529"/>
        <v>1</v>
      </c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</row>
    <row r="841" ht="14.25" hidden="1" customHeight="1">
      <c r="A841" s="13" t="s">
        <v>36</v>
      </c>
      <c r="B841" s="13" t="s">
        <v>39</v>
      </c>
      <c r="C841" s="13" t="s">
        <v>566</v>
      </c>
      <c r="D841" s="13" t="s">
        <v>139</v>
      </c>
      <c r="E841" s="13" t="str">
        <f t="shared" si="735"/>
        <v>LA1,201-30B-6,CO,1</v>
      </c>
      <c r="F841" s="13"/>
      <c r="G841" s="13" t="s">
        <v>74</v>
      </c>
      <c r="H841" s="13" t="s">
        <v>75</v>
      </c>
      <c r="I841" s="13"/>
      <c r="J841" s="13"/>
      <c r="K841" s="15">
        <v>1.0</v>
      </c>
      <c r="L841" s="15">
        <v>1.0</v>
      </c>
      <c r="M841" s="16"/>
      <c r="N841" s="16"/>
      <c r="O841" s="17"/>
      <c r="P841" s="17"/>
      <c r="Q841" s="13">
        <f t="shared" si="851"/>
        <v>2</v>
      </c>
      <c r="R841" s="13"/>
      <c r="S841" s="13"/>
      <c r="T841" s="13">
        <f t="shared" ref="T841:Y841" si="877">IF(ISBLANK(K841)=TRUE,0,1)</f>
        <v>1</v>
      </c>
      <c r="U841" s="13">
        <f t="shared" si="877"/>
        <v>1</v>
      </c>
      <c r="V841" s="13">
        <f t="shared" si="877"/>
        <v>0</v>
      </c>
      <c r="W841" s="13">
        <f t="shared" si="877"/>
        <v>0</v>
      </c>
      <c r="X841" s="13">
        <f t="shared" si="877"/>
        <v>0</v>
      </c>
      <c r="Y841" s="13">
        <f t="shared" si="877"/>
        <v>0</v>
      </c>
      <c r="Z841" s="13">
        <f t="shared" si="529"/>
        <v>1</v>
      </c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</row>
    <row r="842" ht="14.25" hidden="1" customHeight="1">
      <c r="A842" s="13" t="s">
        <v>36</v>
      </c>
      <c r="B842" s="13" t="s">
        <v>39</v>
      </c>
      <c r="C842" s="13" t="s">
        <v>566</v>
      </c>
      <c r="D842" s="13" t="s">
        <v>140</v>
      </c>
      <c r="E842" s="13" t="str">
        <f t="shared" si="735"/>
        <v>LA1,201-30B-6,CP,1</v>
      </c>
      <c r="F842" s="13"/>
      <c r="G842" s="13" t="s">
        <v>74</v>
      </c>
      <c r="H842" s="13" t="s">
        <v>75</v>
      </c>
      <c r="I842" s="13"/>
      <c r="J842" s="13"/>
      <c r="K842" s="15">
        <v>1.0</v>
      </c>
      <c r="L842" s="15">
        <v>1.0</v>
      </c>
      <c r="M842" s="16"/>
      <c r="N842" s="16"/>
      <c r="O842" s="17"/>
      <c r="P842" s="17"/>
      <c r="Q842" s="13">
        <f t="shared" si="851"/>
        <v>2</v>
      </c>
      <c r="R842" s="13"/>
      <c r="S842" s="13"/>
      <c r="T842" s="13">
        <f t="shared" ref="T842:Y842" si="878">IF(ISBLANK(K842)=TRUE,0,1)</f>
        <v>1</v>
      </c>
      <c r="U842" s="13">
        <f t="shared" si="878"/>
        <v>1</v>
      </c>
      <c r="V842" s="13">
        <f t="shared" si="878"/>
        <v>0</v>
      </c>
      <c r="W842" s="13">
        <f t="shared" si="878"/>
        <v>0</v>
      </c>
      <c r="X842" s="13">
        <f t="shared" si="878"/>
        <v>0</v>
      </c>
      <c r="Y842" s="13">
        <f t="shared" si="878"/>
        <v>0</v>
      </c>
      <c r="Z842" s="13">
        <f t="shared" si="529"/>
        <v>1</v>
      </c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</row>
    <row r="843" ht="14.25" hidden="1" customHeight="1">
      <c r="A843" s="13" t="s">
        <v>36</v>
      </c>
      <c r="B843" s="13" t="s">
        <v>41</v>
      </c>
      <c r="C843" s="13" t="s">
        <v>567</v>
      </c>
      <c r="D843" s="13"/>
      <c r="E843" s="13" t="str">
        <f t="shared" si="735"/>
        <v>LA2,2019-2-1A,,NA</v>
      </c>
      <c r="F843" s="13"/>
      <c r="G843" s="13" t="s">
        <v>111</v>
      </c>
      <c r="H843" s="13" t="s">
        <v>75</v>
      </c>
      <c r="I843" s="13"/>
      <c r="J843" s="13"/>
      <c r="K843" s="15"/>
      <c r="L843" s="15"/>
      <c r="M843" s="16"/>
      <c r="N843" s="16"/>
      <c r="O843" s="17"/>
      <c r="P843" s="17"/>
      <c r="Q843" s="13"/>
      <c r="R843" s="13"/>
      <c r="S843" s="13"/>
      <c r="T843" s="13">
        <f t="shared" ref="T843:Y843" si="879">IF(ISBLANK(K843)=TRUE,0,1)</f>
        <v>0</v>
      </c>
      <c r="U843" s="13">
        <f t="shared" si="879"/>
        <v>0</v>
      </c>
      <c r="V843" s="13">
        <f t="shared" si="879"/>
        <v>0</v>
      </c>
      <c r="W843" s="13">
        <f t="shared" si="879"/>
        <v>0</v>
      </c>
      <c r="X843" s="13">
        <f t="shared" si="879"/>
        <v>0</v>
      </c>
      <c r="Y843" s="13">
        <f t="shared" si="879"/>
        <v>0</v>
      </c>
      <c r="Z843" s="13" t="str">
        <f t="shared" si="529"/>
        <v>NA</v>
      </c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</row>
    <row r="844" ht="14.25" hidden="1" customHeight="1">
      <c r="A844" s="13" t="s">
        <v>36</v>
      </c>
      <c r="B844" s="13" t="s">
        <v>41</v>
      </c>
      <c r="C844" s="13" t="s">
        <v>568</v>
      </c>
      <c r="D844" s="13"/>
      <c r="E844" s="13" t="str">
        <f t="shared" si="735"/>
        <v>LA2,2019-2-1B,,NA</v>
      </c>
      <c r="F844" s="13"/>
      <c r="G844" s="13" t="s">
        <v>111</v>
      </c>
      <c r="H844" s="13" t="s">
        <v>75</v>
      </c>
      <c r="I844" s="13"/>
      <c r="J844" s="13"/>
      <c r="K844" s="15"/>
      <c r="L844" s="15"/>
      <c r="M844" s="16"/>
      <c r="N844" s="16"/>
      <c r="O844" s="17"/>
      <c r="P844" s="17"/>
      <c r="Q844" s="13"/>
      <c r="R844" s="13"/>
      <c r="S844" s="13"/>
      <c r="T844" s="13">
        <f t="shared" ref="T844:Y844" si="880">IF(ISBLANK(K844)=TRUE,0,1)</f>
        <v>0</v>
      </c>
      <c r="U844" s="13">
        <f t="shared" si="880"/>
        <v>0</v>
      </c>
      <c r="V844" s="13">
        <f t="shared" si="880"/>
        <v>0</v>
      </c>
      <c r="W844" s="13">
        <f t="shared" si="880"/>
        <v>0</v>
      </c>
      <c r="X844" s="13">
        <f t="shared" si="880"/>
        <v>0</v>
      </c>
      <c r="Y844" s="13">
        <f t="shared" si="880"/>
        <v>0</v>
      </c>
      <c r="Z844" s="13" t="str">
        <f t="shared" si="529"/>
        <v>NA</v>
      </c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</row>
    <row r="845" ht="14.25" hidden="1" customHeight="1">
      <c r="A845" s="13" t="s">
        <v>36</v>
      </c>
      <c r="B845" s="13" t="s">
        <v>41</v>
      </c>
      <c r="C845" s="13" t="s">
        <v>569</v>
      </c>
      <c r="D845" s="13"/>
      <c r="E845" s="13" t="str">
        <f t="shared" si="735"/>
        <v>LA2,2019-2-1C,,NA</v>
      </c>
      <c r="F845" s="13"/>
      <c r="G845" s="13" t="s">
        <v>111</v>
      </c>
      <c r="H845" s="13" t="s">
        <v>75</v>
      </c>
      <c r="I845" s="13"/>
      <c r="J845" s="13"/>
      <c r="K845" s="15"/>
      <c r="L845" s="15"/>
      <c r="M845" s="16"/>
      <c r="N845" s="16"/>
      <c r="O845" s="17"/>
      <c r="P845" s="17"/>
      <c r="Q845" s="13"/>
      <c r="R845" s="13"/>
      <c r="S845" s="13"/>
      <c r="T845" s="13">
        <f t="shared" ref="T845:Y845" si="881">IF(ISBLANK(K845)=TRUE,0,1)</f>
        <v>0</v>
      </c>
      <c r="U845" s="13">
        <f t="shared" si="881"/>
        <v>0</v>
      </c>
      <c r="V845" s="13">
        <f t="shared" si="881"/>
        <v>0</v>
      </c>
      <c r="W845" s="13">
        <f t="shared" si="881"/>
        <v>0</v>
      </c>
      <c r="X845" s="13">
        <f t="shared" si="881"/>
        <v>0</v>
      </c>
      <c r="Y845" s="13">
        <f t="shared" si="881"/>
        <v>0</v>
      </c>
      <c r="Z845" s="13" t="str">
        <f t="shared" si="529"/>
        <v>NA</v>
      </c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</row>
    <row r="846" ht="14.25" hidden="1" customHeight="1">
      <c r="A846" s="13" t="s">
        <v>36</v>
      </c>
      <c r="B846" s="13" t="s">
        <v>41</v>
      </c>
      <c r="C846" s="13" t="s">
        <v>570</v>
      </c>
      <c r="D846" s="13"/>
      <c r="E846" s="13" t="str">
        <f t="shared" si="735"/>
        <v>LA2,2019-2-1D,,NA</v>
      </c>
      <c r="F846" s="13"/>
      <c r="G846" s="13" t="s">
        <v>111</v>
      </c>
      <c r="H846" s="13" t="s">
        <v>75</v>
      </c>
      <c r="I846" s="13"/>
      <c r="J846" s="13"/>
      <c r="K846" s="15"/>
      <c r="L846" s="15"/>
      <c r="M846" s="16"/>
      <c r="N846" s="16"/>
      <c r="O846" s="17"/>
      <c r="P846" s="17"/>
      <c r="Q846" s="13"/>
      <c r="R846" s="13"/>
      <c r="S846" s="13"/>
      <c r="T846" s="13">
        <f t="shared" ref="T846:Y846" si="882">IF(ISBLANK(K846)=TRUE,0,1)</f>
        <v>0</v>
      </c>
      <c r="U846" s="13">
        <f t="shared" si="882"/>
        <v>0</v>
      </c>
      <c r="V846" s="13">
        <f t="shared" si="882"/>
        <v>0</v>
      </c>
      <c r="W846" s="13">
        <f t="shared" si="882"/>
        <v>0</v>
      </c>
      <c r="X846" s="13">
        <f t="shared" si="882"/>
        <v>0</v>
      </c>
      <c r="Y846" s="13">
        <f t="shared" si="882"/>
        <v>0</v>
      </c>
      <c r="Z846" s="13" t="str">
        <f t="shared" si="529"/>
        <v>NA</v>
      </c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</row>
    <row r="847" ht="14.25" hidden="1" customHeight="1">
      <c r="A847" s="13" t="s">
        <v>36</v>
      </c>
      <c r="B847" s="13" t="s">
        <v>41</v>
      </c>
      <c r="C847" s="13" t="s">
        <v>571</v>
      </c>
      <c r="D847" s="13"/>
      <c r="E847" s="13" t="str">
        <f t="shared" si="735"/>
        <v>LA2,20-I7-1,,NA</v>
      </c>
      <c r="F847" s="13"/>
      <c r="G847" s="13" t="s">
        <v>111</v>
      </c>
      <c r="H847" s="13" t="s">
        <v>75</v>
      </c>
      <c r="I847" s="13"/>
      <c r="J847" s="13"/>
      <c r="K847" s="15"/>
      <c r="L847" s="15"/>
      <c r="M847" s="16"/>
      <c r="N847" s="16"/>
      <c r="O847" s="17"/>
      <c r="P847" s="17"/>
      <c r="Q847" s="13"/>
      <c r="R847" s="13"/>
      <c r="S847" s="13"/>
      <c r="T847" s="13">
        <f t="shared" ref="T847:Y847" si="883">IF(ISBLANK(K847)=TRUE,0,1)</f>
        <v>0</v>
      </c>
      <c r="U847" s="13">
        <f t="shared" si="883"/>
        <v>0</v>
      </c>
      <c r="V847" s="13">
        <f t="shared" si="883"/>
        <v>0</v>
      </c>
      <c r="W847" s="13">
        <f t="shared" si="883"/>
        <v>0</v>
      </c>
      <c r="X847" s="13">
        <f t="shared" si="883"/>
        <v>0</v>
      </c>
      <c r="Y847" s="13">
        <f t="shared" si="883"/>
        <v>0</v>
      </c>
      <c r="Z847" s="13" t="str">
        <f t="shared" si="529"/>
        <v>NA</v>
      </c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</row>
    <row r="848" ht="14.25" hidden="1" customHeight="1">
      <c r="A848" s="13" t="s">
        <v>36</v>
      </c>
      <c r="B848" s="13" t="s">
        <v>41</v>
      </c>
      <c r="C848" s="13" t="s">
        <v>572</v>
      </c>
      <c r="D848" s="13"/>
      <c r="E848" s="13" t="str">
        <f t="shared" si="735"/>
        <v>LA2,20-I7-2,,NA</v>
      </c>
      <c r="F848" s="13"/>
      <c r="G848" s="13" t="s">
        <v>111</v>
      </c>
      <c r="H848" s="13" t="s">
        <v>75</v>
      </c>
      <c r="I848" s="13"/>
      <c r="J848" s="13"/>
      <c r="K848" s="15"/>
      <c r="L848" s="15"/>
      <c r="M848" s="16"/>
      <c r="N848" s="16"/>
      <c r="O848" s="17"/>
      <c r="P848" s="17"/>
      <c r="Q848" s="13"/>
      <c r="R848" s="13"/>
      <c r="S848" s="13"/>
      <c r="T848" s="13">
        <f t="shared" ref="T848:Y848" si="884">IF(ISBLANK(K848)=TRUE,0,1)</f>
        <v>0</v>
      </c>
      <c r="U848" s="13">
        <f t="shared" si="884"/>
        <v>0</v>
      </c>
      <c r="V848" s="13">
        <f t="shared" si="884"/>
        <v>0</v>
      </c>
      <c r="W848" s="13">
        <f t="shared" si="884"/>
        <v>0</v>
      </c>
      <c r="X848" s="13">
        <f t="shared" si="884"/>
        <v>0</v>
      </c>
      <c r="Y848" s="13">
        <f t="shared" si="884"/>
        <v>0</v>
      </c>
      <c r="Z848" s="13" t="str">
        <f t="shared" si="529"/>
        <v>NA</v>
      </c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</row>
    <row r="849" ht="14.25" hidden="1" customHeight="1">
      <c r="A849" s="13" t="s">
        <v>36</v>
      </c>
      <c r="B849" s="13" t="s">
        <v>41</v>
      </c>
      <c r="C849" s="13" t="s">
        <v>573</v>
      </c>
      <c r="D849" s="13"/>
      <c r="E849" s="13" t="str">
        <f t="shared" si="735"/>
        <v>LA2,20-I7-3,,NA</v>
      </c>
      <c r="F849" s="13"/>
      <c r="G849" s="13" t="s">
        <v>111</v>
      </c>
      <c r="H849" s="13" t="s">
        <v>75</v>
      </c>
      <c r="I849" s="13"/>
      <c r="J849" s="13"/>
      <c r="K849" s="15"/>
      <c r="L849" s="15"/>
      <c r="M849" s="16"/>
      <c r="N849" s="16"/>
      <c r="O849" s="17"/>
      <c r="P849" s="17"/>
      <c r="Q849" s="13"/>
      <c r="R849" s="13"/>
      <c r="S849" s="13"/>
      <c r="T849" s="13">
        <f t="shared" ref="T849:Y849" si="885">IF(ISBLANK(K849)=TRUE,0,1)</f>
        <v>0</v>
      </c>
      <c r="U849" s="13">
        <f t="shared" si="885"/>
        <v>0</v>
      </c>
      <c r="V849" s="13">
        <f t="shared" si="885"/>
        <v>0</v>
      </c>
      <c r="W849" s="13">
        <f t="shared" si="885"/>
        <v>0</v>
      </c>
      <c r="X849" s="13">
        <f t="shared" si="885"/>
        <v>0</v>
      </c>
      <c r="Y849" s="13">
        <f t="shared" si="885"/>
        <v>0</v>
      </c>
      <c r="Z849" s="13" t="str">
        <f t="shared" si="529"/>
        <v>NA</v>
      </c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</row>
    <row r="850" ht="14.25" hidden="1" customHeight="1">
      <c r="A850" s="13" t="s">
        <v>36</v>
      </c>
      <c r="B850" s="13" t="s">
        <v>41</v>
      </c>
      <c r="C850" s="13" t="s">
        <v>574</v>
      </c>
      <c r="D850" s="13"/>
      <c r="E850" s="13" t="str">
        <f t="shared" si="735"/>
        <v>LA2,20-I7-4,,NA</v>
      </c>
      <c r="F850" s="13"/>
      <c r="G850" s="13" t="s">
        <v>111</v>
      </c>
      <c r="H850" s="13" t="s">
        <v>75</v>
      </c>
      <c r="I850" s="13"/>
      <c r="J850" s="13"/>
      <c r="K850" s="15"/>
      <c r="L850" s="15"/>
      <c r="M850" s="16"/>
      <c r="N850" s="16"/>
      <c r="O850" s="17"/>
      <c r="P850" s="17"/>
      <c r="Q850" s="13"/>
      <c r="R850" s="13"/>
      <c r="S850" s="13"/>
      <c r="T850" s="13">
        <f t="shared" ref="T850:Y850" si="886">IF(ISBLANK(K850)=TRUE,0,1)</f>
        <v>0</v>
      </c>
      <c r="U850" s="13">
        <f t="shared" si="886"/>
        <v>0</v>
      </c>
      <c r="V850" s="13">
        <f t="shared" si="886"/>
        <v>0</v>
      </c>
      <c r="W850" s="13">
        <f t="shared" si="886"/>
        <v>0</v>
      </c>
      <c r="X850" s="13">
        <f t="shared" si="886"/>
        <v>0</v>
      </c>
      <c r="Y850" s="13">
        <f t="shared" si="886"/>
        <v>0</v>
      </c>
      <c r="Z850" s="13" t="str">
        <f t="shared" si="529"/>
        <v>NA</v>
      </c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</row>
    <row r="851" ht="14.25" hidden="1" customHeight="1">
      <c r="A851" s="13" t="s">
        <v>36</v>
      </c>
      <c r="B851" s="13" t="s">
        <v>41</v>
      </c>
      <c r="C851" s="13" t="s">
        <v>575</v>
      </c>
      <c r="D851" s="13"/>
      <c r="E851" s="13" t="str">
        <f t="shared" si="735"/>
        <v>LA2,20-I7-5,,NA</v>
      </c>
      <c r="F851" s="13"/>
      <c r="G851" s="13" t="s">
        <v>111</v>
      </c>
      <c r="H851" s="13" t="s">
        <v>75</v>
      </c>
      <c r="I851" s="13"/>
      <c r="J851" s="13"/>
      <c r="K851" s="15"/>
      <c r="L851" s="15"/>
      <c r="M851" s="16"/>
      <c r="N851" s="16"/>
      <c r="O851" s="17"/>
      <c r="P851" s="17"/>
      <c r="Q851" s="13"/>
      <c r="R851" s="13"/>
      <c r="S851" s="13"/>
      <c r="T851" s="13">
        <f t="shared" ref="T851:Y851" si="887">IF(ISBLANK(K851)=TRUE,0,1)</f>
        <v>0</v>
      </c>
      <c r="U851" s="13">
        <f t="shared" si="887"/>
        <v>0</v>
      </c>
      <c r="V851" s="13">
        <f t="shared" si="887"/>
        <v>0</v>
      </c>
      <c r="W851" s="13">
        <f t="shared" si="887"/>
        <v>0</v>
      </c>
      <c r="X851" s="13">
        <f t="shared" si="887"/>
        <v>0</v>
      </c>
      <c r="Y851" s="13">
        <f t="shared" si="887"/>
        <v>0</v>
      </c>
      <c r="Z851" s="13" t="str">
        <f t="shared" si="529"/>
        <v>NA</v>
      </c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</row>
    <row r="852" ht="14.25" hidden="1" customHeight="1">
      <c r="A852" s="13" t="s">
        <v>36</v>
      </c>
      <c r="B852" s="13" t="s">
        <v>41</v>
      </c>
      <c r="C852" s="13" t="s">
        <v>576</v>
      </c>
      <c r="D852" s="13"/>
      <c r="E852" s="13" t="str">
        <f t="shared" si="735"/>
        <v>LA2,20-I7-6,,NA</v>
      </c>
      <c r="F852" s="13"/>
      <c r="G852" s="13" t="s">
        <v>111</v>
      </c>
      <c r="H852" s="13" t="s">
        <v>75</v>
      </c>
      <c r="I852" s="13"/>
      <c r="J852" s="13"/>
      <c r="K852" s="15"/>
      <c r="L852" s="15"/>
      <c r="M852" s="16"/>
      <c r="N852" s="16"/>
      <c r="O852" s="17"/>
      <c r="P852" s="17"/>
      <c r="Q852" s="13"/>
      <c r="R852" s="13"/>
      <c r="S852" s="13"/>
      <c r="T852" s="13">
        <f t="shared" ref="T852:Y852" si="888">IF(ISBLANK(K852)=TRUE,0,1)</f>
        <v>0</v>
      </c>
      <c r="U852" s="13">
        <f t="shared" si="888"/>
        <v>0</v>
      </c>
      <c r="V852" s="13">
        <f t="shared" si="888"/>
        <v>0</v>
      </c>
      <c r="W852" s="13">
        <f t="shared" si="888"/>
        <v>0</v>
      </c>
      <c r="X852" s="13">
        <f t="shared" si="888"/>
        <v>0</v>
      </c>
      <c r="Y852" s="13">
        <f t="shared" si="888"/>
        <v>0</v>
      </c>
      <c r="Z852" s="13" t="str">
        <f t="shared" si="529"/>
        <v>NA</v>
      </c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</row>
    <row r="853" ht="14.25" hidden="1" customHeight="1">
      <c r="A853" s="13" t="s">
        <v>36</v>
      </c>
      <c r="B853" s="13" t="s">
        <v>41</v>
      </c>
      <c r="C853" s="13" t="s">
        <v>577</v>
      </c>
      <c r="D853" s="13"/>
      <c r="E853" s="13" t="str">
        <f t="shared" si="735"/>
        <v>LA2,20-I8-1,,NA</v>
      </c>
      <c r="F853" s="13"/>
      <c r="G853" s="13" t="s">
        <v>111</v>
      </c>
      <c r="H853" s="13" t="s">
        <v>75</v>
      </c>
      <c r="I853" s="13"/>
      <c r="J853" s="13"/>
      <c r="K853" s="15"/>
      <c r="L853" s="15"/>
      <c r="M853" s="16"/>
      <c r="N853" s="16"/>
      <c r="O853" s="17"/>
      <c r="P853" s="17"/>
      <c r="Q853" s="13">
        <f t="shared" ref="Q853:Q874" si="890">K852+L852+M852+N852+O852+P852/6</f>
        <v>0</v>
      </c>
      <c r="R853" s="13"/>
      <c r="S853" s="13"/>
      <c r="T853" s="13">
        <f t="shared" ref="T853:Y853" si="889">IF(ISBLANK(K853)=TRUE,0,1)</f>
        <v>0</v>
      </c>
      <c r="U853" s="13">
        <f t="shared" si="889"/>
        <v>0</v>
      </c>
      <c r="V853" s="13">
        <f t="shared" si="889"/>
        <v>0</v>
      </c>
      <c r="W853" s="13">
        <f t="shared" si="889"/>
        <v>0</v>
      </c>
      <c r="X853" s="13">
        <f t="shared" si="889"/>
        <v>0</v>
      </c>
      <c r="Y853" s="13">
        <f t="shared" si="889"/>
        <v>0</v>
      </c>
      <c r="Z853" s="13" t="str">
        <f t="shared" si="529"/>
        <v>NA</v>
      </c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</row>
    <row r="854" ht="14.25" hidden="1" customHeight="1">
      <c r="A854" s="13" t="s">
        <v>36</v>
      </c>
      <c r="B854" s="13" t="s">
        <v>41</v>
      </c>
      <c r="C854" s="13" t="s">
        <v>578</v>
      </c>
      <c r="D854" s="13"/>
      <c r="E854" s="13" t="str">
        <f t="shared" si="735"/>
        <v>LA2,20-I8-2,,NA</v>
      </c>
      <c r="F854" s="13"/>
      <c r="G854" s="13" t="s">
        <v>111</v>
      </c>
      <c r="H854" s="13" t="s">
        <v>75</v>
      </c>
      <c r="I854" s="13"/>
      <c r="J854" s="13"/>
      <c r="K854" s="15"/>
      <c r="L854" s="15"/>
      <c r="M854" s="16"/>
      <c r="N854" s="16"/>
      <c r="O854" s="17"/>
      <c r="P854" s="17"/>
      <c r="Q854" s="13">
        <f t="shared" si="890"/>
        <v>0</v>
      </c>
      <c r="R854" s="13"/>
      <c r="S854" s="13"/>
      <c r="T854" s="13">
        <f t="shared" ref="T854:Y854" si="891">IF(ISBLANK(K854)=TRUE,0,1)</f>
        <v>0</v>
      </c>
      <c r="U854" s="13">
        <f t="shared" si="891"/>
        <v>0</v>
      </c>
      <c r="V854" s="13">
        <f t="shared" si="891"/>
        <v>0</v>
      </c>
      <c r="W854" s="13">
        <f t="shared" si="891"/>
        <v>0</v>
      </c>
      <c r="X854" s="13">
        <f t="shared" si="891"/>
        <v>0</v>
      </c>
      <c r="Y854" s="13">
        <f t="shared" si="891"/>
        <v>0</v>
      </c>
      <c r="Z854" s="13" t="str">
        <f t="shared" si="529"/>
        <v>NA</v>
      </c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</row>
    <row r="855" ht="14.25" hidden="1" customHeight="1">
      <c r="A855" s="13" t="s">
        <v>36</v>
      </c>
      <c r="B855" s="13" t="s">
        <v>41</v>
      </c>
      <c r="C855" s="13" t="s">
        <v>579</v>
      </c>
      <c r="D855" s="13"/>
      <c r="E855" s="13" t="str">
        <f t="shared" si="735"/>
        <v>LA2,20-I8-3,,NA</v>
      </c>
      <c r="F855" s="13"/>
      <c r="G855" s="13" t="s">
        <v>111</v>
      </c>
      <c r="H855" s="13" t="s">
        <v>75</v>
      </c>
      <c r="I855" s="13"/>
      <c r="J855" s="13"/>
      <c r="K855" s="15"/>
      <c r="L855" s="15"/>
      <c r="M855" s="16"/>
      <c r="N855" s="16"/>
      <c r="O855" s="17"/>
      <c r="P855" s="17"/>
      <c r="Q855" s="13">
        <f t="shared" si="890"/>
        <v>0</v>
      </c>
      <c r="R855" s="13"/>
      <c r="S855" s="13"/>
      <c r="T855" s="13">
        <f t="shared" ref="T855:Y855" si="892">IF(ISBLANK(K855)=TRUE,0,1)</f>
        <v>0</v>
      </c>
      <c r="U855" s="13">
        <f t="shared" si="892"/>
        <v>0</v>
      </c>
      <c r="V855" s="13">
        <f t="shared" si="892"/>
        <v>0</v>
      </c>
      <c r="W855" s="13">
        <f t="shared" si="892"/>
        <v>0</v>
      </c>
      <c r="X855" s="13">
        <f t="shared" si="892"/>
        <v>0</v>
      </c>
      <c r="Y855" s="13">
        <f t="shared" si="892"/>
        <v>0</v>
      </c>
      <c r="Z855" s="13" t="str">
        <f t="shared" si="529"/>
        <v>NA</v>
      </c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</row>
    <row r="856" ht="14.25" hidden="1" customHeight="1">
      <c r="A856" s="13" t="s">
        <v>36</v>
      </c>
      <c r="B856" s="13" t="s">
        <v>41</v>
      </c>
      <c r="C856" s="13" t="s">
        <v>580</v>
      </c>
      <c r="D856" s="13"/>
      <c r="E856" s="13" t="str">
        <f t="shared" si="735"/>
        <v>LA2,20-I8-4,,NA</v>
      </c>
      <c r="F856" s="13"/>
      <c r="G856" s="13" t="s">
        <v>111</v>
      </c>
      <c r="H856" s="13" t="s">
        <v>75</v>
      </c>
      <c r="I856" s="13"/>
      <c r="J856" s="13"/>
      <c r="K856" s="15"/>
      <c r="L856" s="15"/>
      <c r="M856" s="16"/>
      <c r="N856" s="16"/>
      <c r="O856" s="17"/>
      <c r="P856" s="17"/>
      <c r="Q856" s="13">
        <f t="shared" si="890"/>
        <v>0</v>
      </c>
      <c r="R856" s="13"/>
      <c r="S856" s="13"/>
      <c r="T856" s="13">
        <f t="shared" ref="T856:Y856" si="893">IF(ISBLANK(K856)=TRUE,0,1)</f>
        <v>0</v>
      </c>
      <c r="U856" s="13">
        <f t="shared" si="893"/>
        <v>0</v>
      </c>
      <c r="V856" s="13">
        <f t="shared" si="893"/>
        <v>0</v>
      </c>
      <c r="W856" s="13">
        <f t="shared" si="893"/>
        <v>0</v>
      </c>
      <c r="X856" s="13">
        <f t="shared" si="893"/>
        <v>0</v>
      </c>
      <c r="Y856" s="13">
        <f t="shared" si="893"/>
        <v>0</v>
      </c>
      <c r="Z856" s="13" t="str">
        <f t="shared" si="529"/>
        <v>NA</v>
      </c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</row>
    <row r="857" ht="14.25" hidden="1" customHeight="1">
      <c r="A857" s="13" t="s">
        <v>36</v>
      </c>
      <c r="B857" s="13" t="s">
        <v>41</v>
      </c>
      <c r="C857" s="13" t="s">
        <v>581</v>
      </c>
      <c r="D857" s="13"/>
      <c r="E857" s="13" t="str">
        <f t="shared" si="735"/>
        <v>LA2,20-I8-5,,0</v>
      </c>
      <c r="F857" s="13"/>
      <c r="G857" s="13" t="s">
        <v>111</v>
      </c>
      <c r="H857" s="13" t="s">
        <v>75</v>
      </c>
      <c r="I857" s="13"/>
      <c r="J857" s="13"/>
      <c r="K857" s="15">
        <v>0.0</v>
      </c>
      <c r="L857" s="15">
        <v>0.0</v>
      </c>
      <c r="M857" s="16"/>
      <c r="N857" s="16"/>
      <c r="O857" s="17"/>
      <c r="P857" s="17"/>
      <c r="Q857" s="13">
        <f t="shared" si="890"/>
        <v>0</v>
      </c>
      <c r="R857" s="13"/>
      <c r="S857" s="13"/>
      <c r="T857" s="13">
        <f t="shared" ref="T857:Y857" si="894">IF(ISBLANK(K857)=TRUE,0,1)</f>
        <v>1</v>
      </c>
      <c r="U857" s="13">
        <f t="shared" si="894"/>
        <v>1</v>
      </c>
      <c r="V857" s="13">
        <f t="shared" si="894"/>
        <v>0</v>
      </c>
      <c r="W857" s="13">
        <f t="shared" si="894"/>
        <v>0</v>
      </c>
      <c r="X857" s="13">
        <f t="shared" si="894"/>
        <v>0</v>
      </c>
      <c r="Y857" s="13">
        <f t="shared" si="894"/>
        <v>0</v>
      </c>
      <c r="Z857" s="13">
        <f t="shared" si="529"/>
        <v>0</v>
      </c>
      <c r="AA857" s="13" t="s">
        <v>561</v>
      </c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</row>
    <row r="858" ht="14.25" hidden="1" customHeight="1">
      <c r="A858" s="13" t="s">
        <v>36</v>
      </c>
      <c r="B858" s="13" t="s">
        <v>41</v>
      </c>
      <c r="C858" s="13" t="s">
        <v>582</v>
      </c>
      <c r="D858" s="13"/>
      <c r="E858" s="13" t="str">
        <f t="shared" si="735"/>
        <v>LA2,20-I8-6,,NA</v>
      </c>
      <c r="F858" s="13"/>
      <c r="G858" s="13" t="s">
        <v>111</v>
      </c>
      <c r="H858" s="13" t="s">
        <v>75</v>
      </c>
      <c r="I858" s="13"/>
      <c r="J858" s="13"/>
      <c r="K858" s="15"/>
      <c r="L858" s="15"/>
      <c r="M858" s="16"/>
      <c r="N858" s="16"/>
      <c r="O858" s="17"/>
      <c r="P858" s="17"/>
      <c r="Q858" s="13">
        <f t="shared" si="890"/>
        <v>0</v>
      </c>
      <c r="R858" s="13"/>
      <c r="S858" s="13"/>
      <c r="T858" s="13">
        <f t="shared" ref="T858:Y858" si="895">IF(ISBLANK(K858)=TRUE,0,1)</f>
        <v>0</v>
      </c>
      <c r="U858" s="13">
        <f t="shared" si="895"/>
        <v>0</v>
      </c>
      <c r="V858" s="13">
        <f t="shared" si="895"/>
        <v>0</v>
      </c>
      <c r="W858" s="13">
        <f t="shared" si="895"/>
        <v>0</v>
      </c>
      <c r="X858" s="13">
        <f t="shared" si="895"/>
        <v>0</v>
      </c>
      <c r="Y858" s="13">
        <f t="shared" si="895"/>
        <v>0</v>
      </c>
      <c r="Z858" s="13" t="str">
        <f t="shared" si="529"/>
        <v>NA</v>
      </c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</row>
    <row r="859" ht="14.25" hidden="1" customHeight="1">
      <c r="A859" s="13" t="s">
        <v>36</v>
      </c>
      <c r="B859" s="13" t="s">
        <v>41</v>
      </c>
      <c r="C859" s="13" t="s">
        <v>583</v>
      </c>
      <c r="D859" s="13"/>
      <c r="E859" s="13" t="str">
        <f t="shared" si="735"/>
        <v>LA2,20-I8-7,,NA</v>
      </c>
      <c r="F859" s="13"/>
      <c r="G859" s="13" t="s">
        <v>111</v>
      </c>
      <c r="H859" s="13" t="s">
        <v>75</v>
      </c>
      <c r="I859" s="13"/>
      <c r="J859" s="13"/>
      <c r="K859" s="15"/>
      <c r="L859" s="15"/>
      <c r="M859" s="16"/>
      <c r="N859" s="16"/>
      <c r="O859" s="17"/>
      <c r="P859" s="17"/>
      <c r="Q859" s="13">
        <f t="shared" si="890"/>
        <v>0</v>
      </c>
      <c r="R859" s="13"/>
      <c r="S859" s="13"/>
      <c r="T859" s="13">
        <f t="shared" ref="T859:Y859" si="896">IF(ISBLANK(K859)=TRUE,0,1)</f>
        <v>0</v>
      </c>
      <c r="U859" s="13">
        <f t="shared" si="896"/>
        <v>0</v>
      </c>
      <c r="V859" s="13">
        <f t="shared" si="896"/>
        <v>0</v>
      </c>
      <c r="W859" s="13">
        <f t="shared" si="896"/>
        <v>0</v>
      </c>
      <c r="X859" s="13">
        <f t="shared" si="896"/>
        <v>0</v>
      </c>
      <c r="Y859" s="13">
        <f t="shared" si="896"/>
        <v>0</v>
      </c>
      <c r="Z859" s="13" t="str">
        <f t="shared" si="529"/>
        <v>NA</v>
      </c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</row>
    <row r="860" ht="14.25" hidden="1" customHeight="1">
      <c r="A860" s="13" t="s">
        <v>36</v>
      </c>
      <c r="B860" s="13" t="s">
        <v>41</v>
      </c>
      <c r="C860" s="13" t="s">
        <v>584</v>
      </c>
      <c r="D860" s="13"/>
      <c r="E860" s="13" t="str">
        <f t="shared" si="735"/>
        <v>LA2,20-I8-8,,NA</v>
      </c>
      <c r="F860" s="13"/>
      <c r="G860" s="13" t="s">
        <v>111</v>
      </c>
      <c r="H860" s="13" t="s">
        <v>75</v>
      </c>
      <c r="I860" s="13"/>
      <c r="J860" s="13"/>
      <c r="K860" s="15"/>
      <c r="L860" s="15"/>
      <c r="M860" s="16"/>
      <c r="N860" s="16"/>
      <c r="O860" s="17"/>
      <c r="P860" s="17"/>
      <c r="Q860" s="13">
        <f t="shared" si="890"/>
        <v>0</v>
      </c>
      <c r="R860" s="13"/>
      <c r="S860" s="13"/>
      <c r="T860" s="13">
        <f t="shared" ref="T860:Y860" si="897">IF(ISBLANK(K860)=TRUE,0,1)</f>
        <v>0</v>
      </c>
      <c r="U860" s="13">
        <f t="shared" si="897"/>
        <v>0</v>
      </c>
      <c r="V860" s="13">
        <f t="shared" si="897"/>
        <v>0</v>
      </c>
      <c r="W860" s="13">
        <f t="shared" si="897"/>
        <v>0</v>
      </c>
      <c r="X860" s="13">
        <f t="shared" si="897"/>
        <v>0</v>
      </c>
      <c r="Y860" s="13">
        <f t="shared" si="897"/>
        <v>0</v>
      </c>
      <c r="Z860" s="13" t="str">
        <f t="shared" si="529"/>
        <v>NA</v>
      </c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</row>
    <row r="861" ht="14.25" hidden="1" customHeight="1">
      <c r="A861" s="13" t="s">
        <v>36</v>
      </c>
      <c r="B861" s="13" t="s">
        <v>41</v>
      </c>
      <c r="C861" s="13" t="s">
        <v>585</v>
      </c>
      <c r="D861" s="13"/>
      <c r="E861" s="13" t="str">
        <f t="shared" si="735"/>
        <v>LA2,84-1L RL2L-3,,NA</v>
      </c>
      <c r="F861" s="13"/>
      <c r="G861" s="13" t="s">
        <v>74</v>
      </c>
      <c r="H861" s="13" t="s">
        <v>107</v>
      </c>
      <c r="I861" s="14">
        <v>44862.0</v>
      </c>
      <c r="J861" s="14"/>
      <c r="K861" s="15"/>
      <c r="L861" s="15"/>
      <c r="M861" s="16"/>
      <c r="N861" s="16"/>
      <c r="O861" s="17"/>
      <c r="P861" s="17"/>
      <c r="Q861" s="13">
        <f t="shared" si="890"/>
        <v>0</v>
      </c>
      <c r="R861" s="13"/>
      <c r="S861" s="13"/>
      <c r="T861" s="13">
        <f t="shared" ref="T861:Y861" si="898">IF(ISBLANK(K861)=TRUE,0,1)</f>
        <v>0</v>
      </c>
      <c r="U861" s="13">
        <f t="shared" si="898"/>
        <v>0</v>
      </c>
      <c r="V861" s="13">
        <f t="shared" si="898"/>
        <v>0</v>
      </c>
      <c r="W861" s="13">
        <f t="shared" si="898"/>
        <v>0</v>
      </c>
      <c r="X861" s="13">
        <f t="shared" si="898"/>
        <v>0</v>
      </c>
      <c r="Y861" s="13">
        <f t="shared" si="898"/>
        <v>0</v>
      </c>
      <c r="Z861" s="13" t="str">
        <f t="shared" si="529"/>
        <v>NA</v>
      </c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</row>
    <row r="862" ht="14.25" hidden="1" customHeight="1">
      <c r="A862" s="13" t="s">
        <v>36</v>
      </c>
      <c r="B862" s="13" t="s">
        <v>41</v>
      </c>
      <c r="C862" s="13" t="s">
        <v>586</v>
      </c>
      <c r="D862" s="13"/>
      <c r="E862" s="13" t="str">
        <f t="shared" si="735"/>
        <v>LA2,84-1L RL2L-4,,NA</v>
      </c>
      <c r="F862" s="13"/>
      <c r="G862" s="13" t="s">
        <v>74</v>
      </c>
      <c r="H862" s="13" t="s">
        <v>75</v>
      </c>
      <c r="I862" s="14">
        <v>44862.0</v>
      </c>
      <c r="J862" s="14"/>
      <c r="K862" s="15"/>
      <c r="L862" s="15"/>
      <c r="M862" s="16"/>
      <c r="N862" s="16"/>
      <c r="O862" s="17"/>
      <c r="P862" s="17"/>
      <c r="Q862" s="13">
        <f t="shared" si="890"/>
        <v>0</v>
      </c>
      <c r="R862" s="13"/>
      <c r="S862" s="13"/>
      <c r="T862" s="13">
        <f t="shared" ref="T862:Y862" si="899">IF(ISBLANK(K862)=TRUE,0,1)</f>
        <v>0</v>
      </c>
      <c r="U862" s="13">
        <f t="shared" si="899"/>
        <v>0</v>
      </c>
      <c r="V862" s="13">
        <f t="shared" si="899"/>
        <v>0</v>
      </c>
      <c r="W862" s="13">
        <f t="shared" si="899"/>
        <v>0</v>
      </c>
      <c r="X862" s="13">
        <f t="shared" si="899"/>
        <v>0</v>
      </c>
      <c r="Y862" s="13">
        <f t="shared" si="899"/>
        <v>0</v>
      </c>
      <c r="Z862" s="13" t="str">
        <f t="shared" si="529"/>
        <v>NA</v>
      </c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</row>
    <row r="863" ht="14.25" hidden="1" customHeight="1">
      <c r="A863" s="13" t="s">
        <v>36</v>
      </c>
      <c r="B863" s="13" t="s">
        <v>41</v>
      </c>
      <c r="C863" s="13" t="s">
        <v>587</v>
      </c>
      <c r="D863" s="13" t="s">
        <v>169</v>
      </c>
      <c r="E863" s="13" t="str">
        <f t="shared" si="735"/>
        <v>LA2,84-5G-40,BK,1</v>
      </c>
      <c r="F863" s="13"/>
      <c r="G863" s="13" t="s">
        <v>74</v>
      </c>
      <c r="H863" s="13" t="s">
        <v>75</v>
      </c>
      <c r="I863" s="13"/>
      <c r="J863" s="13"/>
      <c r="K863" s="15">
        <v>1.0</v>
      </c>
      <c r="L863" s="15">
        <v>1.0</v>
      </c>
      <c r="M863" s="16"/>
      <c r="N863" s="16"/>
      <c r="O863" s="17"/>
      <c r="P863" s="17"/>
      <c r="Q863" s="13">
        <f t="shared" si="890"/>
        <v>0</v>
      </c>
      <c r="R863" s="13"/>
      <c r="S863" s="13"/>
      <c r="T863" s="13">
        <f t="shared" ref="T863:Y863" si="900">IF(ISBLANK(K863)=TRUE,0,1)</f>
        <v>1</v>
      </c>
      <c r="U863" s="13">
        <f t="shared" si="900"/>
        <v>1</v>
      </c>
      <c r="V863" s="13">
        <f t="shared" si="900"/>
        <v>0</v>
      </c>
      <c r="W863" s="13">
        <f t="shared" si="900"/>
        <v>0</v>
      </c>
      <c r="X863" s="13">
        <f t="shared" si="900"/>
        <v>0</v>
      </c>
      <c r="Y863" s="13">
        <f t="shared" si="900"/>
        <v>0</v>
      </c>
      <c r="Z863" s="13">
        <f t="shared" si="529"/>
        <v>1</v>
      </c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</row>
    <row r="864" ht="14.25" hidden="1" customHeight="1">
      <c r="A864" s="13" t="s">
        <v>36</v>
      </c>
      <c r="B864" s="13" t="s">
        <v>41</v>
      </c>
      <c r="C864" s="13" t="s">
        <v>587</v>
      </c>
      <c r="D864" s="13" t="s">
        <v>170</v>
      </c>
      <c r="E864" s="13" t="str">
        <f t="shared" si="735"/>
        <v>LA2,84-5G-40,BL,1</v>
      </c>
      <c r="F864" s="13"/>
      <c r="G864" s="13" t="s">
        <v>74</v>
      </c>
      <c r="H864" s="13" t="s">
        <v>75</v>
      </c>
      <c r="I864" s="13"/>
      <c r="J864" s="13"/>
      <c r="K864" s="15">
        <v>1.0</v>
      </c>
      <c r="L864" s="15">
        <v>1.0</v>
      </c>
      <c r="M864" s="16"/>
      <c r="N864" s="16"/>
      <c r="O864" s="17"/>
      <c r="P864" s="17"/>
      <c r="Q864" s="13">
        <f t="shared" si="890"/>
        <v>2</v>
      </c>
      <c r="R864" s="13"/>
      <c r="S864" s="13"/>
      <c r="T864" s="13">
        <f t="shared" ref="T864:Y864" si="901">IF(ISBLANK(K864)=TRUE,0,1)</f>
        <v>1</v>
      </c>
      <c r="U864" s="13">
        <f t="shared" si="901"/>
        <v>1</v>
      </c>
      <c r="V864" s="13">
        <f t="shared" si="901"/>
        <v>0</v>
      </c>
      <c r="W864" s="13">
        <f t="shared" si="901"/>
        <v>0</v>
      </c>
      <c r="X864" s="13">
        <f t="shared" si="901"/>
        <v>0</v>
      </c>
      <c r="Y864" s="13">
        <f t="shared" si="901"/>
        <v>0</v>
      </c>
      <c r="Z864" s="13">
        <f t="shared" si="529"/>
        <v>1</v>
      </c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</row>
    <row r="865" ht="14.25" hidden="1" customHeight="1">
      <c r="A865" s="13" t="s">
        <v>36</v>
      </c>
      <c r="B865" s="13" t="s">
        <v>41</v>
      </c>
      <c r="C865" s="13" t="s">
        <v>587</v>
      </c>
      <c r="D865" s="13" t="s">
        <v>171</v>
      </c>
      <c r="E865" s="13" t="str">
        <f t="shared" si="735"/>
        <v>LA2,84-5G-40,BM,1</v>
      </c>
      <c r="F865" s="13"/>
      <c r="G865" s="13" t="s">
        <v>74</v>
      </c>
      <c r="H865" s="13" t="s">
        <v>75</v>
      </c>
      <c r="I865" s="13"/>
      <c r="J865" s="13"/>
      <c r="K865" s="15">
        <v>1.0</v>
      </c>
      <c r="L865" s="15">
        <v>1.0</v>
      </c>
      <c r="M865" s="16"/>
      <c r="N865" s="16"/>
      <c r="O865" s="17"/>
      <c r="P865" s="17"/>
      <c r="Q865" s="13">
        <f t="shared" si="890"/>
        <v>2</v>
      </c>
      <c r="R865" s="13"/>
      <c r="S865" s="13"/>
      <c r="T865" s="13">
        <f t="shared" ref="T865:Y865" si="902">IF(ISBLANK(K865)=TRUE,0,1)</f>
        <v>1</v>
      </c>
      <c r="U865" s="13">
        <f t="shared" si="902"/>
        <v>1</v>
      </c>
      <c r="V865" s="13">
        <f t="shared" si="902"/>
        <v>0</v>
      </c>
      <c r="W865" s="13">
        <f t="shared" si="902"/>
        <v>0</v>
      </c>
      <c r="X865" s="13">
        <f t="shared" si="902"/>
        <v>0</v>
      </c>
      <c r="Y865" s="13">
        <f t="shared" si="902"/>
        <v>0</v>
      </c>
      <c r="Z865" s="13">
        <f t="shared" si="529"/>
        <v>1</v>
      </c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</row>
    <row r="866" ht="14.25" hidden="1" customHeight="1">
      <c r="A866" s="13" t="s">
        <v>36</v>
      </c>
      <c r="B866" s="13" t="s">
        <v>41</v>
      </c>
      <c r="C866" s="13" t="s">
        <v>587</v>
      </c>
      <c r="D866" s="13" t="s">
        <v>172</v>
      </c>
      <c r="E866" s="13" t="str">
        <f t="shared" si="735"/>
        <v>LA2,84-5G-40,BN,1</v>
      </c>
      <c r="F866" s="13"/>
      <c r="G866" s="13" t="s">
        <v>74</v>
      </c>
      <c r="H866" s="13" t="s">
        <v>75</v>
      </c>
      <c r="I866" s="13"/>
      <c r="J866" s="13"/>
      <c r="K866" s="15">
        <v>1.0</v>
      </c>
      <c r="L866" s="15">
        <v>1.0</v>
      </c>
      <c r="M866" s="16"/>
      <c r="N866" s="16"/>
      <c r="O866" s="17"/>
      <c r="P866" s="17"/>
      <c r="Q866" s="13">
        <f t="shared" si="890"/>
        <v>2</v>
      </c>
      <c r="R866" s="13"/>
      <c r="S866" s="13"/>
      <c r="T866" s="13">
        <f t="shared" ref="T866:Y866" si="903">IF(ISBLANK(K866)=TRUE,0,1)</f>
        <v>1</v>
      </c>
      <c r="U866" s="13">
        <f t="shared" si="903"/>
        <v>1</v>
      </c>
      <c r="V866" s="13">
        <f t="shared" si="903"/>
        <v>0</v>
      </c>
      <c r="W866" s="13">
        <f t="shared" si="903"/>
        <v>0</v>
      </c>
      <c r="X866" s="13">
        <f t="shared" si="903"/>
        <v>0</v>
      </c>
      <c r="Y866" s="13">
        <f t="shared" si="903"/>
        <v>0</v>
      </c>
      <c r="Z866" s="13">
        <f t="shared" si="529"/>
        <v>1</v>
      </c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</row>
    <row r="867" ht="14.25" hidden="1" customHeight="1">
      <c r="A867" s="13" t="s">
        <v>36</v>
      </c>
      <c r="B867" s="13" t="s">
        <v>41</v>
      </c>
      <c r="C867" s="13" t="s">
        <v>587</v>
      </c>
      <c r="D867" s="13" t="s">
        <v>556</v>
      </c>
      <c r="E867" s="13" t="str">
        <f t="shared" si="735"/>
        <v>LA2,84-5G-40,BO,1</v>
      </c>
      <c r="F867" s="13"/>
      <c r="G867" s="13" t="s">
        <v>74</v>
      </c>
      <c r="H867" s="13" t="s">
        <v>75</v>
      </c>
      <c r="I867" s="13"/>
      <c r="J867" s="13"/>
      <c r="K867" s="15">
        <v>1.0</v>
      </c>
      <c r="L867" s="15">
        <v>1.0</v>
      </c>
      <c r="M867" s="16"/>
      <c r="N867" s="16"/>
      <c r="O867" s="17"/>
      <c r="P867" s="17"/>
      <c r="Q867" s="13">
        <f t="shared" si="890"/>
        <v>2</v>
      </c>
      <c r="R867" s="13"/>
      <c r="S867" s="13"/>
      <c r="T867" s="13">
        <f t="shared" ref="T867:Y867" si="904">IF(ISBLANK(K867)=TRUE,0,1)</f>
        <v>1</v>
      </c>
      <c r="U867" s="13">
        <f t="shared" si="904"/>
        <v>1</v>
      </c>
      <c r="V867" s="13">
        <f t="shared" si="904"/>
        <v>0</v>
      </c>
      <c r="W867" s="13">
        <f t="shared" si="904"/>
        <v>0</v>
      </c>
      <c r="X867" s="13">
        <f t="shared" si="904"/>
        <v>0</v>
      </c>
      <c r="Y867" s="13">
        <f t="shared" si="904"/>
        <v>0</v>
      </c>
      <c r="Z867" s="13">
        <f t="shared" si="529"/>
        <v>1</v>
      </c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</row>
    <row r="868" ht="14.25" hidden="1" customHeight="1">
      <c r="A868" s="13" t="s">
        <v>36</v>
      </c>
      <c r="B868" s="13" t="s">
        <v>41</v>
      </c>
      <c r="C868" s="13" t="s">
        <v>587</v>
      </c>
      <c r="D868" s="13" t="s">
        <v>557</v>
      </c>
      <c r="E868" s="13" t="str">
        <f t="shared" si="735"/>
        <v>LA2,84-5G-40,BP,1</v>
      </c>
      <c r="F868" s="13"/>
      <c r="G868" s="13" t="s">
        <v>74</v>
      </c>
      <c r="H868" s="13" t="s">
        <v>75</v>
      </c>
      <c r="I868" s="13"/>
      <c r="J868" s="13"/>
      <c r="K868" s="15">
        <v>1.0</v>
      </c>
      <c r="L868" s="15">
        <v>1.0</v>
      </c>
      <c r="M868" s="16"/>
      <c r="N868" s="16"/>
      <c r="O868" s="17"/>
      <c r="P868" s="17"/>
      <c r="Q868" s="13">
        <f t="shared" si="890"/>
        <v>2</v>
      </c>
      <c r="R868" s="13"/>
      <c r="S868" s="13"/>
      <c r="T868" s="13">
        <f t="shared" ref="T868:Y868" si="905">IF(ISBLANK(K868)=TRUE,0,1)</f>
        <v>1</v>
      </c>
      <c r="U868" s="13">
        <f t="shared" si="905"/>
        <v>1</v>
      </c>
      <c r="V868" s="13">
        <f t="shared" si="905"/>
        <v>0</v>
      </c>
      <c r="W868" s="13">
        <f t="shared" si="905"/>
        <v>0</v>
      </c>
      <c r="X868" s="13">
        <f t="shared" si="905"/>
        <v>0</v>
      </c>
      <c r="Y868" s="13">
        <f t="shared" si="905"/>
        <v>0</v>
      </c>
      <c r="Z868" s="13">
        <f t="shared" si="529"/>
        <v>1</v>
      </c>
      <c r="AA868" s="13" t="s">
        <v>483</v>
      </c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</row>
    <row r="869" ht="14.25" hidden="1" customHeight="1">
      <c r="A869" s="13" t="s">
        <v>36</v>
      </c>
      <c r="B869" s="13" t="s">
        <v>41</v>
      </c>
      <c r="C869" s="13" t="s">
        <v>587</v>
      </c>
      <c r="D869" s="13" t="s">
        <v>110</v>
      </c>
      <c r="E869" s="13" t="str">
        <f t="shared" si="735"/>
        <v>LA2,84-5G-40,BQ,1</v>
      </c>
      <c r="F869" s="13"/>
      <c r="G869" s="13" t="s">
        <v>74</v>
      </c>
      <c r="H869" s="13" t="s">
        <v>75</v>
      </c>
      <c r="I869" s="13"/>
      <c r="J869" s="13"/>
      <c r="K869" s="15">
        <v>1.0</v>
      </c>
      <c r="L869" s="15">
        <v>1.0</v>
      </c>
      <c r="M869" s="16"/>
      <c r="N869" s="16"/>
      <c r="O869" s="17"/>
      <c r="P869" s="17"/>
      <c r="Q869" s="13">
        <f t="shared" si="890"/>
        <v>2</v>
      </c>
      <c r="R869" s="13"/>
      <c r="S869" s="13"/>
      <c r="T869" s="13">
        <f t="shared" ref="T869:Y869" si="906">IF(ISBLANK(K869)=TRUE,0,1)</f>
        <v>1</v>
      </c>
      <c r="U869" s="13">
        <f t="shared" si="906"/>
        <v>1</v>
      </c>
      <c r="V869" s="13">
        <f t="shared" si="906"/>
        <v>0</v>
      </c>
      <c r="W869" s="13">
        <f t="shared" si="906"/>
        <v>0</v>
      </c>
      <c r="X869" s="13">
        <f t="shared" si="906"/>
        <v>0</v>
      </c>
      <c r="Y869" s="13">
        <f t="shared" si="906"/>
        <v>0</v>
      </c>
      <c r="Z869" s="13">
        <f t="shared" si="529"/>
        <v>1</v>
      </c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</row>
    <row r="870" ht="14.25" hidden="1" customHeight="1">
      <c r="A870" s="13" t="s">
        <v>36</v>
      </c>
      <c r="B870" s="13" t="s">
        <v>41</v>
      </c>
      <c r="C870" s="13" t="s">
        <v>587</v>
      </c>
      <c r="D870" s="13" t="s">
        <v>113</v>
      </c>
      <c r="E870" s="13" t="str">
        <f t="shared" si="735"/>
        <v>LA2,84-5G-40,BR,1</v>
      </c>
      <c r="F870" s="13"/>
      <c r="G870" s="13" t="s">
        <v>74</v>
      </c>
      <c r="H870" s="13" t="s">
        <v>75</v>
      </c>
      <c r="I870" s="13"/>
      <c r="J870" s="13"/>
      <c r="K870" s="15">
        <v>1.0</v>
      </c>
      <c r="L870" s="15">
        <v>1.0</v>
      </c>
      <c r="M870" s="16"/>
      <c r="N870" s="16"/>
      <c r="O870" s="17"/>
      <c r="P870" s="17"/>
      <c r="Q870" s="13">
        <f t="shared" si="890"/>
        <v>2</v>
      </c>
      <c r="R870" s="13"/>
      <c r="S870" s="13"/>
      <c r="T870" s="13">
        <f t="shared" ref="T870:Y870" si="907">IF(ISBLANK(K870)=TRUE,0,1)</f>
        <v>1</v>
      </c>
      <c r="U870" s="13">
        <f t="shared" si="907"/>
        <v>1</v>
      </c>
      <c r="V870" s="13">
        <f t="shared" si="907"/>
        <v>0</v>
      </c>
      <c r="W870" s="13">
        <f t="shared" si="907"/>
        <v>0</v>
      </c>
      <c r="X870" s="13">
        <f t="shared" si="907"/>
        <v>0</v>
      </c>
      <c r="Y870" s="13">
        <f t="shared" si="907"/>
        <v>0</v>
      </c>
      <c r="Z870" s="13">
        <f t="shared" si="529"/>
        <v>1</v>
      </c>
      <c r="AA870" s="13" t="s">
        <v>561</v>
      </c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</row>
    <row r="871" ht="14.25" hidden="1" customHeight="1">
      <c r="A871" s="13" t="s">
        <v>36</v>
      </c>
      <c r="B871" s="13" t="s">
        <v>41</v>
      </c>
      <c r="C871" s="13" t="s">
        <v>587</v>
      </c>
      <c r="D871" s="13" t="s">
        <v>115</v>
      </c>
      <c r="E871" s="13" t="str">
        <f t="shared" si="735"/>
        <v>LA2,84-5G-40,BS,1</v>
      </c>
      <c r="F871" s="13"/>
      <c r="G871" s="13" t="s">
        <v>74</v>
      </c>
      <c r="H871" s="13" t="s">
        <v>75</v>
      </c>
      <c r="I871" s="13"/>
      <c r="J871" s="13"/>
      <c r="K871" s="15">
        <v>1.0</v>
      </c>
      <c r="L871" s="15">
        <v>1.0</v>
      </c>
      <c r="M871" s="16"/>
      <c r="N871" s="16"/>
      <c r="O871" s="17"/>
      <c r="P871" s="17"/>
      <c r="Q871" s="13">
        <f t="shared" si="890"/>
        <v>2</v>
      </c>
      <c r="R871" s="13"/>
      <c r="S871" s="13"/>
      <c r="T871" s="13">
        <f t="shared" ref="T871:Y871" si="908">IF(ISBLANK(K871)=TRUE,0,1)</f>
        <v>1</v>
      </c>
      <c r="U871" s="13">
        <f t="shared" si="908"/>
        <v>1</v>
      </c>
      <c r="V871" s="13">
        <f t="shared" si="908"/>
        <v>0</v>
      </c>
      <c r="W871" s="13">
        <f t="shared" si="908"/>
        <v>0</v>
      </c>
      <c r="X871" s="13">
        <f t="shared" si="908"/>
        <v>0</v>
      </c>
      <c r="Y871" s="13">
        <f t="shared" si="908"/>
        <v>0</v>
      </c>
      <c r="Z871" s="13">
        <f t="shared" si="529"/>
        <v>1</v>
      </c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</row>
    <row r="872" ht="14.25" hidden="1" customHeight="1">
      <c r="A872" s="13" t="s">
        <v>36</v>
      </c>
      <c r="B872" s="13" t="s">
        <v>41</v>
      </c>
      <c r="C872" s="13" t="s">
        <v>588</v>
      </c>
      <c r="D872" s="13" t="s">
        <v>589</v>
      </c>
      <c r="E872" s="13" t="str">
        <f t="shared" si="735"/>
        <v>LA2,84-5G-41,E,1</v>
      </c>
      <c r="F872" s="13"/>
      <c r="G872" s="13" t="s">
        <v>74</v>
      </c>
      <c r="H872" s="13" t="s">
        <v>75</v>
      </c>
      <c r="I872" s="14">
        <v>44917.0</v>
      </c>
      <c r="J872" s="14"/>
      <c r="K872" s="15">
        <v>1.0</v>
      </c>
      <c r="L872" s="15">
        <v>1.0</v>
      </c>
      <c r="M872" s="16"/>
      <c r="N872" s="16"/>
      <c r="O872" s="17"/>
      <c r="P872" s="17"/>
      <c r="Q872" s="13">
        <f t="shared" si="890"/>
        <v>2</v>
      </c>
      <c r="R872" s="13"/>
      <c r="S872" s="13"/>
      <c r="T872" s="13">
        <f t="shared" ref="T872:Y872" si="909">IF(ISBLANK(K872)=TRUE,0,1)</f>
        <v>1</v>
      </c>
      <c r="U872" s="13">
        <f t="shared" si="909"/>
        <v>1</v>
      </c>
      <c r="V872" s="13">
        <f t="shared" si="909"/>
        <v>0</v>
      </c>
      <c r="W872" s="13">
        <f t="shared" si="909"/>
        <v>0</v>
      </c>
      <c r="X872" s="13">
        <f t="shared" si="909"/>
        <v>0</v>
      </c>
      <c r="Y872" s="13">
        <f t="shared" si="909"/>
        <v>0</v>
      </c>
      <c r="Z872" s="13">
        <f t="shared" si="529"/>
        <v>1</v>
      </c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</row>
    <row r="873" ht="14.25" hidden="1" customHeight="1">
      <c r="A873" s="13" t="s">
        <v>36</v>
      </c>
      <c r="B873" s="13" t="s">
        <v>41</v>
      </c>
      <c r="C873" s="13" t="s">
        <v>588</v>
      </c>
      <c r="D873" s="13" t="s">
        <v>590</v>
      </c>
      <c r="E873" s="13" t="str">
        <f t="shared" si="735"/>
        <v>LA2,84-5G-41,F,1</v>
      </c>
      <c r="F873" s="13"/>
      <c r="G873" s="13" t="s">
        <v>74</v>
      </c>
      <c r="H873" s="13" t="s">
        <v>75</v>
      </c>
      <c r="I873" s="14">
        <v>44917.0</v>
      </c>
      <c r="J873" s="14"/>
      <c r="K873" s="15">
        <v>1.0</v>
      </c>
      <c r="L873" s="15">
        <v>1.0</v>
      </c>
      <c r="M873" s="16"/>
      <c r="N873" s="16"/>
      <c r="O873" s="17"/>
      <c r="P873" s="17"/>
      <c r="Q873" s="13">
        <f t="shared" si="890"/>
        <v>2</v>
      </c>
      <c r="R873" s="13"/>
      <c r="S873" s="13"/>
      <c r="T873" s="13">
        <f t="shared" ref="T873:Y873" si="910">IF(ISBLANK(K873)=TRUE,0,1)</f>
        <v>1</v>
      </c>
      <c r="U873" s="13">
        <f t="shared" si="910"/>
        <v>1</v>
      </c>
      <c r="V873" s="13">
        <f t="shared" si="910"/>
        <v>0</v>
      </c>
      <c r="W873" s="13">
        <f t="shared" si="910"/>
        <v>0</v>
      </c>
      <c r="X873" s="13">
        <f t="shared" si="910"/>
        <v>0</v>
      </c>
      <c r="Y873" s="13">
        <f t="shared" si="910"/>
        <v>0</v>
      </c>
      <c r="Z873" s="13">
        <f t="shared" si="529"/>
        <v>1</v>
      </c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</row>
    <row r="874" ht="14.25" hidden="1" customHeight="1">
      <c r="A874" s="13" t="s">
        <v>36</v>
      </c>
      <c r="B874" s="13" t="s">
        <v>41</v>
      </c>
      <c r="C874" s="13" t="s">
        <v>588</v>
      </c>
      <c r="D874" s="13" t="s">
        <v>591</v>
      </c>
      <c r="E874" s="13" t="str">
        <f t="shared" si="735"/>
        <v>LA2,84-5G-41,G,1</v>
      </c>
      <c r="F874" s="13"/>
      <c r="G874" s="13" t="s">
        <v>74</v>
      </c>
      <c r="H874" s="13" t="s">
        <v>75</v>
      </c>
      <c r="I874" s="14">
        <v>44917.0</v>
      </c>
      <c r="J874" s="14"/>
      <c r="K874" s="15">
        <v>1.0</v>
      </c>
      <c r="L874" s="15">
        <v>1.0</v>
      </c>
      <c r="M874" s="16"/>
      <c r="N874" s="16"/>
      <c r="O874" s="17"/>
      <c r="P874" s="17"/>
      <c r="Q874" s="13">
        <f t="shared" si="890"/>
        <v>2</v>
      </c>
      <c r="R874" s="13"/>
      <c r="S874" s="13"/>
      <c r="T874" s="13">
        <f t="shared" ref="T874:Y874" si="911">IF(ISBLANK(K874)=TRUE,0,1)</f>
        <v>1</v>
      </c>
      <c r="U874" s="13">
        <f t="shared" si="911"/>
        <v>1</v>
      </c>
      <c r="V874" s="13">
        <f t="shared" si="911"/>
        <v>0</v>
      </c>
      <c r="W874" s="13">
        <f t="shared" si="911"/>
        <v>0</v>
      </c>
      <c r="X874" s="13">
        <f t="shared" si="911"/>
        <v>0</v>
      </c>
      <c r="Y874" s="13">
        <f t="shared" si="911"/>
        <v>0</v>
      </c>
      <c r="Z874" s="13">
        <f t="shared" si="529"/>
        <v>1</v>
      </c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</row>
    <row r="875" ht="14.25" hidden="1" customHeight="1">
      <c r="A875" s="13" t="s">
        <v>36</v>
      </c>
      <c r="B875" s="13" t="s">
        <v>41</v>
      </c>
      <c r="C875" s="13" t="s">
        <v>592</v>
      </c>
      <c r="D875" s="13" t="s">
        <v>593</v>
      </c>
      <c r="E875" s="13" t="str">
        <f t="shared" si="735"/>
        <v>LA2,84-5G-43,I,1</v>
      </c>
      <c r="F875" s="13"/>
      <c r="G875" s="13" t="s">
        <v>74</v>
      </c>
      <c r="H875" s="13" t="s">
        <v>75</v>
      </c>
      <c r="I875" s="13"/>
      <c r="J875" s="13"/>
      <c r="K875" s="15">
        <v>1.0</v>
      </c>
      <c r="L875" s="15">
        <v>1.0</v>
      </c>
      <c r="M875" s="16"/>
      <c r="N875" s="16"/>
      <c r="O875" s="17"/>
      <c r="P875" s="17"/>
      <c r="Q875" s="13"/>
      <c r="R875" s="13"/>
      <c r="S875" s="13"/>
      <c r="T875" s="13">
        <f t="shared" ref="T875:Y875" si="912">IF(ISBLANK(K875)=TRUE,0,1)</f>
        <v>1</v>
      </c>
      <c r="U875" s="13">
        <f t="shared" si="912"/>
        <v>1</v>
      </c>
      <c r="V875" s="13">
        <f t="shared" si="912"/>
        <v>0</v>
      </c>
      <c r="W875" s="13">
        <f t="shared" si="912"/>
        <v>0</v>
      </c>
      <c r="X875" s="13">
        <f t="shared" si="912"/>
        <v>0</v>
      </c>
      <c r="Y875" s="13">
        <f t="shared" si="912"/>
        <v>0</v>
      </c>
      <c r="Z875" s="13">
        <f t="shared" si="529"/>
        <v>1</v>
      </c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</row>
    <row r="876" ht="14.25" hidden="1" customHeight="1">
      <c r="A876" s="13" t="s">
        <v>36</v>
      </c>
      <c r="B876" s="13" t="s">
        <v>41</v>
      </c>
      <c r="C876" s="13" t="s">
        <v>592</v>
      </c>
      <c r="D876" s="13" t="s">
        <v>594</v>
      </c>
      <c r="E876" s="13" t="str">
        <f t="shared" si="735"/>
        <v>LA2,84-5G-43,J,1</v>
      </c>
      <c r="F876" s="13"/>
      <c r="G876" s="13" t="s">
        <v>74</v>
      </c>
      <c r="H876" s="13" t="s">
        <v>75</v>
      </c>
      <c r="I876" s="13"/>
      <c r="J876" s="13"/>
      <c r="K876" s="15">
        <v>1.0</v>
      </c>
      <c r="L876" s="15">
        <v>1.0</v>
      </c>
      <c r="M876" s="16"/>
      <c r="N876" s="16"/>
      <c r="O876" s="17"/>
      <c r="P876" s="17"/>
      <c r="Q876" s="13"/>
      <c r="R876" s="13"/>
      <c r="S876" s="13"/>
      <c r="T876" s="13">
        <f t="shared" ref="T876:Y876" si="913">IF(ISBLANK(K876)=TRUE,0,1)</f>
        <v>1</v>
      </c>
      <c r="U876" s="13">
        <f t="shared" si="913"/>
        <v>1</v>
      </c>
      <c r="V876" s="13">
        <f t="shared" si="913"/>
        <v>0</v>
      </c>
      <c r="W876" s="13">
        <f t="shared" si="913"/>
        <v>0</v>
      </c>
      <c r="X876" s="13">
        <f t="shared" si="913"/>
        <v>0</v>
      </c>
      <c r="Y876" s="13">
        <f t="shared" si="913"/>
        <v>0</v>
      </c>
      <c r="Z876" s="13">
        <f t="shared" si="529"/>
        <v>1</v>
      </c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</row>
    <row r="877" ht="14.25" hidden="1" customHeight="1">
      <c r="A877" s="13" t="s">
        <v>36</v>
      </c>
      <c r="B877" s="13" t="s">
        <v>41</v>
      </c>
      <c r="C877" s="13" t="s">
        <v>592</v>
      </c>
      <c r="D877" s="13" t="s">
        <v>595</v>
      </c>
      <c r="E877" s="13" t="str">
        <f t="shared" si="735"/>
        <v>LA2,84-5G-43,K,1</v>
      </c>
      <c r="F877" s="13"/>
      <c r="G877" s="13" t="s">
        <v>74</v>
      </c>
      <c r="H877" s="13" t="s">
        <v>75</v>
      </c>
      <c r="I877" s="13"/>
      <c r="J877" s="13"/>
      <c r="K877" s="15">
        <v>1.0</v>
      </c>
      <c r="L877" s="15">
        <v>1.0</v>
      </c>
      <c r="M877" s="16"/>
      <c r="N877" s="16"/>
      <c r="O877" s="17"/>
      <c r="P877" s="17"/>
      <c r="Q877" s="13"/>
      <c r="R877" s="13"/>
      <c r="S877" s="13"/>
      <c r="T877" s="13">
        <f t="shared" ref="T877:Y877" si="914">IF(ISBLANK(K877)=TRUE,0,1)</f>
        <v>1</v>
      </c>
      <c r="U877" s="13">
        <f t="shared" si="914"/>
        <v>1</v>
      </c>
      <c r="V877" s="13">
        <f t="shared" si="914"/>
        <v>0</v>
      </c>
      <c r="W877" s="13">
        <f t="shared" si="914"/>
        <v>0</v>
      </c>
      <c r="X877" s="13">
        <f t="shared" si="914"/>
        <v>0</v>
      </c>
      <c r="Y877" s="13">
        <f t="shared" si="914"/>
        <v>0</v>
      </c>
      <c r="Z877" s="13">
        <f t="shared" si="529"/>
        <v>1</v>
      </c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</row>
    <row r="878" ht="14.25" hidden="1" customHeight="1">
      <c r="A878" s="13" t="s">
        <v>36</v>
      </c>
      <c r="B878" s="13" t="s">
        <v>41</v>
      </c>
      <c r="C878" s="13" t="s">
        <v>592</v>
      </c>
      <c r="D878" s="13" t="s">
        <v>596</v>
      </c>
      <c r="E878" s="13" t="str">
        <f t="shared" si="735"/>
        <v>LA2,84-5G-43,L,1</v>
      </c>
      <c r="F878" s="13"/>
      <c r="G878" s="13" t="s">
        <v>74</v>
      </c>
      <c r="H878" s="13" t="s">
        <v>75</v>
      </c>
      <c r="I878" s="13"/>
      <c r="J878" s="13"/>
      <c r="K878" s="15">
        <v>1.0</v>
      </c>
      <c r="L878" s="15">
        <v>1.0</v>
      </c>
      <c r="M878" s="16"/>
      <c r="N878" s="16"/>
      <c r="O878" s="17"/>
      <c r="P878" s="17"/>
      <c r="Q878" s="13"/>
      <c r="R878" s="13"/>
      <c r="S878" s="13"/>
      <c r="T878" s="13">
        <f t="shared" ref="T878:Y878" si="915">IF(ISBLANK(K878)=TRUE,0,1)</f>
        <v>1</v>
      </c>
      <c r="U878" s="13">
        <f t="shared" si="915"/>
        <v>1</v>
      </c>
      <c r="V878" s="13">
        <f t="shared" si="915"/>
        <v>0</v>
      </c>
      <c r="W878" s="13">
        <f t="shared" si="915"/>
        <v>0</v>
      </c>
      <c r="X878" s="13">
        <f t="shared" si="915"/>
        <v>0</v>
      </c>
      <c r="Y878" s="13">
        <f t="shared" si="915"/>
        <v>0</v>
      </c>
      <c r="Z878" s="13">
        <f t="shared" si="529"/>
        <v>1</v>
      </c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</row>
    <row r="879" ht="14.25" hidden="1" customHeight="1">
      <c r="A879" s="13" t="s">
        <v>36</v>
      </c>
      <c r="B879" s="13" t="s">
        <v>41</v>
      </c>
      <c r="C879" s="13" t="s">
        <v>592</v>
      </c>
      <c r="D879" s="13" t="s">
        <v>597</v>
      </c>
      <c r="E879" s="13" t="str">
        <f t="shared" si="735"/>
        <v>LA2,84-5G-43,M,1</v>
      </c>
      <c r="F879" s="13"/>
      <c r="G879" s="13" t="s">
        <v>74</v>
      </c>
      <c r="H879" s="13" t="s">
        <v>75</v>
      </c>
      <c r="I879" s="13"/>
      <c r="J879" s="13"/>
      <c r="K879" s="15">
        <v>1.0</v>
      </c>
      <c r="L879" s="15">
        <v>1.0</v>
      </c>
      <c r="M879" s="16"/>
      <c r="N879" s="16"/>
      <c r="O879" s="17"/>
      <c r="P879" s="17"/>
      <c r="Q879" s="13"/>
      <c r="R879" s="13"/>
      <c r="S879" s="13"/>
      <c r="T879" s="13">
        <f t="shared" ref="T879:Y879" si="916">IF(ISBLANK(K879)=TRUE,0,1)</f>
        <v>1</v>
      </c>
      <c r="U879" s="13">
        <f t="shared" si="916"/>
        <v>1</v>
      </c>
      <c r="V879" s="13">
        <f t="shared" si="916"/>
        <v>0</v>
      </c>
      <c r="W879" s="13">
        <f t="shared" si="916"/>
        <v>0</v>
      </c>
      <c r="X879" s="13">
        <f t="shared" si="916"/>
        <v>0</v>
      </c>
      <c r="Y879" s="13">
        <f t="shared" si="916"/>
        <v>0</v>
      </c>
      <c r="Z879" s="13">
        <f t="shared" si="529"/>
        <v>1</v>
      </c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</row>
    <row r="880" ht="14.25" hidden="1" customHeight="1">
      <c r="A880" s="13" t="s">
        <v>36</v>
      </c>
      <c r="B880" s="13" t="s">
        <v>41</v>
      </c>
      <c r="C880" s="13" t="s">
        <v>598</v>
      </c>
      <c r="D880" s="13" t="s">
        <v>174</v>
      </c>
      <c r="E880" s="13" t="str">
        <f t="shared" si="735"/>
        <v>LA2,84-5G-63,AA,1</v>
      </c>
      <c r="F880" s="13"/>
      <c r="G880" s="13" t="s">
        <v>74</v>
      </c>
      <c r="H880" s="13" t="s">
        <v>75</v>
      </c>
      <c r="I880" s="13"/>
      <c r="J880" s="13"/>
      <c r="K880" s="15">
        <v>1.0</v>
      </c>
      <c r="L880" s="15">
        <v>1.0</v>
      </c>
      <c r="M880" s="16"/>
      <c r="N880" s="16"/>
      <c r="O880" s="17"/>
      <c r="P880" s="17"/>
      <c r="Q880" s="13">
        <f t="shared" ref="Q880:Q958" si="918">K879+L879+M879+N879+O879+P879/6</f>
        <v>2</v>
      </c>
      <c r="R880" s="13"/>
      <c r="S880" s="13"/>
      <c r="T880" s="13">
        <f t="shared" ref="T880:Y880" si="917">IF(ISBLANK(K880)=TRUE,0,1)</f>
        <v>1</v>
      </c>
      <c r="U880" s="13">
        <f t="shared" si="917"/>
        <v>1</v>
      </c>
      <c r="V880" s="13">
        <f t="shared" si="917"/>
        <v>0</v>
      </c>
      <c r="W880" s="13">
        <f t="shared" si="917"/>
        <v>0</v>
      </c>
      <c r="X880" s="13">
        <f t="shared" si="917"/>
        <v>0</v>
      </c>
      <c r="Y880" s="13">
        <f t="shared" si="917"/>
        <v>0</v>
      </c>
      <c r="Z880" s="13">
        <f t="shared" si="529"/>
        <v>1</v>
      </c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</row>
    <row r="881" ht="14.25" hidden="1" customHeight="1">
      <c r="A881" s="13" t="s">
        <v>36</v>
      </c>
      <c r="B881" s="13" t="s">
        <v>41</v>
      </c>
      <c r="C881" s="13" t="s">
        <v>598</v>
      </c>
      <c r="D881" s="13" t="s">
        <v>175</v>
      </c>
      <c r="E881" s="13" t="str">
        <f t="shared" si="735"/>
        <v>LA2,84-5G-63,AB,1</v>
      </c>
      <c r="F881" s="13"/>
      <c r="G881" s="13" t="s">
        <v>74</v>
      </c>
      <c r="H881" s="13" t="s">
        <v>75</v>
      </c>
      <c r="I881" s="13"/>
      <c r="J881" s="13"/>
      <c r="K881" s="15">
        <v>1.0</v>
      </c>
      <c r="L881" s="15">
        <v>1.0</v>
      </c>
      <c r="M881" s="16"/>
      <c r="N881" s="16"/>
      <c r="O881" s="17"/>
      <c r="P881" s="17"/>
      <c r="Q881" s="13">
        <f t="shared" si="918"/>
        <v>2</v>
      </c>
      <c r="R881" s="13"/>
      <c r="S881" s="13"/>
      <c r="T881" s="13">
        <f t="shared" ref="T881:Y881" si="919">IF(ISBLANK(K881)=TRUE,0,1)</f>
        <v>1</v>
      </c>
      <c r="U881" s="13">
        <f t="shared" si="919"/>
        <v>1</v>
      </c>
      <c r="V881" s="13">
        <f t="shared" si="919"/>
        <v>0</v>
      </c>
      <c r="W881" s="13">
        <f t="shared" si="919"/>
        <v>0</v>
      </c>
      <c r="X881" s="13">
        <f t="shared" si="919"/>
        <v>0</v>
      </c>
      <c r="Y881" s="13">
        <f t="shared" si="919"/>
        <v>0</v>
      </c>
      <c r="Z881" s="13">
        <f t="shared" si="529"/>
        <v>1</v>
      </c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</row>
    <row r="882" ht="14.25" hidden="1" customHeight="1">
      <c r="A882" s="13" t="s">
        <v>36</v>
      </c>
      <c r="B882" s="13" t="s">
        <v>41</v>
      </c>
      <c r="C882" s="13" t="s">
        <v>598</v>
      </c>
      <c r="D882" s="13" t="s">
        <v>176</v>
      </c>
      <c r="E882" s="13" t="str">
        <f t="shared" si="735"/>
        <v>LA2,84-5G-63,AC,1</v>
      </c>
      <c r="F882" s="13"/>
      <c r="G882" s="13" t="s">
        <v>74</v>
      </c>
      <c r="H882" s="13" t="s">
        <v>75</v>
      </c>
      <c r="I882" s="13"/>
      <c r="J882" s="13"/>
      <c r="K882" s="15">
        <v>1.0</v>
      </c>
      <c r="L882" s="15">
        <v>1.0</v>
      </c>
      <c r="M882" s="16"/>
      <c r="N882" s="16"/>
      <c r="O882" s="17"/>
      <c r="P882" s="17"/>
      <c r="Q882" s="13">
        <f t="shared" si="918"/>
        <v>2</v>
      </c>
      <c r="R882" s="13"/>
      <c r="S882" s="13"/>
      <c r="T882" s="13">
        <f t="shared" ref="T882:Y882" si="920">IF(ISBLANK(K882)=TRUE,0,1)</f>
        <v>1</v>
      </c>
      <c r="U882" s="13">
        <f t="shared" si="920"/>
        <v>1</v>
      </c>
      <c r="V882" s="13">
        <f t="shared" si="920"/>
        <v>0</v>
      </c>
      <c r="W882" s="13">
        <f t="shared" si="920"/>
        <v>0</v>
      </c>
      <c r="X882" s="13">
        <f t="shared" si="920"/>
        <v>0</v>
      </c>
      <c r="Y882" s="13">
        <f t="shared" si="920"/>
        <v>0</v>
      </c>
      <c r="Z882" s="13">
        <f t="shared" si="529"/>
        <v>1</v>
      </c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</row>
    <row r="883" ht="14.25" hidden="1" customHeight="1">
      <c r="A883" s="13" t="s">
        <v>36</v>
      </c>
      <c r="B883" s="13" t="s">
        <v>41</v>
      </c>
      <c r="C883" s="13" t="s">
        <v>598</v>
      </c>
      <c r="D883" s="13" t="s">
        <v>177</v>
      </c>
      <c r="E883" s="13" t="str">
        <f t="shared" si="735"/>
        <v>LA2,84-5G-63,AD,1</v>
      </c>
      <c r="F883" s="13"/>
      <c r="G883" s="13" t="s">
        <v>74</v>
      </c>
      <c r="H883" s="13" t="s">
        <v>75</v>
      </c>
      <c r="I883" s="13"/>
      <c r="J883" s="13"/>
      <c r="K883" s="15">
        <v>1.0</v>
      </c>
      <c r="L883" s="15">
        <v>1.0</v>
      </c>
      <c r="M883" s="16"/>
      <c r="N883" s="16"/>
      <c r="O883" s="17"/>
      <c r="P883" s="17"/>
      <c r="Q883" s="13">
        <f t="shared" si="918"/>
        <v>2</v>
      </c>
      <c r="R883" s="13"/>
      <c r="S883" s="13"/>
      <c r="T883" s="13">
        <f t="shared" ref="T883:Y883" si="921">IF(ISBLANK(K883)=TRUE,0,1)</f>
        <v>1</v>
      </c>
      <c r="U883" s="13">
        <f t="shared" si="921"/>
        <v>1</v>
      </c>
      <c r="V883" s="13">
        <f t="shared" si="921"/>
        <v>0</v>
      </c>
      <c r="W883" s="13">
        <f t="shared" si="921"/>
        <v>0</v>
      </c>
      <c r="X883" s="13">
        <f t="shared" si="921"/>
        <v>0</v>
      </c>
      <c r="Y883" s="13">
        <f t="shared" si="921"/>
        <v>0</v>
      </c>
      <c r="Z883" s="13">
        <f t="shared" si="529"/>
        <v>1</v>
      </c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</row>
    <row r="884" ht="14.25" hidden="1" customHeight="1">
      <c r="A884" s="13" t="s">
        <v>36</v>
      </c>
      <c r="B884" s="13" t="s">
        <v>41</v>
      </c>
      <c r="C884" s="13" t="s">
        <v>598</v>
      </c>
      <c r="D884" s="13" t="s">
        <v>178</v>
      </c>
      <c r="E884" s="13" t="str">
        <f t="shared" si="735"/>
        <v>LA2,84-5G-63,AE,1</v>
      </c>
      <c r="F884" s="13"/>
      <c r="G884" s="13" t="s">
        <v>74</v>
      </c>
      <c r="H884" s="13" t="s">
        <v>75</v>
      </c>
      <c r="I884" s="13"/>
      <c r="J884" s="13"/>
      <c r="K884" s="15">
        <v>1.0</v>
      </c>
      <c r="L884" s="15">
        <v>1.0</v>
      </c>
      <c r="M884" s="16"/>
      <c r="N884" s="16"/>
      <c r="O884" s="17"/>
      <c r="P884" s="17"/>
      <c r="Q884" s="13">
        <f t="shared" si="918"/>
        <v>2</v>
      </c>
      <c r="R884" s="13"/>
      <c r="S884" s="13"/>
      <c r="T884" s="13">
        <f t="shared" ref="T884:Y884" si="922">IF(ISBLANK(K884)=TRUE,0,1)</f>
        <v>1</v>
      </c>
      <c r="U884" s="13">
        <f t="shared" si="922"/>
        <v>1</v>
      </c>
      <c r="V884" s="13">
        <f t="shared" si="922"/>
        <v>0</v>
      </c>
      <c r="W884" s="13">
        <f t="shared" si="922"/>
        <v>0</v>
      </c>
      <c r="X884" s="13">
        <f t="shared" si="922"/>
        <v>0</v>
      </c>
      <c r="Y884" s="13">
        <f t="shared" si="922"/>
        <v>0</v>
      </c>
      <c r="Z884" s="13">
        <f t="shared" si="529"/>
        <v>1</v>
      </c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</row>
    <row r="885" ht="14.25" hidden="1" customHeight="1">
      <c r="A885" s="13" t="s">
        <v>36</v>
      </c>
      <c r="B885" s="13" t="s">
        <v>41</v>
      </c>
      <c r="C885" s="13" t="s">
        <v>598</v>
      </c>
      <c r="D885" s="13" t="s">
        <v>179</v>
      </c>
      <c r="E885" s="13" t="str">
        <f t="shared" si="735"/>
        <v>LA2,84-5G-63,AF,1</v>
      </c>
      <c r="F885" s="13"/>
      <c r="G885" s="13" t="s">
        <v>74</v>
      </c>
      <c r="H885" s="13" t="s">
        <v>75</v>
      </c>
      <c r="I885" s="13"/>
      <c r="J885" s="13"/>
      <c r="K885" s="15">
        <v>1.0</v>
      </c>
      <c r="L885" s="15">
        <v>1.0</v>
      </c>
      <c r="M885" s="16"/>
      <c r="N885" s="16"/>
      <c r="O885" s="17"/>
      <c r="P885" s="17"/>
      <c r="Q885" s="13">
        <f t="shared" si="918"/>
        <v>2</v>
      </c>
      <c r="R885" s="13"/>
      <c r="S885" s="13"/>
      <c r="T885" s="13">
        <f t="shared" ref="T885:Y885" si="923">IF(ISBLANK(K885)=TRUE,0,1)</f>
        <v>1</v>
      </c>
      <c r="U885" s="13">
        <f t="shared" si="923"/>
        <v>1</v>
      </c>
      <c r="V885" s="13">
        <f t="shared" si="923"/>
        <v>0</v>
      </c>
      <c r="W885" s="13">
        <f t="shared" si="923"/>
        <v>0</v>
      </c>
      <c r="X885" s="13">
        <f t="shared" si="923"/>
        <v>0</v>
      </c>
      <c r="Y885" s="13">
        <f t="shared" si="923"/>
        <v>0</v>
      </c>
      <c r="Z885" s="13">
        <f t="shared" si="529"/>
        <v>1</v>
      </c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</row>
    <row r="886" ht="14.25" hidden="1" customHeight="1">
      <c r="A886" s="13" t="s">
        <v>36</v>
      </c>
      <c r="B886" s="13" t="s">
        <v>41</v>
      </c>
      <c r="C886" s="13" t="s">
        <v>598</v>
      </c>
      <c r="D886" s="13" t="s">
        <v>180</v>
      </c>
      <c r="E886" s="13" t="str">
        <f t="shared" si="735"/>
        <v>LA2,84-5G-63,AG,1</v>
      </c>
      <c r="F886" s="13"/>
      <c r="G886" s="13" t="s">
        <v>74</v>
      </c>
      <c r="H886" s="13" t="s">
        <v>75</v>
      </c>
      <c r="I886" s="13"/>
      <c r="J886" s="13"/>
      <c r="K886" s="15">
        <v>1.0</v>
      </c>
      <c r="L886" s="15">
        <v>1.0</v>
      </c>
      <c r="M886" s="16"/>
      <c r="N886" s="16"/>
      <c r="O886" s="17"/>
      <c r="P886" s="17"/>
      <c r="Q886" s="13">
        <f t="shared" si="918"/>
        <v>2</v>
      </c>
      <c r="R886" s="13"/>
      <c r="S886" s="13"/>
      <c r="T886" s="13">
        <f t="shared" ref="T886:Y886" si="924">IF(ISBLANK(K886)=TRUE,0,1)</f>
        <v>1</v>
      </c>
      <c r="U886" s="13">
        <f t="shared" si="924"/>
        <v>1</v>
      </c>
      <c r="V886" s="13">
        <f t="shared" si="924"/>
        <v>0</v>
      </c>
      <c r="W886" s="13">
        <f t="shared" si="924"/>
        <v>0</v>
      </c>
      <c r="X886" s="13">
        <f t="shared" si="924"/>
        <v>0</v>
      </c>
      <c r="Y886" s="13">
        <f t="shared" si="924"/>
        <v>0</v>
      </c>
      <c r="Z886" s="13">
        <f t="shared" si="529"/>
        <v>1</v>
      </c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</row>
    <row r="887" ht="14.25" hidden="1" customHeight="1">
      <c r="A887" s="13" t="s">
        <v>36</v>
      </c>
      <c r="B887" s="13" t="s">
        <v>41</v>
      </c>
      <c r="C887" s="13" t="s">
        <v>598</v>
      </c>
      <c r="D887" s="13" t="s">
        <v>181</v>
      </c>
      <c r="E887" s="13" t="str">
        <f t="shared" si="735"/>
        <v>LA2,84-5G-63,AH,1</v>
      </c>
      <c r="F887" s="13"/>
      <c r="G887" s="13" t="s">
        <v>74</v>
      </c>
      <c r="H887" s="13" t="s">
        <v>75</v>
      </c>
      <c r="I887" s="13"/>
      <c r="J887" s="13"/>
      <c r="K887" s="15">
        <v>1.0</v>
      </c>
      <c r="L887" s="15">
        <v>1.0</v>
      </c>
      <c r="M887" s="16"/>
      <c r="N887" s="16"/>
      <c r="O887" s="17"/>
      <c r="P887" s="17"/>
      <c r="Q887" s="13">
        <f t="shared" si="918"/>
        <v>2</v>
      </c>
      <c r="R887" s="13"/>
      <c r="S887" s="13"/>
      <c r="T887" s="13">
        <f t="shared" ref="T887:Y887" si="925">IF(ISBLANK(K887)=TRUE,0,1)</f>
        <v>1</v>
      </c>
      <c r="U887" s="13">
        <f t="shared" si="925"/>
        <v>1</v>
      </c>
      <c r="V887" s="13">
        <f t="shared" si="925"/>
        <v>0</v>
      </c>
      <c r="W887" s="13">
        <f t="shared" si="925"/>
        <v>0</v>
      </c>
      <c r="X887" s="13">
        <f t="shared" si="925"/>
        <v>0</v>
      </c>
      <c r="Y887" s="13">
        <f t="shared" si="925"/>
        <v>0</v>
      </c>
      <c r="Z887" s="13">
        <f t="shared" si="529"/>
        <v>1</v>
      </c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</row>
    <row r="888" ht="14.25" hidden="1" customHeight="1">
      <c r="A888" s="13" t="s">
        <v>36</v>
      </c>
      <c r="B888" s="13" t="s">
        <v>41</v>
      </c>
      <c r="C888" s="13" t="s">
        <v>598</v>
      </c>
      <c r="D888" s="13" t="s">
        <v>182</v>
      </c>
      <c r="E888" s="13" t="str">
        <f t="shared" si="735"/>
        <v>LA2,84-5G-63,AI,1</v>
      </c>
      <c r="F888" s="13"/>
      <c r="G888" s="13" t="s">
        <v>74</v>
      </c>
      <c r="H888" s="13" t="s">
        <v>75</v>
      </c>
      <c r="I888" s="13"/>
      <c r="J888" s="13"/>
      <c r="K888" s="15">
        <v>1.0</v>
      </c>
      <c r="L888" s="15">
        <v>1.0</v>
      </c>
      <c r="M888" s="16"/>
      <c r="N888" s="16"/>
      <c r="O888" s="17"/>
      <c r="P888" s="17"/>
      <c r="Q888" s="13">
        <f t="shared" si="918"/>
        <v>2</v>
      </c>
      <c r="R888" s="13"/>
      <c r="S888" s="13"/>
      <c r="T888" s="13">
        <f t="shared" ref="T888:Y888" si="926">IF(ISBLANK(K888)=TRUE,0,1)</f>
        <v>1</v>
      </c>
      <c r="U888" s="13">
        <f t="shared" si="926"/>
        <v>1</v>
      </c>
      <c r="V888" s="13">
        <f t="shared" si="926"/>
        <v>0</v>
      </c>
      <c r="W888" s="13">
        <f t="shared" si="926"/>
        <v>0</v>
      </c>
      <c r="X888" s="13">
        <f t="shared" si="926"/>
        <v>0</v>
      </c>
      <c r="Y888" s="13">
        <f t="shared" si="926"/>
        <v>0</v>
      </c>
      <c r="Z888" s="13">
        <f t="shared" si="529"/>
        <v>1</v>
      </c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</row>
    <row r="889" ht="14.25" hidden="1" customHeight="1">
      <c r="A889" s="13" t="s">
        <v>36</v>
      </c>
      <c r="B889" s="13" t="s">
        <v>41</v>
      </c>
      <c r="C889" s="13" t="s">
        <v>598</v>
      </c>
      <c r="D889" s="13" t="s">
        <v>183</v>
      </c>
      <c r="E889" s="13" t="str">
        <f t="shared" si="735"/>
        <v>LA2,84-5G-63,AJ,1</v>
      </c>
      <c r="F889" s="13"/>
      <c r="G889" s="13" t="s">
        <v>74</v>
      </c>
      <c r="H889" s="13" t="s">
        <v>75</v>
      </c>
      <c r="I889" s="13"/>
      <c r="J889" s="13"/>
      <c r="K889" s="15">
        <v>1.0</v>
      </c>
      <c r="L889" s="15">
        <v>1.0</v>
      </c>
      <c r="M889" s="16"/>
      <c r="N889" s="16"/>
      <c r="O889" s="17"/>
      <c r="P889" s="17"/>
      <c r="Q889" s="13">
        <f t="shared" si="918"/>
        <v>2</v>
      </c>
      <c r="R889" s="13"/>
      <c r="S889" s="13"/>
      <c r="T889" s="13">
        <f t="shared" ref="T889:Y889" si="927">IF(ISBLANK(K889)=TRUE,0,1)</f>
        <v>1</v>
      </c>
      <c r="U889" s="13">
        <f t="shared" si="927"/>
        <v>1</v>
      </c>
      <c r="V889" s="13">
        <f t="shared" si="927"/>
        <v>0</v>
      </c>
      <c r="W889" s="13">
        <f t="shared" si="927"/>
        <v>0</v>
      </c>
      <c r="X889" s="13">
        <f t="shared" si="927"/>
        <v>0</v>
      </c>
      <c r="Y889" s="13">
        <f t="shared" si="927"/>
        <v>0</v>
      </c>
      <c r="Z889" s="13">
        <f t="shared" si="529"/>
        <v>1</v>
      </c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</row>
    <row r="890" ht="14.25" hidden="1" customHeight="1">
      <c r="A890" s="13" t="s">
        <v>36</v>
      </c>
      <c r="B890" s="13" t="s">
        <v>41</v>
      </c>
      <c r="C890" s="13" t="s">
        <v>598</v>
      </c>
      <c r="D890" s="13" t="s">
        <v>184</v>
      </c>
      <c r="E890" s="13" t="str">
        <f t="shared" si="735"/>
        <v>LA2,84-5G-63,AK,1</v>
      </c>
      <c r="F890" s="13"/>
      <c r="G890" s="13" t="s">
        <v>74</v>
      </c>
      <c r="H890" s="13" t="s">
        <v>75</v>
      </c>
      <c r="I890" s="13"/>
      <c r="J890" s="13"/>
      <c r="K890" s="15">
        <v>1.0</v>
      </c>
      <c r="L890" s="15">
        <v>1.0</v>
      </c>
      <c r="M890" s="16"/>
      <c r="N890" s="16"/>
      <c r="O890" s="17"/>
      <c r="P890" s="17"/>
      <c r="Q890" s="13">
        <f t="shared" si="918"/>
        <v>2</v>
      </c>
      <c r="R890" s="13"/>
      <c r="S890" s="13"/>
      <c r="T890" s="13">
        <f t="shared" ref="T890:Y890" si="928">IF(ISBLANK(K890)=TRUE,0,1)</f>
        <v>1</v>
      </c>
      <c r="U890" s="13">
        <f t="shared" si="928"/>
        <v>1</v>
      </c>
      <c r="V890" s="13">
        <f t="shared" si="928"/>
        <v>0</v>
      </c>
      <c r="W890" s="13">
        <f t="shared" si="928"/>
        <v>0</v>
      </c>
      <c r="X890" s="13">
        <f t="shared" si="928"/>
        <v>0</v>
      </c>
      <c r="Y890" s="13">
        <f t="shared" si="928"/>
        <v>0</v>
      </c>
      <c r="Z890" s="13">
        <f t="shared" si="529"/>
        <v>1</v>
      </c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</row>
    <row r="891" ht="14.25" hidden="1" customHeight="1">
      <c r="A891" s="13" t="s">
        <v>36</v>
      </c>
      <c r="B891" s="13" t="s">
        <v>41</v>
      </c>
      <c r="C891" s="13" t="s">
        <v>598</v>
      </c>
      <c r="D891" s="13" t="s">
        <v>185</v>
      </c>
      <c r="E891" s="13" t="str">
        <f t="shared" si="735"/>
        <v>LA2,84-5G-63,AL,1</v>
      </c>
      <c r="F891" s="13"/>
      <c r="G891" s="13" t="s">
        <v>74</v>
      </c>
      <c r="H891" s="13" t="s">
        <v>75</v>
      </c>
      <c r="I891" s="13"/>
      <c r="J891" s="13"/>
      <c r="K891" s="15">
        <v>1.0</v>
      </c>
      <c r="L891" s="15">
        <v>1.0</v>
      </c>
      <c r="M891" s="16"/>
      <c r="N891" s="16"/>
      <c r="O891" s="17"/>
      <c r="P891" s="17"/>
      <c r="Q891" s="13">
        <f t="shared" si="918"/>
        <v>2</v>
      </c>
      <c r="R891" s="13"/>
      <c r="S891" s="13"/>
      <c r="T891" s="13">
        <f t="shared" ref="T891:Y891" si="929">IF(ISBLANK(K891)=TRUE,0,1)</f>
        <v>1</v>
      </c>
      <c r="U891" s="13">
        <f t="shared" si="929"/>
        <v>1</v>
      </c>
      <c r="V891" s="13">
        <f t="shared" si="929"/>
        <v>0</v>
      </c>
      <c r="W891" s="13">
        <f t="shared" si="929"/>
        <v>0</v>
      </c>
      <c r="X891" s="13">
        <f t="shared" si="929"/>
        <v>0</v>
      </c>
      <c r="Y891" s="13">
        <f t="shared" si="929"/>
        <v>0</v>
      </c>
      <c r="Z891" s="13">
        <f t="shared" si="529"/>
        <v>1</v>
      </c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</row>
    <row r="892" ht="14.25" hidden="1" customHeight="1">
      <c r="A892" s="13" t="s">
        <v>36</v>
      </c>
      <c r="B892" s="13" t="s">
        <v>41</v>
      </c>
      <c r="C892" s="13" t="s">
        <v>598</v>
      </c>
      <c r="D892" s="13" t="s">
        <v>186</v>
      </c>
      <c r="E892" s="13" t="str">
        <f t="shared" si="735"/>
        <v>LA2,84-5G-63,AM,1</v>
      </c>
      <c r="F892" s="13"/>
      <c r="G892" s="13" t="s">
        <v>74</v>
      </c>
      <c r="H892" s="13" t="s">
        <v>75</v>
      </c>
      <c r="I892" s="13"/>
      <c r="J892" s="13"/>
      <c r="K892" s="15">
        <v>1.0</v>
      </c>
      <c r="L892" s="15">
        <v>1.0</v>
      </c>
      <c r="M892" s="16"/>
      <c r="N892" s="16"/>
      <c r="O892" s="17"/>
      <c r="P892" s="17"/>
      <c r="Q892" s="13">
        <f t="shared" si="918"/>
        <v>2</v>
      </c>
      <c r="R892" s="13"/>
      <c r="S892" s="13"/>
      <c r="T892" s="13">
        <f t="shared" ref="T892:Y892" si="930">IF(ISBLANK(K892)=TRUE,0,1)</f>
        <v>1</v>
      </c>
      <c r="U892" s="13">
        <f t="shared" si="930"/>
        <v>1</v>
      </c>
      <c r="V892" s="13">
        <f t="shared" si="930"/>
        <v>0</v>
      </c>
      <c r="W892" s="13">
        <f t="shared" si="930"/>
        <v>0</v>
      </c>
      <c r="X892" s="13">
        <f t="shared" si="930"/>
        <v>0</v>
      </c>
      <c r="Y892" s="13">
        <f t="shared" si="930"/>
        <v>0</v>
      </c>
      <c r="Z892" s="13">
        <f t="shared" si="529"/>
        <v>1</v>
      </c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</row>
    <row r="893" ht="14.25" hidden="1" customHeight="1">
      <c r="A893" s="13" t="s">
        <v>36</v>
      </c>
      <c r="B893" s="13" t="s">
        <v>41</v>
      </c>
      <c r="C893" s="13" t="s">
        <v>598</v>
      </c>
      <c r="D893" s="13" t="s">
        <v>187</v>
      </c>
      <c r="E893" s="13" t="str">
        <f t="shared" si="735"/>
        <v>LA2,84-5G-63,AN,1</v>
      </c>
      <c r="F893" s="13"/>
      <c r="G893" s="13" t="s">
        <v>74</v>
      </c>
      <c r="H893" s="13" t="s">
        <v>75</v>
      </c>
      <c r="I893" s="13"/>
      <c r="J893" s="13"/>
      <c r="K893" s="15">
        <v>1.0</v>
      </c>
      <c r="L893" s="15">
        <v>1.0</v>
      </c>
      <c r="M893" s="16"/>
      <c r="N893" s="16"/>
      <c r="O893" s="17"/>
      <c r="P893" s="17"/>
      <c r="Q893" s="13">
        <f t="shared" si="918"/>
        <v>2</v>
      </c>
      <c r="R893" s="13"/>
      <c r="S893" s="13"/>
      <c r="T893" s="13">
        <f t="shared" ref="T893:Y893" si="931">IF(ISBLANK(K893)=TRUE,0,1)</f>
        <v>1</v>
      </c>
      <c r="U893" s="13">
        <f t="shared" si="931"/>
        <v>1</v>
      </c>
      <c r="V893" s="13">
        <f t="shared" si="931"/>
        <v>0</v>
      </c>
      <c r="W893" s="13">
        <f t="shared" si="931"/>
        <v>0</v>
      </c>
      <c r="X893" s="13">
        <f t="shared" si="931"/>
        <v>0</v>
      </c>
      <c r="Y893" s="13">
        <f t="shared" si="931"/>
        <v>0</v>
      </c>
      <c r="Z893" s="13">
        <f t="shared" si="529"/>
        <v>1</v>
      </c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</row>
    <row r="894" ht="14.25" hidden="1" customHeight="1">
      <c r="A894" s="13" t="s">
        <v>36</v>
      </c>
      <c r="B894" s="13" t="s">
        <v>41</v>
      </c>
      <c r="C894" s="13" t="s">
        <v>598</v>
      </c>
      <c r="D894" s="13" t="s">
        <v>188</v>
      </c>
      <c r="E894" s="13" t="str">
        <f t="shared" si="735"/>
        <v>LA2,84-5G-63,AO,1</v>
      </c>
      <c r="F894" s="13"/>
      <c r="G894" s="13" t="s">
        <v>74</v>
      </c>
      <c r="H894" s="13" t="s">
        <v>75</v>
      </c>
      <c r="I894" s="13"/>
      <c r="J894" s="13"/>
      <c r="K894" s="15">
        <v>1.0</v>
      </c>
      <c r="L894" s="15">
        <v>1.0</v>
      </c>
      <c r="M894" s="16"/>
      <c r="N894" s="16"/>
      <c r="O894" s="17"/>
      <c r="P894" s="17"/>
      <c r="Q894" s="13">
        <f t="shared" si="918"/>
        <v>2</v>
      </c>
      <c r="R894" s="13"/>
      <c r="S894" s="13"/>
      <c r="T894" s="13">
        <f t="shared" ref="T894:Y894" si="932">IF(ISBLANK(K894)=TRUE,0,1)</f>
        <v>1</v>
      </c>
      <c r="U894" s="13">
        <f t="shared" si="932"/>
        <v>1</v>
      </c>
      <c r="V894" s="13">
        <f t="shared" si="932"/>
        <v>0</v>
      </c>
      <c r="W894" s="13">
        <f t="shared" si="932"/>
        <v>0</v>
      </c>
      <c r="X894" s="13">
        <f t="shared" si="932"/>
        <v>0</v>
      </c>
      <c r="Y894" s="13">
        <f t="shared" si="932"/>
        <v>0</v>
      </c>
      <c r="Z894" s="13">
        <f t="shared" si="529"/>
        <v>1</v>
      </c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</row>
    <row r="895" ht="14.25" hidden="1" customHeight="1">
      <c r="A895" s="13" t="s">
        <v>36</v>
      </c>
      <c r="B895" s="13" t="s">
        <v>41</v>
      </c>
      <c r="C895" s="13" t="s">
        <v>598</v>
      </c>
      <c r="D895" s="13" t="s">
        <v>189</v>
      </c>
      <c r="E895" s="13" t="str">
        <f t="shared" si="735"/>
        <v>LA2,84-5G-63,AP,1</v>
      </c>
      <c r="F895" s="13"/>
      <c r="G895" s="13" t="s">
        <v>74</v>
      </c>
      <c r="H895" s="13" t="s">
        <v>75</v>
      </c>
      <c r="I895" s="13"/>
      <c r="J895" s="13"/>
      <c r="K895" s="15">
        <v>1.0</v>
      </c>
      <c r="L895" s="15">
        <v>1.0</v>
      </c>
      <c r="M895" s="16"/>
      <c r="N895" s="16"/>
      <c r="O895" s="17"/>
      <c r="P895" s="17"/>
      <c r="Q895" s="13">
        <f t="shared" si="918"/>
        <v>2</v>
      </c>
      <c r="R895" s="13"/>
      <c r="S895" s="13"/>
      <c r="T895" s="13">
        <f t="shared" ref="T895:Y895" si="933">IF(ISBLANK(K895)=TRUE,0,1)</f>
        <v>1</v>
      </c>
      <c r="U895" s="13">
        <f t="shared" si="933"/>
        <v>1</v>
      </c>
      <c r="V895" s="13">
        <f t="shared" si="933"/>
        <v>0</v>
      </c>
      <c r="W895" s="13">
        <f t="shared" si="933"/>
        <v>0</v>
      </c>
      <c r="X895" s="13">
        <f t="shared" si="933"/>
        <v>0</v>
      </c>
      <c r="Y895" s="13">
        <f t="shared" si="933"/>
        <v>0</v>
      </c>
      <c r="Z895" s="13">
        <f t="shared" si="529"/>
        <v>1</v>
      </c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</row>
    <row r="896" ht="14.25" hidden="1" customHeight="1">
      <c r="A896" s="13" t="s">
        <v>36</v>
      </c>
      <c r="B896" s="13" t="s">
        <v>41</v>
      </c>
      <c r="C896" s="13" t="s">
        <v>598</v>
      </c>
      <c r="D896" s="13" t="s">
        <v>190</v>
      </c>
      <c r="E896" s="13" t="str">
        <f t="shared" si="735"/>
        <v>LA2,84-5G-63,AQ,1</v>
      </c>
      <c r="F896" s="13"/>
      <c r="G896" s="13" t="s">
        <v>74</v>
      </c>
      <c r="H896" s="13" t="s">
        <v>75</v>
      </c>
      <c r="I896" s="13"/>
      <c r="J896" s="13"/>
      <c r="K896" s="15">
        <v>1.0</v>
      </c>
      <c r="L896" s="15">
        <v>1.0</v>
      </c>
      <c r="M896" s="16"/>
      <c r="N896" s="16"/>
      <c r="O896" s="17"/>
      <c r="P896" s="17"/>
      <c r="Q896" s="13">
        <f t="shared" si="918"/>
        <v>2</v>
      </c>
      <c r="R896" s="13"/>
      <c r="S896" s="13"/>
      <c r="T896" s="13">
        <f t="shared" ref="T896:Y896" si="934">IF(ISBLANK(K896)=TRUE,0,1)</f>
        <v>1</v>
      </c>
      <c r="U896" s="13">
        <f t="shared" si="934"/>
        <v>1</v>
      </c>
      <c r="V896" s="13">
        <f t="shared" si="934"/>
        <v>0</v>
      </c>
      <c r="W896" s="13">
        <f t="shared" si="934"/>
        <v>0</v>
      </c>
      <c r="X896" s="13">
        <f t="shared" si="934"/>
        <v>0</v>
      </c>
      <c r="Y896" s="13">
        <f t="shared" si="934"/>
        <v>0</v>
      </c>
      <c r="Z896" s="13">
        <f t="shared" si="529"/>
        <v>1</v>
      </c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</row>
    <row r="897" ht="14.25" hidden="1" customHeight="1">
      <c r="A897" s="13" t="s">
        <v>36</v>
      </c>
      <c r="B897" s="13" t="s">
        <v>41</v>
      </c>
      <c r="C897" s="13" t="s">
        <v>598</v>
      </c>
      <c r="D897" s="13" t="s">
        <v>191</v>
      </c>
      <c r="E897" s="13" t="str">
        <f t="shared" si="735"/>
        <v>LA2,84-5G-63,AR,1</v>
      </c>
      <c r="F897" s="13"/>
      <c r="G897" s="13" t="s">
        <v>74</v>
      </c>
      <c r="H897" s="13" t="s">
        <v>75</v>
      </c>
      <c r="I897" s="13"/>
      <c r="J897" s="13"/>
      <c r="K897" s="15">
        <v>1.0</v>
      </c>
      <c r="L897" s="15">
        <v>1.0</v>
      </c>
      <c r="M897" s="16"/>
      <c r="N897" s="16"/>
      <c r="O897" s="17"/>
      <c r="P897" s="17"/>
      <c r="Q897" s="13">
        <f t="shared" si="918"/>
        <v>2</v>
      </c>
      <c r="R897" s="13"/>
      <c r="S897" s="13"/>
      <c r="T897" s="13">
        <f t="shared" ref="T897:Y897" si="935">IF(ISBLANK(K897)=TRUE,0,1)</f>
        <v>1</v>
      </c>
      <c r="U897" s="13">
        <f t="shared" si="935"/>
        <v>1</v>
      </c>
      <c r="V897" s="13">
        <f t="shared" si="935"/>
        <v>0</v>
      </c>
      <c r="W897" s="13">
        <f t="shared" si="935"/>
        <v>0</v>
      </c>
      <c r="X897" s="13">
        <f t="shared" si="935"/>
        <v>0</v>
      </c>
      <c r="Y897" s="13">
        <f t="shared" si="935"/>
        <v>0</v>
      </c>
      <c r="Z897" s="13">
        <f t="shared" si="529"/>
        <v>1</v>
      </c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</row>
    <row r="898" ht="14.25" hidden="1" customHeight="1">
      <c r="A898" s="13" t="s">
        <v>36</v>
      </c>
      <c r="B898" s="13" t="s">
        <v>41</v>
      </c>
      <c r="C898" s="13" t="s">
        <v>598</v>
      </c>
      <c r="D898" s="13" t="s">
        <v>192</v>
      </c>
      <c r="E898" s="13" t="str">
        <f t="shared" si="735"/>
        <v>LA2,84-5G-63,AS,1</v>
      </c>
      <c r="F898" s="13"/>
      <c r="G898" s="13" t="s">
        <v>74</v>
      </c>
      <c r="H898" s="13" t="s">
        <v>75</v>
      </c>
      <c r="I898" s="13"/>
      <c r="J898" s="13"/>
      <c r="K898" s="15">
        <v>1.0</v>
      </c>
      <c r="L898" s="15">
        <v>1.0</v>
      </c>
      <c r="M898" s="16"/>
      <c r="N898" s="16"/>
      <c r="O898" s="17"/>
      <c r="P898" s="17"/>
      <c r="Q898" s="13">
        <f t="shared" si="918"/>
        <v>2</v>
      </c>
      <c r="R898" s="13"/>
      <c r="S898" s="13"/>
      <c r="T898" s="13">
        <f t="shared" ref="T898:Y898" si="936">IF(ISBLANK(K898)=TRUE,0,1)</f>
        <v>1</v>
      </c>
      <c r="U898" s="13">
        <f t="shared" si="936"/>
        <v>1</v>
      </c>
      <c r="V898" s="13">
        <f t="shared" si="936"/>
        <v>0</v>
      </c>
      <c r="W898" s="13">
        <f t="shared" si="936"/>
        <v>0</v>
      </c>
      <c r="X898" s="13">
        <f t="shared" si="936"/>
        <v>0</v>
      </c>
      <c r="Y898" s="13">
        <f t="shared" si="936"/>
        <v>0</v>
      </c>
      <c r="Z898" s="13">
        <f t="shared" si="529"/>
        <v>1</v>
      </c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</row>
    <row r="899" ht="14.25" hidden="1" customHeight="1">
      <c r="A899" s="13" t="s">
        <v>36</v>
      </c>
      <c r="B899" s="13" t="s">
        <v>41</v>
      </c>
      <c r="C899" s="13" t="s">
        <v>598</v>
      </c>
      <c r="D899" s="13" t="s">
        <v>193</v>
      </c>
      <c r="E899" s="13" t="str">
        <f t="shared" si="735"/>
        <v>LA2,84-5G-63,AT,1</v>
      </c>
      <c r="F899" s="13"/>
      <c r="G899" s="13" t="s">
        <v>74</v>
      </c>
      <c r="H899" s="13" t="s">
        <v>75</v>
      </c>
      <c r="I899" s="13"/>
      <c r="J899" s="13"/>
      <c r="K899" s="15">
        <v>1.0</v>
      </c>
      <c r="L899" s="15">
        <v>1.0</v>
      </c>
      <c r="M899" s="16"/>
      <c r="N899" s="16"/>
      <c r="O899" s="17"/>
      <c r="P899" s="17"/>
      <c r="Q899" s="13">
        <f t="shared" si="918"/>
        <v>2</v>
      </c>
      <c r="R899" s="13"/>
      <c r="S899" s="13"/>
      <c r="T899" s="13">
        <f t="shared" ref="T899:Y899" si="937">IF(ISBLANK(K899)=TRUE,0,1)</f>
        <v>1</v>
      </c>
      <c r="U899" s="13">
        <f t="shared" si="937"/>
        <v>1</v>
      </c>
      <c r="V899" s="13">
        <f t="shared" si="937"/>
        <v>0</v>
      </c>
      <c r="W899" s="13">
        <f t="shared" si="937"/>
        <v>0</v>
      </c>
      <c r="X899" s="13">
        <f t="shared" si="937"/>
        <v>0</v>
      </c>
      <c r="Y899" s="13">
        <f t="shared" si="937"/>
        <v>0</v>
      </c>
      <c r="Z899" s="13">
        <f t="shared" si="529"/>
        <v>1</v>
      </c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</row>
    <row r="900" ht="14.25" hidden="1" customHeight="1">
      <c r="A900" s="13" t="s">
        <v>36</v>
      </c>
      <c r="B900" s="13" t="s">
        <v>41</v>
      </c>
      <c r="C900" s="13" t="s">
        <v>598</v>
      </c>
      <c r="D900" s="13" t="s">
        <v>194</v>
      </c>
      <c r="E900" s="13" t="str">
        <f t="shared" si="735"/>
        <v>LA2,84-5G-63,AU,1</v>
      </c>
      <c r="F900" s="13"/>
      <c r="G900" s="13" t="s">
        <v>74</v>
      </c>
      <c r="H900" s="13" t="s">
        <v>75</v>
      </c>
      <c r="I900" s="13"/>
      <c r="J900" s="13"/>
      <c r="K900" s="15">
        <v>1.0</v>
      </c>
      <c r="L900" s="15">
        <v>1.0</v>
      </c>
      <c r="M900" s="16"/>
      <c r="N900" s="16"/>
      <c r="O900" s="17"/>
      <c r="P900" s="17"/>
      <c r="Q900" s="13">
        <f t="shared" si="918"/>
        <v>2</v>
      </c>
      <c r="R900" s="13"/>
      <c r="S900" s="13"/>
      <c r="T900" s="13">
        <f t="shared" ref="T900:Y900" si="938">IF(ISBLANK(K900)=TRUE,0,1)</f>
        <v>1</v>
      </c>
      <c r="U900" s="13">
        <f t="shared" si="938"/>
        <v>1</v>
      </c>
      <c r="V900" s="13">
        <f t="shared" si="938"/>
        <v>0</v>
      </c>
      <c r="W900" s="13">
        <f t="shared" si="938"/>
        <v>0</v>
      </c>
      <c r="X900" s="13">
        <f t="shared" si="938"/>
        <v>0</v>
      </c>
      <c r="Y900" s="13">
        <f t="shared" si="938"/>
        <v>0</v>
      </c>
      <c r="Z900" s="13">
        <f t="shared" si="529"/>
        <v>1</v>
      </c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</row>
    <row r="901" ht="14.25" hidden="1" customHeight="1">
      <c r="A901" s="13" t="s">
        <v>36</v>
      </c>
      <c r="B901" s="13" t="s">
        <v>41</v>
      </c>
      <c r="C901" s="13" t="s">
        <v>598</v>
      </c>
      <c r="D901" s="13" t="s">
        <v>195</v>
      </c>
      <c r="E901" s="13" t="str">
        <f t="shared" si="735"/>
        <v>LA2,84-5G-63,AV,1</v>
      </c>
      <c r="F901" s="13"/>
      <c r="G901" s="13" t="s">
        <v>74</v>
      </c>
      <c r="H901" s="13" t="s">
        <v>75</v>
      </c>
      <c r="I901" s="13"/>
      <c r="J901" s="13"/>
      <c r="K901" s="15">
        <v>1.0</v>
      </c>
      <c r="L901" s="15">
        <v>1.0</v>
      </c>
      <c r="M901" s="16"/>
      <c r="N901" s="16"/>
      <c r="O901" s="17"/>
      <c r="P901" s="17"/>
      <c r="Q901" s="13">
        <f t="shared" si="918"/>
        <v>2</v>
      </c>
      <c r="R901" s="13"/>
      <c r="S901" s="13"/>
      <c r="T901" s="13">
        <f t="shared" ref="T901:Y901" si="939">IF(ISBLANK(K901)=TRUE,0,1)</f>
        <v>1</v>
      </c>
      <c r="U901" s="13">
        <f t="shared" si="939"/>
        <v>1</v>
      </c>
      <c r="V901" s="13">
        <f t="shared" si="939"/>
        <v>0</v>
      </c>
      <c r="W901" s="13">
        <f t="shared" si="939"/>
        <v>0</v>
      </c>
      <c r="X901" s="13">
        <f t="shared" si="939"/>
        <v>0</v>
      </c>
      <c r="Y901" s="13">
        <f t="shared" si="939"/>
        <v>0</v>
      </c>
      <c r="Z901" s="13">
        <f t="shared" si="529"/>
        <v>1</v>
      </c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</row>
    <row r="902" ht="14.25" hidden="1" customHeight="1">
      <c r="A902" s="13" t="s">
        <v>36</v>
      </c>
      <c r="B902" s="13" t="s">
        <v>41</v>
      </c>
      <c r="C902" s="13" t="s">
        <v>598</v>
      </c>
      <c r="D902" s="13" t="s">
        <v>196</v>
      </c>
      <c r="E902" s="13" t="str">
        <f t="shared" si="735"/>
        <v>LA2,84-5G-63,AW,1</v>
      </c>
      <c r="F902" s="13"/>
      <c r="G902" s="13" t="s">
        <v>74</v>
      </c>
      <c r="H902" s="13" t="s">
        <v>75</v>
      </c>
      <c r="I902" s="13"/>
      <c r="J902" s="13"/>
      <c r="K902" s="15">
        <v>1.0</v>
      </c>
      <c r="L902" s="15">
        <v>1.0</v>
      </c>
      <c r="M902" s="16"/>
      <c r="N902" s="16"/>
      <c r="O902" s="17"/>
      <c r="P902" s="17"/>
      <c r="Q902" s="13">
        <f t="shared" si="918"/>
        <v>2</v>
      </c>
      <c r="R902" s="13"/>
      <c r="S902" s="13"/>
      <c r="T902" s="13">
        <f t="shared" ref="T902:Y902" si="940">IF(ISBLANK(K902)=TRUE,0,1)</f>
        <v>1</v>
      </c>
      <c r="U902" s="13">
        <f t="shared" si="940"/>
        <v>1</v>
      </c>
      <c r="V902" s="13">
        <f t="shared" si="940"/>
        <v>0</v>
      </c>
      <c r="W902" s="13">
        <f t="shared" si="940"/>
        <v>0</v>
      </c>
      <c r="X902" s="13">
        <f t="shared" si="940"/>
        <v>0</v>
      </c>
      <c r="Y902" s="13">
        <f t="shared" si="940"/>
        <v>0</v>
      </c>
      <c r="Z902" s="13">
        <f t="shared" si="529"/>
        <v>1</v>
      </c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</row>
    <row r="903" ht="14.25" hidden="1" customHeight="1">
      <c r="A903" s="13" t="s">
        <v>36</v>
      </c>
      <c r="B903" s="13" t="s">
        <v>41</v>
      </c>
      <c r="C903" s="13" t="s">
        <v>598</v>
      </c>
      <c r="D903" s="13" t="s">
        <v>197</v>
      </c>
      <c r="E903" s="13" t="str">
        <f t="shared" si="735"/>
        <v>LA2,84-5G-63,AX,1</v>
      </c>
      <c r="F903" s="13"/>
      <c r="G903" s="13" t="s">
        <v>74</v>
      </c>
      <c r="H903" s="13" t="s">
        <v>75</v>
      </c>
      <c r="I903" s="13"/>
      <c r="J903" s="13"/>
      <c r="K903" s="15">
        <v>1.0</v>
      </c>
      <c r="L903" s="15">
        <v>1.0</v>
      </c>
      <c r="M903" s="16"/>
      <c r="N903" s="16"/>
      <c r="O903" s="17"/>
      <c r="P903" s="17"/>
      <c r="Q903" s="13">
        <f t="shared" si="918"/>
        <v>2</v>
      </c>
      <c r="R903" s="13"/>
      <c r="S903" s="13"/>
      <c r="T903" s="13">
        <f t="shared" ref="T903:Y903" si="941">IF(ISBLANK(K903)=TRUE,0,1)</f>
        <v>1</v>
      </c>
      <c r="U903" s="13">
        <f t="shared" si="941"/>
        <v>1</v>
      </c>
      <c r="V903" s="13">
        <f t="shared" si="941"/>
        <v>0</v>
      </c>
      <c r="W903" s="13">
        <f t="shared" si="941"/>
        <v>0</v>
      </c>
      <c r="X903" s="13">
        <f t="shared" si="941"/>
        <v>0</v>
      </c>
      <c r="Y903" s="13">
        <f t="shared" si="941"/>
        <v>0</v>
      </c>
      <c r="Z903" s="13">
        <f t="shared" si="529"/>
        <v>1</v>
      </c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</row>
    <row r="904" ht="14.25" hidden="1" customHeight="1">
      <c r="A904" s="13" t="s">
        <v>36</v>
      </c>
      <c r="B904" s="13" t="s">
        <v>41</v>
      </c>
      <c r="C904" s="13" t="s">
        <v>598</v>
      </c>
      <c r="D904" s="13" t="s">
        <v>433</v>
      </c>
      <c r="E904" s="13" t="str">
        <f t="shared" si="735"/>
        <v>LA2,84-5G-63,AY,1</v>
      </c>
      <c r="F904" s="13"/>
      <c r="G904" s="13" t="s">
        <v>74</v>
      </c>
      <c r="H904" s="13" t="s">
        <v>75</v>
      </c>
      <c r="I904" s="13"/>
      <c r="J904" s="13"/>
      <c r="K904" s="15">
        <v>1.0</v>
      </c>
      <c r="L904" s="15">
        <v>1.0</v>
      </c>
      <c r="M904" s="16"/>
      <c r="N904" s="16"/>
      <c r="O904" s="17"/>
      <c r="P904" s="17"/>
      <c r="Q904" s="13">
        <f t="shared" si="918"/>
        <v>2</v>
      </c>
      <c r="R904" s="13"/>
      <c r="S904" s="13"/>
      <c r="T904" s="13">
        <f t="shared" ref="T904:Y904" si="942">IF(ISBLANK(K904)=TRUE,0,1)</f>
        <v>1</v>
      </c>
      <c r="U904" s="13">
        <f t="shared" si="942"/>
        <v>1</v>
      </c>
      <c r="V904" s="13">
        <f t="shared" si="942"/>
        <v>0</v>
      </c>
      <c r="W904" s="13">
        <f t="shared" si="942"/>
        <v>0</v>
      </c>
      <c r="X904" s="13">
        <f t="shared" si="942"/>
        <v>0</v>
      </c>
      <c r="Y904" s="13">
        <f t="shared" si="942"/>
        <v>0</v>
      </c>
      <c r="Z904" s="13">
        <f t="shared" si="529"/>
        <v>1</v>
      </c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</row>
    <row r="905" ht="14.25" hidden="1" customHeight="1">
      <c r="A905" s="13" t="s">
        <v>36</v>
      </c>
      <c r="B905" s="13" t="s">
        <v>41</v>
      </c>
      <c r="C905" s="13" t="s">
        <v>598</v>
      </c>
      <c r="D905" s="13" t="s">
        <v>434</v>
      </c>
      <c r="E905" s="13" t="str">
        <f t="shared" si="735"/>
        <v>LA2,84-5G-63,AZ,1</v>
      </c>
      <c r="F905" s="13"/>
      <c r="G905" s="13" t="s">
        <v>74</v>
      </c>
      <c r="H905" s="13" t="s">
        <v>75</v>
      </c>
      <c r="I905" s="13"/>
      <c r="J905" s="13"/>
      <c r="K905" s="15">
        <v>1.0</v>
      </c>
      <c r="L905" s="15">
        <v>1.0</v>
      </c>
      <c r="M905" s="16"/>
      <c r="N905" s="16"/>
      <c r="O905" s="17"/>
      <c r="P905" s="17"/>
      <c r="Q905" s="13">
        <f t="shared" si="918"/>
        <v>2</v>
      </c>
      <c r="R905" s="13"/>
      <c r="S905" s="13"/>
      <c r="T905" s="13">
        <f t="shared" ref="T905:Y905" si="943">IF(ISBLANK(K905)=TRUE,0,1)</f>
        <v>1</v>
      </c>
      <c r="U905" s="13">
        <f t="shared" si="943"/>
        <v>1</v>
      </c>
      <c r="V905" s="13">
        <f t="shared" si="943"/>
        <v>0</v>
      </c>
      <c r="W905" s="13">
        <f t="shared" si="943"/>
        <v>0</v>
      </c>
      <c r="X905" s="13">
        <f t="shared" si="943"/>
        <v>0</v>
      </c>
      <c r="Y905" s="13">
        <f t="shared" si="943"/>
        <v>0</v>
      </c>
      <c r="Z905" s="13">
        <f t="shared" si="529"/>
        <v>1</v>
      </c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</row>
    <row r="906" ht="14.25" hidden="1" customHeight="1">
      <c r="A906" s="13" t="s">
        <v>36</v>
      </c>
      <c r="B906" s="13" t="s">
        <v>41</v>
      </c>
      <c r="C906" s="13" t="s">
        <v>598</v>
      </c>
      <c r="D906" s="13" t="s">
        <v>435</v>
      </c>
      <c r="E906" s="13" t="str">
        <f t="shared" si="735"/>
        <v>LA2,84-5G-63,BA,1</v>
      </c>
      <c r="F906" s="13"/>
      <c r="G906" s="13" t="s">
        <v>74</v>
      </c>
      <c r="H906" s="13" t="s">
        <v>75</v>
      </c>
      <c r="I906" s="13"/>
      <c r="J906" s="13"/>
      <c r="K906" s="15">
        <v>1.0</v>
      </c>
      <c r="L906" s="15">
        <v>1.0</v>
      </c>
      <c r="M906" s="16"/>
      <c r="N906" s="16"/>
      <c r="O906" s="17"/>
      <c r="P906" s="17"/>
      <c r="Q906" s="13">
        <f t="shared" si="918"/>
        <v>2</v>
      </c>
      <c r="R906" s="13"/>
      <c r="S906" s="13"/>
      <c r="T906" s="13">
        <f t="shared" ref="T906:Y906" si="944">IF(ISBLANK(K906)=TRUE,0,1)</f>
        <v>1</v>
      </c>
      <c r="U906" s="13">
        <f t="shared" si="944"/>
        <v>1</v>
      </c>
      <c r="V906" s="13">
        <f t="shared" si="944"/>
        <v>0</v>
      </c>
      <c r="W906" s="13">
        <f t="shared" si="944"/>
        <v>0</v>
      </c>
      <c r="X906" s="13">
        <f t="shared" si="944"/>
        <v>0</v>
      </c>
      <c r="Y906" s="13">
        <f t="shared" si="944"/>
        <v>0</v>
      </c>
      <c r="Z906" s="13">
        <f t="shared" si="529"/>
        <v>1</v>
      </c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</row>
    <row r="907" ht="14.25" hidden="1" customHeight="1">
      <c r="A907" s="13" t="s">
        <v>36</v>
      </c>
      <c r="B907" s="13" t="s">
        <v>41</v>
      </c>
      <c r="C907" s="13" t="s">
        <v>598</v>
      </c>
      <c r="D907" s="13" t="s">
        <v>436</v>
      </c>
      <c r="E907" s="13" t="str">
        <f t="shared" si="735"/>
        <v>LA2,84-5G-63,BB,1</v>
      </c>
      <c r="F907" s="13"/>
      <c r="G907" s="13" t="s">
        <v>74</v>
      </c>
      <c r="H907" s="13" t="s">
        <v>75</v>
      </c>
      <c r="I907" s="13"/>
      <c r="J907" s="13"/>
      <c r="K907" s="15">
        <v>1.0</v>
      </c>
      <c r="L907" s="15">
        <v>1.0</v>
      </c>
      <c r="M907" s="16"/>
      <c r="N907" s="16"/>
      <c r="O907" s="17"/>
      <c r="P907" s="17"/>
      <c r="Q907" s="13">
        <f t="shared" si="918"/>
        <v>2</v>
      </c>
      <c r="R907" s="13"/>
      <c r="S907" s="13"/>
      <c r="T907" s="13">
        <f t="shared" ref="T907:Y907" si="945">IF(ISBLANK(K907)=TRUE,0,1)</f>
        <v>1</v>
      </c>
      <c r="U907" s="13">
        <f t="shared" si="945"/>
        <v>1</v>
      </c>
      <c r="V907" s="13">
        <f t="shared" si="945"/>
        <v>0</v>
      </c>
      <c r="W907" s="13">
        <f t="shared" si="945"/>
        <v>0</v>
      </c>
      <c r="X907" s="13">
        <f t="shared" si="945"/>
        <v>0</v>
      </c>
      <c r="Y907" s="13">
        <f t="shared" si="945"/>
        <v>0</v>
      </c>
      <c r="Z907" s="13">
        <f t="shared" si="529"/>
        <v>1</v>
      </c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</row>
    <row r="908" ht="14.25" hidden="1" customHeight="1">
      <c r="A908" s="13" t="s">
        <v>36</v>
      </c>
      <c r="B908" s="13" t="s">
        <v>41</v>
      </c>
      <c r="C908" s="13" t="s">
        <v>598</v>
      </c>
      <c r="D908" s="13" t="s">
        <v>437</v>
      </c>
      <c r="E908" s="13" t="str">
        <f t="shared" si="735"/>
        <v>LA2,84-5G-63,BC,1</v>
      </c>
      <c r="F908" s="13"/>
      <c r="G908" s="13" t="s">
        <v>74</v>
      </c>
      <c r="H908" s="13" t="s">
        <v>75</v>
      </c>
      <c r="I908" s="13"/>
      <c r="J908" s="13"/>
      <c r="K908" s="15">
        <v>1.0</v>
      </c>
      <c r="L908" s="15">
        <v>1.0</v>
      </c>
      <c r="M908" s="16"/>
      <c r="N908" s="16"/>
      <c r="O908" s="17"/>
      <c r="P908" s="17"/>
      <c r="Q908" s="13">
        <f t="shared" si="918"/>
        <v>2</v>
      </c>
      <c r="R908" s="13"/>
      <c r="S908" s="13"/>
      <c r="T908" s="13">
        <f t="shared" ref="T908:Y908" si="946">IF(ISBLANK(K908)=TRUE,0,1)</f>
        <v>1</v>
      </c>
      <c r="U908" s="13">
        <f t="shared" si="946"/>
        <v>1</v>
      </c>
      <c r="V908" s="13">
        <f t="shared" si="946"/>
        <v>0</v>
      </c>
      <c r="W908" s="13">
        <f t="shared" si="946"/>
        <v>0</v>
      </c>
      <c r="X908" s="13">
        <f t="shared" si="946"/>
        <v>0</v>
      </c>
      <c r="Y908" s="13">
        <f t="shared" si="946"/>
        <v>0</v>
      </c>
      <c r="Z908" s="13">
        <f t="shared" si="529"/>
        <v>1</v>
      </c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</row>
    <row r="909" ht="14.25" hidden="1" customHeight="1">
      <c r="A909" s="13" t="s">
        <v>36</v>
      </c>
      <c r="B909" s="13" t="s">
        <v>41</v>
      </c>
      <c r="C909" s="13" t="s">
        <v>598</v>
      </c>
      <c r="D909" s="13" t="s">
        <v>440</v>
      </c>
      <c r="E909" s="13" t="str">
        <f t="shared" si="735"/>
        <v>LA2,84-5G-63,BD,1</v>
      </c>
      <c r="F909" s="13"/>
      <c r="G909" s="13" t="s">
        <v>74</v>
      </c>
      <c r="H909" s="13" t="s">
        <v>75</v>
      </c>
      <c r="I909" s="13"/>
      <c r="J909" s="13"/>
      <c r="K909" s="15">
        <v>1.0</v>
      </c>
      <c r="L909" s="15">
        <v>1.0</v>
      </c>
      <c r="M909" s="16"/>
      <c r="N909" s="16"/>
      <c r="O909" s="17"/>
      <c r="P909" s="17"/>
      <c r="Q909" s="13">
        <f t="shared" si="918"/>
        <v>2</v>
      </c>
      <c r="R909" s="13"/>
      <c r="S909" s="13"/>
      <c r="T909" s="13">
        <f t="shared" ref="T909:Y909" si="947">IF(ISBLANK(K909)=TRUE,0,1)</f>
        <v>1</v>
      </c>
      <c r="U909" s="13">
        <f t="shared" si="947"/>
        <v>1</v>
      </c>
      <c r="V909" s="13">
        <f t="shared" si="947"/>
        <v>0</v>
      </c>
      <c r="W909" s="13">
        <f t="shared" si="947"/>
        <v>0</v>
      </c>
      <c r="X909" s="13">
        <f t="shared" si="947"/>
        <v>0</v>
      </c>
      <c r="Y909" s="13">
        <f t="shared" si="947"/>
        <v>0</v>
      </c>
      <c r="Z909" s="13">
        <f t="shared" si="529"/>
        <v>1</v>
      </c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</row>
    <row r="910" ht="14.25" hidden="1" customHeight="1">
      <c r="A910" s="13" t="s">
        <v>36</v>
      </c>
      <c r="B910" s="13" t="s">
        <v>41</v>
      </c>
      <c r="C910" s="13" t="s">
        <v>598</v>
      </c>
      <c r="D910" s="13" t="s">
        <v>441</v>
      </c>
      <c r="E910" s="13" t="str">
        <f t="shared" si="735"/>
        <v>LA2,84-5G-63,BE,1</v>
      </c>
      <c r="F910" s="13"/>
      <c r="G910" s="13" t="s">
        <v>74</v>
      </c>
      <c r="H910" s="13" t="s">
        <v>75</v>
      </c>
      <c r="I910" s="13"/>
      <c r="J910" s="13"/>
      <c r="K910" s="15">
        <v>1.0</v>
      </c>
      <c r="L910" s="15">
        <v>1.0</v>
      </c>
      <c r="M910" s="16"/>
      <c r="N910" s="16"/>
      <c r="O910" s="17"/>
      <c r="P910" s="17"/>
      <c r="Q910" s="13">
        <f t="shared" si="918"/>
        <v>2</v>
      </c>
      <c r="R910" s="13"/>
      <c r="S910" s="13"/>
      <c r="T910" s="13">
        <f t="shared" ref="T910:Y910" si="948">IF(ISBLANK(K910)=TRUE,0,1)</f>
        <v>1</v>
      </c>
      <c r="U910" s="13">
        <f t="shared" si="948"/>
        <v>1</v>
      </c>
      <c r="V910" s="13">
        <f t="shared" si="948"/>
        <v>0</v>
      </c>
      <c r="W910" s="13">
        <f t="shared" si="948"/>
        <v>0</v>
      </c>
      <c r="X910" s="13">
        <f t="shared" si="948"/>
        <v>0</v>
      </c>
      <c r="Y910" s="13">
        <f t="shared" si="948"/>
        <v>0</v>
      </c>
      <c r="Z910" s="13">
        <f t="shared" si="529"/>
        <v>1</v>
      </c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</row>
    <row r="911" ht="14.25" hidden="1" customHeight="1">
      <c r="A911" s="13" t="s">
        <v>36</v>
      </c>
      <c r="B911" s="13" t="s">
        <v>41</v>
      </c>
      <c r="C911" s="13" t="s">
        <v>598</v>
      </c>
      <c r="D911" s="13" t="s">
        <v>551</v>
      </c>
      <c r="E911" s="13" t="str">
        <f t="shared" si="735"/>
        <v>LA2,84-5G-63,BF,1</v>
      </c>
      <c r="F911" s="13"/>
      <c r="G911" s="13" t="s">
        <v>74</v>
      </c>
      <c r="H911" s="13" t="s">
        <v>75</v>
      </c>
      <c r="I911" s="13"/>
      <c r="J911" s="13"/>
      <c r="K911" s="15">
        <v>1.0</v>
      </c>
      <c r="L911" s="15">
        <v>1.0</v>
      </c>
      <c r="M911" s="16"/>
      <c r="N911" s="16"/>
      <c r="O911" s="17"/>
      <c r="P911" s="17"/>
      <c r="Q911" s="13">
        <f t="shared" si="918"/>
        <v>2</v>
      </c>
      <c r="R911" s="13"/>
      <c r="S911" s="13"/>
      <c r="T911" s="13">
        <f t="shared" ref="T911:Y911" si="949">IF(ISBLANK(K911)=TRUE,0,1)</f>
        <v>1</v>
      </c>
      <c r="U911" s="13">
        <f t="shared" si="949"/>
        <v>1</v>
      </c>
      <c r="V911" s="13">
        <f t="shared" si="949"/>
        <v>0</v>
      </c>
      <c r="W911" s="13">
        <f t="shared" si="949"/>
        <v>0</v>
      </c>
      <c r="X911" s="13">
        <f t="shared" si="949"/>
        <v>0</v>
      </c>
      <c r="Y911" s="13">
        <f t="shared" si="949"/>
        <v>0</v>
      </c>
      <c r="Z911" s="13">
        <f t="shared" si="529"/>
        <v>1</v>
      </c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</row>
    <row r="912" ht="14.25" hidden="1" customHeight="1">
      <c r="A912" s="13" t="s">
        <v>36</v>
      </c>
      <c r="B912" s="13" t="s">
        <v>41</v>
      </c>
      <c r="C912" s="13" t="s">
        <v>598</v>
      </c>
      <c r="D912" s="13" t="s">
        <v>553</v>
      </c>
      <c r="E912" s="13" t="str">
        <f t="shared" si="735"/>
        <v>LA2,84-5G-63,BG,1</v>
      </c>
      <c r="F912" s="13"/>
      <c r="G912" s="13" t="s">
        <v>74</v>
      </c>
      <c r="H912" s="13" t="s">
        <v>75</v>
      </c>
      <c r="I912" s="13"/>
      <c r="J912" s="13"/>
      <c r="K912" s="15">
        <v>1.0</v>
      </c>
      <c r="L912" s="15">
        <v>1.0</v>
      </c>
      <c r="M912" s="16"/>
      <c r="N912" s="16"/>
      <c r="O912" s="17"/>
      <c r="P912" s="17"/>
      <c r="Q912" s="13">
        <f t="shared" si="918"/>
        <v>2</v>
      </c>
      <c r="R912" s="13"/>
      <c r="S912" s="13"/>
      <c r="T912" s="13">
        <f t="shared" ref="T912:Y912" si="950">IF(ISBLANK(K912)=TRUE,0,1)</f>
        <v>1</v>
      </c>
      <c r="U912" s="13">
        <f t="shared" si="950"/>
        <v>1</v>
      </c>
      <c r="V912" s="13">
        <f t="shared" si="950"/>
        <v>0</v>
      </c>
      <c r="W912" s="13">
        <f t="shared" si="950"/>
        <v>0</v>
      </c>
      <c r="X912" s="13">
        <f t="shared" si="950"/>
        <v>0</v>
      </c>
      <c r="Y912" s="13">
        <f t="shared" si="950"/>
        <v>0</v>
      </c>
      <c r="Z912" s="13">
        <f t="shared" si="529"/>
        <v>1</v>
      </c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</row>
    <row r="913" ht="14.25" hidden="1" customHeight="1">
      <c r="A913" s="13" t="s">
        <v>36</v>
      </c>
      <c r="B913" s="13" t="s">
        <v>41</v>
      </c>
      <c r="C913" s="13" t="s">
        <v>598</v>
      </c>
      <c r="D913" s="13" t="s">
        <v>554</v>
      </c>
      <c r="E913" s="13" t="str">
        <f t="shared" si="735"/>
        <v>LA2,84-5G-63,BH,1</v>
      </c>
      <c r="F913" s="13"/>
      <c r="G913" s="13" t="s">
        <v>74</v>
      </c>
      <c r="H913" s="13" t="s">
        <v>75</v>
      </c>
      <c r="I913" s="13"/>
      <c r="J913" s="13"/>
      <c r="K913" s="15">
        <v>1.0</v>
      </c>
      <c r="L913" s="15">
        <v>1.0</v>
      </c>
      <c r="M913" s="16"/>
      <c r="N913" s="16"/>
      <c r="O913" s="17"/>
      <c r="P913" s="17"/>
      <c r="Q913" s="13">
        <f t="shared" si="918"/>
        <v>2</v>
      </c>
      <c r="R913" s="13"/>
      <c r="S913" s="13"/>
      <c r="T913" s="13">
        <f t="shared" ref="T913:Y913" si="951">IF(ISBLANK(K913)=TRUE,0,1)</f>
        <v>1</v>
      </c>
      <c r="U913" s="13">
        <f t="shared" si="951"/>
        <v>1</v>
      </c>
      <c r="V913" s="13">
        <f t="shared" si="951"/>
        <v>0</v>
      </c>
      <c r="W913" s="13">
        <f t="shared" si="951"/>
        <v>0</v>
      </c>
      <c r="X913" s="13">
        <f t="shared" si="951"/>
        <v>0</v>
      </c>
      <c r="Y913" s="13">
        <f t="shared" si="951"/>
        <v>0</v>
      </c>
      <c r="Z913" s="13">
        <f t="shared" si="529"/>
        <v>1</v>
      </c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</row>
    <row r="914" ht="14.25" hidden="1" customHeight="1">
      <c r="A914" s="13" t="s">
        <v>36</v>
      </c>
      <c r="B914" s="13" t="s">
        <v>41</v>
      </c>
      <c r="C914" s="13" t="s">
        <v>598</v>
      </c>
      <c r="D914" s="13" t="s">
        <v>555</v>
      </c>
      <c r="E914" s="13" t="str">
        <f t="shared" si="735"/>
        <v>LA2,84-5G-63,BI,1</v>
      </c>
      <c r="F914" s="13"/>
      <c r="G914" s="13" t="s">
        <v>74</v>
      </c>
      <c r="H914" s="13" t="s">
        <v>75</v>
      </c>
      <c r="I914" s="13"/>
      <c r="J914" s="13"/>
      <c r="K914" s="15">
        <v>1.0</v>
      </c>
      <c r="L914" s="15">
        <v>1.0</v>
      </c>
      <c r="M914" s="16"/>
      <c r="N914" s="16"/>
      <c r="O914" s="17"/>
      <c r="P914" s="17"/>
      <c r="Q914" s="13">
        <f t="shared" si="918"/>
        <v>2</v>
      </c>
      <c r="R914" s="13"/>
      <c r="S914" s="13"/>
      <c r="T914" s="13">
        <f t="shared" ref="T914:Y914" si="952">IF(ISBLANK(K914)=TRUE,0,1)</f>
        <v>1</v>
      </c>
      <c r="U914" s="13">
        <f t="shared" si="952"/>
        <v>1</v>
      </c>
      <c r="V914" s="13">
        <f t="shared" si="952"/>
        <v>0</v>
      </c>
      <c r="W914" s="13">
        <f t="shared" si="952"/>
        <v>0</v>
      </c>
      <c r="X914" s="13">
        <f t="shared" si="952"/>
        <v>0</v>
      </c>
      <c r="Y914" s="13">
        <f t="shared" si="952"/>
        <v>0</v>
      </c>
      <c r="Z914" s="13">
        <f t="shared" si="529"/>
        <v>1</v>
      </c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</row>
    <row r="915" ht="14.25" hidden="1" customHeight="1">
      <c r="A915" s="13" t="s">
        <v>36</v>
      </c>
      <c r="B915" s="13" t="s">
        <v>41</v>
      </c>
      <c r="C915" s="13" t="s">
        <v>598</v>
      </c>
      <c r="D915" s="13" t="s">
        <v>168</v>
      </c>
      <c r="E915" s="13" t="str">
        <f t="shared" si="735"/>
        <v>LA2,84-5G-63,BJ,1</v>
      </c>
      <c r="F915" s="13"/>
      <c r="G915" s="13" t="s">
        <v>74</v>
      </c>
      <c r="H915" s="13" t="s">
        <v>75</v>
      </c>
      <c r="I915" s="13"/>
      <c r="J915" s="13"/>
      <c r="K915" s="15">
        <v>1.0</v>
      </c>
      <c r="L915" s="15">
        <v>1.0</v>
      </c>
      <c r="M915" s="16"/>
      <c r="N915" s="16"/>
      <c r="O915" s="17"/>
      <c r="P915" s="17"/>
      <c r="Q915" s="13">
        <f t="shared" si="918"/>
        <v>2</v>
      </c>
      <c r="R915" s="13"/>
      <c r="S915" s="13"/>
      <c r="T915" s="13">
        <f t="shared" ref="T915:Y915" si="953">IF(ISBLANK(K915)=TRUE,0,1)</f>
        <v>1</v>
      </c>
      <c r="U915" s="13">
        <f t="shared" si="953"/>
        <v>1</v>
      </c>
      <c r="V915" s="13">
        <f t="shared" si="953"/>
        <v>0</v>
      </c>
      <c r="W915" s="13">
        <f t="shared" si="953"/>
        <v>0</v>
      </c>
      <c r="X915" s="13">
        <f t="shared" si="953"/>
        <v>0</v>
      </c>
      <c r="Y915" s="13">
        <f t="shared" si="953"/>
        <v>0</v>
      </c>
      <c r="Z915" s="13">
        <f t="shared" si="529"/>
        <v>1</v>
      </c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</row>
    <row r="916" ht="14.25" hidden="1" customHeight="1">
      <c r="A916" s="13" t="s">
        <v>36</v>
      </c>
      <c r="B916" s="13" t="s">
        <v>41</v>
      </c>
      <c r="C916" s="13" t="s">
        <v>598</v>
      </c>
      <c r="D916" s="13" t="s">
        <v>169</v>
      </c>
      <c r="E916" s="13" t="str">
        <f t="shared" si="735"/>
        <v>LA2,84-5G-63,BK,1</v>
      </c>
      <c r="F916" s="13"/>
      <c r="G916" s="13" t="s">
        <v>74</v>
      </c>
      <c r="H916" s="13" t="s">
        <v>75</v>
      </c>
      <c r="I916" s="13"/>
      <c r="J916" s="13"/>
      <c r="K916" s="15">
        <v>1.0</v>
      </c>
      <c r="L916" s="15">
        <v>1.0</v>
      </c>
      <c r="M916" s="16"/>
      <c r="N916" s="16"/>
      <c r="O916" s="17"/>
      <c r="P916" s="17"/>
      <c r="Q916" s="13">
        <f t="shared" si="918"/>
        <v>2</v>
      </c>
      <c r="R916" s="13"/>
      <c r="S916" s="13"/>
      <c r="T916" s="13">
        <f t="shared" ref="T916:Y916" si="954">IF(ISBLANK(K916)=TRUE,0,1)</f>
        <v>1</v>
      </c>
      <c r="U916" s="13">
        <f t="shared" si="954"/>
        <v>1</v>
      </c>
      <c r="V916" s="13">
        <f t="shared" si="954"/>
        <v>0</v>
      </c>
      <c r="W916" s="13">
        <f t="shared" si="954"/>
        <v>0</v>
      </c>
      <c r="X916" s="13">
        <f t="shared" si="954"/>
        <v>0</v>
      </c>
      <c r="Y916" s="13">
        <f t="shared" si="954"/>
        <v>0</v>
      </c>
      <c r="Z916" s="13">
        <f t="shared" si="529"/>
        <v>1</v>
      </c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</row>
    <row r="917" ht="14.25" hidden="1" customHeight="1">
      <c r="A917" s="13" t="s">
        <v>36</v>
      </c>
      <c r="B917" s="13" t="s">
        <v>41</v>
      </c>
      <c r="C917" s="13" t="s">
        <v>598</v>
      </c>
      <c r="D917" s="13" t="s">
        <v>170</v>
      </c>
      <c r="E917" s="13" t="str">
        <f t="shared" si="735"/>
        <v>LA2,84-5G-63,BL,1</v>
      </c>
      <c r="F917" s="13"/>
      <c r="G917" s="13" t="s">
        <v>74</v>
      </c>
      <c r="H917" s="13" t="s">
        <v>75</v>
      </c>
      <c r="I917" s="13"/>
      <c r="J917" s="13"/>
      <c r="K917" s="15">
        <v>1.0</v>
      </c>
      <c r="L917" s="15">
        <v>1.0</v>
      </c>
      <c r="M917" s="16"/>
      <c r="N917" s="16"/>
      <c r="O917" s="17"/>
      <c r="P917" s="17"/>
      <c r="Q917" s="13">
        <f t="shared" si="918"/>
        <v>2</v>
      </c>
      <c r="R917" s="13"/>
      <c r="S917" s="13"/>
      <c r="T917" s="13">
        <f t="shared" ref="T917:Y917" si="955">IF(ISBLANK(K917)=TRUE,0,1)</f>
        <v>1</v>
      </c>
      <c r="U917" s="13">
        <f t="shared" si="955"/>
        <v>1</v>
      </c>
      <c r="V917" s="13">
        <f t="shared" si="955"/>
        <v>0</v>
      </c>
      <c r="W917" s="13">
        <f t="shared" si="955"/>
        <v>0</v>
      </c>
      <c r="X917" s="13">
        <f t="shared" si="955"/>
        <v>0</v>
      </c>
      <c r="Y917" s="13">
        <f t="shared" si="955"/>
        <v>0</v>
      </c>
      <c r="Z917" s="13">
        <f t="shared" si="529"/>
        <v>1</v>
      </c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</row>
    <row r="918" ht="14.25" hidden="1" customHeight="1">
      <c r="A918" s="13" t="s">
        <v>36</v>
      </c>
      <c r="B918" s="13" t="s">
        <v>41</v>
      </c>
      <c r="C918" s="13" t="s">
        <v>598</v>
      </c>
      <c r="D918" s="13" t="s">
        <v>171</v>
      </c>
      <c r="E918" s="13" t="str">
        <f t="shared" si="735"/>
        <v>LA2,84-5G-63,BM,1</v>
      </c>
      <c r="F918" s="13"/>
      <c r="G918" s="13" t="s">
        <v>74</v>
      </c>
      <c r="H918" s="13" t="s">
        <v>75</v>
      </c>
      <c r="I918" s="13"/>
      <c r="J918" s="13"/>
      <c r="K918" s="15">
        <v>1.0</v>
      </c>
      <c r="L918" s="15">
        <v>1.0</v>
      </c>
      <c r="M918" s="16"/>
      <c r="N918" s="16"/>
      <c r="O918" s="17"/>
      <c r="P918" s="17"/>
      <c r="Q918" s="13">
        <f t="shared" si="918"/>
        <v>2</v>
      </c>
      <c r="R918" s="13"/>
      <c r="S918" s="13"/>
      <c r="T918" s="13">
        <f t="shared" ref="T918:Y918" si="956">IF(ISBLANK(K918)=TRUE,0,1)</f>
        <v>1</v>
      </c>
      <c r="U918" s="13">
        <f t="shared" si="956"/>
        <v>1</v>
      </c>
      <c r="V918" s="13">
        <f t="shared" si="956"/>
        <v>0</v>
      </c>
      <c r="W918" s="13">
        <f t="shared" si="956"/>
        <v>0</v>
      </c>
      <c r="X918" s="13">
        <f t="shared" si="956"/>
        <v>0</v>
      </c>
      <c r="Y918" s="13">
        <f t="shared" si="956"/>
        <v>0</v>
      </c>
      <c r="Z918" s="13">
        <f t="shared" si="529"/>
        <v>1</v>
      </c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</row>
    <row r="919" ht="14.25" hidden="1" customHeight="1">
      <c r="A919" s="13" t="s">
        <v>36</v>
      </c>
      <c r="B919" s="13" t="s">
        <v>41</v>
      </c>
      <c r="C919" s="13" t="s">
        <v>598</v>
      </c>
      <c r="D919" s="13" t="s">
        <v>172</v>
      </c>
      <c r="E919" s="13" t="str">
        <f t="shared" si="735"/>
        <v>LA2,84-5G-63,BN,1</v>
      </c>
      <c r="F919" s="13"/>
      <c r="G919" s="13" t="s">
        <v>74</v>
      </c>
      <c r="H919" s="13" t="s">
        <v>75</v>
      </c>
      <c r="I919" s="13"/>
      <c r="J919" s="13"/>
      <c r="K919" s="15">
        <v>1.0</v>
      </c>
      <c r="L919" s="15">
        <v>1.0</v>
      </c>
      <c r="M919" s="16"/>
      <c r="N919" s="16"/>
      <c r="O919" s="17"/>
      <c r="P919" s="17"/>
      <c r="Q919" s="13">
        <f t="shared" si="918"/>
        <v>2</v>
      </c>
      <c r="R919" s="13"/>
      <c r="S919" s="13"/>
      <c r="T919" s="13">
        <f t="shared" ref="T919:Y919" si="957">IF(ISBLANK(K919)=TRUE,0,1)</f>
        <v>1</v>
      </c>
      <c r="U919" s="13">
        <f t="shared" si="957"/>
        <v>1</v>
      </c>
      <c r="V919" s="13">
        <f t="shared" si="957"/>
        <v>0</v>
      </c>
      <c r="W919" s="13">
        <f t="shared" si="957"/>
        <v>0</v>
      </c>
      <c r="X919" s="13">
        <f t="shared" si="957"/>
        <v>0</v>
      </c>
      <c r="Y919" s="13">
        <f t="shared" si="957"/>
        <v>0</v>
      </c>
      <c r="Z919" s="13">
        <f t="shared" si="529"/>
        <v>1</v>
      </c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</row>
    <row r="920" ht="14.25" hidden="1" customHeight="1">
      <c r="A920" s="13" t="s">
        <v>36</v>
      </c>
      <c r="B920" s="13" t="s">
        <v>41</v>
      </c>
      <c r="C920" s="13" t="s">
        <v>598</v>
      </c>
      <c r="D920" s="13" t="s">
        <v>556</v>
      </c>
      <c r="E920" s="13" t="str">
        <f t="shared" si="735"/>
        <v>LA2,84-5G-63,BO,1</v>
      </c>
      <c r="F920" s="13"/>
      <c r="G920" s="13" t="s">
        <v>74</v>
      </c>
      <c r="H920" s="13" t="s">
        <v>75</v>
      </c>
      <c r="I920" s="13"/>
      <c r="J920" s="13"/>
      <c r="K920" s="15">
        <v>1.0</v>
      </c>
      <c r="L920" s="15">
        <v>1.0</v>
      </c>
      <c r="M920" s="16"/>
      <c r="N920" s="16"/>
      <c r="O920" s="17"/>
      <c r="P920" s="17"/>
      <c r="Q920" s="13">
        <f t="shared" si="918"/>
        <v>2</v>
      </c>
      <c r="R920" s="13"/>
      <c r="S920" s="13"/>
      <c r="T920" s="13">
        <f t="shared" ref="T920:Y920" si="958">IF(ISBLANK(K920)=TRUE,0,1)</f>
        <v>1</v>
      </c>
      <c r="U920" s="13">
        <f t="shared" si="958"/>
        <v>1</v>
      </c>
      <c r="V920" s="13">
        <f t="shared" si="958"/>
        <v>0</v>
      </c>
      <c r="W920" s="13">
        <f t="shared" si="958"/>
        <v>0</v>
      </c>
      <c r="X920" s="13">
        <f t="shared" si="958"/>
        <v>0</v>
      </c>
      <c r="Y920" s="13">
        <f t="shared" si="958"/>
        <v>0</v>
      </c>
      <c r="Z920" s="13">
        <f t="shared" si="529"/>
        <v>1</v>
      </c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</row>
    <row r="921" ht="14.25" hidden="1" customHeight="1">
      <c r="A921" s="13" t="s">
        <v>36</v>
      </c>
      <c r="B921" s="13" t="s">
        <v>41</v>
      </c>
      <c r="C921" s="13" t="s">
        <v>598</v>
      </c>
      <c r="D921" s="13" t="s">
        <v>557</v>
      </c>
      <c r="E921" s="13" t="str">
        <f t="shared" si="735"/>
        <v>LA2,84-5G-63,BP,1</v>
      </c>
      <c r="F921" s="13"/>
      <c r="G921" s="13" t="s">
        <v>74</v>
      </c>
      <c r="H921" s="13" t="s">
        <v>75</v>
      </c>
      <c r="I921" s="13"/>
      <c r="J921" s="13"/>
      <c r="K921" s="15">
        <v>1.0</v>
      </c>
      <c r="L921" s="15">
        <v>1.0</v>
      </c>
      <c r="M921" s="16"/>
      <c r="N921" s="16"/>
      <c r="O921" s="17"/>
      <c r="P921" s="17"/>
      <c r="Q921" s="13">
        <f t="shared" si="918"/>
        <v>2</v>
      </c>
      <c r="R921" s="13"/>
      <c r="S921" s="13"/>
      <c r="T921" s="13">
        <f t="shared" ref="T921:Y921" si="959">IF(ISBLANK(K921)=TRUE,0,1)</f>
        <v>1</v>
      </c>
      <c r="U921" s="13">
        <f t="shared" si="959"/>
        <v>1</v>
      </c>
      <c r="V921" s="13">
        <f t="shared" si="959"/>
        <v>0</v>
      </c>
      <c r="W921" s="13">
        <f t="shared" si="959"/>
        <v>0</v>
      </c>
      <c r="X921" s="13">
        <f t="shared" si="959"/>
        <v>0</v>
      </c>
      <c r="Y921" s="13">
        <f t="shared" si="959"/>
        <v>0</v>
      </c>
      <c r="Z921" s="13">
        <f t="shared" si="529"/>
        <v>1</v>
      </c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</row>
    <row r="922" ht="14.25" hidden="1" customHeight="1">
      <c r="A922" s="13" t="s">
        <v>36</v>
      </c>
      <c r="B922" s="13" t="s">
        <v>41</v>
      </c>
      <c r="C922" s="13" t="s">
        <v>598</v>
      </c>
      <c r="D922" s="13" t="s">
        <v>110</v>
      </c>
      <c r="E922" s="13" t="str">
        <f t="shared" si="735"/>
        <v>LA2,84-5G-63,BQ,1</v>
      </c>
      <c r="F922" s="13"/>
      <c r="G922" s="13" t="s">
        <v>74</v>
      </c>
      <c r="H922" s="13" t="s">
        <v>75</v>
      </c>
      <c r="I922" s="13"/>
      <c r="J922" s="13"/>
      <c r="K922" s="15">
        <v>1.0</v>
      </c>
      <c r="L922" s="15">
        <v>1.0</v>
      </c>
      <c r="M922" s="16"/>
      <c r="N922" s="16"/>
      <c r="O922" s="17"/>
      <c r="P922" s="17"/>
      <c r="Q922" s="13">
        <f t="shared" si="918"/>
        <v>2</v>
      </c>
      <c r="R922" s="13"/>
      <c r="S922" s="13"/>
      <c r="T922" s="13">
        <f t="shared" ref="T922:Y922" si="960">IF(ISBLANK(K922)=TRUE,0,1)</f>
        <v>1</v>
      </c>
      <c r="U922" s="13">
        <f t="shared" si="960"/>
        <v>1</v>
      </c>
      <c r="V922" s="13">
        <f t="shared" si="960"/>
        <v>0</v>
      </c>
      <c r="W922" s="13">
        <f t="shared" si="960"/>
        <v>0</v>
      </c>
      <c r="X922" s="13">
        <f t="shared" si="960"/>
        <v>0</v>
      </c>
      <c r="Y922" s="13">
        <f t="shared" si="960"/>
        <v>0</v>
      </c>
      <c r="Z922" s="13">
        <f t="shared" si="529"/>
        <v>1</v>
      </c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</row>
    <row r="923" ht="14.25" hidden="1" customHeight="1">
      <c r="A923" s="13" t="s">
        <v>36</v>
      </c>
      <c r="B923" s="13" t="s">
        <v>41</v>
      </c>
      <c r="C923" s="13" t="s">
        <v>598</v>
      </c>
      <c r="D923" s="13" t="s">
        <v>113</v>
      </c>
      <c r="E923" s="13" t="str">
        <f t="shared" si="735"/>
        <v>LA2,84-5G-63,BR,1</v>
      </c>
      <c r="F923" s="13"/>
      <c r="G923" s="13" t="s">
        <v>74</v>
      </c>
      <c r="H923" s="13" t="s">
        <v>75</v>
      </c>
      <c r="I923" s="13"/>
      <c r="J923" s="13"/>
      <c r="K923" s="15">
        <v>1.0</v>
      </c>
      <c r="L923" s="15">
        <v>1.0</v>
      </c>
      <c r="M923" s="16"/>
      <c r="N923" s="16"/>
      <c r="O923" s="17"/>
      <c r="P923" s="17"/>
      <c r="Q923" s="13">
        <f t="shared" si="918"/>
        <v>2</v>
      </c>
      <c r="R923" s="13"/>
      <c r="S923" s="13"/>
      <c r="T923" s="13">
        <f t="shared" ref="T923:Y923" si="961">IF(ISBLANK(K923)=TRUE,0,1)</f>
        <v>1</v>
      </c>
      <c r="U923" s="13">
        <f t="shared" si="961"/>
        <v>1</v>
      </c>
      <c r="V923" s="13">
        <f t="shared" si="961"/>
        <v>0</v>
      </c>
      <c r="W923" s="13">
        <f t="shared" si="961"/>
        <v>0</v>
      </c>
      <c r="X923" s="13">
        <f t="shared" si="961"/>
        <v>0</v>
      </c>
      <c r="Y923" s="13">
        <f t="shared" si="961"/>
        <v>0</v>
      </c>
      <c r="Z923" s="13">
        <f t="shared" si="529"/>
        <v>1</v>
      </c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</row>
    <row r="924" ht="14.25" hidden="1" customHeight="1">
      <c r="A924" s="13" t="s">
        <v>36</v>
      </c>
      <c r="B924" s="13" t="s">
        <v>41</v>
      </c>
      <c r="C924" s="13" t="s">
        <v>598</v>
      </c>
      <c r="D924" s="13" t="s">
        <v>115</v>
      </c>
      <c r="E924" s="13" t="str">
        <f t="shared" si="735"/>
        <v>LA2,84-5G-63,BS,1</v>
      </c>
      <c r="F924" s="13"/>
      <c r="G924" s="13" t="s">
        <v>74</v>
      </c>
      <c r="H924" s="13" t="s">
        <v>75</v>
      </c>
      <c r="I924" s="13"/>
      <c r="J924" s="13"/>
      <c r="K924" s="15">
        <v>1.0</v>
      </c>
      <c r="L924" s="15">
        <v>1.0</v>
      </c>
      <c r="M924" s="16"/>
      <c r="N924" s="16"/>
      <c r="O924" s="17"/>
      <c r="P924" s="17"/>
      <c r="Q924" s="13">
        <f t="shared" si="918"/>
        <v>2</v>
      </c>
      <c r="R924" s="13"/>
      <c r="S924" s="13"/>
      <c r="T924" s="13">
        <f t="shared" ref="T924:Y924" si="962">IF(ISBLANK(K924)=TRUE,0,1)</f>
        <v>1</v>
      </c>
      <c r="U924" s="13">
        <f t="shared" si="962"/>
        <v>1</v>
      </c>
      <c r="V924" s="13">
        <f t="shared" si="962"/>
        <v>0</v>
      </c>
      <c r="W924" s="13">
        <f t="shared" si="962"/>
        <v>0</v>
      </c>
      <c r="X924" s="13">
        <f t="shared" si="962"/>
        <v>0</v>
      </c>
      <c r="Y924" s="13">
        <f t="shared" si="962"/>
        <v>0</v>
      </c>
      <c r="Z924" s="13">
        <f t="shared" si="529"/>
        <v>1</v>
      </c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</row>
    <row r="925" ht="14.25" hidden="1" customHeight="1">
      <c r="A925" s="13" t="s">
        <v>36</v>
      </c>
      <c r="B925" s="13" t="s">
        <v>41</v>
      </c>
      <c r="C925" s="13" t="s">
        <v>598</v>
      </c>
      <c r="D925" s="13" t="s">
        <v>117</v>
      </c>
      <c r="E925" s="13" t="str">
        <f t="shared" si="735"/>
        <v>LA2,84-5G-63,BT,1</v>
      </c>
      <c r="F925" s="13"/>
      <c r="G925" s="13" t="s">
        <v>74</v>
      </c>
      <c r="H925" s="13" t="s">
        <v>75</v>
      </c>
      <c r="I925" s="13"/>
      <c r="J925" s="13"/>
      <c r="K925" s="15">
        <v>1.0</v>
      </c>
      <c r="L925" s="15">
        <v>1.0</v>
      </c>
      <c r="M925" s="16"/>
      <c r="N925" s="16"/>
      <c r="O925" s="17"/>
      <c r="P925" s="17"/>
      <c r="Q925" s="13">
        <f t="shared" si="918"/>
        <v>2</v>
      </c>
      <c r="R925" s="13"/>
      <c r="S925" s="13"/>
      <c r="T925" s="13">
        <f t="shared" ref="T925:Y925" si="963">IF(ISBLANK(K925)=TRUE,0,1)</f>
        <v>1</v>
      </c>
      <c r="U925" s="13">
        <f t="shared" si="963"/>
        <v>1</v>
      </c>
      <c r="V925" s="13">
        <f t="shared" si="963"/>
        <v>0</v>
      </c>
      <c r="W925" s="13">
        <f t="shared" si="963"/>
        <v>0</v>
      </c>
      <c r="X925" s="13">
        <f t="shared" si="963"/>
        <v>0</v>
      </c>
      <c r="Y925" s="13">
        <f t="shared" si="963"/>
        <v>0</v>
      </c>
      <c r="Z925" s="13">
        <f t="shared" si="529"/>
        <v>1</v>
      </c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</row>
    <row r="926" ht="14.25" hidden="1" customHeight="1">
      <c r="A926" s="13" t="s">
        <v>36</v>
      </c>
      <c r="B926" s="13" t="s">
        <v>41</v>
      </c>
      <c r="C926" s="13" t="s">
        <v>598</v>
      </c>
      <c r="D926" s="13" t="s">
        <v>119</v>
      </c>
      <c r="E926" s="13" t="str">
        <f t="shared" si="735"/>
        <v>LA2,84-5G-63,BU,1</v>
      </c>
      <c r="F926" s="13"/>
      <c r="G926" s="13" t="s">
        <v>74</v>
      </c>
      <c r="H926" s="13" t="s">
        <v>75</v>
      </c>
      <c r="I926" s="13"/>
      <c r="J926" s="13"/>
      <c r="K926" s="15">
        <v>1.0</v>
      </c>
      <c r="L926" s="15">
        <v>1.0</v>
      </c>
      <c r="M926" s="16"/>
      <c r="N926" s="16"/>
      <c r="O926" s="17"/>
      <c r="P926" s="17"/>
      <c r="Q926" s="13">
        <f t="shared" si="918"/>
        <v>2</v>
      </c>
      <c r="R926" s="13"/>
      <c r="S926" s="13"/>
      <c r="T926" s="13">
        <f t="shared" ref="T926:Y926" si="964">IF(ISBLANK(K926)=TRUE,0,1)</f>
        <v>1</v>
      </c>
      <c r="U926" s="13">
        <f t="shared" si="964"/>
        <v>1</v>
      </c>
      <c r="V926" s="13">
        <f t="shared" si="964"/>
        <v>0</v>
      </c>
      <c r="W926" s="13">
        <f t="shared" si="964"/>
        <v>0</v>
      </c>
      <c r="X926" s="13">
        <f t="shared" si="964"/>
        <v>0</v>
      </c>
      <c r="Y926" s="13">
        <f t="shared" si="964"/>
        <v>0</v>
      </c>
      <c r="Z926" s="13">
        <f t="shared" si="529"/>
        <v>1</v>
      </c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</row>
    <row r="927" ht="14.25" hidden="1" customHeight="1">
      <c r="A927" s="13" t="s">
        <v>36</v>
      </c>
      <c r="B927" s="13" t="s">
        <v>41</v>
      </c>
      <c r="C927" s="13" t="s">
        <v>598</v>
      </c>
      <c r="D927" s="13" t="s">
        <v>120</v>
      </c>
      <c r="E927" s="13" t="str">
        <f t="shared" si="735"/>
        <v>LA2,84-5G-63,BV,1</v>
      </c>
      <c r="F927" s="13"/>
      <c r="G927" s="13" t="s">
        <v>74</v>
      </c>
      <c r="H927" s="13" t="s">
        <v>75</v>
      </c>
      <c r="I927" s="13"/>
      <c r="J927" s="13"/>
      <c r="K927" s="15">
        <v>1.0</v>
      </c>
      <c r="L927" s="15">
        <v>1.0</v>
      </c>
      <c r="M927" s="16"/>
      <c r="N927" s="16"/>
      <c r="O927" s="17"/>
      <c r="P927" s="17"/>
      <c r="Q927" s="13">
        <f t="shared" si="918"/>
        <v>2</v>
      </c>
      <c r="R927" s="13"/>
      <c r="S927" s="13"/>
      <c r="T927" s="13">
        <f t="shared" ref="T927:Y927" si="965">IF(ISBLANK(K927)=TRUE,0,1)</f>
        <v>1</v>
      </c>
      <c r="U927" s="13">
        <f t="shared" si="965"/>
        <v>1</v>
      </c>
      <c r="V927" s="13">
        <f t="shared" si="965"/>
        <v>0</v>
      </c>
      <c r="W927" s="13">
        <f t="shared" si="965"/>
        <v>0</v>
      </c>
      <c r="X927" s="13">
        <f t="shared" si="965"/>
        <v>0</v>
      </c>
      <c r="Y927" s="13">
        <f t="shared" si="965"/>
        <v>0</v>
      </c>
      <c r="Z927" s="13">
        <f t="shared" si="529"/>
        <v>1</v>
      </c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</row>
    <row r="928" ht="14.25" hidden="1" customHeight="1">
      <c r="A928" s="13" t="s">
        <v>36</v>
      </c>
      <c r="B928" s="13" t="s">
        <v>41</v>
      </c>
      <c r="C928" s="13" t="s">
        <v>598</v>
      </c>
      <c r="D928" s="13" t="s">
        <v>121</v>
      </c>
      <c r="E928" s="13" t="str">
        <f t="shared" si="735"/>
        <v>LA2,84-5G-63,BW,1</v>
      </c>
      <c r="F928" s="13"/>
      <c r="G928" s="13" t="s">
        <v>74</v>
      </c>
      <c r="H928" s="13" t="s">
        <v>75</v>
      </c>
      <c r="I928" s="13"/>
      <c r="J928" s="13"/>
      <c r="K928" s="15">
        <v>1.0</v>
      </c>
      <c r="L928" s="15">
        <v>1.0</v>
      </c>
      <c r="M928" s="16"/>
      <c r="N928" s="16"/>
      <c r="O928" s="17"/>
      <c r="P928" s="17"/>
      <c r="Q928" s="13">
        <f t="shared" si="918"/>
        <v>2</v>
      </c>
      <c r="R928" s="13"/>
      <c r="S928" s="13"/>
      <c r="T928" s="13">
        <f t="shared" ref="T928:Y928" si="966">IF(ISBLANK(K928)=TRUE,0,1)</f>
        <v>1</v>
      </c>
      <c r="U928" s="13">
        <f t="shared" si="966"/>
        <v>1</v>
      </c>
      <c r="V928" s="13">
        <f t="shared" si="966"/>
        <v>0</v>
      </c>
      <c r="W928" s="13">
        <f t="shared" si="966"/>
        <v>0</v>
      </c>
      <c r="X928" s="13">
        <f t="shared" si="966"/>
        <v>0</v>
      </c>
      <c r="Y928" s="13">
        <f t="shared" si="966"/>
        <v>0</v>
      </c>
      <c r="Z928" s="13">
        <f t="shared" si="529"/>
        <v>1</v>
      </c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</row>
    <row r="929" ht="14.25" hidden="1" customHeight="1">
      <c r="A929" s="13" t="s">
        <v>36</v>
      </c>
      <c r="B929" s="13" t="s">
        <v>41</v>
      </c>
      <c r="C929" s="13" t="s">
        <v>598</v>
      </c>
      <c r="D929" s="13" t="s">
        <v>122</v>
      </c>
      <c r="E929" s="13" t="str">
        <f t="shared" si="735"/>
        <v>LA2,84-5G-63,BX,1</v>
      </c>
      <c r="F929" s="13"/>
      <c r="G929" s="13" t="s">
        <v>74</v>
      </c>
      <c r="H929" s="13" t="s">
        <v>75</v>
      </c>
      <c r="I929" s="13"/>
      <c r="J929" s="13"/>
      <c r="K929" s="15">
        <v>1.0</v>
      </c>
      <c r="L929" s="15">
        <v>1.0</v>
      </c>
      <c r="M929" s="16"/>
      <c r="N929" s="16"/>
      <c r="O929" s="17"/>
      <c r="P929" s="17"/>
      <c r="Q929" s="13">
        <f t="shared" si="918"/>
        <v>2</v>
      </c>
      <c r="R929" s="13"/>
      <c r="S929" s="13"/>
      <c r="T929" s="13">
        <f t="shared" ref="T929:Y929" si="967">IF(ISBLANK(K929)=TRUE,0,1)</f>
        <v>1</v>
      </c>
      <c r="U929" s="13">
        <f t="shared" si="967"/>
        <v>1</v>
      </c>
      <c r="V929" s="13">
        <f t="shared" si="967"/>
        <v>0</v>
      </c>
      <c r="W929" s="13">
        <f t="shared" si="967"/>
        <v>0</v>
      </c>
      <c r="X929" s="13">
        <f t="shared" si="967"/>
        <v>0</v>
      </c>
      <c r="Y929" s="13">
        <f t="shared" si="967"/>
        <v>0</v>
      </c>
      <c r="Z929" s="13">
        <f t="shared" si="529"/>
        <v>1</v>
      </c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</row>
    <row r="930" ht="14.25" hidden="1" customHeight="1">
      <c r="A930" s="13" t="s">
        <v>36</v>
      </c>
      <c r="B930" s="13" t="s">
        <v>41</v>
      </c>
      <c r="C930" s="13" t="s">
        <v>598</v>
      </c>
      <c r="D930" s="13" t="s">
        <v>123</v>
      </c>
      <c r="E930" s="13" t="str">
        <f t="shared" si="735"/>
        <v>LA2,84-5G-63,BY,1</v>
      </c>
      <c r="F930" s="13"/>
      <c r="G930" s="13" t="s">
        <v>74</v>
      </c>
      <c r="H930" s="13" t="s">
        <v>75</v>
      </c>
      <c r="I930" s="13"/>
      <c r="J930" s="13"/>
      <c r="K930" s="15">
        <v>1.0</v>
      </c>
      <c r="L930" s="15">
        <v>1.0</v>
      </c>
      <c r="M930" s="16"/>
      <c r="N930" s="16"/>
      <c r="O930" s="17"/>
      <c r="P930" s="17"/>
      <c r="Q930" s="13">
        <f t="shared" si="918"/>
        <v>2</v>
      </c>
      <c r="R930" s="13"/>
      <c r="S930" s="13"/>
      <c r="T930" s="13">
        <f t="shared" ref="T930:Y930" si="968">IF(ISBLANK(K930)=TRUE,0,1)</f>
        <v>1</v>
      </c>
      <c r="U930" s="13">
        <f t="shared" si="968"/>
        <v>1</v>
      </c>
      <c r="V930" s="13">
        <f t="shared" si="968"/>
        <v>0</v>
      </c>
      <c r="W930" s="13">
        <f t="shared" si="968"/>
        <v>0</v>
      </c>
      <c r="X930" s="13">
        <f t="shared" si="968"/>
        <v>0</v>
      </c>
      <c r="Y930" s="13">
        <f t="shared" si="968"/>
        <v>0</v>
      </c>
      <c r="Z930" s="13">
        <f t="shared" si="529"/>
        <v>1</v>
      </c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</row>
    <row r="931" ht="14.25" hidden="1" customHeight="1">
      <c r="A931" s="13" t="s">
        <v>36</v>
      </c>
      <c r="B931" s="13" t="s">
        <v>41</v>
      </c>
      <c r="C931" s="13" t="s">
        <v>598</v>
      </c>
      <c r="D931" s="13" t="s">
        <v>124</v>
      </c>
      <c r="E931" s="13" t="str">
        <f t="shared" si="735"/>
        <v>LA2,84-5G-63,BZ,1</v>
      </c>
      <c r="F931" s="13"/>
      <c r="G931" s="13" t="s">
        <v>74</v>
      </c>
      <c r="H931" s="13" t="s">
        <v>75</v>
      </c>
      <c r="I931" s="13"/>
      <c r="J931" s="13"/>
      <c r="K931" s="15">
        <v>1.0</v>
      </c>
      <c r="L931" s="15">
        <v>1.0</v>
      </c>
      <c r="M931" s="16"/>
      <c r="N931" s="16"/>
      <c r="O931" s="17"/>
      <c r="P931" s="17"/>
      <c r="Q931" s="13">
        <f t="shared" si="918"/>
        <v>2</v>
      </c>
      <c r="R931" s="13"/>
      <c r="S931" s="13"/>
      <c r="T931" s="13">
        <f t="shared" ref="T931:Y931" si="969">IF(ISBLANK(K931)=TRUE,0,1)</f>
        <v>1</v>
      </c>
      <c r="U931" s="13">
        <f t="shared" si="969"/>
        <v>1</v>
      </c>
      <c r="V931" s="13">
        <f t="shared" si="969"/>
        <v>0</v>
      </c>
      <c r="W931" s="13">
        <f t="shared" si="969"/>
        <v>0</v>
      </c>
      <c r="X931" s="13">
        <f t="shared" si="969"/>
        <v>0</v>
      </c>
      <c r="Y931" s="13">
        <f t="shared" si="969"/>
        <v>0</v>
      </c>
      <c r="Z931" s="13">
        <f t="shared" si="529"/>
        <v>1</v>
      </c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</row>
    <row r="932" ht="14.25" hidden="1" customHeight="1">
      <c r="A932" s="13" t="s">
        <v>36</v>
      </c>
      <c r="B932" s="13" t="s">
        <v>41</v>
      </c>
      <c r="C932" s="13" t="s">
        <v>598</v>
      </c>
      <c r="D932" s="13" t="s">
        <v>125</v>
      </c>
      <c r="E932" s="13" t="str">
        <f t="shared" si="735"/>
        <v>LA2,84-5G-63,CA,1</v>
      </c>
      <c r="F932" s="13"/>
      <c r="G932" s="13" t="s">
        <v>74</v>
      </c>
      <c r="H932" s="13" t="s">
        <v>75</v>
      </c>
      <c r="I932" s="13"/>
      <c r="J932" s="13"/>
      <c r="K932" s="15">
        <v>1.0</v>
      </c>
      <c r="L932" s="15">
        <v>1.0</v>
      </c>
      <c r="M932" s="16"/>
      <c r="N932" s="16"/>
      <c r="O932" s="17"/>
      <c r="P932" s="17"/>
      <c r="Q932" s="13">
        <f t="shared" si="918"/>
        <v>2</v>
      </c>
      <c r="R932" s="13"/>
      <c r="S932" s="13"/>
      <c r="T932" s="13">
        <f t="shared" ref="T932:Y932" si="970">IF(ISBLANK(K932)=TRUE,0,1)</f>
        <v>1</v>
      </c>
      <c r="U932" s="13">
        <f t="shared" si="970"/>
        <v>1</v>
      </c>
      <c r="V932" s="13">
        <f t="shared" si="970"/>
        <v>0</v>
      </c>
      <c r="W932" s="13">
        <f t="shared" si="970"/>
        <v>0</v>
      </c>
      <c r="X932" s="13">
        <f t="shared" si="970"/>
        <v>0</v>
      </c>
      <c r="Y932" s="13">
        <f t="shared" si="970"/>
        <v>0</v>
      </c>
      <c r="Z932" s="13">
        <f t="shared" si="529"/>
        <v>1</v>
      </c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</row>
    <row r="933" ht="14.25" hidden="1" customHeight="1">
      <c r="A933" s="13" t="s">
        <v>36</v>
      </c>
      <c r="B933" s="13" t="s">
        <v>41</v>
      </c>
      <c r="C933" s="13" t="s">
        <v>598</v>
      </c>
      <c r="D933" s="13" t="s">
        <v>126</v>
      </c>
      <c r="E933" s="13" t="str">
        <f t="shared" si="735"/>
        <v>LA2,84-5G-63,CB,1</v>
      </c>
      <c r="F933" s="13"/>
      <c r="G933" s="13" t="s">
        <v>74</v>
      </c>
      <c r="H933" s="13" t="s">
        <v>75</v>
      </c>
      <c r="I933" s="13"/>
      <c r="J933" s="13"/>
      <c r="K933" s="15">
        <v>1.0</v>
      </c>
      <c r="L933" s="15">
        <v>1.0</v>
      </c>
      <c r="M933" s="16"/>
      <c r="N933" s="16"/>
      <c r="O933" s="17"/>
      <c r="P933" s="17"/>
      <c r="Q933" s="13">
        <f t="shared" si="918"/>
        <v>2</v>
      </c>
      <c r="R933" s="13"/>
      <c r="S933" s="13"/>
      <c r="T933" s="13">
        <f t="shared" ref="T933:Y933" si="971">IF(ISBLANK(K933)=TRUE,0,1)</f>
        <v>1</v>
      </c>
      <c r="U933" s="13">
        <f t="shared" si="971"/>
        <v>1</v>
      </c>
      <c r="V933" s="13">
        <f t="shared" si="971"/>
        <v>0</v>
      </c>
      <c r="W933" s="13">
        <f t="shared" si="971"/>
        <v>0</v>
      </c>
      <c r="X933" s="13">
        <f t="shared" si="971"/>
        <v>0</v>
      </c>
      <c r="Y933" s="13">
        <f t="shared" si="971"/>
        <v>0</v>
      </c>
      <c r="Z933" s="13">
        <f t="shared" si="529"/>
        <v>1</v>
      </c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</row>
    <row r="934" ht="14.25" hidden="1" customHeight="1">
      <c r="A934" s="13" t="s">
        <v>36</v>
      </c>
      <c r="B934" s="13" t="s">
        <v>41</v>
      </c>
      <c r="C934" s="13" t="s">
        <v>598</v>
      </c>
      <c r="D934" s="13" t="s">
        <v>127</v>
      </c>
      <c r="E934" s="13" t="str">
        <f t="shared" si="735"/>
        <v>LA2,84-5G-63,CC,1</v>
      </c>
      <c r="F934" s="13"/>
      <c r="G934" s="13" t="s">
        <v>74</v>
      </c>
      <c r="H934" s="13" t="s">
        <v>75</v>
      </c>
      <c r="I934" s="13"/>
      <c r="J934" s="13"/>
      <c r="K934" s="15">
        <v>1.0</v>
      </c>
      <c r="L934" s="15">
        <v>1.0</v>
      </c>
      <c r="M934" s="16"/>
      <c r="N934" s="16"/>
      <c r="O934" s="17"/>
      <c r="P934" s="17"/>
      <c r="Q934" s="13">
        <f t="shared" si="918"/>
        <v>2</v>
      </c>
      <c r="R934" s="13"/>
      <c r="S934" s="13"/>
      <c r="T934" s="13">
        <f t="shared" ref="T934:Y934" si="972">IF(ISBLANK(K934)=TRUE,0,1)</f>
        <v>1</v>
      </c>
      <c r="U934" s="13">
        <f t="shared" si="972"/>
        <v>1</v>
      </c>
      <c r="V934" s="13">
        <f t="shared" si="972"/>
        <v>0</v>
      </c>
      <c r="W934" s="13">
        <f t="shared" si="972"/>
        <v>0</v>
      </c>
      <c r="X934" s="13">
        <f t="shared" si="972"/>
        <v>0</v>
      </c>
      <c r="Y934" s="13">
        <f t="shared" si="972"/>
        <v>0</v>
      </c>
      <c r="Z934" s="13">
        <f t="shared" si="529"/>
        <v>1</v>
      </c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</row>
    <row r="935" ht="14.25" hidden="1" customHeight="1">
      <c r="A935" s="13" t="s">
        <v>36</v>
      </c>
      <c r="B935" s="13" t="s">
        <v>41</v>
      </c>
      <c r="C935" s="13" t="s">
        <v>598</v>
      </c>
      <c r="D935" s="13" t="s">
        <v>128</v>
      </c>
      <c r="E935" s="13" t="str">
        <f t="shared" si="735"/>
        <v>LA2,84-5G-63,CD,1</v>
      </c>
      <c r="F935" s="13"/>
      <c r="G935" s="13" t="s">
        <v>74</v>
      </c>
      <c r="H935" s="13" t="s">
        <v>75</v>
      </c>
      <c r="I935" s="13"/>
      <c r="J935" s="13"/>
      <c r="K935" s="15">
        <v>1.0</v>
      </c>
      <c r="L935" s="15">
        <v>1.0</v>
      </c>
      <c r="M935" s="16"/>
      <c r="N935" s="16"/>
      <c r="O935" s="17"/>
      <c r="P935" s="17"/>
      <c r="Q935" s="13">
        <f t="shared" si="918"/>
        <v>2</v>
      </c>
      <c r="R935" s="13"/>
      <c r="S935" s="13"/>
      <c r="T935" s="13">
        <f t="shared" ref="T935:Y935" si="973">IF(ISBLANK(K935)=TRUE,0,1)</f>
        <v>1</v>
      </c>
      <c r="U935" s="13">
        <f t="shared" si="973"/>
        <v>1</v>
      </c>
      <c r="V935" s="13">
        <f t="shared" si="973"/>
        <v>0</v>
      </c>
      <c r="W935" s="13">
        <f t="shared" si="973"/>
        <v>0</v>
      </c>
      <c r="X935" s="13">
        <f t="shared" si="973"/>
        <v>0</v>
      </c>
      <c r="Y935" s="13">
        <f t="shared" si="973"/>
        <v>0</v>
      </c>
      <c r="Z935" s="13">
        <f t="shared" si="529"/>
        <v>1</v>
      </c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</row>
    <row r="936" ht="14.25" hidden="1" customHeight="1">
      <c r="A936" s="13" t="s">
        <v>36</v>
      </c>
      <c r="B936" s="13" t="s">
        <v>41</v>
      </c>
      <c r="C936" s="13" t="s">
        <v>598</v>
      </c>
      <c r="D936" s="13" t="s">
        <v>129</v>
      </c>
      <c r="E936" s="13" t="str">
        <f t="shared" si="735"/>
        <v>LA2,84-5G-63,CE,1</v>
      </c>
      <c r="F936" s="13"/>
      <c r="G936" s="13" t="s">
        <v>74</v>
      </c>
      <c r="H936" s="13" t="s">
        <v>75</v>
      </c>
      <c r="I936" s="13"/>
      <c r="J936" s="13"/>
      <c r="K936" s="15">
        <v>1.0</v>
      </c>
      <c r="L936" s="15">
        <v>1.0</v>
      </c>
      <c r="M936" s="16"/>
      <c r="N936" s="16"/>
      <c r="O936" s="17"/>
      <c r="P936" s="17"/>
      <c r="Q936" s="13">
        <f t="shared" si="918"/>
        <v>2</v>
      </c>
      <c r="R936" s="13"/>
      <c r="S936" s="13"/>
      <c r="T936" s="13">
        <f t="shared" ref="T936:Y936" si="974">IF(ISBLANK(K936)=TRUE,0,1)</f>
        <v>1</v>
      </c>
      <c r="U936" s="13">
        <f t="shared" si="974"/>
        <v>1</v>
      </c>
      <c r="V936" s="13">
        <f t="shared" si="974"/>
        <v>0</v>
      </c>
      <c r="W936" s="13">
        <f t="shared" si="974"/>
        <v>0</v>
      </c>
      <c r="X936" s="13">
        <f t="shared" si="974"/>
        <v>0</v>
      </c>
      <c r="Y936" s="13">
        <f t="shared" si="974"/>
        <v>0</v>
      </c>
      <c r="Z936" s="13">
        <f t="shared" si="529"/>
        <v>1</v>
      </c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</row>
    <row r="937" ht="14.25" hidden="1" customHeight="1">
      <c r="A937" s="13" t="s">
        <v>36</v>
      </c>
      <c r="B937" s="13" t="s">
        <v>41</v>
      </c>
      <c r="C937" s="13" t="s">
        <v>598</v>
      </c>
      <c r="D937" s="13" t="s">
        <v>130</v>
      </c>
      <c r="E937" s="13" t="str">
        <f t="shared" si="735"/>
        <v>LA2,84-5G-63,CF,1</v>
      </c>
      <c r="F937" s="13"/>
      <c r="G937" s="13" t="s">
        <v>74</v>
      </c>
      <c r="H937" s="13" t="s">
        <v>75</v>
      </c>
      <c r="I937" s="13"/>
      <c r="J937" s="13"/>
      <c r="K937" s="15">
        <v>1.0</v>
      </c>
      <c r="L937" s="15">
        <v>1.0</v>
      </c>
      <c r="M937" s="16"/>
      <c r="N937" s="16"/>
      <c r="O937" s="17"/>
      <c r="P937" s="17"/>
      <c r="Q937" s="13">
        <f t="shared" si="918"/>
        <v>2</v>
      </c>
      <c r="R937" s="13"/>
      <c r="S937" s="13"/>
      <c r="T937" s="13">
        <f t="shared" ref="T937:Y937" si="975">IF(ISBLANK(K937)=TRUE,0,1)</f>
        <v>1</v>
      </c>
      <c r="U937" s="13">
        <f t="shared" si="975"/>
        <v>1</v>
      </c>
      <c r="V937" s="13">
        <f t="shared" si="975"/>
        <v>0</v>
      </c>
      <c r="W937" s="13">
        <f t="shared" si="975"/>
        <v>0</v>
      </c>
      <c r="X937" s="13">
        <f t="shared" si="975"/>
        <v>0</v>
      </c>
      <c r="Y937" s="13">
        <f t="shared" si="975"/>
        <v>0</v>
      </c>
      <c r="Z937" s="13">
        <f t="shared" si="529"/>
        <v>1</v>
      </c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</row>
    <row r="938" ht="14.25" hidden="1" customHeight="1">
      <c r="A938" s="13" t="s">
        <v>36</v>
      </c>
      <c r="B938" s="13" t="s">
        <v>41</v>
      </c>
      <c r="C938" s="13" t="s">
        <v>598</v>
      </c>
      <c r="D938" s="13" t="s">
        <v>131</v>
      </c>
      <c r="E938" s="13" t="str">
        <f t="shared" si="735"/>
        <v>LA2,84-5G-63,CG,1</v>
      </c>
      <c r="F938" s="13"/>
      <c r="G938" s="13" t="s">
        <v>74</v>
      </c>
      <c r="H938" s="13" t="s">
        <v>75</v>
      </c>
      <c r="I938" s="13"/>
      <c r="J938" s="13"/>
      <c r="K938" s="15">
        <v>1.0</v>
      </c>
      <c r="L938" s="15">
        <v>1.0</v>
      </c>
      <c r="M938" s="16"/>
      <c r="N938" s="16"/>
      <c r="O938" s="17"/>
      <c r="P938" s="17"/>
      <c r="Q938" s="13">
        <f t="shared" si="918"/>
        <v>2</v>
      </c>
      <c r="R938" s="13"/>
      <c r="S938" s="13"/>
      <c r="T938" s="13">
        <f t="shared" ref="T938:Y938" si="976">IF(ISBLANK(K938)=TRUE,0,1)</f>
        <v>1</v>
      </c>
      <c r="U938" s="13">
        <f t="shared" si="976"/>
        <v>1</v>
      </c>
      <c r="V938" s="13">
        <f t="shared" si="976"/>
        <v>0</v>
      </c>
      <c r="W938" s="13">
        <f t="shared" si="976"/>
        <v>0</v>
      </c>
      <c r="X938" s="13">
        <f t="shared" si="976"/>
        <v>0</v>
      </c>
      <c r="Y938" s="13">
        <f t="shared" si="976"/>
        <v>0</v>
      </c>
      <c r="Z938" s="13">
        <f t="shared" si="529"/>
        <v>1</v>
      </c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</row>
    <row r="939" ht="14.25" hidden="1" customHeight="1">
      <c r="A939" s="13" t="s">
        <v>36</v>
      </c>
      <c r="B939" s="13" t="s">
        <v>41</v>
      </c>
      <c r="C939" s="13" t="s">
        <v>598</v>
      </c>
      <c r="D939" s="13" t="s">
        <v>132</v>
      </c>
      <c r="E939" s="13" t="str">
        <f t="shared" si="735"/>
        <v>LA2,84-5G-63,CH,1</v>
      </c>
      <c r="F939" s="13"/>
      <c r="G939" s="13" t="s">
        <v>74</v>
      </c>
      <c r="H939" s="13" t="s">
        <v>75</v>
      </c>
      <c r="I939" s="13"/>
      <c r="J939" s="13"/>
      <c r="K939" s="15">
        <v>1.0</v>
      </c>
      <c r="L939" s="15">
        <v>1.0</v>
      </c>
      <c r="M939" s="16"/>
      <c r="N939" s="16"/>
      <c r="O939" s="17"/>
      <c r="P939" s="17"/>
      <c r="Q939" s="13">
        <f t="shared" si="918"/>
        <v>2</v>
      </c>
      <c r="R939" s="13"/>
      <c r="S939" s="13"/>
      <c r="T939" s="13">
        <f t="shared" ref="T939:Y939" si="977">IF(ISBLANK(K939)=TRUE,0,1)</f>
        <v>1</v>
      </c>
      <c r="U939" s="13">
        <f t="shared" si="977"/>
        <v>1</v>
      </c>
      <c r="V939" s="13">
        <f t="shared" si="977"/>
        <v>0</v>
      </c>
      <c r="W939" s="13">
        <f t="shared" si="977"/>
        <v>0</v>
      </c>
      <c r="X939" s="13">
        <f t="shared" si="977"/>
        <v>0</v>
      </c>
      <c r="Y939" s="13">
        <f t="shared" si="977"/>
        <v>0</v>
      </c>
      <c r="Z939" s="13">
        <f t="shared" si="529"/>
        <v>1</v>
      </c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</row>
    <row r="940" ht="14.25" hidden="1" customHeight="1">
      <c r="A940" s="13" t="s">
        <v>36</v>
      </c>
      <c r="B940" s="13" t="s">
        <v>41</v>
      </c>
      <c r="C940" s="13" t="s">
        <v>598</v>
      </c>
      <c r="D940" s="13" t="s">
        <v>133</v>
      </c>
      <c r="E940" s="13" t="str">
        <f t="shared" si="735"/>
        <v>LA2,84-5G-63,CI,1</v>
      </c>
      <c r="F940" s="13"/>
      <c r="G940" s="13" t="s">
        <v>74</v>
      </c>
      <c r="H940" s="13" t="s">
        <v>75</v>
      </c>
      <c r="I940" s="13"/>
      <c r="J940" s="13"/>
      <c r="K940" s="15">
        <v>1.0</v>
      </c>
      <c r="L940" s="15">
        <v>1.0</v>
      </c>
      <c r="M940" s="16"/>
      <c r="N940" s="16"/>
      <c r="O940" s="17"/>
      <c r="P940" s="17"/>
      <c r="Q940" s="13">
        <f t="shared" si="918"/>
        <v>2</v>
      </c>
      <c r="R940" s="13"/>
      <c r="S940" s="13"/>
      <c r="T940" s="13">
        <f t="shared" ref="T940:Y940" si="978">IF(ISBLANK(K940)=TRUE,0,1)</f>
        <v>1</v>
      </c>
      <c r="U940" s="13">
        <f t="shared" si="978"/>
        <v>1</v>
      </c>
      <c r="V940" s="13">
        <f t="shared" si="978"/>
        <v>0</v>
      </c>
      <c r="W940" s="13">
        <f t="shared" si="978"/>
        <v>0</v>
      </c>
      <c r="X940" s="13">
        <f t="shared" si="978"/>
        <v>0</v>
      </c>
      <c r="Y940" s="13">
        <f t="shared" si="978"/>
        <v>0</v>
      </c>
      <c r="Z940" s="13">
        <f t="shared" si="529"/>
        <v>1</v>
      </c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</row>
    <row r="941" ht="14.25" hidden="1" customHeight="1">
      <c r="A941" s="13" t="s">
        <v>36</v>
      </c>
      <c r="B941" s="13" t="s">
        <v>41</v>
      </c>
      <c r="C941" s="13" t="s">
        <v>598</v>
      </c>
      <c r="D941" s="13" t="s">
        <v>134</v>
      </c>
      <c r="E941" s="13" t="str">
        <f t="shared" si="735"/>
        <v>LA2,84-5G-63,CJ,1</v>
      </c>
      <c r="F941" s="13"/>
      <c r="G941" s="13" t="s">
        <v>74</v>
      </c>
      <c r="H941" s="13" t="s">
        <v>75</v>
      </c>
      <c r="I941" s="13"/>
      <c r="J941" s="13"/>
      <c r="K941" s="15">
        <v>1.0</v>
      </c>
      <c r="L941" s="15">
        <v>1.0</v>
      </c>
      <c r="M941" s="16"/>
      <c r="N941" s="16"/>
      <c r="O941" s="17"/>
      <c r="P941" s="17"/>
      <c r="Q941" s="13">
        <f t="shared" si="918"/>
        <v>2</v>
      </c>
      <c r="R941" s="13"/>
      <c r="S941" s="13"/>
      <c r="T941" s="13">
        <f t="shared" ref="T941:Y941" si="979">IF(ISBLANK(K941)=TRUE,0,1)</f>
        <v>1</v>
      </c>
      <c r="U941" s="13">
        <f t="shared" si="979"/>
        <v>1</v>
      </c>
      <c r="V941" s="13">
        <f t="shared" si="979"/>
        <v>0</v>
      </c>
      <c r="W941" s="13">
        <f t="shared" si="979"/>
        <v>0</v>
      </c>
      <c r="X941" s="13">
        <f t="shared" si="979"/>
        <v>0</v>
      </c>
      <c r="Y941" s="13">
        <f t="shared" si="979"/>
        <v>0</v>
      </c>
      <c r="Z941" s="13">
        <f t="shared" si="529"/>
        <v>1</v>
      </c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</row>
    <row r="942" ht="14.25" hidden="1" customHeight="1">
      <c r="A942" s="13" t="s">
        <v>36</v>
      </c>
      <c r="B942" s="13" t="s">
        <v>41</v>
      </c>
      <c r="C942" s="13" t="s">
        <v>598</v>
      </c>
      <c r="D942" s="13" t="s">
        <v>135</v>
      </c>
      <c r="E942" s="13" t="str">
        <f t="shared" si="735"/>
        <v>LA2,84-5G-63,CK,1</v>
      </c>
      <c r="F942" s="13"/>
      <c r="G942" s="13" t="s">
        <v>74</v>
      </c>
      <c r="H942" s="13" t="s">
        <v>75</v>
      </c>
      <c r="I942" s="13"/>
      <c r="J942" s="13"/>
      <c r="K942" s="15">
        <v>1.0</v>
      </c>
      <c r="L942" s="15">
        <v>1.0</v>
      </c>
      <c r="M942" s="16"/>
      <c r="N942" s="16"/>
      <c r="O942" s="17"/>
      <c r="P942" s="17"/>
      <c r="Q942" s="13">
        <f t="shared" si="918"/>
        <v>2</v>
      </c>
      <c r="R942" s="13"/>
      <c r="S942" s="13"/>
      <c r="T942" s="13">
        <f t="shared" ref="T942:Y942" si="980">IF(ISBLANK(K942)=TRUE,0,1)</f>
        <v>1</v>
      </c>
      <c r="U942" s="13">
        <f t="shared" si="980"/>
        <v>1</v>
      </c>
      <c r="V942" s="13">
        <f t="shared" si="980"/>
        <v>0</v>
      </c>
      <c r="W942" s="13">
        <f t="shared" si="980"/>
        <v>0</v>
      </c>
      <c r="X942" s="13">
        <f t="shared" si="980"/>
        <v>0</v>
      </c>
      <c r="Y942" s="13">
        <f t="shared" si="980"/>
        <v>0</v>
      </c>
      <c r="Z942" s="13">
        <f t="shared" si="529"/>
        <v>1</v>
      </c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</row>
    <row r="943" ht="14.25" hidden="1" customHeight="1">
      <c r="A943" s="13" t="s">
        <v>36</v>
      </c>
      <c r="B943" s="13" t="s">
        <v>41</v>
      </c>
      <c r="C943" s="13" t="s">
        <v>598</v>
      </c>
      <c r="D943" s="13" t="s">
        <v>136</v>
      </c>
      <c r="E943" s="13" t="str">
        <f t="shared" si="735"/>
        <v>LA2,84-5G-63,CL,1</v>
      </c>
      <c r="F943" s="13"/>
      <c r="G943" s="13" t="s">
        <v>74</v>
      </c>
      <c r="H943" s="13" t="s">
        <v>75</v>
      </c>
      <c r="I943" s="13"/>
      <c r="J943" s="13"/>
      <c r="K943" s="15">
        <v>1.0</v>
      </c>
      <c r="L943" s="15">
        <v>1.0</v>
      </c>
      <c r="M943" s="16"/>
      <c r="N943" s="16"/>
      <c r="O943" s="17"/>
      <c r="P943" s="17"/>
      <c r="Q943" s="13">
        <f t="shared" si="918"/>
        <v>2</v>
      </c>
      <c r="R943" s="13"/>
      <c r="S943" s="13"/>
      <c r="T943" s="13">
        <f t="shared" ref="T943:Y943" si="981">IF(ISBLANK(K943)=TRUE,0,1)</f>
        <v>1</v>
      </c>
      <c r="U943" s="13">
        <f t="shared" si="981"/>
        <v>1</v>
      </c>
      <c r="V943" s="13">
        <f t="shared" si="981"/>
        <v>0</v>
      </c>
      <c r="W943" s="13">
        <f t="shared" si="981"/>
        <v>0</v>
      </c>
      <c r="X943" s="13">
        <f t="shared" si="981"/>
        <v>0</v>
      </c>
      <c r="Y943" s="13">
        <f t="shared" si="981"/>
        <v>0</v>
      </c>
      <c r="Z943" s="13">
        <f t="shared" si="529"/>
        <v>1</v>
      </c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</row>
    <row r="944" ht="14.25" hidden="1" customHeight="1">
      <c r="A944" s="13" t="s">
        <v>36</v>
      </c>
      <c r="B944" s="13" t="s">
        <v>41</v>
      </c>
      <c r="C944" s="13" t="s">
        <v>598</v>
      </c>
      <c r="D944" s="13" t="s">
        <v>137</v>
      </c>
      <c r="E944" s="13" t="str">
        <f t="shared" si="735"/>
        <v>LA2,84-5G-63,CM,1</v>
      </c>
      <c r="F944" s="13"/>
      <c r="G944" s="13" t="s">
        <v>74</v>
      </c>
      <c r="H944" s="13" t="s">
        <v>75</v>
      </c>
      <c r="I944" s="13"/>
      <c r="J944" s="13"/>
      <c r="K944" s="15">
        <v>1.0</v>
      </c>
      <c r="L944" s="15">
        <v>1.0</v>
      </c>
      <c r="M944" s="16"/>
      <c r="N944" s="16"/>
      <c r="O944" s="17"/>
      <c r="P944" s="17"/>
      <c r="Q944" s="13">
        <f t="shared" si="918"/>
        <v>2</v>
      </c>
      <c r="R944" s="13"/>
      <c r="S944" s="13"/>
      <c r="T944" s="13">
        <f t="shared" ref="T944:Y944" si="982">IF(ISBLANK(K944)=TRUE,0,1)</f>
        <v>1</v>
      </c>
      <c r="U944" s="13">
        <f t="shared" si="982"/>
        <v>1</v>
      </c>
      <c r="V944" s="13">
        <f t="shared" si="982"/>
        <v>0</v>
      </c>
      <c r="W944" s="13">
        <f t="shared" si="982"/>
        <v>0</v>
      </c>
      <c r="X944" s="13">
        <f t="shared" si="982"/>
        <v>0</v>
      </c>
      <c r="Y944" s="13">
        <f t="shared" si="982"/>
        <v>0</v>
      </c>
      <c r="Z944" s="13">
        <f t="shared" si="529"/>
        <v>1</v>
      </c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</row>
    <row r="945" ht="14.25" hidden="1" customHeight="1">
      <c r="A945" s="13" t="s">
        <v>36</v>
      </c>
      <c r="B945" s="13" t="s">
        <v>41</v>
      </c>
      <c r="C945" s="13" t="s">
        <v>598</v>
      </c>
      <c r="D945" s="13" t="s">
        <v>138</v>
      </c>
      <c r="E945" s="13" t="str">
        <f t="shared" si="735"/>
        <v>LA2,84-5G-63,CN,1</v>
      </c>
      <c r="F945" s="13"/>
      <c r="G945" s="13" t="s">
        <v>74</v>
      </c>
      <c r="H945" s="13" t="s">
        <v>75</v>
      </c>
      <c r="I945" s="13"/>
      <c r="J945" s="13"/>
      <c r="K945" s="15">
        <v>1.0</v>
      </c>
      <c r="L945" s="15">
        <v>1.0</v>
      </c>
      <c r="M945" s="16"/>
      <c r="N945" s="16"/>
      <c r="O945" s="17"/>
      <c r="P945" s="17"/>
      <c r="Q945" s="13">
        <f t="shared" si="918"/>
        <v>2</v>
      </c>
      <c r="R945" s="13"/>
      <c r="S945" s="13"/>
      <c r="T945" s="13">
        <f t="shared" ref="T945:Y945" si="983">IF(ISBLANK(K945)=TRUE,0,1)</f>
        <v>1</v>
      </c>
      <c r="U945" s="13">
        <f t="shared" si="983"/>
        <v>1</v>
      </c>
      <c r="V945" s="13">
        <f t="shared" si="983"/>
        <v>0</v>
      </c>
      <c r="W945" s="13">
        <f t="shared" si="983"/>
        <v>0</v>
      </c>
      <c r="X945" s="13">
        <f t="shared" si="983"/>
        <v>0</v>
      </c>
      <c r="Y945" s="13">
        <f t="shared" si="983"/>
        <v>0</v>
      </c>
      <c r="Z945" s="13">
        <f t="shared" si="529"/>
        <v>1</v>
      </c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</row>
    <row r="946" ht="14.25" hidden="1" customHeight="1">
      <c r="A946" s="13" t="s">
        <v>36</v>
      </c>
      <c r="B946" s="13" t="s">
        <v>41</v>
      </c>
      <c r="C946" s="13" t="s">
        <v>598</v>
      </c>
      <c r="D946" s="13" t="s">
        <v>139</v>
      </c>
      <c r="E946" s="13" t="str">
        <f t="shared" si="735"/>
        <v>LA2,84-5G-63,CO,1</v>
      </c>
      <c r="F946" s="13"/>
      <c r="G946" s="13" t="s">
        <v>74</v>
      </c>
      <c r="H946" s="13" t="s">
        <v>75</v>
      </c>
      <c r="I946" s="13"/>
      <c r="J946" s="13"/>
      <c r="K946" s="15">
        <v>1.0</v>
      </c>
      <c r="L946" s="15">
        <v>1.0</v>
      </c>
      <c r="M946" s="16"/>
      <c r="N946" s="16"/>
      <c r="O946" s="17"/>
      <c r="P946" s="17"/>
      <c r="Q946" s="13">
        <f t="shared" si="918"/>
        <v>2</v>
      </c>
      <c r="R946" s="13"/>
      <c r="S946" s="13"/>
      <c r="T946" s="13">
        <f t="shared" ref="T946:Y946" si="984">IF(ISBLANK(K946)=TRUE,0,1)</f>
        <v>1</v>
      </c>
      <c r="U946" s="13">
        <f t="shared" si="984"/>
        <v>1</v>
      </c>
      <c r="V946" s="13">
        <f t="shared" si="984"/>
        <v>0</v>
      </c>
      <c r="W946" s="13">
        <f t="shared" si="984"/>
        <v>0</v>
      </c>
      <c r="X946" s="13">
        <f t="shared" si="984"/>
        <v>0</v>
      </c>
      <c r="Y946" s="13">
        <f t="shared" si="984"/>
        <v>0</v>
      </c>
      <c r="Z946" s="13">
        <f t="shared" si="529"/>
        <v>1</v>
      </c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</row>
    <row r="947" ht="14.25" hidden="1" customHeight="1">
      <c r="A947" s="13" t="s">
        <v>36</v>
      </c>
      <c r="B947" s="13" t="s">
        <v>41</v>
      </c>
      <c r="C947" s="13" t="s">
        <v>598</v>
      </c>
      <c r="D947" s="13" t="s">
        <v>140</v>
      </c>
      <c r="E947" s="13" t="str">
        <f t="shared" si="735"/>
        <v>LA2,84-5G-63,CP,1</v>
      </c>
      <c r="F947" s="13"/>
      <c r="G947" s="13" t="s">
        <v>74</v>
      </c>
      <c r="H947" s="13" t="s">
        <v>75</v>
      </c>
      <c r="I947" s="13"/>
      <c r="J947" s="13"/>
      <c r="K947" s="15">
        <v>1.0</v>
      </c>
      <c r="L947" s="15">
        <v>1.0</v>
      </c>
      <c r="M947" s="16"/>
      <c r="N947" s="16"/>
      <c r="O947" s="17"/>
      <c r="P947" s="17"/>
      <c r="Q947" s="13">
        <f t="shared" si="918"/>
        <v>2</v>
      </c>
      <c r="R947" s="13"/>
      <c r="S947" s="13"/>
      <c r="T947" s="13">
        <f t="shared" ref="T947:Y947" si="985">IF(ISBLANK(K947)=TRUE,0,1)</f>
        <v>1</v>
      </c>
      <c r="U947" s="13">
        <f t="shared" si="985"/>
        <v>1</v>
      </c>
      <c r="V947" s="13">
        <f t="shared" si="985"/>
        <v>0</v>
      </c>
      <c r="W947" s="13">
        <f t="shared" si="985"/>
        <v>0</v>
      </c>
      <c r="X947" s="13">
        <f t="shared" si="985"/>
        <v>0</v>
      </c>
      <c r="Y947" s="13">
        <f t="shared" si="985"/>
        <v>0</v>
      </c>
      <c r="Z947" s="13">
        <f t="shared" si="529"/>
        <v>1</v>
      </c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</row>
    <row r="948" ht="14.25" hidden="1" customHeight="1">
      <c r="A948" s="13" t="s">
        <v>36</v>
      </c>
      <c r="B948" s="13" t="s">
        <v>41</v>
      </c>
      <c r="C948" s="13" t="s">
        <v>599</v>
      </c>
      <c r="D948" s="13" t="s">
        <v>559</v>
      </c>
      <c r="E948" s="13" t="str">
        <f t="shared" si="735"/>
        <v>LA2,84-5G-76,A,1</v>
      </c>
      <c r="F948" s="13"/>
      <c r="G948" s="13" t="s">
        <v>74</v>
      </c>
      <c r="H948" s="13" t="s">
        <v>75</v>
      </c>
      <c r="I948" s="14">
        <v>44875.0</v>
      </c>
      <c r="J948" s="14"/>
      <c r="K948" s="15">
        <v>1.0</v>
      </c>
      <c r="L948" s="15">
        <v>1.0</v>
      </c>
      <c r="M948" s="16"/>
      <c r="N948" s="16"/>
      <c r="O948" s="17"/>
      <c r="P948" s="17"/>
      <c r="Q948" s="13">
        <f t="shared" si="918"/>
        <v>2</v>
      </c>
      <c r="R948" s="13"/>
      <c r="S948" s="13"/>
      <c r="T948" s="13">
        <f t="shared" ref="T948:Y948" si="986">IF(ISBLANK(K948)=TRUE,0,1)</f>
        <v>1</v>
      </c>
      <c r="U948" s="13">
        <f t="shared" si="986"/>
        <v>1</v>
      </c>
      <c r="V948" s="13">
        <f t="shared" si="986"/>
        <v>0</v>
      </c>
      <c r="W948" s="13">
        <f t="shared" si="986"/>
        <v>0</v>
      </c>
      <c r="X948" s="13">
        <f t="shared" si="986"/>
        <v>0</v>
      </c>
      <c r="Y948" s="13">
        <f t="shared" si="986"/>
        <v>0</v>
      </c>
      <c r="Z948" s="13">
        <f t="shared" si="529"/>
        <v>1</v>
      </c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</row>
    <row r="949" ht="14.25" hidden="1" customHeight="1">
      <c r="A949" s="13" t="s">
        <v>36</v>
      </c>
      <c r="B949" s="13" t="s">
        <v>41</v>
      </c>
      <c r="C949" s="13" t="s">
        <v>599</v>
      </c>
      <c r="D949" s="13" t="s">
        <v>560</v>
      </c>
      <c r="E949" s="13" t="str">
        <f t="shared" si="735"/>
        <v>LA2,84-5G-76,B,1</v>
      </c>
      <c r="F949" s="13"/>
      <c r="G949" s="13" t="s">
        <v>74</v>
      </c>
      <c r="H949" s="13" t="s">
        <v>75</v>
      </c>
      <c r="I949" s="14">
        <v>44875.0</v>
      </c>
      <c r="J949" s="14"/>
      <c r="K949" s="15">
        <v>1.0</v>
      </c>
      <c r="L949" s="15">
        <v>1.0</v>
      </c>
      <c r="M949" s="16"/>
      <c r="N949" s="16"/>
      <c r="O949" s="17"/>
      <c r="P949" s="17"/>
      <c r="Q949" s="13">
        <f t="shared" si="918"/>
        <v>2</v>
      </c>
      <c r="R949" s="13"/>
      <c r="S949" s="13"/>
      <c r="T949" s="13">
        <f t="shared" ref="T949:Y949" si="987">IF(ISBLANK(K949)=TRUE,0,1)</f>
        <v>1</v>
      </c>
      <c r="U949" s="13">
        <f t="shared" si="987"/>
        <v>1</v>
      </c>
      <c r="V949" s="13">
        <f t="shared" si="987"/>
        <v>0</v>
      </c>
      <c r="W949" s="13">
        <f t="shared" si="987"/>
        <v>0</v>
      </c>
      <c r="X949" s="13">
        <f t="shared" si="987"/>
        <v>0</v>
      </c>
      <c r="Y949" s="13">
        <f t="shared" si="987"/>
        <v>0</v>
      </c>
      <c r="Z949" s="13">
        <f t="shared" si="529"/>
        <v>1</v>
      </c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</row>
    <row r="950" ht="14.25" hidden="1" customHeight="1">
      <c r="A950" s="13" t="s">
        <v>36</v>
      </c>
      <c r="B950" s="13" t="s">
        <v>41</v>
      </c>
      <c r="C950" s="13" t="s">
        <v>599</v>
      </c>
      <c r="D950" s="13" t="s">
        <v>562</v>
      </c>
      <c r="E950" s="13" t="str">
        <f t="shared" si="735"/>
        <v>LA2,84-5G-76,C,1</v>
      </c>
      <c r="F950" s="13"/>
      <c r="G950" s="13" t="s">
        <v>74</v>
      </c>
      <c r="H950" s="13" t="s">
        <v>75</v>
      </c>
      <c r="I950" s="14">
        <v>44875.0</v>
      </c>
      <c r="J950" s="14"/>
      <c r="K950" s="15">
        <v>1.0</v>
      </c>
      <c r="L950" s="15">
        <v>1.0</v>
      </c>
      <c r="M950" s="16"/>
      <c r="N950" s="16"/>
      <c r="O950" s="17"/>
      <c r="P950" s="17"/>
      <c r="Q950" s="13">
        <f t="shared" si="918"/>
        <v>2</v>
      </c>
      <c r="R950" s="13"/>
      <c r="S950" s="13"/>
      <c r="T950" s="13">
        <f t="shared" ref="T950:Y950" si="988">IF(ISBLANK(K950)=TRUE,0,1)</f>
        <v>1</v>
      </c>
      <c r="U950" s="13">
        <f t="shared" si="988"/>
        <v>1</v>
      </c>
      <c r="V950" s="13">
        <f t="shared" si="988"/>
        <v>0</v>
      </c>
      <c r="W950" s="13">
        <f t="shared" si="988"/>
        <v>0</v>
      </c>
      <c r="X950" s="13">
        <f t="shared" si="988"/>
        <v>0</v>
      </c>
      <c r="Y950" s="13">
        <f t="shared" si="988"/>
        <v>0</v>
      </c>
      <c r="Z950" s="13">
        <f t="shared" si="529"/>
        <v>1</v>
      </c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</row>
    <row r="951" ht="14.25" hidden="1" customHeight="1">
      <c r="A951" s="13" t="s">
        <v>36</v>
      </c>
      <c r="B951" s="13" t="s">
        <v>41</v>
      </c>
      <c r="C951" s="13" t="s">
        <v>599</v>
      </c>
      <c r="D951" s="13" t="s">
        <v>563</v>
      </c>
      <c r="E951" s="13" t="str">
        <f t="shared" si="735"/>
        <v>LA2,84-5G-76,D,1</v>
      </c>
      <c r="F951" s="13"/>
      <c r="G951" s="13" t="s">
        <v>74</v>
      </c>
      <c r="H951" s="13" t="s">
        <v>75</v>
      </c>
      <c r="I951" s="14">
        <v>44875.0</v>
      </c>
      <c r="J951" s="14"/>
      <c r="K951" s="15">
        <v>1.0</v>
      </c>
      <c r="L951" s="15">
        <v>1.0</v>
      </c>
      <c r="M951" s="16"/>
      <c r="N951" s="16"/>
      <c r="O951" s="17"/>
      <c r="P951" s="17"/>
      <c r="Q951" s="13">
        <f t="shared" si="918"/>
        <v>2</v>
      </c>
      <c r="R951" s="13"/>
      <c r="S951" s="13"/>
      <c r="T951" s="13">
        <f t="shared" ref="T951:Y951" si="989">IF(ISBLANK(K951)=TRUE,0,1)</f>
        <v>1</v>
      </c>
      <c r="U951" s="13">
        <f t="shared" si="989"/>
        <v>1</v>
      </c>
      <c r="V951" s="13">
        <f t="shared" si="989"/>
        <v>0</v>
      </c>
      <c r="W951" s="13">
        <f t="shared" si="989"/>
        <v>0</v>
      </c>
      <c r="X951" s="13">
        <f t="shared" si="989"/>
        <v>0</v>
      </c>
      <c r="Y951" s="13">
        <f t="shared" si="989"/>
        <v>0</v>
      </c>
      <c r="Z951" s="13">
        <f t="shared" si="529"/>
        <v>1</v>
      </c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</row>
    <row r="952" ht="14.25" hidden="1" customHeight="1">
      <c r="A952" s="13" t="s">
        <v>36</v>
      </c>
      <c r="B952" s="13" t="s">
        <v>41</v>
      </c>
      <c r="C952" s="13" t="s">
        <v>600</v>
      </c>
      <c r="D952" s="13"/>
      <c r="E952" s="13" t="str">
        <f t="shared" si="735"/>
        <v>LA2,A-25,,1</v>
      </c>
      <c r="F952" s="13"/>
      <c r="G952" s="13" t="s">
        <v>111</v>
      </c>
      <c r="H952" s="13" t="s">
        <v>75</v>
      </c>
      <c r="I952" s="13"/>
      <c r="J952" s="13"/>
      <c r="K952" s="15"/>
      <c r="L952" s="15"/>
      <c r="M952" s="16"/>
      <c r="N952" s="16"/>
      <c r="O952" s="17">
        <v>1.0</v>
      </c>
      <c r="P952" s="17">
        <v>1.0</v>
      </c>
      <c r="Q952" s="13">
        <f t="shared" si="918"/>
        <v>2</v>
      </c>
      <c r="R952" s="13"/>
      <c r="S952" s="13"/>
      <c r="T952" s="13">
        <f t="shared" ref="T952:Y952" si="990">IF(ISBLANK(K952)=TRUE,0,1)</f>
        <v>0</v>
      </c>
      <c r="U952" s="13">
        <f t="shared" si="990"/>
        <v>0</v>
      </c>
      <c r="V952" s="13">
        <f t="shared" si="990"/>
        <v>0</v>
      </c>
      <c r="W952" s="13">
        <f t="shared" si="990"/>
        <v>0</v>
      </c>
      <c r="X952" s="13">
        <f t="shared" si="990"/>
        <v>1</v>
      </c>
      <c r="Y952" s="13">
        <f t="shared" si="990"/>
        <v>1</v>
      </c>
      <c r="Z952" s="13">
        <f t="shared" si="529"/>
        <v>1</v>
      </c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</row>
    <row r="953" ht="14.25" customHeight="1">
      <c r="A953" s="13" t="s">
        <v>36</v>
      </c>
      <c r="B953" s="13" t="s">
        <v>37</v>
      </c>
      <c r="C953" s="13" t="s">
        <v>601</v>
      </c>
      <c r="D953" s="13"/>
      <c r="E953" s="13" t="str">
        <f t="shared" si="735"/>
        <v>LA7,203-29A-1,,0</v>
      </c>
      <c r="F953" s="13"/>
      <c r="G953" s="13" t="s">
        <v>111</v>
      </c>
      <c r="H953" s="13" t="s">
        <v>107</v>
      </c>
      <c r="I953" s="14">
        <v>44862.0</v>
      </c>
      <c r="J953" s="14"/>
      <c r="K953" s="15"/>
      <c r="L953" s="15"/>
      <c r="M953" s="16"/>
      <c r="N953" s="16"/>
      <c r="O953" s="17">
        <v>0.0</v>
      </c>
      <c r="P953" s="17">
        <v>0.0</v>
      </c>
      <c r="Q953" s="13">
        <f t="shared" si="918"/>
        <v>1.166666667</v>
      </c>
      <c r="R953" s="13"/>
      <c r="S953" s="13"/>
      <c r="T953" s="13">
        <f t="shared" ref="T953:Y953" si="991">IF(ISBLANK(K953)=TRUE,0,1)</f>
        <v>0</v>
      </c>
      <c r="U953" s="13">
        <f t="shared" si="991"/>
        <v>0</v>
      </c>
      <c r="V953" s="13">
        <f t="shared" si="991"/>
        <v>0</v>
      </c>
      <c r="W953" s="13">
        <f t="shared" si="991"/>
        <v>0</v>
      </c>
      <c r="X953" s="13">
        <f t="shared" si="991"/>
        <v>1</v>
      </c>
      <c r="Y953" s="13">
        <f t="shared" si="991"/>
        <v>1</v>
      </c>
      <c r="Z953" s="13">
        <f t="shared" si="529"/>
        <v>0</v>
      </c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</row>
    <row r="954" ht="14.25" customHeight="1">
      <c r="A954" s="13" t="s">
        <v>36</v>
      </c>
      <c r="B954" s="13" t="s">
        <v>37</v>
      </c>
      <c r="C954" s="13" t="s">
        <v>602</v>
      </c>
      <c r="D954" s="13"/>
      <c r="E954" s="13" t="str">
        <f t="shared" si="735"/>
        <v>LA7,203-29A-2,,0</v>
      </c>
      <c r="F954" s="13"/>
      <c r="G954" s="13" t="s">
        <v>111</v>
      </c>
      <c r="H954" s="13" t="s">
        <v>107</v>
      </c>
      <c r="I954" s="14">
        <v>44862.0</v>
      </c>
      <c r="J954" s="14"/>
      <c r="K954" s="15"/>
      <c r="L954" s="15"/>
      <c r="M954" s="16"/>
      <c r="N954" s="16"/>
      <c r="O954" s="17">
        <v>0.0</v>
      </c>
      <c r="P954" s="17">
        <v>0.0</v>
      </c>
      <c r="Q954" s="13">
        <f t="shared" si="918"/>
        <v>0</v>
      </c>
      <c r="R954" s="13"/>
      <c r="S954" s="13"/>
      <c r="T954" s="13">
        <f t="shared" ref="T954:Y954" si="992">IF(ISBLANK(K954)=TRUE,0,1)</f>
        <v>0</v>
      </c>
      <c r="U954" s="13">
        <f t="shared" si="992"/>
        <v>0</v>
      </c>
      <c r="V954" s="13">
        <f t="shared" si="992"/>
        <v>0</v>
      </c>
      <c r="W954" s="13">
        <f t="shared" si="992"/>
        <v>0</v>
      </c>
      <c r="X954" s="13">
        <f t="shared" si="992"/>
        <v>1</v>
      </c>
      <c r="Y954" s="13">
        <f t="shared" si="992"/>
        <v>1</v>
      </c>
      <c r="Z954" s="13">
        <f t="shared" si="529"/>
        <v>0</v>
      </c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</row>
    <row r="955" ht="14.25" customHeight="1">
      <c r="A955" s="13" t="s">
        <v>36</v>
      </c>
      <c r="B955" s="13" t="s">
        <v>37</v>
      </c>
      <c r="C955" s="13" t="s">
        <v>603</v>
      </c>
      <c r="D955" s="13"/>
      <c r="E955" s="13" t="str">
        <f t="shared" si="735"/>
        <v>LA7,203-29A-3,,0</v>
      </c>
      <c r="F955" s="13"/>
      <c r="G955" s="13" t="s">
        <v>111</v>
      </c>
      <c r="H955" s="13" t="s">
        <v>107</v>
      </c>
      <c r="I955" s="14">
        <v>44862.0</v>
      </c>
      <c r="J955" s="14"/>
      <c r="K955" s="15"/>
      <c r="L955" s="15"/>
      <c r="M955" s="16"/>
      <c r="N955" s="16"/>
      <c r="O955" s="17">
        <v>0.0</v>
      </c>
      <c r="P955" s="17">
        <v>0.0</v>
      </c>
      <c r="Q955" s="13">
        <f t="shared" si="918"/>
        <v>0</v>
      </c>
      <c r="R955" s="13"/>
      <c r="S955" s="13"/>
      <c r="T955" s="13">
        <f t="shared" ref="T955:Y955" si="993">IF(ISBLANK(K955)=TRUE,0,1)</f>
        <v>0</v>
      </c>
      <c r="U955" s="13">
        <f t="shared" si="993"/>
        <v>0</v>
      </c>
      <c r="V955" s="13">
        <f t="shared" si="993"/>
        <v>0</v>
      </c>
      <c r="W955" s="13">
        <f t="shared" si="993"/>
        <v>0</v>
      </c>
      <c r="X955" s="13">
        <f t="shared" si="993"/>
        <v>1</v>
      </c>
      <c r="Y955" s="13">
        <f t="shared" si="993"/>
        <v>1</v>
      </c>
      <c r="Z955" s="13">
        <f t="shared" si="529"/>
        <v>0</v>
      </c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</row>
    <row r="956" ht="14.25" customHeight="1">
      <c r="A956" s="13" t="s">
        <v>36</v>
      </c>
      <c r="B956" s="13" t="s">
        <v>37</v>
      </c>
      <c r="C956" s="13" t="s">
        <v>604</v>
      </c>
      <c r="D956" s="13"/>
      <c r="E956" s="13" t="str">
        <f t="shared" si="735"/>
        <v>LA7,203-29A-4,,0</v>
      </c>
      <c r="F956" s="13"/>
      <c r="G956" s="13" t="s">
        <v>111</v>
      </c>
      <c r="H956" s="13" t="s">
        <v>107</v>
      </c>
      <c r="I956" s="14">
        <v>44862.0</v>
      </c>
      <c r="J956" s="14"/>
      <c r="K956" s="15"/>
      <c r="L956" s="15"/>
      <c r="M956" s="16"/>
      <c r="N956" s="16"/>
      <c r="O956" s="17">
        <v>0.0</v>
      </c>
      <c r="P956" s="17">
        <v>0.0</v>
      </c>
      <c r="Q956" s="13">
        <f t="shared" si="918"/>
        <v>0</v>
      </c>
      <c r="R956" s="13"/>
      <c r="S956" s="13"/>
      <c r="T956" s="13">
        <f t="shared" ref="T956:Y956" si="994">IF(ISBLANK(K956)=TRUE,0,1)</f>
        <v>0</v>
      </c>
      <c r="U956" s="13">
        <f t="shared" si="994"/>
        <v>0</v>
      </c>
      <c r="V956" s="13">
        <f t="shared" si="994"/>
        <v>0</v>
      </c>
      <c r="W956" s="13">
        <f t="shared" si="994"/>
        <v>0</v>
      </c>
      <c r="X956" s="13">
        <f t="shared" si="994"/>
        <v>1</v>
      </c>
      <c r="Y956" s="13">
        <f t="shared" si="994"/>
        <v>1</v>
      </c>
      <c r="Z956" s="13">
        <f t="shared" si="529"/>
        <v>0</v>
      </c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</row>
    <row r="957" ht="14.25" customHeight="1">
      <c r="A957" s="13" t="s">
        <v>36</v>
      </c>
      <c r="B957" s="13" t="s">
        <v>37</v>
      </c>
      <c r="C957" s="13" t="s">
        <v>605</v>
      </c>
      <c r="D957" s="13"/>
      <c r="E957" s="13" t="str">
        <f t="shared" si="735"/>
        <v>LA7,203-29A-5,,0</v>
      </c>
      <c r="F957" s="13"/>
      <c r="G957" s="13" t="s">
        <v>111</v>
      </c>
      <c r="H957" s="13" t="s">
        <v>107</v>
      </c>
      <c r="I957" s="14">
        <v>44862.0</v>
      </c>
      <c r="J957" s="14"/>
      <c r="K957" s="15"/>
      <c r="L957" s="15"/>
      <c r="M957" s="16"/>
      <c r="N957" s="16"/>
      <c r="O957" s="17">
        <v>0.0</v>
      </c>
      <c r="P957" s="17">
        <v>0.0</v>
      </c>
      <c r="Q957" s="13">
        <f t="shared" si="918"/>
        <v>0</v>
      </c>
      <c r="R957" s="13"/>
      <c r="S957" s="13"/>
      <c r="T957" s="13">
        <f t="shared" ref="T957:Y957" si="995">IF(ISBLANK(K957)=TRUE,0,1)</f>
        <v>0</v>
      </c>
      <c r="U957" s="13">
        <f t="shared" si="995"/>
        <v>0</v>
      </c>
      <c r="V957" s="13">
        <f t="shared" si="995"/>
        <v>0</v>
      </c>
      <c r="W957" s="13">
        <f t="shared" si="995"/>
        <v>0</v>
      </c>
      <c r="X957" s="13">
        <f t="shared" si="995"/>
        <v>1</v>
      </c>
      <c r="Y957" s="13">
        <f t="shared" si="995"/>
        <v>1</v>
      </c>
      <c r="Z957" s="13">
        <f t="shared" si="529"/>
        <v>0</v>
      </c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</row>
    <row r="958" ht="14.25" customHeight="1">
      <c r="A958" s="13" t="s">
        <v>36</v>
      </c>
      <c r="B958" s="13" t="s">
        <v>37</v>
      </c>
      <c r="C958" s="13" t="s">
        <v>606</v>
      </c>
      <c r="D958" s="13"/>
      <c r="E958" s="13" t="str">
        <f t="shared" si="735"/>
        <v>LA7,203-6B-2,,NA</v>
      </c>
      <c r="F958" s="13"/>
      <c r="G958" s="13" t="s">
        <v>74</v>
      </c>
      <c r="H958" s="13" t="s">
        <v>107</v>
      </c>
      <c r="I958" s="14">
        <v>44862.0</v>
      </c>
      <c r="J958" s="14"/>
      <c r="K958" s="15"/>
      <c r="L958" s="15"/>
      <c r="M958" s="16"/>
      <c r="N958" s="16"/>
      <c r="O958" s="17"/>
      <c r="P958" s="17"/>
      <c r="Q958" s="13">
        <f t="shared" si="918"/>
        <v>0</v>
      </c>
      <c r="R958" s="13"/>
      <c r="S958" s="13"/>
      <c r="T958" s="13">
        <f t="shared" ref="T958:Y958" si="996">IF(ISBLANK(K958)=TRUE,0,1)</f>
        <v>0</v>
      </c>
      <c r="U958" s="13">
        <f t="shared" si="996"/>
        <v>0</v>
      </c>
      <c r="V958" s="13">
        <f t="shared" si="996"/>
        <v>0</v>
      </c>
      <c r="W958" s="13">
        <f t="shared" si="996"/>
        <v>0</v>
      </c>
      <c r="X958" s="13">
        <f t="shared" si="996"/>
        <v>0</v>
      </c>
      <c r="Y958" s="13">
        <f t="shared" si="996"/>
        <v>0</v>
      </c>
      <c r="Z958" s="13" t="str">
        <f t="shared" si="529"/>
        <v>NA</v>
      </c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</row>
    <row r="959" ht="14.25" customHeight="1">
      <c r="A959" s="13" t="s">
        <v>36</v>
      </c>
      <c r="B959" s="13" t="s">
        <v>37</v>
      </c>
      <c r="C959" s="13" t="s">
        <v>607</v>
      </c>
      <c r="D959" s="13"/>
      <c r="E959" s="13" t="str">
        <f t="shared" si="735"/>
        <v>LA7,203-7A,,NA</v>
      </c>
      <c r="F959" s="13"/>
      <c r="G959" s="13" t="s">
        <v>111</v>
      </c>
      <c r="H959" s="13" t="s">
        <v>75</v>
      </c>
      <c r="I959" s="13"/>
      <c r="J959" s="13"/>
      <c r="K959" s="15"/>
      <c r="L959" s="15"/>
      <c r="M959" s="16"/>
      <c r="N959" s="16"/>
      <c r="O959" s="17"/>
      <c r="P959" s="17"/>
      <c r="Q959" s="13"/>
      <c r="R959" s="13"/>
      <c r="S959" s="13"/>
      <c r="T959" s="13">
        <f t="shared" ref="T959:Y959" si="997">IF(ISBLANK(K959)=TRUE,0,1)</f>
        <v>0</v>
      </c>
      <c r="U959" s="13">
        <f t="shared" si="997"/>
        <v>0</v>
      </c>
      <c r="V959" s="13">
        <f t="shared" si="997"/>
        <v>0</v>
      </c>
      <c r="W959" s="13">
        <f t="shared" si="997"/>
        <v>0</v>
      </c>
      <c r="X959" s="13">
        <f t="shared" si="997"/>
        <v>0</v>
      </c>
      <c r="Y959" s="13">
        <f t="shared" si="997"/>
        <v>0</v>
      </c>
      <c r="Z959" s="13" t="str">
        <f t="shared" si="529"/>
        <v>NA</v>
      </c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</row>
    <row r="960" ht="14.25" customHeight="1">
      <c r="A960" s="13" t="s">
        <v>36</v>
      </c>
      <c r="B960" s="13" t="s">
        <v>37</v>
      </c>
      <c r="C960" s="13" t="s">
        <v>607</v>
      </c>
      <c r="D960" s="13" t="s">
        <v>433</v>
      </c>
      <c r="E960" s="13" t="str">
        <f t="shared" si="735"/>
        <v>LA7,203-7A,AY,0</v>
      </c>
      <c r="F960" s="13"/>
      <c r="G960" s="13" t="s">
        <v>111</v>
      </c>
      <c r="H960" s="13" t="s">
        <v>75</v>
      </c>
      <c r="I960" s="13"/>
      <c r="J960" s="13"/>
      <c r="K960" s="15">
        <v>0.0</v>
      </c>
      <c r="L960" s="15">
        <v>0.0</v>
      </c>
      <c r="M960" s="16"/>
      <c r="N960" s="16"/>
      <c r="O960" s="17"/>
      <c r="P960" s="17"/>
      <c r="Q960" s="13">
        <f t="shared" ref="Q960:Q965" si="999">K959+L959+M959+N959+O959+P959/6</f>
        <v>0</v>
      </c>
      <c r="R960" s="13"/>
      <c r="S960" s="13"/>
      <c r="T960" s="13">
        <f t="shared" ref="T960:Y960" si="998">IF(ISBLANK(K960)=TRUE,0,1)</f>
        <v>1</v>
      </c>
      <c r="U960" s="13">
        <f t="shared" si="998"/>
        <v>1</v>
      </c>
      <c r="V960" s="13">
        <f t="shared" si="998"/>
        <v>0</v>
      </c>
      <c r="W960" s="13">
        <f t="shared" si="998"/>
        <v>0</v>
      </c>
      <c r="X960" s="13">
        <f t="shared" si="998"/>
        <v>0</v>
      </c>
      <c r="Y960" s="13">
        <f t="shared" si="998"/>
        <v>0</v>
      </c>
      <c r="Z960" s="13">
        <f t="shared" si="529"/>
        <v>0</v>
      </c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</row>
    <row r="961" ht="14.25" customHeight="1">
      <c r="A961" s="13" t="s">
        <v>36</v>
      </c>
      <c r="B961" s="13" t="s">
        <v>37</v>
      </c>
      <c r="C961" s="13" t="s">
        <v>607</v>
      </c>
      <c r="D961" s="13" t="s">
        <v>434</v>
      </c>
      <c r="E961" s="13" t="str">
        <f t="shared" si="735"/>
        <v>LA7,203-7A,AZ,0</v>
      </c>
      <c r="F961" s="13"/>
      <c r="G961" s="13" t="s">
        <v>111</v>
      </c>
      <c r="H961" s="13" t="s">
        <v>75</v>
      </c>
      <c r="I961" s="13"/>
      <c r="J961" s="13"/>
      <c r="K961" s="15">
        <v>0.0</v>
      </c>
      <c r="L961" s="15">
        <v>0.0</v>
      </c>
      <c r="M961" s="16"/>
      <c r="N961" s="16"/>
      <c r="O961" s="17"/>
      <c r="P961" s="17"/>
      <c r="Q961" s="13">
        <f t="shared" si="999"/>
        <v>0</v>
      </c>
      <c r="R961" s="13"/>
      <c r="S961" s="13"/>
      <c r="T961" s="13">
        <f t="shared" ref="T961:Y961" si="1000">IF(ISBLANK(K961)=TRUE,0,1)</f>
        <v>1</v>
      </c>
      <c r="U961" s="13">
        <f t="shared" si="1000"/>
        <v>1</v>
      </c>
      <c r="V961" s="13">
        <f t="shared" si="1000"/>
        <v>0</v>
      </c>
      <c r="W961" s="13">
        <f t="shared" si="1000"/>
        <v>0</v>
      </c>
      <c r="X961" s="13">
        <f t="shared" si="1000"/>
        <v>0</v>
      </c>
      <c r="Y961" s="13">
        <f t="shared" si="1000"/>
        <v>0</v>
      </c>
      <c r="Z961" s="13">
        <f t="shared" si="529"/>
        <v>0</v>
      </c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</row>
    <row r="962" ht="14.25" customHeight="1">
      <c r="A962" s="13" t="s">
        <v>36</v>
      </c>
      <c r="B962" s="13" t="s">
        <v>37</v>
      </c>
      <c r="C962" s="13" t="s">
        <v>607</v>
      </c>
      <c r="D962" s="13" t="s">
        <v>435</v>
      </c>
      <c r="E962" s="13" t="str">
        <f t="shared" si="735"/>
        <v>LA7,203-7A,BA,0</v>
      </c>
      <c r="F962" s="13"/>
      <c r="G962" s="13" t="s">
        <v>111</v>
      </c>
      <c r="H962" s="13" t="s">
        <v>75</v>
      </c>
      <c r="I962" s="13"/>
      <c r="J962" s="13"/>
      <c r="K962" s="15">
        <v>0.0</v>
      </c>
      <c r="L962" s="15">
        <v>0.0</v>
      </c>
      <c r="M962" s="16"/>
      <c r="N962" s="16"/>
      <c r="O962" s="17"/>
      <c r="P962" s="17"/>
      <c r="Q962" s="13">
        <f t="shared" si="999"/>
        <v>0</v>
      </c>
      <c r="R962" s="13"/>
      <c r="S962" s="13"/>
      <c r="T962" s="13">
        <f t="shared" ref="T962:Y962" si="1001">IF(ISBLANK(K962)=TRUE,0,1)</f>
        <v>1</v>
      </c>
      <c r="U962" s="13">
        <f t="shared" si="1001"/>
        <v>1</v>
      </c>
      <c r="V962" s="13">
        <f t="shared" si="1001"/>
        <v>0</v>
      </c>
      <c r="W962" s="13">
        <f t="shared" si="1001"/>
        <v>0</v>
      </c>
      <c r="X962" s="13">
        <f t="shared" si="1001"/>
        <v>0</v>
      </c>
      <c r="Y962" s="13">
        <f t="shared" si="1001"/>
        <v>0</v>
      </c>
      <c r="Z962" s="13">
        <f t="shared" si="529"/>
        <v>0</v>
      </c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</row>
    <row r="963" ht="14.25" customHeight="1">
      <c r="A963" s="13" t="s">
        <v>36</v>
      </c>
      <c r="B963" s="13" t="s">
        <v>37</v>
      </c>
      <c r="C963" s="13" t="s">
        <v>607</v>
      </c>
      <c r="D963" s="13" t="s">
        <v>436</v>
      </c>
      <c r="E963" s="13" t="str">
        <f t="shared" si="735"/>
        <v>LA7,203-7A,BB,0</v>
      </c>
      <c r="F963" s="13"/>
      <c r="G963" s="13" t="s">
        <v>111</v>
      </c>
      <c r="H963" s="13" t="s">
        <v>75</v>
      </c>
      <c r="I963" s="13"/>
      <c r="J963" s="13"/>
      <c r="K963" s="15">
        <v>0.0</v>
      </c>
      <c r="L963" s="15">
        <v>0.0</v>
      </c>
      <c r="M963" s="16"/>
      <c r="N963" s="16"/>
      <c r="O963" s="17"/>
      <c r="P963" s="17"/>
      <c r="Q963" s="13">
        <f t="shared" si="999"/>
        <v>0</v>
      </c>
      <c r="R963" s="13"/>
      <c r="S963" s="13"/>
      <c r="T963" s="13">
        <f t="shared" ref="T963:Y963" si="1002">IF(ISBLANK(K963)=TRUE,0,1)</f>
        <v>1</v>
      </c>
      <c r="U963" s="13">
        <f t="shared" si="1002"/>
        <v>1</v>
      </c>
      <c r="V963" s="13">
        <f t="shared" si="1002"/>
        <v>0</v>
      </c>
      <c r="W963" s="13">
        <f t="shared" si="1002"/>
        <v>0</v>
      </c>
      <c r="X963" s="13">
        <f t="shared" si="1002"/>
        <v>0</v>
      </c>
      <c r="Y963" s="13">
        <f t="shared" si="1002"/>
        <v>0</v>
      </c>
      <c r="Z963" s="13">
        <f t="shared" si="529"/>
        <v>0</v>
      </c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</row>
    <row r="964" ht="14.25" customHeight="1">
      <c r="A964" s="13" t="s">
        <v>36</v>
      </c>
      <c r="B964" s="13" t="s">
        <v>37</v>
      </c>
      <c r="C964" s="13" t="s">
        <v>607</v>
      </c>
      <c r="D964" s="13" t="s">
        <v>437</v>
      </c>
      <c r="E964" s="13" t="str">
        <f t="shared" si="735"/>
        <v>LA7,203-7A,BC,0</v>
      </c>
      <c r="F964" s="13"/>
      <c r="G964" s="13" t="s">
        <v>111</v>
      </c>
      <c r="H964" s="13" t="s">
        <v>75</v>
      </c>
      <c r="I964" s="13"/>
      <c r="J964" s="13"/>
      <c r="K964" s="15">
        <v>0.0</v>
      </c>
      <c r="L964" s="15">
        <v>0.0</v>
      </c>
      <c r="M964" s="16"/>
      <c r="N964" s="16"/>
      <c r="O964" s="17"/>
      <c r="P964" s="17"/>
      <c r="Q964" s="13">
        <f t="shared" si="999"/>
        <v>0</v>
      </c>
      <c r="R964" s="13"/>
      <c r="S964" s="13"/>
      <c r="T964" s="13">
        <f t="shared" ref="T964:Y964" si="1003">IF(ISBLANK(K964)=TRUE,0,1)</f>
        <v>1</v>
      </c>
      <c r="U964" s="13">
        <f t="shared" si="1003"/>
        <v>1</v>
      </c>
      <c r="V964" s="13">
        <f t="shared" si="1003"/>
        <v>0</v>
      </c>
      <c r="W964" s="13">
        <f t="shared" si="1003"/>
        <v>0</v>
      </c>
      <c r="X964" s="13">
        <f t="shared" si="1003"/>
        <v>0</v>
      </c>
      <c r="Y964" s="13">
        <f t="shared" si="1003"/>
        <v>0</v>
      </c>
      <c r="Z964" s="13">
        <f t="shared" si="529"/>
        <v>0</v>
      </c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</row>
    <row r="965" ht="14.25" customHeight="1">
      <c r="A965" s="13" t="s">
        <v>36</v>
      </c>
      <c r="B965" s="13" t="s">
        <v>37</v>
      </c>
      <c r="C965" s="13" t="s">
        <v>607</v>
      </c>
      <c r="D965" s="13" t="s">
        <v>440</v>
      </c>
      <c r="E965" s="13" t="str">
        <f t="shared" si="735"/>
        <v>LA7,203-7A,BD,0</v>
      </c>
      <c r="F965" s="13"/>
      <c r="G965" s="13" t="s">
        <v>111</v>
      </c>
      <c r="H965" s="13" t="s">
        <v>75</v>
      </c>
      <c r="I965" s="13"/>
      <c r="J965" s="13"/>
      <c r="K965" s="15">
        <v>0.0</v>
      </c>
      <c r="L965" s="15">
        <v>0.0</v>
      </c>
      <c r="M965" s="16"/>
      <c r="N965" s="16"/>
      <c r="O965" s="17"/>
      <c r="P965" s="17"/>
      <c r="Q965" s="13">
        <f t="shared" si="999"/>
        <v>0</v>
      </c>
      <c r="R965" s="13"/>
      <c r="S965" s="13"/>
      <c r="T965" s="13">
        <f t="shared" ref="T965:Y965" si="1004">IF(ISBLANK(K965)=TRUE,0,1)</f>
        <v>1</v>
      </c>
      <c r="U965" s="13">
        <f t="shared" si="1004"/>
        <v>1</v>
      </c>
      <c r="V965" s="13">
        <f t="shared" si="1004"/>
        <v>0</v>
      </c>
      <c r="W965" s="13">
        <f t="shared" si="1004"/>
        <v>0</v>
      </c>
      <c r="X965" s="13">
        <f t="shared" si="1004"/>
        <v>0</v>
      </c>
      <c r="Y965" s="13">
        <f t="shared" si="1004"/>
        <v>0</v>
      </c>
      <c r="Z965" s="13">
        <f t="shared" si="529"/>
        <v>0</v>
      </c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</row>
    <row r="966" ht="14.25" customHeight="1">
      <c r="A966" s="13" t="s">
        <v>36</v>
      </c>
      <c r="B966" s="13" t="s">
        <v>37</v>
      </c>
      <c r="C966" s="13" t="s">
        <v>608</v>
      </c>
      <c r="D966" s="13"/>
      <c r="E966" s="13" t="str">
        <f t="shared" si="735"/>
        <v>LA7,203-7B,,NA</v>
      </c>
      <c r="F966" s="13"/>
      <c r="G966" s="13" t="s">
        <v>111</v>
      </c>
      <c r="H966" s="13" t="s">
        <v>75</v>
      </c>
      <c r="I966" s="13"/>
      <c r="J966" s="13"/>
      <c r="K966" s="15"/>
      <c r="L966" s="15"/>
      <c r="M966" s="16"/>
      <c r="N966" s="16"/>
      <c r="O966" s="17"/>
      <c r="P966" s="17"/>
      <c r="Q966" s="13"/>
      <c r="R966" s="13"/>
      <c r="S966" s="13"/>
      <c r="T966" s="13">
        <f t="shared" ref="T966:Y966" si="1005">IF(ISBLANK(K966)=TRUE,0,1)</f>
        <v>0</v>
      </c>
      <c r="U966" s="13">
        <f t="shared" si="1005"/>
        <v>0</v>
      </c>
      <c r="V966" s="13">
        <f t="shared" si="1005"/>
        <v>0</v>
      </c>
      <c r="W966" s="13">
        <f t="shared" si="1005"/>
        <v>0</v>
      </c>
      <c r="X966" s="13">
        <f t="shared" si="1005"/>
        <v>0</v>
      </c>
      <c r="Y966" s="13">
        <f t="shared" si="1005"/>
        <v>0</v>
      </c>
      <c r="Z966" s="13" t="str">
        <f t="shared" si="529"/>
        <v>NA</v>
      </c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</row>
    <row r="967" ht="14.25" customHeight="1">
      <c r="A967" s="13" t="s">
        <v>36</v>
      </c>
      <c r="B967" s="13" t="s">
        <v>37</v>
      </c>
      <c r="C967" s="13" t="s">
        <v>609</v>
      </c>
      <c r="D967" s="13"/>
      <c r="E967" s="13" t="str">
        <f t="shared" si="735"/>
        <v>LA7,203-7C,,NA</v>
      </c>
      <c r="F967" s="13"/>
      <c r="G967" s="13" t="s">
        <v>111</v>
      </c>
      <c r="H967" s="13" t="s">
        <v>75</v>
      </c>
      <c r="I967" s="13"/>
      <c r="J967" s="13"/>
      <c r="K967" s="15"/>
      <c r="L967" s="15"/>
      <c r="M967" s="16"/>
      <c r="N967" s="16"/>
      <c r="O967" s="17"/>
      <c r="P967" s="17"/>
      <c r="Q967" s="13"/>
      <c r="R967" s="13"/>
      <c r="S967" s="13"/>
      <c r="T967" s="13">
        <f t="shared" ref="T967:Y967" si="1006">IF(ISBLANK(K967)=TRUE,0,1)</f>
        <v>0</v>
      </c>
      <c r="U967" s="13">
        <f t="shared" si="1006"/>
        <v>0</v>
      </c>
      <c r="V967" s="13">
        <f t="shared" si="1006"/>
        <v>0</v>
      </c>
      <c r="W967" s="13">
        <f t="shared" si="1006"/>
        <v>0</v>
      </c>
      <c r="X967" s="13">
        <f t="shared" si="1006"/>
        <v>0</v>
      </c>
      <c r="Y967" s="13">
        <f t="shared" si="1006"/>
        <v>0</v>
      </c>
      <c r="Z967" s="13" t="str">
        <f t="shared" si="529"/>
        <v>NA</v>
      </c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</row>
    <row r="968" ht="14.25" customHeight="1">
      <c r="A968" s="13" t="s">
        <v>36</v>
      </c>
      <c r="B968" s="13" t="s">
        <v>37</v>
      </c>
      <c r="C968" s="13" t="s">
        <v>610</v>
      </c>
      <c r="D968" s="13"/>
      <c r="E968" s="13" t="str">
        <f t="shared" si="735"/>
        <v>LA7,203-7D,,NA</v>
      </c>
      <c r="F968" s="13"/>
      <c r="G968" s="13" t="s">
        <v>111</v>
      </c>
      <c r="H968" s="13" t="s">
        <v>75</v>
      </c>
      <c r="I968" s="13"/>
      <c r="J968" s="13"/>
      <c r="K968" s="15"/>
      <c r="L968" s="15"/>
      <c r="M968" s="16"/>
      <c r="N968" s="16"/>
      <c r="O968" s="17"/>
      <c r="P968" s="17"/>
      <c r="Q968" s="13"/>
      <c r="R968" s="13"/>
      <c r="S968" s="13"/>
      <c r="T968" s="13">
        <f t="shared" ref="T968:Y968" si="1007">IF(ISBLANK(K968)=TRUE,0,1)</f>
        <v>0</v>
      </c>
      <c r="U968" s="13">
        <f t="shared" si="1007"/>
        <v>0</v>
      </c>
      <c r="V968" s="13">
        <f t="shared" si="1007"/>
        <v>0</v>
      </c>
      <c r="W968" s="13">
        <f t="shared" si="1007"/>
        <v>0</v>
      </c>
      <c r="X968" s="13">
        <f t="shared" si="1007"/>
        <v>0</v>
      </c>
      <c r="Y968" s="13">
        <f t="shared" si="1007"/>
        <v>0</v>
      </c>
      <c r="Z968" s="13" t="str">
        <f t="shared" si="529"/>
        <v>NA</v>
      </c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</row>
    <row r="969" ht="14.25" customHeight="1">
      <c r="A969" s="13" t="s">
        <v>36</v>
      </c>
      <c r="B969" s="13" t="s">
        <v>37</v>
      </c>
      <c r="C969" s="13" t="s">
        <v>611</v>
      </c>
      <c r="D969" s="13" t="s">
        <v>433</v>
      </c>
      <c r="E969" s="13" t="str">
        <f t="shared" si="735"/>
        <v>LA7,203-9A,AY,0</v>
      </c>
      <c r="F969" s="13"/>
      <c r="G969" s="13" t="s">
        <v>111</v>
      </c>
      <c r="H969" s="13" t="s">
        <v>75</v>
      </c>
      <c r="I969" s="13"/>
      <c r="J969" s="13"/>
      <c r="K969" s="15">
        <v>0.0</v>
      </c>
      <c r="L969" s="15">
        <v>0.0</v>
      </c>
      <c r="M969" s="16"/>
      <c r="N969" s="16"/>
      <c r="O969" s="17"/>
      <c r="P969" s="17"/>
      <c r="Q969" s="13"/>
      <c r="R969" s="13"/>
      <c r="S969" s="13"/>
      <c r="T969" s="13">
        <f t="shared" ref="T969:Y969" si="1008">IF(ISBLANK(K969)=TRUE,0,1)</f>
        <v>1</v>
      </c>
      <c r="U969" s="13">
        <f t="shared" si="1008"/>
        <v>1</v>
      </c>
      <c r="V969" s="13">
        <f t="shared" si="1008"/>
        <v>0</v>
      </c>
      <c r="W969" s="13">
        <f t="shared" si="1008"/>
        <v>0</v>
      </c>
      <c r="X969" s="13">
        <f t="shared" si="1008"/>
        <v>0</v>
      </c>
      <c r="Y969" s="13">
        <f t="shared" si="1008"/>
        <v>0</v>
      </c>
      <c r="Z969" s="13">
        <f t="shared" si="529"/>
        <v>0</v>
      </c>
      <c r="AA969" s="13" t="s">
        <v>483</v>
      </c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</row>
    <row r="970" ht="14.25" customHeight="1">
      <c r="A970" s="13" t="s">
        <v>36</v>
      </c>
      <c r="B970" s="13" t="s">
        <v>37</v>
      </c>
      <c r="C970" s="13" t="s">
        <v>611</v>
      </c>
      <c r="D970" s="13" t="s">
        <v>434</v>
      </c>
      <c r="E970" s="13" t="str">
        <f t="shared" si="735"/>
        <v>LA7,203-9A,AZ,0</v>
      </c>
      <c r="F970" s="13"/>
      <c r="G970" s="13" t="s">
        <v>111</v>
      </c>
      <c r="H970" s="13" t="s">
        <v>75</v>
      </c>
      <c r="I970" s="13"/>
      <c r="J970" s="13"/>
      <c r="K970" s="15">
        <v>0.0</v>
      </c>
      <c r="L970" s="15">
        <v>0.0</v>
      </c>
      <c r="M970" s="16"/>
      <c r="N970" s="16"/>
      <c r="O970" s="17"/>
      <c r="P970" s="17"/>
      <c r="Q970" s="13"/>
      <c r="R970" s="13"/>
      <c r="S970" s="13"/>
      <c r="T970" s="13">
        <f t="shared" ref="T970:Y970" si="1009">IF(ISBLANK(K970)=TRUE,0,1)</f>
        <v>1</v>
      </c>
      <c r="U970" s="13">
        <f t="shared" si="1009"/>
        <v>1</v>
      </c>
      <c r="V970" s="13">
        <f t="shared" si="1009"/>
        <v>0</v>
      </c>
      <c r="W970" s="13">
        <f t="shared" si="1009"/>
        <v>0</v>
      </c>
      <c r="X970" s="13">
        <f t="shared" si="1009"/>
        <v>0</v>
      </c>
      <c r="Y970" s="13">
        <f t="shared" si="1009"/>
        <v>0</v>
      </c>
      <c r="Z970" s="13">
        <f t="shared" si="529"/>
        <v>0</v>
      </c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</row>
    <row r="971" ht="14.25" customHeight="1">
      <c r="A971" s="13" t="s">
        <v>36</v>
      </c>
      <c r="B971" s="13" t="s">
        <v>37</v>
      </c>
      <c r="C971" s="13" t="s">
        <v>611</v>
      </c>
      <c r="D971" s="13" t="s">
        <v>435</v>
      </c>
      <c r="E971" s="13" t="str">
        <f t="shared" si="735"/>
        <v>LA7,203-9A,BA,0</v>
      </c>
      <c r="F971" s="13"/>
      <c r="G971" s="13" t="s">
        <v>111</v>
      </c>
      <c r="H971" s="13" t="s">
        <v>75</v>
      </c>
      <c r="I971" s="13"/>
      <c r="J971" s="13"/>
      <c r="K971" s="15">
        <v>0.0</v>
      </c>
      <c r="L971" s="15">
        <v>0.0</v>
      </c>
      <c r="M971" s="16"/>
      <c r="N971" s="16"/>
      <c r="O971" s="17"/>
      <c r="P971" s="17"/>
      <c r="Q971" s="13"/>
      <c r="R971" s="13"/>
      <c r="S971" s="13"/>
      <c r="T971" s="13">
        <f t="shared" ref="T971:Y971" si="1010">IF(ISBLANK(K971)=TRUE,0,1)</f>
        <v>1</v>
      </c>
      <c r="U971" s="13">
        <f t="shared" si="1010"/>
        <v>1</v>
      </c>
      <c r="V971" s="13">
        <f t="shared" si="1010"/>
        <v>0</v>
      </c>
      <c r="W971" s="13">
        <f t="shared" si="1010"/>
        <v>0</v>
      </c>
      <c r="X971" s="13">
        <f t="shared" si="1010"/>
        <v>0</v>
      </c>
      <c r="Y971" s="13">
        <f t="shared" si="1010"/>
        <v>0</v>
      </c>
      <c r="Z971" s="13">
        <f t="shared" si="529"/>
        <v>0</v>
      </c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</row>
    <row r="972" ht="14.25" customHeight="1">
      <c r="A972" s="13" t="s">
        <v>36</v>
      </c>
      <c r="B972" s="13" t="s">
        <v>37</v>
      </c>
      <c r="C972" s="13" t="s">
        <v>611</v>
      </c>
      <c r="D972" s="13" t="s">
        <v>436</v>
      </c>
      <c r="E972" s="13" t="str">
        <f t="shared" si="735"/>
        <v>LA7,203-9A,BB,0</v>
      </c>
      <c r="F972" s="13"/>
      <c r="G972" s="13" t="s">
        <v>111</v>
      </c>
      <c r="H972" s="13" t="s">
        <v>75</v>
      </c>
      <c r="I972" s="13"/>
      <c r="J972" s="13"/>
      <c r="K972" s="15">
        <v>0.0</v>
      </c>
      <c r="L972" s="15">
        <v>0.0</v>
      </c>
      <c r="M972" s="16"/>
      <c r="N972" s="16"/>
      <c r="O972" s="17"/>
      <c r="P972" s="17"/>
      <c r="Q972" s="13"/>
      <c r="R972" s="13"/>
      <c r="S972" s="13"/>
      <c r="T972" s="13">
        <f t="shared" ref="T972:Y972" si="1011">IF(ISBLANK(K972)=TRUE,0,1)</f>
        <v>1</v>
      </c>
      <c r="U972" s="13">
        <f t="shared" si="1011"/>
        <v>1</v>
      </c>
      <c r="V972" s="13">
        <f t="shared" si="1011"/>
        <v>0</v>
      </c>
      <c r="W972" s="13">
        <f t="shared" si="1011"/>
        <v>0</v>
      </c>
      <c r="X972" s="13">
        <f t="shared" si="1011"/>
        <v>0</v>
      </c>
      <c r="Y972" s="13">
        <f t="shared" si="1011"/>
        <v>0</v>
      </c>
      <c r="Z972" s="13">
        <f t="shared" si="529"/>
        <v>0</v>
      </c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</row>
    <row r="973" ht="14.25" customHeight="1">
      <c r="A973" s="13" t="s">
        <v>36</v>
      </c>
      <c r="B973" s="13" t="s">
        <v>37</v>
      </c>
      <c r="C973" s="13" t="s">
        <v>611</v>
      </c>
      <c r="D973" s="13" t="s">
        <v>437</v>
      </c>
      <c r="E973" s="13" t="str">
        <f t="shared" si="735"/>
        <v>LA7,203-9A,BC,0</v>
      </c>
      <c r="F973" s="13"/>
      <c r="G973" s="13" t="s">
        <v>111</v>
      </c>
      <c r="H973" s="13" t="s">
        <v>75</v>
      </c>
      <c r="I973" s="13"/>
      <c r="J973" s="13"/>
      <c r="K973" s="15">
        <v>0.0</v>
      </c>
      <c r="L973" s="15">
        <v>0.0</v>
      </c>
      <c r="M973" s="16"/>
      <c r="N973" s="16"/>
      <c r="O973" s="17"/>
      <c r="P973" s="17"/>
      <c r="Q973" s="13"/>
      <c r="R973" s="13"/>
      <c r="S973" s="13"/>
      <c r="T973" s="13">
        <f t="shared" ref="T973:Y973" si="1012">IF(ISBLANK(K973)=TRUE,0,1)</f>
        <v>1</v>
      </c>
      <c r="U973" s="13">
        <f t="shared" si="1012"/>
        <v>1</v>
      </c>
      <c r="V973" s="13">
        <f t="shared" si="1012"/>
        <v>0</v>
      </c>
      <c r="W973" s="13">
        <f t="shared" si="1012"/>
        <v>0</v>
      </c>
      <c r="X973" s="13">
        <f t="shared" si="1012"/>
        <v>0</v>
      </c>
      <c r="Y973" s="13">
        <f t="shared" si="1012"/>
        <v>0</v>
      </c>
      <c r="Z973" s="13">
        <f t="shared" si="529"/>
        <v>0</v>
      </c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</row>
    <row r="974" ht="14.25" customHeight="1">
      <c r="A974" s="13" t="s">
        <v>36</v>
      </c>
      <c r="B974" s="13" t="s">
        <v>37</v>
      </c>
      <c r="C974" s="13" t="s">
        <v>611</v>
      </c>
      <c r="D974" s="13" t="s">
        <v>440</v>
      </c>
      <c r="E974" s="13" t="str">
        <f t="shared" si="735"/>
        <v>LA7,203-9A,BD,0</v>
      </c>
      <c r="F974" s="13"/>
      <c r="G974" s="13" t="s">
        <v>111</v>
      </c>
      <c r="H974" s="13" t="s">
        <v>75</v>
      </c>
      <c r="I974" s="13"/>
      <c r="J974" s="13"/>
      <c r="K974" s="15">
        <v>0.0</v>
      </c>
      <c r="L974" s="15">
        <v>0.0</v>
      </c>
      <c r="M974" s="16"/>
      <c r="N974" s="16"/>
      <c r="O974" s="17"/>
      <c r="P974" s="17"/>
      <c r="Q974" s="13"/>
      <c r="R974" s="13"/>
      <c r="S974" s="13"/>
      <c r="T974" s="13">
        <f t="shared" ref="T974:Y974" si="1013">IF(ISBLANK(K974)=TRUE,0,1)</f>
        <v>1</v>
      </c>
      <c r="U974" s="13">
        <f t="shared" si="1013"/>
        <v>1</v>
      </c>
      <c r="V974" s="13">
        <f t="shared" si="1013"/>
        <v>0</v>
      </c>
      <c r="W974" s="13">
        <f t="shared" si="1013"/>
        <v>0</v>
      </c>
      <c r="X974" s="13">
        <f t="shared" si="1013"/>
        <v>0</v>
      </c>
      <c r="Y974" s="13">
        <f t="shared" si="1013"/>
        <v>0</v>
      </c>
      <c r="Z974" s="13">
        <f t="shared" si="529"/>
        <v>0</v>
      </c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</row>
    <row r="975" ht="14.25" customHeight="1">
      <c r="A975" s="13" t="s">
        <v>36</v>
      </c>
      <c r="B975" s="13" t="s">
        <v>37</v>
      </c>
      <c r="C975" s="13" t="s">
        <v>611</v>
      </c>
      <c r="D975" s="13" t="s">
        <v>441</v>
      </c>
      <c r="E975" s="13" t="str">
        <f t="shared" si="735"/>
        <v>LA7,203-9A,BE,0</v>
      </c>
      <c r="F975" s="13"/>
      <c r="G975" s="13" t="s">
        <v>111</v>
      </c>
      <c r="H975" s="13" t="s">
        <v>75</v>
      </c>
      <c r="I975" s="13"/>
      <c r="J975" s="13"/>
      <c r="K975" s="15">
        <v>0.0</v>
      </c>
      <c r="L975" s="15">
        <v>0.0</v>
      </c>
      <c r="M975" s="16"/>
      <c r="N975" s="16"/>
      <c r="O975" s="17"/>
      <c r="P975" s="17"/>
      <c r="Q975" s="13"/>
      <c r="R975" s="13"/>
      <c r="S975" s="13"/>
      <c r="T975" s="13">
        <f t="shared" ref="T975:Y975" si="1014">IF(ISBLANK(K975)=TRUE,0,1)</f>
        <v>1</v>
      </c>
      <c r="U975" s="13">
        <f t="shared" si="1014"/>
        <v>1</v>
      </c>
      <c r="V975" s="13">
        <f t="shared" si="1014"/>
        <v>0</v>
      </c>
      <c r="W975" s="13">
        <f t="shared" si="1014"/>
        <v>0</v>
      </c>
      <c r="X975" s="13">
        <f t="shared" si="1014"/>
        <v>0</v>
      </c>
      <c r="Y975" s="13">
        <f t="shared" si="1014"/>
        <v>0</v>
      </c>
      <c r="Z975" s="13">
        <f t="shared" si="529"/>
        <v>0</v>
      </c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</row>
    <row r="976" ht="14.25" customHeight="1">
      <c r="A976" s="13" t="s">
        <v>36</v>
      </c>
      <c r="B976" s="13" t="s">
        <v>37</v>
      </c>
      <c r="C976" s="13" t="s">
        <v>611</v>
      </c>
      <c r="D976" s="13" t="s">
        <v>551</v>
      </c>
      <c r="E976" s="13" t="str">
        <f t="shared" si="735"/>
        <v>LA7,203-9A,BF,0</v>
      </c>
      <c r="F976" s="13"/>
      <c r="G976" s="13" t="s">
        <v>111</v>
      </c>
      <c r="H976" s="13" t="s">
        <v>75</v>
      </c>
      <c r="I976" s="13"/>
      <c r="J976" s="13"/>
      <c r="K976" s="15">
        <v>0.0</v>
      </c>
      <c r="L976" s="15">
        <v>0.0</v>
      </c>
      <c r="M976" s="16"/>
      <c r="N976" s="16"/>
      <c r="O976" s="17"/>
      <c r="P976" s="17"/>
      <c r="Q976" s="13"/>
      <c r="R976" s="13"/>
      <c r="S976" s="13"/>
      <c r="T976" s="13">
        <f t="shared" ref="T976:Y976" si="1015">IF(ISBLANK(K976)=TRUE,0,1)</f>
        <v>1</v>
      </c>
      <c r="U976" s="13">
        <f t="shared" si="1015"/>
        <v>1</v>
      </c>
      <c r="V976" s="13">
        <f t="shared" si="1015"/>
        <v>0</v>
      </c>
      <c r="W976" s="13">
        <f t="shared" si="1015"/>
        <v>0</v>
      </c>
      <c r="X976" s="13">
        <f t="shared" si="1015"/>
        <v>0</v>
      </c>
      <c r="Y976" s="13">
        <f t="shared" si="1015"/>
        <v>0</v>
      </c>
      <c r="Z976" s="13">
        <f t="shared" si="529"/>
        <v>0</v>
      </c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</row>
    <row r="977" ht="14.25" customHeight="1">
      <c r="A977" s="13" t="s">
        <v>36</v>
      </c>
      <c r="B977" s="13" t="s">
        <v>37</v>
      </c>
      <c r="C977" s="13" t="s">
        <v>611</v>
      </c>
      <c r="D977" s="13" t="s">
        <v>553</v>
      </c>
      <c r="E977" s="13" t="str">
        <f t="shared" si="735"/>
        <v>LA7,203-9A,BG,0</v>
      </c>
      <c r="F977" s="13"/>
      <c r="G977" s="13" t="s">
        <v>111</v>
      </c>
      <c r="H977" s="13" t="s">
        <v>75</v>
      </c>
      <c r="I977" s="13"/>
      <c r="J977" s="13"/>
      <c r="K977" s="15">
        <v>0.0</v>
      </c>
      <c r="L977" s="15">
        <v>0.0</v>
      </c>
      <c r="M977" s="16"/>
      <c r="N977" s="16"/>
      <c r="O977" s="17"/>
      <c r="P977" s="17"/>
      <c r="Q977" s="13"/>
      <c r="R977" s="13"/>
      <c r="S977" s="13"/>
      <c r="T977" s="13">
        <f t="shared" ref="T977:Y977" si="1016">IF(ISBLANK(K977)=TRUE,0,1)</f>
        <v>1</v>
      </c>
      <c r="U977" s="13">
        <f t="shared" si="1016"/>
        <v>1</v>
      </c>
      <c r="V977" s="13">
        <f t="shared" si="1016"/>
        <v>0</v>
      </c>
      <c r="W977" s="13">
        <f t="shared" si="1016"/>
        <v>0</v>
      </c>
      <c r="X977" s="13">
        <f t="shared" si="1016"/>
        <v>0</v>
      </c>
      <c r="Y977" s="13">
        <f t="shared" si="1016"/>
        <v>0</v>
      </c>
      <c r="Z977" s="13">
        <f t="shared" si="529"/>
        <v>0</v>
      </c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</row>
    <row r="978" ht="14.25" customHeight="1">
      <c r="A978" s="13" t="s">
        <v>36</v>
      </c>
      <c r="B978" s="13" t="s">
        <v>37</v>
      </c>
      <c r="C978" s="13" t="s">
        <v>611</v>
      </c>
      <c r="D978" s="13" t="s">
        <v>554</v>
      </c>
      <c r="E978" s="13" t="str">
        <f t="shared" si="735"/>
        <v>LA7,203-9A,BH,0</v>
      </c>
      <c r="F978" s="13"/>
      <c r="G978" s="13" t="s">
        <v>111</v>
      </c>
      <c r="H978" s="13" t="s">
        <v>75</v>
      </c>
      <c r="I978" s="13"/>
      <c r="J978" s="13"/>
      <c r="K978" s="15">
        <v>0.0</v>
      </c>
      <c r="L978" s="15">
        <v>0.0</v>
      </c>
      <c r="M978" s="16"/>
      <c r="N978" s="16"/>
      <c r="O978" s="17"/>
      <c r="P978" s="17"/>
      <c r="Q978" s="13"/>
      <c r="R978" s="13"/>
      <c r="S978" s="13"/>
      <c r="T978" s="13">
        <f t="shared" ref="T978:Y978" si="1017">IF(ISBLANK(K978)=TRUE,0,1)</f>
        <v>1</v>
      </c>
      <c r="U978" s="13">
        <f t="shared" si="1017"/>
        <v>1</v>
      </c>
      <c r="V978" s="13">
        <f t="shared" si="1017"/>
        <v>0</v>
      </c>
      <c r="W978" s="13">
        <f t="shared" si="1017"/>
        <v>0</v>
      </c>
      <c r="X978" s="13">
        <f t="shared" si="1017"/>
        <v>0</v>
      </c>
      <c r="Y978" s="13">
        <f t="shared" si="1017"/>
        <v>0</v>
      </c>
      <c r="Z978" s="13">
        <f t="shared" si="529"/>
        <v>0</v>
      </c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</row>
    <row r="979" ht="14.25" customHeight="1">
      <c r="A979" s="13" t="s">
        <v>36</v>
      </c>
      <c r="B979" s="13" t="s">
        <v>37</v>
      </c>
      <c r="C979" s="33">
        <v>43466.0</v>
      </c>
      <c r="D979" s="13"/>
      <c r="E979" s="13" t="str">
        <f t="shared" si="735"/>
        <v>LA7,43466,,0</v>
      </c>
      <c r="F979" s="13"/>
      <c r="G979" s="13" t="s">
        <v>111</v>
      </c>
      <c r="H979" s="13" t="s">
        <v>75</v>
      </c>
      <c r="I979" s="14">
        <v>44894.0</v>
      </c>
      <c r="J979" s="14"/>
      <c r="K979" s="15">
        <v>0.0</v>
      </c>
      <c r="L979" s="15">
        <v>0.0</v>
      </c>
      <c r="M979" s="16"/>
      <c r="N979" s="16"/>
      <c r="O979" s="17"/>
      <c r="P979" s="17"/>
      <c r="Q979" s="13">
        <f t="shared" ref="Q979:Q981" si="1019">K978+L978+M978+N978+O978+P978/6</f>
        <v>0</v>
      </c>
      <c r="R979" s="13"/>
      <c r="S979" s="13"/>
      <c r="T979" s="13">
        <f t="shared" ref="T979:Y979" si="1018">IF(ISBLANK(K979)=TRUE,0,1)</f>
        <v>1</v>
      </c>
      <c r="U979" s="13">
        <f t="shared" si="1018"/>
        <v>1</v>
      </c>
      <c r="V979" s="13">
        <f t="shared" si="1018"/>
        <v>0</v>
      </c>
      <c r="W979" s="13">
        <f t="shared" si="1018"/>
        <v>0</v>
      </c>
      <c r="X979" s="13">
        <f t="shared" si="1018"/>
        <v>0</v>
      </c>
      <c r="Y979" s="13">
        <f t="shared" si="1018"/>
        <v>0</v>
      </c>
      <c r="Z979" s="13">
        <f t="shared" si="529"/>
        <v>0</v>
      </c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</row>
    <row r="980" ht="14.25" customHeight="1">
      <c r="A980" s="13" t="s">
        <v>36</v>
      </c>
      <c r="B980" s="13" t="s">
        <v>37</v>
      </c>
      <c r="C980" s="33">
        <v>43497.0</v>
      </c>
      <c r="D980" s="13"/>
      <c r="E980" s="13" t="str">
        <f t="shared" si="735"/>
        <v>LA7,43497,,0</v>
      </c>
      <c r="F980" s="13"/>
      <c r="G980" s="13" t="s">
        <v>111</v>
      </c>
      <c r="H980" s="13" t="s">
        <v>75</v>
      </c>
      <c r="I980" s="13"/>
      <c r="J980" s="13"/>
      <c r="K980" s="15">
        <v>0.0</v>
      </c>
      <c r="L980" s="15">
        <v>0.0</v>
      </c>
      <c r="M980" s="16"/>
      <c r="N980" s="16"/>
      <c r="O980" s="17"/>
      <c r="P980" s="17"/>
      <c r="Q980" s="13">
        <f t="shared" si="1019"/>
        <v>0</v>
      </c>
      <c r="R980" s="13"/>
      <c r="S980" s="13"/>
      <c r="T980" s="13">
        <f t="shared" ref="T980:Y980" si="1020">IF(ISBLANK(K980)=TRUE,0,1)</f>
        <v>1</v>
      </c>
      <c r="U980" s="13">
        <f t="shared" si="1020"/>
        <v>1</v>
      </c>
      <c r="V980" s="13">
        <f t="shared" si="1020"/>
        <v>0</v>
      </c>
      <c r="W980" s="13">
        <f t="shared" si="1020"/>
        <v>0</v>
      </c>
      <c r="X980" s="13">
        <f t="shared" si="1020"/>
        <v>0</v>
      </c>
      <c r="Y980" s="13">
        <f t="shared" si="1020"/>
        <v>0</v>
      </c>
      <c r="Z980" s="13">
        <f t="shared" si="529"/>
        <v>0</v>
      </c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</row>
    <row r="981" ht="14.25" customHeight="1">
      <c r="A981" s="13" t="s">
        <v>36</v>
      </c>
      <c r="B981" s="13" t="s">
        <v>37</v>
      </c>
      <c r="C981" s="33">
        <v>43525.0</v>
      </c>
      <c r="D981" s="13"/>
      <c r="E981" s="13" t="str">
        <f t="shared" si="735"/>
        <v>LA7,43525,,NA</v>
      </c>
      <c r="F981" s="13"/>
      <c r="G981" s="13" t="s">
        <v>111</v>
      </c>
      <c r="H981" s="13" t="s">
        <v>75</v>
      </c>
      <c r="I981" s="13"/>
      <c r="J981" s="13"/>
      <c r="K981" s="15"/>
      <c r="L981" s="15"/>
      <c r="M981" s="16"/>
      <c r="N981" s="16"/>
      <c r="O981" s="17"/>
      <c r="P981" s="17"/>
      <c r="Q981" s="13">
        <f t="shared" si="1019"/>
        <v>0</v>
      </c>
      <c r="R981" s="13"/>
      <c r="S981" s="13"/>
      <c r="T981" s="13">
        <f t="shared" ref="T981:Y981" si="1021">IF(ISBLANK(K981)=TRUE,0,1)</f>
        <v>0</v>
      </c>
      <c r="U981" s="13">
        <f t="shared" si="1021"/>
        <v>0</v>
      </c>
      <c r="V981" s="13">
        <f t="shared" si="1021"/>
        <v>0</v>
      </c>
      <c r="W981" s="13">
        <f t="shared" si="1021"/>
        <v>0</v>
      </c>
      <c r="X981" s="13">
        <f t="shared" si="1021"/>
        <v>0</v>
      </c>
      <c r="Y981" s="13">
        <f t="shared" si="1021"/>
        <v>0</v>
      </c>
      <c r="Z981" s="13" t="str">
        <f t="shared" si="529"/>
        <v>NA</v>
      </c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</row>
    <row r="982" ht="14.25" customHeight="1">
      <c r="A982" s="13" t="s">
        <v>36</v>
      </c>
      <c r="B982" s="13" t="s">
        <v>37</v>
      </c>
      <c r="C982" s="33">
        <v>43556.0</v>
      </c>
      <c r="D982" s="13"/>
      <c r="E982" s="13" t="str">
        <f t="shared" si="735"/>
        <v>LA7,43556,,NA</v>
      </c>
      <c r="F982" s="13"/>
      <c r="G982" s="13" t="s">
        <v>111</v>
      </c>
      <c r="H982" s="13" t="s">
        <v>75</v>
      </c>
      <c r="I982" s="13"/>
      <c r="J982" s="13"/>
      <c r="K982" s="15"/>
      <c r="L982" s="15"/>
      <c r="M982" s="16"/>
      <c r="N982" s="16"/>
      <c r="O982" s="17"/>
      <c r="P982" s="17"/>
      <c r="Q982" s="13"/>
      <c r="R982" s="13"/>
      <c r="S982" s="13"/>
      <c r="T982" s="13">
        <f t="shared" ref="T982:Y982" si="1022">IF(ISBLANK(K982)=TRUE,0,1)</f>
        <v>0</v>
      </c>
      <c r="U982" s="13">
        <f t="shared" si="1022"/>
        <v>0</v>
      </c>
      <c r="V982" s="13">
        <f t="shared" si="1022"/>
        <v>0</v>
      </c>
      <c r="W982" s="13">
        <f t="shared" si="1022"/>
        <v>0</v>
      </c>
      <c r="X982" s="13">
        <f t="shared" si="1022"/>
        <v>0</v>
      </c>
      <c r="Y982" s="13">
        <f t="shared" si="1022"/>
        <v>0</v>
      </c>
      <c r="Z982" s="13" t="str">
        <f t="shared" si="529"/>
        <v>NA</v>
      </c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</row>
    <row r="983" ht="14.25" customHeight="1">
      <c r="A983" s="13" t="s">
        <v>36</v>
      </c>
      <c r="B983" s="13" t="s">
        <v>37</v>
      </c>
      <c r="C983" s="33">
        <v>43586.0</v>
      </c>
      <c r="D983" s="13"/>
      <c r="E983" s="13" t="str">
        <f t="shared" si="735"/>
        <v>LA7,43586,,NA</v>
      </c>
      <c r="F983" s="13"/>
      <c r="G983" s="13" t="s">
        <v>111</v>
      </c>
      <c r="H983" s="13" t="s">
        <v>75</v>
      </c>
      <c r="I983" s="13"/>
      <c r="J983" s="13"/>
      <c r="K983" s="15"/>
      <c r="L983" s="15"/>
      <c r="M983" s="16"/>
      <c r="N983" s="16"/>
      <c r="O983" s="17"/>
      <c r="P983" s="17"/>
      <c r="Q983" s="13"/>
      <c r="R983" s="13"/>
      <c r="S983" s="13"/>
      <c r="T983" s="13">
        <f t="shared" ref="T983:Y983" si="1023">IF(ISBLANK(K983)=TRUE,0,1)</f>
        <v>0</v>
      </c>
      <c r="U983" s="13">
        <f t="shared" si="1023"/>
        <v>0</v>
      </c>
      <c r="V983" s="13">
        <f t="shared" si="1023"/>
        <v>0</v>
      </c>
      <c r="W983" s="13">
        <f t="shared" si="1023"/>
        <v>0</v>
      </c>
      <c r="X983" s="13">
        <f t="shared" si="1023"/>
        <v>0</v>
      </c>
      <c r="Y983" s="13">
        <f t="shared" si="1023"/>
        <v>0</v>
      </c>
      <c r="Z983" s="13" t="str">
        <f t="shared" si="529"/>
        <v>NA</v>
      </c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</row>
    <row r="984" ht="14.25" hidden="1" customHeight="1">
      <c r="A984" s="13" t="s">
        <v>29</v>
      </c>
      <c r="B984" s="13" t="s">
        <v>34</v>
      </c>
      <c r="C984" s="13" t="s">
        <v>612</v>
      </c>
      <c r="D984" s="13"/>
      <c r="E984" s="13" t="str">
        <f t="shared" si="735"/>
        <v>LPEF,207-7-2,,NA</v>
      </c>
      <c r="F984" s="13"/>
      <c r="G984" s="13" t="s">
        <v>111</v>
      </c>
      <c r="H984" s="13" t="s">
        <v>107</v>
      </c>
      <c r="I984" s="14">
        <v>44915.0</v>
      </c>
      <c r="J984" s="14"/>
      <c r="K984" s="15"/>
      <c r="L984" s="15"/>
      <c r="M984" s="16"/>
      <c r="N984" s="16"/>
      <c r="O984" s="17"/>
      <c r="P984" s="17"/>
      <c r="Q984" s="13">
        <f t="shared" ref="Q984:Q1002" si="1025">K983+L983+M983+N983+O983+P983/6</f>
        <v>0</v>
      </c>
      <c r="R984" s="13"/>
      <c r="S984" s="13"/>
      <c r="T984" s="13">
        <f t="shared" ref="T984:Y984" si="1024">IF(ISBLANK(K984)=TRUE,0,1)</f>
        <v>0</v>
      </c>
      <c r="U984" s="13">
        <f t="shared" si="1024"/>
        <v>0</v>
      </c>
      <c r="V984" s="13">
        <f t="shared" si="1024"/>
        <v>0</v>
      </c>
      <c r="W984" s="13">
        <f t="shared" si="1024"/>
        <v>0</v>
      </c>
      <c r="X984" s="13">
        <f t="shared" si="1024"/>
        <v>0</v>
      </c>
      <c r="Y984" s="13">
        <f t="shared" si="1024"/>
        <v>0</v>
      </c>
      <c r="Z984" s="13" t="str">
        <f t="shared" si="529"/>
        <v>NA</v>
      </c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</row>
    <row r="985" ht="14.25" hidden="1" customHeight="1">
      <c r="A985" s="13" t="s">
        <v>29</v>
      </c>
      <c r="B985" s="13" t="s">
        <v>34</v>
      </c>
      <c r="C985" s="13" t="s">
        <v>613</v>
      </c>
      <c r="D985" s="13"/>
      <c r="E985" s="13" t="str">
        <f t="shared" si="735"/>
        <v>LPEF,207-7-4,,NA</v>
      </c>
      <c r="F985" s="13"/>
      <c r="G985" s="13" t="s">
        <v>111</v>
      </c>
      <c r="H985" s="13" t="s">
        <v>107</v>
      </c>
      <c r="I985" s="14">
        <v>44915.0</v>
      </c>
      <c r="J985" s="14"/>
      <c r="K985" s="15"/>
      <c r="L985" s="15"/>
      <c r="M985" s="16"/>
      <c r="N985" s="16"/>
      <c r="O985" s="17"/>
      <c r="P985" s="17"/>
      <c r="Q985" s="13">
        <f t="shared" si="1025"/>
        <v>0</v>
      </c>
      <c r="R985" s="13"/>
      <c r="S985" s="13"/>
      <c r="T985" s="13">
        <f t="shared" ref="T985:Y985" si="1026">IF(ISBLANK(K985)=TRUE,0,1)</f>
        <v>0</v>
      </c>
      <c r="U985" s="13">
        <f t="shared" si="1026"/>
        <v>0</v>
      </c>
      <c r="V985" s="13">
        <f t="shared" si="1026"/>
        <v>0</v>
      </c>
      <c r="W985" s="13">
        <f t="shared" si="1026"/>
        <v>0</v>
      </c>
      <c r="X985" s="13">
        <f t="shared" si="1026"/>
        <v>0</v>
      </c>
      <c r="Y985" s="13">
        <f t="shared" si="1026"/>
        <v>0</v>
      </c>
      <c r="Z985" s="13" t="str">
        <f t="shared" si="529"/>
        <v>NA</v>
      </c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</row>
    <row r="986" ht="14.25" hidden="1" customHeight="1">
      <c r="A986" s="13" t="s">
        <v>29</v>
      </c>
      <c r="B986" s="13" t="s">
        <v>34</v>
      </c>
      <c r="C986" s="13" t="s">
        <v>614</v>
      </c>
      <c r="D986" s="13"/>
      <c r="E986" s="13" t="str">
        <f t="shared" si="735"/>
        <v>LPEF,207-7-5,,NA</v>
      </c>
      <c r="F986" s="13"/>
      <c r="G986" s="13" t="s">
        <v>111</v>
      </c>
      <c r="H986" s="13" t="s">
        <v>107</v>
      </c>
      <c r="I986" s="14">
        <v>44915.0</v>
      </c>
      <c r="J986" s="14"/>
      <c r="K986" s="15"/>
      <c r="L986" s="15"/>
      <c r="M986" s="16"/>
      <c r="N986" s="16"/>
      <c r="O986" s="17"/>
      <c r="P986" s="17"/>
      <c r="Q986" s="13">
        <f t="shared" si="1025"/>
        <v>0</v>
      </c>
      <c r="R986" s="13"/>
      <c r="S986" s="13"/>
      <c r="T986" s="13">
        <f t="shared" ref="T986:Y986" si="1027">IF(ISBLANK(K986)=TRUE,0,1)</f>
        <v>0</v>
      </c>
      <c r="U986" s="13">
        <f t="shared" si="1027"/>
        <v>0</v>
      </c>
      <c r="V986" s="13">
        <f t="shared" si="1027"/>
        <v>0</v>
      </c>
      <c r="W986" s="13">
        <f t="shared" si="1027"/>
        <v>0</v>
      </c>
      <c r="X986" s="13">
        <f t="shared" si="1027"/>
        <v>0</v>
      </c>
      <c r="Y986" s="13">
        <f t="shared" si="1027"/>
        <v>0</v>
      </c>
      <c r="Z986" s="13" t="str">
        <f t="shared" si="529"/>
        <v>NA</v>
      </c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</row>
    <row r="987" ht="14.25" hidden="1" customHeight="1">
      <c r="A987" s="13" t="s">
        <v>29</v>
      </c>
      <c r="B987" s="13" t="s">
        <v>34</v>
      </c>
      <c r="C987" s="13" t="s">
        <v>615</v>
      </c>
      <c r="D987" s="13"/>
      <c r="E987" s="13" t="str">
        <f t="shared" si="735"/>
        <v>LPEF,207-7-6,,NA</v>
      </c>
      <c r="F987" s="13"/>
      <c r="G987" s="13" t="s">
        <v>111</v>
      </c>
      <c r="H987" s="13" t="s">
        <v>107</v>
      </c>
      <c r="I987" s="14">
        <v>44915.0</v>
      </c>
      <c r="J987" s="14"/>
      <c r="K987" s="15"/>
      <c r="L987" s="15"/>
      <c r="M987" s="16"/>
      <c r="N987" s="16"/>
      <c r="O987" s="17"/>
      <c r="P987" s="17"/>
      <c r="Q987" s="13">
        <f t="shared" si="1025"/>
        <v>0</v>
      </c>
      <c r="R987" s="13"/>
      <c r="S987" s="13"/>
      <c r="T987" s="13">
        <f t="shared" ref="T987:Y987" si="1028">IF(ISBLANK(K987)=TRUE,0,1)</f>
        <v>0</v>
      </c>
      <c r="U987" s="13">
        <f t="shared" si="1028"/>
        <v>0</v>
      </c>
      <c r="V987" s="13">
        <f t="shared" si="1028"/>
        <v>0</v>
      </c>
      <c r="W987" s="13">
        <f t="shared" si="1028"/>
        <v>0</v>
      </c>
      <c r="X987" s="13">
        <f t="shared" si="1028"/>
        <v>0</v>
      </c>
      <c r="Y987" s="13">
        <f t="shared" si="1028"/>
        <v>0</v>
      </c>
      <c r="Z987" s="13" t="str">
        <f t="shared" si="529"/>
        <v>NA</v>
      </c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</row>
    <row r="988" ht="14.25" hidden="1" customHeight="1">
      <c r="A988" s="13" t="s">
        <v>29</v>
      </c>
      <c r="B988" s="13" t="s">
        <v>34</v>
      </c>
      <c r="C988" s="13" t="s">
        <v>616</v>
      </c>
      <c r="D988" s="13"/>
      <c r="E988" s="13" t="str">
        <f t="shared" si="735"/>
        <v>LPEF,207-7-7,,NA</v>
      </c>
      <c r="F988" s="13"/>
      <c r="G988" s="13" t="s">
        <v>111</v>
      </c>
      <c r="H988" s="13" t="s">
        <v>107</v>
      </c>
      <c r="I988" s="14">
        <v>44915.0</v>
      </c>
      <c r="J988" s="14"/>
      <c r="K988" s="15"/>
      <c r="L988" s="15"/>
      <c r="M988" s="16"/>
      <c r="N988" s="16"/>
      <c r="O988" s="17"/>
      <c r="P988" s="17"/>
      <c r="Q988" s="13">
        <f t="shared" si="1025"/>
        <v>0</v>
      </c>
      <c r="R988" s="13"/>
      <c r="S988" s="13"/>
      <c r="T988" s="13">
        <f t="shared" ref="T988:Y988" si="1029">IF(ISBLANK(K988)=TRUE,0,1)</f>
        <v>0</v>
      </c>
      <c r="U988" s="13">
        <f t="shared" si="1029"/>
        <v>0</v>
      </c>
      <c r="V988" s="13">
        <f t="shared" si="1029"/>
        <v>0</v>
      </c>
      <c r="W988" s="13">
        <f t="shared" si="1029"/>
        <v>0</v>
      </c>
      <c r="X988" s="13">
        <f t="shared" si="1029"/>
        <v>0</v>
      </c>
      <c r="Y988" s="13">
        <f t="shared" si="1029"/>
        <v>0</v>
      </c>
      <c r="Z988" s="13" t="str">
        <f t="shared" si="529"/>
        <v>NA</v>
      </c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</row>
    <row r="989" ht="14.25" hidden="1" customHeight="1">
      <c r="A989" s="13" t="s">
        <v>29</v>
      </c>
      <c r="B989" s="13" t="s">
        <v>34</v>
      </c>
      <c r="C989" s="18" t="s">
        <v>617</v>
      </c>
      <c r="D989" s="13"/>
      <c r="E989" s="13" t="str">
        <f t="shared" si="735"/>
        <v>LPEF,242-2-1,,0</v>
      </c>
      <c r="F989" s="13"/>
      <c r="G989" s="13" t="s">
        <v>111</v>
      </c>
      <c r="H989" s="13" t="s">
        <v>107</v>
      </c>
      <c r="I989" s="14">
        <v>44915.0</v>
      </c>
      <c r="J989" s="14"/>
      <c r="K989" s="15"/>
      <c r="L989" s="15"/>
      <c r="M989" s="16"/>
      <c r="N989" s="16"/>
      <c r="O989" s="17">
        <v>0.0</v>
      </c>
      <c r="P989" s="17">
        <v>0.0</v>
      </c>
      <c r="Q989" s="13">
        <f t="shared" si="1025"/>
        <v>0</v>
      </c>
      <c r="R989" s="14">
        <v>44971.0</v>
      </c>
      <c r="S989" s="13"/>
      <c r="T989" s="13">
        <f t="shared" ref="T989:Y989" si="1030">IF(ISBLANK(K989)=TRUE,0,1)</f>
        <v>0</v>
      </c>
      <c r="U989" s="13">
        <f t="shared" si="1030"/>
        <v>0</v>
      </c>
      <c r="V989" s="13">
        <f t="shared" si="1030"/>
        <v>0</v>
      </c>
      <c r="W989" s="13">
        <f t="shared" si="1030"/>
        <v>0</v>
      </c>
      <c r="X989" s="13">
        <f t="shared" si="1030"/>
        <v>1</v>
      </c>
      <c r="Y989" s="13">
        <f t="shared" si="1030"/>
        <v>1</v>
      </c>
      <c r="Z989" s="13">
        <f t="shared" si="529"/>
        <v>0</v>
      </c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</row>
    <row r="990" ht="14.25" hidden="1" customHeight="1">
      <c r="A990" s="13" t="s">
        <v>29</v>
      </c>
      <c r="B990" s="13" t="s">
        <v>34</v>
      </c>
      <c r="C990" s="18" t="s">
        <v>618</v>
      </c>
      <c r="D990" s="13"/>
      <c r="E990" s="13" t="str">
        <f t="shared" si="735"/>
        <v>LPEF,242-2-10,,0</v>
      </c>
      <c r="F990" s="13"/>
      <c r="G990" s="13" t="s">
        <v>111</v>
      </c>
      <c r="H990" s="13" t="s">
        <v>107</v>
      </c>
      <c r="I990" s="14">
        <v>44915.0</v>
      </c>
      <c r="J990" s="14"/>
      <c r="K990" s="15"/>
      <c r="L990" s="15"/>
      <c r="M990" s="16"/>
      <c r="N990" s="16"/>
      <c r="O990" s="17">
        <v>0.0</v>
      </c>
      <c r="P990" s="17">
        <v>0.0</v>
      </c>
      <c r="Q990" s="13">
        <f t="shared" si="1025"/>
        <v>0</v>
      </c>
      <c r="R990" s="14">
        <v>44971.0</v>
      </c>
      <c r="S990" s="13"/>
      <c r="T990" s="13">
        <f t="shared" ref="T990:Y990" si="1031">IF(ISBLANK(K990)=TRUE,0,1)</f>
        <v>0</v>
      </c>
      <c r="U990" s="13">
        <f t="shared" si="1031"/>
        <v>0</v>
      </c>
      <c r="V990" s="13">
        <f t="shared" si="1031"/>
        <v>0</v>
      </c>
      <c r="W990" s="13">
        <f t="shared" si="1031"/>
        <v>0</v>
      </c>
      <c r="X990" s="13">
        <f t="shared" si="1031"/>
        <v>1</v>
      </c>
      <c r="Y990" s="13">
        <f t="shared" si="1031"/>
        <v>1</v>
      </c>
      <c r="Z990" s="13">
        <f t="shared" si="529"/>
        <v>0</v>
      </c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</row>
    <row r="991" ht="14.25" hidden="1" customHeight="1">
      <c r="A991" s="13" t="s">
        <v>29</v>
      </c>
      <c r="B991" s="13" t="s">
        <v>34</v>
      </c>
      <c r="C991" s="18" t="s">
        <v>619</v>
      </c>
      <c r="D991" s="13"/>
      <c r="E991" s="13" t="str">
        <f t="shared" si="735"/>
        <v>LPEF,242-2-11,,0</v>
      </c>
      <c r="F991" s="13"/>
      <c r="G991" s="13" t="s">
        <v>111</v>
      </c>
      <c r="H991" s="13" t="s">
        <v>107</v>
      </c>
      <c r="I991" s="14">
        <v>44915.0</v>
      </c>
      <c r="J991" s="14"/>
      <c r="K991" s="15"/>
      <c r="L991" s="15"/>
      <c r="M991" s="16"/>
      <c r="N991" s="16"/>
      <c r="O991" s="17">
        <v>0.0</v>
      </c>
      <c r="P991" s="17">
        <v>0.0</v>
      </c>
      <c r="Q991" s="13">
        <f t="shared" si="1025"/>
        <v>0</v>
      </c>
      <c r="R991" s="14">
        <v>44971.0</v>
      </c>
      <c r="S991" s="13"/>
      <c r="T991" s="13">
        <f t="shared" ref="T991:Y991" si="1032">IF(ISBLANK(K991)=TRUE,0,1)</f>
        <v>0</v>
      </c>
      <c r="U991" s="13">
        <f t="shared" si="1032"/>
        <v>0</v>
      </c>
      <c r="V991" s="13">
        <f t="shared" si="1032"/>
        <v>0</v>
      </c>
      <c r="W991" s="13">
        <f t="shared" si="1032"/>
        <v>0</v>
      </c>
      <c r="X991" s="13">
        <f t="shared" si="1032"/>
        <v>1</v>
      </c>
      <c r="Y991" s="13">
        <f t="shared" si="1032"/>
        <v>1</v>
      </c>
      <c r="Z991" s="13">
        <f t="shared" si="529"/>
        <v>0</v>
      </c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</row>
    <row r="992" ht="14.25" hidden="1" customHeight="1">
      <c r="A992" s="13" t="s">
        <v>29</v>
      </c>
      <c r="B992" s="13" t="s">
        <v>34</v>
      </c>
      <c r="C992" s="18" t="s">
        <v>620</v>
      </c>
      <c r="D992" s="13"/>
      <c r="E992" s="13" t="str">
        <f t="shared" si="735"/>
        <v>LPEF,242-2-12,,0</v>
      </c>
      <c r="F992" s="13"/>
      <c r="G992" s="13" t="s">
        <v>111</v>
      </c>
      <c r="H992" s="13" t="s">
        <v>107</v>
      </c>
      <c r="I992" s="14">
        <v>44915.0</v>
      </c>
      <c r="J992" s="14"/>
      <c r="K992" s="15"/>
      <c r="L992" s="15"/>
      <c r="M992" s="16"/>
      <c r="N992" s="16"/>
      <c r="O992" s="17">
        <v>0.0</v>
      </c>
      <c r="P992" s="17">
        <v>0.0</v>
      </c>
      <c r="Q992" s="13">
        <f t="shared" si="1025"/>
        <v>0</v>
      </c>
      <c r="R992" s="14">
        <v>44971.0</v>
      </c>
      <c r="S992" s="13"/>
      <c r="T992" s="13">
        <f t="shared" ref="T992:Y992" si="1033">IF(ISBLANK(K992)=TRUE,0,1)</f>
        <v>0</v>
      </c>
      <c r="U992" s="13">
        <f t="shared" si="1033"/>
        <v>0</v>
      </c>
      <c r="V992" s="13">
        <f t="shared" si="1033"/>
        <v>0</v>
      </c>
      <c r="W992" s="13">
        <f t="shared" si="1033"/>
        <v>0</v>
      </c>
      <c r="X992" s="13">
        <f t="shared" si="1033"/>
        <v>1</v>
      </c>
      <c r="Y992" s="13">
        <f t="shared" si="1033"/>
        <v>1</v>
      </c>
      <c r="Z992" s="13">
        <f t="shared" si="529"/>
        <v>0</v>
      </c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</row>
    <row r="993" ht="14.25" hidden="1" customHeight="1">
      <c r="A993" s="13" t="s">
        <v>29</v>
      </c>
      <c r="B993" s="13" t="s">
        <v>34</v>
      </c>
      <c r="C993" s="18" t="s">
        <v>621</v>
      </c>
      <c r="D993" s="13"/>
      <c r="E993" s="13" t="str">
        <f t="shared" si="735"/>
        <v>LPEF,242-2-13,,0</v>
      </c>
      <c r="F993" s="13"/>
      <c r="G993" s="13" t="s">
        <v>111</v>
      </c>
      <c r="H993" s="13" t="s">
        <v>107</v>
      </c>
      <c r="I993" s="14">
        <v>44915.0</v>
      </c>
      <c r="J993" s="14"/>
      <c r="K993" s="15"/>
      <c r="L993" s="15"/>
      <c r="M993" s="16"/>
      <c r="N993" s="16"/>
      <c r="O993" s="17">
        <v>0.0</v>
      </c>
      <c r="P993" s="17">
        <v>0.0</v>
      </c>
      <c r="Q993" s="13">
        <f t="shared" si="1025"/>
        <v>0</v>
      </c>
      <c r="R993" s="14">
        <v>44971.0</v>
      </c>
      <c r="S993" s="13"/>
      <c r="T993" s="13">
        <f t="shared" ref="T993:Y993" si="1034">IF(ISBLANK(K993)=TRUE,0,1)</f>
        <v>0</v>
      </c>
      <c r="U993" s="13">
        <f t="shared" si="1034"/>
        <v>0</v>
      </c>
      <c r="V993" s="13">
        <f t="shared" si="1034"/>
        <v>0</v>
      </c>
      <c r="W993" s="13">
        <f t="shared" si="1034"/>
        <v>0</v>
      </c>
      <c r="X993" s="13">
        <f t="shared" si="1034"/>
        <v>1</v>
      </c>
      <c r="Y993" s="13">
        <f t="shared" si="1034"/>
        <v>1</v>
      </c>
      <c r="Z993" s="13">
        <f t="shared" si="529"/>
        <v>0</v>
      </c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</row>
    <row r="994" ht="14.25" hidden="1" customHeight="1">
      <c r="A994" s="13" t="s">
        <v>29</v>
      </c>
      <c r="B994" s="13" t="s">
        <v>34</v>
      </c>
      <c r="C994" s="18" t="s">
        <v>622</v>
      </c>
      <c r="D994" s="13"/>
      <c r="E994" s="13" t="str">
        <f t="shared" si="735"/>
        <v>LPEF,242-2-14,,0</v>
      </c>
      <c r="F994" s="13"/>
      <c r="G994" s="13" t="s">
        <v>111</v>
      </c>
      <c r="H994" s="13" t="s">
        <v>107</v>
      </c>
      <c r="I994" s="14">
        <v>44915.0</v>
      </c>
      <c r="J994" s="14"/>
      <c r="K994" s="15"/>
      <c r="L994" s="15"/>
      <c r="M994" s="16"/>
      <c r="N994" s="16"/>
      <c r="O994" s="17">
        <v>0.0</v>
      </c>
      <c r="P994" s="17">
        <v>0.0</v>
      </c>
      <c r="Q994" s="13">
        <f t="shared" si="1025"/>
        <v>0</v>
      </c>
      <c r="R994" s="14">
        <v>44971.0</v>
      </c>
      <c r="S994" s="13"/>
      <c r="T994" s="13">
        <f t="shared" ref="T994:Y994" si="1035">IF(ISBLANK(K994)=TRUE,0,1)</f>
        <v>0</v>
      </c>
      <c r="U994" s="13">
        <f t="shared" si="1035"/>
        <v>0</v>
      </c>
      <c r="V994" s="13">
        <f t="shared" si="1035"/>
        <v>0</v>
      </c>
      <c r="W994" s="13">
        <f t="shared" si="1035"/>
        <v>0</v>
      </c>
      <c r="X994" s="13">
        <f t="shared" si="1035"/>
        <v>1</v>
      </c>
      <c r="Y994" s="13">
        <f t="shared" si="1035"/>
        <v>1</v>
      </c>
      <c r="Z994" s="13">
        <f t="shared" si="529"/>
        <v>0</v>
      </c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</row>
    <row r="995" ht="14.25" hidden="1" customHeight="1">
      <c r="A995" s="13" t="s">
        <v>29</v>
      </c>
      <c r="B995" s="13" t="s">
        <v>34</v>
      </c>
      <c r="C995" s="18" t="s">
        <v>623</v>
      </c>
      <c r="D995" s="13"/>
      <c r="E995" s="13" t="str">
        <f t="shared" si="735"/>
        <v>LPEF,242-2-15,,0</v>
      </c>
      <c r="F995" s="13"/>
      <c r="G995" s="13" t="s">
        <v>111</v>
      </c>
      <c r="H995" s="13" t="s">
        <v>107</v>
      </c>
      <c r="I995" s="14">
        <v>44915.0</v>
      </c>
      <c r="J995" s="14"/>
      <c r="K995" s="15"/>
      <c r="L995" s="15"/>
      <c r="M995" s="16"/>
      <c r="N995" s="16"/>
      <c r="O995" s="17">
        <v>0.0</v>
      </c>
      <c r="P995" s="17">
        <v>0.0</v>
      </c>
      <c r="Q995" s="13">
        <f t="shared" si="1025"/>
        <v>0</v>
      </c>
      <c r="R995" s="14">
        <v>44971.0</v>
      </c>
      <c r="S995" s="13"/>
      <c r="T995" s="13">
        <f t="shared" ref="T995:Y995" si="1036">IF(ISBLANK(K995)=TRUE,0,1)</f>
        <v>0</v>
      </c>
      <c r="U995" s="13">
        <f t="shared" si="1036"/>
        <v>0</v>
      </c>
      <c r="V995" s="13">
        <f t="shared" si="1036"/>
        <v>0</v>
      </c>
      <c r="W995" s="13">
        <f t="shared" si="1036"/>
        <v>0</v>
      </c>
      <c r="X995" s="13">
        <f t="shared" si="1036"/>
        <v>1</v>
      </c>
      <c r="Y995" s="13">
        <f t="shared" si="1036"/>
        <v>1</v>
      </c>
      <c r="Z995" s="13">
        <f t="shared" si="529"/>
        <v>0</v>
      </c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</row>
    <row r="996" ht="14.25" hidden="1" customHeight="1">
      <c r="A996" s="13" t="s">
        <v>29</v>
      </c>
      <c r="B996" s="13" t="s">
        <v>34</v>
      </c>
      <c r="C996" s="18" t="s">
        <v>624</v>
      </c>
      <c r="D996" s="13"/>
      <c r="E996" s="13" t="str">
        <f t="shared" si="735"/>
        <v>LPEF,242-2-16,,0</v>
      </c>
      <c r="F996" s="13"/>
      <c r="G996" s="13" t="s">
        <v>111</v>
      </c>
      <c r="H996" s="13" t="s">
        <v>75</v>
      </c>
      <c r="I996" s="14">
        <v>44915.0</v>
      </c>
      <c r="J996" s="14"/>
      <c r="K996" s="15"/>
      <c r="L996" s="15"/>
      <c r="M996" s="16"/>
      <c r="N996" s="16"/>
      <c r="O996" s="17">
        <v>0.0</v>
      </c>
      <c r="P996" s="17">
        <v>0.0</v>
      </c>
      <c r="Q996" s="13">
        <f t="shared" si="1025"/>
        <v>0</v>
      </c>
      <c r="R996" s="14">
        <v>44971.0</v>
      </c>
      <c r="S996" s="13"/>
      <c r="T996" s="13">
        <f t="shared" ref="T996:Y996" si="1037">IF(ISBLANK(K996)=TRUE,0,1)</f>
        <v>0</v>
      </c>
      <c r="U996" s="13">
        <f t="shared" si="1037"/>
        <v>0</v>
      </c>
      <c r="V996" s="13">
        <f t="shared" si="1037"/>
        <v>0</v>
      </c>
      <c r="W996" s="13">
        <f t="shared" si="1037"/>
        <v>0</v>
      </c>
      <c r="X996" s="13">
        <f t="shared" si="1037"/>
        <v>1</v>
      </c>
      <c r="Y996" s="13">
        <f t="shared" si="1037"/>
        <v>1</v>
      </c>
      <c r="Z996" s="13">
        <f t="shared" si="529"/>
        <v>0</v>
      </c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</row>
    <row r="997" ht="14.25" hidden="1" customHeight="1">
      <c r="A997" s="13" t="s">
        <v>29</v>
      </c>
      <c r="B997" s="13" t="s">
        <v>34</v>
      </c>
      <c r="C997" s="18" t="s">
        <v>625</v>
      </c>
      <c r="D997" s="13"/>
      <c r="E997" s="13" t="str">
        <f t="shared" si="735"/>
        <v>LPEF,242-2-17,,0</v>
      </c>
      <c r="F997" s="13"/>
      <c r="G997" s="13" t="s">
        <v>111</v>
      </c>
      <c r="H997" s="13" t="s">
        <v>107</v>
      </c>
      <c r="I997" s="14">
        <v>44915.0</v>
      </c>
      <c r="J997" s="14"/>
      <c r="K997" s="15"/>
      <c r="L997" s="15"/>
      <c r="M997" s="16"/>
      <c r="N997" s="16"/>
      <c r="O997" s="17">
        <v>0.0</v>
      </c>
      <c r="P997" s="17">
        <v>0.0</v>
      </c>
      <c r="Q997" s="13">
        <f t="shared" si="1025"/>
        <v>0</v>
      </c>
      <c r="R997" s="14">
        <v>44971.0</v>
      </c>
      <c r="S997" s="13"/>
      <c r="T997" s="13">
        <f t="shared" ref="T997:Y997" si="1038">IF(ISBLANK(K997)=TRUE,0,1)</f>
        <v>0</v>
      </c>
      <c r="U997" s="13">
        <f t="shared" si="1038"/>
        <v>0</v>
      </c>
      <c r="V997" s="13">
        <f t="shared" si="1038"/>
        <v>0</v>
      </c>
      <c r="W997" s="13">
        <f t="shared" si="1038"/>
        <v>0</v>
      </c>
      <c r="X997" s="13">
        <f t="shared" si="1038"/>
        <v>1</v>
      </c>
      <c r="Y997" s="13">
        <f t="shared" si="1038"/>
        <v>1</v>
      </c>
      <c r="Z997" s="13">
        <f t="shared" si="529"/>
        <v>0</v>
      </c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</row>
    <row r="998" ht="14.25" hidden="1" customHeight="1">
      <c r="A998" s="13" t="s">
        <v>29</v>
      </c>
      <c r="B998" s="13" t="s">
        <v>34</v>
      </c>
      <c r="C998" s="18" t="s">
        <v>626</v>
      </c>
      <c r="D998" s="13"/>
      <c r="E998" s="13" t="str">
        <f t="shared" si="735"/>
        <v>LPEF,242-2-18,,0</v>
      </c>
      <c r="F998" s="13"/>
      <c r="G998" s="13" t="s">
        <v>111</v>
      </c>
      <c r="H998" s="13" t="s">
        <v>107</v>
      </c>
      <c r="I998" s="14">
        <v>44915.0</v>
      </c>
      <c r="J998" s="14"/>
      <c r="K998" s="15"/>
      <c r="L998" s="15"/>
      <c r="M998" s="16"/>
      <c r="N998" s="16"/>
      <c r="O998" s="17">
        <v>0.0</v>
      </c>
      <c r="P998" s="17">
        <v>0.0</v>
      </c>
      <c r="Q998" s="13">
        <f t="shared" si="1025"/>
        <v>0</v>
      </c>
      <c r="R998" s="14">
        <v>44971.0</v>
      </c>
      <c r="S998" s="13"/>
      <c r="T998" s="13">
        <f t="shared" ref="T998:Y998" si="1039">IF(ISBLANK(K998)=TRUE,0,1)</f>
        <v>0</v>
      </c>
      <c r="U998" s="13">
        <f t="shared" si="1039"/>
        <v>0</v>
      </c>
      <c r="V998" s="13">
        <f t="shared" si="1039"/>
        <v>0</v>
      </c>
      <c r="W998" s="13">
        <f t="shared" si="1039"/>
        <v>0</v>
      </c>
      <c r="X998" s="13">
        <f t="shared" si="1039"/>
        <v>1</v>
      </c>
      <c r="Y998" s="13">
        <f t="shared" si="1039"/>
        <v>1</v>
      </c>
      <c r="Z998" s="13">
        <f t="shared" si="529"/>
        <v>0</v>
      </c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</row>
    <row r="999" ht="14.25" hidden="1" customHeight="1">
      <c r="A999" s="13" t="s">
        <v>29</v>
      </c>
      <c r="B999" s="13" t="s">
        <v>34</v>
      </c>
      <c r="C999" s="18" t="s">
        <v>627</v>
      </c>
      <c r="D999" s="13"/>
      <c r="E999" s="13" t="str">
        <f t="shared" si="735"/>
        <v>LPEF,242-2-19,,0</v>
      </c>
      <c r="F999" s="13"/>
      <c r="G999" s="13" t="s">
        <v>111</v>
      </c>
      <c r="H999" s="13" t="s">
        <v>75</v>
      </c>
      <c r="I999" s="14">
        <v>44915.0</v>
      </c>
      <c r="J999" s="14"/>
      <c r="K999" s="15"/>
      <c r="L999" s="15"/>
      <c r="M999" s="16"/>
      <c r="N999" s="16"/>
      <c r="O999" s="17">
        <v>0.0</v>
      </c>
      <c r="P999" s="17">
        <v>0.0</v>
      </c>
      <c r="Q999" s="13">
        <f t="shared" si="1025"/>
        <v>0</v>
      </c>
      <c r="R999" s="14">
        <v>44971.0</v>
      </c>
      <c r="S999" s="13"/>
      <c r="T999" s="13">
        <f t="shared" ref="T999:Y999" si="1040">IF(ISBLANK(K999)=TRUE,0,1)</f>
        <v>0</v>
      </c>
      <c r="U999" s="13">
        <f t="shared" si="1040"/>
        <v>0</v>
      </c>
      <c r="V999" s="13">
        <f t="shared" si="1040"/>
        <v>0</v>
      </c>
      <c r="W999" s="13">
        <f t="shared" si="1040"/>
        <v>0</v>
      </c>
      <c r="X999" s="13">
        <f t="shared" si="1040"/>
        <v>1</v>
      </c>
      <c r="Y999" s="13">
        <f t="shared" si="1040"/>
        <v>1</v>
      </c>
      <c r="Z999" s="13">
        <f t="shared" si="529"/>
        <v>0</v>
      </c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</row>
    <row r="1000" ht="14.25" hidden="1" customHeight="1">
      <c r="A1000" s="13" t="s">
        <v>29</v>
      </c>
      <c r="B1000" s="13" t="s">
        <v>34</v>
      </c>
      <c r="C1000" s="18" t="s">
        <v>628</v>
      </c>
      <c r="D1000" s="13"/>
      <c r="E1000" s="13" t="str">
        <f t="shared" si="735"/>
        <v>LPEF,242-2-2,,0</v>
      </c>
      <c r="F1000" s="13"/>
      <c r="G1000" s="13" t="s">
        <v>111</v>
      </c>
      <c r="H1000" s="13" t="s">
        <v>107</v>
      </c>
      <c r="I1000" s="14">
        <v>44915.0</v>
      </c>
      <c r="J1000" s="14"/>
      <c r="K1000" s="15"/>
      <c r="L1000" s="15"/>
      <c r="M1000" s="16"/>
      <c r="N1000" s="16"/>
      <c r="O1000" s="17">
        <v>0.0</v>
      </c>
      <c r="P1000" s="17">
        <v>0.0</v>
      </c>
      <c r="Q1000" s="13">
        <f t="shared" si="1025"/>
        <v>0</v>
      </c>
      <c r="R1000" s="14">
        <v>44971.0</v>
      </c>
      <c r="S1000" s="13"/>
      <c r="T1000" s="13">
        <f t="shared" ref="T1000:Y1000" si="1041">IF(ISBLANK(K1000)=TRUE,0,1)</f>
        <v>0</v>
      </c>
      <c r="U1000" s="13">
        <f t="shared" si="1041"/>
        <v>0</v>
      </c>
      <c r="V1000" s="13">
        <f t="shared" si="1041"/>
        <v>0</v>
      </c>
      <c r="W1000" s="13">
        <f t="shared" si="1041"/>
        <v>0</v>
      </c>
      <c r="X1000" s="13">
        <f t="shared" si="1041"/>
        <v>1</v>
      </c>
      <c r="Y1000" s="13">
        <f t="shared" si="1041"/>
        <v>1</v>
      </c>
      <c r="Z1000" s="13">
        <f t="shared" si="529"/>
        <v>0</v>
      </c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</row>
    <row r="1001" ht="14.25" hidden="1" customHeight="1">
      <c r="A1001" s="13" t="s">
        <v>29</v>
      </c>
      <c r="B1001" s="13" t="s">
        <v>34</v>
      </c>
      <c r="C1001" s="18" t="s">
        <v>629</v>
      </c>
      <c r="D1001" s="13"/>
      <c r="E1001" s="13" t="str">
        <f t="shared" si="735"/>
        <v>LPEF,242-2-20,,0</v>
      </c>
      <c r="F1001" s="13"/>
      <c r="G1001" s="13" t="s">
        <v>111</v>
      </c>
      <c r="H1001" s="13" t="s">
        <v>107</v>
      </c>
      <c r="I1001" s="14">
        <v>44915.0</v>
      </c>
      <c r="J1001" s="14"/>
      <c r="K1001" s="15"/>
      <c r="L1001" s="15"/>
      <c r="M1001" s="16"/>
      <c r="N1001" s="16"/>
      <c r="O1001" s="17">
        <v>0.0</v>
      </c>
      <c r="P1001" s="17">
        <v>0.0</v>
      </c>
      <c r="Q1001" s="13">
        <f t="shared" si="1025"/>
        <v>0</v>
      </c>
      <c r="R1001" s="14">
        <v>44971.0</v>
      </c>
      <c r="S1001" s="13"/>
      <c r="T1001" s="13">
        <f t="shared" ref="T1001:Y1001" si="1042">IF(ISBLANK(K1001)=TRUE,0,1)</f>
        <v>0</v>
      </c>
      <c r="U1001" s="13">
        <f t="shared" si="1042"/>
        <v>0</v>
      </c>
      <c r="V1001" s="13">
        <f t="shared" si="1042"/>
        <v>0</v>
      </c>
      <c r="W1001" s="13">
        <f t="shared" si="1042"/>
        <v>0</v>
      </c>
      <c r="X1001" s="13">
        <f t="shared" si="1042"/>
        <v>1</v>
      </c>
      <c r="Y1001" s="13">
        <f t="shared" si="1042"/>
        <v>1</v>
      </c>
      <c r="Z1001" s="13">
        <f t="shared" si="529"/>
        <v>0</v>
      </c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</row>
    <row r="1002" ht="14.25" hidden="1" customHeight="1">
      <c r="A1002" s="13" t="s">
        <v>29</v>
      </c>
      <c r="B1002" s="13" t="s">
        <v>34</v>
      </c>
      <c r="C1002" s="18" t="s">
        <v>630</v>
      </c>
      <c r="D1002" s="13"/>
      <c r="E1002" s="13" t="str">
        <f t="shared" si="735"/>
        <v>LPEF,242-2-21,,0</v>
      </c>
      <c r="F1002" s="13"/>
      <c r="G1002" s="13" t="s">
        <v>111</v>
      </c>
      <c r="H1002" s="13" t="s">
        <v>75</v>
      </c>
      <c r="I1002" s="14">
        <v>44915.0</v>
      </c>
      <c r="J1002" s="14"/>
      <c r="K1002" s="15"/>
      <c r="L1002" s="15"/>
      <c r="M1002" s="16"/>
      <c r="N1002" s="16"/>
      <c r="O1002" s="17">
        <v>0.0</v>
      </c>
      <c r="P1002" s="17">
        <v>0.0</v>
      </c>
      <c r="Q1002" s="13">
        <f t="shared" si="1025"/>
        <v>0</v>
      </c>
      <c r="R1002" s="14">
        <v>44971.0</v>
      </c>
      <c r="S1002" s="13"/>
      <c r="T1002" s="13">
        <f t="shared" ref="T1002:Y1002" si="1043">IF(ISBLANK(K1002)=TRUE,0,1)</f>
        <v>0</v>
      </c>
      <c r="U1002" s="13">
        <f t="shared" si="1043"/>
        <v>0</v>
      </c>
      <c r="V1002" s="13">
        <f t="shared" si="1043"/>
        <v>0</v>
      </c>
      <c r="W1002" s="13">
        <f t="shared" si="1043"/>
        <v>0</v>
      </c>
      <c r="X1002" s="13">
        <f t="shared" si="1043"/>
        <v>1</v>
      </c>
      <c r="Y1002" s="13">
        <f t="shared" si="1043"/>
        <v>1</v>
      </c>
      <c r="Z1002" s="13">
        <f t="shared" si="529"/>
        <v>0</v>
      </c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</row>
    <row r="1003" ht="14.25" hidden="1" customHeight="1">
      <c r="A1003" s="13" t="s">
        <v>29</v>
      </c>
      <c r="B1003" s="13" t="s">
        <v>34</v>
      </c>
      <c r="C1003" s="18" t="s">
        <v>630</v>
      </c>
      <c r="D1003" s="13" t="s">
        <v>174</v>
      </c>
      <c r="E1003" s="13" t="str">
        <f t="shared" si="735"/>
        <v>LPEF,242-2-21,AA,0</v>
      </c>
      <c r="F1003" s="13"/>
      <c r="G1003" s="13" t="s">
        <v>111</v>
      </c>
      <c r="H1003" s="13" t="s">
        <v>75</v>
      </c>
      <c r="I1003" s="13"/>
      <c r="J1003" s="13"/>
      <c r="K1003" s="15"/>
      <c r="L1003" s="15"/>
      <c r="M1003" s="16"/>
      <c r="N1003" s="16"/>
      <c r="O1003" s="17">
        <v>0.0</v>
      </c>
      <c r="P1003" s="17">
        <v>0.0</v>
      </c>
      <c r="Q1003" s="13"/>
      <c r="R1003" s="14">
        <v>44971.0</v>
      </c>
      <c r="S1003" s="13"/>
      <c r="T1003" s="13">
        <f t="shared" ref="T1003:Y1003" si="1044">IF(ISBLANK(K1003)=TRUE,0,1)</f>
        <v>0</v>
      </c>
      <c r="U1003" s="13">
        <f t="shared" si="1044"/>
        <v>0</v>
      </c>
      <c r="V1003" s="13">
        <f t="shared" si="1044"/>
        <v>0</v>
      </c>
      <c r="W1003" s="13">
        <f t="shared" si="1044"/>
        <v>0</v>
      </c>
      <c r="X1003" s="13">
        <f t="shared" si="1044"/>
        <v>1</v>
      </c>
      <c r="Y1003" s="13">
        <f t="shared" si="1044"/>
        <v>1</v>
      </c>
      <c r="Z1003" s="13">
        <f t="shared" si="529"/>
        <v>0</v>
      </c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</row>
    <row r="1004" ht="14.25" hidden="1" customHeight="1">
      <c r="A1004" s="13" t="s">
        <v>29</v>
      </c>
      <c r="B1004" s="13" t="s">
        <v>34</v>
      </c>
      <c r="C1004" s="18" t="s">
        <v>631</v>
      </c>
      <c r="D1004" s="13"/>
      <c r="E1004" s="13" t="str">
        <f t="shared" si="735"/>
        <v>LPEF,242-2-22,,0</v>
      </c>
      <c r="F1004" s="13"/>
      <c r="G1004" s="13" t="s">
        <v>111</v>
      </c>
      <c r="H1004" s="13" t="s">
        <v>107</v>
      </c>
      <c r="I1004" s="14">
        <v>44915.0</v>
      </c>
      <c r="J1004" s="14"/>
      <c r="K1004" s="15"/>
      <c r="L1004" s="15"/>
      <c r="M1004" s="16"/>
      <c r="N1004" s="16"/>
      <c r="O1004" s="17">
        <v>0.0</v>
      </c>
      <c r="P1004" s="17">
        <v>0.0</v>
      </c>
      <c r="Q1004" s="13">
        <f t="shared" ref="Q1004:Q1005" si="1046">K1003+L1003+M1003+N1003+O1003+P1003/6</f>
        <v>0</v>
      </c>
      <c r="R1004" s="14">
        <v>44971.0</v>
      </c>
      <c r="S1004" s="13"/>
      <c r="T1004" s="13">
        <f t="shared" ref="T1004:Y1004" si="1045">IF(ISBLANK(K1004)=TRUE,0,1)</f>
        <v>0</v>
      </c>
      <c r="U1004" s="13">
        <f t="shared" si="1045"/>
        <v>0</v>
      </c>
      <c r="V1004" s="13">
        <f t="shared" si="1045"/>
        <v>0</v>
      </c>
      <c r="W1004" s="13">
        <f t="shared" si="1045"/>
        <v>0</v>
      </c>
      <c r="X1004" s="13">
        <f t="shared" si="1045"/>
        <v>1</v>
      </c>
      <c r="Y1004" s="13">
        <f t="shared" si="1045"/>
        <v>1</v>
      </c>
      <c r="Z1004" s="13">
        <f t="shared" si="529"/>
        <v>0</v>
      </c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</row>
    <row r="1005" ht="14.25" hidden="1" customHeight="1">
      <c r="A1005" s="13" t="s">
        <v>29</v>
      </c>
      <c r="B1005" s="13" t="s">
        <v>34</v>
      </c>
      <c r="C1005" s="18" t="s">
        <v>632</v>
      </c>
      <c r="D1005" s="13"/>
      <c r="E1005" s="13" t="str">
        <f t="shared" si="735"/>
        <v>LPEF,242-2-23,,0</v>
      </c>
      <c r="F1005" s="13"/>
      <c r="G1005" s="13" t="s">
        <v>111</v>
      </c>
      <c r="H1005" s="13" t="s">
        <v>75</v>
      </c>
      <c r="I1005" s="14">
        <v>44915.0</v>
      </c>
      <c r="J1005" s="14"/>
      <c r="K1005" s="15"/>
      <c r="L1005" s="15"/>
      <c r="M1005" s="16"/>
      <c r="N1005" s="16"/>
      <c r="O1005" s="17">
        <v>0.0</v>
      </c>
      <c r="P1005" s="17">
        <v>0.0</v>
      </c>
      <c r="Q1005" s="13">
        <f t="shared" si="1046"/>
        <v>0</v>
      </c>
      <c r="R1005" s="14">
        <v>44971.0</v>
      </c>
      <c r="S1005" s="13"/>
      <c r="T1005" s="13">
        <f t="shared" ref="T1005:Y1005" si="1047">IF(ISBLANK(K1005)=TRUE,0,1)</f>
        <v>0</v>
      </c>
      <c r="U1005" s="13">
        <f t="shared" si="1047"/>
        <v>0</v>
      </c>
      <c r="V1005" s="13">
        <f t="shared" si="1047"/>
        <v>0</v>
      </c>
      <c r="W1005" s="13">
        <f t="shared" si="1047"/>
        <v>0</v>
      </c>
      <c r="X1005" s="13">
        <f t="shared" si="1047"/>
        <v>1</v>
      </c>
      <c r="Y1005" s="13">
        <f t="shared" si="1047"/>
        <v>1</v>
      </c>
      <c r="Z1005" s="13">
        <f t="shared" si="529"/>
        <v>0</v>
      </c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</row>
    <row r="1006" ht="14.25" hidden="1" customHeight="1">
      <c r="A1006" s="13" t="s">
        <v>29</v>
      </c>
      <c r="B1006" s="13" t="s">
        <v>34</v>
      </c>
      <c r="C1006" s="18" t="s">
        <v>632</v>
      </c>
      <c r="D1006" s="13" t="s">
        <v>174</v>
      </c>
      <c r="E1006" s="13" t="str">
        <f t="shared" si="735"/>
        <v>LPEF,242-2-23,AA,0</v>
      </c>
      <c r="F1006" s="13"/>
      <c r="G1006" s="13" t="s">
        <v>111</v>
      </c>
      <c r="H1006" s="13" t="s">
        <v>75</v>
      </c>
      <c r="I1006" s="13"/>
      <c r="J1006" s="13"/>
      <c r="K1006" s="15"/>
      <c r="L1006" s="15"/>
      <c r="M1006" s="16"/>
      <c r="N1006" s="16"/>
      <c r="O1006" s="17">
        <v>0.0</v>
      </c>
      <c r="P1006" s="17">
        <v>0.0</v>
      </c>
      <c r="Q1006" s="13"/>
      <c r="R1006" s="14">
        <v>44971.0</v>
      </c>
      <c r="S1006" s="13"/>
      <c r="T1006" s="13">
        <f t="shared" ref="T1006:Y1006" si="1048">IF(ISBLANK(K1006)=TRUE,0,1)</f>
        <v>0</v>
      </c>
      <c r="U1006" s="13">
        <f t="shared" si="1048"/>
        <v>0</v>
      </c>
      <c r="V1006" s="13">
        <f t="shared" si="1048"/>
        <v>0</v>
      </c>
      <c r="W1006" s="13">
        <f t="shared" si="1048"/>
        <v>0</v>
      </c>
      <c r="X1006" s="13">
        <f t="shared" si="1048"/>
        <v>1</v>
      </c>
      <c r="Y1006" s="13">
        <f t="shared" si="1048"/>
        <v>1</v>
      </c>
      <c r="Z1006" s="13">
        <f t="shared" si="529"/>
        <v>0</v>
      </c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</row>
    <row r="1007" ht="14.25" hidden="1" customHeight="1">
      <c r="A1007" s="13" t="s">
        <v>29</v>
      </c>
      <c r="B1007" s="13" t="s">
        <v>34</v>
      </c>
      <c r="C1007" s="18" t="s">
        <v>633</v>
      </c>
      <c r="D1007" s="13"/>
      <c r="E1007" s="13" t="str">
        <f t="shared" si="735"/>
        <v>LPEF,242-2-24,,0</v>
      </c>
      <c r="F1007" s="13"/>
      <c r="G1007" s="13" t="s">
        <v>111</v>
      </c>
      <c r="H1007" s="13" t="s">
        <v>107</v>
      </c>
      <c r="I1007" s="14">
        <v>44915.0</v>
      </c>
      <c r="J1007" s="14"/>
      <c r="K1007" s="15"/>
      <c r="L1007" s="15"/>
      <c r="M1007" s="16"/>
      <c r="N1007" s="16"/>
      <c r="O1007" s="17">
        <v>0.0</v>
      </c>
      <c r="P1007" s="17">
        <v>0.0</v>
      </c>
      <c r="Q1007" s="13">
        <f t="shared" ref="Q1007:Q1013" si="1050">K1006+L1006+M1006+N1006+O1006+P1006/6</f>
        <v>0</v>
      </c>
      <c r="R1007" s="14">
        <v>44971.0</v>
      </c>
      <c r="S1007" s="13"/>
      <c r="T1007" s="13">
        <f t="shared" ref="T1007:Y1007" si="1049">IF(ISBLANK(K1007)=TRUE,0,1)</f>
        <v>0</v>
      </c>
      <c r="U1007" s="13">
        <f t="shared" si="1049"/>
        <v>0</v>
      </c>
      <c r="V1007" s="13">
        <f t="shared" si="1049"/>
        <v>0</v>
      </c>
      <c r="W1007" s="13">
        <f t="shared" si="1049"/>
        <v>0</v>
      </c>
      <c r="X1007" s="13">
        <f t="shared" si="1049"/>
        <v>1</v>
      </c>
      <c r="Y1007" s="13">
        <f t="shared" si="1049"/>
        <v>1</v>
      </c>
      <c r="Z1007" s="13">
        <f t="shared" si="529"/>
        <v>0</v>
      </c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</row>
    <row r="1008" ht="14.25" hidden="1" customHeight="1">
      <c r="A1008" s="13" t="s">
        <v>29</v>
      </c>
      <c r="B1008" s="13" t="s">
        <v>34</v>
      </c>
      <c r="C1008" s="18" t="s">
        <v>634</v>
      </c>
      <c r="D1008" s="13"/>
      <c r="E1008" s="13" t="str">
        <f t="shared" si="735"/>
        <v>LPEF,242-2-25,,0</v>
      </c>
      <c r="F1008" s="13"/>
      <c r="G1008" s="13" t="s">
        <v>111</v>
      </c>
      <c r="H1008" s="13" t="s">
        <v>75</v>
      </c>
      <c r="I1008" s="14">
        <v>44915.0</v>
      </c>
      <c r="J1008" s="14"/>
      <c r="K1008" s="15"/>
      <c r="L1008" s="15"/>
      <c r="M1008" s="16"/>
      <c r="N1008" s="16"/>
      <c r="O1008" s="17">
        <v>0.0</v>
      </c>
      <c r="P1008" s="17">
        <v>0.0</v>
      </c>
      <c r="Q1008" s="13">
        <f t="shared" si="1050"/>
        <v>0</v>
      </c>
      <c r="R1008" s="14">
        <v>44971.0</v>
      </c>
      <c r="S1008" s="13"/>
      <c r="T1008" s="13">
        <f t="shared" ref="T1008:Y1008" si="1051">IF(ISBLANK(K1008)=TRUE,0,1)</f>
        <v>0</v>
      </c>
      <c r="U1008" s="13">
        <f t="shared" si="1051"/>
        <v>0</v>
      </c>
      <c r="V1008" s="13">
        <f t="shared" si="1051"/>
        <v>0</v>
      </c>
      <c r="W1008" s="13">
        <f t="shared" si="1051"/>
        <v>0</v>
      </c>
      <c r="X1008" s="13">
        <f t="shared" si="1051"/>
        <v>1</v>
      </c>
      <c r="Y1008" s="13">
        <f t="shared" si="1051"/>
        <v>1</v>
      </c>
      <c r="Z1008" s="13">
        <f t="shared" si="529"/>
        <v>0</v>
      </c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</row>
    <row r="1009" ht="14.25" hidden="1" customHeight="1">
      <c r="A1009" s="13" t="s">
        <v>29</v>
      </c>
      <c r="B1009" s="13" t="s">
        <v>34</v>
      </c>
      <c r="C1009" s="18" t="s">
        <v>634</v>
      </c>
      <c r="D1009" s="13" t="s">
        <v>174</v>
      </c>
      <c r="E1009" s="13" t="str">
        <f t="shared" si="735"/>
        <v>LPEF,242-2-25,AA,0</v>
      </c>
      <c r="F1009" s="13"/>
      <c r="G1009" s="13" t="s">
        <v>111</v>
      </c>
      <c r="H1009" s="13" t="s">
        <v>75</v>
      </c>
      <c r="I1009" s="14">
        <v>44915.0</v>
      </c>
      <c r="J1009" s="14"/>
      <c r="K1009" s="15"/>
      <c r="L1009" s="15"/>
      <c r="M1009" s="16"/>
      <c r="N1009" s="16"/>
      <c r="O1009" s="17">
        <v>0.0</v>
      </c>
      <c r="P1009" s="17">
        <v>0.0</v>
      </c>
      <c r="Q1009" s="13">
        <f t="shared" si="1050"/>
        <v>0</v>
      </c>
      <c r="R1009" s="14">
        <v>44971.0</v>
      </c>
      <c r="S1009" s="13"/>
      <c r="T1009" s="13">
        <f t="shared" ref="T1009:Y1009" si="1052">IF(ISBLANK(K1009)=TRUE,0,1)</f>
        <v>0</v>
      </c>
      <c r="U1009" s="13">
        <f t="shared" si="1052"/>
        <v>0</v>
      </c>
      <c r="V1009" s="13">
        <f t="shared" si="1052"/>
        <v>0</v>
      </c>
      <c r="W1009" s="13">
        <f t="shared" si="1052"/>
        <v>0</v>
      </c>
      <c r="X1009" s="13">
        <f t="shared" si="1052"/>
        <v>1</v>
      </c>
      <c r="Y1009" s="13">
        <f t="shared" si="1052"/>
        <v>1</v>
      </c>
      <c r="Z1009" s="13">
        <f t="shared" si="529"/>
        <v>0</v>
      </c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</row>
    <row r="1010" ht="14.25" hidden="1" customHeight="1">
      <c r="A1010" s="13" t="s">
        <v>29</v>
      </c>
      <c r="B1010" s="13" t="s">
        <v>34</v>
      </c>
      <c r="C1010" s="18" t="s">
        <v>634</v>
      </c>
      <c r="D1010" s="13" t="s">
        <v>175</v>
      </c>
      <c r="E1010" s="13" t="str">
        <f t="shared" si="735"/>
        <v>LPEF,242-2-25,AB,0</v>
      </c>
      <c r="F1010" s="13"/>
      <c r="G1010" s="13" t="s">
        <v>111</v>
      </c>
      <c r="H1010" s="13" t="s">
        <v>75</v>
      </c>
      <c r="I1010" s="14">
        <v>44915.0</v>
      </c>
      <c r="J1010" s="14"/>
      <c r="K1010" s="15"/>
      <c r="L1010" s="15"/>
      <c r="M1010" s="16"/>
      <c r="N1010" s="16"/>
      <c r="O1010" s="17">
        <v>0.0</v>
      </c>
      <c r="P1010" s="17">
        <v>0.0</v>
      </c>
      <c r="Q1010" s="13">
        <f t="shared" si="1050"/>
        <v>0</v>
      </c>
      <c r="R1010" s="14">
        <v>44971.0</v>
      </c>
      <c r="S1010" s="13"/>
      <c r="T1010" s="13">
        <f t="shared" ref="T1010:Y1010" si="1053">IF(ISBLANK(K1010)=TRUE,0,1)</f>
        <v>0</v>
      </c>
      <c r="U1010" s="13">
        <f t="shared" si="1053"/>
        <v>0</v>
      </c>
      <c r="V1010" s="13">
        <f t="shared" si="1053"/>
        <v>0</v>
      </c>
      <c r="W1010" s="13">
        <f t="shared" si="1053"/>
        <v>0</v>
      </c>
      <c r="X1010" s="13">
        <f t="shared" si="1053"/>
        <v>1</v>
      </c>
      <c r="Y1010" s="13">
        <f t="shared" si="1053"/>
        <v>1</v>
      </c>
      <c r="Z1010" s="13">
        <f t="shared" si="529"/>
        <v>0</v>
      </c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</row>
    <row r="1011" ht="14.25" hidden="1" customHeight="1">
      <c r="A1011" s="13" t="s">
        <v>29</v>
      </c>
      <c r="B1011" s="13" t="s">
        <v>34</v>
      </c>
      <c r="C1011" s="18" t="s">
        <v>634</v>
      </c>
      <c r="D1011" s="13" t="s">
        <v>176</v>
      </c>
      <c r="E1011" s="13" t="str">
        <f t="shared" si="735"/>
        <v>LPEF,242-2-25,AC,0</v>
      </c>
      <c r="F1011" s="13"/>
      <c r="G1011" s="13" t="s">
        <v>111</v>
      </c>
      <c r="H1011" s="13" t="s">
        <v>75</v>
      </c>
      <c r="I1011" s="14">
        <v>44915.0</v>
      </c>
      <c r="J1011" s="14"/>
      <c r="K1011" s="15"/>
      <c r="L1011" s="15"/>
      <c r="M1011" s="16"/>
      <c r="N1011" s="16"/>
      <c r="O1011" s="17">
        <v>0.0</v>
      </c>
      <c r="P1011" s="17">
        <v>0.0</v>
      </c>
      <c r="Q1011" s="13">
        <f t="shared" si="1050"/>
        <v>0</v>
      </c>
      <c r="R1011" s="14">
        <v>44971.0</v>
      </c>
      <c r="S1011" s="13"/>
      <c r="T1011" s="13">
        <f t="shared" ref="T1011:Y1011" si="1054">IF(ISBLANK(K1011)=TRUE,0,1)</f>
        <v>0</v>
      </c>
      <c r="U1011" s="13">
        <f t="shared" si="1054"/>
        <v>0</v>
      </c>
      <c r="V1011" s="13">
        <f t="shared" si="1054"/>
        <v>0</v>
      </c>
      <c r="W1011" s="13">
        <f t="shared" si="1054"/>
        <v>0</v>
      </c>
      <c r="X1011" s="13">
        <f t="shared" si="1054"/>
        <v>1</v>
      </c>
      <c r="Y1011" s="13">
        <f t="shared" si="1054"/>
        <v>1</v>
      </c>
      <c r="Z1011" s="13">
        <f t="shared" si="529"/>
        <v>0</v>
      </c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</row>
    <row r="1012" ht="14.25" hidden="1" customHeight="1">
      <c r="A1012" s="13" t="s">
        <v>29</v>
      </c>
      <c r="B1012" s="13" t="s">
        <v>34</v>
      </c>
      <c r="C1012" s="18" t="s">
        <v>635</v>
      </c>
      <c r="D1012" s="13"/>
      <c r="E1012" s="13" t="str">
        <f t="shared" si="735"/>
        <v>LPEF,242-2-26,,0</v>
      </c>
      <c r="F1012" s="13"/>
      <c r="G1012" s="13" t="s">
        <v>111</v>
      </c>
      <c r="H1012" s="13" t="s">
        <v>107</v>
      </c>
      <c r="I1012" s="14">
        <v>44915.0</v>
      </c>
      <c r="J1012" s="14"/>
      <c r="K1012" s="15"/>
      <c r="L1012" s="15"/>
      <c r="M1012" s="16"/>
      <c r="N1012" s="16"/>
      <c r="O1012" s="17">
        <v>0.0</v>
      </c>
      <c r="P1012" s="17">
        <v>0.0</v>
      </c>
      <c r="Q1012" s="13">
        <f t="shared" si="1050"/>
        <v>0</v>
      </c>
      <c r="R1012" s="14">
        <v>44971.0</v>
      </c>
      <c r="S1012" s="13"/>
      <c r="T1012" s="13">
        <f t="shared" ref="T1012:Y1012" si="1055">IF(ISBLANK(K1012)=TRUE,0,1)</f>
        <v>0</v>
      </c>
      <c r="U1012" s="13">
        <f t="shared" si="1055"/>
        <v>0</v>
      </c>
      <c r="V1012" s="13">
        <f t="shared" si="1055"/>
        <v>0</v>
      </c>
      <c r="W1012" s="13">
        <f t="shared" si="1055"/>
        <v>0</v>
      </c>
      <c r="X1012" s="13">
        <f t="shared" si="1055"/>
        <v>1</v>
      </c>
      <c r="Y1012" s="13">
        <f t="shared" si="1055"/>
        <v>1</v>
      </c>
      <c r="Z1012" s="13">
        <f t="shared" si="529"/>
        <v>0</v>
      </c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</row>
    <row r="1013" ht="14.25" hidden="1" customHeight="1">
      <c r="A1013" s="13" t="s">
        <v>29</v>
      </c>
      <c r="B1013" s="13" t="s">
        <v>34</v>
      </c>
      <c r="C1013" s="18" t="s">
        <v>636</v>
      </c>
      <c r="D1013" s="13"/>
      <c r="E1013" s="13" t="str">
        <f t="shared" si="735"/>
        <v>LPEF,242-2-27,,0</v>
      </c>
      <c r="F1013" s="13"/>
      <c r="G1013" s="13" t="s">
        <v>111</v>
      </c>
      <c r="H1013" s="13" t="s">
        <v>75</v>
      </c>
      <c r="I1013" s="14">
        <v>44915.0</v>
      </c>
      <c r="J1013" s="14"/>
      <c r="K1013" s="15"/>
      <c r="L1013" s="15"/>
      <c r="M1013" s="16"/>
      <c r="N1013" s="16"/>
      <c r="O1013" s="17">
        <v>0.0</v>
      </c>
      <c r="P1013" s="17">
        <v>0.0</v>
      </c>
      <c r="Q1013" s="13">
        <f t="shared" si="1050"/>
        <v>0</v>
      </c>
      <c r="R1013" s="14">
        <v>44971.0</v>
      </c>
      <c r="S1013" s="13"/>
      <c r="T1013" s="13">
        <f t="shared" ref="T1013:Y1013" si="1056">IF(ISBLANK(K1013)=TRUE,0,1)</f>
        <v>0</v>
      </c>
      <c r="U1013" s="13">
        <f t="shared" si="1056"/>
        <v>0</v>
      </c>
      <c r="V1013" s="13">
        <f t="shared" si="1056"/>
        <v>0</v>
      </c>
      <c r="W1013" s="13">
        <f t="shared" si="1056"/>
        <v>0</v>
      </c>
      <c r="X1013" s="13">
        <f t="shared" si="1056"/>
        <v>1</v>
      </c>
      <c r="Y1013" s="13">
        <f t="shared" si="1056"/>
        <v>1</v>
      </c>
      <c r="Z1013" s="13">
        <f t="shared" si="529"/>
        <v>0</v>
      </c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</row>
    <row r="1014" ht="14.25" hidden="1" customHeight="1">
      <c r="A1014" s="13" t="s">
        <v>29</v>
      </c>
      <c r="B1014" s="13" t="s">
        <v>34</v>
      </c>
      <c r="C1014" s="18" t="s">
        <v>636</v>
      </c>
      <c r="D1014" s="13" t="s">
        <v>174</v>
      </c>
      <c r="E1014" s="13" t="str">
        <f t="shared" si="735"/>
        <v>LPEF,242-2-27,AA,0</v>
      </c>
      <c r="F1014" s="13"/>
      <c r="G1014" s="13" t="s">
        <v>111</v>
      </c>
      <c r="H1014" s="13" t="s">
        <v>75</v>
      </c>
      <c r="I1014" s="13"/>
      <c r="J1014" s="13"/>
      <c r="K1014" s="15"/>
      <c r="L1014" s="15"/>
      <c r="M1014" s="16"/>
      <c r="N1014" s="16"/>
      <c r="O1014" s="17">
        <v>0.0</v>
      </c>
      <c r="P1014" s="17">
        <v>0.0</v>
      </c>
      <c r="Q1014" s="13"/>
      <c r="R1014" s="14">
        <v>44971.0</v>
      </c>
      <c r="S1014" s="13"/>
      <c r="T1014" s="13">
        <f t="shared" ref="T1014:Y1014" si="1057">IF(ISBLANK(K1014)=TRUE,0,1)</f>
        <v>0</v>
      </c>
      <c r="U1014" s="13">
        <f t="shared" si="1057"/>
        <v>0</v>
      </c>
      <c r="V1014" s="13">
        <f t="shared" si="1057"/>
        <v>0</v>
      </c>
      <c r="W1014" s="13">
        <f t="shared" si="1057"/>
        <v>0</v>
      </c>
      <c r="X1014" s="13">
        <f t="shared" si="1057"/>
        <v>1</v>
      </c>
      <c r="Y1014" s="13">
        <f t="shared" si="1057"/>
        <v>1</v>
      </c>
      <c r="Z1014" s="13">
        <f t="shared" si="529"/>
        <v>0</v>
      </c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</row>
    <row r="1015" ht="14.25" hidden="1" customHeight="1">
      <c r="A1015" s="13" t="s">
        <v>29</v>
      </c>
      <c r="B1015" s="13" t="s">
        <v>34</v>
      </c>
      <c r="C1015" s="18" t="s">
        <v>637</v>
      </c>
      <c r="D1015" s="13"/>
      <c r="E1015" s="13" t="str">
        <f t="shared" si="735"/>
        <v>LPEF,242-2-28,,0</v>
      </c>
      <c r="F1015" s="13"/>
      <c r="G1015" s="13" t="s">
        <v>111</v>
      </c>
      <c r="H1015" s="13" t="s">
        <v>75</v>
      </c>
      <c r="I1015" s="14">
        <v>44915.0</v>
      </c>
      <c r="J1015" s="14"/>
      <c r="K1015" s="15"/>
      <c r="L1015" s="15"/>
      <c r="M1015" s="16"/>
      <c r="N1015" s="16"/>
      <c r="O1015" s="17">
        <v>0.0</v>
      </c>
      <c r="P1015" s="17">
        <v>0.0</v>
      </c>
      <c r="Q1015" s="13">
        <f t="shared" ref="Q1015:Q1031" si="1059">K1014+L1014+M1014+N1014+O1014+P1014/6</f>
        <v>0</v>
      </c>
      <c r="R1015" s="14">
        <v>44971.0</v>
      </c>
      <c r="S1015" s="13"/>
      <c r="T1015" s="13">
        <f t="shared" ref="T1015:Y1015" si="1058">IF(ISBLANK(K1015)=TRUE,0,1)</f>
        <v>0</v>
      </c>
      <c r="U1015" s="13">
        <f t="shared" si="1058"/>
        <v>0</v>
      </c>
      <c r="V1015" s="13">
        <f t="shared" si="1058"/>
        <v>0</v>
      </c>
      <c r="W1015" s="13">
        <f t="shared" si="1058"/>
        <v>0</v>
      </c>
      <c r="X1015" s="13">
        <f t="shared" si="1058"/>
        <v>1</v>
      </c>
      <c r="Y1015" s="13">
        <f t="shared" si="1058"/>
        <v>1</v>
      </c>
      <c r="Z1015" s="13">
        <f t="shared" si="529"/>
        <v>0</v>
      </c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</row>
    <row r="1016" ht="14.25" hidden="1" customHeight="1">
      <c r="A1016" s="13" t="s">
        <v>29</v>
      </c>
      <c r="B1016" s="13" t="s">
        <v>34</v>
      </c>
      <c r="C1016" s="18" t="s">
        <v>638</v>
      </c>
      <c r="D1016" s="13"/>
      <c r="E1016" s="13" t="str">
        <f t="shared" si="735"/>
        <v>LPEF,242-2-29,,0</v>
      </c>
      <c r="F1016" s="13"/>
      <c r="G1016" s="13" t="s">
        <v>111</v>
      </c>
      <c r="H1016" s="13" t="s">
        <v>107</v>
      </c>
      <c r="I1016" s="14">
        <v>44915.0</v>
      </c>
      <c r="J1016" s="14"/>
      <c r="K1016" s="15"/>
      <c r="L1016" s="15"/>
      <c r="M1016" s="16"/>
      <c r="N1016" s="16"/>
      <c r="O1016" s="17">
        <v>0.0</v>
      </c>
      <c r="P1016" s="17">
        <v>0.0</v>
      </c>
      <c r="Q1016" s="13">
        <f t="shared" si="1059"/>
        <v>0</v>
      </c>
      <c r="R1016" s="14">
        <v>44971.0</v>
      </c>
      <c r="S1016" s="13"/>
      <c r="T1016" s="13">
        <f t="shared" ref="T1016:Y1016" si="1060">IF(ISBLANK(K1016)=TRUE,0,1)</f>
        <v>0</v>
      </c>
      <c r="U1016" s="13">
        <f t="shared" si="1060"/>
        <v>0</v>
      </c>
      <c r="V1016" s="13">
        <f t="shared" si="1060"/>
        <v>0</v>
      </c>
      <c r="W1016" s="13">
        <f t="shared" si="1060"/>
        <v>0</v>
      </c>
      <c r="X1016" s="13">
        <f t="shared" si="1060"/>
        <v>1</v>
      </c>
      <c r="Y1016" s="13">
        <f t="shared" si="1060"/>
        <v>1</v>
      </c>
      <c r="Z1016" s="13">
        <f t="shared" si="529"/>
        <v>0</v>
      </c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</row>
    <row r="1017" ht="14.25" hidden="1" customHeight="1">
      <c r="A1017" s="13" t="s">
        <v>29</v>
      </c>
      <c r="B1017" s="13" t="s">
        <v>34</v>
      </c>
      <c r="C1017" s="18" t="s">
        <v>639</v>
      </c>
      <c r="D1017" s="13"/>
      <c r="E1017" s="13" t="str">
        <f t="shared" si="735"/>
        <v>LPEF,242-2-3,,0</v>
      </c>
      <c r="F1017" s="13"/>
      <c r="G1017" s="13" t="s">
        <v>111</v>
      </c>
      <c r="H1017" s="13" t="s">
        <v>107</v>
      </c>
      <c r="I1017" s="14">
        <v>44915.0</v>
      </c>
      <c r="J1017" s="14"/>
      <c r="K1017" s="15"/>
      <c r="L1017" s="15"/>
      <c r="M1017" s="16"/>
      <c r="N1017" s="16"/>
      <c r="O1017" s="17">
        <v>0.0</v>
      </c>
      <c r="P1017" s="17">
        <v>0.0</v>
      </c>
      <c r="Q1017" s="13">
        <f t="shared" si="1059"/>
        <v>0</v>
      </c>
      <c r="R1017" s="14">
        <v>44971.0</v>
      </c>
      <c r="S1017" s="13"/>
      <c r="T1017" s="13">
        <f t="shared" ref="T1017:Y1017" si="1061">IF(ISBLANK(K1017)=TRUE,0,1)</f>
        <v>0</v>
      </c>
      <c r="U1017" s="13">
        <f t="shared" si="1061"/>
        <v>0</v>
      </c>
      <c r="V1017" s="13">
        <f t="shared" si="1061"/>
        <v>0</v>
      </c>
      <c r="W1017" s="13">
        <f t="shared" si="1061"/>
        <v>0</v>
      </c>
      <c r="X1017" s="13">
        <f t="shared" si="1061"/>
        <v>1</v>
      </c>
      <c r="Y1017" s="13">
        <f t="shared" si="1061"/>
        <v>1</v>
      </c>
      <c r="Z1017" s="13">
        <f t="shared" si="529"/>
        <v>0</v>
      </c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</row>
    <row r="1018" ht="14.25" hidden="1" customHeight="1">
      <c r="A1018" s="13" t="s">
        <v>29</v>
      </c>
      <c r="B1018" s="13" t="s">
        <v>34</v>
      </c>
      <c r="C1018" s="18" t="s">
        <v>640</v>
      </c>
      <c r="D1018" s="13"/>
      <c r="E1018" s="13" t="str">
        <f t="shared" si="735"/>
        <v>LPEF,242-2-30,,0</v>
      </c>
      <c r="F1018" s="13"/>
      <c r="G1018" s="13" t="s">
        <v>111</v>
      </c>
      <c r="H1018" s="13" t="s">
        <v>107</v>
      </c>
      <c r="I1018" s="14">
        <v>44915.0</v>
      </c>
      <c r="J1018" s="14"/>
      <c r="K1018" s="15"/>
      <c r="L1018" s="15"/>
      <c r="M1018" s="16"/>
      <c r="N1018" s="16"/>
      <c r="O1018" s="17">
        <v>0.0</v>
      </c>
      <c r="P1018" s="17">
        <v>0.0</v>
      </c>
      <c r="Q1018" s="13">
        <f t="shared" si="1059"/>
        <v>0</v>
      </c>
      <c r="R1018" s="14">
        <v>44971.0</v>
      </c>
      <c r="S1018" s="13"/>
      <c r="T1018" s="13">
        <f t="shared" ref="T1018:Y1018" si="1062">IF(ISBLANK(K1018)=TRUE,0,1)</f>
        <v>0</v>
      </c>
      <c r="U1018" s="13">
        <f t="shared" si="1062"/>
        <v>0</v>
      </c>
      <c r="V1018" s="13">
        <f t="shared" si="1062"/>
        <v>0</v>
      </c>
      <c r="W1018" s="13">
        <f t="shared" si="1062"/>
        <v>0</v>
      </c>
      <c r="X1018" s="13">
        <f t="shared" si="1062"/>
        <v>1</v>
      </c>
      <c r="Y1018" s="13">
        <f t="shared" si="1062"/>
        <v>1</v>
      </c>
      <c r="Z1018" s="13">
        <f t="shared" si="529"/>
        <v>0</v>
      </c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</row>
    <row r="1019" ht="14.25" hidden="1" customHeight="1">
      <c r="A1019" s="13" t="s">
        <v>29</v>
      </c>
      <c r="B1019" s="13" t="s">
        <v>34</v>
      </c>
      <c r="C1019" s="18" t="s">
        <v>641</v>
      </c>
      <c r="D1019" s="13"/>
      <c r="E1019" s="13" t="str">
        <f t="shared" si="735"/>
        <v>LPEF,242-2-31,,0</v>
      </c>
      <c r="F1019" s="13"/>
      <c r="G1019" s="13" t="s">
        <v>111</v>
      </c>
      <c r="H1019" s="13" t="s">
        <v>107</v>
      </c>
      <c r="I1019" s="14">
        <v>44915.0</v>
      </c>
      <c r="J1019" s="14"/>
      <c r="K1019" s="15"/>
      <c r="L1019" s="15"/>
      <c r="M1019" s="16"/>
      <c r="N1019" s="16"/>
      <c r="O1019" s="17">
        <v>0.0</v>
      </c>
      <c r="P1019" s="17">
        <v>0.0</v>
      </c>
      <c r="Q1019" s="13">
        <f t="shared" si="1059"/>
        <v>0</v>
      </c>
      <c r="R1019" s="14">
        <v>44971.0</v>
      </c>
      <c r="S1019" s="13"/>
      <c r="T1019" s="13">
        <f t="shared" ref="T1019:Y1019" si="1063">IF(ISBLANK(K1019)=TRUE,0,1)</f>
        <v>0</v>
      </c>
      <c r="U1019" s="13">
        <f t="shared" si="1063"/>
        <v>0</v>
      </c>
      <c r="V1019" s="13">
        <f t="shared" si="1063"/>
        <v>0</v>
      </c>
      <c r="W1019" s="13">
        <f t="shared" si="1063"/>
        <v>0</v>
      </c>
      <c r="X1019" s="13">
        <f t="shared" si="1063"/>
        <v>1</v>
      </c>
      <c r="Y1019" s="13">
        <f t="shared" si="1063"/>
        <v>1</v>
      </c>
      <c r="Z1019" s="13">
        <f t="shared" si="529"/>
        <v>0</v>
      </c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</row>
    <row r="1020" ht="14.25" hidden="1" customHeight="1">
      <c r="A1020" s="13" t="s">
        <v>29</v>
      </c>
      <c r="B1020" s="13" t="s">
        <v>34</v>
      </c>
      <c r="C1020" s="18" t="s">
        <v>642</v>
      </c>
      <c r="D1020" s="13"/>
      <c r="E1020" s="13" t="str">
        <f t="shared" si="735"/>
        <v>LPEF,242-2-32,,0</v>
      </c>
      <c r="F1020" s="13"/>
      <c r="G1020" s="13" t="s">
        <v>111</v>
      </c>
      <c r="H1020" s="13" t="s">
        <v>75</v>
      </c>
      <c r="I1020" s="14">
        <v>44915.0</v>
      </c>
      <c r="J1020" s="14"/>
      <c r="K1020" s="15"/>
      <c r="L1020" s="15"/>
      <c r="M1020" s="16"/>
      <c r="N1020" s="16"/>
      <c r="O1020" s="17">
        <v>0.0</v>
      </c>
      <c r="P1020" s="17">
        <v>0.0</v>
      </c>
      <c r="Q1020" s="13">
        <f t="shared" si="1059"/>
        <v>0</v>
      </c>
      <c r="R1020" s="14">
        <v>44971.0</v>
      </c>
      <c r="S1020" s="13"/>
      <c r="T1020" s="13">
        <f t="shared" ref="T1020:Y1020" si="1064">IF(ISBLANK(K1020)=TRUE,0,1)</f>
        <v>0</v>
      </c>
      <c r="U1020" s="13">
        <f t="shared" si="1064"/>
        <v>0</v>
      </c>
      <c r="V1020" s="13">
        <f t="shared" si="1064"/>
        <v>0</v>
      </c>
      <c r="W1020" s="13">
        <f t="shared" si="1064"/>
        <v>0</v>
      </c>
      <c r="X1020" s="13">
        <f t="shared" si="1064"/>
        <v>1</v>
      </c>
      <c r="Y1020" s="13">
        <f t="shared" si="1064"/>
        <v>1</v>
      </c>
      <c r="Z1020" s="13">
        <f t="shared" si="529"/>
        <v>0</v>
      </c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</row>
    <row r="1021" ht="14.25" hidden="1" customHeight="1">
      <c r="A1021" s="13" t="s">
        <v>29</v>
      </c>
      <c r="B1021" s="13" t="s">
        <v>34</v>
      </c>
      <c r="C1021" s="18" t="s">
        <v>643</v>
      </c>
      <c r="D1021" s="13"/>
      <c r="E1021" s="13" t="str">
        <f t="shared" si="735"/>
        <v>LPEF,242-2-33,,0</v>
      </c>
      <c r="F1021" s="13"/>
      <c r="G1021" s="13" t="s">
        <v>111</v>
      </c>
      <c r="H1021" s="13" t="s">
        <v>107</v>
      </c>
      <c r="I1021" s="14">
        <v>44915.0</v>
      </c>
      <c r="J1021" s="14"/>
      <c r="K1021" s="15"/>
      <c r="L1021" s="15"/>
      <c r="M1021" s="16"/>
      <c r="N1021" s="16"/>
      <c r="O1021" s="17">
        <v>0.0</v>
      </c>
      <c r="P1021" s="17">
        <v>0.0</v>
      </c>
      <c r="Q1021" s="13">
        <f t="shared" si="1059"/>
        <v>0</v>
      </c>
      <c r="R1021" s="14">
        <v>44971.0</v>
      </c>
      <c r="S1021" s="13"/>
      <c r="T1021" s="13">
        <f t="shared" ref="T1021:Y1021" si="1065">IF(ISBLANK(K1021)=TRUE,0,1)</f>
        <v>0</v>
      </c>
      <c r="U1021" s="13">
        <f t="shared" si="1065"/>
        <v>0</v>
      </c>
      <c r="V1021" s="13">
        <f t="shared" si="1065"/>
        <v>0</v>
      </c>
      <c r="W1021" s="13">
        <f t="shared" si="1065"/>
        <v>0</v>
      </c>
      <c r="X1021" s="13">
        <f t="shared" si="1065"/>
        <v>1</v>
      </c>
      <c r="Y1021" s="13">
        <f t="shared" si="1065"/>
        <v>1</v>
      </c>
      <c r="Z1021" s="13">
        <f t="shared" si="529"/>
        <v>0</v>
      </c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</row>
    <row r="1022" ht="14.25" hidden="1" customHeight="1">
      <c r="A1022" s="13" t="s">
        <v>29</v>
      </c>
      <c r="B1022" s="13" t="s">
        <v>34</v>
      </c>
      <c r="C1022" s="18" t="s">
        <v>644</v>
      </c>
      <c r="D1022" s="13"/>
      <c r="E1022" s="13" t="str">
        <f t="shared" si="735"/>
        <v>LPEF,242-2-34,,0</v>
      </c>
      <c r="F1022" s="13"/>
      <c r="G1022" s="13" t="s">
        <v>111</v>
      </c>
      <c r="H1022" s="13" t="s">
        <v>75</v>
      </c>
      <c r="I1022" s="14">
        <v>44915.0</v>
      </c>
      <c r="J1022" s="14"/>
      <c r="K1022" s="15"/>
      <c r="L1022" s="15"/>
      <c r="M1022" s="16"/>
      <c r="N1022" s="16"/>
      <c r="O1022" s="17">
        <v>0.0</v>
      </c>
      <c r="P1022" s="17">
        <v>0.0</v>
      </c>
      <c r="Q1022" s="13">
        <f t="shared" si="1059"/>
        <v>0</v>
      </c>
      <c r="R1022" s="14">
        <v>44971.0</v>
      </c>
      <c r="S1022" s="13"/>
      <c r="T1022" s="13">
        <f t="shared" ref="T1022:Y1022" si="1066">IF(ISBLANK(K1022)=TRUE,0,1)</f>
        <v>0</v>
      </c>
      <c r="U1022" s="13">
        <f t="shared" si="1066"/>
        <v>0</v>
      </c>
      <c r="V1022" s="13">
        <f t="shared" si="1066"/>
        <v>0</v>
      </c>
      <c r="W1022" s="13">
        <f t="shared" si="1066"/>
        <v>0</v>
      </c>
      <c r="X1022" s="13">
        <f t="shared" si="1066"/>
        <v>1</v>
      </c>
      <c r="Y1022" s="13">
        <f t="shared" si="1066"/>
        <v>1</v>
      </c>
      <c r="Z1022" s="13">
        <f t="shared" si="529"/>
        <v>0</v>
      </c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</row>
    <row r="1023" ht="14.25" hidden="1" customHeight="1">
      <c r="A1023" s="13" t="s">
        <v>29</v>
      </c>
      <c r="B1023" s="13" t="s">
        <v>34</v>
      </c>
      <c r="C1023" s="18" t="s">
        <v>645</v>
      </c>
      <c r="D1023" s="13"/>
      <c r="E1023" s="13" t="str">
        <f t="shared" si="735"/>
        <v>LPEF,242-2-35,,0</v>
      </c>
      <c r="F1023" s="13"/>
      <c r="G1023" s="13" t="s">
        <v>111</v>
      </c>
      <c r="H1023" s="13" t="s">
        <v>107</v>
      </c>
      <c r="I1023" s="14">
        <v>44915.0</v>
      </c>
      <c r="J1023" s="14"/>
      <c r="K1023" s="15"/>
      <c r="L1023" s="15"/>
      <c r="M1023" s="16"/>
      <c r="N1023" s="16"/>
      <c r="O1023" s="17">
        <v>0.0</v>
      </c>
      <c r="P1023" s="17">
        <v>0.0</v>
      </c>
      <c r="Q1023" s="13">
        <f t="shared" si="1059"/>
        <v>0</v>
      </c>
      <c r="R1023" s="14">
        <v>44971.0</v>
      </c>
      <c r="S1023" s="13"/>
      <c r="T1023" s="13">
        <f t="shared" ref="T1023:Y1023" si="1067">IF(ISBLANK(K1023)=TRUE,0,1)</f>
        <v>0</v>
      </c>
      <c r="U1023" s="13">
        <f t="shared" si="1067"/>
        <v>0</v>
      </c>
      <c r="V1023" s="13">
        <f t="shared" si="1067"/>
        <v>0</v>
      </c>
      <c r="W1023" s="13">
        <f t="shared" si="1067"/>
        <v>0</v>
      </c>
      <c r="X1023" s="13">
        <f t="shared" si="1067"/>
        <v>1</v>
      </c>
      <c r="Y1023" s="13">
        <f t="shared" si="1067"/>
        <v>1</v>
      </c>
      <c r="Z1023" s="13">
        <f t="shared" si="529"/>
        <v>0</v>
      </c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</row>
    <row r="1024" ht="14.25" hidden="1" customHeight="1">
      <c r="A1024" s="13" t="s">
        <v>29</v>
      </c>
      <c r="B1024" s="13" t="s">
        <v>34</v>
      </c>
      <c r="C1024" s="18" t="s">
        <v>646</v>
      </c>
      <c r="D1024" s="13"/>
      <c r="E1024" s="13" t="str">
        <f t="shared" si="735"/>
        <v>LPEF,242-2-36,,0</v>
      </c>
      <c r="F1024" s="13"/>
      <c r="G1024" s="13" t="s">
        <v>111</v>
      </c>
      <c r="H1024" s="13" t="s">
        <v>75</v>
      </c>
      <c r="I1024" s="14">
        <v>44915.0</v>
      </c>
      <c r="J1024" s="14"/>
      <c r="K1024" s="15"/>
      <c r="L1024" s="15"/>
      <c r="M1024" s="16"/>
      <c r="N1024" s="16"/>
      <c r="O1024" s="17">
        <v>0.0</v>
      </c>
      <c r="P1024" s="17">
        <v>0.0</v>
      </c>
      <c r="Q1024" s="13">
        <f t="shared" si="1059"/>
        <v>0</v>
      </c>
      <c r="R1024" s="14">
        <v>44971.0</v>
      </c>
      <c r="S1024" s="13"/>
      <c r="T1024" s="13">
        <f t="shared" ref="T1024:Y1024" si="1068">IF(ISBLANK(K1024)=TRUE,0,1)</f>
        <v>0</v>
      </c>
      <c r="U1024" s="13">
        <f t="shared" si="1068"/>
        <v>0</v>
      </c>
      <c r="V1024" s="13">
        <f t="shared" si="1068"/>
        <v>0</v>
      </c>
      <c r="W1024" s="13">
        <f t="shared" si="1068"/>
        <v>0</v>
      </c>
      <c r="X1024" s="13">
        <f t="shared" si="1068"/>
        <v>1</v>
      </c>
      <c r="Y1024" s="13">
        <f t="shared" si="1068"/>
        <v>1</v>
      </c>
      <c r="Z1024" s="13">
        <f t="shared" si="529"/>
        <v>0</v>
      </c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</row>
    <row r="1025" ht="14.25" hidden="1" customHeight="1">
      <c r="A1025" s="13" t="s">
        <v>29</v>
      </c>
      <c r="B1025" s="13" t="s">
        <v>34</v>
      </c>
      <c r="C1025" s="18" t="s">
        <v>647</v>
      </c>
      <c r="D1025" s="13"/>
      <c r="E1025" s="13" t="str">
        <f t="shared" si="735"/>
        <v>LPEF,242-2-37,,0</v>
      </c>
      <c r="F1025" s="13"/>
      <c r="G1025" s="13" t="s">
        <v>111</v>
      </c>
      <c r="H1025" s="13" t="s">
        <v>107</v>
      </c>
      <c r="I1025" s="14">
        <v>44915.0</v>
      </c>
      <c r="J1025" s="14"/>
      <c r="K1025" s="15"/>
      <c r="L1025" s="15"/>
      <c r="M1025" s="16"/>
      <c r="N1025" s="16"/>
      <c r="O1025" s="17">
        <v>0.0</v>
      </c>
      <c r="P1025" s="17">
        <v>0.0</v>
      </c>
      <c r="Q1025" s="13">
        <f t="shared" si="1059"/>
        <v>0</v>
      </c>
      <c r="R1025" s="14">
        <v>44971.0</v>
      </c>
      <c r="S1025" s="13"/>
      <c r="T1025" s="13">
        <f t="shared" ref="T1025:Y1025" si="1069">IF(ISBLANK(K1025)=TRUE,0,1)</f>
        <v>0</v>
      </c>
      <c r="U1025" s="13">
        <f t="shared" si="1069"/>
        <v>0</v>
      </c>
      <c r="V1025" s="13">
        <f t="shared" si="1069"/>
        <v>0</v>
      </c>
      <c r="W1025" s="13">
        <f t="shared" si="1069"/>
        <v>0</v>
      </c>
      <c r="X1025" s="13">
        <f t="shared" si="1069"/>
        <v>1</v>
      </c>
      <c r="Y1025" s="13">
        <f t="shared" si="1069"/>
        <v>1</v>
      </c>
      <c r="Z1025" s="13">
        <f t="shared" si="529"/>
        <v>0</v>
      </c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</row>
    <row r="1026" ht="14.25" hidden="1" customHeight="1">
      <c r="A1026" s="13" t="s">
        <v>29</v>
      </c>
      <c r="B1026" s="13" t="s">
        <v>34</v>
      </c>
      <c r="C1026" s="18" t="s">
        <v>648</v>
      </c>
      <c r="D1026" s="13"/>
      <c r="E1026" s="13" t="str">
        <f t="shared" si="735"/>
        <v>LPEF,242-2-38,,0</v>
      </c>
      <c r="F1026" s="13"/>
      <c r="G1026" s="13" t="s">
        <v>111</v>
      </c>
      <c r="H1026" s="13" t="s">
        <v>107</v>
      </c>
      <c r="I1026" s="14">
        <v>44915.0</v>
      </c>
      <c r="J1026" s="14"/>
      <c r="K1026" s="15"/>
      <c r="L1026" s="15"/>
      <c r="M1026" s="16"/>
      <c r="N1026" s="16"/>
      <c r="O1026" s="17">
        <v>0.0</v>
      </c>
      <c r="P1026" s="17">
        <v>0.0</v>
      </c>
      <c r="Q1026" s="13">
        <f t="shared" si="1059"/>
        <v>0</v>
      </c>
      <c r="R1026" s="14">
        <v>44971.0</v>
      </c>
      <c r="S1026" s="13"/>
      <c r="T1026" s="13">
        <f t="shared" ref="T1026:Y1026" si="1070">IF(ISBLANK(K1026)=TRUE,0,1)</f>
        <v>0</v>
      </c>
      <c r="U1026" s="13">
        <f t="shared" si="1070"/>
        <v>0</v>
      </c>
      <c r="V1026" s="13">
        <f t="shared" si="1070"/>
        <v>0</v>
      </c>
      <c r="W1026" s="13">
        <f t="shared" si="1070"/>
        <v>0</v>
      </c>
      <c r="X1026" s="13">
        <f t="shared" si="1070"/>
        <v>1</v>
      </c>
      <c r="Y1026" s="13">
        <f t="shared" si="1070"/>
        <v>1</v>
      </c>
      <c r="Z1026" s="13">
        <f t="shared" si="529"/>
        <v>0</v>
      </c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</row>
    <row r="1027" ht="14.25" hidden="1" customHeight="1">
      <c r="A1027" s="13" t="s">
        <v>29</v>
      </c>
      <c r="B1027" s="13" t="s">
        <v>34</v>
      </c>
      <c r="C1027" s="18" t="s">
        <v>649</v>
      </c>
      <c r="D1027" s="13"/>
      <c r="E1027" s="13" t="str">
        <f t="shared" si="735"/>
        <v>LPEF,242-2-39,,0</v>
      </c>
      <c r="F1027" s="13"/>
      <c r="G1027" s="13" t="s">
        <v>111</v>
      </c>
      <c r="H1027" s="13" t="s">
        <v>75</v>
      </c>
      <c r="I1027" s="14">
        <v>44915.0</v>
      </c>
      <c r="J1027" s="14"/>
      <c r="K1027" s="15"/>
      <c r="L1027" s="15"/>
      <c r="M1027" s="16"/>
      <c r="N1027" s="16"/>
      <c r="O1027" s="17">
        <v>0.0</v>
      </c>
      <c r="P1027" s="17">
        <v>0.0</v>
      </c>
      <c r="Q1027" s="13">
        <f t="shared" si="1059"/>
        <v>0</v>
      </c>
      <c r="R1027" s="14">
        <v>44971.0</v>
      </c>
      <c r="S1027" s="13"/>
      <c r="T1027" s="13">
        <f t="shared" ref="T1027:Y1027" si="1071">IF(ISBLANK(K1027)=TRUE,0,1)</f>
        <v>0</v>
      </c>
      <c r="U1027" s="13">
        <f t="shared" si="1071"/>
        <v>0</v>
      </c>
      <c r="V1027" s="13">
        <f t="shared" si="1071"/>
        <v>0</v>
      </c>
      <c r="W1027" s="13">
        <f t="shared" si="1071"/>
        <v>0</v>
      </c>
      <c r="X1027" s="13">
        <f t="shared" si="1071"/>
        <v>1</v>
      </c>
      <c r="Y1027" s="13">
        <f t="shared" si="1071"/>
        <v>1</v>
      </c>
      <c r="Z1027" s="13">
        <f t="shared" si="529"/>
        <v>0</v>
      </c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</row>
    <row r="1028" ht="14.25" hidden="1" customHeight="1">
      <c r="A1028" s="13" t="s">
        <v>29</v>
      </c>
      <c r="B1028" s="13" t="s">
        <v>34</v>
      </c>
      <c r="C1028" s="18" t="s">
        <v>650</v>
      </c>
      <c r="D1028" s="13"/>
      <c r="E1028" s="13" t="str">
        <f t="shared" si="735"/>
        <v>LPEF,242-2-4,,0</v>
      </c>
      <c r="F1028" s="13"/>
      <c r="G1028" s="13" t="s">
        <v>111</v>
      </c>
      <c r="H1028" s="13" t="s">
        <v>107</v>
      </c>
      <c r="I1028" s="14">
        <v>44915.0</v>
      </c>
      <c r="J1028" s="14"/>
      <c r="K1028" s="15"/>
      <c r="L1028" s="15"/>
      <c r="M1028" s="16"/>
      <c r="N1028" s="16"/>
      <c r="O1028" s="17">
        <v>0.0</v>
      </c>
      <c r="P1028" s="17">
        <v>0.0</v>
      </c>
      <c r="Q1028" s="13">
        <f t="shared" si="1059"/>
        <v>0</v>
      </c>
      <c r="R1028" s="14">
        <v>44971.0</v>
      </c>
      <c r="S1028" s="13"/>
      <c r="T1028" s="13">
        <f t="shared" ref="T1028:Y1028" si="1072">IF(ISBLANK(K1028)=TRUE,0,1)</f>
        <v>0</v>
      </c>
      <c r="U1028" s="13">
        <f t="shared" si="1072"/>
        <v>0</v>
      </c>
      <c r="V1028" s="13">
        <f t="shared" si="1072"/>
        <v>0</v>
      </c>
      <c r="W1028" s="13">
        <f t="shared" si="1072"/>
        <v>0</v>
      </c>
      <c r="X1028" s="13">
        <f t="shared" si="1072"/>
        <v>1</v>
      </c>
      <c r="Y1028" s="13">
        <f t="shared" si="1072"/>
        <v>1</v>
      </c>
      <c r="Z1028" s="13">
        <f t="shared" si="529"/>
        <v>0</v>
      </c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</row>
    <row r="1029" ht="14.25" hidden="1" customHeight="1">
      <c r="A1029" s="13" t="s">
        <v>29</v>
      </c>
      <c r="B1029" s="13" t="s">
        <v>34</v>
      </c>
      <c r="C1029" s="18" t="s">
        <v>651</v>
      </c>
      <c r="D1029" s="13"/>
      <c r="E1029" s="13" t="str">
        <f t="shared" si="735"/>
        <v>LPEF,242-2-40,,0</v>
      </c>
      <c r="F1029" s="13"/>
      <c r="G1029" s="13" t="s">
        <v>111</v>
      </c>
      <c r="H1029" s="13" t="s">
        <v>75</v>
      </c>
      <c r="I1029" s="14">
        <v>44915.0</v>
      </c>
      <c r="J1029" s="14"/>
      <c r="K1029" s="15"/>
      <c r="L1029" s="15"/>
      <c r="M1029" s="16"/>
      <c r="N1029" s="16"/>
      <c r="O1029" s="17">
        <v>0.0</v>
      </c>
      <c r="P1029" s="17">
        <v>0.0</v>
      </c>
      <c r="Q1029" s="13">
        <f t="shared" si="1059"/>
        <v>0</v>
      </c>
      <c r="R1029" s="14">
        <v>44971.0</v>
      </c>
      <c r="S1029" s="13"/>
      <c r="T1029" s="13">
        <f t="shared" ref="T1029:Y1029" si="1073">IF(ISBLANK(K1029)=TRUE,0,1)</f>
        <v>0</v>
      </c>
      <c r="U1029" s="13">
        <f t="shared" si="1073"/>
        <v>0</v>
      </c>
      <c r="V1029" s="13">
        <f t="shared" si="1073"/>
        <v>0</v>
      </c>
      <c r="W1029" s="13">
        <f t="shared" si="1073"/>
        <v>0</v>
      </c>
      <c r="X1029" s="13">
        <f t="shared" si="1073"/>
        <v>1</v>
      </c>
      <c r="Y1029" s="13">
        <f t="shared" si="1073"/>
        <v>1</v>
      </c>
      <c r="Z1029" s="13">
        <f t="shared" si="529"/>
        <v>0</v>
      </c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</row>
    <row r="1030" ht="14.25" hidden="1" customHeight="1">
      <c r="A1030" s="13" t="s">
        <v>29</v>
      </c>
      <c r="B1030" s="13" t="s">
        <v>34</v>
      </c>
      <c r="C1030" s="18" t="s">
        <v>652</v>
      </c>
      <c r="D1030" s="13"/>
      <c r="E1030" s="13" t="str">
        <f t="shared" si="735"/>
        <v>LPEF,242-2-41,,0</v>
      </c>
      <c r="F1030" s="13"/>
      <c r="G1030" s="13" t="s">
        <v>111</v>
      </c>
      <c r="H1030" s="13" t="s">
        <v>107</v>
      </c>
      <c r="I1030" s="14">
        <v>44915.0</v>
      </c>
      <c r="J1030" s="14"/>
      <c r="K1030" s="15"/>
      <c r="L1030" s="15"/>
      <c r="M1030" s="16"/>
      <c r="N1030" s="16"/>
      <c r="O1030" s="17">
        <v>0.0</v>
      </c>
      <c r="P1030" s="17">
        <v>0.0</v>
      </c>
      <c r="Q1030" s="13">
        <f t="shared" si="1059"/>
        <v>0</v>
      </c>
      <c r="R1030" s="14">
        <v>44971.0</v>
      </c>
      <c r="S1030" s="13"/>
      <c r="T1030" s="13">
        <f t="shared" ref="T1030:Y1030" si="1074">IF(ISBLANK(K1030)=TRUE,0,1)</f>
        <v>0</v>
      </c>
      <c r="U1030" s="13">
        <f t="shared" si="1074"/>
        <v>0</v>
      </c>
      <c r="V1030" s="13">
        <f t="shared" si="1074"/>
        <v>0</v>
      </c>
      <c r="W1030" s="13">
        <f t="shared" si="1074"/>
        <v>0</v>
      </c>
      <c r="X1030" s="13">
        <f t="shared" si="1074"/>
        <v>1</v>
      </c>
      <c r="Y1030" s="13">
        <f t="shared" si="1074"/>
        <v>1</v>
      </c>
      <c r="Z1030" s="13">
        <f t="shared" si="529"/>
        <v>0</v>
      </c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</row>
    <row r="1031" ht="14.25" hidden="1" customHeight="1">
      <c r="A1031" s="13" t="s">
        <v>29</v>
      </c>
      <c r="B1031" s="13" t="s">
        <v>34</v>
      </c>
      <c r="C1031" s="18" t="s">
        <v>653</v>
      </c>
      <c r="D1031" s="13"/>
      <c r="E1031" s="13" t="str">
        <f t="shared" si="735"/>
        <v>LPEF,242-2-42,,0</v>
      </c>
      <c r="F1031" s="13"/>
      <c r="G1031" s="13" t="s">
        <v>111</v>
      </c>
      <c r="H1031" s="13" t="s">
        <v>75</v>
      </c>
      <c r="I1031" s="14">
        <v>44915.0</v>
      </c>
      <c r="J1031" s="14"/>
      <c r="K1031" s="15"/>
      <c r="L1031" s="15"/>
      <c r="M1031" s="16"/>
      <c r="N1031" s="16"/>
      <c r="O1031" s="17">
        <v>0.0</v>
      </c>
      <c r="P1031" s="17">
        <v>0.0</v>
      </c>
      <c r="Q1031" s="13">
        <f t="shared" si="1059"/>
        <v>0</v>
      </c>
      <c r="R1031" s="14">
        <v>44971.0</v>
      </c>
      <c r="S1031" s="13"/>
      <c r="T1031" s="13">
        <f t="shared" ref="T1031:Y1031" si="1075">IF(ISBLANK(K1031)=TRUE,0,1)</f>
        <v>0</v>
      </c>
      <c r="U1031" s="13">
        <f t="shared" si="1075"/>
        <v>0</v>
      </c>
      <c r="V1031" s="13">
        <f t="shared" si="1075"/>
        <v>0</v>
      </c>
      <c r="W1031" s="13">
        <f t="shared" si="1075"/>
        <v>0</v>
      </c>
      <c r="X1031" s="13">
        <f t="shared" si="1075"/>
        <v>1</v>
      </c>
      <c r="Y1031" s="13">
        <f t="shared" si="1075"/>
        <v>1</v>
      </c>
      <c r="Z1031" s="13">
        <f t="shared" si="529"/>
        <v>0</v>
      </c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</row>
    <row r="1032" ht="14.25" hidden="1" customHeight="1">
      <c r="A1032" s="13" t="s">
        <v>29</v>
      </c>
      <c r="B1032" s="13" t="s">
        <v>34</v>
      </c>
      <c r="C1032" s="13" t="s">
        <v>653</v>
      </c>
      <c r="D1032" s="13" t="s">
        <v>174</v>
      </c>
      <c r="E1032" s="13" t="str">
        <f t="shared" si="735"/>
        <v>LPEF,242-2-42,AA,0</v>
      </c>
      <c r="F1032" s="13"/>
      <c r="G1032" s="13" t="s">
        <v>111</v>
      </c>
      <c r="H1032" s="13" t="s">
        <v>75</v>
      </c>
      <c r="I1032" s="13"/>
      <c r="J1032" s="13"/>
      <c r="K1032" s="15"/>
      <c r="L1032" s="15"/>
      <c r="M1032" s="16"/>
      <c r="N1032" s="16"/>
      <c r="O1032" s="17">
        <v>0.0</v>
      </c>
      <c r="P1032" s="17">
        <v>0.0</v>
      </c>
      <c r="Q1032" s="13"/>
      <c r="R1032" s="14">
        <v>44971.0</v>
      </c>
      <c r="S1032" s="13"/>
      <c r="T1032" s="13">
        <f t="shared" ref="T1032:Y1032" si="1076">IF(ISBLANK(K1032)=TRUE,0,1)</f>
        <v>0</v>
      </c>
      <c r="U1032" s="13">
        <f t="shared" si="1076"/>
        <v>0</v>
      </c>
      <c r="V1032" s="13">
        <f t="shared" si="1076"/>
        <v>0</v>
      </c>
      <c r="W1032" s="13">
        <f t="shared" si="1076"/>
        <v>0</v>
      </c>
      <c r="X1032" s="13">
        <f t="shared" si="1076"/>
        <v>1</v>
      </c>
      <c r="Y1032" s="13">
        <f t="shared" si="1076"/>
        <v>1</v>
      </c>
      <c r="Z1032" s="13">
        <f t="shared" si="529"/>
        <v>0</v>
      </c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</row>
    <row r="1033" ht="14.25" hidden="1" customHeight="1">
      <c r="A1033" s="13" t="s">
        <v>29</v>
      </c>
      <c r="B1033" s="13" t="s">
        <v>34</v>
      </c>
      <c r="C1033" s="18" t="s">
        <v>654</v>
      </c>
      <c r="D1033" s="13"/>
      <c r="E1033" s="13" t="str">
        <f t="shared" si="735"/>
        <v>LPEF,242-2-43,,0</v>
      </c>
      <c r="F1033" s="13"/>
      <c r="G1033" s="13" t="s">
        <v>111</v>
      </c>
      <c r="H1033" s="13" t="s">
        <v>75</v>
      </c>
      <c r="I1033" s="14">
        <v>44915.0</v>
      </c>
      <c r="J1033" s="14"/>
      <c r="K1033" s="15"/>
      <c r="L1033" s="15"/>
      <c r="M1033" s="16"/>
      <c r="N1033" s="16"/>
      <c r="O1033" s="17">
        <v>0.0</v>
      </c>
      <c r="P1033" s="17">
        <v>0.0</v>
      </c>
      <c r="Q1033" s="13">
        <f>K1032+L1032+M1032+N1032+O1032+P1032/6</f>
        <v>0</v>
      </c>
      <c r="R1033" s="14">
        <v>44971.0</v>
      </c>
      <c r="S1033" s="13"/>
      <c r="T1033" s="13">
        <f t="shared" ref="T1033:Y1033" si="1077">IF(ISBLANK(K1033)=TRUE,0,1)</f>
        <v>0</v>
      </c>
      <c r="U1033" s="13">
        <f t="shared" si="1077"/>
        <v>0</v>
      </c>
      <c r="V1033" s="13">
        <f t="shared" si="1077"/>
        <v>0</v>
      </c>
      <c r="W1033" s="13">
        <f t="shared" si="1077"/>
        <v>0</v>
      </c>
      <c r="X1033" s="13">
        <f t="shared" si="1077"/>
        <v>1</v>
      </c>
      <c r="Y1033" s="13">
        <f t="shared" si="1077"/>
        <v>1</v>
      </c>
      <c r="Z1033" s="13">
        <f t="shared" si="529"/>
        <v>0</v>
      </c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</row>
    <row r="1034" ht="14.25" hidden="1" customHeight="1">
      <c r="A1034" s="13" t="s">
        <v>29</v>
      </c>
      <c r="B1034" s="13" t="s">
        <v>34</v>
      </c>
      <c r="C1034" s="13" t="s">
        <v>654</v>
      </c>
      <c r="D1034" s="13" t="s">
        <v>174</v>
      </c>
      <c r="E1034" s="13" t="str">
        <f t="shared" si="735"/>
        <v>LPEF,242-2-43,AA,0</v>
      </c>
      <c r="F1034" s="13"/>
      <c r="G1034" s="13" t="s">
        <v>111</v>
      </c>
      <c r="H1034" s="13" t="s">
        <v>75</v>
      </c>
      <c r="I1034" s="13"/>
      <c r="J1034" s="13"/>
      <c r="K1034" s="15"/>
      <c r="L1034" s="15"/>
      <c r="M1034" s="16"/>
      <c r="N1034" s="16"/>
      <c r="O1034" s="17">
        <v>0.0</v>
      </c>
      <c r="P1034" s="17">
        <v>0.0</v>
      </c>
      <c r="Q1034" s="13"/>
      <c r="R1034" s="14">
        <v>44971.0</v>
      </c>
      <c r="S1034" s="13"/>
      <c r="T1034" s="13">
        <f t="shared" ref="T1034:Y1034" si="1078">IF(ISBLANK(K1034)=TRUE,0,1)</f>
        <v>0</v>
      </c>
      <c r="U1034" s="13">
        <f t="shared" si="1078"/>
        <v>0</v>
      </c>
      <c r="V1034" s="13">
        <f t="shared" si="1078"/>
        <v>0</v>
      </c>
      <c r="W1034" s="13">
        <f t="shared" si="1078"/>
        <v>0</v>
      </c>
      <c r="X1034" s="13">
        <f t="shared" si="1078"/>
        <v>1</v>
      </c>
      <c r="Y1034" s="13">
        <f t="shared" si="1078"/>
        <v>1</v>
      </c>
      <c r="Z1034" s="13">
        <f t="shared" si="529"/>
        <v>0</v>
      </c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</row>
    <row r="1035" ht="14.25" hidden="1" customHeight="1">
      <c r="A1035" s="13" t="s">
        <v>29</v>
      </c>
      <c r="B1035" s="13" t="s">
        <v>34</v>
      </c>
      <c r="C1035" s="18" t="s">
        <v>655</v>
      </c>
      <c r="D1035" s="13"/>
      <c r="E1035" s="13" t="str">
        <f t="shared" si="735"/>
        <v>LPEF,242-2-44,,0</v>
      </c>
      <c r="F1035" s="13"/>
      <c r="G1035" s="13" t="s">
        <v>111</v>
      </c>
      <c r="H1035" s="13" t="s">
        <v>107</v>
      </c>
      <c r="I1035" s="14">
        <v>44915.0</v>
      </c>
      <c r="J1035" s="14"/>
      <c r="K1035" s="15"/>
      <c r="L1035" s="15"/>
      <c r="M1035" s="16"/>
      <c r="N1035" s="16"/>
      <c r="O1035" s="17">
        <v>0.0</v>
      </c>
      <c r="P1035" s="17">
        <v>0.0</v>
      </c>
      <c r="Q1035" s="13">
        <f t="shared" ref="Q1035:Q1038" si="1080">K1034+L1034+M1034+N1034+O1034+P1034/6</f>
        <v>0</v>
      </c>
      <c r="R1035" s="14">
        <v>44971.0</v>
      </c>
      <c r="S1035" s="13"/>
      <c r="T1035" s="13">
        <f t="shared" ref="T1035:Y1035" si="1079">IF(ISBLANK(K1035)=TRUE,0,1)</f>
        <v>0</v>
      </c>
      <c r="U1035" s="13">
        <f t="shared" si="1079"/>
        <v>0</v>
      </c>
      <c r="V1035" s="13">
        <f t="shared" si="1079"/>
        <v>0</v>
      </c>
      <c r="W1035" s="13">
        <f t="shared" si="1079"/>
        <v>0</v>
      </c>
      <c r="X1035" s="13">
        <f t="shared" si="1079"/>
        <v>1</v>
      </c>
      <c r="Y1035" s="13">
        <f t="shared" si="1079"/>
        <v>1</v>
      </c>
      <c r="Z1035" s="13">
        <f t="shared" si="529"/>
        <v>0</v>
      </c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</row>
    <row r="1036" ht="14.25" hidden="1" customHeight="1">
      <c r="A1036" s="13" t="s">
        <v>29</v>
      </c>
      <c r="B1036" s="13" t="s">
        <v>34</v>
      </c>
      <c r="C1036" s="18" t="s">
        <v>656</v>
      </c>
      <c r="D1036" s="13"/>
      <c r="E1036" s="13" t="str">
        <f t="shared" si="735"/>
        <v>LPEF,242-2-45,,0</v>
      </c>
      <c r="F1036" s="13"/>
      <c r="G1036" s="13" t="s">
        <v>111</v>
      </c>
      <c r="H1036" s="13" t="s">
        <v>75</v>
      </c>
      <c r="I1036" s="14">
        <v>44915.0</v>
      </c>
      <c r="J1036" s="14"/>
      <c r="K1036" s="15"/>
      <c r="L1036" s="15"/>
      <c r="M1036" s="16"/>
      <c r="N1036" s="16"/>
      <c r="O1036" s="17">
        <v>0.0</v>
      </c>
      <c r="P1036" s="17">
        <v>0.0</v>
      </c>
      <c r="Q1036" s="13">
        <f t="shared" si="1080"/>
        <v>0</v>
      </c>
      <c r="R1036" s="14">
        <v>44971.0</v>
      </c>
      <c r="S1036" s="13"/>
      <c r="T1036" s="13">
        <f t="shared" ref="T1036:Y1036" si="1081">IF(ISBLANK(K1036)=TRUE,0,1)</f>
        <v>0</v>
      </c>
      <c r="U1036" s="13">
        <f t="shared" si="1081"/>
        <v>0</v>
      </c>
      <c r="V1036" s="13">
        <f t="shared" si="1081"/>
        <v>0</v>
      </c>
      <c r="W1036" s="13">
        <f t="shared" si="1081"/>
        <v>0</v>
      </c>
      <c r="X1036" s="13">
        <f t="shared" si="1081"/>
        <v>1</v>
      </c>
      <c r="Y1036" s="13">
        <f t="shared" si="1081"/>
        <v>1</v>
      </c>
      <c r="Z1036" s="13">
        <f t="shared" si="529"/>
        <v>0</v>
      </c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</row>
    <row r="1037" ht="14.25" hidden="1" customHeight="1">
      <c r="A1037" s="13" t="s">
        <v>29</v>
      </c>
      <c r="B1037" s="13" t="s">
        <v>34</v>
      </c>
      <c r="C1037" s="18" t="s">
        <v>657</v>
      </c>
      <c r="D1037" s="13"/>
      <c r="E1037" s="13" t="str">
        <f t="shared" si="735"/>
        <v>LPEF,242-2-46,,0</v>
      </c>
      <c r="F1037" s="13"/>
      <c r="G1037" s="13" t="s">
        <v>111</v>
      </c>
      <c r="H1037" s="13" t="s">
        <v>107</v>
      </c>
      <c r="I1037" s="14">
        <v>44915.0</v>
      </c>
      <c r="J1037" s="14"/>
      <c r="K1037" s="15"/>
      <c r="L1037" s="15"/>
      <c r="M1037" s="16"/>
      <c r="N1037" s="16"/>
      <c r="O1037" s="17">
        <v>0.0</v>
      </c>
      <c r="P1037" s="17">
        <v>0.0</v>
      </c>
      <c r="Q1037" s="13">
        <f t="shared" si="1080"/>
        <v>0</v>
      </c>
      <c r="R1037" s="14">
        <v>44971.0</v>
      </c>
      <c r="S1037" s="13"/>
      <c r="T1037" s="13">
        <f t="shared" ref="T1037:Y1037" si="1082">IF(ISBLANK(K1037)=TRUE,0,1)</f>
        <v>0</v>
      </c>
      <c r="U1037" s="13">
        <f t="shared" si="1082"/>
        <v>0</v>
      </c>
      <c r="V1037" s="13">
        <f t="shared" si="1082"/>
        <v>0</v>
      </c>
      <c r="W1037" s="13">
        <f t="shared" si="1082"/>
        <v>0</v>
      </c>
      <c r="X1037" s="13">
        <f t="shared" si="1082"/>
        <v>1</v>
      </c>
      <c r="Y1037" s="13">
        <f t="shared" si="1082"/>
        <v>1</v>
      </c>
      <c r="Z1037" s="13">
        <f t="shared" si="529"/>
        <v>0</v>
      </c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</row>
    <row r="1038" ht="14.25" hidden="1" customHeight="1">
      <c r="A1038" s="13" t="s">
        <v>29</v>
      </c>
      <c r="B1038" s="13" t="s">
        <v>34</v>
      </c>
      <c r="C1038" s="18" t="s">
        <v>658</v>
      </c>
      <c r="D1038" s="13"/>
      <c r="E1038" s="13" t="str">
        <f t="shared" si="735"/>
        <v>LPEF,242-2-47,,0</v>
      </c>
      <c r="F1038" s="13"/>
      <c r="G1038" s="13" t="s">
        <v>111</v>
      </c>
      <c r="H1038" s="13" t="s">
        <v>75</v>
      </c>
      <c r="I1038" s="14">
        <v>44915.0</v>
      </c>
      <c r="J1038" s="14"/>
      <c r="K1038" s="15"/>
      <c r="L1038" s="15"/>
      <c r="M1038" s="16"/>
      <c r="N1038" s="16"/>
      <c r="O1038" s="17">
        <v>0.0</v>
      </c>
      <c r="P1038" s="17">
        <v>0.0</v>
      </c>
      <c r="Q1038" s="13">
        <f t="shared" si="1080"/>
        <v>0</v>
      </c>
      <c r="R1038" s="14">
        <v>44971.0</v>
      </c>
      <c r="S1038" s="13"/>
      <c r="T1038" s="13">
        <f t="shared" ref="T1038:Y1038" si="1083">IF(ISBLANK(K1038)=TRUE,0,1)</f>
        <v>0</v>
      </c>
      <c r="U1038" s="13">
        <f t="shared" si="1083"/>
        <v>0</v>
      </c>
      <c r="V1038" s="13">
        <f t="shared" si="1083"/>
        <v>0</v>
      </c>
      <c r="W1038" s="13">
        <f t="shared" si="1083"/>
        <v>0</v>
      </c>
      <c r="X1038" s="13">
        <f t="shared" si="1083"/>
        <v>1</v>
      </c>
      <c r="Y1038" s="13">
        <f t="shared" si="1083"/>
        <v>1</v>
      </c>
      <c r="Z1038" s="13">
        <f t="shared" si="529"/>
        <v>0</v>
      </c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</row>
    <row r="1039" ht="14.25" hidden="1" customHeight="1">
      <c r="A1039" s="13" t="s">
        <v>29</v>
      </c>
      <c r="B1039" s="13" t="s">
        <v>34</v>
      </c>
      <c r="C1039" s="18" t="s">
        <v>658</v>
      </c>
      <c r="D1039" s="13" t="s">
        <v>174</v>
      </c>
      <c r="E1039" s="13" t="str">
        <f t="shared" si="735"/>
        <v>LPEF,242-2-47,AA,0</v>
      </c>
      <c r="F1039" s="13"/>
      <c r="G1039" s="13" t="s">
        <v>111</v>
      </c>
      <c r="H1039" s="13" t="s">
        <v>75</v>
      </c>
      <c r="I1039" s="13"/>
      <c r="J1039" s="13"/>
      <c r="K1039" s="15"/>
      <c r="L1039" s="15"/>
      <c r="M1039" s="16"/>
      <c r="N1039" s="16"/>
      <c r="O1039" s="17">
        <v>0.0</v>
      </c>
      <c r="P1039" s="17">
        <v>0.0</v>
      </c>
      <c r="Q1039" s="13"/>
      <c r="R1039" s="14">
        <v>44971.0</v>
      </c>
      <c r="S1039" s="13"/>
      <c r="T1039" s="13">
        <f t="shared" ref="T1039:Y1039" si="1084">IF(ISBLANK(K1039)=TRUE,0,1)</f>
        <v>0</v>
      </c>
      <c r="U1039" s="13">
        <f t="shared" si="1084"/>
        <v>0</v>
      </c>
      <c r="V1039" s="13">
        <f t="shared" si="1084"/>
        <v>0</v>
      </c>
      <c r="W1039" s="13">
        <f t="shared" si="1084"/>
        <v>0</v>
      </c>
      <c r="X1039" s="13">
        <f t="shared" si="1084"/>
        <v>1</v>
      </c>
      <c r="Y1039" s="13">
        <f t="shared" si="1084"/>
        <v>1</v>
      </c>
      <c r="Z1039" s="13">
        <f t="shared" si="529"/>
        <v>0</v>
      </c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</row>
    <row r="1040" ht="14.25" hidden="1" customHeight="1">
      <c r="A1040" s="13" t="s">
        <v>29</v>
      </c>
      <c r="B1040" s="13" t="s">
        <v>34</v>
      </c>
      <c r="C1040" s="18" t="s">
        <v>659</v>
      </c>
      <c r="D1040" s="13"/>
      <c r="E1040" s="13" t="str">
        <f t="shared" si="735"/>
        <v>LPEF,242-2-48,,0</v>
      </c>
      <c r="F1040" s="13"/>
      <c r="G1040" s="13" t="s">
        <v>111</v>
      </c>
      <c r="H1040" s="13" t="s">
        <v>107</v>
      </c>
      <c r="I1040" s="14">
        <v>44915.0</v>
      </c>
      <c r="J1040" s="14"/>
      <c r="K1040" s="15"/>
      <c r="L1040" s="15"/>
      <c r="M1040" s="16"/>
      <c r="N1040" s="16"/>
      <c r="O1040" s="17">
        <v>0.0</v>
      </c>
      <c r="P1040" s="17">
        <v>0.0</v>
      </c>
      <c r="Q1040" s="13">
        <f t="shared" ref="Q1040:Q1069" si="1086">K1039+L1039+M1039+N1039+O1039+P1039/6</f>
        <v>0</v>
      </c>
      <c r="R1040" s="14">
        <v>44971.0</v>
      </c>
      <c r="S1040" s="13"/>
      <c r="T1040" s="13">
        <f t="shared" ref="T1040:Y1040" si="1085">IF(ISBLANK(K1040)=TRUE,0,1)</f>
        <v>0</v>
      </c>
      <c r="U1040" s="13">
        <f t="shared" si="1085"/>
        <v>0</v>
      </c>
      <c r="V1040" s="13">
        <f t="shared" si="1085"/>
        <v>0</v>
      </c>
      <c r="W1040" s="13">
        <f t="shared" si="1085"/>
        <v>0</v>
      </c>
      <c r="X1040" s="13">
        <f t="shared" si="1085"/>
        <v>1</v>
      </c>
      <c r="Y1040" s="13">
        <f t="shared" si="1085"/>
        <v>1</v>
      </c>
      <c r="Z1040" s="13">
        <f t="shared" si="529"/>
        <v>0</v>
      </c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</row>
    <row r="1041" ht="14.25" hidden="1" customHeight="1">
      <c r="A1041" s="13" t="s">
        <v>29</v>
      </c>
      <c r="B1041" s="13" t="s">
        <v>34</v>
      </c>
      <c r="C1041" s="18" t="s">
        <v>660</v>
      </c>
      <c r="D1041" s="13"/>
      <c r="E1041" s="13" t="str">
        <f t="shared" si="735"/>
        <v>LPEF,242-2-49,,0</v>
      </c>
      <c r="F1041" s="13"/>
      <c r="G1041" s="13" t="s">
        <v>111</v>
      </c>
      <c r="H1041" s="13" t="s">
        <v>107</v>
      </c>
      <c r="I1041" s="14">
        <v>44915.0</v>
      </c>
      <c r="J1041" s="14"/>
      <c r="K1041" s="15"/>
      <c r="L1041" s="15"/>
      <c r="M1041" s="16"/>
      <c r="N1041" s="16"/>
      <c r="O1041" s="17">
        <v>0.0</v>
      </c>
      <c r="P1041" s="17">
        <v>0.0</v>
      </c>
      <c r="Q1041" s="13">
        <f t="shared" si="1086"/>
        <v>0</v>
      </c>
      <c r="R1041" s="14">
        <v>44971.0</v>
      </c>
      <c r="S1041" s="13"/>
      <c r="T1041" s="13">
        <f t="shared" ref="T1041:Y1041" si="1087">IF(ISBLANK(K1041)=TRUE,0,1)</f>
        <v>0</v>
      </c>
      <c r="U1041" s="13">
        <f t="shared" si="1087"/>
        <v>0</v>
      </c>
      <c r="V1041" s="13">
        <f t="shared" si="1087"/>
        <v>0</v>
      </c>
      <c r="W1041" s="13">
        <f t="shared" si="1087"/>
        <v>0</v>
      </c>
      <c r="X1041" s="13">
        <f t="shared" si="1087"/>
        <v>1</v>
      </c>
      <c r="Y1041" s="13">
        <f t="shared" si="1087"/>
        <v>1</v>
      </c>
      <c r="Z1041" s="13">
        <f t="shared" si="529"/>
        <v>0</v>
      </c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</row>
    <row r="1042" ht="14.25" hidden="1" customHeight="1">
      <c r="A1042" s="13" t="s">
        <v>29</v>
      </c>
      <c r="B1042" s="13" t="s">
        <v>34</v>
      </c>
      <c r="C1042" s="18" t="s">
        <v>661</v>
      </c>
      <c r="D1042" s="13"/>
      <c r="E1042" s="13" t="str">
        <f t="shared" si="735"/>
        <v>LPEF,242-2-5,,0</v>
      </c>
      <c r="F1042" s="13"/>
      <c r="G1042" s="13" t="s">
        <v>111</v>
      </c>
      <c r="H1042" s="13" t="s">
        <v>107</v>
      </c>
      <c r="I1042" s="14">
        <v>44915.0</v>
      </c>
      <c r="J1042" s="14"/>
      <c r="K1042" s="15"/>
      <c r="L1042" s="15"/>
      <c r="M1042" s="16"/>
      <c r="N1042" s="16"/>
      <c r="O1042" s="17">
        <v>0.0</v>
      </c>
      <c r="P1042" s="17">
        <v>0.0</v>
      </c>
      <c r="Q1042" s="13">
        <f t="shared" si="1086"/>
        <v>0</v>
      </c>
      <c r="R1042" s="14">
        <v>44971.0</v>
      </c>
      <c r="S1042" s="13"/>
      <c r="T1042" s="13">
        <f t="shared" ref="T1042:Y1042" si="1088">IF(ISBLANK(K1042)=TRUE,0,1)</f>
        <v>0</v>
      </c>
      <c r="U1042" s="13">
        <f t="shared" si="1088"/>
        <v>0</v>
      </c>
      <c r="V1042" s="13">
        <f t="shared" si="1088"/>
        <v>0</v>
      </c>
      <c r="W1042" s="13">
        <f t="shared" si="1088"/>
        <v>0</v>
      </c>
      <c r="X1042" s="13">
        <f t="shared" si="1088"/>
        <v>1</v>
      </c>
      <c r="Y1042" s="13">
        <f t="shared" si="1088"/>
        <v>1</v>
      </c>
      <c r="Z1042" s="13">
        <f t="shared" si="529"/>
        <v>0</v>
      </c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</row>
    <row r="1043" ht="14.25" hidden="1" customHeight="1">
      <c r="A1043" s="13" t="s">
        <v>29</v>
      </c>
      <c r="B1043" s="13" t="s">
        <v>34</v>
      </c>
      <c r="C1043" s="18" t="s">
        <v>662</v>
      </c>
      <c r="D1043" s="13"/>
      <c r="E1043" s="13" t="str">
        <f t="shared" si="735"/>
        <v>LPEF,242-2-50,,0</v>
      </c>
      <c r="F1043" s="13"/>
      <c r="G1043" s="13" t="s">
        <v>111</v>
      </c>
      <c r="H1043" s="13" t="s">
        <v>107</v>
      </c>
      <c r="I1043" s="14">
        <v>44915.0</v>
      </c>
      <c r="J1043" s="14"/>
      <c r="K1043" s="15"/>
      <c r="L1043" s="15"/>
      <c r="M1043" s="16"/>
      <c r="N1043" s="16"/>
      <c r="O1043" s="17">
        <v>0.0</v>
      </c>
      <c r="P1043" s="17">
        <v>0.0</v>
      </c>
      <c r="Q1043" s="13">
        <f t="shared" si="1086"/>
        <v>0</v>
      </c>
      <c r="R1043" s="14">
        <v>44971.0</v>
      </c>
      <c r="S1043" s="13"/>
      <c r="T1043" s="13">
        <f t="shared" ref="T1043:Y1043" si="1089">IF(ISBLANK(K1043)=TRUE,0,1)</f>
        <v>0</v>
      </c>
      <c r="U1043" s="13">
        <f t="shared" si="1089"/>
        <v>0</v>
      </c>
      <c r="V1043" s="13">
        <f t="shared" si="1089"/>
        <v>0</v>
      </c>
      <c r="W1043" s="13">
        <f t="shared" si="1089"/>
        <v>0</v>
      </c>
      <c r="X1043" s="13">
        <f t="shared" si="1089"/>
        <v>1</v>
      </c>
      <c r="Y1043" s="13">
        <f t="shared" si="1089"/>
        <v>1</v>
      </c>
      <c r="Z1043" s="13">
        <f t="shared" si="529"/>
        <v>0</v>
      </c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</row>
    <row r="1044" ht="14.25" hidden="1" customHeight="1">
      <c r="A1044" s="13" t="s">
        <v>29</v>
      </c>
      <c r="B1044" s="13" t="s">
        <v>34</v>
      </c>
      <c r="C1044" s="18" t="s">
        <v>663</v>
      </c>
      <c r="D1044" s="13"/>
      <c r="E1044" s="13" t="str">
        <f t="shared" si="735"/>
        <v>LPEF,242-2-51,,0</v>
      </c>
      <c r="F1044" s="13"/>
      <c r="G1044" s="13" t="s">
        <v>111</v>
      </c>
      <c r="H1044" s="13" t="s">
        <v>107</v>
      </c>
      <c r="I1044" s="14">
        <v>44915.0</v>
      </c>
      <c r="J1044" s="14"/>
      <c r="K1044" s="15"/>
      <c r="L1044" s="15"/>
      <c r="M1044" s="16"/>
      <c r="N1044" s="16"/>
      <c r="O1044" s="17">
        <v>0.0</v>
      </c>
      <c r="P1044" s="17">
        <v>0.0</v>
      </c>
      <c r="Q1044" s="13">
        <f t="shared" si="1086"/>
        <v>0</v>
      </c>
      <c r="R1044" s="14">
        <v>44971.0</v>
      </c>
      <c r="S1044" s="13"/>
      <c r="T1044" s="13">
        <f t="shared" ref="T1044:Y1044" si="1090">IF(ISBLANK(K1044)=TRUE,0,1)</f>
        <v>0</v>
      </c>
      <c r="U1044" s="13">
        <f t="shared" si="1090"/>
        <v>0</v>
      </c>
      <c r="V1044" s="13">
        <f t="shared" si="1090"/>
        <v>0</v>
      </c>
      <c r="W1044" s="13">
        <f t="shared" si="1090"/>
        <v>0</v>
      </c>
      <c r="X1044" s="13">
        <f t="shared" si="1090"/>
        <v>1</v>
      </c>
      <c r="Y1044" s="13">
        <f t="shared" si="1090"/>
        <v>1</v>
      </c>
      <c r="Z1044" s="13">
        <f t="shared" si="529"/>
        <v>0</v>
      </c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</row>
    <row r="1045" ht="14.25" hidden="1" customHeight="1">
      <c r="A1045" s="13" t="s">
        <v>29</v>
      </c>
      <c r="B1045" s="13" t="s">
        <v>34</v>
      </c>
      <c r="C1045" s="13" t="s">
        <v>664</v>
      </c>
      <c r="D1045" s="13"/>
      <c r="E1045" s="13" t="str">
        <f t="shared" si="735"/>
        <v>LPEF,242-2-52,,0</v>
      </c>
      <c r="F1045" s="13"/>
      <c r="G1045" s="13" t="s">
        <v>111</v>
      </c>
      <c r="H1045" s="13" t="s">
        <v>75</v>
      </c>
      <c r="I1045" s="13"/>
      <c r="J1045" s="13"/>
      <c r="K1045" s="15"/>
      <c r="L1045" s="15"/>
      <c r="M1045" s="16"/>
      <c r="N1045" s="16"/>
      <c r="O1045" s="17">
        <v>0.0</v>
      </c>
      <c r="P1045" s="17">
        <v>0.0</v>
      </c>
      <c r="Q1045" s="13">
        <f t="shared" si="1086"/>
        <v>0</v>
      </c>
      <c r="R1045" s="14">
        <v>44971.0</v>
      </c>
      <c r="S1045" s="13"/>
      <c r="T1045" s="13">
        <f t="shared" ref="T1045:Y1045" si="1091">IF(ISBLANK(K1045)=TRUE,0,1)</f>
        <v>0</v>
      </c>
      <c r="U1045" s="13">
        <f t="shared" si="1091"/>
        <v>0</v>
      </c>
      <c r="V1045" s="13">
        <f t="shared" si="1091"/>
        <v>0</v>
      </c>
      <c r="W1045" s="13">
        <f t="shared" si="1091"/>
        <v>0</v>
      </c>
      <c r="X1045" s="13">
        <f t="shared" si="1091"/>
        <v>1</v>
      </c>
      <c r="Y1045" s="13">
        <f t="shared" si="1091"/>
        <v>1</v>
      </c>
      <c r="Z1045" s="13">
        <f t="shared" si="529"/>
        <v>0</v>
      </c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</row>
    <row r="1046" ht="14.25" hidden="1" customHeight="1">
      <c r="A1046" s="13" t="s">
        <v>29</v>
      </c>
      <c r="B1046" s="13" t="s">
        <v>34</v>
      </c>
      <c r="C1046" s="13" t="s">
        <v>665</v>
      </c>
      <c r="D1046" s="13"/>
      <c r="E1046" s="13" t="str">
        <f t="shared" si="735"/>
        <v>LPEF,242-2-53,,0</v>
      </c>
      <c r="F1046" s="13"/>
      <c r="G1046" s="13" t="s">
        <v>111</v>
      </c>
      <c r="H1046" s="13" t="s">
        <v>75</v>
      </c>
      <c r="I1046" s="13"/>
      <c r="J1046" s="13"/>
      <c r="K1046" s="15"/>
      <c r="L1046" s="15"/>
      <c r="M1046" s="16"/>
      <c r="N1046" s="16"/>
      <c r="O1046" s="17">
        <v>0.0</v>
      </c>
      <c r="P1046" s="17">
        <v>0.0</v>
      </c>
      <c r="Q1046" s="13">
        <f t="shared" si="1086"/>
        <v>0</v>
      </c>
      <c r="R1046" s="14">
        <v>44971.0</v>
      </c>
      <c r="S1046" s="13"/>
      <c r="T1046" s="13">
        <f t="shared" ref="T1046:Y1046" si="1092">IF(ISBLANK(K1046)=TRUE,0,1)</f>
        <v>0</v>
      </c>
      <c r="U1046" s="13">
        <f t="shared" si="1092"/>
        <v>0</v>
      </c>
      <c r="V1046" s="13">
        <f t="shared" si="1092"/>
        <v>0</v>
      </c>
      <c r="W1046" s="13">
        <f t="shared" si="1092"/>
        <v>0</v>
      </c>
      <c r="X1046" s="13">
        <f t="shared" si="1092"/>
        <v>1</v>
      </c>
      <c r="Y1046" s="13">
        <f t="shared" si="1092"/>
        <v>1</v>
      </c>
      <c r="Z1046" s="13">
        <f t="shared" si="529"/>
        <v>0</v>
      </c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</row>
    <row r="1047" ht="14.25" hidden="1" customHeight="1">
      <c r="A1047" s="13" t="s">
        <v>29</v>
      </c>
      <c r="B1047" s="13" t="s">
        <v>34</v>
      </c>
      <c r="C1047" s="13" t="s">
        <v>666</v>
      </c>
      <c r="D1047" s="13"/>
      <c r="E1047" s="13" t="str">
        <f t="shared" si="735"/>
        <v>LPEF,242-2-54,,0</v>
      </c>
      <c r="F1047" s="13"/>
      <c r="G1047" s="13" t="s">
        <v>111</v>
      </c>
      <c r="H1047" s="13" t="s">
        <v>75</v>
      </c>
      <c r="I1047" s="13"/>
      <c r="J1047" s="13"/>
      <c r="K1047" s="15"/>
      <c r="L1047" s="15"/>
      <c r="M1047" s="16"/>
      <c r="N1047" s="16"/>
      <c r="O1047" s="17">
        <v>0.0</v>
      </c>
      <c r="P1047" s="17">
        <v>0.0</v>
      </c>
      <c r="Q1047" s="13">
        <f t="shared" si="1086"/>
        <v>0</v>
      </c>
      <c r="R1047" s="14">
        <v>44971.0</v>
      </c>
      <c r="S1047" s="13"/>
      <c r="T1047" s="13">
        <f t="shared" ref="T1047:Y1047" si="1093">IF(ISBLANK(K1047)=TRUE,0,1)</f>
        <v>0</v>
      </c>
      <c r="U1047" s="13">
        <f t="shared" si="1093"/>
        <v>0</v>
      </c>
      <c r="V1047" s="13">
        <f t="shared" si="1093"/>
        <v>0</v>
      </c>
      <c r="W1047" s="13">
        <f t="shared" si="1093"/>
        <v>0</v>
      </c>
      <c r="X1047" s="13">
        <f t="shared" si="1093"/>
        <v>1</v>
      </c>
      <c r="Y1047" s="13">
        <f t="shared" si="1093"/>
        <v>1</v>
      </c>
      <c r="Z1047" s="13">
        <f t="shared" si="529"/>
        <v>0</v>
      </c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</row>
    <row r="1048" ht="14.25" hidden="1" customHeight="1">
      <c r="A1048" s="13" t="s">
        <v>29</v>
      </c>
      <c r="B1048" s="13" t="s">
        <v>34</v>
      </c>
      <c r="C1048" s="13" t="s">
        <v>667</v>
      </c>
      <c r="D1048" s="13"/>
      <c r="E1048" s="13" t="str">
        <f t="shared" si="735"/>
        <v>LPEF,242-2-55,,0</v>
      </c>
      <c r="F1048" s="13"/>
      <c r="G1048" s="13" t="s">
        <v>111</v>
      </c>
      <c r="H1048" s="13" t="s">
        <v>75</v>
      </c>
      <c r="I1048" s="13"/>
      <c r="J1048" s="13"/>
      <c r="K1048" s="15"/>
      <c r="L1048" s="15"/>
      <c r="M1048" s="16"/>
      <c r="N1048" s="16"/>
      <c r="O1048" s="17">
        <v>0.0</v>
      </c>
      <c r="P1048" s="17">
        <v>0.0</v>
      </c>
      <c r="Q1048" s="13">
        <f t="shared" si="1086"/>
        <v>0</v>
      </c>
      <c r="R1048" s="14">
        <v>44971.0</v>
      </c>
      <c r="S1048" s="13"/>
      <c r="T1048" s="13">
        <f t="shared" ref="T1048:Y1048" si="1094">IF(ISBLANK(K1048)=TRUE,0,1)</f>
        <v>0</v>
      </c>
      <c r="U1048" s="13">
        <f t="shared" si="1094"/>
        <v>0</v>
      </c>
      <c r="V1048" s="13">
        <f t="shared" si="1094"/>
        <v>0</v>
      </c>
      <c r="W1048" s="13">
        <f t="shared" si="1094"/>
        <v>0</v>
      </c>
      <c r="X1048" s="13">
        <f t="shared" si="1094"/>
        <v>1</v>
      </c>
      <c r="Y1048" s="13">
        <f t="shared" si="1094"/>
        <v>1</v>
      </c>
      <c r="Z1048" s="13">
        <f t="shared" si="529"/>
        <v>0</v>
      </c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</row>
    <row r="1049" ht="14.25" hidden="1" customHeight="1">
      <c r="A1049" s="13" t="s">
        <v>29</v>
      </c>
      <c r="B1049" s="13" t="s">
        <v>34</v>
      </c>
      <c r="C1049" s="18" t="s">
        <v>668</v>
      </c>
      <c r="D1049" s="13"/>
      <c r="E1049" s="13" t="str">
        <f t="shared" si="735"/>
        <v>LPEF,242-2-6,,0</v>
      </c>
      <c r="F1049" s="13"/>
      <c r="G1049" s="13" t="s">
        <v>111</v>
      </c>
      <c r="H1049" s="13" t="s">
        <v>107</v>
      </c>
      <c r="I1049" s="14">
        <v>44915.0</v>
      </c>
      <c r="J1049" s="14"/>
      <c r="K1049" s="15"/>
      <c r="L1049" s="15"/>
      <c r="M1049" s="16"/>
      <c r="N1049" s="16"/>
      <c r="O1049" s="17">
        <v>0.0</v>
      </c>
      <c r="P1049" s="17">
        <v>0.0</v>
      </c>
      <c r="Q1049" s="13">
        <f t="shared" si="1086"/>
        <v>0</v>
      </c>
      <c r="R1049" s="14">
        <v>44971.0</v>
      </c>
      <c r="S1049" s="13"/>
      <c r="T1049" s="13">
        <f t="shared" ref="T1049:Y1049" si="1095">IF(ISBLANK(K1049)=TRUE,0,1)</f>
        <v>0</v>
      </c>
      <c r="U1049" s="13">
        <f t="shared" si="1095"/>
        <v>0</v>
      </c>
      <c r="V1049" s="13">
        <f t="shared" si="1095"/>
        <v>0</v>
      </c>
      <c r="W1049" s="13">
        <f t="shared" si="1095"/>
        <v>0</v>
      </c>
      <c r="X1049" s="13">
        <f t="shared" si="1095"/>
        <v>1</v>
      </c>
      <c r="Y1049" s="13">
        <f t="shared" si="1095"/>
        <v>1</v>
      </c>
      <c r="Z1049" s="13">
        <f t="shared" si="529"/>
        <v>0</v>
      </c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</row>
    <row r="1050" ht="14.25" hidden="1" customHeight="1">
      <c r="A1050" s="13" t="s">
        <v>29</v>
      </c>
      <c r="B1050" s="13" t="s">
        <v>34</v>
      </c>
      <c r="C1050" s="18" t="s">
        <v>669</v>
      </c>
      <c r="D1050" s="13"/>
      <c r="E1050" s="13" t="str">
        <f t="shared" si="735"/>
        <v>LPEF,242-2-7,,0</v>
      </c>
      <c r="F1050" s="13"/>
      <c r="G1050" s="13" t="s">
        <v>111</v>
      </c>
      <c r="H1050" s="13" t="s">
        <v>75</v>
      </c>
      <c r="I1050" s="14">
        <v>44915.0</v>
      </c>
      <c r="J1050" s="14"/>
      <c r="K1050" s="15"/>
      <c r="L1050" s="15"/>
      <c r="M1050" s="16"/>
      <c r="N1050" s="16"/>
      <c r="O1050" s="17">
        <v>0.0</v>
      </c>
      <c r="P1050" s="17">
        <v>0.0</v>
      </c>
      <c r="Q1050" s="13">
        <f t="shared" si="1086"/>
        <v>0</v>
      </c>
      <c r="R1050" s="14">
        <v>44971.0</v>
      </c>
      <c r="S1050" s="13"/>
      <c r="T1050" s="13">
        <f t="shared" ref="T1050:Y1050" si="1096">IF(ISBLANK(K1050)=TRUE,0,1)</f>
        <v>0</v>
      </c>
      <c r="U1050" s="13">
        <f t="shared" si="1096"/>
        <v>0</v>
      </c>
      <c r="V1050" s="13">
        <f t="shared" si="1096"/>
        <v>0</v>
      </c>
      <c r="W1050" s="13">
        <f t="shared" si="1096"/>
        <v>0</v>
      </c>
      <c r="X1050" s="13">
        <f t="shared" si="1096"/>
        <v>1</v>
      </c>
      <c r="Y1050" s="13">
        <f t="shared" si="1096"/>
        <v>1</v>
      </c>
      <c r="Z1050" s="13">
        <f t="shared" si="529"/>
        <v>0</v>
      </c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</row>
    <row r="1051" ht="14.25" hidden="1" customHeight="1">
      <c r="A1051" s="13" t="s">
        <v>29</v>
      </c>
      <c r="B1051" s="13" t="s">
        <v>34</v>
      </c>
      <c r="C1051" s="18" t="s">
        <v>670</v>
      </c>
      <c r="D1051" s="13"/>
      <c r="E1051" s="13" t="str">
        <f t="shared" si="735"/>
        <v>LPEF,242-2-8,,0</v>
      </c>
      <c r="F1051" s="13"/>
      <c r="G1051" s="13" t="s">
        <v>111</v>
      </c>
      <c r="H1051" s="13" t="s">
        <v>107</v>
      </c>
      <c r="I1051" s="14">
        <v>44915.0</v>
      </c>
      <c r="J1051" s="14"/>
      <c r="K1051" s="15"/>
      <c r="L1051" s="15"/>
      <c r="M1051" s="16"/>
      <c r="N1051" s="16"/>
      <c r="O1051" s="17">
        <v>0.0</v>
      </c>
      <c r="P1051" s="17">
        <v>0.0</v>
      </c>
      <c r="Q1051" s="13">
        <f t="shared" si="1086"/>
        <v>0</v>
      </c>
      <c r="R1051" s="14">
        <v>44971.0</v>
      </c>
      <c r="S1051" s="13"/>
      <c r="T1051" s="13">
        <f t="shared" ref="T1051:Y1051" si="1097">IF(ISBLANK(K1051)=TRUE,0,1)</f>
        <v>0</v>
      </c>
      <c r="U1051" s="13">
        <f t="shared" si="1097"/>
        <v>0</v>
      </c>
      <c r="V1051" s="13">
        <f t="shared" si="1097"/>
        <v>0</v>
      </c>
      <c r="W1051" s="13">
        <f t="shared" si="1097"/>
        <v>0</v>
      </c>
      <c r="X1051" s="13">
        <f t="shared" si="1097"/>
        <v>1</v>
      </c>
      <c r="Y1051" s="13">
        <f t="shared" si="1097"/>
        <v>1</v>
      </c>
      <c r="Z1051" s="13">
        <f t="shared" si="529"/>
        <v>0</v>
      </c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</row>
    <row r="1052" ht="14.25" hidden="1" customHeight="1">
      <c r="A1052" s="13" t="s">
        <v>29</v>
      </c>
      <c r="B1052" s="13" t="s">
        <v>34</v>
      </c>
      <c r="C1052" s="18" t="s">
        <v>671</v>
      </c>
      <c r="D1052" s="13"/>
      <c r="E1052" s="13" t="str">
        <f t="shared" si="735"/>
        <v>LPEF,242-2-9,,0</v>
      </c>
      <c r="F1052" s="13"/>
      <c r="G1052" s="13" t="s">
        <v>111</v>
      </c>
      <c r="H1052" s="13" t="s">
        <v>107</v>
      </c>
      <c r="I1052" s="14">
        <v>44915.0</v>
      </c>
      <c r="J1052" s="14"/>
      <c r="K1052" s="15"/>
      <c r="L1052" s="15"/>
      <c r="M1052" s="16"/>
      <c r="N1052" s="16"/>
      <c r="O1052" s="17">
        <v>0.0</v>
      </c>
      <c r="P1052" s="17">
        <v>0.0</v>
      </c>
      <c r="Q1052" s="13">
        <f t="shared" si="1086"/>
        <v>0</v>
      </c>
      <c r="R1052" s="14">
        <v>44971.0</v>
      </c>
      <c r="S1052" s="13"/>
      <c r="T1052" s="13">
        <f t="shared" ref="T1052:Y1052" si="1098">IF(ISBLANK(K1052)=TRUE,0,1)</f>
        <v>0</v>
      </c>
      <c r="U1052" s="13">
        <f t="shared" si="1098"/>
        <v>0</v>
      </c>
      <c r="V1052" s="13">
        <f t="shared" si="1098"/>
        <v>0</v>
      </c>
      <c r="W1052" s="13">
        <f t="shared" si="1098"/>
        <v>0</v>
      </c>
      <c r="X1052" s="13">
        <f t="shared" si="1098"/>
        <v>1</v>
      </c>
      <c r="Y1052" s="13">
        <f t="shared" si="1098"/>
        <v>1</v>
      </c>
      <c r="Z1052" s="13">
        <f t="shared" si="529"/>
        <v>0</v>
      </c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</row>
    <row r="1053" ht="14.25" hidden="1" customHeight="1">
      <c r="A1053" s="13" t="s">
        <v>29</v>
      </c>
      <c r="B1053" s="13" t="s">
        <v>34</v>
      </c>
      <c r="C1053" s="13" t="s">
        <v>672</v>
      </c>
      <c r="D1053" s="13"/>
      <c r="E1053" s="13" t="str">
        <f t="shared" si="735"/>
        <v>LPEF,242-5-1,,0</v>
      </c>
      <c r="F1053" s="13"/>
      <c r="G1053" s="13" t="s">
        <v>111</v>
      </c>
      <c r="H1053" s="13" t="s">
        <v>107</v>
      </c>
      <c r="I1053" s="14">
        <v>44915.0</v>
      </c>
      <c r="J1053" s="14"/>
      <c r="K1053" s="15"/>
      <c r="L1053" s="15"/>
      <c r="M1053" s="16">
        <v>0.0</v>
      </c>
      <c r="N1053" s="16">
        <v>0.0</v>
      </c>
      <c r="O1053" s="17"/>
      <c r="P1053" s="17"/>
      <c r="Q1053" s="13">
        <f t="shared" si="1086"/>
        <v>0</v>
      </c>
      <c r="R1053" s="13"/>
      <c r="S1053" s="13"/>
      <c r="T1053" s="13">
        <f t="shared" ref="T1053:Y1053" si="1099">IF(ISBLANK(K1053)=TRUE,0,1)</f>
        <v>0</v>
      </c>
      <c r="U1053" s="13">
        <f t="shared" si="1099"/>
        <v>0</v>
      </c>
      <c r="V1053" s="13">
        <f t="shared" si="1099"/>
        <v>1</v>
      </c>
      <c r="W1053" s="13">
        <f t="shared" si="1099"/>
        <v>1</v>
      </c>
      <c r="X1053" s="13">
        <f t="shared" si="1099"/>
        <v>0</v>
      </c>
      <c r="Y1053" s="13">
        <f t="shared" si="1099"/>
        <v>0</v>
      </c>
      <c r="Z1053" s="13">
        <f t="shared" si="529"/>
        <v>0</v>
      </c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</row>
    <row r="1054" ht="14.25" hidden="1" customHeight="1">
      <c r="A1054" s="13" t="s">
        <v>29</v>
      </c>
      <c r="B1054" s="13" t="s">
        <v>34</v>
      </c>
      <c r="C1054" s="13" t="s">
        <v>673</v>
      </c>
      <c r="D1054" s="13"/>
      <c r="E1054" s="13" t="str">
        <f t="shared" si="735"/>
        <v>LPEF,242-5-10,,0</v>
      </c>
      <c r="F1054" s="13"/>
      <c r="G1054" s="13" t="s">
        <v>111</v>
      </c>
      <c r="H1054" s="13" t="s">
        <v>107</v>
      </c>
      <c r="I1054" s="14">
        <v>44915.0</v>
      </c>
      <c r="J1054" s="14"/>
      <c r="K1054" s="15"/>
      <c r="L1054" s="15"/>
      <c r="M1054" s="16">
        <v>0.0</v>
      </c>
      <c r="N1054" s="16">
        <v>0.0</v>
      </c>
      <c r="O1054" s="17"/>
      <c r="P1054" s="17"/>
      <c r="Q1054" s="13">
        <f t="shared" si="1086"/>
        <v>0</v>
      </c>
      <c r="R1054" s="13"/>
      <c r="S1054" s="13"/>
      <c r="T1054" s="13">
        <f t="shared" ref="T1054:Y1054" si="1100">IF(ISBLANK(K1054)=TRUE,0,1)</f>
        <v>0</v>
      </c>
      <c r="U1054" s="13">
        <f t="shared" si="1100"/>
        <v>0</v>
      </c>
      <c r="V1054" s="13">
        <f t="shared" si="1100"/>
        <v>1</v>
      </c>
      <c r="W1054" s="13">
        <f t="shared" si="1100"/>
        <v>1</v>
      </c>
      <c r="X1054" s="13">
        <f t="shared" si="1100"/>
        <v>0</v>
      </c>
      <c r="Y1054" s="13">
        <f t="shared" si="1100"/>
        <v>0</v>
      </c>
      <c r="Z1054" s="13">
        <f t="shared" si="529"/>
        <v>0</v>
      </c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</row>
    <row r="1055" ht="14.25" hidden="1" customHeight="1">
      <c r="A1055" s="13" t="s">
        <v>29</v>
      </c>
      <c r="B1055" s="13" t="s">
        <v>34</v>
      </c>
      <c r="C1055" s="13" t="s">
        <v>674</v>
      </c>
      <c r="D1055" s="13"/>
      <c r="E1055" s="13" t="str">
        <f t="shared" si="735"/>
        <v>LPEF,242-5-11,,0</v>
      </c>
      <c r="F1055" s="13"/>
      <c r="G1055" s="13" t="s">
        <v>111</v>
      </c>
      <c r="H1055" s="13" t="s">
        <v>107</v>
      </c>
      <c r="I1055" s="14">
        <v>44915.0</v>
      </c>
      <c r="J1055" s="14"/>
      <c r="K1055" s="15"/>
      <c r="L1055" s="15"/>
      <c r="M1055" s="16">
        <v>0.0</v>
      </c>
      <c r="N1055" s="16">
        <v>0.0</v>
      </c>
      <c r="O1055" s="17"/>
      <c r="P1055" s="17"/>
      <c r="Q1055" s="13">
        <f t="shared" si="1086"/>
        <v>0</v>
      </c>
      <c r="R1055" s="13"/>
      <c r="S1055" s="13"/>
      <c r="T1055" s="13">
        <f t="shared" ref="T1055:Y1055" si="1101">IF(ISBLANK(K1055)=TRUE,0,1)</f>
        <v>0</v>
      </c>
      <c r="U1055" s="13">
        <f t="shared" si="1101"/>
        <v>0</v>
      </c>
      <c r="V1055" s="13">
        <f t="shared" si="1101"/>
        <v>1</v>
      </c>
      <c r="W1055" s="13">
        <f t="shared" si="1101"/>
        <v>1</v>
      </c>
      <c r="X1055" s="13">
        <f t="shared" si="1101"/>
        <v>0</v>
      </c>
      <c r="Y1055" s="13">
        <f t="shared" si="1101"/>
        <v>0</v>
      </c>
      <c r="Z1055" s="13">
        <f t="shared" si="529"/>
        <v>0</v>
      </c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</row>
    <row r="1056" ht="14.25" hidden="1" customHeight="1">
      <c r="A1056" s="13" t="s">
        <v>29</v>
      </c>
      <c r="B1056" s="13" t="s">
        <v>34</v>
      </c>
      <c r="C1056" s="13" t="s">
        <v>675</v>
      </c>
      <c r="D1056" s="13"/>
      <c r="E1056" s="13" t="str">
        <f t="shared" si="735"/>
        <v>LPEF,242-5-12,,0</v>
      </c>
      <c r="F1056" s="13"/>
      <c r="G1056" s="13" t="s">
        <v>111</v>
      </c>
      <c r="H1056" s="13" t="s">
        <v>107</v>
      </c>
      <c r="I1056" s="14">
        <v>44915.0</v>
      </c>
      <c r="J1056" s="14"/>
      <c r="K1056" s="15"/>
      <c r="L1056" s="15"/>
      <c r="M1056" s="16">
        <v>0.0</v>
      </c>
      <c r="N1056" s="16">
        <v>0.0</v>
      </c>
      <c r="O1056" s="17"/>
      <c r="P1056" s="17"/>
      <c r="Q1056" s="13">
        <f t="shared" si="1086"/>
        <v>0</v>
      </c>
      <c r="R1056" s="13"/>
      <c r="S1056" s="13"/>
      <c r="T1056" s="13">
        <f t="shared" ref="T1056:Y1056" si="1102">IF(ISBLANK(K1056)=TRUE,0,1)</f>
        <v>0</v>
      </c>
      <c r="U1056" s="13">
        <f t="shared" si="1102"/>
        <v>0</v>
      </c>
      <c r="V1056" s="13">
        <f t="shared" si="1102"/>
        <v>1</v>
      </c>
      <c r="W1056" s="13">
        <f t="shared" si="1102"/>
        <v>1</v>
      </c>
      <c r="X1056" s="13">
        <f t="shared" si="1102"/>
        <v>0</v>
      </c>
      <c r="Y1056" s="13">
        <f t="shared" si="1102"/>
        <v>0</v>
      </c>
      <c r="Z1056" s="13">
        <f t="shared" si="529"/>
        <v>0</v>
      </c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</row>
    <row r="1057" ht="14.25" hidden="1" customHeight="1">
      <c r="A1057" s="13" t="s">
        <v>29</v>
      </c>
      <c r="B1057" s="13" t="s">
        <v>34</v>
      </c>
      <c r="C1057" s="13" t="s">
        <v>676</v>
      </c>
      <c r="D1057" s="13"/>
      <c r="E1057" s="13" t="str">
        <f t="shared" si="735"/>
        <v>LPEF,242-5-13,,0</v>
      </c>
      <c r="F1057" s="13"/>
      <c r="G1057" s="13" t="s">
        <v>111</v>
      </c>
      <c r="H1057" s="13" t="s">
        <v>107</v>
      </c>
      <c r="I1057" s="14">
        <v>44915.0</v>
      </c>
      <c r="J1057" s="14"/>
      <c r="K1057" s="15"/>
      <c r="L1057" s="15"/>
      <c r="M1057" s="16">
        <v>0.0</v>
      </c>
      <c r="N1057" s="16">
        <v>0.0</v>
      </c>
      <c r="O1057" s="17"/>
      <c r="P1057" s="17"/>
      <c r="Q1057" s="13">
        <f t="shared" si="1086"/>
        <v>0</v>
      </c>
      <c r="R1057" s="13"/>
      <c r="S1057" s="13"/>
      <c r="T1057" s="13">
        <f t="shared" ref="T1057:Y1057" si="1103">IF(ISBLANK(K1057)=TRUE,0,1)</f>
        <v>0</v>
      </c>
      <c r="U1057" s="13">
        <f t="shared" si="1103"/>
        <v>0</v>
      </c>
      <c r="V1057" s="13">
        <f t="shared" si="1103"/>
        <v>1</v>
      </c>
      <c r="W1057" s="13">
        <f t="shared" si="1103"/>
        <v>1</v>
      </c>
      <c r="X1057" s="13">
        <f t="shared" si="1103"/>
        <v>0</v>
      </c>
      <c r="Y1057" s="13">
        <f t="shared" si="1103"/>
        <v>0</v>
      </c>
      <c r="Z1057" s="13">
        <f t="shared" si="529"/>
        <v>0</v>
      </c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</row>
    <row r="1058" ht="14.25" hidden="1" customHeight="1">
      <c r="A1058" s="13" t="s">
        <v>29</v>
      </c>
      <c r="B1058" s="13" t="s">
        <v>34</v>
      </c>
      <c r="C1058" s="13" t="s">
        <v>677</v>
      </c>
      <c r="D1058" s="13"/>
      <c r="E1058" s="13" t="str">
        <f t="shared" si="735"/>
        <v>LPEF,242-5-14,,0</v>
      </c>
      <c r="F1058" s="13"/>
      <c r="G1058" s="13" t="s">
        <v>111</v>
      </c>
      <c r="H1058" s="13" t="s">
        <v>107</v>
      </c>
      <c r="I1058" s="14">
        <v>44915.0</v>
      </c>
      <c r="J1058" s="14"/>
      <c r="K1058" s="15"/>
      <c r="L1058" s="15"/>
      <c r="M1058" s="16">
        <v>0.0</v>
      </c>
      <c r="N1058" s="16">
        <v>0.0</v>
      </c>
      <c r="O1058" s="17"/>
      <c r="P1058" s="17"/>
      <c r="Q1058" s="13">
        <f t="shared" si="1086"/>
        <v>0</v>
      </c>
      <c r="R1058" s="13"/>
      <c r="S1058" s="13"/>
      <c r="T1058" s="13">
        <f t="shared" ref="T1058:Y1058" si="1104">IF(ISBLANK(K1058)=TRUE,0,1)</f>
        <v>0</v>
      </c>
      <c r="U1058" s="13">
        <f t="shared" si="1104"/>
        <v>0</v>
      </c>
      <c r="V1058" s="13">
        <f t="shared" si="1104"/>
        <v>1</v>
      </c>
      <c r="W1058" s="13">
        <f t="shared" si="1104"/>
        <v>1</v>
      </c>
      <c r="X1058" s="13">
        <f t="shared" si="1104"/>
        <v>0</v>
      </c>
      <c r="Y1058" s="13">
        <f t="shared" si="1104"/>
        <v>0</v>
      </c>
      <c r="Z1058" s="13">
        <f t="shared" si="529"/>
        <v>0</v>
      </c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</row>
    <row r="1059" ht="14.25" hidden="1" customHeight="1">
      <c r="A1059" s="13" t="s">
        <v>29</v>
      </c>
      <c r="B1059" s="13" t="s">
        <v>34</v>
      </c>
      <c r="C1059" s="13" t="s">
        <v>678</v>
      </c>
      <c r="D1059" s="13"/>
      <c r="E1059" s="13" t="str">
        <f t="shared" si="735"/>
        <v>LPEF,242-5-15,,0</v>
      </c>
      <c r="F1059" s="13"/>
      <c r="G1059" s="13" t="s">
        <v>111</v>
      </c>
      <c r="H1059" s="13" t="s">
        <v>107</v>
      </c>
      <c r="I1059" s="14">
        <v>44915.0</v>
      </c>
      <c r="J1059" s="14"/>
      <c r="K1059" s="15"/>
      <c r="L1059" s="15"/>
      <c r="M1059" s="16">
        <v>0.0</v>
      </c>
      <c r="N1059" s="16">
        <v>0.0</v>
      </c>
      <c r="O1059" s="17"/>
      <c r="P1059" s="17"/>
      <c r="Q1059" s="13">
        <f t="shared" si="1086"/>
        <v>0</v>
      </c>
      <c r="R1059" s="13"/>
      <c r="S1059" s="13"/>
      <c r="T1059" s="13">
        <f t="shared" ref="T1059:Y1059" si="1105">IF(ISBLANK(K1059)=TRUE,0,1)</f>
        <v>0</v>
      </c>
      <c r="U1059" s="13">
        <f t="shared" si="1105"/>
        <v>0</v>
      </c>
      <c r="V1059" s="13">
        <f t="shared" si="1105"/>
        <v>1</v>
      </c>
      <c r="W1059" s="13">
        <f t="shared" si="1105"/>
        <v>1</v>
      </c>
      <c r="X1059" s="13">
        <f t="shared" si="1105"/>
        <v>0</v>
      </c>
      <c r="Y1059" s="13">
        <f t="shared" si="1105"/>
        <v>0</v>
      </c>
      <c r="Z1059" s="13">
        <f t="shared" si="529"/>
        <v>0</v>
      </c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</row>
    <row r="1060" ht="14.25" hidden="1" customHeight="1">
      <c r="A1060" s="13" t="s">
        <v>29</v>
      </c>
      <c r="B1060" s="13" t="s">
        <v>34</v>
      </c>
      <c r="C1060" s="18" t="s">
        <v>679</v>
      </c>
      <c r="D1060" s="13"/>
      <c r="E1060" s="13" t="str">
        <f t="shared" si="735"/>
        <v>LPEF,242-5-16,,0</v>
      </c>
      <c r="F1060" s="13"/>
      <c r="G1060" s="13" t="s">
        <v>111</v>
      </c>
      <c r="H1060" s="13" t="s">
        <v>75</v>
      </c>
      <c r="I1060" s="13"/>
      <c r="J1060" s="13"/>
      <c r="K1060" s="15"/>
      <c r="L1060" s="15"/>
      <c r="M1060" s="16">
        <v>0.0</v>
      </c>
      <c r="N1060" s="16">
        <v>0.0</v>
      </c>
      <c r="O1060" s="17"/>
      <c r="P1060" s="17"/>
      <c r="Q1060" s="13">
        <f t="shared" si="1086"/>
        <v>0</v>
      </c>
      <c r="R1060" s="13"/>
      <c r="S1060" s="13"/>
      <c r="T1060" s="13">
        <f t="shared" ref="T1060:Y1060" si="1106">IF(ISBLANK(K1060)=TRUE,0,1)</f>
        <v>0</v>
      </c>
      <c r="U1060" s="13">
        <f t="shared" si="1106"/>
        <v>0</v>
      </c>
      <c r="V1060" s="13">
        <f t="shared" si="1106"/>
        <v>1</v>
      </c>
      <c r="W1060" s="13">
        <f t="shared" si="1106"/>
        <v>1</v>
      </c>
      <c r="X1060" s="13">
        <f t="shared" si="1106"/>
        <v>0</v>
      </c>
      <c r="Y1060" s="13">
        <f t="shared" si="1106"/>
        <v>0</v>
      </c>
      <c r="Z1060" s="13">
        <f t="shared" si="529"/>
        <v>0</v>
      </c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</row>
    <row r="1061" ht="14.25" hidden="1" customHeight="1">
      <c r="A1061" s="13" t="s">
        <v>29</v>
      </c>
      <c r="B1061" s="13" t="s">
        <v>34</v>
      </c>
      <c r="C1061" s="18" t="s">
        <v>680</v>
      </c>
      <c r="D1061" s="13"/>
      <c r="E1061" s="13" t="str">
        <f t="shared" si="735"/>
        <v>LPEF,242-5-17,,0</v>
      </c>
      <c r="F1061" s="13"/>
      <c r="G1061" s="13" t="s">
        <v>111</v>
      </c>
      <c r="H1061" s="13" t="s">
        <v>75</v>
      </c>
      <c r="I1061" s="13"/>
      <c r="J1061" s="13"/>
      <c r="K1061" s="15"/>
      <c r="L1061" s="15"/>
      <c r="M1061" s="16">
        <v>0.0</v>
      </c>
      <c r="N1061" s="16">
        <v>0.0</v>
      </c>
      <c r="O1061" s="17"/>
      <c r="P1061" s="17"/>
      <c r="Q1061" s="13">
        <f t="shared" si="1086"/>
        <v>0</v>
      </c>
      <c r="R1061" s="13"/>
      <c r="S1061" s="13"/>
      <c r="T1061" s="13">
        <f t="shared" ref="T1061:Y1061" si="1107">IF(ISBLANK(K1061)=TRUE,0,1)</f>
        <v>0</v>
      </c>
      <c r="U1061" s="13">
        <f t="shared" si="1107"/>
        <v>0</v>
      </c>
      <c r="V1061" s="13">
        <f t="shared" si="1107"/>
        <v>1</v>
      </c>
      <c r="W1061" s="13">
        <f t="shared" si="1107"/>
        <v>1</v>
      </c>
      <c r="X1061" s="13">
        <f t="shared" si="1107"/>
        <v>0</v>
      </c>
      <c r="Y1061" s="13">
        <f t="shared" si="1107"/>
        <v>0</v>
      </c>
      <c r="Z1061" s="13">
        <f t="shared" si="529"/>
        <v>0</v>
      </c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</row>
    <row r="1062" ht="14.25" hidden="1" customHeight="1">
      <c r="A1062" s="13" t="s">
        <v>29</v>
      </c>
      <c r="B1062" s="13" t="s">
        <v>34</v>
      </c>
      <c r="C1062" s="18" t="s">
        <v>681</v>
      </c>
      <c r="D1062" s="13"/>
      <c r="E1062" s="13" t="str">
        <f t="shared" si="735"/>
        <v>LPEF,242-5-18,,0</v>
      </c>
      <c r="F1062" s="13"/>
      <c r="G1062" s="13" t="s">
        <v>111</v>
      </c>
      <c r="H1062" s="13" t="s">
        <v>75</v>
      </c>
      <c r="I1062" s="13"/>
      <c r="J1062" s="13"/>
      <c r="K1062" s="15"/>
      <c r="L1062" s="15"/>
      <c r="M1062" s="16">
        <v>0.0</v>
      </c>
      <c r="N1062" s="16">
        <v>0.0</v>
      </c>
      <c r="O1062" s="17"/>
      <c r="P1062" s="17"/>
      <c r="Q1062" s="13">
        <f t="shared" si="1086"/>
        <v>0</v>
      </c>
      <c r="R1062" s="13"/>
      <c r="S1062" s="13"/>
      <c r="T1062" s="13">
        <f t="shared" ref="T1062:Y1062" si="1108">IF(ISBLANK(K1062)=TRUE,0,1)</f>
        <v>0</v>
      </c>
      <c r="U1062" s="13">
        <f t="shared" si="1108"/>
        <v>0</v>
      </c>
      <c r="V1062" s="13">
        <f t="shared" si="1108"/>
        <v>1</v>
      </c>
      <c r="W1062" s="13">
        <f t="shared" si="1108"/>
        <v>1</v>
      </c>
      <c r="X1062" s="13">
        <f t="shared" si="1108"/>
        <v>0</v>
      </c>
      <c r="Y1062" s="13">
        <f t="shared" si="1108"/>
        <v>0</v>
      </c>
      <c r="Z1062" s="13">
        <f t="shared" si="529"/>
        <v>0</v>
      </c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</row>
    <row r="1063" ht="14.25" hidden="1" customHeight="1">
      <c r="A1063" s="13" t="s">
        <v>29</v>
      </c>
      <c r="B1063" s="13" t="s">
        <v>34</v>
      </c>
      <c r="C1063" s="18" t="s">
        <v>682</v>
      </c>
      <c r="D1063" s="13"/>
      <c r="E1063" s="13" t="str">
        <f t="shared" si="735"/>
        <v>LPEF,242-5-19,,0</v>
      </c>
      <c r="F1063" s="13"/>
      <c r="G1063" s="13" t="s">
        <v>111</v>
      </c>
      <c r="H1063" s="13" t="s">
        <v>75</v>
      </c>
      <c r="I1063" s="13"/>
      <c r="J1063" s="13"/>
      <c r="K1063" s="15"/>
      <c r="L1063" s="15"/>
      <c r="M1063" s="16">
        <v>0.0</v>
      </c>
      <c r="N1063" s="16">
        <v>0.0</v>
      </c>
      <c r="O1063" s="17"/>
      <c r="P1063" s="17"/>
      <c r="Q1063" s="13">
        <f t="shared" si="1086"/>
        <v>0</v>
      </c>
      <c r="R1063" s="13"/>
      <c r="S1063" s="13"/>
      <c r="T1063" s="13">
        <f t="shared" ref="T1063:Y1063" si="1109">IF(ISBLANK(K1063)=TRUE,0,1)</f>
        <v>0</v>
      </c>
      <c r="U1063" s="13">
        <f t="shared" si="1109"/>
        <v>0</v>
      </c>
      <c r="V1063" s="13">
        <f t="shared" si="1109"/>
        <v>1</v>
      </c>
      <c r="W1063" s="13">
        <f t="shared" si="1109"/>
        <v>1</v>
      </c>
      <c r="X1063" s="13">
        <f t="shared" si="1109"/>
        <v>0</v>
      </c>
      <c r="Y1063" s="13">
        <f t="shared" si="1109"/>
        <v>0</v>
      </c>
      <c r="Z1063" s="13">
        <f t="shared" si="529"/>
        <v>0</v>
      </c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</row>
    <row r="1064" ht="14.25" hidden="1" customHeight="1">
      <c r="A1064" s="13" t="s">
        <v>29</v>
      </c>
      <c r="B1064" s="13" t="s">
        <v>34</v>
      </c>
      <c r="C1064" s="13" t="s">
        <v>683</v>
      </c>
      <c r="D1064" s="13"/>
      <c r="E1064" s="13" t="str">
        <f t="shared" si="735"/>
        <v>LPEF,242-5-2,,0</v>
      </c>
      <c r="F1064" s="13"/>
      <c r="G1064" s="13" t="s">
        <v>111</v>
      </c>
      <c r="H1064" s="13" t="s">
        <v>107</v>
      </c>
      <c r="I1064" s="14">
        <v>44915.0</v>
      </c>
      <c r="J1064" s="14"/>
      <c r="K1064" s="15"/>
      <c r="L1064" s="15"/>
      <c r="M1064" s="16">
        <v>0.0</v>
      </c>
      <c r="N1064" s="16">
        <v>0.0</v>
      </c>
      <c r="O1064" s="17"/>
      <c r="P1064" s="17"/>
      <c r="Q1064" s="13">
        <f t="shared" si="1086"/>
        <v>0</v>
      </c>
      <c r="R1064" s="13"/>
      <c r="S1064" s="13"/>
      <c r="T1064" s="13">
        <f t="shared" ref="T1064:Y1064" si="1110">IF(ISBLANK(K1064)=TRUE,0,1)</f>
        <v>0</v>
      </c>
      <c r="U1064" s="13">
        <f t="shared" si="1110"/>
        <v>0</v>
      </c>
      <c r="V1064" s="13">
        <f t="shared" si="1110"/>
        <v>1</v>
      </c>
      <c r="W1064" s="13">
        <f t="shared" si="1110"/>
        <v>1</v>
      </c>
      <c r="X1064" s="13">
        <f t="shared" si="1110"/>
        <v>0</v>
      </c>
      <c r="Y1064" s="13">
        <f t="shared" si="1110"/>
        <v>0</v>
      </c>
      <c r="Z1064" s="13">
        <f t="shared" si="529"/>
        <v>0</v>
      </c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</row>
    <row r="1065" ht="14.25" hidden="1" customHeight="1">
      <c r="A1065" s="13" t="s">
        <v>29</v>
      </c>
      <c r="B1065" s="13" t="s">
        <v>34</v>
      </c>
      <c r="C1065" s="18" t="s">
        <v>684</v>
      </c>
      <c r="D1065" s="13"/>
      <c r="E1065" s="13" t="str">
        <f t="shared" si="735"/>
        <v>LPEF,242-5-20,,0</v>
      </c>
      <c r="F1065" s="13"/>
      <c r="G1065" s="13" t="s">
        <v>111</v>
      </c>
      <c r="H1065" s="13" t="s">
        <v>75</v>
      </c>
      <c r="I1065" s="13"/>
      <c r="J1065" s="13"/>
      <c r="K1065" s="15"/>
      <c r="L1065" s="15"/>
      <c r="M1065" s="16">
        <v>0.0</v>
      </c>
      <c r="N1065" s="16">
        <v>0.0</v>
      </c>
      <c r="O1065" s="17"/>
      <c r="P1065" s="17"/>
      <c r="Q1065" s="13">
        <f t="shared" si="1086"/>
        <v>0</v>
      </c>
      <c r="R1065" s="13"/>
      <c r="S1065" s="13"/>
      <c r="T1065" s="13">
        <f t="shared" ref="T1065:Y1065" si="1111">IF(ISBLANK(K1065)=TRUE,0,1)</f>
        <v>0</v>
      </c>
      <c r="U1065" s="13">
        <f t="shared" si="1111"/>
        <v>0</v>
      </c>
      <c r="V1065" s="13">
        <f t="shared" si="1111"/>
        <v>1</v>
      </c>
      <c r="W1065" s="13">
        <f t="shared" si="1111"/>
        <v>1</v>
      </c>
      <c r="X1065" s="13">
        <f t="shared" si="1111"/>
        <v>0</v>
      </c>
      <c r="Y1065" s="13">
        <f t="shared" si="1111"/>
        <v>0</v>
      </c>
      <c r="Z1065" s="13">
        <f t="shared" si="529"/>
        <v>0</v>
      </c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</row>
    <row r="1066" ht="14.25" hidden="1" customHeight="1">
      <c r="A1066" s="13" t="s">
        <v>29</v>
      </c>
      <c r="B1066" s="13" t="s">
        <v>34</v>
      </c>
      <c r="C1066" s="18" t="s">
        <v>685</v>
      </c>
      <c r="D1066" s="13"/>
      <c r="E1066" s="13" t="str">
        <f t="shared" si="735"/>
        <v>LPEF,242-5-21,,0</v>
      </c>
      <c r="F1066" s="13"/>
      <c r="G1066" s="13" t="s">
        <v>111</v>
      </c>
      <c r="H1066" s="13" t="s">
        <v>75</v>
      </c>
      <c r="I1066" s="13"/>
      <c r="J1066" s="13"/>
      <c r="K1066" s="15"/>
      <c r="L1066" s="15"/>
      <c r="M1066" s="16">
        <v>0.0</v>
      </c>
      <c r="N1066" s="16">
        <v>0.0</v>
      </c>
      <c r="O1066" s="17"/>
      <c r="P1066" s="17"/>
      <c r="Q1066" s="13">
        <f t="shared" si="1086"/>
        <v>0</v>
      </c>
      <c r="R1066" s="13"/>
      <c r="S1066" s="13"/>
      <c r="T1066" s="13">
        <f t="shared" ref="T1066:Y1066" si="1112">IF(ISBLANK(K1066)=TRUE,0,1)</f>
        <v>0</v>
      </c>
      <c r="U1066" s="13">
        <f t="shared" si="1112"/>
        <v>0</v>
      </c>
      <c r="V1066" s="13">
        <f t="shared" si="1112"/>
        <v>1</v>
      </c>
      <c r="W1066" s="13">
        <f t="shared" si="1112"/>
        <v>1</v>
      </c>
      <c r="X1066" s="13">
        <f t="shared" si="1112"/>
        <v>0</v>
      </c>
      <c r="Y1066" s="13">
        <f t="shared" si="1112"/>
        <v>0</v>
      </c>
      <c r="Z1066" s="13">
        <f t="shared" si="529"/>
        <v>0</v>
      </c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</row>
    <row r="1067" ht="14.25" hidden="1" customHeight="1">
      <c r="A1067" s="13" t="s">
        <v>29</v>
      </c>
      <c r="B1067" s="13" t="s">
        <v>34</v>
      </c>
      <c r="C1067" s="18" t="s">
        <v>686</v>
      </c>
      <c r="D1067" s="13"/>
      <c r="E1067" s="13" t="str">
        <f t="shared" si="735"/>
        <v>LPEF,242-5-22,,0</v>
      </c>
      <c r="F1067" s="13"/>
      <c r="G1067" s="13" t="s">
        <v>111</v>
      </c>
      <c r="H1067" s="13" t="s">
        <v>75</v>
      </c>
      <c r="I1067" s="13"/>
      <c r="J1067" s="13"/>
      <c r="K1067" s="15"/>
      <c r="L1067" s="15"/>
      <c r="M1067" s="16">
        <v>0.0</v>
      </c>
      <c r="N1067" s="16">
        <v>0.0</v>
      </c>
      <c r="O1067" s="17"/>
      <c r="P1067" s="17"/>
      <c r="Q1067" s="13">
        <f t="shared" si="1086"/>
        <v>0</v>
      </c>
      <c r="R1067" s="13"/>
      <c r="S1067" s="13"/>
      <c r="T1067" s="13">
        <f t="shared" ref="T1067:Y1067" si="1113">IF(ISBLANK(K1067)=TRUE,0,1)</f>
        <v>0</v>
      </c>
      <c r="U1067" s="13">
        <f t="shared" si="1113"/>
        <v>0</v>
      </c>
      <c r="V1067" s="13">
        <f t="shared" si="1113"/>
        <v>1</v>
      </c>
      <c r="W1067" s="13">
        <f t="shared" si="1113"/>
        <v>1</v>
      </c>
      <c r="X1067" s="13">
        <f t="shared" si="1113"/>
        <v>0</v>
      </c>
      <c r="Y1067" s="13">
        <f t="shared" si="1113"/>
        <v>0</v>
      </c>
      <c r="Z1067" s="13">
        <f t="shared" si="529"/>
        <v>0</v>
      </c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</row>
    <row r="1068" ht="14.25" hidden="1" customHeight="1">
      <c r="A1068" s="13" t="s">
        <v>29</v>
      </c>
      <c r="B1068" s="13" t="s">
        <v>34</v>
      </c>
      <c r="C1068" s="18" t="s">
        <v>687</v>
      </c>
      <c r="D1068" s="13"/>
      <c r="E1068" s="13" t="str">
        <f t="shared" si="735"/>
        <v>LPEF,242-5-23,,0</v>
      </c>
      <c r="F1068" s="13"/>
      <c r="G1068" s="13" t="s">
        <v>111</v>
      </c>
      <c r="H1068" s="13" t="s">
        <v>75</v>
      </c>
      <c r="I1068" s="13"/>
      <c r="J1068" s="13"/>
      <c r="K1068" s="15"/>
      <c r="L1068" s="15"/>
      <c r="M1068" s="16">
        <v>0.0</v>
      </c>
      <c r="N1068" s="16">
        <v>0.0</v>
      </c>
      <c r="O1068" s="17"/>
      <c r="P1068" s="17"/>
      <c r="Q1068" s="13">
        <f t="shared" si="1086"/>
        <v>0</v>
      </c>
      <c r="R1068" s="13"/>
      <c r="S1068" s="13"/>
      <c r="T1068" s="13">
        <f t="shared" ref="T1068:Y1068" si="1114">IF(ISBLANK(K1068)=TRUE,0,1)</f>
        <v>0</v>
      </c>
      <c r="U1068" s="13">
        <f t="shared" si="1114"/>
        <v>0</v>
      </c>
      <c r="V1068" s="13">
        <f t="shared" si="1114"/>
        <v>1</v>
      </c>
      <c r="W1068" s="13">
        <f t="shared" si="1114"/>
        <v>1</v>
      </c>
      <c r="X1068" s="13">
        <f t="shared" si="1114"/>
        <v>0</v>
      </c>
      <c r="Y1068" s="13">
        <f t="shared" si="1114"/>
        <v>0</v>
      </c>
      <c r="Z1068" s="13">
        <f t="shared" si="529"/>
        <v>0</v>
      </c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</row>
    <row r="1069" ht="14.25" hidden="1" customHeight="1">
      <c r="A1069" s="13" t="s">
        <v>29</v>
      </c>
      <c r="B1069" s="13" t="s">
        <v>34</v>
      </c>
      <c r="C1069" s="18" t="s">
        <v>688</v>
      </c>
      <c r="D1069" s="13"/>
      <c r="E1069" s="13" t="str">
        <f t="shared" si="735"/>
        <v>LPEF,242-5-24,,0</v>
      </c>
      <c r="F1069" s="13"/>
      <c r="G1069" s="13" t="s">
        <v>111</v>
      </c>
      <c r="H1069" s="13" t="s">
        <v>75</v>
      </c>
      <c r="I1069" s="13"/>
      <c r="J1069" s="13"/>
      <c r="K1069" s="15"/>
      <c r="L1069" s="15"/>
      <c r="M1069" s="16">
        <v>0.0</v>
      </c>
      <c r="N1069" s="16">
        <v>0.0</v>
      </c>
      <c r="O1069" s="17"/>
      <c r="P1069" s="17"/>
      <c r="Q1069" s="13">
        <f t="shared" si="1086"/>
        <v>0</v>
      </c>
      <c r="R1069" s="13"/>
      <c r="S1069" s="13"/>
      <c r="T1069" s="13">
        <f t="shared" ref="T1069:Y1069" si="1115">IF(ISBLANK(K1069)=TRUE,0,1)</f>
        <v>0</v>
      </c>
      <c r="U1069" s="13">
        <f t="shared" si="1115"/>
        <v>0</v>
      </c>
      <c r="V1069" s="13">
        <f t="shared" si="1115"/>
        <v>1</v>
      </c>
      <c r="W1069" s="13">
        <f t="shared" si="1115"/>
        <v>1</v>
      </c>
      <c r="X1069" s="13">
        <f t="shared" si="1115"/>
        <v>0</v>
      </c>
      <c r="Y1069" s="13">
        <f t="shared" si="1115"/>
        <v>0</v>
      </c>
      <c r="Z1069" s="13">
        <f t="shared" si="529"/>
        <v>0</v>
      </c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</row>
    <row r="1070" ht="14.25" hidden="1" customHeight="1">
      <c r="A1070" s="13" t="s">
        <v>29</v>
      </c>
      <c r="B1070" s="13" t="s">
        <v>34</v>
      </c>
      <c r="C1070" s="18" t="s">
        <v>689</v>
      </c>
      <c r="D1070" s="13"/>
      <c r="E1070" s="13" t="str">
        <f t="shared" si="735"/>
        <v>LPEF,242-5-25,,0</v>
      </c>
      <c r="F1070" s="13"/>
      <c r="G1070" s="13" t="s">
        <v>111</v>
      </c>
      <c r="H1070" s="13" t="s">
        <v>75</v>
      </c>
      <c r="I1070" s="13"/>
      <c r="J1070" s="13"/>
      <c r="K1070" s="15"/>
      <c r="L1070" s="15"/>
      <c r="M1070" s="16">
        <v>0.0</v>
      </c>
      <c r="N1070" s="16">
        <v>0.0</v>
      </c>
      <c r="O1070" s="17"/>
      <c r="P1070" s="17"/>
      <c r="Q1070" s="13"/>
      <c r="R1070" s="14"/>
      <c r="S1070" s="13"/>
      <c r="T1070" s="13">
        <f t="shared" ref="T1070:Y1070" si="1116">IF(ISBLANK(K1070)=TRUE,0,1)</f>
        <v>0</v>
      </c>
      <c r="U1070" s="13">
        <f t="shared" si="1116"/>
        <v>0</v>
      </c>
      <c r="V1070" s="13">
        <f t="shared" si="1116"/>
        <v>1</v>
      </c>
      <c r="W1070" s="13">
        <f t="shared" si="1116"/>
        <v>1</v>
      </c>
      <c r="X1070" s="13">
        <f t="shared" si="1116"/>
        <v>0</v>
      </c>
      <c r="Y1070" s="13">
        <f t="shared" si="1116"/>
        <v>0</v>
      </c>
      <c r="Z1070" s="13">
        <f t="shared" si="529"/>
        <v>0</v>
      </c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</row>
    <row r="1071" ht="14.25" hidden="1" customHeight="1">
      <c r="A1071" s="13" t="s">
        <v>29</v>
      </c>
      <c r="B1071" s="13" t="s">
        <v>34</v>
      </c>
      <c r="C1071" s="18" t="s">
        <v>690</v>
      </c>
      <c r="D1071" s="13"/>
      <c r="E1071" s="13" t="str">
        <f t="shared" si="735"/>
        <v>LPEF,242-5-26,,0</v>
      </c>
      <c r="F1071" s="13"/>
      <c r="G1071" s="13" t="s">
        <v>111</v>
      </c>
      <c r="H1071" s="13" t="s">
        <v>75</v>
      </c>
      <c r="I1071" s="13"/>
      <c r="J1071" s="13"/>
      <c r="K1071" s="15"/>
      <c r="L1071" s="15"/>
      <c r="M1071" s="16">
        <v>0.0</v>
      </c>
      <c r="N1071" s="16">
        <v>0.0</v>
      </c>
      <c r="O1071" s="17"/>
      <c r="P1071" s="17"/>
      <c r="Q1071" s="13"/>
      <c r="R1071" s="14"/>
      <c r="S1071" s="13"/>
      <c r="T1071" s="13">
        <f t="shared" ref="T1071:Y1071" si="1117">IF(ISBLANK(K1071)=TRUE,0,1)</f>
        <v>0</v>
      </c>
      <c r="U1071" s="13">
        <f t="shared" si="1117"/>
        <v>0</v>
      </c>
      <c r="V1071" s="13">
        <f t="shared" si="1117"/>
        <v>1</v>
      </c>
      <c r="W1071" s="13">
        <f t="shared" si="1117"/>
        <v>1</v>
      </c>
      <c r="X1071" s="13">
        <f t="shared" si="1117"/>
        <v>0</v>
      </c>
      <c r="Y1071" s="13">
        <f t="shared" si="1117"/>
        <v>0</v>
      </c>
      <c r="Z1071" s="13">
        <f t="shared" si="529"/>
        <v>0</v>
      </c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</row>
    <row r="1072" ht="14.25" hidden="1" customHeight="1">
      <c r="A1072" s="13" t="s">
        <v>29</v>
      </c>
      <c r="B1072" s="13" t="s">
        <v>34</v>
      </c>
      <c r="C1072" s="18" t="s">
        <v>691</v>
      </c>
      <c r="D1072" s="13"/>
      <c r="E1072" s="13" t="str">
        <f t="shared" si="735"/>
        <v>LPEF,242-5-27,,0</v>
      </c>
      <c r="F1072" s="13"/>
      <c r="G1072" s="13" t="s">
        <v>111</v>
      </c>
      <c r="H1072" s="13" t="s">
        <v>75</v>
      </c>
      <c r="I1072" s="13"/>
      <c r="J1072" s="13"/>
      <c r="K1072" s="15"/>
      <c r="L1072" s="15"/>
      <c r="M1072" s="16">
        <v>0.0</v>
      </c>
      <c r="N1072" s="16">
        <v>0.0</v>
      </c>
      <c r="O1072" s="17"/>
      <c r="P1072" s="17"/>
      <c r="Q1072" s="13"/>
      <c r="R1072" s="14"/>
      <c r="S1072" s="13"/>
      <c r="T1072" s="13">
        <f t="shared" ref="T1072:Y1072" si="1118">IF(ISBLANK(K1072)=TRUE,0,1)</f>
        <v>0</v>
      </c>
      <c r="U1072" s="13">
        <f t="shared" si="1118"/>
        <v>0</v>
      </c>
      <c r="V1072" s="13">
        <f t="shared" si="1118"/>
        <v>1</v>
      </c>
      <c r="W1072" s="13">
        <f t="shared" si="1118"/>
        <v>1</v>
      </c>
      <c r="X1072" s="13">
        <f t="shared" si="1118"/>
        <v>0</v>
      </c>
      <c r="Y1072" s="13">
        <f t="shared" si="1118"/>
        <v>0</v>
      </c>
      <c r="Z1072" s="13">
        <f t="shared" si="529"/>
        <v>0</v>
      </c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</row>
    <row r="1073" ht="14.25" hidden="1" customHeight="1">
      <c r="A1073" s="13" t="s">
        <v>29</v>
      </c>
      <c r="B1073" s="13" t="s">
        <v>34</v>
      </c>
      <c r="C1073" s="18" t="s">
        <v>692</v>
      </c>
      <c r="D1073" s="13"/>
      <c r="E1073" s="13" t="str">
        <f t="shared" si="735"/>
        <v>LPEF,242-5-28,,0</v>
      </c>
      <c r="F1073" s="13"/>
      <c r="G1073" s="13" t="s">
        <v>111</v>
      </c>
      <c r="H1073" s="13" t="s">
        <v>75</v>
      </c>
      <c r="I1073" s="13"/>
      <c r="J1073" s="13"/>
      <c r="K1073" s="15"/>
      <c r="L1073" s="15"/>
      <c r="M1073" s="16">
        <v>0.0</v>
      </c>
      <c r="N1073" s="16">
        <v>0.0</v>
      </c>
      <c r="O1073" s="17"/>
      <c r="P1073" s="17"/>
      <c r="Q1073" s="13"/>
      <c r="R1073" s="14"/>
      <c r="S1073" s="13"/>
      <c r="T1073" s="13">
        <f t="shared" ref="T1073:Y1073" si="1119">IF(ISBLANK(K1073)=TRUE,0,1)</f>
        <v>0</v>
      </c>
      <c r="U1073" s="13">
        <f t="shared" si="1119"/>
        <v>0</v>
      </c>
      <c r="V1073" s="13">
        <f t="shared" si="1119"/>
        <v>1</v>
      </c>
      <c r="W1073" s="13">
        <f t="shared" si="1119"/>
        <v>1</v>
      </c>
      <c r="X1073" s="13">
        <f t="shared" si="1119"/>
        <v>0</v>
      </c>
      <c r="Y1073" s="13">
        <f t="shared" si="1119"/>
        <v>0</v>
      </c>
      <c r="Z1073" s="13">
        <f t="shared" si="529"/>
        <v>0</v>
      </c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</row>
    <row r="1074" ht="14.25" hidden="1" customHeight="1">
      <c r="A1074" s="13" t="s">
        <v>29</v>
      </c>
      <c r="B1074" s="13" t="s">
        <v>34</v>
      </c>
      <c r="C1074" s="18" t="s">
        <v>693</v>
      </c>
      <c r="D1074" s="13"/>
      <c r="E1074" s="13" t="str">
        <f t="shared" si="735"/>
        <v>LPEF,242-5-29,,0</v>
      </c>
      <c r="F1074" s="13"/>
      <c r="G1074" s="13" t="s">
        <v>111</v>
      </c>
      <c r="H1074" s="13" t="s">
        <v>75</v>
      </c>
      <c r="I1074" s="13"/>
      <c r="J1074" s="13"/>
      <c r="K1074" s="15"/>
      <c r="L1074" s="15"/>
      <c r="M1074" s="16">
        <v>0.0</v>
      </c>
      <c r="N1074" s="16">
        <v>0.0</v>
      </c>
      <c r="O1074" s="17"/>
      <c r="P1074" s="17"/>
      <c r="Q1074" s="13"/>
      <c r="R1074" s="14"/>
      <c r="S1074" s="13"/>
      <c r="T1074" s="13">
        <f t="shared" ref="T1074:Y1074" si="1120">IF(ISBLANK(K1074)=TRUE,0,1)</f>
        <v>0</v>
      </c>
      <c r="U1074" s="13">
        <f t="shared" si="1120"/>
        <v>0</v>
      </c>
      <c r="V1074" s="13">
        <f t="shared" si="1120"/>
        <v>1</v>
      </c>
      <c r="W1074" s="13">
        <f t="shared" si="1120"/>
        <v>1</v>
      </c>
      <c r="X1074" s="13">
        <f t="shared" si="1120"/>
        <v>0</v>
      </c>
      <c r="Y1074" s="13">
        <f t="shared" si="1120"/>
        <v>0</v>
      </c>
      <c r="Z1074" s="13">
        <f t="shared" si="529"/>
        <v>0</v>
      </c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</row>
    <row r="1075" ht="14.25" hidden="1" customHeight="1">
      <c r="A1075" s="13" t="s">
        <v>29</v>
      </c>
      <c r="B1075" s="13" t="s">
        <v>34</v>
      </c>
      <c r="C1075" s="13" t="s">
        <v>694</v>
      </c>
      <c r="D1075" s="13"/>
      <c r="E1075" s="13" t="str">
        <f t="shared" si="735"/>
        <v>LPEF,242-5-3,,0</v>
      </c>
      <c r="F1075" s="13"/>
      <c r="G1075" s="13" t="s">
        <v>111</v>
      </c>
      <c r="H1075" s="13" t="s">
        <v>107</v>
      </c>
      <c r="I1075" s="14">
        <v>44915.0</v>
      </c>
      <c r="J1075" s="14"/>
      <c r="K1075" s="15"/>
      <c r="L1075" s="15"/>
      <c r="M1075" s="16">
        <v>0.0</v>
      </c>
      <c r="N1075" s="16">
        <v>0.0</v>
      </c>
      <c r="O1075" s="17"/>
      <c r="P1075" s="17"/>
      <c r="Q1075" s="13">
        <f>K1074+L1074+M1074+N1074+O1074+P1074/6</f>
        <v>0</v>
      </c>
      <c r="R1075" s="13"/>
      <c r="S1075" s="13"/>
      <c r="T1075" s="13">
        <f t="shared" ref="T1075:Y1075" si="1121">IF(ISBLANK(K1075)=TRUE,0,1)</f>
        <v>0</v>
      </c>
      <c r="U1075" s="13">
        <f t="shared" si="1121"/>
        <v>0</v>
      </c>
      <c r="V1075" s="13">
        <f t="shared" si="1121"/>
        <v>1</v>
      </c>
      <c r="W1075" s="13">
        <f t="shared" si="1121"/>
        <v>1</v>
      </c>
      <c r="X1075" s="13">
        <f t="shared" si="1121"/>
        <v>0</v>
      </c>
      <c r="Y1075" s="13">
        <f t="shared" si="1121"/>
        <v>0</v>
      </c>
      <c r="Z1075" s="13">
        <f t="shared" si="529"/>
        <v>0</v>
      </c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</row>
    <row r="1076" ht="14.25" hidden="1" customHeight="1">
      <c r="A1076" s="13" t="s">
        <v>29</v>
      </c>
      <c r="B1076" s="13" t="s">
        <v>34</v>
      </c>
      <c r="C1076" s="18" t="s">
        <v>695</v>
      </c>
      <c r="D1076" s="13"/>
      <c r="E1076" s="13" t="str">
        <f t="shared" si="735"/>
        <v>LPEF,242-5-30,,0</v>
      </c>
      <c r="F1076" s="13"/>
      <c r="G1076" s="13" t="s">
        <v>111</v>
      </c>
      <c r="H1076" s="13" t="s">
        <v>75</v>
      </c>
      <c r="I1076" s="13"/>
      <c r="J1076" s="13"/>
      <c r="K1076" s="15"/>
      <c r="L1076" s="15"/>
      <c r="M1076" s="16">
        <v>0.0</v>
      </c>
      <c r="N1076" s="16">
        <v>0.0</v>
      </c>
      <c r="O1076" s="17"/>
      <c r="P1076" s="17"/>
      <c r="Q1076" s="13"/>
      <c r="R1076" s="14"/>
      <c r="S1076" s="13"/>
      <c r="T1076" s="13">
        <f t="shared" ref="T1076:Y1076" si="1122">IF(ISBLANK(K1076)=TRUE,0,1)</f>
        <v>0</v>
      </c>
      <c r="U1076" s="13">
        <f t="shared" si="1122"/>
        <v>0</v>
      </c>
      <c r="V1076" s="13">
        <f t="shared" si="1122"/>
        <v>1</v>
      </c>
      <c r="W1076" s="13">
        <f t="shared" si="1122"/>
        <v>1</v>
      </c>
      <c r="X1076" s="13">
        <f t="shared" si="1122"/>
        <v>0</v>
      </c>
      <c r="Y1076" s="13">
        <f t="shared" si="1122"/>
        <v>0</v>
      </c>
      <c r="Z1076" s="13">
        <f t="shared" si="529"/>
        <v>0</v>
      </c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</row>
    <row r="1077" ht="14.25" hidden="1" customHeight="1">
      <c r="A1077" s="13" t="s">
        <v>29</v>
      </c>
      <c r="B1077" s="13" t="s">
        <v>34</v>
      </c>
      <c r="C1077" s="18" t="s">
        <v>696</v>
      </c>
      <c r="D1077" s="13"/>
      <c r="E1077" s="13" t="str">
        <f t="shared" si="735"/>
        <v>LPEF,242-5-31,,0</v>
      </c>
      <c r="F1077" s="13"/>
      <c r="G1077" s="13" t="s">
        <v>111</v>
      </c>
      <c r="H1077" s="13" t="s">
        <v>75</v>
      </c>
      <c r="I1077" s="13"/>
      <c r="J1077" s="13"/>
      <c r="K1077" s="15"/>
      <c r="L1077" s="15"/>
      <c r="M1077" s="16">
        <v>0.0</v>
      </c>
      <c r="N1077" s="16">
        <v>0.0</v>
      </c>
      <c r="O1077" s="17"/>
      <c r="P1077" s="17"/>
      <c r="Q1077" s="13"/>
      <c r="R1077" s="14"/>
      <c r="S1077" s="13"/>
      <c r="T1077" s="13">
        <f t="shared" ref="T1077:Y1077" si="1123">IF(ISBLANK(K1077)=TRUE,0,1)</f>
        <v>0</v>
      </c>
      <c r="U1077" s="13">
        <f t="shared" si="1123"/>
        <v>0</v>
      </c>
      <c r="V1077" s="13">
        <f t="shared" si="1123"/>
        <v>1</v>
      </c>
      <c r="W1077" s="13">
        <f t="shared" si="1123"/>
        <v>1</v>
      </c>
      <c r="X1077" s="13">
        <f t="shared" si="1123"/>
        <v>0</v>
      </c>
      <c r="Y1077" s="13">
        <f t="shared" si="1123"/>
        <v>0</v>
      </c>
      <c r="Z1077" s="13">
        <f t="shared" si="529"/>
        <v>0</v>
      </c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</row>
    <row r="1078" ht="14.25" hidden="1" customHeight="1">
      <c r="A1078" s="13" t="s">
        <v>29</v>
      </c>
      <c r="B1078" s="13" t="s">
        <v>34</v>
      </c>
      <c r="C1078" s="13" t="s">
        <v>697</v>
      </c>
      <c r="D1078" s="13"/>
      <c r="E1078" s="13" t="str">
        <f t="shared" si="735"/>
        <v>LPEF,242-5-4,,0</v>
      </c>
      <c r="F1078" s="13"/>
      <c r="G1078" s="13" t="s">
        <v>111</v>
      </c>
      <c r="H1078" s="13" t="s">
        <v>107</v>
      </c>
      <c r="I1078" s="14">
        <v>44915.0</v>
      </c>
      <c r="J1078" s="14"/>
      <c r="K1078" s="15"/>
      <c r="L1078" s="15"/>
      <c r="M1078" s="16">
        <v>0.0</v>
      </c>
      <c r="N1078" s="16">
        <v>0.0</v>
      </c>
      <c r="O1078" s="17"/>
      <c r="P1078" s="17"/>
      <c r="Q1078" s="13">
        <f t="shared" ref="Q1078:Q1083" si="1125">K1077+L1077+M1077+N1077+O1077+P1077/6</f>
        <v>0</v>
      </c>
      <c r="R1078" s="13"/>
      <c r="S1078" s="13"/>
      <c r="T1078" s="13">
        <f t="shared" ref="T1078:Y1078" si="1124">IF(ISBLANK(K1078)=TRUE,0,1)</f>
        <v>0</v>
      </c>
      <c r="U1078" s="13">
        <f t="shared" si="1124"/>
        <v>0</v>
      </c>
      <c r="V1078" s="13">
        <f t="shared" si="1124"/>
        <v>1</v>
      </c>
      <c r="W1078" s="13">
        <f t="shared" si="1124"/>
        <v>1</v>
      </c>
      <c r="X1078" s="13">
        <f t="shared" si="1124"/>
        <v>0</v>
      </c>
      <c r="Y1078" s="13">
        <f t="shared" si="1124"/>
        <v>0</v>
      </c>
      <c r="Z1078" s="13">
        <f t="shared" si="529"/>
        <v>0</v>
      </c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</row>
    <row r="1079" ht="14.25" hidden="1" customHeight="1">
      <c r="A1079" s="13" t="s">
        <v>29</v>
      </c>
      <c r="B1079" s="13" t="s">
        <v>34</v>
      </c>
      <c r="C1079" s="13" t="s">
        <v>698</v>
      </c>
      <c r="D1079" s="13"/>
      <c r="E1079" s="13" t="str">
        <f t="shared" si="735"/>
        <v>LPEF,242-5-5,,0</v>
      </c>
      <c r="F1079" s="13"/>
      <c r="G1079" s="13" t="s">
        <v>111</v>
      </c>
      <c r="H1079" s="13" t="s">
        <v>75</v>
      </c>
      <c r="I1079" s="14">
        <v>44915.0</v>
      </c>
      <c r="J1079" s="14"/>
      <c r="K1079" s="15">
        <v>0.0</v>
      </c>
      <c r="L1079" s="15">
        <v>0.0</v>
      </c>
      <c r="M1079" s="16">
        <v>0.0</v>
      </c>
      <c r="N1079" s="16">
        <v>0.0</v>
      </c>
      <c r="O1079" s="17"/>
      <c r="P1079" s="17"/>
      <c r="Q1079" s="13">
        <f t="shared" si="1125"/>
        <v>0</v>
      </c>
      <c r="R1079" s="13"/>
      <c r="S1079" s="13"/>
      <c r="T1079" s="13">
        <f t="shared" ref="T1079:Y1079" si="1126">IF(ISBLANK(K1079)=TRUE,0,1)</f>
        <v>1</v>
      </c>
      <c r="U1079" s="13">
        <f t="shared" si="1126"/>
        <v>1</v>
      </c>
      <c r="V1079" s="13">
        <f t="shared" si="1126"/>
        <v>1</v>
      </c>
      <c r="W1079" s="13">
        <f t="shared" si="1126"/>
        <v>1</v>
      </c>
      <c r="X1079" s="13">
        <f t="shared" si="1126"/>
        <v>0</v>
      </c>
      <c r="Y1079" s="13">
        <f t="shared" si="1126"/>
        <v>0</v>
      </c>
      <c r="Z1079" s="13">
        <f t="shared" si="529"/>
        <v>0</v>
      </c>
      <c r="AA1079" s="13" t="s">
        <v>483</v>
      </c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</row>
    <row r="1080" ht="14.25" hidden="1" customHeight="1">
      <c r="A1080" s="13" t="s">
        <v>29</v>
      </c>
      <c r="B1080" s="13" t="s">
        <v>34</v>
      </c>
      <c r="C1080" s="13" t="s">
        <v>699</v>
      </c>
      <c r="D1080" s="13"/>
      <c r="E1080" s="13" t="str">
        <f t="shared" si="735"/>
        <v>LPEF,242-5-6,,0</v>
      </c>
      <c r="F1080" s="13"/>
      <c r="G1080" s="13" t="s">
        <v>111</v>
      </c>
      <c r="H1080" s="13" t="s">
        <v>107</v>
      </c>
      <c r="I1080" s="14">
        <v>44915.0</v>
      </c>
      <c r="J1080" s="14"/>
      <c r="K1080" s="15"/>
      <c r="L1080" s="15"/>
      <c r="M1080" s="16">
        <v>0.0</v>
      </c>
      <c r="N1080" s="16">
        <v>0.0</v>
      </c>
      <c r="O1080" s="17"/>
      <c r="P1080" s="17"/>
      <c r="Q1080" s="13">
        <f t="shared" si="1125"/>
        <v>0</v>
      </c>
      <c r="R1080" s="13"/>
      <c r="S1080" s="13"/>
      <c r="T1080" s="13">
        <f t="shared" ref="T1080:Y1080" si="1127">IF(ISBLANK(K1080)=TRUE,0,1)</f>
        <v>0</v>
      </c>
      <c r="U1080" s="13">
        <f t="shared" si="1127"/>
        <v>0</v>
      </c>
      <c r="V1080" s="13">
        <f t="shared" si="1127"/>
        <v>1</v>
      </c>
      <c r="W1080" s="13">
        <f t="shared" si="1127"/>
        <v>1</v>
      </c>
      <c r="X1080" s="13">
        <f t="shared" si="1127"/>
        <v>0</v>
      </c>
      <c r="Y1080" s="13">
        <f t="shared" si="1127"/>
        <v>0</v>
      </c>
      <c r="Z1080" s="13">
        <f t="shared" si="529"/>
        <v>0</v>
      </c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</row>
    <row r="1081" ht="14.25" hidden="1" customHeight="1">
      <c r="A1081" s="13" t="s">
        <v>29</v>
      </c>
      <c r="B1081" s="13" t="s">
        <v>34</v>
      </c>
      <c r="C1081" s="13" t="s">
        <v>700</v>
      </c>
      <c r="D1081" s="13"/>
      <c r="E1081" s="13" t="str">
        <f t="shared" si="735"/>
        <v>LPEF,242-5-7,,0</v>
      </c>
      <c r="F1081" s="13"/>
      <c r="G1081" s="13" t="s">
        <v>111</v>
      </c>
      <c r="H1081" s="13" t="s">
        <v>107</v>
      </c>
      <c r="I1081" s="14">
        <v>44915.0</v>
      </c>
      <c r="J1081" s="14"/>
      <c r="K1081" s="15"/>
      <c r="L1081" s="15"/>
      <c r="M1081" s="16">
        <v>0.0</v>
      </c>
      <c r="N1081" s="16">
        <v>0.0</v>
      </c>
      <c r="O1081" s="17"/>
      <c r="P1081" s="17"/>
      <c r="Q1081" s="13">
        <f t="shared" si="1125"/>
        <v>0</v>
      </c>
      <c r="R1081" s="13"/>
      <c r="S1081" s="13"/>
      <c r="T1081" s="13">
        <f t="shared" ref="T1081:Y1081" si="1128">IF(ISBLANK(K1081)=TRUE,0,1)</f>
        <v>0</v>
      </c>
      <c r="U1081" s="13">
        <f t="shared" si="1128"/>
        <v>0</v>
      </c>
      <c r="V1081" s="13">
        <f t="shared" si="1128"/>
        <v>1</v>
      </c>
      <c r="W1081" s="13">
        <f t="shared" si="1128"/>
        <v>1</v>
      </c>
      <c r="X1081" s="13">
        <f t="shared" si="1128"/>
        <v>0</v>
      </c>
      <c r="Y1081" s="13">
        <f t="shared" si="1128"/>
        <v>0</v>
      </c>
      <c r="Z1081" s="13">
        <f t="shared" si="529"/>
        <v>0</v>
      </c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</row>
    <row r="1082" ht="14.25" hidden="1" customHeight="1">
      <c r="A1082" s="13" t="s">
        <v>29</v>
      </c>
      <c r="B1082" s="13" t="s">
        <v>34</v>
      </c>
      <c r="C1082" s="13" t="s">
        <v>701</v>
      </c>
      <c r="D1082" s="13"/>
      <c r="E1082" s="13" t="str">
        <f t="shared" si="735"/>
        <v>LPEF,242-5-8,,0</v>
      </c>
      <c r="F1082" s="13"/>
      <c r="G1082" s="13" t="s">
        <v>111</v>
      </c>
      <c r="H1082" s="13" t="s">
        <v>107</v>
      </c>
      <c r="I1082" s="14">
        <v>44915.0</v>
      </c>
      <c r="J1082" s="14"/>
      <c r="K1082" s="15"/>
      <c r="L1082" s="15"/>
      <c r="M1082" s="16">
        <v>0.0</v>
      </c>
      <c r="N1082" s="16">
        <v>0.0</v>
      </c>
      <c r="O1082" s="17"/>
      <c r="P1082" s="17"/>
      <c r="Q1082" s="13">
        <f t="shared" si="1125"/>
        <v>0</v>
      </c>
      <c r="R1082" s="13"/>
      <c r="S1082" s="13"/>
      <c r="T1082" s="13">
        <f t="shared" ref="T1082:Y1082" si="1129">IF(ISBLANK(K1082)=TRUE,0,1)</f>
        <v>0</v>
      </c>
      <c r="U1082" s="13">
        <f t="shared" si="1129"/>
        <v>0</v>
      </c>
      <c r="V1082" s="13">
        <f t="shared" si="1129"/>
        <v>1</v>
      </c>
      <c r="W1082" s="13">
        <f t="shared" si="1129"/>
        <v>1</v>
      </c>
      <c r="X1082" s="13">
        <f t="shared" si="1129"/>
        <v>0</v>
      </c>
      <c r="Y1082" s="13">
        <f t="shared" si="1129"/>
        <v>0</v>
      </c>
      <c r="Z1082" s="13">
        <f t="shared" si="529"/>
        <v>0</v>
      </c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</row>
    <row r="1083" ht="14.25" hidden="1" customHeight="1">
      <c r="A1083" s="13" t="s">
        <v>29</v>
      </c>
      <c r="B1083" s="13" t="s">
        <v>34</v>
      </c>
      <c r="C1083" s="13" t="s">
        <v>702</v>
      </c>
      <c r="D1083" s="13"/>
      <c r="E1083" s="13" t="str">
        <f t="shared" si="735"/>
        <v>LPEF,242-5-9,,0</v>
      </c>
      <c r="F1083" s="13"/>
      <c r="G1083" s="13" t="s">
        <v>111</v>
      </c>
      <c r="H1083" s="13" t="s">
        <v>107</v>
      </c>
      <c r="I1083" s="14">
        <v>44915.0</v>
      </c>
      <c r="J1083" s="14"/>
      <c r="K1083" s="15"/>
      <c r="L1083" s="15"/>
      <c r="M1083" s="16">
        <v>0.0</v>
      </c>
      <c r="N1083" s="16">
        <v>0.0</v>
      </c>
      <c r="O1083" s="17"/>
      <c r="P1083" s="17"/>
      <c r="Q1083" s="13">
        <f t="shared" si="1125"/>
        <v>0</v>
      </c>
      <c r="R1083" s="13"/>
      <c r="S1083" s="13"/>
      <c r="T1083" s="13">
        <f t="shared" ref="T1083:Y1083" si="1130">IF(ISBLANK(K1083)=TRUE,0,1)</f>
        <v>0</v>
      </c>
      <c r="U1083" s="13">
        <f t="shared" si="1130"/>
        <v>0</v>
      </c>
      <c r="V1083" s="13">
        <f t="shared" si="1130"/>
        <v>1</v>
      </c>
      <c r="W1083" s="13">
        <f t="shared" si="1130"/>
        <v>1</v>
      </c>
      <c r="X1083" s="13">
        <f t="shared" si="1130"/>
        <v>0</v>
      </c>
      <c r="Y1083" s="13">
        <f t="shared" si="1130"/>
        <v>0</v>
      </c>
      <c r="Z1083" s="13">
        <f t="shared" si="529"/>
        <v>0</v>
      </c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</row>
    <row r="1084" ht="14.25" hidden="1" customHeight="1">
      <c r="A1084" s="13" t="s">
        <v>29</v>
      </c>
      <c r="B1084" s="13" t="s">
        <v>34</v>
      </c>
      <c r="C1084" s="13" t="s">
        <v>703</v>
      </c>
      <c r="D1084" s="13" t="s">
        <v>174</v>
      </c>
      <c r="E1084" s="13" t="str">
        <f t="shared" si="735"/>
        <v>LPEF,242-7-6U,AA,0</v>
      </c>
      <c r="F1084" s="13"/>
      <c r="G1084" s="13" t="s">
        <v>111</v>
      </c>
      <c r="H1084" s="13" t="s">
        <v>75</v>
      </c>
      <c r="I1084" s="13"/>
      <c r="J1084" s="13"/>
      <c r="K1084" s="15"/>
      <c r="L1084" s="15"/>
      <c r="M1084" s="16">
        <v>0.0</v>
      </c>
      <c r="N1084" s="16">
        <v>0.0</v>
      </c>
      <c r="O1084" s="17"/>
      <c r="P1084" s="17"/>
      <c r="Q1084" s="13"/>
      <c r="R1084" s="13"/>
      <c r="S1084" s="13"/>
      <c r="T1084" s="13">
        <f t="shared" ref="T1084:Y1084" si="1131">IF(ISBLANK(K1084)=TRUE,0,1)</f>
        <v>0</v>
      </c>
      <c r="U1084" s="13">
        <f t="shared" si="1131"/>
        <v>0</v>
      </c>
      <c r="V1084" s="13">
        <f t="shared" si="1131"/>
        <v>1</v>
      </c>
      <c r="W1084" s="13">
        <f t="shared" si="1131"/>
        <v>1</v>
      </c>
      <c r="X1084" s="13">
        <f t="shared" si="1131"/>
        <v>0</v>
      </c>
      <c r="Y1084" s="13">
        <f t="shared" si="1131"/>
        <v>0</v>
      </c>
      <c r="Z1084" s="13">
        <f t="shared" si="529"/>
        <v>0</v>
      </c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</row>
    <row r="1085" ht="14.25" hidden="1" customHeight="1">
      <c r="A1085" s="13" t="s">
        <v>29</v>
      </c>
      <c r="B1085" s="13" t="s">
        <v>34</v>
      </c>
      <c r="C1085" s="13" t="s">
        <v>703</v>
      </c>
      <c r="D1085" s="13" t="s">
        <v>175</v>
      </c>
      <c r="E1085" s="13" t="str">
        <f t="shared" si="735"/>
        <v>LPEF,242-7-6U,AB,0</v>
      </c>
      <c r="F1085" s="13"/>
      <c r="G1085" s="13" t="s">
        <v>111</v>
      </c>
      <c r="H1085" s="13" t="s">
        <v>75</v>
      </c>
      <c r="I1085" s="13"/>
      <c r="J1085" s="13"/>
      <c r="K1085" s="15"/>
      <c r="L1085" s="15"/>
      <c r="M1085" s="16">
        <v>0.0</v>
      </c>
      <c r="N1085" s="16">
        <v>0.0</v>
      </c>
      <c r="O1085" s="17"/>
      <c r="P1085" s="17"/>
      <c r="Q1085" s="13"/>
      <c r="R1085" s="13"/>
      <c r="S1085" s="13"/>
      <c r="T1085" s="13">
        <f t="shared" ref="T1085:Y1085" si="1132">IF(ISBLANK(K1085)=TRUE,0,1)</f>
        <v>0</v>
      </c>
      <c r="U1085" s="13">
        <f t="shared" si="1132"/>
        <v>0</v>
      </c>
      <c r="V1085" s="13">
        <f t="shared" si="1132"/>
        <v>1</v>
      </c>
      <c r="W1085" s="13">
        <f t="shared" si="1132"/>
        <v>1</v>
      </c>
      <c r="X1085" s="13">
        <f t="shared" si="1132"/>
        <v>0</v>
      </c>
      <c r="Y1085" s="13">
        <f t="shared" si="1132"/>
        <v>0</v>
      </c>
      <c r="Z1085" s="13">
        <f t="shared" si="529"/>
        <v>0</v>
      </c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</row>
    <row r="1086" ht="14.25" hidden="1" customHeight="1">
      <c r="A1086" s="13" t="s">
        <v>29</v>
      </c>
      <c r="B1086" s="13" t="s">
        <v>34</v>
      </c>
      <c r="C1086" s="13" t="s">
        <v>703</v>
      </c>
      <c r="D1086" s="13" t="s">
        <v>176</v>
      </c>
      <c r="E1086" s="13" t="str">
        <f t="shared" si="735"/>
        <v>LPEF,242-7-6U,AC,0</v>
      </c>
      <c r="F1086" s="13"/>
      <c r="G1086" s="13" t="s">
        <v>111</v>
      </c>
      <c r="H1086" s="13" t="s">
        <v>75</v>
      </c>
      <c r="I1086" s="13"/>
      <c r="J1086" s="13"/>
      <c r="K1086" s="15"/>
      <c r="L1086" s="15"/>
      <c r="M1086" s="16">
        <v>0.0</v>
      </c>
      <c r="N1086" s="16">
        <v>0.0</v>
      </c>
      <c r="O1086" s="17"/>
      <c r="P1086" s="17"/>
      <c r="Q1086" s="13"/>
      <c r="R1086" s="13"/>
      <c r="S1086" s="13"/>
      <c r="T1086" s="13">
        <f t="shared" ref="T1086:Y1086" si="1133">IF(ISBLANK(K1086)=TRUE,0,1)</f>
        <v>0</v>
      </c>
      <c r="U1086" s="13">
        <f t="shared" si="1133"/>
        <v>0</v>
      </c>
      <c r="V1086" s="13">
        <f t="shared" si="1133"/>
        <v>1</v>
      </c>
      <c r="W1086" s="13">
        <f t="shared" si="1133"/>
        <v>1</v>
      </c>
      <c r="X1086" s="13">
        <f t="shared" si="1133"/>
        <v>0</v>
      </c>
      <c r="Y1086" s="13">
        <f t="shared" si="1133"/>
        <v>0</v>
      </c>
      <c r="Z1086" s="13">
        <f t="shared" si="529"/>
        <v>0</v>
      </c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</row>
    <row r="1087" ht="14.25" hidden="1" customHeight="1">
      <c r="A1087" s="13" t="s">
        <v>29</v>
      </c>
      <c r="B1087" s="13" t="s">
        <v>34</v>
      </c>
      <c r="C1087" s="13" t="s">
        <v>703</v>
      </c>
      <c r="D1087" s="13" t="s">
        <v>177</v>
      </c>
      <c r="E1087" s="13" t="str">
        <f t="shared" si="735"/>
        <v>LPEF,242-7-6U,AD,0</v>
      </c>
      <c r="F1087" s="13"/>
      <c r="G1087" s="13" t="s">
        <v>111</v>
      </c>
      <c r="H1087" s="13" t="s">
        <v>75</v>
      </c>
      <c r="I1087" s="13"/>
      <c r="J1087" s="13"/>
      <c r="K1087" s="15"/>
      <c r="L1087" s="15"/>
      <c r="M1087" s="16">
        <v>0.0</v>
      </c>
      <c r="N1087" s="16">
        <v>0.0</v>
      </c>
      <c r="O1087" s="17"/>
      <c r="P1087" s="17"/>
      <c r="Q1087" s="13"/>
      <c r="R1087" s="13"/>
      <c r="S1087" s="13"/>
      <c r="T1087" s="13">
        <f t="shared" ref="T1087:Y1087" si="1134">IF(ISBLANK(K1087)=TRUE,0,1)</f>
        <v>0</v>
      </c>
      <c r="U1087" s="13">
        <f t="shared" si="1134"/>
        <v>0</v>
      </c>
      <c r="V1087" s="13">
        <f t="shared" si="1134"/>
        <v>1</v>
      </c>
      <c r="W1087" s="13">
        <f t="shared" si="1134"/>
        <v>1</v>
      </c>
      <c r="X1087" s="13">
        <f t="shared" si="1134"/>
        <v>0</v>
      </c>
      <c r="Y1087" s="13">
        <f t="shared" si="1134"/>
        <v>0</v>
      </c>
      <c r="Z1087" s="13">
        <f t="shared" si="529"/>
        <v>0</v>
      </c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</row>
    <row r="1088" ht="14.25" hidden="1" customHeight="1">
      <c r="A1088" s="13" t="s">
        <v>29</v>
      </c>
      <c r="B1088" s="13" t="s">
        <v>34</v>
      </c>
      <c r="C1088" s="13" t="s">
        <v>703</v>
      </c>
      <c r="D1088" s="13" t="s">
        <v>178</v>
      </c>
      <c r="E1088" s="13" t="str">
        <f t="shared" si="735"/>
        <v>LPEF,242-7-6U,AE,0</v>
      </c>
      <c r="F1088" s="13"/>
      <c r="G1088" s="13" t="s">
        <v>111</v>
      </c>
      <c r="H1088" s="13" t="s">
        <v>75</v>
      </c>
      <c r="I1088" s="13"/>
      <c r="J1088" s="13"/>
      <c r="K1088" s="15"/>
      <c r="L1088" s="15"/>
      <c r="M1088" s="16">
        <v>0.0</v>
      </c>
      <c r="N1088" s="16">
        <v>0.0</v>
      </c>
      <c r="O1088" s="17"/>
      <c r="P1088" s="17"/>
      <c r="Q1088" s="13"/>
      <c r="R1088" s="13"/>
      <c r="S1088" s="13"/>
      <c r="T1088" s="13">
        <f t="shared" ref="T1088:Y1088" si="1135">IF(ISBLANK(K1088)=TRUE,0,1)</f>
        <v>0</v>
      </c>
      <c r="U1088" s="13">
        <f t="shared" si="1135"/>
        <v>0</v>
      </c>
      <c r="V1088" s="13">
        <f t="shared" si="1135"/>
        <v>1</v>
      </c>
      <c r="W1088" s="13">
        <f t="shared" si="1135"/>
        <v>1</v>
      </c>
      <c r="X1088" s="13">
        <f t="shared" si="1135"/>
        <v>0</v>
      </c>
      <c r="Y1088" s="13">
        <f t="shared" si="1135"/>
        <v>0</v>
      </c>
      <c r="Z1088" s="13">
        <f t="shared" si="529"/>
        <v>0</v>
      </c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</row>
    <row r="1089" ht="14.25" hidden="1" customHeight="1">
      <c r="A1089" s="13" t="s">
        <v>29</v>
      </c>
      <c r="B1089" s="13" t="s">
        <v>34</v>
      </c>
      <c r="C1089" s="13" t="s">
        <v>703</v>
      </c>
      <c r="D1089" s="13" t="s">
        <v>179</v>
      </c>
      <c r="E1089" s="13" t="str">
        <f t="shared" si="735"/>
        <v>LPEF,242-7-6U,AF,0</v>
      </c>
      <c r="F1089" s="13"/>
      <c r="G1089" s="13" t="s">
        <v>111</v>
      </c>
      <c r="H1089" s="13" t="s">
        <v>75</v>
      </c>
      <c r="I1089" s="13"/>
      <c r="J1089" s="13"/>
      <c r="K1089" s="15"/>
      <c r="L1089" s="15"/>
      <c r="M1089" s="16">
        <v>0.0</v>
      </c>
      <c r="N1089" s="16">
        <v>0.0</v>
      </c>
      <c r="O1089" s="17"/>
      <c r="P1089" s="17"/>
      <c r="Q1089" s="13"/>
      <c r="R1089" s="13"/>
      <c r="S1089" s="13"/>
      <c r="T1089" s="13">
        <f t="shared" ref="T1089:Y1089" si="1136">IF(ISBLANK(K1089)=TRUE,0,1)</f>
        <v>0</v>
      </c>
      <c r="U1089" s="13">
        <f t="shared" si="1136"/>
        <v>0</v>
      </c>
      <c r="V1089" s="13">
        <f t="shared" si="1136"/>
        <v>1</v>
      </c>
      <c r="W1089" s="13">
        <f t="shared" si="1136"/>
        <v>1</v>
      </c>
      <c r="X1089" s="13">
        <f t="shared" si="1136"/>
        <v>0</v>
      </c>
      <c r="Y1089" s="13">
        <f t="shared" si="1136"/>
        <v>0</v>
      </c>
      <c r="Z1089" s="13">
        <f t="shared" si="529"/>
        <v>0</v>
      </c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</row>
    <row r="1090" ht="14.25" hidden="1" customHeight="1">
      <c r="A1090" s="13" t="s">
        <v>29</v>
      </c>
      <c r="B1090" s="13" t="s">
        <v>34</v>
      </c>
      <c r="C1090" s="13" t="s">
        <v>703</v>
      </c>
      <c r="D1090" s="13" t="s">
        <v>180</v>
      </c>
      <c r="E1090" s="13" t="str">
        <f t="shared" si="735"/>
        <v>LPEF,242-7-6U,AG,0</v>
      </c>
      <c r="F1090" s="13"/>
      <c r="G1090" s="13" t="s">
        <v>111</v>
      </c>
      <c r="H1090" s="13" t="s">
        <v>75</v>
      </c>
      <c r="I1090" s="13"/>
      <c r="J1090" s="13"/>
      <c r="K1090" s="15"/>
      <c r="L1090" s="15"/>
      <c r="M1090" s="16">
        <v>0.0</v>
      </c>
      <c r="N1090" s="16">
        <v>0.0</v>
      </c>
      <c r="O1090" s="17"/>
      <c r="P1090" s="17"/>
      <c r="Q1090" s="13"/>
      <c r="R1090" s="13"/>
      <c r="S1090" s="13"/>
      <c r="T1090" s="13">
        <f t="shared" ref="T1090:Y1090" si="1137">IF(ISBLANK(K1090)=TRUE,0,1)</f>
        <v>0</v>
      </c>
      <c r="U1090" s="13">
        <f t="shared" si="1137"/>
        <v>0</v>
      </c>
      <c r="V1090" s="13">
        <f t="shared" si="1137"/>
        <v>1</v>
      </c>
      <c r="W1090" s="13">
        <f t="shared" si="1137"/>
        <v>1</v>
      </c>
      <c r="X1090" s="13">
        <f t="shared" si="1137"/>
        <v>0</v>
      </c>
      <c r="Y1090" s="13">
        <f t="shared" si="1137"/>
        <v>0</v>
      </c>
      <c r="Z1090" s="13">
        <f t="shared" si="529"/>
        <v>0</v>
      </c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</row>
    <row r="1091" ht="14.25" hidden="1" customHeight="1">
      <c r="A1091" s="13" t="s">
        <v>29</v>
      </c>
      <c r="B1091" s="13" t="s">
        <v>34</v>
      </c>
      <c r="C1091" s="13" t="s">
        <v>703</v>
      </c>
      <c r="D1091" s="13" t="s">
        <v>181</v>
      </c>
      <c r="E1091" s="13" t="str">
        <f t="shared" si="735"/>
        <v>LPEF,242-7-6U,AH,0</v>
      </c>
      <c r="F1091" s="13"/>
      <c r="G1091" s="13" t="s">
        <v>111</v>
      </c>
      <c r="H1091" s="13" t="s">
        <v>75</v>
      </c>
      <c r="I1091" s="13"/>
      <c r="J1091" s="13"/>
      <c r="K1091" s="15"/>
      <c r="L1091" s="15"/>
      <c r="M1091" s="16">
        <v>0.0</v>
      </c>
      <c r="N1091" s="16">
        <v>0.0</v>
      </c>
      <c r="O1091" s="17"/>
      <c r="P1091" s="17"/>
      <c r="Q1091" s="13"/>
      <c r="R1091" s="13"/>
      <c r="S1091" s="13"/>
      <c r="T1091" s="13">
        <f t="shared" ref="T1091:Y1091" si="1138">IF(ISBLANK(K1091)=TRUE,0,1)</f>
        <v>0</v>
      </c>
      <c r="U1091" s="13">
        <f t="shared" si="1138"/>
        <v>0</v>
      </c>
      <c r="V1091" s="13">
        <f t="shared" si="1138"/>
        <v>1</v>
      </c>
      <c r="W1091" s="13">
        <f t="shared" si="1138"/>
        <v>1</v>
      </c>
      <c r="X1091" s="13">
        <f t="shared" si="1138"/>
        <v>0</v>
      </c>
      <c r="Y1091" s="13">
        <f t="shared" si="1138"/>
        <v>0</v>
      </c>
      <c r="Z1091" s="13">
        <f t="shared" si="529"/>
        <v>0</v>
      </c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</row>
    <row r="1092" ht="14.25" hidden="1" customHeight="1">
      <c r="A1092" s="13" t="s">
        <v>29</v>
      </c>
      <c r="B1092" s="13" t="s">
        <v>34</v>
      </c>
      <c r="C1092" s="13" t="s">
        <v>703</v>
      </c>
      <c r="D1092" s="13" t="s">
        <v>182</v>
      </c>
      <c r="E1092" s="13" t="str">
        <f t="shared" si="735"/>
        <v>LPEF,242-7-6U,AI,0</v>
      </c>
      <c r="F1092" s="13"/>
      <c r="G1092" s="13" t="s">
        <v>111</v>
      </c>
      <c r="H1092" s="13" t="s">
        <v>75</v>
      </c>
      <c r="I1092" s="13"/>
      <c r="J1092" s="13"/>
      <c r="K1092" s="15"/>
      <c r="L1092" s="15"/>
      <c r="M1092" s="16">
        <v>0.0</v>
      </c>
      <c r="N1092" s="16">
        <v>0.0</v>
      </c>
      <c r="O1092" s="17"/>
      <c r="P1092" s="17"/>
      <c r="Q1092" s="13"/>
      <c r="R1092" s="13"/>
      <c r="S1092" s="13"/>
      <c r="T1092" s="13">
        <f t="shared" ref="T1092:Y1092" si="1139">IF(ISBLANK(K1092)=TRUE,0,1)</f>
        <v>0</v>
      </c>
      <c r="U1092" s="13">
        <f t="shared" si="1139"/>
        <v>0</v>
      </c>
      <c r="V1092" s="13">
        <f t="shared" si="1139"/>
        <v>1</v>
      </c>
      <c r="W1092" s="13">
        <f t="shared" si="1139"/>
        <v>1</v>
      </c>
      <c r="X1092" s="13">
        <f t="shared" si="1139"/>
        <v>0</v>
      </c>
      <c r="Y1092" s="13">
        <f t="shared" si="1139"/>
        <v>0</v>
      </c>
      <c r="Z1092" s="13">
        <f t="shared" si="529"/>
        <v>0</v>
      </c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</row>
    <row r="1093" ht="14.25" hidden="1" customHeight="1">
      <c r="A1093" s="13" t="s">
        <v>29</v>
      </c>
      <c r="B1093" s="13" t="s">
        <v>34</v>
      </c>
      <c r="C1093" s="13" t="s">
        <v>703</v>
      </c>
      <c r="D1093" s="13" t="s">
        <v>183</v>
      </c>
      <c r="E1093" s="13" t="str">
        <f t="shared" si="735"/>
        <v>LPEF,242-7-6U,AJ,0</v>
      </c>
      <c r="F1093" s="13"/>
      <c r="G1093" s="13" t="s">
        <v>111</v>
      </c>
      <c r="H1093" s="13" t="s">
        <v>75</v>
      </c>
      <c r="I1093" s="13"/>
      <c r="J1093" s="13"/>
      <c r="K1093" s="15"/>
      <c r="L1093" s="15"/>
      <c r="M1093" s="16">
        <v>0.0</v>
      </c>
      <c r="N1093" s="16">
        <v>0.0</v>
      </c>
      <c r="O1093" s="17"/>
      <c r="P1093" s="17"/>
      <c r="Q1093" s="13"/>
      <c r="R1093" s="13"/>
      <c r="S1093" s="13"/>
      <c r="T1093" s="13">
        <f t="shared" ref="T1093:Y1093" si="1140">IF(ISBLANK(K1093)=TRUE,0,1)</f>
        <v>0</v>
      </c>
      <c r="U1093" s="13">
        <f t="shared" si="1140"/>
        <v>0</v>
      </c>
      <c r="V1093" s="13">
        <f t="shared" si="1140"/>
        <v>1</v>
      </c>
      <c r="W1093" s="13">
        <f t="shared" si="1140"/>
        <v>1</v>
      </c>
      <c r="X1093" s="13">
        <f t="shared" si="1140"/>
        <v>0</v>
      </c>
      <c r="Y1093" s="13">
        <f t="shared" si="1140"/>
        <v>0</v>
      </c>
      <c r="Z1093" s="13">
        <f t="shared" si="529"/>
        <v>0</v>
      </c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</row>
    <row r="1094" ht="14.25" hidden="1" customHeight="1">
      <c r="A1094" s="13" t="s">
        <v>29</v>
      </c>
      <c r="B1094" s="13" t="s">
        <v>34</v>
      </c>
      <c r="C1094" s="13" t="s">
        <v>703</v>
      </c>
      <c r="D1094" s="13" t="s">
        <v>184</v>
      </c>
      <c r="E1094" s="13" t="str">
        <f t="shared" si="735"/>
        <v>LPEF,242-7-6U,AK,0</v>
      </c>
      <c r="F1094" s="13"/>
      <c r="G1094" s="13" t="s">
        <v>111</v>
      </c>
      <c r="H1094" s="13" t="s">
        <v>75</v>
      </c>
      <c r="I1094" s="13"/>
      <c r="J1094" s="13"/>
      <c r="K1094" s="15"/>
      <c r="L1094" s="15"/>
      <c r="M1094" s="16">
        <v>0.0</v>
      </c>
      <c r="N1094" s="16">
        <v>0.0</v>
      </c>
      <c r="O1094" s="17"/>
      <c r="P1094" s="17"/>
      <c r="Q1094" s="13"/>
      <c r="R1094" s="13"/>
      <c r="S1094" s="13"/>
      <c r="T1094" s="13">
        <f t="shared" ref="T1094:Y1094" si="1141">IF(ISBLANK(K1094)=TRUE,0,1)</f>
        <v>0</v>
      </c>
      <c r="U1094" s="13">
        <f t="shared" si="1141"/>
        <v>0</v>
      </c>
      <c r="V1094" s="13">
        <f t="shared" si="1141"/>
        <v>1</v>
      </c>
      <c r="W1094" s="13">
        <f t="shared" si="1141"/>
        <v>1</v>
      </c>
      <c r="X1094" s="13">
        <f t="shared" si="1141"/>
        <v>0</v>
      </c>
      <c r="Y1094" s="13">
        <f t="shared" si="1141"/>
        <v>0</v>
      </c>
      <c r="Z1094" s="13">
        <f t="shared" si="529"/>
        <v>0</v>
      </c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</row>
    <row r="1095" ht="14.25" hidden="1" customHeight="1">
      <c r="A1095" s="13" t="s">
        <v>29</v>
      </c>
      <c r="B1095" s="13" t="s">
        <v>34</v>
      </c>
      <c r="C1095" s="13" t="s">
        <v>703</v>
      </c>
      <c r="D1095" s="13" t="s">
        <v>185</v>
      </c>
      <c r="E1095" s="13" t="str">
        <f t="shared" si="735"/>
        <v>LPEF,242-7-6U,AL,0</v>
      </c>
      <c r="F1095" s="13"/>
      <c r="G1095" s="13" t="s">
        <v>111</v>
      </c>
      <c r="H1095" s="13" t="s">
        <v>75</v>
      </c>
      <c r="I1095" s="13"/>
      <c r="J1095" s="13"/>
      <c r="K1095" s="15"/>
      <c r="L1095" s="15"/>
      <c r="M1095" s="16">
        <v>0.0</v>
      </c>
      <c r="N1095" s="16">
        <v>0.0</v>
      </c>
      <c r="O1095" s="17"/>
      <c r="P1095" s="17"/>
      <c r="Q1095" s="13"/>
      <c r="R1095" s="13"/>
      <c r="S1095" s="13"/>
      <c r="T1095" s="13">
        <f t="shared" ref="T1095:Y1095" si="1142">IF(ISBLANK(K1095)=TRUE,0,1)</f>
        <v>0</v>
      </c>
      <c r="U1095" s="13">
        <f t="shared" si="1142"/>
        <v>0</v>
      </c>
      <c r="V1095" s="13">
        <f t="shared" si="1142"/>
        <v>1</v>
      </c>
      <c r="W1095" s="13">
        <f t="shared" si="1142"/>
        <v>1</v>
      </c>
      <c r="X1095" s="13">
        <f t="shared" si="1142"/>
        <v>0</v>
      </c>
      <c r="Y1095" s="13">
        <f t="shared" si="1142"/>
        <v>0</v>
      </c>
      <c r="Z1095" s="13">
        <f t="shared" si="529"/>
        <v>0</v>
      </c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</row>
    <row r="1096" ht="14.25" hidden="1" customHeight="1">
      <c r="A1096" s="13" t="s">
        <v>29</v>
      </c>
      <c r="B1096" s="13" t="s">
        <v>34</v>
      </c>
      <c r="C1096" s="13" t="s">
        <v>703</v>
      </c>
      <c r="D1096" s="13" t="s">
        <v>186</v>
      </c>
      <c r="E1096" s="13" t="str">
        <f t="shared" si="735"/>
        <v>LPEF,242-7-6U,AM,0</v>
      </c>
      <c r="F1096" s="13"/>
      <c r="G1096" s="13" t="s">
        <v>111</v>
      </c>
      <c r="H1096" s="13" t="s">
        <v>75</v>
      </c>
      <c r="I1096" s="13"/>
      <c r="J1096" s="13"/>
      <c r="K1096" s="15"/>
      <c r="L1096" s="15"/>
      <c r="M1096" s="16">
        <v>0.0</v>
      </c>
      <c r="N1096" s="16">
        <v>0.0</v>
      </c>
      <c r="O1096" s="17"/>
      <c r="P1096" s="17"/>
      <c r="Q1096" s="13"/>
      <c r="R1096" s="13"/>
      <c r="S1096" s="13"/>
      <c r="T1096" s="13">
        <f t="shared" ref="T1096:Y1096" si="1143">IF(ISBLANK(K1096)=TRUE,0,1)</f>
        <v>0</v>
      </c>
      <c r="U1096" s="13">
        <f t="shared" si="1143"/>
        <v>0</v>
      </c>
      <c r="V1096" s="13">
        <f t="shared" si="1143"/>
        <v>1</v>
      </c>
      <c r="W1096" s="13">
        <f t="shared" si="1143"/>
        <v>1</v>
      </c>
      <c r="X1096" s="13">
        <f t="shared" si="1143"/>
        <v>0</v>
      </c>
      <c r="Y1096" s="13">
        <f t="shared" si="1143"/>
        <v>0</v>
      </c>
      <c r="Z1096" s="13">
        <f t="shared" si="529"/>
        <v>0</v>
      </c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</row>
    <row r="1097" ht="14.25" hidden="1" customHeight="1">
      <c r="A1097" s="13" t="s">
        <v>29</v>
      </c>
      <c r="B1097" s="13" t="s">
        <v>34</v>
      </c>
      <c r="C1097" s="13" t="s">
        <v>703</v>
      </c>
      <c r="D1097" s="13" t="s">
        <v>187</v>
      </c>
      <c r="E1097" s="13" t="str">
        <f t="shared" si="735"/>
        <v>LPEF,242-7-6U,AN,0</v>
      </c>
      <c r="F1097" s="13"/>
      <c r="G1097" s="13" t="s">
        <v>111</v>
      </c>
      <c r="H1097" s="13" t="s">
        <v>75</v>
      </c>
      <c r="I1097" s="13"/>
      <c r="J1097" s="13"/>
      <c r="K1097" s="15"/>
      <c r="L1097" s="15"/>
      <c r="M1097" s="16">
        <v>0.0</v>
      </c>
      <c r="N1097" s="16">
        <v>0.0</v>
      </c>
      <c r="O1097" s="17"/>
      <c r="P1097" s="17"/>
      <c r="Q1097" s="13"/>
      <c r="R1097" s="13"/>
      <c r="S1097" s="13"/>
      <c r="T1097" s="13">
        <f t="shared" ref="T1097:Y1097" si="1144">IF(ISBLANK(K1097)=TRUE,0,1)</f>
        <v>0</v>
      </c>
      <c r="U1097" s="13">
        <f t="shared" si="1144"/>
        <v>0</v>
      </c>
      <c r="V1097" s="13">
        <f t="shared" si="1144"/>
        <v>1</v>
      </c>
      <c r="W1097" s="13">
        <f t="shared" si="1144"/>
        <v>1</v>
      </c>
      <c r="X1097" s="13">
        <f t="shared" si="1144"/>
        <v>0</v>
      </c>
      <c r="Y1097" s="13">
        <f t="shared" si="1144"/>
        <v>0</v>
      </c>
      <c r="Z1097" s="13">
        <f t="shared" si="529"/>
        <v>0</v>
      </c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</row>
    <row r="1098" ht="14.25" hidden="1" customHeight="1">
      <c r="A1098" s="13" t="s">
        <v>29</v>
      </c>
      <c r="B1098" s="13" t="s">
        <v>34</v>
      </c>
      <c r="C1098" s="13" t="s">
        <v>703</v>
      </c>
      <c r="D1098" s="13" t="s">
        <v>188</v>
      </c>
      <c r="E1098" s="13" t="str">
        <f t="shared" si="735"/>
        <v>LPEF,242-7-6U,AO,0</v>
      </c>
      <c r="F1098" s="13"/>
      <c r="G1098" s="13" t="s">
        <v>111</v>
      </c>
      <c r="H1098" s="13" t="s">
        <v>75</v>
      </c>
      <c r="I1098" s="13"/>
      <c r="J1098" s="13"/>
      <c r="K1098" s="15"/>
      <c r="L1098" s="15"/>
      <c r="M1098" s="16">
        <v>0.0</v>
      </c>
      <c r="N1098" s="16">
        <v>0.0</v>
      </c>
      <c r="O1098" s="17"/>
      <c r="P1098" s="17"/>
      <c r="Q1098" s="13"/>
      <c r="R1098" s="13"/>
      <c r="S1098" s="13"/>
      <c r="T1098" s="13">
        <f t="shared" ref="T1098:Y1098" si="1145">IF(ISBLANK(K1098)=TRUE,0,1)</f>
        <v>0</v>
      </c>
      <c r="U1098" s="13">
        <f t="shared" si="1145"/>
        <v>0</v>
      </c>
      <c r="V1098" s="13">
        <f t="shared" si="1145"/>
        <v>1</v>
      </c>
      <c r="W1098" s="13">
        <f t="shared" si="1145"/>
        <v>1</v>
      </c>
      <c r="X1098" s="13">
        <f t="shared" si="1145"/>
        <v>0</v>
      </c>
      <c r="Y1098" s="13">
        <f t="shared" si="1145"/>
        <v>0</v>
      </c>
      <c r="Z1098" s="13">
        <f t="shared" si="529"/>
        <v>0</v>
      </c>
      <c r="AA1098" s="13"/>
      <c r="AB1098" s="13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</row>
    <row r="1099" ht="14.25" hidden="1" customHeight="1">
      <c r="A1099" s="13" t="s">
        <v>29</v>
      </c>
      <c r="B1099" s="13" t="s">
        <v>34</v>
      </c>
      <c r="C1099" s="13" t="s">
        <v>703</v>
      </c>
      <c r="D1099" s="13" t="s">
        <v>189</v>
      </c>
      <c r="E1099" s="13" t="str">
        <f t="shared" si="735"/>
        <v>LPEF,242-7-6U,AP,0</v>
      </c>
      <c r="F1099" s="13"/>
      <c r="G1099" s="13" t="s">
        <v>111</v>
      </c>
      <c r="H1099" s="13" t="s">
        <v>75</v>
      </c>
      <c r="I1099" s="13"/>
      <c r="J1099" s="13"/>
      <c r="K1099" s="15"/>
      <c r="L1099" s="15"/>
      <c r="M1099" s="16">
        <v>0.0</v>
      </c>
      <c r="N1099" s="16">
        <v>0.0</v>
      </c>
      <c r="O1099" s="17"/>
      <c r="P1099" s="17"/>
      <c r="Q1099" s="13"/>
      <c r="R1099" s="13"/>
      <c r="S1099" s="13"/>
      <c r="T1099" s="13">
        <f t="shared" ref="T1099:Y1099" si="1146">IF(ISBLANK(K1099)=TRUE,0,1)</f>
        <v>0</v>
      </c>
      <c r="U1099" s="13">
        <f t="shared" si="1146"/>
        <v>0</v>
      </c>
      <c r="V1099" s="13">
        <f t="shared" si="1146"/>
        <v>1</v>
      </c>
      <c r="W1099" s="13">
        <f t="shared" si="1146"/>
        <v>1</v>
      </c>
      <c r="X1099" s="13">
        <f t="shared" si="1146"/>
        <v>0</v>
      </c>
      <c r="Y1099" s="13">
        <f t="shared" si="1146"/>
        <v>0</v>
      </c>
      <c r="Z1099" s="13">
        <f t="shared" si="529"/>
        <v>0</v>
      </c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</row>
    <row r="1100" ht="14.25" hidden="1" customHeight="1">
      <c r="A1100" s="13" t="s">
        <v>29</v>
      </c>
      <c r="B1100" s="13" t="s">
        <v>34</v>
      </c>
      <c r="C1100" s="13" t="s">
        <v>703</v>
      </c>
      <c r="D1100" s="13" t="s">
        <v>190</v>
      </c>
      <c r="E1100" s="13" t="str">
        <f t="shared" si="735"/>
        <v>LPEF,242-7-6U,AQ,0</v>
      </c>
      <c r="F1100" s="13"/>
      <c r="G1100" s="13" t="s">
        <v>111</v>
      </c>
      <c r="H1100" s="13" t="s">
        <v>75</v>
      </c>
      <c r="I1100" s="13"/>
      <c r="J1100" s="13"/>
      <c r="K1100" s="15"/>
      <c r="L1100" s="15"/>
      <c r="M1100" s="16">
        <v>0.0</v>
      </c>
      <c r="N1100" s="16">
        <v>0.0</v>
      </c>
      <c r="O1100" s="17"/>
      <c r="P1100" s="17"/>
      <c r="Q1100" s="13"/>
      <c r="R1100" s="13"/>
      <c r="S1100" s="13"/>
      <c r="T1100" s="13">
        <f t="shared" ref="T1100:Y1100" si="1147">IF(ISBLANK(K1100)=TRUE,0,1)</f>
        <v>0</v>
      </c>
      <c r="U1100" s="13">
        <f t="shared" si="1147"/>
        <v>0</v>
      </c>
      <c r="V1100" s="13">
        <f t="shared" si="1147"/>
        <v>1</v>
      </c>
      <c r="W1100" s="13">
        <f t="shared" si="1147"/>
        <v>1</v>
      </c>
      <c r="X1100" s="13">
        <f t="shared" si="1147"/>
        <v>0</v>
      </c>
      <c r="Y1100" s="13">
        <f t="shared" si="1147"/>
        <v>0</v>
      </c>
      <c r="Z1100" s="13">
        <f t="shared" si="529"/>
        <v>0</v>
      </c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</row>
    <row r="1101" ht="14.25" hidden="1" customHeight="1">
      <c r="A1101" s="13" t="s">
        <v>29</v>
      </c>
      <c r="B1101" s="13" t="s">
        <v>34</v>
      </c>
      <c r="C1101" s="13" t="s">
        <v>703</v>
      </c>
      <c r="D1101" s="13" t="s">
        <v>191</v>
      </c>
      <c r="E1101" s="13" t="str">
        <f t="shared" si="735"/>
        <v>LPEF,242-7-6U,AR,0</v>
      </c>
      <c r="F1101" s="13"/>
      <c r="G1101" s="13" t="s">
        <v>111</v>
      </c>
      <c r="H1101" s="13" t="s">
        <v>75</v>
      </c>
      <c r="I1101" s="13"/>
      <c r="J1101" s="13"/>
      <c r="K1101" s="15"/>
      <c r="L1101" s="15"/>
      <c r="M1101" s="16">
        <v>0.0</v>
      </c>
      <c r="N1101" s="16">
        <v>0.0</v>
      </c>
      <c r="O1101" s="17"/>
      <c r="P1101" s="17"/>
      <c r="Q1101" s="13"/>
      <c r="R1101" s="13"/>
      <c r="S1101" s="13"/>
      <c r="T1101" s="13">
        <f t="shared" ref="T1101:Y1101" si="1148">IF(ISBLANK(K1101)=TRUE,0,1)</f>
        <v>0</v>
      </c>
      <c r="U1101" s="13">
        <f t="shared" si="1148"/>
        <v>0</v>
      </c>
      <c r="V1101" s="13">
        <f t="shared" si="1148"/>
        <v>1</v>
      </c>
      <c r="W1101" s="13">
        <f t="shared" si="1148"/>
        <v>1</v>
      </c>
      <c r="X1101" s="13">
        <f t="shared" si="1148"/>
        <v>0</v>
      </c>
      <c r="Y1101" s="13">
        <f t="shared" si="1148"/>
        <v>0</v>
      </c>
      <c r="Z1101" s="13">
        <f t="shared" si="529"/>
        <v>0</v>
      </c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</row>
    <row r="1102" ht="14.25" hidden="1" customHeight="1">
      <c r="A1102" s="13" t="s">
        <v>29</v>
      </c>
      <c r="B1102" s="13" t="s">
        <v>34</v>
      </c>
      <c r="C1102" s="13" t="s">
        <v>703</v>
      </c>
      <c r="D1102" s="13" t="s">
        <v>192</v>
      </c>
      <c r="E1102" s="13" t="str">
        <f t="shared" si="735"/>
        <v>LPEF,242-7-6U,AS,0</v>
      </c>
      <c r="F1102" s="13"/>
      <c r="G1102" s="13" t="s">
        <v>111</v>
      </c>
      <c r="H1102" s="13" t="s">
        <v>75</v>
      </c>
      <c r="I1102" s="13"/>
      <c r="J1102" s="13"/>
      <c r="K1102" s="15"/>
      <c r="L1102" s="15"/>
      <c r="M1102" s="16">
        <v>0.0</v>
      </c>
      <c r="N1102" s="16">
        <v>0.0</v>
      </c>
      <c r="O1102" s="17"/>
      <c r="P1102" s="17"/>
      <c r="Q1102" s="13"/>
      <c r="R1102" s="13"/>
      <c r="S1102" s="13"/>
      <c r="T1102" s="13">
        <f t="shared" ref="T1102:Y1102" si="1149">IF(ISBLANK(K1102)=TRUE,0,1)</f>
        <v>0</v>
      </c>
      <c r="U1102" s="13">
        <f t="shared" si="1149"/>
        <v>0</v>
      </c>
      <c r="V1102" s="13">
        <f t="shared" si="1149"/>
        <v>1</v>
      </c>
      <c r="W1102" s="13">
        <f t="shared" si="1149"/>
        <v>1</v>
      </c>
      <c r="X1102" s="13">
        <f t="shared" si="1149"/>
        <v>0</v>
      </c>
      <c r="Y1102" s="13">
        <f t="shared" si="1149"/>
        <v>0</v>
      </c>
      <c r="Z1102" s="13">
        <f t="shared" si="529"/>
        <v>0</v>
      </c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</row>
    <row r="1103" ht="14.25" hidden="1" customHeight="1">
      <c r="A1103" s="13" t="s">
        <v>29</v>
      </c>
      <c r="B1103" s="13" t="s">
        <v>34</v>
      </c>
      <c r="C1103" s="13" t="s">
        <v>703</v>
      </c>
      <c r="D1103" s="13" t="s">
        <v>193</v>
      </c>
      <c r="E1103" s="13" t="str">
        <f t="shared" si="735"/>
        <v>LPEF,242-7-6U,AT,0</v>
      </c>
      <c r="F1103" s="13"/>
      <c r="G1103" s="13" t="s">
        <v>111</v>
      </c>
      <c r="H1103" s="13" t="s">
        <v>75</v>
      </c>
      <c r="I1103" s="13"/>
      <c r="J1103" s="13"/>
      <c r="K1103" s="15"/>
      <c r="L1103" s="15"/>
      <c r="M1103" s="16">
        <v>0.0</v>
      </c>
      <c r="N1103" s="16">
        <v>0.0</v>
      </c>
      <c r="O1103" s="17"/>
      <c r="P1103" s="17"/>
      <c r="Q1103" s="13"/>
      <c r="R1103" s="13"/>
      <c r="S1103" s="13"/>
      <c r="T1103" s="13">
        <f t="shared" ref="T1103:Y1103" si="1150">IF(ISBLANK(K1103)=TRUE,0,1)</f>
        <v>0</v>
      </c>
      <c r="U1103" s="13">
        <f t="shared" si="1150"/>
        <v>0</v>
      </c>
      <c r="V1103" s="13">
        <f t="shared" si="1150"/>
        <v>1</v>
      </c>
      <c r="W1103" s="13">
        <f t="shared" si="1150"/>
        <v>1</v>
      </c>
      <c r="X1103" s="13">
        <f t="shared" si="1150"/>
        <v>0</v>
      </c>
      <c r="Y1103" s="13">
        <f t="shared" si="1150"/>
        <v>0</v>
      </c>
      <c r="Z1103" s="13">
        <f t="shared" si="529"/>
        <v>0</v>
      </c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</row>
    <row r="1104" ht="14.25" hidden="1" customHeight="1">
      <c r="A1104" s="13" t="s">
        <v>29</v>
      </c>
      <c r="B1104" s="13" t="s">
        <v>34</v>
      </c>
      <c r="C1104" s="13" t="s">
        <v>703</v>
      </c>
      <c r="D1104" s="13" t="s">
        <v>194</v>
      </c>
      <c r="E1104" s="13" t="str">
        <f t="shared" si="735"/>
        <v>LPEF,242-7-6U,AU,0</v>
      </c>
      <c r="F1104" s="13"/>
      <c r="G1104" s="13" t="s">
        <v>111</v>
      </c>
      <c r="H1104" s="13" t="s">
        <v>75</v>
      </c>
      <c r="I1104" s="13"/>
      <c r="J1104" s="13"/>
      <c r="K1104" s="15"/>
      <c r="L1104" s="15"/>
      <c r="M1104" s="16">
        <v>0.0</v>
      </c>
      <c r="N1104" s="16">
        <v>0.0</v>
      </c>
      <c r="O1104" s="17"/>
      <c r="P1104" s="17"/>
      <c r="Q1104" s="13"/>
      <c r="R1104" s="13"/>
      <c r="S1104" s="13"/>
      <c r="T1104" s="13">
        <f t="shared" ref="T1104:Y1104" si="1151">IF(ISBLANK(K1104)=TRUE,0,1)</f>
        <v>0</v>
      </c>
      <c r="U1104" s="13">
        <f t="shared" si="1151"/>
        <v>0</v>
      </c>
      <c r="V1104" s="13">
        <f t="shared" si="1151"/>
        <v>1</v>
      </c>
      <c r="W1104" s="13">
        <f t="shared" si="1151"/>
        <v>1</v>
      </c>
      <c r="X1104" s="13">
        <f t="shared" si="1151"/>
        <v>0</v>
      </c>
      <c r="Y1104" s="13">
        <f t="shared" si="1151"/>
        <v>0</v>
      </c>
      <c r="Z1104" s="13">
        <f t="shared" si="529"/>
        <v>0</v>
      </c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</row>
    <row r="1105" ht="14.25" hidden="1" customHeight="1">
      <c r="A1105" s="13" t="s">
        <v>29</v>
      </c>
      <c r="B1105" s="13" t="s">
        <v>34</v>
      </c>
      <c r="C1105" s="13" t="s">
        <v>703</v>
      </c>
      <c r="D1105" s="13" t="s">
        <v>195</v>
      </c>
      <c r="E1105" s="13" t="str">
        <f t="shared" si="735"/>
        <v>LPEF,242-7-6U,AV,0</v>
      </c>
      <c r="F1105" s="13"/>
      <c r="G1105" s="13" t="s">
        <v>111</v>
      </c>
      <c r="H1105" s="13" t="s">
        <v>75</v>
      </c>
      <c r="I1105" s="13"/>
      <c r="J1105" s="13"/>
      <c r="K1105" s="15"/>
      <c r="L1105" s="15"/>
      <c r="M1105" s="16">
        <v>0.0</v>
      </c>
      <c r="N1105" s="16">
        <v>0.0</v>
      </c>
      <c r="O1105" s="17"/>
      <c r="P1105" s="17"/>
      <c r="Q1105" s="13"/>
      <c r="R1105" s="13"/>
      <c r="S1105" s="13"/>
      <c r="T1105" s="13">
        <f t="shared" ref="T1105:Y1105" si="1152">IF(ISBLANK(K1105)=TRUE,0,1)</f>
        <v>0</v>
      </c>
      <c r="U1105" s="13">
        <f t="shared" si="1152"/>
        <v>0</v>
      </c>
      <c r="V1105" s="13">
        <f t="shared" si="1152"/>
        <v>1</v>
      </c>
      <c r="W1105" s="13">
        <f t="shared" si="1152"/>
        <v>1</v>
      </c>
      <c r="X1105" s="13">
        <f t="shared" si="1152"/>
        <v>0</v>
      </c>
      <c r="Y1105" s="13">
        <f t="shared" si="1152"/>
        <v>0</v>
      </c>
      <c r="Z1105" s="13">
        <f t="shared" si="529"/>
        <v>0</v>
      </c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</row>
    <row r="1106" ht="14.25" hidden="1" customHeight="1">
      <c r="A1106" s="13" t="s">
        <v>29</v>
      </c>
      <c r="B1106" s="13" t="s">
        <v>34</v>
      </c>
      <c r="C1106" s="13" t="s">
        <v>703</v>
      </c>
      <c r="D1106" s="13" t="s">
        <v>196</v>
      </c>
      <c r="E1106" s="13" t="str">
        <f t="shared" si="735"/>
        <v>LPEF,242-7-6U,AW,0</v>
      </c>
      <c r="F1106" s="13"/>
      <c r="G1106" s="13" t="s">
        <v>111</v>
      </c>
      <c r="H1106" s="13" t="s">
        <v>75</v>
      </c>
      <c r="I1106" s="13"/>
      <c r="J1106" s="13"/>
      <c r="K1106" s="15"/>
      <c r="L1106" s="15"/>
      <c r="M1106" s="16">
        <v>0.0</v>
      </c>
      <c r="N1106" s="16">
        <v>0.0</v>
      </c>
      <c r="O1106" s="17"/>
      <c r="P1106" s="17"/>
      <c r="Q1106" s="13"/>
      <c r="R1106" s="13"/>
      <c r="S1106" s="13"/>
      <c r="T1106" s="13">
        <f t="shared" ref="T1106:Y1106" si="1153">IF(ISBLANK(K1106)=TRUE,0,1)</f>
        <v>0</v>
      </c>
      <c r="U1106" s="13">
        <f t="shared" si="1153"/>
        <v>0</v>
      </c>
      <c r="V1106" s="13">
        <f t="shared" si="1153"/>
        <v>1</v>
      </c>
      <c r="W1106" s="13">
        <f t="shared" si="1153"/>
        <v>1</v>
      </c>
      <c r="X1106" s="13">
        <f t="shared" si="1153"/>
        <v>0</v>
      </c>
      <c r="Y1106" s="13">
        <f t="shared" si="1153"/>
        <v>0</v>
      </c>
      <c r="Z1106" s="13">
        <f t="shared" si="529"/>
        <v>0</v>
      </c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</row>
    <row r="1107" ht="14.25" hidden="1" customHeight="1">
      <c r="A1107" s="13" t="s">
        <v>29</v>
      </c>
      <c r="B1107" s="13" t="s">
        <v>34</v>
      </c>
      <c r="C1107" s="13" t="s">
        <v>703</v>
      </c>
      <c r="D1107" s="13" t="s">
        <v>197</v>
      </c>
      <c r="E1107" s="13" t="str">
        <f t="shared" si="735"/>
        <v>LPEF,242-7-6U,AX,0</v>
      </c>
      <c r="F1107" s="13"/>
      <c r="G1107" s="13" t="s">
        <v>111</v>
      </c>
      <c r="H1107" s="13" t="s">
        <v>75</v>
      </c>
      <c r="I1107" s="13"/>
      <c r="J1107" s="13"/>
      <c r="K1107" s="15"/>
      <c r="L1107" s="15"/>
      <c r="M1107" s="16">
        <v>0.0</v>
      </c>
      <c r="N1107" s="16">
        <v>0.0</v>
      </c>
      <c r="O1107" s="17"/>
      <c r="P1107" s="17"/>
      <c r="Q1107" s="13"/>
      <c r="R1107" s="13"/>
      <c r="S1107" s="13"/>
      <c r="T1107" s="13">
        <f t="shared" ref="T1107:Y1107" si="1154">IF(ISBLANK(K1107)=TRUE,0,1)</f>
        <v>0</v>
      </c>
      <c r="U1107" s="13">
        <f t="shared" si="1154"/>
        <v>0</v>
      </c>
      <c r="V1107" s="13">
        <f t="shared" si="1154"/>
        <v>1</v>
      </c>
      <c r="W1107" s="13">
        <f t="shared" si="1154"/>
        <v>1</v>
      </c>
      <c r="X1107" s="13">
        <f t="shared" si="1154"/>
        <v>0</v>
      </c>
      <c r="Y1107" s="13">
        <f t="shared" si="1154"/>
        <v>0</v>
      </c>
      <c r="Z1107" s="13">
        <f t="shared" si="529"/>
        <v>0</v>
      </c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</row>
    <row r="1108" ht="14.25" hidden="1" customHeight="1">
      <c r="A1108" s="13" t="s">
        <v>29</v>
      </c>
      <c r="B1108" s="13" t="s">
        <v>34</v>
      </c>
      <c r="C1108" s="13" t="s">
        <v>703</v>
      </c>
      <c r="D1108" s="13" t="s">
        <v>433</v>
      </c>
      <c r="E1108" s="13" t="str">
        <f t="shared" si="735"/>
        <v>LPEF,242-7-6U,AY,0</v>
      </c>
      <c r="F1108" s="13"/>
      <c r="G1108" s="13" t="s">
        <v>111</v>
      </c>
      <c r="H1108" s="13" t="s">
        <v>75</v>
      </c>
      <c r="I1108" s="13"/>
      <c r="J1108" s="13"/>
      <c r="K1108" s="15"/>
      <c r="L1108" s="15"/>
      <c r="M1108" s="16">
        <v>0.0</v>
      </c>
      <c r="N1108" s="16">
        <v>0.0</v>
      </c>
      <c r="O1108" s="17"/>
      <c r="P1108" s="17"/>
      <c r="Q1108" s="13"/>
      <c r="R1108" s="13"/>
      <c r="S1108" s="13"/>
      <c r="T1108" s="13">
        <f t="shared" ref="T1108:Y1108" si="1155">IF(ISBLANK(K1108)=TRUE,0,1)</f>
        <v>0</v>
      </c>
      <c r="U1108" s="13">
        <f t="shared" si="1155"/>
        <v>0</v>
      </c>
      <c r="V1108" s="13">
        <f t="shared" si="1155"/>
        <v>1</v>
      </c>
      <c r="W1108" s="13">
        <f t="shared" si="1155"/>
        <v>1</v>
      </c>
      <c r="X1108" s="13">
        <f t="shared" si="1155"/>
        <v>0</v>
      </c>
      <c r="Y1108" s="13">
        <f t="shared" si="1155"/>
        <v>0</v>
      </c>
      <c r="Z1108" s="13">
        <f t="shared" si="529"/>
        <v>0</v>
      </c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</row>
    <row r="1109" ht="14.25" hidden="1" customHeight="1">
      <c r="A1109" s="13" t="s">
        <v>29</v>
      </c>
      <c r="B1109" s="13" t="s">
        <v>34</v>
      </c>
      <c r="C1109" s="13" t="s">
        <v>703</v>
      </c>
      <c r="D1109" s="13" t="s">
        <v>434</v>
      </c>
      <c r="E1109" s="13" t="str">
        <f t="shared" si="735"/>
        <v>LPEF,242-7-6U,AZ,0</v>
      </c>
      <c r="F1109" s="13"/>
      <c r="G1109" s="13" t="s">
        <v>111</v>
      </c>
      <c r="H1109" s="13" t="s">
        <v>75</v>
      </c>
      <c r="I1109" s="13"/>
      <c r="J1109" s="13"/>
      <c r="K1109" s="15"/>
      <c r="L1109" s="15"/>
      <c r="M1109" s="16">
        <v>0.0</v>
      </c>
      <c r="N1109" s="16">
        <v>0.0</v>
      </c>
      <c r="O1109" s="17"/>
      <c r="P1109" s="17"/>
      <c r="Q1109" s="13"/>
      <c r="R1109" s="13"/>
      <c r="S1109" s="13"/>
      <c r="T1109" s="13">
        <f t="shared" ref="T1109:Y1109" si="1156">IF(ISBLANK(K1109)=TRUE,0,1)</f>
        <v>0</v>
      </c>
      <c r="U1109" s="13">
        <f t="shared" si="1156"/>
        <v>0</v>
      </c>
      <c r="V1109" s="13">
        <f t="shared" si="1156"/>
        <v>1</v>
      </c>
      <c r="W1109" s="13">
        <f t="shared" si="1156"/>
        <v>1</v>
      </c>
      <c r="X1109" s="13">
        <f t="shared" si="1156"/>
        <v>0</v>
      </c>
      <c r="Y1109" s="13">
        <f t="shared" si="1156"/>
        <v>0</v>
      </c>
      <c r="Z1109" s="13">
        <f t="shared" si="529"/>
        <v>0</v>
      </c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</row>
    <row r="1110" ht="14.25" hidden="1" customHeight="1">
      <c r="A1110" s="13" t="s">
        <v>29</v>
      </c>
      <c r="B1110" s="13" t="s">
        <v>34</v>
      </c>
      <c r="C1110" s="13" t="s">
        <v>703</v>
      </c>
      <c r="D1110" s="13" t="s">
        <v>435</v>
      </c>
      <c r="E1110" s="13" t="str">
        <f t="shared" si="735"/>
        <v>LPEF,242-7-6U,BA,0</v>
      </c>
      <c r="F1110" s="13"/>
      <c r="G1110" s="13" t="s">
        <v>111</v>
      </c>
      <c r="H1110" s="13" t="s">
        <v>75</v>
      </c>
      <c r="I1110" s="13"/>
      <c r="J1110" s="13"/>
      <c r="K1110" s="15"/>
      <c r="L1110" s="15"/>
      <c r="M1110" s="16">
        <v>0.0</v>
      </c>
      <c r="N1110" s="16">
        <v>0.0</v>
      </c>
      <c r="O1110" s="17"/>
      <c r="P1110" s="17"/>
      <c r="Q1110" s="13"/>
      <c r="R1110" s="13"/>
      <c r="S1110" s="13"/>
      <c r="T1110" s="13">
        <f t="shared" ref="T1110:Y1110" si="1157">IF(ISBLANK(K1110)=TRUE,0,1)</f>
        <v>0</v>
      </c>
      <c r="U1110" s="13">
        <f t="shared" si="1157"/>
        <v>0</v>
      </c>
      <c r="V1110" s="13">
        <f t="shared" si="1157"/>
        <v>1</v>
      </c>
      <c r="W1110" s="13">
        <f t="shared" si="1157"/>
        <v>1</v>
      </c>
      <c r="X1110" s="13">
        <f t="shared" si="1157"/>
        <v>0</v>
      </c>
      <c r="Y1110" s="13">
        <f t="shared" si="1157"/>
        <v>0</v>
      </c>
      <c r="Z1110" s="13">
        <f t="shared" si="529"/>
        <v>0</v>
      </c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</row>
    <row r="1111" ht="14.25" hidden="1" customHeight="1">
      <c r="A1111" s="13" t="s">
        <v>29</v>
      </c>
      <c r="B1111" s="13" t="s">
        <v>34</v>
      </c>
      <c r="C1111" s="13" t="s">
        <v>703</v>
      </c>
      <c r="D1111" s="13" t="s">
        <v>436</v>
      </c>
      <c r="E1111" s="13" t="str">
        <f t="shared" si="735"/>
        <v>LPEF,242-7-6U,BB,0</v>
      </c>
      <c r="F1111" s="13"/>
      <c r="G1111" s="13" t="s">
        <v>111</v>
      </c>
      <c r="H1111" s="13" t="s">
        <v>75</v>
      </c>
      <c r="I1111" s="13"/>
      <c r="J1111" s="13"/>
      <c r="K1111" s="15"/>
      <c r="L1111" s="15"/>
      <c r="M1111" s="16">
        <v>0.0</v>
      </c>
      <c r="N1111" s="16">
        <v>0.0</v>
      </c>
      <c r="O1111" s="17"/>
      <c r="P1111" s="17"/>
      <c r="Q1111" s="13"/>
      <c r="R1111" s="13"/>
      <c r="S1111" s="13"/>
      <c r="T1111" s="13">
        <f t="shared" ref="T1111:Y1111" si="1158">IF(ISBLANK(K1111)=TRUE,0,1)</f>
        <v>0</v>
      </c>
      <c r="U1111" s="13">
        <f t="shared" si="1158"/>
        <v>0</v>
      </c>
      <c r="V1111" s="13">
        <f t="shared" si="1158"/>
        <v>1</v>
      </c>
      <c r="W1111" s="13">
        <f t="shared" si="1158"/>
        <v>1</v>
      </c>
      <c r="X1111" s="13">
        <f t="shared" si="1158"/>
        <v>0</v>
      </c>
      <c r="Y1111" s="13">
        <f t="shared" si="1158"/>
        <v>0</v>
      </c>
      <c r="Z1111" s="13">
        <f t="shared" si="529"/>
        <v>0</v>
      </c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</row>
    <row r="1112" ht="14.25" hidden="1" customHeight="1">
      <c r="A1112" s="13" t="s">
        <v>29</v>
      </c>
      <c r="B1112" s="13" t="s">
        <v>34</v>
      </c>
      <c r="C1112" s="13" t="s">
        <v>704</v>
      </c>
      <c r="D1112" s="13" t="s">
        <v>129</v>
      </c>
      <c r="E1112" s="13" t="str">
        <f t="shared" si="735"/>
        <v>LPEF,242-7-6V,CE,0</v>
      </c>
      <c r="F1112" s="13"/>
      <c r="G1112" s="13" t="s">
        <v>111</v>
      </c>
      <c r="H1112" s="13" t="s">
        <v>75</v>
      </c>
      <c r="I1112" s="13"/>
      <c r="J1112" s="13"/>
      <c r="K1112" s="15"/>
      <c r="L1112" s="15"/>
      <c r="M1112" s="16">
        <v>0.0</v>
      </c>
      <c r="N1112" s="16">
        <v>0.0</v>
      </c>
      <c r="O1112" s="17"/>
      <c r="P1112" s="17"/>
      <c r="Q1112" s="13">
        <f t="shared" ref="Q1112:Q1156" si="1160">K1111+L1111+M1111+N1111+O1111+P1111/6</f>
        <v>0</v>
      </c>
      <c r="R1112" s="13"/>
      <c r="S1112" s="13"/>
      <c r="T1112" s="13">
        <f t="shared" ref="T1112:Y1112" si="1159">IF(ISBLANK(K1112)=TRUE,0,1)</f>
        <v>0</v>
      </c>
      <c r="U1112" s="13">
        <f t="shared" si="1159"/>
        <v>0</v>
      </c>
      <c r="V1112" s="13">
        <f t="shared" si="1159"/>
        <v>1</v>
      </c>
      <c r="W1112" s="13">
        <f t="shared" si="1159"/>
        <v>1</v>
      </c>
      <c r="X1112" s="13">
        <f t="shared" si="1159"/>
        <v>0</v>
      </c>
      <c r="Y1112" s="13">
        <f t="shared" si="1159"/>
        <v>0</v>
      </c>
      <c r="Z1112" s="13">
        <f t="shared" si="529"/>
        <v>0</v>
      </c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</row>
    <row r="1113" ht="14.25" hidden="1" customHeight="1">
      <c r="A1113" s="13" t="s">
        <v>29</v>
      </c>
      <c r="B1113" s="13" t="s">
        <v>34</v>
      </c>
      <c r="C1113" s="13" t="s">
        <v>704</v>
      </c>
      <c r="D1113" s="13" t="s">
        <v>130</v>
      </c>
      <c r="E1113" s="13" t="str">
        <f t="shared" si="735"/>
        <v>LPEF,242-7-6V,CF,0</v>
      </c>
      <c r="F1113" s="13"/>
      <c r="G1113" s="13" t="s">
        <v>111</v>
      </c>
      <c r="H1113" s="13" t="s">
        <v>107</v>
      </c>
      <c r="I1113" s="13"/>
      <c r="J1113" s="13"/>
      <c r="K1113" s="15"/>
      <c r="L1113" s="15"/>
      <c r="M1113" s="16">
        <v>0.0</v>
      </c>
      <c r="N1113" s="16">
        <v>0.0</v>
      </c>
      <c r="O1113" s="17"/>
      <c r="P1113" s="17"/>
      <c r="Q1113" s="13">
        <f t="shared" si="1160"/>
        <v>0</v>
      </c>
      <c r="R1113" s="13"/>
      <c r="S1113" s="13"/>
      <c r="T1113" s="13">
        <f t="shared" ref="T1113:Y1113" si="1161">IF(ISBLANK(K1113)=TRUE,0,1)</f>
        <v>0</v>
      </c>
      <c r="U1113" s="13">
        <f t="shared" si="1161"/>
        <v>0</v>
      </c>
      <c r="V1113" s="13">
        <f t="shared" si="1161"/>
        <v>1</v>
      </c>
      <c r="W1113" s="13">
        <f t="shared" si="1161"/>
        <v>1</v>
      </c>
      <c r="X1113" s="13">
        <f t="shared" si="1161"/>
        <v>0</v>
      </c>
      <c r="Y1113" s="13">
        <f t="shared" si="1161"/>
        <v>0</v>
      </c>
      <c r="Z1113" s="13">
        <f t="shared" si="529"/>
        <v>0</v>
      </c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</row>
    <row r="1114" ht="14.25" hidden="1" customHeight="1">
      <c r="A1114" s="13" t="s">
        <v>29</v>
      </c>
      <c r="B1114" s="13" t="s">
        <v>34</v>
      </c>
      <c r="C1114" s="13" t="s">
        <v>704</v>
      </c>
      <c r="D1114" s="13" t="s">
        <v>131</v>
      </c>
      <c r="E1114" s="13" t="str">
        <f t="shared" si="735"/>
        <v>LPEF,242-7-6V,CG,0</v>
      </c>
      <c r="F1114" s="13"/>
      <c r="G1114" s="13" t="s">
        <v>111</v>
      </c>
      <c r="H1114" s="13" t="s">
        <v>75</v>
      </c>
      <c r="I1114" s="13"/>
      <c r="J1114" s="13"/>
      <c r="K1114" s="15"/>
      <c r="L1114" s="15"/>
      <c r="M1114" s="16">
        <v>0.0</v>
      </c>
      <c r="N1114" s="16">
        <v>0.0</v>
      </c>
      <c r="O1114" s="17"/>
      <c r="P1114" s="17"/>
      <c r="Q1114" s="13">
        <f t="shared" si="1160"/>
        <v>0</v>
      </c>
      <c r="R1114" s="13"/>
      <c r="S1114" s="13"/>
      <c r="T1114" s="13">
        <f t="shared" ref="T1114:Y1114" si="1162">IF(ISBLANK(K1114)=TRUE,0,1)</f>
        <v>0</v>
      </c>
      <c r="U1114" s="13">
        <f t="shared" si="1162"/>
        <v>0</v>
      </c>
      <c r="V1114" s="13">
        <f t="shared" si="1162"/>
        <v>1</v>
      </c>
      <c r="W1114" s="13">
        <f t="shared" si="1162"/>
        <v>1</v>
      </c>
      <c r="X1114" s="13">
        <f t="shared" si="1162"/>
        <v>0</v>
      </c>
      <c r="Y1114" s="13">
        <f t="shared" si="1162"/>
        <v>0</v>
      </c>
      <c r="Z1114" s="13">
        <f t="shared" si="529"/>
        <v>0</v>
      </c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</row>
    <row r="1115" ht="14.25" hidden="1" customHeight="1">
      <c r="A1115" s="13" t="s">
        <v>29</v>
      </c>
      <c r="B1115" s="13" t="s">
        <v>34</v>
      </c>
      <c r="C1115" s="13" t="s">
        <v>704</v>
      </c>
      <c r="D1115" s="13" t="s">
        <v>132</v>
      </c>
      <c r="E1115" s="13" t="str">
        <f t="shared" si="735"/>
        <v>LPEF,242-7-6V,CH,0</v>
      </c>
      <c r="F1115" s="13"/>
      <c r="G1115" s="13" t="s">
        <v>111</v>
      </c>
      <c r="H1115" s="13" t="s">
        <v>75</v>
      </c>
      <c r="I1115" s="13"/>
      <c r="J1115" s="13"/>
      <c r="K1115" s="15"/>
      <c r="L1115" s="15"/>
      <c r="M1115" s="16">
        <v>0.0</v>
      </c>
      <c r="N1115" s="16">
        <v>0.0</v>
      </c>
      <c r="O1115" s="17"/>
      <c r="P1115" s="17"/>
      <c r="Q1115" s="13">
        <f t="shared" si="1160"/>
        <v>0</v>
      </c>
      <c r="R1115" s="13"/>
      <c r="S1115" s="13"/>
      <c r="T1115" s="13">
        <f t="shared" ref="T1115:Y1115" si="1163">IF(ISBLANK(K1115)=TRUE,0,1)</f>
        <v>0</v>
      </c>
      <c r="U1115" s="13">
        <f t="shared" si="1163"/>
        <v>0</v>
      </c>
      <c r="V1115" s="13">
        <f t="shared" si="1163"/>
        <v>1</v>
      </c>
      <c r="W1115" s="13">
        <f t="shared" si="1163"/>
        <v>1</v>
      </c>
      <c r="X1115" s="13">
        <f t="shared" si="1163"/>
        <v>0</v>
      </c>
      <c r="Y1115" s="13">
        <f t="shared" si="1163"/>
        <v>0</v>
      </c>
      <c r="Z1115" s="13">
        <f t="shared" si="529"/>
        <v>0</v>
      </c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</row>
    <row r="1116" ht="14.25" hidden="1" customHeight="1">
      <c r="A1116" s="13" t="s">
        <v>29</v>
      </c>
      <c r="B1116" s="13" t="s">
        <v>34</v>
      </c>
      <c r="C1116" s="13" t="s">
        <v>704</v>
      </c>
      <c r="D1116" s="13" t="s">
        <v>133</v>
      </c>
      <c r="E1116" s="13" t="str">
        <f t="shared" si="735"/>
        <v>LPEF,242-7-6V,CI,0</v>
      </c>
      <c r="F1116" s="13"/>
      <c r="G1116" s="13" t="s">
        <v>111</v>
      </c>
      <c r="H1116" s="13" t="s">
        <v>75</v>
      </c>
      <c r="I1116" s="13"/>
      <c r="J1116" s="13"/>
      <c r="K1116" s="15"/>
      <c r="L1116" s="15"/>
      <c r="M1116" s="16">
        <v>0.0</v>
      </c>
      <c r="N1116" s="16">
        <v>0.0</v>
      </c>
      <c r="O1116" s="17"/>
      <c r="P1116" s="17"/>
      <c r="Q1116" s="13">
        <f t="shared" si="1160"/>
        <v>0</v>
      </c>
      <c r="R1116" s="13"/>
      <c r="S1116" s="13"/>
      <c r="T1116" s="13">
        <f t="shared" ref="T1116:Y1116" si="1164">IF(ISBLANK(K1116)=TRUE,0,1)</f>
        <v>0</v>
      </c>
      <c r="U1116" s="13">
        <f t="shared" si="1164"/>
        <v>0</v>
      </c>
      <c r="V1116" s="13">
        <f t="shared" si="1164"/>
        <v>1</v>
      </c>
      <c r="W1116" s="13">
        <f t="shared" si="1164"/>
        <v>1</v>
      </c>
      <c r="X1116" s="13">
        <f t="shared" si="1164"/>
        <v>0</v>
      </c>
      <c r="Y1116" s="13">
        <f t="shared" si="1164"/>
        <v>0</v>
      </c>
      <c r="Z1116" s="13">
        <f t="shared" si="529"/>
        <v>0</v>
      </c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</row>
    <row r="1117" ht="14.25" hidden="1" customHeight="1">
      <c r="A1117" s="13" t="s">
        <v>29</v>
      </c>
      <c r="B1117" s="13" t="s">
        <v>34</v>
      </c>
      <c r="C1117" s="13" t="s">
        <v>704</v>
      </c>
      <c r="D1117" s="13" t="s">
        <v>134</v>
      </c>
      <c r="E1117" s="13" t="str">
        <f t="shared" si="735"/>
        <v>LPEF,242-7-6V,CJ,0</v>
      </c>
      <c r="F1117" s="13"/>
      <c r="G1117" s="13" t="s">
        <v>111</v>
      </c>
      <c r="H1117" s="13" t="s">
        <v>75</v>
      </c>
      <c r="I1117" s="13"/>
      <c r="J1117" s="13"/>
      <c r="K1117" s="15"/>
      <c r="L1117" s="15"/>
      <c r="M1117" s="16">
        <v>0.0</v>
      </c>
      <c r="N1117" s="16">
        <v>0.0</v>
      </c>
      <c r="O1117" s="17"/>
      <c r="P1117" s="17"/>
      <c r="Q1117" s="13">
        <f t="shared" si="1160"/>
        <v>0</v>
      </c>
      <c r="R1117" s="13"/>
      <c r="S1117" s="13"/>
      <c r="T1117" s="13">
        <f t="shared" ref="T1117:Y1117" si="1165">IF(ISBLANK(K1117)=TRUE,0,1)</f>
        <v>0</v>
      </c>
      <c r="U1117" s="13">
        <f t="shared" si="1165"/>
        <v>0</v>
      </c>
      <c r="V1117" s="13">
        <f t="shared" si="1165"/>
        <v>1</v>
      </c>
      <c r="W1117" s="13">
        <f t="shared" si="1165"/>
        <v>1</v>
      </c>
      <c r="X1117" s="13">
        <f t="shared" si="1165"/>
        <v>0</v>
      </c>
      <c r="Y1117" s="13">
        <f t="shared" si="1165"/>
        <v>0</v>
      </c>
      <c r="Z1117" s="13">
        <f t="shared" si="529"/>
        <v>0</v>
      </c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</row>
    <row r="1118" ht="14.25" hidden="1" customHeight="1">
      <c r="A1118" s="13" t="s">
        <v>29</v>
      </c>
      <c r="B1118" s="13" t="s">
        <v>34</v>
      </c>
      <c r="C1118" s="13" t="s">
        <v>704</v>
      </c>
      <c r="D1118" s="13" t="s">
        <v>135</v>
      </c>
      <c r="E1118" s="13" t="str">
        <f t="shared" si="735"/>
        <v>LPEF,242-7-6V,CK,0</v>
      </c>
      <c r="F1118" s="13"/>
      <c r="G1118" s="13" t="s">
        <v>111</v>
      </c>
      <c r="H1118" s="13" t="s">
        <v>75</v>
      </c>
      <c r="I1118" s="13"/>
      <c r="J1118" s="13"/>
      <c r="K1118" s="15"/>
      <c r="L1118" s="15"/>
      <c r="M1118" s="16">
        <v>0.0</v>
      </c>
      <c r="N1118" s="16">
        <v>0.0</v>
      </c>
      <c r="O1118" s="17"/>
      <c r="P1118" s="17"/>
      <c r="Q1118" s="13">
        <f t="shared" si="1160"/>
        <v>0</v>
      </c>
      <c r="R1118" s="13"/>
      <c r="S1118" s="13"/>
      <c r="T1118" s="13">
        <f t="shared" ref="T1118:Y1118" si="1166">IF(ISBLANK(K1118)=TRUE,0,1)</f>
        <v>0</v>
      </c>
      <c r="U1118" s="13">
        <f t="shared" si="1166"/>
        <v>0</v>
      </c>
      <c r="V1118" s="13">
        <f t="shared" si="1166"/>
        <v>1</v>
      </c>
      <c r="W1118" s="13">
        <f t="shared" si="1166"/>
        <v>1</v>
      </c>
      <c r="X1118" s="13">
        <f t="shared" si="1166"/>
        <v>0</v>
      </c>
      <c r="Y1118" s="13">
        <f t="shared" si="1166"/>
        <v>0</v>
      </c>
      <c r="Z1118" s="13">
        <f t="shared" si="529"/>
        <v>0</v>
      </c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</row>
    <row r="1119" ht="14.25" hidden="1" customHeight="1">
      <c r="A1119" s="13" t="s">
        <v>29</v>
      </c>
      <c r="B1119" s="13" t="s">
        <v>34</v>
      </c>
      <c r="C1119" s="13" t="s">
        <v>704</v>
      </c>
      <c r="D1119" s="13" t="s">
        <v>136</v>
      </c>
      <c r="E1119" s="13" t="str">
        <f t="shared" si="735"/>
        <v>LPEF,242-7-6V,CL,0</v>
      </c>
      <c r="F1119" s="13"/>
      <c r="G1119" s="13" t="s">
        <v>111</v>
      </c>
      <c r="H1119" s="13" t="s">
        <v>75</v>
      </c>
      <c r="I1119" s="13"/>
      <c r="J1119" s="13"/>
      <c r="K1119" s="15"/>
      <c r="L1119" s="15"/>
      <c r="M1119" s="16">
        <v>0.0</v>
      </c>
      <c r="N1119" s="16">
        <v>0.0</v>
      </c>
      <c r="O1119" s="17"/>
      <c r="P1119" s="17"/>
      <c r="Q1119" s="13">
        <f t="shared" si="1160"/>
        <v>0</v>
      </c>
      <c r="R1119" s="13"/>
      <c r="S1119" s="13"/>
      <c r="T1119" s="13">
        <f t="shared" ref="T1119:Y1119" si="1167">IF(ISBLANK(K1119)=TRUE,0,1)</f>
        <v>0</v>
      </c>
      <c r="U1119" s="13">
        <f t="shared" si="1167"/>
        <v>0</v>
      </c>
      <c r="V1119" s="13">
        <f t="shared" si="1167"/>
        <v>1</v>
      </c>
      <c r="W1119" s="13">
        <f t="shared" si="1167"/>
        <v>1</v>
      </c>
      <c r="X1119" s="13">
        <f t="shared" si="1167"/>
        <v>0</v>
      </c>
      <c r="Y1119" s="13">
        <f t="shared" si="1167"/>
        <v>0</v>
      </c>
      <c r="Z1119" s="13">
        <f t="shared" si="529"/>
        <v>0</v>
      </c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</row>
    <row r="1120" ht="14.25" hidden="1" customHeight="1">
      <c r="A1120" s="13" t="s">
        <v>29</v>
      </c>
      <c r="B1120" s="13" t="s">
        <v>34</v>
      </c>
      <c r="C1120" s="13" t="s">
        <v>704</v>
      </c>
      <c r="D1120" s="13" t="s">
        <v>137</v>
      </c>
      <c r="E1120" s="13" t="str">
        <f t="shared" si="735"/>
        <v>LPEF,242-7-6V,CM,0</v>
      </c>
      <c r="F1120" s="13"/>
      <c r="G1120" s="13" t="s">
        <v>111</v>
      </c>
      <c r="H1120" s="13" t="s">
        <v>107</v>
      </c>
      <c r="I1120" s="13"/>
      <c r="J1120" s="13"/>
      <c r="K1120" s="15"/>
      <c r="L1120" s="15"/>
      <c r="M1120" s="16">
        <v>0.0</v>
      </c>
      <c r="N1120" s="16">
        <v>0.0</v>
      </c>
      <c r="O1120" s="17"/>
      <c r="P1120" s="17"/>
      <c r="Q1120" s="13">
        <f t="shared" si="1160"/>
        <v>0</v>
      </c>
      <c r="R1120" s="13"/>
      <c r="S1120" s="13"/>
      <c r="T1120" s="13">
        <f t="shared" ref="T1120:Y1120" si="1168">IF(ISBLANK(K1120)=TRUE,0,1)</f>
        <v>0</v>
      </c>
      <c r="U1120" s="13">
        <f t="shared" si="1168"/>
        <v>0</v>
      </c>
      <c r="V1120" s="13">
        <f t="shared" si="1168"/>
        <v>1</v>
      </c>
      <c r="W1120" s="13">
        <f t="shared" si="1168"/>
        <v>1</v>
      </c>
      <c r="X1120" s="13">
        <f t="shared" si="1168"/>
        <v>0</v>
      </c>
      <c r="Y1120" s="13">
        <f t="shared" si="1168"/>
        <v>0</v>
      </c>
      <c r="Z1120" s="13">
        <f t="shared" si="529"/>
        <v>0</v>
      </c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</row>
    <row r="1121" ht="14.25" hidden="1" customHeight="1">
      <c r="A1121" s="13" t="s">
        <v>29</v>
      </c>
      <c r="B1121" s="13" t="s">
        <v>34</v>
      </c>
      <c r="C1121" s="13" t="s">
        <v>704</v>
      </c>
      <c r="D1121" s="13" t="s">
        <v>138</v>
      </c>
      <c r="E1121" s="13" t="str">
        <f t="shared" si="735"/>
        <v>LPEF,242-7-6V,CN,0</v>
      </c>
      <c r="F1121" s="13"/>
      <c r="G1121" s="13" t="s">
        <v>111</v>
      </c>
      <c r="H1121" s="13" t="s">
        <v>107</v>
      </c>
      <c r="I1121" s="13"/>
      <c r="J1121" s="13"/>
      <c r="K1121" s="15"/>
      <c r="L1121" s="15"/>
      <c r="M1121" s="16">
        <v>0.0</v>
      </c>
      <c r="N1121" s="16">
        <v>0.0</v>
      </c>
      <c r="O1121" s="17"/>
      <c r="P1121" s="17"/>
      <c r="Q1121" s="13">
        <f t="shared" si="1160"/>
        <v>0</v>
      </c>
      <c r="R1121" s="13"/>
      <c r="S1121" s="13"/>
      <c r="T1121" s="13">
        <f t="shared" ref="T1121:Y1121" si="1169">IF(ISBLANK(K1121)=TRUE,0,1)</f>
        <v>0</v>
      </c>
      <c r="U1121" s="13">
        <f t="shared" si="1169"/>
        <v>0</v>
      </c>
      <c r="V1121" s="13">
        <f t="shared" si="1169"/>
        <v>1</v>
      </c>
      <c r="W1121" s="13">
        <f t="shared" si="1169"/>
        <v>1</v>
      </c>
      <c r="X1121" s="13">
        <f t="shared" si="1169"/>
        <v>0</v>
      </c>
      <c r="Y1121" s="13">
        <f t="shared" si="1169"/>
        <v>0</v>
      </c>
      <c r="Z1121" s="13">
        <f t="shared" si="529"/>
        <v>0</v>
      </c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</row>
    <row r="1122" ht="14.25" hidden="1" customHeight="1">
      <c r="A1122" s="13" t="s">
        <v>29</v>
      </c>
      <c r="B1122" s="13" t="s">
        <v>34</v>
      </c>
      <c r="C1122" s="13" t="s">
        <v>704</v>
      </c>
      <c r="D1122" s="13" t="s">
        <v>139</v>
      </c>
      <c r="E1122" s="13" t="str">
        <f t="shared" si="735"/>
        <v>LPEF,242-7-6V,CO,0</v>
      </c>
      <c r="F1122" s="13"/>
      <c r="G1122" s="13" t="s">
        <v>111</v>
      </c>
      <c r="H1122" s="13" t="s">
        <v>75</v>
      </c>
      <c r="I1122" s="13"/>
      <c r="J1122" s="13"/>
      <c r="K1122" s="15"/>
      <c r="L1122" s="15"/>
      <c r="M1122" s="16">
        <v>0.0</v>
      </c>
      <c r="N1122" s="16">
        <v>0.0</v>
      </c>
      <c r="O1122" s="17"/>
      <c r="P1122" s="17"/>
      <c r="Q1122" s="13">
        <f t="shared" si="1160"/>
        <v>0</v>
      </c>
      <c r="R1122" s="13"/>
      <c r="S1122" s="13"/>
      <c r="T1122" s="13">
        <f t="shared" ref="T1122:Y1122" si="1170">IF(ISBLANK(K1122)=TRUE,0,1)</f>
        <v>0</v>
      </c>
      <c r="U1122" s="13">
        <f t="shared" si="1170"/>
        <v>0</v>
      </c>
      <c r="V1122" s="13">
        <f t="shared" si="1170"/>
        <v>1</v>
      </c>
      <c r="W1122" s="13">
        <f t="shared" si="1170"/>
        <v>1</v>
      </c>
      <c r="X1122" s="13">
        <f t="shared" si="1170"/>
        <v>0</v>
      </c>
      <c r="Y1122" s="13">
        <f t="shared" si="1170"/>
        <v>0</v>
      </c>
      <c r="Z1122" s="13">
        <f t="shared" si="529"/>
        <v>0</v>
      </c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</row>
    <row r="1123" ht="14.25" hidden="1" customHeight="1">
      <c r="A1123" s="13" t="s">
        <v>29</v>
      </c>
      <c r="B1123" s="13" t="s">
        <v>34</v>
      </c>
      <c r="C1123" s="13" t="s">
        <v>704</v>
      </c>
      <c r="D1123" s="13" t="s">
        <v>140</v>
      </c>
      <c r="E1123" s="13" t="str">
        <f t="shared" si="735"/>
        <v>LPEF,242-7-6V,CP,0</v>
      </c>
      <c r="F1123" s="13"/>
      <c r="G1123" s="13" t="s">
        <v>111</v>
      </c>
      <c r="H1123" s="13" t="s">
        <v>75</v>
      </c>
      <c r="I1123" s="13"/>
      <c r="J1123" s="13"/>
      <c r="K1123" s="15"/>
      <c r="L1123" s="15"/>
      <c r="M1123" s="16">
        <v>0.0</v>
      </c>
      <c r="N1123" s="16">
        <v>0.0</v>
      </c>
      <c r="O1123" s="17"/>
      <c r="P1123" s="17"/>
      <c r="Q1123" s="13">
        <f t="shared" si="1160"/>
        <v>0</v>
      </c>
      <c r="R1123" s="13"/>
      <c r="S1123" s="13"/>
      <c r="T1123" s="13">
        <f t="shared" ref="T1123:Y1123" si="1171">IF(ISBLANK(K1123)=TRUE,0,1)</f>
        <v>0</v>
      </c>
      <c r="U1123" s="13">
        <f t="shared" si="1171"/>
        <v>0</v>
      </c>
      <c r="V1123" s="13">
        <f t="shared" si="1171"/>
        <v>1</v>
      </c>
      <c r="W1123" s="13">
        <f t="shared" si="1171"/>
        <v>1</v>
      </c>
      <c r="X1123" s="13">
        <f t="shared" si="1171"/>
        <v>0</v>
      </c>
      <c r="Y1123" s="13">
        <f t="shared" si="1171"/>
        <v>0</v>
      </c>
      <c r="Z1123" s="13">
        <f t="shared" si="529"/>
        <v>0</v>
      </c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</row>
    <row r="1124" ht="14.25" hidden="1" customHeight="1">
      <c r="A1124" s="13" t="s">
        <v>29</v>
      </c>
      <c r="B1124" s="13" t="s">
        <v>34</v>
      </c>
      <c r="C1124" s="13" t="s">
        <v>704</v>
      </c>
      <c r="D1124" s="13" t="s">
        <v>141</v>
      </c>
      <c r="E1124" s="13" t="str">
        <f t="shared" si="735"/>
        <v>LPEF,242-7-6V,CQ,0</v>
      </c>
      <c r="F1124" s="13"/>
      <c r="G1124" s="13" t="s">
        <v>111</v>
      </c>
      <c r="H1124" s="13" t="s">
        <v>75</v>
      </c>
      <c r="I1124" s="13"/>
      <c r="J1124" s="13"/>
      <c r="K1124" s="15"/>
      <c r="L1124" s="15"/>
      <c r="M1124" s="16">
        <v>0.0</v>
      </c>
      <c r="N1124" s="16">
        <v>0.0</v>
      </c>
      <c r="O1124" s="17"/>
      <c r="P1124" s="17"/>
      <c r="Q1124" s="13">
        <f t="shared" si="1160"/>
        <v>0</v>
      </c>
      <c r="R1124" s="13"/>
      <c r="S1124" s="13"/>
      <c r="T1124" s="13">
        <f t="shared" ref="T1124:Y1124" si="1172">IF(ISBLANK(K1124)=TRUE,0,1)</f>
        <v>0</v>
      </c>
      <c r="U1124" s="13">
        <f t="shared" si="1172"/>
        <v>0</v>
      </c>
      <c r="V1124" s="13">
        <f t="shared" si="1172"/>
        <v>1</v>
      </c>
      <c r="W1124" s="13">
        <f t="shared" si="1172"/>
        <v>1</v>
      </c>
      <c r="X1124" s="13">
        <f t="shared" si="1172"/>
        <v>0</v>
      </c>
      <c r="Y1124" s="13">
        <f t="shared" si="1172"/>
        <v>0</v>
      </c>
      <c r="Z1124" s="13">
        <f t="shared" si="529"/>
        <v>0</v>
      </c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</row>
    <row r="1125" ht="14.25" hidden="1" customHeight="1">
      <c r="A1125" s="13" t="s">
        <v>29</v>
      </c>
      <c r="B1125" s="13" t="s">
        <v>34</v>
      </c>
      <c r="C1125" s="13" t="s">
        <v>704</v>
      </c>
      <c r="D1125" s="13" t="s">
        <v>142</v>
      </c>
      <c r="E1125" s="13" t="str">
        <f t="shared" si="735"/>
        <v>LPEF,242-7-6V,CR,0</v>
      </c>
      <c r="F1125" s="13"/>
      <c r="G1125" s="13" t="s">
        <v>111</v>
      </c>
      <c r="H1125" s="13" t="s">
        <v>75</v>
      </c>
      <c r="I1125" s="13"/>
      <c r="J1125" s="13"/>
      <c r="K1125" s="15"/>
      <c r="L1125" s="15"/>
      <c r="M1125" s="16">
        <v>0.0</v>
      </c>
      <c r="N1125" s="16">
        <v>0.0</v>
      </c>
      <c r="O1125" s="17"/>
      <c r="P1125" s="17"/>
      <c r="Q1125" s="13">
        <f t="shared" si="1160"/>
        <v>0</v>
      </c>
      <c r="R1125" s="13"/>
      <c r="S1125" s="13"/>
      <c r="T1125" s="13">
        <f t="shared" ref="T1125:Y1125" si="1173">IF(ISBLANK(K1125)=TRUE,0,1)</f>
        <v>0</v>
      </c>
      <c r="U1125" s="13">
        <f t="shared" si="1173"/>
        <v>0</v>
      </c>
      <c r="V1125" s="13">
        <f t="shared" si="1173"/>
        <v>1</v>
      </c>
      <c r="W1125" s="13">
        <f t="shared" si="1173"/>
        <v>1</v>
      </c>
      <c r="X1125" s="13">
        <f t="shared" si="1173"/>
        <v>0</v>
      </c>
      <c r="Y1125" s="13">
        <f t="shared" si="1173"/>
        <v>0</v>
      </c>
      <c r="Z1125" s="13">
        <f t="shared" si="529"/>
        <v>0</v>
      </c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</row>
    <row r="1126" ht="14.25" hidden="1" customHeight="1">
      <c r="A1126" s="13" t="s">
        <v>29</v>
      </c>
      <c r="B1126" s="13" t="s">
        <v>34</v>
      </c>
      <c r="C1126" s="13" t="s">
        <v>704</v>
      </c>
      <c r="D1126" s="13" t="s">
        <v>143</v>
      </c>
      <c r="E1126" s="13" t="str">
        <f t="shared" si="735"/>
        <v>LPEF,242-7-6V,CS,0</v>
      </c>
      <c r="F1126" s="13"/>
      <c r="G1126" s="13" t="s">
        <v>111</v>
      </c>
      <c r="H1126" s="13" t="s">
        <v>75</v>
      </c>
      <c r="I1126" s="13"/>
      <c r="J1126" s="13"/>
      <c r="K1126" s="15"/>
      <c r="L1126" s="15"/>
      <c r="M1126" s="16">
        <v>0.0</v>
      </c>
      <c r="N1126" s="16">
        <v>0.0</v>
      </c>
      <c r="O1126" s="17"/>
      <c r="P1126" s="17"/>
      <c r="Q1126" s="13">
        <f t="shared" si="1160"/>
        <v>0</v>
      </c>
      <c r="R1126" s="13"/>
      <c r="S1126" s="13"/>
      <c r="T1126" s="13">
        <f t="shared" ref="T1126:Y1126" si="1174">IF(ISBLANK(K1126)=TRUE,0,1)</f>
        <v>0</v>
      </c>
      <c r="U1126" s="13">
        <f t="shared" si="1174"/>
        <v>0</v>
      </c>
      <c r="V1126" s="13">
        <f t="shared" si="1174"/>
        <v>1</v>
      </c>
      <c r="W1126" s="13">
        <f t="shared" si="1174"/>
        <v>1</v>
      </c>
      <c r="X1126" s="13">
        <f t="shared" si="1174"/>
        <v>0</v>
      </c>
      <c r="Y1126" s="13">
        <f t="shared" si="1174"/>
        <v>0</v>
      </c>
      <c r="Z1126" s="13">
        <f t="shared" si="529"/>
        <v>0</v>
      </c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</row>
    <row r="1127" ht="14.25" hidden="1" customHeight="1">
      <c r="A1127" s="13" t="s">
        <v>29</v>
      </c>
      <c r="B1127" s="13" t="s">
        <v>34</v>
      </c>
      <c r="C1127" s="13" t="s">
        <v>704</v>
      </c>
      <c r="D1127" s="13" t="s">
        <v>144</v>
      </c>
      <c r="E1127" s="13" t="str">
        <f t="shared" si="735"/>
        <v>LPEF,242-7-6V,CT,0</v>
      </c>
      <c r="F1127" s="13"/>
      <c r="G1127" s="13" t="s">
        <v>111</v>
      </c>
      <c r="H1127" s="13" t="s">
        <v>75</v>
      </c>
      <c r="I1127" s="13"/>
      <c r="J1127" s="13"/>
      <c r="K1127" s="15"/>
      <c r="L1127" s="15"/>
      <c r="M1127" s="16">
        <v>0.0</v>
      </c>
      <c r="N1127" s="16">
        <v>0.0</v>
      </c>
      <c r="O1127" s="17"/>
      <c r="P1127" s="17"/>
      <c r="Q1127" s="13">
        <f t="shared" si="1160"/>
        <v>0</v>
      </c>
      <c r="R1127" s="13"/>
      <c r="S1127" s="13"/>
      <c r="T1127" s="13">
        <f t="shared" ref="T1127:Y1127" si="1175">IF(ISBLANK(K1127)=TRUE,0,1)</f>
        <v>0</v>
      </c>
      <c r="U1127" s="13">
        <f t="shared" si="1175"/>
        <v>0</v>
      </c>
      <c r="V1127" s="13">
        <f t="shared" si="1175"/>
        <v>1</v>
      </c>
      <c r="W1127" s="13">
        <f t="shared" si="1175"/>
        <v>1</v>
      </c>
      <c r="X1127" s="13">
        <f t="shared" si="1175"/>
        <v>0</v>
      </c>
      <c r="Y1127" s="13">
        <f t="shared" si="1175"/>
        <v>0</v>
      </c>
      <c r="Z1127" s="13">
        <f t="shared" si="529"/>
        <v>0</v>
      </c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</row>
    <row r="1128" ht="14.25" hidden="1" customHeight="1">
      <c r="A1128" s="13" t="s">
        <v>29</v>
      </c>
      <c r="B1128" s="13" t="s">
        <v>34</v>
      </c>
      <c r="C1128" s="13" t="s">
        <v>704</v>
      </c>
      <c r="D1128" s="13" t="s">
        <v>145</v>
      </c>
      <c r="E1128" s="13" t="str">
        <f t="shared" si="735"/>
        <v>LPEF,242-7-6V,CU,0</v>
      </c>
      <c r="F1128" s="13"/>
      <c r="G1128" s="13" t="s">
        <v>111</v>
      </c>
      <c r="H1128" s="13" t="s">
        <v>75</v>
      </c>
      <c r="I1128" s="13"/>
      <c r="J1128" s="13"/>
      <c r="K1128" s="15"/>
      <c r="L1128" s="15"/>
      <c r="M1128" s="16">
        <v>0.0</v>
      </c>
      <c r="N1128" s="16">
        <v>0.0</v>
      </c>
      <c r="O1128" s="17"/>
      <c r="P1128" s="17"/>
      <c r="Q1128" s="13">
        <f t="shared" si="1160"/>
        <v>0</v>
      </c>
      <c r="R1128" s="13"/>
      <c r="S1128" s="13"/>
      <c r="T1128" s="13">
        <f t="shared" ref="T1128:Y1128" si="1176">IF(ISBLANK(K1128)=TRUE,0,1)</f>
        <v>0</v>
      </c>
      <c r="U1128" s="13">
        <f t="shared" si="1176"/>
        <v>0</v>
      </c>
      <c r="V1128" s="13">
        <f t="shared" si="1176"/>
        <v>1</v>
      </c>
      <c r="W1128" s="13">
        <f t="shared" si="1176"/>
        <v>1</v>
      </c>
      <c r="X1128" s="13">
        <f t="shared" si="1176"/>
        <v>0</v>
      </c>
      <c r="Y1128" s="13">
        <f t="shared" si="1176"/>
        <v>0</v>
      </c>
      <c r="Z1128" s="13">
        <f t="shared" si="529"/>
        <v>0</v>
      </c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</row>
    <row r="1129" ht="14.25" hidden="1" customHeight="1">
      <c r="A1129" s="13" t="s">
        <v>29</v>
      </c>
      <c r="B1129" s="13" t="s">
        <v>34</v>
      </c>
      <c r="C1129" s="13" t="s">
        <v>704</v>
      </c>
      <c r="D1129" s="13" t="s">
        <v>146</v>
      </c>
      <c r="E1129" s="13" t="str">
        <f t="shared" si="735"/>
        <v>LPEF,242-7-6V,CV,0</v>
      </c>
      <c r="F1129" s="13"/>
      <c r="G1129" s="13" t="s">
        <v>111</v>
      </c>
      <c r="H1129" s="13" t="s">
        <v>75</v>
      </c>
      <c r="I1129" s="13"/>
      <c r="J1129" s="13"/>
      <c r="K1129" s="15"/>
      <c r="L1129" s="15"/>
      <c r="M1129" s="16">
        <v>0.0</v>
      </c>
      <c r="N1129" s="16">
        <v>0.0</v>
      </c>
      <c r="O1129" s="17"/>
      <c r="P1129" s="17"/>
      <c r="Q1129" s="13">
        <f t="shared" si="1160"/>
        <v>0</v>
      </c>
      <c r="R1129" s="13"/>
      <c r="S1129" s="13"/>
      <c r="T1129" s="13">
        <f t="shared" ref="T1129:Y1129" si="1177">IF(ISBLANK(K1129)=TRUE,0,1)</f>
        <v>0</v>
      </c>
      <c r="U1129" s="13">
        <f t="shared" si="1177"/>
        <v>0</v>
      </c>
      <c r="V1129" s="13">
        <f t="shared" si="1177"/>
        <v>1</v>
      </c>
      <c r="W1129" s="13">
        <f t="shared" si="1177"/>
        <v>1</v>
      </c>
      <c r="X1129" s="13">
        <f t="shared" si="1177"/>
        <v>0</v>
      </c>
      <c r="Y1129" s="13">
        <f t="shared" si="1177"/>
        <v>0</v>
      </c>
      <c r="Z1129" s="13">
        <f t="shared" si="529"/>
        <v>0</v>
      </c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</row>
    <row r="1130" ht="14.25" hidden="1" customHeight="1">
      <c r="A1130" s="13" t="s">
        <v>29</v>
      </c>
      <c r="B1130" s="13" t="s">
        <v>34</v>
      </c>
      <c r="C1130" s="13" t="s">
        <v>704</v>
      </c>
      <c r="D1130" s="13" t="s">
        <v>147</v>
      </c>
      <c r="E1130" s="13" t="str">
        <f t="shared" si="735"/>
        <v>LPEF,242-7-6V,CW,0</v>
      </c>
      <c r="F1130" s="13"/>
      <c r="G1130" s="13" t="s">
        <v>111</v>
      </c>
      <c r="H1130" s="13" t="s">
        <v>75</v>
      </c>
      <c r="I1130" s="13"/>
      <c r="J1130" s="13"/>
      <c r="K1130" s="15"/>
      <c r="L1130" s="15"/>
      <c r="M1130" s="16">
        <v>0.0</v>
      </c>
      <c r="N1130" s="16">
        <v>0.0</v>
      </c>
      <c r="O1130" s="17"/>
      <c r="P1130" s="17"/>
      <c r="Q1130" s="13">
        <f t="shared" si="1160"/>
        <v>0</v>
      </c>
      <c r="R1130" s="13"/>
      <c r="S1130" s="13"/>
      <c r="T1130" s="13">
        <f t="shared" ref="T1130:Y1130" si="1178">IF(ISBLANK(K1130)=TRUE,0,1)</f>
        <v>0</v>
      </c>
      <c r="U1130" s="13">
        <f t="shared" si="1178"/>
        <v>0</v>
      </c>
      <c r="V1130" s="13">
        <f t="shared" si="1178"/>
        <v>1</v>
      </c>
      <c r="W1130" s="13">
        <f t="shared" si="1178"/>
        <v>1</v>
      </c>
      <c r="X1130" s="13">
        <f t="shared" si="1178"/>
        <v>0</v>
      </c>
      <c r="Y1130" s="13">
        <f t="shared" si="1178"/>
        <v>0</v>
      </c>
      <c r="Z1130" s="13">
        <f t="shared" si="529"/>
        <v>0</v>
      </c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</row>
    <row r="1131" ht="14.25" hidden="1" customHeight="1">
      <c r="A1131" s="13" t="s">
        <v>29</v>
      </c>
      <c r="B1131" s="13" t="s">
        <v>34</v>
      </c>
      <c r="C1131" s="13" t="s">
        <v>704</v>
      </c>
      <c r="D1131" s="13" t="s">
        <v>148</v>
      </c>
      <c r="E1131" s="13" t="str">
        <f t="shared" si="735"/>
        <v>LPEF,242-7-6V,CX,0</v>
      </c>
      <c r="F1131" s="13"/>
      <c r="G1131" s="13" t="s">
        <v>111</v>
      </c>
      <c r="H1131" s="13" t="s">
        <v>75</v>
      </c>
      <c r="I1131" s="13"/>
      <c r="J1131" s="13"/>
      <c r="K1131" s="15"/>
      <c r="L1131" s="15"/>
      <c r="M1131" s="16">
        <v>0.0</v>
      </c>
      <c r="N1131" s="16">
        <v>0.0</v>
      </c>
      <c r="O1131" s="17"/>
      <c r="P1131" s="17"/>
      <c r="Q1131" s="13">
        <f t="shared" si="1160"/>
        <v>0</v>
      </c>
      <c r="R1131" s="13"/>
      <c r="S1131" s="13"/>
      <c r="T1131" s="13">
        <f t="shared" ref="T1131:Y1131" si="1179">IF(ISBLANK(K1131)=TRUE,0,1)</f>
        <v>0</v>
      </c>
      <c r="U1131" s="13">
        <f t="shared" si="1179"/>
        <v>0</v>
      </c>
      <c r="V1131" s="13">
        <f t="shared" si="1179"/>
        <v>1</v>
      </c>
      <c r="W1131" s="13">
        <f t="shared" si="1179"/>
        <v>1</v>
      </c>
      <c r="X1131" s="13">
        <f t="shared" si="1179"/>
        <v>0</v>
      </c>
      <c r="Y1131" s="13">
        <f t="shared" si="1179"/>
        <v>0</v>
      </c>
      <c r="Z1131" s="13">
        <f t="shared" si="529"/>
        <v>0</v>
      </c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</row>
    <row r="1132" ht="14.25" hidden="1" customHeight="1">
      <c r="A1132" s="13" t="s">
        <v>29</v>
      </c>
      <c r="B1132" s="13" t="s">
        <v>34</v>
      </c>
      <c r="C1132" s="13" t="s">
        <v>704</v>
      </c>
      <c r="D1132" s="13" t="s">
        <v>149</v>
      </c>
      <c r="E1132" s="13" t="str">
        <f t="shared" si="735"/>
        <v>LPEF,242-7-6V,CY,0</v>
      </c>
      <c r="F1132" s="13"/>
      <c r="G1132" s="13" t="s">
        <v>111</v>
      </c>
      <c r="H1132" s="13" t="s">
        <v>75</v>
      </c>
      <c r="I1132" s="13"/>
      <c r="J1132" s="13"/>
      <c r="K1132" s="15"/>
      <c r="L1132" s="15"/>
      <c r="M1132" s="16">
        <v>0.0</v>
      </c>
      <c r="N1132" s="16">
        <v>0.0</v>
      </c>
      <c r="O1132" s="17"/>
      <c r="P1132" s="17"/>
      <c r="Q1132" s="13">
        <f t="shared" si="1160"/>
        <v>0</v>
      </c>
      <c r="R1132" s="13"/>
      <c r="S1132" s="13"/>
      <c r="T1132" s="13">
        <f t="shared" ref="T1132:Y1132" si="1180">IF(ISBLANK(K1132)=TRUE,0,1)</f>
        <v>0</v>
      </c>
      <c r="U1132" s="13">
        <f t="shared" si="1180"/>
        <v>0</v>
      </c>
      <c r="V1132" s="13">
        <f t="shared" si="1180"/>
        <v>1</v>
      </c>
      <c r="W1132" s="13">
        <f t="shared" si="1180"/>
        <v>1</v>
      </c>
      <c r="X1132" s="13">
        <f t="shared" si="1180"/>
        <v>0</v>
      </c>
      <c r="Y1132" s="13">
        <f t="shared" si="1180"/>
        <v>0</v>
      </c>
      <c r="Z1132" s="13">
        <f t="shared" si="529"/>
        <v>0</v>
      </c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</row>
    <row r="1133" ht="14.25" hidden="1" customHeight="1">
      <c r="A1133" s="13" t="s">
        <v>29</v>
      </c>
      <c r="B1133" s="13" t="s">
        <v>34</v>
      </c>
      <c r="C1133" s="13" t="s">
        <v>704</v>
      </c>
      <c r="D1133" s="13" t="s">
        <v>150</v>
      </c>
      <c r="E1133" s="13" t="str">
        <f t="shared" si="735"/>
        <v>LPEF,242-7-6V,CZ,0</v>
      </c>
      <c r="F1133" s="13"/>
      <c r="G1133" s="13" t="s">
        <v>111</v>
      </c>
      <c r="H1133" s="13" t="s">
        <v>75</v>
      </c>
      <c r="I1133" s="13"/>
      <c r="J1133" s="13"/>
      <c r="K1133" s="15"/>
      <c r="L1133" s="15"/>
      <c r="M1133" s="16">
        <v>0.0</v>
      </c>
      <c r="N1133" s="16">
        <v>0.0</v>
      </c>
      <c r="O1133" s="17"/>
      <c r="P1133" s="17"/>
      <c r="Q1133" s="13">
        <f t="shared" si="1160"/>
        <v>0</v>
      </c>
      <c r="R1133" s="13"/>
      <c r="S1133" s="13"/>
      <c r="T1133" s="13">
        <f t="shared" ref="T1133:Y1133" si="1181">IF(ISBLANK(K1133)=TRUE,0,1)</f>
        <v>0</v>
      </c>
      <c r="U1133" s="13">
        <f t="shared" si="1181"/>
        <v>0</v>
      </c>
      <c r="V1133" s="13">
        <f t="shared" si="1181"/>
        <v>1</v>
      </c>
      <c r="W1133" s="13">
        <f t="shared" si="1181"/>
        <v>1</v>
      </c>
      <c r="X1133" s="13">
        <f t="shared" si="1181"/>
        <v>0</v>
      </c>
      <c r="Y1133" s="13">
        <f t="shared" si="1181"/>
        <v>0</v>
      </c>
      <c r="Z1133" s="13">
        <f t="shared" si="529"/>
        <v>0</v>
      </c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</row>
    <row r="1134" ht="14.25" hidden="1" customHeight="1">
      <c r="A1134" s="13" t="s">
        <v>29</v>
      </c>
      <c r="B1134" s="13" t="s">
        <v>34</v>
      </c>
      <c r="C1134" s="13" t="s">
        <v>704</v>
      </c>
      <c r="D1134" s="13" t="s">
        <v>151</v>
      </c>
      <c r="E1134" s="13" t="str">
        <f t="shared" si="735"/>
        <v>LPEF,242-7-6V,DA,0</v>
      </c>
      <c r="F1134" s="13"/>
      <c r="G1134" s="13" t="s">
        <v>111</v>
      </c>
      <c r="H1134" s="13" t="s">
        <v>75</v>
      </c>
      <c r="I1134" s="13"/>
      <c r="J1134" s="13"/>
      <c r="K1134" s="15"/>
      <c r="L1134" s="15"/>
      <c r="M1134" s="16">
        <v>0.0</v>
      </c>
      <c r="N1134" s="16">
        <v>0.0</v>
      </c>
      <c r="O1134" s="17"/>
      <c r="P1134" s="17"/>
      <c r="Q1134" s="13">
        <f t="shared" si="1160"/>
        <v>0</v>
      </c>
      <c r="R1134" s="13"/>
      <c r="S1134" s="13"/>
      <c r="T1134" s="13">
        <f t="shared" ref="T1134:Y1134" si="1182">IF(ISBLANK(K1134)=TRUE,0,1)</f>
        <v>0</v>
      </c>
      <c r="U1134" s="13">
        <f t="shared" si="1182"/>
        <v>0</v>
      </c>
      <c r="V1134" s="13">
        <f t="shared" si="1182"/>
        <v>1</v>
      </c>
      <c r="W1134" s="13">
        <f t="shared" si="1182"/>
        <v>1</v>
      </c>
      <c r="X1134" s="13">
        <f t="shared" si="1182"/>
        <v>0</v>
      </c>
      <c r="Y1134" s="13">
        <f t="shared" si="1182"/>
        <v>0</v>
      </c>
      <c r="Z1134" s="13">
        <f t="shared" si="529"/>
        <v>0</v>
      </c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</row>
    <row r="1135" ht="14.25" hidden="1" customHeight="1">
      <c r="A1135" s="13" t="s">
        <v>29</v>
      </c>
      <c r="B1135" s="13" t="s">
        <v>34</v>
      </c>
      <c r="C1135" s="13" t="s">
        <v>704</v>
      </c>
      <c r="D1135" s="13" t="s">
        <v>152</v>
      </c>
      <c r="E1135" s="13" t="str">
        <f t="shared" si="735"/>
        <v>LPEF,242-7-6V,DB,0</v>
      </c>
      <c r="F1135" s="13"/>
      <c r="G1135" s="13" t="s">
        <v>111</v>
      </c>
      <c r="H1135" s="13" t="s">
        <v>75</v>
      </c>
      <c r="I1135" s="13"/>
      <c r="J1135" s="13"/>
      <c r="K1135" s="15"/>
      <c r="L1135" s="15"/>
      <c r="M1135" s="16">
        <v>0.0</v>
      </c>
      <c r="N1135" s="16">
        <v>0.0</v>
      </c>
      <c r="O1135" s="17"/>
      <c r="P1135" s="17"/>
      <c r="Q1135" s="13">
        <f t="shared" si="1160"/>
        <v>0</v>
      </c>
      <c r="R1135" s="13"/>
      <c r="S1135" s="13"/>
      <c r="T1135" s="13">
        <f t="shared" ref="T1135:Y1135" si="1183">IF(ISBLANK(K1135)=TRUE,0,1)</f>
        <v>0</v>
      </c>
      <c r="U1135" s="13">
        <f t="shared" si="1183"/>
        <v>0</v>
      </c>
      <c r="V1135" s="13">
        <f t="shared" si="1183"/>
        <v>1</v>
      </c>
      <c r="W1135" s="13">
        <f t="shared" si="1183"/>
        <v>1</v>
      </c>
      <c r="X1135" s="13">
        <f t="shared" si="1183"/>
        <v>0</v>
      </c>
      <c r="Y1135" s="13">
        <f t="shared" si="1183"/>
        <v>0</v>
      </c>
      <c r="Z1135" s="13">
        <f t="shared" si="529"/>
        <v>0</v>
      </c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</row>
    <row r="1136" ht="14.25" hidden="1" customHeight="1">
      <c r="A1136" s="13" t="s">
        <v>29</v>
      </c>
      <c r="B1136" s="13" t="s">
        <v>34</v>
      </c>
      <c r="C1136" s="13" t="s">
        <v>704</v>
      </c>
      <c r="D1136" s="13" t="s">
        <v>153</v>
      </c>
      <c r="E1136" s="13" t="str">
        <f t="shared" si="735"/>
        <v>LPEF,242-7-6V,DC,0</v>
      </c>
      <c r="F1136" s="13"/>
      <c r="G1136" s="13" t="s">
        <v>111</v>
      </c>
      <c r="H1136" s="13" t="s">
        <v>75</v>
      </c>
      <c r="I1136" s="13"/>
      <c r="J1136" s="13"/>
      <c r="K1136" s="15"/>
      <c r="L1136" s="15"/>
      <c r="M1136" s="16">
        <v>0.0</v>
      </c>
      <c r="N1136" s="16">
        <v>0.0</v>
      </c>
      <c r="O1136" s="17"/>
      <c r="P1136" s="17"/>
      <c r="Q1136" s="13">
        <f t="shared" si="1160"/>
        <v>0</v>
      </c>
      <c r="R1136" s="13"/>
      <c r="S1136" s="13"/>
      <c r="T1136" s="13">
        <f t="shared" ref="T1136:Y1136" si="1184">IF(ISBLANK(K1136)=TRUE,0,1)</f>
        <v>0</v>
      </c>
      <c r="U1136" s="13">
        <f t="shared" si="1184"/>
        <v>0</v>
      </c>
      <c r="V1136" s="13">
        <f t="shared" si="1184"/>
        <v>1</v>
      </c>
      <c r="W1136" s="13">
        <f t="shared" si="1184"/>
        <v>1</v>
      </c>
      <c r="X1136" s="13">
        <f t="shared" si="1184"/>
        <v>0</v>
      </c>
      <c r="Y1136" s="13">
        <f t="shared" si="1184"/>
        <v>0</v>
      </c>
      <c r="Z1136" s="13">
        <f t="shared" si="529"/>
        <v>0</v>
      </c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</row>
    <row r="1137" ht="14.25" hidden="1" customHeight="1">
      <c r="A1137" s="13" t="s">
        <v>29</v>
      </c>
      <c r="B1137" s="13" t="s">
        <v>34</v>
      </c>
      <c r="C1137" s="13" t="s">
        <v>704</v>
      </c>
      <c r="D1137" s="13" t="s">
        <v>154</v>
      </c>
      <c r="E1137" s="13" t="str">
        <f t="shared" si="735"/>
        <v>LPEF,242-7-6V,DD,0</v>
      </c>
      <c r="F1137" s="13"/>
      <c r="G1137" s="13" t="s">
        <v>111</v>
      </c>
      <c r="H1137" s="13" t="s">
        <v>75</v>
      </c>
      <c r="I1137" s="13"/>
      <c r="J1137" s="13"/>
      <c r="K1137" s="15"/>
      <c r="L1137" s="15"/>
      <c r="M1137" s="16">
        <v>0.0</v>
      </c>
      <c r="N1137" s="16">
        <v>0.0</v>
      </c>
      <c r="O1137" s="17"/>
      <c r="P1137" s="17"/>
      <c r="Q1137" s="13">
        <f t="shared" si="1160"/>
        <v>0</v>
      </c>
      <c r="R1137" s="13"/>
      <c r="S1137" s="13"/>
      <c r="T1137" s="13">
        <f t="shared" ref="T1137:Y1137" si="1185">IF(ISBLANK(K1137)=TRUE,0,1)</f>
        <v>0</v>
      </c>
      <c r="U1137" s="13">
        <f t="shared" si="1185"/>
        <v>0</v>
      </c>
      <c r="V1137" s="13">
        <f t="shared" si="1185"/>
        <v>1</v>
      </c>
      <c r="W1137" s="13">
        <f t="shared" si="1185"/>
        <v>1</v>
      </c>
      <c r="X1137" s="13">
        <f t="shared" si="1185"/>
        <v>0</v>
      </c>
      <c r="Y1137" s="13">
        <f t="shared" si="1185"/>
        <v>0</v>
      </c>
      <c r="Z1137" s="13">
        <f t="shared" si="529"/>
        <v>0</v>
      </c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</row>
    <row r="1138" ht="14.25" hidden="1" customHeight="1">
      <c r="A1138" s="13" t="s">
        <v>29</v>
      </c>
      <c r="B1138" s="13" t="s">
        <v>34</v>
      </c>
      <c r="C1138" s="13" t="s">
        <v>704</v>
      </c>
      <c r="D1138" s="13" t="s">
        <v>155</v>
      </c>
      <c r="E1138" s="13" t="str">
        <f t="shared" si="735"/>
        <v>LPEF,242-7-6V,DE,0</v>
      </c>
      <c r="F1138" s="13"/>
      <c r="G1138" s="13" t="s">
        <v>111</v>
      </c>
      <c r="H1138" s="13" t="s">
        <v>75</v>
      </c>
      <c r="I1138" s="13"/>
      <c r="J1138" s="13"/>
      <c r="K1138" s="15"/>
      <c r="L1138" s="15"/>
      <c r="M1138" s="16">
        <v>0.0</v>
      </c>
      <c r="N1138" s="16">
        <v>0.0</v>
      </c>
      <c r="O1138" s="17"/>
      <c r="P1138" s="17"/>
      <c r="Q1138" s="13">
        <f t="shared" si="1160"/>
        <v>0</v>
      </c>
      <c r="R1138" s="13"/>
      <c r="S1138" s="13"/>
      <c r="T1138" s="13">
        <f t="shared" ref="T1138:Y1138" si="1186">IF(ISBLANK(K1138)=TRUE,0,1)</f>
        <v>0</v>
      </c>
      <c r="U1138" s="13">
        <f t="shared" si="1186"/>
        <v>0</v>
      </c>
      <c r="V1138" s="13">
        <f t="shared" si="1186"/>
        <v>1</v>
      </c>
      <c r="W1138" s="13">
        <f t="shared" si="1186"/>
        <v>1</v>
      </c>
      <c r="X1138" s="13">
        <f t="shared" si="1186"/>
        <v>0</v>
      </c>
      <c r="Y1138" s="13">
        <f t="shared" si="1186"/>
        <v>0</v>
      </c>
      <c r="Z1138" s="13">
        <f t="shared" si="529"/>
        <v>0</v>
      </c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</row>
    <row r="1139" ht="14.25" hidden="1" customHeight="1">
      <c r="A1139" s="13" t="s">
        <v>29</v>
      </c>
      <c r="B1139" s="13" t="s">
        <v>34</v>
      </c>
      <c r="C1139" s="13" t="s">
        <v>704</v>
      </c>
      <c r="D1139" s="13" t="s">
        <v>156</v>
      </c>
      <c r="E1139" s="13" t="str">
        <f t="shared" si="735"/>
        <v>LPEF,242-7-6V,DF,0</v>
      </c>
      <c r="F1139" s="13"/>
      <c r="G1139" s="13" t="s">
        <v>111</v>
      </c>
      <c r="H1139" s="13" t="s">
        <v>75</v>
      </c>
      <c r="I1139" s="13"/>
      <c r="J1139" s="13"/>
      <c r="K1139" s="15"/>
      <c r="L1139" s="15"/>
      <c r="M1139" s="16">
        <v>0.0</v>
      </c>
      <c r="N1139" s="16">
        <v>0.0</v>
      </c>
      <c r="O1139" s="17"/>
      <c r="P1139" s="17"/>
      <c r="Q1139" s="13">
        <f t="shared" si="1160"/>
        <v>0</v>
      </c>
      <c r="R1139" s="13"/>
      <c r="S1139" s="13"/>
      <c r="T1139" s="13">
        <f t="shared" ref="T1139:Y1139" si="1187">IF(ISBLANK(K1139)=TRUE,0,1)</f>
        <v>0</v>
      </c>
      <c r="U1139" s="13">
        <f t="shared" si="1187"/>
        <v>0</v>
      </c>
      <c r="V1139" s="13">
        <f t="shared" si="1187"/>
        <v>1</v>
      </c>
      <c r="W1139" s="13">
        <f t="shared" si="1187"/>
        <v>1</v>
      </c>
      <c r="X1139" s="13">
        <f t="shared" si="1187"/>
        <v>0</v>
      </c>
      <c r="Y1139" s="13">
        <f t="shared" si="1187"/>
        <v>0</v>
      </c>
      <c r="Z1139" s="13">
        <f t="shared" si="529"/>
        <v>0</v>
      </c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</row>
    <row r="1140" ht="14.25" hidden="1" customHeight="1">
      <c r="A1140" s="13" t="s">
        <v>29</v>
      </c>
      <c r="B1140" s="13" t="s">
        <v>34</v>
      </c>
      <c r="C1140" s="13" t="s">
        <v>704</v>
      </c>
      <c r="D1140" s="13" t="s">
        <v>157</v>
      </c>
      <c r="E1140" s="13" t="str">
        <f t="shared" si="735"/>
        <v>LPEF,242-7-6V,DG,0</v>
      </c>
      <c r="F1140" s="13"/>
      <c r="G1140" s="13" t="s">
        <v>111</v>
      </c>
      <c r="H1140" s="13" t="s">
        <v>75</v>
      </c>
      <c r="I1140" s="13"/>
      <c r="J1140" s="13"/>
      <c r="K1140" s="15"/>
      <c r="L1140" s="15"/>
      <c r="M1140" s="16">
        <v>0.0</v>
      </c>
      <c r="N1140" s="16">
        <v>0.0</v>
      </c>
      <c r="O1140" s="17"/>
      <c r="P1140" s="17"/>
      <c r="Q1140" s="13">
        <f t="shared" si="1160"/>
        <v>0</v>
      </c>
      <c r="R1140" s="13"/>
      <c r="S1140" s="13"/>
      <c r="T1140" s="13">
        <f t="shared" ref="T1140:Y1140" si="1188">IF(ISBLANK(K1140)=TRUE,0,1)</f>
        <v>0</v>
      </c>
      <c r="U1140" s="13">
        <f t="shared" si="1188"/>
        <v>0</v>
      </c>
      <c r="V1140" s="13">
        <f t="shared" si="1188"/>
        <v>1</v>
      </c>
      <c r="W1140" s="13">
        <f t="shared" si="1188"/>
        <v>1</v>
      </c>
      <c r="X1140" s="13">
        <f t="shared" si="1188"/>
        <v>0</v>
      </c>
      <c r="Y1140" s="13">
        <f t="shared" si="1188"/>
        <v>0</v>
      </c>
      <c r="Z1140" s="13">
        <f t="shared" si="529"/>
        <v>0</v>
      </c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</row>
    <row r="1141" ht="14.25" hidden="1" customHeight="1">
      <c r="A1141" s="13" t="s">
        <v>29</v>
      </c>
      <c r="B1141" s="13" t="s">
        <v>34</v>
      </c>
      <c r="C1141" s="13" t="s">
        <v>704</v>
      </c>
      <c r="D1141" s="13" t="s">
        <v>158</v>
      </c>
      <c r="E1141" s="13" t="str">
        <f t="shared" si="735"/>
        <v>LPEF,242-7-6V,DH,0</v>
      </c>
      <c r="F1141" s="13"/>
      <c r="G1141" s="13" t="s">
        <v>111</v>
      </c>
      <c r="H1141" s="13" t="s">
        <v>75</v>
      </c>
      <c r="I1141" s="13"/>
      <c r="J1141" s="13"/>
      <c r="K1141" s="15"/>
      <c r="L1141" s="15"/>
      <c r="M1141" s="16">
        <v>0.0</v>
      </c>
      <c r="N1141" s="16">
        <v>0.0</v>
      </c>
      <c r="O1141" s="17"/>
      <c r="P1141" s="17"/>
      <c r="Q1141" s="13">
        <f t="shared" si="1160"/>
        <v>0</v>
      </c>
      <c r="R1141" s="13"/>
      <c r="S1141" s="13"/>
      <c r="T1141" s="13">
        <f t="shared" ref="T1141:Y1141" si="1189">IF(ISBLANK(K1141)=TRUE,0,1)</f>
        <v>0</v>
      </c>
      <c r="U1141" s="13">
        <f t="shared" si="1189"/>
        <v>0</v>
      </c>
      <c r="V1141" s="13">
        <f t="shared" si="1189"/>
        <v>1</v>
      </c>
      <c r="W1141" s="13">
        <f t="shared" si="1189"/>
        <v>1</v>
      </c>
      <c r="X1141" s="13">
        <f t="shared" si="1189"/>
        <v>0</v>
      </c>
      <c r="Y1141" s="13">
        <f t="shared" si="1189"/>
        <v>0</v>
      </c>
      <c r="Z1141" s="13">
        <f t="shared" si="529"/>
        <v>0</v>
      </c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</row>
    <row r="1142" ht="14.25" hidden="1" customHeight="1">
      <c r="A1142" s="13" t="s">
        <v>29</v>
      </c>
      <c r="B1142" s="13" t="s">
        <v>34</v>
      </c>
      <c r="C1142" s="13" t="s">
        <v>704</v>
      </c>
      <c r="D1142" s="13" t="s">
        <v>159</v>
      </c>
      <c r="E1142" s="13" t="str">
        <f t="shared" si="735"/>
        <v>LPEF,242-7-6V,DI,0</v>
      </c>
      <c r="F1142" s="13"/>
      <c r="G1142" s="13" t="s">
        <v>111</v>
      </c>
      <c r="H1142" s="13" t="s">
        <v>75</v>
      </c>
      <c r="I1142" s="13"/>
      <c r="J1142" s="13"/>
      <c r="K1142" s="15"/>
      <c r="L1142" s="15"/>
      <c r="M1142" s="16">
        <v>0.0</v>
      </c>
      <c r="N1142" s="16">
        <v>0.0</v>
      </c>
      <c r="O1142" s="17"/>
      <c r="P1142" s="17"/>
      <c r="Q1142" s="13">
        <f t="shared" si="1160"/>
        <v>0</v>
      </c>
      <c r="R1142" s="13"/>
      <c r="S1142" s="13"/>
      <c r="T1142" s="13">
        <f t="shared" ref="T1142:Y1142" si="1190">IF(ISBLANK(K1142)=TRUE,0,1)</f>
        <v>0</v>
      </c>
      <c r="U1142" s="13">
        <f t="shared" si="1190"/>
        <v>0</v>
      </c>
      <c r="V1142" s="13">
        <f t="shared" si="1190"/>
        <v>1</v>
      </c>
      <c r="W1142" s="13">
        <f t="shared" si="1190"/>
        <v>1</v>
      </c>
      <c r="X1142" s="13">
        <f t="shared" si="1190"/>
        <v>0</v>
      </c>
      <c r="Y1142" s="13">
        <f t="shared" si="1190"/>
        <v>0</v>
      </c>
      <c r="Z1142" s="13">
        <f t="shared" si="529"/>
        <v>0</v>
      </c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</row>
    <row r="1143" ht="14.25" hidden="1" customHeight="1">
      <c r="A1143" s="13" t="s">
        <v>29</v>
      </c>
      <c r="B1143" s="13" t="s">
        <v>34</v>
      </c>
      <c r="C1143" s="13" t="s">
        <v>704</v>
      </c>
      <c r="D1143" s="13" t="s">
        <v>160</v>
      </c>
      <c r="E1143" s="13" t="str">
        <f t="shared" si="735"/>
        <v>LPEF,242-7-6V,DJ,0</v>
      </c>
      <c r="F1143" s="13"/>
      <c r="G1143" s="13" t="s">
        <v>111</v>
      </c>
      <c r="H1143" s="13" t="s">
        <v>75</v>
      </c>
      <c r="I1143" s="13"/>
      <c r="J1143" s="13"/>
      <c r="K1143" s="15"/>
      <c r="L1143" s="15"/>
      <c r="M1143" s="16">
        <v>0.0</v>
      </c>
      <c r="N1143" s="16">
        <v>0.0</v>
      </c>
      <c r="O1143" s="17"/>
      <c r="P1143" s="17"/>
      <c r="Q1143" s="13">
        <f t="shared" si="1160"/>
        <v>0</v>
      </c>
      <c r="R1143" s="13"/>
      <c r="S1143" s="13"/>
      <c r="T1143" s="13">
        <f t="shared" ref="T1143:Y1143" si="1191">IF(ISBLANK(K1143)=TRUE,0,1)</f>
        <v>0</v>
      </c>
      <c r="U1143" s="13">
        <f t="shared" si="1191"/>
        <v>0</v>
      </c>
      <c r="V1143" s="13">
        <f t="shared" si="1191"/>
        <v>1</v>
      </c>
      <c r="W1143" s="13">
        <f t="shared" si="1191"/>
        <v>1</v>
      </c>
      <c r="X1143" s="13">
        <f t="shared" si="1191"/>
        <v>0</v>
      </c>
      <c r="Y1143" s="13">
        <f t="shared" si="1191"/>
        <v>0</v>
      </c>
      <c r="Z1143" s="13">
        <f t="shared" si="529"/>
        <v>0</v>
      </c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</row>
    <row r="1144" ht="14.25" hidden="1" customHeight="1">
      <c r="A1144" s="13" t="s">
        <v>29</v>
      </c>
      <c r="B1144" s="13" t="s">
        <v>34</v>
      </c>
      <c r="C1144" s="13" t="s">
        <v>704</v>
      </c>
      <c r="D1144" s="13" t="s">
        <v>161</v>
      </c>
      <c r="E1144" s="13" t="str">
        <f t="shared" si="735"/>
        <v>LPEF,242-7-6V,DK,0</v>
      </c>
      <c r="F1144" s="13"/>
      <c r="G1144" s="13" t="s">
        <v>111</v>
      </c>
      <c r="H1144" s="13" t="s">
        <v>75</v>
      </c>
      <c r="I1144" s="13"/>
      <c r="J1144" s="13"/>
      <c r="K1144" s="15"/>
      <c r="L1144" s="15"/>
      <c r="M1144" s="16">
        <v>0.0</v>
      </c>
      <c r="N1144" s="16">
        <v>0.0</v>
      </c>
      <c r="O1144" s="17"/>
      <c r="P1144" s="17"/>
      <c r="Q1144" s="13">
        <f t="shared" si="1160"/>
        <v>0</v>
      </c>
      <c r="R1144" s="13"/>
      <c r="S1144" s="13"/>
      <c r="T1144" s="13">
        <f t="shared" ref="T1144:Y1144" si="1192">IF(ISBLANK(K1144)=TRUE,0,1)</f>
        <v>0</v>
      </c>
      <c r="U1144" s="13">
        <f t="shared" si="1192"/>
        <v>0</v>
      </c>
      <c r="V1144" s="13">
        <f t="shared" si="1192"/>
        <v>1</v>
      </c>
      <c r="W1144" s="13">
        <f t="shared" si="1192"/>
        <v>1</v>
      </c>
      <c r="X1144" s="13">
        <f t="shared" si="1192"/>
        <v>0</v>
      </c>
      <c r="Y1144" s="13">
        <f t="shared" si="1192"/>
        <v>0</v>
      </c>
      <c r="Z1144" s="13">
        <f t="shared" si="529"/>
        <v>0</v>
      </c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</row>
    <row r="1145" ht="14.25" hidden="1" customHeight="1">
      <c r="A1145" s="13" t="s">
        <v>29</v>
      </c>
      <c r="B1145" s="13" t="s">
        <v>34</v>
      </c>
      <c r="C1145" s="13" t="s">
        <v>704</v>
      </c>
      <c r="D1145" s="13" t="s">
        <v>162</v>
      </c>
      <c r="E1145" s="13" t="str">
        <f t="shared" si="735"/>
        <v>LPEF,242-7-6V,DL,0</v>
      </c>
      <c r="F1145" s="13"/>
      <c r="G1145" s="13" t="s">
        <v>111</v>
      </c>
      <c r="H1145" s="13" t="s">
        <v>75</v>
      </c>
      <c r="I1145" s="13"/>
      <c r="J1145" s="13"/>
      <c r="K1145" s="15"/>
      <c r="L1145" s="15"/>
      <c r="M1145" s="16">
        <v>0.0</v>
      </c>
      <c r="N1145" s="16">
        <v>0.0</v>
      </c>
      <c r="O1145" s="17"/>
      <c r="P1145" s="17"/>
      <c r="Q1145" s="13">
        <f t="shared" si="1160"/>
        <v>0</v>
      </c>
      <c r="R1145" s="13"/>
      <c r="S1145" s="13"/>
      <c r="T1145" s="13">
        <f t="shared" ref="T1145:Y1145" si="1193">IF(ISBLANK(K1145)=TRUE,0,1)</f>
        <v>0</v>
      </c>
      <c r="U1145" s="13">
        <f t="shared" si="1193"/>
        <v>0</v>
      </c>
      <c r="V1145" s="13">
        <f t="shared" si="1193"/>
        <v>1</v>
      </c>
      <c r="W1145" s="13">
        <f t="shared" si="1193"/>
        <v>1</v>
      </c>
      <c r="X1145" s="13">
        <f t="shared" si="1193"/>
        <v>0</v>
      </c>
      <c r="Y1145" s="13">
        <f t="shared" si="1193"/>
        <v>0</v>
      </c>
      <c r="Z1145" s="13">
        <f t="shared" si="529"/>
        <v>0</v>
      </c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</row>
    <row r="1146" ht="14.25" hidden="1" customHeight="1">
      <c r="A1146" s="13" t="s">
        <v>29</v>
      </c>
      <c r="B1146" s="13" t="s">
        <v>34</v>
      </c>
      <c r="C1146" s="13" t="s">
        <v>704</v>
      </c>
      <c r="D1146" s="13" t="s">
        <v>163</v>
      </c>
      <c r="E1146" s="13" t="str">
        <f t="shared" si="735"/>
        <v>LPEF,242-7-6V,DM,0</v>
      </c>
      <c r="F1146" s="13"/>
      <c r="G1146" s="13" t="s">
        <v>111</v>
      </c>
      <c r="H1146" s="13" t="s">
        <v>75</v>
      </c>
      <c r="I1146" s="13"/>
      <c r="J1146" s="13"/>
      <c r="K1146" s="15"/>
      <c r="L1146" s="15"/>
      <c r="M1146" s="16">
        <v>0.0</v>
      </c>
      <c r="N1146" s="16">
        <v>0.0</v>
      </c>
      <c r="O1146" s="17"/>
      <c r="P1146" s="17"/>
      <c r="Q1146" s="13">
        <f t="shared" si="1160"/>
        <v>0</v>
      </c>
      <c r="R1146" s="13"/>
      <c r="S1146" s="13"/>
      <c r="T1146" s="13">
        <f t="shared" ref="T1146:Y1146" si="1194">IF(ISBLANK(K1146)=TRUE,0,1)</f>
        <v>0</v>
      </c>
      <c r="U1146" s="13">
        <f t="shared" si="1194"/>
        <v>0</v>
      </c>
      <c r="V1146" s="13">
        <f t="shared" si="1194"/>
        <v>1</v>
      </c>
      <c r="W1146" s="13">
        <f t="shared" si="1194"/>
        <v>1</v>
      </c>
      <c r="X1146" s="13">
        <f t="shared" si="1194"/>
        <v>0</v>
      </c>
      <c r="Y1146" s="13">
        <f t="shared" si="1194"/>
        <v>0</v>
      </c>
      <c r="Z1146" s="13">
        <f t="shared" si="529"/>
        <v>0</v>
      </c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</row>
    <row r="1147" ht="14.25" hidden="1" customHeight="1">
      <c r="A1147" s="13" t="s">
        <v>29</v>
      </c>
      <c r="B1147" s="13" t="s">
        <v>34</v>
      </c>
      <c r="C1147" s="13" t="s">
        <v>704</v>
      </c>
      <c r="D1147" s="13" t="s">
        <v>164</v>
      </c>
      <c r="E1147" s="13" t="str">
        <f t="shared" si="735"/>
        <v>LPEF,242-7-6V,DN,0</v>
      </c>
      <c r="F1147" s="13"/>
      <c r="G1147" s="13" t="s">
        <v>111</v>
      </c>
      <c r="H1147" s="13" t="s">
        <v>75</v>
      </c>
      <c r="I1147" s="13"/>
      <c r="J1147" s="13"/>
      <c r="K1147" s="15"/>
      <c r="L1147" s="15"/>
      <c r="M1147" s="16">
        <v>0.0</v>
      </c>
      <c r="N1147" s="16">
        <v>0.0</v>
      </c>
      <c r="O1147" s="17"/>
      <c r="P1147" s="17"/>
      <c r="Q1147" s="13">
        <f t="shared" si="1160"/>
        <v>0</v>
      </c>
      <c r="R1147" s="13"/>
      <c r="S1147" s="13"/>
      <c r="T1147" s="13">
        <f t="shared" ref="T1147:Y1147" si="1195">IF(ISBLANK(K1147)=TRUE,0,1)</f>
        <v>0</v>
      </c>
      <c r="U1147" s="13">
        <f t="shared" si="1195"/>
        <v>0</v>
      </c>
      <c r="V1147" s="13">
        <f t="shared" si="1195"/>
        <v>1</v>
      </c>
      <c r="W1147" s="13">
        <f t="shared" si="1195"/>
        <v>1</v>
      </c>
      <c r="X1147" s="13">
        <f t="shared" si="1195"/>
        <v>0</v>
      </c>
      <c r="Y1147" s="13">
        <f t="shared" si="1195"/>
        <v>0</v>
      </c>
      <c r="Z1147" s="13">
        <f t="shared" si="529"/>
        <v>0</v>
      </c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</row>
    <row r="1148" ht="14.25" hidden="1" customHeight="1">
      <c r="A1148" s="13" t="s">
        <v>29</v>
      </c>
      <c r="B1148" s="13" t="s">
        <v>34</v>
      </c>
      <c r="C1148" s="13" t="s">
        <v>704</v>
      </c>
      <c r="D1148" s="13" t="s">
        <v>165</v>
      </c>
      <c r="E1148" s="13" t="str">
        <f t="shared" si="735"/>
        <v>LPEF,242-7-6V,DO,0</v>
      </c>
      <c r="F1148" s="13"/>
      <c r="G1148" s="13" t="s">
        <v>111</v>
      </c>
      <c r="H1148" s="13" t="s">
        <v>75</v>
      </c>
      <c r="I1148" s="13"/>
      <c r="J1148" s="13"/>
      <c r="K1148" s="15"/>
      <c r="L1148" s="15"/>
      <c r="M1148" s="16">
        <v>0.0</v>
      </c>
      <c r="N1148" s="16">
        <v>0.0</v>
      </c>
      <c r="O1148" s="17"/>
      <c r="P1148" s="17"/>
      <c r="Q1148" s="13">
        <f t="shared" si="1160"/>
        <v>0</v>
      </c>
      <c r="R1148" s="13"/>
      <c r="S1148" s="13"/>
      <c r="T1148" s="13">
        <f t="shared" ref="T1148:Y1148" si="1196">IF(ISBLANK(K1148)=TRUE,0,1)</f>
        <v>0</v>
      </c>
      <c r="U1148" s="13">
        <f t="shared" si="1196"/>
        <v>0</v>
      </c>
      <c r="V1148" s="13">
        <f t="shared" si="1196"/>
        <v>1</v>
      </c>
      <c r="W1148" s="13">
        <f t="shared" si="1196"/>
        <v>1</v>
      </c>
      <c r="X1148" s="13">
        <f t="shared" si="1196"/>
        <v>0</v>
      </c>
      <c r="Y1148" s="13">
        <f t="shared" si="1196"/>
        <v>0</v>
      </c>
      <c r="Z1148" s="13">
        <f t="shared" si="529"/>
        <v>0</v>
      </c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</row>
    <row r="1149" ht="14.25" hidden="1" customHeight="1">
      <c r="A1149" s="13" t="s">
        <v>29</v>
      </c>
      <c r="B1149" s="13" t="s">
        <v>34</v>
      </c>
      <c r="C1149" s="13" t="s">
        <v>704</v>
      </c>
      <c r="D1149" s="13" t="s">
        <v>166</v>
      </c>
      <c r="E1149" s="13" t="str">
        <f t="shared" si="735"/>
        <v>LPEF,242-7-6V,DP,0</v>
      </c>
      <c r="F1149" s="13"/>
      <c r="G1149" s="13" t="s">
        <v>111</v>
      </c>
      <c r="H1149" s="13" t="s">
        <v>75</v>
      </c>
      <c r="I1149" s="13"/>
      <c r="J1149" s="13"/>
      <c r="K1149" s="15"/>
      <c r="L1149" s="15"/>
      <c r="M1149" s="16">
        <v>0.0</v>
      </c>
      <c r="N1149" s="16">
        <v>0.0</v>
      </c>
      <c r="O1149" s="17"/>
      <c r="P1149" s="17"/>
      <c r="Q1149" s="13">
        <f t="shared" si="1160"/>
        <v>0</v>
      </c>
      <c r="R1149" s="13"/>
      <c r="S1149" s="13"/>
      <c r="T1149" s="13">
        <f t="shared" ref="T1149:Y1149" si="1197">IF(ISBLANK(K1149)=TRUE,0,1)</f>
        <v>0</v>
      </c>
      <c r="U1149" s="13">
        <f t="shared" si="1197"/>
        <v>0</v>
      </c>
      <c r="V1149" s="13">
        <f t="shared" si="1197"/>
        <v>1</v>
      </c>
      <c r="W1149" s="13">
        <f t="shared" si="1197"/>
        <v>1</v>
      </c>
      <c r="X1149" s="13">
        <f t="shared" si="1197"/>
        <v>0</v>
      </c>
      <c r="Y1149" s="13">
        <f t="shared" si="1197"/>
        <v>0</v>
      </c>
      <c r="Z1149" s="13">
        <f t="shared" si="529"/>
        <v>0</v>
      </c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</row>
    <row r="1150" ht="14.25" hidden="1" customHeight="1">
      <c r="A1150" s="13" t="s">
        <v>29</v>
      </c>
      <c r="B1150" s="13" t="s">
        <v>34</v>
      </c>
      <c r="C1150" s="13" t="s">
        <v>704</v>
      </c>
      <c r="D1150" s="13" t="s">
        <v>705</v>
      </c>
      <c r="E1150" s="13" t="str">
        <f t="shared" si="735"/>
        <v>LPEF,242-7-6V,DQ,0</v>
      </c>
      <c r="F1150" s="13"/>
      <c r="G1150" s="13" t="s">
        <v>111</v>
      </c>
      <c r="H1150" s="13" t="s">
        <v>75</v>
      </c>
      <c r="I1150" s="13"/>
      <c r="J1150" s="13"/>
      <c r="K1150" s="15"/>
      <c r="L1150" s="15"/>
      <c r="M1150" s="16">
        <v>0.0</v>
      </c>
      <c r="N1150" s="16">
        <v>0.0</v>
      </c>
      <c r="O1150" s="17"/>
      <c r="P1150" s="17"/>
      <c r="Q1150" s="13">
        <f t="shared" si="1160"/>
        <v>0</v>
      </c>
      <c r="R1150" s="13"/>
      <c r="S1150" s="13"/>
      <c r="T1150" s="13">
        <f t="shared" ref="T1150:Y1150" si="1198">IF(ISBLANK(K1150)=TRUE,0,1)</f>
        <v>0</v>
      </c>
      <c r="U1150" s="13">
        <f t="shared" si="1198"/>
        <v>0</v>
      </c>
      <c r="V1150" s="13">
        <f t="shared" si="1198"/>
        <v>1</v>
      </c>
      <c r="W1150" s="13">
        <f t="shared" si="1198"/>
        <v>1</v>
      </c>
      <c r="X1150" s="13">
        <f t="shared" si="1198"/>
        <v>0</v>
      </c>
      <c r="Y1150" s="13">
        <f t="shared" si="1198"/>
        <v>0</v>
      </c>
      <c r="Z1150" s="13">
        <f t="shared" si="529"/>
        <v>0</v>
      </c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</row>
    <row r="1151" ht="14.25" hidden="1" customHeight="1">
      <c r="A1151" s="13" t="s">
        <v>29</v>
      </c>
      <c r="B1151" s="13" t="s">
        <v>34</v>
      </c>
      <c r="C1151" s="13" t="s">
        <v>704</v>
      </c>
      <c r="D1151" s="13" t="s">
        <v>706</v>
      </c>
      <c r="E1151" s="13" t="str">
        <f t="shared" si="735"/>
        <v>LPEF,242-7-6V,DR,0</v>
      </c>
      <c r="F1151" s="13"/>
      <c r="G1151" s="13" t="s">
        <v>111</v>
      </c>
      <c r="H1151" s="13" t="s">
        <v>75</v>
      </c>
      <c r="I1151" s="13"/>
      <c r="J1151" s="13"/>
      <c r="K1151" s="15"/>
      <c r="L1151" s="15"/>
      <c r="M1151" s="16">
        <v>0.0</v>
      </c>
      <c r="N1151" s="16">
        <v>0.0</v>
      </c>
      <c r="O1151" s="17"/>
      <c r="P1151" s="17"/>
      <c r="Q1151" s="13">
        <f t="shared" si="1160"/>
        <v>0</v>
      </c>
      <c r="R1151" s="13"/>
      <c r="S1151" s="13"/>
      <c r="T1151" s="13">
        <f t="shared" ref="T1151:Y1151" si="1199">IF(ISBLANK(K1151)=TRUE,0,1)</f>
        <v>0</v>
      </c>
      <c r="U1151" s="13">
        <f t="shared" si="1199"/>
        <v>0</v>
      </c>
      <c r="V1151" s="13">
        <f t="shared" si="1199"/>
        <v>1</v>
      </c>
      <c r="W1151" s="13">
        <f t="shared" si="1199"/>
        <v>1</v>
      </c>
      <c r="X1151" s="13">
        <f t="shared" si="1199"/>
        <v>0</v>
      </c>
      <c r="Y1151" s="13">
        <f t="shared" si="1199"/>
        <v>0</v>
      </c>
      <c r="Z1151" s="13">
        <f t="shared" si="529"/>
        <v>0</v>
      </c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</row>
    <row r="1152" ht="14.25" hidden="1" customHeight="1">
      <c r="A1152" s="13" t="s">
        <v>29</v>
      </c>
      <c r="B1152" s="13" t="s">
        <v>34</v>
      </c>
      <c r="C1152" s="13" t="s">
        <v>704</v>
      </c>
      <c r="D1152" s="13" t="s">
        <v>707</v>
      </c>
      <c r="E1152" s="13" t="str">
        <f t="shared" si="735"/>
        <v>LPEF,242-7-6V,DS,0</v>
      </c>
      <c r="F1152" s="13"/>
      <c r="G1152" s="13" t="s">
        <v>111</v>
      </c>
      <c r="H1152" s="13" t="s">
        <v>75</v>
      </c>
      <c r="I1152" s="13"/>
      <c r="J1152" s="13"/>
      <c r="K1152" s="15"/>
      <c r="L1152" s="15"/>
      <c r="M1152" s="16">
        <v>0.0</v>
      </c>
      <c r="N1152" s="16">
        <v>0.0</v>
      </c>
      <c r="O1152" s="17"/>
      <c r="P1152" s="17"/>
      <c r="Q1152" s="13">
        <f t="shared" si="1160"/>
        <v>0</v>
      </c>
      <c r="R1152" s="13"/>
      <c r="S1152" s="13"/>
      <c r="T1152" s="13">
        <f t="shared" ref="T1152:Y1152" si="1200">IF(ISBLANK(K1152)=TRUE,0,1)</f>
        <v>0</v>
      </c>
      <c r="U1152" s="13">
        <f t="shared" si="1200"/>
        <v>0</v>
      </c>
      <c r="V1152" s="13">
        <f t="shared" si="1200"/>
        <v>1</v>
      </c>
      <c r="W1152" s="13">
        <f t="shared" si="1200"/>
        <v>1</v>
      </c>
      <c r="X1152" s="13">
        <f t="shared" si="1200"/>
        <v>0</v>
      </c>
      <c r="Y1152" s="13">
        <f t="shared" si="1200"/>
        <v>0</v>
      </c>
      <c r="Z1152" s="13">
        <f t="shared" si="529"/>
        <v>0</v>
      </c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</row>
    <row r="1153" ht="14.25" hidden="1" customHeight="1">
      <c r="A1153" s="13" t="s">
        <v>29</v>
      </c>
      <c r="B1153" s="13" t="s">
        <v>34</v>
      </c>
      <c r="C1153" s="13" t="s">
        <v>704</v>
      </c>
      <c r="D1153" s="13" t="s">
        <v>708</v>
      </c>
      <c r="E1153" s="13" t="str">
        <f t="shared" si="735"/>
        <v>LPEF,242-7-6V,DT,0</v>
      </c>
      <c r="F1153" s="13"/>
      <c r="G1153" s="13" t="s">
        <v>111</v>
      </c>
      <c r="H1153" s="13" t="s">
        <v>75</v>
      </c>
      <c r="I1153" s="13"/>
      <c r="J1153" s="13"/>
      <c r="K1153" s="15"/>
      <c r="L1153" s="15"/>
      <c r="M1153" s="16">
        <v>0.0</v>
      </c>
      <c r="N1153" s="16">
        <v>0.0</v>
      </c>
      <c r="O1153" s="17"/>
      <c r="P1153" s="17"/>
      <c r="Q1153" s="13">
        <f t="shared" si="1160"/>
        <v>0</v>
      </c>
      <c r="R1153" s="13"/>
      <c r="S1153" s="13"/>
      <c r="T1153" s="13">
        <f t="shared" ref="T1153:Y1153" si="1201">IF(ISBLANK(K1153)=TRUE,0,1)</f>
        <v>0</v>
      </c>
      <c r="U1153" s="13">
        <f t="shared" si="1201"/>
        <v>0</v>
      </c>
      <c r="V1153" s="13">
        <f t="shared" si="1201"/>
        <v>1</v>
      </c>
      <c r="W1153" s="13">
        <f t="shared" si="1201"/>
        <v>1</v>
      </c>
      <c r="X1153" s="13">
        <f t="shared" si="1201"/>
        <v>0</v>
      </c>
      <c r="Y1153" s="13">
        <f t="shared" si="1201"/>
        <v>0</v>
      </c>
      <c r="Z1153" s="13">
        <f t="shared" si="529"/>
        <v>0</v>
      </c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</row>
    <row r="1154" ht="14.25" hidden="1" customHeight="1">
      <c r="A1154" s="13" t="s">
        <v>29</v>
      </c>
      <c r="B1154" s="13" t="s">
        <v>34</v>
      </c>
      <c r="C1154" s="13" t="s">
        <v>704</v>
      </c>
      <c r="D1154" s="13" t="s">
        <v>709</v>
      </c>
      <c r="E1154" s="13" t="str">
        <f t="shared" si="735"/>
        <v>LPEF,242-7-6V,DU,0</v>
      </c>
      <c r="F1154" s="13"/>
      <c r="G1154" s="13" t="s">
        <v>111</v>
      </c>
      <c r="H1154" s="13" t="s">
        <v>75</v>
      </c>
      <c r="I1154" s="13"/>
      <c r="J1154" s="13"/>
      <c r="K1154" s="15"/>
      <c r="L1154" s="15"/>
      <c r="M1154" s="16">
        <v>0.0</v>
      </c>
      <c r="N1154" s="16">
        <v>0.0</v>
      </c>
      <c r="O1154" s="17"/>
      <c r="P1154" s="17"/>
      <c r="Q1154" s="13">
        <f t="shared" si="1160"/>
        <v>0</v>
      </c>
      <c r="R1154" s="13"/>
      <c r="S1154" s="13"/>
      <c r="T1154" s="13">
        <f t="shared" ref="T1154:Y1154" si="1202">IF(ISBLANK(K1154)=TRUE,0,1)</f>
        <v>0</v>
      </c>
      <c r="U1154" s="13">
        <f t="shared" si="1202"/>
        <v>0</v>
      </c>
      <c r="V1154" s="13">
        <f t="shared" si="1202"/>
        <v>1</v>
      </c>
      <c r="W1154" s="13">
        <f t="shared" si="1202"/>
        <v>1</v>
      </c>
      <c r="X1154" s="13">
        <f t="shared" si="1202"/>
        <v>0</v>
      </c>
      <c r="Y1154" s="13">
        <f t="shared" si="1202"/>
        <v>0</v>
      </c>
      <c r="Z1154" s="13">
        <f t="shared" si="529"/>
        <v>0</v>
      </c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</row>
    <row r="1155" ht="14.25" hidden="1" customHeight="1">
      <c r="A1155" s="13" t="s">
        <v>29</v>
      </c>
      <c r="B1155" s="13" t="s">
        <v>34</v>
      </c>
      <c r="C1155" s="13" t="s">
        <v>704</v>
      </c>
      <c r="D1155" s="13" t="s">
        <v>710</v>
      </c>
      <c r="E1155" s="13" t="str">
        <f t="shared" si="735"/>
        <v>LPEF,242-7-6V,DV,0</v>
      </c>
      <c r="F1155" s="13"/>
      <c r="G1155" s="13" t="s">
        <v>111</v>
      </c>
      <c r="H1155" s="13" t="s">
        <v>75</v>
      </c>
      <c r="I1155" s="13"/>
      <c r="J1155" s="13"/>
      <c r="K1155" s="15"/>
      <c r="L1155" s="15"/>
      <c r="M1155" s="16">
        <v>0.0</v>
      </c>
      <c r="N1155" s="16">
        <v>0.0</v>
      </c>
      <c r="O1155" s="17"/>
      <c r="P1155" s="17"/>
      <c r="Q1155" s="13">
        <f t="shared" si="1160"/>
        <v>0</v>
      </c>
      <c r="R1155" s="13"/>
      <c r="S1155" s="13"/>
      <c r="T1155" s="13">
        <f t="shared" ref="T1155:Y1155" si="1203">IF(ISBLANK(K1155)=TRUE,0,1)</f>
        <v>0</v>
      </c>
      <c r="U1155" s="13">
        <f t="shared" si="1203"/>
        <v>0</v>
      </c>
      <c r="V1155" s="13">
        <f t="shared" si="1203"/>
        <v>1</v>
      </c>
      <c r="W1155" s="13">
        <f t="shared" si="1203"/>
        <v>1</v>
      </c>
      <c r="X1155" s="13">
        <f t="shared" si="1203"/>
        <v>0</v>
      </c>
      <c r="Y1155" s="13">
        <f t="shared" si="1203"/>
        <v>0</v>
      </c>
      <c r="Z1155" s="13">
        <f t="shared" si="529"/>
        <v>0</v>
      </c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</row>
    <row r="1156" ht="14.25" hidden="1" customHeight="1">
      <c r="A1156" s="13" t="s">
        <v>29</v>
      </c>
      <c r="B1156" s="13" t="s">
        <v>34</v>
      </c>
      <c r="C1156" s="13" t="s">
        <v>704</v>
      </c>
      <c r="D1156" s="13" t="s">
        <v>711</v>
      </c>
      <c r="E1156" s="13" t="str">
        <f t="shared" si="735"/>
        <v>LPEF,242-7-6V,DW,0</v>
      </c>
      <c r="F1156" s="13"/>
      <c r="G1156" s="13" t="s">
        <v>111</v>
      </c>
      <c r="H1156" s="13" t="s">
        <v>75</v>
      </c>
      <c r="I1156" s="13"/>
      <c r="J1156" s="13"/>
      <c r="K1156" s="15"/>
      <c r="L1156" s="15"/>
      <c r="M1156" s="16">
        <v>0.0</v>
      </c>
      <c r="N1156" s="16">
        <v>0.0</v>
      </c>
      <c r="O1156" s="17"/>
      <c r="P1156" s="17"/>
      <c r="Q1156" s="13">
        <f t="shared" si="1160"/>
        <v>0</v>
      </c>
      <c r="R1156" s="13"/>
      <c r="S1156" s="13"/>
      <c r="T1156" s="13">
        <f t="shared" ref="T1156:Y1156" si="1204">IF(ISBLANK(K1156)=TRUE,0,1)</f>
        <v>0</v>
      </c>
      <c r="U1156" s="13">
        <f t="shared" si="1204"/>
        <v>0</v>
      </c>
      <c r="V1156" s="13">
        <f t="shared" si="1204"/>
        <v>1</v>
      </c>
      <c r="W1156" s="13">
        <f t="shared" si="1204"/>
        <v>1</v>
      </c>
      <c r="X1156" s="13">
        <f t="shared" si="1204"/>
        <v>0</v>
      </c>
      <c r="Y1156" s="13">
        <f t="shared" si="1204"/>
        <v>0</v>
      </c>
      <c r="Z1156" s="13">
        <f t="shared" si="529"/>
        <v>0</v>
      </c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</row>
    <row r="1157" ht="14.25" hidden="1" customHeight="1">
      <c r="A1157" s="13" t="s">
        <v>29</v>
      </c>
      <c r="B1157" s="13" t="s">
        <v>34</v>
      </c>
      <c r="C1157" s="13" t="s">
        <v>712</v>
      </c>
      <c r="D1157" s="13"/>
      <c r="E1157" s="13" t="str">
        <f t="shared" si="735"/>
        <v>LPEF,24-4-1,,NA</v>
      </c>
      <c r="F1157" s="13"/>
      <c r="G1157" s="13" t="s">
        <v>74</v>
      </c>
      <c r="H1157" s="13" t="s">
        <v>107</v>
      </c>
      <c r="I1157" s="14">
        <v>44915.0</v>
      </c>
      <c r="J1157" s="14"/>
      <c r="K1157" s="15"/>
      <c r="L1157" s="15"/>
      <c r="M1157" s="16"/>
      <c r="N1157" s="16"/>
      <c r="O1157" s="17"/>
      <c r="P1157" s="17"/>
      <c r="Q1157" s="13">
        <f>K1129+L1129+M1129+N1129+O1129+P1129/6</f>
        <v>0</v>
      </c>
      <c r="R1157" s="13"/>
      <c r="S1157" s="13"/>
      <c r="T1157" s="13">
        <f t="shared" ref="T1157:Y1157" si="1205">IF(ISBLANK(K1157)=TRUE,0,1)</f>
        <v>0</v>
      </c>
      <c r="U1157" s="13">
        <f t="shared" si="1205"/>
        <v>0</v>
      </c>
      <c r="V1157" s="13">
        <f t="shared" si="1205"/>
        <v>0</v>
      </c>
      <c r="W1157" s="13">
        <f t="shared" si="1205"/>
        <v>0</v>
      </c>
      <c r="X1157" s="13">
        <f t="shared" si="1205"/>
        <v>0</v>
      </c>
      <c r="Y1157" s="13">
        <f t="shared" si="1205"/>
        <v>0</v>
      </c>
      <c r="Z1157" s="13" t="str">
        <f t="shared" si="529"/>
        <v>NA</v>
      </c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</row>
    <row r="1158" ht="14.25" hidden="1" customHeight="1">
      <c r="A1158" s="13" t="s">
        <v>29</v>
      </c>
      <c r="B1158" s="13" t="s">
        <v>34</v>
      </c>
      <c r="C1158" s="13" t="s">
        <v>713</v>
      </c>
      <c r="D1158" s="13"/>
      <c r="E1158" s="13" t="str">
        <f t="shared" si="735"/>
        <v>LPEF,24-4-2,,NA</v>
      </c>
      <c r="F1158" s="13"/>
      <c r="G1158" s="13" t="s">
        <v>74</v>
      </c>
      <c r="H1158" s="13" t="s">
        <v>107</v>
      </c>
      <c r="I1158" s="14">
        <v>44915.0</v>
      </c>
      <c r="J1158" s="14"/>
      <c r="K1158" s="15"/>
      <c r="L1158" s="15"/>
      <c r="M1158" s="16"/>
      <c r="N1158" s="16"/>
      <c r="O1158" s="17"/>
      <c r="P1158" s="17"/>
      <c r="Q1158" s="13">
        <f t="shared" ref="Q1158:Q1164" si="1207">K1157+L1157+M1157+N1157+O1157+P1157/6</f>
        <v>0</v>
      </c>
      <c r="R1158" s="13"/>
      <c r="S1158" s="13"/>
      <c r="T1158" s="13">
        <f t="shared" ref="T1158:Y1158" si="1206">IF(ISBLANK(K1158)=TRUE,0,1)</f>
        <v>0</v>
      </c>
      <c r="U1158" s="13">
        <f t="shared" si="1206"/>
        <v>0</v>
      </c>
      <c r="V1158" s="13">
        <f t="shared" si="1206"/>
        <v>0</v>
      </c>
      <c r="W1158" s="13">
        <f t="shared" si="1206"/>
        <v>0</v>
      </c>
      <c r="X1158" s="13">
        <f t="shared" si="1206"/>
        <v>0</v>
      </c>
      <c r="Y1158" s="13">
        <f t="shared" si="1206"/>
        <v>0</v>
      </c>
      <c r="Z1158" s="13" t="str">
        <f t="shared" si="529"/>
        <v>NA</v>
      </c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</row>
    <row r="1159" ht="14.25" hidden="1" customHeight="1">
      <c r="A1159" s="13" t="s">
        <v>29</v>
      </c>
      <c r="B1159" s="13" t="s">
        <v>34</v>
      </c>
      <c r="C1159" s="13" t="s">
        <v>714</v>
      </c>
      <c r="D1159" s="13"/>
      <c r="E1159" s="13" t="str">
        <f t="shared" si="735"/>
        <v>LPEF,24-4-3,,NA</v>
      </c>
      <c r="F1159" s="13"/>
      <c r="G1159" s="13" t="s">
        <v>74</v>
      </c>
      <c r="H1159" s="13" t="s">
        <v>107</v>
      </c>
      <c r="I1159" s="14">
        <v>44915.0</v>
      </c>
      <c r="J1159" s="14"/>
      <c r="K1159" s="15"/>
      <c r="L1159" s="15"/>
      <c r="M1159" s="16"/>
      <c r="N1159" s="16"/>
      <c r="O1159" s="17"/>
      <c r="P1159" s="17"/>
      <c r="Q1159" s="13">
        <f t="shared" si="1207"/>
        <v>0</v>
      </c>
      <c r="R1159" s="13"/>
      <c r="S1159" s="13"/>
      <c r="T1159" s="13">
        <f t="shared" ref="T1159:Y1159" si="1208">IF(ISBLANK(K1159)=TRUE,0,1)</f>
        <v>0</v>
      </c>
      <c r="U1159" s="13">
        <f t="shared" si="1208"/>
        <v>0</v>
      </c>
      <c r="V1159" s="13">
        <f t="shared" si="1208"/>
        <v>0</v>
      </c>
      <c r="W1159" s="13">
        <f t="shared" si="1208"/>
        <v>0</v>
      </c>
      <c r="X1159" s="13">
        <f t="shared" si="1208"/>
        <v>0</v>
      </c>
      <c r="Y1159" s="13">
        <f t="shared" si="1208"/>
        <v>0</v>
      </c>
      <c r="Z1159" s="13" t="str">
        <f t="shared" si="529"/>
        <v>NA</v>
      </c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</row>
    <row r="1160" ht="14.25" hidden="1" customHeight="1">
      <c r="A1160" s="13" t="s">
        <v>29</v>
      </c>
      <c r="B1160" s="13" t="s">
        <v>34</v>
      </c>
      <c r="C1160" s="13" t="s">
        <v>715</v>
      </c>
      <c r="D1160" s="13"/>
      <c r="E1160" s="13" t="str">
        <f t="shared" si="735"/>
        <v>LPEF,24-4-4,,NA</v>
      </c>
      <c r="F1160" s="13"/>
      <c r="G1160" s="13" t="s">
        <v>74</v>
      </c>
      <c r="H1160" s="13" t="s">
        <v>107</v>
      </c>
      <c r="I1160" s="14">
        <v>44915.0</v>
      </c>
      <c r="J1160" s="14"/>
      <c r="K1160" s="15"/>
      <c r="L1160" s="15"/>
      <c r="M1160" s="16"/>
      <c r="N1160" s="16"/>
      <c r="O1160" s="17"/>
      <c r="P1160" s="17"/>
      <c r="Q1160" s="13">
        <f t="shared" si="1207"/>
        <v>0</v>
      </c>
      <c r="R1160" s="13"/>
      <c r="S1160" s="13"/>
      <c r="T1160" s="13">
        <f t="shared" ref="T1160:Y1160" si="1209">IF(ISBLANK(K1160)=TRUE,0,1)</f>
        <v>0</v>
      </c>
      <c r="U1160" s="13">
        <f t="shared" si="1209"/>
        <v>0</v>
      </c>
      <c r="V1160" s="13">
        <f t="shared" si="1209"/>
        <v>0</v>
      </c>
      <c r="W1160" s="13">
        <f t="shared" si="1209"/>
        <v>0</v>
      </c>
      <c r="X1160" s="13">
        <f t="shared" si="1209"/>
        <v>0</v>
      </c>
      <c r="Y1160" s="13">
        <f t="shared" si="1209"/>
        <v>0</v>
      </c>
      <c r="Z1160" s="13" t="str">
        <f t="shared" si="529"/>
        <v>NA</v>
      </c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</row>
    <row r="1161" ht="14.25" hidden="1" customHeight="1">
      <c r="A1161" s="13" t="s">
        <v>29</v>
      </c>
      <c r="B1161" s="13" t="s">
        <v>34</v>
      </c>
      <c r="C1161" s="13" t="s">
        <v>716</v>
      </c>
      <c r="D1161" s="13"/>
      <c r="E1161" s="13" t="str">
        <f t="shared" si="735"/>
        <v>LPEF,24-4-5,,NA</v>
      </c>
      <c r="F1161" s="13"/>
      <c r="G1161" s="13" t="s">
        <v>74</v>
      </c>
      <c r="H1161" s="13" t="s">
        <v>107</v>
      </c>
      <c r="I1161" s="14">
        <v>44915.0</v>
      </c>
      <c r="J1161" s="14"/>
      <c r="K1161" s="15"/>
      <c r="L1161" s="15"/>
      <c r="M1161" s="16"/>
      <c r="N1161" s="16"/>
      <c r="O1161" s="17"/>
      <c r="P1161" s="17"/>
      <c r="Q1161" s="13">
        <f t="shared" si="1207"/>
        <v>0</v>
      </c>
      <c r="R1161" s="13"/>
      <c r="S1161" s="13"/>
      <c r="T1161" s="13">
        <f t="shared" ref="T1161:Y1161" si="1210">IF(ISBLANK(K1161)=TRUE,0,1)</f>
        <v>0</v>
      </c>
      <c r="U1161" s="13">
        <f t="shared" si="1210"/>
        <v>0</v>
      </c>
      <c r="V1161" s="13">
        <f t="shared" si="1210"/>
        <v>0</v>
      </c>
      <c r="W1161" s="13">
        <f t="shared" si="1210"/>
        <v>0</v>
      </c>
      <c r="X1161" s="13">
        <f t="shared" si="1210"/>
        <v>0</v>
      </c>
      <c r="Y1161" s="13">
        <f t="shared" si="1210"/>
        <v>0</v>
      </c>
      <c r="Z1161" s="13" t="str">
        <f t="shared" si="529"/>
        <v>NA</v>
      </c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</row>
    <row r="1162" ht="14.25" hidden="1" customHeight="1">
      <c r="A1162" s="13" t="s">
        <v>29</v>
      </c>
      <c r="B1162" s="13" t="s">
        <v>34</v>
      </c>
      <c r="C1162" s="13" t="s">
        <v>717</v>
      </c>
      <c r="D1162" s="13"/>
      <c r="E1162" s="13" t="str">
        <f t="shared" si="735"/>
        <v>LPEF,31-4-1,,NA</v>
      </c>
      <c r="F1162" s="13"/>
      <c r="G1162" s="13" t="s">
        <v>74</v>
      </c>
      <c r="H1162" s="13" t="s">
        <v>107</v>
      </c>
      <c r="I1162" s="14">
        <v>44915.0</v>
      </c>
      <c r="J1162" s="14"/>
      <c r="K1162" s="15"/>
      <c r="L1162" s="15"/>
      <c r="M1162" s="16"/>
      <c r="N1162" s="16"/>
      <c r="O1162" s="17"/>
      <c r="P1162" s="17"/>
      <c r="Q1162" s="13">
        <f t="shared" si="1207"/>
        <v>0</v>
      </c>
      <c r="R1162" s="13"/>
      <c r="S1162" s="13"/>
      <c r="T1162" s="13">
        <f t="shared" ref="T1162:Y1162" si="1211">IF(ISBLANK(K1162)=TRUE,0,1)</f>
        <v>0</v>
      </c>
      <c r="U1162" s="13">
        <f t="shared" si="1211"/>
        <v>0</v>
      </c>
      <c r="V1162" s="13">
        <f t="shared" si="1211"/>
        <v>0</v>
      </c>
      <c r="W1162" s="13">
        <f t="shared" si="1211"/>
        <v>0</v>
      </c>
      <c r="X1162" s="13">
        <f t="shared" si="1211"/>
        <v>0</v>
      </c>
      <c r="Y1162" s="13">
        <f t="shared" si="1211"/>
        <v>0</v>
      </c>
      <c r="Z1162" s="13" t="str">
        <f t="shared" si="529"/>
        <v>NA</v>
      </c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</row>
    <row r="1163" ht="14.25" hidden="1" customHeight="1">
      <c r="A1163" s="13" t="s">
        <v>29</v>
      </c>
      <c r="B1163" s="13" t="s">
        <v>34</v>
      </c>
      <c r="C1163" s="13" t="s">
        <v>718</v>
      </c>
      <c r="D1163" s="13"/>
      <c r="E1163" s="13" t="str">
        <f t="shared" si="735"/>
        <v>LPEF,31-4-2,,NA</v>
      </c>
      <c r="F1163" s="13"/>
      <c r="G1163" s="13" t="s">
        <v>74</v>
      </c>
      <c r="H1163" s="13" t="s">
        <v>107</v>
      </c>
      <c r="I1163" s="14">
        <v>44915.0</v>
      </c>
      <c r="J1163" s="14"/>
      <c r="K1163" s="15"/>
      <c r="L1163" s="15"/>
      <c r="M1163" s="16"/>
      <c r="N1163" s="16"/>
      <c r="O1163" s="17"/>
      <c r="P1163" s="17"/>
      <c r="Q1163" s="13">
        <f t="shared" si="1207"/>
        <v>0</v>
      </c>
      <c r="R1163" s="13"/>
      <c r="S1163" s="13"/>
      <c r="T1163" s="13">
        <f t="shared" ref="T1163:Y1163" si="1212">IF(ISBLANK(K1163)=TRUE,0,1)</f>
        <v>0</v>
      </c>
      <c r="U1163" s="13">
        <f t="shared" si="1212"/>
        <v>0</v>
      </c>
      <c r="V1163" s="13">
        <f t="shared" si="1212"/>
        <v>0</v>
      </c>
      <c r="W1163" s="13">
        <f t="shared" si="1212"/>
        <v>0</v>
      </c>
      <c r="X1163" s="13">
        <f t="shared" si="1212"/>
        <v>0</v>
      </c>
      <c r="Y1163" s="13">
        <f t="shared" si="1212"/>
        <v>0</v>
      </c>
      <c r="Z1163" s="13" t="str">
        <f t="shared" si="529"/>
        <v>NA</v>
      </c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</row>
    <row r="1164" ht="14.25" hidden="1" customHeight="1">
      <c r="A1164" s="13" t="s">
        <v>29</v>
      </c>
      <c r="B1164" s="13" t="s">
        <v>34</v>
      </c>
      <c r="C1164" s="13" t="s">
        <v>719</v>
      </c>
      <c r="D1164" s="13"/>
      <c r="E1164" s="13" t="str">
        <f t="shared" si="735"/>
        <v>LPEF,31-4-3,,NA</v>
      </c>
      <c r="F1164" s="13"/>
      <c r="G1164" s="13" t="s">
        <v>74</v>
      </c>
      <c r="H1164" s="13" t="s">
        <v>107</v>
      </c>
      <c r="I1164" s="14">
        <v>44915.0</v>
      </c>
      <c r="J1164" s="14"/>
      <c r="K1164" s="15"/>
      <c r="L1164" s="15"/>
      <c r="M1164" s="16"/>
      <c r="N1164" s="16"/>
      <c r="O1164" s="17"/>
      <c r="P1164" s="17"/>
      <c r="Q1164" s="13">
        <f t="shared" si="1207"/>
        <v>0</v>
      </c>
      <c r="R1164" s="13"/>
      <c r="S1164" s="13"/>
      <c r="T1164" s="13">
        <f t="shared" ref="T1164:Y1164" si="1213">IF(ISBLANK(K1164)=TRUE,0,1)</f>
        <v>0</v>
      </c>
      <c r="U1164" s="13">
        <f t="shared" si="1213"/>
        <v>0</v>
      </c>
      <c r="V1164" s="13">
        <f t="shared" si="1213"/>
        <v>0</v>
      </c>
      <c r="W1164" s="13">
        <f t="shared" si="1213"/>
        <v>0</v>
      </c>
      <c r="X1164" s="13">
        <f t="shared" si="1213"/>
        <v>0</v>
      </c>
      <c r="Y1164" s="13">
        <f t="shared" si="1213"/>
        <v>0</v>
      </c>
      <c r="Z1164" s="13" t="str">
        <f t="shared" si="529"/>
        <v>NA</v>
      </c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</row>
    <row r="1165" ht="14.25" hidden="1" customHeight="1">
      <c r="A1165" s="13" t="s">
        <v>29</v>
      </c>
      <c r="B1165" s="13" t="s">
        <v>34</v>
      </c>
      <c r="C1165" s="13" t="s">
        <v>720</v>
      </c>
      <c r="D1165" s="13" t="s">
        <v>174</v>
      </c>
      <c r="E1165" s="13" t="str">
        <f t="shared" si="735"/>
        <v>LPEF,GH-35-1,AA,1</v>
      </c>
      <c r="F1165" s="13"/>
      <c r="G1165" s="13" t="s">
        <v>74</v>
      </c>
      <c r="H1165" s="13" t="s">
        <v>75</v>
      </c>
      <c r="I1165" s="13"/>
      <c r="J1165" s="13"/>
      <c r="K1165" s="15"/>
      <c r="L1165" s="15"/>
      <c r="M1165" s="16">
        <v>1.0</v>
      </c>
      <c r="N1165" s="16">
        <v>1.0</v>
      </c>
      <c r="O1165" s="17"/>
      <c r="P1165" s="17"/>
      <c r="Q1165" s="13"/>
      <c r="R1165" s="13"/>
      <c r="S1165" s="13"/>
      <c r="T1165" s="13">
        <f t="shared" ref="T1165:Y1165" si="1214">IF(ISBLANK(K1165)=TRUE,0,1)</f>
        <v>0</v>
      </c>
      <c r="U1165" s="13">
        <f t="shared" si="1214"/>
        <v>0</v>
      </c>
      <c r="V1165" s="13">
        <f t="shared" si="1214"/>
        <v>1</v>
      </c>
      <c r="W1165" s="13">
        <f t="shared" si="1214"/>
        <v>1</v>
      </c>
      <c r="X1165" s="13">
        <f t="shared" si="1214"/>
        <v>0</v>
      </c>
      <c r="Y1165" s="13">
        <f t="shared" si="1214"/>
        <v>0</v>
      </c>
      <c r="Z1165" s="13">
        <f t="shared" si="529"/>
        <v>1</v>
      </c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</row>
    <row r="1166" ht="14.25" hidden="1" customHeight="1">
      <c r="A1166" s="13" t="s">
        <v>29</v>
      </c>
      <c r="B1166" s="13" t="s">
        <v>34</v>
      </c>
      <c r="C1166" s="13" t="s">
        <v>720</v>
      </c>
      <c r="D1166" s="13" t="s">
        <v>175</v>
      </c>
      <c r="E1166" s="13" t="str">
        <f t="shared" si="735"/>
        <v>LPEF,GH-35-1,AB,1</v>
      </c>
      <c r="F1166" s="13"/>
      <c r="G1166" s="13" t="s">
        <v>74</v>
      </c>
      <c r="H1166" s="13" t="s">
        <v>75</v>
      </c>
      <c r="I1166" s="13"/>
      <c r="J1166" s="13"/>
      <c r="K1166" s="15"/>
      <c r="L1166" s="15"/>
      <c r="M1166" s="16">
        <v>1.0</v>
      </c>
      <c r="N1166" s="16">
        <v>1.0</v>
      </c>
      <c r="O1166" s="17"/>
      <c r="P1166" s="17"/>
      <c r="Q1166" s="13"/>
      <c r="R1166" s="13"/>
      <c r="S1166" s="13"/>
      <c r="T1166" s="13">
        <f t="shared" ref="T1166:Y1166" si="1215">IF(ISBLANK(K1166)=TRUE,0,1)</f>
        <v>0</v>
      </c>
      <c r="U1166" s="13">
        <f t="shared" si="1215"/>
        <v>0</v>
      </c>
      <c r="V1166" s="13">
        <f t="shared" si="1215"/>
        <v>1</v>
      </c>
      <c r="W1166" s="13">
        <f t="shared" si="1215"/>
        <v>1</v>
      </c>
      <c r="X1166" s="13">
        <f t="shared" si="1215"/>
        <v>0</v>
      </c>
      <c r="Y1166" s="13">
        <f t="shared" si="1215"/>
        <v>0</v>
      </c>
      <c r="Z1166" s="13">
        <f t="shared" si="529"/>
        <v>1</v>
      </c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</row>
    <row r="1167" ht="14.25" hidden="1" customHeight="1">
      <c r="A1167" s="13" t="s">
        <v>29</v>
      </c>
      <c r="B1167" s="13" t="s">
        <v>34</v>
      </c>
      <c r="C1167" s="13" t="s">
        <v>720</v>
      </c>
      <c r="D1167" s="13" t="s">
        <v>176</v>
      </c>
      <c r="E1167" s="13" t="str">
        <f t="shared" si="735"/>
        <v>LPEF,GH-35-1,AC,1</v>
      </c>
      <c r="F1167" s="13"/>
      <c r="G1167" s="13" t="s">
        <v>74</v>
      </c>
      <c r="H1167" s="13" t="s">
        <v>75</v>
      </c>
      <c r="I1167" s="13"/>
      <c r="J1167" s="13"/>
      <c r="K1167" s="15"/>
      <c r="L1167" s="15"/>
      <c r="M1167" s="16">
        <v>1.0</v>
      </c>
      <c r="N1167" s="16">
        <v>1.0</v>
      </c>
      <c r="O1167" s="17"/>
      <c r="P1167" s="17"/>
      <c r="Q1167" s="13"/>
      <c r="R1167" s="13"/>
      <c r="S1167" s="13"/>
      <c r="T1167" s="13">
        <f t="shared" ref="T1167:Y1167" si="1216">IF(ISBLANK(K1167)=TRUE,0,1)</f>
        <v>0</v>
      </c>
      <c r="U1167" s="13">
        <f t="shared" si="1216"/>
        <v>0</v>
      </c>
      <c r="V1167" s="13">
        <f t="shared" si="1216"/>
        <v>1</v>
      </c>
      <c r="W1167" s="13">
        <f t="shared" si="1216"/>
        <v>1</v>
      </c>
      <c r="X1167" s="13">
        <f t="shared" si="1216"/>
        <v>0</v>
      </c>
      <c r="Y1167" s="13">
        <f t="shared" si="1216"/>
        <v>0</v>
      </c>
      <c r="Z1167" s="13">
        <f t="shared" si="529"/>
        <v>1</v>
      </c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</row>
    <row r="1168" ht="14.25" hidden="1" customHeight="1">
      <c r="A1168" s="13" t="s">
        <v>29</v>
      </c>
      <c r="B1168" s="13" t="s">
        <v>34</v>
      </c>
      <c r="C1168" s="13" t="s">
        <v>720</v>
      </c>
      <c r="D1168" s="13" t="s">
        <v>177</v>
      </c>
      <c r="E1168" s="13" t="str">
        <f t="shared" si="735"/>
        <v>LPEF,GH-35-1,AD,1</v>
      </c>
      <c r="F1168" s="13"/>
      <c r="G1168" s="13" t="s">
        <v>74</v>
      </c>
      <c r="H1168" s="13" t="s">
        <v>75</v>
      </c>
      <c r="I1168" s="13"/>
      <c r="J1168" s="13"/>
      <c r="K1168" s="15"/>
      <c r="L1168" s="15"/>
      <c r="M1168" s="16">
        <v>1.0</v>
      </c>
      <c r="N1168" s="16">
        <v>1.0</v>
      </c>
      <c r="O1168" s="17"/>
      <c r="P1168" s="17"/>
      <c r="Q1168" s="13"/>
      <c r="R1168" s="13"/>
      <c r="S1168" s="13"/>
      <c r="T1168" s="13">
        <f t="shared" ref="T1168:Y1168" si="1217">IF(ISBLANK(K1168)=TRUE,0,1)</f>
        <v>0</v>
      </c>
      <c r="U1168" s="13">
        <f t="shared" si="1217"/>
        <v>0</v>
      </c>
      <c r="V1168" s="13">
        <f t="shared" si="1217"/>
        <v>1</v>
      </c>
      <c r="W1168" s="13">
        <f t="shared" si="1217"/>
        <v>1</v>
      </c>
      <c r="X1168" s="13">
        <f t="shared" si="1217"/>
        <v>0</v>
      </c>
      <c r="Y1168" s="13">
        <f t="shared" si="1217"/>
        <v>0</v>
      </c>
      <c r="Z1168" s="13">
        <f t="shared" si="529"/>
        <v>1</v>
      </c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</row>
    <row r="1169" ht="14.25" hidden="1" customHeight="1">
      <c r="A1169" s="13" t="s">
        <v>29</v>
      </c>
      <c r="B1169" s="13" t="s">
        <v>34</v>
      </c>
      <c r="C1169" s="13" t="s">
        <v>720</v>
      </c>
      <c r="D1169" s="13" t="s">
        <v>178</v>
      </c>
      <c r="E1169" s="13" t="str">
        <f t="shared" si="735"/>
        <v>LPEF,GH-35-1,AE,1</v>
      </c>
      <c r="F1169" s="13"/>
      <c r="G1169" s="13" t="s">
        <v>74</v>
      </c>
      <c r="H1169" s="13" t="s">
        <v>75</v>
      </c>
      <c r="I1169" s="13"/>
      <c r="J1169" s="13"/>
      <c r="K1169" s="15"/>
      <c r="L1169" s="15"/>
      <c r="M1169" s="16">
        <v>1.0</v>
      </c>
      <c r="N1169" s="16">
        <v>1.0</v>
      </c>
      <c r="O1169" s="17"/>
      <c r="P1169" s="17"/>
      <c r="Q1169" s="13"/>
      <c r="R1169" s="13"/>
      <c r="S1169" s="13"/>
      <c r="T1169" s="13">
        <f t="shared" ref="T1169:Y1169" si="1218">IF(ISBLANK(K1169)=TRUE,0,1)</f>
        <v>0</v>
      </c>
      <c r="U1169" s="13">
        <f t="shared" si="1218"/>
        <v>0</v>
      </c>
      <c r="V1169" s="13">
        <f t="shared" si="1218"/>
        <v>1</v>
      </c>
      <c r="W1169" s="13">
        <f t="shared" si="1218"/>
        <v>1</v>
      </c>
      <c r="X1169" s="13">
        <f t="shared" si="1218"/>
        <v>0</v>
      </c>
      <c r="Y1169" s="13">
        <f t="shared" si="1218"/>
        <v>0</v>
      </c>
      <c r="Z1169" s="13">
        <f t="shared" si="529"/>
        <v>1</v>
      </c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</row>
    <row r="1170" ht="14.25" hidden="1" customHeight="1">
      <c r="A1170" s="13" t="s">
        <v>29</v>
      </c>
      <c r="B1170" s="13" t="s">
        <v>34</v>
      </c>
      <c r="C1170" s="13" t="s">
        <v>720</v>
      </c>
      <c r="D1170" s="13" t="s">
        <v>179</v>
      </c>
      <c r="E1170" s="13" t="str">
        <f t="shared" si="735"/>
        <v>LPEF,GH-35-1,AF,1</v>
      </c>
      <c r="F1170" s="13"/>
      <c r="G1170" s="13" t="s">
        <v>74</v>
      </c>
      <c r="H1170" s="13" t="s">
        <v>75</v>
      </c>
      <c r="I1170" s="13"/>
      <c r="J1170" s="13"/>
      <c r="K1170" s="15"/>
      <c r="L1170" s="15"/>
      <c r="M1170" s="16">
        <v>1.0</v>
      </c>
      <c r="N1170" s="16">
        <v>1.0</v>
      </c>
      <c r="O1170" s="17"/>
      <c r="P1170" s="17"/>
      <c r="Q1170" s="13"/>
      <c r="R1170" s="13"/>
      <c r="S1170" s="13"/>
      <c r="T1170" s="13">
        <f t="shared" ref="T1170:Y1170" si="1219">IF(ISBLANK(K1170)=TRUE,0,1)</f>
        <v>0</v>
      </c>
      <c r="U1170" s="13">
        <f t="shared" si="1219"/>
        <v>0</v>
      </c>
      <c r="V1170" s="13">
        <f t="shared" si="1219"/>
        <v>1</v>
      </c>
      <c r="W1170" s="13">
        <f t="shared" si="1219"/>
        <v>1</v>
      </c>
      <c r="X1170" s="13">
        <f t="shared" si="1219"/>
        <v>0</v>
      </c>
      <c r="Y1170" s="13">
        <f t="shared" si="1219"/>
        <v>0</v>
      </c>
      <c r="Z1170" s="13">
        <f t="shared" si="529"/>
        <v>1</v>
      </c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</row>
    <row r="1171" ht="14.25" hidden="1" customHeight="1">
      <c r="A1171" s="13" t="s">
        <v>29</v>
      </c>
      <c r="B1171" s="13" t="s">
        <v>34</v>
      </c>
      <c r="C1171" s="13" t="s">
        <v>720</v>
      </c>
      <c r="D1171" s="13" t="s">
        <v>180</v>
      </c>
      <c r="E1171" s="13" t="str">
        <f t="shared" si="735"/>
        <v>LPEF,GH-35-1,AG,1</v>
      </c>
      <c r="F1171" s="13"/>
      <c r="G1171" s="13" t="s">
        <v>74</v>
      </c>
      <c r="H1171" s="13" t="s">
        <v>75</v>
      </c>
      <c r="I1171" s="13"/>
      <c r="J1171" s="13"/>
      <c r="K1171" s="15"/>
      <c r="L1171" s="15"/>
      <c r="M1171" s="16">
        <v>1.0</v>
      </c>
      <c r="N1171" s="16">
        <v>1.0</v>
      </c>
      <c r="O1171" s="17"/>
      <c r="P1171" s="17"/>
      <c r="Q1171" s="13"/>
      <c r="R1171" s="13"/>
      <c r="S1171" s="13"/>
      <c r="T1171" s="13">
        <f t="shared" ref="T1171:Y1171" si="1220">IF(ISBLANK(K1171)=TRUE,0,1)</f>
        <v>0</v>
      </c>
      <c r="U1171" s="13">
        <f t="shared" si="1220"/>
        <v>0</v>
      </c>
      <c r="V1171" s="13">
        <f t="shared" si="1220"/>
        <v>1</v>
      </c>
      <c r="W1171" s="13">
        <f t="shared" si="1220"/>
        <v>1</v>
      </c>
      <c r="X1171" s="13">
        <f t="shared" si="1220"/>
        <v>0</v>
      </c>
      <c r="Y1171" s="13">
        <f t="shared" si="1220"/>
        <v>0</v>
      </c>
      <c r="Z1171" s="13">
        <f t="shared" si="529"/>
        <v>1</v>
      </c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</row>
    <row r="1172" ht="14.25" hidden="1" customHeight="1">
      <c r="A1172" s="13" t="s">
        <v>29</v>
      </c>
      <c r="B1172" s="13" t="s">
        <v>34</v>
      </c>
      <c r="C1172" s="13" t="s">
        <v>720</v>
      </c>
      <c r="D1172" s="13" t="s">
        <v>181</v>
      </c>
      <c r="E1172" s="13" t="str">
        <f t="shared" si="735"/>
        <v>LPEF,GH-35-1,AH,1</v>
      </c>
      <c r="F1172" s="13"/>
      <c r="G1172" s="13" t="s">
        <v>74</v>
      </c>
      <c r="H1172" s="13" t="s">
        <v>75</v>
      </c>
      <c r="I1172" s="13"/>
      <c r="J1172" s="13"/>
      <c r="K1172" s="15"/>
      <c r="L1172" s="15"/>
      <c r="M1172" s="16">
        <v>1.0</v>
      </c>
      <c r="N1172" s="16">
        <v>1.0</v>
      </c>
      <c r="O1172" s="17"/>
      <c r="P1172" s="17"/>
      <c r="Q1172" s="13"/>
      <c r="R1172" s="13"/>
      <c r="S1172" s="13"/>
      <c r="T1172" s="13">
        <f t="shared" ref="T1172:Y1172" si="1221">IF(ISBLANK(K1172)=TRUE,0,1)</f>
        <v>0</v>
      </c>
      <c r="U1172" s="13">
        <f t="shared" si="1221"/>
        <v>0</v>
      </c>
      <c r="V1172" s="13">
        <f t="shared" si="1221"/>
        <v>1</v>
      </c>
      <c r="W1172" s="13">
        <f t="shared" si="1221"/>
        <v>1</v>
      </c>
      <c r="X1172" s="13">
        <f t="shared" si="1221"/>
        <v>0</v>
      </c>
      <c r="Y1172" s="13">
        <f t="shared" si="1221"/>
        <v>0</v>
      </c>
      <c r="Z1172" s="13">
        <f t="shared" si="529"/>
        <v>1</v>
      </c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</row>
    <row r="1173" ht="14.25" hidden="1" customHeight="1">
      <c r="A1173" s="13" t="s">
        <v>29</v>
      </c>
      <c r="B1173" s="13" t="s">
        <v>34</v>
      </c>
      <c r="C1173" s="13" t="s">
        <v>720</v>
      </c>
      <c r="D1173" s="13" t="s">
        <v>182</v>
      </c>
      <c r="E1173" s="13" t="str">
        <f t="shared" si="735"/>
        <v>LPEF,GH-35-1,AI,1</v>
      </c>
      <c r="F1173" s="13"/>
      <c r="G1173" s="13" t="s">
        <v>74</v>
      </c>
      <c r="H1173" s="13" t="s">
        <v>75</v>
      </c>
      <c r="I1173" s="13"/>
      <c r="J1173" s="13"/>
      <c r="K1173" s="15"/>
      <c r="L1173" s="15"/>
      <c r="M1173" s="16">
        <v>1.0</v>
      </c>
      <c r="N1173" s="16">
        <v>1.0</v>
      </c>
      <c r="O1173" s="17"/>
      <c r="P1173" s="17"/>
      <c r="Q1173" s="13"/>
      <c r="R1173" s="13"/>
      <c r="S1173" s="13"/>
      <c r="T1173" s="13">
        <f t="shared" ref="T1173:Y1173" si="1222">IF(ISBLANK(K1173)=TRUE,0,1)</f>
        <v>0</v>
      </c>
      <c r="U1173" s="13">
        <f t="shared" si="1222"/>
        <v>0</v>
      </c>
      <c r="V1173" s="13">
        <f t="shared" si="1222"/>
        <v>1</v>
      </c>
      <c r="W1173" s="13">
        <f t="shared" si="1222"/>
        <v>1</v>
      </c>
      <c r="X1173" s="13">
        <f t="shared" si="1222"/>
        <v>0</v>
      </c>
      <c r="Y1173" s="13">
        <f t="shared" si="1222"/>
        <v>0</v>
      </c>
      <c r="Z1173" s="13">
        <f t="shared" si="529"/>
        <v>1</v>
      </c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</row>
    <row r="1174" ht="14.25" hidden="1" customHeight="1">
      <c r="A1174" s="13" t="s">
        <v>29</v>
      </c>
      <c r="B1174" s="13" t="s">
        <v>34</v>
      </c>
      <c r="C1174" s="13" t="s">
        <v>720</v>
      </c>
      <c r="D1174" s="13" t="s">
        <v>183</v>
      </c>
      <c r="E1174" s="13" t="str">
        <f t="shared" si="735"/>
        <v>LPEF,GH-35-1,AJ,1</v>
      </c>
      <c r="F1174" s="13"/>
      <c r="G1174" s="13" t="s">
        <v>74</v>
      </c>
      <c r="H1174" s="13" t="s">
        <v>75</v>
      </c>
      <c r="I1174" s="13"/>
      <c r="J1174" s="13"/>
      <c r="K1174" s="15"/>
      <c r="L1174" s="15"/>
      <c r="M1174" s="16">
        <v>1.0</v>
      </c>
      <c r="N1174" s="16">
        <v>1.0</v>
      </c>
      <c r="O1174" s="17"/>
      <c r="P1174" s="17"/>
      <c r="Q1174" s="13"/>
      <c r="R1174" s="13"/>
      <c r="S1174" s="13"/>
      <c r="T1174" s="13">
        <f t="shared" ref="T1174:Y1174" si="1223">IF(ISBLANK(K1174)=TRUE,0,1)</f>
        <v>0</v>
      </c>
      <c r="U1174" s="13">
        <f t="shared" si="1223"/>
        <v>0</v>
      </c>
      <c r="V1174" s="13">
        <f t="shared" si="1223"/>
        <v>1</v>
      </c>
      <c r="W1174" s="13">
        <f t="shared" si="1223"/>
        <v>1</v>
      </c>
      <c r="X1174" s="13">
        <f t="shared" si="1223"/>
        <v>0</v>
      </c>
      <c r="Y1174" s="13">
        <f t="shared" si="1223"/>
        <v>0</v>
      </c>
      <c r="Z1174" s="13">
        <f t="shared" si="529"/>
        <v>1</v>
      </c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</row>
    <row r="1175" ht="14.25" hidden="1" customHeight="1">
      <c r="A1175" s="13" t="s">
        <v>29</v>
      </c>
      <c r="B1175" s="13" t="s">
        <v>34</v>
      </c>
      <c r="C1175" s="13" t="s">
        <v>720</v>
      </c>
      <c r="D1175" s="13" t="s">
        <v>184</v>
      </c>
      <c r="E1175" s="13" t="str">
        <f t="shared" si="735"/>
        <v>LPEF,GH-35-1,AK,1</v>
      </c>
      <c r="F1175" s="13"/>
      <c r="G1175" s="13" t="s">
        <v>74</v>
      </c>
      <c r="H1175" s="13" t="s">
        <v>75</v>
      </c>
      <c r="I1175" s="13"/>
      <c r="J1175" s="13"/>
      <c r="K1175" s="15"/>
      <c r="L1175" s="15"/>
      <c r="M1175" s="16">
        <v>1.0</v>
      </c>
      <c r="N1175" s="16">
        <v>1.0</v>
      </c>
      <c r="O1175" s="17"/>
      <c r="P1175" s="17"/>
      <c r="Q1175" s="13"/>
      <c r="R1175" s="13"/>
      <c r="S1175" s="13"/>
      <c r="T1175" s="13">
        <f t="shared" ref="T1175:Y1175" si="1224">IF(ISBLANK(K1175)=TRUE,0,1)</f>
        <v>0</v>
      </c>
      <c r="U1175" s="13">
        <f t="shared" si="1224"/>
        <v>0</v>
      </c>
      <c r="V1175" s="13">
        <f t="shared" si="1224"/>
        <v>1</v>
      </c>
      <c r="W1175" s="13">
        <f t="shared" si="1224"/>
        <v>1</v>
      </c>
      <c r="X1175" s="13">
        <f t="shared" si="1224"/>
        <v>0</v>
      </c>
      <c r="Y1175" s="13">
        <f t="shared" si="1224"/>
        <v>0</v>
      </c>
      <c r="Z1175" s="13">
        <f t="shared" si="529"/>
        <v>1</v>
      </c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</row>
    <row r="1176" ht="14.25" hidden="1" customHeight="1">
      <c r="A1176" s="13" t="s">
        <v>29</v>
      </c>
      <c r="B1176" s="13" t="s">
        <v>34</v>
      </c>
      <c r="C1176" s="13" t="s">
        <v>720</v>
      </c>
      <c r="D1176" s="13" t="s">
        <v>185</v>
      </c>
      <c r="E1176" s="13" t="str">
        <f t="shared" si="735"/>
        <v>LPEF,GH-35-1,AL,1</v>
      </c>
      <c r="F1176" s="13"/>
      <c r="G1176" s="13" t="s">
        <v>74</v>
      </c>
      <c r="H1176" s="13" t="s">
        <v>75</v>
      </c>
      <c r="I1176" s="13"/>
      <c r="J1176" s="13"/>
      <c r="K1176" s="15"/>
      <c r="L1176" s="15"/>
      <c r="M1176" s="16">
        <v>1.0</v>
      </c>
      <c r="N1176" s="16">
        <v>1.0</v>
      </c>
      <c r="O1176" s="17"/>
      <c r="P1176" s="17"/>
      <c r="Q1176" s="13"/>
      <c r="R1176" s="13"/>
      <c r="S1176" s="13"/>
      <c r="T1176" s="13">
        <f t="shared" ref="T1176:Y1176" si="1225">IF(ISBLANK(K1176)=TRUE,0,1)</f>
        <v>0</v>
      </c>
      <c r="U1176" s="13">
        <f t="shared" si="1225"/>
        <v>0</v>
      </c>
      <c r="V1176" s="13">
        <f t="shared" si="1225"/>
        <v>1</v>
      </c>
      <c r="W1176" s="13">
        <f t="shared" si="1225"/>
        <v>1</v>
      </c>
      <c r="X1176" s="13">
        <f t="shared" si="1225"/>
        <v>0</v>
      </c>
      <c r="Y1176" s="13">
        <f t="shared" si="1225"/>
        <v>0</v>
      </c>
      <c r="Z1176" s="13">
        <f t="shared" si="529"/>
        <v>1</v>
      </c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</row>
    <row r="1177" ht="14.25" hidden="1" customHeight="1">
      <c r="A1177" s="13" t="s">
        <v>29</v>
      </c>
      <c r="B1177" s="13" t="s">
        <v>34</v>
      </c>
      <c r="C1177" s="13" t="s">
        <v>720</v>
      </c>
      <c r="D1177" s="13" t="s">
        <v>186</v>
      </c>
      <c r="E1177" s="13" t="str">
        <f t="shared" si="735"/>
        <v>LPEF,GH-35-1,AM,1</v>
      </c>
      <c r="F1177" s="13"/>
      <c r="G1177" s="13" t="s">
        <v>74</v>
      </c>
      <c r="H1177" s="13" t="s">
        <v>75</v>
      </c>
      <c r="I1177" s="13"/>
      <c r="J1177" s="13"/>
      <c r="K1177" s="15"/>
      <c r="L1177" s="15"/>
      <c r="M1177" s="16">
        <v>1.0</v>
      </c>
      <c r="N1177" s="16">
        <v>1.0</v>
      </c>
      <c r="O1177" s="17"/>
      <c r="P1177" s="17"/>
      <c r="Q1177" s="13"/>
      <c r="R1177" s="13"/>
      <c r="S1177" s="13"/>
      <c r="T1177" s="13">
        <f t="shared" ref="T1177:Y1177" si="1226">IF(ISBLANK(K1177)=TRUE,0,1)</f>
        <v>0</v>
      </c>
      <c r="U1177" s="13">
        <f t="shared" si="1226"/>
        <v>0</v>
      </c>
      <c r="V1177" s="13">
        <f t="shared" si="1226"/>
        <v>1</v>
      </c>
      <c r="W1177" s="13">
        <f t="shared" si="1226"/>
        <v>1</v>
      </c>
      <c r="X1177" s="13">
        <f t="shared" si="1226"/>
        <v>0</v>
      </c>
      <c r="Y1177" s="13">
        <f t="shared" si="1226"/>
        <v>0</v>
      </c>
      <c r="Z1177" s="13">
        <f t="shared" si="529"/>
        <v>1</v>
      </c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</row>
    <row r="1178" ht="14.25" hidden="1" customHeight="1">
      <c r="A1178" s="13" t="s">
        <v>29</v>
      </c>
      <c r="B1178" s="13" t="s">
        <v>34</v>
      </c>
      <c r="C1178" s="13" t="s">
        <v>720</v>
      </c>
      <c r="D1178" s="13" t="s">
        <v>187</v>
      </c>
      <c r="E1178" s="13" t="str">
        <f t="shared" si="735"/>
        <v>LPEF,GH-35-1,AN,1</v>
      </c>
      <c r="F1178" s="13"/>
      <c r="G1178" s="13" t="s">
        <v>74</v>
      </c>
      <c r="H1178" s="13" t="s">
        <v>75</v>
      </c>
      <c r="I1178" s="13"/>
      <c r="J1178" s="13"/>
      <c r="K1178" s="15"/>
      <c r="L1178" s="15"/>
      <c r="M1178" s="16">
        <v>1.0</v>
      </c>
      <c r="N1178" s="16">
        <v>1.0</v>
      </c>
      <c r="O1178" s="17"/>
      <c r="P1178" s="17"/>
      <c r="Q1178" s="13"/>
      <c r="R1178" s="13"/>
      <c r="S1178" s="13"/>
      <c r="T1178" s="13">
        <f t="shared" ref="T1178:Y1178" si="1227">IF(ISBLANK(K1178)=TRUE,0,1)</f>
        <v>0</v>
      </c>
      <c r="U1178" s="13">
        <f t="shared" si="1227"/>
        <v>0</v>
      </c>
      <c r="V1178" s="13">
        <f t="shared" si="1227"/>
        <v>1</v>
      </c>
      <c r="W1178" s="13">
        <f t="shared" si="1227"/>
        <v>1</v>
      </c>
      <c r="X1178" s="13">
        <f t="shared" si="1227"/>
        <v>0</v>
      </c>
      <c r="Y1178" s="13">
        <f t="shared" si="1227"/>
        <v>0</v>
      </c>
      <c r="Z1178" s="13">
        <f t="shared" si="529"/>
        <v>1</v>
      </c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</row>
    <row r="1179" ht="14.25" hidden="1" customHeight="1">
      <c r="A1179" s="13" t="s">
        <v>29</v>
      </c>
      <c r="B1179" s="13" t="s">
        <v>34</v>
      </c>
      <c r="C1179" s="13" t="s">
        <v>720</v>
      </c>
      <c r="D1179" s="13" t="s">
        <v>188</v>
      </c>
      <c r="E1179" s="13" t="str">
        <f t="shared" si="735"/>
        <v>LPEF,GH-35-1,AO,1</v>
      </c>
      <c r="F1179" s="13"/>
      <c r="G1179" s="13" t="s">
        <v>74</v>
      </c>
      <c r="H1179" s="13" t="s">
        <v>75</v>
      </c>
      <c r="I1179" s="13"/>
      <c r="J1179" s="13"/>
      <c r="K1179" s="15"/>
      <c r="L1179" s="15"/>
      <c r="M1179" s="16">
        <v>1.0</v>
      </c>
      <c r="N1179" s="16">
        <v>1.0</v>
      </c>
      <c r="O1179" s="17"/>
      <c r="P1179" s="17"/>
      <c r="Q1179" s="13"/>
      <c r="R1179" s="13"/>
      <c r="S1179" s="13"/>
      <c r="T1179" s="13">
        <f t="shared" ref="T1179:Y1179" si="1228">IF(ISBLANK(K1179)=TRUE,0,1)</f>
        <v>0</v>
      </c>
      <c r="U1179" s="13">
        <f t="shared" si="1228"/>
        <v>0</v>
      </c>
      <c r="V1179" s="13">
        <f t="shared" si="1228"/>
        <v>1</v>
      </c>
      <c r="W1179" s="13">
        <f t="shared" si="1228"/>
        <v>1</v>
      </c>
      <c r="X1179" s="13">
        <f t="shared" si="1228"/>
        <v>0</v>
      </c>
      <c r="Y1179" s="13">
        <f t="shared" si="1228"/>
        <v>0</v>
      </c>
      <c r="Z1179" s="13">
        <f t="shared" si="529"/>
        <v>1</v>
      </c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</row>
    <row r="1180" ht="14.25" hidden="1" customHeight="1">
      <c r="A1180" s="13" t="s">
        <v>29</v>
      </c>
      <c r="B1180" s="13" t="s">
        <v>34</v>
      </c>
      <c r="C1180" s="13" t="s">
        <v>720</v>
      </c>
      <c r="D1180" s="13" t="s">
        <v>189</v>
      </c>
      <c r="E1180" s="13" t="str">
        <f t="shared" si="735"/>
        <v>LPEF,GH-35-1,AP,1</v>
      </c>
      <c r="F1180" s="13"/>
      <c r="G1180" s="13" t="s">
        <v>74</v>
      </c>
      <c r="H1180" s="13" t="s">
        <v>75</v>
      </c>
      <c r="I1180" s="13"/>
      <c r="J1180" s="13"/>
      <c r="K1180" s="15"/>
      <c r="L1180" s="15"/>
      <c r="M1180" s="16">
        <v>1.0</v>
      </c>
      <c r="N1180" s="16">
        <v>1.0</v>
      </c>
      <c r="O1180" s="17"/>
      <c r="P1180" s="17"/>
      <c r="Q1180" s="13"/>
      <c r="R1180" s="13"/>
      <c r="S1180" s="13"/>
      <c r="T1180" s="13">
        <f t="shared" ref="T1180:Y1180" si="1229">IF(ISBLANK(K1180)=TRUE,0,1)</f>
        <v>0</v>
      </c>
      <c r="U1180" s="13">
        <f t="shared" si="1229"/>
        <v>0</v>
      </c>
      <c r="V1180" s="13">
        <f t="shared" si="1229"/>
        <v>1</v>
      </c>
      <c r="W1180" s="13">
        <f t="shared" si="1229"/>
        <v>1</v>
      </c>
      <c r="X1180" s="13">
        <f t="shared" si="1229"/>
        <v>0</v>
      </c>
      <c r="Y1180" s="13">
        <f t="shared" si="1229"/>
        <v>0</v>
      </c>
      <c r="Z1180" s="13">
        <f t="shared" si="529"/>
        <v>1</v>
      </c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</row>
    <row r="1181" ht="14.25" hidden="1" customHeight="1">
      <c r="A1181" s="13" t="s">
        <v>29</v>
      </c>
      <c r="B1181" s="13" t="s">
        <v>34</v>
      </c>
      <c r="C1181" s="13" t="s">
        <v>720</v>
      </c>
      <c r="D1181" s="13" t="s">
        <v>190</v>
      </c>
      <c r="E1181" s="13" t="str">
        <f t="shared" si="735"/>
        <v>LPEF,GH-35-1,AQ,1</v>
      </c>
      <c r="F1181" s="13"/>
      <c r="G1181" s="13" t="s">
        <v>74</v>
      </c>
      <c r="H1181" s="13" t="s">
        <v>75</v>
      </c>
      <c r="I1181" s="13"/>
      <c r="J1181" s="13"/>
      <c r="K1181" s="15"/>
      <c r="L1181" s="15"/>
      <c r="M1181" s="16">
        <v>1.0</v>
      </c>
      <c r="N1181" s="16">
        <v>1.0</v>
      </c>
      <c r="O1181" s="17"/>
      <c r="P1181" s="17"/>
      <c r="Q1181" s="13"/>
      <c r="R1181" s="13"/>
      <c r="S1181" s="13"/>
      <c r="T1181" s="13">
        <f t="shared" ref="T1181:Y1181" si="1230">IF(ISBLANK(K1181)=TRUE,0,1)</f>
        <v>0</v>
      </c>
      <c r="U1181" s="13">
        <f t="shared" si="1230"/>
        <v>0</v>
      </c>
      <c r="V1181" s="13">
        <f t="shared" si="1230"/>
        <v>1</v>
      </c>
      <c r="W1181" s="13">
        <f t="shared" si="1230"/>
        <v>1</v>
      </c>
      <c r="X1181" s="13">
        <f t="shared" si="1230"/>
        <v>0</v>
      </c>
      <c r="Y1181" s="13">
        <f t="shared" si="1230"/>
        <v>0</v>
      </c>
      <c r="Z1181" s="13">
        <f t="shared" si="529"/>
        <v>1</v>
      </c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</row>
    <row r="1182" ht="14.25" hidden="1" customHeight="1">
      <c r="A1182" s="13" t="s">
        <v>29</v>
      </c>
      <c r="B1182" s="13" t="s">
        <v>34</v>
      </c>
      <c r="C1182" s="13" t="s">
        <v>720</v>
      </c>
      <c r="D1182" s="13" t="s">
        <v>191</v>
      </c>
      <c r="E1182" s="13" t="str">
        <f t="shared" si="735"/>
        <v>LPEF,GH-35-1,AR,1</v>
      </c>
      <c r="F1182" s="13"/>
      <c r="G1182" s="13" t="s">
        <v>74</v>
      </c>
      <c r="H1182" s="13" t="s">
        <v>75</v>
      </c>
      <c r="I1182" s="13"/>
      <c r="J1182" s="13"/>
      <c r="K1182" s="15"/>
      <c r="L1182" s="15"/>
      <c r="M1182" s="16">
        <v>1.0</v>
      </c>
      <c r="N1182" s="16">
        <v>1.0</v>
      </c>
      <c r="O1182" s="17"/>
      <c r="P1182" s="17"/>
      <c r="Q1182" s="13"/>
      <c r="R1182" s="13"/>
      <c r="S1182" s="13"/>
      <c r="T1182" s="13">
        <f t="shared" ref="T1182:Y1182" si="1231">IF(ISBLANK(K1182)=TRUE,0,1)</f>
        <v>0</v>
      </c>
      <c r="U1182" s="13">
        <f t="shared" si="1231"/>
        <v>0</v>
      </c>
      <c r="V1182" s="13">
        <f t="shared" si="1231"/>
        <v>1</v>
      </c>
      <c r="W1182" s="13">
        <f t="shared" si="1231"/>
        <v>1</v>
      </c>
      <c r="X1182" s="13">
        <f t="shared" si="1231"/>
        <v>0</v>
      </c>
      <c r="Y1182" s="13">
        <f t="shared" si="1231"/>
        <v>0</v>
      </c>
      <c r="Z1182" s="13">
        <f t="shared" si="529"/>
        <v>1</v>
      </c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</row>
    <row r="1183" ht="14.25" hidden="1" customHeight="1">
      <c r="A1183" s="13" t="s">
        <v>29</v>
      </c>
      <c r="B1183" s="13" t="s">
        <v>34</v>
      </c>
      <c r="C1183" s="13" t="s">
        <v>720</v>
      </c>
      <c r="D1183" s="13" t="s">
        <v>192</v>
      </c>
      <c r="E1183" s="13" t="str">
        <f t="shared" si="735"/>
        <v>LPEF,GH-35-1,AS,1</v>
      </c>
      <c r="F1183" s="13"/>
      <c r="G1183" s="13" t="s">
        <v>74</v>
      </c>
      <c r="H1183" s="13" t="s">
        <v>75</v>
      </c>
      <c r="I1183" s="13"/>
      <c r="J1183" s="13"/>
      <c r="K1183" s="15"/>
      <c r="L1183" s="15"/>
      <c r="M1183" s="16">
        <v>1.0</v>
      </c>
      <c r="N1183" s="16">
        <v>1.0</v>
      </c>
      <c r="O1183" s="17"/>
      <c r="P1183" s="17"/>
      <c r="Q1183" s="13"/>
      <c r="R1183" s="13"/>
      <c r="S1183" s="13"/>
      <c r="T1183" s="13">
        <f t="shared" ref="T1183:Y1183" si="1232">IF(ISBLANK(K1183)=TRUE,0,1)</f>
        <v>0</v>
      </c>
      <c r="U1183" s="13">
        <f t="shared" si="1232"/>
        <v>0</v>
      </c>
      <c r="V1183" s="13">
        <f t="shared" si="1232"/>
        <v>1</v>
      </c>
      <c r="W1183" s="13">
        <f t="shared" si="1232"/>
        <v>1</v>
      </c>
      <c r="X1183" s="13">
        <f t="shared" si="1232"/>
        <v>0</v>
      </c>
      <c r="Y1183" s="13">
        <f t="shared" si="1232"/>
        <v>0</v>
      </c>
      <c r="Z1183" s="13">
        <f t="shared" si="529"/>
        <v>1</v>
      </c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</row>
    <row r="1184" ht="14.25" hidden="1" customHeight="1">
      <c r="A1184" s="13" t="s">
        <v>29</v>
      </c>
      <c r="B1184" s="13" t="s">
        <v>34</v>
      </c>
      <c r="C1184" s="13" t="s">
        <v>720</v>
      </c>
      <c r="D1184" s="13" t="s">
        <v>193</v>
      </c>
      <c r="E1184" s="13" t="str">
        <f t="shared" si="735"/>
        <v>LPEF,GH-35-1,AT,1</v>
      </c>
      <c r="F1184" s="13"/>
      <c r="G1184" s="13" t="s">
        <v>74</v>
      </c>
      <c r="H1184" s="13" t="s">
        <v>75</v>
      </c>
      <c r="I1184" s="13"/>
      <c r="J1184" s="13"/>
      <c r="K1184" s="15"/>
      <c r="L1184" s="15"/>
      <c r="M1184" s="16">
        <v>1.0</v>
      </c>
      <c r="N1184" s="16">
        <v>1.0</v>
      </c>
      <c r="O1184" s="17"/>
      <c r="P1184" s="17"/>
      <c r="Q1184" s="13"/>
      <c r="R1184" s="13"/>
      <c r="S1184" s="13"/>
      <c r="T1184" s="13">
        <f t="shared" ref="T1184:Y1184" si="1233">IF(ISBLANK(K1184)=TRUE,0,1)</f>
        <v>0</v>
      </c>
      <c r="U1184" s="13">
        <f t="shared" si="1233"/>
        <v>0</v>
      </c>
      <c r="V1184" s="13">
        <f t="shared" si="1233"/>
        <v>1</v>
      </c>
      <c r="W1184" s="13">
        <f t="shared" si="1233"/>
        <v>1</v>
      </c>
      <c r="X1184" s="13">
        <f t="shared" si="1233"/>
        <v>0</v>
      </c>
      <c r="Y1184" s="13">
        <f t="shared" si="1233"/>
        <v>0</v>
      </c>
      <c r="Z1184" s="13">
        <f t="shared" si="529"/>
        <v>1</v>
      </c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</row>
    <row r="1185" ht="14.25" hidden="1" customHeight="1">
      <c r="A1185" s="13" t="s">
        <v>29</v>
      </c>
      <c r="B1185" s="13" t="s">
        <v>34</v>
      </c>
      <c r="C1185" s="13" t="s">
        <v>720</v>
      </c>
      <c r="D1185" s="13" t="s">
        <v>194</v>
      </c>
      <c r="E1185" s="13" t="str">
        <f t="shared" si="735"/>
        <v>LPEF,GH-35-1,AU,1</v>
      </c>
      <c r="F1185" s="13"/>
      <c r="G1185" s="13" t="s">
        <v>74</v>
      </c>
      <c r="H1185" s="13" t="s">
        <v>75</v>
      </c>
      <c r="I1185" s="13"/>
      <c r="J1185" s="13"/>
      <c r="K1185" s="15"/>
      <c r="L1185" s="15"/>
      <c r="M1185" s="16">
        <v>1.0</v>
      </c>
      <c r="N1185" s="16">
        <v>1.0</v>
      </c>
      <c r="O1185" s="17"/>
      <c r="P1185" s="17"/>
      <c r="Q1185" s="13"/>
      <c r="R1185" s="13"/>
      <c r="S1185" s="13"/>
      <c r="T1185" s="13">
        <f t="shared" ref="T1185:Y1185" si="1234">IF(ISBLANK(K1185)=TRUE,0,1)</f>
        <v>0</v>
      </c>
      <c r="U1185" s="13">
        <f t="shared" si="1234"/>
        <v>0</v>
      </c>
      <c r="V1185" s="13">
        <f t="shared" si="1234"/>
        <v>1</v>
      </c>
      <c r="W1185" s="13">
        <f t="shared" si="1234"/>
        <v>1</v>
      </c>
      <c r="X1185" s="13">
        <f t="shared" si="1234"/>
        <v>0</v>
      </c>
      <c r="Y1185" s="13">
        <f t="shared" si="1234"/>
        <v>0</v>
      </c>
      <c r="Z1185" s="13">
        <f t="shared" si="529"/>
        <v>1</v>
      </c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</row>
    <row r="1186" ht="14.25" hidden="1" customHeight="1">
      <c r="A1186" s="13" t="s">
        <v>29</v>
      </c>
      <c r="B1186" s="13" t="s">
        <v>34</v>
      </c>
      <c r="C1186" s="13" t="s">
        <v>720</v>
      </c>
      <c r="D1186" s="13" t="s">
        <v>195</v>
      </c>
      <c r="E1186" s="13" t="str">
        <f t="shared" si="735"/>
        <v>LPEF,GH-35-1,AV,1</v>
      </c>
      <c r="F1186" s="13"/>
      <c r="G1186" s="13" t="s">
        <v>74</v>
      </c>
      <c r="H1186" s="13" t="s">
        <v>75</v>
      </c>
      <c r="I1186" s="13"/>
      <c r="J1186" s="13"/>
      <c r="K1186" s="15"/>
      <c r="L1186" s="15"/>
      <c r="M1186" s="16">
        <v>1.0</v>
      </c>
      <c r="N1186" s="16">
        <v>1.0</v>
      </c>
      <c r="O1186" s="17"/>
      <c r="P1186" s="17"/>
      <c r="Q1186" s="13"/>
      <c r="R1186" s="13"/>
      <c r="S1186" s="13"/>
      <c r="T1186" s="13">
        <f t="shared" ref="T1186:Y1186" si="1235">IF(ISBLANK(K1186)=TRUE,0,1)</f>
        <v>0</v>
      </c>
      <c r="U1186" s="13">
        <f t="shared" si="1235"/>
        <v>0</v>
      </c>
      <c r="V1186" s="13">
        <f t="shared" si="1235"/>
        <v>1</v>
      </c>
      <c r="W1186" s="13">
        <f t="shared" si="1235"/>
        <v>1</v>
      </c>
      <c r="X1186" s="13">
        <f t="shared" si="1235"/>
        <v>0</v>
      </c>
      <c r="Y1186" s="13">
        <f t="shared" si="1235"/>
        <v>0</v>
      </c>
      <c r="Z1186" s="13">
        <f t="shared" si="529"/>
        <v>1</v>
      </c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</row>
    <row r="1187" ht="14.25" hidden="1" customHeight="1">
      <c r="A1187" s="13" t="s">
        <v>29</v>
      </c>
      <c r="B1187" s="13" t="s">
        <v>34</v>
      </c>
      <c r="C1187" s="13" t="s">
        <v>720</v>
      </c>
      <c r="D1187" s="13" t="s">
        <v>196</v>
      </c>
      <c r="E1187" s="13" t="str">
        <f t="shared" si="735"/>
        <v>LPEF,GH-35-1,AW,1</v>
      </c>
      <c r="F1187" s="13"/>
      <c r="G1187" s="13" t="s">
        <v>74</v>
      </c>
      <c r="H1187" s="13" t="s">
        <v>75</v>
      </c>
      <c r="I1187" s="13"/>
      <c r="J1187" s="13"/>
      <c r="K1187" s="15"/>
      <c r="L1187" s="15"/>
      <c r="M1187" s="16">
        <v>1.0</v>
      </c>
      <c r="N1187" s="16">
        <v>1.0</v>
      </c>
      <c r="O1187" s="17"/>
      <c r="P1187" s="17"/>
      <c r="Q1187" s="13"/>
      <c r="R1187" s="13"/>
      <c r="S1187" s="13"/>
      <c r="T1187" s="13">
        <f t="shared" ref="T1187:Y1187" si="1236">IF(ISBLANK(K1187)=TRUE,0,1)</f>
        <v>0</v>
      </c>
      <c r="U1187" s="13">
        <f t="shared" si="1236"/>
        <v>0</v>
      </c>
      <c r="V1187" s="13">
        <f t="shared" si="1236"/>
        <v>1</v>
      </c>
      <c r="W1187" s="13">
        <f t="shared" si="1236"/>
        <v>1</v>
      </c>
      <c r="X1187" s="13">
        <f t="shared" si="1236"/>
        <v>0</v>
      </c>
      <c r="Y1187" s="13">
        <f t="shared" si="1236"/>
        <v>0</v>
      </c>
      <c r="Z1187" s="13">
        <f t="shared" si="529"/>
        <v>1</v>
      </c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</row>
    <row r="1188" ht="14.25" hidden="1" customHeight="1">
      <c r="A1188" s="13" t="s">
        <v>29</v>
      </c>
      <c r="B1188" s="13" t="s">
        <v>34</v>
      </c>
      <c r="C1188" s="13" t="s">
        <v>720</v>
      </c>
      <c r="D1188" s="13" t="s">
        <v>197</v>
      </c>
      <c r="E1188" s="13" t="str">
        <f t="shared" si="735"/>
        <v>LPEF,GH-35-1,AX,1</v>
      </c>
      <c r="F1188" s="13"/>
      <c r="G1188" s="13" t="s">
        <v>74</v>
      </c>
      <c r="H1188" s="13" t="s">
        <v>75</v>
      </c>
      <c r="I1188" s="13"/>
      <c r="J1188" s="13"/>
      <c r="K1188" s="15"/>
      <c r="L1188" s="15"/>
      <c r="M1188" s="16">
        <v>1.0</v>
      </c>
      <c r="N1188" s="16">
        <v>1.0</v>
      </c>
      <c r="O1188" s="17"/>
      <c r="P1188" s="17"/>
      <c r="Q1188" s="13"/>
      <c r="R1188" s="13"/>
      <c r="S1188" s="13"/>
      <c r="T1188" s="13">
        <f t="shared" ref="T1188:Y1188" si="1237">IF(ISBLANK(K1188)=TRUE,0,1)</f>
        <v>0</v>
      </c>
      <c r="U1188" s="13">
        <f t="shared" si="1237"/>
        <v>0</v>
      </c>
      <c r="V1188" s="13">
        <f t="shared" si="1237"/>
        <v>1</v>
      </c>
      <c r="W1188" s="13">
        <f t="shared" si="1237"/>
        <v>1</v>
      </c>
      <c r="X1188" s="13">
        <f t="shared" si="1237"/>
        <v>0</v>
      </c>
      <c r="Y1188" s="13">
        <f t="shared" si="1237"/>
        <v>0</v>
      </c>
      <c r="Z1188" s="13">
        <f t="shared" si="529"/>
        <v>1</v>
      </c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</row>
    <row r="1189" ht="14.25" hidden="1" customHeight="1">
      <c r="A1189" s="13" t="s">
        <v>29</v>
      </c>
      <c r="B1189" s="13" t="s">
        <v>34</v>
      </c>
      <c r="C1189" s="13" t="s">
        <v>720</v>
      </c>
      <c r="D1189" s="13" t="s">
        <v>433</v>
      </c>
      <c r="E1189" s="13" t="str">
        <f t="shared" si="735"/>
        <v>LPEF,GH-35-1,AY,1</v>
      </c>
      <c r="F1189" s="13"/>
      <c r="G1189" s="13" t="s">
        <v>74</v>
      </c>
      <c r="H1189" s="13" t="s">
        <v>107</v>
      </c>
      <c r="I1189" s="13"/>
      <c r="J1189" s="13"/>
      <c r="K1189" s="15"/>
      <c r="L1189" s="15"/>
      <c r="M1189" s="16">
        <v>1.0</v>
      </c>
      <c r="N1189" s="16">
        <v>1.0</v>
      </c>
      <c r="O1189" s="17"/>
      <c r="P1189" s="17"/>
      <c r="Q1189" s="13"/>
      <c r="R1189" s="13"/>
      <c r="S1189" s="13"/>
      <c r="T1189" s="13">
        <f t="shared" ref="T1189:Y1189" si="1238">IF(ISBLANK(K1189)=TRUE,0,1)</f>
        <v>0</v>
      </c>
      <c r="U1189" s="13">
        <f t="shared" si="1238"/>
        <v>0</v>
      </c>
      <c r="V1189" s="13">
        <f t="shared" si="1238"/>
        <v>1</v>
      </c>
      <c r="W1189" s="13">
        <f t="shared" si="1238"/>
        <v>1</v>
      </c>
      <c r="X1189" s="13">
        <f t="shared" si="1238"/>
        <v>0</v>
      </c>
      <c r="Y1189" s="13">
        <f t="shared" si="1238"/>
        <v>0</v>
      </c>
      <c r="Z1189" s="13">
        <f t="shared" si="529"/>
        <v>1</v>
      </c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</row>
    <row r="1190" ht="14.25" hidden="1" customHeight="1">
      <c r="A1190" s="13" t="s">
        <v>29</v>
      </c>
      <c r="B1190" s="13" t="s">
        <v>34</v>
      </c>
      <c r="C1190" s="13" t="s">
        <v>720</v>
      </c>
      <c r="D1190" s="13" t="s">
        <v>434</v>
      </c>
      <c r="E1190" s="13" t="str">
        <f t="shared" si="735"/>
        <v>LPEF,GH-35-1,AZ,1</v>
      </c>
      <c r="F1190" s="13"/>
      <c r="G1190" s="13" t="s">
        <v>74</v>
      </c>
      <c r="H1190" s="13" t="s">
        <v>75</v>
      </c>
      <c r="I1190" s="13"/>
      <c r="J1190" s="13"/>
      <c r="K1190" s="15"/>
      <c r="L1190" s="15"/>
      <c r="M1190" s="16">
        <v>1.0</v>
      </c>
      <c r="N1190" s="16">
        <v>1.0</v>
      </c>
      <c r="O1190" s="17"/>
      <c r="P1190" s="17"/>
      <c r="Q1190" s="13"/>
      <c r="R1190" s="13"/>
      <c r="S1190" s="13"/>
      <c r="T1190" s="13">
        <f t="shared" ref="T1190:Y1190" si="1239">IF(ISBLANK(K1190)=TRUE,0,1)</f>
        <v>0</v>
      </c>
      <c r="U1190" s="13">
        <f t="shared" si="1239"/>
        <v>0</v>
      </c>
      <c r="V1190" s="13">
        <f t="shared" si="1239"/>
        <v>1</v>
      </c>
      <c r="W1190" s="13">
        <f t="shared" si="1239"/>
        <v>1</v>
      </c>
      <c r="X1190" s="13">
        <f t="shared" si="1239"/>
        <v>0</v>
      </c>
      <c r="Y1190" s="13">
        <f t="shared" si="1239"/>
        <v>0</v>
      </c>
      <c r="Z1190" s="13">
        <f t="shared" si="529"/>
        <v>1</v>
      </c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</row>
    <row r="1191" ht="14.25" hidden="1" customHeight="1">
      <c r="A1191" s="13" t="s">
        <v>29</v>
      </c>
      <c r="B1191" s="13" t="s">
        <v>34</v>
      </c>
      <c r="C1191" s="13" t="s">
        <v>720</v>
      </c>
      <c r="D1191" s="13" t="s">
        <v>435</v>
      </c>
      <c r="E1191" s="13" t="str">
        <f t="shared" si="735"/>
        <v>LPEF,GH-35-1,BA,1</v>
      </c>
      <c r="F1191" s="13"/>
      <c r="G1191" s="13" t="s">
        <v>74</v>
      </c>
      <c r="H1191" s="13" t="s">
        <v>75</v>
      </c>
      <c r="I1191" s="13"/>
      <c r="J1191" s="13"/>
      <c r="K1191" s="15"/>
      <c r="L1191" s="15"/>
      <c r="M1191" s="16">
        <v>1.0</v>
      </c>
      <c r="N1191" s="16">
        <v>1.0</v>
      </c>
      <c r="O1191" s="17"/>
      <c r="P1191" s="17"/>
      <c r="Q1191" s="13"/>
      <c r="R1191" s="13"/>
      <c r="S1191" s="13"/>
      <c r="T1191" s="13">
        <f t="shared" ref="T1191:Y1191" si="1240">IF(ISBLANK(K1191)=TRUE,0,1)</f>
        <v>0</v>
      </c>
      <c r="U1191" s="13">
        <f t="shared" si="1240"/>
        <v>0</v>
      </c>
      <c r="V1191" s="13">
        <f t="shared" si="1240"/>
        <v>1</v>
      </c>
      <c r="W1191" s="13">
        <f t="shared" si="1240"/>
        <v>1</v>
      </c>
      <c r="X1191" s="13">
        <f t="shared" si="1240"/>
        <v>0</v>
      </c>
      <c r="Y1191" s="13">
        <f t="shared" si="1240"/>
        <v>0</v>
      </c>
      <c r="Z1191" s="13">
        <f t="shared" si="529"/>
        <v>1</v>
      </c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</row>
    <row r="1192" ht="14.25" hidden="1" customHeight="1">
      <c r="A1192" s="13" t="s">
        <v>29</v>
      </c>
      <c r="B1192" s="13" t="s">
        <v>34</v>
      </c>
      <c r="C1192" s="13" t="s">
        <v>720</v>
      </c>
      <c r="D1192" s="13" t="s">
        <v>436</v>
      </c>
      <c r="E1192" s="13" t="str">
        <f t="shared" si="735"/>
        <v>LPEF,GH-35-1,BB,1</v>
      </c>
      <c r="F1192" s="13"/>
      <c r="G1192" s="13" t="s">
        <v>74</v>
      </c>
      <c r="H1192" s="13" t="s">
        <v>75</v>
      </c>
      <c r="I1192" s="13"/>
      <c r="J1192" s="13"/>
      <c r="K1192" s="15"/>
      <c r="L1192" s="15"/>
      <c r="M1192" s="16">
        <v>1.0</v>
      </c>
      <c r="N1192" s="16">
        <v>1.0</v>
      </c>
      <c r="O1192" s="17"/>
      <c r="P1192" s="17"/>
      <c r="Q1192" s="13"/>
      <c r="R1192" s="13"/>
      <c r="S1192" s="13"/>
      <c r="T1192" s="13">
        <f t="shared" ref="T1192:Y1192" si="1241">IF(ISBLANK(K1192)=TRUE,0,1)</f>
        <v>0</v>
      </c>
      <c r="U1192" s="13">
        <f t="shared" si="1241"/>
        <v>0</v>
      </c>
      <c r="V1192" s="13">
        <f t="shared" si="1241"/>
        <v>1</v>
      </c>
      <c r="W1192" s="13">
        <f t="shared" si="1241"/>
        <v>1</v>
      </c>
      <c r="X1192" s="13">
        <f t="shared" si="1241"/>
        <v>0</v>
      </c>
      <c r="Y1192" s="13">
        <f t="shared" si="1241"/>
        <v>0</v>
      </c>
      <c r="Z1192" s="13">
        <f t="shared" si="529"/>
        <v>1</v>
      </c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</row>
    <row r="1193" ht="14.25" hidden="1" customHeight="1">
      <c r="A1193" s="13" t="s">
        <v>29</v>
      </c>
      <c r="B1193" s="13" t="s">
        <v>34</v>
      </c>
      <c r="C1193" s="13" t="s">
        <v>721</v>
      </c>
      <c r="D1193" s="13" t="s">
        <v>174</v>
      </c>
      <c r="E1193" s="13" t="str">
        <f t="shared" si="735"/>
        <v>LPEF,GH-35-3,AA,1</v>
      </c>
      <c r="F1193" s="13"/>
      <c r="G1193" s="13" t="s">
        <v>74</v>
      </c>
      <c r="H1193" s="13" t="s">
        <v>75</v>
      </c>
      <c r="I1193" s="13"/>
      <c r="J1193" s="13"/>
      <c r="K1193" s="15"/>
      <c r="L1193" s="15"/>
      <c r="M1193" s="16">
        <v>1.0</v>
      </c>
      <c r="N1193" s="16">
        <v>1.0</v>
      </c>
      <c r="O1193" s="17"/>
      <c r="P1193" s="17"/>
      <c r="Q1193" s="13">
        <f t="shared" ref="Q1193:Q1248" si="1243">K1192+L1192+M1192+N1192+O1192+P1192/6</f>
        <v>2</v>
      </c>
      <c r="R1193" s="13"/>
      <c r="S1193" s="13"/>
      <c r="T1193" s="13">
        <f t="shared" ref="T1193:Y1193" si="1242">IF(ISBLANK(K1193)=TRUE,0,1)</f>
        <v>0</v>
      </c>
      <c r="U1193" s="13">
        <f t="shared" si="1242"/>
        <v>0</v>
      </c>
      <c r="V1193" s="13">
        <f t="shared" si="1242"/>
        <v>1</v>
      </c>
      <c r="W1193" s="13">
        <f t="shared" si="1242"/>
        <v>1</v>
      </c>
      <c r="X1193" s="13">
        <f t="shared" si="1242"/>
        <v>0</v>
      </c>
      <c r="Y1193" s="13">
        <f t="shared" si="1242"/>
        <v>0</v>
      </c>
      <c r="Z1193" s="13">
        <f t="shared" si="529"/>
        <v>1</v>
      </c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</row>
    <row r="1194" ht="14.25" hidden="1" customHeight="1">
      <c r="A1194" s="13" t="s">
        <v>29</v>
      </c>
      <c r="B1194" s="13" t="s">
        <v>34</v>
      </c>
      <c r="C1194" s="13" t="s">
        <v>721</v>
      </c>
      <c r="D1194" s="13" t="s">
        <v>175</v>
      </c>
      <c r="E1194" s="13" t="str">
        <f t="shared" si="735"/>
        <v>LPEF,GH-35-3,AB,1</v>
      </c>
      <c r="F1194" s="13"/>
      <c r="G1194" s="13" t="s">
        <v>74</v>
      </c>
      <c r="H1194" s="13" t="s">
        <v>75</v>
      </c>
      <c r="I1194" s="13"/>
      <c r="J1194" s="13"/>
      <c r="K1194" s="15"/>
      <c r="L1194" s="15"/>
      <c r="M1194" s="16">
        <v>1.0</v>
      </c>
      <c r="N1194" s="16">
        <v>1.0</v>
      </c>
      <c r="O1194" s="17"/>
      <c r="P1194" s="17"/>
      <c r="Q1194" s="13">
        <f t="shared" si="1243"/>
        <v>2</v>
      </c>
      <c r="R1194" s="13"/>
      <c r="S1194" s="13"/>
      <c r="T1194" s="13">
        <f t="shared" ref="T1194:Y1194" si="1244">IF(ISBLANK(K1194)=TRUE,0,1)</f>
        <v>0</v>
      </c>
      <c r="U1194" s="13">
        <f t="shared" si="1244"/>
        <v>0</v>
      </c>
      <c r="V1194" s="13">
        <f t="shared" si="1244"/>
        <v>1</v>
      </c>
      <c r="W1194" s="13">
        <f t="shared" si="1244"/>
        <v>1</v>
      </c>
      <c r="X1194" s="13">
        <f t="shared" si="1244"/>
        <v>0</v>
      </c>
      <c r="Y1194" s="13">
        <f t="shared" si="1244"/>
        <v>0</v>
      </c>
      <c r="Z1194" s="13">
        <f t="shared" si="529"/>
        <v>1</v>
      </c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</row>
    <row r="1195" ht="14.25" hidden="1" customHeight="1">
      <c r="A1195" s="13" t="s">
        <v>29</v>
      </c>
      <c r="B1195" s="13" t="s">
        <v>34</v>
      </c>
      <c r="C1195" s="13" t="s">
        <v>721</v>
      </c>
      <c r="D1195" s="13" t="s">
        <v>176</v>
      </c>
      <c r="E1195" s="13" t="str">
        <f t="shared" si="735"/>
        <v>LPEF,GH-35-3,AC,1</v>
      </c>
      <c r="F1195" s="13"/>
      <c r="G1195" s="13" t="s">
        <v>74</v>
      </c>
      <c r="H1195" s="13" t="s">
        <v>75</v>
      </c>
      <c r="I1195" s="13"/>
      <c r="J1195" s="13"/>
      <c r="K1195" s="15"/>
      <c r="L1195" s="15"/>
      <c r="M1195" s="16">
        <v>1.0</v>
      </c>
      <c r="N1195" s="16">
        <v>1.0</v>
      </c>
      <c r="O1195" s="17"/>
      <c r="P1195" s="17"/>
      <c r="Q1195" s="13">
        <f t="shared" si="1243"/>
        <v>2</v>
      </c>
      <c r="R1195" s="13"/>
      <c r="S1195" s="13"/>
      <c r="T1195" s="13">
        <f t="shared" ref="T1195:Y1195" si="1245">IF(ISBLANK(K1195)=TRUE,0,1)</f>
        <v>0</v>
      </c>
      <c r="U1195" s="13">
        <f t="shared" si="1245"/>
        <v>0</v>
      </c>
      <c r="V1195" s="13">
        <f t="shared" si="1245"/>
        <v>1</v>
      </c>
      <c r="W1195" s="13">
        <f t="shared" si="1245"/>
        <v>1</v>
      </c>
      <c r="X1195" s="13">
        <f t="shared" si="1245"/>
        <v>0</v>
      </c>
      <c r="Y1195" s="13">
        <f t="shared" si="1245"/>
        <v>0</v>
      </c>
      <c r="Z1195" s="13">
        <f t="shared" si="529"/>
        <v>1</v>
      </c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</row>
    <row r="1196" ht="14.25" hidden="1" customHeight="1">
      <c r="A1196" s="13" t="s">
        <v>29</v>
      </c>
      <c r="B1196" s="13" t="s">
        <v>34</v>
      </c>
      <c r="C1196" s="13" t="s">
        <v>721</v>
      </c>
      <c r="D1196" s="13" t="s">
        <v>177</v>
      </c>
      <c r="E1196" s="13" t="str">
        <f t="shared" si="735"/>
        <v>LPEF,GH-35-3,AD,1</v>
      </c>
      <c r="F1196" s="13"/>
      <c r="G1196" s="13" t="s">
        <v>74</v>
      </c>
      <c r="H1196" s="13" t="s">
        <v>75</v>
      </c>
      <c r="I1196" s="13"/>
      <c r="J1196" s="13"/>
      <c r="K1196" s="15"/>
      <c r="L1196" s="15"/>
      <c r="M1196" s="16">
        <v>1.0</v>
      </c>
      <c r="N1196" s="16">
        <v>1.0</v>
      </c>
      <c r="O1196" s="17"/>
      <c r="P1196" s="17"/>
      <c r="Q1196" s="13">
        <f t="shared" si="1243"/>
        <v>2</v>
      </c>
      <c r="R1196" s="13"/>
      <c r="S1196" s="13"/>
      <c r="T1196" s="13">
        <f t="shared" ref="T1196:Y1196" si="1246">IF(ISBLANK(K1196)=TRUE,0,1)</f>
        <v>0</v>
      </c>
      <c r="U1196" s="13">
        <f t="shared" si="1246"/>
        <v>0</v>
      </c>
      <c r="V1196" s="13">
        <f t="shared" si="1246"/>
        <v>1</v>
      </c>
      <c r="W1196" s="13">
        <f t="shared" si="1246"/>
        <v>1</v>
      </c>
      <c r="X1196" s="13">
        <f t="shared" si="1246"/>
        <v>0</v>
      </c>
      <c r="Y1196" s="13">
        <f t="shared" si="1246"/>
        <v>0</v>
      </c>
      <c r="Z1196" s="13">
        <f t="shared" si="529"/>
        <v>1</v>
      </c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</row>
    <row r="1197" ht="14.25" hidden="1" customHeight="1">
      <c r="A1197" s="13" t="s">
        <v>29</v>
      </c>
      <c r="B1197" s="13" t="s">
        <v>34</v>
      </c>
      <c r="C1197" s="13" t="s">
        <v>721</v>
      </c>
      <c r="D1197" s="13" t="s">
        <v>178</v>
      </c>
      <c r="E1197" s="13" t="str">
        <f t="shared" si="735"/>
        <v>LPEF,GH-35-3,AE,1</v>
      </c>
      <c r="F1197" s="13"/>
      <c r="G1197" s="13" t="s">
        <v>74</v>
      </c>
      <c r="H1197" s="13" t="s">
        <v>75</v>
      </c>
      <c r="I1197" s="13"/>
      <c r="J1197" s="13"/>
      <c r="K1197" s="15"/>
      <c r="L1197" s="15"/>
      <c r="M1197" s="16">
        <v>1.0</v>
      </c>
      <c r="N1197" s="16">
        <v>1.0</v>
      </c>
      <c r="O1197" s="17"/>
      <c r="P1197" s="17"/>
      <c r="Q1197" s="13">
        <f t="shared" si="1243"/>
        <v>2</v>
      </c>
      <c r="R1197" s="13"/>
      <c r="S1197" s="13"/>
      <c r="T1197" s="13">
        <f t="shared" ref="T1197:Y1197" si="1247">IF(ISBLANK(K1197)=TRUE,0,1)</f>
        <v>0</v>
      </c>
      <c r="U1197" s="13">
        <f t="shared" si="1247"/>
        <v>0</v>
      </c>
      <c r="V1197" s="13">
        <f t="shared" si="1247"/>
        <v>1</v>
      </c>
      <c r="W1197" s="13">
        <f t="shared" si="1247"/>
        <v>1</v>
      </c>
      <c r="X1197" s="13">
        <f t="shared" si="1247"/>
        <v>0</v>
      </c>
      <c r="Y1197" s="13">
        <f t="shared" si="1247"/>
        <v>0</v>
      </c>
      <c r="Z1197" s="13">
        <f t="shared" si="529"/>
        <v>1</v>
      </c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</row>
    <row r="1198" ht="14.25" hidden="1" customHeight="1">
      <c r="A1198" s="13" t="s">
        <v>29</v>
      </c>
      <c r="B1198" s="13" t="s">
        <v>34</v>
      </c>
      <c r="C1198" s="13" t="s">
        <v>721</v>
      </c>
      <c r="D1198" s="13" t="s">
        <v>179</v>
      </c>
      <c r="E1198" s="13" t="str">
        <f t="shared" si="735"/>
        <v>LPEF,GH-35-3,AF,1</v>
      </c>
      <c r="F1198" s="13"/>
      <c r="G1198" s="13" t="s">
        <v>74</v>
      </c>
      <c r="H1198" s="13" t="s">
        <v>75</v>
      </c>
      <c r="I1198" s="13"/>
      <c r="J1198" s="13"/>
      <c r="K1198" s="15"/>
      <c r="L1198" s="15"/>
      <c r="M1198" s="16">
        <v>1.0</v>
      </c>
      <c r="N1198" s="16">
        <v>1.0</v>
      </c>
      <c r="O1198" s="17"/>
      <c r="P1198" s="17"/>
      <c r="Q1198" s="13">
        <f t="shared" si="1243"/>
        <v>2</v>
      </c>
      <c r="R1198" s="13"/>
      <c r="S1198" s="13"/>
      <c r="T1198" s="13">
        <f t="shared" ref="T1198:Y1198" si="1248">IF(ISBLANK(K1198)=TRUE,0,1)</f>
        <v>0</v>
      </c>
      <c r="U1198" s="13">
        <f t="shared" si="1248"/>
        <v>0</v>
      </c>
      <c r="V1198" s="13">
        <f t="shared" si="1248"/>
        <v>1</v>
      </c>
      <c r="W1198" s="13">
        <f t="shared" si="1248"/>
        <v>1</v>
      </c>
      <c r="X1198" s="13">
        <f t="shared" si="1248"/>
        <v>0</v>
      </c>
      <c r="Y1198" s="13">
        <f t="shared" si="1248"/>
        <v>0</v>
      </c>
      <c r="Z1198" s="13">
        <f t="shared" si="529"/>
        <v>1</v>
      </c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</row>
    <row r="1199" ht="14.25" hidden="1" customHeight="1">
      <c r="A1199" s="13" t="s">
        <v>29</v>
      </c>
      <c r="B1199" s="13" t="s">
        <v>34</v>
      </c>
      <c r="C1199" s="13" t="s">
        <v>721</v>
      </c>
      <c r="D1199" s="13" t="s">
        <v>180</v>
      </c>
      <c r="E1199" s="13" t="str">
        <f t="shared" si="735"/>
        <v>LPEF,GH-35-3,AG,1</v>
      </c>
      <c r="F1199" s="13"/>
      <c r="G1199" s="13" t="s">
        <v>74</v>
      </c>
      <c r="H1199" s="13" t="s">
        <v>75</v>
      </c>
      <c r="I1199" s="13"/>
      <c r="J1199" s="13"/>
      <c r="K1199" s="15"/>
      <c r="L1199" s="15"/>
      <c r="M1199" s="16">
        <v>1.0</v>
      </c>
      <c r="N1199" s="16">
        <v>1.0</v>
      </c>
      <c r="O1199" s="17"/>
      <c r="P1199" s="17"/>
      <c r="Q1199" s="13">
        <f t="shared" si="1243"/>
        <v>2</v>
      </c>
      <c r="R1199" s="13"/>
      <c r="S1199" s="13"/>
      <c r="T1199" s="13">
        <f t="shared" ref="T1199:Y1199" si="1249">IF(ISBLANK(K1199)=TRUE,0,1)</f>
        <v>0</v>
      </c>
      <c r="U1199" s="13">
        <f t="shared" si="1249"/>
        <v>0</v>
      </c>
      <c r="V1199" s="13">
        <f t="shared" si="1249"/>
        <v>1</v>
      </c>
      <c r="W1199" s="13">
        <f t="shared" si="1249"/>
        <v>1</v>
      </c>
      <c r="X1199" s="13">
        <f t="shared" si="1249"/>
        <v>0</v>
      </c>
      <c r="Y1199" s="13">
        <f t="shared" si="1249"/>
        <v>0</v>
      </c>
      <c r="Z1199" s="13">
        <f t="shared" si="529"/>
        <v>1</v>
      </c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</row>
    <row r="1200" ht="14.25" hidden="1" customHeight="1">
      <c r="A1200" s="13" t="s">
        <v>29</v>
      </c>
      <c r="B1200" s="13" t="s">
        <v>34</v>
      </c>
      <c r="C1200" s="13" t="s">
        <v>721</v>
      </c>
      <c r="D1200" s="13" t="s">
        <v>181</v>
      </c>
      <c r="E1200" s="13" t="str">
        <f t="shared" si="735"/>
        <v>LPEF,GH-35-3,AH,1</v>
      </c>
      <c r="F1200" s="13"/>
      <c r="G1200" s="13" t="s">
        <v>74</v>
      </c>
      <c r="H1200" s="13" t="s">
        <v>75</v>
      </c>
      <c r="I1200" s="13"/>
      <c r="J1200" s="13"/>
      <c r="K1200" s="15"/>
      <c r="L1200" s="15"/>
      <c r="M1200" s="16">
        <v>1.0</v>
      </c>
      <c r="N1200" s="16">
        <v>1.0</v>
      </c>
      <c r="O1200" s="17"/>
      <c r="P1200" s="17"/>
      <c r="Q1200" s="13">
        <f t="shared" si="1243"/>
        <v>2</v>
      </c>
      <c r="R1200" s="13"/>
      <c r="S1200" s="13"/>
      <c r="T1200" s="13">
        <f t="shared" ref="T1200:Y1200" si="1250">IF(ISBLANK(K1200)=TRUE,0,1)</f>
        <v>0</v>
      </c>
      <c r="U1200" s="13">
        <f t="shared" si="1250"/>
        <v>0</v>
      </c>
      <c r="V1200" s="13">
        <f t="shared" si="1250"/>
        <v>1</v>
      </c>
      <c r="W1200" s="13">
        <f t="shared" si="1250"/>
        <v>1</v>
      </c>
      <c r="X1200" s="13">
        <f t="shared" si="1250"/>
        <v>0</v>
      </c>
      <c r="Y1200" s="13">
        <f t="shared" si="1250"/>
        <v>0</v>
      </c>
      <c r="Z1200" s="13">
        <f t="shared" si="529"/>
        <v>1</v>
      </c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</row>
    <row r="1201" ht="14.25" hidden="1" customHeight="1">
      <c r="A1201" s="13" t="s">
        <v>29</v>
      </c>
      <c r="B1201" s="13" t="s">
        <v>34</v>
      </c>
      <c r="C1201" s="13" t="s">
        <v>721</v>
      </c>
      <c r="D1201" s="13" t="s">
        <v>182</v>
      </c>
      <c r="E1201" s="13" t="str">
        <f t="shared" si="735"/>
        <v>LPEF,GH-35-3,AI,1</v>
      </c>
      <c r="F1201" s="13"/>
      <c r="G1201" s="13" t="s">
        <v>74</v>
      </c>
      <c r="H1201" s="13" t="s">
        <v>75</v>
      </c>
      <c r="I1201" s="13"/>
      <c r="J1201" s="13"/>
      <c r="K1201" s="15"/>
      <c r="L1201" s="15"/>
      <c r="M1201" s="16">
        <v>1.0</v>
      </c>
      <c r="N1201" s="16">
        <v>1.0</v>
      </c>
      <c r="O1201" s="17"/>
      <c r="P1201" s="17"/>
      <c r="Q1201" s="13">
        <f t="shared" si="1243"/>
        <v>2</v>
      </c>
      <c r="R1201" s="13"/>
      <c r="S1201" s="13"/>
      <c r="T1201" s="13">
        <f t="shared" ref="T1201:Y1201" si="1251">IF(ISBLANK(K1201)=TRUE,0,1)</f>
        <v>0</v>
      </c>
      <c r="U1201" s="13">
        <f t="shared" si="1251"/>
        <v>0</v>
      </c>
      <c r="V1201" s="13">
        <f t="shared" si="1251"/>
        <v>1</v>
      </c>
      <c r="W1201" s="13">
        <f t="shared" si="1251"/>
        <v>1</v>
      </c>
      <c r="X1201" s="13">
        <f t="shared" si="1251"/>
        <v>0</v>
      </c>
      <c r="Y1201" s="13">
        <f t="shared" si="1251"/>
        <v>0</v>
      </c>
      <c r="Z1201" s="13">
        <f t="shared" si="529"/>
        <v>1</v>
      </c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</row>
    <row r="1202" ht="14.25" hidden="1" customHeight="1">
      <c r="A1202" s="13" t="s">
        <v>29</v>
      </c>
      <c r="B1202" s="13" t="s">
        <v>34</v>
      </c>
      <c r="C1202" s="13" t="s">
        <v>721</v>
      </c>
      <c r="D1202" s="13" t="s">
        <v>183</v>
      </c>
      <c r="E1202" s="13" t="str">
        <f t="shared" si="735"/>
        <v>LPEF,GH-35-3,AJ,1</v>
      </c>
      <c r="F1202" s="13"/>
      <c r="G1202" s="13" t="s">
        <v>74</v>
      </c>
      <c r="H1202" s="13" t="s">
        <v>75</v>
      </c>
      <c r="I1202" s="13"/>
      <c r="J1202" s="13"/>
      <c r="K1202" s="15"/>
      <c r="L1202" s="15"/>
      <c r="M1202" s="16">
        <v>1.0</v>
      </c>
      <c r="N1202" s="16">
        <v>1.0</v>
      </c>
      <c r="O1202" s="17"/>
      <c r="P1202" s="17"/>
      <c r="Q1202" s="13">
        <f t="shared" si="1243"/>
        <v>2</v>
      </c>
      <c r="R1202" s="13"/>
      <c r="S1202" s="13"/>
      <c r="T1202" s="13">
        <f t="shared" ref="T1202:Y1202" si="1252">IF(ISBLANK(K1202)=TRUE,0,1)</f>
        <v>0</v>
      </c>
      <c r="U1202" s="13">
        <f t="shared" si="1252"/>
        <v>0</v>
      </c>
      <c r="V1202" s="13">
        <f t="shared" si="1252"/>
        <v>1</v>
      </c>
      <c r="W1202" s="13">
        <f t="shared" si="1252"/>
        <v>1</v>
      </c>
      <c r="X1202" s="13">
        <f t="shared" si="1252"/>
        <v>0</v>
      </c>
      <c r="Y1202" s="13">
        <f t="shared" si="1252"/>
        <v>0</v>
      </c>
      <c r="Z1202" s="13">
        <f t="shared" si="529"/>
        <v>1</v>
      </c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</row>
    <row r="1203" ht="14.25" hidden="1" customHeight="1">
      <c r="A1203" s="13" t="s">
        <v>29</v>
      </c>
      <c r="B1203" s="13" t="s">
        <v>34</v>
      </c>
      <c r="C1203" s="13" t="s">
        <v>721</v>
      </c>
      <c r="D1203" s="13" t="s">
        <v>184</v>
      </c>
      <c r="E1203" s="13" t="str">
        <f t="shared" si="735"/>
        <v>LPEF,GH-35-3,AK,1</v>
      </c>
      <c r="F1203" s="13"/>
      <c r="G1203" s="13" t="s">
        <v>74</v>
      </c>
      <c r="H1203" s="13" t="s">
        <v>75</v>
      </c>
      <c r="I1203" s="13"/>
      <c r="J1203" s="13"/>
      <c r="K1203" s="15"/>
      <c r="L1203" s="15"/>
      <c r="M1203" s="16">
        <v>1.0</v>
      </c>
      <c r="N1203" s="16">
        <v>1.0</v>
      </c>
      <c r="O1203" s="17"/>
      <c r="P1203" s="17"/>
      <c r="Q1203" s="13">
        <f t="shared" si="1243"/>
        <v>2</v>
      </c>
      <c r="R1203" s="13"/>
      <c r="S1203" s="13"/>
      <c r="T1203" s="13">
        <f t="shared" ref="T1203:Y1203" si="1253">IF(ISBLANK(K1203)=TRUE,0,1)</f>
        <v>0</v>
      </c>
      <c r="U1203" s="13">
        <f t="shared" si="1253"/>
        <v>0</v>
      </c>
      <c r="V1203" s="13">
        <f t="shared" si="1253"/>
        <v>1</v>
      </c>
      <c r="W1203" s="13">
        <f t="shared" si="1253"/>
        <v>1</v>
      </c>
      <c r="X1203" s="13">
        <f t="shared" si="1253"/>
        <v>0</v>
      </c>
      <c r="Y1203" s="13">
        <f t="shared" si="1253"/>
        <v>0</v>
      </c>
      <c r="Z1203" s="13">
        <f t="shared" si="529"/>
        <v>1</v>
      </c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</row>
    <row r="1204" ht="14.25" hidden="1" customHeight="1">
      <c r="A1204" s="13" t="s">
        <v>29</v>
      </c>
      <c r="B1204" s="13" t="s">
        <v>34</v>
      </c>
      <c r="C1204" s="13" t="s">
        <v>721</v>
      </c>
      <c r="D1204" s="13" t="s">
        <v>185</v>
      </c>
      <c r="E1204" s="13" t="str">
        <f t="shared" si="735"/>
        <v>LPEF,GH-35-3,AL,1</v>
      </c>
      <c r="F1204" s="13"/>
      <c r="G1204" s="13" t="s">
        <v>74</v>
      </c>
      <c r="H1204" s="13" t="s">
        <v>75</v>
      </c>
      <c r="I1204" s="13"/>
      <c r="J1204" s="13"/>
      <c r="K1204" s="15"/>
      <c r="L1204" s="15"/>
      <c r="M1204" s="16">
        <v>1.0</v>
      </c>
      <c r="N1204" s="16">
        <v>1.0</v>
      </c>
      <c r="O1204" s="17"/>
      <c r="P1204" s="17"/>
      <c r="Q1204" s="13">
        <f t="shared" si="1243"/>
        <v>2</v>
      </c>
      <c r="R1204" s="13"/>
      <c r="S1204" s="13"/>
      <c r="T1204" s="13">
        <f t="shared" ref="T1204:Y1204" si="1254">IF(ISBLANK(K1204)=TRUE,0,1)</f>
        <v>0</v>
      </c>
      <c r="U1204" s="13">
        <f t="shared" si="1254"/>
        <v>0</v>
      </c>
      <c r="V1204" s="13">
        <f t="shared" si="1254"/>
        <v>1</v>
      </c>
      <c r="W1204" s="13">
        <f t="shared" si="1254"/>
        <v>1</v>
      </c>
      <c r="X1204" s="13">
        <f t="shared" si="1254"/>
        <v>0</v>
      </c>
      <c r="Y1204" s="13">
        <f t="shared" si="1254"/>
        <v>0</v>
      </c>
      <c r="Z1204" s="13">
        <f t="shared" si="529"/>
        <v>1</v>
      </c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</row>
    <row r="1205" ht="14.25" hidden="1" customHeight="1">
      <c r="A1205" s="13" t="s">
        <v>29</v>
      </c>
      <c r="B1205" s="13" t="s">
        <v>34</v>
      </c>
      <c r="C1205" s="13" t="s">
        <v>721</v>
      </c>
      <c r="D1205" s="13" t="s">
        <v>186</v>
      </c>
      <c r="E1205" s="13" t="str">
        <f t="shared" si="735"/>
        <v>LPEF,GH-35-3,AM,1</v>
      </c>
      <c r="F1205" s="13"/>
      <c r="G1205" s="13" t="s">
        <v>74</v>
      </c>
      <c r="H1205" s="13" t="s">
        <v>75</v>
      </c>
      <c r="I1205" s="13"/>
      <c r="J1205" s="13"/>
      <c r="K1205" s="15"/>
      <c r="L1205" s="15"/>
      <c r="M1205" s="16">
        <v>1.0</v>
      </c>
      <c r="N1205" s="16">
        <v>1.0</v>
      </c>
      <c r="O1205" s="17"/>
      <c r="P1205" s="17"/>
      <c r="Q1205" s="13">
        <f t="shared" si="1243"/>
        <v>2</v>
      </c>
      <c r="R1205" s="13"/>
      <c r="S1205" s="13"/>
      <c r="T1205" s="13">
        <f t="shared" ref="T1205:Y1205" si="1255">IF(ISBLANK(K1205)=TRUE,0,1)</f>
        <v>0</v>
      </c>
      <c r="U1205" s="13">
        <f t="shared" si="1255"/>
        <v>0</v>
      </c>
      <c r="V1205" s="13">
        <f t="shared" si="1255"/>
        <v>1</v>
      </c>
      <c r="W1205" s="13">
        <f t="shared" si="1255"/>
        <v>1</v>
      </c>
      <c r="X1205" s="13">
        <f t="shared" si="1255"/>
        <v>0</v>
      </c>
      <c r="Y1205" s="13">
        <f t="shared" si="1255"/>
        <v>0</v>
      </c>
      <c r="Z1205" s="13">
        <f t="shared" si="529"/>
        <v>1</v>
      </c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</row>
    <row r="1206" ht="14.25" hidden="1" customHeight="1">
      <c r="A1206" s="13" t="s">
        <v>29</v>
      </c>
      <c r="B1206" s="13" t="s">
        <v>34</v>
      </c>
      <c r="C1206" s="13" t="s">
        <v>721</v>
      </c>
      <c r="D1206" s="13" t="s">
        <v>187</v>
      </c>
      <c r="E1206" s="13" t="str">
        <f t="shared" si="735"/>
        <v>LPEF,GH-35-3,AN,1</v>
      </c>
      <c r="F1206" s="13"/>
      <c r="G1206" s="13" t="s">
        <v>74</v>
      </c>
      <c r="H1206" s="13" t="s">
        <v>107</v>
      </c>
      <c r="I1206" s="13"/>
      <c r="J1206" s="13"/>
      <c r="K1206" s="15"/>
      <c r="L1206" s="15"/>
      <c r="M1206" s="16">
        <v>1.0</v>
      </c>
      <c r="N1206" s="16">
        <v>1.0</v>
      </c>
      <c r="O1206" s="17"/>
      <c r="P1206" s="17"/>
      <c r="Q1206" s="13">
        <f t="shared" si="1243"/>
        <v>2</v>
      </c>
      <c r="R1206" s="13"/>
      <c r="S1206" s="13"/>
      <c r="T1206" s="13">
        <f t="shared" ref="T1206:Y1206" si="1256">IF(ISBLANK(K1206)=TRUE,0,1)</f>
        <v>0</v>
      </c>
      <c r="U1206" s="13">
        <f t="shared" si="1256"/>
        <v>0</v>
      </c>
      <c r="V1206" s="13">
        <f t="shared" si="1256"/>
        <v>1</v>
      </c>
      <c r="W1206" s="13">
        <f t="shared" si="1256"/>
        <v>1</v>
      </c>
      <c r="X1206" s="13">
        <f t="shared" si="1256"/>
        <v>0</v>
      </c>
      <c r="Y1206" s="13">
        <f t="shared" si="1256"/>
        <v>0</v>
      </c>
      <c r="Z1206" s="13">
        <f t="shared" si="529"/>
        <v>1</v>
      </c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</row>
    <row r="1207" ht="14.25" hidden="1" customHeight="1">
      <c r="A1207" s="13" t="s">
        <v>29</v>
      </c>
      <c r="B1207" s="13" t="s">
        <v>34</v>
      </c>
      <c r="C1207" s="13" t="s">
        <v>721</v>
      </c>
      <c r="D1207" s="13" t="s">
        <v>188</v>
      </c>
      <c r="E1207" s="13" t="str">
        <f t="shared" si="735"/>
        <v>LPEF,GH-35-3,AO,1</v>
      </c>
      <c r="F1207" s="13"/>
      <c r="G1207" s="13" t="s">
        <v>74</v>
      </c>
      <c r="H1207" s="13" t="s">
        <v>107</v>
      </c>
      <c r="I1207" s="13"/>
      <c r="J1207" s="13"/>
      <c r="K1207" s="15"/>
      <c r="L1207" s="15"/>
      <c r="M1207" s="16">
        <v>1.0</v>
      </c>
      <c r="N1207" s="16">
        <v>1.0</v>
      </c>
      <c r="O1207" s="17"/>
      <c r="P1207" s="17"/>
      <c r="Q1207" s="13">
        <f t="shared" si="1243"/>
        <v>2</v>
      </c>
      <c r="R1207" s="13"/>
      <c r="S1207" s="13"/>
      <c r="T1207" s="13">
        <f t="shared" ref="T1207:Y1207" si="1257">IF(ISBLANK(K1207)=TRUE,0,1)</f>
        <v>0</v>
      </c>
      <c r="U1207" s="13">
        <f t="shared" si="1257"/>
        <v>0</v>
      </c>
      <c r="V1207" s="13">
        <f t="shared" si="1257"/>
        <v>1</v>
      </c>
      <c r="W1207" s="13">
        <f t="shared" si="1257"/>
        <v>1</v>
      </c>
      <c r="X1207" s="13">
        <f t="shared" si="1257"/>
        <v>0</v>
      </c>
      <c r="Y1207" s="13">
        <f t="shared" si="1257"/>
        <v>0</v>
      </c>
      <c r="Z1207" s="13">
        <f t="shared" si="529"/>
        <v>1</v>
      </c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</row>
    <row r="1208" ht="14.25" hidden="1" customHeight="1">
      <c r="A1208" s="13" t="s">
        <v>29</v>
      </c>
      <c r="B1208" s="13" t="s">
        <v>34</v>
      </c>
      <c r="C1208" s="13" t="s">
        <v>721</v>
      </c>
      <c r="D1208" s="13" t="s">
        <v>189</v>
      </c>
      <c r="E1208" s="13" t="str">
        <f t="shared" si="735"/>
        <v>LPEF,GH-35-3,AP,1</v>
      </c>
      <c r="F1208" s="13"/>
      <c r="G1208" s="13" t="s">
        <v>74</v>
      </c>
      <c r="H1208" s="13" t="s">
        <v>75</v>
      </c>
      <c r="I1208" s="13"/>
      <c r="J1208" s="13"/>
      <c r="K1208" s="15"/>
      <c r="L1208" s="15"/>
      <c r="M1208" s="16">
        <v>1.0</v>
      </c>
      <c r="N1208" s="16">
        <v>1.0</v>
      </c>
      <c r="O1208" s="17"/>
      <c r="P1208" s="17"/>
      <c r="Q1208" s="13">
        <f t="shared" si="1243"/>
        <v>2</v>
      </c>
      <c r="R1208" s="13"/>
      <c r="S1208" s="13"/>
      <c r="T1208" s="13">
        <f t="shared" ref="T1208:Y1208" si="1258">IF(ISBLANK(K1208)=TRUE,0,1)</f>
        <v>0</v>
      </c>
      <c r="U1208" s="13">
        <f t="shared" si="1258"/>
        <v>0</v>
      </c>
      <c r="V1208" s="13">
        <f t="shared" si="1258"/>
        <v>1</v>
      </c>
      <c r="W1208" s="13">
        <f t="shared" si="1258"/>
        <v>1</v>
      </c>
      <c r="X1208" s="13">
        <f t="shared" si="1258"/>
        <v>0</v>
      </c>
      <c r="Y1208" s="13">
        <f t="shared" si="1258"/>
        <v>0</v>
      </c>
      <c r="Z1208" s="13">
        <f t="shared" si="529"/>
        <v>1</v>
      </c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</row>
    <row r="1209" ht="14.25" hidden="1" customHeight="1">
      <c r="A1209" s="13" t="s">
        <v>29</v>
      </c>
      <c r="B1209" s="13" t="s">
        <v>34</v>
      </c>
      <c r="C1209" s="13" t="s">
        <v>721</v>
      </c>
      <c r="D1209" s="13" t="s">
        <v>190</v>
      </c>
      <c r="E1209" s="13" t="str">
        <f t="shared" si="735"/>
        <v>LPEF,GH-35-3,AQ,1</v>
      </c>
      <c r="F1209" s="13"/>
      <c r="G1209" s="13" t="s">
        <v>74</v>
      </c>
      <c r="H1209" s="13" t="s">
        <v>75</v>
      </c>
      <c r="I1209" s="13"/>
      <c r="J1209" s="13"/>
      <c r="K1209" s="15"/>
      <c r="L1209" s="15"/>
      <c r="M1209" s="16">
        <v>1.0</v>
      </c>
      <c r="N1209" s="16">
        <v>1.0</v>
      </c>
      <c r="O1209" s="17"/>
      <c r="P1209" s="17"/>
      <c r="Q1209" s="13">
        <f t="shared" si="1243"/>
        <v>2</v>
      </c>
      <c r="R1209" s="13"/>
      <c r="S1209" s="13"/>
      <c r="T1209" s="13">
        <f t="shared" ref="T1209:Y1209" si="1259">IF(ISBLANK(K1209)=TRUE,0,1)</f>
        <v>0</v>
      </c>
      <c r="U1209" s="13">
        <f t="shared" si="1259"/>
        <v>0</v>
      </c>
      <c r="V1209" s="13">
        <f t="shared" si="1259"/>
        <v>1</v>
      </c>
      <c r="W1209" s="13">
        <f t="shared" si="1259"/>
        <v>1</v>
      </c>
      <c r="X1209" s="13">
        <f t="shared" si="1259"/>
        <v>0</v>
      </c>
      <c r="Y1209" s="13">
        <f t="shared" si="1259"/>
        <v>0</v>
      </c>
      <c r="Z1209" s="13">
        <f t="shared" si="529"/>
        <v>1</v>
      </c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</row>
    <row r="1210" ht="14.25" hidden="1" customHeight="1">
      <c r="A1210" s="13" t="s">
        <v>29</v>
      </c>
      <c r="B1210" s="13" t="s">
        <v>34</v>
      </c>
      <c r="C1210" s="13" t="s">
        <v>721</v>
      </c>
      <c r="D1210" s="13" t="s">
        <v>191</v>
      </c>
      <c r="E1210" s="13" t="str">
        <f t="shared" si="735"/>
        <v>LPEF,GH-35-3,AR,1</v>
      </c>
      <c r="F1210" s="13"/>
      <c r="G1210" s="13" t="s">
        <v>74</v>
      </c>
      <c r="H1210" s="13" t="s">
        <v>75</v>
      </c>
      <c r="I1210" s="13"/>
      <c r="J1210" s="13"/>
      <c r="K1210" s="15"/>
      <c r="L1210" s="15"/>
      <c r="M1210" s="16">
        <v>1.0</v>
      </c>
      <c r="N1210" s="16">
        <v>1.0</v>
      </c>
      <c r="O1210" s="17"/>
      <c r="P1210" s="17"/>
      <c r="Q1210" s="13">
        <f t="shared" si="1243"/>
        <v>2</v>
      </c>
      <c r="R1210" s="13"/>
      <c r="S1210" s="13"/>
      <c r="T1210" s="13">
        <f t="shared" ref="T1210:Y1210" si="1260">IF(ISBLANK(K1210)=TRUE,0,1)</f>
        <v>0</v>
      </c>
      <c r="U1210" s="13">
        <f t="shared" si="1260"/>
        <v>0</v>
      </c>
      <c r="V1210" s="13">
        <f t="shared" si="1260"/>
        <v>1</v>
      </c>
      <c r="W1210" s="13">
        <f t="shared" si="1260"/>
        <v>1</v>
      </c>
      <c r="X1210" s="13">
        <f t="shared" si="1260"/>
        <v>0</v>
      </c>
      <c r="Y1210" s="13">
        <f t="shared" si="1260"/>
        <v>0</v>
      </c>
      <c r="Z1210" s="13">
        <f t="shared" si="529"/>
        <v>1</v>
      </c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</row>
    <row r="1211" ht="14.25" hidden="1" customHeight="1">
      <c r="A1211" s="13" t="s">
        <v>29</v>
      </c>
      <c r="B1211" s="13" t="s">
        <v>34</v>
      </c>
      <c r="C1211" s="13" t="s">
        <v>721</v>
      </c>
      <c r="D1211" s="13" t="s">
        <v>192</v>
      </c>
      <c r="E1211" s="13" t="str">
        <f t="shared" si="735"/>
        <v>LPEF,GH-35-3,AS,1</v>
      </c>
      <c r="F1211" s="13"/>
      <c r="G1211" s="13" t="s">
        <v>74</v>
      </c>
      <c r="H1211" s="13" t="s">
        <v>75</v>
      </c>
      <c r="I1211" s="13"/>
      <c r="J1211" s="13"/>
      <c r="K1211" s="15"/>
      <c r="L1211" s="15"/>
      <c r="M1211" s="16">
        <v>1.0</v>
      </c>
      <c r="N1211" s="16">
        <v>1.0</v>
      </c>
      <c r="O1211" s="17"/>
      <c r="P1211" s="17"/>
      <c r="Q1211" s="13">
        <f t="shared" si="1243"/>
        <v>2</v>
      </c>
      <c r="R1211" s="13"/>
      <c r="S1211" s="13"/>
      <c r="T1211" s="13">
        <f t="shared" ref="T1211:Y1211" si="1261">IF(ISBLANK(K1211)=TRUE,0,1)</f>
        <v>0</v>
      </c>
      <c r="U1211" s="13">
        <f t="shared" si="1261"/>
        <v>0</v>
      </c>
      <c r="V1211" s="13">
        <f t="shared" si="1261"/>
        <v>1</v>
      </c>
      <c r="W1211" s="13">
        <f t="shared" si="1261"/>
        <v>1</v>
      </c>
      <c r="X1211" s="13">
        <f t="shared" si="1261"/>
        <v>0</v>
      </c>
      <c r="Y1211" s="13">
        <f t="shared" si="1261"/>
        <v>0</v>
      </c>
      <c r="Z1211" s="13">
        <f t="shared" si="529"/>
        <v>1</v>
      </c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</row>
    <row r="1212" ht="14.25" hidden="1" customHeight="1">
      <c r="A1212" s="13" t="s">
        <v>29</v>
      </c>
      <c r="B1212" s="13" t="s">
        <v>34</v>
      </c>
      <c r="C1212" s="13" t="s">
        <v>721</v>
      </c>
      <c r="D1212" s="13" t="s">
        <v>193</v>
      </c>
      <c r="E1212" s="13" t="str">
        <f t="shared" si="735"/>
        <v>LPEF,GH-35-3,AT,1</v>
      </c>
      <c r="F1212" s="13"/>
      <c r="G1212" s="13" t="s">
        <v>74</v>
      </c>
      <c r="H1212" s="13" t="s">
        <v>75</v>
      </c>
      <c r="I1212" s="13"/>
      <c r="J1212" s="13"/>
      <c r="K1212" s="15"/>
      <c r="L1212" s="15"/>
      <c r="M1212" s="16">
        <v>1.0</v>
      </c>
      <c r="N1212" s="16">
        <v>1.0</v>
      </c>
      <c r="O1212" s="17"/>
      <c r="P1212" s="17"/>
      <c r="Q1212" s="13">
        <f t="shared" si="1243"/>
        <v>2</v>
      </c>
      <c r="R1212" s="13"/>
      <c r="S1212" s="13"/>
      <c r="T1212" s="13">
        <f t="shared" ref="T1212:Y1212" si="1262">IF(ISBLANK(K1212)=TRUE,0,1)</f>
        <v>0</v>
      </c>
      <c r="U1212" s="13">
        <f t="shared" si="1262"/>
        <v>0</v>
      </c>
      <c r="V1212" s="13">
        <f t="shared" si="1262"/>
        <v>1</v>
      </c>
      <c r="W1212" s="13">
        <f t="shared" si="1262"/>
        <v>1</v>
      </c>
      <c r="X1212" s="13">
        <f t="shared" si="1262"/>
        <v>0</v>
      </c>
      <c r="Y1212" s="13">
        <f t="shared" si="1262"/>
        <v>0</v>
      </c>
      <c r="Z1212" s="13">
        <f t="shared" si="529"/>
        <v>1</v>
      </c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</row>
    <row r="1213" ht="14.25" hidden="1" customHeight="1">
      <c r="A1213" s="13" t="s">
        <v>29</v>
      </c>
      <c r="B1213" s="13" t="s">
        <v>34</v>
      </c>
      <c r="C1213" s="13" t="s">
        <v>721</v>
      </c>
      <c r="D1213" s="13" t="s">
        <v>194</v>
      </c>
      <c r="E1213" s="13" t="str">
        <f t="shared" si="735"/>
        <v>LPEF,GH-35-3,AU,1</v>
      </c>
      <c r="F1213" s="13"/>
      <c r="G1213" s="13" t="s">
        <v>74</v>
      </c>
      <c r="H1213" s="13" t="s">
        <v>75</v>
      </c>
      <c r="I1213" s="13"/>
      <c r="J1213" s="13"/>
      <c r="K1213" s="15"/>
      <c r="L1213" s="15"/>
      <c r="M1213" s="16">
        <v>1.0</v>
      </c>
      <c r="N1213" s="16">
        <v>1.0</v>
      </c>
      <c r="O1213" s="17"/>
      <c r="P1213" s="17"/>
      <c r="Q1213" s="13">
        <f t="shared" si="1243"/>
        <v>2</v>
      </c>
      <c r="R1213" s="13"/>
      <c r="S1213" s="13"/>
      <c r="T1213" s="13">
        <f t="shared" ref="T1213:Y1213" si="1263">IF(ISBLANK(K1213)=TRUE,0,1)</f>
        <v>0</v>
      </c>
      <c r="U1213" s="13">
        <f t="shared" si="1263"/>
        <v>0</v>
      </c>
      <c r="V1213" s="13">
        <f t="shared" si="1263"/>
        <v>1</v>
      </c>
      <c r="W1213" s="13">
        <f t="shared" si="1263"/>
        <v>1</v>
      </c>
      <c r="X1213" s="13">
        <f t="shared" si="1263"/>
        <v>0</v>
      </c>
      <c r="Y1213" s="13">
        <f t="shared" si="1263"/>
        <v>0</v>
      </c>
      <c r="Z1213" s="13">
        <f t="shared" si="529"/>
        <v>1</v>
      </c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</row>
    <row r="1214" ht="14.25" hidden="1" customHeight="1">
      <c r="A1214" s="13" t="s">
        <v>29</v>
      </c>
      <c r="B1214" s="13" t="s">
        <v>34</v>
      </c>
      <c r="C1214" s="13" t="s">
        <v>721</v>
      </c>
      <c r="D1214" s="13" t="s">
        <v>195</v>
      </c>
      <c r="E1214" s="13" t="str">
        <f t="shared" si="735"/>
        <v>LPEF,GH-35-3,AV,1</v>
      </c>
      <c r="F1214" s="13"/>
      <c r="G1214" s="13" t="s">
        <v>74</v>
      </c>
      <c r="H1214" s="13" t="s">
        <v>75</v>
      </c>
      <c r="I1214" s="13"/>
      <c r="J1214" s="13"/>
      <c r="K1214" s="15"/>
      <c r="L1214" s="15"/>
      <c r="M1214" s="16">
        <v>1.0</v>
      </c>
      <c r="N1214" s="16">
        <v>1.0</v>
      </c>
      <c r="O1214" s="17"/>
      <c r="P1214" s="17"/>
      <c r="Q1214" s="13">
        <f t="shared" si="1243"/>
        <v>2</v>
      </c>
      <c r="R1214" s="13"/>
      <c r="S1214" s="13"/>
      <c r="T1214" s="13">
        <f t="shared" ref="T1214:Y1214" si="1264">IF(ISBLANK(K1214)=TRUE,0,1)</f>
        <v>0</v>
      </c>
      <c r="U1214" s="13">
        <f t="shared" si="1264"/>
        <v>0</v>
      </c>
      <c r="V1214" s="13">
        <f t="shared" si="1264"/>
        <v>1</v>
      </c>
      <c r="W1214" s="13">
        <f t="shared" si="1264"/>
        <v>1</v>
      </c>
      <c r="X1214" s="13">
        <f t="shared" si="1264"/>
        <v>0</v>
      </c>
      <c r="Y1214" s="13">
        <f t="shared" si="1264"/>
        <v>0</v>
      </c>
      <c r="Z1214" s="13">
        <f t="shared" si="529"/>
        <v>1</v>
      </c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</row>
    <row r="1215" ht="14.25" hidden="1" customHeight="1">
      <c r="A1215" s="13" t="s">
        <v>29</v>
      </c>
      <c r="B1215" s="13" t="s">
        <v>34</v>
      </c>
      <c r="C1215" s="13" t="s">
        <v>721</v>
      </c>
      <c r="D1215" s="13" t="s">
        <v>196</v>
      </c>
      <c r="E1215" s="13" t="str">
        <f t="shared" si="735"/>
        <v>LPEF,GH-35-3,AW,1</v>
      </c>
      <c r="F1215" s="13"/>
      <c r="G1215" s="13" t="s">
        <v>74</v>
      </c>
      <c r="H1215" s="13" t="s">
        <v>75</v>
      </c>
      <c r="I1215" s="13"/>
      <c r="J1215" s="13"/>
      <c r="K1215" s="15"/>
      <c r="L1215" s="15"/>
      <c r="M1215" s="16">
        <v>1.0</v>
      </c>
      <c r="N1215" s="16">
        <v>1.0</v>
      </c>
      <c r="O1215" s="17"/>
      <c r="P1215" s="17"/>
      <c r="Q1215" s="13">
        <f t="shared" si="1243"/>
        <v>2</v>
      </c>
      <c r="R1215" s="13"/>
      <c r="S1215" s="13"/>
      <c r="T1215" s="13">
        <f t="shared" ref="T1215:Y1215" si="1265">IF(ISBLANK(K1215)=TRUE,0,1)</f>
        <v>0</v>
      </c>
      <c r="U1215" s="13">
        <f t="shared" si="1265"/>
        <v>0</v>
      </c>
      <c r="V1215" s="13">
        <f t="shared" si="1265"/>
        <v>1</v>
      </c>
      <c r="W1215" s="13">
        <f t="shared" si="1265"/>
        <v>1</v>
      </c>
      <c r="X1215" s="13">
        <f t="shared" si="1265"/>
        <v>0</v>
      </c>
      <c r="Y1215" s="13">
        <f t="shared" si="1265"/>
        <v>0</v>
      </c>
      <c r="Z1215" s="13">
        <f t="shared" si="529"/>
        <v>1</v>
      </c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</row>
    <row r="1216" ht="14.25" hidden="1" customHeight="1">
      <c r="A1216" s="13" t="s">
        <v>29</v>
      </c>
      <c r="B1216" s="13" t="s">
        <v>34</v>
      </c>
      <c r="C1216" s="13" t="s">
        <v>721</v>
      </c>
      <c r="D1216" s="13" t="s">
        <v>197</v>
      </c>
      <c r="E1216" s="13" t="str">
        <f t="shared" si="735"/>
        <v>LPEF,GH-35-3,AX,1</v>
      </c>
      <c r="F1216" s="13"/>
      <c r="G1216" s="13" t="s">
        <v>74</v>
      </c>
      <c r="H1216" s="13" t="s">
        <v>75</v>
      </c>
      <c r="I1216" s="13"/>
      <c r="J1216" s="13"/>
      <c r="K1216" s="15"/>
      <c r="L1216" s="15"/>
      <c r="M1216" s="16">
        <v>1.0</v>
      </c>
      <c r="N1216" s="16">
        <v>1.0</v>
      </c>
      <c r="O1216" s="17"/>
      <c r="P1216" s="17"/>
      <c r="Q1216" s="13">
        <f t="shared" si="1243"/>
        <v>2</v>
      </c>
      <c r="R1216" s="13"/>
      <c r="S1216" s="13"/>
      <c r="T1216" s="13">
        <f t="shared" ref="T1216:Y1216" si="1266">IF(ISBLANK(K1216)=TRUE,0,1)</f>
        <v>0</v>
      </c>
      <c r="U1216" s="13">
        <f t="shared" si="1266"/>
        <v>0</v>
      </c>
      <c r="V1216" s="13">
        <f t="shared" si="1266"/>
        <v>1</v>
      </c>
      <c r="W1216" s="13">
        <f t="shared" si="1266"/>
        <v>1</v>
      </c>
      <c r="X1216" s="13">
        <f t="shared" si="1266"/>
        <v>0</v>
      </c>
      <c r="Y1216" s="13">
        <f t="shared" si="1266"/>
        <v>0</v>
      </c>
      <c r="Z1216" s="13">
        <f t="shared" si="529"/>
        <v>1</v>
      </c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</row>
    <row r="1217" ht="14.25" hidden="1" customHeight="1">
      <c r="A1217" s="13" t="s">
        <v>29</v>
      </c>
      <c r="B1217" s="13" t="s">
        <v>34</v>
      </c>
      <c r="C1217" s="13" t="s">
        <v>721</v>
      </c>
      <c r="D1217" s="13" t="s">
        <v>433</v>
      </c>
      <c r="E1217" s="13" t="str">
        <f t="shared" si="735"/>
        <v>LPEF,GH-35-3,AY,1</v>
      </c>
      <c r="F1217" s="13"/>
      <c r="G1217" s="13" t="s">
        <v>74</v>
      </c>
      <c r="H1217" s="13" t="s">
        <v>75</v>
      </c>
      <c r="I1217" s="13"/>
      <c r="J1217" s="13"/>
      <c r="K1217" s="15"/>
      <c r="L1217" s="15"/>
      <c r="M1217" s="16">
        <v>1.0</v>
      </c>
      <c r="N1217" s="16">
        <v>1.0</v>
      </c>
      <c r="O1217" s="17"/>
      <c r="P1217" s="17"/>
      <c r="Q1217" s="13">
        <f t="shared" si="1243"/>
        <v>2</v>
      </c>
      <c r="R1217" s="13"/>
      <c r="S1217" s="13"/>
      <c r="T1217" s="13">
        <f t="shared" ref="T1217:Y1217" si="1267">IF(ISBLANK(K1217)=TRUE,0,1)</f>
        <v>0</v>
      </c>
      <c r="U1217" s="13">
        <f t="shared" si="1267"/>
        <v>0</v>
      </c>
      <c r="V1217" s="13">
        <f t="shared" si="1267"/>
        <v>1</v>
      </c>
      <c r="W1217" s="13">
        <f t="shared" si="1267"/>
        <v>1</v>
      </c>
      <c r="X1217" s="13">
        <f t="shared" si="1267"/>
        <v>0</v>
      </c>
      <c r="Y1217" s="13">
        <f t="shared" si="1267"/>
        <v>0</v>
      </c>
      <c r="Z1217" s="13">
        <f t="shared" si="529"/>
        <v>1</v>
      </c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</row>
    <row r="1218" ht="14.25" hidden="1" customHeight="1">
      <c r="A1218" s="13" t="s">
        <v>29</v>
      </c>
      <c r="B1218" s="13" t="s">
        <v>34</v>
      </c>
      <c r="C1218" s="13" t="s">
        <v>721</v>
      </c>
      <c r="D1218" s="13" t="s">
        <v>434</v>
      </c>
      <c r="E1218" s="13" t="str">
        <f t="shared" si="735"/>
        <v>LPEF,GH-35-3,AZ,1</v>
      </c>
      <c r="F1218" s="13"/>
      <c r="G1218" s="13" t="s">
        <v>74</v>
      </c>
      <c r="H1218" s="13" t="s">
        <v>75</v>
      </c>
      <c r="I1218" s="13"/>
      <c r="J1218" s="13"/>
      <c r="K1218" s="15"/>
      <c r="L1218" s="15"/>
      <c r="M1218" s="16">
        <v>1.0</v>
      </c>
      <c r="N1218" s="16">
        <v>1.0</v>
      </c>
      <c r="O1218" s="17"/>
      <c r="P1218" s="17"/>
      <c r="Q1218" s="13">
        <f t="shared" si="1243"/>
        <v>2</v>
      </c>
      <c r="R1218" s="13"/>
      <c r="S1218" s="13"/>
      <c r="T1218" s="13">
        <f t="shared" ref="T1218:Y1218" si="1268">IF(ISBLANK(K1218)=TRUE,0,1)</f>
        <v>0</v>
      </c>
      <c r="U1218" s="13">
        <f t="shared" si="1268"/>
        <v>0</v>
      </c>
      <c r="V1218" s="13">
        <f t="shared" si="1268"/>
        <v>1</v>
      </c>
      <c r="W1218" s="13">
        <f t="shared" si="1268"/>
        <v>1</v>
      </c>
      <c r="X1218" s="13">
        <f t="shared" si="1268"/>
        <v>0</v>
      </c>
      <c r="Y1218" s="13">
        <f t="shared" si="1268"/>
        <v>0</v>
      </c>
      <c r="Z1218" s="13">
        <f t="shared" si="529"/>
        <v>1</v>
      </c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</row>
    <row r="1219" ht="14.25" hidden="1" customHeight="1">
      <c r="A1219" s="13" t="s">
        <v>29</v>
      </c>
      <c r="B1219" s="13" t="s">
        <v>34</v>
      </c>
      <c r="C1219" s="13" t="s">
        <v>721</v>
      </c>
      <c r="D1219" s="13" t="s">
        <v>435</v>
      </c>
      <c r="E1219" s="13" t="str">
        <f t="shared" si="735"/>
        <v>LPEF,GH-35-3,BA,1</v>
      </c>
      <c r="F1219" s="13"/>
      <c r="G1219" s="13" t="s">
        <v>74</v>
      </c>
      <c r="H1219" s="13" t="s">
        <v>75</v>
      </c>
      <c r="I1219" s="13"/>
      <c r="J1219" s="13"/>
      <c r="K1219" s="15"/>
      <c r="L1219" s="15"/>
      <c r="M1219" s="16">
        <v>1.0</v>
      </c>
      <c r="N1219" s="16">
        <v>1.0</v>
      </c>
      <c r="O1219" s="17"/>
      <c r="P1219" s="17"/>
      <c r="Q1219" s="13">
        <f t="shared" si="1243"/>
        <v>2</v>
      </c>
      <c r="R1219" s="13"/>
      <c r="S1219" s="13"/>
      <c r="T1219" s="13">
        <f t="shared" ref="T1219:Y1219" si="1269">IF(ISBLANK(K1219)=TRUE,0,1)</f>
        <v>0</v>
      </c>
      <c r="U1219" s="13">
        <f t="shared" si="1269"/>
        <v>0</v>
      </c>
      <c r="V1219" s="13">
        <f t="shared" si="1269"/>
        <v>1</v>
      </c>
      <c r="W1219" s="13">
        <f t="shared" si="1269"/>
        <v>1</v>
      </c>
      <c r="X1219" s="13">
        <f t="shared" si="1269"/>
        <v>0</v>
      </c>
      <c r="Y1219" s="13">
        <f t="shared" si="1269"/>
        <v>0</v>
      </c>
      <c r="Z1219" s="13">
        <f t="shared" si="529"/>
        <v>1</v>
      </c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</row>
    <row r="1220" ht="14.25" hidden="1" customHeight="1">
      <c r="A1220" s="13" t="s">
        <v>29</v>
      </c>
      <c r="B1220" s="13" t="s">
        <v>34</v>
      </c>
      <c r="C1220" s="13" t="s">
        <v>721</v>
      </c>
      <c r="D1220" s="13" t="s">
        <v>436</v>
      </c>
      <c r="E1220" s="13" t="str">
        <f t="shared" si="735"/>
        <v>LPEF,GH-35-3,BB,1</v>
      </c>
      <c r="F1220" s="13"/>
      <c r="G1220" s="13" t="s">
        <v>74</v>
      </c>
      <c r="H1220" s="13" t="s">
        <v>75</v>
      </c>
      <c r="I1220" s="13"/>
      <c r="J1220" s="13"/>
      <c r="K1220" s="15"/>
      <c r="L1220" s="15"/>
      <c r="M1220" s="16">
        <v>1.0</v>
      </c>
      <c r="N1220" s="16">
        <v>1.0</v>
      </c>
      <c r="O1220" s="17"/>
      <c r="P1220" s="17"/>
      <c r="Q1220" s="13">
        <f t="shared" si="1243"/>
        <v>2</v>
      </c>
      <c r="R1220" s="13"/>
      <c r="S1220" s="13"/>
      <c r="T1220" s="13">
        <f t="shared" ref="T1220:Y1220" si="1270">IF(ISBLANK(K1220)=TRUE,0,1)</f>
        <v>0</v>
      </c>
      <c r="U1220" s="13">
        <f t="shared" si="1270"/>
        <v>0</v>
      </c>
      <c r="V1220" s="13">
        <f t="shared" si="1270"/>
        <v>1</v>
      </c>
      <c r="W1220" s="13">
        <f t="shared" si="1270"/>
        <v>1</v>
      </c>
      <c r="X1220" s="13">
        <f t="shared" si="1270"/>
        <v>0</v>
      </c>
      <c r="Y1220" s="13">
        <f t="shared" si="1270"/>
        <v>0</v>
      </c>
      <c r="Z1220" s="13">
        <f t="shared" si="529"/>
        <v>1</v>
      </c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</row>
    <row r="1221" ht="14.25" hidden="1" customHeight="1">
      <c r="A1221" s="13" t="s">
        <v>29</v>
      </c>
      <c r="B1221" s="13" t="s">
        <v>34</v>
      </c>
      <c r="C1221" s="13" t="s">
        <v>721</v>
      </c>
      <c r="D1221" s="13" t="s">
        <v>437</v>
      </c>
      <c r="E1221" s="13" t="str">
        <f t="shared" si="735"/>
        <v>LPEF,GH-35-3,BC,1</v>
      </c>
      <c r="F1221" s="13"/>
      <c r="G1221" s="13" t="s">
        <v>74</v>
      </c>
      <c r="H1221" s="13" t="s">
        <v>75</v>
      </c>
      <c r="I1221" s="13"/>
      <c r="J1221" s="13"/>
      <c r="K1221" s="15"/>
      <c r="L1221" s="15"/>
      <c r="M1221" s="16">
        <v>1.0</v>
      </c>
      <c r="N1221" s="16">
        <v>1.0</v>
      </c>
      <c r="O1221" s="17"/>
      <c r="P1221" s="17"/>
      <c r="Q1221" s="13">
        <f t="shared" si="1243"/>
        <v>2</v>
      </c>
      <c r="R1221" s="13"/>
      <c r="S1221" s="13"/>
      <c r="T1221" s="13">
        <f t="shared" ref="T1221:Y1221" si="1271">IF(ISBLANK(K1221)=TRUE,0,1)</f>
        <v>0</v>
      </c>
      <c r="U1221" s="13">
        <f t="shared" si="1271"/>
        <v>0</v>
      </c>
      <c r="V1221" s="13">
        <f t="shared" si="1271"/>
        <v>1</v>
      </c>
      <c r="W1221" s="13">
        <f t="shared" si="1271"/>
        <v>1</v>
      </c>
      <c r="X1221" s="13">
        <f t="shared" si="1271"/>
        <v>0</v>
      </c>
      <c r="Y1221" s="13">
        <f t="shared" si="1271"/>
        <v>0</v>
      </c>
      <c r="Z1221" s="13">
        <f t="shared" si="529"/>
        <v>1</v>
      </c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</row>
    <row r="1222" ht="14.25" hidden="1" customHeight="1">
      <c r="A1222" s="13" t="s">
        <v>29</v>
      </c>
      <c r="B1222" s="13" t="s">
        <v>34</v>
      </c>
      <c r="C1222" s="13" t="s">
        <v>721</v>
      </c>
      <c r="D1222" s="13" t="s">
        <v>440</v>
      </c>
      <c r="E1222" s="13" t="str">
        <f t="shared" si="735"/>
        <v>LPEF,GH-35-3,BD,1</v>
      </c>
      <c r="F1222" s="13"/>
      <c r="G1222" s="13" t="s">
        <v>74</v>
      </c>
      <c r="H1222" s="13" t="s">
        <v>75</v>
      </c>
      <c r="I1222" s="13"/>
      <c r="J1222" s="13"/>
      <c r="K1222" s="15"/>
      <c r="L1222" s="15"/>
      <c r="M1222" s="16">
        <v>1.0</v>
      </c>
      <c r="N1222" s="16">
        <v>1.0</v>
      </c>
      <c r="O1222" s="17"/>
      <c r="P1222" s="17"/>
      <c r="Q1222" s="13">
        <f t="shared" si="1243"/>
        <v>2</v>
      </c>
      <c r="R1222" s="13"/>
      <c r="S1222" s="13"/>
      <c r="T1222" s="13">
        <f t="shared" ref="T1222:Y1222" si="1272">IF(ISBLANK(K1222)=TRUE,0,1)</f>
        <v>0</v>
      </c>
      <c r="U1222" s="13">
        <f t="shared" si="1272"/>
        <v>0</v>
      </c>
      <c r="V1222" s="13">
        <f t="shared" si="1272"/>
        <v>1</v>
      </c>
      <c r="W1222" s="13">
        <f t="shared" si="1272"/>
        <v>1</v>
      </c>
      <c r="X1222" s="13">
        <f t="shared" si="1272"/>
        <v>0</v>
      </c>
      <c r="Y1222" s="13">
        <f t="shared" si="1272"/>
        <v>0</v>
      </c>
      <c r="Z1222" s="13">
        <f t="shared" si="529"/>
        <v>1</v>
      </c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</row>
    <row r="1223" ht="14.25" hidden="1" customHeight="1">
      <c r="A1223" s="13" t="s">
        <v>29</v>
      </c>
      <c r="B1223" s="13" t="s">
        <v>34</v>
      </c>
      <c r="C1223" s="13" t="s">
        <v>721</v>
      </c>
      <c r="D1223" s="13" t="s">
        <v>441</v>
      </c>
      <c r="E1223" s="13" t="str">
        <f t="shared" si="735"/>
        <v>LPEF,GH-35-3,BE,1</v>
      </c>
      <c r="F1223" s="13"/>
      <c r="G1223" s="13" t="s">
        <v>74</v>
      </c>
      <c r="H1223" s="13" t="s">
        <v>75</v>
      </c>
      <c r="I1223" s="13"/>
      <c r="J1223" s="13"/>
      <c r="K1223" s="15"/>
      <c r="L1223" s="15"/>
      <c r="M1223" s="16">
        <v>1.0</v>
      </c>
      <c r="N1223" s="16">
        <v>1.0</v>
      </c>
      <c r="O1223" s="17"/>
      <c r="P1223" s="17"/>
      <c r="Q1223" s="13">
        <f t="shared" si="1243"/>
        <v>2</v>
      </c>
      <c r="R1223" s="13"/>
      <c r="S1223" s="13"/>
      <c r="T1223" s="13">
        <f t="shared" ref="T1223:Y1223" si="1273">IF(ISBLANK(K1223)=TRUE,0,1)</f>
        <v>0</v>
      </c>
      <c r="U1223" s="13">
        <f t="shared" si="1273"/>
        <v>0</v>
      </c>
      <c r="V1223" s="13">
        <f t="shared" si="1273"/>
        <v>1</v>
      </c>
      <c r="W1223" s="13">
        <f t="shared" si="1273"/>
        <v>1</v>
      </c>
      <c r="X1223" s="13">
        <f t="shared" si="1273"/>
        <v>0</v>
      </c>
      <c r="Y1223" s="13">
        <f t="shared" si="1273"/>
        <v>0</v>
      </c>
      <c r="Z1223" s="13">
        <f t="shared" si="529"/>
        <v>1</v>
      </c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</row>
    <row r="1224" ht="14.25" hidden="1" customHeight="1">
      <c r="A1224" s="13" t="s">
        <v>29</v>
      </c>
      <c r="B1224" s="13" t="s">
        <v>34</v>
      </c>
      <c r="C1224" s="13" t="s">
        <v>721</v>
      </c>
      <c r="D1224" s="13" t="s">
        <v>551</v>
      </c>
      <c r="E1224" s="13" t="str">
        <f t="shared" si="735"/>
        <v>LPEF,GH-35-3,BF,1</v>
      </c>
      <c r="F1224" s="13"/>
      <c r="G1224" s="13" t="s">
        <v>74</v>
      </c>
      <c r="H1224" s="13" t="s">
        <v>75</v>
      </c>
      <c r="I1224" s="13"/>
      <c r="J1224" s="13"/>
      <c r="K1224" s="15"/>
      <c r="L1224" s="15"/>
      <c r="M1224" s="16">
        <v>1.0</v>
      </c>
      <c r="N1224" s="16">
        <v>1.0</v>
      </c>
      <c r="O1224" s="17"/>
      <c r="P1224" s="17"/>
      <c r="Q1224" s="13">
        <f t="shared" si="1243"/>
        <v>2</v>
      </c>
      <c r="R1224" s="13"/>
      <c r="S1224" s="13"/>
      <c r="T1224" s="13">
        <f t="shared" ref="T1224:Y1224" si="1274">IF(ISBLANK(K1224)=TRUE,0,1)</f>
        <v>0</v>
      </c>
      <c r="U1224" s="13">
        <f t="shared" si="1274"/>
        <v>0</v>
      </c>
      <c r="V1224" s="13">
        <f t="shared" si="1274"/>
        <v>1</v>
      </c>
      <c r="W1224" s="13">
        <f t="shared" si="1274"/>
        <v>1</v>
      </c>
      <c r="X1224" s="13">
        <f t="shared" si="1274"/>
        <v>0</v>
      </c>
      <c r="Y1224" s="13">
        <f t="shared" si="1274"/>
        <v>0</v>
      </c>
      <c r="Z1224" s="13">
        <f t="shared" si="529"/>
        <v>1</v>
      </c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</row>
    <row r="1225" ht="14.25" hidden="1" customHeight="1">
      <c r="A1225" s="13" t="s">
        <v>29</v>
      </c>
      <c r="B1225" s="13" t="s">
        <v>34</v>
      </c>
      <c r="C1225" s="13" t="s">
        <v>721</v>
      </c>
      <c r="D1225" s="13" t="s">
        <v>553</v>
      </c>
      <c r="E1225" s="13" t="str">
        <f t="shared" si="735"/>
        <v>LPEF,GH-35-3,BG,1</v>
      </c>
      <c r="F1225" s="13"/>
      <c r="G1225" s="13" t="s">
        <v>74</v>
      </c>
      <c r="H1225" s="13" t="s">
        <v>75</v>
      </c>
      <c r="I1225" s="13"/>
      <c r="J1225" s="13"/>
      <c r="K1225" s="15"/>
      <c r="L1225" s="15"/>
      <c r="M1225" s="16">
        <v>1.0</v>
      </c>
      <c r="N1225" s="16">
        <v>1.0</v>
      </c>
      <c r="O1225" s="17"/>
      <c r="P1225" s="17"/>
      <c r="Q1225" s="13">
        <f t="shared" si="1243"/>
        <v>2</v>
      </c>
      <c r="R1225" s="13"/>
      <c r="S1225" s="13"/>
      <c r="T1225" s="13">
        <f t="shared" ref="T1225:Y1225" si="1275">IF(ISBLANK(K1225)=TRUE,0,1)</f>
        <v>0</v>
      </c>
      <c r="U1225" s="13">
        <f t="shared" si="1275"/>
        <v>0</v>
      </c>
      <c r="V1225" s="13">
        <f t="shared" si="1275"/>
        <v>1</v>
      </c>
      <c r="W1225" s="13">
        <f t="shared" si="1275"/>
        <v>1</v>
      </c>
      <c r="X1225" s="13">
        <f t="shared" si="1275"/>
        <v>0</v>
      </c>
      <c r="Y1225" s="13">
        <f t="shared" si="1275"/>
        <v>0</v>
      </c>
      <c r="Z1225" s="13">
        <f t="shared" si="529"/>
        <v>1</v>
      </c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</row>
    <row r="1226" ht="14.25" hidden="1" customHeight="1">
      <c r="A1226" s="13" t="s">
        <v>29</v>
      </c>
      <c r="B1226" s="13" t="s">
        <v>34</v>
      </c>
      <c r="C1226" s="13" t="s">
        <v>721</v>
      </c>
      <c r="D1226" s="13" t="s">
        <v>554</v>
      </c>
      <c r="E1226" s="13" t="str">
        <f t="shared" si="735"/>
        <v>LPEF,GH-35-3,BH,1</v>
      </c>
      <c r="F1226" s="13"/>
      <c r="G1226" s="13" t="s">
        <v>74</v>
      </c>
      <c r="H1226" s="13" t="s">
        <v>75</v>
      </c>
      <c r="I1226" s="13"/>
      <c r="J1226" s="13"/>
      <c r="K1226" s="15"/>
      <c r="L1226" s="15"/>
      <c r="M1226" s="16">
        <v>1.0</v>
      </c>
      <c r="N1226" s="16">
        <v>1.0</v>
      </c>
      <c r="O1226" s="17"/>
      <c r="P1226" s="17"/>
      <c r="Q1226" s="13">
        <f t="shared" si="1243"/>
        <v>2</v>
      </c>
      <c r="R1226" s="13"/>
      <c r="S1226" s="13"/>
      <c r="T1226" s="13">
        <f t="shared" ref="T1226:Y1226" si="1276">IF(ISBLANK(K1226)=TRUE,0,1)</f>
        <v>0</v>
      </c>
      <c r="U1226" s="13">
        <f t="shared" si="1276"/>
        <v>0</v>
      </c>
      <c r="V1226" s="13">
        <f t="shared" si="1276"/>
        <v>1</v>
      </c>
      <c r="W1226" s="13">
        <f t="shared" si="1276"/>
        <v>1</v>
      </c>
      <c r="X1226" s="13">
        <f t="shared" si="1276"/>
        <v>0</v>
      </c>
      <c r="Y1226" s="13">
        <f t="shared" si="1276"/>
        <v>0</v>
      </c>
      <c r="Z1226" s="13">
        <f t="shared" si="529"/>
        <v>1</v>
      </c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</row>
    <row r="1227" ht="14.25" hidden="1" customHeight="1">
      <c r="A1227" s="13" t="s">
        <v>29</v>
      </c>
      <c r="B1227" s="13" t="s">
        <v>34</v>
      </c>
      <c r="C1227" s="13" t="s">
        <v>721</v>
      </c>
      <c r="D1227" s="13" t="s">
        <v>555</v>
      </c>
      <c r="E1227" s="13" t="str">
        <f t="shared" si="735"/>
        <v>LPEF,GH-35-3,BI,1</v>
      </c>
      <c r="F1227" s="13"/>
      <c r="G1227" s="13" t="s">
        <v>74</v>
      </c>
      <c r="H1227" s="13" t="s">
        <v>75</v>
      </c>
      <c r="I1227" s="13"/>
      <c r="J1227" s="13"/>
      <c r="K1227" s="15"/>
      <c r="L1227" s="15"/>
      <c r="M1227" s="16">
        <v>1.0</v>
      </c>
      <c r="N1227" s="16">
        <v>1.0</v>
      </c>
      <c r="O1227" s="17"/>
      <c r="P1227" s="17"/>
      <c r="Q1227" s="13">
        <f t="shared" si="1243"/>
        <v>2</v>
      </c>
      <c r="R1227" s="13"/>
      <c r="S1227" s="13"/>
      <c r="T1227" s="13">
        <f t="shared" ref="T1227:Y1227" si="1277">IF(ISBLANK(K1227)=TRUE,0,1)</f>
        <v>0</v>
      </c>
      <c r="U1227" s="13">
        <f t="shared" si="1277"/>
        <v>0</v>
      </c>
      <c r="V1227" s="13">
        <f t="shared" si="1277"/>
        <v>1</v>
      </c>
      <c r="W1227" s="13">
        <f t="shared" si="1277"/>
        <v>1</v>
      </c>
      <c r="X1227" s="13">
        <f t="shared" si="1277"/>
        <v>0</v>
      </c>
      <c r="Y1227" s="13">
        <f t="shared" si="1277"/>
        <v>0</v>
      </c>
      <c r="Z1227" s="13">
        <f t="shared" si="529"/>
        <v>1</v>
      </c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</row>
    <row r="1228" ht="14.25" hidden="1" customHeight="1">
      <c r="A1228" s="13" t="s">
        <v>29</v>
      </c>
      <c r="B1228" s="13" t="s">
        <v>34</v>
      </c>
      <c r="C1228" s="13" t="s">
        <v>721</v>
      </c>
      <c r="D1228" s="13" t="s">
        <v>168</v>
      </c>
      <c r="E1228" s="13" t="str">
        <f t="shared" si="735"/>
        <v>LPEF,GH-35-3,BJ,1</v>
      </c>
      <c r="F1228" s="13"/>
      <c r="G1228" s="13" t="s">
        <v>74</v>
      </c>
      <c r="H1228" s="13" t="s">
        <v>75</v>
      </c>
      <c r="I1228" s="13"/>
      <c r="J1228" s="13"/>
      <c r="K1228" s="15"/>
      <c r="L1228" s="15"/>
      <c r="M1228" s="16">
        <v>1.0</v>
      </c>
      <c r="N1228" s="16">
        <v>1.0</v>
      </c>
      <c r="O1228" s="17"/>
      <c r="P1228" s="17"/>
      <c r="Q1228" s="13">
        <f t="shared" si="1243"/>
        <v>2</v>
      </c>
      <c r="R1228" s="13"/>
      <c r="S1228" s="13"/>
      <c r="T1228" s="13">
        <f t="shared" ref="T1228:Y1228" si="1278">IF(ISBLANK(K1228)=TRUE,0,1)</f>
        <v>0</v>
      </c>
      <c r="U1228" s="13">
        <f t="shared" si="1278"/>
        <v>0</v>
      </c>
      <c r="V1228" s="13">
        <f t="shared" si="1278"/>
        <v>1</v>
      </c>
      <c r="W1228" s="13">
        <f t="shared" si="1278"/>
        <v>1</v>
      </c>
      <c r="X1228" s="13">
        <f t="shared" si="1278"/>
        <v>0</v>
      </c>
      <c r="Y1228" s="13">
        <f t="shared" si="1278"/>
        <v>0</v>
      </c>
      <c r="Z1228" s="13">
        <f t="shared" si="529"/>
        <v>1</v>
      </c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</row>
    <row r="1229" ht="14.25" hidden="1" customHeight="1">
      <c r="A1229" s="13" t="s">
        <v>29</v>
      </c>
      <c r="B1229" s="13" t="s">
        <v>34</v>
      </c>
      <c r="C1229" s="13" t="s">
        <v>721</v>
      </c>
      <c r="D1229" s="13" t="s">
        <v>169</v>
      </c>
      <c r="E1229" s="13" t="str">
        <f t="shared" si="735"/>
        <v>LPEF,GH-35-3,BK,1</v>
      </c>
      <c r="F1229" s="13"/>
      <c r="G1229" s="13" t="s">
        <v>74</v>
      </c>
      <c r="H1229" s="13" t="s">
        <v>75</v>
      </c>
      <c r="I1229" s="13"/>
      <c r="J1229" s="13"/>
      <c r="K1229" s="15"/>
      <c r="L1229" s="15"/>
      <c r="M1229" s="16">
        <v>1.0</v>
      </c>
      <c r="N1229" s="16">
        <v>1.0</v>
      </c>
      <c r="O1229" s="17"/>
      <c r="P1229" s="17"/>
      <c r="Q1229" s="13">
        <f t="shared" si="1243"/>
        <v>2</v>
      </c>
      <c r="R1229" s="13"/>
      <c r="S1229" s="13"/>
      <c r="T1229" s="13">
        <f t="shared" ref="T1229:Y1229" si="1279">IF(ISBLANK(K1229)=TRUE,0,1)</f>
        <v>0</v>
      </c>
      <c r="U1229" s="13">
        <f t="shared" si="1279"/>
        <v>0</v>
      </c>
      <c r="V1229" s="13">
        <f t="shared" si="1279"/>
        <v>1</v>
      </c>
      <c r="W1229" s="13">
        <f t="shared" si="1279"/>
        <v>1</v>
      </c>
      <c r="X1229" s="13">
        <f t="shared" si="1279"/>
        <v>0</v>
      </c>
      <c r="Y1229" s="13">
        <f t="shared" si="1279"/>
        <v>0</v>
      </c>
      <c r="Z1229" s="13">
        <f t="shared" si="529"/>
        <v>1</v>
      </c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</row>
    <row r="1230" ht="14.25" hidden="1" customHeight="1">
      <c r="A1230" s="13" t="s">
        <v>29</v>
      </c>
      <c r="B1230" s="13" t="s">
        <v>34</v>
      </c>
      <c r="C1230" s="13" t="s">
        <v>721</v>
      </c>
      <c r="D1230" s="13" t="s">
        <v>170</v>
      </c>
      <c r="E1230" s="13" t="str">
        <f t="shared" si="735"/>
        <v>LPEF,GH-35-3,BL,1</v>
      </c>
      <c r="F1230" s="13"/>
      <c r="G1230" s="13" t="s">
        <v>74</v>
      </c>
      <c r="H1230" s="13" t="s">
        <v>75</v>
      </c>
      <c r="I1230" s="13"/>
      <c r="J1230" s="13"/>
      <c r="K1230" s="15"/>
      <c r="L1230" s="15"/>
      <c r="M1230" s="16">
        <v>1.0</v>
      </c>
      <c r="N1230" s="16">
        <v>1.0</v>
      </c>
      <c r="O1230" s="17"/>
      <c r="P1230" s="17"/>
      <c r="Q1230" s="13">
        <f t="shared" si="1243"/>
        <v>2</v>
      </c>
      <c r="R1230" s="13"/>
      <c r="S1230" s="13"/>
      <c r="T1230" s="13">
        <f t="shared" ref="T1230:Y1230" si="1280">IF(ISBLANK(K1230)=TRUE,0,1)</f>
        <v>0</v>
      </c>
      <c r="U1230" s="13">
        <f t="shared" si="1280"/>
        <v>0</v>
      </c>
      <c r="V1230" s="13">
        <f t="shared" si="1280"/>
        <v>1</v>
      </c>
      <c r="W1230" s="13">
        <f t="shared" si="1280"/>
        <v>1</v>
      </c>
      <c r="X1230" s="13">
        <f t="shared" si="1280"/>
        <v>0</v>
      </c>
      <c r="Y1230" s="13">
        <f t="shared" si="1280"/>
        <v>0</v>
      </c>
      <c r="Z1230" s="13">
        <f t="shared" si="529"/>
        <v>1</v>
      </c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</row>
    <row r="1231" ht="14.25" hidden="1" customHeight="1">
      <c r="A1231" s="13" t="s">
        <v>29</v>
      </c>
      <c r="B1231" s="13" t="s">
        <v>34</v>
      </c>
      <c r="C1231" s="13" t="s">
        <v>721</v>
      </c>
      <c r="D1231" s="13" t="s">
        <v>171</v>
      </c>
      <c r="E1231" s="13" t="str">
        <f t="shared" si="735"/>
        <v>LPEF,GH-35-3,BM,1</v>
      </c>
      <c r="F1231" s="13"/>
      <c r="G1231" s="13" t="s">
        <v>74</v>
      </c>
      <c r="H1231" s="13" t="s">
        <v>75</v>
      </c>
      <c r="I1231" s="13"/>
      <c r="J1231" s="13"/>
      <c r="K1231" s="15"/>
      <c r="L1231" s="15"/>
      <c r="M1231" s="16">
        <v>1.0</v>
      </c>
      <c r="N1231" s="16">
        <v>1.0</v>
      </c>
      <c r="O1231" s="17"/>
      <c r="P1231" s="17"/>
      <c r="Q1231" s="13">
        <f t="shared" si="1243"/>
        <v>2</v>
      </c>
      <c r="R1231" s="13"/>
      <c r="S1231" s="13"/>
      <c r="T1231" s="13">
        <f t="shared" ref="T1231:Y1231" si="1281">IF(ISBLANK(K1231)=TRUE,0,1)</f>
        <v>0</v>
      </c>
      <c r="U1231" s="13">
        <f t="shared" si="1281"/>
        <v>0</v>
      </c>
      <c r="V1231" s="13">
        <f t="shared" si="1281"/>
        <v>1</v>
      </c>
      <c r="W1231" s="13">
        <f t="shared" si="1281"/>
        <v>1</v>
      </c>
      <c r="X1231" s="13">
        <f t="shared" si="1281"/>
        <v>0</v>
      </c>
      <c r="Y1231" s="13">
        <f t="shared" si="1281"/>
        <v>0</v>
      </c>
      <c r="Z1231" s="13">
        <f t="shared" si="529"/>
        <v>1</v>
      </c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</row>
    <row r="1232" ht="14.25" hidden="1" customHeight="1">
      <c r="A1232" s="13" t="s">
        <v>29</v>
      </c>
      <c r="B1232" s="13" t="s">
        <v>34</v>
      </c>
      <c r="C1232" s="13" t="s">
        <v>721</v>
      </c>
      <c r="D1232" s="13" t="s">
        <v>172</v>
      </c>
      <c r="E1232" s="13" t="str">
        <f t="shared" si="735"/>
        <v>LPEF,GH-35-3,BN,1</v>
      </c>
      <c r="F1232" s="13"/>
      <c r="G1232" s="13" t="s">
        <v>74</v>
      </c>
      <c r="H1232" s="13" t="s">
        <v>75</v>
      </c>
      <c r="I1232" s="13"/>
      <c r="J1232" s="13"/>
      <c r="K1232" s="15"/>
      <c r="L1232" s="15"/>
      <c r="M1232" s="16">
        <v>1.0</v>
      </c>
      <c r="N1232" s="16">
        <v>1.0</v>
      </c>
      <c r="O1232" s="17"/>
      <c r="P1232" s="17"/>
      <c r="Q1232" s="13">
        <f t="shared" si="1243"/>
        <v>2</v>
      </c>
      <c r="R1232" s="13"/>
      <c r="S1232" s="13"/>
      <c r="T1232" s="13">
        <f t="shared" ref="T1232:Y1232" si="1282">IF(ISBLANK(K1232)=TRUE,0,1)</f>
        <v>0</v>
      </c>
      <c r="U1232" s="13">
        <f t="shared" si="1282"/>
        <v>0</v>
      </c>
      <c r="V1232" s="13">
        <f t="shared" si="1282"/>
        <v>1</v>
      </c>
      <c r="W1232" s="13">
        <f t="shared" si="1282"/>
        <v>1</v>
      </c>
      <c r="X1232" s="13">
        <f t="shared" si="1282"/>
        <v>0</v>
      </c>
      <c r="Y1232" s="13">
        <f t="shared" si="1282"/>
        <v>0</v>
      </c>
      <c r="Z1232" s="13">
        <f t="shared" si="529"/>
        <v>1</v>
      </c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</row>
    <row r="1233" ht="14.25" hidden="1" customHeight="1">
      <c r="A1233" s="13" t="s">
        <v>29</v>
      </c>
      <c r="B1233" s="13" t="s">
        <v>34</v>
      </c>
      <c r="C1233" s="13" t="s">
        <v>721</v>
      </c>
      <c r="D1233" s="13" t="s">
        <v>556</v>
      </c>
      <c r="E1233" s="13" t="str">
        <f t="shared" si="735"/>
        <v>LPEF,GH-35-3,BO,1</v>
      </c>
      <c r="F1233" s="13"/>
      <c r="G1233" s="13" t="s">
        <v>74</v>
      </c>
      <c r="H1233" s="13" t="s">
        <v>75</v>
      </c>
      <c r="I1233" s="13"/>
      <c r="J1233" s="13"/>
      <c r="K1233" s="15"/>
      <c r="L1233" s="15"/>
      <c r="M1233" s="16">
        <v>1.0</v>
      </c>
      <c r="N1233" s="16">
        <v>1.0</v>
      </c>
      <c r="O1233" s="17"/>
      <c r="P1233" s="17"/>
      <c r="Q1233" s="13">
        <f t="shared" si="1243"/>
        <v>2</v>
      </c>
      <c r="R1233" s="13"/>
      <c r="S1233" s="13"/>
      <c r="T1233" s="13">
        <f t="shared" ref="T1233:Y1233" si="1283">IF(ISBLANK(K1233)=TRUE,0,1)</f>
        <v>0</v>
      </c>
      <c r="U1233" s="13">
        <f t="shared" si="1283"/>
        <v>0</v>
      </c>
      <c r="V1233" s="13">
        <f t="shared" si="1283"/>
        <v>1</v>
      </c>
      <c r="W1233" s="13">
        <f t="shared" si="1283"/>
        <v>1</v>
      </c>
      <c r="X1233" s="13">
        <f t="shared" si="1283"/>
        <v>0</v>
      </c>
      <c r="Y1233" s="13">
        <f t="shared" si="1283"/>
        <v>0</v>
      </c>
      <c r="Z1233" s="13">
        <f t="shared" si="529"/>
        <v>1</v>
      </c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</row>
    <row r="1234" ht="14.25" hidden="1" customHeight="1">
      <c r="A1234" s="13" t="s">
        <v>29</v>
      </c>
      <c r="B1234" s="13" t="s">
        <v>34</v>
      </c>
      <c r="C1234" s="13" t="s">
        <v>721</v>
      </c>
      <c r="D1234" s="13" t="s">
        <v>557</v>
      </c>
      <c r="E1234" s="13" t="str">
        <f t="shared" si="735"/>
        <v>LPEF,GH-35-3,BP,1</v>
      </c>
      <c r="F1234" s="13"/>
      <c r="G1234" s="13" t="s">
        <v>74</v>
      </c>
      <c r="H1234" s="13" t="s">
        <v>75</v>
      </c>
      <c r="I1234" s="13"/>
      <c r="J1234" s="13"/>
      <c r="K1234" s="15"/>
      <c r="L1234" s="15"/>
      <c r="M1234" s="16">
        <v>1.0</v>
      </c>
      <c r="N1234" s="16">
        <v>1.0</v>
      </c>
      <c r="O1234" s="17"/>
      <c r="P1234" s="17"/>
      <c r="Q1234" s="13">
        <f t="shared" si="1243"/>
        <v>2</v>
      </c>
      <c r="R1234" s="13"/>
      <c r="S1234" s="13"/>
      <c r="T1234" s="13">
        <f t="shared" ref="T1234:Y1234" si="1284">IF(ISBLANK(K1234)=TRUE,0,1)</f>
        <v>0</v>
      </c>
      <c r="U1234" s="13">
        <f t="shared" si="1284"/>
        <v>0</v>
      </c>
      <c r="V1234" s="13">
        <f t="shared" si="1284"/>
        <v>1</v>
      </c>
      <c r="W1234" s="13">
        <f t="shared" si="1284"/>
        <v>1</v>
      </c>
      <c r="X1234" s="13">
        <f t="shared" si="1284"/>
        <v>0</v>
      </c>
      <c r="Y1234" s="13">
        <f t="shared" si="1284"/>
        <v>0</v>
      </c>
      <c r="Z1234" s="13">
        <f t="shared" si="529"/>
        <v>1</v>
      </c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</row>
    <row r="1235" ht="14.25" hidden="1" customHeight="1">
      <c r="A1235" s="13" t="s">
        <v>29</v>
      </c>
      <c r="B1235" s="13" t="s">
        <v>34</v>
      </c>
      <c r="C1235" s="13" t="s">
        <v>721</v>
      </c>
      <c r="D1235" s="13" t="s">
        <v>110</v>
      </c>
      <c r="E1235" s="13" t="str">
        <f t="shared" si="735"/>
        <v>LPEF,GH-35-3,BQ,1</v>
      </c>
      <c r="F1235" s="13"/>
      <c r="G1235" s="13" t="s">
        <v>74</v>
      </c>
      <c r="H1235" s="13" t="s">
        <v>75</v>
      </c>
      <c r="I1235" s="13"/>
      <c r="J1235" s="13"/>
      <c r="K1235" s="15"/>
      <c r="L1235" s="15"/>
      <c r="M1235" s="16">
        <v>1.0</v>
      </c>
      <c r="N1235" s="16">
        <v>1.0</v>
      </c>
      <c r="O1235" s="17"/>
      <c r="P1235" s="17"/>
      <c r="Q1235" s="13">
        <f t="shared" si="1243"/>
        <v>2</v>
      </c>
      <c r="R1235" s="13"/>
      <c r="S1235" s="13"/>
      <c r="T1235" s="13">
        <f t="shared" ref="T1235:Y1235" si="1285">IF(ISBLANK(K1235)=TRUE,0,1)</f>
        <v>0</v>
      </c>
      <c r="U1235" s="13">
        <f t="shared" si="1285"/>
        <v>0</v>
      </c>
      <c r="V1235" s="13">
        <f t="shared" si="1285"/>
        <v>1</v>
      </c>
      <c r="W1235" s="13">
        <f t="shared" si="1285"/>
        <v>1</v>
      </c>
      <c r="X1235" s="13">
        <f t="shared" si="1285"/>
        <v>0</v>
      </c>
      <c r="Y1235" s="13">
        <f t="shared" si="1285"/>
        <v>0</v>
      </c>
      <c r="Z1235" s="13">
        <f t="shared" si="529"/>
        <v>1</v>
      </c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</row>
    <row r="1236" ht="14.25" hidden="1" customHeight="1">
      <c r="A1236" s="13" t="s">
        <v>29</v>
      </c>
      <c r="B1236" s="13" t="s">
        <v>34</v>
      </c>
      <c r="C1236" s="13" t="s">
        <v>721</v>
      </c>
      <c r="D1236" s="13" t="s">
        <v>113</v>
      </c>
      <c r="E1236" s="13" t="str">
        <f t="shared" si="735"/>
        <v>LPEF,GH-35-3,BR,1</v>
      </c>
      <c r="F1236" s="13"/>
      <c r="G1236" s="13" t="s">
        <v>74</v>
      </c>
      <c r="H1236" s="13" t="s">
        <v>75</v>
      </c>
      <c r="I1236" s="13"/>
      <c r="J1236" s="13"/>
      <c r="K1236" s="15"/>
      <c r="L1236" s="15"/>
      <c r="M1236" s="16">
        <v>1.0</v>
      </c>
      <c r="N1236" s="16">
        <v>1.0</v>
      </c>
      <c r="O1236" s="17"/>
      <c r="P1236" s="17"/>
      <c r="Q1236" s="13">
        <f t="shared" si="1243"/>
        <v>2</v>
      </c>
      <c r="R1236" s="13"/>
      <c r="S1236" s="13"/>
      <c r="T1236" s="13">
        <f t="shared" ref="T1236:Y1236" si="1286">IF(ISBLANK(K1236)=TRUE,0,1)</f>
        <v>0</v>
      </c>
      <c r="U1236" s="13">
        <f t="shared" si="1286"/>
        <v>0</v>
      </c>
      <c r="V1236" s="13">
        <f t="shared" si="1286"/>
        <v>1</v>
      </c>
      <c r="W1236" s="13">
        <f t="shared" si="1286"/>
        <v>1</v>
      </c>
      <c r="X1236" s="13">
        <f t="shared" si="1286"/>
        <v>0</v>
      </c>
      <c r="Y1236" s="13">
        <f t="shared" si="1286"/>
        <v>0</v>
      </c>
      <c r="Z1236" s="13">
        <f t="shared" si="529"/>
        <v>1</v>
      </c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</row>
    <row r="1237" ht="14.25" hidden="1" customHeight="1">
      <c r="A1237" s="13" t="s">
        <v>29</v>
      </c>
      <c r="B1237" s="13" t="s">
        <v>34</v>
      </c>
      <c r="C1237" s="13" t="s">
        <v>721</v>
      </c>
      <c r="D1237" s="13" t="s">
        <v>115</v>
      </c>
      <c r="E1237" s="13" t="str">
        <f t="shared" si="735"/>
        <v>LPEF,GH-35-3,BS,1</v>
      </c>
      <c r="F1237" s="13"/>
      <c r="G1237" s="13" t="s">
        <v>74</v>
      </c>
      <c r="H1237" s="13" t="s">
        <v>75</v>
      </c>
      <c r="I1237" s="13"/>
      <c r="J1237" s="13"/>
      <c r="K1237" s="15"/>
      <c r="L1237" s="15"/>
      <c r="M1237" s="16">
        <v>1.0</v>
      </c>
      <c r="N1237" s="16">
        <v>1.0</v>
      </c>
      <c r="O1237" s="17"/>
      <c r="P1237" s="17"/>
      <c r="Q1237" s="13">
        <f t="shared" si="1243"/>
        <v>2</v>
      </c>
      <c r="R1237" s="13"/>
      <c r="S1237" s="13"/>
      <c r="T1237" s="13">
        <f t="shared" ref="T1237:Y1237" si="1287">IF(ISBLANK(K1237)=TRUE,0,1)</f>
        <v>0</v>
      </c>
      <c r="U1237" s="13">
        <f t="shared" si="1287"/>
        <v>0</v>
      </c>
      <c r="V1237" s="13">
        <f t="shared" si="1287"/>
        <v>1</v>
      </c>
      <c r="W1237" s="13">
        <f t="shared" si="1287"/>
        <v>1</v>
      </c>
      <c r="X1237" s="13">
        <f t="shared" si="1287"/>
        <v>0</v>
      </c>
      <c r="Y1237" s="13">
        <f t="shared" si="1287"/>
        <v>0</v>
      </c>
      <c r="Z1237" s="13">
        <f t="shared" si="529"/>
        <v>1</v>
      </c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</row>
    <row r="1238" ht="14.25" hidden="1" customHeight="1">
      <c r="A1238" s="13" t="s">
        <v>29</v>
      </c>
      <c r="B1238" s="13" t="s">
        <v>34</v>
      </c>
      <c r="C1238" s="13" t="s">
        <v>721</v>
      </c>
      <c r="D1238" s="13" t="s">
        <v>117</v>
      </c>
      <c r="E1238" s="13" t="str">
        <f t="shared" si="735"/>
        <v>LPEF,GH-35-3,BT,1</v>
      </c>
      <c r="F1238" s="13"/>
      <c r="G1238" s="13" t="s">
        <v>74</v>
      </c>
      <c r="H1238" s="13" t="s">
        <v>107</v>
      </c>
      <c r="I1238" s="13"/>
      <c r="J1238" s="13"/>
      <c r="K1238" s="15"/>
      <c r="L1238" s="15"/>
      <c r="M1238" s="16">
        <v>1.0</v>
      </c>
      <c r="N1238" s="16">
        <v>1.0</v>
      </c>
      <c r="O1238" s="17"/>
      <c r="P1238" s="17"/>
      <c r="Q1238" s="13">
        <f t="shared" si="1243"/>
        <v>2</v>
      </c>
      <c r="R1238" s="13"/>
      <c r="S1238" s="13"/>
      <c r="T1238" s="13">
        <f t="shared" ref="T1238:Y1238" si="1288">IF(ISBLANK(K1238)=TRUE,0,1)</f>
        <v>0</v>
      </c>
      <c r="U1238" s="13">
        <f t="shared" si="1288"/>
        <v>0</v>
      </c>
      <c r="V1238" s="13">
        <f t="shared" si="1288"/>
        <v>1</v>
      </c>
      <c r="W1238" s="13">
        <f t="shared" si="1288"/>
        <v>1</v>
      </c>
      <c r="X1238" s="13">
        <f t="shared" si="1288"/>
        <v>0</v>
      </c>
      <c r="Y1238" s="13">
        <f t="shared" si="1288"/>
        <v>0</v>
      </c>
      <c r="Z1238" s="13">
        <f t="shared" si="529"/>
        <v>1</v>
      </c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</row>
    <row r="1239" ht="14.25" hidden="1" customHeight="1">
      <c r="A1239" s="13" t="s">
        <v>29</v>
      </c>
      <c r="B1239" s="13" t="s">
        <v>34</v>
      </c>
      <c r="C1239" s="13" t="s">
        <v>721</v>
      </c>
      <c r="D1239" s="13" t="s">
        <v>119</v>
      </c>
      <c r="E1239" s="13" t="str">
        <f t="shared" si="735"/>
        <v>LPEF,GH-35-3,BU,1</v>
      </c>
      <c r="F1239" s="13"/>
      <c r="G1239" s="13" t="s">
        <v>74</v>
      </c>
      <c r="H1239" s="13" t="s">
        <v>75</v>
      </c>
      <c r="I1239" s="13"/>
      <c r="J1239" s="13"/>
      <c r="K1239" s="15"/>
      <c r="L1239" s="15"/>
      <c r="M1239" s="16">
        <v>1.0</v>
      </c>
      <c r="N1239" s="16">
        <v>1.0</v>
      </c>
      <c r="O1239" s="17"/>
      <c r="P1239" s="17"/>
      <c r="Q1239" s="13">
        <f t="shared" si="1243"/>
        <v>2</v>
      </c>
      <c r="R1239" s="13"/>
      <c r="S1239" s="13"/>
      <c r="T1239" s="13">
        <f t="shared" ref="T1239:Y1239" si="1289">IF(ISBLANK(K1239)=TRUE,0,1)</f>
        <v>0</v>
      </c>
      <c r="U1239" s="13">
        <f t="shared" si="1289"/>
        <v>0</v>
      </c>
      <c r="V1239" s="13">
        <f t="shared" si="1289"/>
        <v>1</v>
      </c>
      <c r="W1239" s="13">
        <f t="shared" si="1289"/>
        <v>1</v>
      </c>
      <c r="X1239" s="13">
        <f t="shared" si="1289"/>
        <v>0</v>
      </c>
      <c r="Y1239" s="13">
        <f t="shared" si="1289"/>
        <v>0</v>
      </c>
      <c r="Z1239" s="13">
        <f t="shared" si="529"/>
        <v>1</v>
      </c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</row>
    <row r="1240" ht="14.25" hidden="1" customHeight="1">
      <c r="A1240" s="13" t="s">
        <v>29</v>
      </c>
      <c r="B1240" s="13" t="s">
        <v>34</v>
      </c>
      <c r="C1240" s="13" t="s">
        <v>721</v>
      </c>
      <c r="D1240" s="13" t="s">
        <v>120</v>
      </c>
      <c r="E1240" s="13" t="str">
        <f t="shared" si="735"/>
        <v>LPEF,GH-35-3,BV,1</v>
      </c>
      <c r="F1240" s="13"/>
      <c r="G1240" s="13" t="s">
        <v>74</v>
      </c>
      <c r="H1240" s="13" t="s">
        <v>75</v>
      </c>
      <c r="I1240" s="13"/>
      <c r="J1240" s="13"/>
      <c r="K1240" s="15"/>
      <c r="L1240" s="15"/>
      <c r="M1240" s="16">
        <v>1.0</v>
      </c>
      <c r="N1240" s="16">
        <v>1.0</v>
      </c>
      <c r="O1240" s="17"/>
      <c r="P1240" s="17"/>
      <c r="Q1240" s="13">
        <f t="shared" si="1243"/>
        <v>2</v>
      </c>
      <c r="R1240" s="13"/>
      <c r="S1240" s="13"/>
      <c r="T1240" s="13">
        <f t="shared" ref="T1240:Y1240" si="1290">IF(ISBLANK(K1240)=TRUE,0,1)</f>
        <v>0</v>
      </c>
      <c r="U1240" s="13">
        <f t="shared" si="1290"/>
        <v>0</v>
      </c>
      <c r="V1240" s="13">
        <f t="shared" si="1290"/>
        <v>1</v>
      </c>
      <c r="W1240" s="13">
        <f t="shared" si="1290"/>
        <v>1</v>
      </c>
      <c r="X1240" s="13">
        <f t="shared" si="1290"/>
        <v>0</v>
      </c>
      <c r="Y1240" s="13">
        <f t="shared" si="1290"/>
        <v>0</v>
      </c>
      <c r="Z1240" s="13">
        <f t="shared" si="529"/>
        <v>1</v>
      </c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</row>
    <row r="1241" ht="14.25" hidden="1" customHeight="1">
      <c r="A1241" s="13" t="s">
        <v>29</v>
      </c>
      <c r="B1241" s="13" t="s">
        <v>34</v>
      </c>
      <c r="C1241" s="13" t="s">
        <v>721</v>
      </c>
      <c r="D1241" s="13" t="s">
        <v>121</v>
      </c>
      <c r="E1241" s="13" t="str">
        <f t="shared" si="735"/>
        <v>LPEF,GH-35-3,BW,1</v>
      </c>
      <c r="F1241" s="13"/>
      <c r="G1241" s="13" t="s">
        <v>74</v>
      </c>
      <c r="H1241" s="13" t="s">
        <v>75</v>
      </c>
      <c r="I1241" s="13"/>
      <c r="J1241" s="13"/>
      <c r="K1241" s="15"/>
      <c r="L1241" s="15"/>
      <c r="M1241" s="16">
        <v>1.0</v>
      </c>
      <c r="N1241" s="16">
        <v>1.0</v>
      </c>
      <c r="O1241" s="17"/>
      <c r="P1241" s="17"/>
      <c r="Q1241" s="13">
        <f t="shared" si="1243"/>
        <v>2</v>
      </c>
      <c r="R1241" s="13"/>
      <c r="S1241" s="13"/>
      <c r="T1241" s="13">
        <f t="shared" ref="T1241:Y1241" si="1291">IF(ISBLANK(K1241)=TRUE,0,1)</f>
        <v>0</v>
      </c>
      <c r="U1241" s="13">
        <f t="shared" si="1291"/>
        <v>0</v>
      </c>
      <c r="V1241" s="13">
        <f t="shared" si="1291"/>
        <v>1</v>
      </c>
      <c r="W1241" s="13">
        <f t="shared" si="1291"/>
        <v>1</v>
      </c>
      <c r="X1241" s="13">
        <f t="shared" si="1291"/>
        <v>0</v>
      </c>
      <c r="Y1241" s="13">
        <f t="shared" si="1291"/>
        <v>0</v>
      </c>
      <c r="Z1241" s="13">
        <f t="shared" si="529"/>
        <v>1</v>
      </c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</row>
    <row r="1242" ht="14.25" hidden="1" customHeight="1">
      <c r="A1242" s="13" t="s">
        <v>29</v>
      </c>
      <c r="B1242" s="13" t="s">
        <v>34</v>
      </c>
      <c r="C1242" s="13" t="s">
        <v>721</v>
      </c>
      <c r="D1242" s="13" t="s">
        <v>122</v>
      </c>
      <c r="E1242" s="13" t="str">
        <f t="shared" si="735"/>
        <v>LPEF,GH-35-3,BX,1</v>
      </c>
      <c r="F1242" s="13"/>
      <c r="G1242" s="13" t="s">
        <v>74</v>
      </c>
      <c r="H1242" s="13" t="s">
        <v>75</v>
      </c>
      <c r="I1242" s="13"/>
      <c r="J1242" s="13"/>
      <c r="K1242" s="15"/>
      <c r="L1242" s="15"/>
      <c r="M1242" s="16">
        <v>1.0</v>
      </c>
      <c r="N1242" s="16">
        <v>1.0</v>
      </c>
      <c r="O1242" s="17"/>
      <c r="P1242" s="17"/>
      <c r="Q1242" s="13">
        <f t="shared" si="1243"/>
        <v>2</v>
      </c>
      <c r="R1242" s="13"/>
      <c r="S1242" s="13"/>
      <c r="T1242" s="13">
        <f t="shared" ref="T1242:Y1242" si="1292">IF(ISBLANK(K1242)=TRUE,0,1)</f>
        <v>0</v>
      </c>
      <c r="U1242" s="13">
        <f t="shared" si="1292"/>
        <v>0</v>
      </c>
      <c r="V1242" s="13">
        <f t="shared" si="1292"/>
        <v>1</v>
      </c>
      <c r="W1242" s="13">
        <f t="shared" si="1292"/>
        <v>1</v>
      </c>
      <c r="X1242" s="13">
        <f t="shared" si="1292"/>
        <v>0</v>
      </c>
      <c r="Y1242" s="13">
        <f t="shared" si="1292"/>
        <v>0</v>
      </c>
      <c r="Z1242" s="13">
        <f t="shared" si="529"/>
        <v>1</v>
      </c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</row>
    <row r="1243" ht="14.25" hidden="1" customHeight="1">
      <c r="A1243" s="13" t="s">
        <v>29</v>
      </c>
      <c r="B1243" s="13" t="s">
        <v>34</v>
      </c>
      <c r="C1243" s="13" t="s">
        <v>721</v>
      </c>
      <c r="D1243" s="13" t="s">
        <v>123</v>
      </c>
      <c r="E1243" s="13" t="str">
        <f t="shared" si="735"/>
        <v>LPEF,GH-35-3,BY,1</v>
      </c>
      <c r="F1243" s="13"/>
      <c r="G1243" s="13" t="s">
        <v>74</v>
      </c>
      <c r="H1243" s="13" t="s">
        <v>107</v>
      </c>
      <c r="I1243" s="13"/>
      <c r="J1243" s="13"/>
      <c r="K1243" s="15"/>
      <c r="L1243" s="15"/>
      <c r="M1243" s="16">
        <v>1.0</v>
      </c>
      <c r="N1243" s="16">
        <v>1.0</v>
      </c>
      <c r="O1243" s="17"/>
      <c r="P1243" s="17"/>
      <c r="Q1243" s="13">
        <f t="shared" si="1243"/>
        <v>2</v>
      </c>
      <c r="R1243" s="13"/>
      <c r="S1243" s="13"/>
      <c r="T1243" s="13">
        <f t="shared" ref="T1243:Y1243" si="1293">IF(ISBLANK(K1243)=TRUE,0,1)</f>
        <v>0</v>
      </c>
      <c r="U1243" s="13">
        <f t="shared" si="1293"/>
        <v>0</v>
      </c>
      <c r="V1243" s="13">
        <f t="shared" si="1293"/>
        <v>1</v>
      </c>
      <c r="W1243" s="13">
        <f t="shared" si="1293"/>
        <v>1</v>
      </c>
      <c r="X1243" s="13">
        <f t="shared" si="1293"/>
        <v>0</v>
      </c>
      <c r="Y1243" s="13">
        <f t="shared" si="1293"/>
        <v>0</v>
      </c>
      <c r="Z1243" s="13">
        <f t="shared" si="529"/>
        <v>1</v>
      </c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</row>
    <row r="1244" ht="14.25" hidden="1" customHeight="1">
      <c r="A1244" s="13" t="s">
        <v>29</v>
      </c>
      <c r="B1244" s="13" t="s">
        <v>34</v>
      </c>
      <c r="C1244" s="13" t="s">
        <v>721</v>
      </c>
      <c r="D1244" s="13" t="s">
        <v>124</v>
      </c>
      <c r="E1244" s="13" t="str">
        <f t="shared" si="735"/>
        <v>LPEF,GH-35-3,BZ,1</v>
      </c>
      <c r="F1244" s="13"/>
      <c r="G1244" s="13" t="s">
        <v>74</v>
      </c>
      <c r="H1244" s="13" t="s">
        <v>75</v>
      </c>
      <c r="I1244" s="13"/>
      <c r="J1244" s="13"/>
      <c r="K1244" s="15"/>
      <c r="L1244" s="15"/>
      <c r="M1244" s="16">
        <v>1.0</v>
      </c>
      <c r="N1244" s="16">
        <v>1.0</v>
      </c>
      <c r="O1244" s="17"/>
      <c r="P1244" s="17"/>
      <c r="Q1244" s="13">
        <f t="shared" si="1243"/>
        <v>2</v>
      </c>
      <c r="R1244" s="13"/>
      <c r="S1244" s="13"/>
      <c r="T1244" s="13">
        <f t="shared" ref="T1244:Y1244" si="1294">IF(ISBLANK(K1244)=TRUE,0,1)</f>
        <v>0</v>
      </c>
      <c r="U1244" s="13">
        <f t="shared" si="1294"/>
        <v>0</v>
      </c>
      <c r="V1244" s="13">
        <f t="shared" si="1294"/>
        <v>1</v>
      </c>
      <c r="W1244" s="13">
        <f t="shared" si="1294"/>
        <v>1</v>
      </c>
      <c r="X1244" s="13">
        <f t="shared" si="1294"/>
        <v>0</v>
      </c>
      <c r="Y1244" s="13">
        <f t="shared" si="1294"/>
        <v>0</v>
      </c>
      <c r="Z1244" s="13">
        <f t="shared" si="529"/>
        <v>1</v>
      </c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</row>
    <row r="1245" ht="14.25" hidden="1" customHeight="1">
      <c r="A1245" s="13" t="s">
        <v>29</v>
      </c>
      <c r="B1245" s="13" t="s">
        <v>34</v>
      </c>
      <c r="C1245" s="13" t="s">
        <v>721</v>
      </c>
      <c r="D1245" s="13" t="s">
        <v>125</v>
      </c>
      <c r="E1245" s="13" t="str">
        <f t="shared" si="735"/>
        <v>LPEF,GH-35-3,CA,1</v>
      </c>
      <c r="F1245" s="13"/>
      <c r="G1245" s="13" t="s">
        <v>74</v>
      </c>
      <c r="H1245" s="13" t="s">
        <v>75</v>
      </c>
      <c r="I1245" s="13"/>
      <c r="J1245" s="13"/>
      <c r="K1245" s="15"/>
      <c r="L1245" s="15"/>
      <c r="M1245" s="16">
        <v>1.0</v>
      </c>
      <c r="N1245" s="16">
        <v>1.0</v>
      </c>
      <c r="O1245" s="17"/>
      <c r="P1245" s="17"/>
      <c r="Q1245" s="13">
        <f t="shared" si="1243"/>
        <v>2</v>
      </c>
      <c r="R1245" s="13"/>
      <c r="S1245" s="13"/>
      <c r="T1245" s="13">
        <f t="shared" ref="T1245:Y1245" si="1295">IF(ISBLANK(K1245)=TRUE,0,1)</f>
        <v>0</v>
      </c>
      <c r="U1245" s="13">
        <f t="shared" si="1295"/>
        <v>0</v>
      </c>
      <c r="V1245" s="13">
        <f t="shared" si="1295"/>
        <v>1</v>
      </c>
      <c r="W1245" s="13">
        <f t="shared" si="1295"/>
        <v>1</v>
      </c>
      <c r="X1245" s="13">
        <f t="shared" si="1295"/>
        <v>0</v>
      </c>
      <c r="Y1245" s="13">
        <f t="shared" si="1295"/>
        <v>0</v>
      </c>
      <c r="Z1245" s="13">
        <f t="shared" si="529"/>
        <v>1</v>
      </c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</row>
    <row r="1246" ht="14.25" hidden="1" customHeight="1">
      <c r="A1246" s="13" t="s">
        <v>29</v>
      </c>
      <c r="B1246" s="13" t="s">
        <v>34</v>
      </c>
      <c r="C1246" s="13" t="s">
        <v>721</v>
      </c>
      <c r="D1246" s="13" t="s">
        <v>126</v>
      </c>
      <c r="E1246" s="13" t="str">
        <f t="shared" si="735"/>
        <v>LPEF,GH-35-3,CB,1</v>
      </c>
      <c r="F1246" s="13"/>
      <c r="G1246" s="13" t="s">
        <v>74</v>
      </c>
      <c r="H1246" s="13" t="s">
        <v>107</v>
      </c>
      <c r="I1246" s="13"/>
      <c r="J1246" s="13"/>
      <c r="K1246" s="15"/>
      <c r="L1246" s="15"/>
      <c r="M1246" s="16">
        <v>1.0</v>
      </c>
      <c r="N1246" s="16">
        <v>1.0</v>
      </c>
      <c r="O1246" s="17"/>
      <c r="P1246" s="17"/>
      <c r="Q1246" s="13">
        <f t="shared" si="1243"/>
        <v>2</v>
      </c>
      <c r="R1246" s="13"/>
      <c r="S1246" s="13"/>
      <c r="T1246" s="13">
        <f t="shared" ref="T1246:Y1246" si="1296">IF(ISBLANK(K1246)=TRUE,0,1)</f>
        <v>0</v>
      </c>
      <c r="U1246" s="13">
        <f t="shared" si="1296"/>
        <v>0</v>
      </c>
      <c r="V1246" s="13">
        <f t="shared" si="1296"/>
        <v>1</v>
      </c>
      <c r="W1246" s="13">
        <f t="shared" si="1296"/>
        <v>1</v>
      </c>
      <c r="X1246" s="13">
        <f t="shared" si="1296"/>
        <v>0</v>
      </c>
      <c r="Y1246" s="13">
        <f t="shared" si="1296"/>
        <v>0</v>
      </c>
      <c r="Z1246" s="13">
        <f t="shared" si="529"/>
        <v>1</v>
      </c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</row>
    <row r="1247" ht="14.25" hidden="1" customHeight="1">
      <c r="A1247" s="13" t="s">
        <v>29</v>
      </c>
      <c r="B1247" s="13" t="s">
        <v>34</v>
      </c>
      <c r="C1247" s="13" t="s">
        <v>721</v>
      </c>
      <c r="D1247" s="13" t="s">
        <v>127</v>
      </c>
      <c r="E1247" s="13" t="str">
        <f t="shared" si="735"/>
        <v>LPEF,GH-35-3,CC,1</v>
      </c>
      <c r="F1247" s="13"/>
      <c r="G1247" s="13" t="s">
        <v>74</v>
      </c>
      <c r="H1247" s="13" t="s">
        <v>107</v>
      </c>
      <c r="I1247" s="13"/>
      <c r="J1247" s="13"/>
      <c r="K1247" s="15"/>
      <c r="L1247" s="15"/>
      <c r="M1247" s="16">
        <v>1.0</v>
      </c>
      <c r="N1247" s="16">
        <v>1.0</v>
      </c>
      <c r="O1247" s="17"/>
      <c r="P1247" s="17"/>
      <c r="Q1247" s="13">
        <f t="shared" si="1243"/>
        <v>2</v>
      </c>
      <c r="R1247" s="13"/>
      <c r="S1247" s="13"/>
      <c r="T1247" s="13">
        <f t="shared" ref="T1247:Y1247" si="1297">IF(ISBLANK(K1247)=TRUE,0,1)</f>
        <v>0</v>
      </c>
      <c r="U1247" s="13">
        <f t="shared" si="1297"/>
        <v>0</v>
      </c>
      <c r="V1247" s="13">
        <f t="shared" si="1297"/>
        <v>1</v>
      </c>
      <c r="W1247" s="13">
        <f t="shared" si="1297"/>
        <v>1</v>
      </c>
      <c r="X1247" s="13">
        <f t="shared" si="1297"/>
        <v>0</v>
      </c>
      <c r="Y1247" s="13">
        <f t="shared" si="1297"/>
        <v>0</v>
      </c>
      <c r="Z1247" s="13">
        <f t="shared" si="529"/>
        <v>1</v>
      </c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</row>
    <row r="1248" ht="14.25" hidden="1" customHeight="1">
      <c r="A1248" s="13" t="s">
        <v>29</v>
      </c>
      <c r="B1248" s="13" t="s">
        <v>34</v>
      </c>
      <c r="C1248" s="13" t="s">
        <v>721</v>
      </c>
      <c r="D1248" s="13" t="s">
        <v>128</v>
      </c>
      <c r="E1248" s="13" t="str">
        <f t="shared" si="735"/>
        <v>LPEF,GH-35-3,CD,1</v>
      </c>
      <c r="F1248" s="13"/>
      <c r="G1248" s="13" t="s">
        <v>74</v>
      </c>
      <c r="H1248" s="13" t="s">
        <v>75</v>
      </c>
      <c r="I1248" s="13"/>
      <c r="J1248" s="13"/>
      <c r="K1248" s="15"/>
      <c r="L1248" s="15"/>
      <c r="M1248" s="16">
        <v>1.0</v>
      </c>
      <c r="N1248" s="16">
        <v>1.0</v>
      </c>
      <c r="O1248" s="17"/>
      <c r="P1248" s="17"/>
      <c r="Q1248" s="13">
        <f t="shared" si="1243"/>
        <v>2</v>
      </c>
      <c r="R1248" s="13"/>
      <c r="S1248" s="13"/>
      <c r="T1248" s="13">
        <f t="shared" ref="T1248:Y1248" si="1298">IF(ISBLANK(K1248)=TRUE,0,1)</f>
        <v>0</v>
      </c>
      <c r="U1248" s="13">
        <f t="shared" si="1298"/>
        <v>0</v>
      </c>
      <c r="V1248" s="13">
        <f t="shared" si="1298"/>
        <v>1</v>
      </c>
      <c r="W1248" s="13">
        <f t="shared" si="1298"/>
        <v>1</v>
      </c>
      <c r="X1248" s="13">
        <f t="shared" si="1298"/>
        <v>0</v>
      </c>
      <c r="Y1248" s="13">
        <f t="shared" si="1298"/>
        <v>0</v>
      </c>
      <c r="Z1248" s="13">
        <f t="shared" si="529"/>
        <v>1</v>
      </c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</row>
    <row r="1249" ht="14.25" hidden="1" customHeight="1">
      <c r="A1249" s="13" t="s">
        <v>29</v>
      </c>
      <c r="B1249" s="13" t="s">
        <v>34</v>
      </c>
      <c r="C1249" s="13" t="s">
        <v>722</v>
      </c>
      <c r="D1249" s="13" t="s">
        <v>174</v>
      </c>
      <c r="E1249" s="13" t="str">
        <f t="shared" si="735"/>
        <v>LPEF,GH-35-6,AA,1</v>
      </c>
      <c r="F1249" s="13"/>
      <c r="G1249" s="13" t="s">
        <v>74</v>
      </c>
      <c r="H1249" s="13" t="s">
        <v>75</v>
      </c>
      <c r="I1249" s="13"/>
      <c r="J1249" s="13"/>
      <c r="K1249" s="15"/>
      <c r="L1249" s="15"/>
      <c r="M1249" s="16">
        <v>1.0</v>
      </c>
      <c r="N1249" s="16">
        <v>1.0</v>
      </c>
      <c r="O1249" s="17"/>
      <c r="P1249" s="17"/>
      <c r="Q1249" s="13"/>
      <c r="R1249" s="13"/>
      <c r="S1249" s="13"/>
      <c r="T1249" s="13">
        <f t="shared" ref="T1249:Y1249" si="1299">IF(ISBLANK(K1249)=TRUE,0,1)</f>
        <v>0</v>
      </c>
      <c r="U1249" s="13">
        <f t="shared" si="1299"/>
        <v>0</v>
      </c>
      <c r="V1249" s="13">
        <f t="shared" si="1299"/>
        <v>1</v>
      </c>
      <c r="W1249" s="13">
        <f t="shared" si="1299"/>
        <v>1</v>
      </c>
      <c r="X1249" s="13">
        <f t="shared" si="1299"/>
        <v>0</v>
      </c>
      <c r="Y1249" s="13">
        <f t="shared" si="1299"/>
        <v>0</v>
      </c>
      <c r="Z1249" s="13">
        <f t="shared" si="529"/>
        <v>1</v>
      </c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</row>
    <row r="1250" ht="14.25" hidden="1" customHeight="1">
      <c r="A1250" s="13" t="s">
        <v>29</v>
      </c>
      <c r="B1250" s="13" t="s">
        <v>34</v>
      </c>
      <c r="C1250" s="13" t="s">
        <v>722</v>
      </c>
      <c r="D1250" s="13" t="s">
        <v>175</v>
      </c>
      <c r="E1250" s="13" t="str">
        <f t="shared" si="735"/>
        <v>LPEF,GH-35-6,AB,1</v>
      </c>
      <c r="F1250" s="13"/>
      <c r="G1250" s="13" t="s">
        <v>74</v>
      </c>
      <c r="H1250" s="13" t="s">
        <v>75</v>
      </c>
      <c r="I1250" s="13"/>
      <c r="J1250" s="13"/>
      <c r="K1250" s="15"/>
      <c r="L1250" s="15"/>
      <c r="M1250" s="16">
        <v>1.0</v>
      </c>
      <c r="N1250" s="16">
        <v>1.0</v>
      </c>
      <c r="O1250" s="17"/>
      <c r="P1250" s="17"/>
      <c r="Q1250" s="13"/>
      <c r="R1250" s="13"/>
      <c r="S1250" s="13"/>
      <c r="T1250" s="13">
        <f t="shared" ref="T1250:Y1250" si="1300">IF(ISBLANK(K1250)=TRUE,0,1)</f>
        <v>0</v>
      </c>
      <c r="U1250" s="13">
        <f t="shared" si="1300"/>
        <v>0</v>
      </c>
      <c r="V1250" s="13">
        <f t="shared" si="1300"/>
        <v>1</v>
      </c>
      <c r="W1250" s="13">
        <f t="shared" si="1300"/>
        <v>1</v>
      </c>
      <c r="X1250" s="13">
        <f t="shared" si="1300"/>
        <v>0</v>
      </c>
      <c r="Y1250" s="13">
        <f t="shared" si="1300"/>
        <v>0</v>
      </c>
      <c r="Z1250" s="13">
        <f t="shared" si="529"/>
        <v>1</v>
      </c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</row>
    <row r="1251" ht="14.25" hidden="1" customHeight="1">
      <c r="A1251" s="13" t="s">
        <v>29</v>
      </c>
      <c r="B1251" s="13" t="s">
        <v>34</v>
      </c>
      <c r="C1251" s="13" t="s">
        <v>722</v>
      </c>
      <c r="D1251" s="13" t="s">
        <v>176</v>
      </c>
      <c r="E1251" s="13" t="str">
        <f t="shared" si="735"/>
        <v>LPEF,GH-35-6,AC,1</v>
      </c>
      <c r="F1251" s="13"/>
      <c r="G1251" s="13" t="s">
        <v>74</v>
      </c>
      <c r="H1251" s="13" t="s">
        <v>75</v>
      </c>
      <c r="I1251" s="13"/>
      <c r="J1251" s="13"/>
      <c r="K1251" s="15"/>
      <c r="L1251" s="15"/>
      <c r="M1251" s="16">
        <v>1.0</v>
      </c>
      <c r="N1251" s="16">
        <v>1.0</v>
      </c>
      <c r="O1251" s="17"/>
      <c r="P1251" s="17"/>
      <c r="Q1251" s="13"/>
      <c r="R1251" s="13"/>
      <c r="S1251" s="13"/>
      <c r="T1251" s="13">
        <f t="shared" ref="T1251:Y1251" si="1301">IF(ISBLANK(K1251)=TRUE,0,1)</f>
        <v>0</v>
      </c>
      <c r="U1251" s="13">
        <f t="shared" si="1301"/>
        <v>0</v>
      </c>
      <c r="V1251" s="13">
        <f t="shared" si="1301"/>
        <v>1</v>
      </c>
      <c r="W1251" s="13">
        <f t="shared" si="1301"/>
        <v>1</v>
      </c>
      <c r="X1251" s="13">
        <f t="shared" si="1301"/>
        <v>0</v>
      </c>
      <c r="Y1251" s="13">
        <f t="shared" si="1301"/>
        <v>0</v>
      </c>
      <c r="Z1251" s="13">
        <f t="shared" si="529"/>
        <v>1</v>
      </c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</row>
    <row r="1252" ht="14.25" hidden="1" customHeight="1">
      <c r="A1252" s="13" t="s">
        <v>29</v>
      </c>
      <c r="B1252" s="13" t="s">
        <v>34</v>
      </c>
      <c r="C1252" s="13" t="s">
        <v>722</v>
      </c>
      <c r="D1252" s="13" t="s">
        <v>177</v>
      </c>
      <c r="E1252" s="13" t="str">
        <f t="shared" si="735"/>
        <v>LPEF,GH-35-6,AD,1</v>
      </c>
      <c r="F1252" s="13"/>
      <c r="G1252" s="13" t="s">
        <v>74</v>
      </c>
      <c r="H1252" s="13" t="s">
        <v>75</v>
      </c>
      <c r="I1252" s="13"/>
      <c r="J1252" s="13"/>
      <c r="K1252" s="15"/>
      <c r="L1252" s="15"/>
      <c r="M1252" s="16">
        <v>1.0</v>
      </c>
      <c r="N1252" s="16">
        <v>1.0</v>
      </c>
      <c r="O1252" s="17"/>
      <c r="P1252" s="17"/>
      <c r="Q1252" s="13"/>
      <c r="R1252" s="13"/>
      <c r="S1252" s="13"/>
      <c r="T1252" s="13">
        <f t="shared" ref="T1252:Y1252" si="1302">IF(ISBLANK(K1252)=TRUE,0,1)</f>
        <v>0</v>
      </c>
      <c r="U1252" s="13">
        <f t="shared" si="1302"/>
        <v>0</v>
      </c>
      <c r="V1252" s="13">
        <f t="shared" si="1302"/>
        <v>1</v>
      </c>
      <c r="W1252" s="13">
        <f t="shared" si="1302"/>
        <v>1</v>
      </c>
      <c r="X1252" s="13">
        <f t="shared" si="1302"/>
        <v>0</v>
      </c>
      <c r="Y1252" s="13">
        <f t="shared" si="1302"/>
        <v>0</v>
      </c>
      <c r="Z1252" s="13">
        <f t="shared" si="529"/>
        <v>1</v>
      </c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</row>
    <row r="1253" ht="14.25" hidden="1" customHeight="1">
      <c r="A1253" s="13" t="s">
        <v>29</v>
      </c>
      <c r="B1253" s="13" t="s">
        <v>34</v>
      </c>
      <c r="C1253" s="13" t="s">
        <v>722</v>
      </c>
      <c r="D1253" s="13" t="s">
        <v>178</v>
      </c>
      <c r="E1253" s="13" t="str">
        <f t="shared" si="735"/>
        <v>LPEF,GH-35-6,AE,1</v>
      </c>
      <c r="F1253" s="13"/>
      <c r="G1253" s="13" t="s">
        <v>74</v>
      </c>
      <c r="H1253" s="13" t="s">
        <v>75</v>
      </c>
      <c r="I1253" s="13"/>
      <c r="J1253" s="13"/>
      <c r="K1253" s="15"/>
      <c r="L1253" s="15"/>
      <c r="M1253" s="16">
        <v>1.0</v>
      </c>
      <c r="N1253" s="16">
        <v>1.0</v>
      </c>
      <c r="O1253" s="17"/>
      <c r="P1253" s="17"/>
      <c r="Q1253" s="13"/>
      <c r="R1253" s="13"/>
      <c r="S1253" s="13"/>
      <c r="T1253" s="13">
        <f t="shared" ref="T1253:Y1253" si="1303">IF(ISBLANK(K1253)=TRUE,0,1)</f>
        <v>0</v>
      </c>
      <c r="U1253" s="13">
        <f t="shared" si="1303"/>
        <v>0</v>
      </c>
      <c r="V1253" s="13">
        <f t="shared" si="1303"/>
        <v>1</v>
      </c>
      <c r="W1253" s="13">
        <f t="shared" si="1303"/>
        <v>1</v>
      </c>
      <c r="X1253" s="13">
        <f t="shared" si="1303"/>
        <v>0</v>
      </c>
      <c r="Y1253" s="13">
        <f t="shared" si="1303"/>
        <v>0</v>
      </c>
      <c r="Z1253" s="13">
        <f t="shared" si="529"/>
        <v>1</v>
      </c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</row>
    <row r="1254" ht="14.25" hidden="1" customHeight="1">
      <c r="A1254" s="13" t="s">
        <v>29</v>
      </c>
      <c r="B1254" s="13" t="s">
        <v>34</v>
      </c>
      <c r="C1254" s="13" t="s">
        <v>722</v>
      </c>
      <c r="D1254" s="13" t="s">
        <v>179</v>
      </c>
      <c r="E1254" s="13" t="str">
        <f t="shared" si="735"/>
        <v>LPEF,GH-35-6,AF,1</v>
      </c>
      <c r="F1254" s="13"/>
      <c r="G1254" s="13" t="s">
        <v>74</v>
      </c>
      <c r="H1254" s="13" t="s">
        <v>75</v>
      </c>
      <c r="I1254" s="13"/>
      <c r="J1254" s="13"/>
      <c r="K1254" s="15"/>
      <c r="L1254" s="15"/>
      <c r="M1254" s="16">
        <v>1.0</v>
      </c>
      <c r="N1254" s="16">
        <v>1.0</v>
      </c>
      <c r="O1254" s="17"/>
      <c r="P1254" s="17"/>
      <c r="Q1254" s="13"/>
      <c r="R1254" s="13"/>
      <c r="S1254" s="13"/>
      <c r="T1254" s="13">
        <f t="shared" ref="T1254:Y1254" si="1304">IF(ISBLANK(K1254)=TRUE,0,1)</f>
        <v>0</v>
      </c>
      <c r="U1254" s="13">
        <f t="shared" si="1304"/>
        <v>0</v>
      </c>
      <c r="V1254" s="13">
        <f t="shared" si="1304"/>
        <v>1</v>
      </c>
      <c r="W1254" s="13">
        <f t="shared" si="1304"/>
        <v>1</v>
      </c>
      <c r="X1254" s="13">
        <f t="shared" si="1304"/>
        <v>0</v>
      </c>
      <c r="Y1254" s="13">
        <f t="shared" si="1304"/>
        <v>0</v>
      </c>
      <c r="Z1254" s="13">
        <f t="shared" si="529"/>
        <v>1</v>
      </c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</row>
    <row r="1255" ht="14.25" hidden="1" customHeight="1">
      <c r="A1255" s="13" t="s">
        <v>29</v>
      </c>
      <c r="B1255" s="13" t="s">
        <v>34</v>
      </c>
      <c r="C1255" s="13" t="s">
        <v>722</v>
      </c>
      <c r="D1255" s="13" t="s">
        <v>180</v>
      </c>
      <c r="E1255" s="13" t="str">
        <f t="shared" si="735"/>
        <v>LPEF,GH-35-6,AG,1</v>
      </c>
      <c r="F1255" s="13"/>
      <c r="G1255" s="13" t="s">
        <v>74</v>
      </c>
      <c r="H1255" s="13" t="s">
        <v>75</v>
      </c>
      <c r="I1255" s="13"/>
      <c r="J1255" s="13"/>
      <c r="K1255" s="15"/>
      <c r="L1255" s="15"/>
      <c r="M1255" s="16">
        <v>1.0</v>
      </c>
      <c r="N1255" s="16">
        <v>1.0</v>
      </c>
      <c r="O1255" s="17"/>
      <c r="P1255" s="17"/>
      <c r="Q1255" s="13"/>
      <c r="R1255" s="13"/>
      <c r="S1255" s="13"/>
      <c r="T1255" s="13">
        <f t="shared" ref="T1255:Y1255" si="1305">IF(ISBLANK(K1255)=TRUE,0,1)</f>
        <v>0</v>
      </c>
      <c r="U1255" s="13">
        <f t="shared" si="1305"/>
        <v>0</v>
      </c>
      <c r="V1255" s="13">
        <f t="shared" si="1305"/>
        <v>1</v>
      </c>
      <c r="W1255" s="13">
        <f t="shared" si="1305"/>
        <v>1</v>
      </c>
      <c r="X1255" s="13">
        <f t="shared" si="1305"/>
        <v>0</v>
      </c>
      <c r="Y1255" s="13">
        <f t="shared" si="1305"/>
        <v>0</v>
      </c>
      <c r="Z1255" s="13">
        <f t="shared" si="529"/>
        <v>1</v>
      </c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</row>
    <row r="1256" ht="14.25" hidden="1" customHeight="1">
      <c r="A1256" s="13" t="s">
        <v>29</v>
      </c>
      <c r="B1256" s="13" t="s">
        <v>34</v>
      </c>
      <c r="C1256" s="13" t="s">
        <v>722</v>
      </c>
      <c r="D1256" s="13" t="s">
        <v>181</v>
      </c>
      <c r="E1256" s="13" t="str">
        <f t="shared" si="735"/>
        <v>LPEF,GH-35-6,AH,1</v>
      </c>
      <c r="F1256" s="13"/>
      <c r="G1256" s="13" t="s">
        <v>74</v>
      </c>
      <c r="H1256" s="13" t="s">
        <v>75</v>
      </c>
      <c r="I1256" s="13"/>
      <c r="J1256" s="13"/>
      <c r="K1256" s="15"/>
      <c r="L1256" s="15"/>
      <c r="M1256" s="16">
        <v>1.0</v>
      </c>
      <c r="N1256" s="16">
        <v>1.0</v>
      </c>
      <c r="O1256" s="17"/>
      <c r="P1256" s="17"/>
      <c r="Q1256" s="13"/>
      <c r="R1256" s="13"/>
      <c r="S1256" s="13"/>
      <c r="T1256" s="13">
        <f t="shared" ref="T1256:Y1256" si="1306">IF(ISBLANK(K1256)=TRUE,0,1)</f>
        <v>0</v>
      </c>
      <c r="U1256" s="13">
        <f t="shared" si="1306"/>
        <v>0</v>
      </c>
      <c r="V1256" s="13">
        <f t="shared" si="1306"/>
        <v>1</v>
      </c>
      <c r="W1256" s="13">
        <f t="shared" si="1306"/>
        <v>1</v>
      </c>
      <c r="X1256" s="13">
        <f t="shared" si="1306"/>
        <v>0</v>
      </c>
      <c r="Y1256" s="13">
        <f t="shared" si="1306"/>
        <v>0</v>
      </c>
      <c r="Z1256" s="13">
        <f t="shared" si="529"/>
        <v>1</v>
      </c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</row>
    <row r="1257" ht="14.25" hidden="1" customHeight="1">
      <c r="A1257" s="13" t="s">
        <v>29</v>
      </c>
      <c r="B1257" s="13" t="s">
        <v>34</v>
      </c>
      <c r="C1257" s="13" t="s">
        <v>722</v>
      </c>
      <c r="D1257" s="13" t="s">
        <v>182</v>
      </c>
      <c r="E1257" s="13" t="str">
        <f t="shared" si="735"/>
        <v>LPEF,GH-35-6,AI,1</v>
      </c>
      <c r="F1257" s="13"/>
      <c r="G1257" s="13" t="s">
        <v>74</v>
      </c>
      <c r="H1257" s="13" t="s">
        <v>75</v>
      </c>
      <c r="I1257" s="13"/>
      <c r="J1257" s="13"/>
      <c r="K1257" s="15"/>
      <c r="L1257" s="15"/>
      <c r="M1257" s="16">
        <v>1.0</v>
      </c>
      <c r="N1257" s="16">
        <v>1.0</v>
      </c>
      <c r="O1257" s="17"/>
      <c r="P1257" s="17"/>
      <c r="Q1257" s="13"/>
      <c r="R1257" s="13"/>
      <c r="S1257" s="13"/>
      <c r="T1257" s="13">
        <f t="shared" ref="T1257:Y1257" si="1307">IF(ISBLANK(K1257)=TRUE,0,1)</f>
        <v>0</v>
      </c>
      <c r="U1257" s="13">
        <f t="shared" si="1307"/>
        <v>0</v>
      </c>
      <c r="V1257" s="13">
        <f t="shared" si="1307"/>
        <v>1</v>
      </c>
      <c r="W1257" s="13">
        <f t="shared" si="1307"/>
        <v>1</v>
      </c>
      <c r="X1257" s="13">
        <f t="shared" si="1307"/>
        <v>0</v>
      </c>
      <c r="Y1257" s="13">
        <f t="shared" si="1307"/>
        <v>0</v>
      </c>
      <c r="Z1257" s="13">
        <f t="shared" si="529"/>
        <v>1</v>
      </c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</row>
    <row r="1258" ht="14.25" hidden="1" customHeight="1">
      <c r="A1258" s="13" t="s">
        <v>29</v>
      </c>
      <c r="B1258" s="13" t="s">
        <v>34</v>
      </c>
      <c r="C1258" s="13" t="s">
        <v>722</v>
      </c>
      <c r="D1258" s="13" t="s">
        <v>183</v>
      </c>
      <c r="E1258" s="13" t="str">
        <f t="shared" si="735"/>
        <v>LPEF,GH-35-6,AJ,1</v>
      </c>
      <c r="F1258" s="13"/>
      <c r="G1258" s="13" t="s">
        <v>74</v>
      </c>
      <c r="H1258" s="13" t="s">
        <v>75</v>
      </c>
      <c r="I1258" s="13"/>
      <c r="J1258" s="13"/>
      <c r="K1258" s="15"/>
      <c r="L1258" s="15"/>
      <c r="M1258" s="16">
        <v>1.0</v>
      </c>
      <c r="N1258" s="16">
        <v>1.0</v>
      </c>
      <c r="O1258" s="17"/>
      <c r="P1258" s="17"/>
      <c r="Q1258" s="13"/>
      <c r="R1258" s="13"/>
      <c r="S1258" s="13"/>
      <c r="T1258" s="13">
        <f t="shared" ref="T1258:Y1258" si="1308">IF(ISBLANK(K1258)=TRUE,0,1)</f>
        <v>0</v>
      </c>
      <c r="U1258" s="13">
        <f t="shared" si="1308"/>
        <v>0</v>
      </c>
      <c r="V1258" s="13">
        <f t="shared" si="1308"/>
        <v>1</v>
      </c>
      <c r="W1258" s="13">
        <f t="shared" si="1308"/>
        <v>1</v>
      </c>
      <c r="X1258" s="13">
        <f t="shared" si="1308"/>
        <v>0</v>
      </c>
      <c r="Y1258" s="13">
        <f t="shared" si="1308"/>
        <v>0</v>
      </c>
      <c r="Z1258" s="13">
        <f t="shared" si="529"/>
        <v>1</v>
      </c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</row>
    <row r="1259" ht="14.25" hidden="1" customHeight="1">
      <c r="A1259" s="13" t="s">
        <v>29</v>
      </c>
      <c r="B1259" s="13" t="s">
        <v>34</v>
      </c>
      <c r="C1259" s="13" t="s">
        <v>722</v>
      </c>
      <c r="D1259" s="13" t="s">
        <v>184</v>
      </c>
      <c r="E1259" s="13" t="str">
        <f t="shared" si="735"/>
        <v>LPEF,GH-35-6,AK,1</v>
      </c>
      <c r="F1259" s="13"/>
      <c r="G1259" s="13" t="s">
        <v>74</v>
      </c>
      <c r="H1259" s="13" t="s">
        <v>75</v>
      </c>
      <c r="I1259" s="13"/>
      <c r="J1259" s="13"/>
      <c r="K1259" s="15"/>
      <c r="L1259" s="15"/>
      <c r="M1259" s="16">
        <v>1.0</v>
      </c>
      <c r="N1259" s="16">
        <v>1.0</v>
      </c>
      <c r="O1259" s="17"/>
      <c r="P1259" s="17"/>
      <c r="Q1259" s="13"/>
      <c r="R1259" s="13"/>
      <c r="S1259" s="13"/>
      <c r="T1259" s="13">
        <f t="shared" ref="T1259:Y1259" si="1309">IF(ISBLANK(K1259)=TRUE,0,1)</f>
        <v>0</v>
      </c>
      <c r="U1259" s="13">
        <f t="shared" si="1309"/>
        <v>0</v>
      </c>
      <c r="V1259" s="13">
        <f t="shared" si="1309"/>
        <v>1</v>
      </c>
      <c r="W1259" s="13">
        <f t="shared" si="1309"/>
        <v>1</v>
      </c>
      <c r="X1259" s="13">
        <f t="shared" si="1309"/>
        <v>0</v>
      </c>
      <c r="Y1259" s="13">
        <f t="shared" si="1309"/>
        <v>0</v>
      </c>
      <c r="Z1259" s="13">
        <f t="shared" si="529"/>
        <v>1</v>
      </c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</row>
    <row r="1260" ht="14.25" hidden="1" customHeight="1">
      <c r="A1260" s="13" t="s">
        <v>29</v>
      </c>
      <c r="B1260" s="13" t="s">
        <v>34</v>
      </c>
      <c r="C1260" s="13" t="s">
        <v>722</v>
      </c>
      <c r="D1260" s="13" t="s">
        <v>185</v>
      </c>
      <c r="E1260" s="13" t="str">
        <f t="shared" si="735"/>
        <v>LPEF,GH-35-6,AL,1</v>
      </c>
      <c r="F1260" s="13"/>
      <c r="G1260" s="13" t="s">
        <v>74</v>
      </c>
      <c r="H1260" s="13" t="s">
        <v>75</v>
      </c>
      <c r="I1260" s="13"/>
      <c r="J1260" s="13"/>
      <c r="K1260" s="15"/>
      <c r="L1260" s="15"/>
      <c r="M1260" s="16">
        <v>1.0</v>
      </c>
      <c r="N1260" s="16">
        <v>1.0</v>
      </c>
      <c r="O1260" s="17"/>
      <c r="P1260" s="17"/>
      <c r="Q1260" s="13"/>
      <c r="R1260" s="13"/>
      <c r="S1260" s="13"/>
      <c r="T1260" s="13">
        <f t="shared" ref="T1260:Y1260" si="1310">IF(ISBLANK(K1260)=TRUE,0,1)</f>
        <v>0</v>
      </c>
      <c r="U1260" s="13">
        <f t="shared" si="1310"/>
        <v>0</v>
      </c>
      <c r="V1260" s="13">
        <f t="shared" si="1310"/>
        <v>1</v>
      </c>
      <c r="W1260" s="13">
        <f t="shared" si="1310"/>
        <v>1</v>
      </c>
      <c r="X1260" s="13">
        <f t="shared" si="1310"/>
        <v>0</v>
      </c>
      <c r="Y1260" s="13">
        <f t="shared" si="1310"/>
        <v>0</v>
      </c>
      <c r="Z1260" s="13">
        <f t="shared" si="529"/>
        <v>1</v>
      </c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</row>
    <row r="1261" ht="14.25" hidden="1" customHeight="1">
      <c r="A1261" s="13" t="s">
        <v>29</v>
      </c>
      <c r="B1261" s="13" t="s">
        <v>34</v>
      </c>
      <c r="C1261" s="13" t="s">
        <v>722</v>
      </c>
      <c r="D1261" s="13" t="s">
        <v>186</v>
      </c>
      <c r="E1261" s="13" t="str">
        <f t="shared" si="735"/>
        <v>LPEF,GH-35-6,AM,1</v>
      </c>
      <c r="F1261" s="13"/>
      <c r="G1261" s="13" t="s">
        <v>74</v>
      </c>
      <c r="H1261" s="13" t="s">
        <v>75</v>
      </c>
      <c r="I1261" s="13"/>
      <c r="J1261" s="13"/>
      <c r="K1261" s="15"/>
      <c r="L1261" s="15"/>
      <c r="M1261" s="16">
        <v>1.0</v>
      </c>
      <c r="N1261" s="16">
        <v>1.0</v>
      </c>
      <c r="O1261" s="17"/>
      <c r="P1261" s="17"/>
      <c r="Q1261" s="13"/>
      <c r="R1261" s="13"/>
      <c r="S1261" s="13"/>
      <c r="T1261" s="13">
        <f t="shared" ref="T1261:Y1261" si="1311">IF(ISBLANK(K1261)=TRUE,0,1)</f>
        <v>0</v>
      </c>
      <c r="U1261" s="13">
        <f t="shared" si="1311"/>
        <v>0</v>
      </c>
      <c r="V1261" s="13">
        <f t="shared" si="1311"/>
        <v>1</v>
      </c>
      <c r="W1261" s="13">
        <f t="shared" si="1311"/>
        <v>1</v>
      </c>
      <c r="X1261" s="13">
        <f t="shared" si="1311"/>
        <v>0</v>
      </c>
      <c r="Y1261" s="13">
        <f t="shared" si="1311"/>
        <v>0</v>
      </c>
      <c r="Z1261" s="13">
        <f t="shared" si="529"/>
        <v>1</v>
      </c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</row>
    <row r="1262" ht="14.25" hidden="1" customHeight="1">
      <c r="A1262" s="13" t="s">
        <v>29</v>
      </c>
      <c r="B1262" s="13" t="s">
        <v>34</v>
      </c>
      <c r="C1262" s="13" t="s">
        <v>722</v>
      </c>
      <c r="D1262" s="13" t="s">
        <v>187</v>
      </c>
      <c r="E1262" s="13" t="str">
        <f t="shared" si="735"/>
        <v>LPEF,GH-35-6,AN,1</v>
      </c>
      <c r="F1262" s="13"/>
      <c r="G1262" s="13" t="s">
        <v>74</v>
      </c>
      <c r="H1262" s="13" t="s">
        <v>75</v>
      </c>
      <c r="I1262" s="13"/>
      <c r="J1262" s="13"/>
      <c r="K1262" s="15"/>
      <c r="L1262" s="15"/>
      <c r="M1262" s="16">
        <v>1.0</v>
      </c>
      <c r="N1262" s="16">
        <v>1.0</v>
      </c>
      <c r="O1262" s="17"/>
      <c r="P1262" s="17"/>
      <c r="Q1262" s="13"/>
      <c r="R1262" s="13"/>
      <c r="S1262" s="13"/>
      <c r="T1262" s="13">
        <f t="shared" ref="T1262:Y1262" si="1312">IF(ISBLANK(K1262)=TRUE,0,1)</f>
        <v>0</v>
      </c>
      <c r="U1262" s="13">
        <f t="shared" si="1312"/>
        <v>0</v>
      </c>
      <c r="V1262" s="13">
        <f t="shared" si="1312"/>
        <v>1</v>
      </c>
      <c r="W1262" s="13">
        <f t="shared" si="1312"/>
        <v>1</v>
      </c>
      <c r="X1262" s="13">
        <f t="shared" si="1312"/>
        <v>0</v>
      </c>
      <c r="Y1262" s="13">
        <f t="shared" si="1312"/>
        <v>0</v>
      </c>
      <c r="Z1262" s="13">
        <f t="shared" si="529"/>
        <v>1</v>
      </c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</row>
    <row r="1263" ht="14.25" hidden="1" customHeight="1">
      <c r="A1263" s="13" t="s">
        <v>29</v>
      </c>
      <c r="B1263" s="13" t="s">
        <v>34</v>
      </c>
      <c r="C1263" s="13" t="s">
        <v>722</v>
      </c>
      <c r="D1263" s="13" t="s">
        <v>188</v>
      </c>
      <c r="E1263" s="13" t="str">
        <f t="shared" si="735"/>
        <v>LPEF,GH-35-6,AO,1</v>
      </c>
      <c r="F1263" s="13"/>
      <c r="G1263" s="13" t="s">
        <v>74</v>
      </c>
      <c r="H1263" s="13" t="s">
        <v>75</v>
      </c>
      <c r="I1263" s="13"/>
      <c r="J1263" s="13"/>
      <c r="K1263" s="15"/>
      <c r="L1263" s="15"/>
      <c r="M1263" s="16">
        <v>1.0</v>
      </c>
      <c r="N1263" s="16">
        <v>1.0</v>
      </c>
      <c r="O1263" s="17"/>
      <c r="P1263" s="17"/>
      <c r="Q1263" s="13"/>
      <c r="R1263" s="13"/>
      <c r="S1263" s="13"/>
      <c r="T1263" s="13">
        <f t="shared" ref="T1263:Y1263" si="1313">IF(ISBLANK(K1263)=TRUE,0,1)</f>
        <v>0</v>
      </c>
      <c r="U1263" s="13">
        <f t="shared" si="1313"/>
        <v>0</v>
      </c>
      <c r="V1263" s="13">
        <f t="shared" si="1313"/>
        <v>1</v>
      </c>
      <c r="W1263" s="13">
        <f t="shared" si="1313"/>
        <v>1</v>
      </c>
      <c r="X1263" s="13">
        <f t="shared" si="1313"/>
        <v>0</v>
      </c>
      <c r="Y1263" s="13">
        <f t="shared" si="1313"/>
        <v>0</v>
      </c>
      <c r="Z1263" s="13">
        <f t="shared" si="529"/>
        <v>1</v>
      </c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</row>
    <row r="1264" ht="14.25" hidden="1" customHeight="1">
      <c r="A1264" s="13" t="s">
        <v>29</v>
      </c>
      <c r="B1264" s="13" t="s">
        <v>34</v>
      </c>
      <c r="C1264" s="13" t="s">
        <v>722</v>
      </c>
      <c r="D1264" s="13" t="s">
        <v>189</v>
      </c>
      <c r="E1264" s="13" t="str">
        <f t="shared" si="735"/>
        <v>LPEF,GH-35-6,AP,1</v>
      </c>
      <c r="F1264" s="13"/>
      <c r="G1264" s="13" t="s">
        <v>74</v>
      </c>
      <c r="H1264" s="13" t="s">
        <v>75</v>
      </c>
      <c r="I1264" s="13"/>
      <c r="J1264" s="13"/>
      <c r="K1264" s="15"/>
      <c r="L1264" s="15"/>
      <c r="M1264" s="16">
        <v>1.0</v>
      </c>
      <c r="N1264" s="16">
        <v>1.0</v>
      </c>
      <c r="O1264" s="17"/>
      <c r="P1264" s="17"/>
      <c r="Q1264" s="13"/>
      <c r="R1264" s="13"/>
      <c r="S1264" s="13"/>
      <c r="T1264" s="13">
        <f t="shared" ref="T1264:Y1264" si="1314">IF(ISBLANK(K1264)=TRUE,0,1)</f>
        <v>0</v>
      </c>
      <c r="U1264" s="13">
        <f t="shared" si="1314"/>
        <v>0</v>
      </c>
      <c r="V1264" s="13">
        <f t="shared" si="1314"/>
        <v>1</v>
      </c>
      <c r="W1264" s="13">
        <f t="shared" si="1314"/>
        <v>1</v>
      </c>
      <c r="X1264" s="13">
        <f t="shared" si="1314"/>
        <v>0</v>
      </c>
      <c r="Y1264" s="13">
        <f t="shared" si="1314"/>
        <v>0</v>
      </c>
      <c r="Z1264" s="13">
        <f t="shared" si="529"/>
        <v>1</v>
      </c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</row>
    <row r="1265" ht="14.25" hidden="1" customHeight="1">
      <c r="A1265" s="13" t="s">
        <v>29</v>
      </c>
      <c r="B1265" s="13" t="s">
        <v>34</v>
      </c>
      <c r="C1265" s="13" t="s">
        <v>722</v>
      </c>
      <c r="D1265" s="13" t="s">
        <v>190</v>
      </c>
      <c r="E1265" s="13" t="str">
        <f t="shared" si="735"/>
        <v>LPEF,GH-35-6,AQ,1</v>
      </c>
      <c r="F1265" s="13"/>
      <c r="G1265" s="13" t="s">
        <v>74</v>
      </c>
      <c r="H1265" s="13" t="s">
        <v>75</v>
      </c>
      <c r="I1265" s="13"/>
      <c r="J1265" s="13"/>
      <c r="K1265" s="15"/>
      <c r="L1265" s="15"/>
      <c r="M1265" s="16">
        <v>1.0</v>
      </c>
      <c r="N1265" s="16">
        <v>1.0</v>
      </c>
      <c r="O1265" s="17"/>
      <c r="P1265" s="17"/>
      <c r="Q1265" s="13"/>
      <c r="R1265" s="13"/>
      <c r="S1265" s="13"/>
      <c r="T1265" s="13">
        <f t="shared" ref="T1265:Y1265" si="1315">IF(ISBLANK(K1265)=TRUE,0,1)</f>
        <v>0</v>
      </c>
      <c r="U1265" s="13">
        <f t="shared" si="1315"/>
        <v>0</v>
      </c>
      <c r="V1265" s="13">
        <f t="shared" si="1315"/>
        <v>1</v>
      </c>
      <c r="W1265" s="13">
        <f t="shared" si="1315"/>
        <v>1</v>
      </c>
      <c r="X1265" s="13">
        <f t="shared" si="1315"/>
        <v>0</v>
      </c>
      <c r="Y1265" s="13">
        <f t="shared" si="1315"/>
        <v>0</v>
      </c>
      <c r="Z1265" s="13">
        <f t="shared" si="529"/>
        <v>1</v>
      </c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</row>
    <row r="1266" ht="14.25" hidden="1" customHeight="1">
      <c r="A1266" s="13" t="s">
        <v>29</v>
      </c>
      <c r="B1266" s="13" t="s">
        <v>34</v>
      </c>
      <c r="C1266" s="13" t="s">
        <v>722</v>
      </c>
      <c r="D1266" s="13" t="s">
        <v>191</v>
      </c>
      <c r="E1266" s="13" t="str">
        <f t="shared" si="735"/>
        <v>LPEF,GH-35-6,AR,1</v>
      </c>
      <c r="F1266" s="13"/>
      <c r="G1266" s="13" t="s">
        <v>74</v>
      </c>
      <c r="H1266" s="13" t="s">
        <v>75</v>
      </c>
      <c r="I1266" s="13"/>
      <c r="J1266" s="13"/>
      <c r="K1266" s="15"/>
      <c r="L1266" s="15"/>
      <c r="M1266" s="16">
        <v>1.0</v>
      </c>
      <c r="N1266" s="16">
        <v>1.0</v>
      </c>
      <c r="O1266" s="17"/>
      <c r="P1266" s="17"/>
      <c r="Q1266" s="13"/>
      <c r="R1266" s="13"/>
      <c r="S1266" s="13"/>
      <c r="T1266" s="13">
        <f t="shared" ref="T1266:Y1266" si="1316">IF(ISBLANK(K1266)=TRUE,0,1)</f>
        <v>0</v>
      </c>
      <c r="U1266" s="13">
        <f t="shared" si="1316"/>
        <v>0</v>
      </c>
      <c r="V1266" s="13">
        <f t="shared" si="1316"/>
        <v>1</v>
      </c>
      <c r="W1266" s="13">
        <f t="shared" si="1316"/>
        <v>1</v>
      </c>
      <c r="X1266" s="13">
        <f t="shared" si="1316"/>
        <v>0</v>
      </c>
      <c r="Y1266" s="13">
        <f t="shared" si="1316"/>
        <v>0</v>
      </c>
      <c r="Z1266" s="13">
        <f t="shared" si="529"/>
        <v>1</v>
      </c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</row>
    <row r="1267" ht="14.25" hidden="1" customHeight="1">
      <c r="A1267" s="13" t="s">
        <v>29</v>
      </c>
      <c r="B1267" s="13" t="s">
        <v>34</v>
      </c>
      <c r="C1267" s="13" t="s">
        <v>722</v>
      </c>
      <c r="D1267" s="13" t="s">
        <v>192</v>
      </c>
      <c r="E1267" s="13" t="str">
        <f t="shared" si="735"/>
        <v>LPEF,GH-35-6,AS,1</v>
      </c>
      <c r="F1267" s="13"/>
      <c r="G1267" s="13" t="s">
        <v>74</v>
      </c>
      <c r="H1267" s="13" t="s">
        <v>75</v>
      </c>
      <c r="I1267" s="13"/>
      <c r="J1267" s="13"/>
      <c r="K1267" s="15"/>
      <c r="L1267" s="15"/>
      <c r="M1267" s="16">
        <v>1.0</v>
      </c>
      <c r="N1267" s="16">
        <v>1.0</v>
      </c>
      <c r="O1267" s="17"/>
      <c r="P1267" s="17"/>
      <c r="Q1267" s="13"/>
      <c r="R1267" s="13"/>
      <c r="S1267" s="13"/>
      <c r="T1267" s="13">
        <f t="shared" ref="T1267:Y1267" si="1317">IF(ISBLANK(K1267)=TRUE,0,1)</f>
        <v>0</v>
      </c>
      <c r="U1267" s="13">
        <f t="shared" si="1317"/>
        <v>0</v>
      </c>
      <c r="V1267" s="13">
        <f t="shared" si="1317"/>
        <v>1</v>
      </c>
      <c r="W1267" s="13">
        <f t="shared" si="1317"/>
        <v>1</v>
      </c>
      <c r="X1267" s="13">
        <f t="shared" si="1317"/>
        <v>0</v>
      </c>
      <c r="Y1267" s="13">
        <f t="shared" si="1317"/>
        <v>0</v>
      </c>
      <c r="Z1267" s="13">
        <f t="shared" si="529"/>
        <v>1</v>
      </c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</row>
    <row r="1268" ht="14.25" hidden="1" customHeight="1">
      <c r="A1268" s="13" t="s">
        <v>29</v>
      </c>
      <c r="B1268" s="13" t="s">
        <v>34</v>
      </c>
      <c r="C1268" s="13" t="s">
        <v>722</v>
      </c>
      <c r="D1268" s="13" t="s">
        <v>193</v>
      </c>
      <c r="E1268" s="13" t="str">
        <f t="shared" si="735"/>
        <v>LPEF,GH-35-6,AT,1</v>
      </c>
      <c r="F1268" s="13"/>
      <c r="G1268" s="13" t="s">
        <v>74</v>
      </c>
      <c r="H1268" s="13" t="s">
        <v>75</v>
      </c>
      <c r="I1268" s="13"/>
      <c r="J1268" s="13"/>
      <c r="K1268" s="15"/>
      <c r="L1268" s="15"/>
      <c r="M1268" s="16">
        <v>1.0</v>
      </c>
      <c r="N1268" s="16">
        <v>1.0</v>
      </c>
      <c r="O1268" s="17"/>
      <c r="P1268" s="17"/>
      <c r="Q1268" s="13"/>
      <c r="R1268" s="13"/>
      <c r="S1268" s="13"/>
      <c r="T1268" s="13">
        <f t="shared" ref="T1268:Y1268" si="1318">IF(ISBLANK(K1268)=TRUE,0,1)</f>
        <v>0</v>
      </c>
      <c r="U1268" s="13">
        <f t="shared" si="1318"/>
        <v>0</v>
      </c>
      <c r="V1268" s="13">
        <f t="shared" si="1318"/>
        <v>1</v>
      </c>
      <c r="W1268" s="13">
        <f t="shared" si="1318"/>
        <v>1</v>
      </c>
      <c r="X1268" s="13">
        <f t="shared" si="1318"/>
        <v>0</v>
      </c>
      <c r="Y1268" s="13">
        <f t="shared" si="1318"/>
        <v>0</v>
      </c>
      <c r="Z1268" s="13">
        <f t="shared" si="529"/>
        <v>1</v>
      </c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</row>
    <row r="1269" ht="14.25" hidden="1" customHeight="1">
      <c r="A1269" s="13" t="s">
        <v>29</v>
      </c>
      <c r="B1269" s="13" t="s">
        <v>34</v>
      </c>
      <c r="C1269" s="13" t="s">
        <v>722</v>
      </c>
      <c r="D1269" s="13" t="s">
        <v>194</v>
      </c>
      <c r="E1269" s="13" t="str">
        <f t="shared" si="735"/>
        <v>LPEF,GH-35-6,AU,1</v>
      </c>
      <c r="F1269" s="13"/>
      <c r="G1269" s="13" t="s">
        <v>74</v>
      </c>
      <c r="H1269" s="13" t="s">
        <v>75</v>
      </c>
      <c r="I1269" s="13"/>
      <c r="J1269" s="13"/>
      <c r="K1269" s="15"/>
      <c r="L1269" s="15"/>
      <c r="M1269" s="16">
        <v>1.0</v>
      </c>
      <c r="N1269" s="16">
        <v>1.0</v>
      </c>
      <c r="O1269" s="17"/>
      <c r="P1269" s="17"/>
      <c r="Q1269" s="13"/>
      <c r="R1269" s="13"/>
      <c r="S1269" s="13"/>
      <c r="T1269" s="13">
        <f t="shared" ref="T1269:Y1269" si="1319">IF(ISBLANK(K1269)=TRUE,0,1)</f>
        <v>0</v>
      </c>
      <c r="U1269" s="13">
        <f t="shared" si="1319"/>
        <v>0</v>
      </c>
      <c r="V1269" s="13">
        <f t="shared" si="1319"/>
        <v>1</v>
      </c>
      <c r="W1269" s="13">
        <f t="shared" si="1319"/>
        <v>1</v>
      </c>
      <c r="X1269" s="13">
        <f t="shared" si="1319"/>
        <v>0</v>
      </c>
      <c r="Y1269" s="13">
        <f t="shared" si="1319"/>
        <v>0</v>
      </c>
      <c r="Z1269" s="13">
        <f t="shared" si="529"/>
        <v>1</v>
      </c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</row>
    <row r="1270" ht="14.25" hidden="1" customHeight="1">
      <c r="A1270" s="13" t="s">
        <v>29</v>
      </c>
      <c r="B1270" s="13" t="s">
        <v>34</v>
      </c>
      <c r="C1270" s="13" t="s">
        <v>722</v>
      </c>
      <c r="D1270" s="13" t="s">
        <v>195</v>
      </c>
      <c r="E1270" s="13" t="str">
        <f t="shared" si="735"/>
        <v>LPEF,GH-35-6,AV,1</v>
      </c>
      <c r="F1270" s="13"/>
      <c r="G1270" s="13" t="s">
        <v>74</v>
      </c>
      <c r="H1270" s="13" t="s">
        <v>75</v>
      </c>
      <c r="I1270" s="13"/>
      <c r="J1270" s="13"/>
      <c r="K1270" s="15"/>
      <c r="L1270" s="15"/>
      <c r="M1270" s="16">
        <v>1.0</v>
      </c>
      <c r="N1270" s="16">
        <v>1.0</v>
      </c>
      <c r="O1270" s="17"/>
      <c r="P1270" s="17"/>
      <c r="Q1270" s="13"/>
      <c r="R1270" s="13"/>
      <c r="S1270" s="13"/>
      <c r="T1270" s="13">
        <f t="shared" ref="T1270:Y1270" si="1320">IF(ISBLANK(K1270)=TRUE,0,1)</f>
        <v>0</v>
      </c>
      <c r="U1270" s="13">
        <f t="shared" si="1320"/>
        <v>0</v>
      </c>
      <c r="V1270" s="13">
        <f t="shared" si="1320"/>
        <v>1</v>
      </c>
      <c r="W1270" s="13">
        <f t="shared" si="1320"/>
        <v>1</v>
      </c>
      <c r="X1270" s="13">
        <f t="shared" si="1320"/>
        <v>0</v>
      </c>
      <c r="Y1270" s="13">
        <f t="shared" si="1320"/>
        <v>0</v>
      </c>
      <c r="Z1270" s="13">
        <f t="shared" si="529"/>
        <v>1</v>
      </c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</row>
    <row r="1271" ht="14.25" hidden="1" customHeight="1">
      <c r="A1271" s="13" t="s">
        <v>29</v>
      </c>
      <c r="B1271" s="13" t="s">
        <v>34</v>
      </c>
      <c r="C1271" s="13" t="s">
        <v>722</v>
      </c>
      <c r="D1271" s="13" t="s">
        <v>196</v>
      </c>
      <c r="E1271" s="13" t="str">
        <f t="shared" si="735"/>
        <v>LPEF,GH-35-6,AW,1</v>
      </c>
      <c r="F1271" s="13"/>
      <c r="G1271" s="13" t="s">
        <v>74</v>
      </c>
      <c r="H1271" s="13" t="s">
        <v>75</v>
      </c>
      <c r="I1271" s="13"/>
      <c r="J1271" s="13"/>
      <c r="K1271" s="15"/>
      <c r="L1271" s="15"/>
      <c r="M1271" s="16">
        <v>1.0</v>
      </c>
      <c r="N1271" s="16">
        <v>1.0</v>
      </c>
      <c r="O1271" s="17"/>
      <c r="P1271" s="17"/>
      <c r="Q1271" s="13"/>
      <c r="R1271" s="13"/>
      <c r="S1271" s="13"/>
      <c r="T1271" s="13">
        <f t="shared" ref="T1271:Y1271" si="1321">IF(ISBLANK(K1271)=TRUE,0,1)</f>
        <v>0</v>
      </c>
      <c r="U1271" s="13">
        <f t="shared" si="1321"/>
        <v>0</v>
      </c>
      <c r="V1271" s="13">
        <f t="shared" si="1321"/>
        <v>1</v>
      </c>
      <c r="W1271" s="13">
        <f t="shared" si="1321"/>
        <v>1</v>
      </c>
      <c r="X1271" s="13">
        <f t="shared" si="1321"/>
        <v>0</v>
      </c>
      <c r="Y1271" s="13">
        <f t="shared" si="1321"/>
        <v>0</v>
      </c>
      <c r="Z1271" s="13">
        <f t="shared" si="529"/>
        <v>1</v>
      </c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</row>
    <row r="1272" ht="14.25" hidden="1" customHeight="1">
      <c r="A1272" s="13" t="s">
        <v>29</v>
      </c>
      <c r="B1272" s="13" t="s">
        <v>34</v>
      </c>
      <c r="C1272" s="13" t="s">
        <v>722</v>
      </c>
      <c r="D1272" s="13" t="s">
        <v>197</v>
      </c>
      <c r="E1272" s="13" t="str">
        <f t="shared" si="735"/>
        <v>LPEF,GH-35-6,AX,1</v>
      </c>
      <c r="F1272" s="13"/>
      <c r="G1272" s="13" t="s">
        <v>74</v>
      </c>
      <c r="H1272" s="13" t="s">
        <v>75</v>
      </c>
      <c r="I1272" s="13"/>
      <c r="J1272" s="13"/>
      <c r="K1272" s="15"/>
      <c r="L1272" s="15"/>
      <c r="M1272" s="16">
        <v>1.0</v>
      </c>
      <c r="N1272" s="16">
        <v>1.0</v>
      </c>
      <c r="O1272" s="17"/>
      <c r="P1272" s="17"/>
      <c r="Q1272" s="13"/>
      <c r="R1272" s="13"/>
      <c r="S1272" s="13"/>
      <c r="T1272" s="13">
        <f t="shared" ref="T1272:Y1272" si="1322">IF(ISBLANK(K1272)=TRUE,0,1)</f>
        <v>0</v>
      </c>
      <c r="U1272" s="13">
        <f t="shared" si="1322"/>
        <v>0</v>
      </c>
      <c r="V1272" s="13">
        <f t="shared" si="1322"/>
        <v>1</v>
      </c>
      <c r="W1272" s="13">
        <f t="shared" si="1322"/>
        <v>1</v>
      </c>
      <c r="X1272" s="13">
        <f t="shared" si="1322"/>
        <v>0</v>
      </c>
      <c r="Y1272" s="13">
        <f t="shared" si="1322"/>
        <v>0</v>
      </c>
      <c r="Z1272" s="13">
        <f t="shared" si="529"/>
        <v>1</v>
      </c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</row>
    <row r="1273" ht="14.25" hidden="1" customHeight="1">
      <c r="A1273" s="13" t="s">
        <v>29</v>
      </c>
      <c r="B1273" s="13" t="s">
        <v>34</v>
      </c>
      <c r="C1273" s="13" t="s">
        <v>722</v>
      </c>
      <c r="D1273" s="13" t="s">
        <v>433</v>
      </c>
      <c r="E1273" s="13" t="str">
        <f t="shared" si="735"/>
        <v>LPEF,GH-35-6,AY,1</v>
      </c>
      <c r="F1273" s="13"/>
      <c r="G1273" s="13" t="s">
        <v>74</v>
      </c>
      <c r="H1273" s="13" t="s">
        <v>75</v>
      </c>
      <c r="I1273" s="13"/>
      <c r="J1273" s="13"/>
      <c r="K1273" s="15"/>
      <c r="L1273" s="15"/>
      <c r="M1273" s="16">
        <v>1.0</v>
      </c>
      <c r="N1273" s="16">
        <v>1.0</v>
      </c>
      <c r="O1273" s="17"/>
      <c r="P1273" s="17"/>
      <c r="Q1273" s="13"/>
      <c r="R1273" s="13"/>
      <c r="S1273" s="13"/>
      <c r="T1273" s="13">
        <f t="shared" ref="T1273:Y1273" si="1323">IF(ISBLANK(K1273)=TRUE,0,1)</f>
        <v>0</v>
      </c>
      <c r="U1273" s="13">
        <f t="shared" si="1323"/>
        <v>0</v>
      </c>
      <c r="V1273" s="13">
        <f t="shared" si="1323"/>
        <v>1</v>
      </c>
      <c r="W1273" s="13">
        <f t="shared" si="1323"/>
        <v>1</v>
      </c>
      <c r="X1273" s="13">
        <f t="shared" si="1323"/>
        <v>0</v>
      </c>
      <c r="Y1273" s="13">
        <f t="shared" si="1323"/>
        <v>0</v>
      </c>
      <c r="Z1273" s="13">
        <f t="shared" si="529"/>
        <v>1</v>
      </c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</row>
    <row r="1274" ht="14.25" hidden="1" customHeight="1">
      <c r="A1274" s="13" t="s">
        <v>29</v>
      </c>
      <c r="B1274" s="13" t="s">
        <v>34</v>
      </c>
      <c r="C1274" s="13" t="s">
        <v>722</v>
      </c>
      <c r="D1274" s="13" t="s">
        <v>434</v>
      </c>
      <c r="E1274" s="13" t="str">
        <f t="shared" si="735"/>
        <v>LPEF,GH-35-6,AZ,1</v>
      </c>
      <c r="F1274" s="13"/>
      <c r="G1274" s="13" t="s">
        <v>74</v>
      </c>
      <c r="H1274" s="13" t="s">
        <v>75</v>
      </c>
      <c r="I1274" s="13"/>
      <c r="J1274" s="13"/>
      <c r="K1274" s="15"/>
      <c r="L1274" s="15"/>
      <c r="M1274" s="16">
        <v>1.0</v>
      </c>
      <c r="N1274" s="16">
        <v>1.0</v>
      </c>
      <c r="O1274" s="17"/>
      <c r="P1274" s="17"/>
      <c r="Q1274" s="13"/>
      <c r="R1274" s="13"/>
      <c r="S1274" s="13"/>
      <c r="T1274" s="13">
        <f t="shared" ref="T1274:Y1274" si="1324">IF(ISBLANK(K1274)=TRUE,0,1)</f>
        <v>0</v>
      </c>
      <c r="U1274" s="13">
        <f t="shared" si="1324"/>
        <v>0</v>
      </c>
      <c r="V1274" s="13">
        <f t="shared" si="1324"/>
        <v>1</v>
      </c>
      <c r="W1274" s="13">
        <f t="shared" si="1324"/>
        <v>1</v>
      </c>
      <c r="X1274" s="13">
        <f t="shared" si="1324"/>
        <v>0</v>
      </c>
      <c r="Y1274" s="13">
        <f t="shared" si="1324"/>
        <v>0</v>
      </c>
      <c r="Z1274" s="13">
        <f t="shared" si="529"/>
        <v>1</v>
      </c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</row>
    <row r="1275" ht="14.25" hidden="1" customHeight="1">
      <c r="A1275" s="13" t="s">
        <v>29</v>
      </c>
      <c r="B1275" s="13" t="s">
        <v>34</v>
      </c>
      <c r="C1275" s="13" t="s">
        <v>722</v>
      </c>
      <c r="D1275" s="13" t="s">
        <v>435</v>
      </c>
      <c r="E1275" s="13" t="str">
        <f t="shared" si="735"/>
        <v>LPEF,GH-35-6,BA,1</v>
      </c>
      <c r="F1275" s="13"/>
      <c r="G1275" s="13" t="s">
        <v>74</v>
      </c>
      <c r="H1275" s="13" t="s">
        <v>75</v>
      </c>
      <c r="I1275" s="13"/>
      <c r="J1275" s="13"/>
      <c r="K1275" s="15"/>
      <c r="L1275" s="15"/>
      <c r="M1275" s="16">
        <v>1.0</v>
      </c>
      <c r="N1275" s="16">
        <v>1.0</v>
      </c>
      <c r="O1275" s="17"/>
      <c r="P1275" s="17"/>
      <c r="Q1275" s="13"/>
      <c r="R1275" s="13"/>
      <c r="S1275" s="13"/>
      <c r="T1275" s="13">
        <f t="shared" ref="T1275:Y1275" si="1325">IF(ISBLANK(K1275)=TRUE,0,1)</f>
        <v>0</v>
      </c>
      <c r="U1275" s="13">
        <f t="shared" si="1325"/>
        <v>0</v>
      </c>
      <c r="V1275" s="13">
        <f t="shared" si="1325"/>
        <v>1</v>
      </c>
      <c r="W1275" s="13">
        <f t="shared" si="1325"/>
        <v>1</v>
      </c>
      <c r="X1275" s="13">
        <f t="shared" si="1325"/>
        <v>0</v>
      </c>
      <c r="Y1275" s="13">
        <f t="shared" si="1325"/>
        <v>0</v>
      </c>
      <c r="Z1275" s="13">
        <f t="shared" si="529"/>
        <v>1</v>
      </c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</row>
    <row r="1276" ht="14.25" hidden="1" customHeight="1">
      <c r="A1276" s="13" t="s">
        <v>29</v>
      </c>
      <c r="B1276" s="13" t="s">
        <v>34</v>
      </c>
      <c r="C1276" s="13" t="s">
        <v>722</v>
      </c>
      <c r="D1276" s="34" t="s">
        <v>436</v>
      </c>
      <c r="E1276" s="13" t="str">
        <f t="shared" si="735"/>
        <v>LPEF,GH-35-6,BB,1</v>
      </c>
      <c r="F1276" s="13"/>
      <c r="G1276" s="13" t="s">
        <v>74</v>
      </c>
      <c r="H1276" s="13" t="s">
        <v>75</v>
      </c>
      <c r="I1276" s="13"/>
      <c r="J1276" s="13"/>
      <c r="K1276" s="15"/>
      <c r="L1276" s="15"/>
      <c r="M1276" s="16">
        <v>1.0</v>
      </c>
      <c r="N1276" s="16">
        <v>1.0</v>
      </c>
      <c r="O1276" s="17"/>
      <c r="P1276" s="17"/>
      <c r="Q1276" s="13"/>
      <c r="R1276" s="13"/>
      <c r="S1276" s="13"/>
      <c r="T1276" s="13">
        <f t="shared" ref="T1276:Y1276" si="1326">IF(ISBLANK(K1276)=TRUE,0,1)</f>
        <v>0</v>
      </c>
      <c r="U1276" s="13">
        <f t="shared" si="1326"/>
        <v>0</v>
      </c>
      <c r="V1276" s="13">
        <f t="shared" si="1326"/>
        <v>1</v>
      </c>
      <c r="W1276" s="13">
        <f t="shared" si="1326"/>
        <v>1</v>
      </c>
      <c r="X1276" s="13">
        <f t="shared" si="1326"/>
        <v>0</v>
      </c>
      <c r="Y1276" s="13">
        <f t="shared" si="1326"/>
        <v>0</v>
      </c>
      <c r="Z1276" s="13">
        <f t="shared" si="529"/>
        <v>1</v>
      </c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</row>
    <row r="1277" ht="14.25" hidden="1" customHeight="1">
      <c r="A1277" s="13" t="s">
        <v>29</v>
      </c>
      <c r="B1277" s="13" t="s">
        <v>34</v>
      </c>
      <c r="C1277" s="13" t="s">
        <v>723</v>
      </c>
      <c r="D1277" s="13" t="s">
        <v>174</v>
      </c>
      <c r="E1277" s="13" t="str">
        <f t="shared" si="735"/>
        <v>LPEF,GH-35-8,AA,1</v>
      </c>
      <c r="F1277" s="13"/>
      <c r="G1277" s="13" t="s">
        <v>74</v>
      </c>
      <c r="H1277" s="13" t="s">
        <v>75</v>
      </c>
      <c r="I1277" s="13"/>
      <c r="J1277" s="13">
        <v>1.0</v>
      </c>
      <c r="K1277" s="15"/>
      <c r="L1277" s="15"/>
      <c r="M1277" s="16">
        <v>1.0</v>
      </c>
      <c r="N1277" s="16">
        <v>1.0</v>
      </c>
      <c r="O1277" s="17"/>
      <c r="P1277" s="17"/>
      <c r="Q1277" s="13"/>
      <c r="R1277" s="13"/>
      <c r="S1277" s="13"/>
      <c r="T1277" s="13">
        <f t="shared" ref="T1277:Y1277" si="1327">IF(ISBLANK(K1277)=TRUE,0,1)</f>
        <v>0</v>
      </c>
      <c r="U1277" s="13">
        <f t="shared" si="1327"/>
        <v>0</v>
      </c>
      <c r="V1277" s="13">
        <f t="shared" si="1327"/>
        <v>1</v>
      </c>
      <c r="W1277" s="13">
        <f t="shared" si="1327"/>
        <v>1</v>
      </c>
      <c r="X1277" s="13">
        <f t="shared" si="1327"/>
        <v>0</v>
      </c>
      <c r="Y1277" s="13">
        <f t="shared" si="1327"/>
        <v>0</v>
      </c>
      <c r="Z1277" s="13">
        <f t="shared" si="529"/>
        <v>1</v>
      </c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</row>
    <row r="1278" ht="14.25" hidden="1" customHeight="1">
      <c r="A1278" s="13" t="s">
        <v>29</v>
      </c>
      <c r="B1278" s="13" t="s">
        <v>34</v>
      </c>
      <c r="C1278" s="13" t="s">
        <v>723</v>
      </c>
      <c r="D1278" s="13" t="s">
        <v>175</v>
      </c>
      <c r="E1278" s="13" t="str">
        <f t="shared" si="735"/>
        <v>LPEF,GH-35-8,AB,1</v>
      </c>
      <c r="F1278" s="13"/>
      <c r="G1278" s="13" t="s">
        <v>74</v>
      </c>
      <c r="H1278" s="13" t="s">
        <v>75</v>
      </c>
      <c r="I1278" s="13"/>
      <c r="J1278" s="13"/>
      <c r="K1278" s="15"/>
      <c r="L1278" s="15"/>
      <c r="M1278" s="16">
        <v>1.0</v>
      </c>
      <c r="N1278" s="16">
        <v>1.0</v>
      </c>
      <c r="O1278" s="17"/>
      <c r="P1278" s="17"/>
      <c r="Q1278" s="13"/>
      <c r="R1278" s="13"/>
      <c r="S1278" s="13"/>
      <c r="T1278" s="13">
        <f t="shared" ref="T1278:Y1278" si="1328">IF(ISBLANK(K1278)=TRUE,0,1)</f>
        <v>0</v>
      </c>
      <c r="U1278" s="13">
        <f t="shared" si="1328"/>
        <v>0</v>
      </c>
      <c r="V1278" s="13">
        <f t="shared" si="1328"/>
        <v>1</v>
      </c>
      <c r="W1278" s="13">
        <f t="shared" si="1328"/>
        <v>1</v>
      </c>
      <c r="X1278" s="13">
        <f t="shared" si="1328"/>
        <v>0</v>
      </c>
      <c r="Y1278" s="13">
        <f t="shared" si="1328"/>
        <v>0</v>
      </c>
      <c r="Z1278" s="13">
        <f t="shared" si="529"/>
        <v>1</v>
      </c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</row>
    <row r="1279" ht="14.25" hidden="1" customHeight="1">
      <c r="A1279" s="13" t="s">
        <v>29</v>
      </c>
      <c r="B1279" s="13" t="s">
        <v>34</v>
      </c>
      <c r="C1279" s="13" t="s">
        <v>723</v>
      </c>
      <c r="D1279" s="13" t="s">
        <v>176</v>
      </c>
      <c r="E1279" s="13" t="str">
        <f t="shared" si="735"/>
        <v>LPEF,GH-35-8,AC,1</v>
      </c>
      <c r="F1279" s="13"/>
      <c r="G1279" s="13" t="s">
        <v>74</v>
      </c>
      <c r="H1279" s="13" t="s">
        <v>75</v>
      </c>
      <c r="I1279" s="13"/>
      <c r="J1279" s="13"/>
      <c r="K1279" s="15"/>
      <c r="L1279" s="15"/>
      <c r="M1279" s="16">
        <v>1.0</v>
      </c>
      <c r="N1279" s="16">
        <v>1.0</v>
      </c>
      <c r="O1279" s="17"/>
      <c r="P1279" s="17"/>
      <c r="Q1279" s="13"/>
      <c r="R1279" s="13"/>
      <c r="S1279" s="13"/>
      <c r="T1279" s="13">
        <f t="shared" ref="T1279:Y1279" si="1329">IF(ISBLANK(K1279)=TRUE,0,1)</f>
        <v>0</v>
      </c>
      <c r="U1279" s="13">
        <f t="shared" si="1329"/>
        <v>0</v>
      </c>
      <c r="V1279" s="13">
        <f t="shared" si="1329"/>
        <v>1</v>
      </c>
      <c r="W1279" s="13">
        <f t="shared" si="1329"/>
        <v>1</v>
      </c>
      <c r="X1279" s="13">
        <f t="shared" si="1329"/>
        <v>0</v>
      </c>
      <c r="Y1279" s="13">
        <f t="shared" si="1329"/>
        <v>0</v>
      </c>
      <c r="Z1279" s="13">
        <f t="shared" si="529"/>
        <v>1</v>
      </c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</row>
    <row r="1280" ht="14.25" hidden="1" customHeight="1">
      <c r="A1280" s="13" t="s">
        <v>29</v>
      </c>
      <c r="B1280" s="13" t="s">
        <v>34</v>
      </c>
      <c r="C1280" s="13" t="s">
        <v>723</v>
      </c>
      <c r="D1280" s="13" t="s">
        <v>177</v>
      </c>
      <c r="E1280" s="13" t="str">
        <f t="shared" si="735"/>
        <v>LPEF,GH-35-8,AD,1</v>
      </c>
      <c r="F1280" s="13"/>
      <c r="G1280" s="13" t="s">
        <v>74</v>
      </c>
      <c r="H1280" s="13" t="s">
        <v>75</v>
      </c>
      <c r="I1280" s="13"/>
      <c r="J1280" s="13"/>
      <c r="K1280" s="15"/>
      <c r="L1280" s="15"/>
      <c r="M1280" s="16">
        <v>1.0</v>
      </c>
      <c r="N1280" s="16">
        <v>1.0</v>
      </c>
      <c r="O1280" s="17"/>
      <c r="P1280" s="17"/>
      <c r="Q1280" s="13"/>
      <c r="R1280" s="13"/>
      <c r="S1280" s="13"/>
      <c r="T1280" s="13">
        <f t="shared" ref="T1280:Y1280" si="1330">IF(ISBLANK(K1280)=TRUE,0,1)</f>
        <v>0</v>
      </c>
      <c r="U1280" s="13">
        <f t="shared" si="1330"/>
        <v>0</v>
      </c>
      <c r="V1280" s="13">
        <f t="shared" si="1330"/>
        <v>1</v>
      </c>
      <c r="W1280" s="13">
        <f t="shared" si="1330"/>
        <v>1</v>
      </c>
      <c r="X1280" s="13">
        <f t="shared" si="1330"/>
        <v>0</v>
      </c>
      <c r="Y1280" s="13">
        <f t="shared" si="1330"/>
        <v>0</v>
      </c>
      <c r="Z1280" s="13">
        <f t="shared" si="529"/>
        <v>1</v>
      </c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</row>
    <row r="1281" ht="14.25" hidden="1" customHeight="1">
      <c r="A1281" s="13" t="s">
        <v>29</v>
      </c>
      <c r="B1281" s="13" t="s">
        <v>34</v>
      </c>
      <c r="C1281" s="13" t="s">
        <v>723</v>
      </c>
      <c r="D1281" s="13" t="s">
        <v>178</v>
      </c>
      <c r="E1281" s="13" t="str">
        <f t="shared" si="735"/>
        <v>LPEF,GH-35-8,AE,1</v>
      </c>
      <c r="F1281" s="13"/>
      <c r="G1281" s="13" t="s">
        <v>74</v>
      </c>
      <c r="H1281" s="13" t="s">
        <v>75</v>
      </c>
      <c r="I1281" s="13"/>
      <c r="J1281" s="13"/>
      <c r="K1281" s="15"/>
      <c r="L1281" s="15"/>
      <c r="M1281" s="16">
        <v>1.0</v>
      </c>
      <c r="N1281" s="16">
        <v>1.0</v>
      </c>
      <c r="O1281" s="17"/>
      <c r="P1281" s="17"/>
      <c r="Q1281" s="13"/>
      <c r="R1281" s="13"/>
      <c r="S1281" s="13"/>
      <c r="T1281" s="13">
        <f t="shared" ref="T1281:Y1281" si="1331">IF(ISBLANK(K1281)=TRUE,0,1)</f>
        <v>0</v>
      </c>
      <c r="U1281" s="13">
        <f t="shared" si="1331"/>
        <v>0</v>
      </c>
      <c r="V1281" s="13">
        <f t="shared" si="1331"/>
        <v>1</v>
      </c>
      <c r="W1281" s="13">
        <f t="shared" si="1331"/>
        <v>1</v>
      </c>
      <c r="X1281" s="13">
        <f t="shared" si="1331"/>
        <v>0</v>
      </c>
      <c r="Y1281" s="13">
        <f t="shared" si="1331"/>
        <v>0</v>
      </c>
      <c r="Z1281" s="13">
        <f t="shared" si="529"/>
        <v>1</v>
      </c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</row>
    <row r="1282" ht="14.25" hidden="1" customHeight="1">
      <c r="A1282" s="13" t="s">
        <v>29</v>
      </c>
      <c r="B1282" s="13" t="s">
        <v>34</v>
      </c>
      <c r="C1282" s="13" t="s">
        <v>723</v>
      </c>
      <c r="D1282" s="13" t="s">
        <v>179</v>
      </c>
      <c r="E1282" s="13" t="str">
        <f t="shared" si="735"/>
        <v>LPEF,GH-35-8,AF,1</v>
      </c>
      <c r="F1282" s="13"/>
      <c r="G1282" s="13" t="s">
        <v>74</v>
      </c>
      <c r="H1282" s="13" t="s">
        <v>75</v>
      </c>
      <c r="I1282" s="13"/>
      <c r="J1282" s="13"/>
      <c r="K1282" s="15"/>
      <c r="L1282" s="15"/>
      <c r="M1282" s="16">
        <v>1.0</v>
      </c>
      <c r="N1282" s="16">
        <v>1.0</v>
      </c>
      <c r="O1282" s="17"/>
      <c r="P1282" s="17"/>
      <c r="Q1282" s="13"/>
      <c r="R1282" s="13"/>
      <c r="S1282" s="13"/>
      <c r="T1282" s="13">
        <f t="shared" ref="T1282:Y1282" si="1332">IF(ISBLANK(K1282)=TRUE,0,1)</f>
        <v>0</v>
      </c>
      <c r="U1282" s="13">
        <f t="shared" si="1332"/>
        <v>0</v>
      </c>
      <c r="V1282" s="13">
        <f t="shared" si="1332"/>
        <v>1</v>
      </c>
      <c r="W1282" s="13">
        <f t="shared" si="1332"/>
        <v>1</v>
      </c>
      <c r="X1282" s="13">
        <f t="shared" si="1332"/>
        <v>0</v>
      </c>
      <c r="Y1282" s="13">
        <f t="shared" si="1332"/>
        <v>0</v>
      </c>
      <c r="Z1282" s="13">
        <f t="shared" si="529"/>
        <v>1</v>
      </c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</row>
    <row r="1283" ht="14.25" hidden="1" customHeight="1">
      <c r="A1283" s="13" t="s">
        <v>29</v>
      </c>
      <c r="B1283" s="13" t="s">
        <v>34</v>
      </c>
      <c r="C1283" s="13" t="s">
        <v>723</v>
      </c>
      <c r="D1283" s="13" t="s">
        <v>180</v>
      </c>
      <c r="E1283" s="13" t="str">
        <f t="shared" si="735"/>
        <v>LPEF,GH-35-8,AG,1</v>
      </c>
      <c r="F1283" s="13"/>
      <c r="G1283" s="13" t="s">
        <v>74</v>
      </c>
      <c r="H1283" s="13" t="s">
        <v>75</v>
      </c>
      <c r="I1283" s="13"/>
      <c r="J1283" s="13"/>
      <c r="K1283" s="15"/>
      <c r="L1283" s="15"/>
      <c r="M1283" s="16">
        <v>1.0</v>
      </c>
      <c r="N1283" s="16">
        <v>1.0</v>
      </c>
      <c r="O1283" s="17"/>
      <c r="P1283" s="17"/>
      <c r="Q1283" s="13"/>
      <c r="R1283" s="13"/>
      <c r="S1283" s="13"/>
      <c r="T1283" s="13">
        <f t="shared" ref="T1283:Y1283" si="1333">IF(ISBLANK(K1283)=TRUE,0,1)</f>
        <v>0</v>
      </c>
      <c r="U1283" s="13">
        <f t="shared" si="1333"/>
        <v>0</v>
      </c>
      <c r="V1283" s="13">
        <f t="shared" si="1333"/>
        <v>1</v>
      </c>
      <c r="W1283" s="13">
        <f t="shared" si="1333"/>
        <v>1</v>
      </c>
      <c r="X1283" s="13">
        <f t="shared" si="1333"/>
        <v>0</v>
      </c>
      <c r="Y1283" s="13">
        <f t="shared" si="1333"/>
        <v>0</v>
      </c>
      <c r="Z1283" s="13">
        <f t="shared" si="529"/>
        <v>1</v>
      </c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</row>
    <row r="1284" ht="14.25" hidden="1" customHeight="1">
      <c r="A1284" s="13" t="s">
        <v>29</v>
      </c>
      <c r="B1284" s="13" t="s">
        <v>34</v>
      </c>
      <c r="C1284" s="13" t="s">
        <v>723</v>
      </c>
      <c r="D1284" s="13" t="s">
        <v>181</v>
      </c>
      <c r="E1284" s="13" t="str">
        <f t="shared" si="735"/>
        <v>LPEF,GH-35-8,AH,1</v>
      </c>
      <c r="F1284" s="13"/>
      <c r="G1284" s="13" t="s">
        <v>74</v>
      </c>
      <c r="H1284" s="13" t="s">
        <v>75</v>
      </c>
      <c r="I1284" s="13"/>
      <c r="J1284" s="13"/>
      <c r="K1284" s="15"/>
      <c r="L1284" s="15"/>
      <c r="M1284" s="16">
        <v>1.0</v>
      </c>
      <c r="N1284" s="16">
        <v>1.0</v>
      </c>
      <c r="O1284" s="17"/>
      <c r="P1284" s="17"/>
      <c r="Q1284" s="13"/>
      <c r="R1284" s="13"/>
      <c r="S1284" s="13"/>
      <c r="T1284" s="13">
        <f t="shared" ref="T1284:Y1284" si="1334">IF(ISBLANK(K1284)=TRUE,0,1)</f>
        <v>0</v>
      </c>
      <c r="U1284" s="13">
        <f t="shared" si="1334"/>
        <v>0</v>
      </c>
      <c r="V1284" s="13">
        <f t="shared" si="1334"/>
        <v>1</v>
      </c>
      <c r="W1284" s="13">
        <f t="shared" si="1334"/>
        <v>1</v>
      </c>
      <c r="X1284" s="13">
        <f t="shared" si="1334"/>
        <v>0</v>
      </c>
      <c r="Y1284" s="13">
        <f t="shared" si="1334"/>
        <v>0</v>
      </c>
      <c r="Z1284" s="13">
        <f t="shared" si="529"/>
        <v>1</v>
      </c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</row>
    <row r="1285" ht="14.25" hidden="1" customHeight="1">
      <c r="A1285" s="13" t="s">
        <v>29</v>
      </c>
      <c r="B1285" s="13" t="s">
        <v>34</v>
      </c>
      <c r="C1285" s="13" t="s">
        <v>723</v>
      </c>
      <c r="D1285" s="13" t="s">
        <v>182</v>
      </c>
      <c r="E1285" s="13" t="str">
        <f t="shared" si="735"/>
        <v>LPEF,GH-35-8,AI,1</v>
      </c>
      <c r="F1285" s="13"/>
      <c r="G1285" s="13" t="s">
        <v>74</v>
      </c>
      <c r="H1285" s="13" t="s">
        <v>75</v>
      </c>
      <c r="I1285" s="13"/>
      <c r="J1285" s="13"/>
      <c r="K1285" s="15"/>
      <c r="L1285" s="15"/>
      <c r="M1285" s="16">
        <v>1.0</v>
      </c>
      <c r="N1285" s="16">
        <v>1.0</v>
      </c>
      <c r="O1285" s="17"/>
      <c r="P1285" s="17"/>
      <c r="Q1285" s="13"/>
      <c r="R1285" s="13"/>
      <c r="S1285" s="13"/>
      <c r="T1285" s="13">
        <f t="shared" ref="T1285:Y1285" si="1335">IF(ISBLANK(K1285)=TRUE,0,1)</f>
        <v>0</v>
      </c>
      <c r="U1285" s="13">
        <f t="shared" si="1335"/>
        <v>0</v>
      </c>
      <c r="V1285" s="13">
        <f t="shared" si="1335"/>
        <v>1</v>
      </c>
      <c r="W1285" s="13">
        <f t="shared" si="1335"/>
        <v>1</v>
      </c>
      <c r="X1285" s="13">
        <f t="shared" si="1335"/>
        <v>0</v>
      </c>
      <c r="Y1285" s="13">
        <f t="shared" si="1335"/>
        <v>0</v>
      </c>
      <c r="Z1285" s="13">
        <f t="shared" si="529"/>
        <v>1</v>
      </c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</row>
    <row r="1286" ht="14.25" hidden="1" customHeight="1">
      <c r="A1286" s="13" t="s">
        <v>29</v>
      </c>
      <c r="B1286" s="13" t="s">
        <v>34</v>
      </c>
      <c r="C1286" s="13" t="s">
        <v>723</v>
      </c>
      <c r="D1286" s="13" t="s">
        <v>183</v>
      </c>
      <c r="E1286" s="13" t="str">
        <f t="shared" si="735"/>
        <v>LPEF,GH-35-8,AJ,1</v>
      </c>
      <c r="F1286" s="13"/>
      <c r="G1286" s="13" t="s">
        <v>74</v>
      </c>
      <c r="H1286" s="13" t="s">
        <v>75</v>
      </c>
      <c r="I1286" s="13"/>
      <c r="J1286" s="13"/>
      <c r="K1286" s="15"/>
      <c r="L1286" s="15"/>
      <c r="M1286" s="16">
        <v>1.0</v>
      </c>
      <c r="N1286" s="16">
        <v>1.0</v>
      </c>
      <c r="O1286" s="17"/>
      <c r="P1286" s="17"/>
      <c r="Q1286" s="13"/>
      <c r="R1286" s="13"/>
      <c r="S1286" s="13"/>
      <c r="T1286" s="13">
        <f t="shared" ref="T1286:Y1286" si="1336">IF(ISBLANK(K1286)=TRUE,0,1)</f>
        <v>0</v>
      </c>
      <c r="U1286" s="13">
        <f t="shared" si="1336"/>
        <v>0</v>
      </c>
      <c r="V1286" s="13">
        <f t="shared" si="1336"/>
        <v>1</v>
      </c>
      <c r="W1286" s="13">
        <f t="shared" si="1336"/>
        <v>1</v>
      </c>
      <c r="X1286" s="13">
        <f t="shared" si="1336"/>
        <v>0</v>
      </c>
      <c r="Y1286" s="13">
        <f t="shared" si="1336"/>
        <v>0</v>
      </c>
      <c r="Z1286" s="13">
        <f t="shared" si="529"/>
        <v>1</v>
      </c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</row>
    <row r="1287" ht="14.25" hidden="1" customHeight="1">
      <c r="A1287" s="13" t="s">
        <v>29</v>
      </c>
      <c r="B1287" s="13" t="s">
        <v>34</v>
      </c>
      <c r="C1287" s="13" t="s">
        <v>723</v>
      </c>
      <c r="D1287" s="13" t="s">
        <v>184</v>
      </c>
      <c r="E1287" s="13" t="str">
        <f t="shared" si="735"/>
        <v>LPEF,GH-35-8,AK,1</v>
      </c>
      <c r="F1287" s="13"/>
      <c r="G1287" s="13" t="s">
        <v>74</v>
      </c>
      <c r="H1287" s="13" t="s">
        <v>75</v>
      </c>
      <c r="I1287" s="13"/>
      <c r="J1287" s="13"/>
      <c r="K1287" s="15"/>
      <c r="L1287" s="15"/>
      <c r="M1287" s="16">
        <v>1.0</v>
      </c>
      <c r="N1287" s="16">
        <v>1.0</v>
      </c>
      <c r="O1287" s="17"/>
      <c r="P1287" s="17"/>
      <c r="Q1287" s="13"/>
      <c r="R1287" s="13"/>
      <c r="S1287" s="13"/>
      <c r="T1287" s="13">
        <f t="shared" ref="T1287:Y1287" si="1337">IF(ISBLANK(K1287)=TRUE,0,1)</f>
        <v>0</v>
      </c>
      <c r="U1287" s="13">
        <f t="shared" si="1337"/>
        <v>0</v>
      </c>
      <c r="V1287" s="13">
        <f t="shared" si="1337"/>
        <v>1</v>
      </c>
      <c r="W1287" s="13">
        <f t="shared" si="1337"/>
        <v>1</v>
      </c>
      <c r="X1287" s="13">
        <f t="shared" si="1337"/>
        <v>0</v>
      </c>
      <c r="Y1287" s="13">
        <f t="shared" si="1337"/>
        <v>0</v>
      </c>
      <c r="Z1287" s="13">
        <f t="shared" si="529"/>
        <v>1</v>
      </c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</row>
    <row r="1288" ht="14.25" hidden="1" customHeight="1">
      <c r="A1288" s="13" t="s">
        <v>29</v>
      </c>
      <c r="B1288" s="13" t="s">
        <v>34</v>
      </c>
      <c r="C1288" s="13" t="s">
        <v>723</v>
      </c>
      <c r="D1288" s="13" t="s">
        <v>185</v>
      </c>
      <c r="E1288" s="13" t="str">
        <f t="shared" si="735"/>
        <v>LPEF,GH-35-8,AL,1</v>
      </c>
      <c r="F1288" s="13"/>
      <c r="G1288" s="13" t="s">
        <v>74</v>
      </c>
      <c r="H1288" s="13" t="s">
        <v>75</v>
      </c>
      <c r="I1288" s="13"/>
      <c r="J1288" s="13"/>
      <c r="K1288" s="15"/>
      <c r="L1288" s="15"/>
      <c r="M1288" s="16">
        <v>1.0</v>
      </c>
      <c r="N1288" s="16">
        <v>1.0</v>
      </c>
      <c r="O1288" s="17"/>
      <c r="P1288" s="17"/>
      <c r="Q1288" s="13"/>
      <c r="R1288" s="13"/>
      <c r="S1288" s="13"/>
      <c r="T1288" s="13">
        <f t="shared" ref="T1288:Y1288" si="1338">IF(ISBLANK(K1288)=TRUE,0,1)</f>
        <v>0</v>
      </c>
      <c r="U1288" s="13">
        <f t="shared" si="1338"/>
        <v>0</v>
      </c>
      <c r="V1288" s="13">
        <f t="shared" si="1338"/>
        <v>1</v>
      </c>
      <c r="W1288" s="13">
        <f t="shared" si="1338"/>
        <v>1</v>
      </c>
      <c r="X1288" s="13">
        <f t="shared" si="1338"/>
        <v>0</v>
      </c>
      <c r="Y1288" s="13">
        <f t="shared" si="1338"/>
        <v>0</v>
      </c>
      <c r="Z1288" s="13">
        <f t="shared" si="529"/>
        <v>1</v>
      </c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</row>
    <row r="1289" ht="14.25" hidden="1" customHeight="1">
      <c r="A1289" s="13" t="s">
        <v>29</v>
      </c>
      <c r="B1289" s="13" t="s">
        <v>34</v>
      </c>
      <c r="C1289" s="13" t="s">
        <v>723</v>
      </c>
      <c r="D1289" s="13" t="s">
        <v>186</v>
      </c>
      <c r="E1289" s="13" t="str">
        <f t="shared" si="735"/>
        <v>LPEF,GH-35-8,AM,1</v>
      </c>
      <c r="F1289" s="13"/>
      <c r="G1289" s="13" t="s">
        <v>74</v>
      </c>
      <c r="H1289" s="13" t="s">
        <v>75</v>
      </c>
      <c r="I1289" s="13"/>
      <c r="J1289" s="13"/>
      <c r="K1289" s="15"/>
      <c r="L1289" s="15"/>
      <c r="M1289" s="16">
        <v>1.0</v>
      </c>
      <c r="N1289" s="16">
        <v>1.0</v>
      </c>
      <c r="O1289" s="17"/>
      <c r="P1289" s="17"/>
      <c r="Q1289" s="13"/>
      <c r="R1289" s="13"/>
      <c r="S1289" s="13"/>
      <c r="T1289" s="13">
        <f t="shared" ref="T1289:Y1289" si="1339">IF(ISBLANK(K1289)=TRUE,0,1)</f>
        <v>0</v>
      </c>
      <c r="U1289" s="13">
        <f t="shared" si="1339"/>
        <v>0</v>
      </c>
      <c r="V1289" s="13">
        <f t="shared" si="1339"/>
        <v>1</v>
      </c>
      <c r="W1289" s="13">
        <f t="shared" si="1339"/>
        <v>1</v>
      </c>
      <c r="X1289" s="13">
        <f t="shared" si="1339"/>
        <v>0</v>
      </c>
      <c r="Y1289" s="13">
        <f t="shared" si="1339"/>
        <v>0</v>
      </c>
      <c r="Z1289" s="13">
        <f t="shared" si="529"/>
        <v>1</v>
      </c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</row>
    <row r="1290" ht="14.25" hidden="1" customHeight="1">
      <c r="A1290" s="13" t="s">
        <v>29</v>
      </c>
      <c r="B1290" s="13" t="s">
        <v>34</v>
      </c>
      <c r="C1290" s="13" t="s">
        <v>723</v>
      </c>
      <c r="D1290" s="13" t="s">
        <v>187</v>
      </c>
      <c r="E1290" s="13" t="str">
        <f t="shared" si="735"/>
        <v>LPEF,GH-35-8,AN,1</v>
      </c>
      <c r="F1290" s="13"/>
      <c r="G1290" s="13" t="s">
        <v>74</v>
      </c>
      <c r="H1290" s="13" t="s">
        <v>75</v>
      </c>
      <c r="I1290" s="13"/>
      <c r="J1290" s="13"/>
      <c r="K1290" s="15"/>
      <c r="L1290" s="15"/>
      <c r="M1290" s="16">
        <v>1.0</v>
      </c>
      <c r="N1290" s="16">
        <v>1.0</v>
      </c>
      <c r="O1290" s="17"/>
      <c r="P1290" s="17"/>
      <c r="Q1290" s="13"/>
      <c r="R1290" s="13"/>
      <c r="S1290" s="13"/>
      <c r="T1290" s="13">
        <f t="shared" ref="T1290:Y1290" si="1340">IF(ISBLANK(K1290)=TRUE,0,1)</f>
        <v>0</v>
      </c>
      <c r="U1290" s="13">
        <f t="shared" si="1340"/>
        <v>0</v>
      </c>
      <c r="V1290" s="13">
        <f t="shared" si="1340"/>
        <v>1</v>
      </c>
      <c r="W1290" s="13">
        <f t="shared" si="1340"/>
        <v>1</v>
      </c>
      <c r="X1290" s="13">
        <f t="shared" si="1340"/>
        <v>0</v>
      </c>
      <c r="Y1290" s="13">
        <f t="shared" si="1340"/>
        <v>0</v>
      </c>
      <c r="Z1290" s="13">
        <f t="shared" si="529"/>
        <v>1</v>
      </c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</row>
    <row r="1291" ht="14.25" hidden="1" customHeight="1">
      <c r="A1291" s="13" t="s">
        <v>29</v>
      </c>
      <c r="B1291" s="13" t="s">
        <v>34</v>
      </c>
      <c r="C1291" s="13" t="s">
        <v>723</v>
      </c>
      <c r="D1291" s="13" t="s">
        <v>188</v>
      </c>
      <c r="E1291" s="13" t="str">
        <f t="shared" si="735"/>
        <v>LPEF,GH-35-8,AO,1</v>
      </c>
      <c r="F1291" s="13"/>
      <c r="G1291" s="13" t="s">
        <v>74</v>
      </c>
      <c r="H1291" s="13" t="s">
        <v>75</v>
      </c>
      <c r="I1291" s="13"/>
      <c r="J1291" s="13"/>
      <c r="K1291" s="15"/>
      <c r="L1291" s="15"/>
      <c r="M1291" s="16">
        <v>1.0</v>
      </c>
      <c r="N1291" s="16">
        <v>1.0</v>
      </c>
      <c r="O1291" s="17"/>
      <c r="P1291" s="17"/>
      <c r="Q1291" s="13"/>
      <c r="R1291" s="13"/>
      <c r="S1291" s="13"/>
      <c r="T1291" s="13">
        <f t="shared" ref="T1291:Y1291" si="1341">IF(ISBLANK(K1291)=TRUE,0,1)</f>
        <v>0</v>
      </c>
      <c r="U1291" s="13">
        <f t="shared" si="1341"/>
        <v>0</v>
      </c>
      <c r="V1291" s="13">
        <f t="shared" si="1341"/>
        <v>1</v>
      </c>
      <c r="W1291" s="13">
        <f t="shared" si="1341"/>
        <v>1</v>
      </c>
      <c r="X1291" s="13">
        <f t="shared" si="1341"/>
        <v>0</v>
      </c>
      <c r="Y1291" s="13">
        <f t="shared" si="1341"/>
        <v>0</v>
      </c>
      <c r="Z1291" s="13">
        <f t="shared" si="529"/>
        <v>1</v>
      </c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</row>
    <row r="1292" ht="14.25" hidden="1" customHeight="1">
      <c r="A1292" s="13" t="s">
        <v>29</v>
      </c>
      <c r="B1292" s="13" t="s">
        <v>34</v>
      </c>
      <c r="C1292" s="13" t="s">
        <v>723</v>
      </c>
      <c r="D1292" s="13" t="s">
        <v>189</v>
      </c>
      <c r="E1292" s="13" t="str">
        <f t="shared" si="735"/>
        <v>LPEF,GH-35-8,AP,1</v>
      </c>
      <c r="F1292" s="13"/>
      <c r="G1292" s="13" t="s">
        <v>74</v>
      </c>
      <c r="H1292" s="13" t="s">
        <v>75</v>
      </c>
      <c r="I1292" s="13"/>
      <c r="J1292" s="13"/>
      <c r="K1292" s="15"/>
      <c r="L1292" s="15"/>
      <c r="M1292" s="16">
        <v>1.0</v>
      </c>
      <c r="N1292" s="16">
        <v>1.0</v>
      </c>
      <c r="O1292" s="17"/>
      <c r="P1292" s="17"/>
      <c r="Q1292" s="13"/>
      <c r="R1292" s="13"/>
      <c r="S1292" s="13"/>
      <c r="T1292" s="13">
        <f t="shared" ref="T1292:Y1292" si="1342">IF(ISBLANK(K1292)=TRUE,0,1)</f>
        <v>0</v>
      </c>
      <c r="U1292" s="13">
        <f t="shared" si="1342"/>
        <v>0</v>
      </c>
      <c r="V1292" s="13">
        <f t="shared" si="1342"/>
        <v>1</v>
      </c>
      <c r="W1292" s="13">
        <f t="shared" si="1342"/>
        <v>1</v>
      </c>
      <c r="X1292" s="13">
        <f t="shared" si="1342"/>
        <v>0</v>
      </c>
      <c r="Y1292" s="13">
        <f t="shared" si="1342"/>
        <v>0</v>
      </c>
      <c r="Z1292" s="13">
        <f t="shared" si="529"/>
        <v>1</v>
      </c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</row>
    <row r="1293" ht="14.25" hidden="1" customHeight="1">
      <c r="A1293" s="13" t="s">
        <v>29</v>
      </c>
      <c r="B1293" s="13" t="s">
        <v>34</v>
      </c>
      <c r="C1293" s="13" t="s">
        <v>723</v>
      </c>
      <c r="D1293" s="13" t="s">
        <v>190</v>
      </c>
      <c r="E1293" s="13" t="str">
        <f t="shared" si="735"/>
        <v>LPEF,GH-35-8,AQ,1</v>
      </c>
      <c r="F1293" s="13"/>
      <c r="G1293" s="13" t="s">
        <v>74</v>
      </c>
      <c r="H1293" s="13" t="s">
        <v>75</v>
      </c>
      <c r="I1293" s="13"/>
      <c r="J1293" s="13"/>
      <c r="K1293" s="15"/>
      <c r="L1293" s="15"/>
      <c r="M1293" s="16">
        <v>1.0</v>
      </c>
      <c r="N1293" s="16">
        <v>1.0</v>
      </c>
      <c r="O1293" s="17"/>
      <c r="P1293" s="17"/>
      <c r="Q1293" s="13"/>
      <c r="R1293" s="13"/>
      <c r="S1293" s="13"/>
      <c r="T1293" s="13">
        <f t="shared" ref="T1293:Y1293" si="1343">IF(ISBLANK(K1293)=TRUE,0,1)</f>
        <v>0</v>
      </c>
      <c r="U1293" s="13">
        <f t="shared" si="1343"/>
        <v>0</v>
      </c>
      <c r="V1293" s="13">
        <f t="shared" si="1343"/>
        <v>1</v>
      </c>
      <c r="W1293" s="13">
        <f t="shared" si="1343"/>
        <v>1</v>
      </c>
      <c r="X1293" s="13">
        <f t="shared" si="1343"/>
        <v>0</v>
      </c>
      <c r="Y1293" s="13">
        <f t="shared" si="1343"/>
        <v>0</v>
      </c>
      <c r="Z1293" s="13">
        <f t="shared" si="529"/>
        <v>1</v>
      </c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</row>
    <row r="1294" ht="14.25" hidden="1" customHeight="1">
      <c r="A1294" s="13" t="s">
        <v>29</v>
      </c>
      <c r="B1294" s="13" t="s">
        <v>34</v>
      </c>
      <c r="C1294" s="13" t="s">
        <v>723</v>
      </c>
      <c r="D1294" s="13" t="s">
        <v>191</v>
      </c>
      <c r="E1294" s="13" t="str">
        <f t="shared" si="735"/>
        <v>LPEF,GH-35-8,AR,1</v>
      </c>
      <c r="F1294" s="13"/>
      <c r="G1294" s="13" t="s">
        <v>74</v>
      </c>
      <c r="H1294" s="13" t="s">
        <v>75</v>
      </c>
      <c r="I1294" s="13"/>
      <c r="J1294" s="13"/>
      <c r="K1294" s="15"/>
      <c r="L1294" s="15"/>
      <c r="M1294" s="16">
        <v>1.0</v>
      </c>
      <c r="N1294" s="16">
        <v>1.0</v>
      </c>
      <c r="O1294" s="17"/>
      <c r="P1294" s="17"/>
      <c r="Q1294" s="13"/>
      <c r="R1294" s="13"/>
      <c r="S1294" s="13"/>
      <c r="T1294" s="13">
        <f t="shared" ref="T1294:Y1294" si="1344">IF(ISBLANK(K1294)=TRUE,0,1)</f>
        <v>0</v>
      </c>
      <c r="U1294" s="13">
        <f t="shared" si="1344"/>
        <v>0</v>
      </c>
      <c r="V1294" s="13">
        <f t="shared" si="1344"/>
        <v>1</v>
      </c>
      <c r="W1294" s="13">
        <f t="shared" si="1344"/>
        <v>1</v>
      </c>
      <c r="X1294" s="13">
        <f t="shared" si="1344"/>
        <v>0</v>
      </c>
      <c r="Y1294" s="13">
        <f t="shared" si="1344"/>
        <v>0</v>
      </c>
      <c r="Z1294" s="13">
        <f t="shared" si="529"/>
        <v>1</v>
      </c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</row>
    <row r="1295" ht="14.25" hidden="1" customHeight="1">
      <c r="A1295" s="13" t="s">
        <v>29</v>
      </c>
      <c r="B1295" s="13" t="s">
        <v>34</v>
      </c>
      <c r="C1295" s="13" t="s">
        <v>723</v>
      </c>
      <c r="D1295" s="13" t="s">
        <v>192</v>
      </c>
      <c r="E1295" s="13" t="str">
        <f t="shared" si="735"/>
        <v>LPEF,GH-35-8,AS,1</v>
      </c>
      <c r="F1295" s="13"/>
      <c r="G1295" s="13" t="s">
        <v>74</v>
      </c>
      <c r="H1295" s="13" t="s">
        <v>75</v>
      </c>
      <c r="I1295" s="13"/>
      <c r="J1295" s="13"/>
      <c r="K1295" s="15"/>
      <c r="L1295" s="15"/>
      <c r="M1295" s="16">
        <v>1.0</v>
      </c>
      <c r="N1295" s="16">
        <v>1.0</v>
      </c>
      <c r="O1295" s="17"/>
      <c r="P1295" s="17"/>
      <c r="Q1295" s="13"/>
      <c r="R1295" s="13"/>
      <c r="S1295" s="13"/>
      <c r="T1295" s="13">
        <f t="shared" ref="T1295:Y1295" si="1345">IF(ISBLANK(K1295)=TRUE,0,1)</f>
        <v>0</v>
      </c>
      <c r="U1295" s="13">
        <f t="shared" si="1345"/>
        <v>0</v>
      </c>
      <c r="V1295" s="13">
        <f t="shared" si="1345"/>
        <v>1</v>
      </c>
      <c r="W1295" s="13">
        <f t="shared" si="1345"/>
        <v>1</v>
      </c>
      <c r="X1295" s="13">
        <f t="shared" si="1345"/>
        <v>0</v>
      </c>
      <c r="Y1295" s="13">
        <f t="shared" si="1345"/>
        <v>0</v>
      </c>
      <c r="Z1295" s="13">
        <f t="shared" si="529"/>
        <v>1</v>
      </c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</row>
    <row r="1296" ht="14.25" hidden="1" customHeight="1">
      <c r="A1296" s="13" t="s">
        <v>29</v>
      </c>
      <c r="B1296" s="13" t="s">
        <v>34</v>
      </c>
      <c r="C1296" s="13" t="s">
        <v>723</v>
      </c>
      <c r="D1296" s="13" t="s">
        <v>193</v>
      </c>
      <c r="E1296" s="13" t="str">
        <f t="shared" si="735"/>
        <v>LPEF,GH-35-8,AT,1</v>
      </c>
      <c r="F1296" s="13"/>
      <c r="G1296" s="13" t="s">
        <v>74</v>
      </c>
      <c r="H1296" s="13" t="s">
        <v>75</v>
      </c>
      <c r="I1296" s="13"/>
      <c r="J1296" s="13"/>
      <c r="K1296" s="15"/>
      <c r="L1296" s="15"/>
      <c r="M1296" s="16">
        <v>1.0</v>
      </c>
      <c r="N1296" s="16">
        <v>1.0</v>
      </c>
      <c r="O1296" s="17"/>
      <c r="P1296" s="17"/>
      <c r="Q1296" s="13"/>
      <c r="R1296" s="13"/>
      <c r="S1296" s="13"/>
      <c r="T1296" s="13">
        <f t="shared" ref="T1296:Y1296" si="1346">IF(ISBLANK(K1296)=TRUE,0,1)</f>
        <v>0</v>
      </c>
      <c r="U1296" s="13">
        <f t="shared" si="1346"/>
        <v>0</v>
      </c>
      <c r="V1296" s="13">
        <f t="shared" si="1346"/>
        <v>1</v>
      </c>
      <c r="W1296" s="13">
        <f t="shared" si="1346"/>
        <v>1</v>
      </c>
      <c r="X1296" s="13">
        <f t="shared" si="1346"/>
        <v>0</v>
      </c>
      <c r="Y1296" s="13">
        <f t="shared" si="1346"/>
        <v>0</v>
      </c>
      <c r="Z1296" s="13">
        <f t="shared" si="529"/>
        <v>1</v>
      </c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</row>
    <row r="1297" ht="14.25" hidden="1" customHeight="1">
      <c r="A1297" s="13" t="s">
        <v>29</v>
      </c>
      <c r="B1297" s="13" t="s">
        <v>34</v>
      </c>
      <c r="C1297" s="13" t="s">
        <v>723</v>
      </c>
      <c r="D1297" s="13" t="s">
        <v>194</v>
      </c>
      <c r="E1297" s="13" t="str">
        <f t="shared" si="735"/>
        <v>LPEF,GH-35-8,AU,1</v>
      </c>
      <c r="F1297" s="13"/>
      <c r="G1297" s="13" t="s">
        <v>74</v>
      </c>
      <c r="H1297" s="13" t="s">
        <v>75</v>
      </c>
      <c r="I1297" s="13"/>
      <c r="J1297" s="13"/>
      <c r="K1297" s="15"/>
      <c r="L1297" s="15"/>
      <c r="M1297" s="16">
        <v>1.0</v>
      </c>
      <c r="N1297" s="16">
        <v>1.0</v>
      </c>
      <c r="O1297" s="17"/>
      <c r="P1297" s="17"/>
      <c r="Q1297" s="13"/>
      <c r="R1297" s="13"/>
      <c r="S1297" s="13"/>
      <c r="T1297" s="13">
        <f t="shared" ref="T1297:Y1297" si="1347">IF(ISBLANK(K1297)=TRUE,0,1)</f>
        <v>0</v>
      </c>
      <c r="U1297" s="13">
        <f t="shared" si="1347"/>
        <v>0</v>
      </c>
      <c r="V1297" s="13">
        <f t="shared" si="1347"/>
        <v>1</v>
      </c>
      <c r="W1297" s="13">
        <f t="shared" si="1347"/>
        <v>1</v>
      </c>
      <c r="X1297" s="13">
        <f t="shared" si="1347"/>
        <v>0</v>
      </c>
      <c r="Y1297" s="13">
        <f t="shared" si="1347"/>
        <v>0</v>
      </c>
      <c r="Z1297" s="13">
        <f t="shared" si="529"/>
        <v>1</v>
      </c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</row>
    <row r="1298" ht="14.25" hidden="1" customHeight="1">
      <c r="A1298" s="13" t="s">
        <v>29</v>
      </c>
      <c r="B1298" s="13" t="s">
        <v>34</v>
      </c>
      <c r="C1298" s="13" t="s">
        <v>723</v>
      </c>
      <c r="D1298" s="13" t="s">
        <v>195</v>
      </c>
      <c r="E1298" s="13" t="str">
        <f t="shared" si="735"/>
        <v>LPEF,GH-35-8,AV,1</v>
      </c>
      <c r="F1298" s="13"/>
      <c r="G1298" s="13" t="s">
        <v>74</v>
      </c>
      <c r="H1298" s="13" t="s">
        <v>75</v>
      </c>
      <c r="I1298" s="13"/>
      <c r="J1298" s="13"/>
      <c r="K1298" s="15"/>
      <c r="L1298" s="15"/>
      <c r="M1298" s="16">
        <v>1.0</v>
      </c>
      <c r="N1298" s="16">
        <v>1.0</v>
      </c>
      <c r="O1298" s="17"/>
      <c r="P1298" s="17"/>
      <c r="Q1298" s="13"/>
      <c r="R1298" s="13"/>
      <c r="S1298" s="13"/>
      <c r="T1298" s="13">
        <f t="shared" ref="T1298:Y1298" si="1348">IF(ISBLANK(K1298)=TRUE,0,1)</f>
        <v>0</v>
      </c>
      <c r="U1298" s="13">
        <f t="shared" si="1348"/>
        <v>0</v>
      </c>
      <c r="V1298" s="13">
        <f t="shared" si="1348"/>
        <v>1</v>
      </c>
      <c r="W1298" s="13">
        <f t="shared" si="1348"/>
        <v>1</v>
      </c>
      <c r="X1298" s="13">
        <f t="shared" si="1348"/>
        <v>0</v>
      </c>
      <c r="Y1298" s="13">
        <f t="shared" si="1348"/>
        <v>0</v>
      </c>
      <c r="Z1298" s="13">
        <f t="shared" si="529"/>
        <v>1</v>
      </c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</row>
    <row r="1299" ht="14.25" hidden="1" customHeight="1">
      <c r="A1299" s="13" t="s">
        <v>29</v>
      </c>
      <c r="B1299" s="13" t="s">
        <v>34</v>
      </c>
      <c r="C1299" s="13" t="s">
        <v>723</v>
      </c>
      <c r="D1299" s="13" t="s">
        <v>196</v>
      </c>
      <c r="E1299" s="13" t="str">
        <f t="shared" si="735"/>
        <v>LPEF,GH-35-8,AW,1</v>
      </c>
      <c r="F1299" s="13"/>
      <c r="G1299" s="13" t="s">
        <v>74</v>
      </c>
      <c r="H1299" s="13" t="s">
        <v>75</v>
      </c>
      <c r="I1299" s="13"/>
      <c r="J1299" s="13"/>
      <c r="K1299" s="15"/>
      <c r="L1299" s="15"/>
      <c r="M1299" s="16">
        <v>1.0</v>
      </c>
      <c r="N1299" s="16">
        <v>1.0</v>
      </c>
      <c r="O1299" s="17"/>
      <c r="P1299" s="17"/>
      <c r="Q1299" s="13"/>
      <c r="R1299" s="13"/>
      <c r="S1299" s="13"/>
      <c r="T1299" s="13">
        <f t="shared" ref="T1299:Y1299" si="1349">IF(ISBLANK(K1299)=TRUE,0,1)</f>
        <v>0</v>
      </c>
      <c r="U1299" s="13">
        <f t="shared" si="1349"/>
        <v>0</v>
      </c>
      <c r="V1299" s="13">
        <f t="shared" si="1349"/>
        <v>1</v>
      </c>
      <c r="W1299" s="13">
        <f t="shared" si="1349"/>
        <v>1</v>
      </c>
      <c r="X1299" s="13">
        <f t="shared" si="1349"/>
        <v>0</v>
      </c>
      <c r="Y1299" s="13">
        <f t="shared" si="1349"/>
        <v>0</v>
      </c>
      <c r="Z1299" s="13">
        <f t="shared" si="529"/>
        <v>1</v>
      </c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</row>
    <row r="1300" ht="14.25" hidden="1" customHeight="1">
      <c r="A1300" s="13" t="s">
        <v>29</v>
      </c>
      <c r="B1300" s="13" t="s">
        <v>34</v>
      </c>
      <c r="C1300" s="13" t="s">
        <v>723</v>
      </c>
      <c r="D1300" s="13" t="s">
        <v>197</v>
      </c>
      <c r="E1300" s="13" t="str">
        <f t="shared" si="735"/>
        <v>LPEF,GH-35-8,AX,1</v>
      </c>
      <c r="F1300" s="13"/>
      <c r="G1300" s="13" t="s">
        <v>74</v>
      </c>
      <c r="H1300" s="13" t="s">
        <v>75</v>
      </c>
      <c r="I1300" s="13"/>
      <c r="J1300" s="13"/>
      <c r="K1300" s="15"/>
      <c r="L1300" s="15"/>
      <c r="M1300" s="16">
        <v>1.0</v>
      </c>
      <c r="N1300" s="16">
        <v>1.0</v>
      </c>
      <c r="O1300" s="17"/>
      <c r="P1300" s="17"/>
      <c r="Q1300" s="13"/>
      <c r="R1300" s="13"/>
      <c r="S1300" s="13"/>
      <c r="T1300" s="13">
        <f t="shared" ref="T1300:Y1300" si="1350">IF(ISBLANK(K1300)=TRUE,0,1)</f>
        <v>0</v>
      </c>
      <c r="U1300" s="13">
        <f t="shared" si="1350"/>
        <v>0</v>
      </c>
      <c r="V1300" s="13">
        <f t="shared" si="1350"/>
        <v>1</v>
      </c>
      <c r="W1300" s="13">
        <f t="shared" si="1350"/>
        <v>1</v>
      </c>
      <c r="X1300" s="13">
        <f t="shared" si="1350"/>
        <v>0</v>
      </c>
      <c r="Y1300" s="13">
        <f t="shared" si="1350"/>
        <v>0</v>
      </c>
      <c r="Z1300" s="13">
        <f t="shared" si="529"/>
        <v>1</v>
      </c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</row>
    <row r="1301" ht="14.25" hidden="1" customHeight="1">
      <c r="A1301" s="13" t="s">
        <v>29</v>
      </c>
      <c r="B1301" s="13" t="s">
        <v>34</v>
      </c>
      <c r="C1301" s="13" t="s">
        <v>723</v>
      </c>
      <c r="D1301" s="13" t="s">
        <v>433</v>
      </c>
      <c r="E1301" s="13" t="str">
        <f t="shared" si="735"/>
        <v>LPEF,GH-35-8,AY,1</v>
      </c>
      <c r="F1301" s="13"/>
      <c r="G1301" s="13" t="s">
        <v>74</v>
      </c>
      <c r="H1301" s="13" t="s">
        <v>75</v>
      </c>
      <c r="I1301" s="13"/>
      <c r="J1301" s="13"/>
      <c r="K1301" s="15"/>
      <c r="L1301" s="15"/>
      <c r="M1301" s="16">
        <v>1.0</v>
      </c>
      <c r="N1301" s="16">
        <v>1.0</v>
      </c>
      <c r="O1301" s="17"/>
      <c r="P1301" s="17"/>
      <c r="Q1301" s="13"/>
      <c r="R1301" s="13"/>
      <c r="S1301" s="13"/>
      <c r="T1301" s="13">
        <f t="shared" ref="T1301:Y1301" si="1351">IF(ISBLANK(K1301)=TRUE,0,1)</f>
        <v>0</v>
      </c>
      <c r="U1301" s="13">
        <f t="shared" si="1351"/>
        <v>0</v>
      </c>
      <c r="V1301" s="13">
        <f t="shared" si="1351"/>
        <v>1</v>
      </c>
      <c r="W1301" s="13">
        <f t="shared" si="1351"/>
        <v>1</v>
      </c>
      <c r="X1301" s="13">
        <f t="shared" si="1351"/>
        <v>0</v>
      </c>
      <c r="Y1301" s="13">
        <f t="shared" si="1351"/>
        <v>0</v>
      </c>
      <c r="Z1301" s="13">
        <f t="shared" si="529"/>
        <v>1</v>
      </c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</row>
    <row r="1302" ht="14.25" hidden="1" customHeight="1">
      <c r="A1302" s="13" t="s">
        <v>29</v>
      </c>
      <c r="B1302" s="13" t="s">
        <v>34</v>
      </c>
      <c r="C1302" s="13" t="s">
        <v>723</v>
      </c>
      <c r="D1302" s="13" t="s">
        <v>434</v>
      </c>
      <c r="E1302" s="13" t="str">
        <f t="shared" si="735"/>
        <v>LPEF,GH-35-8,AZ,1</v>
      </c>
      <c r="F1302" s="13"/>
      <c r="G1302" s="13" t="s">
        <v>74</v>
      </c>
      <c r="H1302" s="13" t="s">
        <v>75</v>
      </c>
      <c r="I1302" s="13"/>
      <c r="J1302" s="13"/>
      <c r="K1302" s="15"/>
      <c r="L1302" s="15"/>
      <c r="M1302" s="16">
        <v>1.0</v>
      </c>
      <c r="N1302" s="16">
        <v>1.0</v>
      </c>
      <c r="O1302" s="17"/>
      <c r="P1302" s="17"/>
      <c r="Q1302" s="13"/>
      <c r="R1302" s="13"/>
      <c r="S1302" s="13"/>
      <c r="T1302" s="13">
        <f t="shared" ref="T1302:Y1302" si="1352">IF(ISBLANK(K1302)=TRUE,0,1)</f>
        <v>0</v>
      </c>
      <c r="U1302" s="13">
        <f t="shared" si="1352"/>
        <v>0</v>
      </c>
      <c r="V1302" s="13">
        <f t="shared" si="1352"/>
        <v>1</v>
      </c>
      <c r="W1302" s="13">
        <f t="shared" si="1352"/>
        <v>1</v>
      </c>
      <c r="X1302" s="13">
        <f t="shared" si="1352"/>
        <v>0</v>
      </c>
      <c r="Y1302" s="13">
        <f t="shared" si="1352"/>
        <v>0</v>
      </c>
      <c r="Z1302" s="13">
        <f t="shared" si="529"/>
        <v>1</v>
      </c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</row>
    <row r="1303" ht="14.25" hidden="1" customHeight="1">
      <c r="A1303" s="13" t="s">
        <v>36</v>
      </c>
      <c r="B1303" s="13" t="s">
        <v>724</v>
      </c>
      <c r="C1303" s="13" t="s">
        <v>725</v>
      </c>
      <c r="D1303" s="13"/>
      <c r="E1303" s="13" t="str">
        <f t="shared" si="735"/>
        <v>MS7,#001,,NA</v>
      </c>
      <c r="F1303" s="13"/>
      <c r="G1303" s="13" t="s">
        <v>111</v>
      </c>
      <c r="H1303" s="13" t="s">
        <v>75</v>
      </c>
      <c r="I1303" s="13"/>
      <c r="J1303" s="13"/>
      <c r="K1303" s="15"/>
      <c r="L1303" s="15"/>
      <c r="M1303" s="16"/>
      <c r="N1303" s="16"/>
      <c r="O1303" s="17"/>
      <c r="P1303" s="17"/>
      <c r="Q1303" s="13">
        <f t="shared" ref="Q1303:Q1304" si="1354">K1302+L1302+M1302+N1302+O1302+P1302/6</f>
        <v>2</v>
      </c>
      <c r="R1303" s="13"/>
      <c r="S1303" s="13"/>
      <c r="T1303" s="13">
        <f t="shared" ref="T1303:Y1303" si="1353">IF(ISBLANK(K1303)=TRUE,0,1)</f>
        <v>0</v>
      </c>
      <c r="U1303" s="13">
        <f t="shared" si="1353"/>
        <v>0</v>
      </c>
      <c r="V1303" s="13">
        <f t="shared" si="1353"/>
        <v>0</v>
      </c>
      <c r="W1303" s="13">
        <f t="shared" si="1353"/>
        <v>0</v>
      </c>
      <c r="X1303" s="13">
        <f t="shared" si="1353"/>
        <v>0</v>
      </c>
      <c r="Y1303" s="13">
        <f t="shared" si="1353"/>
        <v>0</v>
      </c>
      <c r="Z1303" s="13" t="str">
        <f t="shared" si="529"/>
        <v>NA</v>
      </c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</row>
    <row r="1304" ht="14.25" hidden="1" customHeight="1">
      <c r="A1304" s="13" t="s">
        <v>36</v>
      </c>
      <c r="B1304" s="13" t="s">
        <v>724</v>
      </c>
      <c r="C1304" s="13" t="s">
        <v>726</v>
      </c>
      <c r="D1304" s="13"/>
      <c r="E1304" s="13" t="str">
        <f t="shared" si="735"/>
        <v>MS7,23-1-1,,1</v>
      </c>
      <c r="F1304" s="13"/>
      <c r="G1304" s="13" t="s">
        <v>74</v>
      </c>
      <c r="H1304" s="13" t="s">
        <v>75</v>
      </c>
      <c r="I1304" s="13"/>
      <c r="J1304" s="13"/>
      <c r="K1304" s="15">
        <v>1.0</v>
      </c>
      <c r="L1304" s="15">
        <v>1.0</v>
      </c>
      <c r="M1304" s="16"/>
      <c r="N1304" s="16"/>
      <c r="O1304" s="17"/>
      <c r="P1304" s="17"/>
      <c r="Q1304" s="13">
        <f t="shared" si="1354"/>
        <v>0</v>
      </c>
      <c r="R1304" s="13"/>
      <c r="S1304" s="13"/>
      <c r="T1304" s="13">
        <f t="shared" ref="T1304:Y1304" si="1355">IF(ISBLANK(K1304)=TRUE,0,1)</f>
        <v>1</v>
      </c>
      <c r="U1304" s="13">
        <f t="shared" si="1355"/>
        <v>1</v>
      </c>
      <c r="V1304" s="13">
        <f t="shared" si="1355"/>
        <v>0</v>
      </c>
      <c r="W1304" s="13">
        <f t="shared" si="1355"/>
        <v>0</v>
      </c>
      <c r="X1304" s="13">
        <f t="shared" si="1355"/>
        <v>0</v>
      </c>
      <c r="Y1304" s="13">
        <f t="shared" si="1355"/>
        <v>0</v>
      </c>
      <c r="Z1304" s="13">
        <f t="shared" si="529"/>
        <v>1</v>
      </c>
      <c r="AA1304" s="13" t="s">
        <v>561</v>
      </c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</row>
    <row r="1305" ht="14.25" hidden="1" customHeight="1">
      <c r="A1305" s="13" t="s">
        <v>36</v>
      </c>
      <c r="B1305" s="13" t="s">
        <v>724</v>
      </c>
      <c r="C1305" s="13" t="s">
        <v>727</v>
      </c>
      <c r="D1305" s="13"/>
      <c r="E1305" s="13" t="str">
        <f t="shared" si="735"/>
        <v>MS7,23-1-10,,NA</v>
      </c>
      <c r="F1305" s="13"/>
      <c r="G1305" s="13" t="s">
        <v>74</v>
      </c>
      <c r="H1305" s="13" t="s">
        <v>75</v>
      </c>
      <c r="I1305" s="13"/>
      <c r="J1305" s="13"/>
      <c r="K1305" s="15"/>
      <c r="L1305" s="15"/>
      <c r="M1305" s="16"/>
      <c r="N1305" s="16"/>
      <c r="O1305" s="17"/>
      <c r="P1305" s="17"/>
      <c r="Q1305" s="13"/>
      <c r="R1305" s="13"/>
      <c r="S1305" s="13"/>
      <c r="T1305" s="13">
        <f t="shared" ref="T1305:Y1305" si="1356">IF(ISBLANK(K1305)=TRUE,0,1)</f>
        <v>0</v>
      </c>
      <c r="U1305" s="13">
        <f t="shared" si="1356"/>
        <v>0</v>
      </c>
      <c r="V1305" s="13">
        <f t="shared" si="1356"/>
        <v>0</v>
      </c>
      <c r="W1305" s="13">
        <f t="shared" si="1356"/>
        <v>0</v>
      </c>
      <c r="X1305" s="13">
        <f t="shared" si="1356"/>
        <v>0</v>
      </c>
      <c r="Y1305" s="13">
        <f t="shared" si="1356"/>
        <v>0</v>
      </c>
      <c r="Z1305" s="13" t="str">
        <f t="shared" si="529"/>
        <v>NA</v>
      </c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</row>
    <row r="1306" ht="14.25" hidden="1" customHeight="1">
      <c r="A1306" s="13" t="s">
        <v>36</v>
      </c>
      <c r="B1306" s="13" t="s">
        <v>724</v>
      </c>
      <c r="C1306" s="13" t="s">
        <v>728</v>
      </c>
      <c r="D1306" s="13"/>
      <c r="E1306" s="13" t="str">
        <f t="shared" si="735"/>
        <v>MS7,23-1-11,,NA</v>
      </c>
      <c r="F1306" s="13"/>
      <c r="G1306" s="13" t="s">
        <v>74</v>
      </c>
      <c r="H1306" s="13" t="s">
        <v>75</v>
      </c>
      <c r="I1306" s="13"/>
      <c r="J1306" s="13"/>
      <c r="K1306" s="15"/>
      <c r="L1306" s="15"/>
      <c r="M1306" s="16"/>
      <c r="N1306" s="16"/>
      <c r="O1306" s="17"/>
      <c r="P1306" s="17"/>
      <c r="Q1306" s="13"/>
      <c r="R1306" s="13"/>
      <c r="S1306" s="13"/>
      <c r="T1306" s="13">
        <f t="shared" ref="T1306:Y1306" si="1357">IF(ISBLANK(K1306)=TRUE,0,1)</f>
        <v>0</v>
      </c>
      <c r="U1306" s="13">
        <f t="shared" si="1357"/>
        <v>0</v>
      </c>
      <c r="V1306" s="13">
        <f t="shared" si="1357"/>
        <v>0</v>
      </c>
      <c r="W1306" s="13">
        <f t="shared" si="1357"/>
        <v>0</v>
      </c>
      <c r="X1306" s="13">
        <f t="shared" si="1357"/>
        <v>0</v>
      </c>
      <c r="Y1306" s="13">
        <f t="shared" si="1357"/>
        <v>0</v>
      </c>
      <c r="Z1306" s="13" t="str">
        <f t="shared" si="529"/>
        <v>NA</v>
      </c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</row>
    <row r="1307" ht="14.25" hidden="1" customHeight="1">
      <c r="A1307" s="13" t="s">
        <v>36</v>
      </c>
      <c r="B1307" s="13" t="s">
        <v>724</v>
      </c>
      <c r="C1307" s="13" t="s">
        <v>729</v>
      </c>
      <c r="D1307" s="13"/>
      <c r="E1307" s="13" t="str">
        <f t="shared" si="735"/>
        <v>MS7,23-1-12,,NA</v>
      </c>
      <c r="F1307" s="13"/>
      <c r="G1307" s="13" t="s">
        <v>74</v>
      </c>
      <c r="H1307" s="13" t="s">
        <v>75</v>
      </c>
      <c r="I1307" s="13"/>
      <c r="J1307" s="13"/>
      <c r="K1307" s="15"/>
      <c r="L1307" s="15"/>
      <c r="M1307" s="16"/>
      <c r="N1307" s="16"/>
      <c r="O1307" s="17"/>
      <c r="P1307" s="17"/>
      <c r="Q1307" s="13"/>
      <c r="R1307" s="13"/>
      <c r="S1307" s="13"/>
      <c r="T1307" s="13">
        <f t="shared" ref="T1307:Y1307" si="1358">IF(ISBLANK(K1307)=TRUE,0,1)</f>
        <v>0</v>
      </c>
      <c r="U1307" s="13">
        <f t="shared" si="1358"/>
        <v>0</v>
      </c>
      <c r="V1307" s="13">
        <f t="shared" si="1358"/>
        <v>0</v>
      </c>
      <c r="W1307" s="13">
        <f t="shared" si="1358"/>
        <v>0</v>
      </c>
      <c r="X1307" s="13">
        <f t="shared" si="1358"/>
        <v>0</v>
      </c>
      <c r="Y1307" s="13">
        <f t="shared" si="1358"/>
        <v>0</v>
      </c>
      <c r="Z1307" s="13" t="str">
        <f t="shared" si="529"/>
        <v>NA</v>
      </c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</row>
    <row r="1308" ht="14.25" hidden="1" customHeight="1">
      <c r="A1308" s="13" t="s">
        <v>36</v>
      </c>
      <c r="B1308" s="13" t="s">
        <v>724</v>
      </c>
      <c r="C1308" s="13" t="s">
        <v>730</v>
      </c>
      <c r="D1308" s="13"/>
      <c r="E1308" s="13" t="str">
        <f t="shared" si="735"/>
        <v>MS7,23-1-13,,NA</v>
      </c>
      <c r="F1308" s="13"/>
      <c r="G1308" s="13" t="s">
        <v>74</v>
      </c>
      <c r="H1308" s="13" t="s">
        <v>75</v>
      </c>
      <c r="I1308" s="13"/>
      <c r="J1308" s="13"/>
      <c r="K1308" s="15"/>
      <c r="L1308" s="15"/>
      <c r="M1308" s="16"/>
      <c r="N1308" s="16"/>
      <c r="O1308" s="17"/>
      <c r="P1308" s="17"/>
      <c r="Q1308" s="13"/>
      <c r="R1308" s="13"/>
      <c r="S1308" s="13"/>
      <c r="T1308" s="13">
        <f t="shared" ref="T1308:Y1308" si="1359">IF(ISBLANK(K1308)=TRUE,0,1)</f>
        <v>0</v>
      </c>
      <c r="U1308" s="13">
        <f t="shared" si="1359"/>
        <v>0</v>
      </c>
      <c r="V1308" s="13">
        <f t="shared" si="1359"/>
        <v>0</v>
      </c>
      <c r="W1308" s="13">
        <f t="shared" si="1359"/>
        <v>0</v>
      </c>
      <c r="X1308" s="13">
        <f t="shared" si="1359"/>
        <v>0</v>
      </c>
      <c r="Y1308" s="13">
        <f t="shared" si="1359"/>
        <v>0</v>
      </c>
      <c r="Z1308" s="13" t="str">
        <f t="shared" si="529"/>
        <v>NA</v>
      </c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</row>
    <row r="1309" ht="14.25" hidden="1" customHeight="1">
      <c r="A1309" s="13" t="s">
        <v>36</v>
      </c>
      <c r="B1309" s="13" t="s">
        <v>724</v>
      </c>
      <c r="C1309" s="13" t="s">
        <v>731</v>
      </c>
      <c r="D1309" s="13"/>
      <c r="E1309" s="13" t="str">
        <f t="shared" si="735"/>
        <v>MS7,23-1-14,,NA</v>
      </c>
      <c r="F1309" s="13"/>
      <c r="G1309" s="13" t="s">
        <v>74</v>
      </c>
      <c r="H1309" s="13" t="s">
        <v>75</v>
      </c>
      <c r="I1309" s="13"/>
      <c r="J1309" s="13"/>
      <c r="K1309" s="15"/>
      <c r="L1309" s="15"/>
      <c r="M1309" s="16"/>
      <c r="N1309" s="16"/>
      <c r="O1309" s="17"/>
      <c r="P1309" s="17"/>
      <c r="Q1309" s="13"/>
      <c r="R1309" s="13"/>
      <c r="S1309" s="13"/>
      <c r="T1309" s="13">
        <f t="shared" ref="T1309:Y1309" si="1360">IF(ISBLANK(K1309)=TRUE,0,1)</f>
        <v>0</v>
      </c>
      <c r="U1309" s="13">
        <f t="shared" si="1360"/>
        <v>0</v>
      </c>
      <c r="V1309" s="13">
        <f t="shared" si="1360"/>
        <v>0</v>
      </c>
      <c r="W1309" s="13">
        <f t="shared" si="1360"/>
        <v>0</v>
      </c>
      <c r="X1309" s="13">
        <f t="shared" si="1360"/>
        <v>0</v>
      </c>
      <c r="Y1309" s="13">
        <f t="shared" si="1360"/>
        <v>0</v>
      </c>
      <c r="Z1309" s="13" t="str">
        <f t="shared" si="529"/>
        <v>NA</v>
      </c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</row>
    <row r="1310" ht="14.25" hidden="1" customHeight="1">
      <c r="A1310" s="13" t="s">
        <v>36</v>
      </c>
      <c r="B1310" s="13" t="s">
        <v>724</v>
      </c>
      <c r="C1310" s="13" t="s">
        <v>732</v>
      </c>
      <c r="D1310" s="13"/>
      <c r="E1310" s="13" t="str">
        <f t="shared" si="735"/>
        <v>MS7,23-1-2,,NA</v>
      </c>
      <c r="F1310" s="13"/>
      <c r="G1310" s="13" t="s">
        <v>74</v>
      </c>
      <c r="H1310" s="13" t="s">
        <v>75</v>
      </c>
      <c r="I1310" s="13"/>
      <c r="J1310" s="13"/>
      <c r="K1310" s="15"/>
      <c r="L1310" s="15"/>
      <c r="M1310" s="16"/>
      <c r="N1310" s="16"/>
      <c r="O1310" s="17"/>
      <c r="P1310" s="17"/>
      <c r="Q1310" s="13">
        <f t="shared" ref="Q1310:Q1314" si="1362">K1309+L1309+M1309+N1309+O1309+P1309/6</f>
        <v>0</v>
      </c>
      <c r="R1310" s="13"/>
      <c r="S1310" s="13"/>
      <c r="T1310" s="13">
        <f t="shared" ref="T1310:Y1310" si="1361">IF(ISBLANK(K1310)=TRUE,0,1)</f>
        <v>0</v>
      </c>
      <c r="U1310" s="13">
        <f t="shared" si="1361"/>
        <v>0</v>
      </c>
      <c r="V1310" s="13">
        <f t="shared" si="1361"/>
        <v>0</v>
      </c>
      <c r="W1310" s="13">
        <f t="shared" si="1361"/>
        <v>0</v>
      </c>
      <c r="X1310" s="13">
        <f t="shared" si="1361"/>
        <v>0</v>
      </c>
      <c r="Y1310" s="13">
        <f t="shared" si="1361"/>
        <v>0</v>
      </c>
      <c r="Z1310" s="13" t="str">
        <f t="shared" si="529"/>
        <v>NA</v>
      </c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</row>
    <row r="1311" ht="14.25" hidden="1" customHeight="1">
      <c r="A1311" s="13" t="s">
        <v>36</v>
      </c>
      <c r="B1311" s="13" t="s">
        <v>724</v>
      </c>
      <c r="C1311" s="13" t="s">
        <v>733</v>
      </c>
      <c r="D1311" s="13"/>
      <c r="E1311" s="13" t="str">
        <f t="shared" si="735"/>
        <v>MS7,23-1-3,,1</v>
      </c>
      <c r="F1311" s="13"/>
      <c r="G1311" s="13" t="s">
        <v>74</v>
      </c>
      <c r="H1311" s="13" t="s">
        <v>75</v>
      </c>
      <c r="I1311" s="13"/>
      <c r="J1311" s="13"/>
      <c r="K1311" s="15">
        <v>1.0</v>
      </c>
      <c r="L1311" s="15">
        <v>1.0</v>
      </c>
      <c r="M1311" s="16"/>
      <c r="N1311" s="16"/>
      <c r="O1311" s="17"/>
      <c r="P1311" s="17"/>
      <c r="Q1311" s="13">
        <f t="shared" si="1362"/>
        <v>0</v>
      </c>
      <c r="R1311" s="13"/>
      <c r="S1311" s="13"/>
      <c r="T1311" s="13">
        <f t="shared" ref="T1311:Y1311" si="1363">IF(ISBLANK(K1311)=TRUE,0,1)</f>
        <v>1</v>
      </c>
      <c r="U1311" s="13">
        <f t="shared" si="1363"/>
        <v>1</v>
      </c>
      <c r="V1311" s="13">
        <f t="shared" si="1363"/>
        <v>0</v>
      </c>
      <c r="W1311" s="13">
        <f t="shared" si="1363"/>
        <v>0</v>
      </c>
      <c r="X1311" s="13">
        <f t="shared" si="1363"/>
        <v>0</v>
      </c>
      <c r="Y1311" s="13">
        <f t="shared" si="1363"/>
        <v>0</v>
      </c>
      <c r="Z1311" s="13">
        <f t="shared" si="529"/>
        <v>1</v>
      </c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</row>
    <row r="1312" ht="14.25" hidden="1" customHeight="1">
      <c r="A1312" s="13" t="s">
        <v>36</v>
      </c>
      <c r="B1312" s="13" t="s">
        <v>724</v>
      </c>
      <c r="C1312" s="13" t="s">
        <v>734</v>
      </c>
      <c r="D1312" s="13"/>
      <c r="E1312" s="13" t="str">
        <f t="shared" si="735"/>
        <v>MS7,23-1-4,,1</v>
      </c>
      <c r="F1312" s="13"/>
      <c r="G1312" s="13" t="s">
        <v>74</v>
      </c>
      <c r="H1312" s="13" t="s">
        <v>75</v>
      </c>
      <c r="I1312" s="13"/>
      <c r="J1312" s="13"/>
      <c r="K1312" s="15">
        <v>1.0</v>
      </c>
      <c r="L1312" s="15">
        <v>1.0</v>
      </c>
      <c r="M1312" s="16"/>
      <c r="N1312" s="16"/>
      <c r="O1312" s="17"/>
      <c r="P1312" s="17"/>
      <c r="Q1312" s="13">
        <f t="shared" si="1362"/>
        <v>2</v>
      </c>
      <c r="R1312" s="13"/>
      <c r="S1312" s="13"/>
      <c r="T1312" s="13">
        <f t="shared" ref="T1312:Y1312" si="1364">IF(ISBLANK(K1312)=TRUE,0,1)</f>
        <v>1</v>
      </c>
      <c r="U1312" s="13">
        <f t="shared" si="1364"/>
        <v>1</v>
      </c>
      <c r="V1312" s="13">
        <f t="shared" si="1364"/>
        <v>0</v>
      </c>
      <c r="W1312" s="13">
        <f t="shared" si="1364"/>
        <v>0</v>
      </c>
      <c r="X1312" s="13">
        <f t="shared" si="1364"/>
        <v>0</v>
      </c>
      <c r="Y1312" s="13">
        <f t="shared" si="1364"/>
        <v>0</v>
      </c>
      <c r="Z1312" s="13">
        <f t="shared" si="529"/>
        <v>1</v>
      </c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</row>
    <row r="1313" ht="14.25" hidden="1" customHeight="1">
      <c r="A1313" s="13" t="s">
        <v>36</v>
      </c>
      <c r="B1313" s="13" t="s">
        <v>724</v>
      </c>
      <c r="C1313" s="13" t="s">
        <v>735</v>
      </c>
      <c r="D1313" s="13"/>
      <c r="E1313" s="13" t="str">
        <f t="shared" si="735"/>
        <v>MS7,23-1-5,,NA</v>
      </c>
      <c r="F1313" s="13"/>
      <c r="G1313" s="13" t="s">
        <v>74</v>
      </c>
      <c r="H1313" s="13" t="s">
        <v>75</v>
      </c>
      <c r="I1313" s="13"/>
      <c r="J1313" s="13"/>
      <c r="K1313" s="15"/>
      <c r="L1313" s="15"/>
      <c r="M1313" s="16"/>
      <c r="N1313" s="16"/>
      <c r="O1313" s="17"/>
      <c r="P1313" s="17"/>
      <c r="Q1313" s="13">
        <f t="shared" si="1362"/>
        <v>2</v>
      </c>
      <c r="R1313" s="13"/>
      <c r="S1313" s="13"/>
      <c r="T1313" s="13">
        <f t="shared" ref="T1313:Y1313" si="1365">IF(ISBLANK(K1313)=TRUE,0,1)</f>
        <v>0</v>
      </c>
      <c r="U1313" s="13">
        <f t="shared" si="1365"/>
        <v>0</v>
      </c>
      <c r="V1313" s="13">
        <f t="shared" si="1365"/>
        <v>0</v>
      </c>
      <c r="W1313" s="13">
        <f t="shared" si="1365"/>
        <v>0</v>
      </c>
      <c r="X1313" s="13">
        <f t="shared" si="1365"/>
        <v>0</v>
      </c>
      <c r="Y1313" s="13">
        <f t="shared" si="1365"/>
        <v>0</v>
      </c>
      <c r="Z1313" s="13" t="str">
        <f t="shared" si="529"/>
        <v>NA</v>
      </c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</row>
    <row r="1314" ht="14.25" hidden="1" customHeight="1">
      <c r="A1314" s="13" t="s">
        <v>36</v>
      </c>
      <c r="B1314" s="13" t="s">
        <v>724</v>
      </c>
      <c r="C1314" s="13" t="s">
        <v>736</v>
      </c>
      <c r="D1314" s="13"/>
      <c r="E1314" s="13" t="str">
        <f t="shared" si="735"/>
        <v>MS7,23-1-6,,NA</v>
      </c>
      <c r="F1314" s="13"/>
      <c r="G1314" s="13" t="s">
        <v>74</v>
      </c>
      <c r="H1314" s="13" t="s">
        <v>75</v>
      </c>
      <c r="I1314" s="13"/>
      <c r="J1314" s="13"/>
      <c r="K1314" s="15"/>
      <c r="L1314" s="15"/>
      <c r="M1314" s="16"/>
      <c r="N1314" s="16"/>
      <c r="O1314" s="17"/>
      <c r="P1314" s="17"/>
      <c r="Q1314" s="13">
        <f t="shared" si="1362"/>
        <v>0</v>
      </c>
      <c r="R1314" s="13"/>
      <c r="S1314" s="13"/>
      <c r="T1314" s="13">
        <f t="shared" ref="T1314:Y1314" si="1366">IF(ISBLANK(K1314)=TRUE,0,1)</f>
        <v>0</v>
      </c>
      <c r="U1314" s="13">
        <f t="shared" si="1366"/>
        <v>0</v>
      </c>
      <c r="V1314" s="13">
        <f t="shared" si="1366"/>
        <v>0</v>
      </c>
      <c r="W1314" s="13">
        <f t="shared" si="1366"/>
        <v>0</v>
      </c>
      <c r="X1314" s="13">
        <f t="shared" si="1366"/>
        <v>0</v>
      </c>
      <c r="Y1314" s="13">
        <f t="shared" si="1366"/>
        <v>0</v>
      </c>
      <c r="Z1314" s="13" t="str">
        <f t="shared" si="529"/>
        <v>NA</v>
      </c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</row>
    <row r="1315" ht="14.25" hidden="1" customHeight="1">
      <c r="A1315" s="13" t="s">
        <v>36</v>
      </c>
      <c r="B1315" s="13" t="s">
        <v>724</v>
      </c>
      <c r="C1315" s="13" t="s">
        <v>737</v>
      </c>
      <c r="D1315" s="13"/>
      <c r="E1315" s="13" t="str">
        <f t="shared" si="735"/>
        <v>MS7,23-1-7,,NA</v>
      </c>
      <c r="F1315" s="13"/>
      <c r="G1315" s="13" t="s">
        <v>74</v>
      </c>
      <c r="H1315" s="13" t="s">
        <v>75</v>
      </c>
      <c r="I1315" s="13"/>
      <c r="J1315" s="13"/>
      <c r="K1315" s="15"/>
      <c r="L1315" s="15"/>
      <c r="M1315" s="16"/>
      <c r="N1315" s="16"/>
      <c r="O1315" s="17"/>
      <c r="P1315" s="17"/>
      <c r="Q1315" s="13"/>
      <c r="R1315" s="13"/>
      <c r="S1315" s="13"/>
      <c r="T1315" s="13">
        <f t="shared" ref="T1315:Y1315" si="1367">IF(ISBLANK(K1315)=TRUE,0,1)</f>
        <v>0</v>
      </c>
      <c r="U1315" s="13">
        <f t="shared" si="1367"/>
        <v>0</v>
      </c>
      <c r="V1315" s="13">
        <f t="shared" si="1367"/>
        <v>0</v>
      </c>
      <c r="W1315" s="13">
        <f t="shared" si="1367"/>
        <v>0</v>
      </c>
      <c r="X1315" s="13">
        <f t="shared" si="1367"/>
        <v>0</v>
      </c>
      <c r="Y1315" s="13">
        <f t="shared" si="1367"/>
        <v>0</v>
      </c>
      <c r="Z1315" s="13" t="str">
        <f t="shared" si="529"/>
        <v>NA</v>
      </c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</row>
    <row r="1316" ht="14.25" hidden="1" customHeight="1">
      <c r="A1316" s="13" t="s">
        <v>36</v>
      </c>
      <c r="B1316" s="13" t="s">
        <v>724</v>
      </c>
      <c r="C1316" s="13" t="s">
        <v>738</v>
      </c>
      <c r="D1316" s="13"/>
      <c r="E1316" s="13" t="str">
        <f t="shared" si="735"/>
        <v>MS7,23-1-8,,NA</v>
      </c>
      <c r="F1316" s="13"/>
      <c r="G1316" s="13" t="s">
        <v>74</v>
      </c>
      <c r="H1316" s="13" t="s">
        <v>75</v>
      </c>
      <c r="I1316" s="13"/>
      <c r="J1316" s="13"/>
      <c r="K1316" s="15"/>
      <c r="L1316" s="15"/>
      <c r="M1316" s="16"/>
      <c r="N1316" s="16"/>
      <c r="O1316" s="17"/>
      <c r="P1316" s="17"/>
      <c r="Q1316" s="13"/>
      <c r="R1316" s="13"/>
      <c r="S1316" s="13"/>
      <c r="T1316" s="13">
        <f t="shared" ref="T1316:Y1316" si="1368">IF(ISBLANK(K1316)=TRUE,0,1)</f>
        <v>0</v>
      </c>
      <c r="U1316" s="13">
        <f t="shared" si="1368"/>
        <v>0</v>
      </c>
      <c r="V1316" s="13">
        <f t="shared" si="1368"/>
        <v>0</v>
      </c>
      <c r="W1316" s="13">
        <f t="shared" si="1368"/>
        <v>0</v>
      </c>
      <c r="X1316" s="13">
        <f t="shared" si="1368"/>
        <v>0</v>
      </c>
      <c r="Y1316" s="13">
        <f t="shared" si="1368"/>
        <v>0</v>
      </c>
      <c r="Z1316" s="13" t="str">
        <f t="shared" si="529"/>
        <v>NA</v>
      </c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</row>
    <row r="1317" ht="14.25" hidden="1" customHeight="1">
      <c r="A1317" s="13" t="s">
        <v>36</v>
      </c>
      <c r="B1317" s="13" t="s">
        <v>724</v>
      </c>
      <c r="C1317" s="13" t="s">
        <v>739</v>
      </c>
      <c r="D1317" s="13"/>
      <c r="E1317" s="13" t="str">
        <f t="shared" si="735"/>
        <v>MS7,23-1-9,,NA</v>
      </c>
      <c r="F1317" s="13"/>
      <c r="G1317" s="13" t="s">
        <v>74</v>
      </c>
      <c r="H1317" s="13" t="s">
        <v>75</v>
      </c>
      <c r="I1317" s="13"/>
      <c r="J1317" s="13"/>
      <c r="K1317" s="15"/>
      <c r="L1317" s="15"/>
      <c r="M1317" s="16"/>
      <c r="N1317" s="16"/>
      <c r="O1317" s="17"/>
      <c r="P1317" s="17"/>
      <c r="Q1317" s="13"/>
      <c r="R1317" s="13"/>
      <c r="S1317" s="13"/>
      <c r="T1317" s="13">
        <f t="shared" ref="T1317:Y1317" si="1369">IF(ISBLANK(K1317)=TRUE,0,1)</f>
        <v>0</v>
      </c>
      <c r="U1317" s="13">
        <f t="shared" si="1369"/>
        <v>0</v>
      </c>
      <c r="V1317" s="13">
        <f t="shared" si="1369"/>
        <v>0</v>
      </c>
      <c r="W1317" s="13">
        <f t="shared" si="1369"/>
        <v>0</v>
      </c>
      <c r="X1317" s="13">
        <f t="shared" si="1369"/>
        <v>0</v>
      </c>
      <c r="Y1317" s="13">
        <f t="shared" si="1369"/>
        <v>0</v>
      </c>
      <c r="Z1317" s="13" t="str">
        <f t="shared" si="529"/>
        <v>NA</v>
      </c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</row>
    <row r="1318" ht="14.25" hidden="1" customHeight="1">
      <c r="A1318" s="13" t="s">
        <v>36</v>
      </c>
      <c r="B1318" s="13" t="s">
        <v>724</v>
      </c>
      <c r="C1318" s="13" t="s">
        <v>740</v>
      </c>
      <c r="D1318" s="13"/>
      <c r="E1318" s="13" t="str">
        <f t="shared" si="735"/>
        <v>MS7,23-2-1,,NA</v>
      </c>
      <c r="F1318" s="13"/>
      <c r="G1318" s="13" t="s">
        <v>111</v>
      </c>
      <c r="H1318" s="13" t="s">
        <v>75</v>
      </c>
      <c r="I1318" s="13"/>
      <c r="J1318" s="13"/>
      <c r="K1318" s="15"/>
      <c r="L1318" s="15"/>
      <c r="M1318" s="16"/>
      <c r="N1318" s="16"/>
      <c r="O1318" s="17"/>
      <c r="P1318" s="17"/>
      <c r="Q1318" s="13"/>
      <c r="R1318" s="13"/>
      <c r="S1318" s="13"/>
      <c r="T1318" s="13">
        <f t="shared" ref="T1318:Y1318" si="1370">IF(ISBLANK(K1318)=TRUE,0,1)</f>
        <v>0</v>
      </c>
      <c r="U1318" s="13">
        <f t="shared" si="1370"/>
        <v>0</v>
      </c>
      <c r="V1318" s="13">
        <f t="shared" si="1370"/>
        <v>0</v>
      </c>
      <c r="W1318" s="13">
        <f t="shared" si="1370"/>
        <v>0</v>
      </c>
      <c r="X1318" s="13">
        <f t="shared" si="1370"/>
        <v>0</v>
      </c>
      <c r="Y1318" s="13">
        <f t="shared" si="1370"/>
        <v>0</v>
      </c>
      <c r="Z1318" s="13" t="str">
        <f t="shared" si="529"/>
        <v>NA</v>
      </c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</row>
    <row r="1319" ht="14.25" hidden="1" customHeight="1">
      <c r="A1319" s="13" t="s">
        <v>36</v>
      </c>
      <c r="B1319" s="13" t="s">
        <v>724</v>
      </c>
      <c r="C1319" s="13" t="s">
        <v>741</v>
      </c>
      <c r="D1319" s="13"/>
      <c r="E1319" s="13" t="str">
        <f t="shared" si="735"/>
        <v>MS7,23-2-2,,NA</v>
      </c>
      <c r="F1319" s="13"/>
      <c r="G1319" s="13" t="s">
        <v>111</v>
      </c>
      <c r="H1319" s="13" t="s">
        <v>75</v>
      </c>
      <c r="I1319" s="13"/>
      <c r="J1319" s="13"/>
      <c r="K1319" s="15"/>
      <c r="L1319" s="15"/>
      <c r="M1319" s="16"/>
      <c r="N1319" s="16"/>
      <c r="O1319" s="17"/>
      <c r="P1319" s="17"/>
      <c r="Q1319" s="13"/>
      <c r="R1319" s="13"/>
      <c r="S1319" s="13"/>
      <c r="T1319" s="13">
        <f t="shared" ref="T1319:Y1319" si="1371">IF(ISBLANK(K1319)=TRUE,0,1)</f>
        <v>0</v>
      </c>
      <c r="U1319" s="13">
        <f t="shared" si="1371"/>
        <v>0</v>
      </c>
      <c r="V1319" s="13">
        <f t="shared" si="1371"/>
        <v>0</v>
      </c>
      <c r="W1319" s="13">
        <f t="shared" si="1371"/>
        <v>0</v>
      </c>
      <c r="X1319" s="13">
        <f t="shared" si="1371"/>
        <v>0</v>
      </c>
      <c r="Y1319" s="13">
        <f t="shared" si="1371"/>
        <v>0</v>
      </c>
      <c r="Z1319" s="13" t="str">
        <f t="shared" si="529"/>
        <v>NA</v>
      </c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</row>
    <row r="1320" ht="14.25" hidden="1" customHeight="1">
      <c r="A1320" s="13" t="s">
        <v>36</v>
      </c>
      <c r="B1320" s="13" t="s">
        <v>724</v>
      </c>
      <c r="C1320" s="13" t="s">
        <v>742</v>
      </c>
      <c r="D1320" s="13"/>
      <c r="E1320" s="13" t="str">
        <f t="shared" si="735"/>
        <v>MS7,23-2-3,,NA</v>
      </c>
      <c r="F1320" s="13"/>
      <c r="G1320" s="13" t="s">
        <v>111</v>
      </c>
      <c r="H1320" s="13" t="s">
        <v>75</v>
      </c>
      <c r="I1320" s="13"/>
      <c r="J1320" s="13"/>
      <c r="K1320" s="15"/>
      <c r="L1320" s="15"/>
      <c r="M1320" s="16"/>
      <c r="N1320" s="16"/>
      <c r="O1320" s="17"/>
      <c r="P1320" s="17"/>
      <c r="Q1320" s="13"/>
      <c r="R1320" s="13"/>
      <c r="S1320" s="13"/>
      <c r="T1320" s="13">
        <f t="shared" ref="T1320:Y1320" si="1372">IF(ISBLANK(K1320)=TRUE,0,1)</f>
        <v>0</v>
      </c>
      <c r="U1320" s="13">
        <f t="shared" si="1372"/>
        <v>0</v>
      </c>
      <c r="V1320" s="13">
        <f t="shared" si="1372"/>
        <v>0</v>
      </c>
      <c r="W1320" s="13">
        <f t="shared" si="1372"/>
        <v>0</v>
      </c>
      <c r="X1320" s="13">
        <f t="shared" si="1372"/>
        <v>0</v>
      </c>
      <c r="Y1320" s="13">
        <f t="shared" si="1372"/>
        <v>0</v>
      </c>
      <c r="Z1320" s="13" t="str">
        <f t="shared" si="529"/>
        <v>NA</v>
      </c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</row>
    <row r="1321" ht="14.25" hidden="1" customHeight="1">
      <c r="A1321" s="13" t="s">
        <v>36</v>
      </c>
      <c r="B1321" s="13" t="s">
        <v>724</v>
      </c>
      <c r="C1321" s="13" t="s">
        <v>743</v>
      </c>
      <c r="D1321" s="13"/>
      <c r="E1321" s="13" t="str">
        <f t="shared" si="735"/>
        <v>MS7,23-2-4,,NA</v>
      </c>
      <c r="F1321" s="13"/>
      <c r="G1321" s="13" t="s">
        <v>111</v>
      </c>
      <c r="H1321" s="13" t="s">
        <v>75</v>
      </c>
      <c r="I1321" s="13"/>
      <c r="J1321" s="13"/>
      <c r="K1321" s="15"/>
      <c r="L1321" s="15"/>
      <c r="M1321" s="16"/>
      <c r="N1321" s="16"/>
      <c r="O1321" s="17"/>
      <c r="P1321" s="17"/>
      <c r="Q1321" s="13"/>
      <c r="R1321" s="13"/>
      <c r="S1321" s="13"/>
      <c r="T1321" s="13">
        <f t="shared" ref="T1321:Y1321" si="1373">IF(ISBLANK(K1321)=TRUE,0,1)</f>
        <v>0</v>
      </c>
      <c r="U1321" s="13">
        <f t="shared" si="1373"/>
        <v>0</v>
      </c>
      <c r="V1321" s="13">
        <f t="shared" si="1373"/>
        <v>0</v>
      </c>
      <c r="W1321" s="13">
        <f t="shared" si="1373"/>
        <v>0</v>
      </c>
      <c r="X1321" s="13">
        <f t="shared" si="1373"/>
        <v>0</v>
      </c>
      <c r="Y1321" s="13">
        <f t="shared" si="1373"/>
        <v>0</v>
      </c>
      <c r="Z1321" s="13" t="str">
        <f t="shared" si="529"/>
        <v>NA</v>
      </c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</row>
    <row r="1322" ht="14.25" hidden="1" customHeight="1">
      <c r="A1322" s="13" t="s">
        <v>36</v>
      </c>
      <c r="B1322" s="13" t="s">
        <v>724</v>
      </c>
      <c r="C1322" s="13" t="s">
        <v>744</v>
      </c>
      <c r="D1322" s="13"/>
      <c r="E1322" s="13" t="str">
        <f t="shared" si="735"/>
        <v>MS7,23-2-5,,NA</v>
      </c>
      <c r="F1322" s="13"/>
      <c r="G1322" s="13" t="s">
        <v>111</v>
      </c>
      <c r="H1322" s="13" t="s">
        <v>75</v>
      </c>
      <c r="I1322" s="13"/>
      <c r="J1322" s="13"/>
      <c r="K1322" s="15"/>
      <c r="L1322" s="15"/>
      <c r="M1322" s="16"/>
      <c r="N1322" s="16"/>
      <c r="O1322" s="17"/>
      <c r="P1322" s="17"/>
      <c r="Q1322" s="13"/>
      <c r="R1322" s="13"/>
      <c r="S1322" s="13"/>
      <c r="T1322" s="13">
        <f t="shared" ref="T1322:Y1322" si="1374">IF(ISBLANK(K1322)=TRUE,0,1)</f>
        <v>0</v>
      </c>
      <c r="U1322" s="13">
        <f t="shared" si="1374"/>
        <v>0</v>
      </c>
      <c r="V1322" s="13">
        <f t="shared" si="1374"/>
        <v>0</v>
      </c>
      <c r="W1322" s="13">
        <f t="shared" si="1374"/>
        <v>0</v>
      </c>
      <c r="X1322" s="13">
        <f t="shared" si="1374"/>
        <v>0</v>
      </c>
      <c r="Y1322" s="13">
        <f t="shared" si="1374"/>
        <v>0</v>
      </c>
      <c r="Z1322" s="13" t="str">
        <f t="shared" si="529"/>
        <v>NA</v>
      </c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</row>
    <row r="1323" ht="14.25" hidden="1" customHeight="1">
      <c r="A1323" s="13" t="s">
        <v>36</v>
      </c>
      <c r="B1323" s="13" t="s">
        <v>724</v>
      </c>
      <c r="C1323" s="13" t="s">
        <v>745</v>
      </c>
      <c r="D1323" s="13"/>
      <c r="E1323" s="13" t="str">
        <f t="shared" si="735"/>
        <v>MS7,23-2-6,,NA</v>
      </c>
      <c r="F1323" s="13"/>
      <c r="G1323" s="13" t="s">
        <v>111</v>
      </c>
      <c r="H1323" s="13" t="s">
        <v>75</v>
      </c>
      <c r="I1323" s="13"/>
      <c r="J1323" s="13"/>
      <c r="K1323" s="15"/>
      <c r="L1323" s="15"/>
      <c r="M1323" s="16"/>
      <c r="N1323" s="16"/>
      <c r="O1323" s="17"/>
      <c r="P1323" s="17"/>
      <c r="Q1323" s="13"/>
      <c r="R1323" s="13"/>
      <c r="S1323" s="13"/>
      <c r="T1323" s="13">
        <f t="shared" ref="T1323:Y1323" si="1375">IF(ISBLANK(K1323)=TRUE,0,1)</f>
        <v>0</v>
      </c>
      <c r="U1323" s="13">
        <f t="shared" si="1375"/>
        <v>0</v>
      </c>
      <c r="V1323" s="13">
        <f t="shared" si="1375"/>
        <v>0</v>
      </c>
      <c r="W1323" s="13">
        <f t="shared" si="1375"/>
        <v>0</v>
      </c>
      <c r="X1323" s="13">
        <f t="shared" si="1375"/>
        <v>0</v>
      </c>
      <c r="Y1323" s="13">
        <f t="shared" si="1375"/>
        <v>0</v>
      </c>
      <c r="Z1323" s="13" t="str">
        <f t="shared" si="529"/>
        <v>NA</v>
      </c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</row>
    <row r="1324" ht="14.25" hidden="1" customHeight="1">
      <c r="A1324" s="13" t="s">
        <v>36</v>
      </c>
      <c r="B1324" s="13" t="s">
        <v>724</v>
      </c>
      <c r="C1324" s="13" t="s">
        <v>746</v>
      </c>
      <c r="D1324" s="13"/>
      <c r="E1324" s="13" t="str">
        <f t="shared" si="735"/>
        <v>MS7,23-2-7,,NA</v>
      </c>
      <c r="F1324" s="13"/>
      <c r="G1324" s="13" t="s">
        <v>111</v>
      </c>
      <c r="H1324" s="13" t="s">
        <v>75</v>
      </c>
      <c r="I1324" s="13"/>
      <c r="J1324" s="13"/>
      <c r="K1324" s="15"/>
      <c r="L1324" s="15"/>
      <c r="M1324" s="16"/>
      <c r="N1324" s="16"/>
      <c r="O1324" s="17"/>
      <c r="P1324" s="17"/>
      <c r="Q1324" s="13"/>
      <c r="R1324" s="13"/>
      <c r="S1324" s="13"/>
      <c r="T1324" s="13">
        <f t="shared" ref="T1324:Y1324" si="1376">IF(ISBLANK(K1324)=TRUE,0,1)</f>
        <v>0</v>
      </c>
      <c r="U1324" s="13">
        <f t="shared" si="1376"/>
        <v>0</v>
      </c>
      <c r="V1324" s="13">
        <f t="shared" si="1376"/>
        <v>0</v>
      </c>
      <c r="W1324" s="13">
        <f t="shared" si="1376"/>
        <v>0</v>
      </c>
      <c r="X1324" s="13">
        <f t="shared" si="1376"/>
        <v>0</v>
      </c>
      <c r="Y1324" s="13">
        <f t="shared" si="1376"/>
        <v>0</v>
      </c>
      <c r="Z1324" s="13" t="str">
        <f t="shared" si="529"/>
        <v>NA</v>
      </c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</row>
    <row r="1325" ht="14.25" hidden="1" customHeight="1">
      <c r="A1325" s="13" t="s">
        <v>36</v>
      </c>
      <c r="B1325" s="13" t="s">
        <v>724</v>
      </c>
      <c r="C1325" s="13" t="s">
        <v>747</v>
      </c>
      <c r="D1325" s="13"/>
      <c r="E1325" s="13" t="str">
        <f t="shared" si="735"/>
        <v>MS7,23-2-8,,NA</v>
      </c>
      <c r="F1325" s="13"/>
      <c r="G1325" s="13" t="s">
        <v>111</v>
      </c>
      <c r="H1325" s="13" t="s">
        <v>75</v>
      </c>
      <c r="I1325" s="13"/>
      <c r="J1325" s="13"/>
      <c r="K1325" s="15"/>
      <c r="L1325" s="15"/>
      <c r="M1325" s="16"/>
      <c r="N1325" s="16"/>
      <c r="O1325" s="17"/>
      <c r="P1325" s="17"/>
      <c r="Q1325" s="13"/>
      <c r="R1325" s="13"/>
      <c r="S1325" s="13"/>
      <c r="T1325" s="13">
        <f t="shared" ref="T1325:Y1325" si="1377">IF(ISBLANK(K1325)=TRUE,0,1)</f>
        <v>0</v>
      </c>
      <c r="U1325" s="13">
        <f t="shared" si="1377"/>
        <v>0</v>
      </c>
      <c r="V1325" s="13">
        <f t="shared" si="1377"/>
        <v>0</v>
      </c>
      <c r="W1325" s="13">
        <f t="shared" si="1377"/>
        <v>0</v>
      </c>
      <c r="X1325" s="13">
        <f t="shared" si="1377"/>
        <v>0</v>
      </c>
      <c r="Y1325" s="13">
        <f t="shared" si="1377"/>
        <v>0</v>
      </c>
      <c r="Z1325" s="13" t="str">
        <f t="shared" si="529"/>
        <v>NA</v>
      </c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</row>
    <row r="1326" ht="14.25" hidden="1" customHeight="1">
      <c r="A1326" s="13" t="s">
        <v>46</v>
      </c>
      <c r="B1326" s="13" t="s">
        <v>53</v>
      </c>
      <c r="C1326" s="13"/>
      <c r="D1326" s="13"/>
      <c r="E1326" s="13" t="str">
        <f t="shared" si="735"/>
        <v>PALM,,,1</v>
      </c>
      <c r="F1326" s="13"/>
      <c r="G1326" s="13" t="s">
        <v>111</v>
      </c>
      <c r="H1326" s="13" t="s">
        <v>75</v>
      </c>
      <c r="I1326" s="13"/>
      <c r="J1326" s="13"/>
      <c r="K1326" s="15"/>
      <c r="L1326" s="15"/>
      <c r="M1326" s="16"/>
      <c r="N1326" s="16"/>
      <c r="O1326" s="17">
        <v>1.0</v>
      </c>
      <c r="P1326" s="17">
        <v>1.0</v>
      </c>
      <c r="Q1326" s="13"/>
      <c r="R1326" s="29">
        <v>45007.0</v>
      </c>
      <c r="S1326" s="13"/>
      <c r="T1326" s="13">
        <f t="shared" ref="T1326:Y1326" si="1378">IF(ISBLANK(K1326)=TRUE,0,1)</f>
        <v>0</v>
      </c>
      <c r="U1326" s="13">
        <f t="shared" si="1378"/>
        <v>0</v>
      </c>
      <c r="V1326" s="13">
        <f t="shared" si="1378"/>
        <v>0</v>
      </c>
      <c r="W1326" s="13">
        <f t="shared" si="1378"/>
        <v>0</v>
      </c>
      <c r="X1326" s="13">
        <f t="shared" si="1378"/>
        <v>1</v>
      </c>
      <c r="Y1326" s="13">
        <f t="shared" si="1378"/>
        <v>1</v>
      </c>
      <c r="Z1326" s="13">
        <f t="shared" si="529"/>
        <v>1</v>
      </c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</row>
    <row r="1327" ht="14.25" hidden="1" customHeight="1">
      <c r="A1327" s="26" t="s">
        <v>46</v>
      </c>
      <c r="B1327" s="31" t="s">
        <v>53</v>
      </c>
      <c r="C1327" s="26">
        <v>101.0</v>
      </c>
      <c r="D1327" s="26" t="s">
        <v>189</v>
      </c>
      <c r="E1327" s="13" t="str">
        <f t="shared" si="735"/>
        <v>PALM,101,AP,1</v>
      </c>
      <c r="F1327" s="26"/>
      <c r="G1327" s="26" t="s">
        <v>74</v>
      </c>
      <c r="H1327" s="26" t="s">
        <v>107</v>
      </c>
      <c r="I1327" s="13"/>
      <c r="J1327" s="13"/>
      <c r="K1327" s="15">
        <v>1.0</v>
      </c>
      <c r="L1327" s="15">
        <v>1.0</v>
      </c>
      <c r="M1327" s="16"/>
      <c r="N1327" s="16"/>
      <c r="O1327" s="17"/>
      <c r="P1327" s="17"/>
      <c r="Q1327" s="13"/>
      <c r="R1327" s="13"/>
      <c r="S1327" s="13"/>
      <c r="T1327" s="13">
        <f t="shared" ref="T1327:Y1327" si="1379">IF(ISBLANK(K1327)=TRUE,0,1)</f>
        <v>1</v>
      </c>
      <c r="U1327" s="13">
        <f t="shared" si="1379"/>
        <v>1</v>
      </c>
      <c r="V1327" s="13">
        <f t="shared" si="1379"/>
        <v>0</v>
      </c>
      <c r="W1327" s="13">
        <f t="shared" si="1379"/>
        <v>0</v>
      </c>
      <c r="X1327" s="13">
        <f t="shared" si="1379"/>
        <v>0</v>
      </c>
      <c r="Y1327" s="13">
        <f t="shared" si="1379"/>
        <v>0</v>
      </c>
      <c r="Z1327" s="13">
        <f t="shared" si="529"/>
        <v>1</v>
      </c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</row>
    <row r="1328" ht="14.25" hidden="1" customHeight="1">
      <c r="A1328" s="26" t="s">
        <v>46</v>
      </c>
      <c r="B1328" s="31" t="s">
        <v>53</v>
      </c>
      <c r="C1328" s="26" t="s">
        <v>748</v>
      </c>
      <c r="D1328" s="26" t="s">
        <v>189</v>
      </c>
      <c r="E1328" s="13" t="str">
        <f t="shared" si="735"/>
        <v>PALM,110-5A-8,AP,1</v>
      </c>
      <c r="F1328" s="26"/>
      <c r="G1328" s="26" t="s">
        <v>111</v>
      </c>
      <c r="H1328" s="26" t="s">
        <v>107</v>
      </c>
      <c r="I1328" s="13"/>
      <c r="J1328" s="13"/>
      <c r="K1328" s="15">
        <v>1.0</v>
      </c>
      <c r="L1328" s="15">
        <v>1.0</v>
      </c>
      <c r="M1328" s="16"/>
      <c r="N1328" s="16"/>
      <c r="O1328" s="17"/>
      <c r="P1328" s="17"/>
      <c r="Q1328" s="13"/>
      <c r="R1328" s="13"/>
      <c r="S1328" s="13"/>
      <c r="T1328" s="13">
        <f t="shared" ref="T1328:Y1328" si="1380">IF(ISBLANK(K1328)=TRUE,0,1)</f>
        <v>1</v>
      </c>
      <c r="U1328" s="13">
        <f t="shared" si="1380"/>
        <v>1</v>
      </c>
      <c r="V1328" s="13">
        <f t="shared" si="1380"/>
        <v>0</v>
      </c>
      <c r="W1328" s="13">
        <f t="shared" si="1380"/>
        <v>0</v>
      </c>
      <c r="X1328" s="13">
        <f t="shared" si="1380"/>
        <v>0</v>
      </c>
      <c r="Y1328" s="13">
        <f t="shared" si="1380"/>
        <v>0</v>
      </c>
      <c r="Z1328" s="13">
        <f t="shared" si="529"/>
        <v>1</v>
      </c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</row>
    <row r="1329" ht="14.25" hidden="1" customHeight="1">
      <c r="A1329" s="26" t="s">
        <v>46</v>
      </c>
      <c r="B1329" s="31" t="s">
        <v>53</v>
      </c>
      <c r="C1329" s="26" t="s">
        <v>748</v>
      </c>
      <c r="D1329" s="26" t="s">
        <v>193</v>
      </c>
      <c r="E1329" s="13" t="str">
        <f t="shared" si="735"/>
        <v>PALM,110-5A-8,AT,1</v>
      </c>
      <c r="F1329" s="26"/>
      <c r="G1329" s="26" t="s">
        <v>111</v>
      </c>
      <c r="H1329" s="26" t="s">
        <v>107</v>
      </c>
      <c r="I1329" s="13"/>
      <c r="J1329" s="13"/>
      <c r="K1329" s="15">
        <v>1.0</v>
      </c>
      <c r="L1329" s="15">
        <v>1.0</v>
      </c>
      <c r="M1329" s="16"/>
      <c r="N1329" s="16"/>
      <c r="O1329" s="17"/>
      <c r="P1329" s="17"/>
      <c r="Q1329" s="13"/>
      <c r="R1329" s="13"/>
      <c r="S1329" s="13"/>
      <c r="T1329" s="13">
        <f t="shared" ref="T1329:Y1329" si="1381">IF(ISBLANK(K1329)=TRUE,0,1)</f>
        <v>1</v>
      </c>
      <c r="U1329" s="13">
        <f t="shared" si="1381"/>
        <v>1</v>
      </c>
      <c r="V1329" s="13">
        <f t="shared" si="1381"/>
        <v>0</v>
      </c>
      <c r="W1329" s="13">
        <f t="shared" si="1381"/>
        <v>0</v>
      </c>
      <c r="X1329" s="13">
        <f t="shared" si="1381"/>
        <v>0</v>
      </c>
      <c r="Y1329" s="13">
        <f t="shared" si="1381"/>
        <v>0</v>
      </c>
      <c r="Z1329" s="13">
        <f t="shared" si="529"/>
        <v>1</v>
      </c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</row>
    <row r="1330" ht="14.25" hidden="1" customHeight="1">
      <c r="A1330" s="13" t="s">
        <v>46</v>
      </c>
      <c r="B1330" s="34" t="s">
        <v>53</v>
      </c>
      <c r="C1330" s="13" t="s">
        <v>749</v>
      </c>
      <c r="D1330" s="13"/>
      <c r="E1330" s="13" t="str">
        <f t="shared" si="735"/>
        <v>PALM,121A,,NA</v>
      </c>
      <c r="F1330" s="13"/>
      <c r="G1330" s="13" t="s">
        <v>74</v>
      </c>
      <c r="H1330" s="13" t="s">
        <v>75</v>
      </c>
      <c r="I1330" s="13"/>
      <c r="J1330" s="13"/>
      <c r="K1330" s="15"/>
      <c r="L1330" s="15"/>
      <c r="M1330" s="16"/>
      <c r="N1330" s="16"/>
      <c r="O1330" s="17"/>
      <c r="P1330" s="17"/>
      <c r="Q1330" s="13"/>
      <c r="R1330" s="13"/>
      <c r="S1330" s="13"/>
      <c r="T1330" s="13">
        <f t="shared" ref="T1330:Y1330" si="1382">IF(ISBLANK(K1330)=TRUE,0,1)</f>
        <v>0</v>
      </c>
      <c r="U1330" s="13">
        <f t="shared" si="1382"/>
        <v>0</v>
      </c>
      <c r="V1330" s="13">
        <f t="shared" si="1382"/>
        <v>0</v>
      </c>
      <c r="W1330" s="13">
        <f t="shared" si="1382"/>
        <v>0</v>
      </c>
      <c r="X1330" s="13">
        <f t="shared" si="1382"/>
        <v>0</v>
      </c>
      <c r="Y1330" s="13">
        <f t="shared" si="1382"/>
        <v>0</v>
      </c>
      <c r="Z1330" s="13" t="str">
        <f t="shared" si="529"/>
        <v>NA</v>
      </c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</row>
    <row r="1331" ht="14.25" hidden="1" customHeight="1">
      <c r="A1331" s="13" t="s">
        <v>46</v>
      </c>
      <c r="B1331" s="34" t="s">
        <v>53</v>
      </c>
      <c r="C1331" s="13" t="s">
        <v>750</v>
      </c>
      <c r="D1331" s="13"/>
      <c r="E1331" s="13" t="str">
        <f t="shared" si="735"/>
        <v>PALM,121E,,NA</v>
      </c>
      <c r="F1331" s="13"/>
      <c r="G1331" s="13" t="s">
        <v>74</v>
      </c>
      <c r="H1331" s="13" t="s">
        <v>75</v>
      </c>
      <c r="I1331" s="13"/>
      <c r="J1331" s="13"/>
      <c r="K1331" s="15"/>
      <c r="L1331" s="15"/>
      <c r="M1331" s="16"/>
      <c r="N1331" s="16"/>
      <c r="O1331" s="17"/>
      <c r="P1331" s="17"/>
      <c r="Q1331" s="13"/>
      <c r="R1331" s="13"/>
      <c r="S1331" s="13"/>
      <c r="T1331" s="13">
        <f t="shared" ref="T1331:Y1331" si="1383">IF(ISBLANK(K1331)=TRUE,0,1)</f>
        <v>0</v>
      </c>
      <c r="U1331" s="13">
        <f t="shared" si="1383"/>
        <v>0</v>
      </c>
      <c r="V1331" s="13">
        <f t="shared" si="1383"/>
        <v>0</v>
      </c>
      <c r="W1331" s="13">
        <f t="shared" si="1383"/>
        <v>0</v>
      </c>
      <c r="X1331" s="13">
        <f t="shared" si="1383"/>
        <v>0</v>
      </c>
      <c r="Y1331" s="13">
        <f t="shared" si="1383"/>
        <v>0</v>
      </c>
      <c r="Z1331" s="13" t="str">
        <f t="shared" si="529"/>
        <v>NA</v>
      </c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</row>
    <row r="1332" ht="14.25" hidden="1" customHeight="1">
      <c r="A1332" s="13" t="s">
        <v>46</v>
      </c>
      <c r="B1332" s="34" t="s">
        <v>53</v>
      </c>
      <c r="C1332" s="13" t="s">
        <v>751</v>
      </c>
      <c r="D1332" s="13"/>
      <c r="E1332" s="13" t="str">
        <f t="shared" si="735"/>
        <v>PALM,121F,,NA</v>
      </c>
      <c r="F1332" s="13"/>
      <c r="G1332" s="13" t="s">
        <v>74</v>
      </c>
      <c r="H1332" s="13" t="s">
        <v>75</v>
      </c>
      <c r="I1332" s="13"/>
      <c r="J1332" s="13"/>
      <c r="K1332" s="15"/>
      <c r="L1332" s="15"/>
      <c r="M1332" s="16"/>
      <c r="N1332" s="16"/>
      <c r="O1332" s="17"/>
      <c r="P1332" s="17"/>
      <c r="Q1332" s="13"/>
      <c r="R1332" s="13"/>
      <c r="S1332" s="13"/>
      <c r="T1332" s="13">
        <f t="shared" ref="T1332:Y1332" si="1384">IF(ISBLANK(K1332)=TRUE,0,1)</f>
        <v>0</v>
      </c>
      <c r="U1332" s="13">
        <f t="shared" si="1384"/>
        <v>0</v>
      </c>
      <c r="V1332" s="13">
        <f t="shared" si="1384"/>
        <v>0</v>
      </c>
      <c r="W1332" s="13">
        <f t="shared" si="1384"/>
        <v>0</v>
      </c>
      <c r="X1332" s="13">
        <f t="shared" si="1384"/>
        <v>0</v>
      </c>
      <c r="Y1332" s="13">
        <f t="shared" si="1384"/>
        <v>0</v>
      </c>
      <c r="Z1332" s="13" t="str">
        <f t="shared" si="529"/>
        <v>NA</v>
      </c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</row>
    <row r="1333" ht="14.25" hidden="1" customHeight="1">
      <c r="A1333" s="13" t="s">
        <v>46</v>
      </c>
      <c r="B1333" s="34" t="s">
        <v>53</v>
      </c>
      <c r="C1333" s="13" t="s">
        <v>752</v>
      </c>
      <c r="D1333" s="13"/>
      <c r="E1333" s="13" t="str">
        <f t="shared" si="735"/>
        <v>PALM,121G,,NA</v>
      </c>
      <c r="F1333" s="13"/>
      <c r="G1333" s="13" t="s">
        <v>74</v>
      </c>
      <c r="H1333" s="13" t="s">
        <v>75</v>
      </c>
      <c r="I1333" s="13"/>
      <c r="J1333" s="13"/>
      <c r="K1333" s="15"/>
      <c r="L1333" s="15"/>
      <c r="M1333" s="16"/>
      <c r="N1333" s="16"/>
      <c r="O1333" s="17"/>
      <c r="P1333" s="17"/>
      <c r="Q1333" s="13"/>
      <c r="R1333" s="13"/>
      <c r="S1333" s="13"/>
      <c r="T1333" s="13">
        <f t="shared" ref="T1333:Y1333" si="1385">IF(ISBLANK(K1333)=TRUE,0,1)</f>
        <v>0</v>
      </c>
      <c r="U1333" s="13">
        <f t="shared" si="1385"/>
        <v>0</v>
      </c>
      <c r="V1333" s="13">
        <f t="shared" si="1385"/>
        <v>0</v>
      </c>
      <c r="W1333" s="13">
        <f t="shared" si="1385"/>
        <v>0</v>
      </c>
      <c r="X1333" s="13">
        <f t="shared" si="1385"/>
        <v>0</v>
      </c>
      <c r="Y1333" s="13">
        <f t="shared" si="1385"/>
        <v>0</v>
      </c>
      <c r="Z1333" s="13" t="str">
        <f t="shared" si="529"/>
        <v>NA</v>
      </c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</row>
    <row r="1334" ht="14.25" hidden="1" customHeight="1">
      <c r="A1334" s="13" t="s">
        <v>46</v>
      </c>
      <c r="B1334" s="34" t="s">
        <v>53</v>
      </c>
      <c r="C1334" s="13" t="s">
        <v>753</v>
      </c>
      <c r="D1334" s="13"/>
      <c r="E1334" s="13" t="str">
        <f t="shared" si="735"/>
        <v>PALM,121J,,NA</v>
      </c>
      <c r="F1334" s="13"/>
      <c r="G1334" s="13" t="s">
        <v>74</v>
      </c>
      <c r="H1334" s="13" t="s">
        <v>75</v>
      </c>
      <c r="I1334" s="13"/>
      <c r="J1334" s="13"/>
      <c r="K1334" s="15"/>
      <c r="L1334" s="15"/>
      <c r="M1334" s="16"/>
      <c r="N1334" s="16"/>
      <c r="O1334" s="17"/>
      <c r="P1334" s="17"/>
      <c r="Q1334" s="13"/>
      <c r="R1334" s="13"/>
      <c r="S1334" s="13"/>
      <c r="T1334" s="13">
        <f t="shared" ref="T1334:Y1334" si="1386">IF(ISBLANK(K1334)=TRUE,0,1)</f>
        <v>0</v>
      </c>
      <c r="U1334" s="13">
        <f t="shared" si="1386"/>
        <v>0</v>
      </c>
      <c r="V1334" s="13">
        <f t="shared" si="1386"/>
        <v>0</v>
      </c>
      <c r="W1334" s="13">
        <f t="shared" si="1386"/>
        <v>0</v>
      </c>
      <c r="X1334" s="13">
        <f t="shared" si="1386"/>
        <v>0</v>
      </c>
      <c r="Y1334" s="13">
        <f t="shared" si="1386"/>
        <v>0</v>
      </c>
      <c r="Z1334" s="13" t="str">
        <f t="shared" si="529"/>
        <v>NA</v>
      </c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</row>
    <row r="1335" ht="14.25" hidden="1" customHeight="1">
      <c r="A1335" s="13" t="s">
        <v>46</v>
      </c>
      <c r="B1335" s="34" t="s">
        <v>53</v>
      </c>
      <c r="C1335" s="13" t="s">
        <v>754</v>
      </c>
      <c r="D1335" s="13"/>
      <c r="E1335" s="13" t="str">
        <f t="shared" si="735"/>
        <v>PALM,121K,,NA</v>
      </c>
      <c r="F1335" s="13"/>
      <c r="G1335" s="13" t="s">
        <v>74</v>
      </c>
      <c r="H1335" s="13" t="s">
        <v>75</v>
      </c>
      <c r="I1335" s="13"/>
      <c r="J1335" s="13"/>
      <c r="K1335" s="15"/>
      <c r="L1335" s="15"/>
      <c r="M1335" s="16"/>
      <c r="N1335" s="16"/>
      <c r="O1335" s="17"/>
      <c r="P1335" s="17"/>
      <c r="Q1335" s="13"/>
      <c r="R1335" s="13"/>
      <c r="S1335" s="13"/>
      <c r="T1335" s="13">
        <f t="shared" ref="T1335:Y1335" si="1387">IF(ISBLANK(K1335)=TRUE,0,1)</f>
        <v>0</v>
      </c>
      <c r="U1335" s="13">
        <f t="shared" si="1387"/>
        <v>0</v>
      </c>
      <c r="V1335" s="13">
        <f t="shared" si="1387"/>
        <v>0</v>
      </c>
      <c r="W1335" s="13">
        <f t="shared" si="1387"/>
        <v>0</v>
      </c>
      <c r="X1335" s="13">
        <f t="shared" si="1387"/>
        <v>0</v>
      </c>
      <c r="Y1335" s="13">
        <f t="shared" si="1387"/>
        <v>0</v>
      </c>
      <c r="Z1335" s="13" t="str">
        <f t="shared" si="529"/>
        <v>NA</v>
      </c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</row>
    <row r="1336" ht="14.25" hidden="1" customHeight="1">
      <c r="A1336" s="13" t="s">
        <v>46</v>
      </c>
      <c r="B1336" s="34" t="s">
        <v>53</v>
      </c>
      <c r="C1336" s="13" t="s">
        <v>755</v>
      </c>
      <c r="D1336" s="13"/>
      <c r="E1336" s="13" t="str">
        <f t="shared" si="735"/>
        <v>PALM,121M,,NA</v>
      </c>
      <c r="F1336" s="13"/>
      <c r="G1336" s="13" t="s">
        <v>74</v>
      </c>
      <c r="H1336" s="13" t="s">
        <v>75</v>
      </c>
      <c r="I1336" s="13"/>
      <c r="J1336" s="13"/>
      <c r="K1336" s="15"/>
      <c r="L1336" s="15"/>
      <c r="M1336" s="16"/>
      <c r="N1336" s="16"/>
      <c r="O1336" s="17"/>
      <c r="P1336" s="17"/>
      <c r="Q1336" s="13"/>
      <c r="R1336" s="13"/>
      <c r="S1336" s="13"/>
      <c r="T1336" s="13">
        <f t="shared" ref="T1336:Y1336" si="1388">IF(ISBLANK(K1336)=TRUE,0,1)</f>
        <v>0</v>
      </c>
      <c r="U1336" s="13">
        <f t="shared" si="1388"/>
        <v>0</v>
      </c>
      <c r="V1336" s="13">
        <f t="shared" si="1388"/>
        <v>0</v>
      </c>
      <c r="W1336" s="13">
        <f t="shared" si="1388"/>
        <v>0</v>
      </c>
      <c r="X1336" s="13">
        <f t="shared" si="1388"/>
        <v>0</v>
      </c>
      <c r="Y1336" s="13">
        <f t="shared" si="1388"/>
        <v>0</v>
      </c>
      <c r="Z1336" s="13" t="str">
        <f t="shared" si="529"/>
        <v>NA</v>
      </c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</row>
    <row r="1337" ht="14.25" hidden="1" customHeight="1">
      <c r="A1337" s="13" t="s">
        <v>46</v>
      </c>
      <c r="B1337" s="34" t="s">
        <v>53</v>
      </c>
      <c r="C1337" s="13" t="s">
        <v>756</v>
      </c>
      <c r="D1337" s="13"/>
      <c r="E1337" s="13" t="str">
        <f t="shared" si="735"/>
        <v>PALM,121N,,1</v>
      </c>
      <c r="F1337" s="13"/>
      <c r="G1337" s="13" t="s">
        <v>74</v>
      </c>
      <c r="H1337" s="13" t="s">
        <v>75</v>
      </c>
      <c r="I1337" s="13"/>
      <c r="J1337" s="13"/>
      <c r="K1337" s="15"/>
      <c r="L1337" s="15"/>
      <c r="M1337" s="16"/>
      <c r="N1337" s="16"/>
      <c r="O1337" s="17">
        <v>1.0</v>
      </c>
      <c r="P1337" s="17">
        <v>1.0</v>
      </c>
      <c r="Q1337" s="13"/>
      <c r="R1337" s="13">
        <v>1.0</v>
      </c>
      <c r="S1337" s="13"/>
      <c r="T1337" s="13">
        <f t="shared" ref="T1337:Y1337" si="1389">IF(ISBLANK(K1337)=TRUE,0,1)</f>
        <v>0</v>
      </c>
      <c r="U1337" s="13">
        <f t="shared" si="1389"/>
        <v>0</v>
      </c>
      <c r="V1337" s="13">
        <f t="shared" si="1389"/>
        <v>0</v>
      </c>
      <c r="W1337" s="13">
        <f t="shared" si="1389"/>
        <v>0</v>
      </c>
      <c r="X1337" s="13">
        <f t="shared" si="1389"/>
        <v>1</v>
      </c>
      <c r="Y1337" s="13">
        <f t="shared" si="1389"/>
        <v>1</v>
      </c>
      <c r="Z1337" s="13">
        <f t="shared" si="529"/>
        <v>1</v>
      </c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</row>
    <row r="1338" ht="14.25" hidden="1" customHeight="1">
      <c r="A1338" s="13" t="s">
        <v>46</v>
      </c>
      <c r="B1338" s="34" t="s">
        <v>53</v>
      </c>
      <c r="C1338" s="13" t="s">
        <v>757</v>
      </c>
      <c r="D1338" s="13"/>
      <c r="E1338" s="13" t="str">
        <f t="shared" si="735"/>
        <v>PALM,121O,,1</v>
      </c>
      <c r="F1338" s="13"/>
      <c r="G1338" s="13" t="s">
        <v>74</v>
      </c>
      <c r="H1338" s="13" t="s">
        <v>75</v>
      </c>
      <c r="I1338" s="13"/>
      <c r="J1338" s="13"/>
      <c r="K1338" s="15"/>
      <c r="L1338" s="15"/>
      <c r="M1338" s="16"/>
      <c r="N1338" s="16"/>
      <c r="O1338" s="17">
        <v>1.0</v>
      </c>
      <c r="P1338" s="17">
        <v>1.0</v>
      </c>
      <c r="Q1338" s="13"/>
      <c r="R1338" s="13">
        <v>1.0</v>
      </c>
      <c r="S1338" s="13"/>
      <c r="T1338" s="13">
        <f t="shared" ref="T1338:Y1338" si="1390">IF(ISBLANK(K1338)=TRUE,0,1)</f>
        <v>0</v>
      </c>
      <c r="U1338" s="13">
        <f t="shared" si="1390"/>
        <v>0</v>
      </c>
      <c r="V1338" s="13">
        <f t="shared" si="1390"/>
        <v>0</v>
      </c>
      <c r="W1338" s="13">
        <f t="shared" si="1390"/>
        <v>0</v>
      </c>
      <c r="X1338" s="13">
        <f t="shared" si="1390"/>
        <v>1</v>
      </c>
      <c r="Y1338" s="13">
        <f t="shared" si="1390"/>
        <v>1</v>
      </c>
      <c r="Z1338" s="13">
        <f t="shared" si="529"/>
        <v>1</v>
      </c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</row>
    <row r="1339" ht="14.25" hidden="1" customHeight="1">
      <c r="A1339" s="13" t="s">
        <v>46</v>
      </c>
      <c r="B1339" s="34" t="s">
        <v>53</v>
      </c>
      <c r="C1339" s="13" t="s">
        <v>758</v>
      </c>
      <c r="D1339" s="13"/>
      <c r="E1339" s="13" t="str">
        <f t="shared" si="735"/>
        <v>PALM,121Q,,NA</v>
      </c>
      <c r="F1339" s="13"/>
      <c r="G1339" s="13" t="s">
        <v>74</v>
      </c>
      <c r="H1339" s="13" t="s">
        <v>75</v>
      </c>
      <c r="I1339" s="13"/>
      <c r="J1339" s="13"/>
      <c r="K1339" s="15"/>
      <c r="L1339" s="15"/>
      <c r="M1339" s="16"/>
      <c r="N1339" s="16"/>
      <c r="O1339" s="17"/>
      <c r="P1339" s="17"/>
      <c r="Q1339" s="13"/>
      <c r="R1339" s="13"/>
      <c r="S1339" s="13"/>
      <c r="T1339" s="13">
        <f t="shared" ref="T1339:Y1339" si="1391">IF(ISBLANK(K1339)=TRUE,0,1)</f>
        <v>0</v>
      </c>
      <c r="U1339" s="13">
        <f t="shared" si="1391"/>
        <v>0</v>
      </c>
      <c r="V1339" s="13">
        <f t="shared" si="1391"/>
        <v>0</v>
      </c>
      <c r="W1339" s="13">
        <f t="shared" si="1391"/>
        <v>0</v>
      </c>
      <c r="X1339" s="13">
        <f t="shared" si="1391"/>
        <v>0</v>
      </c>
      <c r="Y1339" s="13">
        <f t="shared" si="1391"/>
        <v>0</v>
      </c>
      <c r="Z1339" s="13" t="str">
        <f t="shared" si="529"/>
        <v>NA</v>
      </c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</row>
    <row r="1340" ht="14.25" hidden="1" customHeight="1">
      <c r="A1340" s="13" t="s">
        <v>46</v>
      </c>
      <c r="B1340" s="34" t="s">
        <v>53</v>
      </c>
      <c r="C1340" s="13" t="s">
        <v>759</v>
      </c>
      <c r="D1340" s="13"/>
      <c r="E1340" s="13" t="str">
        <f t="shared" si="735"/>
        <v>PALM,121R,,1</v>
      </c>
      <c r="F1340" s="13"/>
      <c r="G1340" s="13" t="s">
        <v>74</v>
      </c>
      <c r="H1340" s="13" t="s">
        <v>75</v>
      </c>
      <c r="I1340" s="13"/>
      <c r="J1340" s="13"/>
      <c r="K1340" s="15"/>
      <c r="L1340" s="15"/>
      <c r="M1340" s="16"/>
      <c r="N1340" s="16"/>
      <c r="O1340" s="17">
        <v>1.0</v>
      </c>
      <c r="P1340" s="17">
        <v>1.0</v>
      </c>
      <c r="Q1340" s="13"/>
      <c r="R1340" s="13">
        <v>1.0</v>
      </c>
      <c r="S1340" s="13"/>
      <c r="T1340" s="13">
        <f t="shared" ref="T1340:Y1340" si="1392">IF(ISBLANK(K1340)=TRUE,0,1)</f>
        <v>0</v>
      </c>
      <c r="U1340" s="13">
        <f t="shared" si="1392"/>
        <v>0</v>
      </c>
      <c r="V1340" s="13">
        <f t="shared" si="1392"/>
        <v>0</v>
      </c>
      <c r="W1340" s="13">
        <f t="shared" si="1392"/>
        <v>0</v>
      </c>
      <c r="X1340" s="13">
        <f t="shared" si="1392"/>
        <v>1</v>
      </c>
      <c r="Y1340" s="13">
        <f t="shared" si="1392"/>
        <v>1</v>
      </c>
      <c r="Z1340" s="13">
        <f t="shared" si="529"/>
        <v>1</v>
      </c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</row>
    <row r="1341" ht="14.25" hidden="1" customHeight="1">
      <c r="A1341" s="13" t="s">
        <v>46</v>
      </c>
      <c r="B1341" s="34" t="s">
        <v>53</v>
      </c>
      <c r="C1341" s="13" t="s">
        <v>760</v>
      </c>
      <c r="D1341" s="13"/>
      <c r="E1341" s="13" t="str">
        <f t="shared" si="735"/>
        <v>PALM,121S,,NA</v>
      </c>
      <c r="F1341" s="13"/>
      <c r="G1341" s="13" t="s">
        <v>74</v>
      </c>
      <c r="H1341" s="13" t="s">
        <v>75</v>
      </c>
      <c r="I1341" s="13"/>
      <c r="J1341" s="13"/>
      <c r="K1341" s="15"/>
      <c r="L1341" s="15"/>
      <c r="M1341" s="16"/>
      <c r="N1341" s="16"/>
      <c r="O1341" s="17"/>
      <c r="P1341" s="17"/>
      <c r="Q1341" s="13"/>
      <c r="R1341" s="13"/>
      <c r="S1341" s="13"/>
      <c r="T1341" s="13">
        <f t="shared" ref="T1341:Y1341" si="1393">IF(ISBLANK(K1341)=TRUE,0,1)</f>
        <v>0</v>
      </c>
      <c r="U1341" s="13">
        <f t="shared" si="1393"/>
        <v>0</v>
      </c>
      <c r="V1341" s="13">
        <f t="shared" si="1393"/>
        <v>0</v>
      </c>
      <c r="W1341" s="13">
        <f t="shared" si="1393"/>
        <v>0</v>
      </c>
      <c r="X1341" s="13">
        <f t="shared" si="1393"/>
        <v>0</v>
      </c>
      <c r="Y1341" s="13">
        <f t="shared" si="1393"/>
        <v>0</v>
      </c>
      <c r="Z1341" s="13" t="str">
        <f t="shared" si="529"/>
        <v>NA</v>
      </c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</row>
    <row r="1342" ht="14.25" hidden="1" customHeight="1">
      <c r="A1342" s="13" t="s">
        <v>46</v>
      </c>
      <c r="B1342" s="34" t="s">
        <v>53</v>
      </c>
      <c r="C1342" s="13" t="s">
        <v>761</v>
      </c>
      <c r="D1342" s="13"/>
      <c r="E1342" s="13" t="str">
        <f t="shared" si="735"/>
        <v>PALM,121T,,NA</v>
      </c>
      <c r="F1342" s="13"/>
      <c r="G1342" s="13" t="s">
        <v>74</v>
      </c>
      <c r="H1342" s="13" t="s">
        <v>75</v>
      </c>
      <c r="I1342" s="13"/>
      <c r="J1342" s="13"/>
      <c r="K1342" s="15"/>
      <c r="L1342" s="15"/>
      <c r="M1342" s="16"/>
      <c r="N1342" s="16"/>
      <c r="O1342" s="17"/>
      <c r="P1342" s="17"/>
      <c r="Q1342" s="13"/>
      <c r="R1342" s="13"/>
      <c r="S1342" s="13"/>
      <c r="T1342" s="13">
        <f t="shared" ref="T1342:Y1342" si="1394">IF(ISBLANK(K1342)=TRUE,0,1)</f>
        <v>0</v>
      </c>
      <c r="U1342" s="13">
        <f t="shared" si="1394"/>
        <v>0</v>
      </c>
      <c r="V1342" s="13">
        <f t="shared" si="1394"/>
        <v>0</v>
      </c>
      <c r="W1342" s="13">
        <f t="shared" si="1394"/>
        <v>0</v>
      </c>
      <c r="X1342" s="13">
        <f t="shared" si="1394"/>
        <v>0</v>
      </c>
      <c r="Y1342" s="13">
        <f t="shared" si="1394"/>
        <v>0</v>
      </c>
      <c r="Z1342" s="13" t="str">
        <f t="shared" si="529"/>
        <v>NA</v>
      </c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</row>
    <row r="1343" ht="14.25" hidden="1" customHeight="1">
      <c r="A1343" s="26" t="s">
        <v>46</v>
      </c>
      <c r="B1343" s="31" t="s">
        <v>53</v>
      </c>
      <c r="C1343" s="26" t="s">
        <v>762</v>
      </c>
      <c r="D1343" s="26" t="s">
        <v>189</v>
      </c>
      <c r="E1343" s="13" t="str">
        <f t="shared" si="735"/>
        <v>PALM,216A,AP,1</v>
      </c>
      <c r="F1343" s="26"/>
      <c r="G1343" s="26" t="s">
        <v>111</v>
      </c>
      <c r="H1343" s="26" t="s">
        <v>75</v>
      </c>
      <c r="I1343" s="13"/>
      <c r="J1343" s="13"/>
      <c r="K1343" s="15">
        <v>1.0</v>
      </c>
      <c r="L1343" s="15">
        <v>1.0</v>
      </c>
      <c r="M1343" s="16"/>
      <c r="N1343" s="16"/>
      <c r="O1343" s="17"/>
      <c r="P1343" s="17"/>
      <c r="Q1343" s="13"/>
      <c r="R1343" s="13"/>
      <c r="S1343" s="13"/>
      <c r="T1343" s="13">
        <f t="shared" ref="T1343:Y1343" si="1395">IF(ISBLANK(K1343)=TRUE,0,1)</f>
        <v>1</v>
      </c>
      <c r="U1343" s="13">
        <f t="shared" si="1395"/>
        <v>1</v>
      </c>
      <c r="V1343" s="13">
        <f t="shared" si="1395"/>
        <v>0</v>
      </c>
      <c r="W1343" s="13">
        <f t="shared" si="1395"/>
        <v>0</v>
      </c>
      <c r="X1343" s="13">
        <f t="shared" si="1395"/>
        <v>0</v>
      </c>
      <c r="Y1343" s="13">
        <f t="shared" si="1395"/>
        <v>0</v>
      </c>
      <c r="Z1343" s="13">
        <f t="shared" si="529"/>
        <v>1</v>
      </c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</row>
    <row r="1344" ht="14.25" hidden="1" customHeight="1">
      <c r="A1344" s="26" t="s">
        <v>46</v>
      </c>
      <c r="B1344" s="31" t="s">
        <v>53</v>
      </c>
      <c r="C1344" s="26" t="s">
        <v>762</v>
      </c>
      <c r="D1344" s="26" t="s">
        <v>190</v>
      </c>
      <c r="E1344" s="13" t="str">
        <f t="shared" si="735"/>
        <v>PALM,216A,AQ,1</v>
      </c>
      <c r="F1344" s="26"/>
      <c r="G1344" s="26" t="s">
        <v>111</v>
      </c>
      <c r="H1344" s="26" t="s">
        <v>75</v>
      </c>
      <c r="I1344" s="13"/>
      <c r="J1344" s="13"/>
      <c r="K1344" s="15">
        <v>1.0</v>
      </c>
      <c r="L1344" s="15">
        <v>1.0</v>
      </c>
      <c r="M1344" s="16"/>
      <c r="N1344" s="16"/>
      <c r="O1344" s="17"/>
      <c r="P1344" s="17"/>
      <c r="Q1344" s="13"/>
      <c r="R1344" s="13"/>
      <c r="S1344" s="13"/>
      <c r="T1344" s="13">
        <f t="shared" ref="T1344:Y1344" si="1396">IF(ISBLANK(K1344)=TRUE,0,1)</f>
        <v>1</v>
      </c>
      <c r="U1344" s="13">
        <f t="shared" si="1396"/>
        <v>1</v>
      </c>
      <c r="V1344" s="13">
        <f t="shared" si="1396"/>
        <v>0</v>
      </c>
      <c r="W1344" s="13">
        <f t="shared" si="1396"/>
        <v>0</v>
      </c>
      <c r="X1344" s="13">
        <f t="shared" si="1396"/>
        <v>0</v>
      </c>
      <c r="Y1344" s="13">
        <f t="shared" si="1396"/>
        <v>0</v>
      </c>
      <c r="Z1344" s="13">
        <f t="shared" si="529"/>
        <v>1</v>
      </c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</row>
    <row r="1345" ht="14.25" hidden="1" customHeight="1">
      <c r="A1345" s="26" t="s">
        <v>46</v>
      </c>
      <c r="B1345" s="31" t="s">
        <v>53</v>
      </c>
      <c r="C1345" s="26" t="s">
        <v>762</v>
      </c>
      <c r="D1345" s="26" t="s">
        <v>191</v>
      </c>
      <c r="E1345" s="13" t="str">
        <f t="shared" si="735"/>
        <v>PALM,216A,AR,1</v>
      </c>
      <c r="F1345" s="26"/>
      <c r="G1345" s="26" t="s">
        <v>111</v>
      </c>
      <c r="H1345" s="26" t="s">
        <v>75</v>
      </c>
      <c r="I1345" s="13"/>
      <c r="J1345" s="13"/>
      <c r="K1345" s="15">
        <v>1.0</v>
      </c>
      <c r="L1345" s="15">
        <v>1.0</v>
      </c>
      <c r="M1345" s="16"/>
      <c r="N1345" s="16"/>
      <c r="O1345" s="17"/>
      <c r="P1345" s="17"/>
      <c r="Q1345" s="13"/>
      <c r="R1345" s="13"/>
      <c r="S1345" s="13"/>
      <c r="T1345" s="13">
        <f t="shared" ref="T1345:Y1345" si="1397">IF(ISBLANK(K1345)=TRUE,0,1)</f>
        <v>1</v>
      </c>
      <c r="U1345" s="13">
        <f t="shared" si="1397"/>
        <v>1</v>
      </c>
      <c r="V1345" s="13">
        <f t="shared" si="1397"/>
        <v>0</v>
      </c>
      <c r="W1345" s="13">
        <f t="shared" si="1397"/>
        <v>0</v>
      </c>
      <c r="X1345" s="13">
        <f t="shared" si="1397"/>
        <v>0</v>
      </c>
      <c r="Y1345" s="13">
        <f t="shared" si="1397"/>
        <v>0</v>
      </c>
      <c r="Z1345" s="13">
        <f t="shared" si="529"/>
        <v>1</v>
      </c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</row>
    <row r="1346" ht="14.25" hidden="1" customHeight="1">
      <c r="A1346" s="26" t="s">
        <v>46</v>
      </c>
      <c r="B1346" s="31" t="s">
        <v>53</v>
      </c>
      <c r="C1346" s="26" t="s">
        <v>763</v>
      </c>
      <c r="D1346" s="26" t="s">
        <v>184</v>
      </c>
      <c r="E1346" s="13" t="str">
        <f t="shared" si="735"/>
        <v>PALM,218B,AK,1</v>
      </c>
      <c r="F1346" s="26"/>
      <c r="G1346" s="26" t="s">
        <v>74</v>
      </c>
      <c r="H1346" s="26" t="s">
        <v>75</v>
      </c>
      <c r="I1346" s="26"/>
      <c r="J1346" s="26"/>
      <c r="K1346" s="28">
        <v>1.0</v>
      </c>
      <c r="L1346" s="28">
        <v>1.0</v>
      </c>
      <c r="M1346" s="30"/>
      <c r="N1346" s="30"/>
      <c r="O1346" s="17"/>
      <c r="P1346" s="17"/>
      <c r="Q1346" s="13"/>
      <c r="R1346" s="13"/>
      <c r="S1346" s="13"/>
      <c r="T1346" s="13">
        <f t="shared" ref="T1346:Y1346" si="1398">IF(ISBLANK(K1346)=TRUE,0,1)</f>
        <v>1</v>
      </c>
      <c r="U1346" s="13">
        <f t="shared" si="1398"/>
        <v>1</v>
      </c>
      <c r="V1346" s="13">
        <f t="shared" si="1398"/>
        <v>0</v>
      </c>
      <c r="W1346" s="13">
        <f t="shared" si="1398"/>
        <v>0</v>
      </c>
      <c r="X1346" s="13">
        <f t="shared" si="1398"/>
        <v>0</v>
      </c>
      <c r="Y1346" s="13">
        <f t="shared" si="1398"/>
        <v>0</v>
      </c>
      <c r="Z1346" s="13">
        <f t="shared" si="529"/>
        <v>1</v>
      </c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</row>
    <row r="1347" ht="14.25" hidden="1" customHeight="1">
      <c r="A1347" s="26" t="s">
        <v>46</v>
      </c>
      <c r="B1347" s="31" t="s">
        <v>53</v>
      </c>
      <c r="C1347" s="26" t="s">
        <v>763</v>
      </c>
      <c r="D1347" s="26" t="s">
        <v>185</v>
      </c>
      <c r="E1347" s="13" t="str">
        <f t="shared" si="735"/>
        <v>PALM,218B,AL,1</v>
      </c>
      <c r="F1347" s="26"/>
      <c r="G1347" s="26" t="s">
        <v>74</v>
      </c>
      <c r="H1347" s="26" t="s">
        <v>75</v>
      </c>
      <c r="I1347" s="26"/>
      <c r="J1347" s="26"/>
      <c r="K1347" s="28">
        <v>1.0</v>
      </c>
      <c r="L1347" s="28">
        <v>1.0</v>
      </c>
      <c r="M1347" s="30"/>
      <c r="N1347" s="30"/>
      <c r="O1347" s="17"/>
      <c r="P1347" s="17"/>
      <c r="Q1347" s="13"/>
      <c r="R1347" s="13"/>
      <c r="S1347" s="13"/>
      <c r="T1347" s="13">
        <f t="shared" ref="T1347:Y1347" si="1399">IF(ISBLANK(K1347)=TRUE,0,1)</f>
        <v>1</v>
      </c>
      <c r="U1347" s="13">
        <f t="shared" si="1399"/>
        <v>1</v>
      </c>
      <c r="V1347" s="13">
        <f t="shared" si="1399"/>
        <v>0</v>
      </c>
      <c r="W1347" s="13">
        <f t="shared" si="1399"/>
        <v>0</v>
      </c>
      <c r="X1347" s="13">
        <f t="shared" si="1399"/>
        <v>0</v>
      </c>
      <c r="Y1347" s="13">
        <f t="shared" si="1399"/>
        <v>0</v>
      </c>
      <c r="Z1347" s="13">
        <f t="shared" si="529"/>
        <v>1</v>
      </c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</row>
    <row r="1348" ht="14.25" hidden="1" customHeight="1">
      <c r="A1348" s="26" t="s">
        <v>46</v>
      </c>
      <c r="B1348" s="31" t="s">
        <v>53</v>
      </c>
      <c r="C1348" s="26" t="s">
        <v>763</v>
      </c>
      <c r="D1348" s="26" t="s">
        <v>186</v>
      </c>
      <c r="E1348" s="13" t="str">
        <f t="shared" si="735"/>
        <v>PALM,218B,AM,1</v>
      </c>
      <c r="F1348" s="26"/>
      <c r="G1348" s="26" t="s">
        <v>74</v>
      </c>
      <c r="H1348" s="26" t="s">
        <v>75</v>
      </c>
      <c r="I1348" s="26"/>
      <c r="J1348" s="26"/>
      <c r="K1348" s="28">
        <v>1.0</v>
      </c>
      <c r="L1348" s="28">
        <v>1.0</v>
      </c>
      <c r="M1348" s="30"/>
      <c r="N1348" s="30"/>
      <c r="O1348" s="17"/>
      <c r="P1348" s="17"/>
      <c r="Q1348" s="13"/>
      <c r="R1348" s="13"/>
      <c r="S1348" s="13"/>
      <c r="T1348" s="13">
        <f t="shared" ref="T1348:Y1348" si="1400">IF(ISBLANK(K1348)=TRUE,0,1)</f>
        <v>1</v>
      </c>
      <c r="U1348" s="13">
        <f t="shared" si="1400"/>
        <v>1</v>
      </c>
      <c r="V1348" s="13">
        <f t="shared" si="1400"/>
        <v>0</v>
      </c>
      <c r="W1348" s="13">
        <f t="shared" si="1400"/>
        <v>0</v>
      </c>
      <c r="X1348" s="13">
        <f t="shared" si="1400"/>
        <v>0</v>
      </c>
      <c r="Y1348" s="13">
        <f t="shared" si="1400"/>
        <v>0</v>
      </c>
      <c r="Z1348" s="13">
        <f t="shared" si="529"/>
        <v>1</v>
      </c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</row>
    <row r="1349" ht="14.25" hidden="1" customHeight="1">
      <c r="A1349" s="26" t="s">
        <v>46</v>
      </c>
      <c r="B1349" s="31" t="s">
        <v>53</v>
      </c>
      <c r="C1349" s="26" t="s">
        <v>763</v>
      </c>
      <c r="D1349" s="26" t="s">
        <v>189</v>
      </c>
      <c r="E1349" s="13" t="str">
        <f t="shared" si="735"/>
        <v>PALM,218B,AP,1</v>
      </c>
      <c r="F1349" s="26"/>
      <c r="G1349" s="26" t="s">
        <v>74</v>
      </c>
      <c r="H1349" s="26" t="s">
        <v>75</v>
      </c>
      <c r="I1349" s="26"/>
      <c r="J1349" s="26"/>
      <c r="K1349" s="28">
        <v>1.0</v>
      </c>
      <c r="L1349" s="28">
        <v>1.0</v>
      </c>
      <c r="M1349" s="30"/>
      <c r="N1349" s="30"/>
      <c r="O1349" s="17"/>
      <c r="P1349" s="17"/>
      <c r="Q1349" s="13"/>
      <c r="R1349" s="13"/>
      <c r="S1349" s="13"/>
      <c r="T1349" s="13">
        <f t="shared" ref="T1349:Y1349" si="1401">IF(ISBLANK(K1349)=TRUE,0,1)</f>
        <v>1</v>
      </c>
      <c r="U1349" s="13">
        <f t="shared" si="1401"/>
        <v>1</v>
      </c>
      <c r="V1349" s="13">
        <f t="shared" si="1401"/>
        <v>0</v>
      </c>
      <c r="W1349" s="13">
        <f t="shared" si="1401"/>
        <v>0</v>
      </c>
      <c r="X1349" s="13">
        <f t="shared" si="1401"/>
        <v>0</v>
      </c>
      <c r="Y1349" s="13">
        <f t="shared" si="1401"/>
        <v>0</v>
      </c>
      <c r="Z1349" s="13">
        <f t="shared" si="529"/>
        <v>1</v>
      </c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</row>
    <row r="1350" ht="14.25" hidden="1" customHeight="1">
      <c r="A1350" s="26" t="s">
        <v>46</v>
      </c>
      <c r="B1350" s="31" t="s">
        <v>53</v>
      </c>
      <c r="C1350" s="26" t="s">
        <v>763</v>
      </c>
      <c r="D1350" s="26" t="s">
        <v>190</v>
      </c>
      <c r="E1350" s="13" t="str">
        <f t="shared" si="735"/>
        <v>PALM,218B,AQ,1</v>
      </c>
      <c r="F1350" s="26"/>
      <c r="G1350" s="26" t="s">
        <v>74</v>
      </c>
      <c r="H1350" s="26" t="s">
        <v>75</v>
      </c>
      <c r="I1350" s="26"/>
      <c r="J1350" s="26"/>
      <c r="K1350" s="28">
        <v>1.0</v>
      </c>
      <c r="L1350" s="28">
        <v>1.0</v>
      </c>
      <c r="M1350" s="30"/>
      <c r="N1350" s="30"/>
      <c r="O1350" s="17"/>
      <c r="P1350" s="17"/>
      <c r="Q1350" s="13"/>
      <c r="R1350" s="13"/>
      <c r="S1350" s="13"/>
      <c r="T1350" s="13">
        <f t="shared" ref="T1350:Y1350" si="1402">IF(ISBLANK(K1350)=TRUE,0,1)</f>
        <v>1</v>
      </c>
      <c r="U1350" s="13">
        <f t="shared" si="1402"/>
        <v>1</v>
      </c>
      <c r="V1350" s="13">
        <f t="shared" si="1402"/>
        <v>0</v>
      </c>
      <c r="W1350" s="13">
        <f t="shared" si="1402"/>
        <v>0</v>
      </c>
      <c r="X1350" s="13">
        <f t="shared" si="1402"/>
        <v>0</v>
      </c>
      <c r="Y1350" s="13">
        <f t="shared" si="1402"/>
        <v>0</v>
      </c>
      <c r="Z1350" s="13">
        <f t="shared" si="529"/>
        <v>1</v>
      </c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</row>
    <row r="1351" ht="14.25" hidden="1" customHeight="1">
      <c r="A1351" s="26" t="s">
        <v>46</v>
      </c>
      <c r="B1351" s="31" t="s">
        <v>53</v>
      </c>
      <c r="C1351" s="26" t="s">
        <v>763</v>
      </c>
      <c r="D1351" s="26" t="s">
        <v>194</v>
      </c>
      <c r="E1351" s="13" t="str">
        <f t="shared" si="735"/>
        <v>PALM,218B,AU,1</v>
      </c>
      <c r="F1351" s="26"/>
      <c r="G1351" s="26" t="s">
        <v>74</v>
      </c>
      <c r="H1351" s="26" t="s">
        <v>75</v>
      </c>
      <c r="I1351" s="26"/>
      <c r="J1351" s="26"/>
      <c r="K1351" s="28">
        <v>1.0</v>
      </c>
      <c r="L1351" s="28">
        <v>1.0</v>
      </c>
      <c r="M1351" s="30"/>
      <c r="N1351" s="30"/>
      <c r="O1351" s="17"/>
      <c r="P1351" s="17"/>
      <c r="Q1351" s="13"/>
      <c r="R1351" s="13"/>
      <c r="S1351" s="13"/>
      <c r="T1351" s="13">
        <f t="shared" ref="T1351:Y1351" si="1403">IF(ISBLANK(K1351)=TRUE,0,1)</f>
        <v>1</v>
      </c>
      <c r="U1351" s="13">
        <f t="shared" si="1403"/>
        <v>1</v>
      </c>
      <c r="V1351" s="13">
        <f t="shared" si="1403"/>
        <v>0</v>
      </c>
      <c r="W1351" s="13">
        <f t="shared" si="1403"/>
        <v>0</v>
      </c>
      <c r="X1351" s="13">
        <f t="shared" si="1403"/>
        <v>0</v>
      </c>
      <c r="Y1351" s="13">
        <f t="shared" si="1403"/>
        <v>0</v>
      </c>
      <c r="Z1351" s="13">
        <f t="shared" si="529"/>
        <v>1</v>
      </c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</row>
    <row r="1352" ht="14.25" hidden="1" customHeight="1">
      <c r="A1352" s="26" t="s">
        <v>46</v>
      </c>
      <c r="B1352" s="31" t="s">
        <v>53</v>
      </c>
      <c r="C1352" s="26" t="s">
        <v>763</v>
      </c>
      <c r="D1352" s="26" t="s">
        <v>195</v>
      </c>
      <c r="E1352" s="13" t="str">
        <f t="shared" si="735"/>
        <v>PALM,218B,AV,1</v>
      </c>
      <c r="F1352" s="26"/>
      <c r="G1352" s="26" t="s">
        <v>74</v>
      </c>
      <c r="H1352" s="26" t="s">
        <v>75</v>
      </c>
      <c r="I1352" s="26"/>
      <c r="J1352" s="26"/>
      <c r="K1352" s="28">
        <v>1.0</v>
      </c>
      <c r="L1352" s="28">
        <v>1.0</v>
      </c>
      <c r="M1352" s="30"/>
      <c r="N1352" s="30"/>
      <c r="O1352" s="17"/>
      <c r="P1352" s="17"/>
      <c r="Q1352" s="13"/>
      <c r="R1352" s="13"/>
      <c r="S1352" s="13"/>
      <c r="T1352" s="13">
        <f t="shared" ref="T1352:Y1352" si="1404">IF(ISBLANK(K1352)=TRUE,0,1)</f>
        <v>1</v>
      </c>
      <c r="U1352" s="13">
        <f t="shared" si="1404"/>
        <v>1</v>
      </c>
      <c r="V1352" s="13">
        <f t="shared" si="1404"/>
        <v>0</v>
      </c>
      <c r="W1352" s="13">
        <f t="shared" si="1404"/>
        <v>0</v>
      </c>
      <c r="X1352" s="13">
        <f t="shared" si="1404"/>
        <v>0</v>
      </c>
      <c r="Y1352" s="13">
        <f t="shared" si="1404"/>
        <v>0</v>
      </c>
      <c r="Z1352" s="13">
        <f t="shared" si="529"/>
        <v>1</v>
      </c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</row>
    <row r="1353" ht="14.25" hidden="1" customHeight="1">
      <c r="A1353" s="26" t="s">
        <v>46</v>
      </c>
      <c r="B1353" s="31" t="s">
        <v>53</v>
      </c>
      <c r="C1353" s="26" t="s">
        <v>763</v>
      </c>
      <c r="D1353" s="26" t="s">
        <v>196</v>
      </c>
      <c r="E1353" s="13" t="str">
        <f t="shared" si="735"/>
        <v>PALM,218B,AW,1</v>
      </c>
      <c r="F1353" s="26"/>
      <c r="G1353" s="26" t="s">
        <v>74</v>
      </c>
      <c r="H1353" s="26" t="s">
        <v>75</v>
      </c>
      <c r="I1353" s="26"/>
      <c r="J1353" s="26"/>
      <c r="K1353" s="28">
        <v>1.0</v>
      </c>
      <c r="L1353" s="28">
        <v>1.0</v>
      </c>
      <c r="M1353" s="30"/>
      <c r="N1353" s="30"/>
      <c r="O1353" s="17"/>
      <c r="P1353" s="17"/>
      <c r="Q1353" s="13"/>
      <c r="R1353" s="13"/>
      <c r="S1353" s="13"/>
      <c r="T1353" s="13">
        <f t="shared" ref="T1353:Y1353" si="1405">IF(ISBLANK(K1353)=TRUE,0,1)</f>
        <v>1</v>
      </c>
      <c r="U1353" s="13">
        <f t="shared" si="1405"/>
        <v>1</v>
      </c>
      <c r="V1353" s="13">
        <f t="shared" si="1405"/>
        <v>0</v>
      </c>
      <c r="W1353" s="13">
        <f t="shared" si="1405"/>
        <v>0</v>
      </c>
      <c r="X1353" s="13">
        <f t="shared" si="1405"/>
        <v>0</v>
      </c>
      <c r="Y1353" s="13">
        <f t="shared" si="1405"/>
        <v>0</v>
      </c>
      <c r="Z1353" s="13">
        <f t="shared" si="529"/>
        <v>1</v>
      </c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</row>
    <row r="1354" ht="14.25" hidden="1" customHeight="1">
      <c r="A1354" s="26" t="s">
        <v>46</v>
      </c>
      <c r="B1354" s="31" t="s">
        <v>53</v>
      </c>
      <c r="C1354" s="26" t="s">
        <v>763</v>
      </c>
      <c r="D1354" s="26" t="s">
        <v>197</v>
      </c>
      <c r="E1354" s="13" t="str">
        <f t="shared" si="735"/>
        <v>PALM,218B,AX,1</v>
      </c>
      <c r="F1354" s="26"/>
      <c r="G1354" s="26" t="s">
        <v>74</v>
      </c>
      <c r="H1354" s="26" t="s">
        <v>75</v>
      </c>
      <c r="I1354" s="26"/>
      <c r="J1354" s="26"/>
      <c r="K1354" s="28">
        <v>1.0</v>
      </c>
      <c r="L1354" s="28">
        <v>1.0</v>
      </c>
      <c r="M1354" s="30"/>
      <c r="N1354" s="30"/>
      <c r="O1354" s="17"/>
      <c r="P1354" s="17"/>
      <c r="Q1354" s="13"/>
      <c r="R1354" s="13"/>
      <c r="S1354" s="13"/>
      <c r="T1354" s="13">
        <f t="shared" ref="T1354:Y1354" si="1406">IF(ISBLANK(K1354)=TRUE,0,1)</f>
        <v>1</v>
      </c>
      <c r="U1354" s="13">
        <f t="shared" si="1406"/>
        <v>1</v>
      </c>
      <c r="V1354" s="13">
        <f t="shared" si="1406"/>
        <v>0</v>
      </c>
      <c r="W1354" s="13">
        <f t="shared" si="1406"/>
        <v>0</v>
      </c>
      <c r="X1354" s="13">
        <f t="shared" si="1406"/>
        <v>0</v>
      </c>
      <c r="Y1354" s="13">
        <f t="shared" si="1406"/>
        <v>0</v>
      </c>
      <c r="Z1354" s="13">
        <f t="shared" si="529"/>
        <v>1</v>
      </c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</row>
    <row r="1355" ht="14.25" hidden="1" customHeight="1">
      <c r="A1355" s="26" t="s">
        <v>46</v>
      </c>
      <c r="B1355" s="31" t="s">
        <v>53</v>
      </c>
      <c r="C1355" s="26" t="s">
        <v>763</v>
      </c>
      <c r="D1355" s="26" t="s">
        <v>433</v>
      </c>
      <c r="E1355" s="13" t="str">
        <f t="shared" si="735"/>
        <v>PALM,218B,AY,1</v>
      </c>
      <c r="F1355" s="26"/>
      <c r="G1355" s="26" t="s">
        <v>74</v>
      </c>
      <c r="H1355" s="26" t="s">
        <v>75</v>
      </c>
      <c r="I1355" s="26"/>
      <c r="J1355" s="26"/>
      <c r="K1355" s="28">
        <v>1.0</v>
      </c>
      <c r="L1355" s="28">
        <v>1.0</v>
      </c>
      <c r="M1355" s="30"/>
      <c r="N1355" s="30"/>
      <c r="O1355" s="17"/>
      <c r="P1355" s="17"/>
      <c r="Q1355" s="13"/>
      <c r="R1355" s="13"/>
      <c r="S1355" s="13"/>
      <c r="T1355" s="13">
        <f t="shared" ref="T1355:Y1355" si="1407">IF(ISBLANK(K1355)=TRUE,0,1)</f>
        <v>1</v>
      </c>
      <c r="U1355" s="13">
        <f t="shared" si="1407"/>
        <v>1</v>
      </c>
      <c r="V1355" s="13">
        <f t="shared" si="1407"/>
        <v>0</v>
      </c>
      <c r="W1355" s="13">
        <f t="shared" si="1407"/>
        <v>0</v>
      </c>
      <c r="X1355" s="13">
        <f t="shared" si="1407"/>
        <v>0</v>
      </c>
      <c r="Y1355" s="13">
        <f t="shared" si="1407"/>
        <v>0</v>
      </c>
      <c r="Z1355" s="13">
        <f t="shared" si="529"/>
        <v>1</v>
      </c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</row>
    <row r="1356" ht="14.25" hidden="1" customHeight="1">
      <c r="A1356" s="26" t="s">
        <v>46</v>
      </c>
      <c r="B1356" s="31" t="s">
        <v>53</v>
      </c>
      <c r="C1356" s="26" t="s">
        <v>763</v>
      </c>
      <c r="D1356" s="26" t="s">
        <v>434</v>
      </c>
      <c r="E1356" s="13" t="str">
        <f t="shared" si="735"/>
        <v>PALM,218B,AZ,1</v>
      </c>
      <c r="F1356" s="26"/>
      <c r="G1356" s="26" t="s">
        <v>74</v>
      </c>
      <c r="H1356" s="26" t="s">
        <v>75</v>
      </c>
      <c r="I1356" s="26"/>
      <c r="J1356" s="26"/>
      <c r="K1356" s="28">
        <v>1.0</v>
      </c>
      <c r="L1356" s="28">
        <v>1.0</v>
      </c>
      <c r="M1356" s="30"/>
      <c r="N1356" s="30"/>
      <c r="O1356" s="17"/>
      <c r="P1356" s="17"/>
      <c r="Q1356" s="13"/>
      <c r="R1356" s="13"/>
      <c r="S1356" s="13"/>
      <c r="T1356" s="13">
        <f t="shared" ref="T1356:Y1356" si="1408">IF(ISBLANK(K1356)=TRUE,0,1)</f>
        <v>1</v>
      </c>
      <c r="U1356" s="13">
        <f t="shared" si="1408"/>
        <v>1</v>
      </c>
      <c r="V1356" s="13">
        <f t="shared" si="1408"/>
        <v>0</v>
      </c>
      <c r="W1356" s="13">
        <f t="shared" si="1408"/>
        <v>0</v>
      </c>
      <c r="X1356" s="13">
        <f t="shared" si="1408"/>
        <v>0</v>
      </c>
      <c r="Y1356" s="13">
        <f t="shared" si="1408"/>
        <v>0</v>
      </c>
      <c r="Z1356" s="13">
        <f t="shared" si="529"/>
        <v>1</v>
      </c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</row>
    <row r="1357" ht="14.25" hidden="1" customHeight="1">
      <c r="A1357" s="26" t="s">
        <v>46</v>
      </c>
      <c r="B1357" s="31" t="s">
        <v>53</v>
      </c>
      <c r="C1357" s="26" t="s">
        <v>763</v>
      </c>
      <c r="D1357" s="26" t="s">
        <v>435</v>
      </c>
      <c r="E1357" s="13" t="str">
        <f t="shared" si="735"/>
        <v>PALM,218B,BA,1</v>
      </c>
      <c r="F1357" s="26"/>
      <c r="G1357" s="26" t="s">
        <v>74</v>
      </c>
      <c r="H1357" s="26" t="s">
        <v>75</v>
      </c>
      <c r="I1357" s="26"/>
      <c r="J1357" s="26"/>
      <c r="K1357" s="28">
        <v>1.0</v>
      </c>
      <c r="L1357" s="28">
        <v>1.0</v>
      </c>
      <c r="M1357" s="30"/>
      <c r="N1357" s="30"/>
      <c r="O1357" s="17"/>
      <c r="P1357" s="17"/>
      <c r="Q1357" s="13"/>
      <c r="R1357" s="13"/>
      <c r="S1357" s="13"/>
      <c r="T1357" s="13">
        <f t="shared" ref="T1357:Y1357" si="1409">IF(ISBLANK(K1357)=TRUE,0,1)</f>
        <v>1</v>
      </c>
      <c r="U1357" s="13">
        <f t="shared" si="1409"/>
        <v>1</v>
      </c>
      <c r="V1357" s="13">
        <f t="shared" si="1409"/>
        <v>0</v>
      </c>
      <c r="W1357" s="13">
        <f t="shared" si="1409"/>
        <v>0</v>
      </c>
      <c r="X1357" s="13">
        <f t="shared" si="1409"/>
        <v>0</v>
      </c>
      <c r="Y1357" s="13">
        <f t="shared" si="1409"/>
        <v>0</v>
      </c>
      <c r="Z1357" s="13">
        <f t="shared" si="529"/>
        <v>1</v>
      </c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</row>
    <row r="1358" ht="14.25" hidden="1" customHeight="1">
      <c r="A1358" s="26" t="s">
        <v>46</v>
      </c>
      <c r="B1358" s="31" t="s">
        <v>53</v>
      </c>
      <c r="C1358" s="26" t="s">
        <v>763</v>
      </c>
      <c r="D1358" s="26" t="s">
        <v>436</v>
      </c>
      <c r="E1358" s="13" t="str">
        <f t="shared" si="735"/>
        <v>PALM,218B,BB,1</v>
      </c>
      <c r="F1358" s="26"/>
      <c r="G1358" s="26" t="s">
        <v>74</v>
      </c>
      <c r="H1358" s="26" t="s">
        <v>75</v>
      </c>
      <c r="I1358" s="26"/>
      <c r="J1358" s="26"/>
      <c r="K1358" s="28">
        <v>1.0</v>
      </c>
      <c r="L1358" s="28">
        <v>1.0</v>
      </c>
      <c r="M1358" s="30"/>
      <c r="N1358" s="30"/>
      <c r="O1358" s="17"/>
      <c r="P1358" s="17"/>
      <c r="Q1358" s="13"/>
      <c r="R1358" s="13"/>
      <c r="S1358" s="13"/>
      <c r="T1358" s="13">
        <f t="shared" ref="T1358:Y1358" si="1410">IF(ISBLANK(K1358)=TRUE,0,1)</f>
        <v>1</v>
      </c>
      <c r="U1358" s="13">
        <f t="shared" si="1410"/>
        <v>1</v>
      </c>
      <c r="V1358" s="13">
        <f t="shared" si="1410"/>
        <v>0</v>
      </c>
      <c r="W1358" s="13">
        <f t="shared" si="1410"/>
        <v>0</v>
      </c>
      <c r="X1358" s="13">
        <f t="shared" si="1410"/>
        <v>0</v>
      </c>
      <c r="Y1358" s="13">
        <f t="shared" si="1410"/>
        <v>0</v>
      </c>
      <c r="Z1358" s="13">
        <f t="shared" si="529"/>
        <v>1</v>
      </c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</row>
    <row r="1359" ht="14.25" hidden="1" customHeight="1">
      <c r="A1359" s="26" t="s">
        <v>46</v>
      </c>
      <c r="B1359" s="31" t="s">
        <v>53</v>
      </c>
      <c r="C1359" s="26" t="s">
        <v>763</v>
      </c>
      <c r="D1359" s="26" t="s">
        <v>437</v>
      </c>
      <c r="E1359" s="13" t="str">
        <f t="shared" si="735"/>
        <v>PALM,218B,BC,1</v>
      </c>
      <c r="F1359" s="26"/>
      <c r="G1359" s="26" t="s">
        <v>74</v>
      </c>
      <c r="H1359" s="26" t="s">
        <v>75</v>
      </c>
      <c r="I1359" s="26"/>
      <c r="J1359" s="26"/>
      <c r="K1359" s="28">
        <v>1.0</v>
      </c>
      <c r="L1359" s="28">
        <v>1.0</v>
      </c>
      <c r="M1359" s="30"/>
      <c r="N1359" s="30"/>
      <c r="O1359" s="17"/>
      <c r="P1359" s="17"/>
      <c r="Q1359" s="13"/>
      <c r="R1359" s="13"/>
      <c r="S1359" s="13"/>
      <c r="T1359" s="13">
        <f t="shared" ref="T1359:Y1359" si="1411">IF(ISBLANK(K1359)=TRUE,0,1)</f>
        <v>1</v>
      </c>
      <c r="U1359" s="13">
        <f t="shared" si="1411"/>
        <v>1</v>
      </c>
      <c r="V1359" s="13">
        <f t="shared" si="1411"/>
        <v>0</v>
      </c>
      <c r="W1359" s="13">
        <f t="shared" si="1411"/>
        <v>0</v>
      </c>
      <c r="X1359" s="13">
        <f t="shared" si="1411"/>
        <v>0</v>
      </c>
      <c r="Y1359" s="13">
        <f t="shared" si="1411"/>
        <v>0</v>
      </c>
      <c r="Z1359" s="13">
        <f t="shared" si="529"/>
        <v>1</v>
      </c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</row>
    <row r="1360" ht="14.25" hidden="1" customHeight="1">
      <c r="A1360" s="26" t="s">
        <v>46</v>
      </c>
      <c r="B1360" s="31" t="s">
        <v>53</v>
      </c>
      <c r="C1360" s="26" t="s">
        <v>763</v>
      </c>
      <c r="D1360" s="26" t="s">
        <v>440</v>
      </c>
      <c r="E1360" s="13" t="str">
        <f t="shared" si="735"/>
        <v>PALM,218B,BD,1</v>
      </c>
      <c r="F1360" s="26"/>
      <c r="G1360" s="26" t="s">
        <v>74</v>
      </c>
      <c r="H1360" s="26" t="s">
        <v>75</v>
      </c>
      <c r="I1360" s="26"/>
      <c r="J1360" s="26"/>
      <c r="K1360" s="28">
        <v>1.0</v>
      </c>
      <c r="L1360" s="28">
        <v>1.0</v>
      </c>
      <c r="M1360" s="30"/>
      <c r="N1360" s="30"/>
      <c r="O1360" s="17"/>
      <c r="P1360" s="17"/>
      <c r="Q1360" s="13"/>
      <c r="R1360" s="13"/>
      <c r="S1360" s="13"/>
      <c r="T1360" s="13">
        <f t="shared" ref="T1360:Y1360" si="1412">IF(ISBLANK(K1360)=TRUE,0,1)</f>
        <v>1</v>
      </c>
      <c r="U1360" s="13">
        <f t="shared" si="1412"/>
        <v>1</v>
      </c>
      <c r="V1360" s="13">
        <f t="shared" si="1412"/>
        <v>0</v>
      </c>
      <c r="W1360" s="13">
        <f t="shared" si="1412"/>
        <v>0</v>
      </c>
      <c r="X1360" s="13">
        <f t="shared" si="1412"/>
        <v>0</v>
      </c>
      <c r="Y1360" s="13">
        <f t="shared" si="1412"/>
        <v>0</v>
      </c>
      <c r="Z1360" s="13">
        <f t="shared" si="529"/>
        <v>1</v>
      </c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</row>
    <row r="1361" ht="14.25" hidden="1" customHeight="1">
      <c r="A1361" s="26" t="s">
        <v>46</v>
      </c>
      <c r="B1361" s="31" t="s">
        <v>53</v>
      </c>
      <c r="C1361" s="26" t="s">
        <v>763</v>
      </c>
      <c r="D1361" s="26" t="s">
        <v>441</v>
      </c>
      <c r="E1361" s="13" t="str">
        <f t="shared" si="735"/>
        <v>PALM,218B,BE,1</v>
      </c>
      <c r="F1361" s="26"/>
      <c r="G1361" s="26" t="s">
        <v>74</v>
      </c>
      <c r="H1361" s="26" t="s">
        <v>75</v>
      </c>
      <c r="I1361" s="26"/>
      <c r="J1361" s="26"/>
      <c r="K1361" s="28">
        <v>1.0</v>
      </c>
      <c r="L1361" s="28">
        <v>1.0</v>
      </c>
      <c r="M1361" s="30"/>
      <c r="N1361" s="30"/>
      <c r="O1361" s="17"/>
      <c r="P1361" s="17"/>
      <c r="Q1361" s="13"/>
      <c r="R1361" s="13"/>
      <c r="S1361" s="13"/>
      <c r="T1361" s="13">
        <f t="shared" ref="T1361:Y1361" si="1413">IF(ISBLANK(K1361)=TRUE,0,1)</f>
        <v>1</v>
      </c>
      <c r="U1361" s="13">
        <f t="shared" si="1413"/>
        <v>1</v>
      </c>
      <c r="V1361" s="13">
        <f t="shared" si="1413"/>
        <v>0</v>
      </c>
      <c r="W1361" s="13">
        <f t="shared" si="1413"/>
        <v>0</v>
      </c>
      <c r="X1361" s="13">
        <f t="shared" si="1413"/>
        <v>0</v>
      </c>
      <c r="Y1361" s="13">
        <f t="shared" si="1413"/>
        <v>0</v>
      </c>
      <c r="Z1361" s="13">
        <f t="shared" si="529"/>
        <v>1</v>
      </c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</row>
    <row r="1362" ht="14.25" hidden="1" customHeight="1">
      <c r="A1362" s="26" t="s">
        <v>46</v>
      </c>
      <c r="B1362" s="31" t="s">
        <v>53</v>
      </c>
      <c r="C1362" s="26" t="s">
        <v>763</v>
      </c>
      <c r="D1362" s="26" t="s">
        <v>551</v>
      </c>
      <c r="E1362" s="13" t="str">
        <f t="shared" si="735"/>
        <v>PALM,218B,BF,1</v>
      </c>
      <c r="F1362" s="26"/>
      <c r="G1362" s="26" t="s">
        <v>74</v>
      </c>
      <c r="H1362" s="26" t="s">
        <v>75</v>
      </c>
      <c r="I1362" s="26"/>
      <c r="J1362" s="26"/>
      <c r="K1362" s="28">
        <v>1.0</v>
      </c>
      <c r="L1362" s="28">
        <v>1.0</v>
      </c>
      <c r="M1362" s="30"/>
      <c r="N1362" s="30"/>
      <c r="O1362" s="17"/>
      <c r="P1362" s="17"/>
      <c r="Q1362" s="13"/>
      <c r="R1362" s="13"/>
      <c r="S1362" s="13"/>
      <c r="T1362" s="13">
        <f t="shared" ref="T1362:Y1362" si="1414">IF(ISBLANK(K1362)=TRUE,0,1)</f>
        <v>1</v>
      </c>
      <c r="U1362" s="13">
        <f t="shared" si="1414"/>
        <v>1</v>
      </c>
      <c r="V1362" s="13">
        <f t="shared" si="1414"/>
        <v>0</v>
      </c>
      <c r="W1362" s="13">
        <f t="shared" si="1414"/>
        <v>0</v>
      </c>
      <c r="X1362" s="13">
        <f t="shared" si="1414"/>
        <v>0</v>
      </c>
      <c r="Y1362" s="13">
        <f t="shared" si="1414"/>
        <v>0</v>
      </c>
      <c r="Z1362" s="13">
        <f t="shared" si="529"/>
        <v>1</v>
      </c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</row>
    <row r="1363" ht="14.25" hidden="1" customHeight="1">
      <c r="A1363" s="26" t="s">
        <v>46</v>
      </c>
      <c r="B1363" s="31" t="s">
        <v>53</v>
      </c>
      <c r="C1363" s="26" t="s">
        <v>763</v>
      </c>
      <c r="D1363" s="26" t="s">
        <v>553</v>
      </c>
      <c r="E1363" s="13" t="str">
        <f t="shared" si="735"/>
        <v>PALM,218B,BG,1</v>
      </c>
      <c r="F1363" s="26"/>
      <c r="G1363" s="26" t="s">
        <v>74</v>
      </c>
      <c r="H1363" s="26" t="s">
        <v>75</v>
      </c>
      <c r="I1363" s="26"/>
      <c r="J1363" s="26"/>
      <c r="K1363" s="28">
        <v>1.0</v>
      </c>
      <c r="L1363" s="28">
        <v>1.0</v>
      </c>
      <c r="M1363" s="30"/>
      <c r="N1363" s="30"/>
      <c r="O1363" s="17"/>
      <c r="P1363" s="17"/>
      <c r="Q1363" s="13"/>
      <c r="R1363" s="13"/>
      <c r="S1363" s="13"/>
      <c r="T1363" s="13">
        <f t="shared" ref="T1363:Y1363" si="1415">IF(ISBLANK(K1363)=TRUE,0,1)</f>
        <v>1</v>
      </c>
      <c r="U1363" s="13">
        <f t="shared" si="1415"/>
        <v>1</v>
      </c>
      <c r="V1363" s="13">
        <f t="shared" si="1415"/>
        <v>0</v>
      </c>
      <c r="W1363" s="13">
        <f t="shared" si="1415"/>
        <v>0</v>
      </c>
      <c r="X1363" s="13">
        <f t="shared" si="1415"/>
        <v>0</v>
      </c>
      <c r="Y1363" s="13">
        <f t="shared" si="1415"/>
        <v>0</v>
      </c>
      <c r="Z1363" s="13">
        <f t="shared" si="529"/>
        <v>1</v>
      </c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</row>
    <row r="1364" ht="14.25" hidden="1" customHeight="1">
      <c r="A1364" s="26" t="s">
        <v>46</v>
      </c>
      <c r="B1364" s="31" t="s">
        <v>53</v>
      </c>
      <c r="C1364" s="26" t="s">
        <v>763</v>
      </c>
      <c r="D1364" s="26" t="s">
        <v>554</v>
      </c>
      <c r="E1364" s="13" t="str">
        <f t="shared" si="735"/>
        <v>PALM,218B,BH,1</v>
      </c>
      <c r="F1364" s="26"/>
      <c r="G1364" s="26" t="s">
        <v>74</v>
      </c>
      <c r="H1364" s="26" t="s">
        <v>75</v>
      </c>
      <c r="I1364" s="26"/>
      <c r="J1364" s="26"/>
      <c r="K1364" s="28">
        <v>1.0</v>
      </c>
      <c r="L1364" s="28">
        <v>1.0</v>
      </c>
      <c r="M1364" s="30"/>
      <c r="N1364" s="30"/>
      <c r="O1364" s="17"/>
      <c r="P1364" s="17"/>
      <c r="Q1364" s="13"/>
      <c r="R1364" s="13"/>
      <c r="S1364" s="13"/>
      <c r="T1364" s="13">
        <f t="shared" ref="T1364:Y1364" si="1416">IF(ISBLANK(K1364)=TRUE,0,1)</f>
        <v>1</v>
      </c>
      <c r="U1364" s="13">
        <f t="shared" si="1416"/>
        <v>1</v>
      </c>
      <c r="V1364" s="13">
        <f t="shared" si="1416"/>
        <v>0</v>
      </c>
      <c r="W1364" s="13">
        <f t="shared" si="1416"/>
        <v>0</v>
      </c>
      <c r="X1364" s="13">
        <f t="shared" si="1416"/>
        <v>0</v>
      </c>
      <c r="Y1364" s="13">
        <f t="shared" si="1416"/>
        <v>0</v>
      </c>
      <c r="Z1364" s="13">
        <f t="shared" si="529"/>
        <v>1</v>
      </c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</row>
    <row r="1365" ht="14.25" hidden="1" customHeight="1">
      <c r="A1365" s="26" t="s">
        <v>46</v>
      </c>
      <c r="B1365" s="31" t="s">
        <v>53</v>
      </c>
      <c r="C1365" s="26" t="s">
        <v>763</v>
      </c>
      <c r="D1365" s="26" t="s">
        <v>555</v>
      </c>
      <c r="E1365" s="13" t="str">
        <f t="shared" si="735"/>
        <v>PALM,218B,BI,1</v>
      </c>
      <c r="F1365" s="26"/>
      <c r="G1365" s="26" t="s">
        <v>74</v>
      </c>
      <c r="H1365" s="26" t="s">
        <v>75</v>
      </c>
      <c r="I1365" s="26"/>
      <c r="J1365" s="26"/>
      <c r="K1365" s="28">
        <v>1.0</v>
      </c>
      <c r="L1365" s="28">
        <v>1.0</v>
      </c>
      <c r="M1365" s="30"/>
      <c r="N1365" s="30"/>
      <c r="O1365" s="17"/>
      <c r="P1365" s="17"/>
      <c r="Q1365" s="13"/>
      <c r="R1365" s="13"/>
      <c r="S1365" s="13"/>
      <c r="T1365" s="13">
        <f t="shared" ref="T1365:Y1365" si="1417">IF(ISBLANK(K1365)=TRUE,0,1)</f>
        <v>1</v>
      </c>
      <c r="U1365" s="13">
        <f t="shared" si="1417"/>
        <v>1</v>
      </c>
      <c r="V1365" s="13">
        <f t="shared" si="1417"/>
        <v>0</v>
      </c>
      <c r="W1365" s="13">
        <f t="shared" si="1417"/>
        <v>0</v>
      </c>
      <c r="X1365" s="13">
        <f t="shared" si="1417"/>
        <v>0</v>
      </c>
      <c r="Y1365" s="13">
        <f t="shared" si="1417"/>
        <v>0</v>
      </c>
      <c r="Z1365" s="13">
        <f t="shared" si="529"/>
        <v>1</v>
      </c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</row>
    <row r="1366" ht="14.25" hidden="1" customHeight="1">
      <c r="A1366" s="26" t="s">
        <v>46</v>
      </c>
      <c r="B1366" s="31" t="s">
        <v>53</v>
      </c>
      <c r="C1366" s="26" t="s">
        <v>763</v>
      </c>
      <c r="D1366" s="26" t="s">
        <v>168</v>
      </c>
      <c r="E1366" s="13" t="str">
        <f t="shared" si="735"/>
        <v>PALM,218B,BJ,1</v>
      </c>
      <c r="F1366" s="26"/>
      <c r="G1366" s="26" t="s">
        <v>74</v>
      </c>
      <c r="H1366" s="26" t="s">
        <v>75</v>
      </c>
      <c r="I1366" s="26"/>
      <c r="J1366" s="26"/>
      <c r="K1366" s="28">
        <v>1.0</v>
      </c>
      <c r="L1366" s="28">
        <v>1.0</v>
      </c>
      <c r="M1366" s="30"/>
      <c r="N1366" s="30"/>
      <c r="O1366" s="17"/>
      <c r="P1366" s="17"/>
      <c r="Q1366" s="13"/>
      <c r="R1366" s="13"/>
      <c r="S1366" s="13"/>
      <c r="T1366" s="13">
        <f t="shared" ref="T1366:Y1366" si="1418">IF(ISBLANK(K1366)=TRUE,0,1)</f>
        <v>1</v>
      </c>
      <c r="U1366" s="13">
        <f t="shared" si="1418"/>
        <v>1</v>
      </c>
      <c r="V1366" s="13">
        <f t="shared" si="1418"/>
        <v>0</v>
      </c>
      <c r="W1366" s="13">
        <f t="shared" si="1418"/>
        <v>0</v>
      </c>
      <c r="X1366" s="13">
        <f t="shared" si="1418"/>
        <v>0</v>
      </c>
      <c r="Y1366" s="13">
        <f t="shared" si="1418"/>
        <v>0</v>
      </c>
      <c r="Z1366" s="13">
        <f t="shared" si="529"/>
        <v>1</v>
      </c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</row>
    <row r="1367" ht="14.25" hidden="1" customHeight="1">
      <c r="A1367" s="26" t="s">
        <v>46</v>
      </c>
      <c r="B1367" s="31" t="s">
        <v>53</v>
      </c>
      <c r="C1367" s="26" t="s">
        <v>763</v>
      </c>
      <c r="D1367" s="26" t="s">
        <v>169</v>
      </c>
      <c r="E1367" s="13" t="str">
        <f t="shared" si="735"/>
        <v>PALM,218B,BK,1</v>
      </c>
      <c r="F1367" s="26"/>
      <c r="G1367" s="26" t="s">
        <v>74</v>
      </c>
      <c r="H1367" s="26" t="s">
        <v>75</v>
      </c>
      <c r="I1367" s="26"/>
      <c r="J1367" s="26"/>
      <c r="K1367" s="28">
        <v>1.0</v>
      </c>
      <c r="L1367" s="28">
        <v>1.0</v>
      </c>
      <c r="M1367" s="30"/>
      <c r="N1367" s="30"/>
      <c r="O1367" s="17"/>
      <c r="P1367" s="17"/>
      <c r="Q1367" s="13"/>
      <c r="R1367" s="13"/>
      <c r="S1367" s="13"/>
      <c r="T1367" s="13">
        <f t="shared" ref="T1367:Y1367" si="1419">IF(ISBLANK(K1367)=TRUE,0,1)</f>
        <v>1</v>
      </c>
      <c r="U1367" s="13">
        <f t="shared" si="1419"/>
        <v>1</v>
      </c>
      <c r="V1367" s="13">
        <f t="shared" si="1419"/>
        <v>0</v>
      </c>
      <c r="W1367" s="13">
        <f t="shared" si="1419"/>
        <v>0</v>
      </c>
      <c r="X1367" s="13">
        <f t="shared" si="1419"/>
        <v>0</v>
      </c>
      <c r="Y1367" s="13">
        <f t="shared" si="1419"/>
        <v>0</v>
      </c>
      <c r="Z1367" s="13">
        <f t="shared" si="529"/>
        <v>1</v>
      </c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</row>
    <row r="1368" ht="14.25" hidden="1" customHeight="1">
      <c r="A1368" s="26" t="s">
        <v>46</v>
      </c>
      <c r="B1368" s="31" t="s">
        <v>53</v>
      </c>
      <c r="C1368" s="26" t="s">
        <v>763</v>
      </c>
      <c r="D1368" s="26" t="s">
        <v>170</v>
      </c>
      <c r="E1368" s="13" t="str">
        <f t="shared" si="735"/>
        <v>PALM,218B,BL,1</v>
      </c>
      <c r="F1368" s="26"/>
      <c r="G1368" s="26" t="s">
        <v>74</v>
      </c>
      <c r="H1368" s="26" t="s">
        <v>75</v>
      </c>
      <c r="I1368" s="26"/>
      <c r="J1368" s="26"/>
      <c r="K1368" s="28">
        <v>1.0</v>
      </c>
      <c r="L1368" s="28">
        <v>1.0</v>
      </c>
      <c r="M1368" s="30"/>
      <c r="N1368" s="30"/>
      <c r="O1368" s="17"/>
      <c r="P1368" s="17"/>
      <c r="Q1368" s="13"/>
      <c r="R1368" s="13"/>
      <c r="S1368" s="13"/>
      <c r="T1368" s="13">
        <f t="shared" ref="T1368:Y1368" si="1420">IF(ISBLANK(K1368)=TRUE,0,1)</f>
        <v>1</v>
      </c>
      <c r="U1368" s="13">
        <f t="shared" si="1420"/>
        <v>1</v>
      </c>
      <c r="V1368" s="13">
        <f t="shared" si="1420"/>
        <v>0</v>
      </c>
      <c r="W1368" s="13">
        <f t="shared" si="1420"/>
        <v>0</v>
      </c>
      <c r="X1368" s="13">
        <f t="shared" si="1420"/>
        <v>0</v>
      </c>
      <c r="Y1368" s="13">
        <f t="shared" si="1420"/>
        <v>0</v>
      </c>
      <c r="Z1368" s="13">
        <f t="shared" si="529"/>
        <v>1</v>
      </c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</row>
    <row r="1369" ht="14.25" hidden="1" customHeight="1">
      <c r="A1369" s="26" t="s">
        <v>46</v>
      </c>
      <c r="B1369" s="31" t="s">
        <v>53</v>
      </c>
      <c r="C1369" s="26" t="s">
        <v>763</v>
      </c>
      <c r="D1369" s="26" t="s">
        <v>171</v>
      </c>
      <c r="E1369" s="13" t="str">
        <f t="shared" si="735"/>
        <v>PALM,218B,BM,1</v>
      </c>
      <c r="F1369" s="26"/>
      <c r="G1369" s="26" t="s">
        <v>74</v>
      </c>
      <c r="H1369" s="26" t="s">
        <v>75</v>
      </c>
      <c r="I1369" s="26"/>
      <c r="J1369" s="26"/>
      <c r="K1369" s="28">
        <v>1.0</v>
      </c>
      <c r="L1369" s="28">
        <v>1.0</v>
      </c>
      <c r="M1369" s="30"/>
      <c r="N1369" s="30"/>
      <c r="O1369" s="17"/>
      <c r="P1369" s="17"/>
      <c r="Q1369" s="13"/>
      <c r="R1369" s="13"/>
      <c r="S1369" s="13"/>
      <c r="T1369" s="13">
        <f t="shared" ref="T1369:Y1369" si="1421">IF(ISBLANK(K1369)=TRUE,0,1)</f>
        <v>1</v>
      </c>
      <c r="U1369" s="13">
        <f t="shared" si="1421"/>
        <v>1</v>
      </c>
      <c r="V1369" s="13">
        <f t="shared" si="1421"/>
        <v>0</v>
      </c>
      <c r="W1369" s="13">
        <f t="shared" si="1421"/>
        <v>0</v>
      </c>
      <c r="X1369" s="13">
        <f t="shared" si="1421"/>
        <v>0</v>
      </c>
      <c r="Y1369" s="13">
        <f t="shared" si="1421"/>
        <v>0</v>
      </c>
      <c r="Z1369" s="13">
        <f t="shared" si="529"/>
        <v>1</v>
      </c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</row>
    <row r="1370" ht="14.25" hidden="1" customHeight="1">
      <c r="A1370" s="26" t="s">
        <v>46</v>
      </c>
      <c r="B1370" s="31" t="s">
        <v>53</v>
      </c>
      <c r="C1370" s="26" t="s">
        <v>763</v>
      </c>
      <c r="D1370" s="26" t="s">
        <v>172</v>
      </c>
      <c r="E1370" s="13" t="str">
        <f t="shared" si="735"/>
        <v>PALM,218B,BN,1</v>
      </c>
      <c r="F1370" s="26"/>
      <c r="G1370" s="26" t="s">
        <v>74</v>
      </c>
      <c r="H1370" s="26" t="s">
        <v>75</v>
      </c>
      <c r="I1370" s="26"/>
      <c r="J1370" s="26"/>
      <c r="K1370" s="28">
        <v>1.0</v>
      </c>
      <c r="L1370" s="28">
        <v>1.0</v>
      </c>
      <c r="M1370" s="30"/>
      <c r="N1370" s="30"/>
      <c r="O1370" s="17"/>
      <c r="P1370" s="17"/>
      <c r="Q1370" s="13"/>
      <c r="R1370" s="13"/>
      <c r="S1370" s="13"/>
      <c r="T1370" s="13">
        <f t="shared" ref="T1370:Y1370" si="1422">IF(ISBLANK(K1370)=TRUE,0,1)</f>
        <v>1</v>
      </c>
      <c r="U1370" s="13">
        <f t="shared" si="1422"/>
        <v>1</v>
      </c>
      <c r="V1370" s="13">
        <f t="shared" si="1422"/>
        <v>0</v>
      </c>
      <c r="W1370" s="13">
        <f t="shared" si="1422"/>
        <v>0</v>
      </c>
      <c r="X1370" s="13">
        <f t="shared" si="1422"/>
        <v>0</v>
      </c>
      <c r="Y1370" s="13">
        <f t="shared" si="1422"/>
        <v>0</v>
      </c>
      <c r="Z1370" s="13">
        <f t="shared" si="529"/>
        <v>1</v>
      </c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</row>
    <row r="1371" ht="14.25" hidden="1" customHeight="1">
      <c r="A1371" s="26" t="s">
        <v>46</v>
      </c>
      <c r="B1371" s="31" t="s">
        <v>53</v>
      </c>
      <c r="C1371" s="26" t="s">
        <v>763</v>
      </c>
      <c r="D1371" s="26" t="s">
        <v>556</v>
      </c>
      <c r="E1371" s="13" t="str">
        <f t="shared" si="735"/>
        <v>PALM,218B,BO,1</v>
      </c>
      <c r="F1371" s="26"/>
      <c r="G1371" s="26" t="s">
        <v>74</v>
      </c>
      <c r="H1371" s="26" t="s">
        <v>75</v>
      </c>
      <c r="I1371" s="26"/>
      <c r="J1371" s="26"/>
      <c r="K1371" s="28">
        <v>1.0</v>
      </c>
      <c r="L1371" s="28">
        <v>1.0</v>
      </c>
      <c r="M1371" s="30"/>
      <c r="N1371" s="30"/>
      <c r="O1371" s="17"/>
      <c r="P1371" s="17"/>
      <c r="Q1371" s="13"/>
      <c r="R1371" s="13"/>
      <c r="S1371" s="13"/>
      <c r="T1371" s="13">
        <f t="shared" ref="T1371:Y1371" si="1423">IF(ISBLANK(K1371)=TRUE,0,1)</f>
        <v>1</v>
      </c>
      <c r="U1371" s="13">
        <f t="shared" si="1423"/>
        <v>1</v>
      </c>
      <c r="V1371" s="13">
        <f t="shared" si="1423"/>
        <v>0</v>
      </c>
      <c r="W1371" s="13">
        <f t="shared" si="1423"/>
        <v>0</v>
      </c>
      <c r="X1371" s="13">
        <f t="shared" si="1423"/>
        <v>0</v>
      </c>
      <c r="Y1371" s="13">
        <f t="shared" si="1423"/>
        <v>0</v>
      </c>
      <c r="Z1371" s="13">
        <f t="shared" si="529"/>
        <v>1</v>
      </c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</row>
    <row r="1372" ht="14.25" hidden="1" customHeight="1">
      <c r="A1372" s="26" t="s">
        <v>46</v>
      </c>
      <c r="B1372" s="31" t="s">
        <v>53</v>
      </c>
      <c r="C1372" s="13" t="s">
        <v>764</v>
      </c>
      <c r="D1372" s="26" t="s">
        <v>178</v>
      </c>
      <c r="E1372" s="13" t="str">
        <f t="shared" si="735"/>
        <v>PALM,218D,AE,1</v>
      </c>
      <c r="F1372" s="13"/>
      <c r="G1372" s="26" t="s">
        <v>111</v>
      </c>
      <c r="H1372" s="26" t="s">
        <v>107</v>
      </c>
      <c r="I1372" s="13"/>
      <c r="J1372" s="13"/>
      <c r="K1372" s="15">
        <v>1.0</v>
      </c>
      <c r="L1372" s="15">
        <v>1.0</v>
      </c>
      <c r="M1372" s="16"/>
      <c r="N1372" s="16"/>
      <c r="O1372" s="17"/>
      <c r="P1372" s="17"/>
      <c r="Q1372" s="13"/>
      <c r="R1372" s="13"/>
      <c r="S1372" s="13"/>
      <c r="T1372" s="13">
        <f t="shared" ref="T1372:Y1372" si="1424">IF(ISBLANK(K1372)=TRUE,0,1)</f>
        <v>1</v>
      </c>
      <c r="U1372" s="13">
        <f t="shared" si="1424"/>
        <v>1</v>
      </c>
      <c r="V1372" s="13">
        <f t="shared" si="1424"/>
        <v>0</v>
      </c>
      <c r="W1372" s="13">
        <f t="shared" si="1424"/>
        <v>0</v>
      </c>
      <c r="X1372" s="13">
        <f t="shared" si="1424"/>
        <v>0</v>
      </c>
      <c r="Y1372" s="13">
        <f t="shared" si="1424"/>
        <v>0</v>
      </c>
      <c r="Z1372" s="13">
        <f t="shared" si="529"/>
        <v>1</v>
      </c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</row>
    <row r="1373" ht="14.25" hidden="1" customHeight="1">
      <c r="A1373" s="26" t="s">
        <v>46</v>
      </c>
      <c r="B1373" s="31" t="s">
        <v>53</v>
      </c>
      <c r="C1373" s="13" t="s">
        <v>764</v>
      </c>
      <c r="D1373" s="26" t="s">
        <v>180</v>
      </c>
      <c r="E1373" s="13" t="str">
        <f t="shared" si="735"/>
        <v>PALM,218D,AG,1</v>
      </c>
      <c r="F1373" s="13"/>
      <c r="G1373" s="26" t="s">
        <v>111</v>
      </c>
      <c r="H1373" s="26" t="s">
        <v>75</v>
      </c>
      <c r="I1373" s="13"/>
      <c r="J1373" s="13"/>
      <c r="K1373" s="15">
        <v>1.0</v>
      </c>
      <c r="L1373" s="15">
        <v>1.0</v>
      </c>
      <c r="M1373" s="16"/>
      <c r="N1373" s="16"/>
      <c r="O1373" s="17"/>
      <c r="P1373" s="17"/>
      <c r="Q1373" s="13"/>
      <c r="R1373" s="13"/>
      <c r="S1373" s="13"/>
      <c r="T1373" s="13">
        <f t="shared" ref="T1373:Y1373" si="1425">IF(ISBLANK(K1373)=TRUE,0,1)</f>
        <v>1</v>
      </c>
      <c r="U1373" s="13">
        <f t="shared" si="1425"/>
        <v>1</v>
      </c>
      <c r="V1373" s="13">
        <f t="shared" si="1425"/>
        <v>0</v>
      </c>
      <c r="W1373" s="13">
        <f t="shared" si="1425"/>
        <v>0</v>
      </c>
      <c r="X1373" s="13">
        <f t="shared" si="1425"/>
        <v>0</v>
      </c>
      <c r="Y1373" s="13">
        <f t="shared" si="1425"/>
        <v>0</v>
      </c>
      <c r="Z1373" s="13">
        <f t="shared" si="529"/>
        <v>1</v>
      </c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</row>
    <row r="1374" ht="14.25" hidden="1" customHeight="1">
      <c r="A1374" s="26" t="s">
        <v>46</v>
      </c>
      <c r="B1374" s="31" t="s">
        <v>53</v>
      </c>
      <c r="C1374" s="13" t="s">
        <v>764</v>
      </c>
      <c r="D1374" s="26" t="s">
        <v>181</v>
      </c>
      <c r="E1374" s="13" t="str">
        <f t="shared" si="735"/>
        <v>PALM,218D,AH,1</v>
      </c>
      <c r="F1374" s="13"/>
      <c r="G1374" s="26" t="s">
        <v>111</v>
      </c>
      <c r="H1374" s="26" t="s">
        <v>75</v>
      </c>
      <c r="I1374" s="13"/>
      <c r="J1374" s="13"/>
      <c r="K1374" s="15">
        <v>1.0</v>
      </c>
      <c r="L1374" s="15">
        <v>1.0</v>
      </c>
      <c r="M1374" s="16"/>
      <c r="N1374" s="16"/>
      <c r="O1374" s="17"/>
      <c r="P1374" s="17"/>
      <c r="Q1374" s="13"/>
      <c r="R1374" s="13"/>
      <c r="S1374" s="13"/>
      <c r="T1374" s="13">
        <f t="shared" ref="T1374:Y1374" si="1426">IF(ISBLANK(K1374)=TRUE,0,1)</f>
        <v>1</v>
      </c>
      <c r="U1374" s="13">
        <f t="shared" si="1426"/>
        <v>1</v>
      </c>
      <c r="V1374" s="13">
        <f t="shared" si="1426"/>
        <v>0</v>
      </c>
      <c r="W1374" s="13">
        <f t="shared" si="1426"/>
        <v>0</v>
      </c>
      <c r="X1374" s="13">
        <f t="shared" si="1426"/>
        <v>0</v>
      </c>
      <c r="Y1374" s="13">
        <f t="shared" si="1426"/>
        <v>0</v>
      </c>
      <c r="Z1374" s="13">
        <f t="shared" si="529"/>
        <v>1</v>
      </c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</row>
    <row r="1375" ht="14.25" hidden="1" customHeight="1">
      <c r="A1375" s="26" t="s">
        <v>46</v>
      </c>
      <c r="B1375" s="31" t="s">
        <v>53</v>
      </c>
      <c r="C1375" s="13" t="s">
        <v>764</v>
      </c>
      <c r="D1375" s="26" t="s">
        <v>182</v>
      </c>
      <c r="E1375" s="13" t="str">
        <f t="shared" si="735"/>
        <v>PALM,218D,AI,1</v>
      </c>
      <c r="F1375" s="13"/>
      <c r="G1375" s="26" t="s">
        <v>111</v>
      </c>
      <c r="H1375" s="26" t="s">
        <v>75</v>
      </c>
      <c r="I1375" s="13"/>
      <c r="J1375" s="13"/>
      <c r="K1375" s="15">
        <v>1.0</v>
      </c>
      <c r="L1375" s="15">
        <v>1.0</v>
      </c>
      <c r="M1375" s="16"/>
      <c r="N1375" s="16"/>
      <c r="O1375" s="17"/>
      <c r="P1375" s="17"/>
      <c r="Q1375" s="13"/>
      <c r="R1375" s="13"/>
      <c r="S1375" s="13"/>
      <c r="T1375" s="13">
        <f t="shared" ref="T1375:Y1375" si="1427">IF(ISBLANK(K1375)=TRUE,0,1)</f>
        <v>1</v>
      </c>
      <c r="U1375" s="13">
        <f t="shared" si="1427"/>
        <v>1</v>
      </c>
      <c r="V1375" s="13">
        <f t="shared" si="1427"/>
        <v>0</v>
      </c>
      <c r="W1375" s="13">
        <f t="shared" si="1427"/>
        <v>0</v>
      </c>
      <c r="X1375" s="13">
        <f t="shared" si="1427"/>
        <v>0</v>
      </c>
      <c r="Y1375" s="13">
        <f t="shared" si="1427"/>
        <v>0</v>
      </c>
      <c r="Z1375" s="13">
        <f t="shared" si="529"/>
        <v>1</v>
      </c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</row>
    <row r="1376" ht="14.25" hidden="1" customHeight="1">
      <c r="A1376" s="26" t="s">
        <v>46</v>
      </c>
      <c r="B1376" s="31" t="s">
        <v>53</v>
      </c>
      <c r="C1376" s="13" t="s">
        <v>764</v>
      </c>
      <c r="D1376" s="26" t="s">
        <v>183</v>
      </c>
      <c r="E1376" s="13" t="str">
        <f t="shared" si="735"/>
        <v>PALM,218D,AJ,1</v>
      </c>
      <c r="F1376" s="13"/>
      <c r="G1376" s="26" t="s">
        <v>111</v>
      </c>
      <c r="H1376" s="26" t="s">
        <v>75</v>
      </c>
      <c r="I1376" s="13"/>
      <c r="J1376" s="13"/>
      <c r="K1376" s="15">
        <v>1.0</v>
      </c>
      <c r="L1376" s="15">
        <v>1.0</v>
      </c>
      <c r="M1376" s="16"/>
      <c r="N1376" s="16"/>
      <c r="O1376" s="17"/>
      <c r="P1376" s="17"/>
      <c r="Q1376" s="13"/>
      <c r="R1376" s="13"/>
      <c r="S1376" s="13"/>
      <c r="T1376" s="13">
        <f t="shared" ref="T1376:Y1376" si="1428">IF(ISBLANK(K1376)=TRUE,0,1)</f>
        <v>1</v>
      </c>
      <c r="U1376" s="13">
        <f t="shared" si="1428"/>
        <v>1</v>
      </c>
      <c r="V1376" s="13">
        <f t="shared" si="1428"/>
        <v>0</v>
      </c>
      <c r="W1376" s="13">
        <f t="shared" si="1428"/>
        <v>0</v>
      </c>
      <c r="X1376" s="13">
        <f t="shared" si="1428"/>
        <v>0</v>
      </c>
      <c r="Y1376" s="13">
        <f t="shared" si="1428"/>
        <v>0</v>
      </c>
      <c r="Z1376" s="13">
        <f t="shared" si="529"/>
        <v>1</v>
      </c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</row>
    <row r="1377" ht="14.25" hidden="1" customHeight="1">
      <c r="A1377" s="26" t="s">
        <v>46</v>
      </c>
      <c r="B1377" s="31" t="s">
        <v>53</v>
      </c>
      <c r="C1377" s="13" t="s">
        <v>764</v>
      </c>
      <c r="D1377" s="26" t="s">
        <v>184</v>
      </c>
      <c r="E1377" s="13" t="str">
        <f t="shared" si="735"/>
        <v>PALM,218D,AK,1</v>
      </c>
      <c r="F1377" s="13"/>
      <c r="G1377" s="26" t="s">
        <v>111</v>
      </c>
      <c r="H1377" s="26" t="s">
        <v>75</v>
      </c>
      <c r="I1377" s="13"/>
      <c r="J1377" s="13"/>
      <c r="K1377" s="15">
        <v>1.0</v>
      </c>
      <c r="L1377" s="15">
        <v>1.0</v>
      </c>
      <c r="M1377" s="16"/>
      <c r="N1377" s="16"/>
      <c r="O1377" s="17"/>
      <c r="P1377" s="17"/>
      <c r="Q1377" s="13"/>
      <c r="R1377" s="13"/>
      <c r="S1377" s="13"/>
      <c r="T1377" s="13">
        <f t="shared" ref="T1377:Y1377" si="1429">IF(ISBLANK(K1377)=TRUE,0,1)</f>
        <v>1</v>
      </c>
      <c r="U1377" s="13">
        <f t="shared" si="1429"/>
        <v>1</v>
      </c>
      <c r="V1377" s="13">
        <f t="shared" si="1429"/>
        <v>0</v>
      </c>
      <c r="W1377" s="13">
        <f t="shared" si="1429"/>
        <v>0</v>
      </c>
      <c r="X1377" s="13">
        <f t="shared" si="1429"/>
        <v>0</v>
      </c>
      <c r="Y1377" s="13">
        <f t="shared" si="1429"/>
        <v>0</v>
      </c>
      <c r="Z1377" s="13">
        <f t="shared" si="529"/>
        <v>1</v>
      </c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</row>
    <row r="1378" ht="14.25" hidden="1" customHeight="1">
      <c r="A1378" s="26" t="s">
        <v>46</v>
      </c>
      <c r="B1378" s="31" t="s">
        <v>53</v>
      </c>
      <c r="C1378" s="13" t="s">
        <v>764</v>
      </c>
      <c r="D1378" s="26" t="s">
        <v>185</v>
      </c>
      <c r="E1378" s="13" t="str">
        <f t="shared" si="735"/>
        <v>PALM,218D,AL,1</v>
      </c>
      <c r="F1378" s="13"/>
      <c r="G1378" s="26" t="s">
        <v>111</v>
      </c>
      <c r="H1378" s="26" t="s">
        <v>75</v>
      </c>
      <c r="I1378" s="13"/>
      <c r="J1378" s="13"/>
      <c r="K1378" s="15">
        <v>1.0</v>
      </c>
      <c r="L1378" s="15">
        <v>1.0</v>
      </c>
      <c r="M1378" s="16"/>
      <c r="N1378" s="16"/>
      <c r="O1378" s="17"/>
      <c r="P1378" s="17"/>
      <c r="Q1378" s="13"/>
      <c r="R1378" s="13"/>
      <c r="S1378" s="13"/>
      <c r="T1378" s="13">
        <f t="shared" ref="T1378:Y1378" si="1430">IF(ISBLANK(K1378)=TRUE,0,1)</f>
        <v>1</v>
      </c>
      <c r="U1378" s="13">
        <f t="shared" si="1430"/>
        <v>1</v>
      </c>
      <c r="V1378" s="13">
        <f t="shared" si="1430"/>
        <v>0</v>
      </c>
      <c r="W1378" s="13">
        <f t="shared" si="1430"/>
        <v>0</v>
      </c>
      <c r="X1378" s="13">
        <f t="shared" si="1430"/>
        <v>0</v>
      </c>
      <c r="Y1378" s="13">
        <f t="shared" si="1430"/>
        <v>0</v>
      </c>
      <c r="Z1378" s="13">
        <f t="shared" si="529"/>
        <v>1</v>
      </c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</row>
    <row r="1379" ht="14.25" hidden="1" customHeight="1">
      <c r="A1379" s="26" t="s">
        <v>46</v>
      </c>
      <c r="B1379" s="31" t="s">
        <v>53</v>
      </c>
      <c r="C1379" s="13" t="s">
        <v>764</v>
      </c>
      <c r="D1379" s="26" t="s">
        <v>186</v>
      </c>
      <c r="E1379" s="13" t="str">
        <f t="shared" si="735"/>
        <v>PALM,218D,AM,1</v>
      </c>
      <c r="F1379" s="13"/>
      <c r="G1379" s="26" t="s">
        <v>111</v>
      </c>
      <c r="H1379" s="26" t="s">
        <v>75</v>
      </c>
      <c r="I1379" s="13"/>
      <c r="J1379" s="13"/>
      <c r="K1379" s="15">
        <v>1.0</v>
      </c>
      <c r="L1379" s="15">
        <v>1.0</v>
      </c>
      <c r="M1379" s="16"/>
      <c r="N1379" s="16"/>
      <c r="O1379" s="17"/>
      <c r="P1379" s="17"/>
      <c r="Q1379" s="13"/>
      <c r="R1379" s="13"/>
      <c r="S1379" s="13"/>
      <c r="T1379" s="13">
        <f t="shared" ref="T1379:Y1379" si="1431">IF(ISBLANK(K1379)=TRUE,0,1)</f>
        <v>1</v>
      </c>
      <c r="U1379" s="13">
        <f t="shared" si="1431"/>
        <v>1</v>
      </c>
      <c r="V1379" s="13">
        <f t="shared" si="1431"/>
        <v>0</v>
      </c>
      <c r="W1379" s="13">
        <f t="shared" si="1431"/>
        <v>0</v>
      </c>
      <c r="X1379" s="13">
        <f t="shared" si="1431"/>
        <v>0</v>
      </c>
      <c r="Y1379" s="13">
        <f t="shared" si="1431"/>
        <v>0</v>
      </c>
      <c r="Z1379" s="13">
        <f t="shared" si="529"/>
        <v>1</v>
      </c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</row>
    <row r="1380" ht="14.25" hidden="1" customHeight="1">
      <c r="A1380" s="26" t="s">
        <v>46</v>
      </c>
      <c r="B1380" s="31" t="s">
        <v>53</v>
      </c>
      <c r="C1380" s="13" t="s">
        <v>764</v>
      </c>
      <c r="D1380" s="26" t="s">
        <v>187</v>
      </c>
      <c r="E1380" s="13" t="str">
        <f t="shared" si="735"/>
        <v>PALM,218D,AN,1</v>
      </c>
      <c r="F1380" s="13"/>
      <c r="G1380" s="26" t="s">
        <v>111</v>
      </c>
      <c r="H1380" s="26" t="s">
        <v>75</v>
      </c>
      <c r="I1380" s="13"/>
      <c r="J1380" s="13"/>
      <c r="K1380" s="15">
        <v>1.0</v>
      </c>
      <c r="L1380" s="15">
        <v>1.0</v>
      </c>
      <c r="M1380" s="16"/>
      <c r="N1380" s="16"/>
      <c r="O1380" s="17"/>
      <c r="P1380" s="17"/>
      <c r="Q1380" s="13"/>
      <c r="R1380" s="13"/>
      <c r="S1380" s="13"/>
      <c r="T1380" s="13">
        <f t="shared" ref="T1380:Y1380" si="1432">IF(ISBLANK(K1380)=TRUE,0,1)</f>
        <v>1</v>
      </c>
      <c r="U1380" s="13">
        <f t="shared" si="1432"/>
        <v>1</v>
      </c>
      <c r="V1380" s="13">
        <f t="shared" si="1432"/>
        <v>0</v>
      </c>
      <c r="W1380" s="13">
        <f t="shared" si="1432"/>
        <v>0</v>
      </c>
      <c r="X1380" s="13">
        <f t="shared" si="1432"/>
        <v>0</v>
      </c>
      <c r="Y1380" s="13">
        <f t="shared" si="1432"/>
        <v>0</v>
      </c>
      <c r="Z1380" s="13">
        <f t="shared" si="529"/>
        <v>1</v>
      </c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</row>
    <row r="1381" ht="14.25" hidden="1" customHeight="1">
      <c r="A1381" s="26" t="s">
        <v>46</v>
      </c>
      <c r="B1381" s="31" t="s">
        <v>53</v>
      </c>
      <c r="C1381" s="13" t="s">
        <v>764</v>
      </c>
      <c r="D1381" s="26" t="s">
        <v>188</v>
      </c>
      <c r="E1381" s="13" t="str">
        <f t="shared" si="735"/>
        <v>PALM,218D,AO,1</v>
      </c>
      <c r="F1381" s="13"/>
      <c r="G1381" s="26" t="s">
        <v>111</v>
      </c>
      <c r="H1381" s="26" t="s">
        <v>75</v>
      </c>
      <c r="I1381" s="13"/>
      <c r="J1381" s="13"/>
      <c r="K1381" s="15">
        <v>1.0</v>
      </c>
      <c r="L1381" s="15">
        <v>1.0</v>
      </c>
      <c r="M1381" s="16"/>
      <c r="N1381" s="16"/>
      <c r="O1381" s="17"/>
      <c r="P1381" s="17"/>
      <c r="Q1381" s="13"/>
      <c r="R1381" s="13"/>
      <c r="S1381" s="13"/>
      <c r="T1381" s="13">
        <f t="shared" ref="T1381:Y1381" si="1433">IF(ISBLANK(K1381)=TRUE,0,1)</f>
        <v>1</v>
      </c>
      <c r="U1381" s="13">
        <f t="shared" si="1433"/>
        <v>1</v>
      </c>
      <c r="V1381" s="13">
        <f t="shared" si="1433"/>
        <v>0</v>
      </c>
      <c r="W1381" s="13">
        <f t="shared" si="1433"/>
        <v>0</v>
      </c>
      <c r="X1381" s="13">
        <f t="shared" si="1433"/>
        <v>0</v>
      </c>
      <c r="Y1381" s="13">
        <f t="shared" si="1433"/>
        <v>0</v>
      </c>
      <c r="Z1381" s="13">
        <f t="shared" si="529"/>
        <v>1</v>
      </c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</row>
    <row r="1382" ht="14.25" hidden="1" customHeight="1">
      <c r="A1382" s="26" t="s">
        <v>46</v>
      </c>
      <c r="B1382" s="31" t="s">
        <v>53</v>
      </c>
      <c r="C1382" s="13" t="s">
        <v>764</v>
      </c>
      <c r="D1382" s="26" t="s">
        <v>189</v>
      </c>
      <c r="E1382" s="13" t="str">
        <f t="shared" si="735"/>
        <v>PALM,218D,AP,1</v>
      </c>
      <c r="F1382" s="13"/>
      <c r="G1382" s="26" t="s">
        <v>111</v>
      </c>
      <c r="H1382" s="26" t="s">
        <v>75</v>
      </c>
      <c r="I1382" s="13"/>
      <c r="J1382" s="13"/>
      <c r="K1382" s="15">
        <v>1.0</v>
      </c>
      <c r="L1382" s="15">
        <v>1.0</v>
      </c>
      <c r="M1382" s="16"/>
      <c r="N1382" s="16"/>
      <c r="O1382" s="17"/>
      <c r="P1382" s="17"/>
      <c r="Q1382" s="13"/>
      <c r="R1382" s="13"/>
      <c r="S1382" s="13"/>
      <c r="T1382" s="13">
        <f t="shared" ref="T1382:Y1382" si="1434">IF(ISBLANK(K1382)=TRUE,0,1)</f>
        <v>1</v>
      </c>
      <c r="U1382" s="13">
        <f t="shared" si="1434"/>
        <v>1</v>
      </c>
      <c r="V1382" s="13">
        <f t="shared" si="1434"/>
        <v>0</v>
      </c>
      <c r="W1382" s="13">
        <f t="shared" si="1434"/>
        <v>0</v>
      </c>
      <c r="X1382" s="13">
        <f t="shared" si="1434"/>
        <v>0</v>
      </c>
      <c r="Y1382" s="13">
        <f t="shared" si="1434"/>
        <v>0</v>
      </c>
      <c r="Z1382" s="13">
        <f t="shared" si="529"/>
        <v>1</v>
      </c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</row>
    <row r="1383" ht="14.25" hidden="1" customHeight="1">
      <c r="A1383" s="26" t="s">
        <v>46</v>
      </c>
      <c r="B1383" s="31" t="s">
        <v>53</v>
      </c>
      <c r="C1383" s="13" t="s">
        <v>764</v>
      </c>
      <c r="D1383" s="26" t="s">
        <v>190</v>
      </c>
      <c r="E1383" s="13" t="str">
        <f t="shared" si="735"/>
        <v>PALM,218D,AQ,1</v>
      </c>
      <c r="F1383" s="13"/>
      <c r="G1383" s="26" t="s">
        <v>111</v>
      </c>
      <c r="H1383" s="26" t="s">
        <v>75</v>
      </c>
      <c r="I1383" s="13"/>
      <c r="J1383" s="13"/>
      <c r="K1383" s="15">
        <v>1.0</v>
      </c>
      <c r="L1383" s="15">
        <v>1.0</v>
      </c>
      <c r="M1383" s="16"/>
      <c r="N1383" s="16"/>
      <c r="O1383" s="17"/>
      <c r="P1383" s="17"/>
      <c r="Q1383" s="13"/>
      <c r="R1383" s="13"/>
      <c r="S1383" s="13"/>
      <c r="T1383" s="13">
        <f t="shared" ref="T1383:Y1383" si="1435">IF(ISBLANK(K1383)=TRUE,0,1)</f>
        <v>1</v>
      </c>
      <c r="U1383" s="13">
        <f t="shared" si="1435"/>
        <v>1</v>
      </c>
      <c r="V1383" s="13">
        <f t="shared" si="1435"/>
        <v>0</v>
      </c>
      <c r="W1383" s="13">
        <f t="shared" si="1435"/>
        <v>0</v>
      </c>
      <c r="X1383" s="13">
        <f t="shared" si="1435"/>
        <v>0</v>
      </c>
      <c r="Y1383" s="13">
        <f t="shared" si="1435"/>
        <v>0</v>
      </c>
      <c r="Z1383" s="13">
        <f t="shared" si="529"/>
        <v>1</v>
      </c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</row>
    <row r="1384" ht="14.25" hidden="1" customHeight="1">
      <c r="A1384" s="26" t="s">
        <v>46</v>
      </c>
      <c r="B1384" s="31" t="s">
        <v>53</v>
      </c>
      <c r="C1384" s="13" t="s">
        <v>764</v>
      </c>
      <c r="D1384" s="26" t="s">
        <v>191</v>
      </c>
      <c r="E1384" s="13" t="str">
        <f t="shared" si="735"/>
        <v>PALM,218D,AR,1</v>
      </c>
      <c r="F1384" s="13"/>
      <c r="G1384" s="26" t="s">
        <v>111</v>
      </c>
      <c r="H1384" s="26" t="s">
        <v>75</v>
      </c>
      <c r="I1384" s="13"/>
      <c r="J1384" s="13"/>
      <c r="K1384" s="15">
        <v>1.0</v>
      </c>
      <c r="L1384" s="15">
        <v>1.0</v>
      </c>
      <c r="M1384" s="16"/>
      <c r="N1384" s="16"/>
      <c r="O1384" s="17"/>
      <c r="P1384" s="17"/>
      <c r="Q1384" s="13"/>
      <c r="R1384" s="13"/>
      <c r="S1384" s="13"/>
      <c r="T1384" s="13">
        <f t="shared" ref="T1384:Y1384" si="1436">IF(ISBLANK(K1384)=TRUE,0,1)</f>
        <v>1</v>
      </c>
      <c r="U1384" s="13">
        <f t="shared" si="1436"/>
        <v>1</v>
      </c>
      <c r="V1384" s="13">
        <f t="shared" si="1436"/>
        <v>0</v>
      </c>
      <c r="W1384" s="13">
        <f t="shared" si="1436"/>
        <v>0</v>
      </c>
      <c r="X1384" s="13">
        <f t="shared" si="1436"/>
        <v>0</v>
      </c>
      <c r="Y1384" s="13">
        <f t="shared" si="1436"/>
        <v>0</v>
      </c>
      <c r="Z1384" s="13">
        <f t="shared" si="529"/>
        <v>1</v>
      </c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</row>
    <row r="1385" ht="14.25" hidden="1" customHeight="1">
      <c r="A1385" s="26" t="s">
        <v>46</v>
      </c>
      <c r="B1385" s="31" t="s">
        <v>53</v>
      </c>
      <c r="C1385" s="13" t="s">
        <v>764</v>
      </c>
      <c r="D1385" s="26" t="s">
        <v>192</v>
      </c>
      <c r="E1385" s="13" t="str">
        <f t="shared" si="735"/>
        <v>PALM,218D,AS,1</v>
      </c>
      <c r="F1385" s="13"/>
      <c r="G1385" s="26" t="s">
        <v>111</v>
      </c>
      <c r="H1385" s="26" t="s">
        <v>107</v>
      </c>
      <c r="I1385" s="13"/>
      <c r="J1385" s="13"/>
      <c r="K1385" s="15">
        <v>1.0</v>
      </c>
      <c r="L1385" s="15">
        <v>1.0</v>
      </c>
      <c r="M1385" s="16"/>
      <c r="N1385" s="16"/>
      <c r="O1385" s="17"/>
      <c r="P1385" s="17"/>
      <c r="Q1385" s="13"/>
      <c r="R1385" s="13"/>
      <c r="S1385" s="13"/>
      <c r="T1385" s="13">
        <f t="shared" ref="T1385:Y1385" si="1437">IF(ISBLANK(K1385)=TRUE,0,1)</f>
        <v>1</v>
      </c>
      <c r="U1385" s="13">
        <f t="shared" si="1437"/>
        <v>1</v>
      </c>
      <c r="V1385" s="13">
        <f t="shared" si="1437"/>
        <v>0</v>
      </c>
      <c r="W1385" s="13">
        <f t="shared" si="1437"/>
        <v>0</v>
      </c>
      <c r="X1385" s="13">
        <f t="shared" si="1437"/>
        <v>0</v>
      </c>
      <c r="Y1385" s="13">
        <f t="shared" si="1437"/>
        <v>0</v>
      </c>
      <c r="Z1385" s="13">
        <f t="shared" si="529"/>
        <v>1</v>
      </c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</row>
    <row r="1386" ht="14.25" hidden="1" customHeight="1">
      <c r="A1386" s="26" t="s">
        <v>46</v>
      </c>
      <c r="B1386" s="31" t="s">
        <v>53</v>
      </c>
      <c r="C1386" s="13" t="s">
        <v>764</v>
      </c>
      <c r="D1386" s="26" t="s">
        <v>193</v>
      </c>
      <c r="E1386" s="13" t="str">
        <f t="shared" si="735"/>
        <v>PALM,218D,AT,1</v>
      </c>
      <c r="F1386" s="13"/>
      <c r="G1386" s="26" t="s">
        <v>111</v>
      </c>
      <c r="H1386" s="26" t="s">
        <v>75</v>
      </c>
      <c r="I1386" s="13"/>
      <c r="J1386" s="13"/>
      <c r="K1386" s="15">
        <v>1.0</v>
      </c>
      <c r="L1386" s="15">
        <v>1.0</v>
      </c>
      <c r="M1386" s="16"/>
      <c r="N1386" s="16"/>
      <c r="O1386" s="17"/>
      <c r="P1386" s="17"/>
      <c r="Q1386" s="13"/>
      <c r="R1386" s="13"/>
      <c r="S1386" s="13"/>
      <c r="T1386" s="13">
        <f t="shared" ref="T1386:Y1386" si="1438">IF(ISBLANK(K1386)=TRUE,0,1)</f>
        <v>1</v>
      </c>
      <c r="U1386" s="13">
        <f t="shared" si="1438"/>
        <v>1</v>
      </c>
      <c r="V1386" s="13">
        <f t="shared" si="1438"/>
        <v>0</v>
      </c>
      <c r="W1386" s="13">
        <f t="shared" si="1438"/>
        <v>0</v>
      </c>
      <c r="X1386" s="13">
        <f t="shared" si="1438"/>
        <v>0</v>
      </c>
      <c r="Y1386" s="13">
        <f t="shared" si="1438"/>
        <v>0</v>
      </c>
      <c r="Z1386" s="13">
        <f t="shared" si="529"/>
        <v>1</v>
      </c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</row>
    <row r="1387" ht="14.25" hidden="1" customHeight="1">
      <c r="A1387" s="26" t="s">
        <v>46</v>
      </c>
      <c r="B1387" s="31" t="s">
        <v>53</v>
      </c>
      <c r="C1387" s="13" t="s">
        <v>764</v>
      </c>
      <c r="D1387" s="26" t="s">
        <v>194</v>
      </c>
      <c r="E1387" s="13" t="str">
        <f t="shared" si="735"/>
        <v>PALM,218D,AU,1</v>
      </c>
      <c r="F1387" s="13"/>
      <c r="G1387" s="26" t="s">
        <v>111</v>
      </c>
      <c r="H1387" s="26" t="s">
        <v>75</v>
      </c>
      <c r="I1387" s="13"/>
      <c r="J1387" s="13"/>
      <c r="K1387" s="15">
        <v>1.0</v>
      </c>
      <c r="L1387" s="15">
        <v>1.0</v>
      </c>
      <c r="M1387" s="16"/>
      <c r="N1387" s="16"/>
      <c r="O1387" s="17"/>
      <c r="P1387" s="17"/>
      <c r="Q1387" s="13"/>
      <c r="R1387" s="13"/>
      <c r="S1387" s="13"/>
      <c r="T1387" s="13">
        <f t="shared" ref="T1387:Y1387" si="1439">IF(ISBLANK(K1387)=TRUE,0,1)</f>
        <v>1</v>
      </c>
      <c r="U1387" s="13">
        <f t="shared" si="1439"/>
        <v>1</v>
      </c>
      <c r="V1387" s="13">
        <f t="shared" si="1439"/>
        <v>0</v>
      </c>
      <c r="W1387" s="13">
        <f t="shared" si="1439"/>
        <v>0</v>
      </c>
      <c r="X1387" s="13">
        <f t="shared" si="1439"/>
        <v>0</v>
      </c>
      <c r="Y1387" s="13">
        <f t="shared" si="1439"/>
        <v>0</v>
      </c>
      <c r="Z1387" s="13">
        <f t="shared" si="529"/>
        <v>1</v>
      </c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</row>
    <row r="1388" ht="14.25" hidden="1" customHeight="1">
      <c r="A1388" s="26" t="s">
        <v>46</v>
      </c>
      <c r="B1388" s="31" t="s">
        <v>53</v>
      </c>
      <c r="C1388" s="13" t="s">
        <v>764</v>
      </c>
      <c r="D1388" s="26" t="s">
        <v>195</v>
      </c>
      <c r="E1388" s="13" t="str">
        <f t="shared" si="735"/>
        <v>PALM,218D,AV,1</v>
      </c>
      <c r="F1388" s="13"/>
      <c r="G1388" s="26" t="s">
        <v>111</v>
      </c>
      <c r="H1388" s="26" t="s">
        <v>75</v>
      </c>
      <c r="I1388" s="13"/>
      <c r="J1388" s="13"/>
      <c r="K1388" s="15">
        <v>1.0</v>
      </c>
      <c r="L1388" s="15">
        <v>1.0</v>
      </c>
      <c r="M1388" s="16"/>
      <c r="N1388" s="16"/>
      <c r="O1388" s="17"/>
      <c r="P1388" s="17"/>
      <c r="Q1388" s="13"/>
      <c r="R1388" s="13"/>
      <c r="S1388" s="13"/>
      <c r="T1388" s="13">
        <f t="shared" ref="T1388:Y1388" si="1440">IF(ISBLANK(K1388)=TRUE,0,1)</f>
        <v>1</v>
      </c>
      <c r="U1388" s="13">
        <f t="shared" si="1440"/>
        <v>1</v>
      </c>
      <c r="V1388" s="13">
        <f t="shared" si="1440"/>
        <v>0</v>
      </c>
      <c r="W1388" s="13">
        <f t="shared" si="1440"/>
        <v>0</v>
      </c>
      <c r="X1388" s="13">
        <f t="shared" si="1440"/>
        <v>0</v>
      </c>
      <c r="Y1388" s="13">
        <f t="shared" si="1440"/>
        <v>0</v>
      </c>
      <c r="Z1388" s="13">
        <f t="shared" si="529"/>
        <v>1</v>
      </c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</row>
    <row r="1389" ht="14.25" hidden="1" customHeight="1">
      <c r="A1389" s="26" t="s">
        <v>46</v>
      </c>
      <c r="B1389" s="31" t="s">
        <v>53</v>
      </c>
      <c r="C1389" s="13" t="s">
        <v>764</v>
      </c>
      <c r="D1389" s="26" t="s">
        <v>196</v>
      </c>
      <c r="E1389" s="13" t="str">
        <f t="shared" si="735"/>
        <v>PALM,218D,AW,1</v>
      </c>
      <c r="F1389" s="13"/>
      <c r="G1389" s="26" t="s">
        <v>111</v>
      </c>
      <c r="H1389" s="26" t="s">
        <v>75</v>
      </c>
      <c r="I1389" s="13"/>
      <c r="J1389" s="13"/>
      <c r="K1389" s="15">
        <v>1.0</v>
      </c>
      <c r="L1389" s="15">
        <v>1.0</v>
      </c>
      <c r="M1389" s="16"/>
      <c r="N1389" s="16"/>
      <c r="O1389" s="17"/>
      <c r="P1389" s="17"/>
      <c r="Q1389" s="13"/>
      <c r="R1389" s="13"/>
      <c r="S1389" s="13"/>
      <c r="T1389" s="13">
        <f t="shared" ref="T1389:Y1389" si="1441">IF(ISBLANK(K1389)=TRUE,0,1)</f>
        <v>1</v>
      </c>
      <c r="U1389" s="13">
        <f t="shared" si="1441"/>
        <v>1</v>
      </c>
      <c r="V1389" s="13">
        <f t="shared" si="1441"/>
        <v>0</v>
      </c>
      <c r="W1389" s="13">
        <f t="shared" si="1441"/>
        <v>0</v>
      </c>
      <c r="X1389" s="13">
        <f t="shared" si="1441"/>
        <v>0</v>
      </c>
      <c r="Y1389" s="13">
        <f t="shared" si="1441"/>
        <v>0</v>
      </c>
      <c r="Z1389" s="13">
        <f t="shared" si="529"/>
        <v>1</v>
      </c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</row>
    <row r="1390" ht="14.25" hidden="1" customHeight="1">
      <c r="A1390" s="26" t="s">
        <v>46</v>
      </c>
      <c r="B1390" s="31" t="s">
        <v>53</v>
      </c>
      <c r="C1390" s="13" t="s">
        <v>764</v>
      </c>
      <c r="D1390" s="26" t="s">
        <v>197</v>
      </c>
      <c r="E1390" s="13" t="str">
        <f t="shared" si="735"/>
        <v>PALM,218D,AX,1</v>
      </c>
      <c r="F1390" s="13"/>
      <c r="G1390" s="26" t="s">
        <v>111</v>
      </c>
      <c r="H1390" s="26" t="s">
        <v>75</v>
      </c>
      <c r="I1390" s="13"/>
      <c r="J1390" s="13"/>
      <c r="K1390" s="15">
        <v>1.0</v>
      </c>
      <c r="L1390" s="15">
        <v>1.0</v>
      </c>
      <c r="M1390" s="16"/>
      <c r="N1390" s="16"/>
      <c r="O1390" s="17"/>
      <c r="P1390" s="17"/>
      <c r="Q1390" s="13"/>
      <c r="R1390" s="13"/>
      <c r="S1390" s="13"/>
      <c r="T1390" s="13">
        <f t="shared" ref="T1390:Y1390" si="1442">IF(ISBLANK(K1390)=TRUE,0,1)</f>
        <v>1</v>
      </c>
      <c r="U1390" s="13">
        <f t="shared" si="1442"/>
        <v>1</v>
      </c>
      <c r="V1390" s="13">
        <f t="shared" si="1442"/>
        <v>0</v>
      </c>
      <c r="W1390" s="13">
        <f t="shared" si="1442"/>
        <v>0</v>
      </c>
      <c r="X1390" s="13">
        <f t="shared" si="1442"/>
        <v>0</v>
      </c>
      <c r="Y1390" s="13">
        <f t="shared" si="1442"/>
        <v>0</v>
      </c>
      <c r="Z1390" s="13">
        <f t="shared" si="529"/>
        <v>1</v>
      </c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</row>
    <row r="1391" ht="14.25" hidden="1" customHeight="1">
      <c r="A1391" s="26" t="s">
        <v>46</v>
      </c>
      <c r="B1391" s="31" t="s">
        <v>53</v>
      </c>
      <c r="C1391" s="26" t="s">
        <v>765</v>
      </c>
      <c r="D1391" s="26" t="s">
        <v>178</v>
      </c>
      <c r="E1391" s="13" t="str">
        <f t="shared" si="735"/>
        <v>PALM,220B,AE,1</v>
      </c>
      <c r="F1391" s="26"/>
      <c r="G1391" s="26" t="s">
        <v>111</v>
      </c>
      <c r="H1391" s="26" t="s">
        <v>75</v>
      </c>
      <c r="I1391" s="13"/>
      <c r="J1391" s="13"/>
      <c r="K1391" s="28">
        <v>1.0</v>
      </c>
      <c r="L1391" s="28">
        <v>1.0</v>
      </c>
      <c r="M1391" s="16"/>
      <c r="N1391" s="16"/>
      <c r="O1391" s="17"/>
      <c r="P1391" s="17"/>
      <c r="Q1391" s="13"/>
      <c r="R1391" s="13"/>
      <c r="S1391" s="13"/>
      <c r="T1391" s="13">
        <f t="shared" ref="T1391:Y1391" si="1443">IF(ISBLANK(K1391)=TRUE,0,1)</f>
        <v>1</v>
      </c>
      <c r="U1391" s="13">
        <f t="shared" si="1443"/>
        <v>1</v>
      </c>
      <c r="V1391" s="13">
        <f t="shared" si="1443"/>
        <v>0</v>
      </c>
      <c r="W1391" s="13">
        <f t="shared" si="1443"/>
        <v>0</v>
      </c>
      <c r="X1391" s="13">
        <f t="shared" si="1443"/>
        <v>0</v>
      </c>
      <c r="Y1391" s="13">
        <f t="shared" si="1443"/>
        <v>0</v>
      </c>
      <c r="Z1391" s="13">
        <f t="shared" si="529"/>
        <v>1</v>
      </c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</row>
    <row r="1392" ht="14.25" hidden="1" customHeight="1">
      <c r="A1392" s="26" t="s">
        <v>46</v>
      </c>
      <c r="B1392" s="31" t="s">
        <v>53</v>
      </c>
      <c r="C1392" s="26" t="s">
        <v>765</v>
      </c>
      <c r="D1392" s="26" t="s">
        <v>179</v>
      </c>
      <c r="E1392" s="13" t="str">
        <f t="shared" si="735"/>
        <v>PALM,220B,AF,1</v>
      </c>
      <c r="F1392" s="26"/>
      <c r="G1392" s="26" t="s">
        <v>111</v>
      </c>
      <c r="H1392" s="26" t="s">
        <v>75</v>
      </c>
      <c r="I1392" s="13"/>
      <c r="J1392" s="13"/>
      <c r="K1392" s="28">
        <v>1.0</v>
      </c>
      <c r="L1392" s="28">
        <v>1.0</v>
      </c>
      <c r="M1392" s="16"/>
      <c r="N1392" s="16"/>
      <c r="O1392" s="17"/>
      <c r="P1392" s="17"/>
      <c r="Q1392" s="13"/>
      <c r="R1392" s="13"/>
      <c r="S1392" s="13"/>
      <c r="T1392" s="13">
        <f t="shared" ref="T1392:Y1392" si="1444">IF(ISBLANK(K1392)=TRUE,0,1)</f>
        <v>1</v>
      </c>
      <c r="U1392" s="13">
        <f t="shared" si="1444"/>
        <v>1</v>
      </c>
      <c r="V1392" s="13">
        <f t="shared" si="1444"/>
        <v>0</v>
      </c>
      <c r="W1392" s="13">
        <f t="shared" si="1444"/>
        <v>0</v>
      </c>
      <c r="X1392" s="13">
        <f t="shared" si="1444"/>
        <v>0</v>
      </c>
      <c r="Y1392" s="13">
        <f t="shared" si="1444"/>
        <v>0</v>
      </c>
      <c r="Z1392" s="13">
        <f t="shared" si="529"/>
        <v>1</v>
      </c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</row>
    <row r="1393" ht="14.25" hidden="1" customHeight="1">
      <c r="A1393" s="26" t="s">
        <v>46</v>
      </c>
      <c r="B1393" s="31" t="s">
        <v>53</v>
      </c>
      <c r="C1393" s="26" t="s">
        <v>765</v>
      </c>
      <c r="D1393" s="26" t="s">
        <v>180</v>
      </c>
      <c r="E1393" s="13" t="str">
        <f t="shared" si="735"/>
        <v>PALM,220B,AG,1</v>
      </c>
      <c r="F1393" s="26"/>
      <c r="G1393" s="26" t="s">
        <v>111</v>
      </c>
      <c r="H1393" s="26" t="s">
        <v>75</v>
      </c>
      <c r="I1393" s="13"/>
      <c r="J1393" s="13"/>
      <c r="K1393" s="28">
        <v>1.0</v>
      </c>
      <c r="L1393" s="28">
        <v>1.0</v>
      </c>
      <c r="M1393" s="16"/>
      <c r="N1393" s="16"/>
      <c r="O1393" s="17"/>
      <c r="P1393" s="17"/>
      <c r="Q1393" s="13"/>
      <c r="R1393" s="13"/>
      <c r="S1393" s="13"/>
      <c r="T1393" s="13">
        <f t="shared" ref="T1393:Y1393" si="1445">IF(ISBLANK(K1393)=TRUE,0,1)</f>
        <v>1</v>
      </c>
      <c r="U1393" s="13">
        <f t="shared" si="1445"/>
        <v>1</v>
      </c>
      <c r="V1393" s="13">
        <f t="shared" si="1445"/>
        <v>0</v>
      </c>
      <c r="W1393" s="13">
        <f t="shared" si="1445"/>
        <v>0</v>
      </c>
      <c r="X1393" s="13">
        <f t="shared" si="1445"/>
        <v>0</v>
      </c>
      <c r="Y1393" s="13">
        <f t="shared" si="1445"/>
        <v>0</v>
      </c>
      <c r="Z1393" s="13">
        <f t="shared" si="529"/>
        <v>1</v>
      </c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</row>
    <row r="1394" ht="14.25" hidden="1" customHeight="1">
      <c r="A1394" s="26" t="s">
        <v>46</v>
      </c>
      <c r="B1394" s="31" t="s">
        <v>53</v>
      </c>
      <c r="C1394" s="26" t="s">
        <v>765</v>
      </c>
      <c r="D1394" s="26" t="s">
        <v>181</v>
      </c>
      <c r="E1394" s="13" t="str">
        <f t="shared" si="735"/>
        <v>PALM,220B,AH,1</v>
      </c>
      <c r="F1394" s="26"/>
      <c r="G1394" s="26" t="s">
        <v>111</v>
      </c>
      <c r="H1394" s="26" t="s">
        <v>75</v>
      </c>
      <c r="I1394" s="13"/>
      <c r="J1394" s="13"/>
      <c r="K1394" s="28">
        <v>1.0</v>
      </c>
      <c r="L1394" s="28">
        <v>1.0</v>
      </c>
      <c r="M1394" s="16"/>
      <c r="N1394" s="16"/>
      <c r="O1394" s="17"/>
      <c r="P1394" s="17"/>
      <c r="Q1394" s="13"/>
      <c r="R1394" s="13"/>
      <c r="S1394" s="13"/>
      <c r="T1394" s="13">
        <f t="shared" ref="T1394:Y1394" si="1446">IF(ISBLANK(K1394)=TRUE,0,1)</f>
        <v>1</v>
      </c>
      <c r="U1394" s="13">
        <f t="shared" si="1446"/>
        <v>1</v>
      </c>
      <c r="V1394" s="13">
        <f t="shared" si="1446"/>
        <v>0</v>
      </c>
      <c r="W1394" s="13">
        <f t="shared" si="1446"/>
        <v>0</v>
      </c>
      <c r="X1394" s="13">
        <f t="shared" si="1446"/>
        <v>0</v>
      </c>
      <c r="Y1394" s="13">
        <f t="shared" si="1446"/>
        <v>0</v>
      </c>
      <c r="Z1394" s="13">
        <f t="shared" si="529"/>
        <v>1</v>
      </c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</row>
    <row r="1395" ht="14.25" hidden="1" customHeight="1">
      <c r="A1395" s="26" t="s">
        <v>46</v>
      </c>
      <c r="B1395" s="31" t="s">
        <v>53</v>
      </c>
      <c r="C1395" s="26" t="s">
        <v>765</v>
      </c>
      <c r="D1395" s="26" t="s">
        <v>182</v>
      </c>
      <c r="E1395" s="13" t="str">
        <f t="shared" si="735"/>
        <v>PALM,220B,AI,1</v>
      </c>
      <c r="F1395" s="26"/>
      <c r="G1395" s="26" t="s">
        <v>111</v>
      </c>
      <c r="H1395" s="26" t="s">
        <v>75</v>
      </c>
      <c r="I1395" s="13"/>
      <c r="J1395" s="13"/>
      <c r="K1395" s="28">
        <v>1.0</v>
      </c>
      <c r="L1395" s="28">
        <v>1.0</v>
      </c>
      <c r="M1395" s="16"/>
      <c r="N1395" s="16"/>
      <c r="O1395" s="17"/>
      <c r="P1395" s="17"/>
      <c r="Q1395" s="13"/>
      <c r="R1395" s="13"/>
      <c r="S1395" s="13"/>
      <c r="T1395" s="13">
        <f t="shared" ref="T1395:Y1395" si="1447">IF(ISBLANK(K1395)=TRUE,0,1)</f>
        <v>1</v>
      </c>
      <c r="U1395" s="13">
        <f t="shared" si="1447"/>
        <v>1</v>
      </c>
      <c r="V1395" s="13">
        <f t="shared" si="1447"/>
        <v>0</v>
      </c>
      <c r="W1395" s="13">
        <f t="shared" si="1447"/>
        <v>0</v>
      </c>
      <c r="X1395" s="13">
        <f t="shared" si="1447"/>
        <v>0</v>
      </c>
      <c r="Y1395" s="13">
        <f t="shared" si="1447"/>
        <v>0</v>
      </c>
      <c r="Z1395" s="13">
        <f t="shared" si="529"/>
        <v>1</v>
      </c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</row>
    <row r="1396" ht="14.25" hidden="1" customHeight="1">
      <c r="A1396" s="26" t="s">
        <v>46</v>
      </c>
      <c r="B1396" s="31" t="s">
        <v>53</v>
      </c>
      <c r="C1396" s="26" t="s">
        <v>765</v>
      </c>
      <c r="D1396" s="26" t="s">
        <v>183</v>
      </c>
      <c r="E1396" s="13" t="str">
        <f t="shared" si="735"/>
        <v>PALM,220B,AJ,1</v>
      </c>
      <c r="F1396" s="26"/>
      <c r="G1396" s="26" t="s">
        <v>111</v>
      </c>
      <c r="H1396" s="26" t="s">
        <v>75</v>
      </c>
      <c r="I1396" s="13"/>
      <c r="J1396" s="13"/>
      <c r="K1396" s="28">
        <v>1.0</v>
      </c>
      <c r="L1396" s="28">
        <v>1.0</v>
      </c>
      <c r="M1396" s="16"/>
      <c r="N1396" s="16"/>
      <c r="O1396" s="17"/>
      <c r="P1396" s="17"/>
      <c r="Q1396" s="13"/>
      <c r="R1396" s="13"/>
      <c r="S1396" s="13"/>
      <c r="T1396" s="13">
        <f t="shared" ref="T1396:Y1396" si="1448">IF(ISBLANK(K1396)=TRUE,0,1)</f>
        <v>1</v>
      </c>
      <c r="U1396" s="13">
        <f t="shared" si="1448"/>
        <v>1</v>
      </c>
      <c r="V1396" s="13">
        <f t="shared" si="1448"/>
        <v>0</v>
      </c>
      <c r="W1396" s="13">
        <f t="shared" si="1448"/>
        <v>0</v>
      </c>
      <c r="X1396" s="13">
        <f t="shared" si="1448"/>
        <v>0</v>
      </c>
      <c r="Y1396" s="13">
        <f t="shared" si="1448"/>
        <v>0</v>
      </c>
      <c r="Z1396" s="13">
        <f t="shared" si="529"/>
        <v>1</v>
      </c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</row>
    <row r="1397" ht="14.25" hidden="1" customHeight="1">
      <c r="A1397" s="26" t="s">
        <v>46</v>
      </c>
      <c r="B1397" s="31" t="s">
        <v>53</v>
      </c>
      <c r="C1397" s="26" t="s">
        <v>765</v>
      </c>
      <c r="D1397" s="26" t="s">
        <v>184</v>
      </c>
      <c r="E1397" s="13" t="str">
        <f t="shared" si="735"/>
        <v>PALM,220B,AK,1</v>
      </c>
      <c r="F1397" s="26"/>
      <c r="G1397" s="26" t="s">
        <v>111</v>
      </c>
      <c r="H1397" s="26" t="s">
        <v>75</v>
      </c>
      <c r="I1397" s="13"/>
      <c r="J1397" s="13"/>
      <c r="K1397" s="28">
        <v>1.0</v>
      </c>
      <c r="L1397" s="28">
        <v>1.0</v>
      </c>
      <c r="M1397" s="16"/>
      <c r="N1397" s="16"/>
      <c r="O1397" s="17"/>
      <c r="P1397" s="17"/>
      <c r="Q1397" s="13"/>
      <c r="R1397" s="13"/>
      <c r="S1397" s="13"/>
      <c r="T1397" s="13">
        <f t="shared" ref="T1397:Y1397" si="1449">IF(ISBLANK(K1397)=TRUE,0,1)</f>
        <v>1</v>
      </c>
      <c r="U1397" s="13">
        <f t="shared" si="1449"/>
        <v>1</v>
      </c>
      <c r="V1397" s="13">
        <f t="shared" si="1449"/>
        <v>0</v>
      </c>
      <c r="W1397" s="13">
        <f t="shared" si="1449"/>
        <v>0</v>
      </c>
      <c r="X1397" s="13">
        <f t="shared" si="1449"/>
        <v>0</v>
      </c>
      <c r="Y1397" s="13">
        <f t="shared" si="1449"/>
        <v>0</v>
      </c>
      <c r="Z1397" s="13">
        <f t="shared" si="529"/>
        <v>1</v>
      </c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</row>
    <row r="1398" ht="14.25" hidden="1" customHeight="1">
      <c r="A1398" s="26" t="s">
        <v>46</v>
      </c>
      <c r="B1398" s="31" t="s">
        <v>53</v>
      </c>
      <c r="C1398" s="26" t="s">
        <v>765</v>
      </c>
      <c r="D1398" s="26" t="s">
        <v>185</v>
      </c>
      <c r="E1398" s="13" t="str">
        <f t="shared" si="735"/>
        <v>PALM,220B,AL,1</v>
      </c>
      <c r="F1398" s="26"/>
      <c r="G1398" s="26" t="s">
        <v>111</v>
      </c>
      <c r="H1398" s="26" t="s">
        <v>75</v>
      </c>
      <c r="I1398" s="13"/>
      <c r="J1398" s="13"/>
      <c r="K1398" s="28">
        <v>1.0</v>
      </c>
      <c r="L1398" s="28">
        <v>1.0</v>
      </c>
      <c r="M1398" s="16"/>
      <c r="N1398" s="16"/>
      <c r="O1398" s="17"/>
      <c r="P1398" s="17"/>
      <c r="Q1398" s="13"/>
      <c r="R1398" s="13"/>
      <c r="S1398" s="13"/>
      <c r="T1398" s="13">
        <f t="shared" ref="T1398:Y1398" si="1450">IF(ISBLANK(K1398)=TRUE,0,1)</f>
        <v>1</v>
      </c>
      <c r="U1398" s="13">
        <f t="shared" si="1450"/>
        <v>1</v>
      </c>
      <c r="V1398" s="13">
        <f t="shared" si="1450"/>
        <v>0</v>
      </c>
      <c r="W1398" s="13">
        <f t="shared" si="1450"/>
        <v>0</v>
      </c>
      <c r="X1398" s="13">
        <f t="shared" si="1450"/>
        <v>0</v>
      </c>
      <c r="Y1398" s="13">
        <f t="shared" si="1450"/>
        <v>0</v>
      </c>
      <c r="Z1398" s="13">
        <f t="shared" si="529"/>
        <v>1</v>
      </c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</row>
    <row r="1399" ht="14.25" hidden="1" customHeight="1">
      <c r="A1399" s="26" t="s">
        <v>46</v>
      </c>
      <c r="B1399" s="31" t="s">
        <v>53</v>
      </c>
      <c r="C1399" s="26" t="s">
        <v>765</v>
      </c>
      <c r="D1399" s="26" t="s">
        <v>186</v>
      </c>
      <c r="E1399" s="13" t="str">
        <f t="shared" si="735"/>
        <v>PALM,220B,AM,1</v>
      </c>
      <c r="F1399" s="26"/>
      <c r="G1399" s="26" t="s">
        <v>111</v>
      </c>
      <c r="H1399" s="26" t="s">
        <v>75</v>
      </c>
      <c r="I1399" s="13"/>
      <c r="J1399" s="13"/>
      <c r="K1399" s="28">
        <v>1.0</v>
      </c>
      <c r="L1399" s="28">
        <v>1.0</v>
      </c>
      <c r="M1399" s="16"/>
      <c r="N1399" s="16"/>
      <c r="O1399" s="17"/>
      <c r="P1399" s="17"/>
      <c r="Q1399" s="13"/>
      <c r="R1399" s="13"/>
      <c r="S1399" s="13"/>
      <c r="T1399" s="13">
        <f t="shared" ref="T1399:Y1399" si="1451">IF(ISBLANK(K1399)=TRUE,0,1)</f>
        <v>1</v>
      </c>
      <c r="U1399" s="13">
        <f t="shared" si="1451"/>
        <v>1</v>
      </c>
      <c r="V1399" s="13">
        <f t="shared" si="1451"/>
        <v>0</v>
      </c>
      <c r="W1399" s="13">
        <f t="shared" si="1451"/>
        <v>0</v>
      </c>
      <c r="X1399" s="13">
        <f t="shared" si="1451"/>
        <v>0</v>
      </c>
      <c r="Y1399" s="13">
        <f t="shared" si="1451"/>
        <v>0</v>
      </c>
      <c r="Z1399" s="13">
        <f t="shared" si="529"/>
        <v>1</v>
      </c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</row>
    <row r="1400" ht="14.25" hidden="1" customHeight="1">
      <c r="A1400" s="26" t="s">
        <v>46</v>
      </c>
      <c r="B1400" s="31" t="s">
        <v>53</v>
      </c>
      <c r="C1400" s="26" t="s">
        <v>765</v>
      </c>
      <c r="D1400" s="26" t="s">
        <v>187</v>
      </c>
      <c r="E1400" s="13" t="str">
        <f t="shared" si="735"/>
        <v>PALM,220B,AN,1</v>
      </c>
      <c r="F1400" s="26"/>
      <c r="G1400" s="26" t="s">
        <v>111</v>
      </c>
      <c r="H1400" s="26" t="s">
        <v>75</v>
      </c>
      <c r="I1400" s="13"/>
      <c r="J1400" s="13"/>
      <c r="K1400" s="28">
        <v>1.0</v>
      </c>
      <c r="L1400" s="28">
        <v>1.0</v>
      </c>
      <c r="M1400" s="16"/>
      <c r="N1400" s="16"/>
      <c r="O1400" s="17"/>
      <c r="P1400" s="17"/>
      <c r="Q1400" s="13"/>
      <c r="R1400" s="13"/>
      <c r="S1400" s="13"/>
      <c r="T1400" s="13">
        <f t="shared" ref="T1400:Y1400" si="1452">IF(ISBLANK(K1400)=TRUE,0,1)</f>
        <v>1</v>
      </c>
      <c r="U1400" s="13">
        <f t="shared" si="1452"/>
        <v>1</v>
      </c>
      <c r="V1400" s="13">
        <f t="shared" si="1452"/>
        <v>0</v>
      </c>
      <c r="W1400" s="13">
        <f t="shared" si="1452"/>
        <v>0</v>
      </c>
      <c r="X1400" s="13">
        <f t="shared" si="1452"/>
        <v>0</v>
      </c>
      <c r="Y1400" s="13">
        <f t="shared" si="1452"/>
        <v>0</v>
      </c>
      <c r="Z1400" s="13">
        <f t="shared" si="529"/>
        <v>1</v>
      </c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</row>
    <row r="1401" ht="14.25" hidden="1" customHeight="1">
      <c r="A1401" s="26" t="s">
        <v>46</v>
      </c>
      <c r="B1401" s="31" t="s">
        <v>53</v>
      </c>
      <c r="C1401" s="26" t="s">
        <v>765</v>
      </c>
      <c r="D1401" s="26" t="s">
        <v>188</v>
      </c>
      <c r="E1401" s="13" t="str">
        <f t="shared" si="735"/>
        <v>PALM,220B,AO,1</v>
      </c>
      <c r="F1401" s="26"/>
      <c r="G1401" s="26" t="s">
        <v>111</v>
      </c>
      <c r="H1401" s="26" t="s">
        <v>75</v>
      </c>
      <c r="I1401" s="13"/>
      <c r="J1401" s="13"/>
      <c r="K1401" s="28">
        <v>1.0</v>
      </c>
      <c r="L1401" s="28">
        <v>1.0</v>
      </c>
      <c r="M1401" s="16"/>
      <c r="N1401" s="16"/>
      <c r="O1401" s="17"/>
      <c r="P1401" s="17"/>
      <c r="Q1401" s="13"/>
      <c r="R1401" s="13"/>
      <c r="S1401" s="13"/>
      <c r="T1401" s="13">
        <f t="shared" ref="T1401:Y1401" si="1453">IF(ISBLANK(K1401)=TRUE,0,1)</f>
        <v>1</v>
      </c>
      <c r="U1401" s="13">
        <f t="shared" si="1453"/>
        <v>1</v>
      </c>
      <c r="V1401" s="13">
        <f t="shared" si="1453"/>
        <v>0</v>
      </c>
      <c r="W1401" s="13">
        <f t="shared" si="1453"/>
        <v>0</v>
      </c>
      <c r="X1401" s="13">
        <f t="shared" si="1453"/>
        <v>0</v>
      </c>
      <c r="Y1401" s="13">
        <f t="shared" si="1453"/>
        <v>0</v>
      </c>
      <c r="Z1401" s="13">
        <f t="shared" si="529"/>
        <v>1</v>
      </c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</row>
    <row r="1402" ht="14.25" hidden="1" customHeight="1">
      <c r="A1402" s="26" t="s">
        <v>46</v>
      </c>
      <c r="B1402" s="31" t="s">
        <v>53</v>
      </c>
      <c r="C1402" s="26" t="s">
        <v>765</v>
      </c>
      <c r="D1402" s="26" t="s">
        <v>189</v>
      </c>
      <c r="E1402" s="13" t="str">
        <f t="shared" si="735"/>
        <v>PALM,220B,AP,1</v>
      </c>
      <c r="F1402" s="26"/>
      <c r="G1402" s="26" t="s">
        <v>111</v>
      </c>
      <c r="H1402" s="26" t="s">
        <v>75</v>
      </c>
      <c r="I1402" s="13"/>
      <c r="J1402" s="13"/>
      <c r="K1402" s="28">
        <v>1.0</v>
      </c>
      <c r="L1402" s="28">
        <v>1.0</v>
      </c>
      <c r="M1402" s="16"/>
      <c r="N1402" s="16"/>
      <c r="O1402" s="17"/>
      <c r="P1402" s="17"/>
      <c r="Q1402" s="13"/>
      <c r="R1402" s="13"/>
      <c r="S1402" s="13"/>
      <c r="T1402" s="13">
        <f t="shared" ref="T1402:Y1402" si="1454">IF(ISBLANK(K1402)=TRUE,0,1)</f>
        <v>1</v>
      </c>
      <c r="U1402" s="13">
        <f t="shared" si="1454"/>
        <v>1</v>
      </c>
      <c r="V1402" s="13">
        <f t="shared" si="1454"/>
        <v>0</v>
      </c>
      <c r="W1402" s="13">
        <f t="shared" si="1454"/>
        <v>0</v>
      </c>
      <c r="X1402" s="13">
        <f t="shared" si="1454"/>
        <v>0</v>
      </c>
      <c r="Y1402" s="13">
        <f t="shared" si="1454"/>
        <v>0</v>
      </c>
      <c r="Z1402" s="13">
        <f t="shared" si="529"/>
        <v>1</v>
      </c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</row>
    <row r="1403" ht="14.25" hidden="1" customHeight="1">
      <c r="A1403" s="26" t="s">
        <v>46</v>
      </c>
      <c r="B1403" s="31" t="s">
        <v>53</v>
      </c>
      <c r="C1403" s="26" t="s">
        <v>765</v>
      </c>
      <c r="D1403" s="26" t="s">
        <v>190</v>
      </c>
      <c r="E1403" s="13" t="str">
        <f t="shared" si="735"/>
        <v>PALM,220B,AQ,1</v>
      </c>
      <c r="F1403" s="26"/>
      <c r="G1403" s="26" t="s">
        <v>111</v>
      </c>
      <c r="H1403" s="26" t="s">
        <v>75</v>
      </c>
      <c r="I1403" s="13"/>
      <c r="J1403" s="13"/>
      <c r="K1403" s="28">
        <v>1.0</v>
      </c>
      <c r="L1403" s="28">
        <v>1.0</v>
      </c>
      <c r="M1403" s="16"/>
      <c r="N1403" s="16"/>
      <c r="O1403" s="17"/>
      <c r="P1403" s="17"/>
      <c r="Q1403" s="13"/>
      <c r="R1403" s="13"/>
      <c r="S1403" s="13"/>
      <c r="T1403" s="13">
        <f t="shared" ref="T1403:Y1403" si="1455">IF(ISBLANK(K1403)=TRUE,0,1)</f>
        <v>1</v>
      </c>
      <c r="U1403" s="13">
        <f t="shared" si="1455"/>
        <v>1</v>
      </c>
      <c r="V1403" s="13">
        <f t="shared" si="1455"/>
        <v>0</v>
      </c>
      <c r="W1403" s="13">
        <f t="shared" si="1455"/>
        <v>0</v>
      </c>
      <c r="X1403" s="13">
        <f t="shared" si="1455"/>
        <v>0</v>
      </c>
      <c r="Y1403" s="13">
        <f t="shared" si="1455"/>
        <v>0</v>
      </c>
      <c r="Z1403" s="13">
        <f t="shared" si="529"/>
        <v>1</v>
      </c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</row>
    <row r="1404" ht="14.25" hidden="1" customHeight="1">
      <c r="A1404" s="26" t="s">
        <v>46</v>
      </c>
      <c r="B1404" s="31" t="s">
        <v>53</v>
      </c>
      <c r="C1404" s="26" t="s">
        <v>765</v>
      </c>
      <c r="D1404" s="26" t="s">
        <v>191</v>
      </c>
      <c r="E1404" s="13" t="str">
        <f t="shared" si="735"/>
        <v>PALM,220B,AR,1</v>
      </c>
      <c r="F1404" s="26"/>
      <c r="G1404" s="26" t="s">
        <v>111</v>
      </c>
      <c r="H1404" s="26" t="s">
        <v>75</v>
      </c>
      <c r="I1404" s="13"/>
      <c r="J1404" s="13"/>
      <c r="K1404" s="28">
        <v>1.0</v>
      </c>
      <c r="L1404" s="28">
        <v>1.0</v>
      </c>
      <c r="M1404" s="16"/>
      <c r="N1404" s="16"/>
      <c r="O1404" s="17"/>
      <c r="P1404" s="17"/>
      <c r="Q1404" s="13"/>
      <c r="R1404" s="13"/>
      <c r="S1404" s="13"/>
      <c r="T1404" s="13">
        <f t="shared" ref="T1404:Y1404" si="1456">IF(ISBLANK(K1404)=TRUE,0,1)</f>
        <v>1</v>
      </c>
      <c r="U1404" s="13">
        <f t="shared" si="1456"/>
        <v>1</v>
      </c>
      <c r="V1404" s="13">
        <f t="shared" si="1456"/>
        <v>0</v>
      </c>
      <c r="W1404" s="13">
        <f t="shared" si="1456"/>
        <v>0</v>
      </c>
      <c r="X1404" s="13">
        <f t="shared" si="1456"/>
        <v>0</v>
      </c>
      <c r="Y1404" s="13">
        <f t="shared" si="1456"/>
        <v>0</v>
      </c>
      <c r="Z1404" s="13">
        <f t="shared" si="529"/>
        <v>1</v>
      </c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</row>
    <row r="1405" ht="14.25" hidden="1" customHeight="1">
      <c r="A1405" s="26" t="s">
        <v>46</v>
      </c>
      <c r="B1405" s="31" t="s">
        <v>53</v>
      </c>
      <c r="C1405" s="26" t="s">
        <v>765</v>
      </c>
      <c r="D1405" s="26" t="s">
        <v>192</v>
      </c>
      <c r="E1405" s="13" t="str">
        <f t="shared" si="735"/>
        <v>PALM,220B,AS,1</v>
      </c>
      <c r="F1405" s="26"/>
      <c r="G1405" s="26" t="s">
        <v>111</v>
      </c>
      <c r="H1405" s="26" t="s">
        <v>75</v>
      </c>
      <c r="I1405" s="13"/>
      <c r="J1405" s="13"/>
      <c r="K1405" s="28">
        <v>1.0</v>
      </c>
      <c r="L1405" s="28">
        <v>1.0</v>
      </c>
      <c r="M1405" s="16"/>
      <c r="N1405" s="16"/>
      <c r="O1405" s="17"/>
      <c r="P1405" s="17"/>
      <c r="Q1405" s="13"/>
      <c r="R1405" s="13"/>
      <c r="S1405" s="13"/>
      <c r="T1405" s="13">
        <f t="shared" ref="T1405:Y1405" si="1457">IF(ISBLANK(K1405)=TRUE,0,1)</f>
        <v>1</v>
      </c>
      <c r="U1405" s="13">
        <f t="shared" si="1457"/>
        <v>1</v>
      </c>
      <c r="V1405" s="13">
        <f t="shared" si="1457"/>
        <v>0</v>
      </c>
      <c r="W1405" s="13">
        <f t="shared" si="1457"/>
        <v>0</v>
      </c>
      <c r="X1405" s="13">
        <f t="shared" si="1457"/>
        <v>0</v>
      </c>
      <c r="Y1405" s="13">
        <f t="shared" si="1457"/>
        <v>0</v>
      </c>
      <c r="Z1405" s="13">
        <f t="shared" si="529"/>
        <v>1</v>
      </c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</row>
    <row r="1406" ht="14.25" hidden="1" customHeight="1">
      <c r="A1406" s="26" t="s">
        <v>46</v>
      </c>
      <c r="B1406" s="31" t="s">
        <v>53</v>
      </c>
      <c r="C1406" s="26" t="s">
        <v>765</v>
      </c>
      <c r="D1406" s="26" t="s">
        <v>193</v>
      </c>
      <c r="E1406" s="13" t="str">
        <f t="shared" si="735"/>
        <v>PALM,220B,AT,1</v>
      </c>
      <c r="F1406" s="26"/>
      <c r="G1406" s="26" t="s">
        <v>111</v>
      </c>
      <c r="H1406" s="26" t="s">
        <v>75</v>
      </c>
      <c r="I1406" s="13"/>
      <c r="J1406" s="13"/>
      <c r="K1406" s="28">
        <v>1.0</v>
      </c>
      <c r="L1406" s="28">
        <v>1.0</v>
      </c>
      <c r="M1406" s="16"/>
      <c r="N1406" s="16"/>
      <c r="O1406" s="17"/>
      <c r="P1406" s="17"/>
      <c r="Q1406" s="13"/>
      <c r="R1406" s="13"/>
      <c r="S1406" s="13"/>
      <c r="T1406" s="13">
        <f t="shared" ref="T1406:Y1406" si="1458">IF(ISBLANK(K1406)=TRUE,0,1)</f>
        <v>1</v>
      </c>
      <c r="U1406" s="13">
        <f t="shared" si="1458"/>
        <v>1</v>
      </c>
      <c r="V1406" s="13">
        <f t="shared" si="1458"/>
        <v>0</v>
      </c>
      <c r="W1406" s="13">
        <f t="shared" si="1458"/>
        <v>0</v>
      </c>
      <c r="X1406" s="13">
        <f t="shared" si="1458"/>
        <v>0</v>
      </c>
      <c r="Y1406" s="13">
        <f t="shared" si="1458"/>
        <v>0</v>
      </c>
      <c r="Z1406" s="13">
        <f t="shared" si="529"/>
        <v>1</v>
      </c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</row>
    <row r="1407" ht="14.25" hidden="1" customHeight="1">
      <c r="A1407" s="26" t="s">
        <v>46</v>
      </c>
      <c r="B1407" s="31" t="s">
        <v>53</v>
      </c>
      <c r="C1407" s="26" t="s">
        <v>765</v>
      </c>
      <c r="D1407" s="26" t="s">
        <v>194</v>
      </c>
      <c r="E1407" s="13" t="str">
        <f t="shared" si="735"/>
        <v>PALM,220B,AU,1</v>
      </c>
      <c r="F1407" s="26"/>
      <c r="G1407" s="26" t="s">
        <v>111</v>
      </c>
      <c r="H1407" s="26" t="s">
        <v>75</v>
      </c>
      <c r="I1407" s="13"/>
      <c r="J1407" s="13"/>
      <c r="K1407" s="28">
        <v>1.0</v>
      </c>
      <c r="L1407" s="28">
        <v>1.0</v>
      </c>
      <c r="M1407" s="16"/>
      <c r="N1407" s="16"/>
      <c r="O1407" s="17"/>
      <c r="P1407" s="17"/>
      <c r="Q1407" s="13"/>
      <c r="R1407" s="13"/>
      <c r="S1407" s="13"/>
      <c r="T1407" s="13">
        <f t="shared" ref="T1407:Y1407" si="1459">IF(ISBLANK(K1407)=TRUE,0,1)</f>
        <v>1</v>
      </c>
      <c r="U1407" s="13">
        <f t="shared" si="1459"/>
        <v>1</v>
      </c>
      <c r="V1407" s="13">
        <f t="shared" si="1459"/>
        <v>0</v>
      </c>
      <c r="W1407" s="13">
        <f t="shared" si="1459"/>
        <v>0</v>
      </c>
      <c r="X1407" s="13">
        <f t="shared" si="1459"/>
        <v>0</v>
      </c>
      <c r="Y1407" s="13">
        <f t="shared" si="1459"/>
        <v>0</v>
      </c>
      <c r="Z1407" s="13">
        <f t="shared" si="529"/>
        <v>1</v>
      </c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</row>
    <row r="1408" ht="14.25" hidden="1" customHeight="1">
      <c r="A1408" s="26" t="s">
        <v>46</v>
      </c>
      <c r="B1408" s="31" t="s">
        <v>53</v>
      </c>
      <c r="C1408" s="26" t="s">
        <v>765</v>
      </c>
      <c r="D1408" s="26" t="s">
        <v>195</v>
      </c>
      <c r="E1408" s="13" t="str">
        <f t="shared" si="735"/>
        <v>PALM,220B,AV,1</v>
      </c>
      <c r="F1408" s="26"/>
      <c r="G1408" s="26" t="s">
        <v>111</v>
      </c>
      <c r="H1408" s="26" t="s">
        <v>75</v>
      </c>
      <c r="I1408" s="13"/>
      <c r="J1408" s="13"/>
      <c r="K1408" s="28">
        <v>1.0</v>
      </c>
      <c r="L1408" s="28">
        <v>1.0</v>
      </c>
      <c r="M1408" s="16"/>
      <c r="N1408" s="16"/>
      <c r="O1408" s="17"/>
      <c r="P1408" s="17"/>
      <c r="Q1408" s="13"/>
      <c r="R1408" s="13"/>
      <c r="S1408" s="13"/>
      <c r="T1408" s="13">
        <f t="shared" ref="T1408:Y1408" si="1460">IF(ISBLANK(K1408)=TRUE,0,1)</f>
        <v>1</v>
      </c>
      <c r="U1408" s="13">
        <f t="shared" si="1460"/>
        <v>1</v>
      </c>
      <c r="V1408" s="13">
        <f t="shared" si="1460"/>
        <v>0</v>
      </c>
      <c r="W1408" s="13">
        <f t="shared" si="1460"/>
        <v>0</v>
      </c>
      <c r="X1408" s="13">
        <f t="shared" si="1460"/>
        <v>0</v>
      </c>
      <c r="Y1408" s="13">
        <f t="shared" si="1460"/>
        <v>0</v>
      </c>
      <c r="Z1408" s="13">
        <f t="shared" si="529"/>
        <v>1</v>
      </c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</row>
    <row r="1409" ht="14.25" hidden="1" customHeight="1">
      <c r="A1409" s="26" t="s">
        <v>46</v>
      </c>
      <c r="B1409" s="31" t="s">
        <v>53</v>
      </c>
      <c r="C1409" s="26" t="s">
        <v>766</v>
      </c>
      <c r="D1409" s="26" t="s">
        <v>177</v>
      </c>
      <c r="E1409" s="13" t="str">
        <f t="shared" si="735"/>
        <v>PALM,220D,AD,1</v>
      </c>
      <c r="F1409" s="26"/>
      <c r="G1409" s="26" t="s">
        <v>111</v>
      </c>
      <c r="H1409" s="26" t="s">
        <v>75</v>
      </c>
      <c r="I1409" s="13"/>
      <c r="J1409" s="13"/>
      <c r="K1409" s="28">
        <v>1.0</v>
      </c>
      <c r="L1409" s="28">
        <v>1.0</v>
      </c>
      <c r="M1409" s="16"/>
      <c r="N1409" s="16"/>
      <c r="O1409" s="17"/>
      <c r="P1409" s="17"/>
      <c r="Q1409" s="13"/>
      <c r="R1409" s="13"/>
      <c r="S1409" s="13"/>
      <c r="T1409" s="13">
        <f t="shared" ref="T1409:Y1409" si="1461">IF(ISBLANK(K1409)=TRUE,0,1)</f>
        <v>1</v>
      </c>
      <c r="U1409" s="13">
        <f t="shared" si="1461"/>
        <v>1</v>
      </c>
      <c r="V1409" s="13">
        <f t="shared" si="1461"/>
        <v>0</v>
      </c>
      <c r="W1409" s="13">
        <f t="shared" si="1461"/>
        <v>0</v>
      </c>
      <c r="X1409" s="13">
        <f t="shared" si="1461"/>
        <v>0</v>
      </c>
      <c r="Y1409" s="13">
        <f t="shared" si="1461"/>
        <v>0</v>
      </c>
      <c r="Z1409" s="13">
        <f t="shared" si="529"/>
        <v>1</v>
      </c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</row>
    <row r="1410" ht="14.25" hidden="1" customHeight="1">
      <c r="A1410" s="26" t="s">
        <v>46</v>
      </c>
      <c r="B1410" s="31" t="s">
        <v>53</v>
      </c>
      <c r="C1410" s="26" t="s">
        <v>766</v>
      </c>
      <c r="D1410" s="26" t="s">
        <v>179</v>
      </c>
      <c r="E1410" s="13" t="str">
        <f t="shared" si="735"/>
        <v>PALM,220D,AF,1</v>
      </c>
      <c r="F1410" s="26"/>
      <c r="G1410" s="26" t="s">
        <v>111</v>
      </c>
      <c r="H1410" s="26" t="s">
        <v>75</v>
      </c>
      <c r="I1410" s="13"/>
      <c r="J1410" s="13"/>
      <c r="K1410" s="28">
        <v>1.0</v>
      </c>
      <c r="L1410" s="28">
        <v>1.0</v>
      </c>
      <c r="M1410" s="16"/>
      <c r="N1410" s="16"/>
      <c r="O1410" s="17"/>
      <c r="P1410" s="17"/>
      <c r="Q1410" s="13"/>
      <c r="R1410" s="13"/>
      <c r="S1410" s="13"/>
      <c r="T1410" s="13">
        <f t="shared" ref="T1410:Y1410" si="1462">IF(ISBLANK(K1410)=TRUE,0,1)</f>
        <v>1</v>
      </c>
      <c r="U1410" s="13">
        <f t="shared" si="1462"/>
        <v>1</v>
      </c>
      <c r="V1410" s="13">
        <f t="shared" si="1462"/>
        <v>0</v>
      </c>
      <c r="W1410" s="13">
        <f t="shared" si="1462"/>
        <v>0</v>
      </c>
      <c r="X1410" s="13">
        <f t="shared" si="1462"/>
        <v>0</v>
      </c>
      <c r="Y1410" s="13">
        <f t="shared" si="1462"/>
        <v>0</v>
      </c>
      <c r="Z1410" s="13">
        <f t="shared" si="529"/>
        <v>1</v>
      </c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</row>
    <row r="1411" ht="14.25" hidden="1" customHeight="1">
      <c r="A1411" s="26" t="s">
        <v>46</v>
      </c>
      <c r="B1411" s="31" t="s">
        <v>53</v>
      </c>
      <c r="C1411" s="26" t="s">
        <v>766</v>
      </c>
      <c r="D1411" s="26" t="s">
        <v>180</v>
      </c>
      <c r="E1411" s="13" t="str">
        <f t="shared" si="735"/>
        <v>PALM,220D,AG,1</v>
      </c>
      <c r="F1411" s="26"/>
      <c r="G1411" s="26" t="s">
        <v>111</v>
      </c>
      <c r="H1411" s="26" t="s">
        <v>75</v>
      </c>
      <c r="I1411" s="13"/>
      <c r="J1411" s="13"/>
      <c r="K1411" s="28">
        <v>1.0</v>
      </c>
      <c r="L1411" s="28">
        <v>1.0</v>
      </c>
      <c r="M1411" s="16"/>
      <c r="N1411" s="16"/>
      <c r="O1411" s="17"/>
      <c r="P1411" s="17"/>
      <c r="Q1411" s="13"/>
      <c r="R1411" s="13"/>
      <c r="S1411" s="13"/>
      <c r="T1411" s="13">
        <f t="shared" ref="T1411:Y1411" si="1463">IF(ISBLANK(K1411)=TRUE,0,1)</f>
        <v>1</v>
      </c>
      <c r="U1411" s="13">
        <f t="shared" si="1463"/>
        <v>1</v>
      </c>
      <c r="V1411" s="13">
        <f t="shared" si="1463"/>
        <v>0</v>
      </c>
      <c r="W1411" s="13">
        <f t="shared" si="1463"/>
        <v>0</v>
      </c>
      <c r="X1411" s="13">
        <f t="shared" si="1463"/>
        <v>0</v>
      </c>
      <c r="Y1411" s="13">
        <f t="shared" si="1463"/>
        <v>0</v>
      </c>
      <c r="Z1411" s="13">
        <f t="shared" si="529"/>
        <v>1</v>
      </c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</row>
    <row r="1412" ht="14.25" hidden="1" customHeight="1">
      <c r="A1412" s="26" t="s">
        <v>46</v>
      </c>
      <c r="B1412" s="31" t="s">
        <v>53</v>
      </c>
      <c r="C1412" s="26" t="s">
        <v>766</v>
      </c>
      <c r="D1412" s="26" t="s">
        <v>181</v>
      </c>
      <c r="E1412" s="13" t="str">
        <f t="shared" si="735"/>
        <v>PALM,220D,AH,1</v>
      </c>
      <c r="F1412" s="26"/>
      <c r="G1412" s="26" t="s">
        <v>111</v>
      </c>
      <c r="H1412" s="26" t="s">
        <v>75</v>
      </c>
      <c r="I1412" s="13"/>
      <c r="J1412" s="13"/>
      <c r="K1412" s="28">
        <v>1.0</v>
      </c>
      <c r="L1412" s="28">
        <v>1.0</v>
      </c>
      <c r="M1412" s="16"/>
      <c r="N1412" s="16"/>
      <c r="O1412" s="17"/>
      <c r="P1412" s="17"/>
      <c r="Q1412" s="13"/>
      <c r="R1412" s="13"/>
      <c r="S1412" s="13"/>
      <c r="T1412" s="13">
        <f t="shared" ref="T1412:Y1412" si="1464">IF(ISBLANK(K1412)=TRUE,0,1)</f>
        <v>1</v>
      </c>
      <c r="U1412" s="13">
        <f t="shared" si="1464"/>
        <v>1</v>
      </c>
      <c r="V1412" s="13">
        <f t="shared" si="1464"/>
        <v>0</v>
      </c>
      <c r="W1412" s="13">
        <f t="shared" si="1464"/>
        <v>0</v>
      </c>
      <c r="X1412" s="13">
        <f t="shared" si="1464"/>
        <v>0</v>
      </c>
      <c r="Y1412" s="13">
        <f t="shared" si="1464"/>
        <v>0</v>
      </c>
      <c r="Z1412" s="13">
        <f t="shared" si="529"/>
        <v>1</v>
      </c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</row>
    <row r="1413" ht="14.25" hidden="1" customHeight="1">
      <c r="A1413" s="26" t="s">
        <v>46</v>
      </c>
      <c r="B1413" s="31" t="s">
        <v>53</v>
      </c>
      <c r="C1413" s="26" t="s">
        <v>766</v>
      </c>
      <c r="D1413" s="26" t="s">
        <v>182</v>
      </c>
      <c r="E1413" s="13" t="str">
        <f t="shared" si="735"/>
        <v>PALM,220D,AI,1</v>
      </c>
      <c r="F1413" s="26"/>
      <c r="G1413" s="26" t="s">
        <v>111</v>
      </c>
      <c r="H1413" s="26" t="s">
        <v>75</v>
      </c>
      <c r="I1413" s="13"/>
      <c r="J1413" s="13"/>
      <c r="K1413" s="28">
        <v>1.0</v>
      </c>
      <c r="L1413" s="28">
        <v>1.0</v>
      </c>
      <c r="M1413" s="16"/>
      <c r="N1413" s="16"/>
      <c r="O1413" s="17"/>
      <c r="P1413" s="17"/>
      <c r="Q1413" s="13"/>
      <c r="R1413" s="13"/>
      <c r="S1413" s="13"/>
      <c r="T1413" s="13">
        <f t="shared" ref="T1413:Y1413" si="1465">IF(ISBLANK(K1413)=TRUE,0,1)</f>
        <v>1</v>
      </c>
      <c r="U1413" s="13">
        <f t="shared" si="1465"/>
        <v>1</v>
      </c>
      <c r="V1413" s="13">
        <f t="shared" si="1465"/>
        <v>0</v>
      </c>
      <c r="W1413" s="13">
        <f t="shared" si="1465"/>
        <v>0</v>
      </c>
      <c r="X1413" s="13">
        <f t="shared" si="1465"/>
        <v>0</v>
      </c>
      <c r="Y1413" s="13">
        <f t="shared" si="1465"/>
        <v>0</v>
      </c>
      <c r="Z1413" s="13">
        <f t="shared" si="529"/>
        <v>1</v>
      </c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</row>
    <row r="1414" ht="14.25" hidden="1" customHeight="1">
      <c r="A1414" s="26" t="s">
        <v>46</v>
      </c>
      <c r="B1414" s="31" t="s">
        <v>53</v>
      </c>
      <c r="C1414" s="26" t="s">
        <v>766</v>
      </c>
      <c r="D1414" s="26" t="s">
        <v>183</v>
      </c>
      <c r="E1414" s="13" t="str">
        <f t="shared" si="735"/>
        <v>PALM,220D,AJ,1</v>
      </c>
      <c r="F1414" s="26"/>
      <c r="G1414" s="26" t="s">
        <v>111</v>
      </c>
      <c r="H1414" s="26" t="s">
        <v>75</v>
      </c>
      <c r="I1414" s="13"/>
      <c r="J1414" s="13"/>
      <c r="K1414" s="28">
        <v>1.0</v>
      </c>
      <c r="L1414" s="28">
        <v>1.0</v>
      </c>
      <c r="M1414" s="16"/>
      <c r="N1414" s="16"/>
      <c r="O1414" s="17"/>
      <c r="P1414" s="17"/>
      <c r="Q1414" s="13"/>
      <c r="R1414" s="13"/>
      <c r="S1414" s="13"/>
      <c r="T1414" s="13">
        <f t="shared" ref="T1414:Y1414" si="1466">IF(ISBLANK(K1414)=TRUE,0,1)</f>
        <v>1</v>
      </c>
      <c r="U1414" s="13">
        <f t="shared" si="1466"/>
        <v>1</v>
      </c>
      <c r="V1414" s="13">
        <f t="shared" si="1466"/>
        <v>0</v>
      </c>
      <c r="W1414" s="13">
        <f t="shared" si="1466"/>
        <v>0</v>
      </c>
      <c r="X1414" s="13">
        <f t="shared" si="1466"/>
        <v>0</v>
      </c>
      <c r="Y1414" s="13">
        <f t="shared" si="1466"/>
        <v>0</v>
      </c>
      <c r="Z1414" s="13">
        <f t="shared" si="529"/>
        <v>1</v>
      </c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</row>
    <row r="1415" ht="14.25" hidden="1" customHeight="1">
      <c r="A1415" s="26" t="s">
        <v>46</v>
      </c>
      <c r="B1415" s="31" t="s">
        <v>53</v>
      </c>
      <c r="C1415" s="26" t="s">
        <v>766</v>
      </c>
      <c r="D1415" s="26" t="s">
        <v>184</v>
      </c>
      <c r="E1415" s="13" t="str">
        <f t="shared" si="735"/>
        <v>PALM,220D,AK,1</v>
      </c>
      <c r="F1415" s="26"/>
      <c r="G1415" s="26" t="s">
        <v>111</v>
      </c>
      <c r="H1415" s="26" t="s">
        <v>75</v>
      </c>
      <c r="I1415" s="13"/>
      <c r="J1415" s="13"/>
      <c r="K1415" s="28">
        <v>1.0</v>
      </c>
      <c r="L1415" s="28">
        <v>1.0</v>
      </c>
      <c r="M1415" s="16"/>
      <c r="N1415" s="16"/>
      <c r="O1415" s="17"/>
      <c r="P1415" s="17"/>
      <c r="Q1415" s="13"/>
      <c r="R1415" s="13"/>
      <c r="S1415" s="13"/>
      <c r="T1415" s="13">
        <f t="shared" ref="T1415:Y1415" si="1467">IF(ISBLANK(K1415)=TRUE,0,1)</f>
        <v>1</v>
      </c>
      <c r="U1415" s="13">
        <f t="shared" si="1467"/>
        <v>1</v>
      </c>
      <c r="V1415" s="13">
        <f t="shared" si="1467"/>
        <v>0</v>
      </c>
      <c r="W1415" s="13">
        <f t="shared" si="1467"/>
        <v>0</v>
      </c>
      <c r="X1415" s="13">
        <f t="shared" si="1467"/>
        <v>0</v>
      </c>
      <c r="Y1415" s="13">
        <f t="shared" si="1467"/>
        <v>0</v>
      </c>
      <c r="Z1415" s="13">
        <f t="shared" si="529"/>
        <v>1</v>
      </c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</row>
    <row r="1416" ht="14.25" hidden="1" customHeight="1">
      <c r="A1416" s="26" t="s">
        <v>46</v>
      </c>
      <c r="B1416" s="31" t="s">
        <v>53</v>
      </c>
      <c r="C1416" s="26" t="s">
        <v>766</v>
      </c>
      <c r="D1416" s="26" t="s">
        <v>185</v>
      </c>
      <c r="E1416" s="13" t="str">
        <f t="shared" si="735"/>
        <v>PALM,220D,AL,1</v>
      </c>
      <c r="F1416" s="26"/>
      <c r="G1416" s="26" t="s">
        <v>111</v>
      </c>
      <c r="H1416" s="26" t="s">
        <v>75</v>
      </c>
      <c r="I1416" s="13"/>
      <c r="J1416" s="13"/>
      <c r="K1416" s="28">
        <v>1.0</v>
      </c>
      <c r="L1416" s="28">
        <v>1.0</v>
      </c>
      <c r="M1416" s="16"/>
      <c r="N1416" s="16"/>
      <c r="O1416" s="17"/>
      <c r="P1416" s="17"/>
      <c r="Q1416" s="13"/>
      <c r="R1416" s="13"/>
      <c r="S1416" s="13"/>
      <c r="T1416" s="13">
        <f t="shared" ref="T1416:Y1416" si="1468">IF(ISBLANK(K1416)=TRUE,0,1)</f>
        <v>1</v>
      </c>
      <c r="U1416" s="13">
        <f t="shared" si="1468"/>
        <v>1</v>
      </c>
      <c r="V1416" s="13">
        <f t="shared" si="1468"/>
        <v>0</v>
      </c>
      <c r="W1416" s="13">
        <f t="shared" si="1468"/>
        <v>0</v>
      </c>
      <c r="X1416" s="13">
        <f t="shared" si="1468"/>
        <v>0</v>
      </c>
      <c r="Y1416" s="13">
        <f t="shared" si="1468"/>
        <v>0</v>
      </c>
      <c r="Z1416" s="13">
        <f t="shared" si="529"/>
        <v>1</v>
      </c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</row>
    <row r="1417" ht="14.25" hidden="1" customHeight="1">
      <c r="A1417" s="26" t="s">
        <v>46</v>
      </c>
      <c r="B1417" s="31" t="s">
        <v>53</v>
      </c>
      <c r="C1417" s="26" t="s">
        <v>766</v>
      </c>
      <c r="D1417" s="26" t="s">
        <v>186</v>
      </c>
      <c r="E1417" s="13" t="str">
        <f t="shared" si="735"/>
        <v>PALM,220D,AM,1</v>
      </c>
      <c r="F1417" s="26"/>
      <c r="G1417" s="26" t="s">
        <v>111</v>
      </c>
      <c r="H1417" s="26" t="s">
        <v>75</v>
      </c>
      <c r="I1417" s="13"/>
      <c r="J1417" s="13"/>
      <c r="K1417" s="28">
        <v>1.0</v>
      </c>
      <c r="L1417" s="28">
        <v>1.0</v>
      </c>
      <c r="M1417" s="16"/>
      <c r="N1417" s="16"/>
      <c r="O1417" s="17"/>
      <c r="P1417" s="17"/>
      <c r="Q1417" s="13"/>
      <c r="R1417" s="13"/>
      <c r="S1417" s="13"/>
      <c r="T1417" s="13">
        <f t="shared" ref="T1417:Y1417" si="1469">IF(ISBLANK(K1417)=TRUE,0,1)</f>
        <v>1</v>
      </c>
      <c r="U1417" s="13">
        <f t="shared" si="1469"/>
        <v>1</v>
      </c>
      <c r="V1417" s="13">
        <f t="shared" si="1469"/>
        <v>0</v>
      </c>
      <c r="W1417" s="13">
        <f t="shared" si="1469"/>
        <v>0</v>
      </c>
      <c r="X1417" s="13">
        <f t="shared" si="1469"/>
        <v>0</v>
      </c>
      <c r="Y1417" s="13">
        <f t="shared" si="1469"/>
        <v>0</v>
      </c>
      <c r="Z1417" s="13">
        <f t="shared" si="529"/>
        <v>1</v>
      </c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</row>
    <row r="1418" ht="14.25" hidden="1" customHeight="1">
      <c r="A1418" s="26" t="s">
        <v>46</v>
      </c>
      <c r="B1418" s="31" t="s">
        <v>53</v>
      </c>
      <c r="C1418" s="26" t="s">
        <v>766</v>
      </c>
      <c r="D1418" s="26" t="s">
        <v>187</v>
      </c>
      <c r="E1418" s="13" t="str">
        <f t="shared" si="735"/>
        <v>PALM,220D,AN,1</v>
      </c>
      <c r="F1418" s="26"/>
      <c r="G1418" s="26" t="s">
        <v>111</v>
      </c>
      <c r="H1418" s="26" t="s">
        <v>75</v>
      </c>
      <c r="I1418" s="13"/>
      <c r="J1418" s="13"/>
      <c r="K1418" s="28">
        <v>1.0</v>
      </c>
      <c r="L1418" s="28">
        <v>1.0</v>
      </c>
      <c r="M1418" s="16"/>
      <c r="N1418" s="16"/>
      <c r="O1418" s="17"/>
      <c r="P1418" s="17"/>
      <c r="Q1418" s="13"/>
      <c r="R1418" s="13"/>
      <c r="S1418" s="13"/>
      <c r="T1418" s="13">
        <f t="shared" ref="T1418:Y1418" si="1470">IF(ISBLANK(K1418)=TRUE,0,1)</f>
        <v>1</v>
      </c>
      <c r="U1418" s="13">
        <f t="shared" si="1470"/>
        <v>1</v>
      </c>
      <c r="V1418" s="13">
        <f t="shared" si="1470"/>
        <v>0</v>
      </c>
      <c r="W1418" s="13">
        <f t="shared" si="1470"/>
        <v>0</v>
      </c>
      <c r="X1418" s="13">
        <f t="shared" si="1470"/>
        <v>0</v>
      </c>
      <c r="Y1418" s="13">
        <f t="shared" si="1470"/>
        <v>0</v>
      </c>
      <c r="Z1418" s="13">
        <f t="shared" si="529"/>
        <v>1</v>
      </c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</row>
    <row r="1419" ht="14.25" hidden="1" customHeight="1">
      <c r="A1419" s="26" t="s">
        <v>46</v>
      </c>
      <c r="B1419" s="31" t="s">
        <v>53</v>
      </c>
      <c r="C1419" s="26" t="s">
        <v>766</v>
      </c>
      <c r="D1419" s="26" t="s">
        <v>188</v>
      </c>
      <c r="E1419" s="13" t="str">
        <f t="shared" si="735"/>
        <v>PALM,220D,AO,1</v>
      </c>
      <c r="F1419" s="26"/>
      <c r="G1419" s="26" t="s">
        <v>111</v>
      </c>
      <c r="H1419" s="26" t="s">
        <v>75</v>
      </c>
      <c r="I1419" s="13"/>
      <c r="J1419" s="13"/>
      <c r="K1419" s="28">
        <v>1.0</v>
      </c>
      <c r="L1419" s="28">
        <v>1.0</v>
      </c>
      <c r="M1419" s="16"/>
      <c r="N1419" s="16"/>
      <c r="O1419" s="17"/>
      <c r="P1419" s="17"/>
      <c r="Q1419" s="13"/>
      <c r="R1419" s="13"/>
      <c r="S1419" s="13"/>
      <c r="T1419" s="13">
        <f t="shared" ref="T1419:Y1419" si="1471">IF(ISBLANK(K1419)=TRUE,0,1)</f>
        <v>1</v>
      </c>
      <c r="U1419" s="13">
        <f t="shared" si="1471"/>
        <v>1</v>
      </c>
      <c r="V1419" s="13">
        <f t="shared" si="1471"/>
        <v>0</v>
      </c>
      <c r="W1419" s="13">
        <f t="shared" si="1471"/>
        <v>0</v>
      </c>
      <c r="X1419" s="13">
        <f t="shared" si="1471"/>
        <v>0</v>
      </c>
      <c r="Y1419" s="13">
        <f t="shared" si="1471"/>
        <v>0</v>
      </c>
      <c r="Z1419" s="13">
        <f t="shared" si="529"/>
        <v>1</v>
      </c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</row>
    <row r="1420" ht="14.25" hidden="1" customHeight="1">
      <c r="A1420" s="26" t="s">
        <v>46</v>
      </c>
      <c r="B1420" s="31" t="s">
        <v>53</v>
      </c>
      <c r="C1420" s="26" t="s">
        <v>766</v>
      </c>
      <c r="D1420" s="26" t="s">
        <v>189</v>
      </c>
      <c r="E1420" s="13" t="str">
        <f t="shared" si="735"/>
        <v>PALM,220D,AP,1</v>
      </c>
      <c r="F1420" s="26"/>
      <c r="G1420" s="26" t="s">
        <v>111</v>
      </c>
      <c r="H1420" s="26" t="s">
        <v>75</v>
      </c>
      <c r="I1420" s="13"/>
      <c r="J1420" s="13"/>
      <c r="K1420" s="28">
        <v>1.0</v>
      </c>
      <c r="L1420" s="28">
        <v>1.0</v>
      </c>
      <c r="M1420" s="16"/>
      <c r="N1420" s="16"/>
      <c r="O1420" s="17"/>
      <c r="P1420" s="17"/>
      <c r="Q1420" s="13"/>
      <c r="R1420" s="13"/>
      <c r="S1420" s="13"/>
      <c r="T1420" s="13">
        <f t="shared" ref="T1420:Y1420" si="1472">IF(ISBLANK(K1420)=TRUE,0,1)</f>
        <v>1</v>
      </c>
      <c r="U1420" s="13">
        <f t="shared" si="1472"/>
        <v>1</v>
      </c>
      <c r="V1420" s="13">
        <f t="shared" si="1472"/>
        <v>0</v>
      </c>
      <c r="W1420" s="13">
        <f t="shared" si="1472"/>
        <v>0</v>
      </c>
      <c r="X1420" s="13">
        <f t="shared" si="1472"/>
        <v>0</v>
      </c>
      <c r="Y1420" s="13">
        <f t="shared" si="1472"/>
        <v>0</v>
      </c>
      <c r="Z1420" s="13">
        <f t="shared" si="529"/>
        <v>1</v>
      </c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</row>
    <row r="1421" ht="14.25" hidden="1" customHeight="1">
      <c r="A1421" s="26" t="s">
        <v>46</v>
      </c>
      <c r="B1421" s="31" t="s">
        <v>53</v>
      </c>
      <c r="C1421" s="26" t="s">
        <v>766</v>
      </c>
      <c r="D1421" s="26" t="s">
        <v>196</v>
      </c>
      <c r="E1421" s="13" t="str">
        <f t="shared" si="735"/>
        <v>PALM,220D,AW,1</v>
      </c>
      <c r="F1421" s="26"/>
      <c r="G1421" s="26" t="s">
        <v>111</v>
      </c>
      <c r="H1421" s="26" t="s">
        <v>107</v>
      </c>
      <c r="I1421" s="13"/>
      <c r="J1421" s="13"/>
      <c r="K1421" s="15">
        <v>1.0</v>
      </c>
      <c r="L1421" s="15">
        <v>1.0</v>
      </c>
      <c r="M1421" s="16"/>
      <c r="N1421" s="16"/>
      <c r="O1421" s="17"/>
      <c r="P1421" s="17"/>
      <c r="Q1421" s="13"/>
      <c r="R1421" s="13"/>
      <c r="S1421" s="13"/>
      <c r="T1421" s="13">
        <f t="shared" ref="T1421:Y1421" si="1473">IF(ISBLANK(K1421)=TRUE,0,1)</f>
        <v>1</v>
      </c>
      <c r="U1421" s="13">
        <f t="shared" si="1473"/>
        <v>1</v>
      </c>
      <c r="V1421" s="13">
        <f t="shared" si="1473"/>
        <v>0</v>
      </c>
      <c r="W1421" s="13">
        <f t="shared" si="1473"/>
        <v>0</v>
      </c>
      <c r="X1421" s="13">
        <f t="shared" si="1473"/>
        <v>0</v>
      </c>
      <c r="Y1421" s="13">
        <f t="shared" si="1473"/>
        <v>0</v>
      </c>
      <c r="Z1421" s="13">
        <f t="shared" si="529"/>
        <v>1</v>
      </c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</row>
    <row r="1422" ht="14.25" hidden="1" customHeight="1">
      <c r="A1422" s="26" t="s">
        <v>46</v>
      </c>
      <c r="B1422" s="31" t="s">
        <v>53</v>
      </c>
      <c r="C1422" s="26" t="s">
        <v>766</v>
      </c>
      <c r="D1422" s="26" t="s">
        <v>197</v>
      </c>
      <c r="E1422" s="13" t="str">
        <f t="shared" si="735"/>
        <v>PALM,220D,AX,1</v>
      </c>
      <c r="F1422" s="26"/>
      <c r="G1422" s="26" t="s">
        <v>111</v>
      </c>
      <c r="H1422" s="26" t="s">
        <v>75</v>
      </c>
      <c r="I1422" s="13"/>
      <c r="J1422" s="13"/>
      <c r="K1422" s="15">
        <v>1.0</v>
      </c>
      <c r="L1422" s="15">
        <v>1.0</v>
      </c>
      <c r="M1422" s="16"/>
      <c r="N1422" s="16"/>
      <c r="O1422" s="17"/>
      <c r="P1422" s="17"/>
      <c r="Q1422" s="13"/>
      <c r="R1422" s="13"/>
      <c r="S1422" s="13"/>
      <c r="T1422" s="13">
        <f t="shared" ref="T1422:Y1422" si="1474">IF(ISBLANK(K1422)=TRUE,0,1)</f>
        <v>1</v>
      </c>
      <c r="U1422" s="13">
        <f t="shared" si="1474"/>
        <v>1</v>
      </c>
      <c r="V1422" s="13">
        <f t="shared" si="1474"/>
        <v>0</v>
      </c>
      <c r="W1422" s="13">
        <f t="shared" si="1474"/>
        <v>0</v>
      </c>
      <c r="X1422" s="13">
        <f t="shared" si="1474"/>
        <v>0</v>
      </c>
      <c r="Y1422" s="13">
        <f t="shared" si="1474"/>
        <v>0</v>
      </c>
      <c r="Z1422" s="13">
        <f t="shared" si="529"/>
        <v>1</v>
      </c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</row>
    <row r="1423" ht="14.25" hidden="1" customHeight="1">
      <c r="A1423" s="26" t="s">
        <v>46</v>
      </c>
      <c r="B1423" s="31" t="s">
        <v>53</v>
      </c>
      <c r="C1423" s="26">
        <v>221.0</v>
      </c>
      <c r="D1423" s="26" t="s">
        <v>436</v>
      </c>
      <c r="E1423" s="13" t="str">
        <f t="shared" si="735"/>
        <v>PALM,221,BB,NA</v>
      </c>
      <c r="F1423" s="26"/>
      <c r="G1423" s="26" t="s">
        <v>111</v>
      </c>
      <c r="H1423" s="26" t="s">
        <v>75</v>
      </c>
      <c r="I1423" s="13"/>
      <c r="J1423" s="13"/>
      <c r="K1423" s="15"/>
      <c r="L1423" s="15"/>
      <c r="M1423" s="16"/>
      <c r="N1423" s="16"/>
      <c r="O1423" s="17"/>
      <c r="P1423" s="17"/>
      <c r="Q1423" s="13"/>
      <c r="R1423" s="13"/>
      <c r="S1423" s="13"/>
      <c r="T1423" s="13">
        <f t="shared" ref="T1423:Y1423" si="1475">IF(ISBLANK(K1423)=TRUE,0,1)</f>
        <v>0</v>
      </c>
      <c r="U1423" s="13">
        <f t="shared" si="1475"/>
        <v>0</v>
      </c>
      <c r="V1423" s="13">
        <f t="shared" si="1475"/>
        <v>0</v>
      </c>
      <c r="W1423" s="13">
        <f t="shared" si="1475"/>
        <v>0</v>
      </c>
      <c r="X1423" s="13">
        <f t="shared" si="1475"/>
        <v>0</v>
      </c>
      <c r="Y1423" s="13">
        <f t="shared" si="1475"/>
        <v>0</v>
      </c>
      <c r="Z1423" s="13" t="str">
        <f t="shared" si="529"/>
        <v>NA</v>
      </c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</row>
    <row r="1424" ht="14.25" hidden="1" customHeight="1">
      <c r="A1424" s="26" t="s">
        <v>46</v>
      </c>
      <c r="B1424" s="31" t="s">
        <v>53</v>
      </c>
      <c r="C1424" s="26" t="s">
        <v>767</v>
      </c>
      <c r="D1424" s="26" t="s">
        <v>181</v>
      </c>
      <c r="E1424" s="13" t="str">
        <f t="shared" si="735"/>
        <v>PALM,222-A,AH,1</v>
      </c>
      <c r="F1424" s="26"/>
      <c r="G1424" s="26" t="s">
        <v>111</v>
      </c>
      <c r="H1424" s="26" t="s">
        <v>75</v>
      </c>
      <c r="I1424" s="13"/>
      <c r="J1424" s="13"/>
      <c r="K1424" s="28">
        <v>1.0</v>
      </c>
      <c r="L1424" s="28">
        <v>1.0</v>
      </c>
      <c r="M1424" s="16"/>
      <c r="N1424" s="16"/>
      <c r="O1424" s="17"/>
      <c r="P1424" s="17"/>
      <c r="Q1424" s="13"/>
      <c r="R1424" s="13"/>
      <c r="S1424" s="13"/>
      <c r="T1424" s="13">
        <f t="shared" ref="T1424:Y1424" si="1476">IF(ISBLANK(K1424)=TRUE,0,1)</f>
        <v>1</v>
      </c>
      <c r="U1424" s="13">
        <f t="shared" si="1476"/>
        <v>1</v>
      </c>
      <c r="V1424" s="13">
        <f t="shared" si="1476"/>
        <v>0</v>
      </c>
      <c r="W1424" s="13">
        <f t="shared" si="1476"/>
        <v>0</v>
      </c>
      <c r="X1424" s="13">
        <f t="shared" si="1476"/>
        <v>0</v>
      </c>
      <c r="Y1424" s="13">
        <f t="shared" si="1476"/>
        <v>0</v>
      </c>
      <c r="Z1424" s="13">
        <f t="shared" si="529"/>
        <v>1</v>
      </c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</row>
    <row r="1425" ht="14.25" hidden="1" customHeight="1">
      <c r="A1425" s="26" t="s">
        <v>46</v>
      </c>
      <c r="B1425" s="31" t="s">
        <v>53</v>
      </c>
      <c r="C1425" s="26" t="s">
        <v>767</v>
      </c>
      <c r="D1425" s="26" t="s">
        <v>182</v>
      </c>
      <c r="E1425" s="13" t="str">
        <f t="shared" si="735"/>
        <v>PALM,222-A,AI,1</v>
      </c>
      <c r="F1425" s="26"/>
      <c r="G1425" s="26" t="s">
        <v>111</v>
      </c>
      <c r="H1425" s="26" t="s">
        <v>75</v>
      </c>
      <c r="I1425" s="13"/>
      <c r="J1425" s="13"/>
      <c r="K1425" s="28">
        <v>1.0</v>
      </c>
      <c r="L1425" s="28">
        <v>1.0</v>
      </c>
      <c r="M1425" s="16"/>
      <c r="N1425" s="16"/>
      <c r="O1425" s="17"/>
      <c r="P1425" s="17"/>
      <c r="Q1425" s="13"/>
      <c r="R1425" s="13"/>
      <c r="S1425" s="13"/>
      <c r="T1425" s="13">
        <f t="shared" ref="T1425:Y1425" si="1477">IF(ISBLANK(K1425)=TRUE,0,1)</f>
        <v>1</v>
      </c>
      <c r="U1425" s="13">
        <f t="shared" si="1477"/>
        <v>1</v>
      </c>
      <c r="V1425" s="13">
        <f t="shared" si="1477"/>
        <v>0</v>
      </c>
      <c r="W1425" s="13">
        <f t="shared" si="1477"/>
        <v>0</v>
      </c>
      <c r="X1425" s="13">
        <f t="shared" si="1477"/>
        <v>0</v>
      </c>
      <c r="Y1425" s="13">
        <f t="shared" si="1477"/>
        <v>0</v>
      </c>
      <c r="Z1425" s="13">
        <f t="shared" si="529"/>
        <v>1</v>
      </c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</row>
    <row r="1426" ht="14.25" hidden="1" customHeight="1">
      <c r="A1426" s="26" t="s">
        <v>46</v>
      </c>
      <c r="B1426" s="31" t="s">
        <v>53</v>
      </c>
      <c r="C1426" s="26" t="s">
        <v>767</v>
      </c>
      <c r="D1426" s="26" t="s">
        <v>183</v>
      </c>
      <c r="E1426" s="13" t="str">
        <f t="shared" si="735"/>
        <v>PALM,222-A,AJ,1</v>
      </c>
      <c r="F1426" s="26"/>
      <c r="G1426" s="26" t="s">
        <v>111</v>
      </c>
      <c r="H1426" s="26" t="s">
        <v>75</v>
      </c>
      <c r="I1426" s="13"/>
      <c r="J1426" s="13"/>
      <c r="K1426" s="28">
        <v>1.0</v>
      </c>
      <c r="L1426" s="28">
        <v>1.0</v>
      </c>
      <c r="M1426" s="16"/>
      <c r="N1426" s="16"/>
      <c r="O1426" s="17"/>
      <c r="P1426" s="17"/>
      <c r="Q1426" s="13"/>
      <c r="R1426" s="13"/>
      <c r="S1426" s="13"/>
      <c r="T1426" s="13">
        <f t="shared" ref="T1426:Y1426" si="1478">IF(ISBLANK(K1426)=TRUE,0,1)</f>
        <v>1</v>
      </c>
      <c r="U1426" s="13">
        <f t="shared" si="1478"/>
        <v>1</v>
      </c>
      <c r="V1426" s="13">
        <f t="shared" si="1478"/>
        <v>0</v>
      </c>
      <c r="W1426" s="13">
        <f t="shared" si="1478"/>
        <v>0</v>
      </c>
      <c r="X1426" s="13">
        <f t="shared" si="1478"/>
        <v>0</v>
      </c>
      <c r="Y1426" s="13">
        <f t="shared" si="1478"/>
        <v>0</v>
      </c>
      <c r="Z1426" s="13">
        <f t="shared" si="529"/>
        <v>1</v>
      </c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</row>
    <row r="1427" ht="14.25" hidden="1" customHeight="1">
      <c r="A1427" s="26" t="s">
        <v>46</v>
      </c>
      <c r="B1427" s="31" t="s">
        <v>53</v>
      </c>
      <c r="C1427" s="26" t="s">
        <v>767</v>
      </c>
      <c r="D1427" s="26" t="s">
        <v>184</v>
      </c>
      <c r="E1427" s="13" t="str">
        <f t="shared" si="735"/>
        <v>PALM,222-A,AK,1</v>
      </c>
      <c r="F1427" s="26"/>
      <c r="G1427" s="26" t="s">
        <v>111</v>
      </c>
      <c r="H1427" s="26" t="s">
        <v>75</v>
      </c>
      <c r="I1427" s="13"/>
      <c r="J1427" s="13"/>
      <c r="K1427" s="28">
        <v>1.0</v>
      </c>
      <c r="L1427" s="28">
        <v>1.0</v>
      </c>
      <c r="M1427" s="16"/>
      <c r="N1427" s="16"/>
      <c r="O1427" s="17"/>
      <c r="P1427" s="17"/>
      <c r="Q1427" s="13"/>
      <c r="R1427" s="13"/>
      <c r="S1427" s="13"/>
      <c r="T1427" s="13">
        <f t="shared" ref="T1427:Y1427" si="1479">IF(ISBLANK(K1427)=TRUE,0,1)</f>
        <v>1</v>
      </c>
      <c r="U1427" s="13">
        <f t="shared" si="1479"/>
        <v>1</v>
      </c>
      <c r="V1427" s="13">
        <f t="shared" si="1479"/>
        <v>0</v>
      </c>
      <c r="W1427" s="13">
        <f t="shared" si="1479"/>
        <v>0</v>
      </c>
      <c r="X1427" s="13">
        <f t="shared" si="1479"/>
        <v>0</v>
      </c>
      <c r="Y1427" s="13">
        <f t="shared" si="1479"/>
        <v>0</v>
      </c>
      <c r="Z1427" s="13">
        <f t="shared" si="529"/>
        <v>1</v>
      </c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</row>
    <row r="1428" ht="14.25" hidden="1" customHeight="1">
      <c r="A1428" s="26" t="s">
        <v>46</v>
      </c>
      <c r="B1428" s="31" t="s">
        <v>53</v>
      </c>
      <c r="C1428" s="26" t="s">
        <v>767</v>
      </c>
      <c r="D1428" s="26" t="s">
        <v>185</v>
      </c>
      <c r="E1428" s="13" t="str">
        <f t="shared" si="735"/>
        <v>PALM,222-A,AL,1</v>
      </c>
      <c r="F1428" s="26"/>
      <c r="G1428" s="26" t="s">
        <v>111</v>
      </c>
      <c r="H1428" s="26" t="s">
        <v>75</v>
      </c>
      <c r="I1428" s="13"/>
      <c r="J1428" s="13"/>
      <c r="K1428" s="28">
        <v>1.0</v>
      </c>
      <c r="L1428" s="28">
        <v>1.0</v>
      </c>
      <c r="M1428" s="16"/>
      <c r="N1428" s="16"/>
      <c r="O1428" s="17"/>
      <c r="P1428" s="17"/>
      <c r="Q1428" s="13"/>
      <c r="R1428" s="13"/>
      <c r="S1428" s="13"/>
      <c r="T1428" s="13">
        <f t="shared" ref="T1428:Y1428" si="1480">IF(ISBLANK(K1428)=TRUE,0,1)</f>
        <v>1</v>
      </c>
      <c r="U1428" s="13">
        <f t="shared" si="1480"/>
        <v>1</v>
      </c>
      <c r="V1428" s="13">
        <f t="shared" si="1480"/>
        <v>0</v>
      </c>
      <c r="W1428" s="13">
        <f t="shared" si="1480"/>
        <v>0</v>
      </c>
      <c r="X1428" s="13">
        <f t="shared" si="1480"/>
        <v>0</v>
      </c>
      <c r="Y1428" s="13">
        <f t="shared" si="1480"/>
        <v>0</v>
      </c>
      <c r="Z1428" s="13">
        <f t="shared" si="529"/>
        <v>1</v>
      </c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</row>
    <row r="1429" ht="14.25" hidden="1" customHeight="1">
      <c r="A1429" s="26" t="s">
        <v>46</v>
      </c>
      <c r="B1429" s="31" t="s">
        <v>53</v>
      </c>
      <c r="C1429" s="26" t="s">
        <v>767</v>
      </c>
      <c r="D1429" s="26" t="s">
        <v>186</v>
      </c>
      <c r="E1429" s="13" t="str">
        <f t="shared" si="735"/>
        <v>PALM,222-A,AM,1</v>
      </c>
      <c r="F1429" s="26"/>
      <c r="G1429" s="26" t="s">
        <v>111</v>
      </c>
      <c r="H1429" s="26" t="s">
        <v>107</v>
      </c>
      <c r="I1429" s="13"/>
      <c r="J1429" s="13"/>
      <c r="K1429" s="28">
        <v>1.0</v>
      </c>
      <c r="L1429" s="28">
        <v>1.0</v>
      </c>
      <c r="M1429" s="16"/>
      <c r="N1429" s="16"/>
      <c r="O1429" s="17"/>
      <c r="P1429" s="17"/>
      <c r="Q1429" s="13"/>
      <c r="R1429" s="13"/>
      <c r="S1429" s="13"/>
      <c r="T1429" s="13">
        <f t="shared" ref="T1429:Y1429" si="1481">IF(ISBLANK(K1429)=TRUE,0,1)</f>
        <v>1</v>
      </c>
      <c r="U1429" s="13">
        <f t="shared" si="1481"/>
        <v>1</v>
      </c>
      <c r="V1429" s="13">
        <f t="shared" si="1481"/>
        <v>0</v>
      </c>
      <c r="W1429" s="13">
        <f t="shared" si="1481"/>
        <v>0</v>
      </c>
      <c r="X1429" s="13">
        <f t="shared" si="1481"/>
        <v>0</v>
      </c>
      <c r="Y1429" s="13">
        <f t="shared" si="1481"/>
        <v>0</v>
      </c>
      <c r="Z1429" s="13">
        <f t="shared" si="529"/>
        <v>1</v>
      </c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</row>
    <row r="1430" ht="14.25" hidden="1" customHeight="1">
      <c r="A1430" s="26" t="s">
        <v>46</v>
      </c>
      <c r="B1430" s="31" t="s">
        <v>53</v>
      </c>
      <c r="C1430" s="26" t="s">
        <v>767</v>
      </c>
      <c r="D1430" s="26" t="s">
        <v>187</v>
      </c>
      <c r="E1430" s="13" t="str">
        <f t="shared" si="735"/>
        <v>PALM,222-A,AN,1</v>
      </c>
      <c r="F1430" s="26"/>
      <c r="G1430" s="26" t="s">
        <v>111</v>
      </c>
      <c r="H1430" s="26" t="s">
        <v>75</v>
      </c>
      <c r="I1430" s="13"/>
      <c r="J1430" s="13"/>
      <c r="K1430" s="28">
        <v>1.0</v>
      </c>
      <c r="L1430" s="28">
        <v>1.0</v>
      </c>
      <c r="M1430" s="16"/>
      <c r="N1430" s="16"/>
      <c r="O1430" s="17"/>
      <c r="P1430" s="17"/>
      <c r="Q1430" s="13"/>
      <c r="R1430" s="13"/>
      <c r="S1430" s="13"/>
      <c r="T1430" s="13">
        <f t="shared" ref="T1430:Y1430" si="1482">IF(ISBLANK(K1430)=TRUE,0,1)</f>
        <v>1</v>
      </c>
      <c r="U1430" s="13">
        <f t="shared" si="1482"/>
        <v>1</v>
      </c>
      <c r="V1430" s="13">
        <f t="shared" si="1482"/>
        <v>0</v>
      </c>
      <c r="W1430" s="13">
        <f t="shared" si="1482"/>
        <v>0</v>
      </c>
      <c r="X1430" s="13">
        <f t="shared" si="1482"/>
        <v>0</v>
      </c>
      <c r="Y1430" s="13">
        <f t="shared" si="1482"/>
        <v>0</v>
      </c>
      <c r="Z1430" s="13">
        <f t="shared" si="529"/>
        <v>1</v>
      </c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</row>
    <row r="1431" ht="14.25" hidden="1" customHeight="1">
      <c r="A1431" s="26" t="s">
        <v>46</v>
      </c>
      <c r="B1431" s="31" t="s">
        <v>53</v>
      </c>
      <c r="C1431" s="26" t="s">
        <v>767</v>
      </c>
      <c r="D1431" s="26" t="s">
        <v>188</v>
      </c>
      <c r="E1431" s="13" t="str">
        <f t="shared" si="735"/>
        <v>PALM,222-A,AO,1</v>
      </c>
      <c r="F1431" s="26"/>
      <c r="G1431" s="26" t="s">
        <v>111</v>
      </c>
      <c r="H1431" s="26" t="s">
        <v>75</v>
      </c>
      <c r="I1431" s="13"/>
      <c r="J1431" s="13"/>
      <c r="K1431" s="28">
        <v>1.0</v>
      </c>
      <c r="L1431" s="28">
        <v>1.0</v>
      </c>
      <c r="M1431" s="16"/>
      <c r="N1431" s="16"/>
      <c r="O1431" s="17"/>
      <c r="P1431" s="17"/>
      <c r="Q1431" s="13"/>
      <c r="R1431" s="13"/>
      <c r="S1431" s="13"/>
      <c r="T1431" s="13">
        <f t="shared" ref="T1431:Y1431" si="1483">IF(ISBLANK(K1431)=TRUE,0,1)</f>
        <v>1</v>
      </c>
      <c r="U1431" s="13">
        <f t="shared" si="1483"/>
        <v>1</v>
      </c>
      <c r="V1431" s="13">
        <f t="shared" si="1483"/>
        <v>0</v>
      </c>
      <c r="W1431" s="13">
        <f t="shared" si="1483"/>
        <v>0</v>
      </c>
      <c r="X1431" s="13">
        <f t="shared" si="1483"/>
        <v>0</v>
      </c>
      <c r="Y1431" s="13">
        <f t="shared" si="1483"/>
        <v>0</v>
      </c>
      <c r="Z1431" s="13">
        <f t="shared" si="529"/>
        <v>1</v>
      </c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</row>
    <row r="1432" ht="14.25" hidden="1" customHeight="1">
      <c r="A1432" s="26" t="s">
        <v>46</v>
      </c>
      <c r="B1432" s="31" t="s">
        <v>53</v>
      </c>
      <c r="C1432" s="26" t="s">
        <v>767</v>
      </c>
      <c r="D1432" s="26" t="s">
        <v>189</v>
      </c>
      <c r="E1432" s="13" t="str">
        <f t="shared" si="735"/>
        <v>PALM,222-A,AP,1</v>
      </c>
      <c r="F1432" s="26"/>
      <c r="G1432" s="26" t="s">
        <v>111</v>
      </c>
      <c r="H1432" s="26" t="s">
        <v>75</v>
      </c>
      <c r="I1432" s="13"/>
      <c r="J1432" s="13"/>
      <c r="K1432" s="28">
        <v>1.0</v>
      </c>
      <c r="L1432" s="28">
        <v>1.0</v>
      </c>
      <c r="M1432" s="16"/>
      <c r="N1432" s="16"/>
      <c r="O1432" s="17"/>
      <c r="P1432" s="17"/>
      <c r="Q1432" s="13"/>
      <c r="R1432" s="13"/>
      <c r="S1432" s="13"/>
      <c r="T1432" s="13">
        <f t="shared" ref="T1432:Y1432" si="1484">IF(ISBLANK(K1432)=TRUE,0,1)</f>
        <v>1</v>
      </c>
      <c r="U1432" s="13">
        <f t="shared" si="1484"/>
        <v>1</v>
      </c>
      <c r="V1432" s="13">
        <f t="shared" si="1484"/>
        <v>0</v>
      </c>
      <c r="W1432" s="13">
        <f t="shared" si="1484"/>
        <v>0</v>
      </c>
      <c r="X1432" s="13">
        <f t="shared" si="1484"/>
        <v>0</v>
      </c>
      <c r="Y1432" s="13">
        <f t="shared" si="1484"/>
        <v>0</v>
      </c>
      <c r="Z1432" s="13">
        <f t="shared" si="529"/>
        <v>1</v>
      </c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</row>
    <row r="1433" ht="14.25" hidden="1" customHeight="1">
      <c r="A1433" s="26" t="s">
        <v>46</v>
      </c>
      <c r="B1433" s="31" t="s">
        <v>53</v>
      </c>
      <c r="C1433" s="26" t="s">
        <v>767</v>
      </c>
      <c r="D1433" s="26" t="s">
        <v>190</v>
      </c>
      <c r="E1433" s="13" t="str">
        <f t="shared" si="735"/>
        <v>PALM,222-A,AQ,1</v>
      </c>
      <c r="F1433" s="26"/>
      <c r="G1433" s="26" t="s">
        <v>111</v>
      </c>
      <c r="H1433" s="26" t="s">
        <v>75</v>
      </c>
      <c r="I1433" s="13"/>
      <c r="J1433" s="13"/>
      <c r="K1433" s="28">
        <v>1.0</v>
      </c>
      <c r="L1433" s="28">
        <v>1.0</v>
      </c>
      <c r="M1433" s="16"/>
      <c r="N1433" s="16"/>
      <c r="O1433" s="17"/>
      <c r="P1433" s="17"/>
      <c r="Q1433" s="13"/>
      <c r="R1433" s="13"/>
      <c r="S1433" s="13"/>
      <c r="T1433" s="13">
        <f t="shared" ref="T1433:Y1433" si="1485">IF(ISBLANK(K1433)=TRUE,0,1)</f>
        <v>1</v>
      </c>
      <c r="U1433" s="13">
        <f t="shared" si="1485"/>
        <v>1</v>
      </c>
      <c r="V1433" s="13">
        <f t="shared" si="1485"/>
        <v>0</v>
      </c>
      <c r="W1433" s="13">
        <f t="shared" si="1485"/>
        <v>0</v>
      </c>
      <c r="X1433" s="13">
        <f t="shared" si="1485"/>
        <v>0</v>
      </c>
      <c r="Y1433" s="13">
        <f t="shared" si="1485"/>
        <v>0</v>
      </c>
      <c r="Z1433" s="13">
        <f t="shared" si="529"/>
        <v>1</v>
      </c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</row>
    <row r="1434" ht="14.25" hidden="1" customHeight="1">
      <c r="A1434" s="26" t="s">
        <v>46</v>
      </c>
      <c r="B1434" s="31" t="s">
        <v>53</v>
      </c>
      <c r="C1434" s="26" t="s">
        <v>767</v>
      </c>
      <c r="D1434" s="26" t="s">
        <v>191</v>
      </c>
      <c r="E1434" s="13" t="str">
        <f t="shared" si="735"/>
        <v>PALM,222-A,AR,1</v>
      </c>
      <c r="F1434" s="26"/>
      <c r="G1434" s="26" t="s">
        <v>111</v>
      </c>
      <c r="H1434" s="26" t="s">
        <v>75</v>
      </c>
      <c r="I1434" s="13"/>
      <c r="J1434" s="13"/>
      <c r="K1434" s="28">
        <v>1.0</v>
      </c>
      <c r="L1434" s="28">
        <v>1.0</v>
      </c>
      <c r="M1434" s="16"/>
      <c r="N1434" s="16"/>
      <c r="O1434" s="17"/>
      <c r="P1434" s="17"/>
      <c r="Q1434" s="13"/>
      <c r="R1434" s="13"/>
      <c r="S1434" s="13"/>
      <c r="T1434" s="13">
        <f t="shared" ref="T1434:Y1434" si="1486">IF(ISBLANK(K1434)=TRUE,0,1)</f>
        <v>1</v>
      </c>
      <c r="U1434" s="13">
        <f t="shared" si="1486"/>
        <v>1</v>
      </c>
      <c r="V1434" s="13">
        <f t="shared" si="1486"/>
        <v>0</v>
      </c>
      <c r="W1434" s="13">
        <f t="shared" si="1486"/>
        <v>0</v>
      </c>
      <c r="X1434" s="13">
        <f t="shared" si="1486"/>
        <v>0</v>
      </c>
      <c r="Y1434" s="13">
        <f t="shared" si="1486"/>
        <v>0</v>
      </c>
      <c r="Z1434" s="13">
        <f t="shared" si="529"/>
        <v>1</v>
      </c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</row>
    <row r="1435" ht="14.25" hidden="1" customHeight="1">
      <c r="A1435" s="26" t="s">
        <v>46</v>
      </c>
      <c r="B1435" s="31" t="s">
        <v>53</v>
      </c>
      <c r="C1435" s="26" t="s">
        <v>767</v>
      </c>
      <c r="D1435" s="26" t="s">
        <v>192</v>
      </c>
      <c r="E1435" s="13" t="str">
        <f t="shared" si="735"/>
        <v>PALM,222-A,AS,1</v>
      </c>
      <c r="F1435" s="26"/>
      <c r="G1435" s="26" t="s">
        <v>111</v>
      </c>
      <c r="H1435" s="26" t="s">
        <v>75</v>
      </c>
      <c r="I1435" s="13"/>
      <c r="J1435" s="13"/>
      <c r="K1435" s="28">
        <v>1.0</v>
      </c>
      <c r="L1435" s="28">
        <v>1.0</v>
      </c>
      <c r="M1435" s="16"/>
      <c r="N1435" s="16"/>
      <c r="O1435" s="17"/>
      <c r="P1435" s="17"/>
      <c r="Q1435" s="13"/>
      <c r="R1435" s="13"/>
      <c r="S1435" s="13"/>
      <c r="T1435" s="13">
        <f t="shared" ref="T1435:Y1435" si="1487">IF(ISBLANK(K1435)=TRUE,0,1)</f>
        <v>1</v>
      </c>
      <c r="U1435" s="13">
        <f t="shared" si="1487"/>
        <v>1</v>
      </c>
      <c r="V1435" s="13">
        <f t="shared" si="1487"/>
        <v>0</v>
      </c>
      <c r="W1435" s="13">
        <f t="shared" si="1487"/>
        <v>0</v>
      </c>
      <c r="X1435" s="13">
        <f t="shared" si="1487"/>
        <v>0</v>
      </c>
      <c r="Y1435" s="13">
        <f t="shared" si="1487"/>
        <v>0</v>
      </c>
      <c r="Z1435" s="13">
        <f t="shared" si="529"/>
        <v>1</v>
      </c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</row>
    <row r="1436" ht="14.25" hidden="1" customHeight="1">
      <c r="A1436" s="26" t="s">
        <v>46</v>
      </c>
      <c r="B1436" s="31" t="s">
        <v>53</v>
      </c>
      <c r="C1436" s="26" t="s">
        <v>767</v>
      </c>
      <c r="D1436" s="26" t="s">
        <v>193</v>
      </c>
      <c r="E1436" s="13" t="str">
        <f t="shared" si="735"/>
        <v>PALM,222-A,AT,1</v>
      </c>
      <c r="F1436" s="26"/>
      <c r="G1436" s="26" t="s">
        <v>111</v>
      </c>
      <c r="H1436" s="26" t="s">
        <v>75</v>
      </c>
      <c r="I1436" s="13"/>
      <c r="J1436" s="13"/>
      <c r="K1436" s="28">
        <v>1.0</v>
      </c>
      <c r="L1436" s="28">
        <v>1.0</v>
      </c>
      <c r="M1436" s="16"/>
      <c r="N1436" s="16"/>
      <c r="O1436" s="17"/>
      <c r="P1436" s="17"/>
      <c r="Q1436" s="13"/>
      <c r="R1436" s="13"/>
      <c r="S1436" s="13"/>
      <c r="T1436" s="13">
        <f t="shared" ref="T1436:Y1436" si="1488">IF(ISBLANK(K1436)=TRUE,0,1)</f>
        <v>1</v>
      </c>
      <c r="U1436" s="13">
        <f t="shared" si="1488"/>
        <v>1</v>
      </c>
      <c r="V1436" s="13">
        <f t="shared" si="1488"/>
        <v>0</v>
      </c>
      <c r="W1436" s="13">
        <f t="shared" si="1488"/>
        <v>0</v>
      </c>
      <c r="X1436" s="13">
        <f t="shared" si="1488"/>
        <v>0</v>
      </c>
      <c r="Y1436" s="13">
        <f t="shared" si="1488"/>
        <v>0</v>
      </c>
      <c r="Z1436" s="13">
        <f t="shared" si="529"/>
        <v>1</v>
      </c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</row>
    <row r="1437" ht="14.25" hidden="1" customHeight="1">
      <c r="A1437" s="26" t="s">
        <v>46</v>
      </c>
      <c r="B1437" s="31" t="s">
        <v>53</v>
      </c>
      <c r="C1437" s="26" t="s">
        <v>767</v>
      </c>
      <c r="D1437" s="26" t="s">
        <v>194</v>
      </c>
      <c r="E1437" s="13" t="str">
        <f t="shared" si="735"/>
        <v>PALM,222-A,AU,1</v>
      </c>
      <c r="F1437" s="26"/>
      <c r="G1437" s="26" t="s">
        <v>111</v>
      </c>
      <c r="H1437" s="26" t="s">
        <v>75</v>
      </c>
      <c r="I1437" s="13"/>
      <c r="J1437" s="13"/>
      <c r="K1437" s="28">
        <v>1.0</v>
      </c>
      <c r="L1437" s="28">
        <v>1.0</v>
      </c>
      <c r="M1437" s="16"/>
      <c r="N1437" s="16"/>
      <c r="O1437" s="17"/>
      <c r="P1437" s="17"/>
      <c r="Q1437" s="13"/>
      <c r="R1437" s="13"/>
      <c r="S1437" s="13"/>
      <c r="T1437" s="13">
        <f t="shared" ref="T1437:Y1437" si="1489">IF(ISBLANK(K1437)=TRUE,0,1)</f>
        <v>1</v>
      </c>
      <c r="U1437" s="13">
        <f t="shared" si="1489"/>
        <v>1</v>
      </c>
      <c r="V1437" s="13">
        <f t="shared" si="1489"/>
        <v>0</v>
      </c>
      <c r="W1437" s="13">
        <f t="shared" si="1489"/>
        <v>0</v>
      </c>
      <c r="X1437" s="13">
        <f t="shared" si="1489"/>
        <v>0</v>
      </c>
      <c r="Y1437" s="13">
        <f t="shared" si="1489"/>
        <v>0</v>
      </c>
      <c r="Z1437" s="13">
        <f t="shared" si="529"/>
        <v>1</v>
      </c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</row>
    <row r="1438" ht="14.25" hidden="1" customHeight="1">
      <c r="A1438" s="26" t="s">
        <v>46</v>
      </c>
      <c r="B1438" s="31" t="s">
        <v>53</v>
      </c>
      <c r="C1438" s="26" t="s">
        <v>767</v>
      </c>
      <c r="D1438" s="26" t="s">
        <v>195</v>
      </c>
      <c r="E1438" s="13" t="str">
        <f t="shared" si="735"/>
        <v>PALM,222-A,AV,1</v>
      </c>
      <c r="F1438" s="26"/>
      <c r="G1438" s="26" t="s">
        <v>111</v>
      </c>
      <c r="H1438" s="26" t="s">
        <v>75</v>
      </c>
      <c r="I1438" s="13"/>
      <c r="J1438" s="13"/>
      <c r="K1438" s="28">
        <v>1.0</v>
      </c>
      <c r="L1438" s="28">
        <v>1.0</v>
      </c>
      <c r="M1438" s="16"/>
      <c r="N1438" s="16"/>
      <c r="O1438" s="17"/>
      <c r="P1438" s="17"/>
      <c r="Q1438" s="13"/>
      <c r="R1438" s="13"/>
      <c r="S1438" s="13"/>
      <c r="T1438" s="13">
        <f t="shared" ref="T1438:Y1438" si="1490">IF(ISBLANK(K1438)=TRUE,0,1)</f>
        <v>1</v>
      </c>
      <c r="U1438" s="13">
        <f t="shared" si="1490"/>
        <v>1</v>
      </c>
      <c r="V1438" s="13">
        <f t="shared" si="1490"/>
        <v>0</v>
      </c>
      <c r="W1438" s="13">
        <f t="shared" si="1490"/>
        <v>0</v>
      </c>
      <c r="X1438" s="13">
        <f t="shared" si="1490"/>
        <v>0</v>
      </c>
      <c r="Y1438" s="13">
        <f t="shared" si="1490"/>
        <v>0</v>
      </c>
      <c r="Z1438" s="13">
        <f t="shared" si="529"/>
        <v>1</v>
      </c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</row>
    <row r="1439" ht="14.25" hidden="1" customHeight="1">
      <c r="A1439" s="26" t="s">
        <v>46</v>
      </c>
      <c r="B1439" s="31" t="s">
        <v>53</v>
      </c>
      <c r="C1439" s="13" t="s">
        <v>768</v>
      </c>
      <c r="D1439" s="26" t="s">
        <v>177</v>
      </c>
      <c r="E1439" s="13" t="str">
        <f t="shared" si="735"/>
        <v>PALM,228C,AD,1</v>
      </c>
      <c r="F1439" s="13"/>
      <c r="G1439" s="26" t="s">
        <v>111</v>
      </c>
      <c r="H1439" s="26" t="s">
        <v>75</v>
      </c>
      <c r="I1439" s="13"/>
      <c r="J1439" s="13"/>
      <c r="K1439" s="15">
        <v>1.0</v>
      </c>
      <c r="L1439" s="15">
        <v>1.0</v>
      </c>
      <c r="M1439" s="16"/>
      <c r="N1439" s="16"/>
      <c r="O1439" s="17"/>
      <c r="P1439" s="17"/>
      <c r="Q1439" s="13"/>
      <c r="R1439" s="13"/>
      <c r="S1439" s="13"/>
      <c r="T1439" s="13">
        <f t="shared" ref="T1439:Y1439" si="1491">IF(ISBLANK(K1439)=TRUE,0,1)</f>
        <v>1</v>
      </c>
      <c r="U1439" s="13">
        <f t="shared" si="1491"/>
        <v>1</v>
      </c>
      <c r="V1439" s="13">
        <f t="shared" si="1491"/>
        <v>0</v>
      </c>
      <c r="W1439" s="13">
        <f t="shared" si="1491"/>
        <v>0</v>
      </c>
      <c r="X1439" s="13">
        <f t="shared" si="1491"/>
        <v>0</v>
      </c>
      <c r="Y1439" s="13">
        <f t="shared" si="1491"/>
        <v>0</v>
      </c>
      <c r="Z1439" s="13">
        <f t="shared" si="529"/>
        <v>1</v>
      </c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</row>
    <row r="1440" ht="14.25" hidden="1" customHeight="1">
      <c r="A1440" s="26" t="s">
        <v>46</v>
      </c>
      <c r="B1440" s="31" t="s">
        <v>53</v>
      </c>
      <c r="C1440" s="13" t="s">
        <v>768</v>
      </c>
      <c r="D1440" s="26" t="s">
        <v>178</v>
      </c>
      <c r="E1440" s="13" t="str">
        <f t="shared" si="735"/>
        <v>PALM,228C,AE,1</v>
      </c>
      <c r="F1440" s="13"/>
      <c r="G1440" s="26" t="s">
        <v>111</v>
      </c>
      <c r="H1440" s="26" t="s">
        <v>75</v>
      </c>
      <c r="I1440" s="13"/>
      <c r="J1440" s="13"/>
      <c r="K1440" s="15">
        <v>1.0</v>
      </c>
      <c r="L1440" s="15">
        <v>1.0</v>
      </c>
      <c r="M1440" s="16"/>
      <c r="N1440" s="16"/>
      <c r="O1440" s="17"/>
      <c r="P1440" s="17"/>
      <c r="Q1440" s="13"/>
      <c r="R1440" s="13"/>
      <c r="S1440" s="13"/>
      <c r="T1440" s="13">
        <f t="shared" ref="T1440:Y1440" si="1492">IF(ISBLANK(K1440)=TRUE,0,1)</f>
        <v>1</v>
      </c>
      <c r="U1440" s="13">
        <f t="shared" si="1492"/>
        <v>1</v>
      </c>
      <c r="V1440" s="13">
        <f t="shared" si="1492"/>
        <v>0</v>
      </c>
      <c r="W1440" s="13">
        <f t="shared" si="1492"/>
        <v>0</v>
      </c>
      <c r="X1440" s="13">
        <f t="shared" si="1492"/>
        <v>0</v>
      </c>
      <c r="Y1440" s="13">
        <f t="shared" si="1492"/>
        <v>0</v>
      </c>
      <c r="Z1440" s="13">
        <f t="shared" si="529"/>
        <v>1</v>
      </c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</row>
    <row r="1441" ht="14.25" hidden="1" customHeight="1">
      <c r="A1441" s="26" t="s">
        <v>46</v>
      </c>
      <c r="B1441" s="31" t="s">
        <v>53</v>
      </c>
      <c r="C1441" s="13" t="s">
        <v>768</v>
      </c>
      <c r="D1441" s="26" t="s">
        <v>182</v>
      </c>
      <c r="E1441" s="13" t="str">
        <f t="shared" si="735"/>
        <v>PALM,228C,AI,1</v>
      </c>
      <c r="F1441" s="13"/>
      <c r="G1441" s="26" t="s">
        <v>111</v>
      </c>
      <c r="H1441" s="26" t="s">
        <v>75</v>
      </c>
      <c r="I1441" s="13"/>
      <c r="J1441" s="13"/>
      <c r="K1441" s="15">
        <v>1.0</v>
      </c>
      <c r="L1441" s="15">
        <v>1.0</v>
      </c>
      <c r="M1441" s="16"/>
      <c r="N1441" s="16"/>
      <c r="O1441" s="17"/>
      <c r="P1441" s="17"/>
      <c r="Q1441" s="13"/>
      <c r="R1441" s="13"/>
      <c r="S1441" s="13"/>
      <c r="T1441" s="13">
        <f t="shared" ref="T1441:Y1441" si="1493">IF(ISBLANK(K1441)=TRUE,0,1)</f>
        <v>1</v>
      </c>
      <c r="U1441" s="13">
        <f t="shared" si="1493"/>
        <v>1</v>
      </c>
      <c r="V1441" s="13">
        <f t="shared" si="1493"/>
        <v>0</v>
      </c>
      <c r="W1441" s="13">
        <f t="shared" si="1493"/>
        <v>0</v>
      </c>
      <c r="X1441" s="13">
        <f t="shared" si="1493"/>
        <v>0</v>
      </c>
      <c r="Y1441" s="13">
        <f t="shared" si="1493"/>
        <v>0</v>
      </c>
      <c r="Z1441" s="13">
        <f t="shared" si="529"/>
        <v>1</v>
      </c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</row>
    <row r="1442" ht="14.25" hidden="1" customHeight="1">
      <c r="A1442" s="26" t="s">
        <v>46</v>
      </c>
      <c r="B1442" s="31" t="s">
        <v>53</v>
      </c>
      <c r="C1442" s="13" t="s">
        <v>768</v>
      </c>
      <c r="D1442" s="26" t="s">
        <v>183</v>
      </c>
      <c r="E1442" s="13" t="str">
        <f t="shared" si="735"/>
        <v>PALM,228C,AJ,1</v>
      </c>
      <c r="F1442" s="13"/>
      <c r="G1442" s="26" t="s">
        <v>111</v>
      </c>
      <c r="H1442" s="26" t="s">
        <v>75</v>
      </c>
      <c r="I1442" s="13"/>
      <c r="J1442" s="13"/>
      <c r="K1442" s="15">
        <v>1.0</v>
      </c>
      <c r="L1442" s="15">
        <v>1.0</v>
      </c>
      <c r="M1442" s="16"/>
      <c r="N1442" s="16"/>
      <c r="O1442" s="17"/>
      <c r="P1442" s="17"/>
      <c r="Q1442" s="13"/>
      <c r="R1442" s="13"/>
      <c r="S1442" s="13"/>
      <c r="T1442" s="13">
        <f t="shared" ref="T1442:Y1442" si="1494">IF(ISBLANK(K1442)=TRUE,0,1)</f>
        <v>1</v>
      </c>
      <c r="U1442" s="13">
        <f t="shared" si="1494"/>
        <v>1</v>
      </c>
      <c r="V1442" s="13">
        <f t="shared" si="1494"/>
        <v>0</v>
      </c>
      <c r="W1442" s="13">
        <f t="shared" si="1494"/>
        <v>0</v>
      </c>
      <c r="X1442" s="13">
        <f t="shared" si="1494"/>
        <v>0</v>
      </c>
      <c r="Y1442" s="13">
        <f t="shared" si="1494"/>
        <v>0</v>
      </c>
      <c r="Z1442" s="13">
        <f t="shared" si="529"/>
        <v>1</v>
      </c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</row>
    <row r="1443" ht="14.25" hidden="1" customHeight="1">
      <c r="A1443" s="26" t="s">
        <v>46</v>
      </c>
      <c r="B1443" s="31" t="s">
        <v>53</v>
      </c>
      <c r="C1443" s="13" t="s">
        <v>768</v>
      </c>
      <c r="D1443" s="26" t="s">
        <v>184</v>
      </c>
      <c r="E1443" s="13" t="str">
        <f t="shared" si="735"/>
        <v>PALM,228C,AK,1</v>
      </c>
      <c r="F1443" s="13"/>
      <c r="G1443" s="26" t="s">
        <v>111</v>
      </c>
      <c r="H1443" s="26" t="s">
        <v>75</v>
      </c>
      <c r="I1443" s="13"/>
      <c r="J1443" s="13"/>
      <c r="K1443" s="15">
        <v>1.0</v>
      </c>
      <c r="L1443" s="15">
        <v>1.0</v>
      </c>
      <c r="M1443" s="16"/>
      <c r="N1443" s="16"/>
      <c r="O1443" s="17"/>
      <c r="P1443" s="17"/>
      <c r="Q1443" s="13"/>
      <c r="R1443" s="13"/>
      <c r="S1443" s="13"/>
      <c r="T1443" s="13">
        <f t="shared" ref="T1443:Y1443" si="1495">IF(ISBLANK(K1443)=TRUE,0,1)</f>
        <v>1</v>
      </c>
      <c r="U1443" s="13">
        <f t="shared" si="1495"/>
        <v>1</v>
      </c>
      <c r="V1443" s="13">
        <f t="shared" si="1495"/>
        <v>0</v>
      </c>
      <c r="W1443" s="13">
        <f t="shared" si="1495"/>
        <v>0</v>
      </c>
      <c r="X1443" s="13">
        <f t="shared" si="1495"/>
        <v>0</v>
      </c>
      <c r="Y1443" s="13">
        <f t="shared" si="1495"/>
        <v>0</v>
      </c>
      <c r="Z1443" s="13">
        <f t="shared" si="529"/>
        <v>1</v>
      </c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</row>
    <row r="1444" ht="14.25" hidden="1" customHeight="1">
      <c r="A1444" s="26" t="s">
        <v>46</v>
      </c>
      <c r="B1444" s="31" t="s">
        <v>53</v>
      </c>
      <c r="C1444" s="13" t="s">
        <v>768</v>
      </c>
      <c r="D1444" s="26" t="s">
        <v>185</v>
      </c>
      <c r="E1444" s="13" t="str">
        <f t="shared" si="735"/>
        <v>PALM,228C,AL,1</v>
      </c>
      <c r="F1444" s="13"/>
      <c r="G1444" s="26" t="s">
        <v>111</v>
      </c>
      <c r="H1444" s="26" t="s">
        <v>75</v>
      </c>
      <c r="I1444" s="13"/>
      <c r="J1444" s="13"/>
      <c r="K1444" s="15">
        <v>1.0</v>
      </c>
      <c r="L1444" s="15">
        <v>1.0</v>
      </c>
      <c r="M1444" s="16"/>
      <c r="N1444" s="16"/>
      <c r="O1444" s="17"/>
      <c r="P1444" s="17"/>
      <c r="Q1444" s="13"/>
      <c r="R1444" s="13"/>
      <c r="S1444" s="13"/>
      <c r="T1444" s="13">
        <f t="shared" ref="T1444:Y1444" si="1496">IF(ISBLANK(K1444)=TRUE,0,1)</f>
        <v>1</v>
      </c>
      <c r="U1444" s="13">
        <f t="shared" si="1496"/>
        <v>1</v>
      </c>
      <c r="V1444" s="13">
        <f t="shared" si="1496"/>
        <v>0</v>
      </c>
      <c r="W1444" s="13">
        <f t="shared" si="1496"/>
        <v>0</v>
      </c>
      <c r="X1444" s="13">
        <f t="shared" si="1496"/>
        <v>0</v>
      </c>
      <c r="Y1444" s="13">
        <f t="shared" si="1496"/>
        <v>0</v>
      </c>
      <c r="Z1444" s="13">
        <f t="shared" si="529"/>
        <v>1</v>
      </c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</row>
    <row r="1445" ht="14.25" hidden="1" customHeight="1">
      <c r="A1445" s="26" t="s">
        <v>46</v>
      </c>
      <c r="B1445" s="31" t="s">
        <v>53</v>
      </c>
      <c r="C1445" s="13" t="s">
        <v>768</v>
      </c>
      <c r="D1445" s="26" t="s">
        <v>186</v>
      </c>
      <c r="E1445" s="13" t="str">
        <f t="shared" si="735"/>
        <v>PALM,228C,AM,1</v>
      </c>
      <c r="F1445" s="13"/>
      <c r="G1445" s="26" t="s">
        <v>111</v>
      </c>
      <c r="H1445" s="26" t="s">
        <v>75</v>
      </c>
      <c r="I1445" s="13"/>
      <c r="J1445" s="13"/>
      <c r="K1445" s="15">
        <v>1.0</v>
      </c>
      <c r="L1445" s="15">
        <v>1.0</v>
      </c>
      <c r="M1445" s="16"/>
      <c r="N1445" s="16"/>
      <c r="O1445" s="17"/>
      <c r="P1445" s="17"/>
      <c r="Q1445" s="13"/>
      <c r="R1445" s="13"/>
      <c r="S1445" s="13"/>
      <c r="T1445" s="13">
        <f t="shared" ref="T1445:Y1445" si="1497">IF(ISBLANK(K1445)=TRUE,0,1)</f>
        <v>1</v>
      </c>
      <c r="U1445" s="13">
        <f t="shared" si="1497"/>
        <v>1</v>
      </c>
      <c r="V1445" s="13">
        <f t="shared" si="1497"/>
        <v>0</v>
      </c>
      <c r="W1445" s="13">
        <f t="shared" si="1497"/>
        <v>0</v>
      </c>
      <c r="X1445" s="13">
        <f t="shared" si="1497"/>
        <v>0</v>
      </c>
      <c r="Y1445" s="13">
        <f t="shared" si="1497"/>
        <v>0</v>
      </c>
      <c r="Z1445" s="13">
        <f t="shared" si="529"/>
        <v>1</v>
      </c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</row>
    <row r="1446" ht="14.25" hidden="1" customHeight="1">
      <c r="A1446" s="26" t="s">
        <v>46</v>
      </c>
      <c r="B1446" s="31" t="s">
        <v>53</v>
      </c>
      <c r="C1446" s="26">
        <v>238.0</v>
      </c>
      <c r="D1446" s="26" t="s">
        <v>174</v>
      </c>
      <c r="E1446" s="13" t="str">
        <f t="shared" si="735"/>
        <v>PALM,238,AA,NA</v>
      </c>
      <c r="F1446" s="26"/>
      <c r="G1446" s="26" t="s">
        <v>111</v>
      </c>
      <c r="H1446" s="26" t="s">
        <v>107</v>
      </c>
      <c r="I1446" s="13"/>
      <c r="J1446" s="13"/>
      <c r="K1446" s="15"/>
      <c r="L1446" s="15"/>
      <c r="M1446" s="16"/>
      <c r="N1446" s="16"/>
      <c r="O1446" s="17"/>
      <c r="P1446" s="17"/>
      <c r="Q1446" s="13"/>
      <c r="R1446" s="13"/>
      <c r="S1446" s="13"/>
      <c r="T1446" s="13">
        <f t="shared" ref="T1446:Y1446" si="1498">IF(ISBLANK(K1446)=TRUE,0,1)</f>
        <v>0</v>
      </c>
      <c r="U1446" s="13">
        <f t="shared" si="1498"/>
        <v>0</v>
      </c>
      <c r="V1446" s="13">
        <f t="shared" si="1498"/>
        <v>0</v>
      </c>
      <c r="W1446" s="13">
        <f t="shared" si="1498"/>
        <v>0</v>
      </c>
      <c r="X1446" s="13">
        <f t="shared" si="1498"/>
        <v>0</v>
      </c>
      <c r="Y1446" s="13">
        <f t="shared" si="1498"/>
        <v>0</v>
      </c>
      <c r="Z1446" s="13" t="str">
        <f t="shared" si="529"/>
        <v>NA</v>
      </c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</row>
    <row r="1447" ht="14.25" hidden="1" customHeight="1">
      <c r="A1447" s="26" t="s">
        <v>46</v>
      </c>
      <c r="B1447" s="31" t="s">
        <v>53</v>
      </c>
      <c r="C1447" s="26">
        <v>239.0</v>
      </c>
      <c r="D1447" s="26" t="s">
        <v>174</v>
      </c>
      <c r="E1447" s="13" t="str">
        <f t="shared" si="735"/>
        <v>PALM,239,AA,NA</v>
      </c>
      <c r="F1447" s="26"/>
      <c r="G1447" s="26" t="s">
        <v>111</v>
      </c>
      <c r="H1447" s="26" t="s">
        <v>75</v>
      </c>
      <c r="I1447" s="13"/>
      <c r="J1447" s="13"/>
      <c r="K1447" s="15"/>
      <c r="L1447" s="15"/>
      <c r="M1447" s="16"/>
      <c r="N1447" s="16"/>
      <c r="O1447" s="17"/>
      <c r="P1447" s="17"/>
      <c r="Q1447" s="13"/>
      <c r="R1447" s="13"/>
      <c r="S1447" s="13"/>
      <c r="T1447" s="13">
        <f t="shared" ref="T1447:Y1447" si="1499">IF(ISBLANK(K1447)=TRUE,0,1)</f>
        <v>0</v>
      </c>
      <c r="U1447" s="13">
        <f t="shared" si="1499"/>
        <v>0</v>
      </c>
      <c r="V1447" s="13">
        <f t="shared" si="1499"/>
        <v>0</v>
      </c>
      <c r="W1447" s="13">
        <f t="shared" si="1499"/>
        <v>0</v>
      </c>
      <c r="X1447" s="13">
        <f t="shared" si="1499"/>
        <v>0</v>
      </c>
      <c r="Y1447" s="13">
        <f t="shared" si="1499"/>
        <v>0</v>
      </c>
      <c r="Z1447" s="13" t="str">
        <f t="shared" si="529"/>
        <v>NA</v>
      </c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</row>
    <row r="1448" ht="14.25" hidden="1" customHeight="1">
      <c r="A1448" s="26" t="s">
        <v>46</v>
      </c>
      <c r="B1448" s="31" t="s">
        <v>53</v>
      </c>
      <c r="C1448" s="26">
        <v>239.0</v>
      </c>
      <c r="D1448" s="26" t="s">
        <v>433</v>
      </c>
      <c r="E1448" s="13" t="str">
        <f t="shared" si="735"/>
        <v>PALM,239,AY,1</v>
      </c>
      <c r="F1448" s="26"/>
      <c r="G1448" s="26" t="s">
        <v>111</v>
      </c>
      <c r="H1448" s="26" t="s">
        <v>75</v>
      </c>
      <c r="I1448" s="13"/>
      <c r="J1448" s="13"/>
      <c r="K1448" s="15">
        <v>1.0</v>
      </c>
      <c r="L1448" s="15">
        <v>1.0</v>
      </c>
      <c r="M1448" s="16"/>
      <c r="N1448" s="16"/>
      <c r="O1448" s="17"/>
      <c r="P1448" s="17"/>
      <c r="Q1448" s="13"/>
      <c r="R1448" s="13"/>
      <c r="S1448" s="13"/>
      <c r="T1448" s="13">
        <f t="shared" ref="T1448:Y1448" si="1500">IF(ISBLANK(K1448)=TRUE,0,1)</f>
        <v>1</v>
      </c>
      <c r="U1448" s="13">
        <f t="shared" si="1500"/>
        <v>1</v>
      </c>
      <c r="V1448" s="13">
        <f t="shared" si="1500"/>
        <v>0</v>
      </c>
      <c r="W1448" s="13">
        <f t="shared" si="1500"/>
        <v>0</v>
      </c>
      <c r="X1448" s="13">
        <f t="shared" si="1500"/>
        <v>0</v>
      </c>
      <c r="Y1448" s="13">
        <f t="shared" si="1500"/>
        <v>0</v>
      </c>
      <c r="Z1448" s="13">
        <f t="shared" si="529"/>
        <v>1</v>
      </c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</row>
    <row r="1449" ht="14.25" hidden="1" customHeight="1">
      <c r="A1449" s="13" t="s">
        <v>46</v>
      </c>
      <c r="B1449" s="34" t="s">
        <v>53</v>
      </c>
      <c r="C1449" s="13" t="s">
        <v>769</v>
      </c>
      <c r="D1449" s="13"/>
      <c r="E1449" s="13" t="str">
        <f t="shared" si="735"/>
        <v>PALM,322A,,1</v>
      </c>
      <c r="F1449" s="13"/>
      <c r="G1449" s="13" t="s">
        <v>111</v>
      </c>
      <c r="H1449" s="13" t="s">
        <v>75</v>
      </c>
      <c r="I1449" s="13"/>
      <c r="J1449" s="13"/>
      <c r="K1449" s="15"/>
      <c r="L1449" s="15"/>
      <c r="M1449" s="16"/>
      <c r="N1449" s="16"/>
      <c r="O1449" s="17">
        <v>1.0</v>
      </c>
      <c r="P1449" s="17">
        <v>1.0</v>
      </c>
      <c r="Q1449" s="13"/>
      <c r="R1449" s="13"/>
      <c r="S1449" s="13"/>
      <c r="T1449" s="13">
        <f t="shared" ref="T1449:Y1449" si="1501">IF(ISBLANK(K1449)=TRUE,0,1)</f>
        <v>0</v>
      </c>
      <c r="U1449" s="13">
        <f t="shared" si="1501"/>
        <v>0</v>
      </c>
      <c r="V1449" s="13">
        <f t="shared" si="1501"/>
        <v>0</v>
      </c>
      <c r="W1449" s="13">
        <f t="shared" si="1501"/>
        <v>0</v>
      </c>
      <c r="X1449" s="13">
        <f t="shared" si="1501"/>
        <v>1</v>
      </c>
      <c r="Y1449" s="13">
        <f t="shared" si="1501"/>
        <v>1</v>
      </c>
      <c r="Z1449" s="13">
        <f t="shared" si="529"/>
        <v>1</v>
      </c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</row>
    <row r="1450" ht="14.25" hidden="1" customHeight="1">
      <c r="A1450" s="13" t="s">
        <v>46</v>
      </c>
      <c r="B1450" s="34" t="s">
        <v>53</v>
      </c>
      <c r="C1450" s="13" t="s">
        <v>770</v>
      </c>
      <c r="D1450" s="13"/>
      <c r="E1450" s="13" t="str">
        <f t="shared" si="735"/>
        <v>PALM,322B,,1</v>
      </c>
      <c r="F1450" s="13"/>
      <c r="G1450" s="13" t="s">
        <v>111</v>
      </c>
      <c r="H1450" s="13" t="s">
        <v>75</v>
      </c>
      <c r="I1450" s="13"/>
      <c r="J1450" s="13"/>
      <c r="K1450" s="15"/>
      <c r="L1450" s="15"/>
      <c r="M1450" s="16"/>
      <c r="N1450" s="16"/>
      <c r="O1450" s="17">
        <v>1.0</v>
      </c>
      <c r="P1450" s="17">
        <v>1.0</v>
      </c>
      <c r="Q1450" s="13"/>
      <c r="R1450" s="13"/>
      <c r="S1450" s="13"/>
      <c r="T1450" s="13">
        <f t="shared" ref="T1450:Y1450" si="1502">IF(ISBLANK(K1450)=TRUE,0,1)</f>
        <v>0</v>
      </c>
      <c r="U1450" s="13">
        <f t="shared" si="1502"/>
        <v>0</v>
      </c>
      <c r="V1450" s="13">
        <f t="shared" si="1502"/>
        <v>0</v>
      </c>
      <c r="W1450" s="13">
        <f t="shared" si="1502"/>
        <v>0</v>
      </c>
      <c r="X1450" s="13">
        <f t="shared" si="1502"/>
        <v>1</v>
      </c>
      <c r="Y1450" s="13">
        <f t="shared" si="1502"/>
        <v>1</v>
      </c>
      <c r="Z1450" s="13">
        <f t="shared" si="529"/>
        <v>1</v>
      </c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</row>
    <row r="1451" ht="14.25" hidden="1" customHeight="1">
      <c r="A1451" s="13" t="s">
        <v>46</v>
      </c>
      <c r="B1451" s="34" t="s">
        <v>53</v>
      </c>
      <c r="C1451" s="13" t="s">
        <v>771</v>
      </c>
      <c r="D1451" s="13"/>
      <c r="E1451" s="13" t="str">
        <f t="shared" si="735"/>
        <v>PALM,322C,,1</v>
      </c>
      <c r="F1451" s="13"/>
      <c r="G1451" s="13" t="s">
        <v>111</v>
      </c>
      <c r="H1451" s="13" t="s">
        <v>75</v>
      </c>
      <c r="I1451" s="13"/>
      <c r="J1451" s="13"/>
      <c r="K1451" s="15"/>
      <c r="L1451" s="15"/>
      <c r="M1451" s="16"/>
      <c r="N1451" s="16"/>
      <c r="O1451" s="17">
        <v>1.0</v>
      </c>
      <c r="P1451" s="17">
        <v>1.0</v>
      </c>
      <c r="Q1451" s="13"/>
      <c r="R1451" s="13"/>
      <c r="S1451" s="13"/>
      <c r="T1451" s="13">
        <f t="shared" ref="T1451:Y1451" si="1503">IF(ISBLANK(K1451)=TRUE,0,1)</f>
        <v>0</v>
      </c>
      <c r="U1451" s="13">
        <f t="shared" si="1503"/>
        <v>0</v>
      </c>
      <c r="V1451" s="13">
        <f t="shared" si="1503"/>
        <v>0</v>
      </c>
      <c r="W1451" s="13">
        <f t="shared" si="1503"/>
        <v>0</v>
      </c>
      <c r="X1451" s="13">
        <f t="shared" si="1503"/>
        <v>1</v>
      </c>
      <c r="Y1451" s="13">
        <f t="shared" si="1503"/>
        <v>1</v>
      </c>
      <c r="Z1451" s="13">
        <f t="shared" si="529"/>
        <v>1</v>
      </c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</row>
    <row r="1452" ht="14.25" hidden="1" customHeight="1">
      <c r="A1452" s="13" t="s">
        <v>46</v>
      </c>
      <c r="B1452" s="34" t="s">
        <v>53</v>
      </c>
      <c r="C1452" s="13" t="s">
        <v>772</v>
      </c>
      <c r="D1452" s="13"/>
      <c r="E1452" s="13" t="str">
        <f t="shared" si="735"/>
        <v>PALM,322D,,1</v>
      </c>
      <c r="F1452" s="13"/>
      <c r="G1452" s="13" t="s">
        <v>111</v>
      </c>
      <c r="H1452" s="13" t="s">
        <v>75</v>
      </c>
      <c r="I1452" s="13"/>
      <c r="J1452" s="13"/>
      <c r="K1452" s="15"/>
      <c r="L1452" s="15"/>
      <c r="M1452" s="16"/>
      <c r="N1452" s="16"/>
      <c r="O1452" s="17">
        <v>1.0</v>
      </c>
      <c r="P1452" s="17">
        <v>1.0</v>
      </c>
      <c r="Q1452" s="13"/>
      <c r="R1452" s="13"/>
      <c r="S1452" s="13"/>
      <c r="T1452" s="13">
        <f t="shared" ref="T1452:Y1452" si="1504">IF(ISBLANK(K1452)=TRUE,0,1)</f>
        <v>0</v>
      </c>
      <c r="U1452" s="13">
        <f t="shared" si="1504"/>
        <v>0</v>
      </c>
      <c r="V1452" s="13">
        <f t="shared" si="1504"/>
        <v>0</v>
      </c>
      <c r="W1452" s="13">
        <f t="shared" si="1504"/>
        <v>0</v>
      </c>
      <c r="X1452" s="13">
        <f t="shared" si="1504"/>
        <v>1</v>
      </c>
      <c r="Y1452" s="13">
        <f t="shared" si="1504"/>
        <v>1</v>
      </c>
      <c r="Z1452" s="13">
        <f t="shared" si="529"/>
        <v>1</v>
      </c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</row>
    <row r="1453" ht="14.25" hidden="1" customHeight="1">
      <c r="A1453" s="13" t="s">
        <v>46</v>
      </c>
      <c r="B1453" s="34" t="s">
        <v>53</v>
      </c>
      <c r="C1453" s="13" t="s">
        <v>773</v>
      </c>
      <c r="D1453" s="13"/>
      <c r="E1453" s="13" t="str">
        <f t="shared" si="735"/>
        <v>PALM,322E,,1</v>
      </c>
      <c r="F1453" s="13"/>
      <c r="G1453" s="13" t="s">
        <v>111</v>
      </c>
      <c r="H1453" s="13" t="s">
        <v>75</v>
      </c>
      <c r="I1453" s="13"/>
      <c r="J1453" s="13"/>
      <c r="K1453" s="15"/>
      <c r="L1453" s="15"/>
      <c r="M1453" s="16"/>
      <c r="N1453" s="16"/>
      <c r="O1453" s="17">
        <v>1.0</v>
      </c>
      <c r="P1453" s="17">
        <v>1.0</v>
      </c>
      <c r="Q1453" s="13"/>
      <c r="R1453" s="13"/>
      <c r="S1453" s="13"/>
      <c r="T1453" s="13">
        <f t="shared" ref="T1453:Y1453" si="1505">IF(ISBLANK(K1453)=TRUE,0,1)</f>
        <v>0</v>
      </c>
      <c r="U1453" s="13">
        <f t="shared" si="1505"/>
        <v>0</v>
      </c>
      <c r="V1453" s="13">
        <f t="shared" si="1505"/>
        <v>0</v>
      </c>
      <c r="W1453" s="13">
        <f t="shared" si="1505"/>
        <v>0</v>
      </c>
      <c r="X1453" s="13">
        <f t="shared" si="1505"/>
        <v>1</v>
      </c>
      <c r="Y1453" s="13">
        <f t="shared" si="1505"/>
        <v>1</v>
      </c>
      <c r="Z1453" s="13">
        <f t="shared" si="529"/>
        <v>1</v>
      </c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</row>
    <row r="1454" ht="14.25" hidden="1" customHeight="1">
      <c r="A1454" s="13" t="s">
        <v>46</v>
      </c>
      <c r="B1454" s="34" t="s">
        <v>53</v>
      </c>
      <c r="C1454" s="13" t="s">
        <v>774</v>
      </c>
      <c r="D1454" s="13"/>
      <c r="E1454" s="13" t="str">
        <f t="shared" si="735"/>
        <v>PALM,322F,,1</v>
      </c>
      <c r="F1454" s="13"/>
      <c r="G1454" s="13" t="s">
        <v>111</v>
      </c>
      <c r="H1454" s="13" t="s">
        <v>75</v>
      </c>
      <c r="I1454" s="13"/>
      <c r="J1454" s="13"/>
      <c r="K1454" s="15"/>
      <c r="L1454" s="15"/>
      <c r="M1454" s="16"/>
      <c r="N1454" s="16"/>
      <c r="O1454" s="17">
        <v>1.0</v>
      </c>
      <c r="P1454" s="17">
        <v>1.0</v>
      </c>
      <c r="Q1454" s="13"/>
      <c r="R1454" s="13"/>
      <c r="S1454" s="13"/>
      <c r="T1454" s="13">
        <f t="shared" ref="T1454:Y1454" si="1506">IF(ISBLANK(K1454)=TRUE,0,1)</f>
        <v>0</v>
      </c>
      <c r="U1454" s="13">
        <f t="shared" si="1506"/>
        <v>0</v>
      </c>
      <c r="V1454" s="13">
        <f t="shared" si="1506"/>
        <v>0</v>
      </c>
      <c r="W1454" s="13">
        <f t="shared" si="1506"/>
        <v>0</v>
      </c>
      <c r="X1454" s="13">
        <f t="shared" si="1506"/>
        <v>1</v>
      </c>
      <c r="Y1454" s="13">
        <f t="shared" si="1506"/>
        <v>1</v>
      </c>
      <c r="Z1454" s="13">
        <f t="shared" si="529"/>
        <v>1</v>
      </c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</row>
    <row r="1455" ht="14.25" hidden="1" customHeight="1">
      <c r="A1455" s="13" t="s">
        <v>46</v>
      </c>
      <c r="B1455" s="34" t="s">
        <v>53</v>
      </c>
      <c r="C1455" s="13" t="s">
        <v>775</v>
      </c>
      <c r="D1455" s="13"/>
      <c r="E1455" s="13" t="str">
        <f t="shared" si="735"/>
        <v>PALM,322G,,1</v>
      </c>
      <c r="F1455" s="13"/>
      <c r="G1455" s="13" t="s">
        <v>111</v>
      </c>
      <c r="H1455" s="13" t="s">
        <v>75</v>
      </c>
      <c r="I1455" s="13"/>
      <c r="J1455" s="13"/>
      <c r="K1455" s="15"/>
      <c r="L1455" s="15"/>
      <c r="M1455" s="16"/>
      <c r="N1455" s="16"/>
      <c r="O1455" s="17">
        <v>1.0</v>
      </c>
      <c r="P1455" s="17">
        <v>1.0</v>
      </c>
      <c r="Q1455" s="13"/>
      <c r="R1455" s="13"/>
      <c r="S1455" s="13"/>
      <c r="T1455" s="13">
        <f t="shared" ref="T1455:Y1455" si="1507">IF(ISBLANK(K1455)=TRUE,0,1)</f>
        <v>0</v>
      </c>
      <c r="U1455" s="13">
        <f t="shared" si="1507"/>
        <v>0</v>
      </c>
      <c r="V1455" s="13">
        <f t="shared" si="1507"/>
        <v>0</v>
      </c>
      <c r="W1455" s="13">
        <f t="shared" si="1507"/>
        <v>0</v>
      </c>
      <c r="X1455" s="13">
        <f t="shared" si="1507"/>
        <v>1</v>
      </c>
      <c r="Y1455" s="13">
        <f t="shared" si="1507"/>
        <v>1</v>
      </c>
      <c r="Z1455" s="13">
        <f t="shared" si="529"/>
        <v>1</v>
      </c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</row>
    <row r="1456" ht="14.25" hidden="1" customHeight="1">
      <c r="A1456" s="13" t="s">
        <v>46</v>
      </c>
      <c r="B1456" s="34" t="s">
        <v>53</v>
      </c>
      <c r="C1456" s="13" t="s">
        <v>776</v>
      </c>
      <c r="D1456" s="13"/>
      <c r="E1456" s="13" t="str">
        <f t="shared" si="735"/>
        <v>PALM,322H,,1</v>
      </c>
      <c r="F1456" s="13"/>
      <c r="G1456" s="13" t="s">
        <v>111</v>
      </c>
      <c r="H1456" s="13" t="s">
        <v>75</v>
      </c>
      <c r="I1456" s="13"/>
      <c r="J1456" s="13"/>
      <c r="K1456" s="15"/>
      <c r="L1456" s="15"/>
      <c r="M1456" s="16"/>
      <c r="N1456" s="16"/>
      <c r="O1456" s="17">
        <v>1.0</v>
      </c>
      <c r="P1456" s="17">
        <v>1.0</v>
      </c>
      <c r="Q1456" s="13"/>
      <c r="R1456" s="13"/>
      <c r="S1456" s="13"/>
      <c r="T1456" s="13">
        <f t="shared" ref="T1456:Y1456" si="1508">IF(ISBLANK(K1456)=TRUE,0,1)</f>
        <v>0</v>
      </c>
      <c r="U1456" s="13">
        <f t="shared" si="1508"/>
        <v>0</v>
      </c>
      <c r="V1456" s="13">
        <f t="shared" si="1508"/>
        <v>0</v>
      </c>
      <c r="W1456" s="13">
        <f t="shared" si="1508"/>
        <v>0</v>
      </c>
      <c r="X1456" s="13">
        <f t="shared" si="1508"/>
        <v>1</v>
      </c>
      <c r="Y1456" s="13">
        <f t="shared" si="1508"/>
        <v>1</v>
      </c>
      <c r="Z1456" s="13">
        <f t="shared" si="529"/>
        <v>1</v>
      </c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</row>
    <row r="1457" ht="14.25" hidden="1" customHeight="1">
      <c r="A1457" s="13" t="s">
        <v>46</v>
      </c>
      <c r="B1457" s="34" t="s">
        <v>53</v>
      </c>
      <c r="C1457" s="13" t="s">
        <v>777</v>
      </c>
      <c r="D1457" s="13"/>
      <c r="E1457" s="13" t="str">
        <f t="shared" si="735"/>
        <v>PALM,322I,,1</v>
      </c>
      <c r="F1457" s="13"/>
      <c r="G1457" s="13" t="s">
        <v>111</v>
      </c>
      <c r="H1457" s="13" t="s">
        <v>75</v>
      </c>
      <c r="I1457" s="13"/>
      <c r="J1457" s="13"/>
      <c r="K1457" s="15"/>
      <c r="L1457" s="15"/>
      <c r="M1457" s="16"/>
      <c r="N1457" s="16"/>
      <c r="O1457" s="17">
        <v>1.0</v>
      </c>
      <c r="P1457" s="17">
        <v>1.0</v>
      </c>
      <c r="Q1457" s="13"/>
      <c r="R1457" s="13"/>
      <c r="S1457" s="13"/>
      <c r="T1457" s="13">
        <f t="shared" ref="T1457:Y1457" si="1509">IF(ISBLANK(K1457)=TRUE,0,1)</f>
        <v>0</v>
      </c>
      <c r="U1457" s="13">
        <f t="shared" si="1509"/>
        <v>0</v>
      </c>
      <c r="V1457" s="13">
        <f t="shared" si="1509"/>
        <v>0</v>
      </c>
      <c r="W1457" s="13">
        <f t="shared" si="1509"/>
        <v>0</v>
      </c>
      <c r="X1457" s="13">
        <f t="shared" si="1509"/>
        <v>1</v>
      </c>
      <c r="Y1457" s="13">
        <f t="shared" si="1509"/>
        <v>1</v>
      </c>
      <c r="Z1457" s="13">
        <f t="shared" si="529"/>
        <v>1</v>
      </c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</row>
    <row r="1458" ht="14.25" hidden="1" customHeight="1">
      <c r="A1458" s="13" t="s">
        <v>46</v>
      </c>
      <c r="B1458" s="34" t="s">
        <v>53</v>
      </c>
      <c r="C1458" s="13" t="s">
        <v>778</v>
      </c>
      <c r="D1458" s="13"/>
      <c r="E1458" s="13" t="str">
        <f t="shared" si="735"/>
        <v>PALM,322J,,1</v>
      </c>
      <c r="F1458" s="13"/>
      <c r="G1458" s="13" t="s">
        <v>111</v>
      </c>
      <c r="H1458" s="13" t="s">
        <v>75</v>
      </c>
      <c r="I1458" s="13"/>
      <c r="J1458" s="13"/>
      <c r="K1458" s="15"/>
      <c r="L1458" s="15"/>
      <c r="M1458" s="16"/>
      <c r="N1458" s="16"/>
      <c r="O1458" s="17">
        <v>1.0</v>
      </c>
      <c r="P1458" s="17">
        <v>1.0</v>
      </c>
      <c r="Q1458" s="13"/>
      <c r="R1458" s="13"/>
      <c r="S1458" s="13"/>
      <c r="T1458" s="13">
        <f t="shared" ref="T1458:Y1458" si="1510">IF(ISBLANK(K1458)=TRUE,0,1)</f>
        <v>0</v>
      </c>
      <c r="U1458" s="13">
        <f t="shared" si="1510"/>
        <v>0</v>
      </c>
      <c r="V1458" s="13">
        <f t="shared" si="1510"/>
        <v>0</v>
      </c>
      <c r="W1458" s="13">
        <f t="shared" si="1510"/>
        <v>0</v>
      </c>
      <c r="X1458" s="13">
        <f t="shared" si="1510"/>
        <v>1</v>
      </c>
      <c r="Y1458" s="13">
        <f t="shared" si="1510"/>
        <v>1</v>
      </c>
      <c r="Z1458" s="13">
        <f t="shared" si="529"/>
        <v>1</v>
      </c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</row>
    <row r="1459" ht="14.25" hidden="1" customHeight="1">
      <c r="A1459" s="13" t="s">
        <v>46</v>
      </c>
      <c r="B1459" s="34" t="s">
        <v>53</v>
      </c>
      <c r="C1459" s="13" t="s">
        <v>779</v>
      </c>
      <c r="D1459" s="13"/>
      <c r="E1459" s="13" t="str">
        <f t="shared" si="735"/>
        <v>PALM,322K,,1</v>
      </c>
      <c r="F1459" s="13"/>
      <c r="G1459" s="13" t="s">
        <v>111</v>
      </c>
      <c r="H1459" s="13" t="s">
        <v>75</v>
      </c>
      <c r="I1459" s="13"/>
      <c r="J1459" s="13"/>
      <c r="K1459" s="15"/>
      <c r="L1459" s="15"/>
      <c r="M1459" s="16"/>
      <c r="N1459" s="16"/>
      <c r="O1459" s="17">
        <v>1.0</v>
      </c>
      <c r="P1459" s="17">
        <v>1.0</v>
      </c>
      <c r="Q1459" s="13"/>
      <c r="R1459" s="13"/>
      <c r="S1459" s="13"/>
      <c r="T1459" s="13">
        <f t="shared" ref="T1459:Y1459" si="1511">IF(ISBLANK(K1459)=TRUE,0,1)</f>
        <v>0</v>
      </c>
      <c r="U1459" s="13">
        <f t="shared" si="1511"/>
        <v>0</v>
      </c>
      <c r="V1459" s="13">
        <f t="shared" si="1511"/>
        <v>0</v>
      </c>
      <c r="W1459" s="13">
        <f t="shared" si="1511"/>
        <v>0</v>
      </c>
      <c r="X1459" s="13">
        <f t="shared" si="1511"/>
        <v>1</v>
      </c>
      <c r="Y1459" s="13">
        <f t="shared" si="1511"/>
        <v>1</v>
      </c>
      <c r="Z1459" s="13">
        <f t="shared" si="529"/>
        <v>1</v>
      </c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</row>
    <row r="1460" ht="14.25" hidden="1" customHeight="1">
      <c r="A1460" s="13" t="s">
        <v>46</v>
      </c>
      <c r="B1460" s="34" t="s">
        <v>53</v>
      </c>
      <c r="C1460" s="13" t="s">
        <v>780</v>
      </c>
      <c r="D1460" s="13"/>
      <c r="E1460" s="13" t="str">
        <f t="shared" si="735"/>
        <v>PALM,322L,,1</v>
      </c>
      <c r="F1460" s="13"/>
      <c r="G1460" s="13" t="s">
        <v>111</v>
      </c>
      <c r="H1460" s="13" t="s">
        <v>75</v>
      </c>
      <c r="I1460" s="13"/>
      <c r="J1460" s="13"/>
      <c r="K1460" s="15"/>
      <c r="L1460" s="15"/>
      <c r="M1460" s="16"/>
      <c r="N1460" s="16"/>
      <c r="O1460" s="17">
        <v>1.0</v>
      </c>
      <c r="P1460" s="17">
        <v>1.0</v>
      </c>
      <c r="Q1460" s="13"/>
      <c r="R1460" s="13"/>
      <c r="S1460" s="13"/>
      <c r="T1460" s="13">
        <f t="shared" ref="T1460:Y1460" si="1512">IF(ISBLANK(K1460)=TRUE,0,1)</f>
        <v>0</v>
      </c>
      <c r="U1460" s="13">
        <f t="shared" si="1512"/>
        <v>0</v>
      </c>
      <c r="V1460" s="13">
        <f t="shared" si="1512"/>
        <v>0</v>
      </c>
      <c r="W1460" s="13">
        <f t="shared" si="1512"/>
        <v>0</v>
      </c>
      <c r="X1460" s="13">
        <f t="shared" si="1512"/>
        <v>1</v>
      </c>
      <c r="Y1460" s="13">
        <f t="shared" si="1512"/>
        <v>1</v>
      </c>
      <c r="Z1460" s="13">
        <f t="shared" si="529"/>
        <v>1</v>
      </c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</row>
    <row r="1461" ht="14.25" hidden="1" customHeight="1">
      <c r="A1461" s="13" t="s">
        <v>46</v>
      </c>
      <c r="B1461" s="34" t="s">
        <v>53</v>
      </c>
      <c r="C1461" s="13" t="s">
        <v>781</v>
      </c>
      <c r="D1461" s="13"/>
      <c r="E1461" s="13" t="str">
        <f t="shared" si="735"/>
        <v>PALM,322M,,1</v>
      </c>
      <c r="F1461" s="13"/>
      <c r="G1461" s="13" t="s">
        <v>111</v>
      </c>
      <c r="H1461" s="13" t="s">
        <v>75</v>
      </c>
      <c r="I1461" s="13"/>
      <c r="J1461" s="13"/>
      <c r="K1461" s="15"/>
      <c r="L1461" s="15"/>
      <c r="M1461" s="16"/>
      <c r="N1461" s="16"/>
      <c r="O1461" s="17">
        <v>1.0</v>
      </c>
      <c r="P1461" s="17">
        <v>1.0</v>
      </c>
      <c r="Q1461" s="13"/>
      <c r="R1461" s="13"/>
      <c r="S1461" s="13"/>
      <c r="T1461" s="13">
        <f t="shared" ref="T1461:Y1461" si="1513">IF(ISBLANK(K1461)=TRUE,0,1)</f>
        <v>0</v>
      </c>
      <c r="U1461" s="13">
        <f t="shared" si="1513"/>
        <v>0</v>
      </c>
      <c r="V1461" s="13">
        <f t="shared" si="1513"/>
        <v>0</v>
      </c>
      <c r="W1461" s="13">
        <f t="shared" si="1513"/>
        <v>0</v>
      </c>
      <c r="X1461" s="13">
        <f t="shared" si="1513"/>
        <v>1</v>
      </c>
      <c r="Y1461" s="13">
        <f t="shared" si="1513"/>
        <v>1</v>
      </c>
      <c r="Z1461" s="13">
        <f t="shared" si="529"/>
        <v>1</v>
      </c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</row>
    <row r="1462" ht="14.25" hidden="1" customHeight="1">
      <c r="A1462" s="13" t="s">
        <v>46</v>
      </c>
      <c r="B1462" s="34" t="s">
        <v>53</v>
      </c>
      <c r="C1462" s="13" t="s">
        <v>782</v>
      </c>
      <c r="D1462" s="13"/>
      <c r="E1462" s="13" t="str">
        <f t="shared" si="735"/>
        <v>PALM,322N,,1</v>
      </c>
      <c r="F1462" s="13"/>
      <c r="G1462" s="13" t="s">
        <v>111</v>
      </c>
      <c r="H1462" s="13" t="s">
        <v>75</v>
      </c>
      <c r="I1462" s="13"/>
      <c r="J1462" s="13"/>
      <c r="K1462" s="15"/>
      <c r="L1462" s="15"/>
      <c r="M1462" s="16"/>
      <c r="N1462" s="16"/>
      <c r="O1462" s="17">
        <v>1.0</v>
      </c>
      <c r="P1462" s="17">
        <v>1.0</v>
      </c>
      <c r="Q1462" s="13"/>
      <c r="R1462" s="13"/>
      <c r="S1462" s="13"/>
      <c r="T1462" s="13">
        <f t="shared" ref="T1462:Y1462" si="1514">IF(ISBLANK(K1462)=TRUE,0,1)</f>
        <v>0</v>
      </c>
      <c r="U1462" s="13">
        <f t="shared" si="1514"/>
        <v>0</v>
      </c>
      <c r="V1462" s="13">
        <f t="shared" si="1514"/>
        <v>0</v>
      </c>
      <c r="W1462" s="13">
        <f t="shared" si="1514"/>
        <v>0</v>
      </c>
      <c r="X1462" s="13">
        <f t="shared" si="1514"/>
        <v>1</v>
      </c>
      <c r="Y1462" s="13">
        <f t="shared" si="1514"/>
        <v>1</v>
      </c>
      <c r="Z1462" s="13">
        <f t="shared" si="529"/>
        <v>1</v>
      </c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</row>
    <row r="1463" ht="14.25" hidden="1" customHeight="1">
      <c r="A1463" s="13" t="s">
        <v>46</v>
      </c>
      <c r="B1463" s="34" t="s">
        <v>53</v>
      </c>
      <c r="C1463" s="13" t="s">
        <v>783</v>
      </c>
      <c r="D1463" s="13"/>
      <c r="E1463" s="13" t="str">
        <f t="shared" si="735"/>
        <v>PALM,322O,,1</v>
      </c>
      <c r="F1463" s="13"/>
      <c r="G1463" s="13" t="s">
        <v>111</v>
      </c>
      <c r="H1463" s="13" t="s">
        <v>75</v>
      </c>
      <c r="I1463" s="13"/>
      <c r="J1463" s="13"/>
      <c r="K1463" s="15"/>
      <c r="L1463" s="15"/>
      <c r="M1463" s="16"/>
      <c r="N1463" s="16"/>
      <c r="O1463" s="17">
        <v>1.0</v>
      </c>
      <c r="P1463" s="17">
        <v>1.0</v>
      </c>
      <c r="Q1463" s="13"/>
      <c r="R1463" s="13"/>
      <c r="S1463" s="13"/>
      <c r="T1463" s="13">
        <f t="shared" ref="T1463:Y1463" si="1515">IF(ISBLANK(K1463)=TRUE,0,1)</f>
        <v>0</v>
      </c>
      <c r="U1463" s="13">
        <f t="shared" si="1515"/>
        <v>0</v>
      </c>
      <c r="V1463" s="13">
        <f t="shared" si="1515"/>
        <v>0</v>
      </c>
      <c r="W1463" s="13">
        <f t="shared" si="1515"/>
        <v>0</v>
      </c>
      <c r="X1463" s="13">
        <f t="shared" si="1515"/>
        <v>1</v>
      </c>
      <c r="Y1463" s="13">
        <f t="shared" si="1515"/>
        <v>1</v>
      </c>
      <c r="Z1463" s="13">
        <f t="shared" si="529"/>
        <v>1</v>
      </c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</row>
    <row r="1464" ht="14.25" hidden="1" customHeight="1">
      <c r="A1464" s="13" t="s">
        <v>46</v>
      </c>
      <c r="B1464" s="34" t="s">
        <v>53</v>
      </c>
      <c r="C1464" s="13" t="s">
        <v>784</v>
      </c>
      <c r="D1464" s="13"/>
      <c r="E1464" s="13" t="str">
        <f t="shared" si="735"/>
        <v>PALM,322P,,1</v>
      </c>
      <c r="F1464" s="13"/>
      <c r="G1464" s="13" t="s">
        <v>111</v>
      </c>
      <c r="H1464" s="13" t="s">
        <v>75</v>
      </c>
      <c r="I1464" s="13"/>
      <c r="J1464" s="13"/>
      <c r="K1464" s="15"/>
      <c r="L1464" s="15"/>
      <c r="M1464" s="16"/>
      <c r="N1464" s="16"/>
      <c r="O1464" s="17">
        <v>1.0</v>
      </c>
      <c r="P1464" s="17">
        <v>1.0</v>
      </c>
      <c r="Q1464" s="13"/>
      <c r="R1464" s="13"/>
      <c r="S1464" s="13"/>
      <c r="T1464" s="13">
        <f t="shared" ref="T1464:Y1464" si="1516">IF(ISBLANK(K1464)=TRUE,0,1)</f>
        <v>0</v>
      </c>
      <c r="U1464" s="13">
        <f t="shared" si="1516"/>
        <v>0</v>
      </c>
      <c r="V1464" s="13">
        <f t="shared" si="1516"/>
        <v>0</v>
      </c>
      <c r="W1464" s="13">
        <f t="shared" si="1516"/>
        <v>0</v>
      </c>
      <c r="X1464" s="13">
        <f t="shared" si="1516"/>
        <v>1</v>
      </c>
      <c r="Y1464" s="13">
        <f t="shared" si="1516"/>
        <v>1</v>
      </c>
      <c r="Z1464" s="13">
        <f t="shared" si="529"/>
        <v>1</v>
      </c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</row>
    <row r="1465" ht="14.25" hidden="1" customHeight="1">
      <c r="A1465" s="13" t="s">
        <v>46</v>
      </c>
      <c r="B1465" s="34" t="s">
        <v>53</v>
      </c>
      <c r="C1465" s="13" t="s">
        <v>785</v>
      </c>
      <c r="D1465" s="13"/>
      <c r="E1465" s="13" t="str">
        <f t="shared" si="735"/>
        <v>PALM,322Q,,1</v>
      </c>
      <c r="F1465" s="13"/>
      <c r="G1465" s="13" t="s">
        <v>111</v>
      </c>
      <c r="H1465" s="13" t="s">
        <v>75</v>
      </c>
      <c r="I1465" s="13"/>
      <c r="J1465" s="13"/>
      <c r="K1465" s="15"/>
      <c r="L1465" s="15"/>
      <c r="M1465" s="16"/>
      <c r="N1465" s="16"/>
      <c r="O1465" s="17">
        <v>1.0</v>
      </c>
      <c r="P1465" s="17">
        <v>1.0</v>
      </c>
      <c r="Q1465" s="13"/>
      <c r="R1465" s="13"/>
      <c r="S1465" s="13"/>
      <c r="T1465" s="13">
        <f t="shared" ref="T1465:Y1465" si="1517">IF(ISBLANK(K1465)=TRUE,0,1)</f>
        <v>0</v>
      </c>
      <c r="U1465" s="13">
        <f t="shared" si="1517"/>
        <v>0</v>
      </c>
      <c r="V1465" s="13">
        <f t="shared" si="1517"/>
        <v>0</v>
      </c>
      <c r="W1465" s="13">
        <f t="shared" si="1517"/>
        <v>0</v>
      </c>
      <c r="X1465" s="13">
        <f t="shared" si="1517"/>
        <v>1</v>
      </c>
      <c r="Y1465" s="13">
        <f t="shared" si="1517"/>
        <v>1</v>
      </c>
      <c r="Z1465" s="13">
        <f t="shared" si="529"/>
        <v>1</v>
      </c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</row>
    <row r="1466" ht="14.25" hidden="1" customHeight="1">
      <c r="A1466" s="13" t="s">
        <v>46</v>
      </c>
      <c r="B1466" s="34" t="s">
        <v>53</v>
      </c>
      <c r="C1466" s="13" t="s">
        <v>786</v>
      </c>
      <c r="D1466" s="13"/>
      <c r="E1466" s="13" t="str">
        <f t="shared" si="735"/>
        <v>PALM,322R,,1</v>
      </c>
      <c r="F1466" s="13"/>
      <c r="G1466" s="13" t="s">
        <v>111</v>
      </c>
      <c r="H1466" s="13" t="s">
        <v>75</v>
      </c>
      <c r="I1466" s="13"/>
      <c r="J1466" s="13"/>
      <c r="K1466" s="15"/>
      <c r="L1466" s="15"/>
      <c r="M1466" s="16"/>
      <c r="N1466" s="16"/>
      <c r="O1466" s="17">
        <v>1.0</v>
      </c>
      <c r="P1466" s="17">
        <v>1.0</v>
      </c>
      <c r="Q1466" s="13"/>
      <c r="R1466" s="13"/>
      <c r="S1466" s="13"/>
      <c r="T1466" s="13">
        <f t="shared" ref="T1466:Y1466" si="1518">IF(ISBLANK(K1466)=TRUE,0,1)</f>
        <v>0</v>
      </c>
      <c r="U1466" s="13">
        <f t="shared" si="1518"/>
        <v>0</v>
      </c>
      <c r="V1466" s="13">
        <f t="shared" si="1518"/>
        <v>0</v>
      </c>
      <c r="W1466" s="13">
        <f t="shared" si="1518"/>
        <v>0</v>
      </c>
      <c r="X1466" s="13">
        <f t="shared" si="1518"/>
        <v>1</v>
      </c>
      <c r="Y1466" s="13">
        <f t="shared" si="1518"/>
        <v>1</v>
      </c>
      <c r="Z1466" s="13">
        <f t="shared" si="529"/>
        <v>1</v>
      </c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</row>
    <row r="1467" ht="14.25" hidden="1" customHeight="1">
      <c r="A1467" s="13" t="s">
        <v>46</v>
      </c>
      <c r="B1467" s="34" t="s">
        <v>53</v>
      </c>
      <c r="C1467" s="13" t="s">
        <v>787</v>
      </c>
      <c r="D1467" s="13"/>
      <c r="E1467" s="13" t="str">
        <f t="shared" si="735"/>
        <v>PALM,322S,,1</v>
      </c>
      <c r="F1467" s="13"/>
      <c r="G1467" s="13" t="s">
        <v>111</v>
      </c>
      <c r="H1467" s="13" t="s">
        <v>75</v>
      </c>
      <c r="I1467" s="13"/>
      <c r="J1467" s="13"/>
      <c r="K1467" s="15"/>
      <c r="L1467" s="15"/>
      <c r="M1467" s="16"/>
      <c r="N1467" s="16"/>
      <c r="O1467" s="17">
        <v>1.0</v>
      </c>
      <c r="P1467" s="17">
        <v>1.0</v>
      </c>
      <c r="Q1467" s="13"/>
      <c r="R1467" s="13"/>
      <c r="S1467" s="13"/>
      <c r="T1467" s="13">
        <f t="shared" ref="T1467:Y1467" si="1519">IF(ISBLANK(K1467)=TRUE,0,1)</f>
        <v>0</v>
      </c>
      <c r="U1467" s="13">
        <f t="shared" si="1519"/>
        <v>0</v>
      </c>
      <c r="V1467" s="13">
        <f t="shared" si="1519"/>
        <v>0</v>
      </c>
      <c r="W1467" s="13">
        <f t="shared" si="1519"/>
        <v>0</v>
      </c>
      <c r="X1467" s="13">
        <f t="shared" si="1519"/>
        <v>1</v>
      </c>
      <c r="Y1467" s="13">
        <f t="shared" si="1519"/>
        <v>1</v>
      </c>
      <c r="Z1467" s="13">
        <f t="shared" si="529"/>
        <v>1</v>
      </c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</row>
    <row r="1468" ht="14.25" hidden="1" customHeight="1">
      <c r="A1468" s="13" t="s">
        <v>46</v>
      </c>
      <c r="B1468" s="34" t="s">
        <v>53</v>
      </c>
      <c r="C1468" s="13" t="s">
        <v>788</v>
      </c>
      <c r="D1468" s="13"/>
      <c r="E1468" s="13" t="str">
        <f t="shared" si="735"/>
        <v>PALM,322T,,1</v>
      </c>
      <c r="F1468" s="13"/>
      <c r="G1468" s="13" t="s">
        <v>111</v>
      </c>
      <c r="H1468" s="13" t="s">
        <v>75</v>
      </c>
      <c r="I1468" s="13"/>
      <c r="J1468" s="13"/>
      <c r="K1468" s="15"/>
      <c r="L1468" s="15"/>
      <c r="M1468" s="16"/>
      <c r="N1468" s="16"/>
      <c r="O1468" s="17">
        <v>1.0</v>
      </c>
      <c r="P1468" s="17">
        <v>1.0</v>
      </c>
      <c r="Q1468" s="13"/>
      <c r="R1468" s="13"/>
      <c r="S1468" s="13"/>
      <c r="T1468" s="13">
        <f t="shared" ref="T1468:Y1468" si="1520">IF(ISBLANK(K1468)=TRUE,0,1)</f>
        <v>0</v>
      </c>
      <c r="U1468" s="13">
        <f t="shared" si="1520"/>
        <v>0</v>
      </c>
      <c r="V1468" s="13">
        <f t="shared" si="1520"/>
        <v>0</v>
      </c>
      <c r="W1468" s="13">
        <f t="shared" si="1520"/>
        <v>0</v>
      </c>
      <c r="X1468" s="13">
        <f t="shared" si="1520"/>
        <v>1</v>
      </c>
      <c r="Y1468" s="13">
        <f t="shared" si="1520"/>
        <v>1</v>
      </c>
      <c r="Z1468" s="13">
        <f t="shared" si="529"/>
        <v>1</v>
      </c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</row>
    <row r="1469" ht="14.25" hidden="1" customHeight="1">
      <c r="A1469" s="13" t="s">
        <v>46</v>
      </c>
      <c r="B1469" s="34" t="s">
        <v>53</v>
      </c>
      <c r="C1469" s="13" t="s">
        <v>789</v>
      </c>
      <c r="D1469" s="13"/>
      <c r="E1469" s="13" t="str">
        <f t="shared" si="735"/>
        <v>PALM,322U,,1</v>
      </c>
      <c r="F1469" s="13"/>
      <c r="G1469" s="13" t="s">
        <v>111</v>
      </c>
      <c r="H1469" s="13" t="s">
        <v>75</v>
      </c>
      <c r="I1469" s="13"/>
      <c r="J1469" s="13"/>
      <c r="K1469" s="15"/>
      <c r="L1469" s="15"/>
      <c r="M1469" s="16"/>
      <c r="N1469" s="16"/>
      <c r="O1469" s="17">
        <v>1.0</v>
      </c>
      <c r="P1469" s="17">
        <v>1.0</v>
      </c>
      <c r="Q1469" s="13"/>
      <c r="R1469" s="13"/>
      <c r="S1469" s="13"/>
      <c r="T1469" s="13">
        <f t="shared" ref="T1469:Y1469" si="1521">IF(ISBLANK(K1469)=TRUE,0,1)</f>
        <v>0</v>
      </c>
      <c r="U1469" s="13">
        <f t="shared" si="1521"/>
        <v>0</v>
      </c>
      <c r="V1469" s="13">
        <f t="shared" si="1521"/>
        <v>0</v>
      </c>
      <c r="W1469" s="13">
        <f t="shared" si="1521"/>
        <v>0</v>
      </c>
      <c r="X1469" s="13">
        <f t="shared" si="1521"/>
        <v>1</v>
      </c>
      <c r="Y1469" s="13">
        <f t="shared" si="1521"/>
        <v>1</v>
      </c>
      <c r="Z1469" s="13">
        <f t="shared" si="529"/>
        <v>1</v>
      </c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</row>
    <row r="1470" ht="14.25" hidden="1" customHeight="1">
      <c r="A1470" s="13" t="s">
        <v>46</v>
      </c>
      <c r="B1470" s="34" t="s">
        <v>53</v>
      </c>
      <c r="C1470" s="13" t="s">
        <v>790</v>
      </c>
      <c r="D1470" s="13"/>
      <c r="E1470" s="13" t="str">
        <f t="shared" si="735"/>
        <v>PALM,322V,,1</v>
      </c>
      <c r="F1470" s="13"/>
      <c r="G1470" s="13" t="s">
        <v>111</v>
      </c>
      <c r="H1470" s="13" t="s">
        <v>75</v>
      </c>
      <c r="I1470" s="13"/>
      <c r="J1470" s="13"/>
      <c r="K1470" s="15"/>
      <c r="L1470" s="15"/>
      <c r="M1470" s="16"/>
      <c r="N1470" s="16"/>
      <c r="O1470" s="17">
        <v>1.0</v>
      </c>
      <c r="P1470" s="17">
        <v>1.0</v>
      </c>
      <c r="Q1470" s="13"/>
      <c r="R1470" s="13"/>
      <c r="S1470" s="13"/>
      <c r="T1470" s="13">
        <f t="shared" ref="T1470:Y1470" si="1522">IF(ISBLANK(K1470)=TRUE,0,1)</f>
        <v>0</v>
      </c>
      <c r="U1470" s="13">
        <f t="shared" si="1522"/>
        <v>0</v>
      </c>
      <c r="V1470" s="13">
        <f t="shared" si="1522"/>
        <v>0</v>
      </c>
      <c r="W1470" s="13">
        <f t="shared" si="1522"/>
        <v>0</v>
      </c>
      <c r="X1470" s="13">
        <f t="shared" si="1522"/>
        <v>1</v>
      </c>
      <c r="Y1470" s="13">
        <f t="shared" si="1522"/>
        <v>1</v>
      </c>
      <c r="Z1470" s="13">
        <f t="shared" si="529"/>
        <v>1</v>
      </c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</row>
    <row r="1471" ht="14.25" hidden="1" customHeight="1">
      <c r="A1471" s="13" t="s">
        <v>46</v>
      </c>
      <c r="B1471" s="34" t="s">
        <v>53</v>
      </c>
      <c r="C1471" s="13" t="s">
        <v>791</v>
      </c>
      <c r="D1471" s="13"/>
      <c r="E1471" s="13" t="str">
        <f t="shared" si="735"/>
        <v>PALM,322W,,1</v>
      </c>
      <c r="F1471" s="13"/>
      <c r="G1471" s="13" t="s">
        <v>111</v>
      </c>
      <c r="H1471" s="13" t="s">
        <v>75</v>
      </c>
      <c r="I1471" s="13"/>
      <c r="J1471" s="13"/>
      <c r="K1471" s="15"/>
      <c r="L1471" s="15"/>
      <c r="M1471" s="16"/>
      <c r="N1471" s="16"/>
      <c r="O1471" s="17">
        <v>1.0</v>
      </c>
      <c r="P1471" s="17">
        <v>1.0</v>
      </c>
      <c r="Q1471" s="13"/>
      <c r="R1471" s="13"/>
      <c r="S1471" s="13"/>
      <c r="T1471" s="13">
        <f t="shared" ref="T1471:Y1471" si="1523">IF(ISBLANK(K1471)=TRUE,0,1)</f>
        <v>0</v>
      </c>
      <c r="U1471" s="13">
        <f t="shared" si="1523"/>
        <v>0</v>
      </c>
      <c r="V1471" s="13">
        <f t="shared" si="1523"/>
        <v>0</v>
      </c>
      <c r="W1471" s="13">
        <f t="shared" si="1523"/>
        <v>0</v>
      </c>
      <c r="X1471" s="13">
        <f t="shared" si="1523"/>
        <v>1</v>
      </c>
      <c r="Y1471" s="13">
        <f t="shared" si="1523"/>
        <v>1</v>
      </c>
      <c r="Z1471" s="13">
        <f t="shared" si="529"/>
        <v>1</v>
      </c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</row>
    <row r="1472" ht="14.25" hidden="1" customHeight="1">
      <c r="A1472" s="13" t="s">
        <v>46</v>
      </c>
      <c r="B1472" s="34" t="s">
        <v>53</v>
      </c>
      <c r="C1472" s="13" t="s">
        <v>792</v>
      </c>
      <c r="D1472" s="13"/>
      <c r="E1472" s="13" t="str">
        <f t="shared" si="735"/>
        <v>PALM,322X,,1</v>
      </c>
      <c r="F1472" s="13"/>
      <c r="G1472" s="13" t="s">
        <v>111</v>
      </c>
      <c r="H1472" s="13" t="s">
        <v>75</v>
      </c>
      <c r="I1472" s="13"/>
      <c r="J1472" s="13"/>
      <c r="K1472" s="15"/>
      <c r="L1472" s="15"/>
      <c r="M1472" s="16"/>
      <c r="N1472" s="16"/>
      <c r="O1472" s="17">
        <v>1.0</v>
      </c>
      <c r="P1472" s="17">
        <v>1.0</v>
      </c>
      <c r="Q1472" s="13"/>
      <c r="R1472" s="13"/>
      <c r="S1472" s="13"/>
      <c r="T1472" s="13">
        <f t="shared" ref="T1472:Y1472" si="1524">IF(ISBLANK(K1472)=TRUE,0,1)</f>
        <v>0</v>
      </c>
      <c r="U1472" s="13">
        <f t="shared" si="1524"/>
        <v>0</v>
      </c>
      <c r="V1472" s="13">
        <f t="shared" si="1524"/>
        <v>0</v>
      </c>
      <c r="W1472" s="13">
        <f t="shared" si="1524"/>
        <v>0</v>
      </c>
      <c r="X1472" s="13">
        <f t="shared" si="1524"/>
        <v>1</v>
      </c>
      <c r="Y1472" s="13">
        <f t="shared" si="1524"/>
        <v>1</v>
      </c>
      <c r="Z1472" s="13">
        <f t="shared" si="529"/>
        <v>1</v>
      </c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</row>
    <row r="1473" ht="14.25" hidden="1" customHeight="1">
      <c r="A1473" s="13" t="s">
        <v>46</v>
      </c>
      <c r="B1473" s="34" t="s">
        <v>53</v>
      </c>
      <c r="C1473" s="13" t="s">
        <v>793</v>
      </c>
      <c r="D1473" s="13"/>
      <c r="E1473" s="13" t="str">
        <f t="shared" si="735"/>
        <v>PALM,322Y,,NA</v>
      </c>
      <c r="F1473" s="13"/>
      <c r="G1473" s="13" t="s">
        <v>111</v>
      </c>
      <c r="H1473" s="13" t="s">
        <v>75</v>
      </c>
      <c r="I1473" s="13"/>
      <c r="J1473" s="13"/>
      <c r="K1473" s="15"/>
      <c r="L1473" s="15"/>
      <c r="M1473" s="16"/>
      <c r="N1473" s="16"/>
      <c r="O1473" s="17"/>
      <c r="P1473" s="17"/>
      <c r="Q1473" s="13"/>
      <c r="R1473" s="13"/>
      <c r="S1473" s="13"/>
      <c r="T1473" s="13">
        <f t="shared" ref="T1473:Y1473" si="1525">IF(ISBLANK(K1473)=TRUE,0,1)</f>
        <v>0</v>
      </c>
      <c r="U1473" s="13">
        <f t="shared" si="1525"/>
        <v>0</v>
      </c>
      <c r="V1473" s="13">
        <f t="shared" si="1525"/>
        <v>0</v>
      </c>
      <c r="W1473" s="13">
        <f t="shared" si="1525"/>
        <v>0</v>
      </c>
      <c r="X1473" s="13">
        <f t="shared" si="1525"/>
        <v>0</v>
      </c>
      <c r="Y1473" s="13">
        <f t="shared" si="1525"/>
        <v>0</v>
      </c>
      <c r="Z1473" s="13" t="str">
        <f t="shared" si="529"/>
        <v>NA</v>
      </c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</row>
    <row r="1474" ht="14.25" hidden="1" customHeight="1">
      <c r="A1474" s="13" t="s">
        <v>46</v>
      </c>
      <c r="B1474" s="34" t="s">
        <v>53</v>
      </c>
      <c r="C1474" s="13" t="s">
        <v>794</v>
      </c>
      <c r="D1474" s="13"/>
      <c r="E1474" s="13" t="str">
        <f t="shared" si="735"/>
        <v>PALM,322Z,,NA</v>
      </c>
      <c r="F1474" s="13"/>
      <c r="G1474" s="13" t="s">
        <v>111</v>
      </c>
      <c r="H1474" s="13" t="s">
        <v>75</v>
      </c>
      <c r="I1474" s="13"/>
      <c r="J1474" s="13"/>
      <c r="K1474" s="15"/>
      <c r="L1474" s="15"/>
      <c r="M1474" s="16"/>
      <c r="N1474" s="16"/>
      <c r="O1474" s="17"/>
      <c r="P1474" s="17"/>
      <c r="Q1474" s="13"/>
      <c r="R1474" s="13"/>
      <c r="S1474" s="13"/>
      <c r="T1474" s="13">
        <f t="shared" ref="T1474:Y1474" si="1526">IF(ISBLANK(K1474)=TRUE,0,1)</f>
        <v>0</v>
      </c>
      <c r="U1474" s="13">
        <f t="shared" si="1526"/>
        <v>0</v>
      </c>
      <c r="V1474" s="13">
        <f t="shared" si="1526"/>
        <v>0</v>
      </c>
      <c r="W1474" s="13">
        <f t="shared" si="1526"/>
        <v>0</v>
      </c>
      <c r="X1474" s="13">
        <f t="shared" si="1526"/>
        <v>0</v>
      </c>
      <c r="Y1474" s="13">
        <f t="shared" si="1526"/>
        <v>0</v>
      </c>
      <c r="Z1474" s="13" t="str">
        <f t="shared" si="529"/>
        <v>NA</v>
      </c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</row>
    <row r="1475" ht="14.25" hidden="1" customHeight="1">
      <c r="A1475" s="13" t="s">
        <v>46</v>
      </c>
      <c r="B1475" s="34" t="s">
        <v>53</v>
      </c>
      <c r="C1475" s="13" t="s">
        <v>795</v>
      </c>
      <c r="D1475" s="13"/>
      <c r="E1475" s="13" t="str">
        <f t="shared" si="735"/>
        <v>PALM,333A,,1</v>
      </c>
      <c r="F1475" s="13"/>
      <c r="G1475" s="13" t="s">
        <v>111</v>
      </c>
      <c r="H1475" s="13" t="s">
        <v>75</v>
      </c>
      <c r="I1475" s="13"/>
      <c r="J1475" s="13"/>
      <c r="K1475" s="15"/>
      <c r="L1475" s="15"/>
      <c r="M1475" s="16"/>
      <c r="N1475" s="16"/>
      <c r="O1475" s="17">
        <v>1.0</v>
      </c>
      <c r="P1475" s="17">
        <v>1.0</v>
      </c>
      <c r="Q1475" s="13"/>
      <c r="R1475" s="13"/>
      <c r="S1475" s="13"/>
      <c r="T1475" s="13">
        <f t="shared" ref="T1475:Y1475" si="1527">IF(ISBLANK(K1475)=TRUE,0,1)</f>
        <v>0</v>
      </c>
      <c r="U1475" s="13">
        <f t="shared" si="1527"/>
        <v>0</v>
      </c>
      <c r="V1475" s="13">
        <f t="shared" si="1527"/>
        <v>0</v>
      </c>
      <c r="W1475" s="13">
        <f t="shared" si="1527"/>
        <v>0</v>
      </c>
      <c r="X1475" s="13">
        <f t="shared" si="1527"/>
        <v>1</v>
      </c>
      <c r="Y1475" s="13">
        <f t="shared" si="1527"/>
        <v>1</v>
      </c>
      <c r="Z1475" s="13">
        <f t="shared" si="529"/>
        <v>1</v>
      </c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</row>
    <row r="1476" ht="14.25" hidden="1" customHeight="1">
      <c r="A1476" s="13" t="s">
        <v>46</v>
      </c>
      <c r="B1476" s="34" t="s">
        <v>53</v>
      </c>
      <c r="C1476" s="13" t="s">
        <v>796</v>
      </c>
      <c r="D1476" s="13"/>
      <c r="E1476" s="13" t="str">
        <f t="shared" si="735"/>
        <v>PALM,333B,,1</v>
      </c>
      <c r="F1476" s="13"/>
      <c r="G1476" s="13" t="s">
        <v>111</v>
      </c>
      <c r="H1476" s="13" t="s">
        <v>75</v>
      </c>
      <c r="I1476" s="13"/>
      <c r="J1476" s="13"/>
      <c r="K1476" s="15"/>
      <c r="L1476" s="15"/>
      <c r="M1476" s="16"/>
      <c r="N1476" s="16"/>
      <c r="O1476" s="17">
        <v>1.0</v>
      </c>
      <c r="P1476" s="17">
        <v>1.0</v>
      </c>
      <c r="Q1476" s="13"/>
      <c r="R1476" s="13"/>
      <c r="S1476" s="13"/>
      <c r="T1476" s="13">
        <f t="shared" ref="T1476:Y1476" si="1528">IF(ISBLANK(K1476)=TRUE,0,1)</f>
        <v>0</v>
      </c>
      <c r="U1476" s="13">
        <f t="shared" si="1528"/>
        <v>0</v>
      </c>
      <c r="V1476" s="13">
        <f t="shared" si="1528"/>
        <v>0</v>
      </c>
      <c r="W1476" s="13">
        <f t="shared" si="1528"/>
        <v>0</v>
      </c>
      <c r="X1476" s="13">
        <f t="shared" si="1528"/>
        <v>1</v>
      </c>
      <c r="Y1476" s="13">
        <f t="shared" si="1528"/>
        <v>1</v>
      </c>
      <c r="Z1476" s="13">
        <f t="shared" si="529"/>
        <v>1</v>
      </c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</row>
    <row r="1477" ht="14.25" hidden="1" customHeight="1">
      <c r="A1477" s="13" t="s">
        <v>46</v>
      </c>
      <c r="B1477" s="34" t="s">
        <v>53</v>
      </c>
      <c r="C1477" s="13" t="s">
        <v>797</v>
      </c>
      <c r="D1477" s="13"/>
      <c r="E1477" s="13" t="str">
        <f t="shared" si="735"/>
        <v>PALM,333C,,1</v>
      </c>
      <c r="F1477" s="13"/>
      <c r="G1477" s="13" t="s">
        <v>111</v>
      </c>
      <c r="H1477" s="13" t="s">
        <v>75</v>
      </c>
      <c r="I1477" s="13"/>
      <c r="J1477" s="13"/>
      <c r="K1477" s="15"/>
      <c r="L1477" s="15"/>
      <c r="M1477" s="16"/>
      <c r="N1477" s="16"/>
      <c r="O1477" s="17">
        <v>1.0</v>
      </c>
      <c r="P1477" s="17">
        <v>1.0</v>
      </c>
      <c r="Q1477" s="13"/>
      <c r="R1477" s="13"/>
      <c r="S1477" s="13"/>
      <c r="T1477" s="13">
        <f t="shared" ref="T1477:Y1477" si="1529">IF(ISBLANK(K1477)=TRUE,0,1)</f>
        <v>0</v>
      </c>
      <c r="U1477" s="13">
        <f t="shared" si="1529"/>
        <v>0</v>
      </c>
      <c r="V1477" s="13">
        <f t="shared" si="1529"/>
        <v>0</v>
      </c>
      <c r="W1477" s="13">
        <f t="shared" si="1529"/>
        <v>0</v>
      </c>
      <c r="X1477" s="13">
        <f t="shared" si="1529"/>
        <v>1</v>
      </c>
      <c r="Y1477" s="13">
        <f t="shared" si="1529"/>
        <v>1</v>
      </c>
      <c r="Z1477" s="13">
        <f t="shared" si="529"/>
        <v>1</v>
      </c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</row>
    <row r="1478" ht="14.25" hidden="1" customHeight="1">
      <c r="A1478" s="13" t="s">
        <v>46</v>
      </c>
      <c r="B1478" s="34" t="s">
        <v>53</v>
      </c>
      <c r="C1478" s="13" t="s">
        <v>798</v>
      </c>
      <c r="D1478" s="13"/>
      <c r="E1478" s="13" t="str">
        <f t="shared" si="735"/>
        <v>PALM,333D,,1</v>
      </c>
      <c r="F1478" s="13"/>
      <c r="G1478" s="13" t="s">
        <v>111</v>
      </c>
      <c r="H1478" s="13" t="s">
        <v>75</v>
      </c>
      <c r="I1478" s="13"/>
      <c r="J1478" s="13"/>
      <c r="K1478" s="15"/>
      <c r="L1478" s="15"/>
      <c r="M1478" s="16"/>
      <c r="N1478" s="16"/>
      <c r="O1478" s="17">
        <v>1.0</v>
      </c>
      <c r="P1478" s="17">
        <v>1.0</v>
      </c>
      <c r="Q1478" s="13"/>
      <c r="R1478" s="13"/>
      <c r="S1478" s="13"/>
      <c r="T1478" s="13">
        <f t="shared" ref="T1478:Y1478" si="1530">IF(ISBLANK(K1478)=TRUE,0,1)</f>
        <v>0</v>
      </c>
      <c r="U1478" s="13">
        <f t="shared" si="1530"/>
        <v>0</v>
      </c>
      <c r="V1478" s="13">
        <f t="shared" si="1530"/>
        <v>0</v>
      </c>
      <c r="W1478" s="13">
        <f t="shared" si="1530"/>
        <v>0</v>
      </c>
      <c r="X1478" s="13">
        <f t="shared" si="1530"/>
        <v>1</v>
      </c>
      <c r="Y1478" s="13">
        <f t="shared" si="1530"/>
        <v>1</v>
      </c>
      <c r="Z1478" s="13">
        <f t="shared" si="529"/>
        <v>1</v>
      </c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</row>
    <row r="1479" ht="14.25" hidden="1" customHeight="1">
      <c r="A1479" s="13" t="s">
        <v>46</v>
      </c>
      <c r="B1479" s="34" t="s">
        <v>53</v>
      </c>
      <c r="C1479" s="13" t="s">
        <v>799</v>
      </c>
      <c r="D1479" s="13"/>
      <c r="E1479" s="13" t="str">
        <f t="shared" si="735"/>
        <v>PALM,333E,,1</v>
      </c>
      <c r="F1479" s="13"/>
      <c r="G1479" s="13" t="s">
        <v>111</v>
      </c>
      <c r="H1479" s="13" t="s">
        <v>75</v>
      </c>
      <c r="I1479" s="13"/>
      <c r="J1479" s="13"/>
      <c r="K1479" s="15"/>
      <c r="L1479" s="15"/>
      <c r="M1479" s="16"/>
      <c r="N1479" s="16"/>
      <c r="O1479" s="17">
        <v>1.0</v>
      </c>
      <c r="P1479" s="17">
        <v>1.0</v>
      </c>
      <c r="Q1479" s="13"/>
      <c r="R1479" s="13"/>
      <c r="S1479" s="13"/>
      <c r="T1479" s="13">
        <f t="shared" ref="T1479:Y1479" si="1531">IF(ISBLANK(K1479)=TRUE,0,1)</f>
        <v>0</v>
      </c>
      <c r="U1479" s="13">
        <f t="shared" si="1531"/>
        <v>0</v>
      </c>
      <c r="V1479" s="13">
        <f t="shared" si="1531"/>
        <v>0</v>
      </c>
      <c r="W1479" s="13">
        <f t="shared" si="1531"/>
        <v>0</v>
      </c>
      <c r="X1479" s="13">
        <f t="shared" si="1531"/>
        <v>1</v>
      </c>
      <c r="Y1479" s="13">
        <f t="shared" si="1531"/>
        <v>1</v>
      </c>
      <c r="Z1479" s="13">
        <f t="shared" si="529"/>
        <v>1</v>
      </c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</row>
    <row r="1480" ht="14.25" hidden="1" customHeight="1">
      <c r="A1480" s="13" t="s">
        <v>46</v>
      </c>
      <c r="B1480" s="34" t="s">
        <v>53</v>
      </c>
      <c r="C1480" s="13" t="s">
        <v>800</v>
      </c>
      <c r="D1480" s="13"/>
      <c r="E1480" s="13" t="str">
        <f t="shared" si="735"/>
        <v>PALM,333F,,1</v>
      </c>
      <c r="F1480" s="13"/>
      <c r="G1480" s="13" t="s">
        <v>111</v>
      </c>
      <c r="H1480" s="13" t="s">
        <v>75</v>
      </c>
      <c r="I1480" s="13"/>
      <c r="J1480" s="13"/>
      <c r="K1480" s="15"/>
      <c r="L1480" s="15"/>
      <c r="M1480" s="16"/>
      <c r="N1480" s="16"/>
      <c r="O1480" s="17">
        <v>1.0</v>
      </c>
      <c r="P1480" s="17">
        <v>1.0</v>
      </c>
      <c r="Q1480" s="13"/>
      <c r="R1480" s="13"/>
      <c r="S1480" s="13"/>
      <c r="T1480" s="13">
        <f t="shared" ref="T1480:Y1480" si="1532">IF(ISBLANK(K1480)=TRUE,0,1)</f>
        <v>0</v>
      </c>
      <c r="U1480" s="13">
        <f t="shared" si="1532"/>
        <v>0</v>
      </c>
      <c r="V1480" s="13">
        <f t="shared" si="1532"/>
        <v>0</v>
      </c>
      <c r="W1480" s="13">
        <f t="shared" si="1532"/>
        <v>0</v>
      </c>
      <c r="X1480" s="13">
        <f t="shared" si="1532"/>
        <v>1</v>
      </c>
      <c r="Y1480" s="13">
        <f t="shared" si="1532"/>
        <v>1</v>
      </c>
      <c r="Z1480" s="13">
        <f t="shared" si="529"/>
        <v>1</v>
      </c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</row>
    <row r="1481" ht="14.25" hidden="1" customHeight="1">
      <c r="A1481" s="13" t="s">
        <v>46</v>
      </c>
      <c r="B1481" s="34" t="s">
        <v>53</v>
      </c>
      <c r="C1481" s="13" t="s">
        <v>801</v>
      </c>
      <c r="D1481" s="13"/>
      <c r="E1481" s="13" t="str">
        <f t="shared" si="735"/>
        <v>PALM,333G,,1</v>
      </c>
      <c r="F1481" s="13"/>
      <c r="G1481" s="13" t="s">
        <v>111</v>
      </c>
      <c r="H1481" s="13" t="s">
        <v>75</v>
      </c>
      <c r="I1481" s="13"/>
      <c r="J1481" s="13"/>
      <c r="K1481" s="15"/>
      <c r="L1481" s="15"/>
      <c r="M1481" s="16"/>
      <c r="N1481" s="16"/>
      <c r="O1481" s="17">
        <v>1.0</v>
      </c>
      <c r="P1481" s="17">
        <v>1.0</v>
      </c>
      <c r="Q1481" s="13"/>
      <c r="R1481" s="13"/>
      <c r="S1481" s="13"/>
      <c r="T1481" s="13">
        <f t="shared" ref="T1481:Y1481" si="1533">IF(ISBLANK(K1481)=TRUE,0,1)</f>
        <v>0</v>
      </c>
      <c r="U1481" s="13">
        <f t="shared" si="1533"/>
        <v>0</v>
      </c>
      <c r="V1481" s="13">
        <f t="shared" si="1533"/>
        <v>0</v>
      </c>
      <c r="W1481" s="13">
        <f t="shared" si="1533"/>
        <v>0</v>
      </c>
      <c r="X1481" s="13">
        <f t="shared" si="1533"/>
        <v>1</v>
      </c>
      <c r="Y1481" s="13">
        <f t="shared" si="1533"/>
        <v>1</v>
      </c>
      <c r="Z1481" s="13">
        <f t="shared" si="529"/>
        <v>1</v>
      </c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</row>
    <row r="1482" ht="14.25" hidden="1" customHeight="1">
      <c r="A1482" s="13" t="s">
        <v>46</v>
      </c>
      <c r="B1482" s="34" t="s">
        <v>53</v>
      </c>
      <c r="C1482" s="13" t="s">
        <v>802</v>
      </c>
      <c r="D1482" s="13"/>
      <c r="E1482" s="13" t="str">
        <f t="shared" si="735"/>
        <v>PALM,333H,,1</v>
      </c>
      <c r="F1482" s="13"/>
      <c r="G1482" s="13" t="s">
        <v>111</v>
      </c>
      <c r="H1482" s="13" t="s">
        <v>75</v>
      </c>
      <c r="I1482" s="13"/>
      <c r="J1482" s="13"/>
      <c r="K1482" s="15"/>
      <c r="L1482" s="15"/>
      <c r="M1482" s="16"/>
      <c r="N1482" s="16"/>
      <c r="O1482" s="17">
        <v>1.0</v>
      </c>
      <c r="P1482" s="17">
        <v>1.0</v>
      </c>
      <c r="Q1482" s="13"/>
      <c r="R1482" s="13"/>
      <c r="S1482" s="13"/>
      <c r="T1482" s="13">
        <f t="shared" ref="T1482:Y1482" si="1534">IF(ISBLANK(K1482)=TRUE,0,1)</f>
        <v>0</v>
      </c>
      <c r="U1482" s="13">
        <f t="shared" si="1534"/>
        <v>0</v>
      </c>
      <c r="V1482" s="13">
        <f t="shared" si="1534"/>
        <v>0</v>
      </c>
      <c r="W1482" s="13">
        <f t="shared" si="1534"/>
        <v>0</v>
      </c>
      <c r="X1482" s="13">
        <f t="shared" si="1534"/>
        <v>1</v>
      </c>
      <c r="Y1482" s="13">
        <f t="shared" si="1534"/>
        <v>1</v>
      </c>
      <c r="Z1482" s="13">
        <f t="shared" si="529"/>
        <v>1</v>
      </c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</row>
    <row r="1483" ht="14.25" hidden="1" customHeight="1">
      <c r="A1483" s="13" t="s">
        <v>46</v>
      </c>
      <c r="B1483" s="34" t="s">
        <v>53</v>
      </c>
      <c r="C1483" s="13" t="s">
        <v>803</v>
      </c>
      <c r="D1483" s="13"/>
      <c r="E1483" s="13" t="str">
        <f t="shared" si="735"/>
        <v>PALM,333I,,1</v>
      </c>
      <c r="F1483" s="13"/>
      <c r="G1483" s="13" t="s">
        <v>111</v>
      </c>
      <c r="H1483" s="13" t="s">
        <v>75</v>
      </c>
      <c r="I1483" s="13"/>
      <c r="J1483" s="13"/>
      <c r="K1483" s="15"/>
      <c r="L1483" s="15"/>
      <c r="M1483" s="16"/>
      <c r="N1483" s="16"/>
      <c r="O1483" s="17">
        <v>1.0</v>
      </c>
      <c r="P1483" s="17">
        <v>1.0</v>
      </c>
      <c r="Q1483" s="13"/>
      <c r="R1483" s="13"/>
      <c r="S1483" s="13"/>
      <c r="T1483" s="13">
        <f t="shared" ref="T1483:Y1483" si="1535">IF(ISBLANK(K1483)=TRUE,0,1)</f>
        <v>0</v>
      </c>
      <c r="U1483" s="13">
        <f t="shared" si="1535"/>
        <v>0</v>
      </c>
      <c r="V1483" s="13">
        <f t="shared" si="1535"/>
        <v>0</v>
      </c>
      <c r="W1483" s="13">
        <f t="shared" si="1535"/>
        <v>0</v>
      </c>
      <c r="X1483" s="13">
        <f t="shared" si="1535"/>
        <v>1</v>
      </c>
      <c r="Y1483" s="13">
        <f t="shared" si="1535"/>
        <v>1</v>
      </c>
      <c r="Z1483" s="13">
        <f t="shared" si="529"/>
        <v>1</v>
      </c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</row>
    <row r="1484" ht="14.25" hidden="1" customHeight="1">
      <c r="A1484" s="13" t="s">
        <v>46</v>
      </c>
      <c r="B1484" s="34" t="s">
        <v>53</v>
      </c>
      <c r="C1484" s="13" t="s">
        <v>804</v>
      </c>
      <c r="D1484" s="13"/>
      <c r="E1484" s="13" t="str">
        <f t="shared" si="735"/>
        <v>PALM,333J,,1</v>
      </c>
      <c r="F1484" s="13"/>
      <c r="G1484" s="13" t="s">
        <v>111</v>
      </c>
      <c r="H1484" s="13" t="s">
        <v>75</v>
      </c>
      <c r="I1484" s="13"/>
      <c r="J1484" s="13"/>
      <c r="K1484" s="15"/>
      <c r="L1484" s="15"/>
      <c r="M1484" s="16"/>
      <c r="N1484" s="16"/>
      <c r="O1484" s="17">
        <v>1.0</v>
      </c>
      <c r="P1484" s="17">
        <v>1.0</v>
      </c>
      <c r="Q1484" s="13"/>
      <c r="R1484" s="13"/>
      <c r="S1484" s="13"/>
      <c r="T1484" s="13">
        <f t="shared" ref="T1484:Y1484" si="1536">IF(ISBLANK(K1484)=TRUE,0,1)</f>
        <v>0</v>
      </c>
      <c r="U1484" s="13">
        <f t="shared" si="1536"/>
        <v>0</v>
      </c>
      <c r="V1484" s="13">
        <f t="shared" si="1536"/>
        <v>0</v>
      </c>
      <c r="W1484" s="13">
        <f t="shared" si="1536"/>
        <v>0</v>
      </c>
      <c r="X1484" s="13">
        <f t="shared" si="1536"/>
        <v>1</v>
      </c>
      <c r="Y1484" s="13">
        <f t="shared" si="1536"/>
        <v>1</v>
      </c>
      <c r="Z1484" s="13">
        <f t="shared" si="529"/>
        <v>1</v>
      </c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</row>
    <row r="1485" ht="14.25" hidden="1" customHeight="1">
      <c r="A1485" s="13" t="s">
        <v>46</v>
      </c>
      <c r="B1485" s="34" t="s">
        <v>53</v>
      </c>
      <c r="C1485" s="13" t="s">
        <v>805</v>
      </c>
      <c r="D1485" s="13"/>
      <c r="E1485" s="13" t="str">
        <f t="shared" si="735"/>
        <v>PALM,333K,,1</v>
      </c>
      <c r="F1485" s="13"/>
      <c r="G1485" s="13" t="s">
        <v>111</v>
      </c>
      <c r="H1485" s="13" t="s">
        <v>75</v>
      </c>
      <c r="I1485" s="13"/>
      <c r="J1485" s="13"/>
      <c r="K1485" s="15"/>
      <c r="L1485" s="15"/>
      <c r="M1485" s="16"/>
      <c r="N1485" s="16"/>
      <c r="O1485" s="17">
        <v>1.0</v>
      </c>
      <c r="P1485" s="17">
        <v>1.0</v>
      </c>
      <c r="Q1485" s="13"/>
      <c r="R1485" s="13"/>
      <c r="S1485" s="13"/>
      <c r="T1485" s="13">
        <f t="shared" ref="T1485:Y1485" si="1537">IF(ISBLANK(K1485)=TRUE,0,1)</f>
        <v>0</v>
      </c>
      <c r="U1485" s="13">
        <f t="shared" si="1537"/>
        <v>0</v>
      </c>
      <c r="V1485" s="13">
        <f t="shared" si="1537"/>
        <v>0</v>
      </c>
      <c r="W1485" s="13">
        <f t="shared" si="1537"/>
        <v>0</v>
      </c>
      <c r="X1485" s="13">
        <f t="shared" si="1537"/>
        <v>1</v>
      </c>
      <c r="Y1485" s="13">
        <f t="shared" si="1537"/>
        <v>1</v>
      </c>
      <c r="Z1485" s="13">
        <f t="shared" si="529"/>
        <v>1</v>
      </c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</row>
    <row r="1486" ht="14.25" hidden="1" customHeight="1">
      <c r="A1486" s="13" t="s">
        <v>46</v>
      </c>
      <c r="B1486" s="34" t="s">
        <v>53</v>
      </c>
      <c r="C1486" s="13" t="s">
        <v>806</v>
      </c>
      <c r="D1486" s="13"/>
      <c r="E1486" s="13" t="str">
        <f t="shared" si="735"/>
        <v>PALM,333L,,1</v>
      </c>
      <c r="F1486" s="13"/>
      <c r="G1486" s="13" t="s">
        <v>111</v>
      </c>
      <c r="H1486" s="13" t="s">
        <v>75</v>
      </c>
      <c r="I1486" s="13"/>
      <c r="J1486" s="13"/>
      <c r="K1486" s="15"/>
      <c r="L1486" s="15"/>
      <c r="M1486" s="16"/>
      <c r="N1486" s="16"/>
      <c r="O1486" s="17">
        <v>1.0</v>
      </c>
      <c r="P1486" s="17">
        <v>1.0</v>
      </c>
      <c r="Q1486" s="13"/>
      <c r="R1486" s="13"/>
      <c r="S1486" s="13"/>
      <c r="T1486" s="13">
        <f t="shared" ref="T1486:Y1486" si="1538">IF(ISBLANK(K1486)=TRUE,0,1)</f>
        <v>0</v>
      </c>
      <c r="U1486" s="13">
        <f t="shared" si="1538"/>
        <v>0</v>
      </c>
      <c r="V1486" s="13">
        <f t="shared" si="1538"/>
        <v>0</v>
      </c>
      <c r="W1486" s="13">
        <f t="shared" si="1538"/>
        <v>0</v>
      </c>
      <c r="X1486" s="13">
        <f t="shared" si="1538"/>
        <v>1</v>
      </c>
      <c r="Y1486" s="13">
        <f t="shared" si="1538"/>
        <v>1</v>
      </c>
      <c r="Z1486" s="13">
        <f t="shared" si="529"/>
        <v>1</v>
      </c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</row>
    <row r="1487" ht="14.25" hidden="1" customHeight="1">
      <c r="A1487" s="13" t="s">
        <v>46</v>
      </c>
      <c r="B1487" s="34" t="s">
        <v>53</v>
      </c>
      <c r="C1487" s="13" t="s">
        <v>807</v>
      </c>
      <c r="D1487" s="13"/>
      <c r="E1487" s="13" t="str">
        <f t="shared" si="735"/>
        <v>PALM,333M,,1</v>
      </c>
      <c r="F1487" s="13"/>
      <c r="G1487" s="13" t="s">
        <v>111</v>
      </c>
      <c r="H1487" s="13" t="s">
        <v>75</v>
      </c>
      <c r="I1487" s="13"/>
      <c r="J1487" s="13"/>
      <c r="K1487" s="15"/>
      <c r="L1487" s="15"/>
      <c r="M1487" s="16"/>
      <c r="N1487" s="16"/>
      <c r="O1487" s="17">
        <v>1.0</v>
      </c>
      <c r="P1487" s="17">
        <v>1.0</v>
      </c>
      <c r="Q1487" s="13"/>
      <c r="R1487" s="13"/>
      <c r="S1487" s="13"/>
      <c r="T1487" s="13">
        <f t="shared" ref="T1487:Y1487" si="1539">IF(ISBLANK(K1487)=TRUE,0,1)</f>
        <v>0</v>
      </c>
      <c r="U1487" s="13">
        <f t="shared" si="1539"/>
        <v>0</v>
      </c>
      <c r="V1487" s="13">
        <f t="shared" si="1539"/>
        <v>0</v>
      </c>
      <c r="W1487" s="13">
        <f t="shared" si="1539"/>
        <v>0</v>
      </c>
      <c r="X1487" s="13">
        <f t="shared" si="1539"/>
        <v>1</v>
      </c>
      <c r="Y1487" s="13">
        <f t="shared" si="1539"/>
        <v>1</v>
      </c>
      <c r="Z1487" s="13">
        <f t="shared" si="529"/>
        <v>1</v>
      </c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</row>
    <row r="1488" ht="14.25" hidden="1" customHeight="1">
      <c r="A1488" s="13" t="s">
        <v>46</v>
      </c>
      <c r="B1488" s="34" t="s">
        <v>53</v>
      </c>
      <c r="C1488" s="13" t="s">
        <v>808</v>
      </c>
      <c r="E1488" s="13" t="str">
        <f t="shared" si="735"/>
        <v>PALM,333N,,1</v>
      </c>
      <c r="G1488" s="13" t="s">
        <v>111</v>
      </c>
      <c r="H1488" s="13" t="s">
        <v>75</v>
      </c>
      <c r="I1488" s="13"/>
      <c r="J1488" s="13"/>
      <c r="K1488" s="15"/>
      <c r="L1488" s="15"/>
      <c r="M1488" s="16"/>
      <c r="N1488" s="16"/>
      <c r="O1488" s="17">
        <v>1.0</v>
      </c>
      <c r="P1488" s="17">
        <v>1.0</v>
      </c>
      <c r="Q1488" s="13"/>
      <c r="R1488" s="13"/>
      <c r="S1488" s="13"/>
      <c r="T1488" s="13">
        <f t="shared" ref="T1488:Y1488" si="1540">IF(ISBLANK(K1488)=TRUE,0,1)</f>
        <v>0</v>
      </c>
      <c r="U1488" s="13">
        <f t="shared" si="1540"/>
        <v>0</v>
      </c>
      <c r="V1488" s="13">
        <f t="shared" si="1540"/>
        <v>0</v>
      </c>
      <c r="W1488" s="13">
        <f t="shared" si="1540"/>
        <v>0</v>
      </c>
      <c r="X1488" s="13">
        <f t="shared" si="1540"/>
        <v>1</v>
      </c>
      <c r="Y1488" s="13">
        <f t="shared" si="1540"/>
        <v>1</v>
      </c>
      <c r="Z1488" s="13">
        <f t="shared" si="529"/>
        <v>1</v>
      </c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</row>
    <row r="1489" ht="14.25" hidden="1" customHeight="1">
      <c r="A1489" s="13" t="s">
        <v>46</v>
      </c>
      <c r="B1489" s="34" t="s">
        <v>53</v>
      </c>
      <c r="C1489" s="13" t="s">
        <v>809</v>
      </c>
      <c r="E1489" s="13" t="str">
        <f t="shared" si="735"/>
        <v>PALM,333O,,1</v>
      </c>
      <c r="G1489" s="13" t="s">
        <v>111</v>
      </c>
      <c r="H1489" s="13" t="s">
        <v>75</v>
      </c>
      <c r="I1489" s="13"/>
      <c r="J1489" s="13"/>
      <c r="K1489" s="15"/>
      <c r="L1489" s="15"/>
      <c r="M1489" s="16"/>
      <c r="N1489" s="16"/>
      <c r="O1489" s="17">
        <v>1.0</v>
      </c>
      <c r="P1489" s="17">
        <v>1.0</v>
      </c>
      <c r="Q1489" s="13"/>
      <c r="R1489" s="13"/>
      <c r="S1489" s="13"/>
      <c r="T1489" s="13">
        <f t="shared" ref="T1489:Y1489" si="1541">IF(ISBLANK(K1489)=TRUE,0,1)</f>
        <v>0</v>
      </c>
      <c r="U1489" s="13">
        <f t="shared" si="1541"/>
        <v>0</v>
      </c>
      <c r="V1489" s="13">
        <f t="shared" si="1541"/>
        <v>0</v>
      </c>
      <c r="W1489" s="13">
        <f t="shared" si="1541"/>
        <v>0</v>
      </c>
      <c r="X1489" s="13">
        <f t="shared" si="1541"/>
        <v>1</v>
      </c>
      <c r="Y1489" s="13">
        <f t="shared" si="1541"/>
        <v>1</v>
      </c>
      <c r="Z1489" s="13">
        <f t="shared" si="529"/>
        <v>1</v>
      </c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</row>
    <row r="1490" ht="14.25" hidden="1" customHeight="1">
      <c r="A1490" s="13" t="s">
        <v>46</v>
      </c>
      <c r="B1490" s="34" t="s">
        <v>53</v>
      </c>
      <c r="C1490" s="13" t="s">
        <v>810</v>
      </c>
      <c r="E1490" s="13" t="str">
        <f t="shared" si="735"/>
        <v>PALM,333P,,1</v>
      </c>
      <c r="G1490" s="13" t="s">
        <v>111</v>
      </c>
      <c r="H1490" s="13" t="s">
        <v>75</v>
      </c>
      <c r="I1490" s="13"/>
      <c r="J1490" s="13"/>
      <c r="K1490" s="15"/>
      <c r="L1490" s="15"/>
      <c r="M1490" s="16"/>
      <c r="N1490" s="16"/>
      <c r="O1490" s="17">
        <v>1.0</v>
      </c>
      <c r="P1490" s="17">
        <v>1.0</v>
      </c>
      <c r="Q1490" s="13"/>
      <c r="R1490" s="13"/>
      <c r="S1490" s="13"/>
      <c r="T1490" s="13">
        <f t="shared" ref="T1490:Y1490" si="1542">IF(ISBLANK(K1490)=TRUE,0,1)</f>
        <v>0</v>
      </c>
      <c r="U1490" s="13">
        <f t="shared" si="1542"/>
        <v>0</v>
      </c>
      <c r="V1490" s="13">
        <f t="shared" si="1542"/>
        <v>0</v>
      </c>
      <c r="W1490" s="13">
        <f t="shared" si="1542"/>
        <v>0</v>
      </c>
      <c r="X1490" s="13">
        <f t="shared" si="1542"/>
        <v>1</v>
      </c>
      <c r="Y1490" s="13">
        <f t="shared" si="1542"/>
        <v>1</v>
      </c>
      <c r="Z1490" s="13">
        <f t="shared" si="529"/>
        <v>1</v>
      </c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</row>
    <row r="1491" ht="14.25" hidden="1" customHeight="1">
      <c r="A1491" s="13" t="s">
        <v>46</v>
      </c>
      <c r="B1491" s="34" t="s">
        <v>53</v>
      </c>
      <c r="C1491" s="13" t="s">
        <v>811</v>
      </c>
      <c r="D1491" s="13"/>
      <c r="E1491" s="13" t="str">
        <f t="shared" si="735"/>
        <v>PALM,333Q,,1</v>
      </c>
      <c r="F1491" s="13"/>
      <c r="G1491" s="13" t="s">
        <v>111</v>
      </c>
      <c r="H1491" s="13" t="s">
        <v>75</v>
      </c>
      <c r="I1491" s="13"/>
      <c r="J1491" s="13"/>
      <c r="K1491" s="15"/>
      <c r="L1491" s="15"/>
      <c r="M1491" s="16"/>
      <c r="N1491" s="16"/>
      <c r="O1491" s="17">
        <v>1.0</v>
      </c>
      <c r="P1491" s="17">
        <v>1.0</v>
      </c>
      <c r="Q1491" s="13"/>
      <c r="R1491" s="13"/>
      <c r="S1491" s="13"/>
      <c r="T1491" s="13">
        <f t="shared" ref="T1491:Y1491" si="1543">IF(ISBLANK(K1491)=TRUE,0,1)</f>
        <v>0</v>
      </c>
      <c r="U1491" s="13">
        <f t="shared" si="1543"/>
        <v>0</v>
      </c>
      <c r="V1491" s="13">
        <f t="shared" si="1543"/>
        <v>0</v>
      </c>
      <c r="W1491" s="13">
        <f t="shared" si="1543"/>
        <v>0</v>
      </c>
      <c r="X1491" s="13">
        <f t="shared" si="1543"/>
        <v>1</v>
      </c>
      <c r="Y1491" s="13">
        <f t="shared" si="1543"/>
        <v>1</v>
      </c>
      <c r="Z1491" s="13">
        <f t="shared" si="529"/>
        <v>1</v>
      </c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</row>
    <row r="1492" ht="14.25" hidden="1" customHeight="1">
      <c r="A1492" s="13" t="s">
        <v>46</v>
      </c>
      <c r="B1492" s="34" t="s">
        <v>53</v>
      </c>
      <c r="C1492" s="13" t="s">
        <v>812</v>
      </c>
      <c r="D1492" s="13"/>
      <c r="E1492" s="13" t="str">
        <f t="shared" si="735"/>
        <v>PALM,333R,,1</v>
      </c>
      <c r="F1492" s="13"/>
      <c r="G1492" s="13" t="s">
        <v>111</v>
      </c>
      <c r="H1492" s="13" t="s">
        <v>75</v>
      </c>
      <c r="I1492" s="13"/>
      <c r="J1492" s="13"/>
      <c r="K1492" s="15"/>
      <c r="L1492" s="15"/>
      <c r="M1492" s="16"/>
      <c r="N1492" s="16"/>
      <c r="O1492" s="17">
        <v>1.0</v>
      </c>
      <c r="P1492" s="17">
        <v>1.0</v>
      </c>
      <c r="Q1492" s="13"/>
      <c r="R1492" s="13"/>
      <c r="S1492" s="13"/>
      <c r="T1492" s="13">
        <f t="shared" ref="T1492:Y1492" si="1544">IF(ISBLANK(K1492)=TRUE,0,1)</f>
        <v>0</v>
      </c>
      <c r="U1492" s="13">
        <f t="shared" si="1544"/>
        <v>0</v>
      </c>
      <c r="V1492" s="13">
        <f t="shared" si="1544"/>
        <v>0</v>
      </c>
      <c r="W1492" s="13">
        <f t="shared" si="1544"/>
        <v>0</v>
      </c>
      <c r="X1492" s="13">
        <f t="shared" si="1544"/>
        <v>1</v>
      </c>
      <c r="Y1492" s="13">
        <f t="shared" si="1544"/>
        <v>1</v>
      </c>
      <c r="Z1492" s="13">
        <f t="shared" si="529"/>
        <v>1</v>
      </c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</row>
    <row r="1493" ht="14.25" hidden="1" customHeight="1">
      <c r="A1493" s="13" t="s">
        <v>46</v>
      </c>
      <c r="B1493" s="34" t="s">
        <v>53</v>
      </c>
      <c r="C1493" s="13" t="s">
        <v>813</v>
      </c>
      <c r="D1493" s="13"/>
      <c r="E1493" s="13" t="str">
        <f t="shared" si="735"/>
        <v>PALM,333S,,1</v>
      </c>
      <c r="F1493" s="13"/>
      <c r="G1493" s="13" t="s">
        <v>111</v>
      </c>
      <c r="H1493" s="13" t="s">
        <v>75</v>
      </c>
      <c r="I1493" s="13"/>
      <c r="J1493" s="13"/>
      <c r="K1493" s="15"/>
      <c r="L1493" s="15"/>
      <c r="M1493" s="16"/>
      <c r="N1493" s="16"/>
      <c r="O1493" s="17">
        <v>1.0</v>
      </c>
      <c r="P1493" s="17">
        <v>1.0</v>
      </c>
      <c r="Q1493" s="13"/>
      <c r="R1493" s="13"/>
      <c r="S1493" s="13"/>
      <c r="T1493" s="13">
        <f t="shared" ref="T1493:Y1493" si="1545">IF(ISBLANK(K1493)=TRUE,0,1)</f>
        <v>0</v>
      </c>
      <c r="U1493" s="13">
        <f t="shared" si="1545"/>
        <v>0</v>
      </c>
      <c r="V1493" s="13">
        <f t="shared" si="1545"/>
        <v>0</v>
      </c>
      <c r="W1493" s="13">
        <f t="shared" si="1545"/>
        <v>0</v>
      </c>
      <c r="X1493" s="13">
        <f t="shared" si="1545"/>
        <v>1</v>
      </c>
      <c r="Y1493" s="13">
        <f t="shared" si="1545"/>
        <v>1</v>
      </c>
      <c r="Z1493" s="13">
        <f t="shared" si="529"/>
        <v>1</v>
      </c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</row>
    <row r="1494" ht="14.25" hidden="1" customHeight="1">
      <c r="A1494" s="13" t="s">
        <v>46</v>
      </c>
      <c r="B1494" s="34" t="s">
        <v>53</v>
      </c>
      <c r="C1494" s="13" t="s">
        <v>814</v>
      </c>
      <c r="D1494" s="13"/>
      <c r="E1494" s="13" t="str">
        <f t="shared" si="735"/>
        <v>PALM,A1,,1</v>
      </c>
      <c r="F1494" s="13"/>
      <c r="G1494" s="13" t="s">
        <v>74</v>
      </c>
      <c r="H1494" s="13" t="s">
        <v>75</v>
      </c>
      <c r="I1494" s="14">
        <v>44907.0</v>
      </c>
      <c r="J1494" s="14"/>
      <c r="K1494" s="35"/>
      <c r="L1494" s="35"/>
      <c r="M1494" s="16"/>
      <c r="N1494" s="16"/>
      <c r="O1494" s="17">
        <v>1.0</v>
      </c>
      <c r="P1494" s="36">
        <v>1.0</v>
      </c>
      <c r="Q1494" s="13">
        <f>K1493+L1493+M1493+N1493+O1493+P1493/6</f>
        <v>1.166666667</v>
      </c>
      <c r="R1494" s="14">
        <v>44966.0</v>
      </c>
      <c r="S1494" s="13"/>
      <c r="T1494" s="13">
        <f t="shared" ref="T1494:Y1494" si="1546">IF(ISBLANK(K1494)=TRUE,0,1)</f>
        <v>0</v>
      </c>
      <c r="U1494" s="13">
        <f t="shared" si="1546"/>
        <v>0</v>
      </c>
      <c r="V1494" s="13">
        <f t="shared" si="1546"/>
        <v>0</v>
      </c>
      <c r="W1494" s="13">
        <f t="shared" si="1546"/>
        <v>0</v>
      </c>
      <c r="X1494" s="13">
        <f t="shared" si="1546"/>
        <v>1</v>
      </c>
      <c r="Y1494" s="13">
        <f t="shared" si="1546"/>
        <v>1</v>
      </c>
      <c r="Z1494" s="13">
        <f t="shared" si="529"/>
        <v>1</v>
      </c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</row>
    <row r="1495" ht="14.25" hidden="1" customHeight="1">
      <c r="A1495" s="13" t="s">
        <v>46</v>
      </c>
      <c r="B1495" s="34" t="s">
        <v>53</v>
      </c>
      <c r="C1495" s="13" t="s">
        <v>815</v>
      </c>
      <c r="D1495" s="13" t="s">
        <v>174</v>
      </c>
      <c r="E1495" s="13" t="str">
        <f t="shared" si="735"/>
        <v>PALM,A11,AA,1</v>
      </c>
      <c r="F1495" s="13"/>
      <c r="G1495" s="13" t="s">
        <v>74</v>
      </c>
      <c r="H1495" s="13" t="s">
        <v>75</v>
      </c>
      <c r="I1495" s="13"/>
      <c r="J1495" s="13"/>
      <c r="K1495" s="15"/>
      <c r="L1495" s="15"/>
      <c r="M1495" s="16"/>
      <c r="N1495" s="16"/>
      <c r="O1495" s="17">
        <v>1.0</v>
      </c>
      <c r="P1495" s="17">
        <v>1.0</v>
      </c>
      <c r="Q1495" s="13"/>
      <c r="R1495" s="14">
        <v>44973.0</v>
      </c>
      <c r="S1495" s="13"/>
      <c r="T1495" s="13">
        <f t="shared" ref="T1495:Y1495" si="1547">IF(ISBLANK(K1495)=TRUE,0,1)</f>
        <v>0</v>
      </c>
      <c r="U1495" s="13">
        <f t="shared" si="1547"/>
        <v>0</v>
      </c>
      <c r="V1495" s="13">
        <f t="shared" si="1547"/>
        <v>0</v>
      </c>
      <c r="W1495" s="13">
        <f t="shared" si="1547"/>
        <v>0</v>
      </c>
      <c r="X1495" s="13">
        <f t="shared" si="1547"/>
        <v>1</v>
      </c>
      <c r="Y1495" s="13">
        <f t="shared" si="1547"/>
        <v>1</v>
      </c>
      <c r="Z1495" s="13">
        <f t="shared" si="529"/>
        <v>1</v>
      </c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</row>
    <row r="1496" ht="14.25" hidden="1" customHeight="1">
      <c r="A1496" s="13" t="s">
        <v>46</v>
      </c>
      <c r="B1496" s="34" t="s">
        <v>53</v>
      </c>
      <c r="C1496" s="13" t="s">
        <v>816</v>
      </c>
      <c r="D1496" s="13" t="s">
        <v>174</v>
      </c>
      <c r="E1496" s="13" t="str">
        <f t="shared" si="735"/>
        <v>PALM,A12,AA,1</v>
      </c>
      <c r="F1496" s="13"/>
      <c r="G1496" s="13" t="s">
        <v>74</v>
      </c>
      <c r="H1496" s="13" t="s">
        <v>75</v>
      </c>
      <c r="I1496" s="13"/>
      <c r="J1496" s="13"/>
      <c r="K1496" s="15"/>
      <c r="L1496" s="15"/>
      <c r="M1496" s="16"/>
      <c r="N1496" s="16"/>
      <c r="O1496" s="17">
        <v>1.0</v>
      </c>
      <c r="P1496" s="17">
        <v>1.0</v>
      </c>
      <c r="Q1496" s="13"/>
      <c r="R1496" s="14">
        <v>44973.0</v>
      </c>
      <c r="S1496" s="13"/>
      <c r="T1496" s="13">
        <f t="shared" ref="T1496:Y1496" si="1548">IF(ISBLANK(K1496)=TRUE,0,1)</f>
        <v>0</v>
      </c>
      <c r="U1496" s="13">
        <f t="shared" si="1548"/>
        <v>0</v>
      </c>
      <c r="V1496" s="13">
        <f t="shared" si="1548"/>
        <v>0</v>
      </c>
      <c r="W1496" s="13">
        <f t="shared" si="1548"/>
        <v>0</v>
      </c>
      <c r="X1496" s="13">
        <f t="shared" si="1548"/>
        <v>1</v>
      </c>
      <c r="Y1496" s="13">
        <f t="shared" si="1548"/>
        <v>1</v>
      </c>
      <c r="Z1496" s="13">
        <f t="shared" si="529"/>
        <v>1</v>
      </c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</row>
    <row r="1497" ht="14.25" hidden="1" customHeight="1">
      <c r="A1497" s="13" t="s">
        <v>46</v>
      </c>
      <c r="B1497" s="34" t="s">
        <v>53</v>
      </c>
      <c r="C1497" s="13" t="s">
        <v>817</v>
      </c>
      <c r="D1497" s="13"/>
      <c r="E1497" s="13" t="str">
        <f t="shared" si="735"/>
        <v>PALM,A18,,NA</v>
      </c>
      <c r="F1497" s="13"/>
      <c r="G1497" s="13" t="s">
        <v>74</v>
      </c>
      <c r="H1497" s="13" t="s">
        <v>75</v>
      </c>
      <c r="I1497" s="14">
        <v>44907.0</v>
      </c>
      <c r="J1497" s="14"/>
      <c r="K1497" s="15"/>
      <c r="L1497" s="15"/>
      <c r="M1497" s="16"/>
      <c r="N1497" s="16"/>
      <c r="O1497" s="17"/>
      <c r="P1497" s="17"/>
      <c r="Q1497" s="13">
        <f t="shared" ref="Q1497:Q1501" si="1550">K1496+L1496+M1496+N1496+O1496+P1496/6</f>
        <v>1.166666667</v>
      </c>
      <c r="R1497" s="13"/>
      <c r="S1497" s="13"/>
      <c r="T1497" s="13">
        <f t="shared" ref="T1497:Y1497" si="1549">IF(ISBLANK(K1497)=TRUE,0,1)</f>
        <v>0</v>
      </c>
      <c r="U1497" s="13">
        <f t="shared" si="1549"/>
        <v>0</v>
      </c>
      <c r="V1497" s="13">
        <f t="shared" si="1549"/>
        <v>0</v>
      </c>
      <c r="W1497" s="13">
        <f t="shared" si="1549"/>
        <v>0</v>
      </c>
      <c r="X1497" s="13">
        <f t="shared" si="1549"/>
        <v>0</v>
      </c>
      <c r="Y1497" s="13">
        <f t="shared" si="1549"/>
        <v>0</v>
      </c>
      <c r="Z1497" s="13" t="str">
        <f t="shared" si="529"/>
        <v>NA</v>
      </c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</row>
    <row r="1498" ht="14.25" hidden="1" customHeight="1">
      <c r="A1498" s="13" t="s">
        <v>46</v>
      </c>
      <c r="B1498" s="34" t="s">
        <v>53</v>
      </c>
      <c r="C1498" s="13" t="s">
        <v>818</v>
      </c>
      <c r="D1498" s="13"/>
      <c r="E1498" s="13" t="str">
        <f t="shared" si="735"/>
        <v>PALM,A2,,0.75</v>
      </c>
      <c r="F1498" s="13"/>
      <c r="G1498" s="13" t="s">
        <v>74</v>
      </c>
      <c r="H1498" s="13" t="s">
        <v>75</v>
      </c>
      <c r="I1498" s="14">
        <v>44907.0</v>
      </c>
      <c r="J1498" s="14"/>
      <c r="K1498" s="15">
        <v>1.0</v>
      </c>
      <c r="L1498" s="15">
        <v>1.0</v>
      </c>
      <c r="M1498" s="16"/>
      <c r="N1498" s="16"/>
      <c r="O1498" s="17">
        <v>1.0</v>
      </c>
      <c r="P1498" s="17">
        <v>0.0</v>
      </c>
      <c r="Q1498" s="13">
        <f t="shared" si="1550"/>
        <v>0</v>
      </c>
      <c r="R1498" s="14">
        <v>44966.0</v>
      </c>
      <c r="S1498" s="13"/>
      <c r="T1498" s="13">
        <f t="shared" ref="T1498:Y1498" si="1551">IF(ISBLANK(K1498)=TRUE,0,1)</f>
        <v>1</v>
      </c>
      <c r="U1498" s="13">
        <f t="shared" si="1551"/>
        <v>1</v>
      </c>
      <c r="V1498" s="13">
        <f t="shared" si="1551"/>
        <v>0</v>
      </c>
      <c r="W1498" s="13">
        <f t="shared" si="1551"/>
        <v>0</v>
      </c>
      <c r="X1498" s="13">
        <f t="shared" si="1551"/>
        <v>1</v>
      </c>
      <c r="Y1498" s="13">
        <f t="shared" si="1551"/>
        <v>1</v>
      </c>
      <c r="Z1498" s="13">
        <f t="shared" si="529"/>
        <v>0.75</v>
      </c>
      <c r="AA1498" s="13" t="s">
        <v>819</v>
      </c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</row>
    <row r="1499" ht="14.25" hidden="1" customHeight="1">
      <c r="A1499" s="13" t="s">
        <v>46</v>
      </c>
      <c r="B1499" s="34" t="s">
        <v>53</v>
      </c>
      <c r="C1499" s="13" t="s">
        <v>820</v>
      </c>
      <c r="D1499" s="13"/>
      <c r="E1499" s="13" t="str">
        <f t="shared" si="735"/>
        <v>PALM,A21,,1</v>
      </c>
      <c r="F1499" s="13"/>
      <c r="G1499" s="13" t="s">
        <v>74</v>
      </c>
      <c r="H1499" s="13" t="s">
        <v>75</v>
      </c>
      <c r="I1499" s="14">
        <v>44907.0</v>
      </c>
      <c r="J1499" s="14"/>
      <c r="K1499" s="15"/>
      <c r="L1499" s="15"/>
      <c r="M1499" s="16"/>
      <c r="N1499" s="16"/>
      <c r="O1499" s="17">
        <v>1.0</v>
      </c>
      <c r="P1499" s="17">
        <v>1.0</v>
      </c>
      <c r="Q1499" s="13">
        <f t="shared" si="1550"/>
        <v>3</v>
      </c>
      <c r="R1499" s="14">
        <v>44973.0</v>
      </c>
      <c r="S1499" s="13"/>
      <c r="T1499" s="13">
        <f t="shared" ref="T1499:Y1499" si="1552">IF(ISBLANK(K1499)=TRUE,0,1)</f>
        <v>0</v>
      </c>
      <c r="U1499" s="13">
        <f t="shared" si="1552"/>
        <v>0</v>
      </c>
      <c r="V1499" s="13">
        <f t="shared" si="1552"/>
        <v>0</v>
      </c>
      <c r="W1499" s="13">
        <f t="shared" si="1552"/>
        <v>0</v>
      </c>
      <c r="X1499" s="13">
        <f t="shared" si="1552"/>
        <v>1</v>
      </c>
      <c r="Y1499" s="13">
        <f t="shared" si="1552"/>
        <v>1</v>
      </c>
      <c r="Z1499" s="13">
        <f t="shared" si="529"/>
        <v>1</v>
      </c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</row>
    <row r="1500" ht="14.25" hidden="1" customHeight="1">
      <c r="A1500" s="13" t="s">
        <v>46</v>
      </c>
      <c r="B1500" s="34" t="s">
        <v>53</v>
      </c>
      <c r="C1500" s="13" t="s">
        <v>821</v>
      </c>
      <c r="D1500" s="13"/>
      <c r="E1500" s="13" t="str">
        <f t="shared" si="735"/>
        <v>PALM,A24,,1</v>
      </c>
      <c r="F1500" s="13"/>
      <c r="G1500" s="13" t="s">
        <v>74</v>
      </c>
      <c r="H1500" s="13" t="s">
        <v>75</v>
      </c>
      <c r="I1500" s="14">
        <v>44907.0</v>
      </c>
      <c r="J1500" s="14"/>
      <c r="K1500" s="15"/>
      <c r="L1500" s="15"/>
      <c r="M1500" s="16"/>
      <c r="N1500" s="16"/>
      <c r="O1500" s="17">
        <v>1.0</v>
      </c>
      <c r="P1500" s="17">
        <v>1.0</v>
      </c>
      <c r="Q1500" s="13">
        <f t="shared" si="1550"/>
        <v>1.166666667</v>
      </c>
      <c r="R1500" s="14">
        <v>44966.0</v>
      </c>
      <c r="S1500" s="13"/>
      <c r="T1500" s="13">
        <f t="shared" ref="T1500:Y1500" si="1553">IF(ISBLANK(K1500)=TRUE,0,1)</f>
        <v>0</v>
      </c>
      <c r="U1500" s="13">
        <f t="shared" si="1553"/>
        <v>0</v>
      </c>
      <c r="V1500" s="13">
        <f t="shared" si="1553"/>
        <v>0</v>
      </c>
      <c r="W1500" s="13">
        <f t="shared" si="1553"/>
        <v>0</v>
      </c>
      <c r="X1500" s="13">
        <f t="shared" si="1553"/>
        <v>1</v>
      </c>
      <c r="Y1500" s="13">
        <f t="shared" si="1553"/>
        <v>1</v>
      </c>
      <c r="Z1500" s="13">
        <f t="shared" si="529"/>
        <v>1</v>
      </c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</row>
    <row r="1501" ht="14.25" hidden="1" customHeight="1">
      <c r="A1501" s="13" t="s">
        <v>46</v>
      </c>
      <c r="B1501" s="34" t="s">
        <v>53</v>
      </c>
      <c r="C1501" s="13" t="s">
        <v>822</v>
      </c>
      <c r="D1501" s="13"/>
      <c r="E1501" s="13" t="str">
        <f t="shared" si="735"/>
        <v>PALM,A26,,NA</v>
      </c>
      <c r="F1501" s="13"/>
      <c r="G1501" s="13" t="s">
        <v>74</v>
      </c>
      <c r="H1501" s="13" t="s">
        <v>75</v>
      </c>
      <c r="I1501" s="14">
        <v>44907.0</v>
      </c>
      <c r="J1501" s="14"/>
      <c r="K1501" s="15"/>
      <c r="L1501" s="15"/>
      <c r="M1501" s="16"/>
      <c r="N1501" s="16"/>
      <c r="O1501" s="17"/>
      <c r="P1501" s="17"/>
      <c r="Q1501" s="13">
        <f t="shared" si="1550"/>
        <v>1.166666667</v>
      </c>
      <c r="R1501" s="13"/>
      <c r="S1501" s="13"/>
      <c r="T1501" s="13">
        <f t="shared" ref="T1501:Y1501" si="1554">IF(ISBLANK(K1501)=TRUE,0,1)</f>
        <v>0</v>
      </c>
      <c r="U1501" s="13">
        <f t="shared" si="1554"/>
        <v>0</v>
      </c>
      <c r="V1501" s="13">
        <f t="shared" si="1554"/>
        <v>0</v>
      </c>
      <c r="W1501" s="13">
        <f t="shared" si="1554"/>
        <v>0</v>
      </c>
      <c r="X1501" s="13">
        <f t="shared" si="1554"/>
        <v>0</v>
      </c>
      <c r="Y1501" s="13">
        <f t="shared" si="1554"/>
        <v>0</v>
      </c>
      <c r="Z1501" s="13" t="str">
        <f t="shared" si="529"/>
        <v>NA</v>
      </c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</row>
    <row r="1502" ht="14.25" hidden="1" customHeight="1">
      <c r="A1502" s="13" t="s">
        <v>46</v>
      </c>
      <c r="B1502" s="34" t="s">
        <v>53</v>
      </c>
      <c r="C1502" s="13" t="s">
        <v>822</v>
      </c>
      <c r="D1502" s="13" t="s">
        <v>174</v>
      </c>
      <c r="E1502" s="13" t="str">
        <f t="shared" si="735"/>
        <v>PALM,A26,AA,NA</v>
      </c>
      <c r="F1502" s="13"/>
      <c r="G1502" s="13" t="s">
        <v>74</v>
      </c>
      <c r="H1502" s="13" t="s">
        <v>75</v>
      </c>
      <c r="I1502" s="13"/>
      <c r="J1502" s="13"/>
      <c r="K1502" s="15"/>
      <c r="L1502" s="15"/>
      <c r="M1502" s="16"/>
      <c r="N1502" s="16"/>
      <c r="O1502" s="17"/>
      <c r="P1502" s="17"/>
      <c r="Q1502" s="13"/>
      <c r="R1502" s="13"/>
      <c r="S1502" s="13"/>
      <c r="T1502" s="13">
        <f t="shared" ref="T1502:Y1502" si="1555">IF(ISBLANK(K1502)=TRUE,0,1)</f>
        <v>0</v>
      </c>
      <c r="U1502" s="13">
        <f t="shared" si="1555"/>
        <v>0</v>
      </c>
      <c r="V1502" s="13">
        <f t="shared" si="1555"/>
        <v>0</v>
      </c>
      <c r="W1502" s="13">
        <f t="shared" si="1555"/>
        <v>0</v>
      </c>
      <c r="X1502" s="13">
        <f t="shared" si="1555"/>
        <v>0</v>
      </c>
      <c r="Y1502" s="13">
        <f t="shared" si="1555"/>
        <v>0</v>
      </c>
      <c r="Z1502" s="13" t="str">
        <f t="shared" si="529"/>
        <v>NA</v>
      </c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</row>
    <row r="1503" ht="14.25" hidden="1" customHeight="1">
      <c r="A1503" s="13" t="s">
        <v>46</v>
      </c>
      <c r="B1503" s="34" t="s">
        <v>53</v>
      </c>
      <c r="C1503" s="13" t="s">
        <v>823</v>
      </c>
      <c r="D1503" s="13"/>
      <c r="E1503" s="13" t="str">
        <f t="shared" si="735"/>
        <v>PALM,A27,,NA</v>
      </c>
      <c r="F1503" s="13"/>
      <c r="G1503" s="13" t="s">
        <v>74</v>
      </c>
      <c r="H1503" s="13" t="s">
        <v>75</v>
      </c>
      <c r="I1503" s="14">
        <v>44907.0</v>
      </c>
      <c r="J1503" s="14"/>
      <c r="K1503" s="15"/>
      <c r="L1503" s="15"/>
      <c r="M1503" s="16"/>
      <c r="N1503" s="16"/>
      <c r="O1503" s="17"/>
      <c r="P1503" s="17"/>
      <c r="Q1503" s="13">
        <f t="shared" ref="Q1503:Q1505" si="1557">K1502+L1502+M1502+N1502+O1502+P1502/6</f>
        <v>0</v>
      </c>
      <c r="R1503" s="13"/>
      <c r="S1503" s="13"/>
      <c r="T1503" s="13">
        <f t="shared" ref="T1503:Y1503" si="1556">IF(ISBLANK(K1503)=TRUE,0,1)</f>
        <v>0</v>
      </c>
      <c r="U1503" s="13">
        <f t="shared" si="1556"/>
        <v>0</v>
      </c>
      <c r="V1503" s="13">
        <f t="shared" si="1556"/>
        <v>0</v>
      </c>
      <c r="W1503" s="13">
        <f t="shared" si="1556"/>
        <v>0</v>
      </c>
      <c r="X1503" s="13">
        <f t="shared" si="1556"/>
        <v>0</v>
      </c>
      <c r="Y1503" s="13">
        <f t="shared" si="1556"/>
        <v>0</v>
      </c>
      <c r="Z1503" s="13" t="str">
        <f t="shared" si="529"/>
        <v>NA</v>
      </c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</row>
    <row r="1504" ht="14.25" hidden="1" customHeight="1">
      <c r="A1504" s="13" t="s">
        <v>46</v>
      </c>
      <c r="B1504" s="34" t="s">
        <v>53</v>
      </c>
      <c r="C1504" s="13" t="s">
        <v>824</v>
      </c>
      <c r="D1504" s="13"/>
      <c r="E1504" s="13" t="str">
        <f t="shared" si="735"/>
        <v>PALM,A30,,1</v>
      </c>
      <c r="F1504" s="13"/>
      <c r="G1504" s="13" t="s">
        <v>74</v>
      </c>
      <c r="H1504" s="13" t="s">
        <v>75</v>
      </c>
      <c r="I1504" s="14">
        <v>44907.0</v>
      </c>
      <c r="J1504" s="14"/>
      <c r="K1504" s="15"/>
      <c r="L1504" s="15"/>
      <c r="M1504" s="16"/>
      <c r="N1504" s="16"/>
      <c r="O1504" s="17">
        <v>1.0</v>
      </c>
      <c r="P1504" s="17">
        <v>1.0</v>
      </c>
      <c r="Q1504" s="13">
        <f t="shared" si="1557"/>
        <v>0</v>
      </c>
      <c r="R1504" s="14">
        <v>44966.0</v>
      </c>
      <c r="S1504" s="13"/>
      <c r="T1504" s="13">
        <f t="shared" ref="T1504:Y1504" si="1558">IF(ISBLANK(K1504)=TRUE,0,1)</f>
        <v>0</v>
      </c>
      <c r="U1504" s="13">
        <f t="shared" si="1558"/>
        <v>0</v>
      </c>
      <c r="V1504" s="13">
        <f t="shared" si="1558"/>
        <v>0</v>
      </c>
      <c r="W1504" s="13">
        <f t="shared" si="1558"/>
        <v>0</v>
      </c>
      <c r="X1504" s="13">
        <f t="shared" si="1558"/>
        <v>1</v>
      </c>
      <c r="Y1504" s="13">
        <f t="shared" si="1558"/>
        <v>1</v>
      </c>
      <c r="Z1504" s="13">
        <f t="shared" si="529"/>
        <v>1</v>
      </c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</row>
    <row r="1505" ht="14.25" hidden="1" customHeight="1">
      <c r="A1505" s="13" t="s">
        <v>46</v>
      </c>
      <c r="B1505" s="34" t="s">
        <v>53</v>
      </c>
      <c r="C1505" s="13" t="s">
        <v>825</v>
      </c>
      <c r="D1505" s="13"/>
      <c r="E1505" s="13" t="str">
        <f t="shared" si="735"/>
        <v>PALM,A31,,NA</v>
      </c>
      <c r="F1505" s="13"/>
      <c r="G1505" s="13" t="s">
        <v>74</v>
      </c>
      <c r="H1505" s="13" t="s">
        <v>75</v>
      </c>
      <c r="I1505" s="14">
        <v>44907.0</v>
      </c>
      <c r="J1505" s="14"/>
      <c r="K1505" s="15"/>
      <c r="L1505" s="15"/>
      <c r="M1505" s="16"/>
      <c r="N1505" s="16"/>
      <c r="O1505" s="17"/>
      <c r="P1505" s="17"/>
      <c r="Q1505" s="13">
        <f t="shared" si="1557"/>
        <v>1.166666667</v>
      </c>
      <c r="R1505" s="13"/>
      <c r="S1505" s="13"/>
      <c r="T1505" s="13">
        <f t="shared" ref="T1505:Y1505" si="1559">IF(ISBLANK(K1505)=TRUE,0,1)</f>
        <v>0</v>
      </c>
      <c r="U1505" s="13">
        <f t="shared" si="1559"/>
        <v>0</v>
      </c>
      <c r="V1505" s="13">
        <f t="shared" si="1559"/>
        <v>0</v>
      </c>
      <c r="W1505" s="13">
        <f t="shared" si="1559"/>
        <v>0</v>
      </c>
      <c r="X1505" s="13">
        <f t="shared" si="1559"/>
        <v>0</v>
      </c>
      <c r="Y1505" s="13">
        <f t="shared" si="1559"/>
        <v>0</v>
      </c>
      <c r="Z1505" s="13" t="str">
        <f t="shared" si="529"/>
        <v>NA</v>
      </c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</row>
    <row r="1506" ht="14.25" hidden="1" customHeight="1">
      <c r="A1506" s="13" t="s">
        <v>46</v>
      </c>
      <c r="B1506" s="34" t="s">
        <v>53</v>
      </c>
      <c r="C1506" s="13" t="s">
        <v>825</v>
      </c>
      <c r="D1506" s="13" t="s">
        <v>174</v>
      </c>
      <c r="E1506" s="13" t="str">
        <f t="shared" si="735"/>
        <v>PALM,A31,AA,NA</v>
      </c>
      <c r="F1506" s="13"/>
      <c r="G1506" s="13" t="s">
        <v>74</v>
      </c>
      <c r="H1506" s="13" t="s">
        <v>75</v>
      </c>
      <c r="I1506" s="13"/>
      <c r="J1506" s="13"/>
      <c r="K1506" s="15"/>
      <c r="L1506" s="15"/>
      <c r="M1506" s="16"/>
      <c r="N1506" s="16"/>
      <c r="O1506" s="17"/>
      <c r="P1506" s="17"/>
      <c r="Q1506" s="13"/>
      <c r="R1506" s="13"/>
      <c r="S1506" s="13"/>
      <c r="T1506" s="13">
        <f t="shared" ref="T1506:Y1506" si="1560">IF(ISBLANK(K1506)=TRUE,0,1)</f>
        <v>0</v>
      </c>
      <c r="U1506" s="13">
        <f t="shared" si="1560"/>
        <v>0</v>
      </c>
      <c r="V1506" s="13">
        <f t="shared" si="1560"/>
        <v>0</v>
      </c>
      <c r="W1506" s="13">
        <f t="shared" si="1560"/>
        <v>0</v>
      </c>
      <c r="X1506" s="13">
        <f t="shared" si="1560"/>
        <v>0</v>
      </c>
      <c r="Y1506" s="13">
        <f t="shared" si="1560"/>
        <v>0</v>
      </c>
      <c r="Z1506" s="13" t="str">
        <f t="shared" si="529"/>
        <v>NA</v>
      </c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</row>
    <row r="1507" ht="14.25" hidden="1" customHeight="1">
      <c r="A1507" s="13" t="s">
        <v>46</v>
      </c>
      <c r="B1507" s="34" t="s">
        <v>53</v>
      </c>
      <c r="C1507" s="13" t="s">
        <v>826</v>
      </c>
      <c r="D1507" s="13"/>
      <c r="E1507" s="13" t="str">
        <f t="shared" si="735"/>
        <v>PALM,A32,,1</v>
      </c>
      <c r="F1507" s="13"/>
      <c r="G1507" s="13" t="s">
        <v>74</v>
      </c>
      <c r="H1507" s="13" t="s">
        <v>75</v>
      </c>
      <c r="I1507" s="14">
        <v>44907.0</v>
      </c>
      <c r="J1507" s="14"/>
      <c r="K1507" s="15"/>
      <c r="L1507" s="15"/>
      <c r="M1507" s="16"/>
      <c r="N1507" s="16"/>
      <c r="O1507" s="17">
        <v>1.0</v>
      </c>
      <c r="P1507" s="17">
        <v>1.0</v>
      </c>
      <c r="Q1507" s="13">
        <f t="shared" ref="Q1507:Q1508" si="1562">K1506+L1506+M1506+N1506+O1506+P1506/6</f>
        <v>0</v>
      </c>
      <c r="R1507" s="14">
        <v>44966.0</v>
      </c>
      <c r="S1507" s="13"/>
      <c r="T1507" s="13">
        <f t="shared" ref="T1507:Y1507" si="1561">IF(ISBLANK(K1507)=TRUE,0,1)</f>
        <v>0</v>
      </c>
      <c r="U1507" s="13">
        <f t="shared" si="1561"/>
        <v>0</v>
      </c>
      <c r="V1507" s="13">
        <f t="shared" si="1561"/>
        <v>0</v>
      </c>
      <c r="W1507" s="13">
        <f t="shared" si="1561"/>
        <v>0</v>
      </c>
      <c r="X1507" s="13">
        <f t="shared" si="1561"/>
        <v>1</v>
      </c>
      <c r="Y1507" s="13">
        <f t="shared" si="1561"/>
        <v>1</v>
      </c>
      <c r="Z1507" s="13">
        <f t="shared" si="529"/>
        <v>1</v>
      </c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</row>
    <row r="1508" ht="14.25" hidden="1" customHeight="1">
      <c r="A1508" s="13" t="s">
        <v>46</v>
      </c>
      <c r="B1508" s="34" t="s">
        <v>53</v>
      </c>
      <c r="C1508" s="13" t="s">
        <v>827</v>
      </c>
      <c r="D1508" s="13"/>
      <c r="E1508" s="13" t="str">
        <f t="shared" si="735"/>
        <v>PALM,A33,,1</v>
      </c>
      <c r="F1508" s="13"/>
      <c r="G1508" s="13" t="s">
        <v>74</v>
      </c>
      <c r="H1508" s="13" t="s">
        <v>75</v>
      </c>
      <c r="I1508" s="14">
        <v>44907.0</v>
      </c>
      <c r="J1508" s="14"/>
      <c r="K1508" s="15"/>
      <c r="L1508" s="15"/>
      <c r="M1508" s="16"/>
      <c r="N1508" s="16"/>
      <c r="O1508" s="17">
        <v>1.0</v>
      </c>
      <c r="P1508" s="17">
        <v>1.0</v>
      </c>
      <c r="Q1508" s="13">
        <f t="shared" si="1562"/>
        <v>1.166666667</v>
      </c>
      <c r="R1508" s="14">
        <v>44973.0</v>
      </c>
      <c r="S1508" s="13"/>
      <c r="T1508" s="13">
        <f t="shared" ref="T1508:Y1508" si="1563">IF(ISBLANK(K1508)=TRUE,0,1)</f>
        <v>0</v>
      </c>
      <c r="U1508" s="13">
        <f t="shared" si="1563"/>
        <v>0</v>
      </c>
      <c r="V1508" s="13">
        <f t="shared" si="1563"/>
        <v>0</v>
      </c>
      <c r="W1508" s="13">
        <f t="shared" si="1563"/>
        <v>0</v>
      </c>
      <c r="X1508" s="13">
        <f t="shared" si="1563"/>
        <v>1</v>
      </c>
      <c r="Y1508" s="13">
        <f t="shared" si="1563"/>
        <v>1</v>
      </c>
      <c r="Z1508" s="13">
        <f t="shared" si="529"/>
        <v>1</v>
      </c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</row>
    <row r="1509" ht="14.25" hidden="1" customHeight="1">
      <c r="A1509" s="13" t="s">
        <v>46</v>
      </c>
      <c r="B1509" s="34" t="s">
        <v>53</v>
      </c>
      <c r="C1509" s="13" t="s">
        <v>827</v>
      </c>
      <c r="D1509" s="13" t="s">
        <v>174</v>
      </c>
      <c r="E1509" s="13" t="str">
        <f t="shared" si="735"/>
        <v>PALM,A33,AA,1</v>
      </c>
      <c r="F1509" s="13"/>
      <c r="G1509" s="13" t="s">
        <v>74</v>
      </c>
      <c r="H1509" s="13" t="s">
        <v>75</v>
      </c>
      <c r="I1509" s="13"/>
      <c r="J1509" s="13"/>
      <c r="K1509" s="15"/>
      <c r="L1509" s="15"/>
      <c r="M1509" s="16"/>
      <c r="N1509" s="16"/>
      <c r="O1509" s="17">
        <v>1.0</v>
      </c>
      <c r="P1509" s="17">
        <v>1.0</v>
      </c>
      <c r="Q1509" s="13"/>
      <c r="R1509" s="14">
        <v>44973.0</v>
      </c>
      <c r="S1509" s="13"/>
      <c r="T1509" s="13">
        <f t="shared" ref="T1509:Y1509" si="1564">IF(ISBLANK(K1509)=TRUE,0,1)</f>
        <v>0</v>
      </c>
      <c r="U1509" s="13">
        <f t="shared" si="1564"/>
        <v>0</v>
      </c>
      <c r="V1509" s="13">
        <f t="shared" si="1564"/>
        <v>0</v>
      </c>
      <c r="W1509" s="13">
        <f t="shared" si="1564"/>
        <v>0</v>
      </c>
      <c r="X1509" s="13">
        <f t="shared" si="1564"/>
        <v>1</v>
      </c>
      <c r="Y1509" s="13">
        <f t="shared" si="1564"/>
        <v>1</v>
      </c>
      <c r="Z1509" s="13">
        <f t="shared" si="529"/>
        <v>1</v>
      </c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</row>
    <row r="1510" ht="14.25" hidden="1" customHeight="1">
      <c r="A1510" s="13" t="s">
        <v>46</v>
      </c>
      <c r="B1510" s="34" t="s">
        <v>53</v>
      </c>
      <c r="C1510" s="13" t="s">
        <v>828</v>
      </c>
      <c r="D1510" s="13"/>
      <c r="E1510" s="13" t="str">
        <f t="shared" si="735"/>
        <v>PALM,A34,,1</v>
      </c>
      <c r="F1510" s="13"/>
      <c r="G1510" s="13" t="s">
        <v>74</v>
      </c>
      <c r="H1510" s="13" t="s">
        <v>75</v>
      </c>
      <c r="I1510" s="14">
        <v>44907.0</v>
      </c>
      <c r="J1510" s="14"/>
      <c r="K1510" s="15"/>
      <c r="L1510" s="15"/>
      <c r="M1510" s="16"/>
      <c r="N1510" s="16"/>
      <c r="O1510" s="17">
        <v>1.0</v>
      </c>
      <c r="P1510" s="17">
        <v>1.0</v>
      </c>
      <c r="Q1510" s="13">
        <f>K1509+L1509+M1509+N1509+O1509+P1509/6</f>
        <v>1.166666667</v>
      </c>
      <c r="R1510" s="14">
        <v>44973.0</v>
      </c>
      <c r="S1510" s="13"/>
      <c r="T1510" s="13">
        <f t="shared" ref="T1510:Y1510" si="1565">IF(ISBLANK(K1510)=TRUE,0,1)</f>
        <v>0</v>
      </c>
      <c r="U1510" s="13">
        <f t="shared" si="1565"/>
        <v>0</v>
      </c>
      <c r="V1510" s="13">
        <f t="shared" si="1565"/>
        <v>0</v>
      </c>
      <c r="W1510" s="13">
        <f t="shared" si="1565"/>
        <v>0</v>
      </c>
      <c r="X1510" s="13">
        <f t="shared" si="1565"/>
        <v>1</v>
      </c>
      <c r="Y1510" s="13">
        <f t="shared" si="1565"/>
        <v>1</v>
      </c>
      <c r="Z1510" s="13">
        <f t="shared" si="529"/>
        <v>1</v>
      </c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</row>
    <row r="1511" ht="14.25" hidden="1" customHeight="1">
      <c r="A1511" s="13" t="s">
        <v>46</v>
      </c>
      <c r="B1511" s="34" t="s">
        <v>53</v>
      </c>
      <c r="C1511" s="13" t="s">
        <v>828</v>
      </c>
      <c r="D1511" s="13" t="s">
        <v>174</v>
      </c>
      <c r="E1511" s="13" t="str">
        <f t="shared" si="735"/>
        <v>PALM,A34,AA,NA</v>
      </c>
      <c r="F1511" s="13"/>
      <c r="G1511" s="13" t="s">
        <v>74</v>
      </c>
      <c r="H1511" s="13" t="s">
        <v>75</v>
      </c>
      <c r="I1511" s="13"/>
      <c r="J1511" s="13"/>
      <c r="K1511" s="15"/>
      <c r="L1511" s="15"/>
      <c r="M1511" s="16"/>
      <c r="N1511" s="16"/>
      <c r="O1511" s="17"/>
      <c r="P1511" s="17"/>
      <c r="Q1511" s="13"/>
      <c r="R1511" s="13"/>
      <c r="S1511" s="13"/>
      <c r="T1511" s="13">
        <f t="shared" ref="T1511:Y1511" si="1566">IF(ISBLANK(K1511)=TRUE,0,1)</f>
        <v>0</v>
      </c>
      <c r="U1511" s="13">
        <f t="shared" si="1566"/>
        <v>0</v>
      </c>
      <c r="V1511" s="13">
        <f t="shared" si="1566"/>
        <v>0</v>
      </c>
      <c r="W1511" s="13">
        <f t="shared" si="1566"/>
        <v>0</v>
      </c>
      <c r="X1511" s="13">
        <f t="shared" si="1566"/>
        <v>0</v>
      </c>
      <c r="Y1511" s="13">
        <f t="shared" si="1566"/>
        <v>0</v>
      </c>
      <c r="Z1511" s="13" t="str">
        <f t="shared" si="529"/>
        <v>NA</v>
      </c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</row>
    <row r="1512" ht="14.25" hidden="1" customHeight="1">
      <c r="A1512" s="13" t="s">
        <v>46</v>
      </c>
      <c r="B1512" s="34" t="s">
        <v>53</v>
      </c>
      <c r="C1512" s="13" t="s">
        <v>829</v>
      </c>
      <c r="D1512" s="13"/>
      <c r="E1512" s="13" t="str">
        <f t="shared" si="735"/>
        <v>PALM,A35,,1</v>
      </c>
      <c r="F1512" s="13"/>
      <c r="G1512" s="13" t="s">
        <v>74</v>
      </c>
      <c r="H1512" s="13" t="s">
        <v>75</v>
      </c>
      <c r="I1512" s="14">
        <v>44907.0</v>
      </c>
      <c r="J1512" s="14"/>
      <c r="K1512" s="15"/>
      <c r="L1512" s="15"/>
      <c r="M1512" s="16"/>
      <c r="N1512" s="16"/>
      <c r="O1512" s="17">
        <v>1.0</v>
      </c>
      <c r="P1512" s="17">
        <v>1.0</v>
      </c>
      <c r="Q1512" s="13">
        <f t="shared" ref="Q1512:Q1515" si="1568">K1511+L1511+M1511+N1511+O1511+P1511/6</f>
        <v>0</v>
      </c>
      <c r="R1512" s="14">
        <v>44966.0</v>
      </c>
      <c r="S1512" s="13"/>
      <c r="T1512" s="13">
        <f t="shared" ref="T1512:Y1512" si="1567">IF(ISBLANK(K1512)=TRUE,0,1)</f>
        <v>0</v>
      </c>
      <c r="U1512" s="13">
        <f t="shared" si="1567"/>
        <v>0</v>
      </c>
      <c r="V1512" s="13">
        <f t="shared" si="1567"/>
        <v>0</v>
      </c>
      <c r="W1512" s="13">
        <f t="shared" si="1567"/>
        <v>0</v>
      </c>
      <c r="X1512" s="13">
        <f t="shared" si="1567"/>
        <v>1</v>
      </c>
      <c r="Y1512" s="13">
        <f t="shared" si="1567"/>
        <v>1</v>
      </c>
      <c r="Z1512" s="13">
        <f t="shared" si="529"/>
        <v>1</v>
      </c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</row>
    <row r="1513" ht="14.25" hidden="1" customHeight="1">
      <c r="A1513" s="13" t="s">
        <v>46</v>
      </c>
      <c r="B1513" s="34" t="s">
        <v>53</v>
      </c>
      <c r="C1513" s="13" t="s">
        <v>830</v>
      </c>
      <c r="D1513" s="13"/>
      <c r="E1513" s="13" t="str">
        <f t="shared" si="735"/>
        <v>PALM,A36,,1</v>
      </c>
      <c r="F1513" s="13"/>
      <c r="G1513" s="13" t="s">
        <v>74</v>
      </c>
      <c r="H1513" s="13" t="s">
        <v>75</v>
      </c>
      <c r="I1513" s="14">
        <v>44907.0</v>
      </c>
      <c r="J1513" s="14"/>
      <c r="K1513" s="15"/>
      <c r="L1513" s="15"/>
      <c r="M1513" s="16"/>
      <c r="N1513" s="16"/>
      <c r="O1513" s="17">
        <v>1.0</v>
      </c>
      <c r="P1513" s="17">
        <v>1.0</v>
      </c>
      <c r="Q1513" s="13">
        <f t="shared" si="1568"/>
        <v>1.166666667</v>
      </c>
      <c r="R1513" s="14">
        <v>44966.0</v>
      </c>
      <c r="S1513" s="13"/>
      <c r="T1513" s="13">
        <f t="shared" ref="T1513:Y1513" si="1569">IF(ISBLANK(K1513)=TRUE,0,1)</f>
        <v>0</v>
      </c>
      <c r="U1513" s="13">
        <f t="shared" si="1569"/>
        <v>0</v>
      </c>
      <c r="V1513" s="13">
        <f t="shared" si="1569"/>
        <v>0</v>
      </c>
      <c r="W1513" s="13">
        <f t="shared" si="1569"/>
        <v>0</v>
      </c>
      <c r="X1513" s="13">
        <f t="shared" si="1569"/>
        <v>1</v>
      </c>
      <c r="Y1513" s="13">
        <f t="shared" si="1569"/>
        <v>1</v>
      </c>
      <c r="Z1513" s="13">
        <f t="shared" si="529"/>
        <v>1</v>
      </c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</row>
    <row r="1514" ht="14.25" hidden="1" customHeight="1">
      <c r="A1514" s="13" t="s">
        <v>46</v>
      </c>
      <c r="B1514" s="34" t="s">
        <v>53</v>
      </c>
      <c r="C1514" s="13" t="s">
        <v>831</v>
      </c>
      <c r="D1514" s="13"/>
      <c r="E1514" s="13" t="str">
        <f t="shared" si="735"/>
        <v>PALM,A37,,1</v>
      </c>
      <c r="F1514" s="13"/>
      <c r="G1514" s="13" t="s">
        <v>74</v>
      </c>
      <c r="H1514" s="13" t="s">
        <v>75</v>
      </c>
      <c r="I1514" s="14">
        <v>44907.0</v>
      </c>
      <c r="J1514" s="14"/>
      <c r="K1514" s="15"/>
      <c r="L1514" s="15"/>
      <c r="M1514" s="16"/>
      <c r="N1514" s="16"/>
      <c r="O1514" s="17">
        <v>1.0</v>
      </c>
      <c r="P1514" s="17">
        <v>1.0</v>
      </c>
      <c r="Q1514" s="13">
        <f t="shared" si="1568"/>
        <v>1.166666667</v>
      </c>
      <c r="R1514" s="14">
        <v>44966.0</v>
      </c>
      <c r="S1514" s="13"/>
      <c r="T1514" s="13">
        <f t="shared" ref="T1514:Y1514" si="1570">IF(ISBLANK(K1514)=TRUE,0,1)</f>
        <v>0</v>
      </c>
      <c r="U1514" s="13">
        <f t="shared" si="1570"/>
        <v>0</v>
      </c>
      <c r="V1514" s="13">
        <f t="shared" si="1570"/>
        <v>0</v>
      </c>
      <c r="W1514" s="13">
        <f t="shared" si="1570"/>
        <v>0</v>
      </c>
      <c r="X1514" s="13">
        <f t="shared" si="1570"/>
        <v>1</v>
      </c>
      <c r="Y1514" s="13">
        <f t="shared" si="1570"/>
        <v>1</v>
      </c>
      <c r="Z1514" s="13">
        <f t="shared" si="529"/>
        <v>1</v>
      </c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</row>
    <row r="1515" ht="14.25" hidden="1" customHeight="1">
      <c r="A1515" s="13" t="s">
        <v>46</v>
      </c>
      <c r="B1515" s="34" t="s">
        <v>53</v>
      </c>
      <c r="C1515" s="13" t="s">
        <v>832</v>
      </c>
      <c r="D1515" s="13"/>
      <c r="E1515" s="13" t="str">
        <f t="shared" si="735"/>
        <v>PALM,A38,,1</v>
      </c>
      <c r="F1515" s="13"/>
      <c r="G1515" s="13" t="s">
        <v>74</v>
      </c>
      <c r="H1515" s="13" t="s">
        <v>75</v>
      </c>
      <c r="I1515" s="14">
        <v>44907.0</v>
      </c>
      <c r="J1515" s="14"/>
      <c r="K1515" s="15"/>
      <c r="L1515" s="15"/>
      <c r="M1515" s="16"/>
      <c r="N1515" s="16"/>
      <c r="O1515" s="17">
        <v>1.0</v>
      </c>
      <c r="P1515" s="17">
        <v>1.0</v>
      </c>
      <c r="Q1515" s="13">
        <f t="shared" si="1568"/>
        <v>1.166666667</v>
      </c>
      <c r="R1515" s="14">
        <v>44973.0</v>
      </c>
      <c r="S1515" s="13"/>
      <c r="T1515" s="13">
        <f t="shared" ref="T1515:Y1515" si="1571">IF(ISBLANK(K1515)=TRUE,0,1)</f>
        <v>0</v>
      </c>
      <c r="U1515" s="13">
        <f t="shared" si="1571"/>
        <v>0</v>
      </c>
      <c r="V1515" s="13">
        <f t="shared" si="1571"/>
        <v>0</v>
      </c>
      <c r="W1515" s="13">
        <f t="shared" si="1571"/>
        <v>0</v>
      </c>
      <c r="X1515" s="13">
        <f t="shared" si="1571"/>
        <v>1</v>
      </c>
      <c r="Y1515" s="13">
        <f t="shared" si="1571"/>
        <v>1</v>
      </c>
      <c r="Z1515" s="13">
        <f t="shared" si="529"/>
        <v>1</v>
      </c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</row>
    <row r="1516" ht="14.25" hidden="1" customHeight="1">
      <c r="A1516" s="13" t="s">
        <v>46</v>
      </c>
      <c r="B1516" s="34" t="s">
        <v>53</v>
      </c>
      <c r="C1516" s="13" t="s">
        <v>832</v>
      </c>
      <c r="D1516" s="13" t="s">
        <v>174</v>
      </c>
      <c r="E1516" s="13" t="str">
        <f t="shared" si="735"/>
        <v>PALM,A38,AA,1</v>
      </c>
      <c r="F1516" s="13"/>
      <c r="G1516" s="13" t="s">
        <v>74</v>
      </c>
      <c r="H1516" s="13" t="s">
        <v>75</v>
      </c>
      <c r="I1516" s="13"/>
      <c r="J1516" s="13"/>
      <c r="K1516" s="15"/>
      <c r="L1516" s="15"/>
      <c r="M1516" s="16"/>
      <c r="N1516" s="16"/>
      <c r="O1516" s="17">
        <v>1.0</v>
      </c>
      <c r="P1516" s="17">
        <v>1.0</v>
      </c>
      <c r="Q1516" s="13"/>
      <c r="R1516" s="14">
        <v>44973.0</v>
      </c>
      <c r="S1516" s="13"/>
      <c r="T1516" s="13">
        <f t="shared" ref="T1516:Y1516" si="1572">IF(ISBLANK(K1516)=TRUE,0,1)</f>
        <v>0</v>
      </c>
      <c r="U1516" s="13">
        <f t="shared" si="1572"/>
        <v>0</v>
      </c>
      <c r="V1516" s="13">
        <f t="shared" si="1572"/>
        <v>0</v>
      </c>
      <c r="W1516" s="13">
        <f t="shared" si="1572"/>
        <v>0</v>
      </c>
      <c r="X1516" s="13">
        <f t="shared" si="1572"/>
        <v>1</v>
      </c>
      <c r="Y1516" s="13">
        <f t="shared" si="1572"/>
        <v>1</v>
      </c>
      <c r="Z1516" s="13">
        <f t="shared" si="529"/>
        <v>1</v>
      </c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</row>
    <row r="1517" ht="14.25" hidden="1" customHeight="1">
      <c r="A1517" s="13" t="s">
        <v>46</v>
      </c>
      <c r="B1517" s="34" t="s">
        <v>53</v>
      </c>
      <c r="C1517" s="13" t="s">
        <v>833</v>
      </c>
      <c r="D1517" s="13"/>
      <c r="E1517" s="13" t="str">
        <f t="shared" si="735"/>
        <v>PALM,A39,,1</v>
      </c>
      <c r="F1517" s="13"/>
      <c r="G1517" s="13" t="s">
        <v>74</v>
      </c>
      <c r="H1517" s="13" t="s">
        <v>75</v>
      </c>
      <c r="I1517" s="14">
        <v>44907.0</v>
      </c>
      <c r="J1517" s="14"/>
      <c r="K1517" s="15"/>
      <c r="L1517" s="15"/>
      <c r="M1517" s="16"/>
      <c r="N1517" s="16"/>
      <c r="O1517" s="17">
        <v>1.0</v>
      </c>
      <c r="P1517" s="17">
        <v>1.0</v>
      </c>
      <c r="Q1517" s="13">
        <f t="shared" ref="Q1517:Q1518" si="1574">K1516+L1516+M1516+N1516+O1516+P1516/6</f>
        <v>1.166666667</v>
      </c>
      <c r="R1517" s="14">
        <v>44966.0</v>
      </c>
      <c r="S1517" s="13"/>
      <c r="T1517" s="13">
        <f t="shared" ref="T1517:Y1517" si="1573">IF(ISBLANK(K1517)=TRUE,0,1)</f>
        <v>0</v>
      </c>
      <c r="U1517" s="13">
        <f t="shared" si="1573"/>
        <v>0</v>
      </c>
      <c r="V1517" s="13">
        <f t="shared" si="1573"/>
        <v>0</v>
      </c>
      <c r="W1517" s="13">
        <f t="shared" si="1573"/>
        <v>0</v>
      </c>
      <c r="X1517" s="13">
        <f t="shared" si="1573"/>
        <v>1</v>
      </c>
      <c r="Y1517" s="13">
        <f t="shared" si="1573"/>
        <v>1</v>
      </c>
      <c r="Z1517" s="13">
        <f t="shared" si="529"/>
        <v>1</v>
      </c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</row>
    <row r="1518" ht="14.25" hidden="1" customHeight="1">
      <c r="A1518" s="13" t="s">
        <v>46</v>
      </c>
      <c r="B1518" s="34" t="s">
        <v>53</v>
      </c>
      <c r="C1518" s="13" t="s">
        <v>834</v>
      </c>
      <c r="D1518" s="13"/>
      <c r="E1518" s="13" t="str">
        <f t="shared" si="735"/>
        <v>PALM,A4,,NA</v>
      </c>
      <c r="F1518" s="13"/>
      <c r="G1518" s="13" t="s">
        <v>74</v>
      </c>
      <c r="H1518" s="13" t="s">
        <v>75</v>
      </c>
      <c r="I1518" s="14">
        <v>44907.0</v>
      </c>
      <c r="J1518" s="14"/>
      <c r="K1518" s="15"/>
      <c r="L1518" s="15"/>
      <c r="M1518" s="16"/>
      <c r="N1518" s="16"/>
      <c r="O1518" s="17"/>
      <c r="P1518" s="17"/>
      <c r="Q1518" s="13">
        <f t="shared" si="1574"/>
        <v>1.166666667</v>
      </c>
      <c r="R1518" s="13"/>
      <c r="S1518" s="13"/>
      <c r="T1518" s="13">
        <f t="shared" ref="T1518:Y1518" si="1575">IF(ISBLANK(K1518)=TRUE,0,1)</f>
        <v>0</v>
      </c>
      <c r="U1518" s="13">
        <f t="shared" si="1575"/>
        <v>0</v>
      </c>
      <c r="V1518" s="13">
        <f t="shared" si="1575"/>
        <v>0</v>
      </c>
      <c r="W1518" s="13">
        <f t="shared" si="1575"/>
        <v>0</v>
      </c>
      <c r="X1518" s="13">
        <f t="shared" si="1575"/>
        <v>0</v>
      </c>
      <c r="Y1518" s="13">
        <f t="shared" si="1575"/>
        <v>0</v>
      </c>
      <c r="Z1518" s="13" t="str">
        <f t="shared" si="529"/>
        <v>NA</v>
      </c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</row>
    <row r="1519" ht="14.25" hidden="1" customHeight="1">
      <c r="A1519" s="13" t="s">
        <v>46</v>
      </c>
      <c r="B1519" s="34" t="s">
        <v>53</v>
      </c>
      <c r="C1519" s="13" t="s">
        <v>834</v>
      </c>
      <c r="D1519" s="13" t="s">
        <v>174</v>
      </c>
      <c r="E1519" s="13" t="str">
        <f t="shared" si="735"/>
        <v>PALM,A4,AA,1</v>
      </c>
      <c r="F1519" s="13"/>
      <c r="G1519" s="13" t="s">
        <v>74</v>
      </c>
      <c r="H1519" s="13" t="s">
        <v>75</v>
      </c>
      <c r="I1519" s="13"/>
      <c r="J1519" s="13"/>
      <c r="K1519" s="15"/>
      <c r="L1519" s="15"/>
      <c r="M1519" s="16"/>
      <c r="N1519" s="16"/>
      <c r="O1519" s="17">
        <v>1.0</v>
      </c>
      <c r="P1519" s="17">
        <v>1.0</v>
      </c>
      <c r="Q1519" s="13"/>
      <c r="R1519" s="14">
        <v>44966.0</v>
      </c>
      <c r="S1519" s="13"/>
      <c r="T1519" s="13">
        <f t="shared" ref="T1519:Y1519" si="1576">IF(ISBLANK(K1519)=TRUE,0,1)</f>
        <v>0</v>
      </c>
      <c r="U1519" s="13">
        <f t="shared" si="1576"/>
        <v>0</v>
      </c>
      <c r="V1519" s="13">
        <f t="shared" si="1576"/>
        <v>0</v>
      </c>
      <c r="W1519" s="13">
        <f t="shared" si="1576"/>
        <v>0</v>
      </c>
      <c r="X1519" s="13">
        <f t="shared" si="1576"/>
        <v>1</v>
      </c>
      <c r="Y1519" s="13">
        <f t="shared" si="1576"/>
        <v>1</v>
      </c>
      <c r="Z1519" s="13">
        <f t="shared" si="529"/>
        <v>1</v>
      </c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</row>
    <row r="1520" ht="14.25" hidden="1" customHeight="1">
      <c r="A1520" s="13" t="s">
        <v>46</v>
      </c>
      <c r="B1520" s="34" t="s">
        <v>53</v>
      </c>
      <c r="C1520" s="13" t="s">
        <v>835</v>
      </c>
      <c r="D1520" s="13"/>
      <c r="E1520" s="13" t="str">
        <f t="shared" si="735"/>
        <v>PALM,A40,,1</v>
      </c>
      <c r="F1520" s="13"/>
      <c r="G1520" s="13" t="s">
        <v>74</v>
      </c>
      <c r="H1520" s="13" t="s">
        <v>75</v>
      </c>
      <c r="I1520" s="14">
        <v>44907.0</v>
      </c>
      <c r="J1520" s="14"/>
      <c r="K1520" s="15"/>
      <c r="L1520" s="15"/>
      <c r="M1520" s="16"/>
      <c r="N1520" s="16"/>
      <c r="O1520" s="17">
        <v>1.0</v>
      </c>
      <c r="P1520" s="17">
        <v>1.0</v>
      </c>
      <c r="Q1520" s="13">
        <f t="shared" ref="Q1520:Q1521" si="1578">K1519+L1519+M1519+N1519+O1519+P1519/6</f>
        <v>1.166666667</v>
      </c>
      <c r="R1520" s="14">
        <v>44966.0</v>
      </c>
      <c r="S1520" s="13"/>
      <c r="T1520" s="13">
        <f t="shared" ref="T1520:Y1520" si="1577">IF(ISBLANK(K1520)=TRUE,0,1)</f>
        <v>0</v>
      </c>
      <c r="U1520" s="13">
        <f t="shared" si="1577"/>
        <v>0</v>
      </c>
      <c r="V1520" s="13">
        <f t="shared" si="1577"/>
        <v>0</v>
      </c>
      <c r="W1520" s="13">
        <f t="shared" si="1577"/>
        <v>0</v>
      </c>
      <c r="X1520" s="13">
        <f t="shared" si="1577"/>
        <v>1</v>
      </c>
      <c r="Y1520" s="13">
        <f t="shared" si="1577"/>
        <v>1</v>
      </c>
      <c r="Z1520" s="13">
        <f t="shared" si="529"/>
        <v>1</v>
      </c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</row>
    <row r="1521" ht="14.25" hidden="1" customHeight="1">
      <c r="A1521" s="13" t="s">
        <v>46</v>
      </c>
      <c r="B1521" s="34" t="s">
        <v>53</v>
      </c>
      <c r="C1521" s="13" t="s">
        <v>836</v>
      </c>
      <c r="D1521" s="13"/>
      <c r="E1521" s="13" t="str">
        <f t="shared" si="735"/>
        <v>PALM,A41,,1</v>
      </c>
      <c r="F1521" s="13"/>
      <c r="G1521" s="13" t="s">
        <v>74</v>
      </c>
      <c r="H1521" s="13" t="s">
        <v>75</v>
      </c>
      <c r="I1521" s="14">
        <v>44907.0</v>
      </c>
      <c r="J1521" s="14"/>
      <c r="K1521" s="15"/>
      <c r="L1521" s="15"/>
      <c r="M1521" s="16"/>
      <c r="N1521" s="16"/>
      <c r="O1521" s="17">
        <v>1.0</v>
      </c>
      <c r="P1521" s="17">
        <v>1.0</v>
      </c>
      <c r="Q1521" s="13">
        <f t="shared" si="1578"/>
        <v>1.166666667</v>
      </c>
      <c r="R1521" s="14">
        <v>44966.0</v>
      </c>
      <c r="S1521" s="13"/>
      <c r="T1521" s="13">
        <f t="shared" ref="T1521:Y1521" si="1579">IF(ISBLANK(K1521)=TRUE,0,1)</f>
        <v>0</v>
      </c>
      <c r="U1521" s="13">
        <f t="shared" si="1579"/>
        <v>0</v>
      </c>
      <c r="V1521" s="13">
        <f t="shared" si="1579"/>
        <v>0</v>
      </c>
      <c r="W1521" s="13">
        <f t="shared" si="1579"/>
        <v>0</v>
      </c>
      <c r="X1521" s="13">
        <f t="shared" si="1579"/>
        <v>1</v>
      </c>
      <c r="Y1521" s="13">
        <f t="shared" si="1579"/>
        <v>1</v>
      </c>
      <c r="Z1521" s="13">
        <f t="shared" si="529"/>
        <v>1</v>
      </c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</row>
    <row r="1522" ht="14.25" hidden="1" customHeight="1">
      <c r="A1522" s="13" t="s">
        <v>46</v>
      </c>
      <c r="B1522" s="34" t="s">
        <v>53</v>
      </c>
      <c r="C1522" s="13" t="s">
        <v>836</v>
      </c>
      <c r="D1522" s="13" t="s">
        <v>174</v>
      </c>
      <c r="E1522" s="13" t="str">
        <f t="shared" si="735"/>
        <v>PALM,A41,AA,NA</v>
      </c>
      <c r="F1522" s="13"/>
      <c r="G1522" s="13" t="s">
        <v>74</v>
      </c>
      <c r="H1522" s="13" t="s">
        <v>75</v>
      </c>
      <c r="I1522" s="13"/>
      <c r="J1522" s="13"/>
      <c r="K1522" s="15"/>
      <c r="L1522" s="15"/>
      <c r="M1522" s="16"/>
      <c r="N1522" s="16"/>
      <c r="O1522" s="17"/>
      <c r="P1522" s="17"/>
      <c r="Q1522" s="13"/>
      <c r="R1522" s="13"/>
      <c r="S1522" s="13"/>
      <c r="T1522" s="13">
        <f t="shared" ref="T1522:Y1522" si="1580">IF(ISBLANK(K1522)=TRUE,0,1)</f>
        <v>0</v>
      </c>
      <c r="U1522" s="13">
        <f t="shared" si="1580"/>
        <v>0</v>
      </c>
      <c r="V1522" s="13">
        <f t="shared" si="1580"/>
        <v>0</v>
      </c>
      <c r="W1522" s="13">
        <f t="shared" si="1580"/>
        <v>0</v>
      </c>
      <c r="X1522" s="13">
        <f t="shared" si="1580"/>
        <v>0</v>
      </c>
      <c r="Y1522" s="13">
        <f t="shared" si="1580"/>
        <v>0</v>
      </c>
      <c r="Z1522" s="13" t="str">
        <f t="shared" si="529"/>
        <v>NA</v>
      </c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</row>
    <row r="1523" ht="14.25" hidden="1" customHeight="1">
      <c r="A1523" s="13" t="s">
        <v>46</v>
      </c>
      <c r="B1523" s="34" t="s">
        <v>53</v>
      </c>
      <c r="C1523" s="13" t="s">
        <v>837</v>
      </c>
      <c r="D1523" s="13"/>
      <c r="E1523" s="13" t="str">
        <f t="shared" si="735"/>
        <v>PALM,A43,,1</v>
      </c>
      <c r="F1523" s="13"/>
      <c r="G1523" s="13" t="s">
        <v>74</v>
      </c>
      <c r="H1523" s="13" t="s">
        <v>75</v>
      </c>
      <c r="I1523" s="14">
        <v>44907.0</v>
      </c>
      <c r="J1523" s="14"/>
      <c r="K1523" s="15"/>
      <c r="L1523" s="15"/>
      <c r="M1523" s="16"/>
      <c r="N1523" s="16"/>
      <c r="O1523" s="17">
        <v>1.0</v>
      </c>
      <c r="P1523" s="17">
        <v>1.0</v>
      </c>
      <c r="Q1523" s="13">
        <f t="shared" ref="Q1523:Q1524" si="1582">K1522+L1522+M1522+N1522+O1522+P1522/6</f>
        <v>0</v>
      </c>
      <c r="R1523" s="14">
        <v>44966.0</v>
      </c>
      <c r="S1523" s="13"/>
      <c r="T1523" s="13">
        <f t="shared" ref="T1523:Y1523" si="1581">IF(ISBLANK(K1523)=TRUE,0,1)</f>
        <v>0</v>
      </c>
      <c r="U1523" s="13">
        <f t="shared" si="1581"/>
        <v>0</v>
      </c>
      <c r="V1523" s="13">
        <f t="shared" si="1581"/>
        <v>0</v>
      </c>
      <c r="W1523" s="13">
        <f t="shared" si="1581"/>
        <v>0</v>
      </c>
      <c r="X1523" s="13">
        <f t="shared" si="1581"/>
        <v>1</v>
      </c>
      <c r="Y1523" s="13">
        <f t="shared" si="1581"/>
        <v>1</v>
      </c>
      <c r="Z1523" s="13">
        <f t="shared" si="529"/>
        <v>1</v>
      </c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</row>
    <row r="1524" ht="14.25" hidden="1" customHeight="1">
      <c r="A1524" s="13" t="s">
        <v>46</v>
      </c>
      <c r="B1524" s="34" t="s">
        <v>53</v>
      </c>
      <c r="C1524" s="13" t="s">
        <v>838</v>
      </c>
      <c r="D1524" s="13"/>
      <c r="E1524" s="13" t="str">
        <f t="shared" si="735"/>
        <v>PALM,A44,,1</v>
      </c>
      <c r="F1524" s="13"/>
      <c r="G1524" s="13" t="s">
        <v>74</v>
      </c>
      <c r="H1524" s="13" t="s">
        <v>75</v>
      </c>
      <c r="I1524" s="14">
        <v>44907.0</v>
      </c>
      <c r="J1524" s="14"/>
      <c r="K1524" s="15"/>
      <c r="L1524" s="15"/>
      <c r="M1524" s="16"/>
      <c r="N1524" s="16"/>
      <c r="O1524" s="17">
        <v>1.0</v>
      </c>
      <c r="P1524" s="17">
        <v>1.0</v>
      </c>
      <c r="Q1524" s="13">
        <f t="shared" si="1582"/>
        <v>1.166666667</v>
      </c>
      <c r="R1524" s="14">
        <v>44973.0</v>
      </c>
      <c r="S1524" s="13"/>
      <c r="T1524" s="13">
        <f t="shared" ref="T1524:Y1524" si="1583">IF(ISBLANK(K1524)=TRUE,0,1)</f>
        <v>0</v>
      </c>
      <c r="U1524" s="13">
        <f t="shared" si="1583"/>
        <v>0</v>
      </c>
      <c r="V1524" s="13">
        <f t="shared" si="1583"/>
        <v>0</v>
      </c>
      <c r="W1524" s="13">
        <f t="shared" si="1583"/>
        <v>0</v>
      </c>
      <c r="X1524" s="13">
        <f t="shared" si="1583"/>
        <v>1</v>
      </c>
      <c r="Y1524" s="13">
        <f t="shared" si="1583"/>
        <v>1</v>
      </c>
      <c r="Z1524" s="13">
        <f t="shared" si="529"/>
        <v>1</v>
      </c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</row>
    <row r="1525" ht="14.25" hidden="1" customHeight="1">
      <c r="A1525" s="13" t="s">
        <v>46</v>
      </c>
      <c r="B1525" s="34" t="s">
        <v>53</v>
      </c>
      <c r="C1525" s="13" t="s">
        <v>838</v>
      </c>
      <c r="D1525" s="13" t="s">
        <v>174</v>
      </c>
      <c r="E1525" s="13" t="str">
        <f t="shared" si="735"/>
        <v>PALM,A44,AA,NA</v>
      </c>
      <c r="F1525" s="13"/>
      <c r="G1525" s="13" t="s">
        <v>74</v>
      </c>
      <c r="H1525" s="13" t="s">
        <v>75</v>
      </c>
      <c r="I1525" s="13"/>
      <c r="J1525" s="13"/>
      <c r="K1525" s="15"/>
      <c r="L1525" s="15"/>
      <c r="M1525" s="16"/>
      <c r="N1525" s="16"/>
      <c r="O1525" s="17"/>
      <c r="P1525" s="17"/>
      <c r="Q1525" s="13"/>
      <c r="R1525" s="13"/>
      <c r="S1525" s="13"/>
      <c r="T1525" s="13">
        <f t="shared" ref="T1525:Y1525" si="1584">IF(ISBLANK(K1525)=TRUE,0,1)</f>
        <v>0</v>
      </c>
      <c r="U1525" s="13">
        <f t="shared" si="1584"/>
        <v>0</v>
      </c>
      <c r="V1525" s="13">
        <f t="shared" si="1584"/>
        <v>0</v>
      </c>
      <c r="W1525" s="13">
        <f t="shared" si="1584"/>
        <v>0</v>
      </c>
      <c r="X1525" s="13">
        <f t="shared" si="1584"/>
        <v>0</v>
      </c>
      <c r="Y1525" s="13">
        <f t="shared" si="1584"/>
        <v>0</v>
      </c>
      <c r="Z1525" s="13" t="str">
        <f t="shared" si="529"/>
        <v>NA</v>
      </c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</row>
    <row r="1526" ht="14.25" hidden="1" customHeight="1">
      <c r="A1526" s="13" t="s">
        <v>46</v>
      </c>
      <c r="B1526" s="34" t="s">
        <v>53</v>
      </c>
      <c r="C1526" s="13" t="s">
        <v>839</v>
      </c>
      <c r="D1526" s="13"/>
      <c r="E1526" s="13" t="str">
        <f t="shared" si="735"/>
        <v>PALM,A45,,1</v>
      </c>
      <c r="F1526" s="13"/>
      <c r="G1526" s="13" t="s">
        <v>74</v>
      </c>
      <c r="H1526" s="13" t="s">
        <v>75</v>
      </c>
      <c r="I1526" s="14">
        <v>44907.0</v>
      </c>
      <c r="J1526" s="14"/>
      <c r="K1526" s="15"/>
      <c r="L1526" s="15"/>
      <c r="M1526" s="16"/>
      <c r="N1526" s="16"/>
      <c r="O1526" s="17">
        <v>1.0</v>
      </c>
      <c r="P1526" s="17">
        <v>1.0</v>
      </c>
      <c r="Q1526" s="13">
        <f t="shared" ref="Q1526:Q1527" si="1586">K1525+L1525+M1525+N1525+O1525+P1525/6</f>
        <v>0</v>
      </c>
      <c r="R1526" s="14">
        <v>44966.0</v>
      </c>
      <c r="S1526" s="13"/>
      <c r="T1526" s="13">
        <f t="shared" ref="T1526:Y1526" si="1585">IF(ISBLANK(K1526)=TRUE,0,1)</f>
        <v>0</v>
      </c>
      <c r="U1526" s="13">
        <f t="shared" si="1585"/>
        <v>0</v>
      </c>
      <c r="V1526" s="13">
        <f t="shared" si="1585"/>
        <v>0</v>
      </c>
      <c r="W1526" s="13">
        <f t="shared" si="1585"/>
        <v>0</v>
      </c>
      <c r="X1526" s="13">
        <f t="shared" si="1585"/>
        <v>1</v>
      </c>
      <c r="Y1526" s="13">
        <f t="shared" si="1585"/>
        <v>1</v>
      </c>
      <c r="Z1526" s="13">
        <f t="shared" si="529"/>
        <v>1</v>
      </c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</row>
    <row r="1527" ht="14.25" hidden="1" customHeight="1">
      <c r="A1527" s="13" t="s">
        <v>46</v>
      </c>
      <c r="B1527" s="34" t="s">
        <v>53</v>
      </c>
      <c r="C1527" s="13" t="s">
        <v>840</v>
      </c>
      <c r="D1527" s="13"/>
      <c r="E1527" s="13" t="str">
        <f t="shared" si="735"/>
        <v>PALM,A46,,1</v>
      </c>
      <c r="F1527" s="13"/>
      <c r="G1527" s="13" t="s">
        <v>74</v>
      </c>
      <c r="H1527" s="13" t="s">
        <v>75</v>
      </c>
      <c r="I1527" s="14">
        <v>44907.0</v>
      </c>
      <c r="J1527" s="14"/>
      <c r="K1527" s="15"/>
      <c r="L1527" s="15"/>
      <c r="M1527" s="16"/>
      <c r="N1527" s="16"/>
      <c r="O1527" s="17">
        <v>1.0</v>
      </c>
      <c r="P1527" s="17">
        <v>1.0</v>
      </c>
      <c r="Q1527" s="13">
        <f t="shared" si="1586"/>
        <v>1.166666667</v>
      </c>
      <c r="R1527" s="14">
        <v>44973.0</v>
      </c>
      <c r="S1527" s="13"/>
      <c r="T1527" s="13">
        <f t="shared" ref="T1527:Y1527" si="1587">IF(ISBLANK(K1527)=TRUE,0,1)</f>
        <v>0</v>
      </c>
      <c r="U1527" s="13">
        <f t="shared" si="1587"/>
        <v>0</v>
      </c>
      <c r="V1527" s="13">
        <f t="shared" si="1587"/>
        <v>0</v>
      </c>
      <c r="W1527" s="13">
        <f t="shared" si="1587"/>
        <v>0</v>
      </c>
      <c r="X1527" s="13">
        <f t="shared" si="1587"/>
        <v>1</v>
      </c>
      <c r="Y1527" s="13">
        <f t="shared" si="1587"/>
        <v>1</v>
      </c>
      <c r="Z1527" s="13">
        <f t="shared" si="529"/>
        <v>1</v>
      </c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</row>
    <row r="1528" ht="14.25" hidden="1" customHeight="1">
      <c r="A1528" s="13" t="s">
        <v>46</v>
      </c>
      <c r="B1528" s="34" t="s">
        <v>53</v>
      </c>
      <c r="C1528" s="13" t="s">
        <v>840</v>
      </c>
      <c r="D1528" s="13" t="s">
        <v>174</v>
      </c>
      <c r="E1528" s="13" t="str">
        <f t="shared" si="735"/>
        <v>PALM,A46,AA,1</v>
      </c>
      <c r="F1528" s="13"/>
      <c r="G1528" s="13" t="s">
        <v>74</v>
      </c>
      <c r="H1528" s="13" t="s">
        <v>75</v>
      </c>
      <c r="I1528" s="13"/>
      <c r="J1528" s="13"/>
      <c r="K1528" s="15"/>
      <c r="L1528" s="15"/>
      <c r="M1528" s="16"/>
      <c r="N1528" s="16"/>
      <c r="O1528" s="17">
        <v>1.0</v>
      </c>
      <c r="P1528" s="17">
        <v>1.0</v>
      </c>
      <c r="Q1528" s="13"/>
      <c r="R1528" s="14">
        <v>44973.0</v>
      </c>
      <c r="S1528" s="13"/>
      <c r="T1528" s="13">
        <f t="shared" ref="T1528:Y1528" si="1588">IF(ISBLANK(K1528)=TRUE,0,1)</f>
        <v>0</v>
      </c>
      <c r="U1528" s="13">
        <f t="shared" si="1588"/>
        <v>0</v>
      </c>
      <c r="V1528" s="13">
        <f t="shared" si="1588"/>
        <v>0</v>
      </c>
      <c r="W1528" s="13">
        <f t="shared" si="1588"/>
        <v>0</v>
      </c>
      <c r="X1528" s="13">
        <f t="shared" si="1588"/>
        <v>1</v>
      </c>
      <c r="Y1528" s="13">
        <f t="shared" si="1588"/>
        <v>1</v>
      </c>
      <c r="Z1528" s="13">
        <f t="shared" si="529"/>
        <v>1</v>
      </c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</row>
    <row r="1529" ht="14.25" hidden="1" customHeight="1">
      <c r="A1529" s="13" t="s">
        <v>46</v>
      </c>
      <c r="B1529" s="34" t="s">
        <v>53</v>
      </c>
      <c r="C1529" s="13" t="s">
        <v>841</v>
      </c>
      <c r="D1529" s="13"/>
      <c r="E1529" s="13" t="str">
        <f t="shared" si="735"/>
        <v>PALM,A47,,1</v>
      </c>
      <c r="F1529" s="13"/>
      <c r="G1529" s="13" t="s">
        <v>74</v>
      </c>
      <c r="H1529" s="13" t="s">
        <v>75</v>
      </c>
      <c r="I1529" s="14">
        <v>44907.0</v>
      </c>
      <c r="J1529" s="14"/>
      <c r="K1529" s="15"/>
      <c r="L1529" s="15"/>
      <c r="M1529" s="16"/>
      <c r="N1529" s="16"/>
      <c r="O1529" s="17">
        <v>1.0</v>
      </c>
      <c r="P1529" s="17">
        <v>1.0</v>
      </c>
      <c r="Q1529" s="13">
        <f>K1528+L1528+M1528+N1528+O1528+P1528/6</f>
        <v>1.166666667</v>
      </c>
      <c r="R1529" s="14">
        <v>44973.0</v>
      </c>
      <c r="S1529" s="13"/>
      <c r="T1529" s="13">
        <f t="shared" ref="T1529:Y1529" si="1589">IF(ISBLANK(K1529)=TRUE,0,1)</f>
        <v>0</v>
      </c>
      <c r="U1529" s="13">
        <f t="shared" si="1589"/>
        <v>0</v>
      </c>
      <c r="V1529" s="13">
        <f t="shared" si="1589"/>
        <v>0</v>
      </c>
      <c r="W1529" s="13">
        <f t="shared" si="1589"/>
        <v>0</v>
      </c>
      <c r="X1529" s="13">
        <f t="shared" si="1589"/>
        <v>1</v>
      </c>
      <c r="Y1529" s="13">
        <f t="shared" si="1589"/>
        <v>1</v>
      </c>
      <c r="Z1529" s="13">
        <f t="shared" si="529"/>
        <v>1</v>
      </c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</row>
    <row r="1530" ht="14.25" hidden="1" customHeight="1">
      <c r="A1530" s="13" t="s">
        <v>46</v>
      </c>
      <c r="B1530" s="34" t="s">
        <v>53</v>
      </c>
      <c r="C1530" s="13" t="s">
        <v>841</v>
      </c>
      <c r="D1530" s="13" t="s">
        <v>174</v>
      </c>
      <c r="E1530" s="13" t="str">
        <f t="shared" si="735"/>
        <v>PALM,A47,AA,1</v>
      </c>
      <c r="F1530" s="13"/>
      <c r="G1530" s="13" t="s">
        <v>74</v>
      </c>
      <c r="H1530" s="13" t="s">
        <v>75</v>
      </c>
      <c r="I1530" s="13"/>
      <c r="J1530" s="13"/>
      <c r="K1530" s="15"/>
      <c r="L1530" s="15"/>
      <c r="M1530" s="16"/>
      <c r="N1530" s="16"/>
      <c r="O1530" s="17">
        <v>1.0</v>
      </c>
      <c r="P1530" s="17">
        <v>1.0</v>
      </c>
      <c r="Q1530" s="13"/>
      <c r="R1530" s="14">
        <v>44973.0</v>
      </c>
      <c r="S1530" s="13"/>
      <c r="T1530" s="13">
        <f t="shared" ref="T1530:Y1530" si="1590">IF(ISBLANK(K1530)=TRUE,0,1)</f>
        <v>0</v>
      </c>
      <c r="U1530" s="13">
        <f t="shared" si="1590"/>
        <v>0</v>
      </c>
      <c r="V1530" s="13">
        <f t="shared" si="1590"/>
        <v>0</v>
      </c>
      <c r="W1530" s="13">
        <f t="shared" si="1590"/>
        <v>0</v>
      </c>
      <c r="X1530" s="13">
        <f t="shared" si="1590"/>
        <v>1</v>
      </c>
      <c r="Y1530" s="13">
        <f t="shared" si="1590"/>
        <v>1</v>
      </c>
      <c r="Z1530" s="13">
        <f t="shared" si="529"/>
        <v>1</v>
      </c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</row>
    <row r="1531" ht="14.25" hidden="1" customHeight="1">
      <c r="A1531" s="13" t="s">
        <v>46</v>
      </c>
      <c r="B1531" s="34" t="s">
        <v>53</v>
      </c>
      <c r="C1531" s="13" t="s">
        <v>842</v>
      </c>
      <c r="D1531" s="13"/>
      <c r="E1531" s="13" t="str">
        <f t="shared" si="735"/>
        <v>PALM,A48,,1</v>
      </c>
      <c r="F1531" s="13"/>
      <c r="G1531" s="13" t="s">
        <v>74</v>
      </c>
      <c r="H1531" s="13" t="s">
        <v>75</v>
      </c>
      <c r="I1531" s="14">
        <v>44907.0</v>
      </c>
      <c r="J1531" s="14"/>
      <c r="K1531" s="15"/>
      <c r="L1531" s="15"/>
      <c r="M1531" s="16"/>
      <c r="N1531" s="16"/>
      <c r="O1531" s="17">
        <v>1.0</v>
      </c>
      <c r="P1531" s="17">
        <v>1.0</v>
      </c>
      <c r="Q1531" s="13">
        <f t="shared" ref="Q1531:Q1537" si="1592">K1530+L1530+M1530+N1530+O1530+P1530/6</f>
        <v>1.166666667</v>
      </c>
      <c r="R1531" s="14">
        <v>44966.0</v>
      </c>
      <c r="S1531" s="13"/>
      <c r="T1531" s="13">
        <f t="shared" ref="T1531:Y1531" si="1591">IF(ISBLANK(K1531)=TRUE,0,1)</f>
        <v>0</v>
      </c>
      <c r="U1531" s="13">
        <f t="shared" si="1591"/>
        <v>0</v>
      </c>
      <c r="V1531" s="13">
        <f t="shared" si="1591"/>
        <v>0</v>
      </c>
      <c r="W1531" s="13">
        <f t="shared" si="1591"/>
        <v>0</v>
      </c>
      <c r="X1531" s="13">
        <f t="shared" si="1591"/>
        <v>1</v>
      </c>
      <c r="Y1531" s="13">
        <f t="shared" si="1591"/>
        <v>1</v>
      </c>
      <c r="Z1531" s="13">
        <f t="shared" si="529"/>
        <v>1</v>
      </c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</row>
    <row r="1532" ht="14.25" hidden="1" customHeight="1">
      <c r="A1532" s="13" t="s">
        <v>46</v>
      </c>
      <c r="B1532" s="34" t="s">
        <v>53</v>
      </c>
      <c r="C1532" s="13" t="s">
        <v>843</v>
      </c>
      <c r="D1532" s="13"/>
      <c r="E1532" s="13" t="str">
        <f t="shared" si="735"/>
        <v>PALM,A49,,1</v>
      </c>
      <c r="F1532" s="13"/>
      <c r="G1532" s="13" t="s">
        <v>74</v>
      </c>
      <c r="H1532" s="13" t="s">
        <v>75</v>
      </c>
      <c r="I1532" s="14">
        <v>44907.0</v>
      </c>
      <c r="J1532" s="14"/>
      <c r="K1532" s="15"/>
      <c r="L1532" s="15"/>
      <c r="M1532" s="16"/>
      <c r="N1532" s="16"/>
      <c r="O1532" s="17">
        <v>1.0</v>
      </c>
      <c r="P1532" s="17">
        <v>1.0</v>
      </c>
      <c r="Q1532" s="13">
        <f t="shared" si="1592"/>
        <v>1.166666667</v>
      </c>
      <c r="R1532" s="14">
        <v>44973.0</v>
      </c>
      <c r="S1532" s="13"/>
      <c r="T1532" s="13">
        <f t="shared" ref="T1532:Y1532" si="1593">IF(ISBLANK(K1532)=TRUE,0,1)</f>
        <v>0</v>
      </c>
      <c r="U1532" s="13">
        <f t="shared" si="1593"/>
        <v>0</v>
      </c>
      <c r="V1532" s="13">
        <f t="shared" si="1593"/>
        <v>0</v>
      </c>
      <c r="W1532" s="13">
        <f t="shared" si="1593"/>
        <v>0</v>
      </c>
      <c r="X1532" s="13">
        <f t="shared" si="1593"/>
        <v>1</v>
      </c>
      <c r="Y1532" s="13">
        <f t="shared" si="1593"/>
        <v>1</v>
      </c>
      <c r="Z1532" s="13">
        <f t="shared" si="529"/>
        <v>1</v>
      </c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</row>
    <row r="1533" ht="14.25" hidden="1" customHeight="1">
      <c r="A1533" s="13" t="s">
        <v>46</v>
      </c>
      <c r="B1533" s="34" t="s">
        <v>53</v>
      </c>
      <c r="C1533" s="13" t="s">
        <v>844</v>
      </c>
      <c r="D1533" s="13"/>
      <c r="E1533" s="13" t="str">
        <f t="shared" si="735"/>
        <v>PALM,A50,,NA</v>
      </c>
      <c r="F1533" s="13"/>
      <c r="G1533" s="13" t="s">
        <v>74</v>
      </c>
      <c r="H1533" s="13" t="s">
        <v>75</v>
      </c>
      <c r="I1533" s="14">
        <v>44907.0</v>
      </c>
      <c r="J1533" s="14"/>
      <c r="K1533" s="15"/>
      <c r="L1533" s="15"/>
      <c r="M1533" s="16"/>
      <c r="N1533" s="16"/>
      <c r="O1533" s="17"/>
      <c r="P1533" s="17"/>
      <c r="Q1533" s="13">
        <f t="shared" si="1592"/>
        <v>1.166666667</v>
      </c>
      <c r="R1533" s="13"/>
      <c r="S1533" s="13"/>
      <c r="T1533" s="13">
        <f t="shared" ref="T1533:Y1533" si="1594">IF(ISBLANK(K1533)=TRUE,0,1)</f>
        <v>0</v>
      </c>
      <c r="U1533" s="13">
        <f t="shared" si="1594"/>
        <v>0</v>
      </c>
      <c r="V1533" s="13">
        <f t="shared" si="1594"/>
        <v>0</v>
      </c>
      <c r="W1533" s="13">
        <f t="shared" si="1594"/>
        <v>0</v>
      </c>
      <c r="X1533" s="13">
        <f t="shared" si="1594"/>
        <v>0</v>
      </c>
      <c r="Y1533" s="13">
        <f t="shared" si="1594"/>
        <v>0</v>
      </c>
      <c r="Z1533" s="13" t="str">
        <f t="shared" si="529"/>
        <v>NA</v>
      </c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</row>
    <row r="1534" ht="14.25" hidden="1" customHeight="1">
      <c r="A1534" s="13" t="s">
        <v>46</v>
      </c>
      <c r="B1534" s="34" t="s">
        <v>53</v>
      </c>
      <c r="C1534" s="13" t="s">
        <v>845</v>
      </c>
      <c r="D1534" s="13"/>
      <c r="E1534" s="13" t="str">
        <f t="shared" si="735"/>
        <v>PALM,A51,,1</v>
      </c>
      <c r="F1534" s="13"/>
      <c r="G1534" s="13" t="s">
        <v>74</v>
      </c>
      <c r="H1534" s="13" t="s">
        <v>75</v>
      </c>
      <c r="I1534" s="14">
        <v>44907.0</v>
      </c>
      <c r="J1534" s="14"/>
      <c r="K1534" s="15">
        <v>1.0</v>
      </c>
      <c r="L1534" s="15">
        <v>1.0</v>
      </c>
      <c r="M1534" s="16"/>
      <c r="N1534" s="16"/>
      <c r="O1534" s="17">
        <v>1.0</v>
      </c>
      <c r="P1534" s="17">
        <v>1.0</v>
      </c>
      <c r="Q1534" s="13">
        <f t="shared" si="1592"/>
        <v>0</v>
      </c>
      <c r="R1534" s="14">
        <v>44966.0</v>
      </c>
      <c r="S1534" s="13"/>
      <c r="T1534" s="13">
        <f t="shared" ref="T1534:Y1534" si="1595">IF(ISBLANK(K1534)=TRUE,0,1)</f>
        <v>1</v>
      </c>
      <c r="U1534" s="13">
        <f t="shared" si="1595"/>
        <v>1</v>
      </c>
      <c r="V1534" s="13">
        <f t="shared" si="1595"/>
        <v>0</v>
      </c>
      <c r="W1534" s="13">
        <f t="shared" si="1595"/>
        <v>0</v>
      </c>
      <c r="X1534" s="13">
        <f t="shared" si="1595"/>
        <v>1</v>
      </c>
      <c r="Y1534" s="13">
        <f t="shared" si="1595"/>
        <v>1</v>
      </c>
      <c r="Z1534" s="13">
        <f t="shared" si="529"/>
        <v>1</v>
      </c>
      <c r="AA1534" s="13" t="s">
        <v>846</v>
      </c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</row>
    <row r="1535" ht="14.25" hidden="1" customHeight="1">
      <c r="A1535" s="13" t="s">
        <v>46</v>
      </c>
      <c r="B1535" s="34" t="s">
        <v>53</v>
      </c>
      <c r="C1535" s="13" t="s">
        <v>845</v>
      </c>
      <c r="D1535" s="13" t="s">
        <v>174</v>
      </c>
      <c r="E1535" s="13" t="str">
        <f t="shared" si="735"/>
        <v>PALM,A51,AA,1</v>
      </c>
      <c r="F1535" s="13"/>
      <c r="G1535" s="13" t="s">
        <v>74</v>
      </c>
      <c r="H1535" s="13" t="s">
        <v>75</v>
      </c>
      <c r="I1535" s="14"/>
      <c r="J1535" s="14"/>
      <c r="K1535" s="15">
        <v>1.0</v>
      </c>
      <c r="L1535" s="15">
        <v>1.0</v>
      </c>
      <c r="M1535" s="16"/>
      <c r="N1535" s="16"/>
      <c r="O1535" s="17">
        <v>1.0</v>
      </c>
      <c r="P1535" s="17">
        <v>1.0</v>
      </c>
      <c r="Q1535" s="13">
        <f t="shared" si="1592"/>
        <v>3.166666667</v>
      </c>
      <c r="R1535" s="14"/>
      <c r="S1535" s="13"/>
      <c r="T1535" s="13">
        <f t="shared" ref="T1535:Y1535" si="1596">IF(ISBLANK(K1535)=TRUE,0,1)</f>
        <v>1</v>
      </c>
      <c r="U1535" s="13">
        <f t="shared" si="1596"/>
        <v>1</v>
      </c>
      <c r="V1535" s="13">
        <f t="shared" si="1596"/>
        <v>0</v>
      </c>
      <c r="W1535" s="13">
        <f t="shared" si="1596"/>
        <v>0</v>
      </c>
      <c r="X1535" s="13">
        <f t="shared" si="1596"/>
        <v>1</v>
      </c>
      <c r="Y1535" s="13">
        <f t="shared" si="1596"/>
        <v>1</v>
      </c>
      <c r="Z1535" s="13">
        <f t="shared" si="529"/>
        <v>1</v>
      </c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</row>
    <row r="1536" ht="14.25" hidden="1" customHeight="1">
      <c r="A1536" s="13" t="s">
        <v>46</v>
      </c>
      <c r="B1536" s="34" t="s">
        <v>53</v>
      </c>
      <c r="C1536" s="13" t="s">
        <v>845</v>
      </c>
      <c r="D1536" s="13" t="s">
        <v>175</v>
      </c>
      <c r="E1536" s="13" t="str">
        <f t="shared" si="735"/>
        <v>PALM,A51,AB,1</v>
      </c>
      <c r="F1536" s="13"/>
      <c r="G1536" s="13" t="s">
        <v>74</v>
      </c>
      <c r="H1536" s="13" t="s">
        <v>75</v>
      </c>
      <c r="I1536" s="14"/>
      <c r="J1536" s="14"/>
      <c r="K1536" s="15">
        <v>1.0</v>
      </c>
      <c r="L1536" s="15">
        <v>1.0</v>
      </c>
      <c r="M1536" s="16"/>
      <c r="N1536" s="16"/>
      <c r="O1536" s="17">
        <v>1.0</v>
      </c>
      <c r="P1536" s="17">
        <v>1.0</v>
      </c>
      <c r="Q1536" s="13">
        <f t="shared" si="1592"/>
        <v>3.166666667</v>
      </c>
      <c r="R1536" s="14"/>
      <c r="S1536" s="13"/>
      <c r="T1536" s="13">
        <f t="shared" ref="T1536:Y1536" si="1597">IF(ISBLANK(K1536)=TRUE,0,1)</f>
        <v>1</v>
      </c>
      <c r="U1536" s="13">
        <f t="shared" si="1597"/>
        <v>1</v>
      </c>
      <c r="V1536" s="13">
        <f t="shared" si="1597"/>
        <v>0</v>
      </c>
      <c r="W1536" s="13">
        <f t="shared" si="1597"/>
        <v>0</v>
      </c>
      <c r="X1536" s="13">
        <f t="shared" si="1597"/>
        <v>1</v>
      </c>
      <c r="Y1536" s="13">
        <f t="shared" si="1597"/>
        <v>1</v>
      </c>
      <c r="Z1536" s="13">
        <f t="shared" si="529"/>
        <v>1</v>
      </c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</row>
    <row r="1537" ht="14.25" hidden="1" customHeight="1">
      <c r="A1537" s="13" t="s">
        <v>46</v>
      </c>
      <c r="B1537" s="34" t="s">
        <v>53</v>
      </c>
      <c r="C1537" s="13" t="s">
        <v>845</v>
      </c>
      <c r="D1537" s="13" t="s">
        <v>176</v>
      </c>
      <c r="E1537" s="13" t="str">
        <f t="shared" si="735"/>
        <v>PALM,A51,AC,1</v>
      </c>
      <c r="F1537" s="13"/>
      <c r="G1537" s="13" t="s">
        <v>74</v>
      </c>
      <c r="H1537" s="13" t="s">
        <v>75</v>
      </c>
      <c r="I1537" s="14"/>
      <c r="J1537" s="14"/>
      <c r="K1537" s="15">
        <v>1.0</v>
      </c>
      <c r="L1537" s="15">
        <v>1.0</v>
      </c>
      <c r="M1537" s="16"/>
      <c r="N1537" s="16"/>
      <c r="O1537" s="17">
        <v>1.0</v>
      </c>
      <c r="P1537" s="17">
        <v>1.0</v>
      </c>
      <c r="Q1537" s="13">
        <f t="shared" si="1592"/>
        <v>3.166666667</v>
      </c>
      <c r="R1537" s="14"/>
      <c r="S1537" s="13"/>
      <c r="T1537" s="13">
        <f t="shared" ref="T1537:Y1537" si="1598">IF(ISBLANK(K1537)=TRUE,0,1)</f>
        <v>1</v>
      </c>
      <c r="U1537" s="13">
        <f t="shared" si="1598"/>
        <v>1</v>
      </c>
      <c r="V1537" s="13">
        <f t="shared" si="1598"/>
        <v>0</v>
      </c>
      <c r="W1537" s="13">
        <f t="shared" si="1598"/>
        <v>0</v>
      </c>
      <c r="X1537" s="13">
        <f t="shared" si="1598"/>
        <v>1</v>
      </c>
      <c r="Y1537" s="13">
        <f t="shared" si="1598"/>
        <v>1</v>
      </c>
      <c r="Z1537" s="13">
        <f t="shared" si="529"/>
        <v>1</v>
      </c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</row>
    <row r="1538" ht="14.25" hidden="1" customHeight="1">
      <c r="A1538" s="13" t="s">
        <v>46</v>
      </c>
      <c r="B1538" s="34" t="s">
        <v>53</v>
      </c>
      <c r="C1538" s="13" t="s">
        <v>847</v>
      </c>
      <c r="D1538" s="13"/>
      <c r="E1538" s="13" t="str">
        <f t="shared" si="735"/>
        <v>PALM,A52,,NA</v>
      </c>
      <c r="F1538" s="13"/>
      <c r="G1538" s="13" t="s">
        <v>74</v>
      </c>
      <c r="H1538" s="13" t="s">
        <v>75</v>
      </c>
      <c r="I1538" s="14">
        <v>44907.0</v>
      </c>
      <c r="J1538" s="14"/>
      <c r="K1538" s="15"/>
      <c r="L1538" s="15"/>
      <c r="M1538" s="16"/>
      <c r="N1538" s="16"/>
      <c r="O1538" s="17"/>
      <c r="P1538" s="17"/>
      <c r="Q1538" s="13">
        <f>K1534+L1534+M1534+N1534+O1534+P1534/6</f>
        <v>3.166666667</v>
      </c>
      <c r="R1538" s="13"/>
      <c r="S1538" s="13"/>
      <c r="T1538" s="13">
        <f t="shared" ref="T1538:Y1538" si="1599">IF(ISBLANK(K1538)=TRUE,0,1)</f>
        <v>0</v>
      </c>
      <c r="U1538" s="13">
        <f t="shared" si="1599"/>
        <v>0</v>
      </c>
      <c r="V1538" s="13">
        <f t="shared" si="1599"/>
        <v>0</v>
      </c>
      <c r="W1538" s="13">
        <f t="shared" si="1599"/>
        <v>0</v>
      </c>
      <c r="X1538" s="13">
        <f t="shared" si="1599"/>
        <v>0</v>
      </c>
      <c r="Y1538" s="13">
        <f t="shared" si="1599"/>
        <v>0</v>
      </c>
      <c r="Z1538" s="13" t="str">
        <f t="shared" si="529"/>
        <v>NA</v>
      </c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</row>
    <row r="1539" ht="14.25" hidden="1" customHeight="1">
      <c r="A1539" s="13" t="s">
        <v>46</v>
      </c>
      <c r="B1539" s="34" t="s">
        <v>53</v>
      </c>
      <c r="C1539" s="13" t="s">
        <v>847</v>
      </c>
      <c r="D1539" s="13" t="s">
        <v>174</v>
      </c>
      <c r="E1539" s="13" t="str">
        <f t="shared" si="735"/>
        <v>PALM,A52,AA,1</v>
      </c>
      <c r="F1539" s="13"/>
      <c r="G1539" s="13" t="s">
        <v>74</v>
      </c>
      <c r="H1539" s="13" t="s">
        <v>75</v>
      </c>
      <c r="I1539" s="13"/>
      <c r="J1539" s="13"/>
      <c r="K1539" s="15"/>
      <c r="L1539" s="15"/>
      <c r="M1539" s="16"/>
      <c r="N1539" s="16"/>
      <c r="O1539" s="17">
        <v>1.0</v>
      </c>
      <c r="P1539" s="17">
        <v>1.0</v>
      </c>
      <c r="Q1539" s="13"/>
      <c r="R1539" s="14">
        <v>44973.0</v>
      </c>
      <c r="S1539" s="13"/>
      <c r="T1539" s="13">
        <f t="shared" ref="T1539:Y1539" si="1600">IF(ISBLANK(K1539)=TRUE,0,1)</f>
        <v>0</v>
      </c>
      <c r="U1539" s="13">
        <f t="shared" si="1600"/>
        <v>0</v>
      </c>
      <c r="V1539" s="13">
        <f t="shared" si="1600"/>
        <v>0</v>
      </c>
      <c r="W1539" s="13">
        <f t="shared" si="1600"/>
        <v>0</v>
      </c>
      <c r="X1539" s="13">
        <f t="shared" si="1600"/>
        <v>1</v>
      </c>
      <c r="Y1539" s="13">
        <f t="shared" si="1600"/>
        <v>1</v>
      </c>
      <c r="Z1539" s="13">
        <f t="shared" si="529"/>
        <v>1</v>
      </c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</row>
    <row r="1540" ht="14.25" hidden="1" customHeight="1">
      <c r="A1540" s="13" t="s">
        <v>46</v>
      </c>
      <c r="B1540" s="34" t="s">
        <v>53</v>
      </c>
      <c r="C1540" s="13" t="s">
        <v>848</v>
      </c>
      <c r="D1540" s="13"/>
      <c r="E1540" s="13" t="str">
        <f t="shared" si="735"/>
        <v>PALM,A53,,1</v>
      </c>
      <c r="F1540" s="13"/>
      <c r="G1540" s="13" t="s">
        <v>74</v>
      </c>
      <c r="H1540" s="13" t="s">
        <v>75</v>
      </c>
      <c r="I1540" s="14">
        <v>44907.0</v>
      </c>
      <c r="J1540" s="14"/>
      <c r="K1540" s="15"/>
      <c r="L1540" s="15"/>
      <c r="M1540" s="16"/>
      <c r="N1540" s="16"/>
      <c r="O1540" s="17">
        <v>1.0</v>
      </c>
      <c r="P1540" s="17">
        <v>1.0</v>
      </c>
      <c r="Q1540" s="13">
        <f>K1539+L1539+M1539+N1539+O1539+P1539/6</f>
        <v>1.166666667</v>
      </c>
      <c r="R1540" s="14">
        <v>44973.0</v>
      </c>
      <c r="S1540" s="13"/>
      <c r="T1540" s="13">
        <f t="shared" ref="T1540:Y1540" si="1601">IF(ISBLANK(K1540)=TRUE,0,1)</f>
        <v>0</v>
      </c>
      <c r="U1540" s="13">
        <f t="shared" si="1601"/>
        <v>0</v>
      </c>
      <c r="V1540" s="13">
        <f t="shared" si="1601"/>
        <v>0</v>
      </c>
      <c r="W1540" s="13">
        <f t="shared" si="1601"/>
        <v>0</v>
      </c>
      <c r="X1540" s="13">
        <f t="shared" si="1601"/>
        <v>1</v>
      </c>
      <c r="Y1540" s="13">
        <f t="shared" si="1601"/>
        <v>1</v>
      </c>
      <c r="Z1540" s="13">
        <f t="shared" si="529"/>
        <v>1</v>
      </c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</row>
    <row r="1541" ht="14.25" hidden="1" customHeight="1">
      <c r="A1541" s="13" t="s">
        <v>46</v>
      </c>
      <c r="B1541" s="34" t="s">
        <v>53</v>
      </c>
      <c r="C1541" s="13" t="s">
        <v>848</v>
      </c>
      <c r="D1541" s="13" t="s">
        <v>174</v>
      </c>
      <c r="E1541" s="13" t="str">
        <f t="shared" si="735"/>
        <v>PALM,A53,AA,1</v>
      </c>
      <c r="F1541" s="13"/>
      <c r="G1541" s="13" t="s">
        <v>74</v>
      </c>
      <c r="H1541" s="13" t="s">
        <v>75</v>
      </c>
      <c r="I1541" s="13"/>
      <c r="J1541" s="13"/>
      <c r="K1541" s="15"/>
      <c r="L1541" s="15"/>
      <c r="M1541" s="16"/>
      <c r="N1541" s="16"/>
      <c r="O1541" s="17">
        <v>1.0</v>
      </c>
      <c r="P1541" s="17">
        <v>1.0</v>
      </c>
      <c r="Q1541" s="13"/>
      <c r="R1541" s="14">
        <v>44973.0</v>
      </c>
      <c r="S1541" s="13"/>
      <c r="T1541" s="13">
        <f t="shared" ref="T1541:Y1541" si="1602">IF(ISBLANK(K1541)=TRUE,0,1)</f>
        <v>0</v>
      </c>
      <c r="U1541" s="13">
        <f t="shared" si="1602"/>
        <v>0</v>
      </c>
      <c r="V1541" s="13">
        <f t="shared" si="1602"/>
        <v>0</v>
      </c>
      <c r="W1541" s="13">
        <f t="shared" si="1602"/>
        <v>0</v>
      </c>
      <c r="X1541" s="13">
        <f t="shared" si="1602"/>
        <v>1</v>
      </c>
      <c r="Y1541" s="13">
        <f t="shared" si="1602"/>
        <v>1</v>
      </c>
      <c r="Z1541" s="13">
        <f t="shared" si="529"/>
        <v>1</v>
      </c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</row>
    <row r="1542" ht="14.25" hidden="1" customHeight="1">
      <c r="A1542" s="13" t="s">
        <v>46</v>
      </c>
      <c r="B1542" s="34" t="s">
        <v>53</v>
      </c>
      <c r="C1542" s="13" t="s">
        <v>849</v>
      </c>
      <c r="D1542" s="13"/>
      <c r="E1542" s="13" t="str">
        <f t="shared" si="735"/>
        <v>PALM,A54,,NA</v>
      </c>
      <c r="F1542" s="13"/>
      <c r="G1542" s="13" t="s">
        <v>74</v>
      </c>
      <c r="H1542" s="13" t="s">
        <v>75</v>
      </c>
      <c r="I1542" s="14">
        <v>44907.0</v>
      </c>
      <c r="J1542" s="14"/>
      <c r="K1542" s="15"/>
      <c r="L1542" s="15"/>
      <c r="M1542" s="16"/>
      <c r="N1542" s="16"/>
      <c r="O1542" s="17"/>
      <c r="P1542" s="17"/>
      <c r="Q1542" s="13">
        <f>K1541+L1541+M1541+N1541+O1541+P1541/6</f>
        <v>1.166666667</v>
      </c>
      <c r="R1542" s="13"/>
      <c r="S1542" s="13"/>
      <c r="T1542" s="13">
        <f t="shared" ref="T1542:Y1542" si="1603">IF(ISBLANK(K1542)=TRUE,0,1)</f>
        <v>0</v>
      </c>
      <c r="U1542" s="13">
        <f t="shared" si="1603"/>
        <v>0</v>
      </c>
      <c r="V1542" s="13">
        <f t="shared" si="1603"/>
        <v>0</v>
      </c>
      <c r="W1542" s="13">
        <f t="shared" si="1603"/>
        <v>0</v>
      </c>
      <c r="X1542" s="13">
        <f t="shared" si="1603"/>
        <v>0</v>
      </c>
      <c r="Y1542" s="13">
        <f t="shared" si="1603"/>
        <v>0</v>
      </c>
      <c r="Z1542" s="13" t="str">
        <f t="shared" si="529"/>
        <v>NA</v>
      </c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</row>
    <row r="1543" ht="14.25" hidden="1" customHeight="1">
      <c r="A1543" s="13" t="s">
        <v>46</v>
      </c>
      <c r="B1543" s="34" t="s">
        <v>53</v>
      </c>
      <c r="C1543" s="13" t="s">
        <v>849</v>
      </c>
      <c r="D1543" s="13" t="s">
        <v>174</v>
      </c>
      <c r="E1543" s="13" t="str">
        <f t="shared" si="735"/>
        <v>PALM,A54,AA,NA</v>
      </c>
      <c r="F1543" s="13"/>
      <c r="G1543" s="13" t="s">
        <v>74</v>
      </c>
      <c r="H1543" s="13" t="s">
        <v>75</v>
      </c>
      <c r="I1543" s="13"/>
      <c r="J1543" s="13"/>
      <c r="K1543" s="15"/>
      <c r="L1543" s="15"/>
      <c r="M1543" s="16"/>
      <c r="N1543" s="16"/>
      <c r="O1543" s="17"/>
      <c r="P1543" s="17"/>
      <c r="Q1543" s="13"/>
      <c r="R1543" s="13"/>
      <c r="S1543" s="13"/>
      <c r="T1543" s="13">
        <f t="shared" ref="T1543:Y1543" si="1604">IF(ISBLANK(K1543)=TRUE,0,1)</f>
        <v>0</v>
      </c>
      <c r="U1543" s="13">
        <f t="shared" si="1604"/>
        <v>0</v>
      </c>
      <c r="V1543" s="13">
        <f t="shared" si="1604"/>
        <v>0</v>
      </c>
      <c r="W1543" s="13">
        <f t="shared" si="1604"/>
        <v>0</v>
      </c>
      <c r="X1543" s="13">
        <f t="shared" si="1604"/>
        <v>0</v>
      </c>
      <c r="Y1543" s="13">
        <f t="shared" si="1604"/>
        <v>0</v>
      </c>
      <c r="Z1543" s="13" t="str">
        <f t="shared" si="529"/>
        <v>NA</v>
      </c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</row>
    <row r="1544" ht="14.25" hidden="1" customHeight="1">
      <c r="A1544" s="13" t="s">
        <v>46</v>
      </c>
      <c r="B1544" s="34" t="s">
        <v>53</v>
      </c>
      <c r="C1544" s="13" t="s">
        <v>850</v>
      </c>
      <c r="D1544" s="13"/>
      <c r="E1544" s="13" t="str">
        <f t="shared" si="735"/>
        <v>PALM,A55,,1</v>
      </c>
      <c r="F1544" s="13"/>
      <c r="G1544" s="13" t="s">
        <v>74</v>
      </c>
      <c r="H1544" s="13" t="s">
        <v>75</v>
      </c>
      <c r="I1544" s="14">
        <v>44907.0</v>
      </c>
      <c r="J1544" s="14"/>
      <c r="K1544" s="15"/>
      <c r="L1544" s="15"/>
      <c r="M1544" s="16"/>
      <c r="N1544" s="16"/>
      <c r="O1544" s="17">
        <v>1.0</v>
      </c>
      <c r="P1544" s="17">
        <v>1.0</v>
      </c>
      <c r="Q1544" s="13">
        <f t="shared" ref="Q1544:Q1550" si="1606">K1543+L1543+M1543+N1543+O1543+P1543/6</f>
        <v>0</v>
      </c>
      <c r="R1544" s="14">
        <v>44966.0</v>
      </c>
      <c r="S1544" s="13"/>
      <c r="T1544" s="13">
        <f t="shared" ref="T1544:Y1544" si="1605">IF(ISBLANK(K1544)=TRUE,0,1)</f>
        <v>0</v>
      </c>
      <c r="U1544" s="13">
        <f t="shared" si="1605"/>
        <v>0</v>
      </c>
      <c r="V1544" s="13">
        <f t="shared" si="1605"/>
        <v>0</v>
      </c>
      <c r="W1544" s="13">
        <f t="shared" si="1605"/>
        <v>0</v>
      </c>
      <c r="X1544" s="13">
        <f t="shared" si="1605"/>
        <v>1</v>
      </c>
      <c r="Y1544" s="13">
        <f t="shared" si="1605"/>
        <v>1</v>
      </c>
      <c r="Z1544" s="13">
        <f t="shared" si="529"/>
        <v>1</v>
      </c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</row>
    <row r="1545" ht="14.25" hidden="1" customHeight="1">
      <c r="A1545" s="13" t="s">
        <v>46</v>
      </c>
      <c r="B1545" s="34" t="s">
        <v>53</v>
      </c>
      <c r="C1545" s="13" t="s">
        <v>851</v>
      </c>
      <c r="D1545" s="13"/>
      <c r="E1545" s="13" t="str">
        <f t="shared" si="735"/>
        <v>PALM,A56,,1</v>
      </c>
      <c r="F1545" s="13"/>
      <c r="G1545" s="13" t="s">
        <v>74</v>
      </c>
      <c r="H1545" s="13" t="s">
        <v>75</v>
      </c>
      <c r="I1545" s="14">
        <v>44907.0</v>
      </c>
      <c r="J1545" s="14"/>
      <c r="K1545" s="15">
        <v>1.0</v>
      </c>
      <c r="L1545" s="15">
        <v>1.0</v>
      </c>
      <c r="M1545" s="16"/>
      <c r="N1545" s="16"/>
      <c r="O1545" s="17">
        <v>1.0</v>
      </c>
      <c r="P1545" s="17">
        <v>1.0</v>
      </c>
      <c r="Q1545" s="13">
        <f t="shared" si="1606"/>
        <v>1.166666667</v>
      </c>
      <c r="R1545" s="14">
        <v>44966.0</v>
      </c>
      <c r="S1545" s="13"/>
      <c r="T1545" s="13">
        <f t="shared" ref="T1545:Y1545" si="1607">IF(ISBLANK(K1545)=TRUE,0,1)</f>
        <v>1</v>
      </c>
      <c r="U1545" s="13">
        <f t="shared" si="1607"/>
        <v>1</v>
      </c>
      <c r="V1545" s="13">
        <f t="shared" si="1607"/>
        <v>0</v>
      </c>
      <c r="W1545" s="13">
        <f t="shared" si="1607"/>
        <v>0</v>
      </c>
      <c r="X1545" s="13">
        <f t="shared" si="1607"/>
        <v>1</v>
      </c>
      <c r="Y1545" s="13">
        <f t="shared" si="1607"/>
        <v>1</v>
      </c>
      <c r="Z1545" s="13">
        <f t="shared" si="529"/>
        <v>1</v>
      </c>
      <c r="AA1545" s="13" t="s">
        <v>819</v>
      </c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</row>
    <row r="1546" ht="14.25" hidden="1" customHeight="1">
      <c r="A1546" s="13" t="s">
        <v>46</v>
      </c>
      <c r="B1546" s="34" t="s">
        <v>53</v>
      </c>
      <c r="C1546" s="13" t="s">
        <v>852</v>
      </c>
      <c r="D1546" s="13"/>
      <c r="E1546" s="13" t="str">
        <f t="shared" si="735"/>
        <v>PALM,A57,,1</v>
      </c>
      <c r="F1546" s="13"/>
      <c r="G1546" s="13" t="s">
        <v>74</v>
      </c>
      <c r="H1546" s="13" t="s">
        <v>75</v>
      </c>
      <c r="I1546" s="14">
        <v>44907.0</v>
      </c>
      <c r="J1546" s="14"/>
      <c r="K1546" s="15"/>
      <c r="L1546" s="15"/>
      <c r="M1546" s="16"/>
      <c r="N1546" s="16"/>
      <c r="O1546" s="17">
        <v>1.0</v>
      </c>
      <c r="P1546" s="17">
        <v>1.0</v>
      </c>
      <c r="Q1546" s="13">
        <f t="shared" si="1606"/>
        <v>3.166666667</v>
      </c>
      <c r="R1546" s="14">
        <v>44966.0</v>
      </c>
      <c r="S1546" s="13"/>
      <c r="T1546" s="13">
        <f t="shared" ref="T1546:Y1546" si="1608">IF(ISBLANK(K1546)=TRUE,0,1)</f>
        <v>0</v>
      </c>
      <c r="U1546" s="13">
        <f t="shared" si="1608"/>
        <v>0</v>
      </c>
      <c r="V1546" s="13">
        <f t="shared" si="1608"/>
        <v>0</v>
      </c>
      <c r="W1546" s="13">
        <f t="shared" si="1608"/>
        <v>0</v>
      </c>
      <c r="X1546" s="13">
        <f t="shared" si="1608"/>
        <v>1</v>
      </c>
      <c r="Y1546" s="13">
        <f t="shared" si="1608"/>
        <v>1</v>
      </c>
      <c r="Z1546" s="13">
        <f t="shared" si="529"/>
        <v>1</v>
      </c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</row>
    <row r="1547" ht="14.25" hidden="1" customHeight="1">
      <c r="A1547" s="13" t="s">
        <v>46</v>
      </c>
      <c r="B1547" s="34" t="s">
        <v>53</v>
      </c>
      <c r="C1547" s="13" t="s">
        <v>853</v>
      </c>
      <c r="D1547" s="13"/>
      <c r="E1547" s="13" t="str">
        <f t="shared" si="735"/>
        <v>PALM,A58,,1</v>
      </c>
      <c r="F1547" s="13"/>
      <c r="G1547" s="13" t="s">
        <v>74</v>
      </c>
      <c r="H1547" s="13" t="s">
        <v>75</v>
      </c>
      <c r="I1547" s="14">
        <v>44907.0</v>
      </c>
      <c r="J1547" s="14"/>
      <c r="K1547" s="15"/>
      <c r="L1547" s="15"/>
      <c r="M1547" s="16"/>
      <c r="N1547" s="16"/>
      <c r="O1547" s="17">
        <v>1.0</v>
      </c>
      <c r="P1547" s="17">
        <v>1.0</v>
      </c>
      <c r="Q1547" s="13">
        <f t="shared" si="1606"/>
        <v>1.166666667</v>
      </c>
      <c r="R1547" s="14">
        <v>44966.0</v>
      </c>
      <c r="S1547" s="13"/>
      <c r="T1547" s="13">
        <f t="shared" ref="T1547:Y1547" si="1609">IF(ISBLANK(K1547)=TRUE,0,1)</f>
        <v>0</v>
      </c>
      <c r="U1547" s="13">
        <f t="shared" si="1609"/>
        <v>0</v>
      </c>
      <c r="V1547" s="13">
        <f t="shared" si="1609"/>
        <v>0</v>
      </c>
      <c r="W1547" s="13">
        <f t="shared" si="1609"/>
        <v>0</v>
      </c>
      <c r="X1547" s="13">
        <f t="shared" si="1609"/>
        <v>1</v>
      </c>
      <c r="Y1547" s="13">
        <f t="shared" si="1609"/>
        <v>1</v>
      </c>
      <c r="Z1547" s="13">
        <f t="shared" si="529"/>
        <v>1</v>
      </c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</row>
    <row r="1548" ht="14.25" hidden="1" customHeight="1">
      <c r="A1548" s="13" t="s">
        <v>46</v>
      </c>
      <c r="B1548" s="34" t="s">
        <v>53</v>
      </c>
      <c r="C1548" s="13" t="s">
        <v>854</v>
      </c>
      <c r="D1548" s="13"/>
      <c r="E1548" s="13" t="str">
        <f t="shared" si="735"/>
        <v>PALM,A59,,1</v>
      </c>
      <c r="F1548" s="13"/>
      <c r="G1548" s="13" t="s">
        <v>74</v>
      </c>
      <c r="H1548" s="13" t="s">
        <v>75</v>
      </c>
      <c r="I1548" s="14">
        <v>44907.0</v>
      </c>
      <c r="J1548" s="14"/>
      <c r="K1548" s="15"/>
      <c r="L1548" s="15"/>
      <c r="M1548" s="16"/>
      <c r="N1548" s="16"/>
      <c r="O1548" s="17">
        <v>1.0</v>
      </c>
      <c r="P1548" s="17">
        <v>1.0</v>
      </c>
      <c r="Q1548" s="13">
        <f t="shared" si="1606"/>
        <v>1.166666667</v>
      </c>
      <c r="R1548" s="14">
        <v>44966.0</v>
      </c>
      <c r="S1548" s="13"/>
      <c r="T1548" s="13">
        <f t="shared" ref="T1548:Y1548" si="1610">IF(ISBLANK(K1548)=TRUE,0,1)</f>
        <v>0</v>
      </c>
      <c r="U1548" s="13">
        <f t="shared" si="1610"/>
        <v>0</v>
      </c>
      <c r="V1548" s="13">
        <f t="shared" si="1610"/>
        <v>0</v>
      </c>
      <c r="W1548" s="13">
        <f t="shared" si="1610"/>
        <v>0</v>
      </c>
      <c r="X1548" s="13">
        <f t="shared" si="1610"/>
        <v>1</v>
      </c>
      <c r="Y1548" s="13">
        <f t="shared" si="1610"/>
        <v>1</v>
      </c>
      <c r="Z1548" s="13">
        <f t="shared" si="529"/>
        <v>1</v>
      </c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</row>
    <row r="1549" ht="14.25" hidden="1" customHeight="1">
      <c r="A1549" s="13" t="s">
        <v>46</v>
      </c>
      <c r="B1549" s="34" t="s">
        <v>53</v>
      </c>
      <c r="C1549" s="13" t="s">
        <v>855</v>
      </c>
      <c r="D1549" s="13"/>
      <c r="E1549" s="13" t="str">
        <f t="shared" si="735"/>
        <v>PALM,A60,,1</v>
      </c>
      <c r="F1549" s="13"/>
      <c r="G1549" s="13" t="s">
        <v>74</v>
      </c>
      <c r="H1549" s="13" t="s">
        <v>75</v>
      </c>
      <c r="I1549" s="14">
        <v>44907.0</v>
      </c>
      <c r="J1549" s="14"/>
      <c r="K1549" s="15"/>
      <c r="L1549" s="15"/>
      <c r="M1549" s="16"/>
      <c r="N1549" s="16"/>
      <c r="O1549" s="17">
        <v>1.0</v>
      </c>
      <c r="P1549" s="17">
        <v>1.0</v>
      </c>
      <c r="Q1549" s="13">
        <f t="shared" si="1606"/>
        <v>1.166666667</v>
      </c>
      <c r="R1549" s="14">
        <v>44966.0</v>
      </c>
      <c r="S1549" s="13"/>
      <c r="T1549" s="13">
        <f t="shared" ref="T1549:Y1549" si="1611">IF(ISBLANK(K1549)=TRUE,0,1)</f>
        <v>0</v>
      </c>
      <c r="U1549" s="13">
        <f t="shared" si="1611"/>
        <v>0</v>
      </c>
      <c r="V1549" s="13">
        <f t="shared" si="1611"/>
        <v>0</v>
      </c>
      <c r="W1549" s="13">
        <f t="shared" si="1611"/>
        <v>0</v>
      </c>
      <c r="X1549" s="13">
        <f t="shared" si="1611"/>
        <v>1</v>
      </c>
      <c r="Y1549" s="13">
        <f t="shared" si="1611"/>
        <v>1</v>
      </c>
      <c r="Z1549" s="13">
        <f t="shared" si="529"/>
        <v>1</v>
      </c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</row>
    <row r="1550" ht="14.25" hidden="1" customHeight="1">
      <c r="A1550" s="13" t="s">
        <v>46</v>
      </c>
      <c r="B1550" s="34" t="s">
        <v>53</v>
      </c>
      <c r="C1550" s="13" t="s">
        <v>856</v>
      </c>
      <c r="D1550" s="13"/>
      <c r="E1550" s="13" t="str">
        <f t="shared" si="735"/>
        <v>PALM,A61,,NA</v>
      </c>
      <c r="F1550" s="13"/>
      <c r="G1550" s="13" t="s">
        <v>74</v>
      </c>
      <c r="H1550" s="13" t="s">
        <v>75</v>
      </c>
      <c r="I1550" s="14">
        <v>44907.0</v>
      </c>
      <c r="J1550" s="14"/>
      <c r="K1550" s="15"/>
      <c r="L1550" s="15"/>
      <c r="M1550" s="16"/>
      <c r="N1550" s="16"/>
      <c r="O1550" s="17"/>
      <c r="P1550" s="17"/>
      <c r="Q1550" s="13">
        <f t="shared" si="1606"/>
        <v>1.166666667</v>
      </c>
      <c r="R1550" s="13"/>
      <c r="S1550" s="13"/>
      <c r="T1550" s="13">
        <f t="shared" ref="T1550:Y1550" si="1612">IF(ISBLANK(K1550)=TRUE,0,1)</f>
        <v>0</v>
      </c>
      <c r="U1550" s="13">
        <f t="shared" si="1612"/>
        <v>0</v>
      </c>
      <c r="V1550" s="13">
        <f t="shared" si="1612"/>
        <v>0</v>
      </c>
      <c r="W1550" s="13">
        <f t="shared" si="1612"/>
        <v>0</v>
      </c>
      <c r="X1550" s="13">
        <f t="shared" si="1612"/>
        <v>0</v>
      </c>
      <c r="Y1550" s="13">
        <f t="shared" si="1612"/>
        <v>0</v>
      </c>
      <c r="Z1550" s="13" t="str">
        <f t="shared" si="529"/>
        <v>NA</v>
      </c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</row>
    <row r="1551" ht="14.25" hidden="1" customHeight="1">
      <c r="A1551" s="13" t="s">
        <v>46</v>
      </c>
      <c r="B1551" s="34" t="s">
        <v>53</v>
      </c>
      <c r="C1551" s="13" t="s">
        <v>856</v>
      </c>
      <c r="D1551" s="13" t="s">
        <v>174</v>
      </c>
      <c r="E1551" s="13" t="str">
        <f t="shared" si="735"/>
        <v>PALM,A61,AA,1</v>
      </c>
      <c r="F1551" s="13"/>
      <c r="G1551" s="13" t="s">
        <v>74</v>
      </c>
      <c r="H1551" s="13" t="s">
        <v>75</v>
      </c>
      <c r="I1551" s="13"/>
      <c r="J1551" s="13"/>
      <c r="K1551" s="15"/>
      <c r="L1551" s="15"/>
      <c r="M1551" s="16"/>
      <c r="N1551" s="16"/>
      <c r="O1551" s="17">
        <v>1.0</v>
      </c>
      <c r="P1551" s="17">
        <v>1.0</v>
      </c>
      <c r="Q1551" s="13"/>
      <c r="R1551" s="14">
        <v>44973.0</v>
      </c>
      <c r="S1551" s="13"/>
      <c r="T1551" s="13">
        <f t="shared" ref="T1551:Y1551" si="1613">IF(ISBLANK(K1551)=TRUE,0,1)</f>
        <v>0</v>
      </c>
      <c r="U1551" s="13">
        <f t="shared" si="1613"/>
        <v>0</v>
      </c>
      <c r="V1551" s="13">
        <f t="shared" si="1613"/>
        <v>0</v>
      </c>
      <c r="W1551" s="13">
        <f t="shared" si="1613"/>
        <v>0</v>
      </c>
      <c r="X1551" s="13">
        <f t="shared" si="1613"/>
        <v>1</v>
      </c>
      <c r="Y1551" s="13">
        <f t="shared" si="1613"/>
        <v>1</v>
      </c>
      <c r="Z1551" s="13">
        <f t="shared" si="529"/>
        <v>1</v>
      </c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</row>
    <row r="1552" ht="14.25" hidden="1" customHeight="1">
      <c r="A1552" s="13" t="s">
        <v>46</v>
      </c>
      <c r="B1552" s="34" t="s">
        <v>53</v>
      </c>
      <c r="C1552" s="13" t="s">
        <v>857</v>
      </c>
      <c r="D1552" s="13"/>
      <c r="E1552" s="13" t="str">
        <f t="shared" si="735"/>
        <v>PALM,A7,,1</v>
      </c>
      <c r="F1552" s="13"/>
      <c r="G1552" s="13" t="s">
        <v>74</v>
      </c>
      <c r="H1552" s="13" t="s">
        <v>75</v>
      </c>
      <c r="I1552" s="14">
        <v>44907.0</v>
      </c>
      <c r="J1552" s="14"/>
      <c r="K1552" s="15">
        <v>1.0</v>
      </c>
      <c r="L1552" s="15">
        <v>1.0</v>
      </c>
      <c r="M1552" s="16"/>
      <c r="N1552" s="16"/>
      <c r="O1552" s="17">
        <v>1.0</v>
      </c>
      <c r="P1552" s="17">
        <v>1.0</v>
      </c>
      <c r="Q1552" s="13">
        <f>K1551+L1551+M1551+N1551+O1551+P1551/6</f>
        <v>1.166666667</v>
      </c>
      <c r="R1552" s="14">
        <v>44973.0</v>
      </c>
      <c r="S1552" s="13"/>
      <c r="T1552" s="13">
        <f t="shared" ref="T1552:Y1552" si="1614">IF(ISBLANK(K1552)=TRUE,0,1)</f>
        <v>1</v>
      </c>
      <c r="U1552" s="13">
        <f t="shared" si="1614"/>
        <v>1</v>
      </c>
      <c r="V1552" s="13">
        <f t="shared" si="1614"/>
        <v>0</v>
      </c>
      <c r="W1552" s="13">
        <f t="shared" si="1614"/>
        <v>0</v>
      </c>
      <c r="X1552" s="13">
        <f t="shared" si="1614"/>
        <v>1</v>
      </c>
      <c r="Y1552" s="13">
        <f t="shared" si="1614"/>
        <v>1</v>
      </c>
      <c r="Z1552" s="13">
        <f t="shared" si="529"/>
        <v>1</v>
      </c>
      <c r="AA1552" s="13" t="s">
        <v>846</v>
      </c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</row>
    <row r="1553" ht="14.25" hidden="1" customHeight="1">
      <c r="A1553" s="13" t="s">
        <v>46</v>
      </c>
      <c r="B1553" s="34" t="s">
        <v>53</v>
      </c>
      <c r="C1553" s="13" t="s">
        <v>857</v>
      </c>
      <c r="D1553" s="13" t="s">
        <v>174</v>
      </c>
      <c r="E1553" s="13" t="str">
        <f t="shared" si="735"/>
        <v>PALM,A7,AA,1</v>
      </c>
      <c r="F1553" s="13"/>
      <c r="G1553" s="13" t="s">
        <v>74</v>
      </c>
      <c r="H1553" s="13" t="s">
        <v>75</v>
      </c>
      <c r="I1553" s="13"/>
      <c r="J1553" s="13"/>
      <c r="K1553" s="15">
        <v>1.0</v>
      </c>
      <c r="L1553" s="15">
        <v>1.0</v>
      </c>
      <c r="M1553" s="16"/>
      <c r="N1553" s="16"/>
      <c r="O1553" s="17">
        <v>1.0</v>
      </c>
      <c r="P1553" s="17">
        <v>1.0</v>
      </c>
      <c r="Q1553" s="13"/>
      <c r="R1553" s="14">
        <v>44973.0</v>
      </c>
      <c r="S1553" s="13"/>
      <c r="T1553" s="13">
        <f t="shared" ref="T1553:Y1553" si="1615">IF(ISBLANK(K1553)=TRUE,0,1)</f>
        <v>1</v>
      </c>
      <c r="U1553" s="13">
        <f t="shared" si="1615"/>
        <v>1</v>
      </c>
      <c r="V1553" s="13">
        <f t="shared" si="1615"/>
        <v>0</v>
      </c>
      <c r="W1553" s="13">
        <f t="shared" si="1615"/>
        <v>0</v>
      </c>
      <c r="X1553" s="13">
        <f t="shared" si="1615"/>
        <v>1</v>
      </c>
      <c r="Y1553" s="13">
        <f t="shared" si="1615"/>
        <v>1</v>
      </c>
      <c r="Z1553" s="13">
        <f t="shared" si="529"/>
        <v>1</v>
      </c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</row>
    <row r="1554" ht="14.25" hidden="1" customHeight="1">
      <c r="A1554" s="13" t="s">
        <v>46</v>
      </c>
      <c r="B1554" s="34" t="s">
        <v>53</v>
      </c>
      <c r="C1554" s="13" t="s">
        <v>857</v>
      </c>
      <c r="D1554" s="13" t="s">
        <v>175</v>
      </c>
      <c r="E1554" s="13" t="str">
        <f t="shared" si="735"/>
        <v>PALM,A7,AB,1</v>
      </c>
      <c r="F1554" s="13"/>
      <c r="G1554" s="13" t="s">
        <v>74</v>
      </c>
      <c r="H1554" s="13" t="s">
        <v>75</v>
      </c>
      <c r="I1554" s="13"/>
      <c r="J1554" s="13"/>
      <c r="K1554" s="15">
        <v>1.0</v>
      </c>
      <c r="L1554" s="15">
        <v>1.0</v>
      </c>
      <c r="M1554" s="16"/>
      <c r="N1554" s="16"/>
      <c r="O1554" s="17">
        <v>1.0</v>
      </c>
      <c r="P1554" s="17">
        <v>1.0</v>
      </c>
      <c r="Q1554" s="13"/>
      <c r="R1554" s="14"/>
      <c r="S1554" s="13"/>
      <c r="T1554" s="13">
        <f t="shared" ref="T1554:Y1554" si="1616">IF(ISBLANK(K1554)=TRUE,0,1)</f>
        <v>1</v>
      </c>
      <c r="U1554" s="13">
        <f t="shared" si="1616"/>
        <v>1</v>
      </c>
      <c r="V1554" s="13">
        <f t="shared" si="1616"/>
        <v>0</v>
      </c>
      <c r="W1554" s="13">
        <f t="shared" si="1616"/>
        <v>0</v>
      </c>
      <c r="X1554" s="13">
        <f t="shared" si="1616"/>
        <v>1</v>
      </c>
      <c r="Y1554" s="13">
        <f t="shared" si="1616"/>
        <v>1</v>
      </c>
      <c r="Z1554" s="13">
        <f t="shared" si="529"/>
        <v>1</v>
      </c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</row>
    <row r="1555" ht="14.25" hidden="1" customHeight="1">
      <c r="A1555" s="13" t="s">
        <v>46</v>
      </c>
      <c r="B1555" s="34" t="s">
        <v>53</v>
      </c>
      <c r="C1555" s="13" t="s">
        <v>857</v>
      </c>
      <c r="D1555" s="13" t="s">
        <v>176</v>
      </c>
      <c r="E1555" s="13" t="str">
        <f t="shared" si="735"/>
        <v>PALM,A7,AC,1</v>
      </c>
      <c r="F1555" s="13"/>
      <c r="G1555" s="13" t="s">
        <v>74</v>
      </c>
      <c r="H1555" s="13" t="s">
        <v>75</v>
      </c>
      <c r="I1555" s="13"/>
      <c r="J1555" s="13"/>
      <c r="K1555" s="15">
        <v>1.0</v>
      </c>
      <c r="L1555" s="15">
        <v>1.0</v>
      </c>
      <c r="M1555" s="16"/>
      <c r="N1555" s="16"/>
      <c r="O1555" s="17">
        <v>1.0</v>
      </c>
      <c r="P1555" s="17">
        <v>1.0</v>
      </c>
      <c r="Q1555" s="13"/>
      <c r="R1555" s="14"/>
      <c r="S1555" s="13"/>
      <c r="T1555" s="13">
        <f t="shared" ref="T1555:Y1555" si="1617">IF(ISBLANK(K1555)=TRUE,0,1)</f>
        <v>1</v>
      </c>
      <c r="U1555" s="13">
        <f t="shared" si="1617"/>
        <v>1</v>
      </c>
      <c r="V1555" s="13">
        <f t="shared" si="1617"/>
        <v>0</v>
      </c>
      <c r="W1555" s="13">
        <f t="shared" si="1617"/>
        <v>0</v>
      </c>
      <c r="X1555" s="13">
        <f t="shared" si="1617"/>
        <v>1</v>
      </c>
      <c r="Y1555" s="13">
        <f t="shared" si="1617"/>
        <v>1</v>
      </c>
      <c r="Z1555" s="13">
        <f t="shared" si="529"/>
        <v>1</v>
      </c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</row>
    <row r="1556" ht="14.25" hidden="1" customHeight="1">
      <c r="A1556" s="13" t="s">
        <v>46</v>
      </c>
      <c r="B1556" s="34" t="s">
        <v>53</v>
      </c>
      <c r="C1556" s="13" t="s">
        <v>858</v>
      </c>
      <c r="D1556" s="13"/>
      <c r="E1556" s="13" t="str">
        <f t="shared" si="735"/>
        <v>PALM,A9,,1</v>
      </c>
      <c r="F1556" s="13"/>
      <c r="G1556" s="13" t="s">
        <v>74</v>
      </c>
      <c r="H1556" s="13" t="s">
        <v>75</v>
      </c>
      <c r="I1556" s="14">
        <v>44907.0</v>
      </c>
      <c r="J1556" s="14"/>
      <c r="K1556" s="15"/>
      <c r="L1556" s="15"/>
      <c r="M1556" s="16"/>
      <c r="N1556" s="16"/>
      <c r="O1556" s="17">
        <v>1.0</v>
      </c>
      <c r="P1556" s="17">
        <v>1.0</v>
      </c>
      <c r="Q1556" s="13">
        <f>K1555+L1555+M1555+N1555+O1555+P1555/6</f>
        <v>3.166666667</v>
      </c>
      <c r="R1556" s="14">
        <v>44973.0</v>
      </c>
      <c r="S1556" s="13"/>
      <c r="T1556" s="13">
        <f t="shared" ref="T1556:Y1556" si="1618">IF(ISBLANK(K1556)=TRUE,0,1)</f>
        <v>0</v>
      </c>
      <c r="U1556" s="13">
        <f t="shared" si="1618"/>
        <v>0</v>
      </c>
      <c r="V1556" s="13">
        <f t="shared" si="1618"/>
        <v>0</v>
      </c>
      <c r="W1556" s="13">
        <f t="shared" si="1618"/>
        <v>0</v>
      </c>
      <c r="X1556" s="13">
        <f t="shared" si="1618"/>
        <v>1</v>
      </c>
      <c r="Y1556" s="13">
        <f t="shared" si="1618"/>
        <v>1</v>
      </c>
      <c r="Z1556" s="13">
        <f t="shared" si="529"/>
        <v>1</v>
      </c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</row>
    <row r="1557" ht="14.25" hidden="1" customHeight="1">
      <c r="A1557" s="13" t="s">
        <v>46</v>
      </c>
      <c r="B1557" s="34" t="s">
        <v>53</v>
      </c>
      <c r="C1557" s="13" t="s">
        <v>858</v>
      </c>
      <c r="D1557" s="13" t="s">
        <v>174</v>
      </c>
      <c r="E1557" s="13" t="str">
        <f t="shared" si="735"/>
        <v>PALM,A9,AA,1</v>
      </c>
      <c r="F1557" s="13"/>
      <c r="G1557" s="13" t="s">
        <v>74</v>
      </c>
      <c r="H1557" s="13" t="s">
        <v>75</v>
      </c>
      <c r="I1557" s="13"/>
      <c r="J1557" s="13"/>
      <c r="K1557" s="15"/>
      <c r="L1557" s="15"/>
      <c r="M1557" s="16"/>
      <c r="N1557" s="16"/>
      <c r="O1557" s="17">
        <v>1.0</v>
      </c>
      <c r="P1557" s="17">
        <v>1.0</v>
      </c>
      <c r="Q1557" s="13"/>
      <c r="R1557" s="14">
        <v>44973.0</v>
      </c>
      <c r="S1557" s="13"/>
      <c r="T1557" s="13">
        <f t="shared" ref="T1557:Y1557" si="1619">IF(ISBLANK(K1557)=TRUE,0,1)</f>
        <v>0</v>
      </c>
      <c r="U1557" s="13">
        <f t="shared" si="1619"/>
        <v>0</v>
      </c>
      <c r="V1557" s="13">
        <f t="shared" si="1619"/>
        <v>0</v>
      </c>
      <c r="W1557" s="13">
        <f t="shared" si="1619"/>
        <v>0</v>
      </c>
      <c r="X1557" s="13">
        <f t="shared" si="1619"/>
        <v>1</v>
      </c>
      <c r="Y1557" s="13">
        <f t="shared" si="1619"/>
        <v>1</v>
      </c>
      <c r="Z1557" s="13">
        <f t="shared" si="529"/>
        <v>1</v>
      </c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</row>
    <row r="1558" ht="14.25" hidden="1" customHeight="1">
      <c r="A1558" s="13" t="s">
        <v>46</v>
      </c>
      <c r="B1558" s="34" t="s">
        <v>53</v>
      </c>
      <c r="C1558" s="13" t="s">
        <v>859</v>
      </c>
      <c r="D1558" s="13"/>
      <c r="E1558" s="13" t="str">
        <f t="shared" si="735"/>
        <v>PALM,B1,,1</v>
      </c>
      <c r="F1558" s="13"/>
      <c r="G1558" s="13" t="s">
        <v>111</v>
      </c>
      <c r="H1558" s="13" t="s">
        <v>75</v>
      </c>
      <c r="I1558" s="14">
        <v>44907.0</v>
      </c>
      <c r="J1558" s="14"/>
      <c r="K1558" s="15">
        <v>1.0</v>
      </c>
      <c r="L1558" s="15">
        <v>1.0</v>
      </c>
      <c r="M1558" s="16"/>
      <c r="N1558" s="16"/>
      <c r="O1558" s="17">
        <v>1.0</v>
      </c>
      <c r="P1558" s="17">
        <v>1.0</v>
      </c>
      <c r="Q1558" s="13">
        <f t="shared" ref="Q1558:Q1561" si="1621">K1557+L1557+M1557+N1557+O1557+P1557/6</f>
        <v>1.166666667</v>
      </c>
      <c r="R1558" s="14">
        <v>44971.0</v>
      </c>
      <c r="S1558" s="13"/>
      <c r="T1558" s="13">
        <f t="shared" ref="T1558:Y1558" si="1620">IF(ISBLANK(K1558)=TRUE,0,1)</f>
        <v>1</v>
      </c>
      <c r="U1558" s="13">
        <f t="shared" si="1620"/>
        <v>1</v>
      </c>
      <c r="V1558" s="13">
        <f t="shared" si="1620"/>
        <v>0</v>
      </c>
      <c r="W1558" s="13">
        <f t="shared" si="1620"/>
        <v>0</v>
      </c>
      <c r="X1558" s="13">
        <f t="shared" si="1620"/>
        <v>1</v>
      </c>
      <c r="Y1558" s="13">
        <f t="shared" si="1620"/>
        <v>1</v>
      </c>
      <c r="Z1558" s="13">
        <f t="shared" si="529"/>
        <v>1</v>
      </c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</row>
    <row r="1559" ht="14.25" hidden="1" customHeight="1">
      <c r="A1559" s="13" t="s">
        <v>46</v>
      </c>
      <c r="B1559" s="34" t="s">
        <v>53</v>
      </c>
      <c r="C1559" s="13" t="s">
        <v>860</v>
      </c>
      <c r="D1559" s="13"/>
      <c r="E1559" s="13" t="str">
        <f t="shared" si="735"/>
        <v>PALM,B10,,1</v>
      </c>
      <c r="F1559" s="13"/>
      <c r="G1559" s="13" t="s">
        <v>111</v>
      </c>
      <c r="H1559" s="13" t="s">
        <v>75</v>
      </c>
      <c r="I1559" s="14">
        <v>44907.0</v>
      </c>
      <c r="J1559" s="14"/>
      <c r="K1559" s="15"/>
      <c r="L1559" s="15"/>
      <c r="M1559" s="16"/>
      <c r="N1559" s="16"/>
      <c r="O1559" s="17">
        <v>1.0</v>
      </c>
      <c r="P1559" s="17">
        <v>1.0</v>
      </c>
      <c r="Q1559" s="13">
        <f t="shared" si="1621"/>
        <v>3.166666667</v>
      </c>
      <c r="R1559" s="14">
        <v>44971.0</v>
      </c>
      <c r="S1559" s="13"/>
      <c r="T1559" s="13">
        <f t="shared" ref="T1559:Y1559" si="1622">IF(ISBLANK(K1559)=TRUE,0,1)</f>
        <v>0</v>
      </c>
      <c r="U1559" s="13">
        <f t="shared" si="1622"/>
        <v>0</v>
      </c>
      <c r="V1559" s="13">
        <f t="shared" si="1622"/>
        <v>0</v>
      </c>
      <c r="W1559" s="13">
        <f t="shared" si="1622"/>
        <v>0</v>
      </c>
      <c r="X1559" s="13">
        <f t="shared" si="1622"/>
        <v>1</v>
      </c>
      <c r="Y1559" s="13">
        <f t="shared" si="1622"/>
        <v>1</v>
      </c>
      <c r="Z1559" s="13">
        <f t="shared" si="529"/>
        <v>1</v>
      </c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</row>
    <row r="1560" ht="14.25" hidden="1" customHeight="1">
      <c r="A1560" s="13" t="s">
        <v>46</v>
      </c>
      <c r="B1560" s="34" t="s">
        <v>53</v>
      </c>
      <c r="C1560" s="13" t="s">
        <v>861</v>
      </c>
      <c r="D1560" s="13"/>
      <c r="E1560" s="13" t="str">
        <f t="shared" si="735"/>
        <v>PALM,B11,,1</v>
      </c>
      <c r="F1560" s="13"/>
      <c r="G1560" s="13" t="s">
        <v>111</v>
      </c>
      <c r="H1560" s="13" t="s">
        <v>75</v>
      </c>
      <c r="I1560" s="14">
        <v>44907.0</v>
      </c>
      <c r="J1560" s="14"/>
      <c r="K1560" s="15"/>
      <c r="L1560" s="15"/>
      <c r="M1560" s="16"/>
      <c r="N1560" s="16"/>
      <c r="O1560" s="17">
        <v>1.0</v>
      </c>
      <c r="P1560" s="17">
        <v>1.0</v>
      </c>
      <c r="Q1560" s="13">
        <f t="shared" si="1621"/>
        <v>1.166666667</v>
      </c>
      <c r="R1560" s="14">
        <v>44971.0</v>
      </c>
      <c r="S1560" s="13"/>
      <c r="T1560" s="13">
        <f t="shared" ref="T1560:Y1560" si="1623">IF(ISBLANK(K1560)=TRUE,0,1)</f>
        <v>0</v>
      </c>
      <c r="U1560" s="13">
        <f t="shared" si="1623"/>
        <v>0</v>
      </c>
      <c r="V1560" s="13">
        <f t="shared" si="1623"/>
        <v>0</v>
      </c>
      <c r="W1560" s="13">
        <f t="shared" si="1623"/>
        <v>0</v>
      </c>
      <c r="X1560" s="13">
        <f t="shared" si="1623"/>
        <v>1</v>
      </c>
      <c r="Y1560" s="13">
        <f t="shared" si="1623"/>
        <v>1</v>
      </c>
      <c r="Z1560" s="13">
        <f t="shared" si="529"/>
        <v>1</v>
      </c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</row>
    <row r="1561" ht="14.25" hidden="1" customHeight="1">
      <c r="A1561" s="13" t="s">
        <v>46</v>
      </c>
      <c r="B1561" s="34" t="s">
        <v>53</v>
      </c>
      <c r="C1561" s="13" t="s">
        <v>862</v>
      </c>
      <c r="D1561" s="13"/>
      <c r="E1561" s="13" t="str">
        <f t="shared" si="735"/>
        <v>PALM,B12,,1</v>
      </c>
      <c r="F1561" s="13"/>
      <c r="G1561" s="13" t="s">
        <v>111</v>
      </c>
      <c r="H1561" s="13" t="s">
        <v>75</v>
      </c>
      <c r="I1561" s="14">
        <v>44907.0</v>
      </c>
      <c r="J1561" s="14"/>
      <c r="K1561" s="15">
        <v>1.0</v>
      </c>
      <c r="L1561" s="15">
        <v>1.0</v>
      </c>
      <c r="M1561" s="16"/>
      <c r="N1561" s="16"/>
      <c r="O1561" s="17"/>
      <c r="P1561" s="17"/>
      <c r="Q1561" s="13">
        <f t="shared" si="1621"/>
        <v>1.166666667</v>
      </c>
      <c r="R1561" s="13"/>
      <c r="S1561" s="13"/>
      <c r="T1561" s="13">
        <f t="shared" ref="T1561:Y1561" si="1624">IF(ISBLANK(K1561)=TRUE,0,1)</f>
        <v>1</v>
      </c>
      <c r="U1561" s="13">
        <f t="shared" si="1624"/>
        <v>1</v>
      </c>
      <c r="V1561" s="13">
        <f t="shared" si="1624"/>
        <v>0</v>
      </c>
      <c r="W1561" s="13">
        <f t="shared" si="1624"/>
        <v>0</v>
      </c>
      <c r="X1561" s="13">
        <f t="shared" si="1624"/>
        <v>0</v>
      </c>
      <c r="Y1561" s="13">
        <f t="shared" si="1624"/>
        <v>0</v>
      </c>
      <c r="Z1561" s="13">
        <f t="shared" si="529"/>
        <v>1</v>
      </c>
      <c r="AA1561" s="13" t="s">
        <v>846</v>
      </c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</row>
    <row r="1562" ht="14.25" hidden="1" customHeight="1">
      <c r="A1562" s="13" t="s">
        <v>46</v>
      </c>
      <c r="B1562" s="34" t="s">
        <v>53</v>
      </c>
      <c r="C1562" s="13" t="s">
        <v>862</v>
      </c>
      <c r="D1562" s="13" t="s">
        <v>174</v>
      </c>
      <c r="E1562" s="13" t="str">
        <f t="shared" si="735"/>
        <v>PALM,B12,AA,1</v>
      </c>
      <c r="F1562" s="13"/>
      <c r="G1562" s="13" t="s">
        <v>111</v>
      </c>
      <c r="H1562" s="13" t="s">
        <v>75</v>
      </c>
      <c r="I1562" s="14"/>
      <c r="J1562" s="14"/>
      <c r="K1562" s="15">
        <v>1.0</v>
      </c>
      <c r="L1562" s="15">
        <v>1.0</v>
      </c>
      <c r="M1562" s="16"/>
      <c r="N1562" s="16"/>
      <c r="O1562" s="17"/>
      <c r="P1562" s="17"/>
      <c r="Q1562" s="13"/>
      <c r="R1562" s="13"/>
      <c r="S1562" s="13"/>
      <c r="T1562" s="13">
        <f t="shared" ref="T1562:Y1562" si="1625">IF(ISBLANK(K1562)=TRUE,0,1)</f>
        <v>1</v>
      </c>
      <c r="U1562" s="13">
        <f t="shared" si="1625"/>
        <v>1</v>
      </c>
      <c r="V1562" s="13">
        <f t="shared" si="1625"/>
        <v>0</v>
      </c>
      <c r="W1562" s="13">
        <f t="shared" si="1625"/>
        <v>0</v>
      </c>
      <c r="X1562" s="13">
        <f t="shared" si="1625"/>
        <v>0</v>
      </c>
      <c r="Y1562" s="13">
        <f t="shared" si="1625"/>
        <v>0</v>
      </c>
      <c r="Z1562" s="13">
        <f t="shared" si="529"/>
        <v>1</v>
      </c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</row>
    <row r="1563" ht="14.25" hidden="1" customHeight="1">
      <c r="A1563" s="13" t="s">
        <v>46</v>
      </c>
      <c r="B1563" s="34" t="s">
        <v>53</v>
      </c>
      <c r="C1563" s="13" t="s">
        <v>862</v>
      </c>
      <c r="D1563" s="13" t="s">
        <v>175</v>
      </c>
      <c r="E1563" s="13" t="str">
        <f t="shared" si="735"/>
        <v>PALM,B12,AB,1</v>
      </c>
      <c r="F1563" s="13"/>
      <c r="G1563" s="13" t="s">
        <v>111</v>
      </c>
      <c r="H1563" s="13" t="s">
        <v>75</v>
      </c>
      <c r="I1563" s="14"/>
      <c r="J1563" s="14"/>
      <c r="K1563" s="15">
        <v>1.0</v>
      </c>
      <c r="L1563" s="15">
        <v>1.0</v>
      </c>
      <c r="M1563" s="16"/>
      <c r="N1563" s="16"/>
      <c r="O1563" s="17"/>
      <c r="P1563" s="17"/>
      <c r="Q1563" s="13"/>
      <c r="R1563" s="13"/>
      <c r="S1563" s="13"/>
      <c r="T1563" s="13">
        <f t="shared" ref="T1563:Y1563" si="1626">IF(ISBLANK(K1563)=TRUE,0,1)</f>
        <v>1</v>
      </c>
      <c r="U1563" s="13">
        <f t="shared" si="1626"/>
        <v>1</v>
      </c>
      <c r="V1563" s="13">
        <f t="shared" si="1626"/>
        <v>0</v>
      </c>
      <c r="W1563" s="13">
        <f t="shared" si="1626"/>
        <v>0</v>
      </c>
      <c r="X1563" s="13">
        <f t="shared" si="1626"/>
        <v>0</v>
      </c>
      <c r="Y1563" s="13">
        <f t="shared" si="1626"/>
        <v>0</v>
      </c>
      <c r="Z1563" s="13">
        <f t="shared" si="529"/>
        <v>1</v>
      </c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</row>
    <row r="1564" ht="14.25" hidden="1" customHeight="1">
      <c r="A1564" s="13" t="s">
        <v>46</v>
      </c>
      <c r="B1564" s="34" t="s">
        <v>53</v>
      </c>
      <c r="C1564" s="13" t="s">
        <v>862</v>
      </c>
      <c r="D1564" s="13" t="s">
        <v>176</v>
      </c>
      <c r="E1564" s="13" t="str">
        <f t="shared" si="735"/>
        <v>PALM,B12,AC,1</v>
      </c>
      <c r="F1564" s="13"/>
      <c r="G1564" s="13" t="s">
        <v>111</v>
      </c>
      <c r="H1564" s="13" t="s">
        <v>75</v>
      </c>
      <c r="I1564" s="14"/>
      <c r="J1564" s="14"/>
      <c r="K1564" s="15">
        <v>1.0</v>
      </c>
      <c r="L1564" s="15">
        <v>1.0</v>
      </c>
      <c r="M1564" s="16"/>
      <c r="N1564" s="16"/>
      <c r="O1564" s="17"/>
      <c r="P1564" s="17"/>
      <c r="Q1564" s="13"/>
      <c r="R1564" s="13"/>
      <c r="S1564" s="13"/>
      <c r="T1564" s="13">
        <f t="shared" ref="T1564:Y1564" si="1627">IF(ISBLANK(K1564)=TRUE,0,1)</f>
        <v>1</v>
      </c>
      <c r="U1564" s="13">
        <f t="shared" si="1627"/>
        <v>1</v>
      </c>
      <c r="V1564" s="13">
        <f t="shared" si="1627"/>
        <v>0</v>
      </c>
      <c r="W1564" s="13">
        <f t="shared" si="1627"/>
        <v>0</v>
      </c>
      <c r="X1564" s="13">
        <f t="shared" si="1627"/>
        <v>0</v>
      </c>
      <c r="Y1564" s="13">
        <f t="shared" si="1627"/>
        <v>0</v>
      </c>
      <c r="Z1564" s="13">
        <f t="shared" si="529"/>
        <v>1</v>
      </c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</row>
    <row r="1565" ht="14.25" hidden="1" customHeight="1">
      <c r="A1565" s="13" t="s">
        <v>46</v>
      </c>
      <c r="B1565" s="34" t="s">
        <v>53</v>
      </c>
      <c r="C1565" s="13" t="s">
        <v>862</v>
      </c>
      <c r="D1565" s="13" t="s">
        <v>177</v>
      </c>
      <c r="E1565" s="13" t="str">
        <f t="shared" si="735"/>
        <v>PALM,B12,AD,1</v>
      </c>
      <c r="F1565" s="13"/>
      <c r="G1565" s="13" t="s">
        <v>111</v>
      </c>
      <c r="H1565" s="13" t="s">
        <v>75</v>
      </c>
      <c r="I1565" s="14"/>
      <c r="J1565" s="14"/>
      <c r="K1565" s="15">
        <v>1.0</v>
      </c>
      <c r="L1565" s="15">
        <v>1.0</v>
      </c>
      <c r="M1565" s="16"/>
      <c r="N1565" s="16"/>
      <c r="O1565" s="17"/>
      <c r="P1565" s="17"/>
      <c r="Q1565" s="13"/>
      <c r="R1565" s="13"/>
      <c r="S1565" s="13"/>
      <c r="T1565" s="13">
        <f t="shared" ref="T1565:Y1565" si="1628">IF(ISBLANK(K1565)=TRUE,0,1)</f>
        <v>1</v>
      </c>
      <c r="U1565" s="13">
        <f t="shared" si="1628"/>
        <v>1</v>
      </c>
      <c r="V1565" s="13">
        <f t="shared" si="1628"/>
        <v>0</v>
      </c>
      <c r="W1565" s="13">
        <f t="shared" si="1628"/>
        <v>0</v>
      </c>
      <c r="X1565" s="13">
        <f t="shared" si="1628"/>
        <v>0</v>
      </c>
      <c r="Y1565" s="13">
        <f t="shared" si="1628"/>
        <v>0</v>
      </c>
      <c r="Z1565" s="13">
        <f t="shared" si="529"/>
        <v>1</v>
      </c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</row>
    <row r="1566" ht="14.25" hidden="1" customHeight="1">
      <c r="A1566" s="13" t="s">
        <v>46</v>
      </c>
      <c r="B1566" s="34" t="s">
        <v>53</v>
      </c>
      <c r="C1566" s="13" t="s">
        <v>863</v>
      </c>
      <c r="D1566" s="13"/>
      <c r="E1566" s="13" t="str">
        <f t="shared" si="735"/>
        <v>PALM,B13,,1</v>
      </c>
      <c r="F1566" s="13"/>
      <c r="G1566" s="13" t="s">
        <v>111</v>
      </c>
      <c r="H1566" s="13" t="s">
        <v>75</v>
      </c>
      <c r="I1566" s="14">
        <v>44907.0</v>
      </c>
      <c r="J1566" s="14"/>
      <c r="K1566" s="15"/>
      <c r="L1566" s="15"/>
      <c r="M1566" s="16"/>
      <c r="N1566" s="16"/>
      <c r="O1566" s="17">
        <v>1.0</v>
      </c>
      <c r="P1566" s="17">
        <v>1.0</v>
      </c>
      <c r="Q1566" s="13">
        <f>K1561+L1561+M1561+N1561+O1561+P1561/6</f>
        <v>2</v>
      </c>
      <c r="R1566" s="14">
        <v>44971.0</v>
      </c>
      <c r="S1566" s="13"/>
      <c r="T1566" s="13">
        <f t="shared" ref="T1566:Y1566" si="1629">IF(ISBLANK(K1566)=TRUE,0,1)</f>
        <v>0</v>
      </c>
      <c r="U1566" s="13">
        <f t="shared" si="1629"/>
        <v>0</v>
      </c>
      <c r="V1566" s="13">
        <f t="shared" si="1629"/>
        <v>0</v>
      </c>
      <c r="W1566" s="13">
        <f t="shared" si="1629"/>
        <v>0</v>
      </c>
      <c r="X1566" s="13">
        <f t="shared" si="1629"/>
        <v>1</v>
      </c>
      <c r="Y1566" s="13">
        <f t="shared" si="1629"/>
        <v>1</v>
      </c>
      <c r="Z1566" s="13">
        <f t="shared" si="529"/>
        <v>1</v>
      </c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</row>
    <row r="1567" ht="14.25" hidden="1" customHeight="1">
      <c r="A1567" s="13" t="s">
        <v>46</v>
      </c>
      <c r="B1567" s="34" t="s">
        <v>53</v>
      </c>
      <c r="C1567" s="13" t="s">
        <v>864</v>
      </c>
      <c r="D1567" s="13"/>
      <c r="E1567" s="13" t="str">
        <f t="shared" si="735"/>
        <v>PALM,B14,,1</v>
      </c>
      <c r="F1567" s="13"/>
      <c r="G1567" s="13" t="s">
        <v>111</v>
      </c>
      <c r="H1567" s="13" t="s">
        <v>75</v>
      </c>
      <c r="I1567" s="14">
        <v>44907.0</v>
      </c>
      <c r="J1567" s="14"/>
      <c r="K1567" s="15"/>
      <c r="L1567" s="15"/>
      <c r="M1567" s="16"/>
      <c r="N1567" s="16"/>
      <c r="O1567" s="17">
        <v>1.0</v>
      </c>
      <c r="P1567" s="17">
        <v>1.0</v>
      </c>
      <c r="Q1567" s="13">
        <f t="shared" ref="Q1567:Q1578" si="1631">K1566+L1566+M1566+N1566+O1566+P1566/6</f>
        <v>1.166666667</v>
      </c>
      <c r="R1567" s="14">
        <v>44971.0</v>
      </c>
      <c r="S1567" s="13"/>
      <c r="T1567" s="13">
        <f t="shared" ref="T1567:Y1567" si="1630">IF(ISBLANK(K1567)=TRUE,0,1)</f>
        <v>0</v>
      </c>
      <c r="U1567" s="13">
        <f t="shared" si="1630"/>
        <v>0</v>
      </c>
      <c r="V1567" s="13">
        <f t="shared" si="1630"/>
        <v>0</v>
      </c>
      <c r="W1567" s="13">
        <f t="shared" si="1630"/>
        <v>0</v>
      </c>
      <c r="X1567" s="13">
        <f t="shared" si="1630"/>
        <v>1</v>
      </c>
      <c r="Y1567" s="13">
        <f t="shared" si="1630"/>
        <v>1</v>
      </c>
      <c r="Z1567" s="13">
        <f t="shared" si="529"/>
        <v>1</v>
      </c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</row>
    <row r="1568" ht="14.25" hidden="1" customHeight="1">
      <c r="A1568" s="13" t="s">
        <v>46</v>
      </c>
      <c r="B1568" s="34" t="s">
        <v>53</v>
      </c>
      <c r="C1568" s="13" t="s">
        <v>865</v>
      </c>
      <c r="D1568" s="13"/>
      <c r="E1568" s="13" t="str">
        <f t="shared" si="735"/>
        <v>PALM,B15,,1</v>
      </c>
      <c r="F1568" s="13"/>
      <c r="G1568" s="13" t="s">
        <v>111</v>
      </c>
      <c r="H1568" s="13" t="s">
        <v>75</v>
      </c>
      <c r="I1568" s="14">
        <v>44907.0</v>
      </c>
      <c r="J1568" s="14"/>
      <c r="K1568" s="15"/>
      <c r="L1568" s="15"/>
      <c r="M1568" s="16"/>
      <c r="N1568" s="16"/>
      <c r="O1568" s="17">
        <v>1.0</v>
      </c>
      <c r="P1568" s="17">
        <v>1.0</v>
      </c>
      <c r="Q1568" s="13">
        <f t="shared" si="1631"/>
        <v>1.166666667</v>
      </c>
      <c r="R1568" s="14">
        <v>44971.0</v>
      </c>
      <c r="S1568" s="13"/>
      <c r="T1568" s="13">
        <f t="shared" ref="T1568:Y1568" si="1632">IF(ISBLANK(K1568)=TRUE,0,1)</f>
        <v>0</v>
      </c>
      <c r="U1568" s="13">
        <f t="shared" si="1632"/>
        <v>0</v>
      </c>
      <c r="V1568" s="13">
        <f t="shared" si="1632"/>
        <v>0</v>
      </c>
      <c r="W1568" s="13">
        <f t="shared" si="1632"/>
        <v>0</v>
      </c>
      <c r="X1568" s="13">
        <f t="shared" si="1632"/>
        <v>1</v>
      </c>
      <c r="Y1568" s="13">
        <f t="shared" si="1632"/>
        <v>1</v>
      </c>
      <c r="Z1568" s="13">
        <f t="shared" si="529"/>
        <v>1</v>
      </c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</row>
    <row r="1569" ht="14.25" hidden="1" customHeight="1">
      <c r="A1569" s="13" t="s">
        <v>46</v>
      </c>
      <c r="B1569" s="34" t="s">
        <v>53</v>
      </c>
      <c r="C1569" s="13" t="s">
        <v>866</v>
      </c>
      <c r="D1569" s="13"/>
      <c r="E1569" s="13" t="str">
        <f t="shared" si="735"/>
        <v>PALM,B16,,1</v>
      </c>
      <c r="F1569" s="13"/>
      <c r="G1569" s="13" t="s">
        <v>111</v>
      </c>
      <c r="H1569" s="13" t="s">
        <v>75</v>
      </c>
      <c r="I1569" s="14">
        <v>44907.0</v>
      </c>
      <c r="J1569" s="14"/>
      <c r="K1569" s="15"/>
      <c r="L1569" s="15"/>
      <c r="M1569" s="16"/>
      <c r="N1569" s="16"/>
      <c r="O1569" s="17">
        <v>1.0</v>
      </c>
      <c r="P1569" s="17">
        <v>1.0</v>
      </c>
      <c r="Q1569" s="13">
        <f t="shared" si="1631"/>
        <v>1.166666667</v>
      </c>
      <c r="R1569" s="14">
        <v>44971.0</v>
      </c>
      <c r="S1569" s="13"/>
      <c r="T1569" s="13">
        <f t="shared" ref="T1569:Y1569" si="1633">IF(ISBLANK(K1569)=TRUE,0,1)</f>
        <v>0</v>
      </c>
      <c r="U1569" s="13">
        <f t="shared" si="1633"/>
        <v>0</v>
      </c>
      <c r="V1569" s="13">
        <f t="shared" si="1633"/>
        <v>0</v>
      </c>
      <c r="W1569" s="13">
        <f t="shared" si="1633"/>
        <v>0</v>
      </c>
      <c r="X1569" s="13">
        <f t="shared" si="1633"/>
        <v>1</v>
      </c>
      <c r="Y1569" s="13">
        <f t="shared" si="1633"/>
        <v>1</v>
      </c>
      <c r="Z1569" s="13">
        <f t="shared" si="529"/>
        <v>1</v>
      </c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</row>
    <row r="1570" ht="14.25" hidden="1" customHeight="1">
      <c r="A1570" s="13" t="s">
        <v>46</v>
      </c>
      <c r="B1570" s="34" t="s">
        <v>53</v>
      </c>
      <c r="C1570" s="13" t="s">
        <v>867</v>
      </c>
      <c r="D1570" s="13"/>
      <c r="E1570" s="13" t="str">
        <f t="shared" si="735"/>
        <v>PALM,B17,,1</v>
      </c>
      <c r="F1570" s="13"/>
      <c r="G1570" s="13" t="s">
        <v>111</v>
      </c>
      <c r="H1570" s="13" t="s">
        <v>75</v>
      </c>
      <c r="I1570" s="14">
        <v>44907.0</v>
      </c>
      <c r="J1570" s="14"/>
      <c r="K1570" s="15"/>
      <c r="L1570" s="15"/>
      <c r="M1570" s="16"/>
      <c r="N1570" s="16"/>
      <c r="O1570" s="17">
        <v>1.0</v>
      </c>
      <c r="P1570" s="17">
        <v>1.0</v>
      </c>
      <c r="Q1570" s="13">
        <f t="shared" si="1631"/>
        <v>1.166666667</v>
      </c>
      <c r="R1570" s="14">
        <v>44971.0</v>
      </c>
      <c r="S1570" s="13"/>
      <c r="T1570" s="13">
        <f t="shared" ref="T1570:Y1570" si="1634">IF(ISBLANK(K1570)=TRUE,0,1)</f>
        <v>0</v>
      </c>
      <c r="U1570" s="13">
        <f t="shared" si="1634"/>
        <v>0</v>
      </c>
      <c r="V1570" s="13">
        <f t="shared" si="1634"/>
        <v>0</v>
      </c>
      <c r="W1570" s="13">
        <f t="shared" si="1634"/>
        <v>0</v>
      </c>
      <c r="X1570" s="13">
        <f t="shared" si="1634"/>
        <v>1</v>
      </c>
      <c r="Y1570" s="13">
        <f t="shared" si="1634"/>
        <v>1</v>
      </c>
      <c r="Z1570" s="13">
        <f t="shared" si="529"/>
        <v>1</v>
      </c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</row>
    <row r="1571" ht="14.25" hidden="1" customHeight="1">
      <c r="A1571" s="13" t="s">
        <v>46</v>
      </c>
      <c r="B1571" s="34" t="s">
        <v>53</v>
      </c>
      <c r="C1571" s="13" t="s">
        <v>868</v>
      </c>
      <c r="D1571" s="13"/>
      <c r="E1571" s="13" t="str">
        <f t="shared" si="735"/>
        <v>PALM,B21,,NA</v>
      </c>
      <c r="F1571" s="13"/>
      <c r="G1571" s="13" t="s">
        <v>111</v>
      </c>
      <c r="H1571" s="13" t="s">
        <v>75</v>
      </c>
      <c r="I1571" s="14">
        <v>44907.0</v>
      </c>
      <c r="J1571" s="14"/>
      <c r="K1571" s="15"/>
      <c r="L1571" s="15"/>
      <c r="M1571" s="16"/>
      <c r="N1571" s="16"/>
      <c r="O1571" s="17"/>
      <c r="P1571" s="17"/>
      <c r="Q1571" s="13">
        <f t="shared" si="1631"/>
        <v>1.166666667</v>
      </c>
      <c r="R1571" s="13"/>
      <c r="S1571" s="13"/>
      <c r="T1571" s="13">
        <f t="shared" ref="T1571:Y1571" si="1635">IF(ISBLANK(K1571)=TRUE,0,1)</f>
        <v>0</v>
      </c>
      <c r="U1571" s="13">
        <f t="shared" si="1635"/>
        <v>0</v>
      </c>
      <c r="V1571" s="13">
        <f t="shared" si="1635"/>
        <v>0</v>
      </c>
      <c r="W1571" s="13">
        <f t="shared" si="1635"/>
        <v>0</v>
      </c>
      <c r="X1571" s="13">
        <f t="shared" si="1635"/>
        <v>0</v>
      </c>
      <c r="Y1571" s="13">
        <f t="shared" si="1635"/>
        <v>0</v>
      </c>
      <c r="Z1571" s="13" t="str">
        <f t="shared" si="529"/>
        <v>NA</v>
      </c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</row>
    <row r="1572" ht="14.25" hidden="1" customHeight="1">
      <c r="A1572" s="13" t="s">
        <v>46</v>
      </c>
      <c r="B1572" s="34" t="s">
        <v>53</v>
      </c>
      <c r="C1572" s="13" t="s">
        <v>869</v>
      </c>
      <c r="D1572" s="13"/>
      <c r="E1572" s="13" t="str">
        <f t="shared" si="735"/>
        <v>PALM,B22,,NA</v>
      </c>
      <c r="F1572" s="13"/>
      <c r="G1572" s="13" t="s">
        <v>111</v>
      </c>
      <c r="H1572" s="13" t="s">
        <v>75</v>
      </c>
      <c r="I1572" s="14">
        <v>44907.0</v>
      </c>
      <c r="J1572" s="14"/>
      <c r="K1572" s="15"/>
      <c r="L1572" s="15"/>
      <c r="M1572" s="16"/>
      <c r="N1572" s="16"/>
      <c r="O1572" s="17"/>
      <c r="P1572" s="17"/>
      <c r="Q1572" s="13">
        <f t="shared" si="1631"/>
        <v>0</v>
      </c>
      <c r="R1572" s="13"/>
      <c r="S1572" s="13"/>
      <c r="T1572" s="13">
        <f t="shared" ref="T1572:Y1572" si="1636">IF(ISBLANK(K1572)=TRUE,0,1)</f>
        <v>0</v>
      </c>
      <c r="U1572" s="13">
        <f t="shared" si="1636"/>
        <v>0</v>
      </c>
      <c r="V1572" s="13">
        <f t="shared" si="1636"/>
        <v>0</v>
      </c>
      <c r="W1572" s="13">
        <f t="shared" si="1636"/>
        <v>0</v>
      </c>
      <c r="X1572" s="13">
        <f t="shared" si="1636"/>
        <v>0</v>
      </c>
      <c r="Y1572" s="13">
        <f t="shared" si="1636"/>
        <v>0</v>
      </c>
      <c r="Z1572" s="13" t="str">
        <f t="shared" si="529"/>
        <v>NA</v>
      </c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</row>
    <row r="1573" ht="14.25" hidden="1" customHeight="1">
      <c r="A1573" s="13" t="s">
        <v>46</v>
      </c>
      <c r="B1573" s="34" t="s">
        <v>53</v>
      </c>
      <c r="C1573" s="13" t="s">
        <v>870</v>
      </c>
      <c r="D1573" s="13"/>
      <c r="E1573" s="13" t="str">
        <f t="shared" si="735"/>
        <v>PALM,B30,,1</v>
      </c>
      <c r="F1573" s="13"/>
      <c r="G1573" s="13" t="s">
        <v>111</v>
      </c>
      <c r="H1573" s="13" t="s">
        <v>75</v>
      </c>
      <c r="I1573" s="14">
        <v>44907.0</v>
      </c>
      <c r="J1573" s="14"/>
      <c r="K1573" s="15"/>
      <c r="L1573" s="15"/>
      <c r="M1573" s="16"/>
      <c r="N1573" s="16"/>
      <c r="O1573" s="17">
        <v>1.0</v>
      </c>
      <c r="P1573" s="17">
        <v>1.0</v>
      </c>
      <c r="Q1573" s="13">
        <f t="shared" si="1631"/>
        <v>0</v>
      </c>
      <c r="R1573" s="14">
        <v>44971.0</v>
      </c>
      <c r="S1573" s="13"/>
      <c r="T1573" s="13">
        <f t="shared" ref="T1573:Y1573" si="1637">IF(ISBLANK(K1573)=TRUE,0,1)</f>
        <v>0</v>
      </c>
      <c r="U1573" s="13">
        <f t="shared" si="1637"/>
        <v>0</v>
      </c>
      <c r="V1573" s="13">
        <f t="shared" si="1637"/>
        <v>0</v>
      </c>
      <c r="W1573" s="13">
        <f t="shared" si="1637"/>
        <v>0</v>
      </c>
      <c r="X1573" s="13">
        <f t="shared" si="1637"/>
        <v>1</v>
      </c>
      <c r="Y1573" s="13">
        <f t="shared" si="1637"/>
        <v>1</v>
      </c>
      <c r="Z1573" s="13">
        <f t="shared" si="529"/>
        <v>1</v>
      </c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</row>
    <row r="1574" ht="14.25" hidden="1" customHeight="1">
      <c r="A1574" s="13" t="s">
        <v>46</v>
      </c>
      <c r="B1574" s="34" t="s">
        <v>53</v>
      </c>
      <c r="C1574" s="13" t="s">
        <v>871</v>
      </c>
      <c r="D1574" s="13"/>
      <c r="E1574" s="13" t="str">
        <f t="shared" si="735"/>
        <v>PALM,B31,,NA</v>
      </c>
      <c r="F1574" s="13"/>
      <c r="G1574" s="13" t="s">
        <v>111</v>
      </c>
      <c r="H1574" s="13" t="s">
        <v>75</v>
      </c>
      <c r="I1574" s="14">
        <v>44907.0</v>
      </c>
      <c r="J1574" s="14"/>
      <c r="K1574" s="15"/>
      <c r="L1574" s="15"/>
      <c r="M1574" s="16"/>
      <c r="N1574" s="16"/>
      <c r="O1574" s="17"/>
      <c r="P1574" s="17"/>
      <c r="Q1574" s="13">
        <f t="shared" si="1631"/>
        <v>1.166666667</v>
      </c>
      <c r="S1574" s="13"/>
      <c r="T1574" s="13">
        <f t="shared" ref="T1574:Y1574" si="1638">IF(ISBLANK(K1574)=TRUE,0,1)</f>
        <v>0</v>
      </c>
      <c r="U1574" s="13">
        <f t="shared" si="1638"/>
        <v>0</v>
      </c>
      <c r="V1574" s="13">
        <f t="shared" si="1638"/>
        <v>0</v>
      </c>
      <c r="W1574" s="13">
        <f t="shared" si="1638"/>
        <v>0</v>
      </c>
      <c r="X1574" s="13">
        <f t="shared" si="1638"/>
        <v>0</v>
      </c>
      <c r="Y1574" s="13">
        <f t="shared" si="1638"/>
        <v>0</v>
      </c>
      <c r="Z1574" s="13" t="str">
        <f t="shared" si="529"/>
        <v>NA</v>
      </c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</row>
    <row r="1575" ht="14.25" hidden="1" customHeight="1">
      <c r="A1575" s="13" t="s">
        <v>46</v>
      </c>
      <c r="B1575" s="34" t="s">
        <v>53</v>
      </c>
      <c r="C1575" s="13" t="s">
        <v>872</v>
      </c>
      <c r="D1575" s="13"/>
      <c r="E1575" s="13" t="str">
        <f t="shared" si="735"/>
        <v>PALM,B32,,NA</v>
      </c>
      <c r="F1575" s="13"/>
      <c r="G1575" s="13" t="s">
        <v>111</v>
      </c>
      <c r="H1575" s="13" t="s">
        <v>75</v>
      </c>
      <c r="I1575" s="14">
        <v>44907.0</v>
      </c>
      <c r="J1575" s="14"/>
      <c r="K1575" s="15"/>
      <c r="L1575" s="15"/>
      <c r="M1575" s="16"/>
      <c r="N1575" s="16"/>
      <c r="O1575" s="17"/>
      <c r="P1575" s="17"/>
      <c r="Q1575" s="13">
        <f t="shared" si="1631"/>
        <v>0</v>
      </c>
      <c r="R1575" s="13"/>
      <c r="S1575" s="13"/>
      <c r="T1575" s="13">
        <f t="shared" ref="T1575:Y1575" si="1639">IF(ISBLANK(K1575)=TRUE,0,1)</f>
        <v>0</v>
      </c>
      <c r="U1575" s="13">
        <f t="shared" si="1639"/>
        <v>0</v>
      </c>
      <c r="V1575" s="13">
        <f t="shared" si="1639"/>
        <v>0</v>
      </c>
      <c r="W1575" s="13">
        <f t="shared" si="1639"/>
        <v>0</v>
      </c>
      <c r="X1575" s="13">
        <f t="shared" si="1639"/>
        <v>0</v>
      </c>
      <c r="Y1575" s="13">
        <f t="shared" si="1639"/>
        <v>0</v>
      </c>
      <c r="Z1575" s="13" t="str">
        <f t="shared" si="529"/>
        <v>NA</v>
      </c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</row>
    <row r="1576" ht="14.25" hidden="1" customHeight="1">
      <c r="A1576" s="13" t="s">
        <v>46</v>
      </c>
      <c r="B1576" s="34" t="s">
        <v>53</v>
      </c>
      <c r="C1576" s="13" t="s">
        <v>873</v>
      </c>
      <c r="D1576" s="13"/>
      <c r="E1576" s="13" t="str">
        <f t="shared" si="735"/>
        <v>PALM,B33,,0.5</v>
      </c>
      <c r="F1576" s="13"/>
      <c r="G1576" s="13" t="s">
        <v>111</v>
      </c>
      <c r="H1576" s="13" t="s">
        <v>75</v>
      </c>
      <c r="I1576" s="14">
        <v>44907.0</v>
      </c>
      <c r="J1576" s="14"/>
      <c r="K1576" s="15">
        <v>0.0</v>
      </c>
      <c r="L1576" s="15">
        <v>0.0</v>
      </c>
      <c r="M1576" s="16"/>
      <c r="N1576" s="16"/>
      <c r="O1576" s="17">
        <v>1.0</v>
      </c>
      <c r="P1576" s="17">
        <v>1.0</v>
      </c>
      <c r="Q1576" s="13">
        <f t="shared" si="1631"/>
        <v>0</v>
      </c>
      <c r="R1576" s="13"/>
      <c r="S1576" s="13"/>
      <c r="T1576" s="13">
        <f t="shared" ref="T1576:Y1576" si="1640">IF(ISBLANK(K1576)=TRUE,0,1)</f>
        <v>1</v>
      </c>
      <c r="U1576" s="13">
        <f t="shared" si="1640"/>
        <v>1</v>
      </c>
      <c r="V1576" s="13">
        <f t="shared" si="1640"/>
        <v>0</v>
      </c>
      <c r="W1576" s="13">
        <f t="shared" si="1640"/>
        <v>0</v>
      </c>
      <c r="X1576" s="13">
        <f t="shared" si="1640"/>
        <v>1</v>
      </c>
      <c r="Y1576" s="13">
        <f t="shared" si="1640"/>
        <v>1</v>
      </c>
      <c r="Z1576" s="13">
        <f t="shared" si="529"/>
        <v>0.5</v>
      </c>
      <c r="AA1576" s="13" t="s">
        <v>874</v>
      </c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</row>
    <row r="1577" ht="14.25" hidden="1" customHeight="1">
      <c r="A1577" s="13" t="s">
        <v>46</v>
      </c>
      <c r="B1577" s="34" t="s">
        <v>53</v>
      </c>
      <c r="C1577" s="13" t="s">
        <v>875</v>
      </c>
      <c r="D1577" s="13"/>
      <c r="E1577" s="13" t="str">
        <f t="shared" si="735"/>
        <v>PALM,B34,,1</v>
      </c>
      <c r="F1577" s="13"/>
      <c r="G1577" s="13" t="s">
        <v>111</v>
      </c>
      <c r="H1577" s="13" t="s">
        <v>75</v>
      </c>
      <c r="I1577" s="14">
        <v>44907.0</v>
      </c>
      <c r="J1577" s="14"/>
      <c r="K1577" s="15"/>
      <c r="L1577" s="15"/>
      <c r="M1577" s="16"/>
      <c r="N1577" s="16"/>
      <c r="O1577" s="17">
        <v>1.0</v>
      </c>
      <c r="P1577" s="17">
        <v>1.0</v>
      </c>
      <c r="Q1577" s="13">
        <f t="shared" si="1631"/>
        <v>1.166666667</v>
      </c>
      <c r="R1577" s="14">
        <v>44971.0</v>
      </c>
      <c r="S1577" s="13"/>
      <c r="T1577" s="13">
        <f t="shared" ref="T1577:Y1577" si="1641">IF(ISBLANK(K1577)=TRUE,0,1)</f>
        <v>0</v>
      </c>
      <c r="U1577" s="13">
        <f t="shared" si="1641"/>
        <v>0</v>
      </c>
      <c r="V1577" s="13">
        <f t="shared" si="1641"/>
        <v>0</v>
      </c>
      <c r="W1577" s="13">
        <f t="shared" si="1641"/>
        <v>0</v>
      </c>
      <c r="X1577" s="13">
        <f t="shared" si="1641"/>
        <v>1</v>
      </c>
      <c r="Y1577" s="13">
        <f t="shared" si="1641"/>
        <v>1</v>
      </c>
      <c r="Z1577" s="13">
        <f t="shared" si="529"/>
        <v>1</v>
      </c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</row>
    <row r="1578" ht="14.25" hidden="1" customHeight="1">
      <c r="A1578" s="13" t="s">
        <v>46</v>
      </c>
      <c r="B1578" s="34" t="s">
        <v>53</v>
      </c>
      <c r="C1578" s="13" t="s">
        <v>876</v>
      </c>
      <c r="D1578" s="13"/>
      <c r="E1578" s="13" t="str">
        <f t="shared" si="735"/>
        <v>PALM,B35,,1</v>
      </c>
      <c r="F1578" s="13"/>
      <c r="G1578" s="13" t="s">
        <v>111</v>
      </c>
      <c r="H1578" s="13" t="s">
        <v>75</v>
      </c>
      <c r="I1578" s="14">
        <v>44907.0</v>
      </c>
      <c r="J1578" s="14"/>
      <c r="K1578" s="15">
        <v>1.0</v>
      </c>
      <c r="L1578" s="15">
        <v>1.0</v>
      </c>
      <c r="M1578" s="16"/>
      <c r="N1578" s="16"/>
      <c r="O1578" s="17"/>
      <c r="P1578" s="17"/>
      <c r="Q1578" s="13">
        <f t="shared" si="1631"/>
        <v>1.166666667</v>
      </c>
      <c r="R1578" s="13"/>
      <c r="S1578" s="13"/>
      <c r="T1578" s="13">
        <f t="shared" ref="T1578:Y1578" si="1642">IF(ISBLANK(K1578)=TRUE,0,1)</f>
        <v>1</v>
      </c>
      <c r="U1578" s="13">
        <f t="shared" si="1642"/>
        <v>1</v>
      </c>
      <c r="V1578" s="13">
        <f t="shared" si="1642"/>
        <v>0</v>
      </c>
      <c r="W1578" s="13">
        <f t="shared" si="1642"/>
        <v>0</v>
      </c>
      <c r="X1578" s="13">
        <f t="shared" si="1642"/>
        <v>0</v>
      </c>
      <c r="Y1578" s="13">
        <f t="shared" si="1642"/>
        <v>0</v>
      </c>
      <c r="Z1578" s="13">
        <f t="shared" si="529"/>
        <v>1</v>
      </c>
      <c r="AA1578" s="13" t="s">
        <v>846</v>
      </c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</row>
    <row r="1579" ht="14.25" hidden="1" customHeight="1">
      <c r="A1579" s="13" t="s">
        <v>46</v>
      </c>
      <c r="B1579" s="34" t="s">
        <v>53</v>
      </c>
      <c r="C1579" s="13" t="s">
        <v>876</v>
      </c>
      <c r="D1579" s="13" t="s">
        <v>174</v>
      </c>
      <c r="E1579" s="13" t="str">
        <f t="shared" si="735"/>
        <v>PALM,B35,AA,1</v>
      </c>
      <c r="F1579" s="13"/>
      <c r="G1579" s="13" t="s">
        <v>111</v>
      </c>
      <c r="H1579" s="13" t="s">
        <v>75</v>
      </c>
      <c r="I1579" s="14"/>
      <c r="J1579" s="14"/>
      <c r="K1579" s="15">
        <v>1.0</v>
      </c>
      <c r="L1579" s="15">
        <v>1.0</v>
      </c>
      <c r="M1579" s="16"/>
      <c r="N1579" s="16"/>
      <c r="O1579" s="17"/>
      <c r="P1579" s="17"/>
      <c r="Q1579" s="13"/>
      <c r="R1579" s="13"/>
      <c r="S1579" s="13"/>
      <c r="T1579" s="13">
        <f t="shared" ref="T1579:Y1579" si="1643">IF(ISBLANK(K1579)=TRUE,0,1)</f>
        <v>1</v>
      </c>
      <c r="U1579" s="13">
        <f t="shared" si="1643"/>
        <v>1</v>
      </c>
      <c r="V1579" s="13">
        <f t="shared" si="1643"/>
        <v>0</v>
      </c>
      <c r="W1579" s="13">
        <f t="shared" si="1643"/>
        <v>0</v>
      </c>
      <c r="X1579" s="13">
        <f t="shared" si="1643"/>
        <v>0</v>
      </c>
      <c r="Y1579" s="13">
        <f t="shared" si="1643"/>
        <v>0</v>
      </c>
      <c r="Z1579" s="13">
        <f t="shared" si="529"/>
        <v>1</v>
      </c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</row>
    <row r="1580" ht="14.25" hidden="1" customHeight="1">
      <c r="A1580" s="13" t="s">
        <v>46</v>
      </c>
      <c r="B1580" s="34" t="s">
        <v>53</v>
      </c>
      <c r="C1580" s="13" t="s">
        <v>876</v>
      </c>
      <c r="D1580" s="13" t="s">
        <v>175</v>
      </c>
      <c r="E1580" s="13" t="str">
        <f t="shared" si="735"/>
        <v>PALM,B35,AB,1</v>
      </c>
      <c r="F1580" s="13"/>
      <c r="G1580" s="13" t="s">
        <v>111</v>
      </c>
      <c r="H1580" s="13" t="s">
        <v>75</v>
      </c>
      <c r="I1580" s="14"/>
      <c r="J1580" s="14"/>
      <c r="K1580" s="15">
        <v>1.0</v>
      </c>
      <c r="L1580" s="15">
        <v>1.0</v>
      </c>
      <c r="M1580" s="16"/>
      <c r="N1580" s="16"/>
      <c r="O1580" s="17"/>
      <c r="P1580" s="17"/>
      <c r="Q1580" s="13"/>
      <c r="R1580" s="13"/>
      <c r="S1580" s="13"/>
      <c r="T1580" s="13">
        <f t="shared" ref="T1580:Y1580" si="1644">IF(ISBLANK(K1580)=TRUE,0,1)</f>
        <v>1</v>
      </c>
      <c r="U1580" s="13">
        <f t="shared" si="1644"/>
        <v>1</v>
      </c>
      <c r="V1580" s="13">
        <f t="shared" si="1644"/>
        <v>0</v>
      </c>
      <c r="W1580" s="13">
        <f t="shared" si="1644"/>
        <v>0</v>
      </c>
      <c r="X1580" s="13">
        <f t="shared" si="1644"/>
        <v>0</v>
      </c>
      <c r="Y1580" s="13">
        <f t="shared" si="1644"/>
        <v>0</v>
      </c>
      <c r="Z1580" s="13">
        <f t="shared" si="529"/>
        <v>1</v>
      </c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</row>
    <row r="1581" ht="14.25" hidden="1" customHeight="1">
      <c r="A1581" s="13" t="s">
        <v>46</v>
      </c>
      <c r="B1581" s="34" t="s">
        <v>53</v>
      </c>
      <c r="C1581" s="13" t="s">
        <v>876</v>
      </c>
      <c r="D1581" s="13" t="s">
        <v>176</v>
      </c>
      <c r="E1581" s="13" t="str">
        <f t="shared" si="735"/>
        <v>PALM,B35,AC,1</v>
      </c>
      <c r="F1581" s="13"/>
      <c r="G1581" s="13" t="s">
        <v>111</v>
      </c>
      <c r="H1581" s="13" t="s">
        <v>75</v>
      </c>
      <c r="I1581" s="14"/>
      <c r="J1581" s="14"/>
      <c r="K1581" s="15">
        <v>1.0</v>
      </c>
      <c r="L1581" s="15">
        <v>1.0</v>
      </c>
      <c r="M1581" s="16"/>
      <c r="N1581" s="16"/>
      <c r="O1581" s="17"/>
      <c r="P1581" s="17"/>
      <c r="Q1581" s="13"/>
      <c r="R1581" s="13"/>
      <c r="S1581" s="13"/>
      <c r="T1581" s="13">
        <f t="shared" ref="T1581:Y1581" si="1645">IF(ISBLANK(K1581)=TRUE,0,1)</f>
        <v>1</v>
      </c>
      <c r="U1581" s="13">
        <f t="shared" si="1645"/>
        <v>1</v>
      </c>
      <c r="V1581" s="13">
        <f t="shared" si="1645"/>
        <v>0</v>
      </c>
      <c r="W1581" s="13">
        <f t="shared" si="1645"/>
        <v>0</v>
      </c>
      <c r="X1581" s="13">
        <f t="shared" si="1645"/>
        <v>0</v>
      </c>
      <c r="Y1581" s="13">
        <f t="shared" si="1645"/>
        <v>0</v>
      </c>
      <c r="Z1581" s="13">
        <f t="shared" si="529"/>
        <v>1</v>
      </c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</row>
    <row r="1582" ht="14.25" hidden="1" customHeight="1">
      <c r="A1582" s="13" t="s">
        <v>46</v>
      </c>
      <c r="B1582" s="34" t="s">
        <v>53</v>
      </c>
      <c r="C1582" s="13" t="s">
        <v>877</v>
      </c>
      <c r="D1582" s="13"/>
      <c r="E1582" s="13" t="str">
        <f t="shared" si="735"/>
        <v>PALM,B36,,NA</v>
      </c>
      <c r="F1582" s="13"/>
      <c r="G1582" s="13" t="s">
        <v>111</v>
      </c>
      <c r="H1582" s="13" t="s">
        <v>75</v>
      </c>
      <c r="I1582" s="14">
        <v>44907.0</v>
      </c>
      <c r="J1582" s="14"/>
      <c r="K1582" s="15"/>
      <c r="L1582" s="15"/>
      <c r="M1582" s="16"/>
      <c r="N1582" s="16"/>
      <c r="O1582" s="17"/>
      <c r="P1582" s="17"/>
      <c r="Q1582" s="13">
        <f>K1578+L1578+M1578+N1578+O1578+P1578/6</f>
        <v>2</v>
      </c>
      <c r="R1582" s="13"/>
      <c r="S1582" s="13"/>
      <c r="T1582" s="13">
        <f t="shared" ref="T1582:Y1582" si="1646">IF(ISBLANK(K1582)=TRUE,0,1)</f>
        <v>0</v>
      </c>
      <c r="U1582" s="13">
        <f t="shared" si="1646"/>
        <v>0</v>
      </c>
      <c r="V1582" s="13">
        <f t="shared" si="1646"/>
        <v>0</v>
      </c>
      <c r="W1582" s="13">
        <f t="shared" si="1646"/>
        <v>0</v>
      </c>
      <c r="X1582" s="13">
        <f t="shared" si="1646"/>
        <v>0</v>
      </c>
      <c r="Y1582" s="13">
        <f t="shared" si="1646"/>
        <v>0</v>
      </c>
      <c r="Z1582" s="13" t="str">
        <f t="shared" si="529"/>
        <v>NA</v>
      </c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</row>
    <row r="1583" ht="14.25" hidden="1" customHeight="1">
      <c r="A1583" s="13" t="s">
        <v>46</v>
      </c>
      <c r="B1583" s="34" t="s">
        <v>53</v>
      </c>
      <c r="C1583" s="13" t="s">
        <v>878</v>
      </c>
      <c r="D1583" s="13"/>
      <c r="E1583" s="13" t="str">
        <f t="shared" si="735"/>
        <v>PALM,B37,,1</v>
      </c>
      <c r="F1583" s="13"/>
      <c r="G1583" s="13" t="s">
        <v>111</v>
      </c>
      <c r="H1583" s="13" t="s">
        <v>75</v>
      </c>
      <c r="I1583" s="14">
        <v>44907.0</v>
      </c>
      <c r="J1583" s="14"/>
      <c r="K1583" s="15"/>
      <c r="L1583" s="15"/>
      <c r="M1583" s="16"/>
      <c r="N1583" s="16"/>
      <c r="O1583" s="17">
        <v>1.0</v>
      </c>
      <c r="P1583" s="17">
        <v>1.0</v>
      </c>
      <c r="Q1583" s="13">
        <f t="shared" ref="Q1583:Q1596" si="1648">K1582+L1582+M1582+N1582+O1582+P1582/6</f>
        <v>0</v>
      </c>
      <c r="R1583" s="13"/>
      <c r="S1583" s="13"/>
      <c r="T1583" s="13">
        <f t="shared" ref="T1583:Y1583" si="1647">IF(ISBLANK(K1583)=TRUE,0,1)</f>
        <v>0</v>
      </c>
      <c r="U1583" s="13">
        <f t="shared" si="1647"/>
        <v>0</v>
      </c>
      <c r="V1583" s="13">
        <f t="shared" si="1647"/>
        <v>0</v>
      </c>
      <c r="W1583" s="13">
        <f t="shared" si="1647"/>
        <v>0</v>
      </c>
      <c r="X1583" s="13">
        <f t="shared" si="1647"/>
        <v>1</v>
      </c>
      <c r="Y1583" s="13">
        <f t="shared" si="1647"/>
        <v>1</v>
      </c>
      <c r="Z1583" s="13">
        <f t="shared" si="529"/>
        <v>1</v>
      </c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</row>
    <row r="1584" ht="14.25" hidden="1" customHeight="1">
      <c r="A1584" s="13" t="s">
        <v>46</v>
      </c>
      <c r="B1584" s="34" t="s">
        <v>53</v>
      </c>
      <c r="C1584" s="13" t="s">
        <v>879</v>
      </c>
      <c r="D1584" s="13"/>
      <c r="E1584" s="13" t="str">
        <f t="shared" si="735"/>
        <v>PALM,B38,,1</v>
      </c>
      <c r="F1584" s="13"/>
      <c r="G1584" s="13" t="s">
        <v>111</v>
      </c>
      <c r="H1584" s="13" t="s">
        <v>75</v>
      </c>
      <c r="I1584" s="14">
        <v>44908.0</v>
      </c>
      <c r="J1584" s="14"/>
      <c r="K1584" s="15"/>
      <c r="L1584" s="15"/>
      <c r="M1584" s="16"/>
      <c r="N1584" s="16"/>
      <c r="O1584" s="17">
        <v>1.0</v>
      </c>
      <c r="P1584" s="17">
        <v>1.0</v>
      </c>
      <c r="Q1584" s="13">
        <f t="shared" si="1648"/>
        <v>1.166666667</v>
      </c>
      <c r="R1584" s="13"/>
      <c r="S1584" s="13"/>
      <c r="T1584" s="13">
        <f t="shared" ref="T1584:Y1584" si="1649">IF(ISBLANK(K1584)=TRUE,0,1)</f>
        <v>0</v>
      </c>
      <c r="U1584" s="13">
        <f t="shared" si="1649"/>
        <v>0</v>
      </c>
      <c r="V1584" s="13">
        <f t="shared" si="1649"/>
        <v>0</v>
      </c>
      <c r="W1584" s="13">
        <f t="shared" si="1649"/>
        <v>0</v>
      </c>
      <c r="X1584" s="13">
        <f t="shared" si="1649"/>
        <v>1</v>
      </c>
      <c r="Y1584" s="13">
        <f t="shared" si="1649"/>
        <v>1</v>
      </c>
      <c r="Z1584" s="13">
        <f t="shared" si="529"/>
        <v>1</v>
      </c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</row>
    <row r="1585" ht="14.25" hidden="1" customHeight="1">
      <c r="A1585" s="13" t="s">
        <v>46</v>
      </c>
      <c r="B1585" s="34" t="s">
        <v>53</v>
      </c>
      <c r="C1585" s="13" t="s">
        <v>880</v>
      </c>
      <c r="D1585" s="13"/>
      <c r="E1585" s="13" t="str">
        <f t="shared" si="735"/>
        <v>PALM,B39,,1</v>
      </c>
      <c r="F1585" s="13"/>
      <c r="G1585" s="13" t="s">
        <v>111</v>
      </c>
      <c r="H1585" s="13" t="s">
        <v>75</v>
      </c>
      <c r="I1585" s="14">
        <v>44908.0</v>
      </c>
      <c r="J1585" s="14"/>
      <c r="K1585" s="15"/>
      <c r="L1585" s="15"/>
      <c r="M1585" s="16"/>
      <c r="N1585" s="16"/>
      <c r="O1585" s="17">
        <v>1.0</v>
      </c>
      <c r="P1585" s="17">
        <v>1.0</v>
      </c>
      <c r="Q1585" s="13">
        <f t="shared" si="1648"/>
        <v>1.166666667</v>
      </c>
      <c r="R1585" s="14">
        <v>44971.0</v>
      </c>
      <c r="S1585" s="13"/>
      <c r="T1585" s="13">
        <f t="shared" ref="T1585:Y1585" si="1650">IF(ISBLANK(K1585)=TRUE,0,1)</f>
        <v>0</v>
      </c>
      <c r="U1585" s="13">
        <f t="shared" si="1650"/>
        <v>0</v>
      </c>
      <c r="V1585" s="13">
        <f t="shared" si="1650"/>
        <v>0</v>
      </c>
      <c r="W1585" s="13">
        <f t="shared" si="1650"/>
        <v>0</v>
      </c>
      <c r="X1585" s="13">
        <f t="shared" si="1650"/>
        <v>1</v>
      </c>
      <c r="Y1585" s="13">
        <f t="shared" si="1650"/>
        <v>1</v>
      </c>
      <c r="Z1585" s="13">
        <f t="shared" si="529"/>
        <v>1</v>
      </c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</row>
    <row r="1586" ht="14.25" hidden="1" customHeight="1">
      <c r="A1586" s="13" t="s">
        <v>46</v>
      </c>
      <c r="B1586" s="34" t="s">
        <v>53</v>
      </c>
      <c r="C1586" s="13" t="s">
        <v>881</v>
      </c>
      <c r="D1586" s="13"/>
      <c r="E1586" s="13" t="str">
        <f t="shared" si="735"/>
        <v>PALM,B40,,NA</v>
      </c>
      <c r="F1586" s="13"/>
      <c r="G1586" s="13" t="s">
        <v>111</v>
      </c>
      <c r="H1586" s="13" t="s">
        <v>75</v>
      </c>
      <c r="I1586" s="14">
        <v>44908.0</v>
      </c>
      <c r="J1586" s="14"/>
      <c r="K1586" s="15"/>
      <c r="L1586" s="15"/>
      <c r="M1586" s="16"/>
      <c r="N1586" s="16"/>
      <c r="O1586" s="17"/>
      <c r="P1586" s="17"/>
      <c r="Q1586" s="13">
        <f t="shared" si="1648"/>
        <v>1.166666667</v>
      </c>
      <c r="R1586" s="13"/>
      <c r="S1586" s="13"/>
      <c r="T1586" s="13">
        <f t="shared" ref="T1586:Y1586" si="1651">IF(ISBLANK(K1586)=TRUE,0,1)</f>
        <v>0</v>
      </c>
      <c r="U1586" s="13">
        <f t="shared" si="1651"/>
        <v>0</v>
      </c>
      <c r="V1586" s="13">
        <f t="shared" si="1651"/>
        <v>0</v>
      </c>
      <c r="W1586" s="13">
        <f t="shared" si="1651"/>
        <v>0</v>
      </c>
      <c r="X1586" s="13">
        <f t="shared" si="1651"/>
        <v>0</v>
      </c>
      <c r="Y1586" s="13">
        <f t="shared" si="1651"/>
        <v>0</v>
      </c>
      <c r="Z1586" s="13" t="str">
        <f t="shared" si="529"/>
        <v>NA</v>
      </c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</row>
    <row r="1587" ht="14.25" hidden="1" customHeight="1">
      <c r="A1587" s="13" t="s">
        <v>46</v>
      </c>
      <c r="B1587" s="34" t="s">
        <v>53</v>
      </c>
      <c r="C1587" s="13" t="s">
        <v>882</v>
      </c>
      <c r="D1587" s="13"/>
      <c r="E1587" s="13" t="str">
        <f t="shared" si="735"/>
        <v>PALM,B46,,1</v>
      </c>
      <c r="F1587" s="13"/>
      <c r="G1587" s="13" t="s">
        <v>111</v>
      </c>
      <c r="H1587" s="13" t="s">
        <v>75</v>
      </c>
      <c r="I1587" s="14">
        <v>44908.0</v>
      </c>
      <c r="J1587" s="14"/>
      <c r="K1587" s="15">
        <v>1.0</v>
      </c>
      <c r="L1587" s="15">
        <v>1.0</v>
      </c>
      <c r="M1587" s="16"/>
      <c r="N1587" s="16"/>
      <c r="O1587" s="17">
        <v>1.0</v>
      </c>
      <c r="P1587" s="17">
        <v>1.0</v>
      </c>
      <c r="Q1587" s="13">
        <f t="shared" si="1648"/>
        <v>0</v>
      </c>
      <c r="R1587" s="14">
        <v>44971.0</v>
      </c>
      <c r="S1587" s="13"/>
      <c r="T1587" s="13">
        <f t="shared" ref="T1587:Y1587" si="1652">IF(ISBLANK(K1587)=TRUE,0,1)</f>
        <v>1</v>
      </c>
      <c r="U1587" s="13">
        <f t="shared" si="1652"/>
        <v>1</v>
      </c>
      <c r="V1587" s="13">
        <f t="shared" si="1652"/>
        <v>0</v>
      </c>
      <c r="W1587" s="13">
        <f t="shared" si="1652"/>
        <v>0</v>
      </c>
      <c r="X1587" s="13">
        <f t="shared" si="1652"/>
        <v>1</v>
      </c>
      <c r="Y1587" s="13">
        <f t="shared" si="1652"/>
        <v>1</v>
      </c>
      <c r="Z1587" s="13">
        <f t="shared" si="529"/>
        <v>1</v>
      </c>
      <c r="AA1587" s="13" t="s">
        <v>874</v>
      </c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</row>
    <row r="1588" ht="14.25" hidden="1" customHeight="1">
      <c r="A1588" s="13" t="s">
        <v>46</v>
      </c>
      <c r="B1588" s="34" t="s">
        <v>53</v>
      </c>
      <c r="C1588" s="13" t="s">
        <v>883</v>
      </c>
      <c r="D1588" s="13"/>
      <c r="E1588" s="13" t="str">
        <f t="shared" si="735"/>
        <v>PALM,B47,,1</v>
      </c>
      <c r="F1588" s="13"/>
      <c r="G1588" s="13" t="s">
        <v>111</v>
      </c>
      <c r="H1588" s="13" t="s">
        <v>75</v>
      </c>
      <c r="I1588" s="14">
        <v>44908.0</v>
      </c>
      <c r="J1588" s="14"/>
      <c r="K1588" s="15">
        <v>1.0</v>
      </c>
      <c r="L1588" s="15">
        <v>1.0</v>
      </c>
      <c r="M1588" s="16"/>
      <c r="N1588" s="16"/>
      <c r="O1588" s="17">
        <v>1.0</v>
      </c>
      <c r="P1588" s="17">
        <v>1.0</v>
      </c>
      <c r="Q1588" s="13">
        <f t="shared" si="1648"/>
        <v>3.166666667</v>
      </c>
      <c r="R1588" s="14">
        <v>44971.0</v>
      </c>
      <c r="S1588" s="13"/>
      <c r="T1588" s="13">
        <f t="shared" ref="T1588:Y1588" si="1653">IF(ISBLANK(K1588)=TRUE,0,1)</f>
        <v>1</v>
      </c>
      <c r="U1588" s="13">
        <f t="shared" si="1653"/>
        <v>1</v>
      </c>
      <c r="V1588" s="13">
        <f t="shared" si="1653"/>
        <v>0</v>
      </c>
      <c r="W1588" s="13">
        <f t="shared" si="1653"/>
        <v>0</v>
      </c>
      <c r="X1588" s="13">
        <f t="shared" si="1653"/>
        <v>1</v>
      </c>
      <c r="Y1588" s="13">
        <f t="shared" si="1653"/>
        <v>1</v>
      </c>
      <c r="Z1588" s="13">
        <f t="shared" si="529"/>
        <v>1</v>
      </c>
      <c r="AA1588" s="13" t="s">
        <v>874</v>
      </c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</row>
    <row r="1589" ht="14.25" hidden="1" customHeight="1">
      <c r="A1589" s="13" t="s">
        <v>46</v>
      </c>
      <c r="B1589" s="34" t="s">
        <v>53</v>
      </c>
      <c r="C1589" s="13" t="s">
        <v>884</v>
      </c>
      <c r="D1589" s="13"/>
      <c r="E1589" s="13" t="str">
        <f t="shared" si="735"/>
        <v>PALM,B48,,1</v>
      </c>
      <c r="F1589" s="13"/>
      <c r="G1589" s="13" t="s">
        <v>111</v>
      </c>
      <c r="H1589" s="13" t="s">
        <v>75</v>
      </c>
      <c r="I1589" s="14">
        <v>44908.0</v>
      </c>
      <c r="J1589" s="14"/>
      <c r="K1589" s="15">
        <v>1.0</v>
      </c>
      <c r="L1589" s="15">
        <v>1.0</v>
      </c>
      <c r="M1589" s="16"/>
      <c r="N1589" s="16"/>
      <c r="O1589" s="17">
        <v>1.0</v>
      </c>
      <c r="P1589" s="17">
        <v>1.0</v>
      </c>
      <c r="Q1589" s="13">
        <f t="shared" si="1648"/>
        <v>3.166666667</v>
      </c>
      <c r="R1589" s="14">
        <v>44971.0</v>
      </c>
      <c r="S1589" s="13"/>
      <c r="T1589" s="13">
        <f t="shared" ref="T1589:Y1589" si="1654">IF(ISBLANK(K1589)=TRUE,0,1)</f>
        <v>1</v>
      </c>
      <c r="U1589" s="13">
        <f t="shared" si="1654"/>
        <v>1</v>
      </c>
      <c r="V1589" s="13">
        <f t="shared" si="1654"/>
        <v>0</v>
      </c>
      <c r="W1589" s="13">
        <f t="shared" si="1654"/>
        <v>0</v>
      </c>
      <c r="X1589" s="13">
        <f t="shared" si="1654"/>
        <v>1</v>
      </c>
      <c r="Y1589" s="13">
        <f t="shared" si="1654"/>
        <v>1</v>
      </c>
      <c r="Z1589" s="13">
        <f t="shared" si="529"/>
        <v>1</v>
      </c>
      <c r="AA1589" s="13" t="s">
        <v>874</v>
      </c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</row>
    <row r="1590" ht="14.25" hidden="1" customHeight="1">
      <c r="A1590" s="13" t="s">
        <v>46</v>
      </c>
      <c r="B1590" s="34" t="s">
        <v>53</v>
      </c>
      <c r="C1590" s="13" t="s">
        <v>885</v>
      </c>
      <c r="D1590" s="13"/>
      <c r="E1590" s="13" t="str">
        <f t="shared" si="735"/>
        <v>PALM,B5,,1</v>
      </c>
      <c r="F1590" s="13"/>
      <c r="G1590" s="13" t="s">
        <v>111</v>
      </c>
      <c r="H1590" s="13" t="s">
        <v>75</v>
      </c>
      <c r="I1590" s="14">
        <v>44907.0</v>
      </c>
      <c r="J1590" s="14"/>
      <c r="K1590" s="15">
        <v>1.0</v>
      </c>
      <c r="L1590" s="15">
        <v>1.0</v>
      </c>
      <c r="M1590" s="16"/>
      <c r="N1590" s="16"/>
      <c r="O1590" s="17">
        <v>1.0</v>
      </c>
      <c r="P1590" s="17">
        <v>1.0</v>
      </c>
      <c r="Q1590" s="13">
        <f t="shared" si="1648"/>
        <v>3.166666667</v>
      </c>
      <c r="R1590" s="14">
        <v>44971.0</v>
      </c>
      <c r="S1590" s="13"/>
      <c r="T1590" s="13">
        <f t="shared" ref="T1590:Y1590" si="1655">IF(ISBLANK(K1590)=TRUE,0,1)</f>
        <v>1</v>
      </c>
      <c r="U1590" s="13">
        <f t="shared" si="1655"/>
        <v>1</v>
      </c>
      <c r="V1590" s="13">
        <f t="shared" si="1655"/>
        <v>0</v>
      </c>
      <c r="W1590" s="13">
        <f t="shared" si="1655"/>
        <v>0</v>
      </c>
      <c r="X1590" s="13">
        <f t="shared" si="1655"/>
        <v>1</v>
      </c>
      <c r="Y1590" s="13">
        <f t="shared" si="1655"/>
        <v>1</v>
      </c>
      <c r="Z1590" s="13">
        <f t="shared" si="529"/>
        <v>1</v>
      </c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</row>
    <row r="1591" ht="14.25" hidden="1" customHeight="1">
      <c r="A1591" s="13" t="s">
        <v>46</v>
      </c>
      <c r="B1591" s="34" t="s">
        <v>53</v>
      </c>
      <c r="C1591" s="13" t="s">
        <v>886</v>
      </c>
      <c r="D1591" s="13"/>
      <c r="E1591" s="13" t="str">
        <f t="shared" si="735"/>
        <v>PALM,B50,,NA</v>
      </c>
      <c r="F1591" s="13"/>
      <c r="G1591" s="13" t="s">
        <v>111</v>
      </c>
      <c r="H1591" s="13" t="s">
        <v>75</v>
      </c>
      <c r="I1591" s="14">
        <v>44908.0</v>
      </c>
      <c r="J1591" s="14"/>
      <c r="K1591" s="15"/>
      <c r="L1591" s="15"/>
      <c r="M1591" s="16"/>
      <c r="N1591" s="16"/>
      <c r="O1591" s="17"/>
      <c r="P1591" s="17"/>
      <c r="Q1591" s="13">
        <f t="shared" si="1648"/>
        <v>3.166666667</v>
      </c>
      <c r="R1591" s="13"/>
      <c r="S1591" s="13"/>
      <c r="T1591" s="13">
        <f t="shared" ref="T1591:Y1591" si="1656">IF(ISBLANK(K1591)=TRUE,0,1)</f>
        <v>0</v>
      </c>
      <c r="U1591" s="13">
        <f t="shared" si="1656"/>
        <v>0</v>
      </c>
      <c r="V1591" s="13">
        <f t="shared" si="1656"/>
        <v>0</v>
      </c>
      <c r="W1591" s="13">
        <f t="shared" si="1656"/>
        <v>0</v>
      </c>
      <c r="X1591" s="13">
        <f t="shared" si="1656"/>
        <v>0</v>
      </c>
      <c r="Y1591" s="13">
        <f t="shared" si="1656"/>
        <v>0</v>
      </c>
      <c r="Z1591" s="13" t="str">
        <f t="shared" si="529"/>
        <v>NA</v>
      </c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</row>
    <row r="1592" ht="14.25" hidden="1" customHeight="1">
      <c r="A1592" s="13" t="s">
        <v>46</v>
      </c>
      <c r="B1592" s="34" t="s">
        <v>53</v>
      </c>
      <c r="C1592" s="13" t="s">
        <v>887</v>
      </c>
      <c r="D1592" s="13"/>
      <c r="E1592" s="13" t="str">
        <f t="shared" si="735"/>
        <v>PALM,B53,,NA</v>
      </c>
      <c r="F1592" s="13"/>
      <c r="G1592" s="13" t="s">
        <v>111</v>
      </c>
      <c r="H1592" s="13" t="s">
        <v>75</v>
      </c>
      <c r="I1592" s="14">
        <v>44908.0</v>
      </c>
      <c r="J1592" s="14"/>
      <c r="K1592" s="15"/>
      <c r="L1592" s="15"/>
      <c r="M1592" s="16"/>
      <c r="N1592" s="16"/>
      <c r="O1592" s="17"/>
      <c r="P1592" s="17"/>
      <c r="Q1592" s="13">
        <f t="shared" si="1648"/>
        <v>0</v>
      </c>
      <c r="R1592" s="13"/>
      <c r="S1592" s="13"/>
      <c r="T1592" s="13">
        <f t="shared" ref="T1592:Y1592" si="1657">IF(ISBLANK(K1592)=TRUE,0,1)</f>
        <v>0</v>
      </c>
      <c r="U1592" s="13">
        <f t="shared" si="1657"/>
        <v>0</v>
      </c>
      <c r="V1592" s="13">
        <f t="shared" si="1657"/>
        <v>0</v>
      </c>
      <c r="W1592" s="13">
        <f t="shared" si="1657"/>
        <v>0</v>
      </c>
      <c r="X1592" s="13">
        <f t="shared" si="1657"/>
        <v>0</v>
      </c>
      <c r="Y1592" s="13">
        <f t="shared" si="1657"/>
        <v>0</v>
      </c>
      <c r="Z1592" s="13" t="str">
        <f t="shared" si="529"/>
        <v>NA</v>
      </c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</row>
    <row r="1593" ht="14.25" hidden="1" customHeight="1">
      <c r="A1593" s="13" t="s">
        <v>46</v>
      </c>
      <c r="B1593" s="34" t="s">
        <v>53</v>
      </c>
      <c r="C1593" s="13" t="s">
        <v>888</v>
      </c>
      <c r="D1593" s="13"/>
      <c r="E1593" s="13" t="str">
        <f t="shared" si="735"/>
        <v>PALM,B55,,1</v>
      </c>
      <c r="F1593" s="13"/>
      <c r="G1593" s="13" t="s">
        <v>111</v>
      </c>
      <c r="H1593" s="13" t="s">
        <v>75</v>
      </c>
      <c r="I1593" s="14">
        <v>44908.0</v>
      </c>
      <c r="J1593" s="14"/>
      <c r="K1593" s="15"/>
      <c r="L1593" s="15"/>
      <c r="M1593" s="16"/>
      <c r="N1593" s="16"/>
      <c r="O1593" s="17">
        <v>1.0</v>
      </c>
      <c r="P1593" s="17">
        <v>1.0</v>
      </c>
      <c r="Q1593" s="13">
        <f t="shared" si="1648"/>
        <v>0</v>
      </c>
      <c r="R1593" s="14">
        <v>44966.0</v>
      </c>
      <c r="S1593" s="13"/>
      <c r="T1593" s="13">
        <f t="shared" ref="T1593:Y1593" si="1658">IF(ISBLANK(K1593)=TRUE,0,1)</f>
        <v>0</v>
      </c>
      <c r="U1593" s="13">
        <f t="shared" si="1658"/>
        <v>0</v>
      </c>
      <c r="V1593" s="13">
        <f t="shared" si="1658"/>
        <v>0</v>
      </c>
      <c r="W1593" s="13">
        <f t="shared" si="1658"/>
        <v>0</v>
      </c>
      <c r="X1593" s="13">
        <f t="shared" si="1658"/>
        <v>1</v>
      </c>
      <c r="Y1593" s="13">
        <f t="shared" si="1658"/>
        <v>1</v>
      </c>
      <c r="Z1593" s="13">
        <f t="shared" si="529"/>
        <v>1</v>
      </c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</row>
    <row r="1594" ht="14.25" hidden="1" customHeight="1">
      <c r="A1594" s="13" t="s">
        <v>46</v>
      </c>
      <c r="B1594" s="34" t="s">
        <v>53</v>
      </c>
      <c r="C1594" s="13" t="s">
        <v>889</v>
      </c>
      <c r="D1594" s="13"/>
      <c r="E1594" s="13" t="str">
        <f t="shared" si="735"/>
        <v>PALM,B57,,1</v>
      </c>
      <c r="F1594" s="13"/>
      <c r="G1594" s="13" t="s">
        <v>111</v>
      </c>
      <c r="H1594" s="13" t="s">
        <v>75</v>
      </c>
      <c r="I1594" s="14">
        <v>44908.0</v>
      </c>
      <c r="J1594" s="14"/>
      <c r="K1594" s="15">
        <v>1.0</v>
      </c>
      <c r="L1594" s="15">
        <v>1.0</v>
      </c>
      <c r="M1594" s="16"/>
      <c r="N1594" s="16"/>
      <c r="O1594" s="17">
        <v>1.0</v>
      </c>
      <c r="P1594" s="17">
        <v>1.0</v>
      </c>
      <c r="Q1594" s="13">
        <f t="shared" si="1648"/>
        <v>1.166666667</v>
      </c>
      <c r="R1594" s="14">
        <v>44966.0</v>
      </c>
      <c r="S1594" s="13"/>
      <c r="T1594" s="13">
        <f t="shared" ref="T1594:Y1594" si="1659">IF(ISBLANK(K1594)=TRUE,0,1)</f>
        <v>1</v>
      </c>
      <c r="U1594" s="13">
        <f t="shared" si="1659"/>
        <v>1</v>
      </c>
      <c r="V1594" s="13">
        <f t="shared" si="1659"/>
        <v>0</v>
      </c>
      <c r="W1594" s="13">
        <f t="shared" si="1659"/>
        <v>0</v>
      </c>
      <c r="X1594" s="13">
        <f t="shared" si="1659"/>
        <v>1</v>
      </c>
      <c r="Y1594" s="13">
        <f t="shared" si="1659"/>
        <v>1</v>
      </c>
      <c r="Z1594" s="13">
        <f t="shared" si="529"/>
        <v>1</v>
      </c>
      <c r="AA1594" s="13" t="s">
        <v>819</v>
      </c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</row>
    <row r="1595" ht="14.25" hidden="1" customHeight="1">
      <c r="A1595" s="13" t="s">
        <v>46</v>
      </c>
      <c r="B1595" s="34" t="s">
        <v>53</v>
      </c>
      <c r="C1595" s="13" t="s">
        <v>890</v>
      </c>
      <c r="D1595" s="13"/>
      <c r="E1595" s="13" t="str">
        <f t="shared" si="735"/>
        <v>PALM,B58,,1</v>
      </c>
      <c r="F1595" s="13"/>
      <c r="G1595" s="13" t="s">
        <v>111</v>
      </c>
      <c r="H1595" s="13" t="s">
        <v>75</v>
      </c>
      <c r="I1595" s="14">
        <v>44908.0</v>
      </c>
      <c r="J1595" s="14"/>
      <c r="K1595" s="15"/>
      <c r="L1595" s="15"/>
      <c r="M1595" s="16"/>
      <c r="N1595" s="16"/>
      <c r="O1595" s="17">
        <v>1.0</v>
      </c>
      <c r="P1595" s="17">
        <v>1.0</v>
      </c>
      <c r="Q1595" s="13">
        <f t="shared" si="1648"/>
        <v>3.166666667</v>
      </c>
      <c r="R1595" s="14">
        <v>44966.0</v>
      </c>
      <c r="S1595" s="13"/>
      <c r="T1595" s="13">
        <f t="shared" ref="T1595:Y1595" si="1660">IF(ISBLANK(K1595)=TRUE,0,1)</f>
        <v>0</v>
      </c>
      <c r="U1595" s="13">
        <f t="shared" si="1660"/>
        <v>0</v>
      </c>
      <c r="V1595" s="13">
        <f t="shared" si="1660"/>
        <v>0</v>
      </c>
      <c r="W1595" s="13">
        <f t="shared" si="1660"/>
        <v>0</v>
      </c>
      <c r="X1595" s="13">
        <f t="shared" si="1660"/>
        <v>1</v>
      </c>
      <c r="Y1595" s="13">
        <f t="shared" si="1660"/>
        <v>1</v>
      </c>
      <c r="Z1595" s="13">
        <f t="shared" si="529"/>
        <v>1</v>
      </c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</row>
    <row r="1596" ht="14.25" hidden="1" customHeight="1">
      <c r="A1596" s="13" t="s">
        <v>46</v>
      </c>
      <c r="B1596" s="34" t="s">
        <v>53</v>
      </c>
      <c r="C1596" s="13" t="s">
        <v>891</v>
      </c>
      <c r="D1596" s="13"/>
      <c r="E1596" s="13" t="str">
        <f t="shared" si="735"/>
        <v>PALM,B60,,1</v>
      </c>
      <c r="F1596" s="13"/>
      <c r="G1596" s="13" t="s">
        <v>111</v>
      </c>
      <c r="H1596" s="13" t="s">
        <v>75</v>
      </c>
      <c r="I1596" s="14">
        <v>44908.0</v>
      </c>
      <c r="J1596" s="14"/>
      <c r="K1596" s="15">
        <v>1.0</v>
      </c>
      <c r="L1596" s="15">
        <v>1.0</v>
      </c>
      <c r="M1596" s="16"/>
      <c r="N1596" s="16"/>
      <c r="O1596" s="17">
        <v>1.0</v>
      </c>
      <c r="P1596" s="17">
        <v>1.0</v>
      </c>
      <c r="Q1596" s="13">
        <f t="shared" si="1648"/>
        <v>1.166666667</v>
      </c>
      <c r="R1596" s="14">
        <v>44966.0</v>
      </c>
      <c r="S1596" s="13"/>
      <c r="T1596" s="13">
        <f t="shared" ref="T1596:Y1596" si="1661">IF(ISBLANK(K1596)=TRUE,0,1)</f>
        <v>1</v>
      </c>
      <c r="U1596" s="13">
        <f t="shared" si="1661"/>
        <v>1</v>
      </c>
      <c r="V1596" s="13">
        <f t="shared" si="1661"/>
        <v>0</v>
      </c>
      <c r="W1596" s="13">
        <f t="shared" si="1661"/>
        <v>0</v>
      </c>
      <c r="X1596" s="13">
        <f t="shared" si="1661"/>
        <v>1</v>
      </c>
      <c r="Y1596" s="13">
        <f t="shared" si="1661"/>
        <v>1</v>
      </c>
      <c r="Z1596" s="13">
        <f t="shared" si="529"/>
        <v>1</v>
      </c>
      <c r="AA1596" s="13" t="s">
        <v>846</v>
      </c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</row>
    <row r="1597" ht="14.25" hidden="1" customHeight="1">
      <c r="A1597" s="13" t="s">
        <v>46</v>
      </c>
      <c r="B1597" s="34" t="s">
        <v>53</v>
      </c>
      <c r="C1597" s="13" t="s">
        <v>891</v>
      </c>
      <c r="D1597" s="13"/>
      <c r="E1597" s="13" t="str">
        <f t="shared" si="735"/>
        <v>PALM,B60,,1</v>
      </c>
      <c r="F1597" s="13"/>
      <c r="G1597" s="13" t="s">
        <v>111</v>
      </c>
      <c r="H1597" s="13" t="s">
        <v>75</v>
      </c>
      <c r="I1597" s="14"/>
      <c r="J1597" s="14"/>
      <c r="K1597" s="15">
        <v>1.0</v>
      </c>
      <c r="L1597" s="15">
        <v>1.0</v>
      </c>
      <c r="M1597" s="16"/>
      <c r="N1597" s="16"/>
      <c r="O1597" s="17">
        <v>1.0</v>
      </c>
      <c r="P1597" s="17">
        <v>1.0</v>
      </c>
      <c r="Q1597" s="13"/>
      <c r="R1597" s="14"/>
      <c r="S1597" s="13"/>
      <c r="T1597" s="13">
        <f t="shared" ref="T1597:Y1597" si="1662">IF(ISBLANK(K1597)=TRUE,0,1)</f>
        <v>1</v>
      </c>
      <c r="U1597" s="13">
        <f t="shared" si="1662"/>
        <v>1</v>
      </c>
      <c r="V1597" s="13">
        <f t="shared" si="1662"/>
        <v>0</v>
      </c>
      <c r="W1597" s="13">
        <f t="shared" si="1662"/>
        <v>0</v>
      </c>
      <c r="X1597" s="13">
        <f t="shared" si="1662"/>
        <v>1</v>
      </c>
      <c r="Y1597" s="13">
        <f t="shared" si="1662"/>
        <v>1</v>
      </c>
      <c r="Z1597" s="13">
        <f t="shared" si="529"/>
        <v>1</v>
      </c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</row>
    <row r="1598" ht="14.25" hidden="1" customHeight="1">
      <c r="A1598" s="13" t="s">
        <v>46</v>
      </c>
      <c r="B1598" s="34" t="s">
        <v>53</v>
      </c>
      <c r="C1598" s="13" t="s">
        <v>891</v>
      </c>
      <c r="D1598" s="13"/>
      <c r="E1598" s="13" t="str">
        <f t="shared" si="735"/>
        <v>PALM,B60,,1</v>
      </c>
      <c r="F1598" s="13"/>
      <c r="G1598" s="13" t="s">
        <v>111</v>
      </c>
      <c r="H1598" s="13" t="s">
        <v>75</v>
      </c>
      <c r="I1598" s="14"/>
      <c r="J1598" s="14"/>
      <c r="K1598" s="15">
        <v>1.0</v>
      </c>
      <c r="L1598" s="15">
        <v>1.0</v>
      </c>
      <c r="M1598" s="16"/>
      <c r="N1598" s="16"/>
      <c r="O1598" s="17">
        <v>1.0</v>
      </c>
      <c r="P1598" s="17">
        <v>1.0</v>
      </c>
      <c r="Q1598" s="13"/>
      <c r="R1598" s="14"/>
      <c r="S1598" s="13"/>
      <c r="T1598" s="13">
        <f t="shared" ref="T1598:Y1598" si="1663">IF(ISBLANK(K1598)=TRUE,0,1)</f>
        <v>1</v>
      </c>
      <c r="U1598" s="13">
        <f t="shared" si="1663"/>
        <v>1</v>
      </c>
      <c r="V1598" s="13">
        <f t="shared" si="1663"/>
        <v>0</v>
      </c>
      <c r="W1598" s="13">
        <f t="shared" si="1663"/>
        <v>0</v>
      </c>
      <c r="X1598" s="13">
        <f t="shared" si="1663"/>
        <v>1</v>
      </c>
      <c r="Y1598" s="13">
        <f t="shared" si="1663"/>
        <v>1</v>
      </c>
      <c r="Z1598" s="13">
        <f t="shared" si="529"/>
        <v>1</v>
      </c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</row>
    <row r="1599" ht="14.25" hidden="1" customHeight="1">
      <c r="A1599" s="13" t="s">
        <v>46</v>
      </c>
      <c r="B1599" s="34" t="s">
        <v>53</v>
      </c>
      <c r="C1599" s="13" t="s">
        <v>892</v>
      </c>
      <c r="D1599" s="13"/>
      <c r="E1599" s="13" t="str">
        <f t="shared" si="735"/>
        <v>PALM,B61,,1</v>
      </c>
      <c r="F1599" s="13"/>
      <c r="G1599" s="13" t="s">
        <v>111</v>
      </c>
      <c r="H1599" s="13" t="s">
        <v>75</v>
      </c>
      <c r="I1599" s="14">
        <v>44908.0</v>
      </c>
      <c r="J1599" s="14"/>
      <c r="K1599" s="15"/>
      <c r="L1599" s="15"/>
      <c r="M1599" s="16"/>
      <c r="N1599" s="16"/>
      <c r="O1599" s="17">
        <v>1.0</v>
      </c>
      <c r="P1599" s="17">
        <v>1.0</v>
      </c>
      <c r="Q1599" s="13">
        <f>K1596+L1596+M1596+N1596+O1596+P1596/6</f>
        <v>3.166666667</v>
      </c>
      <c r="R1599" s="14">
        <v>44966.0</v>
      </c>
      <c r="S1599" s="13"/>
      <c r="T1599" s="13">
        <f t="shared" ref="T1599:Y1599" si="1664">IF(ISBLANK(K1599)=TRUE,0,1)</f>
        <v>0</v>
      </c>
      <c r="U1599" s="13">
        <f t="shared" si="1664"/>
        <v>0</v>
      </c>
      <c r="V1599" s="13">
        <f t="shared" si="1664"/>
        <v>0</v>
      </c>
      <c r="W1599" s="13">
        <f t="shared" si="1664"/>
        <v>0</v>
      </c>
      <c r="X1599" s="13">
        <f t="shared" si="1664"/>
        <v>1</v>
      </c>
      <c r="Y1599" s="13">
        <f t="shared" si="1664"/>
        <v>1</v>
      </c>
      <c r="Z1599" s="13">
        <f t="shared" si="529"/>
        <v>1</v>
      </c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</row>
    <row r="1600" ht="14.25" hidden="1" customHeight="1">
      <c r="A1600" s="13" t="s">
        <v>46</v>
      </c>
      <c r="B1600" s="34" t="s">
        <v>53</v>
      </c>
      <c r="C1600" s="13" t="s">
        <v>893</v>
      </c>
      <c r="D1600" s="13"/>
      <c r="E1600" s="13" t="str">
        <f t="shared" si="735"/>
        <v>PALM,B62,,1</v>
      </c>
      <c r="F1600" s="13"/>
      <c r="G1600" s="13" t="s">
        <v>111</v>
      </c>
      <c r="H1600" s="13" t="s">
        <v>75</v>
      </c>
      <c r="I1600" s="14">
        <v>44908.0</v>
      </c>
      <c r="J1600" s="14"/>
      <c r="K1600" s="15"/>
      <c r="L1600" s="15"/>
      <c r="M1600" s="16"/>
      <c r="N1600" s="16"/>
      <c r="O1600" s="17">
        <v>1.0</v>
      </c>
      <c r="P1600" s="17">
        <v>1.0</v>
      </c>
      <c r="Q1600" s="13">
        <f t="shared" ref="Q1600:Q1614" si="1666">K1599+L1599+M1599+N1599+O1599+P1599/6</f>
        <v>1.166666667</v>
      </c>
      <c r="R1600" s="14">
        <v>44966.0</v>
      </c>
      <c r="S1600" s="13"/>
      <c r="T1600" s="13">
        <f t="shared" ref="T1600:Y1600" si="1665">IF(ISBLANK(K1600)=TRUE,0,1)</f>
        <v>0</v>
      </c>
      <c r="U1600" s="13">
        <f t="shared" si="1665"/>
        <v>0</v>
      </c>
      <c r="V1600" s="13">
        <f t="shared" si="1665"/>
        <v>0</v>
      </c>
      <c r="W1600" s="13">
        <f t="shared" si="1665"/>
        <v>0</v>
      </c>
      <c r="X1600" s="13">
        <f t="shared" si="1665"/>
        <v>1</v>
      </c>
      <c r="Y1600" s="13">
        <f t="shared" si="1665"/>
        <v>1</v>
      </c>
      <c r="Z1600" s="13">
        <f t="shared" si="529"/>
        <v>1</v>
      </c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</row>
    <row r="1601" ht="14.25" hidden="1" customHeight="1">
      <c r="A1601" s="13" t="s">
        <v>46</v>
      </c>
      <c r="B1601" s="34" t="s">
        <v>53</v>
      </c>
      <c r="C1601" s="13" t="s">
        <v>894</v>
      </c>
      <c r="D1601" s="13"/>
      <c r="E1601" s="13" t="str">
        <f t="shared" si="735"/>
        <v>PALM,B63,,NA</v>
      </c>
      <c r="F1601" s="13"/>
      <c r="G1601" s="13" t="s">
        <v>111</v>
      </c>
      <c r="H1601" s="13" t="s">
        <v>75</v>
      </c>
      <c r="I1601" s="14">
        <v>44908.0</v>
      </c>
      <c r="J1601" s="14"/>
      <c r="K1601" s="15"/>
      <c r="L1601" s="15"/>
      <c r="M1601" s="16"/>
      <c r="N1601" s="16"/>
      <c r="O1601" s="17"/>
      <c r="P1601" s="17"/>
      <c r="Q1601" s="13">
        <f t="shared" si="1666"/>
        <v>1.166666667</v>
      </c>
      <c r="R1601" s="13"/>
      <c r="S1601" s="13"/>
      <c r="T1601" s="13">
        <f t="shared" ref="T1601:Y1601" si="1667">IF(ISBLANK(K1601)=TRUE,0,1)</f>
        <v>0</v>
      </c>
      <c r="U1601" s="13">
        <f t="shared" si="1667"/>
        <v>0</v>
      </c>
      <c r="V1601" s="13">
        <f t="shared" si="1667"/>
        <v>0</v>
      </c>
      <c r="W1601" s="13">
        <f t="shared" si="1667"/>
        <v>0</v>
      </c>
      <c r="X1601" s="13">
        <f t="shared" si="1667"/>
        <v>0</v>
      </c>
      <c r="Y1601" s="13">
        <f t="shared" si="1667"/>
        <v>0</v>
      </c>
      <c r="Z1601" s="13" t="str">
        <f t="shared" si="529"/>
        <v>NA</v>
      </c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</row>
    <row r="1602" ht="14.25" hidden="1" customHeight="1">
      <c r="A1602" s="13" t="s">
        <v>46</v>
      </c>
      <c r="B1602" s="34" t="s">
        <v>53</v>
      </c>
      <c r="C1602" s="13" t="s">
        <v>895</v>
      </c>
      <c r="D1602" s="13"/>
      <c r="E1602" s="13" t="str">
        <f t="shared" si="735"/>
        <v>PALM,B64,,1</v>
      </c>
      <c r="F1602" s="13"/>
      <c r="G1602" s="13" t="s">
        <v>111</v>
      </c>
      <c r="H1602" s="13" t="s">
        <v>75</v>
      </c>
      <c r="I1602" s="14">
        <v>44908.0</v>
      </c>
      <c r="J1602" s="14"/>
      <c r="K1602" s="15"/>
      <c r="L1602" s="15"/>
      <c r="M1602" s="16"/>
      <c r="N1602" s="16"/>
      <c r="O1602" s="17">
        <v>1.0</v>
      </c>
      <c r="P1602" s="17">
        <v>1.0</v>
      </c>
      <c r="Q1602" s="13">
        <f t="shared" si="1666"/>
        <v>0</v>
      </c>
      <c r="R1602" s="14">
        <v>44966.0</v>
      </c>
      <c r="S1602" s="13"/>
      <c r="T1602" s="13">
        <f t="shared" ref="T1602:Y1602" si="1668">IF(ISBLANK(K1602)=TRUE,0,1)</f>
        <v>0</v>
      </c>
      <c r="U1602" s="13">
        <f t="shared" si="1668"/>
        <v>0</v>
      </c>
      <c r="V1602" s="13">
        <f t="shared" si="1668"/>
        <v>0</v>
      </c>
      <c r="W1602" s="13">
        <f t="shared" si="1668"/>
        <v>0</v>
      </c>
      <c r="X1602" s="13">
        <f t="shared" si="1668"/>
        <v>1</v>
      </c>
      <c r="Y1602" s="13">
        <f t="shared" si="1668"/>
        <v>1</v>
      </c>
      <c r="Z1602" s="13">
        <f t="shared" si="529"/>
        <v>1</v>
      </c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</row>
    <row r="1603" ht="14.25" hidden="1" customHeight="1">
      <c r="A1603" s="13" t="s">
        <v>46</v>
      </c>
      <c r="B1603" s="34" t="s">
        <v>53</v>
      </c>
      <c r="C1603" s="13" t="s">
        <v>896</v>
      </c>
      <c r="D1603" s="13"/>
      <c r="E1603" s="13" t="str">
        <f t="shared" si="735"/>
        <v>PALM,B65,,1</v>
      </c>
      <c r="F1603" s="13"/>
      <c r="G1603" s="13" t="s">
        <v>111</v>
      </c>
      <c r="H1603" s="13" t="s">
        <v>75</v>
      </c>
      <c r="I1603" s="14">
        <v>44908.0</v>
      </c>
      <c r="J1603" s="14"/>
      <c r="K1603" s="15"/>
      <c r="L1603" s="15"/>
      <c r="M1603" s="16"/>
      <c r="N1603" s="16"/>
      <c r="O1603" s="17">
        <v>1.0</v>
      </c>
      <c r="P1603" s="17">
        <v>1.0</v>
      </c>
      <c r="Q1603" s="13">
        <f t="shared" si="1666"/>
        <v>1.166666667</v>
      </c>
      <c r="R1603" s="14">
        <v>44966.0</v>
      </c>
      <c r="S1603" s="13"/>
      <c r="T1603" s="13">
        <f t="shared" ref="T1603:Y1603" si="1669">IF(ISBLANK(K1603)=TRUE,0,1)</f>
        <v>0</v>
      </c>
      <c r="U1603" s="13">
        <f t="shared" si="1669"/>
        <v>0</v>
      </c>
      <c r="V1603" s="13">
        <f t="shared" si="1669"/>
        <v>0</v>
      </c>
      <c r="W1603" s="13">
        <f t="shared" si="1669"/>
        <v>0</v>
      </c>
      <c r="X1603" s="13">
        <f t="shared" si="1669"/>
        <v>1</v>
      </c>
      <c r="Y1603" s="13">
        <f t="shared" si="1669"/>
        <v>1</v>
      </c>
      <c r="Z1603" s="13">
        <f t="shared" si="529"/>
        <v>1</v>
      </c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</row>
    <row r="1604" ht="14.25" hidden="1" customHeight="1">
      <c r="A1604" s="13" t="s">
        <v>46</v>
      </c>
      <c r="B1604" s="34" t="s">
        <v>53</v>
      </c>
      <c r="C1604" s="13" t="s">
        <v>897</v>
      </c>
      <c r="D1604" s="13"/>
      <c r="E1604" s="13" t="str">
        <f t="shared" si="735"/>
        <v>PALM,B66,,1</v>
      </c>
      <c r="F1604" s="13"/>
      <c r="G1604" s="13" t="s">
        <v>111</v>
      </c>
      <c r="H1604" s="13" t="s">
        <v>75</v>
      </c>
      <c r="I1604" s="14">
        <v>44908.0</v>
      </c>
      <c r="J1604" s="14"/>
      <c r="K1604" s="15"/>
      <c r="L1604" s="15"/>
      <c r="M1604" s="16"/>
      <c r="N1604" s="16"/>
      <c r="O1604" s="17">
        <v>1.0</v>
      </c>
      <c r="P1604" s="17">
        <v>1.0</v>
      </c>
      <c r="Q1604" s="13">
        <f t="shared" si="1666"/>
        <v>1.166666667</v>
      </c>
      <c r="R1604" s="14">
        <v>44966.0</v>
      </c>
      <c r="S1604" s="13"/>
      <c r="T1604" s="13">
        <f t="shared" ref="T1604:Y1604" si="1670">IF(ISBLANK(K1604)=TRUE,0,1)</f>
        <v>0</v>
      </c>
      <c r="U1604" s="13">
        <f t="shared" si="1670"/>
        <v>0</v>
      </c>
      <c r="V1604" s="13">
        <f t="shared" si="1670"/>
        <v>0</v>
      </c>
      <c r="W1604" s="13">
        <f t="shared" si="1670"/>
        <v>0</v>
      </c>
      <c r="X1604" s="13">
        <f t="shared" si="1670"/>
        <v>1</v>
      </c>
      <c r="Y1604" s="13">
        <f t="shared" si="1670"/>
        <v>1</v>
      </c>
      <c r="Z1604" s="13">
        <f t="shared" si="529"/>
        <v>1</v>
      </c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</row>
    <row r="1605" ht="14.25" hidden="1" customHeight="1">
      <c r="A1605" s="13" t="s">
        <v>46</v>
      </c>
      <c r="B1605" s="34" t="s">
        <v>53</v>
      </c>
      <c r="C1605" s="13" t="s">
        <v>898</v>
      </c>
      <c r="D1605" s="13"/>
      <c r="E1605" s="13" t="str">
        <f t="shared" si="735"/>
        <v>PALM,B67,,1</v>
      </c>
      <c r="F1605" s="13"/>
      <c r="G1605" s="13" t="s">
        <v>111</v>
      </c>
      <c r="H1605" s="13" t="s">
        <v>75</v>
      </c>
      <c r="I1605" s="14">
        <v>44908.0</v>
      </c>
      <c r="J1605" s="14"/>
      <c r="K1605" s="15"/>
      <c r="L1605" s="15"/>
      <c r="M1605" s="16"/>
      <c r="N1605" s="16"/>
      <c r="O1605" s="17">
        <v>1.0</v>
      </c>
      <c r="P1605" s="17">
        <v>1.0</v>
      </c>
      <c r="Q1605" s="13">
        <f t="shared" si="1666"/>
        <v>1.166666667</v>
      </c>
      <c r="R1605" s="14">
        <v>44966.0</v>
      </c>
      <c r="S1605" s="13"/>
      <c r="T1605" s="13">
        <f t="shared" ref="T1605:Y1605" si="1671">IF(ISBLANK(K1605)=TRUE,0,1)</f>
        <v>0</v>
      </c>
      <c r="U1605" s="13">
        <f t="shared" si="1671"/>
        <v>0</v>
      </c>
      <c r="V1605" s="13">
        <f t="shared" si="1671"/>
        <v>0</v>
      </c>
      <c r="W1605" s="13">
        <f t="shared" si="1671"/>
        <v>0</v>
      </c>
      <c r="X1605" s="13">
        <f t="shared" si="1671"/>
        <v>1</v>
      </c>
      <c r="Y1605" s="13">
        <f t="shared" si="1671"/>
        <v>1</v>
      </c>
      <c r="Z1605" s="13">
        <f t="shared" si="529"/>
        <v>1</v>
      </c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</row>
    <row r="1606" ht="14.25" hidden="1" customHeight="1">
      <c r="A1606" s="13" t="s">
        <v>46</v>
      </c>
      <c r="B1606" s="34" t="s">
        <v>53</v>
      </c>
      <c r="C1606" s="13" t="s">
        <v>899</v>
      </c>
      <c r="D1606" s="13"/>
      <c r="E1606" s="13" t="str">
        <f t="shared" si="735"/>
        <v>PALM,B68,,NA</v>
      </c>
      <c r="F1606" s="13"/>
      <c r="G1606" s="13" t="s">
        <v>111</v>
      </c>
      <c r="H1606" s="13" t="s">
        <v>75</v>
      </c>
      <c r="I1606" s="14">
        <v>44908.0</v>
      </c>
      <c r="J1606" s="14"/>
      <c r="K1606" s="15"/>
      <c r="L1606" s="15"/>
      <c r="M1606" s="16"/>
      <c r="N1606" s="16"/>
      <c r="O1606" s="17"/>
      <c r="P1606" s="17"/>
      <c r="Q1606" s="13">
        <f t="shared" si="1666"/>
        <v>1.166666667</v>
      </c>
      <c r="R1606" s="13"/>
      <c r="S1606" s="13"/>
      <c r="T1606" s="13">
        <f t="shared" ref="T1606:Y1606" si="1672">IF(ISBLANK(K1606)=TRUE,0,1)</f>
        <v>0</v>
      </c>
      <c r="U1606" s="13">
        <f t="shared" si="1672"/>
        <v>0</v>
      </c>
      <c r="V1606" s="13">
        <f t="shared" si="1672"/>
        <v>0</v>
      </c>
      <c r="W1606" s="13">
        <f t="shared" si="1672"/>
        <v>0</v>
      </c>
      <c r="X1606" s="13">
        <f t="shared" si="1672"/>
        <v>0</v>
      </c>
      <c r="Y1606" s="13">
        <f t="shared" si="1672"/>
        <v>0</v>
      </c>
      <c r="Z1606" s="13" t="str">
        <f t="shared" si="529"/>
        <v>NA</v>
      </c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</row>
    <row r="1607" ht="14.25" hidden="1" customHeight="1">
      <c r="A1607" s="13" t="s">
        <v>46</v>
      </c>
      <c r="B1607" s="34" t="s">
        <v>53</v>
      </c>
      <c r="C1607" s="13" t="s">
        <v>900</v>
      </c>
      <c r="D1607" s="13"/>
      <c r="E1607" s="13" t="str">
        <f t="shared" si="735"/>
        <v>PALM,B69,,1</v>
      </c>
      <c r="F1607" s="13"/>
      <c r="G1607" s="13" t="s">
        <v>111</v>
      </c>
      <c r="H1607" s="13" t="s">
        <v>75</v>
      </c>
      <c r="I1607" s="14">
        <v>44908.0</v>
      </c>
      <c r="J1607" s="14"/>
      <c r="K1607" s="15"/>
      <c r="L1607" s="15"/>
      <c r="M1607" s="16"/>
      <c r="N1607" s="16"/>
      <c r="O1607" s="17">
        <v>1.0</v>
      </c>
      <c r="P1607" s="17">
        <v>1.0</v>
      </c>
      <c r="Q1607" s="13">
        <f t="shared" si="1666"/>
        <v>0</v>
      </c>
      <c r="R1607" s="14">
        <v>44966.0</v>
      </c>
      <c r="S1607" s="13"/>
      <c r="T1607" s="13">
        <f t="shared" ref="T1607:Y1607" si="1673">IF(ISBLANK(K1607)=TRUE,0,1)</f>
        <v>0</v>
      </c>
      <c r="U1607" s="13">
        <f t="shared" si="1673"/>
        <v>0</v>
      </c>
      <c r="V1607" s="13">
        <f t="shared" si="1673"/>
        <v>0</v>
      </c>
      <c r="W1607" s="13">
        <f t="shared" si="1673"/>
        <v>0</v>
      </c>
      <c r="X1607" s="13">
        <f t="shared" si="1673"/>
        <v>1</v>
      </c>
      <c r="Y1607" s="13">
        <f t="shared" si="1673"/>
        <v>1</v>
      </c>
      <c r="Z1607" s="13">
        <f t="shared" si="529"/>
        <v>1</v>
      </c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</row>
    <row r="1608" ht="14.25" hidden="1" customHeight="1">
      <c r="A1608" s="13" t="s">
        <v>46</v>
      </c>
      <c r="B1608" s="34" t="s">
        <v>53</v>
      </c>
      <c r="C1608" s="13" t="s">
        <v>901</v>
      </c>
      <c r="D1608" s="13"/>
      <c r="E1608" s="13" t="str">
        <f t="shared" si="735"/>
        <v>PALM,B71,,NA</v>
      </c>
      <c r="F1608" s="13"/>
      <c r="G1608" s="13" t="s">
        <v>111</v>
      </c>
      <c r="H1608" s="13" t="s">
        <v>75</v>
      </c>
      <c r="I1608" s="14">
        <v>44908.0</v>
      </c>
      <c r="J1608" s="14"/>
      <c r="K1608" s="15"/>
      <c r="L1608" s="15"/>
      <c r="M1608" s="16"/>
      <c r="N1608" s="16"/>
      <c r="O1608" s="17"/>
      <c r="P1608" s="17"/>
      <c r="Q1608" s="13">
        <f t="shared" si="1666"/>
        <v>1.166666667</v>
      </c>
      <c r="R1608" s="13"/>
      <c r="S1608" s="13"/>
      <c r="T1608" s="13">
        <f t="shared" ref="T1608:Y1608" si="1674">IF(ISBLANK(K1608)=TRUE,0,1)</f>
        <v>0</v>
      </c>
      <c r="U1608" s="13">
        <f t="shared" si="1674"/>
        <v>0</v>
      </c>
      <c r="V1608" s="13">
        <f t="shared" si="1674"/>
        <v>0</v>
      </c>
      <c r="W1608" s="13">
        <f t="shared" si="1674"/>
        <v>0</v>
      </c>
      <c r="X1608" s="13">
        <f t="shared" si="1674"/>
        <v>0</v>
      </c>
      <c r="Y1608" s="13">
        <f t="shared" si="1674"/>
        <v>0</v>
      </c>
      <c r="Z1608" s="13" t="str">
        <f t="shared" si="529"/>
        <v>NA</v>
      </c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</row>
    <row r="1609" ht="14.25" hidden="1" customHeight="1">
      <c r="A1609" s="13" t="s">
        <v>46</v>
      </c>
      <c r="B1609" s="34" t="s">
        <v>53</v>
      </c>
      <c r="C1609" s="13" t="s">
        <v>902</v>
      </c>
      <c r="D1609" s="13"/>
      <c r="E1609" s="13" t="str">
        <f t="shared" si="735"/>
        <v>PALM,B72,,1</v>
      </c>
      <c r="F1609" s="13"/>
      <c r="G1609" s="13" t="s">
        <v>111</v>
      </c>
      <c r="H1609" s="13" t="s">
        <v>75</v>
      </c>
      <c r="I1609" s="14">
        <v>44908.0</v>
      </c>
      <c r="J1609" s="14"/>
      <c r="K1609" s="15"/>
      <c r="L1609" s="15"/>
      <c r="M1609" s="16"/>
      <c r="N1609" s="16"/>
      <c r="O1609" s="17">
        <v>1.0</v>
      </c>
      <c r="P1609" s="17">
        <v>1.0</v>
      </c>
      <c r="Q1609" s="13">
        <f t="shared" si="1666"/>
        <v>0</v>
      </c>
      <c r="R1609" s="14">
        <v>44966.0</v>
      </c>
      <c r="S1609" s="13"/>
      <c r="T1609" s="13">
        <f t="shared" ref="T1609:Y1609" si="1675">IF(ISBLANK(K1609)=TRUE,0,1)</f>
        <v>0</v>
      </c>
      <c r="U1609" s="13">
        <f t="shared" si="1675"/>
        <v>0</v>
      </c>
      <c r="V1609" s="13">
        <f t="shared" si="1675"/>
        <v>0</v>
      </c>
      <c r="W1609" s="13">
        <f t="shared" si="1675"/>
        <v>0</v>
      </c>
      <c r="X1609" s="13">
        <f t="shared" si="1675"/>
        <v>1</v>
      </c>
      <c r="Y1609" s="13">
        <f t="shared" si="1675"/>
        <v>1</v>
      </c>
      <c r="Z1609" s="13">
        <f t="shared" si="529"/>
        <v>1</v>
      </c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</row>
    <row r="1610" ht="14.25" hidden="1" customHeight="1">
      <c r="A1610" s="13" t="s">
        <v>46</v>
      </c>
      <c r="B1610" s="34" t="s">
        <v>53</v>
      </c>
      <c r="C1610" s="13" t="s">
        <v>903</v>
      </c>
      <c r="D1610" s="13"/>
      <c r="E1610" s="13" t="str">
        <f t="shared" si="735"/>
        <v>PALM,B73,,1</v>
      </c>
      <c r="F1610" s="13"/>
      <c r="G1610" s="13" t="s">
        <v>111</v>
      </c>
      <c r="H1610" s="13" t="s">
        <v>75</v>
      </c>
      <c r="I1610" s="14">
        <v>44908.0</v>
      </c>
      <c r="J1610" s="14"/>
      <c r="K1610" s="15"/>
      <c r="L1610" s="15"/>
      <c r="M1610" s="16"/>
      <c r="N1610" s="16"/>
      <c r="O1610" s="17">
        <v>1.0</v>
      </c>
      <c r="P1610" s="17">
        <v>1.0</v>
      </c>
      <c r="Q1610" s="13">
        <f t="shared" si="1666"/>
        <v>1.166666667</v>
      </c>
      <c r="R1610" s="14">
        <v>44966.0</v>
      </c>
      <c r="S1610" s="13"/>
      <c r="T1610" s="13">
        <f t="shared" ref="T1610:Y1610" si="1676">IF(ISBLANK(K1610)=TRUE,0,1)</f>
        <v>0</v>
      </c>
      <c r="U1610" s="13">
        <f t="shared" si="1676"/>
        <v>0</v>
      </c>
      <c r="V1610" s="13">
        <f t="shared" si="1676"/>
        <v>0</v>
      </c>
      <c r="W1610" s="13">
        <f t="shared" si="1676"/>
        <v>0</v>
      </c>
      <c r="X1610" s="13">
        <f t="shared" si="1676"/>
        <v>1</v>
      </c>
      <c r="Y1610" s="13">
        <f t="shared" si="1676"/>
        <v>1</v>
      </c>
      <c r="Z1610" s="13">
        <f t="shared" si="529"/>
        <v>1</v>
      </c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</row>
    <row r="1611" ht="14.25" hidden="1" customHeight="1">
      <c r="A1611" s="13" t="s">
        <v>46</v>
      </c>
      <c r="B1611" s="34" t="s">
        <v>53</v>
      </c>
      <c r="C1611" s="13" t="s">
        <v>904</v>
      </c>
      <c r="D1611" s="13"/>
      <c r="E1611" s="13" t="str">
        <f t="shared" si="735"/>
        <v>PALM,B74,,1</v>
      </c>
      <c r="F1611" s="13"/>
      <c r="G1611" s="13" t="s">
        <v>111</v>
      </c>
      <c r="H1611" s="13" t="s">
        <v>75</v>
      </c>
      <c r="I1611" s="14">
        <v>44908.0</v>
      </c>
      <c r="J1611" s="14"/>
      <c r="K1611" s="15"/>
      <c r="L1611" s="15"/>
      <c r="M1611" s="16"/>
      <c r="N1611" s="16"/>
      <c r="O1611" s="17">
        <v>1.0</v>
      </c>
      <c r="P1611" s="17">
        <v>1.0</v>
      </c>
      <c r="Q1611" s="13">
        <f t="shared" si="1666"/>
        <v>1.166666667</v>
      </c>
      <c r="R1611" s="14">
        <v>44966.0</v>
      </c>
      <c r="S1611" s="13"/>
      <c r="T1611" s="13">
        <f t="shared" ref="T1611:Y1611" si="1677">IF(ISBLANK(K1611)=TRUE,0,1)</f>
        <v>0</v>
      </c>
      <c r="U1611" s="13">
        <f t="shared" si="1677"/>
        <v>0</v>
      </c>
      <c r="V1611" s="13">
        <f t="shared" si="1677"/>
        <v>0</v>
      </c>
      <c r="W1611" s="13">
        <f t="shared" si="1677"/>
        <v>0</v>
      </c>
      <c r="X1611" s="13">
        <f t="shared" si="1677"/>
        <v>1</v>
      </c>
      <c r="Y1611" s="13">
        <f t="shared" si="1677"/>
        <v>1</v>
      </c>
      <c r="Z1611" s="13">
        <f t="shared" si="529"/>
        <v>1</v>
      </c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</row>
    <row r="1612" ht="14.25" hidden="1" customHeight="1">
      <c r="A1612" s="13" t="s">
        <v>46</v>
      </c>
      <c r="B1612" s="34" t="s">
        <v>53</v>
      </c>
      <c r="C1612" s="13" t="s">
        <v>905</v>
      </c>
      <c r="D1612" s="13"/>
      <c r="E1612" s="13" t="str">
        <f t="shared" si="735"/>
        <v>PALM,B75,,1</v>
      </c>
      <c r="F1612" s="13"/>
      <c r="G1612" s="13" t="s">
        <v>111</v>
      </c>
      <c r="H1612" s="13" t="s">
        <v>75</v>
      </c>
      <c r="I1612" s="14">
        <v>44908.0</v>
      </c>
      <c r="J1612" s="14"/>
      <c r="K1612" s="15"/>
      <c r="L1612" s="15"/>
      <c r="M1612" s="16"/>
      <c r="N1612" s="16"/>
      <c r="O1612" s="17">
        <v>1.0</v>
      </c>
      <c r="P1612" s="17">
        <v>1.0</v>
      </c>
      <c r="Q1612" s="13">
        <f t="shared" si="1666"/>
        <v>1.166666667</v>
      </c>
      <c r="R1612" s="14">
        <v>44966.0</v>
      </c>
      <c r="S1612" s="13"/>
      <c r="T1612" s="13">
        <f t="shared" ref="T1612:Y1612" si="1678">IF(ISBLANK(K1612)=TRUE,0,1)</f>
        <v>0</v>
      </c>
      <c r="U1612" s="13">
        <f t="shared" si="1678"/>
        <v>0</v>
      </c>
      <c r="V1612" s="13">
        <f t="shared" si="1678"/>
        <v>0</v>
      </c>
      <c r="W1612" s="13">
        <f t="shared" si="1678"/>
        <v>0</v>
      </c>
      <c r="X1612" s="13">
        <f t="shared" si="1678"/>
        <v>1</v>
      </c>
      <c r="Y1612" s="13">
        <f t="shared" si="1678"/>
        <v>1</v>
      </c>
      <c r="Z1612" s="13">
        <f t="shared" si="529"/>
        <v>1</v>
      </c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</row>
    <row r="1613" ht="14.25" hidden="1" customHeight="1">
      <c r="A1613" s="13" t="s">
        <v>46</v>
      </c>
      <c r="B1613" s="34" t="s">
        <v>53</v>
      </c>
      <c r="C1613" s="13" t="s">
        <v>906</v>
      </c>
      <c r="D1613" s="13"/>
      <c r="E1613" s="13" t="str">
        <f t="shared" si="735"/>
        <v>PALM,B8,,1</v>
      </c>
      <c r="F1613" s="13"/>
      <c r="G1613" s="13" t="s">
        <v>111</v>
      </c>
      <c r="H1613" s="13" t="s">
        <v>75</v>
      </c>
      <c r="I1613" s="14">
        <v>44907.0</v>
      </c>
      <c r="J1613" s="14"/>
      <c r="K1613" s="15">
        <v>1.0</v>
      </c>
      <c r="L1613" s="15">
        <v>1.0</v>
      </c>
      <c r="M1613" s="16"/>
      <c r="N1613" s="16"/>
      <c r="O1613" s="17">
        <v>1.0</v>
      </c>
      <c r="P1613" s="17">
        <v>1.0</v>
      </c>
      <c r="Q1613" s="13">
        <f t="shared" si="1666"/>
        <v>1.166666667</v>
      </c>
      <c r="R1613" s="14">
        <v>44971.0</v>
      </c>
      <c r="S1613" s="13"/>
      <c r="T1613" s="13">
        <f t="shared" ref="T1613:Y1613" si="1679">IF(ISBLANK(K1613)=TRUE,0,1)</f>
        <v>1</v>
      </c>
      <c r="U1613" s="13">
        <f t="shared" si="1679"/>
        <v>1</v>
      </c>
      <c r="V1613" s="13">
        <f t="shared" si="1679"/>
        <v>0</v>
      </c>
      <c r="W1613" s="13">
        <f t="shared" si="1679"/>
        <v>0</v>
      </c>
      <c r="X1613" s="13">
        <f t="shared" si="1679"/>
        <v>1</v>
      </c>
      <c r="Y1613" s="13">
        <f t="shared" si="1679"/>
        <v>1</v>
      </c>
      <c r="Z1613" s="13">
        <f t="shared" si="529"/>
        <v>1</v>
      </c>
      <c r="AA1613" s="13" t="s">
        <v>874</v>
      </c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</row>
    <row r="1614" ht="14.25" hidden="1" customHeight="1">
      <c r="A1614" s="13" t="s">
        <v>46</v>
      </c>
      <c r="B1614" s="34" t="s">
        <v>53</v>
      </c>
      <c r="C1614" s="13" t="s">
        <v>907</v>
      </c>
      <c r="D1614" s="13"/>
      <c r="E1614" s="13" t="str">
        <f t="shared" si="735"/>
        <v>PALM,B9,,1</v>
      </c>
      <c r="F1614" s="13"/>
      <c r="G1614" s="13" t="s">
        <v>111</v>
      </c>
      <c r="H1614" s="13" t="s">
        <v>75</v>
      </c>
      <c r="I1614" s="14">
        <v>44907.0</v>
      </c>
      <c r="J1614" s="14"/>
      <c r="K1614" s="15"/>
      <c r="L1614" s="15"/>
      <c r="M1614" s="16"/>
      <c r="N1614" s="16"/>
      <c r="O1614" s="17">
        <v>1.0</v>
      </c>
      <c r="P1614" s="17">
        <v>1.0</v>
      </c>
      <c r="Q1614" s="13">
        <f t="shared" si="1666"/>
        <v>3.166666667</v>
      </c>
      <c r="R1614" s="14">
        <v>44971.0</v>
      </c>
      <c r="S1614" s="13"/>
      <c r="T1614" s="13">
        <f t="shared" ref="T1614:Y1614" si="1680">IF(ISBLANK(K1614)=TRUE,0,1)</f>
        <v>0</v>
      </c>
      <c r="U1614" s="13">
        <f t="shared" si="1680"/>
        <v>0</v>
      </c>
      <c r="V1614" s="13">
        <f t="shared" si="1680"/>
        <v>0</v>
      </c>
      <c r="W1614" s="13">
        <f t="shared" si="1680"/>
        <v>0</v>
      </c>
      <c r="X1614" s="13">
        <f t="shared" si="1680"/>
        <v>1</v>
      </c>
      <c r="Y1614" s="13">
        <f t="shared" si="1680"/>
        <v>1</v>
      </c>
      <c r="Z1614" s="13">
        <f t="shared" si="529"/>
        <v>1</v>
      </c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</row>
    <row r="1615" ht="14.25" hidden="1" customHeight="1">
      <c r="A1615" s="13" t="s">
        <v>46</v>
      </c>
      <c r="B1615" s="13" t="s">
        <v>53</v>
      </c>
      <c r="C1615" s="13" t="s">
        <v>908</v>
      </c>
      <c r="D1615" s="13"/>
      <c r="E1615" s="13" t="str">
        <f t="shared" si="735"/>
        <v>PALM,G10,,1</v>
      </c>
      <c r="F1615" s="13"/>
      <c r="G1615" s="13" t="s">
        <v>111</v>
      </c>
      <c r="H1615" s="13" t="s">
        <v>75</v>
      </c>
      <c r="I1615" s="13"/>
      <c r="J1615" s="13"/>
      <c r="K1615" s="15"/>
      <c r="L1615" s="15"/>
      <c r="M1615" s="16"/>
      <c r="N1615" s="16"/>
      <c r="O1615" s="17">
        <v>1.0</v>
      </c>
      <c r="P1615" s="17">
        <v>1.0</v>
      </c>
      <c r="Q1615" s="13"/>
      <c r="R1615" s="29">
        <v>45007.0</v>
      </c>
      <c r="S1615" s="13"/>
      <c r="T1615" s="13">
        <f t="shared" ref="T1615:Y1615" si="1681">IF(ISBLANK(K1615)=TRUE,0,1)</f>
        <v>0</v>
      </c>
      <c r="U1615" s="13">
        <f t="shared" si="1681"/>
        <v>0</v>
      </c>
      <c r="V1615" s="13">
        <f t="shared" si="1681"/>
        <v>0</v>
      </c>
      <c r="W1615" s="13">
        <f t="shared" si="1681"/>
        <v>0</v>
      </c>
      <c r="X1615" s="13">
        <f t="shared" si="1681"/>
        <v>1</v>
      </c>
      <c r="Y1615" s="13">
        <f t="shared" si="1681"/>
        <v>1</v>
      </c>
      <c r="Z1615" s="13">
        <f t="shared" si="529"/>
        <v>1</v>
      </c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</row>
    <row r="1616" ht="14.25" hidden="1" customHeight="1">
      <c r="A1616" s="13" t="s">
        <v>46</v>
      </c>
      <c r="B1616" s="13" t="s">
        <v>53</v>
      </c>
      <c r="C1616" s="13" t="s">
        <v>909</v>
      </c>
      <c r="D1616" s="13"/>
      <c r="E1616" s="13" t="str">
        <f t="shared" si="735"/>
        <v>PALM,G11,,1</v>
      </c>
      <c r="F1616" s="13"/>
      <c r="G1616" s="13" t="s">
        <v>111</v>
      </c>
      <c r="H1616" s="13" t="s">
        <v>75</v>
      </c>
      <c r="I1616" s="13"/>
      <c r="J1616" s="13"/>
      <c r="K1616" s="15"/>
      <c r="L1616" s="15"/>
      <c r="M1616" s="16"/>
      <c r="N1616" s="16"/>
      <c r="O1616" s="17">
        <v>1.0</v>
      </c>
      <c r="P1616" s="17">
        <v>1.0</v>
      </c>
      <c r="Q1616" s="13"/>
      <c r="R1616" s="29">
        <v>45007.0</v>
      </c>
      <c r="S1616" s="13"/>
      <c r="T1616" s="13">
        <f t="shared" ref="T1616:Y1616" si="1682">IF(ISBLANK(K1616)=TRUE,0,1)</f>
        <v>0</v>
      </c>
      <c r="U1616" s="13">
        <f t="shared" si="1682"/>
        <v>0</v>
      </c>
      <c r="V1616" s="13">
        <f t="shared" si="1682"/>
        <v>0</v>
      </c>
      <c r="W1616" s="13">
        <f t="shared" si="1682"/>
        <v>0</v>
      </c>
      <c r="X1616" s="13">
        <f t="shared" si="1682"/>
        <v>1</v>
      </c>
      <c r="Y1616" s="13">
        <f t="shared" si="1682"/>
        <v>1</v>
      </c>
      <c r="Z1616" s="13">
        <f t="shared" si="529"/>
        <v>1</v>
      </c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</row>
    <row r="1617" ht="14.25" hidden="1" customHeight="1">
      <c r="A1617" s="13" t="s">
        <v>46</v>
      </c>
      <c r="B1617" s="13" t="s">
        <v>53</v>
      </c>
      <c r="C1617" s="13" t="s">
        <v>910</v>
      </c>
      <c r="D1617" s="13"/>
      <c r="E1617" s="13" t="str">
        <f t="shared" si="735"/>
        <v>PALM,G12,,1</v>
      </c>
      <c r="F1617" s="13"/>
      <c r="G1617" s="13" t="s">
        <v>111</v>
      </c>
      <c r="H1617" s="13" t="s">
        <v>75</v>
      </c>
      <c r="I1617" s="13"/>
      <c r="J1617" s="13"/>
      <c r="K1617" s="15"/>
      <c r="L1617" s="15"/>
      <c r="M1617" s="16"/>
      <c r="N1617" s="16"/>
      <c r="O1617" s="17">
        <v>1.0</v>
      </c>
      <c r="P1617" s="17">
        <v>1.0</v>
      </c>
      <c r="Q1617" s="13"/>
      <c r="R1617" s="29">
        <v>45007.0</v>
      </c>
      <c r="S1617" s="13"/>
      <c r="T1617" s="13">
        <f t="shared" ref="T1617:Y1617" si="1683">IF(ISBLANK(K1617)=TRUE,0,1)</f>
        <v>0</v>
      </c>
      <c r="U1617" s="13">
        <f t="shared" si="1683"/>
        <v>0</v>
      </c>
      <c r="V1617" s="13">
        <f t="shared" si="1683"/>
        <v>0</v>
      </c>
      <c r="W1617" s="13">
        <f t="shared" si="1683"/>
        <v>0</v>
      </c>
      <c r="X1617" s="13">
        <f t="shared" si="1683"/>
        <v>1</v>
      </c>
      <c r="Y1617" s="13">
        <f t="shared" si="1683"/>
        <v>1</v>
      </c>
      <c r="Z1617" s="13">
        <f t="shared" si="529"/>
        <v>1</v>
      </c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</row>
    <row r="1618" ht="14.25" hidden="1" customHeight="1">
      <c r="A1618" s="13" t="s">
        <v>46</v>
      </c>
      <c r="B1618" s="13" t="s">
        <v>53</v>
      </c>
      <c r="C1618" s="13" t="s">
        <v>911</v>
      </c>
      <c r="D1618" s="13"/>
      <c r="E1618" s="13" t="str">
        <f t="shared" si="735"/>
        <v>PALM,G13,,1</v>
      </c>
      <c r="F1618" s="13"/>
      <c r="G1618" s="13" t="s">
        <v>111</v>
      </c>
      <c r="H1618" s="13" t="s">
        <v>75</v>
      </c>
      <c r="I1618" s="13"/>
      <c r="J1618" s="13"/>
      <c r="K1618" s="15"/>
      <c r="L1618" s="15"/>
      <c r="M1618" s="16"/>
      <c r="N1618" s="16"/>
      <c r="O1618" s="17">
        <v>1.0</v>
      </c>
      <c r="P1618" s="17">
        <v>1.0</v>
      </c>
      <c r="Q1618" s="13"/>
      <c r="R1618" s="29">
        <v>45007.0</v>
      </c>
      <c r="S1618" s="13"/>
      <c r="T1618" s="13">
        <f t="shared" ref="T1618:Y1618" si="1684">IF(ISBLANK(K1618)=TRUE,0,1)</f>
        <v>0</v>
      </c>
      <c r="U1618" s="13">
        <f t="shared" si="1684"/>
        <v>0</v>
      </c>
      <c r="V1618" s="13">
        <f t="shared" si="1684"/>
        <v>0</v>
      </c>
      <c r="W1618" s="13">
        <f t="shared" si="1684"/>
        <v>0</v>
      </c>
      <c r="X1618" s="13">
        <f t="shared" si="1684"/>
        <v>1</v>
      </c>
      <c r="Y1618" s="13">
        <f t="shared" si="1684"/>
        <v>1</v>
      </c>
      <c r="Z1618" s="13">
        <f t="shared" si="529"/>
        <v>1</v>
      </c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</row>
    <row r="1619" ht="14.25" hidden="1" customHeight="1">
      <c r="A1619" s="13" t="s">
        <v>46</v>
      </c>
      <c r="B1619" s="13" t="s">
        <v>53</v>
      </c>
      <c r="C1619" s="13" t="s">
        <v>912</v>
      </c>
      <c r="D1619" s="13"/>
      <c r="E1619" s="13" t="str">
        <f t="shared" si="735"/>
        <v>PALM,G14,,1</v>
      </c>
      <c r="F1619" s="13"/>
      <c r="G1619" s="13" t="s">
        <v>111</v>
      </c>
      <c r="H1619" s="13" t="s">
        <v>75</v>
      </c>
      <c r="I1619" s="13"/>
      <c r="J1619" s="13"/>
      <c r="K1619" s="15"/>
      <c r="L1619" s="15"/>
      <c r="M1619" s="16"/>
      <c r="N1619" s="16"/>
      <c r="O1619" s="17">
        <v>1.0</v>
      </c>
      <c r="P1619" s="17">
        <v>1.0</v>
      </c>
      <c r="Q1619" s="13"/>
      <c r="R1619" s="29">
        <v>45007.0</v>
      </c>
      <c r="S1619" s="13"/>
      <c r="T1619" s="13">
        <f t="shared" ref="T1619:Y1619" si="1685">IF(ISBLANK(K1619)=TRUE,0,1)</f>
        <v>0</v>
      </c>
      <c r="U1619" s="13">
        <f t="shared" si="1685"/>
        <v>0</v>
      </c>
      <c r="V1619" s="13">
        <f t="shared" si="1685"/>
        <v>0</v>
      </c>
      <c r="W1619" s="13">
        <f t="shared" si="1685"/>
        <v>0</v>
      </c>
      <c r="X1619" s="13">
        <f t="shared" si="1685"/>
        <v>1</v>
      </c>
      <c r="Y1619" s="13">
        <f t="shared" si="1685"/>
        <v>1</v>
      </c>
      <c r="Z1619" s="13">
        <f t="shared" si="529"/>
        <v>1</v>
      </c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</row>
    <row r="1620" ht="14.25" hidden="1" customHeight="1">
      <c r="A1620" s="13" t="s">
        <v>46</v>
      </c>
      <c r="B1620" s="13" t="s">
        <v>53</v>
      </c>
      <c r="C1620" s="13" t="s">
        <v>913</v>
      </c>
      <c r="D1620" s="13"/>
      <c r="E1620" s="13" t="str">
        <f t="shared" si="735"/>
        <v>PALM,G17,,1</v>
      </c>
      <c r="F1620" s="13"/>
      <c r="G1620" s="13" t="s">
        <v>111</v>
      </c>
      <c r="H1620" s="13" t="s">
        <v>75</v>
      </c>
      <c r="I1620" s="13"/>
      <c r="J1620" s="13"/>
      <c r="K1620" s="15"/>
      <c r="L1620" s="15"/>
      <c r="M1620" s="16"/>
      <c r="N1620" s="16"/>
      <c r="O1620" s="17">
        <v>1.0</v>
      </c>
      <c r="P1620" s="17">
        <v>1.0</v>
      </c>
      <c r="Q1620" s="13"/>
      <c r="R1620" s="29">
        <v>45007.0</v>
      </c>
      <c r="S1620" s="13"/>
      <c r="T1620" s="13">
        <f t="shared" ref="T1620:Y1620" si="1686">IF(ISBLANK(K1620)=TRUE,0,1)</f>
        <v>0</v>
      </c>
      <c r="U1620" s="13">
        <f t="shared" si="1686"/>
        <v>0</v>
      </c>
      <c r="V1620" s="13">
        <f t="shared" si="1686"/>
        <v>0</v>
      </c>
      <c r="W1620" s="13">
        <f t="shared" si="1686"/>
        <v>0</v>
      </c>
      <c r="X1620" s="13">
        <f t="shared" si="1686"/>
        <v>1</v>
      </c>
      <c r="Y1620" s="13">
        <f t="shared" si="1686"/>
        <v>1</v>
      </c>
      <c r="Z1620" s="13">
        <f t="shared" si="529"/>
        <v>1</v>
      </c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</row>
    <row r="1621" ht="14.25" hidden="1" customHeight="1">
      <c r="A1621" s="13" t="s">
        <v>46</v>
      </c>
      <c r="B1621" s="13" t="s">
        <v>53</v>
      </c>
      <c r="C1621" s="13" t="s">
        <v>914</v>
      </c>
      <c r="D1621" s="13"/>
      <c r="E1621" s="13" t="str">
        <f t="shared" si="735"/>
        <v>PALM,G18,,1</v>
      </c>
      <c r="F1621" s="13"/>
      <c r="G1621" s="13" t="s">
        <v>111</v>
      </c>
      <c r="H1621" s="13" t="s">
        <v>75</v>
      </c>
      <c r="I1621" s="13"/>
      <c r="J1621" s="13"/>
      <c r="K1621" s="15"/>
      <c r="L1621" s="15"/>
      <c r="M1621" s="16"/>
      <c r="N1621" s="16"/>
      <c r="O1621" s="17">
        <v>1.0</v>
      </c>
      <c r="P1621" s="17">
        <v>1.0</v>
      </c>
      <c r="Q1621" s="13"/>
      <c r="R1621" s="29">
        <v>45007.0</v>
      </c>
      <c r="S1621" s="13"/>
      <c r="T1621" s="13">
        <f t="shared" ref="T1621:Y1621" si="1687">IF(ISBLANK(K1621)=TRUE,0,1)</f>
        <v>0</v>
      </c>
      <c r="U1621" s="13">
        <f t="shared" si="1687"/>
        <v>0</v>
      </c>
      <c r="V1621" s="13">
        <f t="shared" si="1687"/>
        <v>0</v>
      </c>
      <c r="W1621" s="13">
        <f t="shared" si="1687"/>
        <v>0</v>
      </c>
      <c r="X1621" s="13">
        <f t="shared" si="1687"/>
        <v>1</v>
      </c>
      <c r="Y1621" s="13">
        <f t="shared" si="1687"/>
        <v>1</v>
      </c>
      <c r="Z1621" s="13">
        <f t="shared" si="529"/>
        <v>1</v>
      </c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</row>
    <row r="1622" ht="14.25" hidden="1" customHeight="1">
      <c r="A1622" s="13" t="s">
        <v>46</v>
      </c>
      <c r="B1622" s="13" t="s">
        <v>53</v>
      </c>
      <c r="C1622" s="13" t="s">
        <v>915</v>
      </c>
      <c r="D1622" s="13"/>
      <c r="E1622" s="13" t="str">
        <f t="shared" si="735"/>
        <v>PALM,G19,,1</v>
      </c>
      <c r="F1622" s="13"/>
      <c r="G1622" s="13" t="s">
        <v>111</v>
      </c>
      <c r="H1622" s="13" t="s">
        <v>75</v>
      </c>
      <c r="I1622" s="13"/>
      <c r="J1622" s="13"/>
      <c r="K1622" s="15"/>
      <c r="L1622" s="15"/>
      <c r="M1622" s="16"/>
      <c r="N1622" s="16"/>
      <c r="O1622" s="17">
        <v>1.0</v>
      </c>
      <c r="P1622" s="17">
        <v>1.0</v>
      </c>
      <c r="Q1622" s="13"/>
      <c r="R1622" s="29">
        <v>45007.0</v>
      </c>
      <c r="S1622" s="13"/>
      <c r="T1622" s="13">
        <f t="shared" ref="T1622:Y1622" si="1688">IF(ISBLANK(K1622)=TRUE,0,1)</f>
        <v>0</v>
      </c>
      <c r="U1622" s="13">
        <f t="shared" si="1688"/>
        <v>0</v>
      </c>
      <c r="V1622" s="13">
        <f t="shared" si="1688"/>
        <v>0</v>
      </c>
      <c r="W1622" s="13">
        <f t="shared" si="1688"/>
        <v>0</v>
      </c>
      <c r="X1622" s="13">
        <f t="shared" si="1688"/>
        <v>1</v>
      </c>
      <c r="Y1622" s="13">
        <f t="shared" si="1688"/>
        <v>1</v>
      </c>
      <c r="Z1622" s="13">
        <f t="shared" si="529"/>
        <v>1</v>
      </c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</row>
    <row r="1623" ht="14.25" hidden="1" customHeight="1">
      <c r="A1623" s="13" t="s">
        <v>46</v>
      </c>
      <c r="B1623" s="13" t="s">
        <v>53</v>
      </c>
      <c r="C1623" s="13" t="s">
        <v>916</v>
      </c>
      <c r="D1623" s="13"/>
      <c r="E1623" s="13" t="str">
        <f t="shared" si="735"/>
        <v>PALM,G20,,1</v>
      </c>
      <c r="F1623" s="13"/>
      <c r="G1623" s="13" t="s">
        <v>111</v>
      </c>
      <c r="H1623" s="13" t="s">
        <v>75</v>
      </c>
      <c r="I1623" s="13"/>
      <c r="J1623" s="13"/>
      <c r="K1623" s="15"/>
      <c r="L1623" s="15"/>
      <c r="M1623" s="16"/>
      <c r="N1623" s="16"/>
      <c r="O1623" s="17">
        <v>1.0</v>
      </c>
      <c r="P1623" s="17">
        <v>1.0</v>
      </c>
      <c r="Q1623" s="13"/>
      <c r="R1623" s="29">
        <v>45007.0</v>
      </c>
      <c r="S1623" s="13"/>
      <c r="T1623" s="13">
        <f t="shared" ref="T1623:Y1623" si="1689">IF(ISBLANK(K1623)=TRUE,0,1)</f>
        <v>0</v>
      </c>
      <c r="U1623" s="13">
        <f t="shared" si="1689"/>
        <v>0</v>
      </c>
      <c r="V1623" s="13">
        <f t="shared" si="1689"/>
        <v>0</v>
      </c>
      <c r="W1623" s="13">
        <f t="shared" si="1689"/>
        <v>0</v>
      </c>
      <c r="X1623" s="13">
        <f t="shared" si="1689"/>
        <v>1</v>
      </c>
      <c r="Y1623" s="13">
        <f t="shared" si="1689"/>
        <v>1</v>
      </c>
      <c r="Z1623" s="13">
        <f t="shared" si="529"/>
        <v>1</v>
      </c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</row>
    <row r="1624" ht="14.25" hidden="1" customHeight="1">
      <c r="A1624" s="13" t="s">
        <v>46</v>
      </c>
      <c r="B1624" s="13" t="s">
        <v>53</v>
      </c>
      <c r="C1624" s="13" t="s">
        <v>917</v>
      </c>
      <c r="D1624" s="13"/>
      <c r="E1624" s="13" t="str">
        <f t="shared" si="735"/>
        <v>PALM,G22,,1</v>
      </c>
      <c r="F1624" s="13"/>
      <c r="G1624" s="13" t="s">
        <v>111</v>
      </c>
      <c r="H1624" s="13" t="s">
        <v>75</v>
      </c>
      <c r="I1624" s="13"/>
      <c r="J1624" s="13"/>
      <c r="K1624" s="15"/>
      <c r="L1624" s="15"/>
      <c r="M1624" s="16"/>
      <c r="N1624" s="16"/>
      <c r="O1624" s="17">
        <v>1.0</v>
      </c>
      <c r="P1624" s="17">
        <v>1.0</v>
      </c>
      <c r="Q1624" s="13"/>
      <c r="R1624" s="29">
        <v>45007.0</v>
      </c>
      <c r="S1624" s="13"/>
      <c r="T1624" s="13">
        <f t="shared" ref="T1624:Y1624" si="1690">IF(ISBLANK(K1624)=TRUE,0,1)</f>
        <v>0</v>
      </c>
      <c r="U1624" s="13">
        <f t="shared" si="1690"/>
        <v>0</v>
      </c>
      <c r="V1624" s="13">
        <f t="shared" si="1690"/>
        <v>0</v>
      </c>
      <c r="W1624" s="13">
        <f t="shared" si="1690"/>
        <v>0</v>
      </c>
      <c r="X1624" s="13">
        <f t="shared" si="1690"/>
        <v>1</v>
      </c>
      <c r="Y1624" s="13">
        <f t="shared" si="1690"/>
        <v>1</v>
      </c>
      <c r="Z1624" s="13">
        <f t="shared" si="529"/>
        <v>1</v>
      </c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</row>
    <row r="1625" ht="14.25" hidden="1" customHeight="1">
      <c r="A1625" s="13" t="s">
        <v>46</v>
      </c>
      <c r="B1625" s="13" t="s">
        <v>53</v>
      </c>
      <c r="C1625" s="13" t="s">
        <v>918</v>
      </c>
      <c r="D1625" s="13"/>
      <c r="E1625" s="13" t="str">
        <f t="shared" si="735"/>
        <v>PALM,G23,,1</v>
      </c>
      <c r="F1625" s="13"/>
      <c r="G1625" s="13" t="s">
        <v>111</v>
      </c>
      <c r="H1625" s="13" t="s">
        <v>75</v>
      </c>
      <c r="I1625" s="13"/>
      <c r="J1625" s="13"/>
      <c r="K1625" s="15"/>
      <c r="L1625" s="15"/>
      <c r="M1625" s="16"/>
      <c r="N1625" s="16"/>
      <c r="O1625" s="17">
        <v>1.0</v>
      </c>
      <c r="P1625" s="17">
        <v>1.0</v>
      </c>
      <c r="Q1625" s="13"/>
      <c r="R1625" s="29">
        <v>45007.0</v>
      </c>
      <c r="S1625" s="13"/>
      <c r="T1625" s="13">
        <f t="shared" ref="T1625:Y1625" si="1691">IF(ISBLANK(K1625)=TRUE,0,1)</f>
        <v>0</v>
      </c>
      <c r="U1625" s="13">
        <f t="shared" si="1691"/>
        <v>0</v>
      </c>
      <c r="V1625" s="13">
        <f t="shared" si="1691"/>
        <v>0</v>
      </c>
      <c r="W1625" s="13">
        <f t="shared" si="1691"/>
        <v>0</v>
      </c>
      <c r="X1625" s="13">
        <f t="shared" si="1691"/>
        <v>1</v>
      </c>
      <c r="Y1625" s="13">
        <f t="shared" si="1691"/>
        <v>1</v>
      </c>
      <c r="Z1625" s="13">
        <f t="shared" si="529"/>
        <v>1</v>
      </c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</row>
    <row r="1626" ht="14.25" hidden="1" customHeight="1">
      <c r="A1626" s="13" t="s">
        <v>46</v>
      </c>
      <c r="B1626" s="13" t="s">
        <v>53</v>
      </c>
      <c r="C1626" s="13" t="s">
        <v>919</v>
      </c>
      <c r="D1626" s="13"/>
      <c r="E1626" s="13" t="str">
        <f t="shared" si="735"/>
        <v>PALM,G25,,1</v>
      </c>
      <c r="F1626" s="13"/>
      <c r="G1626" s="13" t="s">
        <v>111</v>
      </c>
      <c r="H1626" s="13" t="s">
        <v>75</v>
      </c>
      <c r="I1626" s="13"/>
      <c r="J1626" s="13"/>
      <c r="K1626" s="15"/>
      <c r="L1626" s="15"/>
      <c r="M1626" s="16"/>
      <c r="N1626" s="16"/>
      <c r="O1626" s="17">
        <v>1.0</v>
      </c>
      <c r="P1626" s="17">
        <v>1.0</v>
      </c>
      <c r="Q1626" s="13"/>
      <c r="R1626" s="29">
        <v>45007.0</v>
      </c>
      <c r="S1626" s="13"/>
      <c r="T1626" s="13">
        <f t="shared" ref="T1626:Y1626" si="1692">IF(ISBLANK(K1626)=TRUE,0,1)</f>
        <v>0</v>
      </c>
      <c r="U1626" s="13">
        <f t="shared" si="1692"/>
        <v>0</v>
      </c>
      <c r="V1626" s="13">
        <f t="shared" si="1692"/>
        <v>0</v>
      </c>
      <c r="W1626" s="13">
        <f t="shared" si="1692"/>
        <v>0</v>
      </c>
      <c r="X1626" s="13">
        <f t="shared" si="1692"/>
        <v>1</v>
      </c>
      <c r="Y1626" s="13">
        <f t="shared" si="1692"/>
        <v>1</v>
      </c>
      <c r="Z1626" s="13">
        <f t="shared" si="529"/>
        <v>1</v>
      </c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</row>
    <row r="1627" ht="14.25" hidden="1" customHeight="1">
      <c r="A1627" s="13" t="s">
        <v>46</v>
      </c>
      <c r="B1627" s="13" t="s">
        <v>53</v>
      </c>
      <c r="C1627" s="13" t="s">
        <v>920</v>
      </c>
      <c r="D1627" s="13"/>
      <c r="E1627" s="13" t="str">
        <f t="shared" si="735"/>
        <v>PALM,G27,,1</v>
      </c>
      <c r="F1627" s="13"/>
      <c r="G1627" s="13" t="s">
        <v>111</v>
      </c>
      <c r="H1627" s="13" t="s">
        <v>75</v>
      </c>
      <c r="I1627" s="13"/>
      <c r="J1627" s="13"/>
      <c r="K1627" s="15"/>
      <c r="L1627" s="15"/>
      <c r="M1627" s="16"/>
      <c r="N1627" s="16"/>
      <c r="O1627" s="17">
        <v>1.0</v>
      </c>
      <c r="P1627" s="17">
        <v>1.0</v>
      </c>
      <c r="Q1627" s="13"/>
      <c r="R1627" s="29">
        <v>45007.0</v>
      </c>
      <c r="S1627" s="13"/>
      <c r="T1627" s="13">
        <f t="shared" ref="T1627:Y1627" si="1693">IF(ISBLANK(K1627)=TRUE,0,1)</f>
        <v>0</v>
      </c>
      <c r="U1627" s="13">
        <f t="shared" si="1693"/>
        <v>0</v>
      </c>
      <c r="V1627" s="13">
        <f t="shared" si="1693"/>
        <v>0</v>
      </c>
      <c r="W1627" s="13">
        <f t="shared" si="1693"/>
        <v>0</v>
      </c>
      <c r="X1627" s="13">
        <f t="shared" si="1693"/>
        <v>1</v>
      </c>
      <c r="Y1627" s="13">
        <f t="shared" si="1693"/>
        <v>1</v>
      </c>
      <c r="Z1627" s="13">
        <f t="shared" si="529"/>
        <v>1</v>
      </c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</row>
    <row r="1628" ht="14.25" hidden="1" customHeight="1">
      <c r="A1628" s="13" t="s">
        <v>46</v>
      </c>
      <c r="B1628" s="13" t="s">
        <v>53</v>
      </c>
      <c r="C1628" s="13" t="s">
        <v>921</v>
      </c>
      <c r="D1628" s="13"/>
      <c r="E1628" s="13" t="str">
        <f t="shared" si="735"/>
        <v>PALM,G28,,1</v>
      </c>
      <c r="F1628" s="13"/>
      <c r="G1628" s="13" t="s">
        <v>111</v>
      </c>
      <c r="H1628" s="13" t="s">
        <v>75</v>
      </c>
      <c r="I1628" s="13"/>
      <c r="J1628" s="13"/>
      <c r="K1628" s="15"/>
      <c r="L1628" s="15"/>
      <c r="M1628" s="16"/>
      <c r="N1628" s="16"/>
      <c r="O1628" s="17">
        <v>1.0</v>
      </c>
      <c r="P1628" s="17">
        <v>1.0</v>
      </c>
      <c r="Q1628" s="13"/>
      <c r="R1628" s="29">
        <v>45007.0</v>
      </c>
      <c r="S1628" s="13"/>
      <c r="T1628" s="13">
        <f t="shared" ref="T1628:Y1628" si="1694">IF(ISBLANK(K1628)=TRUE,0,1)</f>
        <v>0</v>
      </c>
      <c r="U1628" s="13">
        <f t="shared" si="1694"/>
        <v>0</v>
      </c>
      <c r="V1628" s="13">
        <f t="shared" si="1694"/>
        <v>0</v>
      </c>
      <c r="W1628" s="13">
        <f t="shared" si="1694"/>
        <v>0</v>
      </c>
      <c r="X1628" s="13">
        <f t="shared" si="1694"/>
        <v>1</v>
      </c>
      <c r="Y1628" s="13">
        <f t="shared" si="1694"/>
        <v>1</v>
      </c>
      <c r="Z1628" s="13">
        <f t="shared" si="529"/>
        <v>1</v>
      </c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</row>
    <row r="1629" ht="14.25" hidden="1" customHeight="1">
      <c r="A1629" s="13" t="s">
        <v>46</v>
      </c>
      <c r="B1629" s="13" t="s">
        <v>53</v>
      </c>
      <c r="C1629" s="13" t="s">
        <v>922</v>
      </c>
      <c r="D1629" s="13"/>
      <c r="E1629" s="13" t="str">
        <f t="shared" si="735"/>
        <v>PALM,G3,,1</v>
      </c>
      <c r="F1629" s="13"/>
      <c r="G1629" s="13" t="s">
        <v>111</v>
      </c>
      <c r="H1629" s="13" t="s">
        <v>75</v>
      </c>
      <c r="I1629" s="13"/>
      <c r="J1629" s="13"/>
      <c r="K1629" s="15"/>
      <c r="L1629" s="15"/>
      <c r="M1629" s="16"/>
      <c r="N1629" s="16"/>
      <c r="O1629" s="17">
        <v>1.0</v>
      </c>
      <c r="P1629" s="17">
        <v>1.0</v>
      </c>
      <c r="Q1629" s="13"/>
      <c r="R1629" s="29">
        <v>45007.0</v>
      </c>
      <c r="S1629" s="13"/>
      <c r="T1629" s="13">
        <f t="shared" ref="T1629:Y1629" si="1695">IF(ISBLANK(K1629)=TRUE,0,1)</f>
        <v>0</v>
      </c>
      <c r="U1629" s="13">
        <f t="shared" si="1695"/>
        <v>0</v>
      </c>
      <c r="V1629" s="13">
        <f t="shared" si="1695"/>
        <v>0</v>
      </c>
      <c r="W1629" s="13">
        <f t="shared" si="1695"/>
        <v>0</v>
      </c>
      <c r="X1629" s="13">
        <f t="shared" si="1695"/>
        <v>1</v>
      </c>
      <c r="Y1629" s="13">
        <f t="shared" si="1695"/>
        <v>1</v>
      </c>
      <c r="Z1629" s="13">
        <f t="shared" si="529"/>
        <v>1</v>
      </c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</row>
    <row r="1630" ht="14.25" hidden="1" customHeight="1">
      <c r="A1630" s="13" t="s">
        <v>46</v>
      </c>
      <c r="B1630" s="13" t="s">
        <v>53</v>
      </c>
      <c r="C1630" s="13" t="s">
        <v>923</v>
      </c>
      <c r="D1630" s="13"/>
      <c r="E1630" s="13" t="str">
        <f t="shared" si="735"/>
        <v>PALM,G32,,1</v>
      </c>
      <c r="F1630" s="13"/>
      <c r="G1630" s="13" t="s">
        <v>111</v>
      </c>
      <c r="H1630" s="13" t="s">
        <v>75</v>
      </c>
      <c r="I1630" s="13"/>
      <c r="J1630" s="13"/>
      <c r="K1630" s="15"/>
      <c r="L1630" s="15"/>
      <c r="M1630" s="16"/>
      <c r="N1630" s="16"/>
      <c r="O1630" s="17">
        <v>1.0</v>
      </c>
      <c r="P1630" s="17">
        <v>1.0</v>
      </c>
      <c r="Q1630" s="13"/>
      <c r="R1630" s="29">
        <v>45007.0</v>
      </c>
      <c r="S1630" s="13"/>
      <c r="T1630" s="13">
        <f t="shared" ref="T1630:Y1630" si="1696">IF(ISBLANK(K1630)=TRUE,0,1)</f>
        <v>0</v>
      </c>
      <c r="U1630" s="13">
        <f t="shared" si="1696"/>
        <v>0</v>
      </c>
      <c r="V1630" s="13">
        <f t="shared" si="1696"/>
        <v>0</v>
      </c>
      <c r="W1630" s="13">
        <f t="shared" si="1696"/>
        <v>0</v>
      </c>
      <c r="X1630" s="13">
        <f t="shared" si="1696"/>
        <v>1</v>
      </c>
      <c r="Y1630" s="13">
        <f t="shared" si="1696"/>
        <v>1</v>
      </c>
      <c r="Z1630" s="13">
        <f t="shared" si="529"/>
        <v>1</v>
      </c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</row>
    <row r="1631" ht="14.25" hidden="1" customHeight="1">
      <c r="A1631" s="13" t="s">
        <v>46</v>
      </c>
      <c r="B1631" s="13" t="s">
        <v>53</v>
      </c>
      <c r="C1631" s="13" t="s">
        <v>924</v>
      </c>
      <c r="D1631" s="13"/>
      <c r="E1631" s="13" t="str">
        <f t="shared" si="735"/>
        <v>PALM,G34,,1</v>
      </c>
      <c r="F1631" s="13"/>
      <c r="G1631" s="13" t="s">
        <v>111</v>
      </c>
      <c r="H1631" s="13" t="s">
        <v>75</v>
      </c>
      <c r="I1631" s="13"/>
      <c r="J1631" s="13"/>
      <c r="K1631" s="15"/>
      <c r="L1631" s="15"/>
      <c r="M1631" s="16"/>
      <c r="N1631" s="16"/>
      <c r="O1631" s="17">
        <v>1.0</v>
      </c>
      <c r="P1631" s="17">
        <v>1.0</v>
      </c>
      <c r="Q1631" s="13"/>
      <c r="R1631" s="29">
        <v>45007.0</v>
      </c>
      <c r="S1631" s="13"/>
      <c r="T1631" s="13">
        <f t="shared" ref="T1631:Y1631" si="1697">IF(ISBLANK(K1631)=TRUE,0,1)</f>
        <v>0</v>
      </c>
      <c r="U1631" s="13">
        <f t="shared" si="1697"/>
        <v>0</v>
      </c>
      <c r="V1631" s="13">
        <f t="shared" si="1697"/>
        <v>0</v>
      </c>
      <c r="W1631" s="13">
        <f t="shared" si="1697"/>
        <v>0</v>
      </c>
      <c r="X1631" s="13">
        <f t="shared" si="1697"/>
        <v>1</v>
      </c>
      <c r="Y1631" s="13">
        <f t="shared" si="1697"/>
        <v>1</v>
      </c>
      <c r="Z1631" s="13">
        <f t="shared" si="529"/>
        <v>1</v>
      </c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</row>
    <row r="1632" ht="14.25" hidden="1" customHeight="1">
      <c r="A1632" s="13" t="s">
        <v>46</v>
      </c>
      <c r="B1632" s="13" t="s">
        <v>53</v>
      </c>
      <c r="C1632" s="13" t="s">
        <v>925</v>
      </c>
      <c r="D1632" s="13"/>
      <c r="E1632" s="13" t="str">
        <f t="shared" si="735"/>
        <v>PALM,G39,,1</v>
      </c>
      <c r="F1632" s="13"/>
      <c r="G1632" s="13" t="s">
        <v>111</v>
      </c>
      <c r="H1632" s="13" t="s">
        <v>75</v>
      </c>
      <c r="I1632" s="13"/>
      <c r="J1632" s="13"/>
      <c r="K1632" s="15"/>
      <c r="L1632" s="15"/>
      <c r="M1632" s="16"/>
      <c r="N1632" s="16"/>
      <c r="O1632" s="17">
        <v>1.0</v>
      </c>
      <c r="P1632" s="17">
        <v>1.0</v>
      </c>
      <c r="Q1632" s="13"/>
      <c r="R1632" s="29">
        <v>45007.0</v>
      </c>
      <c r="S1632" s="13"/>
      <c r="T1632" s="13">
        <f t="shared" ref="T1632:Y1632" si="1698">IF(ISBLANK(K1632)=TRUE,0,1)</f>
        <v>0</v>
      </c>
      <c r="U1632" s="13">
        <f t="shared" si="1698"/>
        <v>0</v>
      </c>
      <c r="V1632" s="13">
        <f t="shared" si="1698"/>
        <v>0</v>
      </c>
      <c r="W1632" s="13">
        <f t="shared" si="1698"/>
        <v>0</v>
      </c>
      <c r="X1632" s="13">
        <f t="shared" si="1698"/>
        <v>1</v>
      </c>
      <c r="Y1632" s="13">
        <f t="shared" si="1698"/>
        <v>1</v>
      </c>
      <c r="Z1632" s="13">
        <f t="shared" si="529"/>
        <v>1</v>
      </c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</row>
    <row r="1633" ht="14.25" hidden="1" customHeight="1">
      <c r="A1633" s="13" t="s">
        <v>46</v>
      </c>
      <c r="B1633" s="13" t="s">
        <v>53</v>
      </c>
      <c r="C1633" s="13" t="s">
        <v>926</v>
      </c>
      <c r="D1633" s="13"/>
      <c r="E1633" s="13" t="str">
        <f t="shared" si="735"/>
        <v>PALM,G44,,1</v>
      </c>
      <c r="F1633" s="13"/>
      <c r="G1633" s="13" t="s">
        <v>111</v>
      </c>
      <c r="H1633" s="13" t="s">
        <v>75</v>
      </c>
      <c r="I1633" s="13"/>
      <c r="J1633" s="13"/>
      <c r="K1633" s="15"/>
      <c r="L1633" s="15"/>
      <c r="M1633" s="16"/>
      <c r="N1633" s="16"/>
      <c r="O1633" s="17">
        <v>1.0</v>
      </c>
      <c r="P1633" s="17">
        <v>1.0</v>
      </c>
      <c r="Q1633" s="13"/>
      <c r="R1633" s="29">
        <v>45007.0</v>
      </c>
      <c r="S1633" s="13"/>
      <c r="T1633" s="13">
        <f t="shared" ref="T1633:Y1633" si="1699">IF(ISBLANK(K1633)=TRUE,0,1)</f>
        <v>0</v>
      </c>
      <c r="U1633" s="13">
        <f t="shared" si="1699"/>
        <v>0</v>
      </c>
      <c r="V1633" s="13">
        <f t="shared" si="1699"/>
        <v>0</v>
      </c>
      <c r="W1633" s="13">
        <f t="shared" si="1699"/>
        <v>0</v>
      </c>
      <c r="X1633" s="13">
        <f t="shared" si="1699"/>
        <v>1</v>
      </c>
      <c r="Y1633" s="13">
        <f t="shared" si="1699"/>
        <v>1</v>
      </c>
      <c r="Z1633" s="13">
        <f t="shared" si="529"/>
        <v>1</v>
      </c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</row>
    <row r="1634" ht="14.25" hidden="1" customHeight="1">
      <c r="A1634" s="13" t="s">
        <v>46</v>
      </c>
      <c r="B1634" s="13" t="s">
        <v>53</v>
      </c>
      <c r="C1634" s="13" t="s">
        <v>927</v>
      </c>
      <c r="D1634" s="13"/>
      <c r="E1634" s="13" t="str">
        <f t="shared" si="735"/>
        <v>PALM,G45,,1</v>
      </c>
      <c r="F1634" s="13"/>
      <c r="G1634" s="13" t="s">
        <v>111</v>
      </c>
      <c r="H1634" s="13" t="s">
        <v>75</v>
      </c>
      <c r="I1634" s="13"/>
      <c r="J1634" s="13"/>
      <c r="K1634" s="15"/>
      <c r="L1634" s="15"/>
      <c r="M1634" s="16"/>
      <c r="N1634" s="16"/>
      <c r="O1634" s="17">
        <v>1.0</v>
      </c>
      <c r="P1634" s="17">
        <v>1.0</v>
      </c>
      <c r="Q1634" s="13"/>
      <c r="R1634" s="29">
        <v>45007.0</v>
      </c>
      <c r="S1634" s="13"/>
      <c r="T1634" s="13">
        <f t="shared" ref="T1634:Y1634" si="1700">IF(ISBLANK(K1634)=TRUE,0,1)</f>
        <v>0</v>
      </c>
      <c r="U1634" s="13">
        <f t="shared" si="1700"/>
        <v>0</v>
      </c>
      <c r="V1634" s="13">
        <f t="shared" si="1700"/>
        <v>0</v>
      </c>
      <c r="W1634" s="13">
        <f t="shared" si="1700"/>
        <v>0</v>
      </c>
      <c r="X1634" s="13">
        <f t="shared" si="1700"/>
        <v>1</v>
      </c>
      <c r="Y1634" s="13">
        <f t="shared" si="1700"/>
        <v>1</v>
      </c>
      <c r="Z1634" s="13">
        <f t="shared" si="529"/>
        <v>1</v>
      </c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</row>
    <row r="1635" ht="14.25" hidden="1" customHeight="1">
      <c r="A1635" s="13" t="s">
        <v>46</v>
      </c>
      <c r="B1635" s="13" t="s">
        <v>53</v>
      </c>
      <c r="C1635" s="13" t="s">
        <v>928</v>
      </c>
      <c r="D1635" s="13"/>
      <c r="E1635" s="13" t="str">
        <f t="shared" si="735"/>
        <v>PALM,G48,,1</v>
      </c>
      <c r="F1635" s="13"/>
      <c r="G1635" s="13" t="s">
        <v>111</v>
      </c>
      <c r="H1635" s="13" t="s">
        <v>75</v>
      </c>
      <c r="I1635" s="13"/>
      <c r="J1635" s="13"/>
      <c r="K1635" s="15"/>
      <c r="L1635" s="15"/>
      <c r="M1635" s="16"/>
      <c r="N1635" s="16"/>
      <c r="O1635" s="17">
        <v>1.0</v>
      </c>
      <c r="P1635" s="17">
        <v>1.0</v>
      </c>
      <c r="Q1635" s="13"/>
      <c r="R1635" s="29">
        <v>45007.0</v>
      </c>
      <c r="S1635" s="13"/>
      <c r="T1635" s="13">
        <f t="shared" ref="T1635:Y1635" si="1701">IF(ISBLANK(K1635)=TRUE,0,1)</f>
        <v>0</v>
      </c>
      <c r="U1635" s="13">
        <f t="shared" si="1701"/>
        <v>0</v>
      </c>
      <c r="V1635" s="13">
        <f t="shared" si="1701"/>
        <v>0</v>
      </c>
      <c r="W1635" s="13">
        <f t="shared" si="1701"/>
        <v>0</v>
      </c>
      <c r="X1635" s="13">
        <f t="shared" si="1701"/>
        <v>1</v>
      </c>
      <c r="Y1635" s="13">
        <f t="shared" si="1701"/>
        <v>1</v>
      </c>
      <c r="Z1635" s="13">
        <f t="shared" si="529"/>
        <v>1</v>
      </c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</row>
    <row r="1636" ht="14.25" hidden="1" customHeight="1">
      <c r="A1636" s="13" t="s">
        <v>46</v>
      </c>
      <c r="B1636" s="13" t="s">
        <v>53</v>
      </c>
      <c r="C1636" s="13" t="s">
        <v>929</v>
      </c>
      <c r="D1636" s="13"/>
      <c r="E1636" s="13" t="str">
        <f t="shared" si="735"/>
        <v>PALM,G49,,1</v>
      </c>
      <c r="F1636" s="13"/>
      <c r="G1636" s="13" t="s">
        <v>111</v>
      </c>
      <c r="H1636" s="13" t="s">
        <v>75</v>
      </c>
      <c r="I1636" s="13"/>
      <c r="J1636" s="13"/>
      <c r="K1636" s="15"/>
      <c r="L1636" s="15"/>
      <c r="M1636" s="16"/>
      <c r="N1636" s="16"/>
      <c r="O1636" s="17">
        <v>1.0</v>
      </c>
      <c r="P1636" s="17">
        <v>1.0</v>
      </c>
      <c r="Q1636" s="13"/>
      <c r="R1636" s="29">
        <v>45007.0</v>
      </c>
      <c r="S1636" s="13"/>
      <c r="T1636" s="13">
        <f t="shared" ref="T1636:Y1636" si="1702">IF(ISBLANK(K1636)=TRUE,0,1)</f>
        <v>0</v>
      </c>
      <c r="U1636" s="13">
        <f t="shared" si="1702"/>
        <v>0</v>
      </c>
      <c r="V1636" s="13">
        <f t="shared" si="1702"/>
        <v>0</v>
      </c>
      <c r="W1636" s="13">
        <f t="shared" si="1702"/>
        <v>0</v>
      </c>
      <c r="X1636" s="13">
        <f t="shared" si="1702"/>
        <v>1</v>
      </c>
      <c r="Y1636" s="13">
        <f t="shared" si="1702"/>
        <v>1</v>
      </c>
      <c r="Z1636" s="13">
        <f t="shared" si="529"/>
        <v>1</v>
      </c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</row>
    <row r="1637" ht="14.25" hidden="1" customHeight="1">
      <c r="A1637" s="13" t="s">
        <v>46</v>
      </c>
      <c r="B1637" s="13" t="s">
        <v>53</v>
      </c>
      <c r="C1637" s="13" t="s">
        <v>930</v>
      </c>
      <c r="D1637" s="13"/>
      <c r="E1637" s="13" t="str">
        <f t="shared" si="735"/>
        <v>PALM,G54,,NA</v>
      </c>
      <c r="F1637" s="13"/>
      <c r="G1637" s="13" t="s">
        <v>111</v>
      </c>
      <c r="H1637" s="13" t="s">
        <v>75</v>
      </c>
      <c r="I1637" s="13"/>
      <c r="J1637" s="13"/>
      <c r="K1637" s="15"/>
      <c r="L1637" s="15"/>
      <c r="M1637" s="16"/>
      <c r="N1637" s="16"/>
      <c r="O1637" s="17"/>
      <c r="P1637" s="17"/>
      <c r="Q1637" s="13"/>
      <c r="R1637" s="13"/>
      <c r="S1637" s="13"/>
      <c r="T1637" s="13">
        <f t="shared" ref="T1637:Y1637" si="1703">IF(ISBLANK(K1637)=TRUE,0,1)</f>
        <v>0</v>
      </c>
      <c r="U1637" s="13">
        <f t="shared" si="1703"/>
        <v>0</v>
      </c>
      <c r="V1637" s="13">
        <f t="shared" si="1703"/>
        <v>0</v>
      </c>
      <c r="W1637" s="13">
        <f t="shared" si="1703"/>
        <v>0</v>
      </c>
      <c r="X1637" s="13">
        <f t="shared" si="1703"/>
        <v>0</v>
      </c>
      <c r="Y1637" s="13">
        <f t="shared" si="1703"/>
        <v>0</v>
      </c>
      <c r="Z1637" s="13" t="str">
        <f t="shared" si="529"/>
        <v>NA</v>
      </c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</row>
    <row r="1638" ht="14.25" hidden="1" customHeight="1">
      <c r="A1638" s="13" t="s">
        <v>46</v>
      </c>
      <c r="B1638" s="13" t="s">
        <v>53</v>
      </c>
      <c r="C1638" s="13" t="s">
        <v>931</v>
      </c>
      <c r="D1638" s="13"/>
      <c r="E1638" s="13" t="str">
        <f t="shared" si="735"/>
        <v>PALM,G59,,1</v>
      </c>
      <c r="F1638" s="13"/>
      <c r="G1638" s="13" t="s">
        <v>111</v>
      </c>
      <c r="H1638" s="13" t="s">
        <v>75</v>
      </c>
      <c r="I1638" s="13"/>
      <c r="J1638" s="13"/>
      <c r="K1638" s="15"/>
      <c r="L1638" s="15"/>
      <c r="M1638" s="16"/>
      <c r="N1638" s="16"/>
      <c r="O1638" s="17">
        <v>1.0</v>
      </c>
      <c r="P1638" s="17">
        <v>1.0</v>
      </c>
      <c r="Q1638" s="13"/>
      <c r="R1638" s="29">
        <v>45007.0</v>
      </c>
      <c r="S1638" s="13"/>
      <c r="T1638" s="13">
        <f t="shared" ref="T1638:Y1638" si="1704">IF(ISBLANK(K1638)=TRUE,0,1)</f>
        <v>0</v>
      </c>
      <c r="U1638" s="13">
        <f t="shared" si="1704"/>
        <v>0</v>
      </c>
      <c r="V1638" s="13">
        <f t="shared" si="1704"/>
        <v>0</v>
      </c>
      <c r="W1638" s="13">
        <f t="shared" si="1704"/>
        <v>0</v>
      </c>
      <c r="X1638" s="13">
        <f t="shared" si="1704"/>
        <v>1</v>
      </c>
      <c r="Y1638" s="13">
        <f t="shared" si="1704"/>
        <v>1</v>
      </c>
      <c r="Z1638" s="13">
        <f t="shared" si="529"/>
        <v>1</v>
      </c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</row>
    <row r="1639" ht="14.25" hidden="1" customHeight="1">
      <c r="A1639" s="13" t="s">
        <v>46</v>
      </c>
      <c r="B1639" s="13" t="s">
        <v>53</v>
      </c>
      <c r="C1639" s="13" t="s">
        <v>932</v>
      </c>
      <c r="D1639" s="13"/>
      <c r="E1639" s="13" t="str">
        <f t="shared" si="735"/>
        <v>PALM,G6,,1</v>
      </c>
      <c r="F1639" s="13"/>
      <c r="G1639" s="13" t="s">
        <v>111</v>
      </c>
      <c r="H1639" s="13" t="s">
        <v>75</v>
      </c>
      <c r="I1639" s="13"/>
      <c r="J1639" s="13"/>
      <c r="K1639" s="15"/>
      <c r="L1639" s="15"/>
      <c r="M1639" s="16"/>
      <c r="N1639" s="16"/>
      <c r="O1639" s="17">
        <v>1.0</v>
      </c>
      <c r="P1639" s="17">
        <v>1.0</v>
      </c>
      <c r="Q1639" s="13"/>
      <c r="R1639" s="29">
        <v>45007.0</v>
      </c>
      <c r="S1639" s="13"/>
      <c r="T1639" s="13">
        <f t="shared" ref="T1639:Y1639" si="1705">IF(ISBLANK(K1639)=TRUE,0,1)</f>
        <v>0</v>
      </c>
      <c r="U1639" s="13">
        <f t="shared" si="1705"/>
        <v>0</v>
      </c>
      <c r="V1639" s="13">
        <f t="shared" si="1705"/>
        <v>0</v>
      </c>
      <c r="W1639" s="13">
        <f t="shared" si="1705"/>
        <v>0</v>
      </c>
      <c r="X1639" s="13">
        <f t="shared" si="1705"/>
        <v>1</v>
      </c>
      <c r="Y1639" s="13">
        <f t="shared" si="1705"/>
        <v>1</v>
      </c>
      <c r="Z1639" s="13">
        <f t="shared" si="529"/>
        <v>1</v>
      </c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</row>
    <row r="1640" ht="14.25" hidden="1" customHeight="1">
      <c r="A1640" s="13" t="s">
        <v>46</v>
      </c>
      <c r="B1640" s="13" t="s">
        <v>53</v>
      </c>
      <c r="C1640" s="13" t="s">
        <v>933</v>
      </c>
      <c r="D1640" s="13"/>
      <c r="E1640" s="13" t="str">
        <f t="shared" si="735"/>
        <v>PALM,G61,,1</v>
      </c>
      <c r="F1640" s="13"/>
      <c r="G1640" s="13" t="s">
        <v>111</v>
      </c>
      <c r="H1640" s="13" t="s">
        <v>75</v>
      </c>
      <c r="I1640" s="13"/>
      <c r="J1640" s="13"/>
      <c r="K1640" s="15"/>
      <c r="L1640" s="15"/>
      <c r="M1640" s="16"/>
      <c r="N1640" s="16"/>
      <c r="O1640" s="17">
        <v>1.0</v>
      </c>
      <c r="P1640" s="17">
        <v>1.0</v>
      </c>
      <c r="Q1640" s="13"/>
      <c r="R1640" s="29">
        <v>45007.0</v>
      </c>
      <c r="S1640" s="13"/>
      <c r="T1640" s="13">
        <f t="shared" ref="T1640:Y1640" si="1706">IF(ISBLANK(K1640)=TRUE,0,1)</f>
        <v>0</v>
      </c>
      <c r="U1640" s="13">
        <f t="shared" si="1706"/>
        <v>0</v>
      </c>
      <c r="V1640" s="13">
        <f t="shared" si="1706"/>
        <v>0</v>
      </c>
      <c r="W1640" s="13">
        <f t="shared" si="1706"/>
        <v>0</v>
      </c>
      <c r="X1640" s="13">
        <f t="shared" si="1706"/>
        <v>1</v>
      </c>
      <c r="Y1640" s="13">
        <f t="shared" si="1706"/>
        <v>1</v>
      </c>
      <c r="Z1640" s="13">
        <f t="shared" si="529"/>
        <v>1</v>
      </c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</row>
    <row r="1641" ht="14.25" hidden="1" customHeight="1">
      <c r="A1641" s="13" t="s">
        <v>46</v>
      </c>
      <c r="B1641" s="13" t="s">
        <v>53</v>
      </c>
      <c r="C1641" s="13" t="s">
        <v>934</v>
      </c>
      <c r="D1641" s="13"/>
      <c r="E1641" s="13" t="str">
        <f t="shared" si="735"/>
        <v>PALM,G62,,NA</v>
      </c>
      <c r="F1641" s="13"/>
      <c r="G1641" s="13" t="s">
        <v>111</v>
      </c>
      <c r="H1641" s="13" t="s">
        <v>75</v>
      </c>
      <c r="I1641" s="13"/>
      <c r="J1641" s="13"/>
      <c r="K1641" s="15"/>
      <c r="L1641" s="15"/>
      <c r="M1641" s="16"/>
      <c r="N1641" s="16"/>
      <c r="O1641" s="17"/>
      <c r="P1641" s="17"/>
      <c r="Q1641" s="13"/>
      <c r="R1641" s="13"/>
      <c r="S1641" s="13"/>
      <c r="T1641" s="13">
        <f t="shared" ref="T1641:Y1641" si="1707">IF(ISBLANK(K1641)=TRUE,0,1)</f>
        <v>0</v>
      </c>
      <c r="U1641" s="13">
        <f t="shared" si="1707"/>
        <v>0</v>
      </c>
      <c r="V1641" s="13">
        <f t="shared" si="1707"/>
        <v>0</v>
      </c>
      <c r="W1641" s="13">
        <f t="shared" si="1707"/>
        <v>0</v>
      </c>
      <c r="X1641" s="13">
        <f t="shared" si="1707"/>
        <v>0</v>
      </c>
      <c r="Y1641" s="13">
        <f t="shared" si="1707"/>
        <v>0</v>
      </c>
      <c r="Z1641" s="13" t="str">
        <f t="shared" si="529"/>
        <v>NA</v>
      </c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</row>
    <row r="1642" ht="14.25" hidden="1" customHeight="1">
      <c r="A1642" s="13" t="s">
        <v>46</v>
      </c>
      <c r="B1642" s="13" t="s">
        <v>53</v>
      </c>
      <c r="C1642" s="13" t="s">
        <v>935</v>
      </c>
      <c r="D1642" s="13"/>
      <c r="E1642" s="13" t="str">
        <f t="shared" si="735"/>
        <v>PALM,G63,,1</v>
      </c>
      <c r="F1642" s="13"/>
      <c r="G1642" s="13" t="s">
        <v>111</v>
      </c>
      <c r="H1642" s="13" t="s">
        <v>75</v>
      </c>
      <c r="I1642" s="13"/>
      <c r="J1642" s="13"/>
      <c r="K1642" s="15"/>
      <c r="L1642" s="15"/>
      <c r="M1642" s="16"/>
      <c r="N1642" s="16"/>
      <c r="O1642" s="17">
        <v>1.0</v>
      </c>
      <c r="P1642" s="17">
        <v>1.0</v>
      </c>
      <c r="Q1642" s="13"/>
      <c r="R1642" s="29">
        <v>45007.0</v>
      </c>
      <c r="S1642" s="13"/>
      <c r="T1642" s="13">
        <f t="shared" ref="T1642:Y1642" si="1708">IF(ISBLANK(K1642)=TRUE,0,1)</f>
        <v>0</v>
      </c>
      <c r="U1642" s="13">
        <f t="shared" si="1708"/>
        <v>0</v>
      </c>
      <c r="V1642" s="13">
        <f t="shared" si="1708"/>
        <v>0</v>
      </c>
      <c r="W1642" s="13">
        <f t="shared" si="1708"/>
        <v>0</v>
      </c>
      <c r="X1642" s="13">
        <f t="shared" si="1708"/>
        <v>1</v>
      </c>
      <c r="Y1642" s="13">
        <f t="shared" si="1708"/>
        <v>1</v>
      </c>
      <c r="Z1642" s="13">
        <f t="shared" si="529"/>
        <v>1</v>
      </c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</row>
    <row r="1643" ht="14.25" hidden="1" customHeight="1">
      <c r="A1643" s="13" t="s">
        <v>46</v>
      </c>
      <c r="B1643" s="13" t="s">
        <v>53</v>
      </c>
      <c r="C1643" s="13" t="s">
        <v>936</v>
      </c>
      <c r="D1643" s="13"/>
      <c r="E1643" s="13" t="str">
        <f t="shared" si="735"/>
        <v>PALM,G64,,1</v>
      </c>
      <c r="F1643" s="13"/>
      <c r="G1643" s="13" t="s">
        <v>111</v>
      </c>
      <c r="H1643" s="13" t="s">
        <v>75</v>
      </c>
      <c r="I1643" s="13"/>
      <c r="J1643" s="13"/>
      <c r="K1643" s="15"/>
      <c r="L1643" s="15"/>
      <c r="M1643" s="16"/>
      <c r="N1643" s="16"/>
      <c r="O1643" s="17">
        <v>1.0</v>
      </c>
      <c r="P1643" s="17">
        <v>1.0</v>
      </c>
      <c r="Q1643" s="13"/>
      <c r="R1643" s="29">
        <v>45007.0</v>
      </c>
      <c r="S1643" s="13"/>
      <c r="T1643" s="13">
        <f t="shared" ref="T1643:Y1643" si="1709">IF(ISBLANK(K1643)=TRUE,0,1)</f>
        <v>0</v>
      </c>
      <c r="U1643" s="13">
        <f t="shared" si="1709"/>
        <v>0</v>
      </c>
      <c r="V1643" s="13">
        <f t="shared" si="1709"/>
        <v>0</v>
      </c>
      <c r="W1643" s="13">
        <f t="shared" si="1709"/>
        <v>0</v>
      </c>
      <c r="X1643" s="13">
        <f t="shared" si="1709"/>
        <v>1</v>
      </c>
      <c r="Y1643" s="13">
        <f t="shared" si="1709"/>
        <v>1</v>
      </c>
      <c r="Z1643" s="13">
        <f t="shared" si="529"/>
        <v>1</v>
      </c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</row>
    <row r="1644" ht="14.25" hidden="1" customHeight="1">
      <c r="A1644" s="13" t="s">
        <v>46</v>
      </c>
      <c r="B1644" s="13" t="s">
        <v>53</v>
      </c>
      <c r="C1644" s="13" t="s">
        <v>937</v>
      </c>
      <c r="D1644" s="13"/>
      <c r="E1644" s="13" t="str">
        <f t="shared" si="735"/>
        <v>PALM,G8,,1</v>
      </c>
      <c r="F1644" s="13"/>
      <c r="G1644" s="13" t="s">
        <v>111</v>
      </c>
      <c r="H1644" s="13" t="s">
        <v>75</v>
      </c>
      <c r="I1644" s="13"/>
      <c r="J1644" s="13"/>
      <c r="K1644" s="15"/>
      <c r="L1644" s="15"/>
      <c r="M1644" s="16"/>
      <c r="N1644" s="16"/>
      <c r="O1644" s="17">
        <v>1.0</v>
      </c>
      <c r="P1644" s="17">
        <v>1.0</v>
      </c>
      <c r="Q1644" s="13"/>
      <c r="R1644" s="29">
        <v>45007.0</v>
      </c>
      <c r="S1644" s="13"/>
      <c r="T1644" s="13">
        <f t="shared" ref="T1644:Y1644" si="1710">IF(ISBLANK(K1644)=TRUE,0,1)</f>
        <v>0</v>
      </c>
      <c r="U1644" s="13">
        <f t="shared" si="1710"/>
        <v>0</v>
      </c>
      <c r="V1644" s="13">
        <f t="shared" si="1710"/>
        <v>0</v>
      </c>
      <c r="W1644" s="13">
        <f t="shared" si="1710"/>
        <v>0</v>
      </c>
      <c r="X1644" s="13">
        <f t="shared" si="1710"/>
        <v>1</v>
      </c>
      <c r="Y1644" s="13">
        <f t="shared" si="1710"/>
        <v>1</v>
      </c>
      <c r="Z1644" s="13">
        <f t="shared" si="529"/>
        <v>1</v>
      </c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</row>
    <row r="1645" ht="14.25" hidden="1" customHeight="1">
      <c r="A1645" s="13" t="s">
        <v>46</v>
      </c>
      <c r="B1645" s="13" t="s">
        <v>53</v>
      </c>
      <c r="C1645" s="13" t="s">
        <v>938</v>
      </c>
      <c r="D1645" s="13"/>
      <c r="E1645" s="13" t="str">
        <f t="shared" si="735"/>
        <v>PALM,G9,,1</v>
      </c>
      <c r="F1645" s="13"/>
      <c r="G1645" s="13" t="s">
        <v>111</v>
      </c>
      <c r="H1645" s="13" t="s">
        <v>75</v>
      </c>
      <c r="I1645" s="13"/>
      <c r="J1645" s="13"/>
      <c r="K1645" s="15"/>
      <c r="L1645" s="15"/>
      <c r="M1645" s="16"/>
      <c r="N1645" s="16"/>
      <c r="O1645" s="17">
        <v>1.0</v>
      </c>
      <c r="P1645" s="17">
        <v>1.0</v>
      </c>
      <c r="Q1645" s="13"/>
      <c r="R1645" s="29">
        <v>45007.0</v>
      </c>
      <c r="S1645" s="13"/>
      <c r="T1645" s="13">
        <f t="shared" ref="T1645:Y1645" si="1711">IF(ISBLANK(K1645)=TRUE,0,1)</f>
        <v>0</v>
      </c>
      <c r="U1645" s="13">
        <f t="shared" si="1711"/>
        <v>0</v>
      </c>
      <c r="V1645" s="13">
        <f t="shared" si="1711"/>
        <v>0</v>
      </c>
      <c r="W1645" s="13">
        <f t="shared" si="1711"/>
        <v>0</v>
      </c>
      <c r="X1645" s="13">
        <f t="shared" si="1711"/>
        <v>1</v>
      </c>
      <c r="Y1645" s="13">
        <f t="shared" si="1711"/>
        <v>1</v>
      </c>
      <c r="Z1645" s="13">
        <f t="shared" si="529"/>
        <v>1</v>
      </c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</row>
    <row r="1646" ht="14.25" hidden="1" customHeight="1">
      <c r="A1646" s="13" t="s">
        <v>46</v>
      </c>
      <c r="B1646" s="13" t="s">
        <v>53</v>
      </c>
      <c r="C1646" s="13" t="s">
        <v>939</v>
      </c>
      <c r="D1646" s="13"/>
      <c r="E1646" s="13" t="str">
        <f t="shared" si="735"/>
        <v>PALM,H1,,1</v>
      </c>
      <c r="F1646" s="13"/>
      <c r="G1646" s="13" t="s">
        <v>74</v>
      </c>
      <c r="H1646" s="13" t="s">
        <v>75</v>
      </c>
      <c r="I1646" s="13"/>
      <c r="J1646" s="13"/>
      <c r="K1646" s="15"/>
      <c r="L1646" s="15"/>
      <c r="M1646" s="16"/>
      <c r="N1646" s="37"/>
      <c r="O1646" s="17">
        <v>1.0</v>
      </c>
      <c r="P1646" s="17">
        <v>1.0</v>
      </c>
      <c r="Q1646" s="13"/>
      <c r="R1646" s="29">
        <v>45007.0</v>
      </c>
      <c r="S1646" s="13"/>
      <c r="T1646" s="13">
        <f t="shared" ref="T1646:V1646" si="1712">IF(ISBLANK(K1646)=TRUE,0,1)</f>
        <v>0</v>
      </c>
      <c r="U1646" s="13">
        <f t="shared" si="1712"/>
        <v>0</v>
      </c>
      <c r="V1646" s="13">
        <f t="shared" si="1712"/>
        <v>0</v>
      </c>
      <c r="W1646" s="13">
        <f t="shared" ref="W1646:X1646" si="1713">IF(ISBLANK(O1646)=TRUE,0,1)</f>
        <v>1</v>
      </c>
      <c r="X1646" s="13">
        <f t="shared" si="1713"/>
        <v>1</v>
      </c>
      <c r="Y1646" s="13">
        <f t="shared" ref="Y1646:Y1763" si="1716">IF(ISBLANK(#REF!)=TRUE,0,1)</f>
        <v>1</v>
      </c>
      <c r="Z1646" s="13">
        <f t="shared" si="529"/>
        <v>1</v>
      </c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</row>
    <row r="1647" ht="14.25" hidden="1" customHeight="1">
      <c r="A1647" s="13" t="s">
        <v>46</v>
      </c>
      <c r="B1647" s="13" t="s">
        <v>53</v>
      </c>
      <c r="C1647" s="13" t="s">
        <v>940</v>
      </c>
      <c r="D1647" s="13"/>
      <c r="E1647" s="13" t="str">
        <f t="shared" si="735"/>
        <v>PALM,H10,,1</v>
      </c>
      <c r="F1647" s="13"/>
      <c r="G1647" s="13" t="s">
        <v>74</v>
      </c>
      <c r="H1647" s="13" t="s">
        <v>75</v>
      </c>
      <c r="I1647" s="13"/>
      <c r="J1647" s="13"/>
      <c r="K1647" s="15"/>
      <c r="L1647" s="15"/>
      <c r="M1647" s="16"/>
      <c r="N1647" s="37"/>
      <c r="O1647" s="17">
        <v>1.0</v>
      </c>
      <c r="P1647" s="17">
        <v>1.0</v>
      </c>
      <c r="Q1647" s="13"/>
      <c r="R1647" s="29">
        <v>45007.0</v>
      </c>
      <c r="S1647" s="13"/>
      <c r="T1647" s="13">
        <f t="shared" ref="T1647:V1647" si="1714">IF(ISBLANK(K1647)=TRUE,0,1)</f>
        <v>0</v>
      </c>
      <c r="U1647" s="13">
        <f t="shared" si="1714"/>
        <v>0</v>
      </c>
      <c r="V1647" s="13">
        <f t="shared" si="1714"/>
        <v>0</v>
      </c>
      <c r="W1647" s="13">
        <f t="shared" ref="W1647:X1647" si="1715">IF(ISBLANK(O1647)=TRUE,0,1)</f>
        <v>1</v>
      </c>
      <c r="X1647" s="13">
        <f t="shared" si="1715"/>
        <v>1</v>
      </c>
      <c r="Y1647" s="13">
        <f t="shared" si="1716"/>
        <v>1</v>
      </c>
      <c r="Z1647" s="13">
        <f t="shared" si="529"/>
        <v>1</v>
      </c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</row>
    <row r="1648" ht="14.25" hidden="1" customHeight="1">
      <c r="A1648" s="13" t="s">
        <v>46</v>
      </c>
      <c r="B1648" s="13" t="s">
        <v>53</v>
      </c>
      <c r="C1648" s="13" t="s">
        <v>941</v>
      </c>
      <c r="D1648" s="13"/>
      <c r="E1648" s="13" t="str">
        <f t="shared" si="735"/>
        <v>PALM,H11,,1</v>
      </c>
      <c r="F1648" s="13"/>
      <c r="G1648" s="13" t="s">
        <v>74</v>
      </c>
      <c r="H1648" s="13" t="s">
        <v>75</v>
      </c>
      <c r="I1648" s="13"/>
      <c r="J1648" s="13"/>
      <c r="K1648" s="15"/>
      <c r="L1648" s="15"/>
      <c r="M1648" s="16"/>
      <c r="N1648" s="37"/>
      <c r="O1648" s="17">
        <v>1.0</v>
      </c>
      <c r="P1648" s="17">
        <v>1.0</v>
      </c>
      <c r="Q1648" s="13"/>
      <c r="R1648" s="29">
        <v>45007.0</v>
      </c>
      <c r="S1648" s="13"/>
      <c r="T1648" s="13">
        <f t="shared" ref="T1648:V1648" si="1717">IF(ISBLANK(K1648)=TRUE,0,1)</f>
        <v>0</v>
      </c>
      <c r="U1648" s="13">
        <f t="shared" si="1717"/>
        <v>0</v>
      </c>
      <c r="V1648" s="13">
        <f t="shared" si="1717"/>
        <v>0</v>
      </c>
      <c r="W1648" s="13">
        <f t="shared" ref="W1648:X1648" si="1718">IF(ISBLANK(O1648)=TRUE,0,1)</f>
        <v>1</v>
      </c>
      <c r="X1648" s="13">
        <f t="shared" si="1718"/>
        <v>1</v>
      </c>
      <c r="Y1648" s="13">
        <f t="shared" si="1716"/>
        <v>1</v>
      </c>
      <c r="Z1648" s="13">
        <f t="shared" si="529"/>
        <v>1</v>
      </c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</row>
    <row r="1649" ht="14.25" hidden="1" customHeight="1">
      <c r="A1649" s="13" t="s">
        <v>46</v>
      </c>
      <c r="B1649" s="13" t="s">
        <v>53</v>
      </c>
      <c r="C1649" s="13" t="s">
        <v>942</v>
      </c>
      <c r="D1649" s="13"/>
      <c r="E1649" s="13" t="str">
        <f t="shared" si="735"/>
        <v>PALM,H12,,1</v>
      </c>
      <c r="F1649" s="13"/>
      <c r="G1649" s="13" t="s">
        <v>74</v>
      </c>
      <c r="H1649" s="13" t="s">
        <v>75</v>
      </c>
      <c r="I1649" s="13"/>
      <c r="J1649" s="13"/>
      <c r="K1649" s="15"/>
      <c r="L1649" s="15"/>
      <c r="M1649" s="16"/>
      <c r="N1649" s="37"/>
      <c r="O1649" s="17">
        <v>1.0</v>
      </c>
      <c r="P1649" s="17">
        <v>1.0</v>
      </c>
      <c r="Q1649" s="13"/>
      <c r="R1649" s="29">
        <v>45007.0</v>
      </c>
      <c r="S1649" s="13"/>
      <c r="T1649" s="13">
        <f t="shared" ref="T1649:V1649" si="1719">IF(ISBLANK(K1649)=TRUE,0,1)</f>
        <v>0</v>
      </c>
      <c r="U1649" s="13">
        <f t="shared" si="1719"/>
        <v>0</v>
      </c>
      <c r="V1649" s="13">
        <f t="shared" si="1719"/>
        <v>0</v>
      </c>
      <c r="W1649" s="13">
        <f t="shared" ref="W1649:X1649" si="1720">IF(ISBLANK(O1649)=TRUE,0,1)</f>
        <v>1</v>
      </c>
      <c r="X1649" s="13">
        <f t="shared" si="1720"/>
        <v>1</v>
      </c>
      <c r="Y1649" s="13">
        <f t="shared" si="1716"/>
        <v>1</v>
      </c>
      <c r="Z1649" s="13">
        <f t="shared" si="529"/>
        <v>1</v>
      </c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</row>
    <row r="1650" ht="14.25" hidden="1" customHeight="1">
      <c r="A1650" s="13" t="s">
        <v>46</v>
      </c>
      <c r="B1650" s="13" t="s">
        <v>53</v>
      </c>
      <c r="C1650" s="13" t="s">
        <v>943</v>
      </c>
      <c r="D1650" s="13"/>
      <c r="E1650" s="13" t="str">
        <f t="shared" si="735"/>
        <v>PALM,H13,,1</v>
      </c>
      <c r="F1650" s="13"/>
      <c r="G1650" s="13" t="s">
        <v>74</v>
      </c>
      <c r="H1650" s="13" t="s">
        <v>75</v>
      </c>
      <c r="I1650" s="13"/>
      <c r="J1650" s="13"/>
      <c r="K1650" s="15"/>
      <c r="L1650" s="15"/>
      <c r="M1650" s="16"/>
      <c r="N1650" s="37"/>
      <c r="O1650" s="17">
        <v>1.0</v>
      </c>
      <c r="P1650" s="17">
        <v>1.0</v>
      </c>
      <c r="Q1650" s="13"/>
      <c r="R1650" s="29">
        <v>45007.0</v>
      </c>
      <c r="S1650" s="13"/>
      <c r="T1650" s="13">
        <f t="shared" ref="T1650:V1650" si="1721">IF(ISBLANK(K1650)=TRUE,0,1)</f>
        <v>0</v>
      </c>
      <c r="U1650" s="13">
        <f t="shared" si="1721"/>
        <v>0</v>
      </c>
      <c r="V1650" s="13">
        <f t="shared" si="1721"/>
        <v>0</v>
      </c>
      <c r="W1650" s="13">
        <f t="shared" ref="W1650:X1650" si="1722">IF(ISBLANK(O1650)=TRUE,0,1)</f>
        <v>1</v>
      </c>
      <c r="X1650" s="13">
        <f t="shared" si="1722"/>
        <v>1</v>
      </c>
      <c r="Y1650" s="13">
        <f t="shared" si="1716"/>
        <v>1</v>
      </c>
      <c r="Z1650" s="13">
        <f t="shared" si="529"/>
        <v>1</v>
      </c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</row>
    <row r="1651" ht="14.25" hidden="1" customHeight="1">
      <c r="A1651" s="13" t="s">
        <v>46</v>
      </c>
      <c r="B1651" s="13" t="s">
        <v>53</v>
      </c>
      <c r="C1651" s="13" t="s">
        <v>944</v>
      </c>
      <c r="D1651" s="13"/>
      <c r="E1651" s="13" t="str">
        <f t="shared" si="735"/>
        <v>PALM,H14,,1</v>
      </c>
      <c r="F1651" s="13"/>
      <c r="G1651" s="13" t="s">
        <v>74</v>
      </c>
      <c r="H1651" s="13" t="s">
        <v>75</v>
      </c>
      <c r="I1651" s="13"/>
      <c r="J1651" s="13"/>
      <c r="K1651" s="15"/>
      <c r="L1651" s="15"/>
      <c r="M1651" s="16"/>
      <c r="N1651" s="37"/>
      <c r="O1651" s="17">
        <v>1.0</v>
      </c>
      <c r="P1651" s="17">
        <v>1.0</v>
      </c>
      <c r="Q1651" s="13"/>
      <c r="R1651" s="29">
        <v>45007.0</v>
      </c>
      <c r="S1651" s="13"/>
      <c r="T1651" s="13">
        <f t="shared" ref="T1651:V1651" si="1723">IF(ISBLANK(K1651)=TRUE,0,1)</f>
        <v>0</v>
      </c>
      <c r="U1651" s="13">
        <f t="shared" si="1723"/>
        <v>0</v>
      </c>
      <c r="V1651" s="13">
        <f t="shared" si="1723"/>
        <v>0</v>
      </c>
      <c r="W1651" s="13">
        <f t="shared" ref="W1651:X1651" si="1724">IF(ISBLANK(O1651)=TRUE,0,1)</f>
        <v>1</v>
      </c>
      <c r="X1651" s="13">
        <f t="shared" si="1724"/>
        <v>1</v>
      </c>
      <c r="Y1651" s="13">
        <f t="shared" si="1716"/>
        <v>1</v>
      </c>
      <c r="Z1651" s="13">
        <f t="shared" si="529"/>
        <v>1</v>
      </c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</row>
    <row r="1652" ht="14.25" hidden="1" customHeight="1">
      <c r="A1652" s="13" t="s">
        <v>46</v>
      </c>
      <c r="B1652" s="13" t="s">
        <v>53</v>
      </c>
      <c r="C1652" s="13" t="s">
        <v>945</v>
      </c>
      <c r="D1652" s="13"/>
      <c r="E1652" s="13" t="str">
        <f t="shared" si="735"/>
        <v>PALM,H15,,1</v>
      </c>
      <c r="F1652" s="13"/>
      <c r="G1652" s="13" t="s">
        <v>74</v>
      </c>
      <c r="H1652" s="13" t="s">
        <v>75</v>
      </c>
      <c r="I1652" s="13"/>
      <c r="J1652" s="13"/>
      <c r="K1652" s="15"/>
      <c r="L1652" s="15"/>
      <c r="M1652" s="16"/>
      <c r="N1652" s="37"/>
      <c r="O1652" s="17">
        <v>1.0</v>
      </c>
      <c r="P1652" s="17">
        <v>1.0</v>
      </c>
      <c r="Q1652" s="13"/>
      <c r="R1652" s="29">
        <v>45007.0</v>
      </c>
      <c r="S1652" s="13"/>
      <c r="T1652" s="13">
        <f t="shared" ref="T1652:V1652" si="1725">IF(ISBLANK(K1652)=TRUE,0,1)</f>
        <v>0</v>
      </c>
      <c r="U1652" s="13">
        <f t="shared" si="1725"/>
        <v>0</v>
      </c>
      <c r="V1652" s="13">
        <f t="shared" si="1725"/>
        <v>0</v>
      </c>
      <c r="W1652" s="13">
        <f t="shared" ref="W1652:X1652" si="1726">IF(ISBLANK(O1652)=TRUE,0,1)</f>
        <v>1</v>
      </c>
      <c r="X1652" s="13">
        <f t="shared" si="1726"/>
        <v>1</v>
      </c>
      <c r="Y1652" s="13">
        <f t="shared" si="1716"/>
        <v>1</v>
      </c>
      <c r="Z1652" s="13">
        <f t="shared" si="529"/>
        <v>1</v>
      </c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</row>
    <row r="1653" ht="14.25" hidden="1" customHeight="1">
      <c r="A1653" s="13" t="s">
        <v>46</v>
      </c>
      <c r="B1653" s="13" t="s">
        <v>53</v>
      </c>
      <c r="C1653" s="13" t="s">
        <v>946</v>
      </c>
      <c r="D1653" s="13"/>
      <c r="E1653" s="13" t="str">
        <f t="shared" si="735"/>
        <v>PALM,H16,,1</v>
      </c>
      <c r="F1653" s="13"/>
      <c r="G1653" s="13" t="s">
        <v>74</v>
      </c>
      <c r="H1653" s="13" t="s">
        <v>75</v>
      </c>
      <c r="I1653" s="13"/>
      <c r="J1653" s="13"/>
      <c r="K1653" s="15"/>
      <c r="L1653" s="15"/>
      <c r="M1653" s="16"/>
      <c r="N1653" s="37"/>
      <c r="O1653" s="17">
        <v>1.0</v>
      </c>
      <c r="P1653" s="17">
        <v>1.0</v>
      </c>
      <c r="Q1653" s="13"/>
      <c r="R1653" s="29">
        <v>45007.0</v>
      </c>
      <c r="S1653" s="13"/>
      <c r="T1653" s="13">
        <f t="shared" ref="T1653:V1653" si="1727">IF(ISBLANK(K1653)=TRUE,0,1)</f>
        <v>0</v>
      </c>
      <c r="U1653" s="13">
        <f t="shared" si="1727"/>
        <v>0</v>
      </c>
      <c r="V1653" s="13">
        <f t="shared" si="1727"/>
        <v>0</v>
      </c>
      <c r="W1653" s="13">
        <f t="shared" ref="W1653:X1653" si="1728">IF(ISBLANK(O1653)=TRUE,0,1)</f>
        <v>1</v>
      </c>
      <c r="X1653" s="13">
        <f t="shared" si="1728"/>
        <v>1</v>
      </c>
      <c r="Y1653" s="13">
        <f t="shared" si="1716"/>
        <v>1</v>
      </c>
      <c r="Z1653" s="13">
        <f t="shared" si="529"/>
        <v>1</v>
      </c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</row>
    <row r="1654" ht="14.25" hidden="1" customHeight="1">
      <c r="A1654" s="13" t="s">
        <v>46</v>
      </c>
      <c r="B1654" s="13" t="s">
        <v>53</v>
      </c>
      <c r="C1654" s="13" t="s">
        <v>947</v>
      </c>
      <c r="D1654" s="13"/>
      <c r="E1654" s="13" t="str">
        <f t="shared" si="735"/>
        <v>PALM,H17,,1</v>
      </c>
      <c r="F1654" s="13"/>
      <c r="G1654" s="13" t="s">
        <v>74</v>
      </c>
      <c r="H1654" s="13" t="s">
        <v>75</v>
      </c>
      <c r="I1654" s="13"/>
      <c r="J1654" s="13"/>
      <c r="K1654" s="15"/>
      <c r="L1654" s="15"/>
      <c r="M1654" s="16"/>
      <c r="N1654" s="37"/>
      <c r="O1654" s="17">
        <v>1.0</v>
      </c>
      <c r="P1654" s="17">
        <v>1.0</v>
      </c>
      <c r="Q1654" s="13"/>
      <c r="R1654" s="29">
        <v>45007.0</v>
      </c>
      <c r="S1654" s="13"/>
      <c r="T1654" s="13">
        <f t="shared" ref="T1654:V1654" si="1729">IF(ISBLANK(K1654)=TRUE,0,1)</f>
        <v>0</v>
      </c>
      <c r="U1654" s="13">
        <f t="shared" si="1729"/>
        <v>0</v>
      </c>
      <c r="V1654" s="13">
        <f t="shared" si="1729"/>
        <v>0</v>
      </c>
      <c r="W1654" s="13">
        <f t="shared" ref="W1654:X1654" si="1730">IF(ISBLANK(O1654)=TRUE,0,1)</f>
        <v>1</v>
      </c>
      <c r="X1654" s="13">
        <f t="shared" si="1730"/>
        <v>1</v>
      </c>
      <c r="Y1654" s="13">
        <f t="shared" si="1716"/>
        <v>1</v>
      </c>
      <c r="Z1654" s="13">
        <f t="shared" si="529"/>
        <v>1</v>
      </c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</row>
    <row r="1655" ht="14.25" hidden="1" customHeight="1">
      <c r="A1655" s="13" t="s">
        <v>46</v>
      </c>
      <c r="B1655" s="13" t="s">
        <v>53</v>
      </c>
      <c r="C1655" s="13" t="s">
        <v>948</v>
      </c>
      <c r="D1655" s="13"/>
      <c r="E1655" s="13" t="str">
        <f t="shared" si="735"/>
        <v>PALM,H18,,1</v>
      </c>
      <c r="F1655" s="13"/>
      <c r="G1655" s="13" t="s">
        <v>74</v>
      </c>
      <c r="H1655" s="13" t="s">
        <v>75</v>
      </c>
      <c r="I1655" s="13"/>
      <c r="J1655" s="13"/>
      <c r="K1655" s="15"/>
      <c r="L1655" s="15"/>
      <c r="M1655" s="16"/>
      <c r="N1655" s="37"/>
      <c r="O1655" s="17">
        <v>1.0</v>
      </c>
      <c r="P1655" s="17">
        <v>1.0</v>
      </c>
      <c r="Q1655" s="13"/>
      <c r="R1655" s="29">
        <v>45007.0</v>
      </c>
      <c r="S1655" s="13"/>
      <c r="T1655" s="13">
        <f t="shared" ref="T1655:V1655" si="1731">IF(ISBLANK(K1655)=TRUE,0,1)</f>
        <v>0</v>
      </c>
      <c r="U1655" s="13">
        <f t="shared" si="1731"/>
        <v>0</v>
      </c>
      <c r="V1655" s="13">
        <f t="shared" si="1731"/>
        <v>0</v>
      </c>
      <c r="W1655" s="13">
        <f t="shared" ref="W1655:X1655" si="1732">IF(ISBLANK(O1655)=TRUE,0,1)</f>
        <v>1</v>
      </c>
      <c r="X1655" s="13">
        <f t="shared" si="1732"/>
        <v>1</v>
      </c>
      <c r="Y1655" s="13">
        <f t="shared" si="1716"/>
        <v>1</v>
      </c>
      <c r="Z1655" s="13">
        <f t="shared" si="529"/>
        <v>1</v>
      </c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</row>
    <row r="1656" ht="14.25" hidden="1" customHeight="1">
      <c r="A1656" s="13" t="s">
        <v>46</v>
      </c>
      <c r="B1656" s="13" t="s">
        <v>53</v>
      </c>
      <c r="C1656" s="13" t="s">
        <v>949</v>
      </c>
      <c r="D1656" s="13"/>
      <c r="E1656" s="13" t="str">
        <f t="shared" si="735"/>
        <v>PALM,H19,,1</v>
      </c>
      <c r="F1656" s="13"/>
      <c r="G1656" s="13" t="s">
        <v>74</v>
      </c>
      <c r="H1656" s="13" t="s">
        <v>75</v>
      </c>
      <c r="I1656" s="13"/>
      <c r="J1656" s="13"/>
      <c r="K1656" s="15"/>
      <c r="L1656" s="15"/>
      <c r="M1656" s="16"/>
      <c r="N1656" s="37"/>
      <c r="O1656" s="17">
        <v>1.0</v>
      </c>
      <c r="P1656" s="17">
        <v>1.0</v>
      </c>
      <c r="Q1656" s="13"/>
      <c r="R1656" s="29">
        <v>45007.0</v>
      </c>
      <c r="S1656" s="13"/>
      <c r="T1656" s="13">
        <f t="shared" ref="T1656:V1656" si="1733">IF(ISBLANK(K1656)=TRUE,0,1)</f>
        <v>0</v>
      </c>
      <c r="U1656" s="13">
        <f t="shared" si="1733"/>
        <v>0</v>
      </c>
      <c r="V1656" s="13">
        <f t="shared" si="1733"/>
        <v>0</v>
      </c>
      <c r="W1656" s="13">
        <f t="shared" ref="W1656:X1656" si="1734">IF(ISBLANK(O1656)=TRUE,0,1)</f>
        <v>1</v>
      </c>
      <c r="X1656" s="13">
        <f t="shared" si="1734"/>
        <v>1</v>
      </c>
      <c r="Y1656" s="13">
        <f t="shared" si="1716"/>
        <v>1</v>
      </c>
      <c r="Z1656" s="13">
        <f t="shared" si="529"/>
        <v>1</v>
      </c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</row>
    <row r="1657" ht="14.25" hidden="1" customHeight="1">
      <c r="A1657" s="13" t="s">
        <v>46</v>
      </c>
      <c r="B1657" s="13" t="s">
        <v>53</v>
      </c>
      <c r="C1657" s="13" t="s">
        <v>950</v>
      </c>
      <c r="D1657" s="13"/>
      <c r="E1657" s="13" t="str">
        <f t="shared" si="735"/>
        <v>PALM,H2,,1</v>
      </c>
      <c r="F1657" s="13"/>
      <c r="G1657" s="13" t="s">
        <v>74</v>
      </c>
      <c r="H1657" s="13" t="s">
        <v>75</v>
      </c>
      <c r="I1657" s="13"/>
      <c r="J1657" s="13"/>
      <c r="K1657" s="15"/>
      <c r="L1657" s="15"/>
      <c r="M1657" s="16"/>
      <c r="N1657" s="37"/>
      <c r="O1657" s="17">
        <v>1.0</v>
      </c>
      <c r="P1657" s="17">
        <v>1.0</v>
      </c>
      <c r="Q1657" s="13"/>
      <c r="R1657" s="29">
        <v>45007.0</v>
      </c>
      <c r="S1657" s="13"/>
      <c r="T1657" s="13">
        <f t="shared" ref="T1657:V1657" si="1735">IF(ISBLANK(K1657)=TRUE,0,1)</f>
        <v>0</v>
      </c>
      <c r="U1657" s="13">
        <f t="shared" si="1735"/>
        <v>0</v>
      </c>
      <c r="V1657" s="13">
        <f t="shared" si="1735"/>
        <v>0</v>
      </c>
      <c r="W1657" s="13">
        <f t="shared" ref="W1657:X1657" si="1736">IF(ISBLANK(O1657)=TRUE,0,1)</f>
        <v>1</v>
      </c>
      <c r="X1657" s="13">
        <f t="shared" si="1736"/>
        <v>1</v>
      </c>
      <c r="Y1657" s="13">
        <f t="shared" si="1716"/>
        <v>1</v>
      </c>
      <c r="Z1657" s="13">
        <f t="shared" si="529"/>
        <v>1</v>
      </c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</row>
    <row r="1658" ht="14.25" hidden="1" customHeight="1">
      <c r="A1658" s="13" t="s">
        <v>46</v>
      </c>
      <c r="B1658" s="13" t="s">
        <v>53</v>
      </c>
      <c r="C1658" s="13" t="s">
        <v>951</v>
      </c>
      <c r="D1658" s="13"/>
      <c r="E1658" s="13" t="str">
        <f t="shared" si="735"/>
        <v>PALM,H23,,1</v>
      </c>
      <c r="F1658" s="13"/>
      <c r="G1658" s="13" t="s">
        <v>74</v>
      </c>
      <c r="H1658" s="13" t="s">
        <v>75</v>
      </c>
      <c r="I1658" s="13"/>
      <c r="J1658" s="13"/>
      <c r="K1658" s="15"/>
      <c r="L1658" s="15"/>
      <c r="M1658" s="16"/>
      <c r="N1658" s="37"/>
      <c r="O1658" s="17">
        <v>1.0</v>
      </c>
      <c r="P1658" s="17">
        <v>1.0</v>
      </c>
      <c r="Q1658" s="13"/>
      <c r="R1658" s="29">
        <v>45007.0</v>
      </c>
      <c r="S1658" s="13"/>
      <c r="T1658" s="13">
        <f t="shared" ref="T1658:V1658" si="1737">IF(ISBLANK(K1658)=TRUE,0,1)</f>
        <v>0</v>
      </c>
      <c r="U1658" s="13">
        <f t="shared" si="1737"/>
        <v>0</v>
      </c>
      <c r="V1658" s="13">
        <f t="shared" si="1737"/>
        <v>0</v>
      </c>
      <c r="W1658" s="13">
        <f t="shared" ref="W1658:X1658" si="1738">IF(ISBLANK(O1658)=TRUE,0,1)</f>
        <v>1</v>
      </c>
      <c r="X1658" s="13">
        <f t="shared" si="1738"/>
        <v>1</v>
      </c>
      <c r="Y1658" s="13">
        <f t="shared" si="1716"/>
        <v>1</v>
      </c>
      <c r="Z1658" s="13">
        <f t="shared" si="529"/>
        <v>1</v>
      </c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</row>
    <row r="1659" ht="14.25" hidden="1" customHeight="1">
      <c r="A1659" s="13" t="s">
        <v>46</v>
      </c>
      <c r="B1659" s="13" t="s">
        <v>53</v>
      </c>
      <c r="C1659" s="13" t="s">
        <v>952</v>
      </c>
      <c r="D1659" s="13"/>
      <c r="E1659" s="13" t="str">
        <f t="shared" si="735"/>
        <v>PALM,H24,,1</v>
      </c>
      <c r="F1659" s="13"/>
      <c r="G1659" s="13" t="s">
        <v>74</v>
      </c>
      <c r="H1659" s="13" t="s">
        <v>75</v>
      </c>
      <c r="I1659" s="13"/>
      <c r="J1659" s="13"/>
      <c r="K1659" s="15"/>
      <c r="L1659" s="15"/>
      <c r="M1659" s="16"/>
      <c r="N1659" s="37"/>
      <c r="O1659" s="17">
        <v>1.0</v>
      </c>
      <c r="P1659" s="17">
        <v>1.0</v>
      </c>
      <c r="Q1659" s="13"/>
      <c r="R1659" s="29">
        <v>45007.0</v>
      </c>
      <c r="S1659" s="13"/>
      <c r="T1659" s="13">
        <f t="shared" ref="T1659:V1659" si="1739">IF(ISBLANK(K1659)=TRUE,0,1)</f>
        <v>0</v>
      </c>
      <c r="U1659" s="13">
        <f t="shared" si="1739"/>
        <v>0</v>
      </c>
      <c r="V1659" s="13">
        <f t="shared" si="1739"/>
        <v>0</v>
      </c>
      <c r="W1659" s="13">
        <f t="shared" ref="W1659:X1659" si="1740">IF(ISBLANK(O1659)=TRUE,0,1)</f>
        <v>1</v>
      </c>
      <c r="X1659" s="13">
        <f t="shared" si="1740"/>
        <v>1</v>
      </c>
      <c r="Y1659" s="13">
        <f t="shared" si="1716"/>
        <v>1</v>
      </c>
      <c r="Z1659" s="13">
        <f t="shared" si="529"/>
        <v>1</v>
      </c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</row>
    <row r="1660" ht="14.25" hidden="1" customHeight="1">
      <c r="A1660" s="13" t="s">
        <v>46</v>
      </c>
      <c r="B1660" s="13" t="s">
        <v>53</v>
      </c>
      <c r="C1660" s="13" t="s">
        <v>953</v>
      </c>
      <c r="D1660" s="13"/>
      <c r="E1660" s="13" t="str">
        <f t="shared" si="735"/>
        <v>PALM,H25,,1</v>
      </c>
      <c r="F1660" s="13"/>
      <c r="G1660" s="13" t="s">
        <v>74</v>
      </c>
      <c r="H1660" s="13" t="s">
        <v>75</v>
      </c>
      <c r="I1660" s="13"/>
      <c r="J1660" s="13"/>
      <c r="K1660" s="15"/>
      <c r="L1660" s="15"/>
      <c r="M1660" s="16"/>
      <c r="N1660" s="37"/>
      <c r="O1660" s="17">
        <v>1.0</v>
      </c>
      <c r="P1660" s="17">
        <v>1.0</v>
      </c>
      <c r="Q1660" s="13"/>
      <c r="R1660" s="29">
        <v>45007.0</v>
      </c>
      <c r="S1660" s="13"/>
      <c r="T1660" s="13">
        <f t="shared" ref="T1660:V1660" si="1741">IF(ISBLANK(K1660)=TRUE,0,1)</f>
        <v>0</v>
      </c>
      <c r="U1660" s="13">
        <f t="shared" si="1741"/>
        <v>0</v>
      </c>
      <c r="V1660" s="13">
        <f t="shared" si="1741"/>
        <v>0</v>
      </c>
      <c r="W1660" s="13">
        <f t="shared" ref="W1660:X1660" si="1742">IF(ISBLANK(O1660)=TRUE,0,1)</f>
        <v>1</v>
      </c>
      <c r="X1660" s="13">
        <f t="shared" si="1742"/>
        <v>1</v>
      </c>
      <c r="Y1660" s="13">
        <f t="shared" si="1716"/>
        <v>1</v>
      </c>
      <c r="Z1660" s="13">
        <f t="shared" si="529"/>
        <v>1</v>
      </c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</row>
    <row r="1661" ht="14.25" hidden="1" customHeight="1">
      <c r="A1661" s="13" t="s">
        <v>46</v>
      </c>
      <c r="B1661" s="13" t="s">
        <v>53</v>
      </c>
      <c r="C1661" s="13" t="s">
        <v>954</v>
      </c>
      <c r="D1661" s="13"/>
      <c r="E1661" s="13" t="str">
        <f t="shared" si="735"/>
        <v>PALM,H3,,1</v>
      </c>
      <c r="F1661" s="13"/>
      <c r="G1661" s="13" t="s">
        <v>74</v>
      </c>
      <c r="H1661" s="13" t="s">
        <v>75</v>
      </c>
      <c r="I1661" s="13"/>
      <c r="J1661" s="13"/>
      <c r="K1661" s="15"/>
      <c r="L1661" s="15"/>
      <c r="M1661" s="16"/>
      <c r="N1661" s="37"/>
      <c r="O1661" s="17">
        <v>1.0</v>
      </c>
      <c r="P1661" s="17">
        <v>1.0</v>
      </c>
      <c r="Q1661" s="13"/>
      <c r="R1661" s="29">
        <v>45007.0</v>
      </c>
      <c r="S1661" s="13"/>
      <c r="T1661" s="13">
        <f t="shared" ref="T1661:V1661" si="1743">IF(ISBLANK(K1661)=TRUE,0,1)</f>
        <v>0</v>
      </c>
      <c r="U1661" s="13">
        <f t="shared" si="1743"/>
        <v>0</v>
      </c>
      <c r="V1661" s="13">
        <f t="shared" si="1743"/>
        <v>0</v>
      </c>
      <c r="W1661" s="13">
        <f t="shared" ref="W1661:X1661" si="1744">IF(ISBLANK(O1661)=TRUE,0,1)</f>
        <v>1</v>
      </c>
      <c r="X1661" s="13">
        <f t="shared" si="1744"/>
        <v>1</v>
      </c>
      <c r="Y1661" s="13">
        <f t="shared" si="1716"/>
        <v>1</v>
      </c>
      <c r="Z1661" s="13">
        <f t="shared" si="529"/>
        <v>1</v>
      </c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</row>
    <row r="1662" ht="14.25" hidden="1" customHeight="1">
      <c r="A1662" s="13" t="s">
        <v>46</v>
      </c>
      <c r="B1662" s="13" t="s">
        <v>53</v>
      </c>
      <c r="C1662" s="13" t="s">
        <v>955</v>
      </c>
      <c r="D1662" s="13"/>
      <c r="E1662" s="13" t="str">
        <f t="shared" si="735"/>
        <v>PALM,H30,,1</v>
      </c>
      <c r="F1662" s="13"/>
      <c r="G1662" s="13" t="s">
        <v>74</v>
      </c>
      <c r="H1662" s="13" t="s">
        <v>75</v>
      </c>
      <c r="I1662" s="13"/>
      <c r="J1662" s="13"/>
      <c r="K1662" s="15"/>
      <c r="L1662" s="15"/>
      <c r="M1662" s="16"/>
      <c r="N1662" s="37"/>
      <c r="O1662" s="17">
        <v>1.0</v>
      </c>
      <c r="P1662" s="17">
        <v>1.0</v>
      </c>
      <c r="Q1662" s="13"/>
      <c r="R1662" s="29">
        <v>45007.0</v>
      </c>
      <c r="S1662" s="13"/>
      <c r="T1662" s="13">
        <f t="shared" ref="T1662:V1662" si="1745">IF(ISBLANK(K1662)=TRUE,0,1)</f>
        <v>0</v>
      </c>
      <c r="U1662" s="13">
        <f t="shared" si="1745"/>
        <v>0</v>
      </c>
      <c r="V1662" s="13">
        <f t="shared" si="1745"/>
        <v>0</v>
      </c>
      <c r="W1662" s="13">
        <f t="shared" ref="W1662:X1662" si="1746">IF(ISBLANK(O1662)=TRUE,0,1)</f>
        <v>1</v>
      </c>
      <c r="X1662" s="13">
        <f t="shared" si="1746"/>
        <v>1</v>
      </c>
      <c r="Y1662" s="13">
        <f t="shared" si="1716"/>
        <v>1</v>
      </c>
      <c r="Z1662" s="13">
        <f t="shared" si="529"/>
        <v>1</v>
      </c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</row>
    <row r="1663" ht="14.25" hidden="1" customHeight="1">
      <c r="A1663" s="13" t="s">
        <v>46</v>
      </c>
      <c r="B1663" s="13" t="s">
        <v>53</v>
      </c>
      <c r="C1663" s="13" t="s">
        <v>956</v>
      </c>
      <c r="D1663" s="13"/>
      <c r="E1663" s="13" t="str">
        <f t="shared" si="735"/>
        <v>PALM,H31,,1</v>
      </c>
      <c r="F1663" s="13"/>
      <c r="G1663" s="13" t="s">
        <v>74</v>
      </c>
      <c r="H1663" s="13" t="s">
        <v>75</v>
      </c>
      <c r="I1663" s="13"/>
      <c r="J1663" s="13"/>
      <c r="K1663" s="15"/>
      <c r="L1663" s="15"/>
      <c r="M1663" s="16"/>
      <c r="N1663" s="37"/>
      <c r="O1663" s="17">
        <v>1.0</v>
      </c>
      <c r="P1663" s="17">
        <v>1.0</v>
      </c>
      <c r="Q1663" s="13"/>
      <c r="R1663" s="29">
        <v>45007.0</v>
      </c>
      <c r="S1663" s="13"/>
      <c r="T1663" s="13">
        <f t="shared" ref="T1663:V1663" si="1747">IF(ISBLANK(K1663)=TRUE,0,1)</f>
        <v>0</v>
      </c>
      <c r="U1663" s="13">
        <f t="shared" si="1747"/>
        <v>0</v>
      </c>
      <c r="V1663" s="13">
        <f t="shared" si="1747"/>
        <v>0</v>
      </c>
      <c r="W1663" s="13">
        <f t="shared" ref="W1663:X1663" si="1748">IF(ISBLANK(O1663)=TRUE,0,1)</f>
        <v>1</v>
      </c>
      <c r="X1663" s="13">
        <f t="shared" si="1748"/>
        <v>1</v>
      </c>
      <c r="Y1663" s="13">
        <f t="shared" si="1716"/>
        <v>1</v>
      </c>
      <c r="Z1663" s="13">
        <f t="shared" si="529"/>
        <v>1</v>
      </c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</row>
    <row r="1664" ht="14.25" hidden="1" customHeight="1">
      <c r="A1664" s="13" t="s">
        <v>46</v>
      </c>
      <c r="B1664" s="13" t="s">
        <v>53</v>
      </c>
      <c r="C1664" s="13" t="s">
        <v>957</v>
      </c>
      <c r="D1664" s="13"/>
      <c r="E1664" s="13" t="str">
        <f t="shared" si="735"/>
        <v>PALM,H37,,1</v>
      </c>
      <c r="F1664" s="13"/>
      <c r="G1664" s="13" t="s">
        <v>74</v>
      </c>
      <c r="H1664" s="13" t="s">
        <v>75</v>
      </c>
      <c r="I1664" s="13"/>
      <c r="J1664" s="13"/>
      <c r="K1664" s="15"/>
      <c r="L1664" s="15"/>
      <c r="M1664" s="16"/>
      <c r="N1664" s="37"/>
      <c r="O1664" s="17">
        <v>1.0</v>
      </c>
      <c r="P1664" s="17">
        <v>1.0</v>
      </c>
      <c r="Q1664" s="13"/>
      <c r="R1664" s="29">
        <v>45007.0</v>
      </c>
      <c r="S1664" s="13"/>
      <c r="T1664" s="13">
        <f t="shared" ref="T1664:V1664" si="1749">IF(ISBLANK(K1664)=TRUE,0,1)</f>
        <v>0</v>
      </c>
      <c r="U1664" s="13">
        <f t="shared" si="1749"/>
        <v>0</v>
      </c>
      <c r="V1664" s="13">
        <f t="shared" si="1749"/>
        <v>0</v>
      </c>
      <c r="W1664" s="13">
        <f t="shared" ref="W1664:X1664" si="1750">IF(ISBLANK(O1664)=TRUE,0,1)</f>
        <v>1</v>
      </c>
      <c r="X1664" s="13">
        <f t="shared" si="1750"/>
        <v>1</v>
      </c>
      <c r="Y1664" s="13">
        <f t="shared" si="1716"/>
        <v>1</v>
      </c>
      <c r="Z1664" s="13">
        <f t="shared" si="529"/>
        <v>1</v>
      </c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</row>
    <row r="1665" ht="14.25" hidden="1" customHeight="1">
      <c r="A1665" s="13" t="s">
        <v>46</v>
      </c>
      <c r="B1665" s="13" t="s">
        <v>53</v>
      </c>
      <c r="C1665" s="13" t="s">
        <v>958</v>
      </c>
      <c r="D1665" s="13"/>
      <c r="E1665" s="13" t="str">
        <f t="shared" si="735"/>
        <v>PALM,H4,,1</v>
      </c>
      <c r="F1665" s="13"/>
      <c r="G1665" s="13" t="s">
        <v>74</v>
      </c>
      <c r="H1665" s="13" t="s">
        <v>75</v>
      </c>
      <c r="I1665" s="13"/>
      <c r="J1665" s="13"/>
      <c r="K1665" s="15"/>
      <c r="L1665" s="15"/>
      <c r="M1665" s="16"/>
      <c r="N1665" s="37"/>
      <c r="O1665" s="17">
        <v>1.0</v>
      </c>
      <c r="P1665" s="17">
        <v>1.0</v>
      </c>
      <c r="Q1665" s="13"/>
      <c r="R1665" s="29">
        <v>45007.0</v>
      </c>
      <c r="S1665" s="13"/>
      <c r="T1665" s="13">
        <f t="shared" ref="T1665:V1665" si="1751">IF(ISBLANK(K1665)=TRUE,0,1)</f>
        <v>0</v>
      </c>
      <c r="U1665" s="13">
        <f t="shared" si="1751"/>
        <v>0</v>
      </c>
      <c r="V1665" s="13">
        <f t="shared" si="1751"/>
        <v>0</v>
      </c>
      <c r="W1665" s="13">
        <f t="shared" ref="W1665:X1665" si="1752">IF(ISBLANK(O1665)=TRUE,0,1)</f>
        <v>1</v>
      </c>
      <c r="X1665" s="13">
        <f t="shared" si="1752"/>
        <v>1</v>
      </c>
      <c r="Y1665" s="13">
        <f t="shared" si="1716"/>
        <v>1</v>
      </c>
      <c r="Z1665" s="13">
        <f t="shared" si="529"/>
        <v>1</v>
      </c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</row>
    <row r="1666" ht="14.25" hidden="1" customHeight="1">
      <c r="A1666" s="13" t="s">
        <v>46</v>
      </c>
      <c r="B1666" s="13" t="s">
        <v>53</v>
      </c>
      <c r="C1666" s="13" t="s">
        <v>959</v>
      </c>
      <c r="D1666" s="13"/>
      <c r="E1666" s="13" t="str">
        <f t="shared" si="735"/>
        <v>PALM,H40,,1</v>
      </c>
      <c r="F1666" s="13"/>
      <c r="G1666" s="13" t="s">
        <v>74</v>
      </c>
      <c r="H1666" s="13" t="s">
        <v>75</v>
      </c>
      <c r="I1666" s="13"/>
      <c r="J1666" s="13"/>
      <c r="K1666" s="15"/>
      <c r="L1666" s="15"/>
      <c r="M1666" s="16"/>
      <c r="N1666" s="37"/>
      <c r="O1666" s="17">
        <v>1.0</v>
      </c>
      <c r="P1666" s="17">
        <v>1.0</v>
      </c>
      <c r="Q1666" s="13"/>
      <c r="R1666" s="29">
        <v>45007.0</v>
      </c>
      <c r="S1666" s="13"/>
      <c r="T1666" s="13">
        <f t="shared" ref="T1666:V1666" si="1753">IF(ISBLANK(K1666)=TRUE,0,1)</f>
        <v>0</v>
      </c>
      <c r="U1666" s="13">
        <f t="shared" si="1753"/>
        <v>0</v>
      </c>
      <c r="V1666" s="13">
        <f t="shared" si="1753"/>
        <v>0</v>
      </c>
      <c r="W1666" s="13">
        <f t="shared" ref="W1666:X1666" si="1754">IF(ISBLANK(O1666)=TRUE,0,1)</f>
        <v>1</v>
      </c>
      <c r="X1666" s="13">
        <f t="shared" si="1754"/>
        <v>1</v>
      </c>
      <c r="Y1666" s="13">
        <f t="shared" si="1716"/>
        <v>1</v>
      </c>
      <c r="Z1666" s="13">
        <f t="shared" si="529"/>
        <v>1</v>
      </c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</row>
    <row r="1667" ht="14.25" hidden="1" customHeight="1">
      <c r="A1667" s="13" t="s">
        <v>46</v>
      </c>
      <c r="B1667" s="13" t="s">
        <v>53</v>
      </c>
      <c r="C1667" s="13" t="s">
        <v>960</v>
      </c>
      <c r="D1667" s="13"/>
      <c r="E1667" s="13" t="str">
        <f t="shared" si="735"/>
        <v>PALM,H41,,1</v>
      </c>
      <c r="F1667" s="13"/>
      <c r="G1667" s="13" t="s">
        <v>74</v>
      </c>
      <c r="H1667" s="13" t="s">
        <v>75</v>
      </c>
      <c r="I1667" s="13"/>
      <c r="J1667" s="13"/>
      <c r="K1667" s="15"/>
      <c r="L1667" s="15"/>
      <c r="M1667" s="16"/>
      <c r="N1667" s="37"/>
      <c r="O1667" s="17">
        <v>1.0</v>
      </c>
      <c r="P1667" s="17">
        <v>1.0</v>
      </c>
      <c r="Q1667" s="13"/>
      <c r="R1667" s="29">
        <v>45007.0</v>
      </c>
      <c r="S1667" s="13"/>
      <c r="T1667" s="13">
        <f t="shared" ref="T1667:V1667" si="1755">IF(ISBLANK(K1667)=TRUE,0,1)</f>
        <v>0</v>
      </c>
      <c r="U1667" s="13">
        <f t="shared" si="1755"/>
        <v>0</v>
      </c>
      <c r="V1667" s="13">
        <f t="shared" si="1755"/>
        <v>0</v>
      </c>
      <c r="W1667" s="13">
        <f t="shared" ref="W1667:X1667" si="1756">IF(ISBLANK(O1667)=TRUE,0,1)</f>
        <v>1</v>
      </c>
      <c r="X1667" s="13">
        <f t="shared" si="1756"/>
        <v>1</v>
      </c>
      <c r="Y1667" s="13">
        <f t="shared" si="1716"/>
        <v>1</v>
      </c>
      <c r="Z1667" s="13">
        <f t="shared" si="529"/>
        <v>1</v>
      </c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</row>
    <row r="1668" ht="14.25" hidden="1" customHeight="1">
      <c r="A1668" s="13" t="s">
        <v>46</v>
      </c>
      <c r="B1668" s="13" t="s">
        <v>53</v>
      </c>
      <c r="C1668" s="13" t="s">
        <v>961</v>
      </c>
      <c r="D1668" s="13"/>
      <c r="E1668" s="13" t="str">
        <f t="shared" si="735"/>
        <v>PALM,H43,,1</v>
      </c>
      <c r="F1668" s="13"/>
      <c r="G1668" s="13" t="s">
        <v>74</v>
      </c>
      <c r="H1668" s="13" t="s">
        <v>75</v>
      </c>
      <c r="I1668" s="13"/>
      <c r="J1668" s="13"/>
      <c r="K1668" s="15"/>
      <c r="L1668" s="15"/>
      <c r="M1668" s="16"/>
      <c r="N1668" s="37"/>
      <c r="O1668" s="17">
        <v>1.0</v>
      </c>
      <c r="P1668" s="17">
        <v>1.0</v>
      </c>
      <c r="Q1668" s="13"/>
      <c r="R1668" s="29">
        <v>45007.0</v>
      </c>
      <c r="S1668" s="13"/>
      <c r="T1668" s="13">
        <f t="shared" ref="T1668:V1668" si="1757">IF(ISBLANK(K1668)=TRUE,0,1)</f>
        <v>0</v>
      </c>
      <c r="U1668" s="13">
        <f t="shared" si="1757"/>
        <v>0</v>
      </c>
      <c r="V1668" s="13">
        <f t="shared" si="1757"/>
        <v>0</v>
      </c>
      <c r="W1668" s="13">
        <f t="shared" ref="W1668:X1668" si="1758">IF(ISBLANK(O1668)=TRUE,0,1)</f>
        <v>1</v>
      </c>
      <c r="X1668" s="13">
        <f t="shared" si="1758"/>
        <v>1</v>
      </c>
      <c r="Y1668" s="13">
        <f t="shared" si="1716"/>
        <v>1</v>
      </c>
      <c r="Z1668" s="13">
        <f t="shared" si="529"/>
        <v>1</v>
      </c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</row>
    <row r="1669" ht="14.25" hidden="1" customHeight="1">
      <c r="A1669" s="13" t="s">
        <v>46</v>
      </c>
      <c r="B1669" s="13" t="s">
        <v>53</v>
      </c>
      <c r="C1669" s="13" t="s">
        <v>962</v>
      </c>
      <c r="D1669" s="13"/>
      <c r="E1669" s="13" t="str">
        <f t="shared" si="735"/>
        <v>PALM,H5,,1</v>
      </c>
      <c r="F1669" s="13"/>
      <c r="G1669" s="13" t="s">
        <v>74</v>
      </c>
      <c r="H1669" s="13" t="s">
        <v>75</v>
      </c>
      <c r="I1669" s="13"/>
      <c r="J1669" s="13"/>
      <c r="K1669" s="15"/>
      <c r="L1669" s="15"/>
      <c r="M1669" s="16"/>
      <c r="N1669" s="37"/>
      <c r="O1669" s="17">
        <v>1.0</v>
      </c>
      <c r="P1669" s="17">
        <v>1.0</v>
      </c>
      <c r="Q1669" s="13"/>
      <c r="R1669" s="29">
        <v>45007.0</v>
      </c>
      <c r="S1669" s="13"/>
      <c r="T1669" s="13">
        <f t="shared" ref="T1669:V1669" si="1759">IF(ISBLANK(K1669)=TRUE,0,1)</f>
        <v>0</v>
      </c>
      <c r="U1669" s="13">
        <f t="shared" si="1759"/>
        <v>0</v>
      </c>
      <c r="V1669" s="13">
        <f t="shared" si="1759"/>
        <v>0</v>
      </c>
      <c r="W1669" s="13">
        <f t="shared" ref="W1669:X1669" si="1760">IF(ISBLANK(O1669)=TRUE,0,1)</f>
        <v>1</v>
      </c>
      <c r="X1669" s="13">
        <f t="shared" si="1760"/>
        <v>1</v>
      </c>
      <c r="Y1669" s="13">
        <f t="shared" si="1716"/>
        <v>1</v>
      </c>
      <c r="Z1669" s="13">
        <f t="shared" si="529"/>
        <v>1</v>
      </c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</row>
    <row r="1670" ht="14.25" hidden="1" customHeight="1">
      <c r="A1670" s="13" t="s">
        <v>46</v>
      </c>
      <c r="B1670" s="13" t="s">
        <v>53</v>
      </c>
      <c r="C1670" s="13" t="s">
        <v>963</v>
      </c>
      <c r="D1670" s="13"/>
      <c r="E1670" s="13" t="str">
        <f t="shared" si="735"/>
        <v>PALM,H54,,1</v>
      </c>
      <c r="F1670" s="13"/>
      <c r="G1670" s="13" t="s">
        <v>74</v>
      </c>
      <c r="H1670" s="13" t="s">
        <v>75</v>
      </c>
      <c r="I1670" s="13"/>
      <c r="J1670" s="13"/>
      <c r="K1670" s="15"/>
      <c r="L1670" s="15"/>
      <c r="M1670" s="16"/>
      <c r="N1670" s="37"/>
      <c r="O1670" s="17">
        <v>1.0</v>
      </c>
      <c r="P1670" s="17">
        <v>1.0</v>
      </c>
      <c r="Q1670" s="13"/>
      <c r="R1670" s="29">
        <v>45007.0</v>
      </c>
      <c r="S1670" s="13"/>
      <c r="T1670" s="13">
        <f t="shared" ref="T1670:V1670" si="1761">IF(ISBLANK(K1670)=TRUE,0,1)</f>
        <v>0</v>
      </c>
      <c r="U1670" s="13">
        <f t="shared" si="1761"/>
        <v>0</v>
      </c>
      <c r="V1670" s="13">
        <f t="shared" si="1761"/>
        <v>0</v>
      </c>
      <c r="W1670" s="13">
        <f t="shared" ref="W1670:X1670" si="1762">IF(ISBLANK(O1670)=TRUE,0,1)</f>
        <v>1</v>
      </c>
      <c r="X1670" s="13">
        <f t="shared" si="1762"/>
        <v>1</v>
      </c>
      <c r="Y1670" s="13">
        <f t="shared" si="1716"/>
        <v>1</v>
      </c>
      <c r="Z1670" s="13">
        <f t="shared" si="529"/>
        <v>1</v>
      </c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</row>
    <row r="1671" ht="14.25" hidden="1" customHeight="1">
      <c r="A1671" s="13" t="s">
        <v>46</v>
      </c>
      <c r="B1671" s="13" t="s">
        <v>53</v>
      </c>
      <c r="C1671" s="13" t="s">
        <v>964</v>
      </c>
      <c r="D1671" s="13"/>
      <c r="E1671" s="13" t="str">
        <f t="shared" si="735"/>
        <v>PALM,H55,,1</v>
      </c>
      <c r="F1671" s="13"/>
      <c r="G1671" s="13" t="s">
        <v>74</v>
      </c>
      <c r="H1671" s="13" t="s">
        <v>75</v>
      </c>
      <c r="I1671" s="13"/>
      <c r="J1671" s="13"/>
      <c r="K1671" s="15"/>
      <c r="L1671" s="15"/>
      <c r="M1671" s="16"/>
      <c r="N1671" s="37"/>
      <c r="O1671" s="17">
        <v>1.0</v>
      </c>
      <c r="P1671" s="17">
        <v>1.0</v>
      </c>
      <c r="Q1671" s="13"/>
      <c r="R1671" s="29">
        <v>45007.0</v>
      </c>
      <c r="S1671" s="13"/>
      <c r="T1671" s="13">
        <f t="shared" ref="T1671:V1671" si="1763">IF(ISBLANK(K1671)=TRUE,0,1)</f>
        <v>0</v>
      </c>
      <c r="U1671" s="13">
        <f t="shared" si="1763"/>
        <v>0</v>
      </c>
      <c r="V1671" s="13">
        <f t="shared" si="1763"/>
        <v>0</v>
      </c>
      <c r="W1671" s="13">
        <f t="shared" ref="W1671:X1671" si="1764">IF(ISBLANK(O1671)=TRUE,0,1)</f>
        <v>1</v>
      </c>
      <c r="X1671" s="13">
        <f t="shared" si="1764"/>
        <v>1</v>
      </c>
      <c r="Y1671" s="13">
        <f t="shared" si="1716"/>
        <v>1</v>
      </c>
      <c r="Z1671" s="13">
        <f t="shared" si="529"/>
        <v>1</v>
      </c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</row>
    <row r="1672" ht="14.25" hidden="1" customHeight="1">
      <c r="A1672" s="13" t="s">
        <v>46</v>
      </c>
      <c r="B1672" s="13" t="s">
        <v>53</v>
      </c>
      <c r="C1672" s="13" t="s">
        <v>965</v>
      </c>
      <c r="D1672" s="13"/>
      <c r="E1672" s="13" t="str">
        <f t="shared" si="735"/>
        <v>PALM,H56,,1</v>
      </c>
      <c r="F1672" s="13"/>
      <c r="G1672" s="13" t="s">
        <v>74</v>
      </c>
      <c r="H1672" s="13" t="s">
        <v>75</v>
      </c>
      <c r="I1672" s="13"/>
      <c r="J1672" s="13"/>
      <c r="K1672" s="15"/>
      <c r="L1672" s="15"/>
      <c r="M1672" s="16"/>
      <c r="N1672" s="37"/>
      <c r="O1672" s="17">
        <v>1.0</v>
      </c>
      <c r="P1672" s="17">
        <v>1.0</v>
      </c>
      <c r="Q1672" s="13"/>
      <c r="R1672" s="29">
        <v>45007.0</v>
      </c>
      <c r="S1672" s="13"/>
      <c r="T1672" s="13">
        <f t="shared" ref="T1672:V1672" si="1765">IF(ISBLANK(K1672)=TRUE,0,1)</f>
        <v>0</v>
      </c>
      <c r="U1672" s="13">
        <f t="shared" si="1765"/>
        <v>0</v>
      </c>
      <c r="V1672" s="13">
        <f t="shared" si="1765"/>
        <v>0</v>
      </c>
      <c r="W1672" s="13">
        <f t="shared" ref="W1672:X1672" si="1766">IF(ISBLANK(O1672)=TRUE,0,1)</f>
        <v>1</v>
      </c>
      <c r="X1672" s="13">
        <f t="shared" si="1766"/>
        <v>1</v>
      </c>
      <c r="Y1672" s="13">
        <f t="shared" si="1716"/>
        <v>1</v>
      </c>
      <c r="Z1672" s="13">
        <f t="shared" si="529"/>
        <v>1</v>
      </c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</row>
    <row r="1673" ht="14.25" hidden="1" customHeight="1">
      <c r="A1673" s="13" t="s">
        <v>46</v>
      </c>
      <c r="B1673" s="13" t="s">
        <v>53</v>
      </c>
      <c r="C1673" s="13" t="s">
        <v>966</v>
      </c>
      <c r="D1673" s="13"/>
      <c r="E1673" s="13" t="str">
        <f t="shared" si="735"/>
        <v>PALM,H6,,1</v>
      </c>
      <c r="F1673" s="13"/>
      <c r="G1673" s="13" t="s">
        <v>74</v>
      </c>
      <c r="H1673" s="13" t="s">
        <v>75</v>
      </c>
      <c r="I1673" s="13"/>
      <c r="J1673" s="13"/>
      <c r="K1673" s="15"/>
      <c r="L1673" s="15"/>
      <c r="M1673" s="16"/>
      <c r="N1673" s="37"/>
      <c r="O1673" s="17">
        <v>1.0</v>
      </c>
      <c r="P1673" s="17">
        <v>1.0</v>
      </c>
      <c r="Q1673" s="13"/>
      <c r="R1673" s="29">
        <v>45007.0</v>
      </c>
      <c r="S1673" s="13"/>
      <c r="T1673" s="13">
        <f t="shared" ref="T1673:V1673" si="1767">IF(ISBLANK(K1673)=TRUE,0,1)</f>
        <v>0</v>
      </c>
      <c r="U1673" s="13">
        <f t="shared" si="1767"/>
        <v>0</v>
      </c>
      <c r="V1673" s="13">
        <f t="shared" si="1767"/>
        <v>0</v>
      </c>
      <c r="W1673" s="13">
        <f t="shared" ref="W1673:X1673" si="1768">IF(ISBLANK(O1673)=TRUE,0,1)</f>
        <v>1</v>
      </c>
      <c r="X1673" s="13">
        <f t="shared" si="1768"/>
        <v>1</v>
      </c>
      <c r="Y1673" s="13">
        <f t="shared" si="1716"/>
        <v>1</v>
      </c>
      <c r="Z1673" s="13">
        <f t="shared" si="529"/>
        <v>1</v>
      </c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</row>
    <row r="1674" ht="14.25" hidden="1" customHeight="1">
      <c r="A1674" s="13" t="s">
        <v>46</v>
      </c>
      <c r="B1674" s="13" t="s">
        <v>53</v>
      </c>
      <c r="C1674" s="13" t="s">
        <v>967</v>
      </c>
      <c r="D1674" s="13"/>
      <c r="E1674" s="13" t="str">
        <f t="shared" si="735"/>
        <v>PALM,H7,,1</v>
      </c>
      <c r="F1674" s="13"/>
      <c r="G1674" s="13" t="s">
        <v>74</v>
      </c>
      <c r="H1674" s="13" t="s">
        <v>75</v>
      </c>
      <c r="I1674" s="13"/>
      <c r="J1674" s="13"/>
      <c r="K1674" s="15"/>
      <c r="L1674" s="15"/>
      <c r="M1674" s="16"/>
      <c r="N1674" s="37"/>
      <c r="O1674" s="17">
        <v>1.0</v>
      </c>
      <c r="P1674" s="17">
        <v>1.0</v>
      </c>
      <c r="Q1674" s="13"/>
      <c r="R1674" s="29">
        <v>45007.0</v>
      </c>
      <c r="S1674" s="13"/>
      <c r="T1674" s="13">
        <f t="shared" ref="T1674:V1674" si="1769">IF(ISBLANK(K1674)=TRUE,0,1)</f>
        <v>0</v>
      </c>
      <c r="U1674" s="13">
        <f t="shared" si="1769"/>
        <v>0</v>
      </c>
      <c r="V1674" s="13">
        <f t="shared" si="1769"/>
        <v>0</v>
      </c>
      <c r="W1674" s="13">
        <f t="shared" ref="W1674:X1674" si="1770">IF(ISBLANK(O1674)=TRUE,0,1)</f>
        <v>1</v>
      </c>
      <c r="X1674" s="13">
        <f t="shared" si="1770"/>
        <v>1</v>
      </c>
      <c r="Y1674" s="13">
        <f t="shared" si="1716"/>
        <v>1</v>
      </c>
      <c r="Z1674" s="13">
        <f t="shared" si="529"/>
        <v>1</v>
      </c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</row>
    <row r="1675" ht="14.25" hidden="1" customHeight="1">
      <c r="A1675" s="13" t="s">
        <v>46</v>
      </c>
      <c r="B1675" s="13" t="s">
        <v>53</v>
      </c>
      <c r="C1675" s="13" t="s">
        <v>968</v>
      </c>
      <c r="D1675" s="13"/>
      <c r="E1675" s="13" t="str">
        <f t="shared" si="735"/>
        <v>PALM,H8,,1</v>
      </c>
      <c r="F1675" s="13"/>
      <c r="G1675" s="13" t="s">
        <v>74</v>
      </c>
      <c r="H1675" s="13" t="s">
        <v>75</v>
      </c>
      <c r="I1675" s="13"/>
      <c r="J1675" s="13"/>
      <c r="K1675" s="15"/>
      <c r="L1675" s="15"/>
      <c r="M1675" s="16"/>
      <c r="N1675" s="37"/>
      <c r="O1675" s="17">
        <v>1.0</v>
      </c>
      <c r="P1675" s="17">
        <v>1.0</v>
      </c>
      <c r="Q1675" s="13"/>
      <c r="R1675" s="29">
        <v>45007.0</v>
      </c>
      <c r="S1675" s="13"/>
      <c r="T1675" s="13">
        <f t="shared" ref="T1675:V1675" si="1771">IF(ISBLANK(K1675)=TRUE,0,1)</f>
        <v>0</v>
      </c>
      <c r="U1675" s="13">
        <f t="shared" si="1771"/>
        <v>0</v>
      </c>
      <c r="V1675" s="13">
        <f t="shared" si="1771"/>
        <v>0</v>
      </c>
      <c r="W1675" s="13">
        <f t="shared" ref="W1675:X1675" si="1772">IF(ISBLANK(O1675)=TRUE,0,1)</f>
        <v>1</v>
      </c>
      <c r="X1675" s="13">
        <f t="shared" si="1772"/>
        <v>1</v>
      </c>
      <c r="Y1675" s="13">
        <f t="shared" si="1716"/>
        <v>1</v>
      </c>
      <c r="Z1675" s="13">
        <f t="shared" si="529"/>
        <v>1</v>
      </c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</row>
    <row r="1676" ht="14.25" hidden="1" customHeight="1">
      <c r="A1676" s="13" t="s">
        <v>46</v>
      </c>
      <c r="B1676" s="13" t="s">
        <v>53</v>
      </c>
      <c r="C1676" s="13" t="s">
        <v>969</v>
      </c>
      <c r="D1676" s="13"/>
      <c r="E1676" s="13" t="str">
        <f t="shared" si="735"/>
        <v>PALM,H9,,1</v>
      </c>
      <c r="F1676" s="13"/>
      <c r="G1676" s="13" t="s">
        <v>74</v>
      </c>
      <c r="H1676" s="13" t="s">
        <v>75</v>
      </c>
      <c r="I1676" s="13"/>
      <c r="J1676" s="13"/>
      <c r="K1676" s="15"/>
      <c r="L1676" s="15"/>
      <c r="M1676" s="16"/>
      <c r="N1676" s="37"/>
      <c r="O1676" s="17">
        <v>1.0</v>
      </c>
      <c r="P1676" s="17">
        <v>1.0</v>
      </c>
      <c r="Q1676" s="13"/>
      <c r="R1676" s="29">
        <v>45007.0</v>
      </c>
      <c r="S1676" s="13"/>
      <c r="T1676" s="13">
        <f t="shared" ref="T1676:V1676" si="1773">IF(ISBLANK(K1676)=TRUE,0,1)</f>
        <v>0</v>
      </c>
      <c r="U1676" s="13">
        <f t="shared" si="1773"/>
        <v>0</v>
      </c>
      <c r="V1676" s="13">
        <f t="shared" si="1773"/>
        <v>0</v>
      </c>
      <c r="W1676" s="13">
        <f t="shared" ref="W1676:X1676" si="1774">IF(ISBLANK(O1676)=TRUE,0,1)</f>
        <v>1</v>
      </c>
      <c r="X1676" s="13">
        <f t="shared" si="1774"/>
        <v>1</v>
      </c>
      <c r="Y1676" s="13">
        <f t="shared" si="1716"/>
        <v>1</v>
      </c>
      <c r="Z1676" s="13">
        <f t="shared" si="529"/>
        <v>1</v>
      </c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</row>
    <row r="1677" ht="14.25" hidden="1" customHeight="1">
      <c r="A1677" s="13" t="s">
        <v>46</v>
      </c>
      <c r="B1677" s="13" t="s">
        <v>53</v>
      </c>
      <c r="C1677" s="13" t="s">
        <v>970</v>
      </c>
      <c r="D1677" s="13"/>
      <c r="E1677" s="13" t="str">
        <f t="shared" si="735"/>
        <v>PALM,I1,,1</v>
      </c>
      <c r="F1677" s="13"/>
      <c r="G1677" s="13" t="s">
        <v>74</v>
      </c>
      <c r="H1677" s="13" t="s">
        <v>75</v>
      </c>
      <c r="I1677" s="13"/>
      <c r="J1677" s="13"/>
      <c r="K1677" s="15"/>
      <c r="L1677" s="15"/>
      <c r="M1677" s="16"/>
      <c r="N1677" s="16"/>
      <c r="O1677" s="17">
        <v>1.0</v>
      </c>
      <c r="P1677" s="17">
        <v>1.0</v>
      </c>
      <c r="Q1677" s="13"/>
      <c r="R1677" s="29">
        <v>45023.0</v>
      </c>
      <c r="S1677" s="13"/>
      <c r="T1677" s="13">
        <f t="shared" ref="T1677:V1677" si="1775">IF(ISBLANK(K1677)=TRUE,0,1)</f>
        <v>0</v>
      </c>
      <c r="U1677" s="13">
        <f t="shared" si="1775"/>
        <v>0</v>
      </c>
      <c r="V1677" s="13">
        <f t="shared" si="1775"/>
        <v>0</v>
      </c>
      <c r="W1677" s="13">
        <f t="shared" ref="W1677:X1677" si="1776">IF(ISBLANK(O1677)=TRUE,0,1)</f>
        <v>1</v>
      </c>
      <c r="X1677" s="13">
        <f t="shared" si="1776"/>
        <v>1</v>
      </c>
      <c r="Y1677" s="13">
        <f t="shared" si="1716"/>
        <v>1</v>
      </c>
      <c r="Z1677" s="13">
        <f t="shared" si="529"/>
        <v>1</v>
      </c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</row>
    <row r="1678" ht="14.25" hidden="1" customHeight="1">
      <c r="A1678" s="13" t="s">
        <v>46</v>
      </c>
      <c r="B1678" s="13" t="s">
        <v>53</v>
      </c>
      <c r="C1678" s="13" t="s">
        <v>971</v>
      </c>
      <c r="D1678" s="13"/>
      <c r="E1678" s="13" t="str">
        <f t="shared" si="735"/>
        <v>PALM,I10,,1</v>
      </c>
      <c r="F1678" s="13"/>
      <c r="G1678" s="13" t="s">
        <v>74</v>
      </c>
      <c r="H1678" s="13" t="s">
        <v>75</v>
      </c>
      <c r="I1678" s="13"/>
      <c r="J1678" s="13"/>
      <c r="K1678" s="15"/>
      <c r="L1678" s="15"/>
      <c r="M1678" s="16"/>
      <c r="N1678" s="16"/>
      <c r="O1678" s="17">
        <v>1.0</v>
      </c>
      <c r="P1678" s="17">
        <v>1.0</v>
      </c>
      <c r="Q1678" s="13"/>
      <c r="R1678" s="29">
        <v>45023.0</v>
      </c>
      <c r="S1678" s="13"/>
      <c r="T1678" s="13">
        <f t="shared" ref="T1678:V1678" si="1777">IF(ISBLANK(K1678)=TRUE,0,1)</f>
        <v>0</v>
      </c>
      <c r="U1678" s="13">
        <f t="shared" si="1777"/>
        <v>0</v>
      </c>
      <c r="V1678" s="13">
        <f t="shared" si="1777"/>
        <v>0</v>
      </c>
      <c r="W1678" s="13">
        <f t="shared" ref="W1678:X1678" si="1778">IF(ISBLANK(O1678)=TRUE,0,1)</f>
        <v>1</v>
      </c>
      <c r="X1678" s="13">
        <f t="shared" si="1778"/>
        <v>1</v>
      </c>
      <c r="Y1678" s="13">
        <f t="shared" si="1716"/>
        <v>1</v>
      </c>
      <c r="Z1678" s="13">
        <f t="shared" si="529"/>
        <v>1</v>
      </c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</row>
    <row r="1679" ht="14.25" hidden="1" customHeight="1">
      <c r="A1679" s="13" t="s">
        <v>46</v>
      </c>
      <c r="B1679" s="13" t="s">
        <v>53</v>
      </c>
      <c r="C1679" s="13" t="s">
        <v>972</v>
      </c>
      <c r="D1679" s="13"/>
      <c r="E1679" s="13" t="str">
        <f t="shared" si="735"/>
        <v>PALM,I11,,1</v>
      </c>
      <c r="F1679" s="13"/>
      <c r="G1679" s="13" t="s">
        <v>74</v>
      </c>
      <c r="H1679" s="13" t="s">
        <v>75</v>
      </c>
      <c r="I1679" s="13"/>
      <c r="J1679" s="13"/>
      <c r="K1679" s="15"/>
      <c r="L1679" s="15"/>
      <c r="M1679" s="16"/>
      <c r="N1679" s="16"/>
      <c r="O1679" s="17">
        <v>1.0</v>
      </c>
      <c r="P1679" s="17">
        <v>1.0</v>
      </c>
      <c r="Q1679" s="13"/>
      <c r="R1679" s="29">
        <v>45023.0</v>
      </c>
      <c r="S1679" s="13"/>
      <c r="T1679" s="13">
        <f t="shared" ref="T1679:V1679" si="1779">IF(ISBLANK(K1679)=TRUE,0,1)</f>
        <v>0</v>
      </c>
      <c r="U1679" s="13">
        <f t="shared" si="1779"/>
        <v>0</v>
      </c>
      <c r="V1679" s="13">
        <f t="shared" si="1779"/>
        <v>0</v>
      </c>
      <c r="W1679" s="13">
        <f t="shared" ref="W1679:X1679" si="1780">IF(ISBLANK(O1679)=TRUE,0,1)</f>
        <v>1</v>
      </c>
      <c r="X1679" s="13">
        <f t="shared" si="1780"/>
        <v>1</v>
      </c>
      <c r="Y1679" s="13">
        <f t="shared" si="1716"/>
        <v>1</v>
      </c>
      <c r="Z1679" s="13">
        <f t="shared" si="529"/>
        <v>1</v>
      </c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</row>
    <row r="1680" ht="14.25" hidden="1" customHeight="1">
      <c r="A1680" s="13" t="s">
        <v>46</v>
      </c>
      <c r="B1680" s="13" t="s">
        <v>53</v>
      </c>
      <c r="C1680" s="13" t="s">
        <v>973</v>
      </c>
      <c r="D1680" s="13"/>
      <c r="E1680" s="13" t="str">
        <f t="shared" si="735"/>
        <v>PALM,I12,,1</v>
      </c>
      <c r="F1680" s="13"/>
      <c r="G1680" s="13" t="s">
        <v>74</v>
      </c>
      <c r="H1680" s="13" t="s">
        <v>75</v>
      </c>
      <c r="I1680" s="13"/>
      <c r="J1680" s="13"/>
      <c r="K1680" s="15"/>
      <c r="L1680" s="15"/>
      <c r="M1680" s="16"/>
      <c r="N1680" s="16"/>
      <c r="O1680" s="17">
        <v>1.0</v>
      </c>
      <c r="P1680" s="17">
        <v>1.0</v>
      </c>
      <c r="Q1680" s="13"/>
      <c r="R1680" s="29">
        <v>45023.0</v>
      </c>
      <c r="S1680" s="13"/>
      <c r="T1680" s="13">
        <f t="shared" ref="T1680:V1680" si="1781">IF(ISBLANK(K1680)=TRUE,0,1)</f>
        <v>0</v>
      </c>
      <c r="U1680" s="13">
        <f t="shared" si="1781"/>
        <v>0</v>
      </c>
      <c r="V1680" s="13">
        <f t="shared" si="1781"/>
        <v>0</v>
      </c>
      <c r="W1680" s="13">
        <f t="shared" ref="W1680:X1680" si="1782">IF(ISBLANK(O1680)=TRUE,0,1)</f>
        <v>1</v>
      </c>
      <c r="X1680" s="13">
        <f t="shared" si="1782"/>
        <v>1</v>
      </c>
      <c r="Y1680" s="13">
        <f t="shared" si="1716"/>
        <v>1</v>
      </c>
      <c r="Z1680" s="13">
        <f t="shared" si="529"/>
        <v>1</v>
      </c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</row>
    <row r="1681" ht="14.25" hidden="1" customHeight="1">
      <c r="A1681" s="13" t="s">
        <v>46</v>
      </c>
      <c r="B1681" s="13" t="s">
        <v>53</v>
      </c>
      <c r="C1681" s="13" t="s">
        <v>974</v>
      </c>
      <c r="D1681" s="13"/>
      <c r="E1681" s="13" t="str">
        <f t="shared" si="735"/>
        <v>PALM,I13,,1</v>
      </c>
      <c r="F1681" s="13"/>
      <c r="G1681" s="13" t="s">
        <v>74</v>
      </c>
      <c r="H1681" s="13" t="s">
        <v>75</v>
      </c>
      <c r="I1681" s="13"/>
      <c r="J1681" s="13"/>
      <c r="K1681" s="15"/>
      <c r="L1681" s="15"/>
      <c r="M1681" s="16"/>
      <c r="N1681" s="16"/>
      <c r="O1681" s="17">
        <v>1.0</v>
      </c>
      <c r="P1681" s="17">
        <v>1.0</v>
      </c>
      <c r="Q1681" s="13"/>
      <c r="R1681" s="29">
        <v>45023.0</v>
      </c>
      <c r="S1681" s="13"/>
      <c r="T1681" s="13">
        <f t="shared" ref="T1681:V1681" si="1783">IF(ISBLANK(K1681)=TRUE,0,1)</f>
        <v>0</v>
      </c>
      <c r="U1681" s="13">
        <f t="shared" si="1783"/>
        <v>0</v>
      </c>
      <c r="V1681" s="13">
        <f t="shared" si="1783"/>
        <v>0</v>
      </c>
      <c r="W1681" s="13">
        <f t="shared" ref="W1681:X1681" si="1784">IF(ISBLANK(O1681)=TRUE,0,1)</f>
        <v>1</v>
      </c>
      <c r="X1681" s="13">
        <f t="shared" si="1784"/>
        <v>1</v>
      </c>
      <c r="Y1681" s="13">
        <f t="shared" si="1716"/>
        <v>1</v>
      </c>
      <c r="Z1681" s="13">
        <f t="shared" si="529"/>
        <v>1</v>
      </c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</row>
    <row r="1682" ht="14.25" hidden="1" customHeight="1">
      <c r="A1682" s="13" t="s">
        <v>46</v>
      </c>
      <c r="B1682" s="13" t="s">
        <v>53</v>
      </c>
      <c r="C1682" s="13" t="s">
        <v>975</v>
      </c>
      <c r="D1682" s="13"/>
      <c r="E1682" s="13" t="str">
        <f t="shared" si="735"/>
        <v>PALM,I14,,1</v>
      </c>
      <c r="F1682" s="13"/>
      <c r="G1682" s="13" t="s">
        <v>74</v>
      </c>
      <c r="H1682" s="13" t="s">
        <v>75</v>
      </c>
      <c r="I1682" s="13"/>
      <c r="J1682" s="13"/>
      <c r="K1682" s="15"/>
      <c r="L1682" s="15"/>
      <c r="M1682" s="16"/>
      <c r="N1682" s="16"/>
      <c r="O1682" s="17">
        <v>1.0</v>
      </c>
      <c r="P1682" s="17">
        <v>1.0</v>
      </c>
      <c r="Q1682" s="13"/>
      <c r="R1682" s="29">
        <v>45023.0</v>
      </c>
      <c r="S1682" s="13"/>
      <c r="T1682" s="13">
        <f t="shared" ref="T1682:V1682" si="1785">IF(ISBLANK(K1682)=TRUE,0,1)</f>
        <v>0</v>
      </c>
      <c r="U1682" s="13">
        <f t="shared" si="1785"/>
        <v>0</v>
      </c>
      <c r="V1682" s="13">
        <f t="shared" si="1785"/>
        <v>0</v>
      </c>
      <c r="W1682" s="13">
        <f t="shared" ref="W1682:X1682" si="1786">IF(ISBLANK(O1682)=TRUE,0,1)</f>
        <v>1</v>
      </c>
      <c r="X1682" s="13">
        <f t="shared" si="1786"/>
        <v>1</v>
      </c>
      <c r="Y1682" s="13">
        <f t="shared" si="1716"/>
        <v>1</v>
      </c>
      <c r="Z1682" s="13">
        <f t="shared" si="529"/>
        <v>1</v>
      </c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</row>
    <row r="1683" ht="14.25" hidden="1" customHeight="1">
      <c r="A1683" s="13" t="s">
        <v>46</v>
      </c>
      <c r="B1683" s="13" t="s">
        <v>53</v>
      </c>
      <c r="C1683" s="13" t="s">
        <v>976</v>
      </c>
      <c r="D1683" s="13"/>
      <c r="E1683" s="13" t="str">
        <f t="shared" si="735"/>
        <v>PALM,I15,,1</v>
      </c>
      <c r="F1683" s="13"/>
      <c r="G1683" s="13" t="s">
        <v>74</v>
      </c>
      <c r="H1683" s="13" t="s">
        <v>75</v>
      </c>
      <c r="I1683" s="13"/>
      <c r="J1683" s="13"/>
      <c r="K1683" s="15"/>
      <c r="L1683" s="15"/>
      <c r="M1683" s="16"/>
      <c r="N1683" s="16"/>
      <c r="O1683" s="17">
        <v>1.0</v>
      </c>
      <c r="P1683" s="17">
        <v>1.0</v>
      </c>
      <c r="Q1683" s="13"/>
      <c r="R1683" s="29">
        <v>45023.0</v>
      </c>
      <c r="S1683" s="13"/>
      <c r="T1683" s="13">
        <f t="shared" ref="T1683:V1683" si="1787">IF(ISBLANK(K1683)=TRUE,0,1)</f>
        <v>0</v>
      </c>
      <c r="U1683" s="13">
        <f t="shared" si="1787"/>
        <v>0</v>
      </c>
      <c r="V1683" s="13">
        <f t="shared" si="1787"/>
        <v>0</v>
      </c>
      <c r="W1683" s="13">
        <f t="shared" ref="W1683:X1683" si="1788">IF(ISBLANK(O1683)=TRUE,0,1)</f>
        <v>1</v>
      </c>
      <c r="X1683" s="13">
        <f t="shared" si="1788"/>
        <v>1</v>
      </c>
      <c r="Y1683" s="13">
        <f t="shared" si="1716"/>
        <v>1</v>
      </c>
      <c r="Z1683" s="13">
        <f t="shared" si="529"/>
        <v>1</v>
      </c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</row>
    <row r="1684" ht="14.25" hidden="1" customHeight="1">
      <c r="A1684" s="13" t="s">
        <v>46</v>
      </c>
      <c r="B1684" s="13" t="s">
        <v>53</v>
      </c>
      <c r="C1684" s="13" t="s">
        <v>977</v>
      </c>
      <c r="D1684" s="13"/>
      <c r="E1684" s="13" t="str">
        <f t="shared" si="735"/>
        <v>PALM,I16,,1</v>
      </c>
      <c r="F1684" s="13"/>
      <c r="G1684" s="13" t="s">
        <v>74</v>
      </c>
      <c r="H1684" s="13" t="s">
        <v>75</v>
      </c>
      <c r="I1684" s="13"/>
      <c r="J1684" s="13"/>
      <c r="K1684" s="15"/>
      <c r="L1684" s="15"/>
      <c r="M1684" s="16"/>
      <c r="N1684" s="16"/>
      <c r="O1684" s="17">
        <v>1.0</v>
      </c>
      <c r="P1684" s="17">
        <v>1.0</v>
      </c>
      <c r="Q1684" s="13"/>
      <c r="R1684" s="29">
        <v>45023.0</v>
      </c>
      <c r="S1684" s="13"/>
      <c r="T1684" s="13">
        <f t="shared" ref="T1684:V1684" si="1789">IF(ISBLANK(K1684)=TRUE,0,1)</f>
        <v>0</v>
      </c>
      <c r="U1684" s="13">
        <f t="shared" si="1789"/>
        <v>0</v>
      </c>
      <c r="V1684" s="13">
        <f t="shared" si="1789"/>
        <v>0</v>
      </c>
      <c r="W1684" s="13">
        <f t="shared" ref="W1684:X1684" si="1790">IF(ISBLANK(O1684)=TRUE,0,1)</f>
        <v>1</v>
      </c>
      <c r="X1684" s="13">
        <f t="shared" si="1790"/>
        <v>1</v>
      </c>
      <c r="Y1684" s="13">
        <f t="shared" si="1716"/>
        <v>1</v>
      </c>
      <c r="Z1684" s="13">
        <f t="shared" si="529"/>
        <v>1</v>
      </c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</row>
    <row r="1685" ht="14.25" hidden="1" customHeight="1">
      <c r="A1685" s="13" t="s">
        <v>46</v>
      </c>
      <c r="B1685" s="13" t="s">
        <v>53</v>
      </c>
      <c r="C1685" s="13" t="s">
        <v>978</v>
      </c>
      <c r="D1685" s="13"/>
      <c r="E1685" s="13" t="str">
        <f t="shared" si="735"/>
        <v>PALM,I17,,1</v>
      </c>
      <c r="F1685" s="13"/>
      <c r="G1685" s="13" t="s">
        <v>74</v>
      </c>
      <c r="H1685" s="13" t="s">
        <v>75</v>
      </c>
      <c r="I1685" s="13"/>
      <c r="J1685" s="13"/>
      <c r="K1685" s="15"/>
      <c r="L1685" s="15"/>
      <c r="M1685" s="16"/>
      <c r="N1685" s="16"/>
      <c r="O1685" s="17">
        <v>1.0</v>
      </c>
      <c r="P1685" s="17">
        <v>1.0</v>
      </c>
      <c r="Q1685" s="13"/>
      <c r="R1685" s="29">
        <v>45023.0</v>
      </c>
      <c r="S1685" s="13"/>
      <c r="T1685" s="13">
        <f t="shared" ref="T1685:V1685" si="1791">IF(ISBLANK(K1685)=TRUE,0,1)</f>
        <v>0</v>
      </c>
      <c r="U1685" s="13">
        <f t="shared" si="1791"/>
        <v>0</v>
      </c>
      <c r="V1685" s="13">
        <f t="shared" si="1791"/>
        <v>0</v>
      </c>
      <c r="W1685" s="13">
        <f t="shared" ref="W1685:X1685" si="1792">IF(ISBLANK(O1685)=TRUE,0,1)</f>
        <v>1</v>
      </c>
      <c r="X1685" s="13">
        <f t="shared" si="1792"/>
        <v>1</v>
      </c>
      <c r="Y1685" s="13">
        <f t="shared" si="1716"/>
        <v>1</v>
      </c>
      <c r="Z1685" s="13">
        <f t="shared" si="529"/>
        <v>1</v>
      </c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</row>
    <row r="1686" ht="14.25" hidden="1" customHeight="1">
      <c r="A1686" s="13" t="s">
        <v>46</v>
      </c>
      <c r="B1686" s="13" t="s">
        <v>53</v>
      </c>
      <c r="C1686" s="13" t="s">
        <v>979</v>
      </c>
      <c r="D1686" s="13"/>
      <c r="E1686" s="13" t="str">
        <f t="shared" si="735"/>
        <v>PALM,I18,,1</v>
      </c>
      <c r="F1686" s="13"/>
      <c r="G1686" s="13" t="s">
        <v>74</v>
      </c>
      <c r="H1686" s="13" t="s">
        <v>75</v>
      </c>
      <c r="I1686" s="13"/>
      <c r="J1686" s="13"/>
      <c r="K1686" s="15"/>
      <c r="L1686" s="15"/>
      <c r="M1686" s="16"/>
      <c r="N1686" s="16"/>
      <c r="O1686" s="17">
        <v>1.0</v>
      </c>
      <c r="P1686" s="17">
        <v>1.0</v>
      </c>
      <c r="Q1686" s="13"/>
      <c r="R1686" s="29">
        <v>45023.0</v>
      </c>
      <c r="S1686" s="13"/>
      <c r="T1686" s="13">
        <f t="shared" ref="T1686:V1686" si="1793">IF(ISBLANK(K1686)=TRUE,0,1)</f>
        <v>0</v>
      </c>
      <c r="U1686" s="13">
        <f t="shared" si="1793"/>
        <v>0</v>
      </c>
      <c r="V1686" s="13">
        <f t="shared" si="1793"/>
        <v>0</v>
      </c>
      <c r="W1686" s="13">
        <f t="shared" ref="W1686:X1686" si="1794">IF(ISBLANK(O1686)=TRUE,0,1)</f>
        <v>1</v>
      </c>
      <c r="X1686" s="13">
        <f t="shared" si="1794"/>
        <v>1</v>
      </c>
      <c r="Y1686" s="13">
        <f t="shared" si="1716"/>
        <v>1</v>
      </c>
      <c r="Z1686" s="13">
        <f t="shared" si="529"/>
        <v>1</v>
      </c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</row>
    <row r="1687" ht="14.25" hidden="1" customHeight="1">
      <c r="A1687" s="13" t="s">
        <v>46</v>
      </c>
      <c r="B1687" s="13" t="s">
        <v>53</v>
      </c>
      <c r="C1687" s="13" t="s">
        <v>980</v>
      </c>
      <c r="D1687" s="13"/>
      <c r="E1687" s="13" t="str">
        <f t="shared" si="735"/>
        <v>PALM,I19,,1</v>
      </c>
      <c r="F1687" s="13"/>
      <c r="G1687" s="13" t="s">
        <v>74</v>
      </c>
      <c r="H1687" s="13" t="s">
        <v>75</v>
      </c>
      <c r="I1687" s="13"/>
      <c r="J1687" s="13"/>
      <c r="K1687" s="15"/>
      <c r="L1687" s="15"/>
      <c r="M1687" s="16"/>
      <c r="N1687" s="16"/>
      <c r="O1687" s="17">
        <v>1.0</v>
      </c>
      <c r="P1687" s="17">
        <v>1.0</v>
      </c>
      <c r="Q1687" s="13"/>
      <c r="R1687" s="29">
        <v>45023.0</v>
      </c>
      <c r="S1687" s="13"/>
      <c r="T1687" s="13">
        <f t="shared" ref="T1687:V1687" si="1795">IF(ISBLANK(K1687)=TRUE,0,1)</f>
        <v>0</v>
      </c>
      <c r="U1687" s="13">
        <f t="shared" si="1795"/>
        <v>0</v>
      </c>
      <c r="V1687" s="13">
        <f t="shared" si="1795"/>
        <v>0</v>
      </c>
      <c r="W1687" s="13">
        <f t="shared" ref="W1687:X1687" si="1796">IF(ISBLANK(O1687)=TRUE,0,1)</f>
        <v>1</v>
      </c>
      <c r="X1687" s="13">
        <f t="shared" si="1796"/>
        <v>1</v>
      </c>
      <c r="Y1687" s="13">
        <f t="shared" si="1716"/>
        <v>1</v>
      </c>
      <c r="Z1687" s="13">
        <f t="shared" si="529"/>
        <v>1</v>
      </c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</row>
    <row r="1688" ht="14.25" hidden="1" customHeight="1">
      <c r="A1688" s="13" t="s">
        <v>46</v>
      </c>
      <c r="B1688" s="13" t="s">
        <v>53</v>
      </c>
      <c r="C1688" s="13" t="s">
        <v>981</v>
      </c>
      <c r="D1688" s="13"/>
      <c r="E1688" s="13" t="str">
        <f t="shared" si="735"/>
        <v>PALM,I2,,1</v>
      </c>
      <c r="F1688" s="13"/>
      <c r="G1688" s="13" t="s">
        <v>74</v>
      </c>
      <c r="H1688" s="13" t="s">
        <v>75</v>
      </c>
      <c r="I1688" s="13"/>
      <c r="J1688" s="13"/>
      <c r="K1688" s="15"/>
      <c r="L1688" s="15"/>
      <c r="M1688" s="16"/>
      <c r="N1688" s="16"/>
      <c r="O1688" s="17">
        <v>1.0</v>
      </c>
      <c r="P1688" s="17">
        <v>1.0</v>
      </c>
      <c r="Q1688" s="13"/>
      <c r="R1688" s="29">
        <v>45023.0</v>
      </c>
      <c r="S1688" s="13"/>
      <c r="T1688" s="13">
        <f t="shared" ref="T1688:V1688" si="1797">IF(ISBLANK(K1688)=TRUE,0,1)</f>
        <v>0</v>
      </c>
      <c r="U1688" s="13">
        <f t="shared" si="1797"/>
        <v>0</v>
      </c>
      <c r="V1688" s="13">
        <f t="shared" si="1797"/>
        <v>0</v>
      </c>
      <c r="W1688" s="13">
        <f t="shared" ref="W1688:X1688" si="1798">IF(ISBLANK(O1688)=TRUE,0,1)</f>
        <v>1</v>
      </c>
      <c r="X1688" s="13">
        <f t="shared" si="1798"/>
        <v>1</v>
      </c>
      <c r="Y1688" s="13">
        <f t="shared" si="1716"/>
        <v>1</v>
      </c>
      <c r="Z1688" s="13">
        <f t="shared" si="529"/>
        <v>1</v>
      </c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</row>
    <row r="1689" ht="14.25" hidden="1" customHeight="1">
      <c r="A1689" s="13" t="s">
        <v>46</v>
      </c>
      <c r="B1689" s="13" t="s">
        <v>53</v>
      </c>
      <c r="C1689" s="13" t="s">
        <v>982</v>
      </c>
      <c r="D1689" s="13"/>
      <c r="E1689" s="13" t="str">
        <f t="shared" si="735"/>
        <v>PALM,I20,,1</v>
      </c>
      <c r="F1689" s="13"/>
      <c r="G1689" s="13" t="s">
        <v>74</v>
      </c>
      <c r="H1689" s="13" t="s">
        <v>75</v>
      </c>
      <c r="I1689" s="13"/>
      <c r="J1689" s="13"/>
      <c r="K1689" s="15"/>
      <c r="L1689" s="15"/>
      <c r="M1689" s="16"/>
      <c r="N1689" s="16"/>
      <c r="O1689" s="17">
        <v>1.0</v>
      </c>
      <c r="P1689" s="17">
        <v>1.0</v>
      </c>
      <c r="Q1689" s="13"/>
      <c r="R1689" s="29">
        <v>45023.0</v>
      </c>
      <c r="S1689" s="13"/>
      <c r="T1689" s="13">
        <f t="shared" ref="T1689:V1689" si="1799">IF(ISBLANK(K1689)=TRUE,0,1)</f>
        <v>0</v>
      </c>
      <c r="U1689" s="13">
        <f t="shared" si="1799"/>
        <v>0</v>
      </c>
      <c r="V1689" s="13">
        <f t="shared" si="1799"/>
        <v>0</v>
      </c>
      <c r="W1689" s="13">
        <f t="shared" ref="W1689:X1689" si="1800">IF(ISBLANK(O1689)=TRUE,0,1)</f>
        <v>1</v>
      </c>
      <c r="X1689" s="13">
        <f t="shared" si="1800"/>
        <v>1</v>
      </c>
      <c r="Y1689" s="13">
        <f t="shared" si="1716"/>
        <v>1</v>
      </c>
      <c r="Z1689" s="13">
        <f t="shared" si="529"/>
        <v>1</v>
      </c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</row>
    <row r="1690" ht="14.25" hidden="1" customHeight="1">
      <c r="A1690" s="13" t="s">
        <v>46</v>
      </c>
      <c r="B1690" s="13" t="s">
        <v>53</v>
      </c>
      <c r="C1690" s="13" t="s">
        <v>983</v>
      </c>
      <c r="D1690" s="13"/>
      <c r="E1690" s="13" t="str">
        <f t="shared" si="735"/>
        <v>PALM,I21,,1</v>
      </c>
      <c r="F1690" s="13"/>
      <c r="G1690" s="13" t="s">
        <v>74</v>
      </c>
      <c r="H1690" s="13" t="s">
        <v>75</v>
      </c>
      <c r="I1690" s="13"/>
      <c r="J1690" s="13"/>
      <c r="K1690" s="15"/>
      <c r="L1690" s="15"/>
      <c r="M1690" s="16"/>
      <c r="N1690" s="16"/>
      <c r="O1690" s="17">
        <v>1.0</v>
      </c>
      <c r="P1690" s="17">
        <v>1.0</v>
      </c>
      <c r="Q1690" s="13"/>
      <c r="R1690" s="29">
        <v>45023.0</v>
      </c>
      <c r="S1690" s="13"/>
      <c r="T1690" s="13">
        <f t="shared" ref="T1690:V1690" si="1801">IF(ISBLANK(K1690)=TRUE,0,1)</f>
        <v>0</v>
      </c>
      <c r="U1690" s="13">
        <f t="shared" si="1801"/>
        <v>0</v>
      </c>
      <c r="V1690" s="13">
        <f t="shared" si="1801"/>
        <v>0</v>
      </c>
      <c r="W1690" s="13">
        <f t="shared" ref="W1690:X1690" si="1802">IF(ISBLANK(O1690)=TRUE,0,1)</f>
        <v>1</v>
      </c>
      <c r="X1690" s="13">
        <f t="shared" si="1802"/>
        <v>1</v>
      </c>
      <c r="Y1690" s="13">
        <f t="shared" si="1716"/>
        <v>1</v>
      </c>
      <c r="Z1690" s="13">
        <f t="shared" si="529"/>
        <v>1</v>
      </c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</row>
    <row r="1691" ht="14.25" hidden="1" customHeight="1">
      <c r="A1691" s="13" t="s">
        <v>46</v>
      </c>
      <c r="B1691" s="13" t="s">
        <v>53</v>
      </c>
      <c r="C1691" s="13" t="s">
        <v>984</v>
      </c>
      <c r="D1691" s="13"/>
      <c r="E1691" s="13" t="str">
        <f t="shared" si="735"/>
        <v>PALM,I22,,1</v>
      </c>
      <c r="F1691" s="13"/>
      <c r="G1691" s="13" t="s">
        <v>74</v>
      </c>
      <c r="H1691" s="13" t="s">
        <v>75</v>
      </c>
      <c r="I1691" s="13"/>
      <c r="J1691" s="13"/>
      <c r="K1691" s="15"/>
      <c r="L1691" s="15"/>
      <c r="M1691" s="16"/>
      <c r="N1691" s="16"/>
      <c r="O1691" s="17">
        <v>1.0</v>
      </c>
      <c r="P1691" s="17">
        <v>1.0</v>
      </c>
      <c r="Q1691" s="13"/>
      <c r="R1691" s="29">
        <v>45023.0</v>
      </c>
      <c r="S1691" s="13"/>
      <c r="T1691" s="13">
        <f t="shared" ref="T1691:V1691" si="1803">IF(ISBLANK(K1691)=TRUE,0,1)</f>
        <v>0</v>
      </c>
      <c r="U1691" s="13">
        <f t="shared" si="1803"/>
        <v>0</v>
      </c>
      <c r="V1691" s="13">
        <f t="shared" si="1803"/>
        <v>0</v>
      </c>
      <c r="W1691" s="13">
        <f t="shared" ref="W1691:X1691" si="1804">IF(ISBLANK(O1691)=TRUE,0,1)</f>
        <v>1</v>
      </c>
      <c r="X1691" s="13">
        <f t="shared" si="1804"/>
        <v>1</v>
      </c>
      <c r="Y1691" s="13">
        <f t="shared" si="1716"/>
        <v>1</v>
      </c>
      <c r="Z1691" s="13">
        <f t="shared" si="529"/>
        <v>1</v>
      </c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</row>
    <row r="1692" ht="14.25" hidden="1" customHeight="1">
      <c r="A1692" s="13" t="s">
        <v>46</v>
      </c>
      <c r="B1692" s="13" t="s">
        <v>53</v>
      </c>
      <c r="C1692" s="13" t="s">
        <v>985</v>
      </c>
      <c r="D1692" s="13"/>
      <c r="E1692" s="13" t="str">
        <f t="shared" si="735"/>
        <v>PALM,I23,,1</v>
      </c>
      <c r="F1692" s="13"/>
      <c r="G1692" s="13" t="s">
        <v>74</v>
      </c>
      <c r="H1692" s="13" t="s">
        <v>75</v>
      </c>
      <c r="I1692" s="13"/>
      <c r="J1692" s="13"/>
      <c r="K1692" s="15"/>
      <c r="L1692" s="15"/>
      <c r="M1692" s="16"/>
      <c r="N1692" s="16"/>
      <c r="O1692" s="17">
        <v>1.0</v>
      </c>
      <c r="P1692" s="17">
        <v>1.0</v>
      </c>
      <c r="Q1692" s="13"/>
      <c r="R1692" s="29">
        <v>45023.0</v>
      </c>
      <c r="S1692" s="13"/>
      <c r="T1692" s="13">
        <f t="shared" ref="T1692:V1692" si="1805">IF(ISBLANK(K1692)=TRUE,0,1)</f>
        <v>0</v>
      </c>
      <c r="U1692" s="13">
        <f t="shared" si="1805"/>
        <v>0</v>
      </c>
      <c r="V1692" s="13">
        <f t="shared" si="1805"/>
        <v>0</v>
      </c>
      <c r="W1692" s="13">
        <f t="shared" ref="W1692:X1692" si="1806">IF(ISBLANK(O1692)=TRUE,0,1)</f>
        <v>1</v>
      </c>
      <c r="X1692" s="13">
        <f t="shared" si="1806"/>
        <v>1</v>
      </c>
      <c r="Y1692" s="13">
        <f t="shared" si="1716"/>
        <v>1</v>
      </c>
      <c r="Z1692" s="13">
        <f t="shared" si="529"/>
        <v>1</v>
      </c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</row>
    <row r="1693" ht="14.25" hidden="1" customHeight="1">
      <c r="A1693" s="13" t="s">
        <v>46</v>
      </c>
      <c r="B1693" s="13" t="s">
        <v>53</v>
      </c>
      <c r="C1693" s="13" t="s">
        <v>986</v>
      </c>
      <c r="D1693" s="13"/>
      <c r="E1693" s="13" t="str">
        <f t="shared" si="735"/>
        <v>PALM,I24,,0</v>
      </c>
      <c r="F1693" s="13"/>
      <c r="G1693" s="13" t="s">
        <v>74</v>
      </c>
      <c r="H1693" s="13" t="s">
        <v>75</v>
      </c>
      <c r="I1693" s="13"/>
      <c r="J1693" s="13"/>
      <c r="K1693" s="15"/>
      <c r="L1693" s="15"/>
      <c r="M1693" s="16"/>
      <c r="N1693" s="16"/>
      <c r="O1693" s="17">
        <v>0.0</v>
      </c>
      <c r="P1693" s="17">
        <v>0.0</v>
      </c>
      <c r="Q1693" s="13"/>
      <c r="R1693" s="29">
        <v>45023.0</v>
      </c>
      <c r="S1693" s="13"/>
      <c r="T1693" s="13">
        <f t="shared" ref="T1693:V1693" si="1807">IF(ISBLANK(K1693)=TRUE,0,1)</f>
        <v>0</v>
      </c>
      <c r="U1693" s="13">
        <f t="shared" si="1807"/>
        <v>0</v>
      </c>
      <c r="V1693" s="13">
        <f t="shared" si="1807"/>
        <v>0</v>
      </c>
      <c r="W1693" s="13">
        <f t="shared" ref="W1693:X1693" si="1808">IF(ISBLANK(O1693)=TRUE,0,1)</f>
        <v>1</v>
      </c>
      <c r="X1693" s="13">
        <f t="shared" si="1808"/>
        <v>1</v>
      </c>
      <c r="Y1693" s="13">
        <f t="shared" si="1716"/>
        <v>1</v>
      </c>
      <c r="Z1693" s="13">
        <f t="shared" si="529"/>
        <v>0</v>
      </c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</row>
    <row r="1694" ht="14.25" hidden="1" customHeight="1">
      <c r="A1694" s="13" t="s">
        <v>46</v>
      </c>
      <c r="B1694" s="13" t="s">
        <v>53</v>
      </c>
      <c r="C1694" s="13" t="s">
        <v>987</v>
      </c>
      <c r="D1694" s="13"/>
      <c r="E1694" s="13" t="str">
        <f t="shared" si="735"/>
        <v>PALM,I25,,1</v>
      </c>
      <c r="F1694" s="13"/>
      <c r="G1694" s="13" t="s">
        <v>74</v>
      </c>
      <c r="H1694" s="13" t="s">
        <v>75</v>
      </c>
      <c r="I1694" s="13"/>
      <c r="J1694" s="13"/>
      <c r="K1694" s="15"/>
      <c r="L1694" s="15"/>
      <c r="M1694" s="16"/>
      <c r="N1694" s="16"/>
      <c r="O1694" s="17">
        <v>1.0</v>
      </c>
      <c r="P1694" s="17">
        <v>1.0</v>
      </c>
      <c r="Q1694" s="13"/>
      <c r="R1694" s="29">
        <v>45023.0</v>
      </c>
      <c r="S1694" s="13"/>
      <c r="T1694" s="13">
        <f t="shared" ref="T1694:V1694" si="1809">IF(ISBLANK(K1694)=TRUE,0,1)</f>
        <v>0</v>
      </c>
      <c r="U1694" s="13">
        <f t="shared" si="1809"/>
        <v>0</v>
      </c>
      <c r="V1694" s="13">
        <f t="shared" si="1809"/>
        <v>0</v>
      </c>
      <c r="W1694" s="13">
        <f t="shared" ref="W1694:X1694" si="1810">IF(ISBLANK(O1694)=TRUE,0,1)</f>
        <v>1</v>
      </c>
      <c r="X1694" s="13">
        <f t="shared" si="1810"/>
        <v>1</v>
      </c>
      <c r="Y1694" s="13">
        <f t="shared" si="1716"/>
        <v>1</v>
      </c>
      <c r="Z1694" s="13">
        <f t="shared" si="529"/>
        <v>1</v>
      </c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</row>
    <row r="1695" ht="14.25" hidden="1" customHeight="1">
      <c r="A1695" s="13" t="s">
        <v>46</v>
      </c>
      <c r="B1695" s="13" t="s">
        <v>53</v>
      </c>
      <c r="C1695" s="13" t="s">
        <v>988</v>
      </c>
      <c r="D1695" s="13"/>
      <c r="E1695" s="13" t="str">
        <f t="shared" si="735"/>
        <v>PALM,I26,,1</v>
      </c>
      <c r="F1695" s="13"/>
      <c r="G1695" s="13" t="s">
        <v>74</v>
      </c>
      <c r="H1695" s="13" t="s">
        <v>75</v>
      </c>
      <c r="I1695" s="13"/>
      <c r="J1695" s="13"/>
      <c r="K1695" s="15"/>
      <c r="L1695" s="15"/>
      <c r="M1695" s="16"/>
      <c r="N1695" s="16"/>
      <c r="O1695" s="17">
        <v>1.0</v>
      </c>
      <c r="P1695" s="17">
        <v>1.0</v>
      </c>
      <c r="Q1695" s="13"/>
      <c r="R1695" s="29">
        <v>45023.0</v>
      </c>
      <c r="S1695" s="13"/>
      <c r="T1695" s="13">
        <f t="shared" ref="T1695:V1695" si="1811">IF(ISBLANK(K1695)=TRUE,0,1)</f>
        <v>0</v>
      </c>
      <c r="U1695" s="13">
        <f t="shared" si="1811"/>
        <v>0</v>
      </c>
      <c r="V1695" s="13">
        <f t="shared" si="1811"/>
        <v>0</v>
      </c>
      <c r="W1695" s="13">
        <f t="shared" ref="W1695:X1695" si="1812">IF(ISBLANK(O1695)=TRUE,0,1)</f>
        <v>1</v>
      </c>
      <c r="X1695" s="13">
        <f t="shared" si="1812"/>
        <v>1</v>
      </c>
      <c r="Y1695" s="13">
        <f t="shared" si="1716"/>
        <v>1</v>
      </c>
      <c r="Z1695" s="13">
        <f t="shared" si="529"/>
        <v>1</v>
      </c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</row>
    <row r="1696" ht="14.25" hidden="1" customHeight="1">
      <c r="A1696" s="13" t="s">
        <v>46</v>
      </c>
      <c r="B1696" s="13" t="s">
        <v>53</v>
      </c>
      <c r="C1696" s="13" t="s">
        <v>989</v>
      </c>
      <c r="D1696" s="13"/>
      <c r="E1696" s="13" t="str">
        <f t="shared" si="735"/>
        <v>PALM,I27,,1</v>
      </c>
      <c r="F1696" s="13"/>
      <c r="G1696" s="13" t="s">
        <v>74</v>
      </c>
      <c r="H1696" s="13" t="s">
        <v>75</v>
      </c>
      <c r="I1696" s="13"/>
      <c r="J1696" s="13"/>
      <c r="K1696" s="15"/>
      <c r="L1696" s="15"/>
      <c r="M1696" s="16"/>
      <c r="N1696" s="16"/>
      <c r="O1696" s="17">
        <v>1.0</v>
      </c>
      <c r="P1696" s="17">
        <v>1.0</v>
      </c>
      <c r="Q1696" s="13"/>
      <c r="R1696" s="29">
        <v>45023.0</v>
      </c>
      <c r="S1696" s="13"/>
      <c r="T1696" s="13">
        <f t="shared" ref="T1696:V1696" si="1813">IF(ISBLANK(K1696)=TRUE,0,1)</f>
        <v>0</v>
      </c>
      <c r="U1696" s="13">
        <f t="shared" si="1813"/>
        <v>0</v>
      </c>
      <c r="V1696" s="13">
        <f t="shared" si="1813"/>
        <v>0</v>
      </c>
      <c r="W1696" s="13">
        <f t="shared" ref="W1696:X1696" si="1814">IF(ISBLANK(O1696)=TRUE,0,1)</f>
        <v>1</v>
      </c>
      <c r="X1696" s="13">
        <f t="shared" si="1814"/>
        <v>1</v>
      </c>
      <c r="Y1696" s="13">
        <f t="shared" si="1716"/>
        <v>1</v>
      </c>
      <c r="Z1696" s="13">
        <f t="shared" si="529"/>
        <v>1</v>
      </c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</row>
    <row r="1697" ht="14.25" hidden="1" customHeight="1">
      <c r="A1697" s="13" t="s">
        <v>46</v>
      </c>
      <c r="B1697" s="13" t="s">
        <v>53</v>
      </c>
      <c r="C1697" s="13" t="s">
        <v>990</v>
      </c>
      <c r="D1697" s="13"/>
      <c r="E1697" s="13" t="str">
        <f t="shared" si="735"/>
        <v>PALM,I28,,1</v>
      </c>
      <c r="F1697" s="13"/>
      <c r="G1697" s="13" t="s">
        <v>74</v>
      </c>
      <c r="H1697" s="13" t="s">
        <v>75</v>
      </c>
      <c r="I1697" s="13"/>
      <c r="J1697" s="13"/>
      <c r="K1697" s="15"/>
      <c r="L1697" s="15"/>
      <c r="M1697" s="16"/>
      <c r="N1697" s="16"/>
      <c r="O1697" s="17">
        <v>1.0</v>
      </c>
      <c r="P1697" s="17">
        <v>1.0</v>
      </c>
      <c r="Q1697" s="13"/>
      <c r="R1697" s="29">
        <v>45023.0</v>
      </c>
      <c r="S1697" s="13"/>
      <c r="T1697" s="13">
        <f t="shared" ref="T1697:V1697" si="1815">IF(ISBLANK(K1697)=TRUE,0,1)</f>
        <v>0</v>
      </c>
      <c r="U1697" s="13">
        <f t="shared" si="1815"/>
        <v>0</v>
      </c>
      <c r="V1697" s="13">
        <f t="shared" si="1815"/>
        <v>0</v>
      </c>
      <c r="W1697" s="13">
        <f t="shared" ref="W1697:X1697" si="1816">IF(ISBLANK(O1697)=TRUE,0,1)</f>
        <v>1</v>
      </c>
      <c r="X1697" s="13">
        <f t="shared" si="1816"/>
        <v>1</v>
      </c>
      <c r="Y1697" s="13">
        <f t="shared" si="1716"/>
        <v>1</v>
      </c>
      <c r="Z1697" s="13">
        <f t="shared" si="529"/>
        <v>1</v>
      </c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</row>
    <row r="1698" ht="14.25" hidden="1" customHeight="1">
      <c r="A1698" s="13" t="s">
        <v>46</v>
      </c>
      <c r="B1698" s="13" t="s">
        <v>53</v>
      </c>
      <c r="C1698" s="13" t="s">
        <v>991</v>
      </c>
      <c r="D1698" s="13"/>
      <c r="E1698" s="13" t="str">
        <f t="shared" si="735"/>
        <v>PALM,I29,,1</v>
      </c>
      <c r="F1698" s="13"/>
      <c r="G1698" s="13" t="s">
        <v>74</v>
      </c>
      <c r="H1698" s="13" t="s">
        <v>75</v>
      </c>
      <c r="I1698" s="13"/>
      <c r="J1698" s="13"/>
      <c r="K1698" s="15"/>
      <c r="L1698" s="15"/>
      <c r="M1698" s="16"/>
      <c r="N1698" s="16"/>
      <c r="O1698" s="17">
        <v>1.0</v>
      </c>
      <c r="P1698" s="17">
        <v>1.0</v>
      </c>
      <c r="Q1698" s="13"/>
      <c r="R1698" s="29">
        <v>45023.0</v>
      </c>
      <c r="S1698" s="13"/>
      <c r="T1698" s="13">
        <f t="shared" ref="T1698:V1698" si="1817">IF(ISBLANK(K1698)=TRUE,0,1)</f>
        <v>0</v>
      </c>
      <c r="U1698" s="13">
        <f t="shared" si="1817"/>
        <v>0</v>
      </c>
      <c r="V1698" s="13">
        <f t="shared" si="1817"/>
        <v>0</v>
      </c>
      <c r="W1698" s="13">
        <f t="shared" ref="W1698:X1698" si="1818">IF(ISBLANK(O1698)=TRUE,0,1)</f>
        <v>1</v>
      </c>
      <c r="X1698" s="13">
        <f t="shared" si="1818"/>
        <v>1</v>
      </c>
      <c r="Y1698" s="13">
        <f t="shared" si="1716"/>
        <v>1</v>
      </c>
      <c r="Z1698" s="13">
        <f t="shared" si="529"/>
        <v>1</v>
      </c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</row>
    <row r="1699" ht="14.25" hidden="1" customHeight="1">
      <c r="A1699" s="13" t="s">
        <v>46</v>
      </c>
      <c r="B1699" s="13" t="s">
        <v>53</v>
      </c>
      <c r="C1699" s="13" t="s">
        <v>992</v>
      </c>
      <c r="D1699" s="13"/>
      <c r="E1699" s="13" t="str">
        <f t="shared" si="735"/>
        <v>PALM,I3,,1</v>
      </c>
      <c r="F1699" s="13"/>
      <c r="G1699" s="13" t="s">
        <v>74</v>
      </c>
      <c r="H1699" s="13" t="s">
        <v>75</v>
      </c>
      <c r="I1699" s="13"/>
      <c r="J1699" s="13"/>
      <c r="K1699" s="15"/>
      <c r="L1699" s="15"/>
      <c r="M1699" s="16"/>
      <c r="N1699" s="16"/>
      <c r="O1699" s="17">
        <v>1.0</v>
      </c>
      <c r="P1699" s="17">
        <v>1.0</v>
      </c>
      <c r="Q1699" s="13"/>
      <c r="R1699" s="29">
        <v>45023.0</v>
      </c>
      <c r="S1699" s="13"/>
      <c r="T1699" s="13">
        <f t="shared" ref="T1699:V1699" si="1819">IF(ISBLANK(K1699)=TRUE,0,1)</f>
        <v>0</v>
      </c>
      <c r="U1699" s="13">
        <f t="shared" si="1819"/>
        <v>0</v>
      </c>
      <c r="V1699" s="13">
        <f t="shared" si="1819"/>
        <v>0</v>
      </c>
      <c r="W1699" s="13">
        <f t="shared" ref="W1699:X1699" si="1820">IF(ISBLANK(O1699)=TRUE,0,1)</f>
        <v>1</v>
      </c>
      <c r="X1699" s="13">
        <f t="shared" si="1820"/>
        <v>1</v>
      </c>
      <c r="Y1699" s="13">
        <f t="shared" si="1716"/>
        <v>1</v>
      </c>
      <c r="Z1699" s="13">
        <f t="shared" si="529"/>
        <v>1</v>
      </c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</row>
    <row r="1700" ht="14.25" hidden="1" customHeight="1">
      <c r="A1700" s="13" t="s">
        <v>46</v>
      </c>
      <c r="B1700" s="13" t="s">
        <v>53</v>
      </c>
      <c r="C1700" s="13" t="s">
        <v>993</v>
      </c>
      <c r="D1700" s="13"/>
      <c r="E1700" s="13" t="str">
        <f t="shared" si="735"/>
        <v>PALM,I4,,1</v>
      </c>
      <c r="F1700" s="13"/>
      <c r="G1700" s="13" t="s">
        <v>74</v>
      </c>
      <c r="H1700" s="13" t="s">
        <v>75</v>
      </c>
      <c r="I1700" s="13"/>
      <c r="J1700" s="13"/>
      <c r="K1700" s="15"/>
      <c r="L1700" s="15"/>
      <c r="M1700" s="16"/>
      <c r="N1700" s="16"/>
      <c r="O1700" s="17">
        <v>1.0</v>
      </c>
      <c r="P1700" s="17">
        <v>1.0</v>
      </c>
      <c r="Q1700" s="13"/>
      <c r="R1700" s="29">
        <v>45023.0</v>
      </c>
      <c r="S1700" s="13"/>
      <c r="T1700" s="13">
        <f t="shared" ref="T1700:V1700" si="1821">IF(ISBLANK(K1700)=TRUE,0,1)</f>
        <v>0</v>
      </c>
      <c r="U1700" s="13">
        <f t="shared" si="1821"/>
        <v>0</v>
      </c>
      <c r="V1700" s="13">
        <f t="shared" si="1821"/>
        <v>0</v>
      </c>
      <c r="W1700" s="13">
        <f t="shared" ref="W1700:X1700" si="1822">IF(ISBLANK(O1700)=TRUE,0,1)</f>
        <v>1</v>
      </c>
      <c r="X1700" s="13">
        <f t="shared" si="1822"/>
        <v>1</v>
      </c>
      <c r="Y1700" s="13">
        <f t="shared" si="1716"/>
        <v>1</v>
      </c>
      <c r="Z1700" s="13">
        <f t="shared" si="529"/>
        <v>1</v>
      </c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</row>
    <row r="1701" ht="14.25" hidden="1" customHeight="1">
      <c r="A1701" s="13" t="s">
        <v>46</v>
      </c>
      <c r="B1701" s="13" t="s">
        <v>53</v>
      </c>
      <c r="C1701" s="13" t="s">
        <v>994</v>
      </c>
      <c r="D1701" s="13"/>
      <c r="E1701" s="13" t="str">
        <f t="shared" si="735"/>
        <v>PALM,I5,,0</v>
      </c>
      <c r="F1701" s="13"/>
      <c r="G1701" s="13" t="s">
        <v>74</v>
      </c>
      <c r="H1701" s="13" t="s">
        <v>75</v>
      </c>
      <c r="I1701" s="13"/>
      <c r="J1701" s="13"/>
      <c r="K1701" s="15"/>
      <c r="L1701" s="15"/>
      <c r="M1701" s="16"/>
      <c r="N1701" s="16"/>
      <c r="O1701" s="17">
        <v>0.0</v>
      </c>
      <c r="P1701" s="17">
        <v>0.0</v>
      </c>
      <c r="Q1701" s="13"/>
      <c r="R1701" s="29">
        <v>45023.0</v>
      </c>
      <c r="S1701" s="13"/>
      <c r="T1701" s="13">
        <f t="shared" ref="T1701:V1701" si="1823">IF(ISBLANK(K1701)=TRUE,0,1)</f>
        <v>0</v>
      </c>
      <c r="U1701" s="13">
        <f t="shared" si="1823"/>
        <v>0</v>
      </c>
      <c r="V1701" s="13">
        <f t="shared" si="1823"/>
        <v>0</v>
      </c>
      <c r="W1701" s="13">
        <f t="shared" ref="W1701:X1701" si="1824">IF(ISBLANK(O1701)=TRUE,0,1)</f>
        <v>1</v>
      </c>
      <c r="X1701" s="13">
        <f t="shared" si="1824"/>
        <v>1</v>
      </c>
      <c r="Y1701" s="13">
        <f t="shared" si="1716"/>
        <v>1</v>
      </c>
      <c r="Z1701" s="13">
        <f t="shared" si="529"/>
        <v>0</v>
      </c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</row>
    <row r="1702" ht="14.25" hidden="1" customHeight="1">
      <c r="A1702" s="13" t="s">
        <v>46</v>
      </c>
      <c r="B1702" s="13" t="s">
        <v>53</v>
      </c>
      <c r="C1702" s="13" t="s">
        <v>995</v>
      </c>
      <c r="D1702" s="13"/>
      <c r="E1702" s="13" t="str">
        <f t="shared" si="735"/>
        <v>PALM,I6,,0</v>
      </c>
      <c r="F1702" s="13"/>
      <c r="G1702" s="13" t="s">
        <v>74</v>
      </c>
      <c r="H1702" s="13" t="s">
        <v>75</v>
      </c>
      <c r="I1702" s="13"/>
      <c r="J1702" s="13"/>
      <c r="K1702" s="15"/>
      <c r="L1702" s="15"/>
      <c r="M1702" s="16"/>
      <c r="N1702" s="16"/>
      <c r="O1702" s="17">
        <v>0.0</v>
      </c>
      <c r="P1702" s="17">
        <v>0.0</v>
      </c>
      <c r="Q1702" s="13"/>
      <c r="R1702" s="29">
        <v>45023.0</v>
      </c>
      <c r="S1702" s="13"/>
      <c r="T1702" s="13">
        <f t="shared" ref="T1702:V1702" si="1825">IF(ISBLANK(K1702)=TRUE,0,1)</f>
        <v>0</v>
      </c>
      <c r="U1702" s="13">
        <f t="shared" si="1825"/>
        <v>0</v>
      </c>
      <c r="V1702" s="13">
        <f t="shared" si="1825"/>
        <v>0</v>
      </c>
      <c r="W1702" s="13">
        <f t="shared" ref="W1702:X1702" si="1826">IF(ISBLANK(O1702)=TRUE,0,1)</f>
        <v>1</v>
      </c>
      <c r="X1702" s="13">
        <f t="shared" si="1826"/>
        <v>1</v>
      </c>
      <c r="Y1702" s="13">
        <f t="shared" si="1716"/>
        <v>1</v>
      </c>
      <c r="Z1702" s="13">
        <f t="shared" si="529"/>
        <v>0</v>
      </c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</row>
    <row r="1703" ht="14.25" hidden="1" customHeight="1">
      <c r="A1703" s="13" t="s">
        <v>46</v>
      </c>
      <c r="B1703" s="13" t="s">
        <v>53</v>
      </c>
      <c r="C1703" s="13" t="s">
        <v>996</v>
      </c>
      <c r="D1703" s="13"/>
      <c r="E1703" s="13" t="str">
        <f t="shared" si="735"/>
        <v>PALM,I7,,1</v>
      </c>
      <c r="F1703" s="13"/>
      <c r="G1703" s="13" t="s">
        <v>74</v>
      </c>
      <c r="H1703" s="13" t="s">
        <v>75</v>
      </c>
      <c r="I1703" s="13"/>
      <c r="J1703" s="13"/>
      <c r="K1703" s="15"/>
      <c r="L1703" s="15"/>
      <c r="M1703" s="16"/>
      <c r="N1703" s="16"/>
      <c r="O1703" s="17">
        <v>1.0</v>
      </c>
      <c r="P1703" s="17">
        <v>1.0</v>
      </c>
      <c r="Q1703" s="13"/>
      <c r="R1703" s="29">
        <v>45023.0</v>
      </c>
      <c r="S1703" s="13"/>
      <c r="T1703" s="13">
        <f t="shared" ref="T1703:V1703" si="1827">IF(ISBLANK(K1703)=TRUE,0,1)</f>
        <v>0</v>
      </c>
      <c r="U1703" s="13">
        <f t="shared" si="1827"/>
        <v>0</v>
      </c>
      <c r="V1703" s="13">
        <f t="shared" si="1827"/>
        <v>0</v>
      </c>
      <c r="W1703" s="13">
        <f t="shared" ref="W1703:X1703" si="1828">IF(ISBLANK(O1703)=TRUE,0,1)</f>
        <v>1</v>
      </c>
      <c r="X1703" s="13">
        <f t="shared" si="1828"/>
        <v>1</v>
      </c>
      <c r="Y1703" s="13">
        <f t="shared" si="1716"/>
        <v>1</v>
      </c>
      <c r="Z1703" s="13">
        <f t="shared" si="529"/>
        <v>1</v>
      </c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</row>
    <row r="1704" ht="14.25" hidden="1" customHeight="1">
      <c r="A1704" s="13" t="s">
        <v>46</v>
      </c>
      <c r="B1704" s="13" t="s">
        <v>53</v>
      </c>
      <c r="C1704" s="13" t="s">
        <v>997</v>
      </c>
      <c r="D1704" s="13"/>
      <c r="E1704" s="13" t="str">
        <f t="shared" si="735"/>
        <v>PALM,I8,,1</v>
      </c>
      <c r="F1704" s="13"/>
      <c r="G1704" s="13" t="s">
        <v>74</v>
      </c>
      <c r="H1704" s="13" t="s">
        <v>75</v>
      </c>
      <c r="I1704" s="13"/>
      <c r="J1704" s="13"/>
      <c r="K1704" s="15"/>
      <c r="L1704" s="15"/>
      <c r="M1704" s="16"/>
      <c r="N1704" s="16"/>
      <c r="O1704" s="17">
        <v>1.0</v>
      </c>
      <c r="P1704" s="17">
        <v>1.0</v>
      </c>
      <c r="Q1704" s="13"/>
      <c r="R1704" s="29">
        <v>45023.0</v>
      </c>
      <c r="S1704" s="13"/>
      <c r="T1704" s="13">
        <f t="shared" ref="T1704:V1704" si="1829">IF(ISBLANK(K1704)=TRUE,0,1)</f>
        <v>0</v>
      </c>
      <c r="U1704" s="13">
        <f t="shared" si="1829"/>
        <v>0</v>
      </c>
      <c r="V1704" s="13">
        <f t="shared" si="1829"/>
        <v>0</v>
      </c>
      <c r="W1704" s="13">
        <f t="shared" ref="W1704:X1704" si="1830">IF(ISBLANK(O1704)=TRUE,0,1)</f>
        <v>1</v>
      </c>
      <c r="X1704" s="13">
        <f t="shared" si="1830"/>
        <v>1</v>
      </c>
      <c r="Y1704" s="13">
        <f t="shared" si="1716"/>
        <v>1</v>
      </c>
      <c r="Z1704" s="13">
        <f t="shared" si="529"/>
        <v>1</v>
      </c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</row>
    <row r="1705" ht="14.25" hidden="1" customHeight="1">
      <c r="A1705" s="13" t="s">
        <v>46</v>
      </c>
      <c r="B1705" s="13" t="s">
        <v>53</v>
      </c>
      <c r="C1705" s="13" t="s">
        <v>998</v>
      </c>
      <c r="D1705" s="13"/>
      <c r="E1705" s="13" t="str">
        <f t="shared" si="735"/>
        <v>PALM,I9,,1</v>
      </c>
      <c r="F1705" s="13"/>
      <c r="G1705" s="13" t="s">
        <v>74</v>
      </c>
      <c r="H1705" s="13" t="s">
        <v>75</v>
      </c>
      <c r="I1705" s="13"/>
      <c r="J1705" s="13"/>
      <c r="K1705" s="15"/>
      <c r="L1705" s="15"/>
      <c r="M1705" s="16"/>
      <c r="N1705" s="16"/>
      <c r="O1705" s="17">
        <v>1.0</v>
      </c>
      <c r="P1705" s="17">
        <v>1.0</v>
      </c>
      <c r="Q1705" s="13"/>
      <c r="R1705" s="29">
        <v>45023.0</v>
      </c>
      <c r="S1705" s="13"/>
      <c r="T1705" s="13">
        <f t="shared" ref="T1705:V1705" si="1831">IF(ISBLANK(K1705)=TRUE,0,1)</f>
        <v>0</v>
      </c>
      <c r="U1705" s="13">
        <f t="shared" si="1831"/>
        <v>0</v>
      </c>
      <c r="V1705" s="13">
        <f t="shared" si="1831"/>
        <v>0</v>
      </c>
      <c r="W1705" s="13">
        <f t="shared" ref="W1705:X1705" si="1832">IF(ISBLANK(O1705)=TRUE,0,1)</f>
        <v>1</v>
      </c>
      <c r="X1705" s="13">
        <f t="shared" si="1832"/>
        <v>1</v>
      </c>
      <c r="Y1705" s="13">
        <f t="shared" si="1716"/>
        <v>1</v>
      </c>
      <c r="Z1705" s="13">
        <f t="shared" si="529"/>
        <v>1</v>
      </c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</row>
    <row r="1706" ht="14.25" hidden="1" customHeight="1">
      <c r="A1706" s="13" t="s">
        <v>46</v>
      </c>
      <c r="B1706" s="13" t="s">
        <v>53</v>
      </c>
      <c r="C1706" s="13" t="s">
        <v>999</v>
      </c>
      <c r="D1706" s="13"/>
      <c r="E1706" s="13" t="str">
        <f t="shared" si="735"/>
        <v>PALM,K1,,0</v>
      </c>
      <c r="F1706" s="13"/>
      <c r="G1706" s="13" t="s">
        <v>111</v>
      </c>
      <c r="H1706" s="13" t="s">
        <v>75</v>
      </c>
      <c r="I1706" s="13"/>
      <c r="J1706" s="13"/>
      <c r="K1706" s="15"/>
      <c r="L1706" s="15"/>
      <c r="M1706" s="16"/>
      <c r="N1706" s="16"/>
      <c r="O1706" s="17">
        <v>0.0</v>
      </c>
      <c r="P1706" s="17">
        <v>0.0</v>
      </c>
      <c r="Q1706" s="13"/>
      <c r="R1706" s="29">
        <v>45023.0</v>
      </c>
      <c r="S1706" s="13"/>
      <c r="T1706" s="13">
        <f t="shared" ref="T1706:V1706" si="1833">IF(ISBLANK(K1706)=TRUE,0,1)</f>
        <v>0</v>
      </c>
      <c r="U1706" s="13">
        <f t="shared" si="1833"/>
        <v>0</v>
      </c>
      <c r="V1706" s="13">
        <f t="shared" si="1833"/>
        <v>0</v>
      </c>
      <c r="W1706" s="13">
        <f t="shared" ref="W1706:X1706" si="1834">IF(ISBLANK(O1706)=TRUE,0,1)</f>
        <v>1</v>
      </c>
      <c r="X1706" s="13">
        <f t="shared" si="1834"/>
        <v>1</v>
      </c>
      <c r="Y1706" s="13">
        <f t="shared" si="1716"/>
        <v>1</v>
      </c>
      <c r="Z1706" s="13">
        <f t="shared" si="529"/>
        <v>0</v>
      </c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</row>
    <row r="1707" ht="14.25" hidden="1" customHeight="1">
      <c r="A1707" s="13" t="s">
        <v>46</v>
      </c>
      <c r="B1707" s="13" t="s">
        <v>53</v>
      </c>
      <c r="C1707" s="13" t="s">
        <v>1000</v>
      </c>
      <c r="D1707" s="13"/>
      <c r="E1707" s="13" t="str">
        <f t="shared" si="735"/>
        <v>PALM,K10,,1</v>
      </c>
      <c r="F1707" s="13"/>
      <c r="G1707" s="13" t="s">
        <v>111</v>
      </c>
      <c r="H1707" s="13" t="s">
        <v>75</v>
      </c>
      <c r="I1707" s="13"/>
      <c r="J1707" s="13"/>
      <c r="K1707" s="15"/>
      <c r="L1707" s="15"/>
      <c r="M1707" s="16"/>
      <c r="N1707" s="16"/>
      <c r="O1707" s="17">
        <v>1.0</v>
      </c>
      <c r="P1707" s="17">
        <v>1.0</v>
      </c>
      <c r="Q1707" s="13"/>
      <c r="R1707" s="29">
        <v>45023.0</v>
      </c>
      <c r="S1707" s="13"/>
      <c r="T1707" s="13">
        <f t="shared" ref="T1707:V1707" si="1835">IF(ISBLANK(K1707)=TRUE,0,1)</f>
        <v>0</v>
      </c>
      <c r="U1707" s="13">
        <f t="shared" si="1835"/>
        <v>0</v>
      </c>
      <c r="V1707" s="13">
        <f t="shared" si="1835"/>
        <v>0</v>
      </c>
      <c r="W1707" s="13">
        <f t="shared" ref="W1707:X1707" si="1836">IF(ISBLANK(O1707)=TRUE,0,1)</f>
        <v>1</v>
      </c>
      <c r="X1707" s="13">
        <f t="shared" si="1836"/>
        <v>1</v>
      </c>
      <c r="Y1707" s="13">
        <f t="shared" si="1716"/>
        <v>1</v>
      </c>
      <c r="Z1707" s="13">
        <f t="shared" si="529"/>
        <v>1</v>
      </c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</row>
    <row r="1708" ht="14.25" hidden="1" customHeight="1">
      <c r="A1708" s="13" t="s">
        <v>46</v>
      </c>
      <c r="B1708" s="13" t="s">
        <v>53</v>
      </c>
      <c r="C1708" s="13" t="s">
        <v>1001</v>
      </c>
      <c r="D1708" s="13"/>
      <c r="E1708" s="13" t="str">
        <f t="shared" si="735"/>
        <v>PALM,K11,,0</v>
      </c>
      <c r="F1708" s="13"/>
      <c r="G1708" s="13" t="s">
        <v>111</v>
      </c>
      <c r="H1708" s="13" t="s">
        <v>75</v>
      </c>
      <c r="I1708" s="13"/>
      <c r="J1708" s="13"/>
      <c r="K1708" s="15"/>
      <c r="L1708" s="15"/>
      <c r="M1708" s="16"/>
      <c r="N1708" s="16"/>
      <c r="O1708" s="17">
        <v>0.0</v>
      </c>
      <c r="P1708" s="17">
        <v>0.0</v>
      </c>
      <c r="Q1708" s="13"/>
      <c r="R1708" s="29">
        <v>45023.0</v>
      </c>
      <c r="S1708" s="13"/>
      <c r="T1708" s="13">
        <f t="shared" ref="T1708:V1708" si="1837">IF(ISBLANK(K1708)=TRUE,0,1)</f>
        <v>0</v>
      </c>
      <c r="U1708" s="13">
        <f t="shared" si="1837"/>
        <v>0</v>
      </c>
      <c r="V1708" s="13">
        <f t="shared" si="1837"/>
        <v>0</v>
      </c>
      <c r="W1708" s="13">
        <f t="shared" ref="W1708:X1708" si="1838">IF(ISBLANK(O1708)=TRUE,0,1)</f>
        <v>1</v>
      </c>
      <c r="X1708" s="13">
        <f t="shared" si="1838"/>
        <v>1</v>
      </c>
      <c r="Y1708" s="13">
        <f t="shared" si="1716"/>
        <v>1</v>
      </c>
      <c r="Z1708" s="13">
        <f t="shared" si="529"/>
        <v>0</v>
      </c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</row>
    <row r="1709" ht="14.25" hidden="1" customHeight="1">
      <c r="A1709" s="13" t="s">
        <v>46</v>
      </c>
      <c r="B1709" s="13" t="s">
        <v>53</v>
      </c>
      <c r="C1709" s="13" t="s">
        <v>1002</v>
      </c>
      <c r="D1709" s="13"/>
      <c r="E1709" s="13" t="str">
        <f t="shared" si="735"/>
        <v>PALM,K12,,0</v>
      </c>
      <c r="F1709" s="13"/>
      <c r="G1709" s="13" t="s">
        <v>111</v>
      </c>
      <c r="H1709" s="13" t="s">
        <v>75</v>
      </c>
      <c r="I1709" s="13"/>
      <c r="J1709" s="13"/>
      <c r="K1709" s="15"/>
      <c r="L1709" s="15"/>
      <c r="M1709" s="16"/>
      <c r="N1709" s="16"/>
      <c r="O1709" s="17">
        <v>0.0</v>
      </c>
      <c r="P1709" s="17">
        <v>0.0</v>
      </c>
      <c r="Q1709" s="13"/>
      <c r="R1709" s="29">
        <v>45023.0</v>
      </c>
      <c r="S1709" s="13"/>
      <c r="T1709" s="13">
        <f t="shared" ref="T1709:V1709" si="1839">IF(ISBLANK(K1709)=TRUE,0,1)</f>
        <v>0</v>
      </c>
      <c r="U1709" s="13">
        <f t="shared" si="1839"/>
        <v>0</v>
      </c>
      <c r="V1709" s="13">
        <f t="shared" si="1839"/>
        <v>0</v>
      </c>
      <c r="W1709" s="13">
        <f t="shared" ref="W1709:X1709" si="1840">IF(ISBLANK(O1709)=TRUE,0,1)</f>
        <v>1</v>
      </c>
      <c r="X1709" s="13">
        <f t="shared" si="1840"/>
        <v>1</v>
      </c>
      <c r="Y1709" s="13">
        <f t="shared" si="1716"/>
        <v>1</v>
      </c>
      <c r="Z1709" s="13">
        <f t="shared" si="529"/>
        <v>0</v>
      </c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</row>
    <row r="1710" ht="14.25" hidden="1" customHeight="1">
      <c r="A1710" s="13" t="s">
        <v>46</v>
      </c>
      <c r="B1710" s="13" t="s">
        <v>53</v>
      </c>
      <c r="C1710" s="13" t="s">
        <v>1003</v>
      </c>
      <c r="D1710" s="13"/>
      <c r="E1710" s="13" t="str">
        <f t="shared" si="735"/>
        <v>PALM,K13,,0</v>
      </c>
      <c r="F1710" s="13"/>
      <c r="G1710" s="13" t="s">
        <v>111</v>
      </c>
      <c r="H1710" s="13" t="s">
        <v>75</v>
      </c>
      <c r="I1710" s="13"/>
      <c r="J1710" s="13"/>
      <c r="K1710" s="15"/>
      <c r="L1710" s="15"/>
      <c r="M1710" s="16"/>
      <c r="N1710" s="16"/>
      <c r="O1710" s="17">
        <v>0.0</v>
      </c>
      <c r="P1710" s="17">
        <v>0.0</v>
      </c>
      <c r="Q1710" s="13"/>
      <c r="R1710" s="29">
        <v>45023.0</v>
      </c>
      <c r="S1710" s="13"/>
      <c r="T1710" s="13">
        <f t="shared" ref="T1710:V1710" si="1841">IF(ISBLANK(K1710)=TRUE,0,1)</f>
        <v>0</v>
      </c>
      <c r="U1710" s="13">
        <f t="shared" si="1841"/>
        <v>0</v>
      </c>
      <c r="V1710" s="13">
        <f t="shared" si="1841"/>
        <v>0</v>
      </c>
      <c r="W1710" s="13">
        <f t="shared" ref="W1710:X1710" si="1842">IF(ISBLANK(O1710)=TRUE,0,1)</f>
        <v>1</v>
      </c>
      <c r="X1710" s="13">
        <f t="shared" si="1842"/>
        <v>1</v>
      </c>
      <c r="Y1710" s="13">
        <f t="shared" si="1716"/>
        <v>1</v>
      </c>
      <c r="Z1710" s="13">
        <f t="shared" si="529"/>
        <v>0</v>
      </c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</row>
    <row r="1711" ht="14.25" hidden="1" customHeight="1">
      <c r="A1711" s="13" t="s">
        <v>46</v>
      </c>
      <c r="B1711" s="13" t="s">
        <v>53</v>
      </c>
      <c r="C1711" s="13" t="s">
        <v>1004</v>
      </c>
      <c r="D1711" s="13"/>
      <c r="E1711" s="13" t="str">
        <f t="shared" si="735"/>
        <v>PALM,K14,,1</v>
      </c>
      <c r="F1711" s="13"/>
      <c r="G1711" s="13" t="s">
        <v>111</v>
      </c>
      <c r="H1711" s="13" t="s">
        <v>75</v>
      </c>
      <c r="I1711" s="13"/>
      <c r="J1711" s="13"/>
      <c r="K1711" s="15"/>
      <c r="L1711" s="15"/>
      <c r="M1711" s="16"/>
      <c r="N1711" s="16"/>
      <c r="O1711" s="17">
        <v>1.0</v>
      </c>
      <c r="P1711" s="17">
        <v>1.0</v>
      </c>
      <c r="Q1711" s="13"/>
      <c r="R1711" s="29">
        <v>45023.0</v>
      </c>
      <c r="S1711" s="13"/>
      <c r="T1711" s="13">
        <f t="shared" ref="T1711:V1711" si="1843">IF(ISBLANK(K1711)=TRUE,0,1)</f>
        <v>0</v>
      </c>
      <c r="U1711" s="13">
        <f t="shared" si="1843"/>
        <v>0</v>
      </c>
      <c r="V1711" s="13">
        <f t="shared" si="1843"/>
        <v>0</v>
      </c>
      <c r="W1711" s="13">
        <f t="shared" ref="W1711:X1711" si="1844">IF(ISBLANK(O1711)=TRUE,0,1)</f>
        <v>1</v>
      </c>
      <c r="X1711" s="13">
        <f t="shared" si="1844"/>
        <v>1</v>
      </c>
      <c r="Y1711" s="13">
        <f t="shared" si="1716"/>
        <v>1</v>
      </c>
      <c r="Z1711" s="13">
        <f t="shared" si="529"/>
        <v>1</v>
      </c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</row>
    <row r="1712" ht="14.25" hidden="1" customHeight="1">
      <c r="A1712" s="13" t="s">
        <v>46</v>
      </c>
      <c r="B1712" s="13" t="s">
        <v>53</v>
      </c>
      <c r="C1712" s="13" t="s">
        <v>1005</v>
      </c>
      <c r="D1712" s="13"/>
      <c r="E1712" s="13" t="str">
        <f t="shared" si="735"/>
        <v>PALM,K15,,1</v>
      </c>
      <c r="F1712" s="13"/>
      <c r="G1712" s="13" t="s">
        <v>111</v>
      </c>
      <c r="H1712" s="13" t="s">
        <v>75</v>
      </c>
      <c r="I1712" s="13"/>
      <c r="J1712" s="13"/>
      <c r="K1712" s="15"/>
      <c r="L1712" s="15"/>
      <c r="M1712" s="16"/>
      <c r="N1712" s="16"/>
      <c r="O1712" s="17">
        <v>1.0</v>
      </c>
      <c r="P1712" s="17">
        <v>1.0</v>
      </c>
      <c r="Q1712" s="13"/>
      <c r="R1712" s="29">
        <v>45023.0</v>
      </c>
      <c r="S1712" s="13"/>
      <c r="T1712" s="13">
        <f t="shared" ref="T1712:V1712" si="1845">IF(ISBLANK(K1712)=TRUE,0,1)</f>
        <v>0</v>
      </c>
      <c r="U1712" s="13">
        <f t="shared" si="1845"/>
        <v>0</v>
      </c>
      <c r="V1712" s="13">
        <f t="shared" si="1845"/>
        <v>0</v>
      </c>
      <c r="W1712" s="13">
        <f t="shared" ref="W1712:X1712" si="1846">IF(ISBLANK(O1712)=TRUE,0,1)</f>
        <v>1</v>
      </c>
      <c r="X1712" s="13">
        <f t="shared" si="1846"/>
        <v>1</v>
      </c>
      <c r="Y1712" s="13">
        <f t="shared" si="1716"/>
        <v>1</v>
      </c>
      <c r="Z1712" s="13">
        <f t="shared" si="529"/>
        <v>1</v>
      </c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</row>
    <row r="1713" ht="14.25" hidden="1" customHeight="1">
      <c r="A1713" s="13" t="s">
        <v>46</v>
      </c>
      <c r="B1713" s="13" t="s">
        <v>53</v>
      </c>
      <c r="C1713" s="13" t="s">
        <v>1006</v>
      </c>
      <c r="D1713" s="13"/>
      <c r="E1713" s="13" t="str">
        <f t="shared" si="735"/>
        <v>PALM,K16,,1</v>
      </c>
      <c r="F1713" s="13"/>
      <c r="G1713" s="13" t="s">
        <v>111</v>
      </c>
      <c r="H1713" s="13" t="s">
        <v>75</v>
      </c>
      <c r="I1713" s="13"/>
      <c r="J1713" s="13"/>
      <c r="K1713" s="15"/>
      <c r="L1713" s="15"/>
      <c r="M1713" s="16"/>
      <c r="N1713" s="16"/>
      <c r="O1713" s="17">
        <v>1.0</v>
      </c>
      <c r="P1713" s="17">
        <v>1.0</v>
      </c>
      <c r="Q1713" s="13"/>
      <c r="R1713" s="29">
        <v>45023.0</v>
      </c>
      <c r="S1713" s="13"/>
      <c r="T1713" s="13">
        <f t="shared" ref="T1713:V1713" si="1847">IF(ISBLANK(K1713)=TRUE,0,1)</f>
        <v>0</v>
      </c>
      <c r="U1713" s="13">
        <f t="shared" si="1847"/>
        <v>0</v>
      </c>
      <c r="V1713" s="13">
        <f t="shared" si="1847"/>
        <v>0</v>
      </c>
      <c r="W1713" s="13">
        <f t="shared" ref="W1713:X1713" si="1848">IF(ISBLANK(O1713)=TRUE,0,1)</f>
        <v>1</v>
      </c>
      <c r="X1713" s="13">
        <f t="shared" si="1848"/>
        <v>1</v>
      </c>
      <c r="Y1713" s="13">
        <f t="shared" si="1716"/>
        <v>1</v>
      </c>
      <c r="Z1713" s="13">
        <f t="shared" si="529"/>
        <v>1</v>
      </c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</row>
    <row r="1714" ht="14.25" hidden="1" customHeight="1">
      <c r="A1714" s="13" t="s">
        <v>46</v>
      </c>
      <c r="B1714" s="13" t="s">
        <v>53</v>
      </c>
      <c r="C1714" s="13" t="s">
        <v>1007</v>
      </c>
      <c r="D1714" s="13"/>
      <c r="E1714" s="13" t="str">
        <f t="shared" si="735"/>
        <v>PALM,K17,,1</v>
      </c>
      <c r="F1714" s="13"/>
      <c r="G1714" s="13" t="s">
        <v>111</v>
      </c>
      <c r="H1714" s="13" t="s">
        <v>75</v>
      </c>
      <c r="I1714" s="13"/>
      <c r="J1714" s="13"/>
      <c r="K1714" s="15"/>
      <c r="L1714" s="15"/>
      <c r="M1714" s="16"/>
      <c r="N1714" s="16"/>
      <c r="O1714" s="17">
        <v>1.0</v>
      </c>
      <c r="P1714" s="17">
        <v>1.0</v>
      </c>
      <c r="Q1714" s="13"/>
      <c r="R1714" s="29">
        <v>45023.0</v>
      </c>
      <c r="S1714" s="13"/>
      <c r="T1714" s="13">
        <f t="shared" ref="T1714:V1714" si="1849">IF(ISBLANK(K1714)=TRUE,0,1)</f>
        <v>0</v>
      </c>
      <c r="U1714" s="13">
        <f t="shared" si="1849"/>
        <v>0</v>
      </c>
      <c r="V1714" s="13">
        <f t="shared" si="1849"/>
        <v>0</v>
      </c>
      <c r="W1714" s="13">
        <f t="shared" ref="W1714:X1714" si="1850">IF(ISBLANK(O1714)=TRUE,0,1)</f>
        <v>1</v>
      </c>
      <c r="X1714" s="13">
        <f t="shared" si="1850"/>
        <v>1</v>
      </c>
      <c r="Y1714" s="13">
        <f t="shared" si="1716"/>
        <v>1</v>
      </c>
      <c r="Z1714" s="13">
        <f t="shared" si="529"/>
        <v>1</v>
      </c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</row>
    <row r="1715" ht="14.25" hidden="1" customHeight="1">
      <c r="A1715" s="13" t="s">
        <v>46</v>
      </c>
      <c r="B1715" s="13" t="s">
        <v>53</v>
      </c>
      <c r="C1715" s="13" t="s">
        <v>1008</v>
      </c>
      <c r="D1715" s="13"/>
      <c r="E1715" s="13" t="str">
        <f t="shared" si="735"/>
        <v>PALM,K18,,1</v>
      </c>
      <c r="F1715" s="13"/>
      <c r="G1715" s="13" t="s">
        <v>111</v>
      </c>
      <c r="H1715" s="13" t="s">
        <v>75</v>
      </c>
      <c r="I1715" s="13"/>
      <c r="J1715" s="13"/>
      <c r="K1715" s="15"/>
      <c r="L1715" s="15"/>
      <c r="M1715" s="16"/>
      <c r="N1715" s="16"/>
      <c r="O1715" s="17">
        <v>1.0</v>
      </c>
      <c r="P1715" s="17">
        <v>1.0</v>
      </c>
      <c r="Q1715" s="13"/>
      <c r="R1715" s="29">
        <v>45023.0</v>
      </c>
      <c r="S1715" s="13"/>
      <c r="T1715" s="13">
        <f t="shared" ref="T1715:V1715" si="1851">IF(ISBLANK(K1715)=TRUE,0,1)</f>
        <v>0</v>
      </c>
      <c r="U1715" s="13">
        <f t="shared" si="1851"/>
        <v>0</v>
      </c>
      <c r="V1715" s="13">
        <f t="shared" si="1851"/>
        <v>0</v>
      </c>
      <c r="W1715" s="13">
        <f t="shared" ref="W1715:X1715" si="1852">IF(ISBLANK(O1715)=TRUE,0,1)</f>
        <v>1</v>
      </c>
      <c r="X1715" s="13">
        <f t="shared" si="1852"/>
        <v>1</v>
      </c>
      <c r="Y1715" s="13">
        <f t="shared" si="1716"/>
        <v>1</v>
      </c>
      <c r="Z1715" s="13">
        <f t="shared" si="529"/>
        <v>1</v>
      </c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</row>
    <row r="1716" ht="14.25" hidden="1" customHeight="1">
      <c r="A1716" s="13" t="s">
        <v>46</v>
      </c>
      <c r="B1716" s="13" t="s">
        <v>53</v>
      </c>
      <c r="C1716" s="13" t="s">
        <v>1009</v>
      </c>
      <c r="D1716" s="13"/>
      <c r="E1716" s="13" t="str">
        <f t="shared" si="735"/>
        <v>PALM,K19,,1</v>
      </c>
      <c r="F1716" s="13"/>
      <c r="G1716" s="13" t="s">
        <v>111</v>
      </c>
      <c r="H1716" s="13" t="s">
        <v>75</v>
      </c>
      <c r="I1716" s="13"/>
      <c r="J1716" s="13"/>
      <c r="K1716" s="15"/>
      <c r="L1716" s="15"/>
      <c r="M1716" s="16"/>
      <c r="N1716" s="16"/>
      <c r="O1716" s="17">
        <v>1.0</v>
      </c>
      <c r="P1716" s="17">
        <v>1.0</v>
      </c>
      <c r="Q1716" s="13"/>
      <c r="R1716" s="29">
        <v>45023.0</v>
      </c>
      <c r="S1716" s="13"/>
      <c r="T1716" s="13">
        <f t="shared" ref="T1716:V1716" si="1853">IF(ISBLANK(K1716)=TRUE,0,1)</f>
        <v>0</v>
      </c>
      <c r="U1716" s="13">
        <f t="shared" si="1853"/>
        <v>0</v>
      </c>
      <c r="V1716" s="13">
        <f t="shared" si="1853"/>
        <v>0</v>
      </c>
      <c r="W1716" s="13">
        <f t="shared" ref="W1716:X1716" si="1854">IF(ISBLANK(O1716)=TRUE,0,1)</f>
        <v>1</v>
      </c>
      <c r="X1716" s="13">
        <f t="shared" si="1854"/>
        <v>1</v>
      </c>
      <c r="Y1716" s="13">
        <f t="shared" si="1716"/>
        <v>1</v>
      </c>
      <c r="Z1716" s="13">
        <f t="shared" si="529"/>
        <v>1</v>
      </c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</row>
    <row r="1717" ht="14.25" hidden="1" customHeight="1">
      <c r="A1717" s="13" t="s">
        <v>46</v>
      </c>
      <c r="B1717" s="13" t="s">
        <v>53</v>
      </c>
      <c r="C1717" s="13" t="s">
        <v>1010</v>
      </c>
      <c r="D1717" s="13"/>
      <c r="E1717" s="13" t="str">
        <f t="shared" si="735"/>
        <v>PALM,K2,,0</v>
      </c>
      <c r="F1717" s="13"/>
      <c r="G1717" s="13" t="s">
        <v>111</v>
      </c>
      <c r="H1717" s="13" t="s">
        <v>75</v>
      </c>
      <c r="I1717" s="13"/>
      <c r="J1717" s="13"/>
      <c r="K1717" s="15"/>
      <c r="L1717" s="15"/>
      <c r="M1717" s="16"/>
      <c r="N1717" s="16"/>
      <c r="O1717" s="17">
        <v>0.0</v>
      </c>
      <c r="P1717" s="17">
        <v>0.0</v>
      </c>
      <c r="Q1717" s="13"/>
      <c r="R1717" s="29">
        <v>45023.0</v>
      </c>
      <c r="S1717" s="13"/>
      <c r="T1717" s="13">
        <f t="shared" ref="T1717:V1717" si="1855">IF(ISBLANK(K1717)=TRUE,0,1)</f>
        <v>0</v>
      </c>
      <c r="U1717" s="13">
        <f t="shared" si="1855"/>
        <v>0</v>
      </c>
      <c r="V1717" s="13">
        <f t="shared" si="1855"/>
        <v>0</v>
      </c>
      <c r="W1717" s="13">
        <f t="shared" ref="W1717:X1717" si="1856">IF(ISBLANK(O1717)=TRUE,0,1)</f>
        <v>1</v>
      </c>
      <c r="X1717" s="13">
        <f t="shared" si="1856"/>
        <v>1</v>
      </c>
      <c r="Y1717" s="13">
        <f t="shared" si="1716"/>
        <v>1</v>
      </c>
      <c r="Z1717" s="13">
        <f t="shared" si="529"/>
        <v>0</v>
      </c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</row>
    <row r="1718" ht="14.25" hidden="1" customHeight="1">
      <c r="A1718" s="13" t="s">
        <v>46</v>
      </c>
      <c r="B1718" s="13" t="s">
        <v>53</v>
      </c>
      <c r="C1718" s="13" t="s">
        <v>1011</v>
      </c>
      <c r="D1718" s="13"/>
      <c r="E1718" s="13" t="str">
        <f t="shared" si="735"/>
        <v>PALM,K20,,1</v>
      </c>
      <c r="F1718" s="13"/>
      <c r="G1718" s="13" t="s">
        <v>111</v>
      </c>
      <c r="H1718" s="13" t="s">
        <v>75</v>
      </c>
      <c r="I1718" s="13"/>
      <c r="J1718" s="13"/>
      <c r="K1718" s="15"/>
      <c r="L1718" s="15"/>
      <c r="M1718" s="16"/>
      <c r="N1718" s="16"/>
      <c r="O1718" s="17">
        <v>1.0</v>
      </c>
      <c r="P1718" s="17">
        <v>1.0</v>
      </c>
      <c r="Q1718" s="13"/>
      <c r="R1718" s="29">
        <v>45023.0</v>
      </c>
      <c r="S1718" s="13"/>
      <c r="T1718" s="13">
        <f t="shared" ref="T1718:V1718" si="1857">IF(ISBLANK(K1718)=TRUE,0,1)</f>
        <v>0</v>
      </c>
      <c r="U1718" s="13">
        <f t="shared" si="1857"/>
        <v>0</v>
      </c>
      <c r="V1718" s="13">
        <f t="shared" si="1857"/>
        <v>0</v>
      </c>
      <c r="W1718" s="13">
        <f t="shared" ref="W1718:X1718" si="1858">IF(ISBLANK(O1718)=TRUE,0,1)</f>
        <v>1</v>
      </c>
      <c r="X1718" s="13">
        <f t="shared" si="1858"/>
        <v>1</v>
      </c>
      <c r="Y1718" s="13">
        <f t="shared" si="1716"/>
        <v>1</v>
      </c>
      <c r="Z1718" s="13">
        <f t="shared" si="529"/>
        <v>1</v>
      </c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</row>
    <row r="1719" ht="14.25" hidden="1" customHeight="1">
      <c r="A1719" s="13" t="s">
        <v>46</v>
      </c>
      <c r="B1719" s="13" t="s">
        <v>53</v>
      </c>
      <c r="C1719" s="13" t="s">
        <v>1012</v>
      </c>
      <c r="D1719" s="13"/>
      <c r="E1719" s="13" t="str">
        <f t="shared" si="735"/>
        <v>PALM,K21,,1</v>
      </c>
      <c r="F1719" s="13"/>
      <c r="G1719" s="13" t="s">
        <v>111</v>
      </c>
      <c r="H1719" s="13" t="s">
        <v>75</v>
      </c>
      <c r="I1719" s="13"/>
      <c r="J1719" s="13"/>
      <c r="K1719" s="15"/>
      <c r="L1719" s="15"/>
      <c r="M1719" s="16"/>
      <c r="N1719" s="16"/>
      <c r="O1719" s="17">
        <v>1.0</v>
      </c>
      <c r="P1719" s="17">
        <v>1.0</v>
      </c>
      <c r="Q1719" s="13"/>
      <c r="R1719" s="29">
        <v>45023.0</v>
      </c>
      <c r="S1719" s="13"/>
      <c r="T1719" s="13">
        <f t="shared" ref="T1719:V1719" si="1859">IF(ISBLANK(K1719)=TRUE,0,1)</f>
        <v>0</v>
      </c>
      <c r="U1719" s="13">
        <f t="shared" si="1859"/>
        <v>0</v>
      </c>
      <c r="V1719" s="13">
        <f t="shared" si="1859"/>
        <v>0</v>
      </c>
      <c r="W1719" s="13">
        <f t="shared" ref="W1719:X1719" si="1860">IF(ISBLANK(O1719)=TRUE,0,1)</f>
        <v>1</v>
      </c>
      <c r="X1719" s="13">
        <f t="shared" si="1860"/>
        <v>1</v>
      </c>
      <c r="Y1719" s="13">
        <f t="shared" si="1716"/>
        <v>1</v>
      </c>
      <c r="Z1719" s="13">
        <f t="shared" si="529"/>
        <v>1</v>
      </c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</row>
    <row r="1720" ht="14.25" hidden="1" customHeight="1">
      <c r="A1720" s="13" t="s">
        <v>46</v>
      </c>
      <c r="B1720" s="13" t="s">
        <v>53</v>
      </c>
      <c r="C1720" s="13" t="s">
        <v>1013</v>
      </c>
      <c r="D1720" s="13"/>
      <c r="E1720" s="13" t="str">
        <f t="shared" si="735"/>
        <v>PALM,K22,,1</v>
      </c>
      <c r="F1720" s="13"/>
      <c r="G1720" s="13" t="s">
        <v>111</v>
      </c>
      <c r="H1720" s="13" t="s">
        <v>75</v>
      </c>
      <c r="I1720" s="13"/>
      <c r="J1720" s="13"/>
      <c r="K1720" s="15"/>
      <c r="L1720" s="15"/>
      <c r="M1720" s="16"/>
      <c r="N1720" s="16"/>
      <c r="O1720" s="17">
        <v>1.0</v>
      </c>
      <c r="P1720" s="17">
        <v>1.0</v>
      </c>
      <c r="Q1720" s="13"/>
      <c r="R1720" s="29">
        <v>45023.0</v>
      </c>
      <c r="S1720" s="13"/>
      <c r="T1720" s="13">
        <f t="shared" ref="T1720:V1720" si="1861">IF(ISBLANK(K1720)=TRUE,0,1)</f>
        <v>0</v>
      </c>
      <c r="U1720" s="13">
        <f t="shared" si="1861"/>
        <v>0</v>
      </c>
      <c r="V1720" s="13">
        <f t="shared" si="1861"/>
        <v>0</v>
      </c>
      <c r="W1720" s="13">
        <f t="shared" ref="W1720:X1720" si="1862">IF(ISBLANK(O1720)=TRUE,0,1)</f>
        <v>1</v>
      </c>
      <c r="X1720" s="13">
        <f t="shared" si="1862"/>
        <v>1</v>
      </c>
      <c r="Y1720" s="13">
        <f t="shared" si="1716"/>
        <v>1</v>
      </c>
      <c r="Z1720" s="13">
        <f t="shared" si="529"/>
        <v>1</v>
      </c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</row>
    <row r="1721" ht="14.25" hidden="1" customHeight="1">
      <c r="A1721" s="13" t="s">
        <v>46</v>
      </c>
      <c r="B1721" s="13" t="s">
        <v>53</v>
      </c>
      <c r="C1721" s="13" t="s">
        <v>1014</v>
      </c>
      <c r="D1721" s="13"/>
      <c r="E1721" s="13" t="str">
        <f t="shared" si="735"/>
        <v>PALM,K23,,1</v>
      </c>
      <c r="F1721" s="13"/>
      <c r="G1721" s="13" t="s">
        <v>111</v>
      </c>
      <c r="H1721" s="13" t="s">
        <v>75</v>
      </c>
      <c r="I1721" s="13"/>
      <c r="J1721" s="13"/>
      <c r="K1721" s="15"/>
      <c r="L1721" s="15"/>
      <c r="M1721" s="16"/>
      <c r="N1721" s="16"/>
      <c r="O1721" s="17">
        <v>1.0</v>
      </c>
      <c r="P1721" s="17">
        <v>1.0</v>
      </c>
      <c r="Q1721" s="13"/>
      <c r="R1721" s="29">
        <v>45023.0</v>
      </c>
      <c r="S1721" s="13"/>
      <c r="T1721" s="13">
        <f t="shared" ref="T1721:V1721" si="1863">IF(ISBLANK(K1721)=TRUE,0,1)</f>
        <v>0</v>
      </c>
      <c r="U1721" s="13">
        <f t="shared" si="1863"/>
        <v>0</v>
      </c>
      <c r="V1721" s="13">
        <f t="shared" si="1863"/>
        <v>0</v>
      </c>
      <c r="W1721" s="13">
        <f t="shared" ref="W1721:X1721" si="1864">IF(ISBLANK(O1721)=TRUE,0,1)</f>
        <v>1</v>
      </c>
      <c r="X1721" s="13">
        <f t="shared" si="1864"/>
        <v>1</v>
      </c>
      <c r="Y1721" s="13">
        <f t="shared" si="1716"/>
        <v>1</v>
      </c>
      <c r="Z1721" s="13">
        <f t="shared" si="529"/>
        <v>1</v>
      </c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</row>
    <row r="1722" ht="14.25" hidden="1" customHeight="1">
      <c r="A1722" s="13" t="s">
        <v>46</v>
      </c>
      <c r="B1722" s="13" t="s">
        <v>53</v>
      </c>
      <c r="C1722" s="13" t="s">
        <v>1015</v>
      </c>
      <c r="D1722" s="13"/>
      <c r="E1722" s="13" t="str">
        <f t="shared" si="735"/>
        <v>PALM,K24,,1</v>
      </c>
      <c r="F1722" s="13"/>
      <c r="G1722" s="13" t="s">
        <v>111</v>
      </c>
      <c r="H1722" s="13" t="s">
        <v>75</v>
      </c>
      <c r="I1722" s="13"/>
      <c r="J1722" s="13"/>
      <c r="K1722" s="15"/>
      <c r="L1722" s="15"/>
      <c r="M1722" s="16"/>
      <c r="N1722" s="16"/>
      <c r="O1722" s="17">
        <v>1.0</v>
      </c>
      <c r="P1722" s="17">
        <v>1.0</v>
      </c>
      <c r="Q1722" s="13"/>
      <c r="R1722" s="29">
        <v>45023.0</v>
      </c>
      <c r="S1722" s="13"/>
      <c r="T1722" s="13">
        <f t="shared" ref="T1722:V1722" si="1865">IF(ISBLANK(K1722)=TRUE,0,1)</f>
        <v>0</v>
      </c>
      <c r="U1722" s="13">
        <f t="shared" si="1865"/>
        <v>0</v>
      </c>
      <c r="V1722" s="13">
        <f t="shared" si="1865"/>
        <v>0</v>
      </c>
      <c r="W1722" s="13">
        <f t="shared" ref="W1722:X1722" si="1866">IF(ISBLANK(O1722)=TRUE,0,1)</f>
        <v>1</v>
      </c>
      <c r="X1722" s="13">
        <f t="shared" si="1866"/>
        <v>1</v>
      </c>
      <c r="Y1722" s="13">
        <f t="shared" si="1716"/>
        <v>1</v>
      </c>
      <c r="Z1722" s="13">
        <f t="shared" si="529"/>
        <v>1</v>
      </c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</row>
    <row r="1723" ht="14.25" hidden="1" customHeight="1">
      <c r="A1723" s="13" t="s">
        <v>46</v>
      </c>
      <c r="B1723" s="13" t="s">
        <v>53</v>
      </c>
      <c r="C1723" s="13" t="s">
        <v>1016</v>
      </c>
      <c r="D1723" s="13"/>
      <c r="E1723" s="13" t="str">
        <f t="shared" si="735"/>
        <v>PALM,K25,,1</v>
      </c>
      <c r="F1723" s="13"/>
      <c r="G1723" s="13" t="s">
        <v>111</v>
      </c>
      <c r="H1723" s="13" t="s">
        <v>75</v>
      </c>
      <c r="I1723" s="13"/>
      <c r="J1723" s="13"/>
      <c r="K1723" s="15"/>
      <c r="L1723" s="15"/>
      <c r="M1723" s="16"/>
      <c r="N1723" s="16"/>
      <c r="O1723" s="17">
        <v>1.0</v>
      </c>
      <c r="P1723" s="17">
        <v>1.0</v>
      </c>
      <c r="Q1723" s="13"/>
      <c r="R1723" s="29">
        <v>45023.0</v>
      </c>
      <c r="S1723" s="13"/>
      <c r="T1723" s="13">
        <f t="shared" ref="T1723:V1723" si="1867">IF(ISBLANK(K1723)=TRUE,0,1)</f>
        <v>0</v>
      </c>
      <c r="U1723" s="13">
        <f t="shared" si="1867"/>
        <v>0</v>
      </c>
      <c r="V1723" s="13">
        <f t="shared" si="1867"/>
        <v>0</v>
      </c>
      <c r="W1723" s="13">
        <f t="shared" ref="W1723:X1723" si="1868">IF(ISBLANK(O1723)=TRUE,0,1)</f>
        <v>1</v>
      </c>
      <c r="X1723" s="13">
        <f t="shared" si="1868"/>
        <v>1</v>
      </c>
      <c r="Y1723" s="13">
        <f t="shared" si="1716"/>
        <v>1</v>
      </c>
      <c r="Z1723" s="13">
        <f t="shared" si="529"/>
        <v>1</v>
      </c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</row>
    <row r="1724" ht="14.25" hidden="1" customHeight="1">
      <c r="A1724" s="13" t="s">
        <v>46</v>
      </c>
      <c r="B1724" s="13" t="s">
        <v>53</v>
      </c>
      <c r="C1724" s="13" t="s">
        <v>1017</v>
      </c>
      <c r="D1724" s="13"/>
      <c r="E1724" s="13" t="str">
        <f t="shared" si="735"/>
        <v>PALM,K26,,0</v>
      </c>
      <c r="F1724" s="13"/>
      <c r="G1724" s="13" t="s">
        <v>111</v>
      </c>
      <c r="H1724" s="13" t="s">
        <v>75</v>
      </c>
      <c r="I1724" s="13"/>
      <c r="J1724" s="13"/>
      <c r="K1724" s="15"/>
      <c r="L1724" s="15"/>
      <c r="M1724" s="16"/>
      <c r="N1724" s="16"/>
      <c r="O1724" s="17">
        <v>0.0</v>
      </c>
      <c r="P1724" s="17">
        <v>0.0</v>
      </c>
      <c r="Q1724" s="13"/>
      <c r="R1724" s="29">
        <v>45023.0</v>
      </c>
      <c r="S1724" s="13"/>
      <c r="T1724" s="13">
        <f t="shared" ref="T1724:V1724" si="1869">IF(ISBLANK(K1724)=TRUE,0,1)</f>
        <v>0</v>
      </c>
      <c r="U1724" s="13">
        <f t="shared" si="1869"/>
        <v>0</v>
      </c>
      <c r="V1724" s="13">
        <f t="shared" si="1869"/>
        <v>0</v>
      </c>
      <c r="W1724" s="13">
        <f t="shared" ref="W1724:X1724" si="1870">IF(ISBLANK(O1724)=TRUE,0,1)</f>
        <v>1</v>
      </c>
      <c r="X1724" s="13">
        <f t="shared" si="1870"/>
        <v>1</v>
      </c>
      <c r="Y1724" s="13">
        <f t="shared" si="1716"/>
        <v>1</v>
      </c>
      <c r="Z1724" s="13">
        <f t="shared" si="529"/>
        <v>0</v>
      </c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</row>
    <row r="1725" ht="14.25" hidden="1" customHeight="1">
      <c r="A1725" s="13" t="s">
        <v>46</v>
      </c>
      <c r="B1725" s="13" t="s">
        <v>53</v>
      </c>
      <c r="C1725" s="13" t="s">
        <v>1018</v>
      </c>
      <c r="D1725" s="13"/>
      <c r="E1725" s="13" t="str">
        <f t="shared" si="735"/>
        <v>PALM,K27,,1</v>
      </c>
      <c r="F1725" s="13"/>
      <c r="G1725" s="13" t="s">
        <v>111</v>
      </c>
      <c r="H1725" s="13" t="s">
        <v>75</v>
      </c>
      <c r="I1725" s="13"/>
      <c r="J1725" s="13"/>
      <c r="K1725" s="15"/>
      <c r="L1725" s="15"/>
      <c r="M1725" s="16"/>
      <c r="N1725" s="16"/>
      <c r="O1725" s="17">
        <v>1.0</v>
      </c>
      <c r="P1725" s="17">
        <v>1.0</v>
      </c>
      <c r="Q1725" s="13"/>
      <c r="R1725" s="29">
        <v>45023.0</v>
      </c>
      <c r="S1725" s="13"/>
      <c r="T1725" s="13">
        <f t="shared" ref="T1725:V1725" si="1871">IF(ISBLANK(K1725)=TRUE,0,1)</f>
        <v>0</v>
      </c>
      <c r="U1725" s="13">
        <f t="shared" si="1871"/>
        <v>0</v>
      </c>
      <c r="V1725" s="13">
        <f t="shared" si="1871"/>
        <v>0</v>
      </c>
      <c r="W1725" s="13">
        <f t="shared" ref="W1725:X1725" si="1872">IF(ISBLANK(O1725)=TRUE,0,1)</f>
        <v>1</v>
      </c>
      <c r="X1725" s="13">
        <f t="shared" si="1872"/>
        <v>1</v>
      </c>
      <c r="Y1725" s="13">
        <f t="shared" si="1716"/>
        <v>1</v>
      </c>
      <c r="Z1725" s="13">
        <f t="shared" si="529"/>
        <v>1</v>
      </c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</row>
    <row r="1726" ht="14.25" hidden="1" customHeight="1">
      <c r="A1726" s="13" t="s">
        <v>46</v>
      </c>
      <c r="B1726" s="13" t="s">
        <v>53</v>
      </c>
      <c r="C1726" s="13" t="s">
        <v>1019</v>
      </c>
      <c r="D1726" s="13"/>
      <c r="E1726" s="13" t="str">
        <f t="shared" si="735"/>
        <v>PALM,K28,,1</v>
      </c>
      <c r="F1726" s="13"/>
      <c r="G1726" s="13" t="s">
        <v>111</v>
      </c>
      <c r="H1726" s="13" t="s">
        <v>75</v>
      </c>
      <c r="I1726" s="13"/>
      <c r="J1726" s="13"/>
      <c r="K1726" s="15"/>
      <c r="L1726" s="15"/>
      <c r="M1726" s="16"/>
      <c r="N1726" s="16"/>
      <c r="O1726" s="17">
        <v>1.0</v>
      </c>
      <c r="P1726" s="17">
        <v>1.0</v>
      </c>
      <c r="Q1726" s="13"/>
      <c r="R1726" s="29">
        <v>45023.0</v>
      </c>
      <c r="S1726" s="13"/>
      <c r="T1726" s="13">
        <f t="shared" ref="T1726:V1726" si="1873">IF(ISBLANK(K1726)=TRUE,0,1)</f>
        <v>0</v>
      </c>
      <c r="U1726" s="13">
        <f t="shared" si="1873"/>
        <v>0</v>
      </c>
      <c r="V1726" s="13">
        <f t="shared" si="1873"/>
        <v>0</v>
      </c>
      <c r="W1726" s="13">
        <f t="shared" ref="W1726:X1726" si="1874">IF(ISBLANK(O1726)=TRUE,0,1)</f>
        <v>1</v>
      </c>
      <c r="X1726" s="13">
        <f t="shared" si="1874"/>
        <v>1</v>
      </c>
      <c r="Y1726" s="13">
        <f t="shared" si="1716"/>
        <v>1</v>
      </c>
      <c r="Z1726" s="13">
        <f t="shared" si="529"/>
        <v>1</v>
      </c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</row>
    <row r="1727" ht="14.25" hidden="1" customHeight="1">
      <c r="A1727" s="13" t="s">
        <v>46</v>
      </c>
      <c r="B1727" s="13" t="s">
        <v>53</v>
      </c>
      <c r="C1727" s="13" t="s">
        <v>1020</v>
      </c>
      <c r="D1727" s="13"/>
      <c r="E1727" s="13" t="str">
        <f t="shared" si="735"/>
        <v>PALM,K29,,1</v>
      </c>
      <c r="F1727" s="13"/>
      <c r="G1727" s="13" t="s">
        <v>111</v>
      </c>
      <c r="H1727" s="13" t="s">
        <v>75</v>
      </c>
      <c r="I1727" s="13"/>
      <c r="J1727" s="13"/>
      <c r="K1727" s="15"/>
      <c r="L1727" s="15"/>
      <c r="M1727" s="16"/>
      <c r="N1727" s="16"/>
      <c r="O1727" s="17">
        <v>1.0</v>
      </c>
      <c r="P1727" s="17">
        <v>1.0</v>
      </c>
      <c r="Q1727" s="13"/>
      <c r="R1727" s="29">
        <v>45023.0</v>
      </c>
      <c r="S1727" s="13"/>
      <c r="T1727" s="13">
        <f t="shared" ref="T1727:V1727" si="1875">IF(ISBLANK(K1727)=TRUE,0,1)</f>
        <v>0</v>
      </c>
      <c r="U1727" s="13">
        <f t="shared" si="1875"/>
        <v>0</v>
      </c>
      <c r="V1727" s="13">
        <f t="shared" si="1875"/>
        <v>0</v>
      </c>
      <c r="W1727" s="13">
        <f t="shared" ref="W1727:X1727" si="1876">IF(ISBLANK(O1727)=TRUE,0,1)</f>
        <v>1</v>
      </c>
      <c r="X1727" s="13">
        <f t="shared" si="1876"/>
        <v>1</v>
      </c>
      <c r="Y1727" s="13">
        <f t="shared" si="1716"/>
        <v>1</v>
      </c>
      <c r="Z1727" s="13">
        <f t="shared" si="529"/>
        <v>1</v>
      </c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</row>
    <row r="1728" ht="14.25" hidden="1" customHeight="1">
      <c r="A1728" s="13" t="s">
        <v>46</v>
      </c>
      <c r="B1728" s="13" t="s">
        <v>53</v>
      </c>
      <c r="C1728" s="13" t="s">
        <v>1021</v>
      </c>
      <c r="D1728" s="13"/>
      <c r="E1728" s="13" t="str">
        <f t="shared" si="735"/>
        <v>PALM,K3,,0</v>
      </c>
      <c r="F1728" s="13"/>
      <c r="G1728" s="13" t="s">
        <v>111</v>
      </c>
      <c r="H1728" s="13" t="s">
        <v>75</v>
      </c>
      <c r="I1728" s="13"/>
      <c r="J1728" s="13"/>
      <c r="K1728" s="15"/>
      <c r="L1728" s="15"/>
      <c r="M1728" s="16"/>
      <c r="N1728" s="16"/>
      <c r="O1728" s="17">
        <v>0.0</v>
      </c>
      <c r="P1728" s="17">
        <v>0.0</v>
      </c>
      <c r="Q1728" s="13"/>
      <c r="R1728" s="29">
        <v>45023.0</v>
      </c>
      <c r="S1728" s="13"/>
      <c r="T1728" s="13">
        <f t="shared" ref="T1728:V1728" si="1877">IF(ISBLANK(K1728)=TRUE,0,1)</f>
        <v>0</v>
      </c>
      <c r="U1728" s="13">
        <f t="shared" si="1877"/>
        <v>0</v>
      </c>
      <c r="V1728" s="13">
        <f t="shared" si="1877"/>
        <v>0</v>
      </c>
      <c r="W1728" s="13">
        <f t="shared" ref="W1728:X1728" si="1878">IF(ISBLANK(O1728)=TRUE,0,1)</f>
        <v>1</v>
      </c>
      <c r="X1728" s="13">
        <f t="shared" si="1878"/>
        <v>1</v>
      </c>
      <c r="Y1728" s="13">
        <f t="shared" si="1716"/>
        <v>1</v>
      </c>
      <c r="Z1728" s="13">
        <f t="shared" si="529"/>
        <v>0</v>
      </c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</row>
    <row r="1729" ht="14.25" hidden="1" customHeight="1">
      <c r="A1729" s="13" t="s">
        <v>46</v>
      </c>
      <c r="B1729" s="13" t="s">
        <v>53</v>
      </c>
      <c r="C1729" s="13" t="s">
        <v>1022</v>
      </c>
      <c r="D1729" s="13"/>
      <c r="E1729" s="13" t="str">
        <f t="shared" si="735"/>
        <v>PALM,K30,,1</v>
      </c>
      <c r="F1729" s="13"/>
      <c r="G1729" s="13" t="s">
        <v>111</v>
      </c>
      <c r="H1729" s="13" t="s">
        <v>75</v>
      </c>
      <c r="I1729" s="13"/>
      <c r="J1729" s="13"/>
      <c r="K1729" s="15"/>
      <c r="L1729" s="15"/>
      <c r="M1729" s="16"/>
      <c r="N1729" s="16"/>
      <c r="O1729" s="17">
        <v>1.0</v>
      </c>
      <c r="P1729" s="17">
        <v>1.0</v>
      </c>
      <c r="Q1729" s="13"/>
      <c r="R1729" s="29">
        <v>45023.0</v>
      </c>
      <c r="S1729" s="13"/>
      <c r="T1729" s="13">
        <f t="shared" ref="T1729:V1729" si="1879">IF(ISBLANK(K1729)=TRUE,0,1)</f>
        <v>0</v>
      </c>
      <c r="U1729" s="13">
        <f t="shared" si="1879"/>
        <v>0</v>
      </c>
      <c r="V1729" s="13">
        <f t="shared" si="1879"/>
        <v>0</v>
      </c>
      <c r="W1729" s="13">
        <f t="shared" ref="W1729:X1729" si="1880">IF(ISBLANK(O1729)=TRUE,0,1)</f>
        <v>1</v>
      </c>
      <c r="X1729" s="13">
        <f t="shared" si="1880"/>
        <v>1</v>
      </c>
      <c r="Y1729" s="13">
        <f t="shared" si="1716"/>
        <v>1</v>
      </c>
      <c r="Z1729" s="13">
        <f t="shared" si="529"/>
        <v>1</v>
      </c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</row>
    <row r="1730" ht="14.25" hidden="1" customHeight="1">
      <c r="A1730" s="13" t="s">
        <v>46</v>
      </c>
      <c r="B1730" s="13" t="s">
        <v>53</v>
      </c>
      <c r="C1730" s="13" t="s">
        <v>1023</v>
      </c>
      <c r="D1730" s="13"/>
      <c r="E1730" s="13" t="str">
        <f t="shared" si="735"/>
        <v>PALM,K31,,1</v>
      </c>
      <c r="F1730" s="13"/>
      <c r="G1730" s="13" t="s">
        <v>111</v>
      </c>
      <c r="H1730" s="13" t="s">
        <v>75</v>
      </c>
      <c r="I1730" s="13"/>
      <c r="J1730" s="13"/>
      <c r="K1730" s="15"/>
      <c r="L1730" s="15"/>
      <c r="M1730" s="16"/>
      <c r="N1730" s="16"/>
      <c r="O1730" s="17">
        <v>1.0</v>
      </c>
      <c r="P1730" s="17">
        <v>1.0</v>
      </c>
      <c r="Q1730" s="13"/>
      <c r="R1730" s="29">
        <v>45023.0</v>
      </c>
      <c r="S1730" s="13"/>
      <c r="T1730" s="13">
        <f t="shared" ref="T1730:V1730" si="1881">IF(ISBLANK(K1730)=TRUE,0,1)</f>
        <v>0</v>
      </c>
      <c r="U1730" s="13">
        <f t="shared" si="1881"/>
        <v>0</v>
      </c>
      <c r="V1730" s="13">
        <f t="shared" si="1881"/>
        <v>0</v>
      </c>
      <c r="W1730" s="13">
        <f t="shared" ref="W1730:X1730" si="1882">IF(ISBLANK(O1730)=TRUE,0,1)</f>
        <v>1</v>
      </c>
      <c r="X1730" s="13">
        <f t="shared" si="1882"/>
        <v>1</v>
      </c>
      <c r="Y1730" s="13">
        <f t="shared" si="1716"/>
        <v>1</v>
      </c>
      <c r="Z1730" s="13">
        <f t="shared" si="529"/>
        <v>1</v>
      </c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</row>
    <row r="1731" ht="14.25" hidden="1" customHeight="1">
      <c r="A1731" s="13" t="s">
        <v>46</v>
      </c>
      <c r="B1731" s="13" t="s">
        <v>53</v>
      </c>
      <c r="C1731" s="13" t="s">
        <v>1024</v>
      </c>
      <c r="D1731" s="13"/>
      <c r="E1731" s="13" t="str">
        <f t="shared" si="735"/>
        <v>PALM,K32,,1</v>
      </c>
      <c r="F1731" s="13"/>
      <c r="G1731" s="13" t="s">
        <v>111</v>
      </c>
      <c r="H1731" s="13" t="s">
        <v>75</v>
      </c>
      <c r="I1731" s="13"/>
      <c r="J1731" s="13"/>
      <c r="K1731" s="15"/>
      <c r="L1731" s="15"/>
      <c r="M1731" s="16"/>
      <c r="N1731" s="16"/>
      <c r="O1731" s="17">
        <v>1.0</v>
      </c>
      <c r="P1731" s="17">
        <v>1.0</v>
      </c>
      <c r="Q1731" s="13"/>
      <c r="R1731" s="29">
        <v>45023.0</v>
      </c>
      <c r="S1731" s="13"/>
      <c r="T1731" s="13">
        <f t="shared" ref="T1731:V1731" si="1883">IF(ISBLANK(K1731)=TRUE,0,1)</f>
        <v>0</v>
      </c>
      <c r="U1731" s="13">
        <f t="shared" si="1883"/>
        <v>0</v>
      </c>
      <c r="V1731" s="13">
        <f t="shared" si="1883"/>
        <v>0</v>
      </c>
      <c r="W1731" s="13">
        <f t="shared" ref="W1731:X1731" si="1884">IF(ISBLANK(O1731)=TRUE,0,1)</f>
        <v>1</v>
      </c>
      <c r="X1731" s="13">
        <f t="shared" si="1884"/>
        <v>1</v>
      </c>
      <c r="Y1731" s="13">
        <f t="shared" si="1716"/>
        <v>1</v>
      </c>
      <c r="Z1731" s="13">
        <f t="shared" si="529"/>
        <v>1</v>
      </c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</row>
    <row r="1732" ht="14.25" hidden="1" customHeight="1">
      <c r="A1732" s="13" t="s">
        <v>46</v>
      </c>
      <c r="B1732" s="13" t="s">
        <v>53</v>
      </c>
      <c r="C1732" s="13" t="s">
        <v>1025</v>
      </c>
      <c r="D1732" s="13"/>
      <c r="E1732" s="13" t="str">
        <f t="shared" si="735"/>
        <v>PALM,K33,,1</v>
      </c>
      <c r="F1732" s="13"/>
      <c r="G1732" s="13" t="s">
        <v>111</v>
      </c>
      <c r="H1732" s="13" t="s">
        <v>75</v>
      </c>
      <c r="I1732" s="13"/>
      <c r="J1732" s="13"/>
      <c r="K1732" s="15"/>
      <c r="L1732" s="15"/>
      <c r="M1732" s="16"/>
      <c r="N1732" s="16"/>
      <c r="O1732" s="17">
        <v>1.0</v>
      </c>
      <c r="P1732" s="17">
        <v>1.0</v>
      </c>
      <c r="Q1732" s="13"/>
      <c r="R1732" s="29">
        <v>45023.0</v>
      </c>
      <c r="S1732" s="13"/>
      <c r="T1732" s="13">
        <f t="shared" ref="T1732:V1732" si="1885">IF(ISBLANK(K1732)=TRUE,0,1)</f>
        <v>0</v>
      </c>
      <c r="U1732" s="13">
        <f t="shared" si="1885"/>
        <v>0</v>
      </c>
      <c r="V1732" s="13">
        <f t="shared" si="1885"/>
        <v>0</v>
      </c>
      <c r="W1732" s="13">
        <f t="shared" ref="W1732:X1732" si="1886">IF(ISBLANK(O1732)=TRUE,0,1)</f>
        <v>1</v>
      </c>
      <c r="X1732" s="13">
        <f t="shared" si="1886"/>
        <v>1</v>
      </c>
      <c r="Y1732" s="13">
        <f t="shared" si="1716"/>
        <v>1</v>
      </c>
      <c r="Z1732" s="13">
        <f t="shared" si="529"/>
        <v>1</v>
      </c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</row>
    <row r="1733" ht="14.25" hidden="1" customHeight="1">
      <c r="A1733" s="13" t="s">
        <v>46</v>
      </c>
      <c r="B1733" s="13" t="s">
        <v>53</v>
      </c>
      <c r="C1733" s="13" t="s">
        <v>1026</v>
      </c>
      <c r="D1733" s="13"/>
      <c r="E1733" s="13" t="str">
        <f t="shared" si="735"/>
        <v>PALM,K34,,1</v>
      </c>
      <c r="F1733" s="13"/>
      <c r="G1733" s="13" t="s">
        <v>111</v>
      </c>
      <c r="H1733" s="13" t="s">
        <v>75</v>
      </c>
      <c r="I1733" s="13"/>
      <c r="J1733" s="13"/>
      <c r="K1733" s="15"/>
      <c r="L1733" s="15"/>
      <c r="M1733" s="16"/>
      <c r="N1733" s="16"/>
      <c r="O1733" s="17">
        <v>1.0</v>
      </c>
      <c r="P1733" s="17">
        <v>1.0</v>
      </c>
      <c r="Q1733" s="13"/>
      <c r="R1733" s="29">
        <v>45023.0</v>
      </c>
      <c r="S1733" s="13"/>
      <c r="T1733" s="13">
        <f t="shared" ref="T1733:V1733" si="1887">IF(ISBLANK(K1733)=TRUE,0,1)</f>
        <v>0</v>
      </c>
      <c r="U1733" s="13">
        <f t="shared" si="1887"/>
        <v>0</v>
      </c>
      <c r="V1733" s="13">
        <f t="shared" si="1887"/>
        <v>0</v>
      </c>
      <c r="W1733" s="13">
        <f t="shared" ref="W1733:X1733" si="1888">IF(ISBLANK(O1733)=TRUE,0,1)</f>
        <v>1</v>
      </c>
      <c r="X1733" s="13">
        <f t="shared" si="1888"/>
        <v>1</v>
      </c>
      <c r="Y1733" s="13">
        <f t="shared" si="1716"/>
        <v>1</v>
      </c>
      <c r="Z1733" s="13">
        <f t="shared" si="529"/>
        <v>1</v>
      </c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</row>
    <row r="1734" ht="14.25" hidden="1" customHeight="1">
      <c r="A1734" s="13" t="s">
        <v>46</v>
      </c>
      <c r="B1734" s="13" t="s">
        <v>53</v>
      </c>
      <c r="C1734" s="13" t="s">
        <v>1027</v>
      </c>
      <c r="D1734" s="13"/>
      <c r="E1734" s="13" t="str">
        <f t="shared" si="735"/>
        <v>PALM,K35,,1</v>
      </c>
      <c r="F1734" s="13"/>
      <c r="G1734" s="13" t="s">
        <v>111</v>
      </c>
      <c r="H1734" s="13" t="s">
        <v>75</v>
      </c>
      <c r="I1734" s="13"/>
      <c r="J1734" s="13"/>
      <c r="K1734" s="15"/>
      <c r="L1734" s="15"/>
      <c r="M1734" s="16"/>
      <c r="N1734" s="16"/>
      <c r="O1734" s="17">
        <v>1.0</v>
      </c>
      <c r="P1734" s="17">
        <v>1.0</v>
      </c>
      <c r="Q1734" s="13"/>
      <c r="R1734" s="29">
        <v>45023.0</v>
      </c>
      <c r="S1734" s="13"/>
      <c r="T1734" s="13">
        <f t="shared" ref="T1734:V1734" si="1889">IF(ISBLANK(K1734)=TRUE,0,1)</f>
        <v>0</v>
      </c>
      <c r="U1734" s="13">
        <f t="shared" si="1889"/>
        <v>0</v>
      </c>
      <c r="V1734" s="13">
        <f t="shared" si="1889"/>
        <v>0</v>
      </c>
      <c r="W1734" s="13">
        <f t="shared" ref="W1734:X1734" si="1890">IF(ISBLANK(O1734)=TRUE,0,1)</f>
        <v>1</v>
      </c>
      <c r="X1734" s="13">
        <f t="shared" si="1890"/>
        <v>1</v>
      </c>
      <c r="Y1734" s="13">
        <f t="shared" si="1716"/>
        <v>1</v>
      </c>
      <c r="Z1734" s="13">
        <f t="shared" si="529"/>
        <v>1</v>
      </c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</row>
    <row r="1735" ht="14.25" hidden="1" customHeight="1">
      <c r="A1735" s="13" t="s">
        <v>46</v>
      </c>
      <c r="B1735" s="13" t="s">
        <v>53</v>
      </c>
      <c r="C1735" s="13" t="s">
        <v>1028</v>
      </c>
      <c r="D1735" s="13"/>
      <c r="E1735" s="13" t="str">
        <f t="shared" si="735"/>
        <v>PALM,K36,,1</v>
      </c>
      <c r="F1735" s="13"/>
      <c r="G1735" s="13" t="s">
        <v>111</v>
      </c>
      <c r="H1735" s="13" t="s">
        <v>75</v>
      </c>
      <c r="I1735" s="13"/>
      <c r="J1735" s="13"/>
      <c r="K1735" s="15"/>
      <c r="L1735" s="15"/>
      <c r="M1735" s="16"/>
      <c r="N1735" s="16"/>
      <c r="O1735" s="17">
        <v>1.0</v>
      </c>
      <c r="P1735" s="17">
        <v>1.0</v>
      </c>
      <c r="Q1735" s="13"/>
      <c r="R1735" s="29">
        <v>45023.0</v>
      </c>
      <c r="S1735" s="13"/>
      <c r="T1735" s="13">
        <f t="shared" ref="T1735:V1735" si="1891">IF(ISBLANK(K1735)=TRUE,0,1)</f>
        <v>0</v>
      </c>
      <c r="U1735" s="13">
        <f t="shared" si="1891"/>
        <v>0</v>
      </c>
      <c r="V1735" s="13">
        <f t="shared" si="1891"/>
        <v>0</v>
      </c>
      <c r="W1735" s="13">
        <f t="shared" ref="W1735:X1735" si="1892">IF(ISBLANK(O1735)=TRUE,0,1)</f>
        <v>1</v>
      </c>
      <c r="X1735" s="13">
        <f t="shared" si="1892"/>
        <v>1</v>
      </c>
      <c r="Y1735" s="13">
        <f t="shared" si="1716"/>
        <v>1</v>
      </c>
      <c r="Z1735" s="13">
        <f t="shared" si="529"/>
        <v>1</v>
      </c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</row>
    <row r="1736" ht="14.25" hidden="1" customHeight="1">
      <c r="A1736" s="13" t="s">
        <v>46</v>
      </c>
      <c r="B1736" s="13" t="s">
        <v>53</v>
      </c>
      <c r="C1736" s="13" t="s">
        <v>1029</v>
      </c>
      <c r="D1736" s="13"/>
      <c r="E1736" s="13" t="str">
        <f t="shared" si="735"/>
        <v>PALM,K37,,1</v>
      </c>
      <c r="F1736" s="13"/>
      <c r="G1736" s="13" t="s">
        <v>111</v>
      </c>
      <c r="H1736" s="13" t="s">
        <v>75</v>
      </c>
      <c r="I1736" s="13"/>
      <c r="J1736" s="13"/>
      <c r="K1736" s="15"/>
      <c r="L1736" s="15"/>
      <c r="M1736" s="16"/>
      <c r="N1736" s="16"/>
      <c r="O1736" s="17">
        <v>1.0</v>
      </c>
      <c r="P1736" s="17">
        <v>1.0</v>
      </c>
      <c r="Q1736" s="13"/>
      <c r="R1736" s="29">
        <v>45023.0</v>
      </c>
      <c r="S1736" s="13"/>
      <c r="T1736" s="13">
        <f t="shared" ref="T1736:V1736" si="1893">IF(ISBLANK(K1736)=TRUE,0,1)</f>
        <v>0</v>
      </c>
      <c r="U1736" s="13">
        <f t="shared" si="1893"/>
        <v>0</v>
      </c>
      <c r="V1736" s="13">
        <f t="shared" si="1893"/>
        <v>0</v>
      </c>
      <c r="W1736" s="13">
        <f t="shared" ref="W1736:X1736" si="1894">IF(ISBLANK(O1736)=TRUE,0,1)</f>
        <v>1</v>
      </c>
      <c r="X1736" s="13">
        <f t="shared" si="1894"/>
        <v>1</v>
      </c>
      <c r="Y1736" s="13">
        <f t="shared" si="1716"/>
        <v>1</v>
      </c>
      <c r="Z1736" s="13">
        <f t="shared" si="529"/>
        <v>1</v>
      </c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</row>
    <row r="1737" ht="14.25" hidden="1" customHeight="1">
      <c r="A1737" s="13" t="s">
        <v>46</v>
      </c>
      <c r="B1737" s="13" t="s">
        <v>53</v>
      </c>
      <c r="C1737" s="13" t="s">
        <v>1030</v>
      </c>
      <c r="D1737" s="13"/>
      <c r="E1737" s="13" t="str">
        <f t="shared" si="735"/>
        <v>PALM,K38,,1</v>
      </c>
      <c r="F1737" s="13"/>
      <c r="G1737" s="13" t="s">
        <v>111</v>
      </c>
      <c r="H1737" s="13" t="s">
        <v>75</v>
      </c>
      <c r="I1737" s="13"/>
      <c r="J1737" s="13"/>
      <c r="K1737" s="15"/>
      <c r="L1737" s="15"/>
      <c r="M1737" s="16"/>
      <c r="N1737" s="16"/>
      <c r="O1737" s="17">
        <v>1.0</v>
      </c>
      <c r="P1737" s="17">
        <v>1.0</v>
      </c>
      <c r="Q1737" s="13"/>
      <c r="R1737" s="29">
        <v>45023.0</v>
      </c>
      <c r="S1737" s="13"/>
      <c r="T1737" s="13">
        <f t="shared" ref="T1737:V1737" si="1895">IF(ISBLANK(K1737)=TRUE,0,1)</f>
        <v>0</v>
      </c>
      <c r="U1737" s="13">
        <f t="shared" si="1895"/>
        <v>0</v>
      </c>
      <c r="V1737" s="13">
        <f t="shared" si="1895"/>
        <v>0</v>
      </c>
      <c r="W1737" s="13">
        <f t="shared" ref="W1737:X1737" si="1896">IF(ISBLANK(O1737)=TRUE,0,1)</f>
        <v>1</v>
      </c>
      <c r="X1737" s="13">
        <f t="shared" si="1896"/>
        <v>1</v>
      </c>
      <c r="Y1737" s="13">
        <f t="shared" si="1716"/>
        <v>1</v>
      </c>
      <c r="Z1737" s="13">
        <f t="shared" si="529"/>
        <v>1</v>
      </c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</row>
    <row r="1738" ht="14.25" hidden="1" customHeight="1">
      <c r="A1738" s="13" t="s">
        <v>46</v>
      </c>
      <c r="B1738" s="13" t="s">
        <v>53</v>
      </c>
      <c r="C1738" s="13" t="s">
        <v>1031</v>
      </c>
      <c r="D1738" s="13"/>
      <c r="E1738" s="13" t="str">
        <f t="shared" si="735"/>
        <v>PALM,K39,,1</v>
      </c>
      <c r="F1738" s="13"/>
      <c r="G1738" s="13" t="s">
        <v>111</v>
      </c>
      <c r="H1738" s="13" t="s">
        <v>75</v>
      </c>
      <c r="I1738" s="13"/>
      <c r="J1738" s="13"/>
      <c r="K1738" s="15"/>
      <c r="L1738" s="15"/>
      <c r="M1738" s="16"/>
      <c r="N1738" s="16"/>
      <c r="O1738" s="17">
        <v>1.0</v>
      </c>
      <c r="P1738" s="17">
        <v>1.0</v>
      </c>
      <c r="Q1738" s="13"/>
      <c r="R1738" s="29">
        <v>45023.0</v>
      </c>
      <c r="S1738" s="13"/>
      <c r="T1738" s="13">
        <f t="shared" ref="T1738:V1738" si="1897">IF(ISBLANK(K1738)=TRUE,0,1)</f>
        <v>0</v>
      </c>
      <c r="U1738" s="13">
        <f t="shared" si="1897"/>
        <v>0</v>
      </c>
      <c r="V1738" s="13">
        <f t="shared" si="1897"/>
        <v>0</v>
      </c>
      <c r="W1738" s="13">
        <f t="shared" ref="W1738:X1738" si="1898">IF(ISBLANK(O1738)=TRUE,0,1)</f>
        <v>1</v>
      </c>
      <c r="X1738" s="13">
        <f t="shared" si="1898"/>
        <v>1</v>
      </c>
      <c r="Y1738" s="13">
        <f t="shared" si="1716"/>
        <v>1</v>
      </c>
      <c r="Z1738" s="13">
        <f t="shared" si="529"/>
        <v>1</v>
      </c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</row>
    <row r="1739" ht="14.25" hidden="1" customHeight="1">
      <c r="A1739" s="13" t="s">
        <v>46</v>
      </c>
      <c r="B1739" s="13" t="s">
        <v>53</v>
      </c>
      <c r="C1739" s="13" t="s">
        <v>1032</v>
      </c>
      <c r="D1739" s="13"/>
      <c r="E1739" s="13" t="str">
        <f t="shared" si="735"/>
        <v>PALM,K4,,0</v>
      </c>
      <c r="F1739" s="13"/>
      <c r="G1739" s="13" t="s">
        <v>111</v>
      </c>
      <c r="H1739" s="13" t="s">
        <v>75</v>
      </c>
      <c r="I1739" s="13"/>
      <c r="J1739" s="13"/>
      <c r="K1739" s="15"/>
      <c r="L1739" s="15"/>
      <c r="M1739" s="16"/>
      <c r="N1739" s="16"/>
      <c r="O1739" s="17">
        <v>0.0</v>
      </c>
      <c r="P1739" s="17">
        <v>0.0</v>
      </c>
      <c r="Q1739" s="13"/>
      <c r="R1739" s="29">
        <v>45023.0</v>
      </c>
      <c r="S1739" s="13"/>
      <c r="T1739" s="13">
        <f t="shared" ref="T1739:V1739" si="1899">IF(ISBLANK(K1739)=TRUE,0,1)</f>
        <v>0</v>
      </c>
      <c r="U1739" s="13">
        <f t="shared" si="1899"/>
        <v>0</v>
      </c>
      <c r="V1739" s="13">
        <f t="shared" si="1899"/>
        <v>0</v>
      </c>
      <c r="W1739" s="13">
        <f t="shared" ref="W1739:X1739" si="1900">IF(ISBLANK(O1739)=TRUE,0,1)</f>
        <v>1</v>
      </c>
      <c r="X1739" s="13">
        <f t="shared" si="1900"/>
        <v>1</v>
      </c>
      <c r="Y1739" s="13">
        <f t="shared" si="1716"/>
        <v>1</v>
      </c>
      <c r="Z1739" s="13">
        <f t="shared" si="529"/>
        <v>0</v>
      </c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</row>
    <row r="1740" ht="14.25" hidden="1" customHeight="1">
      <c r="A1740" s="13" t="s">
        <v>46</v>
      </c>
      <c r="B1740" s="13" t="s">
        <v>53</v>
      </c>
      <c r="C1740" s="13" t="s">
        <v>1033</v>
      </c>
      <c r="D1740" s="13"/>
      <c r="E1740" s="13" t="str">
        <f t="shared" si="735"/>
        <v>PALM,K40,,1</v>
      </c>
      <c r="F1740" s="13"/>
      <c r="G1740" s="13" t="s">
        <v>111</v>
      </c>
      <c r="H1740" s="13" t="s">
        <v>75</v>
      </c>
      <c r="I1740" s="13"/>
      <c r="J1740" s="13"/>
      <c r="K1740" s="15"/>
      <c r="L1740" s="15"/>
      <c r="M1740" s="16"/>
      <c r="N1740" s="16"/>
      <c r="O1740" s="17">
        <v>1.0</v>
      </c>
      <c r="P1740" s="17">
        <v>1.0</v>
      </c>
      <c r="Q1740" s="13"/>
      <c r="R1740" s="29">
        <v>45023.0</v>
      </c>
      <c r="S1740" s="13"/>
      <c r="T1740" s="13">
        <f t="shared" ref="T1740:V1740" si="1901">IF(ISBLANK(K1740)=TRUE,0,1)</f>
        <v>0</v>
      </c>
      <c r="U1740" s="13">
        <f t="shared" si="1901"/>
        <v>0</v>
      </c>
      <c r="V1740" s="13">
        <f t="shared" si="1901"/>
        <v>0</v>
      </c>
      <c r="W1740" s="13">
        <f t="shared" ref="W1740:X1740" si="1902">IF(ISBLANK(O1740)=TRUE,0,1)</f>
        <v>1</v>
      </c>
      <c r="X1740" s="13">
        <f t="shared" si="1902"/>
        <v>1</v>
      </c>
      <c r="Y1740" s="13">
        <f t="shared" si="1716"/>
        <v>1</v>
      </c>
      <c r="Z1740" s="13">
        <f t="shared" si="529"/>
        <v>1</v>
      </c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</row>
    <row r="1741" ht="14.25" hidden="1" customHeight="1">
      <c r="A1741" s="13" t="s">
        <v>46</v>
      </c>
      <c r="B1741" s="13" t="s">
        <v>53</v>
      </c>
      <c r="C1741" s="13" t="s">
        <v>1034</v>
      </c>
      <c r="D1741" s="13"/>
      <c r="E1741" s="13" t="str">
        <f t="shared" si="735"/>
        <v>PALM,K41,,1</v>
      </c>
      <c r="F1741" s="13"/>
      <c r="G1741" s="13" t="s">
        <v>111</v>
      </c>
      <c r="H1741" s="13" t="s">
        <v>75</v>
      </c>
      <c r="I1741" s="13"/>
      <c r="J1741" s="13"/>
      <c r="K1741" s="15"/>
      <c r="L1741" s="15"/>
      <c r="M1741" s="16"/>
      <c r="N1741" s="16"/>
      <c r="O1741" s="17">
        <v>1.0</v>
      </c>
      <c r="P1741" s="17">
        <v>1.0</v>
      </c>
      <c r="Q1741" s="13"/>
      <c r="R1741" s="29">
        <v>45023.0</v>
      </c>
      <c r="S1741" s="13"/>
      <c r="T1741" s="13">
        <f t="shared" ref="T1741:V1741" si="1903">IF(ISBLANK(K1741)=TRUE,0,1)</f>
        <v>0</v>
      </c>
      <c r="U1741" s="13">
        <f t="shared" si="1903"/>
        <v>0</v>
      </c>
      <c r="V1741" s="13">
        <f t="shared" si="1903"/>
        <v>0</v>
      </c>
      <c r="W1741" s="13">
        <f t="shared" ref="W1741:X1741" si="1904">IF(ISBLANK(O1741)=TRUE,0,1)</f>
        <v>1</v>
      </c>
      <c r="X1741" s="13">
        <f t="shared" si="1904"/>
        <v>1</v>
      </c>
      <c r="Y1741" s="13">
        <f t="shared" si="1716"/>
        <v>1</v>
      </c>
      <c r="Z1741" s="13">
        <f t="shared" si="529"/>
        <v>1</v>
      </c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</row>
    <row r="1742" ht="14.25" hidden="1" customHeight="1">
      <c r="A1742" s="13" t="s">
        <v>46</v>
      </c>
      <c r="B1742" s="13" t="s">
        <v>53</v>
      </c>
      <c r="C1742" s="13" t="s">
        <v>1035</v>
      </c>
      <c r="D1742" s="13"/>
      <c r="E1742" s="13" t="str">
        <f t="shared" si="735"/>
        <v>PALM,K42,,1</v>
      </c>
      <c r="F1742" s="13"/>
      <c r="G1742" s="13" t="s">
        <v>111</v>
      </c>
      <c r="H1742" s="13" t="s">
        <v>75</v>
      </c>
      <c r="I1742" s="13"/>
      <c r="J1742" s="13"/>
      <c r="K1742" s="15"/>
      <c r="L1742" s="15"/>
      <c r="M1742" s="16"/>
      <c r="N1742" s="16"/>
      <c r="O1742" s="17">
        <v>1.0</v>
      </c>
      <c r="P1742" s="17">
        <v>1.0</v>
      </c>
      <c r="Q1742" s="13"/>
      <c r="R1742" s="29">
        <v>45023.0</v>
      </c>
      <c r="S1742" s="13"/>
      <c r="T1742" s="13">
        <f t="shared" ref="T1742:V1742" si="1905">IF(ISBLANK(K1742)=TRUE,0,1)</f>
        <v>0</v>
      </c>
      <c r="U1742" s="13">
        <f t="shared" si="1905"/>
        <v>0</v>
      </c>
      <c r="V1742" s="13">
        <f t="shared" si="1905"/>
        <v>0</v>
      </c>
      <c r="W1742" s="13">
        <f t="shared" ref="W1742:X1742" si="1906">IF(ISBLANK(O1742)=TRUE,0,1)</f>
        <v>1</v>
      </c>
      <c r="X1742" s="13">
        <f t="shared" si="1906"/>
        <v>1</v>
      </c>
      <c r="Y1742" s="13">
        <f t="shared" si="1716"/>
        <v>1</v>
      </c>
      <c r="Z1742" s="13">
        <f t="shared" si="529"/>
        <v>1</v>
      </c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</row>
    <row r="1743" ht="14.25" hidden="1" customHeight="1">
      <c r="A1743" s="13" t="s">
        <v>46</v>
      </c>
      <c r="B1743" s="13" t="s">
        <v>53</v>
      </c>
      <c r="C1743" s="13" t="s">
        <v>1036</v>
      </c>
      <c r="D1743" s="13"/>
      <c r="E1743" s="13" t="str">
        <f t="shared" si="735"/>
        <v>PALM,K43,,1</v>
      </c>
      <c r="F1743" s="13"/>
      <c r="G1743" s="13" t="s">
        <v>111</v>
      </c>
      <c r="H1743" s="13" t="s">
        <v>75</v>
      </c>
      <c r="I1743" s="13"/>
      <c r="J1743" s="13"/>
      <c r="K1743" s="15"/>
      <c r="L1743" s="15"/>
      <c r="M1743" s="16"/>
      <c r="N1743" s="16"/>
      <c r="O1743" s="17">
        <v>1.0</v>
      </c>
      <c r="P1743" s="17">
        <v>1.0</v>
      </c>
      <c r="Q1743" s="13"/>
      <c r="R1743" s="29">
        <v>45023.0</v>
      </c>
      <c r="S1743" s="13"/>
      <c r="T1743" s="13">
        <f t="shared" ref="T1743:V1743" si="1907">IF(ISBLANK(K1743)=TRUE,0,1)</f>
        <v>0</v>
      </c>
      <c r="U1743" s="13">
        <f t="shared" si="1907"/>
        <v>0</v>
      </c>
      <c r="V1743" s="13">
        <f t="shared" si="1907"/>
        <v>0</v>
      </c>
      <c r="W1743" s="13">
        <f t="shared" ref="W1743:X1743" si="1908">IF(ISBLANK(O1743)=TRUE,0,1)</f>
        <v>1</v>
      </c>
      <c r="X1743" s="13">
        <f t="shared" si="1908"/>
        <v>1</v>
      </c>
      <c r="Y1743" s="13">
        <f t="shared" si="1716"/>
        <v>1</v>
      </c>
      <c r="Z1743" s="13">
        <f t="shared" si="529"/>
        <v>1</v>
      </c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</row>
    <row r="1744" ht="14.25" hidden="1" customHeight="1">
      <c r="A1744" s="13" t="s">
        <v>46</v>
      </c>
      <c r="B1744" s="13" t="s">
        <v>53</v>
      </c>
      <c r="C1744" s="13" t="s">
        <v>1037</v>
      </c>
      <c r="D1744" s="13"/>
      <c r="E1744" s="13" t="str">
        <f t="shared" si="735"/>
        <v>PALM,K44,,1</v>
      </c>
      <c r="F1744" s="13"/>
      <c r="G1744" s="13" t="s">
        <v>111</v>
      </c>
      <c r="H1744" s="13" t="s">
        <v>75</v>
      </c>
      <c r="I1744" s="13"/>
      <c r="J1744" s="13"/>
      <c r="K1744" s="15"/>
      <c r="L1744" s="15"/>
      <c r="M1744" s="16"/>
      <c r="N1744" s="16"/>
      <c r="O1744" s="17">
        <v>1.0</v>
      </c>
      <c r="P1744" s="17">
        <v>1.0</v>
      </c>
      <c r="Q1744" s="13"/>
      <c r="R1744" s="29">
        <v>45023.0</v>
      </c>
      <c r="S1744" s="13"/>
      <c r="T1744" s="13">
        <f t="shared" ref="T1744:V1744" si="1909">IF(ISBLANK(K1744)=TRUE,0,1)</f>
        <v>0</v>
      </c>
      <c r="U1744" s="13">
        <f t="shared" si="1909"/>
        <v>0</v>
      </c>
      <c r="V1744" s="13">
        <f t="shared" si="1909"/>
        <v>0</v>
      </c>
      <c r="W1744" s="13">
        <f t="shared" ref="W1744:X1744" si="1910">IF(ISBLANK(O1744)=TRUE,0,1)</f>
        <v>1</v>
      </c>
      <c r="X1744" s="13">
        <f t="shared" si="1910"/>
        <v>1</v>
      </c>
      <c r="Y1744" s="13">
        <f t="shared" si="1716"/>
        <v>1</v>
      </c>
      <c r="Z1744" s="13">
        <f t="shared" si="529"/>
        <v>1</v>
      </c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</row>
    <row r="1745" ht="14.25" hidden="1" customHeight="1">
      <c r="A1745" s="13" t="s">
        <v>46</v>
      </c>
      <c r="B1745" s="13" t="s">
        <v>53</v>
      </c>
      <c r="C1745" s="13" t="s">
        <v>1038</v>
      </c>
      <c r="D1745" s="13"/>
      <c r="E1745" s="13" t="str">
        <f t="shared" si="735"/>
        <v>PALM,K45,,1</v>
      </c>
      <c r="F1745" s="13"/>
      <c r="G1745" s="13" t="s">
        <v>111</v>
      </c>
      <c r="H1745" s="13" t="s">
        <v>75</v>
      </c>
      <c r="I1745" s="13"/>
      <c r="J1745" s="13"/>
      <c r="K1745" s="15"/>
      <c r="L1745" s="15"/>
      <c r="M1745" s="16"/>
      <c r="N1745" s="16"/>
      <c r="O1745" s="17">
        <v>1.0</v>
      </c>
      <c r="P1745" s="17">
        <v>1.0</v>
      </c>
      <c r="Q1745" s="13"/>
      <c r="R1745" s="29">
        <v>45023.0</v>
      </c>
      <c r="S1745" s="13"/>
      <c r="T1745" s="13">
        <f t="shared" ref="T1745:V1745" si="1911">IF(ISBLANK(K1745)=TRUE,0,1)</f>
        <v>0</v>
      </c>
      <c r="U1745" s="13">
        <f t="shared" si="1911"/>
        <v>0</v>
      </c>
      <c r="V1745" s="13">
        <f t="shared" si="1911"/>
        <v>0</v>
      </c>
      <c r="W1745" s="13">
        <f t="shared" ref="W1745:X1745" si="1912">IF(ISBLANK(O1745)=TRUE,0,1)</f>
        <v>1</v>
      </c>
      <c r="X1745" s="13">
        <f t="shared" si="1912"/>
        <v>1</v>
      </c>
      <c r="Y1745" s="13">
        <f t="shared" si="1716"/>
        <v>1</v>
      </c>
      <c r="Z1745" s="13">
        <f t="shared" si="529"/>
        <v>1</v>
      </c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</row>
    <row r="1746" ht="14.25" hidden="1" customHeight="1">
      <c r="A1746" s="13" t="s">
        <v>46</v>
      </c>
      <c r="B1746" s="13" t="s">
        <v>53</v>
      </c>
      <c r="C1746" s="13" t="s">
        <v>1039</v>
      </c>
      <c r="D1746" s="13"/>
      <c r="E1746" s="13" t="str">
        <f t="shared" si="735"/>
        <v>PALM,K46,,1</v>
      </c>
      <c r="F1746" s="13"/>
      <c r="G1746" s="13" t="s">
        <v>111</v>
      </c>
      <c r="H1746" s="13" t="s">
        <v>75</v>
      </c>
      <c r="I1746" s="13"/>
      <c r="J1746" s="13"/>
      <c r="K1746" s="15"/>
      <c r="L1746" s="15"/>
      <c r="M1746" s="16"/>
      <c r="N1746" s="16"/>
      <c r="O1746" s="17">
        <v>1.0</v>
      </c>
      <c r="P1746" s="17">
        <v>1.0</v>
      </c>
      <c r="Q1746" s="13"/>
      <c r="R1746" s="29">
        <v>45023.0</v>
      </c>
      <c r="S1746" s="13"/>
      <c r="T1746" s="13">
        <f t="shared" ref="T1746:V1746" si="1913">IF(ISBLANK(K1746)=TRUE,0,1)</f>
        <v>0</v>
      </c>
      <c r="U1746" s="13">
        <f t="shared" si="1913"/>
        <v>0</v>
      </c>
      <c r="V1746" s="13">
        <f t="shared" si="1913"/>
        <v>0</v>
      </c>
      <c r="W1746" s="13">
        <f t="shared" ref="W1746:X1746" si="1914">IF(ISBLANK(O1746)=TRUE,0,1)</f>
        <v>1</v>
      </c>
      <c r="X1746" s="13">
        <f t="shared" si="1914"/>
        <v>1</v>
      </c>
      <c r="Y1746" s="13">
        <f t="shared" si="1716"/>
        <v>1</v>
      </c>
      <c r="Z1746" s="13">
        <f t="shared" si="529"/>
        <v>1</v>
      </c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</row>
    <row r="1747" ht="14.25" hidden="1" customHeight="1">
      <c r="A1747" s="13" t="s">
        <v>46</v>
      </c>
      <c r="B1747" s="13" t="s">
        <v>53</v>
      </c>
      <c r="C1747" s="13" t="s">
        <v>1040</v>
      </c>
      <c r="D1747" s="13"/>
      <c r="E1747" s="13" t="str">
        <f t="shared" si="735"/>
        <v>PALM,K47,,1</v>
      </c>
      <c r="F1747" s="13"/>
      <c r="G1747" s="13" t="s">
        <v>111</v>
      </c>
      <c r="H1747" s="13" t="s">
        <v>75</v>
      </c>
      <c r="I1747" s="13"/>
      <c r="J1747" s="13"/>
      <c r="K1747" s="15"/>
      <c r="L1747" s="15"/>
      <c r="M1747" s="16"/>
      <c r="N1747" s="16"/>
      <c r="O1747" s="17">
        <v>1.0</v>
      </c>
      <c r="P1747" s="17">
        <v>1.0</v>
      </c>
      <c r="Q1747" s="13"/>
      <c r="R1747" s="29">
        <v>45023.0</v>
      </c>
      <c r="S1747" s="13"/>
      <c r="T1747" s="13">
        <f t="shared" ref="T1747:V1747" si="1915">IF(ISBLANK(K1747)=TRUE,0,1)</f>
        <v>0</v>
      </c>
      <c r="U1747" s="13">
        <f t="shared" si="1915"/>
        <v>0</v>
      </c>
      <c r="V1747" s="13">
        <f t="shared" si="1915"/>
        <v>0</v>
      </c>
      <c r="W1747" s="13">
        <f t="shared" ref="W1747:X1747" si="1916">IF(ISBLANK(O1747)=TRUE,0,1)</f>
        <v>1</v>
      </c>
      <c r="X1747" s="13">
        <f t="shared" si="1916"/>
        <v>1</v>
      </c>
      <c r="Y1747" s="13">
        <f t="shared" si="1716"/>
        <v>1</v>
      </c>
      <c r="Z1747" s="13">
        <f t="shared" si="529"/>
        <v>1</v>
      </c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</row>
    <row r="1748" ht="14.25" hidden="1" customHeight="1">
      <c r="A1748" s="13" t="s">
        <v>46</v>
      </c>
      <c r="B1748" s="13" t="s">
        <v>53</v>
      </c>
      <c r="C1748" s="13" t="s">
        <v>1041</v>
      </c>
      <c r="D1748" s="13"/>
      <c r="E1748" s="13" t="str">
        <f t="shared" si="735"/>
        <v>PALM,K48,,0</v>
      </c>
      <c r="F1748" s="13"/>
      <c r="G1748" s="13" t="s">
        <v>111</v>
      </c>
      <c r="H1748" s="13" t="s">
        <v>75</v>
      </c>
      <c r="I1748" s="13"/>
      <c r="J1748" s="13"/>
      <c r="K1748" s="15"/>
      <c r="L1748" s="15"/>
      <c r="M1748" s="16"/>
      <c r="N1748" s="16"/>
      <c r="O1748" s="17">
        <v>0.0</v>
      </c>
      <c r="P1748" s="17">
        <v>0.0</v>
      </c>
      <c r="Q1748" s="13"/>
      <c r="R1748" s="29">
        <v>45023.0</v>
      </c>
      <c r="S1748" s="13"/>
      <c r="T1748" s="13">
        <f t="shared" ref="T1748:V1748" si="1917">IF(ISBLANK(K1748)=TRUE,0,1)</f>
        <v>0</v>
      </c>
      <c r="U1748" s="13">
        <f t="shared" si="1917"/>
        <v>0</v>
      </c>
      <c r="V1748" s="13">
        <f t="shared" si="1917"/>
        <v>0</v>
      </c>
      <c r="W1748" s="13">
        <f t="shared" ref="W1748:X1748" si="1918">IF(ISBLANK(O1748)=TRUE,0,1)</f>
        <v>1</v>
      </c>
      <c r="X1748" s="13">
        <f t="shared" si="1918"/>
        <v>1</v>
      </c>
      <c r="Y1748" s="13">
        <f t="shared" si="1716"/>
        <v>1</v>
      </c>
      <c r="Z1748" s="13">
        <f t="shared" si="529"/>
        <v>0</v>
      </c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</row>
    <row r="1749" ht="14.25" hidden="1" customHeight="1">
      <c r="A1749" s="13" t="s">
        <v>46</v>
      </c>
      <c r="B1749" s="13" t="s">
        <v>53</v>
      </c>
      <c r="C1749" s="13" t="s">
        <v>1042</v>
      </c>
      <c r="D1749" s="13"/>
      <c r="E1749" s="13" t="str">
        <f t="shared" si="735"/>
        <v>PALM,K49,,1</v>
      </c>
      <c r="F1749" s="13"/>
      <c r="G1749" s="13" t="s">
        <v>111</v>
      </c>
      <c r="H1749" s="13" t="s">
        <v>75</v>
      </c>
      <c r="I1749" s="13"/>
      <c r="J1749" s="13"/>
      <c r="K1749" s="15"/>
      <c r="L1749" s="15"/>
      <c r="M1749" s="16"/>
      <c r="N1749" s="16"/>
      <c r="O1749" s="17">
        <v>1.0</v>
      </c>
      <c r="P1749" s="17">
        <v>1.0</v>
      </c>
      <c r="Q1749" s="13"/>
      <c r="R1749" s="29">
        <v>45023.0</v>
      </c>
      <c r="S1749" s="13"/>
      <c r="T1749" s="13">
        <f t="shared" ref="T1749:V1749" si="1919">IF(ISBLANK(K1749)=TRUE,0,1)</f>
        <v>0</v>
      </c>
      <c r="U1749" s="13">
        <f t="shared" si="1919"/>
        <v>0</v>
      </c>
      <c r="V1749" s="13">
        <f t="shared" si="1919"/>
        <v>0</v>
      </c>
      <c r="W1749" s="13">
        <f t="shared" ref="W1749:X1749" si="1920">IF(ISBLANK(O1749)=TRUE,0,1)</f>
        <v>1</v>
      </c>
      <c r="X1749" s="13">
        <f t="shared" si="1920"/>
        <v>1</v>
      </c>
      <c r="Y1749" s="13">
        <f t="shared" si="1716"/>
        <v>1</v>
      </c>
      <c r="Z1749" s="13">
        <f t="shared" si="529"/>
        <v>1</v>
      </c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</row>
    <row r="1750" ht="14.25" hidden="1" customHeight="1">
      <c r="A1750" s="13" t="s">
        <v>46</v>
      </c>
      <c r="B1750" s="13" t="s">
        <v>53</v>
      </c>
      <c r="C1750" s="13" t="s">
        <v>1043</v>
      </c>
      <c r="D1750" s="13"/>
      <c r="E1750" s="13" t="str">
        <f t="shared" si="735"/>
        <v>PALM,K5,,0</v>
      </c>
      <c r="F1750" s="13"/>
      <c r="G1750" s="13" t="s">
        <v>111</v>
      </c>
      <c r="H1750" s="13" t="s">
        <v>75</v>
      </c>
      <c r="I1750" s="13"/>
      <c r="J1750" s="13"/>
      <c r="K1750" s="15"/>
      <c r="L1750" s="15"/>
      <c r="M1750" s="16"/>
      <c r="N1750" s="16"/>
      <c r="O1750" s="17">
        <v>0.0</v>
      </c>
      <c r="P1750" s="17">
        <v>0.0</v>
      </c>
      <c r="Q1750" s="13"/>
      <c r="R1750" s="29">
        <v>45023.0</v>
      </c>
      <c r="S1750" s="13"/>
      <c r="T1750" s="13">
        <f t="shared" ref="T1750:V1750" si="1921">IF(ISBLANK(K1750)=TRUE,0,1)</f>
        <v>0</v>
      </c>
      <c r="U1750" s="13">
        <f t="shared" si="1921"/>
        <v>0</v>
      </c>
      <c r="V1750" s="13">
        <f t="shared" si="1921"/>
        <v>0</v>
      </c>
      <c r="W1750" s="13">
        <f t="shared" ref="W1750:X1750" si="1922">IF(ISBLANK(O1750)=TRUE,0,1)</f>
        <v>1</v>
      </c>
      <c r="X1750" s="13">
        <f t="shared" si="1922"/>
        <v>1</v>
      </c>
      <c r="Y1750" s="13">
        <f t="shared" si="1716"/>
        <v>1</v>
      </c>
      <c r="Z1750" s="13">
        <f t="shared" si="529"/>
        <v>0</v>
      </c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</row>
    <row r="1751" ht="14.25" hidden="1" customHeight="1">
      <c r="A1751" s="13" t="s">
        <v>46</v>
      </c>
      <c r="B1751" s="13" t="s">
        <v>53</v>
      </c>
      <c r="C1751" s="13" t="s">
        <v>1044</v>
      </c>
      <c r="D1751" s="13"/>
      <c r="E1751" s="13" t="str">
        <f t="shared" si="735"/>
        <v>PALM,K50,,0</v>
      </c>
      <c r="F1751" s="13"/>
      <c r="G1751" s="13" t="s">
        <v>111</v>
      </c>
      <c r="H1751" s="13" t="s">
        <v>75</v>
      </c>
      <c r="I1751" s="13"/>
      <c r="J1751" s="13"/>
      <c r="K1751" s="15"/>
      <c r="L1751" s="15"/>
      <c r="M1751" s="16"/>
      <c r="N1751" s="16"/>
      <c r="O1751" s="17">
        <v>0.0</v>
      </c>
      <c r="P1751" s="17">
        <v>0.0</v>
      </c>
      <c r="Q1751" s="13"/>
      <c r="R1751" s="29">
        <v>45023.0</v>
      </c>
      <c r="S1751" s="13"/>
      <c r="T1751" s="13">
        <f t="shared" ref="T1751:V1751" si="1923">IF(ISBLANK(K1751)=TRUE,0,1)</f>
        <v>0</v>
      </c>
      <c r="U1751" s="13">
        <f t="shared" si="1923"/>
        <v>0</v>
      </c>
      <c r="V1751" s="13">
        <f t="shared" si="1923"/>
        <v>0</v>
      </c>
      <c r="W1751" s="13">
        <f t="shared" ref="W1751:X1751" si="1924">IF(ISBLANK(O1751)=TRUE,0,1)</f>
        <v>1</v>
      </c>
      <c r="X1751" s="13">
        <f t="shared" si="1924"/>
        <v>1</v>
      </c>
      <c r="Y1751" s="13">
        <f t="shared" si="1716"/>
        <v>1</v>
      </c>
      <c r="Z1751" s="13">
        <f t="shared" si="529"/>
        <v>0</v>
      </c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</row>
    <row r="1752" ht="14.25" hidden="1" customHeight="1">
      <c r="A1752" s="13" t="s">
        <v>46</v>
      </c>
      <c r="B1752" s="13" t="s">
        <v>53</v>
      </c>
      <c r="C1752" s="13" t="s">
        <v>1045</v>
      </c>
      <c r="D1752" s="13"/>
      <c r="E1752" s="13" t="str">
        <f t="shared" si="735"/>
        <v>PALM,K51,,0</v>
      </c>
      <c r="F1752" s="13"/>
      <c r="G1752" s="13" t="s">
        <v>111</v>
      </c>
      <c r="H1752" s="13" t="s">
        <v>75</v>
      </c>
      <c r="I1752" s="13"/>
      <c r="J1752" s="13"/>
      <c r="K1752" s="15"/>
      <c r="L1752" s="15"/>
      <c r="M1752" s="16"/>
      <c r="N1752" s="16"/>
      <c r="O1752" s="17">
        <v>0.0</v>
      </c>
      <c r="P1752" s="17">
        <v>0.0</v>
      </c>
      <c r="Q1752" s="13"/>
      <c r="R1752" s="29">
        <v>45023.0</v>
      </c>
      <c r="S1752" s="13"/>
      <c r="T1752" s="13">
        <f t="shared" ref="T1752:V1752" si="1925">IF(ISBLANK(K1752)=TRUE,0,1)</f>
        <v>0</v>
      </c>
      <c r="U1752" s="13">
        <f t="shared" si="1925"/>
        <v>0</v>
      </c>
      <c r="V1752" s="13">
        <f t="shared" si="1925"/>
        <v>0</v>
      </c>
      <c r="W1752" s="13">
        <f t="shared" ref="W1752:X1752" si="1926">IF(ISBLANK(O1752)=TRUE,0,1)</f>
        <v>1</v>
      </c>
      <c r="X1752" s="13">
        <f t="shared" si="1926"/>
        <v>1</v>
      </c>
      <c r="Y1752" s="13">
        <f t="shared" si="1716"/>
        <v>1</v>
      </c>
      <c r="Z1752" s="13">
        <f t="shared" si="529"/>
        <v>0</v>
      </c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</row>
    <row r="1753" ht="14.25" hidden="1" customHeight="1">
      <c r="A1753" s="13" t="s">
        <v>46</v>
      </c>
      <c r="B1753" s="13" t="s">
        <v>53</v>
      </c>
      <c r="C1753" s="13" t="s">
        <v>1046</v>
      </c>
      <c r="D1753" s="13"/>
      <c r="E1753" s="13" t="str">
        <f t="shared" si="735"/>
        <v>PALM,K52,,1</v>
      </c>
      <c r="F1753" s="13"/>
      <c r="G1753" s="13" t="s">
        <v>111</v>
      </c>
      <c r="H1753" s="13" t="s">
        <v>75</v>
      </c>
      <c r="I1753" s="13"/>
      <c r="J1753" s="13"/>
      <c r="K1753" s="15"/>
      <c r="L1753" s="15"/>
      <c r="M1753" s="16"/>
      <c r="N1753" s="16"/>
      <c r="O1753" s="17">
        <v>1.0</v>
      </c>
      <c r="P1753" s="17">
        <v>1.0</v>
      </c>
      <c r="Q1753" s="13"/>
      <c r="R1753" s="29">
        <v>45023.0</v>
      </c>
      <c r="S1753" s="13"/>
      <c r="T1753" s="13">
        <f t="shared" ref="T1753:V1753" si="1927">IF(ISBLANK(K1753)=TRUE,0,1)</f>
        <v>0</v>
      </c>
      <c r="U1753" s="13">
        <f t="shared" si="1927"/>
        <v>0</v>
      </c>
      <c r="V1753" s="13">
        <f t="shared" si="1927"/>
        <v>0</v>
      </c>
      <c r="W1753" s="13">
        <f t="shared" ref="W1753:X1753" si="1928">IF(ISBLANK(O1753)=TRUE,0,1)</f>
        <v>1</v>
      </c>
      <c r="X1753" s="13">
        <f t="shared" si="1928"/>
        <v>1</v>
      </c>
      <c r="Y1753" s="13">
        <f t="shared" si="1716"/>
        <v>1</v>
      </c>
      <c r="Z1753" s="13">
        <f t="shared" si="529"/>
        <v>1</v>
      </c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</row>
    <row r="1754" ht="14.25" hidden="1" customHeight="1">
      <c r="A1754" s="13" t="s">
        <v>46</v>
      </c>
      <c r="B1754" s="13" t="s">
        <v>53</v>
      </c>
      <c r="C1754" s="13" t="s">
        <v>1047</v>
      </c>
      <c r="D1754" s="13"/>
      <c r="E1754" s="13" t="str">
        <f t="shared" si="735"/>
        <v>PALM,K53,,1</v>
      </c>
      <c r="F1754" s="13"/>
      <c r="G1754" s="13" t="s">
        <v>111</v>
      </c>
      <c r="H1754" s="13" t="s">
        <v>75</v>
      </c>
      <c r="I1754" s="13"/>
      <c r="J1754" s="13"/>
      <c r="K1754" s="15"/>
      <c r="L1754" s="15"/>
      <c r="M1754" s="16"/>
      <c r="N1754" s="16"/>
      <c r="O1754" s="17">
        <v>1.0</v>
      </c>
      <c r="P1754" s="17">
        <v>1.0</v>
      </c>
      <c r="Q1754" s="13"/>
      <c r="R1754" s="29">
        <v>45023.0</v>
      </c>
      <c r="S1754" s="13"/>
      <c r="T1754" s="13">
        <f t="shared" ref="T1754:V1754" si="1929">IF(ISBLANK(K1754)=TRUE,0,1)</f>
        <v>0</v>
      </c>
      <c r="U1754" s="13">
        <f t="shared" si="1929"/>
        <v>0</v>
      </c>
      <c r="V1754" s="13">
        <f t="shared" si="1929"/>
        <v>0</v>
      </c>
      <c r="W1754" s="13">
        <f t="shared" ref="W1754:X1754" si="1930">IF(ISBLANK(O1754)=TRUE,0,1)</f>
        <v>1</v>
      </c>
      <c r="X1754" s="13">
        <f t="shared" si="1930"/>
        <v>1</v>
      </c>
      <c r="Y1754" s="13">
        <f t="shared" si="1716"/>
        <v>1</v>
      </c>
      <c r="Z1754" s="13">
        <f t="shared" si="529"/>
        <v>1</v>
      </c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</row>
    <row r="1755" ht="14.25" hidden="1" customHeight="1">
      <c r="A1755" s="13" t="s">
        <v>46</v>
      </c>
      <c r="B1755" s="13" t="s">
        <v>53</v>
      </c>
      <c r="C1755" s="13" t="s">
        <v>1048</v>
      </c>
      <c r="D1755" s="13"/>
      <c r="E1755" s="13" t="str">
        <f t="shared" si="735"/>
        <v>PALM,K54,,1</v>
      </c>
      <c r="F1755" s="13"/>
      <c r="G1755" s="13" t="s">
        <v>111</v>
      </c>
      <c r="H1755" s="13" t="s">
        <v>75</v>
      </c>
      <c r="I1755" s="13"/>
      <c r="J1755" s="13"/>
      <c r="K1755" s="15"/>
      <c r="L1755" s="15"/>
      <c r="M1755" s="16"/>
      <c r="N1755" s="16"/>
      <c r="O1755" s="17">
        <v>1.0</v>
      </c>
      <c r="P1755" s="17">
        <v>1.0</v>
      </c>
      <c r="Q1755" s="13"/>
      <c r="R1755" s="29">
        <v>45023.0</v>
      </c>
      <c r="S1755" s="13"/>
      <c r="T1755" s="13">
        <f t="shared" ref="T1755:V1755" si="1931">IF(ISBLANK(K1755)=TRUE,0,1)</f>
        <v>0</v>
      </c>
      <c r="U1755" s="13">
        <f t="shared" si="1931"/>
        <v>0</v>
      </c>
      <c r="V1755" s="13">
        <f t="shared" si="1931"/>
        <v>0</v>
      </c>
      <c r="W1755" s="13">
        <f t="shared" ref="W1755:X1755" si="1932">IF(ISBLANK(O1755)=TRUE,0,1)</f>
        <v>1</v>
      </c>
      <c r="X1755" s="13">
        <f t="shared" si="1932"/>
        <v>1</v>
      </c>
      <c r="Y1755" s="13">
        <f t="shared" si="1716"/>
        <v>1</v>
      </c>
      <c r="Z1755" s="13">
        <f t="shared" si="529"/>
        <v>1</v>
      </c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</row>
    <row r="1756" ht="14.25" hidden="1" customHeight="1">
      <c r="A1756" s="13" t="s">
        <v>46</v>
      </c>
      <c r="B1756" s="13" t="s">
        <v>53</v>
      </c>
      <c r="C1756" s="13" t="s">
        <v>1049</v>
      </c>
      <c r="D1756" s="13"/>
      <c r="E1756" s="13" t="str">
        <f t="shared" si="735"/>
        <v>PALM,K55,,1</v>
      </c>
      <c r="F1756" s="13"/>
      <c r="G1756" s="13" t="s">
        <v>111</v>
      </c>
      <c r="H1756" s="13" t="s">
        <v>75</v>
      </c>
      <c r="I1756" s="13"/>
      <c r="J1756" s="13"/>
      <c r="K1756" s="15"/>
      <c r="L1756" s="15"/>
      <c r="M1756" s="16"/>
      <c r="N1756" s="16"/>
      <c r="O1756" s="17">
        <v>1.0</v>
      </c>
      <c r="P1756" s="17">
        <v>1.0</v>
      </c>
      <c r="Q1756" s="13"/>
      <c r="R1756" s="29">
        <v>45023.0</v>
      </c>
      <c r="S1756" s="13"/>
      <c r="T1756" s="13">
        <f t="shared" ref="T1756:V1756" si="1933">IF(ISBLANK(K1756)=TRUE,0,1)</f>
        <v>0</v>
      </c>
      <c r="U1756" s="13">
        <f t="shared" si="1933"/>
        <v>0</v>
      </c>
      <c r="V1756" s="13">
        <f t="shared" si="1933"/>
        <v>0</v>
      </c>
      <c r="W1756" s="13">
        <f t="shared" ref="W1756:X1756" si="1934">IF(ISBLANK(O1756)=TRUE,0,1)</f>
        <v>1</v>
      </c>
      <c r="X1756" s="13">
        <f t="shared" si="1934"/>
        <v>1</v>
      </c>
      <c r="Y1756" s="13">
        <f t="shared" si="1716"/>
        <v>1</v>
      </c>
      <c r="Z1756" s="13">
        <f t="shared" si="529"/>
        <v>1</v>
      </c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</row>
    <row r="1757" ht="14.25" hidden="1" customHeight="1">
      <c r="A1757" s="13" t="s">
        <v>46</v>
      </c>
      <c r="B1757" s="13" t="s">
        <v>53</v>
      </c>
      <c r="C1757" s="13" t="s">
        <v>1050</v>
      </c>
      <c r="D1757" s="13"/>
      <c r="E1757" s="13" t="str">
        <f t="shared" si="735"/>
        <v>PALM,K56,,1</v>
      </c>
      <c r="F1757" s="13"/>
      <c r="G1757" s="13" t="s">
        <v>111</v>
      </c>
      <c r="H1757" s="13" t="s">
        <v>75</v>
      </c>
      <c r="I1757" s="13"/>
      <c r="J1757" s="13"/>
      <c r="K1757" s="15"/>
      <c r="L1757" s="15"/>
      <c r="M1757" s="16"/>
      <c r="N1757" s="16"/>
      <c r="O1757" s="17">
        <v>1.0</v>
      </c>
      <c r="P1757" s="17">
        <v>1.0</v>
      </c>
      <c r="Q1757" s="13"/>
      <c r="R1757" s="29">
        <v>45023.0</v>
      </c>
      <c r="S1757" s="13"/>
      <c r="T1757" s="13">
        <f t="shared" ref="T1757:V1757" si="1935">IF(ISBLANK(K1757)=TRUE,0,1)</f>
        <v>0</v>
      </c>
      <c r="U1757" s="13">
        <f t="shared" si="1935"/>
        <v>0</v>
      </c>
      <c r="V1757" s="13">
        <f t="shared" si="1935"/>
        <v>0</v>
      </c>
      <c r="W1757" s="13">
        <f t="shared" ref="W1757:X1757" si="1936">IF(ISBLANK(O1757)=TRUE,0,1)</f>
        <v>1</v>
      </c>
      <c r="X1757" s="13">
        <f t="shared" si="1936"/>
        <v>1</v>
      </c>
      <c r="Y1757" s="13">
        <f t="shared" si="1716"/>
        <v>1</v>
      </c>
      <c r="Z1757" s="13">
        <f t="shared" si="529"/>
        <v>1</v>
      </c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</row>
    <row r="1758" ht="14.25" hidden="1" customHeight="1">
      <c r="A1758" s="13" t="s">
        <v>46</v>
      </c>
      <c r="B1758" s="13" t="s">
        <v>53</v>
      </c>
      <c r="C1758" s="13" t="s">
        <v>1051</v>
      </c>
      <c r="D1758" s="13"/>
      <c r="E1758" s="13" t="str">
        <f t="shared" si="735"/>
        <v>PALM,K57,,1</v>
      </c>
      <c r="F1758" s="13"/>
      <c r="G1758" s="13" t="s">
        <v>111</v>
      </c>
      <c r="H1758" s="13" t="s">
        <v>75</v>
      </c>
      <c r="I1758" s="13"/>
      <c r="J1758" s="13"/>
      <c r="K1758" s="15"/>
      <c r="L1758" s="15"/>
      <c r="M1758" s="16"/>
      <c r="N1758" s="16"/>
      <c r="O1758" s="17">
        <v>1.0</v>
      </c>
      <c r="P1758" s="17">
        <v>1.0</v>
      </c>
      <c r="Q1758" s="13"/>
      <c r="R1758" s="29">
        <v>45023.0</v>
      </c>
      <c r="S1758" s="13"/>
      <c r="T1758" s="13">
        <f t="shared" ref="T1758:V1758" si="1937">IF(ISBLANK(K1758)=TRUE,0,1)</f>
        <v>0</v>
      </c>
      <c r="U1758" s="13">
        <f t="shared" si="1937"/>
        <v>0</v>
      </c>
      <c r="V1758" s="13">
        <f t="shared" si="1937"/>
        <v>0</v>
      </c>
      <c r="W1758" s="13">
        <f t="shared" ref="W1758:X1758" si="1938">IF(ISBLANK(O1758)=TRUE,0,1)</f>
        <v>1</v>
      </c>
      <c r="X1758" s="13">
        <f t="shared" si="1938"/>
        <v>1</v>
      </c>
      <c r="Y1758" s="13">
        <f t="shared" si="1716"/>
        <v>1</v>
      </c>
      <c r="Z1758" s="13">
        <f t="shared" si="529"/>
        <v>1</v>
      </c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</row>
    <row r="1759" ht="14.25" hidden="1" customHeight="1">
      <c r="A1759" s="13" t="s">
        <v>46</v>
      </c>
      <c r="B1759" s="13" t="s">
        <v>53</v>
      </c>
      <c r="C1759" s="13" t="s">
        <v>1052</v>
      </c>
      <c r="D1759" s="13"/>
      <c r="E1759" s="13" t="str">
        <f t="shared" si="735"/>
        <v>PALM,K58,,0</v>
      </c>
      <c r="F1759" s="13"/>
      <c r="G1759" s="13" t="s">
        <v>111</v>
      </c>
      <c r="H1759" s="13" t="s">
        <v>75</v>
      </c>
      <c r="I1759" s="13"/>
      <c r="J1759" s="13"/>
      <c r="K1759" s="15"/>
      <c r="L1759" s="15"/>
      <c r="M1759" s="16"/>
      <c r="N1759" s="16"/>
      <c r="O1759" s="17">
        <v>0.0</v>
      </c>
      <c r="P1759" s="17">
        <v>0.0</v>
      </c>
      <c r="Q1759" s="13"/>
      <c r="R1759" s="29">
        <v>45023.0</v>
      </c>
      <c r="S1759" s="13"/>
      <c r="T1759" s="13">
        <f t="shared" ref="T1759:V1759" si="1939">IF(ISBLANK(K1759)=TRUE,0,1)</f>
        <v>0</v>
      </c>
      <c r="U1759" s="13">
        <f t="shared" si="1939"/>
        <v>0</v>
      </c>
      <c r="V1759" s="13">
        <f t="shared" si="1939"/>
        <v>0</v>
      </c>
      <c r="W1759" s="13">
        <f t="shared" ref="W1759:X1759" si="1940">IF(ISBLANK(O1759)=TRUE,0,1)</f>
        <v>1</v>
      </c>
      <c r="X1759" s="13">
        <f t="shared" si="1940"/>
        <v>1</v>
      </c>
      <c r="Y1759" s="13">
        <f t="shared" si="1716"/>
        <v>1</v>
      </c>
      <c r="Z1759" s="13">
        <f t="shared" si="529"/>
        <v>0</v>
      </c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</row>
    <row r="1760" ht="14.25" hidden="1" customHeight="1">
      <c r="A1760" s="13" t="s">
        <v>46</v>
      </c>
      <c r="B1760" s="13" t="s">
        <v>53</v>
      </c>
      <c r="C1760" s="13" t="s">
        <v>1053</v>
      </c>
      <c r="D1760" s="13"/>
      <c r="E1760" s="13" t="str">
        <f t="shared" si="735"/>
        <v>PALM,K6,,0</v>
      </c>
      <c r="F1760" s="13"/>
      <c r="G1760" s="13" t="s">
        <v>111</v>
      </c>
      <c r="H1760" s="13" t="s">
        <v>75</v>
      </c>
      <c r="I1760" s="13"/>
      <c r="J1760" s="13"/>
      <c r="K1760" s="15"/>
      <c r="L1760" s="15"/>
      <c r="M1760" s="16"/>
      <c r="N1760" s="16"/>
      <c r="O1760" s="17">
        <v>0.0</v>
      </c>
      <c r="P1760" s="17">
        <v>0.0</v>
      </c>
      <c r="Q1760" s="13"/>
      <c r="R1760" s="29">
        <v>45023.0</v>
      </c>
      <c r="S1760" s="13"/>
      <c r="T1760" s="13">
        <f t="shared" ref="T1760:V1760" si="1941">IF(ISBLANK(K1760)=TRUE,0,1)</f>
        <v>0</v>
      </c>
      <c r="U1760" s="13">
        <f t="shared" si="1941"/>
        <v>0</v>
      </c>
      <c r="V1760" s="13">
        <f t="shared" si="1941"/>
        <v>0</v>
      </c>
      <c r="W1760" s="13">
        <f t="shared" ref="W1760:X1760" si="1942">IF(ISBLANK(O1760)=TRUE,0,1)</f>
        <v>1</v>
      </c>
      <c r="X1760" s="13">
        <f t="shared" si="1942"/>
        <v>1</v>
      </c>
      <c r="Y1760" s="13">
        <f t="shared" si="1716"/>
        <v>1</v>
      </c>
      <c r="Z1760" s="13">
        <f t="shared" si="529"/>
        <v>0</v>
      </c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</row>
    <row r="1761" ht="14.25" hidden="1" customHeight="1">
      <c r="A1761" s="13" t="s">
        <v>46</v>
      </c>
      <c r="B1761" s="13" t="s">
        <v>53</v>
      </c>
      <c r="C1761" s="13" t="s">
        <v>1054</v>
      </c>
      <c r="D1761" s="13"/>
      <c r="E1761" s="13" t="str">
        <f t="shared" si="735"/>
        <v>PALM,K7,,0</v>
      </c>
      <c r="F1761" s="13"/>
      <c r="G1761" s="13" t="s">
        <v>111</v>
      </c>
      <c r="H1761" s="13" t="s">
        <v>75</v>
      </c>
      <c r="I1761" s="13"/>
      <c r="J1761" s="13"/>
      <c r="K1761" s="15"/>
      <c r="L1761" s="15"/>
      <c r="M1761" s="16"/>
      <c r="N1761" s="16"/>
      <c r="O1761" s="17">
        <v>0.0</v>
      </c>
      <c r="P1761" s="17">
        <v>0.0</v>
      </c>
      <c r="Q1761" s="13"/>
      <c r="R1761" s="29">
        <v>45023.0</v>
      </c>
      <c r="S1761" s="13"/>
      <c r="T1761" s="13">
        <f t="shared" ref="T1761:V1761" si="1943">IF(ISBLANK(K1761)=TRUE,0,1)</f>
        <v>0</v>
      </c>
      <c r="U1761" s="13">
        <f t="shared" si="1943"/>
        <v>0</v>
      </c>
      <c r="V1761" s="13">
        <f t="shared" si="1943"/>
        <v>0</v>
      </c>
      <c r="W1761" s="13">
        <f t="shared" ref="W1761:X1761" si="1944">IF(ISBLANK(O1761)=TRUE,0,1)</f>
        <v>1</v>
      </c>
      <c r="X1761" s="13">
        <f t="shared" si="1944"/>
        <v>1</v>
      </c>
      <c r="Y1761" s="13">
        <f t="shared" si="1716"/>
        <v>1</v>
      </c>
      <c r="Z1761" s="13">
        <f t="shared" si="529"/>
        <v>0</v>
      </c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</row>
    <row r="1762" ht="14.25" hidden="1" customHeight="1">
      <c r="A1762" s="13" t="s">
        <v>46</v>
      </c>
      <c r="B1762" s="13" t="s">
        <v>53</v>
      </c>
      <c r="C1762" s="13" t="s">
        <v>1055</v>
      </c>
      <c r="D1762" s="13"/>
      <c r="E1762" s="13" t="str">
        <f t="shared" si="735"/>
        <v>PALM,K8,,1</v>
      </c>
      <c r="F1762" s="13"/>
      <c r="G1762" s="13" t="s">
        <v>111</v>
      </c>
      <c r="H1762" s="13" t="s">
        <v>75</v>
      </c>
      <c r="I1762" s="13"/>
      <c r="J1762" s="13"/>
      <c r="K1762" s="15"/>
      <c r="L1762" s="15"/>
      <c r="M1762" s="16"/>
      <c r="N1762" s="16"/>
      <c r="O1762" s="17">
        <v>1.0</v>
      </c>
      <c r="P1762" s="17">
        <v>1.0</v>
      </c>
      <c r="Q1762" s="13"/>
      <c r="R1762" s="29">
        <v>45023.0</v>
      </c>
      <c r="S1762" s="13"/>
      <c r="T1762" s="13">
        <f t="shared" ref="T1762:V1762" si="1945">IF(ISBLANK(K1762)=TRUE,0,1)</f>
        <v>0</v>
      </c>
      <c r="U1762" s="13">
        <f t="shared" si="1945"/>
        <v>0</v>
      </c>
      <c r="V1762" s="13">
        <f t="shared" si="1945"/>
        <v>0</v>
      </c>
      <c r="W1762" s="13">
        <f t="shared" ref="W1762:X1762" si="1946">IF(ISBLANK(O1762)=TRUE,0,1)</f>
        <v>1</v>
      </c>
      <c r="X1762" s="13">
        <f t="shared" si="1946"/>
        <v>1</v>
      </c>
      <c r="Y1762" s="13">
        <f t="shared" si="1716"/>
        <v>1</v>
      </c>
      <c r="Z1762" s="13">
        <f t="shared" si="529"/>
        <v>1</v>
      </c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</row>
    <row r="1763" ht="14.25" hidden="1" customHeight="1">
      <c r="A1763" s="13" t="s">
        <v>46</v>
      </c>
      <c r="B1763" s="13" t="s">
        <v>53</v>
      </c>
      <c r="C1763" s="13" t="s">
        <v>1056</v>
      </c>
      <c r="D1763" s="13"/>
      <c r="E1763" s="13" t="str">
        <f t="shared" si="735"/>
        <v>PALM,K9,,1</v>
      </c>
      <c r="F1763" s="13"/>
      <c r="G1763" s="13" t="s">
        <v>111</v>
      </c>
      <c r="H1763" s="13" t="s">
        <v>75</v>
      </c>
      <c r="I1763" s="13"/>
      <c r="J1763" s="13"/>
      <c r="K1763" s="15"/>
      <c r="L1763" s="15"/>
      <c r="M1763" s="16"/>
      <c r="N1763" s="16"/>
      <c r="O1763" s="17">
        <v>1.0</v>
      </c>
      <c r="P1763" s="17">
        <v>1.0</v>
      </c>
      <c r="Q1763" s="13"/>
      <c r="R1763" s="29">
        <v>45023.0</v>
      </c>
      <c r="S1763" s="13"/>
      <c r="T1763" s="13">
        <f t="shared" ref="T1763:V1763" si="1947">IF(ISBLANK(K1763)=TRUE,0,1)</f>
        <v>0</v>
      </c>
      <c r="U1763" s="13">
        <f t="shared" si="1947"/>
        <v>0</v>
      </c>
      <c r="V1763" s="13">
        <f t="shared" si="1947"/>
        <v>0</v>
      </c>
      <c r="W1763" s="13">
        <f t="shared" ref="W1763:X1763" si="1948">IF(ISBLANK(O1763)=TRUE,0,1)</f>
        <v>1</v>
      </c>
      <c r="X1763" s="13">
        <f t="shared" si="1948"/>
        <v>1</v>
      </c>
      <c r="Y1763" s="13">
        <f t="shared" si="1716"/>
        <v>1</v>
      </c>
      <c r="Z1763" s="13">
        <f t="shared" si="529"/>
        <v>1</v>
      </c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</row>
    <row r="1764" ht="14.25" hidden="1" customHeight="1">
      <c r="A1764" s="13" t="s">
        <v>46</v>
      </c>
      <c r="B1764" s="13" t="s">
        <v>51</v>
      </c>
      <c r="C1764" s="13" t="s">
        <v>1057</v>
      </c>
      <c r="D1764" s="13" t="s">
        <v>174</v>
      </c>
      <c r="E1764" s="13"/>
      <c r="F1764" s="13"/>
      <c r="G1764" s="13" t="s">
        <v>74</v>
      </c>
      <c r="H1764" s="13" t="s">
        <v>75</v>
      </c>
      <c r="I1764" s="14">
        <v>44908.0</v>
      </c>
      <c r="J1764" s="14"/>
      <c r="K1764" s="15">
        <v>0.0</v>
      </c>
      <c r="L1764" s="15">
        <v>0.0</v>
      </c>
      <c r="M1764" s="16"/>
      <c r="N1764" s="16"/>
      <c r="O1764" s="17">
        <v>0.0</v>
      </c>
      <c r="P1764" s="17">
        <v>0.0</v>
      </c>
      <c r="Q1764" s="13">
        <f>K1763+L1763+M1763+N1763+O1763+P1763/6</f>
        <v>1.166666667</v>
      </c>
      <c r="R1764" s="29"/>
      <c r="S1764" s="13"/>
      <c r="T1764" s="13">
        <f t="shared" ref="T1764:Y1764" si="1949">IF(ISBLANK(K1764)=TRUE,0,1)</f>
        <v>1</v>
      </c>
      <c r="U1764" s="13">
        <f t="shared" si="1949"/>
        <v>1</v>
      </c>
      <c r="V1764" s="13">
        <f t="shared" si="1949"/>
        <v>0</v>
      </c>
      <c r="W1764" s="13">
        <f t="shared" si="1949"/>
        <v>0</v>
      </c>
      <c r="X1764" s="13">
        <f t="shared" si="1949"/>
        <v>1</v>
      </c>
      <c r="Y1764" s="13">
        <f t="shared" si="1949"/>
        <v>1</v>
      </c>
      <c r="Z1764" s="13">
        <f t="shared" si="529"/>
        <v>0</v>
      </c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</row>
    <row r="1765" ht="14.25" hidden="1" customHeight="1">
      <c r="A1765" s="13" t="s">
        <v>46</v>
      </c>
      <c r="B1765" s="13" t="s">
        <v>51</v>
      </c>
      <c r="C1765" s="13" t="s">
        <v>1058</v>
      </c>
      <c r="D1765" s="13" t="s">
        <v>174</v>
      </c>
      <c r="E1765" s="13"/>
      <c r="F1765" s="13"/>
      <c r="G1765" s="13" t="s">
        <v>74</v>
      </c>
      <c r="H1765" s="13" t="s">
        <v>75</v>
      </c>
      <c r="I1765" s="14">
        <v>44909.0</v>
      </c>
      <c r="J1765" s="14"/>
      <c r="K1765" s="15">
        <v>0.0</v>
      </c>
      <c r="L1765" s="15">
        <v>0.0</v>
      </c>
      <c r="M1765" s="16"/>
      <c r="N1765" s="16"/>
      <c r="O1765" s="17">
        <v>0.0</v>
      </c>
      <c r="P1765" s="17">
        <v>0.0</v>
      </c>
      <c r="Q1765" s="13"/>
      <c r="R1765" s="29"/>
      <c r="S1765" s="13"/>
      <c r="T1765" s="13">
        <f t="shared" ref="T1765:Y1765" si="1950">IF(ISBLANK(K1765)=TRUE,0,1)</f>
        <v>1</v>
      </c>
      <c r="U1765" s="13">
        <f t="shared" si="1950"/>
        <v>1</v>
      </c>
      <c r="V1765" s="13">
        <f t="shared" si="1950"/>
        <v>0</v>
      </c>
      <c r="W1765" s="13">
        <f t="shared" si="1950"/>
        <v>0</v>
      </c>
      <c r="X1765" s="13">
        <f t="shared" si="1950"/>
        <v>1</v>
      </c>
      <c r="Y1765" s="13">
        <f t="shared" si="1950"/>
        <v>1</v>
      </c>
      <c r="Z1765" s="13">
        <f t="shared" si="529"/>
        <v>0</v>
      </c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</row>
    <row r="1766" ht="14.25" hidden="1" customHeight="1">
      <c r="A1766" s="13" t="s">
        <v>46</v>
      </c>
      <c r="B1766" s="13" t="s">
        <v>51</v>
      </c>
      <c r="C1766" s="13" t="s">
        <v>1059</v>
      </c>
      <c r="D1766" s="13" t="s">
        <v>174</v>
      </c>
      <c r="E1766" s="13"/>
      <c r="F1766" s="13"/>
      <c r="G1766" s="13" t="s">
        <v>74</v>
      </c>
      <c r="H1766" s="13" t="s">
        <v>75</v>
      </c>
      <c r="I1766" s="14">
        <v>44909.0</v>
      </c>
      <c r="J1766" s="14"/>
      <c r="K1766" s="15">
        <v>0.0</v>
      </c>
      <c r="L1766" s="15">
        <v>0.0</v>
      </c>
      <c r="M1766" s="16"/>
      <c r="N1766" s="16"/>
      <c r="O1766" s="17">
        <v>0.0</v>
      </c>
      <c r="P1766" s="17">
        <v>0.0</v>
      </c>
      <c r="Q1766" s="13">
        <f t="shared" ref="Q1766:Q1767" si="1952">K1765+L1765+M1765+N1765+O1765+P1765/6</f>
        <v>0</v>
      </c>
      <c r="R1766" s="29"/>
      <c r="S1766" s="13"/>
      <c r="T1766" s="13">
        <f t="shared" ref="T1766:Y1766" si="1951">IF(ISBLANK(K1766)=TRUE,0,1)</f>
        <v>1</v>
      </c>
      <c r="U1766" s="13">
        <f t="shared" si="1951"/>
        <v>1</v>
      </c>
      <c r="V1766" s="13">
        <f t="shared" si="1951"/>
        <v>0</v>
      </c>
      <c r="W1766" s="13">
        <f t="shared" si="1951"/>
        <v>0</v>
      </c>
      <c r="X1766" s="13">
        <f t="shared" si="1951"/>
        <v>1</v>
      </c>
      <c r="Y1766" s="13">
        <f t="shared" si="1951"/>
        <v>1</v>
      </c>
      <c r="Z1766" s="13">
        <f t="shared" si="529"/>
        <v>0</v>
      </c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</row>
    <row r="1767" ht="14.25" hidden="1" customHeight="1">
      <c r="A1767" s="13" t="s">
        <v>46</v>
      </c>
      <c r="B1767" s="13" t="s">
        <v>51</v>
      </c>
      <c r="C1767" s="13" t="s">
        <v>1059</v>
      </c>
      <c r="D1767" s="13" t="s">
        <v>175</v>
      </c>
      <c r="E1767" s="13"/>
      <c r="F1767" s="13"/>
      <c r="G1767" s="13" t="s">
        <v>74</v>
      </c>
      <c r="H1767" s="13" t="s">
        <v>75</v>
      </c>
      <c r="I1767" s="14">
        <v>44910.0</v>
      </c>
      <c r="J1767" s="14"/>
      <c r="K1767" s="15">
        <v>0.0</v>
      </c>
      <c r="L1767" s="15">
        <v>0.0</v>
      </c>
      <c r="M1767" s="16"/>
      <c r="N1767" s="16"/>
      <c r="O1767" s="17">
        <v>0.0</v>
      </c>
      <c r="P1767" s="17">
        <v>0.0</v>
      </c>
      <c r="Q1767" s="13">
        <f t="shared" si="1952"/>
        <v>0</v>
      </c>
      <c r="R1767" s="14"/>
      <c r="S1767" s="13"/>
      <c r="T1767" s="13">
        <f t="shared" ref="T1767:Y1767" si="1953">IF(ISBLANK(K1767)=TRUE,0,1)</f>
        <v>1</v>
      </c>
      <c r="U1767" s="13">
        <f t="shared" si="1953"/>
        <v>1</v>
      </c>
      <c r="V1767" s="13">
        <f t="shared" si="1953"/>
        <v>0</v>
      </c>
      <c r="W1767" s="13">
        <f t="shared" si="1953"/>
        <v>0</v>
      </c>
      <c r="X1767" s="13">
        <f t="shared" si="1953"/>
        <v>1</v>
      </c>
      <c r="Y1767" s="13">
        <f t="shared" si="1953"/>
        <v>1</v>
      </c>
      <c r="Z1767" s="13">
        <f t="shared" si="529"/>
        <v>0</v>
      </c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</row>
    <row r="1768" ht="14.25" hidden="1" customHeight="1">
      <c r="A1768" s="13" t="s">
        <v>46</v>
      </c>
      <c r="B1768" s="13" t="s">
        <v>51</v>
      </c>
      <c r="C1768" s="13" t="s">
        <v>1060</v>
      </c>
      <c r="D1768" s="13" t="s">
        <v>174</v>
      </c>
      <c r="E1768" s="13"/>
      <c r="F1768" s="13"/>
      <c r="G1768" s="13" t="s">
        <v>74</v>
      </c>
      <c r="H1768" s="13" t="s">
        <v>75</v>
      </c>
      <c r="I1768" s="14">
        <v>44909.0</v>
      </c>
      <c r="J1768" s="14"/>
      <c r="K1768" s="15">
        <v>0.0</v>
      </c>
      <c r="L1768" s="15">
        <v>0.0</v>
      </c>
      <c r="M1768" s="16"/>
      <c r="N1768" s="16"/>
      <c r="O1768" s="17">
        <v>0.0</v>
      </c>
      <c r="P1768" s="17">
        <v>0.0</v>
      </c>
      <c r="Q1768" s="13">
        <f>K1765+L1765+M1765+N1765+O1765+P1765/6</f>
        <v>0</v>
      </c>
      <c r="R1768" s="14">
        <v>44967.0</v>
      </c>
      <c r="S1768" s="13"/>
      <c r="T1768" s="13">
        <f t="shared" ref="T1768:Y1768" si="1954">IF(ISBLANK(K1768)=TRUE,0,1)</f>
        <v>1</v>
      </c>
      <c r="U1768" s="13">
        <f t="shared" si="1954"/>
        <v>1</v>
      </c>
      <c r="V1768" s="13">
        <f t="shared" si="1954"/>
        <v>0</v>
      </c>
      <c r="W1768" s="13">
        <f t="shared" si="1954"/>
        <v>0</v>
      </c>
      <c r="X1768" s="13">
        <f t="shared" si="1954"/>
        <v>1</v>
      </c>
      <c r="Y1768" s="13">
        <f t="shared" si="1954"/>
        <v>1</v>
      </c>
      <c r="Z1768" s="13">
        <f t="shared" si="529"/>
        <v>0</v>
      </c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</row>
    <row r="1769" ht="14.25" hidden="1" customHeight="1">
      <c r="A1769" s="13" t="s">
        <v>46</v>
      </c>
      <c r="B1769" s="13" t="s">
        <v>51</v>
      </c>
      <c r="C1769" s="13" t="s">
        <v>1061</v>
      </c>
      <c r="D1769" s="13" t="s">
        <v>174</v>
      </c>
      <c r="E1769" s="13"/>
      <c r="F1769" s="13"/>
      <c r="G1769" s="13" t="s">
        <v>74</v>
      </c>
      <c r="H1769" s="13" t="s">
        <v>75</v>
      </c>
      <c r="I1769" s="14">
        <v>44909.0</v>
      </c>
      <c r="J1769" s="14"/>
      <c r="K1769" s="15">
        <v>0.0</v>
      </c>
      <c r="L1769" s="15">
        <v>0.0</v>
      </c>
      <c r="M1769" s="16"/>
      <c r="N1769" s="16"/>
      <c r="O1769" s="17">
        <v>0.0</v>
      </c>
      <c r="P1769" s="17">
        <v>0.0</v>
      </c>
      <c r="Q1769" s="13"/>
      <c r="R1769" s="14"/>
      <c r="S1769" s="13"/>
      <c r="T1769" s="13">
        <f t="shared" ref="T1769:Y1769" si="1955">IF(ISBLANK(K1769)=TRUE,0,1)</f>
        <v>1</v>
      </c>
      <c r="U1769" s="13">
        <f t="shared" si="1955"/>
        <v>1</v>
      </c>
      <c r="V1769" s="13">
        <f t="shared" si="1955"/>
        <v>0</v>
      </c>
      <c r="W1769" s="13">
        <f t="shared" si="1955"/>
        <v>0</v>
      </c>
      <c r="X1769" s="13">
        <f t="shared" si="1955"/>
        <v>1</v>
      </c>
      <c r="Y1769" s="13">
        <f t="shared" si="1955"/>
        <v>1</v>
      </c>
      <c r="Z1769" s="13">
        <f t="shared" si="529"/>
        <v>0</v>
      </c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</row>
    <row r="1770" ht="14.25" hidden="1" customHeight="1">
      <c r="A1770" s="13" t="s">
        <v>46</v>
      </c>
      <c r="B1770" s="13" t="s">
        <v>51</v>
      </c>
      <c r="C1770" s="13" t="s">
        <v>1062</v>
      </c>
      <c r="D1770" s="13" t="s">
        <v>174</v>
      </c>
      <c r="E1770" s="13"/>
      <c r="F1770" s="13"/>
      <c r="G1770" s="13" t="s">
        <v>74</v>
      </c>
      <c r="H1770" s="13" t="s">
        <v>75</v>
      </c>
      <c r="I1770" s="14">
        <v>44908.0</v>
      </c>
      <c r="J1770" s="14"/>
      <c r="K1770" s="15">
        <v>0.0</v>
      </c>
      <c r="L1770" s="15">
        <v>0.0</v>
      </c>
      <c r="M1770" s="16"/>
      <c r="N1770" s="16"/>
      <c r="O1770" s="17">
        <v>0.0</v>
      </c>
      <c r="P1770" s="17">
        <v>0.0</v>
      </c>
      <c r="Q1770" s="13">
        <f>K1769+L1769+M1769+N1769+O1769+P1769/6</f>
        <v>0</v>
      </c>
      <c r="R1770" s="14">
        <v>44966.0</v>
      </c>
      <c r="S1770" s="13"/>
      <c r="T1770" s="13">
        <f t="shared" ref="T1770:Y1770" si="1956">IF(ISBLANK(K1770)=TRUE,0,1)</f>
        <v>1</v>
      </c>
      <c r="U1770" s="13">
        <f t="shared" si="1956"/>
        <v>1</v>
      </c>
      <c r="V1770" s="13">
        <f t="shared" si="1956"/>
        <v>0</v>
      </c>
      <c r="W1770" s="13">
        <f t="shared" si="1956"/>
        <v>0</v>
      </c>
      <c r="X1770" s="13">
        <f t="shared" si="1956"/>
        <v>1</v>
      </c>
      <c r="Y1770" s="13">
        <f t="shared" si="1956"/>
        <v>1</v>
      </c>
      <c r="Z1770" s="13">
        <f t="shared" si="529"/>
        <v>0</v>
      </c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</row>
    <row r="1771" ht="14.25" hidden="1" customHeight="1">
      <c r="A1771" s="13" t="s">
        <v>46</v>
      </c>
      <c r="B1771" s="13" t="s">
        <v>51</v>
      </c>
      <c r="C1771" s="13" t="s">
        <v>1063</v>
      </c>
      <c r="D1771" s="13" t="s">
        <v>174</v>
      </c>
      <c r="E1771" s="13"/>
      <c r="F1771" s="13"/>
      <c r="G1771" s="13" t="s">
        <v>74</v>
      </c>
      <c r="H1771" s="13" t="s">
        <v>75</v>
      </c>
      <c r="I1771" s="14">
        <v>44909.0</v>
      </c>
      <c r="J1771" s="14"/>
      <c r="K1771" s="15"/>
      <c r="L1771" s="15"/>
      <c r="M1771" s="16"/>
      <c r="N1771" s="16"/>
      <c r="O1771" s="17">
        <v>0.0</v>
      </c>
      <c r="P1771" s="17">
        <v>0.0</v>
      </c>
      <c r="Q1771" s="13">
        <f t="shared" ref="Q1771:Q1772" si="1958">K1769+L1769+M1769+N1769+O1769+P1769/6</f>
        <v>0</v>
      </c>
      <c r="R1771" s="14">
        <v>44967.0</v>
      </c>
      <c r="S1771" s="13"/>
      <c r="T1771" s="13">
        <f t="shared" ref="T1771:Y1771" si="1957">IF(ISBLANK(K1771)=TRUE,0,1)</f>
        <v>0</v>
      </c>
      <c r="U1771" s="13">
        <f t="shared" si="1957"/>
        <v>0</v>
      </c>
      <c r="V1771" s="13">
        <f t="shared" si="1957"/>
        <v>0</v>
      </c>
      <c r="W1771" s="13">
        <f t="shared" si="1957"/>
        <v>0</v>
      </c>
      <c r="X1771" s="13">
        <f t="shared" si="1957"/>
        <v>1</v>
      </c>
      <c r="Y1771" s="13">
        <f t="shared" si="1957"/>
        <v>1</v>
      </c>
      <c r="Z1771" s="13">
        <f t="shared" si="529"/>
        <v>0</v>
      </c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</row>
    <row r="1772" ht="14.25" hidden="1" customHeight="1">
      <c r="A1772" s="13" t="s">
        <v>46</v>
      </c>
      <c r="B1772" s="13" t="s">
        <v>51</v>
      </c>
      <c r="C1772" s="13" t="s">
        <v>1064</v>
      </c>
      <c r="D1772" s="13" t="s">
        <v>174</v>
      </c>
      <c r="E1772" s="13"/>
      <c r="F1772" s="13"/>
      <c r="G1772" s="13" t="s">
        <v>74</v>
      </c>
      <c r="H1772" s="13" t="s">
        <v>75</v>
      </c>
      <c r="I1772" s="14">
        <v>44909.0</v>
      </c>
      <c r="J1772" s="14"/>
      <c r="K1772" s="15">
        <v>0.0</v>
      </c>
      <c r="L1772" s="15">
        <v>0.0</v>
      </c>
      <c r="M1772" s="16"/>
      <c r="N1772" s="16"/>
      <c r="O1772" s="17">
        <v>0.0</v>
      </c>
      <c r="P1772" s="17">
        <v>0.0</v>
      </c>
      <c r="Q1772" s="13">
        <f t="shared" si="1958"/>
        <v>0</v>
      </c>
      <c r="R1772" s="14">
        <v>44967.0</v>
      </c>
      <c r="S1772" s="13"/>
      <c r="T1772" s="13">
        <f t="shared" ref="T1772:Y1772" si="1959">IF(ISBLANK(K1772)=TRUE,0,1)</f>
        <v>1</v>
      </c>
      <c r="U1772" s="13">
        <f t="shared" si="1959"/>
        <v>1</v>
      </c>
      <c r="V1772" s="13">
        <f t="shared" si="1959"/>
        <v>0</v>
      </c>
      <c r="W1772" s="13">
        <f t="shared" si="1959"/>
        <v>0</v>
      </c>
      <c r="X1772" s="13">
        <f t="shared" si="1959"/>
        <v>1</v>
      </c>
      <c r="Y1772" s="13">
        <f t="shared" si="1959"/>
        <v>1</v>
      </c>
      <c r="Z1772" s="13">
        <f t="shared" si="529"/>
        <v>0</v>
      </c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</row>
    <row r="1773" ht="14.25" hidden="1" customHeight="1">
      <c r="A1773" s="13" t="s">
        <v>46</v>
      </c>
      <c r="B1773" s="13" t="s">
        <v>51</v>
      </c>
      <c r="C1773" s="13" t="s">
        <v>1065</v>
      </c>
      <c r="D1773" s="13" t="s">
        <v>174</v>
      </c>
      <c r="E1773" s="13"/>
      <c r="F1773" s="13"/>
      <c r="G1773" s="13" t="s">
        <v>74</v>
      </c>
      <c r="H1773" s="13" t="s">
        <v>75</v>
      </c>
      <c r="I1773" s="14"/>
      <c r="J1773" s="14"/>
      <c r="K1773" s="15">
        <v>0.0</v>
      </c>
      <c r="L1773" s="15">
        <v>0.0</v>
      </c>
      <c r="M1773" s="16"/>
      <c r="N1773" s="16"/>
      <c r="O1773" s="17"/>
      <c r="P1773" s="17"/>
      <c r="Q1773" s="13"/>
      <c r="R1773" s="14"/>
      <c r="S1773" s="13"/>
      <c r="T1773" s="13">
        <f t="shared" ref="T1773:Y1773" si="1960">IF(ISBLANK(K1773)=TRUE,0,1)</f>
        <v>1</v>
      </c>
      <c r="U1773" s="13">
        <f t="shared" si="1960"/>
        <v>1</v>
      </c>
      <c r="V1773" s="13">
        <f t="shared" si="1960"/>
        <v>0</v>
      </c>
      <c r="W1773" s="13">
        <f t="shared" si="1960"/>
        <v>0</v>
      </c>
      <c r="X1773" s="13">
        <f t="shared" si="1960"/>
        <v>0</v>
      </c>
      <c r="Y1773" s="13">
        <f t="shared" si="1960"/>
        <v>0</v>
      </c>
      <c r="Z1773" s="13">
        <f t="shared" si="529"/>
        <v>0</v>
      </c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</row>
    <row r="1774" ht="14.25" hidden="1" customHeight="1">
      <c r="A1774" s="13" t="s">
        <v>46</v>
      </c>
      <c r="B1774" s="13" t="s">
        <v>51</v>
      </c>
      <c r="C1774" s="13" t="s">
        <v>1065</v>
      </c>
      <c r="D1774" s="13" t="s">
        <v>175</v>
      </c>
      <c r="E1774" s="13"/>
      <c r="F1774" s="13"/>
      <c r="G1774" s="13" t="s">
        <v>74</v>
      </c>
      <c r="H1774" s="13" t="s">
        <v>75</v>
      </c>
      <c r="I1774" s="14"/>
      <c r="J1774" s="14"/>
      <c r="K1774" s="15">
        <v>0.0</v>
      </c>
      <c r="L1774" s="15">
        <v>0.0</v>
      </c>
      <c r="M1774" s="16"/>
      <c r="N1774" s="16"/>
      <c r="O1774" s="17"/>
      <c r="P1774" s="17"/>
      <c r="Q1774" s="13"/>
      <c r="R1774" s="14"/>
      <c r="S1774" s="13"/>
      <c r="T1774" s="13">
        <f t="shared" ref="T1774:Y1774" si="1961">IF(ISBLANK(K1774)=TRUE,0,1)</f>
        <v>1</v>
      </c>
      <c r="U1774" s="13">
        <f t="shared" si="1961"/>
        <v>1</v>
      </c>
      <c r="V1774" s="13">
        <f t="shared" si="1961"/>
        <v>0</v>
      </c>
      <c r="W1774" s="13">
        <f t="shared" si="1961"/>
        <v>0</v>
      </c>
      <c r="X1774" s="13">
        <f t="shared" si="1961"/>
        <v>0</v>
      </c>
      <c r="Y1774" s="13">
        <f t="shared" si="1961"/>
        <v>0</v>
      </c>
      <c r="Z1774" s="13">
        <f t="shared" si="529"/>
        <v>0</v>
      </c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</row>
    <row r="1775" ht="14.25" hidden="1" customHeight="1">
      <c r="A1775" s="13" t="s">
        <v>46</v>
      </c>
      <c r="B1775" s="13" t="s">
        <v>51</v>
      </c>
      <c r="C1775" s="13" t="s">
        <v>1065</v>
      </c>
      <c r="D1775" s="13" t="s">
        <v>176</v>
      </c>
      <c r="E1775" s="13"/>
      <c r="F1775" s="13"/>
      <c r="G1775" s="13" t="s">
        <v>74</v>
      </c>
      <c r="H1775" s="13" t="s">
        <v>75</v>
      </c>
      <c r="I1775" s="14"/>
      <c r="J1775" s="14"/>
      <c r="K1775" s="15">
        <v>0.0</v>
      </c>
      <c r="L1775" s="15">
        <v>0.0</v>
      </c>
      <c r="M1775" s="16"/>
      <c r="N1775" s="16"/>
      <c r="O1775" s="17"/>
      <c r="P1775" s="17"/>
      <c r="Q1775" s="13"/>
      <c r="R1775" s="14"/>
      <c r="S1775" s="13"/>
      <c r="T1775" s="13">
        <f t="shared" ref="T1775:Y1775" si="1962">IF(ISBLANK(K1775)=TRUE,0,1)</f>
        <v>1</v>
      </c>
      <c r="U1775" s="13">
        <f t="shared" si="1962"/>
        <v>1</v>
      </c>
      <c r="V1775" s="13">
        <f t="shared" si="1962"/>
        <v>0</v>
      </c>
      <c r="W1775" s="13">
        <f t="shared" si="1962"/>
        <v>0</v>
      </c>
      <c r="X1775" s="13">
        <f t="shared" si="1962"/>
        <v>0</v>
      </c>
      <c r="Y1775" s="13">
        <f t="shared" si="1962"/>
        <v>0</v>
      </c>
      <c r="Z1775" s="13">
        <f t="shared" si="529"/>
        <v>0</v>
      </c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</row>
    <row r="1776" ht="14.25" hidden="1" customHeight="1">
      <c r="A1776" s="13" t="s">
        <v>46</v>
      </c>
      <c r="B1776" s="13" t="s">
        <v>51</v>
      </c>
      <c r="C1776" s="13" t="s">
        <v>1065</v>
      </c>
      <c r="D1776" s="13" t="s">
        <v>177</v>
      </c>
      <c r="E1776" s="13"/>
      <c r="F1776" s="13"/>
      <c r="G1776" s="13" t="s">
        <v>74</v>
      </c>
      <c r="H1776" s="13" t="s">
        <v>75</v>
      </c>
      <c r="I1776" s="14"/>
      <c r="J1776" s="14"/>
      <c r="K1776" s="15">
        <v>0.0</v>
      </c>
      <c r="L1776" s="15">
        <v>0.0</v>
      </c>
      <c r="M1776" s="16"/>
      <c r="N1776" s="16"/>
      <c r="O1776" s="17"/>
      <c r="P1776" s="17"/>
      <c r="Q1776" s="13"/>
      <c r="R1776" s="14"/>
      <c r="S1776" s="13"/>
      <c r="T1776" s="13">
        <f t="shared" ref="T1776:Y1776" si="1963">IF(ISBLANK(K1776)=TRUE,0,1)</f>
        <v>1</v>
      </c>
      <c r="U1776" s="13">
        <f t="shared" si="1963"/>
        <v>1</v>
      </c>
      <c r="V1776" s="13">
        <f t="shared" si="1963"/>
        <v>0</v>
      </c>
      <c r="W1776" s="13">
        <f t="shared" si="1963"/>
        <v>0</v>
      </c>
      <c r="X1776" s="13">
        <f t="shared" si="1963"/>
        <v>0</v>
      </c>
      <c r="Y1776" s="13">
        <f t="shared" si="1963"/>
        <v>0</v>
      </c>
      <c r="Z1776" s="13">
        <f t="shared" si="529"/>
        <v>0</v>
      </c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</row>
    <row r="1777" ht="14.25" hidden="1" customHeight="1">
      <c r="A1777" s="13" t="s">
        <v>46</v>
      </c>
      <c r="B1777" s="13" t="s">
        <v>51</v>
      </c>
      <c r="C1777" s="13" t="s">
        <v>1065</v>
      </c>
      <c r="D1777" s="13" t="s">
        <v>178</v>
      </c>
      <c r="E1777" s="13"/>
      <c r="F1777" s="13"/>
      <c r="G1777" s="13" t="s">
        <v>74</v>
      </c>
      <c r="H1777" s="13" t="s">
        <v>75</v>
      </c>
      <c r="I1777" s="14"/>
      <c r="J1777" s="14"/>
      <c r="K1777" s="15">
        <v>0.0</v>
      </c>
      <c r="L1777" s="15">
        <v>0.0</v>
      </c>
      <c r="M1777" s="16"/>
      <c r="N1777" s="16"/>
      <c r="O1777" s="17"/>
      <c r="P1777" s="17"/>
      <c r="Q1777" s="13"/>
      <c r="R1777" s="14"/>
      <c r="S1777" s="13"/>
      <c r="T1777" s="13">
        <f t="shared" ref="T1777:Y1777" si="1964">IF(ISBLANK(K1777)=TRUE,0,1)</f>
        <v>1</v>
      </c>
      <c r="U1777" s="13">
        <f t="shared" si="1964"/>
        <v>1</v>
      </c>
      <c r="V1777" s="13">
        <f t="shared" si="1964"/>
        <v>0</v>
      </c>
      <c r="W1777" s="13">
        <f t="shared" si="1964"/>
        <v>0</v>
      </c>
      <c r="X1777" s="13">
        <f t="shared" si="1964"/>
        <v>0</v>
      </c>
      <c r="Y1777" s="13">
        <f t="shared" si="1964"/>
        <v>0</v>
      </c>
      <c r="Z1777" s="13">
        <f t="shared" si="529"/>
        <v>0</v>
      </c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</row>
    <row r="1778" ht="14.25" hidden="1" customHeight="1">
      <c r="A1778" s="13" t="s">
        <v>46</v>
      </c>
      <c r="B1778" s="13" t="s">
        <v>51</v>
      </c>
      <c r="C1778" s="13" t="s">
        <v>1065</v>
      </c>
      <c r="D1778" s="13" t="s">
        <v>179</v>
      </c>
      <c r="E1778" s="13"/>
      <c r="F1778" s="13"/>
      <c r="G1778" s="13" t="s">
        <v>74</v>
      </c>
      <c r="H1778" s="13" t="s">
        <v>75</v>
      </c>
      <c r="I1778" s="14"/>
      <c r="J1778" s="14"/>
      <c r="K1778" s="15">
        <v>0.0</v>
      </c>
      <c r="L1778" s="15">
        <v>0.0</v>
      </c>
      <c r="M1778" s="16"/>
      <c r="N1778" s="16"/>
      <c r="O1778" s="17"/>
      <c r="P1778" s="17"/>
      <c r="Q1778" s="13"/>
      <c r="R1778" s="14"/>
      <c r="S1778" s="13"/>
      <c r="T1778" s="13">
        <f t="shared" ref="T1778:Y1778" si="1965">IF(ISBLANK(K1778)=TRUE,0,1)</f>
        <v>1</v>
      </c>
      <c r="U1778" s="13">
        <f t="shared" si="1965"/>
        <v>1</v>
      </c>
      <c r="V1778" s="13">
        <f t="shared" si="1965"/>
        <v>0</v>
      </c>
      <c r="W1778" s="13">
        <f t="shared" si="1965"/>
        <v>0</v>
      </c>
      <c r="X1778" s="13">
        <f t="shared" si="1965"/>
        <v>0</v>
      </c>
      <c r="Y1778" s="13">
        <f t="shared" si="1965"/>
        <v>0</v>
      </c>
      <c r="Z1778" s="13">
        <f t="shared" si="529"/>
        <v>0</v>
      </c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</row>
    <row r="1779" ht="14.25" hidden="1" customHeight="1">
      <c r="A1779" s="13" t="s">
        <v>46</v>
      </c>
      <c r="B1779" s="13" t="s">
        <v>51</v>
      </c>
      <c r="C1779" s="13" t="s">
        <v>1066</v>
      </c>
      <c r="D1779" s="13" t="s">
        <v>174</v>
      </c>
      <c r="E1779" s="13"/>
      <c r="F1779" s="13"/>
      <c r="G1779" s="13" t="s">
        <v>74</v>
      </c>
      <c r="H1779" s="13" t="s">
        <v>75</v>
      </c>
      <c r="I1779" s="14">
        <v>44909.0</v>
      </c>
      <c r="J1779" s="14"/>
      <c r="K1779" s="15">
        <v>0.0</v>
      </c>
      <c r="L1779" s="15">
        <v>0.0</v>
      </c>
      <c r="M1779" s="16"/>
      <c r="N1779" s="16"/>
      <c r="O1779" s="17">
        <v>0.0</v>
      </c>
      <c r="P1779" s="17">
        <v>0.0</v>
      </c>
      <c r="Q1779" s="13">
        <f>K1772+L1772+M1772+N1772+O1772+P1772/6</f>
        <v>0</v>
      </c>
      <c r="R1779" s="14"/>
      <c r="S1779" s="13"/>
      <c r="T1779" s="13">
        <f t="shared" ref="T1779:Y1779" si="1966">IF(ISBLANK(K1779)=TRUE,0,1)</f>
        <v>1</v>
      </c>
      <c r="U1779" s="13">
        <f t="shared" si="1966"/>
        <v>1</v>
      </c>
      <c r="V1779" s="13">
        <f t="shared" si="1966"/>
        <v>0</v>
      </c>
      <c r="W1779" s="13">
        <f t="shared" si="1966"/>
        <v>0</v>
      </c>
      <c r="X1779" s="13">
        <f t="shared" si="1966"/>
        <v>1</v>
      </c>
      <c r="Y1779" s="13">
        <f t="shared" si="1966"/>
        <v>1</v>
      </c>
      <c r="Z1779" s="13">
        <f t="shared" si="529"/>
        <v>0</v>
      </c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</row>
    <row r="1780" ht="14.25" hidden="1" customHeight="1">
      <c r="A1780" s="13" t="s">
        <v>46</v>
      </c>
      <c r="B1780" s="13" t="s">
        <v>51</v>
      </c>
      <c r="C1780" s="13" t="s">
        <v>1067</v>
      </c>
      <c r="D1780" s="13" t="s">
        <v>174</v>
      </c>
      <c r="E1780" s="13"/>
      <c r="F1780" s="13"/>
      <c r="G1780" s="13" t="s">
        <v>74</v>
      </c>
      <c r="H1780" s="13" t="s">
        <v>75</v>
      </c>
      <c r="I1780" s="14"/>
      <c r="J1780" s="14"/>
      <c r="K1780" s="15">
        <v>0.0</v>
      </c>
      <c r="L1780" s="15">
        <v>0.0</v>
      </c>
      <c r="M1780" s="16"/>
      <c r="N1780" s="16"/>
      <c r="O1780" s="17">
        <v>0.0</v>
      </c>
      <c r="P1780" s="17">
        <v>0.0</v>
      </c>
      <c r="Q1780" s="13"/>
      <c r="R1780" s="14"/>
      <c r="S1780" s="13"/>
      <c r="T1780" s="13">
        <f t="shared" ref="T1780:Y1780" si="1967">IF(ISBLANK(K1780)=TRUE,0,1)</f>
        <v>1</v>
      </c>
      <c r="U1780" s="13">
        <f t="shared" si="1967"/>
        <v>1</v>
      </c>
      <c r="V1780" s="13">
        <f t="shared" si="1967"/>
        <v>0</v>
      </c>
      <c r="W1780" s="13">
        <f t="shared" si="1967"/>
        <v>0</v>
      </c>
      <c r="X1780" s="13">
        <f t="shared" si="1967"/>
        <v>1</v>
      </c>
      <c r="Y1780" s="13">
        <f t="shared" si="1967"/>
        <v>1</v>
      </c>
      <c r="Z1780" s="13">
        <f t="shared" si="529"/>
        <v>0</v>
      </c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</row>
    <row r="1781" ht="14.25" hidden="1" customHeight="1">
      <c r="A1781" s="13" t="s">
        <v>46</v>
      </c>
      <c r="B1781" s="13" t="s">
        <v>51</v>
      </c>
      <c r="C1781" s="13" t="s">
        <v>1067</v>
      </c>
      <c r="D1781" s="13" t="s">
        <v>175</v>
      </c>
      <c r="E1781" s="13"/>
      <c r="F1781" s="13"/>
      <c r="G1781" s="13" t="s">
        <v>74</v>
      </c>
      <c r="H1781" s="13" t="s">
        <v>75</v>
      </c>
      <c r="I1781" s="14"/>
      <c r="J1781" s="14"/>
      <c r="K1781" s="15">
        <v>0.0</v>
      </c>
      <c r="L1781" s="15">
        <v>0.0</v>
      </c>
      <c r="M1781" s="16"/>
      <c r="N1781" s="16"/>
      <c r="O1781" s="17">
        <v>0.0</v>
      </c>
      <c r="P1781" s="17">
        <v>0.0</v>
      </c>
      <c r="Q1781" s="13"/>
      <c r="R1781" s="14"/>
      <c r="S1781" s="13"/>
      <c r="T1781" s="13">
        <f t="shared" ref="T1781:Y1781" si="1968">IF(ISBLANK(K1781)=TRUE,0,1)</f>
        <v>1</v>
      </c>
      <c r="U1781" s="13">
        <f t="shared" si="1968"/>
        <v>1</v>
      </c>
      <c r="V1781" s="13">
        <f t="shared" si="1968"/>
        <v>0</v>
      </c>
      <c r="W1781" s="13">
        <f t="shared" si="1968"/>
        <v>0</v>
      </c>
      <c r="X1781" s="13">
        <f t="shared" si="1968"/>
        <v>1</v>
      </c>
      <c r="Y1781" s="13">
        <f t="shared" si="1968"/>
        <v>1</v>
      </c>
      <c r="Z1781" s="13">
        <f t="shared" si="529"/>
        <v>0</v>
      </c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</row>
    <row r="1782" ht="14.25" hidden="1" customHeight="1">
      <c r="A1782" s="13" t="s">
        <v>46</v>
      </c>
      <c r="B1782" s="13" t="s">
        <v>51</v>
      </c>
      <c r="C1782" s="13" t="s">
        <v>1068</v>
      </c>
      <c r="D1782" s="13" t="s">
        <v>174</v>
      </c>
      <c r="E1782" s="13"/>
      <c r="F1782" s="13"/>
      <c r="G1782" s="13" t="s">
        <v>74</v>
      </c>
      <c r="H1782" s="13" t="s">
        <v>75</v>
      </c>
      <c r="I1782" s="14">
        <v>44908.0</v>
      </c>
      <c r="J1782" s="14"/>
      <c r="K1782" s="15">
        <v>0.0</v>
      </c>
      <c r="L1782" s="15">
        <v>0.0</v>
      </c>
      <c r="M1782" s="16"/>
      <c r="N1782" s="16"/>
      <c r="O1782" s="17">
        <v>0.0</v>
      </c>
      <c r="P1782" s="17">
        <v>0.0</v>
      </c>
      <c r="Q1782" s="13">
        <f t="shared" ref="Q1782:Q1783" si="1970">K1781+L1781+M1781+N1781+O1781+P1781/6</f>
        <v>0</v>
      </c>
      <c r="R1782" s="14">
        <v>44966.0</v>
      </c>
      <c r="S1782" s="13"/>
      <c r="T1782" s="13">
        <f t="shared" ref="T1782:Y1782" si="1969">IF(ISBLANK(K1782)=TRUE,0,1)</f>
        <v>1</v>
      </c>
      <c r="U1782" s="13">
        <f t="shared" si="1969"/>
        <v>1</v>
      </c>
      <c r="V1782" s="13">
        <f t="shared" si="1969"/>
        <v>0</v>
      </c>
      <c r="W1782" s="13">
        <f t="shared" si="1969"/>
        <v>0</v>
      </c>
      <c r="X1782" s="13">
        <f t="shared" si="1969"/>
        <v>1</v>
      </c>
      <c r="Y1782" s="13">
        <f t="shared" si="1969"/>
        <v>1</v>
      </c>
      <c r="Z1782" s="13">
        <f t="shared" si="529"/>
        <v>0</v>
      </c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</row>
    <row r="1783" ht="14.25" hidden="1" customHeight="1">
      <c r="A1783" s="13" t="s">
        <v>46</v>
      </c>
      <c r="B1783" s="13" t="s">
        <v>51</v>
      </c>
      <c r="C1783" s="13" t="s">
        <v>1068</v>
      </c>
      <c r="D1783" s="13" t="s">
        <v>175</v>
      </c>
      <c r="E1783" s="13"/>
      <c r="F1783" s="13"/>
      <c r="G1783" s="13" t="s">
        <v>74</v>
      </c>
      <c r="H1783" s="13" t="s">
        <v>75</v>
      </c>
      <c r="I1783" s="14">
        <v>44908.0</v>
      </c>
      <c r="J1783" s="14"/>
      <c r="K1783" s="15">
        <v>0.0</v>
      </c>
      <c r="L1783" s="15">
        <v>0.0</v>
      </c>
      <c r="M1783" s="16"/>
      <c r="N1783" s="16"/>
      <c r="O1783" s="17">
        <v>0.0</v>
      </c>
      <c r="P1783" s="17">
        <v>0.0</v>
      </c>
      <c r="Q1783" s="13">
        <f t="shared" si="1970"/>
        <v>0</v>
      </c>
      <c r="R1783" s="14">
        <v>44966.0</v>
      </c>
      <c r="S1783" s="13"/>
      <c r="T1783" s="13">
        <f t="shared" ref="T1783:Y1783" si="1971">IF(ISBLANK(K1783)=TRUE,0,1)</f>
        <v>1</v>
      </c>
      <c r="U1783" s="13">
        <f t="shared" si="1971"/>
        <v>1</v>
      </c>
      <c r="V1783" s="13">
        <f t="shared" si="1971"/>
        <v>0</v>
      </c>
      <c r="W1783" s="13">
        <f t="shared" si="1971"/>
        <v>0</v>
      </c>
      <c r="X1783" s="13">
        <f t="shared" si="1971"/>
        <v>1</v>
      </c>
      <c r="Y1783" s="13">
        <f t="shared" si="1971"/>
        <v>1</v>
      </c>
      <c r="Z1783" s="13">
        <f t="shared" si="529"/>
        <v>0</v>
      </c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</row>
    <row r="1784" ht="14.25" hidden="1" customHeight="1">
      <c r="A1784" s="13" t="s">
        <v>46</v>
      </c>
      <c r="B1784" s="13" t="s">
        <v>51</v>
      </c>
      <c r="C1784" s="13" t="s">
        <v>1069</v>
      </c>
      <c r="D1784" s="13" t="s">
        <v>174</v>
      </c>
      <c r="E1784" s="13"/>
      <c r="F1784" s="13"/>
      <c r="G1784" s="13" t="s">
        <v>74</v>
      </c>
      <c r="H1784" s="13" t="s">
        <v>75</v>
      </c>
      <c r="I1784" s="14">
        <v>44909.0</v>
      </c>
      <c r="J1784" s="14"/>
      <c r="K1784" s="15"/>
      <c r="L1784" s="15"/>
      <c r="M1784" s="16"/>
      <c r="N1784" s="16"/>
      <c r="O1784" s="17">
        <v>0.0</v>
      </c>
      <c r="P1784" s="17">
        <v>0.0</v>
      </c>
      <c r="Q1784" s="13">
        <f>K1781+L1781+M1781+N1781+O1781+P1781/6</f>
        <v>0</v>
      </c>
      <c r="R1784" s="14">
        <v>44967.0</v>
      </c>
      <c r="S1784" s="13"/>
      <c r="T1784" s="13">
        <f t="shared" ref="T1784:Y1784" si="1972">IF(ISBLANK(K1784)=TRUE,0,1)</f>
        <v>0</v>
      </c>
      <c r="U1784" s="13">
        <f t="shared" si="1972"/>
        <v>0</v>
      </c>
      <c r="V1784" s="13">
        <f t="shared" si="1972"/>
        <v>0</v>
      </c>
      <c r="W1784" s="13">
        <f t="shared" si="1972"/>
        <v>0</v>
      </c>
      <c r="X1784" s="13">
        <f t="shared" si="1972"/>
        <v>1</v>
      </c>
      <c r="Y1784" s="13">
        <f t="shared" si="1972"/>
        <v>1</v>
      </c>
      <c r="Z1784" s="13">
        <f t="shared" si="529"/>
        <v>0</v>
      </c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</row>
    <row r="1785" ht="14.25" hidden="1" customHeight="1">
      <c r="A1785" s="13" t="s">
        <v>46</v>
      </c>
      <c r="B1785" s="13" t="s">
        <v>51</v>
      </c>
      <c r="C1785" s="13" t="s">
        <v>1070</v>
      </c>
      <c r="D1785" s="13"/>
      <c r="E1785" s="13" t="str">
        <f t="shared" ref="E1785:E1786" si="1974">CONCATENATE(B1785,",",C1785,",",D1785,",",Z1785)</f>
        <v>RL5,C39,,0.25</v>
      </c>
      <c r="F1785" s="13"/>
      <c r="G1785" s="13" t="s">
        <v>74</v>
      </c>
      <c r="H1785" s="13" t="s">
        <v>75</v>
      </c>
      <c r="I1785" s="14">
        <v>44908.0</v>
      </c>
      <c r="J1785" s="14"/>
      <c r="K1785" s="15">
        <v>0.0</v>
      </c>
      <c r="L1785" s="15">
        <v>0.0</v>
      </c>
      <c r="M1785" s="16"/>
      <c r="N1785" s="16"/>
      <c r="O1785" s="17">
        <v>1.0</v>
      </c>
      <c r="P1785" s="17">
        <v>0.0</v>
      </c>
      <c r="Q1785" s="13">
        <f>K1784+L1784+M1784+N1784+O1784+P1784/6</f>
        <v>0</v>
      </c>
      <c r="R1785" s="14">
        <v>44966.0</v>
      </c>
      <c r="S1785" s="13"/>
      <c r="T1785" s="13">
        <f t="shared" ref="T1785:Y1785" si="1973">IF(ISBLANK(K1785)=TRUE,0,1)</f>
        <v>1</v>
      </c>
      <c r="U1785" s="13">
        <f t="shared" si="1973"/>
        <v>1</v>
      </c>
      <c r="V1785" s="13">
        <f t="shared" si="1973"/>
        <v>0</v>
      </c>
      <c r="W1785" s="13">
        <f t="shared" si="1973"/>
        <v>0</v>
      </c>
      <c r="X1785" s="13">
        <f t="shared" si="1973"/>
        <v>1</v>
      </c>
      <c r="Y1785" s="13">
        <f t="shared" si="1973"/>
        <v>1</v>
      </c>
      <c r="Z1785" s="13">
        <f t="shared" si="529"/>
        <v>0.25</v>
      </c>
      <c r="AA1785" s="13" t="s">
        <v>1071</v>
      </c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</row>
    <row r="1786" ht="14.25" hidden="1" customHeight="1">
      <c r="A1786" s="13" t="s">
        <v>46</v>
      </c>
      <c r="B1786" s="13" t="s">
        <v>51</v>
      </c>
      <c r="C1786" s="13" t="s">
        <v>1072</v>
      </c>
      <c r="D1786" s="13"/>
      <c r="E1786" s="13" t="str">
        <f t="shared" si="1974"/>
        <v>RL5,C56,,NA</v>
      </c>
      <c r="F1786" s="13"/>
      <c r="G1786" s="13" t="s">
        <v>74</v>
      </c>
      <c r="H1786" s="13" t="s">
        <v>75</v>
      </c>
      <c r="I1786" s="14">
        <v>44917.0</v>
      </c>
      <c r="J1786" s="14"/>
      <c r="K1786" s="15"/>
      <c r="L1786" s="15"/>
      <c r="M1786" s="16"/>
      <c r="N1786" s="16"/>
      <c r="O1786" s="17"/>
      <c r="P1786" s="17"/>
      <c r="Q1786" s="13">
        <f>AH1785+L1785+M1785+N1785+O1785+P1785/6</f>
        <v>1</v>
      </c>
      <c r="R1786" s="13"/>
      <c r="S1786" s="13"/>
      <c r="T1786" s="13">
        <f t="shared" ref="T1786:Y1786" si="1975">IF(ISBLANK(K1786)=TRUE,0,1)</f>
        <v>0</v>
      </c>
      <c r="U1786" s="13">
        <f t="shared" si="1975"/>
        <v>0</v>
      </c>
      <c r="V1786" s="13">
        <f t="shared" si="1975"/>
        <v>0</v>
      </c>
      <c r="W1786" s="13">
        <f t="shared" si="1975"/>
        <v>0</v>
      </c>
      <c r="X1786" s="13">
        <f t="shared" si="1975"/>
        <v>0</v>
      </c>
      <c r="Y1786" s="13">
        <f t="shared" si="1975"/>
        <v>0</v>
      </c>
      <c r="Z1786" s="13" t="str">
        <f t="shared" si="529"/>
        <v>NA</v>
      </c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</row>
    <row r="1787" ht="14.25" hidden="1" customHeight="1">
      <c r="A1787" s="13" t="s">
        <v>46</v>
      </c>
      <c r="B1787" s="13" t="s">
        <v>51</v>
      </c>
      <c r="C1787" s="13" t="s">
        <v>1073</v>
      </c>
      <c r="D1787" s="13"/>
      <c r="E1787" s="13"/>
      <c r="F1787" s="13"/>
      <c r="G1787" s="13" t="s">
        <v>74</v>
      </c>
      <c r="H1787" s="13" t="s">
        <v>75</v>
      </c>
      <c r="I1787" s="14">
        <v>44917.0</v>
      </c>
      <c r="J1787" s="14"/>
      <c r="K1787" s="15">
        <v>0.0</v>
      </c>
      <c r="L1787" s="15">
        <v>0.0</v>
      </c>
      <c r="M1787" s="16"/>
      <c r="N1787" s="16"/>
      <c r="O1787" s="17">
        <v>0.0</v>
      </c>
      <c r="P1787" s="17">
        <v>0.0</v>
      </c>
      <c r="Q1787" s="13">
        <f>K1786+L1786+M1786+N1786+O1786+P1786/6</f>
        <v>0</v>
      </c>
      <c r="R1787" s="14">
        <v>44966.0</v>
      </c>
      <c r="S1787" s="13"/>
      <c r="T1787" s="13">
        <f t="shared" ref="T1787:Y1787" si="1976">IF(ISBLANK(K1787)=TRUE,0,1)</f>
        <v>1</v>
      </c>
      <c r="U1787" s="13">
        <f t="shared" si="1976"/>
        <v>1</v>
      </c>
      <c r="V1787" s="13">
        <f t="shared" si="1976"/>
        <v>0</v>
      </c>
      <c r="W1787" s="13">
        <f t="shared" si="1976"/>
        <v>0</v>
      </c>
      <c r="X1787" s="13">
        <f t="shared" si="1976"/>
        <v>1</v>
      </c>
      <c r="Y1787" s="13">
        <f t="shared" si="1976"/>
        <v>1</v>
      </c>
      <c r="Z1787" s="13">
        <f t="shared" si="529"/>
        <v>0</v>
      </c>
      <c r="AA1787" s="13" t="s">
        <v>1071</v>
      </c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</row>
    <row r="1788" ht="14.25" hidden="1" customHeight="1">
      <c r="A1788" s="13" t="s">
        <v>46</v>
      </c>
      <c r="B1788" s="34" t="s">
        <v>51</v>
      </c>
      <c r="C1788" s="34" t="s">
        <v>1073</v>
      </c>
      <c r="D1788" s="34" t="s">
        <v>174</v>
      </c>
      <c r="E1788" s="13"/>
      <c r="F1788" s="13"/>
      <c r="G1788" s="13" t="s">
        <v>74</v>
      </c>
      <c r="H1788" s="13" t="s">
        <v>75</v>
      </c>
      <c r="I1788" s="14"/>
      <c r="J1788" s="14"/>
      <c r="K1788" s="15">
        <v>0.0</v>
      </c>
      <c r="L1788" s="15">
        <v>0.0</v>
      </c>
      <c r="M1788" s="16"/>
      <c r="N1788" s="16"/>
      <c r="O1788" s="17"/>
      <c r="P1788" s="17"/>
      <c r="Q1788" s="13"/>
      <c r="R1788" s="14"/>
      <c r="S1788" s="13"/>
      <c r="T1788" s="13">
        <f t="shared" ref="T1788:Y1788" si="1977">IF(ISBLANK(K1788)=TRUE,0,1)</f>
        <v>1</v>
      </c>
      <c r="U1788" s="13">
        <f t="shared" si="1977"/>
        <v>1</v>
      </c>
      <c r="V1788" s="13">
        <f t="shared" si="1977"/>
        <v>0</v>
      </c>
      <c r="W1788" s="13">
        <f t="shared" si="1977"/>
        <v>0</v>
      </c>
      <c r="X1788" s="13">
        <f t="shared" si="1977"/>
        <v>0</v>
      </c>
      <c r="Y1788" s="13">
        <f t="shared" si="1977"/>
        <v>0</v>
      </c>
      <c r="Z1788" s="13">
        <f t="shared" si="529"/>
        <v>0</v>
      </c>
      <c r="AA1788" s="13" t="s">
        <v>1071</v>
      </c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</row>
    <row r="1789" ht="14.25" hidden="1" customHeight="1">
      <c r="A1789" s="13" t="s">
        <v>46</v>
      </c>
      <c r="B1789" s="13" t="s">
        <v>51</v>
      </c>
      <c r="C1789" s="13" t="s">
        <v>1074</v>
      </c>
      <c r="D1789" s="13" t="s">
        <v>175</v>
      </c>
      <c r="E1789" s="13" t="str">
        <f t="shared" ref="E1789:E1793" si="1979">CONCATENATE(B1789,",",C1789,",",D1789,",",Z1789)</f>
        <v>RL5,C6,AB,1</v>
      </c>
      <c r="F1789" s="13"/>
      <c r="G1789" s="13" t="s">
        <v>74</v>
      </c>
      <c r="H1789" s="13" t="s">
        <v>75</v>
      </c>
      <c r="I1789" s="14">
        <v>44908.0</v>
      </c>
      <c r="J1789" s="14"/>
      <c r="K1789" s="15">
        <v>1.0</v>
      </c>
      <c r="L1789" s="15">
        <v>1.0</v>
      </c>
      <c r="M1789" s="16"/>
      <c r="N1789" s="16"/>
      <c r="O1789" s="17">
        <v>1.0</v>
      </c>
      <c r="P1789" s="17">
        <v>1.0</v>
      </c>
      <c r="Q1789" s="13">
        <f>K1787+L1787+M1787+N1787+O1787+P1787/6</f>
        <v>0</v>
      </c>
      <c r="R1789" s="14">
        <v>44966.0</v>
      </c>
      <c r="S1789" s="13"/>
      <c r="T1789" s="13">
        <f t="shared" ref="T1789:Y1789" si="1978">IF(ISBLANK(K1789)=TRUE,0,1)</f>
        <v>1</v>
      </c>
      <c r="U1789" s="13">
        <f t="shared" si="1978"/>
        <v>1</v>
      </c>
      <c r="V1789" s="13">
        <f t="shared" si="1978"/>
        <v>0</v>
      </c>
      <c r="W1789" s="13">
        <f t="shared" si="1978"/>
        <v>0</v>
      </c>
      <c r="X1789" s="13">
        <f t="shared" si="1978"/>
        <v>1</v>
      </c>
      <c r="Y1789" s="13">
        <f t="shared" si="1978"/>
        <v>1</v>
      </c>
      <c r="Z1789" s="13">
        <f t="shared" si="529"/>
        <v>1</v>
      </c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</row>
    <row r="1790" ht="14.25" hidden="1" customHeight="1">
      <c r="A1790" s="13" t="s">
        <v>46</v>
      </c>
      <c r="B1790" s="13" t="s">
        <v>51</v>
      </c>
      <c r="C1790" s="13" t="s">
        <v>1074</v>
      </c>
      <c r="D1790" s="13" t="s">
        <v>176</v>
      </c>
      <c r="E1790" s="13" t="str">
        <f t="shared" si="1979"/>
        <v>RL5,C6,AC,1</v>
      </c>
      <c r="F1790" s="13"/>
      <c r="G1790" s="13" t="s">
        <v>74</v>
      </c>
      <c r="H1790" s="13" t="s">
        <v>75</v>
      </c>
      <c r="I1790" s="14">
        <v>44908.0</v>
      </c>
      <c r="J1790" s="14"/>
      <c r="K1790" s="15">
        <v>1.0</v>
      </c>
      <c r="L1790" s="15">
        <v>1.0</v>
      </c>
      <c r="M1790" s="16"/>
      <c r="N1790" s="16"/>
      <c r="O1790" s="17">
        <v>1.0</v>
      </c>
      <c r="P1790" s="17">
        <v>1.0</v>
      </c>
      <c r="Q1790" s="13">
        <f t="shared" ref="Q1790:Q1796" si="1981">K1789+L1789+M1789+N1789+O1789+P1789/6</f>
        <v>3.166666667</v>
      </c>
      <c r="R1790" s="14">
        <v>44966.0</v>
      </c>
      <c r="S1790" s="13"/>
      <c r="T1790" s="13">
        <f t="shared" ref="T1790:Y1790" si="1980">IF(ISBLANK(K1790)=TRUE,0,1)</f>
        <v>1</v>
      </c>
      <c r="U1790" s="13">
        <f t="shared" si="1980"/>
        <v>1</v>
      </c>
      <c r="V1790" s="13">
        <f t="shared" si="1980"/>
        <v>0</v>
      </c>
      <c r="W1790" s="13">
        <f t="shared" si="1980"/>
        <v>0</v>
      </c>
      <c r="X1790" s="13">
        <f t="shared" si="1980"/>
        <v>1</v>
      </c>
      <c r="Y1790" s="13">
        <f t="shared" si="1980"/>
        <v>1</v>
      </c>
      <c r="Z1790" s="13">
        <f t="shared" si="529"/>
        <v>1</v>
      </c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</row>
    <row r="1791" ht="14.25" hidden="1" customHeight="1">
      <c r="A1791" s="13" t="s">
        <v>46</v>
      </c>
      <c r="B1791" s="13" t="s">
        <v>51</v>
      </c>
      <c r="C1791" s="13" t="s">
        <v>1075</v>
      </c>
      <c r="D1791" s="13"/>
      <c r="E1791" s="13" t="str">
        <f t="shared" si="1979"/>
        <v>RL5,C62,,1</v>
      </c>
      <c r="F1791" s="13"/>
      <c r="G1791" s="13" t="s">
        <v>74</v>
      </c>
      <c r="H1791" s="13" t="s">
        <v>75</v>
      </c>
      <c r="I1791" s="14">
        <v>44917.0</v>
      </c>
      <c r="J1791" s="14"/>
      <c r="K1791" s="15">
        <v>1.0</v>
      </c>
      <c r="L1791" s="15">
        <v>1.0</v>
      </c>
      <c r="M1791" s="16"/>
      <c r="N1791" s="16"/>
      <c r="O1791" s="17">
        <v>1.0</v>
      </c>
      <c r="P1791" s="17">
        <v>1.0</v>
      </c>
      <c r="Q1791" s="13">
        <f t="shared" si="1981"/>
        <v>3.166666667</v>
      </c>
      <c r="R1791" s="14">
        <v>44966.0</v>
      </c>
      <c r="S1791" s="13"/>
      <c r="T1791" s="13">
        <f t="shared" ref="T1791:Y1791" si="1982">IF(ISBLANK(K1791)=TRUE,0,1)</f>
        <v>1</v>
      </c>
      <c r="U1791" s="13">
        <f t="shared" si="1982"/>
        <v>1</v>
      </c>
      <c r="V1791" s="13">
        <f t="shared" si="1982"/>
        <v>0</v>
      </c>
      <c r="W1791" s="13">
        <f t="shared" si="1982"/>
        <v>0</v>
      </c>
      <c r="X1791" s="13">
        <f t="shared" si="1982"/>
        <v>1</v>
      </c>
      <c r="Y1791" s="13">
        <f t="shared" si="1982"/>
        <v>1</v>
      </c>
      <c r="Z1791" s="13">
        <f t="shared" si="529"/>
        <v>1</v>
      </c>
      <c r="AA1791" s="13" t="s">
        <v>819</v>
      </c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</row>
    <row r="1792" ht="14.25" hidden="1" customHeight="1">
      <c r="A1792" s="13" t="s">
        <v>46</v>
      </c>
      <c r="B1792" s="13" t="s">
        <v>51</v>
      </c>
      <c r="C1792" s="13" t="s">
        <v>1076</v>
      </c>
      <c r="D1792" s="13"/>
      <c r="E1792" s="13" t="str">
        <f t="shared" si="1979"/>
        <v>RL5,C63,,1</v>
      </c>
      <c r="F1792" s="13"/>
      <c r="G1792" s="13" t="s">
        <v>74</v>
      </c>
      <c r="H1792" s="13" t="s">
        <v>75</v>
      </c>
      <c r="I1792" s="14">
        <v>44917.0</v>
      </c>
      <c r="J1792" s="14"/>
      <c r="K1792" s="15">
        <v>1.0</v>
      </c>
      <c r="L1792" s="15">
        <v>1.0</v>
      </c>
      <c r="M1792" s="16"/>
      <c r="N1792" s="16"/>
      <c r="O1792" s="17">
        <v>1.0</v>
      </c>
      <c r="P1792" s="17">
        <v>1.0</v>
      </c>
      <c r="Q1792" s="13">
        <f t="shared" si="1981"/>
        <v>3.166666667</v>
      </c>
      <c r="R1792" s="14">
        <v>44966.0</v>
      </c>
      <c r="S1792" s="13"/>
      <c r="T1792" s="13">
        <f t="shared" ref="T1792:Y1792" si="1983">IF(ISBLANK(K1792)=TRUE,0,1)</f>
        <v>1</v>
      </c>
      <c r="U1792" s="13">
        <f t="shared" si="1983"/>
        <v>1</v>
      </c>
      <c r="V1792" s="13">
        <f t="shared" si="1983"/>
        <v>0</v>
      </c>
      <c r="W1792" s="13">
        <f t="shared" si="1983"/>
        <v>0</v>
      </c>
      <c r="X1792" s="13">
        <f t="shared" si="1983"/>
        <v>1</v>
      </c>
      <c r="Y1792" s="13">
        <f t="shared" si="1983"/>
        <v>1</v>
      </c>
      <c r="Z1792" s="13">
        <f t="shared" si="529"/>
        <v>1</v>
      </c>
      <c r="AA1792" s="13" t="s">
        <v>874</v>
      </c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</row>
    <row r="1793" ht="14.25" hidden="1" customHeight="1">
      <c r="A1793" s="13" t="s">
        <v>46</v>
      </c>
      <c r="B1793" s="13" t="s">
        <v>51</v>
      </c>
      <c r="C1793" s="13" t="s">
        <v>1077</v>
      </c>
      <c r="D1793" s="13"/>
      <c r="E1793" s="13" t="str">
        <f t="shared" si="1979"/>
        <v>RL5,C64,,1</v>
      </c>
      <c r="F1793" s="13"/>
      <c r="G1793" s="13" t="s">
        <v>74</v>
      </c>
      <c r="H1793" s="13" t="s">
        <v>75</v>
      </c>
      <c r="I1793" s="14">
        <v>44917.0</v>
      </c>
      <c r="J1793" s="14"/>
      <c r="K1793" s="15">
        <v>1.0</v>
      </c>
      <c r="L1793" s="15">
        <v>1.0</v>
      </c>
      <c r="M1793" s="16"/>
      <c r="N1793" s="16"/>
      <c r="O1793" s="17">
        <v>1.0</v>
      </c>
      <c r="P1793" s="17">
        <v>1.0</v>
      </c>
      <c r="Q1793" s="13">
        <f t="shared" si="1981"/>
        <v>3.166666667</v>
      </c>
      <c r="R1793" s="14">
        <v>44966.0</v>
      </c>
      <c r="S1793" s="13"/>
      <c r="T1793" s="13">
        <f t="shared" ref="T1793:Y1793" si="1984">IF(ISBLANK(K1793)=TRUE,0,1)</f>
        <v>1</v>
      </c>
      <c r="U1793" s="13">
        <f t="shared" si="1984"/>
        <v>1</v>
      </c>
      <c r="V1793" s="13">
        <f t="shared" si="1984"/>
        <v>0</v>
      </c>
      <c r="W1793" s="13">
        <f t="shared" si="1984"/>
        <v>0</v>
      </c>
      <c r="X1793" s="13">
        <f t="shared" si="1984"/>
        <v>1</v>
      </c>
      <c r="Y1793" s="13">
        <f t="shared" si="1984"/>
        <v>1</v>
      </c>
      <c r="Z1793" s="13">
        <f t="shared" si="529"/>
        <v>1</v>
      </c>
      <c r="AA1793" s="13" t="s">
        <v>819</v>
      </c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</row>
    <row r="1794" ht="14.25" hidden="1" customHeight="1">
      <c r="A1794" s="13" t="s">
        <v>46</v>
      </c>
      <c r="B1794" s="13" t="s">
        <v>51</v>
      </c>
      <c r="C1794" s="13" t="s">
        <v>1078</v>
      </c>
      <c r="D1794" s="13"/>
      <c r="E1794" s="13"/>
      <c r="F1794" s="13"/>
      <c r="G1794" s="13" t="s">
        <v>74</v>
      </c>
      <c r="H1794" s="13" t="s">
        <v>75</v>
      </c>
      <c r="I1794" s="14">
        <v>44917.0</v>
      </c>
      <c r="J1794" s="14"/>
      <c r="K1794" s="15">
        <v>0.0</v>
      </c>
      <c r="L1794" s="15">
        <v>0.0</v>
      </c>
      <c r="M1794" s="16"/>
      <c r="N1794" s="16"/>
      <c r="O1794" s="17">
        <v>0.0</v>
      </c>
      <c r="P1794" s="17">
        <v>0.0</v>
      </c>
      <c r="Q1794" s="13">
        <f t="shared" si="1981"/>
        <v>3.166666667</v>
      </c>
      <c r="R1794" s="14">
        <v>44966.0</v>
      </c>
      <c r="S1794" s="13"/>
      <c r="T1794" s="13">
        <f t="shared" ref="T1794:Y1794" si="1985">IF(ISBLANK(K1794)=TRUE,0,1)</f>
        <v>1</v>
      </c>
      <c r="U1794" s="13">
        <f t="shared" si="1985"/>
        <v>1</v>
      </c>
      <c r="V1794" s="13">
        <f t="shared" si="1985"/>
        <v>0</v>
      </c>
      <c r="W1794" s="13">
        <f t="shared" si="1985"/>
        <v>0</v>
      </c>
      <c r="X1794" s="13">
        <f t="shared" si="1985"/>
        <v>1</v>
      </c>
      <c r="Y1794" s="13">
        <f t="shared" si="1985"/>
        <v>1</v>
      </c>
      <c r="Z1794" s="13">
        <f t="shared" si="529"/>
        <v>0</v>
      </c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</row>
    <row r="1795" ht="14.25" hidden="1" customHeight="1">
      <c r="A1795" s="13" t="s">
        <v>46</v>
      </c>
      <c r="B1795" s="13" t="s">
        <v>51</v>
      </c>
      <c r="C1795" s="13" t="s">
        <v>1079</v>
      </c>
      <c r="D1795" s="13"/>
      <c r="E1795" s="13"/>
      <c r="F1795" s="13"/>
      <c r="G1795" s="13" t="s">
        <v>74</v>
      </c>
      <c r="H1795" s="13" t="s">
        <v>75</v>
      </c>
      <c r="I1795" s="14">
        <v>44917.0</v>
      </c>
      <c r="J1795" s="14"/>
      <c r="K1795" s="15">
        <v>0.0</v>
      </c>
      <c r="L1795" s="15">
        <v>0.0</v>
      </c>
      <c r="M1795" s="16"/>
      <c r="N1795" s="16"/>
      <c r="O1795" s="17">
        <v>0.0</v>
      </c>
      <c r="P1795" s="17">
        <v>0.0</v>
      </c>
      <c r="Q1795" s="13">
        <f t="shared" si="1981"/>
        <v>0</v>
      </c>
      <c r="R1795" s="14">
        <v>44966.0</v>
      </c>
      <c r="S1795" s="13"/>
      <c r="T1795" s="13">
        <f t="shared" ref="T1795:Y1795" si="1986">IF(ISBLANK(K1795)=TRUE,0,1)</f>
        <v>1</v>
      </c>
      <c r="U1795" s="13">
        <f t="shared" si="1986"/>
        <v>1</v>
      </c>
      <c r="V1795" s="13">
        <f t="shared" si="1986"/>
        <v>0</v>
      </c>
      <c r="W1795" s="13">
        <f t="shared" si="1986"/>
        <v>0</v>
      </c>
      <c r="X1795" s="13">
        <f t="shared" si="1986"/>
        <v>1</v>
      </c>
      <c r="Y1795" s="13">
        <f t="shared" si="1986"/>
        <v>1</v>
      </c>
      <c r="Z1795" s="13">
        <f t="shared" si="529"/>
        <v>0</v>
      </c>
      <c r="AA1795" s="13" t="s">
        <v>819</v>
      </c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</row>
    <row r="1796" ht="14.25" hidden="1" customHeight="1">
      <c r="A1796" s="13" t="s">
        <v>46</v>
      </c>
      <c r="B1796" s="13" t="s">
        <v>51</v>
      </c>
      <c r="C1796" s="13" t="s">
        <v>1080</v>
      </c>
      <c r="D1796" s="13"/>
      <c r="E1796" s="13" t="str">
        <f t="shared" ref="E1796:E2160" si="1988">CONCATENATE(B1796,",",C1796,",",D1796,",",Z1796)</f>
        <v>RL5,C7,,1</v>
      </c>
      <c r="F1796" s="13"/>
      <c r="G1796" s="13" t="s">
        <v>74</v>
      </c>
      <c r="H1796" s="13" t="s">
        <v>75</v>
      </c>
      <c r="I1796" s="14">
        <v>44908.0</v>
      </c>
      <c r="J1796" s="14"/>
      <c r="K1796" s="15">
        <v>1.0</v>
      </c>
      <c r="L1796" s="15">
        <v>1.0</v>
      </c>
      <c r="M1796" s="16"/>
      <c r="N1796" s="16"/>
      <c r="O1796" s="17">
        <v>1.0</v>
      </c>
      <c r="P1796" s="17">
        <v>1.0</v>
      </c>
      <c r="Q1796" s="13">
        <f t="shared" si="1981"/>
        <v>0</v>
      </c>
      <c r="R1796" s="14">
        <v>44966.0</v>
      </c>
      <c r="S1796" s="13"/>
      <c r="T1796" s="13">
        <f t="shared" ref="T1796:Y1796" si="1987">IF(ISBLANK(K1796)=TRUE,0,1)</f>
        <v>1</v>
      </c>
      <c r="U1796" s="13">
        <f t="shared" si="1987"/>
        <v>1</v>
      </c>
      <c r="V1796" s="13">
        <f t="shared" si="1987"/>
        <v>0</v>
      </c>
      <c r="W1796" s="13">
        <f t="shared" si="1987"/>
        <v>0</v>
      </c>
      <c r="X1796" s="13">
        <f t="shared" si="1987"/>
        <v>1</v>
      </c>
      <c r="Y1796" s="13">
        <f t="shared" si="1987"/>
        <v>1</v>
      </c>
      <c r="Z1796" s="13">
        <f t="shared" si="529"/>
        <v>1</v>
      </c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</row>
    <row r="1797" ht="14.25" hidden="1" customHeight="1">
      <c r="A1797" s="13" t="s">
        <v>46</v>
      </c>
      <c r="B1797" s="13" t="s">
        <v>51</v>
      </c>
      <c r="C1797" s="13" t="s">
        <v>1080</v>
      </c>
      <c r="D1797" s="13" t="s">
        <v>174</v>
      </c>
      <c r="E1797" s="13" t="str">
        <f t="shared" si="1988"/>
        <v>RL5,C7,AA,1</v>
      </c>
      <c r="F1797" s="13"/>
      <c r="G1797" s="13" t="s">
        <v>74</v>
      </c>
      <c r="H1797" s="13" t="s">
        <v>75</v>
      </c>
      <c r="I1797" s="14">
        <v>44909.0</v>
      </c>
      <c r="J1797" s="14"/>
      <c r="K1797" s="15">
        <v>1.0</v>
      </c>
      <c r="L1797" s="15">
        <v>1.0</v>
      </c>
      <c r="M1797" s="16"/>
      <c r="N1797" s="16"/>
      <c r="O1797" s="17">
        <v>1.0</v>
      </c>
      <c r="P1797" s="17">
        <v>1.0</v>
      </c>
      <c r="Q1797" s="13"/>
      <c r="R1797" s="14"/>
      <c r="S1797" s="13"/>
      <c r="T1797" s="13">
        <f t="shared" ref="T1797:Y1797" si="1989">IF(ISBLANK(K1797)=TRUE,0,1)</f>
        <v>1</v>
      </c>
      <c r="U1797" s="13">
        <f t="shared" si="1989"/>
        <v>1</v>
      </c>
      <c r="V1797" s="13">
        <f t="shared" si="1989"/>
        <v>0</v>
      </c>
      <c r="W1797" s="13">
        <f t="shared" si="1989"/>
        <v>0</v>
      </c>
      <c r="X1797" s="13">
        <f t="shared" si="1989"/>
        <v>1</v>
      </c>
      <c r="Y1797" s="13">
        <f t="shared" si="1989"/>
        <v>1</v>
      </c>
      <c r="Z1797" s="13">
        <f t="shared" si="529"/>
        <v>1</v>
      </c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</row>
    <row r="1798" ht="14.25" hidden="1" customHeight="1">
      <c r="A1798" s="13" t="s">
        <v>46</v>
      </c>
      <c r="B1798" s="13" t="s">
        <v>51</v>
      </c>
      <c r="C1798" s="13" t="s">
        <v>1081</v>
      </c>
      <c r="D1798" s="13"/>
      <c r="E1798" s="13" t="str">
        <f t="shared" si="1988"/>
        <v>RL5,C8,,1</v>
      </c>
      <c r="F1798" s="13"/>
      <c r="G1798" s="13" t="s">
        <v>74</v>
      </c>
      <c r="H1798" s="13" t="s">
        <v>75</v>
      </c>
      <c r="I1798" s="14">
        <v>44908.0</v>
      </c>
      <c r="J1798" s="14"/>
      <c r="K1798" s="15">
        <v>1.0</v>
      </c>
      <c r="L1798" s="15">
        <v>1.0</v>
      </c>
      <c r="M1798" s="16"/>
      <c r="N1798" s="16"/>
      <c r="O1798" s="17">
        <v>1.0</v>
      </c>
      <c r="P1798" s="17">
        <v>1.0</v>
      </c>
      <c r="Q1798" s="13">
        <f>K1796+L1796+M1796+N1796+O1796+P1796/6</f>
        <v>3.166666667</v>
      </c>
      <c r="R1798" s="14">
        <v>44966.0</v>
      </c>
      <c r="S1798" s="13"/>
      <c r="T1798" s="13">
        <f t="shared" ref="T1798:Y1798" si="1990">IF(ISBLANK(K1798)=TRUE,0,1)</f>
        <v>1</v>
      </c>
      <c r="U1798" s="13">
        <f t="shared" si="1990"/>
        <v>1</v>
      </c>
      <c r="V1798" s="13">
        <f t="shared" si="1990"/>
        <v>0</v>
      </c>
      <c r="W1798" s="13">
        <f t="shared" si="1990"/>
        <v>0</v>
      </c>
      <c r="X1798" s="13">
        <f t="shared" si="1990"/>
        <v>1</v>
      </c>
      <c r="Y1798" s="13">
        <f t="shared" si="1990"/>
        <v>1</v>
      </c>
      <c r="Z1798" s="13">
        <f t="shared" si="529"/>
        <v>1</v>
      </c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</row>
    <row r="1799" ht="14.25" hidden="1" customHeight="1">
      <c r="A1799" s="13" t="s">
        <v>46</v>
      </c>
      <c r="B1799" s="13" t="s">
        <v>51</v>
      </c>
      <c r="C1799" s="13" t="s">
        <v>1082</v>
      </c>
      <c r="D1799" s="13"/>
      <c r="E1799" s="13" t="str">
        <f t="shared" si="1988"/>
        <v>RL5,C9,,1</v>
      </c>
      <c r="F1799" s="13"/>
      <c r="G1799" s="13" t="s">
        <v>74</v>
      </c>
      <c r="H1799" s="13" t="s">
        <v>75</v>
      </c>
      <c r="I1799" s="14">
        <v>44908.0</v>
      </c>
      <c r="J1799" s="14"/>
      <c r="K1799" s="15">
        <v>1.0</v>
      </c>
      <c r="L1799" s="15">
        <v>1.0</v>
      </c>
      <c r="M1799" s="16"/>
      <c r="N1799" s="16"/>
      <c r="O1799" s="17">
        <v>1.0</v>
      </c>
      <c r="P1799" s="17">
        <v>1.0</v>
      </c>
      <c r="Q1799" s="13">
        <f>K1798+L1798+M1798+N1798+O1798+P1798/6</f>
        <v>3.166666667</v>
      </c>
      <c r="R1799" s="14">
        <v>44966.0</v>
      </c>
      <c r="S1799" s="13"/>
      <c r="T1799" s="13">
        <f t="shared" ref="T1799:Y1799" si="1991">IF(ISBLANK(K1799)=TRUE,0,1)</f>
        <v>1</v>
      </c>
      <c r="U1799" s="13">
        <f t="shared" si="1991"/>
        <v>1</v>
      </c>
      <c r="V1799" s="13">
        <f t="shared" si="1991"/>
        <v>0</v>
      </c>
      <c r="W1799" s="13">
        <f t="shared" si="1991"/>
        <v>0</v>
      </c>
      <c r="X1799" s="13">
        <f t="shared" si="1991"/>
        <v>1</v>
      </c>
      <c r="Y1799" s="13">
        <f t="shared" si="1991"/>
        <v>1</v>
      </c>
      <c r="Z1799" s="13">
        <f t="shared" si="529"/>
        <v>1</v>
      </c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</row>
    <row r="1800" ht="14.25" hidden="1" customHeight="1">
      <c r="A1800" s="13" t="s">
        <v>46</v>
      </c>
      <c r="B1800" s="13" t="s">
        <v>51</v>
      </c>
      <c r="C1800" s="13" t="s">
        <v>1082</v>
      </c>
      <c r="D1800" s="13"/>
      <c r="E1800" s="13" t="str">
        <f t="shared" si="1988"/>
        <v>RL5,C9,,NA</v>
      </c>
      <c r="F1800" s="13"/>
      <c r="G1800" s="13" t="s">
        <v>111</v>
      </c>
      <c r="H1800" s="13" t="s">
        <v>75</v>
      </c>
      <c r="I1800" s="14">
        <v>44908.0</v>
      </c>
      <c r="J1800" s="14"/>
      <c r="K1800" s="15"/>
      <c r="L1800" s="15"/>
      <c r="M1800" s="16"/>
      <c r="N1800" s="16"/>
      <c r="O1800" s="17"/>
      <c r="P1800" s="17"/>
      <c r="Q1800" s="13">
        <f>K1797+L1797+M1797+N1797+O1797+P1797/6</f>
        <v>3.166666667</v>
      </c>
      <c r="R1800" s="13"/>
      <c r="S1800" s="13"/>
      <c r="T1800" s="13">
        <f t="shared" ref="T1800:Y1800" si="1992">IF(ISBLANK(K1800)=TRUE,0,1)</f>
        <v>0</v>
      </c>
      <c r="U1800" s="13">
        <f t="shared" si="1992"/>
        <v>0</v>
      </c>
      <c r="V1800" s="13">
        <f t="shared" si="1992"/>
        <v>0</v>
      </c>
      <c r="W1800" s="13">
        <f t="shared" si="1992"/>
        <v>0</v>
      </c>
      <c r="X1800" s="13">
        <f t="shared" si="1992"/>
        <v>0</v>
      </c>
      <c r="Y1800" s="13">
        <f t="shared" si="1992"/>
        <v>0</v>
      </c>
      <c r="Z1800" s="13" t="str">
        <f t="shared" si="529"/>
        <v>NA</v>
      </c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</row>
    <row r="1801" ht="14.25" hidden="1" customHeight="1">
      <c r="A1801" s="13" t="s">
        <v>46</v>
      </c>
      <c r="B1801" s="13" t="s">
        <v>51</v>
      </c>
      <c r="C1801" s="13" t="s">
        <v>1082</v>
      </c>
      <c r="D1801" s="13" t="s">
        <v>174</v>
      </c>
      <c r="E1801" s="13" t="str">
        <f t="shared" si="1988"/>
        <v>RL5,C9,AA,1</v>
      </c>
      <c r="F1801" s="13"/>
      <c r="G1801" s="13" t="s">
        <v>74</v>
      </c>
      <c r="H1801" s="13" t="s">
        <v>75</v>
      </c>
      <c r="I1801" s="14"/>
      <c r="J1801" s="14"/>
      <c r="K1801" s="15">
        <v>1.0</v>
      </c>
      <c r="L1801" s="15">
        <v>1.0</v>
      </c>
      <c r="M1801" s="16"/>
      <c r="N1801" s="16"/>
      <c r="O1801" s="17">
        <v>1.0</v>
      </c>
      <c r="P1801" s="17">
        <v>1.0</v>
      </c>
      <c r="Q1801" s="13">
        <f t="shared" ref="Q1801:Q1802" si="1994">K1800+L1800+M1800+N1800+O1800+P1800/6</f>
        <v>0</v>
      </c>
      <c r="R1801" s="14"/>
      <c r="S1801" s="13"/>
      <c r="T1801" s="13">
        <f t="shared" ref="T1801:Y1801" si="1993">IF(ISBLANK(K1801)=TRUE,0,1)</f>
        <v>1</v>
      </c>
      <c r="U1801" s="13">
        <f t="shared" si="1993"/>
        <v>1</v>
      </c>
      <c r="V1801" s="13">
        <f t="shared" si="1993"/>
        <v>0</v>
      </c>
      <c r="W1801" s="13">
        <f t="shared" si="1993"/>
        <v>0</v>
      </c>
      <c r="X1801" s="13">
        <f t="shared" si="1993"/>
        <v>1</v>
      </c>
      <c r="Y1801" s="13">
        <f t="shared" si="1993"/>
        <v>1</v>
      </c>
      <c r="Z1801" s="13">
        <f t="shared" si="529"/>
        <v>1</v>
      </c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</row>
    <row r="1802" ht="14.25" hidden="1" customHeight="1">
      <c r="A1802" s="13" t="s">
        <v>46</v>
      </c>
      <c r="B1802" s="13" t="s">
        <v>51</v>
      </c>
      <c r="C1802" s="13" t="s">
        <v>1082</v>
      </c>
      <c r="D1802" s="13" t="s">
        <v>175</v>
      </c>
      <c r="E1802" s="13" t="str">
        <f t="shared" si="1988"/>
        <v>RL5,C9,AB,1</v>
      </c>
      <c r="F1802" s="13"/>
      <c r="G1802" s="13" t="s">
        <v>74</v>
      </c>
      <c r="H1802" s="13" t="s">
        <v>75</v>
      </c>
      <c r="I1802" s="14"/>
      <c r="J1802" s="14"/>
      <c r="K1802" s="15">
        <v>1.0</v>
      </c>
      <c r="L1802" s="15">
        <v>1.0</v>
      </c>
      <c r="M1802" s="16"/>
      <c r="N1802" s="16"/>
      <c r="O1802" s="17">
        <v>1.0</v>
      </c>
      <c r="P1802" s="17">
        <v>1.0</v>
      </c>
      <c r="Q1802" s="13">
        <f t="shared" si="1994"/>
        <v>3.166666667</v>
      </c>
      <c r="R1802" s="14"/>
      <c r="S1802" s="13"/>
      <c r="T1802" s="13">
        <f t="shared" ref="T1802:Y1802" si="1995">IF(ISBLANK(K1802)=TRUE,0,1)</f>
        <v>1</v>
      </c>
      <c r="U1802" s="13">
        <f t="shared" si="1995"/>
        <v>1</v>
      </c>
      <c r="V1802" s="13">
        <f t="shared" si="1995"/>
        <v>0</v>
      </c>
      <c r="W1802" s="13">
        <f t="shared" si="1995"/>
        <v>0</v>
      </c>
      <c r="X1802" s="13">
        <f t="shared" si="1995"/>
        <v>1</v>
      </c>
      <c r="Y1802" s="13">
        <f t="shared" si="1995"/>
        <v>1</v>
      </c>
      <c r="Z1802" s="13">
        <f t="shared" si="529"/>
        <v>1</v>
      </c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</row>
    <row r="1803" ht="14.25" hidden="1" customHeight="1">
      <c r="A1803" s="13" t="s">
        <v>46</v>
      </c>
      <c r="B1803" s="13" t="s">
        <v>51</v>
      </c>
      <c r="C1803" s="13" t="s">
        <v>1083</v>
      </c>
      <c r="D1803" s="13"/>
      <c r="E1803" s="13" t="str">
        <f t="shared" si="1988"/>
        <v>RL5,D1,,0</v>
      </c>
      <c r="F1803" s="13"/>
      <c r="G1803" s="13" t="s">
        <v>111</v>
      </c>
      <c r="H1803" s="13" t="s">
        <v>75</v>
      </c>
      <c r="I1803" s="14"/>
      <c r="J1803" s="14"/>
      <c r="K1803" s="15">
        <v>0.0</v>
      </c>
      <c r="L1803" s="15">
        <v>0.0</v>
      </c>
      <c r="M1803" s="16"/>
      <c r="N1803" s="16"/>
      <c r="O1803" s="17"/>
      <c r="P1803" s="17"/>
      <c r="Q1803" s="13"/>
      <c r="R1803" s="14"/>
      <c r="S1803" s="13"/>
      <c r="T1803" s="13"/>
      <c r="U1803" s="13"/>
      <c r="V1803" s="13"/>
      <c r="W1803" s="13"/>
      <c r="X1803" s="13"/>
      <c r="Y1803" s="13"/>
      <c r="Z1803" s="13">
        <v>0.0</v>
      </c>
      <c r="AA1803" s="13" t="s">
        <v>1084</v>
      </c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</row>
    <row r="1804" ht="14.25" hidden="1" customHeight="1">
      <c r="A1804" s="13" t="s">
        <v>46</v>
      </c>
      <c r="B1804" s="13" t="s">
        <v>51</v>
      </c>
      <c r="C1804" s="13" t="s">
        <v>1085</v>
      </c>
      <c r="D1804" s="13"/>
      <c r="E1804" s="13" t="str">
        <f t="shared" si="1988"/>
        <v>RL5,D10,,0</v>
      </c>
      <c r="F1804" s="13"/>
      <c r="G1804" s="13" t="s">
        <v>111</v>
      </c>
      <c r="H1804" s="13" t="s">
        <v>75</v>
      </c>
      <c r="I1804" s="14">
        <v>44908.0</v>
      </c>
      <c r="J1804" s="14"/>
      <c r="K1804" s="15">
        <v>0.0</v>
      </c>
      <c r="L1804" s="15">
        <v>0.0</v>
      </c>
      <c r="M1804" s="16"/>
      <c r="N1804" s="16"/>
      <c r="O1804" s="17"/>
      <c r="P1804" s="17"/>
      <c r="Q1804" s="13">
        <f>K1803+L1803+M1803+N1803+O1803+P1803/6</f>
        <v>0</v>
      </c>
      <c r="R1804" s="13"/>
      <c r="S1804" s="13"/>
      <c r="T1804" s="13">
        <f t="shared" ref="T1804:Y1804" si="1996">IF(ISBLANK(K1804)=TRUE,0,1)</f>
        <v>1</v>
      </c>
      <c r="U1804" s="13">
        <f t="shared" si="1996"/>
        <v>1</v>
      </c>
      <c r="V1804" s="13">
        <f t="shared" si="1996"/>
        <v>0</v>
      </c>
      <c r="W1804" s="13">
        <f t="shared" si="1996"/>
        <v>0</v>
      </c>
      <c r="X1804" s="13">
        <f t="shared" si="1996"/>
        <v>0</v>
      </c>
      <c r="Y1804" s="13">
        <f t="shared" si="1996"/>
        <v>0</v>
      </c>
      <c r="Z1804" s="13">
        <f t="shared" ref="Z1804:Z2812" si="1998">IF(SUM(T1804:Y1804)=0,"NA",AVERAGE(K1804:P1804))</f>
        <v>0</v>
      </c>
      <c r="AA1804" s="13" t="s">
        <v>819</v>
      </c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</row>
    <row r="1805" ht="14.25" hidden="1" customHeight="1">
      <c r="A1805" s="13" t="s">
        <v>46</v>
      </c>
      <c r="B1805" s="13" t="s">
        <v>51</v>
      </c>
      <c r="C1805" s="13" t="s">
        <v>1085</v>
      </c>
      <c r="D1805" s="13" t="s">
        <v>174</v>
      </c>
      <c r="E1805" s="13" t="str">
        <f t="shared" si="1988"/>
        <v>RL5,D10,AA,0</v>
      </c>
      <c r="F1805" s="13"/>
      <c r="G1805" s="13" t="s">
        <v>111</v>
      </c>
      <c r="H1805" s="13" t="s">
        <v>75</v>
      </c>
      <c r="I1805" s="13"/>
      <c r="J1805" s="13"/>
      <c r="K1805" s="15">
        <v>0.0</v>
      </c>
      <c r="L1805" s="15">
        <v>0.0</v>
      </c>
      <c r="M1805" s="16"/>
      <c r="N1805" s="16"/>
      <c r="O1805" s="17"/>
      <c r="P1805" s="17"/>
      <c r="Q1805" s="13"/>
      <c r="R1805" s="13"/>
      <c r="S1805" s="13"/>
      <c r="T1805" s="13">
        <f t="shared" ref="T1805:Y1805" si="1997">IF(ISBLANK(K1805)=TRUE,0,1)</f>
        <v>1</v>
      </c>
      <c r="U1805" s="13">
        <f t="shared" si="1997"/>
        <v>1</v>
      </c>
      <c r="V1805" s="13">
        <f t="shared" si="1997"/>
        <v>0</v>
      </c>
      <c r="W1805" s="13">
        <f t="shared" si="1997"/>
        <v>0</v>
      </c>
      <c r="X1805" s="13">
        <f t="shared" si="1997"/>
        <v>0</v>
      </c>
      <c r="Y1805" s="13">
        <f t="shared" si="1997"/>
        <v>0</v>
      </c>
      <c r="Z1805" s="13">
        <f t="shared" si="1998"/>
        <v>0</v>
      </c>
      <c r="AA1805" s="13" t="s">
        <v>819</v>
      </c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</row>
    <row r="1806" ht="14.25" hidden="1" customHeight="1">
      <c r="A1806" s="13" t="s">
        <v>46</v>
      </c>
      <c r="B1806" s="13" t="s">
        <v>51</v>
      </c>
      <c r="C1806" s="13" t="s">
        <v>1086</v>
      </c>
      <c r="D1806" s="13" t="s">
        <v>174</v>
      </c>
      <c r="E1806" s="13" t="str">
        <f t="shared" si="1988"/>
        <v>RL5,D12,AA,0</v>
      </c>
      <c r="F1806" s="13"/>
      <c r="G1806" s="13" t="s">
        <v>111</v>
      </c>
      <c r="H1806" s="13" t="s">
        <v>75</v>
      </c>
      <c r="I1806" s="14">
        <v>44908.0</v>
      </c>
      <c r="J1806" s="14"/>
      <c r="K1806" s="15"/>
      <c r="L1806" s="15"/>
      <c r="M1806" s="16"/>
      <c r="N1806" s="16"/>
      <c r="O1806" s="17">
        <v>0.0</v>
      </c>
      <c r="P1806" s="17">
        <v>0.0</v>
      </c>
      <c r="Q1806" s="13"/>
      <c r="R1806" s="14"/>
      <c r="S1806" s="13"/>
      <c r="T1806" s="13">
        <f t="shared" ref="T1806:Y1806" si="1999">IF(ISBLANK(K1806)=TRUE,0,1)</f>
        <v>0</v>
      </c>
      <c r="U1806" s="13">
        <f t="shared" si="1999"/>
        <v>0</v>
      </c>
      <c r="V1806" s="13">
        <f t="shared" si="1999"/>
        <v>0</v>
      </c>
      <c r="W1806" s="13">
        <f t="shared" si="1999"/>
        <v>0</v>
      </c>
      <c r="X1806" s="13">
        <f t="shared" si="1999"/>
        <v>1</v>
      </c>
      <c r="Y1806" s="13">
        <f t="shared" si="1999"/>
        <v>1</v>
      </c>
      <c r="Z1806" s="13">
        <f t="shared" si="1998"/>
        <v>0</v>
      </c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</row>
    <row r="1807" ht="14.25" hidden="1" customHeight="1">
      <c r="A1807" s="13" t="s">
        <v>46</v>
      </c>
      <c r="B1807" s="13" t="s">
        <v>51</v>
      </c>
      <c r="C1807" s="13" t="s">
        <v>1087</v>
      </c>
      <c r="D1807" s="13" t="s">
        <v>174</v>
      </c>
      <c r="E1807" s="13" t="str">
        <f t="shared" si="1988"/>
        <v>RL5,D13,AA,0</v>
      </c>
      <c r="F1807" s="13"/>
      <c r="G1807" s="13" t="s">
        <v>111</v>
      </c>
      <c r="H1807" s="13" t="s">
        <v>75</v>
      </c>
      <c r="I1807" s="14">
        <v>44909.0</v>
      </c>
      <c r="J1807" s="14"/>
      <c r="K1807" s="15"/>
      <c r="L1807" s="15"/>
      <c r="M1807" s="16"/>
      <c r="N1807" s="16"/>
      <c r="O1807" s="17">
        <v>0.0</v>
      </c>
      <c r="P1807" s="17">
        <v>0.0</v>
      </c>
      <c r="Q1807" s="13"/>
      <c r="R1807" s="14"/>
      <c r="S1807" s="13"/>
      <c r="T1807" s="13">
        <f t="shared" ref="T1807:Y1807" si="2000">IF(ISBLANK(K1807)=TRUE,0,1)</f>
        <v>0</v>
      </c>
      <c r="U1807" s="13">
        <f t="shared" si="2000"/>
        <v>0</v>
      </c>
      <c r="V1807" s="13">
        <f t="shared" si="2000"/>
        <v>0</v>
      </c>
      <c r="W1807" s="13">
        <f t="shared" si="2000"/>
        <v>0</v>
      </c>
      <c r="X1807" s="13">
        <f t="shared" si="2000"/>
        <v>1</v>
      </c>
      <c r="Y1807" s="13">
        <f t="shared" si="2000"/>
        <v>1</v>
      </c>
      <c r="Z1807" s="13">
        <f t="shared" si="1998"/>
        <v>0</v>
      </c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</row>
    <row r="1808" ht="14.25" hidden="1" customHeight="1">
      <c r="A1808" s="13" t="s">
        <v>46</v>
      </c>
      <c r="B1808" s="13" t="s">
        <v>51</v>
      </c>
      <c r="C1808" s="13" t="s">
        <v>1088</v>
      </c>
      <c r="D1808" s="13" t="s">
        <v>174</v>
      </c>
      <c r="E1808" s="13" t="str">
        <f t="shared" si="1988"/>
        <v>RL5,D14,AA,0</v>
      </c>
      <c r="F1808" s="13"/>
      <c r="G1808" s="13" t="s">
        <v>111</v>
      </c>
      <c r="H1808" s="13" t="s">
        <v>75</v>
      </c>
      <c r="I1808" s="14">
        <v>44909.0</v>
      </c>
      <c r="J1808" s="14"/>
      <c r="K1808" s="15"/>
      <c r="L1808" s="15"/>
      <c r="M1808" s="16"/>
      <c r="N1808" s="16"/>
      <c r="O1808" s="17">
        <v>0.0</v>
      </c>
      <c r="P1808" s="17">
        <v>0.0</v>
      </c>
      <c r="Q1808" s="13">
        <f>K1807+L1807+M1807+N1807+O1807+P1807/6</f>
        <v>0</v>
      </c>
      <c r="R1808" s="14">
        <v>44967.0</v>
      </c>
      <c r="S1808" s="13"/>
      <c r="T1808" s="13">
        <f t="shared" ref="T1808:Y1808" si="2001">IF(ISBLANK(K1808)=TRUE,0,1)</f>
        <v>0</v>
      </c>
      <c r="U1808" s="13">
        <f t="shared" si="2001"/>
        <v>0</v>
      </c>
      <c r="V1808" s="13">
        <f t="shared" si="2001"/>
        <v>0</v>
      </c>
      <c r="W1808" s="13">
        <f t="shared" si="2001"/>
        <v>0</v>
      </c>
      <c r="X1808" s="13">
        <f t="shared" si="2001"/>
        <v>1</v>
      </c>
      <c r="Y1808" s="13">
        <f t="shared" si="2001"/>
        <v>1</v>
      </c>
      <c r="Z1808" s="13">
        <f t="shared" si="1998"/>
        <v>0</v>
      </c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</row>
    <row r="1809" ht="14.25" hidden="1" customHeight="1">
      <c r="A1809" s="13" t="s">
        <v>46</v>
      </c>
      <c r="B1809" s="13" t="s">
        <v>51</v>
      </c>
      <c r="C1809" s="13" t="s">
        <v>1089</v>
      </c>
      <c r="D1809" s="13" t="s">
        <v>174</v>
      </c>
      <c r="E1809" s="13" t="str">
        <f t="shared" si="1988"/>
        <v>RL5,D15,AA,0</v>
      </c>
      <c r="F1809" s="13"/>
      <c r="G1809" s="13" t="s">
        <v>111</v>
      </c>
      <c r="H1809" s="13" t="s">
        <v>75</v>
      </c>
      <c r="I1809" s="14">
        <v>44909.0</v>
      </c>
      <c r="J1809" s="14"/>
      <c r="K1809" s="15"/>
      <c r="L1809" s="15"/>
      <c r="M1809" s="16"/>
      <c r="N1809" s="16"/>
      <c r="O1809" s="17">
        <v>0.0</v>
      </c>
      <c r="P1809" s="17">
        <v>0.0</v>
      </c>
      <c r="Q1809" s="13"/>
      <c r="R1809" s="14"/>
      <c r="S1809" s="13"/>
      <c r="T1809" s="13">
        <f t="shared" ref="T1809:Y1809" si="2002">IF(ISBLANK(K1809)=TRUE,0,1)</f>
        <v>0</v>
      </c>
      <c r="U1809" s="13">
        <f t="shared" si="2002"/>
        <v>0</v>
      </c>
      <c r="V1809" s="13">
        <f t="shared" si="2002"/>
        <v>0</v>
      </c>
      <c r="W1809" s="13">
        <f t="shared" si="2002"/>
        <v>0</v>
      </c>
      <c r="X1809" s="13">
        <f t="shared" si="2002"/>
        <v>1</v>
      </c>
      <c r="Y1809" s="13">
        <f t="shared" si="2002"/>
        <v>1</v>
      </c>
      <c r="Z1809" s="13">
        <f t="shared" si="1998"/>
        <v>0</v>
      </c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</row>
    <row r="1810" ht="14.25" hidden="1" customHeight="1">
      <c r="A1810" s="13" t="s">
        <v>46</v>
      </c>
      <c r="B1810" s="13" t="s">
        <v>51</v>
      </c>
      <c r="C1810" s="13" t="s">
        <v>1090</v>
      </c>
      <c r="D1810" s="13"/>
      <c r="E1810" s="13" t="str">
        <f t="shared" si="1988"/>
        <v>RL5,D16,,0</v>
      </c>
      <c r="F1810" s="13"/>
      <c r="G1810" s="13" t="s">
        <v>111</v>
      </c>
      <c r="H1810" s="13" t="s">
        <v>75</v>
      </c>
      <c r="I1810" s="14">
        <v>44908.0</v>
      </c>
      <c r="J1810" s="14"/>
      <c r="K1810" s="15">
        <v>0.0</v>
      </c>
      <c r="L1810" s="15">
        <v>0.0</v>
      </c>
      <c r="M1810" s="16"/>
      <c r="N1810" s="16"/>
      <c r="O1810" s="17"/>
      <c r="P1810" s="17"/>
      <c r="Q1810" s="13">
        <f>K1809+L1809+M1809+N1809+O1809+P1809/6</f>
        <v>0</v>
      </c>
      <c r="R1810" s="13"/>
      <c r="S1810" s="13"/>
      <c r="T1810" s="13">
        <f t="shared" ref="T1810:Y1810" si="2003">IF(ISBLANK(K1810)=TRUE,0,1)</f>
        <v>1</v>
      </c>
      <c r="U1810" s="13">
        <f t="shared" si="2003"/>
        <v>1</v>
      </c>
      <c r="V1810" s="13">
        <f t="shared" si="2003"/>
        <v>0</v>
      </c>
      <c r="W1810" s="13">
        <f t="shared" si="2003"/>
        <v>0</v>
      </c>
      <c r="X1810" s="13">
        <f t="shared" si="2003"/>
        <v>0</v>
      </c>
      <c r="Y1810" s="13">
        <f t="shared" si="2003"/>
        <v>0</v>
      </c>
      <c r="Z1810" s="13">
        <f t="shared" si="1998"/>
        <v>0</v>
      </c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</row>
    <row r="1811" ht="14.25" hidden="1" customHeight="1">
      <c r="A1811" s="13" t="s">
        <v>46</v>
      </c>
      <c r="B1811" s="13" t="s">
        <v>51</v>
      </c>
      <c r="C1811" s="13" t="s">
        <v>1090</v>
      </c>
      <c r="D1811" s="13" t="s">
        <v>174</v>
      </c>
      <c r="E1811" s="13" t="str">
        <f t="shared" si="1988"/>
        <v>RL5,D16,AA,0</v>
      </c>
      <c r="F1811" s="13"/>
      <c r="G1811" s="13" t="s">
        <v>111</v>
      </c>
      <c r="H1811" s="13" t="s">
        <v>75</v>
      </c>
      <c r="I1811" s="13"/>
      <c r="J1811" s="13"/>
      <c r="K1811" s="15">
        <v>0.0</v>
      </c>
      <c r="L1811" s="15">
        <v>0.0</v>
      </c>
      <c r="M1811" s="16"/>
      <c r="N1811" s="16"/>
      <c r="O1811" s="17"/>
      <c r="P1811" s="17"/>
      <c r="Q1811" s="13"/>
      <c r="R1811" s="13"/>
      <c r="S1811" s="13"/>
      <c r="T1811" s="13">
        <f t="shared" ref="T1811:Y1811" si="2004">IF(ISBLANK(K1811)=TRUE,0,1)</f>
        <v>1</v>
      </c>
      <c r="U1811" s="13">
        <f t="shared" si="2004"/>
        <v>1</v>
      </c>
      <c r="V1811" s="13">
        <f t="shared" si="2004"/>
        <v>0</v>
      </c>
      <c r="W1811" s="13">
        <f t="shared" si="2004"/>
        <v>0</v>
      </c>
      <c r="X1811" s="13">
        <f t="shared" si="2004"/>
        <v>0</v>
      </c>
      <c r="Y1811" s="13">
        <f t="shared" si="2004"/>
        <v>0</v>
      </c>
      <c r="Z1811" s="13">
        <f t="shared" si="1998"/>
        <v>0</v>
      </c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</row>
    <row r="1812" ht="14.25" hidden="1" customHeight="1">
      <c r="A1812" s="13" t="s">
        <v>46</v>
      </c>
      <c r="B1812" s="13" t="s">
        <v>51</v>
      </c>
      <c r="C1812" s="13" t="s">
        <v>1091</v>
      </c>
      <c r="D1812" s="13"/>
      <c r="E1812" s="13" t="str">
        <f t="shared" si="1988"/>
        <v>RL5,D17,,0</v>
      </c>
      <c r="F1812" s="13"/>
      <c r="G1812" s="13" t="s">
        <v>111</v>
      </c>
      <c r="H1812" s="13" t="s">
        <v>75</v>
      </c>
      <c r="I1812" s="14">
        <v>44908.0</v>
      </c>
      <c r="J1812" s="14"/>
      <c r="K1812" s="15">
        <v>0.0</v>
      </c>
      <c r="L1812" s="15">
        <v>0.0</v>
      </c>
      <c r="M1812" s="16"/>
      <c r="N1812" s="16"/>
      <c r="O1812" s="17"/>
      <c r="P1812" s="17"/>
      <c r="Q1812" s="13">
        <f>K1811+L1811+M1811+N1811+O1811+P1811/6</f>
        <v>0</v>
      </c>
      <c r="R1812" s="13"/>
      <c r="S1812" s="13"/>
      <c r="T1812" s="13">
        <f t="shared" ref="T1812:Y1812" si="2005">IF(ISBLANK(K1812)=TRUE,0,1)</f>
        <v>1</v>
      </c>
      <c r="U1812" s="13">
        <f t="shared" si="2005"/>
        <v>1</v>
      </c>
      <c r="V1812" s="13">
        <f t="shared" si="2005"/>
        <v>0</v>
      </c>
      <c r="W1812" s="13">
        <f t="shared" si="2005"/>
        <v>0</v>
      </c>
      <c r="X1812" s="13">
        <f t="shared" si="2005"/>
        <v>0</v>
      </c>
      <c r="Y1812" s="13">
        <f t="shared" si="2005"/>
        <v>0</v>
      </c>
      <c r="Z1812" s="13">
        <f t="shared" si="1998"/>
        <v>0</v>
      </c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</row>
    <row r="1813" ht="14.25" hidden="1" customHeight="1">
      <c r="A1813" s="13" t="s">
        <v>46</v>
      </c>
      <c r="B1813" s="13" t="s">
        <v>51</v>
      </c>
      <c r="C1813" s="13" t="s">
        <v>1091</v>
      </c>
      <c r="D1813" s="13" t="s">
        <v>174</v>
      </c>
      <c r="E1813" s="13" t="str">
        <f t="shared" si="1988"/>
        <v>RL5,D17,AA,0</v>
      </c>
      <c r="F1813" s="13"/>
      <c r="G1813" s="13" t="s">
        <v>111</v>
      </c>
      <c r="H1813" s="13" t="s">
        <v>75</v>
      </c>
      <c r="I1813" s="13"/>
      <c r="J1813" s="13"/>
      <c r="K1813" s="15">
        <v>0.0</v>
      </c>
      <c r="L1813" s="15">
        <v>0.0</v>
      </c>
      <c r="M1813" s="16"/>
      <c r="N1813" s="16"/>
      <c r="O1813" s="17"/>
      <c r="P1813" s="17"/>
      <c r="Q1813" s="13"/>
      <c r="R1813" s="13"/>
      <c r="S1813" s="13"/>
      <c r="T1813" s="13">
        <f t="shared" ref="T1813:Y1813" si="2006">IF(ISBLANK(K1813)=TRUE,0,1)</f>
        <v>1</v>
      </c>
      <c r="U1813" s="13">
        <f t="shared" si="2006"/>
        <v>1</v>
      </c>
      <c r="V1813" s="13">
        <f t="shared" si="2006"/>
        <v>0</v>
      </c>
      <c r="W1813" s="13">
        <f t="shared" si="2006"/>
        <v>0</v>
      </c>
      <c r="X1813" s="13">
        <f t="shared" si="2006"/>
        <v>0</v>
      </c>
      <c r="Y1813" s="13">
        <f t="shared" si="2006"/>
        <v>0</v>
      </c>
      <c r="Z1813" s="13">
        <f t="shared" si="1998"/>
        <v>0</v>
      </c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</row>
    <row r="1814" ht="14.25" hidden="1" customHeight="1">
      <c r="A1814" s="13" t="s">
        <v>46</v>
      </c>
      <c r="B1814" s="13" t="s">
        <v>51</v>
      </c>
      <c r="C1814" s="13" t="s">
        <v>1091</v>
      </c>
      <c r="D1814" s="13" t="s">
        <v>175</v>
      </c>
      <c r="E1814" s="13" t="str">
        <f t="shared" si="1988"/>
        <v>RL5,D17,AB,0</v>
      </c>
      <c r="F1814" s="13"/>
      <c r="G1814" s="13" t="s">
        <v>111</v>
      </c>
      <c r="H1814" s="13" t="s">
        <v>75</v>
      </c>
      <c r="I1814" s="13"/>
      <c r="J1814" s="13"/>
      <c r="K1814" s="15">
        <v>0.0</v>
      </c>
      <c r="L1814" s="15">
        <v>0.0</v>
      </c>
      <c r="M1814" s="16"/>
      <c r="N1814" s="16"/>
      <c r="O1814" s="17"/>
      <c r="P1814" s="17"/>
      <c r="Q1814" s="13"/>
      <c r="R1814" s="13"/>
      <c r="S1814" s="13"/>
      <c r="T1814" s="13">
        <f t="shared" ref="T1814:Y1814" si="2007">IF(ISBLANK(K1814)=TRUE,0,1)</f>
        <v>1</v>
      </c>
      <c r="U1814" s="13">
        <f t="shared" si="2007"/>
        <v>1</v>
      </c>
      <c r="V1814" s="13">
        <f t="shared" si="2007"/>
        <v>0</v>
      </c>
      <c r="W1814" s="13">
        <f t="shared" si="2007"/>
        <v>0</v>
      </c>
      <c r="X1814" s="13">
        <f t="shared" si="2007"/>
        <v>0</v>
      </c>
      <c r="Y1814" s="13">
        <f t="shared" si="2007"/>
        <v>0</v>
      </c>
      <c r="Z1814" s="13">
        <f t="shared" si="1998"/>
        <v>0</v>
      </c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</row>
    <row r="1815" ht="14.25" hidden="1" customHeight="1">
      <c r="A1815" s="13" t="s">
        <v>46</v>
      </c>
      <c r="B1815" s="13" t="s">
        <v>51</v>
      </c>
      <c r="C1815" s="13" t="s">
        <v>1091</v>
      </c>
      <c r="D1815" s="13" t="s">
        <v>176</v>
      </c>
      <c r="E1815" s="13" t="str">
        <f t="shared" si="1988"/>
        <v>RL5,D17,AC,0</v>
      </c>
      <c r="F1815" s="13"/>
      <c r="G1815" s="13" t="s">
        <v>111</v>
      </c>
      <c r="H1815" s="13" t="s">
        <v>75</v>
      </c>
      <c r="I1815" s="13"/>
      <c r="J1815" s="13"/>
      <c r="K1815" s="15">
        <v>0.0</v>
      </c>
      <c r="L1815" s="15">
        <v>0.0</v>
      </c>
      <c r="M1815" s="16"/>
      <c r="N1815" s="16"/>
      <c r="O1815" s="17"/>
      <c r="P1815" s="17"/>
      <c r="Q1815" s="13"/>
      <c r="R1815" s="13"/>
      <c r="S1815" s="13"/>
      <c r="T1815" s="13">
        <f t="shared" ref="T1815:Y1815" si="2008">IF(ISBLANK(K1815)=TRUE,0,1)</f>
        <v>1</v>
      </c>
      <c r="U1815" s="13">
        <f t="shared" si="2008"/>
        <v>1</v>
      </c>
      <c r="V1815" s="13">
        <f t="shared" si="2008"/>
        <v>0</v>
      </c>
      <c r="W1815" s="13">
        <f t="shared" si="2008"/>
        <v>0</v>
      </c>
      <c r="X1815" s="13">
        <f t="shared" si="2008"/>
        <v>0</v>
      </c>
      <c r="Y1815" s="13">
        <f t="shared" si="2008"/>
        <v>0</v>
      </c>
      <c r="Z1815" s="13">
        <f t="shared" si="1998"/>
        <v>0</v>
      </c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</row>
    <row r="1816" ht="14.25" hidden="1" customHeight="1">
      <c r="A1816" s="13" t="s">
        <v>46</v>
      </c>
      <c r="B1816" s="13" t="s">
        <v>51</v>
      </c>
      <c r="C1816" s="13" t="s">
        <v>1092</v>
      </c>
      <c r="D1816" s="13"/>
      <c r="E1816" s="13" t="str">
        <f t="shared" si="1988"/>
        <v>RL5,D18,,0</v>
      </c>
      <c r="F1816" s="13"/>
      <c r="G1816" s="13" t="s">
        <v>111</v>
      </c>
      <c r="H1816" s="13" t="s">
        <v>75</v>
      </c>
      <c r="I1816" s="14">
        <v>44908.0</v>
      </c>
      <c r="J1816" s="14"/>
      <c r="K1816" s="15">
        <v>0.0</v>
      </c>
      <c r="L1816" s="15">
        <v>0.0</v>
      </c>
      <c r="M1816" s="16"/>
      <c r="N1816" s="16"/>
      <c r="O1816" s="17"/>
      <c r="P1816" s="17"/>
      <c r="Q1816" s="13">
        <f>K1815+L1815+M1815+N1815+O1815+P1815/6</f>
        <v>0</v>
      </c>
      <c r="R1816" s="13"/>
      <c r="S1816" s="13"/>
      <c r="T1816" s="13">
        <f t="shared" ref="T1816:Y1816" si="2009">IF(ISBLANK(K1816)=TRUE,0,1)</f>
        <v>1</v>
      </c>
      <c r="U1816" s="13">
        <f t="shared" si="2009"/>
        <v>1</v>
      </c>
      <c r="V1816" s="13">
        <f t="shared" si="2009"/>
        <v>0</v>
      </c>
      <c r="W1816" s="13">
        <f t="shared" si="2009"/>
        <v>0</v>
      </c>
      <c r="X1816" s="13">
        <f t="shared" si="2009"/>
        <v>0</v>
      </c>
      <c r="Y1816" s="13">
        <f t="shared" si="2009"/>
        <v>0</v>
      </c>
      <c r="Z1816" s="13">
        <f t="shared" si="1998"/>
        <v>0</v>
      </c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</row>
    <row r="1817" ht="14.25" hidden="1" customHeight="1">
      <c r="A1817" s="13" t="s">
        <v>46</v>
      </c>
      <c r="B1817" s="13" t="s">
        <v>51</v>
      </c>
      <c r="C1817" s="13" t="s">
        <v>1092</v>
      </c>
      <c r="D1817" s="13" t="s">
        <v>174</v>
      </c>
      <c r="E1817" s="13" t="str">
        <f t="shared" si="1988"/>
        <v>RL5,D18,AA,0</v>
      </c>
      <c r="F1817" s="13"/>
      <c r="G1817" s="13" t="s">
        <v>111</v>
      </c>
      <c r="H1817" s="13" t="s">
        <v>75</v>
      </c>
      <c r="I1817" s="13"/>
      <c r="J1817" s="13"/>
      <c r="K1817" s="15">
        <v>0.0</v>
      </c>
      <c r="L1817" s="15">
        <v>0.0</v>
      </c>
      <c r="M1817" s="16"/>
      <c r="N1817" s="16"/>
      <c r="O1817" s="17"/>
      <c r="P1817" s="17"/>
      <c r="Q1817" s="13"/>
      <c r="R1817" s="13"/>
      <c r="S1817" s="13"/>
      <c r="T1817" s="13">
        <f t="shared" ref="T1817:Y1817" si="2010">IF(ISBLANK(K1817)=TRUE,0,1)</f>
        <v>1</v>
      </c>
      <c r="U1817" s="13">
        <f t="shared" si="2010"/>
        <v>1</v>
      </c>
      <c r="V1817" s="13">
        <f t="shared" si="2010"/>
        <v>0</v>
      </c>
      <c r="W1817" s="13">
        <f t="shared" si="2010"/>
        <v>0</v>
      </c>
      <c r="X1817" s="13">
        <f t="shared" si="2010"/>
        <v>0</v>
      </c>
      <c r="Y1817" s="13">
        <f t="shared" si="2010"/>
        <v>0</v>
      </c>
      <c r="Z1817" s="13">
        <f t="shared" si="1998"/>
        <v>0</v>
      </c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</row>
    <row r="1818" ht="14.25" hidden="1" customHeight="1">
      <c r="A1818" s="13" t="s">
        <v>46</v>
      </c>
      <c r="B1818" s="13" t="s">
        <v>51</v>
      </c>
      <c r="C1818" s="13" t="s">
        <v>1092</v>
      </c>
      <c r="D1818" s="13" t="s">
        <v>175</v>
      </c>
      <c r="E1818" s="13" t="str">
        <f t="shared" si="1988"/>
        <v>RL5,D18,AB,0</v>
      </c>
      <c r="F1818" s="13"/>
      <c r="G1818" s="13" t="s">
        <v>111</v>
      </c>
      <c r="H1818" s="13" t="s">
        <v>75</v>
      </c>
      <c r="I1818" s="13"/>
      <c r="J1818" s="13"/>
      <c r="K1818" s="15">
        <v>0.0</v>
      </c>
      <c r="L1818" s="15">
        <v>0.0</v>
      </c>
      <c r="M1818" s="16"/>
      <c r="N1818" s="16"/>
      <c r="O1818" s="17"/>
      <c r="P1818" s="17"/>
      <c r="Q1818" s="13"/>
      <c r="R1818" s="13"/>
      <c r="S1818" s="13"/>
      <c r="T1818" s="13">
        <f t="shared" ref="T1818:Y1818" si="2011">IF(ISBLANK(K1818)=TRUE,0,1)</f>
        <v>1</v>
      </c>
      <c r="U1818" s="13">
        <f t="shared" si="2011"/>
        <v>1</v>
      </c>
      <c r="V1818" s="13">
        <f t="shared" si="2011"/>
        <v>0</v>
      </c>
      <c r="W1818" s="13">
        <f t="shared" si="2011"/>
        <v>0</v>
      </c>
      <c r="X1818" s="13">
        <f t="shared" si="2011"/>
        <v>0</v>
      </c>
      <c r="Y1818" s="13">
        <f t="shared" si="2011"/>
        <v>0</v>
      </c>
      <c r="Z1818" s="13">
        <f t="shared" si="1998"/>
        <v>0</v>
      </c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</row>
    <row r="1819" ht="14.25" hidden="1" customHeight="1">
      <c r="A1819" s="13" t="s">
        <v>46</v>
      </c>
      <c r="B1819" s="13" t="s">
        <v>51</v>
      </c>
      <c r="C1819" s="13" t="s">
        <v>1093</v>
      </c>
      <c r="D1819" s="13" t="s">
        <v>174</v>
      </c>
      <c r="E1819" s="13" t="str">
        <f t="shared" si="1988"/>
        <v>RL5,D19,AA,0</v>
      </c>
      <c r="F1819" s="13"/>
      <c r="G1819" s="13" t="s">
        <v>111</v>
      </c>
      <c r="H1819" s="13" t="s">
        <v>75</v>
      </c>
      <c r="I1819" s="14">
        <v>44909.0</v>
      </c>
      <c r="J1819" s="14"/>
      <c r="K1819" s="15"/>
      <c r="L1819" s="15"/>
      <c r="M1819" s="16"/>
      <c r="N1819" s="16"/>
      <c r="O1819" s="17">
        <v>0.0</v>
      </c>
      <c r="P1819" s="17">
        <v>0.0</v>
      </c>
      <c r="Q1819" s="13"/>
      <c r="R1819" s="14"/>
      <c r="S1819" s="13"/>
      <c r="T1819" s="13">
        <f t="shared" ref="T1819:Y1819" si="2012">IF(ISBLANK(K1819)=TRUE,0,1)</f>
        <v>0</v>
      </c>
      <c r="U1819" s="13">
        <f t="shared" si="2012"/>
        <v>0</v>
      </c>
      <c r="V1819" s="13">
        <f t="shared" si="2012"/>
        <v>0</v>
      </c>
      <c r="W1819" s="13">
        <f t="shared" si="2012"/>
        <v>0</v>
      </c>
      <c r="X1819" s="13">
        <f t="shared" si="2012"/>
        <v>1</v>
      </c>
      <c r="Y1819" s="13">
        <f t="shared" si="2012"/>
        <v>1</v>
      </c>
      <c r="Z1819" s="13">
        <f t="shared" si="1998"/>
        <v>0</v>
      </c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</row>
    <row r="1820" ht="14.25" hidden="1" customHeight="1">
      <c r="A1820" s="13" t="s">
        <v>46</v>
      </c>
      <c r="B1820" s="13" t="s">
        <v>51</v>
      </c>
      <c r="C1820" s="13" t="s">
        <v>1094</v>
      </c>
      <c r="D1820" s="13" t="s">
        <v>174</v>
      </c>
      <c r="E1820" s="13" t="str">
        <f t="shared" si="1988"/>
        <v>RL5,D2,AA,0</v>
      </c>
      <c r="F1820" s="13"/>
      <c r="G1820" s="13" t="s">
        <v>111</v>
      </c>
      <c r="H1820" s="13" t="s">
        <v>75</v>
      </c>
      <c r="I1820" s="14">
        <v>44909.0</v>
      </c>
      <c r="J1820" s="14"/>
      <c r="K1820" s="15">
        <v>0.0</v>
      </c>
      <c r="L1820" s="15">
        <v>0.0</v>
      </c>
      <c r="M1820" s="16"/>
      <c r="N1820" s="16"/>
      <c r="O1820" s="17">
        <v>0.0</v>
      </c>
      <c r="P1820" s="17">
        <v>0.0</v>
      </c>
      <c r="Q1820" s="13"/>
      <c r="R1820" s="14"/>
      <c r="S1820" s="13"/>
      <c r="T1820" s="13">
        <f t="shared" ref="T1820:Y1820" si="2013">IF(ISBLANK(K1820)=TRUE,0,1)</f>
        <v>1</v>
      </c>
      <c r="U1820" s="13">
        <f t="shared" si="2013"/>
        <v>1</v>
      </c>
      <c r="V1820" s="13">
        <f t="shared" si="2013"/>
        <v>0</v>
      </c>
      <c r="W1820" s="13">
        <f t="shared" si="2013"/>
        <v>0</v>
      </c>
      <c r="X1820" s="13">
        <f t="shared" si="2013"/>
        <v>1</v>
      </c>
      <c r="Y1820" s="13">
        <f t="shared" si="2013"/>
        <v>1</v>
      </c>
      <c r="Z1820" s="13">
        <f t="shared" si="1998"/>
        <v>0</v>
      </c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</row>
    <row r="1821" ht="14.25" hidden="1" customHeight="1">
      <c r="A1821" s="13" t="s">
        <v>46</v>
      </c>
      <c r="B1821" s="13" t="s">
        <v>51</v>
      </c>
      <c r="C1821" s="13" t="s">
        <v>1095</v>
      </c>
      <c r="D1821" s="13" t="s">
        <v>174</v>
      </c>
      <c r="E1821" s="13" t="str">
        <f t="shared" si="1988"/>
        <v>RL5,D22,AA,0</v>
      </c>
      <c r="F1821" s="13"/>
      <c r="G1821" s="13" t="s">
        <v>111</v>
      </c>
      <c r="H1821" s="13" t="s">
        <v>75</v>
      </c>
      <c r="I1821" s="14">
        <v>44909.0</v>
      </c>
      <c r="J1821" s="14"/>
      <c r="K1821" s="15"/>
      <c r="L1821" s="15"/>
      <c r="M1821" s="16"/>
      <c r="N1821" s="16"/>
      <c r="O1821" s="17">
        <v>0.0</v>
      </c>
      <c r="P1821" s="17">
        <v>0.0</v>
      </c>
      <c r="Q1821" s="13"/>
      <c r="R1821" s="14"/>
      <c r="S1821" s="13"/>
      <c r="T1821" s="13">
        <f t="shared" ref="T1821:Y1821" si="2014">IF(ISBLANK(K1821)=TRUE,0,1)</f>
        <v>0</v>
      </c>
      <c r="U1821" s="13">
        <f t="shared" si="2014"/>
        <v>0</v>
      </c>
      <c r="V1821" s="13">
        <f t="shared" si="2014"/>
        <v>0</v>
      </c>
      <c r="W1821" s="13">
        <f t="shared" si="2014"/>
        <v>0</v>
      </c>
      <c r="X1821" s="13">
        <f t="shared" si="2014"/>
        <v>1</v>
      </c>
      <c r="Y1821" s="13">
        <f t="shared" si="2014"/>
        <v>1</v>
      </c>
      <c r="Z1821" s="13">
        <f t="shared" si="1998"/>
        <v>0</v>
      </c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</row>
    <row r="1822" ht="14.25" hidden="1" customHeight="1">
      <c r="A1822" s="13" t="s">
        <v>46</v>
      </c>
      <c r="B1822" s="13" t="s">
        <v>51</v>
      </c>
      <c r="C1822" s="13" t="s">
        <v>1096</v>
      </c>
      <c r="D1822" s="13" t="s">
        <v>174</v>
      </c>
      <c r="E1822" s="13" t="str">
        <f t="shared" si="1988"/>
        <v>RL5,D23,AA,1</v>
      </c>
      <c r="F1822" s="13"/>
      <c r="G1822" s="13" t="s">
        <v>111</v>
      </c>
      <c r="H1822" s="13" t="s">
        <v>75</v>
      </c>
      <c r="I1822" s="14">
        <v>44908.0</v>
      </c>
      <c r="J1822" s="14"/>
      <c r="K1822" s="15"/>
      <c r="L1822" s="15"/>
      <c r="M1822" s="16"/>
      <c r="N1822" s="16"/>
      <c r="O1822" s="17">
        <v>1.0</v>
      </c>
      <c r="P1822" s="17">
        <v>1.0</v>
      </c>
      <c r="Q1822" s="13"/>
      <c r="R1822" s="14"/>
      <c r="S1822" s="13"/>
      <c r="T1822" s="13">
        <f t="shared" ref="T1822:Y1822" si="2015">IF(ISBLANK(K1822)=TRUE,0,1)</f>
        <v>0</v>
      </c>
      <c r="U1822" s="13">
        <f t="shared" si="2015"/>
        <v>0</v>
      </c>
      <c r="V1822" s="13">
        <f t="shared" si="2015"/>
        <v>0</v>
      </c>
      <c r="W1822" s="13">
        <f t="shared" si="2015"/>
        <v>0</v>
      </c>
      <c r="X1822" s="13">
        <f t="shared" si="2015"/>
        <v>1</v>
      </c>
      <c r="Y1822" s="13">
        <f t="shared" si="2015"/>
        <v>1</v>
      </c>
      <c r="Z1822" s="13">
        <f t="shared" si="1998"/>
        <v>1</v>
      </c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</row>
    <row r="1823" ht="14.25" hidden="1" customHeight="1">
      <c r="A1823" s="13" t="s">
        <v>46</v>
      </c>
      <c r="B1823" s="13" t="s">
        <v>51</v>
      </c>
      <c r="C1823" s="13" t="s">
        <v>1097</v>
      </c>
      <c r="D1823" s="13" t="s">
        <v>174</v>
      </c>
      <c r="E1823" s="13" t="str">
        <f t="shared" si="1988"/>
        <v>RL5,D25,AA,1</v>
      </c>
      <c r="F1823" s="13"/>
      <c r="G1823" s="13" t="s">
        <v>111</v>
      </c>
      <c r="H1823" s="13" t="s">
        <v>75</v>
      </c>
      <c r="I1823" s="14">
        <v>44909.0</v>
      </c>
      <c r="J1823" s="14"/>
      <c r="K1823" s="15"/>
      <c r="L1823" s="15"/>
      <c r="M1823" s="16"/>
      <c r="N1823" s="16"/>
      <c r="O1823" s="17">
        <v>1.0</v>
      </c>
      <c r="P1823" s="17">
        <v>1.0</v>
      </c>
      <c r="Q1823" s="13"/>
      <c r="R1823" s="14"/>
      <c r="S1823" s="13"/>
      <c r="T1823" s="13">
        <f t="shared" ref="T1823:Y1823" si="2016">IF(ISBLANK(K1823)=TRUE,0,1)</f>
        <v>0</v>
      </c>
      <c r="U1823" s="13">
        <f t="shared" si="2016"/>
        <v>0</v>
      </c>
      <c r="V1823" s="13">
        <f t="shared" si="2016"/>
        <v>0</v>
      </c>
      <c r="W1823" s="13">
        <f t="shared" si="2016"/>
        <v>0</v>
      </c>
      <c r="X1823" s="13">
        <f t="shared" si="2016"/>
        <v>1</v>
      </c>
      <c r="Y1823" s="13">
        <f t="shared" si="2016"/>
        <v>1</v>
      </c>
      <c r="Z1823" s="13">
        <f t="shared" si="1998"/>
        <v>1</v>
      </c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</row>
    <row r="1824" ht="14.25" hidden="1" customHeight="1">
      <c r="A1824" s="13" t="s">
        <v>46</v>
      </c>
      <c r="B1824" s="13" t="s">
        <v>51</v>
      </c>
      <c r="C1824" s="13" t="s">
        <v>1098</v>
      </c>
      <c r="D1824" s="13" t="s">
        <v>174</v>
      </c>
      <c r="E1824" s="13" t="str">
        <f t="shared" si="1988"/>
        <v>RL5,D26,AA,1</v>
      </c>
      <c r="F1824" s="13"/>
      <c r="G1824" s="13" t="s">
        <v>111</v>
      </c>
      <c r="H1824" s="13" t="s">
        <v>75</v>
      </c>
      <c r="I1824" s="14">
        <v>44909.0</v>
      </c>
      <c r="J1824" s="14"/>
      <c r="K1824" s="15"/>
      <c r="L1824" s="15"/>
      <c r="M1824" s="16"/>
      <c r="N1824" s="16"/>
      <c r="O1824" s="17">
        <v>1.0</v>
      </c>
      <c r="P1824" s="17">
        <v>1.0</v>
      </c>
      <c r="Q1824" s="13"/>
      <c r="R1824" s="14"/>
      <c r="S1824" s="13"/>
      <c r="T1824" s="13">
        <f t="shared" ref="T1824:Y1824" si="2017">IF(ISBLANK(K1824)=TRUE,0,1)</f>
        <v>0</v>
      </c>
      <c r="U1824" s="13">
        <f t="shared" si="2017"/>
        <v>0</v>
      </c>
      <c r="V1824" s="13">
        <f t="shared" si="2017"/>
        <v>0</v>
      </c>
      <c r="W1824" s="13">
        <f t="shared" si="2017"/>
        <v>0</v>
      </c>
      <c r="X1824" s="13">
        <f t="shared" si="2017"/>
        <v>1</v>
      </c>
      <c r="Y1824" s="13">
        <f t="shared" si="2017"/>
        <v>1</v>
      </c>
      <c r="Z1824" s="13">
        <f t="shared" si="1998"/>
        <v>1</v>
      </c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</row>
    <row r="1825" ht="14.25" hidden="1" customHeight="1">
      <c r="A1825" s="13" t="s">
        <v>46</v>
      </c>
      <c r="B1825" s="13" t="s">
        <v>51</v>
      </c>
      <c r="C1825" s="13" t="s">
        <v>1099</v>
      </c>
      <c r="D1825" s="13"/>
      <c r="E1825" s="13" t="str">
        <f t="shared" si="1988"/>
        <v>RL5,D27,,1</v>
      </c>
      <c r="F1825" s="13"/>
      <c r="G1825" s="13" t="s">
        <v>111</v>
      </c>
      <c r="H1825" s="13" t="s">
        <v>75</v>
      </c>
      <c r="I1825" s="14">
        <v>44908.0</v>
      </c>
      <c r="J1825" s="14"/>
      <c r="K1825" s="15">
        <v>1.0</v>
      </c>
      <c r="L1825" s="15">
        <v>1.0</v>
      </c>
      <c r="M1825" s="16"/>
      <c r="N1825" s="16"/>
      <c r="O1825" s="17"/>
      <c r="P1825" s="17"/>
      <c r="Q1825" s="13">
        <f>K1824+L1824+M1824+N1824+O1824+P1824/6</f>
        <v>1.166666667</v>
      </c>
      <c r="R1825" s="13"/>
      <c r="S1825" s="13"/>
      <c r="T1825" s="13">
        <f t="shared" ref="T1825:Y1825" si="2018">IF(ISBLANK(K1825)=TRUE,0,1)</f>
        <v>1</v>
      </c>
      <c r="U1825" s="13">
        <f t="shared" si="2018"/>
        <v>1</v>
      </c>
      <c r="V1825" s="13">
        <f t="shared" si="2018"/>
        <v>0</v>
      </c>
      <c r="W1825" s="13">
        <f t="shared" si="2018"/>
        <v>0</v>
      </c>
      <c r="X1825" s="13">
        <f t="shared" si="2018"/>
        <v>0</v>
      </c>
      <c r="Y1825" s="13">
        <f t="shared" si="2018"/>
        <v>0</v>
      </c>
      <c r="Z1825" s="13">
        <f t="shared" si="1998"/>
        <v>1</v>
      </c>
      <c r="AA1825" s="13" t="s">
        <v>378</v>
      </c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</row>
    <row r="1826" ht="14.25" hidden="1" customHeight="1">
      <c r="A1826" s="13" t="s">
        <v>46</v>
      </c>
      <c r="B1826" s="13" t="s">
        <v>51</v>
      </c>
      <c r="C1826" s="13" t="s">
        <v>1099</v>
      </c>
      <c r="D1826" s="13" t="s">
        <v>174</v>
      </c>
      <c r="E1826" s="13" t="str">
        <f t="shared" si="1988"/>
        <v>RL5,D27,AA,1</v>
      </c>
      <c r="F1826" s="13"/>
      <c r="G1826" s="13" t="s">
        <v>111</v>
      </c>
      <c r="H1826" s="13" t="s">
        <v>75</v>
      </c>
      <c r="I1826" s="13"/>
      <c r="J1826" s="13"/>
      <c r="K1826" s="15">
        <v>1.0</v>
      </c>
      <c r="L1826" s="15">
        <v>1.0</v>
      </c>
      <c r="M1826" s="16"/>
      <c r="N1826" s="16"/>
      <c r="O1826" s="17"/>
      <c r="P1826" s="17"/>
      <c r="Q1826" s="13"/>
      <c r="R1826" s="13"/>
      <c r="S1826" s="13"/>
      <c r="T1826" s="13">
        <f t="shared" ref="T1826:Y1826" si="2019">IF(ISBLANK(K1826)=TRUE,0,1)</f>
        <v>1</v>
      </c>
      <c r="U1826" s="13">
        <f t="shared" si="2019"/>
        <v>1</v>
      </c>
      <c r="V1826" s="13">
        <f t="shared" si="2019"/>
        <v>0</v>
      </c>
      <c r="W1826" s="13">
        <f t="shared" si="2019"/>
        <v>0</v>
      </c>
      <c r="X1826" s="13">
        <f t="shared" si="2019"/>
        <v>0</v>
      </c>
      <c r="Y1826" s="13">
        <f t="shared" si="2019"/>
        <v>0</v>
      </c>
      <c r="Z1826" s="13">
        <f t="shared" si="1998"/>
        <v>1</v>
      </c>
      <c r="AA1826" s="13" t="s">
        <v>378</v>
      </c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</row>
    <row r="1827" ht="14.25" hidden="1" customHeight="1">
      <c r="A1827" s="13" t="s">
        <v>46</v>
      </c>
      <c r="B1827" s="13" t="s">
        <v>51</v>
      </c>
      <c r="C1827" s="13" t="s">
        <v>1100</v>
      </c>
      <c r="D1827" s="13"/>
      <c r="E1827" s="13" t="str">
        <f t="shared" si="1988"/>
        <v>RL5,D28,,1</v>
      </c>
      <c r="F1827" s="13"/>
      <c r="G1827" s="13" t="s">
        <v>111</v>
      </c>
      <c r="H1827" s="13" t="s">
        <v>75</v>
      </c>
      <c r="I1827" s="14">
        <v>44908.0</v>
      </c>
      <c r="J1827" s="14"/>
      <c r="K1827" s="15">
        <v>1.0</v>
      </c>
      <c r="L1827" s="15">
        <v>1.0</v>
      </c>
      <c r="M1827" s="16"/>
      <c r="N1827" s="16"/>
      <c r="O1827" s="17"/>
      <c r="P1827" s="17"/>
      <c r="Q1827" s="13">
        <f>K1826+L1826+M1826+N1826+O1826+P1826/6</f>
        <v>2</v>
      </c>
      <c r="R1827" s="13"/>
      <c r="S1827" s="13"/>
      <c r="T1827" s="13">
        <f t="shared" ref="T1827:Y1827" si="2020">IF(ISBLANK(K1827)=TRUE,0,1)</f>
        <v>1</v>
      </c>
      <c r="U1827" s="13">
        <f t="shared" si="2020"/>
        <v>1</v>
      </c>
      <c r="V1827" s="13">
        <f t="shared" si="2020"/>
        <v>0</v>
      </c>
      <c r="W1827" s="13">
        <f t="shared" si="2020"/>
        <v>0</v>
      </c>
      <c r="X1827" s="13">
        <f t="shared" si="2020"/>
        <v>0</v>
      </c>
      <c r="Y1827" s="13">
        <f t="shared" si="2020"/>
        <v>0</v>
      </c>
      <c r="Z1827" s="13">
        <f t="shared" si="1998"/>
        <v>1</v>
      </c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</row>
    <row r="1828" ht="14.25" hidden="1" customHeight="1">
      <c r="A1828" s="13" t="s">
        <v>46</v>
      </c>
      <c r="B1828" s="13" t="s">
        <v>51</v>
      </c>
      <c r="C1828" s="13" t="s">
        <v>1100</v>
      </c>
      <c r="D1828" s="13" t="s">
        <v>174</v>
      </c>
      <c r="E1828" s="13" t="str">
        <f t="shared" si="1988"/>
        <v>RL5,D28,AA,1</v>
      </c>
      <c r="F1828" s="13"/>
      <c r="G1828" s="13" t="s">
        <v>111</v>
      </c>
      <c r="H1828" s="13" t="s">
        <v>75</v>
      </c>
      <c r="I1828" s="13"/>
      <c r="J1828" s="13"/>
      <c r="K1828" s="15">
        <v>1.0</v>
      </c>
      <c r="L1828" s="15">
        <v>1.0</v>
      </c>
      <c r="M1828" s="16"/>
      <c r="N1828" s="16"/>
      <c r="O1828" s="17"/>
      <c r="P1828" s="17"/>
      <c r="Q1828" s="13"/>
      <c r="R1828" s="13"/>
      <c r="S1828" s="13"/>
      <c r="T1828" s="13">
        <f t="shared" ref="T1828:Y1828" si="2021">IF(ISBLANK(K1828)=TRUE,0,1)</f>
        <v>1</v>
      </c>
      <c r="U1828" s="13">
        <f t="shared" si="2021"/>
        <v>1</v>
      </c>
      <c r="V1828" s="13">
        <f t="shared" si="2021"/>
        <v>0</v>
      </c>
      <c r="W1828" s="13">
        <f t="shared" si="2021"/>
        <v>0</v>
      </c>
      <c r="X1828" s="13">
        <f t="shared" si="2021"/>
        <v>0</v>
      </c>
      <c r="Y1828" s="13">
        <f t="shared" si="2021"/>
        <v>0</v>
      </c>
      <c r="Z1828" s="13">
        <f t="shared" si="1998"/>
        <v>1</v>
      </c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</row>
    <row r="1829" ht="14.25" hidden="1" customHeight="1">
      <c r="A1829" s="13" t="s">
        <v>46</v>
      </c>
      <c r="B1829" s="13" t="s">
        <v>51</v>
      </c>
      <c r="C1829" s="13" t="s">
        <v>1101</v>
      </c>
      <c r="D1829" s="13" t="s">
        <v>174</v>
      </c>
      <c r="E1829" s="13" t="str">
        <f t="shared" si="1988"/>
        <v>RL5,D29,AA,1</v>
      </c>
      <c r="F1829" s="13"/>
      <c r="G1829" s="13" t="s">
        <v>111</v>
      </c>
      <c r="H1829" s="13" t="s">
        <v>75</v>
      </c>
      <c r="I1829" s="14">
        <v>44909.0</v>
      </c>
      <c r="J1829" s="14"/>
      <c r="K1829" s="15">
        <v>1.0</v>
      </c>
      <c r="L1829" s="15">
        <v>1.0</v>
      </c>
      <c r="M1829" s="16"/>
      <c r="N1829" s="16"/>
      <c r="O1829" s="17">
        <v>1.0</v>
      </c>
      <c r="P1829" s="17">
        <v>1.0</v>
      </c>
      <c r="Q1829" s="13"/>
      <c r="R1829" s="14"/>
      <c r="S1829" s="13"/>
      <c r="T1829" s="13">
        <f t="shared" ref="T1829:Y1829" si="2022">IF(ISBLANK(K1829)=TRUE,0,1)</f>
        <v>1</v>
      </c>
      <c r="U1829" s="13">
        <f t="shared" si="2022"/>
        <v>1</v>
      </c>
      <c r="V1829" s="13">
        <f t="shared" si="2022"/>
        <v>0</v>
      </c>
      <c r="W1829" s="13">
        <f t="shared" si="2022"/>
        <v>0</v>
      </c>
      <c r="X1829" s="13">
        <f t="shared" si="2022"/>
        <v>1</v>
      </c>
      <c r="Y1829" s="13">
        <f t="shared" si="2022"/>
        <v>1</v>
      </c>
      <c r="Z1829" s="13">
        <f t="shared" si="1998"/>
        <v>1</v>
      </c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</row>
    <row r="1830" ht="14.25" hidden="1" customHeight="1">
      <c r="A1830" s="13" t="s">
        <v>46</v>
      </c>
      <c r="B1830" s="13" t="s">
        <v>51</v>
      </c>
      <c r="C1830" s="13" t="s">
        <v>1102</v>
      </c>
      <c r="D1830" s="13" t="s">
        <v>174</v>
      </c>
      <c r="E1830" s="13" t="str">
        <f t="shared" si="1988"/>
        <v>RL5,D3,AA,0</v>
      </c>
      <c r="F1830" s="13"/>
      <c r="G1830" s="13" t="s">
        <v>111</v>
      </c>
      <c r="H1830" s="13" t="s">
        <v>75</v>
      </c>
      <c r="I1830" s="14">
        <v>44909.0</v>
      </c>
      <c r="J1830" s="14"/>
      <c r="K1830" s="15"/>
      <c r="L1830" s="15"/>
      <c r="M1830" s="16"/>
      <c r="N1830" s="16"/>
      <c r="O1830" s="17">
        <v>0.0</v>
      </c>
      <c r="P1830" s="17">
        <v>0.0</v>
      </c>
      <c r="Q1830" s="13"/>
      <c r="R1830" s="14"/>
      <c r="S1830" s="13"/>
      <c r="T1830" s="13">
        <f t="shared" ref="T1830:Y1830" si="2023">IF(ISBLANK(K1830)=TRUE,0,1)</f>
        <v>0</v>
      </c>
      <c r="U1830" s="13">
        <f t="shared" si="2023"/>
        <v>0</v>
      </c>
      <c r="V1830" s="13">
        <f t="shared" si="2023"/>
        <v>0</v>
      </c>
      <c r="W1830" s="13">
        <f t="shared" si="2023"/>
        <v>0</v>
      </c>
      <c r="X1830" s="13">
        <f t="shared" si="2023"/>
        <v>1</v>
      </c>
      <c r="Y1830" s="13">
        <f t="shared" si="2023"/>
        <v>1</v>
      </c>
      <c r="Z1830" s="13">
        <f t="shared" si="1998"/>
        <v>0</v>
      </c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</row>
    <row r="1831" ht="14.25" hidden="1" customHeight="1">
      <c r="A1831" s="13" t="s">
        <v>46</v>
      </c>
      <c r="B1831" s="13" t="s">
        <v>51</v>
      </c>
      <c r="C1831" s="13" t="s">
        <v>1103</v>
      </c>
      <c r="D1831" s="13" t="s">
        <v>174</v>
      </c>
      <c r="E1831" s="13" t="str">
        <f t="shared" si="1988"/>
        <v>RL5,D30,AA,1</v>
      </c>
      <c r="F1831" s="13"/>
      <c r="G1831" s="13" t="s">
        <v>111</v>
      </c>
      <c r="H1831" s="13" t="s">
        <v>75</v>
      </c>
      <c r="I1831" s="14"/>
      <c r="J1831" s="14"/>
      <c r="K1831" s="15">
        <v>1.0</v>
      </c>
      <c r="L1831" s="15">
        <v>1.0</v>
      </c>
      <c r="M1831" s="16"/>
      <c r="N1831" s="16"/>
      <c r="O1831" s="17">
        <v>1.0</v>
      </c>
      <c r="P1831" s="17">
        <v>1.0</v>
      </c>
      <c r="Q1831" s="13">
        <f>K1830+L1830+M1830+N1830+O1830+P1830/6</f>
        <v>0</v>
      </c>
      <c r="R1831" s="14"/>
      <c r="S1831" s="13"/>
      <c r="T1831" s="13">
        <f t="shared" ref="T1831:Y1831" si="2024">IF(ISBLANK(K1831)=TRUE,0,1)</f>
        <v>1</v>
      </c>
      <c r="U1831" s="13">
        <f t="shared" si="2024"/>
        <v>1</v>
      </c>
      <c r="V1831" s="13">
        <f t="shared" si="2024"/>
        <v>0</v>
      </c>
      <c r="W1831" s="13">
        <f t="shared" si="2024"/>
        <v>0</v>
      </c>
      <c r="X1831" s="13">
        <f t="shared" si="2024"/>
        <v>1</v>
      </c>
      <c r="Y1831" s="13">
        <f t="shared" si="2024"/>
        <v>1</v>
      </c>
      <c r="Z1831" s="13">
        <f t="shared" si="1998"/>
        <v>1</v>
      </c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</row>
    <row r="1832" ht="14.25" hidden="1" customHeight="1">
      <c r="A1832" s="13" t="s">
        <v>46</v>
      </c>
      <c r="B1832" s="13" t="s">
        <v>51</v>
      </c>
      <c r="C1832" s="13" t="s">
        <v>1104</v>
      </c>
      <c r="D1832" s="13" t="s">
        <v>174</v>
      </c>
      <c r="E1832" s="13" t="str">
        <f t="shared" si="1988"/>
        <v>RL5,D31,AA,1</v>
      </c>
      <c r="F1832" s="13"/>
      <c r="G1832" s="13" t="s">
        <v>111</v>
      </c>
      <c r="H1832" s="13" t="s">
        <v>75</v>
      </c>
      <c r="I1832" s="14">
        <v>44909.0</v>
      </c>
      <c r="J1832" s="14"/>
      <c r="K1832" s="15">
        <v>1.0</v>
      </c>
      <c r="L1832" s="15">
        <v>1.0</v>
      </c>
      <c r="M1832" s="16"/>
      <c r="N1832" s="16"/>
      <c r="O1832" s="17">
        <v>1.0</v>
      </c>
      <c r="P1832" s="17">
        <v>1.0</v>
      </c>
      <c r="Q1832" s="13"/>
      <c r="R1832" s="14"/>
      <c r="S1832" s="13"/>
      <c r="T1832" s="13">
        <f t="shared" ref="T1832:Y1832" si="2025">IF(ISBLANK(K1832)=TRUE,0,1)</f>
        <v>1</v>
      </c>
      <c r="U1832" s="13">
        <f t="shared" si="2025"/>
        <v>1</v>
      </c>
      <c r="V1832" s="13">
        <f t="shared" si="2025"/>
        <v>0</v>
      </c>
      <c r="W1832" s="13">
        <f t="shared" si="2025"/>
        <v>0</v>
      </c>
      <c r="X1832" s="13">
        <f t="shared" si="2025"/>
        <v>1</v>
      </c>
      <c r="Y1832" s="13">
        <f t="shared" si="2025"/>
        <v>1</v>
      </c>
      <c r="Z1832" s="13">
        <f t="shared" si="1998"/>
        <v>1</v>
      </c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</row>
    <row r="1833" ht="14.25" hidden="1" customHeight="1">
      <c r="A1833" s="13" t="s">
        <v>46</v>
      </c>
      <c r="B1833" s="13" t="s">
        <v>51</v>
      </c>
      <c r="C1833" s="13" t="s">
        <v>1105</v>
      </c>
      <c r="D1833" s="13" t="s">
        <v>174</v>
      </c>
      <c r="E1833" s="13" t="str">
        <f t="shared" si="1988"/>
        <v>RL5,D33,AA,1</v>
      </c>
      <c r="F1833" s="13"/>
      <c r="G1833" s="13" t="s">
        <v>111</v>
      </c>
      <c r="H1833" s="13" t="s">
        <v>75</v>
      </c>
      <c r="I1833" s="14">
        <v>44909.0</v>
      </c>
      <c r="J1833" s="14"/>
      <c r="K1833" s="15">
        <v>1.0</v>
      </c>
      <c r="L1833" s="15">
        <v>1.0</v>
      </c>
      <c r="M1833" s="16"/>
      <c r="N1833" s="16"/>
      <c r="O1833" s="17">
        <v>1.0</v>
      </c>
      <c r="P1833" s="17">
        <v>1.0</v>
      </c>
      <c r="Q1833" s="13"/>
      <c r="R1833" s="14"/>
      <c r="S1833" s="13"/>
      <c r="T1833" s="13">
        <f t="shared" ref="T1833:Y1833" si="2026">IF(ISBLANK(K1833)=TRUE,0,1)</f>
        <v>1</v>
      </c>
      <c r="U1833" s="13">
        <f t="shared" si="2026"/>
        <v>1</v>
      </c>
      <c r="V1833" s="13">
        <f t="shared" si="2026"/>
        <v>0</v>
      </c>
      <c r="W1833" s="13">
        <f t="shared" si="2026"/>
        <v>0</v>
      </c>
      <c r="X1833" s="13">
        <f t="shared" si="2026"/>
        <v>1</v>
      </c>
      <c r="Y1833" s="13">
        <f t="shared" si="2026"/>
        <v>1</v>
      </c>
      <c r="Z1833" s="13">
        <f t="shared" si="1998"/>
        <v>1</v>
      </c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</row>
    <row r="1834" ht="14.25" hidden="1" customHeight="1">
      <c r="A1834" s="13" t="s">
        <v>46</v>
      </c>
      <c r="B1834" s="13" t="s">
        <v>51</v>
      </c>
      <c r="C1834" s="13" t="s">
        <v>1106</v>
      </c>
      <c r="D1834" s="13" t="s">
        <v>174</v>
      </c>
      <c r="E1834" s="13" t="str">
        <f t="shared" si="1988"/>
        <v>RL5,D34,AA,1</v>
      </c>
      <c r="F1834" s="13"/>
      <c r="G1834" s="13" t="s">
        <v>111</v>
      </c>
      <c r="H1834" s="13" t="s">
        <v>75</v>
      </c>
      <c r="I1834" s="13"/>
      <c r="J1834" s="13"/>
      <c r="K1834" s="15">
        <v>1.0</v>
      </c>
      <c r="L1834" s="15">
        <v>1.0</v>
      </c>
      <c r="M1834" s="16"/>
      <c r="N1834" s="16"/>
      <c r="O1834" s="17"/>
      <c r="P1834" s="17"/>
      <c r="Q1834" s="13"/>
      <c r="R1834" s="13"/>
      <c r="S1834" s="13"/>
      <c r="T1834" s="13">
        <f t="shared" ref="T1834:Y1834" si="2027">IF(ISBLANK(K1834)=TRUE,0,1)</f>
        <v>1</v>
      </c>
      <c r="U1834" s="13">
        <f t="shared" si="2027"/>
        <v>1</v>
      </c>
      <c r="V1834" s="13">
        <f t="shared" si="2027"/>
        <v>0</v>
      </c>
      <c r="W1834" s="13">
        <f t="shared" si="2027"/>
        <v>0</v>
      </c>
      <c r="X1834" s="13">
        <f t="shared" si="2027"/>
        <v>0</v>
      </c>
      <c r="Y1834" s="13">
        <f t="shared" si="2027"/>
        <v>0</v>
      </c>
      <c r="Z1834" s="13">
        <f t="shared" si="1998"/>
        <v>1</v>
      </c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</row>
    <row r="1835" ht="14.25" hidden="1" customHeight="1">
      <c r="A1835" s="13" t="s">
        <v>46</v>
      </c>
      <c r="B1835" s="13" t="s">
        <v>51</v>
      </c>
      <c r="C1835" s="13" t="s">
        <v>1107</v>
      </c>
      <c r="D1835" s="13"/>
      <c r="E1835" s="13" t="str">
        <f t="shared" si="1988"/>
        <v>RL5,D36,,1</v>
      </c>
      <c r="F1835" s="13"/>
      <c r="G1835" s="13" t="s">
        <v>111</v>
      </c>
      <c r="H1835" s="13" t="s">
        <v>75</v>
      </c>
      <c r="I1835" s="14">
        <v>44908.0</v>
      </c>
      <c r="J1835" s="14"/>
      <c r="K1835" s="15">
        <v>1.0</v>
      </c>
      <c r="L1835" s="15">
        <v>1.0</v>
      </c>
      <c r="M1835" s="16"/>
      <c r="N1835" s="16"/>
      <c r="O1835" s="17"/>
      <c r="P1835" s="17"/>
      <c r="Q1835" s="13">
        <f>K1834+L1834+M1834+N1834+O1834+P1834/6</f>
        <v>2</v>
      </c>
      <c r="R1835" s="13"/>
      <c r="S1835" s="13"/>
      <c r="T1835" s="13">
        <f t="shared" ref="T1835:Y1835" si="2028">IF(ISBLANK(K1835)=TRUE,0,1)</f>
        <v>1</v>
      </c>
      <c r="U1835" s="13">
        <f t="shared" si="2028"/>
        <v>1</v>
      </c>
      <c r="V1835" s="13">
        <f t="shared" si="2028"/>
        <v>0</v>
      </c>
      <c r="W1835" s="13">
        <f t="shared" si="2028"/>
        <v>0</v>
      </c>
      <c r="X1835" s="13">
        <f t="shared" si="2028"/>
        <v>0</v>
      </c>
      <c r="Y1835" s="13">
        <f t="shared" si="2028"/>
        <v>0</v>
      </c>
      <c r="Z1835" s="13">
        <f t="shared" si="1998"/>
        <v>1</v>
      </c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</row>
    <row r="1836" ht="14.25" hidden="1" customHeight="1">
      <c r="A1836" s="13" t="s">
        <v>46</v>
      </c>
      <c r="B1836" s="13" t="s">
        <v>51</v>
      </c>
      <c r="C1836" s="13" t="s">
        <v>1107</v>
      </c>
      <c r="D1836" s="13" t="s">
        <v>174</v>
      </c>
      <c r="E1836" s="13" t="str">
        <f t="shared" si="1988"/>
        <v>RL5,D36,AA,1</v>
      </c>
      <c r="F1836" s="13"/>
      <c r="G1836" s="13" t="s">
        <v>111</v>
      </c>
      <c r="H1836" s="13" t="s">
        <v>75</v>
      </c>
      <c r="I1836" s="13"/>
      <c r="J1836" s="13"/>
      <c r="K1836" s="15">
        <v>1.0</v>
      </c>
      <c r="L1836" s="15">
        <v>1.0</v>
      </c>
      <c r="M1836" s="16"/>
      <c r="N1836" s="16"/>
      <c r="O1836" s="17"/>
      <c r="P1836" s="17"/>
      <c r="Q1836" s="13"/>
      <c r="R1836" s="13"/>
      <c r="S1836" s="13"/>
      <c r="T1836" s="13">
        <f t="shared" ref="T1836:Y1836" si="2029">IF(ISBLANK(K1836)=TRUE,0,1)</f>
        <v>1</v>
      </c>
      <c r="U1836" s="13">
        <f t="shared" si="2029"/>
        <v>1</v>
      </c>
      <c r="V1836" s="13">
        <f t="shared" si="2029"/>
        <v>0</v>
      </c>
      <c r="W1836" s="13">
        <f t="shared" si="2029"/>
        <v>0</v>
      </c>
      <c r="X1836" s="13">
        <f t="shared" si="2029"/>
        <v>0</v>
      </c>
      <c r="Y1836" s="13">
        <f t="shared" si="2029"/>
        <v>0</v>
      </c>
      <c r="Z1836" s="13">
        <f t="shared" si="1998"/>
        <v>1</v>
      </c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</row>
    <row r="1837" ht="14.25" hidden="1" customHeight="1">
      <c r="A1837" s="13" t="s">
        <v>46</v>
      </c>
      <c r="B1837" s="13" t="s">
        <v>51</v>
      </c>
      <c r="C1837" s="13" t="s">
        <v>1108</v>
      </c>
      <c r="D1837" s="13"/>
      <c r="E1837" s="13" t="str">
        <f t="shared" si="1988"/>
        <v>RL5,D37,,1</v>
      </c>
      <c r="F1837" s="13"/>
      <c r="G1837" s="13" t="s">
        <v>111</v>
      </c>
      <c r="H1837" s="13" t="s">
        <v>75</v>
      </c>
      <c r="I1837" s="14">
        <v>44908.0</v>
      </c>
      <c r="J1837" s="14"/>
      <c r="K1837" s="15">
        <v>1.0</v>
      </c>
      <c r="L1837" s="15">
        <v>1.0</v>
      </c>
      <c r="M1837" s="16"/>
      <c r="N1837" s="16"/>
      <c r="O1837" s="17"/>
      <c r="P1837" s="17"/>
      <c r="Q1837" s="13">
        <f>K1836+L1836+M1836+N1836+O1836+P1836/6</f>
        <v>2</v>
      </c>
      <c r="R1837" s="13"/>
      <c r="S1837" s="13"/>
      <c r="T1837" s="13">
        <f t="shared" ref="T1837:Y1837" si="2030">IF(ISBLANK(K1837)=TRUE,0,1)</f>
        <v>1</v>
      </c>
      <c r="U1837" s="13">
        <f t="shared" si="2030"/>
        <v>1</v>
      </c>
      <c r="V1837" s="13">
        <f t="shared" si="2030"/>
        <v>0</v>
      </c>
      <c r="W1837" s="13">
        <f t="shared" si="2030"/>
        <v>0</v>
      </c>
      <c r="X1837" s="13">
        <f t="shared" si="2030"/>
        <v>0</v>
      </c>
      <c r="Y1837" s="13">
        <f t="shared" si="2030"/>
        <v>0</v>
      </c>
      <c r="Z1837" s="13">
        <f t="shared" si="1998"/>
        <v>1</v>
      </c>
      <c r="AA1837" s="13" t="s">
        <v>378</v>
      </c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</row>
    <row r="1838" ht="14.25" hidden="1" customHeight="1">
      <c r="A1838" s="13" t="s">
        <v>46</v>
      </c>
      <c r="B1838" s="13" t="s">
        <v>51</v>
      </c>
      <c r="C1838" s="13" t="s">
        <v>1108</v>
      </c>
      <c r="D1838" s="13" t="s">
        <v>174</v>
      </c>
      <c r="E1838" s="13" t="str">
        <f t="shared" si="1988"/>
        <v>RL5,D37,AA,1</v>
      </c>
      <c r="F1838" s="13"/>
      <c r="G1838" s="13" t="s">
        <v>111</v>
      </c>
      <c r="H1838" s="13" t="s">
        <v>75</v>
      </c>
      <c r="I1838" s="13"/>
      <c r="J1838" s="13"/>
      <c r="K1838" s="15">
        <v>1.0</v>
      </c>
      <c r="L1838" s="15">
        <v>1.0</v>
      </c>
      <c r="M1838" s="16"/>
      <c r="N1838" s="16"/>
      <c r="O1838" s="17"/>
      <c r="P1838" s="17"/>
      <c r="Q1838" s="13"/>
      <c r="R1838" s="13"/>
      <c r="S1838" s="13"/>
      <c r="T1838" s="13">
        <f t="shared" ref="T1838:Y1838" si="2031">IF(ISBLANK(K1838)=TRUE,0,1)</f>
        <v>1</v>
      </c>
      <c r="U1838" s="13">
        <f t="shared" si="2031"/>
        <v>1</v>
      </c>
      <c r="V1838" s="13">
        <f t="shared" si="2031"/>
        <v>0</v>
      </c>
      <c r="W1838" s="13">
        <f t="shared" si="2031"/>
        <v>0</v>
      </c>
      <c r="X1838" s="13">
        <f t="shared" si="2031"/>
        <v>0</v>
      </c>
      <c r="Y1838" s="13">
        <f t="shared" si="2031"/>
        <v>0</v>
      </c>
      <c r="Z1838" s="13">
        <f t="shared" si="1998"/>
        <v>1</v>
      </c>
      <c r="AA1838" s="13" t="s">
        <v>378</v>
      </c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</row>
    <row r="1839" ht="14.25" hidden="1" customHeight="1">
      <c r="A1839" s="13" t="s">
        <v>46</v>
      </c>
      <c r="B1839" s="13" t="s">
        <v>51</v>
      </c>
      <c r="C1839" s="13" t="s">
        <v>1109</v>
      </c>
      <c r="D1839" s="13" t="s">
        <v>174</v>
      </c>
      <c r="E1839" s="13" t="str">
        <f t="shared" si="1988"/>
        <v>RL5,D38,AA,1</v>
      </c>
      <c r="F1839" s="13"/>
      <c r="G1839" s="13" t="s">
        <v>111</v>
      </c>
      <c r="H1839" s="13" t="s">
        <v>75</v>
      </c>
      <c r="I1839" s="14">
        <v>44909.0</v>
      </c>
      <c r="J1839" s="14"/>
      <c r="K1839" s="15">
        <v>1.0</v>
      </c>
      <c r="L1839" s="15">
        <v>1.0</v>
      </c>
      <c r="M1839" s="16"/>
      <c r="N1839" s="16"/>
      <c r="O1839" s="17">
        <v>1.0</v>
      </c>
      <c r="P1839" s="17">
        <v>1.0</v>
      </c>
      <c r="Q1839" s="13"/>
      <c r="R1839" s="13"/>
      <c r="S1839" s="13"/>
      <c r="T1839" s="13">
        <f t="shared" ref="T1839:Y1839" si="2032">IF(ISBLANK(K1839)=TRUE,0,1)</f>
        <v>1</v>
      </c>
      <c r="U1839" s="13">
        <f t="shared" si="2032"/>
        <v>1</v>
      </c>
      <c r="V1839" s="13">
        <f t="shared" si="2032"/>
        <v>0</v>
      </c>
      <c r="W1839" s="13">
        <f t="shared" si="2032"/>
        <v>0</v>
      </c>
      <c r="X1839" s="13">
        <f t="shared" si="2032"/>
        <v>1</v>
      </c>
      <c r="Y1839" s="13">
        <f t="shared" si="2032"/>
        <v>1</v>
      </c>
      <c r="Z1839" s="13">
        <f t="shared" si="1998"/>
        <v>1</v>
      </c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</row>
    <row r="1840" ht="14.25" hidden="1" customHeight="1">
      <c r="A1840" s="13" t="s">
        <v>46</v>
      </c>
      <c r="B1840" s="13" t="s">
        <v>51</v>
      </c>
      <c r="C1840" s="13" t="s">
        <v>1110</v>
      </c>
      <c r="D1840" s="13" t="s">
        <v>174</v>
      </c>
      <c r="E1840" s="13" t="str">
        <f t="shared" si="1988"/>
        <v>RL5,D4,AA,0</v>
      </c>
      <c r="F1840" s="13"/>
      <c r="G1840" s="13" t="s">
        <v>111</v>
      </c>
      <c r="H1840" s="13" t="s">
        <v>75</v>
      </c>
      <c r="I1840" s="14">
        <v>44909.0</v>
      </c>
      <c r="J1840" s="14"/>
      <c r="K1840" s="15"/>
      <c r="L1840" s="15"/>
      <c r="M1840" s="16"/>
      <c r="N1840" s="16"/>
      <c r="O1840" s="17">
        <v>0.0</v>
      </c>
      <c r="P1840" s="17">
        <v>0.0</v>
      </c>
      <c r="Q1840" s="13"/>
      <c r="R1840" s="14"/>
      <c r="S1840" s="13"/>
      <c r="T1840" s="13">
        <f t="shared" ref="T1840:Y1840" si="2033">IF(ISBLANK(K1840)=TRUE,0,1)</f>
        <v>0</v>
      </c>
      <c r="U1840" s="13">
        <f t="shared" si="2033"/>
        <v>0</v>
      </c>
      <c r="V1840" s="13">
        <f t="shared" si="2033"/>
        <v>0</v>
      </c>
      <c r="W1840" s="13">
        <f t="shared" si="2033"/>
        <v>0</v>
      </c>
      <c r="X1840" s="13">
        <f t="shared" si="2033"/>
        <v>1</v>
      </c>
      <c r="Y1840" s="13">
        <f t="shared" si="2033"/>
        <v>1</v>
      </c>
      <c r="Z1840" s="13">
        <f t="shared" si="1998"/>
        <v>0</v>
      </c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</row>
    <row r="1841" ht="14.25" hidden="1" customHeight="1">
      <c r="A1841" s="13" t="s">
        <v>46</v>
      </c>
      <c r="B1841" s="13" t="s">
        <v>51</v>
      </c>
      <c r="C1841" s="13" t="s">
        <v>1111</v>
      </c>
      <c r="D1841" s="13"/>
      <c r="E1841" s="13" t="str">
        <f t="shared" si="1988"/>
        <v>RL5,D46,,1</v>
      </c>
      <c r="F1841" s="13"/>
      <c r="G1841" s="13" t="s">
        <v>111</v>
      </c>
      <c r="H1841" s="13" t="s">
        <v>75</v>
      </c>
      <c r="I1841" s="14">
        <v>44917.0</v>
      </c>
      <c r="J1841" s="14"/>
      <c r="K1841" s="15">
        <v>1.0</v>
      </c>
      <c r="L1841" s="15">
        <v>1.0</v>
      </c>
      <c r="M1841" s="16"/>
      <c r="N1841" s="16"/>
      <c r="O1841" s="17">
        <v>1.0</v>
      </c>
      <c r="P1841" s="17">
        <v>1.0</v>
      </c>
      <c r="Q1841" s="13">
        <f t="shared" ref="Q1841:Q1852" si="2035">K1840+L1840+M1840+N1840+O1840+P1840/6</f>
        <v>0</v>
      </c>
      <c r="R1841" s="14">
        <v>44966.0</v>
      </c>
      <c r="S1841" s="13"/>
      <c r="T1841" s="13">
        <f t="shared" ref="T1841:Y1841" si="2034">IF(ISBLANK(K1841)=TRUE,0,1)</f>
        <v>1</v>
      </c>
      <c r="U1841" s="13">
        <f t="shared" si="2034"/>
        <v>1</v>
      </c>
      <c r="V1841" s="13">
        <f t="shared" si="2034"/>
        <v>0</v>
      </c>
      <c r="W1841" s="13">
        <f t="shared" si="2034"/>
        <v>0</v>
      </c>
      <c r="X1841" s="13">
        <f t="shared" si="2034"/>
        <v>1</v>
      </c>
      <c r="Y1841" s="13">
        <f t="shared" si="2034"/>
        <v>1</v>
      </c>
      <c r="Z1841" s="13">
        <f t="shared" si="1998"/>
        <v>1</v>
      </c>
      <c r="AA1841" s="13" t="s">
        <v>819</v>
      </c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</row>
    <row r="1842" ht="14.25" hidden="1" customHeight="1">
      <c r="A1842" s="13" t="s">
        <v>46</v>
      </c>
      <c r="B1842" s="13" t="s">
        <v>51</v>
      </c>
      <c r="C1842" s="13" t="s">
        <v>1112</v>
      </c>
      <c r="D1842" s="13"/>
      <c r="E1842" s="13" t="str">
        <f t="shared" si="1988"/>
        <v>RL5,D47,,1</v>
      </c>
      <c r="F1842" s="13"/>
      <c r="G1842" s="13" t="s">
        <v>111</v>
      </c>
      <c r="H1842" s="13" t="s">
        <v>75</v>
      </c>
      <c r="I1842" s="14">
        <v>44917.0</v>
      </c>
      <c r="J1842" s="14"/>
      <c r="K1842" s="15">
        <v>1.0</v>
      </c>
      <c r="L1842" s="15">
        <v>1.0</v>
      </c>
      <c r="M1842" s="16"/>
      <c r="N1842" s="16"/>
      <c r="O1842" s="17">
        <v>1.0</v>
      </c>
      <c r="P1842" s="17">
        <v>1.0</v>
      </c>
      <c r="Q1842" s="13">
        <f t="shared" si="2035"/>
        <v>3.166666667</v>
      </c>
      <c r="R1842" s="14">
        <v>44966.0</v>
      </c>
      <c r="S1842" s="13"/>
      <c r="T1842" s="13">
        <f t="shared" ref="T1842:Y1842" si="2036">IF(ISBLANK(K1842)=TRUE,0,1)</f>
        <v>1</v>
      </c>
      <c r="U1842" s="13">
        <f t="shared" si="2036"/>
        <v>1</v>
      </c>
      <c r="V1842" s="13">
        <f t="shared" si="2036"/>
        <v>0</v>
      </c>
      <c r="W1842" s="13">
        <f t="shared" si="2036"/>
        <v>0</v>
      </c>
      <c r="X1842" s="13">
        <f t="shared" si="2036"/>
        <v>1</v>
      </c>
      <c r="Y1842" s="13">
        <f t="shared" si="2036"/>
        <v>1</v>
      </c>
      <c r="Z1842" s="13">
        <f t="shared" si="1998"/>
        <v>1</v>
      </c>
      <c r="AA1842" s="13" t="s">
        <v>874</v>
      </c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</row>
    <row r="1843" ht="14.25" hidden="1" customHeight="1">
      <c r="A1843" s="13" t="s">
        <v>46</v>
      </c>
      <c r="B1843" s="13" t="s">
        <v>51</v>
      </c>
      <c r="C1843" s="13" t="s">
        <v>1113</v>
      </c>
      <c r="D1843" s="13"/>
      <c r="E1843" s="13" t="str">
        <f t="shared" si="1988"/>
        <v>RL5,D48,,1</v>
      </c>
      <c r="F1843" s="13"/>
      <c r="G1843" s="13" t="s">
        <v>111</v>
      </c>
      <c r="H1843" s="13" t="s">
        <v>75</v>
      </c>
      <c r="I1843" s="14">
        <v>44917.0</v>
      </c>
      <c r="J1843" s="14"/>
      <c r="K1843" s="15">
        <v>1.0</v>
      </c>
      <c r="L1843" s="15">
        <v>1.0</v>
      </c>
      <c r="M1843" s="16"/>
      <c r="N1843" s="16"/>
      <c r="O1843" s="17">
        <v>1.0</v>
      </c>
      <c r="P1843" s="17">
        <v>1.0</v>
      </c>
      <c r="Q1843" s="13">
        <f t="shared" si="2035"/>
        <v>3.166666667</v>
      </c>
      <c r="R1843" s="14">
        <v>44966.0</v>
      </c>
      <c r="S1843" s="13"/>
      <c r="T1843" s="13">
        <f t="shared" ref="T1843:Y1843" si="2037">IF(ISBLANK(K1843)=TRUE,0,1)</f>
        <v>1</v>
      </c>
      <c r="U1843" s="13">
        <f t="shared" si="2037"/>
        <v>1</v>
      </c>
      <c r="V1843" s="13">
        <f t="shared" si="2037"/>
        <v>0</v>
      </c>
      <c r="W1843" s="13">
        <f t="shared" si="2037"/>
        <v>0</v>
      </c>
      <c r="X1843" s="13">
        <f t="shared" si="2037"/>
        <v>1</v>
      </c>
      <c r="Y1843" s="13">
        <f t="shared" si="2037"/>
        <v>1</v>
      </c>
      <c r="Z1843" s="13">
        <f t="shared" si="1998"/>
        <v>1</v>
      </c>
      <c r="AA1843" s="13" t="s">
        <v>819</v>
      </c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</row>
    <row r="1844" ht="14.25" hidden="1" customHeight="1">
      <c r="A1844" s="13" t="s">
        <v>46</v>
      </c>
      <c r="B1844" s="13" t="s">
        <v>51</v>
      </c>
      <c r="C1844" s="13" t="s">
        <v>1114</v>
      </c>
      <c r="D1844" s="13"/>
      <c r="E1844" s="13" t="str">
        <f t="shared" si="1988"/>
        <v>RL5,D49,,1</v>
      </c>
      <c r="F1844" s="13"/>
      <c r="G1844" s="13" t="s">
        <v>111</v>
      </c>
      <c r="H1844" s="13" t="s">
        <v>75</v>
      </c>
      <c r="I1844" s="14">
        <v>44917.0</v>
      </c>
      <c r="J1844" s="14"/>
      <c r="K1844" s="15">
        <v>1.0</v>
      </c>
      <c r="L1844" s="15">
        <v>1.0</v>
      </c>
      <c r="M1844" s="16"/>
      <c r="N1844" s="16"/>
      <c r="O1844" s="17">
        <v>1.0</v>
      </c>
      <c r="P1844" s="17">
        <v>1.0</v>
      </c>
      <c r="Q1844" s="13">
        <f t="shared" si="2035"/>
        <v>3.166666667</v>
      </c>
      <c r="R1844" s="14">
        <v>44966.0</v>
      </c>
      <c r="S1844" s="13"/>
      <c r="T1844" s="13">
        <f t="shared" ref="T1844:Y1844" si="2038">IF(ISBLANK(K1844)=TRUE,0,1)</f>
        <v>1</v>
      </c>
      <c r="U1844" s="13">
        <f t="shared" si="2038"/>
        <v>1</v>
      </c>
      <c r="V1844" s="13">
        <f t="shared" si="2038"/>
        <v>0</v>
      </c>
      <c r="W1844" s="13">
        <f t="shared" si="2038"/>
        <v>0</v>
      </c>
      <c r="X1844" s="13">
        <f t="shared" si="2038"/>
        <v>1</v>
      </c>
      <c r="Y1844" s="13">
        <f t="shared" si="2038"/>
        <v>1</v>
      </c>
      <c r="Z1844" s="13">
        <f t="shared" si="1998"/>
        <v>1</v>
      </c>
      <c r="AA1844" s="13" t="s">
        <v>819</v>
      </c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</row>
    <row r="1845" ht="14.25" hidden="1" customHeight="1">
      <c r="A1845" s="13" t="s">
        <v>46</v>
      </c>
      <c r="B1845" s="13" t="s">
        <v>51</v>
      </c>
      <c r="C1845" s="13" t="s">
        <v>1115</v>
      </c>
      <c r="D1845" s="13" t="s">
        <v>174</v>
      </c>
      <c r="E1845" s="13" t="str">
        <f t="shared" si="1988"/>
        <v>RL5,D5,AA,0</v>
      </c>
      <c r="F1845" s="13"/>
      <c r="G1845" s="13" t="s">
        <v>111</v>
      </c>
      <c r="H1845" s="13" t="s">
        <v>75</v>
      </c>
      <c r="I1845" s="14">
        <v>44909.0</v>
      </c>
      <c r="J1845" s="14"/>
      <c r="K1845" s="15"/>
      <c r="L1845" s="15"/>
      <c r="M1845" s="16"/>
      <c r="N1845" s="16"/>
      <c r="O1845" s="17">
        <v>0.0</v>
      </c>
      <c r="P1845" s="17">
        <v>0.0</v>
      </c>
      <c r="Q1845" s="13">
        <f t="shared" si="2035"/>
        <v>3.166666667</v>
      </c>
      <c r="R1845" s="14">
        <v>44967.0</v>
      </c>
      <c r="S1845" s="13"/>
      <c r="T1845" s="13">
        <f t="shared" ref="T1845:Y1845" si="2039">IF(ISBLANK(K1845)=TRUE,0,1)</f>
        <v>0</v>
      </c>
      <c r="U1845" s="13">
        <f t="shared" si="2039"/>
        <v>0</v>
      </c>
      <c r="V1845" s="13">
        <f t="shared" si="2039"/>
        <v>0</v>
      </c>
      <c r="W1845" s="13">
        <f t="shared" si="2039"/>
        <v>0</v>
      </c>
      <c r="X1845" s="13">
        <f t="shared" si="2039"/>
        <v>1</v>
      </c>
      <c r="Y1845" s="13">
        <f t="shared" si="2039"/>
        <v>1</v>
      </c>
      <c r="Z1845" s="13">
        <f t="shared" si="1998"/>
        <v>0</v>
      </c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</row>
    <row r="1846" ht="14.25" hidden="1" customHeight="1">
      <c r="A1846" s="13" t="s">
        <v>46</v>
      </c>
      <c r="B1846" s="13" t="s">
        <v>51</v>
      </c>
      <c r="C1846" s="13" t="s">
        <v>1116</v>
      </c>
      <c r="D1846" s="13"/>
      <c r="E1846" s="13" t="str">
        <f t="shared" si="1988"/>
        <v>RL5,D50,,1</v>
      </c>
      <c r="F1846" s="13"/>
      <c r="G1846" s="13" t="s">
        <v>111</v>
      </c>
      <c r="H1846" s="13" t="s">
        <v>75</v>
      </c>
      <c r="I1846" s="14">
        <v>44917.0</v>
      </c>
      <c r="J1846" s="14"/>
      <c r="K1846" s="15">
        <v>1.0</v>
      </c>
      <c r="L1846" s="15">
        <v>1.0</v>
      </c>
      <c r="M1846" s="16"/>
      <c r="N1846" s="16"/>
      <c r="O1846" s="17">
        <v>1.0</v>
      </c>
      <c r="P1846" s="17">
        <v>1.0</v>
      </c>
      <c r="Q1846" s="13">
        <f t="shared" si="2035"/>
        <v>0</v>
      </c>
      <c r="R1846" s="14">
        <v>44966.0</v>
      </c>
      <c r="S1846" s="13"/>
      <c r="T1846" s="13">
        <f t="shared" ref="T1846:Y1846" si="2040">IF(ISBLANK(K1846)=TRUE,0,1)</f>
        <v>1</v>
      </c>
      <c r="U1846" s="13">
        <f t="shared" si="2040"/>
        <v>1</v>
      </c>
      <c r="V1846" s="13">
        <f t="shared" si="2040"/>
        <v>0</v>
      </c>
      <c r="W1846" s="13">
        <f t="shared" si="2040"/>
        <v>0</v>
      </c>
      <c r="X1846" s="13">
        <f t="shared" si="2040"/>
        <v>1</v>
      </c>
      <c r="Y1846" s="13">
        <f t="shared" si="2040"/>
        <v>1</v>
      </c>
      <c r="Z1846" s="13">
        <f t="shared" si="1998"/>
        <v>1</v>
      </c>
      <c r="AA1846" s="13" t="s">
        <v>874</v>
      </c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</row>
    <row r="1847" ht="14.25" hidden="1" customHeight="1">
      <c r="A1847" s="13" t="s">
        <v>46</v>
      </c>
      <c r="B1847" s="13" t="s">
        <v>51</v>
      </c>
      <c r="C1847" s="13" t="s">
        <v>1117</v>
      </c>
      <c r="D1847" s="13"/>
      <c r="E1847" s="13" t="str">
        <f t="shared" si="1988"/>
        <v>RL5,D51,,1</v>
      </c>
      <c r="F1847" s="13"/>
      <c r="G1847" s="13" t="s">
        <v>111</v>
      </c>
      <c r="H1847" s="13" t="s">
        <v>75</v>
      </c>
      <c r="I1847" s="14">
        <v>44917.0</v>
      </c>
      <c r="J1847" s="14"/>
      <c r="K1847" s="15">
        <v>1.0</v>
      </c>
      <c r="L1847" s="15">
        <v>1.0</v>
      </c>
      <c r="M1847" s="16"/>
      <c r="N1847" s="16"/>
      <c r="O1847" s="17">
        <v>1.0</v>
      </c>
      <c r="P1847" s="17">
        <v>1.0</v>
      </c>
      <c r="Q1847" s="13">
        <f t="shared" si="2035"/>
        <v>3.166666667</v>
      </c>
      <c r="R1847" s="14">
        <v>44966.0</v>
      </c>
      <c r="S1847" s="13"/>
      <c r="T1847" s="13">
        <f t="shared" ref="T1847:Y1847" si="2041">IF(ISBLANK(K1847)=TRUE,0,1)</f>
        <v>1</v>
      </c>
      <c r="U1847" s="13">
        <f t="shared" si="2041"/>
        <v>1</v>
      </c>
      <c r="V1847" s="13">
        <f t="shared" si="2041"/>
        <v>0</v>
      </c>
      <c r="W1847" s="13">
        <f t="shared" si="2041"/>
        <v>0</v>
      </c>
      <c r="X1847" s="13">
        <f t="shared" si="2041"/>
        <v>1</v>
      </c>
      <c r="Y1847" s="13">
        <f t="shared" si="2041"/>
        <v>1</v>
      </c>
      <c r="Z1847" s="13">
        <f t="shared" si="1998"/>
        <v>1</v>
      </c>
      <c r="AA1847" s="13" t="s">
        <v>819</v>
      </c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</row>
    <row r="1848" ht="14.25" hidden="1" customHeight="1">
      <c r="A1848" s="13" t="s">
        <v>46</v>
      </c>
      <c r="B1848" s="13" t="s">
        <v>51</v>
      </c>
      <c r="C1848" s="13" t="s">
        <v>1118</v>
      </c>
      <c r="D1848" s="13"/>
      <c r="E1848" s="13" t="str">
        <f t="shared" si="1988"/>
        <v>RL5,D52,,1</v>
      </c>
      <c r="F1848" s="13"/>
      <c r="G1848" s="13" t="s">
        <v>111</v>
      </c>
      <c r="H1848" s="13" t="s">
        <v>75</v>
      </c>
      <c r="I1848" s="14">
        <v>44917.0</v>
      </c>
      <c r="J1848" s="14"/>
      <c r="K1848" s="15">
        <v>1.0</v>
      </c>
      <c r="L1848" s="15">
        <v>1.0</v>
      </c>
      <c r="M1848" s="16"/>
      <c r="N1848" s="16"/>
      <c r="O1848" s="17">
        <v>1.0</v>
      </c>
      <c r="P1848" s="17">
        <v>1.0</v>
      </c>
      <c r="Q1848" s="13">
        <f t="shared" si="2035"/>
        <v>3.166666667</v>
      </c>
      <c r="R1848" s="14">
        <v>44966.0</v>
      </c>
      <c r="S1848" s="13"/>
      <c r="T1848" s="13">
        <f t="shared" ref="T1848:Y1848" si="2042">IF(ISBLANK(K1848)=TRUE,0,1)</f>
        <v>1</v>
      </c>
      <c r="U1848" s="13">
        <f t="shared" si="2042"/>
        <v>1</v>
      </c>
      <c r="V1848" s="13">
        <f t="shared" si="2042"/>
        <v>0</v>
      </c>
      <c r="W1848" s="13">
        <f t="shared" si="2042"/>
        <v>0</v>
      </c>
      <c r="X1848" s="13">
        <f t="shared" si="2042"/>
        <v>1</v>
      </c>
      <c r="Y1848" s="13">
        <f t="shared" si="2042"/>
        <v>1</v>
      </c>
      <c r="Z1848" s="13">
        <f t="shared" si="1998"/>
        <v>1</v>
      </c>
      <c r="AA1848" s="13" t="s">
        <v>819</v>
      </c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</row>
    <row r="1849" ht="14.25" hidden="1" customHeight="1">
      <c r="A1849" s="13" t="s">
        <v>46</v>
      </c>
      <c r="B1849" s="13" t="s">
        <v>51</v>
      </c>
      <c r="C1849" s="13" t="s">
        <v>1119</v>
      </c>
      <c r="D1849" s="13"/>
      <c r="E1849" s="13" t="str">
        <f t="shared" si="1988"/>
        <v>RL5,D54,,1</v>
      </c>
      <c r="F1849" s="13"/>
      <c r="G1849" s="13" t="s">
        <v>111</v>
      </c>
      <c r="H1849" s="13" t="s">
        <v>75</v>
      </c>
      <c r="I1849" s="14">
        <v>44917.0</v>
      </c>
      <c r="J1849" s="14"/>
      <c r="K1849" s="15">
        <v>1.0</v>
      </c>
      <c r="L1849" s="15">
        <v>1.0</v>
      </c>
      <c r="M1849" s="16"/>
      <c r="N1849" s="16"/>
      <c r="O1849" s="17">
        <v>1.0</v>
      </c>
      <c r="P1849" s="17">
        <v>1.0</v>
      </c>
      <c r="Q1849" s="13">
        <f t="shared" si="2035"/>
        <v>3.166666667</v>
      </c>
      <c r="R1849" s="14">
        <v>44966.0</v>
      </c>
      <c r="S1849" s="13"/>
      <c r="T1849" s="13">
        <f t="shared" ref="T1849:Y1849" si="2043">IF(ISBLANK(K1849)=TRUE,0,1)</f>
        <v>1</v>
      </c>
      <c r="U1849" s="13">
        <f t="shared" si="2043"/>
        <v>1</v>
      </c>
      <c r="V1849" s="13">
        <f t="shared" si="2043"/>
        <v>0</v>
      </c>
      <c r="W1849" s="13">
        <f t="shared" si="2043"/>
        <v>0</v>
      </c>
      <c r="X1849" s="13">
        <f t="shared" si="2043"/>
        <v>1</v>
      </c>
      <c r="Y1849" s="13">
        <f t="shared" si="2043"/>
        <v>1</v>
      </c>
      <c r="Z1849" s="13">
        <f t="shared" si="1998"/>
        <v>1</v>
      </c>
      <c r="AA1849" s="13" t="s">
        <v>819</v>
      </c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</row>
    <row r="1850" ht="14.25" hidden="1" customHeight="1">
      <c r="A1850" s="13" t="s">
        <v>46</v>
      </c>
      <c r="B1850" s="13" t="s">
        <v>51</v>
      </c>
      <c r="C1850" s="13" t="s">
        <v>1120</v>
      </c>
      <c r="D1850" s="13"/>
      <c r="E1850" s="13" t="str">
        <f t="shared" si="1988"/>
        <v>RL5,D55,,1</v>
      </c>
      <c r="F1850" s="13"/>
      <c r="G1850" s="13" t="s">
        <v>111</v>
      </c>
      <c r="H1850" s="13" t="s">
        <v>75</v>
      </c>
      <c r="I1850" s="14">
        <v>44917.0</v>
      </c>
      <c r="J1850" s="14"/>
      <c r="K1850" s="15"/>
      <c r="L1850" s="15"/>
      <c r="M1850" s="16"/>
      <c r="N1850" s="16"/>
      <c r="O1850" s="17">
        <v>1.0</v>
      </c>
      <c r="P1850" s="17">
        <v>1.0</v>
      </c>
      <c r="Q1850" s="13">
        <f t="shared" si="2035"/>
        <v>3.166666667</v>
      </c>
      <c r="R1850" s="14">
        <v>44966.0</v>
      </c>
      <c r="S1850" s="13"/>
      <c r="T1850" s="13">
        <f t="shared" ref="T1850:Y1850" si="2044">IF(ISBLANK(K1850)=TRUE,0,1)</f>
        <v>0</v>
      </c>
      <c r="U1850" s="13">
        <f t="shared" si="2044"/>
        <v>0</v>
      </c>
      <c r="V1850" s="13">
        <f t="shared" si="2044"/>
        <v>0</v>
      </c>
      <c r="W1850" s="13">
        <f t="shared" si="2044"/>
        <v>0</v>
      </c>
      <c r="X1850" s="13">
        <f t="shared" si="2044"/>
        <v>1</v>
      </c>
      <c r="Y1850" s="13">
        <f t="shared" si="2044"/>
        <v>1</v>
      </c>
      <c r="Z1850" s="13">
        <f t="shared" si="1998"/>
        <v>1</v>
      </c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</row>
    <row r="1851" ht="14.25" hidden="1" customHeight="1">
      <c r="A1851" s="13" t="s">
        <v>46</v>
      </c>
      <c r="B1851" s="13" t="s">
        <v>51</v>
      </c>
      <c r="C1851" s="13" t="s">
        <v>1120</v>
      </c>
      <c r="D1851" s="13" t="s">
        <v>174</v>
      </c>
      <c r="E1851" s="13" t="str">
        <f t="shared" si="1988"/>
        <v>RL5,D55,AA,1</v>
      </c>
      <c r="F1851" s="13"/>
      <c r="G1851" s="13" t="s">
        <v>111</v>
      </c>
      <c r="H1851" s="13" t="s">
        <v>75</v>
      </c>
      <c r="I1851" s="14"/>
      <c r="J1851" s="14"/>
      <c r="K1851" s="15"/>
      <c r="L1851" s="15"/>
      <c r="M1851" s="16"/>
      <c r="N1851" s="16"/>
      <c r="O1851" s="17">
        <v>1.0</v>
      </c>
      <c r="P1851" s="17">
        <v>1.0</v>
      </c>
      <c r="Q1851" s="13">
        <f t="shared" si="2035"/>
        <v>1.166666667</v>
      </c>
      <c r="R1851" s="14"/>
      <c r="S1851" s="13"/>
      <c r="T1851" s="13">
        <f t="shared" ref="T1851:Y1851" si="2045">IF(ISBLANK(K1851)=TRUE,0,1)</f>
        <v>0</v>
      </c>
      <c r="U1851" s="13">
        <f t="shared" si="2045"/>
        <v>0</v>
      </c>
      <c r="V1851" s="13">
        <f t="shared" si="2045"/>
        <v>0</v>
      </c>
      <c r="W1851" s="13">
        <f t="shared" si="2045"/>
        <v>0</v>
      </c>
      <c r="X1851" s="13">
        <f t="shared" si="2045"/>
        <v>1</v>
      </c>
      <c r="Y1851" s="13">
        <f t="shared" si="2045"/>
        <v>1</v>
      </c>
      <c r="Z1851" s="13">
        <f t="shared" si="1998"/>
        <v>1</v>
      </c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</row>
    <row r="1852" ht="14.25" hidden="1" customHeight="1">
      <c r="A1852" s="13" t="s">
        <v>46</v>
      </c>
      <c r="B1852" s="13" t="s">
        <v>51</v>
      </c>
      <c r="C1852" s="13" t="s">
        <v>1120</v>
      </c>
      <c r="D1852" s="13" t="s">
        <v>175</v>
      </c>
      <c r="E1852" s="13" t="str">
        <f t="shared" si="1988"/>
        <v>RL5,D55,AB,1</v>
      </c>
      <c r="F1852" s="13"/>
      <c r="G1852" s="13" t="s">
        <v>111</v>
      </c>
      <c r="H1852" s="13" t="s">
        <v>75</v>
      </c>
      <c r="I1852" s="14"/>
      <c r="J1852" s="14"/>
      <c r="K1852" s="15"/>
      <c r="L1852" s="15"/>
      <c r="M1852" s="16"/>
      <c r="N1852" s="16"/>
      <c r="O1852" s="17">
        <v>1.0</v>
      </c>
      <c r="P1852" s="17">
        <v>1.0</v>
      </c>
      <c r="Q1852" s="13">
        <f t="shared" si="2035"/>
        <v>1.166666667</v>
      </c>
      <c r="R1852" s="14"/>
      <c r="S1852" s="13"/>
      <c r="T1852" s="13">
        <f t="shared" ref="T1852:Y1852" si="2046">IF(ISBLANK(K1852)=TRUE,0,1)</f>
        <v>0</v>
      </c>
      <c r="U1852" s="13">
        <f t="shared" si="2046"/>
        <v>0</v>
      </c>
      <c r="V1852" s="13">
        <f t="shared" si="2046"/>
        <v>0</v>
      </c>
      <c r="W1852" s="13">
        <f t="shared" si="2046"/>
        <v>0</v>
      </c>
      <c r="X1852" s="13">
        <f t="shared" si="2046"/>
        <v>1</v>
      </c>
      <c r="Y1852" s="13">
        <f t="shared" si="2046"/>
        <v>1</v>
      </c>
      <c r="Z1852" s="13">
        <f t="shared" si="1998"/>
        <v>1</v>
      </c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</row>
    <row r="1853" ht="14.25" hidden="1" customHeight="1">
      <c r="A1853" s="13" t="s">
        <v>46</v>
      </c>
      <c r="B1853" s="13" t="s">
        <v>51</v>
      </c>
      <c r="C1853" s="13" t="s">
        <v>1121</v>
      </c>
      <c r="D1853" s="13"/>
      <c r="E1853" s="13" t="str">
        <f t="shared" si="1988"/>
        <v>RL5,D56,,1</v>
      </c>
      <c r="F1853" s="13"/>
      <c r="G1853" s="13" t="s">
        <v>111</v>
      </c>
      <c r="H1853" s="13" t="s">
        <v>75</v>
      </c>
      <c r="I1853" s="14">
        <v>44917.0</v>
      </c>
      <c r="J1853" s="14"/>
      <c r="K1853" s="15">
        <v>1.0</v>
      </c>
      <c r="L1853" s="15">
        <v>1.0</v>
      </c>
      <c r="M1853" s="16"/>
      <c r="N1853" s="16"/>
      <c r="O1853" s="17">
        <v>1.0</v>
      </c>
      <c r="P1853" s="17">
        <v>1.0</v>
      </c>
      <c r="Q1853" s="13">
        <f>K1850+L1850+M1850+N1850+O1850+P1850/6</f>
        <v>1.166666667</v>
      </c>
      <c r="R1853" s="14">
        <v>44966.0</v>
      </c>
      <c r="S1853" s="13"/>
      <c r="T1853" s="13">
        <f t="shared" ref="T1853:Y1853" si="2047">IF(ISBLANK(K1853)=TRUE,0,1)</f>
        <v>1</v>
      </c>
      <c r="U1853" s="13">
        <f t="shared" si="2047"/>
        <v>1</v>
      </c>
      <c r="V1853" s="13">
        <f t="shared" si="2047"/>
        <v>0</v>
      </c>
      <c r="W1853" s="13">
        <f t="shared" si="2047"/>
        <v>0</v>
      </c>
      <c r="X1853" s="13">
        <f t="shared" si="2047"/>
        <v>1</v>
      </c>
      <c r="Y1853" s="13">
        <f t="shared" si="2047"/>
        <v>1</v>
      </c>
      <c r="Z1853" s="13">
        <f t="shared" si="1998"/>
        <v>1</v>
      </c>
      <c r="AA1853" s="13" t="s">
        <v>874</v>
      </c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</row>
    <row r="1854" ht="14.25" hidden="1" customHeight="1">
      <c r="A1854" s="13" t="s">
        <v>46</v>
      </c>
      <c r="B1854" s="13" t="s">
        <v>51</v>
      </c>
      <c r="C1854" s="13" t="s">
        <v>1122</v>
      </c>
      <c r="D1854" s="13"/>
      <c r="E1854" s="13" t="str">
        <f t="shared" si="1988"/>
        <v>RL5,D57,,1</v>
      </c>
      <c r="F1854" s="13"/>
      <c r="G1854" s="13" t="s">
        <v>111</v>
      </c>
      <c r="H1854" s="13" t="s">
        <v>75</v>
      </c>
      <c r="I1854" s="14">
        <v>44917.0</v>
      </c>
      <c r="J1854" s="14"/>
      <c r="K1854" s="15">
        <v>1.0</v>
      </c>
      <c r="L1854" s="15">
        <v>1.0</v>
      </c>
      <c r="M1854" s="16"/>
      <c r="N1854" s="16"/>
      <c r="O1854" s="17">
        <v>1.0</v>
      </c>
      <c r="P1854" s="17">
        <v>1.0</v>
      </c>
      <c r="Q1854" s="13">
        <f t="shared" ref="Q1854:Q1856" si="2049">K1853+L1853+M1853+N1853+O1853+P1853/6</f>
        <v>3.166666667</v>
      </c>
      <c r="R1854" s="14">
        <v>44966.0</v>
      </c>
      <c r="S1854" s="13"/>
      <c r="T1854" s="13">
        <f t="shared" ref="T1854:Y1854" si="2048">IF(ISBLANK(K1854)=TRUE,0,1)</f>
        <v>1</v>
      </c>
      <c r="U1854" s="13">
        <f t="shared" si="2048"/>
        <v>1</v>
      </c>
      <c r="V1854" s="13">
        <f t="shared" si="2048"/>
        <v>0</v>
      </c>
      <c r="W1854" s="13">
        <f t="shared" si="2048"/>
        <v>0</v>
      </c>
      <c r="X1854" s="13">
        <f t="shared" si="2048"/>
        <v>1</v>
      </c>
      <c r="Y1854" s="13">
        <f t="shared" si="2048"/>
        <v>1</v>
      </c>
      <c r="Z1854" s="13">
        <f t="shared" si="1998"/>
        <v>1</v>
      </c>
      <c r="AA1854" s="13" t="s">
        <v>819</v>
      </c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</row>
    <row r="1855" ht="14.25" hidden="1" customHeight="1">
      <c r="A1855" s="13" t="s">
        <v>46</v>
      </c>
      <c r="B1855" s="13" t="s">
        <v>51</v>
      </c>
      <c r="C1855" s="13" t="s">
        <v>1123</v>
      </c>
      <c r="D1855" s="13"/>
      <c r="E1855" s="13" t="str">
        <f t="shared" si="1988"/>
        <v>RL5,D58,,1</v>
      </c>
      <c r="F1855" s="13"/>
      <c r="G1855" s="13" t="s">
        <v>111</v>
      </c>
      <c r="H1855" s="13" t="s">
        <v>75</v>
      </c>
      <c r="I1855" s="14">
        <v>44917.0</v>
      </c>
      <c r="J1855" s="14"/>
      <c r="K1855" s="15">
        <v>1.0</v>
      </c>
      <c r="L1855" s="15">
        <v>1.0</v>
      </c>
      <c r="M1855" s="16"/>
      <c r="N1855" s="16"/>
      <c r="O1855" s="17">
        <v>1.0</v>
      </c>
      <c r="P1855" s="17">
        <v>1.0</v>
      </c>
      <c r="Q1855" s="13">
        <f t="shared" si="2049"/>
        <v>3.166666667</v>
      </c>
      <c r="R1855" s="14">
        <v>44966.0</v>
      </c>
      <c r="S1855" s="13"/>
      <c r="T1855" s="13">
        <f t="shared" ref="T1855:Y1855" si="2050">IF(ISBLANK(K1855)=TRUE,0,1)</f>
        <v>1</v>
      </c>
      <c r="U1855" s="13">
        <f t="shared" si="2050"/>
        <v>1</v>
      </c>
      <c r="V1855" s="13">
        <f t="shared" si="2050"/>
        <v>0</v>
      </c>
      <c r="W1855" s="13">
        <f t="shared" si="2050"/>
        <v>0</v>
      </c>
      <c r="X1855" s="13">
        <f t="shared" si="2050"/>
        <v>1</v>
      </c>
      <c r="Y1855" s="13">
        <f t="shared" si="2050"/>
        <v>1</v>
      </c>
      <c r="Z1855" s="13">
        <f t="shared" si="1998"/>
        <v>1</v>
      </c>
      <c r="AA1855" s="13" t="s">
        <v>874</v>
      </c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</row>
    <row r="1856" ht="14.25" hidden="1" customHeight="1">
      <c r="A1856" s="13" t="s">
        <v>46</v>
      </c>
      <c r="B1856" s="13" t="s">
        <v>51</v>
      </c>
      <c r="C1856" s="13" t="s">
        <v>1124</v>
      </c>
      <c r="D1856" s="13"/>
      <c r="E1856" s="13" t="str">
        <f t="shared" si="1988"/>
        <v>RL5,D59,,1</v>
      </c>
      <c r="F1856" s="13"/>
      <c r="G1856" s="13" t="s">
        <v>111</v>
      </c>
      <c r="H1856" s="13" t="s">
        <v>75</v>
      </c>
      <c r="I1856" s="14">
        <v>44917.0</v>
      </c>
      <c r="J1856" s="14"/>
      <c r="K1856" s="15">
        <v>1.0</v>
      </c>
      <c r="L1856" s="15">
        <v>1.0</v>
      </c>
      <c r="M1856" s="16"/>
      <c r="N1856" s="16"/>
      <c r="O1856" s="17">
        <v>1.0</v>
      </c>
      <c r="P1856" s="17">
        <v>1.0</v>
      </c>
      <c r="Q1856" s="13">
        <f t="shared" si="2049"/>
        <v>3.166666667</v>
      </c>
      <c r="R1856" s="14">
        <v>44966.0</v>
      </c>
      <c r="S1856" s="13"/>
      <c r="T1856" s="13">
        <f t="shared" ref="T1856:Y1856" si="2051">IF(ISBLANK(K1856)=TRUE,0,1)</f>
        <v>1</v>
      </c>
      <c r="U1856" s="13">
        <f t="shared" si="2051"/>
        <v>1</v>
      </c>
      <c r="V1856" s="13">
        <f t="shared" si="2051"/>
        <v>0</v>
      </c>
      <c r="W1856" s="13">
        <f t="shared" si="2051"/>
        <v>0</v>
      </c>
      <c r="X1856" s="13">
        <f t="shared" si="2051"/>
        <v>1</v>
      </c>
      <c r="Y1856" s="13">
        <f t="shared" si="2051"/>
        <v>1</v>
      </c>
      <c r="Z1856" s="13">
        <f t="shared" si="1998"/>
        <v>1</v>
      </c>
      <c r="AA1856" s="13" t="s">
        <v>1071</v>
      </c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</row>
    <row r="1857" ht="14.25" hidden="1" customHeight="1">
      <c r="A1857" s="13" t="s">
        <v>46</v>
      </c>
      <c r="B1857" s="13" t="s">
        <v>51</v>
      </c>
      <c r="C1857" s="13" t="s">
        <v>1124</v>
      </c>
      <c r="D1857" s="13" t="s">
        <v>174</v>
      </c>
      <c r="E1857" s="13" t="str">
        <f t="shared" si="1988"/>
        <v>RL5,D59,AA,1</v>
      </c>
      <c r="F1857" s="13"/>
      <c r="G1857" s="13" t="s">
        <v>111</v>
      </c>
      <c r="H1857" s="13" t="s">
        <v>75</v>
      </c>
      <c r="I1857" s="14"/>
      <c r="J1857" s="14"/>
      <c r="K1857" s="15">
        <v>1.0</v>
      </c>
      <c r="L1857" s="15">
        <v>1.0</v>
      </c>
      <c r="M1857" s="16"/>
      <c r="N1857" s="16"/>
      <c r="O1857" s="17"/>
      <c r="P1857" s="17"/>
      <c r="Q1857" s="13"/>
      <c r="R1857" s="14"/>
      <c r="S1857" s="13"/>
      <c r="T1857" s="13">
        <f t="shared" ref="T1857:U1857" si="2052">IF(ISBLANK(K1857)=TRUE,0,1)</f>
        <v>1</v>
      </c>
      <c r="U1857" s="13">
        <f t="shared" si="2052"/>
        <v>1</v>
      </c>
      <c r="V1857" s="13"/>
      <c r="W1857" s="13"/>
      <c r="X1857" s="13"/>
      <c r="Y1857" s="13"/>
      <c r="Z1857" s="13">
        <f t="shared" si="1998"/>
        <v>1</v>
      </c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</row>
    <row r="1858" ht="14.25" hidden="1" customHeight="1">
      <c r="A1858" s="13" t="s">
        <v>46</v>
      </c>
      <c r="B1858" s="13" t="s">
        <v>51</v>
      </c>
      <c r="C1858" s="13" t="s">
        <v>1124</v>
      </c>
      <c r="D1858" s="13" t="s">
        <v>175</v>
      </c>
      <c r="E1858" s="13" t="str">
        <f t="shared" si="1988"/>
        <v>RL5,D59,AB,1</v>
      </c>
      <c r="F1858" s="13"/>
      <c r="G1858" s="13" t="s">
        <v>111</v>
      </c>
      <c r="H1858" s="13" t="s">
        <v>75</v>
      </c>
      <c r="I1858" s="14"/>
      <c r="J1858" s="14"/>
      <c r="K1858" s="15">
        <v>1.0</v>
      </c>
      <c r="L1858" s="15">
        <v>1.0</v>
      </c>
      <c r="M1858" s="16"/>
      <c r="N1858" s="16"/>
      <c r="O1858" s="17"/>
      <c r="P1858" s="17"/>
      <c r="Q1858" s="13"/>
      <c r="R1858" s="14"/>
      <c r="S1858" s="13"/>
      <c r="T1858" s="13">
        <f t="shared" ref="T1858:U1858" si="2053">IF(ISBLANK(K1858)=TRUE,0,1)</f>
        <v>1</v>
      </c>
      <c r="U1858" s="13">
        <f t="shared" si="2053"/>
        <v>1</v>
      </c>
      <c r="V1858" s="13"/>
      <c r="W1858" s="13"/>
      <c r="X1858" s="13"/>
      <c r="Y1858" s="13"/>
      <c r="Z1858" s="13">
        <f t="shared" si="1998"/>
        <v>1</v>
      </c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</row>
    <row r="1859" ht="14.25" hidden="1" customHeight="1">
      <c r="A1859" s="13" t="s">
        <v>46</v>
      </c>
      <c r="B1859" s="13" t="s">
        <v>51</v>
      </c>
      <c r="C1859" s="13" t="s">
        <v>1124</v>
      </c>
      <c r="D1859" s="13" t="s">
        <v>176</v>
      </c>
      <c r="E1859" s="13" t="str">
        <f t="shared" si="1988"/>
        <v>RL5,D59,AC,1</v>
      </c>
      <c r="F1859" s="13"/>
      <c r="G1859" s="13" t="s">
        <v>111</v>
      </c>
      <c r="H1859" s="13" t="s">
        <v>75</v>
      </c>
      <c r="I1859" s="14"/>
      <c r="J1859" s="14"/>
      <c r="K1859" s="15">
        <v>1.0</v>
      </c>
      <c r="L1859" s="15">
        <v>1.0</v>
      </c>
      <c r="M1859" s="16"/>
      <c r="N1859" s="16"/>
      <c r="O1859" s="17"/>
      <c r="P1859" s="17"/>
      <c r="Q1859" s="13"/>
      <c r="R1859" s="14"/>
      <c r="S1859" s="13"/>
      <c r="T1859" s="13">
        <f t="shared" ref="T1859:U1859" si="2054">IF(ISBLANK(K1859)=TRUE,0,1)</f>
        <v>1</v>
      </c>
      <c r="U1859" s="13">
        <f t="shared" si="2054"/>
        <v>1</v>
      </c>
      <c r="V1859" s="13"/>
      <c r="W1859" s="13"/>
      <c r="X1859" s="13"/>
      <c r="Y1859" s="13"/>
      <c r="Z1859" s="13">
        <f t="shared" si="1998"/>
        <v>1</v>
      </c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</row>
    <row r="1860" ht="14.25" hidden="1" customHeight="1">
      <c r="A1860" s="13" t="s">
        <v>46</v>
      </c>
      <c r="B1860" s="13" t="s">
        <v>51</v>
      </c>
      <c r="C1860" s="13" t="s">
        <v>1125</v>
      </c>
      <c r="D1860" s="13" t="s">
        <v>174</v>
      </c>
      <c r="E1860" s="13" t="str">
        <f t="shared" si="1988"/>
        <v>RL5,D6,AA,1</v>
      </c>
      <c r="F1860" s="13"/>
      <c r="G1860" s="13" t="s">
        <v>111</v>
      </c>
      <c r="H1860" s="13" t="s">
        <v>75</v>
      </c>
      <c r="I1860" s="13"/>
      <c r="J1860" s="13"/>
      <c r="K1860" s="15">
        <v>1.0</v>
      </c>
      <c r="L1860" s="15">
        <v>1.0</v>
      </c>
      <c r="M1860" s="16"/>
      <c r="N1860" s="16"/>
      <c r="O1860" s="17"/>
      <c r="P1860" s="17"/>
      <c r="Q1860" s="13"/>
      <c r="R1860" s="13"/>
      <c r="S1860" s="13"/>
      <c r="T1860" s="13">
        <f t="shared" ref="T1860:Y1860" si="2055">IF(ISBLANK(K1860)=TRUE,0,1)</f>
        <v>1</v>
      </c>
      <c r="U1860" s="13">
        <f t="shared" si="2055"/>
        <v>1</v>
      </c>
      <c r="V1860" s="13">
        <f t="shared" si="2055"/>
        <v>0</v>
      </c>
      <c r="W1860" s="13">
        <f t="shared" si="2055"/>
        <v>0</v>
      </c>
      <c r="X1860" s="13">
        <f t="shared" si="2055"/>
        <v>0</v>
      </c>
      <c r="Y1860" s="13">
        <f t="shared" si="2055"/>
        <v>0</v>
      </c>
      <c r="Z1860" s="13">
        <f t="shared" si="1998"/>
        <v>1</v>
      </c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</row>
    <row r="1861" ht="14.25" hidden="1" customHeight="1">
      <c r="A1861" s="13" t="s">
        <v>46</v>
      </c>
      <c r="B1861" s="13" t="s">
        <v>51</v>
      </c>
      <c r="C1861" s="13" t="s">
        <v>1126</v>
      </c>
      <c r="D1861" s="13"/>
      <c r="E1861" s="13" t="str">
        <f t="shared" si="1988"/>
        <v>RL5,D60,,1</v>
      </c>
      <c r="F1861" s="13"/>
      <c r="G1861" s="13" t="s">
        <v>111</v>
      </c>
      <c r="H1861" s="13" t="s">
        <v>75</v>
      </c>
      <c r="I1861" s="14">
        <v>44917.0</v>
      </c>
      <c r="J1861" s="14"/>
      <c r="K1861" s="15">
        <v>1.0</v>
      </c>
      <c r="L1861" s="15">
        <v>1.0</v>
      </c>
      <c r="M1861" s="16"/>
      <c r="N1861" s="16"/>
      <c r="O1861" s="17">
        <v>1.0</v>
      </c>
      <c r="P1861" s="17">
        <v>1.0</v>
      </c>
      <c r="Q1861" s="13">
        <f t="shared" ref="Q1861:Q1879" si="2057">K1860+L1860+M1860+N1860+O1860+P1860/6</f>
        <v>2</v>
      </c>
      <c r="R1861" s="14">
        <v>44966.0</v>
      </c>
      <c r="S1861" s="13"/>
      <c r="T1861" s="13">
        <f t="shared" ref="T1861:Y1861" si="2056">IF(ISBLANK(K1861)=TRUE,0,1)</f>
        <v>1</v>
      </c>
      <c r="U1861" s="13">
        <f t="shared" si="2056"/>
        <v>1</v>
      </c>
      <c r="V1861" s="13">
        <f t="shared" si="2056"/>
        <v>0</v>
      </c>
      <c r="W1861" s="13">
        <f t="shared" si="2056"/>
        <v>0</v>
      </c>
      <c r="X1861" s="13">
        <f t="shared" si="2056"/>
        <v>1</v>
      </c>
      <c r="Y1861" s="13">
        <f t="shared" si="2056"/>
        <v>1</v>
      </c>
      <c r="Z1861" s="13">
        <f t="shared" si="1998"/>
        <v>1</v>
      </c>
      <c r="AA1861" s="13" t="s">
        <v>819</v>
      </c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</row>
    <row r="1862" ht="14.25" hidden="1" customHeight="1">
      <c r="A1862" s="13" t="s">
        <v>46</v>
      </c>
      <c r="B1862" s="13" t="s">
        <v>51</v>
      </c>
      <c r="C1862" s="13" t="s">
        <v>1127</v>
      </c>
      <c r="D1862" s="13"/>
      <c r="E1862" s="13" t="str">
        <f t="shared" si="1988"/>
        <v>RL5,D61,,1</v>
      </c>
      <c r="F1862" s="13"/>
      <c r="G1862" s="13" t="s">
        <v>111</v>
      </c>
      <c r="H1862" s="13" t="s">
        <v>75</v>
      </c>
      <c r="I1862" s="14">
        <v>44917.0</v>
      </c>
      <c r="J1862" s="14"/>
      <c r="K1862" s="15">
        <v>1.0</v>
      </c>
      <c r="L1862" s="15">
        <v>1.0</v>
      </c>
      <c r="M1862" s="16"/>
      <c r="N1862" s="16"/>
      <c r="O1862" s="17">
        <v>1.0</v>
      </c>
      <c r="P1862" s="17">
        <v>1.0</v>
      </c>
      <c r="Q1862" s="13">
        <f t="shared" si="2057"/>
        <v>3.166666667</v>
      </c>
      <c r="R1862" s="14">
        <v>44966.0</v>
      </c>
      <c r="S1862" s="13"/>
      <c r="T1862" s="13">
        <f t="shared" ref="T1862:Y1862" si="2058">IF(ISBLANK(K1862)=TRUE,0,1)</f>
        <v>1</v>
      </c>
      <c r="U1862" s="13">
        <f t="shared" si="2058"/>
        <v>1</v>
      </c>
      <c r="V1862" s="13">
        <f t="shared" si="2058"/>
        <v>0</v>
      </c>
      <c r="W1862" s="13">
        <f t="shared" si="2058"/>
        <v>0</v>
      </c>
      <c r="X1862" s="13">
        <f t="shared" si="2058"/>
        <v>1</v>
      </c>
      <c r="Y1862" s="13">
        <f t="shared" si="2058"/>
        <v>1</v>
      </c>
      <c r="Z1862" s="13">
        <f t="shared" si="1998"/>
        <v>1</v>
      </c>
      <c r="AA1862" s="13" t="s">
        <v>819</v>
      </c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</row>
    <row r="1863" ht="14.25" hidden="1" customHeight="1">
      <c r="A1863" s="13" t="s">
        <v>46</v>
      </c>
      <c r="B1863" s="13" t="s">
        <v>51</v>
      </c>
      <c r="C1863" s="13" t="s">
        <v>1128</v>
      </c>
      <c r="D1863" s="13"/>
      <c r="E1863" s="13" t="str">
        <f t="shared" si="1988"/>
        <v>RL5,D62,,1</v>
      </c>
      <c r="F1863" s="13"/>
      <c r="G1863" s="13" t="s">
        <v>111</v>
      </c>
      <c r="H1863" s="13" t="s">
        <v>75</v>
      </c>
      <c r="I1863" s="14">
        <v>44917.0</v>
      </c>
      <c r="J1863" s="14"/>
      <c r="K1863" s="15">
        <v>1.0</v>
      </c>
      <c r="L1863" s="15">
        <v>1.0</v>
      </c>
      <c r="M1863" s="16"/>
      <c r="N1863" s="16"/>
      <c r="O1863" s="17">
        <v>1.0</v>
      </c>
      <c r="P1863" s="17">
        <v>1.0</v>
      </c>
      <c r="Q1863" s="13">
        <f t="shared" si="2057"/>
        <v>3.166666667</v>
      </c>
      <c r="R1863" s="14">
        <v>44966.0</v>
      </c>
      <c r="S1863" s="13"/>
      <c r="T1863" s="13">
        <f t="shared" ref="T1863:Y1863" si="2059">IF(ISBLANK(K1863)=TRUE,0,1)</f>
        <v>1</v>
      </c>
      <c r="U1863" s="13">
        <f t="shared" si="2059"/>
        <v>1</v>
      </c>
      <c r="V1863" s="13">
        <f t="shared" si="2059"/>
        <v>0</v>
      </c>
      <c r="W1863" s="13">
        <f t="shared" si="2059"/>
        <v>0</v>
      </c>
      <c r="X1863" s="13">
        <f t="shared" si="2059"/>
        <v>1</v>
      </c>
      <c r="Y1863" s="13">
        <f t="shared" si="2059"/>
        <v>1</v>
      </c>
      <c r="Z1863" s="13">
        <f t="shared" si="1998"/>
        <v>1</v>
      </c>
      <c r="AA1863" s="13" t="s">
        <v>874</v>
      </c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</row>
    <row r="1864" ht="14.25" hidden="1" customHeight="1">
      <c r="A1864" s="13" t="s">
        <v>46</v>
      </c>
      <c r="B1864" s="13" t="s">
        <v>51</v>
      </c>
      <c r="C1864" s="13" t="s">
        <v>1129</v>
      </c>
      <c r="D1864" s="13"/>
      <c r="E1864" s="13" t="str">
        <f t="shared" si="1988"/>
        <v>RL5,D63,,1</v>
      </c>
      <c r="F1864" s="13"/>
      <c r="G1864" s="13" t="s">
        <v>111</v>
      </c>
      <c r="H1864" s="13" t="s">
        <v>75</v>
      </c>
      <c r="I1864" s="14">
        <v>44917.0</v>
      </c>
      <c r="J1864" s="14"/>
      <c r="K1864" s="15">
        <v>1.0</v>
      </c>
      <c r="L1864" s="15">
        <v>1.0</v>
      </c>
      <c r="M1864" s="16"/>
      <c r="N1864" s="16"/>
      <c r="O1864" s="17">
        <v>1.0</v>
      </c>
      <c r="P1864" s="17">
        <v>1.0</v>
      </c>
      <c r="Q1864" s="13">
        <f t="shared" si="2057"/>
        <v>3.166666667</v>
      </c>
      <c r="R1864" s="14">
        <v>44966.0</v>
      </c>
      <c r="S1864" s="13"/>
      <c r="T1864" s="13">
        <f t="shared" ref="T1864:Y1864" si="2060">IF(ISBLANK(K1864)=TRUE,0,1)</f>
        <v>1</v>
      </c>
      <c r="U1864" s="13">
        <f t="shared" si="2060"/>
        <v>1</v>
      </c>
      <c r="V1864" s="13">
        <f t="shared" si="2060"/>
        <v>0</v>
      </c>
      <c r="W1864" s="13">
        <f t="shared" si="2060"/>
        <v>0</v>
      </c>
      <c r="X1864" s="13">
        <f t="shared" si="2060"/>
        <v>1</v>
      </c>
      <c r="Y1864" s="13">
        <f t="shared" si="2060"/>
        <v>1</v>
      </c>
      <c r="Z1864" s="13">
        <f t="shared" si="1998"/>
        <v>1</v>
      </c>
      <c r="AA1864" s="13" t="s">
        <v>819</v>
      </c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</row>
    <row r="1865" ht="14.25" hidden="1" customHeight="1">
      <c r="A1865" s="13" t="s">
        <v>46</v>
      </c>
      <c r="B1865" s="13" t="s">
        <v>51</v>
      </c>
      <c r="C1865" s="13" t="s">
        <v>1130</v>
      </c>
      <c r="D1865" s="13"/>
      <c r="E1865" s="13" t="str">
        <f t="shared" si="1988"/>
        <v>RL5,D64,,1</v>
      </c>
      <c r="F1865" s="13"/>
      <c r="G1865" s="13" t="s">
        <v>111</v>
      </c>
      <c r="H1865" s="13" t="s">
        <v>75</v>
      </c>
      <c r="I1865" s="14">
        <v>44917.0</v>
      </c>
      <c r="J1865" s="14"/>
      <c r="K1865" s="15">
        <v>1.0</v>
      </c>
      <c r="L1865" s="15">
        <v>1.0</v>
      </c>
      <c r="M1865" s="16"/>
      <c r="N1865" s="16"/>
      <c r="O1865" s="17">
        <v>1.0</v>
      </c>
      <c r="P1865" s="17">
        <v>1.0</v>
      </c>
      <c r="Q1865" s="13">
        <f t="shared" si="2057"/>
        <v>3.166666667</v>
      </c>
      <c r="R1865" s="14">
        <v>44966.0</v>
      </c>
      <c r="S1865" s="13"/>
      <c r="T1865" s="13">
        <f t="shared" ref="T1865:Y1865" si="2061">IF(ISBLANK(K1865)=TRUE,0,1)</f>
        <v>1</v>
      </c>
      <c r="U1865" s="13">
        <f t="shared" si="2061"/>
        <v>1</v>
      </c>
      <c r="V1865" s="13">
        <f t="shared" si="2061"/>
        <v>0</v>
      </c>
      <c r="W1865" s="13">
        <f t="shared" si="2061"/>
        <v>0</v>
      </c>
      <c r="X1865" s="13">
        <f t="shared" si="2061"/>
        <v>1</v>
      </c>
      <c r="Y1865" s="13">
        <f t="shared" si="2061"/>
        <v>1</v>
      </c>
      <c r="Z1865" s="13">
        <f t="shared" si="1998"/>
        <v>1</v>
      </c>
      <c r="AA1865" s="13" t="s">
        <v>874</v>
      </c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</row>
    <row r="1866" ht="14.25" hidden="1" customHeight="1">
      <c r="A1866" s="13" t="s">
        <v>46</v>
      </c>
      <c r="B1866" s="13" t="s">
        <v>51</v>
      </c>
      <c r="C1866" s="13" t="s">
        <v>1131</v>
      </c>
      <c r="D1866" s="13"/>
      <c r="E1866" s="13" t="str">
        <f t="shared" si="1988"/>
        <v>RL5,D65,,1</v>
      </c>
      <c r="F1866" s="13"/>
      <c r="G1866" s="13" t="s">
        <v>111</v>
      </c>
      <c r="H1866" s="13" t="s">
        <v>75</v>
      </c>
      <c r="I1866" s="14">
        <v>44917.0</v>
      </c>
      <c r="J1866" s="14"/>
      <c r="K1866" s="15">
        <v>1.0</v>
      </c>
      <c r="L1866" s="15">
        <v>1.0</v>
      </c>
      <c r="M1866" s="16"/>
      <c r="N1866" s="16"/>
      <c r="O1866" s="17">
        <v>1.0</v>
      </c>
      <c r="P1866" s="17">
        <v>1.0</v>
      </c>
      <c r="Q1866" s="13">
        <f t="shared" si="2057"/>
        <v>3.166666667</v>
      </c>
      <c r="R1866" s="14">
        <v>44966.0</v>
      </c>
      <c r="S1866" s="13"/>
      <c r="T1866" s="13">
        <f t="shared" ref="T1866:Y1866" si="2062">IF(ISBLANK(K1866)=TRUE,0,1)</f>
        <v>1</v>
      </c>
      <c r="U1866" s="13">
        <f t="shared" si="2062"/>
        <v>1</v>
      </c>
      <c r="V1866" s="13">
        <f t="shared" si="2062"/>
        <v>0</v>
      </c>
      <c r="W1866" s="13">
        <f t="shared" si="2062"/>
        <v>0</v>
      </c>
      <c r="X1866" s="13">
        <f t="shared" si="2062"/>
        <v>1</v>
      </c>
      <c r="Y1866" s="13">
        <f t="shared" si="2062"/>
        <v>1</v>
      </c>
      <c r="Z1866" s="13">
        <f t="shared" si="1998"/>
        <v>1</v>
      </c>
      <c r="AA1866" s="13" t="s">
        <v>874</v>
      </c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</row>
    <row r="1867" ht="14.25" hidden="1" customHeight="1">
      <c r="A1867" s="13" t="s">
        <v>46</v>
      </c>
      <c r="B1867" s="13" t="s">
        <v>51</v>
      </c>
      <c r="C1867" s="13" t="s">
        <v>1132</v>
      </c>
      <c r="D1867" s="13"/>
      <c r="E1867" s="13" t="str">
        <f t="shared" si="1988"/>
        <v>RL5,D66,,1</v>
      </c>
      <c r="F1867" s="13"/>
      <c r="G1867" s="13" t="s">
        <v>111</v>
      </c>
      <c r="H1867" s="13" t="s">
        <v>75</v>
      </c>
      <c r="I1867" s="14">
        <v>44917.0</v>
      </c>
      <c r="J1867" s="14"/>
      <c r="K1867" s="15">
        <v>1.0</v>
      </c>
      <c r="L1867" s="15">
        <v>1.0</v>
      </c>
      <c r="M1867" s="16"/>
      <c r="N1867" s="16"/>
      <c r="O1867" s="17">
        <v>1.0</v>
      </c>
      <c r="P1867" s="17">
        <v>1.0</v>
      </c>
      <c r="Q1867" s="13">
        <f t="shared" si="2057"/>
        <v>3.166666667</v>
      </c>
      <c r="R1867" s="14">
        <v>44966.0</v>
      </c>
      <c r="S1867" s="13"/>
      <c r="T1867" s="13">
        <f t="shared" ref="T1867:Y1867" si="2063">IF(ISBLANK(K1867)=TRUE,0,1)</f>
        <v>1</v>
      </c>
      <c r="U1867" s="13">
        <f t="shared" si="2063"/>
        <v>1</v>
      </c>
      <c r="V1867" s="13">
        <f t="shared" si="2063"/>
        <v>0</v>
      </c>
      <c r="W1867" s="13">
        <f t="shared" si="2063"/>
        <v>0</v>
      </c>
      <c r="X1867" s="13">
        <f t="shared" si="2063"/>
        <v>1</v>
      </c>
      <c r="Y1867" s="13">
        <f t="shared" si="2063"/>
        <v>1</v>
      </c>
      <c r="Z1867" s="13">
        <f t="shared" si="1998"/>
        <v>1</v>
      </c>
      <c r="AA1867" s="13" t="s">
        <v>874</v>
      </c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</row>
    <row r="1868" ht="14.25" hidden="1" customHeight="1">
      <c r="A1868" s="13" t="s">
        <v>46</v>
      </c>
      <c r="B1868" s="13" t="s">
        <v>51</v>
      </c>
      <c r="C1868" s="13" t="s">
        <v>1133</v>
      </c>
      <c r="D1868" s="13"/>
      <c r="E1868" s="13" t="str">
        <f t="shared" si="1988"/>
        <v>RL5,D67,,1</v>
      </c>
      <c r="F1868" s="13"/>
      <c r="G1868" s="13" t="s">
        <v>111</v>
      </c>
      <c r="H1868" s="13" t="s">
        <v>75</v>
      </c>
      <c r="I1868" s="14">
        <v>44917.0</v>
      </c>
      <c r="J1868" s="14"/>
      <c r="K1868" s="15">
        <v>1.0</v>
      </c>
      <c r="L1868" s="15">
        <v>1.0</v>
      </c>
      <c r="M1868" s="16"/>
      <c r="N1868" s="16"/>
      <c r="O1868" s="17">
        <v>1.0</v>
      </c>
      <c r="P1868" s="17">
        <v>1.0</v>
      </c>
      <c r="Q1868" s="13">
        <f t="shared" si="2057"/>
        <v>3.166666667</v>
      </c>
      <c r="R1868" s="14">
        <v>44966.0</v>
      </c>
      <c r="S1868" s="13"/>
      <c r="T1868" s="13">
        <f t="shared" ref="T1868:Y1868" si="2064">IF(ISBLANK(K1868)=TRUE,0,1)</f>
        <v>1</v>
      </c>
      <c r="U1868" s="13">
        <f t="shared" si="2064"/>
        <v>1</v>
      </c>
      <c r="V1868" s="13">
        <f t="shared" si="2064"/>
        <v>0</v>
      </c>
      <c r="W1868" s="13">
        <f t="shared" si="2064"/>
        <v>0</v>
      </c>
      <c r="X1868" s="13">
        <f t="shared" si="2064"/>
        <v>1</v>
      </c>
      <c r="Y1868" s="13">
        <f t="shared" si="2064"/>
        <v>1</v>
      </c>
      <c r="Z1868" s="13">
        <f t="shared" si="1998"/>
        <v>1</v>
      </c>
      <c r="AA1868" s="13" t="s">
        <v>819</v>
      </c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</row>
    <row r="1869" ht="14.25" hidden="1" customHeight="1">
      <c r="A1869" s="13" t="s">
        <v>46</v>
      </c>
      <c r="B1869" s="13" t="s">
        <v>51</v>
      </c>
      <c r="C1869" s="13" t="s">
        <v>1134</v>
      </c>
      <c r="D1869" s="13"/>
      <c r="E1869" s="13" t="str">
        <f t="shared" si="1988"/>
        <v>RL5,D68,,1</v>
      </c>
      <c r="F1869" s="13"/>
      <c r="G1869" s="13" t="s">
        <v>111</v>
      </c>
      <c r="H1869" s="13" t="s">
        <v>75</v>
      </c>
      <c r="I1869" s="14">
        <v>44917.0</v>
      </c>
      <c r="J1869" s="14"/>
      <c r="K1869" s="15">
        <v>1.0</v>
      </c>
      <c r="L1869" s="15">
        <v>1.0</v>
      </c>
      <c r="M1869" s="16"/>
      <c r="N1869" s="16"/>
      <c r="O1869" s="17">
        <v>1.0</v>
      </c>
      <c r="P1869" s="17">
        <v>1.0</v>
      </c>
      <c r="Q1869" s="13">
        <f t="shared" si="2057"/>
        <v>3.166666667</v>
      </c>
      <c r="R1869" s="14">
        <v>44966.0</v>
      </c>
      <c r="S1869" s="13"/>
      <c r="T1869" s="13">
        <f t="shared" ref="T1869:Y1869" si="2065">IF(ISBLANK(K1869)=TRUE,0,1)</f>
        <v>1</v>
      </c>
      <c r="U1869" s="13">
        <f t="shared" si="2065"/>
        <v>1</v>
      </c>
      <c r="V1869" s="13">
        <f t="shared" si="2065"/>
        <v>0</v>
      </c>
      <c r="W1869" s="13">
        <f t="shared" si="2065"/>
        <v>0</v>
      </c>
      <c r="X1869" s="13">
        <f t="shared" si="2065"/>
        <v>1</v>
      </c>
      <c r="Y1869" s="13">
        <f t="shared" si="2065"/>
        <v>1</v>
      </c>
      <c r="Z1869" s="13">
        <f t="shared" si="1998"/>
        <v>1</v>
      </c>
      <c r="AA1869" s="13" t="s">
        <v>874</v>
      </c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</row>
    <row r="1870" ht="14.25" hidden="1" customHeight="1">
      <c r="A1870" s="13" t="s">
        <v>46</v>
      </c>
      <c r="B1870" s="13" t="s">
        <v>51</v>
      </c>
      <c r="C1870" s="13" t="s">
        <v>1135</v>
      </c>
      <c r="D1870" s="13"/>
      <c r="E1870" s="13" t="str">
        <f t="shared" si="1988"/>
        <v>RL5,D69,,1</v>
      </c>
      <c r="F1870" s="13"/>
      <c r="G1870" s="13" t="s">
        <v>111</v>
      </c>
      <c r="H1870" s="13" t="s">
        <v>75</v>
      </c>
      <c r="I1870" s="14">
        <v>44917.0</v>
      </c>
      <c r="J1870" s="14"/>
      <c r="K1870" s="15">
        <v>1.0</v>
      </c>
      <c r="L1870" s="15">
        <v>1.0</v>
      </c>
      <c r="M1870" s="16"/>
      <c r="N1870" s="16"/>
      <c r="O1870" s="17">
        <v>1.0</v>
      </c>
      <c r="P1870" s="17">
        <v>1.0</v>
      </c>
      <c r="Q1870" s="13">
        <f t="shared" si="2057"/>
        <v>3.166666667</v>
      </c>
      <c r="R1870" s="14">
        <v>44966.0</v>
      </c>
      <c r="S1870" s="13"/>
      <c r="T1870" s="13">
        <f t="shared" ref="T1870:Y1870" si="2066">IF(ISBLANK(K1870)=TRUE,0,1)</f>
        <v>1</v>
      </c>
      <c r="U1870" s="13">
        <f t="shared" si="2066"/>
        <v>1</v>
      </c>
      <c r="V1870" s="13">
        <f t="shared" si="2066"/>
        <v>0</v>
      </c>
      <c r="W1870" s="13">
        <f t="shared" si="2066"/>
        <v>0</v>
      </c>
      <c r="X1870" s="13">
        <f t="shared" si="2066"/>
        <v>1</v>
      </c>
      <c r="Y1870" s="13">
        <f t="shared" si="2066"/>
        <v>1</v>
      </c>
      <c r="Z1870" s="13">
        <f t="shared" si="1998"/>
        <v>1</v>
      </c>
      <c r="AA1870" s="13" t="s">
        <v>1071</v>
      </c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</row>
    <row r="1871" ht="14.25" hidden="1" customHeight="1">
      <c r="A1871" s="13" t="s">
        <v>46</v>
      </c>
      <c r="B1871" s="13" t="s">
        <v>51</v>
      </c>
      <c r="C1871" s="13" t="s">
        <v>1135</v>
      </c>
      <c r="D1871" s="13" t="s">
        <v>174</v>
      </c>
      <c r="E1871" s="13" t="str">
        <f t="shared" si="1988"/>
        <v>RL5,D69,AA,1</v>
      </c>
      <c r="F1871" s="13"/>
      <c r="G1871" s="13" t="s">
        <v>111</v>
      </c>
      <c r="H1871" s="13" t="s">
        <v>75</v>
      </c>
      <c r="I1871" s="14"/>
      <c r="J1871" s="14"/>
      <c r="K1871" s="15">
        <v>1.0</v>
      </c>
      <c r="L1871" s="15">
        <v>1.0</v>
      </c>
      <c r="M1871" s="16"/>
      <c r="N1871" s="16"/>
      <c r="O1871" s="17">
        <v>1.0</v>
      </c>
      <c r="P1871" s="17">
        <v>1.0</v>
      </c>
      <c r="Q1871" s="13">
        <f t="shared" si="2057"/>
        <v>3.166666667</v>
      </c>
      <c r="R1871" s="14"/>
      <c r="S1871" s="13"/>
      <c r="T1871" s="13">
        <f t="shared" ref="T1871:Y1871" si="2067">IF(ISBLANK(K1871)=TRUE,0,1)</f>
        <v>1</v>
      </c>
      <c r="U1871" s="13">
        <f t="shared" si="2067"/>
        <v>1</v>
      </c>
      <c r="V1871" s="13">
        <f t="shared" si="2067"/>
        <v>0</v>
      </c>
      <c r="W1871" s="13">
        <f t="shared" si="2067"/>
        <v>0</v>
      </c>
      <c r="X1871" s="13">
        <f t="shared" si="2067"/>
        <v>1</v>
      </c>
      <c r="Y1871" s="13">
        <f t="shared" si="2067"/>
        <v>1</v>
      </c>
      <c r="Z1871" s="13">
        <f t="shared" si="1998"/>
        <v>1</v>
      </c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</row>
    <row r="1872" ht="14.25" hidden="1" customHeight="1">
      <c r="A1872" s="13" t="s">
        <v>46</v>
      </c>
      <c r="B1872" s="13" t="s">
        <v>51</v>
      </c>
      <c r="C1872" s="13" t="s">
        <v>1136</v>
      </c>
      <c r="D1872" s="13"/>
      <c r="E1872" s="13" t="str">
        <f t="shared" si="1988"/>
        <v>RL5,D70,,1</v>
      </c>
      <c r="F1872" s="13"/>
      <c r="G1872" s="13" t="s">
        <v>111</v>
      </c>
      <c r="H1872" s="13" t="s">
        <v>75</v>
      </c>
      <c r="I1872" s="14">
        <v>44917.0</v>
      </c>
      <c r="J1872" s="14"/>
      <c r="K1872" s="15">
        <v>1.0</v>
      </c>
      <c r="L1872" s="15">
        <v>1.0</v>
      </c>
      <c r="M1872" s="16"/>
      <c r="N1872" s="16"/>
      <c r="O1872" s="17">
        <v>1.0</v>
      </c>
      <c r="P1872" s="17">
        <v>1.0</v>
      </c>
      <c r="Q1872" s="13">
        <f t="shared" si="2057"/>
        <v>3.166666667</v>
      </c>
      <c r="R1872" s="14">
        <v>44966.0</v>
      </c>
      <c r="S1872" s="13"/>
      <c r="T1872" s="13">
        <f t="shared" ref="T1872:Y1872" si="2068">IF(ISBLANK(K1872)=TRUE,0,1)</f>
        <v>1</v>
      </c>
      <c r="U1872" s="13">
        <f t="shared" si="2068"/>
        <v>1</v>
      </c>
      <c r="V1872" s="13">
        <f t="shared" si="2068"/>
        <v>0</v>
      </c>
      <c r="W1872" s="13">
        <f t="shared" si="2068"/>
        <v>0</v>
      </c>
      <c r="X1872" s="13">
        <f t="shared" si="2068"/>
        <v>1</v>
      </c>
      <c r="Y1872" s="13">
        <f t="shared" si="2068"/>
        <v>1</v>
      </c>
      <c r="Z1872" s="13">
        <f t="shared" si="1998"/>
        <v>1</v>
      </c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</row>
    <row r="1873" ht="14.25" hidden="1" customHeight="1">
      <c r="A1873" s="13" t="s">
        <v>46</v>
      </c>
      <c r="B1873" s="13" t="s">
        <v>51</v>
      </c>
      <c r="C1873" s="13" t="s">
        <v>1137</v>
      </c>
      <c r="D1873" s="13"/>
      <c r="E1873" s="13" t="str">
        <f t="shared" si="1988"/>
        <v>RL5,D71,,1</v>
      </c>
      <c r="F1873" s="13"/>
      <c r="G1873" s="13" t="s">
        <v>111</v>
      </c>
      <c r="H1873" s="13" t="s">
        <v>75</v>
      </c>
      <c r="I1873" s="14">
        <v>44917.0</v>
      </c>
      <c r="J1873" s="14"/>
      <c r="K1873" s="15">
        <v>1.0</v>
      </c>
      <c r="L1873" s="15">
        <v>1.0</v>
      </c>
      <c r="M1873" s="16"/>
      <c r="N1873" s="16"/>
      <c r="O1873" s="17">
        <v>1.0</v>
      </c>
      <c r="P1873" s="17">
        <v>1.0</v>
      </c>
      <c r="Q1873" s="13">
        <f t="shared" si="2057"/>
        <v>3.166666667</v>
      </c>
      <c r="R1873" s="14">
        <v>44966.0</v>
      </c>
      <c r="S1873" s="13"/>
      <c r="T1873" s="13">
        <f t="shared" ref="T1873:Y1873" si="2069">IF(ISBLANK(K1873)=TRUE,0,1)</f>
        <v>1</v>
      </c>
      <c r="U1873" s="13">
        <f t="shared" si="2069"/>
        <v>1</v>
      </c>
      <c r="V1873" s="13">
        <f t="shared" si="2069"/>
        <v>0</v>
      </c>
      <c r="W1873" s="13">
        <f t="shared" si="2069"/>
        <v>0</v>
      </c>
      <c r="X1873" s="13">
        <f t="shared" si="2069"/>
        <v>1</v>
      </c>
      <c r="Y1873" s="13">
        <f t="shared" si="2069"/>
        <v>1</v>
      </c>
      <c r="Z1873" s="13">
        <f t="shared" si="1998"/>
        <v>1</v>
      </c>
      <c r="AA1873" s="13" t="s">
        <v>874</v>
      </c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</row>
    <row r="1874" ht="14.25" customHeight="1">
      <c r="A1874" s="13" t="s">
        <v>36</v>
      </c>
      <c r="B1874" s="13" t="s">
        <v>42</v>
      </c>
      <c r="C1874" s="13" t="s">
        <v>1138</v>
      </c>
      <c r="D1874" s="13"/>
      <c r="E1874" s="13" t="str">
        <f t="shared" si="1988"/>
        <v>SFAEF,#1,,1</v>
      </c>
      <c r="F1874" s="13"/>
      <c r="G1874" s="13" t="s">
        <v>111</v>
      </c>
      <c r="H1874" s="13" t="s">
        <v>107</v>
      </c>
      <c r="I1874" s="14">
        <v>44915.0</v>
      </c>
      <c r="J1874" s="14"/>
      <c r="K1874" s="15">
        <v>1.0</v>
      </c>
      <c r="L1874" s="15">
        <v>1.0</v>
      </c>
      <c r="M1874" s="16"/>
      <c r="N1874" s="16"/>
      <c r="O1874" s="17"/>
      <c r="P1874" s="17"/>
      <c r="Q1874" s="13">
        <f t="shared" si="2057"/>
        <v>3.166666667</v>
      </c>
      <c r="R1874" s="13"/>
      <c r="S1874" s="13"/>
      <c r="T1874" s="13">
        <f t="shared" ref="T1874:Y1874" si="2070">IF(ISBLANK(K1874)=TRUE,0,1)</f>
        <v>1</v>
      </c>
      <c r="U1874" s="13">
        <f t="shared" si="2070"/>
        <v>1</v>
      </c>
      <c r="V1874" s="13">
        <f t="shared" si="2070"/>
        <v>0</v>
      </c>
      <c r="W1874" s="13">
        <f t="shared" si="2070"/>
        <v>0</v>
      </c>
      <c r="X1874" s="13">
        <f t="shared" si="2070"/>
        <v>0</v>
      </c>
      <c r="Y1874" s="13">
        <f t="shared" si="2070"/>
        <v>0</v>
      </c>
      <c r="Z1874" s="13">
        <f t="shared" si="1998"/>
        <v>1</v>
      </c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</row>
    <row r="1875" ht="14.25" customHeight="1">
      <c r="A1875" s="13" t="s">
        <v>36</v>
      </c>
      <c r="B1875" s="13" t="s">
        <v>42</v>
      </c>
      <c r="C1875" s="13" t="s">
        <v>1139</v>
      </c>
      <c r="D1875" s="13"/>
      <c r="E1875" s="13" t="str">
        <f t="shared" si="1988"/>
        <v>SFAEF,#3,,1</v>
      </c>
      <c r="F1875" s="13"/>
      <c r="G1875" s="13" t="s">
        <v>111</v>
      </c>
      <c r="H1875" s="13" t="s">
        <v>107</v>
      </c>
      <c r="I1875" s="14">
        <v>44915.0</v>
      </c>
      <c r="J1875" s="14"/>
      <c r="K1875" s="15">
        <v>1.0</v>
      </c>
      <c r="L1875" s="15">
        <v>1.0</v>
      </c>
      <c r="M1875" s="16"/>
      <c r="N1875" s="16"/>
      <c r="O1875" s="17"/>
      <c r="P1875" s="17"/>
      <c r="Q1875" s="13">
        <f t="shared" si="2057"/>
        <v>2</v>
      </c>
      <c r="R1875" s="13"/>
      <c r="S1875" s="13"/>
      <c r="T1875" s="13">
        <f t="shared" ref="T1875:Y1875" si="2071">IF(ISBLANK(K1875)=TRUE,0,1)</f>
        <v>1</v>
      </c>
      <c r="U1875" s="13">
        <f t="shared" si="2071"/>
        <v>1</v>
      </c>
      <c r="V1875" s="13">
        <f t="shared" si="2071"/>
        <v>0</v>
      </c>
      <c r="W1875" s="13">
        <f t="shared" si="2071"/>
        <v>0</v>
      </c>
      <c r="X1875" s="13">
        <f t="shared" si="2071"/>
        <v>0</v>
      </c>
      <c r="Y1875" s="13">
        <f t="shared" si="2071"/>
        <v>0</v>
      </c>
      <c r="Z1875" s="13">
        <f t="shared" si="1998"/>
        <v>1</v>
      </c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</row>
    <row r="1876" ht="14.25" customHeight="1">
      <c r="A1876" s="13" t="s">
        <v>36</v>
      </c>
      <c r="B1876" s="13" t="s">
        <v>42</v>
      </c>
      <c r="C1876" s="13" t="s">
        <v>1140</v>
      </c>
      <c r="D1876" s="13"/>
      <c r="E1876" s="13" t="str">
        <f t="shared" si="1988"/>
        <v>SFAEF,#4,,1</v>
      </c>
      <c r="F1876" s="13"/>
      <c r="G1876" s="13" t="s">
        <v>111</v>
      </c>
      <c r="H1876" s="13" t="s">
        <v>107</v>
      </c>
      <c r="I1876" s="14">
        <v>44915.0</v>
      </c>
      <c r="J1876" s="14"/>
      <c r="K1876" s="15">
        <v>1.0</v>
      </c>
      <c r="L1876" s="15">
        <v>1.0</v>
      </c>
      <c r="M1876" s="16"/>
      <c r="N1876" s="16"/>
      <c r="O1876" s="17"/>
      <c r="P1876" s="17"/>
      <c r="Q1876" s="13">
        <f t="shared" si="2057"/>
        <v>2</v>
      </c>
      <c r="R1876" s="13"/>
      <c r="S1876" s="13"/>
      <c r="T1876" s="13">
        <f t="shared" ref="T1876:Y1876" si="2072">IF(ISBLANK(K1876)=TRUE,0,1)</f>
        <v>1</v>
      </c>
      <c r="U1876" s="13">
        <f t="shared" si="2072"/>
        <v>1</v>
      </c>
      <c r="V1876" s="13">
        <f t="shared" si="2072"/>
        <v>0</v>
      </c>
      <c r="W1876" s="13">
        <f t="shared" si="2072"/>
        <v>0</v>
      </c>
      <c r="X1876" s="13">
        <f t="shared" si="2072"/>
        <v>0</v>
      </c>
      <c r="Y1876" s="13">
        <f t="shared" si="2072"/>
        <v>0</v>
      </c>
      <c r="Z1876" s="13">
        <f t="shared" si="1998"/>
        <v>1</v>
      </c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</row>
    <row r="1877" ht="14.25" customHeight="1">
      <c r="A1877" s="13" t="s">
        <v>36</v>
      </c>
      <c r="B1877" s="13" t="s">
        <v>42</v>
      </c>
      <c r="C1877" s="13" t="s">
        <v>1141</v>
      </c>
      <c r="D1877" s="13"/>
      <c r="E1877" s="13" t="str">
        <f t="shared" si="1988"/>
        <v>SFAEF,#7,,NA</v>
      </c>
      <c r="F1877" s="13"/>
      <c r="G1877" s="13" t="s">
        <v>74</v>
      </c>
      <c r="H1877" s="13" t="s">
        <v>75</v>
      </c>
      <c r="I1877" s="14">
        <v>44894.0</v>
      </c>
      <c r="J1877" s="14"/>
      <c r="K1877" s="15"/>
      <c r="L1877" s="15"/>
      <c r="M1877" s="16"/>
      <c r="N1877" s="16"/>
      <c r="O1877" s="17"/>
      <c r="P1877" s="17"/>
      <c r="Q1877" s="13">
        <f t="shared" si="2057"/>
        <v>2</v>
      </c>
      <c r="R1877" s="13"/>
      <c r="S1877" s="13"/>
      <c r="T1877" s="13">
        <f t="shared" ref="T1877:Y1877" si="2073">IF(ISBLANK(K1877)=TRUE,0,1)</f>
        <v>0</v>
      </c>
      <c r="U1877" s="13">
        <f t="shared" si="2073"/>
        <v>0</v>
      </c>
      <c r="V1877" s="13">
        <f t="shared" si="2073"/>
        <v>0</v>
      </c>
      <c r="W1877" s="13">
        <f t="shared" si="2073"/>
        <v>0</v>
      </c>
      <c r="X1877" s="13">
        <f t="shared" si="2073"/>
        <v>0</v>
      </c>
      <c r="Y1877" s="13">
        <f t="shared" si="2073"/>
        <v>0</v>
      </c>
      <c r="Z1877" s="13" t="str">
        <f t="shared" si="1998"/>
        <v>NA</v>
      </c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</row>
    <row r="1878" ht="14.25" customHeight="1">
      <c r="A1878" s="13" t="s">
        <v>36</v>
      </c>
      <c r="B1878" s="13" t="s">
        <v>42</v>
      </c>
      <c r="C1878" s="13" t="s">
        <v>1142</v>
      </c>
      <c r="D1878" s="13"/>
      <c r="E1878" s="13" t="str">
        <f t="shared" si="1988"/>
        <v>SFAEF,#9,,NA</v>
      </c>
      <c r="F1878" s="13"/>
      <c r="G1878" s="13" t="s">
        <v>74</v>
      </c>
      <c r="H1878" s="13" t="s">
        <v>75</v>
      </c>
      <c r="I1878" s="14">
        <v>44915.0</v>
      </c>
      <c r="J1878" s="14"/>
      <c r="K1878" s="15"/>
      <c r="L1878" s="15"/>
      <c r="M1878" s="16"/>
      <c r="N1878" s="16"/>
      <c r="O1878" s="17"/>
      <c r="P1878" s="17"/>
      <c r="Q1878" s="13">
        <f t="shared" si="2057"/>
        <v>0</v>
      </c>
      <c r="R1878" s="13"/>
      <c r="S1878" s="13"/>
      <c r="T1878" s="13">
        <f t="shared" ref="T1878:Y1878" si="2074">IF(ISBLANK(K1878)=TRUE,0,1)</f>
        <v>0</v>
      </c>
      <c r="U1878" s="13">
        <f t="shared" si="2074"/>
        <v>0</v>
      </c>
      <c r="V1878" s="13">
        <f t="shared" si="2074"/>
        <v>0</v>
      </c>
      <c r="W1878" s="13">
        <f t="shared" si="2074"/>
        <v>0</v>
      </c>
      <c r="X1878" s="13">
        <f t="shared" si="2074"/>
        <v>0</v>
      </c>
      <c r="Y1878" s="13">
        <f t="shared" si="2074"/>
        <v>0</v>
      </c>
      <c r="Z1878" s="13" t="str">
        <f t="shared" si="1998"/>
        <v>NA</v>
      </c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</row>
    <row r="1879" ht="14.25" customHeight="1">
      <c r="A1879" s="13" t="s">
        <v>36</v>
      </c>
      <c r="B1879" s="13" t="s">
        <v>42</v>
      </c>
      <c r="C1879" s="13">
        <v>1.0</v>
      </c>
      <c r="D1879" s="13" t="s">
        <v>180</v>
      </c>
      <c r="E1879" s="13" t="str">
        <f t="shared" si="1988"/>
        <v>SFAEF,1,AG,0</v>
      </c>
      <c r="F1879" s="13"/>
      <c r="G1879" s="13" t="s">
        <v>111</v>
      </c>
      <c r="H1879" s="13" t="s">
        <v>75</v>
      </c>
      <c r="I1879" s="13"/>
      <c r="J1879" s="13"/>
      <c r="K1879" s="15">
        <v>0.0</v>
      </c>
      <c r="L1879" s="15">
        <v>0.0</v>
      </c>
      <c r="M1879" s="16"/>
      <c r="N1879" s="16"/>
      <c r="O1879" s="17"/>
      <c r="P1879" s="17"/>
      <c r="Q1879" s="13">
        <f t="shared" si="2057"/>
        <v>0</v>
      </c>
      <c r="R1879" s="13"/>
      <c r="S1879" s="13"/>
      <c r="T1879" s="13">
        <f t="shared" ref="T1879:Y1879" si="2075">IF(ISBLANK(K1879)=TRUE,0,1)</f>
        <v>1</v>
      </c>
      <c r="U1879" s="13">
        <f t="shared" si="2075"/>
        <v>1</v>
      </c>
      <c r="V1879" s="13">
        <f t="shared" si="2075"/>
        <v>0</v>
      </c>
      <c r="W1879" s="13">
        <f t="shared" si="2075"/>
        <v>0</v>
      </c>
      <c r="X1879" s="13">
        <f t="shared" si="2075"/>
        <v>0</v>
      </c>
      <c r="Y1879" s="13">
        <f t="shared" si="2075"/>
        <v>0</v>
      </c>
      <c r="Z1879" s="13">
        <f t="shared" si="1998"/>
        <v>0</v>
      </c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</row>
    <row r="1880" ht="14.25" customHeight="1">
      <c r="A1880" s="13" t="s">
        <v>36</v>
      </c>
      <c r="B1880" s="13" t="s">
        <v>42</v>
      </c>
      <c r="C1880" s="13" t="s">
        <v>1143</v>
      </c>
      <c r="D1880" s="13"/>
      <c r="E1880" s="13" t="str">
        <f t="shared" si="1988"/>
        <v>SFAEF,10-133,,NA</v>
      </c>
      <c r="F1880" s="13"/>
      <c r="G1880" s="13" t="s">
        <v>74</v>
      </c>
      <c r="H1880" s="13" t="s">
        <v>75</v>
      </c>
      <c r="I1880" s="13"/>
      <c r="J1880" s="13"/>
      <c r="K1880" s="15"/>
      <c r="L1880" s="15"/>
      <c r="M1880" s="16"/>
      <c r="N1880" s="16"/>
      <c r="O1880" s="17"/>
      <c r="P1880" s="17"/>
      <c r="Q1880" s="13"/>
      <c r="R1880" s="13"/>
      <c r="S1880" s="13"/>
      <c r="T1880" s="13">
        <f t="shared" ref="T1880:Y1880" si="2076">IF(ISBLANK(K1880)=TRUE,0,1)</f>
        <v>0</v>
      </c>
      <c r="U1880" s="13">
        <f t="shared" si="2076"/>
        <v>0</v>
      </c>
      <c r="V1880" s="13">
        <f t="shared" si="2076"/>
        <v>0</v>
      </c>
      <c r="W1880" s="13">
        <f t="shared" si="2076"/>
        <v>0</v>
      </c>
      <c r="X1880" s="13">
        <f t="shared" si="2076"/>
        <v>0</v>
      </c>
      <c r="Y1880" s="13">
        <f t="shared" si="2076"/>
        <v>0</v>
      </c>
      <c r="Z1880" s="13" t="str">
        <f t="shared" si="1998"/>
        <v>NA</v>
      </c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</row>
    <row r="1881" ht="14.25" customHeight="1">
      <c r="A1881" s="13" t="s">
        <v>36</v>
      </c>
      <c r="B1881" s="13" t="s">
        <v>42</v>
      </c>
      <c r="C1881" s="13" t="s">
        <v>1144</v>
      </c>
      <c r="D1881" s="13"/>
      <c r="E1881" s="13" t="str">
        <f t="shared" si="1988"/>
        <v>SFAEF,10-133-1A,,NA</v>
      </c>
      <c r="F1881" s="13"/>
      <c r="G1881" s="13" t="s">
        <v>74</v>
      </c>
      <c r="H1881" s="13" t="s">
        <v>75</v>
      </c>
      <c r="I1881" s="13"/>
      <c r="J1881" s="13"/>
      <c r="K1881" s="15"/>
      <c r="L1881" s="15"/>
      <c r="M1881" s="16"/>
      <c r="N1881" s="16"/>
      <c r="O1881" s="17"/>
      <c r="P1881" s="17"/>
      <c r="Q1881" s="13"/>
      <c r="R1881" s="13"/>
      <c r="S1881" s="13"/>
      <c r="T1881" s="13">
        <f t="shared" ref="T1881:Y1881" si="2077">IF(ISBLANK(K1881)=TRUE,0,1)</f>
        <v>0</v>
      </c>
      <c r="U1881" s="13">
        <f t="shared" si="2077"/>
        <v>0</v>
      </c>
      <c r="V1881" s="13">
        <f t="shared" si="2077"/>
        <v>0</v>
      </c>
      <c r="W1881" s="13">
        <f t="shared" si="2077"/>
        <v>0</v>
      </c>
      <c r="X1881" s="13">
        <f t="shared" si="2077"/>
        <v>0</v>
      </c>
      <c r="Y1881" s="13">
        <f t="shared" si="2077"/>
        <v>0</v>
      </c>
      <c r="Z1881" s="13" t="str">
        <f t="shared" si="1998"/>
        <v>NA</v>
      </c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</row>
    <row r="1882" ht="14.25" customHeight="1">
      <c r="A1882" s="13" t="s">
        <v>36</v>
      </c>
      <c r="B1882" s="13" t="s">
        <v>42</v>
      </c>
      <c r="C1882" s="13" t="s">
        <v>1145</v>
      </c>
      <c r="D1882" s="13"/>
      <c r="E1882" s="13" t="str">
        <f t="shared" si="1988"/>
        <v>SFAEF,10-133-1B,,NA</v>
      </c>
      <c r="F1882" s="13"/>
      <c r="G1882" s="13" t="s">
        <v>74</v>
      </c>
      <c r="H1882" s="13" t="s">
        <v>75</v>
      </c>
      <c r="I1882" s="13"/>
      <c r="J1882" s="13"/>
      <c r="K1882" s="15"/>
      <c r="L1882" s="15"/>
      <c r="M1882" s="16"/>
      <c r="N1882" s="16"/>
      <c r="O1882" s="17"/>
      <c r="P1882" s="17"/>
      <c r="Q1882" s="13"/>
      <c r="R1882" s="13"/>
      <c r="S1882" s="13"/>
      <c r="T1882" s="13">
        <f t="shared" ref="T1882:Y1882" si="2078">IF(ISBLANK(K1882)=TRUE,0,1)</f>
        <v>0</v>
      </c>
      <c r="U1882" s="13">
        <f t="shared" si="2078"/>
        <v>0</v>
      </c>
      <c r="V1882" s="13">
        <f t="shared" si="2078"/>
        <v>0</v>
      </c>
      <c r="W1882" s="13">
        <f t="shared" si="2078"/>
        <v>0</v>
      </c>
      <c r="X1882" s="13">
        <f t="shared" si="2078"/>
        <v>0</v>
      </c>
      <c r="Y1882" s="13">
        <f t="shared" si="2078"/>
        <v>0</v>
      </c>
      <c r="Z1882" s="13" t="str">
        <f t="shared" si="1998"/>
        <v>NA</v>
      </c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</row>
    <row r="1883" ht="14.25" customHeight="1">
      <c r="A1883" s="13" t="s">
        <v>36</v>
      </c>
      <c r="B1883" s="13" t="s">
        <v>42</v>
      </c>
      <c r="C1883" s="13" t="s">
        <v>1146</v>
      </c>
      <c r="D1883" s="13"/>
      <c r="E1883" s="13" t="str">
        <f t="shared" si="1988"/>
        <v>SFAEF,10-133-1C,,NA</v>
      </c>
      <c r="F1883" s="13"/>
      <c r="G1883" s="13" t="s">
        <v>74</v>
      </c>
      <c r="H1883" s="13" t="s">
        <v>75</v>
      </c>
      <c r="I1883" s="13"/>
      <c r="J1883" s="13"/>
      <c r="K1883" s="15"/>
      <c r="L1883" s="15"/>
      <c r="M1883" s="16"/>
      <c r="N1883" s="16"/>
      <c r="O1883" s="17"/>
      <c r="P1883" s="17"/>
      <c r="Q1883" s="13"/>
      <c r="R1883" s="13"/>
      <c r="S1883" s="13"/>
      <c r="T1883" s="13">
        <f t="shared" ref="T1883:Y1883" si="2079">IF(ISBLANK(K1883)=TRUE,0,1)</f>
        <v>0</v>
      </c>
      <c r="U1883" s="13">
        <f t="shared" si="2079"/>
        <v>0</v>
      </c>
      <c r="V1883" s="13">
        <f t="shared" si="2079"/>
        <v>0</v>
      </c>
      <c r="W1883" s="13">
        <f t="shared" si="2079"/>
        <v>0</v>
      </c>
      <c r="X1883" s="13">
        <f t="shared" si="2079"/>
        <v>0</v>
      </c>
      <c r="Y1883" s="13">
        <f t="shared" si="2079"/>
        <v>0</v>
      </c>
      <c r="Z1883" s="13" t="str">
        <f t="shared" si="1998"/>
        <v>NA</v>
      </c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</row>
    <row r="1884" ht="14.25" customHeight="1">
      <c r="A1884" s="13" t="s">
        <v>36</v>
      </c>
      <c r="B1884" s="13" t="s">
        <v>42</v>
      </c>
      <c r="C1884" s="13" t="s">
        <v>1147</v>
      </c>
      <c r="D1884" s="13"/>
      <c r="E1884" s="13" t="str">
        <f t="shared" si="1988"/>
        <v>SFAEF,10-133-1D,,NA</v>
      </c>
      <c r="F1884" s="13"/>
      <c r="G1884" s="13" t="s">
        <v>74</v>
      </c>
      <c r="H1884" s="13" t="s">
        <v>75</v>
      </c>
      <c r="I1884" s="13"/>
      <c r="J1884" s="13"/>
      <c r="K1884" s="15"/>
      <c r="L1884" s="15"/>
      <c r="M1884" s="16"/>
      <c r="N1884" s="16"/>
      <c r="O1884" s="17"/>
      <c r="P1884" s="17"/>
      <c r="Q1884" s="13"/>
      <c r="R1884" s="13"/>
      <c r="S1884" s="13"/>
      <c r="T1884" s="13">
        <f t="shared" ref="T1884:Y1884" si="2080">IF(ISBLANK(K1884)=TRUE,0,1)</f>
        <v>0</v>
      </c>
      <c r="U1884" s="13">
        <f t="shared" si="2080"/>
        <v>0</v>
      </c>
      <c r="V1884" s="13">
        <f t="shared" si="2080"/>
        <v>0</v>
      </c>
      <c r="W1884" s="13">
        <f t="shared" si="2080"/>
        <v>0</v>
      </c>
      <c r="X1884" s="13">
        <f t="shared" si="2080"/>
        <v>0</v>
      </c>
      <c r="Y1884" s="13">
        <f t="shared" si="2080"/>
        <v>0</v>
      </c>
      <c r="Z1884" s="13" t="str">
        <f t="shared" si="1998"/>
        <v>NA</v>
      </c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</row>
    <row r="1885" ht="14.25" customHeight="1">
      <c r="A1885" s="13" t="s">
        <v>36</v>
      </c>
      <c r="B1885" s="13" t="s">
        <v>42</v>
      </c>
      <c r="C1885" s="13" t="s">
        <v>1148</v>
      </c>
      <c r="D1885" s="13"/>
      <c r="E1885" s="13" t="str">
        <f t="shared" si="1988"/>
        <v>SFAEF,10-133-1E,,NA</v>
      </c>
      <c r="F1885" s="13"/>
      <c r="G1885" s="13" t="s">
        <v>74</v>
      </c>
      <c r="H1885" s="13" t="s">
        <v>75</v>
      </c>
      <c r="I1885" s="13"/>
      <c r="J1885" s="13"/>
      <c r="K1885" s="15"/>
      <c r="L1885" s="15"/>
      <c r="M1885" s="16"/>
      <c r="N1885" s="16"/>
      <c r="O1885" s="17"/>
      <c r="P1885" s="17"/>
      <c r="Q1885" s="13"/>
      <c r="R1885" s="13"/>
      <c r="S1885" s="13"/>
      <c r="T1885" s="13">
        <f t="shared" ref="T1885:Y1885" si="2081">IF(ISBLANK(K1885)=TRUE,0,1)</f>
        <v>0</v>
      </c>
      <c r="U1885" s="13">
        <f t="shared" si="2081"/>
        <v>0</v>
      </c>
      <c r="V1885" s="13">
        <f t="shared" si="2081"/>
        <v>0</v>
      </c>
      <c r="W1885" s="13">
        <f t="shared" si="2081"/>
        <v>0</v>
      </c>
      <c r="X1885" s="13">
        <f t="shared" si="2081"/>
        <v>0</v>
      </c>
      <c r="Y1885" s="13">
        <f t="shared" si="2081"/>
        <v>0</v>
      </c>
      <c r="Z1885" s="13" t="str">
        <f t="shared" si="1998"/>
        <v>NA</v>
      </c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</row>
    <row r="1886" ht="14.25" customHeight="1">
      <c r="A1886" s="13" t="s">
        <v>36</v>
      </c>
      <c r="B1886" s="13" t="s">
        <v>42</v>
      </c>
      <c r="C1886" s="13" t="s">
        <v>1149</v>
      </c>
      <c r="D1886" s="13"/>
      <c r="E1886" s="13" t="str">
        <f t="shared" si="1988"/>
        <v>SFAEF,10-133-1F,,NA</v>
      </c>
      <c r="F1886" s="13"/>
      <c r="G1886" s="13" t="s">
        <v>74</v>
      </c>
      <c r="H1886" s="13" t="s">
        <v>75</v>
      </c>
      <c r="I1886" s="13"/>
      <c r="J1886" s="13"/>
      <c r="K1886" s="15"/>
      <c r="L1886" s="15"/>
      <c r="M1886" s="16"/>
      <c r="N1886" s="16"/>
      <c r="O1886" s="17"/>
      <c r="P1886" s="17"/>
      <c r="Q1886" s="13"/>
      <c r="R1886" s="13"/>
      <c r="S1886" s="13"/>
      <c r="T1886" s="13">
        <f t="shared" ref="T1886:Y1886" si="2082">IF(ISBLANK(K1886)=TRUE,0,1)</f>
        <v>0</v>
      </c>
      <c r="U1886" s="13">
        <f t="shared" si="2082"/>
        <v>0</v>
      </c>
      <c r="V1886" s="13">
        <f t="shared" si="2082"/>
        <v>0</v>
      </c>
      <c r="W1886" s="13">
        <f t="shared" si="2082"/>
        <v>0</v>
      </c>
      <c r="X1886" s="13">
        <f t="shared" si="2082"/>
        <v>0</v>
      </c>
      <c r="Y1886" s="13">
        <f t="shared" si="2082"/>
        <v>0</v>
      </c>
      <c r="Z1886" s="13" t="str">
        <f t="shared" si="1998"/>
        <v>NA</v>
      </c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</row>
    <row r="1887" ht="14.25" customHeight="1">
      <c r="A1887" s="13" t="s">
        <v>36</v>
      </c>
      <c r="B1887" s="13" t="s">
        <v>42</v>
      </c>
      <c r="C1887" s="13" t="s">
        <v>1150</v>
      </c>
      <c r="D1887" s="13"/>
      <c r="E1887" s="13" t="str">
        <f t="shared" si="1988"/>
        <v>SFAEF,10-133-1G,,NA</v>
      </c>
      <c r="F1887" s="13"/>
      <c r="G1887" s="13" t="s">
        <v>74</v>
      </c>
      <c r="H1887" s="13" t="s">
        <v>75</v>
      </c>
      <c r="I1887" s="13"/>
      <c r="J1887" s="13"/>
      <c r="K1887" s="15"/>
      <c r="L1887" s="15"/>
      <c r="M1887" s="16"/>
      <c r="N1887" s="16"/>
      <c r="O1887" s="17"/>
      <c r="P1887" s="17"/>
      <c r="Q1887" s="13"/>
      <c r="R1887" s="13"/>
      <c r="S1887" s="13"/>
      <c r="T1887" s="13">
        <f t="shared" ref="T1887:Y1887" si="2083">IF(ISBLANK(K1887)=TRUE,0,1)</f>
        <v>0</v>
      </c>
      <c r="U1887" s="13">
        <f t="shared" si="2083"/>
        <v>0</v>
      </c>
      <c r="V1887" s="13">
        <f t="shared" si="2083"/>
        <v>0</v>
      </c>
      <c r="W1887" s="13">
        <f t="shared" si="2083"/>
        <v>0</v>
      </c>
      <c r="X1887" s="13">
        <f t="shared" si="2083"/>
        <v>0</v>
      </c>
      <c r="Y1887" s="13">
        <f t="shared" si="2083"/>
        <v>0</v>
      </c>
      <c r="Z1887" s="13" t="str">
        <f t="shared" si="1998"/>
        <v>NA</v>
      </c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</row>
    <row r="1888" ht="14.25" customHeight="1">
      <c r="A1888" s="13" t="s">
        <v>36</v>
      </c>
      <c r="B1888" s="13" t="s">
        <v>42</v>
      </c>
      <c r="C1888" s="13" t="s">
        <v>1151</v>
      </c>
      <c r="D1888" s="13"/>
      <c r="E1888" s="13" t="str">
        <f t="shared" si="1988"/>
        <v>SFAEF,10-133-1H,,NA</v>
      </c>
      <c r="F1888" s="13"/>
      <c r="G1888" s="13" t="s">
        <v>74</v>
      </c>
      <c r="H1888" s="13" t="s">
        <v>75</v>
      </c>
      <c r="I1888" s="13"/>
      <c r="J1888" s="13"/>
      <c r="K1888" s="15"/>
      <c r="L1888" s="15"/>
      <c r="M1888" s="16"/>
      <c r="N1888" s="16"/>
      <c r="O1888" s="17"/>
      <c r="P1888" s="17"/>
      <c r="Q1888" s="13"/>
      <c r="R1888" s="13"/>
      <c r="S1888" s="13"/>
      <c r="T1888" s="13">
        <f t="shared" ref="T1888:Y1888" si="2084">IF(ISBLANK(K1888)=TRUE,0,1)</f>
        <v>0</v>
      </c>
      <c r="U1888" s="13">
        <f t="shared" si="2084"/>
        <v>0</v>
      </c>
      <c r="V1888" s="13">
        <f t="shared" si="2084"/>
        <v>0</v>
      </c>
      <c r="W1888" s="13">
        <f t="shared" si="2084"/>
        <v>0</v>
      </c>
      <c r="X1888" s="13">
        <f t="shared" si="2084"/>
        <v>0</v>
      </c>
      <c r="Y1888" s="13">
        <f t="shared" si="2084"/>
        <v>0</v>
      </c>
      <c r="Z1888" s="13" t="str">
        <f t="shared" si="1998"/>
        <v>NA</v>
      </c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</row>
    <row r="1889" ht="14.25" customHeight="1">
      <c r="A1889" s="13" t="s">
        <v>36</v>
      </c>
      <c r="B1889" s="13" t="s">
        <v>42</v>
      </c>
      <c r="C1889" s="13" t="s">
        <v>1152</v>
      </c>
      <c r="D1889" s="13"/>
      <c r="E1889" s="13" t="str">
        <f t="shared" si="1988"/>
        <v>SFAEF,10-133-1I,,NA</v>
      </c>
      <c r="F1889" s="13"/>
      <c r="G1889" s="13" t="s">
        <v>74</v>
      </c>
      <c r="H1889" s="13" t="s">
        <v>75</v>
      </c>
      <c r="I1889" s="13"/>
      <c r="J1889" s="13"/>
      <c r="K1889" s="15"/>
      <c r="L1889" s="15"/>
      <c r="M1889" s="16"/>
      <c r="N1889" s="16"/>
      <c r="O1889" s="17"/>
      <c r="P1889" s="17"/>
      <c r="Q1889" s="13"/>
      <c r="R1889" s="13"/>
      <c r="S1889" s="13"/>
      <c r="T1889" s="13">
        <f t="shared" ref="T1889:Y1889" si="2085">IF(ISBLANK(K1889)=TRUE,0,1)</f>
        <v>0</v>
      </c>
      <c r="U1889" s="13">
        <f t="shared" si="2085"/>
        <v>0</v>
      </c>
      <c r="V1889" s="13">
        <f t="shared" si="2085"/>
        <v>0</v>
      </c>
      <c r="W1889" s="13">
        <f t="shared" si="2085"/>
        <v>0</v>
      </c>
      <c r="X1889" s="13">
        <f t="shared" si="2085"/>
        <v>0</v>
      </c>
      <c r="Y1889" s="13">
        <f t="shared" si="2085"/>
        <v>0</v>
      </c>
      <c r="Z1889" s="13" t="str">
        <f t="shared" si="1998"/>
        <v>NA</v>
      </c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</row>
    <row r="1890" ht="14.25" customHeight="1">
      <c r="A1890" s="13" t="s">
        <v>36</v>
      </c>
      <c r="B1890" s="13" t="s">
        <v>42</v>
      </c>
      <c r="C1890" s="13" t="s">
        <v>1153</v>
      </c>
      <c r="D1890" s="13"/>
      <c r="E1890" s="13" t="str">
        <f t="shared" si="1988"/>
        <v>SFAEF,10-133-1J,,NA</v>
      </c>
      <c r="F1890" s="13"/>
      <c r="G1890" s="13" t="s">
        <v>74</v>
      </c>
      <c r="H1890" s="13" t="s">
        <v>75</v>
      </c>
      <c r="I1890" s="13"/>
      <c r="J1890" s="13"/>
      <c r="K1890" s="15"/>
      <c r="L1890" s="15"/>
      <c r="M1890" s="16"/>
      <c r="N1890" s="16"/>
      <c r="O1890" s="17"/>
      <c r="P1890" s="17"/>
      <c r="Q1890" s="13"/>
      <c r="R1890" s="13"/>
      <c r="S1890" s="13"/>
      <c r="T1890" s="13">
        <f t="shared" ref="T1890:Y1890" si="2086">IF(ISBLANK(K1890)=TRUE,0,1)</f>
        <v>0</v>
      </c>
      <c r="U1890" s="13">
        <f t="shared" si="2086"/>
        <v>0</v>
      </c>
      <c r="V1890" s="13">
        <f t="shared" si="2086"/>
        <v>0</v>
      </c>
      <c r="W1890" s="13">
        <f t="shared" si="2086"/>
        <v>0</v>
      </c>
      <c r="X1890" s="13">
        <f t="shared" si="2086"/>
        <v>0</v>
      </c>
      <c r="Y1890" s="13">
        <f t="shared" si="2086"/>
        <v>0</v>
      </c>
      <c r="Z1890" s="13" t="str">
        <f t="shared" si="1998"/>
        <v>NA</v>
      </c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</row>
    <row r="1891" ht="14.25" customHeight="1">
      <c r="A1891" s="13" t="s">
        <v>36</v>
      </c>
      <c r="B1891" s="13" t="s">
        <v>42</v>
      </c>
      <c r="C1891" s="13" t="s">
        <v>1154</v>
      </c>
      <c r="D1891" s="13"/>
      <c r="E1891" s="13" t="str">
        <f t="shared" si="1988"/>
        <v>SFAEF,10-133-1K,,NA</v>
      </c>
      <c r="F1891" s="13"/>
      <c r="G1891" s="13" t="s">
        <v>74</v>
      </c>
      <c r="H1891" s="13" t="s">
        <v>75</v>
      </c>
      <c r="I1891" s="13"/>
      <c r="J1891" s="13"/>
      <c r="K1891" s="15"/>
      <c r="L1891" s="15"/>
      <c r="M1891" s="16"/>
      <c r="N1891" s="16"/>
      <c r="O1891" s="17"/>
      <c r="P1891" s="17"/>
      <c r="Q1891" s="13"/>
      <c r="R1891" s="13"/>
      <c r="S1891" s="13"/>
      <c r="T1891" s="13">
        <f t="shared" ref="T1891:Y1891" si="2087">IF(ISBLANK(K1891)=TRUE,0,1)</f>
        <v>0</v>
      </c>
      <c r="U1891" s="13">
        <f t="shared" si="2087"/>
        <v>0</v>
      </c>
      <c r="V1891" s="13">
        <f t="shared" si="2087"/>
        <v>0</v>
      </c>
      <c r="W1891" s="13">
        <f t="shared" si="2087"/>
        <v>0</v>
      </c>
      <c r="X1891" s="13">
        <f t="shared" si="2087"/>
        <v>0</v>
      </c>
      <c r="Y1891" s="13">
        <f t="shared" si="2087"/>
        <v>0</v>
      </c>
      <c r="Z1891" s="13" t="str">
        <f t="shared" si="1998"/>
        <v>NA</v>
      </c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</row>
    <row r="1892" ht="14.25" customHeight="1">
      <c r="A1892" s="13" t="s">
        <v>36</v>
      </c>
      <c r="B1892" s="13" t="s">
        <v>42</v>
      </c>
      <c r="C1892" s="13">
        <v>1245.0</v>
      </c>
      <c r="D1892" s="13" t="s">
        <v>433</v>
      </c>
      <c r="E1892" s="13" t="str">
        <f t="shared" si="1988"/>
        <v>SFAEF,1245,AY,0</v>
      </c>
      <c r="F1892" s="13"/>
      <c r="G1892" s="13" t="s">
        <v>111</v>
      </c>
      <c r="H1892" s="13" t="s">
        <v>75</v>
      </c>
      <c r="I1892" s="13"/>
      <c r="J1892" s="13"/>
      <c r="K1892" s="15">
        <v>0.0</v>
      </c>
      <c r="L1892" s="15">
        <v>0.0</v>
      </c>
      <c r="M1892" s="16"/>
      <c r="N1892" s="16"/>
      <c r="O1892" s="17"/>
      <c r="P1892" s="17"/>
      <c r="Q1892" s="13">
        <f t="shared" ref="Q1892:Q1910" si="2089">K1891+L1891+M1891+N1891+O1891+P1891/6</f>
        <v>0</v>
      </c>
      <c r="R1892" s="13"/>
      <c r="S1892" s="13"/>
      <c r="T1892" s="13">
        <f t="shared" ref="T1892:Y1892" si="2088">IF(ISBLANK(K1892)=TRUE,0,1)</f>
        <v>1</v>
      </c>
      <c r="U1892" s="13">
        <f t="shared" si="2088"/>
        <v>1</v>
      </c>
      <c r="V1892" s="13">
        <f t="shared" si="2088"/>
        <v>0</v>
      </c>
      <c r="W1892" s="13">
        <f t="shared" si="2088"/>
        <v>0</v>
      </c>
      <c r="X1892" s="13">
        <f t="shared" si="2088"/>
        <v>0</v>
      </c>
      <c r="Y1892" s="13">
        <f t="shared" si="2088"/>
        <v>0</v>
      </c>
      <c r="Z1892" s="13">
        <f t="shared" si="1998"/>
        <v>0</v>
      </c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</row>
    <row r="1893" ht="14.25" customHeight="1">
      <c r="A1893" s="13" t="s">
        <v>36</v>
      </c>
      <c r="B1893" s="13" t="s">
        <v>42</v>
      </c>
      <c r="C1893" s="13">
        <v>1245.0</v>
      </c>
      <c r="D1893" s="13" t="s">
        <v>434</v>
      </c>
      <c r="E1893" s="13" t="str">
        <f t="shared" si="1988"/>
        <v>SFAEF,1245,AZ,0</v>
      </c>
      <c r="F1893" s="13"/>
      <c r="G1893" s="13" t="s">
        <v>111</v>
      </c>
      <c r="H1893" s="13" t="s">
        <v>75</v>
      </c>
      <c r="I1893" s="13"/>
      <c r="J1893" s="13"/>
      <c r="K1893" s="15">
        <v>0.0</v>
      </c>
      <c r="L1893" s="15">
        <v>0.0</v>
      </c>
      <c r="M1893" s="16"/>
      <c r="N1893" s="16"/>
      <c r="O1893" s="17"/>
      <c r="P1893" s="17"/>
      <c r="Q1893" s="13">
        <f t="shared" si="2089"/>
        <v>0</v>
      </c>
      <c r="R1893" s="13"/>
      <c r="S1893" s="13"/>
      <c r="T1893" s="13">
        <f t="shared" ref="T1893:Y1893" si="2090">IF(ISBLANK(K1893)=TRUE,0,1)</f>
        <v>1</v>
      </c>
      <c r="U1893" s="13">
        <f t="shared" si="2090"/>
        <v>1</v>
      </c>
      <c r="V1893" s="13">
        <f t="shared" si="2090"/>
        <v>0</v>
      </c>
      <c r="W1893" s="13">
        <f t="shared" si="2090"/>
        <v>0</v>
      </c>
      <c r="X1893" s="13">
        <f t="shared" si="2090"/>
        <v>0</v>
      </c>
      <c r="Y1893" s="13">
        <f t="shared" si="2090"/>
        <v>0</v>
      </c>
      <c r="Z1893" s="13">
        <f t="shared" si="1998"/>
        <v>0</v>
      </c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</row>
    <row r="1894" ht="14.25" customHeight="1">
      <c r="A1894" s="13" t="s">
        <v>36</v>
      </c>
      <c r="B1894" s="13" t="s">
        <v>42</v>
      </c>
      <c r="C1894" s="13">
        <v>1245.0</v>
      </c>
      <c r="D1894" s="13" t="s">
        <v>435</v>
      </c>
      <c r="E1894" s="13" t="str">
        <f t="shared" si="1988"/>
        <v>SFAEF,1245,BA,0</v>
      </c>
      <c r="F1894" s="13"/>
      <c r="G1894" s="13" t="s">
        <v>111</v>
      </c>
      <c r="H1894" s="13" t="s">
        <v>75</v>
      </c>
      <c r="I1894" s="13"/>
      <c r="J1894" s="13"/>
      <c r="K1894" s="15">
        <v>0.0</v>
      </c>
      <c r="L1894" s="15">
        <v>0.0</v>
      </c>
      <c r="M1894" s="16"/>
      <c r="N1894" s="16"/>
      <c r="O1894" s="17"/>
      <c r="P1894" s="17"/>
      <c r="Q1894" s="13">
        <f t="shared" si="2089"/>
        <v>0</v>
      </c>
      <c r="R1894" s="13"/>
      <c r="S1894" s="13"/>
      <c r="T1894" s="13">
        <f t="shared" ref="T1894:Y1894" si="2091">IF(ISBLANK(K1894)=TRUE,0,1)</f>
        <v>1</v>
      </c>
      <c r="U1894" s="13">
        <f t="shared" si="2091"/>
        <v>1</v>
      </c>
      <c r="V1894" s="13">
        <f t="shared" si="2091"/>
        <v>0</v>
      </c>
      <c r="W1894" s="13">
        <f t="shared" si="2091"/>
        <v>0</v>
      </c>
      <c r="X1894" s="13">
        <f t="shared" si="2091"/>
        <v>0</v>
      </c>
      <c r="Y1894" s="13">
        <f t="shared" si="2091"/>
        <v>0</v>
      </c>
      <c r="Z1894" s="13">
        <f t="shared" si="1998"/>
        <v>0</v>
      </c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</row>
    <row r="1895" ht="14.25" customHeight="1">
      <c r="A1895" s="13" t="s">
        <v>36</v>
      </c>
      <c r="B1895" s="13" t="s">
        <v>42</v>
      </c>
      <c r="C1895" s="13">
        <v>1245.0</v>
      </c>
      <c r="D1895" s="13" t="s">
        <v>436</v>
      </c>
      <c r="E1895" s="13" t="str">
        <f t="shared" si="1988"/>
        <v>SFAEF,1245,BB,0</v>
      </c>
      <c r="F1895" s="13"/>
      <c r="G1895" s="13" t="s">
        <v>111</v>
      </c>
      <c r="H1895" s="13" t="s">
        <v>75</v>
      </c>
      <c r="I1895" s="13"/>
      <c r="J1895" s="13"/>
      <c r="K1895" s="15">
        <v>0.0</v>
      </c>
      <c r="L1895" s="15">
        <v>0.0</v>
      </c>
      <c r="M1895" s="16"/>
      <c r="N1895" s="16"/>
      <c r="O1895" s="17"/>
      <c r="P1895" s="17"/>
      <c r="Q1895" s="13">
        <f t="shared" si="2089"/>
        <v>0</v>
      </c>
      <c r="R1895" s="13"/>
      <c r="S1895" s="13"/>
      <c r="T1895" s="13">
        <f t="shared" ref="T1895:Y1895" si="2092">IF(ISBLANK(K1895)=TRUE,0,1)</f>
        <v>1</v>
      </c>
      <c r="U1895" s="13">
        <f t="shared" si="2092"/>
        <v>1</v>
      </c>
      <c r="V1895" s="13">
        <f t="shared" si="2092"/>
        <v>0</v>
      </c>
      <c r="W1895" s="13">
        <f t="shared" si="2092"/>
        <v>0</v>
      </c>
      <c r="X1895" s="13">
        <f t="shared" si="2092"/>
        <v>0</v>
      </c>
      <c r="Y1895" s="13">
        <f t="shared" si="2092"/>
        <v>0</v>
      </c>
      <c r="Z1895" s="13">
        <f t="shared" si="1998"/>
        <v>0</v>
      </c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</row>
    <row r="1896" ht="14.25" customHeight="1">
      <c r="A1896" s="13" t="s">
        <v>36</v>
      </c>
      <c r="B1896" s="13" t="s">
        <v>42</v>
      </c>
      <c r="C1896" s="13">
        <v>1245.0</v>
      </c>
      <c r="D1896" s="13" t="s">
        <v>437</v>
      </c>
      <c r="E1896" s="13" t="str">
        <f t="shared" si="1988"/>
        <v>SFAEF,1245,BC,0</v>
      </c>
      <c r="F1896" s="13"/>
      <c r="G1896" s="13" t="s">
        <v>111</v>
      </c>
      <c r="H1896" s="13" t="s">
        <v>75</v>
      </c>
      <c r="I1896" s="13"/>
      <c r="J1896" s="13"/>
      <c r="K1896" s="15">
        <v>0.0</v>
      </c>
      <c r="L1896" s="15">
        <v>0.0</v>
      </c>
      <c r="M1896" s="16"/>
      <c r="N1896" s="16"/>
      <c r="O1896" s="17"/>
      <c r="P1896" s="17"/>
      <c r="Q1896" s="13">
        <f t="shared" si="2089"/>
        <v>0</v>
      </c>
      <c r="R1896" s="13"/>
      <c r="S1896" s="13"/>
      <c r="T1896" s="13">
        <f t="shared" ref="T1896:Y1896" si="2093">IF(ISBLANK(K1896)=TRUE,0,1)</f>
        <v>1</v>
      </c>
      <c r="U1896" s="13">
        <f t="shared" si="2093"/>
        <v>1</v>
      </c>
      <c r="V1896" s="13">
        <f t="shared" si="2093"/>
        <v>0</v>
      </c>
      <c r="W1896" s="13">
        <f t="shared" si="2093"/>
        <v>0</v>
      </c>
      <c r="X1896" s="13">
        <f t="shared" si="2093"/>
        <v>0</v>
      </c>
      <c r="Y1896" s="13">
        <f t="shared" si="2093"/>
        <v>0</v>
      </c>
      <c r="Z1896" s="13">
        <f t="shared" si="1998"/>
        <v>0</v>
      </c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</row>
    <row r="1897" ht="14.25" customHeight="1">
      <c r="A1897" s="13" t="s">
        <v>36</v>
      </c>
      <c r="B1897" s="13" t="s">
        <v>42</v>
      </c>
      <c r="C1897" s="13">
        <v>1245.0</v>
      </c>
      <c r="D1897" s="13" t="s">
        <v>440</v>
      </c>
      <c r="E1897" s="13" t="str">
        <f t="shared" si="1988"/>
        <v>SFAEF,1245,BD,0</v>
      </c>
      <c r="F1897" s="13"/>
      <c r="G1897" s="13" t="s">
        <v>111</v>
      </c>
      <c r="H1897" s="13" t="s">
        <v>75</v>
      </c>
      <c r="I1897" s="13"/>
      <c r="J1897" s="13"/>
      <c r="K1897" s="15">
        <v>0.0</v>
      </c>
      <c r="L1897" s="15">
        <v>0.0</v>
      </c>
      <c r="M1897" s="16"/>
      <c r="N1897" s="16"/>
      <c r="O1897" s="17"/>
      <c r="P1897" s="17"/>
      <c r="Q1897" s="13">
        <f t="shared" si="2089"/>
        <v>0</v>
      </c>
      <c r="R1897" s="13"/>
      <c r="S1897" s="13"/>
      <c r="T1897" s="13">
        <f t="shared" ref="T1897:Y1897" si="2094">IF(ISBLANK(K1897)=TRUE,0,1)</f>
        <v>1</v>
      </c>
      <c r="U1897" s="13">
        <f t="shared" si="2094"/>
        <v>1</v>
      </c>
      <c r="V1897" s="13">
        <f t="shared" si="2094"/>
        <v>0</v>
      </c>
      <c r="W1897" s="13">
        <f t="shared" si="2094"/>
        <v>0</v>
      </c>
      <c r="X1897" s="13">
        <f t="shared" si="2094"/>
        <v>0</v>
      </c>
      <c r="Y1897" s="13">
        <f t="shared" si="2094"/>
        <v>0</v>
      </c>
      <c r="Z1897" s="13">
        <f t="shared" si="1998"/>
        <v>0</v>
      </c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</row>
    <row r="1898" ht="14.25" customHeight="1">
      <c r="A1898" s="13" t="s">
        <v>36</v>
      </c>
      <c r="B1898" s="13" t="s">
        <v>42</v>
      </c>
      <c r="C1898" s="13">
        <v>1245.0</v>
      </c>
      <c r="D1898" s="13" t="s">
        <v>441</v>
      </c>
      <c r="E1898" s="13" t="str">
        <f t="shared" si="1988"/>
        <v>SFAEF,1245,BE,0</v>
      </c>
      <c r="F1898" s="13"/>
      <c r="G1898" s="13" t="s">
        <v>111</v>
      </c>
      <c r="H1898" s="13" t="s">
        <v>75</v>
      </c>
      <c r="I1898" s="13"/>
      <c r="J1898" s="13"/>
      <c r="K1898" s="15">
        <v>0.0</v>
      </c>
      <c r="L1898" s="15">
        <v>0.0</v>
      </c>
      <c r="M1898" s="16"/>
      <c r="N1898" s="16"/>
      <c r="O1898" s="17"/>
      <c r="P1898" s="17"/>
      <c r="Q1898" s="13">
        <f t="shared" si="2089"/>
        <v>0</v>
      </c>
      <c r="R1898" s="13"/>
      <c r="S1898" s="13"/>
      <c r="T1898" s="13">
        <f t="shared" ref="T1898:Y1898" si="2095">IF(ISBLANK(K1898)=TRUE,0,1)</f>
        <v>1</v>
      </c>
      <c r="U1898" s="13">
        <f t="shared" si="2095"/>
        <v>1</v>
      </c>
      <c r="V1898" s="13">
        <f t="shared" si="2095"/>
        <v>0</v>
      </c>
      <c r="W1898" s="13">
        <f t="shared" si="2095"/>
        <v>0</v>
      </c>
      <c r="X1898" s="13">
        <f t="shared" si="2095"/>
        <v>0</v>
      </c>
      <c r="Y1898" s="13">
        <f t="shared" si="2095"/>
        <v>0</v>
      </c>
      <c r="Z1898" s="13">
        <f t="shared" si="1998"/>
        <v>0</v>
      </c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</row>
    <row r="1899" ht="14.25" customHeight="1">
      <c r="A1899" s="13" t="s">
        <v>36</v>
      </c>
      <c r="B1899" s="13" t="s">
        <v>42</v>
      </c>
      <c r="C1899" s="13">
        <v>1245.0</v>
      </c>
      <c r="D1899" s="13" t="s">
        <v>551</v>
      </c>
      <c r="E1899" s="13" t="str">
        <f t="shared" si="1988"/>
        <v>SFAEF,1245,BF,0</v>
      </c>
      <c r="F1899" s="13"/>
      <c r="G1899" s="13" t="s">
        <v>111</v>
      </c>
      <c r="H1899" s="13" t="s">
        <v>75</v>
      </c>
      <c r="I1899" s="13"/>
      <c r="J1899" s="13"/>
      <c r="K1899" s="15">
        <v>0.0</v>
      </c>
      <c r="L1899" s="15">
        <v>0.0</v>
      </c>
      <c r="M1899" s="16"/>
      <c r="N1899" s="16"/>
      <c r="O1899" s="17"/>
      <c r="P1899" s="17"/>
      <c r="Q1899" s="13">
        <f t="shared" si="2089"/>
        <v>0</v>
      </c>
      <c r="R1899" s="13"/>
      <c r="S1899" s="13"/>
      <c r="T1899" s="13">
        <f t="shared" ref="T1899:Y1899" si="2096">IF(ISBLANK(K1899)=TRUE,0,1)</f>
        <v>1</v>
      </c>
      <c r="U1899" s="13">
        <f t="shared" si="2096"/>
        <v>1</v>
      </c>
      <c r="V1899" s="13">
        <f t="shared" si="2096"/>
        <v>0</v>
      </c>
      <c r="W1899" s="13">
        <f t="shared" si="2096"/>
        <v>0</v>
      </c>
      <c r="X1899" s="13">
        <f t="shared" si="2096"/>
        <v>0</v>
      </c>
      <c r="Y1899" s="13">
        <f t="shared" si="2096"/>
        <v>0</v>
      </c>
      <c r="Z1899" s="13">
        <f t="shared" si="1998"/>
        <v>0</v>
      </c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</row>
    <row r="1900" ht="14.25" customHeight="1">
      <c r="A1900" s="13" t="s">
        <v>36</v>
      </c>
      <c r="B1900" s="13" t="s">
        <v>42</v>
      </c>
      <c r="C1900" s="13">
        <v>1245.0</v>
      </c>
      <c r="D1900" s="13" t="s">
        <v>553</v>
      </c>
      <c r="E1900" s="13" t="str">
        <f t="shared" si="1988"/>
        <v>SFAEF,1245,BG,0</v>
      </c>
      <c r="F1900" s="13"/>
      <c r="G1900" s="13" t="s">
        <v>111</v>
      </c>
      <c r="H1900" s="13" t="s">
        <v>75</v>
      </c>
      <c r="I1900" s="13"/>
      <c r="J1900" s="13"/>
      <c r="K1900" s="15">
        <v>0.0</v>
      </c>
      <c r="L1900" s="15">
        <v>0.0</v>
      </c>
      <c r="M1900" s="16"/>
      <c r="N1900" s="16"/>
      <c r="O1900" s="17"/>
      <c r="P1900" s="17"/>
      <c r="Q1900" s="13">
        <f t="shared" si="2089"/>
        <v>0</v>
      </c>
      <c r="R1900" s="13"/>
      <c r="S1900" s="13"/>
      <c r="T1900" s="13">
        <f t="shared" ref="T1900:Y1900" si="2097">IF(ISBLANK(K1900)=TRUE,0,1)</f>
        <v>1</v>
      </c>
      <c r="U1900" s="13">
        <f t="shared" si="2097"/>
        <v>1</v>
      </c>
      <c r="V1900" s="13">
        <f t="shared" si="2097"/>
        <v>0</v>
      </c>
      <c r="W1900" s="13">
        <f t="shared" si="2097"/>
        <v>0</v>
      </c>
      <c r="X1900" s="13">
        <f t="shared" si="2097"/>
        <v>0</v>
      </c>
      <c r="Y1900" s="13">
        <f t="shared" si="2097"/>
        <v>0</v>
      </c>
      <c r="Z1900" s="13">
        <f t="shared" si="1998"/>
        <v>0</v>
      </c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</row>
    <row r="1901" ht="14.25" customHeight="1">
      <c r="A1901" s="13" t="s">
        <v>36</v>
      </c>
      <c r="B1901" s="13" t="s">
        <v>42</v>
      </c>
      <c r="C1901" s="13">
        <v>1245.0</v>
      </c>
      <c r="D1901" s="13" t="s">
        <v>554</v>
      </c>
      <c r="E1901" s="13" t="str">
        <f t="shared" si="1988"/>
        <v>SFAEF,1245,BH,0</v>
      </c>
      <c r="F1901" s="13"/>
      <c r="G1901" s="13" t="s">
        <v>111</v>
      </c>
      <c r="H1901" s="13" t="s">
        <v>75</v>
      </c>
      <c r="I1901" s="13"/>
      <c r="J1901" s="13"/>
      <c r="K1901" s="15">
        <v>0.0</v>
      </c>
      <c r="L1901" s="15">
        <v>0.0</v>
      </c>
      <c r="M1901" s="16"/>
      <c r="N1901" s="16"/>
      <c r="O1901" s="17"/>
      <c r="P1901" s="17"/>
      <c r="Q1901" s="13">
        <f t="shared" si="2089"/>
        <v>0</v>
      </c>
      <c r="R1901" s="13"/>
      <c r="S1901" s="13"/>
      <c r="T1901" s="13">
        <f t="shared" ref="T1901:Y1901" si="2098">IF(ISBLANK(K1901)=TRUE,0,1)</f>
        <v>1</v>
      </c>
      <c r="U1901" s="13">
        <f t="shared" si="2098"/>
        <v>1</v>
      </c>
      <c r="V1901" s="13">
        <f t="shared" si="2098"/>
        <v>0</v>
      </c>
      <c r="W1901" s="13">
        <f t="shared" si="2098"/>
        <v>0</v>
      </c>
      <c r="X1901" s="13">
        <f t="shared" si="2098"/>
        <v>0</v>
      </c>
      <c r="Y1901" s="13">
        <f t="shared" si="2098"/>
        <v>0</v>
      </c>
      <c r="Z1901" s="13">
        <f t="shared" si="1998"/>
        <v>0</v>
      </c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</row>
    <row r="1902" ht="14.25" customHeight="1">
      <c r="A1902" s="13" t="s">
        <v>36</v>
      </c>
      <c r="B1902" s="13" t="s">
        <v>42</v>
      </c>
      <c r="C1902" s="13">
        <v>1335.0</v>
      </c>
      <c r="D1902" s="13" t="s">
        <v>168</v>
      </c>
      <c r="E1902" s="13" t="str">
        <f t="shared" si="1988"/>
        <v>SFAEF,1335,BJ,0</v>
      </c>
      <c r="F1902" s="13"/>
      <c r="G1902" s="13" t="s">
        <v>111</v>
      </c>
      <c r="H1902" s="13" t="s">
        <v>75</v>
      </c>
      <c r="I1902" s="13"/>
      <c r="J1902" s="13"/>
      <c r="K1902" s="15">
        <v>0.0</v>
      </c>
      <c r="L1902" s="15">
        <v>0.0</v>
      </c>
      <c r="M1902" s="16"/>
      <c r="N1902" s="16"/>
      <c r="O1902" s="17"/>
      <c r="P1902" s="17"/>
      <c r="Q1902" s="13">
        <f t="shared" si="2089"/>
        <v>0</v>
      </c>
      <c r="R1902" s="13"/>
      <c r="S1902" s="13"/>
      <c r="T1902" s="13">
        <f t="shared" ref="T1902:Y1902" si="2099">IF(ISBLANK(K1902)=TRUE,0,1)</f>
        <v>1</v>
      </c>
      <c r="U1902" s="13">
        <f t="shared" si="2099"/>
        <v>1</v>
      </c>
      <c r="V1902" s="13">
        <f t="shared" si="2099"/>
        <v>0</v>
      </c>
      <c r="W1902" s="13">
        <f t="shared" si="2099"/>
        <v>0</v>
      </c>
      <c r="X1902" s="13">
        <f t="shared" si="2099"/>
        <v>0</v>
      </c>
      <c r="Y1902" s="13">
        <f t="shared" si="2099"/>
        <v>0</v>
      </c>
      <c r="Z1902" s="13">
        <f t="shared" si="1998"/>
        <v>0</v>
      </c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</row>
    <row r="1903" ht="14.25" customHeight="1">
      <c r="A1903" s="13" t="s">
        <v>36</v>
      </c>
      <c r="B1903" s="13" t="s">
        <v>42</v>
      </c>
      <c r="C1903" s="13">
        <v>1335.0</v>
      </c>
      <c r="D1903" s="13" t="s">
        <v>169</v>
      </c>
      <c r="E1903" s="13" t="str">
        <f t="shared" si="1988"/>
        <v>SFAEF,1335,BK,0</v>
      </c>
      <c r="F1903" s="13"/>
      <c r="G1903" s="13" t="s">
        <v>111</v>
      </c>
      <c r="H1903" s="13" t="s">
        <v>75</v>
      </c>
      <c r="I1903" s="13"/>
      <c r="J1903" s="13"/>
      <c r="K1903" s="15">
        <v>0.0</v>
      </c>
      <c r="L1903" s="15">
        <v>0.0</v>
      </c>
      <c r="M1903" s="16"/>
      <c r="N1903" s="16"/>
      <c r="O1903" s="17"/>
      <c r="P1903" s="17"/>
      <c r="Q1903" s="13">
        <f t="shared" si="2089"/>
        <v>0</v>
      </c>
      <c r="R1903" s="13"/>
      <c r="S1903" s="13"/>
      <c r="T1903" s="13">
        <f t="shared" ref="T1903:Y1903" si="2100">IF(ISBLANK(K1903)=TRUE,0,1)</f>
        <v>1</v>
      </c>
      <c r="U1903" s="13">
        <f t="shared" si="2100"/>
        <v>1</v>
      </c>
      <c r="V1903" s="13">
        <f t="shared" si="2100"/>
        <v>0</v>
      </c>
      <c r="W1903" s="13">
        <f t="shared" si="2100"/>
        <v>0</v>
      </c>
      <c r="X1903" s="13">
        <f t="shared" si="2100"/>
        <v>0</v>
      </c>
      <c r="Y1903" s="13">
        <f t="shared" si="2100"/>
        <v>0</v>
      </c>
      <c r="Z1903" s="13">
        <f t="shared" si="1998"/>
        <v>0</v>
      </c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</row>
    <row r="1904" ht="14.25" customHeight="1">
      <c r="A1904" s="13" t="s">
        <v>36</v>
      </c>
      <c r="B1904" s="13" t="s">
        <v>42</v>
      </c>
      <c r="C1904" s="13">
        <v>1335.0</v>
      </c>
      <c r="D1904" s="13" t="s">
        <v>170</v>
      </c>
      <c r="E1904" s="13" t="str">
        <f t="shared" si="1988"/>
        <v>SFAEF,1335,BL,0</v>
      </c>
      <c r="F1904" s="13"/>
      <c r="G1904" s="13" t="s">
        <v>111</v>
      </c>
      <c r="H1904" s="13" t="s">
        <v>75</v>
      </c>
      <c r="I1904" s="13"/>
      <c r="J1904" s="13"/>
      <c r="K1904" s="15">
        <v>0.0</v>
      </c>
      <c r="L1904" s="15">
        <v>0.0</v>
      </c>
      <c r="M1904" s="16"/>
      <c r="N1904" s="16"/>
      <c r="O1904" s="17"/>
      <c r="P1904" s="17"/>
      <c r="Q1904" s="13">
        <f t="shared" si="2089"/>
        <v>0</v>
      </c>
      <c r="R1904" s="13"/>
      <c r="S1904" s="13"/>
      <c r="T1904" s="13">
        <f t="shared" ref="T1904:Y1904" si="2101">IF(ISBLANK(K1904)=TRUE,0,1)</f>
        <v>1</v>
      </c>
      <c r="U1904" s="13">
        <f t="shared" si="2101"/>
        <v>1</v>
      </c>
      <c r="V1904" s="13">
        <f t="shared" si="2101"/>
        <v>0</v>
      </c>
      <c r="W1904" s="13">
        <f t="shared" si="2101"/>
        <v>0</v>
      </c>
      <c r="X1904" s="13">
        <f t="shared" si="2101"/>
        <v>0</v>
      </c>
      <c r="Y1904" s="13">
        <f t="shared" si="2101"/>
        <v>0</v>
      </c>
      <c r="Z1904" s="13">
        <f t="shared" si="1998"/>
        <v>0</v>
      </c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</row>
    <row r="1905" ht="14.25" customHeight="1">
      <c r="A1905" s="13" t="s">
        <v>36</v>
      </c>
      <c r="B1905" s="13" t="s">
        <v>42</v>
      </c>
      <c r="C1905" s="13">
        <v>1335.0</v>
      </c>
      <c r="D1905" s="13" t="s">
        <v>171</v>
      </c>
      <c r="E1905" s="13" t="str">
        <f t="shared" si="1988"/>
        <v>SFAEF,1335,BM,0</v>
      </c>
      <c r="F1905" s="13"/>
      <c r="G1905" s="13" t="s">
        <v>111</v>
      </c>
      <c r="H1905" s="13" t="s">
        <v>75</v>
      </c>
      <c r="I1905" s="13"/>
      <c r="J1905" s="13"/>
      <c r="K1905" s="15">
        <v>0.0</v>
      </c>
      <c r="L1905" s="15">
        <v>0.0</v>
      </c>
      <c r="M1905" s="16"/>
      <c r="N1905" s="16"/>
      <c r="O1905" s="17"/>
      <c r="P1905" s="17"/>
      <c r="Q1905" s="13">
        <f t="shared" si="2089"/>
        <v>0</v>
      </c>
      <c r="R1905" s="13"/>
      <c r="S1905" s="13"/>
      <c r="T1905" s="13">
        <f t="shared" ref="T1905:Y1905" si="2102">IF(ISBLANK(K1905)=TRUE,0,1)</f>
        <v>1</v>
      </c>
      <c r="U1905" s="13">
        <f t="shared" si="2102"/>
        <v>1</v>
      </c>
      <c r="V1905" s="13">
        <f t="shared" si="2102"/>
        <v>0</v>
      </c>
      <c r="W1905" s="13">
        <f t="shared" si="2102"/>
        <v>0</v>
      </c>
      <c r="X1905" s="13">
        <f t="shared" si="2102"/>
        <v>0</v>
      </c>
      <c r="Y1905" s="13">
        <f t="shared" si="2102"/>
        <v>0</v>
      </c>
      <c r="Z1905" s="13">
        <f t="shared" si="1998"/>
        <v>0</v>
      </c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</row>
    <row r="1906" ht="14.25" customHeight="1">
      <c r="A1906" s="13" t="s">
        <v>36</v>
      </c>
      <c r="B1906" s="13" t="s">
        <v>42</v>
      </c>
      <c r="C1906" s="13">
        <v>1335.0</v>
      </c>
      <c r="D1906" s="13" t="s">
        <v>172</v>
      </c>
      <c r="E1906" s="13" t="str">
        <f t="shared" si="1988"/>
        <v>SFAEF,1335,BN,0</v>
      </c>
      <c r="F1906" s="13"/>
      <c r="G1906" s="13" t="s">
        <v>111</v>
      </c>
      <c r="H1906" s="13" t="s">
        <v>75</v>
      </c>
      <c r="I1906" s="13"/>
      <c r="J1906" s="13"/>
      <c r="K1906" s="15">
        <v>0.0</v>
      </c>
      <c r="L1906" s="15">
        <v>0.0</v>
      </c>
      <c r="M1906" s="16"/>
      <c r="N1906" s="16"/>
      <c r="O1906" s="17"/>
      <c r="P1906" s="17"/>
      <c r="Q1906" s="13">
        <f t="shared" si="2089"/>
        <v>0</v>
      </c>
      <c r="R1906" s="13"/>
      <c r="S1906" s="13"/>
      <c r="T1906" s="13">
        <f t="shared" ref="T1906:Y1906" si="2103">IF(ISBLANK(K1906)=TRUE,0,1)</f>
        <v>1</v>
      </c>
      <c r="U1906" s="13">
        <f t="shared" si="2103"/>
        <v>1</v>
      </c>
      <c r="V1906" s="13">
        <f t="shared" si="2103"/>
        <v>0</v>
      </c>
      <c r="W1906" s="13">
        <f t="shared" si="2103"/>
        <v>0</v>
      </c>
      <c r="X1906" s="13">
        <f t="shared" si="2103"/>
        <v>0</v>
      </c>
      <c r="Y1906" s="13">
        <f t="shared" si="2103"/>
        <v>0</v>
      </c>
      <c r="Z1906" s="13">
        <f t="shared" si="1998"/>
        <v>0</v>
      </c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</row>
    <row r="1907" ht="14.25" customHeight="1">
      <c r="A1907" s="13" t="s">
        <v>36</v>
      </c>
      <c r="B1907" s="13" t="s">
        <v>42</v>
      </c>
      <c r="C1907" s="13">
        <v>1335.0</v>
      </c>
      <c r="D1907" s="13" t="s">
        <v>556</v>
      </c>
      <c r="E1907" s="13" t="str">
        <f t="shared" si="1988"/>
        <v>SFAEF,1335,BO,0</v>
      </c>
      <c r="F1907" s="13"/>
      <c r="G1907" s="13" t="s">
        <v>111</v>
      </c>
      <c r="H1907" s="13" t="s">
        <v>75</v>
      </c>
      <c r="I1907" s="13"/>
      <c r="J1907" s="13"/>
      <c r="K1907" s="15">
        <v>0.0</v>
      </c>
      <c r="L1907" s="15">
        <v>0.0</v>
      </c>
      <c r="M1907" s="16"/>
      <c r="N1907" s="16"/>
      <c r="O1907" s="17"/>
      <c r="P1907" s="17"/>
      <c r="Q1907" s="13">
        <f t="shared" si="2089"/>
        <v>0</v>
      </c>
      <c r="R1907" s="13"/>
      <c r="S1907" s="13"/>
      <c r="T1907" s="13">
        <f t="shared" ref="T1907:Y1907" si="2104">IF(ISBLANK(K1907)=TRUE,0,1)</f>
        <v>1</v>
      </c>
      <c r="U1907" s="13">
        <f t="shared" si="2104"/>
        <v>1</v>
      </c>
      <c r="V1907" s="13">
        <f t="shared" si="2104"/>
        <v>0</v>
      </c>
      <c r="W1907" s="13">
        <f t="shared" si="2104"/>
        <v>0</v>
      </c>
      <c r="X1907" s="13">
        <f t="shared" si="2104"/>
        <v>0</v>
      </c>
      <c r="Y1907" s="13">
        <f t="shared" si="2104"/>
        <v>0</v>
      </c>
      <c r="Z1907" s="13">
        <f t="shared" si="1998"/>
        <v>0</v>
      </c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</row>
    <row r="1908" ht="14.25" customHeight="1">
      <c r="A1908" s="13" t="s">
        <v>36</v>
      </c>
      <c r="B1908" s="13" t="s">
        <v>42</v>
      </c>
      <c r="C1908" s="13">
        <v>1335.0</v>
      </c>
      <c r="D1908" s="13" t="s">
        <v>557</v>
      </c>
      <c r="E1908" s="13" t="str">
        <f t="shared" si="1988"/>
        <v>SFAEF,1335,BP,0</v>
      </c>
      <c r="F1908" s="13"/>
      <c r="G1908" s="13" t="s">
        <v>111</v>
      </c>
      <c r="H1908" s="13" t="s">
        <v>75</v>
      </c>
      <c r="I1908" s="13"/>
      <c r="J1908" s="13"/>
      <c r="K1908" s="15">
        <v>0.0</v>
      </c>
      <c r="L1908" s="15">
        <v>0.0</v>
      </c>
      <c r="M1908" s="16"/>
      <c r="N1908" s="16"/>
      <c r="O1908" s="17"/>
      <c r="P1908" s="17"/>
      <c r="Q1908" s="13">
        <f t="shared" si="2089"/>
        <v>0</v>
      </c>
      <c r="R1908" s="13"/>
      <c r="S1908" s="13"/>
      <c r="T1908" s="13">
        <f t="shared" ref="T1908:Y1908" si="2105">IF(ISBLANK(K1908)=TRUE,0,1)</f>
        <v>1</v>
      </c>
      <c r="U1908" s="13">
        <f t="shared" si="2105"/>
        <v>1</v>
      </c>
      <c r="V1908" s="13">
        <f t="shared" si="2105"/>
        <v>0</v>
      </c>
      <c r="W1908" s="13">
        <f t="shared" si="2105"/>
        <v>0</v>
      </c>
      <c r="X1908" s="13">
        <f t="shared" si="2105"/>
        <v>0</v>
      </c>
      <c r="Y1908" s="13">
        <f t="shared" si="2105"/>
        <v>0</v>
      </c>
      <c r="Z1908" s="13">
        <f t="shared" si="1998"/>
        <v>0</v>
      </c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</row>
    <row r="1909" ht="14.25" customHeight="1">
      <c r="A1909" s="13" t="s">
        <v>36</v>
      </c>
      <c r="B1909" s="13" t="s">
        <v>42</v>
      </c>
      <c r="C1909" s="13">
        <v>1335.0</v>
      </c>
      <c r="D1909" s="13" t="s">
        <v>110</v>
      </c>
      <c r="E1909" s="13" t="str">
        <f t="shared" si="1988"/>
        <v>SFAEF,1335,BQ,0</v>
      </c>
      <c r="F1909" s="13"/>
      <c r="G1909" s="13" t="s">
        <v>111</v>
      </c>
      <c r="H1909" s="13" t="s">
        <v>75</v>
      </c>
      <c r="I1909" s="13"/>
      <c r="J1909" s="13"/>
      <c r="K1909" s="15">
        <v>0.0</v>
      </c>
      <c r="L1909" s="15">
        <v>0.0</v>
      </c>
      <c r="M1909" s="16"/>
      <c r="N1909" s="16"/>
      <c r="O1909" s="17"/>
      <c r="P1909" s="17"/>
      <c r="Q1909" s="13">
        <f t="shared" si="2089"/>
        <v>0</v>
      </c>
      <c r="R1909" s="13"/>
      <c r="S1909" s="13"/>
      <c r="T1909" s="13">
        <f t="shared" ref="T1909:Y1909" si="2106">IF(ISBLANK(K1909)=TRUE,0,1)</f>
        <v>1</v>
      </c>
      <c r="U1909" s="13">
        <f t="shared" si="2106"/>
        <v>1</v>
      </c>
      <c r="V1909" s="13">
        <f t="shared" si="2106"/>
        <v>0</v>
      </c>
      <c r="W1909" s="13">
        <f t="shared" si="2106"/>
        <v>0</v>
      </c>
      <c r="X1909" s="13">
        <f t="shared" si="2106"/>
        <v>0</v>
      </c>
      <c r="Y1909" s="13">
        <f t="shared" si="2106"/>
        <v>0</v>
      </c>
      <c r="Z1909" s="13">
        <f t="shared" si="1998"/>
        <v>0</v>
      </c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</row>
    <row r="1910" ht="14.25" customHeight="1">
      <c r="A1910" s="13" t="s">
        <v>36</v>
      </c>
      <c r="B1910" s="13" t="s">
        <v>42</v>
      </c>
      <c r="C1910" s="13" t="s">
        <v>1155</v>
      </c>
      <c r="D1910" s="13" t="s">
        <v>180</v>
      </c>
      <c r="E1910" s="13" t="str">
        <f t="shared" si="1988"/>
        <v>SFAEF,201-15,AG,1</v>
      </c>
      <c r="F1910" s="13"/>
      <c r="G1910" s="13" t="s">
        <v>74</v>
      </c>
      <c r="H1910" s="13" t="s">
        <v>75</v>
      </c>
      <c r="I1910" s="13"/>
      <c r="J1910" s="13"/>
      <c r="K1910" s="15">
        <v>1.0</v>
      </c>
      <c r="L1910" s="15">
        <v>1.0</v>
      </c>
      <c r="M1910" s="16"/>
      <c r="N1910" s="16"/>
      <c r="O1910" s="17"/>
      <c r="P1910" s="17"/>
      <c r="Q1910" s="13">
        <f t="shared" si="2089"/>
        <v>0</v>
      </c>
      <c r="R1910" s="13"/>
      <c r="S1910" s="13"/>
      <c r="T1910" s="13">
        <f t="shared" ref="T1910:Y1910" si="2107">IF(ISBLANK(K1910)=TRUE,0,1)</f>
        <v>1</v>
      </c>
      <c r="U1910" s="13">
        <f t="shared" si="2107"/>
        <v>1</v>
      </c>
      <c r="V1910" s="13">
        <f t="shared" si="2107"/>
        <v>0</v>
      </c>
      <c r="W1910" s="13">
        <f t="shared" si="2107"/>
        <v>0</v>
      </c>
      <c r="X1910" s="13">
        <f t="shared" si="2107"/>
        <v>0</v>
      </c>
      <c r="Y1910" s="13">
        <f t="shared" si="2107"/>
        <v>0</v>
      </c>
      <c r="Z1910" s="13">
        <f t="shared" si="1998"/>
        <v>1</v>
      </c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</row>
    <row r="1911" ht="14.25" customHeight="1">
      <c r="A1911" s="13" t="s">
        <v>36</v>
      </c>
      <c r="B1911" s="13" t="s">
        <v>42</v>
      </c>
      <c r="C1911" s="13" t="s">
        <v>1156</v>
      </c>
      <c r="D1911" s="13"/>
      <c r="E1911" s="13" t="str">
        <f t="shared" si="1988"/>
        <v>SFAEF,39-10-128,,NA</v>
      </c>
      <c r="F1911" s="13"/>
      <c r="G1911" s="13" t="s">
        <v>74</v>
      </c>
      <c r="H1911" s="13" t="s">
        <v>75</v>
      </c>
      <c r="I1911" s="13"/>
      <c r="J1911" s="13"/>
      <c r="K1911" s="15"/>
      <c r="L1911" s="15"/>
      <c r="M1911" s="16"/>
      <c r="N1911" s="16"/>
      <c r="O1911" s="17"/>
      <c r="P1911" s="17"/>
      <c r="Q1911" s="13"/>
      <c r="R1911" s="13"/>
      <c r="S1911" s="13"/>
      <c r="T1911" s="13">
        <f t="shared" ref="T1911:Y1911" si="2108">IF(ISBLANK(K1911)=TRUE,0,1)</f>
        <v>0</v>
      </c>
      <c r="U1911" s="13">
        <f t="shared" si="2108"/>
        <v>0</v>
      </c>
      <c r="V1911" s="13">
        <f t="shared" si="2108"/>
        <v>0</v>
      </c>
      <c r="W1911" s="13">
        <f t="shared" si="2108"/>
        <v>0</v>
      </c>
      <c r="X1911" s="13">
        <f t="shared" si="2108"/>
        <v>0</v>
      </c>
      <c r="Y1911" s="13">
        <f t="shared" si="2108"/>
        <v>0</v>
      </c>
      <c r="Z1911" s="13" t="str">
        <f t="shared" si="1998"/>
        <v>NA</v>
      </c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</row>
    <row r="1912" ht="14.25" customHeight="1">
      <c r="A1912" s="13" t="s">
        <v>36</v>
      </c>
      <c r="B1912" s="13" t="s">
        <v>42</v>
      </c>
      <c r="C1912" s="13" t="s">
        <v>1157</v>
      </c>
      <c r="D1912" s="13"/>
      <c r="E1912" s="13" t="str">
        <f t="shared" si="1988"/>
        <v>SFAEF,39-10-129,,NA</v>
      </c>
      <c r="F1912" s="13"/>
      <c r="G1912" s="13" t="s">
        <v>74</v>
      </c>
      <c r="H1912" s="13" t="s">
        <v>75</v>
      </c>
      <c r="I1912" s="13"/>
      <c r="J1912" s="13"/>
      <c r="K1912" s="15"/>
      <c r="L1912" s="15"/>
      <c r="M1912" s="16"/>
      <c r="N1912" s="16"/>
      <c r="O1912" s="17"/>
      <c r="P1912" s="17"/>
      <c r="Q1912" s="13"/>
      <c r="R1912" s="13"/>
      <c r="S1912" s="13"/>
      <c r="T1912" s="13">
        <f t="shared" ref="T1912:Y1912" si="2109">IF(ISBLANK(K1912)=TRUE,0,1)</f>
        <v>0</v>
      </c>
      <c r="U1912" s="13">
        <f t="shared" si="2109"/>
        <v>0</v>
      </c>
      <c r="V1912" s="13">
        <f t="shared" si="2109"/>
        <v>0</v>
      </c>
      <c r="W1912" s="13">
        <f t="shared" si="2109"/>
        <v>0</v>
      </c>
      <c r="X1912" s="13">
        <f t="shared" si="2109"/>
        <v>0</v>
      </c>
      <c r="Y1912" s="13">
        <f t="shared" si="2109"/>
        <v>0</v>
      </c>
      <c r="Z1912" s="13" t="str">
        <f t="shared" si="1998"/>
        <v>NA</v>
      </c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</row>
    <row r="1913" ht="14.25" customHeight="1">
      <c r="A1913" s="13" t="s">
        <v>36</v>
      </c>
      <c r="B1913" s="13" t="s">
        <v>42</v>
      </c>
      <c r="C1913" s="13" t="s">
        <v>1158</v>
      </c>
      <c r="D1913" s="13"/>
      <c r="E1913" s="13" t="str">
        <f t="shared" si="1988"/>
        <v>SFAEF,39-10-130,,NA</v>
      </c>
      <c r="F1913" s="13"/>
      <c r="G1913" s="13" t="s">
        <v>74</v>
      </c>
      <c r="H1913" s="13" t="s">
        <v>75</v>
      </c>
      <c r="I1913" s="13"/>
      <c r="J1913" s="13"/>
      <c r="K1913" s="15"/>
      <c r="L1913" s="15"/>
      <c r="M1913" s="16"/>
      <c r="N1913" s="16"/>
      <c r="O1913" s="17"/>
      <c r="P1913" s="17"/>
      <c r="Q1913" s="13"/>
      <c r="R1913" s="13"/>
      <c r="S1913" s="13"/>
      <c r="T1913" s="13">
        <f t="shared" ref="T1913:Y1913" si="2110">IF(ISBLANK(K1913)=TRUE,0,1)</f>
        <v>0</v>
      </c>
      <c r="U1913" s="13">
        <f t="shared" si="2110"/>
        <v>0</v>
      </c>
      <c r="V1913" s="13">
        <f t="shared" si="2110"/>
        <v>0</v>
      </c>
      <c r="W1913" s="13">
        <f t="shared" si="2110"/>
        <v>0</v>
      </c>
      <c r="X1913" s="13">
        <f t="shared" si="2110"/>
        <v>0</v>
      </c>
      <c r="Y1913" s="13">
        <f t="shared" si="2110"/>
        <v>0</v>
      </c>
      <c r="Z1913" s="13" t="str">
        <f t="shared" si="1998"/>
        <v>NA</v>
      </c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</row>
    <row r="1914" ht="14.25" customHeight="1">
      <c r="A1914" s="13" t="s">
        <v>36</v>
      </c>
      <c r="B1914" s="13" t="s">
        <v>42</v>
      </c>
      <c r="C1914" s="13" t="s">
        <v>1159</v>
      </c>
      <c r="D1914" s="13"/>
      <c r="E1914" s="13" t="str">
        <f t="shared" si="1988"/>
        <v>SFAEF,39-10-131,,NA</v>
      </c>
      <c r="F1914" s="13"/>
      <c r="G1914" s="13" t="s">
        <v>74</v>
      </c>
      <c r="H1914" s="13" t="s">
        <v>75</v>
      </c>
      <c r="I1914" s="13"/>
      <c r="J1914" s="13"/>
      <c r="K1914" s="15"/>
      <c r="L1914" s="15"/>
      <c r="M1914" s="16"/>
      <c r="N1914" s="16"/>
      <c r="O1914" s="17"/>
      <c r="P1914" s="17"/>
      <c r="Q1914" s="13"/>
      <c r="R1914" s="13"/>
      <c r="S1914" s="13"/>
      <c r="T1914" s="13">
        <f t="shared" ref="T1914:Y1914" si="2111">IF(ISBLANK(K1914)=TRUE,0,1)</f>
        <v>0</v>
      </c>
      <c r="U1914" s="13">
        <f t="shared" si="2111"/>
        <v>0</v>
      </c>
      <c r="V1914" s="13">
        <f t="shared" si="2111"/>
        <v>0</v>
      </c>
      <c r="W1914" s="13">
        <f t="shared" si="2111"/>
        <v>0</v>
      </c>
      <c r="X1914" s="13">
        <f t="shared" si="2111"/>
        <v>0</v>
      </c>
      <c r="Y1914" s="13">
        <f t="shared" si="2111"/>
        <v>0</v>
      </c>
      <c r="Z1914" s="13" t="str">
        <f t="shared" si="1998"/>
        <v>NA</v>
      </c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</row>
    <row r="1915" ht="14.25" customHeight="1">
      <c r="A1915" s="13" t="s">
        <v>36</v>
      </c>
      <c r="B1915" s="13" t="s">
        <v>42</v>
      </c>
      <c r="C1915" s="13" t="s">
        <v>1160</v>
      </c>
      <c r="D1915" s="13"/>
      <c r="E1915" s="13" t="str">
        <f t="shared" si="1988"/>
        <v>SFAEF,39-10-132,,NA</v>
      </c>
      <c r="F1915" s="13"/>
      <c r="G1915" s="13" t="s">
        <v>74</v>
      </c>
      <c r="H1915" s="13" t="s">
        <v>75</v>
      </c>
      <c r="I1915" s="13"/>
      <c r="J1915" s="13"/>
      <c r="K1915" s="15"/>
      <c r="L1915" s="15"/>
      <c r="M1915" s="16"/>
      <c r="N1915" s="16"/>
      <c r="O1915" s="17"/>
      <c r="P1915" s="17"/>
      <c r="Q1915" s="13"/>
      <c r="R1915" s="13"/>
      <c r="S1915" s="13"/>
      <c r="T1915" s="13">
        <f t="shared" ref="T1915:Y1915" si="2112">IF(ISBLANK(K1915)=TRUE,0,1)</f>
        <v>0</v>
      </c>
      <c r="U1915" s="13">
        <f t="shared" si="2112"/>
        <v>0</v>
      </c>
      <c r="V1915" s="13">
        <f t="shared" si="2112"/>
        <v>0</v>
      </c>
      <c r="W1915" s="13">
        <f t="shared" si="2112"/>
        <v>0</v>
      </c>
      <c r="X1915" s="13">
        <f t="shared" si="2112"/>
        <v>0</v>
      </c>
      <c r="Y1915" s="13">
        <f t="shared" si="2112"/>
        <v>0</v>
      </c>
      <c r="Z1915" s="13" t="str">
        <f t="shared" si="1998"/>
        <v>NA</v>
      </c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</row>
    <row r="1916" ht="14.25" customHeight="1">
      <c r="A1916" s="13" t="s">
        <v>36</v>
      </c>
      <c r="B1916" s="13" t="s">
        <v>42</v>
      </c>
      <c r="C1916" s="13" t="s">
        <v>1161</v>
      </c>
      <c r="D1916" s="13"/>
      <c r="E1916" s="13" t="str">
        <f t="shared" si="1988"/>
        <v>SFAEF,39-10-133,,NA</v>
      </c>
      <c r="F1916" s="13"/>
      <c r="G1916" s="13" t="s">
        <v>74</v>
      </c>
      <c r="H1916" s="13" t="s">
        <v>75</v>
      </c>
      <c r="I1916" s="13"/>
      <c r="J1916" s="13"/>
      <c r="K1916" s="15"/>
      <c r="L1916" s="15"/>
      <c r="M1916" s="16"/>
      <c r="N1916" s="16"/>
      <c r="O1916" s="17"/>
      <c r="P1916" s="17"/>
      <c r="Q1916" s="13"/>
      <c r="R1916" s="13"/>
      <c r="S1916" s="13"/>
      <c r="T1916" s="13">
        <f t="shared" ref="T1916:Y1916" si="2113">IF(ISBLANK(K1916)=TRUE,0,1)</f>
        <v>0</v>
      </c>
      <c r="U1916" s="13">
        <f t="shared" si="2113"/>
        <v>0</v>
      </c>
      <c r="V1916" s="13">
        <f t="shared" si="2113"/>
        <v>0</v>
      </c>
      <c r="W1916" s="13">
        <f t="shared" si="2113"/>
        <v>0</v>
      </c>
      <c r="X1916" s="13">
        <f t="shared" si="2113"/>
        <v>0</v>
      </c>
      <c r="Y1916" s="13">
        <f t="shared" si="2113"/>
        <v>0</v>
      </c>
      <c r="Z1916" s="13" t="str">
        <f t="shared" si="1998"/>
        <v>NA</v>
      </c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</row>
    <row r="1917" ht="14.25" customHeight="1">
      <c r="A1917" s="13" t="s">
        <v>36</v>
      </c>
      <c r="B1917" s="13" t="s">
        <v>42</v>
      </c>
      <c r="C1917" s="13" t="s">
        <v>1162</v>
      </c>
      <c r="D1917" s="13"/>
      <c r="E1917" s="13" t="str">
        <f t="shared" si="1988"/>
        <v>SFAEF,39-10-134,,NA</v>
      </c>
      <c r="F1917" s="13"/>
      <c r="G1917" s="13" t="s">
        <v>74</v>
      </c>
      <c r="H1917" s="13" t="s">
        <v>75</v>
      </c>
      <c r="I1917" s="13"/>
      <c r="J1917" s="13"/>
      <c r="K1917" s="15"/>
      <c r="L1917" s="15"/>
      <c r="M1917" s="16"/>
      <c r="N1917" s="16"/>
      <c r="O1917" s="17"/>
      <c r="P1917" s="17"/>
      <c r="Q1917" s="13"/>
      <c r="R1917" s="13"/>
      <c r="S1917" s="13"/>
      <c r="T1917" s="13">
        <f t="shared" ref="T1917:Y1917" si="2114">IF(ISBLANK(K1917)=TRUE,0,1)</f>
        <v>0</v>
      </c>
      <c r="U1917" s="13">
        <f t="shared" si="2114"/>
        <v>0</v>
      </c>
      <c r="V1917" s="13">
        <f t="shared" si="2114"/>
        <v>0</v>
      </c>
      <c r="W1917" s="13">
        <f t="shared" si="2114"/>
        <v>0</v>
      </c>
      <c r="X1917" s="13">
        <f t="shared" si="2114"/>
        <v>0</v>
      </c>
      <c r="Y1917" s="13">
        <f t="shared" si="2114"/>
        <v>0</v>
      </c>
      <c r="Z1917" s="13" t="str">
        <f t="shared" si="1998"/>
        <v>NA</v>
      </c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</row>
    <row r="1918" ht="14.25" customHeight="1">
      <c r="A1918" s="13" t="s">
        <v>36</v>
      </c>
      <c r="B1918" s="13" t="s">
        <v>42</v>
      </c>
      <c r="C1918" s="13">
        <v>4.0</v>
      </c>
      <c r="D1918" s="13" t="s">
        <v>174</v>
      </c>
      <c r="E1918" s="13" t="str">
        <f t="shared" si="1988"/>
        <v>SFAEF,4,AA,0.5</v>
      </c>
      <c r="F1918" s="13"/>
      <c r="G1918" s="13" t="s">
        <v>111</v>
      </c>
      <c r="H1918" s="13" t="s">
        <v>75</v>
      </c>
      <c r="I1918" s="13"/>
      <c r="J1918" s="13"/>
      <c r="K1918" s="15">
        <v>1.0</v>
      </c>
      <c r="L1918" s="15">
        <v>0.0</v>
      </c>
      <c r="M1918" s="16"/>
      <c r="N1918" s="16"/>
      <c r="O1918" s="17"/>
      <c r="P1918" s="17"/>
      <c r="Q1918" s="13">
        <f t="shared" ref="Q1918:Q1939" si="2116">K1917+L1917+M1917+N1917+O1917+P1917/6</f>
        <v>0</v>
      </c>
      <c r="R1918" s="13"/>
      <c r="S1918" s="13"/>
      <c r="T1918" s="13">
        <f t="shared" ref="T1918:Y1918" si="2115">IF(ISBLANK(K1918)=TRUE,0,1)</f>
        <v>1</v>
      </c>
      <c r="U1918" s="13">
        <f t="shared" si="2115"/>
        <v>1</v>
      </c>
      <c r="V1918" s="13">
        <f t="shared" si="2115"/>
        <v>0</v>
      </c>
      <c r="W1918" s="13">
        <f t="shared" si="2115"/>
        <v>0</v>
      </c>
      <c r="X1918" s="13">
        <f t="shared" si="2115"/>
        <v>0</v>
      </c>
      <c r="Y1918" s="13">
        <f t="shared" si="2115"/>
        <v>0</v>
      </c>
      <c r="Z1918" s="13">
        <f t="shared" si="1998"/>
        <v>0.5</v>
      </c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</row>
    <row r="1919" ht="14.25" customHeight="1">
      <c r="A1919" s="13" t="s">
        <v>36</v>
      </c>
      <c r="B1919" s="13" t="s">
        <v>42</v>
      </c>
      <c r="C1919" s="13">
        <v>4.0</v>
      </c>
      <c r="D1919" s="13" t="s">
        <v>175</v>
      </c>
      <c r="E1919" s="13" t="str">
        <f t="shared" si="1988"/>
        <v>SFAEF,4,AB,0.5</v>
      </c>
      <c r="F1919" s="13"/>
      <c r="G1919" s="13" t="s">
        <v>111</v>
      </c>
      <c r="H1919" s="13" t="s">
        <v>75</v>
      </c>
      <c r="I1919" s="13"/>
      <c r="J1919" s="13"/>
      <c r="K1919" s="15">
        <v>1.0</v>
      </c>
      <c r="L1919" s="15">
        <v>0.0</v>
      </c>
      <c r="M1919" s="16"/>
      <c r="N1919" s="16"/>
      <c r="O1919" s="17"/>
      <c r="P1919" s="17"/>
      <c r="Q1919" s="13">
        <f t="shared" si="2116"/>
        <v>1</v>
      </c>
      <c r="R1919" s="13"/>
      <c r="S1919" s="13"/>
      <c r="T1919" s="13">
        <f t="shared" ref="T1919:Y1919" si="2117">IF(ISBLANK(K1919)=TRUE,0,1)</f>
        <v>1</v>
      </c>
      <c r="U1919" s="13">
        <f t="shared" si="2117"/>
        <v>1</v>
      </c>
      <c r="V1919" s="13">
        <f t="shared" si="2117"/>
        <v>0</v>
      </c>
      <c r="W1919" s="13">
        <f t="shared" si="2117"/>
        <v>0</v>
      </c>
      <c r="X1919" s="13">
        <f t="shared" si="2117"/>
        <v>0</v>
      </c>
      <c r="Y1919" s="13">
        <f t="shared" si="2117"/>
        <v>0</v>
      </c>
      <c r="Z1919" s="13">
        <f t="shared" si="1998"/>
        <v>0.5</v>
      </c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</row>
    <row r="1920" ht="14.25" customHeight="1">
      <c r="A1920" s="13" t="s">
        <v>36</v>
      </c>
      <c r="B1920" s="13" t="s">
        <v>42</v>
      </c>
      <c r="C1920" s="13">
        <v>4.0</v>
      </c>
      <c r="D1920" s="13" t="s">
        <v>176</v>
      </c>
      <c r="E1920" s="13" t="str">
        <f t="shared" si="1988"/>
        <v>SFAEF,4,AC,0.5</v>
      </c>
      <c r="F1920" s="13"/>
      <c r="G1920" s="13" t="s">
        <v>111</v>
      </c>
      <c r="H1920" s="13" t="s">
        <v>75</v>
      </c>
      <c r="I1920" s="13"/>
      <c r="J1920" s="13"/>
      <c r="K1920" s="15">
        <v>1.0</v>
      </c>
      <c r="L1920" s="15">
        <v>0.0</v>
      </c>
      <c r="M1920" s="16"/>
      <c r="N1920" s="16"/>
      <c r="O1920" s="17"/>
      <c r="P1920" s="17"/>
      <c r="Q1920" s="13">
        <f t="shared" si="2116"/>
        <v>1</v>
      </c>
      <c r="R1920" s="13"/>
      <c r="S1920" s="13"/>
      <c r="T1920" s="13">
        <f t="shared" ref="T1920:Y1920" si="2118">IF(ISBLANK(K1920)=TRUE,0,1)</f>
        <v>1</v>
      </c>
      <c r="U1920" s="13">
        <f t="shared" si="2118"/>
        <v>1</v>
      </c>
      <c r="V1920" s="13">
        <f t="shared" si="2118"/>
        <v>0</v>
      </c>
      <c r="W1920" s="13">
        <f t="shared" si="2118"/>
        <v>0</v>
      </c>
      <c r="X1920" s="13">
        <f t="shared" si="2118"/>
        <v>0</v>
      </c>
      <c r="Y1920" s="13">
        <f t="shared" si="2118"/>
        <v>0</v>
      </c>
      <c r="Z1920" s="13">
        <f t="shared" si="1998"/>
        <v>0.5</v>
      </c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</row>
    <row r="1921" ht="14.25" customHeight="1">
      <c r="A1921" s="13" t="s">
        <v>36</v>
      </c>
      <c r="B1921" s="13" t="s">
        <v>42</v>
      </c>
      <c r="C1921" s="13">
        <v>4.0</v>
      </c>
      <c r="D1921" s="13" t="s">
        <v>177</v>
      </c>
      <c r="E1921" s="13" t="str">
        <f t="shared" si="1988"/>
        <v>SFAEF,4,AD,0.5</v>
      </c>
      <c r="F1921" s="13"/>
      <c r="G1921" s="13" t="s">
        <v>111</v>
      </c>
      <c r="H1921" s="13" t="s">
        <v>75</v>
      </c>
      <c r="I1921" s="13"/>
      <c r="J1921" s="13"/>
      <c r="K1921" s="15">
        <v>1.0</v>
      </c>
      <c r="L1921" s="15">
        <v>0.0</v>
      </c>
      <c r="M1921" s="16"/>
      <c r="N1921" s="16"/>
      <c r="O1921" s="17"/>
      <c r="P1921" s="17"/>
      <c r="Q1921" s="13">
        <f t="shared" si="2116"/>
        <v>1</v>
      </c>
      <c r="R1921" s="13"/>
      <c r="S1921" s="13"/>
      <c r="T1921" s="13">
        <f t="shared" ref="T1921:Y1921" si="2119">IF(ISBLANK(K1921)=TRUE,0,1)</f>
        <v>1</v>
      </c>
      <c r="U1921" s="13">
        <f t="shared" si="2119"/>
        <v>1</v>
      </c>
      <c r="V1921" s="13">
        <f t="shared" si="2119"/>
        <v>0</v>
      </c>
      <c r="W1921" s="13">
        <f t="shared" si="2119"/>
        <v>0</v>
      </c>
      <c r="X1921" s="13">
        <f t="shared" si="2119"/>
        <v>0</v>
      </c>
      <c r="Y1921" s="13">
        <f t="shared" si="2119"/>
        <v>0</v>
      </c>
      <c r="Z1921" s="13">
        <f t="shared" si="1998"/>
        <v>0.5</v>
      </c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</row>
    <row r="1922" ht="14.25" customHeight="1">
      <c r="A1922" s="13" t="s">
        <v>36</v>
      </c>
      <c r="B1922" s="13" t="s">
        <v>42</v>
      </c>
      <c r="C1922" s="13">
        <v>4.0</v>
      </c>
      <c r="D1922" s="13" t="s">
        <v>178</v>
      </c>
      <c r="E1922" s="13" t="str">
        <f t="shared" si="1988"/>
        <v>SFAEF,4,AE,0.5</v>
      </c>
      <c r="F1922" s="13"/>
      <c r="G1922" s="13" t="s">
        <v>111</v>
      </c>
      <c r="H1922" s="13" t="s">
        <v>75</v>
      </c>
      <c r="I1922" s="13"/>
      <c r="J1922" s="13"/>
      <c r="K1922" s="15">
        <v>1.0</v>
      </c>
      <c r="L1922" s="15">
        <v>0.0</v>
      </c>
      <c r="M1922" s="16"/>
      <c r="N1922" s="16"/>
      <c r="O1922" s="17"/>
      <c r="P1922" s="17"/>
      <c r="Q1922" s="13">
        <f t="shared" si="2116"/>
        <v>1</v>
      </c>
      <c r="R1922" s="13"/>
      <c r="S1922" s="13"/>
      <c r="T1922" s="13">
        <f t="shared" ref="T1922:Y1922" si="2120">IF(ISBLANK(K1922)=TRUE,0,1)</f>
        <v>1</v>
      </c>
      <c r="U1922" s="13">
        <f t="shared" si="2120"/>
        <v>1</v>
      </c>
      <c r="V1922" s="13">
        <f t="shared" si="2120"/>
        <v>0</v>
      </c>
      <c r="W1922" s="13">
        <f t="shared" si="2120"/>
        <v>0</v>
      </c>
      <c r="X1922" s="13">
        <f t="shared" si="2120"/>
        <v>0</v>
      </c>
      <c r="Y1922" s="13">
        <f t="shared" si="2120"/>
        <v>0</v>
      </c>
      <c r="Z1922" s="13">
        <f t="shared" si="1998"/>
        <v>0.5</v>
      </c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</row>
    <row r="1923" ht="14.25" customHeight="1">
      <c r="A1923" s="13" t="s">
        <v>36</v>
      </c>
      <c r="B1923" s="13" t="s">
        <v>42</v>
      </c>
      <c r="C1923" s="13">
        <v>4.0</v>
      </c>
      <c r="D1923" s="13" t="s">
        <v>179</v>
      </c>
      <c r="E1923" s="13" t="str">
        <f t="shared" si="1988"/>
        <v>SFAEF,4,AF,0.5</v>
      </c>
      <c r="F1923" s="13"/>
      <c r="G1923" s="13" t="s">
        <v>111</v>
      </c>
      <c r="H1923" s="13" t="s">
        <v>75</v>
      </c>
      <c r="I1923" s="13"/>
      <c r="J1923" s="13"/>
      <c r="K1923" s="15">
        <v>1.0</v>
      </c>
      <c r="L1923" s="15">
        <v>0.0</v>
      </c>
      <c r="M1923" s="16"/>
      <c r="N1923" s="16"/>
      <c r="O1923" s="17"/>
      <c r="P1923" s="17"/>
      <c r="Q1923" s="13">
        <f t="shared" si="2116"/>
        <v>1</v>
      </c>
      <c r="R1923" s="13"/>
      <c r="S1923" s="13"/>
      <c r="T1923" s="13">
        <f t="shared" ref="T1923:Y1923" si="2121">IF(ISBLANK(K1923)=TRUE,0,1)</f>
        <v>1</v>
      </c>
      <c r="U1923" s="13">
        <f t="shared" si="2121"/>
        <v>1</v>
      </c>
      <c r="V1923" s="13">
        <f t="shared" si="2121"/>
        <v>0</v>
      </c>
      <c r="W1923" s="13">
        <f t="shared" si="2121"/>
        <v>0</v>
      </c>
      <c r="X1923" s="13">
        <f t="shared" si="2121"/>
        <v>0</v>
      </c>
      <c r="Y1923" s="13">
        <f t="shared" si="2121"/>
        <v>0</v>
      </c>
      <c r="Z1923" s="13">
        <f t="shared" si="1998"/>
        <v>0.5</v>
      </c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</row>
    <row r="1924" ht="14.25" customHeight="1">
      <c r="A1924" s="13" t="s">
        <v>36</v>
      </c>
      <c r="B1924" s="13" t="s">
        <v>42</v>
      </c>
      <c r="C1924" s="13">
        <v>4.0</v>
      </c>
      <c r="D1924" s="13" t="s">
        <v>180</v>
      </c>
      <c r="E1924" s="13" t="str">
        <f t="shared" si="1988"/>
        <v>SFAEF,4,AG,0.5</v>
      </c>
      <c r="F1924" s="13"/>
      <c r="G1924" s="13" t="s">
        <v>111</v>
      </c>
      <c r="H1924" s="13" t="s">
        <v>75</v>
      </c>
      <c r="I1924" s="13"/>
      <c r="J1924" s="13"/>
      <c r="K1924" s="15">
        <v>1.0</v>
      </c>
      <c r="L1924" s="15">
        <v>0.0</v>
      </c>
      <c r="M1924" s="16"/>
      <c r="N1924" s="16"/>
      <c r="O1924" s="17"/>
      <c r="P1924" s="17"/>
      <c r="Q1924" s="13">
        <f t="shared" si="2116"/>
        <v>1</v>
      </c>
      <c r="R1924" s="13"/>
      <c r="S1924" s="13"/>
      <c r="T1924" s="13">
        <f t="shared" ref="T1924:Y1924" si="2122">IF(ISBLANK(K1924)=TRUE,0,1)</f>
        <v>1</v>
      </c>
      <c r="U1924" s="13">
        <f t="shared" si="2122"/>
        <v>1</v>
      </c>
      <c r="V1924" s="13">
        <f t="shared" si="2122"/>
        <v>0</v>
      </c>
      <c r="W1924" s="13">
        <f t="shared" si="2122"/>
        <v>0</v>
      </c>
      <c r="X1924" s="13">
        <f t="shared" si="2122"/>
        <v>0</v>
      </c>
      <c r="Y1924" s="13">
        <f t="shared" si="2122"/>
        <v>0</v>
      </c>
      <c r="Z1924" s="13">
        <f t="shared" si="1998"/>
        <v>0.5</v>
      </c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</row>
    <row r="1925" ht="14.25" customHeight="1">
      <c r="A1925" s="13" t="s">
        <v>36</v>
      </c>
      <c r="B1925" s="13" t="s">
        <v>42</v>
      </c>
      <c r="C1925" s="13">
        <v>4.0</v>
      </c>
      <c r="D1925" s="13" t="s">
        <v>181</v>
      </c>
      <c r="E1925" s="13" t="str">
        <f t="shared" si="1988"/>
        <v>SFAEF,4,AH,0.5</v>
      </c>
      <c r="F1925" s="13"/>
      <c r="G1925" s="13" t="s">
        <v>111</v>
      </c>
      <c r="H1925" s="13" t="s">
        <v>75</v>
      </c>
      <c r="I1925" s="13"/>
      <c r="J1925" s="13"/>
      <c r="K1925" s="15">
        <v>1.0</v>
      </c>
      <c r="L1925" s="15">
        <v>0.0</v>
      </c>
      <c r="M1925" s="16"/>
      <c r="N1925" s="16"/>
      <c r="O1925" s="17"/>
      <c r="P1925" s="17"/>
      <c r="Q1925" s="13">
        <f t="shared" si="2116"/>
        <v>1</v>
      </c>
      <c r="R1925" s="13"/>
      <c r="S1925" s="13"/>
      <c r="T1925" s="13">
        <f t="shared" ref="T1925:Y1925" si="2123">IF(ISBLANK(K1925)=TRUE,0,1)</f>
        <v>1</v>
      </c>
      <c r="U1925" s="13">
        <f t="shared" si="2123"/>
        <v>1</v>
      </c>
      <c r="V1925" s="13">
        <f t="shared" si="2123"/>
        <v>0</v>
      </c>
      <c r="W1925" s="13">
        <f t="shared" si="2123"/>
        <v>0</v>
      </c>
      <c r="X1925" s="13">
        <f t="shared" si="2123"/>
        <v>0</v>
      </c>
      <c r="Y1925" s="13">
        <f t="shared" si="2123"/>
        <v>0</v>
      </c>
      <c r="Z1925" s="13">
        <f t="shared" si="1998"/>
        <v>0.5</v>
      </c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</row>
    <row r="1926" ht="14.25" customHeight="1">
      <c r="A1926" s="13" t="s">
        <v>36</v>
      </c>
      <c r="B1926" s="13" t="s">
        <v>42</v>
      </c>
      <c r="C1926" s="13">
        <v>616.0</v>
      </c>
      <c r="D1926" s="13"/>
      <c r="E1926" s="13" t="str">
        <f t="shared" si="1988"/>
        <v>SFAEF,616,,1</v>
      </c>
      <c r="F1926" s="13"/>
      <c r="G1926" s="13" t="s">
        <v>111</v>
      </c>
      <c r="H1926" s="13" t="s">
        <v>75</v>
      </c>
      <c r="I1926" s="13"/>
      <c r="J1926" s="13"/>
      <c r="K1926" s="15">
        <v>1.0</v>
      </c>
      <c r="L1926" s="15">
        <v>1.0</v>
      </c>
      <c r="M1926" s="16"/>
      <c r="N1926" s="16"/>
      <c r="O1926" s="17"/>
      <c r="P1926" s="17"/>
      <c r="Q1926" s="13">
        <f t="shared" si="2116"/>
        <v>1</v>
      </c>
      <c r="R1926" s="13"/>
      <c r="S1926" s="13"/>
      <c r="T1926" s="13">
        <f t="shared" ref="T1926:Y1926" si="2124">IF(ISBLANK(K1926)=TRUE,0,1)</f>
        <v>1</v>
      </c>
      <c r="U1926" s="13">
        <f t="shared" si="2124"/>
        <v>1</v>
      </c>
      <c r="V1926" s="13">
        <f t="shared" si="2124"/>
        <v>0</v>
      </c>
      <c r="W1926" s="13">
        <f t="shared" si="2124"/>
        <v>0</v>
      </c>
      <c r="X1926" s="13">
        <f t="shared" si="2124"/>
        <v>0</v>
      </c>
      <c r="Y1926" s="13">
        <f t="shared" si="2124"/>
        <v>0</v>
      </c>
      <c r="Z1926" s="13">
        <f t="shared" si="1998"/>
        <v>1</v>
      </c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</row>
    <row r="1927" ht="14.25" customHeight="1">
      <c r="A1927" s="13" t="s">
        <v>36</v>
      </c>
      <c r="B1927" s="13" t="s">
        <v>42</v>
      </c>
      <c r="C1927" s="13">
        <v>616.0</v>
      </c>
      <c r="D1927" s="13" t="s">
        <v>121</v>
      </c>
      <c r="E1927" s="13" t="str">
        <f t="shared" si="1988"/>
        <v>SFAEF,616,BW,1</v>
      </c>
      <c r="F1927" s="13"/>
      <c r="G1927" s="13" t="s">
        <v>111</v>
      </c>
      <c r="H1927" s="13" t="s">
        <v>75</v>
      </c>
      <c r="I1927" s="13"/>
      <c r="J1927" s="13"/>
      <c r="K1927" s="15">
        <v>1.0</v>
      </c>
      <c r="L1927" s="15">
        <v>1.0</v>
      </c>
      <c r="M1927" s="16"/>
      <c r="N1927" s="16"/>
      <c r="O1927" s="17"/>
      <c r="P1927" s="17"/>
      <c r="Q1927" s="13">
        <f t="shared" si="2116"/>
        <v>2</v>
      </c>
      <c r="R1927" s="13"/>
      <c r="S1927" s="13"/>
      <c r="T1927" s="13">
        <f t="shared" ref="T1927:Y1927" si="2125">IF(ISBLANK(K1927)=TRUE,0,1)</f>
        <v>1</v>
      </c>
      <c r="U1927" s="13">
        <f t="shared" si="2125"/>
        <v>1</v>
      </c>
      <c r="V1927" s="13">
        <f t="shared" si="2125"/>
        <v>0</v>
      </c>
      <c r="W1927" s="13">
        <f t="shared" si="2125"/>
        <v>0</v>
      </c>
      <c r="X1927" s="13">
        <f t="shared" si="2125"/>
        <v>0</v>
      </c>
      <c r="Y1927" s="13">
        <f t="shared" si="2125"/>
        <v>0</v>
      </c>
      <c r="Z1927" s="13">
        <f t="shared" si="1998"/>
        <v>1</v>
      </c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</row>
    <row r="1928" ht="14.25" customHeight="1">
      <c r="A1928" s="13" t="s">
        <v>36</v>
      </c>
      <c r="B1928" s="13" t="s">
        <v>42</v>
      </c>
      <c r="C1928" s="13">
        <v>616.0</v>
      </c>
      <c r="D1928" s="13" t="s">
        <v>122</v>
      </c>
      <c r="E1928" s="13" t="str">
        <f t="shared" si="1988"/>
        <v>SFAEF,616,BX,1</v>
      </c>
      <c r="F1928" s="13"/>
      <c r="G1928" s="13" t="s">
        <v>111</v>
      </c>
      <c r="H1928" s="13" t="s">
        <v>75</v>
      </c>
      <c r="I1928" s="13"/>
      <c r="J1928" s="13"/>
      <c r="K1928" s="15">
        <v>1.0</v>
      </c>
      <c r="L1928" s="15">
        <v>1.0</v>
      </c>
      <c r="M1928" s="16"/>
      <c r="N1928" s="16"/>
      <c r="O1928" s="17"/>
      <c r="P1928" s="17"/>
      <c r="Q1928" s="13">
        <f t="shared" si="2116"/>
        <v>2</v>
      </c>
      <c r="R1928" s="13"/>
      <c r="S1928" s="13"/>
      <c r="T1928" s="13">
        <f t="shared" ref="T1928:Y1928" si="2126">IF(ISBLANK(K1928)=TRUE,0,1)</f>
        <v>1</v>
      </c>
      <c r="U1928" s="13">
        <f t="shared" si="2126"/>
        <v>1</v>
      </c>
      <c r="V1928" s="13">
        <f t="shared" si="2126"/>
        <v>0</v>
      </c>
      <c r="W1928" s="13">
        <f t="shared" si="2126"/>
        <v>0</v>
      </c>
      <c r="X1928" s="13">
        <f t="shared" si="2126"/>
        <v>0</v>
      </c>
      <c r="Y1928" s="13">
        <f t="shared" si="2126"/>
        <v>0</v>
      </c>
      <c r="Z1928" s="13">
        <f t="shared" si="1998"/>
        <v>1</v>
      </c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</row>
    <row r="1929" ht="14.25" customHeight="1">
      <c r="A1929" s="13" t="s">
        <v>36</v>
      </c>
      <c r="B1929" s="13" t="s">
        <v>42</v>
      </c>
      <c r="C1929" s="13">
        <v>616.0</v>
      </c>
      <c r="D1929" s="13" t="s">
        <v>123</v>
      </c>
      <c r="E1929" s="13" t="str">
        <f t="shared" si="1988"/>
        <v>SFAEF,616,BY,1</v>
      </c>
      <c r="F1929" s="13"/>
      <c r="G1929" s="13" t="s">
        <v>111</v>
      </c>
      <c r="H1929" s="13" t="s">
        <v>75</v>
      </c>
      <c r="I1929" s="13"/>
      <c r="J1929" s="13"/>
      <c r="K1929" s="15">
        <v>1.0</v>
      </c>
      <c r="L1929" s="15">
        <v>1.0</v>
      </c>
      <c r="M1929" s="16"/>
      <c r="N1929" s="16"/>
      <c r="O1929" s="17"/>
      <c r="P1929" s="17"/>
      <c r="Q1929" s="13">
        <f t="shared" si="2116"/>
        <v>2</v>
      </c>
      <c r="R1929" s="13"/>
      <c r="S1929" s="13"/>
      <c r="T1929" s="13">
        <f t="shared" ref="T1929:Y1929" si="2127">IF(ISBLANK(K1929)=TRUE,0,1)</f>
        <v>1</v>
      </c>
      <c r="U1929" s="13">
        <f t="shared" si="2127"/>
        <v>1</v>
      </c>
      <c r="V1929" s="13">
        <f t="shared" si="2127"/>
        <v>0</v>
      </c>
      <c r="W1929" s="13">
        <f t="shared" si="2127"/>
        <v>0</v>
      </c>
      <c r="X1929" s="13">
        <f t="shared" si="2127"/>
        <v>0</v>
      </c>
      <c r="Y1929" s="13">
        <f t="shared" si="2127"/>
        <v>0</v>
      </c>
      <c r="Z1929" s="13">
        <f t="shared" si="1998"/>
        <v>1</v>
      </c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</row>
    <row r="1930" ht="14.25" customHeight="1">
      <c r="A1930" s="13" t="s">
        <v>36</v>
      </c>
      <c r="B1930" s="13" t="s">
        <v>42</v>
      </c>
      <c r="C1930" s="13">
        <v>616.0</v>
      </c>
      <c r="D1930" s="13" t="s">
        <v>124</v>
      </c>
      <c r="E1930" s="13" t="str">
        <f t="shared" si="1988"/>
        <v>SFAEF,616,BZ,1</v>
      </c>
      <c r="F1930" s="13"/>
      <c r="G1930" s="13" t="s">
        <v>111</v>
      </c>
      <c r="H1930" s="13" t="s">
        <v>75</v>
      </c>
      <c r="I1930" s="13"/>
      <c r="J1930" s="13"/>
      <c r="K1930" s="15">
        <v>1.0</v>
      </c>
      <c r="L1930" s="15">
        <v>1.0</v>
      </c>
      <c r="M1930" s="16"/>
      <c r="N1930" s="16"/>
      <c r="O1930" s="17"/>
      <c r="P1930" s="17"/>
      <c r="Q1930" s="13">
        <f t="shared" si="2116"/>
        <v>2</v>
      </c>
      <c r="R1930" s="13"/>
      <c r="S1930" s="13"/>
      <c r="T1930" s="13">
        <f t="shared" ref="T1930:Y1930" si="2128">IF(ISBLANK(K1930)=TRUE,0,1)</f>
        <v>1</v>
      </c>
      <c r="U1930" s="13">
        <f t="shared" si="2128"/>
        <v>1</v>
      </c>
      <c r="V1930" s="13">
        <f t="shared" si="2128"/>
        <v>0</v>
      </c>
      <c r="W1930" s="13">
        <f t="shared" si="2128"/>
        <v>0</v>
      </c>
      <c r="X1930" s="13">
        <f t="shared" si="2128"/>
        <v>0</v>
      </c>
      <c r="Y1930" s="13">
        <f t="shared" si="2128"/>
        <v>0</v>
      </c>
      <c r="Z1930" s="13">
        <f t="shared" si="1998"/>
        <v>1</v>
      </c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</row>
    <row r="1931" ht="14.25" customHeight="1">
      <c r="A1931" s="13" t="s">
        <v>36</v>
      </c>
      <c r="B1931" s="13" t="s">
        <v>42</v>
      </c>
      <c r="C1931" s="13">
        <v>616.0</v>
      </c>
      <c r="D1931" s="13" t="s">
        <v>125</v>
      </c>
      <c r="E1931" s="13" t="str">
        <f t="shared" si="1988"/>
        <v>SFAEF,616,CA,1</v>
      </c>
      <c r="F1931" s="13"/>
      <c r="G1931" s="13" t="s">
        <v>111</v>
      </c>
      <c r="H1931" s="13" t="s">
        <v>75</v>
      </c>
      <c r="I1931" s="13"/>
      <c r="J1931" s="13"/>
      <c r="K1931" s="15">
        <v>1.0</v>
      </c>
      <c r="L1931" s="15">
        <v>1.0</v>
      </c>
      <c r="M1931" s="16"/>
      <c r="N1931" s="16"/>
      <c r="O1931" s="17"/>
      <c r="P1931" s="17"/>
      <c r="Q1931" s="13">
        <f t="shared" si="2116"/>
        <v>2</v>
      </c>
      <c r="R1931" s="13"/>
      <c r="S1931" s="13"/>
      <c r="T1931" s="13">
        <f t="shared" ref="T1931:Y1931" si="2129">IF(ISBLANK(K1931)=TRUE,0,1)</f>
        <v>1</v>
      </c>
      <c r="U1931" s="13">
        <f t="shared" si="2129"/>
        <v>1</v>
      </c>
      <c r="V1931" s="13">
        <f t="shared" si="2129"/>
        <v>0</v>
      </c>
      <c r="W1931" s="13">
        <f t="shared" si="2129"/>
        <v>0</v>
      </c>
      <c r="X1931" s="13">
        <f t="shared" si="2129"/>
        <v>0</v>
      </c>
      <c r="Y1931" s="13">
        <f t="shared" si="2129"/>
        <v>0</v>
      </c>
      <c r="Z1931" s="13">
        <f t="shared" si="1998"/>
        <v>1</v>
      </c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</row>
    <row r="1932" ht="14.25" customHeight="1">
      <c r="A1932" s="13" t="s">
        <v>36</v>
      </c>
      <c r="B1932" s="13" t="s">
        <v>42</v>
      </c>
      <c r="C1932" s="13">
        <v>616.0</v>
      </c>
      <c r="D1932" s="13" t="s">
        <v>126</v>
      </c>
      <c r="E1932" s="13" t="str">
        <f t="shared" si="1988"/>
        <v>SFAEF,616,CB,1</v>
      </c>
      <c r="F1932" s="13"/>
      <c r="G1932" s="13" t="s">
        <v>111</v>
      </c>
      <c r="H1932" s="13" t="s">
        <v>75</v>
      </c>
      <c r="I1932" s="13"/>
      <c r="J1932" s="13"/>
      <c r="K1932" s="15">
        <v>1.0</v>
      </c>
      <c r="L1932" s="15">
        <v>1.0</v>
      </c>
      <c r="M1932" s="16"/>
      <c r="N1932" s="16"/>
      <c r="O1932" s="17"/>
      <c r="P1932" s="17"/>
      <c r="Q1932" s="13">
        <f t="shared" si="2116"/>
        <v>2</v>
      </c>
      <c r="R1932" s="13"/>
      <c r="S1932" s="13"/>
      <c r="T1932" s="13">
        <f t="shared" ref="T1932:Y1932" si="2130">IF(ISBLANK(K1932)=TRUE,0,1)</f>
        <v>1</v>
      </c>
      <c r="U1932" s="13">
        <f t="shared" si="2130"/>
        <v>1</v>
      </c>
      <c r="V1932" s="13">
        <f t="shared" si="2130"/>
        <v>0</v>
      </c>
      <c r="W1932" s="13">
        <f t="shared" si="2130"/>
        <v>0</v>
      </c>
      <c r="X1932" s="13">
        <f t="shared" si="2130"/>
        <v>0</v>
      </c>
      <c r="Y1932" s="13">
        <f t="shared" si="2130"/>
        <v>0</v>
      </c>
      <c r="Z1932" s="13">
        <f t="shared" si="1998"/>
        <v>1</v>
      </c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</row>
    <row r="1933" ht="14.25" customHeight="1">
      <c r="A1933" s="13" t="s">
        <v>36</v>
      </c>
      <c r="B1933" s="13" t="s">
        <v>42</v>
      </c>
      <c r="C1933" s="13">
        <v>616.0</v>
      </c>
      <c r="D1933" s="13" t="s">
        <v>127</v>
      </c>
      <c r="E1933" s="13" t="str">
        <f t="shared" si="1988"/>
        <v>SFAEF,616,CC,1</v>
      </c>
      <c r="F1933" s="13"/>
      <c r="G1933" s="13" t="s">
        <v>111</v>
      </c>
      <c r="H1933" s="13" t="s">
        <v>75</v>
      </c>
      <c r="I1933" s="13"/>
      <c r="J1933" s="13"/>
      <c r="K1933" s="15">
        <v>1.0</v>
      </c>
      <c r="L1933" s="15">
        <v>1.0</v>
      </c>
      <c r="M1933" s="16"/>
      <c r="N1933" s="16"/>
      <c r="O1933" s="17"/>
      <c r="P1933" s="17"/>
      <c r="Q1933" s="13">
        <f t="shared" si="2116"/>
        <v>2</v>
      </c>
      <c r="R1933" s="13"/>
      <c r="S1933" s="13"/>
      <c r="T1933" s="13">
        <f t="shared" ref="T1933:Y1933" si="2131">IF(ISBLANK(K1933)=TRUE,0,1)</f>
        <v>1</v>
      </c>
      <c r="U1933" s="13">
        <f t="shared" si="2131"/>
        <v>1</v>
      </c>
      <c r="V1933" s="13">
        <f t="shared" si="2131"/>
        <v>0</v>
      </c>
      <c r="W1933" s="13">
        <f t="shared" si="2131"/>
        <v>0</v>
      </c>
      <c r="X1933" s="13">
        <f t="shared" si="2131"/>
        <v>0</v>
      </c>
      <c r="Y1933" s="13">
        <f t="shared" si="2131"/>
        <v>0</v>
      </c>
      <c r="Z1933" s="13">
        <f t="shared" si="1998"/>
        <v>1</v>
      </c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</row>
    <row r="1934" ht="14.25" customHeight="1">
      <c r="A1934" s="13" t="s">
        <v>36</v>
      </c>
      <c r="B1934" s="13" t="s">
        <v>42</v>
      </c>
      <c r="C1934" s="13">
        <v>616.0</v>
      </c>
      <c r="D1934" s="13" t="s">
        <v>128</v>
      </c>
      <c r="E1934" s="13" t="str">
        <f t="shared" si="1988"/>
        <v>SFAEF,616,CD,1</v>
      </c>
      <c r="F1934" s="13"/>
      <c r="G1934" s="13" t="s">
        <v>111</v>
      </c>
      <c r="H1934" s="13" t="s">
        <v>75</v>
      </c>
      <c r="I1934" s="13"/>
      <c r="J1934" s="13"/>
      <c r="K1934" s="15">
        <v>1.0</v>
      </c>
      <c r="L1934" s="15">
        <v>1.0</v>
      </c>
      <c r="M1934" s="16"/>
      <c r="N1934" s="16"/>
      <c r="O1934" s="17"/>
      <c r="P1934" s="17"/>
      <c r="Q1934" s="13">
        <f t="shared" si="2116"/>
        <v>2</v>
      </c>
      <c r="R1934" s="13"/>
      <c r="S1934" s="13"/>
      <c r="T1934" s="13">
        <f t="shared" ref="T1934:Y1934" si="2132">IF(ISBLANK(K1934)=TRUE,0,1)</f>
        <v>1</v>
      </c>
      <c r="U1934" s="13">
        <f t="shared" si="2132"/>
        <v>1</v>
      </c>
      <c r="V1934" s="13">
        <f t="shared" si="2132"/>
        <v>0</v>
      </c>
      <c r="W1934" s="13">
        <f t="shared" si="2132"/>
        <v>0</v>
      </c>
      <c r="X1934" s="13">
        <f t="shared" si="2132"/>
        <v>0</v>
      </c>
      <c r="Y1934" s="13">
        <f t="shared" si="2132"/>
        <v>0</v>
      </c>
      <c r="Z1934" s="13">
        <f t="shared" si="1998"/>
        <v>1</v>
      </c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</row>
    <row r="1935" ht="14.25" customHeight="1">
      <c r="A1935" s="13" t="s">
        <v>36</v>
      </c>
      <c r="B1935" s="13" t="s">
        <v>42</v>
      </c>
      <c r="C1935" s="13">
        <v>616.0</v>
      </c>
      <c r="D1935" s="13" t="s">
        <v>129</v>
      </c>
      <c r="E1935" s="13" t="str">
        <f t="shared" si="1988"/>
        <v>SFAEF,616,CE,1</v>
      </c>
      <c r="F1935" s="13"/>
      <c r="G1935" s="13" t="s">
        <v>111</v>
      </c>
      <c r="H1935" s="13" t="s">
        <v>75</v>
      </c>
      <c r="I1935" s="13"/>
      <c r="J1935" s="13"/>
      <c r="K1935" s="15">
        <v>1.0</v>
      </c>
      <c r="L1935" s="15">
        <v>1.0</v>
      </c>
      <c r="M1935" s="16"/>
      <c r="N1935" s="16"/>
      <c r="O1935" s="17"/>
      <c r="P1935" s="17"/>
      <c r="Q1935" s="13">
        <f t="shared" si="2116"/>
        <v>2</v>
      </c>
      <c r="R1935" s="13"/>
      <c r="S1935" s="13"/>
      <c r="T1935" s="13">
        <f t="shared" ref="T1935:Y1935" si="2133">IF(ISBLANK(K1935)=TRUE,0,1)</f>
        <v>1</v>
      </c>
      <c r="U1935" s="13">
        <f t="shared" si="2133"/>
        <v>1</v>
      </c>
      <c r="V1935" s="13">
        <f t="shared" si="2133"/>
        <v>0</v>
      </c>
      <c r="W1935" s="13">
        <f t="shared" si="2133"/>
        <v>0</v>
      </c>
      <c r="X1935" s="13">
        <f t="shared" si="2133"/>
        <v>0</v>
      </c>
      <c r="Y1935" s="13">
        <f t="shared" si="2133"/>
        <v>0</v>
      </c>
      <c r="Z1935" s="13">
        <f t="shared" si="1998"/>
        <v>1</v>
      </c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</row>
    <row r="1936" ht="14.25" customHeight="1">
      <c r="A1936" s="13" t="s">
        <v>36</v>
      </c>
      <c r="B1936" s="13" t="s">
        <v>42</v>
      </c>
      <c r="C1936" s="13">
        <v>616.0</v>
      </c>
      <c r="D1936" s="13" t="s">
        <v>130</v>
      </c>
      <c r="E1936" s="13" t="str">
        <f t="shared" si="1988"/>
        <v>SFAEF,616,CF,1</v>
      </c>
      <c r="F1936" s="13"/>
      <c r="G1936" s="13" t="s">
        <v>111</v>
      </c>
      <c r="H1936" s="13" t="s">
        <v>75</v>
      </c>
      <c r="I1936" s="13"/>
      <c r="J1936" s="13"/>
      <c r="K1936" s="15">
        <v>1.0</v>
      </c>
      <c r="L1936" s="15">
        <v>1.0</v>
      </c>
      <c r="M1936" s="16"/>
      <c r="N1936" s="16"/>
      <c r="O1936" s="17"/>
      <c r="P1936" s="17"/>
      <c r="Q1936" s="13">
        <f t="shared" si="2116"/>
        <v>2</v>
      </c>
      <c r="R1936" s="13"/>
      <c r="S1936" s="13"/>
      <c r="T1936" s="13">
        <f t="shared" ref="T1936:Y1936" si="2134">IF(ISBLANK(K1936)=TRUE,0,1)</f>
        <v>1</v>
      </c>
      <c r="U1936" s="13">
        <f t="shared" si="2134"/>
        <v>1</v>
      </c>
      <c r="V1936" s="13">
        <f t="shared" si="2134"/>
        <v>0</v>
      </c>
      <c r="W1936" s="13">
        <f t="shared" si="2134"/>
        <v>0</v>
      </c>
      <c r="X1936" s="13">
        <f t="shared" si="2134"/>
        <v>0</v>
      </c>
      <c r="Y1936" s="13">
        <f t="shared" si="2134"/>
        <v>0</v>
      </c>
      <c r="Z1936" s="13">
        <f t="shared" si="1998"/>
        <v>1</v>
      </c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</row>
    <row r="1937" ht="14.25" customHeight="1">
      <c r="A1937" s="13" t="s">
        <v>36</v>
      </c>
      <c r="B1937" s="13" t="s">
        <v>42</v>
      </c>
      <c r="C1937" s="13">
        <v>616.0</v>
      </c>
      <c r="D1937" s="13" t="s">
        <v>131</v>
      </c>
      <c r="E1937" s="13" t="str">
        <f t="shared" si="1988"/>
        <v>SFAEF,616,CG,1</v>
      </c>
      <c r="F1937" s="13"/>
      <c r="G1937" s="13" t="s">
        <v>111</v>
      </c>
      <c r="H1937" s="13" t="s">
        <v>75</v>
      </c>
      <c r="I1937" s="13"/>
      <c r="J1937" s="13"/>
      <c r="K1937" s="15">
        <v>1.0</v>
      </c>
      <c r="L1937" s="15">
        <v>1.0</v>
      </c>
      <c r="M1937" s="16"/>
      <c r="N1937" s="16"/>
      <c r="O1937" s="17"/>
      <c r="P1937" s="17"/>
      <c r="Q1937" s="13">
        <f t="shared" si="2116"/>
        <v>2</v>
      </c>
      <c r="R1937" s="13"/>
      <c r="S1937" s="13"/>
      <c r="T1937" s="13">
        <f t="shared" ref="T1937:Y1937" si="2135">IF(ISBLANK(K1937)=TRUE,0,1)</f>
        <v>1</v>
      </c>
      <c r="U1937" s="13">
        <f t="shared" si="2135"/>
        <v>1</v>
      </c>
      <c r="V1937" s="13">
        <f t="shared" si="2135"/>
        <v>0</v>
      </c>
      <c r="W1937" s="13">
        <f t="shared" si="2135"/>
        <v>0</v>
      </c>
      <c r="X1937" s="13">
        <f t="shared" si="2135"/>
        <v>0</v>
      </c>
      <c r="Y1937" s="13">
        <f t="shared" si="2135"/>
        <v>0</v>
      </c>
      <c r="Z1937" s="13">
        <f t="shared" si="1998"/>
        <v>1</v>
      </c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</row>
    <row r="1938" ht="14.25" customHeight="1">
      <c r="A1938" s="13" t="s">
        <v>36</v>
      </c>
      <c r="B1938" s="13" t="s">
        <v>42</v>
      </c>
      <c r="C1938" s="13">
        <v>616.0</v>
      </c>
      <c r="D1938" s="13" t="s">
        <v>132</v>
      </c>
      <c r="E1938" s="13" t="str">
        <f t="shared" si="1988"/>
        <v>SFAEF,616,CH,1</v>
      </c>
      <c r="F1938" s="13"/>
      <c r="G1938" s="13" t="s">
        <v>111</v>
      </c>
      <c r="H1938" s="13" t="s">
        <v>75</v>
      </c>
      <c r="I1938" s="13"/>
      <c r="J1938" s="13"/>
      <c r="K1938" s="15">
        <v>1.0</v>
      </c>
      <c r="L1938" s="15">
        <v>1.0</v>
      </c>
      <c r="M1938" s="16"/>
      <c r="N1938" s="16"/>
      <c r="O1938" s="17"/>
      <c r="P1938" s="17"/>
      <c r="Q1938" s="13">
        <f t="shared" si="2116"/>
        <v>2</v>
      </c>
      <c r="R1938" s="13"/>
      <c r="S1938" s="13"/>
      <c r="T1938" s="13">
        <f t="shared" ref="T1938:Y1938" si="2136">IF(ISBLANK(K1938)=TRUE,0,1)</f>
        <v>1</v>
      </c>
      <c r="U1938" s="13">
        <f t="shared" si="2136"/>
        <v>1</v>
      </c>
      <c r="V1938" s="13">
        <f t="shared" si="2136"/>
        <v>0</v>
      </c>
      <c r="W1938" s="13">
        <f t="shared" si="2136"/>
        <v>0</v>
      </c>
      <c r="X1938" s="13">
        <f t="shared" si="2136"/>
        <v>0</v>
      </c>
      <c r="Y1938" s="13">
        <f t="shared" si="2136"/>
        <v>0</v>
      </c>
      <c r="Z1938" s="13">
        <f t="shared" si="1998"/>
        <v>1</v>
      </c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</row>
    <row r="1939" ht="14.25" customHeight="1">
      <c r="A1939" s="13" t="s">
        <v>36</v>
      </c>
      <c r="B1939" s="13" t="s">
        <v>42</v>
      </c>
      <c r="C1939" s="13">
        <v>616.0</v>
      </c>
      <c r="D1939" s="13" t="s">
        <v>133</v>
      </c>
      <c r="E1939" s="13" t="str">
        <f t="shared" si="1988"/>
        <v>SFAEF,616,CI,1</v>
      </c>
      <c r="F1939" s="13"/>
      <c r="G1939" s="13" t="s">
        <v>111</v>
      </c>
      <c r="H1939" s="13" t="s">
        <v>75</v>
      </c>
      <c r="I1939" s="13"/>
      <c r="J1939" s="13"/>
      <c r="K1939" s="15">
        <v>1.0</v>
      </c>
      <c r="L1939" s="15">
        <v>1.0</v>
      </c>
      <c r="M1939" s="16"/>
      <c r="N1939" s="16"/>
      <c r="O1939" s="17"/>
      <c r="P1939" s="17"/>
      <c r="Q1939" s="13">
        <f t="shared" si="2116"/>
        <v>2</v>
      </c>
      <c r="R1939" s="13"/>
      <c r="S1939" s="13"/>
      <c r="T1939" s="13">
        <f t="shared" ref="T1939:Y1939" si="2137">IF(ISBLANK(K1939)=TRUE,0,1)</f>
        <v>1</v>
      </c>
      <c r="U1939" s="13">
        <f t="shared" si="2137"/>
        <v>1</v>
      </c>
      <c r="V1939" s="13">
        <f t="shared" si="2137"/>
        <v>0</v>
      </c>
      <c r="W1939" s="13">
        <f t="shared" si="2137"/>
        <v>0</v>
      </c>
      <c r="X1939" s="13">
        <f t="shared" si="2137"/>
        <v>0</v>
      </c>
      <c r="Y1939" s="13">
        <f t="shared" si="2137"/>
        <v>0</v>
      </c>
      <c r="Z1939" s="13">
        <f t="shared" si="1998"/>
        <v>1</v>
      </c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</row>
    <row r="1940" ht="14.25" customHeight="1">
      <c r="A1940" s="13" t="s">
        <v>36</v>
      </c>
      <c r="B1940" s="13" t="s">
        <v>42</v>
      </c>
      <c r="C1940" s="13">
        <v>617.0</v>
      </c>
      <c r="D1940" s="13"/>
      <c r="E1940" s="13" t="str">
        <f t="shared" si="1988"/>
        <v>SFAEF,617,,NA</v>
      </c>
      <c r="F1940" s="13"/>
      <c r="G1940" s="13" t="s">
        <v>74</v>
      </c>
      <c r="H1940" s="13" t="s">
        <v>75</v>
      </c>
      <c r="I1940" s="13"/>
      <c r="J1940" s="13"/>
      <c r="K1940" s="15"/>
      <c r="L1940" s="15"/>
      <c r="M1940" s="16"/>
      <c r="N1940" s="16"/>
      <c r="O1940" s="17"/>
      <c r="P1940" s="17"/>
      <c r="Q1940" s="13"/>
      <c r="R1940" s="13"/>
      <c r="S1940" s="13"/>
      <c r="T1940" s="13">
        <f t="shared" ref="T1940:Y1940" si="2138">IF(ISBLANK(K1940)=TRUE,0,1)</f>
        <v>0</v>
      </c>
      <c r="U1940" s="13">
        <f t="shared" si="2138"/>
        <v>0</v>
      </c>
      <c r="V1940" s="13">
        <f t="shared" si="2138"/>
        <v>0</v>
      </c>
      <c r="W1940" s="13">
        <f t="shared" si="2138"/>
        <v>0</v>
      </c>
      <c r="X1940" s="13">
        <f t="shared" si="2138"/>
        <v>0</v>
      </c>
      <c r="Y1940" s="13">
        <f t="shared" si="2138"/>
        <v>0</v>
      </c>
      <c r="Z1940" s="13" t="str">
        <f t="shared" si="1998"/>
        <v>NA</v>
      </c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</row>
    <row r="1941" ht="14.25" customHeight="1">
      <c r="A1941" s="13" t="s">
        <v>36</v>
      </c>
      <c r="B1941" s="13" t="s">
        <v>42</v>
      </c>
      <c r="C1941" s="13">
        <v>618.0</v>
      </c>
      <c r="D1941" s="13"/>
      <c r="E1941" s="13" t="str">
        <f t="shared" si="1988"/>
        <v>SFAEF,618,,NA</v>
      </c>
      <c r="F1941" s="13"/>
      <c r="G1941" s="13" t="s">
        <v>74</v>
      </c>
      <c r="H1941" s="13" t="s">
        <v>75</v>
      </c>
      <c r="I1941" s="13"/>
      <c r="J1941" s="13"/>
      <c r="K1941" s="15"/>
      <c r="L1941" s="15"/>
      <c r="M1941" s="16"/>
      <c r="N1941" s="16"/>
      <c r="O1941" s="17"/>
      <c r="P1941" s="17"/>
      <c r="Q1941" s="13"/>
      <c r="R1941" s="13"/>
      <c r="S1941" s="13"/>
      <c r="T1941" s="13">
        <f t="shared" ref="T1941:Y1941" si="2139">IF(ISBLANK(K1941)=TRUE,0,1)</f>
        <v>0</v>
      </c>
      <c r="U1941" s="13">
        <f t="shared" si="2139"/>
        <v>0</v>
      </c>
      <c r="V1941" s="13">
        <f t="shared" si="2139"/>
        <v>0</v>
      </c>
      <c r="W1941" s="13">
        <f t="shared" si="2139"/>
        <v>0</v>
      </c>
      <c r="X1941" s="13">
        <f t="shared" si="2139"/>
        <v>0</v>
      </c>
      <c r="Y1941" s="13">
        <f t="shared" si="2139"/>
        <v>0</v>
      </c>
      <c r="Z1941" s="13" t="str">
        <f t="shared" si="1998"/>
        <v>NA</v>
      </c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</row>
    <row r="1942" ht="14.25" customHeight="1">
      <c r="A1942" s="13" t="s">
        <v>36</v>
      </c>
      <c r="B1942" s="13" t="s">
        <v>42</v>
      </c>
      <c r="C1942" s="13">
        <v>619.0</v>
      </c>
      <c r="D1942" s="13"/>
      <c r="E1942" s="13" t="str">
        <f t="shared" si="1988"/>
        <v>SFAEF,619,,NA</v>
      </c>
      <c r="F1942" s="13"/>
      <c r="G1942" s="13" t="s">
        <v>74</v>
      </c>
      <c r="H1942" s="13" t="s">
        <v>75</v>
      </c>
      <c r="I1942" s="13"/>
      <c r="J1942" s="13"/>
      <c r="K1942" s="15"/>
      <c r="L1942" s="15"/>
      <c r="M1942" s="16"/>
      <c r="N1942" s="16"/>
      <c r="O1942" s="17"/>
      <c r="P1942" s="17"/>
      <c r="Q1942" s="13"/>
      <c r="R1942" s="13"/>
      <c r="S1942" s="13"/>
      <c r="T1942" s="13">
        <f t="shared" ref="T1942:Y1942" si="2140">IF(ISBLANK(K1942)=TRUE,0,1)</f>
        <v>0</v>
      </c>
      <c r="U1942" s="13">
        <f t="shared" si="2140"/>
        <v>0</v>
      </c>
      <c r="V1942" s="13">
        <f t="shared" si="2140"/>
        <v>0</v>
      </c>
      <c r="W1942" s="13">
        <f t="shared" si="2140"/>
        <v>0</v>
      </c>
      <c r="X1942" s="13">
        <f t="shared" si="2140"/>
        <v>0</v>
      </c>
      <c r="Y1942" s="13">
        <f t="shared" si="2140"/>
        <v>0</v>
      </c>
      <c r="Z1942" s="13" t="str">
        <f t="shared" si="1998"/>
        <v>NA</v>
      </c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</row>
    <row r="1943" ht="14.25" customHeight="1">
      <c r="A1943" s="13" t="s">
        <v>36</v>
      </c>
      <c r="B1943" s="13" t="s">
        <v>42</v>
      </c>
      <c r="C1943" s="13">
        <v>620.0</v>
      </c>
      <c r="D1943" s="13"/>
      <c r="E1943" s="13" t="str">
        <f t="shared" si="1988"/>
        <v>SFAEF,620,,NA</v>
      </c>
      <c r="F1943" s="13"/>
      <c r="G1943" s="13" t="s">
        <v>74</v>
      </c>
      <c r="H1943" s="13" t="s">
        <v>75</v>
      </c>
      <c r="I1943" s="13"/>
      <c r="J1943" s="13"/>
      <c r="K1943" s="15"/>
      <c r="L1943" s="15"/>
      <c r="M1943" s="16"/>
      <c r="N1943" s="16"/>
      <c r="O1943" s="17"/>
      <c r="P1943" s="17"/>
      <c r="Q1943" s="13"/>
      <c r="R1943" s="13"/>
      <c r="S1943" s="13"/>
      <c r="T1943" s="13">
        <f t="shared" ref="T1943:Y1943" si="2141">IF(ISBLANK(K1943)=TRUE,0,1)</f>
        <v>0</v>
      </c>
      <c r="U1943" s="13">
        <f t="shared" si="2141"/>
        <v>0</v>
      </c>
      <c r="V1943" s="13">
        <f t="shared" si="2141"/>
        <v>0</v>
      </c>
      <c r="W1943" s="13">
        <f t="shared" si="2141"/>
        <v>0</v>
      </c>
      <c r="X1943" s="13">
        <f t="shared" si="2141"/>
        <v>0</v>
      </c>
      <c r="Y1943" s="13">
        <f t="shared" si="2141"/>
        <v>0</v>
      </c>
      <c r="Z1943" s="13" t="str">
        <f t="shared" si="1998"/>
        <v>NA</v>
      </c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</row>
    <row r="1944" ht="14.25" customHeight="1">
      <c r="A1944" s="13" t="s">
        <v>36</v>
      </c>
      <c r="B1944" s="13" t="s">
        <v>42</v>
      </c>
      <c r="C1944" s="13">
        <v>621.0</v>
      </c>
      <c r="D1944" s="13"/>
      <c r="E1944" s="13" t="str">
        <f t="shared" si="1988"/>
        <v>SFAEF,621,,NA</v>
      </c>
      <c r="F1944" s="13"/>
      <c r="G1944" s="13" t="s">
        <v>74</v>
      </c>
      <c r="H1944" s="13" t="s">
        <v>75</v>
      </c>
      <c r="I1944" s="13"/>
      <c r="J1944" s="13"/>
      <c r="K1944" s="15"/>
      <c r="L1944" s="15"/>
      <c r="M1944" s="16"/>
      <c r="N1944" s="16"/>
      <c r="O1944" s="17"/>
      <c r="P1944" s="17"/>
      <c r="Q1944" s="13"/>
      <c r="R1944" s="13"/>
      <c r="S1944" s="13"/>
      <c r="T1944" s="13">
        <f t="shared" ref="T1944:Y1944" si="2142">IF(ISBLANK(K1944)=TRUE,0,1)</f>
        <v>0</v>
      </c>
      <c r="U1944" s="13">
        <f t="shared" si="2142"/>
        <v>0</v>
      </c>
      <c r="V1944" s="13">
        <f t="shared" si="2142"/>
        <v>0</v>
      </c>
      <c r="W1944" s="13">
        <f t="shared" si="2142"/>
        <v>0</v>
      </c>
      <c r="X1944" s="13">
        <f t="shared" si="2142"/>
        <v>0</v>
      </c>
      <c r="Y1944" s="13">
        <f t="shared" si="2142"/>
        <v>0</v>
      </c>
      <c r="Z1944" s="13" t="str">
        <f t="shared" si="1998"/>
        <v>NA</v>
      </c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</row>
    <row r="1945" ht="14.25" customHeight="1">
      <c r="A1945" s="13" t="s">
        <v>36</v>
      </c>
      <c r="B1945" s="13" t="s">
        <v>42</v>
      </c>
      <c r="C1945" s="13">
        <v>622.0</v>
      </c>
      <c r="D1945" s="13"/>
      <c r="E1945" s="13" t="str">
        <f t="shared" si="1988"/>
        <v>SFAEF,622,,NA</v>
      </c>
      <c r="F1945" s="13"/>
      <c r="G1945" s="13" t="s">
        <v>74</v>
      </c>
      <c r="H1945" s="13" t="s">
        <v>75</v>
      </c>
      <c r="I1945" s="13"/>
      <c r="J1945" s="13"/>
      <c r="K1945" s="15"/>
      <c r="L1945" s="15"/>
      <c r="M1945" s="16"/>
      <c r="N1945" s="16"/>
      <c r="O1945" s="17"/>
      <c r="P1945" s="17"/>
      <c r="Q1945" s="13"/>
      <c r="R1945" s="13"/>
      <c r="S1945" s="13"/>
      <c r="T1945" s="13">
        <f t="shared" ref="T1945:Y1945" si="2143">IF(ISBLANK(K1945)=TRUE,0,1)</f>
        <v>0</v>
      </c>
      <c r="U1945" s="13">
        <f t="shared" si="2143"/>
        <v>0</v>
      </c>
      <c r="V1945" s="13">
        <f t="shared" si="2143"/>
        <v>0</v>
      </c>
      <c r="W1945" s="13">
        <f t="shared" si="2143"/>
        <v>0</v>
      </c>
      <c r="X1945" s="13">
        <f t="shared" si="2143"/>
        <v>0</v>
      </c>
      <c r="Y1945" s="13">
        <f t="shared" si="2143"/>
        <v>0</v>
      </c>
      <c r="Z1945" s="13" t="str">
        <f t="shared" si="1998"/>
        <v>NA</v>
      </c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</row>
    <row r="1946" ht="14.25" customHeight="1">
      <c r="A1946" s="13" t="s">
        <v>36</v>
      </c>
      <c r="B1946" s="13" t="s">
        <v>42</v>
      </c>
      <c r="C1946" s="13">
        <v>712.0</v>
      </c>
      <c r="D1946" s="13" t="s">
        <v>186</v>
      </c>
      <c r="E1946" s="13" t="str">
        <f t="shared" si="1988"/>
        <v>SFAEF,712,AM,0</v>
      </c>
      <c r="F1946" s="13"/>
      <c r="G1946" s="13" t="s">
        <v>111</v>
      </c>
      <c r="H1946" s="13" t="s">
        <v>75</v>
      </c>
      <c r="I1946" s="13"/>
      <c r="J1946" s="13"/>
      <c r="K1946" s="15">
        <v>0.0</v>
      </c>
      <c r="L1946" s="15">
        <v>0.0</v>
      </c>
      <c r="M1946" s="16"/>
      <c r="N1946" s="16"/>
      <c r="O1946" s="17"/>
      <c r="P1946" s="17"/>
      <c r="Q1946" s="13">
        <f t="shared" ref="Q1946:Q1962" si="2145">K1945+L1945+M1945+N1945+O1945+P1945/6</f>
        <v>0</v>
      </c>
      <c r="R1946" s="13"/>
      <c r="S1946" s="13"/>
      <c r="T1946" s="13">
        <f t="shared" ref="T1946:Y1946" si="2144">IF(ISBLANK(K1946)=TRUE,0,1)</f>
        <v>1</v>
      </c>
      <c r="U1946" s="13">
        <f t="shared" si="2144"/>
        <v>1</v>
      </c>
      <c r="V1946" s="13">
        <f t="shared" si="2144"/>
        <v>0</v>
      </c>
      <c r="W1946" s="13">
        <f t="shared" si="2144"/>
        <v>0</v>
      </c>
      <c r="X1946" s="13">
        <f t="shared" si="2144"/>
        <v>0</v>
      </c>
      <c r="Y1946" s="13">
        <f t="shared" si="2144"/>
        <v>0</v>
      </c>
      <c r="Z1946" s="13">
        <f t="shared" si="1998"/>
        <v>0</v>
      </c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</row>
    <row r="1947" ht="14.25" customHeight="1">
      <c r="A1947" s="13" t="s">
        <v>36</v>
      </c>
      <c r="B1947" s="13" t="s">
        <v>42</v>
      </c>
      <c r="C1947" s="13">
        <v>712.0</v>
      </c>
      <c r="D1947" s="13" t="s">
        <v>187</v>
      </c>
      <c r="E1947" s="13" t="str">
        <f t="shared" si="1988"/>
        <v>SFAEF,712,AN,0</v>
      </c>
      <c r="F1947" s="13"/>
      <c r="G1947" s="13" t="s">
        <v>111</v>
      </c>
      <c r="H1947" s="13" t="s">
        <v>75</v>
      </c>
      <c r="I1947" s="13"/>
      <c r="J1947" s="13"/>
      <c r="K1947" s="15">
        <v>0.0</v>
      </c>
      <c r="L1947" s="15">
        <v>0.0</v>
      </c>
      <c r="M1947" s="16"/>
      <c r="N1947" s="16"/>
      <c r="O1947" s="17"/>
      <c r="P1947" s="17"/>
      <c r="Q1947" s="13">
        <f t="shared" si="2145"/>
        <v>0</v>
      </c>
      <c r="R1947" s="13"/>
      <c r="S1947" s="13"/>
      <c r="T1947" s="13">
        <f t="shared" ref="T1947:Y1947" si="2146">IF(ISBLANK(K1947)=TRUE,0,1)</f>
        <v>1</v>
      </c>
      <c r="U1947" s="13">
        <f t="shared" si="2146"/>
        <v>1</v>
      </c>
      <c r="V1947" s="13">
        <f t="shared" si="2146"/>
        <v>0</v>
      </c>
      <c r="W1947" s="13">
        <f t="shared" si="2146"/>
        <v>0</v>
      </c>
      <c r="X1947" s="13">
        <f t="shared" si="2146"/>
        <v>0</v>
      </c>
      <c r="Y1947" s="13">
        <f t="shared" si="2146"/>
        <v>0</v>
      </c>
      <c r="Z1947" s="13">
        <f t="shared" si="1998"/>
        <v>0</v>
      </c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</row>
    <row r="1948" ht="14.25" customHeight="1">
      <c r="A1948" s="13" t="s">
        <v>36</v>
      </c>
      <c r="B1948" s="13" t="s">
        <v>42</v>
      </c>
      <c r="C1948" s="13">
        <v>712.0</v>
      </c>
      <c r="D1948" s="13" t="s">
        <v>188</v>
      </c>
      <c r="E1948" s="13" t="str">
        <f t="shared" si="1988"/>
        <v>SFAEF,712,AO,0</v>
      </c>
      <c r="F1948" s="13"/>
      <c r="G1948" s="13" t="s">
        <v>111</v>
      </c>
      <c r="H1948" s="13" t="s">
        <v>75</v>
      </c>
      <c r="I1948" s="13"/>
      <c r="J1948" s="13"/>
      <c r="K1948" s="15">
        <v>0.0</v>
      </c>
      <c r="L1948" s="15">
        <v>0.0</v>
      </c>
      <c r="M1948" s="16"/>
      <c r="N1948" s="16"/>
      <c r="O1948" s="17"/>
      <c r="P1948" s="17"/>
      <c r="Q1948" s="13">
        <f t="shared" si="2145"/>
        <v>0</v>
      </c>
      <c r="R1948" s="13"/>
      <c r="S1948" s="13"/>
      <c r="T1948" s="13">
        <f t="shared" ref="T1948:Y1948" si="2147">IF(ISBLANK(K1948)=TRUE,0,1)</f>
        <v>1</v>
      </c>
      <c r="U1948" s="13">
        <f t="shared" si="2147"/>
        <v>1</v>
      </c>
      <c r="V1948" s="13">
        <f t="shared" si="2147"/>
        <v>0</v>
      </c>
      <c r="W1948" s="13">
        <f t="shared" si="2147"/>
        <v>0</v>
      </c>
      <c r="X1948" s="13">
        <f t="shared" si="2147"/>
        <v>0</v>
      </c>
      <c r="Y1948" s="13">
        <f t="shared" si="2147"/>
        <v>0</v>
      </c>
      <c r="Z1948" s="13">
        <f t="shared" si="1998"/>
        <v>0</v>
      </c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</row>
    <row r="1949" ht="14.25" customHeight="1">
      <c r="A1949" s="13" t="s">
        <v>36</v>
      </c>
      <c r="B1949" s="13" t="s">
        <v>42</v>
      </c>
      <c r="C1949" s="13">
        <v>712.0</v>
      </c>
      <c r="D1949" s="13" t="s">
        <v>189</v>
      </c>
      <c r="E1949" s="13" t="str">
        <f t="shared" si="1988"/>
        <v>SFAEF,712,AP,0</v>
      </c>
      <c r="F1949" s="13"/>
      <c r="G1949" s="13" t="s">
        <v>111</v>
      </c>
      <c r="H1949" s="13" t="s">
        <v>75</v>
      </c>
      <c r="I1949" s="13"/>
      <c r="J1949" s="13"/>
      <c r="K1949" s="15">
        <v>0.0</v>
      </c>
      <c r="L1949" s="15">
        <v>0.0</v>
      </c>
      <c r="M1949" s="16"/>
      <c r="N1949" s="16"/>
      <c r="O1949" s="17"/>
      <c r="P1949" s="17"/>
      <c r="Q1949" s="13">
        <f t="shared" si="2145"/>
        <v>0</v>
      </c>
      <c r="R1949" s="13"/>
      <c r="S1949" s="13"/>
      <c r="T1949" s="13">
        <f t="shared" ref="T1949:Y1949" si="2148">IF(ISBLANK(K1949)=TRUE,0,1)</f>
        <v>1</v>
      </c>
      <c r="U1949" s="13">
        <f t="shared" si="2148"/>
        <v>1</v>
      </c>
      <c r="V1949" s="13">
        <f t="shared" si="2148"/>
        <v>0</v>
      </c>
      <c r="W1949" s="13">
        <f t="shared" si="2148"/>
        <v>0</v>
      </c>
      <c r="X1949" s="13">
        <f t="shared" si="2148"/>
        <v>0</v>
      </c>
      <c r="Y1949" s="13">
        <f t="shared" si="2148"/>
        <v>0</v>
      </c>
      <c r="Z1949" s="13">
        <f t="shared" si="1998"/>
        <v>0</v>
      </c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</row>
    <row r="1950" ht="14.25" customHeight="1">
      <c r="A1950" s="13" t="s">
        <v>36</v>
      </c>
      <c r="B1950" s="13" t="s">
        <v>42</v>
      </c>
      <c r="C1950" s="13">
        <v>712.0</v>
      </c>
      <c r="D1950" s="13" t="s">
        <v>190</v>
      </c>
      <c r="E1950" s="13" t="str">
        <f t="shared" si="1988"/>
        <v>SFAEF,712,AQ,0</v>
      </c>
      <c r="F1950" s="13"/>
      <c r="G1950" s="13" t="s">
        <v>111</v>
      </c>
      <c r="H1950" s="13" t="s">
        <v>75</v>
      </c>
      <c r="I1950" s="13"/>
      <c r="J1950" s="13"/>
      <c r="K1950" s="15">
        <v>0.0</v>
      </c>
      <c r="L1950" s="15">
        <v>0.0</v>
      </c>
      <c r="M1950" s="16"/>
      <c r="N1950" s="16"/>
      <c r="O1950" s="17"/>
      <c r="P1950" s="17"/>
      <c r="Q1950" s="13">
        <f t="shared" si="2145"/>
        <v>0</v>
      </c>
      <c r="R1950" s="13"/>
      <c r="S1950" s="13"/>
      <c r="T1950" s="13">
        <f t="shared" ref="T1950:Y1950" si="2149">IF(ISBLANK(K1950)=TRUE,0,1)</f>
        <v>1</v>
      </c>
      <c r="U1950" s="13">
        <f t="shared" si="2149"/>
        <v>1</v>
      </c>
      <c r="V1950" s="13">
        <f t="shared" si="2149"/>
        <v>0</v>
      </c>
      <c r="W1950" s="13">
        <f t="shared" si="2149"/>
        <v>0</v>
      </c>
      <c r="X1950" s="13">
        <f t="shared" si="2149"/>
        <v>0</v>
      </c>
      <c r="Y1950" s="13">
        <f t="shared" si="2149"/>
        <v>0</v>
      </c>
      <c r="Z1950" s="13">
        <f t="shared" si="1998"/>
        <v>0</v>
      </c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</row>
    <row r="1951" ht="14.25" customHeight="1">
      <c r="A1951" s="13" t="s">
        <v>36</v>
      </c>
      <c r="B1951" s="13" t="s">
        <v>42</v>
      </c>
      <c r="C1951" s="13">
        <v>712.0</v>
      </c>
      <c r="D1951" s="13" t="s">
        <v>191</v>
      </c>
      <c r="E1951" s="13" t="str">
        <f t="shared" si="1988"/>
        <v>SFAEF,712,AR,0</v>
      </c>
      <c r="F1951" s="13"/>
      <c r="G1951" s="13" t="s">
        <v>111</v>
      </c>
      <c r="H1951" s="13" t="s">
        <v>75</v>
      </c>
      <c r="I1951" s="13"/>
      <c r="J1951" s="13"/>
      <c r="K1951" s="15">
        <v>0.0</v>
      </c>
      <c r="L1951" s="15">
        <v>0.0</v>
      </c>
      <c r="M1951" s="16"/>
      <c r="N1951" s="16"/>
      <c r="O1951" s="17"/>
      <c r="P1951" s="17"/>
      <c r="Q1951" s="13">
        <f t="shared" si="2145"/>
        <v>0</v>
      </c>
      <c r="R1951" s="13"/>
      <c r="S1951" s="13"/>
      <c r="T1951" s="13">
        <f t="shared" ref="T1951:Y1951" si="2150">IF(ISBLANK(K1951)=TRUE,0,1)</f>
        <v>1</v>
      </c>
      <c r="U1951" s="13">
        <f t="shared" si="2150"/>
        <v>1</v>
      </c>
      <c r="V1951" s="13">
        <f t="shared" si="2150"/>
        <v>0</v>
      </c>
      <c r="W1951" s="13">
        <f t="shared" si="2150"/>
        <v>0</v>
      </c>
      <c r="X1951" s="13">
        <f t="shared" si="2150"/>
        <v>0</v>
      </c>
      <c r="Y1951" s="13">
        <f t="shared" si="2150"/>
        <v>0</v>
      </c>
      <c r="Z1951" s="13">
        <f t="shared" si="1998"/>
        <v>0</v>
      </c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</row>
    <row r="1952" ht="14.25" customHeight="1">
      <c r="A1952" s="13" t="s">
        <v>36</v>
      </c>
      <c r="B1952" s="13" t="s">
        <v>42</v>
      </c>
      <c r="C1952" s="13">
        <v>712.0</v>
      </c>
      <c r="D1952" s="13" t="s">
        <v>192</v>
      </c>
      <c r="E1952" s="13" t="str">
        <f t="shared" si="1988"/>
        <v>SFAEF,712,AS,0</v>
      </c>
      <c r="F1952" s="13"/>
      <c r="G1952" s="13" t="s">
        <v>111</v>
      </c>
      <c r="H1952" s="13" t="s">
        <v>75</v>
      </c>
      <c r="I1952" s="13"/>
      <c r="J1952" s="13"/>
      <c r="K1952" s="15">
        <v>0.0</v>
      </c>
      <c r="L1952" s="15">
        <v>0.0</v>
      </c>
      <c r="M1952" s="16"/>
      <c r="N1952" s="16"/>
      <c r="O1952" s="17"/>
      <c r="P1952" s="17"/>
      <c r="Q1952" s="13">
        <f t="shared" si="2145"/>
        <v>0</v>
      </c>
      <c r="R1952" s="13"/>
      <c r="S1952" s="13"/>
      <c r="T1952" s="13">
        <f t="shared" ref="T1952:Y1952" si="2151">IF(ISBLANK(K1952)=TRUE,0,1)</f>
        <v>1</v>
      </c>
      <c r="U1952" s="13">
        <f t="shared" si="2151"/>
        <v>1</v>
      </c>
      <c r="V1952" s="13">
        <f t="shared" si="2151"/>
        <v>0</v>
      </c>
      <c r="W1952" s="13">
        <f t="shared" si="2151"/>
        <v>0</v>
      </c>
      <c r="X1952" s="13">
        <f t="shared" si="2151"/>
        <v>0</v>
      </c>
      <c r="Y1952" s="13">
        <f t="shared" si="2151"/>
        <v>0</v>
      </c>
      <c r="Z1952" s="13">
        <f t="shared" si="1998"/>
        <v>0</v>
      </c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</row>
    <row r="1953" ht="14.25" customHeight="1">
      <c r="A1953" s="13" t="s">
        <v>36</v>
      </c>
      <c r="B1953" s="13" t="s">
        <v>42</v>
      </c>
      <c r="C1953" s="13">
        <v>712.0</v>
      </c>
      <c r="D1953" s="13" t="s">
        <v>193</v>
      </c>
      <c r="E1953" s="13" t="str">
        <f t="shared" si="1988"/>
        <v>SFAEF,712,AT,0</v>
      </c>
      <c r="F1953" s="13"/>
      <c r="G1953" s="13" t="s">
        <v>111</v>
      </c>
      <c r="H1953" s="13" t="s">
        <v>75</v>
      </c>
      <c r="I1953" s="13"/>
      <c r="J1953" s="13"/>
      <c r="K1953" s="15">
        <v>0.0</v>
      </c>
      <c r="L1953" s="15">
        <v>0.0</v>
      </c>
      <c r="M1953" s="16"/>
      <c r="N1953" s="16"/>
      <c r="O1953" s="17"/>
      <c r="P1953" s="17"/>
      <c r="Q1953" s="13">
        <f t="shared" si="2145"/>
        <v>0</v>
      </c>
      <c r="R1953" s="13"/>
      <c r="S1953" s="13"/>
      <c r="T1953" s="13">
        <f t="shared" ref="T1953:Y1953" si="2152">IF(ISBLANK(K1953)=TRUE,0,1)</f>
        <v>1</v>
      </c>
      <c r="U1953" s="13">
        <f t="shared" si="2152"/>
        <v>1</v>
      </c>
      <c r="V1953" s="13">
        <f t="shared" si="2152"/>
        <v>0</v>
      </c>
      <c r="W1953" s="13">
        <f t="shared" si="2152"/>
        <v>0</v>
      </c>
      <c r="X1953" s="13">
        <f t="shared" si="2152"/>
        <v>0</v>
      </c>
      <c r="Y1953" s="13">
        <f t="shared" si="2152"/>
        <v>0</v>
      </c>
      <c r="Z1953" s="13">
        <f t="shared" si="1998"/>
        <v>0</v>
      </c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</row>
    <row r="1954" ht="14.25" customHeight="1">
      <c r="A1954" s="13" t="s">
        <v>36</v>
      </c>
      <c r="B1954" s="13" t="s">
        <v>42</v>
      </c>
      <c r="C1954" s="13">
        <v>712.0</v>
      </c>
      <c r="D1954" s="13" t="s">
        <v>194</v>
      </c>
      <c r="E1954" s="13" t="str">
        <f t="shared" si="1988"/>
        <v>SFAEF,712,AU,0</v>
      </c>
      <c r="F1954" s="13"/>
      <c r="G1954" s="13" t="s">
        <v>111</v>
      </c>
      <c r="H1954" s="13" t="s">
        <v>75</v>
      </c>
      <c r="I1954" s="13"/>
      <c r="J1954" s="13"/>
      <c r="K1954" s="15">
        <v>0.0</v>
      </c>
      <c r="L1954" s="15">
        <v>0.0</v>
      </c>
      <c r="M1954" s="16"/>
      <c r="N1954" s="16"/>
      <c r="O1954" s="17"/>
      <c r="P1954" s="17"/>
      <c r="Q1954" s="13">
        <f t="shared" si="2145"/>
        <v>0</v>
      </c>
      <c r="R1954" s="13"/>
      <c r="S1954" s="13"/>
      <c r="T1954" s="13">
        <f t="shared" ref="T1954:Y1954" si="2153">IF(ISBLANK(K1954)=TRUE,0,1)</f>
        <v>1</v>
      </c>
      <c r="U1954" s="13">
        <f t="shared" si="2153"/>
        <v>1</v>
      </c>
      <c r="V1954" s="13">
        <f t="shared" si="2153"/>
        <v>0</v>
      </c>
      <c r="W1954" s="13">
        <f t="shared" si="2153"/>
        <v>0</v>
      </c>
      <c r="X1954" s="13">
        <f t="shared" si="2153"/>
        <v>0</v>
      </c>
      <c r="Y1954" s="13">
        <f t="shared" si="2153"/>
        <v>0</v>
      </c>
      <c r="Z1954" s="13">
        <f t="shared" si="1998"/>
        <v>0</v>
      </c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</row>
    <row r="1955" ht="14.25" customHeight="1">
      <c r="A1955" s="13" t="s">
        <v>36</v>
      </c>
      <c r="B1955" s="13" t="s">
        <v>42</v>
      </c>
      <c r="C1955" s="13">
        <v>712.0</v>
      </c>
      <c r="D1955" s="13" t="s">
        <v>195</v>
      </c>
      <c r="E1955" s="13" t="str">
        <f t="shared" si="1988"/>
        <v>SFAEF,712,AV,0</v>
      </c>
      <c r="F1955" s="13"/>
      <c r="G1955" s="13" t="s">
        <v>111</v>
      </c>
      <c r="H1955" s="13" t="s">
        <v>75</v>
      </c>
      <c r="I1955" s="13"/>
      <c r="J1955" s="13"/>
      <c r="K1955" s="15">
        <v>0.0</v>
      </c>
      <c r="L1955" s="15">
        <v>0.0</v>
      </c>
      <c r="M1955" s="16"/>
      <c r="N1955" s="16"/>
      <c r="O1955" s="17"/>
      <c r="P1955" s="17"/>
      <c r="Q1955" s="13">
        <f t="shared" si="2145"/>
        <v>0</v>
      </c>
      <c r="R1955" s="13"/>
      <c r="S1955" s="13"/>
      <c r="T1955" s="13">
        <f t="shared" ref="T1955:Y1955" si="2154">IF(ISBLANK(K1955)=TRUE,0,1)</f>
        <v>1</v>
      </c>
      <c r="U1955" s="13">
        <f t="shared" si="2154"/>
        <v>1</v>
      </c>
      <c r="V1955" s="13">
        <f t="shared" si="2154"/>
        <v>0</v>
      </c>
      <c r="W1955" s="13">
        <f t="shared" si="2154"/>
        <v>0</v>
      </c>
      <c r="X1955" s="13">
        <f t="shared" si="2154"/>
        <v>0</v>
      </c>
      <c r="Y1955" s="13">
        <f t="shared" si="2154"/>
        <v>0</v>
      </c>
      <c r="Z1955" s="13">
        <f t="shared" si="1998"/>
        <v>0</v>
      </c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</row>
    <row r="1956" ht="14.25" customHeight="1">
      <c r="A1956" s="13" t="s">
        <v>36</v>
      </c>
      <c r="B1956" s="13" t="s">
        <v>42</v>
      </c>
      <c r="C1956" s="13">
        <v>712.0</v>
      </c>
      <c r="D1956" s="13" t="s">
        <v>196</v>
      </c>
      <c r="E1956" s="13" t="str">
        <f t="shared" si="1988"/>
        <v>SFAEF,712,AW,0</v>
      </c>
      <c r="F1956" s="13"/>
      <c r="G1956" s="13" t="s">
        <v>111</v>
      </c>
      <c r="H1956" s="13" t="s">
        <v>75</v>
      </c>
      <c r="I1956" s="13"/>
      <c r="J1956" s="13"/>
      <c r="K1956" s="15">
        <v>0.0</v>
      </c>
      <c r="L1956" s="15">
        <v>0.0</v>
      </c>
      <c r="M1956" s="16"/>
      <c r="N1956" s="16"/>
      <c r="O1956" s="17"/>
      <c r="P1956" s="17"/>
      <c r="Q1956" s="13">
        <f t="shared" si="2145"/>
        <v>0</v>
      </c>
      <c r="R1956" s="13"/>
      <c r="S1956" s="13"/>
      <c r="T1956" s="13">
        <f t="shared" ref="T1956:Y1956" si="2155">IF(ISBLANK(K1956)=TRUE,0,1)</f>
        <v>1</v>
      </c>
      <c r="U1956" s="13">
        <f t="shared" si="2155"/>
        <v>1</v>
      </c>
      <c r="V1956" s="13">
        <f t="shared" si="2155"/>
        <v>0</v>
      </c>
      <c r="W1956" s="13">
        <f t="shared" si="2155"/>
        <v>0</v>
      </c>
      <c r="X1956" s="13">
        <f t="shared" si="2155"/>
        <v>0</v>
      </c>
      <c r="Y1956" s="13">
        <f t="shared" si="2155"/>
        <v>0</v>
      </c>
      <c r="Z1956" s="13">
        <f t="shared" si="1998"/>
        <v>0</v>
      </c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</row>
    <row r="1957" ht="14.25" customHeight="1">
      <c r="A1957" s="13" t="s">
        <v>36</v>
      </c>
      <c r="B1957" s="13" t="s">
        <v>42</v>
      </c>
      <c r="C1957" s="13">
        <v>712.0</v>
      </c>
      <c r="D1957" s="13" t="s">
        <v>197</v>
      </c>
      <c r="E1957" s="13" t="str">
        <f t="shared" si="1988"/>
        <v>SFAEF,712,AX,0</v>
      </c>
      <c r="F1957" s="13"/>
      <c r="G1957" s="13" t="s">
        <v>111</v>
      </c>
      <c r="H1957" s="13" t="s">
        <v>75</v>
      </c>
      <c r="I1957" s="13"/>
      <c r="J1957" s="13"/>
      <c r="K1957" s="15">
        <v>0.0</v>
      </c>
      <c r="L1957" s="15">
        <v>0.0</v>
      </c>
      <c r="M1957" s="16"/>
      <c r="N1957" s="16"/>
      <c r="O1957" s="17"/>
      <c r="P1957" s="17"/>
      <c r="Q1957" s="13">
        <f t="shared" si="2145"/>
        <v>0</v>
      </c>
      <c r="R1957" s="13"/>
      <c r="S1957" s="13"/>
      <c r="T1957" s="13">
        <f t="shared" ref="T1957:Y1957" si="2156">IF(ISBLANK(K1957)=TRUE,0,1)</f>
        <v>1</v>
      </c>
      <c r="U1957" s="13">
        <f t="shared" si="2156"/>
        <v>1</v>
      </c>
      <c r="V1957" s="13">
        <f t="shared" si="2156"/>
        <v>0</v>
      </c>
      <c r="W1957" s="13">
        <f t="shared" si="2156"/>
        <v>0</v>
      </c>
      <c r="X1957" s="13">
        <f t="shared" si="2156"/>
        <v>0</v>
      </c>
      <c r="Y1957" s="13">
        <f t="shared" si="2156"/>
        <v>0</v>
      </c>
      <c r="Z1957" s="13">
        <f t="shared" si="1998"/>
        <v>0</v>
      </c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</row>
    <row r="1958" ht="14.25" customHeight="1">
      <c r="A1958" s="13" t="s">
        <v>36</v>
      </c>
      <c r="B1958" s="13" t="s">
        <v>42</v>
      </c>
      <c r="C1958" s="13">
        <v>712.0</v>
      </c>
      <c r="D1958" s="13" t="s">
        <v>433</v>
      </c>
      <c r="E1958" s="13" t="str">
        <f t="shared" si="1988"/>
        <v>SFAEF,712,AY,0</v>
      </c>
      <c r="F1958" s="13"/>
      <c r="G1958" s="13" t="s">
        <v>111</v>
      </c>
      <c r="H1958" s="13" t="s">
        <v>75</v>
      </c>
      <c r="I1958" s="13"/>
      <c r="J1958" s="13"/>
      <c r="K1958" s="15">
        <v>0.0</v>
      </c>
      <c r="L1958" s="15">
        <v>0.0</v>
      </c>
      <c r="M1958" s="16"/>
      <c r="N1958" s="16"/>
      <c r="O1958" s="17"/>
      <c r="P1958" s="17"/>
      <c r="Q1958" s="13">
        <f t="shared" si="2145"/>
        <v>0</v>
      </c>
      <c r="R1958" s="13"/>
      <c r="S1958" s="13"/>
      <c r="T1958" s="13">
        <f t="shared" ref="T1958:Y1958" si="2157">IF(ISBLANK(K1958)=TRUE,0,1)</f>
        <v>1</v>
      </c>
      <c r="U1958" s="13">
        <f t="shared" si="2157"/>
        <v>1</v>
      </c>
      <c r="V1958" s="13">
        <f t="shared" si="2157"/>
        <v>0</v>
      </c>
      <c r="W1958" s="13">
        <f t="shared" si="2157"/>
        <v>0</v>
      </c>
      <c r="X1958" s="13">
        <f t="shared" si="2157"/>
        <v>0</v>
      </c>
      <c r="Y1958" s="13">
        <f t="shared" si="2157"/>
        <v>0</v>
      </c>
      <c r="Z1958" s="13">
        <f t="shared" si="1998"/>
        <v>0</v>
      </c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</row>
    <row r="1959" ht="14.25" customHeight="1">
      <c r="A1959" s="13" t="s">
        <v>36</v>
      </c>
      <c r="B1959" s="13" t="s">
        <v>42</v>
      </c>
      <c r="C1959" s="13">
        <v>712.0</v>
      </c>
      <c r="D1959" s="13" t="s">
        <v>434</v>
      </c>
      <c r="E1959" s="13" t="str">
        <f t="shared" si="1988"/>
        <v>SFAEF,712,AZ,0</v>
      </c>
      <c r="F1959" s="13"/>
      <c r="G1959" s="13" t="s">
        <v>111</v>
      </c>
      <c r="H1959" s="13" t="s">
        <v>75</v>
      </c>
      <c r="I1959" s="13"/>
      <c r="J1959" s="13"/>
      <c r="K1959" s="15">
        <v>0.0</v>
      </c>
      <c r="L1959" s="15">
        <v>0.0</v>
      </c>
      <c r="M1959" s="16"/>
      <c r="N1959" s="16"/>
      <c r="O1959" s="17"/>
      <c r="P1959" s="17"/>
      <c r="Q1959" s="13">
        <f t="shared" si="2145"/>
        <v>0</v>
      </c>
      <c r="R1959" s="13"/>
      <c r="S1959" s="13"/>
      <c r="T1959" s="13">
        <f t="shared" ref="T1959:Y1959" si="2158">IF(ISBLANK(K1959)=TRUE,0,1)</f>
        <v>1</v>
      </c>
      <c r="U1959" s="13">
        <f t="shared" si="2158"/>
        <v>1</v>
      </c>
      <c r="V1959" s="13">
        <f t="shared" si="2158"/>
        <v>0</v>
      </c>
      <c r="W1959" s="13">
        <f t="shared" si="2158"/>
        <v>0</v>
      </c>
      <c r="X1959" s="13">
        <f t="shared" si="2158"/>
        <v>0</v>
      </c>
      <c r="Y1959" s="13">
        <f t="shared" si="2158"/>
        <v>0</v>
      </c>
      <c r="Z1959" s="13">
        <f t="shared" si="1998"/>
        <v>0</v>
      </c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</row>
    <row r="1960" ht="14.25" customHeight="1">
      <c r="A1960" s="13" t="s">
        <v>36</v>
      </c>
      <c r="B1960" s="13" t="s">
        <v>42</v>
      </c>
      <c r="C1960" s="13">
        <v>712.0</v>
      </c>
      <c r="D1960" s="13" t="s">
        <v>435</v>
      </c>
      <c r="E1960" s="13" t="str">
        <f t="shared" si="1988"/>
        <v>SFAEF,712,BA,0</v>
      </c>
      <c r="F1960" s="13"/>
      <c r="G1960" s="13" t="s">
        <v>111</v>
      </c>
      <c r="H1960" s="13" t="s">
        <v>75</v>
      </c>
      <c r="I1960" s="13"/>
      <c r="J1960" s="13"/>
      <c r="K1960" s="15">
        <v>0.0</v>
      </c>
      <c r="L1960" s="15">
        <v>0.0</v>
      </c>
      <c r="M1960" s="16"/>
      <c r="N1960" s="16"/>
      <c r="O1960" s="17"/>
      <c r="P1960" s="17"/>
      <c r="Q1960" s="13">
        <f t="shared" si="2145"/>
        <v>0</v>
      </c>
      <c r="R1960" s="13"/>
      <c r="S1960" s="13"/>
      <c r="T1960" s="13">
        <f t="shared" ref="T1960:Y1960" si="2159">IF(ISBLANK(K1960)=TRUE,0,1)</f>
        <v>1</v>
      </c>
      <c r="U1960" s="13">
        <f t="shared" si="2159"/>
        <v>1</v>
      </c>
      <c r="V1960" s="13">
        <f t="shared" si="2159"/>
        <v>0</v>
      </c>
      <c r="W1960" s="13">
        <f t="shared" si="2159"/>
        <v>0</v>
      </c>
      <c r="X1960" s="13">
        <f t="shared" si="2159"/>
        <v>0</v>
      </c>
      <c r="Y1960" s="13">
        <f t="shared" si="2159"/>
        <v>0</v>
      </c>
      <c r="Z1960" s="13">
        <f t="shared" si="1998"/>
        <v>0</v>
      </c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</row>
    <row r="1961" ht="14.25" customHeight="1">
      <c r="A1961" s="13" t="s">
        <v>36</v>
      </c>
      <c r="B1961" s="13" t="s">
        <v>42</v>
      </c>
      <c r="C1961" s="13">
        <v>712.0</v>
      </c>
      <c r="D1961" s="13" t="s">
        <v>436</v>
      </c>
      <c r="E1961" s="13" t="str">
        <f t="shared" si="1988"/>
        <v>SFAEF,712,BB,0</v>
      </c>
      <c r="F1961" s="13"/>
      <c r="G1961" s="13" t="s">
        <v>111</v>
      </c>
      <c r="H1961" s="13" t="s">
        <v>75</v>
      </c>
      <c r="I1961" s="13"/>
      <c r="J1961" s="13"/>
      <c r="K1961" s="15">
        <v>0.0</v>
      </c>
      <c r="L1961" s="15">
        <v>0.0</v>
      </c>
      <c r="M1961" s="16"/>
      <c r="N1961" s="16"/>
      <c r="O1961" s="17"/>
      <c r="P1961" s="17"/>
      <c r="Q1961" s="13">
        <f t="shared" si="2145"/>
        <v>0</v>
      </c>
      <c r="R1961" s="13"/>
      <c r="S1961" s="13"/>
      <c r="T1961" s="13">
        <f t="shared" ref="T1961:Y1961" si="2160">IF(ISBLANK(K1961)=TRUE,0,1)</f>
        <v>1</v>
      </c>
      <c r="U1961" s="13">
        <f t="shared" si="2160"/>
        <v>1</v>
      </c>
      <c r="V1961" s="13">
        <f t="shared" si="2160"/>
        <v>0</v>
      </c>
      <c r="W1961" s="13">
        <f t="shared" si="2160"/>
        <v>0</v>
      </c>
      <c r="X1961" s="13">
        <f t="shared" si="2160"/>
        <v>0</v>
      </c>
      <c r="Y1961" s="13">
        <f t="shared" si="2160"/>
        <v>0</v>
      </c>
      <c r="Z1961" s="13">
        <f t="shared" si="1998"/>
        <v>0</v>
      </c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</row>
    <row r="1962" ht="14.25" customHeight="1">
      <c r="A1962" s="13" t="s">
        <v>36</v>
      </c>
      <c r="B1962" s="13" t="s">
        <v>42</v>
      </c>
      <c r="C1962" s="13">
        <v>712.0</v>
      </c>
      <c r="D1962" s="13" t="s">
        <v>437</v>
      </c>
      <c r="E1962" s="13" t="str">
        <f t="shared" si="1988"/>
        <v>SFAEF,712,BC,0</v>
      </c>
      <c r="F1962" s="13"/>
      <c r="G1962" s="13" t="s">
        <v>111</v>
      </c>
      <c r="H1962" s="13" t="s">
        <v>75</v>
      </c>
      <c r="I1962" s="13"/>
      <c r="J1962" s="13"/>
      <c r="K1962" s="15">
        <v>0.0</v>
      </c>
      <c r="L1962" s="15">
        <v>0.0</v>
      </c>
      <c r="M1962" s="16"/>
      <c r="N1962" s="16"/>
      <c r="O1962" s="17"/>
      <c r="P1962" s="17"/>
      <c r="Q1962" s="13">
        <f t="shared" si="2145"/>
        <v>0</v>
      </c>
      <c r="R1962" s="13"/>
      <c r="S1962" s="13"/>
      <c r="T1962" s="13">
        <f t="shared" ref="T1962:Y1962" si="2161">IF(ISBLANK(K1962)=TRUE,0,1)</f>
        <v>1</v>
      </c>
      <c r="U1962" s="13">
        <f t="shared" si="2161"/>
        <v>1</v>
      </c>
      <c r="V1962" s="13">
        <f t="shared" si="2161"/>
        <v>0</v>
      </c>
      <c r="W1962" s="13">
        <f t="shared" si="2161"/>
        <v>0</v>
      </c>
      <c r="X1962" s="13">
        <f t="shared" si="2161"/>
        <v>0</v>
      </c>
      <c r="Y1962" s="13">
        <f t="shared" si="2161"/>
        <v>0</v>
      </c>
      <c r="Z1962" s="13">
        <f t="shared" si="1998"/>
        <v>0</v>
      </c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</row>
    <row r="1963" ht="14.25" customHeight="1">
      <c r="A1963" s="13" t="s">
        <v>36</v>
      </c>
      <c r="B1963" s="13" t="s">
        <v>42</v>
      </c>
      <c r="C1963" s="13">
        <v>712.0</v>
      </c>
      <c r="D1963" s="13" t="s">
        <v>440</v>
      </c>
      <c r="E1963" s="13" t="str">
        <f t="shared" si="1988"/>
        <v>SFAEF,712,BD,0</v>
      </c>
      <c r="F1963" s="13"/>
      <c r="G1963" s="13" t="s">
        <v>111</v>
      </c>
      <c r="H1963" s="13" t="s">
        <v>75</v>
      </c>
      <c r="I1963" s="13"/>
      <c r="J1963" s="13"/>
      <c r="K1963" s="15">
        <v>0.0</v>
      </c>
      <c r="L1963" s="15">
        <v>0.0</v>
      </c>
      <c r="M1963" s="16"/>
      <c r="N1963" s="16"/>
      <c r="O1963" s="17"/>
      <c r="P1963" s="17"/>
      <c r="Q1963" s="13">
        <f>K1935+L1935+M1935+N1935+O1935+P1935/6</f>
        <v>2</v>
      </c>
      <c r="R1963" s="13"/>
      <c r="S1963" s="13"/>
      <c r="T1963" s="13">
        <f t="shared" ref="T1963:Y1963" si="2162">IF(ISBLANK(K1963)=TRUE,0,1)</f>
        <v>1</v>
      </c>
      <c r="U1963" s="13">
        <f t="shared" si="2162"/>
        <v>1</v>
      </c>
      <c r="V1963" s="13">
        <f t="shared" si="2162"/>
        <v>0</v>
      </c>
      <c r="W1963" s="13">
        <f t="shared" si="2162"/>
        <v>0</v>
      </c>
      <c r="X1963" s="13">
        <f t="shared" si="2162"/>
        <v>0</v>
      </c>
      <c r="Y1963" s="13">
        <f t="shared" si="2162"/>
        <v>0</v>
      </c>
      <c r="Z1963" s="13">
        <f t="shared" si="1998"/>
        <v>0</v>
      </c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</row>
    <row r="1964" ht="14.25" customHeight="1">
      <c r="A1964" s="13" t="s">
        <v>36</v>
      </c>
      <c r="B1964" s="13" t="s">
        <v>42</v>
      </c>
      <c r="C1964" s="13">
        <v>712.0</v>
      </c>
      <c r="D1964" s="13" t="s">
        <v>441</v>
      </c>
      <c r="E1964" s="13" t="str">
        <f t="shared" si="1988"/>
        <v>SFAEF,712,BE,0</v>
      </c>
      <c r="F1964" s="13"/>
      <c r="G1964" s="13" t="s">
        <v>111</v>
      </c>
      <c r="H1964" s="13" t="s">
        <v>75</v>
      </c>
      <c r="I1964" s="13"/>
      <c r="J1964" s="13"/>
      <c r="K1964" s="15">
        <v>0.0</v>
      </c>
      <c r="L1964" s="15">
        <v>0.0</v>
      </c>
      <c r="M1964" s="16"/>
      <c r="N1964" s="16"/>
      <c r="O1964" s="17"/>
      <c r="P1964" s="17"/>
      <c r="Q1964" s="13">
        <f t="shared" ref="Q1964:Q1984" si="2164">K1963+L1963+M1963+N1963+O1963+P1963/6</f>
        <v>0</v>
      </c>
      <c r="R1964" s="13"/>
      <c r="S1964" s="13"/>
      <c r="T1964" s="13">
        <f t="shared" ref="T1964:Y1964" si="2163">IF(ISBLANK(K1964)=TRUE,0,1)</f>
        <v>1</v>
      </c>
      <c r="U1964" s="13">
        <f t="shared" si="2163"/>
        <v>1</v>
      </c>
      <c r="V1964" s="13">
        <f t="shared" si="2163"/>
        <v>0</v>
      </c>
      <c r="W1964" s="13">
        <f t="shared" si="2163"/>
        <v>0</v>
      </c>
      <c r="X1964" s="13">
        <f t="shared" si="2163"/>
        <v>0</v>
      </c>
      <c r="Y1964" s="13">
        <f t="shared" si="2163"/>
        <v>0</v>
      </c>
      <c r="Z1964" s="13">
        <f t="shared" si="1998"/>
        <v>0</v>
      </c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</row>
    <row r="1965" ht="14.25" customHeight="1">
      <c r="A1965" s="13" t="s">
        <v>36</v>
      </c>
      <c r="B1965" s="13" t="s">
        <v>42</v>
      </c>
      <c r="C1965" s="13">
        <v>712.0</v>
      </c>
      <c r="D1965" s="13" t="s">
        <v>551</v>
      </c>
      <c r="E1965" s="13" t="str">
        <f t="shared" si="1988"/>
        <v>SFAEF,712,BF,0</v>
      </c>
      <c r="F1965" s="13"/>
      <c r="G1965" s="13" t="s">
        <v>111</v>
      </c>
      <c r="H1965" s="13" t="s">
        <v>75</v>
      </c>
      <c r="I1965" s="13"/>
      <c r="J1965" s="13"/>
      <c r="K1965" s="15">
        <v>0.0</v>
      </c>
      <c r="L1965" s="15">
        <v>0.0</v>
      </c>
      <c r="M1965" s="16"/>
      <c r="N1965" s="16"/>
      <c r="O1965" s="17"/>
      <c r="P1965" s="17"/>
      <c r="Q1965" s="13">
        <f t="shared" si="2164"/>
        <v>0</v>
      </c>
      <c r="R1965" s="13"/>
      <c r="S1965" s="13"/>
      <c r="T1965" s="13">
        <f t="shared" ref="T1965:Y1965" si="2165">IF(ISBLANK(K1965)=TRUE,0,1)</f>
        <v>1</v>
      </c>
      <c r="U1965" s="13">
        <f t="shared" si="2165"/>
        <v>1</v>
      </c>
      <c r="V1965" s="13">
        <f t="shared" si="2165"/>
        <v>0</v>
      </c>
      <c r="W1965" s="13">
        <f t="shared" si="2165"/>
        <v>0</v>
      </c>
      <c r="X1965" s="13">
        <f t="shared" si="2165"/>
        <v>0</v>
      </c>
      <c r="Y1965" s="13">
        <f t="shared" si="2165"/>
        <v>0</v>
      </c>
      <c r="Z1965" s="13">
        <f t="shared" si="1998"/>
        <v>0</v>
      </c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</row>
    <row r="1966" ht="14.25" customHeight="1">
      <c r="A1966" s="13" t="s">
        <v>36</v>
      </c>
      <c r="B1966" s="13" t="s">
        <v>42</v>
      </c>
      <c r="C1966" s="13">
        <v>712.0</v>
      </c>
      <c r="D1966" s="13" t="s">
        <v>553</v>
      </c>
      <c r="E1966" s="13" t="str">
        <f t="shared" si="1988"/>
        <v>SFAEF,712,BG,0</v>
      </c>
      <c r="F1966" s="13"/>
      <c r="G1966" s="13" t="s">
        <v>111</v>
      </c>
      <c r="H1966" s="13" t="s">
        <v>75</v>
      </c>
      <c r="I1966" s="13"/>
      <c r="J1966" s="13"/>
      <c r="K1966" s="15">
        <v>0.0</v>
      </c>
      <c r="L1966" s="15">
        <v>0.0</v>
      </c>
      <c r="M1966" s="16"/>
      <c r="N1966" s="16"/>
      <c r="O1966" s="17"/>
      <c r="P1966" s="17"/>
      <c r="Q1966" s="13">
        <f t="shared" si="2164"/>
        <v>0</v>
      </c>
      <c r="R1966" s="13"/>
      <c r="S1966" s="13"/>
      <c r="T1966" s="13">
        <f t="shared" ref="T1966:Y1966" si="2166">IF(ISBLANK(K1966)=TRUE,0,1)</f>
        <v>1</v>
      </c>
      <c r="U1966" s="13">
        <f t="shared" si="2166"/>
        <v>1</v>
      </c>
      <c r="V1966" s="13">
        <f t="shared" si="2166"/>
        <v>0</v>
      </c>
      <c r="W1966" s="13">
        <f t="shared" si="2166"/>
        <v>0</v>
      </c>
      <c r="X1966" s="13">
        <f t="shared" si="2166"/>
        <v>0</v>
      </c>
      <c r="Y1966" s="13">
        <f t="shared" si="2166"/>
        <v>0</v>
      </c>
      <c r="Z1966" s="13">
        <f t="shared" si="1998"/>
        <v>0</v>
      </c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</row>
    <row r="1967" ht="14.25" customHeight="1">
      <c r="A1967" s="13" t="s">
        <v>36</v>
      </c>
      <c r="B1967" s="13" t="s">
        <v>42</v>
      </c>
      <c r="C1967" s="13">
        <v>712.0</v>
      </c>
      <c r="D1967" s="13" t="s">
        <v>554</v>
      </c>
      <c r="E1967" s="13" t="str">
        <f t="shared" si="1988"/>
        <v>SFAEF,712,BH,0</v>
      </c>
      <c r="F1967" s="13"/>
      <c r="G1967" s="13" t="s">
        <v>111</v>
      </c>
      <c r="H1967" s="13" t="s">
        <v>75</v>
      </c>
      <c r="I1967" s="13"/>
      <c r="J1967" s="13"/>
      <c r="K1967" s="15">
        <v>0.0</v>
      </c>
      <c r="L1967" s="15">
        <v>0.0</v>
      </c>
      <c r="M1967" s="16"/>
      <c r="N1967" s="16"/>
      <c r="O1967" s="17"/>
      <c r="P1967" s="17"/>
      <c r="Q1967" s="13">
        <f t="shared" si="2164"/>
        <v>0</v>
      </c>
      <c r="R1967" s="13"/>
      <c r="S1967" s="13"/>
      <c r="T1967" s="13">
        <f t="shared" ref="T1967:Y1967" si="2167">IF(ISBLANK(K1967)=TRUE,0,1)</f>
        <v>1</v>
      </c>
      <c r="U1967" s="13">
        <f t="shared" si="2167"/>
        <v>1</v>
      </c>
      <c r="V1967" s="13">
        <f t="shared" si="2167"/>
        <v>0</v>
      </c>
      <c r="W1967" s="13">
        <f t="shared" si="2167"/>
        <v>0</v>
      </c>
      <c r="X1967" s="13">
        <f t="shared" si="2167"/>
        <v>0</v>
      </c>
      <c r="Y1967" s="13">
        <f t="shared" si="2167"/>
        <v>0</v>
      </c>
      <c r="Z1967" s="13">
        <f t="shared" si="1998"/>
        <v>0</v>
      </c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</row>
    <row r="1968" ht="14.25" customHeight="1">
      <c r="A1968" s="13" t="s">
        <v>36</v>
      </c>
      <c r="B1968" s="13" t="s">
        <v>42</v>
      </c>
      <c r="C1968" s="13">
        <v>712.0</v>
      </c>
      <c r="D1968" s="13" t="s">
        <v>555</v>
      </c>
      <c r="E1968" s="13" t="str">
        <f t="shared" si="1988"/>
        <v>SFAEF,712,BI,0</v>
      </c>
      <c r="F1968" s="13"/>
      <c r="G1968" s="13" t="s">
        <v>111</v>
      </c>
      <c r="H1968" s="13" t="s">
        <v>75</v>
      </c>
      <c r="I1968" s="13"/>
      <c r="J1968" s="13"/>
      <c r="K1968" s="15">
        <v>0.0</v>
      </c>
      <c r="L1968" s="15">
        <v>0.0</v>
      </c>
      <c r="M1968" s="16"/>
      <c r="N1968" s="16"/>
      <c r="O1968" s="17"/>
      <c r="P1968" s="17"/>
      <c r="Q1968" s="13">
        <f t="shared" si="2164"/>
        <v>0</v>
      </c>
      <c r="R1968" s="13"/>
      <c r="S1968" s="13"/>
      <c r="T1968" s="13">
        <f t="shared" ref="T1968:Y1968" si="2168">IF(ISBLANK(K1968)=TRUE,0,1)</f>
        <v>1</v>
      </c>
      <c r="U1968" s="13">
        <f t="shared" si="2168"/>
        <v>1</v>
      </c>
      <c r="V1968" s="13">
        <f t="shared" si="2168"/>
        <v>0</v>
      </c>
      <c r="W1968" s="13">
        <f t="shared" si="2168"/>
        <v>0</v>
      </c>
      <c r="X1968" s="13">
        <f t="shared" si="2168"/>
        <v>0</v>
      </c>
      <c r="Y1968" s="13">
        <f t="shared" si="2168"/>
        <v>0</v>
      </c>
      <c r="Z1968" s="13">
        <f t="shared" si="1998"/>
        <v>0</v>
      </c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</row>
    <row r="1969" ht="14.25" customHeight="1">
      <c r="A1969" s="13" t="s">
        <v>36</v>
      </c>
      <c r="B1969" s="13" t="s">
        <v>42</v>
      </c>
      <c r="C1969" s="13">
        <v>712.0</v>
      </c>
      <c r="D1969" s="13" t="s">
        <v>168</v>
      </c>
      <c r="E1969" s="13" t="str">
        <f t="shared" si="1988"/>
        <v>SFAEF,712,BJ,0</v>
      </c>
      <c r="F1969" s="13"/>
      <c r="G1969" s="13" t="s">
        <v>111</v>
      </c>
      <c r="H1969" s="13" t="s">
        <v>75</v>
      </c>
      <c r="I1969" s="13"/>
      <c r="J1969" s="13"/>
      <c r="K1969" s="15">
        <v>0.0</v>
      </c>
      <c r="L1969" s="15">
        <v>0.0</v>
      </c>
      <c r="M1969" s="16"/>
      <c r="N1969" s="16"/>
      <c r="O1969" s="17"/>
      <c r="P1969" s="17"/>
      <c r="Q1969" s="13">
        <f t="shared" si="2164"/>
        <v>0</v>
      </c>
      <c r="R1969" s="13"/>
      <c r="S1969" s="13"/>
      <c r="T1969" s="13">
        <f t="shared" ref="T1969:Y1969" si="2169">IF(ISBLANK(K1969)=TRUE,0,1)</f>
        <v>1</v>
      </c>
      <c r="U1969" s="13">
        <f t="shared" si="2169"/>
        <v>1</v>
      </c>
      <c r="V1969" s="13">
        <f t="shared" si="2169"/>
        <v>0</v>
      </c>
      <c r="W1969" s="13">
        <f t="shared" si="2169"/>
        <v>0</v>
      </c>
      <c r="X1969" s="13">
        <f t="shared" si="2169"/>
        <v>0</v>
      </c>
      <c r="Y1969" s="13">
        <f t="shared" si="2169"/>
        <v>0</v>
      </c>
      <c r="Z1969" s="13">
        <f t="shared" si="1998"/>
        <v>0</v>
      </c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</row>
    <row r="1970" ht="14.25" customHeight="1">
      <c r="A1970" s="13" t="s">
        <v>36</v>
      </c>
      <c r="B1970" s="13" t="s">
        <v>42</v>
      </c>
      <c r="C1970" s="13">
        <v>712.0</v>
      </c>
      <c r="D1970" s="13" t="s">
        <v>169</v>
      </c>
      <c r="E1970" s="13" t="str">
        <f t="shared" si="1988"/>
        <v>SFAEF,712,BK,0</v>
      </c>
      <c r="F1970" s="13"/>
      <c r="G1970" s="13" t="s">
        <v>111</v>
      </c>
      <c r="H1970" s="13" t="s">
        <v>75</v>
      </c>
      <c r="I1970" s="13"/>
      <c r="J1970" s="13"/>
      <c r="K1970" s="15">
        <v>0.0</v>
      </c>
      <c r="L1970" s="15">
        <v>0.0</v>
      </c>
      <c r="M1970" s="16"/>
      <c r="N1970" s="16"/>
      <c r="O1970" s="17"/>
      <c r="P1970" s="17"/>
      <c r="Q1970" s="13">
        <f t="shared" si="2164"/>
        <v>0</v>
      </c>
      <c r="R1970" s="13"/>
      <c r="S1970" s="13"/>
      <c r="T1970" s="13">
        <f t="shared" ref="T1970:Y1970" si="2170">IF(ISBLANK(K1970)=TRUE,0,1)</f>
        <v>1</v>
      </c>
      <c r="U1970" s="13">
        <f t="shared" si="2170"/>
        <v>1</v>
      </c>
      <c r="V1970" s="13">
        <f t="shared" si="2170"/>
        <v>0</v>
      </c>
      <c r="W1970" s="13">
        <f t="shared" si="2170"/>
        <v>0</v>
      </c>
      <c r="X1970" s="13">
        <f t="shared" si="2170"/>
        <v>0</v>
      </c>
      <c r="Y1970" s="13">
        <f t="shared" si="2170"/>
        <v>0</v>
      </c>
      <c r="Z1970" s="13">
        <f t="shared" si="1998"/>
        <v>0</v>
      </c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</row>
    <row r="1971" ht="14.25" customHeight="1">
      <c r="A1971" s="13" t="s">
        <v>36</v>
      </c>
      <c r="B1971" s="13" t="s">
        <v>42</v>
      </c>
      <c r="C1971" s="13">
        <v>712.0</v>
      </c>
      <c r="D1971" s="13" t="s">
        <v>170</v>
      </c>
      <c r="E1971" s="13" t="str">
        <f t="shared" si="1988"/>
        <v>SFAEF,712,BL,0</v>
      </c>
      <c r="F1971" s="13"/>
      <c r="G1971" s="13" t="s">
        <v>111</v>
      </c>
      <c r="H1971" s="13" t="s">
        <v>75</v>
      </c>
      <c r="I1971" s="13"/>
      <c r="J1971" s="13"/>
      <c r="K1971" s="15">
        <v>0.0</v>
      </c>
      <c r="L1971" s="15">
        <v>0.0</v>
      </c>
      <c r="M1971" s="16"/>
      <c r="N1971" s="16"/>
      <c r="O1971" s="17"/>
      <c r="P1971" s="17"/>
      <c r="Q1971" s="13">
        <f t="shared" si="2164"/>
        <v>0</v>
      </c>
      <c r="R1971" s="13"/>
      <c r="S1971" s="13"/>
      <c r="T1971" s="13">
        <f t="shared" ref="T1971:Y1971" si="2171">IF(ISBLANK(K1971)=TRUE,0,1)</f>
        <v>1</v>
      </c>
      <c r="U1971" s="13">
        <f t="shared" si="2171"/>
        <v>1</v>
      </c>
      <c r="V1971" s="13">
        <f t="shared" si="2171"/>
        <v>0</v>
      </c>
      <c r="W1971" s="13">
        <f t="shared" si="2171"/>
        <v>0</v>
      </c>
      <c r="X1971" s="13">
        <f t="shared" si="2171"/>
        <v>0</v>
      </c>
      <c r="Y1971" s="13">
        <f t="shared" si="2171"/>
        <v>0</v>
      </c>
      <c r="Z1971" s="13">
        <f t="shared" si="1998"/>
        <v>0</v>
      </c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</row>
    <row r="1972" ht="14.25" customHeight="1">
      <c r="A1972" s="13" t="s">
        <v>36</v>
      </c>
      <c r="B1972" s="13" t="s">
        <v>42</v>
      </c>
      <c r="C1972" s="13">
        <v>712.0</v>
      </c>
      <c r="D1972" s="13" t="s">
        <v>171</v>
      </c>
      <c r="E1972" s="13" t="str">
        <f t="shared" si="1988"/>
        <v>SFAEF,712,BM,0</v>
      </c>
      <c r="F1972" s="13"/>
      <c r="G1972" s="13" t="s">
        <v>111</v>
      </c>
      <c r="H1972" s="13" t="s">
        <v>75</v>
      </c>
      <c r="I1972" s="13"/>
      <c r="J1972" s="13"/>
      <c r="K1972" s="15">
        <v>0.0</v>
      </c>
      <c r="L1972" s="15">
        <v>0.0</v>
      </c>
      <c r="M1972" s="16"/>
      <c r="N1972" s="16"/>
      <c r="O1972" s="17"/>
      <c r="P1972" s="17"/>
      <c r="Q1972" s="13">
        <f t="shared" si="2164"/>
        <v>0</v>
      </c>
      <c r="R1972" s="13"/>
      <c r="S1972" s="13"/>
      <c r="T1972" s="13">
        <f t="shared" ref="T1972:Y1972" si="2172">IF(ISBLANK(K1972)=TRUE,0,1)</f>
        <v>1</v>
      </c>
      <c r="U1972" s="13">
        <f t="shared" si="2172"/>
        <v>1</v>
      </c>
      <c r="V1972" s="13">
        <f t="shared" si="2172"/>
        <v>0</v>
      </c>
      <c r="W1972" s="13">
        <f t="shared" si="2172"/>
        <v>0</v>
      </c>
      <c r="X1972" s="13">
        <f t="shared" si="2172"/>
        <v>0</v>
      </c>
      <c r="Y1972" s="13">
        <f t="shared" si="2172"/>
        <v>0</v>
      </c>
      <c r="Z1972" s="13">
        <f t="shared" si="1998"/>
        <v>0</v>
      </c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</row>
    <row r="1973" ht="14.25" customHeight="1">
      <c r="A1973" s="13" t="s">
        <v>36</v>
      </c>
      <c r="B1973" s="13" t="s">
        <v>42</v>
      </c>
      <c r="C1973" s="13">
        <v>712.0</v>
      </c>
      <c r="D1973" s="13" t="s">
        <v>172</v>
      </c>
      <c r="E1973" s="13" t="str">
        <f t="shared" si="1988"/>
        <v>SFAEF,712,BN,0</v>
      </c>
      <c r="F1973" s="13"/>
      <c r="G1973" s="13" t="s">
        <v>111</v>
      </c>
      <c r="H1973" s="13" t="s">
        <v>75</v>
      </c>
      <c r="I1973" s="13"/>
      <c r="J1973" s="13"/>
      <c r="K1973" s="15">
        <v>0.0</v>
      </c>
      <c r="L1973" s="15">
        <v>0.0</v>
      </c>
      <c r="M1973" s="16"/>
      <c r="N1973" s="16"/>
      <c r="O1973" s="17"/>
      <c r="P1973" s="17"/>
      <c r="Q1973" s="13">
        <f t="shared" si="2164"/>
        <v>0</v>
      </c>
      <c r="R1973" s="13"/>
      <c r="S1973" s="13"/>
      <c r="T1973" s="13">
        <f t="shared" ref="T1973:Y1973" si="2173">IF(ISBLANK(K1973)=TRUE,0,1)</f>
        <v>1</v>
      </c>
      <c r="U1973" s="13">
        <f t="shared" si="2173"/>
        <v>1</v>
      </c>
      <c r="V1973" s="13">
        <f t="shared" si="2173"/>
        <v>0</v>
      </c>
      <c r="W1973" s="13">
        <f t="shared" si="2173"/>
        <v>0</v>
      </c>
      <c r="X1973" s="13">
        <f t="shared" si="2173"/>
        <v>0</v>
      </c>
      <c r="Y1973" s="13">
        <f t="shared" si="2173"/>
        <v>0</v>
      </c>
      <c r="Z1973" s="13">
        <f t="shared" si="1998"/>
        <v>0</v>
      </c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</row>
    <row r="1974" ht="14.25" customHeight="1">
      <c r="A1974" s="13" t="s">
        <v>36</v>
      </c>
      <c r="B1974" s="13" t="s">
        <v>42</v>
      </c>
      <c r="C1974" s="13">
        <v>712.0</v>
      </c>
      <c r="D1974" s="13" t="s">
        <v>556</v>
      </c>
      <c r="E1974" s="13" t="str">
        <f t="shared" si="1988"/>
        <v>SFAEF,712,BO,0</v>
      </c>
      <c r="F1974" s="13"/>
      <c r="G1974" s="13" t="s">
        <v>111</v>
      </c>
      <c r="H1974" s="13" t="s">
        <v>75</v>
      </c>
      <c r="I1974" s="13"/>
      <c r="J1974" s="13"/>
      <c r="K1974" s="15">
        <v>0.0</v>
      </c>
      <c r="L1974" s="15">
        <v>0.0</v>
      </c>
      <c r="M1974" s="16"/>
      <c r="N1974" s="16"/>
      <c r="O1974" s="17"/>
      <c r="P1974" s="17"/>
      <c r="Q1974" s="13">
        <f t="shared" si="2164"/>
        <v>0</v>
      </c>
      <c r="R1974" s="13"/>
      <c r="S1974" s="13"/>
      <c r="T1974" s="13">
        <f t="shared" ref="T1974:Y1974" si="2174">IF(ISBLANK(K1974)=TRUE,0,1)</f>
        <v>1</v>
      </c>
      <c r="U1974" s="13">
        <f t="shared" si="2174"/>
        <v>1</v>
      </c>
      <c r="V1974" s="13">
        <f t="shared" si="2174"/>
        <v>0</v>
      </c>
      <c r="W1974" s="13">
        <f t="shared" si="2174"/>
        <v>0</v>
      </c>
      <c r="X1974" s="13">
        <f t="shared" si="2174"/>
        <v>0</v>
      </c>
      <c r="Y1974" s="13">
        <f t="shared" si="2174"/>
        <v>0</v>
      </c>
      <c r="Z1974" s="13">
        <f t="shared" si="1998"/>
        <v>0</v>
      </c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</row>
    <row r="1975" ht="14.25" customHeight="1">
      <c r="A1975" s="13" t="s">
        <v>36</v>
      </c>
      <c r="B1975" s="13" t="s">
        <v>42</v>
      </c>
      <c r="C1975" s="13">
        <v>712.0</v>
      </c>
      <c r="D1975" s="13" t="s">
        <v>557</v>
      </c>
      <c r="E1975" s="13" t="str">
        <f t="shared" si="1988"/>
        <v>SFAEF,712,BP,0</v>
      </c>
      <c r="F1975" s="13"/>
      <c r="G1975" s="13" t="s">
        <v>111</v>
      </c>
      <c r="H1975" s="13" t="s">
        <v>75</v>
      </c>
      <c r="I1975" s="13"/>
      <c r="J1975" s="13"/>
      <c r="K1975" s="15">
        <v>0.0</v>
      </c>
      <c r="L1975" s="15">
        <v>0.0</v>
      </c>
      <c r="M1975" s="16"/>
      <c r="N1975" s="16"/>
      <c r="O1975" s="17"/>
      <c r="P1975" s="17"/>
      <c r="Q1975" s="13">
        <f t="shared" si="2164"/>
        <v>0</v>
      </c>
      <c r="R1975" s="13"/>
      <c r="S1975" s="13"/>
      <c r="T1975" s="13">
        <f t="shared" ref="T1975:Y1975" si="2175">IF(ISBLANK(K1975)=TRUE,0,1)</f>
        <v>1</v>
      </c>
      <c r="U1975" s="13">
        <f t="shared" si="2175"/>
        <v>1</v>
      </c>
      <c r="V1975" s="13">
        <f t="shared" si="2175"/>
        <v>0</v>
      </c>
      <c r="W1975" s="13">
        <f t="shared" si="2175"/>
        <v>0</v>
      </c>
      <c r="X1975" s="13">
        <f t="shared" si="2175"/>
        <v>0</v>
      </c>
      <c r="Y1975" s="13">
        <f t="shared" si="2175"/>
        <v>0</v>
      </c>
      <c r="Z1975" s="13">
        <f t="shared" si="1998"/>
        <v>0</v>
      </c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</row>
    <row r="1976" ht="14.25" customHeight="1">
      <c r="A1976" s="13" t="s">
        <v>36</v>
      </c>
      <c r="B1976" s="13" t="s">
        <v>42</v>
      </c>
      <c r="C1976" s="13">
        <v>712.0</v>
      </c>
      <c r="D1976" s="13" t="s">
        <v>110</v>
      </c>
      <c r="E1976" s="13" t="str">
        <f t="shared" si="1988"/>
        <v>SFAEF,712,BQ,0</v>
      </c>
      <c r="F1976" s="13"/>
      <c r="G1976" s="13" t="s">
        <v>111</v>
      </c>
      <c r="H1976" s="13" t="s">
        <v>75</v>
      </c>
      <c r="I1976" s="13"/>
      <c r="J1976" s="13"/>
      <c r="K1976" s="15">
        <v>0.0</v>
      </c>
      <c r="L1976" s="15">
        <v>0.0</v>
      </c>
      <c r="M1976" s="16"/>
      <c r="N1976" s="16"/>
      <c r="O1976" s="17"/>
      <c r="P1976" s="17"/>
      <c r="Q1976" s="13">
        <f t="shared" si="2164"/>
        <v>0</v>
      </c>
      <c r="R1976" s="13"/>
      <c r="S1976" s="13"/>
      <c r="T1976" s="13">
        <f t="shared" ref="T1976:Y1976" si="2176">IF(ISBLANK(K1976)=TRUE,0,1)</f>
        <v>1</v>
      </c>
      <c r="U1976" s="13">
        <f t="shared" si="2176"/>
        <v>1</v>
      </c>
      <c r="V1976" s="13">
        <f t="shared" si="2176"/>
        <v>0</v>
      </c>
      <c r="W1976" s="13">
        <f t="shared" si="2176"/>
        <v>0</v>
      </c>
      <c r="X1976" s="13">
        <f t="shared" si="2176"/>
        <v>0</v>
      </c>
      <c r="Y1976" s="13">
        <f t="shared" si="2176"/>
        <v>0</v>
      </c>
      <c r="Z1976" s="13">
        <f t="shared" si="1998"/>
        <v>0</v>
      </c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</row>
    <row r="1977" ht="14.25" customHeight="1">
      <c r="A1977" s="13" t="s">
        <v>36</v>
      </c>
      <c r="B1977" s="13" t="s">
        <v>42</v>
      </c>
      <c r="C1977" s="13">
        <v>712.0</v>
      </c>
      <c r="D1977" s="13" t="s">
        <v>113</v>
      </c>
      <c r="E1977" s="13" t="str">
        <f t="shared" si="1988"/>
        <v>SFAEF,712,BR,0</v>
      </c>
      <c r="F1977" s="13"/>
      <c r="G1977" s="13" t="s">
        <v>111</v>
      </c>
      <c r="H1977" s="13" t="s">
        <v>75</v>
      </c>
      <c r="I1977" s="13"/>
      <c r="J1977" s="13"/>
      <c r="K1977" s="15">
        <v>0.0</v>
      </c>
      <c r="L1977" s="15">
        <v>0.0</v>
      </c>
      <c r="M1977" s="16"/>
      <c r="N1977" s="16"/>
      <c r="O1977" s="17"/>
      <c r="P1977" s="17"/>
      <c r="Q1977" s="13">
        <f t="shared" si="2164"/>
        <v>0</v>
      </c>
      <c r="R1977" s="13"/>
      <c r="S1977" s="13"/>
      <c r="T1977" s="13">
        <f t="shared" ref="T1977:Y1977" si="2177">IF(ISBLANK(K1977)=TRUE,0,1)</f>
        <v>1</v>
      </c>
      <c r="U1977" s="13">
        <f t="shared" si="2177"/>
        <v>1</v>
      </c>
      <c r="V1977" s="13">
        <f t="shared" si="2177"/>
        <v>0</v>
      </c>
      <c r="W1977" s="13">
        <f t="shared" si="2177"/>
        <v>0</v>
      </c>
      <c r="X1977" s="13">
        <f t="shared" si="2177"/>
        <v>0</v>
      </c>
      <c r="Y1977" s="13">
        <f t="shared" si="2177"/>
        <v>0</v>
      </c>
      <c r="Z1977" s="13">
        <f t="shared" si="1998"/>
        <v>0</v>
      </c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</row>
    <row r="1978" ht="14.25" customHeight="1">
      <c r="A1978" s="13" t="s">
        <v>36</v>
      </c>
      <c r="B1978" s="13" t="s">
        <v>42</v>
      </c>
      <c r="C1978" s="13">
        <v>712.0</v>
      </c>
      <c r="D1978" s="13" t="s">
        <v>115</v>
      </c>
      <c r="E1978" s="13" t="str">
        <f t="shared" si="1988"/>
        <v>SFAEF,712,BS,0</v>
      </c>
      <c r="F1978" s="13"/>
      <c r="G1978" s="13" t="s">
        <v>111</v>
      </c>
      <c r="H1978" s="13" t="s">
        <v>75</v>
      </c>
      <c r="I1978" s="13"/>
      <c r="J1978" s="13"/>
      <c r="K1978" s="15">
        <v>0.0</v>
      </c>
      <c r="L1978" s="15">
        <v>0.0</v>
      </c>
      <c r="M1978" s="16"/>
      <c r="N1978" s="16"/>
      <c r="O1978" s="17"/>
      <c r="P1978" s="17"/>
      <c r="Q1978" s="13">
        <f t="shared" si="2164"/>
        <v>0</v>
      </c>
      <c r="R1978" s="13"/>
      <c r="S1978" s="13"/>
      <c r="T1978" s="13">
        <f t="shared" ref="T1978:Y1978" si="2178">IF(ISBLANK(K1978)=TRUE,0,1)</f>
        <v>1</v>
      </c>
      <c r="U1978" s="13">
        <f t="shared" si="2178"/>
        <v>1</v>
      </c>
      <c r="V1978" s="13">
        <f t="shared" si="2178"/>
        <v>0</v>
      </c>
      <c r="W1978" s="13">
        <f t="shared" si="2178"/>
        <v>0</v>
      </c>
      <c r="X1978" s="13">
        <f t="shared" si="2178"/>
        <v>0</v>
      </c>
      <c r="Y1978" s="13">
        <f t="shared" si="2178"/>
        <v>0</v>
      </c>
      <c r="Z1978" s="13">
        <f t="shared" si="1998"/>
        <v>0</v>
      </c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</row>
    <row r="1979" ht="14.25" customHeight="1">
      <c r="A1979" s="13" t="s">
        <v>36</v>
      </c>
      <c r="B1979" s="13" t="s">
        <v>42</v>
      </c>
      <c r="C1979" s="13">
        <v>712.0</v>
      </c>
      <c r="D1979" s="13" t="s">
        <v>117</v>
      </c>
      <c r="E1979" s="13" t="str">
        <f t="shared" si="1988"/>
        <v>SFAEF,712,BT,0</v>
      </c>
      <c r="F1979" s="13"/>
      <c r="G1979" s="13" t="s">
        <v>111</v>
      </c>
      <c r="H1979" s="13" t="s">
        <v>75</v>
      </c>
      <c r="I1979" s="13"/>
      <c r="J1979" s="13"/>
      <c r="K1979" s="15">
        <v>0.0</v>
      </c>
      <c r="L1979" s="15">
        <v>0.0</v>
      </c>
      <c r="M1979" s="16"/>
      <c r="N1979" s="16"/>
      <c r="O1979" s="17"/>
      <c r="P1979" s="17"/>
      <c r="Q1979" s="13">
        <f t="shared" si="2164"/>
        <v>0</v>
      </c>
      <c r="R1979" s="13"/>
      <c r="S1979" s="13"/>
      <c r="T1979" s="13">
        <f t="shared" ref="T1979:Y1979" si="2179">IF(ISBLANK(K1979)=TRUE,0,1)</f>
        <v>1</v>
      </c>
      <c r="U1979" s="13">
        <f t="shared" si="2179"/>
        <v>1</v>
      </c>
      <c r="V1979" s="13">
        <f t="shared" si="2179"/>
        <v>0</v>
      </c>
      <c r="W1979" s="13">
        <f t="shared" si="2179"/>
        <v>0</v>
      </c>
      <c r="X1979" s="13">
        <f t="shared" si="2179"/>
        <v>0</v>
      </c>
      <c r="Y1979" s="13">
        <f t="shared" si="2179"/>
        <v>0</v>
      </c>
      <c r="Z1979" s="13">
        <f t="shared" si="1998"/>
        <v>0</v>
      </c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</row>
    <row r="1980" ht="14.25" customHeight="1">
      <c r="A1980" s="13" t="s">
        <v>36</v>
      </c>
      <c r="B1980" s="13" t="s">
        <v>42</v>
      </c>
      <c r="C1980" s="13">
        <v>712.0</v>
      </c>
      <c r="D1980" s="13" t="s">
        <v>119</v>
      </c>
      <c r="E1980" s="13" t="str">
        <f t="shared" si="1988"/>
        <v>SFAEF,712,BU,0</v>
      </c>
      <c r="F1980" s="13"/>
      <c r="G1980" s="13" t="s">
        <v>111</v>
      </c>
      <c r="H1980" s="13" t="s">
        <v>75</v>
      </c>
      <c r="I1980" s="13"/>
      <c r="J1980" s="13"/>
      <c r="K1980" s="15">
        <v>0.0</v>
      </c>
      <c r="L1980" s="15">
        <v>0.0</v>
      </c>
      <c r="M1980" s="16"/>
      <c r="N1980" s="16"/>
      <c r="O1980" s="17"/>
      <c r="P1980" s="17"/>
      <c r="Q1980" s="13">
        <f t="shared" si="2164"/>
        <v>0</v>
      </c>
      <c r="R1980" s="13"/>
      <c r="S1980" s="13"/>
      <c r="T1980" s="13">
        <f t="shared" ref="T1980:Y1980" si="2180">IF(ISBLANK(K1980)=TRUE,0,1)</f>
        <v>1</v>
      </c>
      <c r="U1980" s="13">
        <f t="shared" si="2180"/>
        <v>1</v>
      </c>
      <c r="V1980" s="13">
        <f t="shared" si="2180"/>
        <v>0</v>
      </c>
      <c r="W1980" s="13">
        <f t="shared" si="2180"/>
        <v>0</v>
      </c>
      <c r="X1980" s="13">
        <f t="shared" si="2180"/>
        <v>0</v>
      </c>
      <c r="Y1980" s="13">
        <f t="shared" si="2180"/>
        <v>0</v>
      </c>
      <c r="Z1980" s="13">
        <f t="shared" si="1998"/>
        <v>0</v>
      </c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</row>
    <row r="1981" ht="14.25" customHeight="1">
      <c r="A1981" s="13" t="s">
        <v>36</v>
      </c>
      <c r="B1981" s="13" t="s">
        <v>42</v>
      </c>
      <c r="C1981" s="13">
        <v>712.0</v>
      </c>
      <c r="D1981" s="13" t="s">
        <v>120</v>
      </c>
      <c r="E1981" s="13" t="str">
        <f t="shared" si="1988"/>
        <v>SFAEF,712,BV,0</v>
      </c>
      <c r="F1981" s="13"/>
      <c r="G1981" s="13" t="s">
        <v>111</v>
      </c>
      <c r="H1981" s="13" t="s">
        <v>75</v>
      </c>
      <c r="I1981" s="13"/>
      <c r="J1981" s="13"/>
      <c r="K1981" s="15">
        <v>0.0</v>
      </c>
      <c r="L1981" s="15">
        <v>0.0</v>
      </c>
      <c r="M1981" s="16"/>
      <c r="N1981" s="16"/>
      <c r="O1981" s="17"/>
      <c r="P1981" s="17"/>
      <c r="Q1981" s="13">
        <f t="shared" si="2164"/>
        <v>0</v>
      </c>
      <c r="R1981" s="13"/>
      <c r="S1981" s="13"/>
      <c r="T1981" s="13">
        <f t="shared" ref="T1981:Y1981" si="2181">IF(ISBLANK(K1981)=TRUE,0,1)</f>
        <v>1</v>
      </c>
      <c r="U1981" s="13">
        <f t="shared" si="2181"/>
        <v>1</v>
      </c>
      <c r="V1981" s="13">
        <f t="shared" si="2181"/>
        <v>0</v>
      </c>
      <c r="W1981" s="13">
        <f t="shared" si="2181"/>
        <v>0</v>
      </c>
      <c r="X1981" s="13">
        <f t="shared" si="2181"/>
        <v>0</v>
      </c>
      <c r="Y1981" s="13">
        <f t="shared" si="2181"/>
        <v>0</v>
      </c>
      <c r="Z1981" s="13">
        <f t="shared" si="1998"/>
        <v>0</v>
      </c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</row>
    <row r="1982" ht="14.25" customHeight="1">
      <c r="A1982" s="13" t="s">
        <v>36</v>
      </c>
      <c r="B1982" s="13" t="s">
        <v>42</v>
      </c>
      <c r="C1982" s="13">
        <v>712.0</v>
      </c>
      <c r="D1982" s="13" t="s">
        <v>121</v>
      </c>
      <c r="E1982" s="13" t="str">
        <f t="shared" si="1988"/>
        <v>SFAEF,712,BW,0</v>
      </c>
      <c r="F1982" s="13"/>
      <c r="G1982" s="13" t="s">
        <v>111</v>
      </c>
      <c r="H1982" s="13" t="s">
        <v>75</v>
      </c>
      <c r="I1982" s="13"/>
      <c r="J1982" s="13"/>
      <c r="K1982" s="15">
        <v>0.0</v>
      </c>
      <c r="L1982" s="15">
        <v>0.0</v>
      </c>
      <c r="M1982" s="16"/>
      <c r="N1982" s="16"/>
      <c r="O1982" s="17"/>
      <c r="P1982" s="17"/>
      <c r="Q1982" s="13">
        <f t="shared" si="2164"/>
        <v>0</v>
      </c>
      <c r="R1982" s="13"/>
      <c r="S1982" s="13"/>
      <c r="T1982" s="13">
        <f t="shared" ref="T1982:Y1982" si="2182">IF(ISBLANK(K1982)=TRUE,0,1)</f>
        <v>1</v>
      </c>
      <c r="U1982" s="13">
        <f t="shared" si="2182"/>
        <v>1</v>
      </c>
      <c r="V1982" s="13">
        <f t="shared" si="2182"/>
        <v>0</v>
      </c>
      <c r="W1982" s="13">
        <f t="shared" si="2182"/>
        <v>0</v>
      </c>
      <c r="X1982" s="13">
        <f t="shared" si="2182"/>
        <v>0</v>
      </c>
      <c r="Y1982" s="13">
        <f t="shared" si="2182"/>
        <v>0</v>
      </c>
      <c r="Z1982" s="13">
        <f t="shared" si="1998"/>
        <v>0</v>
      </c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</row>
    <row r="1983" ht="14.25" customHeight="1">
      <c r="A1983" s="13" t="s">
        <v>36</v>
      </c>
      <c r="B1983" s="13" t="s">
        <v>42</v>
      </c>
      <c r="C1983" s="13">
        <v>712.0</v>
      </c>
      <c r="D1983" s="13" t="s">
        <v>122</v>
      </c>
      <c r="E1983" s="13" t="str">
        <f t="shared" si="1988"/>
        <v>SFAEF,712,BX,0</v>
      </c>
      <c r="F1983" s="13"/>
      <c r="G1983" s="13" t="s">
        <v>111</v>
      </c>
      <c r="H1983" s="13" t="s">
        <v>75</v>
      </c>
      <c r="I1983" s="13"/>
      <c r="J1983" s="13"/>
      <c r="K1983" s="15">
        <v>0.0</v>
      </c>
      <c r="L1983" s="15">
        <v>0.0</v>
      </c>
      <c r="M1983" s="16"/>
      <c r="N1983" s="16"/>
      <c r="O1983" s="17"/>
      <c r="P1983" s="17"/>
      <c r="Q1983" s="13">
        <f t="shared" si="2164"/>
        <v>0</v>
      </c>
      <c r="R1983" s="13"/>
      <c r="S1983" s="13"/>
      <c r="T1983" s="13">
        <f t="shared" ref="T1983:Y1983" si="2183">IF(ISBLANK(K1983)=TRUE,0,1)</f>
        <v>1</v>
      </c>
      <c r="U1983" s="13">
        <f t="shared" si="2183"/>
        <v>1</v>
      </c>
      <c r="V1983" s="13">
        <f t="shared" si="2183"/>
        <v>0</v>
      </c>
      <c r="W1983" s="13">
        <f t="shared" si="2183"/>
        <v>0</v>
      </c>
      <c r="X1983" s="13">
        <f t="shared" si="2183"/>
        <v>0</v>
      </c>
      <c r="Y1983" s="13">
        <f t="shared" si="2183"/>
        <v>0</v>
      </c>
      <c r="Z1983" s="13">
        <f t="shared" si="1998"/>
        <v>0</v>
      </c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</row>
    <row r="1984" ht="14.25" customHeight="1">
      <c r="A1984" s="13" t="s">
        <v>36</v>
      </c>
      <c r="B1984" s="13" t="s">
        <v>42</v>
      </c>
      <c r="C1984" s="13">
        <v>712.0</v>
      </c>
      <c r="D1984" s="13" t="s">
        <v>123</v>
      </c>
      <c r="E1984" s="13" t="str">
        <f t="shared" si="1988"/>
        <v>SFAEF,712,BY,0</v>
      </c>
      <c r="F1984" s="13"/>
      <c r="G1984" s="13" t="s">
        <v>111</v>
      </c>
      <c r="H1984" s="13" t="s">
        <v>75</v>
      </c>
      <c r="I1984" s="13"/>
      <c r="J1984" s="13"/>
      <c r="K1984" s="15">
        <v>0.0</v>
      </c>
      <c r="L1984" s="15">
        <v>0.0</v>
      </c>
      <c r="M1984" s="16"/>
      <c r="N1984" s="16"/>
      <c r="O1984" s="17"/>
      <c r="P1984" s="17"/>
      <c r="Q1984" s="13">
        <f t="shared" si="2164"/>
        <v>0</v>
      </c>
      <c r="R1984" s="13"/>
      <c r="S1984" s="13"/>
      <c r="T1984" s="13">
        <f t="shared" ref="T1984:Y1984" si="2184">IF(ISBLANK(K1984)=TRUE,0,1)</f>
        <v>1</v>
      </c>
      <c r="U1984" s="13">
        <f t="shared" si="2184"/>
        <v>1</v>
      </c>
      <c r="V1984" s="13">
        <f t="shared" si="2184"/>
        <v>0</v>
      </c>
      <c r="W1984" s="13">
        <f t="shared" si="2184"/>
        <v>0</v>
      </c>
      <c r="X1984" s="13">
        <f t="shared" si="2184"/>
        <v>0</v>
      </c>
      <c r="Y1984" s="13">
        <f t="shared" si="2184"/>
        <v>0</v>
      </c>
      <c r="Z1984" s="13">
        <f t="shared" si="1998"/>
        <v>0</v>
      </c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</row>
    <row r="1985" ht="14.25" customHeight="1">
      <c r="A1985" s="13" t="s">
        <v>36</v>
      </c>
      <c r="B1985" s="13" t="s">
        <v>42</v>
      </c>
      <c r="C1985" s="13">
        <v>810.0</v>
      </c>
      <c r="D1985" s="13"/>
      <c r="E1985" s="13" t="str">
        <f t="shared" si="1988"/>
        <v>SFAEF,810,,NA</v>
      </c>
      <c r="F1985" s="13"/>
      <c r="G1985" s="13" t="s">
        <v>111</v>
      </c>
      <c r="H1985" s="13" t="s">
        <v>75</v>
      </c>
      <c r="I1985" s="13"/>
      <c r="J1985" s="13"/>
      <c r="K1985" s="15"/>
      <c r="L1985" s="15"/>
      <c r="M1985" s="16"/>
      <c r="N1985" s="16"/>
      <c r="O1985" s="17"/>
      <c r="P1985" s="17"/>
      <c r="Q1985" s="13"/>
      <c r="R1985" s="13"/>
      <c r="S1985" s="13"/>
      <c r="T1985" s="13">
        <f t="shared" ref="T1985:Y1985" si="2185">IF(ISBLANK(K1985)=TRUE,0,1)</f>
        <v>0</v>
      </c>
      <c r="U1985" s="13">
        <f t="shared" si="2185"/>
        <v>0</v>
      </c>
      <c r="V1985" s="13">
        <f t="shared" si="2185"/>
        <v>0</v>
      </c>
      <c r="W1985" s="13">
        <f t="shared" si="2185"/>
        <v>0</v>
      </c>
      <c r="X1985" s="13">
        <f t="shared" si="2185"/>
        <v>0</v>
      </c>
      <c r="Y1985" s="13">
        <f t="shared" si="2185"/>
        <v>0</v>
      </c>
      <c r="Z1985" s="13" t="str">
        <f t="shared" si="1998"/>
        <v>NA</v>
      </c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</row>
    <row r="1986" ht="14.25" customHeight="1">
      <c r="A1986" s="13" t="s">
        <v>36</v>
      </c>
      <c r="B1986" s="13" t="s">
        <v>42</v>
      </c>
      <c r="C1986" s="13">
        <v>872.0</v>
      </c>
      <c r="D1986" s="13" t="s">
        <v>169</v>
      </c>
      <c r="E1986" s="13" t="str">
        <f t="shared" si="1988"/>
        <v>SFAEF,872,BK,1</v>
      </c>
      <c r="F1986" s="13"/>
      <c r="G1986" s="13" t="s">
        <v>111</v>
      </c>
      <c r="H1986" s="13" t="s">
        <v>75</v>
      </c>
      <c r="I1986" s="13"/>
      <c r="J1986" s="13"/>
      <c r="K1986" s="15">
        <v>1.0</v>
      </c>
      <c r="L1986" s="15">
        <v>1.0</v>
      </c>
      <c r="M1986" s="16"/>
      <c r="N1986" s="16"/>
      <c r="O1986" s="17"/>
      <c r="P1986" s="17"/>
      <c r="Q1986" s="13">
        <f t="shared" ref="Q1986:Q2028" si="2187">K1985+L1985+M1985+N1985+O1985+P1985/6</f>
        <v>0</v>
      </c>
      <c r="R1986" s="13"/>
      <c r="S1986" s="13"/>
      <c r="T1986" s="13">
        <f t="shared" ref="T1986:Y1986" si="2186">IF(ISBLANK(K1986)=TRUE,0,1)</f>
        <v>1</v>
      </c>
      <c r="U1986" s="13">
        <f t="shared" si="2186"/>
        <v>1</v>
      </c>
      <c r="V1986" s="13">
        <f t="shared" si="2186"/>
        <v>0</v>
      </c>
      <c r="W1986" s="13">
        <f t="shared" si="2186"/>
        <v>0</v>
      </c>
      <c r="X1986" s="13">
        <f t="shared" si="2186"/>
        <v>0</v>
      </c>
      <c r="Y1986" s="13">
        <f t="shared" si="2186"/>
        <v>0</v>
      </c>
      <c r="Z1986" s="13">
        <f t="shared" si="1998"/>
        <v>1</v>
      </c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</row>
    <row r="1987" ht="14.25" customHeight="1">
      <c r="A1987" s="13" t="s">
        <v>36</v>
      </c>
      <c r="B1987" s="13" t="s">
        <v>42</v>
      </c>
      <c r="C1987" s="13">
        <v>872.0</v>
      </c>
      <c r="D1987" s="13" t="s">
        <v>170</v>
      </c>
      <c r="E1987" s="13" t="str">
        <f t="shared" si="1988"/>
        <v>SFAEF,872,BL,1</v>
      </c>
      <c r="F1987" s="13"/>
      <c r="G1987" s="13" t="s">
        <v>111</v>
      </c>
      <c r="H1987" s="13" t="s">
        <v>75</v>
      </c>
      <c r="I1987" s="13"/>
      <c r="J1987" s="13"/>
      <c r="K1987" s="15">
        <v>1.0</v>
      </c>
      <c r="L1987" s="15">
        <v>1.0</v>
      </c>
      <c r="M1987" s="16"/>
      <c r="N1987" s="16"/>
      <c r="O1987" s="17"/>
      <c r="P1987" s="17"/>
      <c r="Q1987" s="13">
        <f t="shared" si="2187"/>
        <v>2</v>
      </c>
      <c r="R1987" s="13"/>
      <c r="S1987" s="13"/>
      <c r="T1987" s="13">
        <f t="shared" ref="T1987:Y1987" si="2188">IF(ISBLANK(K1987)=TRUE,0,1)</f>
        <v>1</v>
      </c>
      <c r="U1987" s="13">
        <f t="shared" si="2188"/>
        <v>1</v>
      </c>
      <c r="V1987" s="13">
        <f t="shared" si="2188"/>
        <v>0</v>
      </c>
      <c r="W1987" s="13">
        <f t="shared" si="2188"/>
        <v>0</v>
      </c>
      <c r="X1987" s="13">
        <f t="shared" si="2188"/>
        <v>0</v>
      </c>
      <c r="Y1987" s="13">
        <f t="shared" si="2188"/>
        <v>0</v>
      </c>
      <c r="Z1987" s="13">
        <f t="shared" si="1998"/>
        <v>1</v>
      </c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</row>
    <row r="1988" ht="14.25" customHeight="1">
      <c r="A1988" s="13" t="s">
        <v>36</v>
      </c>
      <c r="B1988" s="13" t="s">
        <v>42</v>
      </c>
      <c r="C1988" s="13">
        <v>872.0</v>
      </c>
      <c r="D1988" s="13" t="s">
        <v>171</v>
      </c>
      <c r="E1988" s="13" t="str">
        <f t="shared" si="1988"/>
        <v>SFAEF,872,BM,1</v>
      </c>
      <c r="F1988" s="13"/>
      <c r="G1988" s="13" t="s">
        <v>111</v>
      </c>
      <c r="H1988" s="13" t="s">
        <v>75</v>
      </c>
      <c r="I1988" s="13"/>
      <c r="J1988" s="13"/>
      <c r="K1988" s="15">
        <v>1.0</v>
      </c>
      <c r="L1988" s="15">
        <v>1.0</v>
      </c>
      <c r="M1988" s="16"/>
      <c r="N1988" s="16"/>
      <c r="O1988" s="17"/>
      <c r="P1988" s="17"/>
      <c r="Q1988" s="13">
        <f t="shared" si="2187"/>
        <v>2</v>
      </c>
      <c r="R1988" s="13"/>
      <c r="S1988" s="13"/>
      <c r="T1988" s="13">
        <f t="shared" ref="T1988:Y1988" si="2189">IF(ISBLANK(K1988)=TRUE,0,1)</f>
        <v>1</v>
      </c>
      <c r="U1988" s="13">
        <f t="shared" si="2189"/>
        <v>1</v>
      </c>
      <c r="V1988" s="13">
        <f t="shared" si="2189"/>
        <v>0</v>
      </c>
      <c r="W1988" s="13">
        <f t="shared" si="2189"/>
        <v>0</v>
      </c>
      <c r="X1988" s="13">
        <f t="shared" si="2189"/>
        <v>0</v>
      </c>
      <c r="Y1988" s="13">
        <f t="shared" si="2189"/>
        <v>0</v>
      </c>
      <c r="Z1988" s="13">
        <f t="shared" si="1998"/>
        <v>1</v>
      </c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</row>
    <row r="1989" ht="14.25" customHeight="1">
      <c r="A1989" s="13" t="s">
        <v>36</v>
      </c>
      <c r="B1989" s="13" t="s">
        <v>42</v>
      </c>
      <c r="C1989" s="13">
        <v>872.0</v>
      </c>
      <c r="D1989" s="13" t="s">
        <v>172</v>
      </c>
      <c r="E1989" s="13" t="str">
        <f t="shared" si="1988"/>
        <v>SFAEF,872,BN,1</v>
      </c>
      <c r="F1989" s="13"/>
      <c r="G1989" s="13" t="s">
        <v>111</v>
      </c>
      <c r="H1989" s="13" t="s">
        <v>75</v>
      </c>
      <c r="I1989" s="13"/>
      <c r="J1989" s="13"/>
      <c r="K1989" s="15">
        <v>1.0</v>
      </c>
      <c r="L1989" s="15">
        <v>1.0</v>
      </c>
      <c r="M1989" s="16"/>
      <c r="N1989" s="16"/>
      <c r="O1989" s="17"/>
      <c r="P1989" s="17"/>
      <c r="Q1989" s="13">
        <f t="shared" si="2187"/>
        <v>2</v>
      </c>
      <c r="R1989" s="13"/>
      <c r="S1989" s="13"/>
      <c r="T1989" s="13">
        <f t="shared" ref="T1989:Y1989" si="2190">IF(ISBLANK(K1989)=TRUE,0,1)</f>
        <v>1</v>
      </c>
      <c r="U1989" s="13">
        <f t="shared" si="2190"/>
        <v>1</v>
      </c>
      <c r="V1989" s="13">
        <f t="shared" si="2190"/>
        <v>0</v>
      </c>
      <c r="W1989" s="13">
        <f t="shared" si="2190"/>
        <v>0</v>
      </c>
      <c r="X1989" s="13">
        <f t="shared" si="2190"/>
        <v>0</v>
      </c>
      <c r="Y1989" s="13">
        <f t="shared" si="2190"/>
        <v>0</v>
      </c>
      <c r="Z1989" s="13">
        <f t="shared" si="1998"/>
        <v>1</v>
      </c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</row>
    <row r="1990" ht="14.25" customHeight="1">
      <c r="A1990" s="13" t="s">
        <v>36</v>
      </c>
      <c r="B1990" s="13" t="s">
        <v>42</v>
      </c>
      <c r="C1990" s="13">
        <v>872.0</v>
      </c>
      <c r="D1990" s="13" t="s">
        <v>556</v>
      </c>
      <c r="E1990" s="13" t="str">
        <f t="shared" si="1988"/>
        <v>SFAEF,872,BO,1</v>
      </c>
      <c r="F1990" s="13"/>
      <c r="G1990" s="13" t="s">
        <v>111</v>
      </c>
      <c r="H1990" s="13" t="s">
        <v>75</v>
      </c>
      <c r="I1990" s="13"/>
      <c r="J1990" s="13"/>
      <c r="K1990" s="15">
        <v>1.0</v>
      </c>
      <c r="L1990" s="15">
        <v>1.0</v>
      </c>
      <c r="M1990" s="16"/>
      <c r="N1990" s="16"/>
      <c r="O1990" s="17"/>
      <c r="P1990" s="17"/>
      <c r="Q1990" s="13">
        <f t="shared" si="2187"/>
        <v>2</v>
      </c>
      <c r="R1990" s="13"/>
      <c r="S1990" s="13"/>
      <c r="T1990" s="13">
        <f t="shared" ref="T1990:Y1990" si="2191">IF(ISBLANK(K1990)=TRUE,0,1)</f>
        <v>1</v>
      </c>
      <c r="U1990" s="13">
        <f t="shared" si="2191"/>
        <v>1</v>
      </c>
      <c r="V1990" s="13">
        <f t="shared" si="2191"/>
        <v>0</v>
      </c>
      <c r="W1990" s="13">
        <f t="shared" si="2191"/>
        <v>0</v>
      </c>
      <c r="X1990" s="13">
        <f t="shared" si="2191"/>
        <v>0</v>
      </c>
      <c r="Y1990" s="13">
        <f t="shared" si="2191"/>
        <v>0</v>
      </c>
      <c r="Z1990" s="13">
        <f t="shared" si="1998"/>
        <v>1</v>
      </c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</row>
    <row r="1991" ht="14.25" customHeight="1">
      <c r="A1991" s="13" t="s">
        <v>36</v>
      </c>
      <c r="B1991" s="13" t="s">
        <v>42</v>
      </c>
      <c r="C1991" s="13">
        <v>872.0</v>
      </c>
      <c r="D1991" s="13" t="s">
        <v>557</v>
      </c>
      <c r="E1991" s="13" t="str">
        <f t="shared" si="1988"/>
        <v>SFAEF,872,BP,1</v>
      </c>
      <c r="F1991" s="13"/>
      <c r="G1991" s="13" t="s">
        <v>111</v>
      </c>
      <c r="H1991" s="13" t="s">
        <v>75</v>
      </c>
      <c r="I1991" s="13"/>
      <c r="J1991" s="13"/>
      <c r="K1991" s="15">
        <v>1.0</v>
      </c>
      <c r="L1991" s="15">
        <v>1.0</v>
      </c>
      <c r="M1991" s="16"/>
      <c r="N1991" s="16"/>
      <c r="O1991" s="17"/>
      <c r="P1991" s="17"/>
      <c r="Q1991" s="13">
        <f t="shared" si="2187"/>
        <v>2</v>
      </c>
      <c r="R1991" s="13"/>
      <c r="S1991" s="13"/>
      <c r="T1991" s="13">
        <f t="shared" ref="T1991:Y1991" si="2192">IF(ISBLANK(K1991)=TRUE,0,1)</f>
        <v>1</v>
      </c>
      <c r="U1991" s="13">
        <f t="shared" si="2192"/>
        <v>1</v>
      </c>
      <c r="V1991" s="13">
        <f t="shared" si="2192"/>
        <v>0</v>
      </c>
      <c r="W1991" s="13">
        <f t="shared" si="2192"/>
        <v>0</v>
      </c>
      <c r="X1991" s="13">
        <f t="shared" si="2192"/>
        <v>0</v>
      </c>
      <c r="Y1991" s="13">
        <f t="shared" si="2192"/>
        <v>0</v>
      </c>
      <c r="Z1991" s="13">
        <f t="shared" si="1998"/>
        <v>1</v>
      </c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</row>
    <row r="1992" ht="14.25" customHeight="1">
      <c r="A1992" s="13" t="s">
        <v>36</v>
      </c>
      <c r="B1992" s="13" t="s">
        <v>42</v>
      </c>
      <c r="C1992" s="13">
        <v>872.0</v>
      </c>
      <c r="D1992" s="13" t="s">
        <v>110</v>
      </c>
      <c r="E1992" s="13" t="str">
        <f t="shared" si="1988"/>
        <v>SFAEF,872,BQ,1</v>
      </c>
      <c r="F1992" s="13"/>
      <c r="G1992" s="13" t="s">
        <v>111</v>
      </c>
      <c r="H1992" s="13" t="s">
        <v>75</v>
      </c>
      <c r="I1992" s="13"/>
      <c r="J1992" s="13"/>
      <c r="K1992" s="15">
        <v>1.0</v>
      </c>
      <c r="L1992" s="15">
        <v>1.0</v>
      </c>
      <c r="M1992" s="16"/>
      <c r="N1992" s="16"/>
      <c r="O1992" s="17"/>
      <c r="P1992" s="17"/>
      <c r="Q1992" s="13">
        <f t="shared" si="2187"/>
        <v>2</v>
      </c>
      <c r="R1992" s="13"/>
      <c r="S1992" s="13"/>
      <c r="T1992" s="13">
        <f t="shared" ref="T1992:Y1992" si="2193">IF(ISBLANK(K1992)=TRUE,0,1)</f>
        <v>1</v>
      </c>
      <c r="U1992" s="13">
        <f t="shared" si="2193"/>
        <v>1</v>
      </c>
      <c r="V1992" s="13">
        <f t="shared" si="2193"/>
        <v>0</v>
      </c>
      <c r="W1992" s="13">
        <f t="shared" si="2193"/>
        <v>0</v>
      </c>
      <c r="X1992" s="13">
        <f t="shared" si="2193"/>
        <v>0</v>
      </c>
      <c r="Y1992" s="13">
        <f t="shared" si="2193"/>
        <v>0</v>
      </c>
      <c r="Z1992" s="13">
        <f t="shared" si="1998"/>
        <v>1</v>
      </c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</row>
    <row r="1993" ht="14.25" customHeight="1">
      <c r="A1993" s="13" t="s">
        <v>36</v>
      </c>
      <c r="B1993" s="13" t="s">
        <v>42</v>
      </c>
      <c r="C1993" s="13">
        <v>872.0</v>
      </c>
      <c r="D1993" s="13" t="s">
        <v>113</v>
      </c>
      <c r="E1993" s="13" t="str">
        <f t="shared" si="1988"/>
        <v>SFAEF,872,BR,1</v>
      </c>
      <c r="F1993" s="13"/>
      <c r="G1993" s="13" t="s">
        <v>111</v>
      </c>
      <c r="H1993" s="13" t="s">
        <v>75</v>
      </c>
      <c r="I1993" s="13"/>
      <c r="J1993" s="13"/>
      <c r="K1993" s="15">
        <v>1.0</v>
      </c>
      <c r="L1993" s="15">
        <v>1.0</v>
      </c>
      <c r="M1993" s="16"/>
      <c r="N1993" s="16"/>
      <c r="O1993" s="17"/>
      <c r="P1993" s="17"/>
      <c r="Q1993" s="13">
        <f t="shared" si="2187"/>
        <v>2</v>
      </c>
      <c r="R1993" s="13"/>
      <c r="S1993" s="13"/>
      <c r="T1993" s="13">
        <f t="shared" ref="T1993:Y1993" si="2194">IF(ISBLANK(K1993)=TRUE,0,1)</f>
        <v>1</v>
      </c>
      <c r="U1993" s="13">
        <f t="shared" si="2194"/>
        <v>1</v>
      </c>
      <c r="V1993" s="13">
        <f t="shared" si="2194"/>
        <v>0</v>
      </c>
      <c r="W1993" s="13">
        <f t="shared" si="2194"/>
        <v>0</v>
      </c>
      <c r="X1993" s="13">
        <f t="shared" si="2194"/>
        <v>0</v>
      </c>
      <c r="Y1993" s="13">
        <f t="shared" si="2194"/>
        <v>0</v>
      </c>
      <c r="Z1993" s="13">
        <f t="shared" si="1998"/>
        <v>1</v>
      </c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</row>
    <row r="1994" ht="14.25" customHeight="1">
      <c r="A1994" s="13" t="s">
        <v>36</v>
      </c>
      <c r="B1994" s="13" t="s">
        <v>42</v>
      </c>
      <c r="C1994" s="13">
        <v>872.0</v>
      </c>
      <c r="D1994" s="13" t="s">
        <v>115</v>
      </c>
      <c r="E1994" s="13" t="str">
        <f t="shared" si="1988"/>
        <v>SFAEF,872,BS,1</v>
      </c>
      <c r="F1994" s="13"/>
      <c r="G1994" s="13" t="s">
        <v>111</v>
      </c>
      <c r="H1994" s="13" t="s">
        <v>75</v>
      </c>
      <c r="I1994" s="13"/>
      <c r="J1994" s="13"/>
      <c r="K1994" s="15">
        <v>1.0</v>
      </c>
      <c r="L1994" s="15">
        <v>1.0</v>
      </c>
      <c r="M1994" s="16"/>
      <c r="N1994" s="16"/>
      <c r="O1994" s="17"/>
      <c r="P1994" s="17"/>
      <c r="Q1994" s="13">
        <f t="shared" si="2187"/>
        <v>2</v>
      </c>
      <c r="R1994" s="13"/>
      <c r="S1994" s="13"/>
      <c r="T1994" s="13">
        <f t="shared" ref="T1994:Y1994" si="2195">IF(ISBLANK(K1994)=TRUE,0,1)</f>
        <v>1</v>
      </c>
      <c r="U1994" s="13">
        <f t="shared" si="2195"/>
        <v>1</v>
      </c>
      <c r="V1994" s="13">
        <f t="shared" si="2195"/>
        <v>0</v>
      </c>
      <c r="W1994" s="13">
        <f t="shared" si="2195"/>
        <v>0</v>
      </c>
      <c r="X1994" s="13">
        <f t="shared" si="2195"/>
        <v>0</v>
      </c>
      <c r="Y1994" s="13">
        <f t="shared" si="2195"/>
        <v>0</v>
      </c>
      <c r="Z1994" s="13">
        <f t="shared" si="1998"/>
        <v>1</v>
      </c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</row>
    <row r="1995" ht="14.25" customHeight="1">
      <c r="A1995" s="13" t="s">
        <v>36</v>
      </c>
      <c r="B1995" s="13" t="s">
        <v>42</v>
      </c>
      <c r="C1995" s="13">
        <v>872.0</v>
      </c>
      <c r="D1995" s="13" t="s">
        <v>117</v>
      </c>
      <c r="E1995" s="13" t="str">
        <f t="shared" si="1988"/>
        <v>SFAEF,872,BT,1</v>
      </c>
      <c r="F1995" s="13"/>
      <c r="G1995" s="13" t="s">
        <v>111</v>
      </c>
      <c r="H1995" s="13" t="s">
        <v>75</v>
      </c>
      <c r="I1995" s="13"/>
      <c r="J1995" s="13"/>
      <c r="K1995" s="15">
        <v>1.0</v>
      </c>
      <c r="L1995" s="15">
        <v>1.0</v>
      </c>
      <c r="M1995" s="16"/>
      <c r="N1995" s="16"/>
      <c r="O1995" s="17"/>
      <c r="P1995" s="17"/>
      <c r="Q1995" s="13">
        <f t="shared" si="2187"/>
        <v>2</v>
      </c>
      <c r="R1995" s="13"/>
      <c r="S1995" s="13"/>
      <c r="T1995" s="13">
        <f t="shared" ref="T1995:Y1995" si="2196">IF(ISBLANK(K1995)=TRUE,0,1)</f>
        <v>1</v>
      </c>
      <c r="U1995" s="13">
        <f t="shared" si="2196"/>
        <v>1</v>
      </c>
      <c r="V1995" s="13">
        <f t="shared" si="2196"/>
        <v>0</v>
      </c>
      <c r="W1995" s="13">
        <f t="shared" si="2196"/>
        <v>0</v>
      </c>
      <c r="X1995" s="13">
        <f t="shared" si="2196"/>
        <v>0</v>
      </c>
      <c r="Y1995" s="13">
        <f t="shared" si="2196"/>
        <v>0</v>
      </c>
      <c r="Z1995" s="13">
        <f t="shared" si="1998"/>
        <v>1</v>
      </c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</row>
    <row r="1996" ht="14.25" customHeight="1">
      <c r="A1996" s="13" t="s">
        <v>36</v>
      </c>
      <c r="B1996" s="13" t="s">
        <v>42</v>
      </c>
      <c r="C1996" s="13">
        <v>872.0</v>
      </c>
      <c r="D1996" s="13" t="s">
        <v>119</v>
      </c>
      <c r="E1996" s="13" t="str">
        <f t="shared" si="1988"/>
        <v>SFAEF,872,BU,1</v>
      </c>
      <c r="F1996" s="13"/>
      <c r="G1996" s="13" t="s">
        <v>111</v>
      </c>
      <c r="H1996" s="13" t="s">
        <v>75</v>
      </c>
      <c r="I1996" s="13"/>
      <c r="J1996" s="13"/>
      <c r="K1996" s="15">
        <v>1.0</v>
      </c>
      <c r="L1996" s="15">
        <v>1.0</v>
      </c>
      <c r="M1996" s="16"/>
      <c r="N1996" s="16"/>
      <c r="O1996" s="17"/>
      <c r="P1996" s="17"/>
      <c r="Q1996" s="13">
        <f t="shared" si="2187"/>
        <v>2</v>
      </c>
      <c r="R1996" s="13"/>
      <c r="S1996" s="13"/>
      <c r="T1996" s="13">
        <f t="shared" ref="T1996:Y1996" si="2197">IF(ISBLANK(K1996)=TRUE,0,1)</f>
        <v>1</v>
      </c>
      <c r="U1996" s="13">
        <f t="shared" si="2197"/>
        <v>1</v>
      </c>
      <c r="V1996" s="13">
        <f t="shared" si="2197"/>
        <v>0</v>
      </c>
      <c r="W1996" s="13">
        <f t="shared" si="2197"/>
        <v>0</v>
      </c>
      <c r="X1996" s="13">
        <f t="shared" si="2197"/>
        <v>0</v>
      </c>
      <c r="Y1996" s="13">
        <f t="shared" si="2197"/>
        <v>0</v>
      </c>
      <c r="Z1996" s="13">
        <f t="shared" si="1998"/>
        <v>1</v>
      </c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</row>
    <row r="1997" ht="14.25" customHeight="1">
      <c r="A1997" s="13" t="s">
        <v>36</v>
      </c>
      <c r="B1997" s="13" t="s">
        <v>42</v>
      </c>
      <c r="C1997" s="13">
        <v>872.0</v>
      </c>
      <c r="D1997" s="13" t="s">
        <v>120</v>
      </c>
      <c r="E1997" s="13" t="str">
        <f t="shared" si="1988"/>
        <v>SFAEF,872,BV,1</v>
      </c>
      <c r="F1997" s="13"/>
      <c r="G1997" s="13" t="s">
        <v>111</v>
      </c>
      <c r="H1997" s="13" t="s">
        <v>75</v>
      </c>
      <c r="I1997" s="13"/>
      <c r="J1997" s="13"/>
      <c r="K1997" s="15">
        <v>1.0</v>
      </c>
      <c r="L1997" s="15">
        <v>1.0</v>
      </c>
      <c r="M1997" s="16"/>
      <c r="N1997" s="16"/>
      <c r="O1997" s="17"/>
      <c r="P1997" s="17"/>
      <c r="Q1997" s="13">
        <f t="shared" si="2187"/>
        <v>2</v>
      </c>
      <c r="R1997" s="13"/>
      <c r="S1997" s="13"/>
      <c r="T1997" s="13">
        <f t="shared" ref="T1997:Y1997" si="2198">IF(ISBLANK(K1997)=TRUE,0,1)</f>
        <v>1</v>
      </c>
      <c r="U1997" s="13">
        <f t="shared" si="2198"/>
        <v>1</v>
      </c>
      <c r="V1997" s="13">
        <f t="shared" si="2198"/>
        <v>0</v>
      </c>
      <c r="W1997" s="13">
        <f t="shared" si="2198"/>
        <v>0</v>
      </c>
      <c r="X1997" s="13">
        <f t="shared" si="2198"/>
        <v>0</v>
      </c>
      <c r="Y1997" s="13">
        <f t="shared" si="2198"/>
        <v>0</v>
      </c>
      <c r="Z1997" s="13">
        <f t="shared" si="1998"/>
        <v>1</v>
      </c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</row>
    <row r="1998" ht="14.25" customHeight="1">
      <c r="A1998" s="13" t="s">
        <v>36</v>
      </c>
      <c r="B1998" s="13" t="s">
        <v>42</v>
      </c>
      <c r="C1998" s="13">
        <v>872.0</v>
      </c>
      <c r="D1998" s="13" t="s">
        <v>121</v>
      </c>
      <c r="E1998" s="13" t="str">
        <f t="shared" si="1988"/>
        <v>SFAEF,872,BW,1</v>
      </c>
      <c r="F1998" s="13"/>
      <c r="G1998" s="13" t="s">
        <v>111</v>
      </c>
      <c r="H1998" s="13" t="s">
        <v>75</v>
      </c>
      <c r="I1998" s="13"/>
      <c r="J1998" s="13"/>
      <c r="K1998" s="15">
        <v>1.0</v>
      </c>
      <c r="L1998" s="15">
        <v>1.0</v>
      </c>
      <c r="M1998" s="16"/>
      <c r="N1998" s="16"/>
      <c r="O1998" s="17"/>
      <c r="P1998" s="17"/>
      <c r="Q1998" s="13">
        <f t="shared" si="2187"/>
        <v>2</v>
      </c>
      <c r="R1998" s="13"/>
      <c r="S1998" s="13"/>
      <c r="T1998" s="13">
        <f t="shared" ref="T1998:Y1998" si="2199">IF(ISBLANK(K1998)=TRUE,0,1)</f>
        <v>1</v>
      </c>
      <c r="U1998" s="13">
        <f t="shared" si="2199"/>
        <v>1</v>
      </c>
      <c r="V1998" s="13">
        <f t="shared" si="2199"/>
        <v>0</v>
      </c>
      <c r="W1998" s="13">
        <f t="shared" si="2199"/>
        <v>0</v>
      </c>
      <c r="X1998" s="13">
        <f t="shared" si="2199"/>
        <v>0</v>
      </c>
      <c r="Y1998" s="13">
        <f t="shared" si="2199"/>
        <v>0</v>
      </c>
      <c r="Z1998" s="13">
        <f t="shared" si="1998"/>
        <v>1</v>
      </c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</row>
    <row r="1999" ht="14.25" customHeight="1">
      <c r="A1999" s="13" t="s">
        <v>36</v>
      </c>
      <c r="B1999" s="13" t="s">
        <v>42</v>
      </c>
      <c r="C1999" s="13">
        <v>872.0</v>
      </c>
      <c r="D1999" s="13" t="s">
        <v>122</v>
      </c>
      <c r="E1999" s="13" t="str">
        <f t="shared" si="1988"/>
        <v>SFAEF,872,BX,1</v>
      </c>
      <c r="F1999" s="13"/>
      <c r="G1999" s="13" t="s">
        <v>111</v>
      </c>
      <c r="H1999" s="13" t="s">
        <v>75</v>
      </c>
      <c r="I1999" s="13"/>
      <c r="J1999" s="13"/>
      <c r="K1999" s="15">
        <v>1.0</v>
      </c>
      <c r="L1999" s="15">
        <v>1.0</v>
      </c>
      <c r="M1999" s="16"/>
      <c r="N1999" s="16"/>
      <c r="O1999" s="17"/>
      <c r="P1999" s="17"/>
      <c r="Q1999" s="13">
        <f t="shared" si="2187"/>
        <v>2</v>
      </c>
      <c r="R1999" s="13"/>
      <c r="S1999" s="13"/>
      <c r="T1999" s="13">
        <f t="shared" ref="T1999:Y1999" si="2200">IF(ISBLANK(K1999)=TRUE,0,1)</f>
        <v>1</v>
      </c>
      <c r="U1999" s="13">
        <f t="shared" si="2200"/>
        <v>1</v>
      </c>
      <c r="V1999" s="13">
        <f t="shared" si="2200"/>
        <v>0</v>
      </c>
      <c r="W1999" s="13">
        <f t="shared" si="2200"/>
        <v>0</v>
      </c>
      <c r="X1999" s="13">
        <f t="shared" si="2200"/>
        <v>0</v>
      </c>
      <c r="Y1999" s="13">
        <f t="shared" si="2200"/>
        <v>0</v>
      </c>
      <c r="Z1999" s="13">
        <f t="shared" si="1998"/>
        <v>1</v>
      </c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</row>
    <row r="2000" ht="14.25" customHeight="1">
      <c r="A2000" s="13" t="s">
        <v>36</v>
      </c>
      <c r="B2000" s="13" t="s">
        <v>42</v>
      </c>
      <c r="C2000" s="13">
        <v>872.0</v>
      </c>
      <c r="D2000" s="13" t="s">
        <v>123</v>
      </c>
      <c r="E2000" s="13" t="str">
        <f t="shared" si="1988"/>
        <v>SFAEF,872,BY,1</v>
      </c>
      <c r="F2000" s="13"/>
      <c r="G2000" s="13" t="s">
        <v>111</v>
      </c>
      <c r="H2000" s="13" t="s">
        <v>75</v>
      </c>
      <c r="I2000" s="13"/>
      <c r="J2000" s="13"/>
      <c r="K2000" s="15">
        <v>1.0</v>
      </c>
      <c r="L2000" s="15">
        <v>1.0</v>
      </c>
      <c r="M2000" s="16"/>
      <c r="N2000" s="16"/>
      <c r="O2000" s="17"/>
      <c r="P2000" s="17"/>
      <c r="Q2000" s="13">
        <f t="shared" si="2187"/>
        <v>2</v>
      </c>
      <c r="R2000" s="13"/>
      <c r="S2000" s="13"/>
      <c r="T2000" s="13">
        <f t="shared" ref="T2000:Y2000" si="2201">IF(ISBLANK(K2000)=TRUE,0,1)</f>
        <v>1</v>
      </c>
      <c r="U2000" s="13">
        <f t="shared" si="2201"/>
        <v>1</v>
      </c>
      <c r="V2000" s="13">
        <f t="shared" si="2201"/>
        <v>0</v>
      </c>
      <c r="W2000" s="13">
        <f t="shared" si="2201"/>
        <v>0</v>
      </c>
      <c r="X2000" s="13">
        <f t="shared" si="2201"/>
        <v>0</v>
      </c>
      <c r="Y2000" s="13">
        <f t="shared" si="2201"/>
        <v>0</v>
      </c>
      <c r="Z2000" s="13">
        <f t="shared" si="1998"/>
        <v>1</v>
      </c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</row>
    <row r="2001" ht="14.25" customHeight="1">
      <c r="A2001" s="13" t="s">
        <v>36</v>
      </c>
      <c r="B2001" s="13" t="s">
        <v>42</v>
      </c>
      <c r="C2001" s="13">
        <v>872.0</v>
      </c>
      <c r="D2001" s="13" t="s">
        <v>124</v>
      </c>
      <c r="E2001" s="13" t="str">
        <f t="shared" si="1988"/>
        <v>SFAEF,872,BZ,1</v>
      </c>
      <c r="F2001" s="13"/>
      <c r="G2001" s="13" t="s">
        <v>111</v>
      </c>
      <c r="H2001" s="13" t="s">
        <v>75</v>
      </c>
      <c r="I2001" s="13"/>
      <c r="J2001" s="13"/>
      <c r="K2001" s="15">
        <v>1.0</v>
      </c>
      <c r="L2001" s="15">
        <v>1.0</v>
      </c>
      <c r="M2001" s="16"/>
      <c r="N2001" s="16"/>
      <c r="O2001" s="17"/>
      <c r="P2001" s="17"/>
      <c r="Q2001" s="13">
        <f t="shared" si="2187"/>
        <v>2</v>
      </c>
      <c r="R2001" s="13"/>
      <c r="S2001" s="13"/>
      <c r="T2001" s="13">
        <f t="shared" ref="T2001:Y2001" si="2202">IF(ISBLANK(K2001)=TRUE,0,1)</f>
        <v>1</v>
      </c>
      <c r="U2001" s="13">
        <f t="shared" si="2202"/>
        <v>1</v>
      </c>
      <c r="V2001" s="13">
        <f t="shared" si="2202"/>
        <v>0</v>
      </c>
      <c r="W2001" s="13">
        <f t="shared" si="2202"/>
        <v>0</v>
      </c>
      <c r="X2001" s="13">
        <f t="shared" si="2202"/>
        <v>0</v>
      </c>
      <c r="Y2001" s="13">
        <f t="shared" si="2202"/>
        <v>0</v>
      </c>
      <c r="Z2001" s="13">
        <f t="shared" si="1998"/>
        <v>1</v>
      </c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</row>
    <row r="2002" ht="14.25" customHeight="1">
      <c r="A2002" s="13" t="s">
        <v>36</v>
      </c>
      <c r="B2002" s="13" t="s">
        <v>42</v>
      </c>
      <c r="C2002" s="13">
        <v>872.0</v>
      </c>
      <c r="D2002" s="13" t="s">
        <v>125</v>
      </c>
      <c r="E2002" s="13" t="str">
        <f t="shared" si="1988"/>
        <v>SFAEF,872,CA,1</v>
      </c>
      <c r="F2002" s="13"/>
      <c r="G2002" s="13" t="s">
        <v>111</v>
      </c>
      <c r="H2002" s="13" t="s">
        <v>75</v>
      </c>
      <c r="I2002" s="13"/>
      <c r="J2002" s="13"/>
      <c r="K2002" s="15">
        <v>1.0</v>
      </c>
      <c r="L2002" s="15">
        <v>1.0</v>
      </c>
      <c r="M2002" s="16"/>
      <c r="N2002" s="16"/>
      <c r="O2002" s="17"/>
      <c r="P2002" s="17"/>
      <c r="Q2002" s="13">
        <f t="shared" si="2187"/>
        <v>2</v>
      </c>
      <c r="R2002" s="13"/>
      <c r="S2002" s="13"/>
      <c r="T2002" s="13">
        <f t="shared" ref="T2002:Y2002" si="2203">IF(ISBLANK(K2002)=TRUE,0,1)</f>
        <v>1</v>
      </c>
      <c r="U2002" s="13">
        <f t="shared" si="2203"/>
        <v>1</v>
      </c>
      <c r="V2002" s="13">
        <f t="shared" si="2203"/>
        <v>0</v>
      </c>
      <c r="W2002" s="13">
        <f t="shared" si="2203"/>
        <v>0</v>
      </c>
      <c r="X2002" s="13">
        <f t="shared" si="2203"/>
        <v>0</v>
      </c>
      <c r="Y2002" s="13">
        <f t="shared" si="2203"/>
        <v>0</v>
      </c>
      <c r="Z2002" s="13">
        <f t="shared" si="1998"/>
        <v>1</v>
      </c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</row>
    <row r="2003" ht="14.25" customHeight="1">
      <c r="A2003" s="13" t="s">
        <v>36</v>
      </c>
      <c r="B2003" s="13" t="s">
        <v>42</v>
      </c>
      <c r="C2003" s="13">
        <v>872.0</v>
      </c>
      <c r="D2003" s="13" t="s">
        <v>126</v>
      </c>
      <c r="E2003" s="13" t="str">
        <f t="shared" si="1988"/>
        <v>SFAEF,872,CB,1</v>
      </c>
      <c r="F2003" s="13"/>
      <c r="G2003" s="13" t="s">
        <v>111</v>
      </c>
      <c r="H2003" s="13" t="s">
        <v>75</v>
      </c>
      <c r="I2003" s="13"/>
      <c r="J2003" s="13"/>
      <c r="K2003" s="15">
        <v>1.0</v>
      </c>
      <c r="L2003" s="15">
        <v>1.0</v>
      </c>
      <c r="M2003" s="16"/>
      <c r="N2003" s="16"/>
      <c r="O2003" s="17"/>
      <c r="P2003" s="17"/>
      <c r="Q2003" s="13">
        <f t="shared" si="2187"/>
        <v>2</v>
      </c>
      <c r="R2003" s="13"/>
      <c r="S2003" s="13"/>
      <c r="T2003" s="13">
        <f t="shared" ref="T2003:Y2003" si="2204">IF(ISBLANK(K2003)=TRUE,0,1)</f>
        <v>1</v>
      </c>
      <c r="U2003" s="13">
        <f t="shared" si="2204"/>
        <v>1</v>
      </c>
      <c r="V2003" s="13">
        <f t="shared" si="2204"/>
        <v>0</v>
      </c>
      <c r="W2003" s="13">
        <f t="shared" si="2204"/>
        <v>0</v>
      </c>
      <c r="X2003" s="13">
        <f t="shared" si="2204"/>
        <v>0</v>
      </c>
      <c r="Y2003" s="13">
        <f t="shared" si="2204"/>
        <v>0</v>
      </c>
      <c r="Z2003" s="13">
        <f t="shared" si="1998"/>
        <v>1</v>
      </c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</row>
    <row r="2004" ht="14.25" customHeight="1">
      <c r="A2004" s="13" t="s">
        <v>36</v>
      </c>
      <c r="B2004" s="13" t="s">
        <v>42</v>
      </c>
      <c r="C2004" s="13">
        <v>872.0</v>
      </c>
      <c r="D2004" s="13" t="s">
        <v>127</v>
      </c>
      <c r="E2004" s="13" t="str">
        <f t="shared" si="1988"/>
        <v>SFAEF,872,CC,1</v>
      </c>
      <c r="F2004" s="13"/>
      <c r="G2004" s="13" t="s">
        <v>111</v>
      </c>
      <c r="H2004" s="13" t="s">
        <v>75</v>
      </c>
      <c r="I2004" s="13"/>
      <c r="J2004" s="13"/>
      <c r="K2004" s="15">
        <v>1.0</v>
      </c>
      <c r="L2004" s="15">
        <v>1.0</v>
      </c>
      <c r="M2004" s="16"/>
      <c r="N2004" s="16"/>
      <c r="O2004" s="17"/>
      <c r="P2004" s="17"/>
      <c r="Q2004" s="13">
        <f t="shared" si="2187"/>
        <v>2</v>
      </c>
      <c r="R2004" s="13"/>
      <c r="S2004" s="13"/>
      <c r="T2004" s="13">
        <f t="shared" ref="T2004:Y2004" si="2205">IF(ISBLANK(K2004)=TRUE,0,1)</f>
        <v>1</v>
      </c>
      <c r="U2004" s="13">
        <f t="shared" si="2205"/>
        <v>1</v>
      </c>
      <c r="V2004" s="13">
        <f t="shared" si="2205"/>
        <v>0</v>
      </c>
      <c r="W2004" s="13">
        <f t="shared" si="2205"/>
        <v>0</v>
      </c>
      <c r="X2004" s="13">
        <f t="shared" si="2205"/>
        <v>0</v>
      </c>
      <c r="Y2004" s="13">
        <f t="shared" si="2205"/>
        <v>0</v>
      </c>
      <c r="Z2004" s="13">
        <f t="shared" si="1998"/>
        <v>1</v>
      </c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</row>
    <row r="2005" ht="14.25" customHeight="1">
      <c r="A2005" s="13" t="s">
        <v>36</v>
      </c>
      <c r="B2005" s="13" t="s">
        <v>42</v>
      </c>
      <c r="C2005" s="13">
        <v>872.0</v>
      </c>
      <c r="D2005" s="13" t="s">
        <v>128</v>
      </c>
      <c r="E2005" s="13" t="str">
        <f t="shared" si="1988"/>
        <v>SFAEF,872,CD,1</v>
      </c>
      <c r="F2005" s="13"/>
      <c r="G2005" s="13" t="s">
        <v>111</v>
      </c>
      <c r="H2005" s="13" t="s">
        <v>75</v>
      </c>
      <c r="I2005" s="13"/>
      <c r="J2005" s="13"/>
      <c r="K2005" s="15">
        <v>1.0</v>
      </c>
      <c r="L2005" s="15">
        <v>1.0</v>
      </c>
      <c r="M2005" s="16"/>
      <c r="N2005" s="16"/>
      <c r="O2005" s="17"/>
      <c r="P2005" s="17"/>
      <c r="Q2005" s="13">
        <f t="shared" si="2187"/>
        <v>2</v>
      </c>
      <c r="R2005" s="13"/>
      <c r="S2005" s="13"/>
      <c r="T2005" s="13">
        <f t="shared" ref="T2005:Y2005" si="2206">IF(ISBLANK(K2005)=TRUE,0,1)</f>
        <v>1</v>
      </c>
      <c r="U2005" s="13">
        <f t="shared" si="2206"/>
        <v>1</v>
      </c>
      <c r="V2005" s="13">
        <f t="shared" si="2206"/>
        <v>0</v>
      </c>
      <c r="W2005" s="13">
        <f t="shared" si="2206"/>
        <v>0</v>
      </c>
      <c r="X2005" s="13">
        <f t="shared" si="2206"/>
        <v>0</v>
      </c>
      <c r="Y2005" s="13">
        <f t="shared" si="2206"/>
        <v>0</v>
      </c>
      <c r="Z2005" s="13">
        <f t="shared" si="1998"/>
        <v>1</v>
      </c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</row>
    <row r="2006" ht="14.25" customHeight="1">
      <c r="A2006" s="13" t="s">
        <v>36</v>
      </c>
      <c r="B2006" s="13" t="s">
        <v>42</v>
      </c>
      <c r="C2006" s="13">
        <v>872.0</v>
      </c>
      <c r="D2006" s="13" t="s">
        <v>129</v>
      </c>
      <c r="E2006" s="13" t="str">
        <f t="shared" si="1988"/>
        <v>SFAEF,872,CE,1</v>
      </c>
      <c r="F2006" s="13"/>
      <c r="G2006" s="13" t="s">
        <v>111</v>
      </c>
      <c r="H2006" s="13" t="s">
        <v>75</v>
      </c>
      <c r="I2006" s="13"/>
      <c r="J2006" s="13"/>
      <c r="K2006" s="15">
        <v>1.0</v>
      </c>
      <c r="L2006" s="15">
        <v>1.0</v>
      </c>
      <c r="M2006" s="16"/>
      <c r="N2006" s="16"/>
      <c r="O2006" s="17"/>
      <c r="P2006" s="17"/>
      <c r="Q2006" s="13">
        <f t="shared" si="2187"/>
        <v>2</v>
      </c>
      <c r="R2006" s="13"/>
      <c r="S2006" s="13"/>
      <c r="T2006" s="13">
        <f t="shared" ref="T2006:Y2006" si="2207">IF(ISBLANK(K2006)=TRUE,0,1)</f>
        <v>1</v>
      </c>
      <c r="U2006" s="13">
        <f t="shared" si="2207"/>
        <v>1</v>
      </c>
      <c r="V2006" s="13">
        <f t="shared" si="2207"/>
        <v>0</v>
      </c>
      <c r="W2006" s="13">
        <f t="shared" si="2207"/>
        <v>0</v>
      </c>
      <c r="X2006" s="13">
        <f t="shared" si="2207"/>
        <v>0</v>
      </c>
      <c r="Y2006" s="13">
        <f t="shared" si="2207"/>
        <v>0</v>
      </c>
      <c r="Z2006" s="13">
        <f t="shared" si="1998"/>
        <v>1</v>
      </c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</row>
    <row r="2007" ht="14.25" customHeight="1">
      <c r="A2007" s="13" t="s">
        <v>36</v>
      </c>
      <c r="B2007" s="13" t="s">
        <v>42</v>
      </c>
      <c r="C2007" s="13">
        <v>872.0</v>
      </c>
      <c r="D2007" s="13" t="s">
        <v>130</v>
      </c>
      <c r="E2007" s="13" t="str">
        <f t="shared" si="1988"/>
        <v>SFAEF,872,CF,1</v>
      </c>
      <c r="F2007" s="13"/>
      <c r="G2007" s="13" t="s">
        <v>111</v>
      </c>
      <c r="H2007" s="13" t="s">
        <v>75</v>
      </c>
      <c r="I2007" s="13"/>
      <c r="J2007" s="13"/>
      <c r="K2007" s="15">
        <v>1.0</v>
      </c>
      <c r="L2007" s="15">
        <v>1.0</v>
      </c>
      <c r="M2007" s="16"/>
      <c r="N2007" s="16"/>
      <c r="O2007" s="17"/>
      <c r="P2007" s="17"/>
      <c r="Q2007" s="13">
        <f t="shared" si="2187"/>
        <v>2</v>
      </c>
      <c r="R2007" s="13"/>
      <c r="S2007" s="13"/>
      <c r="T2007" s="13">
        <f t="shared" ref="T2007:Y2007" si="2208">IF(ISBLANK(K2007)=TRUE,0,1)</f>
        <v>1</v>
      </c>
      <c r="U2007" s="13">
        <f t="shared" si="2208"/>
        <v>1</v>
      </c>
      <c r="V2007" s="13">
        <f t="shared" si="2208"/>
        <v>0</v>
      </c>
      <c r="W2007" s="13">
        <f t="shared" si="2208"/>
        <v>0</v>
      </c>
      <c r="X2007" s="13">
        <f t="shared" si="2208"/>
        <v>0</v>
      </c>
      <c r="Y2007" s="13">
        <f t="shared" si="2208"/>
        <v>0</v>
      </c>
      <c r="Z2007" s="13">
        <f t="shared" si="1998"/>
        <v>1</v>
      </c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</row>
    <row r="2008" ht="14.25" customHeight="1">
      <c r="A2008" s="13" t="s">
        <v>36</v>
      </c>
      <c r="B2008" s="13" t="s">
        <v>42</v>
      </c>
      <c r="C2008" s="13">
        <v>872.0</v>
      </c>
      <c r="D2008" s="13" t="s">
        <v>131</v>
      </c>
      <c r="E2008" s="13" t="str">
        <f t="shared" si="1988"/>
        <v>SFAEF,872,CG,1</v>
      </c>
      <c r="F2008" s="13"/>
      <c r="G2008" s="13" t="s">
        <v>111</v>
      </c>
      <c r="H2008" s="13" t="s">
        <v>75</v>
      </c>
      <c r="I2008" s="13"/>
      <c r="J2008" s="13"/>
      <c r="K2008" s="15">
        <v>1.0</v>
      </c>
      <c r="L2008" s="15">
        <v>1.0</v>
      </c>
      <c r="M2008" s="16"/>
      <c r="N2008" s="16"/>
      <c r="O2008" s="17"/>
      <c r="P2008" s="17"/>
      <c r="Q2008" s="13">
        <f t="shared" si="2187"/>
        <v>2</v>
      </c>
      <c r="R2008" s="13"/>
      <c r="S2008" s="13"/>
      <c r="T2008" s="13">
        <f t="shared" ref="T2008:Y2008" si="2209">IF(ISBLANK(K2008)=TRUE,0,1)</f>
        <v>1</v>
      </c>
      <c r="U2008" s="13">
        <f t="shared" si="2209"/>
        <v>1</v>
      </c>
      <c r="V2008" s="13">
        <f t="shared" si="2209"/>
        <v>0</v>
      </c>
      <c r="W2008" s="13">
        <f t="shared" si="2209"/>
        <v>0</v>
      </c>
      <c r="X2008" s="13">
        <f t="shared" si="2209"/>
        <v>0</v>
      </c>
      <c r="Y2008" s="13">
        <f t="shared" si="2209"/>
        <v>0</v>
      </c>
      <c r="Z2008" s="13">
        <f t="shared" si="1998"/>
        <v>1</v>
      </c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</row>
    <row r="2009" ht="14.25" customHeight="1">
      <c r="A2009" s="13" t="s">
        <v>36</v>
      </c>
      <c r="B2009" s="13" t="s">
        <v>42</v>
      </c>
      <c r="C2009" s="13">
        <v>872.0</v>
      </c>
      <c r="D2009" s="13" t="s">
        <v>132</v>
      </c>
      <c r="E2009" s="13" t="str">
        <f t="shared" si="1988"/>
        <v>SFAEF,872,CH,1</v>
      </c>
      <c r="F2009" s="13"/>
      <c r="G2009" s="13" t="s">
        <v>111</v>
      </c>
      <c r="H2009" s="13" t="s">
        <v>75</v>
      </c>
      <c r="I2009" s="13"/>
      <c r="J2009" s="13"/>
      <c r="K2009" s="15">
        <v>1.0</v>
      </c>
      <c r="L2009" s="15">
        <v>1.0</v>
      </c>
      <c r="M2009" s="16"/>
      <c r="N2009" s="16"/>
      <c r="O2009" s="17"/>
      <c r="P2009" s="17"/>
      <c r="Q2009" s="13">
        <f t="shared" si="2187"/>
        <v>2</v>
      </c>
      <c r="R2009" s="13"/>
      <c r="S2009" s="13"/>
      <c r="T2009" s="13">
        <f t="shared" ref="T2009:Y2009" si="2210">IF(ISBLANK(K2009)=TRUE,0,1)</f>
        <v>1</v>
      </c>
      <c r="U2009" s="13">
        <f t="shared" si="2210"/>
        <v>1</v>
      </c>
      <c r="V2009" s="13">
        <f t="shared" si="2210"/>
        <v>0</v>
      </c>
      <c r="W2009" s="13">
        <f t="shared" si="2210"/>
        <v>0</v>
      </c>
      <c r="X2009" s="13">
        <f t="shared" si="2210"/>
        <v>0</v>
      </c>
      <c r="Y2009" s="13">
        <f t="shared" si="2210"/>
        <v>0</v>
      </c>
      <c r="Z2009" s="13">
        <f t="shared" si="1998"/>
        <v>1</v>
      </c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</row>
    <row r="2010" ht="14.25" customHeight="1">
      <c r="A2010" s="13" t="s">
        <v>36</v>
      </c>
      <c r="B2010" s="13" t="s">
        <v>42</v>
      </c>
      <c r="C2010" s="13">
        <v>872.0</v>
      </c>
      <c r="D2010" s="13" t="s">
        <v>133</v>
      </c>
      <c r="E2010" s="13" t="str">
        <f t="shared" si="1988"/>
        <v>SFAEF,872,CI,1</v>
      </c>
      <c r="F2010" s="13"/>
      <c r="G2010" s="13" t="s">
        <v>111</v>
      </c>
      <c r="H2010" s="13" t="s">
        <v>75</v>
      </c>
      <c r="I2010" s="13"/>
      <c r="J2010" s="13"/>
      <c r="K2010" s="15">
        <v>1.0</v>
      </c>
      <c r="L2010" s="15">
        <v>1.0</v>
      </c>
      <c r="M2010" s="16"/>
      <c r="N2010" s="16"/>
      <c r="O2010" s="17"/>
      <c r="P2010" s="17"/>
      <c r="Q2010" s="13">
        <f t="shared" si="2187"/>
        <v>2</v>
      </c>
      <c r="R2010" s="13"/>
      <c r="S2010" s="13"/>
      <c r="T2010" s="13">
        <f t="shared" ref="T2010:Y2010" si="2211">IF(ISBLANK(K2010)=TRUE,0,1)</f>
        <v>1</v>
      </c>
      <c r="U2010" s="13">
        <f t="shared" si="2211"/>
        <v>1</v>
      </c>
      <c r="V2010" s="13">
        <f t="shared" si="2211"/>
        <v>0</v>
      </c>
      <c r="W2010" s="13">
        <f t="shared" si="2211"/>
        <v>0</v>
      </c>
      <c r="X2010" s="13">
        <f t="shared" si="2211"/>
        <v>0</v>
      </c>
      <c r="Y2010" s="13">
        <f t="shared" si="2211"/>
        <v>0</v>
      </c>
      <c r="Z2010" s="13">
        <f t="shared" si="1998"/>
        <v>1</v>
      </c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</row>
    <row r="2011" ht="14.25" customHeight="1">
      <c r="A2011" s="13" t="s">
        <v>36</v>
      </c>
      <c r="B2011" s="13" t="s">
        <v>42</v>
      </c>
      <c r="C2011" s="13">
        <v>872.0</v>
      </c>
      <c r="D2011" s="13" t="s">
        <v>134</v>
      </c>
      <c r="E2011" s="13" t="str">
        <f t="shared" si="1988"/>
        <v>SFAEF,872,CJ,1</v>
      </c>
      <c r="F2011" s="13"/>
      <c r="G2011" s="13" t="s">
        <v>111</v>
      </c>
      <c r="H2011" s="13" t="s">
        <v>75</v>
      </c>
      <c r="I2011" s="13"/>
      <c r="J2011" s="13"/>
      <c r="K2011" s="15">
        <v>1.0</v>
      </c>
      <c r="L2011" s="15">
        <v>1.0</v>
      </c>
      <c r="M2011" s="16"/>
      <c r="N2011" s="16"/>
      <c r="O2011" s="17"/>
      <c r="P2011" s="17"/>
      <c r="Q2011" s="13">
        <f t="shared" si="2187"/>
        <v>2</v>
      </c>
      <c r="R2011" s="13"/>
      <c r="S2011" s="13"/>
      <c r="T2011" s="13">
        <f t="shared" ref="T2011:Y2011" si="2212">IF(ISBLANK(K2011)=TRUE,0,1)</f>
        <v>1</v>
      </c>
      <c r="U2011" s="13">
        <f t="shared" si="2212"/>
        <v>1</v>
      </c>
      <c r="V2011" s="13">
        <f t="shared" si="2212"/>
        <v>0</v>
      </c>
      <c r="W2011" s="13">
        <f t="shared" si="2212"/>
        <v>0</v>
      </c>
      <c r="X2011" s="13">
        <f t="shared" si="2212"/>
        <v>0</v>
      </c>
      <c r="Y2011" s="13">
        <f t="shared" si="2212"/>
        <v>0</v>
      </c>
      <c r="Z2011" s="13">
        <f t="shared" si="1998"/>
        <v>1</v>
      </c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</row>
    <row r="2012" ht="14.25" customHeight="1">
      <c r="A2012" s="13" t="s">
        <v>36</v>
      </c>
      <c r="B2012" s="13" t="s">
        <v>42</v>
      </c>
      <c r="C2012" s="13">
        <v>872.0</v>
      </c>
      <c r="D2012" s="13" t="s">
        <v>135</v>
      </c>
      <c r="E2012" s="13" t="str">
        <f t="shared" si="1988"/>
        <v>SFAEF,872,CK,1</v>
      </c>
      <c r="F2012" s="13"/>
      <c r="G2012" s="13" t="s">
        <v>111</v>
      </c>
      <c r="H2012" s="13" t="s">
        <v>75</v>
      </c>
      <c r="I2012" s="13"/>
      <c r="J2012" s="13"/>
      <c r="K2012" s="15">
        <v>1.0</v>
      </c>
      <c r="L2012" s="15">
        <v>1.0</v>
      </c>
      <c r="M2012" s="16"/>
      <c r="N2012" s="16"/>
      <c r="O2012" s="17"/>
      <c r="P2012" s="17"/>
      <c r="Q2012" s="13">
        <f t="shared" si="2187"/>
        <v>2</v>
      </c>
      <c r="R2012" s="13"/>
      <c r="S2012" s="13"/>
      <c r="T2012" s="13">
        <f t="shared" ref="T2012:Y2012" si="2213">IF(ISBLANK(K2012)=TRUE,0,1)</f>
        <v>1</v>
      </c>
      <c r="U2012" s="13">
        <f t="shared" si="2213"/>
        <v>1</v>
      </c>
      <c r="V2012" s="13">
        <f t="shared" si="2213"/>
        <v>0</v>
      </c>
      <c r="W2012" s="13">
        <f t="shared" si="2213"/>
        <v>0</v>
      </c>
      <c r="X2012" s="13">
        <f t="shared" si="2213"/>
        <v>0</v>
      </c>
      <c r="Y2012" s="13">
        <f t="shared" si="2213"/>
        <v>0</v>
      </c>
      <c r="Z2012" s="13">
        <f t="shared" si="1998"/>
        <v>1</v>
      </c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</row>
    <row r="2013" ht="14.25" customHeight="1">
      <c r="A2013" s="13" t="s">
        <v>36</v>
      </c>
      <c r="B2013" s="13" t="s">
        <v>42</v>
      </c>
      <c r="C2013" s="13">
        <v>872.0</v>
      </c>
      <c r="D2013" s="13" t="s">
        <v>136</v>
      </c>
      <c r="E2013" s="13" t="str">
        <f t="shared" si="1988"/>
        <v>SFAEF,872,CL,1</v>
      </c>
      <c r="F2013" s="13"/>
      <c r="G2013" s="13" t="s">
        <v>111</v>
      </c>
      <c r="H2013" s="13" t="s">
        <v>75</v>
      </c>
      <c r="I2013" s="13"/>
      <c r="J2013" s="13"/>
      <c r="K2013" s="15">
        <v>1.0</v>
      </c>
      <c r="L2013" s="15">
        <v>1.0</v>
      </c>
      <c r="M2013" s="16"/>
      <c r="N2013" s="16"/>
      <c r="O2013" s="17"/>
      <c r="P2013" s="17"/>
      <c r="Q2013" s="13">
        <f t="shared" si="2187"/>
        <v>2</v>
      </c>
      <c r="R2013" s="13"/>
      <c r="S2013" s="13"/>
      <c r="T2013" s="13">
        <f t="shared" ref="T2013:Y2013" si="2214">IF(ISBLANK(K2013)=TRUE,0,1)</f>
        <v>1</v>
      </c>
      <c r="U2013" s="13">
        <f t="shared" si="2214"/>
        <v>1</v>
      </c>
      <c r="V2013" s="13">
        <f t="shared" si="2214"/>
        <v>0</v>
      </c>
      <c r="W2013" s="13">
        <f t="shared" si="2214"/>
        <v>0</v>
      </c>
      <c r="X2013" s="13">
        <f t="shared" si="2214"/>
        <v>0</v>
      </c>
      <c r="Y2013" s="13">
        <f t="shared" si="2214"/>
        <v>0</v>
      </c>
      <c r="Z2013" s="13">
        <f t="shared" si="1998"/>
        <v>1</v>
      </c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</row>
    <row r="2014" ht="14.25" customHeight="1">
      <c r="A2014" s="13" t="s">
        <v>36</v>
      </c>
      <c r="B2014" s="13" t="s">
        <v>42</v>
      </c>
      <c r="C2014" s="13">
        <v>872.0</v>
      </c>
      <c r="D2014" s="13" t="s">
        <v>137</v>
      </c>
      <c r="E2014" s="13" t="str">
        <f t="shared" si="1988"/>
        <v>SFAEF,872,CM,1</v>
      </c>
      <c r="F2014" s="13"/>
      <c r="G2014" s="13" t="s">
        <v>111</v>
      </c>
      <c r="H2014" s="13" t="s">
        <v>75</v>
      </c>
      <c r="I2014" s="13"/>
      <c r="J2014" s="13"/>
      <c r="K2014" s="15">
        <v>1.0</v>
      </c>
      <c r="L2014" s="15">
        <v>1.0</v>
      </c>
      <c r="M2014" s="16"/>
      <c r="N2014" s="16"/>
      <c r="O2014" s="17"/>
      <c r="P2014" s="17"/>
      <c r="Q2014" s="13">
        <f t="shared" si="2187"/>
        <v>2</v>
      </c>
      <c r="R2014" s="13"/>
      <c r="S2014" s="13"/>
      <c r="T2014" s="13">
        <f t="shared" ref="T2014:Y2014" si="2215">IF(ISBLANK(K2014)=TRUE,0,1)</f>
        <v>1</v>
      </c>
      <c r="U2014" s="13">
        <f t="shared" si="2215"/>
        <v>1</v>
      </c>
      <c r="V2014" s="13">
        <f t="shared" si="2215"/>
        <v>0</v>
      </c>
      <c r="W2014" s="13">
        <f t="shared" si="2215"/>
        <v>0</v>
      </c>
      <c r="X2014" s="13">
        <f t="shared" si="2215"/>
        <v>0</v>
      </c>
      <c r="Y2014" s="13">
        <f t="shared" si="2215"/>
        <v>0</v>
      </c>
      <c r="Z2014" s="13">
        <f t="shared" si="1998"/>
        <v>1</v>
      </c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</row>
    <row r="2015" ht="14.25" customHeight="1">
      <c r="A2015" s="13" t="s">
        <v>36</v>
      </c>
      <c r="B2015" s="13" t="s">
        <v>42</v>
      </c>
      <c r="C2015" s="13">
        <v>872.0</v>
      </c>
      <c r="D2015" s="13" t="s">
        <v>138</v>
      </c>
      <c r="E2015" s="13" t="str">
        <f t="shared" si="1988"/>
        <v>SFAEF,872,CN,1</v>
      </c>
      <c r="F2015" s="13"/>
      <c r="G2015" s="13" t="s">
        <v>111</v>
      </c>
      <c r="H2015" s="13" t="s">
        <v>75</v>
      </c>
      <c r="I2015" s="13"/>
      <c r="J2015" s="13"/>
      <c r="K2015" s="15">
        <v>1.0</v>
      </c>
      <c r="L2015" s="15">
        <v>1.0</v>
      </c>
      <c r="M2015" s="16"/>
      <c r="N2015" s="16"/>
      <c r="O2015" s="17"/>
      <c r="P2015" s="17"/>
      <c r="Q2015" s="13">
        <f t="shared" si="2187"/>
        <v>2</v>
      </c>
      <c r="R2015" s="13"/>
      <c r="S2015" s="13"/>
      <c r="T2015" s="13">
        <f t="shared" ref="T2015:Y2015" si="2216">IF(ISBLANK(K2015)=TRUE,0,1)</f>
        <v>1</v>
      </c>
      <c r="U2015" s="13">
        <f t="shared" si="2216"/>
        <v>1</v>
      </c>
      <c r="V2015" s="13">
        <f t="shared" si="2216"/>
        <v>0</v>
      </c>
      <c r="W2015" s="13">
        <f t="shared" si="2216"/>
        <v>0</v>
      </c>
      <c r="X2015" s="13">
        <f t="shared" si="2216"/>
        <v>0</v>
      </c>
      <c r="Y2015" s="13">
        <f t="shared" si="2216"/>
        <v>0</v>
      </c>
      <c r="Z2015" s="13">
        <f t="shared" si="1998"/>
        <v>1</v>
      </c>
      <c r="AA2015" s="13"/>
      <c r="AB2015" s="13"/>
      <c r="AC2015" s="13"/>
      <c r="AD2015" s="13"/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</row>
    <row r="2016" ht="14.25" customHeight="1">
      <c r="A2016" s="13" t="s">
        <v>36</v>
      </c>
      <c r="B2016" s="13" t="s">
        <v>42</v>
      </c>
      <c r="C2016" s="13">
        <v>872.0</v>
      </c>
      <c r="D2016" s="13" t="s">
        <v>139</v>
      </c>
      <c r="E2016" s="13" t="str">
        <f t="shared" si="1988"/>
        <v>SFAEF,872,CO,1</v>
      </c>
      <c r="F2016" s="13"/>
      <c r="G2016" s="13" t="s">
        <v>111</v>
      </c>
      <c r="H2016" s="13" t="s">
        <v>75</v>
      </c>
      <c r="I2016" s="13"/>
      <c r="J2016" s="13"/>
      <c r="K2016" s="15">
        <v>1.0</v>
      </c>
      <c r="L2016" s="15">
        <v>1.0</v>
      </c>
      <c r="M2016" s="16"/>
      <c r="N2016" s="16"/>
      <c r="O2016" s="17"/>
      <c r="P2016" s="17"/>
      <c r="Q2016" s="13">
        <f t="shared" si="2187"/>
        <v>2</v>
      </c>
      <c r="R2016" s="13"/>
      <c r="S2016" s="13"/>
      <c r="T2016" s="13">
        <f t="shared" ref="T2016:Y2016" si="2217">IF(ISBLANK(K2016)=TRUE,0,1)</f>
        <v>1</v>
      </c>
      <c r="U2016" s="13">
        <f t="shared" si="2217"/>
        <v>1</v>
      </c>
      <c r="V2016" s="13">
        <f t="shared" si="2217"/>
        <v>0</v>
      </c>
      <c r="W2016" s="13">
        <f t="shared" si="2217"/>
        <v>0</v>
      </c>
      <c r="X2016" s="13">
        <f t="shared" si="2217"/>
        <v>0</v>
      </c>
      <c r="Y2016" s="13">
        <f t="shared" si="2217"/>
        <v>0</v>
      </c>
      <c r="Z2016" s="13">
        <f t="shared" si="1998"/>
        <v>1</v>
      </c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</row>
    <row r="2017" ht="14.25" customHeight="1">
      <c r="A2017" s="13" t="s">
        <v>36</v>
      </c>
      <c r="B2017" s="13" t="s">
        <v>42</v>
      </c>
      <c r="C2017" s="13">
        <v>872.0</v>
      </c>
      <c r="D2017" s="13" t="s">
        <v>140</v>
      </c>
      <c r="E2017" s="13" t="str">
        <f t="shared" si="1988"/>
        <v>SFAEF,872,CP,1</v>
      </c>
      <c r="F2017" s="13"/>
      <c r="G2017" s="13" t="s">
        <v>111</v>
      </c>
      <c r="H2017" s="13" t="s">
        <v>75</v>
      </c>
      <c r="I2017" s="13"/>
      <c r="J2017" s="13"/>
      <c r="K2017" s="15">
        <v>1.0</v>
      </c>
      <c r="L2017" s="15">
        <v>1.0</v>
      </c>
      <c r="M2017" s="16"/>
      <c r="N2017" s="16"/>
      <c r="O2017" s="17"/>
      <c r="P2017" s="17"/>
      <c r="Q2017" s="13">
        <f t="shared" si="2187"/>
        <v>2</v>
      </c>
      <c r="R2017" s="13"/>
      <c r="S2017" s="13"/>
      <c r="T2017" s="13">
        <f t="shared" ref="T2017:Y2017" si="2218">IF(ISBLANK(K2017)=TRUE,0,1)</f>
        <v>1</v>
      </c>
      <c r="U2017" s="13">
        <f t="shared" si="2218"/>
        <v>1</v>
      </c>
      <c r="V2017" s="13">
        <f t="shared" si="2218"/>
        <v>0</v>
      </c>
      <c r="W2017" s="13">
        <f t="shared" si="2218"/>
        <v>0</v>
      </c>
      <c r="X2017" s="13">
        <f t="shared" si="2218"/>
        <v>0</v>
      </c>
      <c r="Y2017" s="13">
        <f t="shared" si="2218"/>
        <v>0</v>
      </c>
      <c r="Z2017" s="13">
        <f t="shared" si="1998"/>
        <v>1</v>
      </c>
      <c r="AA2017" s="13"/>
      <c r="AB2017" s="13"/>
      <c r="AC2017" s="13"/>
      <c r="AD2017" s="13"/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</row>
    <row r="2018" ht="14.25" customHeight="1">
      <c r="A2018" s="13" t="s">
        <v>36</v>
      </c>
      <c r="B2018" s="13" t="s">
        <v>42</v>
      </c>
      <c r="C2018" s="13">
        <v>872.0</v>
      </c>
      <c r="D2018" s="13" t="s">
        <v>141</v>
      </c>
      <c r="E2018" s="13" t="str">
        <f t="shared" si="1988"/>
        <v>SFAEF,872,CQ,1</v>
      </c>
      <c r="F2018" s="13"/>
      <c r="G2018" s="13" t="s">
        <v>111</v>
      </c>
      <c r="H2018" s="13" t="s">
        <v>75</v>
      </c>
      <c r="I2018" s="13"/>
      <c r="J2018" s="13"/>
      <c r="K2018" s="15">
        <v>1.0</v>
      </c>
      <c r="L2018" s="15">
        <v>1.0</v>
      </c>
      <c r="M2018" s="16"/>
      <c r="N2018" s="16"/>
      <c r="O2018" s="17"/>
      <c r="P2018" s="17"/>
      <c r="Q2018" s="13">
        <f t="shared" si="2187"/>
        <v>2</v>
      </c>
      <c r="R2018" s="13"/>
      <c r="S2018" s="13"/>
      <c r="T2018" s="13">
        <f t="shared" ref="T2018:Y2018" si="2219">IF(ISBLANK(K2018)=TRUE,0,1)</f>
        <v>1</v>
      </c>
      <c r="U2018" s="13">
        <f t="shared" si="2219"/>
        <v>1</v>
      </c>
      <c r="V2018" s="13">
        <f t="shared" si="2219"/>
        <v>0</v>
      </c>
      <c r="W2018" s="13">
        <f t="shared" si="2219"/>
        <v>0</v>
      </c>
      <c r="X2018" s="13">
        <f t="shared" si="2219"/>
        <v>0</v>
      </c>
      <c r="Y2018" s="13">
        <f t="shared" si="2219"/>
        <v>0</v>
      </c>
      <c r="Z2018" s="13">
        <f t="shared" si="1998"/>
        <v>1</v>
      </c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</row>
    <row r="2019" ht="14.25" customHeight="1">
      <c r="A2019" s="13" t="s">
        <v>36</v>
      </c>
      <c r="B2019" s="13" t="s">
        <v>42</v>
      </c>
      <c r="C2019" s="13">
        <v>872.0</v>
      </c>
      <c r="D2019" s="13" t="s">
        <v>142</v>
      </c>
      <c r="E2019" s="13" t="str">
        <f t="shared" si="1988"/>
        <v>SFAEF,872,CR,1</v>
      </c>
      <c r="F2019" s="13"/>
      <c r="G2019" s="13" t="s">
        <v>111</v>
      </c>
      <c r="H2019" s="13" t="s">
        <v>75</v>
      </c>
      <c r="I2019" s="13"/>
      <c r="J2019" s="13"/>
      <c r="K2019" s="15">
        <v>1.0</v>
      </c>
      <c r="L2019" s="15">
        <v>1.0</v>
      </c>
      <c r="M2019" s="16"/>
      <c r="N2019" s="16"/>
      <c r="O2019" s="17"/>
      <c r="P2019" s="17"/>
      <c r="Q2019" s="13">
        <f t="shared" si="2187"/>
        <v>2</v>
      </c>
      <c r="R2019" s="13"/>
      <c r="S2019" s="13"/>
      <c r="T2019" s="13">
        <f t="shared" ref="T2019:Y2019" si="2220">IF(ISBLANK(K2019)=TRUE,0,1)</f>
        <v>1</v>
      </c>
      <c r="U2019" s="13">
        <f t="shared" si="2220"/>
        <v>1</v>
      </c>
      <c r="V2019" s="13">
        <f t="shared" si="2220"/>
        <v>0</v>
      </c>
      <c r="W2019" s="13">
        <f t="shared" si="2220"/>
        <v>0</v>
      </c>
      <c r="X2019" s="13">
        <f t="shared" si="2220"/>
        <v>0</v>
      </c>
      <c r="Y2019" s="13">
        <f t="shared" si="2220"/>
        <v>0</v>
      </c>
      <c r="Z2019" s="13">
        <f t="shared" si="1998"/>
        <v>1</v>
      </c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</row>
    <row r="2020" ht="14.25" customHeight="1">
      <c r="A2020" s="13" t="s">
        <v>36</v>
      </c>
      <c r="B2020" s="13" t="s">
        <v>42</v>
      </c>
      <c r="C2020" s="13">
        <v>872.0</v>
      </c>
      <c r="D2020" s="13" t="s">
        <v>143</v>
      </c>
      <c r="E2020" s="13" t="str">
        <f t="shared" si="1988"/>
        <v>SFAEF,872,CS,1</v>
      </c>
      <c r="F2020" s="13"/>
      <c r="G2020" s="13" t="s">
        <v>111</v>
      </c>
      <c r="H2020" s="13" t="s">
        <v>75</v>
      </c>
      <c r="I2020" s="13"/>
      <c r="J2020" s="13"/>
      <c r="K2020" s="15">
        <v>1.0</v>
      </c>
      <c r="L2020" s="15">
        <v>1.0</v>
      </c>
      <c r="M2020" s="16"/>
      <c r="N2020" s="16"/>
      <c r="O2020" s="17"/>
      <c r="P2020" s="17"/>
      <c r="Q2020" s="13">
        <f t="shared" si="2187"/>
        <v>2</v>
      </c>
      <c r="R2020" s="13"/>
      <c r="S2020" s="13"/>
      <c r="T2020" s="13">
        <f t="shared" ref="T2020:Y2020" si="2221">IF(ISBLANK(K2020)=TRUE,0,1)</f>
        <v>1</v>
      </c>
      <c r="U2020" s="13">
        <f t="shared" si="2221"/>
        <v>1</v>
      </c>
      <c r="V2020" s="13">
        <f t="shared" si="2221"/>
        <v>0</v>
      </c>
      <c r="W2020" s="13">
        <f t="shared" si="2221"/>
        <v>0</v>
      </c>
      <c r="X2020" s="13">
        <f t="shared" si="2221"/>
        <v>0</v>
      </c>
      <c r="Y2020" s="13">
        <f t="shared" si="2221"/>
        <v>0</v>
      </c>
      <c r="Z2020" s="13">
        <f t="shared" si="1998"/>
        <v>1</v>
      </c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</row>
    <row r="2021" ht="14.25" customHeight="1">
      <c r="A2021" s="13" t="s">
        <v>36</v>
      </c>
      <c r="B2021" s="13" t="s">
        <v>42</v>
      </c>
      <c r="C2021" s="13">
        <v>872.0</v>
      </c>
      <c r="D2021" s="13" t="s">
        <v>144</v>
      </c>
      <c r="E2021" s="13" t="str">
        <f t="shared" si="1988"/>
        <v>SFAEF,872,CT,1</v>
      </c>
      <c r="F2021" s="13"/>
      <c r="G2021" s="13" t="s">
        <v>111</v>
      </c>
      <c r="H2021" s="13" t="s">
        <v>75</v>
      </c>
      <c r="I2021" s="13"/>
      <c r="J2021" s="13"/>
      <c r="K2021" s="15">
        <v>1.0</v>
      </c>
      <c r="L2021" s="15">
        <v>1.0</v>
      </c>
      <c r="M2021" s="16"/>
      <c r="N2021" s="16"/>
      <c r="O2021" s="17"/>
      <c r="P2021" s="17"/>
      <c r="Q2021" s="13">
        <f t="shared" si="2187"/>
        <v>2</v>
      </c>
      <c r="R2021" s="13"/>
      <c r="S2021" s="13"/>
      <c r="T2021" s="13">
        <f t="shared" ref="T2021:Y2021" si="2222">IF(ISBLANK(K2021)=TRUE,0,1)</f>
        <v>1</v>
      </c>
      <c r="U2021" s="13">
        <f t="shared" si="2222"/>
        <v>1</v>
      </c>
      <c r="V2021" s="13">
        <f t="shared" si="2222"/>
        <v>0</v>
      </c>
      <c r="W2021" s="13">
        <f t="shared" si="2222"/>
        <v>0</v>
      </c>
      <c r="X2021" s="13">
        <f t="shared" si="2222"/>
        <v>0</v>
      </c>
      <c r="Y2021" s="13">
        <f t="shared" si="2222"/>
        <v>0</v>
      </c>
      <c r="Z2021" s="13">
        <f t="shared" si="1998"/>
        <v>1</v>
      </c>
      <c r="AA2021" s="13"/>
      <c r="AB2021" s="13"/>
      <c r="AC2021" s="13"/>
      <c r="AD2021" s="13"/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</row>
    <row r="2022" ht="14.25" customHeight="1">
      <c r="A2022" s="13" t="s">
        <v>36</v>
      </c>
      <c r="B2022" s="13" t="s">
        <v>42</v>
      </c>
      <c r="C2022" s="13">
        <v>872.0</v>
      </c>
      <c r="D2022" s="13" t="s">
        <v>145</v>
      </c>
      <c r="E2022" s="13" t="str">
        <f t="shared" si="1988"/>
        <v>SFAEF,872,CU,1</v>
      </c>
      <c r="F2022" s="13"/>
      <c r="G2022" s="13" t="s">
        <v>111</v>
      </c>
      <c r="H2022" s="13" t="s">
        <v>75</v>
      </c>
      <c r="I2022" s="13"/>
      <c r="J2022" s="13"/>
      <c r="K2022" s="15">
        <v>1.0</v>
      </c>
      <c r="L2022" s="15">
        <v>1.0</v>
      </c>
      <c r="M2022" s="16"/>
      <c r="N2022" s="16"/>
      <c r="O2022" s="17"/>
      <c r="P2022" s="17"/>
      <c r="Q2022" s="13">
        <f t="shared" si="2187"/>
        <v>2</v>
      </c>
      <c r="R2022" s="13"/>
      <c r="S2022" s="13"/>
      <c r="T2022" s="13">
        <f t="shared" ref="T2022:Y2022" si="2223">IF(ISBLANK(K2022)=TRUE,0,1)</f>
        <v>1</v>
      </c>
      <c r="U2022" s="13">
        <f t="shared" si="2223"/>
        <v>1</v>
      </c>
      <c r="V2022" s="13">
        <f t="shared" si="2223"/>
        <v>0</v>
      </c>
      <c r="W2022" s="13">
        <f t="shared" si="2223"/>
        <v>0</v>
      </c>
      <c r="X2022" s="13">
        <f t="shared" si="2223"/>
        <v>0</v>
      </c>
      <c r="Y2022" s="13">
        <f t="shared" si="2223"/>
        <v>0</v>
      </c>
      <c r="Z2022" s="13">
        <f t="shared" si="1998"/>
        <v>1</v>
      </c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</row>
    <row r="2023" ht="14.25" customHeight="1">
      <c r="A2023" s="13" t="s">
        <v>36</v>
      </c>
      <c r="B2023" s="13" t="s">
        <v>42</v>
      </c>
      <c r="C2023" s="13">
        <v>872.0</v>
      </c>
      <c r="D2023" s="13" t="s">
        <v>146</v>
      </c>
      <c r="E2023" s="13" t="str">
        <f t="shared" si="1988"/>
        <v>SFAEF,872,CV,1</v>
      </c>
      <c r="F2023" s="13"/>
      <c r="G2023" s="13" t="s">
        <v>111</v>
      </c>
      <c r="H2023" s="13" t="s">
        <v>75</v>
      </c>
      <c r="I2023" s="13"/>
      <c r="J2023" s="13"/>
      <c r="K2023" s="15">
        <v>1.0</v>
      </c>
      <c r="L2023" s="15">
        <v>1.0</v>
      </c>
      <c r="M2023" s="16"/>
      <c r="N2023" s="16"/>
      <c r="O2023" s="17"/>
      <c r="P2023" s="17"/>
      <c r="Q2023" s="13">
        <f t="shared" si="2187"/>
        <v>2</v>
      </c>
      <c r="R2023" s="13"/>
      <c r="S2023" s="13"/>
      <c r="T2023" s="13">
        <f t="shared" ref="T2023:Y2023" si="2224">IF(ISBLANK(K2023)=TRUE,0,1)</f>
        <v>1</v>
      </c>
      <c r="U2023" s="13">
        <f t="shared" si="2224"/>
        <v>1</v>
      </c>
      <c r="V2023" s="13">
        <f t="shared" si="2224"/>
        <v>0</v>
      </c>
      <c r="W2023" s="13">
        <f t="shared" si="2224"/>
        <v>0</v>
      </c>
      <c r="X2023" s="13">
        <f t="shared" si="2224"/>
        <v>0</v>
      </c>
      <c r="Y2023" s="13">
        <f t="shared" si="2224"/>
        <v>0</v>
      </c>
      <c r="Z2023" s="13">
        <f t="shared" si="1998"/>
        <v>1</v>
      </c>
      <c r="AA2023" s="13"/>
      <c r="AB2023" s="13"/>
      <c r="AC2023" s="13"/>
      <c r="AD2023" s="13"/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</row>
    <row r="2024" ht="14.25" customHeight="1">
      <c r="A2024" s="13" t="s">
        <v>36</v>
      </c>
      <c r="B2024" s="13" t="s">
        <v>42</v>
      </c>
      <c r="C2024" s="13">
        <v>872.0</v>
      </c>
      <c r="D2024" s="13" t="s">
        <v>147</v>
      </c>
      <c r="E2024" s="13" t="str">
        <f t="shared" si="1988"/>
        <v>SFAEF,872,CW,1</v>
      </c>
      <c r="F2024" s="13"/>
      <c r="G2024" s="13" t="s">
        <v>111</v>
      </c>
      <c r="H2024" s="13" t="s">
        <v>75</v>
      </c>
      <c r="I2024" s="13"/>
      <c r="J2024" s="13"/>
      <c r="K2024" s="15">
        <v>1.0</v>
      </c>
      <c r="L2024" s="15">
        <v>1.0</v>
      </c>
      <c r="M2024" s="16"/>
      <c r="N2024" s="16"/>
      <c r="O2024" s="17"/>
      <c r="P2024" s="17"/>
      <c r="Q2024" s="13">
        <f t="shared" si="2187"/>
        <v>2</v>
      </c>
      <c r="R2024" s="13"/>
      <c r="S2024" s="13"/>
      <c r="T2024" s="13">
        <f t="shared" ref="T2024:Y2024" si="2225">IF(ISBLANK(K2024)=TRUE,0,1)</f>
        <v>1</v>
      </c>
      <c r="U2024" s="13">
        <f t="shared" si="2225"/>
        <v>1</v>
      </c>
      <c r="V2024" s="13">
        <f t="shared" si="2225"/>
        <v>0</v>
      </c>
      <c r="W2024" s="13">
        <f t="shared" si="2225"/>
        <v>0</v>
      </c>
      <c r="X2024" s="13">
        <f t="shared" si="2225"/>
        <v>0</v>
      </c>
      <c r="Y2024" s="13">
        <f t="shared" si="2225"/>
        <v>0</v>
      </c>
      <c r="Z2024" s="13">
        <f t="shared" si="1998"/>
        <v>1</v>
      </c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</row>
    <row r="2025" ht="14.25" customHeight="1">
      <c r="A2025" s="13" t="s">
        <v>36</v>
      </c>
      <c r="B2025" s="13" t="s">
        <v>42</v>
      </c>
      <c r="C2025" s="13">
        <v>872.0</v>
      </c>
      <c r="D2025" s="13" t="s">
        <v>148</v>
      </c>
      <c r="E2025" s="13" t="str">
        <f t="shared" si="1988"/>
        <v>SFAEF,872,CX,1</v>
      </c>
      <c r="F2025" s="13"/>
      <c r="G2025" s="13" t="s">
        <v>111</v>
      </c>
      <c r="H2025" s="13" t="s">
        <v>75</v>
      </c>
      <c r="I2025" s="13"/>
      <c r="J2025" s="13"/>
      <c r="K2025" s="15">
        <v>1.0</v>
      </c>
      <c r="L2025" s="15">
        <v>1.0</v>
      </c>
      <c r="M2025" s="16"/>
      <c r="N2025" s="16"/>
      <c r="O2025" s="17"/>
      <c r="P2025" s="17"/>
      <c r="Q2025" s="13">
        <f t="shared" si="2187"/>
        <v>2</v>
      </c>
      <c r="R2025" s="13"/>
      <c r="S2025" s="13"/>
      <c r="T2025" s="13">
        <f t="shared" ref="T2025:Y2025" si="2226">IF(ISBLANK(K2025)=TRUE,0,1)</f>
        <v>1</v>
      </c>
      <c r="U2025" s="13">
        <f t="shared" si="2226"/>
        <v>1</v>
      </c>
      <c r="V2025" s="13">
        <f t="shared" si="2226"/>
        <v>0</v>
      </c>
      <c r="W2025" s="13">
        <f t="shared" si="2226"/>
        <v>0</v>
      </c>
      <c r="X2025" s="13">
        <f t="shared" si="2226"/>
        <v>0</v>
      </c>
      <c r="Y2025" s="13">
        <f t="shared" si="2226"/>
        <v>0</v>
      </c>
      <c r="Z2025" s="13">
        <f t="shared" si="1998"/>
        <v>1</v>
      </c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</row>
    <row r="2026" ht="14.25" customHeight="1">
      <c r="A2026" s="13" t="s">
        <v>36</v>
      </c>
      <c r="B2026" s="13" t="s">
        <v>42</v>
      </c>
      <c r="C2026" s="13">
        <v>872.0</v>
      </c>
      <c r="D2026" s="13" t="s">
        <v>149</v>
      </c>
      <c r="E2026" s="13" t="str">
        <f t="shared" si="1988"/>
        <v>SFAEF,872,CY,1</v>
      </c>
      <c r="F2026" s="13"/>
      <c r="G2026" s="13" t="s">
        <v>111</v>
      </c>
      <c r="H2026" s="13" t="s">
        <v>75</v>
      </c>
      <c r="I2026" s="13"/>
      <c r="J2026" s="13"/>
      <c r="K2026" s="15">
        <v>1.0</v>
      </c>
      <c r="L2026" s="15">
        <v>1.0</v>
      </c>
      <c r="M2026" s="16"/>
      <c r="N2026" s="16"/>
      <c r="O2026" s="17"/>
      <c r="P2026" s="17"/>
      <c r="Q2026" s="13">
        <f t="shared" si="2187"/>
        <v>2</v>
      </c>
      <c r="R2026" s="13"/>
      <c r="S2026" s="13"/>
      <c r="T2026" s="13">
        <f t="shared" ref="T2026:Y2026" si="2227">IF(ISBLANK(K2026)=TRUE,0,1)</f>
        <v>1</v>
      </c>
      <c r="U2026" s="13">
        <f t="shared" si="2227"/>
        <v>1</v>
      </c>
      <c r="V2026" s="13">
        <f t="shared" si="2227"/>
        <v>0</v>
      </c>
      <c r="W2026" s="13">
        <f t="shared" si="2227"/>
        <v>0</v>
      </c>
      <c r="X2026" s="13">
        <f t="shared" si="2227"/>
        <v>0</v>
      </c>
      <c r="Y2026" s="13">
        <f t="shared" si="2227"/>
        <v>0</v>
      </c>
      <c r="Z2026" s="13">
        <f t="shared" si="1998"/>
        <v>1</v>
      </c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</row>
    <row r="2027" ht="14.25" customHeight="1">
      <c r="A2027" s="13" t="s">
        <v>36</v>
      </c>
      <c r="B2027" s="13" t="s">
        <v>42</v>
      </c>
      <c r="C2027" s="13">
        <v>872.0</v>
      </c>
      <c r="D2027" s="13" t="s">
        <v>150</v>
      </c>
      <c r="E2027" s="13" t="str">
        <f t="shared" si="1988"/>
        <v>SFAEF,872,CZ,1</v>
      </c>
      <c r="F2027" s="13"/>
      <c r="G2027" s="13" t="s">
        <v>111</v>
      </c>
      <c r="H2027" s="13" t="s">
        <v>75</v>
      </c>
      <c r="I2027" s="13"/>
      <c r="J2027" s="13"/>
      <c r="K2027" s="15">
        <v>1.0</v>
      </c>
      <c r="L2027" s="15">
        <v>1.0</v>
      </c>
      <c r="M2027" s="16"/>
      <c r="N2027" s="16"/>
      <c r="O2027" s="17"/>
      <c r="P2027" s="17"/>
      <c r="Q2027" s="13">
        <f t="shared" si="2187"/>
        <v>2</v>
      </c>
      <c r="R2027" s="13"/>
      <c r="S2027" s="13"/>
      <c r="T2027" s="13">
        <f t="shared" ref="T2027:Y2027" si="2228">IF(ISBLANK(K2027)=TRUE,0,1)</f>
        <v>1</v>
      </c>
      <c r="U2027" s="13">
        <f t="shared" si="2228"/>
        <v>1</v>
      </c>
      <c r="V2027" s="13">
        <f t="shared" si="2228"/>
        <v>0</v>
      </c>
      <c r="W2027" s="13">
        <f t="shared" si="2228"/>
        <v>0</v>
      </c>
      <c r="X2027" s="13">
        <f t="shared" si="2228"/>
        <v>0</v>
      </c>
      <c r="Y2027" s="13">
        <f t="shared" si="2228"/>
        <v>0</v>
      </c>
      <c r="Z2027" s="13">
        <f t="shared" si="1998"/>
        <v>1</v>
      </c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</row>
    <row r="2028" ht="14.25" customHeight="1">
      <c r="A2028" s="13" t="s">
        <v>36</v>
      </c>
      <c r="B2028" s="13" t="s">
        <v>42</v>
      </c>
      <c r="C2028" s="13">
        <v>872.0</v>
      </c>
      <c r="D2028" s="13" t="s">
        <v>151</v>
      </c>
      <c r="E2028" s="13" t="str">
        <f t="shared" si="1988"/>
        <v>SFAEF,872,DA,1</v>
      </c>
      <c r="F2028" s="13"/>
      <c r="G2028" s="13" t="s">
        <v>111</v>
      </c>
      <c r="H2028" s="13" t="s">
        <v>75</v>
      </c>
      <c r="I2028" s="13"/>
      <c r="J2028" s="13"/>
      <c r="K2028" s="15">
        <v>1.0</v>
      </c>
      <c r="L2028" s="15">
        <v>1.0</v>
      </c>
      <c r="M2028" s="16"/>
      <c r="N2028" s="16"/>
      <c r="O2028" s="17"/>
      <c r="P2028" s="17"/>
      <c r="Q2028" s="13">
        <f t="shared" si="2187"/>
        <v>2</v>
      </c>
      <c r="R2028" s="13"/>
      <c r="S2028" s="13"/>
      <c r="T2028" s="13">
        <f t="shared" ref="T2028:Y2028" si="2229">IF(ISBLANK(K2028)=TRUE,0,1)</f>
        <v>1</v>
      </c>
      <c r="U2028" s="13">
        <f t="shared" si="2229"/>
        <v>1</v>
      </c>
      <c r="V2028" s="13">
        <f t="shared" si="2229"/>
        <v>0</v>
      </c>
      <c r="W2028" s="13">
        <f t="shared" si="2229"/>
        <v>0</v>
      </c>
      <c r="X2028" s="13">
        <f t="shared" si="2229"/>
        <v>0</v>
      </c>
      <c r="Y2028" s="13">
        <f t="shared" si="2229"/>
        <v>0</v>
      </c>
      <c r="Z2028" s="13">
        <f t="shared" si="1998"/>
        <v>1</v>
      </c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</row>
    <row r="2029" ht="14.25" customHeight="1">
      <c r="A2029" s="13" t="s">
        <v>36</v>
      </c>
      <c r="B2029" s="13" t="s">
        <v>42</v>
      </c>
      <c r="C2029" s="13" t="s">
        <v>1163</v>
      </c>
      <c r="D2029" s="13"/>
      <c r="E2029" s="13" t="str">
        <f t="shared" si="1988"/>
        <v>SFAEF,8B-19,,0</v>
      </c>
      <c r="F2029" s="13"/>
      <c r="G2029" s="13" t="s">
        <v>111</v>
      </c>
      <c r="H2029" s="13" t="s">
        <v>75</v>
      </c>
      <c r="I2029" s="13"/>
      <c r="J2029" s="13"/>
      <c r="K2029" s="15">
        <v>0.0</v>
      </c>
      <c r="L2029" s="15">
        <v>0.0</v>
      </c>
      <c r="M2029" s="16"/>
      <c r="N2029" s="16"/>
      <c r="O2029" s="17">
        <v>0.0</v>
      </c>
      <c r="P2029" s="17">
        <v>0.0</v>
      </c>
      <c r="Q2029" s="13"/>
      <c r="R2029" s="14">
        <v>44973.0</v>
      </c>
      <c r="S2029" s="13"/>
      <c r="T2029" s="13">
        <f t="shared" ref="T2029:Y2029" si="2230">IF(ISBLANK(K2029)=TRUE,0,1)</f>
        <v>1</v>
      </c>
      <c r="U2029" s="13">
        <f t="shared" si="2230"/>
        <v>1</v>
      </c>
      <c r="V2029" s="13">
        <f t="shared" si="2230"/>
        <v>0</v>
      </c>
      <c r="W2029" s="13">
        <f t="shared" si="2230"/>
        <v>0</v>
      </c>
      <c r="X2029" s="13">
        <f t="shared" si="2230"/>
        <v>1</v>
      </c>
      <c r="Y2029" s="13">
        <f t="shared" si="2230"/>
        <v>1</v>
      </c>
      <c r="Z2029" s="13">
        <f t="shared" si="1998"/>
        <v>0</v>
      </c>
      <c r="AA2029" s="13" t="s">
        <v>561</v>
      </c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</row>
    <row r="2030" ht="14.25" customHeight="1">
      <c r="A2030" s="13" t="s">
        <v>36</v>
      </c>
      <c r="B2030" s="13" t="s">
        <v>42</v>
      </c>
      <c r="C2030" s="13" t="s">
        <v>1164</v>
      </c>
      <c r="D2030" s="13"/>
      <c r="E2030" s="13" t="str">
        <f t="shared" si="1988"/>
        <v>SFAEF,8B-2,,NA</v>
      </c>
      <c r="F2030" s="13"/>
      <c r="G2030" s="13" t="s">
        <v>111</v>
      </c>
      <c r="H2030" s="13" t="s">
        <v>75</v>
      </c>
      <c r="I2030" s="13"/>
      <c r="J2030" s="13"/>
      <c r="K2030" s="15"/>
      <c r="L2030" s="15"/>
      <c r="M2030" s="16"/>
      <c r="N2030" s="16"/>
      <c r="O2030" s="17"/>
      <c r="P2030" s="17"/>
      <c r="Q2030" s="13"/>
      <c r="R2030" s="13"/>
      <c r="S2030" s="13"/>
      <c r="T2030" s="13">
        <f t="shared" ref="T2030:Y2030" si="2231">IF(ISBLANK(K2030)=TRUE,0,1)</f>
        <v>0</v>
      </c>
      <c r="U2030" s="13">
        <f t="shared" si="2231"/>
        <v>0</v>
      </c>
      <c r="V2030" s="13">
        <f t="shared" si="2231"/>
        <v>0</v>
      </c>
      <c r="W2030" s="13">
        <f t="shared" si="2231"/>
        <v>0</v>
      </c>
      <c r="X2030" s="13">
        <f t="shared" si="2231"/>
        <v>0</v>
      </c>
      <c r="Y2030" s="13">
        <f t="shared" si="2231"/>
        <v>0</v>
      </c>
      <c r="Z2030" s="13" t="str">
        <f t="shared" si="1998"/>
        <v>NA</v>
      </c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</row>
    <row r="2031" ht="14.25" customHeight="1">
      <c r="A2031" s="13" t="s">
        <v>36</v>
      </c>
      <c r="B2031" s="13" t="s">
        <v>42</v>
      </c>
      <c r="C2031" s="13" t="s">
        <v>1165</v>
      </c>
      <c r="D2031" s="13"/>
      <c r="E2031" s="13" t="str">
        <f t="shared" si="1988"/>
        <v>SFAEF,8B-20,,0</v>
      </c>
      <c r="F2031" s="13"/>
      <c r="G2031" s="13" t="s">
        <v>111</v>
      </c>
      <c r="H2031" s="13" t="s">
        <v>75</v>
      </c>
      <c r="I2031" s="13"/>
      <c r="J2031" s="13"/>
      <c r="K2031" s="15">
        <v>0.0</v>
      </c>
      <c r="L2031" s="15">
        <v>0.0</v>
      </c>
      <c r="M2031" s="16"/>
      <c r="N2031" s="16"/>
      <c r="O2031" s="17">
        <v>0.0</v>
      </c>
      <c r="P2031" s="17">
        <v>0.0</v>
      </c>
      <c r="Q2031" s="13"/>
      <c r="R2031" s="14">
        <v>44973.0</v>
      </c>
      <c r="S2031" s="13"/>
      <c r="T2031" s="13">
        <f t="shared" ref="T2031:Y2031" si="2232">IF(ISBLANK(K2031)=TRUE,0,1)</f>
        <v>1</v>
      </c>
      <c r="U2031" s="13">
        <f t="shared" si="2232"/>
        <v>1</v>
      </c>
      <c r="V2031" s="13">
        <f t="shared" si="2232"/>
        <v>0</v>
      </c>
      <c r="W2031" s="13">
        <f t="shared" si="2232"/>
        <v>0</v>
      </c>
      <c r="X2031" s="13">
        <f t="shared" si="2232"/>
        <v>1</v>
      </c>
      <c r="Y2031" s="13">
        <f t="shared" si="2232"/>
        <v>1</v>
      </c>
      <c r="Z2031" s="13">
        <f t="shared" si="1998"/>
        <v>0</v>
      </c>
      <c r="AA2031" s="13" t="s">
        <v>561</v>
      </c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</row>
    <row r="2032" ht="14.25" customHeight="1">
      <c r="A2032" s="13" t="s">
        <v>36</v>
      </c>
      <c r="B2032" s="13" t="s">
        <v>42</v>
      </c>
      <c r="C2032" s="13" t="s">
        <v>1166</v>
      </c>
      <c r="D2032" s="13"/>
      <c r="E2032" s="13" t="str">
        <f t="shared" si="1988"/>
        <v>SFAEF,8B-21,,0</v>
      </c>
      <c r="F2032" s="13"/>
      <c r="G2032" s="13" t="s">
        <v>111</v>
      </c>
      <c r="H2032" s="13" t="s">
        <v>75</v>
      </c>
      <c r="I2032" s="13"/>
      <c r="J2032" s="13"/>
      <c r="K2032" s="15">
        <v>0.0</v>
      </c>
      <c r="L2032" s="15">
        <v>0.0</v>
      </c>
      <c r="M2032" s="16"/>
      <c r="N2032" s="16"/>
      <c r="O2032" s="17">
        <v>0.0</v>
      </c>
      <c r="P2032" s="17">
        <v>0.0</v>
      </c>
      <c r="Q2032" s="13"/>
      <c r="R2032" s="14">
        <v>44973.0</v>
      </c>
      <c r="S2032" s="13"/>
      <c r="T2032" s="13">
        <f t="shared" ref="T2032:Y2032" si="2233">IF(ISBLANK(K2032)=TRUE,0,1)</f>
        <v>1</v>
      </c>
      <c r="U2032" s="13">
        <f t="shared" si="2233"/>
        <v>1</v>
      </c>
      <c r="V2032" s="13">
        <f t="shared" si="2233"/>
        <v>0</v>
      </c>
      <c r="W2032" s="13">
        <f t="shared" si="2233"/>
        <v>0</v>
      </c>
      <c r="X2032" s="13">
        <f t="shared" si="2233"/>
        <v>1</v>
      </c>
      <c r="Y2032" s="13">
        <f t="shared" si="2233"/>
        <v>1</v>
      </c>
      <c r="Z2032" s="13">
        <f t="shared" si="1998"/>
        <v>0</v>
      </c>
      <c r="AA2032" s="13" t="s">
        <v>561</v>
      </c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</row>
    <row r="2033" ht="14.25" customHeight="1">
      <c r="A2033" s="13" t="s">
        <v>36</v>
      </c>
      <c r="B2033" s="13" t="s">
        <v>42</v>
      </c>
      <c r="C2033" s="13" t="s">
        <v>1167</v>
      </c>
      <c r="D2033" s="13"/>
      <c r="E2033" s="13" t="str">
        <f t="shared" si="1988"/>
        <v>SFAEF,8B-3,,0</v>
      </c>
      <c r="F2033" s="13"/>
      <c r="G2033" s="13" t="s">
        <v>111</v>
      </c>
      <c r="H2033" s="13" t="s">
        <v>75</v>
      </c>
      <c r="I2033" s="13"/>
      <c r="J2033" s="13"/>
      <c r="K2033" s="15"/>
      <c r="L2033" s="15"/>
      <c r="M2033" s="16"/>
      <c r="N2033" s="16"/>
      <c r="O2033" s="17">
        <v>0.0</v>
      </c>
      <c r="P2033" s="17">
        <v>0.0</v>
      </c>
      <c r="Q2033" s="13"/>
      <c r="R2033" s="14">
        <v>44973.0</v>
      </c>
      <c r="S2033" s="13"/>
      <c r="T2033" s="13">
        <f t="shared" ref="T2033:Y2033" si="2234">IF(ISBLANK(K2033)=TRUE,0,1)</f>
        <v>0</v>
      </c>
      <c r="U2033" s="13">
        <f t="shared" si="2234"/>
        <v>0</v>
      </c>
      <c r="V2033" s="13">
        <f t="shared" si="2234"/>
        <v>0</v>
      </c>
      <c r="W2033" s="13">
        <f t="shared" si="2234"/>
        <v>0</v>
      </c>
      <c r="X2033" s="13">
        <f t="shared" si="2234"/>
        <v>1</v>
      </c>
      <c r="Y2033" s="13">
        <f t="shared" si="2234"/>
        <v>1</v>
      </c>
      <c r="Z2033" s="13">
        <f t="shared" si="1998"/>
        <v>0</v>
      </c>
      <c r="AA2033" s="13"/>
      <c r="AB2033" s="13"/>
      <c r="AC2033" s="13"/>
      <c r="AD2033" s="13"/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</row>
    <row r="2034" ht="14.25" customHeight="1">
      <c r="A2034" s="13" t="s">
        <v>36</v>
      </c>
      <c r="B2034" s="13" t="s">
        <v>42</v>
      </c>
      <c r="C2034" s="13" t="s">
        <v>1168</v>
      </c>
      <c r="D2034" s="13"/>
      <c r="E2034" s="13" t="str">
        <f t="shared" si="1988"/>
        <v>SFAEF,8B-4,,0</v>
      </c>
      <c r="F2034" s="13"/>
      <c r="G2034" s="13" t="s">
        <v>111</v>
      </c>
      <c r="H2034" s="13" t="s">
        <v>75</v>
      </c>
      <c r="I2034" s="13"/>
      <c r="J2034" s="13"/>
      <c r="K2034" s="15"/>
      <c r="L2034" s="15"/>
      <c r="M2034" s="16"/>
      <c r="N2034" s="16"/>
      <c r="O2034" s="17">
        <v>0.0</v>
      </c>
      <c r="P2034" s="17">
        <v>0.0</v>
      </c>
      <c r="Q2034" s="13"/>
      <c r="R2034" s="14">
        <v>44973.0</v>
      </c>
      <c r="S2034" s="13"/>
      <c r="T2034" s="13">
        <f t="shared" ref="T2034:Y2034" si="2235">IF(ISBLANK(K2034)=TRUE,0,1)</f>
        <v>0</v>
      </c>
      <c r="U2034" s="13">
        <f t="shared" si="2235"/>
        <v>0</v>
      </c>
      <c r="V2034" s="13">
        <f t="shared" si="2235"/>
        <v>0</v>
      </c>
      <c r="W2034" s="13">
        <f t="shared" si="2235"/>
        <v>0</v>
      </c>
      <c r="X2034" s="13">
        <f t="shared" si="2235"/>
        <v>1</v>
      </c>
      <c r="Y2034" s="13">
        <f t="shared" si="2235"/>
        <v>1</v>
      </c>
      <c r="Z2034" s="13">
        <f t="shared" si="1998"/>
        <v>0</v>
      </c>
      <c r="AA2034" s="13"/>
      <c r="AB2034" s="13"/>
      <c r="AC2034" s="13"/>
      <c r="AD2034" s="13"/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</row>
    <row r="2035" ht="14.25" customHeight="1">
      <c r="A2035" s="13" t="s">
        <v>36</v>
      </c>
      <c r="B2035" s="13" t="s">
        <v>42</v>
      </c>
      <c r="C2035" s="13" t="s">
        <v>1169</v>
      </c>
      <c r="D2035" s="13"/>
      <c r="E2035" s="13" t="str">
        <f t="shared" si="1988"/>
        <v>SFAEF,8B-5,,NA</v>
      </c>
      <c r="F2035" s="13"/>
      <c r="G2035" s="13" t="s">
        <v>111</v>
      </c>
      <c r="H2035" s="13" t="s">
        <v>75</v>
      </c>
      <c r="I2035" s="13"/>
      <c r="J2035" s="13"/>
      <c r="K2035" s="15"/>
      <c r="L2035" s="15"/>
      <c r="M2035" s="16"/>
      <c r="N2035" s="16"/>
      <c r="O2035" s="17"/>
      <c r="P2035" s="17"/>
      <c r="Q2035" s="13"/>
      <c r="R2035" s="13"/>
      <c r="S2035" s="13"/>
      <c r="T2035" s="13">
        <f t="shared" ref="T2035:Y2035" si="2236">IF(ISBLANK(K2035)=TRUE,0,1)</f>
        <v>0</v>
      </c>
      <c r="U2035" s="13">
        <f t="shared" si="2236"/>
        <v>0</v>
      </c>
      <c r="V2035" s="13">
        <f t="shared" si="2236"/>
        <v>0</v>
      </c>
      <c r="W2035" s="13">
        <f t="shared" si="2236"/>
        <v>0</v>
      </c>
      <c r="X2035" s="13">
        <f t="shared" si="2236"/>
        <v>0</v>
      </c>
      <c r="Y2035" s="13">
        <f t="shared" si="2236"/>
        <v>0</v>
      </c>
      <c r="Z2035" s="13" t="str">
        <f t="shared" si="1998"/>
        <v>NA</v>
      </c>
      <c r="AA2035" s="13"/>
      <c r="AB2035" s="13"/>
      <c r="AC2035" s="13"/>
      <c r="AD2035" s="13"/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</row>
    <row r="2036" ht="14.25" customHeight="1">
      <c r="A2036" s="13" t="s">
        <v>36</v>
      </c>
      <c r="B2036" s="13" t="s">
        <v>42</v>
      </c>
      <c r="C2036" s="13" t="s">
        <v>1170</v>
      </c>
      <c r="D2036" s="13"/>
      <c r="E2036" s="13" t="str">
        <f t="shared" si="1988"/>
        <v>SFAEF,8B-6,,0</v>
      </c>
      <c r="F2036" s="13"/>
      <c r="G2036" s="13" t="s">
        <v>111</v>
      </c>
      <c r="H2036" s="13" t="s">
        <v>75</v>
      </c>
      <c r="I2036" s="13"/>
      <c r="J2036" s="13"/>
      <c r="K2036" s="15"/>
      <c r="L2036" s="15"/>
      <c r="M2036" s="16"/>
      <c r="N2036" s="16"/>
      <c r="O2036" s="17">
        <v>0.0</v>
      </c>
      <c r="P2036" s="17">
        <v>0.0</v>
      </c>
      <c r="Q2036" s="13"/>
      <c r="R2036" s="14">
        <v>44973.0</v>
      </c>
      <c r="S2036" s="13"/>
      <c r="T2036" s="13">
        <f t="shared" ref="T2036:Y2036" si="2237">IF(ISBLANK(K2036)=TRUE,0,1)</f>
        <v>0</v>
      </c>
      <c r="U2036" s="13">
        <f t="shared" si="2237"/>
        <v>0</v>
      </c>
      <c r="V2036" s="13">
        <f t="shared" si="2237"/>
        <v>0</v>
      </c>
      <c r="W2036" s="13">
        <f t="shared" si="2237"/>
        <v>0</v>
      </c>
      <c r="X2036" s="13">
        <f t="shared" si="2237"/>
        <v>1</v>
      </c>
      <c r="Y2036" s="13">
        <f t="shared" si="2237"/>
        <v>1</v>
      </c>
      <c r="Z2036" s="13">
        <f t="shared" si="1998"/>
        <v>0</v>
      </c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</row>
    <row r="2037" ht="14.25" customHeight="1">
      <c r="A2037" s="13" t="s">
        <v>36</v>
      </c>
      <c r="B2037" s="13" t="s">
        <v>42</v>
      </c>
      <c r="C2037" s="13" t="s">
        <v>1171</v>
      </c>
      <c r="D2037" s="13"/>
      <c r="E2037" s="13" t="str">
        <f t="shared" si="1988"/>
        <v>SFAEF,8B-7,,0</v>
      </c>
      <c r="F2037" s="13"/>
      <c r="G2037" s="13" t="s">
        <v>111</v>
      </c>
      <c r="H2037" s="13" t="s">
        <v>75</v>
      </c>
      <c r="I2037" s="13"/>
      <c r="J2037" s="13"/>
      <c r="K2037" s="15">
        <v>0.0</v>
      </c>
      <c r="L2037" s="15">
        <v>0.0</v>
      </c>
      <c r="M2037" s="16"/>
      <c r="N2037" s="16"/>
      <c r="O2037" s="17">
        <v>0.0</v>
      </c>
      <c r="P2037" s="17">
        <v>0.0</v>
      </c>
      <c r="Q2037" s="13"/>
      <c r="R2037" s="14">
        <v>44973.0</v>
      </c>
      <c r="S2037" s="13"/>
      <c r="T2037" s="13">
        <f t="shared" ref="T2037:Y2037" si="2238">IF(ISBLANK(K2037)=TRUE,0,1)</f>
        <v>1</v>
      </c>
      <c r="U2037" s="13">
        <f t="shared" si="2238"/>
        <v>1</v>
      </c>
      <c r="V2037" s="13">
        <f t="shared" si="2238"/>
        <v>0</v>
      </c>
      <c r="W2037" s="13">
        <f t="shared" si="2238"/>
        <v>0</v>
      </c>
      <c r="X2037" s="13">
        <f t="shared" si="2238"/>
        <v>1</v>
      </c>
      <c r="Y2037" s="13">
        <f t="shared" si="2238"/>
        <v>1</v>
      </c>
      <c r="Z2037" s="13">
        <f t="shared" si="1998"/>
        <v>0</v>
      </c>
      <c r="AA2037" s="13" t="s">
        <v>561</v>
      </c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</row>
    <row r="2038" ht="14.25" customHeight="1">
      <c r="A2038" s="13" t="s">
        <v>36</v>
      </c>
      <c r="B2038" s="13" t="s">
        <v>42</v>
      </c>
      <c r="C2038" s="13" t="s">
        <v>1172</v>
      </c>
      <c r="D2038" s="13"/>
      <c r="E2038" s="13" t="str">
        <f t="shared" si="1988"/>
        <v>SFAEF,8B-8,,NA</v>
      </c>
      <c r="F2038" s="13"/>
      <c r="G2038" s="13" t="s">
        <v>111</v>
      </c>
      <c r="H2038" s="13" t="s">
        <v>75</v>
      </c>
      <c r="I2038" s="13"/>
      <c r="J2038" s="13"/>
      <c r="K2038" s="15"/>
      <c r="L2038" s="15"/>
      <c r="M2038" s="16"/>
      <c r="N2038" s="16"/>
      <c r="O2038" s="17"/>
      <c r="P2038" s="17"/>
      <c r="Q2038" s="13"/>
      <c r="R2038" s="13"/>
      <c r="S2038" s="13"/>
      <c r="T2038" s="13">
        <f t="shared" ref="T2038:Y2038" si="2239">IF(ISBLANK(K2038)=TRUE,0,1)</f>
        <v>0</v>
      </c>
      <c r="U2038" s="13">
        <f t="shared" si="2239"/>
        <v>0</v>
      </c>
      <c r="V2038" s="13">
        <f t="shared" si="2239"/>
        <v>0</v>
      </c>
      <c r="W2038" s="13">
        <f t="shared" si="2239"/>
        <v>0</v>
      </c>
      <c r="X2038" s="13">
        <f t="shared" si="2239"/>
        <v>0</v>
      </c>
      <c r="Y2038" s="13">
        <f t="shared" si="2239"/>
        <v>0</v>
      </c>
      <c r="Z2038" s="13" t="str">
        <f t="shared" si="1998"/>
        <v>NA</v>
      </c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</row>
    <row r="2039" ht="14.25" customHeight="1">
      <c r="A2039" s="13" t="s">
        <v>36</v>
      </c>
      <c r="B2039" s="13" t="s">
        <v>42</v>
      </c>
      <c r="C2039" s="13" t="s">
        <v>1173</v>
      </c>
      <c r="D2039" s="13"/>
      <c r="E2039" s="13" t="str">
        <f t="shared" si="1988"/>
        <v>SFAEF,8B-9,,0</v>
      </c>
      <c r="F2039" s="13"/>
      <c r="G2039" s="13" t="s">
        <v>111</v>
      </c>
      <c r="H2039" s="13" t="s">
        <v>75</v>
      </c>
      <c r="I2039" s="13"/>
      <c r="J2039" s="13"/>
      <c r="K2039" s="15"/>
      <c r="L2039" s="15"/>
      <c r="M2039" s="16"/>
      <c r="N2039" s="16"/>
      <c r="O2039" s="17">
        <v>0.0</v>
      </c>
      <c r="P2039" s="17">
        <v>0.0</v>
      </c>
      <c r="Q2039" s="13"/>
      <c r="R2039" s="14">
        <v>44973.0</v>
      </c>
      <c r="S2039" s="13"/>
      <c r="T2039" s="13">
        <f t="shared" ref="T2039:Y2039" si="2240">IF(ISBLANK(K2039)=TRUE,0,1)</f>
        <v>0</v>
      </c>
      <c r="U2039" s="13">
        <f t="shared" si="2240"/>
        <v>0</v>
      </c>
      <c r="V2039" s="13">
        <f t="shared" si="2240"/>
        <v>0</v>
      </c>
      <c r="W2039" s="13">
        <f t="shared" si="2240"/>
        <v>0</v>
      </c>
      <c r="X2039" s="13">
        <f t="shared" si="2240"/>
        <v>1</v>
      </c>
      <c r="Y2039" s="13">
        <f t="shared" si="2240"/>
        <v>1</v>
      </c>
      <c r="Z2039" s="13">
        <f t="shared" si="1998"/>
        <v>0</v>
      </c>
      <c r="AA2039" s="13"/>
      <c r="AB2039" s="13"/>
      <c r="AC2039" s="13"/>
      <c r="AD2039" s="13"/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</row>
    <row r="2040" ht="14.25" customHeight="1">
      <c r="A2040" s="13" t="s">
        <v>36</v>
      </c>
      <c r="B2040" s="13" t="s">
        <v>42</v>
      </c>
      <c r="C2040" s="13" t="s">
        <v>1174</v>
      </c>
      <c r="D2040" s="13"/>
      <c r="E2040" s="13" t="str">
        <f t="shared" si="1988"/>
        <v>SFAEF,A-1,,NA</v>
      </c>
      <c r="F2040" s="13"/>
      <c r="G2040" s="13" t="s">
        <v>111</v>
      </c>
      <c r="H2040" s="13" t="s">
        <v>107</v>
      </c>
      <c r="I2040" s="14">
        <v>44862.0</v>
      </c>
      <c r="J2040" s="14"/>
      <c r="K2040" s="15"/>
      <c r="L2040" s="15"/>
      <c r="M2040" s="16"/>
      <c r="N2040" s="16"/>
      <c r="O2040" s="17"/>
      <c r="P2040" s="17"/>
      <c r="Q2040" s="13">
        <f t="shared" ref="Q2040:Q2090" si="2242">K2039+L2039+M2039+N2039+O2039+P2039/6</f>
        <v>0</v>
      </c>
      <c r="R2040" s="13"/>
      <c r="S2040" s="13"/>
      <c r="T2040" s="13">
        <f t="shared" ref="T2040:Y2040" si="2241">IF(ISBLANK(K2040)=TRUE,0,1)</f>
        <v>0</v>
      </c>
      <c r="U2040" s="13">
        <f t="shared" si="2241"/>
        <v>0</v>
      </c>
      <c r="V2040" s="13">
        <f t="shared" si="2241"/>
        <v>0</v>
      </c>
      <c r="W2040" s="13">
        <f t="shared" si="2241"/>
        <v>0</v>
      </c>
      <c r="X2040" s="13">
        <f t="shared" si="2241"/>
        <v>0</v>
      </c>
      <c r="Y2040" s="13">
        <f t="shared" si="2241"/>
        <v>0</v>
      </c>
      <c r="Z2040" s="13" t="str">
        <f t="shared" si="1998"/>
        <v>NA</v>
      </c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</row>
    <row r="2041" ht="14.25" customHeight="1">
      <c r="A2041" s="13" t="s">
        <v>36</v>
      </c>
      <c r="B2041" s="13" t="s">
        <v>42</v>
      </c>
      <c r="C2041" s="13" t="s">
        <v>1175</v>
      </c>
      <c r="D2041" s="13"/>
      <c r="E2041" s="13" t="str">
        <f t="shared" si="1988"/>
        <v>SFAEF,A-10,,1</v>
      </c>
      <c r="F2041" s="13"/>
      <c r="G2041" s="13" t="s">
        <v>111</v>
      </c>
      <c r="H2041" s="13" t="s">
        <v>75</v>
      </c>
      <c r="I2041" s="14">
        <v>44862.0</v>
      </c>
      <c r="J2041" s="14"/>
      <c r="K2041" s="15"/>
      <c r="L2041" s="15"/>
      <c r="M2041" s="16"/>
      <c r="N2041" s="16"/>
      <c r="O2041" s="17">
        <v>1.0</v>
      </c>
      <c r="P2041" s="17">
        <v>1.0</v>
      </c>
      <c r="Q2041" s="13">
        <f t="shared" si="2242"/>
        <v>0</v>
      </c>
      <c r="R2041" s="13"/>
      <c r="S2041" s="13"/>
      <c r="T2041" s="13">
        <f t="shared" ref="T2041:Y2041" si="2243">IF(ISBLANK(K2041)=TRUE,0,1)</f>
        <v>0</v>
      </c>
      <c r="U2041" s="13">
        <f t="shared" si="2243"/>
        <v>0</v>
      </c>
      <c r="V2041" s="13">
        <f t="shared" si="2243"/>
        <v>0</v>
      </c>
      <c r="W2041" s="13">
        <f t="shared" si="2243"/>
        <v>0</v>
      </c>
      <c r="X2041" s="13">
        <f t="shared" si="2243"/>
        <v>1</v>
      </c>
      <c r="Y2041" s="13">
        <f t="shared" si="2243"/>
        <v>1</v>
      </c>
      <c r="Z2041" s="13">
        <f t="shared" si="1998"/>
        <v>1</v>
      </c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</row>
    <row r="2042" ht="14.25" customHeight="1">
      <c r="A2042" s="13" t="s">
        <v>36</v>
      </c>
      <c r="B2042" s="13" t="s">
        <v>42</v>
      </c>
      <c r="C2042" s="13" t="s">
        <v>1176</v>
      </c>
      <c r="D2042" s="13"/>
      <c r="E2042" s="13" t="str">
        <f t="shared" si="1988"/>
        <v>SFAEF,A-11,,NA</v>
      </c>
      <c r="F2042" s="13"/>
      <c r="G2042" s="13" t="s">
        <v>111</v>
      </c>
      <c r="H2042" s="13" t="s">
        <v>107</v>
      </c>
      <c r="I2042" s="14">
        <v>44862.0</v>
      </c>
      <c r="J2042" s="14"/>
      <c r="K2042" s="15"/>
      <c r="L2042" s="15"/>
      <c r="M2042" s="16"/>
      <c r="N2042" s="16"/>
      <c r="O2042" s="17"/>
      <c r="P2042" s="17"/>
      <c r="Q2042" s="13">
        <f t="shared" si="2242"/>
        <v>1.166666667</v>
      </c>
      <c r="R2042" s="13"/>
      <c r="S2042" s="13"/>
      <c r="T2042" s="13">
        <f t="shared" ref="T2042:Y2042" si="2244">IF(ISBLANK(K2042)=TRUE,0,1)</f>
        <v>0</v>
      </c>
      <c r="U2042" s="13">
        <f t="shared" si="2244"/>
        <v>0</v>
      </c>
      <c r="V2042" s="13">
        <f t="shared" si="2244"/>
        <v>0</v>
      </c>
      <c r="W2042" s="13">
        <f t="shared" si="2244"/>
        <v>0</v>
      </c>
      <c r="X2042" s="13">
        <f t="shared" si="2244"/>
        <v>0</v>
      </c>
      <c r="Y2042" s="13">
        <f t="shared" si="2244"/>
        <v>0</v>
      </c>
      <c r="Z2042" s="13" t="str">
        <f t="shared" si="1998"/>
        <v>NA</v>
      </c>
      <c r="AA2042" s="13"/>
      <c r="AB2042" s="13"/>
      <c r="AC2042" s="13"/>
      <c r="AD2042" s="13"/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</row>
    <row r="2043" ht="14.25" customHeight="1">
      <c r="A2043" s="13" t="s">
        <v>36</v>
      </c>
      <c r="B2043" s="13" t="s">
        <v>42</v>
      </c>
      <c r="C2043" s="13" t="s">
        <v>1177</v>
      </c>
      <c r="D2043" s="13"/>
      <c r="E2043" s="13" t="str">
        <f t="shared" si="1988"/>
        <v>SFAEF,A-12,,NA</v>
      </c>
      <c r="F2043" s="13"/>
      <c r="G2043" s="13" t="s">
        <v>111</v>
      </c>
      <c r="H2043" s="13" t="s">
        <v>107</v>
      </c>
      <c r="I2043" s="14">
        <v>44862.0</v>
      </c>
      <c r="J2043" s="14"/>
      <c r="K2043" s="15"/>
      <c r="L2043" s="15"/>
      <c r="M2043" s="16"/>
      <c r="N2043" s="16"/>
      <c r="O2043" s="17"/>
      <c r="P2043" s="17"/>
      <c r="Q2043" s="13">
        <f t="shared" si="2242"/>
        <v>0</v>
      </c>
      <c r="R2043" s="13"/>
      <c r="S2043" s="13"/>
      <c r="T2043" s="13">
        <f t="shared" ref="T2043:Y2043" si="2245">IF(ISBLANK(K2043)=TRUE,0,1)</f>
        <v>0</v>
      </c>
      <c r="U2043" s="13">
        <f t="shared" si="2245"/>
        <v>0</v>
      </c>
      <c r="V2043" s="13">
        <f t="shared" si="2245"/>
        <v>0</v>
      </c>
      <c r="W2043" s="13">
        <f t="shared" si="2245"/>
        <v>0</v>
      </c>
      <c r="X2043" s="13">
        <f t="shared" si="2245"/>
        <v>0</v>
      </c>
      <c r="Y2043" s="13">
        <f t="shared" si="2245"/>
        <v>0</v>
      </c>
      <c r="Z2043" s="13" t="str">
        <f t="shared" si="1998"/>
        <v>NA</v>
      </c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</row>
    <row r="2044" ht="14.25" customHeight="1">
      <c r="A2044" s="13" t="s">
        <v>36</v>
      </c>
      <c r="B2044" s="13" t="s">
        <v>42</v>
      </c>
      <c r="C2044" s="13" t="s">
        <v>1178</v>
      </c>
      <c r="D2044" s="13"/>
      <c r="E2044" s="13" t="str">
        <f t="shared" si="1988"/>
        <v>SFAEF,A-13,,NA</v>
      </c>
      <c r="F2044" s="13"/>
      <c r="G2044" s="13" t="s">
        <v>111</v>
      </c>
      <c r="H2044" s="13" t="s">
        <v>107</v>
      </c>
      <c r="I2044" s="14">
        <v>44862.0</v>
      </c>
      <c r="J2044" s="14"/>
      <c r="K2044" s="15"/>
      <c r="L2044" s="15"/>
      <c r="M2044" s="16"/>
      <c r="N2044" s="16"/>
      <c r="O2044" s="17"/>
      <c r="P2044" s="17"/>
      <c r="Q2044" s="13">
        <f t="shared" si="2242"/>
        <v>0</v>
      </c>
      <c r="R2044" s="13"/>
      <c r="S2044" s="13"/>
      <c r="T2044" s="13">
        <f t="shared" ref="T2044:Y2044" si="2246">IF(ISBLANK(K2044)=TRUE,0,1)</f>
        <v>0</v>
      </c>
      <c r="U2044" s="13">
        <f t="shared" si="2246"/>
        <v>0</v>
      </c>
      <c r="V2044" s="13">
        <f t="shared" si="2246"/>
        <v>0</v>
      </c>
      <c r="W2044" s="13">
        <f t="shared" si="2246"/>
        <v>0</v>
      </c>
      <c r="X2044" s="13">
        <f t="shared" si="2246"/>
        <v>0</v>
      </c>
      <c r="Y2044" s="13">
        <f t="shared" si="2246"/>
        <v>0</v>
      </c>
      <c r="Z2044" s="13" t="str">
        <f t="shared" si="1998"/>
        <v>NA</v>
      </c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</row>
    <row r="2045" ht="14.25" customHeight="1">
      <c r="A2045" s="13" t="s">
        <v>36</v>
      </c>
      <c r="B2045" s="13" t="s">
        <v>42</v>
      </c>
      <c r="C2045" s="13" t="s">
        <v>1179</v>
      </c>
      <c r="D2045" s="13"/>
      <c r="E2045" s="13" t="str">
        <f t="shared" si="1988"/>
        <v>SFAEF,A-14,,NA</v>
      </c>
      <c r="F2045" s="13"/>
      <c r="G2045" s="13" t="s">
        <v>111</v>
      </c>
      <c r="H2045" s="13" t="s">
        <v>107</v>
      </c>
      <c r="I2045" s="14">
        <v>44862.0</v>
      </c>
      <c r="J2045" s="14"/>
      <c r="K2045" s="15"/>
      <c r="L2045" s="15"/>
      <c r="M2045" s="16"/>
      <c r="N2045" s="16"/>
      <c r="O2045" s="17"/>
      <c r="P2045" s="17"/>
      <c r="Q2045" s="13">
        <f t="shared" si="2242"/>
        <v>0</v>
      </c>
      <c r="R2045" s="13"/>
      <c r="S2045" s="13"/>
      <c r="T2045" s="13">
        <f t="shared" ref="T2045:Y2045" si="2247">IF(ISBLANK(K2045)=TRUE,0,1)</f>
        <v>0</v>
      </c>
      <c r="U2045" s="13">
        <f t="shared" si="2247"/>
        <v>0</v>
      </c>
      <c r="V2045" s="13">
        <f t="shared" si="2247"/>
        <v>0</v>
      </c>
      <c r="W2045" s="13">
        <f t="shared" si="2247"/>
        <v>0</v>
      </c>
      <c r="X2045" s="13">
        <f t="shared" si="2247"/>
        <v>0</v>
      </c>
      <c r="Y2045" s="13">
        <f t="shared" si="2247"/>
        <v>0</v>
      </c>
      <c r="Z2045" s="13" t="str">
        <f t="shared" si="1998"/>
        <v>NA</v>
      </c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</row>
    <row r="2046" ht="14.25" customHeight="1">
      <c r="A2046" s="13" t="s">
        <v>36</v>
      </c>
      <c r="B2046" s="13" t="s">
        <v>42</v>
      </c>
      <c r="C2046" s="13" t="s">
        <v>1180</v>
      </c>
      <c r="D2046" s="13"/>
      <c r="E2046" s="13" t="str">
        <f t="shared" si="1988"/>
        <v>SFAEF,A-15,,NA</v>
      </c>
      <c r="F2046" s="13"/>
      <c r="G2046" s="13" t="s">
        <v>111</v>
      </c>
      <c r="H2046" s="13" t="s">
        <v>75</v>
      </c>
      <c r="I2046" s="14">
        <v>44862.0</v>
      </c>
      <c r="J2046" s="14"/>
      <c r="K2046" s="15"/>
      <c r="L2046" s="15"/>
      <c r="M2046" s="16"/>
      <c r="N2046" s="16"/>
      <c r="O2046" s="17"/>
      <c r="P2046" s="17"/>
      <c r="Q2046" s="13">
        <f t="shared" si="2242"/>
        <v>0</v>
      </c>
      <c r="R2046" s="13"/>
      <c r="S2046" s="13"/>
      <c r="T2046" s="13">
        <f t="shared" ref="T2046:Y2046" si="2248">IF(ISBLANK(K2046)=TRUE,0,1)</f>
        <v>0</v>
      </c>
      <c r="U2046" s="13">
        <f t="shared" si="2248"/>
        <v>0</v>
      </c>
      <c r="V2046" s="13">
        <f t="shared" si="2248"/>
        <v>0</v>
      </c>
      <c r="W2046" s="13">
        <f t="shared" si="2248"/>
        <v>0</v>
      </c>
      <c r="X2046" s="13">
        <f t="shared" si="2248"/>
        <v>0</v>
      </c>
      <c r="Y2046" s="13">
        <f t="shared" si="2248"/>
        <v>0</v>
      </c>
      <c r="Z2046" s="13" t="str">
        <f t="shared" si="1998"/>
        <v>NA</v>
      </c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</row>
    <row r="2047" ht="14.25" customHeight="1">
      <c r="A2047" s="13" t="s">
        <v>36</v>
      </c>
      <c r="B2047" s="13" t="s">
        <v>42</v>
      </c>
      <c r="C2047" s="13" t="s">
        <v>1181</v>
      </c>
      <c r="D2047" s="13"/>
      <c r="E2047" s="13" t="str">
        <f t="shared" si="1988"/>
        <v>SFAEF,A-16,,NA</v>
      </c>
      <c r="F2047" s="13"/>
      <c r="G2047" s="13" t="s">
        <v>111</v>
      </c>
      <c r="H2047" s="13" t="s">
        <v>107</v>
      </c>
      <c r="I2047" s="14">
        <v>44862.0</v>
      </c>
      <c r="J2047" s="14"/>
      <c r="K2047" s="15"/>
      <c r="L2047" s="15"/>
      <c r="M2047" s="16"/>
      <c r="N2047" s="16"/>
      <c r="O2047" s="17"/>
      <c r="P2047" s="17"/>
      <c r="Q2047" s="13">
        <f t="shared" si="2242"/>
        <v>0</v>
      </c>
      <c r="R2047" s="13"/>
      <c r="S2047" s="13"/>
      <c r="T2047" s="13">
        <f t="shared" ref="T2047:Y2047" si="2249">IF(ISBLANK(K2047)=TRUE,0,1)</f>
        <v>0</v>
      </c>
      <c r="U2047" s="13">
        <f t="shared" si="2249"/>
        <v>0</v>
      </c>
      <c r="V2047" s="13">
        <f t="shared" si="2249"/>
        <v>0</v>
      </c>
      <c r="W2047" s="13">
        <f t="shared" si="2249"/>
        <v>0</v>
      </c>
      <c r="X2047" s="13">
        <f t="shared" si="2249"/>
        <v>0</v>
      </c>
      <c r="Y2047" s="13">
        <f t="shared" si="2249"/>
        <v>0</v>
      </c>
      <c r="Z2047" s="13" t="str">
        <f t="shared" si="1998"/>
        <v>NA</v>
      </c>
      <c r="AA2047" s="13"/>
      <c r="AB2047" s="13"/>
      <c r="AC2047" s="13"/>
      <c r="AD2047" s="13"/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</row>
    <row r="2048" ht="14.25" customHeight="1">
      <c r="A2048" s="13" t="s">
        <v>36</v>
      </c>
      <c r="B2048" s="13" t="s">
        <v>42</v>
      </c>
      <c r="C2048" s="13" t="s">
        <v>1182</v>
      </c>
      <c r="D2048" s="13"/>
      <c r="E2048" s="13" t="str">
        <f t="shared" si="1988"/>
        <v>SFAEF,A-17,,NA</v>
      </c>
      <c r="F2048" s="13"/>
      <c r="G2048" s="13" t="s">
        <v>111</v>
      </c>
      <c r="H2048" s="13" t="s">
        <v>75</v>
      </c>
      <c r="I2048" s="14">
        <v>44862.0</v>
      </c>
      <c r="J2048" s="14"/>
      <c r="K2048" s="15"/>
      <c r="L2048" s="15"/>
      <c r="M2048" s="16"/>
      <c r="N2048" s="16"/>
      <c r="O2048" s="17"/>
      <c r="P2048" s="17"/>
      <c r="Q2048" s="13">
        <f t="shared" si="2242"/>
        <v>0</v>
      </c>
      <c r="R2048" s="13"/>
      <c r="S2048" s="13"/>
      <c r="T2048" s="13">
        <f t="shared" ref="T2048:Y2048" si="2250">IF(ISBLANK(K2048)=TRUE,0,1)</f>
        <v>0</v>
      </c>
      <c r="U2048" s="13">
        <f t="shared" si="2250"/>
        <v>0</v>
      </c>
      <c r="V2048" s="13">
        <f t="shared" si="2250"/>
        <v>0</v>
      </c>
      <c r="W2048" s="13">
        <f t="shared" si="2250"/>
        <v>0</v>
      </c>
      <c r="X2048" s="13">
        <f t="shared" si="2250"/>
        <v>0</v>
      </c>
      <c r="Y2048" s="13">
        <f t="shared" si="2250"/>
        <v>0</v>
      </c>
      <c r="Z2048" s="13" t="str">
        <f t="shared" si="1998"/>
        <v>NA</v>
      </c>
      <c r="AA2048" s="13"/>
      <c r="AB2048" s="13"/>
      <c r="AC2048" s="13"/>
      <c r="AD2048" s="13"/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</row>
    <row r="2049" ht="14.25" customHeight="1">
      <c r="A2049" s="13" t="s">
        <v>36</v>
      </c>
      <c r="B2049" s="13" t="s">
        <v>42</v>
      </c>
      <c r="C2049" s="13" t="s">
        <v>1183</v>
      </c>
      <c r="D2049" s="13"/>
      <c r="E2049" s="13" t="str">
        <f t="shared" si="1988"/>
        <v>SFAEF,A-18,,NA</v>
      </c>
      <c r="F2049" s="13"/>
      <c r="G2049" s="13" t="s">
        <v>111</v>
      </c>
      <c r="H2049" s="13" t="s">
        <v>107</v>
      </c>
      <c r="I2049" s="14">
        <v>44862.0</v>
      </c>
      <c r="J2049" s="14"/>
      <c r="K2049" s="15"/>
      <c r="L2049" s="15"/>
      <c r="M2049" s="16"/>
      <c r="N2049" s="16"/>
      <c r="O2049" s="17"/>
      <c r="P2049" s="17"/>
      <c r="Q2049" s="13">
        <f t="shared" si="2242"/>
        <v>0</v>
      </c>
      <c r="R2049" s="13"/>
      <c r="S2049" s="13"/>
      <c r="T2049" s="13">
        <f t="shared" ref="T2049:Y2049" si="2251">IF(ISBLANK(K2049)=TRUE,0,1)</f>
        <v>0</v>
      </c>
      <c r="U2049" s="13">
        <f t="shared" si="2251"/>
        <v>0</v>
      </c>
      <c r="V2049" s="13">
        <f t="shared" si="2251"/>
        <v>0</v>
      </c>
      <c r="W2049" s="13">
        <f t="shared" si="2251"/>
        <v>0</v>
      </c>
      <c r="X2049" s="13">
        <f t="shared" si="2251"/>
        <v>0</v>
      </c>
      <c r="Y2049" s="13">
        <f t="shared" si="2251"/>
        <v>0</v>
      </c>
      <c r="Z2049" s="13" t="str">
        <f t="shared" si="1998"/>
        <v>NA</v>
      </c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</row>
    <row r="2050" ht="14.25" customHeight="1">
      <c r="A2050" s="13" t="s">
        <v>36</v>
      </c>
      <c r="B2050" s="13" t="s">
        <v>42</v>
      </c>
      <c r="C2050" s="13" t="s">
        <v>1184</v>
      </c>
      <c r="D2050" s="13"/>
      <c r="E2050" s="13" t="str">
        <f t="shared" si="1988"/>
        <v>SFAEF,A-19,,0</v>
      </c>
      <c r="F2050" s="13"/>
      <c r="G2050" s="13" t="s">
        <v>111</v>
      </c>
      <c r="H2050" s="13" t="s">
        <v>75</v>
      </c>
      <c r="I2050" s="13"/>
      <c r="J2050" s="13"/>
      <c r="K2050" s="15">
        <v>0.0</v>
      </c>
      <c r="L2050" s="15">
        <v>0.0</v>
      </c>
      <c r="M2050" s="16"/>
      <c r="N2050" s="16"/>
      <c r="O2050" s="17"/>
      <c r="P2050" s="17"/>
      <c r="Q2050" s="13">
        <f t="shared" si="2242"/>
        <v>0</v>
      </c>
      <c r="R2050" s="13"/>
      <c r="S2050" s="13"/>
      <c r="T2050" s="13">
        <f t="shared" ref="T2050:Y2050" si="2252">IF(ISBLANK(K2050)=TRUE,0,1)</f>
        <v>1</v>
      </c>
      <c r="U2050" s="13">
        <f t="shared" si="2252"/>
        <v>1</v>
      </c>
      <c r="V2050" s="13">
        <f t="shared" si="2252"/>
        <v>0</v>
      </c>
      <c r="W2050" s="13">
        <f t="shared" si="2252"/>
        <v>0</v>
      </c>
      <c r="X2050" s="13">
        <f t="shared" si="2252"/>
        <v>0</v>
      </c>
      <c r="Y2050" s="13">
        <f t="shared" si="2252"/>
        <v>0</v>
      </c>
      <c r="Z2050" s="13">
        <f t="shared" si="1998"/>
        <v>0</v>
      </c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</row>
    <row r="2051" ht="14.25" customHeight="1">
      <c r="A2051" s="13" t="s">
        <v>36</v>
      </c>
      <c r="B2051" s="13" t="s">
        <v>42</v>
      </c>
      <c r="C2051" s="13" t="s">
        <v>1185</v>
      </c>
      <c r="D2051" s="13"/>
      <c r="E2051" s="13" t="str">
        <f t="shared" si="1988"/>
        <v>SFAEF,A-2,,NA</v>
      </c>
      <c r="F2051" s="13"/>
      <c r="G2051" s="13" t="s">
        <v>111</v>
      </c>
      <c r="H2051" s="13" t="s">
        <v>107</v>
      </c>
      <c r="I2051" s="14">
        <v>44862.0</v>
      </c>
      <c r="J2051" s="14"/>
      <c r="K2051" s="15"/>
      <c r="L2051" s="15"/>
      <c r="M2051" s="16"/>
      <c r="N2051" s="16"/>
      <c r="O2051" s="17"/>
      <c r="P2051" s="17"/>
      <c r="Q2051" s="13">
        <f t="shared" si="2242"/>
        <v>0</v>
      </c>
      <c r="R2051" s="13"/>
      <c r="S2051" s="13"/>
      <c r="T2051" s="13">
        <f t="shared" ref="T2051:Y2051" si="2253">IF(ISBLANK(K2051)=TRUE,0,1)</f>
        <v>0</v>
      </c>
      <c r="U2051" s="13">
        <f t="shared" si="2253"/>
        <v>0</v>
      </c>
      <c r="V2051" s="13">
        <f t="shared" si="2253"/>
        <v>0</v>
      </c>
      <c r="W2051" s="13">
        <f t="shared" si="2253"/>
        <v>0</v>
      </c>
      <c r="X2051" s="13">
        <f t="shared" si="2253"/>
        <v>0</v>
      </c>
      <c r="Y2051" s="13">
        <f t="shared" si="2253"/>
        <v>0</v>
      </c>
      <c r="Z2051" s="13" t="str">
        <f t="shared" si="1998"/>
        <v>NA</v>
      </c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</row>
    <row r="2052" ht="14.25" customHeight="1">
      <c r="A2052" s="13" t="s">
        <v>36</v>
      </c>
      <c r="B2052" s="13" t="s">
        <v>42</v>
      </c>
      <c r="C2052" s="13" t="s">
        <v>1186</v>
      </c>
      <c r="D2052" s="13"/>
      <c r="E2052" s="13" t="str">
        <f t="shared" si="1988"/>
        <v>SFAEF,A-20,,0</v>
      </c>
      <c r="F2052" s="13"/>
      <c r="G2052" s="13" t="s">
        <v>111</v>
      </c>
      <c r="H2052" s="13" t="s">
        <v>75</v>
      </c>
      <c r="I2052" s="13"/>
      <c r="J2052" s="13"/>
      <c r="K2052" s="15">
        <v>0.0</v>
      </c>
      <c r="L2052" s="15">
        <v>0.0</v>
      </c>
      <c r="M2052" s="16"/>
      <c r="N2052" s="16"/>
      <c r="O2052" s="17"/>
      <c r="P2052" s="17"/>
      <c r="Q2052" s="13">
        <f t="shared" si="2242"/>
        <v>0</v>
      </c>
      <c r="R2052" s="13"/>
      <c r="S2052" s="13"/>
      <c r="T2052" s="13">
        <f t="shared" ref="T2052:Y2052" si="2254">IF(ISBLANK(K2052)=TRUE,0,1)</f>
        <v>1</v>
      </c>
      <c r="U2052" s="13">
        <f t="shared" si="2254"/>
        <v>1</v>
      </c>
      <c r="V2052" s="13">
        <f t="shared" si="2254"/>
        <v>0</v>
      </c>
      <c r="W2052" s="13">
        <f t="shared" si="2254"/>
        <v>0</v>
      </c>
      <c r="X2052" s="13">
        <f t="shared" si="2254"/>
        <v>0</v>
      </c>
      <c r="Y2052" s="13">
        <f t="shared" si="2254"/>
        <v>0</v>
      </c>
      <c r="Z2052" s="13">
        <f t="shared" si="1998"/>
        <v>0</v>
      </c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</row>
    <row r="2053" ht="14.25" customHeight="1">
      <c r="A2053" s="13" t="s">
        <v>36</v>
      </c>
      <c r="B2053" s="13" t="s">
        <v>42</v>
      </c>
      <c r="C2053" s="13" t="s">
        <v>1187</v>
      </c>
      <c r="D2053" s="13"/>
      <c r="E2053" s="13" t="str">
        <f t="shared" si="1988"/>
        <v>SFAEF,A-21,,0</v>
      </c>
      <c r="F2053" s="13"/>
      <c r="G2053" s="13" t="s">
        <v>111</v>
      </c>
      <c r="H2053" s="13" t="s">
        <v>75</v>
      </c>
      <c r="I2053" s="13"/>
      <c r="J2053" s="13"/>
      <c r="K2053" s="15">
        <v>0.0</v>
      </c>
      <c r="L2053" s="15">
        <v>0.0</v>
      </c>
      <c r="M2053" s="16"/>
      <c r="N2053" s="16"/>
      <c r="O2053" s="17"/>
      <c r="P2053" s="17"/>
      <c r="Q2053" s="13">
        <f t="shared" si="2242"/>
        <v>0</v>
      </c>
      <c r="R2053" s="13"/>
      <c r="S2053" s="13"/>
      <c r="T2053" s="13">
        <f t="shared" ref="T2053:Y2053" si="2255">IF(ISBLANK(K2053)=TRUE,0,1)</f>
        <v>1</v>
      </c>
      <c r="U2053" s="13">
        <f t="shared" si="2255"/>
        <v>1</v>
      </c>
      <c r="V2053" s="13">
        <f t="shared" si="2255"/>
        <v>0</v>
      </c>
      <c r="W2053" s="13">
        <f t="shared" si="2255"/>
        <v>0</v>
      </c>
      <c r="X2053" s="13">
        <f t="shared" si="2255"/>
        <v>0</v>
      </c>
      <c r="Y2053" s="13">
        <f t="shared" si="2255"/>
        <v>0</v>
      </c>
      <c r="Z2053" s="13">
        <f t="shared" si="1998"/>
        <v>0</v>
      </c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</row>
    <row r="2054" ht="14.25" customHeight="1">
      <c r="A2054" s="13" t="s">
        <v>36</v>
      </c>
      <c r="B2054" s="13" t="s">
        <v>42</v>
      </c>
      <c r="C2054" s="13" t="s">
        <v>1188</v>
      </c>
      <c r="D2054" s="13"/>
      <c r="E2054" s="13" t="str">
        <f t="shared" si="1988"/>
        <v>SFAEF,A-22,,0</v>
      </c>
      <c r="F2054" s="13"/>
      <c r="G2054" s="13" t="s">
        <v>111</v>
      </c>
      <c r="H2054" s="13" t="s">
        <v>75</v>
      </c>
      <c r="I2054" s="13"/>
      <c r="J2054" s="13"/>
      <c r="K2054" s="15">
        <v>0.0</v>
      </c>
      <c r="L2054" s="15">
        <v>0.0</v>
      </c>
      <c r="M2054" s="16"/>
      <c r="N2054" s="16"/>
      <c r="O2054" s="17"/>
      <c r="P2054" s="17"/>
      <c r="Q2054" s="13">
        <f t="shared" si="2242"/>
        <v>0</v>
      </c>
      <c r="R2054" s="13"/>
      <c r="S2054" s="13"/>
      <c r="T2054" s="13">
        <f t="shared" ref="T2054:Y2054" si="2256">IF(ISBLANK(K2054)=TRUE,0,1)</f>
        <v>1</v>
      </c>
      <c r="U2054" s="13">
        <f t="shared" si="2256"/>
        <v>1</v>
      </c>
      <c r="V2054" s="13">
        <f t="shared" si="2256"/>
        <v>0</v>
      </c>
      <c r="W2054" s="13">
        <f t="shared" si="2256"/>
        <v>0</v>
      </c>
      <c r="X2054" s="13">
        <f t="shared" si="2256"/>
        <v>0</v>
      </c>
      <c r="Y2054" s="13">
        <f t="shared" si="2256"/>
        <v>0</v>
      </c>
      <c r="Z2054" s="13">
        <f t="shared" si="1998"/>
        <v>0</v>
      </c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</row>
    <row r="2055" ht="14.25" customHeight="1">
      <c r="A2055" s="13" t="s">
        <v>36</v>
      </c>
      <c r="B2055" s="13" t="s">
        <v>42</v>
      </c>
      <c r="C2055" s="13" t="s">
        <v>1189</v>
      </c>
      <c r="D2055" s="13"/>
      <c r="E2055" s="13" t="str">
        <f t="shared" si="1988"/>
        <v>SFAEF,A-23,,0</v>
      </c>
      <c r="F2055" s="13"/>
      <c r="G2055" s="13" t="s">
        <v>111</v>
      </c>
      <c r="H2055" s="13" t="s">
        <v>75</v>
      </c>
      <c r="I2055" s="13"/>
      <c r="J2055" s="13"/>
      <c r="K2055" s="15">
        <v>0.0</v>
      </c>
      <c r="L2055" s="15">
        <v>0.0</v>
      </c>
      <c r="M2055" s="16"/>
      <c r="N2055" s="16"/>
      <c r="O2055" s="17"/>
      <c r="P2055" s="17"/>
      <c r="Q2055" s="13">
        <f t="shared" si="2242"/>
        <v>0</v>
      </c>
      <c r="R2055" s="13"/>
      <c r="S2055" s="13"/>
      <c r="T2055" s="13">
        <f t="shared" ref="T2055:Y2055" si="2257">IF(ISBLANK(K2055)=TRUE,0,1)</f>
        <v>1</v>
      </c>
      <c r="U2055" s="13">
        <f t="shared" si="2257"/>
        <v>1</v>
      </c>
      <c r="V2055" s="13">
        <f t="shared" si="2257"/>
        <v>0</v>
      </c>
      <c r="W2055" s="13">
        <f t="shared" si="2257"/>
        <v>0</v>
      </c>
      <c r="X2055" s="13">
        <f t="shared" si="2257"/>
        <v>0</v>
      </c>
      <c r="Y2055" s="13">
        <f t="shared" si="2257"/>
        <v>0</v>
      </c>
      <c r="Z2055" s="13">
        <f t="shared" si="1998"/>
        <v>0</v>
      </c>
      <c r="AA2055" s="13" t="s">
        <v>561</v>
      </c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</row>
    <row r="2056" ht="14.25" customHeight="1">
      <c r="A2056" s="13" t="s">
        <v>36</v>
      </c>
      <c r="B2056" s="13" t="s">
        <v>42</v>
      </c>
      <c r="C2056" s="13" t="s">
        <v>1190</v>
      </c>
      <c r="D2056" s="13"/>
      <c r="E2056" s="13" t="str">
        <f t="shared" si="1988"/>
        <v>SFAEF,A-3,,NA</v>
      </c>
      <c r="F2056" s="13"/>
      <c r="G2056" s="13" t="s">
        <v>111</v>
      </c>
      <c r="H2056" s="13" t="s">
        <v>107</v>
      </c>
      <c r="I2056" s="14">
        <v>44862.0</v>
      </c>
      <c r="J2056" s="14"/>
      <c r="K2056" s="15"/>
      <c r="L2056" s="15"/>
      <c r="M2056" s="16"/>
      <c r="N2056" s="16"/>
      <c r="O2056" s="17"/>
      <c r="P2056" s="17"/>
      <c r="Q2056" s="13">
        <f t="shared" si="2242"/>
        <v>0</v>
      </c>
      <c r="R2056" s="13"/>
      <c r="S2056" s="13"/>
      <c r="T2056" s="13">
        <f t="shared" ref="T2056:Y2056" si="2258">IF(ISBLANK(K2056)=TRUE,0,1)</f>
        <v>0</v>
      </c>
      <c r="U2056" s="13">
        <f t="shared" si="2258"/>
        <v>0</v>
      </c>
      <c r="V2056" s="13">
        <f t="shared" si="2258"/>
        <v>0</v>
      </c>
      <c r="W2056" s="13">
        <f t="shared" si="2258"/>
        <v>0</v>
      </c>
      <c r="X2056" s="13">
        <f t="shared" si="2258"/>
        <v>0</v>
      </c>
      <c r="Y2056" s="13">
        <f t="shared" si="2258"/>
        <v>0</v>
      </c>
      <c r="Z2056" s="13" t="str">
        <f t="shared" si="1998"/>
        <v>NA</v>
      </c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</row>
    <row r="2057" ht="14.25" customHeight="1">
      <c r="A2057" s="13" t="s">
        <v>36</v>
      </c>
      <c r="B2057" s="13" t="s">
        <v>42</v>
      </c>
      <c r="C2057" s="13" t="s">
        <v>1191</v>
      </c>
      <c r="D2057" s="13"/>
      <c r="E2057" s="13" t="str">
        <f t="shared" si="1988"/>
        <v>SFAEF,A-4,,NA</v>
      </c>
      <c r="F2057" s="13"/>
      <c r="G2057" s="13" t="s">
        <v>111</v>
      </c>
      <c r="H2057" s="13" t="s">
        <v>107</v>
      </c>
      <c r="I2057" s="14">
        <v>44862.0</v>
      </c>
      <c r="J2057" s="14"/>
      <c r="K2057" s="15"/>
      <c r="L2057" s="15"/>
      <c r="M2057" s="16"/>
      <c r="N2057" s="16"/>
      <c r="O2057" s="17"/>
      <c r="P2057" s="17"/>
      <c r="Q2057" s="13">
        <f t="shared" si="2242"/>
        <v>0</v>
      </c>
      <c r="R2057" s="13"/>
      <c r="S2057" s="13"/>
      <c r="T2057" s="13">
        <f t="shared" ref="T2057:Y2057" si="2259">IF(ISBLANK(K2057)=TRUE,0,1)</f>
        <v>0</v>
      </c>
      <c r="U2057" s="13">
        <f t="shared" si="2259"/>
        <v>0</v>
      </c>
      <c r="V2057" s="13">
        <f t="shared" si="2259"/>
        <v>0</v>
      </c>
      <c r="W2057" s="13">
        <f t="shared" si="2259"/>
        <v>0</v>
      </c>
      <c r="X2057" s="13">
        <f t="shared" si="2259"/>
        <v>0</v>
      </c>
      <c r="Y2057" s="13">
        <f t="shared" si="2259"/>
        <v>0</v>
      </c>
      <c r="Z2057" s="13" t="str">
        <f t="shared" si="1998"/>
        <v>NA</v>
      </c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</row>
    <row r="2058" ht="14.25" customHeight="1">
      <c r="A2058" s="13" t="s">
        <v>36</v>
      </c>
      <c r="B2058" s="13" t="s">
        <v>42</v>
      </c>
      <c r="C2058" s="13" t="s">
        <v>1192</v>
      </c>
      <c r="D2058" s="13"/>
      <c r="E2058" s="13" t="str">
        <f t="shared" si="1988"/>
        <v>SFAEF,A-5,,NA</v>
      </c>
      <c r="F2058" s="13"/>
      <c r="G2058" s="13" t="s">
        <v>111</v>
      </c>
      <c r="H2058" s="13" t="s">
        <v>107</v>
      </c>
      <c r="I2058" s="14">
        <v>44862.0</v>
      </c>
      <c r="J2058" s="14"/>
      <c r="K2058" s="15"/>
      <c r="L2058" s="15"/>
      <c r="M2058" s="16"/>
      <c r="N2058" s="16"/>
      <c r="O2058" s="17"/>
      <c r="P2058" s="17"/>
      <c r="Q2058" s="13">
        <f t="shared" si="2242"/>
        <v>0</v>
      </c>
      <c r="R2058" s="13"/>
      <c r="S2058" s="13"/>
      <c r="T2058" s="13">
        <f t="shared" ref="T2058:Y2058" si="2260">IF(ISBLANK(K2058)=TRUE,0,1)</f>
        <v>0</v>
      </c>
      <c r="U2058" s="13">
        <f t="shared" si="2260"/>
        <v>0</v>
      </c>
      <c r="V2058" s="13">
        <f t="shared" si="2260"/>
        <v>0</v>
      </c>
      <c r="W2058" s="13">
        <f t="shared" si="2260"/>
        <v>0</v>
      </c>
      <c r="X2058" s="13">
        <f t="shared" si="2260"/>
        <v>0</v>
      </c>
      <c r="Y2058" s="13">
        <f t="shared" si="2260"/>
        <v>0</v>
      </c>
      <c r="Z2058" s="13" t="str">
        <f t="shared" si="1998"/>
        <v>NA</v>
      </c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</row>
    <row r="2059" ht="14.25" customHeight="1">
      <c r="A2059" s="13" t="s">
        <v>36</v>
      </c>
      <c r="B2059" s="13" t="s">
        <v>42</v>
      </c>
      <c r="C2059" s="13" t="s">
        <v>1193</v>
      </c>
      <c r="D2059" s="13"/>
      <c r="E2059" s="13" t="str">
        <f t="shared" si="1988"/>
        <v>SFAEF,A-6,,NA</v>
      </c>
      <c r="F2059" s="13"/>
      <c r="G2059" s="13" t="s">
        <v>111</v>
      </c>
      <c r="H2059" s="13" t="s">
        <v>107</v>
      </c>
      <c r="I2059" s="14">
        <v>44862.0</v>
      </c>
      <c r="J2059" s="14"/>
      <c r="K2059" s="15"/>
      <c r="L2059" s="15"/>
      <c r="M2059" s="16"/>
      <c r="N2059" s="16"/>
      <c r="O2059" s="17"/>
      <c r="P2059" s="17"/>
      <c r="Q2059" s="13">
        <f t="shared" si="2242"/>
        <v>0</v>
      </c>
      <c r="R2059" s="13"/>
      <c r="S2059" s="13"/>
      <c r="T2059" s="13">
        <f t="shared" ref="T2059:Y2059" si="2261">IF(ISBLANK(K2059)=TRUE,0,1)</f>
        <v>0</v>
      </c>
      <c r="U2059" s="13">
        <f t="shared" si="2261"/>
        <v>0</v>
      </c>
      <c r="V2059" s="13">
        <f t="shared" si="2261"/>
        <v>0</v>
      </c>
      <c r="W2059" s="13">
        <f t="shared" si="2261"/>
        <v>0</v>
      </c>
      <c r="X2059" s="13">
        <f t="shared" si="2261"/>
        <v>0</v>
      </c>
      <c r="Y2059" s="13">
        <f t="shared" si="2261"/>
        <v>0</v>
      </c>
      <c r="Z2059" s="13" t="str">
        <f t="shared" si="1998"/>
        <v>NA</v>
      </c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</row>
    <row r="2060" ht="14.25" customHeight="1">
      <c r="A2060" s="13" t="s">
        <v>36</v>
      </c>
      <c r="B2060" s="13" t="s">
        <v>42</v>
      </c>
      <c r="C2060" s="13" t="s">
        <v>1194</v>
      </c>
      <c r="D2060" s="13"/>
      <c r="E2060" s="13" t="str">
        <f t="shared" si="1988"/>
        <v>SFAEF,A-7,,NA</v>
      </c>
      <c r="F2060" s="13"/>
      <c r="G2060" s="13" t="s">
        <v>111</v>
      </c>
      <c r="H2060" s="13" t="s">
        <v>107</v>
      </c>
      <c r="I2060" s="14">
        <v>44862.0</v>
      </c>
      <c r="J2060" s="14"/>
      <c r="K2060" s="15"/>
      <c r="L2060" s="15"/>
      <c r="M2060" s="16"/>
      <c r="N2060" s="16"/>
      <c r="O2060" s="17"/>
      <c r="P2060" s="17"/>
      <c r="Q2060" s="13">
        <f t="shared" si="2242"/>
        <v>0</v>
      </c>
      <c r="R2060" s="13"/>
      <c r="S2060" s="13"/>
      <c r="T2060" s="13">
        <f t="shared" ref="T2060:Y2060" si="2262">IF(ISBLANK(K2060)=TRUE,0,1)</f>
        <v>0</v>
      </c>
      <c r="U2060" s="13">
        <f t="shared" si="2262"/>
        <v>0</v>
      </c>
      <c r="V2060" s="13">
        <f t="shared" si="2262"/>
        <v>0</v>
      </c>
      <c r="W2060" s="13">
        <f t="shared" si="2262"/>
        <v>0</v>
      </c>
      <c r="X2060" s="13">
        <f t="shared" si="2262"/>
        <v>0</v>
      </c>
      <c r="Y2060" s="13">
        <f t="shared" si="2262"/>
        <v>0</v>
      </c>
      <c r="Z2060" s="13" t="str">
        <f t="shared" si="1998"/>
        <v>NA</v>
      </c>
      <c r="AA2060" s="13"/>
      <c r="AB2060" s="13"/>
      <c r="AC2060" s="13"/>
      <c r="AD2060" s="13"/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</row>
    <row r="2061" ht="14.25" customHeight="1">
      <c r="A2061" s="13" t="s">
        <v>36</v>
      </c>
      <c r="B2061" s="13" t="s">
        <v>42</v>
      </c>
      <c r="C2061" s="13" t="s">
        <v>1195</v>
      </c>
      <c r="D2061" s="13"/>
      <c r="E2061" s="13" t="str">
        <f t="shared" si="1988"/>
        <v>SFAEF,A-8,,NA</v>
      </c>
      <c r="F2061" s="13"/>
      <c r="G2061" s="13" t="s">
        <v>111</v>
      </c>
      <c r="H2061" s="13" t="s">
        <v>107</v>
      </c>
      <c r="I2061" s="14">
        <v>44862.0</v>
      </c>
      <c r="J2061" s="14"/>
      <c r="K2061" s="15"/>
      <c r="L2061" s="15"/>
      <c r="M2061" s="16"/>
      <c r="N2061" s="16"/>
      <c r="O2061" s="17"/>
      <c r="P2061" s="17"/>
      <c r="Q2061" s="13">
        <f t="shared" si="2242"/>
        <v>0</v>
      </c>
      <c r="R2061" s="13"/>
      <c r="S2061" s="13"/>
      <c r="T2061" s="13">
        <f t="shared" ref="T2061:Y2061" si="2263">IF(ISBLANK(K2061)=TRUE,0,1)</f>
        <v>0</v>
      </c>
      <c r="U2061" s="13">
        <f t="shared" si="2263"/>
        <v>0</v>
      </c>
      <c r="V2061" s="13">
        <f t="shared" si="2263"/>
        <v>0</v>
      </c>
      <c r="W2061" s="13">
        <f t="shared" si="2263"/>
        <v>0</v>
      </c>
      <c r="X2061" s="13">
        <f t="shared" si="2263"/>
        <v>0</v>
      </c>
      <c r="Y2061" s="13">
        <f t="shared" si="2263"/>
        <v>0</v>
      </c>
      <c r="Z2061" s="13" t="str">
        <f t="shared" si="1998"/>
        <v>NA</v>
      </c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</row>
    <row r="2062" ht="14.25" customHeight="1">
      <c r="A2062" s="13" t="s">
        <v>36</v>
      </c>
      <c r="B2062" s="13" t="s">
        <v>42</v>
      </c>
      <c r="C2062" s="13" t="s">
        <v>1196</v>
      </c>
      <c r="D2062" s="13"/>
      <c r="E2062" s="13" t="str">
        <f t="shared" si="1988"/>
        <v>SFAEF,A-9,,NA</v>
      </c>
      <c r="F2062" s="13"/>
      <c r="G2062" s="13" t="s">
        <v>111</v>
      </c>
      <c r="H2062" s="13" t="s">
        <v>107</v>
      </c>
      <c r="I2062" s="14">
        <v>44862.0</v>
      </c>
      <c r="J2062" s="14"/>
      <c r="K2062" s="15"/>
      <c r="L2062" s="15"/>
      <c r="M2062" s="16"/>
      <c r="N2062" s="16"/>
      <c r="O2062" s="17"/>
      <c r="P2062" s="17"/>
      <c r="Q2062" s="13">
        <f t="shared" si="2242"/>
        <v>0</v>
      </c>
      <c r="R2062" s="13"/>
      <c r="S2062" s="13"/>
      <c r="T2062" s="13">
        <f t="shared" ref="T2062:Y2062" si="2264">IF(ISBLANK(K2062)=TRUE,0,1)</f>
        <v>0</v>
      </c>
      <c r="U2062" s="13">
        <f t="shared" si="2264"/>
        <v>0</v>
      </c>
      <c r="V2062" s="13">
        <f t="shared" si="2264"/>
        <v>0</v>
      </c>
      <c r="W2062" s="13">
        <f t="shared" si="2264"/>
        <v>0</v>
      </c>
      <c r="X2062" s="13">
        <f t="shared" si="2264"/>
        <v>0</v>
      </c>
      <c r="Y2062" s="13">
        <f t="shared" si="2264"/>
        <v>0</v>
      </c>
      <c r="Z2062" s="13" t="str">
        <f t="shared" si="1998"/>
        <v>NA</v>
      </c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</row>
    <row r="2063" ht="14.25" customHeight="1">
      <c r="A2063" s="13" t="s">
        <v>36</v>
      </c>
      <c r="B2063" s="13" t="s">
        <v>42</v>
      </c>
      <c r="C2063" s="13" t="s">
        <v>1197</v>
      </c>
      <c r="D2063" s="13"/>
      <c r="E2063" s="13" t="str">
        <f t="shared" si="1988"/>
        <v>SFAEF,B-10,,0</v>
      </c>
      <c r="F2063" s="13"/>
      <c r="G2063" s="13" t="s">
        <v>74</v>
      </c>
      <c r="H2063" s="13" t="s">
        <v>75</v>
      </c>
      <c r="I2063" s="13"/>
      <c r="J2063" s="13"/>
      <c r="K2063" s="15">
        <v>0.0</v>
      </c>
      <c r="L2063" s="15">
        <v>0.0</v>
      </c>
      <c r="M2063" s="16"/>
      <c r="N2063" s="16"/>
      <c r="O2063" s="17"/>
      <c r="P2063" s="17"/>
      <c r="Q2063" s="13">
        <f t="shared" si="2242"/>
        <v>0</v>
      </c>
      <c r="R2063" s="13"/>
      <c r="S2063" s="13"/>
      <c r="T2063" s="13">
        <f t="shared" ref="T2063:Y2063" si="2265">IF(ISBLANK(K2063)=TRUE,0,1)</f>
        <v>1</v>
      </c>
      <c r="U2063" s="13">
        <f t="shared" si="2265"/>
        <v>1</v>
      </c>
      <c r="V2063" s="13">
        <f t="shared" si="2265"/>
        <v>0</v>
      </c>
      <c r="W2063" s="13">
        <f t="shared" si="2265"/>
        <v>0</v>
      </c>
      <c r="X2063" s="13">
        <f t="shared" si="2265"/>
        <v>0</v>
      </c>
      <c r="Y2063" s="13">
        <f t="shared" si="2265"/>
        <v>0</v>
      </c>
      <c r="Z2063" s="13">
        <f t="shared" si="1998"/>
        <v>0</v>
      </c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</row>
    <row r="2064" ht="14.25" customHeight="1">
      <c r="A2064" s="13" t="s">
        <v>36</v>
      </c>
      <c r="B2064" s="13" t="s">
        <v>42</v>
      </c>
      <c r="C2064" s="13" t="s">
        <v>1198</v>
      </c>
      <c r="D2064" s="13"/>
      <c r="E2064" s="13" t="str">
        <f t="shared" si="1988"/>
        <v>SFAEF,B-11,,0</v>
      </c>
      <c r="F2064" s="13"/>
      <c r="G2064" s="13" t="s">
        <v>74</v>
      </c>
      <c r="H2064" s="13" t="s">
        <v>75</v>
      </c>
      <c r="I2064" s="13"/>
      <c r="J2064" s="13"/>
      <c r="K2064" s="15">
        <v>0.0</v>
      </c>
      <c r="L2064" s="15">
        <v>0.0</v>
      </c>
      <c r="M2064" s="16"/>
      <c r="N2064" s="16"/>
      <c r="O2064" s="17"/>
      <c r="P2064" s="17"/>
      <c r="Q2064" s="13">
        <f t="shared" si="2242"/>
        <v>0</v>
      </c>
      <c r="R2064" s="13"/>
      <c r="S2064" s="13"/>
      <c r="T2064" s="13">
        <f t="shared" ref="T2064:Y2064" si="2266">IF(ISBLANK(K2064)=TRUE,0,1)</f>
        <v>1</v>
      </c>
      <c r="U2064" s="13">
        <f t="shared" si="2266"/>
        <v>1</v>
      </c>
      <c r="V2064" s="13">
        <f t="shared" si="2266"/>
        <v>0</v>
      </c>
      <c r="W2064" s="13">
        <f t="shared" si="2266"/>
        <v>0</v>
      </c>
      <c r="X2064" s="13">
        <f t="shared" si="2266"/>
        <v>0</v>
      </c>
      <c r="Y2064" s="13">
        <f t="shared" si="2266"/>
        <v>0</v>
      </c>
      <c r="Z2064" s="13">
        <f t="shared" si="1998"/>
        <v>0</v>
      </c>
      <c r="AA2064" s="13" t="s">
        <v>561</v>
      </c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</row>
    <row r="2065" ht="14.25" customHeight="1">
      <c r="A2065" s="13" t="s">
        <v>36</v>
      </c>
      <c r="B2065" s="13" t="s">
        <v>42</v>
      </c>
      <c r="C2065" s="13" t="s">
        <v>1199</v>
      </c>
      <c r="D2065" s="13"/>
      <c r="E2065" s="13" t="str">
        <f t="shared" si="1988"/>
        <v>SFAEF,B-12,,NA</v>
      </c>
      <c r="F2065" s="13"/>
      <c r="G2065" s="13" t="s">
        <v>74</v>
      </c>
      <c r="H2065" s="13" t="s">
        <v>75</v>
      </c>
      <c r="I2065" s="13"/>
      <c r="J2065" s="13"/>
      <c r="K2065" s="15"/>
      <c r="L2065" s="15"/>
      <c r="M2065" s="16"/>
      <c r="N2065" s="16"/>
      <c r="O2065" s="17"/>
      <c r="P2065" s="17"/>
      <c r="Q2065" s="13">
        <f t="shared" si="2242"/>
        <v>0</v>
      </c>
      <c r="R2065" s="13"/>
      <c r="S2065" s="13"/>
      <c r="T2065" s="13">
        <f t="shared" ref="T2065:Y2065" si="2267">IF(ISBLANK(K2065)=TRUE,0,1)</f>
        <v>0</v>
      </c>
      <c r="U2065" s="13">
        <f t="shared" si="2267"/>
        <v>0</v>
      </c>
      <c r="V2065" s="13">
        <f t="shared" si="2267"/>
        <v>0</v>
      </c>
      <c r="W2065" s="13">
        <f t="shared" si="2267"/>
        <v>0</v>
      </c>
      <c r="X2065" s="13">
        <f t="shared" si="2267"/>
        <v>0</v>
      </c>
      <c r="Y2065" s="13">
        <f t="shared" si="2267"/>
        <v>0</v>
      </c>
      <c r="Z2065" s="13" t="str">
        <f t="shared" si="1998"/>
        <v>NA</v>
      </c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</row>
    <row r="2066" ht="14.25" customHeight="1">
      <c r="A2066" s="13" t="s">
        <v>36</v>
      </c>
      <c r="B2066" s="13" t="s">
        <v>42</v>
      </c>
      <c r="C2066" s="13" t="s">
        <v>1200</v>
      </c>
      <c r="D2066" s="13"/>
      <c r="E2066" s="13" t="str">
        <f t="shared" si="1988"/>
        <v>SFAEF,B-13,,NA</v>
      </c>
      <c r="F2066" s="13"/>
      <c r="G2066" s="13" t="s">
        <v>74</v>
      </c>
      <c r="H2066" s="13" t="s">
        <v>75</v>
      </c>
      <c r="I2066" s="13"/>
      <c r="J2066" s="13"/>
      <c r="K2066" s="15"/>
      <c r="L2066" s="15"/>
      <c r="M2066" s="16"/>
      <c r="N2066" s="16"/>
      <c r="O2066" s="17"/>
      <c r="P2066" s="17"/>
      <c r="Q2066" s="13">
        <f t="shared" si="2242"/>
        <v>0</v>
      </c>
      <c r="R2066" s="13"/>
      <c r="S2066" s="13"/>
      <c r="T2066" s="13">
        <f t="shared" ref="T2066:Y2066" si="2268">IF(ISBLANK(K2066)=TRUE,0,1)</f>
        <v>0</v>
      </c>
      <c r="U2066" s="13">
        <f t="shared" si="2268"/>
        <v>0</v>
      </c>
      <c r="V2066" s="13">
        <f t="shared" si="2268"/>
        <v>0</v>
      </c>
      <c r="W2066" s="13">
        <f t="shared" si="2268"/>
        <v>0</v>
      </c>
      <c r="X2066" s="13">
        <f t="shared" si="2268"/>
        <v>0</v>
      </c>
      <c r="Y2066" s="13">
        <f t="shared" si="2268"/>
        <v>0</v>
      </c>
      <c r="Z2066" s="13" t="str">
        <f t="shared" si="1998"/>
        <v>NA</v>
      </c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</row>
    <row r="2067" ht="14.25" customHeight="1">
      <c r="A2067" s="13" t="s">
        <v>36</v>
      </c>
      <c r="B2067" s="13" t="s">
        <v>42</v>
      </c>
      <c r="C2067" s="13" t="s">
        <v>1201</v>
      </c>
      <c r="D2067" s="13"/>
      <c r="E2067" s="13" t="str">
        <f t="shared" si="1988"/>
        <v>SFAEF,B-14,,NA</v>
      </c>
      <c r="F2067" s="13"/>
      <c r="G2067" s="13" t="s">
        <v>74</v>
      </c>
      <c r="H2067" s="13" t="s">
        <v>75</v>
      </c>
      <c r="I2067" s="13"/>
      <c r="J2067" s="13"/>
      <c r="K2067" s="15"/>
      <c r="L2067" s="15"/>
      <c r="M2067" s="16"/>
      <c r="N2067" s="16"/>
      <c r="O2067" s="17"/>
      <c r="P2067" s="17"/>
      <c r="Q2067" s="13">
        <f t="shared" si="2242"/>
        <v>0</v>
      </c>
      <c r="R2067" s="13"/>
      <c r="S2067" s="13"/>
      <c r="T2067" s="13">
        <f t="shared" ref="T2067:Y2067" si="2269">IF(ISBLANK(K2067)=TRUE,0,1)</f>
        <v>0</v>
      </c>
      <c r="U2067" s="13">
        <f t="shared" si="2269"/>
        <v>0</v>
      </c>
      <c r="V2067" s="13">
        <f t="shared" si="2269"/>
        <v>0</v>
      </c>
      <c r="W2067" s="13">
        <f t="shared" si="2269"/>
        <v>0</v>
      </c>
      <c r="X2067" s="13">
        <f t="shared" si="2269"/>
        <v>0</v>
      </c>
      <c r="Y2067" s="13">
        <f t="shared" si="2269"/>
        <v>0</v>
      </c>
      <c r="Z2067" s="13" t="str">
        <f t="shared" si="1998"/>
        <v>NA</v>
      </c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</row>
    <row r="2068" ht="14.25" customHeight="1">
      <c r="A2068" s="13" t="s">
        <v>36</v>
      </c>
      <c r="B2068" s="13" t="s">
        <v>42</v>
      </c>
      <c r="C2068" s="13" t="s">
        <v>1202</v>
      </c>
      <c r="D2068" s="13"/>
      <c r="E2068" s="13" t="str">
        <f t="shared" si="1988"/>
        <v>SFAEF,B-15,,NA</v>
      </c>
      <c r="F2068" s="13"/>
      <c r="G2068" s="13" t="s">
        <v>74</v>
      </c>
      <c r="H2068" s="13" t="s">
        <v>75</v>
      </c>
      <c r="I2068" s="13"/>
      <c r="J2068" s="13"/>
      <c r="K2068" s="15"/>
      <c r="L2068" s="15"/>
      <c r="M2068" s="16"/>
      <c r="N2068" s="16"/>
      <c r="O2068" s="17"/>
      <c r="P2068" s="17"/>
      <c r="Q2068" s="13">
        <f t="shared" si="2242"/>
        <v>0</v>
      </c>
      <c r="R2068" s="13"/>
      <c r="S2068" s="13"/>
      <c r="T2068" s="13">
        <f t="shared" ref="T2068:Y2068" si="2270">IF(ISBLANK(K2068)=TRUE,0,1)</f>
        <v>0</v>
      </c>
      <c r="U2068" s="13">
        <f t="shared" si="2270"/>
        <v>0</v>
      </c>
      <c r="V2068" s="13">
        <f t="shared" si="2270"/>
        <v>0</v>
      </c>
      <c r="W2068" s="13">
        <f t="shared" si="2270"/>
        <v>0</v>
      </c>
      <c r="X2068" s="13">
        <f t="shared" si="2270"/>
        <v>0</v>
      </c>
      <c r="Y2068" s="13">
        <f t="shared" si="2270"/>
        <v>0</v>
      </c>
      <c r="Z2068" s="13" t="str">
        <f t="shared" si="1998"/>
        <v>NA</v>
      </c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</row>
    <row r="2069" ht="14.25" customHeight="1">
      <c r="A2069" s="13" t="s">
        <v>36</v>
      </c>
      <c r="B2069" s="13" t="s">
        <v>42</v>
      </c>
      <c r="C2069" s="13" t="s">
        <v>1203</v>
      </c>
      <c r="D2069" s="13"/>
      <c r="E2069" s="13" t="str">
        <f t="shared" si="1988"/>
        <v>SFAEF,B-16,,NA</v>
      </c>
      <c r="F2069" s="13"/>
      <c r="G2069" s="13" t="s">
        <v>74</v>
      </c>
      <c r="H2069" s="13" t="s">
        <v>75</v>
      </c>
      <c r="I2069" s="13"/>
      <c r="J2069" s="13"/>
      <c r="K2069" s="15"/>
      <c r="L2069" s="15"/>
      <c r="M2069" s="16"/>
      <c r="N2069" s="16"/>
      <c r="O2069" s="17"/>
      <c r="P2069" s="17"/>
      <c r="Q2069" s="13">
        <f t="shared" si="2242"/>
        <v>0</v>
      </c>
      <c r="R2069" s="13"/>
      <c r="S2069" s="13"/>
      <c r="T2069" s="13">
        <f t="shared" ref="T2069:Y2069" si="2271">IF(ISBLANK(K2069)=TRUE,0,1)</f>
        <v>0</v>
      </c>
      <c r="U2069" s="13">
        <f t="shared" si="2271"/>
        <v>0</v>
      </c>
      <c r="V2069" s="13">
        <f t="shared" si="2271"/>
        <v>0</v>
      </c>
      <c r="W2069" s="13">
        <f t="shared" si="2271"/>
        <v>0</v>
      </c>
      <c r="X2069" s="13">
        <f t="shared" si="2271"/>
        <v>0</v>
      </c>
      <c r="Y2069" s="13">
        <f t="shared" si="2271"/>
        <v>0</v>
      </c>
      <c r="Z2069" s="13" t="str">
        <f t="shared" si="1998"/>
        <v>NA</v>
      </c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</row>
    <row r="2070" ht="14.25" customHeight="1">
      <c r="A2070" s="13" t="s">
        <v>36</v>
      </c>
      <c r="B2070" s="13" t="s">
        <v>42</v>
      </c>
      <c r="C2070" s="13" t="s">
        <v>1204</v>
      </c>
      <c r="D2070" s="13"/>
      <c r="E2070" s="13" t="str">
        <f t="shared" si="1988"/>
        <v>SFAEF,B-17,,NA</v>
      </c>
      <c r="F2070" s="13"/>
      <c r="G2070" s="13" t="s">
        <v>74</v>
      </c>
      <c r="H2070" s="13" t="s">
        <v>75</v>
      </c>
      <c r="I2070" s="13"/>
      <c r="J2070" s="13"/>
      <c r="K2070" s="15"/>
      <c r="L2070" s="15"/>
      <c r="M2070" s="16"/>
      <c r="N2070" s="16"/>
      <c r="O2070" s="17"/>
      <c r="P2070" s="17"/>
      <c r="Q2070" s="13">
        <f t="shared" si="2242"/>
        <v>0</v>
      </c>
      <c r="R2070" s="13"/>
      <c r="S2070" s="13"/>
      <c r="T2070" s="13">
        <f t="shared" ref="T2070:Y2070" si="2272">IF(ISBLANK(K2070)=TRUE,0,1)</f>
        <v>0</v>
      </c>
      <c r="U2070" s="13">
        <f t="shared" si="2272"/>
        <v>0</v>
      </c>
      <c r="V2070" s="13">
        <f t="shared" si="2272"/>
        <v>0</v>
      </c>
      <c r="W2070" s="13">
        <f t="shared" si="2272"/>
        <v>0</v>
      </c>
      <c r="X2070" s="13">
        <f t="shared" si="2272"/>
        <v>0</v>
      </c>
      <c r="Y2070" s="13">
        <f t="shared" si="2272"/>
        <v>0</v>
      </c>
      <c r="Z2070" s="13" t="str">
        <f t="shared" si="1998"/>
        <v>NA</v>
      </c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</row>
    <row r="2071" ht="14.25" customHeight="1">
      <c r="A2071" s="13" t="s">
        <v>36</v>
      </c>
      <c r="B2071" s="13" t="s">
        <v>42</v>
      </c>
      <c r="C2071" s="13" t="s">
        <v>1205</v>
      </c>
      <c r="D2071" s="13"/>
      <c r="E2071" s="13" t="str">
        <f t="shared" si="1988"/>
        <v>SFAEF,B-18,,NA</v>
      </c>
      <c r="F2071" s="13"/>
      <c r="G2071" s="13" t="s">
        <v>74</v>
      </c>
      <c r="H2071" s="13" t="s">
        <v>75</v>
      </c>
      <c r="I2071" s="13"/>
      <c r="J2071" s="13"/>
      <c r="K2071" s="15"/>
      <c r="L2071" s="15"/>
      <c r="M2071" s="16"/>
      <c r="N2071" s="16"/>
      <c r="O2071" s="17"/>
      <c r="P2071" s="17"/>
      <c r="Q2071" s="13">
        <f t="shared" si="2242"/>
        <v>0</v>
      </c>
      <c r="R2071" s="13"/>
      <c r="S2071" s="13"/>
      <c r="T2071" s="13">
        <f t="shared" ref="T2071:Y2071" si="2273">IF(ISBLANK(K2071)=TRUE,0,1)</f>
        <v>0</v>
      </c>
      <c r="U2071" s="13">
        <f t="shared" si="2273"/>
        <v>0</v>
      </c>
      <c r="V2071" s="13">
        <f t="shared" si="2273"/>
        <v>0</v>
      </c>
      <c r="W2071" s="13">
        <f t="shared" si="2273"/>
        <v>0</v>
      </c>
      <c r="X2071" s="13">
        <f t="shared" si="2273"/>
        <v>0</v>
      </c>
      <c r="Y2071" s="13">
        <f t="shared" si="2273"/>
        <v>0</v>
      </c>
      <c r="Z2071" s="13" t="str">
        <f t="shared" si="1998"/>
        <v>NA</v>
      </c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</row>
    <row r="2072" ht="14.25" customHeight="1">
      <c r="A2072" s="13" t="s">
        <v>36</v>
      </c>
      <c r="B2072" s="13" t="s">
        <v>42</v>
      </c>
      <c r="C2072" s="13" t="s">
        <v>1206</v>
      </c>
      <c r="D2072" s="13"/>
      <c r="E2072" s="13" t="str">
        <f t="shared" si="1988"/>
        <v>SFAEF,B-19,,NA</v>
      </c>
      <c r="F2072" s="13"/>
      <c r="G2072" s="13" t="s">
        <v>74</v>
      </c>
      <c r="H2072" s="13" t="s">
        <v>75</v>
      </c>
      <c r="I2072" s="13"/>
      <c r="J2072" s="13"/>
      <c r="K2072" s="15"/>
      <c r="L2072" s="15"/>
      <c r="M2072" s="16"/>
      <c r="N2072" s="16"/>
      <c r="O2072" s="17"/>
      <c r="P2072" s="17"/>
      <c r="Q2072" s="13">
        <f t="shared" si="2242"/>
        <v>0</v>
      </c>
      <c r="R2072" s="13"/>
      <c r="S2072" s="13"/>
      <c r="T2072" s="13">
        <f t="shared" ref="T2072:Y2072" si="2274">IF(ISBLANK(K2072)=TRUE,0,1)</f>
        <v>0</v>
      </c>
      <c r="U2072" s="13">
        <f t="shared" si="2274"/>
        <v>0</v>
      </c>
      <c r="V2072" s="13">
        <f t="shared" si="2274"/>
        <v>0</v>
      </c>
      <c r="W2072" s="13">
        <f t="shared" si="2274"/>
        <v>0</v>
      </c>
      <c r="X2072" s="13">
        <f t="shared" si="2274"/>
        <v>0</v>
      </c>
      <c r="Y2072" s="13">
        <f t="shared" si="2274"/>
        <v>0</v>
      </c>
      <c r="Z2072" s="13" t="str">
        <f t="shared" si="1998"/>
        <v>NA</v>
      </c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</row>
    <row r="2073" ht="14.25" customHeight="1">
      <c r="A2073" s="13" t="s">
        <v>36</v>
      </c>
      <c r="B2073" s="13" t="s">
        <v>42</v>
      </c>
      <c r="C2073" s="13" t="s">
        <v>1207</v>
      </c>
      <c r="D2073" s="13"/>
      <c r="E2073" s="13" t="str">
        <f t="shared" si="1988"/>
        <v>SFAEF,B-2,,0</v>
      </c>
      <c r="F2073" s="13"/>
      <c r="G2073" s="13" t="s">
        <v>74</v>
      </c>
      <c r="H2073" s="13" t="s">
        <v>75</v>
      </c>
      <c r="I2073" s="13"/>
      <c r="J2073" s="13"/>
      <c r="K2073" s="15">
        <v>0.0</v>
      </c>
      <c r="L2073" s="15">
        <v>0.0</v>
      </c>
      <c r="M2073" s="16"/>
      <c r="N2073" s="16"/>
      <c r="O2073" s="17"/>
      <c r="P2073" s="17"/>
      <c r="Q2073" s="13">
        <f t="shared" si="2242"/>
        <v>0</v>
      </c>
      <c r="R2073" s="13"/>
      <c r="S2073" s="13"/>
      <c r="T2073" s="13">
        <f t="shared" ref="T2073:Y2073" si="2275">IF(ISBLANK(K2073)=TRUE,0,1)</f>
        <v>1</v>
      </c>
      <c r="U2073" s="13">
        <f t="shared" si="2275"/>
        <v>1</v>
      </c>
      <c r="V2073" s="13">
        <f t="shared" si="2275"/>
        <v>0</v>
      </c>
      <c r="W2073" s="13">
        <f t="shared" si="2275"/>
        <v>0</v>
      </c>
      <c r="X2073" s="13">
        <f t="shared" si="2275"/>
        <v>0</v>
      </c>
      <c r="Y2073" s="13">
        <f t="shared" si="2275"/>
        <v>0</v>
      </c>
      <c r="Z2073" s="13">
        <f t="shared" si="1998"/>
        <v>0</v>
      </c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</row>
    <row r="2074" ht="14.25" customHeight="1">
      <c r="A2074" s="13" t="s">
        <v>36</v>
      </c>
      <c r="B2074" s="13" t="s">
        <v>42</v>
      </c>
      <c r="C2074" s="13" t="s">
        <v>1208</v>
      </c>
      <c r="D2074" s="13"/>
      <c r="E2074" s="13" t="str">
        <f t="shared" si="1988"/>
        <v>SFAEF,B-20,,NA</v>
      </c>
      <c r="F2074" s="13"/>
      <c r="G2074" s="13" t="s">
        <v>74</v>
      </c>
      <c r="H2074" s="13" t="s">
        <v>75</v>
      </c>
      <c r="I2074" s="13"/>
      <c r="J2074" s="13"/>
      <c r="K2074" s="15"/>
      <c r="L2074" s="15"/>
      <c r="M2074" s="16"/>
      <c r="N2074" s="16"/>
      <c r="O2074" s="17"/>
      <c r="P2074" s="17"/>
      <c r="Q2074" s="13">
        <f t="shared" si="2242"/>
        <v>0</v>
      </c>
      <c r="R2074" s="13"/>
      <c r="S2074" s="13"/>
      <c r="T2074" s="13">
        <f t="shared" ref="T2074:Y2074" si="2276">IF(ISBLANK(K2074)=TRUE,0,1)</f>
        <v>0</v>
      </c>
      <c r="U2074" s="13">
        <f t="shared" si="2276"/>
        <v>0</v>
      </c>
      <c r="V2074" s="13">
        <f t="shared" si="2276"/>
        <v>0</v>
      </c>
      <c r="W2074" s="13">
        <f t="shared" si="2276"/>
        <v>0</v>
      </c>
      <c r="X2074" s="13">
        <f t="shared" si="2276"/>
        <v>0</v>
      </c>
      <c r="Y2074" s="13">
        <f t="shared" si="2276"/>
        <v>0</v>
      </c>
      <c r="Z2074" s="13" t="str">
        <f t="shared" si="1998"/>
        <v>NA</v>
      </c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</row>
    <row r="2075" ht="14.25" customHeight="1">
      <c r="A2075" s="13" t="s">
        <v>36</v>
      </c>
      <c r="B2075" s="13" t="s">
        <v>42</v>
      </c>
      <c r="C2075" s="13" t="s">
        <v>1209</v>
      </c>
      <c r="D2075" s="13"/>
      <c r="E2075" s="13" t="str">
        <f t="shared" si="1988"/>
        <v>SFAEF,B-21,,NA</v>
      </c>
      <c r="F2075" s="13"/>
      <c r="G2075" s="13" t="s">
        <v>74</v>
      </c>
      <c r="H2075" s="13" t="s">
        <v>75</v>
      </c>
      <c r="I2075" s="13"/>
      <c r="J2075" s="13"/>
      <c r="K2075" s="15"/>
      <c r="L2075" s="15"/>
      <c r="M2075" s="16"/>
      <c r="N2075" s="16"/>
      <c r="O2075" s="17"/>
      <c r="P2075" s="17"/>
      <c r="Q2075" s="13">
        <f t="shared" si="2242"/>
        <v>0</v>
      </c>
      <c r="R2075" s="13"/>
      <c r="S2075" s="13"/>
      <c r="T2075" s="13">
        <f t="shared" ref="T2075:Y2075" si="2277">IF(ISBLANK(K2075)=TRUE,0,1)</f>
        <v>0</v>
      </c>
      <c r="U2075" s="13">
        <f t="shared" si="2277"/>
        <v>0</v>
      </c>
      <c r="V2075" s="13">
        <f t="shared" si="2277"/>
        <v>0</v>
      </c>
      <c r="W2075" s="13">
        <f t="shared" si="2277"/>
        <v>0</v>
      </c>
      <c r="X2075" s="13">
        <f t="shared" si="2277"/>
        <v>0</v>
      </c>
      <c r="Y2075" s="13">
        <f t="shared" si="2277"/>
        <v>0</v>
      </c>
      <c r="Z2075" s="13" t="str">
        <f t="shared" si="1998"/>
        <v>NA</v>
      </c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</row>
    <row r="2076" ht="14.25" customHeight="1">
      <c r="A2076" s="13" t="s">
        <v>36</v>
      </c>
      <c r="B2076" s="13" t="s">
        <v>42</v>
      </c>
      <c r="C2076" s="13" t="s">
        <v>1210</v>
      </c>
      <c r="D2076" s="13"/>
      <c r="E2076" s="13" t="str">
        <f t="shared" si="1988"/>
        <v>SFAEF,B-22,,NA</v>
      </c>
      <c r="F2076" s="13"/>
      <c r="G2076" s="13" t="s">
        <v>74</v>
      </c>
      <c r="H2076" s="13" t="s">
        <v>75</v>
      </c>
      <c r="I2076" s="13"/>
      <c r="J2076" s="13"/>
      <c r="K2076" s="15"/>
      <c r="L2076" s="15"/>
      <c r="M2076" s="16"/>
      <c r="N2076" s="16"/>
      <c r="O2076" s="17"/>
      <c r="P2076" s="17"/>
      <c r="Q2076" s="13">
        <f t="shared" si="2242"/>
        <v>0</v>
      </c>
      <c r="R2076" s="13"/>
      <c r="S2076" s="13"/>
      <c r="T2076" s="13">
        <f t="shared" ref="T2076:Y2076" si="2278">IF(ISBLANK(K2076)=TRUE,0,1)</f>
        <v>0</v>
      </c>
      <c r="U2076" s="13">
        <f t="shared" si="2278"/>
        <v>0</v>
      </c>
      <c r="V2076" s="13">
        <f t="shared" si="2278"/>
        <v>0</v>
      </c>
      <c r="W2076" s="13">
        <f t="shared" si="2278"/>
        <v>0</v>
      </c>
      <c r="X2076" s="13">
        <f t="shared" si="2278"/>
        <v>0</v>
      </c>
      <c r="Y2076" s="13">
        <f t="shared" si="2278"/>
        <v>0</v>
      </c>
      <c r="Z2076" s="13" t="str">
        <f t="shared" si="1998"/>
        <v>NA</v>
      </c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</row>
    <row r="2077" ht="14.25" customHeight="1">
      <c r="A2077" s="13" t="s">
        <v>36</v>
      </c>
      <c r="B2077" s="13" t="s">
        <v>42</v>
      </c>
      <c r="C2077" s="13" t="s">
        <v>1211</v>
      </c>
      <c r="D2077" s="13"/>
      <c r="E2077" s="13" t="str">
        <f t="shared" si="1988"/>
        <v>SFAEF,B-23,,NA</v>
      </c>
      <c r="F2077" s="13"/>
      <c r="G2077" s="13" t="s">
        <v>74</v>
      </c>
      <c r="H2077" s="13" t="s">
        <v>75</v>
      </c>
      <c r="I2077" s="13"/>
      <c r="J2077" s="13"/>
      <c r="K2077" s="15"/>
      <c r="L2077" s="15"/>
      <c r="M2077" s="16"/>
      <c r="N2077" s="16"/>
      <c r="O2077" s="17"/>
      <c r="P2077" s="17"/>
      <c r="Q2077" s="13">
        <f t="shared" si="2242"/>
        <v>0</v>
      </c>
      <c r="R2077" s="13"/>
      <c r="S2077" s="13"/>
      <c r="T2077" s="13">
        <f t="shared" ref="T2077:Y2077" si="2279">IF(ISBLANK(K2077)=TRUE,0,1)</f>
        <v>0</v>
      </c>
      <c r="U2077" s="13">
        <f t="shared" si="2279"/>
        <v>0</v>
      </c>
      <c r="V2077" s="13">
        <f t="shared" si="2279"/>
        <v>0</v>
      </c>
      <c r="W2077" s="13">
        <f t="shared" si="2279"/>
        <v>0</v>
      </c>
      <c r="X2077" s="13">
        <f t="shared" si="2279"/>
        <v>0</v>
      </c>
      <c r="Y2077" s="13">
        <f t="shared" si="2279"/>
        <v>0</v>
      </c>
      <c r="Z2077" s="13" t="str">
        <f t="shared" si="1998"/>
        <v>NA</v>
      </c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</row>
    <row r="2078" ht="14.25" customHeight="1">
      <c r="A2078" s="13" t="s">
        <v>36</v>
      </c>
      <c r="B2078" s="13" t="s">
        <v>42</v>
      </c>
      <c r="C2078" s="13" t="s">
        <v>1212</v>
      </c>
      <c r="D2078" s="13"/>
      <c r="E2078" s="13" t="str">
        <f t="shared" si="1988"/>
        <v>SFAEF,B-24,,NA</v>
      </c>
      <c r="F2078" s="13"/>
      <c r="G2078" s="13" t="s">
        <v>74</v>
      </c>
      <c r="H2078" s="13" t="s">
        <v>75</v>
      </c>
      <c r="I2078" s="13"/>
      <c r="J2078" s="13"/>
      <c r="K2078" s="15"/>
      <c r="L2078" s="15"/>
      <c r="M2078" s="16"/>
      <c r="N2078" s="16"/>
      <c r="O2078" s="17"/>
      <c r="P2078" s="17"/>
      <c r="Q2078" s="13">
        <f t="shared" si="2242"/>
        <v>0</v>
      </c>
      <c r="R2078" s="13"/>
      <c r="S2078" s="13"/>
      <c r="T2078" s="13">
        <f t="shared" ref="T2078:Y2078" si="2280">IF(ISBLANK(K2078)=TRUE,0,1)</f>
        <v>0</v>
      </c>
      <c r="U2078" s="13">
        <f t="shared" si="2280"/>
        <v>0</v>
      </c>
      <c r="V2078" s="13">
        <f t="shared" si="2280"/>
        <v>0</v>
      </c>
      <c r="W2078" s="13">
        <f t="shared" si="2280"/>
        <v>0</v>
      </c>
      <c r="X2078" s="13">
        <f t="shared" si="2280"/>
        <v>0</v>
      </c>
      <c r="Y2078" s="13">
        <f t="shared" si="2280"/>
        <v>0</v>
      </c>
      <c r="Z2078" s="13" t="str">
        <f t="shared" si="1998"/>
        <v>NA</v>
      </c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</row>
    <row r="2079" ht="14.25" customHeight="1">
      <c r="A2079" s="13" t="s">
        <v>36</v>
      </c>
      <c r="B2079" s="13" t="s">
        <v>42</v>
      </c>
      <c r="C2079" s="13" t="s">
        <v>1213</v>
      </c>
      <c r="D2079" s="13"/>
      <c r="E2079" s="13" t="str">
        <f t="shared" si="1988"/>
        <v>SFAEF,B-25,,NA</v>
      </c>
      <c r="F2079" s="13"/>
      <c r="G2079" s="13" t="s">
        <v>74</v>
      </c>
      <c r="H2079" s="13" t="s">
        <v>75</v>
      </c>
      <c r="I2079" s="13"/>
      <c r="J2079" s="13"/>
      <c r="K2079" s="15"/>
      <c r="L2079" s="15"/>
      <c r="M2079" s="16"/>
      <c r="N2079" s="16"/>
      <c r="O2079" s="17"/>
      <c r="P2079" s="17"/>
      <c r="Q2079" s="13">
        <f t="shared" si="2242"/>
        <v>0</v>
      </c>
      <c r="R2079" s="13"/>
      <c r="S2079" s="13"/>
      <c r="T2079" s="13">
        <f t="shared" ref="T2079:Y2079" si="2281">IF(ISBLANK(K2079)=TRUE,0,1)</f>
        <v>0</v>
      </c>
      <c r="U2079" s="13">
        <f t="shared" si="2281"/>
        <v>0</v>
      </c>
      <c r="V2079" s="13">
        <f t="shared" si="2281"/>
        <v>0</v>
      </c>
      <c r="W2079" s="13">
        <f t="shared" si="2281"/>
        <v>0</v>
      </c>
      <c r="X2079" s="13">
        <f t="shared" si="2281"/>
        <v>0</v>
      </c>
      <c r="Y2079" s="13">
        <f t="shared" si="2281"/>
        <v>0</v>
      </c>
      <c r="Z2079" s="13" t="str">
        <f t="shared" si="1998"/>
        <v>NA</v>
      </c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</row>
    <row r="2080" ht="14.25" customHeight="1">
      <c r="A2080" s="13" t="s">
        <v>36</v>
      </c>
      <c r="B2080" s="13" t="s">
        <v>42</v>
      </c>
      <c r="C2080" s="13" t="s">
        <v>1214</v>
      </c>
      <c r="D2080" s="13"/>
      <c r="E2080" s="13" t="str">
        <f t="shared" si="1988"/>
        <v>SFAEF,B-28,,NA</v>
      </c>
      <c r="F2080" s="13"/>
      <c r="G2080" s="13" t="s">
        <v>74</v>
      </c>
      <c r="H2080" s="13" t="s">
        <v>75</v>
      </c>
      <c r="I2080" s="13"/>
      <c r="J2080" s="13"/>
      <c r="K2080" s="15"/>
      <c r="L2080" s="15"/>
      <c r="M2080" s="16"/>
      <c r="N2080" s="16"/>
      <c r="O2080" s="17"/>
      <c r="P2080" s="17"/>
      <c r="Q2080" s="13">
        <f t="shared" si="2242"/>
        <v>0</v>
      </c>
      <c r="R2080" s="13"/>
      <c r="S2080" s="13"/>
      <c r="T2080" s="13">
        <f t="shared" ref="T2080:Y2080" si="2282">IF(ISBLANK(K2080)=TRUE,0,1)</f>
        <v>0</v>
      </c>
      <c r="U2080" s="13">
        <f t="shared" si="2282"/>
        <v>0</v>
      </c>
      <c r="V2080" s="13">
        <f t="shared" si="2282"/>
        <v>0</v>
      </c>
      <c r="W2080" s="13">
        <f t="shared" si="2282"/>
        <v>0</v>
      </c>
      <c r="X2080" s="13">
        <f t="shared" si="2282"/>
        <v>0</v>
      </c>
      <c r="Y2080" s="13">
        <f t="shared" si="2282"/>
        <v>0</v>
      </c>
      <c r="Z2080" s="13" t="str">
        <f t="shared" si="1998"/>
        <v>NA</v>
      </c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</row>
    <row r="2081" ht="14.25" customHeight="1">
      <c r="A2081" s="13" t="s">
        <v>36</v>
      </c>
      <c r="B2081" s="13" t="s">
        <v>42</v>
      </c>
      <c r="C2081" s="13" t="s">
        <v>1215</v>
      </c>
      <c r="D2081" s="13"/>
      <c r="E2081" s="13" t="str">
        <f t="shared" si="1988"/>
        <v>SFAEF,B-29,,NA</v>
      </c>
      <c r="F2081" s="13"/>
      <c r="G2081" s="13" t="s">
        <v>74</v>
      </c>
      <c r="H2081" s="13" t="s">
        <v>75</v>
      </c>
      <c r="I2081" s="13"/>
      <c r="J2081" s="13"/>
      <c r="K2081" s="15"/>
      <c r="L2081" s="15"/>
      <c r="M2081" s="16"/>
      <c r="N2081" s="16"/>
      <c r="O2081" s="17"/>
      <c r="P2081" s="17"/>
      <c r="Q2081" s="13">
        <f t="shared" si="2242"/>
        <v>0</v>
      </c>
      <c r="R2081" s="13"/>
      <c r="S2081" s="13"/>
      <c r="T2081" s="13">
        <f t="shared" ref="T2081:Y2081" si="2283">IF(ISBLANK(K2081)=TRUE,0,1)</f>
        <v>0</v>
      </c>
      <c r="U2081" s="13">
        <f t="shared" si="2283"/>
        <v>0</v>
      </c>
      <c r="V2081" s="13">
        <f t="shared" si="2283"/>
        <v>0</v>
      </c>
      <c r="W2081" s="13">
        <f t="shared" si="2283"/>
        <v>0</v>
      </c>
      <c r="X2081" s="13">
        <f t="shared" si="2283"/>
        <v>0</v>
      </c>
      <c r="Y2081" s="13">
        <f t="shared" si="2283"/>
        <v>0</v>
      </c>
      <c r="Z2081" s="13" t="str">
        <f t="shared" si="1998"/>
        <v>NA</v>
      </c>
      <c r="AA2081" s="13"/>
      <c r="AB2081" s="13"/>
      <c r="AC2081" s="13"/>
      <c r="AD2081" s="13"/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</row>
    <row r="2082" ht="14.25" customHeight="1">
      <c r="A2082" s="13" t="s">
        <v>36</v>
      </c>
      <c r="B2082" s="13" t="s">
        <v>42</v>
      </c>
      <c r="C2082" s="13" t="s">
        <v>1216</v>
      </c>
      <c r="D2082" s="13"/>
      <c r="E2082" s="13" t="str">
        <f t="shared" si="1988"/>
        <v>SFAEF,B-3,,0</v>
      </c>
      <c r="F2082" s="13"/>
      <c r="G2082" s="13" t="s">
        <v>74</v>
      </c>
      <c r="H2082" s="13" t="s">
        <v>75</v>
      </c>
      <c r="I2082" s="13"/>
      <c r="J2082" s="13"/>
      <c r="K2082" s="15">
        <v>0.0</v>
      </c>
      <c r="L2082" s="15">
        <v>0.0</v>
      </c>
      <c r="M2082" s="16"/>
      <c r="N2082" s="16"/>
      <c r="O2082" s="17"/>
      <c r="P2082" s="17"/>
      <c r="Q2082" s="13">
        <f t="shared" si="2242"/>
        <v>0</v>
      </c>
      <c r="R2082" s="13"/>
      <c r="S2082" s="13"/>
      <c r="T2082" s="13">
        <f t="shared" ref="T2082:Y2082" si="2284">IF(ISBLANK(K2082)=TRUE,0,1)</f>
        <v>1</v>
      </c>
      <c r="U2082" s="13">
        <f t="shared" si="2284"/>
        <v>1</v>
      </c>
      <c r="V2082" s="13">
        <f t="shared" si="2284"/>
        <v>0</v>
      </c>
      <c r="W2082" s="13">
        <f t="shared" si="2284"/>
        <v>0</v>
      </c>
      <c r="X2082" s="13">
        <f t="shared" si="2284"/>
        <v>0</v>
      </c>
      <c r="Y2082" s="13">
        <f t="shared" si="2284"/>
        <v>0</v>
      </c>
      <c r="Z2082" s="13">
        <f t="shared" si="1998"/>
        <v>0</v>
      </c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</row>
    <row r="2083" ht="14.25" customHeight="1">
      <c r="A2083" s="13" t="s">
        <v>36</v>
      </c>
      <c r="B2083" s="13" t="s">
        <v>42</v>
      </c>
      <c r="C2083" s="13" t="s">
        <v>1217</v>
      </c>
      <c r="D2083" s="13"/>
      <c r="E2083" s="13" t="str">
        <f t="shared" si="1988"/>
        <v>SFAEF,B-30,,0</v>
      </c>
      <c r="F2083" s="13"/>
      <c r="G2083" s="13" t="s">
        <v>74</v>
      </c>
      <c r="H2083" s="13" t="s">
        <v>75</v>
      </c>
      <c r="I2083" s="13"/>
      <c r="J2083" s="13"/>
      <c r="K2083" s="35">
        <v>0.0</v>
      </c>
      <c r="L2083" s="35">
        <v>0.0</v>
      </c>
      <c r="M2083" s="16"/>
      <c r="N2083" s="16"/>
      <c r="O2083" s="17"/>
      <c r="P2083" s="17"/>
      <c r="Q2083" s="13">
        <f t="shared" si="2242"/>
        <v>0</v>
      </c>
      <c r="R2083" s="13"/>
      <c r="S2083" s="13"/>
      <c r="T2083" s="13">
        <f t="shared" ref="T2083:Y2083" si="2285">IF(ISBLANK(K2083)=TRUE,0,1)</f>
        <v>1</v>
      </c>
      <c r="U2083" s="13">
        <f t="shared" si="2285"/>
        <v>1</v>
      </c>
      <c r="V2083" s="13">
        <f t="shared" si="2285"/>
        <v>0</v>
      </c>
      <c r="W2083" s="13">
        <f t="shared" si="2285"/>
        <v>0</v>
      </c>
      <c r="X2083" s="13">
        <f t="shared" si="2285"/>
        <v>0</v>
      </c>
      <c r="Y2083" s="13">
        <f t="shared" si="2285"/>
        <v>0</v>
      </c>
      <c r="Z2083" s="13">
        <f t="shared" si="1998"/>
        <v>0</v>
      </c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</row>
    <row r="2084" ht="14.25" customHeight="1">
      <c r="A2084" s="13" t="s">
        <v>36</v>
      </c>
      <c r="B2084" s="13" t="s">
        <v>42</v>
      </c>
      <c r="C2084" s="13" t="s">
        <v>1218</v>
      </c>
      <c r="D2084" s="13"/>
      <c r="E2084" s="13" t="str">
        <f t="shared" si="1988"/>
        <v>SFAEF,B-31,,NA</v>
      </c>
      <c r="F2084" s="13"/>
      <c r="G2084" s="13" t="s">
        <v>74</v>
      </c>
      <c r="H2084" s="13" t="s">
        <v>75</v>
      </c>
      <c r="I2084" s="13"/>
      <c r="J2084" s="13"/>
      <c r="K2084" s="15"/>
      <c r="L2084" s="15"/>
      <c r="M2084" s="16"/>
      <c r="N2084" s="16"/>
      <c r="O2084" s="17"/>
      <c r="P2084" s="17"/>
      <c r="Q2084" s="13">
        <f t="shared" si="2242"/>
        <v>0</v>
      </c>
      <c r="R2084" s="13"/>
      <c r="S2084" s="13"/>
      <c r="T2084" s="13">
        <f t="shared" ref="T2084:Y2084" si="2286">IF(ISBLANK(K2084)=TRUE,0,1)</f>
        <v>0</v>
      </c>
      <c r="U2084" s="13">
        <f t="shared" si="2286"/>
        <v>0</v>
      </c>
      <c r="V2084" s="13">
        <f t="shared" si="2286"/>
        <v>0</v>
      </c>
      <c r="W2084" s="13">
        <f t="shared" si="2286"/>
        <v>0</v>
      </c>
      <c r="X2084" s="13">
        <f t="shared" si="2286"/>
        <v>0</v>
      </c>
      <c r="Y2084" s="13">
        <f t="shared" si="2286"/>
        <v>0</v>
      </c>
      <c r="Z2084" s="13" t="str">
        <f t="shared" si="1998"/>
        <v>NA</v>
      </c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</row>
    <row r="2085" ht="14.25" customHeight="1">
      <c r="A2085" s="13" t="s">
        <v>36</v>
      </c>
      <c r="B2085" s="13" t="s">
        <v>42</v>
      </c>
      <c r="C2085" s="13" t="s">
        <v>1219</v>
      </c>
      <c r="D2085" s="13"/>
      <c r="E2085" s="13" t="str">
        <f t="shared" si="1988"/>
        <v>SFAEF,B-4,,0</v>
      </c>
      <c r="F2085" s="13"/>
      <c r="G2085" s="13" t="s">
        <v>74</v>
      </c>
      <c r="H2085" s="13" t="s">
        <v>75</v>
      </c>
      <c r="I2085" s="13"/>
      <c r="J2085" s="13"/>
      <c r="K2085" s="15">
        <v>0.0</v>
      </c>
      <c r="L2085" s="15">
        <v>0.0</v>
      </c>
      <c r="M2085" s="16"/>
      <c r="N2085" s="16"/>
      <c r="O2085" s="17"/>
      <c r="P2085" s="17"/>
      <c r="Q2085" s="13">
        <f t="shared" si="2242"/>
        <v>0</v>
      </c>
      <c r="R2085" s="13"/>
      <c r="S2085" s="13"/>
      <c r="T2085" s="13">
        <f t="shared" ref="T2085:Y2085" si="2287">IF(ISBLANK(K2085)=TRUE,0,1)</f>
        <v>1</v>
      </c>
      <c r="U2085" s="13">
        <f t="shared" si="2287"/>
        <v>1</v>
      </c>
      <c r="V2085" s="13">
        <f t="shared" si="2287"/>
        <v>0</v>
      </c>
      <c r="W2085" s="13">
        <f t="shared" si="2287"/>
        <v>0</v>
      </c>
      <c r="X2085" s="13">
        <f t="shared" si="2287"/>
        <v>0</v>
      </c>
      <c r="Y2085" s="13">
        <f t="shared" si="2287"/>
        <v>0</v>
      </c>
      <c r="Z2085" s="13">
        <f t="shared" si="1998"/>
        <v>0</v>
      </c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</row>
    <row r="2086" ht="14.25" customHeight="1">
      <c r="A2086" s="13" t="s">
        <v>36</v>
      </c>
      <c r="B2086" s="13" t="s">
        <v>42</v>
      </c>
      <c r="C2086" s="13" t="s">
        <v>1220</v>
      </c>
      <c r="D2086" s="13"/>
      <c r="E2086" s="13" t="str">
        <f t="shared" si="1988"/>
        <v>SFAEF,B-5,,0</v>
      </c>
      <c r="F2086" s="13"/>
      <c r="G2086" s="13" t="s">
        <v>74</v>
      </c>
      <c r="H2086" s="13" t="s">
        <v>75</v>
      </c>
      <c r="I2086" s="13"/>
      <c r="J2086" s="13"/>
      <c r="K2086" s="15">
        <v>0.0</v>
      </c>
      <c r="L2086" s="15">
        <v>0.0</v>
      </c>
      <c r="M2086" s="16"/>
      <c r="N2086" s="16"/>
      <c r="O2086" s="17"/>
      <c r="P2086" s="17"/>
      <c r="Q2086" s="13">
        <f t="shared" si="2242"/>
        <v>0</v>
      </c>
      <c r="R2086" s="13"/>
      <c r="S2086" s="13"/>
      <c r="T2086" s="13">
        <f t="shared" ref="T2086:Y2086" si="2288">IF(ISBLANK(K2086)=TRUE,0,1)</f>
        <v>1</v>
      </c>
      <c r="U2086" s="13">
        <f t="shared" si="2288"/>
        <v>1</v>
      </c>
      <c r="V2086" s="13">
        <f t="shared" si="2288"/>
        <v>0</v>
      </c>
      <c r="W2086" s="13">
        <f t="shared" si="2288"/>
        <v>0</v>
      </c>
      <c r="X2086" s="13">
        <f t="shared" si="2288"/>
        <v>0</v>
      </c>
      <c r="Y2086" s="13">
        <f t="shared" si="2288"/>
        <v>0</v>
      </c>
      <c r="Z2086" s="13">
        <f t="shared" si="1998"/>
        <v>0</v>
      </c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</row>
    <row r="2087" ht="14.25" customHeight="1">
      <c r="A2087" s="13" t="s">
        <v>36</v>
      </c>
      <c r="B2087" s="13" t="s">
        <v>42</v>
      </c>
      <c r="C2087" s="13" t="s">
        <v>1221</v>
      </c>
      <c r="D2087" s="13"/>
      <c r="E2087" s="13" t="str">
        <f t="shared" si="1988"/>
        <v>SFAEF,B-6,,0</v>
      </c>
      <c r="F2087" s="13"/>
      <c r="G2087" s="13" t="s">
        <v>74</v>
      </c>
      <c r="H2087" s="13" t="s">
        <v>75</v>
      </c>
      <c r="I2087" s="13"/>
      <c r="J2087" s="13"/>
      <c r="K2087" s="15">
        <v>0.0</v>
      </c>
      <c r="L2087" s="15">
        <v>0.0</v>
      </c>
      <c r="M2087" s="16"/>
      <c r="N2087" s="16"/>
      <c r="O2087" s="17"/>
      <c r="P2087" s="17"/>
      <c r="Q2087" s="13">
        <f t="shared" si="2242"/>
        <v>0</v>
      </c>
      <c r="R2087" s="13"/>
      <c r="S2087" s="13"/>
      <c r="T2087" s="13">
        <f t="shared" ref="T2087:Y2087" si="2289">IF(ISBLANK(K2087)=TRUE,0,1)</f>
        <v>1</v>
      </c>
      <c r="U2087" s="13">
        <f t="shared" si="2289"/>
        <v>1</v>
      </c>
      <c r="V2087" s="13">
        <f t="shared" si="2289"/>
        <v>0</v>
      </c>
      <c r="W2087" s="13">
        <f t="shared" si="2289"/>
        <v>0</v>
      </c>
      <c r="X2087" s="13">
        <f t="shared" si="2289"/>
        <v>0</v>
      </c>
      <c r="Y2087" s="13">
        <f t="shared" si="2289"/>
        <v>0</v>
      </c>
      <c r="Z2087" s="13">
        <f t="shared" si="1998"/>
        <v>0</v>
      </c>
      <c r="AA2087" s="13"/>
      <c r="AB2087" s="13"/>
      <c r="AC2087" s="13"/>
      <c r="AD2087" s="13"/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</row>
    <row r="2088" ht="14.25" customHeight="1">
      <c r="A2088" s="13" t="s">
        <v>36</v>
      </c>
      <c r="B2088" s="13" t="s">
        <v>42</v>
      </c>
      <c r="C2088" s="13" t="s">
        <v>1222</v>
      </c>
      <c r="D2088" s="13"/>
      <c r="E2088" s="13" t="str">
        <f t="shared" si="1988"/>
        <v>SFAEF,B-7,,0</v>
      </c>
      <c r="F2088" s="13"/>
      <c r="G2088" s="13" t="s">
        <v>74</v>
      </c>
      <c r="H2088" s="13" t="s">
        <v>75</v>
      </c>
      <c r="I2088" s="13"/>
      <c r="J2088" s="13"/>
      <c r="K2088" s="15">
        <v>0.0</v>
      </c>
      <c r="L2088" s="15">
        <v>0.0</v>
      </c>
      <c r="M2088" s="16"/>
      <c r="N2088" s="16"/>
      <c r="O2088" s="17"/>
      <c r="P2088" s="17"/>
      <c r="Q2088" s="13">
        <f t="shared" si="2242"/>
        <v>0</v>
      </c>
      <c r="R2088" s="13"/>
      <c r="S2088" s="13"/>
      <c r="T2088" s="13">
        <f t="shared" ref="T2088:Y2088" si="2290">IF(ISBLANK(K2088)=TRUE,0,1)</f>
        <v>1</v>
      </c>
      <c r="U2088" s="13">
        <f t="shared" si="2290"/>
        <v>1</v>
      </c>
      <c r="V2088" s="13">
        <f t="shared" si="2290"/>
        <v>0</v>
      </c>
      <c r="W2088" s="13">
        <f t="shared" si="2290"/>
        <v>0</v>
      </c>
      <c r="X2088" s="13">
        <f t="shared" si="2290"/>
        <v>0</v>
      </c>
      <c r="Y2088" s="13">
        <f t="shared" si="2290"/>
        <v>0</v>
      </c>
      <c r="Z2088" s="13">
        <f t="shared" si="1998"/>
        <v>0</v>
      </c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</row>
    <row r="2089" ht="14.25" customHeight="1">
      <c r="A2089" s="13" t="s">
        <v>36</v>
      </c>
      <c r="B2089" s="13" t="s">
        <v>42</v>
      </c>
      <c r="C2089" s="13" t="s">
        <v>1223</v>
      </c>
      <c r="D2089" s="13"/>
      <c r="E2089" s="13" t="str">
        <f t="shared" si="1988"/>
        <v>SFAEF,B-8,,0</v>
      </c>
      <c r="F2089" s="13"/>
      <c r="G2089" s="13" t="s">
        <v>74</v>
      </c>
      <c r="H2089" s="13" t="s">
        <v>75</v>
      </c>
      <c r="I2089" s="13"/>
      <c r="J2089" s="13"/>
      <c r="K2089" s="15">
        <v>0.0</v>
      </c>
      <c r="L2089" s="15">
        <v>0.0</v>
      </c>
      <c r="M2089" s="16"/>
      <c r="N2089" s="16"/>
      <c r="O2089" s="17"/>
      <c r="P2089" s="17"/>
      <c r="Q2089" s="13">
        <f t="shared" si="2242"/>
        <v>0</v>
      </c>
      <c r="R2089" s="13"/>
      <c r="S2089" s="13"/>
      <c r="T2089" s="13">
        <f t="shared" ref="T2089:Y2089" si="2291">IF(ISBLANK(K2089)=TRUE,0,1)</f>
        <v>1</v>
      </c>
      <c r="U2089" s="13">
        <f t="shared" si="2291"/>
        <v>1</v>
      </c>
      <c r="V2089" s="13">
        <f t="shared" si="2291"/>
        <v>0</v>
      </c>
      <c r="W2089" s="13">
        <f t="shared" si="2291"/>
        <v>0</v>
      </c>
      <c r="X2089" s="13">
        <f t="shared" si="2291"/>
        <v>0</v>
      </c>
      <c r="Y2089" s="13">
        <f t="shared" si="2291"/>
        <v>0</v>
      </c>
      <c r="Z2089" s="13">
        <f t="shared" si="1998"/>
        <v>0</v>
      </c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</row>
    <row r="2090" ht="14.25" customHeight="1">
      <c r="A2090" s="13" t="s">
        <v>36</v>
      </c>
      <c r="B2090" s="13" t="s">
        <v>42</v>
      </c>
      <c r="C2090" s="13" t="s">
        <v>1224</v>
      </c>
      <c r="D2090" s="13"/>
      <c r="E2090" s="13" t="str">
        <f t="shared" si="1988"/>
        <v>SFAEF,B-9,,0</v>
      </c>
      <c r="F2090" s="13"/>
      <c r="G2090" s="13" t="s">
        <v>74</v>
      </c>
      <c r="H2090" s="13" t="s">
        <v>75</v>
      </c>
      <c r="I2090" s="13"/>
      <c r="J2090" s="13"/>
      <c r="K2090" s="15">
        <v>0.0</v>
      </c>
      <c r="L2090" s="15">
        <v>0.0</v>
      </c>
      <c r="M2090" s="16"/>
      <c r="N2090" s="16"/>
      <c r="O2090" s="17"/>
      <c r="P2090" s="17"/>
      <c r="Q2090" s="13">
        <f t="shared" si="2242"/>
        <v>0</v>
      </c>
      <c r="R2090" s="13"/>
      <c r="S2090" s="13"/>
      <c r="T2090" s="13">
        <f t="shared" ref="T2090:Y2090" si="2292">IF(ISBLANK(K2090)=TRUE,0,1)</f>
        <v>1</v>
      </c>
      <c r="U2090" s="13">
        <f t="shared" si="2292"/>
        <v>1</v>
      </c>
      <c r="V2090" s="13">
        <f t="shared" si="2292"/>
        <v>0</v>
      </c>
      <c r="W2090" s="13">
        <f t="shared" si="2292"/>
        <v>0</v>
      </c>
      <c r="X2090" s="13">
        <f t="shared" si="2292"/>
        <v>0</v>
      </c>
      <c r="Y2090" s="13">
        <f t="shared" si="2292"/>
        <v>0</v>
      </c>
      <c r="Z2090" s="13">
        <f t="shared" si="1998"/>
        <v>0</v>
      </c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</row>
    <row r="2091" ht="14.25" hidden="1" customHeight="1">
      <c r="A2091" s="13" t="s">
        <v>46</v>
      </c>
      <c r="B2091" s="13" t="s">
        <v>49</v>
      </c>
      <c r="C2091" s="13" t="s">
        <v>1225</v>
      </c>
      <c r="D2091" s="13"/>
      <c r="E2091" s="13" t="str">
        <f t="shared" si="1988"/>
        <v>SHS,106-150A-1A,,1</v>
      </c>
      <c r="F2091" s="13"/>
      <c r="G2091" s="13" t="s">
        <v>74</v>
      </c>
      <c r="H2091" s="13" t="s">
        <v>75</v>
      </c>
      <c r="I2091" s="13"/>
      <c r="J2091" s="13"/>
      <c r="K2091" s="15">
        <v>1.0</v>
      </c>
      <c r="L2091" s="15">
        <v>1.0</v>
      </c>
      <c r="M2091" s="16"/>
      <c r="N2091" s="16"/>
      <c r="O2091" s="17"/>
      <c r="P2091" s="17"/>
      <c r="Q2091" s="13"/>
      <c r="R2091" s="13"/>
      <c r="S2091" s="13"/>
      <c r="T2091" s="13">
        <f t="shared" ref="T2091:Y2091" si="2293">IF(ISBLANK(K2091)=TRUE,0,1)</f>
        <v>1</v>
      </c>
      <c r="U2091" s="13">
        <f t="shared" si="2293"/>
        <v>1</v>
      </c>
      <c r="V2091" s="13">
        <f t="shared" si="2293"/>
        <v>0</v>
      </c>
      <c r="W2091" s="13">
        <f t="shared" si="2293"/>
        <v>0</v>
      </c>
      <c r="X2091" s="13">
        <f t="shared" si="2293"/>
        <v>0</v>
      </c>
      <c r="Y2091" s="13">
        <f t="shared" si="2293"/>
        <v>0</v>
      </c>
      <c r="Z2091" s="13">
        <f t="shared" si="1998"/>
        <v>1</v>
      </c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</row>
    <row r="2092" ht="14.25" hidden="1" customHeight="1">
      <c r="A2092" s="13" t="s">
        <v>46</v>
      </c>
      <c r="B2092" s="13" t="s">
        <v>49</v>
      </c>
      <c r="C2092" s="13" t="s">
        <v>1226</v>
      </c>
      <c r="D2092" s="13"/>
      <c r="E2092" s="13" t="str">
        <f t="shared" si="1988"/>
        <v>SHS,106-150A-1B,,1</v>
      </c>
      <c r="F2092" s="13"/>
      <c r="G2092" s="13" t="s">
        <v>74</v>
      </c>
      <c r="H2092" s="13" t="s">
        <v>75</v>
      </c>
      <c r="I2092" s="13"/>
      <c r="J2092" s="13"/>
      <c r="K2092" s="15">
        <v>1.0</v>
      </c>
      <c r="L2092" s="15">
        <v>1.0</v>
      </c>
      <c r="M2092" s="16"/>
      <c r="N2092" s="16"/>
      <c r="O2092" s="17"/>
      <c r="P2092" s="17"/>
      <c r="Q2092" s="13"/>
      <c r="R2092" s="13"/>
      <c r="S2092" s="13"/>
      <c r="T2092" s="13">
        <f t="shared" ref="T2092:Y2092" si="2294">IF(ISBLANK(K2092)=TRUE,0,1)</f>
        <v>1</v>
      </c>
      <c r="U2092" s="13">
        <f t="shared" si="2294"/>
        <v>1</v>
      </c>
      <c r="V2092" s="13">
        <f t="shared" si="2294"/>
        <v>0</v>
      </c>
      <c r="W2092" s="13">
        <f t="shared" si="2294"/>
        <v>0</v>
      </c>
      <c r="X2092" s="13">
        <f t="shared" si="2294"/>
        <v>0</v>
      </c>
      <c r="Y2092" s="13">
        <f t="shared" si="2294"/>
        <v>0</v>
      </c>
      <c r="Z2092" s="13">
        <f t="shared" si="1998"/>
        <v>1</v>
      </c>
      <c r="AA2092" s="13"/>
      <c r="AB2092" s="13"/>
      <c r="AC2092" s="13"/>
      <c r="AD2092" s="13"/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</row>
    <row r="2093" ht="14.25" hidden="1" customHeight="1">
      <c r="A2093" s="13" t="s">
        <v>46</v>
      </c>
      <c r="B2093" s="13" t="s">
        <v>49</v>
      </c>
      <c r="C2093" s="13" t="s">
        <v>1227</v>
      </c>
      <c r="D2093" s="13"/>
      <c r="E2093" s="13" t="str">
        <f t="shared" si="1988"/>
        <v>SHS,106-150A-1C,,NA</v>
      </c>
      <c r="F2093" s="13"/>
      <c r="G2093" s="13" t="s">
        <v>74</v>
      </c>
      <c r="H2093" s="13" t="s">
        <v>75</v>
      </c>
      <c r="I2093" s="13"/>
      <c r="J2093" s="13"/>
      <c r="K2093" s="15"/>
      <c r="L2093" s="15"/>
      <c r="M2093" s="16"/>
      <c r="N2093" s="16"/>
      <c r="O2093" s="17"/>
      <c r="P2093" s="17"/>
      <c r="Q2093" s="13"/>
      <c r="R2093" s="13"/>
      <c r="S2093" s="13"/>
      <c r="T2093" s="13">
        <f t="shared" ref="T2093:Y2093" si="2295">IF(ISBLANK(K2093)=TRUE,0,1)</f>
        <v>0</v>
      </c>
      <c r="U2093" s="13">
        <f t="shared" si="2295"/>
        <v>0</v>
      </c>
      <c r="V2093" s="13">
        <f t="shared" si="2295"/>
        <v>0</v>
      </c>
      <c r="W2093" s="13">
        <f t="shared" si="2295"/>
        <v>0</v>
      </c>
      <c r="X2093" s="13">
        <f t="shared" si="2295"/>
        <v>0</v>
      </c>
      <c r="Y2093" s="13">
        <f t="shared" si="2295"/>
        <v>0</v>
      </c>
      <c r="Z2093" s="13" t="str">
        <f t="shared" si="1998"/>
        <v>NA</v>
      </c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</row>
    <row r="2094" ht="14.25" hidden="1" customHeight="1">
      <c r="A2094" s="13" t="s">
        <v>46</v>
      </c>
      <c r="B2094" s="13" t="s">
        <v>49</v>
      </c>
      <c r="C2094" s="13" t="s">
        <v>1228</v>
      </c>
      <c r="D2094" s="13"/>
      <c r="E2094" s="13" t="str">
        <f t="shared" si="1988"/>
        <v>SHS,106-150A-1D,,NA</v>
      </c>
      <c r="F2094" s="13"/>
      <c r="G2094" s="13" t="s">
        <v>74</v>
      </c>
      <c r="H2094" s="13" t="s">
        <v>75</v>
      </c>
      <c r="I2094" s="13"/>
      <c r="J2094" s="13"/>
      <c r="K2094" s="15"/>
      <c r="L2094" s="15"/>
      <c r="M2094" s="16"/>
      <c r="N2094" s="16"/>
      <c r="O2094" s="17"/>
      <c r="P2094" s="17"/>
      <c r="Q2094" s="13"/>
      <c r="R2094" s="13"/>
      <c r="S2094" s="13"/>
      <c r="T2094" s="13">
        <f t="shared" ref="T2094:Y2094" si="2296">IF(ISBLANK(K2094)=TRUE,0,1)</f>
        <v>0</v>
      </c>
      <c r="U2094" s="13">
        <f t="shared" si="2296"/>
        <v>0</v>
      </c>
      <c r="V2094" s="13">
        <f t="shared" si="2296"/>
        <v>0</v>
      </c>
      <c r="W2094" s="13">
        <f t="shared" si="2296"/>
        <v>0</v>
      </c>
      <c r="X2094" s="13">
        <f t="shared" si="2296"/>
        <v>0</v>
      </c>
      <c r="Y2094" s="13">
        <f t="shared" si="2296"/>
        <v>0</v>
      </c>
      <c r="Z2094" s="13" t="str">
        <f t="shared" si="1998"/>
        <v>NA</v>
      </c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</row>
    <row r="2095" ht="14.25" hidden="1" customHeight="1">
      <c r="A2095" s="13" t="s">
        <v>46</v>
      </c>
      <c r="B2095" s="13" t="s">
        <v>49</v>
      </c>
      <c r="C2095" s="13" t="s">
        <v>1229</v>
      </c>
      <c r="D2095" s="13"/>
      <c r="E2095" s="13" t="str">
        <f t="shared" si="1988"/>
        <v>SHS,106-150A-1E,,NA</v>
      </c>
      <c r="F2095" s="13"/>
      <c r="G2095" s="13" t="s">
        <v>74</v>
      </c>
      <c r="H2095" s="13" t="s">
        <v>75</v>
      </c>
      <c r="I2095" s="13"/>
      <c r="J2095" s="13"/>
      <c r="K2095" s="15"/>
      <c r="L2095" s="15"/>
      <c r="M2095" s="16"/>
      <c r="N2095" s="16"/>
      <c r="O2095" s="17"/>
      <c r="P2095" s="17"/>
      <c r="Q2095" s="13"/>
      <c r="R2095" s="13"/>
      <c r="S2095" s="13"/>
      <c r="T2095" s="13">
        <f t="shared" ref="T2095:Y2095" si="2297">IF(ISBLANK(K2095)=TRUE,0,1)</f>
        <v>0</v>
      </c>
      <c r="U2095" s="13">
        <f t="shared" si="2297"/>
        <v>0</v>
      </c>
      <c r="V2095" s="13">
        <f t="shared" si="2297"/>
        <v>0</v>
      </c>
      <c r="W2095" s="13">
        <f t="shared" si="2297"/>
        <v>0</v>
      </c>
      <c r="X2095" s="13">
        <f t="shared" si="2297"/>
        <v>0</v>
      </c>
      <c r="Y2095" s="13">
        <f t="shared" si="2297"/>
        <v>0</v>
      </c>
      <c r="Z2095" s="13" t="str">
        <f t="shared" si="1998"/>
        <v>NA</v>
      </c>
      <c r="AA2095" s="13"/>
      <c r="AB2095" s="13"/>
      <c r="AC2095" s="13"/>
      <c r="AD2095" s="13"/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</row>
    <row r="2096" ht="14.25" hidden="1" customHeight="1">
      <c r="A2096" s="13" t="s">
        <v>46</v>
      </c>
      <c r="B2096" s="13" t="s">
        <v>49</v>
      </c>
      <c r="C2096" s="13" t="s">
        <v>1230</v>
      </c>
      <c r="D2096" s="13"/>
      <c r="E2096" s="13" t="str">
        <f t="shared" si="1988"/>
        <v>SHS,106-150A-1F,,NA</v>
      </c>
      <c r="F2096" s="13"/>
      <c r="G2096" s="13" t="s">
        <v>74</v>
      </c>
      <c r="H2096" s="13" t="s">
        <v>75</v>
      </c>
      <c r="I2096" s="13"/>
      <c r="J2096" s="13"/>
      <c r="K2096" s="15"/>
      <c r="L2096" s="15"/>
      <c r="M2096" s="16"/>
      <c r="N2096" s="16"/>
      <c r="O2096" s="17"/>
      <c r="P2096" s="17"/>
      <c r="Q2096" s="13"/>
      <c r="R2096" s="13"/>
      <c r="S2096" s="13"/>
      <c r="T2096" s="13">
        <f t="shared" ref="T2096:Y2096" si="2298">IF(ISBLANK(K2096)=TRUE,0,1)</f>
        <v>0</v>
      </c>
      <c r="U2096" s="13">
        <f t="shared" si="2298"/>
        <v>0</v>
      </c>
      <c r="V2096" s="13">
        <f t="shared" si="2298"/>
        <v>0</v>
      </c>
      <c r="W2096" s="13">
        <f t="shared" si="2298"/>
        <v>0</v>
      </c>
      <c r="X2096" s="13">
        <f t="shared" si="2298"/>
        <v>0</v>
      </c>
      <c r="Y2096" s="13">
        <f t="shared" si="2298"/>
        <v>0</v>
      </c>
      <c r="Z2096" s="13" t="str">
        <f t="shared" si="1998"/>
        <v>NA</v>
      </c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</row>
    <row r="2097" ht="14.25" hidden="1" customHeight="1">
      <c r="A2097" s="13" t="s">
        <v>46</v>
      </c>
      <c r="B2097" s="13" t="s">
        <v>49</v>
      </c>
      <c r="C2097" s="13" t="s">
        <v>1231</v>
      </c>
      <c r="D2097" s="13"/>
      <c r="E2097" s="13" t="str">
        <f t="shared" si="1988"/>
        <v>SHS,106-150A-1G,,NA</v>
      </c>
      <c r="F2097" s="13"/>
      <c r="G2097" s="13" t="s">
        <v>74</v>
      </c>
      <c r="H2097" s="13" t="s">
        <v>75</v>
      </c>
      <c r="I2097" s="13"/>
      <c r="J2097" s="13"/>
      <c r="K2097" s="15"/>
      <c r="L2097" s="15"/>
      <c r="M2097" s="16"/>
      <c r="N2097" s="16"/>
      <c r="O2097" s="17"/>
      <c r="P2097" s="17"/>
      <c r="Q2097" s="13"/>
      <c r="R2097" s="13"/>
      <c r="S2097" s="13"/>
      <c r="T2097" s="13">
        <f t="shared" ref="T2097:Y2097" si="2299">IF(ISBLANK(K2097)=TRUE,0,1)</f>
        <v>0</v>
      </c>
      <c r="U2097" s="13">
        <f t="shared" si="2299"/>
        <v>0</v>
      </c>
      <c r="V2097" s="13">
        <f t="shared" si="2299"/>
        <v>0</v>
      </c>
      <c r="W2097" s="13">
        <f t="shared" si="2299"/>
        <v>0</v>
      </c>
      <c r="X2097" s="13">
        <f t="shared" si="2299"/>
        <v>0</v>
      </c>
      <c r="Y2097" s="13">
        <f t="shared" si="2299"/>
        <v>0</v>
      </c>
      <c r="Z2097" s="13" t="str">
        <f t="shared" si="1998"/>
        <v>NA</v>
      </c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</row>
    <row r="2098" ht="14.25" hidden="1" customHeight="1">
      <c r="A2098" s="13" t="s">
        <v>46</v>
      </c>
      <c r="B2098" s="13" t="s">
        <v>49</v>
      </c>
      <c r="C2098" s="13" t="s">
        <v>1232</v>
      </c>
      <c r="D2098" s="13"/>
      <c r="E2098" s="13" t="str">
        <f t="shared" si="1988"/>
        <v>SHS,106-150A-1H,,NA</v>
      </c>
      <c r="F2098" s="13"/>
      <c r="G2098" s="13" t="s">
        <v>74</v>
      </c>
      <c r="H2098" s="13" t="s">
        <v>75</v>
      </c>
      <c r="I2098" s="13"/>
      <c r="J2098" s="13"/>
      <c r="K2098" s="15"/>
      <c r="L2098" s="15"/>
      <c r="M2098" s="16"/>
      <c r="N2098" s="16"/>
      <c r="O2098" s="17"/>
      <c r="P2098" s="17"/>
      <c r="Q2098" s="13"/>
      <c r="R2098" s="13"/>
      <c r="S2098" s="13"/>
      <c r="T2098" s="13">
        <f t="shared" ref="T2098:Y2098" si="2300">IF(ISBLANK(K2098)=TRUE,0,1)</f>
        <v>0</v>
      </c>
      <c r="U2098" s="13">
        <f t="shared" si="2300"/>
        <v>0</v>
      </c>
      <c r="V2098" s="13">
        <f t="shared" si="2300"/>
        <v>0</v>
      </c>
      <c r="W2098" s="13">
        <f t="shared" si="2300"/>
        <v>0</v>
      </c>
      <c r="X2098" s="13">
        <f t="shared" si="2300"/>
        <v>0</v>
      </c>
      <c r="Y2098" s="13">
        <f t="shared" si="2300"/>
        <v>0</v>
      </c>
      <c r="Z2098" s="13" t="str">
        <f t="shared" si="1998"/>
        <v>NA</v>
      </c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</row>
    <row r="2099" ht="14.25" hidden="1" customHeight="1">
      <c r="A2099" s="13" t="s">
        <v>46</v>
      </c>
      <c r="B2099" s="13" t="s">
        <v>49</v>
      </c>
      <c r="C2099" s="13" t="s">
        <v>1233</v>
      </c>
      <c r="D2099" s="13"/>
      <c r="E2099" s="13" t="str">
        <f t="shared" si="1988"/>
        <v>SHS,106-150A-1I,,NA</v>
      </c>
      <c r="F2099" s="13"/>
      <c r="G2099" s="13" t="s">
        <v>74</v>
      </c>
      <c r="H2099" s="13" t="s">
        <v>75</v>
      </c>
      <c r="I2099" s="13"/>
      <c r="J2099" s="13"/>
      <c r="K2099" s="15"/>
      <c r="L2099" s="15"/>
      <c r="M2099" s="16"/>
      <c r="N2099" s="16"/>
      <c r="O2099" s="17"/>
      <c r="P2099" s="17"/>
      <c r="Q2099" s="13"/>
      <c r="R2099" s="13"/>
      <c r="S2099" s="13"/>
      <c r="T2099" s="13">
        <f t="shared" ref="T2099:Y2099" si="2301">IF(ISBLANK(K2099)=TRUE,0,1)</f>
        <v>0</v>
      </c>
      <c r="U2099" s="13">
        <f t="shared" si="2301"/>
        <v>0</v>
      </c>
      <c r="V2099" s="13">
        <f t="shared" si="2301"/>
        <v>0</v>
      </c>
      <c r="W2099" s="13">
        <f t="shared" si="2301"/>
        <v>0</v>
      </c>
      <c r="X2099" s="13">
        <f t="shared" si="2301"/>
        <v>0</v>
      </c>
      <c r="Y2099" s="13">
        <f t="shared" si="2301"/>
        <v>0</v>
      </c>
      <c r="Z2099" s="13" t="str">
        <f t="shared" si="1998"/>
        <v>NA</v>
      </c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</row>
    <row r="2100" ht="14.25" hidden="1" customHeight="1">
      <c r="A2100" s="13" t="s">
        <v>46</v>
      </c>
      <c r="B2100" s="13" t="s">
        <v>49</v>
      </c>
      <c r="C2100" s="13" t="s">
        <v>1234</v>
      </c>
      <c r="D2100" s="13"/>
      <c r="E2100" s="13" t="str">
        <f t="shared" si="1988"/>
        <v>SHS,106-150A-1J,,NA</v>
      </c>
      <c r="F2100" s="13"/>
      <c r="G2100" s="13" t="s">
        <v>74</v>
      </c>
      <c r="H2100" s="13" t="s">
        <v>75</v>
      </c>
      <c r="I2100" s="13"/>
      <c r="J2100" s="13"/>
      <c r="K2100" s="15"/>
      <c r="L2100" s="15"/>
      <c r="M2100" s="16"/>
      <c r="N2100" s="16"/>
      <c r="O2100" s="17"/>
      <c r="P2100" s="17"/>
      <c r="Q2100" s="13"/>
      <c r="R2100" s="13"/>
      <c r="S2100" s="13"/>
      <c r="T2100" s="13">
        <f t="shared" ref="T2100:Y2100" si="2302">IF(ISBLANK(K2100)=TRUE,0,1)</f>
        <v>0</v>
      </c>
      <c r="U2100" s="13">
        <f t="shared" si="2302"/>
        <v>0</v>
      </c>
      <c r="V2100" s="13">
        <f t="shared" si="2302"/>
        <v>0</v>
      </c>
      <c r="W2100" s="13">
        <f t="shared" si="2302"/>
        <v>0</v>
      </c>
      <c r="X2100" s="13">
        <f t="shared" si="2302"/>
        <v>0</v>
      </c>
      <c r="Y2100" s="13">
        <f t="shared" si="2302"/>
        <v>0</v>
      </c>
      <c r="Z2100" s="13" t="str">
        <f t="shared" si="1998"/>
        <v>NA</v>
      </c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</row>
    <row r="2101" ht="14.25" hidden="1" customHeight="1">
      <c r="A2101" s="13" t="s">
        <v>46</v>
      </c>
      <c r="B2101" s="13" t="s">
        <v>49</v>
      </c>
      <c r="C2101" s="13" t="s">
        <v>1235</v>
      </c>
      <c r="D2101" s="13"/>
      <c r="E2101" s="13" t="str">
        <f t="shared" si="1988"/>
        <v>SHS,106-150A-1K,,NA</v>
      </c>
      <c r="F2101" s="13"/>
      <c r="G2101" s="13" t="s">
        <v>74</v>
      </c>
      <c r="H2101" s="13" t="s">
        <v>75</v>
      </c>
      <c r="I2101" s="13"/>
      <c r="J2101" s="13"/>
      <c r="K2101" s="15"/>
      <c r="L2101" s="15"/>
      <c r="M2101" s="16"/>
      <c r="N2101" s="16"/>
      <c r="O2101" s="17"/>
      <c r="P2101" s="17"/>
      <c r="Q2101" s="13"/>
      <c r="R2101" s="13"/>
      <c r="S2101" s="13"/>
      <c r="T2101" s="13">
        <f t="shared" ref="T2101:Y2101" si="2303">IF(ISBLANK(K2101)=TRUE,0,1)</f>
        <v>0</v>
      </c>
      <c r="U2101" s="13">
        <f t="shared" si="2303"/>
        <v>0</v>
      </c>
      <c r="V2101" s="13">
        <f t="shared" si="2303"/>
        <v>0</v>
      </c>
      <c r="W2101" s="13">
        <f t="shared" si="2303"/>
        <v>0</v>
      </c>
      <c r="X2101" s="13">
        <f t="shared" si="2303"/>
        <v>0</v>
      </c>
      <c r="Y2101" s="13">
        <f t="shared" si="2303"/>
        <v>0</v>
      </c>
      <c r="Z2101" s="13" t="str">
        <f t="shared" si="1998"/>
        <v>NA</v>
      </c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</row>
    <row r="2102" ht="14.25" hidden="1" customHeight="1">
      <c r="A2102" s="13" t="s">
        <v>46</v>
      </c>
      <c r="B2102" s="13" t="s">
        <v>49</v>
      </c>
      <c r="C2102" s="13" t="s">
        <v>1236</v>
      </c>
      <c r="D2102" s="13"/>
      <c r="E2102" s="13" t="str">
        <f t="shared" si="1988"/>
        <v>SHS,106-150A-1L,,NA</v>
      </c>
      <c r="F2102" s="13"/>
      <c r="G2102" s="13" t="s">
        <v>74</v>
      </c>
      <c r="H2102" s="13" t="s">
        <v>75</v>
      </c>
      <c r="I2102" s="13"/>
      <c r="J2102" s="13"/>
      <c r="K2102" s="15"/>
      <c r="L2102" s="15"/>
      <c r="M2102" s="16"/>
      <c r="N2102" s="16"/>
      <c r="O2102" s="17"/>
      <c r="P2102" s="17"/>
      <c r="Q2102" s="13"/>
      <c r="R2102" s="13"/>
      <c r="S2102" s="13"/>
      <c r="T2102" s="13">
        <f t="shared" ref="T2102:Y2102" si="2304">IF(ISBLANK(K2102)=TRUE,0,1)</f>
        <v>0</v>
      </c>
      <c r="U2102" s="13">
        <f t="shared" si="2304"/>
        <v>0</v>
      </c>
      <c r="V2102" s="13">
        <f t="shared" si="2304"/>
        <v>0</v>
      </c>
      <c r="W2102" s="13">
        <f t="shared" si="2304"/>
        <v>0</v>
      </c>
      <c r="X2102" s="13">
        <f t="shared" si="2304"/>
        <v>0</v>
      </c>
      <c r="Y2102" s="13">
        <f t="shared" si="2304"/>
        <v>0</v>
      </c>
      <c r="Z2102" s="13" t="str">
        <f t="shared" si="1998"/>
        <v>NA</v>
      </c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</row>
    <row r="2103" ht="14.25" hidden="1" customHeight="1">
      <c r="A2103" s="13" t="s">
        <v>46</v>
      </c>
      <c r="B2103" s="13" t="s">
        <v>49</v>
      </c>
      <c r="C2103" s="13" t="s">
        <v>1237</v>
      </c>
      <c r="D2103" s="13"/>
      <c r="E2103" s="13" t="str">
        <f t="shared" si="1988"/>
        <v>SHS,106-150A-1M,,NA</v>
      </c>
      <c r="F2103" s="13"/>
      <c r="G2103" s="13" t="s">
        <v>74</v>
      </c>
      <c r="H2103" s="13" t="s">
        <v>75</v>
      </c>
      <c r="I2103" s="13"/>
      <c r="J2103" s="13"/>
      <c r="K2103" s="15"/>
      <c r="L2103" s="15"/>
      <c r="M2103" s="16"/>
      <c r="N2103" s="16"/>
      <c r="O2103" s="17"/>
      <c r="P2103" s="17"/>
      <c r="Q2103" s="13"/>
      <c r="R2103" s="13"/>
      <c r="S2103" s="13"/>
      <c r="T2103" s="13">
        <f t="shared" ref="T2103:Y2103" si="2305">IF(ISBLANK(K2103)=TRUE,0,1)</f>
        <v>0</v>
      </c>
      <c r="U2103" s="13">
        <f t="shared" si="2305"/>
        <v>0</v>
      </c>
      <c r="V2103" s="13">
        <f t="shared" si="2305"/>
        <v>0</v>
      </c>
      <c r="W2103" s="13">
        <f t="shared" si="2305"/>
        <v>0</v>
      </c>
      <c r="X2103" s="13">
        <f t="shared" si="2305"/>
        <v>0</v>
      </c>
      <c r="Y2103" s="13">
        <f t="shared" si="2305"/>
        <v>0</v>
      </c>
      <c r="Z2103" s="13" t="str">
        <f t="shared" si="1998"/>
        <v>NA</v>
      </c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</row>
    <row r="2104" ht="14.25" hidden="1" customHeight="1">
      <c r="A2104" s="13" t="s">
        <v>46</v>
      </c>
      <c r="B2104" s="13" t="s">
        <v>49</v>
      </c>
      <c r="C2104" s="13" t="s">
        <v>1238</v>
      </c>
      <c r="D2104" s="13"/>
      <c r="E2104" s="13" t="str">
        <f t="shared" si="1988"/>
        <v>SHS,106-150A-1N,,NA</v>
      </c>
      <c r="F2104" s="13"/>
      <c r="G2104" s="13" t="s">
        <v>74</v>
      </c>
      <c r="H2104" s="13" t="s">
        <v>75</v>
      </c>
      <c r="I2104" s="13"/>
      <c r="J2104" s="13"/>
      <c r="K2104" s="15"/>
      <c r="L2104" s="15"/>
      <c r="M2104" s="16"/>
      <c r="N2104" s="16"/>
      <c r="O2104" s="17"/>
      <c r="P2104" s="17"/>
      <c r="Q2104" s="13"/>
      <c r="R2104" s="13"/>
      <c r="S2104" s="13"/>
      <c r="T2104" s="13">
        <f t="shared" ref="T2104:Y2104" si="2306">IF(ISBLANK(K2104)=TRUE,0,1)</f>
        <v>0</v>
      </c>
      <c r="U2104" s="13">
        <f t="shared" si="2306"/>
        <v>0</v>
      </c>
      <c r="V2104" s="13">
        <f t="shared" si="2306"/>
        <v>0</v>
      </c>
      <c r="W2104" s="13">
        <f t="shared" si="2306"/>
        <v>0</v>
      </c>
      <c r="X2104" s="13">
        <f t="shared" si="2306"/>
        <v>0</v>
      </c>
      <c r="Y2104" s="13">
        <f t="shared" si="2306"/>
        <v>0</v>
      </c>
      <c r="Z2104" s="13" t="str">
        <f t="shared" si="1998"/>
        <v>NA</v>
      </c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</row>
    <row r="2105" ht="14.25" hidden="1" customHeight="1">
      <c r="A2105" s="13" t="s">
        <v>46</v>
      </c>
      <c r="B2105" s="13" t="s">
        <v>49</v>
      </c>
      <c r="C2105" s="13" t="s">
        <v>1239</v>
      </c>
      <c r="D2105" s="13"/>
      <c r="E2105" s="13" t="str">
        <f t="shared" si="1988"/>
        <v>SHS,106-150A-1O,,NA</v>
      </c>
      <c r="F2105" s="13"/>
      <c r="G2105" s="13" t="s">
        <v>74</v>
      </c>
      <c r="H2105" s="13" t="s">
        <v>75</v>
      </c>
      <c r="I2105" s="13"/>
      <c r="J2105" s="13"/>
      <c r="K2105" s="15"/>
      <c r="L2105" s="15"/>
      <c r="M2105" s="16"/>
      <c r="N2105" s="16"/>
      <c r="O2105" s="17"/>
      <c r="P2105" s="17"/>
      <c r="Q2105" s="13"/>
      <c r="R2105" s="13"/>
      <c r="S2105" s="13"/>
      <c r="T2105" s="13">
        <f t="shared" ref="T2105:Y2105" si="2307">IF(ISBLANK(K2105)=TRUE,0,1)</f>
        <v>0</v>
      </c>
      <c r="U2105" s="13">
        <f t="shared" si="2307"/>
        <v>0</v>
      </c>
      <c r="V2105" s="13">
        <f t="shared" si="2307"/>
        <v>0</v>
      </c>
      <c r="W2105" s="13">
        <f t="shared" si="2307"/>
        <v>0</v>
      </c>
      <c r="X2105" s="13">
        <f t="shared" si="2307"/>
        <v>0</v>
      </c>
      <c r="Y2105" s="13">
        <f t="shared" si="2307"/>
        <v>0</v>
      </c>
      <c r="Z2105" s="13" t="str">
        <f t="shared" si="1998"/>
        <v>NA</v>
      </c>
      <c r="AA2105" s="13"/>
      <c r="AB2105" s="13"/>
      <c r="AC2105" s="13"/>
      <c r="AD2105" s="13"/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</row>
    <row r="2106" ht="14.25" hidden="1" customHeight="1">
      <c r="A2106" s="13" t="s">
        <v>46</v>
      </c>
      <c r="B2106" s="13" t="s">
        <v>49</v>
      </c>
      <c r="C2106" s="13" t="s">
        <v>1240</v>
      </c>
      <c r="D2106" s="13"/>
      <c r="E2106" s="13" t="str">
        <f t="shared" si="1988"/>
        <v>SHS,106-150A-1P,,NA</v>
      </c>
      <c r="F2106" s="13"/>
      <c r="G2106" s="13" t="s">
        <v>74</v>
      </c>
      <c r="H2106" s="13" t="s">
        <v>75</v>
      </c>
      <c r="I2106" s="13"/>
      <c r="J2106" s="13"/>
      <c r="K2106" s="15"/>
      <c r="L2106" s="15"/>
      <c r="M2106" s="16"/>
      <c r="N2106" s="16"/>
      <c r="O2106" s="17"/>
      <c r="P2106" s="17"/>
      <c r="Q2106" s="13"/>
      <c r="R2106" s="13"/>
      <c r="S2106" s="13"/>
      <c r="T2106" s="13">
        <f t="shared" ref="T2106:Y2106" si="2308">IF(ISBLANK(K2106)=TRUE,0,1)</f>
        <v>0</v>
      </c>
      <c r="U2106" s="13">
        <f t="shared" si="2308"/>
        <v>0</v>
      </c>
      <c r="V2106" s="13">
        <f t="shared" si="2308"/>
        <v>0</v>
      </c>
      <c r="W2106" s="13">
        <f t="shared" si="2308"/>
        <v>0</v>
      </c>
      <c r="X2106" s="13">
        <f t="shared" si="2308"/>
        <v>0</v>
      </c>
      <c r="Y2106" s="13">
        <f t="shared" si="2308"/>
        <v>0</v>
      </c>
      <c r="Z2106" s="13" t="str">
        <f t="shared" si="1998"/>
        <v>NA</v>
      </c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</row>
    <row r="2107" ht="14.25" hidden="1" customHeight="1">
      <c r="A2107" s="13" t="s">
        <v>46</v>
      </c>
      <c r="B2107" s="13" t="s">
        <v>49</v>
      </c>
      <c r="C2107" s="13" t="s">
        <v>1241</v>
      </c>
      <c r="D2107" s="13"/>
      <c r="E2107" s="13" t="str">
        <f t="shared" si="1988"/>
        <v>SHS,106-150A-1Q,,NA</v>
      </c>
      <c r="F2107" s="13"/>
      <c r="G2107" s="13" t="s">
        <v>74</v>
      </c>
      <c r="H2107" s="13" t="s">
        <v>75</v>
      </c>
      <c r="I2107" s="13"/>
      <c r="J2107" s="13"/>
      <c r="K2107" s="15"/>
      <c r="L2107" s="15"/>
      <c r="M2107" s="16"/>
      <c r="N2107" s="16"/>
      <c r="O2107" s="17"/>
      <c r="P2107" s="17"/>
      <c r="Q2107" s="13"/>
      <c r="R2107" s="13"/>
      <c r="S2107" s="13"/>
      <c r="T2107" s="13">
        <f t="shared" ref="T2107:Y2107" si="2309">IF(ISBLANK(K2107)=TRUE,0,1)</f>
        <v>0</v>
      </c>
      <c r="U2107" s="13">
        <f t="shared" si="2309"/>
        <v>0</v>
      </c>
      <c r="V2107" s="13">
        <f t="shared" si="2309"/>
        <v>0</v>
      </c>
      <c r="W2107" s="13">
        <f t="shared" si="2309"/>
        <v>0</v>
      </c>
      <c r="X2107" s="13">
        <f t="shared" si="2309"/>
        <v>0</v>
      </c>
      <c r="Y2107" s="13">
        <f t="shared" si="2309"/>
        <v>0</v>
      </c>
      <c r="Z2107" s="13" t="str">
        <f t="shared" si="1998"/>
        <v>NA</v>
      </c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</row>
    <row r="2108" ht="14.25" hidden="1" customHeight="1">
      <c r="A2108" s="13" t="s">
        <v>46</v>
      </c>
      <c r="B2108" s="13" t="s">
        <v>49</v>
      </c>
      <c r="C2108" s="13" t="s">
        <v>1242</v>
      </c>
      <c r="D2108" s="13"/>
      <c r="E2108" s="13" t="str">
        <f t="shared" si="1988"/>
        <v>SHS,106-150A-4B-1A,,0</v>
      </c>
      <c r="F2108" s="13"/>
      <c r="G2108" s="13" t="s">
        <v>74</v>
      </c>
      <c r="H2108" s="13" t="s">
        <v>75</v>
      </c>
      <c r="I2108" s="13"/>
      <c r="J2108" s="13"/>
      <c r="K2108" s="15"/>
      <c r="L2108" s="15"/>
      <c r="M2108" s="16"/>
      <c r="N2108" s="16"/>
      <c r="O2108" s="17">
        <v>0.0</v>
      </c>
      <c r="P2108" s="17">
        <v>0.0</v>
      </c>
      <c r="Q2108" s="13"/>
      <c r="R2108" s="13"/>
      <c r="S2108" s="13"/>
      <c r="T2108" s="13">
        <f t="shared" ref="T2108:Y2108" si="2310">IF(ISBLANK(K2108)=TRUE,0,1)</f>
        <v>0</v>
      </c>
      <c r="U2108" s="13">
        <f t="shared" si="2310"/>
        <v>0</v>
      </c>
      <c r="V2108" s="13">
        <f t="shared" si="2310"/>
        <v>0</v>
      </c>
      <c r="W2108" s="13">
        <f t="shared" si="2310"/>
        <v>0</v>
      </c>
      <c r="X2108" s="13">
        <f t="shared" si="2310"/>
        <v>1</v>
      </c>
      <c r="Y2108" s="13">
        <f t="shared" si="2310"/>
        <v>1</v>
      </c>
      <c r="Z2108" s="13">
        <f t="shared" si="1998"/>
        <v>0</v>
      </c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</row>
    <row r="2109" ht="14.25" hidden="1" customHeight="1">
      <c r="A2109" s="13" t="s">
        <v>46</v>
      </c>
      <c r="B2109" s="13" t="s">
        <v>49</v>
      </c>
      <c r="C2109" s="13" t="s">
        <v>1243</v>
      </c>
      <c r="D2109" s="13"/>
      <c r="E2109" s="13" t="str">
        <f t="shared" si="1988"/>
        <v>SHS,106-150A-4B-1B,,0</v>
      </c>
      <c r="F2109" s="13"/>
      <c r="G2109" s="13" t="s">
        <v>74</v>
      </c>
      <c r="H2109" s="13" t="s">
        <v>75</v>
      </c>
      <c r="I2109" s="13"/>
      <c r="J2109" s="13"/>
      <c r="K2109" s="15"/>
      <c r="L2109" s="15"/>
      <c r="M2109" s="16"/>
      <c r="N2109" s="16"/>
      <c r="O2109" s="17">
        <v>0.0</v>
      </c>
      <c r="P2109" s="17">
        <v>0.0</v>
      </c>
      <c r="Q2109" s="13"/>
      <c r="R2109" s="13"/>
      <c r="S2109" s="13"/>
      <c r="T2109" s="13">
        <f t="shared" ref="T2109:Y2109" si="2311">IF(ISBLANK(K2109)=TRUE,0,1)</f>
        <v>0</v>
      </c>
      <c r="U2109" s="13">
        <f t="shared" si="2311"/>
        <v>0</v>
      </c>
      <c r="V2109" s="13">
        <f t="shared" si="2311"/>
        <v>0</v>
      </c>
      <c r="W2109" s="13">
        <f t="shared" si="2311"/>
        <v>0</v>
      </c>
      <c r="X2109" s="13">
        <f t="shared" si="2311"/>
        <v>1</v>
      </c>
      <c r="Y2109" s="13">
        <f t="shared" si="2311"/>
        <v>1</v>
      </c>
      <c r="Z2109" s="13">
        <f t="shared" si="1998"/>
        <v>0</v>
      </c>
      <c r="AA2109" s="13"/>
      <c r="AB2109" s="13"/>
      <c r="AC2109" s="13"/>
      <c r="AD2109" s="13"/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</row>
    <row r="2110" ht="14.25" hidden="1" customHeight="1">
      <c r="A2110" s="13" t="s">
        <v>46</v>
      </c>
      <c r="B2110" s="13" t="s">
        <v>49</v>
      </c>
      <c r="C2110" s="13" t="s">
        <v>1244</v>
      </c>
      <c r="D2110" s="13"/>
      <c r="E2110" s="13" t="str">
        <f t="shared" si="1988"/>
        <v>SHS,106-150A-4B-1C,,NA</v>
      </c>
      <c r="F2110" s="13"/>
      <c r="G2110" s="13" t="s">
        <v>74</v>
      </c>
      <c r="H2110" s="13" t="s">
        <v>75</v>
      </c>
      <c r="I2110" s="13"/>
      <c r="J2110" s="13"/>
      <c r="K2110" s="15"/>
      <c r="L2110" s="15"/>
      <c r="M2110" s="16"/>
      <c r="N2110" s="16"/>
      <c r="O2110" s="17"/>
      <c r="P2110" s="17"/>
      <c r="Q2110" s="13"/>
      <c r="R2110" s="13"/>
      <c r="S2110" s="13"/>
      <c r="T2110" s="13">
        <f t="shared" ref="T2110:Y2110" si="2312">IF(ISBLANK(K2110)=TRUE,0,1)</f>
        <v>0</v>
      </c>
      <c r="U2110" s="13">
        <f t="shared" si="2312"/>
        <v>0</v>
      </c>
      <c r="V2110" s="13">
        <f t="shared" si="2312"/>
        <v>0</v>
      </c>
      <c r="W2110" s="13">
        <f t="shared" si="2312"/>
        <v>0</v>
      </c>
      <c r="X2110" s="13">
        <f t="shared" si="2312"/>
        <v>0</v>
      </c>
      <c r="Y2110" s="13">
        <f t="shared" si="2312"/>
        <v>0</v>
      </c>
      <c r="Z2110" s="13" t="str">
        <f t="shared" si="1998"/>
        <v>NA</v>
      </c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</row>
    <row r="2111" ht="14.25" hidden="1" customHeight="1">
      <c r="A2111" s="13" t="s">
        <v>46</v>
      </c>
      <c r="B2111" s="13" t="s">
        <v>49</v>
      </c>
      <c r="C2111" s="13" t="s">
        <v>1245</v>
      </c>
      <c r="D2111" s="13"/>
      <c r="E2111" s="13" t="str">
        <f t="shared" si="1988"/>
        <v>SHS,106-150A-4B-1D,,1</v>
      </c>
      <c r="F2111" s="13"/>
      <c r="G2111" s="13" t="s">
        <v>74</v>
      </c>
      <c r="H2111" s="13" t="s">
        <v>75</v>
      </c>
      <c r="I2111" s="13"/>
      <c r="J2111" s="13"/>
      <c r="K2111" s="15"/>
      <c r="L2111" s="15"/>
      <c r="M2111" s="16"/>
      <c r="N2111" s="16"/>
      <c r="O2111" s="17">
        <v>1.0</v>
      </c>
      <c r="P2111" s="17">
        <v>1.0</v>
      </c>
      <c r="Q2111" s="13"/>
      <c r="R2111" s="13"/>
      <c r="S2111" s="13"/>
      <c r="T2111" s="13">
        <f t="shared" ref="T2111:Y2111" si="2313">IF(ISBLANK(K2111)=TRUE,0,1)</f>
        <v>0</v>
      </c>
      <c r="U2111" s="13">
        <f t="shared" si="2313"/>
        <v>0</v>
      </c>
      <c r="V2111" s="13">
        <f t="shared" si="2313"/>
        <v>0</v>
      </c>
      <c r="W2111" s="13">
        <f t="shared" si="2313"/>
        <v>0</v>
      </c>
      <c r="X2111" s="13">
        <f t="shared" si="2313"/>
        <v>1</v>
      </c>
      <c r="Y2111" s="13">
        <f t="shared" si="2313"/>
        <v>1</v>
      </c>
      <c r="Z2111" s="13">
        <f t="shared" si="1998"/>
        <v>1</v>
      </c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</row>
    <row r="2112" ht="14.25" hidden="1" customHeight="1">
      <c r="A2112" s="13" t="s">
        <v>46</v>
      </c>
      <c r="B2112" s="13" t="s">
        <v>49</v>
      </c>
      <c r="C2112" s="13" t="s">
        <v>1246</v>
      </c>
      <c r="D2112" s="13"/>
      <c r="E2112" s="13" t="str">
        <f t="shared" si="1988"/>
        <v>SHS,106-150A-4B-1E,,0</v>
      </c>
      <c r="F2112" s="13"/>
      <c r="G2112" s="13" t="s">
        <v>74</v>
      </c>
      <c r="H2112" s="13" t="s">
        <v>75</v>
      </c>
      <c r="I2112" s="13"/>
      <c r="J2112" s="13"/>
      <c r="K2112" s="15"/>
      <c r="L2112" s="15"/>
      <c r="M2112" s="16"/>
      <c r="N2112" s="16"/>
      <c r="O2112" s="17">
        <v>0.0</v>
      </c>
      <c r="P2112" s="17">
        <v>0.0</v>
      </c>
      <c r="Q2112" s="13"/>
      <c r="R2112" s="13"/>
      <c r="S2112" s="13"/>
      <c r="T2112" s="13">
        <f t="shared" ref="T2112:Y2112" si="2314">IF(ISBLANK(K2112)=TRUE,0,1)</f>
        <v>0</v>
      </c>
      <c r="U2112" s="13">
        <f t="shared" si="2314"/>
        <v>0</v>
      </c>
      <c r="V2112" s="13">
        <f t="shared" si="2314"/>
        <v>0</v>
      </c>
      <c r="W2112" s="13">
        <f t="shared" si="2314"/>
        <v>0</v>
      </c>
      <c r="X2112" s="13">
        <f t="shared" si="2314"/>
        <v>1</v>
      </c>
      <c r="Y2112" s="13">
        <f t="shared" si="2314"/>
        <v>1</v>
      </c>
      <c r="Z2112" s="13">
        <f t="shared" si="1998"/>
        <v>0</v>
      </c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</row>
    <row r="2113" ht="14.25" hidden="1" customHeight="1">
      <c r="A2113" s="13" t="s">
        <v>46</v>
      </c>
      <c r="B2113" s="13" t="s">
        <v>49</v>
      </c>
      <c r="C2113" s="13" t="s">
        <v>1247</v>
      </c>
      <c r="D2113" s="13"/>
      <c r="E2113" s="13" t="str">
        <f t="shared" si="1988"/>
        <v>SHS,106-150A-4B-1F,,0</v>
      </c>
      <c r="F2113" s="13"/>
      <c r="G2113" s="13" t="s">
        <v>74</v>
      </c>
      <c r="H2113" s="13" t="s">
        <v>75</v>
      </c>
      <c r="I2113" s="13"/>
      <c r="J2113" s="13"/>
      <c r="K2113" s="15"/>
      <c r="L2113" s="15"/>
      <c r="M2113" s="16"/>
      <c r="N2113" s="16"/>
      <c r="O2113" s="17">
        <v>0.0</v>
      </c>
      <c r="P2113" s="17">
        <v>0.0</v>
      </c>
      <c r="Q2113" s="13"/>
      <c r="R2113" s="13"/>
      <c r="S2113" s="13"/>
      <c r="T2113" s="13">
        <f t="shared" ref="T2113:Y2113" si="2315">IF(ISBLANK(K2113)=TRUE,0,1)</f>
        <v>0</v>
      </c>
      <c r="U2113" s="13">
        <f t="shared" si="2315"/>
        <v>0</v>
      </c>
      <c r="V2113" s="13">
        <f t="shared" si="2315"/>
        <v>0</v>
      </c>
      <c r="W2113" s="13">
        <f t="shared" si="2315"/>
        <v>0</v>
      </c>
      <c r="X2113" s="13">
        <f t="shared" si="2315"/>
        <v>1</v>
      </c>
      <c r="Y2113" s="13">
        <f t="shared" si="2315"/>
        <v>1</v>
      </c>
      <c r="Z2113" s="13">
        <f t="shared" si="1998"/>
        <v>0</v>
      </c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</row>
    <row r="2114" ht="14.25" hidden="1" customHeight="1">
      <c r="A2114" s="13" t="s">
        <v>46</v>
      </c>
      <c r="B2114" s="13" t="s">
        <v>49</v>
      </c>
      <c r="C2114" s="13" t="s">
        <v>1248</v>
      </c>
      <c r="D2114" s="13"/>
      <c r="E2114" s="13" t="str">
        <f t="shared" si="1988"/>
        <v>SHS,106-150A-4B-1G,,1</v>
      </c>
      <c r="F2114" s="13"/>
      <c r="G2114" s="13" t="s">
        <v>74</v>
      </c>
      <c r="H2114" s="13" t="s">
        <v>75</v>
      </c>
      <c r="I2114" s="13"/>
      <c r="J2114" s="13"/>
      <c r="K2114" s="15"/>
      <c r="L2114" s="15"/>
      <c r="M2114" s="16"/>
      <c r="N2114" s="16"/>
      <c r="O2114" s="17">
        <v>1.0</v>
      </c>
      <c r="P2114" s="17">
        <v>1.0</v>
      </c>
      <c r="Q2114" s="13"/>
      <c r="R2114" s="13"/>
      <c r="S2114" s="13"/>
      <c r="T2114" s="13">
        <f t="shared" ref="T2114:Y2114" si="2316">IF(ISBLANK(K2114)=TRUE,0,1)</f>
        <v>0</v>
      </c>
      <c r="U2114" s="13">
        <f t="shared" si="2316"/>
        <v>0</v>
      </c>
      <c r="V2114" s="13">
        <f t="shared" si="2316"/>
        <v>0</v>
      </c>
      <c r="W2114" s="13">
        <f t="shared" si="2316"/>
        <v>0</v>
      </c>
      <c r="X2114" s="13">
        <f t="shared" si="2316"/>
        <v>1</v>
      </c>
      <c r="Y2114" s="13">
        <f t="shared" si="2316"/>
        <v>1</v>
      </c>
      <c r="Z2114" s="13">
        <f t="shared" si="1998"/>
        <v>1</v>
      </c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</row>
    <row r="2115" ht="14.25" hidden="1" customHeight="1">
      <c r="A2115" s="13" t="s">
        <v>46</v>
      </c>
      <c r="B2115" s="13" t="s">
        <v>49</v>
      </c>
      <c r="C2115" s="13" t="s">
        <v>1249</v>
      </c>
      <c r="D2115" s="13"/>
      <c r="E2115" s="13" t="str">
        <f t="shared" si="1988"/>
        <v>SHS,106-150A-4B-1H,,1</v>
      </c>
      <c r="F2115" s="13"/>
      <c r="G2115" s="13" t="s">
        <v>74</v>
      </c>
      <c r="H2115" s="13" t="s">
        <v>75</v>
      </c>
      <c r="I2115" s="13"/>
      <c r="J2115" s="13"/>
      <c r="K2115" s="15"/>
      <c r="L2115" s="15"/>
      <c r="M2115" s="16"/>
      <c r="N2115" s="16"/>
      <c r="O2115" s="17">
        <v>1.0</v>
      </c>
      <c r="P2115" s="17">
        <v>1.0</v>
      </c>
      <c r="Q2115" s="13"/>
      <c r="R2115" s="13"/>
      <c r="S2115" s="13"/>
      <c r="T2115" s="13">
        <f t="shared" ref="T2115:Y2115" si="2317">IF(ISBLANK(K2115)=TRUE,0,1)</f>
        <v>0</v>
      </c>
      <c r="U2115" s="13">
        <f t="shared" si="2317"/>
        <v>0</v>
      </c>
      <c r="V2115" s="13">
        <f t="shared" si="2317"/>
        <v>0</v>
      </c>
      <c r="W2115" s="13">
        <f t="shared" si="2317"/>
        <v>0</v>
      </c>
      <c r="X2115" s="13">
        <f t="shared" si="2317"/>
        <v>1</v>
      </c>
      <c r="Y2115" s="13">
        <f t="shared" si="2317"/>
        <v>1</v>
      </c>
      <c r="Z2115" s="13">
        <f t="shared" si="1998"/>
        <v>1</v>
      </c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</row>
    <row r="2116" ht="14.25" hidden="1" customHeight="1">
      <c r="A2116" s="13" t="s">
        <v>46</v>
      </c>
      <c r="B2116" s="13" t="s">
        <v>49</v>
      </c>
      <c r="C2116" s="13" t="s">
        <v>1250</v>
      </c>
      <c r="D2116" s="13"/>
      <c r="E2116" s="13" t="str">
        <f t="shared" si="1988"/>
        <v>SHS,106-150A-4B-1I,,0</v>
      </c>
      <c r="F2116" s="13"/>
      <c r="G2116" s="13" t="s">
        <v>74</v>
      </c>
      <c r="H2116" s="13" t="s">
        <v>75</v>
      </c>
      <c r="I2116" s="13"/>
      <c r="J2116" s="13"/>
      <c r="K2116" s="15"/>
      <c r="L2116" s="15"/>
      <c r="M2116" s="16"/>
      <c r="N2116" s="16"/>
      <c r="O2116" s="17">
        <v>0.0</v>
      </c>
      <c r="P2116" s="17">
        <v>0.0</v>
      </c>
      <c r="Q2116" s="13"/>
      <c r="R2116" s="13"/>
      <c r="S2116" s="13"/>
      <c r="T2116" s="13">
        <f t="shared" ref="T2116:Y2116" si="2318">IF(ISBLANK(K2116)=TRUE,0,1)</f>
        <v>0</v>
      </c>
      <c r="U2116" s="13">
        <f t="shared" si="2318"/>
        <v>0</v>
      </c>
      <c r="V2116" s="13">
        <f t="shared" si="2318"/>
        <v>0</v>
      </c>
      <c r="W2116" s="13">
        <f t="shared" si="2318"/>
        <v>0</v>
      </c>
      <c r="X2116" s="13">
        <f t="shared" si="2318"/>
        <v>1</v>
      </c>
      <c r="Y2116" s="13">
        <f t="shared" si="2318"/>
        <v>1</v>
      </c>
      <c r="Z2116" s="13">
        <f t="shared" si="1998"/>
        <v>0</v>
      </c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</row>
    <row r="2117" ht="14.25" hidden="1" customHeight="1">
      <c r="A2117" s="13" t="s">
        <v>46</v>
      </c>
      <c r="B2117" s="13" t="s">
        <v>49</v>
      </c>
      <c r="C2117" s="13" t="s">
        <v>1251</v>
      </c>
      <c r="D2117" s="13"/>
      <c r="E2117" s="13" t="str">
        <f t="shared" si="1988"/>
        <v>SHS,106-150A-4B-1J,,0</v>
      </c>
      <c r="F2117" s="13"/>
      <c r="G2117" s="13" t="s">
        <v>74</v>
      </c>
      <c r="H2117" s="13" t="s">
        <v>75</v>
      </c>
      <c r="I2117" s="13"/>
      <c r="J2117" s="13"/>
      <c r="K2117" s="15"/>
      <c r="L2117" s="15"/>
      <c r="M2117" s="16"/>
      <c r="N2117" s="16"/>
      <c r="O2117" s="17">
        <v>0.0</v>
      </c>
      <c r="P2117" s="17">
        <v>0.0</v>
      </c>
      <c r="Q2117" s="13"/>
      <c r="R2117" s="13"/>
      <c r="S2117" s="13"/>
      <c r="T2117" s="13">
        <f t="shared" ref="T2117:Y2117" si="2319">IF(ISBLANK(K2117)=TRUE,0,1)</f>
        <v>0</v>
      </c>
      <c r="U2117" s="13">
        <f t="shared" si="2319"/>
        <v>0</v>
      </c>
      <c r="V2117" s="13">
        <f t="shared" si="2319"/>
        <v>0</v>
      </c>
      <c r="W2117" s="13">
        <f t="shared" si="2319"/>
        <v>0</v>
      </c>
      <c r="X2117" s="13">
        <f t="shared" si="2319"/>
        <v>1</v>
      </c>
      <c r="Y2117" s="13">
        <f t="shared" si="2319"/>
        <v>1</v>
      </c>
      <c r="Z2117" s="13">
        <f t="shared" si="1998"/>
        <v>0</v>
      </c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</row>
    <row r="2118" ht="14.25" hidden="1" customHeight="1">
      <c r="A2118" s="13" t="s">
        <v>46</v>
      </c>
      <c r="B2118" s="13" t="s">
        <v>49</v>
      </c>
      <c r="C2118" s="13" t="s">
        <v>1252</v>
      </c>
      <c r="D2118" s="13"/>
      <c r="E2118" s="13" t="str">
        <f t="shared" si="1988"/>
        <v>SHS,106-150A-4B-1K,,0</v>
      </c>
      <c r="F2118" s="13"/>
      <c r="G2118" s="13" t="s">
        <v>74</v>
      </c>
      <c r="H2118" s="13" t="s">
        <v>75</v>
      </c>
      <c r="I2118" s="13"/>
      <c r="J2118" s="13"/>
      <c r="K2118" s="15"/>
      <c r="L2118" s="15"/>
      <c r="M2118" s="16"/>
      <c r="N2118" s="16"/>
      <c r="O2118" s="17">
        <v>0.0</v>
      </c>
      <c r="P2118" s="17">
        <v>0.0</v>
      </c>
      <c r="Q2118" s="13"/>
      <c r="R2118" s="13"/>
      <c r="S2118" s="13"/>
      <c r="T2118" s="13">
        <f t="shared" ref="T2118:Y2118" si="2320">IF(ISBLANK(K2118)=TRUE,0,1)</f>
        <v>0</v>
      </c>
      <c r="U2118" s="13">
        <f t="shared" si="2320"/>
        <v>0</v>
      </c>
      <c r="V2118" s="13">
        <f t="shared" si="2320"/>
        <v>0</v>
      </c>
      <c r="W2118" s="13">
        <f t="shared" si="2320"/>
        <v>0</v>
      </c>
      <c r="X2118" s="13">
        <f t="shared" si="2320"/>
        <v>1</v>
      </c>
      <c r="Y2118" s="13">
        <f t="shared" si="2320"/>
        <v>1</v>
      </c>
      <c r="Z2118" s="13">
        <f t="shared" si="1998"/>
        <v>0</v>
      </c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</row>
    <row r="2119" ht="14.25" hidden="1" customHeight="1">
      <c r="A2119" s="13" t="s">
        <v>46</v>
      </c>
      <c r="B2119" s="13" t="s">
        <v>49</v>
      </c>
      <c r="C2119" s="13" t="s">
        <v>1253</v>
      </c>
      <c r="D2119" s="13"/>
      <c r="E2119" s="13" t="str">
        <f t="shared" si="1988"/>
        <v>SHS,106-150A-4B-1L,,1</v>
      </c>
      <c r="F2119" s="13"/>
      <c r="G2119" s="13" t="s">
        <v>74</v>
      </c>
      <c r="H2119" s="13" t="s">
        <v>75</v>
      </c>
      <c r="I2119" s="13"/>
      <c r="J2119" s="13"/>
      <c r="K2119" s="15"/>
      <c r="L2119" s="15"/>
      <c r="M2119" s="16"/>
      <c r="N2119" s="16"/>
      <c r="O2119" s="17">
        <v>1.0</v>
      </c>
      <c r="P2119" s="17">
        <v>1.0</v>
      </c>
      <c r="Q2119" s="13"/>
      <c r="R2119" s="13"/>
      <c r="S2119" s="13"/>
      <c r="T2119" s="13">
        <f t="shared" ref="T2119:Y2119" si="2321">IF(ISBLANK(K2119)=TRUE,0,1)</f>
        <v>0</v>
      </c>
      <c r="U2119" s="13">
        <f t="shared" si="2321"/>
        <v>0</v>
      </c>
      <c r="V2119" s="13">
        <f t="shared" si="2321"/>
        <v>0</v>
      </c>
      <c r="W2119" s="13">
        <f t="shared" si="2321"/>
        <v>0</v>
      </c>
      <c r="X2119" s="13">
        <f t="shared" si="2321"/>
        <v>1</v>
      </c>
      <c r="Y2119" s="13">
        <f t="shared" si="2321"/>
        <v>1</v>
      </c>
      <c r="Z2119" s="13">
        <f t="shared" si="1998"/>
        <v>1</v>
      </c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</row>
    <row r="2120" ht="14.25" hidden="1" customHeight="1">
      <c r="A2120" s="13" t="s">
        <v>46</v>
      </c>
      <c r="B2120" s="13" t="s">
        <v>49</v>
      </c>
      <c r="C2120" s="13" t="s">
        <v>1254</v>
      </c>
      <c r="D2120" s="13" t="s">
        <v>175</v>
      </c>
      <c r="E2120" s="13" t="str">
        <f t="shared" si="1988"/>
        <v>SHS,106-36A-20,AB,1</v>
      </c>
      <c r="F2120" s="13"/>
      <c r="G2120" s="26" t="s">
        <v>74</v>
      </c>
      <c r="H2120" s="13" t="s">
        <v>75</v>
      </c>
      <c r="I2120" s="13"/>
      <c r="J2120" s="13"/>
      <c r="K2120" s="15">
        <v>1.0</v>
      </c>
      <c r="L2120" s="15">
        <v>1.0</v>
      </c>
      <c r="M2120" s="16"/>
      <c r="N2120" s="16"/>
      <c r="O2120" s="17"/>
      <c r="P2120" s="17"/>
      <c r="Q2120" s="13"/>
      <c r="R2120" s="13"/>
      <c r="S2120" s="13"/>
      <c r="T2120" s="13">
        <f t="shared" ref="T2120:Y2120" si="2322">IF(ISBLANK(K2120)=TRUE,0,1)</f>
        <v>1</v>
      </c>
      <c r="U2120" s="13">
        <f t="shared" si="2322"/>
        <v>1</v>
      </c>
      <c r="V2120" s="13">
        <f t="shared" si="2322"/>
        <v>0</v>
      </c>
      <c r="W2120" s="13">
        <f t="shared" si="2322"/>
        <v>0</v>
      </c>
      <c r="X2120" s="13">
        <f t="shared" si="2322"/>
        <v>0</v>
      </c>
      <c r="Y2120" s="13">
        <f t="shared" si="2322"/>
        <v>0</v>
      </c>
      <c r="Z2120" s="13">
        <f t="shared" si="1998"/>
        <v>1</v>
      </c>
      <c r="AA2120" s="13" t="s">
        <v>378</v>
      </c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</row>
    <row r="2121" ht="14.25" hidden="1" customHeight="1">
      <c r="A2121" s="13" t="s">
        <v>46</v>
      </c>
      <c r="B2121" s="13" t="s">
        <v>49</v>
      </c>
      <c r="C2121" s="13" t="s">
        <v>1254</v>
      </c>
      <c r="D2121" s="13" t="s">
        <v>176</v>
      </c>
      <c r="E2121" s="13" t="str">
        <f t="shared" si="1988"/>
        <v>SHS,106-36A-20,AC,1</v>
      </c>
      <c r="F2121" s="13"/>
      <c r="G2121" s="26" t="s">
        <v>74</v>
      </c>
      <c r="H2121" s="13" t="s">
        <v>75</v>
      </c>
      <c r="I2121" s="13"/>
      <c r="J2121" s="13"/>
      <c r="K2121" s="15">
        <v>1.0</v>
      </c>
      <c r="L2121" s="15">
        <v>1.0</v>
      </c>
      <c r="M2121" s="16"/>
      <c r="N2121" s="16"/>
      <c r="O2121" s="17"/>
      <c r="P2121" s="17"/>
      <c r="Q2121" s="13"/>
      <c r="R2121" s="13"/>
      <c r="S2121" s="13"/>
      <c r="T2121" s="13">
        <f t="shared" ref="T2121:Y2121" si="2323">IF(ISBLANK(K2121)=TRUE,0,1)</f>
        <v>1</v>
      </c>
      <c r="U2121" s="13">
        <f t="shared" si="2323"/>
        <v>1</v>
      </c>
      <c r="V2121" s="13">
        <f t="shared" si="2323"/>
        <v>0</v>
      </c>
      <c r="W2121" s="13">
        <f t="shared" si="2323"/>
        <v>0</v>
      </c>
      <c r="X2121" s="13">
        <f t="shared" si="2323"/>
        <v>0</v>
      </c>
      <c r="Y2121" s="13">
        <f t="shared" si="2323"/>
        <v>0</v>
      </c>
      <c r="Z2121" s="13">
        <f t="shared" si="1998"/>
        <v>1</v>
      </c>
      <c r="AA2121" s="13" t="s">
        <v>378</v>
      </c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</row>
    <row r="2122" ht="14.25" hidden="1" customHeight="1">
      <c r="A2122" s="13" t="s">
        <v>46</v>
      </c>
      <c r="B2122" s="13" t="s">
        <v>49</v>
      </c>
      <c r="C2122" s="13" t="s">
        <v>1254</v>
      </c>
      <c r="D2122" s="13" t="s">
        <v>177</v>
      </c>
      <c r="E2122" s="13" t="str">
        <f t="shared" si="1988"/>
        <v>SHS,106-36A-20,AD,1</v>
      </c>
      <c r="F2122" s="13"/>
      <c r="G2122" s="26" t="s">
        <v>74</v>
      </c>
      <c r="H2122" s="13" t="s">
        <v>75</v>
      </c>
      <c r="I2122" s="13"/>
      <c r="J2122" s="13"/>
      <c r="K2122" s="15">
        <v>1.0</v>
      </c>
      <c r="L2122" s="15">
        <v>1.0</v>
      </c>
      <c r="M2122" s="16"/>
      <c r="N2122" s="16"/>
      <c r="O2122" s="17"/>
      <c r="P2122" s="17"/>
      <c r="Q2122" s="13"/>
      <c r="R2122" s="13"/>
      <c r="S2122" s="13"/>
      <c r="T2122" s="13">
        <f t="shared" ref="T2122:Y2122" si="2324">IF(ISBLANK(K2122)=TRUE,0,1)</f>
        <v>1</v>
      </c>
      <c r="U2122" s="13">
        <f t="shared" si="2324"/>
        <v>1</v>
      </c>
      <c r="V2122" s="13">
        <f t="shared" si="2324"/>
        <v>0</v>
      </c>
      <c r="W2122" s="13">
        <f t="shared" si="2324"/>
        <v>0</v>
      </c>
      <c r="X2122" s="13">
        <f t="shared" si="2324"/>
        <v>0</v>
      </c>
      <c r="Y2122" s="13">
        <f t="shared" si="2324"/>
        <v>0</v>
      </c>
      <c r="Z2122" s="13">
        <f t="shared" si="1998"/>
        <v>1</v>
      </c>
      <c r="AA2122" s="13" t="s">
        <v>378</v>
      </c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</row>
    <row r="2123" ht="14.25" hidden="1" customHeight="1">
      <c r="A2123" s="13" t="s">
        <v>46</v>
      </c>
      <c r="B2123" s="13" t="s">
        <v>49</v>
      </c>
      <c r="C2123" s="13" t="s">
        <v>1254</v>
      </c>
      <c r="D2123" s="13" t="s">
        <v>178</v>
      </c>
      <c r="E2123" s="13" t="str">
        <f t="shared" si="1988"/>
        <v>SHS,106-36A-20,AE,1</v>
      </c>
      <c r="F2123" s="13"/>
      <c r="G2123" s="26" t="s">
        <v>74</v>
      </c>
      <c r="H2123" s="13" t="s">
        <v>75</v>
      </c>
      <c r="I2123" s="13"/>
      <c r="J2123" s="13"/>
      <c r="K2123" s="15">
        <v>1.0</v>
      </c>
      <c r="L2123" s="15">
        <v>1.0</v>
      </c>
      <c r="M2123" s="16"/>
      <c r="N2123" s="16"/>
      <c r="O2123" s="17"/>
      <c r="P2123" s="17"/>
      <c r="Q2123" s="13"/>
      <c r="R2123" s="13"/>
      <c r="S2123" s="13"/>
      <c r="T2123" s="13">
        <f t="shared" ref="T2123:Y2123" si="2325">IF(ISBLANK(K2123)=TRUE,0,1)</f>
        <v>1</v>
      </c>
      <c r="U2123" s="13">
        <f t="shared" si="2325"/>
        <v>1</v>
      </c>
      <c r="V2123" s="13">
        <f t="shared" si="2325"/>
        <v>0</v>
      </c>
      <c r="W2123" s="13">
        <f t="shared" si="2325"/>
        <v>0</v>
      </c>
      <c r="X2123" s="13">
        <f t="shared" si="2325"/>
        <v>0</v>
      </c>
      <c r="Y2123" s="13">
        <f t="shared" si="2325"/>
        <v>0</v>
      </c>
      <c r="Z2123" s="13">
        <f t="shared" si="1998"/>
        <v>1</v>
      </c>
      <c r="AA2123" s="13" t="s">
        <v>378</v>
      </c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</row>
    <row r="2124" ht="14.25" hidden="1" customHeight="1">
      <c r="A2124" s="13" t="s">
        <v>46</v>
      </c>
      <c r="B2124" s="13" t="s">
        <v>49</v>
      </c>
      <c r="C2124" s="13" t="s">
        <v>1254</v>
      </c>
      <c r="D2124" s="13" t="s">
        <v>179</v>
      </c>
      <c r="E2124" s="13" t="str">
        <f t="shared" si="1988"/>
        <v>SHS,106-36A-20,AF,1</v>
      </c>
      <c r="F2124" s="13"/>
      <c r="G2124" s="26" t="s">
        <v>74</v>
      </c>
      <c r="H2124" s="13" t="s">
        <v>75</v>
      </c>
      <c r="I2124" s="13"/>
      <c r="J2124" s="13"/>
      <c r="K2124" s="15">
        <v>1.0</v>
      </c>
      <c r="L2124" s="15">
        <v>1.0</v>
      </c>
      <c r="M2124" s="16"/>
      <c r="N2124" s="16"/>
      <c r="O2124" s="17"/>
      <c r="P2124" s="17"/>
      <c r="Q2124" s="13"/>
      <c r="R2124" s="13"/>
      <c r="S2124" s="13"/>
      <c r="T2124" s="13">
        <f t="shared" ref="T2124:Y2124" si="2326">IF(ISBLANK(K2124)=TRUE,0,1)</f>
        <v>1</v>
      </c>
      <c r="U2124" s="13">
        <f t="shared" si="2326"/>
        <v>1</v>
      </c>
      <c r="V2124" s="13">
        <f t="shared" si="2326"/>
        <v>0</v>
      </c>
      <c r="W2124" s="13">
        <f t="shared" si="2326"/>
        <v>0</v>
      </c>
      <c r="X2124" s="13">
        <f t="shared" si="2326"/>
        <v>0</v>
      </c>
      <c r="Y2124" s="13">
        <f t="shared" si="2326"/>
        <v>0</v>
      </c>
      <c r="Z2124" s="13">
        <f t="shared" si="1998"/>
        <v>1</v>
      </c>
      <c r="AA2124" s="13" t="s">
        <v>378</v>
      </c>
      <c r="AB2124" s="13"/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</row>
    <row r="2125" ht="14.25" hidden="1" customHeight="1">
      <c r="A2125" s="13" t="s">
        <v>46</v>
      </c>
      <c r="B2125" s="13" t="s">
        <v>49</v>
      </c>
      <c r="C2125" s="13" t="s">
        <v>1254</v>
      </c>
      <c r="D2125" s="13" t="s">
        <v>180</v>
      </c>
      <c r="E2125" s="13" t="str">
        <f t="shared" si="1988"/>
        <v>SHS,106-36A-20,AG,1</v>
      </c>
      <c r="F2125" s="13"/>
      <c r="G2125" s="26" t="s">
        <v>74</v>
      </c>
      <c r="H2125" s="13" t="s">
        <v>75</v>
      </c>
      <c r="I2125" s="13"/>
      <c r="J2125" s="13"/>
      <c r="K2125" s="15">
        <v>1.0</v>
      </c>
      <c r="L2125" s="15">
        <v>1.0</v>
      </c>
      <c r="M2125" s="16"/>
      <c r="N2125" s="16"/>
      <c r="O2125" s="17"/>
      <c r="P2125" s="17"/>
      <c r="Q2125" s="13"/>
      <c r="R2125" s="13"/>
      <c r="S2125" s="13"/>
      <c r="T2125" s="13">
        <f t="shared" ref="T2125:Y2125" si="2327">IF(ISBLANK(K2125)=TRUE,0,1)</f>
        <v>1</v>
      </c>
      <c r="U2125" s="13">
        <f t="shared" si="2327"/>
        <v>1</v>
      </c>
      <c r="V2125" s="13">
        <f t="shared" si="2327"/>
        <v>0</v>
      </c>
      <c r="W2125" s="13">
        <f t="shared" si="2327"/>
        <v>0</v>
      </c>
      <c r="X2125" s="13">
        <f t="shared" si="2327"/>
        <v>0</v>
      </c>
      <c r="Y2125" s="13">
        <f t="shared" si="2327"/>
        <v>0</v>
      </c>
      <c r="Z2125" s="13">
        <f t="shared" si="1998"/>
        <v>1</v>
      </c>
      <c r="AA2125" s="13" t="s">
        <v>378</v>
      </c>
      <c r="AB2125" s="13"/>
      <c r="AC2125" s="13"/>
      <c r="AD2125" s="13"/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</row>
    <row r="2126" ht="14.25" hidden="1" customHeight="1">
      <c r="A2126" s="13" t="s">
        <v>46</v>
      </c>
      <c r="B2126" s="13" t="s">
        <v>49</v>
      </c>
      <c r="C2126" s="13" t="s">
        <v>1254</v>
      </c>
      <c r="D2126" s="13" t="s">
        <v>181</v>
      </c>
      <c r="E2126" s="13" t="str">
        <f t="shared" si="1988"/>
        <v>SHS,106-36A-20,AH,1</v>
      </c>
      <c r="F2126" s="13"/>
      <c r="G2126" s="26" t="s">
        <v>74</v>
      </c>
      <c r="H2126" s="13" t="s">
        <v>75</v>
      </c>
      <c r="I2126" s="13"/>
      <c r="J2126" s="13"/>
      <c r="K2126" s="15">
        <v>1.0</v>
      </c>
      <c r="L2126" s="15">
        <v>1.0</v>
      </c>
      <c r="M2126" s="16"/>
      <c r="N2126" s="16"/>
      <c r="O2126" s="17"/>
      <c r="P2126" s="17"/>
      <c r="Q2126" s="13"/>
      <c r="R2126" s="13"/>
      <c r="S2126" s="13"/>
      <c r="T2126" s="13">
        <f t="shared" ref="T2126:Y2126" si="2328">IF(ISBLANK(K2126)=TRUE,0,1)</f>
        <v>1</v>
      </c>
      <c r="U2126" s="13">
        <f t="shared" si="2328"/>
        <v>1</v>
      </c>
      <c r="V2126" s="13">
        <f t="shared" si="2328"/>
        <v>0</v>
      </c>
      <c r="W2126" s="13">
        <f t="shared" si="2328"/>
        <v>0</v>
      </c>
      <c r="X2126" s="13">
        <f t="shared" si="2328"/>
        <v>0</v>
      </c>
      <c r="Y2126" s="13">
        <f t="shared" si="2328"/>
        <v>0</v>
      </c>
      <c r="Z2126" s="13">
        <f t="shared" si="1998"/>
        <v>1</v>
      </c>
      <c r="AA2126" s="13" t="s">
        <v>378</v>
      </c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</row>
    <row r="2127" ht="14.25" hidden="1" customHeight="1">
      <c r="A2127" s="13" t="s">
        <v>46</v>
      </c>
      <c r="B2127" s="13" t="s">
        <v>49</v>
      </c>
      <c r="C2127" s="13" t="s">
        <v>1254</v>
      </c>
      <c r="D2127" s="13" t="s">
        <v>182</v>
      </c>
      <c r="E2127" s="13" t="str">
        <f t="shared" si="1988"/>
        <v>SHS,106-36A-20,AI,1</v>
      </c>
      <c r="F2127" s="13"/>
      <c r="G2127" s="26" t="s">
        <v>74</v>
      </c>
      <c r="H2127" s="13" t="s">
        <v>75</v>
      </c>
      <c r="I2127" s="13"/>
      <c r="J2127" s="13"/>
      <c r="K2127" s="15">
        <v>1.0</v>
      </c>
      <c r="L2127" s="15">
        <v>1.0</v>
      </c>
      <c r="M2127" s="16"/>
      <c r="N2127" s="16"/>
      <c r="O2127" s="17"/>
      <c r="P2127" s="17"/>
      <c r="Q2127" s="13"/>
      <c r="R2127" s="13"/>
      <c r="S2127" s="13"/>
      <c r="T2127" s="13">
        <f t="shared" ref="T2127:Y2127" si="2329">IF(ISBLANK(K2127)=TRUE,0,1)</f>
        <v>1</v>
      </c>
      <c r="U2127" s="13">
        <f t="shared" si="2329"/>
        <v>1</v>
      </c>
      <c r="V2127" s="13">
        <f t="shared" si="2329"/>
        <v>0</v>
      </c>
      <c r="W2127" s="13">
        <f t="shared" si="2329"/>
        <v>0</v>
      </c>
      <c r="X2127" s="13">
        <f t="shared" si="2329"/>
        <v>0</v>
      </c>
      <c r="Y2127" s="13">
        <f t="shared" si="2329"/>
        <v>0</v>
      </c>
      <c r="Z2127" s="13">
        <f t="shared" si="1998"/>
        <v>1</v>
      </c>
      <c r="AA2127" s="13" t="s">
        <v>378</v>
      </c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</row>
    <row r="2128" ht="14.25" hidden="1" customHeight="1">
      <c r="A2128" s="13" t="s">
        <v>46</v>
      </c>
      <c r="B2128" s="13" t="s">
        <v>49</v>
      </c>
      <c r="C2128" s="13" t="s">
        <v>1255</v>
      </c>
      <c r="D2128" s="26" t="s">
        <v>174</v>
      </c>
      <c r="E2128" s="13" t="str">
        <f t="shared" si="1988"/>
        <v>SHS,106-36A-24,AA,1</v>
      </c>
      <c r="F2128" s="13"/>
      <c r="G2128" s="26" t="s">
        <v>74</v>
      </c>
      <c r="H2128" s="13" t="s">
        <v>75</v>
      </c>
      <c r="I2128" s="13"/>
      <c r="J2128" s="13"/>
      <c r="K2128" s="15">
        <v>1.0</v>
      </c>
      <c r="L2128" s="15">
        <v>1.0</v>
      </c>
      <c r="M2128" s="16"/>
      <c r="N2128" s="16"/>
      <c r="O2128" s="17"/>
      <c r="P2128" s="17"/>
      <c r="Q2128" s="13"/>
      <c r="R2128" s="13"/>
      <c r="S2128" s="13"/>
      <c r="T2128" s="13">
        <f t="shared" ref="T2128:Y2128" si="2330">IF(ISBLANK(K2128)=TRUE,0,1)</f>
        <v>1</v>
      </c>
      <c r="U2128" s="13">
        <f t="shared" si="2330"/>
        <v>1</v>
      </c>
      <c r="V2128" s="13">
        <f t="shared" si="2330"/>
        <v>0</v>
      </c>
      <c r="W2128" s="13">
        <f t="shared" si="2330"/>
        <v>0</v>
      </c>
      <c r="X2128" s="13">
        <f t="shared" si="2330"/>
        <v>0</v>
      </c>
      <c r="Y2128" s="13">
        <f t="shared" si="2330"/>
        <v>0</v>
      </c>
      <c r="Z2128" s="13">
        <f t="shared" si="1998"/>
        <v>1</v>
      </c>
      <c r="AA2128" s="13" t="s">
        <v>378</v>
      </c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</row>
    <row r="2129" ht="14.25" hidden="1" customHeight="1">
      <c r="A2129" s="13" t="s">
        <v>46</v>
      </c>
      <c r="B2129" s="13" t="s">
        <v>49</v>
      </c>
      <c r="C2129" s="13" t="s">
        <v>1255</v>
      </c>
      <c r="D2129" s="26" t="s">
        <v>175</v>
      </c>
      <c r="E2129" s="13" t="str">
        <f t="shared" si="1988"/>
        <v>SHS,106-36A-24,AB,1</v>
      </c>
      <c r="F2129" s="13"/>
      <c r="G2129" s="26" t="s">
        <v>74</v>
      </c>
      <c r="H2129" s="13" t="s">
        <v>75</v>
      </c>
      <c r="I2129" s="13"/>
      <c r="J2129" s="13"/>
      <c r="K2129" s="15">
        <v>1.0</v>
      </c>
      <c r="L2129" s="15">
        <v>1.0</v>
      </c>
      <c r="M2129" s="16"/>
      <c r="N2129" s="16"/>
      <c r="O2129" s="17"/>
      <c r="P2129" s="17"/>
      <c r="Q2129" s="13"/>
      <c r="R2129" s="13"/>
      <c r="S2129" s="13"/>
      <c r="T2129" s="13">
        <f t="shared" ref="T2129:Y2129" si="2331">IF(ISBLANK(K2129)=TRUE,0,1)</f>
        <v>1</v>
      </c>
      <c r="U2129" s="13">
        <f t="shared" si="2331"/>
        <v>1</v>
      </c>
      <c r="V2129" s="13">
        <f t="shared" si="2331"/>
        <v>0</v>
      </c>
      <c r="W2129" s="13">
        <f t="shared" si="2331"/>
        <v>0</v>
      </c>
      <c r="X2129" s="13">
        <f t="shared" si="2331"/>
        <v>0</v>
      </c>
      <c r="Y2129" s="13">
        <f t="shared" si="2331"/>
        <v>0</v>
      </c>
      <c r="Z2129" s="13">
        <f t="shared" si="1998"/>
        <v>1</v>
      </c>
      <c r="AA2129" s="13" t="s">
        <v>378</v>
      </c>
      <c r="AB2129" s="13"/>
      <c r="AC2129" s="13"/>
      <c r="AD2129" s="13"/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</row>
    <row r="2130" ht="14.25" hidden="1" customHeight="1">
      <c r="A2130" s="13" t="s">
        <v>46</v>
      </c>
      <c r="B2130" s="13" t="s">
        <v>49</v>
      </c>
      <c r="C2130" s="13" t="s">
        <v>1255</v>
      </c>
      <c r="D2130" s="26" t="s">
        <v>176</v>
      </c>
      <c r="E2130" s="13" t="str">
        <f t="shared" si="1988"/>
        <v>SHS,106-36A-24,AC,1</v>
      </c>
      <c r="F2130" s="13"/>
      <c r="G2130" s="26" t="s">
        <v>74</v>
      </c>
      <c r="H2130" s="13" t="s">
        <v>75</v>
      </c>
      <c r="I2130" s="13"/>
      <c r="J2130" s="13"/>
      <c r="K2130" s="15">
        <v>1.0</v>
      </c>
      <c r="L2130" s="15">
        <v>1.0</v>
      </c>
      <c r="M2130" s="16"/>
      <c r="N2130" s="16"/>
      <c r="O2130" s="17"/>
      <c r="P2130" s="17"/>
      <c r="Q2130" s="13"/>
      <c r="R2130" s="13"/>
      <c r="S2130" s="13"/>
      <c r="T2130" s="13">
        <f t="shared" ref="T2130:Y2130" si="2332">IF(ISBLANK(K2130)=TRUE,0,1)</f>
        <v>1</v>
      </c>
      <c r="U2130" s="13">
        <f t="shared" si="2332"/>
        <v>1</v>
      </c>
      <c r="V2130" s="13">
        <f t="shared" si="2332"/>
        <v>0</v>
      </c>
      <c r="W2130" s="13">
        <f t="shared" si="2332"/>
        <v>0</v>
      </c>
      <c r="X2130" s="13">
        <f t="shared" si="2332"/>
        <v>0</v>
      </c>
      <c r="Y2130" s="13">
        <f t="shared" si="2332"/>
        <v>0</v>
      </c>
      <c r="Z2130" s="13">
        <f t="shared" si="1998"/>
        <v>1</v>
      </c>
      <c r="AA2130" s="13" t="s">
        <v>378</v>
      </c>
      <c r="AB2130" s="13"/>
      <c r="AC2130" s="13"/>
      <c r="AD2130" s="13"/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</row>
    <row r="2131" ht="14.25" hidden="1" customHeight="1">
      <c r="A2131" s="13" t="s">
        <v>46</v>
      </c>
      <c r="B2131" s="13" t="s">
        <v>49</v>
      </c>
      <c r="C2131" s="13" t="s">
        <v>1255</v>
      </c>
      <c r="D2131" s="26" t="s">
        <v>177</v>
      </c>
      <c r="E2131" s="13" t="str">
        <f t="shared" si="1988"/>
        <v>SHS,106-36A-24,AD,1</v>
      </c>
      <c r="F2131" s="13"/>
      <c r="G2131" s="26" t="s">
        <v>74</v>
      </c>
      <c r="H2131" s="13" t="s">
        <v>75</v>
      </c>
      <c r="I2131" s="13"/>
      <c r="J2131" s="13"/>
      <c r="K2131" s="15">
        <v>1.0</v>
      </c>
      <c r="L2131" s="15">
        <v>1.0</v>
      </c>
      <c r="M2131" s="16"/>
      <c r="N2131" s="16"/>
      <c r="O2131" s="17"/>
      <c r="P2131" s="17"/>
      <c r="Q2131" s="13"/>
      <c r="R2131" s="13"/>
      <c r="S2131" s="13"/>
      <c r="T2131" s="13">
        <f t="shared" ref="T2131:Y2131" si="2333">IF(ISBLANK(K2131)=TRUE,0,1)</f>
        <v>1</v>
      </c>
      <c r="U2131" s="13">
        <f t="shared" si="2333"/>
        <v>1</v>
      </c>
      <c r="V2131" s="13">
        <f t="shared" si="2333"/>
        <v>0</v>
      </c>
      <c r="W2131" s="13">
        <f t="shared" si="2333"/>
        <v>0</v>
      </c>
      <c r="X2131" s="13">
        <f t="shared" si="2333"/>
        <v>0</v>
      </c>
      <c r="Y2131" s="13">
        <f t="shared" si="2333"/>
        <v>0</v>
      </c>
      <c r="Z2131" s="13">
        <f t="shared" si="1998"/>
        <v>1</v>
      </c>
      <c r="AA2131" s="13" t="s">
        <v>378</v>
      </c>
      <c r="AB2131" s="13"/>
      <c r="AC2131" s="13"/>
      <c r="AD2131" s="13"/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</row>
    <row r="2132" ht="14.25" hidden="1" customHeight="1">
      <c r="A2132" s="13" t="s">
        <v>46</v>
      </c>
      <c r="B2132" s="13" t="s">
        <v>49</v>
      </c>
      <c r="C2132" s="13" t="s">
        <v>1255</v>
      </c>
      <c r="D2132" s="26" t="s">
        <v>178</v>
      </c>
      <c r="E2132" s="13" t="str">
        <f t="shared" si="1988"/>
        <v>SHS,106-36A-24,AE,1</v>
      </c>
      <c r="F2132" s="13"/>
      <c r="G2132" s="26" t="s">
        <v>74</v>
      </c>
      <c r="H2132" s="13" t="s">
        <v>75</v>
      </c>
      <c r="I2132" s="13"/>
      <c r="J2132" s="13"/>
      <c r="K2132" s="15">
        <v>1.0</v>
      </c>
      <c r="L2132" s="15">
        <v>1.0</v>
      </c>
      <c r="M2132" s="16"/>
      <c r="N2132" s="16"/>
      <c r="O2132" s="17"/>
      <c r="P2132" s="17"/>
      <c r="Q2132" s="13"/>
      <c r="R2132" s="13"/>
      <c r="S2132" s="13"/>
      <c r="T2132" s="13">
        <f t="shared" ref="T2132:Y2132" si="2334">IF(ISBLANK(K2132)=TRUE,0,1)</f>
        <v>1</v>
      </c>
      <c r="U2132" s="13">
        <f t="shared" si="2334"/>
        <v>1</v>
      </c>
      <c r="V2132" s="13">
        <f t="shared" si="2334"/>
        <v>0</v>
      </c>
      <c r="W2132" s="13">
        <f t="shared" si="2334"/>
        <v>0</v>
      </c>
      <c r="X2132" s="13">
        <f t="shared" si="2334"/>
        <v>0</v>
      </c>
      <c r="Y2132" s="13">
        <f t="shared" si="2334"/>
        <v>0</v>
      </c>
      <c r="Z2132" s="13">
        <f t="shared" si="1998"/>
        <v>1</v>
      </c>
      <c r="AA2132" s="13" t="s">
        <v>378</v>
      </c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</row>
    <row r="2133" ht="14.25" hidden="1" customHeight="1">
      <c r="A2133" s="13" t="s">
        <v>46</v>
      </c>
      <c r="B2133" s="13" t="s">
        <v>49</v>
      </c>
      <c r="C2133" s="13" t="s">
        <v>1255</v>
      </c>
      <c r="D2133" s="26" t="s">
        <v>180</v>
      </c>
      <c r="E2133" s="13" t="str">
        <f t="shared" si="1988"/>
        <v>SHS,106-36A-24,AG,1</v>
      </c>
      <c r="F2133" s="13"/>
      <c r="G2133" s="26" t="s">
        <v>74</v>
      </c>
      <c r="H2133" s="13" t="s">
        <v>75</v>
      </c>
      <c r="I2133" s="13"/>
      <c r="J2133" s="13"/>
      <c r="K2133" s="15">
        <v>1.0</v>
      </c>
      <c r="L2133" s="15">
        <v>1.0</v>
      </c>
      <c r="M2133" s="16"/>
      <c r="N2133" s="16"/>
      <c r="O2133" s="17"/>
      <c r="P2133" s="17"/>
      <c r="Q2133" s="13"/>
      <c r="R2133" s="13"/>
      <c r="S2133" s="13"/>
      <c r="T2133" s="13">
        <f t="shared" ref="T2133:Y2133" si="2335">IF(ISBLANK(K2133)=TRUE,0,1)</f>
        <v>1</v>
      </c>
      <c r="U2133" s="13">
        <f t="shared" si="2335"/>
        <v>1</v>
      </c>
      <c r="V2133" s="13">
        <f t="shared" si="2335"/>
        <v>0</v>
      </c>
      <c r="W2133" s="13">
        <f t="shared" si="2335"/>
        <v>0</v>
      </c>
      <c r="X2133" s="13">
        <f t="shared" si="2335"/>
        <v>0</v>
      </c>
      <c r="Y2133" s="13">
        <f t="shared" si="2335"/>
        <v>0</v>
      </c>
      <c r="Z2133" s="13">
        <f t="shared" si="1998"/>
        <v>1</v>
      </c>
      <c r="AA2133" s="13" t="s">
        <v>378</v>
      </c>
      <c r="AB2133" s="13"/>
      <c r="AC2133" s="13"/>
      <c r="AD2133" s="13"/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</row>
    <row r="2134" ht="14.25" hidden="1" customHeight="1">
      <c r="A2134" s="13" t="s">
        <v>46</v>
      </c>
      <c r="B2134" s="13" t="s">
        <v>49</v>
      </c>
      <c r="C2134" s="13" t="s">
        <v>1255</v>
      </c>
      <c r="D2134" s="26" t="s">
        <v>181</v>
      </c>
      <c r="E2134" s="13" t="str">
        <f t="shared" si="1988"/>
        <v>SHS,106-36A-24,AH,1</v>
      </c>
      <c r="F2134" s="13"/>
      <c r="G2134" s="26" t="s">
        <v>74</v>
      </c>
      <c r="H2134" s="13" t="s">
        <v>75</v>
      </c>
      <c r="I2134" s="13"/>
      <c r="J2134" s="13"/>
      <c r="K2134" s="15">
        <v>1.0</v>
      </c>
      <c r="L2134" s="15">
        <v>1.0</v>
      </c>
      <c r="M2134" s="16"/>
      <c r="N2134" s="16"/>
      <c r="O2134" s="17"/>
      <c r="P2134" s="17"/>
      <c r="Q2134" s="13"/>
      <c r="R2134" s="13"/>
      <c r="S2134" s="13"/>
      <c r="T2134" s="13">
        <f t="shared" ref="T2134:Y2134" si="2336">IF(ISBLANK(K2134)=TRUE,0,1)</f>
        <v>1</v>
      </c>
      <c r="U2134" s="13">
        <f t="shared" si="2336"/>
        <v>1</v>
      </c>
      <c r="V2134" s="13">
        <f t="shared" si="2336"/>
        <v>0</v>
      </c>
      <c r="W2134" s="13">
        <f t="shared" si="2336"/>
        <v>0</v>
      </c>
      <c r="X2134" s="13">
        <f t="shared" si="2336"/>
        <v>0</v>
      </c>
      <c r="Y2134" s="13">
        <f t="shared" si="2336"/>
        <v>0</v>
      </c>
      <c r="Z2134" s="13">
        <f t="shared" si="1998"/>
        <v>1</v>
      </c>
      <c r="AA2134" s="13" t="s">
        <v>378</v>
      </c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</row>
    <row r="2135" ht="14.25" hidden="1" customHeight="1">
      <c r="A2135" s="13" t="s">
        <v>46</v>
      </c>
      <c r="B2135" s="13" t="s">
        <v>49</v>
      </c>
      <c r="C2135" s="13" t="s">
        <v>1255</v>
      </c>
      <c r="D2135" s="26" t="s">
        <v>182</v>
      </c>
      <c r="E2135" s="13" t="str">
        <f t="shared" si="1988"/>
        <v>SHS,106-36A-24,AI,1</v>
      </c>
      <c r="F2135" s="13"/>
      <c r="G2135" s="26" t="s">
        <v>74</v>
      </c>
      <c r="H2135" s="13" t="s">
        <v>75</v>
      </c>
      <c r="I2135" s="13"/>
      <c r="J2135" s="13"/>
      <c r="K2135" s="15">
        <v>1.0</v>
      </c>
      <c r="L2135" s="15">
        <v>1.0</v>
      </c>
      <c r="M2135" s="16"/>
      <c r="N2135" s="16"/>
      <c r="O2135" s="17"/>
      <c r="P2135" s="17"/>
      <c r="Q2135" s="13"/>
      <c r="R2135" s="13"/>
      <c r="S2135" s="13"/>
      <c r="T2135" s="13">
        <f t="shared" ref="T2135:Y2135" si="2337">IF(ISBLANK(K2135)=TRUE,0,1)</f>
        <v>1</v>
      </c>
      <c r="U2135" s="13">
        <f t="shared" si="2337"/>
        <v>1</v>
      </c>
      <c r="V2135" s="13">
        <f t="shared" si="2337"/>
        <v>0</v>
      </c>
      <c r="W2135" s="13">
        <f t="shared" si="2337"/>
        <v>0</v>
      </c>
      <c r="X2135" s="13">
        <f t="shared" si="2337"/>
        <v>0</v>
      </c>
      <c r="Y2135" s="13">
        <f t="shared" si="2337"/>
        <v>0</v>
      </c>
      <c r="Z2135" s="13">
        <f t="shared" si="1998"/>
        <v>1</v>
      </c>
      <c r="AA2135" s="13" t="s">
        <v>378</v>
      </c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</row>
    <row r="2136" ht="14.25" hidden="1" customHeight="1">
      <c r="A2136" s="13" t="s">
        <v>46</v>
      </c>
      <c r="B2136" s="13" t="s">
        <v>49</v>
      </c>
      <c r="C2136" s="13" t="s">
        <v>1255</v>
      </c>
      <c r="D2136" s="26" t="s">
        <v>183</v>
      </c>
      <c r="E2136" s="13" t="str">
        <f t="shared" si="1988"/>
        <v>SHS,106-36A-24,AJ,1</v>
      </c>
      <c r="F2136" s="13"/>
      <c r="G2136" s="26" t="s">
        <v>74</v>
      </c>
      <c r="H2136" s="13" t="s">
        <v>75</v>
      </c>
      <c r="I2136" s="13"/>
      <c r="J2136" s="13"/>
      <c r="K2136" s="15">
        <v>1.0</v>
      </c>
      <c r="L2136" s="15">
        <v>1.0</v>
      </c>
      <c r="M2136" s="16"/>
      <c r="N2136" s="16"/>
      <c r="O2136" s="17"/>
      <c r="P2136" s="17"/>
      <c r="Q2136" s="13"/>
      <c r="R2136" s="13"/>
      <c r="S2136" s="13"/>
      <c r="T2136" s="13">
        <f t="shared" ref="T2136:Y2136" si="2338">IF(ISBLANK(K2136)=TRUE,0,1)</f>
        <v>1</v>
      </c>
      <c r="U2136" s="13">
        <f t="shared" si="2338"/>
        <v>1</v>
      </c>
      <c r="V2136" s="13">
        <f t="shared" si="2338"/>
        <v>0</v>
      </c>
      <c r="W2136" s="13">
        <f t="shared" si="2338"/>
        <v>0</v>
      </c>
      <c r="X2136" s="13">
        <f t="shared" si="2338"/>
        <v>0</v>
      </c>
      <c r="Y2136" s="13">
        <f t="shared" si="2338"/>
        <v>0</v>
      </c>
      <c r="Z2136" s="13">
        <f t="shared" si="1998"/>
        <v>1</v>
      </c>
      <c r="AA2136" s="13" t="s">
        <v>378</v>
      </c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</row>
    <row r="2137" ht="14.25" hidden="1" customHeight="1">
      <c r="A2137" s="13" t="s">
        <v>46</v>
      </c>
      <c r="B2137" s="13" t="s">
        <v>49</v>
      </c>
      <c r="C2137" s="13" t="s">
        <v>1255</v>
      </c>
      <c r="D2137" s="26" t="s">
        <v>184</v>
      </c>
      <c r="E2137" s="13" t="str">
        <f t="shared" si="1988"/>
        <v>SHS,106-36A-24,AK,1</v>
      </c>
      <c r="F2137" s="13"/>
      <c r="G2137" s="26" t="s">
        <v>74</v>
      </c>
      <c r="H2137" s="13" t="s">
        <v>75</v>
      </c>
      <c r="I2137" s="13"/>
      <c r="J2137" s="13"/>
      <c r="K2137" s="15">
        <v>1.0</v>
      </c>
      <c r="L2137" s="15">
        <v>1.0</v>
      </c>
      <c r="M2137" s="16"/>
      <c r="N2137" s="16"/>
      <c r="O2137" s="17"/>
      <c r="P2137" s="17"/>
      <c r="Q2137" s="13"/>
      <c r="R2137" s="13"/>
      <c r="S2137" s="13"/>
      <c r="T2137" s="13">
        <f t="shared" ref="T2137:Y2137" si="2339">IF(ISBLANK(K2137)=TRUE,0,1)</f>
        <v>1</v>
      </c>
      <c r="U2137" s="13">
        <f t="shared" si="2339"/>
        <v>1</v>
      </c>
      <c r="V2137" s="13">
        <f t="shared" si="2339"/>
        <v>0</v>
      </c>
      <c r="W2137" s="13">
        <f t="shared" si="2339"/>
        <v>0</v>
      </c>
      <c r="X2137" s="13">
        <f t="shared" si="2339"/>
        <v>0</v>
      </c>
      <c r="Y2137" s="13">
        <f t="shared" si="2339"/>
        <v>0</v>
      </c>
      <c r="Z2137" s="13">
        <f t="shared" si="1998"/>
        <v>1</v>
      </c>
      <c r="AA2137" s="13" t="s">
        <v>378</v>
      </c>
      <c r="AB2137" s="13"/>
      <c r="AC2137" s="13"/>
      <c r="AD2137" s="13"/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</row>
    <row r="2138" ht="14.25" hidden="1" customHeight="1">
      <c r="A2138" s="13" t="s">
        <v>46</v>
      </c>
      <c r="B2138" s="13" t="s">
        <v>49</v>
      </c>
      <c r="C2138" s="13" t="s">
        <v>1256</v>
      </c>
      <c r="D2138" s="13"/>
      <c r="E2138" s="13" t="str">
        <f t="shared" si="1988"/>
        <v>SHS,106-36A-4G-1A,,1</v>
      </c>
      <c r="F2138" s="13"/>
      <c r="G2138" s="13" t="s">
        <v>74</v>
      </c>
      <c r="H2138" s="13" t="s">
        <v>75</v>
      </c>
      <c r="I2138" s="13"/>
      <c r="J2138" s="13"/>
      <c r="K2138" s="15"/>
      <c r="L2138" s="15"/>
      <c r="M2138" s="16"/>
      <c r="N2138" s="16"/>
      <c r="O2138" s="17">
        <v>1.0</v>
      </c>
      <c r="P2138" s="17">
        <v>1.0</v>
      </c>
      <c r="Q2138" s="13"/>
      <c r="R2138" s="13"/>
      <c r="S2138" s="13"/>
      <c r="T2138" s="13">
        <f t="shared" ref="T2138:Y2138" si="2340">IF(ISBLANK(K2138)=TRUE,0,1)</f>
        <v>0</v>
      </c>
      <c r="U2138" s="13">
        <f t="shared" si="2340"/>
        <v>0</v>
      </c>
      <c r="V2138" s="13">
        <f t="shared" si="2340"/>
        <v>0</v>
      </c>
      <c r="W2138" s="13">
        <f t="shared" si="2340"/>
        <v>0</v>
      </c>
      <c r="X2138" s="13">
        <f t="shared" si="2340"/>
        <v>1</v>
      </c>
      <c r="Y2138" s="13">
        <f t="shared" si="2340"/>
        <v>1</v>
      </c>
      <c r="Z2138" s="13">
        <f t="shared" si="1998"/>
        <v>1</v>
      </c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</row>
    <row r="2139" ht="14.25" hidden="1" customHeight="1">
      <c r="A2139" s="13" t="s">
        <v>46</v>
      </c>
      <c r="B2139" s="13" t="s">
        <v>49</v>
      </c>
      <c r="C2139" s="13" t="s">
        <v>1257</v>
      </c>
      <c r="D2139" s="13"/>
      <c r="E2139" s="13" t="str">
        <f t="shared" si="1988"/>
        <v>SHS,106-36A-4G-1B,,1</v>
      </c>
      <c r="F2139" s="13"/>
      <c r="G2139" s="13" t="s">
        <v>74</v>
      </c>
      <c r="H2139" s="13" t="s">
        <v>75</v>
      </c>
      <c r="I2139" s="13"/>
      <c r="J2139" s="13"/>
      <c r="K2139" s="15"/>
      <c r="L2139" s="15"/>
      <c r="M2139" s="16"/>
      <c r="N2139" s="16"/>
      <c r="O2139" s="17">
        <v>1.0</v>
      </c>
      <c r="P2139" s="17">
        <v>1.0</v>
      </c>
      <c r="Q2139" s="13"/>
      <c r="R2139" s="13"/>
      <c r="S2139" s="13"/>
      <c r="T2139" s="13">
        <f t="shared" ref="T2139:Y2139" si="2341">IF(ISBLANK(K2139)=TRUE,0,1)</f>
        <v>0</v>
      </c>
      <c r="U2139" s="13">
        <f t="shared" si="2341"/>
        <v>0</v>
      </c>
      <c r="V2139" s="13">
        <f t="shared" si="2341"/>
        <v>0</v>
      </c>
      <c r="W2139" s="13">
        <f t="shared" si="2341"/>
        <v>0</v>
      </c>
      <c r="X2139" s="13">
        <f t="shared" si="2341"/>
        <v>1</v>
      </c>
      <c r="Y2139" s="13">
        <f t="shared" si="2341"/>
        <v>1</v>
      </c>
      <c r="Z2139" s="13">
        <f t="shared" si="1998"/>
        <v>1</v>
      </c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</row>
    <row r="2140" ht="14.25" hidden="1" customHeight="1">
      <c r="A2140" s="13" t="s">
        <v>46</v>
      </c>
      <c r="B2140" s="13" t="s">
        <v>49</v>
      </c>
      <c r="C2140" s="13" t="s">
        <v>1258</v>
      </c>
      <c r="D2140" s="13"/>
      <c r="E2140" s="13" t="str">
        <f t="shared" si="1988"/>
        <v>SHS,106-36A-4G-1C,,1</v>
      </c>
      <c r="F2140" s="13"/>
      <c r="G2140" s="13" t="s">
        <v>74</v>
      </c>
      <c r="H2140" s="13" t="s">
        <v>75</v>
      </c>
      <c r="I2140" s="13"/>
      <c r="J2140" s="13"/>
      <c r="K2140" s="15"/>
      <c r="L2140" s="15"/>
      <c r="M2140" s="16"/>
      <c r="N2140" s="16"/>
      <c r="O2140" s="17">
        <v>1.0</v>
      </c>
      <c r="P2140" s="17">
        <v>1.0</v>
      </c>
      <c r="Q2140" s="13"/>
      <c r="R2140" s="13"/>
      <c r="S2140" s="13"/>
      <c r="T2140" s="13">
        <f t="shared" ref="T2140:Y2140" si="2342">IF(ISBLANK(K2140)=TRUE,0,1)</f>
        <v>0</v>
      </c>
      <c r="U2140" s="13">
        <f t="shared" si="2342"/>
        <v>0</v>
      </c>
      <c r="V2140" s="13">
        <f t="shared" si="2342"/>
        <v>0</v>
      </c>
      <c r="W2140" s="13">
        <f t="shared" si="2342"/>
        <v>0</v>
      </c>
      <c r="X2140" s="13">
        <f t="shared" si="2342"/>
        <v>1</v>
      </c>
      <c r="Y2140" s="13">
        <f t="shared" si="2342"/>
        <v>1</v>
      </c>
      <c r="Z2140" s="13">
        <f t="shared" si="1998"/>
        <v>1</v>
      </c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</row>
    <row r="2141" ht="14.25" hidden="1" customHeight="1">
      <c r="A2141" s="13" t="s">
        <v>46</v>
      </c>
      <c r="B2141" s="13" t="s">
        <v>49</v>
      </c>
      <c r="C2141" s="13" t="s">
        <v>1259</v>
      </c>
      <c r="D2141" s="13"/>
      <c r="E2141" s="13" t="str">
        <f t="shared" si="1988"/>
        <v>SHS,106-36A-4G-1D,,1</v>
      </c>
      <c r="F2141" s="13"/>
      <c r="G2141" s="13" t="s">
        <v>74</v>
      </c>
      <c r="H2141" s="13" t="s">
        <v>75</v>
      </c>
      <c r="I2141" s="13"/>
      <c r="J2141" s="13"/>
      <c r="K2141" s="15"/>
      <c r="L2141" s="15"/>
      <c r="M2141" s="16"/>
      <c r="N2141" s="16"/>
      <c r="O2141" s="17">
        <v>1.0</v>
      </c>
      <c r="P2141" s="17">
        <v>1.0</v>
      </c>
      <c r="Q2141" s="13"/>
      <c r="R2141" s="13"/>
      <c r="S2141" s="13"/>
      <c r="T2141" s="13">
        <f t="shared" ref="T2141:Y2141" si="2343">IF(ISBLANK(K2141)=TRUE,0,1)</f>
        <v>0</v>
      </c>
      <c r="U2141" s="13">
        <f t="shared" si="2343"/>
        <v>0</v>
      </c>
      <c r="V2141" s="13">
        <f t="shared" si="2343"/>
        <v>0</v>
      </c>
      <c r="W2141" s="13">
        <f t="shared" si="2343"/>
        <v>0</v>
      </c>
      <c r="X2141" s="13">
        <f t="shared" si="2343"/>
        <v>1</v>
      </c>
      <c r="Y2141" s="13">
        <f t="shared" si="2343"/>
        <v>1</v>
      </c>
      <c r="Z2141" s="13">
        <f t="shared" si="1998"/>
        <v>1</v>
      </c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</row>
    <row r="2142" ht="14.25" hidden="1" customHeight="1">
      <c r="A2142" s="13" t="s">
        <v>46</v>
      </c>
      <c r="B2142" s="13" t="s">
        <v>49</v>
      </c>
      <c r="C2142" s="13" t="s">
        <v>1260</v>
      </c>
      <c r="D2142" s="13"/>
      <c r="E2142" s="13" t="str">
        <f t="shared" si="1988"/>
        <v>SHS,106-36A-4G-1E,,1</v>
      </c>
      <c r="F2142" s="13"/>
      <c r="G2142" s="13" t="s">
        <v>74</v>
      </c>
      <c r="H2142" s="13" t="s">
        <v>75</v>
      </c>
      <c r="I2142" s="13"/>
      <c r="J2142" s="13"/>
      <c r="K2142" s="15"/>
      <c r="L2142" s="15"/>
      <c r="M2142" s="16"/>
      <c r="N2142" s="16"/>
      <c r="O2142" s="17">
        <v>1.0</v>
      </c>
      <c r="P2142" s="17">
        <v>1.0</v>
      </c>
      <c r="Q2142" s="13"/>
      <c r="R2142" s="13"/>
      <c r="S2142" s="13"/>
      <c r="T2142" s="13">
        <f t="shared" ref="T2142:Y2142" si="2344">IF(ISBLANK(K2142)=TRUE,0,1)</f>
        <v>0</v>
      </c>
      <c r="U2142" s="13">
        <f t="shared" si="2344"/>
        <v>0</v>
      </c>
      <c r="V2142" s="13">
        <f t="shared" si="2344"/>
        <v>0</v>
      </c>
      <c r="W2142" s="13">
        <f t="shared" si="2344"/>
        <v>0</v>
      </c>
      <c r="X2142" s="13">
        <f t="shared" si="2344"/>
        <v>1</v>
      </c>
      <c r="Y2142" s="13">
        <f t="shared" si="2344"/>
        <v>1</v>
      </c>
      <c r="Z2142" s="13">
        <f t="shared" si="1998"/>
        <v>1</v>
      </c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</row>
    <row r="2143" ht="14.25" hidden="1" customHeight="1">
      <c r="A2143" s="13" t="s">
        <v>46</v>
      </c>
      <c r="B2143" s="13" t="s">
        <v>49</v>
      </c>
      <c r="C2143" s="13" t="s">
        <v>1261</v>
      </c>
      <c r="D2143" s="13"/>
      <c r="E2143" s="13" t="str">
        <f t="shared" si="1988"/>
        <v>SHS,106-36A-4G-1F,,0</v>
      </c>
      <c r="F2143" s="13"/>
      <c r="G2143" s="13" t="s">
        <v>74</v>
      </c>
      <c r="H2143" s="13" t="s">
        <v>75</v>
      </c>
      <c r="I2143" s="13"/>
      <c r="J2143" s="13"/>
      <c r="K2143" s="15"/>
      <c r="L2143" s="15"/>
      <c r="M2143" s="16"/>
      <c r="N2143" s="16"/>
      <c r="O2143" s="17">
        <v>0.0</v>
      </c>
      <c r="P2143" s="17">
        <v>0.0</v>
      </c>
      <c r="Q2143" s="13"/>
      <c r="R2143" s="13"/>
      <c r="S2143" s="13"/>
      <c r="T2143" s="13">
        <f t="shared" ref="T2143:Y2143" si="2345">IF(ISBLANK(K2143)=TRUE,0,1)</f>
        <v>0</v>
      </c>
      <c r="U2143" s="13">
        <f t="shared" si="2345"/>
        <v>0</v>
      </c>
      <c r="V2143" s="13">
        <f t="shared" si="2345"/>
        <v>0</v>
      </c>
      <c r="W2143" s="13">
        <f t="shared" si="2345"/>
        <v>0</v>
      </c>
      <c r="X2143" s="13">
        <f t="shared" si="2345"/>
        <v>1</v>
      </c>
      <c r="Y2143" s="13">
        <f t="shared" si="2345"/>
        <v>1</v>
      </c>
      <c r="Z2143" s="13">
        <f t="shared" si="1998"/>
        <v>0</v>
      </c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</row>
    <row r="2144" ht="14.25" hidden="1" customHeight="1">
      <c r="A2144" s="13" t="s">
        <v>46</v>
      </c>
      <c r="B2144" s="13" t="s">
        <v>49</v>
      </c>
      <c r="C2144" s="13" t="s">
        <v>1262</v>
      </c>
      <c r="D2144" s="13"/>
      <c r="E2144" s="13" t="str">
        <f t="shared" si="1988"/>
        <v>SHS,106-36A-4G-1G,,1</v>
      </c>
      <c r="F2144" s="13"/>
      <c r="G2144" s="13" t="s">
        <v>74</v>
      </c>
      <c r="H2144" s="13" t="s">
        <v>75</v>
      </c>
      <c r="I2144" s="13"/>
      <c r="J2144" s="13"/>
      <c r="K2144" s="15"/>
      <c r="L2144" s="15"/>
      <c r="M2144" s="16"/>
      <c r="N2144" s="16"/>
      <c r="O2144" s="17">
        <v>1.0</v>
      </c>
      <c r="P2144" s="17">
        <v>1.0</v>
      </c>
      <c r="Q2144" s="13"/>
      <c r="R2144" s="13"/>
      <c r="S2144" s="13"/>
      <c r="T2144" s="13">
        <f t="shared" ref="T2144:Y2144" si="2346">IF(ISBLANK(K2144)=TRUE,0,1)</f>
        <v>0</v>
      </c>
      <c r="U2144" s="13">
        <f t="shared" si="2346"/>
        <v>0</v>
      </c>
      <c r="V2144" s="13">
        <f t="shared" si="2346"/>
        <v>0</v>
      </c>
      <c r="W2144" s="13">
        <f t="shared" si="2346"/>
        <v>0</v>
      </c>
      <c r="X2144" s="13">
        <f t="shared" si="2346"/>
        <v>1</v>
      </c>
      <c r="Y2144" s="13">
        <f t="shared" si="2346"/>
        <v>1</v>
      </c>
      <c r="Z2144" s="13">
        <f t="shared" si="1998"/>
        <v>1</v>
      </c>
      <c r="AA2144" s="13"/>
      <c r="AB2144" s="13"/>
      <c r="AC2144" s="13"/>
      <c r="AD2144" s="13"/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</row>
    <row r="2145" ht="14.25" hidden="1" customHeight="1">
      <c r="A2145" s="13" t="s">
        <v>46</v>
      </c>
      <c r="B2145" s="13" t="s">
        <v>49</v>
      </c>
      <c r="C2145" s="13" t="s">
        <v>1263</v>
      </c>
      <c r="D2145" s="13"/>
      <c r="E2145" s="13" t="str">
        <f t="shared" si="1988"/>
        <v>SHS,106-36A-4G-1H,,1</v>
      </c>
      <c r="F2145" s="13"/>
      <c r="G2145" s="13" t="s">
        <v>74</v>
      </c>
      <c r="H2145" s="13" t="s">
        <v>75</v>
      </c>
      <c r="I2145" s="13"/>
      <c r="J2145" s="13"/>
      <c r="K2145" s="15"/>
      <c r="L2145" s="15"/>
      <c r="M2145" s="16"/>
      <c r="N2145" s="16"/>
      <c r="O2145" s="17">
        <v>1.0</v>
      </c>
      <c r="P2145" s="17">
        <v>1.0</v>
      </c>
      <c r="Q2145" s="13"/>
      <c r="R2145" s="13"/>
      <c r="S2145" s="13"/>
      <c r="T2145" s="13">
        <f t="shared" ref="T2145:Y2145" si="2347">IF(ISBLANK(K2145)=TRUE,0,1)</f>
        <v>0</v>
      </c>
      <c r="U2145" s="13">
        <f t="shared" si="2347"/>
        <v>0</v>
      </c>
      <c r="V2145" s="13">
        <f t="shared" si="2347"/>
        <v>0</v>
      </c>
      <c r="W2145" s="13">
        <f t="shared" si="2347"/>
        <v>0</v>
      </c>
      <c r="X2145" s="13">
        <f t="shared" si="2347"/>
        <v>1</v>
      </c>
      <c r="Y2145" s="13">
        <f t="shared" si="2347"/>
        <v>1</v>
      </c>
      <c r="Z2145" s="13">
        <f t="shared" si="1998"/>
        <v>1</v>
      </c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</row>
    <row r="2146" ht="14.25" hidden="1" customHeight="1">
      <c r="A2146" s="13" t="s">
        <v>46</v>
      </c>
      <c r="B2146" s="13" t="s">
        <v>49</v>
      </c>
      <c r="C2146" s="13" t="s">
        <v>1264</v>
      </c>
      <c r="D2146" s="13"/>
      <c r="E2146" s="13" t="str">
        <f t="shared" si="1988"/>
        <v>SHS,106-36A-4G-1I,,1</v>
      </c>
      <c r="F2146" s="13"/>
      <c r="G2146" s="13" t="s">
        <v>74</v>
      </c>
      <c r="H2146" s="13" t="s">
        <v>75</v>
      </c>
      <c r="I2146" s="13"/>
      <c r="J2146" s="13"/>
      <c r="K2146" s="15"/>
      <c r="L2146" s="15"/>
      <c r="M2146" s="16"/>
      <c r="N2146" s="16"/>
      <c r="O2146" s="17">
        <v>1.0</v>
      </c>
      <c r="P2146" s="17">
        <v>1.0</v>
      </c>
      <c r="Q2146" s="13"/>
      <c r="R2146" s="13"/>
      <c r="S2146" s="13"/>
      <c r="T2146" s="13">
        <f t="shared" ref="T2146:Y2146" si="2348">IF(ISBLANK(K2146)=TRUE,0,1)</f>
        <v>0</v>
      </c>
      <c r="U2146" s="13">
        <f t="shared" si="2348"/>
        <v>0</v>
      </c>
      <c r="V2146" s="13">
        <f t="shared" si="2348"/>
        <v>0</v>
      </c>
      <c r="W2146" s="13">
        <f t="shared" si="2348"/>
        <v>0</v>
      </c>
      <c r="X2146" s="13">
        <f t="shared" si="2348"/>
        <v>1</v>
      </c>
      <c r="Y2146" s="13">
        <f t="shared" si="2348"/>
        <v>1</v>
      </c>
      <c r="Z2146" s="13">
        <f t="shared" si="1998"/>
        <v>1</v>
      </c>
      <c r="AA2146" s="13"/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</row>
    <row r="2147" ht="14.25" hidden="1" customHeight="1">
      <c r="A2147" s="13" t="s">
        <v>46</v>
      </c>
      <c r="B2147" s="13" t="s">
        <v>49</v>
      </c>
      <c r="C2147" s="13" t="s">
        <v>1265</v>
      </c>
      <c r="D2147" s="13"/>
      <c r="E2147" s="13" t="str">
        <f t="shared" si="1988"/>
        <v>SHS,106-36A-4G-1J,,1</v>
      </c>
      <c r="F2147" s="13"/>
      <c r="G2147" s="13" t="s">
        <v>74</v>
      </c>
      <c r="H2147" s="13" t="s">
        <v>75</v>
      </c>
      <c r="I2147" s="13"/>
      <c r="J2147" s="13"/>
      <c r="K2147" s="15"/>
      <c r="L2147" s="15"/>
      <c r="M2147" s="16"/>
      <c r="N2147" s="16"/>
      <c r="O2147" s="17">
        <v>1.0</v>
      </c>
      <c r="P2147" s="17">
        <v>1.0</v>
      </c>
      <c r="Q2147" s="13"/>
      <c r="R2147" s="13"/>
      <c r="S2147" s="13"/>
      <c r="T2147" s="13">
        <f t="shared" ref="T2147:Y2147" si="2349">IF(ISBLANK(K2147)=TRUE,0,1)</f>
        <v>0</v>
      </c>
      <c r="U2147" s="13">
        <f t="shared" si="2349"/>
        <v>0</v>
      </c>
      <c r="V2147" s="13">
        <f t="shared" si="2349"/>
        <v>0</v>
      </c>
      <c r="W2147" s="13">
        <f t="shared" si="2349"/>
        <v>0</v>
      </c>
      <c r="X2147" s="13">
        <f t="shared" si="2349"/>
        <v>1</v>
      </c>
      <c r="Y2147" s="13">
        <f t="shared" si="2349"/>
        <v>1</v>
      </c>
      <c r="Z2147" s="13">
        <f t="shared" si="1998"/>
        <v>1</v>
      </c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</row>
    <row r="2148" ht="14.25" hidden="1" customHeight="1">
      <c r="A2148" s="13" t="s">
        <v>46</v>
      </c>
      <c r="B2148" s="13" t="s">
        <v>49</v>
      </c>
      <c r="C2148" s="13" t="s">
        <v>1266</v>
      </c>
      <c r="D2148" s="13"/>
      <c r="E2148" s="13" t="str">
        <f t="shared" si="1988"/>
        <v>SHS,106-36A-4G-1K,,1</v>
      </c>
      <c r="F2148" s="13"/>
      <c r="G2148" s="13" t="s">
        <v>74</v>
      </c>
      <c r="H2148" s="13" t="s">
        <v>75</v>
      </c>
      <c r="I2148" s="13"/>
      <c r="J2148" s="13"/>
      <c r="K2148" s="15"/>
      <c r="L2148" s="15"/>
      <c r="M2148" s="16"/>
      <c r="N2148" s="16"/>
      <c r="O2148" s="17">
        <v>1.0</v>
      </c>
      <c r="P2148" s="17">
        <v>1.0</v>
      </c>
      <c r="Q2148" s="13"/>
      <c r="R2148" s="13"/>
      <c r="S2148" s="13"/>
      <c r="T2148" s="13">
        <f t="shared" ref="T2148:Y2148" si="2350">IF(ISBLANK(K2148)=TRUE,0,1)</f>
        <v>0</v>
      </c>
      <c r="U2148" s="13">
        <f t="shared" si="2350"/>
        <v>0</v>
      </c>
      <c r="V2148" s="13">
        <f t="shared" si="2350"/>
        <v>0</v>
      </c>
      <c r="W2148" s="13">
        <f t="shared" si="2350"/>
        <v>0</v>
      </c>
      <c r="X2148" s="13">
        <f t="shared" si="2350"/>
        <v>1</v>
      </c>
      <c r="Y2148" s="13">
        <f t="shared" si="2350"/>
        <v>1</v>
      </c>
      <c r="Z2148" s="13">
        <f t="shared" si="1998"/>
        <v>1</v>
      </c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</row>
    <row r="2149" ht="14.25" hidden="1" customHeight="1">
      <c r="A2149" s="13" t="s">
        <v>46</v>
      </c>
      <c r="B2149" s="13" t="s">
        <v>49</v>
      </c>
      <c r="C2149" s="13" t="s">
        <v>1267</v>
      </c>
      <c r="D2149" s="13"/>
      <c r="E2149" s="13" t="str">
        <f t="shared" si="1988"/>
        <v>SHS,106-36A-4G-1L,,1</v>
      </c>
      <c r="F2149" s="13"/>
      <c r="G2149" s="13" t="s">
        <v>74</v>
      </c>
      <c r="H2149" s="13" t="s">
        <v>75</v>
      </c>
      <c r="I2149" s="13"/>
      <c r="J2149" s="13"/>
      <c r="K2149" s="15"/>
      <c r="L2149" s="15"/>
      <c r="M2149" s="16"/>
      <c r="N2149" s="16"/>
      <c r="O2149" s="17">
        <v>1.0</v>
      </c>
      <c r="P2149" s="17">
        <v>1.0</v>
      </c>
      <c r="Q2149" s="13"/>
      <c r="R2149" s="13"/>
      <c r="S2149" s="13"/>
      <c r="T2149" s="13">
        <f t="shared" ref="T2149:Y2149" si="2351">IF(ISBLANK(K2149)=TRUE,0,1)</f>
        <v>0</v>
      </c>
      <c r="U2149" s="13">
        <f t="shared" si="2351"/>
        <v>0</v>
      </c>
      <c r="V2149" s="13">
        <f t="shared" si="2351"/>
        <v>0</v>
      </c>
      <c r="W2149" s="13">
        <f t="shared" si="2351"/>
        <v>0</v>
      </c>
      <c r="X2149" s="13">
        <f t="shared" si="2351"/>
        <v>1</v>
      </c>
      <c r="Y2149" s="13">
        <f t="shared" si="2351"/>
        <v>1</v>
      </c>
      <c r="Z2149" s="13">
        <f t="shared" si="1998"/>
        <v>1</v>
      </c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</row>
    <row r="2150" ht="14.25" hidden="1" customHeight="1">
      <c r="A2150" s="13" t="s">
        <v>46</v>
      </c>
      <c r="B2150" s="13" t="s">
        <v>49</v>
      </c>
      <c r="C2150" s="13" t="s">
        <v>1268</v>
      </c>
      <c r="D2150" s="13"/>
      <c r="E2150" s="13" t="str">
        <f t="shared" si="1988"/>
        <v>SHS,106-36A-4G-1M,,1</v>
      </c>
      <c r="F2150" s="13"/>
      <c r="G2150" s="13" t="s">
        <v>74</v>
      </c>
      <c r="H2150" s="13" t="s">
        <v>75</v>
      </c>
      <c r="I2150" s="13"/>
      <c r="J2150" s="13"/>
      <c r="K2150" s="15"/>
      <c r="L2150" s="15"/>
      <c r="M2150" s="16"/>
      <c r="N2150" s="16"/>
      <c r="O2150" s="17">
        <v>1.0</v>
      </c>
      <c r="P2150" s="17">
        <v>1.0</v>
      </c>
      <c r="Q2150" s="13"/>
      <c r="R2150" s="13"/>
      <c r="S2150" s="13"/>
      <c r="T2150" s="13">
        <f t="shared" ref="T2150:Y2150" si="2352">IF(ISBLANK(K2150)=TRUE,0,1)</f>
        <v>0</v>
      </c>
      <c r="U2150" s="13">
        <f t="shared" si="2352"/>
        <v>0</v>
      </c>
      <c r="V2150" s="13">
        <f t="shared" si="2352"/>
        <v>0</v>
      </c>
      <c r="W2150" s="13">
        <f t="shared" si="2352"/>
        <v>0</v>
      </c>
      <c r="X2150" s="13">
        <f t="shared" si="2352"/>
        <v>1</v>
      </c>
      <c r="Y2150" s="13">
        <f t="shared" si="2352"/>
        <v>1</v>
      </c>
      <c r="Z2150" s="13">
        <f t="shared" si="1998"/>
        <v>1</v>
      </c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</row>
    <row r="2151" ht="14.25" hidden="1" customHeight="1">
      <c r="A2151" s="13" t="s">
        <v>46</v>
      </c>
      <c r="B2151" s="13" t="s">
        <v>49</v>
      </c>
      <c r="C2151" s="13" t="s">
        <v>1269</v>
      </c>
      <c r="D2151" s="13"/>
      <c r="E2151" s="13" t="str">
        <f t="shared" si="1988"/>
        <v>SHS,106-36A-4G-1N,,1</v>
      </c>
      <c r="F2151" s="13"/>
      <c r="G2151" s="13" t="s">
        <v>74</v>
      </c>
      <c r="H2151" s="13" t="s">
        <v>75</v>
      </c>
      <c r="I2151" s="13"/>
      <c r="J2151" s="13"/>
      <c r="K2151" s="15"/>
      <c r="L2151" s="15"/>
      <c r="M2151" s="16"/>
      <c r="N2151" s="16"/>
      <c r="O2151" s="17">
        <v>1.0</v>
      </c>
      <c r="P2151" s="17">
        <v>1.0</v>
      </c>
      <c r="Q2151" s="13"/>
      <c r="R2151" s="13"/>
      <c r="S2151" s="13"/>
      <c r="T2151" s="13">
        <f t="shared" ref="T2151:Y2151" si="2353">IF(ISBLANK(K2151)=TRUE,0,1)</f>
        <v>0</v>
      </c>
      <c r="U2151" s="13">
        <f t="shared" si="2353"/>
        <v>0</v>
      </c>
      <c r="V2151" s="13">
        <f t="shared" si="2353"/>
        <v>0</v>
      </c>
      <c r="W2151" s="13">
        <f t="shared" si="2353"/>
        <v>0</v>
      </c>
      <c r="X2151" s="13">
        <f t="shared" si="2353"/>
        <v>1</v>
      </c>
      <c r="Y2151" s="13">
        <f t="shared" si="2353"/>
        <v>1</v>
      </c>
      <c r="Z2151" s="13">
        <f t="shared" si="1998"/>
        <v>1</v>
      </c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</row>
    <row r="2152" ht="14.25" hidden="1" customHeight="1">
      <c r="A2152" s="13" t="s">
        <v>46</v>
      </c>
      <c r="B2152" s="13" t="s">
        <v>49</v>
      </c>
      <c r="C2152" s="13" t="s">
        <v>1270</v>
      </c>
      <c r="D2152" s="13"/>
      <c r="E2152" s="13" t="str">
        <f t="shared" si="1988"/>
        <v>SHS,106-36A-4G-1O,,1</v>
      </c>
      <c r="F2152" s="13"/>
      <c r="G2152" s="13" t="s">
        <v>74</v>
      </c>
      <c r="H2152" s="13" t="s">
        <v>75</v>
      </c>
      <c r="I2152" s="13"/>
      <c r="J2152" s="13"/>
      <c r="K2152" s="15"/>
      <c r="L2152" s="15"/>
      <c r="M2152" s="16"/>
      <c r="N2152" s="16"/>
      <c r="O2152" s="17">
        <v>1.0</v>
      </c>
      <c r="P2152" s="17">
        <v>1.0</v>
      </c>
      <c r="Q2152" s="13"/>
      <c r="R2152" s="13"/>
      <c r="S2152" s="13"/>
      <c r="T2152" s="13">
        <f t="shared" ref="T2152:Y2152" si="2354">IF(ISBLANK(K2152)=TRUE,0,1)</f>
        <v>0</v>
      </c>
      <c r="U2152" s="13">
        <f t="shared" si="2354"/>
        <v>0</v>
      </c>
      <c r="V2152" s="13">
        <f t="shared" si="2354"/>
        <v>0</v>
      </c>
      <c r="W2152" s="13">
        <f t="shared" si="2354"/>
        <v>0</v>
      </c>
      <c r="X2152" s="13">
        <f t="shared" si="2354"/>
        <v>1</v>
      </c>
      <c r="Y2152" s="13">
        <f t="shared" si="2354"/>
        <v>1</v>
      </c>
      <c r="Z2152" s="13">
        <f t="shared" si="1998"/>
        <v>1</v>
      </c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</row>
    <row r="2153" ht="14.25" hidden="1" customHeight="1">
      <c r="A2153" s="13" t="s">
        <v>46</v>
      </c>
      <c r="B2153" s="13" t="s">
        <v>49</v>
      </c>
      <c r="C2153" s="13" t="s">
        <v>1271</v>
      </c>
      <c r="D2153" s="13"/>
      <c r="E2153" s="13" t="str">
        <f t="shared" si="1988"/>
        <v>SHS,106-36A-4G-1P,,1</v>
      </c>
      <c r="F2153" s="13"/>
      <c r="G2153" s="13" t="s">
        <v>74</v>
      </c>
      <c r="H2153" s="13" t="s">
        <v>75</v>
      </c>
      <c r="I2153" s="13"/>
      <c r="J2153" s="13"/>
      <c r="K2153" s="15"/>
      <c r="L2153" s="15"/>
      <c r="M2153" s="16"/>
      <c r="N2153" s="16"/>
      <c r="O2153" s="17">
        <v>1.0</v>
      </c>
      <c r="P2153" s="17">
        <v>1.0</v>
      </c>
      <c r="Q2153" s="13"/>
      <c r="R2153" s="13"/>
      <c r="S2153" s="13"/>
      <c r="T2153" s="13">
        <f t="shared" ref="T2153:Y2153" si="2355">IF(ISBLANK(K2153)=TRUE,0,1)</f>
        <v>0</v>
      </c>
      <c r="U2153" s="13">
        <f t="shared" si="2355"/>
        <v>0</v>
      </c>
      <c r="V2153" s="13">
        <f t="shared" si="2355"/>
        <v>0</v>
      </c>
      <c r="W2153" s="13">
        <f t="shared" si="2355"/>
        <v>0</v>
      </c>
      <c r="X2153" s="13">
        <f t="shared" si="2355"/>
        <v>1</v>
      </c>
      <c r="Y2153" s="13">
        <f t="shared" si="2355"/>
        <v>1</v>
      </c>
      <c r="Z2153" s="13">
        <f t="shared" si="1998"/>
        <v>1</v>
      </c>
      <c r="AA2153" s="13"/>
      <c r="AB2153" s="13"/>
      <c r="AC2153" s="13"/>
      <c r="AD2153" s="13"/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</row>
    <row r="2154" ht="14.25" hidden="1" customHeight="1">
      <c r="A2154" s="13" t="s">
        <v>46</v>
      </c>
      <c r="B2154" s="13" t="s">
        <v>49</v>
      </c>
      <c r="C2154" s="13" t="s">
        <v>1272</v>
      </c>
      <c r="D2154" s="13"/>
      <c r="E2154" s="13" t="str">
        <f t="shared" si="1988"/>
        <v>SHS,106-36A-4G-1Q,,1</v>
      </c>
      <c r="F2154" s="13"/>
      <c r="G2154" s="13" t="s">
        <v>74</v>
      </c>
      <c r="H2154" s="13" t="s">
        <v>75</v>
      </c>
      <c r="I2154" s="13"/>
      <c r="J2154" s="13"/>
      <c r="K2154" s="15"/>
      <c r="L2154" s="15"/>
      <c r="M2154" s="16"/>
      <c r="N2154" s="16"/>
      <c r="O2154" s="17">
        <v>1.0</v>
      </c>
      <c r="P2154" s="17">
        <v>1.0</v>
      </c>
      <c r="Q2154" s="13"/>
      <c r="R2154" s="13"/>
      <c r="S2154" s="13"/>
      <c r="T2154" s="13">
        <f t="shared" ref="T2154:Y2154" si="2356">IF(ISBLANK(K2154)=TRUE,0,1)</f>
        <v>0</v>
      </c>
      <c r="U2154" s="13">
        <f t="shared" si="2356"/>
        <v>0</v>
      </c>
      <c r="V2154" s="13">
        <f t="shared" si="2356"/>
        <v>0</v>
      </c>
      <c r="W2154" s="13">
        <f t="shared" si="2356"/>
        <v>0</v>
      </c>
      <c r="X2154" s="13">
        <f t="shared" si="2356"/>
        <v>1</v>
      </c>
      <c r="Y2154" s="13">
        <f t="shared" si="2356"/>
        <v>1</v>
      </c>
      <c r="Z2154" s="13">
        <f t="shared" si="1998"/>
        <v>1</v>
      </c>
      <c r="AA2154" s="13"/>
      <c r="AB2154" s="13"/>
      <c r="AC2154" s="13"/>
      <c r="AD2154" s="13"/>
      <c r="AE2154" s="13"/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</row>
    <row r="2155" ht="14.25" hidden="1" customHeight="1">
      <c r="A2155" s="13" t="s">
        <v>46</v>
      </c>
      <c r="B2155" s="13" t="s">
        <v>49</v>
      </c>
      <c r="C2155" s="13" t="s">
        <v>1273</v>
      </c>
      <c r="D2155" s="13"/>
      <c r="E2155" s="13" t="str">
        <f t="shared" si="1988"/>
        <v>SHS,106-36A-4G-1R,,0</v>
      </c>
      <c r="F2155" s="13"/>
      <c r="G2155" s="13" t="s">
        <v>74</v>
      </c>
      <c r="H2155" s="13" t="s">
        <v>75</v>
      </c>
      <c r="I2155" s="13"/>
      <c r="J2155" s="13"/>
      <c r="K2155" s="15"/>
      <c r="L2155" s="15"/>
      <c r="M2155" s="16"/>
      <c r="N2155" s="16"/>
      <c r="O2155" s="17">
        <v>0.0</v>
      </c>
      <c r="P2155" s="17">
        <v>0.0</v>
      </c>
      <c r="Q2155" s="13"/>
      <c r="R2155" s="13"/>
      <c r="S2155" s="13"/>
      <c r="T2155" s="13">
        <f t="shared" ref="T2155:Y2155" si="2357">IF(ISBLANK(K2155)=TRUE,0,1)</f>
        <v>0</v>
      </c>
      <c r="U2155" s="13">
        <f t="shared" si="2357"/>
        <v>0</v>
      </c>
      <c r="V2155" s="13">
        <f t="shared" si="2357"/>
        <v>0</v>
      </c>
      <c r="W2155" s="13">
        <f t="shared" si="2357"/>
        <v>0</v>
      </c>
      <c r="X2155" s="13">
        <f t="shared" si="2357"/>
        <v>1</v>
      </c>
      <c r="Y2155" s="13">
        <f t="shared" si="2357"/>
        <v>1</v>
      </c>
      <c r="Z2155" s="13">
        <f t="shared" si="1998"/>
        <v>0</v>
      </c>
      <c r="AA2155" s="13"/>
      <c r="AB2155" s="13"/>
      <c r="AC2155" s="13"/>
      <c r="AD2155" s="13"/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</row>
    <row r="2156" ht="14.25" hidden="1" customHeight="1">
      <c r="A2156" s="13" t="s">
        <v>46</v>
      </c>
      <c r="B2156" s="13" t="s">
        <v>49</v>
      </c>
      <c r="C2156" s="13" t="s">
        <v>1274</v>
      </c>
      <c r="D2156" s="13"/>
      <c r="E2156" s="13" t="str">
        <f t="shared" si="1988"/>
        <v>SHS,106-36A-4G-1S,,1</v>
      </c>
      <c r="F2156" s="13"/>
      <c r="G2156" s="13" t="s">
        <v>74</v>
      </c>
      <c r="H2156" s="13" t="s">
        <v>75</v>
      </c>
      <c r="I2156" s="13"/>
      <c r="J2156" s="13"/>
      <c r="K2156" s="15"/>
      <c r="L2156" s="15"/>
      <c r="M2156" s="16"/>
      <c r="N2156" s="16"/>
      <c r="O2156" s="17">
        <v>1.0</v>
      </c>
      <c r="P2156" s="17">
        <v>1.0</v>
      </c>
      <c r="Q2156" s="13"/>
      <c r="R2156" s="13"/>
      <c r="S2156" s="13"/>
      <c r="T2156" s="13">
        <f t="shared" ref="T2156:Y2156" si="2358">IF(ISBLANK(K2156)=TRUE,0,1)</f>
        <v>0</v>
      </c>
      <c r="U2156" s="13">
        <f t="shared" si="2358"/>
        <v>0</v>
      </c>
      <c r="V2156" s="13">
        <f t="shared" si="2358"/>
        <v>0</v>
      </c>
      <c r="W2156" s="13">
        <f t="shared" si="2358"/>
        <v>0</v>
      </c>
      <c r="X2156" s="13">
        <f t="shared" si="2358"/>
        <v>1</v>
      </c>
      <c r="Y2156" s="13">
        <f t="shared" si="2358"/>
        <v>1</v>
      </c>
      <c r="Z2156" s="13">
        <f t="shared" si="1998"/>
        <v>1</v>
      </c>
      <c r="AA2156" s="13"/>
      <c r="AB2156" s="13"/>
      <c r="AC2156" s="13"/>
      <c r="AD2156" s="13"/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  <c r="AQ2156" s="13"/>
      <c r="AR2156" s="13"/>
      <c r="AS2156" s="13"/>
    </row>
    <row r="2157" ht="14.25" hidden="1" customHeight="1">
      <c r="A2157" s="13" t="s">
        <v>46</v>
      </c>
      <c r="B2157" s="13" t="s">
        <v>49</v>
      </c>
      <c r="C2157" s="13" t="s">
        <v>1275</v>
      </c>
      <c r="D2157" s="13"/>
      <c r="E2157" s="13" t="str">
        <f t="shared" si="1988"/>
        <v>SHS,106-36A-4G-1T,,1</v>
      </c>
      <c r="F2157" s="13"/>
      <c r="G2157" s="13" t="s">
        <v>74</v>
      </c>
      <c r="H2157" s="13" t="s">
        <v>75</v>
      </c>
      <c r="I2157" s="13"/>
      <c r="J2157" s="13"/>
      <c r="K2157" s="15"/>
      <c r="L2157" s="15"/>
      <c r="M2157" s="16"/>
      <c r="N2157" s="16"/>
      <c r="O2157" s="17">
        <v>1.0</v>
      </c>
      <c r="P2157" s="17">
        <v>1.0</v>
      </c>
      <c r="Q2157" s="13"/>
      <c r="R2157" s="13"/>
      <c r="S2157" s="13"/>
      <c r="T2157" s="13">
        <f t="shared" ref="T2157:Y2157" si="2359">IF(ISBLANK(K2157)=TRUE,0,1)</f>
        <v>0</v>
      </c>
      <c r="U2157" s="13">
        <f t="shared" si="2359"/>
        <v>0</v>
      </c>
      <c r="V2157" s="13">
        <f t="shared" si="2359"/>
        <v>0</v>
      </c>
      <c r="W2157" s="13">
        <f t="shared" si="2359"/>
        <v>0</v>
      </c>
      <c r="X2157" s="13">
        <f t="shared" si="2359"/>
        <v>1</v>
      </c>
      <c r="Y2157" s="13">
        <f t="shared" si="2359"/>
        <v>1</v>
      </c>
      <c r="Z2157" s="13">
        <f t="shared" si="1998"/>
        <v>1</v>
      </c>
      <c r="AA2157" s="13"/>
      <c r="AB2157" s="13"/>
      <c r="AC2157" s="13"/>
      <c r="AD2157" s="13"/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  <c r="AO2157" s="13"/>
      <c r="AP2157" s="13"/>
      <c r="AQ2157" s="13"/>
      <c r="AR2157" s="13"/>
      <c r="AS2157" s="13"/>
    </row>
    <row r="2158" ht="14.25" hidden="1" customHeight="1">
      <c r="A2158" s="13" t="s">
        <v>46</v>
      </c>
      <c r="B2158" s="13" t="s">
        <v>49</v>
      </c>
      <c r="C2158" s="13" t="s">
        <v>1276</v>
      </c>
      <c r="D2158" s="13"/>
      <c r="E2158" s="13" t="str">
        <f t="shared" si="1988"/>
        <v>SHS,106-36A-4G-1U,,1</v>
      </c>
      <c r="F2158" s="13"/>
      <c r="G2158" s="13" t="s">
        <v>74</v>
      </c>
      <c r="H2158" s="13" t="s">
        <v>75</v>
      </c>
      <c r="I2158" s="13"/>
      <c r="J2158" s="13"/>
      <c r="K2158" s="15"/>
      <c r="L2158" s="15"/>
      <c r="M2158" s="16"/>
      <c r="N2158" s="16"/>
      <c r="O2158" s="17">
        <v>1.0</v>
      </c>
      <c r="P2158" s="17">
        <v>1.0</v>
      </c>
      <c r="Q2158" s="13"/>
      <c r="R2158" s="13"/>
      <c r="S2158" s="13"/>
      <c r="T2158" s="13">
        <f t="shared" ref="T2158:Y2158" si="2360">IF(ISBLANK(K2158)=TRUE,0,1)</f>
        <v>0</v>
      </c>
      <c r="U2158" s="13">
        <f t="shared" si="2360"/>
        <v>0</v>
      </c>
      <c r="V2158" s="13">
        <f t="shared" si="2360"/>
        <v>0</v>
      </c>
      <c r="W2158" s="13">
        <f t="shared" si="2360"/>
        <v>0</v>
      </c>
      <c r="X2158" s="13">
        <f t="shared" si="2360"/>
        <v>1</v>
      </c>
      <c r="Y2158" s="13">
        <f t="shared" si="2360"/>
        <v>1</v>
      </c>
      <c r="Z2158" s="13">
        <f t="shared" si="1998"/>
        <v>1</v>
      </c>
      <c r="AA2158" s="13"/>
      <c r="AB2158" s="13"/>
      <c r="AC2158" s="13"/>
      <c r="AD2158" s="13"/>
      <c r="AE2158" s="13"/>
      <c r="AF2158" s="13"/>
      <c r="AG2158" s="13"/>
      <c r="AH2158" s="13"/>
      <c r="AI2158" s="13"/>
      <c r="AJ2158" s="13"/>
      <c r="AK2158" s="13"/>
      <c r="AL2158" s="13"/>
      <c r="AM2158" s="13"/>
      <c r="AN2158" s="13"/>
      <c r="AO2158" s="13"/>
      <c r="AP2158" s="13"/>
      <c r="AQ2158" s="13"/>
      <c r="AR2158" s="13"/>
      <c r="AS2158" s="13"/>
    </row>
    <row r="2159" ht="14.25" hidden="1" customHeight="1">
      <c r="A2159" s="13" t="s">
        <v>46</v>
      </c>
      <c r="B2159" s="13" t="s">
        <v>49</v>
      </c>
      <c r="C2159" s="13" t="s">
        <v>1277</v>
      </c>
      <c r="D2159" s="13"/>
      <c r="E2159" s="13" t="str">
        <f t="shared" si="1988"/>
        <v>SHS,106-36A-4G-1V,,1</v>
      </c>
      <c r="F2159" s="13"/>
      <c r="G2159" s="13" t="s">
        <v>74</v>
      </c>
      <c r="H2159" s="13" t="s">
        <v>75</v>
      </c>
      <c r="I2159" s="13"/>
      <c r="J2159" s="13"/>
      <c r="K2159" s="15"/>
      <c r="L2159" s="15"/>
      <c r="M2159" s="16"/>
      <c r="N2159" s="16"/>
      <c r="O2159" s="17">
        <v>1.0</v>
      </c>
      <c r="P2159" s="17">
        <v>1.0</v>
      </c>
      <c r="Q2159" s="13"/>
      <c r="R2159" s="13"/>
      <c r="S2159" s="13"/>
      <c r="T2159" s="13">
        <f t="shared" ref="T2159:Y2159" si="2361">IF(ISBLANK(K2159)=TRUE,0,1)</f>
        <v>0</v>
      </c>
      <c r="U2159" s="13">
        <f t="shared" si="2361"/>
        <v>0</v>
      </c>
      <c r="V2159" s="13">
        <f t="shared" si="2361"/>
        <v>0</v>
      </c>
      <c r="W2159" s="13">
        <f t="shared" si="2361"/>
        <v>0</v>
      </c>
      <c r="X2159" s="13">
        <f t="shared" si="2361"/>
        <v>1</v>
      </c>
      <c r="Y2159" s="13">
        <f t="shared" si="2361"/>
        <v>1</v>
      </c>
      <c r="Z2159" s="13">
        <f t="shared" si="1998"/>
        <v>1</v>
      </c>
      <c r="AA2159" s="13"/>
      <c r="AB2159" s="13"/>
      <c r="AC2159" s="13"/>
      <c r="AD2159" s="13"/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  <c r="AO2159" s="13"/>
      <c r="AP2159" s="13"/>
      <c r="AQ2159" s="13"/>
      <c r="AR2159" s="13"/>
      <c r="AS2159" s="13"/>
    </row>
    <row r="2160" ht="14.25" hidden="1" customHeight="1">
      <c r="A2160" s="13" t="s">
        <v>29</v>
      </c>
      <c r="B2160" s="13" t="s">
        <v>30</v>
      </c>
      <c r="C2160" s="13" t="s">
        <v>76</v>
      </c>
      <c r="D2160" s="13"/>
      <c r="E2160" s="13" t="str">
        <f t="shared" si="1988"/>
        <v>SJC,134-4-1,,1</v>
      </c>
      <c r="F2160" s="13"/>
      <c r="G2160" s="13" t="s">
        <v>74</v>
      </c>
      <c r="H2160" s="13" t="s">
        <v>107</v>
      </c>
      <c r="I2160" s="14">
        <v>44862.0</v>
      </c>
      <c r="J2160" s="14"/>
      <c r="K2160" s="15"/>
      <c r="L2160" s="15"/>
      <c r="M2160" s="16"/>
      <c r="N2160" s="16"/>
      <c r="O2160" s="17">
        <v>1.0</v>
      </c>
      <c r="P2160" s="17">
        <v>1.0</v>
      </c>
      <c r="Q2160" s="13">
        <f>K2159+L2159+M2159+N2159+O2159+P2159/6</f>
        <v>1.166666667</v>
      </c>
      <c r="R2160" s="13"/>
      <c r="S2160" s="13"/>
      <c r="T2160" s="13">
        <f t="shared" ref="T2160:Y2160" si="2362">IF(ISBLANK(K2160)=TRUE,0,1)</f>
        <v>0</v>
      </c>
      <c r="U2160" s="13">
        <f t="shared" si="2362"/>
        <v>0</v>
      </c>
      <c r="V2160" s="13">
        <f t="shared" si="2362"/>
        <v>0</v>
      </c>
      <c r="W2160" s="13">
        <f t="shared" si="2362"/>
        <v>0</v>
      </c>
      <c r="X2160" s="13">
        <f t="shared" si="2362"/>
        <v>1</v>
      </c>
      <c r="Y2160" s="13">
        <f t="shared" si="2362"/>
        <v>1</v>
      </c>
      <c r="Z2160" s="13">
        <f t="shared" si="1998"/>
        <v>1</v>
      </c>
      <c r="AA2160" s="13"/>
      <c r="AB2160" s="13"/>
      <c r="AC2160" s="13"/>
      <c r="AD2160" s="13"/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  <c r="AQ2160" s="13"/>
      <c r="AR2160" s="13"/>
      <c r="AS2160" s="13"/>
    </row>
    <row r="2161" ht="14.25" hidden="1" customHeight="1">
      <c r="A2161" s="13" t="s">
        <v>29</v>
      </c>
      <c r="B2161" s="13" t="s">
        <v>30</v>
      </c>
      <c r="C2161" s="18" t="s">
        <v>76</v>
      </c>
      <c r="D2161" s="13" t="s">
        <v>174</v>
      </c>
      <c r="F2161" s="13"/>
      <c r="G2161" s="13" t="s">
        <v>74</v>
      </c>
      <c r="H2161" s="13" t="s">
        <v>75</v>
      </c>
      <c r="I2161" s="13"/>
      <c r="J2161" s="13"/>
      <c r="K2161" s="15"/>
      <c r="L2161" s="15"/>
      <c r="M2161" s="16"/>
      <c r="N2161" s="16"/>
      <c r="O2161" s="17">
        <v>1.0</v>
      </c>
      <c r="P2161" s="17">
        <v>1.0</v>
      </c>
      <c r="Q2161" s="13"/>
      <c r="R2161" s="13"/>
      <c r="S2161" s="13"/>
      <c r="T2161" s="13">
        <f t="shared" ref="T2161:Y2161" si="2363">IF(ISBLANK(K2161)=TRUE,0,1)</f>
        <v>0</v>
      </c>
      <c r="U2161" s="13">
        <f t="shared" si="2363"/>
        <v>0</v>
      </c>
      <c r="V2161" s="13">
        <f t="shared" si="2363"/>
        <v>0</v>
      </c>
      <c r="W2161" s="13">
        <f t="shared" si="2363"/>
        <v>0</v>
      </c>
      <c r="X2161" s="13">
        <f t="shared" si="2363"/>
        <v>1</v>
      </c>
      <c r="Y2161" s="13">
        <f t="shared" si="2363"/>
        <v>1</v>
      </c>
      <c r="Z2161" s="13">
        <f t="shared" si="1998"/>
        <v>1</v>
      </c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</row>
    <row r="2162" ht="14.25" hidden="1" customHeight="1">
      <c r="A2162" s="13" t="s">
        <v>29</v>
      </c>
      <c r="B2162" s="13" t="s">
        <v>30</v>
      </c>
      <c r="C2162" s="13" t="s">
        <v>77</v>
      </c>
      <c r="D2162" s="13"/>
      <c r="E2162" s="13" t="str">
        <f t="shared" ref="E2162:E2164" si="2365">CONCATENATE(B2162,",",C2162,",",D2162,",",Z2162)</f>
        <v>SJC,134-4-10,,1</v>
      </c>
      <c r="F2162" s="13"/>
      <c r="G2162" s="13" t="s">
        <v>74</v>
      </c>
      <c r="H2162" s="13" t="s">
        <v>107</v>
      </c>
      <c r="I2162" s="14">
        <v>44862.0</v>
      </c>
      <c r="J2162" s="14"/>
      <c r="K2162" s="15"/>
      <c r="L2162" s="15"/>
      <c r="M2162" s="16"/>
      <c r="N2162" s="16"/>
      <c r="O2162" s="17">
        <v>1.0</v>
      </c>
      <c r="P2162" s="17">
        <v>1.0</v>
      </c>
      <c r="Q2162" s="13">
        <f t="shared" ref="Q2162:Q2164" si="2366">K2161+L2161+M2161+N2161+O2161+P2161/6</f>
        <v>1.166666667</v>
      </c>
      <c r="R2162" s="13"/>
      <c r="S2162" s="13"/>
      <c r="T2162" s="13">
        <f t="shared" ref="T2162:Y2162" si="2364">IF(ISBLANK(K2162)=TRUE,0,1)</f>
        <v>0</v>
      </c>
      <c r="U2162" s="13">
        <f t="shared" si="2364"/>
        <v>0</v>
      </c>
      <c r="V2162" s="13">
        <f t="shared" si="2364"/>
        <v>0</v>
      </c>
      <c r="W2162" s="13">
        <f t="shared" si="2364"/>
        <v>0</v>
      </c>
      <c r="X2162" s="13">
        <f t="shared" si="2364"/>
        <v>1</v>
      </c>
      <c r="Y2162" s="13">
        <f t="shared" si="2364"/>
        <v>1</v>
      </c>
      <c r="Z2162" s="13">
        <f t="shared" si="1998"/>
        <v>1</v>
      </c>
      <c r="AA2162" s="13"/>
      <c r="AB2162" s="13"/>
      <c r="AC2162" s="13"/>
      <c r="AD2162" s="13"/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  <c r="AQ2162" s="13"/>
      <c r="AR2162" s="13"/>
      <c r="AS2162" s="13"/>
    </row>
    <row r="2163" ht="14.25" hidden="1" customHeight="1">
      <c r="A2163" s="13" t="s">
        <v>29</v>
      </c>
      <c r="B2163" s="13" t="s">
        <v>30</v>
      </c>
      <c r="C2163" s="13" t="s">
        <v>78</v>
      </c>
      <c r="D2163" s="13"/>
      <c r="E2163" s="13" t="str">
        <f t="shared" si="2365"/>
        <v>SJC,134-4-11,,1</v>
      </c>
      <c r="F2163" s="13"/>
      <c r="G2163" s="13" t="s">
        <v>74</v>
      </c>
      <c r="H2163" s="13" t="s">
        <v>107</v>
      </c>
      <c r="I2163" s="14">
        <v>44862.0</v>
      </c>
      <c r="J2163" s="14"/>
      <c r="K2163" s="15"/>
      <c r="L2163" s="15"/>
      <c r="M2163" s="16"/>
      <c r="N2163" s="16"/>
      <c r="O2163" s="17">
        <v>1.0</v>
      </c>
      <c r="P2163" s="17">
        <v>1.0</v>
      </c>
      <c r="Q2163" s="13">
        <f t="shared" si="2366"/>
        <v>1.166666667</v>
      </c>
      <c r="R2163" s="13"/>
      <c r="S2163" s="13"/>
      <c r="T2163" s="13">
        <f t="shared" ref="T2163:Y2163" si="2367">IF(ISBLANK(K2163)=TRUE,0,1)</f>
        <v>0</v>
      </c>
      <c r="U2163" s="13">
        <f t="shared" si="2367"/>
        <v>0</v>
      </c>
      <c r="V2163" s="13">
        <f t="shared" si="2367"/>
        <v>0</v>
      </c>
      <c r="W2163" s="13">
        <f t="shared" si="2367"/>
        <v>0</v>
      </c>
      <c r="X2163" s="13">
        <f t="shared" si="2367"/>
        <v>1</v>
      </c>
      <c r="Y2163" s="13">
        <f t="shared" si="2367"/>
        <v>1</v>
      </c>
      <c r="Z2163" s="13">
        <f t="shared" si="1998"/>
        <v>1</v>
      </c>
      <c r="AA2163" s="13"/>
      <c r="AB2163" s="13"/>
      <c r="AC2163" s="13"/>
      <c r="AD2163" s="13"/>
      <c r="AE2163" s="13"/>
      <c r="AF2163" s="13"/>
      <c r="AG2163" s="13"/>
      <c r="AH2163" s="13"/>
      <c r="AI2163" s="13"/>
      <c r="AJ2163" s="13"/>
      <c r="AK2163" s="13"/>
      <c r="AL2163" s="13"/>
      <c r="AM2163" s="13"/>
      <c r="AN2163" s="13"/>
      <c r="AO2163" s="13"/>
      <c r="AP2163" s="13"/>
      <c r="AQ2163" s="13"/>
      <c r="AR2163" s="13"/>
      <c r="AS2163" s="13"/>
    </row>
    <row r="2164" ht="14.25" hidden="1" customHeight="1">
      <c r="A2164" s="13" t="s">
        <v>29</v>
      </c>
      <c r="B2164" s="13" t="s">
        <v>30</v>
      </c>
      <c r="C2164" s="13" t="s">
        <v>79</v>
      </c>
      <c r="D2164" s="13"/>
      <c r="E2164" s="13" t="str">
        <f t="shared" si="2365"/>
        <v>SJC,134-4-12,,1</v>
      </c>
      <c r="F2164" s="13"/>
      <c r="G2164" s="13" t="s">
        <v>74</v>
      </c>
      <c r="H2164" s="13" t="s">
        <v>107</v>
      </c>
      <c r="I2164" s="14">
        <v>44862.0</v>
      </c>
      <c r="J2164" s="14"/>
      <c r="K2164" s="15"/>
      <c r="L2164" s="15"/>
      <c r="M2164" s="16"/>
      <c r="N2164" s="16"/>
      <c r="O2164" s="17">
        <v>1.0</v>
      </c>
      <c r="P2164" s="17">
        <v>1.0</v>
      </c>
      <c r="Q2164" s="13">
        <f t="shared" si="2366"/>
        <v>1.166666667</v>
      </c>
      <c r="R2164" s="13"/>
      <c r="S2164" s="13"/>
      <c r="T2164" s="13">
        <f t="shared" ref="T2164:Y2164" si="2368">IF(ISBLANK(K2164)=TRUE,0,1)</f>
        <v>0</v>
      </c>
      <c r="U2164" s="13">
        <f t="shared" si="2368"/>
        <v>0</v>
      </c>
      <c r="V2164" s="13">
        <f t="shared" si="2368"/>
        <v>0</v>
      </c>
      <c r="W2164" s="13">
        <f t="shared" si="2368"/>
        <v>0</v>
      </c>
      <c r="X2164" s="13">
        <f t="shared" si="2368"/>
        <v>1</v>
      </c>
      <c r="Y2164" s="13">
        <f t="shared" si="2368"/>
        <v>1</v>
      </c>
      <c r="Z2164" s="13">
        <f t="shared" si="1998"/>
        <v>1</v>
      </c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</row>
    <row r="2165" ht="14.25" hidden="1" customHeight="1">
      <c r="A2165" s="13" t="s">
        <v>29</v>
      </c>
      <c r="B2165" s="13" t="s">
        <v>30</v>
      </c>
      <c r="C2165" s="18" t="s">
        <v>83</v>
      </c>
      <c r="D2165" s="13" t="s">
        <v>174</v>
      </c>
      <c r="F2165" s="13"/>
      <c r="G2165" s="13" t="s">
        <v>74</v>
      </c>
      <c r="H2165" s="13" t="s">
        <v>75</v>
      </c>
      <c r="I2165" s="13"/>
      <c r="J2165" s="13"/>
      <c r="K2165" s="15"/>
      <c r="L2165" s="15"/>
      <c r="M2165" s="16"/>
      <c r="N2165" s="16"/>
      <c r="O2165" s="17">
        <v>1.0</v>
      </c>
      <c r="P2165" s="17">
        <v>1.0</v>
      </c>
      <c r="Q2165" s="13"/>
      <c r="R2165" s="13"/>
      <c r="S2165" s="13"/>
      <c r="T2165" s="13">
        <f t="shared" ref="T2165:Y2165" si="2369">IF(ISBLANK(K2165)=TRUE,0,1)</f>
        <v>0</v>
      </c>
      <c r="U2165" s="13">
        <f t="shared" si="2369"/>
        <v>0</v>
      </c>
      <c r="V2165" s="13">
        <f t="shared" si="2369"/>
        <v>0</v>
      </c>
      <c r="W2165" s="13">
        <f t="shared" si="2369"/>
        <v>0</v>
      </c>
      <c r="X2165" s="13">
        <f t="shared" si="2369"/>
        <v>1</v>
      </c>
      <c r="Y2165" s="13">
        <f t="shared" si="2369"/>
        <v>1</v>
      </c>
      <c r="Z2165" s="13">
        <f t="shared" si="1998"/>
        <v>1</v>
      </c>
      <c r="AA2165" s="13"/>
      <c r="AB2165" s="13"/>
      <c r="AC2165" s="13"/>
      <c r="AD2165" s="13"/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</row>
    <row r="2166" ht="14.25" hidden="1" customHeight="1">
      <c r="A2166" s="13" t="s">
        <v>29</v>
      </c>
      <c r="B2166" s="13" t="s">
        <v>30</v>
      </c>
      <c r="C2166" s="18" t="s">
        <v>83</v>
      </c>
      <c r="D2166" s="13" t="s">
        <v>175</v>
      </c>
      <c r="F2166" s="13"/>
      <c r="G2166" s="13" t="s">
        <v>74</v>
      </c>
      <c r="H2166" s="13" t="s">
        <v>75</v>
      </c>
      <c r="I2166" s="13"/>
      <c r="J2166" s="13"/>
      <c r="K2166" s="15"/>
      <c r="L2166" s="15"/>
      <c r="M2166" s="16"/>
      <c r="N2166" s="16"/>
      <c r="O2166" s="17">
        <v>1.0</v>
      </c>
      <c r="P2166" s="17">
        <v>1.0</v>
      </c>
      <c r="Q2166" s="13"/>
      <c r="R2166" s="13"/>
      <c r="S2166" s="13"/>
      <c r="T2166" s="13">
        <f t="shared" ref="T2166:Y2166" si="2370">IF(ISBLANK(K2166)=TRUE,0,1)</f>
        <v>0</v>
      </c>
      <c r="U2166" s="13">
        <f t="shared" si="2370"/>
        <v>0</v>
      </c>
      <c r="V2166" s="13">
        <f t="shared" si="2370"/>
        <v>0</v>
      </c>
      <c r="W2166" s="13">
        <f t="shared" si="2370"/>
        <v>0</v>
      </c>
      <c r="X2166" s="13">
        <f t="shared" si="2370"/>
        <v>1</v>
      </c>
      <c r="Y2166" s="13">
        <f t="shared" si="2370"/>
        <v>1</v>
      </c>
      <c r="Z2166" s="13">
        <f t="shared" si="1998"/>
        <v>1</v>
      </c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</row>
    <row r="2167" ht="14.25" hidden="1" customHeight="1">
      <c r="A2167" s="13" t="s">
        <v>29</v>
      </c>
      <c r="B2167" s="13" t="s">
        <v>30</v>
      </c>
      <c r="C2167" s="13" t="s">
        <v>87</v>
      </c>
      <c r="D2167" s="13"/>
      <c r="E2167" s="13" t="str">
        <f>CONCATENATE(B2167,",",C2167,",",D2167,",",Z2167)</f>
        <v>SJC,134-4-2,,1</v>
      </c>
      <c r="F2167" s="13"/>
      <c r="G2167" s="13" t="s">
        <v>74</v>
      </c>
      <c r="H2167" s="13" t="s">
        <v>107</v>
      </c>
      <c r="I2167" s="14">
        <v>44862.0</v>
      </c>
      <c r="J2167" s="14"/>
      <c r="K2167" s="15"/>
      <c r="L2167" s="15"/>
      <c r="M2167" s="16"/>
      <c r="N2167" s="16"/>
      <c r="O2167" s="17">
        <v>1.0</v>
      </c>
      <c r="P2167" s="17">
        <v>1.0</v>
      </c>
      <c r="Q2167" s="13">
        <f>K2166+L2166+M2166+N2166+O2166+P2166/6</f>
        <v>1.166666667</v>
      </c>
      <c r="R2167" s="13"/>
      <c r="S2167" s="13"/>
      <c r="T2167" s="13">
        <f t="shared" ref="T2167:Y2167" si="2371">IF(ISBLANK(K2167)=TRUE,0,1)</f>
        <v>0</v>
      </c>
      <c r="U2167" s="13">
        <f t="shared" si="2371"/>
        <v>0</v>
      </c>
      <c r="V2167" s="13">
        <f t="shared" si="2371"/>
        <v>0</v>
      </c>
      <c r="W2167" s="13">
        <f t="shared" si="2371"/>
        <v>0</v>
      </c>
      <c r="X2167" s="13">
        <f t="shared" si="2371"/>
        <v>1</v>
      </c>
      <c r="Y2167" s="13">
        <f t="shared" si="2371"/>
        <v>1</v>
      </c>
      <c r="Z2167" s="13">
        <f t="shared" si="1998"/>
        <v>1</v>
      </c>
      <c r="AA2167" s="13"/>
      <c r="AB2167" s="13"/>
      <c r="AC2167" s="13"/>
      <c r="AD2167" s="13"/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</row>
    <row r="2168" ht="14.25" hidden="1" customHeight="1">
      <c r="A2168" s="13" t="s">
        <v>29</v>
      </c>
      <c r="B2168" s="13" t="s">
        <v>30</v>
      </c>
      <c r="C2168" s="18" t="s">
        <v>89</v>
      </c>
      <c r="D2168" s="13" t="s">
        <v>174</v>
      </c>
      <c r="F2168" s="13"/>
      <c r="G2168" s="13" t="s">
        <v>74</v>
      </c>
      <c r="H2168" s="13" t="s">
        <v>75</v>
      </c>
      <c r="I2168" s="13"/>
      <c r="J2168" s="13"/>
      <c r="K2168" s="15"/>
      <c r="L2168" s="15"/>
      <c r="M2168" s="16"/>
      <c r="N2168" s="16"/>
      <c r="O2168" s="17">
        <v>1.0</v>
      </c>
      <c r="P2168" s="17">
        <v>1.0</v>
      </c>
      <c r="Q2168" s="13"/>
      <c r="R2168" s="13"/>
      <c r="S2168" s="13"/>
      <c r="T2168" s="13">
        <f t="shared" ref="T2168:Y2168" si="2372">IF(ISBLANK(K2168)=TRUE,0,1)</f>
        <v>0</v>
      </c>
      <c r="U2168" s="13">
        <f t="shared" si="2372"/>
        <v>0</v>
      </c>
      <c r="V2168" s="13">
        <f t="shared" si="2372"/>
        <v>0</v>
      </c>
      <c r="W2168" s="13">
        <f t="shared" si="2372"/>
        <v>0</v>
      </c>
      <c r="X2168" s="13">
        <f t="shared" si="2372"/>
        <v>1</v>
      </c>
      <c r="Y2168" s="13">
        <f t="shared" si="2372"/>
        <v>1</v>
      </c>
      <c r="Z2168" s="13">
        <f t="shared" si="1998"/>
        <v>1</v>
      </c>
      <c r="AA2168" s="13"/>
      <c r="AB2168" s="13"/>
      <c r="AC2168" s="13"/>
      <c r="AD2168" s="13"/>
      <c r="AE2168" s="13"/>
      <c r="AF2168" s="13"/>
      <c r="AG2168" s="13"/>
      <c r="AH2168" s="13"/>
      <c r="AI2168" s="13"/>
      <c r="AJ2168" s="13"/>
      <c r="AK2168" s="13"/>
      <c r="AL2168" s="13"/>
      <c r="AM2168" s="13"/>
      <c r="AN2168" s="13"/>
      <c r="AO2168" s="13"/>
      <c r="AP2168" s="13"/>
      <c r="AQ2168" s="13"/>
      <c r="AR2168" s="13"/>
      <c r="AS2168" s="13"/>
    </row>
    <row r="2169" ht="14.25" hidden="1" customHeight="1">
      <c r="A2169" s="13" t="s">
        <v>29</v>
      </c>
      <c r="B2169" s="13" t="s">
        <v>30</v>
      </c>
      <c r="C2169" s="18" t="s">
        <v>96</v>
      </c>
      <c r="D2169" s="13" t="s">
        <v>174</v>
      </c>
      <c r="F2169" s="13"/>
      <c r="G2169" s="13" t="s">
        <v>74</v>
      </c>
      <c r="H2169" s="13" t="s">
        <v>75</v>
      </c>
      <c r="I2169" s="13"/>
      <c r="J2169" s="13"/>
      <c r="K2169" s="15"/>
      <c r="L2169" s="15"/>
      <c r="M2169" s="16"/>
      <c r="N2169" s="16"/>
      <c r="O2169" s="17">
        <v>1.0</v>
      </c>
      <c r="P2169" s="17">
        <v>1.0</v>
      </c>
      <c r="Q2169" s="13"/>
      <c r="R2169" s="13"/>
      <c r="S2169" s="13"/>
      <c r="T2169" s="13">
        <f t="shared" ref="T2169:Y2169" si="2373">IF(ISBLANK(K2169)=TRUE,0,1)</f>
        <v>0</v>
      </c>
      <c r="U2169" s="13">
        <f t="shared" si="2373"/>
        <v>0</v>
      </c>
      <c r="V2169" s="13">
        <f t="shared" si="2373"/>
        <v>0</v>
      </c>
      <c r="W2169" s="13">
        <f t="shared" si="2373"/>
        <v>0</v>
      </c>
      <c r="X2169" s="13">
        <f t="shared" si="2373"/>
        <v>1</v>
      </c>
      <c r="Y2169" s="13">
        <f t="shared" si="2373"/>
        <v>1</v>
      </c>
      <c r="Z2169" s="13">
        <f t="shared" si="1998"/>
        <v>1</v>
      </c>
      <c r="AA2169" s="13"/>
      <c r="AB2169" s="13"/>
      <c r="AC2169" s="13"/>
      <c r="AD2169" s="13"/>
      <c r="AE2169" s="13"/>
      <c r="AF2169" s="13"/>
      <c r="AG2169" s="13"/>
      <c r="AH2169" s="13"/>
      <c r="AI2169" s="13"/>
      <c r="AJ2169" s="13"/>
      <c r="AK2169" s="13"/>
      <c r="AL2169" s="13"/>
      <c r="AM2169" s="13"/>
      <c r="AN2169" s="13"/>
      <c r="AO2169" s="13"/>
      <c r="AP2169" s="13"/>
      <c r="AQ2169" s="13"/>
      <c r="AR2169" s="13"/>
      <c r="AS2169" s="13"/>
    </row>
    <row r="2170" ht="14.25" hidden="1" customHeight="1">
      <c r="A2170" s="13" t="s">
        <v>29</v>
      </c>
      <c r="B2170" s="13" t="s">
        <v>30</v>
      </c>
      <c r="C2170" s="18" t="s">
        <v>96</v>
      </c>
      <c r="D2170" s="13" t="s">
        <v>175</v>
      </c>
      <c r="F2170" s="13"/>
      <c r="G2170" s="13" t="s">
        <v>74</v>
      </c>
      <c r="H2170" s="13" t="s">
        <v>75</v>
      </c>
      <c r="I2170" s="13"/>
      <c r="J2170" s="13"/>
      <c r="K2170" s="15"/>
      <c r="L2170" s="15"/>
      <c r="M2170" s="16"/>
      <c r="N2170" s="16"/>
      <c r="O2170" s="17">
        <v>1.0</v>
      </c>
      <c r="P2170" s="17">
        <v>1.0</v>
      </c>
      <c r="Q2170" s="13"/>
      <c r="R2170" s="13"/>
      <c r="S2170" s="13"/>
      <c r="T2170" s="13">
        <f t="shared" ref="T2170:Y2170" si="2374">IF(ISBLANK(K2170)=TRUE,0,1)</f>
        <v>0</v>
      </c>
      <c r="U2170" s="13">
        <f t="shared" si="2374"/>
        <v>0</v>
      </c>
      <c r="V2170" s="13">
        <f t="shared" si="2374"/>
        <v>0</v>
      </c>
      <c r="W2170" s="13">
        <f t="shared" si="2374"/>
        <v>0</v>
      </c>
      <c r="X2170" s="13">
        <f t="shared" si="2374"/>
        <v>1</v>
      </c>
      <c r="Y2170" s="13">
        <f t="shared" si="2374"/>
        <v>1</v>
      </c>
      <c r="Z2170" s="13">
        <f t="shared" si="1998"/>
        <v>1</v>
      </c>
      <c r="AA2170" s="13"/>
      <c r="AB2170" s="13"/>
      <c r="AC2170" s="13"/>
      <c r="AD2170" s="13"/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  <c r="AQ2170" s="13"/>
      <c r="AR2170" s="13"/>
      <c r="AS2170" s="13"/>
    </row>
    <row r="2171" ht="14.25" hidden="1" customHeight="1">
      <c r="A2171" s="13" t="s">
        <v>29</v>
      </c>
      <c r="B2171" s="13" t="s">
        <v>30</v>
      </c>
      <c r="C2171" s="18" t="s">
        <v>96</v>
      </c>
      <c r="D2171" s="13" t="s">
        <v>176</v>
      </c>
      <c r="F2171" s="13"/>
      <c r="G2171" s="13" t="s">
        <v>74</v>
      </c>
      <c r="H2171" s="13" t="s">
        <v>75</v>
      </c>
      <c r="I2171" s="13"/>
      <c r="J2171" s="13"/>
      <c r="K2171" s="15"/>
      <c r="L2171" s="15"/>
      <c r="M2171" s="16"/>
      <c r="N2171" s="16"/>
      <c r="O2171" s="17">
        <v>1.0</v>
      </c>
      <c r="P2171" s="17">
        <v>1.0</v>
      </c>
      <c r="Q2171" s="13"/>
      <c r="R2171" s="13"/>
      <c r="S2171" s="13"/>
      <c r="T2171" s="13">
        <f t="shared" ref="T2171:Y2171" si="2375">IF(ISBLANK(K2171)=TRUE,0,1)</f>
        <v>0</v>
      </c>
      <c r="U2171" s="13">
        <f t="shared" si="2375"/>
        <v>0</v>
      </c>
      <c r="V2171" s="13">
        <f t="shared" si="2375"/>
        <v>0</v>
      </c>
      <c r="W2171" s="13">
        <f t="shared" si="2375"/>
        <v>0</v>
      </c>
      <c r="X2171" s="13">
        <f t="shared" si="2375"/>
        <v>1</v>
      </c>
      <c r="Y2171" s="13">
        <f t="shared" si="2375"/>
        <v>1</v>
      </c>
      <c r="Z2171" s="13">
        <f t="shared" si="1998"/>
        <v>1</v>
      </c>
      <c r="AA2171" s="13"/>
      <c r="AB2171" s="13"/>
      <c r="AC2171" s="13"/>
      <c r="AD2171" s="13"/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  <c r="AO2171" s="13"/>
      <c r="AP2171" s="13"/>
      <c r="AQ2171" s="13"/>
      <c r="AR2171" s="13"/>
      <c r="AS2171" s="13"/>
    </row>
    <row r="2172" ht="14.25" hidden="1" customHeight="1">
      <c r="A2172" s="13" t="s">
        <v>29</v>
      </c>
      <c r="B2172" s="13" t="s">
        <v>30</v>
      </c>
      <c r="C2172" s="13" t="s">
        <v>98</v>
      </c>
      <c r="D2172" s="13"/>
      <c r="E2172" s="13" t="str">
        <f t="shared" ref="E2172:E2177" si="2377">CONCATENATE(B2172,",",C2172,",",D2172,",",Z2172)</f>
        <v>SJC,134-4-3,,1</v>
      </c>
      <c r="F2172" s="13"/>
      <c r="G2172" s="13" t="s">
        <v>74</v>
      </c>
      <c r="H2172" s="13" t="s">
        <v>107</v>
      </c>
      <c r="I2172" s="14">
        <v>44862.0</v>
      </c>
      <c r="J2172" s="14"/>
      <c r="K2172" s="15"/>
      <c r="L2172" s="15"/>
      <c r="M2172" s="16"/>
      <c r="N2172" s="16"/>
      <c r="O2172" s="17">
        <v>1.0</v>
      </c>
      <c r="P2172" s="17">
        <v>1.0</v>
      </c>
      <c r="Q2172" s="13">
        <f t="shared" ref="Q2172:Q2177" si="2378">K2171+L2171+M2171+N2171+O2171+P2171/6</f>
        <v>1.166666667</v>
      </c>
      <c r="R2172" s="13"/>
      <c r="S2172" s="13"/>
      <c r="T2172" s="13">
        <f t="shared" ref="T2172:Y2172" si="2376">IF(ISBLANK(K2172)=TRUE,0,1)</f>
        <v>0</v>
      </c>
      <c r="U2172" s="13">
        <f t="shared" si="2376"/>
        <v>0</v>
      </c>
      <c r="V2172" s="13">
        <f t="shared" si="2376"/>
        <v>0</v>
      </c>
      <c r="W2172" s="13">
        <f t="shared" si="2376"/>
        <v>0</v>
      </c>
      <c r="X2172" s="13">
        <f t="shared" si="2376"/>
        <v>1</v>
      </c>
      <c r="Y2172" s="13">
        <f t="shared" si="2376"/>
        <v>1</v>
      </c>
      <c r="Z2172" s="13">
        <f t="shared" si="1998"/>
        <v>1</v>
      </c>
      <c r="AA2172" s="13"/>
      <c r="AB2172" s="13"/>
      <c r="AC2172" s="13"/>
      <c r="AD2172" s="13"/>
      <c r="AE2172" s="13"/>
      <c r="AF2172" s="13"/>
      <c r="AG2172" s="13"/>
      <c r="AH2172" s="13"/>
      <c r="AI2172" s="13"/>
      <c r="AJ2172" s="13"/>
      <c r="AK2172" s="13"/>
      <c r="AL2172" s="13"/>
      <c r="AM2172" s="13"/>
      <c r="AN2172" s="13"/>
      <c r="AO2172" s="13"/>
      <c r="AP2172" s="13"/>
      <c r="AQ2172" s="13"/>
      <c r="AR2172" s="13"/>
      <c r="AS2172" s="13"/>
    </row>
    <row r="2173" ht="14.25" hidden="1" customHeight="1">
      <c r="A2173" s="13" t="s">
        <v>29</v>
      </c>
      <c r="B2173" s="13" t="s">
        <v>30</v>
      </c>
      <c r="C2173" s="13" t="s">
        <v>102</v>
      </c>
      <c r="D2173" s="13"/>
      <c r="E2173" s="13" t="str">
        <f t="shared" si="2377"/>
        <v>SJC,134-4-4,,1</v>
      </c>
      <c r="F2173" s="13"/>
      <c r="G2173" s="13" t="s">
        <v>74</v>
      </c>
      <c r="H2173" s="13" t="s">
        <v>107</v>
      </c>
      <c r="I2173" s="14">
        <v>44862.0</v>
      </c>
      <c r="J2173" s="14"/>
      <c r="K2173" s="15"/>
      <c r="L2173" s="15"/>
      <c r="M2173" s="16"/>
      <c r="N2173" s="16"/>
      <c r="O2173" s="17">
        <v>1.0</v>
      </c>
      <c r="P2173" s="17">
        <v>1.0</v>
      </c>
      <c r="Q2173" s="13">
        <f t="shared" si="2378"/>
        <v>1.166666667</v>
      </c>
      <c r="R2173" s="13"/>
      <c r="S2173" s="13"/>
      <c r="T2173" s="13">
        <f t="shared" ref="T2173:Y2173" si="2379">IF(ISBLANK(K2173)=TRUE,0,1)</f>
        <v>0</v>
      </c>
      <c r="U2173" s="13">
        <f t="shared" si="2379"/>
        <v>0</v>
      </c>
      <c r="V2173" s="13">
        <f t="shared" si="2379"/>
        <v>0</v>
      </c>
      <c r="W2173" s="13">
        <f t="shared" si="2379"/>
        <v>0</v>
      </c>
      <c r="X2173" s="13">
        <f t="shared" si="2379"/>
        <v>1</v>
      </c>
      <c r="Y2173" s="13">
        <f t="shared" si="2379"/>
        <v>1</v>
      </c>
      <c r="Z2173" s="13">
        <f t="shared" si="1998"/>
        <v>1</v>
      </c>
      <c r="AA2173" s="13"/>
      <c r="AB2173" s="13"/>
      <c r="AC2173" s="13"/>
      <c r="AD2173" s="13"/>
      <c r="AE2173" s="13"/>
      <c r="AF2173" s="13"/>
      <c r="AG2173" s="13"/>
      <c r="AH2173" s="13"/>
      <c r="AI2173" s="13"/>
      <c r="AJ2173" s="13"/>
      <c r="AK2173" s="13"/>
      <c r="AL2173" s="13"/>
      <c r="AM2173" s="13"/>
      <c r="AN2173" s="13"/>
      <c r="AO2173" s="13"/>
      <c r="AP2173" s="13"/>
      <c r="AQ2173" s="13"/>
      <c r="AR2173" s="13"/>
      <c r="AS2173" s="13"/>
    </row>
    <row r="2174" ht="14.25" hidden="1" customHeight="1">
      <c r="A2174" s="13" t="s">
        <v>29</v>
      </c>
      <c r="B2174" s="13" t="s">
        <v>30</v>
      </c>
      <c r="C2174" s="13" t="s">
        <v>103</v>
      </c>
      <c r="D2174" s="13"/>
      <c r="E2174" s="13" t="str">
        <f t="shared" si="2377"/>
        <v>SJC,134-4-5,,1</v>
      </c>
      <c r="F2174" s="13"/>
      <c r="G2174" s="13" t="s">
        <v>74</v>
      </c>
      <c r="H2174" s="13" t="s">
        <v>107</v>
      </c>
      <c r="I2174" s="14">
        <v>44862.0</v>
      </c>
      <c r="J2174" s="14"/>
      <c r="K2174" s="15"/>
      <c r="L2174" s="15"/>
      <c r="M2174" s="16"/>
      <c r="N2174" s="16"/>
      <c r="O2174" s="17">
        <v>1.0</v>
      </c>
      <c r="P2174" s="17">
        <v>1.0</v>
      </c>
      <c r="Q2174" s="13">
        <f t="shared" si="2378"/>
        <v>1.166666667</v>
      </c>
      <c r="R2174" s="13"/>
      <c r="S2174" s="13"/>
      <c r="T2174" s="13">
        <f t="shared" ref="T2174:Y2174" si="2380">IF(ISBLANK(K2174)=TRUE,0,1)</f>
        <v>0</v>
      </c>
      <c r="U2174" s="13">
        <f t="shared" si="2380"/>
        <v>0</v>
      </c>
      <c r="V2174" s="13">
        <f t="shared" si="2380"/>
        <v>0</v>
      </c>
      <c r="W2174" s="13">
        <f t="shared" si="2380"/>
        <v>0</v>
      </c>
      <c r="X2174" s="13">
        <f t="shared" si="2380"/>
        <v>1</v>
      </c>
      <c r="Y2174" s="13">
        <f t="shared" si="2380"/>
        <v>1</v>
      </c>
      <c r="Z2174" s="13">
        <f t="shared" si="1998"/>
        <v>1</v>
      </c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</row>
    <row r="2175" ht="14.25" hidden="1" customHeight="1">
      <c r="A2175" s="13" t="s">
        <v>29</v>
      </c>
      <c r="B2175" s="13" t="s">
        <v>30</v>
      </c>
      <c r="C2175" s="13" t="s">
        <v>104</v>
      </c>
      <c r="D2175" s="13"/>
      <c r="E2175" s="13" t="str">
        <f t="shared" si="2377"/>
        <v>SJC,134-4-6,,1</v>
      </c>
      <c r="F2175" s="13"/>
      <c r="G2175" s="13" t="s">
        <v>74</v>
      </c>
      <c r="H2175" s="13" t="s">
        <v>107</v>
      </c>
      <c r="I2175" s="14">
        <v>44862.0</v>
      </c>
      <c r="J2175" s="14"/>
      <c r="K2175" s="15"/>
      <c r="L2175" s="15"/>
      <c r="M2175" s="16"/>
      <c r="N2175" s="16"/>
      <c r="O2175" s="17">
        <v>1.0</v>
      </c>
      <c r="P2175" s="17">
        <v>1.0</v>
      </c>
      <c r="Q2175" s="13">
        <f t="shared" si="2378"/>
        <v>1.166666667</v>
      </c>
      <c r="R2175" s="13"/>
      <c r="S2175" s="13"/>
      <c r="T2175" s="13">
        <f t="shared" ref="T2175:Y2175" si="2381">IF(ISBLANK(K2175)=TRUE,0,1)</f>
        <v>0</v>
      </c>
      <c r="U2175" s="13">
        <f t="shared" si="2381"/>
        <v>0</v>
      </c>
      <c r="V2175" s="13">
        <f t="shared" si="2381"/>
        <v>0</v>
      </c>
      <c r="W2175" s="13">
        <f t="shared" si="2381"/>
        <v>0</v>
      </c>
      <c r="X2175" s="13">
        <f t="shared" si="2381"/>
        <v>1</v>
      </c>
      <c r="Y2175" s="13">
        <f t="shared" si="2381"/>
        <v>1</v>
      </c>
      <c r="Z2175" s="13">
        <f t="shared" si="1998"/>
        <v>1</v>
      </c>
      <c r="AA2175" s="13"/>
      <c r="AB2175" s="13"/>
      <c r="AC2175" s="13"/>
      <c r="AD2175" s="13"/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</row>
    <row r="2176" ht="14.25" hidden="1" customHeight="1">
      <c r="A2176" s="13" t="s">
        <v>29</v>
      </c>
      <c r="B2176" s="13" t="s">
        <v>30</v>
      </c>
      <c r="C2176" s="13" t="s">
        <v>105</v>
      </c>
      <c r="D2176" s="13"/>
      <c r="E2176" s="13" t="str">
        <f t="shared" si="2377"/>
        <v>SJC,134-4-7,,1</v>
      </c>
      <c r="F2176" s="13"/>
      <c r="G2176" s="13" t="s">
        <v>74</v>
      </c>
      <c r="H2176" s="13" t="s">
        <v>107</v>
      </c>
      <c r="I2176" s="14">
        <v>44862.0</v>
      </c>
      <c r="J2176" s="14"/>
      <c r="K2176" s="15"/>
      <c r="L2176" s="15"/>
      <c r="M2176" s="16"/>
      <c r="N2176" s="16"/>
      <c r="O2176" s="17">
        <v>1.0</v>
      </c>
      <c r="P2176" s="17">
        <v>1.0</v>
      </c>
      <c r="Q2176" s="13">
        <f t="shared" si="2378"/>
        <v>1.166666667</v>
      </c>
      <c r="R2176" s="13"/>
      <c r="S2176" s="13"/>
      <c r="T2176" s="13">
        <f t="shared" ref="T2176:Y2176" si="2382">IF(ISBLANK(K2176)=TRUE,0,1)</f>
        <v>0</v>
      </c>
      <c r="U2176" s="13">
        <f t="shared" si="2382"/>
        <v>0</v>
      </c>
      <c r="V2176" s="13">
        <f t="shared" si="2382"/>
        <v>0</v>
      </c>
      <c r="W2176" s="13">
        <f t="shared" si="2382"/>
        <v>0</v>
      </c>
      <c r="X2176" s="13">
        <f t="shared" si="2382"/>
        <v>1</v>
      </c>
      <c r="Y2176" s="13">
        <f t="shared" si="2382"/>
        <v>1</v>
      </c>
      <c r="Z2176" s="13">
        <f t="shared" si="1998"/>
        <v>1</v>
      </c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</row>
    <row r="2177" ht="14.25" hidden="1" customHeight="1">
      <c r="A2177" s="13" t="s">
        <v>29</v>
      </c>
      <c r="B2177" s="13" t="s">
        <v>30</v>
      </c>
      <c r="C2177" s="13" t="s">
        <v>106</v>
      </c>
      <c r="D2177" s="13"/>
      <c r="E2177" s="13" t="str">
        <f t="shared" si="2377"/>
        <v>SJC,134-4-8,,1</v>
      </c>
      <c r="F2177" s="13"/>
      <c r="G2177" s="13" t="s">
        <v>74</v>
      </c>
      <c r="H2177" s="13" t="s">
        <v>107</v>
      </c>
      <c r="I2177" s="14">
        <v>44862.0</v>
      </c>
      <c r="J2177" s="14"/>
      <c r="K2177" s="15"/>
      <c r="L2177" s="15"/>
      <c r="M2177" s="16"/>
      <c r="N2177" s="16"/>
      <c r="O2177" s="17">
        <v>1.0</v>
      </c>
      <c r="P2177" s="17">
        <v>1.0</v>
      </c>
      <c r="Q2177" s="13">
        <f t="shared" si="2378"/>
        <v>1.166666667</v>
      </c>
      <c r="R2177" s="13"/>
      <c r="S2177" s="13"/>
      <c r="T2177" s="13">
        <f t="shared" ref="T2177:Y2177" si="2383">IF(ISBLANK(K2177)=TRUE,0,1)</f>
        <v>0</v>
      </c>
      <c r="U2177" s="13">
        <f t="shared" si="2383"/>
        <v>0</v>
      </c>
      <c r="V2177" s="13">
        <f t="shared" si="2383"/>
        <v>0</v>
      </c>
      <c r="W2177" s="13">
        <f t="shared" si="2383"/>
        <v>0</v>
      </c>
      <c r="X2177" s="13">
        <f t="shared" si="2383"/>
        <v>1</v>
      </c>
      <c r="Y2177" s="13">
        <f t="shared" si="2383"/>
        <v>1</v>
      </c>
      <c r="Z2177" s="13">
        <f t="shared" si="1998"/>
        <v>1</v>
      </c>
      <c r="AA2177" s="13"/>
      <c r="AB2177" s="13"/>
      <c r="AC2177" s="13"/>
      <c r="AD2177" s="13"/>
      <c r="AE2177" s="13"/>
      <c r="AF2177" s="13"/>
      <c r="AG2177" s="13"/>
      <c r="AH2177" s="13"/>
      <c r="AI2177" s="13"/>
      <c r="AJ2177" s="13"/>
      <c r="AK2177" s="13"/>
      <c r="AL2177" s="13"/>
      <c r="AM2177" s="13"/>
      <c r="AN2177" s="13"/>
      <c r="AO2177" s="13"/>
      <c r="AP2177" s="13"/>
      <c r="AQ2177" s="13"/>
      <c r="AR2177" s="13"/>
      <c r="AS2177" s="13"/>
    </row>
    <row r="2178" ht="14.25" hidden="1" customHeight="1">
      <c r="A2178" s="13" t="s">
        <v>29</v>
      </c>
      <c r="B2178" s="13" t="s">
        <v>30</v>
      </c>
      <c r="C2178" s="18" t="s">
        <v>106</v>
      </c>
      <c r="D2178" s="13" t="s">
        <v>174</v>
      </c>
      <c r="F2178" s="13"/>
      <c r="G2178" s="13" t="s">
        <v>74</v>
      </c>
      <c r="H2178" s="13" t="s">
        <v>75</v>
      </c>
      <c r="I2178" s="13"/>
      <c r="J2178" s="13"/>
      <c r="K2178" s="15"/>
      <c r="L2178" s="15"/>
      <c r="M2178" s="16"/>
      <c r="N2178" s="16"/>
      <c r="O2178" s="17">
        <v>1.0</v>
      </c>
      <c r="P2178" s="17">
        <v>1.0</v>
      </c>
      <c r="Q2178" s="13"/>
      <c r="R2178" s="13"/>
      <c r="S2178" s="13"/>
      <c r="T2178" s="13">
        <f t="shared" ref="T2178:Y2178" si="2384">IF(ISBLANK(K2178)=TRUE,0,1)</f>
        <v>0</v>
      </c>
      <c r="U2178" s="13">
        <f t="shared" si="2384"/>
        <v>0</v>
      </c>
      <c r="V2178" s="13">
        <f t="shared" si="2384"/>
        <v>0</v>
      </c>
      <c r="W2178" s="13">
        <f t="shared" si="2384"/>
        <v>0</v>
      </c>
      <c r="X2178" s="13">
        <f t="shared" si="2384"/>
        <v>1</v>
      </c>
      <c r="Y2178" s="13">
        <f t="shared" si="2384"/>
        <v>1</v>
      </c>
      <c r="Z2178" s="13">
        <f t="shared" si="1998"/>
        <v>1</v>
      </c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</row>
    <row r="2179" ht="14.25" hidden="1" customHeight="1">
      <c r="A2179" s="13" t="s">
        <v>29</v>
      </c>
      <c r="B2179" s="13" t="s">
        <v>30</v>
      </c>
      <c r="C2179" s="13" t="s">
        <v>108</v>
      </c>
      <c r="D2179" s="13"/>
      <c r="E2179" s="13" t="str">
        <f>CONCATENATE(B2179,",",C2179,",",D2179,",",Z2179)</f>
        <v>SJC,134-4-9,,1</v>
      </c>
      <c r="F2179" s="13"/>
      <c r="G2179" s="13" t="s">
        <v>74</v>
      </c>
      <c r="H2179" s="13" t="s">
        <v>107</v>
      </c>
      <c r="I2179" s="14">
        <v>44862.0</v>
      </c>
      <c r="J2179" s="14"/>
      <c r="K2179" s="15"/>
      <c r="L2179" s="15"/>
      <c r="M2179" s="16"/>
      <c r="N2179" s="16"/>
      <c r="O2179" s="17">
        <v>1.0</v>
      </c>
      <c r="P2179" s="17">
        <v>1.0</v>
      </c>
      <c r="Q2179" s="13">
        <f>K2178+L2178+M2178+N2178+O2178+P2178/6</f>
        <v>1.166666667</v>
      </c>
      <c r="R2179" s="13"/>
      <c r="S2179" s="13"/>
      <c r="T2179" s="13">
        <f t="shared" ref="T2179:Y2179" si="2385">IF(ISBLANK(K2179)=TRUE,0,1)</f>
        <v>0</v>
      </c>
      <c r="U2179" s="13">
        <f t="shared" si="2385"/>
        <v>0</v>
      </c>
      <c r="V2179" s="13">
        <f t="shared" si="2385"/>
        <v>0</v>
      </c>
      <c r="W2179" s="13">
        <f t="shared" si="2385"/>
        <v>0</v>
      </c>
      <c r="X2179" s="13">
        <f t="shared" si="2385"/>
        <v>1</v>
      </c>
      <c r="Y2179" s="13">
        <f t="shared" si="2385"/>
        <v>1</v>
      </c>
      <c r="Z2179" s="13">
        <f t="shared" si="1998"/>
        <v>1</v>
      </c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</row>
    <row r="2180" ht="14.25" hidden="1" customHeight="1">
      <c r="A2180" s="13" t="s">
        <v>29</v>
      </c>
      <c r="B2180" s="13" t="s">
        <v>30</v>
      </c>
      <c r="C2180" s="18" t="s">
        <v>108</v>
      </c>
      <c r="D2180" s="13" t="s">
        <v>174</v>
      </c>
      <c r="F2180" s="13"/>
      <c r="G2180" s="13" t="s">
        <v>74</v>
      </c>
      <c r="H2180" s="13" t="s">
        <v>75</v>
      </c>
      <c r="I2180" s="13"/>
      <c r="J2180" s="13"/>
      <c r="K2180" s="15"/>
      <c r="L2180" s="15"/>
      <c r="M2180" s="16"/>
      <c r="N2180" s="16"/>
      <c r="O2180" s="17">
        <v>1.0</v>
      </c>
      <c r="P2180" s="17">
        <v>1.0</v>
      </c>
      <c r="Q2180" s="13"/>
      <c r="R2180" s="13"/>
      <c r="S2180" s="13"/>
      <c r="T2180" s="13">
        <f t="shared" ref="T2180:Y2180" si="2386">IF(ISBLANK(K2180)=TRUE,0,1)</f>
        <v>0</v>
      </c>
      <c r="U2180" s="13">
        <f t="shared" si="2386"/>
        <v>0</v>
      </c>
      <c r="V2180" s="13">
        <f t="shared" si="2386"/>
        <v>0</v>
      </c>
      <c r="W2180" s="13">
        <f t="shared" si="2386"/>
        <v>0</v>
      </c>
      <c r="X2180" s="13">
        <f t="shared" si="2386"/>
        <v>1</v>
      </c>
      <c r="Y2180" s="13">
        <f t="shared" si="2386"/>
        <v>1</v>
      </c>
      <c r="Z2180" s="13">
        <f t="shared" si="1998"/>
        <v>1</v>
      </c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</row>
    <row r="2181" ht="14.25" hidden="1" customHeight="1">
      <c r="A2181" s="13" t="s">
        <v>29</v>
      </c>
      <c r="B2181" s="13" t="s">
        <v>30</v>
      </c>
      <c r="C2181" s="18" t="s">
        <v>108</v>
      </c>
      <c r="D2181" s="13" t="s">
        <v>175</v>
      </c>
      <c r="F2181" s="13"/>
      <c r="G2181" s="13" t="s">
        <v>74</v>
      </c>
      <c r="H2181" s="13" t="s">
        <v>75</v>
      </c>
      <c r="I2181" s="13"/>
      <c r="J2181" s="13"/>
      <c r="K2181" s="15"/>
      <c r="L2181" s="15"/>
      <c r="M2181" s="16"/>
      <c r="N2181" s="16"/>
      <c r="O2181" s="17">
        <v>1.0</v>
      </c>
      <c r="P2181" s="17">
        <v>1.0</v>
      </c>
      <c r="Q2181" s="13"/>
      <c r="R2181" s="13"/>
      <c r="S2181" s="13"/>
      <c r="T2181" s="13">
        <f t="shared" ref="T2181:Y2181" si="2387">IF(ISBLANK(K2181)=TRUE,0,1)</f>
        <v>0</v>
      </c>
      <c r="U2181" s="13">
        <f t="shared" si="2387"/>
        <v>0</v>
      </c>
      <c r="V2181" s="13">
        <f t="shared" si="2387"/>
        <v>0</v>
      </c>
      <c r="W2181" s="13">
        <f t="shared" si="2387"/>
        <v>0</v>
      </c>
      <c r="X2181" s="13">
        <f t="shared" si="2387"/>
        <v>1</v>
      </c>
      <c r="Y2181" s="13">
        <f t="shared" si="2387"/>
        <v>1</v>
      </c>
      <c r="Z2181" s="13">
        <f t="shared" si="1998"/>
        <v>1</v>
      </c>
      <c r="AA2181" s="13"/>
      <c r="AB2181" s="13"/>
      <c r="AC2181" s="13"/>
      <c r="AD2181" s="13"/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  <c r="AO2181" s="13"/>
      <c r="AP2181" s="13"/>
      <c r="AQ2181" s="13"/>
      <c r="AR2181" s="13"/>
      <c r="AS2181" s="13"/>
    </row>
    <row r="2182" ht="14.25" hidden="1" customHeight="1">
      <c r="A2182" s="13" t="s">
        <v>29</v>
      </c>
      <c r="B2182" s="13" t="s">
        <v>30</v>
      </c>
      <c r="C2182" s="13" t="s">
        <v>1278</v>
      </c>
      <c r="D2182" s="13"/>
      <c r="E2182" s="13" t="str">
        <f>CONCATENATE(B2182,",",C2182,",",D2182,",",Z2182)</f>
        <v>SJC,134-6-1,,NA</v>
      </c>
      <c r="F2182" s="13"/>
      <c r="G2182" s="13" t="s">
        <v>74</v>
      </c>
      <c r="H2182" s="13" t="s">
        <v>107</v>
      </c>
      <c r="I2182" s="14">
        <v>44862.0</v>
      </c>
      <c r="J2182" s="14"/>
      <c r="K2182" s="15"/>
      <c r="L2182" s="15"/>
      <c r="M2182" s="16"/>
      <c r="N2182" s="16"/>
      <c r="O2182" s="17"/>
      <c r="P2182" s="17"/>
      <c r="Q2182" s="13">
        <f t="shared" ref="Q2182:Q2258" si="2389">K2181+L2181+M2181+N2181+O2181+P2181/6</f>
        <v>1.166666667</v>
      </c>
      <c r="R2182" s="13"/>
      <c r="S2182" s="13"/>
      <c r="T2182" s="13">
        <f t="shared" ref="T2182:Y2182" si="2388">IF(ISBLANK(K2182)=TRUE,0,1)</f>
        <v>0</v>
      </c>
      <c r="U2182" s="13">
        <f t="shared" si="2388"/>
        <v>0</v>
      </c>
      <c r="V2182" s="13">
        <f t="shared" si="2388"/>
        <v>0</v>
      </c>
      <c r="W2182" s="13">
        <f t="shared" si="2388"/>
        <v>0</v>
      </c>
      <c r="X2182" s="13">
        <f t="shared" si="2388"/>
        <v>0</v>
      </c>
      <c r="Y2182" s="13">
        <f t="shared" si="2388"/>
        <v>0</v>
      </c>
      <c r="Z2182" s="13" t="str">
        <f t="shared" si="1998"/>
        <v>NA</v>
      </c>
      <c r="AA2182" s="13"/>
      <c r="AB2182" s="13"/>
      <c r="AC2182" s="13"/>
      <c r="AD2182" s="13"/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  <c r="AR2182" s="13"/>
      <c r="AS2182" s="13"/>
    </row>
    <row r="2183" ht="14.25" hidden="1" customHeight="1">
      <c r="A2183" s="13" t="s">
        <v>29</v>
      </c>
      <c r="B2183" s="13" t="s">
        <v>30</v>
      </c>
      <c r="C2183" s="18" t="s">
        <v>1279</v>
      </c>
      <c r="D2183" s="13"/>
      <c r="F2183" s="13"/>
      <c r="G2183" s="13" t="s">
        <v>74</v>
      </c>
      <c r="H2183" s="13" t="s">
        <v>75</v>
      </c>
      <c r="I2183" s="13"/>
      <c r="J2183" s="13"/>
      <c r="K2183" s="15"/>
      <c r="L2183" s="15"/>
      <c r="M2183" s="16"/>
      <c r="N2183" s="16"/>
      <c r="O2183" s="17">
        <v>1.0</v>
      </c>
      <c r="P2183" s="17">
        <v>1.0</v>
      </c>
      <c r="Q2183" s="13">
        <f t="shared" si="2389"/>
        <v>0</v>
      </c>
      <c r="R2183" s="14">
        <v>44971.0</v>
      </c>
      <c r="S2183" s="13"/>
      <c r="T2183" s="13">
        <f t="shared" ref="T2183:Y2183" si="2390">IF(ISBLANK(K2183)=TRUE,0,1)</f>
        <v>0</v>
      </c>
      <c r="U2183" s="13">
        <f t="shared" si="2390"/>
        <v>0</v>
      </c>
      <c r="V2183" s="13">
        <f t="shared" si="2390"/>
        <v>0</v>
      </c>
      <c r="W2183" s="13">
        <f t="shared" si="2390"/>
        <v>0</v>
      </c>
      <c r="X2183" s="13">
        <f t="shared" si="2390"/>
        <v>1</v>
      </c>
      <c r="Y2183" s="13">
        <f t="shared" si="2390"/>
        <v>1</v>
      </c>
      <c r="Z2183" s="13">
        <f t="shared" si="1998"/>
        <v>1</v>
      </c>
      <c r="AA2183" s="13"/>
      <c r="AB2183" s="13"/>
      <c r="AC2183" s="13"/>
      <c r="AD2183" s="13"/>
      <c r="AE2183" s="13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  <c r="AR2183" s="13"/>
      <c r="AS2183" s="13"/>
    </row>
    <row r="2184" ht="14.25" hidden="1" customHeight="1">
      <c r="A2184" s="13" t="s">
        <v>29</v>
      </c>
      <c r="B2184" s="13" t="s">
        <v>30</v>
      </c>
      <c r="C2184" s="18" t="s">
        <v>1280</v>
      </c>
      <c r="D2184" s="13"/>
      <c r="F2184" s="13"/>
      <c r="G2184" s="13" t="s">
        <v>74</v>
      </c>
      <c r="H2184" s="13" t="s">
        <v>75</v>
      </c>
      <c r="I2184" s="13"/>
      <c r="J2184" s="13"/>
      <c r="K2184" s="15"/>
      <c r="L2184" s="15"/>
      <c r="M2184" s="16"/>
      <c r="N2184" s="16"/>
      <c r="O2184" s="17">
        <v>1.0</v>
      </c>
      <c r="P2184" s="17">
        <v>1.0</v>
      </c>
      <c r="Q2184" s="13">
        <f t="shared" si="2389"/>
        <v>1.166666667</v>
      </c>
      <c r="R2184" s="14">
        <v>44971.0</v>
      </c>
      <c r="S2184" s="13"/>
      <c r="T2184" s="13">
        <f t="shared" ref="T2184:Y2184" si="2391">IF(ISBLANK(K2184)=TRUE,0,1)</f>
        <v>0</v>
      </c>
      <c r="U2184" s="13">
        <f t="shared" si="2391"/>
        <v>0</v>
      </c>
      <c r="V2184" s="13">
        <f t="shared" si="2391"/>
        <v>0</v>
      </c>
      <c r="W2184" s="13">
        <f t="shared" si="2391"/>
        <v>0</v>
      </c>
      <c r="X2184" s="13">
        <f t="shared" si="2391"/>
        <v>1</v>
      </c>
      <c r="Y2184" s="13">
        <f t="shared" si="2391"/>
        <v>1</v>
      </c>
      <c r="Z2184" s="13">
        <f t="shared" si="1998"/>
        <v>1</v>
      </c>
      <c r="AA2184" s="13"/>
      <c r="AB2184" s="13"/>
      <c r="AC2184" s="13"/>
      <c r="AD2184" s="13"/>
      <c r="AE2184" s="13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  <c r="AR2184" s="13"/>
      <c r="AS2184" s="13"/>
    </row>
    <row r="2185" ht="14.25" hidden="1" customHeight="1">
      <c r="A2185" s="13" t="s">
        <v>29</v>
      </c>
      <c r="B2185" s="13" t="s">
        <v>30</v>
      </c>
      <c r="C2185" s="18" t="s">
        <v>1281</v>
      </c>
      <c r="D2185" s="13"/>
      <c r="F2185" s="13"/>
      <c r="G2185" s="13" t="s">
        <v>74</v>
      </c>
      <c r="H2185" s="13" t="s">
        <v>75</v>
      </c>
      <c r="I2185" s="13"/>
      <c r="J2185" s="13"/>
      <c r="K2185" s="15"/>
      <c r="L2185" s="15"/>
      <c r="M2185" s="16"/>
      <c r="N2185" s="16"/>
      <c r="O2185" s="17">
        <v>1.0</v>
      </c>
      <c r="P2185" s="17">
        <v>1.0</v>
      </c>
      <c r="Q2185" s="13">
        <f t="shared" si="2389"/>
        <v>1.166666667</v>
      </c>
      <c r="R2185" s="14">
        <v>44971.0</v>
      </c>
      <c r="S2185" s="13"/>
      <c r="T2185" s="13">
        <f t="shared" ref="T2185:Y2185" si="2392">IF(ISBLANK(K2185)=TRUE,0,1)</f>
        <v>0</v>
      </c>
      <c r="U2185" s="13">
        <f t="shared" si="2392"/>
        <v>0</v>
      </c>
      <c r="V2185" s="13">
        <f t="shared" si="2392"/>
        <v>0</v>
      </c>
      <c r="W2185" s="13">
        <f t="shared" si="2392"/>
        <v>0</v>
      </c>
      <c r="X2185" s="13">
        <f t="shared" si="2392"/>
        <v>1</v>
      </c>
      <c r="Y2185" s="13">
        <f t="shared" si="2392"/>
        <v>1</v>
      </c>
      <c r="Z2185" s="13">
        <f t="shared" si="1998"/>
        <v>1</v>
      </c>
      <c r="AA2185" s="13"/>
      <c r="AB2185" s="13"/>
      <c r="AC2185" s="13"/>
      <c r="AD2185" s="13"/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</row>
    <row r="2186" ht="14.25" hidden="1" customHeight="1">
      <c r="A2186" s="13" t="s">
        <v>29</v>
      </c>
      <c r="B2186" s="13" t="s">
        <v>30</v>
      </c>
      <c r="C2186" s="18" t="s">
        <v>1282</v>
      </c>
      <c r="D2186" s="13"/>
      <c r="F2186" s="13"/>
      <c r="G2186" s="13" t="s">
        <v>74</v>
      </c>
      <c r="H2186" s="13" t="s">
        <v>75</v>
      </c>
      <c r="I2186" s="13"/>
      <c r="J2186" s="13"/>
      <c r="K2186" s="15"/>
      <c r="L2186" s="15"/>
      <c r="M2186" s="16"/>
      <c r="N2186" s="16"/>
      <c r="O2186" s="17">
        <v>1.0</v>
      </c>
      <c r="P2186" s="17">
        <v>1.0</v>
      </c>
      <c r="Q2186" s="13">
        <f t="shared" si="2389"/>
        <v>1.166666667</v>
      </c>
      <c r="R2186" s="14">
        <v>44971.0</v>
      </c>
      <c r="S2186" s="13"/>
      <c r="T2186" s="13">
        <f t="shared" ref="T2186:Y2186" si="2393">IF(ISBLANK(K2186)=TRUE,0,1)</f>
        <v>0</v>
      </c>
      <c r="U2186" s="13">
        <f t="shared" si="2393"/>
        <v>0</v>
      </c>
      <c r="V2186" s="13">
        <f t="shared" si="2393"/>
        <v>0</v>
      </c>
      <c r="W2186" s="13">
        <f t="shared" si="2393"/>
        <v>0</v>
      </c>
      <c r="X2186" s="13">
        <f t="shared" si="2393"/>
        <v>1</v>
      </c>
      <c r="Y2186" s="13">
        <f t="shared" si="2393"/>
        <v>1</v>
      </c>
      <c r="Z2186" s="13">
        <f t="shared" si="1998"/>
        <v>1</v>
      </c>
      <c r="AA2186" s="13"/>
      <c r="AB2186" s="13"/>
      <c r="AC2186" s="13"/>
      <c r="AD2186" s="13"/>
      <c r="AE2186" s="13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  <c r="AR2186" s="13"/>
      <c r="AS2186" s="13"/>
    </row>
    <row r="2187" ht="14.25" hidden="1" customHeight="1">
      <c r="A2187" s="13" t="s">
        <v>29</v>
      </c>
      <c r="B2187" s="13" t="s">
        <v>30</v>
      </c>
      <c r="C2187" s="18" t="s">
        <v>1283</v>
      </c>
      <c r="D2187" s="13"/>
      <c r="E2187" s="13" t="str">
        <f t="shared" ref="E2187:E2576" si="2395">CONCATENATE(B2187,",",C2187,",",D2187,",",Z2187)</f>
        <v>SJC,134-6-14,,1</v>
      </c>
      <c r="F2187" s="13"/>
      <c r="G2187" s="13" t="s">
        <v>74</v>
      </c>
      <c r="H2187" s="13" t="s">
        <v>75</v>
      </c>
      <c r="I2187" s="13"/>
      <c r="J2187" s="13"/>
      <c r="K2187" s="15"/>
      <c r="L2187" s="15"/>
      <c r="M2187" s="16"/>
      <c r="N2187" s="16"/>
      <c r="O2187" s="17">
        <v>1.0</v>
      </c>
      <c r="P2187" s="17">
        <v>1.0</v>
      </c>
      <c r="Q2187" s="13">
        <f t="shared" si="2389"/>
        <v>1.166666667</v>
      </c>
      <c r="R2187" s="14">
        <v>44971.0</v>
      </c>
      <c r="S2187" s="13"/>
      <c r="T2187" s="13">
        <f t="shared" ref="T2187:Y2187" si="2394">IF(ISBLANK(K2187)=TRUE,0,1)</f>
        <v>0</v>
      </c>
      <c r="U2187" s="13">
        <f t="shared" si="2394"/>
        <v>0</v>
      </c>
      <c r="V2187" s="13">
        <f t="shared" si="2394"/>
        <v>0</v>
      </c>
      <c r="W2187" s="13">
        <f t="shared" si="2394"/>
        <v>0</v>
      </c>
      <c r="X2187" s="13">
        <f t="shared" si="2394"/>
        <v>1</v>
      </c>
      <c r="Y2187" s="13">
        <f t="shared" si="2394"/>
        <v>1</v>
      </c>
      <c r="Z2187" s="13">
        <f t="shared" si="1998"/>
        <v>1</v>
      </c>
      <c r="AA2187" s="13"/>
      <c r="AB2187" s="13"/>
      <c r="AC2187" s="13"/>
      <c r="AD2187" s="13"/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</row>
    <row r="2188" ht="14.25" hidden="1" customHeight="1">
      <c r="A2188" s="13" t="s">
        <v>29</v>
      </c>
      <c r="B2188" s="13" t="s">
        <v>30</v>
      </c>
      <c r="C2188" s="18" t="s">
        <v>1284</v>
      </c>
      <c r="D2188" s="13"/>
      <c r="E2188" s="13" t="str">
        <f t="shared" si="2395"/>
        <v>SJC,134-6-15,,1</v>
      </c>
      <c r="F2188" s="13"/>
      <c r="G2188" s="13" t="s">
        <v>74</v>
      </c>
      <c r="H2188" s="13" t="s">
        <v>75</v>
      </c>
      <c r="I2188" s="13"/>
      <c r="J2188" s="13"/>
      <c r="K2188" s="15"/>
      <c r="L2188" s="15"/>
      <c r="M2188" s="16"/>
      <c r="N2188" s="16"/>
      <c r="O2188" s="17">
        <v>1.0</v>
      </c>
      <c r="P2188" s="17">
        <v>1.0</v>
      </c>
      <c r="Q2188" s="13">
        <f t="shared" si="2389"/>
        <v>1.166666667</v>
      </c>
      <c r="R2188" s="14">
        <v>44971.0</v>
      </c>
      <c r="S2188" s="13"/>
      <c r="T2188" s="13">
        <f t="shared" ref="T2188:Y2188" si="2396">IF(ISBLANK(K2188)=TRUE,0,1)</f>
        <v>0</v>
      </c>
      <c r="U2188" s="13">
        <f t="shared" si="2396"/>
        <v>0</v>
      </c>
      <c r="V2188" s="13">
        <f t="shared" si="2396"/>
        <v>0</v>
      </c>
      <c r="W2188" s="13">
        <f t="shared" si="2396"/>
        <v>0</v>
      </c>
      <c r="X2188" s="13">
        <f t="shared" si="2396"/>
        <v>1</v>
      </c>
      <c r="Y2188" s="13">
        <f t="shared" si="2396"/>
        <v>1</v>
      </c>
      <c r="Z2188" s="13">
        <f t="shared" si="1998"/>
        <v>1</v>
      </c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</row>
    <row r="2189" ht="14.25" hidden="1" customHeight="1">
      <c r="A2189" s="13" t="s">
        <v>29</v>
      </c>
      <c r="B2189" s="13" t="s">
        <v>30</v>
      </c>
      <c r="C2189" s="18" t="s">
        <v>1285</v>
      </c>
      <c r="D2189" s="13"/>
      <c r="E2189" s="13" t="str">
        <f t="shared" si="2395"/>
        <v>SJC,134-6-16,,1</v>
      </c>
      <c r="F2189" s="13"/>
      <c r="G2189" s="13" t="s">
        <v>74</v>
      </c>
      <c r="H2189" s="13" t="s">
        <v>75</v>
      </c>
      <c r="I2189" s="13"/>
      <c r="J2189" s="13"/>
      <c r="K2189" s="15"/>
      <c r="L2189" s="15"/>
      <c r="M2189" s="16"/>
      <c r="N2189" s="16"/>
      <c r="O2189" s="17">
        <v>1.0</v>
      </c>
      <c r="P2189" s="17">
        <v>1.0</v>
      </c>
      <c r="Q2189" s="13">
        <f t="shared" si="2389"/>
        <v>1.166666667</v>
      </c>
      <c r="R2189" s="14">
        <v>44971.0</v>
      </c>
      <c r="S2189" s="13"/>
      <c r="T2189" s="13">
        <f t="shared" ref="T2189:Y2189" si="2397">IF(ISBLANK(K2189)=TRUE,0,1)</f>
        <v>0</v>
      </c>
      <c r="U2189" s="13">
        <f t="shared" si="2397"/>
        <v>0</v>
      </c>
      <c r="V2189" s="13">
        <f t="shared" si="2397"/>
        <v>0</v>
      </c>
      <c r="W2189" s="13">
        <f t="shared" si="2397"/>
        <v>0</v>
      </c>
      <c r="X2189" s="13">
        <f t="shared" si="2397"/>
        <v>1</v>
      </c>
      <c r="Y2189" s="13">
        <f t="shared" si="2397"/>
        <v>1</v>
      </c>
      <c r="Z2189" s="13">
        <f t="shared" si="1998"/>
        <v>1</v>
      </c>
      <c r="AA2189" s="13"/>
      <c r="AB2189" s="13"/>
      <c r="AC2189" s="13"/>
      <c r="AD2189" s="13"/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</row>
    <row r="2190" ht="14.25" hidden="1" customHeight="1">
      <c r="A2190" s="13" t="s">
        <v>29</v>
      </c>
      <c r="B2190" s="13" t="s">
        <v>30</v>
      </c>
      <c r="C2190" s="18" t="s">
        <v>1286</v>
      </c>
      <c r="D2190" s="13"/>
      <c r="E2190" s="13" t="str">
        <f t="shared" si="2395"/>
        <v>SJC,134-6-17,,1</v>
      </c>
      <c r="F2190" s="13"/>
      <c r="G2190" s="13" t="s">
        <v>74</v>
      </c>
      <c r="H2190" s="13" t="s">
        <v>75</v>
      </c>
      <c r="I2190" s="13"/>
      <c r="J2190" s="13"/>
      <c r="K2190" s="15"/>
      <c r="L2190" s="15"/>
      <c r="M2190" s="16"/>
      <c r="N2190" s="16"/>
      <c r="O2190" s="17">
        <v>1.0</v>
      </c>
      <c r="P2190" s="17">
        <v>1.0</v>
      </c>
      <c r="Q2190" s="13">
        <f t="shared" si="2389"/>
        <v>1.166666667</v>
      </c>
      <c r="R2190" s="14">
        <v>44971.0</v>
      </c>
      <c r="S2190" s="13"/>
      <c r="T2190" s="13">
        <f t="shared" ref="T2190:Y2190" si="2398">IF(ISBLANK(K2190)=TRUE,0,1)</f>
        <v>0</v>
      </c>
      <c r="U2190" s="13">
        <f t="shared" si="2398"/>
        <v>0</v>
      </c>
      <c r="V2190" s="13">
        <f t="shared" si="2398"/>
        <v>0</v>
      </c>
      <c r="W2190" s="13">
        <f t="shared" si="2398"/>
        <v>0</v>
      </c>
      <c r="X2190" s="13">
        <f t="shared" si="2398"/>
        <v>1</v>
      </c>
      <c r="Y2190" s="13">
        <f t="shared" si="2398"/>
        <v>1</v>
      </c>
      <c r="Z2190" s="13">
        <f t="shared" si="1998"/>
        <v>1</v>
      </c>
      <c r="AA2190" s="13"/>
      <c r="AB2190" s="13"/>
      <c r="AC2190" s="13"/>
      <c r="AD2190" s="13"/>
      <c r="AE2190" s="13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  <c r="AR2190" s="13"/>
      <c r="AS2190" s="13"/>
    </row>
    <row r="2191" ht="14.25" hidden="1" customHeight="1">
      <c r="A2191" s="13" t="s">
        <v>29</v>
      </c>
      <c r="B2191" s="13" t="s">
        <v>30</v>
      </c>
      <c r="C2191" s="18" t="s">
        <v>1287</v>
      </c>
      <c r="D2191" s="13"/>
      <c r="E2191" s="13" t="str">
        <f t="shared" si="2395"/>
        <v>SJC,134-6-18,,1</v>
      </c>
      <c r="F2191" s="13"/>
      <c r="G2191" s="13" t="s">
        <v>74</v>
      </c>
      <c r="H2191" s="13" t="s">
        <v>75</v>
      </c>
      <c r="I2191" s="13"/>
      <c r="J2191" s="13"/>
      <c r="K2191" s="15"/>
      <c r="L2191" s="15"/>
      <c r="M2191" s="16"/>
      <c r="N2191" s="16"/>
      <c r="O2191" s="17">
        <v>1.0</v>
      </c>
      <c r="P2191" s="17">
        <v>1.0</v>
      </c>
      <c r="Q2191" s="13">
        <f t="shared" si="2389"/>
        <v>1.166666667</v>
      </c>
      <c r="R2191" s="14">
        <v>44971.0</v>
      </c>
      <c r="S2191" s="13"/>
      <c r="T2191" s="13">
        <f t="shared" ref="T2191:Y2191" si="2399">IF(ISBLANK(K2191)=TRUE,0,1)</f>
        <v>0</v>
      </c>
      <c r="U2191" s="13">
        <f t="shared" si="2399"/>
        <v>0</v>
      </c>
      <c r="V2191" s="13">
        <f t="shared" si="2399"/>
        <v>0</v>
      </c>
      <c r="W2191" s="13">
        <f t="shared" si="2399"/>
        <v>0</v>
      </c>
      <c r="X2191" s="13">
        <f t="shared" si="2399"/>
        <v>1</v>
      </c>
      <c r="Y2191" s="13">
        <f t="shared" si="2399"/>
        <v>1</v>
      </c>
      <c r="Z2191" s="13">
        <f t="shared" si="1998"/>
        <v>1</v>
      </c>
      <c r="AA2191" s="13"/>
      <c r="AB2191" s="13"/>
      <c r="AC2191" s="13"/>
      <c r="AD2191" s="13"/>
      <c r="AE2191" s="13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  <c r="AR2191" s="13"/>
      <c r="AS2191" s="13"/>
    </row>
    <row r="2192" ht="14.25" hidden="1" customHeight="1">
      <c r="A2192" s="13" t="s">
        <v>29</v>
      </c>
      <c r="B2192" s="13" t="s">
        <v>30</v>
      </c>
      <c r="C2192" s="18" t="s">
        <v>1288</v>
      </c>
      <c r="D2192" s="13"/>
      <c r="E2192" s="13" t="str">
        <f t="shared" si="2395"/>
        <v>SJC,134-6-19,,1</v>
      </c>
      <c r="F2192" s="13"/>
      <c r="G2192" s="13" t="s">
        <v>74</v>
      </c>
      <c r="H2192" s="13" t="s">
        <v>75</v>
      </c>
      <c r="I2192" s="13"/>
      <c r="J2192" s="13"/>
      <c r="K2192" s="15"/>
      <c r="L2192" s="15"/>
      <c r="M2192" s="16"/>
      <c r="N2192" s="16"/>
      <c r="O2192" s="17">
        <v>1.0</v>
      </c>
      <c r="P2192" s="17">
        <v>1.0</v>
      </c>
      <c r="Q2192" s="13">
        <f t="shared" si="2389"/>
        <v>1.166666667</v>
      </c>
      <c r="R2192" s="14">
        <v>44971.0</v>
      </c>
      <c r="S2192" s="13"/>
      <c r="T2192" s="13">
        <f t="shared" ref="T2192:Y2192" si="2400">IF(ISBLANK(K2192)=TRUE,0,1)</f>
        <v>0</v>
      </c>
      <c r="U2192" s="13">
        <f t="shared" si="2400"/>
        <v>0</v>
      </c>
      <c r="V2192" s="13">
        <f t="shared" si="2400"/>
        <v>0</v>
      </c>
      <c r="W2192" s="13">
        <f t="shared" si="2400"/>
        <v>0</v>
      </c>
      <c r="X2192" s="13">
        <f t="shared" si="2400"/>
        <v>1</v>
      </c>
      <c r="Y2192" s="13">
        <f t="shared" si="2400"/>
        <v>1</v>
      </c>
      <c r="Z2192" s="13">
        <f t="shared" si="1998"/>
        <v>1</v>
      </c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</row>
    <row r="2193" ht="14.25" hidden="1" customHeight="1">
      <c r="A2193" s="13" t="s">
        <v>29</v>
      </c>
      <c r="B2193" s="13" t="s">
        <v>30</v>
      </c>
      <c r="C2193" s="13" t="s">
        <v>1289</v>
      </c>
      <c r="D2193" s="13"/>
      <c r="E2193" s="13" t="str">
        <f t="shared" si="2395"/>
        <v>SJC,134-6-1A,,1</v>
      </c>
      <c r="F2193" s="13"/>
      <c r="G2193" s="13" t="s">
        <v>74</v>
      </c>
      <c r="H2193" s="13" t="s">
        <v>75</v>
      </c>
      <c r="I2193" s="13"/>
      <c r="J2193" s="13"/>
      <c r="K2193" s="15"/>
      <c r="L2193" s="15"/>
      <c r="M2193" s="16"/>
      <c r="N2193" s="16"/>
      <c r="O2193" s="17">
        <v>1.0</v>
      </c>
      <c r="P2193" s="17">
        <v>1.0</v>
      </c>
      <c r="Q2193" s="13">
        <f t="shared" si="2389"/>
        <v>1.166666667</v>
      </c>
      <c r="R2193" s="14">
        <v>44971.0</v>
      </c>
      <c r="S2193" s="13"/>
      <c r="T2193" s="13">
        <f t="shared" ref="T2193:Y2193" si="2401">IF(ISBLANK(K2193)=TRUE,0,1)</f>
        <v>0</v>
      </c>
      <c r="U2193" s="13">
        <f t="shared" si="2401"/>
        <v>0</v>
      </c>
      <c r="V2193" s="13">
        <f t="shared" si="2401"/>
        <v>0</v>
      </c>
      <c r="W2193" s="13">
        <f t="shared" si="2401"/>
        <v>0</v>
      </c>
      <c r="X2193" s="13">
        <f t="shared" si="2401"/>
        <v>1</v>
      </c>
      <c r="Y2193" s="13">
        <f t="shared" si="2401"/>
        <v>1</v>
      </c>
      <c r="Z2193" s="13">
        <f t="shared" si="1998"/>
        <v>1</v>
      </c>
      <c r="AA2193" s="13"/>
      <c r="AB2193" s="13"/>
      <c r="AC2193" s="13"/>
      <c r="AD2193" s="13"/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</row>
    <row r="2194" ht="14.25" hidden="1" customHeight="1">
      <c r="A2194" s="13" t="s">
        <v>29</v>
      </c>
      <c r="B2194" s="13" t="s">
        <v>30</v>
      </c>
      <c r="C2194" s="13" t="s">
        <v>1290</v>
      </c>
      <c r="D2194" s="13"/>
      <c r="E2194" s="13" t="str">
        <f t="shared" si="2395"/>
        <v>SJC,134-6-1B,,1</v>
      </c>
      <c r="F2194" s="13"/>
      <c r="G2194" s="13" t="s">
        <v>74</v>
      </c>
      <c r="H2194" s="13" t="s">
        <v>75</v>
      </c>
      <c r="I2194" s="13"/>
      <c r="J2194" s="13"/>
      <c r="K2194" s="15"/>
      <c r="L2194" s="15"/>
      <c r="M2194" s="16"/>
      <c r="N2194" s="16"/>
      <c r="O2194" s="17">
        <v>1.0</v>
      </c>
      <c r="P2194" s="17">
        <v>1.0</v>
      </c>
      <c r="Q2194" s="13">
        <f t="shared" si="2389"/>
        <v>1.166666667</v>
      </c>
      <c r="R2194" s="14">
        <v>44971.0</v>
      </c>
      <c r="S2194" s="13"/>
      <c r="T2194" s="13">
        <f t="shared" ref="T2194:Y2194" si="2402">IF(ISBLANK(K2194)=TRUE,0,1)</f>
        <v>0</v>
      </c>
      <c r="U2194" s="13">
        <f t="shared" si="2402"/>
        <v>0</v>
      </c>
      <c r="V2194" s="13">
        <f t="shared" si="2402"/>
        <v>0</v>
      </c>
      <c r="W2194" s="13">
        <f t="shared" si="2402"/>
        <v>0</v>
      </c>
      <c r="X2194" s="13">
        <f t="shared" si="2402"/>
        <v>1</v>
      </c>
      <c r="Y2194" s="13">
        <f t="shared" si="2402"/>
        <v>1</v>
      </c>
      <c r="Z2194" s="13">
        <f t="shared" si="1998"/>
        <v>1</v>
      </c>
      <c r="AA2194" s="13"/>
      <c r="AB2194" s="13"/>
      <c r="AC2194" s="13"/>
      <c r="AD2194" s="13"/>
      <c r="AE2194" s="13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  <c r="AR2194" s="13"/>
      <c r="AS2194" s="13"/>
    </row>
    <row r="2195" ht="14.25" hidden="1" customHeight="1">
      <c r="A2195" s="13" t="s">
        <v>29</v>
      </c>
      <c r="B2195" s="13" t="s">
        <v>30</v>
      </c>
      <c r="C2195" s="13" t="s">
        <v>1291</v>
      </c>
      <c r="D2195" s="13"/>
      <c r="E2195" s="13" t="str">
        <f t="shared" si="2395"/>
        <v>SJC,134-6-1C,,1</v>
      </c>
      <c r="F2195" s="13"/>
      <c r="G2195" s="13" t="s">
        <v>74</v>
      </c>
      <c r="H2195" s="13" t="s">
        <v>75</v>
      </c>
      <c r="I2195" s="13"/>
      <c r="J2195" s="13"/>
      <c r="K2195" s="15"/>
      <c r="L2195" s="15"/>
      <c r="M2195" s="16"/>
      <c r="N2195" s="16"/>
      <c r="O2195" s="17">
        <v>1.0</v>
      </c>
      <c r="P2195" s="17">
        <v>1.0</v>
      </c>
      <c r="Q2195" s="13">
        <f t="shared" si="2389"/>
        <v>1.166666667</v>
      </c>
      <c r="R2195" s="14">
        <v>44971.0</v>
      </c>
      <c r="S2195" s="13"/>
      <c r="T2195" s="13">
        <f t="shared" ref="T2195:Y2195" si="2403">IF(ISBLANK(K2195)=TRUE,0,1)</f>
        <v>0</v>
      </c>
      <c r="U2195" s="13">
        <f t="shared" si="2403"/>
        <v>0</v>
      </c>
      <c r="V2195" s="13">
        <f t="shared" si="2403"/>
        <v>0</v>
      </c>
      <c r="W2195" s="13">
        <f t="shared" si="2403"/>
        <v>0</v>
      </c>
      <c r="X2195" s="13">
        <f t="shared" si="2403"/>
        <v>1</v>
      </c>
      <c r="Y2195" s="13">
        <f t="shared" si="2403"/>
        <v>1</v>
      </c>
      <c r="Z2195" s="13">
        <f t="shared" si="1998"/>
        <v>1</v>
      </c>
      <c r="AA2195" s="13"/>
      <c r="AB2195" s="13"/>
      <c r="AC2195" s="13"/>
      <c r="AD2195" s="13"/>
      <c r="AE2195" s="13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  <c r="AR2195" s="13"/>
      <c r="AS2195" s="13"/>
    </row>
    <row r="2196" ht="14.25" hidden="1" customHeight="1">
      <c r="A2196" s="13" t="s">
        <v>29</v>
      </c>
      <c r="B2196" s="13" t="s">
        <v>30</v>
      </c>
      <c r="C2196" s="13" t="s">
        <v>1292</v>
      </c>
      <c r="D2196" s="13"/>
      <c r="E2196" s="13" t="str">
        <f t="shared" si="2395"/>
        <v>SJC,134-6-1D,,1</v>
      </c>
      <c r="F2196" s="13"/>
      <c r="G2196" s="13" t="s">
        <v>74</v>
      </c>
      <c r="H2196" s="13" t="s">
        <v>75</v>
      </c>
      <c r="I2196" s="13"/>
      <c r="J2196" s="13"/>
      <c r="K2196" s="15"/>
      <c r="L2196" s="15"/>
      <c r="M2196" s="16"/>
      <c r="N2196" s="16"/>
      <c r="O2196" s="17">
        <v>1.0</v>
      </c>
      <c r="P2196" s="17">
        <v>1.0</v>
      </c>
      <c r="Q2196" s="13">
        <f t="shared" si="2389"/>
        <v>1.166666667</v>
      </c>
      <c r="R2196" s="14">
        <v>44971.0</v>
      </c>
      <c r="S2196" s="13"/>
      <c r="T2196" s="13">
        <f t="shared" ref="T2196:Y2196" si="2404">IF(ISBLANK(K2196)=TRUE,0,1)</f>
        <v>0</v>
      </c>
      <c r="U2196" s="13">
        <f t="shared" si="2404"/>
        <v>0</v>
      </c>
      <c r="V2196" s="13">
        <f t="shared" si="2404"/>
        <v>0</v>
      </c>
      <c r="W2196" s="13">
        <f t="shared" si="2404"/>
        <v>0</v>
      </c>
      <c r="X2196" s="13">
        <f t="shared" si="2404"/>
        <v>1</v>
      </c>
      <c r="Y2196" s="13">
        <f t="shared" si="2404"/>
        <v>1</v>
      </c>
      <c r="Z2196" s="13">
        <f t="shared" si="1998"/>
        <v>1</v>
      </c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  <c r="AR2196" s="13"/>
      <c r="AS2196" s="13"/>
    </row>
    <row r="2197" ht="14.25" hidden="1" customHeight="1">
      <c r="A2197" s="13" t="s">
        <v>29</v>
      </c>
      <c r="B2197" s="13" t="s">
        <v>30</v>
      </c>
      <c r="C2197" s="13" t="s">
        <v>1293</v>
      </c>
      <c r="D2197" s="13"/>
      <c r="E2197" s="13" t="str">
        <f t="shared" si="2395"/>
        <v>SJC,134-6-1E,,1</v>
      </c>
      <c r="F2197" s="13"/>
      <c r="G2197" s="13" t="s">
        <v>74</v>
      </c>
      <c r="H2197" s="13" t="s">
        <v>75</v>
      </c>
      <c r="I2197" s="13"/>
      <c r="J2197" s="13"/>
      <c r="K2197" s="15"/>
      <c r="L2197" s="15"/>
      <c r="M2197" s="16"/>
      <c r="N2197" s="16"/>
      <c r="O2197" s="17">
        <v>1.0</v>
      </c>
      <c r="P2197" s="17">
        <v>1.0</v>
      </c>
      <c r="Q2197" s="13">
        <f t="shared" si="2389"/>
        <v>1.166666667</v>
      </c>
      <c r="R2197" s="14">
        <v>44971.0</v>
      </c>
      <c r="S2197" s="13"/>
      <c r="T2197" s="13">
        <f t="shared" ref="T2197:Y2197" si="2405">IF(ISBLANK(K2197)=TRUE,0,1)</f>
        <v>0</v>
      </c>
      <c r="U2197" s="13">
        <f t="shared" si="2405"/>
        <v>0</v>
      </c>
      <c r="V2197" s="13">
        <f t="shared" si="2405"/>
        <v>0</v>
      </c>
      <c r="W2197" s="13">
        <f t="shared" si="2405"/>
        <v>0</v>
      </c>
      <c r="X2197" s="13">
        <f t="shared" si="2405"/>
        <v>1</v>
      </c>
      <c r="Y2197" s="13">
        <f t="shared" si="2405"/>
        <v>1</v>
      </c>
      <c r="Z2197" s="13">
        <f t="shared" si="1998"/>
        <v>1</v>
      </c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</row>
    <row r="2198" ht="14.25" hidden="1" customHeight="1">
      <c r="A2198" s="13" t="s">
        <v>29</v>
      </c>
      <c r="B2198" s="13" t="s">
        <v>30</v>
      </c>
      <c r="C2198" s="13" t="s">
        <v>1294</v>
      </c>
      <c r="D2198" s="13"/>
      <c r="E2198" s="13" t="str">
        <f t="shared" si="2395"/>
        <v>SJC,134-6-1F,,1</v>
      </c>
      <c r="F2198" s="13"/>
      <c r="G2198" s="13" t="s">
        <v>74</v>
      </c>
      <c r="H2198" s="13" t="s">
        <v>75</v>
      </c>
      <c r="I2198" s="13"/>
      <c r="J2198" s="13"/>
      <c r="K2198" s="15"/>
      <c r="L2198" s="15"/>
      <c r="M2198" s="16"/>
      <c r="N2198" s="16"/>
      <c r="O2198" s="17">
        <v>1.0</v>
      </c>
      <c r="P2198" s="17">
        <v>1.0</v>
      </c>
      <c r="Q2198" s="13">
        <f t="shared" si="2389"/>
        <v>1.166666667</v>
      </c>
      <c r="R2198" s="14">
        <v>44971.0</v>
      </c>
      <c r="S2198" s="13"/>
      <c r="T2198" s="13">
        <f t="shared" ref="T2198:Y2198" si="2406">IF(ISBLANK(K2198)=TRUE,0,1)</f>
        <v>0</v>
      </c>
      <c r="U2198" s="13">
        <f t="shared" si="2406"/>
        <v>0</v>
      </c>
      <c r="V2198" s="13">
        <f t="shared" si="2406"/>
        <v>0</v>
      </c>
      <c r="W2198" s="13">
        <f t="shared" si="2406"/>
        <v>0</v>
      </c>
      <c r="X2198" s="13">
        <f t="shared" si="2406"/>
        <v>1</v>
      </c>
      <c r="Y2198" s="13">
        <f t="shared" si="2406"/>
        <v>1</v>
      </c>
      <c r="Z2198" s="13">
        <f t="shared" si="1998"/>
        <v>1</v>
      </c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</row>
    <row r="2199" ht="14.25" hidden="1" customHeight="1">
      <c r="A2199" s="13" t="s">
        <v>29</v>
      </c>
      <c r="B2199" s="13" t="s">
        <v>30</v>
      </c>
      <c r="C2199" s="18" t="s">
        <v>1295</v>
      </c>
      <c r="D2199" s="13"/>
      <c r="E2199" s="13" t="str">
        <f t="shared" si="2395"/>
        <v>SJC,134-6-2,,1</v>
      </c>
      <c r="F2199" s="13"/>
      <c r="G2199" s="13" t="s">
        <v>74</v>
      </c>
      <c r="H2199" s="13" t="s">
        <v>75</v>
      </c>
      <c r="I2199" s="13"/>
      <c r="J2199" s="13"/>
      <c r="K2199" s="15"/>
      <c r="L2199" s="15"/>
      <c r="M2199" s="16"/>
      <c r="N2199" s="16"/>
      <c r="O2199" s="17">
        <v>1.0</v>
      </c>
      <c r="P2199" s="17">
        <v>1.0</v>
      </c>
      <c r="Q2199" s="13">
        <f t="shared" si="2389"/>
        <v>1.166666667</v>
      </c>
      <c r="R2199" s="14">
        <v>44971.0</v>
      </c>
      <c r="S2199" s="13"/>
      <c r="T2199" s="13">
        <f t="shared" ref="T2199:Y2199" si="2407">IF(ISBLANK(K2199)=TRUE,0,1)</f>
        <v>0</v>
      </c>
      <c r="U2199" s="13">
        <f t="shared" si="2407"/>
        <v>0</v>
      </c>
      <c r="V2199" s="13">
        <f t="shared" si="2407"/>
        <v>0</v>
      </c>
      <c r="W2199" s="13">
        <f t="shared" si="2407"/>
        <v>0</v>
      </c>
      <c r="X2199" s="13">
        <f t="shared" si="2407"/>
        <v>1</v>
      </c>
      <c r="Y2199" s="13">
        <f t="shared" si="2407"/>
        <v>1</v>
      </c>
      <c r="Z2199" s="13">
        <f t="shared" si="1998"/>
        <v>1</v>
      </c>
      <c r="AA2199" s="13"/>
      <c r="AB2199" s="13"/>
      <c r="AC2199" s="13"/>
      <c r="AD2199" s="13"/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  <c r="AO2199" s="13"/>
      <c r="AP2199" s="13"/>
      <c r="AQ2199" s="13"/>
      <c r="AR2199" s="13"/>
      <c r="AS2199" s="13"/>
    </row>
    <row r="2200" ht="14.25" hidden="1" customHeight="1">
      <c r="A2200" s="13" t="s">
        <v>29</v>
      </c>
      <c r="B2200" s="13" t="s">
        <v>30</v>
      </c>
      <c r="C2200" s="18" t="s">
        <v>1296</v>
      </c>
      <c r="D2200" s="13"/>
      <c r="E2200" s="13" t="str">
        <f t="shared" si="2395"/>
        <v>SJC,134-6-20,,1</v>
      </c>
      <c r="F2200" s="13"/>
      <c r="G2200" s="13" t="s">
        <v>74</v>
      </c>
      <c r="H2200" s="13" t="s">
        <v>75</v>
      </c>
      <c r="I2200" s="13"/>
      <c r="J2200" s="13"/>
      <c r="K2200" s="15"/>
      <c r="L2200" s="15"/>
      <c r="M2200" s="16"/>
      <c r="N2200" s="16"/>
      <c r="O2200" s="17">
        <v>1.0</v>
      </c>
      <c r="P2200" s="17">
        <v>1.0</v>
      </c>
      <c r="Q2200" s="13">
        <f t="shared" si="2389"/>
        <v>1.166666667</v>
      </c>
      <c r="R2200" s="14">
        <v>44971.0</v>
      </c>
      <c r="S2200" s="13"/>
      <c r="T2200" s="13">
        <f t="shared" ref="T2200:Y2200" si="2408">IF(ISBLANK(K2200)=TRUE,0,1)</f>
        <v>0</v>
      </c>
      <c r="U2200" s="13">
        <f t="shared" si="2408"/>
        <v>0</v>
      </c>
      <c r="V2200" s="13">
        <f t="shared" si="2408"/>
        <v>0</v>
      </c>
      <c r="W2200" s="13">
        <f t="shared" si="2408"/>
        <v>0</v>
      </c>
      <c r="X2200" s="13">
        <f t="shared" si="2408"/>
        <v>1</v>
      </c>
      <c r="Y2200" s="13">
        <f t="shared" si="2408"/>
        <v>1</v>
      </c>
      <c r="Z2200" s="13">
        <f t="shared" si="1998"/>
        <v>1</v>
      </c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</row>
    <row r="2201" ht="14.25" hidden="1" customHeight="1">
      <c r="A2201" s="13" t="s">
        <v>29</v>
      </c>
      <c r="B2201" s="13" t="s">
        <v>30</v>
      </c>
      <c r="C2201" s="18" t="s">
        <v>1297</v>
      </c>
      <c r="D2201" s="13"/>
      <c r="E2201" s="13" t="str">
        <f t="shared" si="2395"/>
        <v>SJC,134-6-21,,1</v>
      </c>
      <c r="F2201" s="13"/>
      <c r="G2201" s="13" t="s">
        <v>74</v>
      </c>
      <c r="H2201" s="13" t="s">
        <v>75</v>
      </c>
      <c r="I2201" s="13"/>
      <c r="J2201" s="13"/>
      <c r="K2201" s="15"/>
      <c r="L2201" s="15"/>
      <c r="M2201" s="16"/>
      <c r="N2201" s="16"/>
      <c r="O2201" s="17">
        <v>1.0</v>
      </c>
      <c r="P2201" s="17">
        <v>1.0</v>
      </c>
      <c r="Q2201" s="13">
        <f t="shared" si="2389"/>
        <v>1.166666667</v>
      </c>
      <c r="R2201" s="14">
        <v>44971.0</v>
      </c>
      <c r="S2201" s="13"/>
      <c r="T2201" s="13">
        <f t="shared" ref="T2201:Y2201" si="2409">IF(ISBLANK(K2201)=TRUE,0,1)</f>
        <v>0</v>
      </c>
      <c r="U2201" s="13">
        <f t="shared" si="2409"/>
        <v>0</v>
      </c>
      <c r="V2201" s="13">
        <f t="shared" si="2409"/>
        <v>0</v>
      </c>
      <c r="W2201" s="13">
        <f t="shared" si="2409"/>
        <v>0</v>
      </c>
      <c r="X2201" s="13">
        <f t="shared" si="2409"/>
        <v>1</v>
      </c>
      <c r="Y2201" s="13">
        <f t="shared" si="2409"/>
        <v>1</v>
      </c>
      <c r="Z2201" s="13">
        <f t="shared" si="1998"/>
        <v>1</v>
      </c>
      <c r="AA2201" s="13"/>
      <c r="AB2201" s="13"/>
      <c r="AC2201" s="13"/>
      <c r="AD2201" s="13"/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</row>
    <row r="2202" ht="14.25" hidden="1" customHeight="1">
      <c r="A2202" s="13" t="s">
        <v>29</v>
      </c>
      <c r="B2202" s="13" t="s">
        <v>30</v>
      </c>
      <c r="C2202" s="18" t="s">
        <v>1298</v>
      </c>
      <c r="D2202" s="13"/>
      <c r="E2202" s="13" t="str">
        <f t="shared" si="2395"/>
        <v>SJC,134-6-22,,1</v>
      </c>
      <c r="F2202" s="13"/>
      <c r="G2202" s="13" t="s">
        <v>74</v>
      </c>
      <c r="H2202" s="13" t="s">
        <v>75</v>
      </c>
      <c r="I2202" s="13"/>
      <c r="J2202" s="13"/>
      <c r="K2202" s="15"/>
      <c r="L2202" s="15"/>
      <c r="M2202" s="16"/>
      <c r="N2202" s="16"/>
      <c r="O2202" s="17">
        <v>1.0</v>
      </c>
      <c r="P2202" s="17">
        <v>1.0</v>
      </c>
      <c r="Q2202" s="13">
        <f t="shared" si="2389"/>
        <v>1.166666667</v>
      </c>
      <c r="R2202" s="14">
        <v>44971.0</v>
      </c>
      <c r="S2202" s="13"/>
      <c r="T2202" s="13">
        <f t="shared" ref="T2202:Y2202" si="2410">IF(ISBLANK(K2202)=TRUE,0,1)</f>
        <v>0</v>
      </c>
      <c r="U2202" s="13">
        <f t="shared" si="2410"/>
        <v>0</v>
      </c>
      <c r="V2202" s="13">
        <f t="shared" si="2410"/>
        <v>0</v>
      </c>
      <c r="W2202" s="13">
        <f t="shared" si="2410"/>
        <v>0</v>
      </c>
      <c r="X2202" s="13">
        <f t="shared" si="2410"/>
        <v>1</v>
      </c>
      <c r="Y2202" s="13">
        <f t="shared" si="2410"/>
        <v>1</v>
      </c>
      <c r="Z2202" s="13">
        <f t="shared" si="1998"/>
        <v>1</v>
      </c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  <c r="AO2202" s="13"/>
      <c r="AP2202" s="13"/>
      <c r="AQ2202" s="13"/>
      <c r="AR2202" s="13"/>
      <c r="AS2202" s="13"/>
    </row>
    <row r="2203" ht="14.25" hidden="1" customHeight="1">
      <c r="A2203" s="13" t="s">
        <v>29</v>
      </c>
      <c r="B2203" s="13" t="s">
        <v>30</v>
      </c>
      <c r="C2203" s="18" t="s">
        <v>1299</v>
      </c>
      <c r="D2203" s="13"/>
      <c r="E2203" s="13" t="str">
        <f t="shared" si="2395"/>
        <v>SJC,134-6-23,,1</v>
      </c>
      <c r="F2203" s="13"/>
      <c r="G2203" s="13" t="s">
        <v>74</v>
      </c>
      <c r="H2203" s="13" t="s">
        <v>107</v>
      </c>
      <c r="I2203" s="13"/>
      <c r="J2203" s="13"/>
      <c r="K2203" s="15"/>
      <c r="L2203" s="15"/>
      <c r="M2203" s="16"/>
      <c r="N2203" s="16"/>
      <c r="O2203" s="17">
        <v>1.0</v>
      </c>
      <c r="P2203" s="17">
        <v>1.0</v>
      </c>
      <c r="Q2203" s="13">
        <f t="shared" si="2389"/>
        <v>1.166666667</v>
      </c>
      <c r="R2203" s="14">
        <v>44971.0</v>
      </c>
      <c r="S2203" s="13"/>
      <c r="T2203" s="13">
        <f t="shared" ref="T2203:Y2203" si="2411">IF(ISBLANK(K2203)=TRUE,0,1)</f>
        <v>0</v>
      </c>
      <c r="U2203" s="13">
        <f t="shared" si="2411"/>
        <v>0</v>
      </c>
      <c r="V2203" s="13">
        <f t="shared" si="2411"/>
        <v>0</v>
      </c>
      <c r="W2203" s="13">
        <f t="shared" si="2411"/>
        <v>0</v>
      </c>
      <c r="X2203" s="13">
        <f t="shared" si="2411"/>
        <v>1</v>
      </c>
      <c r="Y2203" s="13">
        <f t="shared" si="2411"/>
        <v>1</v>
      </c>
      <c r="Z2203" s="13">
        <f t="shared" si="1998"/>
        <v>1</v>
      </c>
      <c r="AA2203" s="13"/>
      <c r="AB2203" s="13"/>
      <c r="AC2203" s="13"/>
      <c r="AD2203" s="13"/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  <c r="AO2203" s="13"/>
      <c r="AP2203" s="13"/>
      <c r="AQ2203" s="13"/>
      <c r="AR2203" s="13"/>
      <c r="AS2203" s="13"/>
    </row>
    <row r="2204" ht="14.25" hidden="1" customHeight="1">
      <c r="A2204" s="13" t="s">
        <v>29</v>
      </c>
      <c r="B2204" s="13" t="s">
        <v>30</v>
      </c>
      <c r="C2204" s="18" t="s">
        <v>1300</v>
      </c>
      <c r="D2204" s="13"/>
      <c r="E2204" s="13" t="str">
        <f t="shared" si="2395"/>
        <v>SJC,134-6-24,,1</v>
      </c>
      <c r="F2204" s="13"/>
      <c r="G2204" s="13" t="s">
        <v>74</v>
      </c>
      <c r="H2204" s="13" t="s">
        <v>107</v>
      </c>
      <c r="I2204" s="13"/>
      <c r="J2204" s="13"/>
      <c r="K2204" s="15"/>
      <c r="L2204" s="15"/>
      <c r="M2204" s="16"/>
      <c r="N2204" s="16"/>
      <c r="O2204" s="17">
        <v>1.0</v>
      </c>
      <c r="P2204" s="17">
        <v>1.0</v>
      </c>
      <c r="Q2204" s="13">
        <f t="shared" si="2389"/>
        <v>1.166666667</v>
      </c>
      <c r="R2204" s="14">
        <v>44971.0</v>
      </c>
      <c r="S2204" s="13"/>
      <c r="T2204" s="13">
        <f t="shared" ref="T2204:Y2204" si="2412">IF(ISBLANK(K2204)=TRUE,0,1)</f>
        <v>0</v>
      </c>
      <c r="U2204" s="13">
        <f t="shared" si="2412"/>
        <v>0</v>
      </c>
      <c r="V2204" s="13">
        <f t="shared" si="2412"/>
        <v>0</v>
      </c>
      <c r="W2204" s="13">
        <f t="shared" si="2412"/>
        <v>0</v>
      </c>
      <c r="X2204" s="13">
        <f t="shared" si="2412"/>
        <v>1</v>
      </c>
      <c r="Y2204" s="13">
        <f t="shared" si="2412"/>
        <v>1</v>
      </c>
      <c r="Z2204" s="13">
        <f t="shared" si="1998"/>
        <v>1</v>
      </c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</row>
    <row r="2205" ht="14.25" hidden="1" customHeight="1">
      <c r="A2205" s="13" t="s">
        <v>29</v>
      </c>
      <c r="B2205" s="13" t="s">
        <v>30</v>
      </c>
      <c r="C2205" s="18" t="s">
        <v>1301</v>
      </c>
      <c r="D2205" s="13"/>
      <c r="E2205" s="13" t="str">
        <f t="shared" si="2395"/>
        <v>SJC,134-6-25,,1</v>
      </c>
      <c r="F2205" s="13"/>
      <c r="G2205" s="13" t="s">
        <v>74</v>
      </c>
      <c r="H2205" s="13" t="s">
        <v>107</v>
      </c>
      <c r="I2205" s="13"/>
      <c r="J2205" s="13"/>
      <c r="K2205" s="15"/>
      <c r="L2205" s="15"/>
      <c r="M2205" s="16"/>
      <c r="N2205" s="16"/>
      <c r="O2205" s="17">
        <v>1.0</v>
      </c>
      <c r="P2205" s="17">
        <v>1.0</v>
      </c>
      <c r="Q2205" s="13">
        <f t="shared" si="2389"/>
        <v>1.166666667</v>
      </c>
      <c r="R2205" s="14">
        <v>44971.0</v>
      </c>
      <c r="S2205" s="13"/>
      <c r="T2205" s="13">
        <f t="shared" ref="T2205:Y2205" si="2413">IF(ISBLANK(K2205)=TRUE,0,1)</f>
        <v>0</v>
      </c>
      <c r="U2205" s="13">
        <f t="shared" si="2413"/>
        <v>0</v>
      </c>
      <c r="V2205" s="13">
        <f t="shared" si="2413"/>
        <v>0</v>
      </c>
      <c r="W2205" s="13">
        <f t="shared" si="2413"/>
        <v>0</v>
      </c>
      <c r="X2205" s="13">
        <f t="shared" si="2413"/>
        <v>1</v>
      </c>
      <c r="Y2205" s="13">
        <f t="shared" si="2413"/>
        <v>1</v>
      </c>
      <c r="Z2205" s="13">
        <f t="shared" si="1998"/>
        <v>1</v>
      </c>
      <c r="AA2205" s="13"/>
      <c r="AB2205" s="13"/>
      <c r="AC2205" s="13"/>
      <c r="AD2205" s="13"/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</row>
    <row r="2206" ht="14.25" hidden="1" customHeight="1">
      <c r="A2206" s="13" t="s">
        <v>29</v>
      </c>
      <c r="B2206" s="13" t="s">
        <v>30</v>
      </c>
      <c r="C2206" s="18" t="s">
        <v>1302</v>
      </c>
      <c r="D2206" s="13"/>
      <c r="E2206" s="13" t="str">
        <f t="shared" si="2395"/>
        <v>SJC,134-6-26,,1</v>
      </c>
      <c r="F2206" s="13"/>
      <c r="G2206" s="13" t="s">
        <v>74</v>
      </c>
      <c r="H2206" s="13" t="s">
        <v>107</v>
      </c>
      <c r="I2206" s="13"/>
      <c r="J2206" s="13"/>
      <c r="K2206" s="15"/>
      <c r="L2206" s="15"/>
      <c r="M2206" s="16"/>
      <c r="N2206" s="16"/>
      <c r="O2206" s="17">
        <v>1.0</v>
      </c>
      <c r="P2206" s="17">
        <v>1.0</v>
      </c>
      <c r="Q2206" s="13">
        <f t="shared" si="2389"/>
        <v>1.166666667</v>
      </c>
      <c r="R2206" s="14">
        <v>44971.0</v>
      </c>
      <c r="S2206" s="13"/>
      <c r="T2206" s="13">
        <f t="shared" ref="T2206:Y2206" si="2414">IF(ISBLANK(K2206)=TRUE,0,1)</f>
        <v>0</v>
      </c>
      <c r="U2206" s="13">
        <f t="shared" si="2414"/>
        <v>0</v>
      </c>
      <c r="V2206" s="13">
        <f t="shared" si="2414"/>
        <v>0</v>
      </c>
      <c r="W2206" s="13">
        <f t="shared" si="2414"/>
        <v>0</v>
      </c>
      <c r="X2206" s="13">
        <f t="shared" si="2414"/>
        <v>1</v>
      </c>
      <c r="Y2206" s="13">
        <f t="shared" si="2414"/>
        <v>1</v>
      </c>
      <c r="Z2206" s="13">
        <f t="shared" si="1998"/>
        <v>1</v>
      </c>
      <c r="AA2206" s="13"/>
      <c r="AB2206" s="13"/>
      <c r="AC2206" s="13"/>
      <c r="AD2206" s="13"/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</row>
    <row r="2207" ht="14.25" hidden="1" customHeight="1">
      <c r="A2207" s="13" t="s">
        <v>29</v>
      </c>
      <c r="B2207" s="13" t="s">
        <v>30</v>
      </c>
      <c r="C2207" s="18" t="s">
        <v>1303</v>
      </c>
      <c r="D2207" s="13"/>
      <c r="E2207" s="13" t="str">
        <f t="shared" si="2395"/>
        <v>SJC,134-6-27,,1</v>
      </c>
      <c r="F2207" s="13"/>
      <c r="G2207" s="13" t="s">
        <v>74</v>
      </c>
      <c r="H2207" s="13" t="s">
        <v>107</v>
      </c>
      <c r="I2207" s="13"/>
      <c r="J2207" s="13"/>
      <c r="K2207" s="15"/>
      <c r="L2207" s="15"/>
      <c r="M2207" s="16"/>
      <c r="N2207" s="16"/>
      <c r="O2207" s="17">
        <v>1.0</v>
      </c>
      <c r="P2207" s="17">
        <v>1.0</v>
      </c>
      <c r="Q2207" s="13">
        <f t="shared" si="2389"/>
        <v>1.166666667</v>
      </c>
      <c r="R2207" s="14">
        <v>44971.0</v>
      </c>
      <c r="S2207" s="13"/>
      <c r="T2207" s="13">
        <f t="shared" ref="T2207:Y2207" si="2415">IF(ISBLANK(K2207)=TRUE,0,1)</f>
        <v>0</v>
      </c>
      <c r="U2207" s="13">
        <f t="shared" si="2415"/>
        <v>0</v>
      </c>
      <c r="V2207" s="13">
        <f t="shared" si="2415"/>
        <v>0</v>
      </c>
      <c r="W2207" s="13">
        <f t="shared" si="2415"/>
        <v>0</v>
      </c>
      <c r="X2207" s="13">
        <f t="shared" si="2415"/>
        <v>1</v>
      </c>
      <c r="Y2207" s="13">
        <f t="shared" si="2415"/>
        <v>1</v>
      </c>
      <c r="Z2207" s="13">
        <f t="shared" si="1998"/>
        <v>1</v>
      </c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</row>
    <row r="2208" ht="14.25" hidden="1" customHeight="1">
      <c r="A2208" s="13" t="s">
        <v>29</v>
      </c>
      <c r="B2208" s="13" t="s">
        <v>30</v>
      </c>
      <c r="C2208" s="18" t="s">
        <v>1304</v>
      </c>
      <c r="D2208" s="13"/>
      <c r="E2208" s="13" t="str">
        <f t="shared" si="2395"/>
        <v>SJC,134-6-28,,1</v>
      </c>
      <c r="F2208" s="13"/>
      <c r="G2208" s="13" t="s">
        <v>74</v>
      </c>
      <c r="H2208" s="13" t="s">
        <v>75</v>
      </c>
      <c r="I2208" s="13"/>
      <c r="J2208" s="13"/>
      <c r="K2208" s="15"/>
      <c r="L2208" s="15"/>
      <c r="M2208" s="16"/>
      <c r="N2208" s="16"/>
      <c r="O2208" s="17">
        <v>1.0</v>
      </c>
      <c r="P2208" s="17">
        <v>1.0</v>
      </c>
      <c r="Q2208" s="13">
        <f t="shared" si="2389"/>
        <v>1.166666667</v>
      </c>
      <c r="R2208" s="14">
        <v>44971.0</v>
      </c>
      <c r="S2208" s="13"/>
      <c r="T2208" s="13">
        <f t="shared" ref="T2208:Y2208" si="2416">IF(ISBLANK(K2208)=TRUE,0,1)</f>
        <v>0</v>
      </c>
      <c r="U2208" s="13">
        <f t="shared" si="2416"/>
        <v>0</v>
      </c>
      <c r="V2208" s="13">
        <f t="shared" si="2416"/>
        <v>0</v>
      </c>
      <c r="W2208" s="13">
        <f t="shared" si="2416"/>
        <v>0</v>
      </c>
      <c r="X2208" s="13">
        <f t="shared" si="2416"/>
        <v>1</v>
      </c>
      <c r="Y2208" s="13">
        <f t="shared" si="2416"/>
        <v>1</v>
      </c>
      <c r="Z2208" s="13">
        <f t="shared" si="1998"/>
        <v>1</v>
      </c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</row>
    <row r="2209" ht="14.25" hidden="1" customHeight="1">
      <c r="A2209" s="13" t="s">
        <v>29</v>
      </c>
      <c r="B2209" s="13" t="s">
        <v>30</v>
      </c>
      <c r="C2209" s="18" t="s">
        <v>1305</v>
      </c>
      <c r="D2209" s="13"/>
      <c r="E2209" s="13" t="str">
        <f t="shared" si="2395"/>
        <v>SJC,134-6-29,,1</v>
      </c>
      <c r="F2209" s="13"/>
      <c r="G2209" s="13" t="s">
        <v>74</v>
      </c>
      <c r="H2209" s="13" t="s">
        <v>75</v>
      </c>
      <c r="I2209" s="13"/>
      <c r="J2209" s="13"/>
      <c r="K2209" s="15"/>
      <c r="L2209" s="15"/>
      <c r="M2209" s="16"/>
      <c r="N2209" s="16"/>
      <c r="O2209" s="17">
        <v>1.0</v>
      </c>
      <c r="P2209" s="17">
        <v>1.0</v>
      </c>
      <c r="Q2209" s="13">
        <f t="shared" si="2389"/>
        <v>1.166666667</v>
      </c>
      <c r="R2209" s="14">
        <v>44971.0</v>
      </c>
      <c r="S2209" s="13"/>
      <c r="T2209" s="13">
        <f t="shared" ref="T2209:Y2209" si="2417">IF(ISBLANK(K2209)=TRUE,0,1)</f>
        <v>0</v>
      </c>
      <c r="U2209" s="13">
        <f t="shared" si="2417"/>
        <v>0</v>
      </c>
      <c r="V2209" s="13">
        <f t="shared" si="2417"/>
        <v>0</v>
      </c>
      <c r="W2209" s="13">
        <f t="shared" si="2417"/>
        <v>0</v>
      </c>
      <c r="X2209" s="13">
        <f t="shared" si="2417"/>
        <v>1</v>
      </c>
      <c r="Y2209" s="13">
        <f t="shared" si="2417"/>
        <v>1</v>
      </c>
      <c r="Z2209" s="13">
        <f t="shared" si="1998"/>
        <v>1</v>
      </c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</row>
    <row r="2210" ht="14.25" hidden="1" customHeight="1">
      <c r="A2210" s="13" t="s">
        <v>29</v>
      </c>
      <c r="B2210" s="13" t="s">
        <v>30</v>
      </c>
      <c r="C2210" s="18" t="s">
        <v>1306</v>
      </c>
      <c r="D2210" s="13"/>
      <c r="E2210" s="13" t="str">
        <f t="shared" si="2395"/>
        <v>SJC,134-6-3,,1</v>
      </c>
      <c r="F2210" s="13"/>
      <c r="G2210" s="13" t="s">
        <v>74</v>
      </c>
      <c r="H2210" s="13" t="s">
        <v>107</v>
      </c>
      <c r="I2210" s="13"/>
      <c r="J2210" s="13"/>
      <c r="K2210" s="15"/>
      <c r="L2210" s="15"/>
      <c r="M2210" s="16"/>
      <c r="N2210" s="16"/>
      <c r="O2210" s="17">
        <v>1.0</v>
      </c>
      <c r="P2210" s="17">
        <v>1.0</v>
      </c>
      <c r="Q2210" s="13">
        <f t="shared" si="2389"/>
        <v>1.166666667</v>
      </c>
      <c r="R2210" s="14">
        <v>44971.0</v>
      </c>
      <c r="S2210" s="13"/>
      <c r="T2210" s="13">
        <f t="shared" ref="T2210:Y2210" si="2418">IF(ISBLANK(K2210)=TRUE,0,1)</f>
        <v>0</v>
      </c>
      <c r="U2210" s="13">
        <f t="shared" si="2418"/>
        <v>0</v>
      </c>
      <c r="V2210" s="13">
        <f t="shared" si="2418"/>
        <v>0</v>
      </c>
      <c r="W2210" s="13">
        <f t="shared" si="2418"/>
        <v>0</v>
      </c>
      <c r="X2210" s="13">
        <f t="shared" si="2418"/>
        <v>1</v>
      </c>
      <c r="Y2210" s="13">
        <f t="shared" si="2418"/>
        <v>1</v>
      </c>
      <c r="Z2210" s="13">
        <f t="shared" si="1998"/>
        <v>1</v>
      </c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</row>
    <row r="2211" ht="14.25" hidden="1" customHeight="1">
      <c r="A2211" s="13" t="s">
        <v>29</v>
      </c>
      <c r="B2211" s="13" t="s">
        <v>30</v>
      </c>
      <c r="C2211" s="18" t="s">
        <v>1307</v>
      </c>
      <c r="D2211" s="13"/>
      <c r="E2211" s="13" t="str">
        <f t="shared" si="2395"/>
        <v>SJC,134-6-30,,1</v>
      </c>
      <c r="F2211" s="13"/>
      <c r="G2211" s="13" t="s">
        <v>74</v>
      </c>
      <c r="H2211" s="13" t="s">
        <v>75</v>
      </c>
      <c r="I2211" s="13"/>
      <c r="J2211" s="13"/>
      <c r="K2211" s="15"/>
      <c r="L2211" s="15"/>
      <c r="M2211" s="16"/>
      <c r="N2211" s="16"/>
      <c r="O2211" s="17">
        <v>1.0</v>
      </c>
      <c r="P2211" s="17">
        <v>1.0</v>
      </c>
      <c r="Q2211" s="13">
        <f t="shared" si="2389"/>
        <v>1.166666667</v>
      </c>
      <c r="R2211" s="14">
        <v>44971.0</v>
      </c>
      <c r="S2211" s="13"/>
      <c r="T2211" s="13">
        <f t="shared" ref="T2211:Y2211" si="2419">IF(ISBLANK(K2211)=TRUE,0,1)</f>
        <v>0</v>
      </c>
      <c r="U2211" s="13">
        <f t="shared" si="2419"/>
        <v>0</v>
      </c>
      <c r="V2211" s="13">
        <f t="shared" si="2419"/>
        <v>0</v>
      </c>
      <c r="W2211" s="13">
        <f t="shared" si="2419"/>
        <v>0</v>
      </c>
      <c r="X2211" s="13">
        <f t="shared" si="2419"/>
        <v>1</v>
      </c>
      <c r="Y2211" s="13">
        <f t="shared" si="2419"/>
        <v>1</v>
      </c>
      <c r="Z2211" s="13">
        <f t="shared" si="1998"/>
        <v>1</v>
      </c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</row>
    <row r="2212" ht="14.25" hidden="1" customHeight="1">
      <c r="A2212" s="13" t="s">
        <v>29</v>
      </c>
      <c r="B2212" s="13" t="s">
        <v>30</v>
      </c>
      <c r="C2212" s="18" t="s">
        <v>1308</v>
      </c>
      <c r="D2212" s="13"/>
      <c r="E2212" s="13" t="str">
        <f t="shared" si="2395"/>
        <v>SJC,134-6-31,,1</v>
      </c>
      <c r="F2212" s="13"/>
      <c r="G2212" s="13" t="s">
        <v>74</v>
      </c>
      <c r="H2212" s="13" t="s">
        <v>75</v>
      </c>
      <c r="I2212" s="13"/>
      <c r="J2212" s="13"/>
      <c r="K2212" s="15"/>
      <c r="L2212" s="15"/>
      <c r="M2212" s="16"/>
      <c r="N2212" s="16"/>
      <c r="O2212" s="17">
        <v>1.0</v>
      </c>
      <c r="P2212" s="17">
        <v>1.0</v>
      </c>
      <c r="Q2212" s="13">
        <f t="shared" si="2389"/>
        <v>1.166666667</v>
      </c>
      <c r="R2212" s="14">
        <v>44971.0</v>
      </c>
      <c r="S2212" s="13"/>
      <c r="T2212" s="13">
        <f t="shared" ref="T2212:Y2212" si="2420">IF(ISBLANK(K2212)=TRUE,0,1)</f>
        <v>0</v>
      </c>
      <c r="U2212" s="13">
        <f t="shared" si="2420"/>
        <v>0</v>
      </c>
      <c r="V2212" s="13">
        <f t="shared" si="2420"/>
        <v>0</v>
      </c>
      <c r="W2212" s="13">
        <f t="shared" si="2420"/>
        <v>0</v>
      </c>
      <c r="X2212" s="13">
        <f t="shared" si="2420"/>
        <v>1</v>
      </c>
      <c r="Y2212" s="13">
        <f t="shared" si="2420"/>
        <v>1</v>
      </c>
      <c r="Z2212" s="13">
        <f t="shared" si="1998"/>
        <v>1</v>
      </c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</row>
    <row r="2213" ht="14.25" hidden="1" customHeight="1">
      <c r="A2213" s="13" t="s">
        <v>29</v>
      </c>
      <c r="B2213" s="13" t="s">
        <v>30</v>
      </c>
      <c r="C2213" s="18" t="s">
        <v>1309</v>
      </c>
      <c r="D2213" s="13"/>
      <c r="E2213" s="13" t="str">
        <f t="shared" si="2395"/>
        <v>SJC,134-6-32,,1</v>
      </c>
      <c r="F2213" s="13"/>
      <c r="G2213" s="13" t="s">
        <v>74</v>
      </c>
      <c r="H2213" s="13" t="s">
        <v>75</v>
      </c>
      <c r="I2213" s="13"/>
      <c r="J2213" s="13"/>
      <c r="K2213" s="15"/>
      <c r="L2213" s="15"/>
      <c r="M2213" s="16"/>
      <c r="N2213" s="16"/>
      <c r="O2213" s="17">
        <v>1.0</v>
      </c>
      <c r="P2213" s="17">
        <v>1.0</v>
      </c>
      <c r="Q2213" s="13">
        <f t="shared" si="2389"/>
        <v>1.166666667</v>
      </c>
      <c r="R2213" s="14">
        <v>44971.0</v>
      </c>
      <c r="S2213" s="13"/>
      <c r="T2213" s="13">
        <f t="shared" ref="T2213:Y2213" si="2421">IF(ISBLANK(K2213)=TRUE,0,1)</f>
        <v>0</v>
      </c>
      <c r="U2213" s="13">
        <f t="shared" si="2421"/>
        <v>0</v>
      </c>
      <c r="V2213" s="13">
        <f t="shared" si="2421"/>
        <v>0</v>
      </c>
      <c r="W2213" s="13">
        <f t="shared" si="2421"/>
        <v>0</v>
      </c>
      <c r="X2213" s="13">
        <f t="shared" si="2421"/>
        <v>1</v>
      </c>
      <c r="Y2213" s="13">
        <f t="shared" si="2421"/>
        <v>1</v>
      </c>
      <c r="Z2213" s="13">
        <f t="shared" si="1998"/>
        <v>1</v>
      </c>
      <c r="AA2213" s="13"/>
      <c r="AB2213" s="13"/>
      <c r="AC2213" s="13"/>
      <c r="AD2213" s="13"/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</row>
    <row r="2214" ht="14.25" hidden="1" customHeight="1">
      <c r="A2214" s="13" t="s">
        <v>29</v>
      </c>
      <c r="B2214" s="13" t="s">
        <v>30</v>
      </c>
      <c r="C2214" s="18" t="s">
        <v>1310</v>
      </c>
      <c r="D2214" s="13"/>
      <c r="E2214" s="13" t="str">
        <f t="shared" si="2395"/>
        <v>SJC,134-6-33,,1</v>
      </c>
      <c r="F2214" s="13"/>
      <c r="G2214" s="13" t="s">
        <v>74</v>
      </c>
      <c r="H2214" s="13" t="s">
        <v>75</v>
      </c>
      <c r="I2214" s="13"/>
      <c r="J2214" s="13"/>
      <c r="K2214" s="15"/>
      <c r="L2214" s="15"/>
      <c r="M2214" s="16"/>
      <c r="N2214" s="16"/>
      <c r="O2214" s="17">
        <v>1.0</v>
      </c>
      <c r="P2214" s="17">
        <v>1.0</v>
      </c>
      <c r="Q2214" s="13">
        <f t="shared" si="2389"/>
        <v>1.166666667</v>
      </c>
      <c r="R2214" s="14">
        <v>44971.0</v>
      </c>
      <c r="S2214" s="13"/>
      <c r="T2214" s="13">
        <f t="shared" ref="T2214:Y2214" si="2422">IF(ISBLANK(K2214)=TRUE,0,1)</f>
        <v>0</v>
      </c>
      <c r="U2214" s="13">
        <f t="shared" si="2422"/>
        <v>0</v>
      </c>
      <c r="V2214" s="13">
        <f t="shared" si="2422"/>
        <v>0</v>
      </c>
      <c r="W2214" s="13">
        <f t="shared" si="2422"/>
        <v>0</v>
      </c>
      <c r="X2214" s="13">
        <f t="shared" si="2422"/>
        <v>1</v>
      </c>
      <c r="Y2214" s="13">
        <f t="shared" si="2422"/>
        <v>1</v>
      </c>
      <c r="Z2214" s="13">
        <f t="shared" si="1998"/>
        <v>1</v>
      </c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</row>
    <row r="2215" ht="14.25" hidden="1" customHeight="1">
      <c r="A2215" s="13" t="s">
        <v>29</v>
      </c>
      <c r="B2215" s="13" t="s">
        <v>30</v>
      </c>
      <c r="C2215" s="18" t="s">
        <v>1311</v>
      </c>
      <c r="D2215" s="13"/>
      <c r="E2215" s="13" t="str">
        <f t="shared" si="2395"/>
        <v>SJC,134-6-34,,1</v>
      </c>
      <c r="F2215" s="13"/>
      <c r="G2215" s="13" t="s">
        <v>74</v>
      </c>
      <c r="H2215" s="13" t="s">
        <v>75</v>
      </c>
      <c r="I2215" s="13"/>
      <c r="J2215" s="13"/>
      <c r="K2215" s="15"/>
      <c r="L2215" s="15"/>
      <c r="M2215" s="16"/>
      <c r="N2215" s="16"/>
      <c r="O2215" s="17">
        <v>1.0</v>
      </c>
      <c r="P2215" s="17">
        <v>1.0</v>
      </c>
      <c r="Q2215" s="13">
        <f t="shared" si="2389"/>
        <v>1.166666667</v>
      </c>
      <c r="R2215" s="14">
        <v>44971.0</v>
      </c>
      <c r="S2215" s="13"/>
      <c r="T2215" s="13">
        <f t="shared" ref="T2215:Y2215" si="2423">IF(ISBLANK(K2215)=TRUE,0,1)</f>
        <v>0</v>
      </c>
      <c r="U2215" s="13">
        <f t="shared" si="2423"/>
        <v>0</v>
      </c>
      <c r="V2215" s="13">
        <f t="shared" si="2423"/>
        <v>0</v>
      </c>
      <c r="W2215" s="13">
        <f t="shared" si="2423"/>
        <v>0</v>
      </c>
      <c r="X2215" s="13">
        <f t="shared" si="2423"/>
        <v>1</v>
      </c>
      <c r="Y2215" s="13">
        <f t="shared" si="2423"/>
        <v>1</v>
      </c>
      <c r="Z2215" s="13">
        <f t="shared" si="1998"/>
        <v>1</v>
      </c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</row>
    <row r="2216" ht="14.25" hidden="1" customHeight="1">
      <c r="A2216" s="13" t="s">
        <v>29</v>
      </c>
      <c r="B2216" s="13" t="s">
        <v>30</v>
      </c>
      <c r="C2216" s="18" t="s">
        <v>1312</v>
      </c>
      <c r="D2216" s="13"/>
      <c r="E2216" s="13" t="str">
        <f t="shared" si="2395"/>
        <v>SJC,134-6-35,,1</v>
      </c>
      <c r="F2216" s="13"/>
      <c r="G2216" s="13" t="s">
        <v>74</v>
      </c>
      <c r="H2216" s="13" t="s">
        <v>75</v>
      </c>
      <c r="I2216" s="13"/>
      <c r="J2216" s="13"/>
      <c r="K2216" s="15"/>
      <c r="L2216" s="15"/>
      <c r="M2216" s="16"/>
      <c r="N2216" s="16"/>
      <c r="O2216" s="17">
        <v>1.0</v>
      </c>
      <c r="P2216" s="17">
        <v>1.0</v>
      </c>
      <c r="Q2216" s="13">
        <f t="shared" si="2389"/>
        <v>1.166666667</v>
      </c>
      <c r="R2216" s="14">
        <v>44971.0</v>
      </c>
      <c r="S2216" s="13"/>
      <c r="T2216" s="13">
        <f t="shared" ref="T2216:Y2216" si="2424">IF(ISBLANK(K2216)=TRUE,0,1)</f>
        <v>0</v>
      </c>
      <c r="U2216" s="13">
        <f t="shared" si="2424"/>
        <v>0</v>
      </c>
      <c r="V2216" s="13">
        <f t="shared" si="2424"/>
        <v>0</v>
      </c>
      <c r="W2216" s="13">
        <f t="shared" si="2424"/>
        <v>0</v>
      </c>
      <c r="X2216" s="13">
        <f t="shared" si="2424"/>
        <v>1</v>
      </c>
      <c r="Y2216" s="13">
        <f t="shared" si="2424"/>
        <v>1</v>
      </c>
      <c r="Z2216" s="13">
        <f t="shared" si="1998"/>
        <v>1</v>
      </c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</row>
    <row r="2217" ht="14.25" hidden="1" customHeight="1">
      <c r="A2217" s="13" t="s">
        <v>29</v>
      </c>
      <c r="B2217" s="13" t="s">
        <v>30</v>
      </c>
      <c r="C2217" s="18" t="s">
        <v>1313</v>
      </c>
      <c r="D2217" s="13"/>
      <c r="E2217" s="13" t="str">
        <f t="shared" si="2395"/>
        <v>SJC,134-6-36,,1</v>
      </c>
      <c r="F2217" s="13"/>
      <c r="G2217" s="13" t="s">
        <v>74</v>
      </c>
      <c r="H2217" s="13" t="s">
        <v>75</v>
      </c>
      <c r="I2217" s="13"/>
      <c r="J2217" s="13"/>
      <c r="K2217" s="15"/>
      <c r="L2217" s="15"/>
      <c r="M2217" s="16"/>
      <c r="N2217" s="16"/>
      <c r="O2217" s="17">
        <v>1.0</v>
      </c>
      <c r="P2217" s="17">
        <v>1.0</v>
      </c>
      <c r="Q2217" s="13">
        <f t="shared" si="2389"/>
        <v>1.166666667</v>
      </c>
      <c r="R2217" s="14">
        <v>44971.0</v>
      </c>
      <c r="S2217" s="13"/>
      <c r="T2217" s="13">
        <f t="shared" ref="T2217:Y2217" si="2425">IF(ISBLANK(K2217)=TRUE,0,1)</f>
        <v>0</v>
      </c>
      <c r="U2217" s="13">
        <f t="shared" si="2425"/>
        <v>0</v>
      </c>
      <c r="V2217" s="13">
        <f t="shared" si="2425"/>
        <v>0</v>
      </c>
      <c r="W2217" s="13">
        <f t="shared" si="2425"/>
        <v>0</v>
      </c>
      <c r="X2217" s="13">
        <f t="shared" si="2425"/>
        <v>1</v>
      </c>
      <c r="Y2217" s="13">
        <f t="shared" si="2425"/>
        <v>1</v>
      </c>
      <c r="Z2217" s="13">
        <f t="shared" si="1998"/>
        <v>1</v>
      </c>
      <c r="AA2217" s="13"/>
      <c r="AB2217" s="13"/>
      <c r="AC2217" s="13"/>
      <c r="AD2217" s="13"/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</row>
    <row r="2218" ht="14.25" hidden="1" customHeight="1">
      <c r="A2218" s="13" t="s">
        <v>29</v>
      </c>
      <c r="B2218" s="13" t="s">
        <v>30</v>
      </c>
      <c r="C2218" s="18" t="s">
        <v>1314</v>
      </c>
      <c r="D2218" s="13"/>
      <c r="E2218" s="13" t="str">
        <f t="shared" si="2395"/>
        <v>SJC,134-6-37,,1</v>
      </c>
      <c r="F2218" s="13"/>
      <c r="G2218" s="13" t="s">
        <v>74</v>
      </c>
      <c r="H2218" s="13" t="s">
        <v>75</v>
      </c>
      <c r="I2218" s="13"/>
      <c r="J2218" s="13"/>
      <c r="K2218" s="15"/>
      <c r="L2218" s="15"/>
      <c r="M2218" s="16"/>
      <c r="N2218" s="16"/>
      <c r="O2218" s="17">
        <v>1.0</v>
      </c>
      <c r="P2218" s="17">
        <v>1.0</v>
      </c>
      <c r="Q2218" s="13">
        <f t="shared" si="2389"/>
        <v>1.166666667</v>
      </c>
      <c r="R2218" s="14">
        <v>44971.0</v>
      </c>
      <c r="S2218" s="13"/>
      <c r="T2218" s="13">
        <f t="shared" ref="T2218:Y2218" si="2426">IF(ISBLANK(K2218)=TRUE,0,1)</f>
        <v>0</v>
      </c>
      <c r="U2218" s="13">
        <f t="shared" si="2426"/>
        <v>0</v>
      </c>
      <c r="V2218" s="13">
        <f t="shared" si="2426"/>
        <v>0</v>
      </c>
      <c r="W2218" s="13">
        <f t="shared" si="2426"/>
        <v>0</v>
      </c>
      <c r="X2218" s="13">
        <f t="shared" si="2426"/>
        <v>1</v>
      </c>
      <c r="Y2218" s="13">
        <f t="shared" si="2426"/>
        <v>1</v>
      </c>
      <c r="Z2218" s="13">
        <f t="shared" si="1998"/>
        <v>1</v>
      </c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</row>
    <row r="2219" ht="14.25" hidden="1" customHeight="1">
      <c r="A2219" s="13" t="s">
        <v>29</v>
      </c>
      <c r="B2219" s="13" t="s">
        <v>30</v>
      </c>
      <c r="C2219" s="18" t="s">
        <v>1315</v>
      </c>
      <c r="D2219" s="13"/>
      <c r="E2219" s="13" t="str">
        <f t="shared" si="2395"/>
        <v>SJC,134-6-38,,1</v>
      </c>
      <c r="F2219" s="13"/>
      <c r="G2219" s="13" t="s">
        <v>74</v>
      </c>
      <c r="H2219" s="13" t="s">
        <v>75</v>
      </c>
      <c r="I2219" s="13"/>
      <c r="J2219" s="13"/>
      <c r="K2219" s="15"/>
      <c r="L2219" s="15"/>
      <c r="M2219" s="16"/>
      <c r="N2219" s="16"/>
      <c r="O2219" s="17">
        <v>1.0</v>
      </c>
      <c r="P2219" s="17">
        <v>1.0</v>
      </c>
      <c r="Q2219" s="13">
        <f t="shared" si="2389"/>
        <v>1.166666667</v>
      </c>
      <c r="R2219" s="14">
        <v>44971.0</v>
      </c>
      <c r="S2219" s="13"/>
      <c r="T2219" s="13">
        <f t="shared" ref="T2219:Y2219" si="2427">IF(ISBLANK(K2219)=TRUE,0,1)</f>
        <v>0</v>
      </c>
      <c r="U2219" s="13">
        <f t="shared" si="2427"/>
        <v>0</v>
      </c>
      <c r="V2219" s="13">
        <f t="shared" si="2427"/>
        <v>0</v>
      </c>
      <c r="W2219" s="13">
        <f t="shared" si="2427"/>
        <v>0</v>
      </c>
      <c r="X2219" s="13">
        <f t="shared" si="2427"/>
        <v>1</v>
      </c>
      <c r="Y2219" s="13">
        <f t="shared" si="2427"/>
        <v>1</v>
      </c>
      <c r="Z2219" s="13">
        <f t="shared" si="1998"/>
        <v>1</v>
      </c>
      <c r="AA2219" s="13"/>
      <c r="AB2219" s="13"/>
      <c r="AC2219" s="13"/>
      <c r="AD2219" s="13"/>
      <c r="AE2219" s="13"/>
      <c r="AF2219" s="13"/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</row>
    <row r="2220" ht="14.25" hidden="1" customHeight="1">
      <c r="A2220" s="13" t="s">
        <v>29</v>
      </c>
      <c r="B2220" s="13" t="s">
        <v>30</v>
      </c>
      <c r="C2220" s="18" t="s">
        <v>1316</v>
      </c>
      <c r="D2220" s="13"/>
      <c r="E2220" s="13" t="str">
        <f t="shared" si="2395"/>
        <v>SJC,134-6-39,,1</v>
      </c>
      <c r="F2220" s="13"/>
      <c r="G2220" s="13" t="s">
        <v>74</v>
      </c>
      <c r="H2220" s="13" t="s">
        <v>75</v>
      </c>
      <c r="I2220" s="13"/>
      <c r="J2220" s="13"/>
      <c r="K2220" s="15"/>
      <c r="L2220" s="15"/>
      <c r="M2220" s="16"/>
      <c r="N2220" s="16"/>
      <c r="O2220" s="17">
        <v>1.0</v>
      </c>
      <c r="P2220" s="17">
        <v>1.0</v>
      </c>
      <c r="Q2220" s="13">
        <f t="shared" si="2389"/>
        <v>1.166666667</v>
      </c>
      <c r="R2220" s="14">
        <v>44971.0</v>
      </c>
      <c r="S2220" s="13"/>
      <c r="T2220" s="13">
        <f t="shared" ref="T2220:Y2220" si="2428">IF(ISBLANK(K2220)=TRUE,0,1)</f>
        <v>0</v>
      </c>
      <c r="U2220" s="13">
        <f t="shared" si="2428"/>
        <v>0</v>
      </c>
      <c r="V2220" s="13">
        <f t="shared" si="2428"/>
        <v>0</v>
      </c>
      <c r="W2220" s="13">
        <f t="shared" si="2428"/>
        <v>0</v>
      </c>
      <c r="X2220" s="13">
        <f t="shared" si="2428"/>
        <v>1</v>
      </c>
      <c r="Y2220" s="13">
        <f t="shared" si="2428"/>
        <v>1</v>
      </c>
      <c r="Z2220" s="13">
        <f t="shared" si="1998"/>
        <v>1</v>
      </c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</row>
    <row r="2221" ht="14.25" hidden="1" customHeight="1">
      <c r="A2221" s="13" t="s">
        <v>29</v>
      </c>
      <c r="B2221" s="13" t="s">
        <v>30</v>
      </c>
      <c r="C2221" s="18" t="s">
        <v>1317</v>
      </c>
      <c r="D2221" s="13"/>
      <c r="E2221" s="13" t="str">
        <f t="shared" si="2395"/>
        <v>SJC,134-6-4,,1</v>
      </c>
      <c r="F2221" s="13"/>
      <c r="G2221" s="13" t="s">
        <v>74</v>
      </c>
      <c r="H2221" s="13" t="s">
        <v>75</v>
      </c>
      <c r="I2221" s="13"/>
      <c r="J2221" s="13"/>
      <c r="K2221" s="15"/>
      <c r="L2221" s="15"/>
      <c r="M2221" s="16"/>
      <c r="N2221" s="16"/>
      <c r="O2221" s="17">
        <v>1.0</v>
      </c>
      <c r="P2221" s="17">
        <v>1.0</v>
      </c>
      <c r="Q2221" s="13">
        <f t="shared" si="2389"/>
        <v>1.166666667</v>
      </c>
      <c r="R2221" s="14">
        <v>44971.0</v>
      </c>
      <c r="S2221" s="13"/>
      <c r="T2221" s="13">
        <f t="shared" ref="T2221:Y2221" si="2429">IF(ISBLANK(K2221)=TRUE,0,1)</f>
        <v>0</v>
      </c>
      <c r="U2221" s="13">
        <f t="shared" si="2429"/>
        <v>0</v>
      </c>
      <c r="V2221" s="13">
        <f t="shared" si="2429"/>
        <v>0</v>
      </c>
      <c r="W2221" s="13">
        <f t="shared" si="2429"/>
        <v>0</v>
      </c>
      <c r="X2221" s="13">
        <f t="shared" si="2429"/>
        <v>1</v>
      </c>
      <c r="Y2221" s="13">
        <f t="shared" si="2429"/>
        <v>1</v>
      </c>
      <c r="Z2221" s="13">
        <f t="shared" si="1998"/>
        <v>1</v>
      </c>
      <c r="AA2221" s="13"/>
      <c r="AB2221" s="13"/>
      <c r="AC2221" s="13"/>
      <c r="AD2221" s="13"/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</row>
    <row r="2222" ht="14.25" hidden="1" customHeight="1">
      <c r="A2222" s="13" t="s">
        <v>29</v>
      </c>
      <c r="B2222" s="13" t="s">
        <v>30</v>
      </c>
      <c r="C2222" s="18" t="s">
        <v>1318</v>
      </c>
      <c r="D2222" s="13"/>
      <c r="E2222" s="13" t="str">
        <f t="shared" si="2395"/>
        <v>SJC,134-6-40,,1</v>
      </c>
      <c r="F2222" s="13"/>
      <c r="G2222" s="13" t="s">
        <v>74</v>
      </c>
      <c r="H2222" s="13" t="s">
        <v>75</v>
      </c>
      <c r="I2222" s="13"/>
      <c r="J2222" s="13"/>
      <c r="K2222" s="15"/>
      <c r="L2222" s="15"/>
      <c r="M2222" s="16"/>
      <c r="N2222" s="16"/>
      <c r="O2222" s="17">
        <v>1.0</v>
      </c>
      <c r="P2222" s="17">
        <v>1.0</v>
      </c>
      <c r="Q2222" s="13">
        <f t="shared" si="2389"/>
        <v>1.166666667</v>
      </c>
      <c r="R2222" s="14">
        <v>44971.0</v>
      </c>
      <c r="S2222" s="13"/>
      <c r="T2222" s="13">
        <f t="shared" ref="T2222:Y2222" si="2430">IF(ISBLANK(K2222)=TRUE,0,1)</f>
        <v>0</v>
      </c>
      <c r="U2222" s="13">
        <f t="shared" si="2430"/>
        <v>0</v>
      </c>
      <c r="V2222" s="13">
        <f t="shared" si="2430"/>
        <v>0</v>
      </c>
      <c r="W2222" s="13">
        <f t="shared" si="2430"/>
        <v>0</v>
      </c>
      <c r="X2222" s="13">
        <f t="shared" si="2430"/>
        <v>1</v>
      </c>
      <c r="Y2222" s="13">
        <f t="shared" si="2430"/>
        <v>1</v>
      </c>
      <c r="Z2222" s="13">
        <f t="shared" si="1998"/>
        <v>1</v>
      </c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</row>
    <row r="2223" ht="14.25" hidden="1" customHeight="1">
      <c r="A2223" s="13" t="s">
        <v>29</v>
      </c>
      <c r="B2223" s="13" t="s">
        <v>30</v>
      </c>
      <c r="C2223" s="18" t="s">
        <v>1319</v>
      </c>
      <c r="D2223" s="13"/>
      <c r="E2223" s="13" t="str">
        <f t="shared" si="2395"/>
        <v>SJC,134-6-41,,1</v>
      </c>
      <c r="F2223" s="13"/>
      <c r="G2223" s="13" t="s">
        <v>74</v>
      </c>
      <c r="H2223" s="13" t="s">
        <v>75</v>
      </c>
      <c r="I2223" s="13"/>
      <c r="J2223" s="13"/>
      <c r="K2223" s="15"/>
      <c r="L2223" s="15"/>
      <c r="M2223" s="16"/>
      <c r="N2223" s="16"/>
      <c r="O2223" s="17">
        <v>1.0</v>
      </c>
      <c r="P2223" s="17">
        <v>1.0</v>
      </c>
      <c r="Q2223" s="13">
        <f t="shared" si="2389"/>
        <v>1.166666667</v>
      </c>
      <c r="R2223" s="14">
        <v>44971.0</v>
      </c>
      <c r="S2223" s="13"/>
      <c r="T2223" s="13">
        <f t="shared" ref="T2223:Y2223" si="2431">IF(ISBLANK(K2223)=TRUE,0,1)</f>
        <v>0</v>
      </c>
      <c r="U2223" s="13">
        <f t="shared" si="2431"/>
        <v>0</v>
      </c>
      <c r="V2223" s="13">
        <f t="shared" si="2431"/>
        <v>0</v>
      </c>
      <c r="W2223" s="13">
        <f t="shared" si="2431"/>
        <v>0</v>
      </c>
      <c r="X2223" s="13">
        <f t="shared" si="2431"/>
        <v>1</v>
      </c>
      <c r="Y2223" s="13">
        <f t="shared" si="2431"/>
        <v>1</v>
      </c>
      <c r="Z2223" s="13">
        <f t="shared" si="1998"/>
        <v>1</v>
      </c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</row>
    <row r="2224" ht="14.25" hidden="1" customHeight="1">
      <c r="A2224" s="13" t="s">
        <v>29</v>
      </c>
      <c r="B2224" s="13" t="s">
        <v>30</v>
      </c>
      <c r="C2224" s="18" t="s">
        <v>1320</v>
      </c>
      <c r="D2224" s="13"/>
      <c r="E2224" s="13" t="str">
        <f t="shared" si="2395"/>
        <v>SJC,134-6-42,,1</v>
      </c>
      <c r="F2224" s="13"/>
      <c r="G2224" s="13" t="s">
        <v>74</v>
      </c>
      <c r="H2224" s="13" t="s">
        <v>75</v>
      </c>
      <c r="I2224" s="13"/>
      <c r="J2224" s="13"/>
      <c r="K2224" s="15"/>
      <c r="L2224" s="15"/>
      <c r="M2224" s="16"/>
      <c r="N2224" s="16"/>
      <c r="O2224" s="17">
        <v>1.0</v>
      </c>
      <c r="P2224" s="17">
        <v>1.0</v>
      </c>
      <c r="Q2224" s="13">
        <f t="shared" si="2389"/>
        <v>1.166666667</v>
      </c>
      <c r="R2224" s="14">
        <v>44971.0</v>
      </c>
      <c r="S2224" s="13"/>
      <c r="T2224" s="13">
        <f t="shared" ref="T2224:Y2224" si="2432">IF(ISBLANK(K2224)=TRUE,0,1)</f>
        <v>0</v>
      </c>
      <c r="U2224" s="13">
        <f t="shared" si="2432"/>
        <v>0</v>
      </c>
      <c r="V2224" s="13">
        <f t="shared" si="2432"/>
        <v>0</v>
      </c>
      <c r="W2224" s="13">
        <f t="shared" si="2432"/>
        <v>0</v>
      </c>
      <c r="X2224" s="13">
        <f t="shared" si="2432"/>
        <v>1</v>
      </c>
      <c r="Y2224" s="13">
        <f t="shared" si="2432"/>
        <v>1</v>
      </c>
      <c r="Z2224" s="13">
        <f t="shared" si="1998"/>
        <v>1</v>
      </c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</row>
    <row r="2225" ht="14.25" hidden="1" customHeight="1">
      <c r="A2225" s="13" t="s">
        <v>29</v>
      </c>
      <c r="B2225" s="13" t="s">
        <v>30</v>
      </c>
      <c r="C2225" s="18" t="s">
        <v>1321</v>
      </c>
      <c r="D2225" s="13"/>
      <c r="E2225" s="13" t="str">
        <f t="shared" si="2395"/>
        <v>SJC,134-6-43,,1</v>
      </c>
      <c r="F2225" s="13"/>
      <c r="G2225" s="13" t="s">
        <v>74</v>
      </c>
      <c r="H2225" s="13" t="s">
        <v>75</v>
      </c>
      <c r="I2225" s="13"/>
      <c r="J2225" s="13"/>
      <c r="K2225" s="15"/>
      <c r="L2225" s="15"/>
      <c r="M2225" s="16"/>
      <c r="N2225" s="16"/>
      <c r="O2225" s="17">
        <v>1.0</v>
      </c>
      <c r="P2225" s="17">
        <v>1.0</v>
      </c>
      <c r="Q2225" s="13">
        <f t="shared" si="2389"/>
        <v>1.166666667</v>
      </c>
      <c r="R2225" s="14">
        <v>44971.0</v>
      </c>
      <c r="S2225" s="13"/>
      <c r="T2225" s="13">
        <f t="shared" ref="T2225:Y2225" si="2433">IF(ISBLANK(K2225)=TRUE,0,1)</f>
        <v>0</v>
      </c>
      <c r="U2225" s="13">
        <f t="shared" si="2433"/>
        <v>0</v>
      </c>
      <c r="V2225" s="13">
        <f t="shared" si="2433"/>
        <v>0</v>
      </c>
      <c r="W2225" s="13">
        <f t="shared" si="2433"/>
        <v>0</v>
      </c>
      <c r="X2225" s="13">
        <f t="shared" si="2433"/>
        <v>1</v>
      </c>
      <c r="Y2225" s="13">
        <f t="shared" si="2433"/>
        <v>1</v>
      </c>
      <c r="Z2225" s="13">
        <f t="shared" si="1998"/>
        <v>1</v>
      </c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</row>
    <row r="2226" ht="14.25" hidden="1" customHeight="1">
      <c r="A2226" s="13" t="s">
        <v>29</v>
      </c>
      <c r="B2226" s="13" t="s">
        <v>30</v>
      </c>
      <c r="C2226" s="18" t="s">
        <v>1322</v>
      </c>
      <c r="D2226" s="13"/>
      <c r="E2226" s="13" t="str">
        <f t="shared" si="2395"/>
        <v>SJC,134-6-44,,1</v>
      </c>
      <c r="F2226" s="13"/>
      <c r="G2226" s="13" t="s">
        <v>74</v>
      </c>
      <c r="H2226" s="13" t="s">
        <v>75</v>
      </c>
      <c r="I2226" s="13"/>
      <c r="J2226" s="13"/>
      <c r="K2226" s="15"/>
      <c r="L2226" s="15"/>
      <c r="M2226" s="16"/>
      <c r="N2226" s="16"/>
      <c r="O2226" s="17">
        <v>1.0</v>
      </c>
      <c r="P2226" s="17">
        <v>1.0</v>
      </c>
      <c r="Q2226" s="13">
        <f t="shared" si="2389"/>
        <v>1.166666667</v>
      </c>
      <c r="R2226" s="14">
        <v>44971.0</v>
      </c>
      <c r="S2226" s="13"/>
      <c r="T2226" s="13">
        <f t="shared" ref="T2226:Y2226" si="2434">IF(ISBLANK(K2226)=TRUE,0,1)</f>
        <v>0</v>
      </c>
      <c r="U2226" s="13">
        <f t="shared" si="2434"/>
        <v>0</v>
      </c>
      <c r="V2226" s="13">
        <f t="shared" si="2434"/>
        <v>0</v>
      </c>
      <c r="W2226" s="13">
        <f t="shared" si="2434"/>
        <v>0</v>
      </c>
      <c r="X2226" s="13">
        <f t="shared" si="2434"/>
        <v>1</v>
      </c>
      <c r="Y2226" s="13">
        <f t="shared" si="2434"/>
        <v>1</v>
      </c>
      <c r="Z2226" s="13">
        <f t="shared" si="1998"/>
        <v>1</v>
      </c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</row>
    <row r="2227" ht="14.25" hidden="1" customHeight="1">
      <c r="A2227" s="13" t="s">
        <v>29</v>
      </c>
      <c r="B2227" s="13" t="s">
        <v>30</v>
      </c>
      <c r="C2227" s="18" t="s">
        <v>1323</v>
      </c>
      <c r="D2227" s="13"/>
      <c r="E2227" s="13" t="str">
        <f t="shared" si="2395"/>
        <v>SJC,134-6-45,,1</v>
      </c>
      <c r="F2227" s="13"/>
      <c r="G2227" s="13" t="s">
        <v>74</v>
      </c>
      <c r="H2227" s="13" t="s">
        <v>75</v>
      </c>
      <c r="I2227" s="13"/>
      <c r="J2227" s="13"/>
      <c r="K2227" s="15"/>
      <c r="L2227" s="15"/>
      <c r="M2227" s="16"/>
      <c r="N2227" s="16"/>
      <c r="O2227" s="17">
        <v>1.0</v>
      </c>
      <c r="P2227" s="17">
        <v>1.0</v>
      </c>
      <c r="Q2227" s="13">
        <f t="shared" si="2389"/>
        <v>1.166666667</v>
      </c>
      <c r="R2227" s="14">
        <v>44971.0</v>
      </c>
      <c r="S2227" s="13"/>
      <c r="T2227" s="13">
        <f t="shared" ref="T2227:Y2227" si="2435">IF(ISBLANK(K2227)=TRUE,0,1)</f>
        <v>0</v>
      </c>
      <c r="U2227" s="13">
        <f t="shared" si="2435"/>
        <v>0</v>
      </c>
      <c r="V2227" s="13">
        <f t="shared" si="2435"/>
        <v>0</v>
      </c>
      <c r="W2227" s="13">
        <f t="shared" si="2435"/>
        <v>0</v>
      </c>
      <c r="X2227" s="13">
        <f t="shared" si="2435"/>
        <v>1</v>
      </c>
      <c r="Y2227" s="13">
        <f t="shared" si="2435"/>
        <v>1</v>
      </c>
      <c r="Z2227" s="13">
        <f t="shared" si="1998"/>
        <v>1</v>
      </c>
      <c r="AA2227" s="13"/>
      <c r="AB2227" s="13"/>
      <c r="AC2227" s="13"/>
      <c r="AD2227" s="13"/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</row>
    <row r="2228" ht="14.25" hidden="1" customHeight="1">
      <c r="A2228" s="13" t="s">
        <v>29</v>
      </c>
      <c r="B2228" s="13" t="s">
        <v>30</v>
      </c>
      <c r="C2228" s="18" t="s">
        <v>1324</v>
      </c>
      <c r="D2228" s="13"/>
      <c r="E2228" s="13" t="str">
        <f t="shared" si="2395"/>
        <v>SJC,134-6-46,,1</v>
      </c>
      <c r="F2228" s="13"/>
      <c r="G2228" s="13" t="s">
        <v>74</v>
      </c>
      <c r="H2228" s="13" t="s">
        <v>75</v>
      </c>
      <c r="I2228" s="13"/>
      <c r="J2228" s="13"/>
      <c r="K2228" s="15"/>
      <c r="L2228" s="15"/>
      <c r="M2228" s="16"/>
      <c r="N2228" s="16"/>
      <c r="O2228" s="17">
        <v>1.0</v>
      </c>
      <c r="P2228" s="17">
        <v>1.0</v>
      </c>
      <c r="Q2228" s="13">
        <f t="shared" si="2389"/>
        <v>1.166666667</v>
      </c>
      <c r="R2228" s="14">
        <v>44971.0</v>
      </c>
      <c r="S2228" s="13"/>
      <c r="T2228" s="13">
        <f t="shared" ref="T2228:Y2228" si="2436">IF(ISBLANK(K2228)=TRUE,0,1)</f>
        <v>0</v>
      </c>
      <c r="U2228" s="13">
        <f t="shared" si="2436"/>
        <v>0</v>
      </c>
      <c r="V2228" s="13">
        <f t="shared" si="2436"/>
        <v>0</v>
      </c>
      <c r="W2228" s="13">
        <f t="shared" si="2436"/>
        <v>0</v>
      </c>
      <c r="X2228" s="13">
        <f t="shared" si="2436"/>
        <v>1</v>
      </c>
      <c r="Y2228" s="13">
        <f t="shared" si="2436"/>
        <v>1</v>
      </c>
      <c r="Z2228" s="13">
        <f t="shared" si="1998"/>
        <v>1</v>
      </c>
      <c r="AA2228" s="13"/>
      <c r="AB2228" s="13"/>
      <c r="AC2228" s="13"/>
      <c r="AD2228" s="13"/>
      <c r="AE2228" s="13"/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</row>
    <row r="2229" ht="14.25" hidden="1" customHeight="1">
      <c r="A2229" s="13" t="s">
        <v>29</v>
      </c>
      <c r="B2229" s="13" t="s">
        <v>30</v>
      </c>
      <c r="C2229" s="18" t="s">
        <v>1325</v>
      </c>
      <c r="D2229" s="13"/>
      <c r="E2229" s="13" t="str">
        <f t="shared" si="2395"/>
        <v>SJC,134-6-47,,1</v>
      </c>
      <c r="F2229" s="13"/>
      <c r="G2229" s="13" t="s">
        <v>74</v>
      </c>
      <c r="H2229" s="13" t="s">
        <v>75</v>
      </c>
      <c r="I2229" s="13"/>
      <c r="J2229" s="13"/>
      <c r="K2229" s="15"/>
      <c r="L2229" s="15"/>
      <c r="M2229" s="16"/>
      <c r="N2229" s="16"/>
      <c r="O2229" s="17">
        <v>1.0</v>
      </c>
      <c r="P2229" s="17">
        <v>1.0</v>
      </c>
      <c r="Q2229" s="13">
        <f t="shared" si="2389"/>
        <v>1.166666667</v>
      </c>
      <c r="R2229" s="14">
        <v>44971.0</v>
      </c>
      <c r="S2229" s="13"/>
      <c r="T2229" s="13">
        <f t="shared" ref="T2229:Y2229" si="2437">IF(ISBLANK(K2229)=TRUE,0,1)</f>
        <v>0</v>
      </c>
      <c r="U2229" s="13">
        <f t="shared" si="2437"/>
        <v>0</v>
      </c>
      <c r="V2229" s="13">
        <f t="shared" si="2437"/>
        <v>0</v>
      </c>
      <c r="W2229" s="13">
        <f t="shared" si="2437"/>
        <v>0</v>
      </c>
      <c r="X2229" s="13">
        <f t="shared" si="2437"/>
        <v>1</v>
      </c>
      <c r="Y2229" s="13">
        <f t="shared" si="2437"/>
        <v>1</v>
      </c>
      <c r="Z2229" s="13">
        <f t="shared" si="1998"/>
        <v>1</v>
      </c>
      <c r="AA2229" s="13"/>
      <c r="AB2229" s="13"/>
      <c r="AC2229" s="13"/>
      <c r="AD2229" s="13"/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</row>
    <row r="2230" ht="14.25" hidden="1" customHeight="1">
      <c r="A2230" s="13" t="s">
        <v>29</v>
      </c>
      <c r="B2230" s="13" t="s">
        <v>30</v>
      </c>
      <c r="C2230" s="18" t="s">
        <v>1326</v>
      </c>
      <c r="D2230" s="13"/>
      <c r="E2230" s="13" t="str">
        <f t="shared" si="2395"/>
        <v>SJC,134-6-48,,1</v>
      </c>
      <c r="F2230" s="13"/>
      <c r="G2230" s="13" t="s">
        <v>74</v>
      </c>
      <c r="H2230" s="13" t="s">
        <v>75</v>
      </c>
      <c r="I2230" s="13"/>
      <c r="J2230" s="13"/>
      <c r="K2230" s="15"/>
      <c r="L2230" s="15"/>
      <c r="M2230" s="16"/>
      <c r="N2230" s="16"/>
      <c r="O2230" s="17">
        <v>1.0</v>
      </c>
      <c r="P2230" s="17">
        <v>1.0</v>
      </c>
      <c r="Q2230" s="13">
        <f t="shared" si="2389"/>
        <v>1.166666667</v>
      </c>
      <c r="R2230" s="14">
        <v>44971.0</v>
      </c>
      <c r="S2230" s="13"/>
      <c r="T2230" s="13">
        <f t="shared" ref="T2230:Y2230" si="2438">IF(ISBLANK(K2230)=TRUE,0,1)</f>
        <v>0</v>
      </c>
      <c r="U2230" s="13">
        <f t="shared" si="2438"/>
        <v>0</v>
      </c>
      <c r="V2230" s="13">
        <f t="shared" si="2438"/>
        <v>0</v>
      </c>
      <c r="W2230" s="13">
        <f t="shared" si="2438"/>
        <v>0</v>
      </c>
      <c r="X2230" s="13">
        <f t="shared" si="2438"/>
        <v>1</v>
      </c>
      <c r="Y2230" s="13">
        <f t="shared" si="2438"/>
        <v>1</v>
      </c>
      <c r="Z2230" s="13">
        <f t="shared" si="1998"/>
        <v>1</v>
      </c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</row>
    <row r="2231" ht="14.25" hidden="1" customHeight="1">
      <c r="A2231" s="13" t="s">
        <v>29</v>
      </c>
      <c r="B2231" s="13" t="s">
        <v>30</v>
      </c>
      <c r="C2231" s="18" t="s">
        <v>1327</v>
      </c>
      <c r="D2231" s="13"/>
      <c r="E2231" s="13" t="str">
        <f t="shared" si="2395"/>
        <v>SJC,134-6-49,,1</v>
      </c>
      <c r="F2231" s="13"/>
      <c r="G2231" s="13" t="s">
        <v>74</v>
      </c>
      <c r="H2231" s="13" t="s">
        <v>75</v>
      </c>
      <c r="I2231" s="13"/>
      <c r="J2231" s="13"/>
      <c r="K2231" s="15"/>
      <c r="L2231" s="15"/>
      <c r="M2231" s="16"/>
      <c r="N2231" s="16"/>
      <c r="O2231" s="17">
        <v>1.0</v>
      </c>
      <c r="P2231" s="17">
        <v>1.0</v>
      </c>
      <c r="Q2231" s="13">
        <f t="shared" si="2389"/>
        <v>1.166666667</v>
      </c>
      <c r="R2231" s="14">
        <v>44971.0</v>
      </c>
      <c r="S2231" s="13"/>
      <c r="T2231" s="13">
        <f t="shared" ref="T2231:Y2231" si="2439">IF(ISBLANK(K2231)=TRUE,0,1)</f>
        <v>0</v>
      </c>
      <c r="U2231" s="13">
        <f t="shared" si="2439"/>
        <v>0</v>
      </c>
      <c r="V2231" s="13">
        <f t="shared" si="2439"/>
        <v>0</v>
      </c>
      <c r="W2231" s="13">
        <f t="shared" si="2439"/>
        <v>0</v>
      </c>
      <c r="X2231" s="13">
        <f t="shared" si="2439"/>
        <v>1</v>
      </c>
      <c r="Y2231" s="13">
        <f t="shared" si="2439"/>
        <v>1</v>
      </c>
      <c r="Z2231" s="13">
        <f t="shared" si="1998"/>
        <v>1</v>
      </c>
      <c r="AA2231" s="13"/>
      <c r="AB2231" s="13"/>
      <c r="AC2231" s="13"/>
      <c r="AD2231" s="13"/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</row>
    <row r="2232" ht="14.25" hidden="1" customHeight="1">
      <c r="A2232" s="13" t="s">
        <v>29</v>
      </c>
      <c r="B2232" s="13" t="s">
        <v>30</v>
      </c>
      <c r="C2232" s="18" t="s">
        <v>1328</v>
      </c>
      <c r="D2232" s="13"/>
      <c r="E2232" s="13" t="str">
        <f t="shared" si="2395"/>
        <v>SJC,134-6-5,,1</v>
      </c>
      <c r="F2232" s="13"/>
      <c r="G2232" s="13" t="s">
        <v>74</v>
      </c>
      <c r="H2232" s="13" t="s">
        <v>75</v>
      </c>
      <c r="I2232" s="13"/>
      <c r="J2232" s="13"/>
      <c r="K2232" s="15"/>
      <c r="L2232" s="15"/>
      <c r="M2232" s="16"/>
      <c r="N2232" s="16"/>
      <c r="O2232" s="17">
        <v>1.0</v>
      </c>
      <c r="P2232" s="17">
        <v>1.0</v>
      </c>
      <c r="Q2232" s="13">
        <f t="shared" si="2389"/>
        <v>1.166666667</v>
      </c>
      <c r="R2232" s="14">
        <v>44971.0</v>
      </c>
      <c r="S2232" s="13"/>
      <c r="T2232" s="13">
        <f t="shared" ref="T2232:Y2232" si="2440">IF(ISBLANK(K2232)=TRUE,0,1)</f>
        <v>0</v>
      </c>
      <c r="U2232" s="13">
        <f t="shared" si="2440"/>
        <v>0</v>
      </c>
      <c r="V2232" s="13">
        <f t="shared" si="2440"/>
        <v>0</v>
      </c>
      <c r="W2232" s="13">
        <f t="shared" si="2440"/>
        <v>0</v>
      </c>
      <c r="X2232" s="13">
        <f t="shared" si="2440"/>
        <v>1</v>
      </c>
      <c r="Y2232" s="13">
        <f t="shared" si="2440"/>
        <v>1</v>
      </c>
      <c r="Z2232" s="13">
        <f t="shared" si="1998"/>
        <v>1</v>
      </c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</row>
    <row r="2233" ht="14.25" hidden="1" customHeight="1">
      <c r="A2233" s="13" t="s">
        <v>29</v>
      </c>
      <c r="B2233" s="13" t="s">
        <v>30</v>
      </c>
      <c r="C2233" s="18" t="s">
        <v>1329</v>
      </c>
      <c r="D2233" s="13"/>
      <c r="E2233" s="13" t="str">
        <f t="shared" si="2395"/>
        <v>SJC,134-6-50,,1</v>
      </c>
      <c r="F2233" s="13"/>
      <c r="G2233" s="13" t="s">
        <v>74</v>
      </c>
      <c r="H2233" s="13" t="s">
        <v>75</v>
      </c>
      <c r="I2233" s="13"/>
      <c r="J2233" s="13"/>
      <c r="K2233" s="15"/>
      <c r="L2233" s="15"/>
      <c r="M2233" s="16"/>
      <c r="N2233" s="16"/>
      <c r="O2233" s="17">
        <v>1.0</v>
      </c>
      <c r="P2233" s="17">
        <v>1.0</v>
      </c>
      <c r="Q2233" s="13">
        <f t="shared" si="2389"/>
        <v>1.166666667</v>
      </c>
      <c r="R2233" s="14">
        <v>44971.0</v>
      </c>
      <c r="S2233" s="13"/>
      <c r="T2233" s="13">
        <f t="shared" ref="T2233:Y2233" si="2441">IF(ISBLANK(K2233)=TRUE,0,1)</f>
        <v>0</v>
      </c>
      <c r="U2233" s="13">
        <f t="shared" si="2441"/>
        <v>0</v>
      </c>
      <c r="V2233" s="13">
        <f t="shared" si="2441"/>
        <v>0</v>
      </c>
      <c r="W2233" s="13">
        <f t="shared" si="2441"/>
        <v>0</v>
      </c>
      <c r="X2233" s="13">
        <f t="shared" si="2441"/>
        <v>1</v>
      </c>
      <c r="Y2233" s="13">
        <f t="shared" si="2441"/>
        <v>1</v>
      </c>
      <c r="Z2233" s="13">
        <f t="shared" si="1998"/>
        <v>1</v>
      </c>
      <c r="AA2233" s="13"/>
      <c r="AB2233" s="13"/>
      <c r="AC2233" s="13"/>
      <c r="AD2233" s="13"/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</row>
    <row r="2234" ht="14.25" hidden="1" customHeight="1">
      <c r="A2234" s="13" t="s">
        <v>29</v>
      </c>
      <c r="B2234" s="13" t="s">
        <v>30</v>
      </c>
      <c r="C2234" s="18" t="s">
        <v>1330</v>
      </c>
      <c r="D2234" s="13"/>
      <c r="E2234" s="13" t="str">
        <f t="shared" si="2395"/>
        <v>SJC,134-6-51,,1</v>
      </c>
      <c r="F2234" s="13"/>
      <c r="G2234" s="13" t="s">
        <v>74</v>
      </c>
      <c r="H2234" s="13" t="s">
        <v>75</v>
      </c>
      <c r="I2234" s="13"/>
      <c r="J2234" s="13"/>
      <c r="K2234" s="15"/>
      <c r="L2234" s="15"/>
      <c r="M2234" s="16"/>
      <c r="N2234" s="16"/>
      <c r="O2234" s="17">
        <v>1.0</v>
      </c>
      <c r="P2234" s="17">
        <v>1.0</v>
      </c>
      <c r="Q2234" s="13">
        <f t="shared" si="2389"/>
        <v>1.166666667</v>
      </c>
      <c r="R2234" s="14">
        <v>44971.0</v>
      </c>
      <c r="S2234" s="13"/>
      <c r="T2234" s="13">
        <f t="shared" ref="T2234:Y2234" si="2442">IF(ISBLANK(K2234)=TRUE,0,1)</f>
        <v>0</v>
      </c>
      <c r="U2234" s="13">
        <f t="shared" si="2442"/>
        <v>0</v>
      </c>
      <c r="V2234" s="13">
        <f t="shared" si="2442"/>
        <v>0</v>
      </c>
      <c r="W2234" s="13">
        <f t="shared" si="2442"/>
        <v>0</v>
      </c>
      <c r="X2234" s="13">
        <f t="shared" si="2442"/>
        <v>1</v>
      </c>
      <c r="Y2234" s="13">
        <f t="shared" si="2442"/>
        <v>1</v>
      </c>
      <c r="Z2234" s="13">
        <f t="shared" si="1998"/>
        <v>1</v>
      </c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</row>
    <row r="2235" ht="14.25" hidden="1" customHeight="1">
      <c r="A2235" s="13" t="s">
        <v>29</v>
      </c>
      <c r="B2235" s="13" t="s">
        <v>30</v>
      </c>
      <c r="C2235" s="18" t="s">
        <v>1331</v>
      </c>
      <c r="D2235" s="13"/>
      <c r="E2235" s="13" t="str">
        <f t="shared" si="2395"/>
        <v>SJC,134-6-6,,1</v>
      </c>
      <c r="F2235" s="13"/>
      <c r="G2235" s="13" t="s">
        <v>74</v>
      </c>
      <c r="H2235" s="13" t="s">
        <v>75</v>
      </c>
      <c r="I2235" s="13"/>
      <c r="J2235" s="13"/>
      <c r="K2235" s="15"/>
      <c r="L2235" s="15"/>
      <c r="M2235" s="16"/>
      <c r="N2235" s="16"/>
      <c r="O2235" s="17">
        <v>1.0</v>
      </c>
      <c r="P2235" s="17">
        <v>1.0</v>
      </c>
      <c r="Q2235" s="13">
        <f t="shared" si="2389"/>
        <v>1.166666667</v>
      </c>
      <c r="R2235" s="14">
        <v>44971.0</v>
      </c>
      <c r="S2235" s="13"/>
      <c r="T2235" s="13">
        <f t="shared" ref="T2235:Y2235" si="2443">IF(ISBLANK(K2235)=TRUE,0,1)</f>
        <v>0</v>
      </c>
      <c r="U2235" s="13">
        <f t="shared" si="2443"/>
        <v>0</v>
      </c>
      <c r="V2235" s="13">
        <f t="shared" si="2443"/>
        <v>0</v>
      </c>
      <c r="W2235" s="13">
        <f t="shared" si="2443"/>
        <v>0</v>
      </c>
      <c r="X2235" s="13">
        <f t="shared" si="2443"/>
        <v>1</v>
      </c>
      <c r="Y2235" s="13">
        <f t="shared" si="2443"/>
        <v>1</v>
      </c>
      <c r="Z2235" s="13">
        <f t="shared" si="1998"/>
        <v>1</v>
      </c>
      <c r="AA2235" s="13"/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</row>
    <row r="2236" ht="14.25" hidden="1" customHeight="1">
      <c r="A2236" s="13" t="s">
        <v>29</v>
      </c>
      <c r="B2236" s="13" t="s">
        <v>30</v>
      </c>
      <c r="C2236" s="18" t="s">
        <v>1332</v>
      </c>
      <c r="D2236" s="13"/>
      <c r="E2236" s="13" t="str">
        <f t="shared" si="2395"/>
        <v>SJC,134-6-7,,1</v>
      </c>
      <c r="F2236" s="13"/>
      <c r="G2236" s="13" t="s">
        <v>74</v>
      </c>
      <c r="H2236" s="13" t="s">
        <v>75</v>
      </c>
      <c r="I2236" s="13"/>
      <c r="J2236" s="13"/>
      <c r="K2236" s="15"/>
      <c r="L2236" s="15"/>
      <c r="M2236" s="16"/>
      <c r="N2236" s="16"/>
      <c r="O2236" s="17">
        <v>1.0</v>
      </c>
      <c r="P2236" s="17">
        <v>1.0</v>
      </c>
      <c r="Q2236" s="13">
        <f t="shared" si="2389"/>
        <v>1.166666667</v>
      </c>
      <c r="R2236" s="14">
        <v>44971.0</v>
      </c>
      <c r="S2236" s="13"/>
      <c r="T2236" s="13">
        <f t="shared" ref="T2236:Y2236" si="2444">IF(ISBLANK(K2236)=TRUE,0,1)</f>
        <v>0</v>
      </c>
      <c r="U2236" s="13">
        <f t="shared" si="2444"/>
        <v>0</v>
      </c>
      <c r="V2236" s="13">
        <f t="shared" si="2444"/>
        <v>0</v>
      </c>
      <c r="W2236" s="13">
        <f t="shared" si="2444"/>
        <v>0</v>
      </c>
      <c r="X2236" s="13">
        <f t="shared" si="2444"/>
        <v>1</v>
      </c>
      <c r="Y2236" s="13">
        <f t="shared" si="2444"/>
        <v>1</v>
      </c>
      <c r="Z2236" s="13">
        <f t="shared" si="1998"/>
        <v>1</v>
      </c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</row>
    <row r="2237" ht="14.25" hidden="1" customHeight="1">
      <c r="A2237" s="13" t="s">
        <v>29</v>
      </c>
      <c r="B2237" s="13" t="s">
        <v>30</v>
      </c>
      <c r="C2237" s="18" t="s">
        <v>1333</v>
      </c>
      <c r="D2237" s="13"/>
      <c r="E2237" s="13" t="str">
        <f t="shared" si="2395"/>
        <v>SJC,134-6-8,,1</v>
      </c>
      <c r="F2237" s="13"/>
      <c r="G2237" s="13" t="s">
        <v>74</v>
      </c>
      <c r="H2237" s="13" t="s">
        <v>75</v>
      </c>
      <c r="I2237" s="13"/>
      <c r="J2237" s="13"/>
      <c r="K2237" s="15"/>
      <c r="L2237" s="15"/>
      <c r="M2237" s="16"/>
      <c r="N2237" s="16"/>
      <c r="O2237" s="17">
        <v>1.0</v>
      </c>
      <c r="P2237" s="17">
        <v>1.0</v>
      </c>
      <c r="Q2237" s="13">
        <f t="shared" si="2389"/>
        <v>1.166666667</v>
      </c>
      <c r="R2237" s="14">
        <v>44971.0</v>
      </c>
      <c r="S2237" s="13"/>
      <c r="T2237" s="13">
        <f t="shared" ref="T2237:Y2237" si="2445">IF(ISBLANK(K2237)=TRUE,0,1)</f>
        <v>0</v>
      </c>
      <c r="U2237" s="13">
        <f t="shared" si="2445"/>
        <v>0</v>
      </c>
      <c r="V2237" s="13">
        <f t="shared" si="2445"/>
        <v>0</v>
      </c>
      <c r="W2237" s="13">
        <f t="shared" si="2445"/>
        <v>0</v>
      </c>
      <c r="X2237" s="13">
        <f t="shared" si="2445"/>
        <v>1</v>
      </c>
      <c r="Y2237" s="13">
        <f t="shared" si="2445"/>
        <v>1</v>
      </c>
      <c r="Z2237" s="13">
        <f t="shared" si="1998"/>
        <v>1</v>
      </c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</row>
    <row r="2238" ht="14.25" hidden="1" customHeight="1">
      <c r="A2238" s="13" t="s">
        <v>29</v>
      </c>
      <c r="B2238" s="13" t="s">
        <v>30</v>
      </c>
      <c r="C2238" s="18" t="s">
        <v>1334</v>
      </c>
      <c r="D2238" s="13"/>
      <c r="E2238" s="13" t="str">
        <f t="shared" si="2395"/>
        <v>SJC,134-6-9,,1</v>
      </c>
      <c r="F2238" s="13"/>
      <c r="G2238" s="13" t="s">
        <v>74</v>
      </c>
      <c r="H2238" s="13" t="s">
        <v>75</v>
      </c>
      <c r="I2238" s="13"/>
      <c r="J2238" s="13"/>
      <c r="K2238" s="15"/>
      <c r="L2238" s="15"/>
      <c r="M2238" s="16"/>
      <c r="N2238" s="16"/>
      <c r="O2238" s="17">
        <v>1.0</v>
      </c>
      <c r="P2238" s="17">
        <v>1.0</v>
      </c>
      <c r="Q2238" s="13">
        <f t="shared" si="2389"/>
        <v>1.166666667</v>
      </c>
      <c r="R2238" s="14">
        <v>44971.0</v>
      </c>
      <c r="S2238" s="13"/>
      <c r="T2238" s="13">
        <f t="shared" ref="T2238:Y2238" si="2446">IF(ISBLANK(K2238)=TRUE,0,1)</f>
        <v>0</v>
      </c>
      <c r="U2238" s="13">
        <f t="shared" si="2446"/>
        <v>0</v>
      </c>
      <c r="V2238" s="13">
        <f t="shared" si="2446"/>
        <v>0</v>
      </c>
      <c r="W2238" s="13">
        <f t="shared" si="2446"/>
        <v>0</v>
      </c>
      <c r="X2238" s="13">
        <f t="shared" si="2446"/>
        <v>1</v>
      </c>
      <c r="Y2238" s="13">
        <f t="shared" si="2446"/>
        <v>1</v>
      </c>
      <c r="Z2238" s="13">
        <f t="shared" si="1998"/>
        <v>1</v>
      </c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</row>
    <row r="2239" ht="14.25" hidden="1" customHeight="1">
      <c r="A2239" s="13" t="s">
        <v>29</v>
      </c>
      <c r="B2239" s="13" t="s">
        <v>30</v>
      </c>
      <c r="C2239" s="13" t="s">
        <v>1335</v>
      </c>
      <c r="D2239" s="13"/>
      <c r="E2239" s="13" t="str">
        <f t="shared" si="2395"/>
        <v>SJC,211-10-1,,0</v>
      </c>
      <c r="F2239" s="13"/>
      <c r="G2239" s="13" t="s">
        <v>111</v>
      </c>
      <c r="H2239" s="13" t="s">
        <v>107</v>
      </c>
      <c r="I2239" s="14">
        <v>44862.0</v>
      </c>
      <c r="J2239" s="14"/>
      <c r="K2239" s="15"/>
      <c r="L2239" s="15"/>
      <c r="M2239" s="16">
        <v>0.0</v>
      </c>
      <c r="N2239" s="16">
        <v>0.0</v>
      </c>
      <c r="O2239" s="17">
        <v>0.0</v>
      </c>
      <c r="P2239" s="17">
        <v>0.0</v>
      </c>
      <c r="Q2239" s="13">
        <f t="shared" si="2389"/>
        <v>1.166666667</v>
      </c>
      <c r="R2239" s="14">
        <v>44973.0</v>
      </c>
      <c r="S2239" s="13"/>
      <c r="T2239" s="13">
        <f t="shared" ref="T2239:Y2239" si="2447">IF(ISBLANK(K2239)=TRUE,0,1)</f>
        <v>0</v>
      </c>
      <c r="U2239" s="13">
        <f t="shared" si="2447"/>
        <v>0</v>
      </c>
      <c r="V2239" s="13">
        <f t="shared" si="2447"/>
        <v>1</v>
      </c>
      <c r="W2239" s="13">
        <f t="shared" si="2447"/>
        <v>1</v>
      </c>
      <c r="X2239" s="13">
        <f t="shared" si="2447"/>
        <v>1</v>
      </c>
      <c r="Y2239" s="13">
        <f t="shared" si="2447"/>
        <v>1</v>
      </c>
      <c r="Z2239" s="13">
        <f t="shared" si="1998"/>
        <v>0</v>
      </c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</row>
    <row r="2240" ht="14.25" hidden="1" customHeight="1">
      <c r="A2240" s="13" t="s">
        <v>29</v>
      </c>
      <c r="B2240" s="13" t="s">
        <v>30</v>
      </c>
      <c r="C2240" s="13" t="s">
        <v>1336</v>
      </c>
      <c r="D2240" s="13"/>
      <c r="E2240" s="13" t="str">
        <f t="shared" si="2395"/>
        <v>SJC,211-10-10,,0</v>
      </c>
      <c r="F2240" s="13"/>
      <c r="G2240" s="13" t="s">
        <v>111</v>
      </c>
      <c r="H2240" s="13" t="s">
        <v>107</v>
      </c>
      <c r="I2240" s="14">
        <v>44862.0</v>
      </c>
      <c r="J2240" s="14"/>
      <c r="K2240" s="15"/>
      <c r="L2240" s="15"/>
      <c r="M2240" s="16">
        <v>0.0</v>
      </c>
      <c r="N2240" s="16">
        <v>0.0</v>
      </c>
      <c r="O2240" s="17">
        <v>0.0</v>
      </c>
      <c r="P2240" s="17">
        <v>0.0</v>
      </c>
      <c r="Q2240" s="13">
        <f t="shared" si="2389"/>
        <v>0</v>
      </c>
      <c r="R2240" s="14">
        <v>44973.0</v>
      </c>
      <c r="S2240" s="13"/>
      <c r="T2240" s="13">
        <f t="shared" ref="T2240:Y2240" si="2448">IF(ISBLANK(K2240)=TRUE,0,1)</f>
        <v>0</v>
      </c>
      <c r="U2240" s="13">
        <f t="shared" si="2448"/>
        <v>0</v>
      </c>
      <c r="V2240" s="13">
        <f t="shared" si="2448"/>
        <v>1</v>
      </c>
      <c r="W2240" s="13">
        <f t="shared" si="2448"/>
        <v>1</v>
      </c>
      <c r="X2240" s="13">
        <f t="shared" si="2448"/>
        <v>1</v>
      </c>
      <c r="Y2240" s="13">
        <f t="shared" si="2448"/>
        <v>1</v>
      </c>
      <c r="Z2240" s="13">
        <f t="shared" si="1998"/>
        <v>0</v>
      </c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</row>
    <row r="2241" ht="14.25" hidden="1" customHeight="1">
      <c r="A2241" s="13" t="s">
        <v>29</v>
      </c>
      <c r="B2241" s="13" t="s">
        <v>30</v>
      </c>
      <c r="C2241" s="13" t="s">
        <v>1337</v>
      </c>
      <c r="D2241" s="13"/>
      <c r="E2241" s="13" t="str">
        <f t="shared" si="2395"/>
        <v>SJC,211-10-11,,0</v>
      </c>
      <c r="F2241" s="13"/>
      <c r="G2241" s="13" t="s">
        <v>111</v>
      </c>
      <c r="H2241" s="13" t="s">
        <v>107</v>
      </c>
      <c r="I2241" s="14">
        <v>44862.0</v>
      </c>
      <c r="J2241" s="14"/>
      <c r="K2241" s="15"/>
      <c r="L2241" s="15"/>
      <c r="M2241" s="16">
        <v>0.0</v>
      </c>
      <c r="N2241" s="16">
        <v>0.0</v>
      </c>
      <c r="O2241" s="17">
        <v>0.0</v>
      </c>
      <c r="P2241" s="17">
        <v>0.0</v>
      </c>
      <c r="Q2241" s="13">
        <f t="shared" si="2389"/>
        <v>0</v>
      </c>
      <c r="R2241" s="14">
        <v>44973.0</v>
      </c>
      <c r="S2241" s="13"/>
      <c r="T2241" s="13">
        <f t="shared" ref="T2241:Y2241" si="2449">IF(ISBLANK(K2241)=TRUE,0,1)</f>
        <v>0</v>
      </c>
      <c r="U2241" s="13">
        <f t="shared" si="2449"/>
        <v>0</v>
      </c>
      <c r="V2241" s="13">
        <f t="shared" si="2449"/>
        <v>1</v>
      </c>
      <c r="W2241" s="13">
        <f t="shared" si="2449"/>
        <v>1</v>
      </c>
      <c r="X2241" s="13">
        <f t="shared" si="2449"/>
        <v>1</v>
      </c>
      <c r="Y2241" s="13">
        <f t="shared" si="2449"/>
        <v>1</v>
      </c>
      <c r="Z2241" s="13">
        <f t="shared" si="1998"/>
        <v>0</v>
      </c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</row>
    <row r="2242" ht="14.25" hidden="1" customHeight="1">
      <c r="A2242" s="13" t="s">
        <v>29</v>
      </c>
      <c r="B2242" s="13" t="s">
        <v>30</v>
      </c>
      <c r="C2242" s="13" t="s">
        <v>1338</v>
      </c>
      <c r="D2242" s="13"/>
      <c r="E2242" s="13" t="str">
        <f t="shared" si="2395"/>
        <v>SJC,211-10-12,,0</v>
      </c>
      <c r="F2242" s="13"/>
      <c r="G2242" s="13" t="s">
        <v>111</v>
      </c>
      <c r="H2242" s="13" t="s">
        <v>107</v>
      </c>
      <c r="I2242" s="14">
        <v>44862.0</v>
      </c>
      <c r="J2242" s="14"/>
      <c r="K2242" s="15"/>
      <c r="L2242" s="15"/>
      <c r="M2242" s="16">
        <v>0.0</v>
      </c>
      <c r="N2242" s="16">
        <v>0.0</v>
      </c>
      <c r="O2242" s="17">
        <v>0.0</v>
      </c>
      <c r="P2242" s="17">
        <v>0.0</v>
      </c>
      <c r="Q2242" s="13">
        <f t="shared" si="2389"/>
        <v>0</v>
      </c>
      <c r="R2242" s="14">
        <v>44973.0</v>
      </c>
      <c r="S2242" s="13"/>
      <c r="T2242" s="13">
        <f t="shared" ref="T2242:Y2242" si="2450">IF(ISBLANK(K2242)=TRUE,0,1)</f>
        <v>0</v>
      </c>
      <c r="U2242" s="13">
        <f t="shared" si="2450"/>
        <v>0</v>
      </c>
      <c r="V2242" s="13">
        <f t="shared" si="2450"/>
        <v>1</v>
      </c>
      <c r="W2242" s="13">
        <f t="shared" si="2450"/>
        <v>1</v>
      </c>
      <c r="X2242" s="13">
        <f t="shared" si="2450"/>
        <v>1</v>
      </c>
      <c r="Y2242" s="13">
        <f t="shared" si="2450"/>
        <v>1</v>
      </c>
      <c r="Z2242" s="13">
        <f t="shared" si="1998"/>
        <v>0</v>
      </c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</row>
    <row r="2243" ht="14.25" hidden="1" customHeight="1">
      <c r="A2243" s="13" t="s">
        <v>29</v>
      </c>
      <c r="B2243" s="13" t="s">
        <v>30</v>
      </c>
      <c r="C2243" s="13" t="s">
        <v>1339</v>
      </c>
      <c r="D2243" s="13"/>
      <c r="E2243" s="13" t="str">
        <f t="shared" si="2395"/>
        <v>SJC,211-10-13,,0</v>
      </c>
      <c r="F2243" s="13"/>
      <c r="G2243" s="13" t="s">
        <v>111</v>
      </c>
      <c r="H2243" s="13" t="s">
        <v>107</v>
      </c>
      <c r="I2243" s="14">
        <v>44862.0</v>
      </c>
      <c r="J2243" s="14"/>
      <c r="K2243" s="15"/>
      <c r="L2243" s="15"/>
      <c r="M2243" s="16">
        <v>0.0</v>
      </c>
      <c r="N2243" s="16">
        <v>0.0</v>
      </c>
      <c r="O2243" s="17">
        <v>0.0</v>
      </c>
      <c r="P2243" s="17">
        <v>0.0</v>
      </c>
      <c r="Q2243" s="13">
        <f t="shared" si="2389"/>
        <v>0</v>
      </c>
      <c r="R2243" s="14">
        <v>44973.0</v>
      </c>
      <c r="S2243" s="13"/>
      <c r="T2243" s="13">
        <f t="shared" ref="T2243:Y2243" si="2451">IF(ISBLANK(K2243)=TRUE,0,1)</f>
        <v>0</v>
      </c>
      <c r="U2243" s="13">
        <f t="shared" si="2451"/>
        <v>0</v>
      </c>
      <c r="V2243" s="13">
        <f t="shared" si="2451"/>
        <v>1</v>
      </c>
      <c r="W2243" s="13">
        <f t="shared" si="2451"/>
        <v>1</v>
      </c>
      <c r="X2243" s="13">
        <f t="shared" si="2451"/>
        <v>1</v>
      </c>
      <c r="Y2243" s="13">
        <f t="shared" si="2451"/>
        <v>1</v>
      </c>
      <c r="Z2243" s="13">
        <f t="shared" si="1998"/>
        <v>0</v>
      </c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</row>
    <row r="2244" ht="14.25" hidden="1" customHeight="1">
      <c r="A2244" s="13" t="s">
        <v>29</v>
      </c>
      <c r="B2244" s="13" t="s">
        <v>30</v>
      </c>
      <c r="C2244" s="13" t="s">
        <v>1340</v>
      </c>
      <c r="D2244" s="13"/>
      <c r="E2244" s="13" t="str">
        <f t="shared" si="2395"/>
        <v>SJC,211-10-14,,0</v>
      </c>
      <c r="F2244" s="13"/>
      <c r="G2244" s="13" t="s">
        <v>111</v>
      </c>
      <c r="H2244" s="13" t="s">
        <v>107</v>
      </c>
      <c r="I2244" s="14">
        <v>44862.0</v>
      </c>
      <c r="J2244" s="14"/>
      <c r="K2244" s="15"/>
      <c r="L2244" s="15"/>
      <c r="M2244" s="16">
        <v>0.0</v>
      </c>
      <c r="N2244" s="16">
        <v>0.0</v>
      </c>
      <c r="O2244" s="17">
        <v>0.0</v>
      </c>
      <c r="P2244" s="17">
        <v>0.0</v>
      </c>
      <c r="Q2244" s="13">
        <f t="shared" si="2389"/>
        <v>0</v>
      </c>
      <c r="R2244" s="14">
        <v>44973.0</v>
      </c>
      <c r="S2244" s="13"/>
      <c r="T2244" s="13">
        <f t="shared" ref="T2244:Y2244" si="2452">IF(ISBLANK(K2244)=TRUE,0,1)</f>
        <v>0</v>
      </c>
      <c r="U2244" s="13">
        <f t="shared" si="2452"/>
        <v>0</v>
      </c>
      <c r="V2244" s="13">
        <f t="shared" si="2452"/>
        <v>1</v>
      </c>
      <c r="W2244" s="13">
        <f t="shared" si="2452"/>
        <v>1</v>
      </c>
      <c r="X2244" s="13">
        <f t="shared" si="2452"/>
        <v>1</v>
      </c>
      <c r="Y2244" s="13">
        <f t="shared" si="2452"/>
        <v>1</v>
      </c>
      <c r="Z2244" s="13">
        <f t="shared" si="1998"/>
        <v>0</v>
      </c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</row>
    <row r="2245" ht="14.25" hidden="1" customHeight="1">
      <c r="A2245" s="13" t="s">
        <v>29</v>
      </c>
      <c r="B2245" s="13" t="s">
        <v>30</v>
      </c>
      <c r="C2245" s="13" t="s">
        <v>1341</v>
      </c>
      <c r="D2245" s="13"/>
      <c r="E2245" s="13" t="str">
        <f t="shared" si="2395"/>
        <v>SJC,211-10-15,,0</v>
      </c>
      <c r="F2245" s="13"/>
      <c r="G2245" s="13" t="s">
        <v>111</v>
      </c>
      <c r="H2245" s="13" t="s">
        <v>107</v>
      </c>
      <c r="I2245" s="14">
        <v>44862.0</v>
      </c>
      <c r="J2245" s="14"/>
      <c r="K2245" s="15"/>
      <c r="L2245" s="15"/>
      <c r="M2245" s="16">
        <v>0.0</v>
      </c>
      <c r="N2245" s="16">
        <v>0.0</v>
      </c>
      <c r="O2245" s="17">
        <v>0.0</v>
      </c>
      <c r="P2245" s="17">
        <v>0.0</v>
      </c>
      <c r="Q2245" s="13">
        <f t="shared" si="2389"/>
        <v>0</v>
      </c>
      <c r="R2245" s="14">
        <v>44973.0</v>
      </c>
      <c r="S2245" s="13"/>
      <c r="T2245" s="13">
        <f t="shared" ref="T2245:Y2245" si="2453">IF(ISBLANK(K2245)=TRUE,0,1)</f>
        <v>0</v>
      </c>
      <c r="U2245" s="13">
        <f t="shared" si="2453"/>
        <v>0</v>
      </c>
      <c r="V2245" s="13">
        <f t="shared" si="2453"/>
        <v>1</v>
      </c>
      <c r="W2245" s="13">
        <f t="shared" si="2453"/>
        <v>1</v>
      </c>
      <c r="X2245" s="13">
        <f t="shared" si="2453"/>
        <v>1</v>
      </c>
      <c r="Y2245" s="13">
        <f t="shared" si="2453"/>
        <v>1</v>
      </c>
      <c r="Z2245" s="13">
        <f t="shared" si="1998"/>
        <v>0</v>
      </c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</row>
    <row r="2246" ht="14.25" hidden="1" customHeight="1">
      <c r="A2246" s="13" t="s">
        <v>29</v>
      </c>
      <c r="B2246" s="13" t="s">
        <v>30</v>
      </c>
      <c r="C2246" s="13" t="s">
        <v>1342</v>
      </c>
      <c r="D2246" s="13"/>
      <c r="E2246" s="13" t="str">
        <f t="shared" si="2395"/>
        <v>SJC,211-10-16,,0</v>
      </c>
      <c r="F2246" s="13"/>
      <c r="G2246" s="13" t="s">
        <v>111</v>
      </c>
      <c r="H2246" s="13" t="s">
        <v>107</v>
      </c>
      <c r="I2246" s="14">
        <v>44862.0</v>
      </c>
      <c r="J2246" s="14"/>
      <c r="K2246" s="15"/>
      <c r="L2246" s="15"/>
      <c r="M2246" s="16">
        <v>0.0</v>
      </c>
      <c r="N2246" s="16">
        <v>0.0</v>
      </c>
      <c r="O2246" s="17">
        <v>0.0</v>
      </c>
      <c r="P2246" s="17">
        <v>0.0</v>
      </c>
      <c r="Q2246" s="13">
        <f t="shared" si="2389"/>
        <v>0</v>
      </c>
      <c r="R2246" s="14">
        <v>44973.0</v>
      </c>
      <c r="S2246" s="13"/>
      <c r="T2246" s="13">
        <f t="shared" ref="T2246:Y2246" si="2454">IF(ISBLANK(K2246)=TRUE,0,1)</f>
        <v>0</v>
      </c>
      <c r="U2246" s="13">
        <f t="shared" si="2454"/>
        <v>0</v>
      </c>
      <c r="V2246" s="13">
        <f t="shared" si="2454"/>
        <v>1</v>
      </c>
      <c r="W2246" s="13">
        <f t="shared" si="2454"/>
        <v>1</v>
      </c>
      <c r="X2246" s="13">
        <f t="shared" si="2454"/>
        <v>1</v>
      </c>
      <c r="Y2246" s="13">
        <f t="shared" si="2454"/>
        <v>1</v>
      </c>
      <c r="Z2246" s="13">
        <f t="shared" si="1998"/>
        <v>0</v>
      </c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</row>
    <row r="2247" ht="14.25" hidden="1" customHeight="1">
      <c r="A2247" s="13" t="s">
        <v>29</v>
      </c>
      <c r="B2247" s="13" t="s">
        <v>30</v>
      </c>
      <c r="C2247" s="13" t="s">
        <v>1343</v>
      </c>
      <c r="D2247" s="13"/>
      <c r="E2247" s="13" t="str">
        <f t="shared" si="2395"/>
        <v>SJC,211-10-17,,0</v>
      </c>
      <c r="F2247" s="13"/>
      <c r="G2247" s="13" t="s">
        <v>111</v>
      </c>
      <c r="H2247" s="13" t="s">
        <v>107</v>
      </c>
      <c r="I2247" s="14">
        <v>44862.0</v>
      </c>
      <c r="J2247" s="14"/>
      <c r="K2247" s="15"/>
      <c r="L2247" s="15"/>
      <c r="M2247" s="16">
        <v>0.0</v>
      </c>
      <c r="N2247" s="16">
        <v>0.0</v>
      </c>
      <c r="O2247" s="17">
        <v>0.0</v>
      </c>
      <c r="P2247" s="17">
        <v>0.0</v>
      </c>
      <c r="Q2247" s="13">
        <f t="shared" si="2389"/>
        <v>0</v>
      </c>
      <c r="R2247" s="14">
        <v>44973.0</v>
      </c>
      <c r="S2247" s="13"/>
      <c r="T2247" s="13">
        <f t="shared" ref="T2247:Y2247" si="2455">IF(ISBLANK(K2247)=TRUE,0,1)</f>
        <v>0</v>
      </c>
      <c r="U2247" s="13">
        <f t="shared" si="2455"/>
        <v>0</v>
      </c>
      <c r="V2247" s="13">
        <f t="shared" si="2455"/>
        <v>1</v>
      </c>
      <c r="W2247" s="13">
        <f t="shared" si="2455"/>
        <v>1</v>
      </c>
      <c r="X2247" s="13">
        <f t="shared" si="2455"/>
        <v>1</v>
      </c>
      <c r="Y2247" s="13">
        <f t="shared" si="2455"/>
        <v>1</v>
      </c>
      <c r="Z2247" s="13">
        <f t="shared" si="1998"/>
        <v>0</v>
      </c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</row>
    <row r="2248" ht="14.25" hidden="1" customHeight="1">
      <c r="A2248" s="13" t="s">
        <v>29</v>
      </c>
      <c r="B2248" s="13" t="s">
        <v>30</v>
      </c>
      <c r="C2248" s="13" t="s">
        <v>1344</v>
      </c>
      <c r="D2248" s="13"/>
      <c r="E2248" s="13" t="str">
        <f t="shared" si="2395"/>
        <v>SJC,211-10-18,,0</v>
      </c>
      <c r="F2248" s="13"/>
      <c r="G2248" s="13" t="s">
        <v>111</v>
      </c>
      <c r="H2248" s="13" t="s">
        <v>107</v>
      </c>
      <c r="I2248" s="14">
        <v>44862.0</v>
      </c>
      <c r="J2248" s="14"/>
      <c r="K2248" s="15"/>
      <c r="L2248" s="15"/>
      <c r="M2248" s="16">
        <v>0.0</v>
      </c>
      <c r="N2248" s="16">
        <v>0.0</v>
      </c>
      <c r="O2248" s="17">
        <v>0.0</v>
      </c>
      <c r="P2248" s="17">
        <v>0.0</v>
      </c>
      <c r="Q2248" s="13">
        <f t="shared" si="2389"/>
        <v>0</v>
      </c>
      <c r="R2248" s="14">
        <v>44973.0</v>
      </c>
      <c r="S2248" s="13"/>
      <c r="T2248" s="13">
        <f t="shared" ref="T2248:Y2248" si="2456">IF(ISBLANK(K2248)=TRUE,0,1)</f>
        <v>0</v>
      </c>
      <c r="U2248" s="13">
        <f t="shared" si="2456"/>
        <v>0</v>
      </c>
      <c r="V2248" s="13">
        <f t="shared" si="2456"/>
        <v>1</v>
      </c>
      <c r="W2248" s="13">
        <f t="shared" si="2456"/>
        <v>1</v>
      </c>
      <c r="X2248" s="13">
        <f t="shared" si="2456"/>
        <v>1</v>
      </c>
      <c r="Y2248" s="13">
        <f t="shared" si="2456"/>
        <v>1</v>
      </c>
      <c r="Z2248" s="13">
        <f t="shared" si="1998"/>
        <v>0</v>
      </c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</row>
    <row r="2249" ht="14.25" hidden="1" customHeight="1">
      <c r="A2249" s="13" t="s">
        <v>29</v>
      </c>
      <c r="B2249" s="13" t="s">
        <v>30</v>
      </c>
      <c r="C2249" s="13" t="s">
        <v>1345</v>
      </c>
      <c r="D2249" s="13"/>
      <c r="E2249" s="13" t="str">
        <f t="shared" si="2395"/>
        <v>SJC,211-10-19,,0</v>
      </c>
      <c r="F2249" s="13"/>
      <c r="G2249" s="13" t="s">
        <v>111</v>
      </c>
      <c r="H2249" s="13" t="s">
        <v>107</v>
      </c>
      <c r="I2249" s="14">
        <v>44862.0</v>
      </c>
      <c r="J2249" s="14"/>
      <c r="K2249" s="15"/>
      <c r="L2249" s="15"/>
      <c r="M2249" s="16">
        <v>0.0</v>
      </c>
      <c r="N2249" s="16">
        <v>0.0</v>
      </c>
      <c r="O2249" s="17">
        <v>0.0</v>
      </c>
      <c r="P2249" s="17">
        <v>0.0</v>
      </c>
      <c r="Q2249" s="13">
        <f t="shared" si="2389"/>
        <v>0</v>
      </c>
      <c r="R2249" s="14">
        <v>44973.0</v>
      </c>
      <c r="S2249" s="13"/>
      <c r="T2249" s="13">
        <f t="shared" ref="T2249:Y2249" si="2457">IF(ISBLANK(K2249)=TRUE,0,1)</f>
        <v>0</v>
      </c>
      <c r="U2249" s="13">
        <f t="shared" si="2457"/>
        <v>0</v>
      </c>
      <c r="V2249" s="13">
        <f t="shared" si="2457"/>
        <v>1</v>
      </c>
      <c r="W2249" s="13">
        <f t="shared" si="2457"/>
        <v>1</v>
      </c>
      <c r="X2249" s="13">
        <f t="shared" si="2457"/>
        <v>1</v>
      </c>
      <c r="Y2249" s="13">
        <f t="shared" si="2457"/>
        <v>1</v>
      </c>
      <c r="Z2249" s="13">
        <f t="shared" si="1998"/>
        <v>0</v>
      </c>
      <c r="AA2249" s="13"/>
      <c r="AB2249" s="13"/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</row>
    <row r="2250" ht="14.25" hidden="1" customHeight="1">
      <c r="A2250" s="13" t="s">
        <v>29</v>
      </c>
      <c r="B2250" s="13" t="s">
        <v>30</v>
      </c>
      <c r="C2250" s="13" t="s">
        <v>1346</v>
      </c>
      <c r="D2250" s="13"/>
      <c r="E2250" s="13" t="str">
        <f t="shared" si="2395"/>
        <v>SJC,211-10-2,,0</v>
      </c>
      <c r="F2250" s="13"/>
      <c r="G2250" s="13" t="s">
        <v>111</v>
      </c>
      <c r="H2250" s="13" t="s">
        <v>107</v>
      </c>
      <c r="I2250" s="14">
        <v>44862.0</v>
      </c>
      <c r="J2250" s="14"/>
      <c r="K2250" s="15"/>
      <c r="L2250" s="15"/>
      <c r="M2250" s="16">
        <v>0.0</v>
      </c>
      <c r="N2250" s="16">
        <v>0.0</v>
      </c>
      <c r="O2250" s="17">
        <v>0.0</v>
      </c>
      <c r="P2250" s="17">
        <v>0.0</v>
      </c>
      <c r="Q2250" s="13">
        <f t="shared" si="2389"/>
        <v>0</v>
      </c>
      <c r="R2250" s="14">
        <v>44973.0</v>
      </c>
      <c r="S2250" s="13"/>
      <c r="T2250" s="13">
        <f t="shared" ref="T2250:Y2250" si="2458">IF(ISBLANK(K2250)=TRUE,0,1)</f>
        <v>0</v>
      </c>
      <c r="U2250" s="13">
        <f t="shared" si="2458"/>
        <v>0</v>
      </c>
      <c r="V2250" s="13">
        <f t="shared" si="2458"/>
        <v>1</v>
      </c>
      <c r="W2250" s="13">
        <f t="shared" si="2458"/>
        <v>1</v>
      </c>
      <c r="X2250" s="13">
        <f t="shared" si="2458"/>
        <v>1</v>
      </c>
      <c r="Y2250" s="13">
        <f t="shared" si="2458"/>
        <v>1</v>
      </c>
      <c r="Z2250" s="13">
        <f t="shared" si="1998"/>
        <v>0</v>
      </c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</row>
    <row r="2251" ht="14.25" hidden="1" customHeight="1">
      <c r="A2251" s="13" t="s">
        <v>29</v>
      </c>
      <c r="B2251" s="13" t="s">
        <v>30</v>
      </c>
      <c r="C2251" s="13" t="s">
        <v>1347</v>
      </c>
      <c r="D2251" s="13"/>
      <c r="E2251" s="13" t="str">
        <f t="shared" si="2395"/>
        <v>SJC,211-10-20,,0</v>
      </c>
      <c r="F2251" s="13"/>
      <c r="G2251" s="13" t="s">
        <v>111</v>
      </c>
      <c r="H2251" s="13" t="s">
        <v>107</v>
      </c>
      <c r="I2251" s="14">
        <v>44862.0</v>
      </c>
      <c r="J2251" s="14"/>
      <c r="K2251" s="15"/>
      <c r="L2251" s="15"/>
      <c r="M2251" s="16">
        <v>0.0</v>
      </c>
      <c r="N2251" s="16">
        <v>0.0</v>
      </c>
      <c r="O2251" s="17">
        <v>0.0</v>
      </c>
      <c r="P2251" s="17">
        <v>0.0</v>
      </c>
      <c r="Q2251" s="13">
        <f t="shared" si="2389"/>
        <v>0</v>
      </c>
      <c r="R2251" s="14">
        <v>44973.0</v>
      </c>
      <c r="S2251" s="13"/>
      <c r="T2251" s="13">
        <f t="shared" ref="T2251:Y2251" si="2459">IF(ISBLANK(K2251)=TRUE,0,1)</f>
        <v>0</v>
      </c>
      <c r="U2251" s="13">
        <f t="shared" si="2459"/>
        <v>0</v>
      </c>
      <c r="V2251" s="13">
        <f t="shared" si="2459"/>
        <v>1</v>
      </c>
      <c r="W2251" s="13">
        <f t="shared" si="2459"/>
        <v>1</v>
      </c>
      <c r="X2251" s="13">
        <f t="shared" si="2459"/>
        <v>1</v>
      </c>
      <c r="Y2251" s="13">
        <f t="shared" si="2459"/>
        <v>1</v>
      </c>
      <c r="Z2251" s="13">
        <f t="shared" si="1998"/>
        <v>0</v>
      </c>
      <c r="AA2251" s="13"/>
      <c r="AB2251" s="13"/>
      <c r="AC2251" s="13"/>
      <c r="AD2251" s="13"/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</row>
    <row r="2252" ht="14.25" hidden="1" customHeight="1">
      <c r="A2252" s="13" t="s">
        <v>29</v>
      </c>
      <c r="B2252" s="13" t="s">
        <v>30</v>
      </c>
      <c r="C2252" s="13" t="s">
        <v>1348</v>
      </c>
      <c r="D2252" s="13"/>
      <c r="E2252" s="13" t="str">
        <f t="shared" si="2395"/>
        <v>SJC,211-10-21,,0</v>
      </c>
      <c r="F2252" s="13"/>
      <c r="G2252" s="13" t="s">
        <v>111</v>
      </c>
      <c r="H2252" s="13" t="s">
        <v>107</v>
      </c>
      <c r="I2252" s="14">
        <v>44862.0</v>
      </c>
      <c r="J2252" s="14"/>
      <c r="K2252" s="15"/>
      <c r="L2252" s="15"/>
      <c r="M2252" s="16">
        <v>0.0</v>
      </c>
      <c r="N2252" s="16">
        <v>0.0</v>
      </c>
      <c r="O2252" s="17">
        <v>0.0</v>
      </c>
      <c r="P2252" s="17">
        <v>0.0</v>
      </c>
      <c r="Q2252" s="13">
        <f t="shared" si="2389"/>
        <v>0</v>
      </c>
      <c r="R2252" s="14">
        <v>44973.0</v>
      </c>
      <c r="S2252" s="13"/>
      <c r="T2252" s="13">
        <f t="shared" ref="T2252:Y2252" si="2460">IF(ISBLANK(K2252)=TRUE,0,1)</f>
        <v>0</v>
      </c>
      <c r="U2252" s="13">
        <f t="shared" si="2460"/>
        <v>0</v>
      </c>
      <c r="V2252" s="13">
        <f t="shared" si="2460"/>
        <v>1</v>
      </c>
      <c r="W2252" s="13">
        <f t="shared" si="2460"/>
        <v>1</v>
      </c>
      <c r="X2252" s="13">
        <f t="shared" si="2460"/>
        <v>1</v>
      </c>
      <c r="Y2252" s="13">
        <f t="shared" si="2460"/>
        <v>1</v>
      </c>
      <c r="Z2252" s="13">
        <f t="shared" si="1998"/>
        <v>0</v>
      </c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</row>
    <row r="2253" ht="14.25" hidden="1" customHeight="1">
      <c r="A2253" s="13" t="s">
        <v>29</v>
      </c>
      <c r="B2253" s="13" t="s">
        <v>30</v>
      </c>
      <c r="C2253" s="13" t="s">
        <v>1349</v>
      </c>
      <c r="D2253" s="13"/>
      <c r="E2253" s="13" t="str">
        <f t="shared" si="2395"/>
        <v>SJC,211-10-22,,0</v>
      </c>
      <c r="F2253" s="13"/>
      <c r="G2253" s="13" t="s">
        <v>111</v>
      </c>
      <c r="H2253" s="13" t="s">
        <v>107</v>
      </c>
      <c r="I2253" s="14">
        <v>44862.0</v>
      </c>
      <c r="J2253" s="14"/>
      <c r="K2253" s="15"/>
      <c r="L2253" s="15"/>
      <c r="M2253" s="16">
        <v>0.0</v>
      </c>
      <c r="N2253" s="16">
        <v>0.0</v>
      </c>
      <c r="O2253" s="17">
        <v>0.0</v>
      </c>
      <c r="P2253" s="17">
        <v>0.0</v>
      </c>
      <c r="Q2253" s="13">
        <f t="shared" si="2389"/>
        <v>0</v>
      </c>
      <c r="R2253" s="14">
        <v>44973.0</v>
      </c>
      <c r="S2253" s="13"/>
      <c r="T2253" s="13">
        <f t="shared" ref="T2253:Y2253" si="2461">IF(ISBLANK(K2253)=TRUE,0,1)</f>
        <v>0</v>
      </c>
      <c r="U2253" s="13">
        <f t="shared" si="2461"/>
        <v>0</v>
      </c>
      <c r="V2253" s="13">
        <f t="shared" si="2461"/>
        <v>1</v>
      </c>
      <c r="W2253" s="13">
        <f t="shared" si="2461"/>
        <v>1</v>
      </c>
      <c r="X2253" s="13">
        <f t="shared" si="2461"/>
        <v>1</v>
      </c>
      <c r="Y2253" s="13">
        <f t="shared" si="2461"/>
        <v>1</v>
      </c>
      <c r="Z2253" s="13">
        <f t="shared" si="1998"/>
        <v>0</v>
      </c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</row>
    <row r="2254" ht="14.25" hidden="1" customHeight="1">
      <c r="A2254" s="13" t="s">
        <v>29</v>
      </c>
      <c r="B2254" s="13" t="s">
        <v>30</v>
      </c>
      <c r="C2254" s="13" t="s">
        <v>1350</v>
      </c>
      <c r="D2254" s="13"/>
      <c r="E2254" s="13" t="str">
        <f t="shared" si="2395"/>
        <v>SJC,211-10-23,,0</v>
      </c>
      <c r="F2254" s="13"/>
      <c r="G2254" s="13" t="s">
        <v>111</v>
      </c>
      <c r="H2254" s="13" t="s">
        <v>75</v>
      </c>
      <c r="I2254" s="14">
        <v>44862.0</v>
      </c>
      <c r="J2254" s="14"/>
      <c r="K2254" s="15"/>
      <c r="L2254" s="15"/>
      <c r="M2254" s="16">
        <v>0.0</v>
      </c>
      <c r="N2254" s="16">
        <v>0.0</v>
      </c>
      <c r="O2254" s="17">
        <v>0.0</v>
      </c>
      <c r="P2254" s="17">
        <v>0.0</v>
      </c>
      <c r="Q2254" s="13">
        <f t="shared" si="2389"/>
        <v>0</v>
      </c>
      <c r="R2254" s="14">
        <v>44973.0</v>
      </c>
      <c r="S2254" s="13"/>
      <c r="T2254" s="13">
        <f t="shared" ref="T2254:Y2254" si="2462">IF(ISBLANK(K2254)=TRUE,0,1)</f>
        <v>0</v>
      </c>
      <c r="U2254" s="13">
        <f t="shared" si="2462"/>
        <v>0</v>
      </c>
      <c r="V2254" s="13">
        <f t="shared" si="2462"/>
        <v>1</v>
      </c>
      <c r="W2254" s="13">
        <f t="shared" si="2462"/>
        <v>1</v>
      </c>
      <c r="X2254" s="13">
        <f t="shared" si="2462"/>
        <v>1</v>
      </c>
      <c r="Y2254" s="13">
        <f t="shared" si="2462"/>
        <v>1</v>
      </c>
      <c r="Z2254" s="13">
        <f t="shared" si="1998"/>
        <v>0</v>
      </c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</row>
    <row r="2255" ht="14.25" hidden="1" customHeight="1">
      <c r="A2255" s="13" t="s">
        <v>29</v>
      </c>
      <c r="B2255" s="13" t="s">
        <v>30</v>
      </c>
      <c r="C2255" s="13" t="s">
        <v>1351</v>
      </c>
      <c r="D2255" s="13"/>
      <c r="E2255" s="13" t="str">
        <f t="shared" si="2395"/>
        <v>SJC,211-10-24,,0</v>
      </c>
      <c r="F2255" s="13"/>
      <c r="G2255" s="13" t="s">
        <v>111</v>
      </c>
      <c r="H2255" s="13" t="s">
        <v>107</v>
      </c>
      <c r="I2255" s="14">
        <v>44862.0</v>
      </c>
      <c r="J2255" s="14"/>
      <c r="K2255" s="15"/>
      <c r="L2255" s="15"/>
      <c r="M2255" s="16">
        <v>0.0</v>
      </c>
      <c r="N2255" s="16">
        <v>0.0</v>
      </c>
      <c r="O2255" s="17">
        <v>0.0</v>
      </c>
      <c r="P2255" s="17">
        <v>0.0</v>
      </c>
      <c r="Q2255" s="13">
        <f t="shared" si="2389"/>
        <v>0</v>
      </c>
      <c r="R2255" s="14">
        <v>44973.0</v>
      </c>
      <c r="S2255" s="13"/>
      <c r="T2255" s="13">
        <f t="shared" ref="T2255:Y2255" si="2463">IF(ISBLANK(K2255)=TRUE,0,1)</f>
        <v>0</v>
      </c>
      <c r="U2255" s="13">
        <f t="shared" si="2463"/>
        <v>0</v>
      </c>
      <c r="V2255" s="13">
        <f t="shared" si="2463"/>
        <v>1</v>
      </c>
      <c r="W2255" s="13">
        <f t="shared" si="2463"/>
        <v>1</v>
      </c>
      <c r="X2255" s="13">
        <f t="shared" si="2463"/>
        <v>1</v>
      </c>
      <c r="Y2255" s="13">
        <f t="shared" si="2463"/>
        <v>1</v>
      </c>
      <c r="Z2255" s="13">
        <f t="shared" si="1998"/>
        <v>0</v>
      </c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</row>
    <row r="2256" ht="14.25" hidden="1" customHeight="1">
      <c r="A2256" s="13" t="s">
        <v>29</v>
      </c>
      <c r="B2256" s="13" t="s">
        <v>30</v>
      </c>
      <c r="C2256" s="13" t="s">
        <v>1352</v>
      </c>
      <c r="D2256" s="13"/>
      <c r="E2256" s="13" t="str">
        <f t="shared" si="2395"/>
        <v>SJC,211-10-25,,0</v>
      </c>
      <c r="F2256" s="13"/>
      <c r="G2256" s="13" t="s">
        <v>111</v>
      </c>
      <c r="H2256" s="13" t="s">
        <v>107</v>
      </c>
      <c r="I2256" s="14">
        <v>44862.0</v>
      </c>
      <c r="J2256" s="14"/>
      <c r="K2256" s="15"/>
      <c r="L2256" s="15"/>
      <c r="M2256" s="16">
        <v>0.0</v>
      </c>
      <c r="N2256" s="16">
        <v>0.0</v>
      </c>
      <c r="O2256" s="17">
        <v>0.0</v>
      </c>
      <c r="P2256" s="17">
        <v>0.0</v>
      </c>
      <c r="Q2256" s="13">
        <f t="shared" si="2389"/>
        <v>0</v>
      </c>
      <c r="R2256" s="14">
        <v>44973.0</v>
      </c>
      <c r="S2256" s="13"/>
      <c r="T2256" s="13">
        <f t="shared" ref="T2256:Y2256" si="2464">IF(ISBLANK(K2256)=TRUE,0,1)</f>
        <v>0</v>
      </c>
      <c r="U2256" s="13">
        <f t="shared" si="2464"/>
        <v>0</v>
      </c>
      <c r="V2256" s="13">
        <f t="shared" si="2464"/>
        <v>1</v>
      </c>
      <c r="W2256" s="13">
        <f t="shared" si="2464"/>
        <v>1</v>
      </c>
      <c r="X2256" s="13">
        <f t="shared" si="2464"/>
        <v>1</v>
      </c>
      <c r="Y2256" s="13">
        <f t="shared" si="2464"/>
        <v>1</v>
      </c>
      <c r="Z2256" s="13">
        <f t="shared" si="1998"/>
        <v>0</v>
      </c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</row>
    <row r="2257" ht="14.25" hidden="1" customHeight="1">
      <c r="A2257" s="13" t="s">
        <v>29</v>
      </c>
      <c r="B2257" s="13" t="s">
        <v>30</v>
      </c>
      <c r="C2257" s="13" t="s">
        <v>1353</v>
      </c>
      <c r="D2257" s="13"/>
      <c r="E2257" s="13" t="str">
        <f t="shared" si="2395"/>
        <v>SJC,211-10-26,,0</v>
      </c>
      <c r="F2257" s="13"/>
      <c r="G2257" s="13" t="s">
        <v>111</v>
      </c>
      <c r="H2257" s="13" t="s">
        <v>107</v>
      </c>
      <c r="I2257" s="14">
        <v>44862.0</v>
      </c>
      <c r="J2257" s="14"/>
      <c r="K2257" s="15"/>
      <c r="L2257" s="15"/>
      <c r="M2257" s="16">
        <v>0.0</v>
      </c>
      <c r="N2257" s="16">
        <v>0.0</v>
      </c>
      <c r="O2257" s="17">
        <v>0.0</v>
      </c>
      <c r="P2257" s="17">
        <v>0.0</v>
      </c>
      <c r="Q2257" s="13">
        <f t="shared" si="2389"/>
        <v>0</v>
      </c>
      <c r="R2257" s="14">
        <v>44973.0</v>
      </c>
      <c r="S2257" s="13"/>
      <c r="T2257" s="13">
        <f t="shared" ref="T2257:Y2257" si="2465">IF(ISBLANK(K2257)=TRUE,0,1)</f>
        <v>0</v>
      </c>
      <c r="U2257" s="13">
        <f t="shared" si="2465"/>
        <v>0</v>
      </c>
      <c r="V2257" s="13">
        <f t="shared" si="2465"/>
        <v>1</v>
      </c>
      <c r="W2257" s="13">
        <f t="shared" si="2465"/>
        <v>1</v>
      </c>
      <c r="X2257" s="13">
        <f t="shared" si="2465"/>
        <v>1</v>
      </c>
      <c r="Y2257" s="13">
        <f t="shared" si="2465"/>
        <v>1</v>
      </c>
      <c r="Z2257" s="13">
        <f t="shared" si="1998"/>
        <v>0</v>
      </c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</row>
    <row r="2258" ht="14.25" hidden="1" customHeight="1">
      <c r="A2258" s="13" t="s">
        <v>29</v>
      </c>
      <c r="B2258" s="13" t="s">
        <v>30</v>
      </c>
      <c r="C2258" s="13" t="s">
        <v>1354</v>
      </c>
      <c r="D2258" s="13"/>
      <c r="E2258" s="13" t="str">
        <f t="shared" si="2395"/>
        <v>SJC,211-10-27,,0</v>
      </c>
      <c r="F2258" s="13"/>
      <c r="G2258" s="13" t="s">
        <v>111</v>
      </c>
      <c r="H2258" s="13" t="s">
        <v>107</v>
      </c>
      <c r="I2258" s="14">
        <v>44862.0</v>
      </c>
      <c r="J2258" s="14"/>
      <c r="K2258" s="15"/>
      <c r="L2258" s="15"/>
      <c r="M2258" s="16">
        <v>0.0</v>
      </c>
      <c r="N2258" s="16">
        <v>0.0</v>
      </c>
      <c r="O2258" s="17">
        <v>0.0</v>
      </c>
      <c r="P2258" s="17">
        <v>0.0</v>
      </c>
      <c r="Q2258" s="13">
        <f t="shared" si="2389"/>
        <v>0</v>
      </c>
      <c r="R2258" s="14">
        <v>44973.0</v>
      </c>
      <c r="S2258" s="13"/>
      <c r="T2258" s="13">
        <f t="shared" ref="T2258:Y2258" si="2466">IF(ISBLANK(K2258)=TRUE,0,1)</f>
        <v>0</v>
      </c>
      <c r="U2258" s="13">
        <f t="shared" si="2466"/>
        <v>0</v>
      </c>
      <c r="V2258" s="13">
        <f t="shared" si="2466"/>
        <v>1</v>
      </c>
      <c r="W2258" s="13">
        <f t="shared" si="2466"/>
        <v>1</v>
      </c>
      <c r="X2258" s="13">
        <f t="shared" si="2466"/>
        <v>1</v>
      </c>
      <c r="Y2258" s="13">
        <f t="shared" si="2466"/>
        <v>1</v>
      </c>
      <c r="Z2258" s="13">
        <f t="shared" si="1998"/>
        <v>0</v>
      </c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</row>
    <row r="2259" ht="14.25" hidden="1" customHeight="1">
      <c r="A2259" s="13" t="s">
        <v>29</v>
      </c>
      <c r="B2259" s="13" t="s">
        <v>30</v>
      </c>
      <c r="C2259" s="13" t="s">
        <v>1355</v>
      </c>
      <c r="D2259" s="13"/>
      <c r="E2259" s="13" t="str">
        <f t="shared" si="2395"/>
        <v>SJC,211-10-28,,0</v>
      </c>
      <c r="F2259" s="13"/>
      <c r="G2259" s="13" t="s">
        <v>111</v>
      </c>
      <c r="H2259" s="13" t="s">
        <v>75</v>
      </c>
      <c r="I2259" s="14">
        <v>44862.0</v>
      </c>
      <c r="J2259" s="14"/>
      <c r="K2259" s="15"/>
      <c r="L2259" s="15"/>
      <c r="M2259" s="16">
        <v>0.0</v>
      </c>
      <c r="N2259" s="16">
        <v>0.0</v>
      </c>
      <c r="O2259" s="17">
        <v>0.0</v>
      </c>
      <c r="P2259" s="17">
        <v>0.0</v>
      </c>
      <c r="Q2259" s="13"/>
      <c r="R2259" s="14">
        <v>44973.0</v>
      </c>
      <c r="S2259" s="13"/>
      <c r="T2259" s="13">
        <f t="shared" ref="T2259:Y2259" si="2467">IF(ISBLANK(K2259)=TRUE,0,1)</f>
        <v>0</v>
      </c>
      <c r="U2259" s="13">
        <f t="shared" si="2467"/>
        <v>0</v>
      </c>
      <c r="V2259" s="13">
        <f t="shared" si="2467"/>
        <v>1</v>
      </c>
      <c r="W2259" s="13">
        <f t="shared" si="2467"/>
        <v>1</v>
      </c>
      <c r="X2259" s="13">
        <f t="shared" si="2467"/>
        <v>1</v>
      </c>
      <c r="Y2259" s="13">
        <f t="shared" si="2467"/>
        <v>1</v>
      </c>
      <c r="Z2259" s="13">
        <f t="shared" si="1998"/>
        <v>0</v>
      </c>
      <c r="AA2259" s="13"/>
      <c r="AB2259" s="13"/>
      <c r="AC2259" s="13"/>
      <c r="AD2259" s="13"/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</row>
    <row r="2260" ht="14.25" hidden="1" customHeight="1">
      <c r="A2260" s="13" t="s">
        <v>29</v>
      </c>
      <c r="B2260" s="13" t="s">
        <v>30</v>
      </c>
      <c r="C2260" s="13" t="s">
        <v>1355</v>
      </c>
      <c r="D2260" s="13" t="s">
        <v>174</v>
      </c>
      <c r="E2260" s="13" t="str">
        <f t="shared" si="2395"/>
        <v>SJC,211-10-28,AA,0</v>
      </c>
      <c r="F2260" s="13"/>
      <c r="G2260" s="13" t="s">
        <v>111</v>
      </c>
      <c r="H2260" s="13" t="s">
        <v>75</v>
      </c>
      <c r="I2260" s="13"/>
      <c r="J2260" s="13"/>
      <c r="K2260" s="15"/>
      <c r="L2260" s="15"/>
      <c r="M2260" s="16">
        <v>0.0</v>
      </c>
      <c r="N2260" s="16">
        <v>0.0</v>
      </c>
      <c r="O2260" s="17">
        <v>0.0</v>
      </c>
      <c r="P2260" s="17">
        <v>0.0</v>
      </c>
      <c r="Q2260" s="13"/>
      <c r="R2260" s="14">
        <v>44973.0</v>
      </c>
      <c r="S2260" s="13"/>
      <c r="T2260" s="13">
        <f t="shared" ref="T2260:Y2260" si="2468">IF(ISBLANK(K2260)=TRUE,0,1)</f>
        <v>0</v>
      </c>
      <c r="U2260" s="13">
        <f t="shared" si="2468"/>
        <v>0</v>
      </c>
      <c r="V2260" s="13">
        <f t="shared" si="2468"/>
        <v>1</v>
      </c>
      <c r="W2260" s="13">
        <f t="shared" si="2468"/>
        <v>1</v>
      </c>
      <c r="X2260" s="13">
        <f t="shared" si="2468"/>
        <v>1</v>
      </c>
      <c r="Y2260" s="13">
        <f t="shared" si="2468"/>
        <v>1</v>
      </c>
      <c r="Z2260" s="13">
        <f t="shared" si="1998"/>
        <v>0</v>
      </c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</row>
    <row r="2261" ht="14.25" hidden="1" customHeight="1">
      <c r="A2261" s="13" t="s">
        <v>29</v>
      </c>
      <c r="B2261" s="13" t="s">
        <v>30</v>
      </c>
      <c r="C2261" s="13" t="s">
        <v>1355</v>
      </c>
      <c r="D2261" s="13" t="s">
        <v>175</v>
      </c>
      <c r="E2261" s="13" t="str">
        <f t="shared" si="2395"/>
        <v>SJC,211-10-28,AB,0</v>
      </c>
      <c r="F2261" s="13"/>
      <c r="G2261" s="13" t="s">
        <v>111</v>
      </c>
      <c r="H2261" s="13" t="s">
        <v>75</v>
      </c>
      <c r="I2261" s="13"/>
      <c r="J2261" s="13"/>
      <c r="K2261" s="15"/>
      <c r="L2261" s="15"/>
      <c r="M2261" s="16">
        <v>0.0</v>
      </c>
      <c r="N2261" s="16">
        <v>0.0</v>
      </c>
      <c r="O2261" s="17">
        <v>0.0</v>
      </c>
      <c r="P2261" s="17">
        <v>0.0</v>
      </c>
      <c r="Q2261" s="13"/>
      <c r="R2261" s="14">
        <v>44973.0</v>
      </c>
      <c r="S2261" s="13"/>
      <c r="T2261" s="13">
        <f t="shared" ref="T2261:Y2261" si="2469">IF(ISBLANK(K2261)=TRUE,0,1)</f>
        <v>0</v>
      </c>
      <c r="U2261" s="13">
        <f t="shared" si="2469"/>
        <v>0</v>
      </c>
      <c r="V2261" s="13">
        <f t="shared" si="2469"/>
        <v>1</v>
      </c>
      <c r="W2261" s="13">
        <f t="shared" si="2469"/>
        <v>1</v>
      </c>
      <c r="X2261" s="13">
        <f t="shared" si="2469"/>
        <v>1</v>
      </c>
      <c r="Y2261" s="13">
        <f t="shared" si="2469"/>
        <v>1</v>
      </c>
      <c r="Z2261" s="13">
        <f t="shared" si="1998"/>
        <v>0</v>
      </c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</row>
    <row r="2262" ht="14.25" hidden="1" customHeight="1">
      <c r="A2262" s="13" t="s">
        <v>29</v>
      </c>
      <c r="B2262" s="13" t="s">
        <v>30</v>
      </c>
      <c r="C2262" s="13" t="s">
        <v>1355</v>
      </c>
      <c r="D2262" s="13" t="s">
        <v>176</v>
      </c>
      <c r="E2262" s="13" t="str">
        <f t="shared" si="2395"/>
        <v>SJC,211-10-28,AC,0</v>
      </c>
      <c r="F2262" s="13"/>
      <c r="G2262" s="13" t="s">
        <v>111</v>
      </c>
      <c r="H2262" s="13" t="s">
        <v>75</v>
      </c>
      <c r="I2262" s="13"/>
      <c r="J2262" s="13"/>
      <c r="K2262" s="15"/>
      <c r="L2262" s="15"/>
      <c r="M2262" s="16">
        <v>0.0</v>
      </c>
      <c r="N2262" s="16">
        <v>0.0</v>
      </c>
      <c r="O2262" s="17">
        <v>0.0</v>
      </c>
      <c r="P2262" s="17">
        <v>0.0</v>
      </c>
      <c r="Q2262" s="13"/>
      <c r="R2262" s="14">
        <v>44973.0</v>
      </c>
      <c r="S2262" s="13"/>
      <c r="T2262" s="13">
        <f t="shared" ref="T2262:Y2262" si="2470">IF(ISBLANK(K2262)=TRUE,0,1)</f>
        <v>0</v>
      </c>
      <c r="U2262" s="13">
        <f t="shared" si="2470"/>
        <v>0</v>
      </c>
      <c r="V2262" s="13">
        <f t="shared" si="2470"/>
        <v>1</v>
      </c>
      <c r="W2262" s="13">
        <f t="shared" si="2470"/>
        <v>1</v>
      </c>
      <c r="X2262" s="13">
        <f t="shared" si="2470"/>
        <v>1</v>
      </c>
      <c r="Y2262" s="13">
        <f t="shared" si="2470"/>
        <v>1</v>
      </c>
      <c r="Z2262" s="13">
        <f t="shared" si="1998"/>
        <v>0</v>
      </c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</row>
    <row r="2263" ht="14.25" hidden="1" customHeight="1">
      <c r="A2263" s="13" t="s">
        <v>29</v>
      </c>
      <c r="B2263" s="13" t="s">
        <v>30</v>
      </c>
      <c r="C2263" s="13" t="s">
        <v>1355</v>
      </c>
      <c r="D2263" s="13" t="s">
        <v>177</v>
      </c>
      <c r="E2263" s="13" t="str">
        <f t="shared" si="2395"/>
        <v>SJC,211-10-28,AD,0</v>
      </c>
      <c r="F2263" s="13"/>
      <c r="G2263" s="13" t="s">
        <v>111</v>
      </c>
      <c r="H2263" s="13" t="s">
        <v>75</v>
      </c>
      <c r="I2263" s="13"/>
      <c r="J2263" s="13"/>
      <c r="K2263" s="15"/>
      <c r="L2263" s="15"/>
      <c r="M2263" s="16">
        <v>0.0</v>
      </c>
      <c r="N2263" s="16">
        <v>0.0</v>
      </c>
      <c r="O2263" s="17">
        <v>0.0</v>
      </c>
      <c r="P2263" s="17">
        <v>0.0</v>
      </c>
      <c r="Q2263" s="13"/>
      <c r="R2263" s="14">
        <v>44973.0</v>
      </c>
      <c r="S2263" s="13"/>
      <c r="T2263" s="13">
        <f t="shared" ref="T2263:Y2263" si="2471">IF(ISBLANK(K2263)=TRUE,0,1)</f>
        <v>0</v>
      </c>
      <c r="U2263" s="13">
        <f t="shared" si="2471"/>
        <v>0</v>
      </c>
      <c r="V2263" s="13">
        <f t="shared" si="2471"/>
        <v>1</v>
      </c>
      <c r="W2263" s="13">
        <f t="shared" si="2471"/>
        <v>1</v>
      </c>
      <c r="X2263" s="13">
        <f t="shared" si="2471"/>
        <v>1</v>
      </c>
      <c r="Y2263" s="13">
        <f t="shared" si="2471"/>
        <v>1</v>
      </c>
      <c r="Z2263" s="13">
        <f t="shared" si="1998"/>
        <v>0</v>
      </c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</row>
    <row r="2264" ht="14.25" hidden="1" customHeight="1">
      <c r="A2264" s="13" t="s">
        <v>29</v>
      </c>
      <c r="B2264" s="13" t="s">
        <v>30</v>
      </c>
      <c r="C2264" s="13" t="s">
        <v>1355</v>
      </c>
      <c r="D2264" s="13" t="s">
        <v>178</v>
      </c>
      <c r="E2264" s="13" t="str">
        <f t="shared" si="2395"/>
        <v>SJC,211-10-28,AE,0</v>
      </c>
      <c r="F2264" s="13"/>
      <c r="G2264" s="13" t="s">
        <v>111</v>
      </c>
      <c r="H2264" s="13" t="s">
        <v>75</v>
      </c>
      <c r="I2264" s="13"/>
      <c r="J2264" s="13"/>
      <c r="K2264" s="15"/>
      <c r="L2264" s="15"/>
      <c r="M2264" s="16">
        <v>0.0</v>
      </c>
      <c r="N2264" s="16">
        <v>0.0</v>
      </c>
      <c r="O2264" s="17">
        <v>0.0</v>
      </c>
      <c r="P2264" s="17">
        <v>0.0</v>
      </c>
      <c r="Q2264" s="13"/>
      <c r="R2264" s="14">
        <v>44973.0</v>
      </c>
      <c r="S2264" s="13"/>
      <c r="T2264" s="13">
        <f t="shared" ref="T2264:Y2264" si="2472">IF(ISBLANK(K2264)=TRUE,0,1)</f>
        <v>0</v>
      </c>
      <c r="U2264" s="13">
        <f t="shared" si="2472"/>
        <v>0</v>
      </c>
      <c r="V2264" s="13">
        <f t="shared" si="2472"/>
        <v>1</v>
      </c>
      <c r="W2264" s="13">
        <f t="shared" si="2472"/>
        <v>1</v>
      </c>
      <c r="X2264" s="13">
        <f t="shared" si="2472"/>
        <v>1</v>
      </c>
      <c r="Y2264" s="13">
        <f t="shared" si="2472"/>
        <v>1</v>
      </c>
      <c r="Z2264" s="13">
        <f t="shared" si="1998"/>
        <v>0</v>
      </c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</row>
    <row r="2265" ht="14.25" hidden="1" customHeight="1">
      <c r="A2265" s="13" t="s">
        <v>29</v>
      </c>
      <c r="B2265" s="13" t="s">
        <v>30</v>
      </c>
      <c r="C2265" s="13" t="s">
        <v>1355</v>
      </c>
      <c r="D2265" s="13" t="s">
        <v>179</v>
      </c>
      <c r="E2265" s="13" t="str">
        <f t="shared" si="2395"/>
        <v>SJC,211-10-28,AF,0</v>
      </c>
      <c r="F2265" s="13"/>
      <c r="G2265" s="13" t="s">
        <v>111</v>
      </c>
      <c r="H2265" s="13" t="s">
        <v>75</v>
      </c>
      <c r="I2265" s="13"/>
      <c r="J2265" s="13"/>
      <c r="K2265" s="15"/>
      <c r="L2265" s="15"/>
      <c r="M2265" s="16">
        <v>0.0</v>
      </c>
      <c r="N2265" s="16">
        <v>0.0</v>
      </c>
      <c r="O2265" s="17">
        <v>0.0</v>
      </c>
      <c r="P2265" s="17">
        <v>0.0</v>
      </c>
      <c r="Q2265" s="13"/>
      <c r="R2265" s="14">
        <v>44973.0</v>
      </c>
      <c r="S2265" s="13"/>
      <c r="T2265" s="13">
        <f t="shared" ref="T2265:Y2265" si="2473">IF(ISBLANK(K2265)=TRUE,0,1)</f>
        <v>0</v>
      </c>
      <c r="U2265" s="13">
        <f t="shared" si="2473"/>
        <v>0</v>
      </c>
      <c r="V2265" s="13">
        <f t="shared" si="2473"/>
        <v>1</v>
      </c>
      <c r="W2265" s="13">
        <f t="shared" si="2473"/>
        <v>1</v>
      </c>
      <c r="X2265" s="13">
        <f t="shared" si="2473"/>
        <v>1</v>
      </c>
      <c r="Y2265" s="13">
        <f t="shared" si="2473"/>
        <v>1</v>
      </c>
      <c r="Z2265" s="13">
        <f t="shared" si="1998"/>
        <v>0</v>
      </c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</row>
    <row r="2266" ht="14.25" hidden="1" customHeight="1">
      <c r="A2266" s="13" t="s">
        <v>29</v>
      </c>
      <c r="B2266" s="13" t="s">
        <v>30</v>
      </c>
      <c r="C2266" s="13" t="s">
        <v>1355</v>
      </c>
      <c r="D2266" s="13" t="s">
        <v>180</v>
      </c>
      <c r="E2266" s="13" t="str">
        <f t="shared" si="2395"/>
        <v>SJC,211-10-28,AG,0</v>
      </c>
      <c r="F2266" s="13"/>
      <c r="G2266" s="13" t="s">
        <v>111</v>
      </c>
      <c r="H2266" s="13" t="s">
        <v>75</v>
      </c>
      <c r="I2266" s="13"/>
      <c r="J2266" s="13"/>
      <c r="K2266" s="15"/>
      <c r="L2266" s="15"/>
      <c r="M2266" s="16">
        <v>0.0</v>
      </c>
      <c r="N2266" s="16">
        <v>0.0</v>
      </c>
      <c r="O2266" s="17">
        <v>0.0</v>
      </c>
      <c r="P2266" s="17">
        <v>0.0</v>
      </c>
      <c r="Q2266" s="13"/>
      <c r="R2266" s="14">
        <v>44973.0</v>
      </c>
      <c r="S2266" s="13"/>
      <c r="T2266" s="13">
        <f t="shared" ref="T2266:Y2266" si="2474">IF(ISBLANK(K2266)=TRUE,0,1)</f>
        <v>0</v>
      </c>
      <c r="U2266" s="13">
        <f t="shared" si="2474"/>
        <v>0</v>
      </c>
      <c r="V2266" s="13">
        <f t="shared" si="2474"/>
        <v>1</v>
      </c>
      <c r="W2266" s="13">
        <f t="shared" si="2474"/>
        <v>1</v>
      </c>
      <c r="X2266" s="13">
        <f t="shared" si="2474"/>
        <v>1</v>
      </c>
      <c r="Y2266" s="13">
        <f t="shared" si="2474"/>
        <v>1</v>
      </c>
      <c r="Z2266" s="13">
        <f t="shared" si="1998"/>
        <v>0</v>
      </c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</row>
    <row r="2267" ht="14.25" hidden="1" customHeight="1">
      <c r="A2267" s="13" t="s">
        <v>29</v>
      </c>
      <c r="B2267" s="13" t="s">
        <v>30</v>
      </c>
      <c r="C2267" s="13" t="s">
        <v>1355</v>
      </c>
      <c r="D2267" s="13" t="s">
        <v>181</v>
      </c>
      <c r="E2267" s="13" t="str">
        <f t="shared" si="2395"/>
        <v>SJC,211-10-28,AH,0</v>
      </c>
      <c r="F2267" s="13"/>
      <c r="G2267" s="13" t="s">
        <v>111</v>
      </c>
      <c r="H2267" s="13" t="s">
        <v>75</v>
      </c>
      <c r="I2267" s="13"/>
      <c r="J2267" s="13"/>
      <c r="K2267" s="15"/>
      <c r="L2267" s="15"/>
      <c r="M2267" s="16">
        <v>0.0</v>
      </c>
      <c r="N2267" s="16">
        <v>0.0</v>
      </c>
      <c r="O2267" s="17">
        <v>0.0</v>
      </c>
      <c r="P2267" s="17">
        <v>0.0</v>
      </c>
      <c r="Q2267" s="13"/>
      <c r="R2267" s="14">
        <v>44973.0</v>
      </c>
      <c r="S2267" s="13"/>
      <c r="T2267" s="13">
        <f t="shared" ref="T2267:Y2267" si="2475">IF(ISBLANK(K2267)=TRUE,0,1)</f>
        <v>0</v>
      </c>
      <c r="U2267" s="13">
        <f t="shared" si="2475"/>
        <v>0</v>
      </c>
      <c r="V2267" s="13">
        <f t="shared" si="2475"/>
        <v>1</v>
      </c>
      <c r="W2267" s="13">
        <f t="shared" si="2475"/>
        <v>1</v>
      </c>
      <c r="X2267" s="13">
        <f t="shared" si="2475"/>
        <v>1</v>
      </c>
      <c r="Y2267" s="13">
        <f t="shared" si="2475"/>
        <v>1</v>
      </c>
      <c r="Z2267" s="13">
        <f t="shared" si="1998"/>
        <v>0</v>
      </c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</row>
    <row r="2268" ht="14.25" hidden="1" customHeight="1">
      <c r="A2268" s="13" t="s">
        <v>29</v>
      </c>
      <c r="B2268" s="13" t="s">
        <v>30</v>
      </c>
      <c r="C2268" s="13" t="s">
        <v>1356</v>
      </c>
      <c r="D2268" s="13"/>
      <c r="E2268" s="13" t="str">
        <f t="shared" si="2395"/>
        <v>SJC,211-10-29,,0</v>
      </c>
      <c r="F2268" s="13"/>
      <c r="G2268" s="13" t="s">
        <v>111</v>
      </c>
      <c r="H2268" s="13" t="s">
        <v>107</v>
      </c>
      <c r="I2268" s="14">
        <v>44862.0</v>
      </c>
      <c r="J2268" s="14"/>
      <c r="K2268" s="15"/>
      <c r="L2268" s="15"/>
      <c r="M2268" s="16">
        <v>0.0</v>
      </c>
      <c r="N2268" s="16">
        <v>0.0</v>
      </c>
      <c r="O2268" s="17">
        <v>0.0</v>
      </c>
      <c r="P2268" s="17">
        <v>0.0</v>
      </c>
      <c r="Q2268" s="13">
        <f t="shared" ref="Q2268:Q2272" si="2477">K2267+L2267+M2267+N2267+O2267+P2267/6</f>
        <v>0</v>
      </c>
      <c r="R2268" s="14">
        <v>44973.0</v>
      </c>
      <c r="S2268" s="13"/>
      <c r="T2268" s="13">
        <f t="shared" ref="T2268:Y2268" si="2476">IF(ISBLANK(K2268)=TRUE,0,1)</f>
        <v>0</v>
      </c>
      <c r="U2268" s="13">
        <f t="shared" si="2476"/>
        <v>0</v>
      </c>
      <c r="V2268" s="13">
        <f t="shared" si="2476"/>
        <v>1</v>
      </c>
      <c r="W2268" s="13">
        <f t="shared" si="2476"/>
        <v>1</v>
      </c>
      <c r="X2268" s="13">
        <f t="shared" si="2476"/>
        <v>1</v>
      </c>
      <c r="Y2268" s="13">
        <f t="shared" si="2476"/>
        <v>1</v>
      </c>
      <c r="Z2268" s="13">
        <f t="shared" si="1998"/>
        <v>0</v>
      </c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</row>
    <row r="2269" ht="14.25" hidden="1" customHeight="1">
      <c r="A2269" s="13" t="s">
        <v>29</v>
      </c>
      <c r="B2269" s="13" t="s">
        <v>30</v>
      </c>
      <c r="C2269" s="13" t="s">
        <v>1357</v>
      </c>
      <c r="D2269" s="13"/>
      <c r="E2269" s="13" t="str">
        <f t="shared" si="2395"/>
        <v>SJC,211-10-3,,0</v>
      </c>
      <c r="F2269" s="13"/>
      <c r="G2269" s="13" t="s">
        <v>111</v>
      </c>
      <c r="H2269" s="13" t="s">
        <v>75</v>
      </c>
      <c r="I2269" s="14">
        <v>44862.0</v>
      </c>
      <c r="J2269" s="14"/>
      <c r="K2269" s="15"/>
      <c r="L2269" s="15"/>
      <c r="M2269" s="16">
        <v>0.0</v>
      </c>
      <c r="N2269" s="16">
        <v>0.0</v>
      </c>
      <c r="O2269" s="17">
        <v>0.0</v>
      </c>
      <c r="P2269" s="17">
        <v>0.0</v>
      </c>
      <c r="Q2269" s="13">
        <f t="shared" si="2477"/>
        <v>0</v>
      </c>
      <c r="R2269" s="14">
        <v>44973.0</v>
      </c>
      <c r="S2269" s="13"/>
      <c r="T2269" s="13">
        <f t="shared" ref="T2269:Y2269" si="2478">IF(ISBLANK(K2269)=TRUE,0,1)</f>
        <v>0</v>
      </c>
      <c r="U2269" s="13">
        <f t="shared" si="2478"/>
        <v>0</v>
      </c>
      <c r="V2269" s="13">
        <f t="shared" si="2478"/>
        <v>1</v>
      </c>
      <c r="W2269" s="13">
        <f t="shared" si="2478"/>
        <v>1</v>
      </c>
      <c r="X2269" s="13">
        <f t="shared" si="2478"/>
        <v>1</v>
      </c>
      <c r="Y2269" s="13">
        <f t="shared" si="2478"/>
        <v>1</v>
      </c>
      <c r="Z2269" s="13">
        <f t="shared" si="1998"/>
        <v>0</v>
      </c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</row>
    <row r="2270" ht="14.25" hidden="1" customHeight="1">
      <c r="A2270" s="13" t="s">
        <v>29</v>
      </c>
      <c r="B2270" s="13" t="s">
        <v>30</v>
      </c>
      <c r="C2270" s="13" t="s">
        <v>1357</v>
      </c>
      <c r="D2270" s="13" t="s">
        <v>174</v>
      </c>
      <c r="E2270" s="13" t="str">
        <f t="shared" si="2395"/>
        <v>SJC,211-10-3,AA,0</v>
      </c>
      <c r="F2270" s="13"/>
      <c r="G2270" s="13" t="s">
        <v>111</v>
      </c>
      <c r="H2270" s="13" t="s">
        <v>75</v>
      </c>
      <c r="I2270" s="14">
        <v>44862.0</v>
      </c>
      <c r="J2270" s="14"/>
      <c r="K2270" s="15"/>
      <c r="L2270" s="15"/>
      <c r="M2270" s="16">
        <v>0.0</v>
      </c>
      <c r="N2270" s="16">
        <v>0.0</v>
      </c>
      <c r="O2270" s="17">
        <v>0.0</v>
      </c>
      <c r="P2270" s="17">
        <v>0.0</v>
      </c>
      <c r="Q2270" s="13">
        <f t="shared" si="2477"/>
        <v>0</v>
      </c>
      <c r="R2270" s="14">
        <v>44973.0</v>
      </c>
      <c r="S2270" s="13"/>
      <c r="T2270" s="13">
        <f t="shared" ref="T2270:Y2270" si="2479">IF(ISBLANK(K2270)=TRUE,0,1)</f>
        <v>0</v>
      </c>
      <c r="U2270" s="13">
        <f t="shared" si="2479"/>
        <v>0</v>
      </c>
      <c r="V2270" s="13">
        <f t="shared" si="2479"/>
        <v>1</v>
      </c>
      <c r="W2270" s="13">
        <f t="shared" si="2479"/>
        <v>1</v>
      </c>
      <c r="X2270" s="13">
        <f t="shared" si="2479"/>
        <v>1</v>
      </c>
      <c r="Y2270" s="13">
        <f t="shared" si="2479"/>
        <v>1</v>
      </c>
      <c r="Z2270" s="13">
        <f t="shared" si="1998"/>
        <v>0</v>
      </c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</row>
    <row r="2271" ht="14.25" hidden="1" customHeight="1">
      <c r="A2271" s="13" t="s">
        <v>29</v>
      </c>
      <c r="B2271" s="13" t="s">
        <v>30</v>
      </c>
      <c r="C2271" s="13" t="s">
        <v>1357</v>
      </c>
      <c r="D2271" s="13" t="s">
        <v>175</v>
      </c>
      <c r="E2271" s="13" t="str">
        <f t="shared" si="2395"/>
        <v>SJC,211-10-3,AB,0</v>
      </c>
      <c r="F2271" s="13"/>
      <c r="G2271" s="13" t="s">
        <v>111</v>
      </c>
      <c r="H2271" s="13" t="s">
        <v>75</v>
      </c>
      <c r="I2271" s="14">
        <v>44862.0</v>
      </c>
      <c r="J2271" s="14"/>
      <c r="K2271" s="15"/>
      <c r="L2271" s="15"/>
      <c r="M2271" s="16">
        <v>0.0</v>
      </c>
      <c r="N2271" s="16">
        <v>0.0</v>
      </c>
      <c r="O2271" s="17">
        <v>0.0</v>
      </c>
      <c r="P2271" s="17">
        <v>0.0</v>
      </c>
      <c r="Q2271" s="13">
        <f t="shared" si="2477"/>
        <v>0</v>
      </c>
      <c r="R2271" s="14">
        <v>44973.0</v>
      </c>
      <c r="S2271" s="13"/>
      <c r="T2271" s="13">
        <f t="shared" ref="T2271:Y2271" si="2480">IF(ISBLANK(K2271)=TRUE,0,1)</f>
        <v>0</v>
      </c>
      <c r="U2271" s="13">
        <f t="shared" si="2480"/>
        <v>0</v>
      </c>
      <c r="V2271" s="13">
        <f t="shared" si="2480"/>
        <v>1</v>
      </c>
      <c r="W2271" s="13">
        <f t="shared" si="2480"/>
        <v>1</v>
      </c>
      <c r="X2271" s="13">
        <f t="shared" si="2480"/>
        <v>1</v>
      </c>
      <c r="Y2271" s="13">
        <f t="shared" si="2480"/>
        <v>1</v>
      </c>
      <c r="Z2271" s="13">
        <f t="shared" si="1998"/>
        <v>0</v>
      </c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</row>
    <row r="2272" ht="14.25" hidden="1" customHeight="1">
      <c r="A2272" s="13" t="s">
        <v>29</v>
      </c>
      <c r="B2272" s="13" t="s">
        <v>30</v>
      </c>
      <c r="C2272" s="13" t="s">
        <v>1357</v>
      </c>
      <c r="D2272" s="13" t="s">
        <v>176</v>
      </c>
      <c r="E2272" s="13" t="str">
        <f t="shared" si="2395"/>
        <v>SJC,211-10-3,AC,0</v>
      </c>
      <c r="F2272" s="13"/>
      <c r="G2272" s="13" t="s">
        <v>111</v>
      </c>
      <c r="H2272" s="13" t="s">
        <v>75</v>
      </c>
      <c r="I2272" s="14">
        <v>44862.0</v>
      </c>
      <c r="J2272" s="14"/>
      <c r="K2272" s="15"/>
      <c r="L2272" s="15"/>
      <c r="M2272" s="16">
        <v>0.0</v>
      </c>
      <c r="N2272" s="16">
        <v>0.0</v>
      </c>
      <c r="O2272" s="17">
        <v>0.0</v>
      </c>
      <c r="P2272" s="17">
        <v>0.0</v>
      </c>
      <c r="Q2272" s="13">
        <f t="shared" si="2477"/>
        <v>0</v>
      </c>
      <c r="R2272" s="14">
        <v>44973.0</v>
      </c>
      <c r="S2272" s="13"/>
      <c r="T2272" s="13">
        <f t="shared" ref="T2272:Y2272" si="2481">IF(ISBLANK(K2272)=TRUE,0,1)</f>
        <v>0</v>
      </c>
      <c r="U2272" s="13">
        <f t="shared" si="2481"/>
        <v>0</v>
      </c>
      <c r="V2272" s="13">
        <f t="shared" si="2481"/>
        <v>1</v>
      </c>
      <c r="W2272" s="13">
        <f t="shared" si="2481"/>
        <v>1</v>
      </c>
      <c r="X2272" s="13">
        <f t="shared" si="2481"/>
        <v>1</v>
      </c>
      <c r="Y2272" s="13">
        <f t="shared" si="2481"/>
        <v>1</v>
      </c>
      <c r="Z2272" s="13">
        <f t="shared" si="1998"/>
        <v>0</v>
      </c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</row>
    <row r="2273" ht="14.25" hidden="1" customHeight="1">
      <c r="A2273" s="13" t="s">
        <v>29</v>
      </c>
      <c r="B2273" s="13" t="s">
        <v>30</v>
      </c>
      <c r="C2273" s="13" t="s">
        <v>1358</v>
      </c>
      <c r="D2273" s="13"/>
      <c r="E2273" s="13" t="str">
        <f t="shared" si="2395"/>
        <v>SJC,211-10-30,,0</v>
      </c>
      <c r="F2273" s="13"/>
      <c r="G2273" s="13" t="s">
        <v>111</v>
      </c>
      <c r="H2273" s="13" t="s">
        <v>107</v>
      </c>
      <c r="I2273" s="14">
        <v>44862.0</v>
      </c>
      <c r="J2273" s="14"/>
      <c r="K2273" s="15"/>
      <c r="L2273" s="15"/>
      <c r="M2273" s="16">
        <v>0.0</v>
      </c>
      <c r="N2273" s="16">
        <v>0.0</v>
      </c>
      <c r="O2273" s="17">
        <v>0.0</v>
      </c>
      <c r="P2273" s="17">
        <v>0.0</v>
      </c>
      <c r="Q2273" s="13">
        <f>K2269+L2269+M2269+N2269+O2269+P2269/6</f>
        <v>0</v>
      </c>
      <c r="R2273" s="14">
        <v>44973.0</v>
      </c>
      <c r="S2273" s="13"/>
      <c r="T2273" s="13">
        <f t="shared" ref="T2273:Y2273" si="2482">IF(ISBLANK(K2273)=TRUE,0,1)</f>
        <v>0</v>
      </c>
      <c r="U2273" s="13">
        <f t="shared" si="2482"/>
        <v>0</v>
      </c>
      <c r="V2273" s="13">
        <f t="shared" si="2482"/>
        <v>1</v>
      </c>
      <c r="W2273" s="13">
        <f t="shared" si="2482"/>
        <v>1</v>
      </c>
      <c r="X2273" s="13">
        <f t="shared" si="2482"/>
        <v>1</v>
      </c>
      <c r="Y2273" s="13">
        <f t="shared" si="2482"/>
        <v>1</v>
      </c>
      <c r="Z2273" s="13">
        <f t="shared" si="1998"/>
        <v>0</v>
      </c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</row>
    <row r="2274" ht="14.25" hidden="1" customHeight="1">
      <c r="A2274" s="13" t="s">
        <v>29</v>
      </c>
      <c r="B2274" s="13" t="s">
        <v>30</v>
      </c>
      <c r="C2274" s="13" t="s">
        <v>1359</v>
      </c>
      <c r="D2274" s="13"/>
      <c r="E2274" s="13" t="str">
        <f t="shared" si="2395"/>
        <v>SJC,211-10-31,,0</v>
      </c>
      <c r="F2274" s="13"/>
      <c r="G2274" s="13" t="s">
        <v>111</v>
      </c>
      <c r="H2274" s="13" t="s">
        <v>107</v>
      </c>
      <c r="I2274" s="14">
        <v>44862.0</v>
      </c>
      <c r="J2274" s="14"/>
      <c r="K2274" s="15"/>
      <c r="L2274" s="15"/>
      <c r="M2274" s="16">
        <v>0.0</v>
      </c>
      <c r="N2274" s="16">
        <v>0.0</v>
      </c>
      <c r="O2274" s="17">
        <v>0.0</v>
      </c>
      <c r="P2274" s="17">
        <v>0.0</v>
      </c>
      <c r="Q2274" s="13">
        <f>K2273+L2273+M2273+N2273+O2273+P2273/6</f>
        <v>0</v>
      </c>
      <c r="R2274" s="14">
        <v>44973.0</v>
      </c>
      <c r="S2274" s="13"/>
      <c r="T2274" s="13">
        <f t="shared" ref="T2274:Y2274" si="2483">IF(ISBLANK(K2274)=TRUE,0,1)</f>
        <v>0</v>
      </c>
      <c r="U2274" s="13">
        <f t="shared" si="2483"/>
        <v>0</v>
      </c>
      <c r="V2274" s="13">
        <f t="shared" si="2483"/>
        <v>1</v>
      </c>
      <c r="W2274" s="13">
        <f t="shared" si="2483"/>
        <v>1</v>
      </c>
      <c r="X2274" s="13">
        <f t="shared" si="2483"/>
        <v>1</v>
      </c>
      <c r="Y2274" s="13">
        <f t="shared" si="2483"/>
        <v>1</v>
      </c>
      <c r="Z2274" s="13">
        <f t="shared" si="1998"/>
        <v>0</v>
      </c>
      <c r="AA2274" s="13"/>
      <c r="AB2274" s="13"/>
      <c r="AC2274" s="13"/>
      <c r="AD2274" s="13"/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</row>
    <row r="2275" ht="14.25" hidden="1" customHeight="1">
      <c r="A2275" s="13" t="s">
        <v>29</v>
      </c>
      <c r="B2275" s="13" t="s">
        <v>30</v>
      </c>
      <c r="C2275" s="13" t="s">
        <v>1360</v>
      </c>
      <c r="D2275" s="13"/>
      <c r="E2275" s="13" t="str">
        <f t="shared" si="2395"/>
        <v>SJC,211-10-32,,0</v>
      </c>
      <c r="F2275" s="13"/>
      <c r="G2275" s="13" t="s">
        <v>111</v>
      </c>
      <c r="H2275" s="13" t="s">
        <v>75</v>
      </c>
      <c r="I2275" s="14">
        <v>44862.0</v>
      </c>
      <c r="J2275" s="14"/>
      <c r="K2275" s="15"/>
      <c r="L2275" s="15"/>
      <c r="M2275" s="16">
        <v>0.0</v>
      </c>
      <c r="N2275" s="16">
        <v>0.0</v>
      </c>
      <c r="O2275" s="17">
        <v>0.0</v>
      </c>
      <c r="P2275" s="17">
        <v>0.0</v>
      </c>
      <c r="Q2275" s="13"/>
      <c r="R2275" s="14">
        <v>44973.0</v>
      </c>
      <c r="S2275" s="13"/>
      <c r="T2275" s="13">
        <f t="shared" ref="T2275:Y2275" si="2484">IF(ISBLANK(K2275)=TRUE,0,1)</f>
        <v>0</v>
      </c>
      <c r="U2275" s="13">
        <f t="shared" si="2484"/>
        <v>0</v>
      </c>
      <c r="V2275" s="13">
        <f t="shared" si="2484"/>
        <v>1</v>
      </c>
      <c r="W2275" s="13">
        <f t="shared" si="2484"/>
        <v>1</v>
      </c>
      <c r="X2275" s="13">
        <f t="shared" si="2484"/>
        <v>1</v>
      </c>
      <c r="Y2275" s="13">
        <f t="shared" si="2484"/>
        <v>1</v>
      </c>
      <c r="Z2275" s="13">
        <f t="shared" si="1998"/>
        <v>0</v>
      </c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</row>
    <row r="2276" ht="14.25" hidden="1" customHeight="1">
      <c r="A2276" s="13" t="s">
        <v>29</v>
      </c>
      <c r="B2276" s="13" t="s">
        <v>30</v>
      </c>
      <c r="C2276" s="13" t="s">
        <v>1361</v>
      </c>
      <c r="D2276" s="13"/>
      <c r="E2276" s="13" t="str">
        <f t="shared" si="2395"/>
        <v>SJC,211-10-33,,0</v>
      </c>
      <c r="F2276" s="13"/>
      <c r="G2276" s="13" t="s">
        <v>111</v>
      </c>
      <c r="H2276" s="13" t="s">
        <v>107</v>
      </c>
      <c r="I2276" s="14">
        <v>44862.0</v>
      </c>
      <c r="J2276" s="14"/>
      <c r="K2276" s="15"/>
      <c r="L2276" s="15"/>
      <c r="M2276" s="16">
        <v>0.0</v>
      </c>
      <c r="N2276" s="16">
        <v>0.0</v>
      </c>
      <c r="O2276" s="17">
        <v>0.0</v>
      </c>
      <c r="P2276" s="17">
        <v>0.0</v>
      </c>
      <c r="Q2276" s="13">
        <f>K2275+L2275+M2275+N2275+O2275+P2275/6</f>
        <v>0</v>
      </c>
      <c r="R2276" s="14">
        <v>44973.0</v>
      </c>
      <c r="S2276" s="13"/>
      <c r="T2276" s="13">
        <f t="shared" ref="T2276:Y2276" si="2485">IF(ISBLANK(K2276)=TRUE,0,1)</f>
        <v>0</v>
      </c>
      <c r="U2276" s="13">
        <f t="shared" si="2485"/>
        <v>0</v>
      </c>
      <c r="V2276" s="13">
        <f t="shared" si="2485"/>
        <v>1</v>
      </c>
      <c r="W2276" s="13">
        <f t="shared" si="2485"/>
        <v>1</v>
      </c>
      <c r="X2276" s="13">
        <f t="shared" si="2485"/>
        <v>1</v>
      </c>
      <c r="Y2276" s="13">
        <f t="shared" si="2485"/>
        <v>1</v>
      </c>
      <c r="Z2276" s="13">
        <f t="shared" si="1998"/>
        <v>0</v>
      </c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</row>
    <row r="2277" ht="14.25" hidden="1" customHeight="1">
      <c r="A2277" s="13" t="s">
        <v>29</v>
      </c>
      <c r="B2277" s="13" t="s">
        <v>30</v>
      </c>
      <c r="C2277" s="13" t="s">
        <v>1362</v>
      </c>
      <c r="D2277" s="13"/>
      <c r="E2277" s="13" t="str">
        <f t="shared" si="2395"/>
        <v>SJC,211-10-34,,0</v>
      </c>
      <c r="F2277" s="13"/>
      <c r="G2277" s="13" t="s">
        <v>111</v>
      </c>
      <c r="H2277" s="13" t="s">
        <v>75</v>
      </c>
      <c r="I2277" s="14">
        <v>44862.0</v>
      </c>
      <c r="J2277" s="14"/>
      <c r="K2277" s="15"/>
      <c r="L2277" s="15"/>
      <c r="M2277" s="16">
        <v>0.0</v>
      </c>
      <c r="N2277" s="16">
        <v>0.0</v>
      </c>
      <c r="O2277" s="17">
        <v>0.0</v>
      </c>
      <c r="P2277" s="17">
        <v>0.0</v>
      </c>
      <c r="Q2277" s="13"/>
      <c r="R2277" s="14">
        <v>44973.0</v>
      </c>
      <c r="S2277" s="13"/>
      <c r="T2277" s="13">
        <f t="shared" ref="T2277:Y2277" si="2486">IF(ISBLANK(K2277)=TRUE,0,1)</f>
        <v>0</v>
      </c>
      <c r="U2277" s="13">
        <f t="shared" si="2486"/>
        <v>0</v>
      </c>
      <c r="V2277" s="13">
        <f t="shared" si="2486"/>
        <v>1</v>
      </c>
      <c r="W2277" s="13">
        <f t="shared" si="2486"/>
        <v>1</v>
      </c>
      <c r="X2277" s="13">
        <f t="shared" si="2486"/>
        <v>1</v>
      </c>
      <c r="Y2277" s="13">
        <f t="shared" si="2486"/>
        <v>1</v>
      </c>
      <c r="Z2277" s="13">
        <f t="shared" si="1998"/>
        <v>0</v>
      </c>
      <c r="AA2277" s="13"/>
      <c r="AB2277" s="13"/>
      <c r="AC2277" s="13"/>
      <c r="AD2277" s="13"/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</row>
    <row r="2278" ht="14.25" hidden="1" customHeight="1">
      <c r="A2278" s="13" t="s">
        <v>29</v>
      </c>
      <c r="B2278" s="13" t="s">
        <v>30</v>
      </c>
      <c r="C2278" s="13" t="s">
        <v>1362</v>
      </c>
      <c r="D2278" s="13" t="s">
        <v>174</v>
      </c>
      <c r="E2278" s="13" t="str">
        <f t="shared" si="2395"/>
        <v>SJC,211-10-34,AA,0</v>
      </c>
      <c r="F2278" s="13"/>
      <c r="G2278" s="13" t="s">
        <v>111</v>
      </c>
      <c r="H2278" s="13" t="s">
        <v>75</v>
      </c>
      <c r="I2278" s="13"/>
      <c r="J2278" s="13"/>
      <c r="K2278" s="15"/>
      <c r="L2278" s="15"/>
      <c r="M2278" s="16">
        <v>0.0</v>
      </c>
      <c r="N2278" s="16">
        <v>0.0</v>
      </c>
      <c r="O2278" s="17">
        <v>0.0</v>
      </c>
      <c r="P2278" s="17">
        <v>0.0</v>
      </c>
      <c r="Q2278" s="13"/>
      <c r="R2278" s="14">
        <v>44973.0</v>
      </c>
      <c r="S2278" s="13"/>
      <c r="T2278" s="13">
        <f t="shared" ref="T2278:Y2278" si="2487">IF(ISBLANK(K2278)=TRUE,0,1)</f>
        <v>0</v>
      </c>
      <c r="U2278" s="13">
        <f t="shared" si="2487"/>
        <v>0</v>
      </c>
      <c r="V2278" s="13">
        <f t="shared" si="2487"/>
        <v>1</v>
      </c>
      <c r="W2278" s="13">
        <f t="shared" si="2487"/>
        <v>1</v>
      </c>
      <c r="X2278" s="13">
        <f t="shared" si="2487"/>
        <v>1</v>
      </c>
      <c r="Y2278" s="13">
        <f t="shared" si="2487"/>
        <v>1</v>
      </c>
      <c r="Z2278" s="13">
        <f t="shared" si="1998"/>
        <v>0</v>
      </c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</row>
    <row r="2279" ht="14.25" hidden="1" customHeight="1">
      <c r="A2279" s="13" t="s">
        <v>29</v>
      </c>
      <c r="B2279" s="13" t="s">
        <v>30</v>
      </c>
      <c r="C2279" s="13" t="s">
        <v>1362</v>
      </c>
      <c r="D2279" s="13" t="s">
        <v>175</v>
      </c>
      <c r="E2279" s="13" t="str">
        <f t="shared" si="2395"/>
        <v>SJC,211-10-34,AB,0</v>
      </c>
      <c r="F2279" s="13"/>
      <c r="G2279" s="13" t="s">
        <v>111</v>
      </c>
      <c r="H2279" s="13" t="s">
        <v>75</v>
      </c>
      <c r="I2279" s="13"/>
      <c r="J2279" s="13"/>
      <c r="K2279" s="15"/>
      <c r="L2279" s="15"/>
      <c r="M2279" s="16">
        <v>0.0</v>
      </c>
      <c r="N2279" s="16">
        <v>0.0</v>
      </c>
      <c r="O2279" s="17">
        <v>0.0</v>
      </c>
      <c r="P2279" s="17">
        <v>0.0</v>
      </c>
      <c r="Q2279" s="13"/>
      <c r="R2279" s="14">
        <v>44973.0</v>
      </c>
      <c r="S2279" s="13"/>
      <c r="T2279" s="13">
        <f t="shared" ref="T2279:Y2279" si="2488">IF(ISBLANK(K2279)=TRUE,0,1)</f>
        <v>0</v>
      </c>
      <c r="U2279" s="13">
        <f t="shared" si="2488"/>
        <v>0</v>
      </c>
      <c r="V2279" s="13">
        <f t="shared" si="2488"/>
        <v>1</v>
      </c>
      <c r="W2279" s="13">
        <f t="shared" si="2488"/>
        <v>1</v>
      </c>
      <c r="X2279" s="13">
        <f t="shared" si="2488"/>
        <v>1</v>
      </c>
      <c r="Y2279" s="13">
        <f t="shared" si="2488"/>
        <v>1</v>
      </c>
      <c r="Z2279" s="13">
        <f t="shared" si="1998"/>
        <v>0</v>
      </c>
      <c r="AA2279" s="13"/>
      <c r="AB2279" s="13"/>
      <c r="AC2279" s="13"/>
      <c r="AD2279" s="13"/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</row>
    <row r="2280" ht="14.25" hidden="1" customHeight="1">
      <c r="A2280" s="13" t="s">
        <v>29</v>
      </c>
      <c r="B2280" s="13" t="s">
        <v>30</v>
      </c>
      <c r="C2280" s="13" t="s">
        <v>1362</v>
      </c>
      <c r="D2280" s="13" t="s">
        <v>176</v>
      </c>
      <c r="E2280" s="13" t="str">
        <f t="shared" si="2395"/>
        <v>SJC,211-10-34,AC,0</v>
      </c>
      <c r="F2280" s="13"/>
      <c r="G2280" s="13" t="s">
        <v>111</v>
      </c>
      <c r="H2280" s="13" t="s">
        <v>75</v>
      </c>
      <c r="I2280" s="13"/>
      <c r="J2280" s="13"/>
      <c r="K2280" s="15"/>
      <c r="L2280" s="15"/>
      <c r="M2280" s="16">
        <v>0.0</v>
      </c>
      <c r="N2280" s="16">
        <v>0.0</v>
      </c>
      <c r="O2280" s="17">
        <v>0.0</v>
      </c>
      <c r="P2280" s="17">
        <v>0.0</v>
      </c>
      <c r="Q2280" s="13"/>
      <c r="R2280" s="14">
        <v>44973.0</v>
      </c>
      <c r="S2280" s="13"/>
      <c r="T2280" s="13">
        <f t="shared" ref="T2280:Y2280" si="2489">IF(ISBLANK(K2280)=TRUE,0,1)</f>
        <v>0</v>
      </c>
      <c r="U2280" s="13">
        <f t="shared" si="2489"/>
        <v>0</v>
      </c>
      <c r="V2280" s="13">
        <f t="shared" si="2489"/>
        <v>1</v>
      </c>
      <c r="W2280" s="13">
        <f t="shared" si="2489"/>
        <v>1</v>
      </c>
      <c r="X2280" s="13">
        <f t="shared" si="2489"/>
        <v>1</v>
      </c>
      <c r="Y2280" s="13">
        <f t="shared" si="2489"/>
        <v>1</v>
      </c>
      <c r="Z2280" s="13">
        <f t="shared" si="1998"/>
        <v>0</v>
      </c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</row>
    <row r="2281" ht="14.25" hidden="1" customHeight="1">
      <c r="A2281" s="13" t="s">
        <v>29</v>
      </c>
      <c r="B2281" s="13" t="s">
        <v>30</v>
      </c>
      <c r="C2281" s="13" t="s">
        <v>1362</v>
      </c>
      <c r="D2281" s="13" t="s">
        <v>177</v>
      </c>
      <c r="E2281" s="13" t="str">
        <f t="shared" si="2395"/>
        <v>SJC,211-10-34,AD,0</v>
      </c>
      <c r="F2281" s="13"/>
      <c r="G2281" s="13" t="s">
        <v>111</v>
      </c>
      <c r="H2281" s="13" t="s">
        <v>75</v>
      </c>
      <c r="I2281" s="13"/>
      <c r="J2281" s="13"/>
      <c r="K2281" s="15"/>
      <c r="L2281" s="15"/>
      <c r="M2281" s="16">
        <v>0.0</v>
      </c>
      <c r="N2281" s="16">
        <v>0.0</v>
      </c>
      <c r="O2281" s="17">
        <v>0.0</v>
      </c>
      <c r="P2281" s="17">
        <v>0.0</v>
      </c>
      <c r="Q2281" s="13"/>
      <c r="R2281" s="14">
        <v>44973.0</v>
      </c>
      <c r="S2281" s="13"/>
      <c r="T2281" s="13">
        <f t="shared" ref="T2281:Y2281" si="2490">IF(ISBLANK(K2281)=TRUE,0,1)</f>
        <v>0</v>
      </c>
      <c r="U2281" s="13">
        <f t="shared" si="2490"/>
        <v>0</v>
      </c>
      <c r="V2281" s="13">
        <f t="shared" si="2490"/>
        <v>1</v>
      </c>
      <c r="W2281" s="13">
        <f t="shared" si="2490"/>
        <v>1</v>
      </c>
      <c r="X2281" s="13">
        <f t="shared" si="2490"/>
        <v>1</v>
      </c>
      <c r="Y2281" s="13">
        <f t="shared" si="2490"/>
        <v>1</v>
      </c>
      <c r="Z2281" s="13">
        <f t="shared" si="1998"/>
        <v>0</v>
      </c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</row>
    <row r="2282" ht="14.25" hidden="1" customHeight="1">
      <c r="A2282" s="13" t="s">
        <v>29</v>
      </c>
      <c r="B2282" s="13" t="s">
        <v>30</v>
      </c>
      <c r="C2282" s="13" t="s">
        <v>1362</v>
      </c>
      <c r="D2282" s="13" t="s">
        <v>178</v>
      </c>
      <c r="E2282" s="13" t="str">
        <f t="shared" si="2395"/>
        <v>SJC,211-10-34,AE,0</v>
      </c>
      <c r="F2282" s="13"/>
      <c r="G2282" s="13" t="s">
        <v>111</v>
      </c>
      <c r="H2282" s="13" t="s">
        <v>75</v>
      </c>
      <c r="I2282" s="13"/>
      <c r="J2282" s="13"/>
      <c r="K2282" s="15"/>
      <c r="L2282" s="15"/>
      <c r="M2282" s="16">
        <v>0.0</v>
      </c>
      <c r="N2282" s="16">
        <v>0.0</v>
      </c>
      <c r="O2282" s="17">
        <v>0.0</v>
      </c>
      <c r="P2282" s="17">
        <v>0.0</v>
      </c>
      <c r="Q2282" s="13"/>
      <c r="R2282" s="14">
        <v>44973.0</v>
      </c>
      <c r="S2282" s="13"/>
      <c r="T2282" s="13">
        <f t="shared" ref="T2282:Y2282" si="2491">IF(ISBLANK(K2282)=TRUE,0,1)</f>
        <v>0</v>
      </c>
      <c r="U2282" s="13">
        <f t="shared" si="2491"/>
        <v>0</v>
      </c>
      <c r="V2282" s="13">
        <f t="shared" si="2491"/>
        <v>1</v>
      </c>
      <c r="W2282" s="13">
        <f t="shared" si="2491"/>
        <v>1</v>
      </c>
      <c r="X2282" s="13">
        <f t="shared" si="2491"/>
        <v>1</v>
      </c>
      <c r="Y2282" s="13">
        <f t="shared" si="2491"/>
        <v>1</v>
      </c>
      <c r="Z2282" s="13">
        <f t="shared" si="1998"/>
        <v>0</v>
      </c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</row>
    <row r="2283" ht="14.25" hidden="1" customHeight="1">
      <c r="A2283" s="13" t="s">
        <v>29</v>
      </c>
      <c r="B2283" s="13" t="s">
        <v>30</v>
      </c>
      <c r="C2283" s="13" t="s">
        <v>1362</v>
      </c>
      <c r="D2283" s="13" t="s">
        <v>179</v>
      </c>
      <c r="E2283" s="13" t="str">
        <f t="shared" si="2395"/>
        <v>SJC,211-10-34,AF,0</v>
      </c>
      <c r="F2283" s="13"/>
      <c r="G2283" s="13" t="s">
        <v>111</v>
      </c>
      <c r="H2283" s="13" t="s">
        <v>75</v>
      </c>
      <c r="I2283" s="13"/>
      <c r="J2283" s="13"/>
      <c r="K2283" s="15"/>
      <c r="L2283" s="15"/>
      <c r="M2283" s="16">
        <v>0.0</v>
      </c>
      <c r="N2283" s="16">
        <v>0.0</v>
      </c>
      <c r="O2283" s="17">
        <v>0.0</v>
      </c>
      <c r="P2283" s="17">
        <v>0.0</v>
      </c>
      <c r="Q2283" s="13"/>
      <c r="R2283" s="14">
        <v>44973.0</v>
      </c>
      <c r="S2283" s="13"/>
      <c r="T2283" s="13">
        <f t="shared" ref="T2283:Y2283" si="2492">IF(ISBLANK(K2283)=TRUE,0,1)</f>
        <v>0</v>
      </c>
      <c r="U2283" s="13">
        <f t="shared" si="2492"/>
        <v>0</v>
      </c>
      <c r="V2283" s="13">
        <f t="shared" si="2492"/>
        <v>1</v>
      </c>
      <c r="W2283" s="13">
        <f t="shared" si="2492"/>
        <v>1</v>
      </c>
      <c r="X2283" s="13">
        <f t="shared" si="2492"/>
        <v>1</v>
      </c>
      <c r="Y2283" s="13">
        <f t="shared" si="2492"/>
        <v>1</v>
      </c>
      <c r="Z2283" s="13">
        <f t="shared" si="1998"/>
        <v>0</v>
      </c>
      <c r="AA2283" s="13"/>
      <c r="AB2283" s="13"/>
      <c r="AC2283" s="13"/>
      <c r="AD2283" s="13"/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</row>
    <row r="2284" ht="14.25" hidden="1" customHeight="1">
      <c r="A2284" s="13" t="s">
        <v>29</v>
      </c>
      <c r="B2284" s="13" t="s">
        <v>30</v>
      </c>
      <c r="C2284" s="13" t="s">
        <v>1362</v>
      </c>
      <c r="D2284" s="13" t="s">
        <v>180</v>
      </c>
      <c r="E2284" s="13" t="str">
        <f t="shared" si="2395"/>
        <v>SJC,211-10-34,AG,0</v>
      </c>
      <c r="F2284" s="13"/>
      <c r="G2284" s="13" t="s">
        <v>111</v>
      </c>
      <c r="H2284" s="13" t="s">
        <v>75</v>
      </c>
      <c r="I2284" s="13"/>
      <c r="J2284" s="13"/>
      <c r="K2284" s="15"/>
      <c r="L2284" s="15"/>
      <c r="M2284" s="16">
        <v>0.0</v>
      </c>
      <c r="N2284" s="16">
        <v>0.0</v>
      </c>
      <c r="O2284" s="17">
        <v>0.0</v>
      </c>
      <c r="P2284" s="17">
        <v>0.0</v>
      </c>
      <c r="Q2284" s="13"/>
      <c r="R2284" s="14">
        <v>44973.0</v>
      </c>
      <c r="S2284" s="13"/>
      <c r="T2284" s="13">
        <f t="shared" ref="T2284:Y2284" si="2493">IF(ISBLANK(K2284)=TRUE,0,1)</f>
        <v>0</v>
      </c>
      <c r="U2284" s="13">
        <f t="shared" si="2493"/>
        <v>0</v>
      </c>
      <c r="V2284" s="13">
        <f t="shared" si="2493"/>
        <v>1</v>
      </c>
      <c r="W2284" s="13">
        <f t="shared" si="2493"/>
        <v>1</v>
      </c>
      <c r="X2284" s="13">
        <f t="shared" si="2493"/>
        <v>1</v>
      </c>
      <c r="Y2284" s="13">
        <f t="shared" si="2493"/>
        <v>1</v>
      </c>
      <c r="Z2284" s="13">
        <f t="shared" si="1998"/>
        <v>0</v>
      </c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</row>
    <row r="2285" ht="14.25" hidden="1" customHeight="1">
      <c r="A2285" s="13" t="s">
        <v>29</v>
      </c>
      <c r="B2285" s="13" t="s">
        <v>30</v>
      </c>
      <c r="C2285" s="13" t="s">
        <v>1362</v>
      </c>
      <c r="D2285" s="13" t="s">
        <v>181</v>
      </c>
      <c r="E2285" s="13" t="str">
        <f t="shared" si="2395"/>
        <v>SJC,211-10-34,AH,0</v>
      </c>
      <c r="F2285" s="13"/>
      <c r="G2285" s="13" t="s">
        <v>111</v>
      </c>
      <c r="H2285" s="13" t="s">
        <v>75</v>
      </c>
      <c r="I2285" s="13"/>
      <c r="J2285" s="13"/>
      <c r="K2285" s="15"/>
      <c r="L2285" s="15"/>
      <c r="M2285" s="16">
        <v>0.0</v>
      </c>
      <c r="N2285" s="16">
        <v>0.0</v>
      </c>
      <c r="O2285" s="17">
        <v>0.0</v>
      </c>
      <c r="P2285" s="17">
        <v>0.0</v>
      </c>
      <c r="Q2285" s="13"/>
      <c r="R2285" s="14">
        <v>44973.0</v>
      </c>
      <c r="S2285" s="13"/>
      <c r="T2285" s="13">
        <f t="shared" ref="T2285:Y2285" si="2494">IF(ISBLANK(K2285)=TRUE,0,1)</f>
        <v>0</v>
      </c>
      <c r="U2285" s="13">
        <f t="shared" si="2494"/>
        <v>0</v>
      </c>
      <c r="V2285" s="13">
        <f t="shared" si="2494"/>
        <v>1</v>
      </c>
      <c r="W2285" s="13">
        <f t="shared" si="2494"/>
        <v>1</v>
      </c>
      <c r="X2285" s="13">
        <f t="shared" si="2494"/>
        <v>1</v>
      </c>
      <c r="Y2285" s="13">
        <f t="shared" si="2494"/>
        <v>1</v>
      </c>
      <c r="Z2285" s="13">
        <f t="shared" si="1998"/>
        <v>0</v>
      </c>
      <c r="AA2285" s="13"/>
      <c r="AB2285" s="13"/>
      <c r="AC2285" s="13"/>
      <c r="AD2285" s="13"/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</row>
    <row r="2286" ht="14.25" hidden="1" customHeight="1">
      <c r="A2286" s="13" t="s">
        <v>29</v>
      </c>
      <c r="B2286" s="13" t="s">
        <v>30</v>
      </c>
      <c r="C2286" s="13" t="s">
        <v>1363</v>
      </c>
      <c r="D2286" s="13"/>
      <c r="E2286" s="13" t="str">
        <f t="shared" si="2395"/>
        <v>SJC,211-10-35,,0</v>
      </c>
      <c r="F2286" s="13"/>
      <c r="G2286" s="13" t="s">
        <v>111</v>
      </c>
      <c r="H2286" s="13" t="s">
        <v>107</v>
      </c>
      <c r="I2286" s="14">
        <v>44862.0</v>
      </c>
      <c r="J2286" s="14"/>
      <c r="K2286" s="15"/>
      <c r="L2286" s="15"/>
      <c r="M2286" s="16">
        <v>0.0</v>
      </c>
      <c r="N2286" s="16">
        <v>0.0</v>
      </c>
      <c r="O2286" s="17">
        <v>0.0</v>
      </c>
      <c r="P2286" s="17">
        <v>0.0</v>
      </c>
      <c r="Q2286" s="13">
        <f t="shared" ref="Q2286:Q2295" si="2496">K2285+L2285+M2285+N2285+O2285+P2285/6</f>
        <v>0</v>
      </c>
      <c r="R2286" s="14">
        <v>44973.0</v>
      </c>
      <c r="S2286" s="13"/>
      <c r="T2286" s="13">
        <f t="shared" ref="T2286:Y2286" si="2495">IF(ISBLANK(K2286)=TRUE,0,1)</f>
        <v>0</v>
      </c>
      <c r="U2286" s="13">
        <f t="shared" si="2495"/>
        <v>0</v>
      </c>
      <c r="V2286" s="13">
        <f t="shared" si="2495"/>
        <v>1</v>
      </c>
      <c r="W2286" s="13">
        <f t="shared" si="2495"/>
        <v>1</v>
      </c>
      <c r="X2286" s="13">
        <f t="shared" si="2495"/>
        <v>1</v>
      </c>
      <c r="Y2286" s="13">
        <f t="shared" si="2495"/>
        <v>1</v>
      </c>
      <c r="Z2286" s="13">
        <f t="shared" si="1998"/>
        <v>0</v>
      </c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</row>
    <row r="2287" ht="14.25" hidden="1" customHeight="1">
      <c r="A2287" s="13" t="s">
        <v>29</v>
      </c>
      <c r="B2287" s="13" t="s">
        <v>30</v>
      </c>
      <c r="C2287" s="13" t="s">
        <v>1364</v>
      </c>
      <c r="D2287" s="13"/>
      <c r="E2287" s="13" t="str">
        <f t="shared" si="2395"/>
        <v>SJC,211-10-36,,0</v>
      </c>
      <c r="F2287" s="13"/>
      <c r="G2287" s="13" t="s">
        <v>111</v>
      </c>
      <c r="H2287" s="13" t="s">
        <v>107</v>
      </c>
      <c r="I2287" s="14">
        <v>44862.0</v>
      </c>
      <c r="J2287" s="14"/>
      <c r="K2287" s="15"/>
      <c r="L2287" s="15"/>
      <c r="M2287" s="16">
        <v>0.0</v>
      </c>
      <c r="N2287" s="16">
        <v>0.0</v>
      </c>
      <c r="O2287" s="17">
        <v>0.0</v>
      </c>
      <c r="P2287" s="17">
        <v>0.0</v>
      </c>
      <c r="Q2287" s="13">
        <f t="shared" si="2496"/>
        <v>0</v>
      </c>
      <c r="R2287" s="14">
        <v>44973.0</v>
      </c>
      <c r="S2287" s="13"/>
      <c r="T2287" s="13">
        <f t="shared" ref="T2287:Y2287" si="2497">IF(ISBLANK(K2287)=TRUE,0,1)</f>
        <v>0</v>
      </c>
      <c r="U2287" s="13">
        <f t="shared" si="2497"/>
        <v>0</v>
      </c>
      <c r="V2287" s="13">
        <f t="shared" si="2497"/>
        <v>1</v>
      </c>
      <c r="W2287" s="13">
        <f t="shared" si="2497"/>
        <v>1</v>
      </c>
      <c r="X2287" s="13">
        <f t="shared" si="2497"/>
        <v>1</v>
      </c>
      <c r="Y2287" s="13">
        <f t="shared" si="2497"/>
        <v>1</v>
      </c>
      <c r="Z2287" s="13">
        <f t="shared" si="1998"/>
        <v>0</v>
      </c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</row>
    <row r="2288" ht="14.25" hidden="1" customHeight="1">
      <c r="A2288" s="13" t="s">
        <v>29</v>
      </c>
      <c r="B2288" s="13" t="s">
        <v>30</v>
      </c>
      <c r="C2288" s="13" t="s">
        <v>1365</v>
      </c>
      <c r="D2288" s="13"/>
      <c r="E2288" s="13" t="str">
        <f t="shared" si="2395"/>
        <v>SJC,211-10-37,,0</v>
      </c>
      <c r="F2288" s="13"/>
      <c r="G2288" s="13" t="s">
        <v>111</v>
      </c>
      <c r="H2288" s="13" t="s">
        <v>107</v>
      </c>
      <c r="I2288" s="14">
        <v>44862.0</v>
      </c>
      <c r="J2288" s="14"/>
      <c r="K2288" s="15"/>
      <c r="L2288" s="15"/>
      <c r="M2288" s="16">
        <v>0.0</v>
      </c>
      <c r="N2288" s="16">
        <v>0.0</v>
      </c>
      <c r="O2288" s="17">
        <v>0.0</v>
      </c>
      <c r="P2288" s="17">
        <v>0.0</v>
      </c>
      <c r="Q2288" s="13">
        <f t="shared" si="2496"/>
        <v>0</v>
      </c>
      <c r="R2288" s="14">
        <v>44973.0</v>
      </c>
      <c r="S2288" s="13"/>
      <c r="T2288" s="13">
        <f t="shared" ref="T2288:Y2288" si="2498">IF(ISBLANK(K2288)=TRUE,0,1)</f>
        <v>0</v>
      </c>
      <c r="U2288" s="13">
        <f t="shared" si="2498"/>
        <v>0</v>
      </c>
      <c r="V2288" s="13">
        <f t="shared" si="2498"/>
        <v>1</v>
      </c>
      <c r="W2288" s="13">
        <f t="shared" si="2498"/>
        <v>1</v>
      </c>
      <c r="X2288" s="13">
        <f t="shared" si="2498"/>
        <v>1</v>
      </c>
      <c r="Y2288" s="13">
        <f t="shared" si="2498"/>
        <v>1</v>
      </c>
      <c r="Z2288" s="13">
        <f t="shared" si="1998"/>
        <v>0</v>
      </c>
      <c r="AA2288" s="13"/>
      <c r="AB2288" s="13"/>
      <c r="AC2288" s="13"/>
      <c r="AD2288" s="13"/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</row>
    <row r="2289" ht="14.25" hidden="1" customHeight="1">
      <c r="A2289" s="13" t="s">
        <v>29</v>
      </c>
      <c r="B2289" s="13" t="s">
        <v>30</v>
      </c>
      <c r="C2289" s="13" t="s">
        <v>1366</v>
      </c>
      <c r="D2289" s="13"/>
      <c r="E2289" s="13" t="str">
        <f t="shared" si="2395"/>
        <v>SJC,211-10-38,,0</v>
      </c>
      <c r="F2289" s="13"/>
      <c r="G2289" s="13" t="s">
        <v>111</v>
      </c>
      <c r="H2289" s="13" t="s">
        <v>107</v>
      </c>
      <c r="I2289" s="14">
        <v>44862.0</v>
      </c>
      <c r="J2289" s="14"/>
      <c r="K2289" s="15"/>
      <c r="L2289" s="15"/>
      <c r="M2289" s="16">
        <v>0.0</v>
      </c>
      <c r="N2289" s="16">
        <v>0.0</v>
      </c>
      <c r="O2289" s="17">
        <v>0.0</v>
      </c>
      <c r="P2289" s="17">
        <v>0.0</v>
      </c>
      <c r="Q2289" s="13">
        <f t="shared" si="2496"/>
        <v>0</v>
      </c>
      <c r="R2289" s="14">
        <v>44973.0</v>
      </c>
      <c r="S2289" s="13"/>
      <c r="T2289" s="13">
        <f t="shared" ref="T2289:Y2289" si="2499">IF(ISBLANK(K2289)=TRUE,0,1)</f>
        <v>0</v>
      </c>
      <c r="U2289" s="13">
        <f t="shared" si="2499"/>
        <v>0</v>
      </c>
      <c r="V2289" s="13">
        <f t="shared" si="2499"/>
        <v>1</v>
      </c>
      <c r="W2289" s="13">
        <f t="shared" si="2499"/>
        <v>1</v>
      </c>
      <c r="X2289" s="13">
        <f t="shared" si="2499"/>
        <v>1</v>
      </c>
      <c r="Y2289" s="13">
        <f t="shared" si="2499"/>
        <v>1</v>
      </c>
      <c r="Z2289" s="13">
        <f t="shared" si="1998"/>
        <v>0</v>
      </c>
      <c r="AA2289" s="13"/>
      <c r="AB2289" s="13"/>
      <c r="AC2289" s="13"/>
      <c r="AD2289" s="13"/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</row>
    <row r="2290" ht="14.25" hidden="1" customHeight="1">
      <c r="A2290" s="13" t="s">
        <v>29</v>
      </c>
      <c r="B2290" s="13" t="s">
        <v>30</v>
      </c>
      <c r="C2290" s="13" t="s">
        <v>1367</v>
      </c>
      <c r="D2290" s="13"/>
      <c r="E2290" s="13" t="str">
        <f t="shared" si="2395"/>
        <v>SJC,211-10-39,,0</v>
      </c>
      <c r="F2290" s="13"/>
      <c r="G2290" s="13" t="s">
        <v>111</v>
      </c>
      <c r="H2290" s="13" t="s">
        <v>107</v>
      </c>
      <c r="I2290" s="14">
        <v>44862.0</v>
      </c>
      <c r="J2290" s="14"/>
      <c r="K2290" s="15"/>
      <c r="L2290" s="15"/>
      <c r="M2290" s="16">
        <v>0.0</v>
      </c>
      <c r="N2290" s="16">
        <v>0.0</v>
      </c>
      <c r="O2290" s="17">
        <v>0.0</v>
      </c>
      <c r="P2290" s="17">
        <v>0.0</v>
      </c>
      <c r="Q2290" s="13">
        <f t="shared" si="2496"/>
        <v>0</v>
      </c>
      <c r="R2290" s="14">
        <v>44973.0</v>
      </c>
      <c r="S2290" s="13"/>
      <c r="T2290" s="13">
        <f t="shared" ref="T2290:Y2290" si="2500">IF(ISBLANK(K2290)=TRUE,0,1)</f>
        <v>0</v>
      </c>
      <c r="U2290" s="13">
        <f t="shared" si="2500"/>
        <v>0</v>
      </c>
      <c r="V2290" s="13">
        <f t="shared" si="2500"/>
        <v>1</v>
      </c>
      <c r="W2290" s="13">
        <f t="shared" si="2500"/>
        <v>1</v>
      </c>
      <c r="X2290" s="13">
        <f t="shared" si="2500"/>
        <v>1</v>
      </c>
      <c r="Y2290" s="13">
        <f t="shared" si="2500"/>
        <v>1</v>
      </c>
      <c r="Z2290" s="13">
        <f t="shared" si="1998"/>
        <v>0</v>
      </c>
      <c r="AA2290" s="13"/>
      <c r="AB2290" s="13"/>
      <c r="AC2290" s="13"/>
      <c r="AD2290" s="13"/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</row>
    <row r="2291" ht="14.25" hidden="1" customHeight="1">
      <c r="A2291" s="13" t="s">
        <v>29</v>
      </c>
      <c r="B2291" s="13" t="s">
        <v>30</v>
      </c>
      <c r="C2291" s="13" t="s">
        <v>1368</v>
      </c>
      <c r="D2291" s="13"/>
      <c r="E2291" s="13" t="str">
        <f t="shared" si="2395"/>
        <v>SJC,211-10-4,,0</v>
      </c>
      <c r="F2291" s="13"/>
      <c r="G2291" s="13" t="s">
        <v>111</v>
      </c>
      <c r="H2291" s="13" t="s">
        <v>107</v>
      </c>
      <c r="I2291" s="14">
        <v>44862.0</v>
      </c>
      <c r="J2291" s="14"/>
      <c r="K2291" s="15"/>
      <c r="L2291" s="15"/>
      <c r="M2291" s="16">
        <v>0.0</v>
      </c>
      <c r="N2291" s="16">
        <v>0.0</v>
      </c>
      <c r="O2291" s="17">
        <v>0.0</v>
      </c>
      <c r="P2291" s="17">
        <v>0.0</v>
      </c>
      <c r="Q2291" s="13">
        <f t="shared" si="2496"/>
        <v>0</v>
      </c>
      <c r="R2291" s="14">
        <v>44973.0</v>
      </c>
      <c r="S2291" s="13"/>
      <c r="T2291" s="13">
        <f t="shared" ref="T2291:Y2291" si="2501">IF(ISBLANK(K2291)=TRUE,0,1)</f>
        <v>0</v>
      </c>
      <c r="U2291" s="13">
        <f t="shared" si="2501"/>
        <v>0</v>
      </c>
      <c r="V2291" s="13">
        <f t="shared" si="2501"/>
        <v>1</v>
      </c>
      <c r="W2291" s="13">
        <f t="shared" si="2501"/>
        <v>1</v>
      </c>
      <c r="X2291" s="13">
        <f t="shared" si="2501"/>
        <v>1</v>
      </c>
      <c r="Y2291" s="13">
        <f t="shared" si="2501"/>
        <v>1</v>
      </c>
      <c r="Z2291" s="13">
        <f t="shared" si="1998"/>
        <v>0</v>
      </c>
      <c r="AA2291" s="13"/>
      <c r="AB2291" s="13"/>
      <c r="AC2291" s="13"/>
      <c r="AD2291" s="13"/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</row>
    <row r="2292" ht="14.25" hidden="1" customHeight="1">
      <c r="A2292" s="13" t="s">
        <v>29</v>
      </c>
      <c r="B2292" s="13" t="s">
        <v>30</v>
      </c>
      <c r="C2292" s="13" t="s">
        <v>1369</v>
      </c>
      <c r="D2292" s="13"/>
      <c r="E2292" s="13" t="str">
        <f t="shared" si="2395"/>
        <v>SJC,211-10-40,,0</v>
      </c>
      <c r="F2292" s="13"/>
      <c r="G2292" s="13" t="s">
        <v>111</v>
      </c>
      <c r="H2292" s="13" t="s">
        <v>107</v>
      </c>
      <c r="I2292" s="14">
        <v>44862.0</v>
      </c>
      <c r="J2292" s="14"/>
      <c r="K2292" s="15"/>
      <c r="L2292" s="15"/>
      <c r="M2292" s="16">
        <v>0.0</v>
      </c>
      <c r="N2292" s="16">
        <v>0.0</v>
      </c>
      <c r="O2292" s="17">
        <v>0.0</v>
      </c>
      <c r="P2292" s="17">
        <v>0.0</v>
      </c>
      <c r="Q2292" s="13">
        <f t="shared" si="2496"/>
        <v>0</v>
      </c>
      <c r="R2292" s="14">
        <v>44973.0</v>
      </c>
      <c r="S2292" s="13"/>
      <c r="T2292" s="13">
        <f t="shared" ref="T2292:Y2292" si="2502">IF(ISBLANK(K2292)=TRUE,0,1)</f>
        <v>0</v>
      </c>
      <c r="U2292" s="13">
        <f t="shared" si="2502"/>
        <v>0</v>
      </c>
      <c r="V2292" s="13">
        <f t="shared" si="2502"/>
        <v>1</v>
      </c>
      <c r="W2292" s="13">
        <f t="shared" si="2502"/>
        <v>1</v>
      </c>
      <c r="X2292" s="13">
        <f t="shared" si="2502"/>
        <v>1</v>
      </c>
      <c r="Y2292" s="13">
        <f t="shared" si="2502"/>
        <v>1</v>
      </c>
      <c r="Z2292" s="13">
        <f t="shared" si="1998"/>
        <v>0</v>
      </c>
      <c r="AA2292" s="13"/>
      <c r="AB2292" s="13"/>
      <c r="AC2292" s="13"/>
      <c r="AD2292" s="13"/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</row>
    <row r="2293" ht="14.25" hidden="1" customHeight="1">
      <c r="A2293" s="13" t="s">
        <v>29</v>
      </c>
      <c r="B2293" s="13" t="s">
        <v>30</v>
      </c>
      <c r="C2293" s="13" t="s">
        <v>1370</v>
      </c>
      <c r="D2293" s="13"/>
      <c r="E2293" s="13" t="str">
        <f t="shared" si="2395"/>
        <v>SJC,211-10-41,,0</v>
      </c>
      <c r="F2293" s="13"/>
      <c r="G2293" s="13" t="s">
        <v>111</v>
      </c>
      <c r="H2293" s="13" t="s">
        <v>107</v>
      </c>
      <c r="I2293" s="14">
        <v>44862.0</v>
      </c>
      <c r="J2293" s="14"/>
      <c r="K2293" s="15"/>
      <c r="L2293" s="15"/>
      <c r="M2293" s="16">
        <v>0.0</v>
      </c>
      <c r="N2293" s="16">
        <v>0.0</v>
      </c>
      <c r="O2293" s="17">
        <v>0.0</v>
      </c>
      <c r="P2293" s="17">
        <v>0.0</v>
      </c>
      <c r="Q2293" s="13">
        <f t="shared" si="2496"/>
        <v>0</v>
      </c>
      <c r="R2293" s="14">
        <v>44973.0</v>
      </c>
      <c r="S2293" s="13"/>
      <c r="T2293" s="13">
        <f t="shared" ref="T2293:Y2293" si="2503">IF(ISBLANK(K2293)=TRUE,0,1)</f>
        <v>0</v>
      </c>
      <c r="U2293" s="13">
        <f t="shared" si="2503"/>
        <v>0</v>
      </c>
      <c r="V2293" s="13">
        <f t="shared" si="2503"/>
        <v>1</v>
      </c>
      <c r="W2293" s="13">
        <f t="shared" si="2503"/>
        <v>1</v>
      </c>
      <c r="X2293" s="13">
        <f t="shared" si="2503"/>
        <v>1</v>
      </c>
      <c r="Y2293" s="13">
        <f t="shared" si="2503"/>
        <v>1</v>
      </c>
      <c r="Z2293" s="13">
        <f t="shared" si="1998"/>
        <v>0</v>
      </c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</row>
    <row r="2294" ht="14.25" hidden="1" customHeight="1">
      <c r="A2294" s="13" t="s">
        <v>29</v>
      </c>
      <c r="B2294" s="13" t="s">
        <v>30</v>
      </c>
      <c r="C2294" s="13" t="s">
        <v>1371</v>
      </c>
      <c r="D2294" s="13"/>
      <c r="E2294" s="13" t="str">
        <f t="shared" si="2395"/>
        <v>SJC,211-10-42,,0</v>
      </c>
      <c r="F2294" s="13"/>
      <c r="G2294" s="13" t="s">
        <v>111</v>
      </c>
      <c r="H2294" s="13" t="s">
        <v>107</v>
      </c>
      <c r="I2294" s="14">
        <v>44862.0</v>
      </c>
      <c r="J2294" s="14"/>
      <c r="K2294" s="15"/>
      <c r="L2294" s="15"/>
      <c r="M2294" s="16">
        <v>0.0</v>
      </c>
      <c r="N2294" s="16">
        <v>0.0</v>
      </c>
      <c r="O2294" s="17">
        <v>0.0</v>
      </c>
      <c r="P2294" s="17">
        <v>0.0</v>
      </c>
      <c r="Q2294" s="13">
        <f t="shared" si="2496"/>
        <v>0</v>
      </c>
      <c r="R2294" s="14">
        <v>44973.0</v>
      </c>
      <c r="S2294" s="13"/>
      <c r="T2294" s="13">
        <f t="shared" ref="T2294:Y2294" si="2504">IF(ISBLANK(K2294)=TRUE,0,1)</f>
        <v>0</v>
      </c>
      <c r="U2294" s="13">
        <f t="shared" si="2504"/>
        <v>0</v>
      </c>
      <c r="V2294" s="13">
        <f t="shared" si="2504"/>
        <v>1</v>
      </c>
      <c r="W2294" s="13">
        <f t="shared" si="2504"/>
        <v>1</v>
      </c>
      <c r="X2294" s="13">
        <f t="shared" si="2504"/>
        <v>1</v>
      </c>
      <c r="Y2294" s="13">
        <f t="shared" si="2504"/>
        <v>1</v>
      </c>
      <c r="Z2294" s="13">
        <f t="shared" si="1998"/>
        <v>0</v>
      </c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</row>
    <row r="2295" ht="14.25" hidden="1" customHeight="1">
      <c r="A2295" s="13" t="s">
        <v>29</v>
      </c>
      <c r="B2295" s="13" t="s">
        <v>30</v>
      </c>
      <c r="C2295" s="13" t="s">
        <v>1372</v>
      </c>
      <c r="D2295" s="13"/>
      <c r="E2295" s="13" t="str">
        <f t="shared" si="2395"/>
        <v>SJC,211-10-43,,0</v>
      </c>
      <c r="F2295" s="13"/>
      <c r="G2295" s="13" t="s">
        <v>111</v>
      </c>
      <c r="H2295" s="13" t="s">
        <v>107</v>
      </c>
      <c r="I2295" s="14">
        <v>44862.0</v>
      </c>
      <c r="J2295" s="14"/>
      <c r="K2295" s="15"/>
      <c r="L2295" s="15"/>
      <c r="M2295" s="16">
        <v>0.0</v>
      </c>
      <c r="N2295" s="16">
        <v>0.0</v>
      </c>
      <c r="O2295" s="17">
        <v>0.0</v>
      </c>
      <c r="P2295" s="17">
        <v>0.0</v>
      </c>
      <c r="Q2295" s="13">
        <f t="shared" si="2496"/>
        <v>0</v>
      </c>
      <c r="R2295" s="14">
        <v>44973.0</v>
      </c>
      <c r="S2295" s="13"/>
      <c r="T2295" s="13">
        <f t="shared" ref="T2295:Y2295" si="2505">IF(ISBLANK(K2295)=TRUE,0,1)</f>
        <v>0</v>
      </c>
      <c r="U2295" s="13">
        <f t="shared" si="2505"/>
        <v>0</v>
      </c>
      <c r="V2295" s="13">
        <f t="shared" si="2505"/>
        <v>1</v>
      </c>
      <c r="W2295" s="13">
        <f t="shared" si="2505"/>
        <v>1</v>
      </c>
      <c r="X2295" s="13">
        <f t="shared" si="2505"/>
        <v>1</v>
      </c>
      <c r="Y2295" s="13">
        <f t="shared" si="2505"/>
        <v>1</v>
      </c>
      <c r="Z2295" s="13">
        <f t="shared" si="1998"/>
        <v>0</v>
      </c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</row>
    <row r="2296" ht="14.25" hidden="1" customHeight="1">
      <c r="A2296" s="13" t="s">
        <v>29</v>
      </c>
      <c r="B2296" s="13" t="s">
        <v>30</v>
      </c>
      <c r="C2296" s="13" t="s">
        <v>1373</v>
      </c>
      <c r="D2296" s="13"/>
      <c r="E2296" s="13" t="str">
        <f t="shared" si="2395"/>
        <v>SJC,211-10-44,,0</v>
      </c>
      <c r="F2296" s="13"/>
      <c r="G2296" s="13" t="s">
        <v>111</v>
      </c>
      <c r="H2296" s="13" t="s">
        <v>75</v>
      </c>
      <c r="I2296" s="14">
        <v>44862.0</v>
      </c>
      <c r="J2296" s="14"/>
      <c r="K2296" s="15"/>
      <c r="L2296" s="15"/>
      <c r="M2296" s="16">
        <v>0.0</v>
      </c>
      <c r="N2296" s="16">
        <v>0.0</v>
      </c>
      <c r="O2296" s="17">
        <v>0.0</v>
      </c>
      <c r="P2296" s="17">
        <v>0.0</v>
      </c>
      <c r="Q2296" s="13"/>
      <c r="R2296" s="14">
        <v>44973.0</v>
      </c>
      <c r="S2296" s="13"/>
      <c r="T2296" s="13">
        <f t="shared" ref="T2296:Y2296" si="2506">IF(ISBLANK(K2296)=TRUE,0,1)</f>
        <v>0</v>
      </c>
      <c r="U2296" s="13">
        <f t="shared" si="2506"/>
        <v>0</v>
      </c>
      <c r="V2296" s="13">
        <f t="shared" si="2506"/>
        <v>1</v>
      </c>
      <c r="W2296" s="13">
        <f t="shared" si="2506"/>
        <v>1</v>
      </c>
      <c r="X2296" s="13">
        <f t="shared" si="2506"/>
        <v>1</v>
      </c>
      <c r="Y2296" s="13">
        <f t="shared" si="2506"/>
        <v>1</v>
      </c>
      <c r="Z2296" s="13">
        <f t="shared" si="1998"/>
        <v>0</v>
      </c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</row>
    <row r="2297" ht="14.25" hidden="1" customHeight="1">
      <c r="A2297" s="13" t="s">
        <v>29</v>
      </c>
      <c r="B2297" s="13" t="s">
        <v>30</v>
      </c>
      <c r="C2297" s="13" t="s">
        <v>1373</v>
      </c>
      <c r="D2297" s="13" t="s">
        <v>174</v>
      </c>
      <c r="E2297" s="13" t="str">
        <f t="shared" si="2395"/>
        <v>SJC,211-10-44,AA,0</v>
      </c>
      <c r="F2297" s="13"/>
      <c r="G2297" s="13" t="s">
        <v>111</v>
      </c>
      <c r="H2297" s="13" t="s">
        <v>75</v>
      </c>
      <c r="I2297" s="13"/>
      <c r="J2297" s="13"/>
      <c r="K2297" s="15"/>
      <c r="L2297" s="15"/>
      <c r="M2297" s="16">
        <v>0.0</v>
      </c>
      <c r="N2297" s="16">
        <v>0.0</v>
      </c>
      <c r="O2297" s="17">
        <v>0.0</v>
      </c>
      <c r="P2297" s="17">
        <v>0.0</v>
      </c>
      <c r="Q2297" s="13"/>
      <c r="R2297" s="14">
        <v>44973.0</v>
      </c>
      <c r="S2297" s="13"/>
      <c r="T2297" s="13">
        <f t="shared" ref="T2297:Y2297" si="2507">IF(ISBLANK(K2297)=TRUE,0,1)</f>
        <v>0</v>
      </c>
      <c r="U2297" s="13">
        <f t="shared" si="2507"/>
        <v>0</v>
      </c>
      <c r="V2297" s="13">
        <f t="shared" si="2507"/>
        <v>1</v>
      </c>
      <c r="W2297" s="13">
        <f t="shared" si="2507"/>
        <v>1</v>
      </c>
      <c r="X2297" s="13">
        <f t="shared" si="2507"/>
        <v>1</v>
      </c>
      <c r="Y2297" s="13">
        <f t="shared" si="2507"/>
        <v>1</v>
      </c>
      <c r="Z2297" s="13">
        <f t="shared" si="1998"/>
        <v>0</v>
      </c>
      <c r="AA2297" s="13"/>
      <c r="AB2297" s="13"/>
      <c r="AC2297" s="13"/>
      <c r="AD2297" s="13"/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</row>
    <row r="2298" ht="14.25" hidden="1" customHeight="1">
      <c r="A2298" s="13" t="s">
        <v>29</v>
      </c>
      <c r="B2298" s="13" t="s">
        <v>30</v>
      </c>
      <c r="C2298" s="13" t="s">
        <v>1373</v>
      </c>
      <c r="D2298" s="13" t="s">
        <v>175</v>
      </c>
      <c r="E2298" s="13" t="str">
        <f t="shared" si="2395"/>
        <v>SJC,211-10-44,AB,0</v>
      </c>
      <c r="F2298" s="13"/>
      <c r="G2298" s="13" t="s">
        <v>111</v>
      </c>
      <c r="H2298" s="13" t="s">
        <v>75</v>
      </c>
      <c r="I2298" s="13"/>
      <c r="J2298" s="13"/>
      <c r="K2298" s="15"/>
      <c r="L2298" s="15"/>
      <c r="M2298" s="16">
        <v>0.0</v>
      </c>
      <c r="N2298" s="16">
        <v>0.0</v>
      </c>
      <c r="O2298" s="17">
        <v>0.0</v>
      </c>
      <c r="P2298" s="17">
        <v>0.0</v>
      </c>
      <c r="Q2298" s="13"/>
      <c r="R2298" s="14">
        <v>44973.0</v>
      </c>
      <c r="S2298" s="13"/>
      <c r="T2298" s="13">
        <f t="shared" ref="T2298:Y2298" si="2508">IF(ISBLANK(K2298)=TRUE,0,1)</f>
        <v>0</v>
      </c>
      <c r="U2298" s="13">
        <f t="shared" si="2508"/>
        <v>0</v>
      </c>
      <c r="V2298" s="13">
        <f t="shared" si="2508"/>
        <v>1</v>
      </c>
      <c r="W2298" s="13">
        <f t="shared" si="2508"/>
        <v>1</v>
      </c>
      <c r="X2298" s="13">
        <f t="shared" si="2508"/>
        <v>1</v>
      </c>
      <c r="Y2298" s="13">
        <f t="shared" si="2508"/>
        <v>1</v>
      </c>
      <c r="Z2298" s="13">
        <f t="shared" si="1998"/>
        <v>0</v>
      </c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</row>
    <row r="2299" ht="14.25" hidden="1" customHeight="1">
      <c r="A2299" s="13" t="s">
        <v>29</v>
      </c>
      <c r="B2299" s="13" t="s">
        <v>30</v>
      </c>
      <c r="C2299" s="13" t="s">
        <v>1374</v>
      </c>
      <c r="D2299" s="13"/>
      <c r="E2299" s="13" t="str">
        <f t="shared" si="2395"/>
        <v>SJC,211-10-45,,0</v>
      </c>
      <c r="F2299" s="13"/>
      <c r="G2299" s="13" t="s">
        <v>111</v>
      </c>
      <c r="H2299" s="13" t="s">
        <v>75</v>
      </c>
      <c r="I2299" s="14">
        <v>44862.0</v>
      </c>
      <c r="J2299" s="14"/>
      <c r="K2299" s="15"/>
      <c r="L2299" s="15"/>
      <c r="M2299" s="16">
        <v>0.0</v>
      </c>
      <c r="N2299" s="16">
        <v>0.0</v>
      </c>
      <c r="O2299" s="17">
        <v>0.0</v>
      </c>
      <c r="P2299" s="17">
        <v>0.0</v>
      </c>
      <c r="Q2299" s="13">
        <f t="shared" ref="Q2299:Q2305" si="2510">K2298+L2298+M2298+N2298+O2298+P2298/6</f>
        <v>0</v>
      </c>
      <c r="R2299" s="14">
        <v>44973.0</v>
      </c>
      <c r="S2299" s="13"/>
      <c r="T2299" s="13">
        <f t="shared" ref="T2299:Y2299" si="2509">IF(ISBLANK(K2299)=TRUE,0,1)</f>
        <v>0</v>
      </c>
      <c r="U2299" s="13">
        <f t="shared" si="2509"/>
        <v>0</v>
      </c>
      <c r="V2299" s="13">
        <f t="shared" si="2509"/>
        <v>1</v>
      </c>
      <c r="W2299" s="13">
        <f t="shared" si="2509"/>
        <v>1</v>
      </c>
      <c r="X2299" s="13">
        <f t="shared" si="2509"/>
        <v>1</v>
      </c>
      <c r="Y2299" s="13">
        <f t="shared" si="2509"/>
        <v>1</v>
      </c>
      <c r="Z2299" s="13">
        <f t="shared" si="1998"/>
        <v>0</v>
      </c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</row>
    <row r="2300" ht="14.25" hidden="1" customHeight="1">
      <c r="A2300" s="13" t="s">
        <v>29</v>
      </c>
      <c r="B2300" s="13" t="s">
        <v>30</v>
      </c>
      <c r="C2300" s="13" t="s">
        <v>1375</v>
      </c>
      <c r="D2300" s="13"/>
      <c r="E2300" s="13" t="str">
        <f t="shared" si="2395"/>
        <v>SJC,211-10-46,,0</v>
      </c>
      <c r="F2300" s="13"/>
      <c r="G2300" s="13" t="s">
        <v>111</v>
      </c>
      <c r="H2300" s="13" t="s">
        <v>75</v>
      </c>
      <c r="I2300" s="14">
        <v>44862.0</v>
      </c>
      <c r="J2300" s="14"/>
      <c r="K2300" s="15"/>
      <c r="L2300" s="15"/>
      <c r="M2300" s="16">
        <v>0.0</v>
      </c>
      <c r="N2300" s="16">
        <v>0.0</v>
      </c>
      <c r="O2300" s="17">
        <v>0.0</v>
      </c>
      <c r="P2300" s="17">
        <v>0.0</v>
      </c>
      <c r="Q2300" s="13">
        <f t="shared" si="2510"/>
        <v>0</v>
      </c>
      <c r="R2300" s="14">
        <v>44973.0</v>
      </c>
      <c r="S2300" s="13"/>
      <c r="T2300" s="13">
        <f t="shared" ref="T2300:Y2300" si="2511">IF(ISBLANK(K2300)=TRUE,0,1)</f>
        <v>0</v>
      </c>
      <c r="U2300" s="13">
        <f t="shared" si="2511"/>
        <v>0</v>
      </c>
      <c r="V2300" s="13">
        <f t="shared" si="2511"/>
        <v>1</v>
      </c>
      <c r="W2300" s="13">
        <f t="shared" si="2511"/>
        <v>1</v>
      </c>
      <c r="X2300" s="13">
        <f t="shared" si="2511"/>
        <v>1</v>
      </c>
      <c r="Y2300" s="13">
        <f t="shared" si="2511"/>
        <v>1</v>
      </c>
      <c r="Z2300" s="13">
        <f t="shared" si="1998"/>
        <v>0</v>
      </c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</row>
    <row r="2301" ht="14.25" hidden="1" customHeight="1">
      <c r="A2301" s="13" t="s">
        <v>29</v>
      </c>
      <c r="B2301" s="13" t="s">
        <v>30</v>
      </c>
      <c r="C2301" s="13" t="s">
        <v>1375</v>
      </c>
      <c r="D2301" s="13" t="s">
        <v>174</v>
      </c>
      <c r="E2301" s="13" t="str">
        <f t="shared" si="2395"/>
        <v>SJC,211-10-46,AA,0</v>
      </c>
      <c r="F2301" s="13"/>
      <c r="G2301" s="13" t="s">
        <v>111</v>
      </c>
      <c r="H2301" s="13" t="s">
        <v>75</v>
      </c>
      <c r="I2301" s="14">
        <v>44862.0</v>
      </c>
      <c r="J2301" s="14"/>
      <c r="K2301" s="15"/>
      <c r="L2301" s="15"/>
      <c r="M2301" s="16">
        <v>0.0</v>
      </c>
      <c r="N2301" s="16">
        <v>0.0</v>
      </c>
      <c r="O2301" s="17">
        <v>0.0</v>
      </c>
      <c r="P2301" s="17">
        <v>0.0</v>
      </c>
      <c r="Q2301" s="13">
        <f t="shared" si="2510"/>
        <v>0</v>
      </c>
      <c r="R2301" s="14">
        <v>44973.0</v>
      </c>
      <c r="S2301" s="13"/>
      <c r="T2301" s="13">
        <f t="shared" ref="T2301:Y2301" si="2512">IF(ISBLANK(K2301)=TRUE,0,1)</f>
        <v>0</v>
      </c>
      <c r="U2301" s="13">
        <f t="shared" si="2512"/>
        <v>0</v>
      </c>
      <c r="V2301" s="13">
        <f t="shared" si="2512"/>
        <v>1</v>
      </c>
      <c r="W2301" s="13">
        <f t="shared" si="2512"/>
        <v>1</v>
      </c>
      <c r="X2301" s="13">
        <f t="shared" si="2512"/>
        <v>1</v>
      </c>
      <c r="Y2301" s="13">
        <f t="shared" si="2512"/>
        <v>1</v>
      </c>
      <c r="Z2301" s="13">
        <f t="shared" si="1998"/>
        <v>0</v>
      </c>
      <c r="AA2301" s="13"/>
      <c r="AB2301" s="13"/>
      <c r="AC2301" s="13"/>
      <c r="AD2301" s="13"/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</row>
    <row r="2302" ht="14.25" hidden="1" customHeight="1">
      <c r="A2302" s="13" t="s">
        <v>29</v>
      </c>
      <c r="B2302" s="13" t="s">
        <v>30</v>
      </c>
      <c r="C2302" s="13" t="s">
        <v>1376</v>
      </c>
      <c r="D2302" s="13"/>
      <c r="E2302" s="13" t="str">
        <f t="shared" si="2395"/>
        <v>SJC,211-10-47,,0</v>
      </c>
      <c r="F2302" s="13"/>
      <c r="G2302" s="13" t="s">
        <v>111</v>
      </c>
      <c r="H2302" s="13" t="s">
        <v>107</v>
      </c>
      <c r="I2302" s="14">
        <v>44862.0</v>
      </c>
      <c r="J2302" s="14"/>
      <c r="K2302" s="15"/>
      <c r="L2302" s="15"/>
      <c r="M2302" s="16">
        <v>0.0</v>
      </c>
      <c r="N2302" s="16">
        <v>0.0</v>
      </c>
      <c r="O2302" s="17">
        <v>0.0</v>
      </c>
      <c r="P2302" s="17">
        <v>0.0</v>
      </c>
      <c r="Q2302" s="13">
        <f t="shared" si="2510"/>
        <v>0</v>
      </c>
      <c r="R2302" s="14">
        <v>44973.0</v>
      </c>
      <c r="S2302" s="13"/>
      <c r="T2302" s="13">
        <f t="shared" ref="T2302:Y2302" si="2513">IF(ISBLANK(K2302)=TRUE,0,1)</f>
        <v>0</v>
      </c>
      <c r="U2302" s="13">
        <f t="shared" si="2513"/>
        <v>0</v>
      </c>
      <c r="V2302" s="13">
        <f t="shared" si="2513"/>
        <v>1</v>
      </c>
      <c r="W2302" s="13">
        <f t="shared" si="2513"/>
        <v>1</v>
      </c>
      <c r="X2302" s="13">
        <f t="shared" si="2513"/>
        <v>1</v>
      </c>
      <c r="Y2302" s="13">
        <f t="shared" si="2513"/>
        <v>1</v>
      </c>
      <c r="Z2302" s="13">
        <f t="shared" si="1998"/>
        <v>0</v>
      </c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</row>
    <row r="2303" ht="14.25" hidden="1" customHeight="1">
      <c r="A2303" s="13" t="s">
        <v>29</v>
      </c>
      <c r="B2303" s="13" t="s">
        <v>30</v>
      </c>
      <c r="C2303" s="13" t="s">
        <v>1377</v>
      </c>
      <c r="D2303" s="13"/>
      <c r="E2303" s="13" t="str">
        <f t="shared" si="2395"/>
        <v>SJC,211-10-48,,0</v>
      </c>
      <c r="F2303" s="13"/>
      <c r="G2303" s="13" t="s">
        <v>111</v>
      </c>
      <c r="H2303" s="13" t="s">
        <v>75</v>
      </c>
      <c r="I2303" s="14">
        <v>44862.0</v>
      </c>
      <c r="J2303" s="14"/>
      <c r="K2303" s="15"/>
      <c r="L2303" s="15"/>
      <c r="M2303" s="16">
        <v>0.0</v>
      </c>
      <c r="N2303" s="16">
        <v>0.0</v>
      </c>
      <c r="O2303" s="17">
        <v>0.0</v>
      </c>
      <c r="P2303" s="17">
        <v>0.0</v>
      </c>
      <c r="Q2303" s="13">
        <f t="shared" si="2510"/>
        <v>0</v>
      </c>
      <c r="R2303" s="14">
        <v>44973.0</v>
      </c>
      <c r="S2303" s="13"/>
      <c r="T2303" s="13">
        <f t="shared" ref="T2303:Y2303" si="2514">IF(ISBLANK(K2303)=TRUE,0,1)</f>
        <v>0</v>
      </c>
      <c r="U2303" s="13">
        <f t="shared" si="2514"/>
        <v>0</v>
      </c>
      <c r="V2303" s="13">
        <f t="shared" si="2514"/>
        <v>1</v>
      </c>
      <c r="W2303" s="13">
        <f t="shared" si="2514"/>
        <v>1</v>
      </c>
      <c r="X2303" s="13">
        <f t="shared" si="2514"/>
        <v>1</v>
      </c>
      <c r="Y2303" s="13">
        <f t="shared" si="2514"/>
        <v>1</v>
      </c>
      <c r="Z2303" s="13">
        <f t="shared" si="1998"/>
        <v>0</v>
      </c>
      <c r="AA2303" s="13"/>
      <c r="AB2303" s="13"/>
      <c r="AC2303" s="13"/>
      <c r="AD2303" s="13"/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</row>
    <row r="2304" ht="14.25" hidden="1" customHeight="1">
      <c r="A2304" s="13" t="s">
        <v>29</v>
      </c>
      <c r="B2304" s="13" t="s">
        <v>30</v>
      </c>
      <c r="C2304" s="13" t="s">
        <v>1378</v>
      </c>
      <c r="D2304" s="13"/>
      <c r="E2304" s="13" t="str">
        <f t="shared" si="2395"/>
        <v>SJC,211-10-49,,0</v>
      </c>
      <c r="F2304" s="13"/>
      <c r="G2304" s="13" t="s">
        <v>111</v>
      </c>
      <c r="H2304" s="13" t="s">
        <v>107</v>
      </c>
      <c r="I2304" s="14">
        <v>44862.0</v>
      </c>
      <c r="J2304" s="14"/>
      <c r="K2304" s="15"/>
      <c r="L2304" s="15"/>
      <c r="M2304" s="16">
        <v>0.0</v>
      </c>
      <c r="N2304" s="16">
        <v>0.0</v>
      </c>
      <c r="O2304" s="17">
        <v>0.0</v>
      </c>
      <c r="P2304" s="17">
        <v>0.0</v>
      </c>
      <c r="Q2304" s="13">
        <f t="shared" si="2510"/>
        <v>0</v>
      </c>
      <c r="R2304" s="14">
        <v>44973.0</v>
      </c>
      <c r="S2304" s="13"/>
      <c r="T2304" s="13">
        <f t="shared" ref="T2304:Y2304" si="2515">IF(ISBLANK(K2304)=TRUE,0,1)</f>
        <v>0</v>
      </c>
      <c r="U2304" s="13">
        <f t="shared" si="2515"/>
        <v>0</v>
      </c>
      <c r="V2304" s="13">
        <f t="shared" si="2515"/>
        <v>1</v>
      </c>
      <c r="W2304" s="13">
        <f t="shared" si="2515"/>
        <v>1</v>
      </c>
      <c r="X2304" s="13">
        <f t="shared" si="2515"/>
        <v>1</v>
      </c>
      <c r="Y2304" s="13">
        <f t="shared" si="2515"/>
        <v>1</v>
      </c>
      <c r="Z2304" s="13">
        <f t="shared" si="1998"/>
        <v>0</v>
      </c>
      <c r="AA2304" s="13"/>
      <c r="AB2304" s="13"/>
      <c r="AC2304" s="13"/>
      <c r="AD2304" s="13"/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</row>
    <row r="2305" ht="14.25" hidden="1" customHeight="1">
      <c r="A2305" s="13" t="s">
        <v>29</v>
      </c>
      <c r="B2305" s="13" t="s">
        <v>30</v>
      </c>
      <c r="C2305" s="13" t="s">
        <v>1379</v>
      </c>
      <c r="D2305" s="13"/>
      <c r="E2305" s="13" t="str">
        <f t="shared" si="2395"/>
        <v>SJC,211-10-5,,0</v>
      </c>
      <c r="F2305" s="13"/>
      <c r="G2305" s="13" t="s">
        <v>111</v>
      </c>
      <c r="H2305" s="13" t="s">
        <v>107</v>
      </c>
      <c r="I2305" s="14">
        <v>44862.0</v>
      </c>
      <c r="J2305" s="14"/>
      <c r="K2305" s="15"/>
      <c r="L2305" s="15"/>
      <c r="M2305" s="16">
        <v>0.0</v>
      </c>
      <c r="N2305" s="16">
        <v>0.0</v>
      </c>
      <c r="O2305" s="17">
        <v>0.0</v>
      </c>
      <c r="P2305" s="17">
        <v>0.0</v>
      </c>
      <c r="Q2305" s="13">
        <f t="shared" si="2510"/>
        <v>0</v>
      </c>
      <c r="R2305" s="14">
        <v>44973.0</v>
      </c>
      <c r="S2305" s="13"/>
      <c r="T2305" s="13">
        <f t="shared" ref="T2305:Y2305" si="2516">IF(ISBLANK(K2305)=TRUE,0,1)</f>
        <v>0</v>
      </c>
      <c r="U2305" s="13">
        <f t="shared" si="2516"/>
        <v>0</v>
      </c>
      <c r="V2305" s="13">
        <f t="shared" si="2516"/>
        <v>1</v>
      </c>
      <c r="W2305" s="13">
        <f t="shared" si="2516"/>
        <v>1</v>
      </c>
      <c r="X2305" s="13">
        <f t="shared" si="2516"/>
        <v>1</v>
      </c>
      <c r="Y2305" s="13">
        <f t="shared" si="2516"/>
        <v>1</v>
      </c>
      <c r="Z2305" s="13">
        <f t="shared" si="1998"/>
        <v>0</v>
      </c>
      <c r="AA2305" s="13"/>
      <c r="AB2305" s="13"/>
      <c r="AC2305" s="13"/>
      <c r="AD2305" s="13"/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</row>
    <row r="2306" ht="14.25" hidden="1" customHeight="1">
      <c r="A2306" s="13" t="s">
        <v>29</v>
      </c>
      <c r="B2306" s="13" t="s">
        <v>30</v>
      </c>
      <c r="C2306" s="13" t="s">
        <v>1380</v>
      </c>
      <c r="D2306" s="13"/>
      <c r="E2306" s="13" t="str">
        <f t="shared" si="2395"/>
        <v>SJC,211-10-50,,0</v>
      </c>
      <c r="F2306" s="13"/>
      <c r="G2306" s="13" t="s">
        <v>111</v>
      </c>
      <c r="H2306" s="13" t="s">
        <v>75</v>
      </c>
      <c r="I2306" s="14">
        <v>44862.0</v>
      </c>
      <c r="J2306" s="14"/>
      <c r="K2306" s="15"/>
      <c r="L2306" s="15"/>
      <c r="M2306" s="16">
        <v>0.0</v>
      </c>
      <c r="N2306" s="16">
        <v>0.0</v>
      </c>
      <c r="O2306" s="17">
        <v>0.0</v>
      </c>
      <c r="P2306" s="17">
        <v>0.0</v>
      </c>
      <c r="Q2306" s="13"/>
      <c r="R2306" s="14">
        <v>44973.0</v>
      </c>
      <c r="S2306" s="13"/>
      <c r="T2306" s="13">
        <f t="shared" ref="T2306:Y2306" si="2517">IF(ISBLANK(K2306)=TRUE,0,1)</f>
        <v>0</v>
      </c>
      <c r="U2306" s="13">
        <f t="shared" si="2517"/>
        <v>0</v>
      </c>
      <c r="V2306" s="13">
        <f t="shared" si="2517"/>
        <v>1</v>
      </c>
      <c r="W2306" s="13">
        <f t="shared" si="2517"/>
        <v>1</v>
      </c>
      <c r="X2306" s="13">
        <f t="shared" si="2517"/>
        <v>1</v>
      </c>
      <c r="Y2306" s="13">
        <f t="shared" si="2517"/>
        <v>1</v>
      </c>
      <c r="Z2306" s="13">
        <f t="shared" si="1998"/>
        <v>0</v>
      </c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</row>
    <row r="2307" ht="14.25" hidden="1" customHeight="1">
      <c r="A2307" s="13" t="s">
        <v>29</v>
      </c>
      <c r="B2307" s="13" t="s">
        <v>30</v>
      </c>
      <c r="C2307" s="13" t="s">
        <v>1380</v>
      </c>
      <c r="D2307" s="13" t="s">
        <v>174</v>
      </c>
      <c r="E2307" s="13" t="str">
        <f t="shared" si="2395"/>
        <v>SJC,211-10-50,AA,0</v>
      </c>
      <c r="F2307" s="13"/>
      <c r="G2307" s="13" t="s">
        <v>111</v>
      </c>
      <c r="H2307" s="13" t="s">
        <v>75</v>
      </c>
      <c r="I2307" s="13"/>
      <c r="J2307" s="13"/>
      <c r="K2307" s="15"/>
      <c r="L2307" s="15"/>
      <c r="M2307" s="16">
        <v>0.0</v>
      </c>
      <c r="N2307" s="16">
        <v>0.0</v>
      </c>
      <c r="O2307" s="17">
        <v>0.0</v>
      </c>
      <c r="P2307" s="17">
        <v>0.0</v>
      </c>
      <c r="Q2307" s="13"/>
      <c r="R2307" s="14">
        <v>44973.0</v>
      </c>
      <c r="S2307" s="13"/>
      <c r="T2307" s="13">
        <f t="shared" ref="T2307:Y2307" si="2518">IF(ISBLANK(K2307)=TRUE,0,1)</f>
        <v>0</v>
      </c>
      <c r="U2307" s="13">
        <f t="shared" si="2518"/>
        <v>0</v>
      </c>
      <c r="V2307" s="13">
        <f t="shared" si="2518"/>
        <v>1</v>
      </c>
      <c r="W2307" s="13">
        <f t="shared" si="2518"/>
        <v>1</v>
      </c>
      <c r="X2307" s="13">
        <f t="shared" si="2518"/>
        <v>1</v>
      </c>
      <c r="Y2307" s="13">
        <f t="shared" si="2518"/>
        <v>1</v>
      </c>
      <c r="Z2307" s="13">
        <f t="shared" si="1998"/>
        <v>0</v>
      </c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</row>
    <row r="2308" ht="14.25" hidden="1" customHeight="1">
      <c r="A2308" s="13" t="s">
        <v>29</v>
      </c>
      <c r="B2308" s="13" t="s">
        <v>30</v>
      </c>
      <c r="C2308" s="13" t="s">
        <v>1380</v>
      </c>
      <c r="D2308" s="13" t="s">
        <v>175</v>
      </c>
      <c r="E2308" s="13" t="str">
        <f t="shared" si="2395"/>
        <v>SJC,211-10-50,AB,0</v>
      </c>
      <c r="F2308" s="13"/>
      <c r="G2308" s="13" t="s">
        <v>111</v>
      </c>
      <c r="H2308" s="13" t="s">
        <v>75</v>
      </c>
      <c r="I2308" s="13"/>
      <c r="J2308" s="13"/>
      <c r="K2308" s="15"/>
      <c r="L2308" s="15"/>
      <c r="M2308" s="16">
        <v>0.0</v>
      </c>
      <c r="N2308" s="16">
        <v>0.0</v>
      </c>
      <c r="O2308" s="17">
        <v>0.0</v>
      </c>
      <c r="P2308" s="17">
        <v>0.0</v>
      </c>
      <c r="Q2308" s="13"/>
      <c r="R2308" s="14">
        <v>44973.0</v>
      </c>
      <c r="S2308" s="13"/>
      <c r="T2308" s="13">
        <f t="shared" ref="T2308:Y2308" si="2519">IF(ISBLANK(K2308)=TRUE,0,1)</f>
        <v>0</v>
      </c>
      <c r="U2308" s="13">
        <f t="shared" si="2519"/>
        <v>0</v>
      </c>
      <c r="V2308" s="13">
        <f t="shared" si="2519"/>
        <v>1</v>
      </c>
      <c r="W2308" s="13">
        <f t="shared" si="2519"/>
        <v>1</v>
      </c>
      <c r="X2308" s="13">
        <f t="shared" si="2519"/>
        <v>1</v>
      </c>
      <c r="Y2308" s="13">
        <f t="shared" si="2519"/>
        <v>1</v>
      </c>
      <c r="Z2308" s="13">
        <f t="shared" si="1998"/>
        <v>0</v>
      </c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</row>
    <row r="2309" ht="14.25" hidden="1" customHeight="1">
      <c r="A2309" s="13" t="s">
        <v>29</v>
      </c>
      <c r="B2309" s="13" t="s">
        <v>30</v>
      </c>
      <c r="C2309" s="13" t="s">
        <v>1380</v>
      </c>
      <c r="D2309" s="13" t="s">
        <v>176</v>
      </c>
      <c r="E2309" s="13" t="str">
        <f t="shared" si="2395"/>
        <v>SJC,211-10-50,AC,0</v>
      </c>
      <c r="F2309" s="13"/>
      <c r="G2309" s="13" t="s">
        <v>111</v>
      </c>
      <c r="H2309" s="13" t="s">
        <v>75</v>
      </c>
      <c r="I2309" s="13"/>
      <c r="J2309" s="13"/>
      <c r="K2309" s="15"/>
      <c r="L2309" s="15"/>
      <c r="M2309" s="16">
        <v>0.0</v>
      </c>
      <c r="N2309" s="16">
        <v>0.0</v>
      </c>
      <c r="O2309" s="17">
        <v>0.0</v>
      </c>
      <c r="P2309" s="17">
        <v>0.0</v>
      </c>
      <c r="Q2309" s="13"/>
      <c r="R2309" s="14">
        <v>44973.0</v>
      </c>
      <c r="S2309" s="13"/>
      <c r="T2309" s="13">
        <f t="shared" ref="T2309:Y2309" si="2520">IF(ISBLANK(K2309)=TRUE,0,1)</f>
        <v>0</v>
      </c>
      <c r="U2309" s="13">
        <f t="shared" si="2520"/>
        <v>0</v>
      </c>
      <c r="V2309" s="13">
        <f t="shared" si="2520"/>
        <v>1</v>
      </c>
      <c r="W2309" s="13">
        <f t="shared" si="2520"/>
        <v>1</v>
      </c>
      <c r="X2309" s="13">
        <f t="shared" si="2520"/>
        <v>1</v>
      </c>
      <c r="Y2309" s="13">
        <f t="shared" si="2520"/>
        <v>1</v>
      </c>
      <c r="Z2309" s="13">
        <f t="shared" si="1998"/>
        <v>0</v>
      </c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</row>
    <row r="2310" ht="14.25" hidden="1" customHeight="1">
      <c r="A2310" s="13" t="s">
        <v>29</v>
      </c>
      <c r="B2310" s="13" t="s">
        <v>30</v>
      </c>
      <c r="C2310" s="13" t="s">
        <v>1381</v>
      </c>
      <c r="D2310" s="13"/>
      <c r="E2310" s="13" t="str">
        <f t="shared" si="2395"/>
        <v>SJC,211-10-51,,0</v>
      </c>
      <c r="F2310" s="13"/>
      <c r="G2310" s="13" t="s">
        <v>111</v>
      </c>
      <c r="H2310" s="13" t="s">
        <v>107</v>
      </c>
      <c r="I2310" s="14">
        <v>44862.0</v>
      </c>
      <c r="J2310" s="14"/>
      <c r="K2310" s="15"/>
      <c r="L2310" s="15"/>
      <c r="M2310" s="16">
        <v>0.0</v>
      </c>
      <c r="N2310" s="16">
        <v>0.0</v>
      </c>
      <c r="O2310" s="17">
        <v>0.0</v>
      </c>
      <c r="P2310" s="17">
        <v>0.0</v>
      </c>
      <c r="Q2310" s="13">
        <f t="shared" ref="Q2310:Q2311" si="2522">K2309+L2309+M2309+N2309+O2309+P2309/6</f>
        <v>0</v>
      </c>
      <c r="R2310" s="14">
        <v>44973.0</v>
      </c>
      <c r="S2310" s="13"/>
      <c r="T2310" s="13">
        <f t="shared" ref="T2310:Y2310" si="2521">IF(ISBLANK(K2310)=TRUE,0,1)</f>
        <v>0</v>
      </c>
      <c r="U2310" s="13">
        <f t="shared" si="2521"/>
        <v>0</v>
      </c>
      <c r="V2310" s="13">
        <f t="shared" si="2521"/>
        <v>1</v>
      </c>
      <c r="W2310" s="13">
        <f t="shared" si="2521"/>
        <v>1</v>
      </c>
      <c r="X2310" s="13">
        <f t="shared" si="2521"/>
        <v>1</v>
      </c>
      <c r="Y2310" s="13">
        <f t="shared" si="2521"/>
        <v>1</v>
      </c>
      <c r="Z2310" s="13">
        <f t="shared" si="1998"/>
        <v>0</v>
      </c>
      <c r="AA2310" s="13"/>
      <c r="AB2310" s="13"/>
      <c r="AC2310" s="13"/>
      <c r="AD2310" s="13"/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</row>
    <row r="2311" ht="14.25" hidden="1" customHeight="1">
      <c r="A2311" s="13" t="s">
        <v>29</v>
      </c>
      <c r="B2311" s="13" t="s">
        <v>30</v>
      </c>
      <c r="C2311" s="13" t="s">
        <v>1382</v>
      </c>
      <c r="D2311" s="13"/>
      <c r="E2311" s="13" t="str">
        <f t="shared" si="2395"/>
        <v>SJC,211-10-52,,0</v>
      </c>
      <c r="F2311" s="13"/>
      <c r="G2311" s="13" t="s">
        <v>111</v>
      </c>
      <c r="H2311" s="13" t="s">
        <v>75</v>
      </c>
      <c r="I2311" s="14">
        <v>44862.0</v>
      </c>
      <c r="J2311" s="14"/>
      <c r="K2311" s="15"/>
      <c r="L2311" s="15"/>
      <c r="M2311" s="16">
        <v>0.0</v>
      </c>
      <c r="N2311" s="16">
        <v>0.0</v>
      </c>
      <c r="O2311" s="17">
        <v>0.0</v>
      </c>
      <c r="P2311" s="17">
        <v>0.0</v>
      </c>
      <c r="Q2311" s="13">
        <f t="shared" si="2522"/>
        <v>0</v>
      </c>
      <c r="R2311" s="14">
        <v>44973.0</v>
      </c>
      <c r="S2311" s="13"/>
      <c r="T2311" s="13">
        <f t="shared" ref="T2311:Y2311" si="2523">IF(ISBLANK(K2311)=TRUE,0,1)</f>
        <v>0</v>
      </c>
      <c r="U2311" s="13">
        <f t="shared" si="2523"/>
        <v>0</v>
      </c>
      <c r="V2311" s="13">
        <f t="shared" si="2523"/>
        <v>1</v>
      </c>
      <c r="W2311" s="13">
        <f t="shared" si="2523"/>
        <v>1</v>
      </c>
      <c r="X2311" s="13">
        <f t="shared" si="2523"/>
        <v>1</v>
      </c>
      <c r="Y2311" s="13">
        <f t="shared" si="2523"/>
        <v>1</v>
      </c>
      <c r="Z2311" s="13">
        <f t="shared" si="1998"/>
        <v>0</v>
      </c>
      <c r="AA2311" s="13"/>
      <c r="AB2311" s="13"/>
      <c r="AC2311" s="13"/>
      <c r="AD2311" s="13"/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</row>
    <row r="2312" ht="14.25" hidden="1" customHeight="1">
      <c r="A2312" s="13" t="s">
        <v>29</v>
      </c>
      <c r="B2312" s="13" t="s">
        <v>30</v>
      </c>
      <c r="C2312" s="13" t="s">
        <v>1382</v>
      </c>
      <c r="D2312" s="13" t="s">
        <v>174</v>
      </c>
      <c r="E2312" s="13" t="str">
        <f t="shared" si="2395"/>
        <v>SJC,211-10-52,AA,0</v>
      </c>
      <c r="F2312" s="13"/>
      <c r="G2312" s="13" t="s">
        <v>111</v>
      </c>
      <c r="H2312" s="13" t="s">
        <v>75</v>
      </c>
      <c r="I2312" s="13"/>
      <c r="J2312" s="13"/>
      <c r="K2312" s="15"/>
      <c r="L2312" s="15"/>
      <c r="M2312" s="16">
        <v>0.0</v>
      </c>
      <c r="N2312" s="16">
        <v>0.0</v>
      </c>
      <c r="O2312" s="17">
        <v>0.0</v>
      </c>
      <c r="P2312" s="17">
        <v>0.0</v>
      </c>
      <c r="Q2312" s="13"/>
      <c r="R2312" s="14">
        <v>44973.0</v>
      </c>
      <c r="S2312" s="13"/>
      <c r="T2312" s="13">
        <f t="shared" ref="T2312:Y2312" si="2524">IF(ISBLANK(K2312)=TRUE,0,1)</f>
        <v>0</v>
      </c>
      <c r="U2312" s="13">
        <f t="shared" si="2524"/>
        <v>0</v>
      </c>
      <c r="V2312" s="13">
        <f t="shared" si="2524"/>
        <v>1</v>
      </c>
      <c r="W2312" s="13">
        <f t="shared" si="2524"/>
        <v>1</v>
      </c>
      <c r="X2312" s="13">
        <f t="shared" si="2524"/>
        <v>1</v>
      </c>
      <c r="Y2312" s="13">
        <f t="shared" si="2524"/>
        <v>1</v>
      </c>
      <c r="Z2312" s="13">
        <f t="shared" si="1998"/>
        <v>0</v>
      </c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</row>
    <row r="2313" ht="14.25" hidden="1" customHeight="1">
      <c r="A2313" s="13" t="s">
        <v>29</v>
      </c>
      <c r="B2313" s="13" t="s">
        <v>30</v>
      </c>
      <c r="C2313" s="13" t="s">
        <v>1382</v>
      </c>
      <c r="D2313" s="13" t="s">
        <v>175</v>
      </c>
      <c r="E2313" s="13" t="str">
        <f t="shared" si="2395"/>
        <v>SJC,211-10-52,AB,0</v>
      </c>
      <c r="F2313" s="13"/>
      <c r="G2313" s="13" t="s">
        <v>111</v>
      </c>
      <c r="H2313" s="13" t="s">
        <v>75</v>
      </c>
      <c r="I2313" s="13"/>
      <c r="J2313" s="13"/>
      <c r="K2313" s="15"/>
      <c r="L2313" s="15"/>
      <c r="M2313" s="16">
        <v>0.0</v>
      </c>
      <c r="N2313" s="16">
        <v>0.0</v>
      </c>
      <c r="O2313" s="17">
        <v>0.0</v>
      </c>
      <c r="P2313" s="17">
        <v>0.0</v>
      </c>
      <c r="Q2313" s="13"/>
      <c r="R2313" s="14">
        <v>44973.0</v>
      </c>
      <c r="S2313" s="13"/>
      <c r="T2313" s="13">
        <f t="shared" ref="T2313:Y2313" si="2525">IF(ISBLANK(K2313)=TRUE,0,1)</f>
        <v>0</v>
      </c>
      <c r="U2313" s="13">
        <f t="shared" si="2525"/>
        <v>0</v>
      </c>
      <c r="V2313" s="13">
        <f t="shared" si="2525"/>
        <v>1</v>
      </c>
      <c r="W2313" s="13">
        <f t="shared" si="2525"/>
        <v>1</v>
      </c>
      <c r="X2313" s="13">
        <f t="shared" si="2525"/>
        <v>1</v>
      </c>
      <c r="Y2313" s="13">
        <f t="shared" si="2525"/>
        <v>1</v>
      </c>
      <c r="Z2313" s="13">
        <f t="shared" si="1998"/>
        <v>0</v>
      </c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</row>
    <row r="2314" ht="14.25" hidden="1" customHeight="1">
      <c r="A2314" s="13" t="s">
        <v>29</v>
      </c>
      <c r="B2314" s="13" t="s">
        <v>30</v>
      </c>
      <c r="C2314" s="13" t="s">
        <v>1382</v>
      </c>
      <c r="D2314" s="13" t="s">
        <v>176</v>
      </c>
      <c r="E2314" s="13" t="str">
        <f t="shared" si="2395"/>
        <v>SJC,211-10-52,AC,0</v>
      </c>
      <c r="F2314" s="13"/>
      <c r="G2314" s="13" t="s">
        <v>111</v>
      </c>
      <c r="H2314" s="13" t="s">
        <v>75</v>
      </c>
      <c r="I2314" s="14">
        <v>44862.0</v>
      </c>
      <c r="J2314" s="14"/>
      <c r="K2314" s="15"/>
      <c r="L2314" s="15"/>
      <c r="M2314" s="16">
        <v>0.0</v>
      </c>
      <c r="N2314" s="16">
        <v>0.0</v>
      </c>
      <c r="O2314" s="17">
        <v>0.0</v>
      </c>
      <c r="P2314" s="17">
        <v>0.0</v>
      </c>
      <c r="Q2314" s="13">
        <f t="shared" ref="Q2314:Q2315" si="2527">K2313+L2313+M2313+N2313+O2313+P2313/6</f>
        <v>0</v>
      </c>
      <c r="R2314" s="14">
        <v>44973.0</v>
      </c>
      <c r="S2314" s="13"/>
      <c r="T2314" s="13">
        <f t="shared" ref="T2314:Y2314" si="2526">IF(ISBLANK(K2314)=TRUE,0,1)</f>
        <v>0</v>
      </c>
      <c r="U2314" s="13">
        <f t="shared" si="2526"/>
        <v>0</v>
      </c>
      <c r="V2314" s="13">
        <f t="shared" si="2526"/>
        <v>1</v>
      </c>
      <c r="W2314" s="13">
        <f t="shared" si="2526"/>
        <v>1</v>
      </c>
      <c r="X2314" s="13">
        <f t="shared" si="2526"/>
        <v>1</v>
      </c>
      <c r="Y2314" s="13">
        <f t="shared" si="2526"/>
        <v>1</v>
      </c>
      <c r="Z2314" s="13">
        <f t="shared" si="1998"/>
        <v>0</v>
      </c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</row>
    <row r="2315" ht="14.25" hidden="1" customHeight="1">
      <c r="A2315" s="13" t="s">
        <v>29</v>
      </c>
      <c r="B2315" s="13" t="s">
        <v>30</v>
      </c>
      <c r="C2315" s="13" t="s">
        <v>1382</v>
      </c>
      <c r="D2315" s="13" t="s">
        <v>177</v>
      </c>
      <c r="E2315" s="13" t="str">
        <f t="shared" si="2395"/>
        <v>SJC,211-10-52,AD,0</v>
      </c>
      <c r="F2315" s="13"/>
      <c r="G2315" s="13" t="s">
        <v>111</v>
      </c>
      <c r="H2315" s="13" t="s">
        <v>75</v>
      </c>
      <c r="I2315" s="14">
        <v>44862.0</v>
      </c>
      <c r="J2315" s="14"/>
      <c r="K2315" s="15"/>
      <c r="L2315" s="15"/>
      <c r="M2315" s="16">
        <v>0.0</v>
      </c>
      <c r="N2315" s="16">
        <v>0.0</v>
      </c>
      <c r="O2315" s="17">
        <v>0.0</v>
      </c>
      <c r="P2315" s="17">
        <v>0.0</v>
      </c>
      <c r="Q2315" s="13">
        <f t="shared" si="2527"/>
        <v>0</v>
      </c>
      <c r="R2315" s="14">
        <v>44973.0</v>
      </c>
      <c r="S2315" s="13"/>
      <c r="T2315" s="13">
        <f t="shared" ref="T2315:Y2315" si="2528">IF(ISBLANK(K2315)=TRUE,0,1)</f>
        <v>0</v>
      </c>
      <c r="U2315" s="13">
        <f t="shared" si="2528"/>
        <v>0</v>
      </c>
      <c r="V2315" s="13">
        <f t="shared" si="2528"/>
        <v>1</v>
      </c>
      <c r="W2315" s="13">
        <f t="shared" si="2528"/>
        <v>1</v>
      </c>
      <c r="X2315" s="13">
        <f t="shared" si="2528"/>
        <v>1</v>
      </c>
      <c r="Y2315" s="13">
        <f t="shared" si="2528"/>
        <v>1</v>
      </c>
      <c r="Z2315" s="13">
        <f t="shared" si="1998"/>
        <v>0</v>
      </c>
      <c r="AA2315" s="13"/>
      <c r="AB2315" s="13"/>
      <c r="AC2315" s="13"/>
      <c r="AD2315" s="13"/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</row>
    <row r="2316" ht="14.25" hidden="1" customHeight="1">
      <c r="A2316" s="13" t="s">
        <v>29</v>
      </c>
      <c r="B2316" s="13" t="s">
        <v>30</v>
      </c>
      <c r="C2316" s="13" t="s">
        <v>1383</v>
      </c>
      <c r="D2316" s="13"/>
      <c r="E2316" s="13" t="str">
        <f t="shared" si="2395"/>
        <v>SJC,211-10-53,,0</v>
      </c>
      <c r="F2316" s="13"/>
      <c r="G2316" s="13" t="s">
        <v>111</v>
      </c>
      <c r="H2316" s="13" t="s">
        <v>107</v>
      </c>
      <c r="I2316" s="14">
        <v>44862.0</v>
      </c>
      <c r="J2316" s="14"/>
      <c r="K2316" s="15"/>
      <c r="L2316" s="15"/>
      <c r="M2316" s="16">
        <v>0.0</v>
      </c>
      <c r="N2316" s="16">
        <v>0.0</v>
      </c>
      <c r="O2316" s="17">
        <v>0.0</v>
      </c>
      <c r="P2316" s="17">
        <v>0.0</v>
      </c>
      <c r="Q2316" s="13">
        <f>K2313+L2313+M2313+N2313+O2313+P2313/6</f>
        <v>0</v>
      </c>
      <c r="R2316" s="14">
        <v>44973.0</v>
      </c>
      <c r="S2316" s="13"/>
      <c r="T2316" s="13">
        <f t="shared" ref="T2316:Y2316" si="2529">IF(ISBLANK(K2316)=TRUE,0,1)</f>
        <v>0</v>
      </c>
      <c r="U2316" s="13">
        <f t="shared" si="2529"/>
        <v>0</v>
      </c>
      <c r="V2316" s="13">
        <f t="shared" si="2529"/>
        <v>1</v>
      </c>
      <c r="W2316" s="13">
        <f t="shared" si="2529"/>
        <v>1</v>
      </c>
      <c r="X2316" s="13">
        <f t="shared" si="2529"/>
        <v>1</v>
      </c>
      <c r="Y2316" s="13">
        <f t="shared" si="2529"/>
        <v>1</v>
      </c>
      <c r="Z2316" s="13">
        <f t="shared" si="1998"/>
        <v>0</v>
      </c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</row>
    <row r="2317" ht="14.25" hidden="1" customHeight="1">
      <c r="A2317" s="13" t="s">
        <v>29</v>
      </c>
      <c r="B2317" s="13" t="s">
        <v>30</v>
      </c>
      <c r="C2317" s="13" t="s">
        <v>1384</v>
      </c>
      <c r="D2317" s="13"/>
      <c r="E2317" s="13" t="str">
        <f t="shared" si="2395"/>
        <v>SJC,211-10-54,,0</v>
      </c>
      <c r="F2317" s="13"/>
      <c r="G2317" s="13" t="s">
        <v>111</v>
      </c>
      <c r="H2317" s="13" t="s">
        <v>107</v>
      </c>
      <c r="I2317" s="14">
        <v>44862.0</v>
      </c>
      <c r="J2317" s="14"/>
      <c r="K2317" s="15"/>
      <c r="L2317" s="15"/>
      <c r="M2317" s="16">
        <v>0.0</v>
      </c>
      <c r="N2317" s="16">
        <v>0.0</v>
      </c>
      <c r="O2317" s="17">
        <v>0.0</v>
      </c>
      <c r="P2317" s="17">
        <v>0.0</v>
      </c>
      <c r="Q2317" s="13">
        <f t="shared" ref="Q2317:Q2328" si="2531">K2316+L2316+M2316+N2316+O2316+P2316/6</f>
        <v>0</v>
      </c>
      <c r="R2317" s="14">
        <v>44973.0</v>
      </c>
      <c r="S2317" s="13"/>
      <c r="T2317" s="13">
        <f t="shared" ref="T2317:Y2317" si="2530">IF(ISBLANK(K2317)=TRUE,0,1)</f>
        <v>0</v>
      </c>
      <c r="U2317" s="13">
        <f t="shared" si="2530"/>
        <v>0</v>
      </c>
      <c r="V2317" s="13">
        <f t="shared" si="2530"/>
        <v>1</v>
      </c>
      <c r="W2317" s="13">
        <f t="shared" si="2530"/>
        <v>1</v>
      </c>
      <c r="X2317" s="13">
        <f t="shared" si="2530"/>
        <v>1</v>
      </c>
      <c r="Y2317" s="13">
        <f t="shared" si="2530"/>
        <v>1</v>
      </c>
      <c r="Z2317" s="13">
        <f t="shared" si="1998"/>
        <v>0</v>
      </c>
      <c r="AA2317" s="13"/>
      <c r="AB2317" s="13"/>
      <c r="AC2317" s="13"/>
      <c r="AD2317" s="13"/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</row>
    <row r="2318" ht="14.25" hidden="1" customHeight="1">
      <c r="A2318" s="34" t="s">
        <v>29</v>
      </c>
      <c r="B2318" s="13" t="s">
        <v>30</v>
      </c>
      <c r="C2318" s="13" t="s">
        <v>1385</v>
      </c>
      <c r="D2318" s="13"/>
      <c r="E2318" s="13" t="str">
        <f t="shared" si="2395"/>
        <v>SJC,211-10-55,,0</v>
      </c>
      <c r="F2318" s="13"/>
      <c r="G2318" s="13" t="s">
        <v>111</v>
      </c>
      <c r="H2318" s="13" t="s">
        <v>107</v>
      </c>
      <c r="I2318" s="14">
        <v>44862.0</v>
      </c>
      <c r="J2318" s="14"/>
      <c r="K2318" s="15"/>
      <c r="L2318" s="15"/>
      <c r="M2318" s="16">
        <v>0.0</v>
      </c>
      <c r="N2318" s="16">
        <v>0.0</v>
      </c>
      <c r="O2318" s="17">
        <v>0.0</v>
      </c>
      <c r="P2318" s="17">
        <v>0.0</v>
      </c>
      <c r="Q2318" s="13">
        <f t="shared" si="2531"/>
        <v>0</v>
      </c>
      <c r="R2318" s="14">
        <v>44973.0</v>
      </c>
      <c r="S2318" s="13"/>
      <c r="T2318" s="13">
        <f t="shared" ref="T2318:Y2318" si="2532">IF(ISBLANK(K2318)=TRUE,0,1)</f>
        <v>0</v>
      </c>
      <c r="U2318" s="13">
        <f t="shared" si="2532"/>
        <v>0</v>
      </c>
      <c r="V2318" s="13">
        <f t="shared" si="2532"/>
        <v>1</v>
      </c>
      <c r="W2318" s="13">
        <f t="shared" si="2532"/>
        <v>1</v>
      </c>
      <c r="X2318" s="13">
        <f t="shared" si="2532"/>
        <v>1</v>
      </c>
      <c r="Y2318" s="13">
        <f t="shared" si="2532"/>
        <v>1</v>
      </c>
      <c r="Z2318" s="13">
        <f t="shared" si="1998"/>
        <v>0</v>
      </c>
      <c r="AA2318" s="13"/>
      <c r="AB2318" s="13"/>
      <c r="AC2318" s="13"/>
      <c r="AD2318" s="13"/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</row>
    <row r="2319" ht="14.25" hidden="1" customHeight="1">
      <c r="A2319" s="13" t="s">
        <v>29</v>
      </c>
      <c r="B2319" s="13" t="s">
        <v>30</v>
      </c>
      <c r="C2319" s="13" t="s">
        <v>1386</v>
      </c>
      <c r="D2319" s="13"/>
      <c r="E2319" s="13" t="str">
        <f t="shared" si="2395"/>
        <v>SJC,211-10-56,,0</v>
      </c>
      <c r="F2319" s="13"/>
      <c r="G2319" s="13" t="s">
        <v>111</v>
      </c>
      <c r="H2319" s="13" t="s">
        <v>107</v>
      </c>
      <c r="I2319" s="14">
        <v>44862.0</v>
      </c>
      <c r="J2319" s="14"/>
      <c r="K2319" s="15"/>
      <c r="L2319" s="15"/>
      <c r="M2319" s="16">
        <v>0.0</v>
      </c>
      <c r="N2319" s="16">
        <v>0.0</v>
      </c>
      <c r="O2319" s="17">
        <v>0.0</v>
      </c>
      <c r="P2319" s="17">
        <v>0.0</v>
      </c>
      <c r="Q2319" s="13">
        <f t="shared" si="2531"/>
        <v>0</v>
      </c>
      <c r="R2319" s="14">
        <v>44973.0</v>
      </c>
      <c r="S2319" s="13"/>
      <c r="T2319" s="13">
        <f t="shared" ref="T2319:Y2319" si="2533">IF(ISBLANK(K2319)=TRUE,0,1)</f>
        <v>0</v>
      </c>
      <c r="U2319" s="13">
        <f t="shared" si="2533"/>
        <v>0</v>
      </c>
      <c r="V2319" s="13">
        <f t="shared" si="2533"/>
        <v>1</v>
      </c>
      <c r="W2319" s="13">
        <f t="shared" si="2533"/>
        <v>1</v>
      </c>
      <c r="X2319" s="13">
        <f t="shared" si="2533"/>
        <v>1</v>
      </c>
      <c r="Y2319" s="13">
        <f t="shared" si="2533"/>
        <v>1</v>
      </c>
      <c r="Z2319" s="13">
        <f t="shared" si="1998"/>
        <v>0</v>
      </c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</row>
    <row r="2320" ht="14.25" hidden="1" customHeight="1">
      <c r="A2320" s="13" t="s">
        <v>29</v>
      </c>
      <c r="B2320" s="13" t="s">
        <v>30</v>
      </c>
      <c r="C2320" s="13" t="s">
        <v>1387</v>
      </c>
      <c r="D2320" s="13"/>
      <c r="E2320" s="13" t="str">
        <f t="shared" si="2395"/>
        <v>SJC,211-10-57,,0</v>
      </c>
      <c r="F2320" s="13"/>
      <c r="G2320" s="13" t="s">
        <v>111</v>
      </c>
      <c r="H2320" s="13" t="s">
        <v>75</v>
      </c>
      <c r="I2320" s="14">
        <v>44862.0</v>
      </c>
      <c r="J2320" s="14"/>
      <c r="K2320" s="15"/>
      <c r="L2320" s="15"/>
      <c r="M2320" s="16">
        <v>0.0</v>
      </c>
      <c r="N2320" s="16">
        <v>0.0</v>
      </c>
      <c r="O2320" s="17">
        <v>0.0</v>
      </c>
      <c r="P2320" s="17">
        <v>0.0</v>
      </c>
      <c r="Q2320" s="13">
        <f t="shared" si="2531"/>
        <v>0</v>
      </c>
      <c r="R2320" s="14">
        <v>44973.0</v>
      </c>
      <c r="S2320" s="13"/>
      <c r="T2320" s="13">
        <f t="shared" ref="T2320:Y2320" si="2534">IF(ISBLANK(K2320)=TRUE,0,1)</f>
        <v>0</v>
      </c>
      <c r="U2320" s="13">
        <f t="shared" si="2534"/>
        <v>0</v>
      </c>
      <c r="V2320" s="13">
        <f t="shared" si="2534"/>
        <v>1</v>
      </c>
      <c r="W2320" s="13">
        <f t="shared" si="2534"/>
        <v>1</v>
      </c>
      <c r="X2320" s="13">
        <f t="shared" si="2534"/>
        <v>1</v>
      </c>
      <c r="Y2320" s="13">
        <f t="shared" si="2534"/>
        <v>1</v>
      </c>
      <c r="Z2320" s="13">
        <f t="shared" si="1998"/>
        <v>0</v>
      </c>
      <c r="AA2320" s="13"/>
      <c r="AB2320" s="13"/>
      <c r="AC2320" s="13"/>
      <c r="AD2320" s="13"/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</row>
    <row r="2321" ht="14.25" hidden="1" customHeight="1">
      <c r="A2321" s="13" t="s">
        <v>29</v>
      </c>
      <c r="B2321" s="13" t="s">
        <v>30</v>
      </c>
      <c r="C2321" s="13" t="s">
        <v>1387</v>
      </c>
      <c r="D2321" s="13" t="s">
        <v>174</v>
      </c>
      <c r="E2321" s="13" t="str">
        <f t="shared" si="2395"/>
        <v>SJC,211-10-57,AA,0</v>
      </c>
      <c r="F2321" s="13"/>
      <c r="G2321" s="13" t="s">
        <v>111</v>
      </c>
      <c r="H2321" s="13" t="s">
        <v>75</v>
      </c>
      <c r="I2321" s="14">
        <v>44862.0</v>
      </c>
      <c r="J2321" s="14"/>
      <c r="K2321" s="15"/>
      <c r="L2321" s="15"/>
      <c r="M2321" s="16">
        <v>0.0</v>
      </c>
      <c r="N2321" s="16">
        <v>0.0</v>
      </c>
      <c r="O2321" s="17">
        <v>0.0</v>
      </c>
      <c r="P2321" s="17">
        <v>0.0</v>
      </c>
      <c r="Q2321" s="13">
        <f t="shared" si="2531"/>
        <v>0</v>
      </c>
      <c r="R2321" s="14">
        <v>44973.0</v>
      </c>
      <c r="S2321" s="13"/>
      <c r="T2321" s="13">
        <f t="shared" ref="T2321:Y2321" si="2535">IF(ISBLANK(K2321)=TRUE,0,1)</f>
        <v>0</v>
      </c>
      <c r="U2321" s="13">
        <f t="shared" si="2535"/>
        <v>0</v>
      </c>
      <c r="V2321" s="13">
        <f t="shared" si="2535"/>
        <v>1</v>
      </c>
      <c r="W2321" s="13">
        <f t="shared" si="2535"/>
        <v>1</v>
      </c>
      <c r="X2321" s="13">
        <f t="shared" si="2535"/>
        <v>1</v>
      </c>
      <c r="Y2321" s="13">
        <f t="shared" si="2535"/>
        <v>1</v>
      </c>
      <c r="Z2321" s="13">
        <f t="shared" si="1998"/>
        <v>0</v>
      </c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</row>
    <row r="2322" ht="14.25" hidden="1" customHeight="1">
      <c r="A2322" s="13" t="s">
        <v>29</v>
      </c>
      <c r="B2322" s="13" t="s">
        <v>30</v>
      </c>
      <c r="C2322" s="13" t="s">
        <v>1387</v>
      </c>
      <c r="D2322" s="13" t="s">
        <v>175</v>
      </c>
      <c r="E2322" s="13" t="str">
        <f t="shared" si="2395"/>
        <v>SJC,211-10-57,AB,0</v>
      </c>
      <c r="F2322" s="13"/>
      <c r="G2322" s="13" t="s">
        <v>111</v>
      </c>
      <c r="H2322" s="13" t="s">
        <v>75</v>
      </c>
      <c r="I2322" s="14">
        <v>44862.0</v>
      </c>
      <c r="J2322" s="14"/>
      <c r="K2322" s="15"/>
      <c r="L2322" s="15"/>
      <c r="M2322" s="16">
        <v>0.0</v>
      </c>
      <c r="N2322" s="16">
        <v>0.0</v>
      </c>
      <c r="O2322" s="17">
        <v>0.0</v>
      </c>
      <c r="P2322" s="17">
        <v>0.0</v>
      </c>
      <c r="Q2322" s="13">
        <f t="shared" si="2531"/>
        <v>0</v>
      </c>
      <c r="R2322" s="14">
        <v>44973.0</v>
      </c>
      <c r="S2322" s="13"/>
      <c r="T2322" s="13">
        <f t="shared" ref="T2322:Y2322" si="2536">IF(ISBLANK(K2322)=TRUE,0,1)</f>
        <v>0</v>
      </c>
      <c r="U2322" s="13">
        <f t="shared" si="2536"/>
        <v>0</v>
      </c>
      <c r="V2322" s="13">
        <f t="shared" si="2536"/>
        <v>1</v>
      </c>
      <c r="W2322" s="13">
        <f t="shared" si="2536"/>
        <v>1</v>
      </c>
      <c r="X2322" s="13">
        <f t="shared" si="2536"/>
        <v>1</v>
      </c>
      <c r="Y2322" s="13">
        <f t="shared" si="2536"/>
        <v>1</v>
      </c>
      <c r="Z2322" s="13">
        <f t="shared" si="1998"/>
        <v>0</v>
      </c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</row>
    <row r="2323" ht="14.25" hidden="1" customHeight="1">
      <c r="A2323" s="13" t="s">
        <v>29</v>
      </c>
      <c r="B2323" s="13" t="s">
        <v>30</v>
      </c>
      <c r="C2323" s="13" t="s">
        <v>1388</v>
      </c>
      <c r="D2323" s="13"/>
      <c r="E2323" s="13" t="str">
        <f t="shared" si="2395"/>
        <v>SJC,211-10-58,,0</v>
      </c>
      <c r="F2323" s="13"/>
      <c r="G2323" s="13" t="s">
        <v>111</v>
      </c>
      <c r="H2323" s="13" t="s">
        <v>107</v>
      </c>
      <c r="I2323" s="14">
        <v>44862.0</v>
      </c>
      <c r="J2323" s="14"/>
      <c r="K2323" s="15"/>
      <c r="L2323" s="15"/>
      <c r="M2323" s="16">
        <v>0.0</v>
      </c>
      <c r="N2323" s="16">
        <v>0.0</v>
      </c>
      <c r="O2323" s="17">
        <v>0.0</v>
      </c>
      <c r="P2323" s="17">
        <v>0.0</v>
      </c>
      <c r="Q2323" s="13">
        <f t="shared" si="2531"/>
        <v>0</v>
      </c>
      <c r="R2323" s="14">
        <v>44973.0</v>
      </c>
      <c r="S2323" s="13"/>
      <c r="T2323" s="13">
        <f t="shared" ref="T2323:Y2323" si="2537">IF(ISBLANK(K2323)=TRUE,0,1)</f>
        <v>0</v>
      </c>
      <c r="U2323" s="13">
        <f t="shared" si="2537"/>
        <v>0</v>
      </c>
      <c r="V2323" s="13">
        <f t="shared" si="2537"/>
        <v>1</v>
      </c>
      <c r="W2323" s="13">
        <f t="shared" si="2537"/>
        <v>1</v>
      </c>
      <c r="X2323" s="13">
        <f t="shared" si="2537"/>
        <v>1</v>
      </c>
      <c r="Y2323" s="13">
        <f t="shared" si="2537"/>
        <v>1</v>
      </c>
      <c r="Z2323" s="13">
        <f t="shared" si="1998"/>
        <v>0</v>
      </c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</row>
    <row r="2324" ht="14.25" hidden="1" customHeight="1">
      <c r="A2324" s="13" t="s">
        <v>29</v>
      </c>
      <c r="B2324" s="13" t="s">
        <v>30</v>
      </c>
      <c r="C2324" s="13" t="s">
        <v>1389</v>
      </c>
      <c r="D2324" s="13"/>
      <c r="E2324" s="13" t="str">
        <f t="shared" si="2395"/>
        <v>SJC,211-10-59,,0</v>
      </c>
      <c r="F2324" s="13"/>
      <c r="G2324" s="13" t="s">
        <v>111</v>
      </c>
      <c r="H2324" s="13" t="s">
        <v>107</v>
      </c>
      <c r="I2324" s="14">
        <v>44862.0</v>
      </c>
      <c r="J2324" s="14"/>
      <c r="K2324" s="15"/>
      <c r="L2324" s="15"/>
      <c r="M2324" s="16">
        <v>0.0</v>
      </c>
      <c r="N2324" s="16">
        <v>0.0</v>
      </c>
      <c r="O2324" s="17">
        <v>0.0</v>
      </c>
      <c r="P2324" s="17">
        <v>0.0</v>
      </c>
      <c r="Q2324" s="13">
        <f t="shared" si="2531"/>
        <v>0</v>
      </c>
      <c r="R2324" s="14">
        <v>44973.0</v>
      </c>
      <c r="S2324" s="13"/>
      <c r="T2324" s="13">
        <f t="shared" ref="T2324:Y2324" si="2538">IF(ISBLANK(K2324)=TRUE,0,1)</f>
        <v>0</v>
      </c>
      <c r="U2324" s="13">
        <f t="shared" si="2538"/>
        <v>0</v>
      </c>
      <c r="V2324" s="13">
        <f t="shared" si="2538"/>
        <v>1</v>
      </c>
      <c r="W2324" s="13">
        <f t="shared" si="2538"/>
        <v>1</v>
      </c>
      <c r="X2324" s="13">
        <f t="shared" si="2538"/>
        <v>1</v>
      </c>
      <c r="Y2324" s="13">
        <f t="shared" si="2538"/>
        <v>1</v>
      </c>
      <c r="Z2324" s="13">
        <f t="shared" si="1998"/>
        <v>0</v>
      </c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</row>
    <row r="2325" ht="14.25" hidden="1" customHeight="1">
      <c r="A2325" s="13" t="s">
        <v>29</v>
      </c>
      <c r="B2325" s="13" t="s">
        <v>30</v>
      </c>
      <c r="C2325" s="13" t="s">
        <v>1390</v>
      </c>
      <c r="D2325" s="13"/>
      <c r="E2325" s="13" t="str">
        <f t="shared" si="2395"/>
        <v>SJC,211-10-6,,0</v>
      </c>
      <c r="F2325" s="13"/>
      <c r="G2325" s="13" t="s">
        <v>111</v>
      </c>
      <c r="H2325" s="13" t="s">
        <v>107</v>
      </c>
      <c r="I2325" s="14">
        <v>44862.0</v>
      </c>
      <c r="J2325" s="14"/>
      <c r="K2325" s="15"/>
      <c r="L2325" s="15"/>
      <c r="M2325" s="16">
        <v>0.0</v>
      </c>
      <c r="N2325" s="16">
        <v>0.0</v>
      </c>
      <c r="O2325" s="17">
        <v>0.0</v>
      </c>
      <c r="P2325" s="17">
        <v>0.0</v>
      </c>
      <c r="Q2325" s="13">
        <f t="shared" si="2531"/>
        <v>0</v>
      </c>
      <c r="R2325" s="14">
        <v>44973.0</v>
      </c>
      <c r="S2325" s="13"/>
      <c r="T2325" s="13">
        <f t="shared" ref="T2325:Y2325" si="2539">IF(ISBLANK(K2325)=TRUE,0,1)</f>
        <v>0</v>
      </c>
      <c r="U2325" s="13">
        <f t="shared" si="2539"/>
        <v>0</v>
      </c>
      <c r="V2325" s="13">
        <f t="shared" si="2539"/>
        <v>1</v>
      </c>
      <c r="W2325" s="13">
        <f t="shared" si="2539"/>
        <v>1</v>
      </c>
      <c r="X2325" s="13">
        <f t="shared" si="2539"/>
        <v>1</v>
      </c>
      <c r="Y2325" s="13">
        <f t="shared" si="2539"/>
        <v>1</v>
      </c>
      <c r="Z2325" s="13">
        <f t="shared" si="1998"/>
        <v>0</v>
      </c>
      <c r="AA2325" s="13"/>
      <c r="AB2325" s="13"/>
      <c r="AC2325" s="13"/>
      <c r="AD2325" s="13"/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</row>
    <row r="2326" ht="14.25" hidden="1" customHeight="1">
      <c r="A2326" s="13" t="s">
        <v>29</v>
      </c>
      <c r="B2326" s="13" t="s">
        <v>30</v>
      </c>
      <c r="C2326" s="13" t="s">
        <v>1391</v>
      </c>
      <c r="D2326" s="13"/>
      <c r="E2326" s="13" t="str">
        <f t="shared" si="2395"/>
        <v>SJC,211-10-60,,0</v>
      </c>
      <c r="F2326" s="13"/>
      <c r="G2326" s="13" t="s">
        <v>111</v>
      </c>
      <c r="H2326" s="13" t="s">
        <v>107</v>
      </c>
      <c r="I2326" s="14">
        <v>44862.0</v>
      </c>
      <c r="J2326" s="14"/>
      <c r="K2326" s="15"/>
      <c r="L2326" s="15"/>
      <c r="M2326" s="16">
        <v>0.0</v>
      </c>
      <c r="N2326" s="16">
        <v>0.0</v>
      </c>
      <c r="O2326" s="17">
        <v>0.0</v>
      </c>
      <c r="P2326" s="17">
        <v>0.0</v>
      </c>
      <c r="Q2326" s="13">
        <f t="shared" si="2531"/>
        <v>0</v>
      </c>
      <c r="R2326" s="14">
        <v>44973.0</v>
      </c>
      <c r="S2326" s="13"/>
      <c r="T2326" s="13">
        <f t="shared" ref="T2326:Y2326" si="2540">IF(ISBLANK(K2326)=TRUE,0,1)</f>
        <v>0</v>
      </c>
      <c r="U2326" s="13">
        <f t="shared" si="2540"/>
        <v>0</v>
      </c>
      <c r="V2326" s="13">
        <f t="shared" si="2540"/>
        <v>1</v>
      </c>
      <c r="W2326" s="13">
        <f t="shared" si="2540"/>
        <v>1</v>
      </c>
      <c r="X2326" s="13">
        <f t="shared" si="2540"/>
        <v>1</v>
      </c>
      <c r="Y2326" s="13">
        <f t="shared" si="2540"/>
        <v>1</v>
      </c>
      <c r="Z2326" s="13">
        <f t="shared" si="1998"/>
        <v>0</v>
      </c>
      <c r="AA2326" s="13"/>
      <c r="AB2326" s="13"/>
      <c r="AC2326" s="13"/>
      <c r="AD2326" s="13"/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</row>
    <row r="2327" ht="14.25" hidden="1" customHeight="1">
      <c r="A2327" s="13" t="s">
        <v>29</v>
      </c>
      <c r="B2327" s="13" t="s">
        <v>30</v>
      </c>
      <c r="C2327" s="13" t="s">
        <v>1392</v>
      </c>
      <c r="D2327" s="13"/>
      <c r="E2327" s="13" t="str">
        <f t="shared" si="2395"/>
        <v>SJC,211-10-61,,0</v>
      </c>
      <c r="F2327" s="13"/>
      <c r="G2327" s="13" t="s">
        <v>111</v>
      </c>
      <c r="H2327" s="13" t="s">
        <v>107</v>
      </c>
      <c r="I2327" s="14">
        <v>44862.0</v>
      </c>
      <c r="J2327" s="14"/>
      <c r="K2327" s="15"/>
      <c r="L2327" s="15"/>
      <c r="M2327" s="16">
        <v>0.0</v>
      </c>
      <c r="N2327" s="16">
        <v>0.0</v>
      </c>
      <c r="O2327" s="17">
        <v>0.0</v>
      </c>
      <c r="P2327" s="17">
        <v>0.0</v>
      </c>
      <c r="Q2327" s="13">
        <f t="shared" si="2531"/>
        <v>0</v>
      </c>
      <c r="R2327" s="14">
        <v>44973.0</v>
      </c>
      <c r="S2327" s="13"/>
      <c r="T2327" s="13">
        <f t="shared" ref="T2327:Y2327" si="2541">IF(ISBLANK(K2327)=TRUE,0,1)</f>
        <v>0</v>
      </c>
      <c r="U2327" s="13">
        <f t="shared" si="2541"/>
        <v>0</v>
      </c>
      <c r="V2327" s="13">
        <f t="shared" si="2541"/>
        <v>1</v>
      </c>
      <c r="W2327" s="13">
        <f t="shared" si="2541"/>
        <v>1</v>
      </c>
      <c r="X2327" s="13">
        <f t="shared" si="2541"/>
        <v>1</v>
      </c>
      <c r="Y2327" s="13">
        <f t="shared" si="2541"/>
        <v>1</v>
      </c>
      <c r="Z2327" s="13">
        <f t="shared" si="1998"/>
        <v>0</v>
      </c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</row>
    <row r="2328" ht="14.25" hidden="1" customHeight="1">
      <c r="A2328" s="13" t="s">
        <v>29</v>
      </c>
      <c r="B2328" s="13" t="s">
        <v>30</v>
      </c>
      <c r="C2328" s="13" t="s">
        <v>1393</v>
      </c>
      <c r="D2328" s="13"/>
      <c r="E2328" s="13" t="str">
        <f t="shared" si="2395"/>
        <v>SJC,211-10-62,,0</v>
      </c>
      <c r="F2328" s="13"/>
      <c r="G2328" s="13" t="s">
        <v>111</v>
      </c>
      <c r="H2328" s="13" t="s">
        <v>75</v>
      </c>
      <c r="I2328" s="14">
        <v>44862.0</v>
      </c>
      <c r="J2328" s="14"/>
      <c r="K2328" s="15"/>
      <c r="L2328" s="15"/>
      <c r="M2328" s="16">
        <v>0.0</v>
      </c>
      <c r="N2328" s="16">
        <v>0.0</v>
      </c>
      <c r="O2328" s="17">
        <v>0.0</v>
      </c>
      <c r="P2328" s="17">
        <v>0.0</v>
      </c>
      <c r="Q2328" s="13">
        <f t="shared" si="2531"/>
        <v>0</v>
      </c>
      <c r="R2328" s="14">
        <v>44973.0</v>
      </c>
      <c r="S2328" s="13"/>
      <c r="T2328" s="13">
        <f t="shared" ref="T2328:Y2328" si="2542">IF(ISBLANK(K2328)=TRUE,0,1)</f>
        <v>0</v>
      </c>
      <c r="U2328" s="13">
        <f t="shared" si="2542"/>
        <v>0</v>
      </c>
      <c r="V2328" s="13">
        <f t="shared" si="2542"/>
        <v>1</v>
      </c>
      <c r="W2328" s="13">
        <f t="shared" si="2542"/>
        <v>1</v>
      </c>
      <c r="X2328" s="13">
        <f t="shared" si="2542"/>
        <v>1</v>
      </c>
      <c r="Y2328" s="13">
        <f t="shared" si="2542"/>
        <v>1</v>
      </c>
      <c r="Z2328" s="13">
        <f t="shared" si="1998"/>
        <v>0</v>
      </c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</row>
    <row r="2329" ht="14.25" hidden="1" customHeight="1">
      <c r="A2329" s="13" t="s">
        <v>29</v>
      </c>
      <c r="B2329" s="13" t="s">
        <v>30</v>
      </c>
      <c r="C2329" s="13" t="s">
        <v>1394</v>
      </c>
      <c r="D2329" s="13"/>
      <c r="E2329" s="13" t="str">
        <f t="shared" si="2395"/>
        <v>SJC,211-10-63,,0</v>
      </c>
      <c r="F2329" s="13"/>
      <c r="G2329" s="13" t="s">
        <v>111</v>
      </c>
      <c r="H2329" s="13" t="s">
        <v>107</v>
      </c>
      <c r="I2329" s="14">
        <v>44862.0</v>
      </c>
      <c r="J2329" s="14"/>
      <c r="K2329" s="15"/>
      <c r="L2329" s="15"/>
      <c r="M2329" s="16">
        <v>0.0</v>
      </c>
      <c r="N2329" s="16">
        <v>0.0</v>
      </c>
      <c r="O2329" s="17">
        <v>0.0</v>
      </c>
      <c r="P2329" s="17">
        <v>0.0</v>
      </c>
      <c r="Q2329" s="13"/>
      <c r="R2329" s="14">
        <v>44973.0</v>
      </c>
      <c r="S2329" s="13"/>
      <c r="T2329" s="13">
        <f t="shared" ref="T2329:Y2329" si="2543">IF(ISBLANK(K2329)=TRUE,0,1)</f>
        <v>0</v>
      </c>
      <c r="U2329" s="13">
        <f t="shared" si="2543"/>
        <v>0</v>
      </c>
      <c r="V2329" s="13">
        <f t="shared" si="2543"/>
        <v>1</v>
      </c>
      <c r="W2329" s="13">
        <f t="shared" si="2543"/>
        <v>1</v>
      </c>
      <c r="X2329" s="13">
        <f t="shared" si="2543"/>
        <v>1</v>
      </c>
      <c r="Y2329" s="13">
        <f t="shared" si="2543"/>
        <v>1</v>
      </c>
      <c r="Z2329" s="13">
        <f t="shared" si="1998"/>
        <v>0</v>
      </c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</row>
    <row r="2330" ht="14.25" hidden="1" customHeight="1">
      <c r="A2330" s="13" t="s">
        <v>29</v>
      </c>
      <c r="B2330" s="13" t="s">
        <v>30</v>
      </c>
      <c r="C2330" s="13" t="s">
        <v>1394</v>
      </c>
      <c r="D2330" s="13" t="s">
        <v>174</v>
      </c>
      <c r="E2330" s="13" t="str">
        <f t="shared" si="2395"/>
        <v>SJC,211-10-63,AA,0</v>
      </c>
      <c r="F2330" s="13"/>
      <c r="G2330" s="13" t="s">
        <v>111</v>
      </c>
      <c r="H2330" s="13" t="s">
        <v>75</v>
      </c>
      <c r="I2330" s="13"/>
      <c r="J2330" s="13"/>
      <c r="K2330" s="15"/>
      <c r="L2330" s="15"/>
      <c r="M2330" s="16">
        <v>0.0</v>
      </c>
      <c r="N2330" s="16">
        <v>0.0</v>
      </c>
      <c r="O2330" s="17">
        <v>0.0</v>
      </c>
      <c r="P2330" s="17">
        <v>0.0</v>
      </c>
      <c r="Q2330" s="13"/>
      <c r="R2330" s="14">
        <v>44973.0</v>
      </c>
      <c r="S2330" s="13"/>
      <c r="T2330" s="13">
        <f t="shared" ref="T2330:Y2330" si="2544">IF(ISBLANK(K2330)=TRUE,0,1)</f>
        <v>0</v>
      </c>
      <c r="U2330" s="13">
        <f t="shared" si="2544"/>
        <v>0</v>
      </c>
      <c r="V2330" s="13">
        <f t="shared" si="2544"/>
        <v>1</v>
      </c>
      <c r="W2330" s="13">
        <f t="shared" si="2544"/>
        <v>1</v>
      </c>
      <c r="X2330" s="13">
        <f t="shared" si="2544"/>
        <v>1</v>
      </c>
      <c r="Y2330" s="13">
        <f t="shared" si="2544"/>
        <v>1</v>
      </c>
      <c r="Z2330" s="13">
        <f t="shared" si="1998"/>
        <v>0</v>
      </c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</row>
    <row r="2331" ht="14.25" hidden="1" customHeight="1">
      <c r="A2331" s="13" t="s">
        <v>29</v>
      </c>
      <c r="B2331" s="13" t="s">
        <v>30</v>
      </c>
      <c r="C2331" s="13" t="s">
        <v>1394</v>
      </c>
      <c r="D2331" s="13" t="s">
        <v>175</v>
      </c>
      <c r="E2331" s="13" t="str">
        <f t="shared" si="2395"/>
        <v>SJC,211-10-63,AB,0</v>
      </c>
      <c r="F2331" s="13"/>
      <c r="G2331" s="13" t="s">
        <v>111</v>
      </c>
      <c r="H2331" s="13" t="s">
        <v>75</v>
      </c>
      <c r="I2331" s="13"/>
      <c r="J2331" s="13"/>
      <c r="K2331" s="15"/>
      <c r="L2331" s="15"/>
      <c r="M2331" s="16">
        <v>0.0</v>
      </c>
      <c r="N2331" s="16">
        <v>0.0</v>
      </c>
      <c r="O2331" s="17">
        <v>0.0</v>
      </c>
      <c r="P2331" s="17">
        <v>0.0</v>
      </c>
      <c r="Q2331" s="13"/>
      <c r="R2331" s="14">
        <v>44973.0</v>
      </c>
      <c r="S2331" s="13"/>
      <c r="T2331" s="13">
        <f t="shared" ref="T2331:Y2331" si="2545">IF(ISBLANK(K2331)=TRUE,0,1)</f>
        <v>0</v>
      </c>
      <c r="U2331" s="13">
        <f t="shared" si="2545"/>
        <v>0</v>
      </c>
      <c r="V2331" s="13">
        <f t="shared" si="2545"/>
        <v>1</v>
      </c>
      <c r="W2331" s="13">
        <f t="shared" si="2545"/>
        <v>1</v>
      </c>
      <c r="X2331" s="13">
        <f t="shared" si="2545"/>
        <v>1</v>
      </c>
      <c r="Y2331" s="13">
        <f t="shared" si="2545"/>
        <v>1</v>
      </c>
      <c r="Z2331" s="13">
        <f t="shared" si="1998"/>
        <v>0</v>
      </c>
      <c r="AA2331" s="13"/>
      <c r="AB2331" s="13"/>
      <c r="AC2331" s="13"/>
      <c r="AD2331" s="13"/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</row>
    <row r="2332" ht="14.25" hidden="1" customHeight="1">
      <c r="A2332" s="13" t="s">
        <v>29</v>
      </c>
      <c r="B2332" s="13" t="s">
        <v>30</v>
      </c>
      <c r="C2332" s="13" t="s">
        <v>1394</v>
      </c>
      <c r="D2332" s="13" t="s">
        <v>176</v>
      </c>
      <c r="E2332" s="13" t="str">
        <f t="shared" si="2395"/>
        <v>SJC,211-10-63,AC,0</v>
      </c>
      <c r="F2332" s="13"/>
      <c r="G2332" s="13" t="s">
        <v>111</v>
      </c>
      <c r="H2332" s="13" t="s">
        <v>75</v>
      </c>
      <c r="I2332" s="13"/>
      <c r="J2332" s="13"/>
      <c r="K2332" s="15"/>
      <c r="L2332" s="15"/>
      <c r="M2332" s="16">
        <v>0.0</v>
      </c>
      <c r="N2332" s="16">
        <v>0.0</v>
      </c>
      <c r="O2332" s="17">
        <v>0.0</v>
      </c>
      <c r="P2332" s="17">
        <v>0.0</v>
      </c>
      <c r="Q2332" s="13"/>
      <c r="R2332" s="14">
        <v>44973.0</v>
      </c>
      <c r="S2332" s="13"/>
      <c r="T2332" s="13">
        <f t="shared" ref="T2332:Y2332" si="2546">IF(ISBLANK(K2332)=TRUE,0,1)</f>
        <v>0</v>
      </c>
      <c r="U2332" s="13">
        <f t="shared" si="2546"/>
        <v>0</v>
      </c>
      <c r="V2332" s="13">
        <f t="shared" si="2546"/>
        <v>1</v>
      </c>
      <c r="W2332" s="13">
        <f t="shared" si="2546"/>
        <v>1</v>
      </c>
      <c r="X2332" s="13">
        <f t="shared" si="2546"/>
        <v>1</v>
      </c>
      <c r="Y2332" s="13">
        <f t="shared" si="2546"/>
        <v>1</v>
      </c>
      <c r="Z2332" s="13">
        <f t="shared" si="1998"/>
        <v>0</v>
      </c>
      <c r="AA2332" s="13"/>
      <c r="AB2332" s="13"/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</row>
    <row r="2333" ht="14.25" hidden="1" customHeight="1">
      <c r="A2333" s="13" t="s">
        <v>29</v>
      </c>
      <c r="B2333" s="13" t="s">
        <v>30</v>
      </c>
      <c r="C2333" s="13" t="s">
        <v>1394</v>
      </c>
      <c r="D2333" s="13" t="s">
        <v>177</v>
      </c>
      <c r="E2333" s="13" t="str">
        <f t="shared" si="2395"/>
        <v>SJC,211-10-63,AD,0</v>
      </c>
      <c r="F2333" s="13"/>
      <c r="G2333" s="13" t="s">
        <v>111</v>
      </c>
      <c r="H2333" s="13" t="s">
        <v>75</v>
      </c>
      <c r="I2333" s="13"/>
      <c r="J2333" s="13"/>
      <c r="K2333" s="15"/>
      <c r="L2333" s="15"/>
      <c r="M2333" s="16">
        <v>0.0</v>
      </c>
      <c r="N2333" s="16">
        <v>0.0</v>
      </c>
      <c r="O2333" s="17">
        <v>0.0</v>
      </c>
      <c r="P2333" s="17">
        <v>0.0</v>
      </c>
      <c r="Q2333" s="13"/>
      <c r="R2333" s="14">
        <v>44973.0</v>
      </c>
      <c r="S2333" s="13"/>
      <c r="T2333" s="13">
        <f t="shared" ref="T2333:Y2333" si="2547">IF(ISBLANK(K2333)=TRUE,0,1)</f>
        <v>0</v>
      </c>
      <c r="U2333" s="13">
        <f t="shared" si="2547"/>
        <v>0</v>
      </c>
      <c r="V2333" s="13">
        <f t="shared" si="2547"/>
        <v>1</v>
      </c>
      <c r="W2333" s="13">
        <f t="shared" si="2547"/>
        <v>1</v>
      </c>
      <c r="X2333" s="13">
        <f t="shared" si="2547"/>
        <v>1</v>
      </c>
      <c r="Y2333" s="13">
        <f t="shared" si="2547"/>
        <v>1</v>
      </c>
      <c r="Z2333" s="13">
        <f t="shared" si="1998"/>
        <v>0</v>
      </c>
      <c r="AA2333" s="13"/>
      <c r="AB2333" s="13"/>
      <c r="AC2333" s="13"/>
      <c r="AD2333" s="13"/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</row>
    <row r="2334" ht="14.25" hidden="1" customHeight="1">
      <c r="A2334" s="13" t="s">
        <v>29</v>
      </c>
      <c r="B2334" s="13" t="s">
        <v>30</v>
      </c>
      <c r="C2334" s="13" t="s">
        <v>1395</v>
      </c>
      <c r="D2334" s="13"/>
      <c r="E2334" s="13" t="str">
        <f t="shared" si="2395"/>
        <v>SJC,211-10-64,,0</v>
      </c>
      <c r="F2334" s="13"/>
      <c r="G2334" s="13" t="s">
        <v>111</v>
      </c>
      <c r="H2334" s="13" t="s">
        <v>75</v>
      </c>
      <c r="I2334" s="14">
        <v>44862.0</v>
      </c>
      <c r="J2334" s="14"/>
      <c r="K2334" s="15"/>
      <c r="L2334" s="15"/>
      <c r="M2334" s="16">
        <v>0.0</v>
      </c>
      <c r="N2334" s="16">
        <v>0.0</v>
      </c>
      <c r="O2334" s="17">
        <v>0.0</v>
      </c>
      <c r="P2334" s="17">
        <v>0.0</v>
      </c>
      <c r="Q2334" s="13"/>
      <c r="R2334" s="14">
        <v>44973.0</v>
      </c>
      <c r="S2334" s="13"/>
      <c r="T2334" s="13">
        <f t="shared" ref="T2334:Y2334" si="2548">IF(ISBLANK(K2334)=TRUE,0,1)</f>
        <v>0</v>
      </c>
      <c r="U2334" s="13">
        <f t="shared" si="2548"/>
        <v>0</v>
      </c>
      <c r="V2334" s="13">
        <f t="shared" si="2548"/>
        <v>1</v>
      </c>
      <c r="W2334" s="13">
        <f t="shared" si="2548"/>
        <v>1</v>
      </c>
      <c r="X2334" s="13">
        <f t="shared" si="2548"/>
        <v>1</v>
      </c>
      <c r="Y2334" s="13">
        <f t="shared" si="2548"/>
        <v>1</v>
      </c>
      <c r="Z2334" s="13">
        <f t="shared" si="1998"/>
        <v>0</v>
      </c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</row>
    <row r="2335" ht="14.25" hidden="1" customHeight="1">
      <c r="A2335" s="13" t="s">
        <v>29</v>
      </c>
      <c r="B2335" s="13" t="s">
        <v>30</v>
      </c>
      <c r="C2335" s="13" t="s">
        <v>1395</v>
      </c>
      <c r="D2335" s="13" t="s">
        <v>174</v>
      </c>
      <c r="E2335" s="13" t="str">
        <f t="shared" si="2395"/>
        <v>SJC,211-10-64,AA,0</v>
      </c>
      <c r="F2335" s="13"/>
      <c r="G2335" s="13" t="s">
        <v>111</v>
      </c>
      <c r="H2335" s="13" t="s">
        <v>75</v>
      </c>
      <c r="I2335" s="13"/>
      <c r="J2335" s="13"/>
      <c r="K2335" s="15"/>
      <c r="L2335" s="15"/>
      <c r="M2335" s="16">
        <v>0.0</v>
      </c>
      <c r="N2335" s="16">
        <v>0.0</v>
      </c>
      <c r="O2335" s="17">
        <v>0.0</v>
      </c>
      <c r="P2335" s="17">
        <v>0.0</v>
      </c>
      <c r="Q2335" s="13"/>
      <c r="R2335" s="14">
        <v>44973.0</v>
      </c>
      <c r="S2335" s="13"/>
      <c r="T2335" s="13">
        <f t="shared" ref="T2335:Y2335" si="2549">IF(ISBLANK(K2335)=TRUE,0,1)</f>
        <v>0</v>
      </c>
      <c r="U2335" s="13">
        <f t="shared" si="2549"/>
        <v>0</v>
      </c>
      <c r="V2335" s="13">
        <f t="shared" si="2549"/>
        <v>1</v>
      </c>
      <c r="W2335" s="13">
        <f t="shared" si="2549"/>
        <v>1</v>
      </c>
      <c r="X2335" s="13">
        <f t="shared" si="2549"/>
        <v>1</v>
      </c>
      <c r="Y2335" s="13">
        <f t="shared" si="2549"/>
        <v>1</v>
      </c>
      <c r="Z2335" s="13">
        <f t="shared" si="1998"/>
        <v>0</v>
      </c>
      <c r="AA2335" s="13"/>
      <c r="AB2335" s="13"/>
      <c r="AC2335" s="13"/>
      <c r="AD2335" s="13"/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</row>
    <row r="2336" ht="14.25" hidden="1" customHeight="1">
      <c r="A2336" s="13" t="s">
        <v>29</v>
      </c>
      <c r="B2336" s="13" t="s">
        <v>30</v>
      </c>
      <c r="C2336" s="13" t="s">
        <v>1395</v>
      </c>
      <c r="D2336" s="13" t="s">
        <v>175</v>
      </c>
      <c r="E2336" s="13" t="str">
        <f t="shared" si="2395"/>
        <v>SJC,211-10-64,AB,0</v>
      </c>
      <c r="F2336" s="13"/>
      <c r="G2336" s="13" t="s">
        <v>111</v>
      </c>
      <c r="H2336" s="13" t="s">
        <v>75</v>
      </c>
      <c r="I2336" s="13"/>
      <c r="J2336" s="13"/>
      <c r="K2336" s="15"/>
      <c r="L2336" s="15"/>
      <c r="M2336" s="16">
        <v>0.0</v>
      </c>
      <c r="N2336" s="16">
        <v>0.0</v>
      </c>
      <c r="O2336" s="17">
        <v>0.0</v>
      </c>
      <c r="P2336" s="17">
        <v>0.0</v>
      </c>
      <c r="Q2336" s="13"/>
      <c r="R2336" s="14">
        <v>44973.0</v>
      </c>
      <c r="S2336" s="13"/>
      <c r="T2336" s="13">
        <f t="shared" ref="T2336:Y2336" si="2550">IF(ISBLANK(K2336)=TRUE,0,1)</f>
        <v>0</v>
      </c>
      <c r="U2336" s="13">
        <f t="shared" si="2550"/>
        <v>0</v>
      </c>
      <c r="V2336" s="13">
        <f t="shared" si="2550"/>
        <v>1</v>
      </c>
      <c r="W2336" s="13">
        <f t="shared" si="2550"/>
        <v>1</v>
      </c>
      <c r="X2336" s="13">
        <f t="shared" si="2550"/>
        <v>1</v>
      </c>
      <c r="Y2336" s="13">
        <f t="shared" si="2550"/>
        <v>1</v>
      </c>
      <c r="Z2336" s="13">
        <f t="shared" si="1998"/>
        <v>0</v>
      </c>
      <c r="AA2336" s="13"/>
      <c r="AB2336" s="13"/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</row>
    <row r="2337" ht="14.25" hidden="1" customHeight="1">
      <c r="A2337" s="13" t="s">
        <v>29</v>
      </c>
      <c r="B2337" s="13" t="s">
        <v>30</v>
      </c>
      <c r="C2337" s="13" t="s">
        <v>1395</v>
      </c>
      <c r="D2337" s="13" t="s">
        <v>176</v>
      </c>
      <c r="E2337" s="13" t="str">
        <f t="shared" si="2395"/>
        <v>SJC,211-10-64,AC,0</v>
      </c>
      <c r="F2337" s="13"/>
      <c r="G2337" s="13" t="s">
        <v>111</v>
      </c>
      <c r="H2337" s="13" t="s">
        <v>75</v>
      </c>
      <c r="I2337" s="13"/>
      <c r="J2337" s="13"/>
      <c r="K2337" s="15"/>
      <c r="L2337" s="15"/>
      <c r="M2337" s="16">
        <v>0.0</v>
      </c>
      <c r="N2337" s="16">
        <v>0.0</v>
      </c>
      <c r="O2337" s="17">
        <v>0.0</v>
      </c>
      <c r="P2337" s="17">
        <v>0.0</v>
      </c>
      <c r="Q2337" s="13"/>
      <c r="R2337" s="14">
        <v>44973.0</v>
      </c>
      <c r="S2337" s="13"/>
      <c r="T2337" s="13">
        <f t="shared" ref="T2337:Y2337" si="2551">IF(ISBLANK(K2337)=TRUE,0,1)</f>
        <v>0</v>
      </c>
      <c r="U2337" s="13">
        <f t="shared" si="2551"/>
        <v>0</v>
      </c>
      <c r="V2337" s="13">
        <f t="shared" si="2551"/>
        <v>1</v>
      </c>
      <c r="W2337" s="13">
        <f t="shared" si="2551"/>
        <v>1</v>
      </c>
      <c r="X2337" s="13">
        <f t="shared" si="2551"/>
        <v>1</v>
      </c>
      <c r="Y2337" s="13">
        <f t="shared" si="2551"/>
        <v>1</v>
      </c>
      <c r="Z2337" s="13">
        <f t="shared" si="1998"/>
        <v>0</v>
      </c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</row>
    <row r="2338" ht="14.25" hidden="1" customHeight="1">
      <c r="A2338" s="13" t="s">
        <v>29</v>
      </c>
      <c r="B2338" s="13" t="s">
        <v>30</v>
      </c>
      <c r="C2338" s="13" t="s">
        <v>1396</v>
      </c>
      <c r="D2338" s="13"/>
      <c r="E2338" s="13" t="str">
        <f t="shared" si="2395"/>
        <v>SJC,211-10-65,,0</v>
      </c>
      <c r="F2338" s="13"/>
      <c r="G2338" s="13" t="s">
        <v>111</v>
      </c>
      <c r="H2338" s="13" t="s">
        <v>75</v>
      </c>
      <c r="I2338" s="14">
        <v>44862.0</v>
      </c>
      <c r="J2338" s="14"/>
      <c r="K2338" s="15"/>
      <c r="L2338" s="15"/>
      <c r="M2338" s="16">
        <v>0.0</v>
      </c>
      <c r="N2338" s="16">
        <v>0.0</v>
      </c>
      <c r="O2338" s="17">
        <v>0.0</v>
      </c>
      <c r="P2338" s="17">
        <v>0.0</v>
      </c>
      <c r="Q2338" s="13"/>
      <c r="R2338" s="14">
        <v>44973.0</v>
      </c>
      <c r="S2338" s="13"/>
      <c r="T2338" s="13">
        <f t="shared" ref="T2338:Y2338" si="2552">IF(ISBLANK(K2338)=TRUE,0,1)</f>
        <v>0</v>
      </c>
      <c r="U2338" s="13">
        <f t="shared" si="2552"/>
        <v>0</v>
      </c>
      <c r="V2338" s="13">
        <f t="shared" si="2552"/>
        <v>1</v>
      </c>
      <c r="W2338" s="13">
        <f t="shared" si="2552"/>
        <v>1</v>
      </c>
      <c r="X2338" s="13">
        <f t="shared" si="2552"/>
        <v>1</v>
      </c>
      <c r="Y2338" s="13">
        <f t="shared" si="2552"/>
        <v>1</v>
      </c>
      <c r="Z2338" s="13">
        <f t="shared" si="1998"/>
        <v>0</v>
      </c>
      <c r="AA2338" s="13"/>
      <c r="AB2338" s="13"/>
      <c r="AC2338" s="13"/>
      <c r="AD2338" s="13"/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</row>
    <row r="2339" ht="14.25" hidden="1" customHeight="1">
      <c r="A2339" s="13" t="s">
        <v>29</v>
      </c>
      <c r="B2339" s="13" t="s">
        <v>30</v>
      </c>
      <c r="C2339" s="13" t="s">
        <v>1396</v>
      </c>
      <c r="D2339" s="13" t="s">
        <v>174</v>
      </c>
      <c r="E2339" s="13" t="str">
        <f t="shared" si="2395"/>
        <v>SJC,211-10-65,AA,0</v>
      </c>
      <c r="F2339" s="13"/>
      <c r="G2339" s="13" t="s">
        <v>111</v>
      </c>
      <c r="H2339" s="13" t="s">
        <v>75</v>
      </c>
      <c r="I2339" s="13"/>
      <c r="J2339" s="13"/>
      <c r="K2339" s="15"/>
      <c r="L2339" s="15"/>
      <c r="M2339" s="16">
        <v>0.0</v>
      </c>
      <c r="N2339" s="16">
        <v>0.0</v>
      </c>
      <c r="O2339" s="17">
        <v>0.0</v>
      </c>
      <c r="P2339" s="17">
        <v>0.0</v>
      </c>
      <c r="Q2339" s="13"/>
      <c r="R2339" s="14">
        <v>44973.0</v>
      </c>
      <c r="S2339" s="13"/>
      <c r="T2339" s="13">
        <f t="shared" ref="T2339:Y2339" si="2553">IF(ISBLANK(K2339)=TRUE,0,1)</f>
        <v>0</v>
      </c>
      <c r="U2339" s="13">
        <f t="shared" si="2553"/>
        <v>0</v>
      </c>
      <c r="V2339" s="13">
        <f t="shared" si="2553"/>
        <v>1</v>
      </c>
      <c r="W2339" s="13">
        <f t="shared" si="2553"/>
        <v>1</v>
      </c>
      <c r="X2339" s="13">
        <f t="shared" si="2553"/>
        <v>1</v>
      </c>
      <c r="Y2339" s="13">
        <f t="shared" si="2553"/>
        <v>1</v>
      </c>
      <c r="Z2339" s="13">
        <f t="shared" si="1998"/>
        <v>0</v>
      </c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  <c r="AR2339" s="13"/>
      <c r="AS2339" s="13"/>
    </row>
    <row r="2340" ht="14.25" hidden="1" customHeight="1">
      <c r="A2340" s="13" t="s">
        <v>29</v>
      </c>
      <c r="B2340" s="13" t="s">
        <v>30</v>
      </c>
      <c r="C2340" s="13" t="s">
        <v>1396</v>
      </c>
      <c r="D2340" s="13" t="s">
        <v>175</v>
      </c>
      <c r="E2340" s="13" t="str">
        <f t="shared" si="2395"/>
        <v>SJC,211-10-65,AB,0</v>
      </c>
      <c r="F2340" s="13"/>
      <c r="G2340" s="13" t="s">
        <v>111</v>
      </c>
      <c r="H2340" s="13" t="s">
        <v>75</v>
      </c>
      <c r="I2340" s="13"/>
      <c r="J2340" s="13"/>
      <c r="K2340" s="15"/>
      <c r="L2340" s="15"/>
      <c r="M2340" s="16">
        <v>0.0</v>
      </c>
      <c r="N2340" s="16">
        <v>0.0</v>
      </c>
      <c r="O2340" s="17">
        <v>0.0</v>
      </c>
      <c r="P2340" s="17">
        <v>0.0</v>
      </c>
      <c r="Q2340" s="13"/>
      <c r="R2340" s="14">
        <v>44973.0</v>
      </c>
      <c r="S2340" s="13"/>
      <c r="T2340" s="13">
        <f t="shared" ref="T2340:Y2340" si="2554">IF(ISBLANK(K2340)=TRUE,0,1)</f>
        <v>0</v>
      </c>
      <c r="U2340" s="13">
        <f t="shared" si="2554"/>
        <v>0</v>
      </c>
      <c r="V2340" s="13">
        <f t="shared" si="2554"/>
        <v>1</v>
      </c>
      <c r="W2340" s="13">
        <f t="shared" si="2554"/>
        <v>1</v>
      </c>
      <c r="X2340" s="13">
        <f t="shared" si="2554"/>
        <v>1</v>
      </c>
      <c r="Y2340" s="13">
        <f t="shared" si="2554"/>
        <v>1</v>
      </c>
      <c r="Z2340" s="13">
        <f t="shared" si="1998"/>
        <v>0</v>
      </c>
      <c r="AA2340" s="13"/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</row>
    <row r="2341" ht="14.25" hidden="1" customHeight="1">
      <c r="A2341" s="13" t="s">
        <v>29</v>
      </c>
      <c r="B2341" s="13" t="s">
        <v>30</v>
      </c>
      <c r="C2341" s="13" t="s">
        <v>1396</v>
      </c>
      <c r="D2341" s="13" t="s">
        <v>176</v>
      </c>
      <c r="E2341" s="13" t="str">
        <f t="shared" si="2395"/>
        <v>SJC,211-10-65,AC,0</v>
      </c>
      <c r="F2341" s="13"/>
      <c r="G2341" s="13" t="s">
        <v>111</v>
      </c>
      <c r="H2341" s="13" t="s">
        <v>75</v>
      </c>
      <c r="I2341" s="13"/>
      <c r="J2341" s="13"/>
      <c r="K2341" s="15"/>
      <c r="L2341" s="15"/>
      <c r="M2341" s="16">
        <v>0.0</v>
      </c>
      <c r="N2341" s="16">
        <v>0.0</v>
      </c>
      <c r="O2341" s="17">
        <v>0.0</v>
      </c>
      <c r="P2341" s="17">
        <v>0.0</v>
      </c>
      <c r="Q2341" s="13"/>
      <c r="R2341" s="14">
        <v>44973.0</v>
      </c>
      <c r="S2341" s="13"/>
      <c r="T2341" s="13">
        <f t="shared" ref="T2341:Y2341" si="2555">IF(ISBLANK(K2341)=TRUE,0,1)</f>
        <v>0</v>
      </c>
      <c r="U2341" s="13">
        <f t="shared" si="2555"/>
        <v>0</v>
      </c>
      <c r="V2341" s="13">
        <f t="shared" si="2555"/>
        <v>1</v>
      </c>
      <c r="W2341" s="13">
        <f t="shared" si="2555"/>
        <v>1</v>
      </c>
      <c r="X2341" s="13">
        <f t="shared" si="2555"/>
        <v>1</v>
      </c>
      <c r="Y2341" s="13">
        <f t="shared" si="2555"/>
        <v>1</v>
      </c>
      <c r="Z2341" s="13">
        <f t="shared" si="1998"/>
        <v>0</v>
      </c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</row>
    <row r="2342" ht="14.25" hidden="1" customHeight="1">
      <c r="A2342" s="13" t="s">
        <v>29</v>
      </c>
      <c r="B2342" s="13" t="s">
        <v>30</v>
      </c>
      <c r="C2342" s="13" t="s">
        <v>1396</v>
      </c>
      <c r="D2342" s="13" t="s">
        <v>177</v>
      </c>
      <c r="E2342" s="13" t="str">
        <f t="shared" si="2395"/>
        <v>SJC,211-10-65,AD,0</v>
      </c>
      <c r="F2342" s="13"/>
      <c r="G2342" s="13" t="s">
        <v>111</v>
      </c>
      <c r="H2342" s="13" t="s">
        <v>75</v>
      </c>
      <c r="I2342" s="13"/>
      <c r="J2342" s="13"/>
      <c r="K2342" s="15"/>
      <c r="L2342" s="15"/>
      <c r="M2342" s="16">
        <v>0.0</v>
      </c>
      <c r="N2342" s="16">
        <v>0.0</v>
      </c>
      <c r="O2342" s="17">
        <v>0.0</v>
      </c>
      <c r="P2342" s="17">
        <v>0.0</v>
      </c>
      <c r="Q2342" s="13"/>
      <c r="R2342" s="14">
        <v>44973.0</v>
      </c>
      <c r="S2342" s="13"/>
      <c r="T2342" s="13">
        <f t="shared" ref="T2342:Y2342" si="2556">IF(ISBLANK(K2342)=TRUE,0,1)</f>
        <v>0</v>
      </c>
      <c r="U2342" s="13">
        <f t="shared" si="2556"/>
        <v>0</v>
      </c>
      <c r="V2342" s="13">
        <f t="shared" si="2556"/>
        <v>1</v>
      </c>
      <c r="W2342" s="13">
        <f t="shared" si="2556"/>
        <v>1</v>
      </c>
      <c r="X2342" s="13">
        <f t="shared" si="2556"/>
        <v>1</v>
      </c>
      <c r="Y2342" s="13">
        <f t="shared" si="2556"/>
        <v>1</v>
      </c>
      <c r="Z2342" s="13">
        <f t="shared" si="1998"/>
        <v>0</v>
      </c>
      <c r="AA2342" s="13"/>
      <c r="AB2342" s="13"/>
      <c r="AC2342" s="13"/>
      <c r="AD2342" s="13"/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</row>
    <row r="2343" ht="14.25" hidden="1" customHeight="1">
      <c r="A2343" s="13" t="s">
        <v>29</v>
      </c>
      <c r="B2343" s="13" t="s">
        <v>30</v>
      </c>
      <c r="C2343" s="13" t="s">
        <v>1396</v>
      </c>
      <c r="D2343" s="13" t="s">
        <v>178</v>
      </c>
      <c r="E2343" s="13" t="str">
        <f t="shared" si="2395"/>
        <v>SJC,211-10-65,AE,0</v>
      </c>
      <c r="F2343" s="13"/>
      <c r="G2343" s="13" t="s">
        <v>111</v>
      </c>
      <c r="H2343" s="13" t="s">
        <v>75</v>
      </c>
      <c r="I2343" s="13"/>
      <c r="J2343" s="13"/>
      <c r="K2343" s="15"/>
      <c r="L2343" s="15"/>
      <c r="M2343" s="16">
        <v>0.0</v>
      </c>
      <c r="N2343" s="16">
        <v>0.0</v>
      </c>
      <c r="O2343" s="17">
        <v>0.0</v>
      </c>
      <c r="P2343" s="17">
        <v>0.0</v>
      </c>
      <c r="Q2343" s="13"/>
      <c r="R2343" s="14">
        <v>44973.0</v>
      </c>
      <c r="S2343" s="13"/>
      <c r="T2343" s="13">
        <f t="shared" ref="T2343:Y2343" si="2557">IF(ISBLANK(K2343)=TRUE,0,1)</f>
        <v>0</v>
      </c>
      <c r="U2343" s="13">
        <f t="shared" si="2557"/>
        <v>0</v>
      </c>
      <c r="V2343" s="13">
        <f t="shared" si="2557"/>
        <v>1</v>
      </c>
      <c r="W2343" s="13">
        <f t="shared" si="2557"/>
        <v>1</v>
      </c>
      <c r="X2343" s="13">
        <f t="shared" si="2557"/>
        <v>1</v>
      </c>
      <c r="Y2343" s="13">
        <f t="shared" si="2557"/>
        <v>1</v>
      </c>
      <c r="Z2343" s="13">
        <f t="shared" si="1998"/>
        <v>0</v>
      </c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</row>
    <row r="2344" ht="14.25" hidden="1" customHeight="1">
      <c r="A2344" s="13" t="s">
        <v>29</v>
      </c>
      <c r="B2344" s="13" t="s">
        <v>30</v>
      </c>
      <c r="C2344" s="13" t="s">
        <v>1396</v>
      </c>
      <c r="D2344" s="13" t="s">
        <v>179</v>
      </c>
      <c r="E2344" s="13" t="str">
        <f t="shared" si="2395"/>
        <v>SJC,211-10-65,AF,0</v>
      </c>
      <c r="F2344" s="13"/>
      <c r="G2344" s="13" t="s">
        <v>111</v>
      </c>
      <c r="H2344" s="13" t="s">
        <v>75</v>
      </c>
      <c r="I2344" s="13"/>
      <c r="J2344" s="13"/>
      <c r="K2344" s="15"/>
      <c r="L2344" s="15"/>
      <c r="M2344" s="16">
        <v>0.0</v>
      </c>
      <c r="N2344" s="16">
        <v>0.0</v>
      </c>
      <c r="O2344" s="17">
        <v>0.0</v>
      </c>
      <c r="P2344" s="17">
        <v>0.0</v>
      </c>
      <c r="Q2344" s="13"/>
      <c r="R2344" s="14">
        <v>44973.0</v>
      </c>
      <c r="S2344" s="13"/>
      <c r="T2344" s="13">
        <f t="shared" ref="T2344:Y2344" si="2558">IF(ISBLANK(K2344)=TRUE,0,1)</f>
        <v>0</v>
      </c>
      <c r="U2344" s="13">
        <f t="shared" si="2558"/>
        <v>0</v>
      </c>
      <c r="V2344" s="13">
        <f t="shared" si="2558"/>
        <v>1</v>
      </c>
      <c r="W2344" s="13">
        <f t="shared" si="2558"/>
        <v>1</v>
      </c>
      <c r="X2344" s="13">
        <f t="shared" si="2558"/>
        <v>1</v>
      </c>
      <c r="Y2344" s="13">
        <f t="shared" si="2558"/>
        <v>1</v>
      </c>
      <c r="Z2344" s="13">
        <f t="shared" si="1998"/>
        <v>0</v>
      </c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</row>
    <row r="2345" ht="14.25" hidden="1" customHeight="1">
      <c r="A2345" s="13" t="s">
        <v>29</v>
      </c>
      <c r="B2345" s="13" t="s">
        <v>30</v>
      </c>
      <c r="C2345" s="13" t="s">
        <v>1396</v>
      </c>
      <c r="D2345" s="13" t="s">
        <v>180</v>
      </c>
      <c r="E2345" s="13" t="str">
        <f t="shared" si="2395"/>
        <v>SJC,211-10-65,AG,0</v>
      </c>
      <c r="F2345" s="13"/>
      <c r="G2345" s="13" t="s">
        <v>111</v>
      </c>
      <c r="H2345" s="13" t="s">
        <v>75</v>
      </c>
      <c r="I2345" s="13"/>
      <c r="J2345" s="13"/>
      <c r="K2345" s="15"/>
      <c r="L2345" s="15"/>
      <c r="M2345" s="16">
        <v>0.0</v>
      </c>
      <c r="N2345" s="16">
        <v>0.0</v>
      </c>
      <c r="O2345" s="17">
        <v>0.0</v>
      </c>
      <c r="P2345" s="17">
        <v>0.0</v>
      </c>
      <c r="Q2345" s="13"/>
      <c r="R2345" s="14">
        <v>44973.0</v>
      </c>
      <c r="S2345" s="13"/>
      <c r="T2345" s="13">
        <f t="shared" ref="T2345:Y2345" si="2559">IF(ISBLANK(K2345)=TRUE,0,1)</f>
        <v>0</v>
      </c>
      <c r="U2345" s="13">
        <f t="shared" si="2559"/>
        <v>0</v>
      </c>
      <c r="V2345" s="13">
        <f t="shared" si="2559"/>
        <v>1</v>
      </c>
      <c r="W2345" s="13">
        <f t="shared" si="2559"/>
        <v>1</v>
      </c>
      <c r="X2345" s="13">
        <f t="shared" si="2559"/>
        <v>1</v>
      </c>
      <c r="Y2345" s="13">
        <f t="shared" si="2559"/>
        <v>1</v>
      </c>
      <c r="Z2345" s="13">
        <f t="shared" si="1998"/>
        <v>0</v>
      </c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</row>
    <row r="2346" ht="14.25" hidden="1" customHeight="1">
      <c r="A2346" s="13" t="s">
        <v>29</v>
      </c>
      <c r="B2346" s="13" t="s">
        <v>30</v>
      </c>
      <c r="C2346" s="13" t="s">
        <v>1396</v>
      </c>
      <c r="D2346" s="13" t="s">
        <v>181</v>
      </c>
      <c r="E2346" s="13" t="str">
        <f t="shared" si="2395"/>
        <v>SJC,211-10-65,AH,0</v>
      </c>
      <c r="F2346" s="13"/>
      <c r="G2346" s="13" t="s">
        <v>111</v>
      </c>
      <c r="H2346" s="13" t="s">
        <v>75</v>
      </c>
      <c r="I2346" s="13"/>
      <c r="J2346" s="13"/>
      <c r="K2346" s="15"/>
      <c r="L2346" s="15"/>
      <c r="M2346" s="16">
        <v>0.0</v>
      </c>
      <c r="N2346" s="16">
        <v>0.0</v>
      </c>
      <c r="O2346" s="17">
        <v>0.0</v>
      </c>
      <c r="P2346" s="17">
        <v>0.0</v>
      </c>
      <c r="Q2346" s="13"/>
      <c r="R2346" s="14">
        <v>44973.0</v>
      </c>
      <c r="S2346" s="13"/>
      <c r="T2346" s="13">
        <f t="shared" ref="T2346:Y2346" si="2560">IF(ISBLANK(K2346)=TRUE,0,1)</f>
        <v>0</v>
      </c>
      <c r="U2346" s="13">
        <f t="shared" si="2560"/>
        <v>0</v>
      </c>
      <c r="V2346" s="13">
        <f t="shared" si="2560"/>
        <v>1</v>
      </c>
      <c r="W2346" s="13">
        <f t="shared" si="2560"/>
        <v>1</v>
      </c>
      <c r="X2346" s="13">
        <f t="shared" si="2560"/>
        <v>1</v>
      </c>
      <c r="Y2346" s="13">
        <f t="shared" si="2560"/>
        <v>1</v>
      </c>
      <c r="Z2346" s="13">
        <f t="shared" si="1998"/>
        <v>0</v>
      </c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</row>
    <row r="2347" ht="14.25" hidden="1" customHeight="1">
      <c r="A2347" s="13" t="s">
        <v>29</v>
      </c>
      <c r="B2347" s="13" t="s">
        <v>30</v>
      </c>
      <c r="C2347" s="13" t="s">
        <v>1397</v>
      </c>
      <c r="D2347" s="13"/>
      <c r="E2347" s="13" t="str">
        <f t="shared" si="2395"/>
        <v>SJC,211-10-66,,0</v>
      </c>
      <c r="F2347" s="13"/>
      <c r="G2347" s="13" t="s">
        <v>111</v>
      </c>
      <c r="H2347" s="13" t="s">
        <v>107</v>
      </c>
      <c r="I2347" s="14">
        <v>44862.0</v>
      </c>
      <c r="J2347" s="14"/>
      <c r="K2347" s="15"/>
      <c r="L2347" s="15"/>
      <c r="M2347" s="16">
        <v>0.0</v>
      </c>
      <c r="N2347" s="16">
        <v>0.0</v>
      </c>
      <c r="O2347" s="17">
        <v>0.0</v>
      </c>
      <c r="P2347" s="17">
        <v>0.0</v>
      </c>
      <c r="Q2347" s="13">
        <f t="shared" ref="Q2347:Q2351" si="2562">K2346+L2346+M2346+N2346+O2346+P2346/6</f>
        <v>0</v>
      </c>
      <c r="R2347" s="14">
        <v>44973.0</v>
      </c>
      <c r="S2347" s="13"/>
      <c r="T2347" s="13">
        <f t="shared" ref="T2347:Y2347" si="2561">IF(ISBLANK(K2347)=TRUE,0,1)</f>
        <v>0</v>
      </c>
      <c r="U2347" s="13">
        <f t="shared" si="2561"/>
        <v>0</v>
      </c>
      <c r="V2347" s="13">
        <f t="shared" si="2561"/>
        <v>1</v>
      </c>
      <c r="W2347" s="13">
        <f t="shared" si="2561"/>
        <v>1</v>
      </c>
      <c r="X2347" s="13">
        <f t="shared" si="2561"/>
        <v>1</v>
      </c>
      <c r="Y2347" s="13">
        <f t="shared" si="2561"/>
        <v>1</v>
      </c>
      <c r="Z2347" s="13">
        <f t="shared" si="1998"/>
        <v>0</v>
      </c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</row>
    <row r="2348" ht="14.25" hidden="1" customHeight="1">
      <c r="A2348" s="13" t="s">
        <v>29</v>
      </c>
      <c r="B2348" s="13" t="s">
        <v>30</v>
      </c>
      <c r="C2348" s="13" t="s">
        <v>1398</v>
      </c>
      <c r="D2348" s="13"/>
      <c r="E2348" s="13" t="str">
        <f t="shared" si="2395"/>
        <v>SJC,211-10-67,,0</v>
      </c>
      <c r="F2348" s="13"/>
      <c r="G2348" s="13" t="s">
        <v>111</v>
      </c>
      <c r="H2348" s="13" t="s">
        <v>107</v>
      </c>
      <c r="I2348" s="14">
        <v>44862.0</v>
      </c>
      <c r="J2348" s="14"/>
      <c r="K2348" s="15"/>
      <c r="L2348" s="15"/>
      <c r="M2348" s="16">
        <v>0.0</v>
      </c>
      <c r="N2348" s="16">
        <v>0.0</v>
      </c>
      <c r="O2348" s="17">
        <v>0.0</v>
      </c>
      <c r="P2348" s="17">
        <v>0.0</v>
      </c>
      <c r="Q2348" s="13">
        <f t="shared" si="2562"/>
        <v>0</v>
      </c>
      <c r="R2348" s="14">
        <v>44973.0</v>
      </c>
      <c r="S2348" s="13"/>
      <c r="T2348" s="13">
        <f t="shared" ref="T2348:Y2348" si="2563">IF(ISBLANK(K2348)=TRUE,0,1)</f>
        <v>0</v>
      </c>
      <c r="U2348" s="13">
        <f t="shared" si="2563"/>
        <v>0</v>
      </c>
      <c r="V2348" s="13">
        <f t="shared" si="2563"/>
        <v>1</v>
      </c>
      <c r="W2348" s="13">
        <f t="shared" si="2563"/>
        <v>1</v>
      </c>
      <c r="X2348" s="13">
        <f t="shared" si="2563"/>
        <v>1</v>
      </c>
      <c r="Y2348" s="13">
        <f t="shared" si="2563"/>
        <v>1</v>
      </c>
      <c r="Z2348" s="13">
        <f t="shared" si="1998"/>
        <v>0</v>
      </c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</row>
    <row r="2349" ht="14.25" hidden="1" customHeight="1">
      <c r="A2349" s="13" t="s">
        <v>29</v>
      </c>
      <c r="B2349" s="13" t="s">
        <v>30</v>
      </c>
      <c r="C2349" s="13" t="s">
        <v>1399</v>
      </c>
      <c r="D2349" s="13"/>
      <c r="E2349" s="13" t="str">
        <f t="shared" si="2395"/>
        <v>SJC,211-10-68,,0</v>
      </c>
      <c r="F2349" s="13"/>
      <c r="G2349" s="13" t="s">
        <v>111</v>
      </c>
      <c r="H2349" s="13" t="s">
        <v>107</v>
      </c>
      <c r="I2349" s="14">
        <v>44862.0</v>
      </c>
      <c r="J2349" s="14"/>
      <c r="K2349" s="15"/>
      <c r="L2349" s="15"/>
      <c r="M2349" s="16">
        <v>0.0</v>
      </c>
      <c r="N2349" s="16">
        <v>0.0</v>
      </c>
      <c r="O2349" s="17">
        <v>0.0</v>
      </c>
      <c r="P2349" s="17">
        <v>0.0</v>
      </c>
      <c r="Q2349" s="13">
        <f t="shared" si="2562"/>
        <v>0</v>
      </c>
      <c r="R2349" s="14">
        <v>44973.0</v>
      </c>
      <c r="S2349" s="13"/>
      <c r="T2349" s="13">
        <f t="shared" ref="T2349:Y2349" si="2564">IF(ISBLANK(K2349)=TRUE,0,1)</f>
        <v>0</v>
      </c>
      <c r="U2349" s="13">
        <f t="shared" si="2564"/>
        <v>0</v>
      </c>
      <c r="V2349" s="13">
        <f t="shared" si="2564"/>
        <v>1</v>
      </c>
      <c r="W2349" s="13">
        <f t="shared" si="2564"/>
        <v>1</v>
      </c>
      <c r="X2349" s="13">
        <f t="shared" si="2564"/>
        <v>1</v>
      </c>
      <c r="Y2349" s="13">
        <f t="shared" si="2564"/>
        <v>1</v>
      </c>
      <c r="Z2349" s="13">
        <f t="shared" si="1998"/>
        <v>0</v>
      </c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</row>
    <row r="2350" ht="14.25" hidden="1" customHeight="1">
      <c r="A2350" s="13" t="s">
        <v>29</v>
      </c>
      <c r="B2350" s="13" t="s">
        <v>30</v>
      </c>
      <c r="C2350" s="13" t="s">
        <v>1400</v>
      </c>
      <c r="D2350" s="13"/>
      <c r="E2350" s="13" t="str">
        <f t="shared" si="2395"/>
        <v>SJC,211-10-69,,0</v>
      </c>
      <c r="F2350" s="13"/>
      <c r="G2350" s="13" t="s">
        <v>111</v>
      </c>
      <c r="H2350" s="13" t="s">
        <v>107</v>
      </c>
      <c r="I2350" s="14">
        <v>44862.0</v>
      </c>
      <c r="J2350" s="14"/>
      <c r="K2350" s="15"/>
      <c r="L2350" s="15"/>
      <c r="M2350" s="16">
        <v>0.0</v>
      </c>
      <c r="N2350" s="16">
        <v>0.0</v>
      </c>
      <c r="O2350" s="17">
        <v>0.0</v>
      </c>
      <c r="P2350" s="17">
        <v>0.0</v>
      </c>
      <c r="Q2350" s="13">
        <f t="shared" si="2562"/>
        <v>0</v>
      </c>
      <c r="R2350" s="14">
        <v>44973.0</v>
      </c>
      <c r="S2350" s="13"/>
      <c r="T2350" s="13">
        <f t="shared" ref="T2350:Y2350" si="2565">IF(ISBLANK(K2350)=TRUE,0,1)</f>
        <v>0</v>
      </c>
      <c r="U2350" s="13">
        <f t="shared" si="2565"/>
        <v>0</v>
      </c>
      <c r="V2350" s="13">
        <f t="shared" si="2565"/>
        <v>1</v>
      </c>
      <c r="W2350" s="13">
        <f t="shared" si="2565"/>
        <v>1</v>
      </c>
      <c r="X2350" s="13">
        <f t="shared" si="2565"/>
        <v>1</v>
      </c>
      <c r="Y2350" s="13">
        <f t="shared" si="2565"/>
        <v>1</v>
      </c>
      <c r="Z2350" s="13">
        <f t="shared" si="1998"/>
        <v>0</v>
      </c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</row>
    <row r="2351" ht="14.25" hidden="1" customHeight="1">
      <c r="A2351" s="13" t="s">
        <v>29</v>
      </c>
      <c r="B2351" s="13" t="s">
        <v>30</v>
      </c>
      <c r="C2351" s="13" t="s">
        <v>1401</v>
      </c>
      <c r="D2351" s="13"/>
      <c r="E2351" s="13" t="str">
        <f t="shared" si="2395"/>
        <v>SJC,211-10-7,,0</v>
      </c>
      <c r="F2351" s="13"/>
      <c r="G2351" s="13" t="s">
        <v>111</v>
      </c>
      <c r="H2351" s="13" t="s">
        <v>107</v>
      </c>
      <c r="I2351" s="14">
        <v>44862.0</v>
      </c>
      <c r="J2351" s="14"/>
      <c r="K2351" s="15"/>
      <c r="L2351" s="15"/>
      <c r="M2351" s="16">
        <v>0.0</v>
      </c>
      <c r="N2351" s="16">
        <v>0.0</v>
      </c>
      <c r="O2351" s="17">
        <v>0.0</v>
      </c>
      <c r="P2351" s="17">
        <v>0.0</v>
      </c>
      <c r="Q2351" s="13">
        <f t="shared" si="2562"/>
        <v>0</v>
      </c>
      <c r="R2351" s="14">
        <v>44973.0</v>
      </c>
      <c r="S2351" s="13"/>
      <c r="T2351" s="13">
        <f t="shared" ref="T2351:Y2351" si="2566">IF(ISBLANK(K2351)=TRUE,0,1)</f>
        <v>0</v>
      </c>
      <c r="U2351" s="13">
        <f t="shared" si="2566"/>
        <v>0</v>
      </c>
      <c r="V2351" s="13">
        <f t="shared" si="2566"/>
        <v>1</v>
      </c>
      <c r="W2351" s="13">
        <f t="shared" si="2566"/>
        <v>1</v>
      </c>
      <c r="X2351" s="13">
        <f t="shared" si="2566"/>
        <v>1</v>
      </c>
      <c r="Y2351" s="13">
        <f t="shared" si="2566"/>
        <v>1</v>
      </c>
      <c r="Z2351" s="13">
        <f t="shared" si="1998"/>
        <v>0</v>
      </c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</row>
    <row r="2352" ht="14.25" hidden="1" customHeight="1">
      <c r="A2352" s="13" t="s">
        <v>29</v>
      </c>
      <c r="B2352" s="13" t="s">
        <v>30</v>
      </c>
      <c r="C2352" s="13" t="s">
        <v>1402</v>
      </c>
      <c r="D2352" s="13"/>
      <c r="E2352" s="13" t="str">
        <f t="shared" si="2395"/>
        <v>SJC,211-10-70,,0</v>
      </c>
      <c r="F2352" s="13"/>
      <c r="G2352" s="13" t="s">
        <v>111</v>
      </c>
      <c r="H2352" s="13" t="s">
        <v>75</v>
      </c>
      <c r="I2352" s="14">
        <v>44862.0</v>
      </c>
      <c r="J2352" s="14"/>
      <c r="K2352" s="15"/>
      <c r="L2352" s="15"/>
      <c r="M2352" s="16">
        <v>0.0</v>
      </c>
      <c r="N2352" s="16">
        <v>0.0</v>
      </c>
      <c r="O2352" s="17">
        <v>0.0</v>
      </c>
      <c r="P2352" s="17">
        <v>0.0</v>
      </c>
      <c r="Q2352" s="13"/>
      <c r="R2352" s="14">
        <v>44973.0</v>
      </c>
      <c r="S2352" s="13"/>
      <c r="T2352" s="13">
        <f t="shared" ref="T2352:Y2352" si="2567">IF(ISBLANK(K2352)=TRUE,0,1)</f>
        <v>0</v>
      </c>
      <c r="U2352" s="13">
        <f t="shared" si="2567"/>
        <v>0</v>
      </c>
      <c r="V2352" s="13">
        <f t="shared" si="2567"/>
        <v>1</v>
      </c>
      <c r="W2352" s="13">
        <f t="shared" si="2567"/>
        <v>1</v>
      </c>
      <c r="X2352" s="13">
        <f t="shared" si="2567"/>
        <v>1</v>
      </c>
      <c r="Y2352" s="13">
        <f t="shared" si="2567"/>
        <v>1</v>
      </c>
      <c r="Z2352" s="13">
        <f t="shared" si="1998"/>
        <v>0</v>
      </c>
      <c r="AA2352" s="13"/>
      <c r="AB2352" s="13"/>
      <c r="AC2352" s="13"/>
      <c r="AD2352" s="13"/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</row>
    <row r="2353" ht="14.25" hidden="1" customHeight="1">
      <c r="A2353" s="13" t="s">
        <v>29</v>
      </c>
      <c r="B2353" s="13" t="s">
        <v>30</v>
      </c>
      <c r="C2353" s="13" t="s">
        <v>1402</v>
      </c>
      <c r="D2353" s="13" t="s">
        <v>174</v>
      </c>
      <c r="E2353" s="13" t="str">
        <f t="shared" si="2395"/>
        <v>SJC,211-10-70,AA,0</v>
      </c>
      <c r="F2353" s="13"/>
      <c r="G2353" s="13" t="s">
        <v>111</v>
      </c>
      <c r="H2353" s="13" t="s">
        <v>75</v>
      </c>
      <c r="I2353" s="13"/>
      <c r="J2353" s="13"/>
      <c r="K2353" s="15"/>
      <c r="L2353" s="15"/>
      <c r="M2353" s="16">
        <v>0.0</v>
      </c>
      <c r="N2353" s="16">
        <v>0.0</v>
      </c>
      <c r="O2353" s="17">
        <v>0.0</v>
      </c>
      <c r="P2353" s="17">
        <v>0.0</v>
      </c>
      <c r="Q2353" s="13"/>
      <c r="R2353" s="14">
        <v>44973.0</v>
      </c>
      <c r="S2353" s="13"/>
      <c r="T2353" s="13">
        <f t="shared" ref="T2353:Y2353" si="2568">IF(ISBLANK(K2353)=TRUE,0,1)</f>
        <v>0</v>
      </c>
      <c r="U2353" s="13">
        <f t="shared" si="2568"/>
        <v>0</v>
      </c>
      <c r="V2353" s="13">
        <f t="shared" si="2568"/>
        <v>1</v>
      </c>
      <c r="W2353" s="13">
        <f t="shared" si="2568"/>
        <v>1</v>
      </c>
      <c r="X2353" s="13">
        <f t="shared" si="2568"/>
        <v>1</v>
      </c>
      <c r="Y2353" s="13">
        <f t="shared" si="2568"/>
        <v>1</v>
      </c>
      <c r="Z2353" s="13">
        <f t="shared" si="1998"/>
        <v>0</v>
      </c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</row>
    <row r="2354" ht="14.25" hidden="1" customHeight="1">
      <c r="A2354" s="13" t="s">
        <v>29</v>
      </c>
      <c r="B2354" s="13" t="s">
        <v>30</v>
      </c>
      <c r="C2354" s="13" t="s">
        <v>1402</v>
      </c>
      <c r="D2354" s="13" t="s">
        <v>175</v>
      </c>
      <c r="E2354" s="13" t="str">
        <f t="shared" si="2395"/>
        <v>SJC,211-10-70,AB,0</v>
      </c>
      <c r="F2354" s="13"/>
      <c r="G2354" s="13" t="s">
        <v>111</v>
      </c>
      <c r="H2354" s="13" t="s">
        <v>75</v>
      </c>
      <c r="I2354" s="13"/>
      <c r="J2354" s="13"/>
      <c r="K2354" s="15"/>
      <c r="L2354" s="15"/>
      <c r="M2354" s="16">
        <v>0.0</v>
      </c>
      <c r="N2354" s="16">
        <v>0.0</v>
      </c>
      <c r="O2354" s="17">
        <v>0.0</v>
      </c>
      <c r="P2354" s="17">
        <v>0.0</v>
      </c>
      <c r="Q2354" s="13"/>
      <c r="R2354" s="14">
        <v>44973.0</v>
      </c>
      <c r="S2354" s="13"/>
      <c r="T2354" s="13">
        <f t="shared" ref="T2354:Y2354" si="2569">IF(ISBLANK(K2354)=TRUE,0,1)</f>
        <v>0</v>
      </c>
      <c r="U2354" s="13">
        <f t="shared" si="2569"/>
        <v>0</v>
      </c>
      <c r="V2354" s="13">
        <f t="shared" si="2569"/>
        <v>1</v>
      </c>
      <c r="W2354" s="13">
        <f t="shared" si="2569"/>
        <v>1</v>
      </c>
      <c r="X2354" s="13">
        <f t="shared" si="2569"/>
        <v>1</v>
      </c>
      <c r="Y2354" s="13">
        <f t="shared" si="2569"/>
        <v>1</v>
      </c>
      <c r="Z2354" s="13">
        <f t="shared" si="1998"/>
        <v>0</v>
      </c>
      <c r="AA2354" s="13"/>
      <c r="AB2354" s="13"/>
      <c r="AC2354" s="13"/>
      <c r="AD2354" s="13"/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  <c r="AR2354" s="13"/>
      <c r="AS2354" s="13"/>
    </row>
    <row r="2355" ht="14.25" hidden="1" customHeight="1">
      <c r="A2355" s="13" t="s">
        <v>29</v>
      </c>
      <c r="B2355" s="13" t="s">
        <v>30</v>
      </c>
      <c r="C2355" s="13" t="s">
        <v>1402</v>
      </c>
      <c r="D2355" s="13" t="s">
        <v>176</v>
      </c>
      <c r="E2355" s="13" t="str">
        <f t="shared" si="2395"/>
        <v>SJC,211-10-70,AC,0</v>
      </c>
      <c r="F2355" s="13"/>
      <c r="G2355" s="13" t="s">
        <v>111</v>
      </c>
      <c r="H2355" s="13" t="s">
        <v>75</v>
      </c>
      <c r="I2355" s="13"/>
      <c r="J2355" s="13"/>
      <c r="K2355" s="15"/>
      <c r="L2355" s="15"/>
      <c r="M2355" s="16">
        <v>0.0</v>
      </c>
      <c r="N2355" s="16">
        <v>0.0</v>
      </c>
      <c r="O2355" s="17">
        <v>0.0</v>
      </c>
      <c r="P2355" s="17">
        <v>0.0</v>
      </c>
      <c r="Q2355" s="13"/>
      <c r="R2355" s="14">
        <v>44973.0</v>
      </c>
      <c r="S2355" s="13"/>
      <c r="T2355" s="13">
        <f t="shared" ref="T2355:Y2355" si="2570">IF(ISBLANK(K2355)=TRUE,0,1)</f>
        <v>0</v>
      </c>
      <c r="U2355" s="13">
        <f t="shared" si="2570"/>
        <v>0</v>
      </c>
      <c r="V2355" s="13">
        <f t="shared" si="2570"/>
        <v>1</v>
      </c>
      <c r="W2355" s="13">
        <f t="shared" si="2570"/>
        <v>1</v>
      </c>
      <c r="X2355" s="13">
        <f t="shared" si="2570"/>
        <v>1</v>
      </c>
      <c r="Y2355" s="13">
        <f t="shared" si="2570"/>
        <v>1</v>
      </c>
      <c r="Z2355" s="13">
        <f t="shared" si="1998"/>
        <v>0</v>
      </c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</row>
    <row r="2356" ht="14.25" hidden="1" customHeight="1">
      <c r="A2356" s="13" t="s">
        <v>29</v>
      </c>
      <c r="B2356" s="13" t="s">
        <v>30</v>
      </c>
      <c r="C2356" s="13" t="s">
        <v>1403</v>
      </c>
      <c r="D2356" s="13"/>
      <c r="E2356" s="13" t="str">
        <f t="shared" si="2395"/>
        <v>SJC,211-10-71,,0</v>
      </c>
      <c r="F2356" s="13"/>
      <c r="G2356" s="13" t="s">
        <v>111</v>
      </c>
      <c r="H2356" s="13" t="s">
        <v>107</v>
      </c>
      <c r="I2356" s="14">
        <v>44862.0</v>
      </c>
      <c r="J2356" s="14"/>
      <c r="K2356" s="15"/>
      <c r="L2356" s="15"/>
      <c r="M2356" s="16">
        <v>0.0</v>
      </c>
      <c r="N2356" s="16">
        <v>0.0</v>
      </c>
      <c r="O2356" s="17">
        <v>0.0</v>
      </c>
      <c r="P2356" s="17">
        <v>0.0</v>
      </c>
      <c r="Q2356" s="13">
        <f t="shared" ref="Q2356:Q2361" si="2572">K2355+L2355+M2355+N2355+O2355+P2355/6</f>
        <v>0</v>
      </c>
      <c r="R2356" s="14">
        <v>44973.0</v>
      </c>
      <c r="S2356" s="13"/>
      <c r="T2356" s="13">
        <f t="shared" ref="T2356:Y2356" si="2571">IF(ISBLANK(K2356)=TRUE,0,1)</f>
        <v>0</v>
      </c>
      <c r="U2356" s="13">
        <f t="shared" si="2571"/>
        <v>0</v>
      </c>
      <c r="V2356" s="13">
        <f t="shared" si="2571"/>
        <v>1</v>
      </c>
      <c r="W2356" s="13">
        <f t="shared" si="2571"/>
        <v>1</v>
      </c>
      <c r="X2356" s="13">
        <f t="shared" si="2571"/>
        <v>1</v>
      </c>
      <c r="Y2356" s="13">
        <f t="shared" si="2571"/>
        <v>1</v>
      </c>
      <c r="Z2356" s="13">
        <f t="shared" si="1998"/>
        <v>0</v>
      </c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</row>
    <row r="2357" ht="14.25" hidden="1" customHeight="1">
      <c r="A2357" s="13" t="s">
        <v>29</v>
      </c>
      <c r="B2357" s="13" t="s">
        <v>30</v>
      </c>
      <c r="C2357" s="13" t="s">
        <v>1404</v>
      </c>
      <c r="D2357" s="13"/>
      <c r="E2357" s="13" t="str">
        <f t="shared" si="2395"/>
        <v>SJC,211-10-72,,0</v>
      </c>
      <c r="F2357" s="13"/>
      <c r="G2357" s="13" t="s">
        <v>111</v>
      </c>
      <c r="H2357" s="13" t="s">
        <v>107</v>
      </c>
      <c r="I2357" s="14">
        <v>44862.0</v>
      </c>
      <c r="J2357" s="14"/>
      <c r="K2357" s="15"/>
      <c r="L2357" s="15"/>
      <c r="M2357" s="16">
        <v>0.0</v>
      </c>
      <c r="N2357" s="16">
        <v>0.0</v>
      </c>
      <c r="O2357" s="17">
        <v>0.0</v>
      </c>
      <c r="P2357" s="17">
        <v>0.0</v>
      </c>
      <c r="Q2357" s="13">
        <f t="shared" si="2572"/>
        <v>0</v>
      </c>
      <c r="R2357" s="14">
        <v>44973.0</v>
      </c>
      <c r="S2357" s="13"/>
      <c r="T2357" s="13">
        <f t="shared" ref="T2357:Y2357" si="2573">IF(ISBLANK(K2357)=TRUE,0,1)</f>
        <v>0</v>
      </c>
      <c r="U2357" s="13">
        <f t="shared" si="2573"/>
        <v>0</v>
      </c>
      <c r="V2357" s="13">
        <f t="shared" si="2573"/>
        <v>1</v>
      </c>
      <c r="W2357" s="13">
        <f t="shared" si="2573"/>
        <v>1</v>
      </c>
      <c r="X2357" s="13">
        <f t="shared" si="2573"/>
        <v>1</v>
      </c>
      <c r="Y2357" s="13">
        <f t="shared" si="2573"/>
        <v>1</v>
      </c>
      <c r="Z2357" s="13">
        <f t="shared" si="1998"/>
        <v>0</v>
      </c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</row>
    <row r="2358" ht="14.25" hidden="1" customHeight="1">
      <c r="A2358" s="13" t="s">
        <v>29</v>
      </c>
      <c r="B2358" s="13" t="s">
        <v>30</v>
      </c>
      <c r="C2358" s="13" t="s">
        <v>1405</v>
      </c>
      <c r="D2358" s="13"/>
      <c r="E2358" s="13" t="str">
        <f t="shared" si="2395"/>
        <v>SJC,211-10-73,,0</v>
      </c>
      <c r="F2358" s="13"/>
      <c r="G2358" s="13" t="s">
        <v>111</v>
      </c>
      <c r="H2358" s="13" t="s">
        <v>107</v>
      </c>
      <c r="I2358" s="14">
        <v>44862.0</v>
      </c>
      <c r="J2358" s="14"/>
      <c r="K2358" s="15"/>
      <c r="L2358" s="15"/>
      <c r="M2358" s="16">
        <v>0.0</v>
      </c>
      <c r="N2358" s="16">
        <v>0.0</v>
      </c>
      <c r="O2358" s="17">
        <v>0.0</v>
      </c>
      <c r="P2358" s="17">
        <v>0.0</v>
      </c>
      <c r="Q2358" s="13">
        <f t="shared" si="2572"/>
        <v>0</v>
      </c>
      <c r="R2358" s="14">
        <v>44973.0</v>
      </c>
      <c r="S2358" s="13"/>
      <c r="T2358" s="13">
        <f t="shared" ref="T2358:Y2358" si="2574">IF(ISBLANK(K2358)=TRUE,0,1)</f>
        <v>0</v>
      </c>
      <c r="U2358" s="13">
        <f t="shared" si="2574"/>
        <v>0</v>
      </c>
      <c r="V2358" s="13">
        <f t="shared" si="2574"/>
        <v>1</v>
      </c>
      <c r="W2358" s="13">
        <f t="shared" si="2574"/>
        <v>1</v>
      </c>
      <c r="X2358" s="13">
        <f t="shared" si="2574"/>
        <v>1</v>
      </c>
      <c r="Y2358" s="13">
        <f t="shared" si="2574"/>
        <v>1</v>
      </c>
      <c r="Z2358" s="13">
        <f t="shared" si="1998"/>
        <v>0</v>
      </c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</row>
    <row r="2359" ht="14.25" hidden="1" customHeight="1">
      <c r="A2359" s="13" t="s">
        <v>29</v>
      </c>
      <c r="B2359" s="13" t="s">
        <v>30</v>
      </c>
      <c r="C2359" s="13" t="s">
        <v>1406</v>
      </c>
      <c r="D2359" s="13"/>
      <c r="E2359" s="13" t="str">
        <f t="shared" si="2395"/>
        <v>SJC,211-10-74,,0</v>
      </c>
      <c r="F2359" s="13"/>
      <c r="G2359" s="13" t="s">
        <v>111</v>
      </c>
      <c r="H2359" s="13" t="s">
        <v>107</v>
      </c>
      <c r="I2359" s="14">
        <v>44862.0</v>
      </c>
      <c r="J2359" s="14"/>
      <c r="K2359" s="15"/>
      <c r="L2359" s="15"/>
      <c r="M2359" s="16">
        <v>0.0</v>
      </c>
      <c r="N2359" s="16">
        <v>0.0</v>
      </c>
      <c r="O2359" s="17">
        <v>0.0</v>
      </c>
      <c r="P2359" s="17">
        <v>0.0</v>
      </c>
      <c r="Q2359" s="13">
        <f t="shared" si="2572"/>
        <v>0</v>
      </c>
      <c r="R2359" s="14">
        <v>44973.0</v>
      </c>
      <c r="S2359" s="13"/>
      <c r="T2359" s="13">
        <f t="shared" ref="T2359:Y2359" si="2575">IF(ISBLANK(K2359)=TRUE,0,1)</f>
        <v>0</v>
      </c>
      <c r="U2359" s="13">
        <f t="shared" si="2575"/>
        <v>0</v>
      </c>
      <c r="V2359" s="13">
        <f t="shared" si="2575"/>
        <v>1</v>
      </c>
      <c r="W2359" s="13">
        <f t="shared" si="2575"/>
        <v>1</v>
      </c>
      <c r="X2359" s="13">
        <f t="shared" si="2575"/>
        <v>1</v>
      </c>
      <c r="Y2359" s="13">
        <f t="shared" si="2575"/>
        <v>1</v>
      </c>
      <c r="Z2359" s="13">
        <f t="shared" si="1998"/>
        <v>0</v>
      </c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</row>
    <row r="2360" ht="14.25" hidden="1" customHeight="1">
      <c r="A2360" s="13" t="s">
        <v>29</v>
      </c>
      <c r="B2360" s="13" t="s">
        <v>30</v>
      </c>
      <c r="C2360" s="13" t="s">
        <v>1407</v>
      </c>
      <c r="D2360" s="13"/>
      <c r="E2360" s="13" t="str">
        <f t="shared" si="2395"/>
        <v>SJC,211-10-75,,0</v>
      </c>
      <c r="F2360" s="13"/>
      <c r="G2360" s="13" t="s">
        <v>111</v>
      </c>
      <c r="H2360" s="13" t="s">
        <v>107</v>
      </c>
      <c r="I2360" s="14">
        <v>44862.0</v>
      </c>
      <c r="J2360" s="14"/>
      <c r="K2360" s="15"/>
      <c r="L2360" s="15"/>
      <c r="M2360" s="16">
        <v>0.0</v>
      </c>
      <c r="N2360" s="16">
        <v>0.0</v>
      </c>
      <c r="O2360" s="17">
        <v>0.0</v>
      </c>
      <c r="P2360" s="17">
        <v>0.0</v>
      </c>
      <c r="Q2360" s="13">
        <f t="shared" si="2572"/>
        <v>0</v>
      </c>
      <c r="R2360" s="14">
        <v>44973.0</v>
      </c>
      <c r="S2360" s="13"/>
      <c r="T2360" s="13">
        <f t="shared" ref="T2360:Y2360" si="2576">IF(ISBLANK(K2360)=TRUE,0,1)</f>
        <v>0</v>
      </c>
      <c r="U2360" s="13">
        <f t="shared" si="2576"/>
        <v>0</v>
      </c>
      <c r="V2360" s="13">
        <f t="shared" si="2576"/>
        <v>1</v>
      </c>
      <c r="W2360" s="13">
        <f t="shared" si="2576"/>
        <v>1</v>
      </c>
      <c r="X2360" s="13">
        <f t="shared" si="2576"/>
        <v>1</v>
      </c>
      <c r="Y2360" s="13">
        <f t="shared" si="2576"/>
        <v>1</v>
      </c>
      <c r="Z2360" s="13">
        <f t="shared" si="1998"/>
        <v>0</v>
      </c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</row>
    <row r="2361" ht="14.25" hidden="1" customHeight="1">
      <c r="A2361" s="13" t="s">
        <v>29</v>
      </c>
      <c r="B2361" s="13" t="s">
        <v>30</v>
      </c>
      <c r="C2361" s="13" t="s">
        <v>1408</v>
      </c>
      <c r="D2361" s="13"/>
      <c r="E2361" s="13" t="str">
        <f t="shared" si="2395"/>
        <v>SJC,211-10-76,,0</v>
      </c>
      <c r="F2361" s="13"/>
      <c r="G2361" s="13" t="s">
        <v>111</v>
      </c>
      <c r="H2361" s="13" t="s">
        <v>75</v>
      </c>
      <c r="I2361" s="14">
        <v>44866.0</v>
      </c>
      <c r="J2361" s="14"/>
      <c r="K2361" s="15"/>
      <c r="L2361" s="15"/>
      <c r="M2361" s="16">
        <v>0.0</v>
      </c>
      <c r="N2361" s="16">
        <v>0.0</v>
      </c>
      <c r="O2361" s="17">
        <v>0.0</v>
      </c>
      <c r="P2361" s="17">
        <v>0.0</v>
      </c>
      <c r="Q2361" s="13">
        <f t="shared" si="2572"/>
        <v>0</v>
      </c>
      <c r="R2361" s="14">
        <v>44973.0</v>
      </c>
      <c r="S2361" s="13"/>
      <c r="T2361" s="13">
        <f t="shared" ref="T2361:Y2361" si="2577">IF(ISBLANK(K2361)=TRUE,0,1)</f>
        <v>0</v>
      </c>
      <c r="U2361" s="13">
        <f t="shared" si="2577"/>
        <v>0</v>
      </c>
      <c r="V2361" s="13">
        <f t="shared" si="2577"/>
        <v>1</v>
      </c>
      <c r="W2361" s="13">
        <f t="shared" si="2577"/>
        <v>1</v>
      </c>
      <c r="X2361" s="13">
        <f t="shared" si="2577"/>
        <v>1</v>
      </c>
      <c r="Y2361" s="13">
        <f t="shared" si="2577"/>
        <v>1</v>
      </c>
      <c r="Z2361" s="13">
        <f t="shared" si="1998"/>
        <v>0</v>
      </c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</row>
    <row r="2362" ht="14.25" hidden="1" customHeight="1">
      <c r="A2362" s="13" t="s">
        <v>29</v>
      </c>
      <c r="B2362" s="13" t="s">
        <v>30</v>
      </c>
      <c r="C2362" s="13" t="s">
        <v>1408</v>
      </c>
      <c r="D2362" s="13" t="s">
        <v>174</v>
      </c>
      <c r="E2362" s="13" t="str">
        <f t="shared" si="2395"/>
        <v>SJC,211-10-76,AA,0</v>
      </c>
      <c r="F2362" s="13"/>
      <c r="G2362" s="13" t="s">
        <v>111</v>
      </c>
      <c r="H2362" s="13" t="s">
        <v>75</v>
      </c>
      <c r="I2362" s="13"/>
      <c r="J2362" s="13"/>
      <c r="K2362" s="15"/>
      <c r="L2362" s="15"/>
      <c r="M2362" s="16">
        <v>0.0</v>
      </c>
      <c r="N2362" s="16">
        <v>0.0</v>
      </c>
      <c r="O2362" s="17">
        <v>0.0</v>
      </c>
      <c r="P2362" s="17">
        <v>0.0</v>
      </c>
      <c r="Q2362" s="13"/>
      <c r="R2362" s="14">
        <v>44973.0</v>
      </c>
      <c r="S2362" s="13"/>
      <c r="T2362" s="13">
        <f t="shared" ref="T2362:Y2362" si="2578">IF(ISBLANK(K2362)=TRUE,0,1)</f>
        <v>0</v>
      </c>
      <c r="U2362" s="13">
        <f t="shared" si="2578"/>
        <v>0</v>
      </c>
      <c r="V2362" s="13">
        <f t="shared" si="2578"/>
        <v>1</v>
      </c>
      <c r="W2362" s="13">
        <f t="shared" si="2578"/>
        <v>1</v>
      </c>
      <c r="X2362" s="13">
        <f t="shared" si="2578"/>
        <v>1</v>
      </c>
      <c r="Y2362" s="13">
        <f t="shared" si="2578"/>
        <v>1</v>
      </c>
      <c r="Z2362" s="13">
        <f t="shared" si="1998"/>
        <v>0</v>
      </c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</row>
    <row r="2363" ht="14.25" hidden="1" customHeight="1">
      <c r="A2363" s="13" t="s">
        <v>29</v>
      </c>
      <c r="B2363" s="13" t="s">
        <v>30</v>
      </c>
      <c r="C2363" s="13" t="s">
        <v>1408</v>
      </c>
      <c r="D2363" s="13" t="s">
        <v>175</v>
      </c>
      <c r="E2363" s="13" t="str">
        <f t="shared" si="2395"/>
        <v>SJC,211-10-76,AB,0</v>
      </c>
      <c r="F2363" s="13"/>
      <c r="G2363" s="13" t="s">
        <v>111</v>
      </c>
      <c r="H2363" s="13" t="s">
        <v>75</v>
      </c>
      <c r="I2363" s="13"/>
      <c r="J2363" s="13"/>
      <c r="K2363" s="15"/>
      <c r="L2363" s="15"/>
      <c r="M2363" s="16">
        <v>0.0</v>
      </c>
      <c r="N2363" s="16">
        <v>0.0</v>
      </c>
      <c r="O2363" s="17">
        <v>0.0</v>
      </c>
      <c r="P2363" s="17">
        <v>0.0</v>
      </c>
      <c r="Q2363" s="13"/>
      <c r="R2363" s="14">
        <v>44973.0</v>
      </c>
      <c r="S2363" s="13"/>
      <c r="T2363" s="13">
        <f t="shared" ref="T2363:Y2363" si="2579">IF(ISBLANK(K2363)=TRUE,0,1)</f>
        <v>0</v>
      </c>
      <c r="U2363" s="13">
        <f t="shared" si="2579"/>
        <v>0</v>
      </c>
      <c r="V2363" s="13">
        <f t="shared" si="2579"/>
        <v>1</v>
      </c>
      <c r="W2363" s="13">
        <f t="shared" si="2579"/>
        <v>1</v>
      </c>
      <c r="X2363" s="13">
        <f t="shared" si="2579"/>
        <v>1</v>
      </c>
      <c r="Y2363" s="13">
        <f t="shared" si="2579"/>
        <v>1</v>
      </c>
      <c r="Z2363" s="13">
        <f t="shared" si="1998"/>
        <v>0</v>
      </c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</row>
    <row r="2364" ht="14.25" hidden="1" customHeight="1">
      <c r="A2364" s="13" t="s">
        <v>29</v>
      </c>
      <c r="B2364" s="13" t="s">
        <v>30</v>
      </c>
      <c r="C2364" s="13" t="s">
        <v>1409</v>
      </c>
      <c r="D2364" s="13"/>
      <c r="E2364" s="13" t="str">
        <f t="shared" si="2395"/>
        <v>SJC,211-10-77,,0</v>
      </c>
      <c r="F2364" s="13"/>
      <c r="G2364" s="13" t="s">
        <v>111</v>
      </c>
      <c r="H2364" s="13" t="s">
        <v>75</v>
      </c>
      <c r="I2364" s="14">
        <v>44866.0</v>
      </c>
      <c r="J2364" s="14"/>
      <c r="K2364" s="15"/>
      <c r="L2364" s="15"/>
      <c r="M2364" s="16">
        <v>0.0</v>
      </c>
      <c r="N2364" s="16">
        <v>0.0</v>
      </c>
      <c r="O2364" s="17">
        <v>0.0</v>
      </c>
      <c r="P2364" s="17">
        <v>0.0</v>
      </c>
      <c r="Q2364" s="13">
        <f>K2363+L2363+M2363+N2363+O2363+P2363/6</f>
        <v>0</v>
      </c>
      <c r="R2364" s="14">
        <v>44973.0</v>
      </c>
      <c r="S2364" s="13"/>
      <c r="T2364" s="13">
        <f t="shared" ref="T2364:Y2364" si="2580">IF(ISBLANK(K2364)=TRUE,0,1)</f>
        <v>0</v>
      </c>
      <c r="U2364" s="13">
        <f t="shared" si="2580"/>
        <v>0</v>
      </c>
      <c r="V2364" s="13">
        <f t="shared" si="2580"/>
        <v>1</v>
      </c>
      <c r="W2364" s="13">
        <f t="shared" si="2580"/>
        <v>1</v>
      </c>
      <c r="X2364" s="13">
        <f t="shared" si="2580"/>
        <v>1</v>
      </c>
      <c r="Y2364" s="13">
        <f t="shared" si="2580"/>
        <v>1</v>
      </c>
      <c r="Z2364" s="13">
        <f t="shared" si="1998"/>
        <v>0</v>
      </c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</row>
    <row r="2365" ht="14.25" hidden="1" customHeight="1">
      <c r="A2365" s="13" t="s">
        <v>29</v>
      </c>
      <c r="B2365" s="13" t="s">
        <v>30</v>
      </c>
      <c r="C2365" s="13" t="s">
        <v>1409</v>
      </c>
      <c r="D2365" s="13" t="s">
        <v>174</v>
      </c>
      <c r="E2365" s="13" t="str">
        <f t="shared" si="2395"/>
        <v>SJC,211-10-77,AA,0</v>
      </c>
      <c r="F2365" s="13"/>
      <c r="G2365" s="13" t="s">
        <v>111</v>
      </c>
      <c r="H2365" s="13" t="s">
        <v>75</v>
      </c>
      <c r="I2365" s="13"/>
      <c r="J2365" s="13"/>
      <c r="K2365" s="15"/>
      <c r="L2365" s="15"/>
      <c r="M2365" s="16">
        <v>0.0</v>
      </c>
      <c r="N2365" s="16">
        <v>0.0</v>
      </c>
      <c r="O2365" s="17">
        <v>0.0</v>
      </c>
      <c r="P2365" s="17">
        <v>0.0</v>
      </c>
      <c r="Q2365" s="13"/>
      <c r="R2365" s="14">
        <v>44973.0</v>
      </c>
      <c r="S2365" s="13"/>
      <c r="T2365" s="13">
        <f t="shared" ref="T2365:Y2365" si="2581">IF(ISBLANK(K2365)=TRUE,0,1)</f>
        <v>0</v>
      </c>
      <c r="U2365" s="13">
        <f t="shared" si="2581"/>
        <v>0</v>
      </c>
      <c r="V2365" s="13">
        <f t="shared" si="2581"/>
        <v>1</v>
      </c>
      <c r="W2365" s="13">
        <f t="shared" si="2581"/>
        <v>1</v>
      </c>
      <c r="X2365" s="13">
        <f t="shared" si="2581"/>
        <v>1</v>
      </c>
      <c r="Y2365" s="13">
        <f t="shared" si="2581"/>
        <v>1</v>
      </c>
      <c r="Z2365" s="13">
        <f t="shared" si="1998"/>
        <v>0</v>
      </c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</row>
    <row r="2366" ht="14.25" hidden="1" customHeight="1">
      <c r="A2366" s="13" t="s">
        <v>29</v>
      </c>
      <c r="B2366" s="13" t="s">
        <v>30</v>
      </c>
      <c r="C2366" s="13" t="s">
        <v>1409</v>
      </c>
      <c r="D2366" s="13" t="s">
        <v>175</v>
      </c>
      <c r="E2366" s="13" t="str">
        <f t="shared" si="2395"/>
        <v>SJC,211-10-77,AB,0</v>
      </c>
      <c r="F2366" s="13"/>
      <c r="G2366" s="13" t="s">
        <v>111</v>
      </c>
      <c r="H2366" s="13" t="s">
        <v>75</v>
      </c>
      <c r="I2366" s="13"/>
      <c r="J2366" s="13"/>
      <c r="K2366" s="15"/>
      <c r="L2366" s="15"/>
      <c r="M2366" s="16">
        <v>0.0</v>
      </c>
      <c r="N2366" s="16">
        <v>0.0</v>
      </c>
      <c r="O2366" s="17">
        <v>0.0</v>
      </c>
      <c r="P2366" s="17">
        <v>0.0</v>
      </c>
      <c r="Q2366" s="13"/>
      <c r="R2366" s="14">
        <v>44973.0</v>
      </c>
      <c r="S2366" s="13"/>
      <c r="T2366" s="13">
        <f t="shared" ref="T2366:Y2366" si="2582">IF(ISBLANK(K2366)=TRUE,0,1)</f>
        <v>0</v>
      </c>
      <c r="U2366" s="13">
        <f t="shared" si="2582"/>
        <v>0</v>
      </c>
      <c r="V2366" s="13">
        <f t="shared" si="2582"/>
        <v>1</v>
      </c>
      <c r="W2366" s="13">
        <f t="shared" si="2582"/>
        <v>1</v>
      </c>
      <c r="X2366" s="13">
        <f t="shared" si="2582"/>
        <v>1</v>
      </c>
      <c r="Y2366" s="13">
        <f t="shared" si="2582"/>
        <v>1</v>
      </c>
      <c r="Z2366" s="13">
        <f t="shared" si="1998"/>
        <v>0</v>
      </c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</row>
    <row r="2367" ht="14.25" hidden="1" customHeight="1">
      <c r="A2367" s="13" t="s">
        <v>29</v>
      </c>
      <c r="B2367" s="13" t="s">
        <v>30</v>
      </c>
      <c r="C2367" s="13" t="s">
        <v>1410</v>
      </c>
      <c r="D2367" s="13"/>
      <c r="E2367" s="13" t="str">
        <f t="shared" si="2395"/>
        <v>SJC,211-10-78,,0</v>
      </c>
      <c r="F2367" s="13"/>
      <c r="G2367" s="13" t="s">
        <v>111</v>
      </c>
      <c r="H2367" s="13" t="s">
        <v>107</v>
      </c>
      <c r="I2367" s="14">
        <v>44866.0</v>
      </c>
      <c r="J2367" s="14"/>
      <c r="K2367" s="15"/>
      <c r="L2367" s="15"/>
      <c r="M2367" s="16">
        <v>0.0</v>
      </c>
      <c r="N2367" s="16">
        <v>0.0</v>
      </c>
      <c r="O2367" s="17">
        <v>0.0</v>
      </c>
      <c r="P2367" s="17">
        <v>0.0</v>
      </c>
      <c r="Q2367" s="13">
        <f>K2366+L2366+M2366+N2366+O2366+P2366/6</f>
        <v>0</v>
      </c>
      <c r="R2367" s="14">
        <v>44973.0</v>
      </c>
      <c r="S2367" s="13"/>
      <c r="T2367" s="13">
        <f t="shared" ref="T2367:Y2367" si="2583">IF(ISBLANK(K2367)=TRUE,0,1)</f>
        <v>0</v>
      </c>
      <c r="U2367" s="13">
        <f t="shared" si="2583"/>
        <v>0</v>
      </c>
      <c r="V2367" s="13">
        <f t="shared" si="2583"/>
        <v>1</v>
      </c>
      <c r="W2367" s="13">
        <f t="shared" si="2583"/>
        <v>1</v>
      </c>
      <c r="X2367" s="13">
        <f t="shared" si="2583"/>
        <v>1</v>
      </c>
      <c r="Y2367" s="13">
        <f t="shared" si="2583"/>
        <v>1</v>
      </c>
      <c r="Z2367" s="13">
        <f t="shared" si="1998"/>
        <v>0</v>
      </c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</row>
    <row r="2368" ht="14.25" hidden="1" customHeight="1">
      <c r="A2368" s="13" t="s">
        <v>29</v>
      </c>
      <c r="B2368" s="13" t="s">
        <v>30</v>
      </c>
      <c r="C2368" s="13" t="s">
        <v>1410</v>
      </c>
      <c r="D2368" s="13" t="s">
        <v>174</v>
      </c>
      <c r="E2368" s="13" t="str">
        <f t="shared" si="2395"/>
        <v>SJC,211-10-78,AA,0</v>
      </c>
      <c r="F2368" s="13"/>
      <c r="G2368" s="13" t="s">
        <v>111</v>
      </c>
      <c r="H2368" s="13" t="s">
        <v>75</v>
      </c>
      <c r="I2368" s="13"/>
      <c r="J2368" s="13"/>
      <c r="K2368" s="15"/>
      <c r="L2368" s="15"/>
      <c r="M2368" s="16">
        <v>0.0</v>
      </c>
      <c r="N2368" s="16">
        <v>0.0</v>
      </c>
      <c r="O2368" s="17">
        <v>0.0</v>
      </c>
      <c r="P2368" s="17">
        <v>0.0</v>
      </c>
      <c r="Q2368" s="13"/>
      <c r="R2368" s="14">
        <v>44973.0</v>
      </c>
      <c r="S2368" s="13"/>
      <c r="T2368" s="13">
        <f t="shared" ref="T2368:Y2368" si="2584">IF(ISBLANK(K2368)=TRUE,0,1)</f>
        <v>0</v>
      </c>
      <c r="U2368" s="13">
        <f t="shared" si="2584"/>
        <v>0</v>
      </c>
      <c r="V2368" s="13">
        <f t="shared" si="2584"/>
        <v>1</v>
      </c>
      <c r="W2368" s="13">
        <f t="shared" si="2584"/>
        <v>1</v>
      </c>
      <c r="X2368" s="13">
        <f t="shared" si="2584"/>
        <v>1</v>
      </c>
      <c r="Y2368" s="13">
        <f t="shared" si="2584"/>
        <v>1</v>
      </c>
      <c r="Z2368" s="13">
        <f t="shared" si="1998"/>
        <v>0</v>
      </c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</row>
    <row r="2369" ht="14.25" hidden="1" customHeight="1">
      <c r="A2369" s="13" t="s">
        <v>29</v>
      </c>
      <c r="B2369" s="13" t="s">
        <v>30</v>
      </c>
      <c r="C2369" s="13" t="s">
        <v>1410</v>
      </c>
      <c r="D2369" s="13" t="s">
        <v>175</v>
      </c>
      <c r="E2369" s="13" t="str">
        <f t="shared" si="2395"/>
        <v>SJC,211-10-78,AB,0</v>
      </c>
      <c r="F2369" s="13"/>
      <c r="G2369" s="13" t="s">
        <v>111</v>
      </c>
      <c r="H2369" s="13" t="s">
        <v>75</v>
      </c>
      <c r="I2369" s="13"/>
      <c r="J2369" s="13"/>
      <c r="K2369" s="15"/>
      <c r="L2369" s="15"/>
      <c r="M2369" s="16">
        <v>0.0</v>
      </c>
      <c r="N2369" s="16">
        <v>0.0</v>
      </c>
      <c r="O2369" s="17">
        <v>0.0</v>
      </c>
      <c r="P2369" s="17">
        <v>0.0</v>
      </c>
      <c r="Q2369" s="13"/>
      <c r="R2369" s="14">
        <v>44973.0</v>
      </c>
      <c r="S2369" s="13"/>
      <c r="T2369" s="13">
        <f t="shared" ref="T2369:Y2369" si="2585">IF(ISBLANK(K2369)=TRUE,0,1)</f>
        <v>0</v>
      </c>
      <c r="U2369" s="13">
        <f t="shared" si="2585"/>
        <v>0</v>
      </c>
      <c r="V2369" s="13">
        <f t="shared" si="2585"/>
        <v>1</v>
      </c>
      <c r="W2369" s="13">
        <f t="shared" si="2585"/>
        <v>1</v>
      </c>
      <c r="X2369" s="13">
        <f t="shared" si="2585"/>
        <v>1</v>
      </c>
      <c r="Y2369" s="13">
        <f t="shared" si="2585"/>
        <v>1</v>
      </c>
      <c r="Z2369" s="13">
        <f t="shared" si="1998"/>
        <v>0</v>
      </c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</row>
    <row r="2370" ht="14.25" hidden="1" customHeight="1">
      <c r="A2370" s="13" t="s">
        <v>29</v>
      </c>
      <c r="B2370" s="13" t="s">
        <v>30</v>
      </c>
      <c r="C2370" s="13" t="s">
        <v>1411</v>
      </c>
      <c r="D2370" s="13"/>
      <c r="E2370" s="13" t="str">
        <f t="shared" si="2395"/>
        <v>SJC,211-10-79,,0</v>
      </c>
      <c r="F2370" s="13"/>
      <c r="G2370" s="13" t="s">
        <v>111</v>
      </c>
      <c r="H2370" s="13" t="s">
        <v>75</v>
      </c>
      <c r="I2370" s="14">
        <v>44866.0</v>
      </c>
      <c r="J2370" s="14"/>
      <c r="K2370" s="15"/>
      <c r="L2370" s="15"/>
      <c r="M2370" s="16">
        <v>0.0</v>
      </c>
      <c r="N2370" s="16">
        <v>0.0</v>
      </c>
      <c r="O2370" s="17">
        <v>0.0</v>
      </c>
      <c r="P2370" s="17">
        <v>0.0</v>
      </c>
      <c r="Q2370" s="13">
        <f>K2369+L2369+M2369+N2369+O2369+P2369/6</f>
        <v>0</v>
      </c>
      <c r="R2370" s="14">
        <v>44973.0</v>
      </c>
      <c r="S2370" s="13"/>
      <c r="T2370" s="13">
        <f t="shared" ref="T2370:Y2370" si="2586">IF(ISBLANK(K2370)=TRUE,0,1)</f>
        <v>0</v>
      </c>
      <c r="U2370" s="13">
        <f t="shared" si="2586"/>
        <v>0</v>
      </c>
      <c r="V2370" s="13">
        <f t="shared" si="2586"/>
        <v>1</v>
      </c>
      <c r="W2370" s="13">
        <f t="shared" si="2586"/>
        <v>1</v>
      </c>
      <c r="X2370" s="13">
        <f t="shared" si="2586"/>
        <v>1</v>
      </c>
      <c r="Y2370" s="13">
        <f t="shared" si="2586"/>
        <v>1</v>
      </c>
      <c r="Z2370" s="13">
        <f t="shared" si="1998"/>
        <v>0</v>
      </c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</row>
    <row r="2371" ht="14.25" hidden="1" customHeight="1">
      <c r="A2371" s="13" t="s">
        <v>29</v>
      </c>
      <c r="B2371" s="13" t="s">
        <v>30</v>
      </c>
      <c r="C2371" s="13" t="s">
        <v>1411</v>
      </c>
      <c r="D2371" s="13" t="s">
        <v>174</v>
      </c>
      <c r="E2371" s="13" t="str">
        <f t="shared" si="2395"/>
        <v>SJC,211-10-79,AA,0</v>
      </c>
      <c r="F2371" s="13"/>
      <c r="G2371" s="13" t="s">
        <v>111</v>
      </c>
      <c r="H2371" s="13" t="s">
        <v>75</v>
      </c>
      <c r="I2371" s="13"/>
      <c r="J2371" s="13"/>
      <c r="K2371" s="15"/>
      <c r="L2371" s="15"/>
      <c r="M2371" s="16">
        <v>0.0</v>
      </c>
      <c r="N2371" s="16">
        <v>0.0</v>
      </c>
      <c r="O2371" s="17">
        <v>0.0</v>
      </c>
      <c r="P2371" s="17">
        <v>0.0</v>
      </c>
      <c r="Q2371" s="13"/>
      <c r="R2371" s="14">
        <v>44973.0</v>
      </c>
      <c r="S2371" s="13"/>
      <c r="T2371" s="13">
        <f t="shared" ref="T2371:Y2371" si="2587">IF(ISBLANK(K2371)=TRUE,0,1)</f>
        <v>0</v>
      </c>
      <c r="U2371" s="13">
        <f t="shared" si="2587"/>
        <v>0</v>
      </c>
      <c r="V2371" s="13">
        <f t="shared" si="2587"/>
        <v>1</v>
      </c>
      <c r="W2371" s="13">
        <f t="shared" si="2587"/>
        <v>1</v>
      </c>
      <c r="X2371" s="13">
        <f t="shared" si="2587"/>
        <v>1</v>
      </c>
      <c r="Y2371" s="13">
        <f t="shared" si="2587"/>
        <v>1</v>
      </c>
      <c r="Z2371" s="13">
        <f t="shared" si="1998"/>
        <v>0</v>
      </c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</row>
    <row r="2372" ht="14.25" hidden="1" customHeight="1">
      <c r="A2372" s="13" t="s">
        <v>29</v>
      </c>
      <c r="B2372" s="13" t="s">
        <v>30</v>
      </c>
      <c r="C2372" s="13" t="s">
        <v>1411</v>
      </c>
      <c r="D2372" s="13" t="s">
        <v>175</v>
      </c>
      <c r="E2372" s="13" t="str">
        <f t="shared" si="2395"/>
        <v>SJC,211-10-79,AB,0</v>
      </c>
      <c r="F2372" s="13"/>
      <c r="G2372" s="13" t="s">
        <v>111</v>
      </c>
      <c r="H2372" s="13" t="s">
        <v>75</v>
      </c>
      <c r="I2372" s="13"/>
      <c r="J2372" s="13"/>
      <c r="K2372" s="15"/>
      <c r="L2372" s="15"/>
      <c r="M2372" s="16">
        <v>0.0</v>
      </c>
      <c r="N2372" s="16">
        <v>0.0</v>
      </c>
      <c r="O2372" s="17">
        <v>0.0</v>
      </c>
      <c r="P2372" s="17">
        <v>0.0</v>
      </c>
      <c r="Q2372" s="13"/>
      <c r="R2372" s="14">
        <v>44973.0</v>
      </c>
      <c r="S2372" s="13"/>
      <c r="T2372" s="13">
        <f t="shared" ref="T2372:Y2372" si="2588">IF(ISBLANK(K2372)=TRUE,0,1)</f>
        <v>0</v>
      </c>
      <c r="U2372" s="13">
        <f t="shared" si="2588"/>
        <v>0</v>
      </c>
      <c r="V2372" s="13">
        <f t="shared" si="2588"/>
        <v>1</v>
      </c>
      <c r="W2372" s="13">
        <f t="shared" si="2588"/>
        <v>1</v>
      </c>
      <c r="X2372" s="13">
        <f t="shared" si="2588"/>
        <v>1</v>
      </c>
      <c r="Y2372" s="13">
        <f t="shared" si="2588"/>
        <v>1</v>
      </c>
      <c r="Z2372" s="13">
        <f t="shared" si="1998"/>
        <v>0</v>
      </c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</row>
    <row r="2373" ht="14.25" hidden="1" customHeight="1">
      <c r="A2373" s="13" t="s">
        <v>29</v>
      </c>
      <c r="B2373" s="13" t="s">
        <v>30</v>
      </c>
      <c r="C2373" s="13" t="s">
        <v>1412</v>
      </c>
      <c r="D2373" s="13"/>
      <c r="E2373" s="13" t="str">
        <f t="shared" si="2395"/>
        <v>SJC,211-10-8,,0</v>
      </c>
      <c r="F2373" s="13"/>
      <c r="G2373" s="13" t="s">
        <v>111</v>
      </c>
      <c r="H2373" s="13" t="s">
        <v>107</v>
      </c>
      <c r="I2373" s="14">
        <v>44862.0</v>
      </c>
      <c r="J2373" s="14"/>
      <c r="K2373" s="15"/>
      <c r="L2373" s="15"/>
      <c r="M2373" s="16">
        <v>0.0</v>
      </c>
      <c r="N2373" s="16">
        <v>0.0</v>
      </c>
      <c r="O2373" s="17">
        <v>0.0</v>
      </c>
      <c r="P2373" s="17">
        <v>0.0</v>
      </c>
      <c r="Q2373" s="13">
        <f t="shared" ref="Q2373:Q2375" si="2590">K2372+L2372+M2372+N2372+O2372+P2372/6</f>
        <v>0</v>
      </c>
      <c r="R2373" s="14">
        <v>44973.0</v>
      </c>
      <c r="S2373" s="13"/>
      <c r="T2373" s="13">
        <f t="shared" ref="T2373:Y2373" si="2589">IF(ISBLANK(K2373)=TRUE,0,1)</f>
        <v>0</v>
      </c>
      <c r="U2373" s="13">
        <f t="shared" si="2589"/>
        <v>0</v>
      </c>
      <c r="V2373" s="13">
        <f t="shared" si="2589"/>
        <v>1</v>
      </c>
      <c r="W2373" s="13">
        <f t="shared" si="2589"/>
        <v>1</v>
      </c>
      <c r="X2373" s="13">
        <f t="shared" si="2589"/>
        <v>1</v>
      </c>
      <c r="Y2373" s="13">
        <f t="shared" si="2589"/>
        <v>1</v>
      </c>
      <c r="Z2373" s="13">
        <f t="shared" si="1998"/>
        <v>0</v>
      </c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</row>
    <row r="2374" ht="14.25" hidden="1" customHeight="1">
      <c r="A2374" s="13" t="s">
        <v>29</v>
      </c>
      <c r="B2374" s="13" t="s">
        <v>30</v>
      </c>
      <c r="C2374" s="13" t="s">
        <v>1413</v>
      </c>
      <c r="D2374" s="13"/>
      <c r="E2374" s="13" t="str">
        <f t="shared" si="2395"/>
        <v>SJC,211-10-80,,0</v>
      </c>
      <c r="F2374" s="13"/>
      <c r="G2374" s="13" t="s">
        <v>111</v>
      </c>
      <c r="H2374" s="13" t="s">
        <v>107</v>
      </c>
      <c r="I2374" s="14">
        <v>44866.0</v>
      </c>
      <c r="J2374" s="14"/>
      <c r="K2374" s="15"/>
      <c r="L2374" s="15"/>
      <c r="M2374" s="16">
        <v>0.0</v>
      </c>
      <c r="N2374" s="16">
        <v>0.0</v>
      </c>
      <c r="O2374" s="17">
        <v>0.0</v>
      </c>
      <c r="P2374" s="17">
        <v>0.0</v>
      </c>
      <c r="Q2374" s="13">
        <f t="shared" si="2590"/>
        <v>0</v>
      </c>
      <c r="R2374" s="14">
        <v>44973.0</v>
      </c>
      <c r="S2374" s="13"/>
      <c r="T2374" s="13">
        <f t="shared" ref="T2374:Y2374" si="2591">IF(ISBLANK(K2374)=TRUE,0,1)</f>
        <v>0</v>
      </c>
      <c r="U2374" s="13">
        <f t="shared" si="2591"/>
        <v>0</v>
      </c>
      <c r="V2374" s="13">
        <f t="shared" si="2591"/>
        <v>1</v>
      </c>
      <c r="W2374" s="13">
        <f t="shared" si="2591"/>
        <v>1</v>
      </c>
      <c r="X2374" s="13">
        <f t="shared" si="2591"/>
        <v>1</v>
      </c>
      <c r="Y2374" s="13">
        <f t="shared" si="2591"/>
        <v>1</v>
      </c>
      <c r="Z2374" s="13">
        <f t="shared" si="1998"/>
        <v>0</v>
      </c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</row>
    <row r="2375" ht="14.25" hidden="1" customHeight="1">
      <c r="A2375" s="13" t="s">
        <v>29</v>
      </c>
      <c r="B2375" s="13" t="s">
        <v>30</v>
      </c>
      <c r="C2375" s="13" t="s">
        <v>1414</v>
      </c>
      <c r="D2375" s="13"/>
      <c r="E2375" s="13" t="str">
        <f t="shared" si="2395"/>
        <v>SJC,211-10-81,,0</v>
      </c>
      <c r="F2375" s="13"/>
      <c r="G2375" s="13" t="s">
        <v>111</v>
      </c>
      <c r="H2375" s="13" t="s">
        <v>75</v>
      </c>
      <c r="I2375" s="14">
        <v>44866.0</v>
      </c>
      <c r="J2375" s="14"/>
      <c r="K2375" s="15"/>
      <c r="L2375" s="15"/>
      <c r="M2375" s="16">
        <v>0.0</v>
      </c>
      <c r="N2375" s="16">
        <v>0.0</v>
      </c>
      <c r="O2375" s="17">
        <v>0.0</v>
      </c>
      <c r="P2375" s="17">
        <v>0.0</v>
      </c>
      <c r="Q2375" s="13">
        <f t="shared" si="2590"/>
        <v>0</v>
      </c>
      <c r="R2375" s="14">
        <v>44973.0</v>
      </c>
      <c r="S2375" s="13"/>
      <c r="T2375" s="13">
        <f t="shared" ref="T2375:Y2375" si="2592">IF(ISBLANK(K2375)=TRUE,0,1)</f>
        <v>0</v>
      </c>
      <c r="U2375" s="13">
        <f t="shared" si="2592"/>
        <v>0</v>
      </c>
      <c r="V2375" s="13">
        <f t="shared" si="2592"/>
        <v>1</v>
      </c>
      <c r="W2375" s="13">
        <f t="shared" si="2592"/>
        <v>1</v>
      </c>
      <c r="X2375" s="13">
        <f t="shared" si="2592"/>
        <v>1</v>
      </c>
      <c r="Y2375" s="13">
        <f t="shared" si="2592"/>
        <v>1</v>
      </c>
      <c r="Z2375" s="13">
        <f t="shared" si="1998"/>
        <v>0</v>
      </c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</row>
    <row r="2376" ht="14.25" hidden="1" customHeight="1">
      <c r="A2376" s="13" t="s">
        <v>29</v>
      </c>
      <c r="B2376" s="13" t="s">
        <v>30</v>
      </c>
      <c r="C2376" s="13" t="s">
        <v>1414</v>
      </c>
      <c r="D2376" s="13" t="s">
        <v>174</v>
      </c>
      <c r="E2376" s="13" t="str">
        <f t="shared" si="2395"/>
        <v>SJC,211-10-81,AA,0</v>
      </c>
      <c r="F2376" s="13"/>
      <c r="G2376" s="13" t="s">
        <v>111</v>
      </c>
      <c r="H2376" s="13" t="s">
        <v>75</v>
      </c>
      <c r="I2376" s="13"/>
      <c r="J2376" s="13"/>
      <c r="K2376" s="15"/>
      <c r="L2376" s="15"/>
      <c r="M2376" s="16">
        <v>0.0</v>
      </c>
      <c r="N2376" s="16">
        <v>0.0</v>
      </c>
      <c r="O2376" s="17">
        <v>0.0</v>
      </c>
      <c r="P2376" s="17">
        <v>0.0</v>
      </c>
      <c r="Q2376" s="13"/>
      <c r="R2376" s="14">
        <v>44973.0</v>
      </c>
      <c r="S2376" s="13"/>
      <c r="T2376" s="13">
        <f t="shared" ref="T2376:Y2376" si="2593">IF(ISBLANK(K2376)=TRUE,0,1)</f>
        <v>0</v>
      </c>
      <c r="U2376" s="13">
        <f t="shared" si="2593"/>
        <v>0</v>
      </c>
      <c r="V2376" s="13">
        <f t="shared" si="2593"/>
        <v>1</v>
      </c>
      <c r="W2376" s="13">
        <f t="shared" si="2593"/>
        <v>1</v>
      </c>
      <c r="X2376" s="13">
        <f t="shared" si="2593"/>
        <v>1</v>
      </c>
      <c r="Y2376" s="13">
        <f t="shared" si="2593"/>
        <v>1</v>
      </c>
      <c r="Z2376" s="13">
        <f t="shared" si="1998"/>
        <v>0</v>
      </c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</row>
    <row r="2377" ht="14.25" hidden="1" customHeight="1">
      <c r="A2377" s="13" t="s">
        <v>29</v>
      </c>
      <c r="B2377" s="13" t="s">
        <v>30</v>
      </c>
      <c r="C2377" s="13" t="s">
        <v>1414</v>
      </c>
      <c r="D2377" s="13" t="s">
        <v>175</v>
      </c>
      <c r="E2377" s="13" t="str">
        <f t="shared" si="2395"/>
        <v>SJC,211-10-81,AB,0</v>
      </c>
      <c r="F2377" s="13"/>
      <c r="G2377" s="13" t="s">
        <v>111</v>
      </c>
      <c r="H2377" s="13" t="s">
        <v>75</v>
      </c>
      <c r="I2377" s="13"/>
      <c r="J2377" s="13"/>
      <c r="K2377" s="15"/>
      <c r="L2377" s="15"/>
      <c r="M2377" s="16">
        <v>0.0</v>
      </c>
      <c r="N2377" s="16">
        <v>0.0</v>
      </c>
      <c r="O2377" s="17">
        <v>0.0</v>
      </c>
      <c r="P2377" s="17">
        <v>0.0</v>
      </c>
      <c r="Q2377" s="13"/>
      <c r="R2377" s="14">
        <v>44973.0</v>
      </c>
      <c r="S2377" s="13"/>
      <c r="T2377" s="13">
        <f t="shared" ref="T2377:Y2377" si="2594">IF(ISBLANK(K2377)=TRUE,0,1)</f>
        <v>0</v>
      </c>
      <c r="U2377" s="13">
        <f t="shared" si="2594"/>
        <v>0</v>
      </c>
      <c r="V2377" s="13">
        <f t="shared" si="2594"/>
        <v>1</v>
      </c>
      <c r="W2377" s="13">
        <f t="shared" si="2594"/>
        <v>1</v>
      </c>
      <c r="X2377" s="13">
        <f t="shared" si="2594"/>
        <v>1</v>
      </c>
      <c r="Y2377" s="13">
        <f t="shared" si="2594"/>
        <v>1</v>
      </c>
      <c r="Z2377" s="13">
        <f t="shared" si="1998"/>
        <v>0</v>
      </c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</row>
    <row r="2378" ht="14.25" hidden="1" customHeight="1">
      <c r="A2378" s="13" t="s">
        <v>29</v>
      </c>
      <c r="B2378" s="13" t="s">
        <v>30</v>
      </c>
      <c r="C2378" s="13" t="s">
        <v>1415</v>
      </c>
      <c r="D2378" s="13"/>
      <c r="E2378" s="13" t="str">
        <f t="shared" si="2395"/>
        <v>SJC,211-10-82,,0</v>
      </c>
      <c r="F2378" s="13"/>
      <c r="G2378" s="13" t="s">
        <v>111</v>
      </c>
      <c r="H2378" s="13" t="s">
        <v>107</v>
      </c>
      <c r="I2378" s="14">
        <v>44866.0</v>
      </c>
      <c r="J2378" s="14"/>
      <c r="K2378" s="15"/>
      <c r="L2378" s="15"/>
      <c r="M2378" s="16">
        <v>0.0</v>
      </c>
      <c r="N2378" s="16">
        <v>0.0</v>
      </c>
      <c r="O2378" s="17">
        <v>0.0</v>
      </c>
      <c r="P2378" s="17">
        <v>0.0</v>
      </c>
      <c r="Q2378" s="13">
        <f t="shared" ref="Q2378:Q2383" si="2596">K2377+L2377+M2377+N2377+O2377+P2377/6</f>
        <v>0</v>
      </c>
      <c r="R2378" s="14">
        <v>44973.0</v>
      </c>
      <c r="S2378" s="13"/>
      <c r="T2378" s="13">
        <f t="shared" ref="T2378:Y2378" si="2595">IF(ISBLANK(K2378)=TRUE,0,1)</f>
        <v>0</v>
      </c>
      <c r="U2378" s="13">
        <f t="shared" si="2595"/>
        <v>0</v>
      </c>
      <c r="V2378" s="13">
        <f t="shared" si="2595"/>
        <v>1</v>
      </c>
      <c r="W2378" s="13">
        <f t="shared" si="2595"/>
        <v>1</v>
      </c>
      <c r="X2378" s="13">
        <f t="shared" si="2595"/>
        <v>1</v>
      </c>
      <c r="Y2378" s="13">
        <f t="shared" si="2595"/>
        <v>1</v>
      </c>
      <c r="Z2378" s="13">
        <f t="shared" si="1998"/>
        <v>0</v>
      </c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</row>
    <row r="2379" ht="14.25" hidden="1" customHeight="1">
      <c r="A2379" s="13" t="s">
        <v>29</v>
      </c>
      <c r="B2379" s="13" t="s">
        <v>30</v>
      </c>
      <c r="C2379" s="13" t="s">
        <v>1416</v>
      </c>
      <c r="D2379" s="13"/>
      <c r="E2379" s="13" t="str">
        <f t="shared" si="2395"/>
        <v>SJC,211-10-83,,0</v>
      </c>
      <c r="F2379" s="13"/>
      <c r="G2379" s="13" t="s">
        <v>111</v>
      </c>
      <c r="H2379" s="13" t="s">
        <v>107</v>
      </c>
      <c r="I2379" s="14">
        <v>44866.0</v>
      </c>
      <c r="J2379" s="14"/>
      <c r="K2379" s="15"/>
      <c r="L2379" s="15"/>
      <c r="M2379" s="16">
        <v>0.0</v>
      </c>
      <c r="N2379" s="16">
        <v>0.0</v>
      </c>
      <c r="O2379" s="17">
        <v>0.0</v>
      </c>
      <c r="P2379" s="17">
        <v>0.0</v>
      </c>
      <c r="Q2379" s="13">
        <f t="shared" si="2596"/>
        <v>0</v>
      </c>
      <c r="R2379" s="14">
        <v>44973.0</v>
      </c>
      <c r="S2379" s="13"/>
      <c r="T2379" s="13">
        <f t="shared" ref="T2379:Y2379" si="2597">IF(ISBLANK(K2379)=TRUE,0,1)</f>
        <v>0</v>
      </c>
      <c r="U2379" s="13">
        <f t="shared" si="2597"/>
        <v>0</v>
      </c>
      <c r="V2379" s="13">
        <f t="shared" si="2597"/>
        <v>1</v>
      </c>
      <c r="W2379" s="13">
        <f t="shared" si="2597"/>
        <v>1</v>
      </c>
      <c r="X2379" s="13">
        <f t="shared" si="2597"/>
        <v>1</v>
      </c>
      <c r="Y2379" s="13">
        <f t="shared" si="2597"/>
        <v>1</v>
      </c>
      <c r="Z2379" s="13">
        <f t="shared" si="1998"/>
        <v>0</v>
      </c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</row>
    <row r="2380" ht="14.25" hidden="1" customHeight="1">
      <c r="A2380" s="13" t="s">
        <v>29</v>
      </c>
      <c r="B2380" s="13" t="s">
        <v>30</v>
      </c>
      <c r="C2380" s="13" t="s">
        <v>1417</v>
      </c>
      <c r="D2380" s="13"/>
      <c r="E2380" s="13" t="str">
        <f t="shared" si="2395"/>
        <v>SJC,211-10-84,,0</v>
      </c>
      <c r="F2380" s="13"/>
      <c r="G2380" s="13" t="s">
        <v>111</v>
      </c>
      <c r="H2380" s="13" t="s">
        <v>75</v>
      </c>
      <c r="I2380" s="14">
        <v>44866.0</v>
      </c>
      <c r="J2380" s="14"/>
      <c r="K2380" s="15"/>
      <c r="L2380" s="15"/>
      <c r="M2380" s="16">
        <v>0.0</v>
      </c>
      <c r="N2380" s="16">
        <v>0.0</v>
      </c>
      <c r="O2380" s="17">
        <v>0.0</v>
      </c>
      <c r="P2380" s="17">
        <v>0.0</v>
      </c>
      <c r="Q2380" s="13">
        <f t="shared" si="2596"/>
        <v>0</v>
      </c>
      <c r="R2380" s="14">
        <v>44973.0</v>
      </c>
      <c r="S2380" s="13"/>
      <c r="T2380" s="13">
        <f t="shared" ref="T2380:Y2380" si="2598">IF(ISBLANK(K2380)=TRUE,0,1)</f>
        <v>0</v>
      </c>
      <c r="U2380" s="13">
        <f t="shared" si="2598"/>
        <v>0</v>
      </c>
      <c r="V2380" s="13">
        <f t="shared" si="2598"/>
        <v>1</v>
      </c>
      <c r="W2380" s="13">
        <f t="shared" si="2598"/>
        <v>1</v>
      </c>
      <c r="X2380" s="13">
        <f t="shared" si="2598"/>
        <v>1</v>
      </c>
      <c r="Y2380" s="13">
        <f t="shared" si="2598"/>
        <v>1</v>
      </c>
      <c r="Z2380" s="13">
        <f t="shared" si="1998"/>
        <v>0</v>
      </c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</row>
    <row r="2381" ht="14.25" hidden="1" customHeight="1">
      <c r="A2381" s="13" t="s">
        <v>29</v>
      </c>
      <c r="B2381" s="13" t="s">
        <v>30</v>
      </c>
      <c r="C2381" s="13" t="s">
        <v>1418</v>
      </c>
      <c r="D2381" s="13"/>
      <c r="E2381" s="13" t="str">
        <f t="shared" si="2395"/>
        <v>SJC,211-10-85,,0</v>
      </c>
      <c r="F2381" s="13"/>
      <c r="G2381" s="13" t="s">
        <v>111</v>
      </c>
      <c r="H2381" s="13" t="s">
        <v>107</v>
      </c>
      <c r="I2381" s="14">
        <v>44866.0</v>
      </c>
      <c r="J2381" s="14"/>
      <c r="K2381" s="15"/>
      <c r="L2381" s="15"/>
      <c r="M2381" s="16">
        <v>0.0</v>
      </c>
      <c r="N2381" s="16">
        <v>0.0</v>
      </c>
      <c r="O2381" s="17">
        <v>0.0</v>
      </c>
      <c r="P2381" s="17">
        <v>0.0</v>
      </c>
      <c r="Q2381" s="13">
        <f t="shared" si="2596"/>
        <v>0</v>
      </c>
      <c r="R2381" s="14">
        <v>44973.0</v>
      </c>
      <c r="S2381" s="13"/>
      <c r="T2381" s="13">
        <f t="shared" ref="T2381:Y2381" si="2599">IF(ISBLANK(K2381)=TRUE,0,1)</f>
        <v>0</v>
      </c>
      <c r="U2381" s="13">
        <f t="shared" si="2599"/>
        <v>0</v>
      </c>
      <c r="V2381" s="13">
        <f t="shared" si="2599"/>
        <v>1</v>
      </c>
      <c r="W2381" s="13">
        <f t="shared" si="2599"/>
        <v>1</v>
      </c>
      <c r="X2381" s="13">
        <f t="shared" si="2599"/>
        <v>1</v>
      </c>
      <c r="Y2381" s="13">
        <f t="shared" si="2599"/>
        <v>1</v>
      </c>
      <c r="Z2381" s="13">
        <f t="shared" si="1998"/>
        <v>0</v>
      </c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</row>
    <row r="2382" ht="14.25" hidden="1" customHeight="1">
      <c r="A2382" s="13" t="s">
        <v>29</v>
      </c>
      <c r="B2382" s="13" t="s">
        <v>30</v>
      </c>
      <c r="C2382" s="13" t="s">
        <v>1419</v>
      </c>
      <c r="D2382" s="13"/>
      <c r="E2382" s="13" t="str">
        <f t="shared" si="2395"/>
        <v>SJC,211-10-86,,0</v>
      </c>
      <c r="F2382" s="13"/>
      <c r="G2382" s="13" t="s">
        <v>111</v>
      </c>
      <c r="H2382" s="13" t="s">
        <v>107</v>
      </c>
      <c r="I2382" s="14">
        <v>44866.0</v>
      </c>
      <c r="J2382" s="14"/>
      <c r="K2382" s="15"/>
      <c r="L2382" s="15"/>
      <c r="M2382" s="16">
        <v>0.0</v>
      </c>
      <c r="N2382" s="16">
        <v>0.0</v>
      </c>
      <c r="O2382" s="17">
        <v>0.0</v>
      </c>
      <c r="P2382" s="17">
        <v>0.0</v>
      </c>
      <c r="Q2382" s="13">
        <f t="shared" si="2596"/>
        <v>0</v>
      </c>
      <c r="R2382" s="14">
        <v>44973.0</v>
      </c>
      <c r="S2382" s="13"/>
      <c r="T2382" s="13">
        <f t="shared" ref="T2382:Y2382" si="2600">IF(ISBLANK(K2382)=TRUE,0,1)</f>
        <v>0</v>
      </c>
      <c r="U2382" s="13">
        <f t="shared" si="2600"/>
        <v>0</v>
      </c>
      <c r="V2382" s="13">
        <f t="shared" si="2600"/>
        <v>1</v>
      </c>
      <c r="W2382" s="13">
        <f t="shared" si="2600"/>
        <v>1</v>
      </c>
      <c r="X2382" s="13">
        <f t="shared" si="2600"/>
        <v>1</v>
      </c>
      <c r="Y2382" s="13">
        <f t="shared" si="2600"/>
        <v>1</v>
      </c>
      <c r="Z2382" s="13">
        <f t="shared" si="1998"/>
        <v>0</v>
      </c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</row>
    <row r="2383" ht="14.25" hidden="1" customHeight="1">
      <c r="A2383" s="13" t="s">
        <v>29</v>
      </c>
      <c r="B2383" s="13" t="s">
        <v>30</v>
      </c>
      <c r="C2383" s="13" t="s">
        <v>1420</v>
      </c>
      <c r="D2383" s="13"/>
      <c r="E2383" s="13" t="str">
        <f t="shared" si="2395"/>
        <v>SJC,211-10-87,,0</v>
      </c>
      <c r="F2383" s="13"/>
      <c r="G2383" s="13" t="s">
        <v>111</v>
      </c>
      <c r="H2383" s="13" t="s">
        <v>107</v>
      </c>
      <c r="I2383" s="14">
        <v>44866.0</v>
      </c>
      <c r="J2383" s="14"/>
      <c r="K2383" s="15"/>
      <c r="L2383" s="15"/>
      <c r="M2383" s="16">
        <v>0.0</v>
      </c>
      <c r="N2383" s="16">
        <v>0.0</v>
      </c>
      <c r="O2383" s="17">
        <v>0.0</v>
      </c>
      <c r="P2383" s="17">
        <v>0.0</v>
      </c>
      <c r="Q2383" s="13">
        <f t="shared" si="2596"/>
        <v>0</v>
      </c>
      <c r="R2383" s="14">
        <v>44973.0</v>
      </c>
      <c r="S2383" s="13"/>
      <c r="T2383" s="13">
        <f t="shared" ref="T2383:Y2383" si="2601">IF(ISBLANK(K2383)=TRUE,0,1)</f>
        <v>0</v>
      </c>
      <c r="U2383" s="13">
        <f t="shared" si="2601"/>
        <v>0</v>
      </c>
      <c r="V2383" s="13">
        <f t="shared" si="2601"/>
        <v>1</v>
      </c>
      <c r="W2383" s="13">
        <f t="shared" si="2601"/>
        <v>1</v>
      </c>
      <c r="X2383" s="13">
        <f t="shared" si="2601"/>
        <v>1</v>
      </c>
      <c r="Y2383" s="13">
        <f t="shared" si="2601"/>
        <v>1</v>
      </c>
      <c r="Z2383" s="13">
        <f t="shared" si="1998"/>
        <v>0</v>
      </c>
      <c r="AA2383" s="13"/>
      <c r="AB2383" s="13"/>
      <c r="AC2383" s="13"/>
      <c r="AD2383" s="13"/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</row>
    <row r="2384" ht="14.25" hidden="1" customHeight="1">
      <c r="A2384" s="13" t="s">
        <v>29</v>
      </c>
      <c r="B2384" s="13" t="s">
        <v>30</v>
      </c>
      <c r="C2384" s="13" t="s">
        <v>1421</v>
      </c>
      <c r="D2384" s="13"/>
      <c r="E2384" s="13" t="str">
        <f t="shared" si="2395"/>
        <v>SJC,211-10-88,,0</v>
      </c>
      <c r="F2384" s="13"/>
      <c r="G2384" s="13" t="s">
        <v>111</v>
      </c>
      <c r="H2384" s="13" t="s">
        <v>75</v>
      </c>
      <c r="I2384" s="14">
        <v>44866.0</v>
      </c>
      <c r="J2384" s="14"/>
      <c r="K2384" s="15"/>
      <c r="L2384" s="15"/>
      <c r="M2384" s="16">
        <v>0.0</v>
      </c>
      <c r="N2384" s="16">
        <v>0.0</v>
      </c>
      <c r="O2384" s="17">
        <v>0.0</v>
      </c>
      <c r="P2384" s="17">
        <v>0.0</v>
      </c>
      <c r="Q2384" s="13">
        <f>K2381+L2381+M2381+N2381+O2381+P2381/6</f>
        <v>0</v>
      </c>
      <c r="R2384" s="14">
        <v>44973.0</v>
      </c>
      <c r="S2384" s="13"/>
      <c r="T2384" s="13">
        <f t="shared" ref="T2384:Y2384" si="2602">IF(ISBLANK(K2384)=TRUE,0,1)</f>
        <v>0</v>
      </c>
      <c r="U2384" s="13">
        <f t="shared" si="2602"/>
        <v>0</v>
      </c>
      <c r="V2384" s="13">
        <f t="shared" si="2602"/>
        <v>1</v>
      </c>
      <c r="W2384" s="13">
        <f t="shared" si="2602"/>
        <v>1</v>
      </c>
      <c r="X2384" s="13">
        <f t="shared" si="2602"/>
        <v>1</v>
      </c>
      <c r="Y2384" s="13">
        <f t="shared" si="2602"/>
        <v>1</v>
      </c>
      <c r="Z2384" s="13">
        <f t="shared" si="1998"/>
        <v>0</v>
      </c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</row>
    <row r="2385" ht="14.25" hidden="1" customHeight="1">
      <c r="A2385" s="13" t="s">
        <v>29</v>
      </c>
      <c r="B2385" s="13" t="s">
        <v>30</v>
      </c>
      <c r="C2385" s="13" t="s">
        <v>1421</v>
      </c>
      <c r="D2385" s="13" t="s">
        <v>174</v>
      </c>
      <c r="E2385" s="13" t="str">
        <f t="shared" si="2395"/>
        <v>SJC,211-10-88,AA,0</v>
      </c>
      <c r="F2385" s="13"/>
      <c r="G2385" s="13" t="s">
        <v>111</v>
      </c>
      <c r="H2385" s="13" t="s">
        <v>75</v>
      </c>
      <c r="I2385" s="13"/>
      <c r="J2385" s="13"/>
      <c r="K2385" s="15"/>
      <c r="L2385" s="15"/>
      <c r="M2385" s="16">
        <v>0.0</v>
      </c>
      <c r="N2385" s="16">
        <v>0.0</v>
      </c>
      <c r="O2385" s="17">
        <v>0.0</v>
      </c>
      <c r="P2385" s="17">
        <v>0.0</v>
      </c>
      <c r="Q2385" s="13"/>
      <c r="R2385" s="14">
        <v>44973.0</v>
      </c>
      <c r="S2385" s="13"/>
      <c r="T2385" s="13">
        <f t="shared" ref="T2385:Y2385" si="2603">IF(ISBLANK(K2385)=TRUE,0,1)</f>
        <v>0</v>
      </c>
      <c r="U2385" s="13">
        <f t="shared" si="2603"/>
        <v>0</v>
      </c>
      <c r="V2385" s="13">
        <f t="shared" si="2603"/>
        <v>1</v>
      </c>
      <c r="W2385" s="13">
        <f t="shared" si="2603"/>
        <v>1</v>
      </c>
      <c r="X2385" s="13">
        <f t="shared" si="2603"/>
        <v>1</v>
      </c>
      <c r="Y2385" s="13">
        <f t="shared" si="2603"/>
        <v>1</v>
      </c>
      <c r="Z2385" s="13">
        <f t="shared" si="1998"/>
        <v>0</v>
      </c>
      <c r="AA2385" s="13"/>
      <c r="AB2385" s="13"/>
      <c r="AC2385" s="13"/>
      <c r="AD2385" s="13"/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</row>
    <row r="2386" ht="14.25" hidden="1" customHeight="1">
      <c r="A2386" s="13" t="s">
        <v>29</v>
      </c>
      <c r="B2386" s="13" t="s">
        <v>30</v>
      </c>
      <c r="C2386" s="13" t="s">
        <v>1421</v>
      </c>
      <c r="D2386" s="13" t="s">
        <v>175</v>
      </c>
      <c r="E2386" s="13" t="str">
        <f t="shared" si="2395"/>
        <v>SJC,211-10-88,AB,0</v>
      </c>
      <c r="F2386" s="13"/>
      <c r="G2386" s="13" t="s">
        <v>111</v>
      </c>
      <c r="H2386" s="13" t="s">
        <v>75</v>
      </c>
      <c r="I2386" s="13"/>
      <c r="J2386" s="13"/>
      <c r="K2386" s="15"/>
      <c r="L2386" s="15"/>
      <c r="M2386" s="16">
        <v>0.0</v>
      </c>
      <c r="N2386" s="16">
        <v>0.0</v>
      </c>
      <c r="O2386" s="17">
        <v>0.0</v>
      </c>
      <c r="P2386" s="17">
        <v>0.0</v>
      </c>
      <c r="Q2386" s="13"/>
      <c r="R2386" s="14">
        <v>44973.0</v>
      </c>
      <c r="S2386" s="13"/>
      <c r="T2386" s="13">
        <f t="shared" ref="T2386:Y2386" si="2604">IF(ISBLANK(K2386)=TRUE,0,1)</f>
        <v>0</v>
      </c>
      <c r="U2386" s="13">
        <f t="shared" si="2604"/>
        <v>0</v>
      </c>
      <c r="V2386" s="13">
        <f t="shared" si="2604"/>
        <v>1</v>
      </c>
      <c r="W2386" s="13">
        <f t="shared" si="2604"/>
        <v>1</v>
      </c>
      <c r="X2386" s="13">
        <f t="shared" si="2604"/>
        <v>1</v>
      </c>
      <c r="Y2386" s="13">
        <f t="shared" si="2604"/>
        <v>1</v>
      </c>
      <c r="Z2386" s="13">
        <f t="shared" si="1998"/>
        <v>0</v>
      </c>
      <c r="AA2386" s="13"/>
      <c r="AB2386" s="13"/>
      <c r="AC2386" s="13"/>
      <c r="AD2386" s="13"/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</row>
    <row r="2387" ht="14.25" hidden="1" customHeight="1">
      <c r="A2387" s="13" t="s">
        <v>29</v>
      </c>
      <c r="B2387" s="13" t="s">
        <v>30</v>
      </c>
      <c r="C2387" s="13" t="s">
        <v>1421</v>
      </c>
      <c r="D2387" s="13" t="s">
        <v>176</v>
      </c>
      <c r="E2387" s="13" t="str">
        <f t="shared" si="2395"/>
        <v>SJC,211-10-88,AC,0</v>
      </c>
      <c r="F2387" s="13"/>
      <c r="G2387" s="13" t="s">
        <v>111</v>
      </c>
      <c r="H2387" s="13" t="s">
        <v>75</v>
      </c>
      <c r="I2387" s="13"/>
      <c r="J2387" s="13"/>
      <c r="K2387" s="15"/>
      <c r="L2387" s="15"/>
      <c r="M2387" s="16">
        <v>0.0</v>
      </c>
      <c r="N2387" s="16">
        <v>0.0</v>
      </c>
      <c r="O2387" s="17">
        <v>0.0</v>
      </c>
      <c r="P2387" s="17">
        <v>0.0</v>
      </c>
      <c r="Q2387" s="13"/>
      <c r="R2387" s="14">
        <v>44973.0</v>
      </c>
      <c r="S2387" s="13"/>
      <c r="T2387" s="13">
        <f t="shared" ref="T2387:Y2387" si="2605">IF(ISBLANK(K2387)=TRUE,0,1)</f>
        <v>0</v>
      </c>
      <c r="U2387" s="13">
        <f t="shared" si="2605"/>
        <v>0</v>
      </c>
      <c r="V2387" s="13">
        <f t="shared" si="2605"/>
        <v>1</v>
      </c>
      <c r="W2387" s="13">
        <f t="shared" si="2605"/>
        <v>1</v>
      </c>
      <c r="X2387" s="13">
        <f t="shared" si="2605"/>
        <v>1</v>
      </c>
      <c r="Y2387" s="13">
        <f t="shared" si="2605"/>
        <v>1</v>
      </c>
      <c r="Z2387" s="13">
        <f t="shared" si="1998"/>
        <v>0</v>
      </c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</row>
    <row r="2388" ht="14.25" hidden="1" customHeight="1">
      <c r="A2388" s="13" t="s">
        <v>29</v>
      </c>
      <c r="B2388" s="13" t="s">
        <v>30</v>
      </c>
      <c r="C2388" s="13" t="s">
        <v>1422</v>
      </c>
      <c r="D2388" s="13"/>
      <c r="E2388" s="13" t="str">
        <f t="shared" si="2395"/>
        <v>SJC,211-10-89,,0</v>
      </c>
      <c r="F2388" s="13"/>
      <c r="G2388" s="13" t="s">
        <v>111</v>
      </c>
      <c r="H2388" s="13" t="s">
        <v>107</v>
      </c>
      <c r="I2388" s="14">
        <v>44866.0</v>
      </c>
      <c r="J2388" s="14"/>
      <c r="K2388" s="15"/>
      <c r="L2388" s="15"/>
      <c r="M2388" s="16">
        <v>0.0</v>
      </c>
      <c r="N2388" s="16">
        <v>0.0</v>
      </c>
      <c r="O2388" s="17">
        <v>0.0</v>
      </c>
      <c r="P2388" s="17">
        <v>0.0</v>
      </c>
      <c r="Q2388" s="13">
        <f t="shared" ref="Q2388:Q2392" si="2607">K2387+L2387+M2387+N2387+O2387+P2387/6</f>
        <v>0</v>
      </c>
      <c r="R2388" s="14">
        <v>44973.0</v>
      </c>
      <c r="S2388" s="13"/>
      <c r="T2388" s="13">
        <f t="shared" ref="T2388:Y2388" si="2606">IF(ISBLANK(K2388)=TRUE,0,1)</f>
        <v>0</v>
      </c>
      <c r="U2388" s="13">
        <f t="shared" si="2606"/>
        <v>0</v>
      </c>
      <c r="V2388" s="13">
        <f t="shared" si="2606"/>
        <v>1</v>
      </c>
      <c r="W2388" s="13">
        <f t="shared" si="2606"/>
        <v>1</v>
      </c>
      <c r="X2388" s="13">
        <f t="shared" si="2606"/>
        <v>1</v>
      </c>
      <c r="Y2388" s="13">
        <f t="shared" si="2606"/>
        <v>1</v>
      </c>
      <c r="Z2388" s="13">
        <f t="shared" si="1998"/>
        <v>0</v>
      </c>
      <c r="AA2388" s="13"/>
      <c r="AB2388" s="13"/>
      <c r="AC2388" s="13"/>
      <c r="AD2388" s="13"/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</row>
    <row r="2389" ht="14.25" hidden="1" customHeight="1">
      <c r="A2389" s="13" t="s">
        <v>29</v>
      </c>
      <c r="B2389" s="13" t="s">
        <v>30</v>
      </c>
      <c r="C2389" s="13" t="s">
        <v>1423</v>
      </c>
      <c r="D2389" s="13"/>
      <c r="E2389" s="13" t="str">
        <f t="shared" si="2395"/>
        <v>SJC,211-10-9,,0</v>
      </c>
      <c r="F2389" s="13"/>
      <c r="G2389" s="13" t="s">
        <v>111</v>
      </c>
      <c r="H2389" s="13" t="s">
        <v>75</v>
      </c>
      <c r="I2389" s="14">
        <v>44862.0</v>
      </c>
      <c r="J2389" s="14"/>
      <c r="K2389" s="15"/>
      <c r="L2389" s="15"/>
      <c r="M2389" s="16">
        <v>0.0</v>
      </c>
      <c r="N2389" s="16">
        <v>0.0</v>
      </c>
      <c r="O2389" s="17">
        <v>0.0</v>
      </c>
      <c r="P2389" s="17">
        <v>0.0</v>
      </c>
      <c r="Q2389" s="13">
        <f t="shared" si="2607"/>
        <v>0</v>
      </c>
      <c r="R2389" s="14">
        <v>44973.0</v>
      </c>
      <c r="S2389" s="13"/>
      <c r="T2389" s="13">
        <f t="shared" ref="T2389:Y2389" si="2608">IF(ISBLANK(K2389)=TRUE,0,1)</f>
        <v>0</v>
      </c>
      <c r="U2389" s="13">
        <f t="shared" si="2608"/>
        <v>0</v>
      </c>
      <c r="V2389" s="13">
        <f t="shared" si="2608"/>
        <v>1</v>
      </c>
      <c r="W2389" s="13">
        <f t="shared" si="2608"/>
        <v>1</v>
      </c>
      <c r="X2389" s="13">
        <f t="shared" si="2608"/>
        <v>1</v>
      </c>
      <c r="Y2389" s="13">
        <f t="shared" si="2608"/>
        <v>1</v>
      </c>
      <c r="Z2389" s="13">
        <f t="shared" si="1998"/>
        <v>0</v>
      </c>
      <c r="AA2389" s="13"/>
      <c r="AB2389" s="13"/>
      <c r="AC2389" s="13"/>
      <c r="AD2389" s="13"/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</row>
    <row r="2390" ht="14.25" hidden="1" customHeight="1">
      <c r="A2390" s="13" t="s">
        <v>29</v>
      </c>
      <c r="B2390" s="13" t="s">
        <v>30</v>
      </c>
      <c r="C2390" s="13" t="s">
        <v>1424</v>
      </c>
      <c r="D2390" s="13"/>
      <c r="E2390" s="13" t="str">
        <f t="shared" si="2395"/>
        <v>SJC,211-10-90,,0</v>
      </c>
      <c r="F2390" s="13"/>
      <c r="G2390" s="13" t="s">
        <v>111</v>
      </c>
      <c r="H2390" s="13" t="s">
        <v>107</v>
      </c>
      <c r="I2390" s="14">
        <v>44866.0</v>
      </c>
      <c r="J2390" s="14"/>
      <c r="K2390" s="15"/>
      <c r="L2390" s="15"/>
      <c r="M2390" s="16">
        <v>0.0</v>
      </c>
      <c r="N2390" s="16">
        <v>0.0</v>
      </c>
      <c r="O2390" s="17">
        <v>0.0</v>
      </c>
      <c r="P2390" s="17">
        <v>0.0</v>
      </c>
      <c r="Q2390" s="13">
        <f t="shared" si="2607"/>
        <v>0</v>
      </c>
      <c r="R2390" s="14">
        <v>44973.0</v>
      </c>
      <c r="S2390" s="13"/>
      <c r="T2390" s="13">
        <f t="shared" ref="T2390:Y2390" si="2609">IF(ISBLANK(K2390)=TRUE,0,1)</f>
        <v>0</v>
      </c>
      <c r="U2390" s="13">
        <f t="shared" si="2609"/>
        <v>0</v>
      </c>
      <c r="V2390" s="13">
        <f t="shared" si="2609"/>
        <v>1</v>
      </c>
      <c r="W2390" s="13">
        <f t="shared" si="2609"/>
        <v>1</v>
      </c>
      <c r="X2390" s="13">
        <f t="shared" si="2609"/>
        <v>1</v>
      </c>
      <c r="Y2390" s="13">
        <f t="shared" si="2609"/>
        <v>1</v>
      </c>
      <c r="Z2390" s="13">
        <f t="shared" si="1998"/>
        <v>0</v>
      </c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</row>
    <row r="2391" ht="14.25" hidden="1" customHeight="1">
      <c r="A2391" s="13" t="s">
        <v>29</v>
      </c>
      <c r="B2391" s="13" t="s">
        <v>30</v>
      </c>
      <c r="C2391" s="13" t="s">
        <v>1425</v>
      </c>
      <c r="D2391" s="13"/>
      <c r="E2391" s="13" t="str">
        <f t="shared" si="2395"/>
        <v>SJC,211-10-91,,0</v>
      </c>
      <c r="F2391" s="13"/>
      <c r="G2391" s="13" t="s">
        <v>111</v>
      </c>
      <c r="H2391" s="13" t="s">
        <v>75</v>
      </c>
      <c r="I2391" s="14">
        <v>44866.0</v>
      </c>
      <c r="J2391" s="14"/>
      <c r="K2391" s="15"/>
      <c r="L2391" s="15"/>
      <c r="M2391" s="16">
        <v>0.0</v>
      </c>
      <c r="N2391" s="16">
        <v>0.0</v>
      </c>
      <c r="O2391" s="17">
        <v>0.0</v>
      </c>
      <c r="P2391" s="17">
        <v>0.0</v>
      </c>
      <c r="Q2391" s="13">
        <f t="shared" si="2607"/>
        <v>0</v>
      </c>
      <c r="R2391" s="14">
        <v>44973.0</v>
      </c>
      <c r="S2391" s="13"/>
      <c r="T2391" s="13">
        <f t="shared" ref="T2391:Y2391" si="2610">IF(ISBLANK(K2391)=TRUE,0,1)</f>
        <v>0</v>
      </c>
      <c r="U2391" s="13">
        <f t="shared" si="2610"/>
        <v>0</v>
      </c>
      <c r="V2391" s="13">
        <f t="shared" si="2610"/>
        <v>1</v>
      </c>
      <c r="W2391" s="13">
        <f t="shared" si="2610"/>
        <v>1</v>
      </c>
      <c r="X2391" s="13">
        <f t="shared" si="2610"/>
        <v>1</v>
      </c>
      <c r="Y2391" s="13">
        <f t="shared" si="2610"/>
        <v>1</v>
      </c>
      <c r="Z2391" s="13">
        <f t="shared" si="1998"/>
        <v>0</v>
      </c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</row>
    <row r="2392" ht="14.25" hidden="1" customHeight="1">
      <c r="A2392" s="13" t="s">
        <v>29</v>
      </c>
      <c r="B2392" s="13" t="s">
        <v>30</v>
      </c>
      <c r="C2392" s="13" t="s">
        <v>1426</v>
      </c>
      <c r="D2392" s="13"/>
      <c r="E2392" s="13" t="str">
        <f t="shared" si="2395"/>
        <v>SJC,211-10-92,,0</v>
      </c>
      <c r="F2392" s="13"/>
      <c r="G2392" s="13" t="s">
        <v>111</v>
      </c>
      <c r="H2392" s="13" t="s">
        <v>107</v>
      </c>
      <c r="I2392" s="14">
        <v>44866.0</v>
      </c>
      <c r="J2392" s="14"/>
      <c r="K2392" s="15"/>
      <c r="L2392" s="15"/>
      <c r="M2392" s="16">
        <v>0.0</v>
      </c>
      <c r="N2392" s="16">
        <v>0.0</v>
      </c>
      <c r="O2392" s="17">
        <v>0.0</v>
      </c>
      <c r="P2392" s="17">
        <v>0.0</v>
      </c>
      <c r="Q2392" s="13">
        <f t="shared" si="2607"/>
        <v>0</v>
      </c>
      <c r="R2392" s="14">
        <v>44973.0</v>
      </c>
      <c r="S2392" s="13"/>
      <c r="T2392" s="13">
        <f t="shared" ref="T2392:Y2392" si="2611">IF(ISBLANK(K2392)=TRUE,0,1)</f>
        <v>0</v>
      </c>
      <c r="U2392" s="13">
        <f t="shared" si="2611"/>
        <v>0</v>
      </c>
      <c r="V2392" s="13">
        <f t="shared" si="2611"/>
        <v>1</v>
      </c>
      <c r="W2392" s="13">
        <f t="shared" si="2611"/>
        <v>1</v>
      </c>
      <c r="X2392" s="13">
        <f t="shared" si="2611"/>
        <v>1</v>
      </c>
      <c r="Y2392" s="13">
        <f t="shared" si="2611"/>
        <v>1</v>
      </c>
      <c r="Z2392" s="13">
        <f t="shared" si="1998"/>
        <v>0</v>
      </c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</row>
    <row r="2393" ht="14.25" hidden="1" customHeight="1">
      <c r="A2393" s="13" t="s">
        <v>29</v>
      </c>
      <c r="B2393" s="13" t="s">
        <v>30</v>
      </c>
      <c r="C2393" s="13" t="s">
        <v>1427</v>
      </c>
      <c r="D2393" s="13"/>
      <c r="E2393" s="13" t="str">
        <f t="shared" si="2395"/>
        <v>SJC,211-10-93,,0</v>
      </c>
      <c r="F2393" s="13"/>
      <c r="G2393" s="13" t="s">
        <v>111</v>
      </c>
      <c r="H2393" s="13" t="s">
        <v>107</v>
      </c>
      <c r="I2393" s="14">
        <v>44866.0</v>
      </c>
      <c r="J2393" s="14"/>
      <c r="K2393" s="15"/>
      <c r="L2393" s="15"/>
      <c r="M2393" s="16">
        <v>0.0</v>
      </c>
      <c r="N2393" s="16">
        <v>0.0</v>
      </c>
      <c r="O2393" s="17">
        <v>0.0</v>
      </c>
      <c r="P2393" s="17">
        <v>0.0</v>
      </c>
      <c r="Q2393" s="13">
        <f>K2391+L2391+M2391+N2391+O2391+P2391/6</f>
        <v>0</v>
      </c>
      <c r="R2393" s="14">
        <v>44973.0</v>
      </c>
      <c r="S2393" s="13"/>
      <c r="T2393" s="13">
        <f t="shared" ref="T2393:Y2393" si="2612">IF(ISBLANK(K2393)=TRUE,0,1)</f>
        <v>0</v>
      </c>
      <c r="U2393" s="13">
        <f t="shared" si="2612"/>
        <v>0</v>
      </c>
      <c r="V2393" s="13">
        <f t="shared" si="2612"/>
        <v>1</v>
      </c>
      <c r="W2393" s="13">
        <f t="shared" si="2612"/>
        <v>1</v>
      </c>
      <c r="X2393" s="13">
        <f t="shared" si="2612"/>
        <v>1</v>
      </c>
      <c r="Y2393" s="13">
        <f t="shared" si="2612"/>
        <v>1</v>
      </c>
      <c r="Z2393" s="13">
        <f t="shared" si="1998"/>
        <v>0</v>
      </c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</row>
    <row r="2394" ht="14.25" hidden="1" customHeight="1">
      <c r="A2394" s="13" t="s">
        <v>29</v>
      </c>
      <c r="B2394" s="13" t="s">
        <v>30</v>
      </c>
      <c r="C2394" s="13" t="s">
        <v>1428</v>
      </c>
      <c r="D2394" s="13"/>
      <c r="E2394" s="13" t="str">
        <f t="shared" si="2395"/>
        <v>SJC,211-10-94,,0</v>
      </c>
      <c r="F2394" s="13"/>
      <c r="G2394" s="13" t="s">
        <v>111</v>
      </c>
      <c r="H2394" s="13" t="s">
        <v>107</v>
      </c>
      <c r="I2394" s="14">
        <v>44866.0</v>
      </c>
      <c r="J2394" s="14"/>
      <c r="K2394" s="15"/>
      <c r="L2394" s="15"/>
      <c r="M2394" s="16">
        <v>0.0</v>
      </c>
      <c r="N2394" s="16">
        <v>0.0</v>
      </c>
      <c r="O2394" s="17">
        <v>0.0</v>
      </c>
      <c r="P2394" s="17">
        <v>0.0</v>
      </c>
      <c r="Q2394" s="13">
        <f t="shared" ref="Q2394:Q2406" si="2614">K2393+L2393+M2393+N2393+O2393+P2393/6</f>
        <v>0</v>
      </c>
      <c r="R2394" s="14">
        <v>44973.0</v>
      </c>
      <c r="S2394" s="13"/>
      <c r="T2394" s="13">
        <f t="shared" ref="T2394:Y2394" si="2613">IF(ISBLANK(K2394)=TRUE,0,1)</f>
        <v>0</v>
      </c>
      <c r="U2394" s="13">
        <f t="shared" si="2613"/>
        <v>0</v>
      </c>
      <c r="V2394" s="13">
        <f t="shared" si="2613"/>
        <v>1</v>
      </c>
      <c r="W2394" s="13">
        <f t="shared" si="2613"/>
        <v>1</v>
      </c>
      <c r="X2394" s="13">
        <f t="shared" si="2613"/>
        <v>1</v>
      </c>
      <c r="Y2394" s="13">
        <f t="shared" si="2613"/>
        <v>1</v>
      </c>
      <c r="Z2394" s="13">
        <f t="shared" si="1998"/>
        <v>0</v>
      </c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</row>
    <row r="2395" ht="14.25" hidden="1" customHeight="1">
      <c r="A2395" s="13" t="s">
        <v>29</v>
      </c>
      <c r="B2395" s="13" t="s">
        <v>30</v>
      </c>
      <c r="C2395" s="13" t="s">
        <v>1429</v>
      </c>
      <c r="D2395" s="13"/>
      <c r="E2395" s="13" t="str">
        <f t="shared" si="2395"/>
        <v>SJC,211-10-95,,0</v>
      </c>
      <c r="F2395" s="13"/>
      <c r="G2395" s="13" t="s">
        <v>111</v>
      </c>
      <c r="H2395" s="13" t="s">
        <v>107</v>
      </c>
      <c r="I2395" s="14">
        <v>44866.0</v>
      </c>
      <c r="J2395" s="14"/>
      <c r="K2395" s="15"/>
      <c r="L2395" s="15"/>
      <c r="M2395" s="16">
        <v>0.0</v>
      </c>
      <c r="N2395" s="16">
        <v>0.0</v>
      </c>
      <c r="O2395" s="17">
        <v>0.0</v>
      </c>
      <c r="P2395" s="17">
        <v>0.0</v>
      </c>
      <c r="Q2395" s="13">
        <f t="shared" si="2614"/>
        <v>0</v>
      </c>
      <c r="R2395" s="14">
        <v>44973.0</v>
      </c>
      <c r="S2395" s="13"/>
      <c r="T2395" s="13">
        <f t="shared" ref="T2395:Y2395" si="2615">IF(ISBLANK(K2395)=TRUE,0,1)</f>
        <v>0</v>
      </c>
      <c r="U2395" s="13">
        <f t="shared" si="2615"/>
        <v>0</v>
      </c>
      <c r="V2395" s="13">
        <f t="shared" si="2615"/>
        <v>1</v>
      </c>
      <c r="W2395" s="13">
        <f t="shared" si="2615"/>
        <v>1</v>
      </c>
      <c r="X2395" s="13">
        <f t="shared" si="2615"/>
        <v>1</v>
      </c>
      <c r="Y2395" s="13">
        <f t="shared" si="2615"/>
        <v>1</v>
      </c>
      <c r="Z2395" s="13">
        <f t="shared" si="1998"/>
        <v>0</v>
      </c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</row>
    <row r="2396" ht="14.25" hidden="1" customHeight="1">
      <c r="A2396" s="13" t="s">
        <v>29</v>
      </c>
      <c r="B2396" s="13" t="s">
        <v>30</v>
      </c>
      <c r="C2396" s="13" t="s">
        <v>1430</v>
      </c>
      <c r="D2396" s="13"/>
      <c r="E2396" s="13" t="str">
        <f t="shared" si="2395"/>
        <v>SJC,211-10-96,,0</v>
      </c>
      <c r="F2396" s="13"/>
      <c r="G2396" s="13" t="s">
        <v>111</v>
      </c>
      <c r="H2396" s="13" t="s">
        <v>107</v>
      </c>
      <c r="I2396" s="14">
        <v>44880.0</v>
      </c>
      <c r="J2396" s="14"/>
      <c r="K2396" s="15"/>
      <c r="L2396" s="15"/>
      <c r="M2396" s="16">
        <v>0.0</v>
      </c>
      <c r="N2396" s="16">
        <v>0.0</v>
      </c>
      <c r="O2396" s="17">
        <v>0.0</v>
      </c>
      <c r="P2396" s="17">
        <v>0.0</v>
      </c>
      <c r="Q2396" s="13">
        <f t="shared" si="2614"/>
        <v>0</v>
      </c>
      <c r="R2396" s="14">
        <v>44973.0</v>
      </c>
      <c r="S2396" s="13"/>
      <c r="T2396" s="13">
        <f t="shared" ref="T2396:Y2396" si="2616">IF(ISBLANK(K2396)=TRUE,0,1)</f>
        <v>0</v>
      </c>
      <c r="U2396" s="13">
        <f t="shared" si="2616"/>
        <v>0</v>
      </c>
      <c r="V2396" s="13">
        <f t="shared" si="2616"/>
        <v>1</v>
      </c>
      <c r="W2396" s="13">
        <f t="shared" si="2616"/>
        <v>1</v>
      </c>
      <c r="X2396" s="13">
        <f t="shared" si="2616"/>
        <v>1</v>
      </c>
      <c r="Y2396" s="13">
        <f t="shared" si="2616"/>
        <v>1</v>
      </c>
      <c r="Z2396" s="13">
        <f t="shared" si="1998"/>
        <v>0</v>
      </c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</row>
    <row r="2397" ht="14.25" hidden="1" customHeight="1">
      <c r="A2397" s="13" t="s">
        <v>29</v>
      </c>
      <c r="B2397" s="13" t="s">
        <v>30</v>
      </c>
      <c r="C2397" s="13" t="s">
        <v>1431</v>
      </c>
      <c r="D2397" s="13"/>
      <c r="E2397" s="13" t="str">
        <f t="shared" si="2395"/>
        <v>SJC,211-10-97,,0</v>
      </c>
      <c r="F2397" s="13"/>
      <c r="G2397" s="13" t="s">
        <v>111</v>
      </c>
      <c r="H2397" s="13" t="s">
        <v>107</v>
      </c>
      <c r="I2397" s="14">
        <v>44880.0</v>
      </c>
      <c r="J2397" s="14"/>
      <c r="K2397" s="15"/>
      <c r="L2397" s="15"/>
      <c r="M2397" s="16">
        <v>0.0</v>
      </c>
      <c r="N2397" s="16">
        <v>0.0</v>
      </c>
      <c r="O2397" s="17">
        <v>0.0</v>
      </c>
      <c r="P2397" s="17">
        <v>0.0</v>
      </c>
      <c r="Q2397" s="13">
        <f t="shared" si="2614"/>
        <v>0</v>
      </c>
      <c r="R2397" s="14">
        <v>44973.0</v>
      </c>
      <c r="S2397" s="13"/>
      <c r="T2397" s="13">
        <f t="shared" ref="T2397:Y2397" si="2617">IF(ISBLANK(K2397)=TRUE,0,1)</f>
        <v>0</v>
      </c>
      <c r="U2397" s="13">
        <f t="shared" si="2617"/>
        <v>0</v>
      </c>
      <c r="V2397" s="13">
        <f t="shared" si="2617"/>
        <v>1</v>
      </c>
      <c r="W2397" s="13">
        <f t="shared" si="2617"/>
        <v>1</v>
      </c>
      <c r="X2397" s="13">
        <f t="shared" si="2617"/>
        <v>1</v>
      </c>
      <c r="Y2397" s="13">
        <f t="shared" si="2617"/>
        <v>1</v>
      </c>
      <c r="Z2397" s="13">
        <f t="shared" si="1998"/>
        <v>0</v>
      </c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</row>
    <row r="2398" ht="14.25" hidden="1" customHeight="1">
      <c r="A2398" s="13" t="s">
        <v>29</v>
      </c>
      <c r="B2398" s="13" t="s">
        <v>30</v>
      </c>
      <c r="C2398" s="13" t="s">
        <v>1432</v>
      </c>
      <c r="D2398" s="13"/>
      <c r="E2398" s="13" t="str">
        <f t="shared" si="2395"/>
        <v>SJC,211-10-98,,0</v>
      </c>
      <c r="F2398" s="13"/>
      <c r="G2398" s="13" t="s">
        <v>111</v>
      </c>
      <c r="H2398" s="13" t="s">
        <v>75</v>
      </c>
      <c r="I2398" s="13"/>
      <c r="J2398" s="13"/>
      <c r="K2398" s="15"/>
      <c r="L2398" s="15"/>
      <c r="M2398" s="16">
        <v>0.0</v>
      </c>
      <c r="N2398" s="16">
        <v>0.0</v>
      </c>
      <c r="O2398" s="17">
        <v>0.0</v>
      </c>
      <c r="P2398" s="17">
        <v>0.0</v>
      </c>
      <c r="Q2398" s="13">
        <f t="shared" si="2614"/>
        <v>0</v>
      </c>
      <c r="R2398" s="14">
        <v>44973.0</v>
      </c>
      <c r="S2398" s="13"/>
      <c r="T2398" s="13">
        <f t="shared" ref="T2398:Y2398" si="2618">IF(ISBLANK(K2398)=TRUE,0,1)</f>
        <v>0</v>
      </c>
      <c r="U2398" s="13">
        <f t="shared" si="2618"/>
        <v>0</v>
      </c>
      <c r="V2398" s="13">
        <f t="shared" si="2618"/>
        <v>1</v>
      </c>
      <c r="W2398" s="13">
        <f t="shared" si="2618"/>
        <v>1</v>
      </c>
      <c r="X2398" s="13">
        <f t="shared" si="2618"/>
        <v>1</v>
      </c>
      <c r="Y2398" s="13">
        <f t="shared" si="2618"/>
        <v>1</v>
      </c>
      <c r="Z2398" s="13">
        <f t="shared" si="1998"/>
        <v>0</v>
      </c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</row>
    <row r="2399" ht="14.25" hidden="1" customHeight="1">
      <c r="A2399" s="13" t="s">
        <v>29</v>
      </c>
      <c r="B2399" s="13" t="s">
        <v>30</v>
      </c>
      <c r="C2399" s="13" t="s">
        <v>1433</v>
      </c>
      <c r="D2399" s="13"/>
      <c r="E2399" s="13" t="str">
        <f t="shared" si="2395"/>
        <v>SJC,211-8-1,,NA</v>
      </c>
      <c r="F2399" s="13"/>
      <c r="G2399" s="13" t="s">
        <v>111</v>
      </c>
      <c r="H2399" s="13" t="s">
        <v>107</v>
      </c>
      <c r="I2399" s="14">
        <v>44862.0</v>
      </c>
      <c r="J2399" s="14"/>
      <c r="K2399" s="15"/>
      <c r="L2399" s="15"/>
      <c r="M2399" s="16"/>
      <c r="N2399" s="16"/>
      <c r="O2399" s="17"/>
      <c r="P2399" s="17"/>
      <c r="Q2399" s="13">
        <f t="shared" si="2614"/>
        <v>0</v>
      </c>
      <c r="R2399" s="13"/>
      <c r="S2399" s="13"/>
      <c r="T2399" s="13">
        <f t="shared" ref="T2399:Y2399" si="2619">IF(ISBLANK(K2399)=TRUE,0,1)</f>
        <v>0</v>
      </c>
      <c r="U2399" s="13">
        <f t="shared" si="2619"/>
        <v>0</v>
      </c>
      <c r="V2399" s="13">
        <f t="shared" si="2619"/>
        <v>0</v>
      </c>
      <c r="W2399" s="13">
        <f t="shared" si="2619"/>
        <v>0</v>
      </c>
      <c r="X2399" s="13">
        <f t="shared" si="2619"/>
        <v>0</v>
      </c>
      <c r="Y2399" s="13">
        <f t="shared" si="2619"/>
        <v>0</v>
      </c>
      <c r="Z2399" s="13" t="str">
        <f t="shared" si="1998"/>
        <v>NA</v>
      </c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</row>
    <row r="2400" ht="14.25" hidden="1" customHeight="1">
      <c r="A2400" s="13" t="s">
        <v>29</v>
      </c>
      <c r="B2400" s="13" t="s">
        <v>30</v>
      </c>
      <c r="C2400" s="13" t="s">
        <v>1434</v>
      </c>
      <c r="D2400" s="13"/>
      <c r="E2400" s="13" t="str">
        <f t="shared" si="2395"/>
        <v>SJC,211-8-2,,1</v>
      </c>
      <c r="F2400" s="13"/>
      <c r="G2400" s="13" t="s">
        <v>111</v>
      </c>
      <c r="H2400" s="13" t="s">
        <v>107</v>
      </c>
      <c r="I2400" s="14">
        <v>44862.0</v>
      </c>
      <c r="J2400" s="14"/>
      <c r="K2400" s="15"/>
      <c r="L2400" s="15"/>
      <c r="M2400" s="16"/>
      <c r="N2400" s="16"/>
      <c r="O2400" s="17">
        <v>1.0</v>
      </c>
      <c r="P2400" s="17">
        <v>1.0</v>
      </c>
      <c r="Q2400" s="13">
        <f t="shared" si="2614"/>
        <v>0</v>
      </c>
      <c r="R2400" s="13"/>
      <c r="S2400" s="13"/>
      <c r="T2400" s="13">
        <f t="shared" ref="T2400:Y2400" si="2620">IF(ISBLANK(K2400)=TRUE,0,1)</f>
        <v>0</v>
      </c>
      <c r="U2400" s="13">
        <f t="shared" si="2620"/>
        <v>0</v>
      </c>
      <c r="V2400" s="13">
        <f t="shared" si="2620"/>
        <v>0</v>
      </c>
      <c r="W2400" s="13">
        <f t="shared" si="2620"/>
        <v>0</v>
      </c>
      <c r="X2400" s="13">
        <f t="shared" si="2620"/>
        <v>1</v>
      </c>
      <c r="Y2400" s="13">
        <f t="shared" si="2620"/>
        <v>1</v>
      </c>
      <c r="Z2400" s="13">
        <f t="shared" si="1998"/>
        <v>1</v>
      </c>
      <c r="AA2400" s="13"/>
      <c r="AB2400" s="13"/>
      <c r="AC2400" s="13"/>
      <c r="AD2400" s="13"/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</row>
    <row r="2401" ht="14.25" hidden="1" customHeight="1">
      <c r="A2401" s="13" t="s">
        <v>29</v>
      </c>
      <c r="B2401" s="13" t="s">
        <v>30</v>
      </c>
      <c r="C2401" s="13" t="s">
        <v>1435</v>
      </c>
      <c r="D2401" s="13"/>
      <c r="E2401" s="13" t="str">
        <f t="shared" si="2395"/>
        <v>SJC,211-8-3,,1</v>
      </c>
      <c r="F2401" s="13"/>
      <c r="G2401" s="13" t="s">
        <v>111</v>
      </c>
      <c r="H2401" s="13" t="s">
        <v>107</v>
      </c>
      <c r="I2401" s="14">
        <v>44862.0</v>
      </c>
      <c r="J2401" s="14"/>
      <c r="K2401" s="15"/>
      <c r="L2401" s="15"/>
      <c r="M2401" s="16"/>
      <c r="N2401" s="16"/>
      <c r="O2401" s="17">
        <v>1.0</v>
      </c>
      <c r="P2401" s="17">
        <v>1.0</v>
      </c>
      <c r="Q2401" s="13">
        <f t="shared" si="2614"/>
        <v>1.166666667</v>
      </c>
      <c r="R2401" s="13"/>
      <c r="S2401" s="13"/>
      <c r="T2401" s="13">
        <f t="shared" ref="T2401:Y2401" si="2621">IF(ISBLANK(K2401)=TRUE,0,1)</f>
        <v>0</v>
      </c>
      <c r="U2401" s="13">
        <f t="shared" si="2621"/>
        <v>0</v>
      </c>
      <c r="V2401" s="13">
        <f t="shared" si="2621"/>
        <v>0</v>
      </c>
      <c r="W2401" s="13">
        <f t="shared" si="2621"/>
        <v>0</v>
      </c>
      <c r="X2401" s="13">
        <f t="shared" si="2621"/>
        <v>1</v>
      </c>
      <c r="Y2401" s="13">
        <f t="shared" si="2621"/>
        <v>1</v>
      </c>
      <c r="Z2401" s="13">
        <f t="shared" si="1998"/>
        <v>1</v>
      </c>
      <c r="AA2401" s="13"/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</row>
    <row r="2402" ht="14.25" hidden="1" customHeight="1">
      <c r="A2402" s="13" t="s">
        <v>29</v>
      </c>
      <c r="B2402" s="13" t="s">
        <v>30</v>
      </c>
      <c r="C2402" s="13" t="s">
        <v>1436</v>
      </c>
      <c r="D2402" s="13"/>
      <c r="E2402" s="13" t="str">
        <f t="shared" si="2395"/>
        <v>SJC,211-8-4,,1</v>
      </c>
      <c r="F2402" s="13"/>
      <c r="G2402" s="13" t="s">
        <v>111</v>
      </c>
      <c r="H2402" s="13" t="s">
        <v>107</v>
      </c>
      <c r="I2402" s="14">
        <v>44862.0</v>
      </c>
      <c r="J2402" s="14"/>
      <c r="K2402" s="15"/>
      <c r="L2402" s="15"/>
      <c r="M2402" s="16"/>
      <c r="N2402" s="16"/>
      <c r="O2402" s="17">
        <v>1.0</v>
      </c>
      <c r="P2402" s="17">
        <v>1.0</v>
      </c>
      <c r="Q2402" s="13">
        <f t="shared" si="2614"/>
        <v>1.166666667</v>
      </c>
      <c r="R2402" s="13"/>
      <c r="S2402" s="13"/>
      <c r="T2402" s="13">
        <f t="shared" ref="T2402:Y2402" si="2622">IF(ISBLANK(K2402)=TRUE,0,1)</f>
        <v>0</v>
      </c>
      <c r="U2402" s="13">
        <f t="shared" si="2622"/>
        <v>0</v>
      </c>
      <c r="V2402" s="13">
        <f t="shared" si="2622"/>
        <v>0</v>
      </c>
      <c r="W2402" s="13">
        <f t="shared" si="2622"/>
        <v>0</v>
      </c>
      <c r="X2402" s="13">
        <f t="shared" si="2622"/>
        <v>1</v>
      </c>
      <c r="Y2402" s="13">
        <f t="shared" si="2622"/>
        <v>1</v>
      </c>
      <c r="Z2402" s="13">
        <f t="shared" si="1998"/>
        <v>1</v>
      </c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</row>
    <row r="2403" ht="14.25" hidden="1" customHeight="1">
      <c r="A2403" s="13" t="s">
        <v>29</v>
      </c>
      <c r="B2403" s="13" t="s">
        <v>30</v>
      </c>
      <c r="C2403" s="13" t="s">
        <v>1437</v>
      </c>
      <c r="D2403" s="13"/>
      <c r="E2403" s="13" t="str">
        <f t="shared" si="2395"/>
        <v>SJC,211-8-5,,1</v>
      </c>
      <c r="F2403" s="13"/>
      <c r="G2403" s="13" t="s">
        <v>111</v>
      </c>
      <c r="H2403" s="13" t="s">
        <v>107</v>
      </c>
      <c r="I2403" s="14">
        <v>44862.0</v>
      </c>
      <c r="J2403" s="14"/>
      <c r="K2403" s="15"/>
      <c r="L2403" s="15"/>
      <c r="M2403" s="16"/>
      <c r="N2403" s="16"/>
      <c r="O2403" s="17">
        <v>1.0</v>
      </c>
      <c r="P2403" s="17">
        <v>1.0</v>
      </c>
      <c r="Q2403" s="13">
        <f t="shared" si="2614"/>
        <v>1.166666667</v>
      </c>
      <c r="R2403" s="13"/>
      <c r="S2403" s="13"/>
      <c r="T2403" s="13">
        <f t="shared" ref="T2403:Y2403" si="2623">IF(ISBLANK(K2403)=TRUE,0,1)</f>
        <v>0</v>
      </c>
      <c r="U2403" s="13">
        <f t="shared" si="2623"/>
        <v>0</v>
      </c>
      <c r="V2403" s="13">
        <f t="shared" si="2623"/>
        <v>0</v>
      </c>
      <c r="W2403" s="13">
        <f t="shared" si="2623"/>
        <v>0</v>
      </c>
      <c r="X2403" s="13">
        <f t="shared" si="2623"/>
        <v>1</v>
      </c>
      <c r="Y2403" s="13">
        <f t="shared" si="2623"/>
        <v>1</v>
      </c>
      <c r="Z2403" s="13">
        <f t="shared" si="1998"/>
        <v>1</v>
      </c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</row>
    <row r="2404" ht="14.25" hidden="1" customHeight="1">
      <c r="A2404" s="13" t="s">
        <v>29</v>
      </c>
      <c r="B2404" s="13" t="s">
        <v>30</v>
      </c>
      <c r="C2404" s="13" t="s">
        <v>1438</v>
      </c>
      <c r="D2404" s="13"/>
      <c r="E2404" s="13" t="str">
        <f t="shared" si="2395"/>
        <v>SJC,211-8-6,,1</v>
      </c>
      <c r="F2404" s="13"/>
      <c r="G2404" s="13" t="s">
        <v>111</v>
      </c>
      <c r="H2404" s="13" t="s">
        <v>107</v>
      </c>
      <c r="I2404" s="14">
        <v>44862.0</v>
      </c>
      <c r="J2404" s="14"/>
      <c r="K2404" s="15"/>
      <c r="L2404" s="15"/>
      <c r="M2404" s="16"/>
      <c r="N2404" s="16"/>
      <c r="O2404" s="17">
        <v>1.0</v>
      </c>
      <c r="P2404" s="17">
        <v>1.0</v>
      </c>
      <c r="Q2404" s="13">
        <f t="shared" si="2614"/>
        <v>1.166666667</v>
      </c>
      <c r="R2404" s="13"/>
      <c r="S2404" s="13"/>
      <c r="T2404" s="13">
        <f t="shared" ref="T2404:Y2404" si="2624">IF(ISBLANK(K2404)=TRUE,0,1)</f>
        <v>0</v>
      </c>
      <c r="U2404" s="13">
        <f t="shared" si="2624"/>
        <v>0</v>
      </c>
      <c r="V2404" s="13">
        <f t="shared" si="2624"/>
        <v>0</v>
      </c>
      <c r="W2404" s="13">
        <f t="shared" si="2624"/>
        <v>0</v>
      </c>
      <c r="X2404" s="13">
        <f t="shared" si="2624"/>
        <v>1</v>
      </c>
      <c r="Y2404" s="13">
        <f t="shared" si="2624"/>
        <v>1</v>
      </c>
      <c r="Z2404" s="13">
        <f t="shared" si="1998"/>
        <v>1</v>
      </c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</row>
    <row r="2405" ht="14.25" hidden="1" customHeight="1">
      <c r="A2405" s="13" t="s">
        <v>29</v>
      </c>
      <c r="B2405" s="13" t="s">
        <v>30</v>
      </c>
      <c r="C2405" s="13" t="s">
        <v>1439</v>
      </c>
      <c r="D2405" s="13"/>
      <c r="E2405" s="13" t="str">
        <f t="shared" si="2395"/>
        <v>SJC,211-8-7,,1</v>
      </c>
      <c r="F2405" s="13"/>
      <c r="G2405" s="13" t="s">
        <v>111</v>
      </c>
      <c r="H2405" s="13" t="s">
        <v>107</v>
      </c>
      <c r="I2405" s="14">
        <v>44862.0</v>
      </c>
      <c r="J2405" s="14"/>
      <c r="K2405" s="15"/>
      <c r="L2405" s="15"/>
      <c r="M2405" s="16"/>
      <c r="N2405" s="16"/>
      <c r="O2405" s="17">
        <v>1.0</v>
      </c>
      <c r="P2405" s="17">
        <v>1.0</v>
      </c>
      <c r="Q2405" s="13">
        <f t="shared" si="2614"/>
        <v>1.166666667</v>
      </c>
      <c r="R2405" s="13"/>
      <c r="S2405" s="13"/>
      <c r="T2405" s="13">
        <f t="shared" ref="T2405:Y2405" si="2625">IF(ISBLANK(K2405)=TRUE,0,1)</f>
        <v>0</v>
      </c>
      <c r="U2405" s="13">
        <f t="shared" si="2625"/>
        <v>0</v>
      </c>
      <c r="V2405" s="13">
        <f t="shared" si="2625"/>
        <v>0</v>
      </c>
      <c r="W2405" s="13">
        <f t="shared" si="2625"/>
        <v>0</v>
      </c>
      <c r="X2405" s="13">
        <f t="shared" si="2625"/>
        <v>1</v>
      </c>
      <c r="Y2405" s="13">
        <f t="shared" si="2625"/>
        <v>1</v>
      </c>
      <c r="Z2405" s="13">
        <f t="shared" si="1998"/>
        <v>1</v>
      </c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</row>
    <row r="2406" ht="14.25" hidden="1" customHeight="1">
      <c r="A2406" s="13" t="s">
        <v>29</v>
      </c>
      <c r="B2406" s="13" t="s">
        <v>30</v>
      </c>
      <c r="C2406" s="13" t="s">
        <v>1440</v>
      </c>
      <c r="D2406" s="13"/>
      <c r="E2406" s="13" t="str">
        <f t="shared" si="2395"/>
        <v>SJC,211-8-8,,1</v>
      </c>
      <c r="F2406" s="13"/>
      <c r="G2406" s="13" t="s">
        <v>111</v>
      </c>
      <c r="H2406" s="13" t="s">
        <v>107</v>
      </c>
      <c r="I2406" s="14">
        <v>44862.0</v>
      </c>
      <c r="J2406" s="14"/>
      <c r="K2406" s="15"/>
      <c r="L2406" s="15"/>
      <c r="M2406" s="16"/>
      <c r="N2406" s="16"/>
      <c r="O2406" s="17">
        <v>1.0</v>
      </c>
      <c r="P2406" s="17">
        <v>1.0</v>
      </c>
      <c r="Q2406" s="13">
        <f t="shared" si="2614"/>
        <v>1.166666667</v>
      </c>
      <c r="R2406" s="13"/>
      <c r="S2406" s="13"/>
      <c r="T2406" s="13">
        <f t="shared" ref="T2406:Y2406" si="2626">IF(ISBLANK(K2406)=TRUE,0,1)</f>
        <v>0</v>
      </c>
      <c r="U2406" s="13">
        <f t="shared" si="2626"/>
        <v>0</v>
      </c>
      <c r="V2406" s="13">
        <f t="shared" si="2626"/>
        <v>0</v>
      </c>
      <c r="W2406" s="13">
        <f t="shared" si="2626"/>
        <v>0</v>
      </c>
      <c r="X2406" s="13">
        <f t="shared" si="2626"/>
        <v>1</v>
      </c>
      <c r="Y2406" s="13">
        <f t="shared" si="2626"/>
        <v>1</v>
      </c>
      <c r="Z2406" s="13">
        <f t="shared" si="1998"/>
        <v>1</v>
      </c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</row>
    <row r="2407" ht="14.25" hidden="1" customHeight="1">
      <c r="A2407" s="13" t="s">
        <v>29</v>
      </c>
      <c r="B2407" s="13" t="s">
        <v>30</v>
      </c>
      <c r="C2407" s="13" t="s">
        <v>1441</v>
      </c>
      <c r="D2407" s="13"/>
      <c r="E2407" s="13" t="str">
        <f t="shared" si="2395"/>
        <v>SJC,211-8-9,,1</v>
      </c>
      <c r="F2407" s="13"/>
      <c r="G2407" s="13" t="s">
        <v>111</v>
      </c>
      <c r="H2407" s="13" t="s">
        <v>107</v>
      </c>
      <c r="I2407" s="14">
        <v>44862.0</v>
      </c>
      <c r="J2407" s="14"/>
      <c r="K2407" s="15"/>
      <c r="L2407" s="15"/>
      <c r="M2407" s="16"/>
      <c r="N2407" s="16"/>
      <c r="O2407" s="17">
        <v>1.0</v>
      </c>
      <c r="P2407" s="17">
        <v>1.0</v>
      </c>
      <c r="Q2407" s="13">
        <f>K2404+L2404+M2404+N2404+O2404+P2404/6</f>
        <v>1.166666667</v>
      </c>
      <c r="R2407" s="13"/>
      <c r="S2407" s="13"/>
      <c r="T2407" s="13">
        <f t="shared" ref="T2407:Y2407" si="2627">IF(ISBLANK(K2407)=TRUE,0,1)</f>
        <v>0</v>
      </c>
      <c r="U2407" s="13">
        <f t="shared" si="2627"/>
        <v>0</v>
      </c>
      <c r="V2407" s="13">
        <f t="shared" si="2627"/>
        <v>0</v>
      </c>
      <c r="W2407" s="13">
        <f t="shared" si="2627"/>
        <v>0</v>
      </c>
      <c r="X2407" s="13">
        <f t="shared" si="2627"/>
        <v>1</v>
      </c>
      <c r="Y2407" s="13">
        <f t="shared" si="2627"/>
        <v>1</v>
      </c>
      <c r="Z2407" s="13">
        <f t="shared" si="1998"/>
        <v>1</v>
      </c>
      <c r="AA2407" s="13"/>
      <c r="AB2407" s="13"/>
      <c r="AC2407" s="13"/>
      <c r="AD2407" s="13"/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</row>
    <row r="2408" ht="14.25" hidden="1" customHeight="1">
      <c r="A2408" s="13" t="s">
        <v>29</v>
      </c>
      <c r="B2408" s="13" t="s">
        <v>30</v>
      </c>
      <c r="C2408" s="13" t="s">
        <v>1442</v>
      </c>
      <c r="D2408" s="13"/>
      <c r="E2408" s="13" t="str">
        <f t="shared" si="2395"/>
        <v>SJC,42-3-1,,1</v>
      </c>
      <c r="F2408" s="13"/>
      <c r="G2408" s="13" t="s">
        <v>74</v>
      </c>
      <c r="H2408" s="13" t="s">
        <v>75</v>
      </c>
      <c r="I2408" s="13"/>
      <c r="J2408" s="13"/>
      <c r="K2408" s="15"/>
      <c r="L2408" s="15"/>
      <c r="M2408" s="16"/>
      <c r="N2408" s="16"/>
      <c r="O2408" s="17">
        <v>1.0</v>
      </c>
      <c r="P2408" s="17">
        <v>1.0</v>
      </c>
      <c r="Q2408" s="13"/>
      <c r="R2408" s="13"/>
      <c r="S2408" s="13"/>
      <c r="T2408" s="13">
        <f t="shared" ref="T2408:Y2408" si="2628">IF(ISBLANK(K2408)=TRUE,0,1)</f>
        <v>0</v>
      </c>
      <c r="U2408" s="13">
        <f t="shared" si="2628"/>
        <v>0</v>
      </c>
      <c r="V2408" s="13">
        <f t="shared" si="2628"/>
        <v>0</v>
      </c>
      <c r="W2408" s="13">
        <f t="shared" si="2628"/>
        <v>0</v>
      </c>
      <c r="X2408" s="13">
        <f t="shared" si="2628"/>
        <v>1</v>
      </c>
      <c r="Y2408" s="13">
        <f t="shared" si="2628"/>
        <v>1</v>
      </c>
      <c r="Z2408" s="13">
        <f t="shared" si="1998"/>
        <v>1</v>
      </c>
      <c r="AA2408" s="13"/>
      <c r="AB2408" s="13"/>
      <c r="AC2408" s="13"/>
      <c r="AD2408" s="13"/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</row>
    <row r="2409" ht="14.25" hidden="1" customHeight="1">
      <c r="A2409" s="13" t="s">
        <v>29</v>
      </c>
      <c r="B2409" s="13" t="s">
        <v>30</v>
      </c>
      <c r="C2409" s="13" t="s">
        <v>1443</v>
      </c>
      <c r="D2409" s="13"/>
      <c r="E2409" s="13" t="str">
        <f t="shared" si="2395"/>
        <v>SJC,42-3-10,,1</v>
      </c>
      <c r="F2409" s="13"/>
      <c r="G2409" s="13" t="s">
        <v>74</v>
      </c>
      <c r="H2409" s="13" t="s">
        <v>75</v>
      </c>
      <c r="I2409" s="13"/>
      <c r="J2409" s="13"/>
      <c r="K2409" s="15"/>
      <c r="L2409" s="15"/>
      <c r="M2409" s="16"/>
      <c r="N2409" s="16"/>
      <c r="O2409" s="17">
        <v>1.0</v>
      </c>
      <c r="P2409" s="17">
        <v>1.0</v>
      </c>
      <c r="Q2409" s="13"/>
      <c r="R2409" s="29">
        <v>45007.0</v>
      </c>
      <c r="S2409" s="13"/>
      <c r="T2409" s="13">
        <f t="shared" ref="T2409:Y2409" si="2629">IF(ISBLANK(K2409)=TRUE,0,1)</f>
        <v>0</v>
      </c>
      <c r="U2409" s="13">
        <f t="shared" si="2629"/>
        <v>0</v>
      </c>
      <c r="V2409" s="13">
        <f t="shared" si="2629"/>
        <v>0</v>
      </c>
      <c r="W2409" s="13">
        <f t="shared" si="2629"/>
        <v>0</v>
      </c>
      <c r="X2409" s="13">
        <f t="shared" si="2629"/>
        <v>1</v>
      </c>
      <c r="Y2409" s="13">
        <f t="shared" si="2629"/>
        <v>1</v>
      </c>
      <c r="Z2409" s="13">
        <f t="shared" si="1998"/>
        <v>1</v>
      </c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</row>
    <row r="2410" ht="14.25" hidden="1" customHeight="1">
      <c r="A2410" s="13" t="s">
        <v>29</v>
      </c>
      <c r="B2410" s="13" t="s">
        <v>30</v>
      </c>
      <c r="C2410" s="13" t="s">
        <v>1444</v>
      </c>
      <c r="D2410" s="13"/>
      <c r="E2410" s="13" t="str">
        <f t="shared" si="2395"/>
        <v>SJC,42-3-11,,1</v>
      </c>
      <c r="F2410" s="13"/>
      <c r="G2410" s="13" t="s">
        <v>74</v>
      </c>
      <c r="H2410" s="13" t="s">
        <v>75</v>
      </c>
      <c r="I2410" s="13"/>
      <c r="J2410" s="13"/>
      <c r="K2410" s="15"/>
      <c r="L2410" s="15"/>
      <c r="M2410" s="16"/>
      <c r="N2410" s="16"/>
      <c r="O2410" s="17">
        <v>1.0</v>
      </c>
      <c r="P2410" s="17">
        <v>1.0</v>
      </c>
      <c r="Q2410" s="13"/>
      <c r="R2410" s="13"/>
      <c r="S2410" s="13"/>
      <c r="T2410" s="13">
        <f t="shared" ref="T2410:Y2410" si="2630">IF(ISBLANK(K2410)=TRUE,0,1)</f>
        <v>0</v>
      </c>
      <c r="U2410" s="13">
        <f t="shared" si="2630"/>
        <v>0</v>
      </c>
      <c r="V2410" s="13">
        <f t="shared" si="2630"/>
        <v>0</v>
      </c>
      <c r="W2410" s="13">
        <f t="shared" si="2630"/>
        <v>0</v>
      </c>
      <c r="X2410" s="13">
        <f t="shared" si="2630"/>
        <v>1</v>
      </c>
      <c r="Y2410" s="13">
        <f t="shared" si="2630"/>
        <v>1</v>
      </c>
      <c r="Z2410" s="13">
        <f t="shared" si="1998"/>
        <v>1</v>
      </c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</row>
    <row r="2411" ht="14.25" hidden="1" customHeight="1">
      <c r="A2411" s="13" t="s">
        <v>29</v>
      </c>
      <c r="B2411" s="13" t="s">
        <v>30</v>
      </c>
      <c r="C2411" s="13" t="s">
        <v>1445</v>
      </c>
      <c r="D2411" s="13"/>
      <c r="E2411" s="13" t="str">
        <f t="shared" si="2395"/>
        <v>SJC,42-3-12,,1</v>
      </c>
      <c r="F2411" s="13"/>
      <c r="G2411" s="13" t="s">
        <v>74</v>
      </c>
      <c r="H2411" s="13" t="s">
        <v>75</v>
      </c>
      <c r="I2411" s="13"/>
      <c r="J2411" s="13"/>
      <c r="K2411" s="15"/>
      <c r="L2411" s="15"/>
      <c r="M2411" s="16"/>
      <c r="N2411" s="16"/>
      <c r="O2411" s="17">
        <v>1.0</v>
      </c>
      <c r="P2411" s="17">
        <v>1.0</v>
      </c>
      <c r="Q2411" s="13"/>
      <c r="R2411" s="13"/>
      <c r="S2411" s="13"/>
      <c r="T2411" s="13">
        <f t="shared" ref="T2411:Y2411" si="2631">IF(ISBLANK(K2411)=TRUE,0,1)</f>
        <v>0</v>
      </c>
      <c r="U2411" s="13">
        <f t="shared" si="2631"/>
        <v>0</v>
      </c>
      <c r="V2411" s="13">
        <f t="shared" si="2631"/>
        <v>0</v>
      </c>
      <c r="W2411" s="13">
        <f t="shared" si="2631"/>
        <v>0</v>
      </c>
      <c r="X2411" s="13">
        <f t="shared" si="2631"/>
        <v>1</v>
      </c>
      <c r="Y2411" s="13">
        <f t="shared" si="2631"/>
        <v>1</v>
      </c>
      <c r="Z2411" s="13">
        <f t="shared" si="1998"/>
        <v>1</v>
      </c>
      <c r="AA2411" s="13"/>
      <c r="AB2411" s="13"/>
      <c r="AC2411" s="13"/>
      <c r="AD2411" s="13"/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</row>
    <row r="2412" ht="14.25" hidden="1" customHeight="1">
      <c r="A2412" s="13" t="s">
        <v>29</v>
      </c>
      <c r="B2412" s="13" t="s">
        <v>30</v>
      </c>
      <c r="C2412" s="13" t="s">
        <v>1446</v>
      </c>
      <c r="D2412" s="13"/>
      <c r="E2412" s="13" t="str">
        <f t="shared" si="2395"/>
        <v>SJC,42-3-13,,1</v>
      </c>
      <c r="F2412" s="13"/>
      <c r="G2412" s="13" t="s">
        <v>74</v>
      </c>
      <c r="H2412" s="13" t="s">
        <v>75</v>
      </c>
      <c r="I2412" s="13"/>
      <c r="J2412" s="13"/>
      <c r="K2412" s="15"/>
      <c r="L2412" s="15"/>
      <c r="M2412" s="16"/>
      <c r="N2412" s="16"/>
      <c r="O2412" s="17">
        <v>1.0</v>
      </c>
      <c r="P2412" s="17">
        <v>1.0</v>
      </c>
      <c r="Q2412" s="13"/>
      <c r="R2412" s="13"/>
      <c r="S2412" s="13"/>
      <c r="T2412" s="13">
        <f t="shared" ref="T2412:Y2412" si="2632">IF(ISBLANK(K2412)=TRUE,0,1)</f>
        <v>0</v>
      </c>
      <c r="U2412" s="13">
        <f t="shared" si="2632"/>
        <v>0</v>
      </c>
      <c r="V2412" s="13">
        <f t="shared" si="2632"/>
        <v>0</v>
      </c>
      <c r="W2412" s="13">
        <f t="shared" si="2632"/>
        <v>0</v>
      </c>
      <c r="X2412" s="13">
        <f t="shared" si="2632"/>
        <v>1</v>
      </c>
      <c r="Y2412" s="13">
        <f t="shared" si="2632"/>
        <v>1</v>
      </c>
      <c r="Z2412" s="13">
        <f t="shared" si="1998"/>
        <v>1</v>
      </c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</row>
    <row r="2413" ht="14.25" hidden="1" customHeight="1">
      <c r="A2413" s="13" t="s">
        <v>29</v>
      </c>
      <c r="B2413" s="13" t="s">
        <v>30</v>
      </c>
      <c r="C2413" s="13" t="s">
        <v>1447</v>
      </c>
      <c r="D2413" s="13"/>
      <c r="E2413" s="13" t="str">
        <f t="shared" si="2395"/>
        <v>SJC,42-3-14,,1</v>
      </c>
      <c r="F2413" s="13"/>
      <c r="G2413" s="13" t="s">
        <v>74</v>
      </c>
      <c r="H2413" s="13" t="s">
        <v>75</v>
      </c>
      <c r="I2413" s="13"/>
      <c r="J2413" s="13"/>
      <c r="K2413" s="15"/>
      <c r="L2413" s="15"/>
      <c r="M2413" s="16"/>
      <c r="N2413" s="16"/>
      <c r="O2413" s="17">
        <v>1.0</v>
      </c>
      <c r="P2413" s="17">
        <v>1.0</v>
      </c>
      <c r="Q2413" s="13"/>
      <c r="R2413" s="13"/>
      <c r="S2413" s="13"/>
      <c r="T2413" s="13">
        <f t="shared" ref="T2413:Y2413" si="2633">IF(ISBLANK(K2413)=TRUE,0,1)</f>
        <v>0</v>
      </c>
      <c r="U2413" s="13">
        <f t="shared" si="2633"/>
        <v>0</v>
      </c>
      <c r="V2413" s="13">
        <f t="shared" si="2633"/>
        <v>0</v>
      </c>
      <c r="W2413" s="13">
        <f t="shared" si="2633"/>
        <v>0</v>
      </c>
      <c r="X2413" s="13">
        <f t="shared" si="2633"/>
        <v>1</v>
      </c>
      <c r="Y2413" s="13">
        <f t="shared" si="2633"/>
        <v>1</v>
      </c>
      <c r="Z2413" s="13">
        <f t="shared" si="1998"/>
        <v>1</v>
      </c>
      <c r="AA2413" s="13"/>
      <c r="AB2413" s="13"/>
      <c r="AC2413" s="13"/>
      <c r="AD2413" s="13"/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</row>
    <row r="2414" ht="14.25" hidden="1" customHeight="1">
      <c r="A2414" s="13" t="s">
        <v>29</v>
      </c>
      <c r="B2414" s="13" t="s">
        <v>30</v>
      </c>
      <c r="C2414" s="13" t="s">
        <v>1448</v>
      </c>
      <c r="D2414" s="13"/>
      <c r="E2414" s="13" t="str">
        <f t="shared" si="2395"/>
        <v>SJC,42-3-15,,1</v>
      </c>
      <c r="F2414" s="13"/>
      <c r="G2414" s="13" t="s">
        <v>74</v>
      </c>
      <c r="H2414" s="13" t="s">
        <v>75</v>
      </c>
      <c r="I2414" s="13"/>
      <c r="J2414" s="13"/>
      <c r="K2414" s="15"/>
      <c r="L2414" s="15"/>
      <c r="M2414" s="16"/>
      <c r="N2414" s="16"/>
      <c r="O2414" s="17">
        <v>1.0</v>
      </c>
      <c r="P2414" s="17">
        <v>1.0</v>
      </c>
      <c r="Q2414" s="13"/>
      <c r="R2414" s="29">
        <v>45007.0</v>
      </c>
      <c r="S2414" s="13"/>
      <c r="T2414" s="13">
        <f t="shared" ref="T2414:Y2414" si="2634">IF(ISBLANK(K2414)=TRUE,0,1)</f>
        <v>0</v>
      </c>
      <c r="U2414" s="13">
        <f t="shared" si="2634"/>
        <v>0</v>
      </c>
      <c r="V2414" s="13">
        <f t="shared" si="2634"/>
        <v>0</v>
      </c>
      <c r="W2414" s="13">
        <f t="shared" si="2634"/>
        <v>0</v>
      </c>
      <c r="X2414" s="13">
        <f t="shared" si="2634"/>
        <v>1</v>
      </c>
      <c r="Y2414" s="13">
        <f t="shared" si="2634"/>
        <v>1</v>
      </c>
      <c r="Z2414" s="13">
        <f t="shared" si="1998"/>
        <v>1</v>
      </c>
      <c r="AA2414" s="13"/>
      <c r="AB2414" s="13"/>
      <c r="AC2414" s="13"/>
      <c r="AD2414" s="13"/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</row>
    <row r="2415" ht="14.25" hidden="1" customHeight="1">
      <c r="A2415" s="13" t="s">
        <v>29</v>
      </c>
      <c r="B2415" s="13" t="s">
        <v>30</v>
      </c>
      <c r="C2415" s="13" t="s">
        <v>1449</v>
      </c>
      <c r="D2415" s="13"/>
      <c r="E2415" s="13" t="str">
        <f t="shared" si="2395"/>
        <v>SJC,42-3-16,,1</v>
      </c>
      <c r="F2415" s="13"/>
      <c r="G2415" s="13" t="s">
        <v>74</v>
      </c>
      <c r="H2415" s="13" t="s">
        <v>75</v>
      </c>
      <c r="I2415" s="13"/>
      <c r="J2415" s="13"/>
      <c r="K2415" s="15"/>
      <c r="L2415" s="15"/>
      <c r="M2415" s="16"/>
      <c r="N2415" s="16"/>
      <c r="O2415" s="17">
        <v>1.0</v>
      </c>
      <c r="P2415" s="17">
        <v>1.0</v>
      </c>
      <c r="Q2415" s="13"/>
      <c r="R2415" s="13"/>
      <c r="S2415" s="13"/>
      <c r="T2415" s="13">
        <f t="shared" ref="T2415:Y2415" si="2635">IF(ISBLANK(K2415)=TRUE,0,1)</f>
        <v>0</v>
      </c>
      <c r="U2415" s="13">
        <f t="shared" si="2635"/>
        <v>0</v>
      </c>
      <c r="V2415" s="13">
        <f t="shared" si="2635"/>
        <v>0</v>
      </c>
      <c r="W2415" s="13">
        <f t="shared" si="2635"/>
        <v>0</v>
      </c>
      <c r="X2415" s="13">
        <f t="shared" si="2635"/>
        <v>1</v>
      </c>
      <c r="Y2415" s="13">
        <f t="shared" si="2635"/>
        <v>1</v>
      </c>
      <c r="Z2415" s="13">
        <f t="shared" si="1998"/>
        <v>1</v>
      </c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</row>
    <row r="2416" ht="14.25" hidden="1" customHeight="1">
      <c r="A2416" s="13" t="s">
        <v>29</v>
      </c>
      <c r="B2416" s="13" t="s">
        <v>30</v>
      </c>
      <c r="C2416" s="13" t="s">
        <v>1450</v>
      </c>
      <c r="D2416" s="13"/>
      <c r="E2416" s="13" t="str">
        <f t="shared" si="2395"/>
        <v>SJC,42-3-17,,1</v>
      </c>
      <c r="F2416" s="13"/>
      <c r="G2416" s="13" t="s">
        <v>74</v>
      </c>
      <c r="H2416" s="13" t="s">
        <v>75</v>
      </c>
      <c r="I2416" s="13"/>
      <c r="J2416" s="13"/>
      <c r="K2416" s="15"/>
      <c r="L2416" s="15"/>
      <c r="M2416" s="16"/>
      <c r="N2416" s="16"/>
      <c r="O2416" s="17">
        <v>1.0</v>
      </c>
      <c r="P2416" s="17">
        <v>1.0</v>
      </c>
      <c r="Q2416" s="13"/>
      <c r="R2416" s="13"/>
      <c r="S2416" s="13"/>
      <c r="T2416" s="13">
        <f t="shared" ref="T2416:Y2416" si="2636">IF(ISBLANK(K2416)=TRUE,0,1)</f>
        <v>0</v>
      </c>
      <c r="U2416" s="13">
        <f t="shared" si="2636"/>
        <v>0</v>
      </c>
      <c r="V2416" s="13">
        <f t="shared" si="2636"/>
        <v>0</v>
      </c>
      <c r="W2416" s="13">
        <f t="shared" si="2636"/>
        <v>0</v>
      </c>
      <c r="X2416" s="13">
        <f t="shared" si="2636"/>
        <v>1</v>
      </c>
      <c r="Y2416" s="13">
        <f t="shared" si="2636"/>
        <v>1</v>
      </c>
      <c r="Z2416" s="13">
        <f t="shared" si="1998"/>
        <v>1</v>
      </c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</row>
    <row r="2417" ht="14.25" hidden="1" customHeight="1">
      <c r="A2417" s="13" t="s">
        <v>29</v>
      </c>
      <c r="B2417" s="13" t="s">
        <v>30</v>
      </c>
      <c r="C2417" s="13" t="s">
        <v>1451</v>
      </c>
      <c r="D2417" s="13"/>
      <c r="E2417" s="13" t="str">
        <f t="shared" si="2395"/>
        <v>SJC,42-3-18,,1</v>
      </c>
      <c r="F2417" s="13"/>
      <c r="G2417" s="13" t="s">
        <v>74</v>
      </c>
      <c r="H2417" s="13" t="s">
        <v>75</v>
      </c>
      <c r="I2417" s="13"/>
      <c r="J2417" s="13"/>
      <c r="K2417" s="15"/>
      <c r="L2417" s="15"/>
      <c r="M2417" s="16"/>
      <c r="N2417" s="16"/>
      <c r="O2417" s="17">
        <v>1.0</v>
      </c>
      <c r="P2417" s="17">
        <v>1.0</v>
      </c>
      <c r="Q2417" s="13"/>
      <c r="R2417" s="13"/>
      <c r="S2417" s="13"/>
      <c r="T2417" s="13">
        <f t="shared" ref="T2417:Y2417" si="2637">IF(ISBLANK(K2417)=TRUE,0,1)</f>
        <v>0</v>
      </c>
      <c r="U2417" s="13">
        <f t="shared" si="2637"/>
        <v>0</v>
      </c>
      <c r="V2417" s="13">
        <f t="shared" si="2637"/>
        <v>0</v>
      </c>
      <c r="W2417" s="13">
        <f t="shared" si="2637"/>
        <v>0</v>
      </c>
      <c r="X2417" s="13">
        <f t="shared" si="2637"/>
        <v>1</v>
      </c>
      <c r="Y2417" s="13">
        <f t="shared" si="2637"/>
        <v>1</v>
      </c>
      <c r="Z2417" s="13">
        <f t="shared" si="1998"/>
        <v>1</v>
      </c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</row>
    <row r="2418" ht="14.25" hidden="1" customHeight="1">
      <c r="A2418" s="13" t="s">
        <v>29</v>
      </c>
      <c r="B2418" s="13" t="s">
        <v>30</v>
      </c>
      <c r="C2418" s="13" t="s">
        <v>1452</v>
      </c>
      <c r="D2418" s="13"/>
      <c r="E2418" s="13" t="str">
        <f t="shared" si="2395"/>
        <v>SJC,42-3-19,,1</v>
      </c>
      <c r="F2418" s="13"/>
      <c r="G2418" s="13" t="s">
        <v>74</v>
      </c>
      <c r="H2418" s="13" t="s">
        <v>75</v>
      </c>
      <c r="I2418" s="13"/>
      <c r="J2418" s="13"/>
      <c r="K2418" s="15"/>
      <c r="L2418" s="15"/>
      <c r="M2418" s="16"/>
      <c r="N2418" s="16"/>
      <c r="O2418" s="17">
        <v>1.0</v>
      </c>
      <c r="P2418" s="17">
        <v>1.0</v>
      </c>
      <c r="Q2418" s="13"/>
      <c r="R2418" s="13"/>
      <c r="S2418" s="13"/>
      <c r="T2418" s="13">
        <f t="shared" ref="T2418:Y2418" si="2638">IF(ISBLANK(K2418)=TRUE,0,1)</f>
        <v>0</v>
      </c>
      <c r="U2418" s="13">
        <f t="shared" si="2638"/>
        <v>0</v>
      </c>
      <c r="V2418" s="13">
        <f t="shared" si="2638"/>
        <v>0</v>
      </c>
      <c r="W2418" s="13">
        <f t="shared" si="2638"/>
        <v>0</v>
      </c>
      <c r="X2418" s="13">
        <f t="shared" si="2638"/>
        <v>1</v>
      </c>
      <c r="Y2418" s="13">
        <f t="shared" si="2638"/>
        <v>1</v>
      </c>
      <c r="Z2418" s="13">
        <f t="shared" si="1998"/>
        <v>1</v>
      </c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</row>
    <row r="2419" ht="14.25" hidden="1" customHeight="1">
      <c r="A2419" s="13" t="s">
        <v>29</v>
      </c>
      <c r="B2419" s="13" t="s">
        <v>30</v>
      </c>
      <c r="C2419" s="13" t="s">
        <v>1453</v>
      </c>
      <c r="D2419" s="13"/>
      <c r="E2419" s="13" t="str">
        <f t="shared" si="2395"/>
        <v>SJC,42-3-2,,1</v>
      </c>
      <c r="F2419" s="13"/>
      <c r="G2419" s="13" t="s">
        <v>74</v>
      </c>
      <c r="H2419" s="13" t="s">
        <v>75</v>
      </c>
      <c r="I2419" s="13"/>
      <c r="J2419" s="13"/>
      <c r="K2419" s="15"/>
      <c r="L2419" s="15"/>
      <c r="M2419" s="16"/>
      <c r="N2419" s="16"/>
      <c r="O2419" s="17">
        <v>1.0</v>
      </c>
      <c r="P2419" s="17">
        <v>1.0</v>
      </c>
      <c r="Q2419" s="13"/>
      <c r="R2419" s="13"/>
      <c r="S2419" s="13"/>
      <c r="T2419" s="13">
        <f t="shared" ref="T2419:Y2419" si="2639">IF(ISBLANK(K2419)=TRUE,0,1)</f>
        <v>0</v>
      </c>
      <c r="U2419" s="13">
        <f t="shared" si="2639"/>
        <v>0</v>
      </c>
      <c r="V2419" s="13">
        <f t="shared" si="2639"/>
        <v>0</v>
      </c>
      <c r="W2419" s="13">
        <f t="shared" si="2639"/>
        <v>0</v>
      </c>
      <c r="X2419" s="13">
        <f t="shared" si="2639"/>
        <v>1</v>
      </c>
      <c r="Y2419" s="13">
        <f t="shared" si="2639"/>
        <v>1</v>
      </c>
      <c r="Z2419" s="13">
        <f t="shared" si="1998"/>
        <v>1</v>
      </c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</row>
    <row r="2420" ht="14.25" hidden="1" customHeight="1">
      <c r="A2420" s="13" t="s">
        <v>29</v>
      </c>
      <c r="B2420" s="13" t="s">
        <v>30</v>
      </c>
      <c r="C2420" s="13" t="s">
        <v>1454</v>
      </c>
      <c r="D2420" s="13"/>
      <c r="E2420" s="13" t="str">
        <f t="shared" si="2395"/>
        <v>SJC,42-3-20,,1</v>
      </c>
      <c r="F2420" s="13"/>
      <c r="G2420" s="13" t="s">
        <v>74</v>
      </c>
      <c r="H2420" s="13" t="s">
        <v>75</v>
      </c>
      <c r="I2420" s="13"/>
      <c r="J2420" s="13"/>
      <c r="K2420" s="15"/>
      <c r="L2420" s="15"/>
      <c r="M2420" s="16"/>
      <c r="N2420" s="16"/>
      <c r="O2420" s="17">
        <v>1.0</v>
      </c>
      <c r="P2420" s="17">
        <v>1.0</v>
      </c>
      <c r="Q2420" s="13"/>
      <c r="R2420" s="13"/>
      <c r="S2420" s="13"/>
      <c r="T2420" s="13">
        <f t="shared" ref="T2420:Y2420" si="2640">IF(ISBLANK(K2420)=TRUE,0,1)</f>
        <v>0</v>
      </c>
      <c r="U2420" s="13">
        <f t="shared" si="2640"/>
        <v>0</v>
      </c>
      <c r="V2420" s="13">
        <f t="shared" si="2640"/>
        <v>0</v>
      </c>
      <c r="W2420" s="13">
        <f t="shared" si="2640"/>
        <v>0</v>
      </c>
      <c r="X2420" s="13">
        <f t="shared" si="2640"/>
        <v>1</v>
      </c>
      <c r="Y2420" s="13">
        <f t="shared" si="2640"/>
        <v>1</v>
      </c>
      <c r="Z2420" s="13">
        <f t="shared" si="1998"/>
        <v>1</v>
      </c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</row>
    <row r="2421" ht="14.25" hidden="1" customHeight="1">
      <c r="A2421" s="13" t="s">
        <v>29</v>
      </c>
      <c r="B2421" s="13" t="s">
        <v>30</v>
      </c>
      <c r="C2421" s="13" t="s">
        <v>1455</v>
      </c>
      <c r="D2421" s="13"/>
      <c r="E2421" s="13" t="str">
        <f t="shared" si="2395"/>
        <v>SJC,42-3-21,,1</v>
      </c>
      <c r="F2421" s="13"/>
      <c r="G2421" s="13" t="s">
        <v>74</v>
      </c>
      <c r="H2421" s="13" t="s">
        <v>75</v>
      </c>
      <c r="I2421" s="13"/>
      <c r="J2421" s="13"/>
      <c r="K2421" s="15"/>
      <c r="L2421" s="15"/>
      <c r="M2421" s="16"/>
      <c r="N2421" s="16"/>
      <c r="O2421" s="17">
        <v>1.0</v>
      </c>
      <c r="P2421" s="17">
        <v>1.0</v>
      </c>
      <c r="Q2421" s="13"/>
      <c r="R2421" s="13"/>
      <c r="S2421" s="13"/>
      <c r="T2421" s="13">
        <f t="shared" ref="T2421:Y2421" si="2641">IF(ISBLANK(K2421)=TRUE,0,1)</f>
        <v>0</v>
      </c>
      <c r="U2421" s="13">
        <f t="shared" si="2641"/>
        <v>0</v>
      </c>
      <c r="V2421" s="13">
        <f t="shared" si="2641"/>
        <v>0</v>
      </c>
      <c r="W2421" s="13">
        <f t="shared" si="2641"/>
        <v>0</v>
      </c>
      <c r="X2421" s="13">
        <f t="shared" si="2641"/>
        <v>1</v>
      </c>
      <c r="Y2421" s="13">
        <f t="shared" si="2641"/>
        <v>1</v>
      </c>
      <c r="Z2421" s="13">
        <f t="shared" si="1998"/>
        <v>1</v>
      </c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</row>
    <row r="2422" ht="14.25" hidden="1" customHeight="1">
      <c r="A2422" s="13" t="s">
        <v>29</v>
      </c>
      <c r="B2422" s="13" t="s">
        <v>30</v>
      </c>
      <c r="C2422" s="13" t="s">
        <v>1456</v>
      </c>
      <c r="D2422" s="13"/>
      <c r="E2422" s="13" t="str">
        <f t="shared" si="2395"/>
        <v>SJC,42-3-22,,1</v>
      </c>
      <c r="F2422" s="13"/>
      <c r="G2422" s="13" t="s">
        <v>74</v>
      </c>
      <c r="H2422" s="13" t="s">
        <v>75</v>
      </c>
      <c r="I2422" s="13"/>
      <c r="J2422" s="13"/>
      <c r="K2422" s="15"/>
      <c r="L2422" s="15"/>
      <c r="M2422" s="16"/>
      <c r="N2422" s="16"/>
      <c r="O2422" s="17">
        <v>1.0</v>
      </c>
      <c r="P2422" s="17">
        <v>1.0</v>
      </c>
      <c r="Q2422" s="13"/>
      <c r="R2422" s="13"/>
      <c r="S2422" s="13"/>
      <c r="T2422" s="13">
        <f t="shared" ref="T2422:Y2422" si="2642">IF(ISBLANK(K2422)=TRUE,0,1)</f>
        <v>0</v>
      </c>
      <c r="U2422" s="13">
        <f t="shared" si="2642"/>
        <v>0</v>
      </c>
      <c r="V2422" s="13">
        <f t="shared" si="2642"/>
        <v>0</v>
      </c>
      <c r="W2422" s="13">
        <f t="shared" si="2642"/>
        <v>0</v>
      </c>
      <c r="X2422" s="13">
        <f t="shared" si="2642"/>
        <v>1</v>
      </c>
      <c r="Y2422" s="13">
        <f t="shared" si="2642"/>
        <v>1</v>
      </c>
      <c r="Z2422" s="13">
        <f t="shared" si="1998"/>
        <v>1</v>
      </c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</row>
    <row r="2423" ht="14.25" hidden="1" customHeight="1">
      <c r="A2423" s="13" t="s">
        <v>29</v>
      </c>
      <c r="B2423" s="13" t="s">
        <v>30</v>
      </c>
      <c r="C2423" s="13" t="s">
        <v>1457</v>
      </c>
      <c r="D2423" s="13"/>
      <c r="E2423" s="13" t="str">
        <f t="shared" si="2395"/>
        <v>SJC,42-3-23,,1</v>
      </c>
      <c r="F2423" s="13"/>
      <c r="G2423" s="13" t="s">
        <v>74</v>
      </c>
      <c r="H2423" s="13" t="s">
        <v>75</v>
      </c>
      <c r="I2423" s="13"/>
      <c r="J2423" s="13"/>
      <c r="K2423" s="15"/>
      <c r="L2423" s="15"/>
      <c r="M2423" s="16"/>
      <c r="N2423" s="16"/>
      <c r="O2423" s="17">
        <v>1.0</v>
      </c>
      <c r="P2423" s="17">
        <v>1.0</v>
      </c>
      <c r="Q2423" s="13"/>
      <c r="R2423" s="13"/>
      <c r="S2423" s="13"/>
      <c r="T2423" s="13">
        <f t="shared" ref="T2423:Y2423" si="2643">IF(ISBLANK(K2423)=TRUE,0,1)</f>
        <v>0</v>
      </c>
      <c r="U2423" s="13">
        <f t="shared" si="2643"/>
        <v>0</v>
      </c>
      <c r="V2423" s="13">
        <f t="shared" si="2643"/>
        <v>0</v>
      </c>
      <c r="W2423" s="13">
        <f t="shared" si="2643"/>
        <v>0</v>
      </c>
      <c r="X2423" s="13">
        <f t="shared" si="2643"/>
        <v>1</v>
      </c>
      <c r="Y2423" s="13">
        <f t="shared" si="2643"/>
        <v>1</v>
      </c>
      <c r="Z2423" s="13">
        <f t="shared" si="1998"/>
        <v>1</v>
      </c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</row>
    <row r="2424" ht="14.25" hidden="1" customHeight="1">
      <c r="A2424" s="13" t="s">
        <v>29</v>
      </c>
      <c r="B2424" s="13" t="s">
        <v>30</v>
      </c>
      <c r="C2424" s="13" t="s">
        <v>1458</v>
      </c>
      <c r="D2424" s="13"/>
      <c r="E2424" s="13" t="str">
        <f t="shared" si="2395"/>
        <v>SJC,42-3-24,,1</v>
      </c>
      <c r="F2424" s="13"/>
      <c r="G2424" s="13" t="s">
        <v>74</v>
      </c>
      <c r="H2424" s="13" t="s">
        <v>75</v>
      </c>
      <c r="I2424" s="13"/>
      <c r="J2424" s="13"/>
      <c r="K2424" s="15"/>
      <c r="L2424" s="15"/>
      <c r="M2424" s="16"/>
      <c r="N2424" s="16"/>
      <c r="O2424" s="17">
        <v>1.0</v>
      </c>
      <c r="P2424" s="17">
        <v>1.0</v>
      </c>
      <c r="Q2424" s="13"/>
      <c r="R2424" s="29">
        <v>45007.0</v>
      </c>
      <c r="S2424" s="13"/>
      <c r="T2424" s="13">
        <f t="shared" ref="T2424:Y2424" si="2644">IF(ISBLANK(K2424)=TRUE,0,1)</f>
        <v>0</v>
      </c>
      <c r="U2424" s="13">
        <f t="shared" si="2644"/>
        <v>0</v>
      </c>
      <c r="V2424" s="13">
        <f t="shared" si="2644"/>
        <v>0</v>
      </c>
      <c r="W2424" s="13">
        <f t="shared" si="2644"/>
        <v>0</v>
      </c>
      <c r="X2424" s="13">
        <f t="shared" si="2644"/>
        <v>1</v>
      </c>
      <c r="Y2424" s="13">
        <f t="shared" si="2644"/>
        <v>1</v>
      </c>
      <c r="Z2424" s="13">
        <f t="shared" si="1998"/>
        <v>1</v>
      </c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</row>
    <row r="2425" ht="14.25" hidden="1" customHeight="1">
      <c r="A2425" s="13" t="s">
        <v>29</v>
      </c>
      <c r="B2425" s="13" t="s">
        <v>30</v>
      </c>
      <c r="C2425" s="13" t="s">
        <v>1459</v>
      </c>
      <c r="D2425" s="13"/>
      <c r="E2425" s="13" t="str">
        <f t="shared" si="2395"/>
        <v>SJC,42-3-25,,1</v>
      </c>
      <c r="F2425" s="13"/>
      <c r="G2425" s="13" t="s">
        <v>74</v>
      </c>
      <c r="H2425" s="13" t="s">
        <v>75</v>
      </c>
      <c r="I2425" s="13"/>
      <c r="J2425" s="13"/>
      <c r="K2425" s="15"/>
      <c r="L2425" s="15"/>
      <c r="M2425" s="16"/>
      <c r="N2425" s="16"/>
      <c r="O2425" s="17">
        <v>1.0</v>
      </c>
      <c r="P2425" s="17">
        <v>1.0</v>
      </c>
      <c r="Q2425" s="13"/>
      <c r="R2425" s="13"/>
      <c r="S2425" s="13"/>
      <c r="T2425" s="13">
        <f t="shared" ref="T2425:Y2425" si="2645">IF(ISBLANK(K2425)=TRUE,0,1)</f>
        <v>0</v>
      </c>
      <c r="U2425" s="13">
        <f t="shared" si="2645"/>
        <v>0</v>
      </c>
      <c r="V2425" s="13">
        <f t="shared" si="2645"/>
        <v>0</v>
      </c>
      <c r="W2425" s="13">
        <f t="shared" si="2645"/>
        <v>0</v>
      </c>
      <c r="X2425" s="13">
        <f t="shared" si="2645"/>
        <v>1</v>
      </c>
      <c r="Y2425" s="13">
        <f t="shared" si="2645"/>
        <v>1</v>
      </c>
      <c r="Z2425" s="13">
        <f t="shared" si="1998"/>
        <v>1</v>
      </c>
      <c r="AA2425" s="13"/>
      <c r="AB2425" s="13"/>
      <c r="AC2425" s="13"/>
      <c r="AD2425" s="13"/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</row>
    <row r="2426" ht="14.25" hidden="1" customHeight="1">
      <c r="A2426" s="13" t="s">
        <v>29</v>
      </c>
      <c r="B2426" s="13" t="s">
        <v>30</v>
      </c>
      <c r="C2426" s="13" t="s">
        <v>1460</v>
      </c>
      <c r="D2426" s="13"/>
      <c r="E2426" s="13" t="str">
        <f t="shared" si="2395"/>
        <v>SJC,42-3-26,,1</v>
      </c>
      <c r="F2426" s="13"/>
      <c r="G2426" s="13" t="s">
        <v>74</v>
      </c>
      <c r="H2426" s="13" t="s">
        <v>75</v>
      </c>
      <c r="I2426" s="13"/>
      <c r="J2426" s="13"/>
      <c r="K2426" s="15"/>
      <c r="L2426" s="15"/>
      <c r="M2426" s="16"/>
      <c r="N2426" s="16"/>
      <c r="O2426" s="17">
        <v>1.0</v>
      </c>
      <c r="P2426" s="17">
        <v>1.0</v>
      </c>
      <c r="Q2426" s="13"/>
      <c r="R2426" s="13"/>
      <c r="S2426" s="13"/>
      <c r="T2426" s="13">
        <f t="shared" ref="T2426:Y2426" si="2646">IF(ISBLANK(K2426)=TRUE,0,1)</f>
        <v>0</v>
      </c>
      <c r="U2426" s="13">
        <f t="shared" si="2646"/>
        <v>0</v>
      </c>
      <c r="V2426" s="13">
        <f t="shared" si="2646"/>
        <v>0</v>
      </c>
      <c r="W2426" s="13">
        <f t="shared" si="2646"/>
        <v>0</v>
      </c>
      <c r="X2426" s="13">
        <f t="shared" si="2646"/>
        <v>1</v>
      </c>
      <c r="Y2426" s="13">
        <f t="shared" si="2646"/>
        <v>1</v>
      </c>
      <c r="Z2426" s="13">
        <f t="shared" si="1998"/>
        <v>1</v>
      </c>
      <c r="AA2426" s="13"/>
      <c r="AB2426" s="13"/>
      <c r="AC2426" s="13"/>
      <c r="AD2426" s="13"/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</row>
    <row r="2427" ht="14.25" hidden="1" customHeight="1">
      <c r="A2427" s="13" t="s">
        <v>29</v>
      </c>
      <c r="B2427" s="13" t="s">
        <v>30</v>
      </c>
      <c r="C2427" s="13" t="s">
        <v>1461</v>
      </c>
      <c r="D2427" s="13"/>
      <c r="E2427" s="13" t="str">
        <f t="shared" si="2395"/>
        <v>SJC,42-3-27,,1</v>
      </c>
      <c r="F2427" s="13"/>
      <c r="G2427" s="13" t="s">
        <v>74</v>
      </c>
      <c r="H2427" s="13" t="s">
        <v>75</v>
      </c>
      <c r="I2427" s="13"/>
      <c r="J2427" s="13"/>
      <c r="K2427" s="15"/>
      <c r="L2427" s="15"/>
      <c r="M2427" s="16"/>
      <c r="N2427" s="16"/>
      <c r="O2427" s="17">
        <v>1.0</v>
      </c>
      <c r="P2427" s="17">
        <v>1.0</v>
      </c>
      <c r="Q2427" s="13"/>
      <c r="R2427" s="13"/>
      <c r="S2427" s="13"/>
      <c r="T2427" s="13">
        <f t="shared" ref="T2427:Y2427" si="2647">IF(ISBLANK(K2427)=TRUE,0,1)</f>
        <v>0</v>
      </c>
      <c r="U2427" s="13">
        <f t="shared" si="2647"/>
        <v>0</v>
      </c>
      <c r="V2427" s="13">
        <f t="shared" si="2647"/>
        <v>0</v>
      </c>
      <c r="W2427" s="13">
        <f t="shared" si="2647"/>
        <v>0</v>
      </c>
      <c r="X2427" s="13">
        <f t="shared" si="2647"/>
        <v>1</v>
      </c>
      <c r="Y2427" s="13">
        <f t="shared" si="2647"/>
        <v>1</v>
      </c>
      <c r="Z2427" s="13">
        <f t="shared" si="1998"/>
        <v>1</v>
      </c>
      <c r="AA2427" s="13"/>
      <c r="AB2427" s="13"/>
      <c r="AC2427" s="13"/>
      <c r="AD2427" s="13"/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</row>
    <row r="2428" ht="14.25" hidden="1" customHeight="1">
      <c r="A2428" s="13" t="s">
        <v>29</v>
      </c>
      <c r="B2428" s="13" t="s">
        <v>30</v>
      </c>
      <c r="C2428" s="13" t="s">
        <v>1462</v>
      </c>
      <c r="D2428" s="13"/>
      <c r="E2428" s="13" t="str">
        <f t="shared" si="2395"/>
        <v>SJC,42-3-28,,1</v>
      </c>
      <c r="F2428" s="13"/>
      <c r="G2428" s="13" t="s">
        <v>74</v>
      </c>
      <c r="H2428" s="13" t="s">
        <v>75</v>
      </c>
      <c r="I2428" s="13"/>
      <c r="J2428" s="13"/>
      <c r="K2428" s="15"/>
      <c r="L2428" s="15"/>
      <c r="M2428" s="16"/>
      <c r="N2428" s="16"/>
      <c r="O2428" s="17">
        <v>1.0</v>
      </c>
      <c r="P2428" s="17">
        <v>1.0</v>
      </c>
      <c r="Q2428" s="13"/>
      <c r="R2428" s="13"/>
      <c r="S2428" s="13"/>
      <c r="T2428" s="13">
        <f t="shared" ref="T2428:Y2428" si="2648">IF(ISBLANK(K2428)=TRUE,0,1)</f>
        <v>0</v>
      </c>
      <c r="U2428" s="13">
        <f t="shared" si="2648"/>
        <v>0</v>
      </c>
      <c r="V2428" s="13">
        <f t="shared" si="2648"/>
        <v>0</v>
      </c>
      <c r="W2428" s="13">
        <f t="shared" si="2648"/>
        <v>0</v>
      </c>
      <c r="X2428" s="13">
        <f t="shared" si="2648"/>
        <v>1</v>
      </c>
      <c r="Y2428" s="13">
        <f t="shared" si="2648"/>
        <v>1</v>
      </c>
      <c r="Z2428" s="13">
        <f t="shared" si="1998"/>
        <v>1</v>
      </c>
      <c r="AA2428" s="13"/>
      <c r="AB2428" s="13"/>
      <c r="AC2428" s="13"/>
      <c r="AD2428" s="13"/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</row>
    <row r="2429" ht="14.25" hidden="1" customHeight="1">
      <c r="A2429" s="13" t="s">
        <v>29</v>
      </c>
      <c r="B2429" s="13" t="s">
        <v>30</v>
      </c>
      <c r="C2429" s="13" t="s">
        <v>1463</v>
      </c>
      <c r="D2429" s="13"/>
      <c r="E2429" s="13" t="str">
        <f t="shared" si="2395"/>
        <v>SJC,42-3-29,,1</v>
      </c>
      <c r="F2429" s="13"/>
      <c r="G2429" s="13" t="s">
        <v>74</v>
      </c>
      <c r="H2429" s="13" t="s">
        <v>75</v>
      </c>
      <c r="I2429" s="13"/>
      <c r="J2429" s="13"/>
      <c r="K2429" s="15"/>
      <c r="L2429" s="15"/>
      <c r="M2429" s="16"/>
      <c r="N2429" s="16"/>
      <c r="O2429" s="17">
        <v>1.0</v>
      </c>
      <c r="P2429" s="17">
        <v>1.0</v>
      </c>
      <c r="Q2429" s="13"/>
      <c r="R2429" s="13"/>
      <c r="S2429" s="13"/>
      <c r="T2429" s="13">
        <f t="shared" ref="T2429:Y2429" si="2649">IF(ISBLANK(K2429)=TRUE,0,1)</f>
        <v>0</v>
      </c>
      <c r="U2429" s="13">
        <f t="shared" si="2649"/>
        <v>0</v>
      </c>
      <c r="V2429" s="13">
        <f t="shared" si="2649"/>
        <v>0</v>
      </c>
      <c r="W2429" s="13">
        <f t="shared" si="2649"/>
        <v>0</v>
      </c>
      <c r="X2429" s="13">
        <f t="shared" si="2649"/>
        <v>1</v>
      </c>
      <c r="Y2429" s="13">
        <f t="shared" si="2649"/>
        <v>1</v>
      </c>
      <c r="Z2429" s="13">
        <f t="shared" si="1998"/>
        <v>1</v>
      </c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</row>
    <row r="2430" ht="14.25" hidden="1" customHeight="1">
      <c r="A2430" s="13" t="s">
        <v>29</v>
      </c>
      <c r="B2430" s="13" t="s">
        <v>30</v>
      </c>
      <c r="C2430" s="13" t="s">
        <v>1464</v>
      </c>
      <c r="D2430" s="13"/>
      <c r="E2430" s="13" t="str">
        <f t="shared" si="2395"/>
        <v>SJC,42-3-3,,1</v>
      </c>
      <c r="F2430" s="13"/>
      <c r="G2430" s="13" t="s">
        <v>74</v>
      </c>
      <c r="H2430" s="13" t="s">
        <v>75</v>
      </c>
      <c r="I2430" s="13"/>
      <c r="J2430" s="13"/>
      <c r="K2430" s="15"/>
      <c r="L2430" s="15"/>
      <c r="M2430" s="16"/>
      <c r="N2430" s="16"/>
      <c r="O2430" s="17">
        <v>1.0</v>
      </c>
      <c r="P2430" s="17">
        <v>1.0</v>
      </c>
      <c r="Q2430" s="13"/>
      <c r="R2430" s="13"/>
      <c r="S2430" s="13"/>
      <c r="T2430" s="13">
        <f t="shared" ref="T2430:Y2430" si="2650">IF(ISBLANK(K2430)=TRUE,0,1)</f>
        <v>0</v>
      </c>
      <c r="U2430" s="13">
        <f t="shared" si="2650"/>
        <v>0</v>
      </c>
      <c r="V2430" s="13">
        <f t="shared" si="2650"/>
        <v>0</v>
      </c>
      <c r="W2430" s="13">
        <f t="shared" si="2650"/>
        <v>0</v>
      </c>
      <c r="X2430" s="13">
        <f t="shared" si="2650"/>
        <v>1</v>
      </c>
      <c r="Y2430" s="13">
        <f t="shared" si="2650"/>
        <v>1</v>
      </c>
      <c r="Z2430" s="13">
        <f t="shared" si="1998"/>
        <v>1</v>
      </c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</row>
    <row r="2431" ht="14.25" hidden="1" customHeight="1">
      <c r="A2431" s="13" t="s">
        <v>29</v>
      </c>
      <c r="B2431" s="13" t="s">
        <v>30</v>
      </c>
      <c r="C2431" s="13" t="s">
        <v>1465</v>
      </c>
      <c r="D2431" s="13"/>
      <c r="E2431" s="13" t="str">
        <f t="shared" si="2395"/>
        <v>SJC,42-3-30,,1</v>
      </c>
      <c r="F2431" s="13"/>
      <c r="G2431" s="13" t="s">
        <v>74</v>
      </c>
      <c r="H2431" s="13" t="s">
        <v>75</v>
      </c>
      <c r="I2431" s="13"/>
      <c r="J2431" s="13"/>
      <c r="K2431" s="15"/>
      <c r="L2431" s="15"/>
      <c r="M2431" s="16"/>
      <c r="N2431" s="16"/>
      <c r="O2431" s="17">
        <v>1.0</v>
      </c>
      <c r="P2431" s="17">
        <v>1.0</v>
      </c>
      <c r="Q2431" s="13"/>
      <c r="R2431" s="13"/>
      <c r="S2431" s="13"/>
      <c r="T2431" s="13">
        <f t="shared" ref="T2431:Y2431" si="2651">IF(ISBLANK(K2431)=TRUE,0,1)</f>
        <v>0</v>
      </c>
      <c r="U2431" s="13">
        <f t="shared" si="2651"/>
        <v>0</v>
      </c>
      <c r="V2431" s="13">
        <f t="shared" si="2651"/>
        <v>0</v>
      </c>
      <c r="W2431" s="13">
        <f t="shared" si="2651"/>
        <v>0</v>
      </c>
      <c r="X2431" s="13">
        <f t="shared" si="2651"/>
        <v>1</v>
      </c>
      <c r="Y2431" s="13">
        <f t="shared" si="2651"/>
        <v>1</v>
      </c>
      <c r="Z2431" s="13">
        <f t="shared" si="1998"/>
        <v>1</v>
      </c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</row>
    <row r="2432" ht="14.25" hidden="1" customHeight="1">
      <c r="A2432" s="13" t="s">
        <v>29</v>
      </c>
      <c r="B2432" s="13" t="s">
        <v>30</v>
      </c>
      <c r="C2432" s="13" t="s">
        <v>1466</v>
      </c>
      <c r="D2432" s="13"/>
      <c r="E2432" s="13" t="str">
        <f t="shared" si="2395"/>
        <v>SJC,42-3-31,,1</v>
      </c>
      <c r="F2432" s="13"/>
      <c r="G2432" s="13" t="s">
        <v>74</v>
      </c>
      <c r="H2432" s="13" t="s">
        <v>75</v>
      </c>
      <c r="I2432" s="13"/>
      <c r="J2432" s="13"/>
      <c r="K2432" s="15"/>
      <c r="L2432" s="15"/>
      <c r="M2432" s="16"/>
      <c r="N2432" s="16"/>
      <c r="O2432" s="17">
        <v>1.0</v>
      </c>
      <c r="P2432" s="17">
        <v>1.0</v>
      </c>
      <c r="Q2432" s="13"/>
      <c r="R2432" s="13"/>
      <c r="S2432" s="13"/>
      <c r="T2432" s="13">
        <f t="shared" ref="T2432:Y2432" si="2652">IF(ISBLANK(K2432)=TRUE,0,1)</f>
        <v>0</v>
      </c>
      <c r="U2432" s="13">
        <f t="shared" si="2652"/>
        <v>0</v>
      </c>
      <c r="V2432" s="13">
        <f t="shared" si="2652"/>
        <v>0</v>
      </c>
      <c r="W2432" s="13">
        <f t="shared" si="2652"/>
        <v>0</v>
      </c>
      <c r="X2432" s="13">
        <f t="shared" si="2652"/>
        <v>1</v>
      </c>
      <c r="Y2432" s="13">
        <f t="shared" si="2652"/>
        <v>1</v>
      </c>
      <c r="Z2432" s="13">
        <f t="shared" si="1998"/>
        <v>1</v>
      </c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</row>
    <row r="2433" ht="14.25" hidden="1" customHeight="1">
      <c r="A2433" s="13" t="s">
        <v>29</v>
      </c>
      <c r="B2433" s="13" t="s">
        <v>30</v>
      </c>
      <c r="C2433" s="13" t="s">
        <v>1467</v>
      </c>
      <c r="D2433" s="13"/>
      <c r="E2433" s="13" t="str">
        <f t="shared" si="2395"/>
        <v>SJC,42-3-32,,1</v>
      </c>
      <c r="F2433" s="13"/>
      <c r="G2433" s="13" t="s">
        <v>74</v>
      </c>
      <c r="H2433" s="13" t="s">
        <v>75</v>
      </c>
      <c r="I2433" s="13"/>
      <c r="J2433" s="13"/>
      <c r="K2433" s="15"/>
      <c r="L2433" s="15"/>
      <c r="M2433" s="16"/>
      <c r="N2433" s="16"/>
      <c r="O2433" s="17">
        <v>1.0</v>
      </c>
      <c r="P2433" s="17">
        <v>1.0</v>
      </c>
      <c r="Q2433" s="13"/>
      <c r="R2433" s="13"/>
      <c r="S2433" s="13"/>
      <c r="T2433" s="13">
        <f t="shared" ref="T2433:Y2433" si="2653">IF(ISBLANK(K2433)=TRUE,0,1)</f>
        <v>0</v>
      </c>
      <c r="U2433" s="13">
        <f t="shared" si="2653"/>
        <v>0</v>
      </c>
      <c r="V2433" s="13">
        <f t="shared" si="2653"/>
        <v>0</v>
      </c>
      <c r="W2433" s="13">
        <f t="shared" si="2653"/>
        <v>0</v>
      </c>
      <c r="X2433" s="13">
        <f t="shared" si="2653"/>
        <v>1</v>
      </c>
      <c r="Y2433" s="13">
        <f t="shared" si="2653"/>
        <v>1</v>
      </c>
      <c r="Z2433" s="13">
        <f t="shared" si="1998"/>
        <v>1</v>
      </c>
      <c r="AA2433" s="13"/>
      <c r="AB2433" s="13"/>
      <c r="AC2433" s="13"/>
      <c r="AD2433" s="13"/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</row>
    <row r="2434" ht="14.25" hidden="1" customHeight="1">
      <c r="A2434" s="13" t="s">
        <v>29</v>
      </c>
      <c r="B2434" s="13" t="s">
        <v>30</v>
      </c>
      <c r="C2434" s="13" t="s">
        <v>1468</v>
      </c>
      <c r="D2434" s="13"/>
      <c r="E2434" s="13" t="str">
        <f t="shared" si="2395"/>
        <v>SJC,42-3-33,,1</v>
      </c>
      <c r="F2434" s="13"/>
      <c r="G2434" s="13" t="s">
        <v>74</v>
      </c>
      <c r="H2434" s="13" t="s">
        <v>75</v>
      </c>
      <c r="I2434" s="13"/>
      <c r="J2434" s="13"/>
      <c r="K2434" s="15"/>
      <c r="L2434" s="15"/>
      <c r="M2434" s="16"/>
      <c r="N2434" s="16"/>
      <c r="O2434" s="17">
        <v>1.0</v>
      </c>
      <c r="P2434" s="17">
        <v>1.0</v>
      </c>
      <c r="Q2434" s="13"/>
      <c r="R2434" s="13"/>
      <c r="S2434" s="13"/>
      <c r="T2434" s="13">
        <f t="shared" ref="T2434:Y2434" si="2654">IF(ISBLANK(K2434)=TRUE,0,1)</f>
        <v>0</v>
      </c>
      <c r="U2434" s="13">
        <f t="shared" si="2654"/>
        <v>0</v>
      </c>
      <c r="V2434" s="13">
        <f t="shared" si="2654"/>
        <v>0</v>
      </c>
      <c r="W2434" s="13">
        <f t="shared" si="2654"/>
        <v>0</v>
      </c>
      <c r="X2434" s="13">
        <f t="shared" si="2654"/>
        <v>1</v>
      </c>
      <c r="Y2434" s="13">
        <f t="shared" si="2654"/>
        <v>1</v>
      </c>
      <c r="Z2434" s="13">
        <f t="shared" si="1998"/>
        <v>1</v>
      </c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</row>
    <row r="2435" ht="14.25" hidden="1" customHeight="1">
      <c r="A2435" s="13" t="s">
        <v>29</v>
      </c>
      <c r="B2435" s="13" t="s">
        <v>30</v>
      </c>
      <c r="C2435" s="13" t="s">
        <v>1469</v>
      </c>
      <c r="D2435" s="13"/>
      <c r="E2435" s="13" t="str">
        <f t="shared" si="2395"/>
        <v>SJC,42-3-34,,1</v>
      </c>
      <c r="F2435" s="13"/>
      <c r="G2435" s="13" t="s">
        <v>74</v>
      </c>
      <c r="H2435" s="13" t="s">
        <v>75</v>
      </c>
      <c r="I2435" s="13"/>
      <c r="J2435" s="13"/>
      <c r="K2435" s="15"/>
      <c r="L2435" s="15"/>
      <c r="M2435" s="16"/>
      <c r="N2435" s="16"/>
      <c r="O2435" s="17">
        <v>1.0</v>
      </c>
      <c r="P2435" s="17">
        <v>1.0</v>
      </c>
      <c r="Q2435" s="13"/>
      <c r="R2435" s="13"/>
      <c r="S2435" s="13"/>
      <c r="T2435" s="13">
        <f t="shared" ref="T2435:Y2435" si="2655">IF(ISBLANK(K2435)=TRUE,0,1)</f>
        <v>0</v>
      </c>
      <c r="U2435" s="13">
        <f t="shared" si="2655"/>
        <v>0</v>
      </c>
      <c r="V2435" s="13">
        <f t="shared" si="2655"/>
        <v>0</v>
      </c>
      <c r="W2435" s="13">
        <f t="shared" si="2655"/>
        <v>0</v>
      </c>
      <c r="X2435" s="13">
        <f t="shared" si="2655"/>
        <v>1</v>
      </c>
      <c r="Y2435" s="13">
        <f t="shared" si="2655"/>
        <v>1</v>
      </c>
      <c r="Z2435" s="13">
        <f t="shared" si="1998"/>
        <v>1</v>
      </c>
      <c r="AA2435" s="13"/>
      <c r="AB2435" s="13"/>
      <c r="AC2435" s="13"/>
      <c r="AD2435" s="13"/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  <c r="AO2435" s="13"/>
      <c r="AP2435" s="13"/>
      <c r="AQ2435" s="13"/>
      <c r="AR2435" s="13"/>
      <c r="AS2435" s="13"/>
    </row>
    <row r="2436" ht="14.25" hidden="1" customHeight="1">
      <c r="A2436" s="13" t="s">
        <v>29</v>
      </c>
      <c r="B2436" s="13" t="s">
        <v>30</v>
      </c>
      <c r="C2436" s="13" t="s">
        <v>1470</v>
      </c>
      <c r="D2436" s="13"/>
      <c r="E2436" s="13" t="str">
        <f t="shared" si="2395"/>
        <v>SJC,42-3-35,,1</v>
      </c>
      <c r="F2436" s="13"/>
      <c r="G2436" s="13" t="s">
        <v>74</v>
      </c>
      <c r="H2436" s="13" t="s">
        <v>75</v>
      </c>
      <c r="I2436" s="13"/>
      <c r="J2436" s="13"/>
      <c r="K2436" s="15"/>
      <c r="L2436" s="15"/>
      <c r="M2436" s="16"/>
      <c r="N2436" s="16"/>
      <c r="O2436" s="17">
        <v>1.0</v>
      </c>
      <c r="P2436" s="17">
        <v>1.0</v>
      </c>
      <c r="Q2436" s="13"/>
      <c r="R2436" s="29">
        <v>45007.0</v>
      </c>
      <c r="S2436" s="13"/>
      <c r="T2436" s="13">
        <f t="shared" ref="T2436:Y2436" si="2656">IF(ISBLANK(K2436)=TRUE,0,1)</f>
        <v>0</v>
      </c>
      <c r="U2436" s="13">
        <f t="shared" si="2656"/>
        <v>0</v>
      </c>
      <c r="V2436" s="13">
        <f t="shared" si="2656"/>
        <v>0</v>
      </c>
      <c r="W2436" s="13">
        <f t="shared" si="2656"/>
        <v>0</v>
      </c>
      <c r="X2436" s="13">
        <f t="shared" si="2656"/>
        <v>1</v>
      </c>
      <c r="Y2436" s="13">
        <f t="shared" si="2656"/>
        <v>1</v>
      </c>
      <c r="Z2436" s="13">
        <f t="shared" si="1998"/>
        <v>1</v>
      </c>
      <c r="AA2436" s="13"/>
      <c r="AB2436" s="13"/>
      <c r="AC2436" s="13"/>
      <c r="AD2436" s="13"/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</row>
    <row r="2437" ht="14.25" hidden="1" customHeight="1">
      <c r="A2437" s="13" t="s">
        <v>29</v>
      </c>
      <c r="B2437" s="13" t="s">
        <v>30</v>
      </c>
      <c r="C2437" s="13" t="s">
        <v>1471</v>
      </c>
      <c r="D2437" s="13"/>
      <c r="E2437" s="13" t="str">
        <f t="shared" si="2395"/>
        <v>SJC,42-3-36,,1</v>
      </c>
      <c r="F2437" s="13"/>
      <c r="G2437" s="13" t="s">
        <v>74</v>
      </c>
      <c r="H2437" s="13" t="s">
        <v>75</v>
      </c>
      <c r="I2437" s="13"/>
      <c r="J2437" s="13"/>
      <c r="K2437" s="15"/>
      <c r="L2437" s="15"/>
      <c r="M2437" s="16"/>
      <c r="N2437" s="16"/>
      <c r="O2437" s="17">
        <v>1.0</v>
      </c>
      <c r="P2437" s="17">
        <v>1.0</v>
      </c>
      <c r="Q2437" s="13"/>
      <c r="R2437" s="13"/>
      <c r="S2437" s="13"/>
      <c r="T2437" s="13">
        <f t="shared" ref="T2437:Y2437" si="2657">IF(ISBLANK(K2437)=TRUE,0,1)</f>
        <v>0</v>
      </c>
      <c r="U2437" s="13">
        <f t="shared" si="2657"/>
        <v>0</v>
      </c>
      <c r="V2437" s="13">
        <f t="shared" si="2657"/>
        <v>0</v>
      </c>
      <c r="W2437" s="13">
        <f t="shared" si="2657"/>
        <v>0</v>
      </c>
      <c r="X2437" s="13">
        <f t="shared" si="2657"/>
        <v>1</v>
      </c>
      <c r="Y2437" s="13">
        <f t="shared" si="2657"/>
        <v>1</v>
      </c>
      <c r="Z2437" s="13">
        <f t="shared" si="1998"/>
        <v>1</v>
      </c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</row>
    <row r="2438" ht="14.25" hidden="1" customHeight="1">
      <c r="A2438" s="13" t="s">
        <v>29</v>
      </c>
      <c r="B2438" s="13" t="s">
        <v>30</v>
      </c>
      <c r="C2438" s="13" t="s">
        <v>1472</v>
      </c>
      <c r="D2438" s="13"/>
      <c r="E2438" s="13" t="str">
        <f t="shared" si="2395"/>
        <v>SJC,42-3-37,,1</v>
      </c>
      <c r="F2438" s="13"/>
      <c r="G2438" s="13" t="s">
        <v>74</v>
      </c>
      <c r="H2438" s="13" t="s">
        <v>75</v>
      </c>
      <c r="I2438" s="13"/>
      <c r="J2438" s="13"/>
      <c r="K2438" s="15"/>
      <c r="L2438" s="15"/>
      <c r="M2438" s="16"/>
      <c r="N2438" s="16"/>
      <c r="O2438" s="17">
        <v>1.0</v>
      </c>
      <c r="P2438" s="17">
        <v>1.0</v>
      </c>
      <c r="Q2438" s="13"/>
      <c r="R2438" s="13"/>
      <c r="S2438" s="13"/>
      <c r="T2438" s="13">
        <f t="shared" ref="T2438:Y2438" si="2658">IF(ISBLANK(K2438)=TRUE,0,1)</f>
        <v>0</v>
      </c>
      <c r="U2438" s="13">
        <f t="shared" si="2658"/>
        <v>0</v>
      </c>
      <c r="V2438" s="13">
        <f t="shared" si="2658"/>
        <v>0</v>
      </c>
      <c r="W2438" s="13">
        <f t="shared" si="2658"/>
        <v>0</v>
      </c>
      <c r="X2438" s="13">
        <f t="shared" si="2658"/>
        <v>1</v>
      </c>
      <c r="Y2438" s="13">
        <f t="shared" si="2658"/>
        <v>1</v>
      </c>
      <c r="Z2438" s="13">
        <f t="shared" si="1998"/>
        <v>1</v>
      </c>
      <c r="AA2438" s="13"/>
      <c r="AB2438" s="13"/>
      <c r="AC2438" s="13"/>
      <c r="AD2438" s="13"/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</row>
    <row r="2439" ht="14.25" hidden="1" customHeight="1">
      <c r="A2439" s="13" t="s">
        <v>29</v>
      </c>
      <c r="B2439" s="13" t="s">
        <v>30</v>
      </c>
      <c r="C2439" s="13" t="s">
        <v>1473</v>
      </c>
      <c r="D2439" s="13"/>
      <c r="E2439" s="13" t="str">
        <f t="shared" si="2395"/>
        <v>SJC,42-3-38,,1</v>
      </c>
      <c r="F2439" s="13"/>
      <c r="G2439" s="13" t="s">
        <v>74</v>
      </c>
      <c r="H2439" s="13" t="s">
        <v>75</v>
      </c>
      <c r="I2439" s="13"/>
      <c r="J2439" s="13"/>
      <c r="K2439" s="15"/>
      <c r="L2439" s="15"/>
      <c r="M2439" s="16"/>
      <c r="N2439" s="16"/>
      <c r="O2439" s="17">
        <v>1.0</v>
      </c>
      <c r="P2439" s="17">
        <v>1.0</v>
      </c>
      <c r="Q2439" s="13"/>
      <c r="R2439" s="13"/>
      <c r="S2439" s="13"/>
      <c r="T2439" s="13">
        <f t="shared" ref="T2439:Y2439" si="2659">IF(ISBLANK(K2439)=TRUE,0,1)</f>
        <v>0</v>
      </c>
      <c r="U2439" s="13">
        <f t="shared" si="2659"/>
        <v>0</v>
      </c>
      <c r="V2439" s="13">
        <f t="shared" si="2659"/>
        <v>0</v>
      </c>
      <c r="W2439" s="13">
        <f t="shared" si="2659"/>
        <v>0</v>
      </c>
      <c r="X2439" s="13">
        <f t="shared" si="2659"/>
        <v>1</v>
      </c>
      <c r="Y2439" s="13">
        <f t="shared" si="2659"/>
        <v>1</v>
      </c>
      <c r="Z2439" s="13">
        <f t="shared" si="1998"/>
        <v>1</v>
      </c>
      <c r="AA2439" s="13"/>
      <c r="AB2439" s="13"/>
      <c r="AC2439" s="13"/>
      <c r="AD2439" s="13"/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</row>
    <row r="2440" ht="14.25" hidden="1" customHeight="1">
      <c r="A2440" s="13" t="s">
        <v>29</v>
      </c>
      <c r="B2440" s="13" t="s">
        <v>30</v>
      </c>
      <c r="C2440" s="13" t="s">
        <v>1474</v>
      </c>
      <c r="D2440" s="13"/>
      <c r="E2440" s="13" t="str">
        <f t="shared" si="2395"/>
        <v>SJC,42-3-39,,1</v>
      </c>
      <c r="F2440" s="13"/>
      <c r="G2440" s="13" t="s">
        <v>74</v>
      </c>
      <c r="H2440" s="13" t="s">
        <v>75</v>
      </c>
      <c r="I2440" s="13"/>
      <c r="J2440" s="13"/>
      <c r="K2440" s="15"/>
      <c r="L2440" s="15"/>
      <c r="M2440" s="16"/>
      <c r="N2440" s="16"/>
      <c r="O2440" s="17">
        <v>1.0</v>
      </c>
      <c r="P2440" s="17">
        <v>1.0</v>
      </c>
      <c r="Q2440" s="13"/>
      <c r="R2440" s="13"/>
      <c r="S2440" s="13"/>
      <c r="T2440" s="13">
        <f t="shared" ref="T2440:Y2440" si="2660">IF(ISBLANK(K2440)=TRUE,0,1)</f>
        <v>0</v>
      </c>
      <c r="U2440" s="13">
        <f t="shared" si="2660"/>
        <v>0</v>
      </c>
      <c r="V2440" s="13">
        <f t="shared" si="2660"/>
        <v>0</v>
      </c>
      <c r="W2440" s="13">
        <f t="shared" si="2660"/>
        <v>0</v>
      </c>
      <c r="X2440" s="13">
        <f t="shared" si="2660"/>
        <v>1</v>
      </c>
      <c r="Y2440" s="13">
        <f t="shared" si="2660"/>
        <v>1</v>
      </c>
      <c r="Z2440" s="13">
        <f t="shared" si="1998"/>
        <v>1</v>
      </c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</row>
    <row r="2441" ht="14.25" hidden="1" customHeight="1">
      <c r="A2441" s="13" t="s">
        <v>29</v>
      </c>
      <c r="B2441" s="13" t="s">
        <v>30</v>
      </c>
      <c r="C2441" s="13" t="s">
        <v>1475</v>
      </c>
      <c r="D2441" s="13"/>
      <c r="E2441" s="13" t="str">
        <f t="shared" si="2395"/>
        <v>SJC,42-3-4,,1</v>
      </c>
      <c r="F2441" s="13"/>
      <c r="G2441" s="13" t="s">
        <v>74</v>
      </c>
      <c r="H2441" s="13" t="s">
        <v>75</v>
      </c>
      <c r="I2441" s="13"/>
      <c r="J2441" s="13"/>
      <c r="K2441" s="15"/>
      <c r="L2441" s="15"/>
      <c r="M2441" s="16"/>
      <c r="N2441" s="16"/>
      <c r="O2441" s="17">
        <v>1.0</v>
      </c>
      <c r="P2441" s="17">
        <v>1.0</v>
      </c>
      <c r="Q2441" s="13"/>
      <c r="R2441" s="13"/>
      <c r="S2441" s="13"/>
      <c r="T2441" s="13">
        <f t="shared" ref="T2441:Y2441" si="2661">IF(ISBLANK(K2441)=TRUE,0,1)</f>
        <v>0</v>
      </c>
      <c r="U2441" s="13">
        <f t="shared" si="2661"/>
        <v>0</v>
      </c>
      <c r="V2441" s="13">
        <f t="shared" si="2661"/>
        <v>0</v>
      </c>
      <c r="W2441" s="13">
        <f t="shared" si="2661"/>
        <v>0</v>
      </c>
      <c r="X2441" s="13">
        <f t="shared" si="2661"/>
        <v>1</v>
      </c>
      <c r="Y2441" s="13">
        <f t="shared" si="2661"/>
        <v>1</v>
      </c>
      <c r="Z2441" s="13">
        <f t="shared" si="1998"/>
        <v>1</v>
      </c>
      <c r="AA2441" s="13"/>
      <c r="AB2441" s="13"/>
      <c r="AC2441" s="13"/>
      <c r="AD2441" s="13"/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</row>
    <row r="2442" ht="14.25" hidden="1" customHeight="1">
      <c r="A2442" s="13" t="s">
        <v>29</v>
      </c>
      <c r="B2442" s="13" t="s">
        <v>30</v>
      </c>
      <c r="C2442" s="13" t="s">
        <v>1476</v>
      </c>
      <c r="D2442" s="13"/>
      <c r="E2442" s="13" t="str">
        <f t="shared" si="2395"/>
        <v>SJC,42-3-40,,1</v>
      </c>
      <c r="F2442" s="13"/>
      <c r="G2442" s="13" t="s">
        <v>74</v>
      </c>
      <c r="H2442" s="13" t="s">
        <v>75</v>
      </c>
      <c r="I2442" s="13"/>
      <c r="J2442" s="13"/>
      <c r="K2442" s="15"/>
      <c r="L2442" s="15"/>
      <c r="M2442" s="16"/>
      <c r="N2442" s="16"/>
      <c r="O2442" s="17">
        <v>1.0</v>
      </c>
      <c r="P2442" s="17">
        <v>1.0</v>
      </c>
      <c r="Q2442" s="13"/>
      <c r="R2442" s="29">
        <v>45007.0</v>
      </c>
      <c r="S2442" s="13"/>
      <c r="T2442" s="13">
        <f t="shared" ref="T2442:Y2442" si="2662">IF(ISBLANK(K2442)=TRUE,0,1)</f>
        <v>0</v>
      </c>
      <c r="U2442" s="13">
        <f t="shared" si="2662"/>
        <v>0</v>
      </c>
      <c r="V2442" s="13">
        <f t="shared" si="2662"/>
        <v>0</v>
      </c>
      <c r="W2442" s="13">
        <f t="shared" si="2662"/>
        <v>0</v>
      </c>
      <c r="X2442" s="13">
        <f t="shared" si="2662"/>
        <v>1</v>
      </c>
      <c r="Y2442" s="13">
        <f t="shared" si="2662"/>
        <v>1</v>
      </c>
      <c r="Z2442" s="13">
        <f t="shared" si="1998"/>
        <v>1</v>
      </c>
      <c r="AA2442" s="13"/>
      <c r="AB2442" s="13"/>
      <c r="AC2442" s="13"/>
      <c r="AD2442" s="13"/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</row>
    <row r="2443" ht="14.25" hidden="1" customHeight="1">
      <c r="A2443" s="13" t="s">
        <v>29</v>
      </c>
      <c r="B2443" s="13" t="s">
        <v>30</v>
      </c>
      <c r="C2443" s="13" t="s">
        <v>1477</v>
      </c>
      <c r="D2443" s="13"/>
      <c r="E2443" s="13" t="str">
        <f t="shared" si="2395"/>
        <v>SJC,42-3-41,,NA</v>
      </c>
      <c r="F2443" s="13"/>
      <c r="G2443" s="13" t="s">
        <v>74</v>
      </c>
      <c r="H2443" s="13" t="s">
        <v>75</v>
      </c>
      <c r="I2443" s="13"/>
      <c r="J2443" s="13"/>
      <c r="K2443" s="15"/>
      <c r="L2443" s="15"/>
      <c r="M2443" s="16"/>
      <c r="N2443" s="16"/>
      <c r="O2443" s="17"/>
      <c r="P2443" s="17"/>
      <c r="Q2443" s="13"/>
      <c r="R2443" s="13"/>
      <c r="S2443" s="13"/>
      <c r="T2443" s="13">
        <f t="shared" ref="T2443:Y2443" si="2663">IF(ISBLANK(K2443)=TRUE,0,1)</f>
        <v>0</v>
      </c>
      <c r="U2443" s="13">
        <f t="shared" si="2663"/>
        <v>0</v>
      </c>
      <c r="V2443" s="13">
        <f t="shared" si="2663"/>
        <v>0</v>
      </c>
      <c r="W2443" s="13">
        <f t="shared" si="2663"/>
        <v>0</v>
      </c>
      <c r="X2443" s="13">
        <f t="shared" si="2663"/>
        <v>0</v>
      </c>
      <c r="Y2443" s="13">
        <f t="shared" si="2663"/>
        <v>0</v>
      </c>
      <c r="Z2443" s="13" t="str">
        <f t="shared" si="1998"/>
        <v>NA</v>
      </c>
      <c r="AA2443" s="13"/>
      <c r="AB2443" s="13"/>
      <c r="AC2443" s="13"/>
      <c r="AD2443" s="13"/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</row>
    <row r="2444" ht="14.25" hidden="1" customHeight="1">
      <c r="A2444" s="13" t="s">
        <v>29</v>
      </c>
      <c r="B2444" s="13" t="s">
        <v>30</v>
      </c>
      <c r="C2444" s="13" t="s">
        <v>1478</v>
      </c>
      <c r="D2444" s="13"/>
      <c r="E2444" s="13" t="str">
        <f t="shared" si="2395"/>
        <v>SJC,42-3-42,,NA</v>
      </c>
      <c r="F2444" s="13"/>
      <c r="G2444" s="13" t="s">
        <v>74</v>
      </c>
      <c r="H2444" s="13" t="s">
        <v>75</v>
      </c>
      <c r="I2444" s="13"/>
      <c r="J2444" s="13"/>
      <c r="K2444" s="15"/>
      <c r="L2444" s="15"/>
      <c r="M2444" s="16"/>
      <c r="N2444" s="16"/>
      <c r="O2444" s="17"/>
      <c r="P2444" s="17"/>
      <c r="Q2444" s="13"/>
      <c r="R2444" s="13"/>
      <c r="S2444" s="13"/>
      <c r="T2444" s="13">
        <f t="shared" ref="T2444:Y2444" si="2664">IF(ISBLANK(K2444)=TRUE,0,1)</f>
        <v>0</v>
      </c>
      <c r="U2444" s="13">
        <f t="shared" si="2664"/>
        <v>0</v>
      </c>
      <c r="V2444" s="13">
        <f t="shared" si="2664"/>
        <v>0</v>
      </c>
      <c r="W2444" s="13">
        <f t="shared" si="2664"/>
        <v>0</v>
      </c>
      <c r="X2444" s="13">
        <f t="shared" si="2664"/>
        <v>0</v>
      </c>
      <c r="Y2444" s="13">
        <f t="shared" si="2664"/>
        <v>0</v>
      </c>
      <c r="Z2444" s="13" t="str">
        <f t="shared" si="1998"/>
        <v>NA</v>
      </c>
      <c r="AA2444" s="13"/>
      <c r="AB2444" s="13"/>
      <c r="AC2444" s="13"/>
      <c r="AD2444" s="13"/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</row>
    <row r="2445" ht="14.25" hidden="1" customHeight="1">
      <c r="A2445" s="13" t="s">
        <v>29</v>
      </c>
      <c r="B2445" s="13" t="s">
        <v>30</v>
      </c>
      <c r="C2445" s="13" t="s">
        <v>1479</v>
      </c>
      <c r="D2445" s="13"/>
      <c r="E2445" s="13" t="str">
        <f t="shared" si="2395"/>
        <v>SJC,42-3-43,,NA</v>
      </c>
      <c r="F2445" s="13"/>
      <c r="G2445" s="13" t="s">
        <v>74</v>
      </c>
      <c r="H2445" s="13" t="s">
        <v>75</v>
      </c>
      <c r="I2445" s="13"/>
      <c r="J2445" s="13"/>
      <c r="K2445" s="15"/>
      <c r="L2445" s="15"/>
      <c r="M2445" s="16"/>
      <c r="N2445" s="16"/>
      <c r="O2445" s="17"/>
      <c r="P2445" s="17"/>
      <c r="Q2445" s="13"/>
      <c r="R2445" s="13"/>
      <c r="S2445" s="13"/>
      <c r="T2445" s="13">
        <f t="shared" ref="T2445:Y2445" si="2665">IF(ISBLANK(K2445)=TRUE,0,1)</f>
        <v>0</v>
      </c>
      <c r="U2445" s="13">
        <f t="shared" si="2665"/>
        <v>0</v>
      </c>
      <c r="V2445" s="13">
        <f t="shared" si="2665"/>
        <v>0</v>
      </c>
      <c r="W2445" s="13">
        <f t="shared" si="2665"/>
        <v>0</v>
      </c>
      <c r="X2445" s="13">
        <f t="shared" si="2665"/>
        <v>0</v>
      </c>
      <c r="Y2445" s="13">
        <f t="shared" si="2665"/>
        <v>0</v>
      </c>
      <c r="Z2445" s="13" t="str">
        <f t="shared" si="1998"/>
        <v>NA</v>
      </c>
      <c r="AA2445" s="13"/>
      <c r="AB2445" s="13"/>
      <c r="AC2445" s="13"/>
      <c r="AD2445" s="13"/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</row>
    <row r="2446" ht="14.25" hidden="1" customHeight="1">
      <c r="A2446" s="13" t="s">
        <v>29</v>
      </c>
      <c r="B2446" s="13" t="s">
        <v>30</v>
      </c>
      <c r="C2446" s="13" t="s">
        <v>1480</v>
      </c>
      <c r="D2446" s="13"/>
      <c r="E2446" s="13" t="str">
        <f t="shared" si="2395"/>
        <v>SJC,42-3-44,,1</v>
      </c>
      <c r="F2446" s="13"/>
      <c r="G2446" s="13" t="s">
        <v>74</v>
      </c>
      <c r="H2446" s="13" t="s">
        <v>75</v>
      </c>
      <c r="I2446" s="13"/>
      <c r="J2446" s="13"/>
      <c r="K2446" s="15"/>
      <c r="L2446" s="15"/>
      <c r="M2446" s="16"/>
      <c r="N2446" s="16"/>
      <c r="O2446" s="17">
        <v>1.0</v>
      </c>
      <c r="P2446" s="17">
        <v>1.0</v>
      </c>
      <c r="Q2446" s="13"/>
      <c r="R2446" s="13"/>
      <c r="S2446" s="13"/>
      <c r="T2446" s="13">
        <f t="shared" ref="T2446:Y2446" si="2666">IF(ISBLANK(K2446)=TRUE,0,1)</f>
        <v>0</v>
      </c>
      <c r="U2446" s="13">
        <f t="shared" si="2666"/>
        <v>0</v>
      </c>
      <c r="V2446" s="13">
        <f t="shared" si="2666"/>
        <v>0</v>
      </c>
      <c r="W2446" s="13">
        <f t="shared" si="2666"/>
        <v>0</v>
      </c>
      <c r="X2446" s="13">
        <f t="shared" si="2666"/>
        <v>1</v>
      </c>
      <c r="Y2446" s="13">
        <f t="shared" si="2666"/>
        <v>1</v>
      </c>
      <c r="Z2446" s="13">
        <f t="shared" si="1998"/>
        <v>1</v>
      </c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</row>
    <row r="2447" ht="14.25" hidden="1" customHeight="1">
      <c r="A2447" s="13" t="s">
        <v>29</v>
      </c>
      <c r="B2447" s="13" t="s">
        <v>30</v>
      </c>
      <c r="C2447" s="13" t="s">
        <v>1481</v>
      </c>
      <c r="D2447" s="13"/>
      <c r="E2447" s="13" t="str">
        <f t="shared" si="2395"/>
        <v>SJC,42-3-45,,1</v>
      </c>
      <c r="F2447" s="13"/>
      <c r="G2447" s="13" t="s">
        <v>74</v>
      </c>
      <c r="H2447" s="13" t="s">
        <v>75</v>
      </c>
      <c r="I2447" s="13"/>
      <c r="J2447" s="13"/>
      <c r="K2447" s="15"/>
      <c r="L2447" s="15"/>
      <c r="M2447" s="16"/>
      <c r="N2447" s="16"/>
      <c r="O2447" s="17">
        <v>1.0</v>
      </c>
      <c r="P2447" s="17">
        <v>1.0</v>
      </c>
      <c r="Q2447" s="13"/>
      <c r="R2447" s="13"/>
      <c r="S2447" s="13"/>
      <c r="T2447" s="13">
        <f t="shared" ref="T2447:Y2447" si="2667">IF(ISBLANK(K2447)=TRUE,0,1)</f>
        <v>0</v>
      </c>
      <c r="U2447" s="13">
        <f t="shared" si="2667"/>
        <v>0</v>
      </c>
      <c r="V2447" s="13">
        <f t="shared" si="2667"/>
        <v>0</v>
      </c>
      <c r="W2447" s="13">
        <f t="shared" si="2667"/>
        <v>0</v>
      </c>
      <c r="X2447" s="13">
        <f t="shared" si="2667"/>
        <v>1</v>
      </c>
      <c r="Y2447" s="13">
        <f t="shared" si="2667"/>
        <v>1</v>
      </c>
      <c r="Z2447" s="13">
        <f t="shared" si="1998"/>
        <v>1</v>
      </c>
      <c r="AA2447" s="13"/>
      <c r="AB2447" s="13"/>
      <c r="AC2447" s="13"/>
      <c r="AD2447" s="13"/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</row>
    <row r="2448" ht="14.25" hidden="1" customHeight="1">
      <c r="A2448" s="13" t="s">
        <v>29</v>
      </c>
      <c r="B2448" s="13" t="s">
        <v>30</v>
      </c>
      <c r="C2448" s="13" t="s">
        <v>1482</v>
      </c>
      <c r="D2448" s="13"/>
      <c r="E2448" s="13" t="str">
        <f t="shared" si="2395"/>
        <v>SJC,42-3-46,,1</v>
      </c>
      <c r="F2448" s="13"/>
      <c r="G2448" s="13" t="s">
        <v>74</v>
      </c>
      <c r="H2448" s="13" t="s">
        <v>75</v>
      </c>
      <c r="I2448" s="13"/>
      <c r="J2448" s="13"/>
      <c r="K2448" s="15">
        <v>1.0</v>
      </c>
      <c r="L2448" s="15">
        <v>1.0</v>
      </c>
      <c r="M2448" s="16"/>
      <c r="N2448" s="16"/>
      <c r="O2448" s="17"/>
      <c r="P2448" s="17"/>
      <c r="Q2448" s="13"/>
      <c r="R2448" s="13"/>
      <c r="S2448" s="13"/>
      <c r="T2448" s="13">
        <f t="shared" ref="T2448:Y2448" si="2668">IF(ISBLANK(K2448)=TRUE,0,1)</f>
        <v>1</v>
      </c>
      <c r="U2448" s="13">
        <f t="shared" si="2668"/>
        <v>1</v>
      </c>
      <c r="V2448" s="13">
        <f t="shared" si="2668"/>
        <v>0</v>
      </c>
      <c r="W2448" s="13">
        <f t="shared" si="2668"/>
        <v>0</v>
      </c>
      <c r="X2448" s="13">
        <f t="shared" si="2668"/>
        <v>0</v>
      </c>
      <c r="Y2448" s="13">
        <f t="shared" si="2668"/>
        <v>0</v>
      </c>
      <c r="Z2448" s="13">
        <f t="shared" si="1998"/>
        <v>1</v>
      </c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</row>
    <row r="2449" ht="14.25" hidden="1" customHeight="1">
      <c r="A2449" s="13" t="s">
        <v>29</v>
      </c>
      <c r="B2449" s="13" t="s">
        <v>30</v>
      </c>
      <c r="C2449" s="13" t="s">
        <v>1483</v>
      </c>
      <c r="D2449" s="13"/>
      <c r="E2449" s="13" t="str">
        <f t="shared" si="2395"/>
        <v>SJC,42-3-47,,1</v>
      </c>
      <c r="F2449" s="13"/>
      <c r="G2449" s="13" t="s">
        <v>74</v>
      </c>
      <c r="H2449" s="13" t="s">
        <v>75</v>
      </c>
      <c r="I2449" s="13"/>
      <c r="J2449" s="13"/>
      <c r="K2449" s="15">
        <v>1.0</v>
      </c>
      <c r="L2449" s="15">
        <v>1.0</v>
      </c>
      <c r="M2449" s="16"/>
      <c r="N2449" s="16"/>
      <c r="O2449" s="17"/>
      <c r="P2449" s="17"/>
      <c r="Q2449" s="13"/>
      <c r="R2449" s="13"/>
      <c r="S2449" s="13"/>
      <c r="T2449" s="13">
        <f t="shared" ref="T2449:Y2449" si="2669">IF(ISBLANK(K2449)=TRUE,0,1)</f>
        <v>1</v>
      </c>
      <c r="U2449" s="13">
        <f t="shared" si="2669"/>
        <v>1</v>
      </c>
      <c r="V2449" s="13">
        <f t="shared" si="2669"/>
        <v>0</v>
      </c>
      <c r="W2449" s="13">
        <f t="shared" si="2669"/>
        <v>0</v>
      </c>
      <c r="X2449" s="13">
        <f t="shared" si="2669"/>
        <v>0</v>
      </c>
      <c r="Y2449" s="13">
        <f t="shared" si="2669"/>
        <v>0</v>
      </c>
      <c r="Z2449" s="13">
        <f t="shared" si="1998"/>
        <v>1</v>
      </c>
      <c r="AA2449" s="13"/>
      <c r="AB2449" s="13"/>
      <c r="AC2449" s="13"/>
      <c r="AD2449" s="13"/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</row>
    <row r="2450" ht="14.25" hidden="1" customHeight="1">
      <c r="A2450" s="13" t="s">
        <v>29</v>
      </c>
      <c r="B2450" s="13" t="s">
        <v>30</v>
      </c>
      <c r="C2450" s="13" t="s">
        <v>1484</v>
      </c>
      <c r="D2450" s="13"/>
      <c r="E2450" s="13" t="str">
        <f t="shared" si="2395"/>
        <v>SJC,42-3-48,,1</v>
      </c>
      <c r="F2450" s="13"/>
      <c r="G2450" s="13" t="s">
        <v>74</v>
      </c>
      <c r="H2450" s="13" t="s">
        <v>75</v>
      </c>
      <c r="I2450" s="13"/>
      <c r="J2450" s="13"/>
      <c r="K2450" s="15">
        <v>1.0</v>
      </c>
      <c r="L2450" s="15">
        <v>1.0</v>
      </c>
      <c r="M2450" s="16"/>
      <c r="N2450" s="16"/>
      <c r="O2450" s="17"/>
      <c r="P2450" s="17"/>
      <c r="Q2450" s="13"/>
      <c r="R2450" s="13"/>
      <c r="S2450" s="13"/>
      <c r="T2450" s="13">
        <f t="shared" ref="T2450:Y2450" si="2670">IF(ISBLANK(K2450)=TRUE,0,1)</f>
        <v>1</v>
      </c>
      <c r="U2450" s="13">
        <f t="shared" si="2670"/>
        <v>1</v>
      </c>
      <c r="V2450" s="13">
        <f t="shared" si="2670"/>
        <v>0</v>
      </c>
      <c r="W2450" s="13">
        <f t="shared" si="2670"/>
        <v>0</v>
      </c>
      <c r="X2450" s="13">
        <f t="shared" si="2670"/>
        <v>0</v>
      </c>
      <c r="Y2450" s="13">
        <f t="shared" si="2670"/>
        <v>0</v>
      </c>
      <c r="Z2450" s="13">
        <f t="shared" si="1998"/>
        <v>1</v>
      </c>
      <c r="AA2450" s="13"/>
      <c r="AB2450" s="13"/>
      <c r="AC2450" s="13"/>
      <c r="AD2450" s="13"/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</row>
    <row r="2451" ht="14.25" hidden="1" customHeight="1">
      <c r="A2451" s="13" t="s">
        <v>29</v>
      </c>
      <c r="B2451" s="13" t="s">
        <v>30</v>
      </c>
      <c r="C2451" s="13" t="s">
        <v>1485</v>
      </c>
      <c r="D2451" s="13"/>
      <c r="E2451" s="13" t="str">
        <f t="shared" si="2395"/>
        <v>SJC,42-3-49,,1</v>
      </c>
      <c r="F2451" s="13"/>
      <c r="G2451" s="13" t="s">
        <v>74</v>
      </c>
      <c r="H2451" s="13" t="s">
        <v>75</v>
      </c>
      <c r="I2451" s="13"/>
      <c r="J2451" s="13"/>
      <c r="K2451" s="15">
        <v>1.0</v>
      </c>
      <c r="L2451" s="15">
        <v>1.0</v>
      </c>
      <c r="M2451" s="16"/>
      <c r="N2451" s="16"/>
      <c r="O2451" s="17"/>
      <c r="P2451" s="17"/>
      <c r="Q2451" s="13"/>
      <c r="R2451" s="13"/>
      <c r="S2451" s="13"/>
      <c r="T2451" s="13">
        <f t="shared" ref="T2451:Y2451" si="2671">IF(ISBLANK(K2451)=TRUE,0,1)</f>
        <v>1</v>
      </c>
      <c r="U2451" s="13">
        <f t="shared" si="2671"/>
        <v>1</v>
      </c>
      <c r="V2451" s="13">
        <f t="shared" si="2671"/>
        <v>0</v>
      </c>
      <c r="W2451" s="13">
        <f t="shared" si="2671"/>
        <v>0</v>
      </c>
      <c r="X2451" s="13">
        <f t="shared" si="2671"/>
        <v>0</v>
      </c>
      <c r="Y2451" s="13">
        <f t="shared" si="2671"/>
        <v>0</v>
      </c>
      <c r="Z2451" s="13">
        <f t="shared" si="1998"/>
        <v>1</v>
      </c>
      <c r="AA2451" s="13"/>
      <c r="AB2451" s="13"/>
      <c r="AC2451" s="13"/>
      <c r="AD2451" s="13"/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  <c r="AR2451" s="13"/>
      <c r="AS2451" s="13"/>
    </row>
    <row r="2452" ht="14.25" hidden="1" customHeight="1">
      <c r="A2452" s="13" t="s">
        <v>29</v>
      </c>
      <c r="B2452" s="13" t="s">
        <v>30</v>
      </c>
      <c r="C2452" s="13" t="s">
        <v>1486</v>
      </c>
      <c r="D2452" s="13"/>
      <c r="E2452" s="13" t="str">
        <f t="shared" si="2395"/>
        <v>SJC,42-3-5,,NA</v>
      </c>
      <c r="F2452" s="13"/>
      <c r="G2452" s="13" t="s">
        <v>74</v>
      </c>
      <c r="H2452" s="13" t="s">
        <v>75</v>
      </c>
      <c r="I2452" s="13"/>
      <c r="J2452" s="13"/>
      <c r="K2452" s="15"/>
      <c r="L2452" s="15"/>
      <c r="M2452" s="16"/>
      <c r="N2452" s="16"/>
      <c r="O2452" s="17"/>
      <c r="P2452" s="17"/>
      <c r="Q2452" s="13"/>
      <c r="R2452" s="13"/>
      <c r="S2452" s="13"/>
      <c r="T2452" s="13">
        <f t="shared" ref="T2452:Y2452" si="2672">IF(ISBLANK(K2452)=TRUE,0,1)</f>
        <v>0</v>
      </c>
      <c r="U2452" s="13">
        <f t="shared" si="2672"/>
        <v>0</v>
      </c>
      <c r="V2452" s="13">
        <f t="shared" si="2672"/>
        <v>0</v>
      </c>
      <c r="W2452" s="13">
        <f t="shared" si="2672"/>
        <v>0</v>
      </c>
      <c r="X2452" s="13">
        <f t="shared" si="2672"/>
        <v>0</v>
      </c>
      <c r="Y2452" s="13">
        <f t="shared" si="2672"/>
        <v>0</v>
      </c>
      <c r="Z2452" s="13" t="str">
        <f t="shared" si="1998"/>
        <v>NA</v>
      </c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</row>
    <row r="2453" ht="14.25" hidden="1" customHeight="1">
      <c r="A2453" s="13" t="s">
        <v>29</v>
      </c>
      <c r="B2453" s="13" t="s">
        <v>30</v>
      </c>
      <c r="C2453" s="13" t="s">
        <v>1487</v>
      </c>
      <c r="D2453" s="13"/>
      <c r="E2453" s="13" t="str">
        <f t="shared" si="2395"/>
        <v>SJC,42-3-50,,1</v>
      </c>
      <c r="F2453" s="13"/>
      <c r="G2453" s="13" t="s">
        <v>74</v>
      </c>
      <c r="H2453" s="13" t="s">
        <v>75</v>
      </c>
      <c r="I2453" s="13"/>
      <c r="J2453" s="13"/>
      <c r="K2453" s="15">
        <v>1.0</v>
      </c>
      <c r="L2453" s="15">
        <v>1.0</v>
      </c>
      <c r="M2453" s="16"/>
      <c r="N2453" s="16"/>
      <c r="O2453" s="17"/>
      <c r="P2453" s="17"/>
      <c r="Q2453" s="13"/>
      <c r="R2453" s="13"/>
      <c r="S2453" s="13"/>
      <c r="T2453" s="13">
        <f t="shared" ref="T2453:Y2453" si="2673">IF(ISBLANK(K2453)=TRUE,0,1)</f>
        <v>1</v>
      </c>
      <c r="U2453" s="13">
        <f t="shared" si="2673"/>
        <v>1</v>
      </c>
      <c r="V2453" s="13">
        <f t="shared" si="2673"/>
        <v>0</v>
      </c>
      <c r="W2453" s="13">
        <f t="shared" si="2673"/>
        <v>0</v>
      </c>
      <c r="X2453" s="13">
        <f t="shared" si="2673"/>
        <v>0</v>
      </c>
      <c r="Y2453" s="13">
        <f t="shared" si="2673"/>
        <v>0</v>
      </c>
      <c r="Z2453" s="13">
        <f t="shared" si="1998"/>
        <v>1</v>
      </c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</row>
    <row r="2454" ht="14.25" hidden="1" customHeight="1">
      <c r="A2454" s="13" t="s">
        <v>29</v>
      </c>
      <c r="B2454" s="13" t="s">
        <v>30</v>
      </c>
      <c r="C2454" s="13" t="s">
        <v>1488</v>
      </c>
      <c r="D2454" s="13"/>
      <c r="E2454" s="13" t="str">
        <f t="shared" si="2395"/>
        <v>SJC,42-3-51,,1</v>
      </c>
      <c r="F2454" s="13"/>
      <c r="G2454" s="13" t="s">
        <v>74</v>
      </c>
      <c r="H2454" s="13" t="s">
        <v>75</v>
      </c>
      <c r="I2454" s="13"/>
      <c r="J2454" s="13"/>
      <c r="K2454" s="15"/>
      <c r="L2454" s="15"/>
      <c r="M2454" s="16"/>
      <c r="N2454" s="37"/>
      <c r="O2454" s="17">
        <v>1.0</v>
      </c>
      <c r="P2454" s="17">
        <v>1.0</v>
      </c>
      <c r="Q2454" s="13"/>
      <c r="R2454" s="13"/>
      <c r="S2454" s="13"/>
      <c r="T2454" s="13">
        <f t="shared" ref="T2454:V2454" si="2674">IF(ISBLANK(K2454)=TRUE,0,1)</f>
        <v>0</v>
      </c>
      <c r="U2454" s="13">
        <f t="shared" si="2674"/>
        <v>0</v>
      </c>
      <c r="V2454" s="13">
        <f t="shared" si="2674"/>
        <v>0</v>
      </c>
      <c r="W2454" s="13">
        <f t="shared" ref="W2454:X2454" si="2675">IF(ISBLANK(O2454)=TRUE,0,1)</f>
        <v>1</v>
      </c>
      <c r="X2454" s="13">
        <f t="shared" si="2675"/>
        <v>1</v>
      </c>
      <c r="Y2454" s="13">
        <f t="shared" ref="Y2454:Y2462" si="2678">IF(ISBLANK(#REF!)=TRUE,0,1)</f>
        <v>1</v>
      </c>
      <c r="Z2454" s="13">
        <f t="shared" si="1998"/>
        <v>1</v>
      </c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</row>
    <row r="2455" ht="14.25" hidden="1" customHeight="1">
      <c r="A2455" s="13" t="s">
        <v>29</v>
      </c>
      <c r="B2455" s="13" t="s">
        <v>30</v>
      </c>
      <c r="C2455" s="13" t="s">
        <v>1489</v>
      </c>
      <c r="D2455" s="13"/>
      <c r="E2455" s="13" t="str">
        <f t="shared" si="2395"/>
        <v>SJC,42-3-52,,1</v>
      </c>
      <c r="F2455" s="13"/>
      <c r="G2455" s="13" t="s">
        <v>74</v>
      </c>
      <c r="H2455" s="13" t="s">
        <v>75</v>
      </c>
      <c r="I2455" s="13"/>
      <c r="J2455" s="13"/>
      <c r="K2455" s="15"/>
      <c r="L2455" s="15"/>
      <c r="M2455" s="16"/>
      <c r="N2455" s="37"/>
      <c r="O2455" s="17">
        <v>1.0</v>
      </c>
      <c r="P2455" s="17">
        <v>1.0</v>
      </c>
      <c r="Q2455" s="13"/>
      <c r="R2455" s="13"/>
      <c r="S2455" s="13"/>
      <c r="T2455" s="13">
        <f t="shared" ref="T2455:V2455" si="2676">IF(ISBLANK(K2455)=TRUE,0,1)</f>
        <v>0</v>
      </c>
      <c r="U2455" s="13">
        <f t="shared" si="2676"/>
        <v>0</v>
      </c>
      <c r="V2455" s="13">
        <f t="shared" si="2676"/>
        <v>0</v>
      </c>
      <c r="W2455" s="13">
        <f t="shared" ref="W2455:X2455" si="2677">IF(ISBLANK(O2455)=TRUE,0,1)</f>
        <v>1</v>
      </c>
      <c r="X2455" s="13">
        <f t="shared" si="2677"/>
        <v>1</v>
      </c>
      <c r="Y2455" s="13">
        <f t="shared" si="2678"/>
        <v>1</v>
      </c>
      <c r="Z2455" s="13">
        <f t="shared" si="1998"/>
        <v>1</v>
      </c>
      <c r="AA2455" s="13"/>
      <c r="AB2455" s="13"/>
      <c r="AC2455" s="13"/>
      <c r="AD2455" s="13"/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</row>
    <row r="2456" ht="14.25" hidden="1" customHeight="1">
      <c r="A2456" s="13" t="s">
        <v>29</v>
      </c>
      <c r="B2456" s="13" t="s">
        <v>30</v>
      </c>
      <c r="C2456" s="13" t="s">
        <v>1490</v>
      </c>
      <c r="D2456" s="13"/>
      <c r="E2456" s="13" t="str">
        <f t="shared" si="2395"/>
        <v>SJC,42-3-53,,1</v>
      </c>
      <c r="F2456" s="13"/>
      <c r="G2456" s="13" t="s">
        <v>74</v>
      </c>
      <c r="H2456" s="13" t="s">
        <v>75</v>
      </c>
      <c r="I2456" s="13"/>
      <c r="J2456" s="13"/>
      <c r="K2456" s="15"/>
      <c r="L2456" s="15"/>
      <c r="M2456" s="16"/>
      <c r="N2456" s="37"/>
      <c r="O2456" s="17">
        <v>1.0</v>
      </c>
      <c r="P2456" s="17">
        <v>1.0</v>
      </c>
      <c r="Q2456" s="13"/>
      <c r="R2456" s="13"/>
      <c r="S2456" s="13"/>
      <c r="T2456" s="13">
        <f t="shared" ref="T2456:V2456" si="2679">IF(ISBLANK(K2456)=TRUE,0,1)</f>
        <v>0</v>
      </c>
      <c r="U2456" s="13">
        <f t="shared" si="2679"/>
        <v>0</v>
      </c>
      <c r="V2456" s="13">
        <f t="shared" si="2679"/>
        <v>0</v>
      </c>
      <c r="W2456" s="13">
        <f t="shared" ref="W2456:X2456" si="2680">IF(ISBLANK(O2456)=TRUE,0,1)</f>
        <v>1</v>
      </c>
      <c r="X2456" s="13">
        <f t="shared" si="2680"/>
        <v>1</v>
      </c>
      <c r="Y2456" s="13">
        <f t="shared" si="2678"/>
        <v>1</v>
      </c>
      <c r="Z2456" s="13">
        <f t="shared" si="1998"/>
        <v>1</v>
      </c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</row>
    <row r="2457" ht="14.25" hidden="1" customHeight="1">
      <c r="A2457" s="13" t="s">
        <v>29</v>
      </c>
      <c r="B2457" s="13" t="s">
        <v>30</v>
      </c>
      <c r="C2457" s="13" t="s">
        <v>1491</v>
      </c>
      <c r="D2457" s="13"/>
      <c r="E2457" s="13" t="str">
        <f t="shared" si="2395"/>
        <v>SJC,42-3-54,,1</v>
      </c>
      <c r="F2457" s="13"/>
      <c r="G2457" s="13" t="s">
        <v>74</v>
      </c>
      <c r="H2457" s="13" t="s">
        <v>75</v>
      </c>
      <c r="I2457" s="13"/>
      <c r="J2457" s="13"/>
      <c r="K2457" s="15"/>
      <c r="L2457" s="15"/>
      <c r="M2457" s="16"/>
      <c r="N2457" s="37"/>
      <c r="O2457" s="17">
        <v>1.0</v>
      </c>
      <c r="P2457" s="17">
        <v>1.0</v>
      </c>
      <c r="Q2457" s="13"/>
      <c r="R2457" s="13"/>
      <c r="S2457" s="13"/>
      <c r="T2457" s="13">
        <f t="shared" ref="T2457:V2457" si="2681">IF(ISBLANK(K2457)=TRUE,0,1)</f>
        <v>0</v>
      </c>
      <c r="U2457" s="13">
        <f t="shared" si="2681"/>
        <v>0</v>
      </c>
      <c r="V2457" s="13">
        <f t="shared" si="2681"/>
        <v>0</v>
      </c>
      <c r="W2457" s="13">
        <f t="shared" ref="W2457:X2457" si="2682">IF(ISBLANK(O2457)=TRUE,0,1)</f>
        <v>1</v>
      </c>
      <c r="X2457" s="13">
        <f t="shared" si="2682"/>
        <v>1</v>
      </c>
      <c r="Y2457" s="13">
        <f t="shared" si="2678"/>
        <v>1</v>
      </c>
      <c r="Z2457" s="13">
        <f t="shared" si="1998"/>
        <v>1</v>
      </c>
      <c r="AA2457" s="13"/>
      <c r="AB2457" s="13"/>
      <c r="AC2457" s="13"/>
      <c r="AD2457" s="13"/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</row>
    <row r="2458" ht="14.25" hidden="1" customHeight="1">
      <c r="A2458" s="13" t="s">
        <v>29</v>
      </c>
      <c r="B2458" s="13" t="s">
        <v>30</v>
      </c>
      <c r="C2458" s="13" t="s">
        <v>1492</v>
      </c>
      <c r="D2458" s="13"/>
      <c r="E2458" s="13" t="str">
        <f t="shared" si="2395"/>
        <v>SJC,42-3-55,,1</v>
      </c>
      <c r="F2458" s="13"/>
      <c r="G2458" s="13" t="s">
        <v>74</v>
      </c>
      <c r="H2458" s="13" t="s">
        <v>75</v>
      </c>
      <c r="I2458" s="13"/>
      <c r="J2458" s="13"/>
      <c r="K2458" s="15"/>
      <c r="L2458" s="15"/>
      <c r="M2458" s="16"/>
      <c r="N2458" s="37"/>
      <c r="O2458" s="17">
        <v>1.0</v>
      </c>
      <c r="P2458" s="17">
        <v>1.0</v>
      </c>
      <c r="Q2458" s="13"/>
      <c r="R2458" s="13"/>
      <c r="S2458" s="13"/>
      <c r="T2458" s="13">
        <f t="shared" ref="T2458:V2458" si="2683">IF(ISBLANK(K2458)=TRUE,0,1)</f>
        <v>0</v>
      </c>
      <c r="U2458" s="13">
        <f t="shared" si="2683"/>
        <v>0</v>
      </c>
      <c r="V2458" s="13">
        <f t="shared" si="2683"/>
        <v>0</v>
      </c>
      <c r="W2458" s="13">
        <f t="shared" ref="W2458:X2458" si="2684">IF(ISBLANK(O2458)=TRUE,0,1)</f>
        <v>1</v>
      </c>
      <c r="X2458" s="13">
        <f t="shared" si="2684"/>
        <v>1</v>
      </c>
      <c r="Y2458" s="13">
        <f t="shared" si="2678"/>
        <v>1</v>
      </c>
      <c r="Z2458" s="13">
        <f t="shared" si="1998"/>
        <v>1</v>
      </c>
      <c r="AA2458" s="13"/>
      <c r="AB2458" s="13"/>
      <c r="AC2458" s="13"/>
      <c r="AD2458" s="13"/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</row>
    <row r="2459" ht="14.25" hidden="1" customHeight="1">
      <c r="A2459" s="13" t="s">
        <v>29</v>
      </c>
      <c r="B2459" s="13" t="s">
        <v>30</v>
      </c>
      <c r="C2459" s="13" t="s">
        <v>1493</v>
      </c>
      <c r="D2459" s="13"/>
      <c r="E2459" s="13" t="str">
        <f t="shared" si="2395"/>
        <v>SJC,42-3-56,,1</v>
      </c>
      <c r="F2459" s="13"/>
      <c r="G2459" s="13" t="s">
        <v>74</v>
      </c>
      <c r="H2459" s="13" t="s">
        <v>75</v>
      </c>
      <c r="I2459" s="13"/>
      <c r="J2459" s="13"/>
      <c r="K2459" s="15"/>
      <c r="L2459" s="15"/>
      <c r="M2459" s="16"/>
      <c r="N2459" s="37"/>
      <c r="O2459" s="17">
        <v>1.0</v>
      </c>
      <c r="P2459" s="17">
        <v>1.0</v>
      </c>
      <c r="Q2459" s="13"/>
      <c r="R2459" s="13"/>
      <c r="S2459" s="13"/>
      <c r="T2459" s="13">
        <f t="shared" ref="T2459:V2459" si="2685">IF(ISBLANK(K2459)=TRUE,0,1)</f>
        <v>0</v>
      </c>
      <c r="U2459" s="13">
        <f t="shared" si="2685"/>
        <v>0</v>
      </c>
      <c r="V2459" s="13">
        <f t="shared" si="2685"/>
        <v>0</v>
      </c>
      <c r="W2459" s="13">
        <f t="shared" ref="W2459:X2459" si="2686">IF(ISBLANK(O2459)=TRUE,0,1)</f>
        <v>1</v>
      </c>
      <c r="X2459" s="13">
        <f t="shared" si="2686"/>
        <v>1</v>
      </c>
      <c r="Y2459" s="13">
        <f t="shared" si="2678"/>
        <v>1</v>
      </c>
      <c r="Z2459" s="13">
        <f t="shared" si="1998"/>
        <v>1</v>
      </c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</row>
    <row r="2460" ht="14.25" hidden="1" customHeight="1">
      <c r="A2460" s="13" t="s">
        <v>29</v>
      </c>
      <c r="B2460" s="13" t="s">
        <v>30</v>
      </c>
      <c r="C2460" s="13" t="s">
        <v>1494</v>
      </c>
      <c r="D2460" s="13"/>
      <c r="E2460" s="13" t="str">
        <f t="shared" si="2395"/>
        <v>SJC,42-3-57,,1</v>
      </c>
      <c r="F2460" s="13"/>
      <c r="G2460" s="13" t="s">
        <v>74</v>
      </c>
      <c r="H2460" s="13" t="s">
        <v>75</v>
      </c>
      <c r="I2460" s="13"/>
      <c r="J2460" s="13"/>
      <c r="K2460" s="15"/>
      <c r="L2460" s="15"/>
      <c r="M2460" s="16"/>
      <c r="N2460" s="37"/>
      <c r="O2460" s="17">
        <v>1.0</v>
      </c>
      <c r="P2460" s="17">
        <v>1.0</v>
      </c>
      <c r="Q2460" s="13"/>
      <c r="R2460" s="13"/>
      <c r="S2460" s="13"/>
      <c r="T2460" s="13">
        <f t="shared" ref="T2460:V2460" si="2687">IF(ISBLANK(K2460)=TRUE,0,1)</f>
        <v>0</v>
      </c>
      <c r="U2460" s="13">
        <f t="shared" si="2687"/>
        <v>0</v>
      </c>
      <c r="V2460" s="13">
        <f t="shared" si="2687"/>
        <v>0</v>
      </c>
      <c r="W2460" s="13">
        <f t="shared" ref="W2460:X2460" si="2688">IF(ISBLANK(O2460)=TRUE,0,1)</f>
        <v>1</v>
      </c>
      <c r="X2460" s="13">
        <f t="shared" si="2688"/>
        <v>1</v>
      </c>
      <c r="Y2460" s="13">
        <f t="shared" si="2678"/>
        <v>1</v>
      </c>
      <c r="Z2460" s="13">
        <f t="shared" si="1998"/>
        <v>1</v>
      </c>
      <c r="AA2460" s="13"/>
      <c r="AB2460" s="13"/>
      <c r="AC2460" s="13"/>
      <c r="AD2460" s="13"/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</row>
    <row r="2461" ht="14.25" hidden="1" customHeight="1">
      <c r="A2461" s="13" t="s">
        <v>29</v>
      </c>
      <c r="B2461" s="13" t="s">
        <v>30</v>
      </c>
      <c r="C2461" s="13" t="s">
        <v>1495</v>
      </c>
      <c r="D2461" s="13"/>
      <c r="E2461" s="13" t="str">
        <f t="shared" si="2395"/>
        <v>SJC,42-3-58,,1</v>
      </c>
      <c r="F2461" s="13"/>
      <c r="G2461" s="13" t="s">
        <v>74</v>
      </c>
      <c r="H2461" s="13" t="s">
        <v>75</v>
      </c>
      <c r="I2461" s="13"/>
      <c r="J2461" s="13"/>
      <c r="K2461" s="15"/>
      <c r="L2461" s="15"/>
      <c r="M2461" s="16"/>
      <c r="N2461" s="37"/>
      <c r="O2461" s="17">
        <v>1.0</v>
      </c>
      <c r="P2461" s="17">
        <v>1.0</v>
      </c>
      <c r="Q2461" s="13"/>
      <c r="R2461" s="13"/>
      <c r="S2461" s="13"/>
      <c r="T2461" s="13">
        <f t="shared" ref="T2461:V2461" si="2689">IF(ISBLANK(K2461)=TRUE,0,1)</f>
        <v>0</v>
      </c>
      <c r="U2461" s="13">
        <f t="shared" si="2689"/>
        <v>0</v>
      </c>
      <c r="V2461" s="13">
        <f t="shared" si="2689"/>
        <v>0</v>
      </c>
      <c r="W2461" s="13">
        <f t="shared" ref="W2461:X2461" si="2690">IF(ISBLANK(O2461)=TRUE,0,1)</f>
        <v>1</v>
      </c>
      <c r="X2461" s="13">
        <f t="shared" si="2690"/>
        <v>1</v>
      </c>
      <c r="Y2461" s="13">
        <f t="shared" si="2678"/>
        <v>1</v>
      </c>
      <c r="Z2461" s="13">
        <f t="shared" si="1998"/>
        <v>1</v>
      </c>
      <c r="AA2461" s="13"/>
      <c r="AB2461" s="13"/>
      <c r="AC2461" s="13"/>
      <c r="AD2461" s="13"/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</row>
    <row r="2462" ht="14.25" hidden="1" customHeight="1">
      <c r="A2462" s="13" t="s">
        <v>29</v>
      </c>
      <c r="B2462" s="13" t="s">
        <v>30</v>
      </c>
      <c r="C2462" s="13" t="s">
        <v>1496</v>
      </c>
      <c r="D2462" s="13"/>
      <c r="E2462" s="13" t="str">
        <f t="shared" si="2395"/>
        <v>SJC,42-3-59,,1</v>
      </c>
      <c r="F2462" s="13"/>
      <c r="G2462" s="13" t="s">
        <v>74</v>
      </c>
      <c r="H2462" s="13" t="s">
        <v>75</v>
      </c>
      <c r="I2462" s="13"/>
      <c r="J2462" s="13"/>
      <c r="K2462" s="15"/>
      <c r="L2462" s="15"/>
      <c r="M2462" s="16"/>
      <c r="N2462" s="37"/>
      <c r="O2462" s="17">
        <v>1.0</v>
      </c>
      <c r="P2462" s="17">
        <v>1.0</v>
      </c>
      <c r="Q2462" s="13"/>
      <c r="R2462" s="13"/>
      <c r="S2462" s="13"/>
      <c r="T2462" s="13">
        <f t="shared" ref="T2462:V2462" si="2691">IF(ISBLANK(K2462)=TRUE,0,1)</f>
        <v>0</v>
      </c>
      <c r="U2462" s="13">
        <f t="shared" si="2691"/>
        <v>0</v>
      </c>
      <c r="V2462" s="13">
        <f t="shared" si="2691"/>
        <v>0</v>
      </c>
      <c r="W2462" s="13">
        <f t="shared" ref="W2462:X2462" si="2692">IF(ISBLANK(O2462)=TRUE,0,1)</f>
        <v>1</v>
      </c>
      <c r="X2462" s="13">
        <f t="shared" si="2692"/>
        <v>1</v>
      </c>
      <c r="Y2462" s="13">
        <f t="shared" si="2678"/>
        <v>1</v>
      </c>
      <c r="Z2462" s="13">
        <f t="shared" si="1998"/>
        <v>1</v>
      </c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</row>
    <row r="2463" ht="14.25" hidden="1" customHeight="1">
      <c r="A2463" s="13" t="s">
        <v>29</v>
      </c>
      <c r="B2463" s="13" t="s">
        <v>30</v>
      </c>
      <c r="C2463" s="13" t="s">
        <v>1497</v>
      </c>
      <c r="D2463" s="13"/>
      <c r="E2463" s="13" t="str">
        <f t="shared" si="2395"/>
        <v>SJC,42-3-6,,1</v>
      </c>
      <c r="F2463" s="13"/>
      <c r="G2463" s="13" t="s">
        <v>74</v>
      </c>
      <c r="H2463" s="13" t="s">
        <v>75</v>
      </c>
      <c r="I2463" s="13"/>
      <c r="J2463" s="13"/>
      <c r="K2463" s="15"/>
      <c r="L2463" s="15"/>
      <c r="M2463" s="16"/>
      <c r="N2463" s="16"/>
      <c r="O2463" s="17">
        <v>1.0</v>
      </c>
      <c r="P2463" s="17">
        <v>1.0</v>
      </c>
      <c r="Q2463" s="13"/>
      <c r="R2463" s="29">
        <v>45007.0</v>
      </c>
      <c r="S2463" s="13"/>
      <c r="T2463" s="13">
        <f t="shared" ref="T2463:Y2463" si="2693">IF(ISBLANK(K2463)=TRUE,0,1)</f>
        <v>0</v>
      </c>
      <c r="U2463" s="13">
        <f t="shared" si="2693"/>
        <v>0</v>
      </c>
      <c r="V2463" s="13">
        <f t="shared" si="2693"/>
        <v>0</v>
      </c>
      <c r="W2463" s="13">
        <f t="shared" si="2693"/>
        <v>0</v>
      </c>
      <c r="X2463" s="13">
        <f t="shared" si="2693"/>
        <v>1</v>
      </c>
      <c r="Y2463" s="13">
        <f t="shared" si="2693"/>
        <v>1</v>
      </c>
      <c r="Z2463" s="13">
        <f t="shared" si="1998"/>
        <v>1</v>
      </c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</row>
    <row r="2464" ht="14.25" hidden="1" customHeight="1">
      <c r="A2464" s="13" t="s">
        <v>29</v>
      </c>
      <c r="B2464" s="13" t="s">
        <v>30</v>
      </c>
      <c r="C2464" s="13" t="s">
        <v>1498</v>
      </c>
      <c r="D2464" s="13"/>
      <c r="E2464" s="13" t="str">
        <f t="shared" si="2395"/>
        <v>SJC,42-3-60,,1</v>
      </c>
      <c r="F2464" s="13"/>
      <c r="G2464" s="13" t="s">
        <v>74</v>
      </c>
      <c r="H2464" s="13" t="s">
        <v>75</v>
      </c>
      <c r="I2464" s="13"/>
      <c r="J2464" s="13"/>
      <c r="K2464" s="15"/>
      <c r="L2464" s="15"/>
      <c r="M2464" s="16"/>
      <c r="N2464" s="37"/>
      <c r="O2464" s="17">
        <v>1.0</v>
      </c>
      <c r="P2464" s="17">
        <v>1.0</v>
      </c>
      <c r="Q2464" s="13"/>
      <c r="R2464" s="13"/>
      <c r="S2464" s="13"/>
      <c r="T2464" s="13">
        <f t="shared" ref="T2464:V2464" si="2694">IF(ISBLANK(K2464)=TRUE,0,1)</f>
        <v>0</v>
      </c>
      <c r="U2464" s="13">
        <f t="shared" si="2694"/>
        <v>0</v>
      </c>
      <c r="V2464" s="13">
        <f t="shared" si="2694"/>
        <v>0</v>
      </c>
      <c r="W2464" s="13">
        <f t="shared" ref="W2464:X2464" si="2695">IF(ISBLANK(O2464)=TRUE,0,1)</f>
        <v>1</v>
      </c>
      <c r="X2464" s="13">
        <f t="shared" si="2695"/>
        <v>1</v>
      </c>
      <c r="Y2464" s="13">
        <f t="shared" ref="Y2464:Y2469" si="2698">IF(ISBLANK(#REF!)=TRUE,0,1)</f>
        <v>1</v>
      </c>
      <c r="Z2464" s="13">
        <f t="shared" si="1998"/>
        <v>1</v>
      </c>
      <c r="AA2464" s="13"/>
      <c r="AB2464" s="13"/>
      <c r="AC2464" s="13"/>
      <c r="AD2464" s="13"/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</row>
    <row r="2465" ht="14.25" hidden="1" customHeight="1">
      <c r="A2465" s="13" t="s">
        <v>29</v>
      </c>
      <c r="B2465" s="13" t="s">
        <v>30</v>
      </c>
      <c r="C2465" s="13" t="s">
        <v>1499</v>
      </c>
      <c r="D2465" s="13"/>
      <c r="E2465" s="13" t="str">
        <f t="shared" si="2395"/>
        <v>SJC,42-3-61,,1</v>
      </c>
      <c r="F2465" s="13"/>
      <c r="G2465" s="13" t="s">
        <v>74</v>
      </c>
      <c r="H2465" s="13" t="s">
        <v>75</v>
      </c>
      <c r="I2465" s="13"/>
      <c r="J2465" s="13"/>
      <c r="K2465" s="15"/>
      <c r="L2465" s="15"/>
      <c r="M2465" s="16"/>
      <c r="N2465" s="37"/>
      <c r="O2465" s="17">
        <v>1.0</v>
      </c>
      <c r="P2465" s="17">
        <v>1.0</v>
      </c>
      <c r="Q2465" s="13"/>
      <c r="R2465" s="13"/>
      <c r="S2465" s="13"/>
      <c r="T2465" s="13">
        <f t="shared" ref="T2465:V2465" si="2696">IF(ISBLANK(K2465)=TRUE,0,1)</f>
        <v>0</v>
      </c>
      <c r="U2465" s="13">
        <f t="shared" si="2696"/>
        <v>0</v>
      </c>
      <c r="V2465" s="13">
        <f t="shared" si="2696"/>
        <v>0</v>
      </c>
      <c r="W2465" s="13">
        <f t="shared" ref="W2465:X2465" si="2697">IF(ISBLANK(O2465)=TRUE,0,1)</f>
        <v>1</v>
      </c>
      <c r="X2465" s="13">
        <f t="shared" si="2697"/>
        <v>1</v>
      </c>
      <c r="Y2465" s="13">
        <f t="shared" si="2698"/>
        <v>1</v>
      </c>
      <c r="Z2465" s="13">
        <f t="shared" si="1998"/>
        <v>1</v>
      </c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3"/>
      <c r="AS2465" s="13"/>
    </row>
    <row r="2466" ht="14.25" hidden="1" customHeight="1">
      <c r="A2466" s="13" t="s">
        <v>29</v>
      </c>
      <c r="B2466" s="13" t="s">
        <v>30</v>
      </c>
      <c r="C2466" s="13" t="s">
        <v>1500</v>
      </c>
      <c r="D2466" s="13"/>
      <c r="E2466" s="13" t="str">
        <f t="shared" si="2395"/>
        <v>SJC,42-3-62,,1</v>
      </c>
      <c r="F2466" s="13"/>
      <c r="G2466" s="13" t="s">
        <v>74</v>
      </c>
      <c r="H2466" s="13" t="s">
        <v>75</v>
      </c>
      <c r="I2466" s="13"/>
      <c r="J2466" s="13"/>
      <c r="K2466" s="15"/>
      <c r="L2466" s="15"/>
      <c r="M2466" s="16"/>
      <c r="N2466" s="37"/>
      <c r="O2466" s="17">
        <v>1.0</v>
      </c>
      <c r="P2466" s="17">
        <v>1.0</v>
      </c>
      <c r="Q2466" s="13"/>
      <c r="R2466" s="13"/>
      <c r="S2466" s="13"/>
      <c r="T2466" s="13">
        <f t="shared" ref="T2466:V2466" si="2699">IF(ISBLANK(K2466)=TRUE,0,1)</f>
        <v>0</v>
      </c>
      <c r="U2466" s="13">
        <f t="shared" si="2699"/>
        <v>0</v>
      </c>
      <c r="V2466" s="13">
        <f t="shared" si="2699"/>
        <v>0</v>
      </c>
      <c r="W2466" s="13">
        <f t="shared" ref="W2466:X2466" si="2700">IF(ISBLANK(O2466)=TRUE,0,1)</f>
        <v>1</v>
      </c>
      <c r="X2466" s="13">
        <f t="shared" si="2700"/>
        <v>1</v>
      </c>
      <c r="Y2466" s="13">
        <f t="shared" si="2698"/>
        <v>1</v>
      </c>
      <c r="Z2466" s="13">
        <f t="shared" si="1998"/>
        <v>1</v>
      </c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</row>
    <row r="2467" ht="14.25" hidden="1" customHeight="1">
      <c r="A2467" s="13" t="s">
        <v>29</v>
      </c>
      <c r="B2467" s="13" t="s">
        <v>30</v>
      </c>
      <c r="C2467" s="13" t="s">
        <v>1501</v>
      </c>
      <c r="D2467" s="13"/>
      <c r="E2467" s="13" t="str">
        <f t="shared" si="2395"/>
        <v>SJC,42-3-63,,1</v>
      </c>
      <c r="F2467" s="13"/>
      <c r="G2467" s="13" t="s">
        <v>74</v>
      </c>
      <c r="H2467" s="13" t="s">
        <v>75</v>
      </c>
      <c r="I2467" s="13"/>
      <c r="J2467" s="13"/>
      <c r="K2467" s="15"/>
      <c r="L2467" s="15"/>
      <c r="M2467" s="16"/>
      <c r="N2467" s="37"/>
      <c r="O2467" s="17">
        <v>1.0</v>
      </c>
      <c r="P2467" s="17">
        <v>1.0</v>
      </c>
      <c r="Q2467" s="13"/>
      <c r="R2467" s="13"/>
      <c r="S2467" s="13"/>
      <c r="T2467" s="13">
        <f t="shared" ref="T2467:V2467" si="2701">IF(ISBLANK(K2467)=TRUE,0,1)</f>
        <v>0</v>
      </c>
      <c r="U2467" s="13">
        <f t="shared" si="2701"/>
        <v>0</v>
      </c>
      <c r="V2467" s="13">
        <f t="shared" si="2701"/>
        <v>0</v>
      </c>
      <c r="W2467" s="13">
        <f t="shared" ref="W2467:X2467" si="2702">IF(ISBLANK(O2467)=TRUE,0,1)</f>
        <v>1</v>
      </c>
      <c r="X2467" s="13">
        <f t="shared" si="2702"/>
        <v>1</v>
      </c>
      <c r="Y2467" s="13">
        <f t="shared" si="2698"/>
        <v>1</v>
      </c>
      <c r="Z2467" s="13">
        <f t="shared" si="1998"/>
        <v>1</v>
      </c>
      <c r="AA2467" s="13"/>
      <c r="AB2467" s="13"/>
      <c r="AC2467" s="13"/>
      <c r="AD2467" s="13"/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</row>
    <row r="2468" ht="14.25" hidden="1" customHeight="1">
      <c r="A2468" s="13" t="s">
        <v>29</v>
      </c>
      <c r="B2468" s="13" t="s">
        <v>30</v>
      </c>
      <c r="C2468" s="13" t="s">
        <v>1502</v>
      </c>
      <c r="D2468" s="13"/>
      <c r="E2468" s="13" t="str">
        <f t="shared" si="2395"/>
        <v>SJC,42-3-64,,1</v>
      </c>
      <c r="F2468" s="13"/>
      <c r="G2468" s="13" t="s">
        <v>74</v>
      </c>
      <c r="H2468" s="13" t="s">
        <v>75</v>
      </c>
      <c r="I2468" s="13"/>
      <c r="J2468" s="13"/>
      <c r="K2468" s="15"/>
      <c r="L2468" s="15"/>
      <c r="M2468" s="16"/>
      <c r="N2468" s="37"/>
      <c r="O2468" s="17">
        <v>1.0</v>
      </c>
      <c r="P2468" s="17">
        <v>1.0</v>
      </c>
      <c r="Q2468" s="13"/>
      <c r="R2468" s="13"/>
      <c r="S2468" s="13"/>
      <c r="T2468" s="13">
        <f t="shared" ref="T2468:V2468" si="2703">IF(ISBLANK(K2468)=TRUE,0,1)</f>
        <v>0</v>
      </c>
      <c r="U2468" s="13">
        <f t="shared" si="2703"/>
        <v>0</v>
      </c>
      <c r="V2468" s="13">
        <f t="shared" si="2703"/>
        <v>0</v>
      </c>
      <c r="W2468" s="13">
        <f t="shared" ref="W2468:X2468" si="2704">IF(ISBLANK(O2468)=TRUE,0,1)</f>
        <v>1</v>
      </c>
      <c r="X2468" s="13">
        <f t="shared" si="2704"/>
        <v>1</v>
      </c>
      <c r="Y2468" s="13">
        <f t="shared" si="2698"/>
        <v>1</v>
      </c>
      <c r="Z2468" s="13">
        <f t="shared" si="1998"/>
        <v>1</v>
      </c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</row>
    <row r="2469" ht="14.25" hidden="1" customHeight="1">
      <c r="A2469" s="13" t="s">
        <v>29</v>
      </c>
      <c r="B2469" s="13" t="s">
        <v>30</v>
      </c>
      <c r="C2469" s="13" t="s">
        <v>1503</v>
      </c>
      <c r="D2469" s="13"/>
      <c r="E2469" s="13" t="str">
        <f t="shared" si="2395"/>
        <v>SJC,42-3-65,,1</v>
      </c>
      <c r="F2469" s="13"/>
      <c r="G2469" s="13" t="s">
        <v>74</v>
      </c>
      <c r="H2469" s="13" t="s">
        <v>75</v>
      </c>
      <c r="I2469" s="13"/>
      <c r="J2469" s="13"/>
      <c r="K2469" s="15"/>
      <c r="L2469" s="15"/>
      <c r="M2469" s="16"/>
      <c r="N2469" s="37"/>
      <c r="O2469" s="17">
        <v>1.0</v>
      </c>
      <c r="P2469" s="17">
        <v>1.0</v>
      </c>
      <c r="Q2469" s="13"/>
      <c r="R2469" s="13"/>
      <c r="S2469" s="13"/>
      <c r="T2469" s="13">
        <f t="shared" ref="T2469:V2469" si="2705">IF(ISBLANK(K2469)=TRUE,0,1)</f>
        <v>0</v>
      </c>
      <c r="U2469" s="13">
        <f t="shared" si="2705"/>
        <v>0</v>
      </c>
      <c r="V2469" s="13">
        <f t="shared" si="2705"/>
        <v>0</v>
      </c>
      <c r="W2469" s="13">
        <f t="shared" ref="W2469:X2469" si="2706">IF(ISBLANK(O2469)=TRUE,0,1)</f>
        <v>1</v>
      </c>
      <c r="X2469" s="13">
        <f t="shared" si="2706"/>
        <v>1</v>
      </c>
      <c r="Y2469" s="13">
        <f t="shared" si="2698"/>
        <v>1</v>
      </c>
      <c r="Z2469" s="13">
        <f t="shared" si="1998"/>
        <v>1</v>
      </c>
      <c r="AA2469" s="13"/>
      <c r="AB2469" s="13"/>
      <c r="AC2469" s="13"/>
      <c r="AD2469" s="13"/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</row>
    <row r="2470" ht="14.25" hidden="1" customHeight="1">
      <c r="A2470" s="13" t="s">
        <v>29</v>
      </c>
      <c r="B2470" s="13" t="s">
        <v>30</v>
      </c>
      <c r="C2470" s="13" t="s">
        <v>1504</v>
      </c>
      <c r="D2470" s="13"/>
      <c r="E2470" s="13" t="str">
        <f t="shared" si="2395"/>
        <v>SJC,42-3-7,,1</v>
      </c>
      <c r="F2470" s="13"/>
      <c r="G2470" s="13" t="s">
        <v>74</v>
      </c>
      <c r="H2470" s="13" t="s">
        <v>75</v>
      </c>
      <c r="I2470" s="13"/>
      <c r="J2470" s="13"/>
      <c r="K2470" s="15"/>
      <c r="L2470" s="15"/>
      <c r="M2470" s="16"/>
      <c r="N2470" s="16"/>
      <c r="O2470" s="17">
        <v>1.0</v>
      </c>
      <c r="P2470" s="17">
        <v>1.0</v>
      </c>
      <c r="Q2470" s="13"/>
      <c r="R2470" s="13"/>
      <c r="S2470" s="13"/>
      <c r="T2470" s="13">
        <f t="shared" ref="T2470:Y2470" si="2707">IF(ISBLANK(K2470)=TRUE,0,1)</f>
        <v>0</v>
      </c>
      <c r="U2470" s="13">
        <f t="shared" si="2707"/>
        <v>0</v>
      </c>
      <c r="V2470" s="13">
        <f t="shared" si="2707"/>
        <v>0</v>
      </c>
      <c r="W2470" s="13">
        <f t="shared" si="2707"/>
        <v>0</v>
      </c>
      <c r="X2470" s="13">
        <f t="shared" si="2707"/>
        <v>1</v>
      </c>
      <c r="Y2470" s="13">
        <f t="shared" si="2707"/>
        <v>1</v>
      </c>
      <c r="Z2470" s="13">
        <f t="shared" si="1998"/>
        <v>1</v>
      </c>
      <c r="AA2470" s="13"/>
      <c r="AB2470" s="13"/>
      <c r="AC2470" s="13"/>
      <c r="AD2470" s="13"/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</row>
    <row r="2471" ht="14.25" hidden="1" customHeight="1">
      <c r="A2471" s="13" t="s">
        <v>29</v>
      </c>
      <c r="B2471" s="13" t="s">
        <v>30</v>
      </c>
      <c r="C2471" s="13" t="s">
        <v>1505</v>
      </c>
      <c r="D2471" s="13"/>
      <c r="E2471" s="13" t="str">
        <f t="shared" si="2395"/>
        <v>SJC,42-3-8,,1</v>
      </c>
      <c r="F2471" s="13"/>
      <c r="G2471" s="13" t="s">
        <v>74</v>
      </c>
      <c r="H2471" s="13" t="s">
        <v>75</v>
      </c>
      <c r="I2471" s="13"/>
      <c r="J2471" s="13"/>
      <c r="K2471" s="15"/>
      <c r="L2471" s="15"/>
      <c r="M2471" s="16"/>
      <c r="N2471" s="16"/>
      <c r="O2471" s="17">
        <v>1.0</v>
      </c>
      <c r="P2471" s="17">
        <v>1.0</v>
      </c>
      <c r="Q2471" s="13"/>
      <c r="R2471" s="13"/>
      <c r="S2471" s="13"/>
      <c r="T2471" s="13">
        <f t="shared" ref="T2471:Y2471" si="2708">IF(ISBLANK(K2471)=TRUE,0,1)</f>
        <v>0</v>
      </c>
      <c r="U2471" s="13">
        <f t="shared" si="2708"/>
        <v>0</v>
      </c>
      <c r="V2471" s="13">
        <f t="shared" si="2708"/>
        <v>0</v>
      </c>
      <c r="W2471" s="13">
        <f t="shared" si="2708"/>
        <v>0</v>
      </c>
      <c r="X2471" s="13">
        <f t="shared" si="2708"/>
        <v>1</v>
      </c>
      <c r="Y2471" s="13">
        <f t="shared" si="2708"/>
        <v>1</v>
      </c>
      <c r="Z2471" s="13">
        <f t="shared" si="1998"/>
        <v>1</v>
      </c>
      <c r="AA2471" s="13"/>
      <c r="AB2471" s="13"/>
      <c r="AC2471" s="13"/>
      <c r="AD2471" s="13"/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</row>
    <row r="2472" ht="14.25" hidden="1" customHeight="1">
      <c r="A2472" s="13" t="s">
        <v>29</v>
      </c>
      <c r="B2472" s="13" t="s">
        <v>30</v>
      </c>
      <c r="C2472" s="13" t="s">
        <v>1506</v>
      </c>
      <c r="D2472" s="13"/>
      <c r="E2472" s="13" t="str">
        <f t="shared" si="2395"/>
        <v>SJC,42-3-9,,1</v>
      </c>
      <c r="F2472" s="13"/>
      <c r="G2472" s="13" t="s">
        <v>74</v>
      </c>
      <c r="H2472" s="13" t="s">
        <v>75</v>
      </c>
      <c r="I2472" s="13"/>
      <c r="J2472" s="13"/>
      <c r="K2472" s="15"/>
      <c r="L2472" s="15"/>
      <c r="M2472" s="16"/>
      <c r="N2472" s="16"/>
      <c r="O2472" s="17">
        <v>1.0</v>
      </c>
      <c r="P2472" s="17">
        <v>1.0</v>
      </c>
      <c r="Q2472" s="13"/>
      <c r="R2472" s="13"/>
      <c r="S2472" s="13"/>
      <c r="T2472" s="13">
        <f t="shared" ref="T2472:Y2472" si="2709">IF(ISBLANK(K2472)=TRUE,0,1)</f>
        <v>0</v>
      </c>
      <c r="U2472" s="13">
        <f t="shared" si="2709"/>
        <v>0</v>
      </c>
      <c r="V2472" s="13">
        <f t="shared" si="2709"/>
        <v>0</v>
      </c>
      <c r="W2472" s="13">
        <f t="shared" si="2709"/>
        <v>0</v>
      </c>
      <c r="X2472" s="13">
        <f t="shared" si="2709"/>
        <v>1</v>
      </c>
      <c r="Y2472" s="13">
        <f t="shared" si="2709"/>
        <v>1</v>
      </c>
      <c r="Z2472" s="13">
        <f t="shared" si="1998"/>
        <v>1</v>
      </c>
      <c r="AA2472" s="13"/>
      <c r="AB2472" s="13"/>
      <c r="AC2472" s="13"/>
      <c r="AD2472" s="13"/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</row>
    <row r="2473" ht="14.25" hidden="1" customHeight="1">
      <c r="A2473" s="13" t="s">
        <v>29</v>
      </c>
      <c r="B2473" s="13" t="s">
        <v>30</v>
      </c>
      <c r="C2473" s="13" t="s">
        <v>1507</v>
      </c>
      <c r="D2473" s="13"/>
      <c r="E2473" s="13" t="str">
        <f t="shared" si="2395"/>
        <v>SJC,42-4-1,,0</v>
      </c>
      <c r="F2473" s="13"/>
      <c r="G2473" s="13" t="s">
        <v>111</v>
      </c>
      <c r="H2473" s="13" t="s">
        <v>75</v>
      </c>
      <c r="I2473" s="13"/>
      <c r="J2473" s="13"/>
      <c r="K2473" s="15"/>
      <c r="L2473" s="15"/>
      <c r="M2473" s="16"/>
      <c r="N2473" s="16"/>
      <c r="O2473" s="17">
        <v>0.0</v>
      </c>
      <c r="P2473" s="17">
        <v>0.0</v>
      </c>
      <c r="Q2473" s="13"/>
      <c r="R2473" s="13"/>
      <c r="S2473" s="13"/>
      <c r="T2473" s="13">
        <f t="shared" ref="T2473:Y2473" si="2710">IF(ISBLANK(K2473)=TRUE,0,1)</f>
        <v>0</v>
      </c>
      <c r="U2473" s="13">
        <f t="shared" si="2710"/>
        <v>0</v>
      </c>
      <c r="V2473" s="13">
        <f t="shared" si="2710"/>
        <v>0</v>
      </c>
      <c r="W2473" s="13">
        <f t="shared" si="2710"/>
        <v>0</v>
      </c>
      <c r="X2473" s="13">
        <f t="shared" si="2710"/>
        <v>1</v>
      </c>
      <c r="Y2473" s="13">
        <f t="shared" si="2710"/>
        <v>1</v>
      </c>
      <c r="Z2473" s="13">
        <f t="shared" si="1998"/>
        <v>0</v>
      </c>
      <c r="AA2473" s="13"/>
      <c r="AB2473" s="13"/>
      <c r="AC2473" s="13"/>
      <c r="AD2473" s="13"/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</row>
    <row r="2474" ht="14.25" hidden="1" customHeight="1">
      <c r="A2474" s="13" t="s">
        <v>29</v>
      </c>
      <c r="B2474" s="13" t="s">
        <v>30</v>
      </c>
      <c r="C2474" s="13" t="s">
        <v>1508</v>
      </c>
      <c r="D2474" s="13"/>
      <c r="E2474" s="13" t="str">
        <f t="shared" si="2395"/>
        <v>SJC,42-4-10,,NA</v>
      </c>
      <c r="F2474" s="13"/>
      <c r="G2474" s="13" t="s">
        <v>111</v>
      </c>
      <c r="H2474" s="13" t="s">
        <v>75</v>
      </c>
      <c r="I2474" s="13"/>
      <c r="J2474" s="13"/>
      <c r="K2474" s="15"/>
      <c r="L2474" s="15"/>
      <c r="M2474" s="16"/>
      <c r="N2474" s="16"/>
      <c r="O2474" s="17"/>
      <c r="P2474" s="17"/>
      <c r="Q2474" s="13"/>
      <c r="R2474" s="13"/>
      <c r="S2474" s="13"/>
      <c r="T2474" s="13">
        <f t="shared" ref="T2474:Y2474" si="2711">IF(ISBLANK(K2474)=TRUE,0,1)</f>
        <v>0</v>
      </c>
      <c r="U2474" s="13">
        <f t="shared" si="2711"/>
        <v>0</v>
      </c>
      <c r="V2474" s="13">
        <f t="shared" si="2711"/>
        <v>0</v>
      </c>
      <c r="W2474" s="13">
        <f t="shared" si="2711"/>
        <v>0</v>
      </c>
      <c r="X2474" s="13">
        <f t="shared" si="2711"/>
        <v>0</v>
      </c>
      <c r="Y2474" s="13">
        <f t="shared" si="2711"/>
        <v>0</v>
      </c>
      <c r="Z2474" s="13" t="str">
        <f t="shared" si="1998"/>
        <v>NA</v>
      </c>
      <c r="AA2474" s="13"/>
      <c r="AB2474" s="13"/>
      <c r="AC2474" s="13"/>
      <c r="AD2474" s="13"/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</row>
    <row r="2475" ht="14.25" hidden="1" customHeight="1">
      <c r="A2475" s="13" t="s">
        <v>29</v>
      </c>
      <c r="B2475" s="13" t="s">
        <v>30</v>
      </c>
      <c r="C2475" s="13" t="s">
        <v>1509</v>
      </c>
      <c r="D2475" s="13"/>
      <c r="E2475" s="13" t="str">
        <f t="shared" si="2395"/>
        <v>SJC,42-4-100,,0</v>
      </c>
      <c r="F2475" s="13"/>
      <c r="G2475" s="13" t="s">
        <v>111</v>
      </c>
      <c r="H2475" s="13" t="s">
        <v>75</v>
      </c>
      <c r="I2475" s="13"/>
      <c r="J2475" s="13"/>
      <c r="K2475" s="15"/>
      <c r="L2475" s="15"/>
      <c r="M2475" s="16"/>
      <c r="N2475" s="16"/>
      <c r="O2475" s="17">
        <v>0.0</v>
      </c>
      <c r="P2475" s="17">
        <v>0.0</v>
      </c>
      <c r="Q2475" s="13"/>
      <c r="R2475" s="13"/>
      <c r="S2475" s="13"/>
      <c r="T2475" s="13">
        <f t="shared" ref="T2475:Y2475" si="2712">IF(ISBLANK(K2475)=TRUE,0,1)</f>
        <v>0</v>
      </c>
      <c r="U2475" s="13">
        <f t="shared" si="2712"/>
        <v>0</v>
      </c>
      <c r="V2475" s="13">
        <f t="shared" si="2712"/>
        <v>0</v>
      </c>
      <c r="W2475" s="13">
        <f t="shared" si="2712"/>
        <v>0</v>
      </c>
      <c r="X2475" s="13">
        <f t="shared" si="2712"/>
        <v>1</v>
      </c>
      <c r="Y2475" s="13">
        <f t="shared" si="2712"/>
        <v>1</v>
      </c>
      <c r="Z2475" s="13">
        <f t="shared" si="1998"/>
        <v>0</v>
      </c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</row>
    <row r="2476" ht="14.25" hidden="1" customHeight="1">
      <c r="A2476" s="13" t="s">
        <v>29</v>
      </c>
      <c r="B2476" s="13" t="s">
        <v>30</v>
      </c>
      <c r="C2476" s="13" t="s">
        <v>1510</v>
      </c>
      <c r="D2476" s="13"/>
      <c r="E2476" s="13" t="str">
        <f t="shared" si="2395"/>
        <v>SJC,42-4-101,,0</v>
      </c>
      <c r="F2476" s="13"/>
      <c r="G2476" s="13" t="s">
        <v>111</v>
      </c>
      <c r="H2476" s="13" t="s">
        <v>75</v>
      </c>
      <c r="I2476" s="13"/>
      <c r="J2476" s="13"/>
      <c r="K2476" s="15"/>
      <c r="L2476" s="15"/>
      <c r="M2476" s="16"/>
      <c r="N2476" s="16"/>
      <c r="O2476" s="17">
        <v>0.0</v>
      </c>
      <c r="P2476" s="17">
        <v>0.0</v>
      </c>
      <c r="Q2476" s="13"/>
      <c r="R2476" s="13"/>
      <c r="S2476" s="13"/>
      <c r="T2476" s="13">
        <f t="shared" ref="T2476:Y2476" si="2713">IF(ISBLANK(K2476)=TRUE,0,1)</f>
        <v>0</v>
      </c>
      <c r="U2476" s="13">
        <f t="shared" si="2713"/>
        <v>0</v>
      </c>
      <c r="V2476" s="13">
        <f t="shared" si="2713"/>
        <v>0</v>
      </c>
      <c r="W2476" s="13">
        <f t="shared" si="2713"/>
        <v>0</v>
      </c>
      <c r="X2476" s="13">
        <f t="shared" si="2713"/>
        <v>1</v>
      </c>
      <c r="Y2476" s="13">
        <f t="shared" si="2713"/>
        <v>1</v>
      </c>
      <c r="Z2476" s="13">
        <f t="shared" si="1998"/>
        <v>0</v>
      </c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</row>
    <row r="2477" ht="14.25" hidden="1" customHeight="1">
      <c r="A2477" s="13" t="s">
        <v>29</v>
      </c>
      <c r="B2477" s="13" t="s">
        <v>30</v>
      </c>
      <c r="C2477" s="13" t="s">
        <v>1511</v>
      </c>
      <c r="D2477" s="13"/>
      <c r="E2477" s="13" t="str">
        <f t="shared" si="2395"/>
        <v>SJC,42-4-102,,NA</v>
      </c>
      <c r="F2477" s="13"/>
      <c r="G2477" s="13" t="s">
        <v>111</v>
      </c>
      <c r="H2477" s="13" t="s">
        <v>107</v>
      </c>
      <c r="I2477" s="13"/>
      <c r="J2477" s="13"/>
      <c r="K2477" s="15"/>
      <c r="L2477" s="15"/>
      <c r="M2477" s="16"/>
      <c r="N2477" s="16"/>
      <c r="O2477" s="17"/>
      <c r="P2477" s="17"/>
      <c r="Q2477" s="13"/>
      <c r="R2477" s="13"/>
      <c r="S2477" s="13"/>
      <c r="T2477" s="13">
        <f t="shared" ref="T2477:Y2477" si="2714">IF(ISBLANK(K2477)=TRUE,0,1)</f>
        <v>0</v>
      </c>
      <c r="U2477" s="13">
        <f t="shared" si="2714"/>
        <v>0</v>
      </c>
      <c r="V2477" s="13">
        <f t="shared" si="2714"/>
        <v>0</v>
      </c>
      <c r="W2477" s="13">
        <f t="shared" si="2714"/>
        <v>0</v>
      </c>
      <c r="X2477" s="13">
        <f t="shared" si="2714"/>
        <v>0</v>
      </c>
      <c r="Y2477" s="13">
        <f t="shared" si="2714"/>
        <v>0</v>
      </c>
      <c r="Z2477" s="13" t="str">
        <f t="shared" si="1998"/>
        <v>NA</v>
      </c>
      <c r="AA2477" s="13"/>
      <c r="AB2477" s="13"/>
      <c r="AC2477" s="13"/>
      <c r="AD2477" s="13"/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</row>
    <row r="2478" ht="14.25" hidden="1" customHeight="1">
      <c r="A2478" s="13" t="s">
        <v>29</v>
      </c>
      <c r="B2478" s="13" t="s">
        <v>30</v>
      </c>
      <c r="C2478" s="13" t="s">
        <v>1512</v>
      </c>
      <c r="D2478" s="13"/>
      <c r="E2478" s="13" t="str">
        <f t="shared" si="2395"/>
        <v>SJC,42-4-103,,0</v>
      </c>
      <c r="F2478" s="13"/>
      <c r="G2478" s="13" t="s">
        <v>111</v>
      </c>
      <c r="H2478" s="13" t="s">
        <v>75</v>
      </c>
      <c r="I2478" s="13"/>
      <c r="J2478" s="13"/>
      <c r="K2478" s="15"/>
      <c r="L2478" s="15"/>
      <c r="M2478" s="16"/>
      <c r="N2478" s="16"/>
      <c r="O2478" s="17">
        <v>0.0</v>
      </c>
      <c r="P2478" s="17">
        <v>0.0</v>
      </c>
      <c r="Q2478" s="13"/>
      <c r="R2478" s="13"/>
      <c r="S2478" s="13"/>
      <c r="T2478" s="13">
        <f t="shared" ref="T2478:Y2478" si="2715">IF(ISBLANK(K2478)=TRUE,0,1)</f>
        <v>0</v>
      </c>
      <c r="U2478" s="13">
        <f t="shared" si="2715"/>
        <v>0</v>
      </c>
      <c r="V2478" s="13">
        <f t="shared" si="2715"/>
        <v>0</v>
      </c>
      <c r="W2478" s="13">
        <f t="shared" si="2715"/>
        <v>0</v>
      </c>
      <c r="X2478" s="13">
        <f t="shared" si="2715"/>
        <v>1</v>
      </c>
      <c r="Y2478" s="13">
        <f t="shared" si="2715"/>
        <v>1</v>
      </c>
      <c r="Z2478" s="13">
        <f t="shared" si="1998"/>
        <v>0</v>
      </c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</row>
    <row r="2479" ht="14.25" hidden="1" customHeight="1">
      <c r="A2479" s="13" t="s">
        <v>29</v>
      </c>
      <c r="B2479" s="13" t="s">
        <v>30</v>
      </c>
      <c r="C2479" s="13" t="s">
        <v>1513</v>
      </c>
      <c r="D2479" s="13"/>
      <c r="E2479" s="13" t="str">
        <f t="shared" si="2395"/>
        <v>SJC,42-4-104,,0</v>
      </c>
      <c r="F2479" s="13"/>
      <c r="G2479" s="13" t="s">
        <v>111</v>
      </c>
      <c r="H2479" s="13" t="s">
        <v>75</v>
      </c>
      <c r="I2479" s="13"/>
      <c r="J2479" s="13"/>
      <c r="K2479" s="15"/>
      <c r="L2479" s="15"/>
      <c r="M2479" s="16"/>
      <c r="N2479" s="16"/>
      <c r="O2479" s="17">
        <v>0.0</v>
      </c>
      <c r="P2479" s="17">
        <v>0.0</v>
      </c>
      <c r="Q2479" s="13"/>
      <c r="R2479" s="13"/>
      <c r="S2479" s="13"/>
      <c r="T2479" s="13">
        <f t="shared" ref="T2479:Y2479" si="2716">IF(ISBLANK(K2479)=TRUE,0,1)</f>
        <v>0</v>
      </c>
      <c r="U2479" s="13">
        <f t="shared" si="2716"/>
        <v>0</v>
      </c>
      <c r="V2479" s="13">
        <f t="shared" si="2716"/>
        <v>0</v>
      </c>
      <c r="W2479" s="13">
        <f t="shared" si="2716"/>
        <v>0</v>
      </c>
      <c r="X2479" s="13">
        <f t="shared" si="2716"/>
        <v>1</v>
      </c>
      <c r="Y2479" s="13">
        <f t="shared" si="2716"/>
        <v>1</v>
      </c>
      <c r="Z2479" s="13">
        <f t="shared" si="1998"/>
        <v>0</v>
      </c>
      <c r="AA2479" s="13"/>
      <c r="AB2479" s="13"/>
      <c r="AC2479" s="13"/>
      <c r="AD2479" s="13"/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</row>
    <row r="2480" ht="14.25" hidden="1" customHeight="1">
      <c r="A2480" s="13" t="s">
        <v>29</v>
      </c>
      <c r="B2480" s="13" t="s">
        <v>30</v>
      </c>
      <c r="C2480" s="13" t="s">
        <v>1514</v>
      </c>
      <c r="D2480" s="13"/>
      <c r="E2480" s="13" t="str">
        <f t="shared" si="2395"/>
        <v>SJC,42-4-11,,0</v>
      </c>
      <c r="F2480" s="13"/>
      <c r="G2480" s="13" t="s">
        <v>111</v>
      </c>
      <c r="H2480" s="13" t="s">
        <v>75</v>
      </c>
      <c r="I2480" s="13"/>
      <c r="J2480" s="13"/>
      <c r="K2480" s="15"/>
      <c r="L2480" s="15"/>
      <c r="M2480" s="16"/>
      <c r="N2480" s="16"/>
      <c r="O2480" s="17">
        <v>0.0</v>
      </c>
      <c r="P2480" s="17">
        <v>0.0</v>
      </c>
      <c r="Q2480" s="13"/>
      <c r="R2480" s="13"/>
      <c r="S2480" s="13"/>
      <c r="T2480" s="13">
        <f t="shared" ref="T2480:Y2480" si="2717">IF(ISBLANK(K2480)=TRUE,0,1)</f>
        <v>0</v>
      </c>
      <c r="U2480" s="13">
        <f t="shared" si="2717"/>
        <v>0</v>
      </c>
      <c r="V2480" s="13">
        <f t="shared" si="2717"/>
        <v>0</v>
      </c>
      <c r="W2480" s="13">
        <f t="shared" si="2717"/>
        <v>0</v>
      </c>
      <c r="X2480" s="13">
        <f t="shared" si="2717"/>
        <v>1</v>
      </c>
      <c r="Y2480" s="13">
        <f t="shared" si="2717"/>
        <v>1</v>
      </c>
      <c r="Z2480" s="13">
        <f t="shared" si="1998"/>
        <v>0</v>
      </c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</row>
    <row r="2481" ht="14.25" hidden="1" customHeight="1">
      <c r="A2481" s="13" t="s">
        <v>29</v>
      </c>
      <c r="B2481" s="13" t="s">
        <v>30</v>
      </c>
      <c r="C2481" s="13" t="s">
        <v>1515</v>
      </c>
      <c r="D2481" s="13"/>
      <c r="E2481" s="13" t="str">
        <f t="shared" si="2395"/>
        <v>SJC,42-4-12,,NA</v>
      </c>
      <c r="F2481" s="13"/>
      <c r="G2481" s="13" t="s">
        <v>111</v>
      </c>
      <c r="H2481" s="13" t="s">
        <v>107</v>
      </c>
      <c r="I2481" s="13"/>
      <c r="J2481" s="13"/>
      <c r="K2481" s="15"/>
      <c r="L2481" s="15"/>
      <c r="M2481" s="16"/>
      <c r="N2481" s="16"/>
      <c r="O2481" s="17"/>
      <c r="P2481" s="17"/>
      <c r="Q2481" s="13"/>
      <c r="R2481" s="13"/>
      <c r="S2481" s="13"/>
      <c r="T2481" s="13">
        <f t="shared" ref="T2481:Y2481" si="2718">IF(ISBLANK(K2481)=TRUE,0,1)</f>
        <v>0</v>
      </c>
      <c r="U2481" s="13">
        <f t="shared" si="2718"/>
        <v>0</v>
      </c>
      <c r="V2481" s="13">
        <f t="shared" si="2718"/>
        <v>0</v>
      </c>
      <c r="W2481" s="13">
        <f t="shared" si="2718"/>
        <v>0</v>
      </c>
      <c r="X2481" s="13">
        <f t="shared" si="2718"/>
        <v>0</v>
      </c>
      <c r="Y2481" s="13">
        <f t="shared" si="2718"/>
        <v>0</v>
      </c>
      <c r="Z2481" s="13" t="str">
        <f t="shared" si="1998"/>
        <v>NA</v>
      </c>
      <c r="AA2481" s="13"/>
      <c r="AB2481" s="13"/>
      <c r="AC2481" s="13"/>
      <c r="AD2481" s="13"/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</row>
    <row r="2482" ht="14.25" hidden="1" customHeight="1">
      <c r="A2482" s="13" t="s">
        <v>29</v>
      </c>
      <c r="B2482" s="13" t="s">
        <v>30</v>
      </c>
      <c r="C2482" s="13" t="s">
        <v>1516</v>
      </c>
      <c r="D2482" s="13"/>
      <c r="E2482" s="13" t="str">
        <f t="shared" si="2395"/>
        <v>SJC,42-4-13,,0</v>
      </c>
      <c r="F2482" s="13"/>
      <c r="G2482" s="13" t="s">
        <v>111</v>
      </c>
      <c r="H2482" s="13" t="s">
        <v>75</v>
      </c>
      <c r="I2482" s="13"/>
      <c r="J2482" s="13"/>
      <c r="K2482" s="15"/>
      <c r="L2482" s="15"/>
      <c r="M2482" s="16"/>
      <c r="N2482" s="16"/>
      <c r="O2482" s="17">
        <v>0.0</v>
      </c>
      <c r="P2482" s="17">
        <v>0.0</v>
      </c>
      <c r="Q2482" s="13"/>
      <c r="R2482" s="13"/>
      <c r="S2482" s="13"/>
      <c r="T2482" s="13">
        <f t="shared" ref="T2482:Y2482" si="2719">IF(ISBLANK(K2482)=TRUE,0,1)</f>
        <v>0</v>
      </c>
      <c r="U2482" s="13">
        <f t="shared" si="2719"/>
        <v>0</v>
      </c>
      <c r="V2482" s="13">
        <f t="shared" si="2719"/>
        <v>0</v>
      </c>
      <c r="W2482" s="13">
        <f t="shared" si="2719"/>
        <v>0</v>
      </c>
      <c r="X2482" s="13">
        <f t="shared" si="2719"/>
        <v>1</v>
      </c>
      <c r="Y2482" s="13">
        <f t="shared" si="2719"/>
        <v>1</v>
      </c>
      <c r="Z2482" s="13">
        <f t="shared" si="1998"/>
        <v>0</v>
      </c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</row>
    <row r="2483" ht="14.25" hidden="1" customHeight="1">
      <c r="A2483" s="13" t="s">
        <v>29</v>
      </c>
      <c r="B2483" s="13" t="s">
        <v>30</v>
      </c>
      <c r="C2483" s="13" t="s">
        <v>1517</v>
      </c>
      <c r="D2483" s="13"/>
      <c r="E2483" s="13" t="str">
        <f t="shared" si="2395"/>
        <v>SJC,42-4-14,,0</v>
      </c>
      <c r="F2483" s="13"/>
      <c r="G2483" s="13" t="s">
        <v>111</v>
      </c>
      <c r="H2483" s="13" t="s">
        <v>75</v>
      </c>
      <c r="I2483" s="13"/>
      <c r="J2483" s="13"/>
      <c r="K2483" s="15"/>
      <c r="L2483" s="15"/>
      <c r="M2483" s="16"/>
      <c r="N2483" s="16"/>
      <c r="O2483" s="17">
        <v>0.0</v>
      </c>
      <c r="P2483" s="17">
        <v>0.0</v>
      </c>
      <c r="Q2483" s="13"/>
      <c r="R2483" s="13"/>
      <c r="S2483" s="13"/>
      <c r="T2483" s="13">
        <f t="shared" ref="T2483:Y2483" si="2720">IF(ISBLANK(K2483)=TRUE,0,1)</f>
        <v>0</v>
      </c>
      <c r="U2483" s="13">
        <f t="shared" si="2720"/>
        <v>0</v>
      </c>
      <c r="V2483" s="13">
        <f t="shared" si="2720"/>
        <v>0</v>
      </c>
      <c r="W2483" s="13">
        <f t="shared" si="2720"/>
        <v>0</v>
      </c>
      <c r="X2483" s="13">
        <f t="shared" si="2720"/>
        <v>1</v>
      </c>
      <c r="Y2483" s="13">
        <f t="shared" si="2720"/>
        <v>1</v>
      </c>
      <c r="Z2483" s="13">
        <f t="shared" si="1998"/>
        <v>0</v>
      </c>
      <c r="AA2483" s="13"/>
      <c r="AB2483" s="13"/>
      <c r="AC2483" s="13"/>
      <c r="AD2483" s="13"/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</row>
    <row r="2484" ht="14.25" hidden="1" customHeight="1">
      <c r="A2484" s="13" t="s">
        <v>29</v>
      </c>
      <c r="B2484" s="13" t="s">
        <v>30</v>
      </c>
      <c r="C2484" s="13" t="s">
        <v>1518</v>
      </c>
      <c r="D2484" s="13"/>
      <c r="E2484" s="13" t="str">
        <f t="shared" si="2395"/>
        <v>SJC,42-4-15,,0</v>
      </c>
      <c r="F2484" s="13"/>
      <c r="G2484" s="13" t="s">
        <v>111</v>
      </c>
      <c r="H2484" s="13" t="s">
        <v>75</v>
      </c>
      <c r="I2484" s="13"/>
      <c r="J2484" s="13"/>
      <c r="K2484" s="15"/>
      <c r="L2484" s="15"/>
      <c r="M2484" s="16"/>
      <c r="N2484" s="16"/>
      <c r="O2484" s="17">
        <v>0.0</v>
      </c>
      <c r="P2484" s="17">
        <v>0.0</v>
      </c>
      <c r="Q2484" s="13"/>
      <c r="R2484" s="13"/>
      <c r="S2484" s="13"/>
      <c r="T2484" s="13">
        <f t="shared" ref="T2484:Y2484" si="2721">IF(ISBLANK(K2484)=TRUE,0,1)</f>
        <v>0</v>
      </c>
      <c r="U2484" s="13">
        <f t="shared" si="2721"/>
        <v>0</v>
      </c>
      <c r="V2484" s="13">
        <f t="shared" si="2721"/>
        <v>0</v>
      </c>
      <c r="W2484" s="13">
        <f t="shared" si="2721"/>
        <v>0</v>
      </c>
      <c r="X2484" s="13">
        <f t="shared" si="2721"/>
        <v>1</v>
      </c>
      <c r="Y2484" s="13">
        <f t="shared" si="2721"/>
        <v>1</v>
      </c>
      <c r="Z2484" s="13">
        <f t="shared" si="1998"/>
        <v>0</v>
      </c>
      <c r="AA2484" s="13"/>
      <c r="AB2484" s="13"/>
      <c r="AC2484" s="13"/>
      <c r="AD2484" s="13"/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</row>
    <row r="2485" ht="14.25" hidden="1" customHeight="1">
      <c r="A2485" s="13" t="s">
        <v>29</v>
      </c>
      <c r="B2485" s="13" t="s">
        <v>30</v>
      </c>
      <c r="C2485" s="13" t="s">
        <v>1519</v>
      </c>
      <c r="D2485" s="13"/>
      <c r="E2485" s="13" t="str">
        <f t="shared" si="2395"/>
        <v>SJC,42-4-16,,0</v>
      </c>
      <c r="F2485" s="13"/>
      <c r="G2485" s="13" t="s">
        <v>111</v>
      </c>
      <c r="H2485" s="13" t="s">
        <v>75</v>
      </c>
      <c r="I2485" s="13"/>
      <c r="J2485" s="13"/>
      <c r="K2485" s="15"/>
      <c r="L2485" s="15"/>
      <c r="M2485" s="16"/>
      <c r="N2485" s="16"/>
      <c r="O2485" s="17">
        <v>0.0</v>
      </c>
      <c r="P2485" s="17">
        <v>0.0</v>
      </c>
      <c r="Q2485" s="13"/>
      <c r="R2485" s="13"/>
      <c r="S2485" s="13"/>
      <c r="T2485" s="13">
        <f t="shared" ref="T2485:Y2485" si="2722">IF(ISBLANK(K2485)=TRUE,0,1)</f>
        <v>0</v>
      </c>
      <c r="U2485" s="13">
        <f t="shared" si="2722"/>
        <v>0</v>
      </c>
      <c r="V2485" s="13">
        <f t="shared" si="2722"/>
        <v>0</v>
      </c>
      <c r="W2485" s="13">
        <f t="shared" si="2722"/>
        <v>0</v>
      </c>
      <c r="X2485" s="13">
        <f t="shared" si="2722"/>
        <v>1</v>
      </c>
      <c r="Y2485" s="13">
        <f t="shared" si="2722"/>
        <v>1</v>
      </c>
      <c r="Z2485" s="13">
        <f t="shared" si="1998"/>
        <v>0</v>
      </c>
      <c r="AA2485" s="13"/>
      <c r="AB2485" s="13"/>
      <c r="AC2485" s="13"/>
      <c r="AD2485" s="13"/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</row>
    <row r="2486" ht="14.25" hidden="1" customHeight="1">
      <c r="A2486" s="13" t="s">
        <v>29</v>
      </c>
      <c r="B2486" s="13" t="s">
        <v>30</v>
      </c>
      <c r="C2486" s="13" t="s">
        <v>1520</v>
      </c>
      <c r="D2486" s="13"/>
      <c r="E2486" s="13" t="str">
        <f t="shared" si="2395"/>
        <v>SJC,42-4-17,,0</v>
      </c>
      <c r="F2486" s="13"/>
      <c r="G2486" s="13" t="s">
        <v>111</v>
      </c>
      <c r="H2486" s="13" t="s">
        <v>75</v>
      </c>
      <c r="I2486" s="13"/>
      <c r="J2486" s="13"/>
      <c r="K2486" s="15"/>
      <c r="L2486" s="15"/>
      <c r="M2486" s="16"/>
      <c r="N2486" s="16"/>
      <c r="O2486" s="17">
        <v>0.0</v>
      </c>
      <c r="P2486" s="17">
        <v>0.0</v>
      </c>
      <c r="Q2486" s="13"/>
      <c r="R2486" s="13"/>
      <c r="S2486" s="13"/>
      <c r="T2486" s="13">
        <f t="shared" ref="T2486:Y2486" si="2723">IF(ISBLANK(K2486)=TRUE,0,1)</f>
        <v>0</v>
      </c>
      <c r="U2486" s="13">
        <f t="shared" si="2723"/>
        <v>0</v>
      </c>
      <c r="V2486" s="13">
        <f t="shared" si="2723"/>
        <v>0</v>
      </c>
      <c r="W2486" s="13">
        <f t="shared" si="2723"/>
        <v>0</v>
      </c>
      <c r="X2486" s="13">
        <f t="shared" si="2723"/>
        <v>1</v>
      </c>
      <c r="Y2486" s="13">
        <f t="shared" si="2723"/>
        <v>1</v>
      </c>
      <c r="Z2486" s="13">
        <f t="shared" si="1998"/>
        <v>0</v>
      </c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</row>
    <row r="2487" ht="14.25" hidden="1" customHeight="1">
      <c r="A2487" s="13" t="s">
        <v>29</v>
      </c>
      <c r="B2487" s="13" t="s">
        <v>30</v>
      </c>
      <c r="C2487" s="13" t="s">
        <v>1521</v>
      </c>
      <c r="D2487" s="13"/>
      <c r="E2487" s="13" t="str">
        <f t="shared" si="2395"/>
        <v>SJC,42-4-18,,0</v>
      </c>
      <c r="F2487" s="13"/>
      <c r="G2487" s="13" t="s">
        <v>111</v>
      </c>
      <c r="H2487" s="13" t="s">
        <v>75</v>
      </c>
      <c r="I2487" s="13"/>
      <c r="J2487" s="13"/>
      <c r="K2487" s="15"/>
      <c r="L2487" s="15"/>
      <c r="M2487" s="16"/>
      <c r="N2487" s="16"/>
      <c r="O2487" s="17">
        <v>0.0</v>
      </c>
      <c r="P2487" s="17">
        <v>0.0</v>
      </c>
      <c r="Q2487" s="13"/>
      <c r="R2487" s="13"/>
      <c r="S2487" s="13"/>
      <c r="T2487" s="13">
        <f t="shared" ref="T2487:Y2487" si="2724">IF(ISBLANK(K2487)=TRUE,0,1)</f>
        <v>0</v>
      </c>
      <c r="U2487" s="13">
        <f t="shared" si="2724"/>
        <v>0</v>
      </c>
      <c r="V2487" s="13">
        <f t="shared" si="2724"/>
        <v>0</v>
      </c>
      <c r="W2487" s="13">
        <f t="shared" si="2724"/>
        <v>0</v>
      </c>
      <c r="X2487" s="13">
        <f t="shared" si="2724"/>
        <v>1</v>
      </c>
      <c r="Y2487" s="13">
        <f t="shared" si="2724"/>
        <v>1</v>
      </c>
      <c r="Z2487" s="13">
        <f t="shared" si="1998"/>
        <v>0</v>
      </c>
      <c r="AA2487" s="13"/>
      <c r="AB2487" s="13"/>
      <c r="AC2487" s="13"/>
      <c r="AD2487" s="13"/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</row>
    <row r="2488" ht="14.25" hidden="1" customHeight="1">
      <c r="A2488" s="13" t="s">
        <v>29</v>
      </c>
      <c r="B2488" s="13" t="s">
        <v>30</v>
      </c>
      <c r="C2488" s="13" t="s">
        <v>1522</v>
      </c>
      <c r="D2488" s="13"/>
      <c r="E2488" s="13" t="str">
        <f t="shared" si="2395"/>
        <v>SJC,42-4-19,,0</v>
      </c>
      <c r="F2488" s="13"/>
      <c r="G2488" s="13" t="s">
        <v>111</v>
      </c>
      <c r="H2488" s="13" t="s">
        <v>75</v>
      </c>
      <c r="I2488" s="13"/>
      <c r="J2488" s="13"/>
      <c r="K2488" s="15"/>
      <c r="L2488" s="15"/>
      <c r="M2488" s="16"/>
      <c r="N2488" s="16"/>
      <c r="O2488" s="17">
        <v>0.0</v>
      </c>
      <c r="P2488" s="17">
        <v>0.0</v>
      </c>
      <c r="Q2488" s="13"/>
      <c r="R2488" s="13"/>
      <c r="S2488" s="13"/>
      <c r="T2488" s="13">
        <f t="shared" ref="T2488:Y2488" si="2725">IF(ISBLANK(K2488)=TRUE,0,1)</f>
        <v>0</v>
      </c>
      <c r="U2488" s="13">
        <f t="shared" si="2725"/>
        <v>0</v>
      </c>
      <c r="V2488" s="13">
        <f t="shared" si="2725"/>
        <v>0</v>
      </c>
      <c r="W2488" s="13">
        <f t="shared" si="2725"/>
        <v>0</v>
      </c>
      <c r="X2488" s="13">
        <f t="shared" si="2725"/>
        <v>1</v>
      </c>
      <c r="Y2488" s="13">
        <f t="shared" si="2725"/>
        <v>1</v>
      </c>
      <c r="Z2488" s="13">
        <f t="shared" si="1998"/>
        <v>0</v>
      </c>
      <c r="AA2488" s="13"/>
      <c r="AB2488" s="13"/>
      <c r="AC2488" s="13"/>
      <c r="AD2488" s="13"/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  <c r="AR2488" s="13"/>
      <c r="AS2488" s="13"/>
    </row>
    <row r="2489" ht="14.25" hidden="1" customHeight="1">
      <c r="A2489" s="13" t="s">
        <v>29</v>
      </c>
      <c r="B2489" s="13" t="s">
        <v>30</v>
      </c>
      <c r="C2489" s="13" t="s">
        <v>1523</v>
      </c>
      <c r="D2489" s="13"/>
      <c r="E2489" s="13" t="str">
        <f t="shared" si="2395"/>
        <v>SJC,42-4-2,,NA</v>
      </c>
      <c r="F2489" s="13"/>
      <c r="G2489" s="13" t="s">
        <v>111</v>
      </c>
      <c r="H2489" s="13" t="s">
        <v>75</v>
      </c>
      <c r="I2489" s="13"/>
      <c r="J2489" s="13"/>
      <c r="K2489" s="15"/>
      <c r="L2489" s="15"/>
      <c r="M2489" s="16"/>
      <c r="N2489" s="16"/>
      <c r="O2489" s="17"/>
      <c r="P2489" s="17"/>
      <c r="Q2489" s="13"/>
      <c r="R2489" s="13"/>
      <c r="S2489" s="13"/>
      <c r="T2489" s="13">
        <f t="shared" ref="T2489:Y2489" si="2726">IF(ISBLANK(K2489)=TRUE,0,1)</f>
        <v>0</v>
      </c>
      <c r="U2489" s="13">
        <f t="shared" si="2726"/>
        <v>0</v>
      </c>
      <c r="V2489" s="13">
        <f t="shared" si="2726"/>
        <v>0</v>
      </c>
      <c r="W2489" s="13">
        <f t="shared" si="2726"/>
        <v>0</v>
      </c>
      <c r="X2489" s="13">
        <f t="shared" si="2726"/>
        <v>0</v>
      </c>
      <c r="Y2489" s="13">
        <f t="shared" si="2726"/>
        <v>0</v>
      </c>
      <c r="Z2489" s="13" t="str">
        <f t="shared" si="1998"/>
        <v>NA</v>
      </c>
      <c r="AA2489" s="13"/>
      <c r="AB2489" s="13"/>
      <c r="AC2489" s="13"/>
      <c r="AD2489" s="13"/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  <c r="AR2489" s="13"/>
      <c r="AS2489" s="13"/>
    </row>
    <row r="2490" ht="14.25" hidden="1" customHeight="1">
      <c r="A2490" s="13" t="s">
        <v>29</v>
      </c>
      <c r="B2490" s="13" t="s">
        <v>30</v>
      </c>
      <c r="C2490" s="13" t="s">
        <v>1524</v>
      </c>
      <c r="D2490" s="13"/>
      <c r="E2490" s="13" t="str">
        <f t="shared" si="2395"/>
        <v>SJC,42-4-20,,NA</v>
      </c>
      <c r="F2490" s="13"/>
      <c r="G2490" s="13" t="s">
        <v>111</v>
      </c>
      <c r="H2490" s="13" t="s">
        <v>75</v>
      </c>
      <c r="I2490" s="13"/>
      <c r="J2490" s="13"/>
      <c r="K2490" s="15"/>
      <c r="L2490" s="15"/>
      <c r="M2490" s="16"/>
      <c r="N2490" s="16"/>
      <c r="O2490" s="17"/>
      <c r="P2490" s="17"/>
      <c r="Q2490" s="13"/>
      <c r="R2490" s="13"/>
      <c r="S2490" s="13"/>
      <c r="T2490" s="13">
        <f t="shared" ref="T2490:Y2490" si="2727">IF(ISBLANK(K2490)=TRUE,0,1)</f>
        <v>0</v>
      </c>
      <c r="U2490" s="13">
        <f t="shared" si="2727"/>
        <v>0</v>
      </c>
      <c r="V2490" s="13">
        <f t="shared" si="2727"/>
        <v>0</v>
      </c>
      <c r="W2490" s="13">
        <f t="shared" si="2727"/>
        <v>0</v>
      </c>
      <c r="X2490" s="13">
        <f t="shared" si="2727"/>
        <v>0</v>
      </c>
      <c r="Y2490" s="13">
        <f t="shared" si="2727"/>
        <v>0</v>
      </c>
      <c r="Z2490" s="13" t="str">
        <f t="shared" si="1998"/>
        <v>NA</v>
      </c>
      <c r="AA2490" s="13"/>
      <c r="AB2490" s="13"/>
      <c r="AC2490" s="13"/>
      <c r="AD2490" s="13"/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</row>
    <row r="2491" ht="14.25" hidden="1" customHeight="1">
      <c r="A2491" s="13" t="s">
        <v>29</v>
      </c>
      <c r="B2491" s="13" t="s">
        <v>30</v>
      </c>
      <c r="C2491" s="13" t="s">
        <v>1525</v>
      </c>
      <c r="D2491" s="13"/>
      <c r="E2491" s="13" t="str">
        <f t="shared" si="2395"/>
        <v>SJC,42-4-21,,0</v>
      </c>
      <c r="F2491" s="13"/>
      <c r="G2491" s="13" t="s">
        <v>111</v>
      </c>
      <c r="H2491" s="13" t="s">
        <v>75</v>
      </c>
      <c r="I2491" s="13"/>
      <c r="J2491" s="13"/>
      <c r="K2491" s="15"/>
      <c r="L2491" s="15"/>
      <c r="M2491" s="16"/>
      <c r="N2491" s="16"/>
      <c r="O2491" s="17">
        <v>0.0</v>
      </c>
      <c r="P2491" s="17">
        <v>0.0</v>
      </c>
      <c r="Q2491" s="13"/>
      <c r="R2491" s="13"/>
      <c r="S2491" s="13"/>
      <c r="T2491" s="13">
        <f t="shared" ref="T2491:Y2491" si="2728">IF(ISBLANK(K2491)=TRUE,0,1)</f>
        <v>0</v>
      </c>
      <c r="U2491" s="13">
        <f t="shared" si="2728"/>
        <v>0</v>
      </c>
      <c r="V2491" s="13">
        <f t="shared" si="2728"/>
        <v>0</v>
      </c>
      <c r="W2491" s="13">
        <f t="shared" si="2728"/>
        <v>0</v>
      </c>
      <c r="X2491" s="13">
        <f t="shared" si="2728"/>
        <v>1</v>
      </c>
      <c r="Y2491" s="13">
        <f t="shared" si="2728"/>
        <v>1</v>
      </c>
      <c r="Z2491" s="13">
        <f t="shared" si="1998"/>
        <v>0</v>
      </c>
      <c r="AA2491" s="13"/>
      <c r="AB2491" s="13"/>
      <c r="AC2491" s="13"/>
      <c r="AD2491" s="13"/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</row>
    <row r="2492" ht="14.25" hidden="1" customHeight="1">
      <c r="A2492" s="13" t="s">
        <v>29</v>
      </c>
      <c r="B2492" s="13" t="s">
        <v>30</v>
      </c>
      <c r="C2492" s="13" t="s">
        <v>1526</v>
      </c>
      <c r="D2492" s="13"/>
      <c r="E2492" s="13" t="str">
        <f t="shared" si="2395"/>
        <v>SJC,42-4-22,,0</v>
      </c>
      <c r="F2492" s="13"/>
      <c r="G2492" s="13" t="s">
        <v>111</v>
      </c>
      <c r="H2492" s="13" t="s">
        <v>75</v>
      </c>
      <c r="I2492" s="13"/>
      <c r="J2492" s="13"/>
      <c r="K2492" s="15"/>
      <c r="L2492" s="15"/>
      <c r="M2492" s="16"/>
      <c r="N2492" s="16"/>
      <c r="O2492" s="17">
        <v>0.0</v>
      </c>
      <c r="P2492" s="17">
        <v>0.0</v>
      </c>
      <c r="Q2492" s="13"/>
      <c r="R2492" s="13"/>
      <c r="S2492" s="13"/>
      <c r="T2492" s="13">
        <f t="shared" ref="T2492:Y2492" si="2729">IF(ISBLANK(K2492)=TRUE,0,1)</f>
        <v>0</v>
      </c>
      <c r="U2492" s="13">
        <f t="shared" si="2729"/>
        <v>0</v>
      </c>
      <c r="V2492" s="13">
        <f t="shared" si="2729"/>
        <v>0</v>
      </c>
      <c r="W2492" s="13">
        <f t="shared" si="2729"/>
        <v>0</v>
      </c>
      <c r="X2492" s="13">
        <f t="shared" si="2729"/>
        <v>1</v>
      </c>
      <c r="Y2492" s="13">
        <f t="shared" si="2729"/>
        <v>1</v>
      </c>
      <c r="Z2492" s="13">
        <f t="shared" si="1998"/>
        <v>0</v>
      </c>
      <c r="AA2492" s="13"/>
      <c r="AB2492" s="13"/>
      <c r="AC2492" s="13"/>
      <c r="AD2492" s="13"/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  <c r="AR2492" s="13"/>
      <c r="AS2492" s="13"/>
    </row>
    <row r="2493" ht="14.25" hidden="1" customHeight="1">
      <c r="A2493" s="13" t="s">
        <v>29</v>
      </c>
      <c r="B2493" s="13" t="s">
        <v>30</v>
      </c>
      <c r="C2493" s="13" t="s">
        <v>1527</v>
      </c>
      <c r="D2493" s="13"/>
      <c r="E2493" s="13" t="str">
        <f t="shared" si="2395"/>
        <v>SJC,42-4-23,,0</v>
      </c>
      <c r="F2493" s="13"/>
      <c r="G2493" s="13" t="s">
        <v>111</v>
      </c>
      <c r="H2493" s="13" t="s">
        <v>75</v>
      </c>
      <c r="I2493" s="13"/>
      <c r="J2493" s="13"/>
      <c r="K2493" s="15"/>
      <c r="L2493" s="15"/>
      <c r="M2493" s="16"/>
      <c r="N2493" s="16"/>
      <c r="O2493" s="17">
        <v>0.0</v>
      </c>
      <c r="P2493" s="17">
        <v>0.0</v>
      </c>
      <c r="Q2493" s="13"/>
      <c r="R2493" s="13"/>
      <c r="S2493" s="13"/>
      <c r="T2493" s="13">
        <f t="shared" ref="T2493:Y2493" si="2730">IF(ISBLANK(K2493)=TRUE,0,1)</f>
        <v>0</v>
      </c>
      <c r="U2493" s="13">
        <f t="shared" si="2730"/>
        <v>0</v>
      </c>
      <c r="V2493" s="13">
        <f t="shared" si="2730"/>
        <v>0</v>
      </c>
      <c r="W2493" s="13">
        <f t="shared" si="2730"/>
        <v>0</v>
      </c>
      <c r="X2493" s="13">
        <f t="shared" si="2730"/>
        <v>1</v>
      </c>
      <c r="Y2493" s="13">
        <f t="shared" si="2730"/>
        <v>1</v>
      </c>
      <c r="Z2493" s="13">
        <f t="shared" si="1998"/>
        <v>0</v>
      </c>
      <c r="AA2493" s="13"/>
      <c r="AB2493" s="13"/>
      <c r="AC2493" s="13"/>
      <c r="AD2493" s="13"/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</row>
    <row r="2494" ht="14.25" hidden="1" customHeight="1">
      <c r="A2494" s="13" t="s">
        <v>29</v>
      </c>
      <c r="B2494" s="13" t="s">
        <v>30</v>
      </c>
      <c r="C2494" s="13" t="s">
        <v>1528</v>
      </c>
      <c r="D2494" s="13"/>
      <c r="E2494" s="13" t="str">
        <f t="shared" si="2395"/>
        <v>SJC,42-4-24,,0</v>
      </c>
      <c r="F2494" s="13"/>
      <c r="G2494" s="13" t="s">
        <v>111</v>
      </c>
      <c r="H2494" s="13" t="s">
        <v>75</v>
      </c>
      <c r="I2494" s="13"/>
      <c r="J2494" s="13"/>
      <c r="K2494" s="15"/>
      <c r="L2494" s="15"/>
      <c r="M2494" s="16"/>
      <c r="N2494" s="16"/>
      <c r="O2494" s="17">
        <v>0.0</v>
      </c>
      <c r="P2494" s="17">
        <v>0.0</v>
      </c>
      <c r="Q2494" s="13"/>
      <c r="R2494" s="13"/>
      <c r="S2494" s="13"/>
      <c r="T2494" s="13">
        <f t="shared" ref="T2494:Y2494" si="2731">IF(ISBLANK(K2494)=TRUE,0,1)</f>
        <v>0</v>
      </c>
      <c r="U2494" s="13">
        <f t="shared" si="2731"/>
        <v>0</v>
      </c>
      <c r="V2494" s="13">
        <f t="shared" si="2731"/>
        <v>0</v>
      </c>
      <c r="W2494" s="13">
        <f t="shared" si="2731"/>
        <v>0</v>
      </c>
      <c r="X2494" s="13">
        <f t="shared" si="2731"/>
        <v>1</v>
      </c>
      <c r="Y2494" s="13">
        <f t="shared" si="2731"/>
        <v>1</v>
      </c>
      <c r="Z2494" s="13">
        <f t="shared" si="1998"/>
        <v>0</v>
      </c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</row>
    <row r="2495" ht="14.25" hidden="1" customHeight="1">
      <c r="A2495" s="13" t="s">
        <v>29</v>
      </c>
      <c r="B2495" s="13" t="s">
        <v>30</v>
      </c>
      <c r="C2495" s="13" t="s">
        <v>1529</v>
      </c>
      <c r="D2495" s="13"/>
      <c r="E2495" s="13" t="str">
        <f t="shared" si="2395"/>
        <v>SJC,42-4-25,,0</v>
      </c>
      <c r="F2495" s="13"/>
      <c r="G2495" s="13" t="s">
        <v>111</v>
      </c>
      <c r="H2495" s="13" t="s">
        <v>75</v>
      </c>
      <c r="I2495" s="13"/>
      <c r="J2495" s="13"/>
      <c r="K2495" s="15"/>
      <c r="L2495" s="15"/>
      <c r="M2495" s="16"/>
      <c r="N2495" s="16"/>
      <c r="O2495" s="17">
        <v>0.0</v>
      </c>
      <c r="P2495" s="17">
        <v>0.0</v>
      </c>
      <c r="Q2495" s="13"/>
      <c r="R2495" s="13"/>
      <c r="S2495" s="13"/>
      <c r="T2495" s="13">
        <f t="shared" ref="T2495:Y2495" si="2732">IF(ISBLANK(K2495)=TRUE,0,1)</f>
        <v>0</v>
      </c>
      <c r="U2495" s="13">
        <f t="shared" si="2732"/>
        <v>0</v>
      </c>
      <c r="V2495" s="13">
        <f t="shared" si="2732"/>
        <v>0</v>
      </c>
      <c r="W2495" s="13">
        <f t="shared" si="2732"/>
        <v>0</v>
      </c>
      <c r="X2495" s="13">
        <f t="shared" si="2732"/>
        <v>1</v>
      </c>
      <c r="Y2495" s="13">
        <f t="shared" si="2732"/>
        <v>1</v>
      </c>
      <c r="Z2495" s="13">
        <f t="shared" si="1998"/>
        <v>0</v>
      </c>
      <c r="AA2495" s="13"/>
      <c r="AB2495" s="13"/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</row>
    <row r="2496" ht="14.25" hidden="1" customHeight="1">
      <c r="A2496" s="13" t="s">
        <v>29</v>
      </c>
      <c r="B2496" s="13" t="s">
        <v>30</v>
      </c>
      <c r="C2496" s="13" t="s">
        <v>1530</v>
      </c>
      <c r="D2496" s="13"/>
      <c r="E2496" s="13" t="str">
        <f t="shared" si="2395"/>
        <v>SJC,42-4-26,,0</v>
      </c>
      <c r="F2496" s="13"/>
      <c r="G2496" s="13" t="s">
        <v>111</v>
      </c>
      <c r="H2496" s="13" t="s">
        <v>75</v>
      </c>
      <c r="I2496" s="13"/>
      <c r="J2496" s="13"/>
      <c r="K2496" s="15"/>
      <c r="L2496" s="15"/>
      <c r="M2496" s="16"/>
      <c r="N2496" s="16"/>
      <c r="O2496" s="17">
        <v>0.0</v>
      </c>
      <c r="P2496" s="17">
        <v>0.0</v>
      </c>
      <c r="Q2496" s="13"/>
      <c r="R2496" s="13"/>
      <c r="S2496" s="13"/>
      <c r="T2496" s="13">
        <f t="shared" ref="T2496:Y2496" si="2733">IF(ISBLANK(K2496)=TRUE,0,1)</f>
        <v>0</v>
      </c>
      <c r="U2496" s="13">
        <f t="shared" si="2733"/>
        <v>0</v>
      </c>
      <c r="V2496" s="13">
        <f t="shared" si="2733"/>
        <v>0</v>
      </c>
      <c r="W2496" s="13">
        <f t="shared" si="2733"/>
        <v>0</v>
      </c>
      <c r="X2496" s="13">
        <f t="shared" si="2733"/>
        <v>1</v>
      </c>
      <c r="Y2496" s="13">
        <f t="shared" si="2733"/>
        <v>1</v>
      </c>
      <c r="Z2496" s="13">
        <f t="shared" si="1998"/>
        <v>0</v>
      </c>
      <c r="AA2496" s="13"/>
      <c r="AB2496" s="13"/>
      <c r="AC2496" s="13"/>
      <c r="AD2496" s="13"/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  <c r="AR2496" s="13"/>
      <c r="AS2496" s="13"/>
    </row>
    <row r="2497" ht="14.25" hidden="1" customHeight="1">
      <c r="A2497" s="13" t="s">
        <v>29</v>
      </c>
      <c r="B2497" s="13" t="s">
        <v>30</v>
      </c>
      <c r="C2497" s="13" t="s">
        <v>1531</v>
      </c>
      <c r="D2497" s="13"/>
      <c r="E2497" s="13" t="str">
        <f t="shared" si="2395"/>
        <v>SJC,42-4-27,,0</v>
      </c>
      <c r="F2497" s="13"/>
      <c r="G2497" s="13" t="s">
        <v>111</v>
      </c>
      <c r="H2497" s="13" t="s">
        <v>75</v>
      </c>
      <c r="I2497" s="13"/>
      <c r="J2497" s="13"/>
      <c r="K2497" s="15"/>
      <c r="L2497" s="15"/>
      <c r="M2497" s="16"/>
      <c r="N2497" s="16"/>
      <c r="O2497" s="17">
        <v>0.0</v>
      </c>
      <c r="P2497" s="17">
        <v>0.0</v>
      </c>
      <c r="Q2497" s="13"/>
      <c r="R2497" s="13"/>
      <c r="S2497" s="13"/>
      <c r="T2497" s="13">
        <f t="shared" ref="T2497:Y2497" si="2734">IF(ISBLANK(K2497)=TRUE,0,1)</f>
        <v>0</v>
      </c>
      <c r="U2497" s="13">
        <f t="shared" si="2734"/>
        <v>0</v>
      </c>
      <c r="V2497" s="13">
        <f t="shared" si="2734"/>
        <v>0</v>
      </c>
      <c r="W2497" s="13">
        <f t="shared" si="2734"/>
        <v>0</v>
      </c>
      <c r="X2497" s="13">
        <f t="shared" si="2734"/>
        <v>1</v>
      </c>
      <c r="Y2497" s="13">
        <f t="shared" si="2734"/>
        <v>1</v>
      </c>
      <c r="Z2497" s="13">
        <f t="shared" si="1998"/>
        <v>0</v>
      </c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</row>
    <row r="2498" ht="14.25" hidden="1" customHeight="1">
      <c r="A2498" s="13" t="s">
        <v>29</v>
      </c>
      <c r="B2498" s="13" t="s">
        <v>30</v>
      </c>
      <c r="C2498" s="13" t="s">
        <v>1532</v>
      </c>
      <c r="D2498" s="13"/>
      <c r="E2498" s="13" t="str">
        <f t="shared" si="2395"/>
        <v>SJC,42-4-28,,0</v>
      </c>
      <c r="F2498" s="13"/>
      <c r="G2498" s="13" t="s">
        <v>111</v>
      </c>
      <c r="H2498" s="13" t="s">
        <v>75</v>
      </c>
      <c r="I2498" s="13"/>
      <c r="J2498" s="13"/>
      <c r="K2498" s="15"/>
      <c r="L2498" s="15"/>
      <c r="M2498" s="16"/>
      <c r="N2498" s="16"/>
      <c r="O2498" s="17">
        <v>0.0</v>
      </c>
      <c r="P2498" s="17">
        <v>0.0</v>
      </c>
      <c r="Q2498" s="13"/>
      <c r="R2498" s="13"/>
      <c r="S2498" s="13"/>
      <c r="T2498" s="13">
        <f t="shared" ref="T2498:Y2498" si="2735">IF(ISBLANK(K2498)=TRUE,0,1)</f>
        <v>0</v>
      </c>
      <c r="U2498" s="13">
        <f t="shared" si="2735"/>
        <v>0</v>
      </c>
      <c r="V2498" s="13">
        <f t="shared" si="2735"/>
        <v>0</v>
      </c>
      <c r="W2498" s="13">
        <f t="shared" si="2735"/>
        <v>0</v>
      </c>
      <c r="X2498" s="13">
        <f t="shared" si="2735"/>
        <v>1</v>
      </c>
      <c r="Y2498" s="13">
        <f t="shared" si="2735"/>
        <v>1</v>
      </c>
      <c r="Z2498" s="13">
        <f t="shared" si="1998"/>
        <v>0</v>
      </c>
      <c r="AA2498" s="13"/>
      <c r="AB2498" s="13"/>
      <c r="AC2498" s="13"/>
      <c r="AD2498" s="13"/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</row>
    <row r="2499" ht="14.25" hidden="1" customHeight="1">
      <c r="A2499" s="13" t="s">
        <v>29</v>
      </c>
      <c r="B2499" s="13" t="s">
        <v>30</v>
      </c>
      <c r="C2499" s="13" t="s">
        <v>1533</v>
      </c>
      <c r="D2499" s="13"/>
      <c r="E2499" s="13" t="str">
        <f t="shared" si="2395"/>
        <v>SJC,42-4-29,,0</v>
      </c>
      <c r="F2499" s="13"/>
      <c r="G2499" s="13" t="s">
        <v>111</v>
      </c>
      <c r="H2499" s="13" t="s">
        <v>75</v>
      </c>
      <c r="I2499" s="13"/>
      <c r="J2499" s="13"/>
      <c r="K2499" s="15"/>
      <c r="L2499" s="15"/>
      <c r="M2499" s="16"/>
      <c r="N2499" s="16"/>
      <c r="O2499" s="17">
        <v>0.0</v>
      </c>
      <c r="P2499" s="17">
        <v>0.0</v>
      </c>
      <c r="Q2499" s="13"/>
      <c r="R2499" s="13"/>
      <c r="S2499" s="13"/>
      <c r="T2499" s="13">
        <f t="shared" ref="T2499:Y2499" si="2736">IF(ISBLANK(K2499)=TRUE,0,1)</f>
        <v>0</v>
      </c>
      <c r="U2499" s="13">
        <f t="shared" si="2736"/>
        <v>0</v>
      </c>
      <c r="V2499" s="13">
        <f t="shared" si="2736"/>
        <v>0</v>
      </c>
      <c r="W2499" s="13">
        <f t="shared" si="2736"/>
        <v>0</v>
      </c>
      <c r="X2499" s="13">
        <f t="shared" si="2736"/>
        <v>1</v>
      </c>
      <c r="Y2499" s="13">
        <f t="shared" si="2736"/>
        <v>1</v>
      </c>
      <c r="Z2499" s="13">
        <f t="shared" si="1998"/>
        <v>0</v>
      </c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</row>
    <row r="2500" ht="14.25" hidden="1" customHeight="1">
      <c r="A2500" s="13" t="s">
        <v>29</v>
      </c>
      <c r="B2500" s="13" t="s">
        <v>30</v>
      </c>
      <c r="C2500" s="13" t="s">
        <v>1534</v>
      </c>
      <c r="D2500" s="13"/>
      <c r="E2500" s="13" t="str">
        <f t="shared" si="2395"/>
        <v>SJC,42-4-3,,0</v>
      </c>
      <c r="F2500" s="13"/>
      <c r="G2500" s="13" t="s">
        <v>111</v>
      </c>
      <c r="H2500" s="13" t="s">
        <v>75</v>
      </c>
      <c r="I2500" s="13"/>
      <c r="J2500" s="13"/>
      <c r="K2500" s="15"/>
      <c r="L2500" s="15"/>
      <c r="M2500" s="16"/>
      <c r="N2500" s="16"/>
      <c r="O2500" s="17">
        <v>0.0</v>
      </c>
      <c r="P2500" s="17">
        <v>0.0</v>
      </c>
      <c r="Q2500" s="13"/>
      <c r="R2500" s="13"/>
      <c r="S2500" s="13"/>
      <c r="T2500" s="13">
        <f t="shared" ref="T2500:Y2500" si="2737">IF(ISBLANK(K2500)=TRUE,0,1)</f>
        <v>0</v>
      </c>
      <c r="U2500" s="13">
        <f t="shared" si="2737"/>
        <v>0</v>
      </c>
      <c r="V2500" s="13">
        <f t="shared" si="2737"/>
        <v>0</v>
      </c>
      <c r="W2500" s="13">
        <f t="shared" si="2737"/>
        <v>0</v>
      </c>
      <c r="X2500" s="13">
        <f t="shared" si="2737"/>
        <v>1</v>
      </c>
      <c r="Y2500" s="13">
        <f t="shared" si="2737"/>
        <v>1</v>
      </c>
      <c r="Z2500" s="13">
        <f t="shared" si="1998"/>
        <v>0</v>
      </c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</row>
    <row r="2501" ht="14.25" hidden="1" customHeight="1">
      <c r="A2501" s="13" t="s">
        <v>29</v>
      </c>
      <c r="B2501" s="13" t="s">
        <v>30</v>
      </c>
      <c r="C2501" s="13" t="s">
        <v>1535</v>
      </c>
      <c r="D2501" s="13"/>
      <c r="E2501" s="13" t="str">
        <f t="shared" si="2395"/>
        <v>SJC,42-4-30,,0</v>
      </c>
      <c r="F2501" s="13"/>
      <c r="G2501" s="13" t="s">
        <v>111</v>
      </c>
      <c r="H2501" s="13" t="s">
        <v>75</v>
      </c>
      <c r="I2501" s="13"/>
      <c r="J2501" s="13"/>
      <c r="K2501" s="15"/>
      <c r="L2501" s="15"/>
      <c r="M2501" s="16"/>
      <c r="N2501" s="16"/>
      <c r="O2501" s="17">
        <v>0.0</v>
      </c>
      <c r="P2501" s="17">
        <v>0.0</v>
      </c>
      <c r="Q2501" s="13"/>
      <c r="R2501" s="13"/>
      <c r="S2501" s="13"/>
      <c r="T2501" s="13">
        <f t="shared" ref="T2501:Y2501" si="2738">IF(ISBLANK(K2501)=TRUE,0,1)</f>
        <v>0</v>
      </c>
      <c r="U2501" s="13">
        <f t="shared" si="2738"/>
        <v>0</v>
      </c>
      <c r="V2501" s="13">
        <f t="shared" si="2738"/>
        <v>0</v>
      </c>
      <c r="W2501" s="13">
        <f t="shared" si="2738"/>
        <v>0</v>
      </c>
      <c r="X2501" s="13">
        <f t="shared" si="2738"/>
        <v>1</v>
      </c>
      <c r="Y2501" s="13">
        <f t="shared" si="2738"/>
        <v>1</v>
      </c>
      <c r="Z2501" s="13">
        <f t="shared" si="1998"/>
        <v>0</v>
      </c>
      <c r="AA2501" s="13"/>
      <c r="AB2501" s="13"/>
      <c r="AC2501" s="13"/>
      <c r="AD2501" s="13"/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  <c r="AR2501" s="13"/>
      <c r="AS2501" s="13"/>
    </row>
    <row r="2502" ht="14.25" hidden="1" customHeight="1">
      <c r="A2502" s="13" t="s">
        <v>29</v>
      </c>
      <c r="B2502" s="13" t="s">
        <v>30</v>
      </c>
      <c r="C2502" s="13" t="s">
        <v>1536</v>
      </c>
      <c r="D2502" s="13"/>
      <c r="E2502" s="13" t="str">
        <f t="shared" si="2395"/>
        <v>SJC,42-4-31,,0</v>
      </c>
      <c r="F2502" s="13"/>
      <c r="G2502" s="13" t="s">
        <v>111</v>
      </c>
      <c r="H2502" s="13" t="s">
        <v>75</v>
      </c>
      <c r="I2502" s="13"/>
      <c r="J2502" s="13"/>
      <c r="K2502" s="15"/>
      <c r="L2502" s="15"/>
      <c r="M2502" s="16"/>
      <c r="N2502" s="16"/>
      <c r="O2502" s="17">
        <v>0.0</v>
      </c>
      <c r="P2502" s="17">
        <v>0.0</v>
      </c>
      <c r="Q2502" s="13"/>
      <c r="R2502" s="13"/>
      <c r="S2502" s="13"/>
      <c r="T2502" s="13">
        <f t="shared" ref="T2502:Y2502" si="2739">IF(ISBLANK(K2502)=TRUE,0,1)</f>
        <v>0</v>
      </c>
      <c r="U2502" s="13">
        <f t="shared" si="2739"/>
        <v>0</v>
      </c>
      <c r="V2502" s="13">
        <f t="shared" si="2739"/>
        <v>0</v>
      </c>
      <c r="W2502" s="13">
        <f t="shared" si="2739"/>
        <v>0</v>
      </c>
      <c r="X2502" s="13">
        <f t="shared" si="2739"/>
        <v>1</v>
      </c>
      <c r="Y2502" s="13">
        <f t="shared" si="2739"/>
        <v>1</v>
      </c>
      <c r="Z2502" s="13">
        <f t="shared" si="1998"/>
        <v>0</v>
      </c>
      <c r="AA2502" s="13"/>
      <c r="AB2502" s="13"/>
      <c r="AC2502" s="13"/>
      <c r="AD2502" s="13"/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  <c r="AR2502" s="13"/>
      <c r="AS2502" s="13"/>
    </row>
    <row r="2503" ht="14.25" hidden="1" customHeight="1">
      <c r="A2503" s="13" t="s">
        <v>29</v>
      </c>
      <c r="B2503" s="13" t="s">
        <v>30</v>
      </c>
      <c r="C2503" s="13" t="s">
        <v>1537</v>
      </c>
      <c r="D2503" s="13"/>
      <c r="E2503" s="13" t="str">
        <f t="shared" si="2395"/>
        <v>SJC,42-4-32,,0</v>
      </c>
      <c r="F2503" s="13"/>
      <c r="G2503" s="13" t="s">
        <v>111</v>
      </c>
      <c r="H2503" s="13" t="s">
        <v>75</v>
      </c>
      <c r="I2503" s="13"/>
      <c r="J2503" s="13"/>
      <c r="K2503" s="15"/>
      <c r="L2503" s="15"/>
      <c r="M2503" s="16"/>
      <c r="N2503" s="16"/>
      <c r="O2503" s="17">
        <v>0.0</v>
      </c>
      <c r="P2503" s="17">
        <v>0.0</v>
      </c>
      <c r="Q2503" s="13"/>
      <c r="R2503" s="29"/>
      <c r="S2503" s="13"/>
      <c r="T2503" s="13">
        <f t="shared" ref="T2503:Y2503" si="2740">IF(ISBLANK(K2503)=TRUE,0,1)</f>
        <v>0</v>
      </c>
      <c r="U2503" s="13">
        <f t="shared" si="2740"/>
        <v>0</v>
      </c>
      <c r="V2503" s="13">
        <f t="shared" si="2740"/>
        <v>0</v>
      </c>
      <c r="W2503" s="13">
        <f t="shared" si="2740"/>
        <v>0</v>
      </c>
      <c r="X2503" s="13">
        <f t="shared" si="2740"/>
        <v>1</v>
      </c>
      <c r="Y2503" s="13">
        <f t="shared" si="2740"/>
        <v>1</v>
      </c>
      <c r="Z2503" s="13">
        <f t="shared" si="1998"/>
        <v>0</v>
      </c>
      <c r="AA2503" s="13"/>
      <c r="AB2503" s="13"/>
      <c r="AC2503" s="13"/>
      <c r="AD2503" s="13"/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  <c r="AR2503" s="13"/>
      <c r="AS2503" s="13"/>
    </row>
    <row r="2504" ht="14.25" hidden="1" customHeight="1">
      <c r="A2504" s="13" t="s">
        <v>29</v>
      </c>
      <c r="B2504" s="13" t="s">
        <v>30</v>
      </c>
      <c r="C2504" s="13" t="s">
        <v>1538</v>
      </c>
      <c r="D2504" s="13"/>
      <c r="E2504" s="13" t="str">
        <f t="shared" si="2395"/>
        <v>SJC,42-4-33,,0</v>
      </c>
      <c r="F2504" s="13"/>
      <c r="G2504" s="13" t="s">
        <v>111</v>
      </c>
      <c r="H2504" s="13" t="s">
        <v>75</v>
      </c>
      <c r="I2504" s="13"/>
      <c r="J2504" s="13"/>
      <c r="K2504" s="15"/>
      <c r="L2504" s="15"/>
      <c r="M2504" s="16"/>
      <c r="N2504" s="16"/>
      <c r="O2504" s="17">
        <v>0.0</v>
      </c>
      <c r="P2504" s="17">
        <v>0.0</v>
      </c>
      <c r="Q2504" s="13"/>
      <c r="R2504" s="29"/>
      <c r="S2504" s="13"/>
      <c r="T2504" s="13">
        <f t="shared" ref="T2504:Y2504" si="2741">IF(ISBLANK(K2504)=TRUE,0,1)</f>
        <v>0</v>
      </c>
      <c r="U2504" s="13">
        <f t="shared" si="2741"/>
        <v>0</v>
      </c>
      <c r="V2504" s="13">
        <f t="shared" si="2741"/>
        <v>0</v>
      </c>
      <c r="W2504" s="13">
        <f t="shared" si="2741"/>
        <v>0</v>
      </c>
      <c r="X2504" s="13">
        <f t="shared" si="2741"/>
        <v>1</v>
      </c>
      <c r="Y2504" s="13">
        <f t="shared" si="2741"/>
        <v>1</v>
      </c>
      <c r="Z2504" s="13">
        <f t="shared" si="1998"/>
        <v>0</v>
      </c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</row>
    <row r="2505" ht="14.25" hidden="1" customHeight="1">
      <c r="A2505" s="13" t="s">
        <v>29</v>
      </c>
      <c r="B2505" s="13" t="s">
        <v>30</v>
      </c>
      <c r="C2505" s="13" t="s">
        <v>1539</v>
      </c>
      <c r="D2505" s="13"/>
      <c r="E2505" s="13" t="str">
        <f t="shared" si="2395"/>
        <v>SJC,42-4-34,,NA</v>
      </c>
      <c r="F2505" s="13"/>
      <c r="G2505" s="13" t="s">
        <v>111</v>
      </c>
      <c r="H2505" s="13" t="s">
        <v>75</v>
      </c>
      <c r="I2505" s="13"/>
      <c r="J2505" s="13"/>
      <c r="K2505" s="15"/>
      <c r="L2505" s="15"/>
      <c r="M2505" s="16"/>
      <c r="N2505" s="16"/>
      <c r="O2505" s="17"/>
      <c r="P2505" s="17"/>
      <c r="Q2505" s="13"/>
      <c r="R2505" s="29"/>
      <c r="S2505" s="13"/>
      <c r="T2505" s="13">
        <f t="shared" ref="T2505:Y2505" si="2742">IF(ISBLANK(K2505)=TRUE,0,1)</f>
        <v>0</v>
      </c>
      <c r="U2505" s="13">
        <f t="shared" si="2742"/>
        <v>0</v>
      </c>
      <c r="V2505" s="13">
        <f t="shared" si="2742"/>
        <v>0</v>
      </c>
      <c r="W2505" s="13">
        <f t="shared" si="2742"/>
        <v>0</v>
      </c>
      <c r="X2505" s="13">
        <f t="shared" si="2742"/>
        <v>0</v>
      </c>
      <c r="Y2505" s="13">
        <f t="shared" si="2742"/>
        <v>0</v>
      </c>
      <c r="Z2505" s="13" t="str">
        <f t="shared" si="1998"/>
        <v>NA</v>
      </c>
      <c r="AA2505" s="13"/>
      <c r="AB2505" s="13"/>
      <c r="AC2505" s="13"/>
      <c r="AD2505" s="13"/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</row>
    <row r="2506" ht="14.25" hidden="1" customHeight="1">
      <c r="A2506" s="13" t="s">
        <v>29</v>
      </c>
      <c r="B2506" s="13" t="s">
        <v>30</v>
      </c>
      <c r="C2506" s="13" t="s">
        <v>1540</v>
      </c>
      <c r="D2506" s="13"/>
      <c r="E2506" s="13" t="str">
        <f t="shared" si="2395"/>
        <v>SJC,42-4-35,,NA</v>
      </c>
      <c r="F2506" s="13"/>
      <c r="G2506" s="13" t="s">
        <v>111</v>
      </c>
      <c r="H2506" s="13" t="s">
        <v>75</v>
      </c>
      <c r="I2506" s="13"/>
      <c r="J2506" s="13"/>
      <c r="K2506" s="15"/>
      <c r="L2506" s="15"/>
      <c r="M2506" s="16"/>
      <c r="N2506" s="16"/>
      <c r="O2506" s="17"/>
      <c r="P2506" s="17"/>
      <c r="Q2506" s="13"/>
      <c r="R2506" s="29"/>
      <c r="S2506" s="13"/>
      <c r="T2506" s="13">
        <f t="shared" ref="T2506:Y2506" si="2743">IF(ISBLANK(K2506)=TRUE,0,1)</f>
        <v>0</v>
      </c>
      <c r="U2506" s="13">
        <f t="shared" si="2743"/>
        <v>0</v>
      </c>
      <c r="V2506" s="13">
        <f t="shared" si="2743"/>
        <v>0</v>
      </c>
      <c r="W2506" s="13">
        <f t="shared" si="2743"/>
        <v>0</v>
      </c>
      <c r="X2506" s="13">
        <f t="shared" si="2743"/>
        <v>0</v>
      </c>
      <c r="Y2506" s="13">
        <f t="shared" si="2743"/>
        <v>0</v>
      </c>
      <c r="Z2506" s="13" t="str">
        <f t="shared" si="1998"/>
        <v>NA</v>
      </c>
      <c r="AA2506" s="13"/>
      <c r="AB2506" s="13"/>
      <c r="AC2506" s="13"/>
      <c r="AD2506" s="13"/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</row>
    <row r="2507" ht="14.25" hidden="1" customHeight="1">
      <c r="A2507" s="13" t="s">
        <v>29</v>
      </c>
      <c r="B2507" s="13" t="s">
        <v>30</v>
      </c>
      <c r="C2507" s="13" t="s">
        <v>1541</v>
      </c>
      <c r="D2507" s="13"/>
      <c r="E2507" s="13" t="str">
        <f t="shared" si="2395"/>
        <v>SJC,42-4-36,,0</v>
      </c>
      <c r="F2507" s="13"/>
      <c r="G2507" s="13" t="s">
        <v>111</v>
      </c>
      <c r="H2507" s="13" t="s">
        <v>75</v>
      </c>
      <c r="I2507" s="13"/>
      <c r="J2507" s="13"/>
      <c r="K2507" s="15"/>
      <c r="L2507" s="15"/>
      <c r="M2507" s="16"/>
      <c r="N2507" s="16"/>
      <c r="O2507" s="17">
        <v>0.0</v>
      </c>
      <c r="P2507" s="17">
        <v>0.0</v>
      </c>
      <c r="Q2507" s="13"/>
      <c r="R2507" s="29"/>
      <c r="S2507" s="13"/>
      <c r="T2507" s="13">
        <f t="shared" ref="T2507:Y2507" si="2744">IF(ISBLANK(K2507)=TRUE,0,1)</f>
        <v>0</v>
      </c>
      <c r="U2507" s="13">
        <f t="shared" si="2744"/>
        <v>0</v>
      </c>
      <c r="V2507" s="13">
        <f t="shared" si="2744"/>
        <v>0</v>
      </c>
      <c r="W2507" s="13">
        <f t="shared" si="2744"/>
        <v>0</v>
      </c>
      <c r="X2507" s="13">
        <f t="shared" si="2744"/>
        <v>1</v>
      </c>
      <c r="Y2507" s="13">
        <f t="shared" si="2744"/>
        <v>1</v>
      </c>
      <c r="Z2507" s="13">
        <f t="shared" si="1998"/>
        <v>0</v>
      </c>
      <c r="AA2507" s="13"/>
      <c r="AB2507" s="13"/>
      <c r="AC2507" s="13"/>
      <c r="AD2507" s="13"/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  <c r="AO2507" s="13"/>
      <c r="AP2507" s="13"/>
      <c r="AQ2507" s="13"/>
      <c r="AR2507" s="13"/>
      <c r="AS2507" s="13"/>
    </row>
    <row r="2508" ht="14.25" hidden="1" customHeight="1">
      <c r="A2508" s="13" t="s">
        <v>29</v>
      </c>
      <c r="B2508" s="13" t="s">
        <v>30</v>
      </c>
      <c r="C2508" s="13" t="s">
        <v>1542</v>
      </c>
      <c r="D2508" s="13"/>
      <c r="E2508" s="13" t="str">
        <f t="shared" si="2395"/>
        <v>SJC,42-4-37,,0</v>
      </c>
      <c r="F2508" s="13"/>
      <c r="G2508" s="13" t="s">
        <v>111</v>
      </c>
      <c r="H2508" s="13" t="s">
        <v>75</v>
      </c>
      <c r="I2508" s="13"/>
      <c r="J2508" s="13"/>
      <c r="K2508" s="15"/>
      <c r="L2508" s="15"/>
      <c r="M2508" s="16"/>
      <c r="N2508" s="16"/>
      <c r="O2508" s="17">
        <v>0.0</v>
      </c>
      <c r="P2508" s="17">
        <v>0.0</v>
      </c>
      <c r="Q2508" s="13"/>
      <c r="R2508" s="29"/>
      <c r="S2508" s="13"/>
      <c r="T2508" s="13">
        <f t="shared" ref="T2508:Y2508" si="2745">IF(ISBLANK(K2508)=TRUE,0,1)</f>
        <v>0</v>
      </c>
      <c r="U2508" s="13">
        <f t="shared" si="2745"/>
        <v>0</v>
      </c>
      <c r="V2508" s="13">
        <f t="shared" si="2745"/>
        <v>0</v>
      </c>
      <c r="W2508" s="13">
        <f t="shared" si="2745"/>
        <v>0</v>
      </c>
      <c r="X2508" s="13">
        <f t="shared" si="2745"/>
        <v>1</v>
      </c>
      <c r="Y2508" s="13">
        <f t="shared" si="2745"/>
        <v>1</v>
      </c>
      <c r="Z2508" s="13">
        <f t="shared" si="1998"/>
        <v>0</v>
      </c>
      <c r="AA2508" s="13"/>
      <c r="AB2508" s="13"/>
      <c r="AC2508" s="13"/>
      <c r="AD2508" s="13"/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  <c r="AQ2508" s="13"/>
      <c r="AR2508" s="13"/>
      <c r="AS2508" s="13"/>
    </row>
    <row r="2509" ht="14.25" hidden="1" customHeight="1">
      <c r="A2509" s="13" t="s">
        <v>29</v>
      </c>
      <c r="B2509" s="13" t="s">
        <v>30</v>
      </c>
      <c r="C2509" s="13" t="s">
        <v>1543</v>
      </c>
      <c r="D2509" s="13"/>
      <c r="E2509" s="13" t="str">
        <f t="shared" si="2395"/>
        <v>SJC,42-4-38,,NA</v>
      </c>
      <c r="F2509" s="13"/>
      <c r="G2509" s="13" t="s">
        <v>111</v>
      </c>
      <c r="H2509" s="13" t="s">
        <v>75</v>
      </c>
      <c r="I2509" s="13"/>
      <c r="J2509" s="13"/>
      <c r="K2509" s="15"/>
      <c r="L2509" s="15"/>
      <c r="M2509" s="16"/>
      <c r="N2509" s="16"/>
      <c r="O2509" s="17"/>
      <c r="P2509" s="17"/>
      <c r="Q2509" s="13"/>
      <c r="R2509" s="29"/>
      <c r="S2509" s="13"/>
      <c r="T2509" s="13">
        <f t="shared" ref="T2509:Y2509" si="2746">IF(ISBLANK(K2509)=TRUE,0,1)</f>
        <v>0</v>
      </c>
      <c r="U2509" s="13">
        <f t="shared" si="2746"/>
        <v>0</v>
      </c>
      <c r="V2509" s="13">
        <f t="shared" si="2746"/>
        <v>0</v>
      </c>
      <c r="W2509" s="13">
        <f t="shared" si="2746"/>
        <v>0</v>
      </c>
      <c r="X2509" s="13">
        <f t="shared" si="2746"/>
        <v>0</v>
      </c>
      <c r="Y2509" s="13">
        <f t="shared" si="2746"/>
        <v>0</v>
      </c>
      <c r="Z2509" s="13" t="str">
        <f t="shared" si="1998"/>
        <v>NA</v>
      </c>
      <c r="AA2509" s="13"/>
      <c r="AB2509" s="13"/>
      <c r="AC2509" s="13"/>
      <c r="AD2509" s="13"/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  <c r="AO2509" s="13"/>
      <c r="AP2509" s="13"/>
      <c r="AQ2509" s="13"/>
      <c r="AR2509" s="13"/>
      <c r="AS2509" s="13"/>
    </row>
    <row r="2510" ht="14.25" hidden="1" customHeight="1">
      <c r="A2510" s="13" t="s">
        <v>29</v>
      </c>
      <c r="B2510" s="13" t="s">
        <v>30</v>
      </c>
      <c r="C2510" s="13" t="s">
        <v>1544</v>
      </c>
      <c r="D2510" s="13"/>
      <c r="E2510" s="13" t="str">
        <f t="shared" si="2395"/>
        <v>SJC,42-4-39,,0</v>
      </c>
      <c r="F2510" s="13"/>
      <c r="G2510" s="13" t="s">
        <v>111</v>
      </c>
      <c r="H2510" s="13" t="s">
        <v>75</v>
      </c>
      <c r="I2510" s="13"/>
      <c r="J2510" s="13"/>
      <c r="K2510" s="15"/>
      <c r="L2510" s="15"/>
      <c r="M2510" s="16"/>
      <c r="N2510" s="16"/>
      <c r="O2510" s="17">
        <v>0.0</v>
      </c>
      <c r="P2510" s="17">
        <v>0.0</v>
      </c>
      <c r="Q2510" s="13"/>
      <c r="R2510" s="29"/>
      <c r="S2510" s="13"/>
      <c r="T2510" s="13">
        <f t="shared" ref="T2510:Y2510" si="2747">IF(ISBLANK(K2510)=TRUE,0,1)</f>
        <v>0</v>
      </c>
      <c r="U2510" s="13">
        <f t="shared" si="2747"/>
        <v>0</v>
      </c>
      <c r="V2510" s="13">
        <f t="shared" si="2747"/>
        <v>0</v>
      </c>
      <c r="W2510" s="13">
        <f t="shared" si="2747"/>
        <v>0</v>
      </c>
      <c r="X2510" s="13">
        <f t="shared" si="2747"/>
        <v>1</v>
      </c>
      <c r="Y2510" s="13">
        <f t="shared" si="2747"/>
        <v>1</v>
      </c>
      <c r="Z2510" s="13">
        <f t="shared" si="1998"/>
        <v>0</v>
      </c>
      <c r="AA2510" s="13"/>
      <c r="AB2510" s="13"/>
      <c r="AC2510" s="13"/>
      <c r="AD2510" s="13"/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</row>
    <row r="2511" ht="14.25" hidden="1" customHeight="1">
      <c r="A2511" s="13" t="s">
        <v>29</v>
      </c>
      <c r="B2511" s="13" t="s">
        <v>30</v>
      </c>
      <c r="C2511" s="13" t="s">
        <v>1545</v>
      </c>
      <c r="D2511" s="13"/>
      <c r="E2511" s="13" t="str">
        <f t="shared" si="2395"/>
        <v>SJC,42-4-4,,0</v>
      </c>
      <c r="F2511" s="13"/>
      <c r="G2511" s="13" t="s">
        <v>111</v>
      </c>
      <c r="H2511" s="13" t="s">
        <v>75</v>
      </c>
      <c r="I2511" s="13"/>
      <c r="J2511" s="13"/>
      <c r="K2511" s="15"/>
      <c r="L2511" s="15"/>
      <c r="M2511" s="16"/>
      <c r="N2511" s="16"/>
      <c r="O2511" s="17">
        <v>0.0</v>
      </c>
      <c r="P2511" s="17">
        <v>0.0</v>
      </c>
      <c r="Q2511" s="13"/>
      <c r="R2511" s="13"/>
      <c r="S2511" s="13"/>
      <c r="T2511" s="13">
        <f t="shared" ref="T2511:Y2511" si="2748">IF(ISBLANK(K2511)=TRUE,0,1)</f>
        <v>0</v>
      </c>
      <c r="U2511" s="13">
        <f t="shared" si="2748"/>
        <v>0</v>
      </c>
      <c r="V2511" s="13">
        <f t="shared" si="2748"/>
        <v>0</v>
      </c>
      <c r="W2511" s="13">
        <f t="shared" si="2748"/>
        <v>0</v>
      </c>
      <c r="X2511" s="13">
        <f t="shared" si="2748"/>
        <v>1</v>
      </c>
      <c r="Y2511" s="13">
        <f t="shared" si="2748"/>
        <v>1</v>
      </c>
      <c r="Z2511" s="13">
        <f t="shared" si="1998"/>
        <v>0</v>
      </c>
      <c r="AA2511" s="13"/>
      <c r="AB2511" s="13"/>
      <c r="AC2511" s="13"/>
      <c r="AD2511" s="13"/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</row>
    <row r="2512" ht="14.25" hidden="1" customHeight="1">
      <c r="A2512" s="13" t="s">
        <v>29</v>
      </c>
      <c r="B2512" s="13" t="s">
        <v>30</v>
      </c>
      <c r="C2512" s="13" t="s">
        <v>1546</v>
      </c>
      <c r="D2512" s="13"/>
      <c r="E2512" s="13" t="str">
        <f t="shared" si="2395"/>
        <v>SJC,42-4-40,,0</v>
      </c>
      <c r="F2512" s="13"/>
      <c r="G2512" s="13" t="s">
        <v>111</v>
      </c>
      <c r="H2512" s="13" t="s">
        <v>75</v>
      </c>
      <c r="I2512" s="13"/>
      <c r="J2512" s="13"/>
      <c r="K2512" s="15"/>
      <c r="L2512" s="15"/>
      <c r="M2512" s="16"/>
      <c r="N2512" s="16"/>
      <c r="O2512" s="17">
        <v>0.0</v>
      </c>
      <c r="P2512" s="17">
        <v>0.0</v>
      </c>
      <c r="Q2512" s="13"/>
      <c r="R2512" s="29"/>
      <c r="S2512" s="13"/>
      <c r="T2512" s="13">
        <f t="shared" ref="T2512:Y2512" si="2749">IF(ISBLANK(K2512)=TRUE,0,1)</f>
        <v>0</v>
      </c>
      <c r="U2512" s="13">
        <f t="shared" si="2749"/>
        <v>0</v>
      </c>
      <c r="V2512" s="13">
        <f t="shared" si="2749"/>
        <v>0</v>
      </c>
      <c r="W2512" s="13">
        <f t="shared" si="2749"/>
        <v>0</v>
      </c>
      <c r="X2512" s="13">
        <f t="shared" si="2749"/>
        <v>1</v>
      </c>
      <c r="Y2512" s="13">
        <f t="shared" si="2749"/>
        <v>1</v>
      </c>
      <c r="Z2512" s="13">
        <f t="shared" si="1998"/>
        <v>0</v>
      </c>
      <c r="AA2512" s="13"/>
      <c r="AB2512" s="13"/>
      <c r="AC2512" s="13"/>
      <c r="AD2512" s="13"/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</row>
    <row r="2513" ht="14.25" hidden="1" customHeight="1">
      <c r="A2513" s="13" t="s">
        <v>29</v>
      </c>
      <c r="B2513" s="13" t="s">
        <v>30</v>
      </c>
      <c r="C2513" s="13" t="s">
        <v>1547</v>
      </c>
      <c r="D2513" s="13"/>
      <c r="E2513" s="13" t="str">
        <f t="shared" si="2395"/>
        <v>SJC,42-4-41,,0</v>
      </c>
      <c r="F2513" s="13"/>
      <c r="G2513" s="13" t="s">
        <v>111</v>
      </c>
      <c r="H2513" s="13" t="s">
        <v>75</v>
      </c>
      <c r="I2513" s="13"/>
      <c r="J2513" s="13"/>
      <c r="K2513" s="15"/>
      <c r="L2513" s="15"/>
      <c r="M2513" s="16"/>
      <c r="N2513" s="16"/>
      <c r="O2513" s="17">
        <v>0.0</v>
      </c>
      <c r="P2513" s="17">
        <v>0.0</v>
      </c>
      <c r="Q2513" s="13"/>
      <c r="R2513" s="13"/>
      <c r="S2513" s="13"/>
      <c r="T2513" s="13">
        <f t="shared" ref="T2513:Y2513" si="2750">IF(ISBLANK(K2513)=TRUE,0,1)</f>
        <v>0</v>
      </c>
      <c r="U2513" s="13">
        <f t="shared" si="2750"/>
        <v>0</v>
      </c>
      <c r="V2513" s="13">
        <f t="shared" si="2750"/>
        <v>0</v>
      </c>
      <c r="W2513" s="13">
        <f t="shared" si="2750"/>
        <v>0</v>
      </c>
      <c r="X2513" s="13">
        <f t="shared" si="2750"/>
        <v>1</v>
      </c>
      <c r="Y2513" s="13">
        <f t="shared" si="2750"/>
        <v>1</v>
      </c>
      <c r="Z2513" s="13">
        <f t="shared" si="1998"/>
        <v>0</v>
      </c>
      <c r="AA2513" s="13"/>
      <c r="AB2513" s="13"/>
      <c r="AC2513" s="13"/>
      <c r="AD2513" s="13"/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  <c r="AO2513" s="13"/>
      <c r="AP2513" s="13"/>
      <c r="AQ2513" s="13"/>
      <c r="AR2513" s="13"/>
      <c r="AS2513" s="13"/>
    </row>
    <row r="2514" ht="14.25" hidden="1" customHeight="1">
      <c r="A2514" s="13" t="s">
        <v>29</v>
      </c>
      <c r="B2514" s="13" t="s">
        <v>30</v>
      </c>
      <c r="C2514" s="13" t="s">
        <v>1548</v>
      </c>
      <c r="D2514" s="13"/>
      <c r="E2514" s="13" t="str">
        <f t="shared" si="2395"/>
        <v>SJC,42-4-42,,0</v>
      </c>
      <c r="F2514" s="13"/>
      <c r="G2514" s="13" t="s">
        <v>111</v>
      </c>
      <c r="H2514" s="13" t="s">
        <v>75</v>
      </c>
      <c r="I2514" s="13"/>
      <c r="J2514" s="13"/>
      <c r="K2514" s="15"/>
      <c r="L2514" s="15"/>
      <c r="M2514" s="16"/>
      <c r="N2514" s="16"/>
      <c r="O2514" s="17">
        <v>0.0</v>
      </c>
      <c r="P2514" s="17">
        <v>0.0</v>
      </c>
      <c r="Q2514" s="13"/>
      <c r="R2514" s="29"/>
      <c r="S2514" s="13"/>
      <c r="T2514" s="13">
        <f t="shared" ref="T2514:Y2514" si="2751">IF(ISBLANK(K2514)=TRUE,0,1)</f>
        <v>0</v>
      </c>
      <c r="U2514" s="13">
        <f t="shared" si="2751"/>
        <v>0</v>
      </c>
      <c r="V2514" s="13">
        <f t="shared" si="2751"/>
        <v>0</v>
      </c>
      <c r="W2514" s="13">
        <f t="shared" si="2751"/>
        <v>0</v>
      </c>
      <c r="X2514" s="13">
        <f t="shared" si="2751"/>
        <v>1</v>
      </c>
      <c r="Y2514" s="13">
        <f t="shared" si="2751"/>
        <v>1</v>
      </c>
      <c r="Z2514" s="13">
        <f t="shared" si="1998"/>
        <v>0</v>
      </c>
      <c r="AA2514" s="13"/>
      <c r="AB2514" s="13"/>
      <c r="AC2514" s="13"/>
      <c r="AD2514" s="13"/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/>
      <c r="AS2514" s="13"/>
    </row>
    <row r="2515" ht="14.25" hidden="1" customHeight="1">
      <c r="A2515" s="13" t="s">
        <v>29</v>
      </c>
      <c r="B2515" s="13" t="s">
        <v>30</v>
      </c>
      <c r="C2515" s="13" t="s">
        <v>1549</v>
      </c>
      <c r="D2515" s="13"/>
      <c r="E2515" s="13" t="str">
        <f t="shared" si="2395"/>
        <v>SJC,42-4-43,,1</v>
      </c>
      <c r="F2515" s="13"/>
      <c r="G2515" s="13" t="s">
        <v>111</v>
      </c>
      <c r="H2515" s="13" t="s">
        <v>75</v>
      </c>
      <c r="I2515" s="13"/>
      <c r="J2515" s="13"/>
      <c r="K2515" s="15"/>
      <c r="L2515" s="15"/>
      <c r="M2515" s="16"/>
      <c r="N2515" s="16"/>
      <c r="O2515" s="17">
        <v>1.0</v>
      </c>
      <c r="P2515" s="17">
        <v>1.0</v>
      </c>
      <c r="Q2515" s="13"/>
      <c r="R2515" s="29">
        <v>45007.0</v>
      </c>
      <c r="S2515" s="13"/>
      <c r="T2515" s="13">
        <f t="shared" ref="T2515:Y2515" si="2752">IF(ISBLANK(K2515)=TRUE,0,1)</f>
        <v>0</v>
      </c>
      <c r="U2515" s="13">
        <f t="shared" si="2752"/>
        <v>0</v>
      </c>
      <c r="V2515" s="13">
        <f t="shared" si="2752"/>
        <v>0</v>
      </c>
      <c r="W2515" s="13">
        <f t="shared" si="2752"/>
        <v>0</v>
      </c>
      <c r="X2515" s="13">
        <f t="shared" si="2752"/>
        <v>1</v>
      </c>
      <c r="Y2515" s="13">
        <f t="shared" si="2752"/>
        <v>1</v>
      </c>
      <c r="Z2515" s="13">
        <f t="shared" si="1998"/>
        <v>1</v>
      </c>
      <c r="AA2515" s="13"/>
      <c r="AB2515" s="13"/>
      <c r="AC2515" s="13"/>
      <c r="AD2515" s="13"/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</row>
    <row r="2516" ht="14.25" hidden="1" customHeight="1">
      <c r="A2516" s="13" t="s">
        <v>29</v>
      </c>
      <c r="B2516" s="13" t="s">
        <v>30</v>
      </c>
      <c r="C2516" s="13" t="s">
        <v>1550</v>
      </c>
      <c r="D2516" s="13"/>
      <c r="E2516" s="13" t="str">
        <f t="shared" si="2395"/>
        <v>SJC,42-4-44,,0</v>
      </c>
      <c r="F2516" s="13"/>
      <c r="G2516" s="13" t="s">
        <v>111</v>
      </c>
      <c r="H2516" s="13" t="s">
        <v>75</v>
      </c>
      <c r="I2516" s="13"/>
      <c r="J2516" s="13"/>
      <c r="K2516" s="15"/>
      <c r="L2516" s="15"/>
      <c r="M2516" s="16"/>
      <c r="N2516" s="16"/>
      <c r="O2516" s="17">
        <v>0.0</v>
      </c>
      <c r="P2516" s="17">
        <v>0.0</v>
      </c>
      <c r="Q2516" s="13"/>
      <c r="R2516" s="13"/>
      <c r="S2516" s="13"/>
      <c r="T2516" s="13">
        <f t="shared" ref="T2516:Y2516" si="2753">IF(ISBLANK(K2516)=TRUE,0,1)</f>
        <v>0</v>
      </c>
      <c r="U2516" s="13">
        <f t="shared" si="2753"/>
        <v>0</v>
      </c>
      <c r="V2516" s="13">
        <f t="shared" si="2753"/>
        <v>0</v>
      </c>
      <c r="W2516" s="13">
        <f t="shared" si="2753"/>
        <v>0</v>
      </c>
      <c r="X2516" s="13">
        <f t="shared" si="2753"/>
        <v>1</v>
      </c>
      <c r="Y2516" s="13">
        <f t="shared" si="2753"/>
        <v>1</v>
      </c>
      <c r="Z2516" s="13">
        <f t="shared" si="1998"/>
        <v>0</v>
      </c>
      <c r="AA2516" s="13"/>
      <c r="AB2516" s="13"/>
      <c r="AC2516" s="13"/>
      <c r="AD2516" s="13"/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</row>
    <row r="2517" ht="14.25" hidden="1" customHeight="1">
      <c r="A2517" s="13" t="s">
        <v>29</v>
      </c>
      <c r="B2517" s="13" t="s">
        <v>30</v>
      </c>
      <c r="C2517" s="13" t="s">
        <v>1551</v>
      </c>
      <c r="D2517" s="13"/>
      <c r="E2517" s="13" t="str">
        <f t="shared" si="2395"/>
        <v>SJC,42-4-45,,0</v>
      </c>
      <c r="F2517" s="13"/>
      <c r="G2517" s="13" t="s">
        <v>111</v>
      </c>
      <c r="H2517" s="13" t="s">
        <v>75</v>
      </c>
      <c r="I2517" s="13"/>
      <c r="J2517" s="13"/>
      <c r="K2517" s="15"/>
      <c r="L2517" s="15"/>
      <c r="M2517" s="16"/>
      <c r="N2517" s="16"/>
      <c r="O2517" s="17">
        <v>0.0</v>
      </c>
      <c r="P2517" s="17">
        <v>0.0</v>
      </c>
      <c r="Q2517" s="13"/>
      <c r="R2517" s="13"/>
      <c r="S2517" s="13"/>
      <c r="T2517" s="13">
        <f t="shared" ref="T2517:Y2517" si="2754">IF(ISBLANK(K2517)=TRUE,0,1)</f>
        <v>0</v>
      </c>
      <c r="U2517" s="13">
        <f t="shared" si="2754"/>
        <v>0</v>
      </c>
      <c r="V2517" s="13">
        <f t="shared" si="2754"/>
        <v>0</v>
      </c>
      <c r="W2517" s="13">
        <f t="shared" si="2754"/>
        <v>0</v>
      </c>
      <c r="X2517" s="13">
        <f t="shared" si="2754"/>
        <v>1</v>
      </c>
      <c r="Y2517" s="13">
        <f t="shared" si="2754"/>
        <v>1</v>
      </c>
      <c r="Z2517" s="13">
        <f t="shared" si="1998"/>
        <v>0</v>
      </c>
      <c r="AA2517" s="13"/>
      <c r="AB2517" s="13"/>
      <c r="AC2517" s="13"/>
      <c r="AD2517" s="13"/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  <c r="AO2517" s="13"/>
      <c r="AP2517" s="13"/>
      <c r="AQ2517" s="13"/>
      <c r="AR2517" s="13"/>
      <c r="AS2517" s="13"/>
    </row>
    <row r="2518" ht="14.25" hidden="1" customHeight="1">
      <c r="A2518" s="13" t="s">
        <v>29</v>
      </c>
      <c r="B2518" s="13" t="s">
        <v>30</v>
      </c>
      <c r="C2518" s="13" t="s">
        <v>1552</v>
      </c>
      <c r="D2518" s="13"/>
      <c r="E2518" s="13" t="str">
        <f t="shared" si="2395"/>
        <v>SJC,42-4-46,,NA</v>
      </c>
      <c r="F2518" s="13"/>
      <c r="G2518" s="13" t="s">
        <v>111</v>
      </c>
      <c r="H2518" s="13" t="s">
        <v>107</v>
      </c>
      <c r="I2518" s="13"/>
      <c r="J2518" s="13"/>
      <c r="K2518" s="15"/>
      <c r="L2518" s="15"/>
      <c r="M2518" s="16"/>
      <c r="N2518" s="16"/>
      <c r="O2518" s="17"/>
      <c r="P2518" s="17"/>
      <c r="Q2518" s="13"/>
      <c r="R2518" s="13"/>
      <c r="S2518" s="13"/>
      <c r="T2518" s="13">
        <f t="shared" ref="T2518:Y2518" si="2755">IF(ISBLANK(K2518)=TRUE,0,1)</f>
        <v>0</v>
      </c>
      <c r="U2518" s="13">
        <f t="shared" si="2755"/>
        <v>0</v>
      </c>
      <c r="V2518" s="13">
        <f t="shared" si="2755"/>
        <v>0</v>
      </c>
      <c r="W2518" s="13">
        <f t="shared" si="2755"/>
        <v>0</v>
      </c>
      <c r="X2518" s="13">
        <f t="shared" si="2755"/>
        <v>0</v>
      </c>
      <c r="Y2518" s="13">
        <f t="shared" si="2755"/>
        <v>0</v>
      </c>
      <c r="Z2518" s="13" t="str">
        <f t="shared" si="1998"/>
        <v>NA</v>
      </c>
      <c r="AA2518" s="13"/>
      <c r="AB2518" s="13"/>
      <c r="AC2518" s="13"/>
      <c r="AD2518" s="13"/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</row>
    <row r="2519" ht="14.25" hidden="1" customHeight="1">
      <c r="A2519" s="13" t="s">
        <v>29</v>
      </c>
      <c r="B2519" s="13" t="s">
        <v>30</v>
      </c>
      <c r="C2519" s="13" t="s">
        <v>1553</v>
      </c>
      <c r="D2519" s="13"/>
      <c r="E2519" s="13" t="str">
        <f t="shared" si="2395"/>
        <v>SJC,42-4-47,,0</v>
      </c>
      <c r="F2519" s="13"/>
      <c r="G2519" s="13" t="s">
        <v>111</v>
      </c>
      <c r="H2519" s="13" t="s">
        <v>75</v>
      </c>
      <c r="I2519" s="13"/>
      <c r="J2519" s="13"/>
      <c r="K2519" s="15"/>
      <c r="L2519" s="15"/>
      <c r="M2519" s="16"/>
      <c r="N2519" s="16"/>
      <c r="O2519" s="17">
        <v>0.0</v>
      </c>
      <c r="P2519" s="17">
        <v>0.0</v>
      </c>
      <c r="Q2519" s="13"/>
      <c r="R2519" s="13"/>
      <c r="S2519" s="13"/>
      <c r="T2519" s="13">
        <f t="shared" ref="T2519:Y2519" si="2756">IF(ISBLANK(K2519)=TRUE,0,1)</f>
        <v>0</v>
      </c>
      <c r="U2519" s="13">
        <f t="shared" si="2756"/>
        <v>0</v>
      </c>
      <c r="V2519" s="13">
        <f t="shared" si="2756"/>
        <v>0</v>
      </c>
      <c r="W2519" s="13">
        <f t="shared" si="2756"/>
        <v>0</v>
      </c>
      <c r="X2519" s="13">
        <f t="shared" si="2756"/>
        <v>1</v>
      </c>
      <c r="Y2519" s="13">
        <f t="shared" si="2756"/>
        <v>1</v>
      </c>
      <c r="Z2519" s="13">
        <f t="shared" si="1998"/>
        <v>0</v>
      </c>
      <c r="AA2519" s="13"/>
      <c r="AB2519" s="13"/>
      <c r="AC2519" s="13"/>
      <c r="AD2519" s="13"/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</row>
    <row r="2520" ht="14.25" hidden="1" customHeight="1">
      <c r="A2520" s="13" t="s">
        <v>29</v>
      </c>
      <c r="B2520" s="13" t="s">
        <v>30</v>
      </c>
      <c r="C2520" s="13" t="s">
        <v>1554</v>
      </c>
      <c r="D2520" s="13"/>
      <c r="E2520" s="13" t="str">
        <f t="shared" si="2395"/>
        <v>SJC,42-4-48,,0</v>
      </c>
      <c r="F2520" s="13"/>
      <c r="G2520" s="13" t="s">
        <v>111</v>
      </c>
      <c r="H2520" s="13" t="s">
        <v>75</v>
      </c>
      <c r="I2520" s="13"/>
      <c r="J2520" s="13"/>
      <c r="K2520" s="15"/>
      <c r="L2520" s="15"/>
      <c r="M2520" s="16"/>
      <c r="N2520" s="16"/>
      <c r="O2520" s="17">
        <v>0.0</v>
      </c>
      <c r="P2520" s="17">
        <v>0.0</v>
      </c>
      <c r="Q2520" s="13"/>
      <c r="R2520" s="13"/>
      <c r="S2520" s="13"/>
      <c r="T2520" s="13">
        <f t="shared" ref="T2520:Y2520" si="2757">IF(ISBLANK(K2520)=TRUE,0,1)</f>
        <v>0</v>
      </c>
      <c r="U2520" s="13">
        <f t="shared" si="2757"/>
        <v>0</v>
      </c>
      <c r="V2520" s="13">
        <f t="shared" si="2757"/>
        <v>0</v>
      </c>
      <c r="W2520" s="13">
        <f t="shared" si="2757"/>
        <v>0</v>
      </c>
      <c r="X2520" s="13">
        <f t="shared" si="2757"/>
        <v>1</v>
      </c>
      <c r="Y2520" s="13">
        <f t="shared" si="2757"/>
        <v>1</v>
      </c>
      <c r="Z2520" s="13">
        <f t="shared" si="1998"/>
        <v>0</v>
      </c>
      <c r="AA2520" s="13"/>
      <c r="AB2520" s="13"/>
      <c r="AC2520" s="13"/>
      <c r="AD2520" s="13"/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  <c r="AO2520" s="13"/>
      <c r="AP2520" s="13"/>
      <c r="AQ2520" s="13"/>
      <c r="AR2520" s="13"/>
      <c r="AS2520" s="13"/>
    </row>
    <row r="2521" ht="14.25" hidden="1" customHeight="1">
      <c r="A2521" s="13" t="s">
        <v>29</v>
      </c>
      <c r="B2521" s="13" t="s">
        <v>30</v>
      </c>
      <c r="C2521" s="13" t="s">
        <v>1555</v>
      </c>
      <c r="D2521" s="13"/>
      <c r="E2521" s="13" t="str">
        <f t="shared" si="2395"/>
        <v>SJC,42-4-49,,0</v>
      </c>
      <c r="F2521" s="13"/>
      <c r="G2521" s="13" t="s">
        <v>111</v>
      </c>
      <c r="H2521" s="13" t="s">
        <v>75</v>
      </c>
      <c r="I2521" s="13"/>
      <c r="J2521" s="13"/>
      <c r="K2521" s="15"/>
      <c r="L2521" s="15"/>
      <c r="M2521" s="16"/>
      <c r="N2521" s="16"/>
      <c r="O2521" s="17">
        <v>0.0</v>
      </c>
      <c r="P2521" s="17">
        <v>0.0</v>
      </c>
      <c r="Q2521" s="13"/>
      <c r="R2521" s="13"/>
      <c r="S2521" s="13"/>
      <c r="T2521" s="13">
        <f t="shared" ref="T2521:Y2521" si="2758">IF(ISBLANK(K2521)=TRUE,0,1)</f>
        <v>0</v>
      </c>
      <c r="U2521" s="13">
        <f t="shared" si="2758"/>
        <v>0</v>
      </c>
      <c r="V2521" s="13">
        <f t="shared" si="2758"/>
        <v>0</v>
      </c>
      <c r="W2521" s="13">
        <f t="shared" si="2758"/>
        <v>0</v>
      </c>
      <c r="X2521" s="13">
        <f t="shared" si="2758"/>
        <v>1</v>
      </c>
      <c r="Y2521" s="13">
        <f t="shared" si="2758"/>
        <v>1</v>
      </c>
      <c r="Z2521" s="13">
        <f t="shared" si="1998"/>
        <v>0</v>
      </c>
      <c r="AA2521" s="13"/>
      <c r="AB2521" s="13"/>
      <c r="AC2521" s="13"/>
      <c r="AD2521" s="13"/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</row>
    <row r="2522" ht="14.25" hidden="1" customHeight="1">
      <c r="A2522" s="13" t="s">
        <v>29</v>
      </c>
      <c r="B2522" s="13" t="s">
        <v>30</v>
      </c>
      <c r="C2522" s="13" t="s">
        <v>1556</v>
      </c>
      <c r="D2522" s="13"/>
      <c r="E2522" s="13" t="str">
        <f t="shared" si="2395"/>
        <v>SJC,42-4-5,,NA</v>
      </c>
      <c r="F2522" s="13"/>
      <c r="G2522" s="13" t="s">
        <v>111</v>
      </c>
      <c r="H2522" s="13" t="s">
        <v>107</v>
      </c>
      <c r="I2522" s="13"/>
      <c r="J2522" s="13"/>
      <c r="K2522" s="15"/>
      <c r="L2522" s="15"/>
      <c r="M2522" s="16"/>
      <c r="N2522" s="16"/>
      <c r="O2522" s="17"/>
      <c r="P2522" s="17"/>
      <c r="Q2522" s="13"/>
      <c r="R2522" s="13"/>
      <c r="S2522" s="13"/>
      <c r="T2522" s="13">
        <f t="shared" ref="T2522:Y2522" si="2759">IF(ISBLANK(K2522)=TRUE,0,1)</f>
        <v>0</v>
      </c>
      <c r="U2522" s="13">
        <f t="shared" si="2759"/>
        <v>0</v>
      </c>
      <c r="V2522" s="13">
        <f t="shared" si="2759"/>
        <v>0</v>
      </c>
      <c r="W2522" s="13">
        <f t="shared" si="2759"/>
        <v>0</v>
      </c>
      <c r="X2522" s="13">
        <f t="shared" si="2759"/>
        <v>0</v>
      </c>
      <c r="Y2522" s="13">
        <f t="shared" si="2759"/>
        <v>0</v>
      </c>
      <c r="Z2522" s="13" t="str">
        <f t="shared" si="1998"/>
        <v>NA</v>
      </c>
      <c r="AA2522" s="13"/>
      <c r="AB2522" s="13"/>
      <c r="AC2522" s="13"/>
      <c r="AD2522" s="13"/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  <c r="AO2522" s="13"/>
      <c r="AP2522" s="13"/>
      <c r="AQ2522" s="13"/>
      <c r="AR2522" s="13"/>
      <c r="AS2522" s="13"/>
    </row>
    <row r="2523" ht="14.25" hidden="1" customHeight="1">
      <c r="A2523" s="13" t="s">
        <v>29</v>
      </c>
      <c r="B2523" s="13" t="s">
        <v>30</v>
      </c>
      <c r="C2523" s="13" t="s">
        <v>1557</v>
      </c>
      <c r="D2523" s="13"/>
      <c r="E2523" s="13" t="str">
        <f t="shared" si="2395"/>
        <v>SJC,42-4-50,,0</v>
      </c>
      <c r="F2523" s="13"/>
      <c r="G2523" s="13" t="s">
        <v>111</v>
      </c>
      <c r="H2523" s="13" t="s">
        <v>75</v>
      </c>
      <c r="I2523" s="13"/>
      <c r="J2523" s="13"/>
      <c r="K2523" s="15"/>
      <c r="L2523" s="15"/>
      <c r="M2523" s="16"/>
      <c r="N2523" s="16"/>
      <c r="O2523" s="17">
        <v>0.0</v>
      </c>
      <c r="P2523" s="17">
        <v>0.0</v>
      </c>
      <c r="Q2523" s="13"/>
      <c r="R2523" s="13"/>
      <c r="S2523" s="13"/>
      <c r="T2523" s="13">
        <f t="shared" ref="T2523:Y2523" si="2760">IF(ISBLANK(K2523)=TRUE,0,1)</f>
        <v>0</v>
      </c>
      <c r="U2523" s="13">
        <f t="shared" si="2760"/>
        <v>0</v>
      </c>
      <c r="V2523" s="13">
        <f t="shared" si="2760"/>
        <v>0</v>
      </c>
      <c r="W2523" s="13">
        <f t="shared" si="2760"/>
        <v>0</v>
      </c>
      <c r="X2523" s="13">
        <f t="shared" si="2760"/>
        <v>1</v>
      </c>
      <c r="Y2523" s="13">
        <f t="shared" si="2760"/>
        <v>1</v>
      </c>
      <c r="Z2523" s="13">
        <f t="shared" si="1998"/>
        <v>0</v>
      </c>
      <c r="AA2523" s="13"/>
      <c r="AB2523" s="13"/>
      <c r="AC2523" s="13"/>
      <c r="AD2523" s="13"/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  <c r="AO2523" s="13"/>
      <c r="AP2523" s="13"/>
      <c r="AQ2523" s="13"/>
      <c r="AR2523" s="13"/>
      <c r="AS2523" s="13"/>
    </row>
    <row r="2524" ht="14.25" hidden="1" customHeight="1">
      <c r="A2524" s="13" t="s">
        <v>29</v>
      </c>
      <c r="B2524" s="13" t="s">
        <v>30</v>
      </c>
      <c r="C2524" s="13" t="s">
        <v>1558</v>
      </c>
      <c r="D2524" s="13"/>
      <c r="E2524" s="13" t="str">
        <f t="shared" si="2395"/>
        <v>SJC,42-4-51,,0</v>
      </c>
      <c r="F2524" s="13"/>
      <c r="G2524" s="13" t="s">
        <v>111</v>
      </c>
      <c r="H2524" s="13" t="s">
        <v>75</v>
      </c>
      <c r="I2524" s="13"/>
      <c r="J2524" s="13"/>
      <c r="K2524" s="15"/>
      <c r="L2524" s="15"/>
      <c r="M2524" s="16"/>
      <c r="N2524" s="16"/>
      <c r="O2524" s="17">
        <v>0.0</v>
      </c>
      <c r="P2524" s="17">
        <v>0.0</v>
      </c>
      <c r="Q2524" s="13"/>
      <c r="R2524" s="13"/>
      <c r="S2524" s="13"/>
      <c r="T2524" s="13">
        <f t="shared" ref="T2524:Y2524" si="2761">IF(ISBLANK(K2524)=TRUE,0,1)</f>
        <v>0</v>
      </c>
      <c r="U2524" s="13">
        <f t="shared" si="2761"/>
        <v>0</v>
      </c>
      <c r="V2524" s="13">
        <f t="shared" si="2761"/>
        <v>0</v>
      </c>
      <c r="W2524" s="13">
        <f t="shared" si="2761"/>
        <v>0</v>
      </c>
      <c r="X2524" s="13">
        <f t="shared" si="2761"/>
        <v>1</v>
      </c>
      <c r="Y2524" s="13">
        <f t="shared" si="2761"/>
        <v>1</v>
      </c>
      <c r="Z2524" s="13">
        <f t="shared" si="1998"/>
        <v>0</v>
      </c>
      <c r="AA2524" s="13"/>
      <c r="AB2524" s="13"/>
      <c r="AC2524" s="13"/>
      <c r="AD2524" s="13"/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</row>
    <row r="2525" ht="14.25" hidden="1" customHeight="1">
      <c r="A2525" s="13" t="s">
        <v>29</v>
      </c>
      <c r="B2525" s="13" t="s">
        <v>30</v>
      </c>
      <c r="C2525" s="13" t="s">
        <v>1559</v>
      </c>
      <c r="D2525" s="13"/>
      <c r="E2525" s="13" t="str">
        <f t="shared" si="2395"/>
        <v>SJC,42-4-52,,0</v>
      </c>
      <c r="F2525" s="13"/>
      <c r="G2525" s="13" t="s">
        <v>111</v>
      </c>
      <c r="H2525" s="13" t="s">
        <v>75</v>
      </c>
      <c r="I2525" s="13"/>
      <c r="J2525" s="13"/>
      <c r="K2525" s="15"/>
      <c r="L2525" s="15"/>
      <c r="M2525" s="16"/>
      <c r="N2525" s="16"/>
      <c r="O2525" s="17">
        <v>0.0</v>
      </c>
      <c r="P2525" s="17">
        <v>0.0</v>
      </c>
      <c r="Q2525" s="13"/>
      <c r="R2525" s="13"/>
      <c r="S2525" s="13"/>
      <c r="T2525" s="13">
        <f t="shared" ref="T2525:Y2525" si="2762">IF(ISBLANK(K2525)=TRUE,0,1)</f>
        <v>0</v>
      </c>
      <c r="U2525" s="13">
        <f t="shared" si="2762"/>
        <v>0</v>
      </c>
      <c r="V2525" s="13">
        <f t="shared" si="2762"/>
        <v>0</v>
      </c>
      <c r="W2525" s="13">
        <f t="shared" si="2762"/>
        <v>0</v>
      </c>
      <c r="X2525" s="13">
        <f t="shared" si="2762"/>
        <v>1</v>
      </c>
      <c r="Y2525" s="13">
        <f t="shared" si="2762"/>
        <v>1</v>
      </c>
      <c r="Z2525" s="13">
        <f t="shared" si="1998"/>
        <v>0</v>
      </c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</row>
    <row r="2526" ht="14.25" hidden="1" customHeight="1">
      <c r="A2526" s="13" t="s">
        <v>29</v>
      </c>
      <c r="B2526" s="13" t="s">
        <v>30</v>
      </c>
      <c r="C2526" s="13" t="s">
        <v>1560</v>
      </c>
      <c r="D2526" s="13"/>
      <c r="E2526" s="13" t="str">
        <f t="shared" si="2395"/>
        <v>SJC,42-4-53,,NA</v>
      </c>
      <c r="F2526" s="13"/>
      <c r="G2526" s="13" t="s">
        <v>111</v>
      </c>
      <c r="H2526" s="13" t="s">
        <v>75</v>
      </c>
      <c r="I2526" s="13"/>
      <c r="J2526" s="13"/>
      <c r="K2526" s="15"/>
      <c r="L2526" s="15"/>
      <c r="M2526" s="16"/>
      <c r="N2526" s="16"/>
      <c r="O2526" s="17"/>
      <c r="P2526" s="17"/>
      <c r="Q2526" s="13"/>
      <c r="R2526" s="13"/>
      <c r="S2526" s="13"/>
      <c r="T2526" s="13">
        <f t="shared" ref="T2526:Y2526" si="2763">IF(ISBLANK(K2526)=TRUE,0,1)</f>
        <v>0</v>
      </c>
      <c r="U2526" s="13">
        <f t="shared" si="2763"/>
        <v>0</v>
      </c>
      <c r="V2526" s="13">
        <f t="shared" si="2763"/>
        <v>0</v>
      </c>
      <c r="W2526" s="13">
        <f t="shared" si="2763"/>
        <v>0</v>
      </c>
      <c r="X2526" s="13">
        <f t="shared" si="2763"/>
        <v>0</v>
      </c>
      <c r="Y2526" s="13">
        <f t="shared" si="2763"/>
        <v>0</v>
      </c>
      <c r="Z2526" s="13" t="str">
        <f t="shared" si="1998"/>
        <v>NA</v>
      </c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</row>
    <row r="2527" ht="14.25" hidden="1" customHeight="1">
      <c r="A2527" s="13" t="s">
        <v>29</v>
      </c>
      <c r="B2527" s="13" t="s">
        <v>30</v>
      </c>
      <c r="C2527" s="13" t="s">
        <v>1561</v>
      </c>
      <c r="D2527" s="13"/>
      <c r="E2527" s="13" t="str">
        <f t="shared" si="2395"/>
        <v>SJC,42-4-54,,0</v>
      </c>
      <c r="F2527" s="13"/>
      <c r="G2527" s="13" t="s">
        <v>111</v>
      </c>
      <c r="H2527" s="13" t="s">
        <v>75</v>
      </c>
      <c r="I2527" s="13"/>
      <c r="J2527" s="13"/>
      <c r="K2527" s="15"/>
      <c r="L2527" s="15"/>
      <c r="M2527" s="16"/>
      <c r="N2527" s="16"/>
      <c r="O2527" s="17">
        <v>0.0</v>
      </c>
      <c r="P2527" s="17">
        <v>0.0</v>
      </c>
      <c r="Q2527" s="13"/>
      <c r="R2527" s="13"/>
      <c r="S2527" s="13"/>
      <c r="T2527" s="13">
        <f t="shared" ref="T2527:Y2527" si="2764">IF(ISBLANK(K2527)=TRUE,0,1)</f>
        <v>0</v>
      </c>
      <c r="U2527" s="13">
        <f t="shared" si="2764"/>
        <v>0</v>
      </c>
      <c r="V2527" s="13">
        <f t="shared" si="2764"/>
        <v>0</v>
      </c>
      <c r="W2527" s="13">
        <f t="shared" si="2764"/>
        <v>0</v>
      </c>
      <c r="X2527" s="13">
        <f t="shared" si="2764"/>
        <v>1</v>
      </c>
      <c r="Y2527" s="13">
        <f t="shared" si="2764"/>
        <v>1</v>
      </c>
      <c r="Z2527" s="13">
        <f t="shared" si="1998"/>
        <v>0</v>
      </c>
      <c r="AA2527" s="13"/>
      <c r="AB2527" s="13"/>
      <c r="AC2527" s="13"/>
      <c r="AD2527" s="13"/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</row>
    <row r="2528" ht="14.25" hidden="1" customHeight="1">
      <c r="A2528" s="13" t="s">
        <v>29</v>
      </c>
      <c r="B2528" s="13" t="s">
        <v>30</v>
      </c>
      <c r="C2528" s="13" t="s">
        <v>1562</v>
      </c>
      <c r="D2528" s="13"/>
      <c r="E2528" s="13" t="str">
        <f t="shared" si="2395"/>
        <v>SJC,42-4-55,,0</v>
      </c>
      <c r="F2528" s="13"/>
      <c r="G2528" s="13" t="s">
        <v>111</v>
      </c>
      <c r="H2528" s="13" t="s">
        <v>75</v>
      </c>
      <c r="I2528" s="13"/>
      <c r="J2528" s="13"/>
      <c r="K2528" s="15"/>
      <c r="L2528" s="15"/>
      <c r="M2528" s="16"/>
      <c r="N2528" s="16"/>
      <c r="O2528" s="17">
        <v>0.0</v>
      </c>
      <c r="P2528" s="17">
        <v>0.0</v>
      </c>
      <c r="Q2528" s="13"/>
      <c r="R2528" s="13"/>
      <c r="S2528" s="13"/>
      <c r="T2528" s="13">
        <f t="shared" ref="T2528:Y2528" si="2765">IF(ISBLANK(K2528)=TRUE,0,1)</f>
        <v>0</v>
      </c>
      <c r="U2528" s="13">
        <f t="shared" si="2765"/>
        <v>0</v>
      </c>
      <c r="V2528" s="13">
        <f t="shared" si="2765"/>
        <v>0</v>
      </c>
      <c r="W2528" s="13">
        <f t="shared" si="2765"/>
        <v>0</v>
      </c>
      <c r="X2528" s="13">
        <f t="shared" si="2765"/>
        <v>1</v>
      </c>
      <c r="Y2528" s="13">
        <f t="shared" si="2765"/>
        <v>1</v>
      </c>
      <c r="Z2528" s="13">
        <f t="shared" si="1998"/>
        <v>0</v>
      </c>
      <c r="AA2528" s="13"/>
      <c r="AB2528" s="13"/>
      <c r="AC2528" s="13"/>
      <c r="AD2528" s="13"/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</row>
    <row r="2529" ht="14.25" hidden="1" customHeight="1">
      <c r="A2529" s="13" t="s">
        <v>29</v>
      </c>
      <c r="B2529" s="13" t="s">
        <v>30</v>
      </c>
      <c r="C2529" s="13" t="s">
        <v>1563</v>
      </c>
      <c r="D2529" s="13"/>
      <c r="E2529" s="13" t="str">
        <f t="shared" si="2395"/>
        <v>SJC,42-4-56,,0</v>
      </c>
      <c r="F2529" s="13"/>
      <c r="G2529" s="13" t="s">
        <v>111</v>
      </c>
      <c r="H2529" s="13" t="s">
        <v>75</v>
      </c>
      <c r="I2529" s="13"/>
      <c r="J2529" s="13"/>
      <c r="K2529" s="15"/>
      <c r="L2529" s="15"/>
      <c r="M2529" s="16"/>
      <c r="N2529" s="16"/>
      <c r="O2529" s="17">
        <v>0.0</v>
      </c>
      <c r="P2529" s="17">
        <v>0.0</v>
      </c>
      <c r="Q2529" s="13"/>
      <c r="R2529" s="13"/>
      <c r="S2529" s="13"/>
      <c r="T2529" s="13">
        <f t="shared" ref="T2529:Y2529" si="2766">IF(ISBLANK(K2529)=TRUE,0,1)</f>
        <v>0</v>
      </c>
      <c r="U2529" s="13">
        <f t="shared" si="2766"/>
        <v>0</v>
      </c>
      <c r="V2529" s="13">
        <f t="shared" si="2766"/>
        <v>0</v>
      </c>
      <c r="W2529" s="13">
        <f t="shared" si="2766"/>
        <v>0</v>
      </c>
      <c r="X2529" s="13">
        <f t="shared" si="2766"/>
        <v>1</v>
      </c>
      <c r="Y2529" s="13">
        <f t="shared" si="2766"/>
        <v>1</v>
      </c>
      <c r="Z2529" s="13">
        <f t="shared" si="1998"/>
        <v>0</v>
      </c>
      <c r="AA2529" s="13"/>
      <c r="AB2529" s="13"/>
      <c r="AC2529" s="13"/>
      <c r="AD2529" s="13"/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</row>
    <row r="2530" ht="14.25" hidden="1" customHeight="1">
      <c r="A2530" s="13" t="s">
        <v>29</v>
      </c>
      <c r="B2530" s="13" t="s">
        <v>30</v>
      </c>
      <c r="C2530" s="13" t="s">
        <v>1564</v>
      </c>
      <c r="D2530" s="13"/>
      <c r="E2530" s="13" t="str">
        <f t="shared" si="2395"/>
        <v>SJC,42-4-57,,NA</v>
      </c>
      <c r="F2530" s="13"/>
      <c r="G2530" s="13" t="s">
        <v>111</v>
      </c>
      <c r="H2530" s="13" t="s">
        <v>107</v>
      </c>
      <c r="I2530" s="13"/>
      <c r="J2530" s="13"/>
      <c r="K2530" s="15"/>
      <c r="L2530" s="15"/>
      <c r="M2530" s="16"/>
      <c r="N2530" s="16"/>
      <c r="O2530" s="17"/>
      <c r="P2530" s="17"/>
      <c r="Q2530" s="13"/>
      <c r="R2530" s="13"/>
      <c r="S2530" s="13"/>
      <c r="T2530" s="13">
        <f t="shared" ref="T2530:Y2530" si="2767">IF(ISBLANK(K2530)=TRUE,0,1)</f>
        <v>0</v>
      </c>
      <c r="U2530" s="13">
        <f t="shared" si="2767"/>
        <v>0</v>
      </c>
      <c r="V2530" s="13">
        <f t="shared" si="2767"/>
        <v>0</v>
      </c>
      <c r="W2530" s="13">
        <f t="shared" si="2767"/>
        <v>0</v>
      </c>
      <c r="X2530" s="13">
        <f t="shared" si="2767"/>
        <v>0</v>
      </c>
      <c r="Y2530" s="13">
        <f t="shared" si="2767"/>
        <v>0</v>
      </c>
      <c r="Z2530" s="13" t="str">
        <f t="shared" si="1998"/>
        <v>NA</v>
      </c>
      <c r="AA2530" s="13"/>
      <c r="AB2530" s="13"/>
      <c r="AC2530" s="13"/>
      <c r="AD2530" s="13"/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</row>
    <row r="2531" ht="14.25" hidden="1" customHeight="1">
      <c r="A2531" s="13" t="s">
        <v>29</v>
      </c>
      <c r="B2531" s="13" t="s">
        <v>30</v>
      </c>
      <c r="C2531" s="13" t="s">
        <v>1565</v>
      </c>
      <c r="D2531" s="13"/>
      <c r="E2531" s="13" t="str">
        <f t="shared" si="2395"/>
        <v>SJC,42-4-58,,0</v>
      </c>
      <c r="F2531" s="13"/>
      <c r="G2531" s="13" t="s">
        <v>111</v>
      </c>
      <c r="H2531" s="13" t="s">
        <v>75</v>
      </c>
      <c r="I2531" s="13"/>
      <c r="J2531" s="13"/>
      <c r="K2531" s="15"/>
      <c r="L2531" s="15"/>
      <c r="M2531" s="16"/>
      <c r="N2531" s="16"/>
      <c r="O2531" s="17">
        <v>0.0</v>
      </c>
      <c r="P2531" s="17">
        <v>0.0</v>
      </c>
      <c r="Q2531" s="13"/>
      <c r="R2531" s="13"/>
      <c r="S2531" s="13"/>
      <c r="T2531" s="13">
        <f t="shared" ref="T2531:Y2531" si="2768">IF(ISBLANK(K2531)=TRUE,0,1)</f>
        <v>0</v>
      </c>
      <c r="U2531" s="13">
        <f t="shared" si="2768"/>
        <v>0</v>
      </c>
      <c r="V2531" s="13">
        <f t="shared" si="2768"/>
        <v>0</v>
      </c>
      <c r="W2531" s="13">
        <f t="shared" si="2768"/>
        <v>0</v>
      </c>
      <c r="X2531" s="13">
        <f t="shared" si="2768"/>
        <v>1</v>
      </c>
      <c r="Y2531" s="13">
        <f t="shared" si="2768"/>
        <v>1</v>
      </c>
      <c r="Z2531" s="13">
        <f t="shared" si="1998"/>
        <v>0</v>
      </c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</row>
    <row r="2532" ht="14.25" hidden="1" customHeight="1">
      <c r="A2532" s="13" t="s">
        <v>29</v>
      </c>
      <c r="B2532" s="13" t="s">
        <v>30</v>
      </c>
      <c r="C2532" s="13" t="s">
        <v>1566</v>
      </c>
      <c r="D2532" s="13"/>
      <c r="E2532" s="13" t="str">
        <f t="shared" si="2395"/>
        <v>SJC,42-4-59,,0</v>
      </c>
      <c r="F2532" s="13"/>
      <c r="G2532" s="13" t="s">
        <v>111</v>
      </c>
      <c r="H2532" s="13" t="s">
        <v>75</v>
      </c>
      <c r="I2532" s="13"/>
      <c r="J2532" s="13"/>
      <c r="K2532" s="15"/>
      <c r="L2532" s="15"/>
      <c r="M2532" s="16"/>
      <c r="N2532" s="16"/>
      <c r="O2532" s="17">
        <v>0.0</v>
      </c>
      <c r="P2532" s="17">
        <v>0.0</v>
      </c>
      <c r="Q2532" s="13"/>
      <c r="R2532" s="13"/>
      <c r="S2532" s="13"/>
      <c r="T2532" s="13">
        <f t="shared" ref="T2532:Y2532" si="2769">IF(ISBLANK(K2532)=TRUE,0,1)</f>
        <v>0</v>
      </c>
      <c r="U2532" s="13">
        <f t="shared" si="2769"/>
        <v>0</v>
      </c>
      <c r="V2532" s="13">
        <f t="shared" si="2769"/>
        <v>0</v>
      </c>
      <c r="W2532" s="13">
        <f t="shared" si="2769"/>
        <v>0</v>
      </c>
      <c r="X2532" s="13">
        <f t="shared" si="2769"/>
        <v>1</v>
      </c>
      <c r="Y2532" s="13">
        <f t="shared" si="2769"/>
        <v>1</v>
      </c>
      <c r="Z2532" s="13">
        <f t="shared" si="1998"/>
        <v>0</v>
      </c>
      <c r="AA2532" s="13"/>
      <c r="AB2532" s="13"/>
      <c r="AC2532" s="13"/>
      <c r="AD2532" s="13"/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  <c r="AO2532" s="13"/>
      <c r="AP2532" s="13"/>
      <c r="AQ2532" s="13"/>
      <c r="AR2532" s="13"/>
      <c r="AS2532" s="13"/>
    </row>
    <row r="2533" ht="14.25" hidden="1" customHeight="1">
      <c r="A2533" s="13" t="s">
        <v>29</v>
      </c>
      <c r="B2533" s="13" t="s">
        <v>30</v>
      </c>
      <c r="C2533" s="13" t="s">
        <v>1567</v>
      </c>
      <c r="D2533" s="13"/>
      <c r="E2533" s="13" t="str">
        <f t="shared" si="2395"/>
        <v>SJC,42-4-6,,NA</v>
      </c>
      <c r="F2533" s="13"/>
      <c r="G2533" s="13" t="s">
        <v>111</v>
      </c>
      <c r="H2533" s="13" t="s">
        <v>75</v>
      </c>
      <c r="I2533" s="13"/>
      <c r="J2533" s="13"/>
      <c r="K2533" s="15"/>
      <c r="L2533" s="15"/>
      <c r="M2533" s="16"/>
      <c r="N2533" s="16"/>
      <c r="O2533" s="17"/>
      <c r="P2533" s="17"/>
      <c r="Q2533" s="13"/>
      <c r="R2533" s="13"/>
      <c r="S2533" s="13"/>
      <c r="T2533" s="13">
        <f t="shared" ref="T2533:Y2533" si="2770">IF(ISBLANK(K2533)=TRUE,0,1)</f>
        <v>0</v>
      </c>
      <c r="U2533" s="13">
        <f t="shared" si="2770"/>
        <v>0</v>
      </c>
      <c r="V2533" s="13">
        <f t="shared" si="2770"/>
        <v>0</v>
      </c>
      <c r="W2533" s="13">
        <f t="shared" si="2770"/>
        <v>0</v>
      </c>
      <c r="X2533" s="13">
        <f t="shared" si="2770"/>
        <v>0</v>
      </c>
      <c r="Y2533" s="13">
        <f t="shared" si="2770"/>
        <v>0</v>
      </c>
      <c r="Z2533" s="13" t="str">
        <f t="shared" si="1998"/>
        <v>NA</v>
      </c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  <c r="AO2533" s="13"/>
      <c r="AP2533" s="13"/>
      <c r="AQ2533" s="13"/>
      <c r="AR2533" s="13"/>
      <c r="AS2533" s="13"/>
    </row>
    <row r="2534" ht="14.25" hidden="1" customHeight="1">
      <c r="A2534" s="13" t="s">
        <v>29</v>
      </c>
      <c r="B2534" s="13" t="s">
        <v>30</v>
      </c>
      <c r="C2534" s="13" t="s">
        <v>1568</v>
      </c>
      <c r="D2534" s="13"/>
      <c r="E2534" s="13" t="str">
        <f t="shared" si="2395"/>
        <v>SJC,42-4-60,,0</v>
      </c>
      <c r="F2534" s="13"/>
      <c r="G2534" s="13" t="s">
        <v>111</v>
      </c>
      <c r="H2534" s="13" t="s">
        <v>75</v>
      </c>
      <c r="I2534" s="13"/>
      <c r="J2534" s="13"/>
      <c r="K2534" s="15"/>
      <c r="L2534" s="15"/>
      <c r="M2534" s="16"/>
      <c r="N2534" s="16"/>
      <c r="O2534" s="17">
        <v>0.0</v>
      </c>
      <c r="P2534" s="17">
        <v>0.0</v>
      </c>
      <c r="Q2534" s="13"/>
      <c r="R2534" s="13"/>
      <c r="S2534" s="13"/>
      <c r="T2534" s="13">
        <f t="shared" ref="T2534:Y2534" si="2771">IF(ISBLANK(K2534)=TRUE,0,1)</f>
        <v>0</v>
      </c>
      <c r="U2534" s="13">
        <f t="shared" si="2771"/>
        <v>0</v>
      </c>
      <c r="V2534" s="13">
        <f t="shared" si="2771"/>
        <v>0</v>
      </c>
      <c r="W2534" s="13">
        <f t="shared" si="2771"/>
        <v>0</v>
      </c>
      <c r="X2534" s="13">
        <f t="shared" si="2771"/>
        <v>1</v>
      </c>
      <c r="Y2534" s="13">
        <f t="shared" si="2771"/>
        <v>1</v>
      </c>
      <c r="Z2534" s="13">
        <f t="shared" si="1998"/>
        <v>0</v>
      </c>
      <c r="AA2534" s="13"/>
      <c r="AB2534" s="13"/>
      <c r="AC2534" s="13"/>
      <c r="AD2534" s="13"/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  <c r="AO2534" s="13"/>
      <c r="AP2534" s="13"/>
      <c r="AQ2534" s="13"/>
      <c r="AR2534" s="13"/>
      <c r="AS2534" s="13"/>
    </row>
    <row r="2535" ht="14.25" hidden="1" customHeight="1">
      <c r="A2535" s="13" t="s">
        <v>29</v>
      </c>
      <c r="B2535" s="13" t="s">
        <v>30</v>
      </c>
      <c r="C2535" s="13" t="s">
        <v>1569</v>
      </c>
      <c r="D2535" s="13"/>
      <c r="E2535" s="13" t="str">
        <f t="shared" si="2395"/>
        <v>SJC,42-4-61,,NA</v>
      </c>
      <c r="F2535" s="13"/>
      <c r="G2535" s="13" t="s">
        <v>111</v>
      </c>
      <c r="H2535" s="13" t="s">
        <v>75</v>
      </c>
      <c r="I2535" s="13"/>
      <c r="J2535" s="13"/>
      <c r="K2535" s="15"/>
      <c r="L2535" s="15"/>
      <c r="M2535" s="16"/>
      <c r="N2535" s="16"/>
      <c r="O2535" s="17"/>
      <c r="P2535" s="17"/>
      <c r="Q2535" s="13"/>
      <c r="R2535" s="13"/>
      <c r="S2535" s="13"/>
      <c r="T2535" s="13">
        <f t="shared" ref="T2535:Y2535" si="2772">IF(ISBLANK(K2535)=TRUE,0,1)</f>
        <v>0</v>
      </c>
      <c r="U2535" s="13">
        <f t="shared" si="2772"/>
        <v>0</v>
      </c>
      <c r="V2535" s="13">
        <f t="shared" si="2772"/>
        <v>0</v>
      </c>
      <c r="W2535" s="13">
        <f t="shared" si="2772"/>
        <v>0</v>
      </c>
      <c r="X2535" s="13">
        <f t="shared" si="2772"/>
        <v>0</v>
      </c>
      <c r="Y2535" s="13">
        <f t="shared" si="2772"/>
        <v>0</v>
      </c>
      <c r="Z2535" s="13" t="str">
        <f t="shared" si="1998"/>
        <v>NA</v>
      </c>
      <c r="AA2535" s="13"/>
      <c r="AB2535" s="13"/>
      <c r="AC2535" s="13"/>
      <c r="AD2535" s="13"/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</row>
    <row r="2536" ht="14.25" hidden="1" customHeight="1">
      <c r="A2536" s="13" t="s">
        <v>29</v>
      </c>
      <c r="B2536" s="13" t="s">
        <v>30</v>
      </c>
      <c r="C2536" s="13" t="s">
        <v>1570</v>
      </c>
      <c r="D2536" s="13"/>
      <c r="E2536" s="13" t="str">
        <f t="shared" si="2395"/>
        <v>SJC,42-4-62,,0</v>
      </c>
      <c r="F2536" s="13"/>
      <c r="G2536" s="13" t="s">
        <v>111</v>
      </c>
      <c r="H2536" s="13" t="s">
        <v>75</v>
      </c>
      <c r="I2536" s="13"/>
      <c r="J2536" s="13"/>
      <c r="K2536" s="15"/>
      <c r="L2536" s="15"/>
      <c r="M2536" s="16"/>
      <c r="N2536" s="16"/>
      <c r="O2536" s="17">
        <v>0.0</v>
      </c>
      <c r="P2536" s="17">
        <v>0.0</v>
      </c>
      <c r="Q2536" s="13"/>
      <c r="R2536" s="13"/>
      <c r="S2536" s="13"/>
      <c r="T2536" s="13">
        <f t="shared" ref="T2536:Y2536" si="2773">IF(ISBLANK(K2536)=TRUE,0,1)</f>
        <v>0</v>
      </c>
      <c r="U2536" s="13">
        <f t="shared" si="2773"/>
        <v>0</v>
      </c>
      <c r="V2536" s="13">
        <f t="shared" si="2773"/>
        <v>0</v>
      </c>
      <c r="W2536" s="13">
        <f t="shared" si="2773"/>
        <v>0</v>
      </c>
      <c r="X2536" s="13">
        <f t="shared" si="2773"/>
        <v>1</v>
      </c>
      <c r="Y2536" s="13">
        <f t="shared" si="2773"/>
        <v>1</v>
      </c>
      <c r="Z2536" s="13">
        <f t="shared" si="1998"/>
        <v>0</v>
      </c>
      <c r="AA2536" s="13"/>
      <c r="AB2536" s="13"/>
      <c r="AC2536" s="13"/>
      <c r="AD2536" s="13"/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</row>
    <row r="2537" ht="14.25" hidden="1" customHeight="1">
      <c r="A2537" s="13" t="s">
        <v>29</v>
      </c>
      <c r="B2537" s="13" t="s">
        <v>30</v>
      </c>
      <c r="C2537" s="13" t="s">
        <v>1571</v>
      </c>
      <c r="D2537" s="13"/>
      <c r="E2537" s="13" t="str">
        <f t="shared" si="2395"/>
        <v>SJC,42-4-63,,0</v>
      </c>
      <c r="F2537" s="13"/>
      <c r="G2537" s="13" t="s">
        <v>111</v>
      </c>
      <c r="H2537" s="13" t="s">
        <v>75</v>
      </c>
      <c r="I2537" s="13"/>
      <c r="J2537" s="13"/>
      <c r="K2537" s="15"/>
      <c r="L2537" s="15"/>
      <c r="M2537" s="16"/>
      <c r="N2537" s="16"/>
      <c r="O2537" s="17">
        <v>0.0</v>
      </c>
      <c r="P2537" s="17">
        <v>0.0</v>
      </c>
      <c r="Q2537" s="13"/>
      <c r="R2537" s="13"/>
      <c r="S2537" s="13"/>
      <c r="T2537" s="13">
        <f t="shared" ref="T2537:Y2537" si="2774">IF(ISBLANK(K2537)=TRUE,0,1)</f>
        <v>0</v>
      </c>
      <c r="U2537" s="13">
        <f t="shared" si="2774"/>
        <v>0</v>
      </c>
      <c r="V2537" s="13">
        <f t="shared" si="2774"/>
        <v>0</v>
      </c>
      <c r="W2537" s="13">
        <f t="shared" si="2774"/>
        <v>0</v>
      </c>
      <c r="X2537" s="13">
        <f t="shared" si="2774"/>
        <v>1</v>
      </c>
      <c r="Y2537" s="13">
        <f t="shared" si="2774"/>
        <v>1</v>
      </c>
      <c r="Z2537" s="13">
        <f t="shared" si="1998"/>
        <v>0</v>
      </c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</row>
    <row r="2538" ht="14.25" hidden="1" customHeight="1">
      <c r="A2538" s="13" t="s">
        <v>29</v>
      </c>
      <c r="B2538" s="13" t="s">
        <v>30</v>
      </c>
      <c r="C2538" s="13" t="s">
        <v>1572</v>
      </c>
      <c r="D2538" s="13"/>
      <c r="E2538" s="13" t="str">
        <f t="shared" si="2395"/>
        <v>SJC,42-4-64,,0</v>
      </c>
      <c r="F2538" s="13"/>
      <c r="G2538" s="13" t="s">
        <v>111</v>
      </c>
      <c r="H2538" s="13" t="s">
        <v>75</v>
      </c>
      <c r="I2538" s="13"/>
      <c r="J2538" s="13"/>
      <c r="K2538" s="15"/>
      <c r="L2538" s="15"/>
      <c r="M2538" s="16"/>
      <c r="N2538" s="16"/>
      <c r="O2538" s="17">
        <v>0.0</v>
      </c>
      <c r="P2538" s="17">
        <v>0.0</v>
      </c>
      <c r="Q2538" s="13"/>
      <c r="R2538" s="13"/>
      <c r="S2538" s="13"/>
      <c r="T2538" s="13">
        <f t="shared" ref="T2538:Y2538" si="2775">IF(ISBLANK(K2538)=TRUE,0,1)</f>
        <v>0</v>
      </c>
      <c r="U2538" s="13">
        <f t="shared" si="2775"/>
        <v>0</v>
      </c>
      <c r="V2538" s="13">
        <f t="shared" si="2775"/>
        <v>0</v>
      </c>
      <c r="W2538" s="13">
        <f t="shared" si="2775"/>
        <v>0</v>
      </c>
      <c r="X2538" s="13">
        <f t="shared" si="2775"/>
        <v>1</v>
      </c>
      <c r="Y2538" s="13">
        <f t="shared" si="2775"/>
        <v>1</v>
      </c>
      <c r="Z2538" s="13">
        <f t="shared" si="1998"/>
        <v>0</v>
      </c>
      <c r="AA2538" s="13"/>
      <c r="AB2538" s="13"/>
      <c r="AC2538" s="13"/>
      <c r="AD2538" s="13"/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/>
      <c r="AQ2538" s="13"/>
      <c r="AR2538" s="13"/>
      <c r="AS2538" s="13"/>
    </row>
    <row r="2539" ht="14.25" hidden="1" customHeight="1">
      <c r="A2539" s="13" t="s">
        <v>29</v>
      </c>
      <c r="B2539" s="13" t="s">
        <v>30</v>
      </c>
      <c r="C2539" s="13" t="s">
        <v>1573</v>
      </c>
      <c r="D2539" s="13"/>
      <c r="E2539" s="13" t="str">
        <f t="shared" si="2395"/>
        <v>SJC,42-4-65,,0</v>
      </c>
      <c r="F2539" s="13"/>
      <c r="G2539" s="13" t="s">
        <v>111</v>
      </c>
      <c r="H2539" s="13" t="s">
        <v>75</v>
      </c>
      <c r="I2539" s="13"/>
      <c r="J2539" s="13"/>
      <c r="K2539" s="15"/>
      <c r="L2539" s="15"/>
      <c r="M2539" s="16"/>
      <c r="N2539" s="16"/>
      <c r="O2539" s="17">
        <v>0.0</v>
      </c>
      <c r="P2539" s="17">
        <v>0.0</v>
      </c>
      <c r="Q2539" s="13"/>
      <c r="R2539" s="13"/>
      <c r="S2539" s="13"/>
      <c r="T2539" s="13">
        <f t="shared" ref="T2539:Y2539" si="2776">IF(ISBLANK(K2539)=TRUE,0,1)</f>
        <v>0</v>
      </c>
      <c r="U2539" s="13">
        <f t="shared" si="2776"/>
        <v>0</v>
      </c>
      <c r="V2539" s="13">
        <f t="shared" si="2776"/>
        <v>0</v>
      </c>
      <c r="W2539" s="13">
        <f t="shared" si="2776"/>
        <v>0</v>
      </c>
      <c r="X2539" s="13">
        <f t="shared" si="2776"/>
        <v>1</v>
      </c>
      <c r="Y2539" s="13">
        <f t="shared" si="2776"/>
        <v>1</v>
      </c>
      <c r="Z2539" s="13">
        <f t="shared" si="1998"/>
        <v>0</v>
      </c>
      <c r="AA2539" s="13"/>
      <c r="AB2539" s="13"/>
      <c r="AC2539" s="13"/>
      <c r="AD2539" s="13"/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  <c r="AO2539" s="13"/>
      <c r="AP2539" s="13"/>
      <c r="AQ2539" s="13"/>
      <c r="AR2539" s="13"/>
      <c r="AS2539" s="13"/>
    </row>
    <row r="2540" ht="14.25" hidden="1" customHeight="1">
      <c r="A2540" s="13" t="s">
        <v>29</v>
      </c>
      <c r="B2540" s="13" t="s">
        <v>30</v>
      </c>
      <c r="C2540" s="13" t="s">
        <v>1574</v>
      </c>
      <c r="D2540" s="13"/>
      <c r="E2540" s="13" t="str">
        <f t="shared" si="2395"/>
        <v>SJC,42-4-66,,NA</v>
      </c>
      <c r="F2540" s="13"/>
      <c r="G2540" s="13" t="s">
        <v>111</v>
      </c>
      <c r="H2540" s="13" t="s">
        <v>107</v>
      </c>
      <c r="I2540" s="13"/>
      <c r="J2540" s="13"/>
      <c r="K2540" s="15"/>
      <c r="L2540" s="15"/>
      <c r="M2540" s="16"/>
      <c r="N2540" s="16"/>
      <c r="O2540" s="17"/>
      <c r="P2540" s="17"/>
      <c r="Q2540" s="13"/>
      <c r="R2540" s="13"/>
      <c r="S2540" s="13"/>
      <c r="T2540" s="13">
        <f t="shared" ref="T2540:Y2540" si="2777">IF(ISBLANK(K2540)=TRUE,0,1)</f>
        <v>0</v>
      </c>
      <c r="U2540" s="13">
        <f t="shared" si="2777"/>
        <v>0</v>
      </c>
      <c r="V2540" s="13">
        <f t="shared" si="2777"/>
        <v>0</v>
      </c>
      <c r="W2540" s="13">
        <f t="shared" si="2777"/>
        <v>0</v>
      </c>
      <c r="X2540" s="13">
        <f t="shared" si="2777"/>
        <v>0</v>
      </c>
      <c r="Y2540" s="13">
        <f t="shared" si="2777"/>
        <v>0</v>
      </c>
      <c r="Z2540" s="13" t="str">
        <f t="shared" si="1998"/>
        <v>NA</v>
      </c>
      <c r="AA2540" s="13"/>
      <c r="AB2540" s="13"/>
      <c r="AC2540" s="13"/>
      <c r="AD2540" s="13"/>
      <c r="AE2540" s="13"/>
      <c r="AF2540" s="13"/>
      <c r="AG2540" s="13"/>
      <c r="AH2540" s="13"/>
      <c r="AI2540" s="13"/>
      <c r="AJ2540" s="13"/>
      <c r="AK2540" s="13"/>
      <c r="AL2540" s="13"/>
      <c r="AM2540" s="13"/>
      <c r="AN2540" s="13"/>
      <c r="AO2540" s="13"/>
      <c r="AP2540" s="13"/>
      <c r="AQ2540" s="13"/>
      <c r="AR2540" s="13"/>
      <c r="AS2540" s="13"/>
    </row>
    <row r="2541" ht="14.25" hidden="1" customHeight="1">
      <c r="A2541" s="13" t="s">
        <v>29</v>
      </c>
      <c r="B2541" s="13" t="s">
        <v>30</v>
      </c>
      <c r="C2541" s="13" t="s">
        <v>1575</v>
      </c>
      <c r="D2541" s="13"/>
      <c r="E2541" s="13" t="str">
        <f t="shared" si="2395"/>
        <v>SJC,42-4-67,,0</v>
      </c>
      <c r="F2541" s="13"/>
      <c r="G2541" s="13" t="s">
        <v>111</v>
      </c>
      <c r="H2541" s="13" t="s">
        <v>75</v>
      </c>
      <c r="I2541" s="13"/>
      <c r="J2541" s="13"/>
      <c r="K2541" s="15"/>
      <c r="L2541" s="15"/>
      <c r="M2541" s="16"/>
      <c r="N2541" s="16"/>
      <c r="O2541" s="17">
        <v>0.0</v>
      </c>
      <c r="P2541" s="17">
        <v>0.0</v>
      </c>
      <c r="Q2541" s="13"/>
      <c r="R2541" s="13"/>
      <c r="S2541" s="13"/>
      <c r="T2541" s="13">
        <f t="shared" ref="T2541:Y2541" si="2778">IF(ISBLANK(K2541)=TRUE,0,1)</f>
        <v>0</v>
      </c>
      <c r="U2541" s="13">
        <f t="shared" si="2778"/>
        <v>0</v>
      </c>
      <c r="V2541" s="13">
        <f t="shared" si="2778"/>
        <v>0</v>
      </c>
      <c r="W2541" s="13">
        <f t="shared" si="2778"/>
        <v>0</v>
      </c>
      <c r="X2541" s="13">
        <f t="shared" si="2778"/>
        <v>1</v>
      </c>
      <c r="Y2541" s="13">
        <f t="shared" si="2778"/>
        <v>1</v>
      </c>
      <c r="Z2541" s="13">
        <f t="shared" si="1998"/>
        <v>0</v>
      </c>
      <c r="AA2541" s="13"/>
      <c r="AB2541" s="13"/>
      <c r="AC2541" s="13"/>
      <c r="AD2541" s="13"/>
      <c r="AE2541" s="13"/>
      <c r="AF2541" s="13"/>
      <c r="AG2541" s="13"/>
      <c r="AH2541" s="13"/>
      <c r="AI2541" s="13"/>
      <c r="AJ2541" s="13"/>
      <c r="AK2541" s="13"/>
      <c r="AL2541" s="13"/>
      <c r="AM2541" s="13"/>
      <c r="AN2541" s="13"/>
      <c r="AO2541" s="13"/>
      <c r="AP2541" s="13"/>
      <c r="AQ2541" s="13"/>
      <c r="AR2541" s="13"/>
      <c r="AS2541" s="13"/>
    </row>
    <row r="2542" ht="14.25" hidden="1" customHeight="1">
      <c r="A2542" s="13" t="s">
        <v>29</v>
      </c>
      <c r="B2542" s="13" t="s">
        <v>30</v>
      </c>
      <c r="C2542" s="13" t="s">
        <v>1576</v>
      </c>
      <c r="D2542" s="13"/>
      <c r="E2542" s="13" t="str">
        <f t="shared" si="2395"/>
        <v>SJC,42-4-68,,0</v>
      </c>
      <c r="F2542" s="13"/>
      <c r="G2542" s="13" t="s">
        <v>111</v>
      </c>
      <c r="H2542" s="13" t="s">
        <v>75</v>
      </c>
      <c r="I2542" s="13"/>
      <c r="J2542" s="13"/>
      <c r="K2542" s="15"/>
      <c r="L2542" s="15"/>
      <c r="M2542" s="16"/>
      <c r="N2542" s="16"/>
      <c r="O2542" s="17">
        <v>0.0</v>
      </c>
      <c r="P2542" s="17">
        <v>0.0</v>
      </c>
      <c r="Q2542" s="13"/>
      <c r="R2542" s="13"/>
      <c r="S2542" s="13"/>
      <c r="T2542" s="13">
        <f t="shared" ref="T2542:Y2542" si="2779">IF(ISBLANK(K2542)=TRUE,0,1)</f>
        <v>0</v>
      </c>
      <c r="U2542" s="13">
        <f t="shared" si="2779"/>
        <v>0</v>
      </c>
      <c r="V2542" s="13">
        <f t="shared" si="2779"/>
        <v>0</v>
      </c>
      <c r="W2542" s="13">
        <f t="shared" si="2779"/>
        <v>0</v>
      </c>
      <c r="X2542" s="13">
        <f t="shared" si="2779"/>
        <v>1</v>
      </c>
      <c r="Y2542" s="13">
        <f t="shared" si="2779"/>
        <v>1</v>
      </c>
      <c r="Z2542" s="13">
        <f t="shared" si="1998"/>
        <v>0</v>
      </c>
      <c r="AA2542" s="13"/>
      <c r="AB2542" s="13"/>
      <c r="AC2542" s="13"/>
      <c r="AD2542" s="13"/>
      <c r="AE2542" s="13"/>
      <c r="AF2542" s="13"/>
      <c r="AG2542" s="13"/>
      <c r="AH2542" s="13"/>
      <c r="AI2542" s="13"/>
      <c r="AJ2542" s="13"/>
      <c r="AK2542" s="13"/>
      <c r="AL2542" s="13"/>
      <c r="AM2542" s="13"/>
      <c r="AN2542" s="13"/>
      <c r="AO2542" s="13"/>
      <c r="AP2542" s="13"/>
      <c r="AQ2542" s="13"/>
      <c r="AR2542" s="13"/>
      <c r="AS2542" s="13"/>
    </row>
    <row r="2543" ht="14.25" hidden="1" customHeight="1">
      <c r="A2543" s="13" t="s">
        <v>29</v>
      </c>
      <c r="B2543" s="13" t="s">
        <v>30</v>
      </c>
      <c r="C2543" s="13" t="s">
        <v>1577</v>
      </c>
      <c r="D2543" s="13"/>
      <c r="E2543" s="13" t="str">
        <f t="shared" si="2395"/>
        <v>SJC,42-4-69,,0</v>
      </c>
      <c r="F2543" s="13"/>
      <c r="G2543" s="13" t="s">
        <v>111</v>
      </c>
      <c r="H2543" s="13" t="s">
        <v>75</v>
      </c>
      <c r="I2543" s="13"/>
      <c r="J2543" s="13"/>
      <c r="K2543" s="15"/>
      <c r="L2543" s="15"/>
      <c r="M2543" s="16"/>
      <c r="N2543" s="16"/>
      <c r="O2543" s="17">
        <v>0.0</v>
      </c>
      <c r="P2543" s="17">
        <v>0.0</v>
      </c>
      <c r="Q2543" s="13"/>
      <c r="R2543" s="13"/>
      <c r="S2543" s="13"/>
      <c r="T2543" s="13">
        <f t="shared" ref="T2543:Y2543" si="2780">IF(ISBLANK(K2543)=TRUE,0,1)</f>
        <v>0</v>
      </c>
      <c r="U2543" s="13">
        <f t="shared" si="2780"/>
        <v>0</v>
      </c>
      <c r="V2543" s="13">
        <f t="shared" si="2780"/>
        <v>0</v>
      </c>
      <c r="W2543" s="13">
        <f t="shared" si="2780"/>
        <v>0</v>
      </c>
      <c r="X2543" s="13">
        <f t="shared" si="2780"/>
        <v>1</v>
      </c>
      <c r="Y2543" s="13">
        <f t="shared" si="2780"/>
        <v>1</v>
      </c>
      <c r="Z2543" s="13">
        <f t="shared" si="1998"/>
        <v>0</v>
      </c>
      <c r="AA2543" s="13"/>
      <c r="AB2543" s="13"/>
      <c r="AC2543" s="13"/>
      <c r="AD2543" s="13"/>
      <c r="AE2543" s="13"/>
      <c r="AF2543" s="13"/>
      <c r="AG2543" s="13"/>
      <c r="AH2543" s="13"/>
      <c r="AI2543" s="13"/>
      <c r="AJ2543" s="13"/>
      <c r="AK2543" s="13"/>
      <c r="AL2543" s="13"/>
      <c r="AM2543" s="13"/>
      <c r="AN2543" s="13"/>
      <c r="AO2543" s="13"/>
      <c r="AP2543" s="13"/>
      <c r="AQ2543" s="13"/>
      <c r="AR2543" s="13"/>
      <c r="AS2543" s="13"/>
    </row>
    <row r="2544" ht="14.25" hidden="1" customHeight="1">
      <c r="A2544" s="13" t="s">
        <v>29</v>
      </c>
      <c r="B2544" s="13" t="s">
        <v>30</v>
      </c>
      <c r="C2544" s="13" t="s">
        <v>1578</v>
      </c>
      <c r="D2544" s="13"/>
      <c r="E2544" s="13" t="str">
        <f t="shared" si="2395"/>
        <v>SJC,42-4-7,,NA</v>
      </c>
      <c r="F2544" s="13"/>
      <c r="G2544" s="13" t="s">
        <v>111</v>
      </c>
      <c r="H2544" s="13" t="s">
        <v>107</v>
      </c>
      <c r="I2544" s="13"/>
      <c r="J2544" s="13"/>
      <c r="K2544" s="15"/>
      <c r="L2544" s="15"/>
      <c r="M2544" s="16"/>
      <c r="N2544" s="16"/>
      <c r="O2544" s="17"/>
      <c r="P2544" s="17"/>
      <c r="Q2544" s="13"/>
      <c r="R2544" s="13"/>
      <c r="S2544" s="13"/>
      <c r="T2544" s="13">
        <f t="shared" ref="T2544:Y2544" si="2781">IF(ISBLANK(K2544)=TRUE,0,1)</f>
        <v>0</v>
      </c>
      <c r="U2544" s="13">
        <f t="shared" si="2781"/>
        <v>0</v>
      </c>
      <c r="V2544" s="13">
        <f t="shared" si="2781"/>
        <v>0</v>
      </c>
      <c r="W2544" s="13">
        <f t="shared" si="2781"/>
        <v>0</v>
      </c>
      <c r="X2544" s="13">
        <f t="shared" si="2781"/>
        <v>0</v>
      </c>
      <c r="Y2544" s="13">
        <f t="shared" si="2781"/>
        <v>0</v>
      </c>
      <c r="Z2544" s="13" t="str">
        <f t="shared" si="1998"/>
        <v>NA</v>
      </c>
      <c r="AA2544" s="13"/>
      <c r="AB2544" s="13"/>
      <c r="AC2544" s="13"/>
      <c r="AD2544" s="13"/>
      <c r="AE2544" s="13"/>
      <c r="AF2544" s="13"/>
      <c r="AG2544" s="13"/>
      <c r="AH2544" s="13"/>
      <c r="AI2544" s="13"/>
      <c r="AJ2544" s="13"/>
      <c r="AK2544" s="13"/>
      <c r="AL2544" s="13"/>
      <c r="AM2544" s="13"/>
      <c r="AN2544" s="13"/>
      <c r="AO2544" s="13"/>
      <c r="AP2544" s="13"/>
      <c r="AQ2544" s="13"/>
      <c r="AR2544" s="13"/>
      <c r="AS2544" s="13"/>
    </row>
    <row r="2545" ht="14.25" hidden="1" customHeight="1">
      <c r="A2545" s="13" t="s">
        <v>29</v>
      </c>
      <c r="B2545" s="13" t="s">
        <v>30</v>
      </c>
      <c r="C2545" s="13" t="s">
        <v>1579</v>
      </c>
      <c r="D2545" s="13"/>
      <c r="E2545" s="13" t="str">
        <f t="shared" si="2395"/>
        <v>SJC,42-4-70,,NA</v>
      </c>
      <c r="F2545" s="13"/>
      <c r="G2545" s="13" t="s">
        <v>111</v>
      </c>
      <c r="H2545" s="13" t="s">
        <v>75</v>
      </c>
      <c r="I2545" s="13"/>
      <c r="J2545" s="13"/>
      <c r="K2545" s="15"/>
      <c r="L2545" s="15"/>
      <c r="M2545" s="16"/>
      <c r="N2545" s="16"/>
      <c r="O2545" s="17"/>
      <c r="P2545" s="17"/>
      <c r="Q2545" s="13"/>
      <c r="R2545" s="13"/>
      <c r="S2545" s="13"/>
      <c r="T2545" s="13">
        <f t="shared" ref="T2545:Y2545" si="2782">IF(ISBLANK(K2545)=TRUE,0,1)</f>
        <v>0</v>
      </c>
      <c r="U2545" s="13">
        <f t="shared" si="2782"/>
        <v>0</v>
      </c>
      <c r="V2545" s="13">
        <f t="shared" si="2782"/>
        <v>0</v>
      </c>
      <c r="W2545" s="13">
        <f t="shared" si="2782"/>
        <v>0</v>
      </c>
      <c r="X2545" s="13">
        <f t="shared" si="2782"/>
        <v>0</v>
      </c>
      <c r="Y2545" s="13">
        <f t="shared" si="2782"/>
        <v>0</v>
      </c>
      <c r="Z2545" s="13" t="str">
        <f t="shared" si="1998"/>
        <v>NA</v>
      </c>
      <c r="AA2545" s="13"/>
      <c r="AB2545" s="13"/>
      <c r="AC2545" s="13"/>
      <c r="AD2545" s="13"/>
      <c r="AE2545" s="13"/>
      <c r="AF2545" s="13"/>
      <c r="AG2545" s="13"/>
      <c r="AH2545" s="13"/>
      <c r="AI2545" s="13"/>
      <c r="AJ2545" s="13"/>
      <c r="AK2545" s="13"/>
      <c r="AL2545" s="13"/>
      <c r="AM2545" s="13"/>
      <c r="AN2545" s="13"/>
      <c r="AO2545" s="13"/>
      <c r="AP2545" s="13"/>
      <c r="AQ2545" s="13"/>
      <c r="AR2545" s="13"/>
      <c r="AS2545" s="13"/>
    </row>
    <row r="2546" ht="14.25" hidden="1" customHeight="1">
      <c r="A2546" s="13" t="s">
        <v>29</v>
      </c>
      <c r="B2546" s="13" t="s">
        <v>30</v>
      </c>
      <c r="C2546" s="13" t="s">
        <v>1580</v>
      </c>
      <c r="D2546" s="13"/>
      <c r="E2546" s="13" t="str">
        <f t="shared" si="2395"/>
        <v>SJC,42-4-71,,NA</v>
      </c>
      <c r="F2546" s="13"/>
      <c r="G2546" s="13" t="s">
        <v>111</v>
      </c>
      <c r="H2546" s="13" t="s">
        <v>75</v>
      </c>
      <c r="I2546" s="13"/>
      <c r="J2546" s="13"/>
      <c r="K2546" s="15"/>
      <c r="L2546" s="15"/>
      <c r="M2546" s="16"/>
      <c r="N2546" s="16"/>
      <c r="O2546" s="17"/>
      <c r="P2546" s="17"/>
      <c r="Q2546" s="13"/>
      <c r="R2546" s="13"/>
      <c r="S2546" s="13"/>
      <c r="T2546" s="13">
        <f t="shared" ref="T2546:Y2546" si="2783">IF(ISBLANK(K2546)=TRUE,0,1)</f>
        <v>0</v>
      </c>
      <c r="U2546" s="13">
        <f t="shared" si="2783"/>
        <v>0</v>
      </c>
      <c r="V2546" s="13">
        <f t="shared" si="2783"/>
        <v>0</v>
      </c>
      <c r="W2546" s="13">
        <f t="shared" si="2783"/>
        <v>0</v>
      </c>
      <c r="X2546" s="13">
        <f t="shared" si="2783"/>
        <v>0</v>
      </c>
      <c r="Y2546" s="13">
        <f t="shared" si="2783"/>
        <v>0</v>
      </c>
      <c r="Z2546" s="13" t="str">
        <f t="shared" si="1998"/>
        <v>NA</v>
      </c>
      <c r="AA2546" s="13"/>
      <c r="AB2546" s="13"/>
      <c r="AC2546" s="13"/>
      <c r="AD2546" s="13"/>
      <c r="AE2546" s="13"/>
      <c r="AF2546" s="13"/>
      <c r="AG2546" s="13"/>
      <c r="AH2546" s="13"/>
      <c r="AI2546" s="13"/>
      <c r="AJ2546" s="13"/>
      <c r="AK2546" s="13"/>
      <c r="AL2546" s="13"/>
      <c r="AM2546" s="13"/>
      <c r="AN2546" s="13"/>
      <c r="AO2546" s="13"/>
      <c r="AP2546" s="13"/>
      <c r="AQ2546" s="13"/>
      <c r="AR2546" s="13"/>
      <c r="AS2546" s="13"/>
    </row>
    <row r="2547" ht="14.25" hidden="1" customHeight="1">
      <c r="A2547" s="13" t="s">
        <v>29</v>
      </c>
      <c r="B2547" s="13" t="s">
        <v>30</v>
      </c>
      <c r="C2547" s="13" t="s">
        <v>1581</v>
      </c>
      <c r="D2547" s="13"/>
      <c r="E2547" s="13" t="str">
        <f t="shared" si="2395"/>
        <v>SJC,42-4-72,,0</v>
      </c>
      <c r="F2547" s="13"/>
      <c r="G2547" s="13" t="s">
        <v>111</v>
      </c>
      <c r="H2547" s="13" t="s">
        <v>75</v>
      </c>
      <c r="I2547" s="13"/>
      <c r="J2547" s="13"/>
      <c r="K2547" s="15"/>
      <c r="L2547" s="15"/>
      <c r="M2547" s="16"/>
      <c r="N2547" s="16"/>
      <c r="O2547" s="17">
        <v>0.0</v>
      </c>
      <c r="P2547" s="17">
        <v>0.0</v>
      </c>
      <c r="Q2547" s="13"/>
      <c r="R2547" s="13"/>
      <c r="S2547" s="13"/>
      <c r="T2547" s="13">
        <f t="shared" ref="T2547:Y2547" si="2784">IF(ISBLANK(K2547)=TRUE,0,1)</f>
        <v>0</v>
      </c>
      <c r="U2547" s="13">
        <f t="shared" si="2784"/>
        <v>0</v>
      </c>
      <c r="V2547" s="13">
        <f t="shared" si="2784"/>
        <v>0</v>
      </c>
      <c r="W2547" s="13">
        <f t="shared" si="2784"/>
        <v>0</v>
      </c>
      <c r="X2547" s="13">
        <f t="shared" si="2784"/>
        <v>1</v>
      </c>
      <c r="Y2547" s="13">
        <f t="shared" si="2784"/>
        <v>1</v>
      </c>
      <c r="Z2547" s="13">
        <f t="shared" si="1998"/>
        <v>0</v>
      </c>
      <c r="AA2547" s="13"/>
      <c r="AB2547" s="13"/>
      <c r="AC2547" s="13"/>
      <c r="AD2547" s="13"/>
      <c r="AE2547" s="13"/>
      <c r="AF2547" s="13"/>
      <c r="AG2547" s="13"/>
      <c r="AH2547" s="13"/>
      <c r="AI2547" s="13"/>
      <c r="AJ2547" s="13"/>
      <c r="AK2547" s="13"/>
      <c r="AL2547" s="13"/>
      <c r="AM2547" s="13"/>
      <c r="AN2547" s="13"/>
      <c r="AO2547" s="13"/>
      <c r="AP2547" s="13"/>
      <c r="AQ2547" s="13"/>
      <c r="AR2547" s="13"/>
      <c r="AS2547" s="13"/>
    </row>
    <row r="2548" ht="14.25" hidden="1" customHeight="1">
      <c r="A2548" s="13" t="s">
        <v>29</v>
      </c>
      <c r="B2548" s="13" t="s">
        <v>30</v>
      </c>
      <c r="C2548" s="13" t="s">
        <v>1582</v>
      </c>
      <c r="D2548" s="13"/>
      <c r="E2548" s="13" t="str">
        <f t="shared" si="2395"/>
        <v>SJC,42-4-73,,0</v>
      </c>
      <c r="F2548" s="13"/>
      <c r="G2548" s="13" t="s">
        <v>111</v>
      </c>
      <c r="H2548" s="13" t="s">
        <v>75</v>
      </c>
      <c r="I2548" s="13"/>
      <c r="J2548" s="13"/>
      <c r="K2548" s="15"/>
      <c r="L2548" s="15"/>
      <c r="M2548" s="16"/>
      <c r="N2548" s="16"/>
      <c r="O2548" s="17">
        <v>0.0</v>
      </c>
      <c r="P2548" s="17">
        <v>0.0</v>
      </c>
      <c r="Q2548" s="13"/>
      <c r="R2548" s="13"/>
      <c r="S2548" s="13"/>
      <c r="T2548" s="13">
        <f t="shared" ref="T2548:Y2548" si="2785">IF(ISBLANK(K2548)=TRUE,0,1)</f>
        <v>0</v>
      </c>
      <c r="U2548" s="13">
        <f t="shared" si="2785"/>
        <v>0</v>
      </c>
      <c r="V2548" s="13">
        <f t="shared" si="2785"/>
        <v>0</v>
      </c>
      <c r="W2548" s="13">
        <f t="shared" si="2785"/>
        <v>0</v>
      </c>
      <c r="X2548" s="13">
        <f t="shared" si="2785"/>
        <v>1</v>
      </c>
      <c r="Y2548" s="13">
        <f t="shared" si="2785"/>
        <v>1</v>
      </c>
      <c r="Z2548" s="13">
        <f t="shared" si="1998"/>
        <v>0</v>
      </c>
      <c r="AA2548" s="13"/>
      <c r="AB2548" s="13"/>
      <c r="AC2548" s="13"/>
      <c r="AD2548" s="13"/>
      <c r="AE2548" s="13"/>
      <c r="AF2548" s="13"/>
      <c r="AG2548" s="13"/>
      <c r="AH2548" s="13"/>
      <c r="AI2548" s="13"/>
      <c r="AJ2548" s="13"/>
      <c r="AK2548" s="13"/>
      <c r="AL2548" s="13"/>
      <c r="AM2548" s="13"/>
      <c r="AN2548" s="13"/>
      <c r="AO2548" s="13"/>
      <c r="AP2548" s="13"/>
      <c r="AQ2548" s="13"/>
      <c r="AR2548" s="13"/>
      <c r="AS2548" s="13"/>
    </row>
    <row r="2549" ht="14.25" hidden="1" customHeight="1">
      <c r="A2549" s="13" t="s">
        <v>29</v>
      </c>
      <c r="B2549" s="13" t="s">
        <v>30</v>
      </c>
      <c r="C2549" s="13" t="s">
        <v>1583</v>
      </c>
      <c r="D2549" s="13"/>
      <c r="E2549" s="13" t="str">
        <f t="shared" si="2395"/>
        <v>SJC,42-4-74,,0</v>
      </c>
      <c r="F2549" s="13"/>
      <c r="G2549" s="13" t="s">
        <v>111</v>
      </c>
      <c r="H2549" s="13" t="s">
        <v>75</v>
      </c>
      <c r="I2549" s="13"/>
      <c r="J2549" s="13"/>
      <c r="K2549" s="15"/>
      <c r="L2549" s="15"/>
      <c r="M2549" s="16"/>
      <c r="N2549" s="16"/>
      <c r="O2549" s="17">
        <v>0.0</v>
      </c>
      <c r="P2549" s="17">
        <v>0.0</v>
      </c>
      <c r="Q2549" s="13"/>
      <c r="R2549" s="13"/>
      <c r="S2549" s="13"/>
      <c r="T2549" s="13">
        <f t="shared" ref="T2549:Y2549" si="2786">IF(ISBLANK(K2549)=TRUE,0,1)</f>
        <v>0</v>
      </c>
      <c r="U2549" s="13">
        <f t="shared" si="2786"/>
        <v>0</v>
      </c>
      <c r="V2549" s="13">
        <f t="shared" si="2786"/>
        <v>0</v>
      </c>
      <c r="W2549" s="13">
        <f t="shared" si="2786"/>
        <v>0</v>
      </c>
      <c r="X2549" s="13">
        <f t="shared" si="2786"/>
        <v>1</v>
      </c>
      <c r="Y2549" s="13">
        <f t="shared" si="2786"/>
        <v>1</v>
      </c>
      <c r="Z2549" s="13">
        <f t="shared" si="1998"/>
        <v>0</v>
      </c>
      <c r="AA2549" s="13"/>
      <c r="AB2549" s="13"/>
      <c r="AC2549" s="13"/>
      <c r="AD2549" s="13"/>
      <c r="AE2549" s="13"/>
      <c r="AF2549" s="13"/>
      <c r="AG2549" s="13"/>
      <c r="AH2549" s="13"/>
      <c r="AI2549" s="13"/>
      <c r="AJ2549" s="13"/>
      <c r="AK2549" s="13"/>
      <c r="AL2549" s="13"/>
      <c r="AM2549" s="13"/>
      <c r="AN2549" s="13"/>
      <c r="AO2549" s="13"/>
      <c r="AP2549" s="13"/>
      <c r="AQ2549" s="13"/>
      <c r="AR2549" s="13"/>
      <c r="AS2549" s="13"/>
    </row>
    <row r="2550" ht="14.25" hidden="1" customHeight="1">
      <c r="A2550" s="13" t="s">
        <v>29</v>
      </c>
      <c r="B2550" s="13" t="s">
        <v>30</v>
      </c>
      <c r="C2550" s="13" t="s">
        <v>1584</v>
      </c>
      <c r="D2550" s="13"/>
      <c r="E2550" s="13" t="str">
        <f t="shared" si="2395"/>
        <v>SJC,42-4-75,,0</v>
      </c>
      <c r="F2550" s="13"/>
      <c r="G2550" s="13" t="s">
        <v>111</v>
      </c>
      <c r="H2550" s="13" t="s">
        <v>75</v>
      </c>
      <c r="I2550" s="13"/>
      <c r="J2550" s="13"/>
      <c r="K2550" s="15"/>
      <c r="L2550" s="15"/>
      <c r="M2550" s="16"/>
      <c r="N2550" s="16"/>
      <c r="O2550" s="17">
        <v>0.0</v>
      </c>
      <c r="P2550" s="17">
        <v>0.0</v>
      </c>
      <c r="Q2550" s="13"/>
      <c r="R2550" s="13"/>
      <c r="S2550" s="13"/>
      <c r="T2550" s="13">
        <f t="shared" ref="T2550:Y2550" si="2787">IF(ISBLANK(K2550)=TRUE,0,1)</f>
        <v>0</v>
      </c>
      <c r="U2550" s="13">
        <f t="shared" si="2787"/>
        <v>0</v>
      </c>
      <c r="V2550" s="13">
        <f t="shared" si="2787"/>
        <v>0</v>
      </c>
      <c r="W2550" s="13">
        <f t="shared" si="2787"/>
        <v>0</v>
      </c>
      <c r="X2550" s="13">
        <f t="shared" si="2787"/>
        <v>1</v>
      </c>
      <c r="Y2550" s="13">
        <f t="shared" si="2787"/>
        <v>1</v>
      </c>
      <c r="Z2550" s="13">
        <f t="shared" si="1998"/>
        <v>0</v>
      </c>
      <c r="AA2550" s="13"/>
      <c r="AB2550" s="13"/>
      <c r="AC2550" s="13"/>
      <c r="AD2550" s="13"/>
      <c r="AE2550" s="13"/>
      <c r="AF2550" s="13"/>
      <c r="AG2550" s="13"/>
      <c r="AH2550" s="13"/>
      <c r="AI2550" s="13"/>
      <c r="AJ2550" s="13"/>
      <c r="AK2550" s="13"/>
      <c r="AL2550" s="13"/>
      <c r="AM2550" s="13"/>
      <c r="AN2550" s="13"/>
      <c r="AO2550" s="13"/>
      <c r="AP2550" s="13"/>
      <c r="AQ2550" s="13"/>
      <c r="AR2550" s="13"/>
      <c r="AS2550" s="13"/>
    </row>
    <row r="2551" ht="14.25" hidden="1" customHeight="1">
      <c r="A2551" s="13" t="s">
        <v>29</v>
      </c>
      <c r="B2551" s="13" t="s">
        <v>30</v>
      </c>
      <c r="C2551" s="13" t="s">
        <v>1585</v>
      </c>
      <c r="D2551" s="13"/>
      <c r="E2551" s="13" t="str">
        <f t="shared" si="2395"/>
        <v>SJC,42-4-76,,0</v>
      </c>
      <c r="F2551" s="13"/>
      <c r="G2551" s="13" t="s">
        <v>111</v>
      </c>
      <c r="H2551" s="13" t="s">
        <v>75</v>
      </c>
      <c r="I2551" s="13"/>
      <c r="J2551" s="13"/>
      <c r="K2551" s="15"/>
      <c r="L2551" s="15"/>
      <c r="M2551" s="16"/>
      <c r="N2551" s="16"/>
      <c r="O2551" s="17">
        <v>0.0</v>
      </c>
      <c r="P2551" s="17">
        <v>0.0</v>
      </c>
      <c r="Q2551" s="13"/>
      <c r="R2551" s="13"/>
      <c r="S2551" s="13"/>
      <c r="T2551" s="13">
        <f t="shared" ref="T2551:Y2551" si="2788">IF(ISBLANK(K2551)=TRUE,0,1)</f>
        <v>0</v>
      </c>
      <c r="U2551" s="13">
        <f t="shared" si="2788"/>
        <v>0</v>
      </c>
      <c r="V2551" s="13">
        <f t="shared" si="2788"/>
        <v>0</v>
      </c>
      <c r="W2551" s="13">
        <f t="shared" si="2788"/>
        <v>0</v>
      </c>
      <c r="X2551" s="13">
        <f t="shared" si="2788"/>
        <v>1</v>
      </c>
      <c r="Y2551" s="13">
        <f t="shared" si="2788"/>
        <v>1</v>
      </c>
      <c r="Z2551" s="13">
        <f t="shared" si="1998"/>
        <v>0</v>
      </c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  <c r="AL2551" s="13"/>
      <c r="AM2551" s="13"/>
      <c r="AN2551" s="13"/>
      <c r="AO2551" s="13"/>
      <c r="AP2551" s="13"/>
      <c r="AQ2551" s="13"/>
      <c r="AR2551" s="13"/>
      <c r="AS2551" s="13"/>
    </row>
    <row r="2552" ht="14.25" hidden="1" customHeight="1">
      <c r="A2552" s="13" t="s">
        <v>29</v>
      </c>
      <c r="B2552" s="13" t="s">
        <v>30</v>
      </c>
      <c r="C2552" s="13" t="s">
        <v>1586</v>
      </c>
      <c r="D2552" s="13"/>
      <c r="E2552" s="13" t="str">
        <f t="shared" si="2395"/>
        <v>SJC,42-4-77,,0</v>
      </c>
      <c r="F2552" s="13"/>
      <c r="G2552" s="13" t="s">
        <v>111</v>
      </c>
      <c r="H2552" s="13" t="s">
        <v>75</v>
      </c>
      <c r="I2552" s="13"/>
      <c r="J2552" s="13"/>
      <c r="K2552" s="15"/>
      <c r="L2552" s="15"/>
      <c r="M2552" s="16"/>
      <c r="N2552" s="16"/>
      <c r="O2552" s="17">
        <v>0.0</v>
      </c>
      <c r="P2552" s="17">
        <v>0.0</v>
      </c>
      <c r="Q2552" s="13"/>
      <c r="R2552" s="13"/>
      <c r="S2552" s="13"/>
      <c r="T2552" s="13">
        <f t="shared" ref="T2552:Y2552" si="2789">IF(ISBLANK(K2552)=TRUE,0,1)</f>
        <v>0</v>
      </c>
      <c r="U2552" s="13">
        <f t="shared" si="2789"/>
        <v>0</v>
      </c>
      <c r="V2552" s="13">
        <f t="shared" si="2789"/>
        <v>0</v>
      </c>
      <c r="W2552" s="13">
        <f t="shared" si="2789"/>
        <v>0</v>
      </c>
      <c r="X2552" s="13">
        <f t="shared" si="2789"/>
        <v>1</v>
      </c>
      <c r="Y2552" s="13">
        <f t="shared" si="2789"/>
        <v>1</v>
      </c>
      <c r="Z2552" s="13">
        <f t="shared" si="1998"/>
        <v>0</v>
      </c>
      <c r="AA2552" s="13"/>
      <c r="AB2552" s="13"/>
      <c r="AC2552" s="13"/>
      <c r="AD2552" s="13"/>
      <c r="AE2552" s="13"/>
      <c r="AF2552" s="13"/>
      <c r="AG2552" s="13"/>
      <c r="AH2552" s="13"/>
      <c r="AI2552" s="13"/>
      <c r="AJ2552" s="13"/>
      <c r="AK2552" s="13"/>
      <c r="AL2552" s="13"/>
      <c r="AM2552" s="13"/>
      <c r="AN2552" s="13"/>
      <c r="AO2552" s="13"/>
      <c r="AP2552" s="13"/>
      <c r="AQ2552" s="13"/>
      <c r="AR2552" s="13"/>
      <c r="AS2552" s="13"/>
    </row>
    <row r="2553" ht="14.25" hidden="1" customHeight="1">
      <c r="A2553" s="13" t="s">
        <v>29</v>
      </c>
      <c r="B2553" s="13" t="s">
        <v>30</v>
      </c>
      <c r="C2553" s="13" t="s">
        <v>1587</v>
      </c>
      <c r="D2553" s="13"/>
      <c r="E2553" s="13" t="str">
        <f t="shared" si="2395"/>
        <v>SJC,42-4-78,,0</v>
      </c>
      <c r="F2553" s="13"/>
      <c r="G2553" s="13" t="s">
        <v>111</v>
      </c>
      <c r="H2553" s="13" t="s">
        <v>75</v>
      </c>
      <c r="I2553" s="13"/>
      <c r="J2553" s="13"/>
      <c r="K2553" s="15"/>
      <c r="L2553" s="15"/>
      <c r="M2553" s="16"/>
      <c r="N2553" s="16"/>
      <c r="O2553" s="17">
        <v>0.0</v>
      </c>
      <c r="P2553" s="17">
        <v>0.0</v>
      </c>
      <c r="Q2553" s="13"/>
      <c r="R2553" s="13"/>
      <c r="S2553" s="13"/>
      <c r="T2553" s="13">
        <f t="shared" ref="T2553:Y2553" si="2790">IF(ISBLANK(K2553)=TRUE,0,1)</f>
        <v>0</v>
      </c>
      <c r="U2553" s="13">
        <f t="shared" si="2790"/>
        <v>0</v>
      </c>
      <c r="V2553" s="13">
        <f t="shared" si="2790"/>
        <v>0</v>
      </c>
      <c r="W2553" s="13">
        <f t="shared" si="2790"/>
        <v>0</v>
      </c>
      <c r="X2553" s="13">
        <f t="shared" si="2790"/>
        <v>1</v>
      </c>
      <c r="Y2553" s="13">
        <f t="shared" si="2790"/>
        <v>1</v>
      </c>
      <c r="Z2553" s="13">
        <f t="shared" si="1998"/>
        <v>0</v>
      </c>
      <c r="AA2553" s="13"/>
      <c r="AB2553" s="13"/>
      <c r="AC2553" s="13"/>
      <c r="AD2553" s="13"/>
      <c r="AE2553" s="13"/>
      <c r="AF2553" s="13"/>
      <c r="AG2553" s="13"/>
      <c r="AH2553" s="13"/>
      <c r="AI2553" s="13"/>
      <c r="AJ2553" s="13"/>
      <c r="AK2553" s="13"/>
      <c r="AL2553" s="13"/>
      <c r="AM2553" s="13"/>
      <c r="AN2553" s="13"/>
      <c r="AO2553" s="13"/>
      <c r="AP2553" s="13"/>
      <c r="AQ2553" s="13"/>
      <c r="AR2553" s="13"/>
      <c r="AS2553" s="13"/>
    </row>
    <row r="2554" ht="14.25" hidden="1" customHeight="1">
      <c r="A2554" s="13" t="s">
        <v>29</v>
      </c>
      <c r="B2554" s="13" t="s">
        <v>30</v>
      </c>
      <c r="C2554" s="13" t="s">
        <v>1588</v>
      </c>
      <c r="D2554" s="13"/>
      <c r="E2554" s="13" t="str">
        <f t="shared" si="2395"/>
        <v>SJC,42-4-79,,0</v>
      </c>
      <c r="F2554" s="13"/>
      <c r="G2554" s="13" t="s">
        <v>111</v>
      </c>
      <c r="H2554" s="13" t="s">
        <v>75</v>
      </c>
      <c r="I2554" s="13"/>
      <c r="J2554" s="13"/>
      <c r="K2554" s="15"/>
      <c r="L2554" s="15"/>
      <c r="M2554" s="16"/>
      <c r="N2554" s="16"/>
      <c r="O2554" s="17">
        <v>0.0</v>
      </c>
      <c r="P2554" s="17">
        <v>0.0</v>
      </c>
      <c r="Q2554" s="13"/>
      <c r="R2554" s="13"/>
      <c r="S2554" s="13"/>
      <c r="T2554" s="13">
        <f t="shared" ref="T2554:Y2554" si="2791">IF(ISBLANK(K2554)=TRUE,0,1)</f>
        <v>0</v>
      </c>
      <c r="U2554" s="13">
        <f t="shared" si="2791"/>
        <v>0</v>
      </c>
      <c r="V2554" s="13">
        <f t="shared" si="2791"/>
        <v>0</v>
      </c>
      <c r="W2554" s="13">
        <f t="shared" si="2791"/>
        <v>0</v>
      </c>
      <c r="X2554" s="13">
        <f t="shared" si="2791"/>
        <v>1</v>
      </c>
      <c r="Y2554" s="13">
        <f t="shared" si="2791"/>
        <v>1</v>
      </c>
      <c r="Z2554" s="13">
        <f t="shared" si="1998"/>
        <v>0</v>
      </c>
      <c r="AA2554" s="13"/>
      <c r="AB2554" s="13"/>
      <c r="AC2554" s="13"/>
      <c r="AD2554" s="13"/>
      <c r="AE2554" s="13"/>
      <c r="AF2554" s="13"/>
      <c r="AG2554" s="13"/>
      <c r="AH2554" s="13"/>
      <c r="AI2554" s="13"/>
      <c r="AJ2554" s="13"/>
      <c r="AK2554" s="13"/>
      <c r="AL2554" s="13"/>
      <c r="AM2554" s="13"/>
      <c r="AN2554" s="13"/>
      <c r="AO2554" s="13"/>
      <c r="AP2554" s="13"/>
      <c r="AQ2554" s="13"/>
      <c r="AR2554" s="13"/>
      <c r="AS2554" s="13"/>
    </row>
    <row r="2555" ht="14.25" hidden="1" customHeight="1">
      <c r="A2555" s="13" t="s">
        <v>29</v>
      </c>
      <c r="B2555" s="13" t="s">
        <v>30</v>
      </c>
      <c r="C2555" s="13" t="s">
        <v>1589</v>
      </c>
      <c r="D2555" s="13"/>
      <c r="E2555" s="13" t="str">
        <f t="shared" si="2395"/>
        <v>SJC,42-4-8,,0</v>
      </c>
      <c r="F2555" s="13"/>
      <c r="G2555" s="13" t="s">
        <v>111</v>
      </c>
      <c r="H2555" s="13" t="s">
        <v>75</v>
      </c>
      <c r="I2555" s="13"/>
      <c r="J2555" s="13"/>
      <c r="K2555" s="15"/>
      <c r="L2555" s="15"/>
      <c r="M2555" s="16"/>
      <c r="N2555" s="16"/>
      <c r="O2555" s="17">
        <v>0.0</v>
      </c>
      <c r="P2555" s="17">
        <v>0.0</v>
      </c>
      <c r="Q2555" s="13"/>
      <c r="R2555" s="13"/>
      <c r="S2555" s="13"/>
      <c r="T2555" s="13">
        <f t="shared" ref="T2555:Y2555" si="2792">IF(ISBLANK(K2555)=TRUE,0,1)</f>
        <v>0</v>
      </c>
      <c r="U2555" s="13">
        <f t="shared" si="2792"/>
        <v>0</v>
      </c>
      <c r="V2555" s="13">
        <f t="shared" si="2792"/>
        <v>0</v>
      </c>
      <c r="W2555" s="13">
        <f t="shared" si="2792"/>
        <v>0</v>
      </c>
      <c r="X2555" s="13">
        <f t="shared" si="2792"/>
        <v>1</v>
      </c>
      <c r="Y2555" s="13">
        <f t="shared" si="2792"/>
        <v>1</v>
      </c>
      <c r="Z2555" s="13">
        <f t="shared" si="1998"/>
        <v>0</v>
      </c>
      <c r="AA2555" s="13"/>
      <c r="AB2555" s="13"/>
      <c r="AC2555" s="13"/>
      <c r="AD2555" s="13"/>
      <c r="AE2555" s="13"/>
      <c r="AF2555" s="13"/>
      <c r="AG2555" s="13"/>
      <c r="AH2555" s="13"/>
      <c r="AI2555" s="13"/>
      <c r="AJ2555" s="13"/>
      <c r="AK2555" s="13"/>
      <c r="AL2555" s="13"/>
      <c r="AM2555" s="13"/>
      <c r="AN2555" s="13"/>
      <c r="AO2555" s="13"/>
      <c r="AP2555" s="13"/>
      <c r="AQ2555" s="13"/>
      <c r="AR2555" s="13"/>
      <c r="AS2555" s="13"/>
    </row>
    <row r="2556" ht="14.25" hidden="1" customHeight="1">
      <c r="A2556" s="13" t="s">
        <v>29</v>
      </c>
      <c r="B2556" s="13" t="s">
        <v>30</v>
      </c>
      <c r="C2556" s="13" t="s">
        <v>1590</v>
      </c>
      <c r="D2556" s="13"/>
      <c r="E2556" s="13" t="str">
        <f t="shared" si="2395"/>
        <v>SJC,42-4-80,,0</v>
      </c>
      <c r="F2556" s="13"/>
      <c r="G2556" s="13" t="s">
        <v>111</v>
      </c>
      <c r="H2556" s="13" t="s">
        <v>75</v>
      </c>
      <c r="I2556" s="13"/>
      <c r="J2556" s="13"/>
      <c r="K2556" s="15"/>
      <c r="L2556" s="15"/>
      <c r="M2556" s="16"/>
      <c r="N2556" s="16"/>
      <c r="O2556" s="17">
        <v>0.0</v>
      </c>
      <c r="P2556" s="17">
        <v>0.0</v>
      </c>
      <c r="Q2556" s="13"/>
      <c r="R2556" s="13"/>
      <c r="S2556" s="13"/>
      <c r="T2556" s="13">
        <f t="shared" ref="T2556:Y2556" si="2793">IF(ISBLANK(K2556)=TRUE,0,1)</f>
        <v>0</v>
      </c>
      <c r="U2556" s="13">
        <f t="shared" si="2793"/>
        <v>0</v>
      </c>
      <c r="V2556" s="13">
        <f t="shared" si="2793"/>
        <v>0</v>
      </c>
      <c r="W2556" s="13">
        <f t="shared" si="2793"/>
        <v>0</v>
      </c>
      <c r="X2556" s="13">
        <f t="shared" si="2793"/>
        <v>1</v>
      </c>
      <c r="Y2556" s="13">
        <f t="shared" si="2793"/>
        <v>1</v>
      </c>
      <c r="Z2556" s="13">
        <f t="shared" si="1998"/>
        <v>0</v>
      </c>
      <c r="AA2556" s="13"/>
      <c r="AB2556" s="13"/>
      <c r="AC2556" s="13"/>
      <c r="AD2556" s="13"/>
      <c r="AE2556" s="13"/>
      <c r="AF2556" s="13"/>
      <c r="AG2556" s="13"/>
      <c r="AH2556" s="13"/>
      <c r="AI2556" s="13"/>
      <c r="AJ2556" s="13"/>
      <c r="AK2556" s="13"/>
      <c r="AL2556" s="13"/>
      <c r="AM2556" s="13"/>
      <c r="AN2556" s="13"/>
      <c r="AO2556" s="13"/>
      <c r="AP2556" s="13"/>
      <c r="AQ2556" s="13"/>
      <c r="AR2556" s="13"/>
      <c r="AS2556" s="13"/>
    </row>
    <row r="2557" ht="14.25" hidden="1" customHeight="1">
      <c r="A2557" s="13" t="s">
        <v>29</v>
      </c>
      <c r="B2557" s="13" t="s">
        <v>30</v>
      </c>
      <c r="C2557" s="13" t="s">
        <v>1591</v>
      </c>
      <c r="D2557" s="13"/>
      <c r="E2557" s="13" t="str">
        <f t="shared" si="2395"/>
        <v>SJC,42-4-81,,0</v>
      </c>
      <c r="F2557" s="13"/>
      <c r="G2557" s="13" t="s">
        <v>111</v>
      </c>
      <c r="H2557" s="13" t="s">
        <v>75</v>
      </c>
      <c r="I2557" s="13"/>
      <c r="J2557" s="13"/>
      <c r="K2557" s="15"/>
      <c r="L2557" s="15"/>
      <c r="M2557" s="16"/>
      <c r="N2557" s="16"/>
      <c r="O2557" s="17">
        <v>0.0</v>
      </c>
      <c r="P2557" s="17">
        <v>0.0</v>
      </c>
      <c r="Q2557" s="13"/>
      <c r="R2557" s="13"/>
      <c r="S2557" s="13"/>
      <c r="T2557" s="13">
        <f t="shared" ref="T2557:Y2557" si="2794">IF(ISBLANK(K2557)=TRUE,0,1)</f>
        <v>0</v>
      </c>
      <c r="U2557" s="13">
        <f t="shared" si="2794"/>
        <v>0</v>
      </c>
      <c r="V2557" s="13">
        <f t="shared" si="2794"/>
        <v>0</v>
      </c>
      <c r="W2557" s="13">
        <f t="shared" si="2794"/>
        <v>0</v>
      </c>
      <c r="X2557" s="13">
        <f t="shared" si="2794"/>
        <v>1</v>
      </c>
      <c r="Y2557" s="13">
        <f t="shared" si="2794"/>
        <v>1</v>
      </c>
      <c r="Z2557" s="13">
        <f t="shared" si="1998"/>
        <v>0</v>
      </c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3"/>
      <c r="AM2557" s="13"/>
      <c r="AN2557" s="13"/>
      <c r="AO2557" s="13"/>
      <c r="AP2557" s="13"/>
      <c r="AQ2557" s="13"/>
      <c r="AR2557" s="13"/>
      <c r="AS2557" s="13"/>
    </row>
    <row r="2558" ht="14.25" hidden="1" customHeight="1">
      <c r="A2558" s="13" t="s">
        <v>29</v>
      </c>
      <c r="B2558" s="13" t="s">
        <v>30</v>
      </c>
      <c r="C2558" s="13" t="s">
        <v>1592</v>
      </c>
      <c r="D2558" s="13"/>
      <c r="E2558" s="13" t="str">
        <f t="shared" si="2395"/>
        <v>SJC,42-4-82,,0</v>
      </c>
      <c r="F2558" s="13"/>
      <c r="G2558" s="13" t="s">
        <v>111</v>
      </c>
      <c r="H2558" s="13" t="s">
        <v>75</v>
      </c>
      <c r="I2558" s="13"/>
      <c r="J2558" s="13"/>
      <c r="K2558" s="15"/>
      <c r="L2558" s="15"/>
      <c r="M2558" s="16"/>
      <c r="N2558" s="16"/>
      <c r="O2558" s="17">
        <v>0.0</v>
      </c>
      <c r="P2558" s="17">
        <v>0.0</v>
      </c>
      <c r="Q2558" s="13"/>
      <c r="R2558" s="13"/>
      <c r="S2558" s="13"/>
      <c r="T2558" s="13">
        <f t="shared" ref="T2558:Y2558" si="2795">IF(ISBLANK(K2558)=TRUE,0,1)</f>
        <v>0</v>
      </c>
      <c r="U2558" s="13">
        <f t="shared" si="2795"/>
        <v>0</v>
      </c>
      <c r="V2558" s="13">
        <f t="shared" si="2795"/>
        <v>0</v>
      </c>
      <c r="W2558" s="13">
        <f t="shared" si="2795"/>
        <v>0</v>
      </c>
      <c r="X2558" s="13">
        <f t="shared" si="2795"/>
        <v>1</v>
      </c>
      <c r="Y2558" s="13">
        <f t="shared" si="2795"/>
        <v>1</v>
      </c>
      <c r="Z2558" s="13">
        <f t="shared" si="1998"/>
        <v>0</v>
      </c>
      <c r="AA2558" s="13"/>
      <c r="AB2558" s="13"/>
      <c r="AC2558" s="13"/>
      <c r="AD2558" s="13"/>
      <c r="AE2558" s="13"/>
      <c r="AF2558" s="13"/>
      <c r="AG2558" s="13"/>
      <c r="AH2558" s="13"/>
      <c r="AI2558" s="13"/>
      <c r="AJ2558" s="13"/>
      <c r="AK2558" s="13"/>
      <c r="AL2558" s="13"/>
      <c r="AM2558" s="13"/>
      <c r="AN2558" s="13"/>
      <c r="AO2558" s="13"/>
      <c r="AP2558" s="13"/>
      <c r="AQ2558" s="13"/>
      <c r="AR2558" s="13"/>
      <c r="AS2558" s="13"/>
    </row>
    <row r="2559" ht="14.25" hidden="1" customHeight="1">
      <c r="A2559" s="13" t="s">
        <v>29</v>
      </c>
      <c r="B2559" s="13" t="s">
        <v>30</v>
      </c>
      <c r="C2559" s="13" t="s">
        <v>1593</v>
      </c>
      <c r="D2559" s="13"/>
      <c r="E2559" s="13" t="str">
        <f t="shared" si="2395"/>
        <v>SJC,42-4-83,,0</v>
      </c>
      <c r="F2559" s="13"/>
      <c r="G2559" s="13" t="s">
        <v>111</v>
      </c>
      <c r="H2559" s="13" t="s">
        <v>75</v>
      </c>
      <c r="I2559" s="13"/>
      <c r="J2559" s="13"/>
      <c r="K2559" s="15"/>
      <c r="L2559" s="15"/>
      <c r="M2559" s="16"/>
      <c r="N2559" s="16"/>
      <c r="O2559" s="17">
        <v>0.0</v>
      </c>
      <c r="P2559" s="17">
        <v>0.0</v>
      </c>
      <c r="Q2559" s="13"/>
      <c r="R2559" s="13"/>
      <c r="S2559" s="13"/>
      <c r="T2559" s="13">
        <f t="shared" ref="T2559:Y2559" si="2796">IF(ISBLANK(K2559)=TRUE,0,1)</f>
        <v>0</v>
      </c>
      <c r="U2559" s="13">
        <f t="shared" si="2796"/>
        <v>0</v>
      </c>
      <c r="V2559" s="13">
        <f t="shared" si="2796"/>
        <v>0</v>
      </c>
      <c r="W2559" s="13">
        <f t="shared" si="2796"/>
        <v>0</v>
      </c>
      <c r="X2559" s="13">
        <f t="shared" si="2796"/>
        <v>1</v>
      </c>
      <c r="Y2559" s="13">
        <f t="shared" si="2796"/>
        <v>1</v>
      </c>
      <c r="Z2559" s="13">
        <f t="shared" si="1998"/>
        <v>0</v>
      </c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13"/>
      <c r="AK2559" s="13"/>
      <c r="AL2559" s="13"/>
      <c r="AM2559" s="13"/>
      <c r="AN2559" s="13"/>
      <c r="AO2559" s="13"/>
      <c r="AP2559" s="13"/>
      <c r="AQ2559" s="13"/>
      <c r="AR2559" s="13"/>
      <c r="AS2559" s="13"/>
    </row>
    <row r="2560" ht="14.25" hidden="1" customHeight="1">
      <c r="A2560" s="13" t="s">
        <v>29</v>
      </c>
      <c r="B2560" s="13" t="s">
        <v>30</v>
      </c>
      <c r="C2560" s="13" t="s">
        <v>1594</v>
      </c>
      <c r="D2560" s="13"/>
      <c r="E2560" s="13" t="str">
        <f t="shared" si="2395"/>
        <v>SJC,42-4-84,,0</v>
      </c>
      <c r="F2560" s="13"/>
      <c r="G2560" s="13" t="s">
        <v>111</v>
      </c>
      <c r="H2560" s="13" t="s">
        <v>75</v>
      </c>
      <c r="I2560" s="13"/>
      <c r="J2560" s="13"/>
      <c r="K2560" s="15"/>
      <c r="L2560" s="15"/>
      <c r="M2560" s="16"/>
      <c r="N2560" s="16"/>
      <c r="O2560" s="17">
        <v>0.0</v>
      </c>
      <c r="P2560" s="17">
        <v>0.0</v>
      </c>
      <c r="Q2560" s="13"/>
      <c r="R2560" s="13"/>
      <c r="S2560" s="13"/>
      <c r="T2560" s="13">
        <f t="shared" ref="T2560:Y2560" si="2797">IF(ISBLANK(K2560)=TRUE,0,1)</f>
        <v>0</v>
      </c>
      <c r="U2560" s="13">
        <f t="shared" si="2797"/>
        <v>0</v>
      </c>
      <c r="V2560" s="13">
        <f t="shared" si="2797"/>
        <v>0</v>
      </c>
      <c r="W2560" s="13">
        <f t="shared" si="2797"/>
        <v>0</v>
      </c>
      <c r="X2560" s="13">
        <f t="shared" si="2797"/>
        <v>1</v>
      </c>
      <c r="Y2560" s="13">
        <f t="shared" si="2797"/>
        <v>1</v>
      </c>
      <c r="Z2560" s="13">
        <f t="shared" si="1998"/>
        <v>0</v>
      </c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/>
      <c r="AL2560" s="13"/>
      <c r="AM2560" s="13"/>
      <c r="AN2560" s="13"/>
      <c r="AO2560" s="13"/>
      <c r="AP2560" s="13"/>
      <c r="AQ2560" s="13"/>
      <c r="AR2560" s="13"/>
      <c r="AS2560" s="13"/>
    </row>
    <row r="2561" ht="14.25" hidden="1" customHeight="1">
      <c r="A2561" s="13" t="s">
        <v>29</v>
      </c>
      <c r="B2561" s="13" t="s">
        <v>30</v>
      </c>
      <c r="C2561" s="13" t="s">
        <v>1595</v>
      </c>
      <c r="D2561" s="13"/>
      <c r="E2561" s="13" t="str">
        <f t="shared" si="2395"/>
        <v>SJC,42-4-85,,0</v>
      </c>
      <c r="F2561" s="13"/>
      <c r="G2561" s="13" t="s">
        <v>111</v>
      </c>
      <c r="H2561" s="13" t="s">
        <v>75</v>
      </c>
      <c r="I2561" s="13"/>
      <c r="J2561" s="13"/>
      <c r="K2561" s="15"/>
      <c r="L2561" s="15"/>
      <c r="M2561" s="16"/>
      <c r="N2561" s="16"/>
      <c r="O2561" s="17">
        <v>0.0</v>
      </c>
      <c r="P2561" s="17">
        <v>0.0</v>
      </c>
      <c r="Q2561" s="13"/>
      <c r="R2561" s="13"/>
      <c r="S2561" s="13"/>
      <c r="T2561" s="13">
        <f t="shared" ref="T2561:Y2561" si="2798">IF(ISBLANK(K2561)=TRUE,0,1)</f>
        <v>0</v>
      </c>
      <c r="U2561" s="13">
        <f t="shared" si="2798"/>
        <v>0</v>
      </c>
      <c r="V2561" s="13">
        <f t="shared" si="2798"/>
        <v>0</v>
      </c>
      <c r="W2561" s="13">
        <f t="shared" si="2798"/>
        <v>0</v>
      </c>
      <c r="X2561" s="13">
        <f t="shared" si="2798"/>
        <v>1</v>
      </c>
      <c r="Y2561" s="13">
        <f t="shared" si="2798"/>
        <v>1</v>
      </c>
      <c r="Z2561" s="13">
        <f t="shared" si="1998"/>
        <v>0</v>
      </c>
      <c r="AA2561" s="13"/>
      <c r="AB2561" s="13"/>
      <c r="AC2561" s="13"/>
      <c r="AD2561" s="13"/>
      <c r="AE2561" s="13"/>
      <c r="AF2561" s="13"/>
      <c r="AG2561" s="13"/>
      <c r="AH2561" s="13"/>
      <c r="AI2561" s="13"/>
      <c r="AJ2561" s="13"/>
      <c r="AK2561" s="13"/>
      <c r="AL2561" s="13"/>
      <c r="AM2561" s="13"/>
      <c r="AN2561" s="13"/>
      <c r="AO2561" s="13"/>
      <c r="AP2561" s="13"/>
      <c r="AQ2561" s="13"/>
      <c r="AR2561" s="13"/>
      <c r="AS2561" s="13"/>
    </row>
    <row r="2562" ht="14.25" hidden="1" customHeight="1">
      <c r="A2562" s="13" t="s">
        <v>29</v>
      </c>
      <c r="B2562" s="13" t="s">
        <v>30</v>
      </c>
      <c r="C2562" s="13" t="s">
        <v>1596</v>
      </c>
      <c r="D2562" s="13"/>
      <c r="E2562" s="13" t="str">
        <f t="shared" si="2395"/>
        <v>SJC,42-4-86,,0</v>
      </c>
      <c r="F2562" s="13"/>
      <c r="G2562" s="13" t="s">
        <v>111</v>
      </c>
      <c r="H2562" s="13" t="s">
        <v>75</v>
      </c>
      <c r="I2562" s="13"/>
      <c r="J2562" s="13"/>
      <c r="K2562" s="15"/>
      <c r="L2562" s="15"/>
      <c r="M2562" s="16"/>
      <c r="N2562" s="16"/>
      <c r="O2562" s="17">
        <v>0.0</v>
      </c>
      <c r="P2562" s="17">
        <v>0.0</v>
      </c>
      <c r="Q2562" s="13"/>
      <c r="R2562" s="13"/>
      <c r="S2562" s="13"/>
      <c r="T2562" s="13">
        <f t="shared" ref="T2562:Y2562" si="2799">IF(ISBLANK(K2562)=TRUE,0,1)</f>
        <v>0</v>
      </c>
      <c r="U2562" s="13">
        <f t="shared" si="2799"/>
        <v>0</v>
      </c>
      <c r="V2562" s="13">
        <f t="shared" si="2799"/>
        <v>0</v>
      </c>
      <c r="W2562" s="13">
        <f t="shared" si="2799"/>
        <v>0</v>
      </c>
      <c r="X2562" s="13">
        <f t="shared" si="2799"/>
        <v>1</v>
      </c>
      <c r="Y2562" s="13">
        <f t="shared" si="2799"/>
        <v>1</v>
      </c>
      <c r="Z2562" s="13">
        <f t="shared" si="1998"/>
        <v>0</v>
      </c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  <c r="AL2562" s="13"/>
      <c r="AM2562" s="13"/>
      <c r="AN2562" s="13"/>
      <c r="AO2562" s="13"/>
      <c r="AP2562" s="13"/>
      <c r="AQ2562" s="13"/>
      <c r="AR2562" s="13"/>
      <c r="AS2562" s="13"/>
    </row>
    <row r="2563" ht="14.25" hidden="1" customHeight="1">
      <c r="A2563" s="13" t="s">
        <v>29</v>
      </c>
      <c r="B2563" s="13" t="s">
        <v>30</v>
      </c>
      <c r="C2563" s="13" t="s">
        <v>1597</v>
      </c>
      <c r="D2563" s="13"/>
      <c r="E2563" s="13" t="str">
        <f t="shared" si="2395"/>
        <v>SJC,42-4-87,,0</v>
      </c>
      <c r="F2563" s="13"/>
      <c r="G2563" s="13" t="s">
        <v>111</v>
      </c>
      <c r="H2563" s="13" t="s">
        <v>75</v>
      </c>
      <c r="I2563" s="13"/>
      <c r="J2563" s="13"/>
      <c r="K2563" s="15"/>
      <c r="L2563" s="15"/>
      <c r="M2563" s="16"/>
      <c r="N2563" s="16"/>
      <c r="O2563" s="17">
        <v>0.0</v>
      </c>
      <c r="P2563" s="17">
        <v>0.0</v>
      </c>
      <c r="Q2563" s="13"/>
      <c r="R2563" s="13"/>
      <c r="S2563" s="13"/>
      <c r="T2563" s="13">
        <f t="shared" ref="T2563:Y2563" si="2800">IF(ISBLANK(K2563)=TRUE,0,1)</f>
        <v>0</v>
      </c>
      <c r="U2563" s="13">
        <f t="shared" si="2800"/>
        <v>0</v>
      </c>
      <c r="V2563" s="13">
        <f t="shared" si="2800"/>
        <v>0</v>
      </c>
      <c r="W2563" s="13">
        <f t="shared" si="2800"/>
        <v>0</v>
      </c>
      <c r="X2563" s="13">
        <f t="shared" si="2800"/>
        <v>1</v>
      </c>
      <c r="Y2563" s="13">
        <f t="shared" si="2800"/>
        <v>1</v>
      </c>
      <c r="Z2563" s="13">
        <f t="shared" si="1998"/>
        <v>0</v>
      </c>
      <c r="AA2563" s="13"/>
      <c r="AB2563" s="13"/>
      <c r="AC2563" s="13"/>
      <c r="AD2563" s="13"/>
      <c r="AE2563" s="13"/>
      <c r="AF2563" s="13"/>
      <c r="AG2563" s="13"/>
      <c r="AH2563" s="13"/>
      <c r="AI2563" s="13"/>
      <c r="AJ2563" s="13"/>
      <c r="AK2563" s="13"/>
      <c r="AL2563" s="13"/>
      <c r="AM2563" s="13"/>
      <c r="AN2563" s="13"/>
      <c r="AO2563" s="13"/>
      <c r="AP2563" s="13"/>
      <c r="AQ2563" s="13"/>
      <c r="AR2563" s="13"/>
      <c r="AS2563" s="13"/>
    </row>
    <row r="2564" ht="14.25" hidden="1" customHeight="1">
      <c r="A2564" s="13" t="s">
        <v>29</v>
      </c>
      <c r="B2564" s="13" t="s">
        <v>30</v>
      </c>
      <c r="C2564" s="13" t="s">
        <v>1598</v>
      </c>
      <c r="D2564" s="13"/>
      <c r="E2564" s="13" t="str">
        <f t="shared" si="2395"/>
        <v>SJC,42-4-88,,0</v>
      </c>
      <c r="F2564" s="13"/>
      <c r="G2564" s="13" t="s">
        <v>111</v>
      </c>
      <c r="H2564" s="13" t="s">
        <v>75</v>
      </c>
      <c r="I2564" s="13"/>
      <c r="J2564" s="13"/>
      <c r="K2564" s="15"/>
      <c r="L2564" s="15"/>
      <c r="M2564" s="16"/>
      <c r="N2564" s="16"/>
      <c r="O2564" s="17">
        <v>0.0</v>
      </c>
      <c r="P2564" s="17">
        <v>0.0</v>
      </c>
      <c r="Q2564" s="13"/>
      <c r="R2564" s="13"/>
      <c r="S2564" s="13"/>
      <c r="T2564" s="13">
        <f t="shared" ref="T2564:Y2564" si="2801">IF(ISBLANK(K2564)=TRUE,0,1)</f>
        <v>0</v>
      </c>
      <c r="U2564" s="13">
        <f t="shared" si="2801"/>
        <v>0</v>
      </c>
      <c r="V2564" s="13">
        <f t="shared" si="2801"/>
        <v>0</v>
      </c>
      <c r="W2564" s="13">
        <f t="shared" si="2801"/>
        <v>0</v>
      </c>
      <c r="X2564" s="13">
        <f t="shared" si="2801"/>
        <v>1</v>
      </c>
      <c r="Y2564" s="13">
        <f t="shared" si="2801"/>
        <v>1</v>
      </c>
      <c r="Z2564" s="13">
        <f t="shared" si="1998"/>
        <v>0</v>
      </c>
      <c r="AA2564" s="13"/>
      <c r="AB2564" s="13"/>
      <c r="AC2564" s="13"/>
      <c r="AD2564" s="13"/>
      <c r="AE2564" s="13"/>
      <c r="AF2564" s="13"/>
      <c r="AG2564" s="13"/>
      <c r="AH2564" s="13"/>
      <c r="AI2564" s="13"/>
      <c r="AJ2564" s="13"/>
      <c r="AK2564" s="13"/>
      <c r="AL2564" s="13"/>
      <c r="AM2564" s="13"/>
      <c r="AN2564" s="13"/>
      <c r="AO2564" s="13"/>
      <c r="AP2564" s="13"/>
      <c r="AQ2564" s="13"/>
      <c r="AR2564" s="13"/>
      <c r="AS2564" s="13"/>
    </row>
    <row r="2565" ht="14.25" hidden="1" customHeight="1">
      <c r="A2565" s="13" t="s">
        <v>29</v>
      </c>
      <c r="B2565" s="13" t="s">
        <v>30</v>
      </c>
      <c r="C2565" s="13" t="s">
        <v>1599</v>
      </c>
      <c r="D2565" s="13"/>
      <c r="E2565" s="13" t="str">
        <f t="shared" si="2395"/>
        <v>SJC,42-4-89,,0</v>
      </c>
      <c r="F2565" s="13"/>
      <c r="G2565" s="13" t="s">
        <v>111</v>
      </c>
      <c r="H2565" s="13" t="s">
        <v>75</v>
      </c>
      <c r="I2565" s="13"/>
      <c r="J2565" s="13"/>
      <c r="K2565" s="15"/>
      <c r="L2565" s="15"/>
      <c r="M2565" s="16"/>
      <c r="N2565" s="16"/>
      <c r="O2565" s="17">
        <v>0.0</v>
      </c>
      <c r="P2565" s="17">
        <v>0.0</v>
      </c>
      <c r="Q2565" s="13"/>
      <c r="R2565" s="13"/>
      <c r="S2565" s="13"/>
      <c r="T2565" s="13">
        <f t="shared" ref="T2565:Y2565" si="2802">IF(ISBLANK(K2565)=TRUE,0,1)</f>
        <v>0</v>
      </c>
      <c r="U2565" s="13">
        <f t="shared" si="2802"/>
        <v>0</v>
      </c>
      <c r="V2565" s="13">
        <f t="shared" si="2802"/>
        <v>0</v>
      </c>
      <c r="W2565" s="13">
        <f t="shared" si="2802"/>
        <v>0</v>
      </c>
      <c r="X2565" s="13">
        <f t="shared" si="2802"/>
        <v>1</v>
      </c>
      <c r="Y2565" s="13">
        <f t="shared" si="2802"/>
        <v>1</v>
      </c>
      <c r="Z2565" s="13">
        <f t="shared" si="1998"/>
        <v>0</v>
      </c>
      <c r="AA2565" s="13"/>
      <c r="AB2565" s="13"/>
      <c r="AC2565" s="13"/>
      <c r="AD2565" s="13"/>
      <c r="AE2565" s="13"/>
      <c r="AF2565" s="13"/>
      <c r="AG2565" s="13"/>
      <c r="AH2565" s="13"/>
      <c r="AI2565" s="13"/>
      <c r="AJ2565" s="13"/>
      <c r="AK2565" s="13"/>
      <c r="AL2565" s="13"/>
      <c r="AM2565" s="13"/>
      <c r="AN2565" s="13"/>
      <c r="AO2565" s="13"/>
      <c r="AP2565" s="13"/>
      <c r="AQ2565" s="13"/>
      <c r="AR2565" s="13"/>
      <c r="AS2565" s="13"/>
    </row>
    <row r="2566" ht="14.25" hidden="1" customHeight="1">
      <c r="A2566" s="13" t="s">
        <v>29</v>
      </c>
      <c r="B2566" s="13" t="s">
        <v>30</v>
      </c>
      <c r="C2566" s="13" t="s">
        <v>1600</v>
      </c>
      <c r="D2566" s="13"/>
      <c r="E2566" s="13" t="str">
        <f t="shared" si="2395"/>
        <v>SJC,42-4-9,,0</v>
      </c>
      <c r="F2566" s="13"/>
      <c r="G2566" s="13" t="s">
        <v>111</v>
      </c>
      <c r="H2566" s="13" t="s">
        <v>75</v>
      </c>
      <c r="I2566" s="13"/>
      <c r="J2566" s="13"/>
      <c r="K2566" s="15"/>
      <c r="L2566" s="15"/>
      <c r="M2566" s="16"/>
      <c r="N2566" s="16"/>
      <c r="O2566" s="17">
        <v>0.0</v>
      </c>
      <c r="P2566" s="17">
        <v>0.0</v>
      </c>
      <c r="Q2566" s="13"/>
      <c r="R2566" s="13"/>
      <c r="S2566" s="13"/>
      <c r="T2566" s="13">
        <f t="shared" ref="T2566:Y2566" si="2803">IF(ISBLANK(K2566)=TRUE,0,1)</f>
        <v>0</v>
      </c>
      <c r="U2566" s="13">
        <f t="shared" si="2803"/>
        <v>0</v>
      </c>
      <c r="V2566" s="13">
        <f t="shared" si="2803"/>
        <v>0</v>
      </c>
      <c r="W2566" s="13">
        <f t="shared" si="2803"/>
        <v>0</v>
      </c>
      <c r="X2566" s="13">
        <f t="shared" si="2803"/>
        <v>1</v>
      </c>
      <c r="Y2566" s="13">
        <f t="shared" si="2803"/>
        <v>1</v>
      </c>
      <c r="Z2566" s="13">
        <f t="shared" si="1998"/>
        <v>0</v>
      </c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13"/>
      <c r="AK2566" s="13"/>
      <c r="AL2566" s="13"/>
      <c r="AM2566" s="13"/>
      <c r="AN2566" s="13"/>
      <c r="AO2566" s="13"/>
      <c r="AP2566" s="13"/>
      <c r="AQ2566" s="13"/>
      <c r="AR2566" s="13"/>
      <c r="AS2566" s="13"/>
    </row>
    <row r="2567" ht="14.25" hidden="1" customHeight="1">
      <c r="A2567" s="13" t="s">
        <v>29</v>
      </c>
      <c r="B2567" s="13" t="s">
        <v>30</v>
      </c>
      <c r="C2567" s="13" t="s">
        <v>1601</v>
      </c>
      <c r="D2567" s="13"/>
      <c r="E2567" s="13" t="str">
        <f t="shared" si="2395"/>
        <v>SJC,42-4-90,,0</v>
      </c>
      <c r="F2567" s="13"/>
      <c r="G2567" s="13" t="s">
        <v>111</v>
      </c>
      <c r="H2567" s="13" t="s">
        <v>75</v>
      </c>
      <c r="I2567" s="13"/>
      <c r="J2567" s="13"/>
      <c r="K2567" s="15"/>
      <c r="L2567" s="15"/>
      <c r="M2567" s="16"/>
      <c r="N2567" s="16"/>
      <c r="O2567" s="17">
        <v>0.0</v>
      </c>
      <c r="P2567" s="17">
        <v>0.0</v>
      </c>
      <c r="Q2567" s="13"/>
      <c r="R2567" s="13"/>
      <c r="S2567" s="13"/>
      <c r="T2567" s="13">
        <f t="shared" ref="T2567:Y2567" si="2804">IF(ISBLANK(K2567)=TRUE,0,1)</f>
        <v>0</v>
      </c>
      <c r="U2567" s="13">
        <f t="shared" si="2804"/>
        <v>0</v>
      </c>
      <c r="V2567" s="13">
        <f t="shared" si="2804"/>
        <v>0</v>
      </c>
      <c r="W2567" s="13">
        <f t="shared" si="2804"/>
        <v>0</v>
      </c>
      <c r="X2567" s="13">
        <f t="shared" si="2804"/>
        <v>1</v>
      </c>
      <c r="Y2567" s="13">
        <f t="shared" si="2804"/>
        <v>1</v>
      </c>
      <c r="Z2567" s="13">
        <f t="shared" si="1998"/>
        <v>0</v>
      </c>
      <c r="AA2567" s="13"/>
      <c r="AB2567" s="13"/>
      <c r="AC2567" s="13"/>
      <c r="AD2567" s="13"/>
      <c r="AE2567" s="13"/>
      <c r="AF2567" s="13"/>
      <c r="AG2567" s="13"/>
      <c r="AH2567" s="13"/>
      <c r="AI2567" s="13"/>
      <c r="AJ2567" s="13"/>
      <c r="AK2567" s="13"/>
      <c r="AL2567" s="13"/>
      <c r="AM2567" s="13"/>
      <c r="AN2567" s="13"/>
      <c r="AO2567" s="13"/>
      <c r="AP2567" s="13"/>
      <c r="AQ2567" s="13"/>
      <c r="AR2567" s="13"/>
      <c r="AS2567" s="13"/>
    </row>
    <row r="2568" ht="14.25" hidden="1" customHeight="1">
      <c r="A2568" s="13" t="s">
        <v>29</v>
      </c>
      <c r="B2568" s="13" t="s">
        <v>30</v>
      </c>
      <c r="C2568" s="13" t="s">
        <v>1602</v>
      </c>
      <c r="D2568" s="13"/>
      <c r="E2568" s="13" t="str">
        <f t="shared" si="2395"/>
        <v>SJC,42-4-91,,0</v>
      </c>
      <c r="F2568" s="13"/>
      <c r="G2568" s="13" t="s">
        <v>111</v>
      </c>
      <c r="H2568" s="13" t="s">
        <v>75</v>
      </c>
      <c r="I2568" s="13"/>
      <c r="J2568" s="13"/>
      <c r="K2568" s="15"/>
      <c r="L2568" s="15"/>
      <c r="M2568" s="16"/>
      <c r="N2568" s="16"/>
      <c r="O2568" s="17">
        <v>0.0</v>
      </c>
      <c r="P2568" s="17">
        <v>0.0</v>
      </c>
      <c r="Q2568" s="13"/>
      <c r="R2568" s="13"/>
      <c r="S2568" s="13"/>
      <c r="T2568" s="13">
        <f t="shared" ref="T2568:Y2568" si="2805">IF(ISBLANK(K2568)=TRUE,0,1)</f>
        <v>0</v>
      </c>
      <c r="U2568" s="13">
        <f t="shared" si="2805"/>
        <v>0</v>
      </c>
      <c r="V2568" s="13">
        <f t="shared" si="2805"/>
        <v>0</v>
      </c>
      <c r="W2568" s="13">
        <f t="shared" si="2805"/>
        <v>0</v>
      </c>
      <c r="X2568" s="13">
        <f t="shared" si="2805"/>
        <v>1</v>
      </c>
      <c r="Y2568" s="13">
        <f t="shared" si="2805"/>
        <v>1</v>
      </c>
      <c r="Z2568" s="13">
        <f t="shared" si="1998"/>
        <v>0</v>
      </c>
      <c r="AA2568" s="13"/>
      <c r="AB2568" s="13"/>
      <c r="AC2568" s="13"/>
      <c r="AD2568" s="13"/>
      <c r="AE2568" s="13"/>
      <c r="AF2568" s="13"/>
      <c r="AG2568" s="13"/>
      <c r="AH2568" s="13"/>
      <c r="AI2568" s="13"/>
      <c r="AJ2568" s="13"/>
      <c r="AK2568" s="13"/>
      <c r="AL2568" s="13"/>
      <c r="AM2568" s="13"/>
      <c r="AN2568" s="13"/>
      <c r="AO2568" s="13"/>
      <c r="AP2568" s="13"/>
      <c r="AQ2568" s="13"/>
      <c r="AR2568" s="13"/>
      <c r="AS2568" s="13"/>
    </row>
    <row r="2569" ht="14.25" hidden="1" customHeight="1">
      <c r="A2569" s="13" t="s">
        <v>29</v>
      </c>
      <c r="B2569" s="13" t="s">
        <v>30</v>
      </c>
      <c r="C2569" s="13" t="s">
        <v>1603</v>
      </c>
      <c r="D2569" s="13"/>
      <c r="E2569" s="13" t="str">
        <f t="shared" si="2395"/>
        <v>SJC,42-4-92,,0</v>
      </c>
      <c r="F2569" s="13"/>
      <c r="G2569" s="13" t="s">
        <v>111</v>
      </c>
      <c r="H2569" s="13" t="s">
        <v>75</v>
      </c>
      <c r="I2569" s="13"/>
      <c r="J2569" s="13"/>
      <c r="K2569" s="15"/>
      <c r="L2569" s="15"/>
      <c r="M2569" s="16"/>
      <c r="N2569" s="16"/>
      <c r="O2569" s="17">
        <v>0.0</v>
      </c>
      <c r="P2569" s="17">
        <v>0.0</v>
      </c>
      <c r="Q2569" s="13"/>
      <c r="R2569" s="13"/>
      <c r="S2569" s="13"/>
      <c r="T2569" s="13">
        <f t="shared" ref="T2569:Y2569" si="2806">IF(ISBLANK(K2569)=TRUE,0,1)</f>
        <v>0</v>
      </c>
      <c r="U2569" s="13">
        <f t="shared" si="2806"/>
        <v>0</v>
      </c>
      <c r="V2569" s="13">
        <f t="shared" si="2806"/>
        <v>0</v>
      </c>
      <c r="W2569" s="13">
        <f t="shared" si="2806"/>
        <v>0</v>
      </c>
      <c r="X2569" s="13">
        <f t="shared" si="2806"/>
        <v>1</v>
      </c>
      <c r="Y2569" s="13">
        <f t="shared" si="2806"/>
        <v>1</v>
      </c>
      <c r="Z2569" s="13">
        <f t="shared" si="1998"/>
        <v>0</v>
      </c>
      <c r="AA2569" s="13"/>
      <c r="AB2569" s="13"/>
      <c r="AC2569" s="13"/>
      <c r="AD2569" s="13"/>
      <c r="AE2569" s="13"/>
      <c r="AF2569" s="13"/>
      <c r="AG2569" s="13"/>
      <c r="AH2569" s="13"/>
      <c r="AI2569" s="13"/>
      <c r="AJ2569" s="13"/>
      <c r="AK2569" s="13"/>
      <c r="AL2569" s="13"/>
      <c r="AM2569" s="13"/>
      <c r="AN2569" s="13"/>
      <c r="AO2569" s="13"/>
      <c r="AP2569" s="13"/>
      <c r="AQ2569" s="13"/>
      <c r="AR2569" s="13"/>
      <c r="AS2569" s="13"/>
    </row>
    <row r="2570" ht="14.25" hidden="1" customHeight="1">
      <c r="A2570" s="13" t="s">
        <v>29</v>
      </c>
      <c r="B2570" s="13" t="s">
        <v>30</v>
      </c>
      <c r="C2570" s="13" t="s">
        <v>1604</v>
      </c>
      <c r="D2570" s="13"/>
      <c r="E2570" s="13" t="str">
        <f t="shared" si="2395"/>
        <v>SJC,42-4-93,,0</v>
      </c>
      <c r="F2570" s="13"/>
      <c r="G2570" s="13" t="s">
        <v>111</v>
      </c>
      <c r="H2570" s="13" t="s">
        <v>75</v>
      </c>
      <c r="I2570" s="13"/>
      <c r="J2570" s="13"/>
      <c r="K2570" s="15"/>
      <c r="L2570" s="15"/>
      <c r="M2570" s="16"/>
      <c r="N2570" s="16"/>
      <c r="O2570" s="17">
        <v>0.0</v>
      </c>
      <c r="P2570" s="17">
        <v>0.0</v>
      </c>
      <c r="Q2570" s="13"/>
      <c r="R2570" s="13"/>
      <c r="S2570" s="13"/>
      <c r="T2570" s="13">
        <f t="shared" ref="T2570:Y2570" si="2807">IF(ISBLANK(K2570)=TRUE,0,1)</f>
        <v>0</v>
      </c>
      <c r="U2570" s="13">
        <f t="shared" si="2807"/>
        <v>0</v>
      </c>
      <c r="V2570" s="13">
        <f t="shared" si="2807"/>
        <v>0</v>
      </c>
      <c r="W2570" s="13">
        <f t="shared" si="2807"/>
        <v>0</v>
      </c>
      <c r="X2570" s="13">
        <f t="shared" si="2807"/>
        <v>1</v>
      </c>
      <c r="Y2570" s="13">
        <f t="shared" si="2807"/>
        <v>1</v>
      </c>
      <c r="Z2570" s="13">
        <f t="shared" si="1998"/>
        <v>0</v>
      </c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/>
      <c r="AK2570" s="13"/>
      <c r="AL2570" s="13"/>
      <c r="AM2570" s="13"/>
      <c r="AN2570" s="13"/>
      <c r="AO2570" s="13"/>
      <c r="AP2570" s="13"/>
      <c r="AQ2570" s="13"/>
      <c r="AR2570" s="13"/>
      <c r="AS2570" s="13"/>
    </row>
    <row r="2571" ht="14.25" hidden="1" customHeight="1">
      <c r="A2571" s="13" t="s">
        <v>29</v>
      </c>
      <c r="B2571" s="13" t="s">
        <v>30</v>
      </c>
      <c r="C2571" s="13" t="s">
        <v>1605</v>
      </c>
      <c r="D2571" s="13"/>
      <c r="E2571" s="13" t="str">
        <f t="shared" si="2395"/>
        <v>SJC,42-4-94,,0</v>
      </c>
      <c r="F2571" s="13"/>
      <c r="G2571" s="13" t="s">
        <v>111</v>
      </c>
      <c r="H2571" s="13" t="s">
        <v>75</v>
      </c>
      <c r="I2571" s="13"/>
      <c r="J2571" s="13"/>
      <c r="K2571" s="15"/>
      <c r="L2571" s="15"/>
      <c r="M2571" s="16"/>
      <c r="N2571" s="16"/>
      <c r="O2571" s="17">
        <v>0.0</v>
      </c>
      <c r="P2571" s="17">
        <v>0.0</v>
      </c>
      <c r="Q2571" s="13"/>
      <c r="R2571" s="13"/>
      <c r="S2571" s="13"/>
      <c r="T2571" s="13">
        <f t="shared" ref="T2571:Y2571" si="2808">IF(ISBLANK(K2571)=TRUE,0,1)</f>
        <v>0</v>
      </c>
      <c r="U2571" s="13">
        <f t="shared" si="2808"/>
        <v>0</v>
      </c>
      <c r="V2571" s="13">
        <f t="shared" si="2808"/>
        <v>0</v>
      </c>
      <c r="W2571" s="13">
        <f t="shared" si="2808"/>
        <v>0</v>
      </c>
      <c r="X2571" s="13">
        <f t="shared" si="2808"/>
        <v>1</v>
      </c>
      <c r="Y2571" s="13">
        <f t="shared" si="2808"/>
        <v>1</v>
      </c>
      <c r="Z2571" s="13">
        <f t="shared" si="1998"/>
        <v>0</v>
      </c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/>
      <c r="AL2571" s="13"/>
      <c r="AM2571" s="13"/>
      <c r="AN2571" s="13"/>
      <c r="AO2571" s="13"/>
      <c r="AP2571" s="13"/>
      <c r="AQ2571" s="13"/>
      <c r="AR2571" s="13"/>
      <c r="AS2571" s="13"/>
    </row>
    <row r="2572" ht="14.25" hidden="1" customHeight="1">
      <c r="A2572" s="13" t="s">
        <v>29</v>
      </c>
      <c r="B2572" s="13" t="s">
        <v>30</v>
      </c>
      <c r="C2572" s="13" t="s">
        <v>1606</v>
      </c>
      <c r="D2572" s="13"/>
      <c r="E2572" s="13" t="str">
        <f t="shared" si="2395"/>
        <v>SJC,42-4-95,,0</v>
      </c>
      <c r="F2572" s="13"/>
      <c r="G2572" s="13" t="s">
        <v>111</v>
      </c>
      <c r="H2572" s="13" t="s">
        <v>75</v>
      </c>
      <c r="I2572" s="13"/>
      <c r="J2572" s="13"/>
      <c r="K2572" s="15"/>
      <c r="L2572" s="15"/>
      <c r="M2572" s="16"/>
      <c r="N2572" s="16"/>
      <c r="O2572" s="17">
        <v>0.0</v>
      </c>
      <c r="P2572" s="17">
        <v>0.0</v>
      </c>
      <c r="Q2572" s="13"/>
      <c r="R2572" s="13"/>
      <c r="S2572" s="13"/>
      <c r="T2572" s="13">
        <f t="shared" ref="T2572:Y2572" si="2809">IF(ISBLANK(K2572)=TRUE,0,1)</f>
        <v>0</v>
      </c>
      <c r="U2572" s="13">
        <f t="shared" si="2809"/>
        <v>0</v>
      </c>
      <c r="V2572" s="13">
        <f t="shared" si="2809"/>
        <v>0</v>
      </c>
      <c r="W2572" s="13">
        <f t="shared" si="2809"/>
        <v>0</v>
      </c>
      <c r="X2572" s="13">
        <f t="shared" si="2809"/>
        <v>1</v>
      </c>
      <c r="Y2572" s="13">
        <f t="shared" si="2809"/>
        <v>1</v>
      </c>
      <c r="Z2572" s="13">
        <f t="shared" si="1998"/>
        <v>0</v>
      </c>
      <c r="AA2572" s="13"/>
      <c r="AB2572" s="13"/>
      <c r="AC2572" s="13"/>
      <c r="AD2572" s="13"/>
      <c r="AE2572" s="13"/>
      <c r="AF2572" s="13"/>
      <c r="AG2572" s="13"/>
      <c r="AH2572" s="13"/>
      <c r="AI2572" s="13"/>
      <c r="AJ2572" s="13"/>
      <c r="AK2572" s="13"/>
      <c r="AL2572" s="13"/>
      <c r="AM2572" s="13"/>
      <c r="AN2572" s="13"/>
      <c r="AO2572" s="13"/>
      <c r="AP2572" s="13"/>
      <c r="AQ2572" s="13"/>
      <c r="AR2572" s="13"/>
      <c r="AS2572" s="13"/>
    </row>
    <row r="2573" ht="14.25" hidden="1" customHeight="1">
      <c r="A2573" s="13" t="s">
        <v>29</v>
      </c>
      <c r="B2573" s="13" t="s">
        <v>30</v>
      </c>
      <c r="C2573" s="13" t="s">
        <v>1607</v>
      </c>
      <c r="D2573" s="13"/>
      <c r="E2573" s="13" t="str">
        <f t="shared" si="2395"/>
        <v>SJC,42-4-96,,0</v>
      </c>
      <c r="F2573" s="13"/>
      <c r="G2573" s="13" t="s">
        <v>111</v>
      </c>
      <c r="H2573" s="13" t="s">
        <v>75</v>
      </c>
      <c r="I2573" s="13"/>
      <c r="J2573" s="13"/>
      <c r="K2573" s="15">
        <v>0.0</v>
      </c>
      <c r="L2573" s="15">
        <v>0.0</v>
      </c>
      <c r="M2573" s="16"/>
      <c r="N2573" s="16"/>
      <c r="O2573" s="17"/>
      <c r="P2573" s="17"/>
      <c r="Q2573" s="13"/>
      <c r="R2573" s="13"/>
      <c r="S2573" s="13"/>
      <c r="T2573" s="13">
        <f t="shared" ref="T2573:Y2573" si="2810">IF(ISBLANK(K2573)=TRUE,0,1)</f>
        <v>1</v>
      </c>
      <c r="U2573" s="13">
        <f t="shared" si="2810"/>
        <v>1</v>
      </c>
      <c r="V2573" s="13">
        <f t="shared" si="2810"/>
        <v>0</v>
      </c>
      <c r="W2573" s="13">
        <f t="shared" si="2810"/>
        <v>0</v>
      </c>
      <c r="X2573" s="13">
        <f t="shared" si="2810"/>
        <v>0</v>
      </c>
      <c r="Y2573" s="13">
        <f t="shared" si="2810"/>
        <v>0</v>
      </c>
      <c r="Z2573" s="13">
        <f t="shared" si="1998"/>
        <v>0</v>
      </c>
      <c r="AA2573" s="13"/>
      <c r="AB2573" s="13"/>
      <c r="AC2573" s="13"/>
      <c r="AD2573" s="13"/>
      <c r="AE2573" s="13"/>
      <c r="AF2573" s="13"/>
      <c r="AG2573" s="13"/>
      <c r="AH2573" s="13"/>
      <c r="AI2573" s="13"/>
      <c r="AJ2573" s="13"/>
      <c r="AK2573" s="13"/>
      <c r="AL2573" s="13"/>
      <c r="AM2573" s="13"/>
      <c r="AN2573" s="13"/>
      <c r="AO2573" s="13"/>
      <c r="AP2573" s="13"/>
      <c r="AQ2573" s="13"/>
      <c r="AR2573" s="13"/>
      <c r="AS2573" s="13"/>
    </row>
    <row r="2574" ht="14.25" hidden="1" customHeight="1">
      <c r="A2574" s="13" t="s">
        <v>29</v>
      </c>
      <c r="B2574" s="13" t="s">
        <v>30</v>
      </c>
      <c r="C2574" s="13" t="s">
        <v>1608</v>
      </c>
      <c r="D2574" s="13"/>
      <c r="E2574" s="13" t="str">
        <f t="shared" si="2395"/>
        <v>SJC,42-4-97,,0</v>
      </c>
      <c r="F2574" s="13"/>
      <c r="G2574" s="13" t="s">
        <v>111</v>
      </c>
      <c r="H2574" s="13" t="s">
        <v>75</v>
      </c>
      <c r="I2574" s="13"/>
      <c r="J2574" s="13"/>
      <c r="K2574" s="15">
        <v>0.0</v>
      </c>
      <c r="L2574" s="15">
        <v>0.0</v>
      </c>
      <c r="M2574" s="16"/>
      <c r="N2574" s="16"/>
      <c r="O2574" s="17"/>
      <c r="P2574" s="17"/>
      <c r="Q2574" s="13"/>
      <c r="R2574" s="13"/>
      <c r="S2574" s="13"/>
      <c r="T2574" s="13">
        <f t="shared" ref="T2574:Y2574" si="2811">IF(ISBLANK(K2574)=TRUE,0,1)</f>
        <v>1</v>
      </c>
      <c r="U2574" s="13">
        <f t="shared" si="2811"/>
        <v>1</v>
      </c>
      <c r="V2574" s="13">
        <f t="shared" si="2811"/>
        <v>0</v>
      </c>
      <c r="W2574" s="13">
        <f t="shared" si="2811"/>
        <v>0</v>
      </c>
      <c r="X2574" s="13">
        <f t="shared" si="2811"/>
        <v>0</v>
      </c>
      <c r="Y2574" s="13">
        <f t="shared" si="2811"/>
        <v>0</v>
      </c>
      <c r="Z2574" s="13">
        <f t="shared" si="1998"/>
        <v>0</v>
      </c>
      <c r="AA2574" s="13"/>
      <c r="AB2574" s="13"/>
      <c r="AC2574" s="13"/>
      <c r="AD2574" s="13"/>
      <c r="AE2574" s="13"/>
      <c r="AF2574" s="13"/>
      <c r="AG2574" s="13"/>
      <c r="AH2574" s="13"/>
      <c r="AI2574" s="13"/>
      <c r="AJ2574" s="13"/>
      <c r="AK2574" s="13"/>
      <c r="AL2574" s="13"/>
      <c r="AM2574" s="13"/>
      <c r="AN2574" s="13"/>
      <c r="AO2574" s="13"/>
      <c r="AP2574" s="13"/>
      <c r="AQ2574" s="13"/>
      <c r="AR2574" s="13"/>
      <c r="AS2574" s="13"/>
    </row>
    <row r="2575" ht="14.25" hidden="1" customHeight="1">
      <c r="A2575" s="13" t="s">
        <v>29</v>
      </c>
      <c r="B2575" s="13" t="s">
        <v>30</v>
      </c>
      <c r="C2575" s="13" t="s">
        <v>1609</v>
      </c>
      <c r="D2575" s="13"/>
      <c r="E2575" s="13" t="str">
        <f t="shared" si="2395"/>
        <v>SJC,42-4-98,,0</v>
      </c>
      <c r="F2575" s="13"/>
      <c r="G2575" s="13" t="s">
        <v>111</v>
      </c>
      <c r="H2575" s="13" t="s">
        <v>75</v>
      </c>
      <c r="I2575" s="13"/>
      <c r="J2575" s="13"/>
      <c r="K2575" s="15">
        <v>0.0</v>
      </c>
      <c r="L2575" s="15">
        <v>0.0</v>
      </c>
      <c r="M2575" s="16"/>
      <c r="N2575" s="16"/>
      <c r="O2575" s="17"/>
      <c r="P2575" s="17"/>
      <c r="Q2575" s="13"/>
      <c r="R2575" s="13"/>
      <c r="S2575" s="13"/>
      <c r="T2575" s="13">
        <f t="shared" ref="T2575:Y2575" si="2812">IF(ISBLANK(K2575)=TRUE,0,1)</f>
        <v>1</v>
      </c>
      <c r="U2575" s="13">
        <f t="shared" si="2812"/>
        <v>1</v>
      </c>
      <c r="V2575" s="13">
        <f t="shared" si="2812"/>
        <v>0</v>
      </c>
      <c r="W2575" s="13">
        <f t="shared" si="2812"/>
        <v>0</v>
      </c>
      <c r="X2575" s="13">
        <f t="shared" si="2812"/>
        <v>0</v>
      </c>
      <c r="Y2575" s="13">
        <f t="shared" si="2812"/>
        <v>0</v>
      </c>
      <c r="Z2575" s="13">
        <f t="shared" si="1998"/>
        <v>0</v>
      </c>
      <c r="AA2575" s="13"/>
      <c r="AB2575" s="13"/>
      <c r="AC2575" s="13"/>
      <c r="AD2575" s="13"/>
      <c r="AE2575" s="13"/>
      <c r="AF2575" s="13"/>
      <c r="AG2575" s="13"/>
      <c r="AH2575" s="13"/>
      <c r="AI2575" s="13"/>
      <c r="AJ2575" s="13"/>
      <c r="AK2575" s="13"/>
      <c r="AL2575" s="13"/>
      <c r="AM2575" s="13"/>
      <c r="AN2575" s="13"/>
      <c r="AO2575" s="13"/>
      <c r="AP2575" s="13"/>
      <c r="AQ2575" s="13"/>
      <c r="AR2575" s="13"/>
      <c r="AS2575" s="13"/>
    </row>
    <row r="2576" ht="14.25" hidden="1" customHeight="1">
      <c r="A2576" s="13" t="s">
        <v>29</v>
      </c>
      <c r="B2576" s="13" t="s">
        <v>30</v>
      </c>
      <c r="C2576" s="13" t="s">
        <v>1610</v>
      </c>
      <c r="D2576" s="13"/>
      <c r="E2576" s="13" t="str">
        <f t="shared" si="2395"/>
        <v>SJC,42-4-99,,NA</v>
      </c>
      <c r="F2576" s="13"/>
      <c r="G2576" s="13" t="s">
        <v>111</v>
      </c>
      <c r="H2576" s="13" t="s">
        <v>107</v>
      </c>
      <c r="I2576" s="13"/>
      <c r="J2576" s="13"/>
      <c r="K2576" s="15"/>
      <c r="L2576" s="15"/>
      <c r="M2576" s="16"/>
      <c r="N2576" s="16"/>
      <c r="O2576" s="17"/>
      <c r="P2576" s="17"/>
      <c r="Q2576" s="13"/>
      <c r="R2576" s="13"/>
      <c r="S2576" s="13"/>
      <c r="T2576" s="13">
        <f t="shared" ref="T2576:Y2576" si="2813">IF(ISBLANK(K2576)=TRUE,0,1)</f>
        <v>0</v>
      </c>
      <c r="U2576" s="13">
        <f t="shared" si="2813"/>
        <v>0</v>
      </c>
      <c r="V2576" s="13">
        <f t="shared" si="2813"/>
        <v>0</v>
      </c>
      <c r="W2576" s="13">
        <f t="shared" si="2813"/>
        <v>0</v>
      </c>
      <c r="X2576" s="13">
        <f t="shared" si="2813"/>
        <v>0</v>
      </c>
      <c r="Y2576" s="13">
        <f t="shared" si="2813"/>
        <v>0</v>
      </c>
      <c r="Z2576" s="13" t="str">
        <f t="shared" si="1998"/>
        <v>NA</v>
      </c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13"/>
      <c r="AK2576" s="13"/>
      <c r="AL2576" s="13"/>
      <c r="AM2576" s="13"/>
      <c r="AN2576" s="13"/>
      <c r="AO2576" s="13"/>
      <c r="AP2576" s="13"/>
      <c r="AQ2576" s="13"/>
      <c r="AR2576" s="13"/>
      <c r="AS2576" s="13"/>
    </row>
    <row r="2577" ht="14.25" hidden="1" customHeight="1">
      <c r="A2577" s="13" t="s">
        <v>29</v>
      </c>
      <c r="B2577" s="13" t="s">
        <v>30</v>
      </c>
      <c r="C2577" s="18" t="s">
        <v>1611</v>
      </c>
      <c r="D2577" s="13"/>
      <c r="E2577" s="13" t="str">
        <f t="shared" ref="E2577:E2578" si="2815">CONCATENATE(B2577,",",C2577,",",D2577,",",$Z$4282)</f>
        <v>SJC,909-4-1,,1</v>
      </c>
      <c r="F2577" s="13"/>
      <c r="G2577" s="13" t="s">
        <v>74</v>
      </c>
      <c r="H2577" s="13" t="s">
        <v>75</v>
      </c>
      <c r="I2577" s="13"/>
      <c r="J2577" s="13"/>
      <c r="K2577" s="15"/>
      <c r="L2577" s="15"/>
      <c r="M2577" s="16"/>
      <c r="N2577" s="16"/>
      <c r="O2577" s="17"/>
      <c r="P2577" s="17"/>
      <c r="Q2577" s="13"/>
      <c r="R2577" s="13"/>
      <c r="S2577" s="13"/>
      <c r="T2577" s="13">
        <f t="shared" ref="T2577:Y2577" si="2814">IF(ISBLANK(K2577)=TRUE,0,1)</f>
        <v>0</v>
      </c>
      <c r="U2577" s="13">
        <f t="shared" si="2814"/>
        <v>0</v>
      </c>
      <c r="V2577" s="13">
        <f t="shared" si="2814"/>
        <v>0</v>
      </c>
      <c r="W2577" s="13">
        <f t="shared" si="2814"/>
        <v>0</v>
      </c>
      <c r="X2577" s="13">
        <f t="shared" si="2814"/>
        <v>0</v>
      </c>
      <c r="Y2577" s="13">
        <f t="shared" si="2814"/>
        <v>0</v>
      </c>
      <c r="Z2577" s="13" t="str">
        <f t="shared" si="1998"/>
        <v>NA</v>
      </c>
      <c r="AA2577" s="13"/>
      <c r="AB2577" s="13"/>
      <c r="AC2577" s="13"/>
      <c r="AD2577" s="13"/>
      <c r="AE2577" s="13"/>
      <c r="AF2577" s="13"/>
      <c r="AG2577" s="13"/>
      <c r="AH2577" s="13"/>
      <c r="AI2577" s="13"/>
      <c r="AJ2577" s="13"/>
      <c r="AK2577" s="13"/>
      <c r="AL2577" s="13"/>
      <c r="AM2577" s="13"/>
      <c r="AN2577" s="13"/>
      <c r="AO2577" s="13"/>
      <c r="AP2577" s="13"/>
      <c r="AQ2577" s="13"/>
      <c r="AR2577" s="13"/>
      <c r="AS2577" s="13"/>
    </row>
    <row r="2578" ht="14.25" hidden="1" customHeight="1">
      <c r="A2578" s="13" t="s">
        <v>29</v>
      </c>
      <c r="B2578" s="13" t="s">
        <v>30</v>
      </c>
      <c r="C2578" s="18" t="s">
        <v>1612</v>
      </c>
      <c r="D2578" s="13"/>
      <c r="E2578" s="13" t="str">
        <f t="shared" si="2815"/>
        <v>SJC,909-4-10,,1</v>
      </c>
      <c r="F2578" s="13"/>
      <c r="G2578" s="13" t="s">
        <v>74</v>
      </c>
      <c r="H2578" s="13" t="s">
        <v>75</v>
      </c>
      <c r="I2578" s="13"/>
      <c r="J2578" s="13"/>
      <c r="K2578" s="15"/>
      <c r="L2578" s="15"/>
      <c r="M2578" s="16"/>
      <c r="N2578" s="16"/>
      <c r="O2578" s="17"/>
      <c r="P2578" s="17"/>
      <c r="Q2578" s="13"/>
      <c r="R2578" s="13"/>
      <c r="S2578" s="13"/>
      <c r="T2578" s="13">
        <f t="shared" ref="T2578:Y2578" si="2816">IF(ISBLANK(K2578)=TRUE,0,1)</f>
        <v>0</v>
      </c>
      <c r="U2578" s="13">
        <f t="shared" si="2816"/>
        <v>0</v>
      </c>
      <c r="V2578" s="13">
        <f t="shared" si="2816"/>
        <v>0</v>
      </c>
      <c r="W2578" s="13">
        <f t="shared" si="2816"/>
        <v>0</v>
      </c>
      <c r="X2578" s="13">
        <f t="shared" si="2816"/>
        <v>0</v>
      </c>
      <c r="Y2578" s="13">
        <f t="shared" si="2816"/>
        <v>0</v>
      </c>
      <c r="Z2578" s="13" t="str">
        <f t="shared" si="1998"/>
        <v>NA</v>
      </c>
      <c r="AA2578" s="13"/>
      <c r="AB2578" s="13"/>
      <c r="AC2578" s="13"/>
      <c r="AD2578" s="13"/>
      <c r="AE2578" s="13"/>
      <c r="AF2578" s="13"/>
      <c r="AG2578" s="13"/>
      <c r="AH2578" s="13"/>
      <c r="AI2578" s="13"/>
      <c r="AJ2578" s="13"/>
      <c r="AK2578" s="13"/>
      <c r="AL2578" s="13"/>
      <c r="AM2578" s="13"/>
      <c r="AN2578" s="13"/>
      <c r="AO2578" s="13"/>
      <c r="AP2578" s="13"/>
      <c r="AQ2578" s="13"/>
      <c r="AR2578" s="13"/>
      <c r="AS2578" s="13"/>
    </row>
    <row r="2579" ht="14.25" hidden="1" customHeight="1">
      <c r="A2579" s="13" t="s">
        <v>29</v>
      </c>
      <c r="B2579" s="13" t="s">
        <v>30</v>
      </c>
      <c r="C2579" s="18" t="s">
        <v>1613</v>
      </c>
      <c r="D2579" s="13"/>
      <c r="E2579" s="13" t="str">
        <f>CONCATENATE(B2579,",",C2579,",",D2579,",",Z2579)</f>
        <v>SJC,909-4-11,,NA</v>
      </c>
      <c r="F2579" s="13"/>
      <c r="G2579" s="13" t="s">
        <v>74</v>
      </c>
      <c r="H2579" s="13" t="s">
        <v>75</v>
      </c>
      <c r="I2579" s="13"/>
      <c r="J2579" s="13"/>
      <c r="K2579" s="15"/>
      <c r="L2579" s="15"/>
      <c r="M2579" s="16"/>
      <c r="N2579" s="16"/>
      <c r="O2579" s="17"/>
      <c r="P2579" s="17"/>
      <c r="Q2579" s="13"/>
      <c r="R2579" s="13"/>
      <c r="S2579" s="13"/>
      <c r="T2579" s="13">
        <f t="shared" ref="T2579:Y2579" si="2817">IF(ISBLANK(K2579)=TRUE,0,1)</f>
        <v>0</v>
      </c>
      <c r="U2579" s="13">
        <f t="shared" si="2817"/>
        <v>0</v>
      </c>
      <c r="V2579" s="13">
        <f t="shared" si="2817"/>
        <v>0</v>
      </c>
      <c r="W2579" s="13">
        <f t="shared" si="2817"/>
        <v>0</v>
      </c>
      <c r="X2579" s="13">
        <f t="shared" si="2817"/>
        <v>0</v>
      </c>
      <c r="Y2579" s="13">
        <f t="shared" si="2817"/>
        <v>0</v>
      </c>
      <c r="Z2579" s="13" t="str">
        <f t="shared" si="1998"/>
        <v>NA</v>
      </c>
      <c r="AA2579" s="13"/>
      <c r="AB2579" s="13"/>
      <c r="AC2579" s="13"/>
      <c r="AD2579" s="13"/>
      <c r="AE2579" s="13"/>
      <c r="AF2579" s="13"/>
      <c r="AG2579" s="13"/>
      <c r="AH2579" s="13"/>
      <c r="AI2579" s="13"/>
      <c r="AJ2579" s="13"/>
      <c r="AK2579" s="13"/>
      <c r="AL2579" s="13"/>
      <c r="AM2579" s="13"/>
      <c r="AN2579" s="13"/>
      <c r="AO2579" s="13"/>
      <c r="AP2579" s="13"/>
      <c r="AQ2579" s="13"/>
      <c r="AR2579" s="13"/>
      <c r="AS2579" s="13"/>
    </row>
    <row r="2580" ht="14.25" hidden="1" customHeight="1">
      <c r="A2580" s="13" t="s">
        <v>29</v>
      </c>
      <c r="B2580" s="13" t="s">
        <v>30</v>
      </c>
      <c r="C2580" s="18" t="s">
        <v>1614</v>
      </c>
      <c r="D2580" s="13"/>
      <c r="E2580" s="13" t="str">
        <f t="shared" ref="E2580:E2581" si="2819">CONCATENATE(B2580,",",C2580,",",D2580,",",$Z$4282)</f>
        <v>SJC,909-4-12,,1</v>
      </c>
      <c r="F2580" s="13"/>
      <c r="G2580" s="13" t="s">
        <v>74</v>
      </c>
      <c r="H2580" s="13" t="s">
        <v>75</v>
      </c>
      <c r="I2580" s="13"/>
      <c r="J2580" s="13"/>
      <c r="K2580" s="15"/>
      <c r="L2580" s="15"/>
      <c r="M2580" s="16"/>
      <c r="N2580" s="16"/>
      <c r="O2580" s="17"/>
      <c r="P2580" s="17"/>
      <c r="Q2580" s="13"/>
      <c r="R2580" s="13"/>
      <c r="S2580" s="13"/>
      <c r="T2580" s="13">
        <f t="shared" ref="T2580:Y2580" si="2818">IF(ISBLANK(K2580)=TRUE,0,1)</f>
        <v>0</v>
      </c>
      <c r="U2580" s="13">
        <f t="shared" si="2818"/>
        <v>0</v>
      </c>
      <c r="V2580" s="13">
        <f t="shared" si="2818"/>
        <v>0</v>
      </c>
      <c r="W2580" s="13">
        <f t="shared" si="2818"/>
        <v>0</v>
      </c>
      <c r="X2580" s="13">
        <f t="shared" si="2818"/>
        <v>0</v>
      </c>
      <c r="Y2580" s="13">
        <f t="shared" si="2818"/>
        <v>0</v>
      </c>
      <c r="Z2580" s="13" t="str">
        <f t="shared" si="1998"/>
        <v>NA</v>
      </c>
      <c r="AA2580" s="13"/>
      <c r="AB2580" s="13"/>
      <c r="AC2580" s="13"/>
      <c r="AD2580" s="13"/>
      <c r="AE2580" s="13"/>
      <c r="AF2580" s="13"/>
      <c r="AG2580" s="13"/>
      <c r="AH2580" s="13"/>
      <c r="AI2580" s="13"/>
      <c r="AJ2580" s="13"/>
      <c r="AK2580" s="13"/>
      <c r="AL2580" s="13"/>
      <c r="AM2580" s="13"/>
      <c r="AN2580" s="13"/>
      <c r="AO2580" s="13"/>
      <c r="AP2580" s="13"/>
      <c r="AQ2580" s="13"/>
      <c r="AR2580" s="13"/>
      <c r="AS2580" s="13"/>
    </row>
    <row r="2581" ht="14.25" hidden="1" customHeight="1">
      <c r="A2581" s="13" t="s">
        <v>29</v>
      </c>
      <c r="B2581" s="13" t="s">
        <v>30</v>
      </c>
      <c r="C2581" s="18" t="s">
        <v>1615</v>
      </c>
      <c r="D2581" s="13"/>
      <c r="E2581" s="13" t="str">
        <f t="shared" si="2819"/>
        <v>SJC,909-4-13,,1</v>
      </c>
      <c r="F2581" s="13"/>
      <c r="G2581" s="13" t="s">
        <v>74</v>
      </c>
      <c r="H2581" s="13" t="s">
        <v>75</v>
      </c>
      <c r="I2581" s="13"/>
      <c r="J2581" s="13"/>
      <c r="K2581" s="15"/>
      <c r="L2581" s="15"/>
      <c r="M2581" s="16"/>
      <c r="N2581" s="16"/>
      <c r="O2581" s="17"/>
      <c r="P2581" s="17"/>
      <c r="Q2581" s="13"/>
      <c r="R2581" s="13"/>
      <c r="S2581" s="13"/>
      <c r="T2581" s="13">
        <f t="shared" ref="T2581:Y2581" si="2820">IF(ISBLANK(K2581)=TRUE,0,1)</f>
        <v>0</v>
      </c>
      <c r="U2581" s="13">
        <f t="shared" si="2820"/>
        <v>0</v>
      </c>
      <c r="V2581" s="13">
        <f t="shared" si="2820"/>
        <v>0</v>
      </c>
      <c r="W2581" s="13">
        <f t="shared" si="2820"/>
        <v>0</v>
      </c>
      <c r="X2581" s="13">
        <f t="shared" si="2820"/>
        <v>0</v>
      </c>
      <c r="Y2581" s="13">
        <f t="shared" si="2820"/>
        <v>0</v>
      </c>
      <c r="Z2581" s="13" t="str">
        <f t="shared" si="1998"/>
        <v>NA</v>
      </c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/>
      <c r="AP2581" s="13"/>
      <c r="AQ2581" s="13"/>
      <c r="AR2581" s="13"/>
      <c r="AS2581" s="13"/>
    </row>
    <row r="2582" ht="14.25" hidden="1" customHeight="1">
      <c r="A2582" s="13" t="s">
        <v>29</v>
      </c>
      <c r="B2582" s="13" t="s">
        <v>30</v>
      </c>
      <c r="C2582" s="18" t="s">
        <v>1616</v>
      </c>
      <c r="D2582" s="13"/>
      <c r="E2582" s="13" t="str">
        <f>CONCATENATE(B2582,",",C2582,",",D2582,",",Z2582)</f>
        <v>SJC,909-4-14,,NA</v>
      </c>
      <c r="F2582" s="13"/>
      <c r="G2582" s="13" t="s">
        <v>74</v>
      </c>
      <c r="H2582" s="13" t="s">
        <v>75</v>
      </c>
      <c r="I2582" s="13"/>
      <c r="J2582" s="13"/>
      <c r="K2582" s="15"/>
      <c r="L2582" s="15"/>
      <c r="M2582" s="16"/>
      <c r="N2582" s="16"/>
      <c r="O2582" s="17"/>
      <c r="P2582" s="17"/>
      <c r="Q2582" s="13"/>
      <c r="R2582" s="13"/>
      <c r="S2582" s="13"/>
      <c r="T2582" s="13">
        <f t="shared" ref="T2582:Y2582" si="2821">IF(ISBLANK(K2582)=TRUE,0,1)</f>
        <v>0</v>
      </c>
      <c r="U2582" s="13">
        <f t="shared" si="2821"/>
        <v>0</v>
      </c>
      <c r="V2582" s="13">
        <f t="shared" si="2821"/>
        <v>0</v>
      </c>
      <c r="W2582" s="13">
        <f t="shared" si="2821"/>
        <v>0</v>
      </c>
      <c r="X2582" s="13">
        <f t="shared" si="2821"/>
        <v>0</v>
      </c>
      <c r="Y2582" s="13">
        <f t="shared" si="2821"/>
        <v>0</v>
      </c>
      <c r="Z2582" s="13" t="str">
        <f t="shared" si="1998"/>
        <v>NA</v>
      </c>
      <c r="AA2582" s="13"/>
      <c r="AB2582" s="13"/>
      <c r="AC2582" s="13"/>
      <c r="AD2582" s="13"/>
      <c r="AE2582" s="13"/>
      <c r="AF2582" s="13"/>
      <c r="AG2582" s="13"/>
      <c r="AH2582" s="13"/>
      <c r="AI2582" s="13"/>
      <c r="AJ2582" s="13"/>
      <c r="AK2582" s="13"/>
      <c r="AL2582" s="13"/>
      <c r="AM2582" s="13"/>
      <c r="AN2582" s="13"/>
      <c r="AO2582" s="13"/>
      <c r="AP2582" s="13"/>
      <c r="AQ2582" s="13"/>
      <c r="AR2582" s="13"/>
      <c r="AS2582" s="13"/>
    </row>
    <row r="2583" ht="14.25" hidden="1" customHeight="1">
      <c r="A2583" s="13" t="s">
        <v>29</v>
      </c>
      <c r="B2583" s="13" t="s">
        <v>30</v>
      </c>
      <c r="C2583" s="18" t="s">
        <v>1617</v>
      </c>
      <c r="D2583" s="13"/>
      <c r="E2583" s="13" t="str">
        <f t="shared" ref="E2583:E2584" si="2823">CONCATENATE(B2583,",",C2583,",",D2583,",",$Z$4282)</f>
        <v>SJC,909-4-15,,1</v>
      </c>
      <c r="F2583" s="13"/>
      <c r="G2583" s="13" t="s">
        <v>74</v>
      </c>
      <c r="H2583" s="13" t="s">
        <v>75</v>
      </c>
      <c r="I2583" s="13"/>
      <c r="J2583" s="13"/>
      <c r="K2583" s="15"/>
      <c r="L2583" s="15"/>
      <c r="M2583" s="16"/>
      <c r="N2583" s="16"/>
      <c r="O2583" s="17"/>
      <c r="P2583" s="17"/>
      <c r="Q2583" s="13"/>
      <c r="R2583" s="13"/>
      <c r="S2583" s="13"/>
      <c r="T2583" s="13">
        <f t="shared" ref="T2583:Y2583" si="2822">IF(ISBLANK(K2583)=TRUE,0,1)</f>
        <v>0</v>
      </c>
      <c r="U2583" s="13">
        <f t="shared" si="2822"/>
        <v>0</v>
      </c>
      <c r="V2583" s="13">
        <f t="shared" si="2822"/>
        <v>0</v>
      </c>
      <c r="W2583" s="13">
        <f t="shared" si="2822"/>
        <v>0</v>
      </c>
      <c r="X2583" s="13">
        <f t="shared" si="2822"/>
        <v>0</v>
      </c>
      <c r="Y2583" s="13">
        <f t="shared" si="2822"/>
        <v>0</v>
      </c>
      <c r="Z2583" s="13" t="str">
        <f t="shared" si="1998"/>
        <v>NA</v>
      </c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  <c r="AO2583" s="13"/>
      <c r="AP2583" s="13"/>
      <c r="AQ2583" s="13"/>
      <c r="AR2583" s="13"/>
      <c r="AS2583" s="13"/>
    </row>
    <row r="2584" ht="14.25" hidden="1" customHeight="1">
      <c r="A2584" s="13" t="s">
        <v>29</v>
      </c>
      <c r="B2584" s="13" t="s">
        <v>30</v>
      </c>
      <c r="C2584" s="18" t="s">
        <v>1618</v>
      </c>
      <c r="D2584" s="13"/>
      <c r="E2584" s="13" t="str">
        <f t="shared" si="2823"/>
        <v>SJC,909-4-16,,1</v>
      </c>
      <c r="F2584" s="13"/>
      <c r="G2584" s="13" t="s">
        <v>74</v>
      </c>
      <c r="H2584" s="13" t="s">
        <v>75</v>
      </c>
      <c r="I2584" s="13"/>
      <c r="J2584" s="13"/>
      <c r="K2584" s="15"/>
      <c r="L2584" s="15"/>
      <c r="M2584" s="16"/>
      <c r="N2584" s="16"/>
      <c r="O2584" s="17"/>
      <c r="P2584" s="17"/>
      <c r="Q2584" s="13"/>
      <c r="R2584" s="13"/>
      <c r="S2584" s="13"/>
      <c r="T2584" s="13">
        <f t="shared" ref="T2584:Y2584" si="2824">IF(ISBLANK(K2584)=TRUE,0,1)</f>
        <v>0</v>
      </c>
      <c r="U2584" s="13">
        <f t="shared" si="2824"/>
        <v>0</v>
      </c>
      <c r="V2584" s="13">
        <f t="shared" si="2824"/>
        <v>0</v>
      </c>
      <c r="W2584" s="13">
        <f t="shared" si="2824"/>
        <v>0</v>
      </c>
      <c r="X2584" s="13">
        <f t="shared" si="2824"/>
        <v>0</v>
      </c>
      <c r="Y2584" s="13">
        <f t="shared" si="2824"/>
        <v>0</v>
      </c>
      <c r="Z2584" s="13" t="str">
        <f t="shared" si="1998"/>
        <v>NA</v>
      </c>
      <c r="AA2584" s="13"/>
      <c r="AB2584" s="13"/>
      <c r="AC2584" s="13"/>
      <c r="AD2584" s="13"/>
      <c r="AE2584" s="13"/>
      <c r="AF2584" s="13"/>
      <c r="AG2584" s="13"/>
      <c r="AH2584" s="13"/>
      <c r="AI2584" s="13"/>
      <c r="AJ2584" s="13"/>
      <c r="AK2584" s="13"/>
      <c r="AL2584" s="13"/>
      <c r="AM2584" s="13"/>
      <c r="AN2584" s="13"/>
      <c r="AO2584" s="13"/>
      <c r="AP2584" s="13"/>
      <c r="AQ2584" s="13"/>
      <c r="AR2584" s="13"/>
      <c r="AS2584" s="13"/>
    </row>
    <row r="2585" ht="14.25" hidden="1" customHeight="1">
      <c r="A2585" s="13" t="s">
        <v>29</v>
      </c>
      <c r="B2585" s="13" t="s">
        <v>30</v>
      </c>
      <c r="C2585" s="18" t="s">
        <v>1619</v>
      </c>
      <c r="D2585" s="13"/>
      <c r="E2585" s="13" t="str">
        <f>CONCATENATE(B2585,",",C2585,",",D2585,",",Z2585)</f>
        <v>SJC,909-4-17,,NA</v>
      </c>
      <c r="F2585" s="13"/>
      <c r="G2585" s="13" t="s">
        <v>74</v>
      </c>
      <c r="H2585" s="13" t="s">
        <v>75</v>
      </c>
      <c r="I2585" s="13"/>
      <c r="J2585" s="13"/>
      <c r="K2585" s="15"/>
      <c r="L2585" s="15"/>
      <c r="M2585" s="16"/>
      <c r="N2585" s="16"/>
      <c r="O2585" s="17"/>
      <c r="P2585" s="17"/>
      <c r="Q2585" s="13"/>
      <c r="R2585" s="13"/>
      <c r="S2585" s="13"/>
      <c r="T2585" s="13">
        <f t="shared" ref="T2585:Y2585" si="2825">IF(ISBLANK(K2585)=TRUE,0,1)</f>
        <v>0</v>
      </c>
      <c r="U2585" s="13">
        <f t="shared" si="2825"/>
        <v>0</v>
      </c>
      <c r="V2585" s="13">
        <f t="shared" si="2825"/>
        <v>0</v>
      </c>
      <c r="W2585" s="13">
        <f t="shared" si="2825"/>
        <v>0</v>
      </c>
      <c r="X2585" s="13">
        <f t="shared" si="2825"/>
        <v>0</v>
      </c>
      <c r="Y2585" s="13">
        <f t="shared" si="2825"/>
        <v>0</v>
      </c>
      <c r="Z2585" s="13" t="str">
        <f t="shared" si="1998"/>
        <v>NA</v>
      </c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  <c r="AO2585" s="13"/>
      <c r="AP2585" s="13"/>
      <c r="AQ2585" s="13"/>
      <c r="AR2585" s="13"/>
      <c r="AS2585" s="13"/>
    </row>
    <row r="2586" ht="14.25" hidden="1" customHeight="1">
      <c r="A2586" s="13" t="s">
        <v>29</v>
      </c>
      <c r="B2586" s="13" t="s">
        <v>30</v>
      </c>
      <c r="C2586" s="18" t="s">
        <v>1620</v>
      </c>
      <c r="D2586" s="13"/>
      <c r="E2586" s="13" t="str">
        <f t="shared" ref="E2586:E2587" si="2826">CONCATENATE(B2586,",",C2586,",",D2586,",",$Z$4282)</f>
        <v>SJC,909-4-18,,1</v>
      </c>
      <c r="F2586" s="13"/>
      <c r="G2586" s="13" t="s">
        <v>74</v>
      </c>
      <c r="H2586" s="13" t="s">
        <v>75</v>
      </c>
      <c r="I2586" s="13"/>
      <c r="J2586" s="13"/>
      <c r="K2586" s="15"/>
      <c r="L2586" s="15"/>
      <c r="M2586" s="16"/>
      <c r="N2586" s="16"/>
      <c r="O2586" s="17"/>
      <c r="P2586" s="17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 t="str">
        <f t="shared" si="1998"/>
        <v>NA</v>
      </c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/>
      <c r="AP2586" s="13"/>
      <c r="AQ2586" s="13"/>
      <c r="AR2586" s="13"/>
      <c r="AS2586" s="13"/>
    </row>
    <row r="2587" ht="14.25" hidden="1" customHeight="1">
      <c r="A2587" s="13" t="s">
        <v>29</v>
      </c>
      <c r="B2587" s="13" t="s">
        <v>30</v>
      </c>
      <c r="C2587" s="18" t="s">
        <v>1621</v>
      </c>
      <c r="D2587" s="13"/>
      <c r="E2587" s="13" t="str">
        <f t="shared" si="2826"/>
        <v>SJC,909-4-19,,1</v>
      </c>
      <c r="F2587" s="13"/>
      <c r="G2587" s="13" t="s">
        <v>74</v>
      </c>
      <c r="H2587" s="13" t="s">
        <v>75</v>
      </c>
      <c r="I2587" s="13"/>
      <c r="J2587" s="13"/>
      <c r="K2587" s="15"/>
      <c r="L2587" s="15"/>
      <c r="M2587" s="16"/>
      <c r="N2587" s="16"/>
      <c r="O2587" s="17"/>
      <c r="P2587" s="17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 t="str">
        <f t="shared" si="1998"/>
        <v>NA</v>
      </c>
      <c r="AA2587" s="13"/>
      <c r="AB2587" s="13"/>
      <c r="AC2587" s="13"/>
      <c r="AD2587" s="13"/>
      <c r="AE2587" s="13"/>
      <c r="AF2587" s="13"/>
      <c r="AG2587" s="13"/>
      <c r="AH2587" s="13"/>
      <c r="AI2587" s="13"/>
      <c r="AJ2587" s="13"/>
      <c r="AK2587" s="13"/>
      <c r="AL2587" s="13"/>
      <c r="AM2587" s="13"/>
      <c r="AN2587" s="13"/>
      <c r="AO2587" s="13"/>
      <c r="AP2587" s="13"/>
      <c r="AQ2587" s="13"/>
      <c r="AR2587" s="13"/>
      <c r="AS2587" s="13"/>
    </row>
    <row r="2588" ht="14.25" hidden="1" customHeight="1">
      <c r="A2588" s="13" t="s">
        <v>29</v>
      </c>
      <c r="B2588" s="13" t="s">
        <v>30</v>
      </c>
      <c r="C2588" s="18" t="s">
        <v>1622</v>
      </c>
      <c r="D2588" s="13"/>
      <c r="E2588" s="13" t="str">
        <f t="shared" ref="E2588:E2589" si="2828">CONCATENATE(B2588,",",C2588,",",D2588,",",Z2588)</f>
        <v>SJC,909-4-2,,NA</v>
      </c>
      <c r="F2588" s="13"/>
      <c r="G2588" s="13" t="s">
        <v>74</v>
      </c>
      <c r="H2588" s="13" t="s">
        <v>75</v>
      </c>
      <c r="I2588" s="13"/>
      <c r="J2588" s="13"/>
      <c r="K2588" s="15"/>
      <c r="L2588" s="15"/>
      <c r="M2588" s="16"/>
      <c r="N2588" s="16"/>
      <c r="O2588" s="17"/>
      <c r="P2588" s="17"/>
      <c r="Q2588" s="13"/>
      <c r="R2588" s="13"/>
      <c r="S2588" s="13"/>
      <c r="T2588" s="13">
        <f t="shared" ref="T2588:Y2588" si="2827">IF(ISBLANK(K2588)=TRUE,0,1)</f>
        <v>0</v>
      </c>
      <c r="U2588" s="13">
        <f t="shared" si="2827"/>
        <v>0</v>
      </c>
      <c r="V2588" s="13">
        <f t="shared" si="2827"/>
        <v>0</v>
      </c>
      <c r="W2588" s="13">
        <f t="shared" si="2827"/>
        <v>0</v>
      </c>
      <c r="X2588" s="13">
        <f t="shared" si="2827"/>
        <v>0</v>
      </c>
      <c r="Y2588" s="13">
        <f t="shared" si="2827"/>
        <v>0</v>
      </c>
      <c r="Z2588" s="13" t="str">
        <f t="shared" si="1998"/>
        <v>NA</v>
      </c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  <c r="AO2588" s="13"/>
      <c r="AP2588" s="13"/>
      <c r="AQ2588" s="13"/>
      <c r="AR2588" s="13"/>
      <c r="AS2588" s="13"/>
    </row>
    <row r="2589" ht="14.25" hidden="1" customHeight="1">
      <c r="A2589" s="13" t="s">
        <v>29</v>
      </c>
      <c r="B2589" s="13" t="s">
        <v>30</v>
      </c>
      <c r="C2589" s="18" t="s">
        <v>1623</v>
      </c>
      <c r="D2589" s="13"/>
      <c r="E2589" s="13" t="str">
        <f t="shared" si="2828"/>
        <v>SJC,909-4-20,,NA</v>
      </c>
      <c r="F2589" s="13"/>
      <c r="G2589" s="13" t="s">
        <v>74</v>
      </c>
      <c r="H2589" s="13" t="s">
        <v>75</v>
      </c>
      <c r="I2589" s="13"/>
      <c r="J2589" s="13"/>
      <c r="K2589" s="15"/>
      <c r="L2589" s="15"/>
      <c r="M2589" s="16"/>
      <c r="N2589" s="16"/>
      <c r="O2589" s="17"/>
      <c r="P2589" s="17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 t="str">
        <f t="shared" si="1998"/>
        <v>NA</v>
      </c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  <c r="AL2589" s="13"/>
      <c r="AM2589" s="13"/>
      <c r="AN2589" s="13"/>
      <c r="AO2589" s="13"/>
      <c r="AP2589" s="13"/>
      <c r="AQ2589" s="13"/>
      <c r="AR2589" s="13"/>
      <c r="AS2589" s="13"/>
    </row>
    <row r="2590" ht="14.25" hidden="1" customHeight="1">
      <c r="A2590" s="13" t="s">
        <v>29</v>
      </c>
      <c r="B2590" s="13" t="s">
        <v>30</v>
      </c>
      <c r="C2590" s="18" t="s">
        <v>1624</v>
      </c>
      <c r="D2590" s="13"/>
      <c r="E2590" s="13" t="str">
        <f t="shared" ref="E2590:E2591" si="2829">CONCATENATE(B2590,",",C2590,",",D2590,",",$Z$4282)</f>
        <v>SJC,909-4-21,,1</v>
      </c>
      <c r="F2590" s="13"/>
      <c r="G2590" s="13" t="s">
        <v>74</v>
      </c>
      <c r="H2590" s="13" t="s">
        <v>75</v>
      </c>
      <c r="I2590" s="13"/>
      <c r="J2590" s="13"/>
      <c r="K2590" s="15"/>
      <c r="L2590" s="15"/>
      <c r="M2590" s="16"/>
      <c r="N2590" s="16"/>
      <c r="O2590" s="17"/>
      <c r="P2590" s="17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 t="str">
        <f t="shared" si="1998"/>
        <v>NA</v>
      </c>
      <c r="AA2590" s="13"/>
      <c r="AB2590" s="13"/>
      <c r="AC2590" s="13"/>
      <c r="AD2590" s="13"/>
      <c r="AE2590" s="13"/>
      <c r="AF2590" s="13"/>
      <c r="AG2590" s="13"/>
      <c r="AH2590" s="13"/>
      <c r="AI2590" s="13"/>
      <c r="AJ2590" s="13"/>
      <c r="AK2590" s="13"/>
      <c r="AL2590" s="13"/>
      <c r="AM2590" s="13"/>
      <c r="AN2590" s="13"/>
      <c r="AO2590" s="13"/>
      <c r="AP2590" s="13"/>
      <c r="AQ2590" s="13"/>
      <c r="AR2590" s="13"/>
      <c r="AS2590" s="13"/>
    </row>
    <row r="2591" ht="14.25" hidden="1" customHeight="1">
      <c r="A2591" s="13" t="s">
        <v>29</v>
      </c>
      <c r="B2591" s="13" t="s">
        <v>30</v>
      </c>
      <c r="C2591" s="18" t="s">
        <v>1625</v>
      </c>
      <c r="D2591" s="13"/>
      <c r="E2591" s="13" t="str">
        <f t="shared" si="2829"/>
        <v>SJC,909-4-22,,1</v>
      </c>
      <c r="F2591" s="13"/>
      <c r="G2591" s="13" t="s">
        <v>74</v>
      </c>
      <c r="H2591" s="13" t="s">
        <v>75</v>
      </c>
      <c r="I2591" s="13"/>
      <c r="J2591" s="13"/>
      <c r="K2591" s="15"/>
      <c r="L2591" s="15"/>
      <c r="M2591" s="16"/>
      <c r="N2591" s="16"/>
      <c r="O2591" s="17"/>
      <c r="P2591" s="17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 t="str">
        <f t="shared" si="1998"/>
        <v>NA</v>
      </c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3"/>
      <c r="AM2591" s="13"/>
      <c r="AN2591" s="13"/>
      <c r="AO2591" s="13"/>
      <c r="AP2591" s="13"/>
      <c r="AQ2591" s="13"/>
      <c r="AR2591" s="13"/>
      <c r="AS2591" s="13"/>
    </row>
    <row r="2592" ht="14.25" hidden="1" customHeight="1">
      <c r="A2592" s="13" t="s">
        <v>29</v>
      </c>
      <c r="B2592" s="13" t="s">
        <v>30</v>
      </c>
      <c r="C2592" s="18" t="s">
        <v>1626</v>
      </c>
      <c r="D2592" s="13"/>
      <c r="E2592" s="13" t="str">
        <f>CONCATENATE(B2592,",",C2592,",",D2592,",",Z2592)</f>
        <v>SJC,909-4-23,,NA</v>
      </c>
      <c r="F2592" s="13"/>
      <c r="G2592" s="13" t="s">
        <v>74</v>
      </c>
      <c r="H2592" s="13" t="s">
        <v>75</v>
      </c>
      <c r="I2592" s="13"/>
      <c r="J2592" s="13"/>
      <c r="K2592" s="15"/>
      <c r="L2592" s="15"/>
      <c r="M2592" s="16"/>
      <c r="N2592" s="16"/>
      <c r="O2592" s="17"/>
      <c r="P2592" s="17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 t="str">
        <f t="shared" si="1998"/>
        <v>NA</v>
      </c>
      <c r="AA2592" s="13"/>
      <c r="AB2592" s="13"/>
      <c r="AC2592" s="13"/>
      <c r="AD2592" s="13"/>
      <c r="AE2592" s="13"/>
      <c r="AF2592" s="13"/>
      <c r="AG2592" s="13"/>
      <c r="AH2592" s="13"/>
      <c r="AI2592" s="13"/>
      <c r="AJ2592" s="13"/>
      <c r="AK2592" s="13"/>
      <c r="AL2592" s="13"/>
      <c r="AM2592" s="13"/>
      <c r="AN2592" s="13"/>
      <c r="AO2592" s="13"/>
      <c r="AP2592" s="13"/>
      <c r="AQ2592" s="13"/>
      <c r="AR2592" s="13"/>
      <c r="AS2592" s="13"/>
    </row>
    <row r="2593" ht="14.25" hidden="1" customHeight="1">
      <c r="A2593" s="13" t="s">
        <v>29</v>
      </c>
      <c r="B2593" s="13" t="s">
        <v>30</v>
      </c>
      <c r="C2593" s="18" t="s">
        <v>1627</v>
      </c>
      <c r="D2593" s="13"/>
      <c r="E2593" s="13" t="str">
        <f t="shared" ref="E2593:E2594" si="2830">CONCATENATE(B2593,",",C2593,",",D2593,",",$Z$4282)</f>
        <v>SJC,909-4-24,,1</v>
      </c>
      <c r="F2593" s="13"/>
      <c r="G2593" s="13" t="s">
        <v>74</v>
      </c>
      <c r="H2593" s="13" t="s">
        <v>75</v>
      </c>
      <c r="I2593" s="13"/>
      <c r="J2593" s="13"/>
      <c r="K2593" s="15"/>
      <c r="L2593" s="15"/>
      <c r="M2593" s="16"/>
      <c r="N2593" s="16"/>
      <c r="O2593" s="17"/>
      <c r="P2593" s="17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 t="str">
        <f t="shared" si="1998"/>
        <v>NA</v>
      </c>
      <c r="AA2593" s="13"/>
      <c r="AB2593" s="13"/>
      <c r="AC2593" s="13"/>
      <c r="AD2593" s="13"/>
      <c r="AE2593" s="13"/>
      <c r="AF2593" s="13"/>
      <c r="AG2593" s="13"/>
      <c r="AH2593" s="13"/>
      <c r="AI2593" s="13"/>
      <c r="AJ2593" s="13"/>
      <c r="AK2593" s="13"/>
      <c r="AL2593" s="13"/>
      <c r="AM2593" s="13"/>
      <c r="AN2593" s="13"/>
      <c r="AO2593" s="13"/>
      <c r="AP2593" s="13"/>
      <c r="AQ2593" s="13"/>
      <c r="AR2593" s="13"/>
      <c r="AS2593" s="13"/>
    </row>
    <row r="2594" ht="14.25" hidden="1" customHeight="1">
      <c r="A2594" s="13" t="s">
        <v>29</v>
      </c>
      <c r="B2594" s="13" t="s">
        <v>30</v>
      </c>
      <c r="C2594" s="18" t="s">
        <v>1628</v>
      </c>
      <c r="D2594" s="13"/>
      <c r="E2594" s="13" t="str">
        <f t="shared" si="2830"/>
        <v>SJC,909-4-25,,1</v>
      </c>
      <c r="F2594" s="13"/>
      <c r="G2594" s="13" t="s">
        <v>74</v>
      </c>
      <c r="H2594" s="13" t="s">
        <v>75</v>
      </c>
      <c r="I2594" s="13"/>
      <c r="J2594" s="13"/>
      <c r="K2594" s="15"/>
      <c r="L2594" s="15"/>
      <c r="M2594" s="16"/>
      <c r="N2594" s="16"/>
      <c r="O2594" s="17"/>
      <c r="P2594" s="17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 t="str">
        <f t="shared" si="1998"/>
        <v>NA</v>
      </c>
      <c r="AA2594" s="13"/>
      <c r="AB2594" s="13"/>
      <c r="AC2594" s="13"/>
      <c r="AD2594" s="13"/>
      <c r="AE2594" s="13"/>
      <c r="AF2594" s="13"/>
      <c r="AG2594" s="13"/>
      <c r="AH2594" s="13"/>
      <c r="AI2594" s="13"/>
      <c r="AJ2594" s="13"/>
      <c r="AK2594" s="13"/>
      <c r="AL2594" s="13"/>
      <c r="AM2594" s="13"/>
      <c r="AN2594" s="13"/>
      <c r="AO2594" s="13"/>
      <c r="AP2594" s="13"/>
      <c r="AQ2594" s="13"/>
      <c r="AR2594" s="13"/>
      <c r="AS2594" s="13"/>
    </row>
    <row r="2595" ht="14.25" hidden="1" customHeight="1">
      <c r="A2595" s="13" t="s">
        <v>29</v>
      </c>
      <c r="B2595" s="13" t="s">
        <v>30</v>
      </c>
      <c r="C2595" s="18" t="s">
        <v>1629</v>
      </c>
      <c r="D2595" s="13"/>
      <c r="E2595" s="13" t="str">
        <f>CONCATENATE(B2595,",",C2595,",",D2595,",",Z2595)</f>
        <v>SJC,909-4-26,,NA</v>
      </c>
      <c r="F2595" s="13"/>
      <c r="G2595" s="13" t="s">
        <v>74</v>
      </c>
      <c r="H2595" s="13" t="s">
        <v>75</v>
      </c>
      <c r="I2595" s="13"/>
      <c r="J2595" s="13"/>
      <c r="K2595" s="15"/>
      <c r="L2595" s="15"/>
      <c r="M2595" s="16"/>
      <c r="N2595" s="16"/>
      <c r="O2595" s="17"/>
      <c r="P2595" s="17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 t="str">
        <f t="shared" si="1998"/>
        <v>NA</v>
      </c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13"/>
      <c r="AK2595" s="13"/>
      <c r="AL2595" s="13"/>
      <c r="AM2595" s="13"/>
      <c r="AN2595" s="13"/>
      <c r="AO2595" s="13"/>
      <c r="AP2595" s="13"/>
      <c r="AQ2595" s="13"/>
      <c r="AR2595" s="13"/>
      <c r="AS2595" s="13"/>
    </row>
    <row r="2596" ht="14.25" hidden="1" customHeight="1">
      <c r="A2596" s="13" t="s">
        <v>29</v>
      </c>
      <c r="B2596" s="13" t="s">
        <v>30</v>
      </c>
      <c r="C2596" s="18" t="s">
        <v>1630</v>
      </c>
      <c r="D2596" s="13"/>
      <c r="E2596" s="13" t="str">
        <f t="shared" ref="E2596:E2598" si="2831">CONCATENATE(B2596,",",C2596,",",D2596,",",$Z$4282)</f>
        <v>SJC,909-4-27,,1</v>
      </c>
      <c r="F2596" s="13"/>
      <c r="G2596" s="13" t="s">
        <v>74</v>
      </c>
      <c r="H2596" s="13" t="s">
        <v>75</v>
      </c>
      <c r="I2596" s="13"/>
      <c r="J2596" s="13"/>
      <c r="K2596" s="15"/>
      <c r="L2596" s="15"/>
      <c r="M2596" s="16"/>
      <c r="N2596" s="16"/>
      <c r="O2596" s="17"/>
      <c r="P2596" s="17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 t="str">
        <f t="shared" si="1998"/>
        <v>NA</v>
      </c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  <c r="AO2596" s="13"/>
      <c r="AP2596" s="13"/>
      <c r="AQ2596" s="13"/>
      <c r="AR2596" s="13"/>
      <c r="AS2596" s="13"/>
    </row>
    <row r="2597" ht="14.25" hidden="1" customHeight="1">
      <c r="A2597" s="13" t="s">
        <v>29</v>
      </c>
      <c r="B2597" s="13" t="s">
        <v>30</v>
      </c>
      <c r="C2597" s="18" t="s">
        <v>1631</v>
      </c>
      <c r="D2597" s="13"/>
      <c r="E2597" s="13" t="str">
        <f t="shared" si="2831"/>
        <v>SJC,909-4-3,,1</v>
      </c>
      <c r="F2597" s="13"/>
      <c r="G2597" s="13" t="s">
        <v>74</v>
      </c>
      <c r="H2597" s="13" t="s">
        <v>75</v>
      </c>
      <c r="I2597" s="13"/>
      <c r="J2597" s="13"/>
      <c r="K2597" s="15"/>
      <c r="L2597" s="15"/>
      <c r="M2597" s="16"/>
      <c r="N2597" s="16"/>
      <c r="O2597" s="17"/>
      <c r="P2597" s="17"/>
      <c r="Q2597" s="13"/>
      <c r="R2597" s="13"/>
      <c r="S2597" s="13"/>
      <c r="T2597" s="13">
        <f t="shared" ref="T2597:Y2597" si="2832">IF(ISBLANK(K2597)=TRUE,0,1)</f>
        <v>0</v>
      </c>
      <c r="U2597" s="13">
        <f t="shared" si="2832"/>
        <v>0</v>
      </c>
      <c r="V2597" s="13">
        <f t="shared" si="2832"/>
        <v>0</v>
      </c>
      <c r="W2597" s="13">
        <f t="shared" si="2832"/>
        <v>0</v>
      </c>
      <c r="X2597" s="13">
        <f t="shared" si="2832"/>
        <v>0</v>
      </c>
      <c r="Y2597" s="13">
        <f t="shared" si="2832"/>
        <v>0</v>
      </c>
      <c r="Z2597" s="13" t="str">
        <f t="shared" si="1998"/>
        <v>NA</v>
      </c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  <c r="AL2597" s="13"/>
      <c r="AM2597" s="13"/>
      <c r="AN2597" s="13"/>
      <c r="AO2597" s="13"/>
      <c r="AP2597" s="13"/>
      <c r="AQ2597" s="13"/>
      <c r="AR2597" s="13"/>
      <c r="AS2597" s="13"/>
    </row>
    <row r="2598" ht="14.25" hidden="1" customHeight="1">
      <c r="A2598" s="13" t="s">
        <v>29</v>
      </c>
      <c r="B2598" s="13" t="s">
        <v>30</v>
      </c>
      <c r="C2598" s="18" t="s">
        <v>1632</v>
      </c>
      <c r="D2598" s="13"/>
      <c r="E2598" s="13" t="str">
        <f t="shared" si="2831"/>
        <v>SJC,909-4-4,,1</v>
      </c>
      <c r="F2598" s="13"/>
      <c r="G2598" s="13" t="s">
        <v>74</v>
      </c>
      <c r="H2598" s="13" t="s">
        <v>75</v>
      </c>
      <c r="I2598" s="13"/>
      <c r="J2598" s="13"/>
      <c r="K2598" s="15"/>
      <c r="L2598" s="15"/>
      <c r="M2598" s="16"/>
      <c r="N2598" s="16"/>
      <c r="O2598" s="17"/>
      <c r="P2598" s="17"/>
      <c r="Q2598" s="13"/>
      <c r="R2598" s="13"/>
      <c r="S2598" s="13"/>
      <c r="T2598" s="13">
        <f t="shared" ref="T2598:Y2598" si="2833">IF(ISBLANK(K2598)=TRUE,0,1)</f>
        <v>0</v>
      </c>
      <c r="U2598" s="13">
        <f t="shared" si="2833"/>
        <v>0</v>
      </c>
      <c r="V2598" s="13">
        <f t="shared" si="2833"/>
        <v>0</v>
      </c>
      <c r="W2598" s="13">
        <f t="shared" si="2833"/>
        <v>0</v>
      </c>
      <c r="X2598" s="13">
        <f t="shared" si="2833"/>
        <v>0</v>
      </c>
      <c r="Y2598" s="13">
        <f t="shared" si="2833"/>
        <v>0</v>
      </c>
      <c r="Z2598" s="13" t="str">
        <f t="shared" si="1998"/>
        <v>NA</v>
      </c>
      <c r="AA2598" s="13"/>
      <c r="AB2598" s="13"/>
      <c r="AC2598" s="13"/>
      <c r="AD2598" s="13"/>
      <c r="AE2598" s="13"/>
      <c r="AF2598" s="13"/>
      <c r="AG2598" s="13"/>
      <c r="AH2598" s="13"/>
      <c r="AI2598" s="13"/>
      <c r="AJ2598" s="13"/>
      <c r="AK2598" s="13"/>
      <c r="AL2598" s="13"/>
      <c r="AM2598" s="13"/>
      <c r="AN2598" s="13"/>
      <c r="AO2598" s="13"/>
      <c r="AP2598" s="13"/>
      <c r="AQ2598" s="13"/>
      <c r="AR2598" s="13"/>
      <c r="AS2598" s="13"/>
    </row>
    <row r="2599" ht="14.25" hidden="1" customHeight="1">
      <c r="A2599" s="13" t="s">
        <v>29</v>
      </c>
      <c r="B2599" s="13" t="s">
        <v>30</v>
      </c>
      <c r="C2599" s="18" t="s">
        <v>1633</v>
      </c>
      <c r="D2599" s="13"/>
      <c r="E2599" s="13" t="str">
        <f>CONCATENATE(B2599,",",C2599,",",D2599,",",Z2599)</f>
        <v>SJC,909-4-5,,NA</v>
      </c>
      <c r="F2599" s="13"/>
      <c r="G2599" s="13" t="s">
        <v>74</v>
      </c>
      <c r="H2599" s="13" t="s">
        <v>75</v>
      </c>
      <c r="I2599" s="13"/>
      <c r="J2599" s="13"/>
      <c r="K2599" s="15"/>
      <c r="L2599" s="15"/>
      <c r="M2599" s="16"/>
      <c r="N2599" s="16"/>
      <c r="O2599" s="17"/>
      <c r="P2599" s="17"/>
      <c r="Q2599" s="13"/>
      <c r="R2599" s="13"/>
      <c r="S2599" s="13"/>
      <c r="T2599" s="13">
        <f t="shared" ref="T2599:Y2599" si="2834">IF(ISBLANK(K2599)=TRUE,0,1)</f>
        <v>0</v>
      </c>
      <c r="U2599" s="13">
        <f t="shared" si="2834"/>
        <v>0</v>
      </c>
      <c r="V2599" s="13">
        <f t="shared" si="2834"/>
        <v>0</v>
      </c>
      <c r="W2599" s="13">
        <f t="shared" si="2834"/>
        <v>0</v>
      </c>
      <c r="X2599" s="13">
        <f t="shared" si="2834"/>
        <v>0</v>
      </c>
      <c r="Y2599" s="13">
        <f t="shared" si="2834"/>
        <v>0</v>
      </c>
      <c r="Z2599" s="13" t="str">
        <f t="shared" si="1998"/>
        <v>NA</v>
      </c>
      <c r="AA2599" s="13"/>
      <c r="AB2599" s="13"/>
      <c r="AC2599" s="13"/>
      <c r="AD2599" s="13"/>
      <c r="AE2599" s="13"/>
      <c r="AF2599" s="13"/>
      <c r="AG2599" s="13"/>
      <c r="AH2599" s="13"/>
      <c r="AI2599" s="13"/>
      <c r="AJ2599" s="13"/>
      <c r="AK2599" s="13"/>
      <c r="AL2599" s="13"/>
      <c r="AM2599" s="13"/>
      <c r="AN2599" s="13"/>
      <c r="AO2599" s="13"/>
      <c r="AP2599" s="13"/>
      <c r="AQ2599" s="13"/>
      <c r="AR2599" s="13"/>
      <c r="AS2599" s="13"/>
    </row>
    <row r="2600" ht="14.25" hidden="1" customHeight="1">
      <c r="A2600" s="13" t="s">
        <v>29</v>
      </c>
      <c r="B2600" s="13" t="s">
        <v>30</v>
      </c>
      <c r="C2600" s="18" t="s">
        <v>1634</v>
      </c>
      <c r="D2600" s="13"/>
      <c r="E2600" s="13" t="str">
        <f t="shared" ref="E2600:E2601" si="2836">CONCATENATE(B2600,",",C2600,",",D2600,",",$Z$4282)</f>
        <v>SJC,909-4-6,,1</v>
      </c>
      <c r="F2600" s="13"/>
      <c r="G2600" s="13" t="s">
        <v>74</v>
      </c>
      <c r="H2600" s="13" t="s">
        <v>75</v>
      </c>
      <c r="I2600" s="13"/>
      <c r="J2600" s="13"/>
      <c r="K2600" s="15"/>
      <c r="L2600" s="15"/>
      <c r="M2600" s="16"/>
      <c r="N2600" s="16"/>
      <c r="O2600" s="17"/>
      <c r="P2600" s="17"/>
      <c r="Q2600" s="13"/>
      <c r="R2600" s="13"/>
      <c r="S2600" s="13"/>
      <c r="T2600" s="13">
        <f t="shared" ref="T2600:Y2600" si="2835">IF(ISBLANK(K2600)=TRUE,0,1)</f>
        <v>0</v>
      </c>
      <c r="U2600" s="13">
        <f t="shared" si="2835"/>
        <v>0</v>
      </c>
      <c r="V2600" s="13">
        <f t="shared" si="2835"/>
        <v>0</v>
      </c>
      <c r="W2600" s="13">
        <f t="shared" si="2835"/>
        <v>0</v>
      </c>
      <c r="X2600" s="13">
        <f t="shared" si="2835"/>
        <v>0</v>
      </c>
      <c r="Y2600" s="13">
        <f t="shared" si="2835"/>
        <v>0</v>
      </c>
      <c r="Z2600" s="13" t="str">
        <f t="shared" si="1998"/>
        <v>NA</v>
      </c>
      <c r="AA2600" s="13"/>
      <c r="AB2600" s="13"/>
      <c r="AC2600" s="13"/>
      <c r="AD2600" s="13"/>
      <c r="AE2600" s="13"/>
      <c r="AF2600" s="13"/>
      <c r="AG2600" s="13"/>
      <c r="AH2600" s="13"/>
      <c r="AI2600" s="13"/>
      <c r="AJ2600" s="13"/>
      <c r="AK2600" s="13"/>
      <c r="AL2600" s="13"/>
      <c r="AM2600" s="13"/>
      <c r="AN2600" s="13"/>
      <c r="AO2600" s="13"/>
      <c r="AP2600" s="13"/>
      <c r="AQ2600" s="13"/>
      <c r="AR2600" s="13"/>
      <c r="AS2600" s="13"/>
    </row>
    <row r="2601" ht="14.25" hidden="1" customHeight="1">
      <c r="A2601" s="13" t="s">
        <v>29</v>
      </c>
      <c r="B2601" s="13" t="s">
        <v>30</v>
      </c>
      <c r="C2601" s="18" t="s">
        <v>1635</v>
      </c>
      <c r="D2601" s="13"/>
      <c r="E2601" s="13" t="str">
        <f t="shared" si="2836"/>
        <v>SJC,909-4-7,,1</v>
      </c>
      <c r="F2601" s="13"/>
      <c r="G2601" s="13" t="s">
        <v>74</v>
      </c>
      <c r="H2601" s="13" t="s">
        <v>75</v>
      </c>
      <c r="I2601" s="13"/>
      <c r="J2601" s="13"/>
      <c r="K2601" s="15"/>
      <c r="L2601" s="15"/>
      <c r="M2601" s="16"/>
      <c r="N2601" s="16"/>
      <c r="O2601" s="17"/>
      <c r="P2601" s="17"/>
      <c r="Q2601" s="13"/>
      <c r="R2601" s="13"/>
      <c r="S2601" s="13"/>
      <c r="T2601" s="13">
        <f t="shared" ref="T2601:Y2601" si="2837">IF(ISBLANK(K2601)=TRUE,0,1)</f>
        <v>0</v>
      </c>
      <c r="U2601" s="13">
        <f t="shared" si="2837"/>
        <v>0</v>
      </c>
      <c r="V2601" s="13">
        <f t="shared" si="2837"/>
        <v>0</v>
      </c>
      <c r="W2601" s="13">
        <f t="shared" si="2837"/>
        <v>0</v>
      </c>
      <c r="X2601" s="13">
        <f t="shared" si="2837"/>
        <v>0</v>
      </c>
      <c r="Y2601" s="13">
        <f t="shared" si="2837"/>
        <v>0</v>
      </c>
      <c r="Z2601" s="13" t="str">
        <f t="shared" si="1998"/>
        <v>NA</v>
      </c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/>
      <c r="AK2601" s="13"/>
      <c r="AL2601" s="13"/>
      <c r="AM2601" s="13"/>
      <c r="AN2601" s="13"/>
      <c r="AO2601" s="13"/>
      <c r="AP2601" s="13"/>
      <c r="AQ2601" s="13"/>
      <c r="AR2601" s="13"/>
      <c r="AS2601" s="13"/>
    </row>
    <row r="2602" ht="14.25" hidden="1" customHeight="1">
      <c r="A2602" s="13" t="s">
        <v>29</v>
      </c>
      <c r="B2602" s="13" t="s">
        <v>30</v>
      </c>
      <c r="C2602" s="18" t="s">
        <v>1636</v>
      </c>
      <c r="D2602" s="13"/>
      <c r="E2602" s="13" t="str">
        <f>CONCATENATE(B2602,",",C2602,",",D2602,",",Z2602)</f>
        <v>SJC,909-4-8,,NA</v>
      </c>
      <c r="F2602" s="13"/>
      <c r="G2602" s="13" t="s">
        <v>74</v>
      </c>
      <c r="H2602" s="13" t="s">
        <v>75</v>
      </c>
      <c r="I2602" s="13"/>
      <c r="J2602" s="13"/>
      <c r="K2602" s="15"/>
      <c r="L2602" s="15"/>
      <c r="M2602" s="16"/>
      <c r="N2602" s="16"/>
      <c r="O2602" s="17"/>
      <c r="P2602" s="17"/>
      <c r="Q2602" s="13"/>
      <c r="R2602" s="13"/>
      <c r="S2602" s="13"/>
      <c r="T2602" s="13">
        <f t="shared" ref="T2602:Y2602" si="2838">IF(ISBLANK(K2602)=TRUE,0,1)</f>
        <v>0</v>
      </c>
      <c r="U2602" s="13">
        <f t="shared" si="2838"/>
        <v>0</v>
      </c>
      <c r="V2602" s="13">
        <f t="shared" si="2838"/>
        <v>0</v>
      </c>
      <c r="W2602" s="13">
        <f t="shared" si="2838"/>
        <v>0</v>
      </c>
      <c r="X2602" s="13">
        <f t="shared" si="2838"/>
        <v>0</v>
      </c>
      <c r="Y2602" s="13">
        <f t="shared" si="2838"/>
        <v>0</v>
      </c>
      <c r="Z2602" s="13" t="str">
        <f t="shared" si="1998"/>
        <v>NA</v>
      </c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  <c r="AL2602" s="13"/>
      <c r="AM2602" s="13"/>
      <c r="AN2602" s="13"/>
      <c r="AO2602" s="13"/>
      <c r="AP2602" s="13"/>
      <c r="AQ2602" s="13"/>
      <c r="AR2602" s="13"/>
      <c r="AS2602" s="13"/>
    </row>
    <row r="2603" ht="14.25" hidden="1" customHeight="1">
      <c r="A2603" s="13" t="s">
        <v>29</v>
      </c>
      <c r="B2603" s="13" t="s">
        <v>30</v>
      </c>
      <c r="C2603" s="18" t="s">
        <v>1637</v>
      </c>
      <c r="D2603" s="13"/>
      <c r="E2603" s="13" t="str">
        <f t="shared" ref="E2603:E2643" si="2840">CONCATENATE(B2603,",",C2603,",",D2603,",",$Z$4282)</f>
        <v>SJC,909-4-9,,1</v>
      </c>
      <c r="F2603" s="13"/>
      <c r="G2603" s="13" t="s">
        <v>74</v>
      </c>
      <c r="H2603" s="13" t="s">
        <v>75</v>
      </c>
      <c r="I2603" s="13"/>
      <c r="J2603" s="13"/>
      <c r="K2603" s="15"/>
      <c r="L2603" s="15"/>
      <c r="M2603" s="16"/>
      <c r="N2603" s="16"/>
      <c r="O2603" s="17"/>
      <c r="P2603" s="17"/>
      <c r="Q2603" s="13"/>
      <c r="R2603" s="13"/>
      <c r="S2603" s="13"/>
      <c r="T2603" s="13">
        <f t="shared" ref="T2603:Y2603" si="2839">IF(ISBLANK(K2603)=TRUE,0,1)</f>
        <v>0</v>
      </c>
      <c r="U2603" s="13">
        <f t="shared" si="2839"/>
        <v>0</v>
      </c>
      <c r="V2603" s="13">
        <f t="shared" si="2839"/>
        <v>0</v>
      </c>
      <c r="W2603" s="13">
        <f t="shared" si="2839"/>
        <v>0</v>
      </c>
      <c r="X2603" s="13">
        <f t="shared" si="2839"/>
        <v>0</v>
      </c>
      <c r="Y2603" s="13">
        <f t="shared" si="2839"/>
        <v>0</v>
      </c>
      <c r="Z2603" s="13" t="str">
        <f t="shared" si="1998"/>
        <v>NA</v>
      </c>
      <c r="AA2603" s="13"/>
      <c r="AB2603" s="13"/>
      <c r="AC2603" s="13"/>
      <c r="AD2603" s="13"/>
      <c r="AE2603" s="13"/>
      <c r="AF2603" s="13"/>
      <c r="AG2603" s="13"/>
      <c r="AH2603" s="13"/>
      <c r="AI2603" s="13"/>
      <c r="AJ2603" s="13"/>
      <c r="AK2603" s="13"/>
      <c r="AL2603" s="13"/>
      <c r="AM2603" s="13"/>
      <c r="AN2603" s="13"/>
      <c r="AO2603" s="13"/>
      <c r="AP2603" s="13"/>
      <c r="AQ2603" s="13"/>
      <c r="AR2603" s="13"/>
      <c r="AS2603" s="13"/>
    </row>
    <row r="2604" ht="14.25" hidden="1" customHeight="1">
      <c r="A2604" s="13" t="s">
        <v>29</v>
      </c>
      <c r="B2604" s="13" t="s">
        <v>30</v>
      </c>
      <c r="C2604" s="18" t="s">
        <v>1638</v>
      </c>
      <c r="D2604" s="13"/>
      <c r="E2604" s="13" t="str">
        <f t="shared" si="2840"/>
        <v>SJC,909-5-1,,1</v>
      </c>
      <c r="F2604" s="13"/>
      <c r="G2604" s="13" t="s">
        <v>111</v>
      </c>
      <c r="H2604" s="13" t="s">
        <v>75</v>
      </c>
      <c r="I2604" s="13"/>
      <c r="J2604" s="13"/>
      <c r="K2604" s="15"/>
      <c r="L2604" s="15"/>
      <c r="M2604" s="16"/>
      <c r="N2604" s="16"/>
      <c r="O2604" s="17"/>
      <c r="P2604" s="17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 t="str">
        <f t="shared" si="1998"/>
        <v>NA</v>
      </c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13"/>
      <c r="AK2604" s="13"/>
      <c r="AL2604" s="13"/>
      <c r="AM2604" s="13"/>
      <c r="AN2604" s="13"/>
      <c r="AO2604" s="13"/>
      <c r="AP2604" s="13"/>
      <c r="AQ2604" s="13"/>
      <c r="AR2604" s="13"/>
      <c r="AS2604" s="13"/>
    </row>
    <row r="2605" ht="14.25" hidden="1" customHeight="1">
      <c r="A2605" s="13" t="s">
        <v>29</v>
      </c>
      <c r="B2605" s="13" t="s">
        <v>30</v>
      </c>
      <c r="C2605" s="18" t="s">
        <v>1639</v>
      </c>
      <c r="D2605" s="13"/>
      <c r="E2605" s="13" t="str">
        <f t="shared" si="2840"/>
        <v>SJC,909-5-10,,1</v>
      </c>
      <c r="F2605" s="13"/>
      <c r="G2605" s="13" t="s">
        <v>111</v>
      </c>
      <c r="H2605" s="13" t="s">
        <v>75</v>
      </c>
      <c r="I2605" s="13"/>
      <c r="J2605" s="13"/>
      <c r="K2605" s="15"/>
      <c r="L2605" s="15"/>
      <c r="M2605" s="16"/>
      <c r="N2605" s="16"/>
      <c r="O2605" s="17"/>
      <c r="P2605" s="17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 t="str">
        <f t="shared" si="1998"/>
        <v>NA</v>
      </c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13"/>
      <c r="AK2605" s="13"/>
      <c r="AL2605" s="13"/>
      <c r="AM2605" s="13"/>
      <c r="AN2605" s="13"/>
      <c r="AO2605" s="13"/>
      <c r="AP2605" s="13"/>
      <c r="AQ2605" s="13"/>
      <c r="AR2605" s="13"/>
      <c r="AS2605" s="13"/>
    </row>
    <row r="2606" ht="14.25" hidden="1" customHeight="1">
      <c r="A2606" s="13" t="s">
        <v>29</v>
      </c>
      <c r="B2606" s="13" t="s">
        <v>30</v>
      </c>
      <c r="C2606" s="18" t="s">
        <v>1640</v>
      </c>
      <c r="D2606" s="13"/>
      <c r="E2606" s="13" t="str">
        <f t="shared" si="2840"/>
        <v>SJC,909-5-11,,1</v>
      </c>
      <c r="F2606" s="13"/>
      <c r="G2606" s="13" t="s">
        <v>111</v>
      </c>
      <c r="H2606" s="13" t="s">
        <v>75</v>
      </c>
      <c r="I2606" s="13"/>
      <c r="J2606" s="13"/>
      <c r="K2606" s="15"/>
      <c r="L2606" s="15"/>
      <c r="M2606" s="16"/>
      <c r="N2606" s="16"/>
      <c r="O2606" s="17"/>
      <c r="P2606" s="17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 t="str">
        <f t="shared" si="1998"/>
        <v>NA</v>
      </c>
      <c r="AA2606" s="13"/>
      <c r="AB2606" s="13"/>
      <c r="AC2606" s="13"/>
      <c r="AD2606" s="13"/>
      <c r="AE2606" s="13"/>
      <c r="AF2606" s="13"/>
      <c r="AG2606" s="13"/>
      <c r="AH2606" s="13"/>
      <c r="AI2606" s="13"/>
      <c r="AJ2606" s="13"/>
      <c r="AK2606" s="13"/>
      <c r="AL2606" s="13"/>
      <c r="AM2606" s="13"/>
      <c r="AN2606" s="13"/>
      <c r="AO2606" s="13"/>
      <c r="AP2606" s="13"/>
      <c r="AQ2606" s="13"/>
      <c r="AR2606" s="13"/>
      <c r="AS2606" s="13"/>
    </row>
    <row r="2607" ht="14.25" hidden="1" customHeight="1">
      <c r="A2607" s="13" t="s">
        <v>29</v>
      </c>
      <c r="B2607" s="13" t="s">
        <v>30</v>
      </c>
      <c r="C2607" s="18" t="s">
        <v>1641</v>
      </c>
      <c r="D2607" s="13"/>
      <c r="E2607" s="13" t="str">
        <f t="shared" si="2840"/>
        <v>SJC,909-5-12,,1</v>
      </c>
      <c r="F2607" s="13"/>
      <c r="G2607" s="13" t="s">
        <v>111</v>
      </c>
      <c r="H2607" s="13" t="s">
        <v>75</v>
      </c>
      <c r="I2607" s="13"/>
      <c r="J2607" s="13"/>
      <c r="K2607" s="15"/>
      <c r="L2607" s="15"/>
      <c r="M2607" s="16"/>
      <c r="N2607" s="16"/>
      <c r="O2607" s="17"/>
      <c r="P2607" s="17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 t="str">
        <f t="shared" si="1998"/>
        <v>NA</v>
      </c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13"/>
      <c r="AK2607" s="13"/>
      <c r="AL2607" s="13"/>
      <c r="AM2607" s="13"/>
      <c r="AN2607" s="13"/>
      <c r="AO2607" s="13"/>
      <c r="AP2607" s="13"/>
      <c r="AQ2607" s="13"/>
      <c r="AR2607" s="13"/>
      <c r="AS2607" s="13"/>
    </row>
    <row r="2608" ht="14.25" hidden="1" customHeight="1">
      <c r="A2608" s="13" t="s">
        <v>29</v>
      </c>
      <c r="B2608" s="13" t="s">
        <v>30</v>
      </c>
      <c r="C2608" s="18" t="s">
        <v>1642</v>
      </c>
      <c r="D2608" s="13"/>
      <c r="E2608" s="13" t="str">
        <f t="shared" si="2840"/>
        <v>SJC,909-5-13,,1</v>
      </c>
      <c r="F2608" s="13"/>
      <c r="G2608" s="13" t="s">
        <v>111</v>
      </c>
      <c r="H2608" s="13" t="s">
        <v>75</v>
      </c>
      <c r="I2608" s="13"/>
      <c r="J2608" s="13"/>
      <c r="K2608" s="15"/>
      <c r="L2608" s="15"/>
      <c r="M2608" s="16"/>
      <c r="N2608" s="16"/>
      <c r="O2608" s="17"/>
      <c r="P2608" s="17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 t="str">
        <f t="shared" si="1998"/>
        <v>NA</v>
      </c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  <c r="AL2608" s="13"/>
      <c r="AM2608" s="13"/>
      <c r="AN2608" s="13"/>
      <c r="AO2608" s="13"/>
      <c r="AP2608" s="13"/>
      <c r="AQ2608" s="13"/>
      <c r="AR2608" s="13"/>
      <c r="AS2608" s="13"/>
    </row>
    <row r="2609" ht="14.25" hidden="1" customHeight="1">
      <c r="A2609" s="13" t="s">
        <v>29</v>
      </c>
      <c r="B2609" s="13" t="s">
        <v>30</v>
      </c>
      <c r="C2609" s="18" t="s">
        <v>1643</v>
      </c>
      <c r="D2609" s="13"/>
      <c r="E2609" s="13" t="str">
        <f t="shared" si="2840"/>
        <v>SJC,909-5-14,,1</v>
      </c>
      <c r="F2609" s="13"/>
      <c r="G2609" s="13" t="s">
        <v>111</v>
      </c>
      <c r="H2609" s="13" t="s">
        <v>75</v>
      </c>
      <c r="I2609" s="13"/>
      <c r="J2609" s="13"/>
      <c r="K2609" s="15"/>
      <c r="L2609" s="15"/>
      <c r="M2609" s="16"/>
      <c r="N2609" s="16"/>
      <c r="O2609" s="17"/>
      <c r="P2609" s="17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 t="str">
        <f t="shared" si="1998"/>
        <v>NA</v>
      </c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  <c r="AL2609" s="13"/>
      <c r="AM2609" s="13"/>
      <c r="AN2609" s="13"/>
      <c r="AO2609" s="13"/>
      <c r="AP2609" s="13"/>
      <c r="AQ2609" s="13"/>
      <c r="AR2609" s="13"/>
      <c r="AS2609" s="13"/>
    </row>
    <row r="2610" ht="14.25" hidden="1" customHeight="1">
      <c r="A2610" s="13" t="s">
        <v>29</v>
      </c>
      <c r="B2610" s="13" t="s">
        <v>30</v>
      </c>
      <c r="C2610" s="18" t="s">
        <v>1644</v>
      </c>
      <c r="D2610" s="13"/>
      <c r="E2610" s="13" t="str">
        <f t="shared" si="2840"/>
        <v>SJC,909-5-15,,1</v>
      </c>
      <c r="F2610" s="13"/>
      <c r="G2610" s="13" t="s">
        <v>111</v>
      </c>
      <c r="H2610" s="13" t="s">
        <v>75</v>
      </c>
      <c r="I2610" s="13"/>
      <c r="J2610" s="13"/>
      <c r="K2610" s="15"/>
      <c r="L2610" s="15"/>
      <c r="M2610" s="16"/>
      <c r="N2610" s="16"/>
      <c r="O2610" s="17"/>
      <c r="P2610" s="17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 t="str">
        <f t="shared" si="1998"/>
        <v>NA</v>
      </c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  <c r="AL2610" s="13"/>
      <c r="AM2610" s="13"/>
      <c r="AN2610" s="13"/>
      <c r="AO2610" s="13"/>
      <c r="AP2610" s="13"/>
      <c r="AQ2610" s="13"/>
      <c r="AR2610" s="13"/>
      <c r="AS2610" s="13"/>
    </row>
    <row r="2611" ht="14.25" hidden="1" customHeight="1">
      <c r="A2611" s="13" t="s">
        <v>29</v>
      </c>
      <c r="B2611" s="13" t="s">
        <v>30</v>
      </c>
      <c r="C2611" s="18" t="s">
        <v>1645</v>
      </c>
      <c r="D2611" s="13"/>
      <c r="E2611" s="13" t="str">
        <f t="shared" si="2840"/>
        <v>SJC,909-5-16,,1</v>
      </c>
      <c r="F2611" s="13"/>
      <c r="G2611" s="13" t="s">
        <v>111</v>
      </c>
      <c r="H2611" s="13" t="s">
        <v>75</v>
      </c>
      <c r="I2611" s="13"/>
      <c r="J2611" s="13"/>
      <c r="K2611" s="15"/>
      <c r="L2611" s="15"/>
      <c r="M2611" s="16"/>
      <c r="N2611" s="16"/>
      <c r="O2611" s="17"/>
      <c r="P2611" s="17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 t="str">
        <f t="shared" si="1998"/>
        <v>NA</v>
      </c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13"/>
      <c r="AK2611" s="13"/>
      <c r="AL2611" s="13"/>
      <c r="AM2611" s="13"/>
      <c r="AN2611" s="13"/>
      <c r="AO2611" s="13"/>
      <c r="AP2611" s="13"/>
      <c r="AQ2611" s="13"/>
      <c r="AR2611" s="13"/>
      <c r="AS2611" s="13"/>
    </row>
    <row r="2612" ht="14.25" hidden="1" customHeight="1">
      <c r="A2612" s="13" t="s">
        <v>29</v>
      </c>
      <c r="B2612" s="13" t="s">
        <v>30</v>
      </c>
      <c r="C2612" s="18" t="s">
        <v>1646</v>
      </c>
      <c r="D2612" s="13"/>
      <c r="E2612" s="13" t="str">
        <f t="shared" si="2840"/>
        <v>SJC,909-5-17,,1</v>
      </c>
      <c r="F2612" s="13"/>
      <c r="G2612" s="13" t="s">
        <v>111</v>
      </c>
      <c r="H2612" s="13" t="s">
        <v>75</v>
      </c>
      <c r="I2612" s="13"/>
      <c r="J2612" s="13"/>
      <c r="K2612" s="15"/>
      <c r="L2612" s="15"/>
      <c r="M2612" s="16"/>
      <c r="N2612" s="16"/>
      <c r="O2612" s="17"/>
      <c r="P2612" s="17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 t="str">
        <f t="shared" si="1998"/>
        <v>NA</v>
      </c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  <c r="AL2612" s="13"/>
      <c r="AM2612" s="13"/>
      <c r="AN2612" s="13"/>
      <c r="AO2612" s="13"/>
      <c r="AP2612" s="13"/>
      <c r="AQ2612" s="13"/>
      <c r="AR2612" s="13"/>
      <c r="AS2612" s="13"/>
    </row>
    <row r="2613" ht="14.25" hidden="1" customHeight="1">
      <c r="A2613" s="13" t="s">
        <v>29</v>
      </c>
      <c r="B2613" s="13" t="s">
        <v>30</v>
      </c>
      <c r="C2613" s="18" t="s">
        <v>1647</v>
      </c>
      <c r="D2613" s="13"/>
      <c r="E2613" s="13" t="str">
        <f t="shared" si="2840"/>
        <v>SJC,909-5-18,,1</v>
      </c>
      <c r="F2613" s="13"/>
      <c r="G2613" s="13" t="s">
        <v>111</v>
      </c>
      <c r="H2613" s="13" t="s">
        <v>75</v>
      </c>
      <c r="I2613" s="13"/>
      <c r="J2613" s="13"/>
      <c r="K2613" s="15"/>
      <c r="L2613" s="15"/>
      <c r="M2613" s="16"/>
      <c r="N2613" s="16"/>
      <c r="O2613" s="17"/>
      <c r="P2613" s="17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 t="str">
        <f t="shared" si="1998"/>
        <v>NA</v>
      </c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13"/>
      <c r="AK2613" s="13"/>
      <c r="AL2613" s="13"/>
      <c r="AM2613" s="13"/>
      <c r="AN2613" s="13"/>
      <c r="AO2613" s="13"/>
      <c r="AP2613" s="13"/>
      <c r="AQ2613" s="13"/>
      <c r="AR2613" s="13"/>
      <c r="AS2613" s="13"/>
    </row>
    <row r="2614" ht="14.25" hidden="1" customHeight="1">
      <c r="A2614" s="13" t="s">
        <v>29</v>
      </c>
      <c r="B2614" s="13" t="s">
        <v>30</v>
      </c>
      <c r="C2614" s="18" t="s">
        <v>1648</v>
      </c>
      <c r="D2614" s="13"/>
      <c r="E2614" s="13" t="str">
        <f t="shared" si="2840"/>
        <v>SJC,909-5-19,,1</v>
      </c>
      <c r="F2614" s="13"/>
      <c r="G2614" s="13" t="s">
        <v>111</v>
      </c>
      <c r="H2614" s="13" t="s">
        <v>75</v>
      </c>
      <c r="I2614" s="13"/>
      <c r="J2614" s="13"/>
      <c r="K2614" s="15"/>
      <c r="L2614" s="15"/>
      <c r="M2614" s="16"/>
      <c r="N2614" s="16"/>
      <c r="O2614" s="17"/>
      <c r="P2614" s="17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 t="str">
        <f t="shared" si="1998"/>
        <v>NA</v>
      </c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13"/>
      <c r="AK2614" s="13"/>
      <c r="AL2614" s="13"/>
      <c r="AM2614" s="13"/>
      <c r="AN2614" s="13"/>
      <c r="AO2614" s="13"/>
      <c r="AP2614" s="13"/>
      <c r="AQ2614" s="13"/>
      <c r="AR2614" s="13"/>
      <c r="AS2614" s="13"/>
    </row>
    <row r="2615" ht="14.25" hidden="1" customHeight="1">
      <c r="A2615" s="13" t="s">
        <v>29</v>
      </c>
      <c r="B2615" s="13" t="s">
        <v>30</v>
      </c>
      <c r="C2615" s="18" t="s">
        <v>1649</v>
      </c>
      <c r="D2615" s="13"/>
      <c r="E2615" s="13" t="str">
        <f t="shared" si="2840"/>
        <v>SJC,909-5-2,,1</v>
      </c>
      <c r="F2615" s="13"/>
      <c r="G2615" s="13" t="s">
        <v>111</v>
      </c>
      <c r="H2615" s="13" t="s">
        <v>75</v>
      </c>
      <c r="I2615" s="13"/>
      <c r="J2615" s="13"/>
      <c r="K2615" s="15"/>
      <c r="L2615" s="15"/>
      <c r="M2615" s="16"/>
      <c r="N2615" s="16"/>
      <c r="O2615" s="17"/>
      <c r="P2615" s="17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 t="str">
        <f t="shared" si="1998"/>
        <v>NA</v>
      </c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3"/>
      <c r="AM2615" s="13"/>
      <c r="AN2615" s="13"/>
      <c r="AO2615" s="13"/>
      <c r="AP2615" s="13"/>
      <c r="AQ2615" s="13"/>
      <c r="AR2615" s="13"/>
      <c r="AS2615" s="13"/>
    </row>
    <row r="2616" ht="14.25" hidden="1" customHeight="1">
      <c r="A2616" s="13" t="s">
        <v>29</v>
      </c>
      <c r="B2616" s="13" t="s">
        <v>30</v>
      </c>
      <c r="C2616" s="18" t="s">
        <v>1650</v>
      </c>
      <c r="D2616" s="13"/>
      <c r="E2616" s="13" t="str">
        <f t="shared" si="2840"/>
        <v>SJC,909-5-20,,1</v>
      </c>
      <c r="F2616" s="13"/>
      <c r="G2616" s="13" t="s">
        <v>111</v>
      </c>
      <c r="H2616" s="13" t="s">
        <v>75</v>
      </c>
      <c r="I2616" s="13"/>
      <c r="J2616" s="13"/>
      <c r="K2616" s="15"/>
      <c r="L2616" s="15"/>
      <c r="M2616" s="16"/>
      <c r="N2616" s="16"/>
      <c r="O2616" s="17"/>
      <c r="P2616" s="17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 t="str">
        <f t="shared" si="1998"/>
        <v>NA</v>
      </c>
      <c r="AA2616" s="13"/>
      <c r="AB2616" s="13"/>
      <c r="AC2616" s="13"/>
      <c r="AD2616" s="13"/>
      <c r="AE2616" s="13"/>
      <c r="AF2616" s="13"/>
      <c r="AG2616" s="13"/>
      <c r="AH2616" s="13"/>
      <c r="AI2616" s="13"/>
      <c r="AJ2616" s="13"/>
      <c r="AK2616" s="13"/>
      <c r="AL2616" s="13"/>
      <c r="AM2616" s="13"/>
      <c r="AN2616" s="13"/>
      <c r="AO2616" s="13"/>
      <c r="AP2616" s="13"/>
      <c r="AQ2616" s="13"/>
      <c r="AR2616" s="13"/>
      <c r="AS2616" s="13"/>
    </row>
    <row r="2617" ht="14.25" hidden="1" customHeight="1">
      <c r="A2617" s="13" t="s">
        <v>29</v>
      </c>
      <c r="B2617" s="13" t="s">
        <v>30</v>
      </c>
      <c r="C2617" s="18" t="s">
        <v>1651</v>
      </c>
      <c r="D2617" s="13"/>
      <c r="E2617" s="13" t="str">
        <f t="shared" si="2840"/>
        <v>SJC,909-5-21,,1</v>
      </c>
      <c r="F2617" s="13"/>
      <c r="G2617" s="13" t="s">
        <v>111</v>
      </c>
      <c r="H2617" s="13" t="s">
        <v>75</v>
      </c>
      <c r="I2617" s="13"/>
      <c r="J2617" s="13"/>
      <c r="K2617" s="15"/>
      <c r="L2617" s="15"/>
      <c r="M2617" s="16"/>
      <c r="N2617" s="16"/>
      <c r="O2617" s="17"/>
      <c r="P2617" s="17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 t="str">
        <f t="shared" si="1998"/>
        <v>NA</v>
      </c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13"/>
      <c r="AK2617" s="13"/>
      <c r="AL2617" s="13"/>
      <c r="AM2617" s="13"/>
      <c r="AN2617" s="13"/>
      <c r="AO2617" s="13"/>
      <c r="AP2617" s="13"/>
      <c r="AQ2617" s="13"/>
      <c r="AR2617" s="13"/>
      <c r="AS2617" s="13"/>
    </row>
    <row r="2618" ht="14.25" hidden="1" customHeight="1">
      <c r="A2618" s="13" t="s">
        <v>29</v>
      </c>
      <c r="B2618" s="13" t="s">
        <v>30</v>
      </c>
      <c r="C2618" s="18" t="s">
        <v>1652</v>
      </c>
      <c r="D2618" s="13"/>
      <c r="E2618" s="13" t="str">
        <f t="shared" si="2840"/>
        <v>SJC,909-5-22,,1</v>
      </c>
      <c r="F2618" s="13"/>
      <c r="G2618" s="13" t="s">
        <v>111</v>
      </c>
      <c r="H2618" s="13" t="s">
        <v>75</v>
      </c>
      <c r="I2618" s="13"/>
      <c r="J2618" s="13"/>
      <c r="K2618" s="15"/>
      <c r="L2618" s="15"/>
      <c r="M2618" s="16"/>
      <c r="N2618" s="16"/>
      <c r="O2618" s="17"/>
      <c r="P2618" s="17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 t="str">
        <f t="shared" si="1998"/>
        <v>NA</v>
      </c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13"/>
      <c r="AK2618" s="13"/>
      <c r="AL2618" s="13"/>
      <c r="AM2618" s="13"/>
      <c r="AN2618" s="13"/>
      <c r="AO2618" s="13"/>
      <c r="AP2618" s="13"/>
      <c r="AQ2618" s="13"/>
      <c r="AR2618" s="13"/>
      <c r="AS2618" s="13"/>
    </row>
    <row r="2619" ht="14.25" hidden="1" customHeight="1">
      <c r="A2619" s="13" t="s">
        <v>29</v>
      </c>
      <c r="B2619" s="13" t="s">
        <v>30</v>
      </c>
      <c r="C2619" s="18" t="s">
        <v>1653</v>
      </c>
      <c r="D2619" s="13"/>
      <c r="E2619" s="13" t="str">
        <f t="shared" si="2840"/>
        <v>SJC,909-5-23,,1</v>
      </c>
      <c r="F2619" s="13"/>
      <c r="G2619" s="13" t="s">
        <v>111</v>
      </c>
      <c r="H2619" s="13" t="s">
        <v>75</v>
      </c>
      <c r="I2619" s="13"/>
      <c r="J2619" s="13"/>
      <c r="K2619" s="15"/>
      <c r="L2619" s="15"/>
      <c r="M2619" s="16"/>
      <c r="N2619" s="16"/>
      <c r="O2619" s="17"/>
      <c r="P2619" s="17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 t="str">
        <f t="shared" si="1998"/>
        <v>NA</v>
      </c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13"/>
      <c r="AK2619" s="13"/>
      <c r="AL2619" s="13"/>
      <c r="AM2619" s="13"/>
      <c r="AN2619" s="13"/>
      <c r="AO2619" s="13"/>
      <c r="AP2619" s="13"/>
      <c r="AQ2619" s="13"/>
      <c r="AR2619" s="13"/>
      <c r="AS2619" s="13"/>
    </row>
    <row r="2620" ht="14.25" hidden="1" customHeight="1">
      <c r="A2620" s="13" t="s">
        <v>29</v>
      </c>
      <c r="B2620" s="13" t="s">
        <v>30</v>
      </c>
      <c r="C2620" s="18" t="s">
        <v>1654</v>
      </c>
      <c r="D2620" s="13"/>
      <c r="E2620" s="13" t="str">
        <f t="shared" si="2840"/>
        <v>SJC,909-5-24,,1</v>
      </c>
      <c r="F2620" s="13"/>
      <c r="G2620" s="13" t="s">
        <v>111</v>
      </c>
      <c r="H2620" s="13" t="s">
        <v>75</v>
      </c>
      <c r="I2620" s="13"/>
      <c r="J2620" s="13"/>
      <c r="K2620" s="15"/>
      <c r="L2620" s="15"/>
      <c r="M2620" s="16"/>
      <c r="N2620" s="16"/>
      <c r="O2620" s="17"/>
      <c r="P2620" s="17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 t="str">
        <f t="shared" si="1998"/>
        <v>NA</v>
      </c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3"/>
      <c r="AM2620" s="13"/>
      <c r="AN2620" s="13"/>
      <c r="AO2620" s="13"/>
      <c r="AP2620" s="13"/>
      <c r="AQ2620" s="13"/>
      <c r="AR2620" s="13"/>
      <c r="AS2620" s="13"/>
    </row>
    <row r="2621" ht="14.25" hidden="1" customHeight="1">
      <c r="A2621" s="13" t="s">
        <v>29</v>
      </c>
      <c r="B2621" s="13" t="s">
        <v>30</v>
      </c>
      <c r="C2621" s="18" t="s">
        <v>1655</v>
      </c>
      <c r="D2621" s="13"/>
      <c r="E2621" s="13" t="str">
        <f t="shared" si="2840"/>
        <v>SJC,909-5-25,,1</v>
      </c>
      <c r="F2621" s="13"/>
      <c r="G2621" s="13" t="s">
        <v>111</v>
      </c>
      <c r="H2621" s="13" t="s">
        <v>75</v>
      </c>
      <c r="I2621" s="13"/>
      <c r="J2621" s="13"/>
      <c r="K2621" s="15"/>
      <c r="L2621" s="15"/>
      <c r="M2621" s="16"/>
      <c r="N2621" s="16"/>
      <c r="O2621" s="17"/>
      <c r="P2621" s="17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 t="str">
        <f t="shared" si="1998"/>
        <v>NA</v>
      </c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</row>
    <row r="2622" ht="14.25" hidden="1" customHeight="1">
      <c r="A2622" s="13" t="s">
        <v>29</v>
      </c>
      <c r="B2622" s="13" t="s">
        <v>30</v>
      </c>
      <c r="C2622" s="18" t="s">
        <v>1656</v>
      </c>
      <c r="D2622" s="13"/>
      <c r="E2622" s="13" t="str">
        <f t="shared" si="2840"/>
        <v>SJC,909-5-26,,1</v>
      </c>
      <c r="F2622" s="13"/>
      <c r="G2622" s="13" t="s">
        <v>111</v>
      </c>
      <c r="H2622" s="13" t="s">
        <v>75</v>
      </c>
      <c r="I2622" s="13"/>
      <c r="J2622" s="13"/>
      <c r="K2622" s="15"/>
      <c r="L2622" s="15"/>
      <c r="M2622" s="16"/>
      <c r="N2622" s="16"/>
      <c r="O2622" s="17"/>
      <c r="P2622" s="17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 t="str">
        <f t="shared" si="1998"/>
        <v>NA</v>
      </c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3"/>
      <c r="AM2622" s="13"/>
      <c r="AN2622" s="13"/>
      <c r="AO2622" s="13"/>
      <c r="AP2622" s="13"/>
      <c r="AQ2622" s="13"/>
      <c r="AR2622" s="13"/>
      <c r="AS2622" s="13"/>
    </row>
    <row r="2623" ht="14.25" hidden="1" customHeight="1">
      <c r="A2623" s="13" t="s">
        <v>29</v>
      </c>
      <c r="B2623" s="13" t="s">
        <v>30</v>
      </c>
      <c r="C2623" s="18" t="s">
        <v>1657</v>
      </c>
      <c r="D2623" s="13"/>
      <c r="E2623" s="13" t="str">
        <f t="shared" si="2840"/>
        <v>SJC,909-5-27,,1</v>
      </c>
      <c r="F2623" s="13"/>
      <c r="G2623" s="13" t="s">
        <v>111</v>
      </c>
      <c r="H2623" s="13" t="s">
        <v>75</v>
      </c>
      <c r="I2623" s="13"/>
      <c r="J2623" s="13"/>
      <c r="K2623" s="15"/>
      <c r="L2623" s="15"/>
      <c r="M2623" s="16"/>
      <c r="N2623" s="16"/>
      <c r="O2623" s="17"/>
      <c r="P2623" s="17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 t="str">
        <f t="shared" si="1998"/>
        <v>NA</v>
      </c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13"/>
      <c r="AK2623" s="13"/>
      <c r="AL2623" s="13"/>
      <c r="AM2623" s="13"/>
      <c r="AN2623" s="13"/>
      <c r="AO2623" s="13"/>
      <c r="AP2623" s="13"/>
      <c r="AQ2623" s="13"/>
      <c r="AR2623" s="13"/>
      <c r="AS2623" s="13"/>
    </row>
    <row r="2624" ht="14.25" hidden="1" customHeight="1">
      <c r="A2624" s="13" t="s">
        <v>29</v>
      </c>
      <c r="B2624" s="13" t="s">
        <v>30</v>
      </c>
      <c r="C2624" s="18" t="s">
        <v>1658</v>
      </c>
      <c r="D2624" s="13"/>
      <c r="E2624" s="13" t="str">
        <f t="shared" si="2840"/>
        <v>SJC,909-5-28,,1</v>
      </c>
      <c r="F2624" s="13"/>
      <c r="G2624" s="13" t="s">
        <v>111</v>
      </c>
      <c r="H2624" s="13" t="s">
        <v>75</v>
      </c>
      <c r="I2624" s="13"/>
      <c r="J2624" s="13"/>
      <c r="K2624" s="15"/>
      <c r="L2624" s="15"/>
      <c r="M2624" s="16"/>
      <c r="N2624" s="16"/>
      <c r="O2624" s="17"/>
      <c r="P2624" s="17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 t="str">
        <f t="shared" si="1998"/>
        <v>NA</v>
      </c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/>
      <c r="AK2624" s="13"/>
      <c r="AL2624" s="13"/>
      <c r="AM2624" s="13"/>
      <c r="AN2624" s="13"/>
      <c r="AO2624" s="13"/>
      <c r="AP2624" s="13"/>
      <c r="AQ2624" s="13"/>
      <c r="AR2624" s="13"/>
      <c r="AS2624" s="13"/>
    </row>
    <row r="2625" ht="14.25" hidden="1" customHeight="1">
      <c r="A2625" s="13" t="s">
        <v>29</v>
      </c>
      <c r="B2625" s="13" t="s">
        <v>30</v>
      </c>
      <c r="C2625" s="18" t="s">
        <v>1659</v>
      </c>
      <c r="D2625" s="13"/>
      <c r="E2625" s="13" t="str">
        <f t="shared" si="2840"/>
        <v>SJC,909-5-29,,1</v>
      </c>
      <c r="F2625" s="13"/>
      <c r="G2625" s="13" t="s">
        <v>111</v>
      </c>
      <c r="H2625" s="13" t="s">
        <v>75</v>
      </c>
      <c r="I2625" s="13"/>
      <c r="J2625" s="13"/>
      <c r="K2625" s="15"/>
      <c r="L2625" s="15"/>
      <c r="M2625" s="16"/>
      <c r="N2625" s="16"/>
      <c r="O2625" s="17"/>
      <c r="P2625" s="17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 t="str">
        <f t="shared" si="1998"/>
        <v>NA</v>
      </c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/>
      <c r="AK2625" s="13"/>
      <c r="AL2625" s="13"/>
      <c r="AM2625" s="13"/>
      <c r="AN2625" s="13"/>
      <c r="AO2625" s="13"/>
      <c r="AP2625" s="13"/>
      <c r="AQ2625" s="13"/>
      <c r="AR2625" s="13"/>
      <c r="AS2625" s="13"/>
    </row>
    <row r="2626" ht="14.25" hidden="1" customHeight="1">
      <c r="A2626" s="13" t="s">
        <v>29</v>
      </c>
      <c r="B2626" s="13" t="s">
        <v>30</v>
      </c>
      <c r="C2626" s="18" t="s">
        <v>1660</v>
      </c>
      <c r="D2626" s="13"/>
      <c r="E2626" s="13" t="str">
        <f t="shared" si="2840"/>
        <v>SJC,909-5-3,,1</v>
      </c>
      <c r="F2626" s="13"/>
      <c r="G2626" s="13" t="s">
        <v>111</v>
      </c>
      <c r="H2626" s="13" t="s">
        <v>75</v>
      </c>
      <c r="I2626" s="13"/>
      <c r="J2626" s="13"/>
      <c r="K2626" s="15"/>
      <c r="L2626" s="15"/>
      <c r="M2626" s="16"/>
      <c r="N2626" s="16"/>
      <c r="O2626" s="17"/>
      <c r="P2626" s="17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 t="str">
        <f t="shared" si="1998"/>
        <v>NA</v>
      </c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13"/>
      <c r="AK2626" s="13"/>
      <c r="AL2626" s="13"/>
      <c r="AM2626" s="13"/>
      <c r="AN2626" s="13"/>
      <c r="AO2626" s="13"/>
      <c r="AP2626" s="13"/>
      <c r="AQ2626" s="13"/>
      <c r="AR2626" s="13"/>
      <c r="AS2626" s="13"/>
    </row>
    <row r="2627" ht="14.25" hidden="1" customHeight="1">
      <c r="A2627" s="13" t="s">
        <v>29</v>
      </c>
      <c r="B2627" s="13" t="s">
        <v>30</v>
      </c>
      <c r="C2627" s="18" t="s">
        <v>1661</v>
      </c>
      <c r="D2627" s="13"/>
      <c r="E2627" s="13" t="str">
        <f t="shared" si="2840"/>
        <v>SJC,909-5-30,,1</v>
      </c>
      <c r="F2627" s="13"/>
      <c r="G2627" s="13" t="s">
        <v>111</v>
      </c>
      <c r="H2627" s="13" t="s">
        <v>75</v>
      </c>
      <c r="I2627" s="13"/>
      <c r="J2627" s="13"/>
      <c r="K2627" s="15"/>
      <c r="L2627" s="15"/>
      <c r="M2627" s="16"/>
      <c r="N2627" s="16"/>
      <c r="O2627" s="17"/>
      <c r="P2627" s="17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 t="str">
        <f t="shared" si="1998"/>
        <v>NA</v>
      </c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13"/>
      <c r="AK2627" s="13"/>
      <c r="AL2627" s="13"/>
      <c r="AM2627" s="13"/>
      <c r="AN2627" s="13"/>
      <c r="AO2627" s="13"/>
      <c r="AP2627" s="13"/>
      <c r="AQ2627" s="13"/>
      <c r="AR2627" s="13"/>
      <c r="AS2627" s="13"/>
    </row>
    <row r="2628" ht="14.25" hidden="1" customHeight="1">
      <c r="A2628" s="13" t="s">
        <v>29</v>
      </c>
      <c r="B2628" s="13" t="s">
        <v>30</v>
      </c>
      <c r="C2628" s="18" t="s">
        <v>1662</v>
      </c>
      <c r="D2628" s="13"/>
      <c r="E2628" s="13" t="str">
        <f t="shared" si="2840"/>
        <v>SJC,909-5-31,,1</v>
      </c>
      <c r="F2628" s="13"/>
      <c r="G2628" s="13" t="s">
        <v>111</v>
      </c>
      <c r="H2628" s="13" t="s">
        <v>75</v>
      </c>
      <c r="I2628" s="13"/>
      <c r="J2628" s="13"/>
      <c r="K2628" s="15"/>
      <c r="L2628" s="15"/>
      <c r="M2628" s="16"/>
      <c r="N2628" s="16"/>
      <c r="O2628" s="17"/>
      <c r="P2628" s="17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 t="str">
        <f t="shared" si="1998"/>
        <v>NA</v>
      </c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</row>
    <row r="2629" ht="14.25" hidden="1" customHeight="1">
      <c r="A2629" s="13" t="s">
        <v>29</v>
      </c>
      <c r="B2629" s="13" t="s">
        <v>30</v>
      </c>
      <c r="C2629" s="18" t="s">
        <v>1663</v>
      </c>
      <c r="D2629" s="13"/>
      <c r="E2629" s="13" t="str">
        <f t="shared" si="2840"/>
        <v>SJC,909-5-32,,1</v>
      </c>
      <c r="F2629" s="13"/>
      <c r="G2629" s="13" t="s">
        <v>111</v>
      </c>
      <c r="H2629" s="13" t="s">
        <v>75</v>
      </c>
      <c r="I2629" s="13"/>
      <c r="J2629" s="13"/>
      <c r="K2629" s="15"/>
      <c r="L2629" s="15"/>
      <c r="M2629" s="16"/>
      <c r="N2629" s="16"/>
      <c r="O2629" s="17"/>
      <c r="P2629" s="17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 t="str">
        <f t="shared" si="1998"/>
        <v>NA</v>
      </c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13"/>
      <c r="AK2629" s="13"/>
      <c r="AL2629" s="13"/>
      <c r="AM2629" s="13"/>
      <c r="AN2629" s="13"/>
      <c r="AO2629" s="13"/>
      <c r="AP2629" s="13"/>
      <c r="AQ2629" s="13"/>
      <c r="AR2629" s="13"/>
      <c r="AS2629" s="13"/>
    </row>
    <row r="2630" ht="14.25" hidden="1" customHeight="1">
      <c r="A2630" s="13" t="s">
        <v>29</v>
      </c>
      <c r="B2630" s="13" t="s">
        <v>30</v>
      </c>
      <c r="C2630" s="18" t="s">
        <v>1664</v>
      </c>
      <c r="D2630" s="13"/>
      <c r="E2630" s="13" t="str">
        <f t="shared" si="2840"/>
        <v>SJC,909-5-33,,1</v>
      </c>
      <c r="F2630" s="13"/>
      <c r="G2630" s="13" t="s">
        <v>111</v>
      </c>
      <c r="H2630" s="13" t="s">
        <v>75</v>
      </c>
      <c r="I2630" s="13"/>
      <c r="J2630" s="13"/>
      <c r="K2630" s="15"/>
      <c r="L2630" s="15"/>
      <c r="M2630" s="16"/>
      <c r="N2630" s="16"/>
      <c r="O2630" s="17"/>
      <c r="P2630" s="17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 t="str">
        <f t="shared" si="1998"/>
        <v>NA</v>
      </c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</row>
    <row r="2631" ht="14.25" hidden="1" customHeight="1">
      <c r="A2631" s="13" t="s">
        <v>29</v>
      </c>
      <c r="B2631" s="13" t="s">
        <v>30</v>
      </c>
      <c r="C2631" s="18" t="s">
        <v>1665</v>
      </c>
      <c r="D2631" s="13"/>
      <c r="E2631" s="13" t="str">
        <f t="shared" si="2840"/>
        <v>SJC,909-5-34,,1</v>
      </c>
      <c r="F2631" s="13"/>
      <c r="G2631" s="13" t="s">
        <v>111</v>
      </c>
      <c r="H2631" s="13" t="s">
        <v>75</v>
      </c>
      <c r="I2631" s="13"/>
      <c r="J2631" s="13"/>
      <c r="K2631" s="15"/>
      <c r="L2631" s="15"/>
      <c r="M2631" s="16"/>
      <c r="N2631" s="16"/>
      <c r="O2631" s="17"/>
      <c r="P2631" s="17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 t="str">
        <f t="shared" si="1998"/>
        <v>NA</v>
      </c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13"/>
      <c r="AK2631" s="13"/>
      <c r="AL2631" s="13"/>
      <c r="AM2631" s="13"/>
      <c r="AN2631" s="13"/>
      <c r="AO2631" s="13"/>
      <c r="AP2631" s="13"/>
      <c r="AQ2631" s="13"/>
      <c r="AR2631" s="13"/>
      <c r="AS2631" s="13"/>
    </row>
    <row r="2632" ht="14.25" hidden="1" customHeight="1">
      <c r="A2632" s="13" t="s">
        <v>29</v>
      </c>
      <c r="B2632" s="13" t="s">
        <v>30</v>
      </c>
      <c r="C2632" s="18" t="s">
        <v>1666</v>
      </c>
      <c r="D2632" s="13"/>
      <c r="E2632" s="13" t="str">
        <f t="shared" si="2840"/>
        <v>SJC,909-5-35,,1</v>
      </c>
      <c r="F2632" s="13"/>
      <c r="G2632" s="13" t="s">
        <v>111</v>
      </c>
      <c r="H2632" s="13" t="s">
        <v>75</v>
      </c>
      <c r="I2632" s="13"/>
      <c r="J2632" s="13"/>
      <c r="K2632" s="15"/>
      <c r="L2632" s="15"/>
      <c r="M2632" s="16"/>
      <c r="N2632" s="16"/>
      <c r="O2632" s="17"/>
      <c r="P2632" s="17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 t="str">
        <f t="shared" si="1998"/>
        <v>NA</v>
      </c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13"/>
      <c r="AK2632" s="13"/>
      <c r="AL2632" s="13"/>
      <c r="AM2632" s="13"/>
      <c r="AN2632" s="13"/>
      <c r="AO2632" s="13"/>
      <c r="AP2632" s="13"/>
      <c r="AQ2632" s="13"/>
      <c r="AR2632" s="13"/>
      <c r="AS2632" s="13"/>
    </row>
    <row r="2633" ht="14.25" hidden="1" customHeight="1">
      <c r="A2633" s="13" t="s">
        <v>29</v>
      </c>
      <c r="B2633" s="13" t="s">
        <v>30</v>
      </c>
      <c r="C2633" s="18" t="s">
        <v>1667</v>
      </c>
      <c r="D2633" s="13"/>
      <c r="E2633" s="13" t="str">
        <f t="shared" si="2840"/>
        <v>SJC,909-5-36,,1</v>
      </c>
      <c r="F2633" s="13"/>
      <c r="G2633" s="13" t="s">
        <v>111</v>
      </c>
      <c r="H2633" s="13" t="s">
        <v>75</v>
      </c>
      <c r="I2633" s="13"/>
      <c r="J2633" s="13"/>
      <c r="K2633" s="15"/>
      <c r="L2633" s="15"/>
      <c r="M2633" s="16"/>
      <c r="N2633" s="16"/>
      <c r="O2633" s="17"/>
      <c r="P2633" s="17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 t="str">
        <f t="shared" si="1998"/>
        <v>NA</v>
      </c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3"/>
      <c r="AM2633" s="13"/>
      <c r="AN2633" s="13"/>
      <c r="AO2633" s="13"/>
      <c r="AP2633" s="13"/>
      <c r="AQ2633" s="13"/>
      <c r="AR2633" s="13"/>
      <c r="AS2633" s="13"/>
    </row>
    <row r="2634" ht="14.25" hidden="1" customHeight="1">
      <c r="A2634" s="13" t="s">
        <v>29</v>
      </c>
      <c r="B2634" s="13" t="s">
        <v>30</v>
      </c>
      <c r="C2634" s="18" t="s">
        <v>1668</v>
      </c>
      <c r="D2634" s="13"/>
      <c r="E2634" s="13" t="str">
        <f t="shared" si="2840"/>
        <v>SJC,909-5-37,,1</v>
      </c>
      <c r="F2634" s="13"/>
      <c r="G2634" s="13" t="s">
        <v>111</v>
      </c>
      <c r="H2634" s="13" t="s">
        <v>75</v>
      </c>
      <c r="I2634" s="13"/>
      <c r="J2634" s="13"/>
      <c r="K2634" s="15"/>
      <c r="L2634" s="15"/>
      <c r="M2634" s="16"/>
      <c r="N2634" s="16"/>
      <c r="O2634" s="17"/>
      <c r="P2634" s="17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 t="str">
        <f t="shared" si="1998"/>
        <v>NA</v>
      </c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3"/>
      <c r="AM2634" s="13"/>
      <c r="AN2634" s="13"/>
      <c r="AO2634" s="13"/>
      <c r="AP2634" s="13"/>
      <c r="AQ2634" s="13"/>
      <c r="AR2634" s="13"/>
      <c r="AS2634" s="13"/>
    </row>
    <row r="2635" ht="14.25" hidden="1" customHeight="1">
      <c r="A2635" s="13" t="s">
        <v>29</v>
      </c>
      <c r="B2635" s="13" t="s">
        <v>30</v>
      </c>
      <c r="C2635" s="18" t="s">
        <v>1669</v>
      </c>
      <c r="D2635" s="13"/>
      <c r="E2635" s="13" t="str">
        <f t="shared" si="2840"/>
        <v>SJC,909-5-38,,1</v>
      </c>
      <c r="F2635" s="13"/>
      <c r="G2635" s="13" t="s">
        <v>111</v>
      </c>
      <c r="H2635" s="13" t="s">
        <v>75</v>
      </c>
      <c r="I2635" s="13"/>
      <c r="J2635" s="13"/>
      <c r="K2635" s="15"/>
      <c r="L2635" s="15"/>
      <c r="M2635" s="16"/>
      <c r="N2635" s="16"/>
      <c r="O2635" s="17"/>
      <c r="P2635" s="17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 t="str">
        <f t="shared" si="1998"/>
        <v>NA</v>
      </c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13"/>
      <c r="AK2635" s="13"/>
      <c r="AL2635" s="13"/>
      <c r="AM2635" s="13"/>
      <c r="AN2635" s="13"/>
      <c r="AO2635" s="13"/>
      <c r="AP2635" s="13"/>
      <c r="AQ2635" s="13"/>
      <c r="AR2635" s="13"/>
      <c r="AS2635" s="13"/>
    </row>
    <row r="2636" ht="14.25" hidden="1" customHeight="1">
      <c r="A2636" s="13" t="s">
        <v>29</v>
      </c>
      <c r="B2636" s="13" t="s">
        <v>30</v>
      </c>
      <c r="C2636" s="18" t="s">
        <v>1670</v>
      </c>
      <c r="D2636" s="13"/>
      <c r="E2636" s="13" t="str">
        <f t="shared" si="2840"/>
        <v>SJC,909-5-39,,1</v>
      </c>
      <c r="F2636" s="13"/>
      <c r="G2636" s="13" t="s">
        <v>111</v>
      </c>
      <c r="H2636" s="13" t="s">
        <v>75</v>
      </c>
      <c r="I2636" s="13"/>
      <c r="J2636" s="13"/>
      <c r="K2636" s="15"/>
      <c r="L2636" s="15"/>
      <c r="M2636" s="16"/>
      <c r="N2636" s="16"/>
      <c r="O2636" s="17"/>
      <c r="P2636" s="17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 t="str">
        <f t="shared" si="1998"/>
        <v>NA</v>
      </c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3"/>
      <c r="AM2636" s="13"/>
      <c r="AN2636" s="13"/>
      <c r="AO2636" s="13"/>
      <c r="AP2636" s="13"/>
      <c r="AQ2636" s="13"/>
      <c r="AR2636" s="13"/>
      <c r="AS2636" s="13"/>
    </row>
    <row r="2637" ht="14.25" hidden="1" customHeight="1">
      <c r="A2637" s="13" t="s">
        <v>29</v>
      </c>
      <c r="B2637" s="13" t="s">
        <v>30</v>
      </c>
      <c r="C2637" s="18" t="s">
        <v>1671</v>
      </c>
      <c r="D2637" s="13"/>
      <c r="E2637" s="13" t="str">
        <f t="shared" si="2840"/>
        <v>SJC,909-5-4,,1</v>
      </c>
      <c r="F2637" s="13"/>
      <c r="G2637" s="13" t="s">
        <v>111</v>
      </c>
      <c r="H2637" s="13" t="s">
        <v>75</v>
      </c>
      <c r="I2637" s="13"/>
      <c r="J2637" s="13"/>
      <c r="K2637" s="15"/>
      <c r="L2637" s="15"/>
      <c r="M2637" s="16"/>
      <c r="N2637" s="16"/>
      <c r="O2637" s="17"/>
      <c r="P2637" s="17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 t="str">
        <f t="shared" si="1998"/>
        <v>NA</v>
      </c>
      <c r="AA2637" s="13"/>
      <c r="AB2637" s="13"/>
      <c r="AC2637" s="13"/>
      <c r="AD2637" s="13"/>
      <c r="AE2637" s="13"/>
      <c r="AF2637" s="13"/>
      <c r="AG2637" s="13"/>
      <c r="AH2637" s="13"/>
      <c r="AI2637" s="13"/>
      <c r="AJ2637" s="13"/>
      <c r="AK2637" s="13"/>
      <c r="AL2637" s="13"/>
      <c r="AM2637" s="13"/>
      <c r="AN2637" s="13"/>
      <c r="AO2637" s="13"/>
      <c r="AP2637" s="13"/>
      <c r="AQ2637" s="13"/>
      <c r="AR2637" s="13"/>
      <c r="AS2637" s="13"/>
    </row>
    <row r="2638" ht="14.25" hidden="1" customHeight="1">
      <c r="A2638" s="13" t="s">
        <v>29</v>
      </c>
      <c r="B2638" s="13" t="s">
        <v>30</v>
      </c>
      <c r="C2638" s="18" t="s">
        <v>1672</v>
      </c>
      <c r="D2638" s="13"/>
      <c r="E2638" s="13" t="str">
        <f t="shared" si="2840"/>
        <v>SJC,909-5-40,,1</v>
      </c>
      <c r="F2638" s="13"/>
      <c r="G2638" s="13" t="s">
        <v>111</v>
      </c>
      <c r="H2638" s="13" t="s">
        <v>75</v>
      </c>
      <c r="I2638" s="13"/>
      <c r="J2638" s="13"/>
      <c r="K2638" s="15"/>
      <c r="L2638" s="15"/>
      <c r="M2638" s="16"/>
      <c r="N2638" s="16"/>
      <c r="O2638" s="17"/>
      <c r="P2638" s="17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 t="str">
        <f t="shared" si="1998"/>
        <v>NA</v>
      </c>
      <c r="AA2638" s="13"/>
      <c r="AB2638" s="13"/>
      <c r="AC2638" s="13"/>
      <c r="AD2638" s="13"/>
      <c r="AE2638" s="13"/>
      <c r="AF2638" s="13"/>
      <c r="AG2638" s="13"/>
      <c r="AH2638" s="13"/>
      <c r="AI2638" s="13"/>
      <c r="AJ2638" s="13"/>
      <c r="AK2638" s="13"/>
      <c r="AL2638" s="13"/>
      <c r="AM2638" s="13"/>
      <c r="AN2638" s="13"/>
      <c r="AO2638" s="13"/>
      <c r="AP2638" s="13"/>
      <c r="AQ2638" s="13"/>
      <c r="AR2638" s="13"/>
      <c r="AS2638" s="13"/>
    </row>
    <row r="2639" ht="14.25" hidden="1" customHeight="1">
      <c r="A2639" s="13" t="s">
        <v>29</v>
      </c>
      <c r="B2639" s="13" t="s">
        <v>30</v>
      </c>
      <c r="C2639" s="18" t="s">
        <v>1673</v>
      </c>
      <c r="D2639" s="13"/>
      <c r="E2639" s="13" t="str">
        <f t="shared" si="2840"/>
        <v>SJC,909-5-5,,1</v>
      </c>
      <c r="F2639" s="13"/>
      <c r="G2639" s="13" t="s">
        <v>111</v>
      </c>
      <c r="H2639" s="13" t="s">
        <v>75</v>
      </c>
      <c r="I2639" s="13"/>
      <c r="J2639" s="13"/>
      <c r="K2639" s="15"/>
      <c r="L2639" s="15"/>
      <c r="M2639" s="16"/>
      <c r="N2639" s="16"/>
      <c r="O2639" s="17"/>
      <c r="P2639" s="17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 t="str">
        <f t="shared" si="1998"/>
        <v>NA</v>
      </c>
      <c r="AA2639" s="13"/>
      <c r="AB2639" s="13"/>
      <c r="AC2639" s="13"/>
      <c r="AD2639" s="13"/>
      <c r="AE2639" s="13"/>
      <c r="AF2639" s="13"/>
      <c r="AG2639" s="13"/>
      <c r="AH2639" s="13"/>
      <c r="AI2639" s="13"/>
      <c r="AJ2639" s="13"/>
      <c r="AK2639" s="13"/>
      <c r="AL2639" s="13"/>
      <c r="AM2639" s="13"/>
      <c r="AN2639" s="13"/>
      <c r="AO2639" s="13"/>
      <c r="AP2639" s="13"/>
      <c r="AQ2639" s="13"/>
      <c r="AR2639" s="13"/>
      <c r="AS2639" s="13"/>
    </row>
    <row r="2640" ht="14.25" hidden="1" customHeight="1">
      <c r="A2640" s="13" t="s">
        <v>29</v>
      </c>
      <c r="B2640" s="13" t="s">
        <v>30</v>
      </c>
      <c r="C2640" s="18" t="s">
        <v>1674</v>
      </c>
      <c r="D2640" s="13"/>
      <c r="E2640" s="13" t="str">
        <f t="shared" si="2840"/>
        <v>SJC,909-5-6,,1</v>
      </c>
      <c r="F2640" s="13"/>
      <c r="G2640" s="13" t="s">
        <v>111</v>
      </c>
      <c r="H2640" s="13" t="s">
        <v>75</v>
      </c>
      <c r="I2640" s="13"/>
      <c r="J2640" s="13"/>
      <c r="K2640" s="15"/>
      <c r="L2640" s="15"/>
      <c r="M2640" s="16"/>
      <c r="N2640" s="16"/>
      <c r="O2640" s="17"/>
      <c r="P2640" s="17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 t="str">
        <f t="shared" si="1998"/>
        <v>NA</v>
      </c>
      <c r="AA2640" s="13"/>
      <c r="AB2640" s="13"/>
      <c r="AC2640" s="13"/>
      <c r="AD2640" s="13"/>
      <c r="AE2640" s="13"/>
      <c r="AF2640" s="13"/>
      <c r="AG2640" s="13"/>
      <c r="AH2640" s="13"/>
      <c r="AI2640" s="13"/>
      <c r="AJ2640" s="13"/>
      <c r="AK2640" s="13"/>
      <c r="AL2640" s="13"/>
      <c r="AM2640" s="13"/>
      <c r="AN2640" s="13"/>
      <c r="AO2640" s="13"/>
      <c r="AP2640" s="13"/>
      <c r="AQ2640" s="13"/>
      <c r="AR2640" s="13"/>
      <c r="AS2640" s="13"/>
    </row>
    <row r="2641" ht="14.25" hidden="1" customHeight="1">
      <c r="A2641" s="13" t="s">
        <v>29</v>
      </c>
      <c r="B2641" s="13" t="s">
        <v>30</v>
      </c>
      <c r="C2641" s="18" t="s">
        <v>1675</v>
      </c>
      <c r="D2641" s="13"/>
      <c r="E2641" s="13" t="str">
        <f t="shared" si="2840"/>
        <v>SJC,909-5-7,,1</v>
      </c>
      <c r="F2641" s="13"/>
      <c r="G2641" s="13" t="s">
        <v>111</v>
      </c>
      <c r="H2641" s="13" t="s">
        <v>75</v>
      </c>
      <c r="I2641" s="13"/>
      <c r="J2641" s="13"/>
      <c r="K2641" s="15"/>
      <c r="L2641" s="15"/>
      <c r="M2641" s="16"/>
      <c r="N2641" s="16"/>
      <c r="O2641" s="17"/>
      <c r="P2641" s="17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 t="str">
        <f t="shared" si="1998"/>
        <v>NA</v>
      </c>
      <c r="AA2641" s="13"/>
      <c r="AB2641" s="13"/>
      <c r="AC2641" s="13"/>
      <c r="AD2641" s="13"/>
      <c r="AE2641" s="13"/>
      <c r="AF2641" s="13"/>
      <c r="AG2641" s="13"/>
      <c r="AH2641" s="13"/>
      <c r="AI2641" s="13"/>
      <c r="AJ2641" s="13"/>
      <c r="AK2641" s="13"/>
      <c r="AL2641" s="13"/>
      <c r="AM2641" s="13"/>
      <c r="AN2641" s="13"/>
      <c r="AO2641" s="13"/>
      <c r="AP2641" s="13"/>
      <c r="AQ2641" s="13"/>
      <c r="AR2641" s="13"/>
      <c r="AS2641" s="13"/>
    </row>
    <row r="2642" ht="14.25" hidden="1" customHeight="1">
      <c r="A2642" s="13" t="s">
        <v>29</v>
      </c>
      <c r="B2642" s="13" t="s">
        <v>30</v>
      </c>
      <c r="C2642" s="18" t="s">
        <v>1676</v>
      </c>
      <c r="D2642" s="13"/>
      <c r="E2642" s="13" t="str">
        <f t="shared" si="2840"/>
        <v>SJC,909-5-8,,1</v>
      </c>
      <c r="F2642" s="13"/>
      <c r="G2642" s="13" t="s">
        <v>111</v>
      </c>
      <c r="H2642" s="13" t="s">
        <v>75</v>
      </c>
      <c r="I2642" s="13"/>
      <c r="J2642" s="13"/>
      <c r="K2642" s="15"/>
      <c r="L2642" s="15"/>
      <c r="M2642" s="16"/>
      <c r="N2642" s="16"/>
      <c r="O2642" s="17"/>
      <c r="P2642" s="17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 t="str">
        <f t="shared" si="1998"/>
        <v>NA</v>
      </c>
      <c r="AA2642" s="13"/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3"/>
      <c r="AM2642" s="13"/>
      <c r="AN2642" s="13"/>
      <c r="AO2642" s="13"/>
      <c r="AP2642" s="13"/>
      <c r="AQ2642" s="13"/>
      <c r="AR2642" s="13"/>
      <c r="AS2642" s="13"/>
    </row>
    <row r="2643" ht="14.25" hidden="1" customHeight="1">
      <c r="A2643" s="13" t="s">
        <v>29</v>
      </c>
      <c r="B2643" s="13" t="s">
        <v>30</v>
      </c>
      <c r="C2643" s="18" t="s">
        <v>1677</v>
      </c>
      <c r="D2643" s="13"/>
      <c r="E2643" s="13" t="str">
        <f t="shared" si="2840"/>
        <v>SJC,909-5-9,,1</v>
      </c>
      <c r="F2643" s="13"/>
      <c r="G2643" s="13" t="s">
        <v>111</v>
      </c>
      <c r="H2643" s="13" t="s">
        <v>75</v>
      </c>
      <c r="I2643" s="13"/>
      <c r="J2643" s="13"/>
      <c r="K2643" s="15"/>
      <c r="L2643" s="15"/>
      <c r="M2643" s="16"/>
      <c r="N2643" s="16"/>
      <c r="O2643" s="17"/>
      <c r="P2643" s="17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 t="str">
        <f t="shared" si="1998"/>
        <v>NA</v>
      </c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3"/>
      <c r="AM2643" s="13"/>
      <c r="AN2643" s="13"/>
      <c r="AO2643" s="13"/>
      <c r="AP2643" s="13"/>
      <c r="AQ2643" s="13"/>
      <c r="AR2643" s="13"/>
      <c r="AS2643" s="13"/>
    </row>
    <row r="2644" ht="14.25" hidden="1" customHeight="1">
      <c r="A2644" s="13" t="s">
        <v>29</v>
      </c>
      <c r="B2644" s="13" t="s">
        <v>30</v>
      </c>
      <c r="C2644" s="18" t="s">
        <v>1678</v>
      </c>
      <c r="D2644" s="13"/>
      <c r="E2644" s="13" t="str">
        <f t="shared" ref="E2644:E2704" si="2842">CONCATENATE(B2644,",",C2644,",",D2644,",",Z2644)</f>
        <v>SJC,909-6-1,,NA</v>
      </c>
      <c r="F2644" s="13"/>
      <c r="G2644" s="13" t="s">
        <v>111</v>
      </c>
      <c r="H2644" s="13" t="s">
        <v>75</v>
      </c>
      <c r="I2644" s="13"/>
      <c r="J2644" s="13"/>
      <c r="K2644" s="15"/>
      <c r="L2644" s="15"/>
      <c r="M2644" s="16"/>
      <c r="N2644" s="16"/>
      <c r="O2644" s="17"/>
      <c r="P2644" s="17"/>
      <c r="Q2644" s="13"/>
      <c r="R2644" s="13"/>
      <c r="S2644" s="13"/>
      <c r="T2644" s="13">
        <f t="shared" ref="T2644:Y2644" si="2841">IF(ISBLANK(K2644)=TRUE,0,1)</f>
        <v>0</v>
      </c>
      <c r="U2644" s="13">
        <f t="shared" si="2841"/>
        <v>0</v>
      </c>
      <c r="V2644" s="13">
        <f t="shared" si="2841"/>
        <v>0</v>
      </c>
      <c r="W2644" s="13">
        <f t="shared" si="2841"/>
        <v>0</v>
      </c>
      <c r="X2644" s="13">
        <f t="shared" si="2841"/>
        <v>0</v>
      </c>
      <c r="Y2644" s="13">
        <f t="shared" si="2841"/>
        <v>0</v>
      </c>
      <c r="Z2644" s="13" t="str">
        <f t="shared" si="1998"/>
        <v>NA</v>
      </c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3"/>
      <c r="AL2644" s="13"/>
      <c r="AM2644" s="13"/>
      <c r="AN2644" s="13"/>
      <c r="AO2644" s="13"/>
      <c r="AP2644" s="13"/>
      <c r="AQ2644" s="13"/>
      <c r="AR2644" s="13"/>
      <c r="AS2644" s="13"/>
    </row>
    <row r="2645" ht="14.25" hidden="1" customHeight="1">
      <c r="A2645" s="13" t="s">
        <v>29</v>
      </c>
      <c r="B2645" s="13" t="s">
        <v>30</v>
      </c>
      <c r="C2645" s="18" t="s">
        <v>1679</v>
      </c>
      <c r="D2645" s="13"/>
      <c r="E2645" s="13" t="str">
        <f t="shared" si="2842"/>
        <v>SJC,909-6-10,,NA</v>
      </c>
      <c r="F2645" s="13"/>
      <c r="G2645" s="13" t="s">
        <v>111</v>
      </c>
      <c r="H2645" s="13" t="s">
        <v>75</v>
      </c>
      <c r="I2645" s="13"/>
      <c r="J2645" s="13"/>
      <c r="K2645" s="15"/>
      <c r="L2645" s="15"/>
      <c r="M2645" s="16"/>
      <c r="N2645" s="16"/>
      <c r="O2645" s="17"/>
      <c r="P2645" s="17"/>
      <c r="Q2645" s="13"/>
      <c r="R2645" s="13"/>
      <c r="S2645" s="13"/>
      <c r="T2645" s="13">
        <f t="shared" ref="T2645:Y2645" si="2843">IF(ISBLANK(K2645)=TRUE,0,1)</f>
        <v>0</v>
      </c>
      <c r="U2645" s="13">
        <f t="shared" si="2843"/>
        <v>0</v>
      </c>
      <c r="V2645" s="13">
        <f t="shared" si="2843"/>
        <v>0</v>
      </c>
      <c r="W2645" s="13">
        <f t="shared" si="2843"/>
        <v>0</v>
      </c>
      <c r="X2645" s="13">
        <f t="shared" si="2843"/>
        <v>0</v>
      </c>
      <c r="Y2645" s="13">
        <f t="shared" si="2843"/>
        <v>0</v>
      </c>
      <c r="Z2645" s="13" t="str">
        <f t="shared" si="1998"/>
        <v>NA</v>
      </c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3"/>
      <c r="AL2645" s="13"/>
      <c r="AM2645" s="13"/>
      <c r="AN2645" s="13"/>
      <c r="AO2645" s="13"/>
      <c r="AP2645" s="13"/>
      <c r="AQ2645" s="13"/>
      <c r="AR2645" s="13"/>
      <c r="AS2645" s="13"/>
    </row>
    <row r="2646" ht="14.25" hidden="1" customHeight="1">
      <c r="A2646" s="13" t="s">
        <v>29</v>
      </c>
      <c r="B2646" s="13" t="s">
        <v>30</v>
      </c>
      <c r="C2646" s="18" t="s">
        <v>1680</v>
      </c>
      <c r="D2646" s="13"/>
      <c r="E2646" s="13" t="str">
        <f t="shared" si="2842"/>
        <v>SJC,909-6-11,,NA</v>
      </c>
      <c r="F2646" s="13"/>
      <c r="G2646" s="13" t="s">
        <v>111</v>
      </c>
      <c r="H2646" s="13" t="s">
        <v>75</v>
      </c>
      <c r="I2646" s="13"/>
      <c r="J2646" s="13"/>
      <c r="K2646" s="15"/>
      <c r="L2646" s="15"/>
      <c r="M2646" s="16"/>
      <c r="N2646" s="16"/>
      <c r="O2646" s="17"/>
      <c r="P2646" s="17"/>
      <c r="Q2646" s="13"/>
      <c r="R2646" s="13"/>
      <c r="S2646" s="13"/>
      <c r="T2646" s="13">
        <f t="shared" ref="T2646:Y2646" si="2844">IF(ISBLANK(K2646)=TRUE,0,1)</f>
        <v>0</v>
      </c>
      <c r="U2646" s="13">
        <f t="shared" si="2844"/>
        <v>0</v>
      </c>
      <c r="V2646" s="13">
        <f t="shared" si="2844"/>
        <v>0</v>
      </c>
      <c r="W2646" s="13">
        <f t="shared" si="2844"/>
        <v>0</v>
      </c>
      <c r="X2646" s="13">
        <f t="shared" si="2844"/>
        <v>0</v>
      </c>
      <c r="Y2646" s="13">
        <f t="shared" si="2844"/>
        <v>0</v>
      </c>
      <c r="Z2646" s="13" t="str">
        <f t="shared" si="1998"/>
        <v>NA</v>
      </c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13"/>
      <c r="AK2646" s="13"/>
      <c r="AL2646" s="13"/>
      <c r="AM2646" s="13"/>
      <c r="AN2646" s="13"/>
      <c r="AO2646" s="13"/>
      <c r="AP2646" s="13"/>
      <c r="AQ2646" s="13"/>
      <c r="AR2646" s="13"/>
      <c r="AS2646" s="13"/>
    </row>
    <row r="2647" ht="14.25" hidden="1" customHeight="1">
      <c r="A2647" s="13" t="s">
        <v>29</v>
      </c>
      <c r="B2647" s="13" t="s">
        <v>30</v>
      </c>
      <c r="C2647" s="18" t="s">
        <v>1681</v>
      </c>
      <c r="D2647" s="13"/>
      <c r="E2647" s="13" t="str">
        <f t="shared" si="2842"/>
        <v>SJC,909-6-12,,NA</v>
      </c>
      <c r="F2647" s="13"/>
      <c r="G2647" s="13" t="s">
        <v>111</v>
      </c>
      <c r="H2647" s="13" t="s">
        <v>75</v>
      </c>
      <c r="I2647" s="13"/>
      <c r="J2647" s="13"/>
      <c r="K2647" s="15"/>
      <c r="L2647" s="15"/>
      <c r="M2647" s="16"/>
      <c r="N2647" s="16"/>
      <c r="O2647" s="17"/>
      <c r="P2647" s="17"/>
      <c r="Q2647" s="13"/>
      <c r="R2647" s="13"/>
      <c r="S2647" s="13"/>
      <c r="T2647" s="13">
        <f t="shared" ref="T2647:Y2647" si="2845">IF(ISBLANK(K2647)=TRUE,0,1)</f>
        <v>0</v>
      </c>
      <c r="U2647" s="13">
        <f t="shared" si="2845"/>
        <v>0</v>
      </c>
      <c r="V2647" s="13">
        <f t="shared" si="2845"/>
        <v>0</v>
      </c>
      <c r="W2647" s="13">
        <f t="shared" si="2845"/>
        <v>0</v>
      </c>
      <c r="X2647" s="13">
        <f t="shared" si="2845"/>
        <v>0</v>
      </c>
      <c r="Y2647" s="13">
        <f t="shared" si="2845"/>
        <v>0</v>
      </c>
      <c r="Z2647" s="13" t="str">
        <f t="shared" si="1998"/>
        <v>NA</v>
      </c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  <c r="AL2647" s="13"/>
      <c r="AM2647" s="13"/>
      <c r="AN2647" s="13"/>
      <c r="AO2647" s="13"/>
      <c r="AP2647" s="13"/>
      <c r="AQ2647" s="13"/>
      <c r="AR2647" s="13"/>
      <c r="AS2647" s="13"/>
    </row>
    <row r="2648" ht="14.25" hidden="1" customHeight="1">
      <c r="A2648" s="13" t="s">
        <v>29</v>
      </c>
      <c r="B2648" s="13" t="s">
        <v>30</v>
      </c>
      <c r="C2648" s="18" t="s">
        <v>1682</v>
      </c>
      <c r="D2648" s="13"/>
      <c r="E2648" s="13" t="str">
        <f t="shared" si="2842"/>
        <v>SJC,909-6-13,,NA</v>
      </c>
      <c r="F2648" s="13"/>
      <c r="G2648" s="13" t="s">
        <v>111</v>
      </c>
      <c r="H2648" s="13" t="s">
        <v>75</v>
      </c>
      <c r="I2648" s="13"/>
      <c r="J2648" s="13"/>
      <c r="K2648" s="15"/>
      <c r="L2648" s="15"/>
      <c r="M2648" s="16"/>
      <c r="N2648" s="16"/>
      <c r="O2648" s="17"/>
      <c r="P2648" s="17"/>
      <c r="Q2648" s="13"/>
      <c r="R2648" s="13"/>
      <c r="S2648" s="13"/>
      <c r="T2648" s="13">
        <f t="shared" ref="T2648:Y2648" si="2846">IF(ISBLANK(K2648)=TRUE,0,1)</f>
        <v>0</v>
      </c>
      <c r="U2648" s="13">
        <f t="shared" si="2846"/>
        <v>0</v>
      </c>
      <c r="V2648" s="13">
        <f t="shared" si="2846"/>
        <v>0</v>
      </c>
      <c r="W2648" s="13">
        <f t="shared" si="2846"/>
        <v>0</v>
      </c>
      <c r="X2648" s="13">
        <f t="shared" si="2846"/>
        <v>0</v>
      </c>
      <c r="Y2648" s="13">
        <f t="shared" si="2846"/>
        <v>0</v>
      </c>
      <c r="Z2648" s="13" t="str">
        <f t="shared" si="1998"/>
        <v>NA</v>
      </c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13"/>
      <c r="AK2648" s="13"/>
      <c r="AL2648" s="13"/>
      <c r="AM2648" s="13"/>
      <c r="AN2648" s="13"/>
      <c r="AO2648" s="13"/>
      <c r="AP2648" s="13"/>
      <c r="AQ2648" s="13"/>
      <c r="AR2648" s="13"/>
      <c r="AS2648" s="13"/>
    </row>
    <row r="2649" ht="14.25" hidden="1" customHeight="1">
      <c r="A2649" s="13" t="s">
        <v>29</v>
      </c>
      <c r="B2649" s="13" t="s">
        <v>30</v>
      </c>
      <c r="C2649" s="18" t="s">
        <v>1683</v>
      </c>
      <c r="D2649" s="13"/>
      <c r="E2649" s="13" t="str">
        <f t="shared" si="2842"/>
        <v>SJC,909-6-14,,NA</v>
      </c>
      <c r="F2649" s="13"/>
      <c r="G2649" s="13" t="s">
        <v>111</v>
      </c>
      <c r="H2649" s="13" t="s">
        <v>75</v>
      </c>
      <c r="I2649" s="13"/>
      <c r="J2649" s="13"/>
      <c r="K2649" s="15"/>
      <c r="L2649" s="15"/>
      <c r="M2649" s="16"/>
      <c r="N2649" s="16"/>
      <c r="O2649" s="17"/>
      <c r="P2649" s="17"/>
      <c r="Q2649" s="13"/>
      <c r="R2649" s="13"/>
      <c r="S2649" s="13"/>
      <c r="T2649" s="13">
        <f t="shared" ref="T2649:Y2649" si="2847">IF(ISBLANK(K2649)=TRUE,0,1)</f>
        <v>0</v>
      </c>
      <c r="U2649" s="13">
        <f t="shared" si="2847"/>
        <v>0</v>
      </c>
      <c r="V2649" s="13">
        <f t="shared" si="2847"/>
        <v>0</v>
      </c>
      <c r="W2649" s="13">
        <f t="shared" si="2847"/>
        <v>0</v>
      </c>
      <c r="X2649" s="13">
        <f t="shared" si="2847"/>
        <v>0</v>
      </c>
      <c r="Y2649" s="13">
        <f t="shared" si="2847"/>
        <v>0</v>
      </c>
      <c r="Z2649" s="13" t="str">
        <f t="shared" si="1998"/>
        <v>NA</v>
      </c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</row>
    <row r="2650" ht="14.25" hidden="1" customHeight="1">
      <c r="A2650" s="13" t="s">
        <v>29</v>
      </c>
      <c r="B2650" s="13" t="s">
        <v>30</v>
      </c>
      <c r="C2650" s="18" t="s">
        <v>1684</v>
      </c>
      <c r="D2650" s="13"/>
      <c r="E2650" s="13" t="str">
        <f t="shared" si="2842"/>
        <v>SJC,909-6-15,,NA</v>
      </c>
      <c r="F2650" s="13"/>
      <c r="G2650" s="13" t="s">
        <v>111</v>
      </c>
      <c r="H2650" s="13" t="s">
        <v>75</v>
      </c>
      <c r="I2650" s="13"/>
      <c r="J2650" s="13"/>
      <c r="K2650" s="15"/>
      <c r="L2650" s="15"/>
      <c r="M2650" s="16"/>
      <c r="N2650" s="16"/>
      <c r="O2650" s="17"/>
      <c r="P2650" s="17"/>
      <c r="Q2650" s="13"/>
      <c r="R2650" s="13"/>
      <c r="S2650" s="13"/>
      <c r="T2650" s="13">
        <f t="shared" ref="T2650:Y2650" si="2848">IF(ISBLANK(K2650)=TRUE,0,1)</f>
        <v>0</v>
      </c>
      <c r="U2650" s="13">
        <f t="shared" si="2848"/>
        <v>0</v>
      </c>
      <c r="V2650" s="13">
        <f t="shared" si="2848"/>
        <v>0</v>
      </c>
      <c r="W2650" s="13">
        <f t="shared" si="2848"/>
        <v>0</v>
      </c>
      <c r="X2650" s="13">
        <f t="shared" si="2848"/>
        <v>0</v>
      </c>
      <c r="Y2650" s="13">
        <f t="shared" si="2848"/>
        <v>0</v>
      </c>
      <c r="Z2650" s="13" t="str">
        <f t="shared" si="1998"/>
        <v>NA</v>
      </c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/>
      <c r="AK2650" s="13"/>
      <c r="AL2650" s="13"/>
      <c r="AM2650" s="13"/>
      <c r="AN2650" s="13"/>
      <c r="AO2650" s="13"/>
      <c r="AP2650" s="13"/>
      <c r="AQ2650" s="13"/>
      <c r="AR2650" s="13"/>
      <c r="AS2650" s="13"/>
    </row>
    <row r="2651" ht="14.25" hidden="1" customHeight="1">
      <c r="A2651" s="13" t="s">
        <v>29</v>
      </c>
      <c r="B2651" s="13" t="s">
        <v>30</v>
      </c>
      <c r="C2651" s="18" t="s">
        <v>1685</v>
      </c>
      <c r="D2651" s="13"/>
      <c r="E2651" s="13" t="str">
        <f t="shared" si="2842"/>
        <v>SJC,909-6-16,,NA</v>
      </c>
      <c r="F2651" s="13"/>
      <c r="G2651" s="13" t="s">
        <v>111</v>
      </c>
      <c r="H2651" s="13" t="s">
        <v>75</v>
      </c>
      <c r="I2651" s="13"/>
      <c r="J2651" s="13"/>
      <c r="K2651" s="15"/>
      <c r="L2651" s="15"/>
      <c r="M2651" s="16"/>
      <c r="N2651" s="16"/>
      <c r="O2651" s="17"/>
      <c r="P2651" s="17"/>
      <c r="Q2651" s="13"/>
      <c r="R2651" s="13"/>
      <c r="S2651" s="13"/>
      <c r="T2651" s="13">
        <f t="shared" ref="T2651:Y2651" si="2849">IF(ISBLANK(K2651)=TRUE,0,1)</f>
        <v>0</v>
      </c>
      <c r="U2651" s="13">
        <f t="shared" si="2849"/>
        <v>0</v>
      </c>
      <c r="V2651" s="13">
        <f t="shared" si="2849"/>
        <v>0</v>
      </c>
      <c r="W2651" s="13">
        <f t="shared" si="2849"/>
        <v>0</v>
      </c>
      <c r="X2651" s="13">
        <f t="shared" si="2849"/>
        <v>0</v>
      </c>
      <c r="Y2651" s="13">
        <f t="shared" si="2849"/>
        <v>0</v>
      </c>
      <c r="Z2651" s="13" t="str">
        <f t="shared" si="1998"/>
        <v>NA</v>
      </c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13"/>
      <c r="AK2651" s="13"/>
      <c r="AL2651" s="13"/>
      <c r="AM2651" s="13"/>
      <c r="AN2651" s="13"/>
      <c r="AO2651" s="13"/>
      <c r="AP2651" s="13"/>
      <c r="AQ2651" s="13"/>
      <c r="AR2651" s="13"/>
      <c r="AS2651" s="13"/>
    </row>
    <row r="2652" ht="14.25" hidden="1" customHeight="1">
      <c r="A2652" s="13" t="s">
        <v>29</v>
      </c>
      <c r="B2652" s="13" t="s">
        <v>30</v>
      </c>
      <c r="C2652" s="18" t="s">
        <v>1686</v>
      </c>
      <c r="D2652" s="13"/>
      <c r="E2652" s="13" t="str">
        <f t="shared" si="2842"/>
        <v>SJC,909-6-17,,NA</v>
      </c>
      <c r="F2652" s="13"/>
      <c r="G2652" s="13" t="s">
        <v>111</v>
      </c>
      <c r="H2652" s="13" t="s">
        <v>75</v>
      </c>
      <c r="I2652" s="13"/>
      <c r="J2652" s="13"/>
      <c r="K2652" s="15"/>
      <c r="L2652" s="15"/>
      <c r="M2652" s="16"/>
      <c r="N2652" s="16"/>
      <c r="O2652" s="17"/>
      <c r="P2652" s="17"/>
      <c r="Q2652" s="13"/>
      <c r="R2652" s="13"/>
      <c r="S2652" s="13"/>
      <c r="T2652" s="13">
        <f t="shared" ref="T2652:Y2652" si="2850">IF(ISBLANK(K2652)=TRUE,0,1)</f>
        <v>0</v>
      </c>
      <c r="U2652" s="13">
        <f t="shared" si="2850"/>
        <v>0</v>
      </c>
      <c r="V2652" s="13">
        <f t="shared" si="2850"/>
        <v>0</v>
      </c>
      <c r="W2652" s="13">
        <f t="shared" si="2850"/>
        <v>0</v>
      </c>
      <c r="X2652" s="13">
        <f t="shared" si="2850"/>
        <v>0</v>
      </c>
      <c r="Y2652" s="13">
        <f t="shared" si="2850"/>
        <v>0</v>
      </c>
      <c r="Z2652" s="13" t="str">
        <f t="shared" si="1998"/>
        <v>NA</v>
      </c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13"/>
      <c r="AK2652" s="13"/>
      <c r="AL2652" s="13"/>
      <c r="AM2652" s="13"/>
      <c r="AN2652" s="13"/>
      <c r="AO2652" s="13"/>
      <c r="AP2652" s="13"/>
      <c r="AQ2652" s="13"/>
      <c r="AR2652" s="13"/>
      <c r="AS2652" s="13"/>
    </row>
    <row r="2653" ht="14.25" hidden="1" customHeight="1">
      <c r="A2653" s="13" t="s">
        <v>29</v>
      </c>
      <c r="B2653" s="13" t="s">
        <v>30</v>
      </c>
      <c r="C2653" s="18" t="s">
        <v>1687</v>
      </c>
      <c r="D2653" s="13"/>
      <c r="E2653" s="13" t="str">
        <f t="shared" si="2842"/>
        <v>SJC,909-6-18,,NA</v>
      </c>
      <c r="F2653" s="13"/>
      <c r="G2653" s="13" t="s">
        <v>111</v>
      </c>
      <c r="H2653" s="13" t="s">
        <v>75</v>
      </c>
      <c r="I2653" s="13"/>
      <c r="J2653" s="13"/>
      <c r="K2653" s="15"/>
      <c r="L2653" s="15"/>
      <c r="M2653" s="16"/>
      <c r="N2653" s="16"/>
      <c r="O2653" s="17"/>
      <c r="P2653" s="17"/>
      <c r="Q2653" s="13"/>
      <c r="R2653" s="13"/>
      <c r="S2653" s="13"/>
      <c r="T2653" s="13">
        <f t="shared" ref="T2653:Y2653" si="2851">IF(ISBLANK(K2653)=TRUE,0,1)</f>
        <v>0</v>
      </c>
      <c r="U2653" s="13">
        <f t="shared" si="2851"/>
        <v>0</v>
      </c>
      <c r="V2653" s="13">
        <f t="shared" si="2851"/>
        <v>0</v>
      </c>
      <c r="W2653" s="13">
        <f t="shared" si="2851"/>
        <v>0</v>
      </c>
      <c r="X2653" s="13">
        <f t="shared" si="2851"/>
        <v>0</v>
      </c>
      <c r="Y2653" s="13">
        <f t="shared" si="2851"/>
        <v>0</v>
      </c>
      <c r="Z2653" s="13" t="str">
        <f t="shared" si="1998"/>
        <v>NA</v>
      </c>
      <c r="AA2653" s="13"/>
      <c r="AB2653" s="13"/>
      <c r="AC2653" s="13"/>
      <c r="AD2653" s="13"/>
      <c r="AE2653" s="13"/>
      <c r="AF2653" s="13"/>
      <c r="AG2653" s="13"/>
      <c r="AH2653" s="13"/>
      <c r="AI2653" s="13"/>
      <c r="AJ2653" s="13"/>
      <c r="AK2653" s="13"/>
      <c r="AL2653" s="13"/>
      <c r="AM2653" s="13"/>
      <c r="AN2653" s="13"/>
      <c r="AO2653" s="13"/>
      <c r="AP2653" s="13"/>
      <c r="AQ2653" s="13"/>
      <c r="AR2653" s="13"/>
      <c r="AS2653" s="13"/>
    </row>
    <row r="2654" ht="14.25" hidden="1" customHeight="1">
      <c r="A2654" s="13" t="s">
        <v>29</v>
      </c>
      <c r="B2654" s="13" t="s">
        <v>30</v>
      </c>
      <c r="C2654" s="18" t="s">
        <v>1688</v>
      </c>
      <c r="D2654" s="13"/>
      <c r="E2654" s="13" t="str">
        <f t="shared" si="2842"/>
        <v>SJC,909-6-19,,NA</v>
      </c>
      <c r="F2654" s="13"/>
      <c r="G2654" s="13" t="s">
        <v>111</v>
      </c>
      <c r="H2654" s="13" t="s">
        <v>75</v>
      </c>
      <c r="I2654" s="13"/>
      <c r="J2654" s="13"/>
      <c r="K2654" s="15"/>
      <c r="L2654" s="15"/>
      <c r="M2654" s="16"/>
      <c r="N2654" s="16"/>
      <c r="O2654" s="17"/>
      <c r="P2654" s="17"/>
      <c r="Q2654" s="13"/>
      <c r="R2654" s="13"/>
      <c r="S2654" s="13"/>
      <c r="T2654" s="13">
        <f t="shared" ref="T2654:Y2654" si="2852">IF(ISBLANK(K2654)=TRUE,0,1)</f>
        <v>0</v>
      </c>
      <c r="U2654" s="13">
        <f t="shared" si="2852"/>
        <v>0</v>
      </c>
      <c r="V2654" s="13">
        <f t="shared" si="2852"/>
        <v>0</v>
      </c>
      <c r="W2654" s="13">
        <f t="shared" si="2852"/>
        <v>0</v>
      </c>
      <c r="X2654" s="13">
        <f t="shared" si="2852"/>
        <v>0</v>
      </c>
      <c r="Y2654" s="13">
        <f t="shared" si="2852"/>
        <v>0</v>
      </c>
      <c r="Z2654" s="13" t="str">
        <f t="shared" si="1998"/>
        <v>NA</v>
      </c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13"/>
      <c r="AK2654" s="13"/>
      <c r="AL2654" s="13"/>
      <c r="AM2654" s="13"/>
      <c r="AN2654" s="13"/>
      <c r="AO2654" s="13"/>
      <c r="AP2654" s="13"/>
      <c r="AQ2654" s="13"/>
      <c r="AR2654" s="13"/>
      <c r="AS2654" s="13"/>
    </row>
    <row r="2655" ht="14.25" hidden="1" customHeight="1">
      <c r="A2655" s="13" t="s">
        <v>29</v>
      </c>
      <c r="B2655" s="13" t="s">
        <v>30</v>
      </c>
      <c r="C2655" s="18" t="s">
        <v>1689</v>
      </c>
      <c r="D2655" s="13"/>
      <c r="E2655" s="13" t="str">
        <f t="shared" si="2842"/>
        <v>SJC,909-6-2,,NA</v>
      </c>
      <c r="F2655" s="13"/>
      <c r="G2655" s="13" t="s">
        <v>111</v>
      </c>
      <c r="H2655" s="13" t="s">
        <v>75</v>
      </c>
      <c r="I2655" s="13"/>
      <c r="J2655" s="13"/>
      <c r="K2655" s="15"/>
      <c r="L2655" s="15"/>
      <c r="M2655" s="16"/>
      <c r="N2655" s="16"/>
      <c r="O2655" s="17"/>
      <c r="P2655" s="17"/>
      <c r="Q2655" s="13"/>
      <c r="R2655" s="13"/>
      <c r="S2655" s="13"/>
      <c r="T2655" s="13">
        <f t="shared" ref="T2655:Y2655" si="2853">IF(ISBLANK(K2655)=TRUE,0,1)</f>
        <v>0</v>
      </c>
      <c r="U2655" s="13">
        <f t="shared" si="2853"/>
        <v>0</v>
      </c>
      <c r="V2655" s="13">
        <f t="shared" si="2853"/>
        <v>0</v>
      </c>
      <c r="W2655" s="13">
        <f t="shared" si="2853"/>
        <v>0</v>
      </c>
      <c r="X2655" s="13">
        <f t="shared" si="2853"/>
        <v>0</v>
      </c>
      <c r="Y2655" s="13">
        <f t="shared" si="2853"/>
        <v>0</v>
      </c>
      <c r="Z2655" s="13" t="str">
        <f t="shared" si="1998"/>
        <v>NA</v>
      </c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3"/>
      <c r="AM2655" s="13"/>
      <c r="AN2655" s="13"/>
      <c r="AO2655" s="13"/>
      <c r="AP2655" s="13"/>
      <c r="AQ2655" s="13"/>
      <c r="AR2655" s="13"/>
      <c r="AS2655" s="13"/>
    </row>
    <row r="2656" ht="14.25" hidden="1" customHeight="1">
      <c r="A2656" s="13" t="s">
        <v>29</v>
      </c>
      <c r="B2656" s="13" t="s">
        <v>30</v>
      </c>
      <c r="C2656" s="18" t="s">
        <v>1690</v>
      </c>
      <c r="D2656" s="13"/>
      <c r="E2656" s="13" t="str">
        <f t="shared" si="2842"/>
        <v>SJC,909-6-20,,NA</v>
      </c>
      <c r="F2656" s="13"/>
      <c r="G2656" s="13" t="s">
        <v>111</v>
      </c>
      <c r="H2656" s="13" t="s">
        <v>75</v>
      </c>
      <c r="I2656" s="13"/>
      <c r="J2656" s="13"/>
      <c r="K2656" s="15"/>
      <c r="L2656" s="15"/>
      <c r="M2656" s="16"/>
      <c r="N2656" s="16"/>
      <c r="O2656" s="17"/>
      <c r="P2656" s="17"/>
      <c r="Q2656" s="13"/>
      <c r="R2656" s="13"/>
      <c r="S2656" s="13"/>
      <c r="T2656" s="13">
        <f t="shared" ref="T2656:Y2656" si="2854">IF(ISBLANK(K2656)=TRUE,0,1)</f>
        <v>0</v>
      </c>
      <c r="U2656" s="13">
        <f t="shared" si="2854"/>
        <v>0</v>
      </c>
      <c r="V2656" s="13">
        <f t="shared" si="2854"/>
        <v>0</v>
      </c>
      <c r="W2656" s="13">
        <f t="shared" si="2854"/>
        <v>0</v>
      </c>
      <c r="X2656" s="13">
        <f t="shared" si="2854"/>
        <v>0</v>
      </c>
      <c r="Y2656" s="13">
        <f t="shared" si="2854"/>
        <v>0</v>
      </c>
      <c r="Z2656" s="13" t="str">
        <f t="shared" si="1998"/>
        <v>NA</v>
      </c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13"/>
      <c r="AK2656" s="13"/>
      <c r="AL2656" s="13"/>
      <c r="AM2656" s="13"/>
      <c r="AN2656" s="13"/>
      <c r="AO2656" s="13"/>
      <c r="AP2656" s="13"/>
      <c r="AQ2656" s="13"/>
      <c r="AR2656" s="13"/>
      <c r="AS2656" s="13"/>
    </row>
    <row r="2657" ht="14.25" hidden="1" customHeight="1">
      <c r="A2657" s="13" t="s">
        <v>29</v>
      </c>
      <c r="B2657" s="13" t="s">
        <v>30</v>
      </c>
      <c r="C2657" s="18" t="s">
        <v>1691</v>
      </c>
      <c r="D2657" s="13"/>
      <c r="E2657" s="13" t="str">
        <f t="shared" si="2842"/>
        <v>SJC,909-6-21,,NA</v>
      </c>
      <c r="F2657" s="13"/>
      <c r="G2657" s="13" t="s">
        <v>111</v>
      </c>
      <c r="H2657" s="13" t="s">
        <v>75</v>
      </c>
      <c r="I2657" s="13"/>
      <c r="J2657" s="13"/>
      <c r="K2657" s="15"/>
      <c r="L2657" s="15"/>
      <c r="M2657" s="16"/>
      <c r="N2657" s="16"/>
      <c r="O2657" s="17"/>
      <c r="P2657" s="17"/>
      <c r="Q2657" s="13"/>
      <c r="R2657" s="13"/>
      <c r="S2657" s="13"/>
      <c r="T2657" s="13">
        <f t="shared" ref="T2657:Y2657" si="2855">IF(ISBLANK(K2657)=TRUE,0,1)</f>
        <v>0</v>
      </c>
      <c r="U2657" s="13">
        <f t="shared" si="2855"/>
        <v>0</v>
      </c>
      <c r="V2657" s="13">
        <f t="shared" si="2855"/>
        <v>0</v>
      </c>
      <c r="W2657" s="13">
        <f t="shared" si="2855"/>
        <v>0</v>
      </c>
      <c r="X2657" s="13">
        <f t="shared" si="2855"/>
        <v>0</v>
      </c>
      <c r="Y2657" s="13">
        <f t="shared" si="2855"/>
        <v>0</v>
      </c>
      <c r="Z2657" s="13" t="str">
        <f t="shared" si="1998"/>
        <v>NA</v>
      </c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3"/>
      <c r="AM2657" s="13"/>
      <c r="AN2657" s="13"/>
      <c r="AO2657" s="13"/>
      <c r="AP2657" s="13"/>
      <c r="AQ2657" s="13"/>
      <c r="AR2657" s="13"/>
      <c r="AS2657" s="13"/>
    </row>
    <row r="2658" ht="14.25" hidden="1" customHeight="1">
      <c r="A2658" s="13" t="s">
        <v>29</v>
      </c>
      <c r="B2658" s="13" t="s">
        <v>30</v>
      </c>
      <c r="C2658" s="18" t="s">
        <v>1692</v>
      </c>
      <c r="D2658" s="13"/>
      <c r="E2658" s="13" t="str">
        <f t="shared" si="2842"/>
        <v>SJC,909-6-22,,NA</v>
      </c>
      <c r="F2658" s="13"/>
      <c r="G2658" s="13" t="s">
        <v>111</v>
      </c>
      <c r="H2658" s="13" t="s">
        <v>75</v>
      </c>
      <c r="I2658" s="13"/>
      <c r="J2658" s="13"/>
      <c r="K2658" s="15"/>
      <c r="L2658" s="15"/>
      <c r="M2658" s="16"/>
      <c r="N2658" s="16"/>
      <c r="O2658" s="17"/>
      <c r="P2658" s="17"/>
      <c r="Q2658" s="13"/>
      <c r="R2658" s="13"/>
      <c r="S2658" s="13"/>
      <c r="T2658" s="13">
        <f t="shared" ref="T2658:Y2658" si="2856">IF(ISBLANK(K2658)=TRUE,0,1)</f>
        <v>0</v>
      </c>
      <c r="U2658" s="13">
        <f t="shared" si="2856"/>
        <v>0</v>
      </c>
      <c r="V2658" s="13">
        <f t="shared" si="2856"/>
        <v>0</v>
      </c>
      <c r="W2658" s="13">
        <f t="shared" si="2856"/>
        <v>0</v>
      </c>
      <c r="X2658" s="13">
        <f t="shared" si="2856"/>
        <v>0</v>
      </c>
      <c r="Y2658" s="13">
        <f t="shared" si="2856"/>
        <v>0</v>
      </c>
      <c r="Z2658" s="13" t="str">
        <f t="shared" si="1998"/>
        <v>NA</v>
      </c>
      <c r="AA2658" s="13"/>
      <c r="AB2658" s="13"/>
      <c r="AC2658" s="13"/>
      <c r="AD2658" s="13"/>
      <c r="AE2658" s="13"/>
      <c r="AF2658" s="13"/>
      <c r="AG2658" s="13"/>
      <c r="AH2658" s="13"/>
      <c r="AI2658" s="13"/>
      <c r="AJ2658" s="13"/>
      <c r="AK2658" s="13"/>
      <c r="AL2658" s="13"/>
      <c r="AM2658" s="13"/>
      <c r="AN2658" s="13"/>
      <c r="AO2658" s="13"/>
      <c r="AP2658" s="13"/>
      <c r="AQ2658" s="13"/>
      <c r="AR2658" s="13"/>
      <c r="AS2658" s="13"/>
    </row>
    <row r="2659" ht="14.25" hidden="1" customHeight="1">
      <c r="A2659" s="13" t="s">
        <v>29</v>
      </c>
      <c r="B2659" s="13" t="s">
        <v>30</v>
      </c>
      <c r="C2659" s="18" t="s">
        <v>1693</v>
      </c>
      <c r="D2659" s="13"/>
      <c r="E2659" s="13" t="str">
        <f t="shared" si="2842"/>
        <v>SJC,909-6-23,,NA</v>
      </c>
      <c r="F2659" s="13"/>
      <c r="G2659" s="13" t="s">
        <v>111</v>
      </c>
      <c r="H2659" s="13" t="s">
        <v>75</v>
      </c>
      <c r="I2659" s="13"/>
      <c r="J2659" s="13"/>
      <c r="K2659" s="15"/>
      <c r="L2659" s="15"/>
      <c r="M2659" s="16"/>
      <c r="N2659" s="16"/>
      <c r="O2659" s="17"/>
      <c r="P2659" s="17"/>
      <c r="Q2659" s="13"/>
      <c r="R2659" s="13"/>
      <c r="S2659" s="13"/>
      <c r="T2659" s="13">
        <f t="shared" ref="T2659:Y2659" si="2857">IF(ISBLANK(K2659)=TRUE,0,1)</f>
        <v>0</v>
      </c>
      <c r="U2659" s="13">
        <f t="shared" si="2857"/>
        <v>0</v>
      </c>
      <c r="V2659" s="13">
        <f t="shared" si="2857"/>
        <v>0</v>
      </c>
      <c r="W2659" s="13">
        <f t="shared" si="2857"/>
        <v>0</v>
      </c>
      <c r="X2659" s="13">
        <f t="shared" si="2857"/>
        <v>0</v>
      </c>
      <c r="Y2659" s="13">
        <f t="shared" si="2857"/>
        <v>0</v>
      </c>
      <c r="Z2659" s="13" t="str">
        <f t="shared" si="1998"/>
        <v>NA</v>
      </c>
      <c r="AA2659" s="13"/>
      <c r="AB2659" s="13"/>
      <c r="AC2659" s="13"/>
      <c r="AD2659" s="13"/>
      <c r="AE2659" s="13"/>
      <c r="AF2659" s="13"/>
      <c r="AG2659" s="13"/>
      <c r="AH2659" s="13"/>
      <c r="AI2659" s="13"/>
      <c r="AJ2659" s="13"/>
      <c r="AK2659" s="13"/>
      <c r="AL2659" s="13"/>
      <c r="AM2659" s="13"/>
      <c r="AN2659" s="13"/>
      <c r="AO2659" s="13"/>
      <c r="AP2659" s="13"/>
      <c r="AQ2659" s="13"/>
      <c r="AR2659" s="13"/>
      <c r="AS2659" s="13"/>
    </row>
    <row r="2660" ht="14.25" hidden="1" customHeight="1">
      <c r="A2660" s="13" t="s">
        <v>29</v>
      </c>
      <c r="B2660" s="13" t="s">
        <v>30</v>
      </c>
      <c r="C2660" s="18" t="s">
        <v>1694</v>
      </c>
      <c r="D2660" s="13"/>
      <c r="E2660" s="13" t="str">
        <f t="shared" si="2842"/>
        <v>SJC,909-6-24,,NA</v>
      </c>
      <c r="F2660" s="13"/>
      <c r="G2660" s="13" t="s">
        <v>111</v>
      </c>
      <c r="H2660" s="13" t="s">
        <v>75</v>
      </c>
      <c r="I2660" s="13"/>
      <c r="J2660" s="13"/>
      <c r="K2660" s="15"/>
      <c r="L2660" s="15"/>
      <c r="M2660" s="16"/>
      <c r="N2660" s="16"/>
      <c r="O2660" s="17"/>
      <c r="P2660" s="17"/>
      <c r="Q2660" s="13"/>
      <c r="R2660" s="13"/>
      <c r="S2660" s="13"/>
      <c r="T2660" s="13">
        <f t="shared" ref="T2660:Y2660" si="2858">IF(ISBLANK(K2660)=TRUE,0,1)</f>
        <v>0</v>
      </c>
      <c r="U2660" s="13">
        <f t="shared" si="2858"/>
        <v>0</v>
      </c>
      <c r="V2660" s="13">
        <f t="shared" si="2858"/>
        <v>0</v>
      </c>
      <c r="W2660" s="13">
        <f t="shared" si="2858"/>
        <v>0</v>
      </c>
      <c r="X2660" s="13">
        <f t="shared" si="2858"/>
        <v>0</v>
      </c>
      <c r="Y2660" s="13">
        <f t="shared" si="2858"/>
        <v>0</v>
      </c>
      <c r="Z2660" s="13" t="str">
        <f t="shared" si="1998"/>
        <v>NA</v>
      </c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13"/>
      <c r="AK2660" s="13"/>
      <c r="AL2660" s="13"/>
      <c r="AM2660" s="13"/>
      <c r="AN2660" s="13"/>
      <c r="AO2660" s="13"/>
      <c r="AP2660" s="13"/>
      <c r="AQ2660" s="13"/>
      <c r="AR2660" s="13"/>
      <c r="AS2660" s="13"/>
    </row>
    <row r="2661" ht="14.25" hidden="1" customHeight="1">
      <c r="A2661" s="13" t="s">
        <v>29</v>
      </c>
      <c r="B2661" s="13" t="s">
        <v>30</v>
      </c>
      <c r="C2661" s="18" t="s">
        <v>1695</v>
      </c>
      <c r="D2661" s="13"/>
      <c r="E2661" s="13" t="str">
        <f t="shared" si="2842"/>
        <v>SJC,909-6-25,,NA</v>
      </c>
      <c r="F2661" s="13"/>
      <c r="G2661" s="13" t="s">
        <v>111</v>
      </c>
      <c r="H2661" s="13" t="s">
        <v>75</v>
      </c>
      <c r="I2661" s="13"/>
      <c r="J2661" s="13"/>
      <c r="K2661" s="15"/>
      <c r="L2661" s="15"/>
      <c r="M2661" s="16"/>
      <c r="N2661" s="16"/>
      <c r="O2661" s="17"/>
      <c r="P2661" s="17"/>
      <c r="Q2661" s="13"/>
      <c r="R2661" s="13"/>
      <c r="S2661" s="13"/>
      <c r="T2661" s="13">
        <f t="shared" ref="T2661:Y2661" si="2859">IF(ISBLANK(K2661)=TRUE,0,1)</f>
        <v>0</v>
      </c>
      <c r="U2661" s="13">
        <f t="shared" si="2859"/>
        <v>0</v>
      </c>
      <c r="V2661" s="13">
        <f t="shared" si="2859"/>
        <v>0</v>
      </c>
      <c r="W2661" s="13">
        <f t="shared" si="2859"/>
        <v>0</v>
      </c>
      <c r="X2661" s="13">
        <f t="shared" si="2859"/>
        <v>0</v>
      </c>
      <c r="Y2661" s="13">
        <f t="shared" si="2859"/>
        <v>0</v>
      </c>
      <c r="Z2661" s="13" t="str">
        <f t="shared" si="1998"/>
        <v>NA</v>
      </c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13"/>
      <c r="AK2661" s="13"/>
      <c r="AL2661" s="13"/>
      <c r="AM2661" s="13"/>
      <c r="AN2661" s="13"/>
      <c r="AO2661" s="13"/>
      <c r="AP2661" s="13"/>
      <c r="AQ2661" s="13"/>
      <c r="AR2661" s="13"/>
      <c r="AS2661" s="13"/>
    </row>
    <row r="2662" ht="14.25" hidden="1" customHeight="1">
      <c r="A2662" s="13" t="s">
        <v>29</v>
      </c>
      <c r="B2662" s="13" t="s">
        <v>30</v>
      </c>
      <c r="C2662" s="18" t="s">
        <v>1696</v>
      </c>
      <c r="D2662" s="13"/>
      <c r="E2662" s="13" t="str">
        <f t="shared" si="2842"/>
        <v>SJC,909-6-26,,NA</v>
      </c>
      <c r="F2662" s="13"/>
      <c r="G2662" s="13" t="s">
        <v>111</v>
      </c>
      <c r="H2662" s="13" t="s">
        <v>75</v>
      </c>
      <c r="I2662" s="13"/>
      <c r="J2662" s="13"/>
      <c r="K2662" s="15"/>
      <c r="L2662" s="15"/>
      <c r="M2662" s="16"/>
      <c r="N2662" s="16"/>
      <c r="O2662" s="17"/>
      <c r="P2662" s="17"/>
      <c r="Q2662" s="13"/>
      <c r="R2662" s="13"/>
      <c r="S2662" s="13"/>
      <c r="T2662" s="13">
        <f t="shared" ref="T2662:Y2662" si="2860">IF(ISBLANK(K2662)=TRUE,0,1)</f>
        <v>0</v>
      </c>
      <c r="U2662" s="13">
        <f t="shared" si="2860"/>
        <v>0</v>
      </c>
      <c r="V2662" s="13">
        <f t="shared" si="2860"/>
        <v>0</v>
      </c>
      <c r="W2662" s="13">
        <f t="shared" si="2860"/>
        <v>0</v>
      </c>
      <c r="X2662" s="13">
        <f t="shared" si="2860"/>
        <v>0</v>
      </c>
      <c r="Y2662" s="13">
        <f t="shared" si="2860"/>
        <v>0</v>
      </c>
      <c r="Z2662" s="13" t="str">
        <f t="shared" si="1998"/>
        <v>NA</v>
      </c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  <c r="AK2662" s="13"/>
      <c r="AL2662" s="13"/>
      <c r="AM2662" s="13"/>
      <c r="AN2662" s="13"/>
      <c r="AO2662" s="13"/>
      <c r="AP2662" s="13"/>
      <c r="AQ2662" s="13"/>
      <c r="AR2662" s="13"/>
      <c r="AS2662" s="13"/>
    </row>
    <row r="2663" ht="14.25" hidden="1" customHeight="1">
      <c r="A2663" s="13" t="s">
        <v>29</v>
      </c>
      <c r="B2663" s="13" t="s">
        <v>30</v>
      </c>
      <c r="C2663" s="18" t="s">
        <v>1697</v>
      </c>
      <c r="D2663" s="13"/>
      <c r="E2663" s="13" t="str">
        <f t="shared" si="2842"/>
        <v>SJC,909-6-27,,NA</v>
      </c>
      <c r="F2663" s="13"/>
      <c r="G2663" s="13" t="s">
        <v>111</v>
      </c>
      <c r="H2663" s="13" t="s">
        <v>75</v>
      </c>
      <c r="I2663" s="13"/>
      <c r="J2663" s="13"/>
      <c r="K2663" s="15"/>
      <c r="L2663" s="15"/>
      <c r="M2663" s="16"/>
      <c r="N2663" s="16"/>
      <c r="O2663" s="17"/>
      <c r="P2663" s="17"/>
      <c r="Q2663" s="13"/>
      <c r="R2663" s="13"/>
      <c r="S2663" s="13"/>
      <c r="T2663" s="13">
        <f t="shared" ref="T2663:Y2663" si="2861">IF(ISBLANK(K2663)=TRUE,0,1)</f>
        <v>0</v>
      </c>
      <c r="U2663" s="13">
        <f t="shared" si="2861"/>
        <v>0</v>
      </c>
      <c r="V2663" s="13">
        <f t="shared" si="2861"/>
        <v>0</v>
      </c>
      <c r="W2663" s="13">
        <f t="shared" si="2861"/>
        <v>0</v>
      </c>
      <c r="X2663" s="13">
        <f t="shared" si="2861"/>
        <v>0</v>
      </c>
      <c r="Y2663" s="13">
        <f t="shared" si="2861"/>
        <v>0</v>
      </c>
      <c r="Z2663" s="13" t="str">
        <f t="shared" si="1998"/>
        <v>NA</v>
      </c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3"/>
      <c r="AM2663" s="13"/>
      <c r="AN2663" s="13"/>
      <c r="AO2663" s="13"/>
      <c r="AP2663" s="13"/>
      <c r="AQ2663" s="13"/>
      <c r="AR2663" s="13"/>
      <c r="AS2663" s="13"/>
    </row>
    <row r="2664" ht="14.25" hidden="1" customHeight="1">
      <c r="A2664" s="13" t="s">
        <v>29</v>
      </c>
      <c r="B2664" s="13" t="s">
        <v>30</v>
      </c>
      <c r="C2664" s="18" t="s">
        <v>1698</v>
      </c>
      <c r="D2664" s="13"/>
      <c r="E2664" s="13" t="str">
        <f t="shared" si="2842"/>
        <v>SJC,909-6-28,,NA</v>
      </c>
      <c r="F2664" s="13"/>
      <c r="G2664" s="13" t="s">
        <v>111</v>
      </c>
      <c r="H2664" s="13" t="s">
        <v>75</v>
      </c>
      <c r="I2664" s="13"/>
      <c r="J2664" s="13"/>
      <c r="K2664" s="15"/>
      <c r="L2664" s="15"/>
      <c r="M2664" s="16"/>
      <c r="N2664" s="16"/>
      <c r="O2664" s="17"/>
      <c r="P2664" s="17"/>
      <c r="Q2664" s="13"/>
      <c r="R2664" s="13"/>
      <c r="S2664" s="13"/>
      <c r="T2664" s="13">
        <f t="shared" ref="T2664:Y2664" si="2862">IF(ISBLANK(K2664)=TRUE,0,1)</f>
        <v>0</v>
      </c>
      <c r="U2664" s="13">
        <f t="shared" si="2862"/>
        <v>0</v>
      </c>
      <c r="V2664" s="13">
        <f t="shared" si="2862"/>
        <v>0</v>
      </c>
      <c r="W2664" s="13">
        <f t="shared" si="2862"/>
        <v>0</v>
      </c>
      <c r="X2664" s="13">
        <f t="shared" si="2862"/>
        <v>0</v>
      </c>
      <c r="Y2664" s="13">
        <f t="shared" si="2862"/>
        <v>0</v>
      </c>
      <c r="Z2664" s="13" t="str">
        <f t="shared" si="1998"/>
        <v>NA</v>
      </c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</row>
    <row r="2665" ht="14.25" hidden="1" customHeight="1">
      <c r="A2665" s="13" t="s">
        <v>29</v>
      </c>
      <c r="B2665" s="13" t="s">
        <v>30</v>
      </c>
      <c r="C2665" s="18" t="s">
        <v>1699</v>
      </c>
      <c r="D2665" s="13"/>
      <c r="E2665" s="13" t="str">
        <f t="shared" si="2842"/>
        <v>SJC,909-6-29,,NA</v>
      </c>
      <c r="F2665" s="13"/>
      <c r="G2665" s="13" t="s">
        <v>111</v>
      </c>
      <c r="H2665" s="13" t="s">
        <v>75</v>
      </c>
      <c r="I2665" s="13"/>
      <c r="J2665" s="13"/>
      <c r="K2665" s="15"/>
      <c r="L2665" s="15"/>
      <c r="M2665" s="16"/>
      <c r="N2665" s="16"/>
      <c r="O2665" s="17"/>
      <c r="P2665" s="17"/>
      <c r="Q2665" s="13"/>
      <c r="R2665" s="13"/>
      <c r="S2665" s="13"/>
      <c r="T2665" s="13">
        <f t="shared" ref="T2665:Y2665" si="2863">IF(ISBLANK(K2665)=TRUE,0,1)</f>
        <v>0</v>
      </c>
      <c r="U2665" s="13">
        <f t="shared" si="2863"/>
        <v>0</v>
      </c>
      <c r="V2665" s="13">
        <f t="shared" si="2863"/>
        <v>0</v>
      </c>
      <c r="W2665" s="13">
        <f t="shared" si="2863"/>
        <v>0</v>
      </c>
      <c r="X2665" s="13">
        <f t="shared" si="2863"/>
        <v>0</v>
      </c>
      <c r="Y2665" s="13">
        <f t="shared" si="2863"/>
        <v>0</v>
      </c>
      <c r="Z2665" s="13" t="str">
        <f t="shared" si="1998"/>
        <v>NA</v>
      </c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13"/>
      <c r="AK2665" s="13"/>
      <c r="AL2665" s="13"/>
      <c r="AM2665" s="13"/>
      <c r="AN2665" s="13"/>
      <c r="AO2665" s="13"/>
      <c r="AP2665" s="13"/>
      <c r="AQ2665" s="13"/>
      <c r="AR2665" s="13"/>
      <c r="AS2665" s="13"/>
    </row>
    <row r="2666" ht="14.25" hidden="1" customHeight="1">
      <c r="A2666" s="13" t="s">
        <v>29</v>
      </c>
      <c r="B2666" s="13" t="s">
        <v>30</v>
      </c>
      <c r="C2666" s="18" t="s">
        <v>1700</v>
      </c>
      <c r="D2666" s="13"/>
      <c r="E2666" s="13" t="str">
        <f t="shared" si="2842"/>
        <v>SJC,909-6-3,,NA</v>
      </c>
      <c r="F2666" s="13"/>
      <c r="G2666" s="13" t="s">
        <v>111</v>
      </c>
      <c r="H2666" s="13" t="s">
        <v>75</v>
      </c>
      <c r="I2666" s="13"/>
      <c r="J2666" s="13"/>
      <c r="K2666" s="15"/>
      <c r="L2666" s="15"/>
      <c r="M2666" s="16"/>
      <c r="N2666" s="16"/>
      <c r="O2666" s="17"/>
      <c r="P2666" s="17"/>
      <c r="Q2666" s="13"/>
      <c r="R2666" s="13"/>
      <c r="S2666" s="13"/>
      <c r="T2666" s="13">
        <f t="shared" ref="T2666:Y2666" si="2864">IF(ISBLANK(K2666)=TRUE,0,1)</f>
        <v>0</v>
      </c>
      <c r="U2666" s="13">
        <f t="shared" si="2864"/>
        <v>0</v>
      </c>
      <c r="V2666" s="13">
        <f t="shared" si="2864"/>
        <v>0</v>
      </c>
      <c r="W2666" s="13">
        <f t="shared" si="2864"/>
        <v>0</v>
      </c>
      <c r="X2666" s="13">
        <f t="shared" si="2864"/>
        <v>0</v>
      </c>
      <c r="Y2666" s="13">
        <f t="shared" si="2864"/>
        <v>0</v>
      </c>
      <c r="Z2666" s="13" t="str">
        <f t="shared" si="1998"/>
        <v>NA</v>
      </c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13"/>
      <c r="AK2666" s="13"/>
      <c r="AL2666" s="13"/>
      <c r="AM2666" s="13"/>
      <c r="AN2666" s="13"/>
      <c r="AO2666" s="13"/>
      <c r="AP2666" s="13"/>
      <c r="AQ2666" s="13"/>
      <c r="AR2666" s="13"/>
      <c r="AS2666" s="13"/>
    </row>
    <row r="2667" ht="14.25" hidden="1" customHeight="1">
      <c r="A2667" s="13" t="s">
        <v>29</v>
      </c>
      <c r="B2667" s="13" t="s">
        <v>30</v>
      </c>
      <c r="C2667" s="18" t="s">
        <v>1701</v>
      </c>
      <c r="D2667" s="13"/>
      <c r="E2667" s="13" t="str">
        <f t="shared" si="2842"/>
        <v>SJC,909-6-30,,NA</v>
      </c>
      <c r="F2667" s="13"/>
      <c r="G2667" s="13" t="s">
        <v>111</v>
      </c>
      <c r="H2667" s="13" t="s">
        <v>75</v>
      </c>
      <c r="I2667" s="13"/>
      <c r="J2667" s="13"/>
      <c r="K2667" s="15"/>
      <c r="L2667" s="15"/>
      <c r="M2667" s="16"/>
      <c r="N2667" s="16"/>
      <c r="O2667" s="17"/>
      <c r="P2667" s="17"/>
      <c r="Q2667" s="13"/>
      <c r="R2667" s="13"/>
      <c r="S2667" s="13"/>
      <c r="T2667" s="13">
        <f t="shared" ref="T2667:Y2667" si="2865">IF(ISBLANK(K2667)=TRUE,0,1)</f>
        <v>0</v>
      </c>
      <c r="U2667" s="13">
        <f t="shared" si="2865"/>
        <v>0</v>
      </c>
      <c r="V2667" s="13">
        <f t="shared" si="2865"/>
        <v>0</v>
      </c>
      <c r="W2667" s="13">
        <f t="shared" si="2865"/>
        <v>0</v>
      </c>
      <c r="X2667" s="13">
        <f t="shared" si="2865"/>
        <v>0</v>
      </c>
      <c r="Y2667" s="13">
        <f t="shared" si="2865"/>
        <v>0</v>
      </c>
      <c r="Z2667" s="13" t="str">
        <f t="shared" si="1998"/>
        <v>NA</v>
      </c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3"/>
      <c r="AM2667" s="13"/>
      <c r="AN2667" s="13"/>
      <c r="AO2667" s="13"/>
      <c r="AP2667" s="13"/>
      <c r="AQ2667" s="13"/>
      <c r="AR2667" s="13"/>
      <c r="AS2667" s="13"/>
    </row>
    <row r="2668" ht="14.25" hidden="1" customHeight="1">
      <c r="A2668" s="13" t="s">
        <v>29</v>
      </c>
      <c r="B2668" s="13" t="s">
        <v>30</v>
      </c>
      <c r="C2668" s="18" t="s">
        <v>1702</v>
      </c>
      <c r="D2668" s="13"/>
      <c r="E2668" s="13" t="str">
        <f t="shared" si="2842"/>
        <v>SJC,909-6-31,,NA</v>
      </c>
      <c r="F2668" s="13"/>
      <c r="G2668" s="13" t="s">
        <v>111</v>
      </c>
      <c r="H2668" s="13" t="s">
        <v>75</v>
      </c>
      <c r="I2668" s="13"/>
      <c r="J2668" s="13"/>
      <c r="K2668" s="15"/>
      <c r="L2668" s="15"/>
      <c r="M2668" s="16"/>
      <c r="N2668" s="16"/>
      <c r="O2668" s="17"/>
      <c r="P2668" s="17"/>
      <c r="Q2668" s="13"/>
      <c r="R2668" s="13"/>
      <c r="S2668" s="13"/>
      <c r="T2668" s="13">
        <f t="shared" ref="T2668:Y2668" si="2866">IF(ISBLANK(K2668)=TRUE,0,1)</f>
        <v>0</v>
      </c>
      <c r="U2668" s="13">
        <f t="shared" si="2866"/>
        <v>0</v>
      </c>
      <c r="V2668" s="13">
        <f t="shared" si="2866"/>
        <v>0</v>
      </c>
      <c r="W2668" s="13">
        <f t="shared" si="2866"/>
        <v>0</v>
      </c>
      <c r="X2668" s="13">
        <f t="shared" si="2866"/>
        <v>0</v>
      </c>
      <c r="Y2668" s="13">
        <f t="shared" si="2866"/>
        <v>0</v>
      </c>
      <c r="Z2668" s="13" t="str">
        <f t="shared" si="1998"/>
        <v>NA</v>
      </c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/>
      <c r="AK2668" s="13"/>
      <c r="AL2668" s="13"/>
      <c r="AM2668" s="13"/>
      <c r="AN2668" s="13"/>
      <c r="AO2668" s="13"/>
      <c r="AP2668" s="13"/>
      <c r="AQ2668" s="13"/>
      <c r="AR2668" s="13"/>
      <c r="AS2668" s="13"/>
    </row>
    <row r="2669" ht="14.25" hidden="1" customHeight="1">
      <c r="A2669" s="13" t="s">
        <v>29</v>
      </c>
      <c r="B2669" s="13" t="s">
        <v>30</v>
      </c>
      <c r="C2669" s="18" t="s">
        <v>1703</v>
      </c>
      <c r="D2669" s="13"/>
      <c r="E2669" s="13" t="str">
        <f t="shared" si="2842"/>
        <v>SJC,909-6-32,,NA</v>
      </c>
      <c r="F2669" s="13"/>
      <c r="G2669" s="13" t="s">
        <v>111</v>
      </c>
      <c r="H2669" s="13" t="s">
        <v>75</v>
      </c>
      <c r="I2669" s="13"/>
      <c r="J2669" s="13"/>
      <c r="K2669" s="15"/>
      <c r="L2669" s="15"/>
      <c r="M2669" s="16"/>
      <c r="N2669" s="16"/>
      <c r="O2669" s="17"/>
      <c r="P2669" s="17"/>
      <c r="Q2669" s="13"/>
      <c r="R2669" s="13"/>
      <c r="S2669" s="13"/>
      <c r="T2669" s="13">
        <f t="shared" ref="T2669:Y2669" si="2867">IF(ISBLANK(K2669)=TRUE,0,1)</f>
        <v>0</v>
      </c>
      <c r="U2669" s="13">
        <f t="shared" si="2867"/>
        <v>0</v>
      </c>
      <c r="V2669" s="13">
        <f t="shared" si="2867"/>
        <v>0</v>
      </c>
      <c r="W2669" s="13">
        <f t="shared" si="2867"/>
        <v>0</v>
      </c>
      <c r="X2669" s="13">
        <f t="shared" si="2867"/>
        <v>0</v>
      </c>
      <c r="Y2669" s="13">
        <f t="shared" si="2867"/>
        <v>0</v>
      </c>
      <c r="Z2669" s="13" t="str">
        <f t="shared" si="1998"/>
        <v>NA</v>
      </c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/>
      <c r="AL2669" s="13"/>
      <c r="AM2669" s="13"/>
      <c r="AN2669" s="13"/>
      <c r="AO2669" s="13"/>
      <c r="AP2669" s="13"/>
      <c r="AQ2669" s="13"/>
      <c r="AR2669" s="13"/>
      <c r="AS2669" s="13"/>
    </row>
    <row r="2670" ht="14.25" hidden="1" customHeight="1">
      <c r="A2670" s="13" t="s">
        <v>29</v>
      </c>
      <c r="B2670" s="13" t="s">
        <v>30</v>
      </c>
      <c r="C2670" s="18" t="s">
        <v>1704</v>
      </c>
      <c r="D2670" s="13"/>
      <c r="E2670" s="13" t="str">
        <f t="shared" si="2842"/>
        <v>SJC,909-6-33,,NA</v>
      </c>
      <c r="F2670" s="13"/>
      <c r="G2670" s="13" t="s">
        <v>111</v>
      </c>
      <c r="H2670" s="13" t="s">
        <v>75</v>
      </c>
      <c r="I2670" s="13"/>
      <c r="J2670" s="13"/>
      <c r="K2670" s="15"/>
      <c r="L2670" s="15"/>
      <c r="M2670" s="16"/>
      <c r="N2670" s="16"/>
      <c r="O2670" s="17"/>
      <c r="P2670" s="17"/>
      <c r="Q2670" s="13"/>
      <c r="R2670" s="13"/>
      <c r="S2670" s="13"/>
      <c r="T2670" s="13">
        <f t="shared" ref="T2670:Y2670" si="2868">IF(ISBLANK(K2670)=TRUE,0,1)</f>
        <v>0</v>
      </c>
      <c r="U2670" s="13">
        <f t="shared" si="2868"/>
        <v>0</v>
      </c>
      <c r="V2670" s="13">
        <f t="shared" si="2868"/>
        <v>0</v>
      </c>
      <c r="W2670" s="13">
        <f t="shared" si="2868"/>
        <v>0</v>
      </c>
      <c r="X2670" s="13">
        <f t="shared" si="2868"/>
        <v>0</v>
      </c>
      <c r="Y2670" s="13">
        <f t="shared" si="2868"/>
        <v>0</v>
      </c>
      <c r="Z2670" s="13" t="str">
        <f t="shared" si="1998"/>
        <v>NA</v>
      </c>
      <c r="AA2670" s="13"/>
      <c r="AB2670" s="13"/>
      <c r="AC2670" s="13"/>
      <c r="AD2670" s="13"/>
      <c r="AE2670" s="13"/>
      <c r="AF2670" s="13"/>
      <c r="AG2670" s="13"/>
      <c r="AH2670" s="13"/>
      <c r="AI2670" s="13"/>
      <c r="AJ2670" s="13"/>
      <c r="AK2670" s="13"/>
      <c r="AL2670" s="13"/>
      <c r="AM2670" s="13"/>
      <c r="AN2670" s="13"/>
      <c r="AO2670" s="13"/>
      <c r="AP2670" s="13"/>
      <c r="AQ2670" s="13"/>
      <c r="AR2670" s="13"/>
      <c r="AS2670" s="13"/>
    </row>
    <row r="2671" ht="14.25" hidden="1" customHeight="1">
      <c r="A2671" s="13" t="s">
        <v>29</v>
      </c>
      <c r="B2671" s="13" t="s">
        <v>30</v>
      </c>
      <c r="C2671" s="18" t="s">
        <v>1705</v>
      </c>
      <c r="D2671" s="13"/>
      <c r="E2671" s="13" t="str">
        <f t="shared" si="2842"/>
        <v>SJC,909-6-34,,NA</v>
      </c>
      <c r="F2671" s="13"/>
      <c r="G2671" s="13" t="s">
        <v>111</v>
      </c>
      <c r="H2671" s="13" t="s">
        <v>75</v>
      </c>
      <c r="I2671" s="13"/>
      <c r="J2671" s="13"/>
      <c r="K2671" s="15"/>
      <c r="L2671" s="15"/>
      <c r="M2671" s="16"/>
      <c r="N2671" s="16"/>
      <c r="O2671" s="17"/>
      <c r="P2671" s="17"/>
      <c r="Q2671" s="13"/>
      <c r="R2671" s="13"/>
      <c r="S2671" s="13"/>
      <c r="T2671" s="13">
        <f t="shared" ref="T2671:Y2671" si="2869">IF(ISBLANK(K2671)=TRUE,0,1)</f>
        <v>0</v>
      </c>
      <c r="U2671" s="13">
        <f t="shared" si="2869"/>
        <v>0</v>
      </c>
      <c r="V2671" s="13">
        <f t="shared" si="2869"/>
        <v>0</v>
      </c>
      <c r="W2671" s="13">
        <f t="shared" si="2869"/>
        <v>0</v>
      </c>
      <c r="X2671" s="13">
        <f t="shared" si="2869"/>
        <v>0</v>
      </c>
      <c r="Y2671" s="13">
        <f t="shared" si="2869"/>
        <v>0</v>
      </c>
      <c r="Z2671" s="13" t="str">
        <f t="shared" si="1998"/>
        <v>NA</v>
      </c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13"/>
      <c r="AK2671" s="13"/>
      <c r="AL2671" s="13"/>
      <c r="AM2671" s="13"/>
      <c r="AN2671" s="13"/>
      <c r="AO2671" s="13"/>
      <c r="AP2671" s="13"/>
      <c r="AQ2671" s="13"/>
      <c r="AR2671" s="13"/>
      <c r="AS2671" s="13"/>
    </row>
    <row r="2672" ht="14.25" hidden="1" customHeight="1">
      <c r="A2672" s="13" t="s">
        <v>29</v>
      </c>
      <c r="B2672" s="13" t="s">
        <v>30</v>
      </c>
      <c r="C2672" s="18" t="s">
        <v>1706</v>
      </c>
      <c r="D2672" s="13"/>
      <c r="E2672" s="13" t="str">
        <f t="shared" si="2842"/>
        <v>SJC,909-6-35,,NA</v>
      </c>
      <c r="F2672" s="13"/>
      <c r="G2672" s="13" t="s">
        <v>111</v>
      </c>
      <c r="H2672" s="13" t="s">
        <v>75</v>
      </c>
      <c r="I2672" s="13"/>
      <c r="J2672" s="13"/>
      <c r="K2672" s="15"/>
      <c r="L2672" s="15"/>
      <c r="M2672" s="16"/>
      <c r="N2672" s="16"/>
      <c r="O2672" s="17"/>
      <c r="P2672" s="17"/>
      <c r="Q2672" s="13"/>
      <c r="R2672" s="13"/>
      <c r="S2672" s="13"/>
      <c r="T2672" s="13">
        <f t="shared" ref="T2672:Y2672" si="2870">IF(ISBLANK(K2672)=TRUE,0,1)</f>
        <v>0</v>
      </c>
      <c r="U2672" s="13">
        <f t="shared" si="2870"/>
        <v>0</v>
      </c>
      <c r="V2672" s="13">
        <f t="shared" si="2870"/>
        <v>0</v>
      </c>
      <c r="W2672" s="13">
        <f t="shared" si="2870"/>
        <v>0</v>
      </c>
      <c r="X2672" s="13">
        <f t="shared" si="2870"/>
        <v>0</v>
      </c>
      <c r="Y2672" s="13">
        <f t="shared" si="2870"/>
        <v>0</v>
      </c>
      <c r="Z2672" s="13" t="str">
        <f t="shared" si="1998"/>
        <v>NA</v>
      </c>
      <c r="AA2672" s="13"/>
      <c r="AB2672" s="13"/>
      <c r="AC2672" s="13"/>
      <c r="AD2672" s="13"/>
      <c r="AE2672" s="13"/>
      <c r="AF2672" s="13"/>
      <c r="AG2672" s="13"/>
      <c r="AH2672" s="13"/>
      <c r="AI2672" s="13"/>
      <c r="AJ2672" s="13"/>
      <c r="AK2672" s="13"/>
      <c r="AL2672" s="13"/>
      <c r="AM2672" s="13"/>
      <c r="AN2672" s="13"/>
      <c r="AO2672" s="13"/>
      <c r="AP2672" s="13"/>
      <c r="AQ2672" s="13"/>
      <c r="AR2672" s="13"/>
      <c r="AS2672" s="13"/>
    </row>
    <row r="2673" ht="14.25" hidden="1" customHeight="1">
      <c r="A2673" s="13" t="s">
        <v>29</v>
      </c>
      <c r="B2673" s="13" t="s">
        <v>30</v>
      </c>
      <c r="C2673" s="18" t="s">
        <v>1707</v>
      </c>
      <c r="D2673" s="13"/>
      <c r="E2673" s="13" t="str">
        <f t="shared" si="2842"/>
        <v>SJC,909-6-36,,NA</v>
      </c>
      <c r="F2673" s="13"/>
      <c r="G2673" s="13" t="s">
        <v>111</v>
      </c>
      <c r="H2673" s="13" t="s">
        <v>75</v>
      </c>
      <c r="I2673" s="13"/>
      <c r="J2673" s="13"/>
      <c r="K2673" s="15"/>
      <c r="L2673" s="15"/>
      <c r="M2673" s="16"/>
      <c r="N2673" s="16"/>
      <c r="O2673" s="17"/>
      <c r="P2673" s="17"/>
      <c r="Q2673" s="13"/>
      <c r="R2673" s="13"/>
      <c r="S2673" s="13"/>
      <c r="T2673" s="13">
        <f t="shared" ref="T2673:Y2673" si="2871">IF(ISBLANK(K2673)=TRUE,0,1)</f>
        <v>0</v>
      </c>
      <c r="U2673" s="13">
        <f t="shared" si="2871"/>
        <v>0</v>
      </c>
      <c r="V2673" s="13">
        <f t="shared" si="2871"/>
        <v>0</v>
      </c>
      <c r="W2673" s="13">
        <f t="shared" si="2871"/>
        <v>0</v>
      </c>
      <c r="X2673" s="13">
        <f t="shared" si="2871"/>
        <v>0</v>
      </c>
      <c r="Y2673" s="13">
        <f t="shared" si="2871"/>
        <v>0</v>
      </c>
      <c r="Z2673" s="13" t="str">
        <f t="shared" si="1998"/>
        <v>NA</v>
      </c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13"/>
      <c r="AK2673" s="13"/>
      <c r="AL2673" s="13"/>
      <c r="AM2673" s="13"/>
      <c r="AN2673" s="13"/>
      <c r="AO2673" s="13"/>
      <c r="AP2673" s="13"/>
      <c r="AQ2673" s="13"/>
      <c r="AR2673" s="13"/>
      <c r="AS2673" s="13"/>
    </row>
    <row r="2674" ht="14.25" hidden="1" customHeight="1">
      <c r="A2674" s="13" t="s">
        <v>29</v>
      </c>
      <c r="B2674" s="13" t="s">
        <v>30</v>
      </c>
      <c r="C2674" s="18" t="s">
        <v>1708</v>
      </c>
      <c r="D2674" s="13"/>
      <c r="E2674" s="13" t="str">
        <f t="shared" si="2842"/>
        <v>SJC,909-6-37,,NA</v>
      </c>
      <c r="F2674" s="13"/>
      <c r="G2674" s="13" t="s">
        <v>111</v>
      </c>
      <c r="H2674" s="13" t="s">
        <v>75</v>
      </c>
      <c r="I2674" s="13"/>
      <c r="J2674" s="13"/>
      <c r="K2674" s="15"/>
      <c r="L2674" s="15"/>
      <c r="M2674" s="16"/>
      <c r="N2674" s="16"/>
      <c r="O2674" s="17"/>
      <c r="P2674" s="17"/>
      <c r="Q2674" s="13"/>
      <c r="R2674" s="13"/>
      <c r="S2674" s="13"/>
      <c r="T2674" s="13">
        <f t="shared" ref="T2674:Y2674" si="2872">IF(ISBLANK(K2674)=TRUE,0,1)</f>
        <v>0</v>
      </c>
      <c r="U2674" s="13">
        <f t="shared" si="2872"/>
        <v>0</v>
      </c>
      <c r="V2674" s="13">
        <f t="shared" si="2872"/>
        <v>0</v>
      </c>
      <c r="W2674" s="13">
        <f t="shared" si="2872"/>
        <v>0</v>
      </c>
      <c r="X2674" s="13">
        <f t="shared" si="2872"/>
        <v>0</v>
      </c>
      <c r="Y2674" s="13">
        <f t="shared" si="2872"/>
        <v>0</v>
      </c>
      <c r="Z2674" s="13" t="str">
        <f t="shared" si="1998"/>
        <v>NA</v>
      </c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13"/>
      <c r="AK2674" s="13"/>
      <c r="AL2674" s="13"/>
      <c r="AM2674" s="13"/>
      <c r="AN2674" s="13"/>
      <c r="AO2674" s="13"/>
      <c r="AP2674" s="13"/>
      <c r="AQ2674" s="13"/>
      <c r="AR2674" s="13"/>
      <c r="AS2674" s="13"/>
    </row>
    <row r="2675" ht="14.25" hidden="1" customHeight="1">
      <c r="A2675" s="13" t="s">
        <v>29</v>
      </c>
      <c r="B2675" s="13" t="s">
        <v>30</v>
      </c>
      <c r="C2675" s="18" t="s">
        <v>1709</v>
      </c>
      <c r="D2675" s="13"/>
      <c r="E2675" s="13" t="str">
        <f t="shared" si="2842"/>
        <v>SJC,909-6-38,,NA</v>
      </c>
      <c r="F2675" s="13"/>
      <c r="G2675" s="13" t="s">
        <v>111</v>
      </c>
      <c r="H2675" s="13" t="s">
        <v>75</v>
      </c>
      <c r="I2675" s="13"/>
      <c r="J2675" s="13"/>
      <c r="K2675" s="15"/>
      <c r="L2675" s="15"/>
      <c r="M2675" s="16"/>
      <c r="N2675" s="16"/>
      <c r="O2675" s="17"/>
      <c r="P2675" s="17"/>
      <c r="Q2675" s="13"/>
      <c r="R2675" s="13"/>
      <c r="S2675" s="13"/>
      <c r="T2675" s="13">
        <f t="shared" ref="T2675:Y2675" si="2873">IF(ISBLANK(K2675)=TRUE,0,1)</f>
        <v>0</v>
      </c>
      <c r="U2675" s="13">
        <f t="shared" si="2873"/>
        <v>0</v>
      </c>
      <c r="V2675" s="13">
        <f t="shared" si="2873"/>
        <v>0</v>
      </c>
      <c r="W2675" s="13">
        <f t="shared" si="2873"/>
        <v>0</v>
      </c>
      <c r="X2675" s="13">
        <f t="shared" si="2873"/>
        <v>0</v>
      </c>
      <c r="Y2675" s="13">
        <f t="shared" si="2873"/>
        <v>0</v>
      </c>
      <c r="Z2675" s="13" t="str">
        <f t="shared" si="1998"/>
        <v>NA</v>
      </c>
      <c r="AA2675" s="13"/>
      <c r="AB2675" s="13"/>
      <c r="AC2675" s="13"/>
      <c r="AD2675" s="13"/>
      <c r="AE2675" s="13"/>
      <c r="AF2675" s="13"/>
      <c r="AG2675" s="13"/>
      <c r="AH2675" s="13"/>
      <c r="AI2675" s="13"/>
      <c r="AJ2675" s="13"/>
      <c r="AK2675" s="13"/>
      <c r="AL2675" s="13"/>
      <c r="AM2675" s="13"/>
      <c r="AN2675" s="13"/>
      <c r="AO2675" s="13"/>
      <c r="AP2675" s="13"/>
      <c r="AQ2675" s="13"/>
      <c r="AR2675" s="13"/>
      <c r="AS2675" s="13"/>
    </row>
    <row r="2676" ht="14.25" hidden="1" customHeight="1">
      <c r="A2676" s="13" t="s">
        <v>29</v>
      </c>
      <c r="B2676" s="13" t="s">
        <v>30</v>
      </c>
      <c r="C2676" s="18" t="s">
        <v>1710</v>
      </c>
      <c r="D2676" s="13"/>
      <c r="E2676" s="13" t="str">
        <f t="shared" si="2842"/>
        <v>SJC,909-6-39,,NA</v>
      </c>
      <c r="F2676" s="13"/>
      <c r="G2676" s="13" t="s">
        <v>111</v>
      </c>
      <c r="H2676" s="13" t="s">
        <v>75</v>
      </c>
      <c r="I2676" s="13"/>
      <c r="J2676" s="13"/>
      <c r="K2676" s="15"/>
      <c r="L2676" s="15"/>
      <c r="M2676" s="16"/>
      <c r="N2676" s="16"/>
      <c r="O2676" s="17"/>
      <c r="P2676" s="17"/>
      <c r="Q2676" s="13"/>
      <c r="R2676" s="13"/>
      <c r="S2676" s="13"/>
      <c r="T2676" s="13">
        <f t="shared" ref="T2676:Y2676" si="2874">IF(ISBLANK(K2676)=TRUE,0,1)</f>
        <v>0</v>
      </c>
      <c r="U2676" s="13">
        <f t="shared" si="2874"/>
        <v>0</v>
      </c>
      <c r="V2676" s="13">
        <f t="shared" si="2874"/>
        <v>0</v>
      </c>
      <c r="W2676" s="13">
        <f t="shared" si="2874"/>
        <v>0</v>
      </c>
      <c r="X2676" s="13">
        <f t="shared" si="2874"/>
        <v>0</v>
      </c>
      <c r="Y2676" s="13">
        <f t="shared" si="2874"/>
        <v>0</v>
      </c>
      <c r="Z2676" s="13" t="str">
        <f t="shared" si="1998"/>
        <v>NA</v>
      </c>
      <c r="AA2676" s="13"/>
      <c r="AB2676" s="13"/>
      <c r="AC2676" s="13"/>
      <c r="AD2676" s="13"/>
      <c r="AE2676" s="13"/>
      <c r="AF2676" s="13"/>
      <c r="AG2676" s="13"/>
      <c r="AH2676" s="13"/>
      <c r="AI2676" s="13"/>
      <c r="AJ2676" s="13"/>
      <c r="AK2676" s="13"/>
      <c r="AL2676" s="13"/>
      <c r="AM2676" s="13"/>
      <c r="AN2676" s="13"/>
      <c r="AO2676" s="13"/>
      <c r="AP2676" s="13"/>
      <c r="AQ2676" s="13"/>
      <c r="AR2676" s="13"/>
      <c r="AS2676" s="13"/>
    </row>
    <row r="2677" ht="14.25" hidden="1" customHeight="1">
      <c r="A2677" s="13" t="s">
        <v>29</v>
      </c>
      <c r="B2677" s="13" t="s">
        <v>30</v>
      </c>
      <c r="C2677" s="18" t="s">
        <v>1711</v>
      </c>
      <c r="D2677" s="13"/>
      <c r="E2677" s="13" t="str">
        <f t="shared" si="2842"/>
        <v>SJC,909-6-4,,NA</v>
      </c>
      <c r="F2677" s="13"/>
      <c r="G2677" s="13" t="s">
        <v>111</v>
      </c>
      <c r="H2677" s="13" t="s">
        <v>75</v>
      </c>
      <c r="I2677" s="13"/>
      <c r="J2677" s="13"/>
      <c r="K2677" s="15"/>
      <c r="L2677" s="15"/>
      <c r="M2677" s="16"/>
      <c r="N2677" s="16"/>
      <c r="O2677" s="17"/>
      <c r="P2677" s="17"/>
      <c r="Q2677" s="13"/>
      <c r="R2677" s="13"/>
      <c r="S2677" s="13"/>
      <c r="T2677" s="13">
        <f t="shared" ref="T2677:Y2677" si="2875">IF(ISBLANK(K2677)=TRUE,0,1)</f>
        <v>0</v>
      </c>
      <c r="U2677" s="13">
        <f t="shared" si="2875"/>
        <v>0</v>
      </c>
      <c r="V2677" s="13">
        <f t="shared" si="2875"/>
        <v>0</v>
      </c>
      <c r="W2677" s="13">
        <f t="shared" si="2875"/>
        <v>0</v>
      </c>
      <c r="X2677" s="13">
        <f t="shared" si="2875"/>
        <v>0</v>
      </c>
      <c r="Y2677" s="13">
        <f t="shared" si="2875"/>
        <v>0</v>
      </c>
      <c r="Z2677" s="13" t="str">
        <f t="shared" si="1998"/>
        <v>NA</v>
      </c>
      <c r="AA2677" s="13"/>
      <c r="AB2677" s="13"/>
      <c r="AC2677" s="13"/>
      <c r="AD2677" s="13"/>
      <c r="AE2677" s="13"/>
      <c r="AF2677" s="13"/>
      <c r="AG2677" s="13"/>
      <c r="AH2677" s="13"/>
      <c r="AI2677" s="13"/>
      <c r="AJ2677" s="13"/>
      <c r="AK2677" s="13"/>
      <c r="AL2677" s="13"/>
      <c r="AM2677" s="13"/>
      <c r="AN2677" s="13"/>
      <c r="AO2677" s="13"/>
      <c r="AP2677" s="13"/>
      <c r="AQ2677" s="13"/>
      <c r="AR2677" s="13"/>
      <c r="AS2677" s="13"/>
    </row>
    <row r="2678" ht="14.25" hidden="1" customHeight="1">
      <c r="A2678" s="13" t="s">
        <v>29</v>
      </c>
      <c r="B2678" s="13" t="s">
        <v>30</v>
      </c>
      <c r="C2678" s="18" t="s">
        <v>1712</v>
      </c>
      <c r="D2678" s="13"/>
      <c r="E2678" s="13" t="str">
        <f t="shared" si="2842"/>
        <v>SJC,909-6-40,,NA</v>
      </c>
      <c r="F2678" s="13"/>
      <c r="G2678" s="13" t="s">
        <v>111</v>
      </c>
      <c r="H2678" s="13" t="s">
        <v>75</v>
      </c>
      <c r="I2678" s="13"/>
      <c r="J2678" s="13"/>
      <c r="K2678" s="15"/>
      <c r="L2678" s="15"/>
      <c r="M2678" s="16"/>
      <c r="N2678" s="16"/>
      <c r="O2678" s="17"/>
      <c r="P2678" s="17"/>
      <c r="Q2678" s="13"/>
      <c r="R2678" s="13"/>
      <c r="S2678" s="13"/>
      <c r="T2678" s="13">
        <f t="shared" ref="T2678:Y2678" si="2876">IF(ISBLANK(K2678)=TRUE,0,1)</f>
        <v>0</v>
      </c>
      <c r="U2678" s="13">
        <f t="shared" si="2876"/>
        <v>0</v>
      </c>
      <c r="V2678" s="13">
        <f t="shared" si="2876"/>
        <v>0</v>
      </c>
      <c r="W2678" s="13">
        <f t="shared" si="2876"/>
        <v>0</v>
      </c>
      <c r="X2678" s="13">
        <f t="shared" si="2876"/>
        <v>0</v>
      </c>
      <c r="Y2678" s="13">
        <f t="shared" si="2876"/>
        <v>0</v>
      </c>
      <c r="Z2678" s="13" t="str">
        <f t="shared" si="1998"/>
        <v>NA</v>
      </c>
      <c r="AA2678" s="13"/>
      <c r="AB2678" s="13"/>
      <c r="AC2678" s="13"/>
      <c r="AD2678" s="13"/>
      <c r="AE2678" s="13"/>
      <c r="AF2678" s="13"/>
      <c r="AG2678" s="13"/>
      <c r="AH2678" s="13"/>
      <c r="AI2678" s="13"/>
      <c r="AJ2678" s="13"/>
      <c r="AK2678" s="13"/>
      <c r="AL2678" s="13"/>
      <c r="AM2678" s="13"/>
      <c r="AN2678" s="13"/>
      <c r="AO2678" s="13"/>
      <c r="AP2678" s="13"/>
      <c r="AQ2678" s="13"/>
      <c r="AR2678" s="13"/>
      <c r="AS2678" s="13"/>
    </row>
    <row r="2679" ht="14.25" hidden="1" customHeight="1">
      <c r="A2679" s="13" t="s">
        <v>29</v>
      </c>
      <c r="B2679" s="13" t="s">
        <v>30</v>
      </c>
      <c r="C2679" s="18" t="s">
        <v>1713</v>
      </c>
      <c r="D2679" s="13"/>
      <c r="E2679" s="13" t="str">
        <f t="shared" si="2842"/>
        <v>SJC,909-6-41,,NA</v>
      </c>
      <c r="F2679" s="13"/>
      <c r="G2679" s="13" t="s">
        <v>111</v>
      </c>
      <c r="H2679" s="13" t="s">
        <v>75</v>
      </c>
      <c r="I2679" s="13"/>
      <c r="J2679" s="13"/>
      <c r="K2679" s="15"/>
      <c r="L2679" s="15"/>
      <c r="M2679" s="16"/>
      <c r="N2679" s="16"/>
      <c r="O2679" s="17"/>
      <c r="P2679" s="17"/>
      <c r="Q2679" s="13"/>
      <c r="R2679" s="13"/>
      <c r="S2679" s="13"/>
      <c r="T2679" s="13">
        <f t="shared" ref="T2679:Y2679" si="2877">IF(ISBLANK(K2679)=TRUE,0,1)</f>
        <v>0</v>
      </c>
      <c r="U2679" s="13">
        <f t="shared" si="2877"/>
        <v>0</v>
      </c>
      <c r="V2679" s="13">
        <f t="shared" si="2877"/>
        <v>0</v>
      </c>
      <c r="W2679" s="13">
        <f t="shared" si="2877"/>
        <v>0</v>
      </c>
      <c r="X2679" s="13">
        <f t="shared" si="2877"/>
        <v>0</v>
      </c>
      <c r="Y2679" s="13">
        <f t="shared" si="2877"/>
        <v>0</v>
      </c>
      <c r="Z2679" s="13" t="str">
        <f t="shared" si="1998"/>
        <v>NA</v>
      </c>
      <c r="AA2679" s="13"/>
      <c r="AB2679" s="13"/>
      <c r="AC2679" s="13"/>
      <c r="AD2679" s="13"/>
      <c r="AE2679" s="13"/>
      <c r="AF2679" s="13"/>
      <c r="AG2679" s="13"/>
      <c r="AH2679" s="13"/>
      <c r="AI2679" s="13"/>
      <c r="AJ2679" s="13"/>
      <c r="AK2679" s="13"/>
      <c r="AL2679" s="13"/>
      <c r="AM2679" s="13"/>
      <c r="AN2679" s="13"/>
      <c r="AO2679" s="13"/>
      <c r="AP2679" s="13"/>
      <c r="AQ2679" s="13"/>
      <c r="AR2679" s="13"/>
      <c r="AS2679" s="13"/>
    </row>
    <row r="2680" ht="14.25" hidden="1" customHeight="1">
      <c r="A2680" s="13" t="s">
        <v>29</v>
      </c>
      <c r="B2680" s="13" t="s">
        <v>30</v>
      </c>
      <c r="C2680" s="18" t="s">
        <v>1714</v>
      </c>
      <c r="D2680" s="13"/>
      <c r="E2680" s="13" t="str">
        <f t="shared" si="2842"/>
        <v>SJC,909-6-42,,NA</v>
      </c>
      <c r="F2680" s="13"/>
      <c r="G2680" s="13" t="s">
        <v>111</v>
      </c>
      <c r="H2680" s="13" t="s">
        <v>75</v>
      </c>
      <c r="I2680" s="13"/>
      <c r="J2680" s="13"/>
      <c r="K2680" s="15"/>
      <c r="L2680" s="15"/>
      <c r="M2680" s="16"/>
      <c r="N2680" s="16"/>
      <c r="O2680" s="17"/>
      <c r="P2680" s="17"/>
      <c r="Q2680" s="13"/>
      <c r="R2680" s="13"/>
      <c r="S2680" s="13"/>
      <c r="T2680" s="13">
        <f t="shared" ref="T2680:Y2680" si="2878">IF(ISBLANK(K2680)=TRUE,0,1)</f>
        <v>0</v>
      </c>
      <c r="U2680" s="13">
        <f t="shared" si="2878"/>
        <v>0</v>
      </c>
      <c r="V2680" s="13">
        <f t="shared" si="2878"/>
        <v>0</v>
      </c>
      <c r="W2680" s="13">
        <f t="shared" si="2878"/>
        <v>0</v>
      </c>
      <c r="X2680" s="13">
        <f t="shared" si="2878"/>
        <v>0</v>
      </c>
      <c r="Y2680" s="13">
        <f t="shared" si="2878"/>
        <v>0</v>
      </c>
      <c r="Z2680" s="13" t="str">
        <f t="shared" si="1998"/>
        <v>NA</v>
      </c>
      <c r="AA2680" s="13"/>
      <c r="AB2680" s="13"/>
      <c r="AC2680" s="13"/>
      <c r="AD2680" s="13"/>
      <c r="AE2680" s="13"/>
      <c r="AF2680" s="13"/>
      <c r="AG2680" s="13"/>
      <c r="AH2680" s="13"/>
      <c r="AI2680" s="13"/>
      <c r="AJ2680" s="13"/>
      <c r="AK2680" s="13"/>
      <c r="AL2680" s="13"/>
      <c r="AM2680" s="13"/>
      <c r="AN2680" s="13"/>
      <c r="AO2680" s="13"/>
      <c r="AP2680" s="13"/>
      <c r="AQ2680" s="13"/>
      <c r="AR2680" s="13"/>
      <c r="AS2680" s="13"/>
    </row>
    <row r="2681" ht="14.25" hidden="1" customHeight="1">
      <c r="A2681" s="13" t="s">
        <v>29</v>
      </c>
      <c r="B2681" s="13" t="s">
        <v>30</v>
      </c>
      <c r="C2681" s="18" t="s">
        <v>1715</v>
      </c>
      <c r="D2681" s="13"/>
      <c r="E2681" s="13" t="str">
        <f t="shared" si="2842"/>
        <v>SJC,909-6-43,,NA</v>
      </c>
      <c r="F2681" s="13"/>
      <c r="G2681" s="13" t="s">
        <v>111</v>
      </c>
      <c r="H2681" s="13" t="s">
        <v>75</v>
      </c>
      <c r="I2681" s="13"/>
      <c r="J2681" s="13"/>
      <c r="K2681" s="15"/>
      <c r="L2681" s="15"/>
      <c r="M2681" s="16"/>
      <c r="N2681" s="16"/>
      <c r="O2681" s="17"/>
      <c r="P2681" s="17"/>
      <c r="Q2681" s="13"/>
      <c r="R2681" s="13"/>
      <c r="S2681" s="13"/>
      <c r="T2681" s="13">
        <f t="shared" ref="T2681:Y2681" si="2879">IF(ISBLANK(K2681)=TRUE,0,1)</f>
        <v>0</v>
      </c>
      <c r="U2681" s="13">
        <f t="shared" si="2879"/>
        <v>0</v>
      </c>
      <c r="V2681" s="13">
        <f t="shared" si="2879"/>
        <v>0</v>
      </c>
      <c r="W2681" s="13">
        <f t="shared" si="2879"/>
        <v>0</v>
      </c>
      <c r="X2681" s="13">
        <f t="shared" si="2879"/>
        <v>0</v>
      </c>
      <c r="Y2681" s="13">
        <f t="shared" si="2879"/>
        <v>0</v>
      </c>
      <c r="Z2681" s="13" t="str">
        <f t="shared" si="1998"/>
        <v>NA</v>
      </c>
      <c r="AA2681" s="13"/>
      <c r="AB2681" s="13"/>
      <c r="AC2681" s="13"/>
      <c r="AD2681" s="13"/>
      <c r="AE2681" s="13"/>
      <c r="AF2681" s="13"/>
      <c r="AG2681" s="13"/>
      <c r="AH2681" s="13"/>
      <c r="AI2681" s="13"/>
      <c r="AJ2681" s="13"/>
      <c r="AK2681" s="13"/>
      <c r="AL2681" s="13"/>
      <c r="AM2681" s="13"/>
      <c r="AN2681" s="13"/>
      <c r="AO2681" s="13"/>
      <c r="AP2681" s="13"/>
      <c r="AQ2681" s="13"/>
      <c r="AR2681" s="13"/>
      <c r="AS2681" s="13"/>
    </row>
    <row r="2682" ht="14.25" hidden="1" customHeight="1">
      <c r="A2682" s="13" t="s">
        <v>29</v>
      </c>
      <c r="B2682" s="13" t="s">
        <v>30</v>
      </c>
      <c r="C2682" s="18" t="s">
        <v>1716</v>
      </c>
      <c r="D2682" s="13"/>
      <c r="E2682" s="13" t="str">
        <f t="shared" si="2842"/>
        <v>SJC,909-6-44,,NA</v>
      </c>
      <c r="F2682" s="13"/>
      <c r="G2682" s="13" t="s">
        <v>111</v>
      </c>
      <c r="H2682" s="13" t="s">
        <v>75</v>
      </c>
      <c r="I2682" s="13"/>
      <c r="J2682" s="13"/>
      <c r="K2682" s="15"/>
      <c r="L2682" s="15"/>
      <c r="M2682" s="16"/>
      <c r="N2682" s="16"/>
      <c r="O2682" s="17"/>
      <c r="P2682" s="17"/>
      <c r="Q2682" s="13"/>
      <c r="R2682" s="13"/>
      <c r="S2682" s="13"/>
      <c r="T2682" s="13">
        <f t="shared" ref="T2682:Y2682" si="2880">IF(ISBLANK(K2682)=TRUE,0,1)</f>
        <v>0</v>
      </c>
      <c r="U2682" s="13">
        <f t="shared" si="2880"/>
        <v>0</v>
      </c>
      <c r="V2682" s="13">
        <f t="shared" si="2880"/>
        <v>0</v>
      </c>
      <c r="W2682" s="13">
        <f t="shared" si="2880"/>
        <v>0</v>
      </c>
      <c r="X2682" s="13">
        <f t="shared" si="2880"/>
        <v>0</v>
      </c>
      <c r="Y2682" s="13">
        <f t="shared" si="2880"/>
        <v>0</v>
      </c>
      <c r="Z2682" s="13" t="str">
        <f t="shared" si="1998"/>
        <v>NA</v>
      </c>
      <c r="AA2682" s="13"/>
      <c r="AB2682" s="13"/>
      <c r="AC2682" s="13"/>
      <c r="AD2682" s="13"/>
      <c r="AE2682" s="13"/>
      <c r="AF2682" s="13"/>
      <c r="AG2682" s="13"/>
      <c r="AH2682" s="13"/>
      <c r="AI2682" s="13"/>
      <c r="AJ2682" s="13"/>
      <c r="AK2682" s="13"/>
      <c r="AL2682" s="13"/>
      <c r="AM2682" s="13"/>
      <c r="AN2682" s="13"/>
      <c r="AO2682" s="13"/>
      <c r="AP2682" s="13"/>
      <c r="AQ2682" s="13"/>
      <c r="AR2682" s="13"/>
      <c r="AS2682" s="13"/>
    </row>
    <row r="2683" ht="14.25" hidden="1" customHeight="1">
      <c r="A2683" s="13" t="s">
        <v>29</v>
      </c>
      <c r="B2683" s="13" t="s">
        <v>30</v>
      </c>
      <c r="C2683" s="18" t="s">
        <v>1717</v>
      </c>
      <c r="D2683" s="13"/>
      <c r="E2683" s="13" t="str">
        <f t="shared" si="2842"/>
        <v>SJC,909-6-45,,NA</v>
      </c>
      <c r="F2683" s="13"/>
      <c r="G2683" s="13" t="s">
        <v>111</v>
      </c>
      <c r="H2683" s="13" t="s">
        <v>75</v>
      </c>
      <c r="I2683" s="13"/>
      <c r="J2683" s="13"/>
      <c r="K2683" s="15"/>
      <c r="L2683" s="15"/>
      <c r="M2683" s="16"/>
      <c r="N2683" s="16"/>
      <c r="O2683" s="17"/>
      <c r="P2683" s="17"/>
      <c r="Q2683" s="13"/>
      <c r="R2683" s="13"/>
      <c r="S2683" s="13"/>
      <c r="T2683" s="13">
        <f t="shared" ref="T2683:Y2683" si="2881">IF(ISBLANK(K2683)=TRUE,0,1)</f>
        <v>0</v>
      </c>
      <c r="U2683" s="13">
        <f t="shared" si="2881"/>
        <v>0</v>
      </c>
      <c r="V2683" s="13">
        <f t="shared" si="2881"/>
        <v>0</v>
      </c>
      <c r="W2683" s="13">
        <f t="shared" si="2881"/>
        <v>0</v>
      </c>
      <c r="X2683" s="13">
        <f t="shared" si="2881"/>
        <v>0</v>
      </c>
      <c r="Y2683" s="13">
        <f t="shared" si="2881"/>
        <v>0</v>
      </c>
      <c r="Z2683" s="13" t="str">
        <f t="shared" si="1998"/>
        <v>NA</v>
      </c>
      <c r="AA2683" s="13"/>
      <c r="AB2683" s="13"/>
      <c r="AC2683" s="13"/>
      <c r="AD2683" s="13"/>
      <c r="AE2683" s="13"/>
      <c r="AF2683" s="13"/>
      <c r="AG2683" s="13"/>
      <c r="AH2683" s="13"/>
      <c r="AI2683" s="13"/>
      <c r="AJ2683" s="13"/>
      <c r="AK2683" s="13"/>
      <c r="AL2683" s="13"/>
      <c r="AM2683" s="13"/>
      <c r="AN2683" s="13"/>
      <c r="AO2683" s="13"/>
      <c r="AP2683" s="13"/>
      <c r="AQ2683" s="13"/>
      <c r="AR2683" s="13"/>
      <c r="AS2683" s="13"/>
    </row>
    <row r="2684" ht="14.25" hidden="1" customHeight="1">
      <c r="A2684" s="13" t="s">
        <v>29</v>
      </c>
      <c r="B2684" s="13" t="s">
        <v>30</v>
      </c>
      <c r="C2684" s="18" t="s">
        <v>1718</v>
      </c>
      <c r="D2684" s="13"/>
      <c r="E2684" s="13" t="str">
        <f t="shared" si="2842"/>
        <v>SJC,909-6-46,,NA</v>
      </c>
      <c r="F2684" s="13"/>
      <c r="G2684" s="13" t="s">
        <v>111</v>
      </c>
      <c r="H2684" s="13" t="s">
        <v>75</v>
      </c>
      <c r="I2684" s="13"/>
      <c r="J2684" s="13"/>
      <c r="K2684" s="15"/>
      <c r="L2684" s="15"/>
      <c r="M2684" s="16"/>
      <c r="N2684" s="16"/>
      <c r="O2684" s="17"/>
      <c r="P2684" s="17"/>
      <c r="Q2684" s="13"/>
      <c r="R2684" s="13"/>
      <c r="S2684" s="13"/>
      <c r="T2684" s="13">
        <f t="shared" ref="T2684:Y2684" si="2882">IF(ISBLANK(K2684)=TRUE,0,1)</f>
        <v>0</v>
      </c>
      <c r="U2684" s="13">
        <f t="shared" si="2882"/>
        <v>0</v>
      </c>
      <c r="V2684" s="13">
        <f t="shared" si="2882"/>
        <v>0</v>
      </c>
      <c r="W2684" s="13">
        <f t="shared" si="2882"/>
        <v>0</v>
      </c>
      <c r="X2684" s="13">
        <f t="shared" si="2882"/>
        <v>0</v>
      </c>
      <c r="Y2684" s="13">
        <f t="shared" si="2882"/>
        <v>0</v>
      </c>
      <c r="Z2684" s="13" t="str">
        <f t="shared" si="1998"/>
        <v>NA</v>
      </c>
      <c r="AA2684" s="13"/>
      <c r="AB2684" s="13"/>
      <c r="AC2684" s="13"/>
      <c r="AD2684" s="13"/>
      <c r="AE2684" s="13"/>
      <c r="AF2684" s="13"/>
      <c r="AG2684" s="13"/>
      <c r="AH2684" s="13"/>
      <c r="AI2684" s="13"/>
      <c r="AJ2684" s="13"/>
      <c r="AK2684" s="13"/>
      <c r="AL2684" s="13"/>
      <c r="AM2684" s="13"/>
      <c r="AN2684" s="13"/>
      <c r="AO2684" s="13"/>
      <c r="AP2684" s="13"/>
      <c r="AQ2684" s="13"/>
      <c r="AR2684" s="13"/>
      <c r="AS2684" s="13"/>
    </row>
    <row r="2685" ht="14.25" hidden="1" customHeight="1">
      <c r="A2685" s="13" t="s">
        <v>29</v>
      </c>
      <c r="B2685" s="13" t="s">
        <v>30</v>
      </c>
      <c r="C2685" s="18" t="s">
        <v>1719</v>
      </c>
      <c r="D2685" s="13"/>
      <c r="E2685" s="13" t="str">
        <f t="shared" si="2842"/>
        <v>SJC,909-6-47,,NA</v>
      </c>
      <c r="F2685" s="13"/>
      <c r="G2685" s="13" t="s">
        <v>111</v>
      </c>
      <c r="H2685" s="13" t="s">
        <v>75</v>
      </c>
      <c r="I2685" s="13"/>
      <c r="J2685" s="13"/>
      <c r="K2685" s="15"/>
      <c r="L2685" s="15"/>
      <c r="M2685" s="16"/>
      <c r="N2685" s="16"/>
      <c r="O2685" s="17"/>
      <c r="P2685" s="17"/>
      <c r="Q2685" s="13"/>
      <c r="R2685" s="13"/>
      <c r="S2685" s="13"/>
      <c r="T2685" s="13">
        <f t="shared" ref="T2685:Y2685" si="2883">IF(ISBLANK(K2685)=TRUE,0,1)</f>
        <v>0</v>
      </c>
      <c r="U2685" s="13">
        <f t="shared" si="2883"/>
        <v>0</v>
      </c>
      <c r="V2685" s="13">
        <f t="shared" si="2883"/>
        <v>0</v>
      </c>
      <c r="W2685" s="13">
        <f t="shared" si="2883"/>
        <v>0</v>
      </c>
      <c r="X2685" s="13">
        <f t="shared" si="2883"/>
        <v>0</v>
      </c>
      <c r="Y2685" s="13">
        <f t="shared" si="2883"/>
        <v>0</v>
      </c>
      <c r="Z2685" s="13" t="str">
        <f t="shared" si="1998"/>
        <v>NA</v>
      </c>
      <c r="AA2685" s="13"/>
      <c r="AB2685" s="13"/>
      <c r="AC2685" s="13"/>
      <c r="AD2685" s="13"/>
      <c r="AE2685" s="13"/>
      <c r="AF2685" s="13"/>
      <c r="AG2685" s="13"/>
      <c r="AH2685" s="13"/>
      <c r="AI2685" s="13"/>
      <c r="AJ2685" s="13"/>
      <c r="AK2685" s="13"/>
      <c r="AL2685" s="13"/>
      <c r="AM2685" s="13"/>
      <c r="AN2685" s="13"/>
      <c r="AO2685" s="13"/>
      <c r="AP2685" s="13"/>
      <c r="AQ2685" s="13"/>
      <c r="AR2685" s="13"/>
      <c r="AS2685" s="13"/>
    </row>
    <row r="2686" ht="14.25" hidden="1" customHeight="1">
      <c r="A2686" s="13" t="s">
        <v>29</v>
      </c>
      <c r="B2686" s="13" t="s">
        <v>30</v>
      </c>
      <c r="C2686" s="18" t="s">
        <v>1720</v>
      </c>
      <c r="D2686" s="13"/>
      <c r="E2686" s="13" t="str">
        <f t="shared" si="2842"/>
        <v>SJC,909-6-48,,NA</v>
      </c>
      <c r="F2686" s="13"/>
      <c r="G2686" s="13" t="s">
        <v>111</v>
      </c>
      <c r="H2686" s="13" t="s">
        <v>75</v>
      </c>
      <c r="I2686" s="13"/>
      <c r="J2686" s="13"/>
      <c r="K2686" s="15"/>
      <c r="L2686" s="15"/>
      <c r="M2686" s="16"/>
      <c r="N2686" s="16"/>
      <c r="O2686" s="17"/>
      <c r="P2686" s="17"/>
      <c r="Q2686" s="13"/>
      <c r="R2686" s="13"/>
      <c r="S2686" s="13"/>
      <c r="T2686" s="13">
        <f t="shared" ref="T2686:Y2686" si="2884">IF(ISBLANK(K2686)=TRUE,0,1)</f>
        <v>0</v>
      </c>
      <c r="U2686" s="13">
        <f t="shared" si="2884"/>
        <v>0</v>
      </c>
      <c r="V2686" s="13">
        <f t="shared" si="2884"/>
        <v>0</v>
      </c>
      <c r="W2686" s="13">
        <f t="shared" si="2884"/>
        <v>0</v>
      </c>
      <c r="X2686" s="13">
        <f t="shared" si="2884"/>
        <v>0</v>
      </c>
      <c r="Y2686" s="13">
        <f t="shared" si="2884"/>
        <v>0</v>
      </c>
      <c r="Z2686" s="13" t="str">
        <f t="shared" si="1998"/>
        <v>NA</v>
      </c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3"/>
      <c r="AL2686" s="13"/>
      <c r="AM2686" s="13"/>
      <c r="AN2686" s="13"/>
      <c r="AO2686" s="13"/>
      <c r="AP2686" s="13"/>
      <c r="AQ2686" s="13"/>
      <c r="AR2686" s="13"/>
      <c r="AS2686" s="13"/>
    </row>
    <row r="2687" ht="14.25" hidden="1" customHeight="1">
      <c r="A2687" s="13" t="s">
        <v>29</v>
      </c>
      <c r="B2687" s="13" t="s">
        <v>30</v>
      </c>
      <c r="C2687" s="18" t="s">
        <v>1721</v>
      </c>
      <c r="D2687" s="13"/>
      <c r="E2687" s="13" t="str">
        <f t="shared" si="2842"/>
        <v>SJC,909-6-49,,NA</v>
      </c>
      <c r="F2687" s="13"/>
      <c r="G2687" s="13" t="s">
        <v>111</v>
      </c>
      <c r="H2687" s="13" t="s">
        <v>75</v>
      </c>
      <c r="I2687" s="13"/>
      <c r="J2687" s="13"/>
      <c r="K2687" s="15"/>
      <c r="L2687" s="15"/>
      <c r="M2687" s="16"/>
      <c r="N2687" s="16"/>
      <c r="O2687" s="17"/>
      <c r="P2687" s="17"/>
      <c r="Q2687" s="13"/>
      <c r="R2687" s="13"/>
      <c r="S2687" s="13"/>
      <c r="T2687" s="13">
        <f t="shared" ref="T2687:Y2687" si="2885">IF(ISBLANK(K2687)=TRUE,0,1)</f>
        <v>0</v>
      </c>
      <c r="U2687" s="13">
        <f t="shared" si="2885"/>
        <v>0</v>
      </c>
      <c r="V2687" s="13">
        <f t="shared" si="2885"/>
        <v>0</v>
      </c>
      <c r="W2687" s="13">
        <f t="shared" si="2885"/>
        <v>0</v>
      </c>
      <c r="X2687" s="13">
        <f t="shared" si="2885"/>
        <v>0</v>
      </c>
      <c r="Y2687" s="13">
        <f t="shared" si="2885"/>
        <v>0</v>
      </c>
      <c r="Z2687" s="13" t="str">
        <f t="shared" si="1998"/>
        <v>NA</v>
      </c>
      <c r="AA2687" s="13"/>
      <c r="AB2687" s="13"/>
      <c r="AC2687" s="13"/>
      <c r="AD2687" s="13"/>
      <c r="AE2687" s="13"/>
      <c r="AF2687" s="13"/>
      <c r="AG2687" s="13"/>
      <c r="AH2687" s="13"/>
      <c r="AI2687" s="13"/>
      <c r="AJ2687" s="13"/>
      <c r="AK2687" s="13"/>
      <c r="AL2687" s="13"/>
      <c r="AM2687" s="13"/>
      <c r="AN2687" s="13"/>
      <c r="AO2687" s="13"/>
      <c r="AP2687" s="13"/>
      <c r="AQ2687" s="13"/>
      <c r="AR2687" s="13"/>
      <c r="AS2687" s="13"/>
    </row>
    <row r="2688" ht="14.25" hidden="1" customHeight="1">
      <c r="A2688" s="13" t="s">
        <v>29</v>
      </c>
      <c r="B2688" s="13" t="s">
        <v>30</v>
      </c>
      <c r="C2688" s="18" t="s">
        <v>1722</v>
      </c>
      <c r="D2688" s="13"/>
      <c r="E2688" s="13" t="str">
        <f t="shared" si="2842"/>
        <v>SJC,909-6-5,,NA</v>
      </c>
      <c r="F2688" s="13"/>
      <c r="G2688" s="13" t="s">
        <v>111</v>
      </c>
      <c r="H2688" s="13" t="s">
        <v>75</v>
      </c>
      <c r="I2688" s="13"/>
      <c r="J2688" s="13"/>
      <c r="K2688" s="15"/>
      <c r="L2688" s="15"/>
      <c r="M2688" s="16"/>
      <c r="N2688" s="16"/>
      <c r="O2688" s="17"/>
      <c r="P2688" s="17"/>
      <c r="Q2688" s="13"/>
      <c r="R2688" s="13"/>
      <c r="S2688" s="13"/>
      <c r="T2688" s="13">
        <f t="shared" ref="T2688:Y2688" si="2886">IF(ISBLANK(K2688)=TRUE,0,1)</f>
        <v>0</v>
      </c>
      <c r="U2688" s="13">
        <f t="shared" si="2886"/>
        <v>0</v>
      </c>
      <c r="V2688" s="13">
        <f t="shared" si="2886"/>
        <v>0</v>
      </c>
      <c r="W2688" s="13">
        <f t="shared" si="2886"/>
        <v>0</v>
      </c>
      <c r="X2688" s="13">
        <f t="shared" si="2886"/>
        <v>0</v>
      </c>
      <c r="Y2688" s="13">
        <f t="shared" si="2886"/>
        <v>0</v>
      </c>
      <c r="Z2688" s="13" t="str">
        <f t="shared" si="1998"/>
        <v>NA</v>
      </c>
      <c r="AA2688" s="13"/>
      <c r="AB2688" s="13"/>
      <c r="AC2688" s="13"/>
      <c r="AD2688" s="13"/>
      <c r="AE2688" s="13"/>
      <c r="AF2688" s="13"/>
      <c r="AG2688" s="13"/>
      <c r="AH2688" s="13"/>
      <c r="AI2688" s="13"/>
      <c r="AJ2688" s="13"/>
      <c r="AK2688" s="13"/>
      <c r="AL2688" s="13"/>
      <c r="AM2688" s="13"/>
      <c r="AN2688" s="13"/>
      <c r="AO2688" s="13"/>
      <c r="AP2688" s="13"/>
      <c r="AQ2688" s="13"/>
      <c r="AR2688" s="13"/>
      <c r="AS2688" s="13"/>
    </row>
    <row r="2689" ht="14.25" customHeight="1">
      <c r="A2689" s="13" t="s">
        <v>36</v>
      </c>
      <c r="B2689" s="13" t="s">
        <v>1723</v>
      </c>
      <c r="C2689" s="13" t="s">
        <v>1138</v>
      </c>
      <c r="D2689" s="13"/>
      <c r="E2689" s="13" t="str">
        <f t="shared" si="2842"/>
        <v>ZC,#1,,NA</v>
      </c>
      <c r="F2689" s="13"/>
      <c r="G2689" s="13" t="s">
        <v>1724</v>
      </c>
      <c r="H2689" s="13" t="s">
        <v>75</v>
      </c>
      <c r="I2689" s="14">
        <v>44862.0</v>
      </c>
      <c r="J2689" s="14"/>
      <c r="K2689" s="15"/>
      <c r="L2689" s="15"/>
      <c r="M2689" s="16"/>
      <c r="N2689" s="16"/>
      <c r="O2689" s="17"/>
      <c r="P2689" s="17"/>
      <c r="Q2689" s="13">
        <f t="shared" ref="Q2689:Q2707" si="2888">K2688+L2688+M2688+N2688+O2688+P2688/6</f>
        <v>0</v>
      </c>
      <c r="R2689" s="13"/>
      <c r="S2689" s="13"/>
      <c r="T2689" s="13">
        <f t="shared" ref="T2689:Y2689" si="2887">IF(ISBLANK(K2689)=TRUE,0,1)</f>
        <v>0</v>
      </c>
      <c r="U2689" s="13">
        <f t="shared" si="2887"/>
        <v>0</v>
      </c>
      <c r="V2689" s="13">
        <f t="shared" si="2887"/>
        <v>0</v>
      </c>
      <c r="W2689" s="13">
        <f t="shared" si="2887"/>
        <v>0</v>
      </c>
      <c r="X2689" s="13">
        <f t="shared" si="2887"/>
        <v>0</v>
      </c>
      <c r="Y2689" s="13">
        <f t="shared" si="2887"/>
        <v>0</v>
      </c>
      <c r="Z2689" s="13" t="str">
        <f t="shared" si="1998"/>
        <v>NA</v>
      </c>
      <c r="AA2689" s="13"/>
      <c r="AB2689" s="13"/>
      <c r="AC2689" s="13"/>
      <c r="AD2689" s="13"/>
      <c r="AE2689" s="13"/>
      <c r="AF2689" s="13"/>
      <c r="AG2689" s="13"/>
      <c r="AH2689" s="13"/>
      <c r="AI2689" s="13"/>
      <c r="AJ2689" s="13"/>
      <c r="AK2689" s="13"/>
      <c r="AL2689" s="13"/>
      <c r="AM2689" s="13"/>
      <c r="AN2689" s="13"/>
      <c r="AO2689" s="13"/>
      <c r="AP2689" s="13"/>
      <c r="AQ2689" s="13"/>
      <c r="AR2689" s="13"/>
      <c r="AS2689" s="13"/>
    </row>
    <row r="2690" ht="14.25" customHeight="1">
      <c r="A2690" s="13" t="s">
        <v>36</v>
      </c>
      <c r="B2690" s="13" t="s">
        <v>1723</v>
      </c>
      <c r="C2690" s="13" t="s">
        <v>1725</v>
      </c>
      <c r="D2690" s="13"/>
      <c r="E2690" s="13" t="str">
        <f t="shared" si="2842"/>
        <v>ZC,#10,,NA</v>
      </c>
      <c r="F2690" s="13"/>
      <c r="G2690" s="13" t="s">
        <v>1724</v>
      </c>
      <c r="H2690" s="13" t="s">
        <v>107</v>
      </c>
      <c r="I2690" s="14">
        <v>44862.0</v>
      </c>
      <c r="J2690" s="14"/>
      <c r="K2690" s="15"/>
      <c r="L2690" s="15"/>
      <c r="M2690" s="16"/>
      <c r="N2690" s="16"/>
      <c r="O2690" s="17"/>
      <c r="P2690" s="17"/>
      <c r="Q2690" s="13">
        <f t="shared" si="2888"/>
        <v>0</v>
      </c>
      <c r="R2690" s="13"/>
      <c r="S2690" s="13"/>
      <c r="T2690" s="13">
        <f t="shared" ref="T2690:Y2690" si="2889">IF(ISBLANK(K2690)=TRUE,0,1)</f>
        <v>0</v>
      </c>
      <c r="U2690" s="13">
        <f t="shared" si="2889"/>
        <v>0</v>
      </c>
      <c r="V2690" s="13">
        <f t="shared" si="2889"/>
        <v>0</v>
      </c>
      <c r="W2690" s="13">
        <f t="shared" si="2889"/>
        <v>0</v>
      </c>
      <c r="X2690" s="13">
        <f t="shared" si="2889"/>
        <v>0</v>
      </c>
      <c r="Y2690" s="13">
        <f t="shared" si="2889"/>
        <v>0</v>
      </c>
      <c r="Z2690" s="13" t="str">
        <f t="shared" si="1998"/>
        <v>NA</v>
      </c>
      <c r="AA2690" s="13"/>
      <c r="AB2690" s="13"/>
      <c r="AC2690" s="13"/>
      <c r="AD2690" s="13"/>
      <c r="AE2690" s="13"/>
      <c r="AF2690" s="13"/>
      <c r="AG2690" s="13"/>
      <c r="AH2690" s="13"/>
      <c r="AI2690" s="13"/>
      <c r="AJ2690" s="13"/>
      <c r="AK2690" s="13"/>
      <c r="AL2690" s="13"/>
      <c r="AM2690" s="13"/>
      <c r="AN2690" s="13"/>
      <c r="AO2690" s="13"/>
      <c r="AP2690" s="13"/>
      <c r="AQ2690" s="13"/>
      <c r="AR2690" s="13"/>
      <c r="AS2690" s="13"/>
    </row>
    <row r="2691" ht="14.25" customHeight="1">
      <c r="A2691" s="13" t="s">
        <v>36</v>
      </c>
      <c r="B2691" s="13" t="s">
        <v>1723</v>
      </c>
      <c r="C2691" s="13" t="s">
        <v>1726</v>
      </c>
      <c r="D2691" s="13"/>
      <c r="E2691" s="13" t="str">
        <f t="shared" si="2842"/>
        <v>ZC,#11,,NA</v>
      </c>
      <c r="F2691" s="13"/>
      <c r="G2691" s="13" t="s">
        <v>1724</v>
      </c>
      <c r="H2691" s="13" t="s">
        <v>75</v>
      </c>
      <c r="I2691" s="14">
        <v>44862.0</v>
      </c>
      <c r="J2691" s="14"/>
      <c r="K2691" s="15"/>
      <c r="L2691" s="15"/>
      <c r="M2691" s="16"/>
      <c r="N2691" s="16"/>
      <c r="O2691" s="17"/>
      <c r="P2691" s="17"/>
      <c r="Q2691" s="13">
        <f t="shared" si="2888"/>
        <v>0</v>
      </c>
      <c r="R2691" s="13"/>
      <c r="S2691" s="13"/>
      <c r="T2691" s="13">
        <f t="shared" ref="T2691:Y2691" si="2890">IF(ISBLANK(K2691)=TRUE,0,1)</f>
        <v>0</v>
      </c>
      <c r="U2691" s="13">
        <f t="shared" si="2890"/>
        <v>0</v>
      </c>
      <c r="V2691" s="13">
        <f t="shared" si="2890"/>
        <v>0</v>
      </c>
      <c r="W2691" s="13">
        <f t="shared" si="2890"/>
        <v>0</v>
      </c>
      <c r="X2691" s="13">
        <f t="shared" si="2890"/>
        <v>0</v>
      </c>
      <c r="Y2691" s="13">
        <f t="shared" si="2890"/>
        <v>0</v>
      </c>
      <c r="Z2691" s="13" t="str">
        <f t="shared" si="1998"/>
        <v>NA</v>
      </c>
      <c r="AA2691" s="13"/>
      <c r="AB2691" s="13"/>
      <c r="AC2691" s="13"/>
      <c r="AD2691" s="13"/>
      <c r="AE2691" s="13"/>
      <c r="AF2691" s="13"/>
      <c r="AG2691" s="13"/>
      <c r="AH2691" s="13"/>
      <c r="AI2691" s="13"/>
      <c r="AJ2691" s="13"/>
      <c r="AK2691" s="13"/>
      <c r="AL2691" s="13"/>
      <c r="AM2691" s="13"/>
      <c r="AN2691" s="13"/>
      <c r="AO2691" s="13"/>
      <c r="AP2691" s="13"/>
      <c r="AQ2691" s="13"/>
      <c r="AR2691" s="13"/>
      <c r="AS2691" s="13"/>
    </row>
    <row r="2692" ht="14.25" customHeight="1">
      <c r="A2692" s="13" t="s">
        <v>36</v>
      </c>
      <c r="B2692" s="13" t="s">
        <v>1723</v>
      </c>
      <c r="C2692" s="13" t="s">
        <v>1727</v>
      </c>
      <c r="D2692" s="13"/>
      <c r="E2692" s="13" t="str">
        <f t="shared" si="2842"/>
        <v>ZC,#12,,NA</v>
      </c>
      <c r="F2692" s="13"/>
      <c r="G2692" s="13" t="s">
        <v>1724</v>
      </c>
      <c r="H2692" s="13" t="s">
        <v>75</v>
      </c>
      <c r="I2692" s="14">
        <v>44862.0</v>
      </c>
      <c r="J2692" s="14"/>
      <c r="K2692" s="15"/>
      <c r="L2692" s="15"/>
      <c r="M2692" s="16"/>
      <c r="N2692" s="16"/>
      <c r="O2692" s="17"/>
      <c r="P2692" s="17"/>
      <c r="Q2692" s="13">
        <f t="shared" si="2888"/>
        <v>0</v>
      </c>
      <c r="R2692" s="13"/>
      <c r="S2692" s="13"/>
      <c r="T2692" s="13">
        <f t="shared" ref="T2692:Y2692" si="2891">IF(ISBLANK(K2692)=TRUE,0,1)</f>
        <v>0</v>
      </c>
      <c r="U2692" s="13">
        <f t="shared" si="2891"/>
        <v>0</v>
      </c>
      <c r="V2692" s="13">
        <f t="shared" si="2891"/>
        <v>0</v>
      </c>
      <c r="W2692" s="13">
        <f t="shared" si="2891"/>
        <v>0</v>
      </c>
      <c r="X2692" s="13">
        <f t="shared" si="2891"/>
        <v>0</v>
      </c>
      <c r="Y2692" s="13">
        <f t="shared" si="2891"/>
        <v>0</v>
      </c>
      <c r="Z2692" s="13" t="str">
        <f t="shared" si="1998"/>
        <v>NA</v>
      </c>
      <c r="AA2692" s="13"/>
      <c r="AB2692" s="13"/>
      <c r="AC2692" s="13"/>
      <c r="AD2692" s="13"/>
      <c r="AE2692" s="13"/>
      <c r="AF2692" s="13"/>
      <c r="AG2692" s="13"/>
      <c r="AH2692" s="13"/>
      <c r="AI2692" s="13"/>
      <c r="AJ2692" s="13"/>
      <c r="AK2692" s="13"/>
      <c r="AL2692" s="13"/>
      <c r="AM2692" s="13"/>
      <c r="AN2692" s="13"/>
      <c r="AO2692" s="13"/>
      <c r="AP2692" s="13"/>
      <c r="AQ2692" s="13"/>
      <c r="AR2692" s="13"/>
      <c r="AS2692" s="13"/>
    </row>
    <row r="2693" ht="14.25" customHeight="1">
      <c r="A2693" s="13" t="s">
        <v>36</v>
      </c>
      <c r="B2693" s="13" t="s">
        <v>1723</v>
      </c>
      <c r="C2693" s="13" t="s">
        <v>1728</v>
      </c>
      <c r="D2693" s="13"/>
      <c r="E2693" s="13" t="str">
        <f t="shared" si="2842"/>
        <v>ZC,#13,,NA</v>
      </c>
      <c r="F2693" s="13"/>
      <c r="G2693" s="13" t="s">
        <v>1724</v>
      </c>
      <c r="H2693" s="13" t="s">
        <v>75</v>
      </c>
      <c r="I2693" s="14">
        <v>44862.0</v>
      </c>
      <c r="J2693" s="14"/>
      <c r="K2693" s="15"/>
      <c r="L2693" s="15"/>
      <c r="M2693" s="16"/>
      <c r="N2693" s="16"/>
      <c r="O2693" s="17"/>
      <c r="P2693" s="17"/>
      <c r="Q2693" s="13">
        <f t="shared" si="2888"/>
        <v>0</v>
      </c>
      <c r="R2693" s="13"/>
      <c r="S2693" s="13"/>
      <c r="T2693" s="13">
        <f t="shared" ref="T2693:Y2693" si="2892">IF(ISBLANK(K2693)=TRUE,0,1)</f>
        <v>0</v>
      </c>
      <c r="U2693" s="13">
        <f t="shared" si="2892"/>
        <v>0</v>
      </c>
      <c r="V2693" s="13">
        <f t="shared" si="2892"/>
        <v>0</v>
      </c>
      <c r="W2693" s="13">
        <f t="shared" si="2892"/>
        <v>0</v>
      </c>
      <c r="X2693" s="13">
        <f t="shared" si="2892"/>
        <v>0</v>
      </c>
      <c r="Y2693" s="13">
        <f t="shared" si="2892"/>
        <v>0</v>
      </c>
      <c r="Z2693" s="13" t="str">
        <f t="shared" si="1998"/>
        <v>NA</v>
      </c>
      <c r="AA2693" s="13"/>
      <c r="AB2693" s="13"/>
      <c r="AC2693" s="13"/>
      <c r="AD2693" s="13"/>
      <c r="AE2693" s="13"/>
      <c r="AF2693" s="13"/>
      <c r="AG2693" s="13"/>
      <c r="AH2693" s="13"/>
      <c r="AI2693" s="13"/>
      <c r="AJ2693" s="13"/>
      <c r="AK2693" s="13"/>
      <c r="AL2693" s="13"/>
      <c r="AM2693" s="13"/>
      <c r="AN2693" s="13"/>
      <c r="AO2693" s="13"/>
      <c r="AP2693" s="13"/>
      <c r="AQ2693" s="13"/>
      <c r="AR2693" s="13"/>
      <c r="AS2693" s="13"/>
    </row>
    <row r="2694" ht="14.25" customHeight="1">
      <c r="A2694" s="13" t="s">
        <v>36</v>
      </c>
      <c r="B2694" s="13" t="s">
        <v>1723</v>
      </c>
      <c r="C2694" s="13" t="s">
        <v>1729</v>
      </c>
      <c r="D2694" s="13"/>
      <c r="E2694" s="13" t="str">
        <f t="shared" si="2842"/>
        <v>ZC,#14,,NA</v>
      </c>
      <c r="F2694" s="13"/>
      <c r="G2694" s="13" t="s">
        <v>1724</v>
      </c>
      <c r="H2694" s="13" t="s">
        <v>107</v>
      </c>
      <c r="I2694" s="14">
        <v>44862.0</v>
      </c>
      <c r="J2694" s="14"/>
      <c r="K2694" s="15"/>
      <c r="L2694" s="15"/>
      <c r="M2694" s="16"/>
      <c r="N2694" s="16"/>
      <c r="O2694" s="17"/>
      <c r="P2694" s="17"/>
      <c r="Q2694" s="13">
        <f t="shared" si="2888"/>
        <v>0</v>
      </c>
      <c r="R2694" s="13"/>
      <c r="S2694" s="13"/>
      <c r="T2694" s="13">
        <f t="shared" ref="T2694:Y2694" si="2893">IF(ISBLANK(K2694)=TRUE,0,1)</f>
        <v>0</v>
      </c>
      <c r="U2694" s="13">
        <f t="shared" si="2893"/>
        <v>0</v>
      </c>
      <c r="V2694" s="13">
        <f t="shared" si="2893"/>
        <v>0</v>
      </c>
      <c r="W2694" s="13">
        <f t="shared" si="2893"/>
        <v>0</v>
      </c>
      <c r="X2694" s="13">
        <f t="shared" si="2893"/>
        <v>0</v>
      </c>
      <c r="Y2694" s="13">
        <f t="shared" si="2893"/>
        <v>0</v>
      </c>
      <c r="Z2694" s="13" t="str">
        <f t="shared" si="1998"/>
        <v>NA</v>
      </c>
      <c r="AA2694" s="13"/>
      <c r="AB2694" s="13"/>
      <c r="AC2694" s="13"/>
      <c r="AD2694" s="13"/>
      <c r="AE2694" s="13"/>
      <c r="AF2694" s="13"/>
      <c r="AG2694" s="13"/>
      <c r="AH2694" s="13"/>
      <c r="AI2694" s="13"/>
      <c r="AJ2694" s="13"/>
      <c r="AK2694" s="13"/>
      <c r="AL2694" s="13"/>
      <c r="AM2694" s="13"/>
      <c r="AN2694" s="13"/>
      <c r="AO2694" s="13"/>
      <c r="AP2694" s="13"/>
      <c r="AQ2694" s="13"/>
      <c r="AR2694" s="13"/>
      <c r="AS2694" s="13"/>
    </row>
    <row r="2695" ht="14.25" customHeight="1">
      <c r="A2695" s="13" t="s">
        <v>36</v>
      </c>
      <c r="B2695" s="13" t="s">
        <v>1723</v>
      </c>
      <c r="C2695" s="13" t="s">
        <v>1730</v>
      </c>
      <c r="D2695" s="13"/>
      <c r="E2695" s="13" t="str">
        <f t="shared" si="2842"/>
        <v>ZC,#15,,NA</v>
      </c>
      <c r="F2695" s="13"/>
      <c r="G2695" s="13" t="s">
        <v>1724</v>
      </c>
      <c r="H2695" s="13" t="s">
        <v>107</v>
      </c>
      <c r="I2695" s="14">
        <v>44862.0</v>
      </c>
      <c r="J2695" s="14"/>
      <c r="K2695" s="15"/>
      <c r="L2695" s="15"/>
      <c r="M2695" s="16"/>
      <c r="N2695" s="16"/>
      <c r="O2695" s="17"/>
      <c r="P2695" s="17"/>
      <c r="Q2695" s="13">
        <f t="shared" si="2888"/>
        <v>0</v>
      </c>
      <c r="R2695" s="13"/>
      <c r="S2695" s="13"/>
      <c r="T2695" s="13">
        <f t="shared" ref="T2695:Y2695" si="2894">IF(ISBLANK(K2695)=TRUE,0,1)</f>
        <v>0</v>
      </c>
      <c r="U2695" s="13">
        <f t="shared" si="2894"/>
        <v>0</v>
      </c>
      <c r="V2695" s="13">
        <f t="shared" si="2894"/>
        <v>0</v>
      </c>
      <c r="W2695" s="13">
        <f t="shared" si="2894"/>
        <v>0</v>
      </c>
      <c r="X2695" s="13">
        <f t="shared" si="2894"/>
        <v>0</v>
      </c>
      <c r="Y2695" s="13">
        <f t="shared" si="2894"/>
        <v>0</v>
      </c>
      <c r="Z2695" s="13" t="str">
        <f t="shared" si="1998"/>
        <v>NA</v>
      </c>
      <c r="AA2695" s="13"/>
      <c r="AB2695" s="13"/>
      <c r="AC2695" s="13"/>
      <c r="AD2695" s="13"/>
      <c r="AE2695" s="13"/>
      <c r="AF2695" s="13"/>
      <c r="AG2695" s="13"/>
      <c r="AH2695" s="13"/>
      <c r="AI2695" s="13"/>
      <c r="AJ2695" s="13"/>
      <c r="AK2695" s="13"/>
      <c r="AL2695" s="13"/>
      <c r="AM2695" s="13"/>
      <c r="AN2695" s="13"/>
      <c r="AO2695" s="13"/>
      <c r="AP2695" s="13"/>
      <c r="AQ2695" s="13"/>
      <c r="AR2695" s="13"/>
      <c r="AS2695" s="13"/>
    </row>
    <row r="2696" ht="14.25" customHeight="1">
      <c r="A2696" s="13" t="s">
        <v>36</v>
      </c>
      <c r="B2696" s="13" t="s">
        <v>1723</v>
      </c>
      <c r="C2696" s="13" t="s">
        <v>1731</v>
      </c>
      <c r="D2696" s="13"/>
      <c r="E2696" s="13" t="str">
        <f t="shared" si="2842"/>
        <v>ZC,#16,,NA</v>
      </c>
      <c r="F2696" s="13"/>
      <c r="G2696" s="13" t="s">
        <v>1724</v>
      </c>
      <c r="H2696" s="13" t="s">
        <v>75</v>
      </c>
      <c r="I2696" s="14">
        <v>44862.0</v>
      </c>
      <c r="J2696" s="14"/>
      <c r="K2696" s="15"/>
      <c r="L2696" s="15"/>
      <c r="M2696" s="16"/>
      <c r="N2696" s="16"/>
      <c r="O2696" s="17"/>
      <c r="P2696" s="17"/>
      <c r="Q2696" s="13">
        <f t="shared" si="2888"/>
        <v>0</v>
      </c>
      <c r="R2696" s="13"/>
      <c r="S2696" s="13"/>
      <c r="T2696" s="13">
        <f t="shared" ref="T2696:Y2696" si="2895">IF(ISBLANK(K2696)=TRUE,0,1)</f>
        <v>0</v>
      </c>
      <c r="U2696" s="13">
        <f t="shared" si="2895"/>
        <v>0</v>
      </c>
      <c r="V2696" s="13">
        <f t="shared" si="2895"/>
        <v>0</v>
      </c>
      <c r="W2696" s="13">
        <f t="shared" si="2895"/>
        <v>0</v>
      </c>
      <c r="X2696" s="13">
        <f t="shared" si="2895"/>
        <v>0</v>
      </c>
      <c r="Y2696" s="13">
        <f t="shared" si="2895"/>
        <v>0</v>
      </c>
      <c r="Z2696" s="13" t="str">
        <f t="shared" si="1998"/>
        <v>NA</v>
      </c>
      <c r="AA2696" s="13"/>
      <c r="AB2696" s="13"/>
      <c r="AC2696" s="13"/>
      <c r="AD2696" s="13"/>
      <c r="AE2696" s="13"/>
      <c r="AF2696" s="13"/>
      <c r="AG2696" s="13"/>
      <c r="AH2696" s="13"/>
      <c r="AI2696" s="13"/>
      <c r="AJ2696" s="13"/>
      <c r="AK2696" s="13"/>
      <c r="AL2696" s="13"/>
      <c r="AM2696" s="13"/>
      <c r="AN2696" s="13"/>
      <c r="AO2696" s="13"/>
      <c r="AP2696" s="13"/>
      <c r="AQ2696" s="13"/>
      <c r="AR2696" s="13"/>
      <c r="AS2696" s="13"/>
    </row>
    <row r="2697" ht="14.25" customHeight="1">
      <c r="A2697" s="13" t="s">
        <v>36</v>
      </c>
      <c r="B2697" s="13" t="s">
        <v>1723</v>
      </c>
      <c r="C2697" s="13" t="s">
        <v>1732</v>
      </c>
      <c r="D2697" s="13"/>
      <c r="E2697" s="13" t="str">
        <f t="shared" si="2842"/>
        <v>ZC,#2,,NA</v>
      </c>
      <c r="F2697" s="13"/>
      <c r="G2697" s="13" t="s">
        <v>1724</v>
      </c>
      <c r="H2697" s="13" t="s">
        <v>107</v>
      </c>
      <c r="I2697" s="14">
        <v>44862.0</v>
      </c>
      <c r="J2697" s="14"/>
      <c r="K2697" s="15"/>
      <c r="L2697" s="15"/>
      <c r="M2697" s="16"/>
      <c r="N2697" s="16"/>
      <c r="O2697" s="17"/>
      <c r="P2697" s="17"/>
      <c r="Q2697" s="13">
        <f t="shared" si="2888"/>
        <v>0</v>
      </c>
      <c r="R2697" s="13"/>
      <c r="S2697" s="13"/>
      <c r="T2697" s="13">
        <f t="shared" ref="T2697:Y2697" si="2896">IF(ISBLANK(K2697)=TRUE,0,1)</f>
        <v>0</v>
      </c>
      <c r="U2697" s="13">
        <f t="shared" si="2896"/>
        <v>0</v>
      </c>
      <c r="V2697" s="13">
        <f t="shared" si="2896"/>
        <v>0</v>
      </c>
      <c r="W2697" s="13">
        <f t="shared" si="2896"/>
        <v>0</v>
      </c>
      <c r="X2697" s="13">
        <f t="shared" si="2896"/>
        <v>0</v>
      </c>
      <c r="Y2697" s="13">
        <f t="shared" si="2896"/>
        <v>0</v>
      </c>
      <c r="Z2697" s="13" t="str">
        <f t="shared" si="1998"/>
        <v>NA</v>
      </c>
      <c r="AA2697" s="13"/>
      <c r="AB2697" s="13"/>
      <c r="AC2697" s="13"/>
      <c r="AD2697" s="13"/>
      <c r="AE2697" s="13"/>
      <c r="AF2697" s="13"/>
      <c r="AG2697" s="13"/>
      <c r="AH2697" s="13"/>
      <c r="AI2697" s="13"/>
      <c r="AJ2697" s="13"/>
      <c r="AK2697" s="13"/>
      <c r="AL2697" s="13"/>
      <c r="AM2697" s="13"/>
      <c r="AN2697" s="13"/>
      <c r="AO2697" s="13"/>
      <c r="AP2697" s="13"/>
      <c r="AQ2697" s="13"/>
      <c r="AR2697" s="13"/>
      <c r="AS2697" s="13"/>
    </row>
    <row r="2698" ht="14.25" customHeight="1">
      <c r="A2698" s="13" t="s">
        <v>36</v>
      </c>
      <c r="B2698" s="13" t="s">
        <v>1723</v>
      </c>
      <c r="C2698" s="13" t="s">
        <v>1139</v>
      </c>
      <c r="D2698" s="13"/>
      <c r="E2698" s="13" t="str">
        <f t="shared" si="2842"/>
        <v>ZC,#3,,NA</v>
      </c>
      <c r="F2698" s="13"/>
      <c r="G2698" s="13" t="s">
        <v>1724</v>
      </c>
      <c r="H2698" s="13" t="s">
        <v>107</v>
      </c>
      <c r="I2698" s="14">
        <v>44862.0</v>
      </c>
      <c r="J2698" s="14"/>
      <c r="K2698" s="15"/>
      <c r="L2698" s="15"/>
      <c r="M2698" s="16"/>
      <c r="N2698" s="16"/>
      <c r="O2698" s="17"/>
      <c r="P2698" s="17"/>
      <c r="Q2698" s="13">
        <f t="shared" si="2888"/>
        <v>0</v>
      </c>
      <c r="R2698" s="13"/>
      <c r="S2698" s="13"/>
      <c r="T2698" s="13">
        <f t="shared" ref="T2698:Y2698" si="2897">IF(ISBLANK(K2698)=TRUE,0,1)</f>
        <v>0</v>
      </c>
      <c r="U2698" s="13">
        <f t="shared" si="2897"/>
        <v>0</v>
      </c>
      <c r="V2698" s="13">
        <f t="shared" si="2897"/>
        <v>0</v>
      </c>
      <c r="W2698" s="13">
        <f t="shared" si="2897"/>
        <v>0</v>
      </c>
      <c r="X2698" s="13">
        <f t="shared" si="2897"/>
        <v>0</v>
      </c>
      <c r="Y2698" s="13">
        <f t="shared" si="2897"/>
        <v>0</v>
      </c>
      <c r="Z2698" s="13" t="str">
        <f t="shared" si="1998"/>
        <v>NA</v>
      </c>
      <c r="AA2698" s="13"/>
      <c r="AB2698" s="13"/>
      <c r="AC2698" s="13"/>
      <c r="AD2698" s="13"/>
      <c r="AE2698" s="13"/>
      <c r="AF2698" s="13"/>
      <c r="AG2698" s="13"/>
      <c r="AH2698" s="13"/>
      <c r="AI2698" s="13"/>
      <c r="AJ2698" s="13"/>
      <c r="AK2698" s="13"/>
      <c r="AL2698" s="13"/>
      <c r="AM2698" s="13"/>
      <c r="AN2698" s="13"/>
      <c r="AO2698" s="13"/>
      <c r="AP2698" s="13"/>
      <c r="AQ2698" s="13"/>
      <c r="AR2698" s="13"/>
      <c r="AS2698" s="13"/>
    </row>
    <row r="2699" ht="14.25" customHeight="1">
      <c r="A2699" s="13" t="s">
        <v>36</v>
      </c>
      <c r="B2699" s="13" t="s">
        <v>1723</v>
      </c>
      <c r="C2699" s="13" t="s">
        <v>1140</v>
      </c>
      <c r="D2699" s="13"/>
      <c r="E2699" s="13" t="str">
        <f t="shared" si="2842"/>
        <v>ZC,#4,,NA</v>
      </c>
      <c r="F2699" s="13"/>
      <c r="G2699" s="13" t="s">
        <v>1724</v>
      </c>
      <c r="H2699" s="13" t="s">
        <v>107</v>
      </c>
      <c r="I2699" s="14">
        <v>44862.0</v>
      </c>
      <c r="J2699" s="14"/>
      <c r="K2699" s="15"/>
      <c r="L2699" s="15"/>
      <c r="M2699" s="16"/>
      <c r="N2699" s="16"/>
      <c r="O2699" s="17"/>
      <c r="P2699" s="17"/>
      <c r="Q2699" s="13">
        <f t="shared" si="2888"/>
        <v>0</v>
      </c>
      <c r="R2699" s="13"/>
      <c r="S2699" s="13"/>
      <c r="T2699" s="13">
        <f t="shared" ref="T2699:Y2699" si="2898">IF(ISBLANK(K2699)=TRUE,0,1)</f>
        <v>0</v>
      </c>
      <c r="U2699" s="13">
        <f t="shared" si="2898"/>
        <v>0</v>
      </c>
      <c r="V2699" s="13">
        <f t="shared" si="2898"/>
        <v>0</v>
      </c>
      <c r="W2699" s="13">
        <f t="shared" si="2898"/>
        <v>0</v>
      </c>
      <c r="X2699" s="13">
        <f t="shared" si="2898"/>
        <v>0</v>
      </c>
      <c r="Y2699" s="13">
        <f t="shared" si="2898"/>
        <v>0</v>
      </c>
      <c r="Z2699" s="13" t="str">
        <f t="shared" si="1998"/>
        <v>NA</v>
      </c>
      <c r="AA2699" s="13"/>
      <c r="AB2699" s="13"/>
      <c r="AC2699" s="13"/>
      <c r="AD2699" s="13"/>
      <c r="AE2699" s="13"/>
      <c r="AF2699" s="13"/>
      <c r="AG2699" s="13"/>
      <c r="AH2699" s="13"/>
      <c r="AI2699" s="13"/>
      <c r="AJ2699" s="13"/>
      <c r="AK2699" s="13"/>
      <c r="AL2699" s="13"/>
      <c r="AM2699" s="13"/>
      <c r="AN2699" s="13"/>
      <c r="AO2699" s="13"/>
      <c r="AP2699" s="13"/>
      <c r="AQ2699" s="13"/>
      <c r="AR2699" s="13"/>
      <c r="AS2699" s="13"/>
    </row>
    <row r="2700" ht="14.25" customHeight="1">
      <c r="A2700" s="13" t="s">
        <v>36</v>
      </c>
      <c r="B2700" s="13" t="s">
        <v>1723</v>
      </c>
      <c r="C2700" s="13" t="s">
        <v>1733</v>
      </c>
      <c r="D2700" s="13"/>
      <c r="E2700" s="13" t="str">
        <f t="shared" si="2842"/>
        <v>ZC,#5,,NA</v>
      </c>
      <c r="F2700" s="13"/>
      <c r="G2700" s="13" t="s">
        <v>1724</v>
      </c>
      <c r="H2700" s="13" t="s">
        <v>75</v>
      </c>
      <c r="I2700" s="14">
        <v>44862.0</v>
      </c>
      <c r="J2700" s="14"/>
      <c r="K2700" s="15"/>
      <c r="L2700" s="15"/>
      <c r="M2700" s="16"/>
      <c r="N2700" s="16"/>
      <c r="O2700" s="17"/>
      <c r="P2700" s="17"/>
      <c r="Q2700" s="13">
        <f t="shared" si="2888"/>
        <v>0</v>
      </c>
      <c r="R2700" s="13"/>
      <c r="S2700" s="13"/>
      <c r="T2700" s="13">
        <f t="shared" ref="T2700:Y2700" si="2899">IF(ISBLANK(K2700)=TRUE,0,1)</f>
        <v>0</v>
      </c>
      <c r="U2700" s="13">
        <f t="shared" si="2899"/>
        <v>0</v>
      </c>
      <c r="V2700" s="13">
        <f t="shared" si="2899"/>
        <v>0</v>
      </c>
      <c r="W2700" s="13">
        <f t="shared" si="2899"/>
        <v>0</v>
      </c>
      <c r="X2700" s="13">
        <f t="shared" si="2899"/>
        <v>0</v>
      </c>
      <c r="Y2700" s="13">
        <f t="shared" si="2899"/>
        <v>0</v>
      </c>
      <c r="Z2700" s="13" t="str">
        <f t="shared" si="1998"/>
        <v>NA</v>
      </c>
      <c r="AA2700" s="13"/>
      <c r="AB2700" s="13"/>
      <c r="AC2700" s="13"/>
      <c r="AD2700" s="13"/>
      <c r="AE2700" s="13"/>
      <c r="AF2700" s="13"/>
      <c r="AG2700" s="13"/>
      <c r="AH2700" s="13"/>
      <c r="AI2700" s="13"/>
      <c r="AJ2700" s="13"/>
      <c r="AK2700" s="13"/>
      <c r="AL2700" s="13"/>
      <c r="AM2700" s="13"/>
      <c r="AN2700" s="13"/>
      <c r="AO2700" s="13"/>
      <c r="AP2700" s="13"/>
      <c r="AQ2700" s="13"/>
      <c r="AR2700" s="13"/>
      <c r="AS2700" s="13"/>
    </row>
    <row r="2701" ht="14.25" customHeight="1">
      <c r="A2701" s="13" t="s">
        <v>36</v>
      </c>
      <c r="B2701" s="13" t="s">
        <v>1723</v>
      </c>
      <c r="C2701" s="13" t="s">
        <v>1734</v>
      </c>
      <c r="D2701" s="13"/>
      <c r="E2701" s="13" t="str">
        <f t="shared" si="2842"/>
        <v>ZC,#6,,NA</v>
      </c>
      <c r="F2701" s="13"/>
      <c r="G2701" s="13" t="s">
        <v>1724</v>
      </c>
      <c r="H2701" s="13" t="s">
        <v>75</v>
      </c>
      <c r="I2701" s="14">
        <v>44862.0</v>
      </c>
      <c r="J2701" s="14"/>
      <c r="K2701" s="15"/>
      <c r="L2701" s="15"/>
      <c r="M2701" s="16"/>
      <c r="N2701" s="16"/>
      <c r="O2701" s="17"/>
      <c r="P2701" s="17"/>
      <c r="Q2701" s="13">
        <f t="shared" si="2888"/>
        <v>0</v>
      </c>
      <c r="R2701" s="13"/>
      <c r="S2701" s="13"/>
      <c r="T2701" s="13">
        <f t="shared" ref="T2701:Y2701" si="2900">IF(ISBLANK(K2701)=TRUE,0,1)</f>
        <v>0</v>
      </c>
      <c r="U2701" s="13">
        <f t="shared" si="2900"/>
        <v>0</v>
      </c>
      <c r="V2701" s="13">
        <f t="shared" si="2900"/>
        <v>0</v>
      </c>
      <c r="W2701" s="13">
        <f t="shared" si="2900"/>
        <v>0</v>
      </c>
      <c r="X2701" s="13">
        <f t="shared" si="2900"/>
        <v>0</v>
      </c>
      <c r="Y2701" s="13">
        <f t="shared" si="2900"/>
        <v>0</v>
      </c>
      <c r="Z2701" s="13" t="str">
        <f t="shared" si="1998"/>
        <v>NA</v>
      </c>
      <c r="AA2701" s="13"/>
      <c r="AB2701" s="13"/>
      <c r="AC2701" s="13"/>
      <c r="AD2701" s="13"/>
      <c r="AE2701" s="13"/>
      <c r="AF2701" s="13"/>
      <c r="AG2701" s="13"/>
      <c r="AH2701" s="13"/>
      <c r="AI2701" s="13"/>
      <c r="AJ2701" s="13"/>
      <c r="AK2701" s="13"/>
      <c r="AL2701" s="13"/>
      <c r="AM2701" s="13"/>
      <c r="AN2701" s="13"/>
      <c r="AO2701" s="13"/>
      <c r="AP2701" s="13"/>
      <c r="AQ2701" s="13"/>
      <c r="AR2701" s="13"/>
      <c r="AS2701" s="13"/>
    </row>
    <row r="2702" ht="14.25" customHeight="1">
      <c r="A2702" s="13" t="s">
        <v>36</v>
      </c>
      <c r="B2702" s="13" t="s">
        <v>1723</v>
      </c>
      <c r="C2702" s="13" t="s">
        <v>1141</v>
      </c>
      <c r="D2702" s="13"/>
      <c r="E2702" s="13" t="str">
        <f t="shared" si="2842"/>
        <v>ZC,#7,,NA</v>
      </c>
      <c r="F2702" s="13"/>
      <c r="G2702" s="13" t="s">
        <v>1724</v>
      </c>
      <c r="H2702" s="13" t="s">
        <v>75</v>
      </c>
      <c r="I2702" s="14">
        <v>44862.0</v>
      </c>
      <c r="J2702" s="14"/>
      <c r="K2702" s="15"/>
      <c r="L2702" s="15"/>
      <c r="M2702" s="16"/>
      <c r="N2702" s="16"/>
      <c r="O2702" s="17"/>
      <c r="P2702" s="17"/>
      <c r="Q2702" s="13">
        <f t="shared" si="2888"/>
        <v>0</v>
      </c>
      <c r="R2702" s="13"/>
      <c r="S2702" s="13"/>
      <c r="T2702" s="13">
        <f t="shared" ref="T2702:Y2702" si="2901">IF(ISBLANK(K2702)=TRUE,0,1)</f>
        <v>0</v>
      </c>
      <c r="U2702" s="13">
        <f t="shared" si="2901"/>
        <v>0</v>
      </c>
      <c r="V2702" s="13">
        <f t="shared" si="2901"/>
        <v>0</v>
      </c>
      <c r="W2702" s="13">
        <f t="shared" si="2901"/>
        <v>0</v>
      </c>
      <c r="X2702" s="13">
        <f t="shared" si="2901"/>
        <v>0</v>
      </c>
      <c r="Y2702" s="13">
        <f t="shared" si="2901"/>
        <v>0</v>
      </c>
      <c r="Z2702" s="13" t="str">
        <f t="shared" si="1998"/>
        <v>NA</v>
      </c>
      <c r="AA2702" s="13"/>
      <c r="AB2702" s="13"/>
      <c r="AC2702" s="13"/>
      <c r="AD2702" s="13"/>
      <c r="AE2702" s="13"/>
      <c r="AF2702" s="13"/>
      <c r="AG2702" s="13"/>
      <c r="AH2702" s="13"/>
      <c r="AI2702" s="13"/>
      <c r="AJ2702" s="13"/>
      <c r="AK2702" s="13"/>
      <c r="AL2702" s="13"/>
      <c r="AM2702" s="13"/>
      <c r="AN2702" s="13"/>
      <c r="AO2702" s="13"/>
      <c r="AP2702" s="13"/>
      <c r="AQ2702" s="13"/>
      <c r="AR2702" s="13"/>
      <c r="AS2702" s="13"/>
    </row>
    <row r="2703" ht="14.25" customHeight="1">
      <c r="A2703" s="13" t="s">
        <v>36</v>
      </c>
      <c r="B2703" s="13" t="s">
        <v>1723</v>
      </c>
      <c r="C2703" s="13" t="s">
        <v>1735</v>
      </c>
      <c r="D2703" s="13"/>
      <c r="E2703" s="13" t="str">
        <f t="shared" si="2842"/>
        <v>ZC,#8,,NA</v>
      </c>
      <c r="F2703" s="13"/>
      <c r="G2703" s="13" t="s">
        <v>1724</v>
      </c>
      <c r="H2703" s="13" t="s">
        <v>107</v>
      </c>
      <c r="I2703" s="14">
        <v>44862.0</v>
      </c>
      <c r="J2703" s="14"/>
      <c r="K2703" s="15"/>
      <c r="L2703" s="15"/>
      <c r="M2703" s="16"/>
      <c r="N2703" s="16"/>
      <c r="O2703" s="17"/>
      <c r="P2703" s="17"/>
      <c r="Q2703" s="13">
        <f t="shared" si="2888"/>
        <v>0</v>
      </c>
      <c r="R2703" s="13"/>
      <c r="S2703" s="13"/>
      <c r="T2703" s="13">
        <f t="shared" ref="T2703:Y2703" si="2902">IF(ISBLANK(K2703)=TRUE,0,1)</f>
        <v>0</v>
      </c>
      <c r="U2703" s="13">
        <f t="shared" si="2902"/>
        <v>0</v>
      </c>
      <c r="V2703" s="13">
        <f t="shared" si="2902"/>
        <v>0</v>
      </c>
      <c r="W2703" s="13">
        <f t="shared" si="2902"/>
        <v>0</v>
      </c>
      <c r="X2703" s="13">
        <f t="shared" si="2902"/>
        <v>0</v>
      </c>
      <c r="Y2703" s="13">
        <f t="shared" si="2902"/>
        <v>0</v>
      </c>
      <c r="Z2703" s="13" t="str">
        <f t="shared" si="1998"/>
        <v>NA</v>
      </c>
      <c r="AA2703" s="13"/>
      <c r="AB2703" s="13"/>
      <c r="AC2703" s="13"/>
      <c r="AD2703" s="13"/>
      <c r="AE2703" s="13"/>
      <c r="AF2703" s="13"/>
      <c r="AG2703" s="13"/>
      <c r="AH2703" s="13"/>
      <c r="AI2703" s="13"/>
      <c r="AJ2703" s="13"/>
      <c r="AK2703" s="13"/>
      <c r="AL2703" s="13"/>
      <c r="AM2703" s="13"/>
      <c r="AN2703" s="13"/>
      <c r="AO2703" s="13"/>
      <c r="AP2703" s="13"/>
      <c r="AQ2703" s="13"/>
      <c r="AR2703" s="13"/>
      <c r="AS2703" s="13"/>
    </row>
    <row r="2704" ht="14.25" customHeight="1">
      <c r="A2704" s="13" t="s">
        <v>36</v>
      </c>
      <c r="B2704" s="13" t="s">
        <v>1723</v>
      </c>
      <c r="C2704" s="13" t="s">
        <v>1142</v>
      </c>
      <c r="D2704" s="13"/>
      <c r="E2704" s="13" t="str">
        <f t="shared" si="2842"/>
        <v>ZC,#9,,NA</v>
      </c>
      <c r="F2704" s="13"/>
      <c r="G2704" s="13" t="s">
        <v>1724</v>
      </c>
      <c r="H2704" s="13" t="s">
        <v>75</v>
      </c>
      <c r="I2704" s="14">
        <v>44862.0</v>
      </c>
      <c r="J2704" s="14"/>
      <c r="K2704" s="15"/>
      <c r="L2704" s="15"/>
      <c r="M2704" s="16"/>
      <c r="N2704" s="16"/>
      <c r="O2704" s="17"/>
      <c r="P2704" s="17"/>
      <c r="Q2704" s="13">
        <f t="shared" si="2888"/>
        <v>0</v>
      </c>
      <c r="R2704" s="13"/>
      <c r="S2704" s="13"/>
      <c r="T2704" s="13">
        <f t="shared" ref="T2704:Y2704" si="2903">IF(ISBLANK(K2704)=TRUE,0,1)</f>
        <v>0</v>
      </c>
      <c r="U2704" s="13">
        <f t="shared" si="2903"/>
        <v>0</v>
      </c>
      <c r="V2704" s="13">
        <f t="shared" si="2903"/>
        <v>0</v>
      </c>
      <c r="W2704" s="13">
        <f t="shared" si="2903"/>
        <v>0</v>
      </c>
      <c r="X2704" s="13">
        <f t="shared" si="2903"/>
        <v>0</v>
      </c>
      <c r="Y2704" s="13">
        <f t="shared" si="2903"/>
        <v>0</v>
      </c>
      <c r="Z2704" s="13" t="str">
        <f t="shared" si="1998"/>
        <v>NA</v>
      </c>
      <c r="AA2704" s="13"/>
      <c r="AB2704" s="13"/>
      <c r="AC2704" s="13"/>
      <c r="AD2704" s="13"/>
      <c r="AE2704" s="13"/>
      <c r="AF2704" s="13"/>
      <c r="AG2704" s="13"/>
      <c r="AH2704" s="13"/>
      <c r="AI2704" s="13"/>
      <c r="AJ2704" s="13"/>
      <c r="AK2704" s="13"/>
      <c r="AL2704" s="13"/>
      <c r="AM2704" s="13"/>
      <c r="AN2704" s="13"/>
      <c r="AO2704" s="13"/>
      <c r="AP2704" s="13"/>
      <c r="AQ2704" s="13"/>
      <c r="AR2704" s="13"/>
      <c r="AS2704" s="13"/>
    </row>
    <row r="2705" ht="14.25" hidden="1" customHeight="1">
      <c r="A2705" s="13" t="s">
        <v>36</v>
      </c>
      <c r="B2705" s="13" t="s">
        <v>39</v>
      </c>
      <c r="C2705" s="13" t="s">
        <v>1736</v>
      </c>
      <c r="D2705" s="13"/>
      <c r="F2705" s="13"/>
      <c r="G2705" s="13" t="s">
        <v>111</v>
      </c>
      <c r="H2705" s="13" t="s">
        <v>75</v>
      </c>
      <c r="I2705" s="14">
        <v>44862.0</v>
      </c>
      <c r="J2705" s="14"/>
      <c r="K2705" s="15"/>
      <c r="L2705" s="15"/>
      <c r="M2705" s="16"/>
      <c r="N2705" s="16"/>
      <c r="O2705" s="17">
        <v>0.0</v>
      </c>
      <c r="P2705" s="17">
        <v>0.0</v>
      </c>
      <c r="Q2705" s="13">
        <f t="shared" si="2888"/>
        <v>0</v>
      </c>
      <c r="R2705" s="13"/>
      <c r="S2705" s="13"/>
      <c r="T2705" s="13">
        <f t="shared" ref="T2705:Y2705" si="2904">IF(ISBLANK(K2705)=TRUE,0,1)</f>
        <v>0</v>
      </c>
      <c r="U2705" s="13">
        <f t="shared" si="2904"/>
        <v>0</v>
      </c>
      <c r="V2705" s="13">
        <f t="shared" si="2904"/>
        <v>0</v>
      </c>
      <c r="W2705" s="13">
        <f t="shared" si="2904"/>
        <v>0</v>
      </c>
      <c r="X2705" s="13">
        <f t="shared" si="2904"/>
        <v>1</v>
      </c>
      <c r="Y2705" s="13">
        <f t="shared" si="2904"/>
        <v>1</v>
      </c>
      <c r="Z2705" s="13">
        <f t="shared" si="1998"/>
        <v>0</v>
      </c>
      <c r="AA2705" s="13"/>
      <c r="AB2705" s="13"/>
      <c r="AC2705" s="13"/>
      <c r="AD2705" s="13"/>
      <c r="AE2705" s="13"/>
      <c r="AF2705" s="13"/>
      <c r="AG2705" s="13"/>
      <c r="AH2705" s="13"/>
      <c r="AI2705" s="13"/>
      <c r="AJ2705" s="13"/>
      <c r="AK2705" s="13"/>
      <c r="AL2705" s="13"/>
      <c r="AM2705" s="13"/>
      <c r="AN2705" s="13"/>
      <c r="AO2705" s="13"/>
      <c r="AP2705" s="13"/>
      <c r="AQ2705" s="13"/>
      <c r="AR2705" s="13"/>
      <c r="AS2705" s="13"/>
    </row>
    <row r="2706" ht="14.25" hidden="1" customHeight="1">
      <c r="A2706" s="13" t="s">
        <v>36</v>
      </c>
      <c r="B2706" s="13" t="s">
        <v>39</v>
      </c>
      <c r="C2706" s="13" t="s">
        <v>1737</v>
      </c>
      <c r="D2706" s="13"/>
      <c r="E2706" s="38"/>
      <c r="F2706" s="13"/>
      <c r="G2706" s="13" t="s">
        <v>111</v>
      </c>
      <c r="H2706" s="13" t="s">
        <v>75</v>
      </c>
      <c r="I2706" s="14">
        <v>44862.0</v>
      </c>
      <c r="J2706" s="14"/>
      <c r="K2706" s="15"/>
      <c r="L2706" s="15"/>
      <c r="M2706" s="16"/>
      <c r="N2706" s="16"/>
      <c r="O2706" s="17">
        <v>0.0</v>
      </c>
      <c r="P2706" s="17">
        <v>0.0</v>
      </c>
      <c r="Q2706" s="13">
        <f t="shared" si="2888"/>
        <v>0</v>
      </c>
      <c r="R2706" s="13"/>
      <c r="S2706" s="13"/>
      <c r="T2706" s="13">
        <f t="shared" ref="T2706:Y2706" si="2905">IF(ISBLANK(K2706)=TRUE,0,1)</f>
        <v>0</v>
      </c>
      <c r="U2706" s="13">
        <f t="shared" si="2905"/>
        <v>0</v>
      </c>
      <c r="V2706" s="13">
        <f t="shared" si="2905"/>
        <v>0</v>
      </c>
      <c r="W2706" s="13">
        <f t="shared" si="2905"/>
        <v>0</v>
      </c>
      <c r="X2706" s="13">
        <f t="shared" si="2905"/>
        <v>1</v>
      </c>
      <c r="Y2706" s="13">
        <f t="shared" si="2905"/>
        <v>1</v>
      </c>
      <c r="Z2706" s="13">
        <f t="shared" si="1998"/>
        <v>0</v>
      </c>
      <c r="AA2706" s="13"/>
      <c r="AB2706" s="13"/>
      <c r="AC2706" s="20"/>
      <c r="AD2706" s="20"/>
      <c r="AE2706" s="20"/>
      <c r="AF2706" s="20"/>
      <c r="AG2706" s="20"/>
      <c r="AH2706" s="20"/>
      <c r="AI2706" s="20"/>
      <c r="AJ2706" s="20"/>
      <c r="AK2706" s="20"/>
      <c r="AL2706" s="20"/>
      <c r="AM2706" s="20"/>
      <c r="AN2706" s="20"/>
      <c r="AO2706" s="20"/>
      <c r="AP2706" s="20"/>
      <c r="AQ2706" s="20"/>
      <c r="AR2706" s="20"/>
      <c r="AS2706" s="20"/>
    </row>
    <row r="2707" ht="14.25" hidden="1" customHeight="1">
      <c r="A2707" s="13" t="s">
        <v>36</v>
      </c>
      <c r="B2707" s="13" t="s">
        <v>39</v>
      </c>
      <c r="C2707" s="13" t="s">
        <v>1738</v>
      </c>
      <c r="D2707" s="13" t="s">
        <v>174</v>
      </c>
      <c r="F2707" s="13"/>
      <c r="G2707" s="13" t="s">
        <v>111</v>
      </c>
      <c r="H2707" s="13" t="s">
        <v>75</v>
      </c>
      <c r="I2707" s="13"/>
      <c r="J2707" s="13"/>
      <c r="K2707" s="15">
        <v>0.0</v>
      </c>
      <c r="L2707" s="15">
        <v>0.0</v>
      </c>
      <c r="M2707" s="16"/>
      <c r="N2707" s="16"/>
      <c r="O2707" s="17"/>
      <c r="P2707" s="17"/>
      <c r="Q2707" s="13">
        <f t="shared" si="2888"/>
        <v>0</v>
      </c>
      <c r="R2707" s="13"/>
      <c r="S2707" s="13"/>
      <c r="T2707" s="13">
        <f t="shared" ref="T2707:Y2707" si="2906">IF(ISBLANK(K2707)=TRUE,0,1)</f>
        <v>1</v>
      </c>
      <c r="U2707" s="13">
        <f t="shared" si="2906"/>
        <v>1</v>
      </c>
      <c r="V2707" s="13">
        <f t="shared" si="2906"/>
        <v>0</v>
      </c>
      <c r="W2707" s="13">
        <f t="shared" si="2906"/>
        <v>0</v>
      </c>
      <c r="X2707" s="13">
        <f t="shared" si="2906"/>
        <v>0</v>
      </c>
      <c r="Y2707" s="13">
        <f t="shared" si="2906"/>
        <v>0</v>
      </c>
      <c r="Z2707" s="13">
        <f t="shared" si="1998"/>
        <v>0</v>
      </c>
      <c r="AA2707" s="13"/>
      <c r="AB2707" s="13"/>
      <c r="AC2707" s="13"/>
      <c r="AD2707" s="13"/>
      <c r="AE2707" s="13"/>
      <c r="AF2707" s="13"/>
      <c r="AG2707" s="13"/>
      <c r="AH2707" s="13"/>
      <c r="AI2707" s="13"/>
      <c r="AJ2707" s="13"/>
      <c r="AK2707" s="13"/>
      <c r="AL2707" s="13"/>
      <c r="AM2707" s="13"/>
      <c r="AN2707" s="13"/>
      <c r="AO2707" s="13"/>
      <c r="AP2707" s="13"/>
      <c r="AQ2707" s="13"/>
      <c r="AR2707" s="13"/>
      <c r="AS2707" s="13"/>
    </row>
    <row r="2708" ht="14.25" hidden="1" customHeight="1">
      <c r="A2708" s="13" t="s">
        <v>29</v>
      </c>
      <c r="B2708" s="13" t="s">
        <v>30</v>
      </c>
      <c r="C2708" s="18" t="s">
        <v>1739</v>
      </c>
      <c r="D2708" s="13"/>
      <c r="E2708" s="13" t="str">
        <f>CONCATENATE(B2708,",",C2708,",",D2708,",",Z2708)</f>
        <v>SJC,909-6-50,,NA</v>
      </c>
      <c r="F2708" s="13"/>
      <c r="G2708" s="13" t="s">
        <v>111</v>
      </c>
      <c r="H2708" s="13" t="s">
        <v>75</v>
      </c>
      <c r="I2708" s="13"/>
      <c r="J2708" s="13"/>
      <c r="K2708" s="15"/>
      <c r="L2708" s="15"/>
      <c r="M2708" s="16"/>
      <c r="N2708" s="16"/>
      <c r="O2708" s="17"/>
      <c r="P2708" s="17"/>
      <c r="Q2708" s="13"/>
      <c r="R2708" s="13"/>
      <c r="S2708" s="13"/>
      <c r="T2708" s="13">
        <f t="shared" ref="T2708:Y2708" si="2907">IF(ISBLANK(K2708)=TRUE,0,1)</f>
        <v>0</v>
      </c>
      <c r="U2708" s="13">
        <f t="shared" si="2907"/>
        <v>0</v>
      </c>
      <c r="V2708" s="13">
        <f t="shared" si="2907"/>
        <v>0</v>
      </c>
      <c r="W2708" s="13">
        <f t="shared" si="2907"/>
        <v>0</v>
      </c>
      <c r="X2708" s="13">
        <f t="shared" si="2907"/>
        <v>0</v>
      </c>
      <c r="Y2708" s="13">
        <f t="shared" si="2907"/>
        <v>0</v>
      </c>
      <c r="Z2708" s="13" t="str">
        <f t="shared" si="1998"/>
        <v>NA</v>
      </c>
      <c r="AA2708" s="13"/>
      <c r="AB2708" s="13"/>
      <c r="AC2708" s="13"/>
      <c r="AD2708" s="13"/>
      <c r="AE2708" s="13"/>
      <c r="AF2708" s="13"/>
      <c r="AG2708" s="13"/>
      <c r="AH2708" s="13"/>
      <c r="AI2708" s="13"/>
      <c r="AJ2708" s="13"/>
      <c r="AK2708" s="13"/>
      <c r="AL2708" s="13"/>
      <c r="AM2708" s="13"/>
      <c r="AN2708" s="13"/>
      <c r="AO2708" s="13"/>
      <c r="AP2708" s="13"/>
      <c r="AQ2708" s="13"/>
      <c r="AR2708" s="13"/>
      <c r="AS2708" s="13"/>
    </row>
    <row r="2709" ht="14.25" customHeight="1">
      <c r="A2709" s="13" t="s">
        <v>36</v>
      </c>
      <c r="B2709" s="13" t="s">
        <v>42</v>
      </c>
      <c r="C2709" s="13">
        <v>1.0</v>
      </c>
      <c r="D2709" s="13" t="s">
        <v>174</v>
      </c>
      <c r="F2709" s="13"/>
      <c r="G2709" s="13" t="s">
        <v>111</v>
      </c>
      <c r="H2709" s="13" t="s">
        <v>75</v>
      </c>
      <c r="I2709" s="13"/>
      <c r="J2709" s="13"/>
      <c r="K2709" s="15">
        <v>0.0</v>
      </c>
      <c r="L2709" s="15">
        <v>0.0</v>
      </c>
      <c r="M2709" s="16"/>
      <c r="N2709" s="16"/>
      <c r="O2709" s="17"/>
      <c r="P2709" s="17"/>
      <c r="Q2709" s="13">
        <f t="shared" ref="Q2709:Q2721" si="2909">K2708+L2708+M2708+N2708+O2708+P2708/6</f>
        <v>0</v>
      </c>
      <c r="R2709" s="13"/>
      <c r="S2709" s="13"/>
      <c r="T2709" s="13">
        <f t="shared" ref="T2709:Y2709" si="2908">IF(ISBLANK(K2709)=TRUE,0,1)</f>
        <v>1</v>
      </c>
      <c r="U2709" s="13">
        <f t="shared" si="2908"/>
        <v>1</v>
      </c>
      <c r="V2709" s="13">
        <f t="shared" si="2908"/>
        <v>0</v>
      </c>
      <c r="W2709" s="13">
        <f t="shared" si="2908"/>
        <v>0</v>
      </c>
      <c r="X2709" s="13">
        <f t="shared" si="2908"/>
        <v>0</v>
      </c>
      <c r="Y2709" s="13">
        <f t="shared" si="2908"/>
        <v>0</v>
      </c>
      <c r="Z2709" s="13">
        <f t="shared" si="1998"/>
        <v>0</v>
      </c>
      <c r="AA2709" s="13"/>
      <c r="AB2709" s="13"/>
      <c r="AC2709" s="13"/>
      <c r="AD2709" s="13"/>
      <c r="AE2709" s="13"/>
      <c r="AF2709" s="13"/>
      <c r="AG2709" s="13"/>
      <c r="AH2709" s="13"/>
      <c r="AI2709" s="13"/>
      <c r="AJ2709" s="13"/>
      <c r="AK2709" s="13"/>
      <c r="AL2709" s="13"/>
      <c r="AM2709" s="13"/>
      <c r="AN2709" s="13"/>
      <c r="AO2709" s="13"/>
      <c r="AP2709" s="13"/>
      <c r="AQ2709" s="13"/>
      <c r="AR2709" s="13"/>
      <c r="AS2709" s="13"/>
    </row>
    <row r="2710" ht="14.25" customHeight="1">
      <c r="A2710" s="13" t="s">
        <v>36</v>
      </c>
      <c r="B2710" s="13" t="s">
        <v>42</v>
      </c>
      <c r="C2710" s="13">
        <v>1.0</v>
      </c>
      <c r="D2710" s="13" t="s">
        <v>175</v>
      </c>
      <c r="F2710" s="13"/>
      <c r="G2710" s="13" t="s">
        <v>111</v>
      </c>
      <c r="H2710" s="13" t="s">
        <v>75</v>
      </c>
      <c r="I2710" s="13"/>
      <c r="J2710" s="13"/>
      <c r="K2710" s="15">
        <v>0.0</v>
      </c>
      <c r="L2710" s="15">
        <v>0.0</v>
      </c>
      <c r="M2710" s="16"/>
      <c r="N2710" s="16"/>
      <c r="O2710" s="17"/>
      <c r="P2710" s="17"/>
      <c r="Q2710" s="13">
        <f t="shared" si="2909"/>
        <v>0</v>
      </c>
      <c r="R2710" s="13"/>
      <c r="S2710" s="13"/>
      <c r="T2710" s="13">
        <f t="shared" ref="T2710:Y2710" si="2910">IF(ISBLANK(K2710)=TRUE,0,1)</f>
        <v>1</v>
      </c>
      <c r="U2710" s="13">
        <f t="shared" si="2910"/>
        <v>1</v>
      </c>
      <c r="V2710" s="13">
        <f t="shared" si="2910"/>
        <v>0</v>
      </c>
      <c r="W2710" s="13">
        <f t="shared" si="2910"/>
        <v>0</v>
      </c>
      <c r="X2710" s="13">
        <f t="shared" si="2910"/>
        <v>0</v>
      </c>
      <c r="Y2710" s="13">
        <f t="shared" si="2910"/>
        <v>0</v>
      </c>
      <c r="Z2710" s="13">
        <f t="shared" si="1998"/>
        <v>0</v>
      </c>
      <c r="AA2710" s="13"/>
      <c r="AB2710" s="13"/>
      <c r="AC2710" s="13"/>
      <c r="AD2710" s="13"/>
      <c r="AE2710" s="13"/>
      <c r="AF2710" s="13"/>
      <c r="AG2710" s="13"/>
      <c r="AH2710" s="13"/>
      <c r="AI2710" s="13"/>
      <c r="AJ2710" s="13"/>
      <c r="AK2710" s="13"/>
      <c r="AL2710" s="13"/>
      <c r="AM2710" s="13"/>
      <c r="AN2710" s="13"/>
      <c r="AO2710" s="13"/>
      <c r="AP2710" s="13"/>
      <c r="AQ2710" s="13"/>
      <c r="AR2710" s="13"/>
      <c r="AS2710" s="13"/>
    </row>
    <row r="2711" ht="14.25" customHeight="1">
      <c r="A2711" s="13" t="s">
        <v>36</v>
      </c>
      <c r="B2711" s="13" t="s">
        <v>42</v>
      </c>
      <c r="C2711" s="13">
        <v>1.0</v>
      </c>
      <c r="D2711" s="13" t="s">
        <v>176</v>
      </c>
      <c r="F2711" s="13"/>
      <c r="G2711" s="13" t="s">
        <v>111</v>
      </c>
      <c r="H2711" s="13" t="s">
        <v>75</v>
      </c>
      <c r="I2711" s="13"/>
      <c r="J2711" s="13"/>
      <c r="K2711" s="15">
        <v>0.0</v>
      </c>
      <c r="L2711" s="15">
        <v>0.0</v>
      </c>
      <c r="M2711" s="16"/>
      <c r="N2711" s="16"/>
      <c r="O2711" s="17"/>
      <c r="P2711" s="17"/>
      <c r="Q2711" s="13">
        <f t="shared" si="2909"/>
        <v>0</v>
      </c>
      <c r="R2711" s="13"/>
      <c r="S2711" s="13"/>
      <c r="T2711" s="13">
        <f t="shared" ref="T2711:Y2711" si="2911">IF(ISBLANK(K2711)=TRUE,0,1)</f>
        <v>1</v>
      </c>
      <c r="U2711" s="13">
        <f t="shared" si="2911"/>
        <v>1</v>
      </c>
      <c r="V2711" s="13">
        <f t="shared" si="2911"/>
        <v>0</v>
      </c>
      <c r="W2711" s="13">
        <f t="shared" si="2911"/>
        <v>0</v>
      </c>
      <c r="X2711" s="13">
        <f t="shared" si="2911"/>
        <v>0</v>
      </c>
      <c r="Y2711" s="13">
        <f t="shared" si="2911"/>
        <v>0</v>
      </c>
      <c r="Z2711" s="13">
        <f t="shared" si="1998"/>
        <v>0</v>
      </c>
      <c r="AA2711" s="13"/>
      <c r="AB2711" s="13"/>
      <c r="AC2711" s="13"/>
      <c r="AD2711" s="13"/>
      <c r="AE2711" s="13"/>
      <c r="AF2711" s="13"/>
      <c r="AG2711" s="13"/>
      <c r="AH2711" s="13"/>
      <c r="AI2711" s="13"/>
      <c r="AJ2711" s="13"/>
      <c r="AK2711" s="13"/>
      <c r="AL2711" s="13"/>
      <c r="AM2711" s="13"/>
      <c r="AN2711" s="13"/>
      <c r="AO2711" s="13"/>
      <c r="AP2711" s="13"/>
      <c r="AQ2711" s="13"/>
      <c r="AR2711" s="13"/>
      <c r="AS2711" s="13"/>
    </row>
    <row r="2712" ht="14.25" customHeight="1">
      <c r="A2712" s="13" t="s">
        <v>36</v>
      </c>
      <c r="B2712" s="13" t="s">
        <v>42</v>
      </c>
      <c r="C2712" s="13">
        <v>1.0</v>
      </c>
      <c r="D2712" s="13" t="s">
        <v>177</v>
      </c>
      <c r="F2712" s="13"/>
      <c r="G2712" s="13" t="s">
        <v>111</v>
      </c>
      <c r="H2712" s="13" t="s">
        <v>75</v>
      </c>
      <c r="I2712" s="13"/>
      <c r="J2712" s="13"/>
      <c r="K2712" s="15">
        <v>0.0</v>
      </c>
      <c r="L2712" s="15">
        <v>0.0</v>
      </c>
      <c r="M2712" s="16"/>
      <c r="N2712" s="16"/>
      <c r="O2712" s="17"/>
      <c r="P2712" s="17"/>
      <c r="Q2712" s="13">
        <f t="shared" si="2909"/>
        <v>0</v>
      </c>
      <c r="R2712" s="13"/>
      <c r="S2712" s="13"/>
      <c r="T2712" s="13">
        <f t="shared" ref="T2712:Y2712" si="2912">IF(ISBLANK(K2712)=TRUE,0,1)</f>
        <v>1</v>
      </c>
      <c r="U2712" s="13">
        <f t="shared" si="2912"/>
        <v>1</v>
      </c>
      <c r="V2712" s="13">
        <f t="shared" si="2912"/>
        <v>0</v>
      </c>
      <c r="W2712" s="13">
        <f t="shared" si="2912"/>
        <v>0</v>
      </c>
      <c r="X2712" s="13">
        <f t="shared" si="2912"/>
        <v>0</v>
      </c>
      <c r="Y2712" s="13">
        <f t="shared" si="2912"/>
        <v>0</v>
      </c>
      <c r="Z2712" s="13">
        <f t="shared" si="1998"/>
        <v>0</v>
      </c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13"/>
      <c r="AK2712" s="13"/>
      <c r="AL2712" s="13"/>
      <c r="AM2712" s="13"/>
      <c r="AN2712" s="13"/>
      <c r="AO2712" s="13"/>
      <c r="AP2712" s="13"/>
      <c r="AQ2712" s="13"/>
      <c r="AR2712" s="13"/>
      <c r="AS2712" s="13"/>
    </row>
    <row r="2713" ht="14.25" customHeight="1">
      <c r="A2713" s="13" t="s">
        <v>36</v>
      </c>
      <c r="B2713" s="13" t="s">
        <v>42</v>
      </c>
      <c r="C2713" s="13">
        <v>1.0</v>
      </c>
      <c r="D2713" s="13" t="s">
        <v>178</v>
      </c>
      <c r="F2713" s="13"/>
      <c r="G2713" s="13" t="s">
        <v>111</v>
      </c>
      <c r="H2713" s="13" t="s">
        <v>75</v>
      </c>
      <c r="I2713" s="13"/>
      <c r="J2713" s="13"/>
      <c r="K2713" s="15">
        <v>0.0</v>
      </c>
      <c r="L2713" s="15">
        <v>0.0</v>
      </c>
      <c r="M2713" s="16"/>
      <c r="N2713" s="16"/>
      <c r="O2713" s="17"/>
      <c r="P2713" s="17"/>
      <c r="Q2713" s="13">
        <f t="shared" si="2909"/>
        <v>0</v>
      </c>
      <c r="R2713" s="13"/>
      <c r="S2713" s="13"/>
      <c r="T2713" s="13">
        <f t="shared" ref="T2713:Y2713" si="2913">IF(ISBLANK(K2713)=TRUE,0,1)</f>
        <v>1</v>
      </c>
      <c r="U2713" s="13">
        <f t="shared" si="2913"/>
        <v>1</v>
      </c>
      <c r="V2713" s="13">
        <f t="shared" si="2913"/>
        <v>0</v>
      </c>
      <c r="W2713" s="13">
        <f t="shared" si="2913"/>
        <v>0</v>
      </c>
      <c r="X2713" s="13">
        <f t="shared" si="2913"/>
        <v>0</v>
      </c>
      <c r="Y2713" s="13">
        <f t="shared" si="2913"/>
        <v>0</v>
      </c>
      <c r="Z2713" s="13">
        <f t="shared" si="1998"/>
        <v>0</v>
      </c>
      <c r="AA2713" s="13"/>
      <c r="AB2713" s="13"/>
      <c r="AC2713" s="13"/>
      <c r="AD2713" s="13"/>
      <c r="AE2713" s="13"/>
      <c r="AF2713" s="13"/>
      <c r="AG2713" s="13"/>
      <c r="AH2713" s="13"/>
      <c r="AI2713" s="13"/>
      <c r="AJ2713" s="13"/>
      <c r="AK2713" s="13"/>
      <c r="AL2713" s="13"/>
      <c r="AM2713" s="13"/>
      <c r="AN2713" s="13"/>
      <c r="AO2713" s="13"/>
      <c r="AP2713" s="13"/>
      <c r="AQ2713" s="13"/>
      <c r="AR2713" s="13"/>
      <c r="AS2713" s="13"/>
    </row>
    <row r="2714" ht="14.25" customHeight="1">
      <c r="A2714" s="13" t="s">
        <v>36</v>
      </c>
      <c r="B2714" s="13" t="s">
        <v>42</v>
      </c>
      <c r="C2714" s="13">
        <v>1.0</v>
      </c>
      <c r="D2714" s="13" t="s">
        <v>179</v>
      </c>
      <c r="F2714" s="13"/>
      <c r="G2714" s="13" t="s">
        <v>111</v>
      </c>
      <c r="H2714" s="13" t="s">
        <v>75</v>
      </c>
      <c r="I2714" s="13"/>
      <c r="J2714" s="13"/>
      <c r="K2714" s="15">
        <v>0.0</v>
      </c>
      <c r="L2714" s="15">
        <v>0.0</v>
      </c>
      <c r="M2714" s="16"/>
      <c r="N2714" s="16"/>
      <c r="O2714" s="17"/>
      <c r="P2714" s="17"/>
      <c r="Q2714" s="13">
        <f t="shared" si="2909"/>
        <v>0</v>
      </c>
      <c r="R2714" s="13"/>
      <c r="S2714" s="13"/>
      <c r="T2714" s="13">
        <f t="shared" ref="T2714:Y2714" si="2914">IF(ISBLANK(K2714)=TRUE,0,1)</f>
        <v>1</v>
      </c>
      <c r="U2714" s="13">
        <f t="shared" si="2914"/>
        <v>1</v>
      </c>
      <c r="V2714" s="13">
        <f t="shared" si="2914"/>
        <v>0</v>
      </c>
      <c r="W2714" s="13">
        <f t="shared" si="2914"/>
        <v>0</v>
      </c>
      <c r="X2714" s="13">
        <f t="shared" si="2914"/>
        <v>0</v>
      </c>
      <c r="Y2714" s="13">
        <f t="shared" si="2914"/>
        <v>0</v>
      </c>
      <c r="Z2714" s="13">
        <f t="shared" si="1998"/>
        <v>0</v>
      </c>
      <c r="AA2714" s="13"/>
      <c r="AB2714" s="13"/>
      <c r="AC2714" s="13"/>
      <c r="AD2714" s="13"/>
      <c r="AE2714" s="13"/>
      <c r="AF2714" s="13"/>
      <c r="AG2714" s="13"/>
      <c r="AH2714" s="13"/>
      <c r="AI2714" s="13"/>
      <c r="AJ2714" s="13"/>
      <c r="AK2714" s="13"/>
      <c r="AL2714" s="13"/>
      <c r="AM2714" s="13"/>
      <c r="AN2714" s="13"/>
      <c r="AO2714" s="13"/>
      <c r="AP2714" s="13"/>
      <c r="AQ2714" s="13"/>
      <c r="AR2714" s="13"/>
      <c r="AS2714" s="13"/>
    </row>
    <row r="2715" ht="14.25" customHeight="1">
      <c r="A2715" s="13" t="s">
        <v>36</v>
      </c>
      <c r="B2715" s="13" t="s">
        <v>42</v>
      </c>
      <c r="C2715" s="13">
        <v>2.0</v>
      </c>
      <c r="D2715" s="13" t="s">
        <v>174</v>
      </c>
      <c r="F2715" s="13"/>
      <c r="G2715" s="13" t="s">
        <v>111</v>
      </c>
      <c r="H2715" s="13" t="s">
        <v>75</v>
      </c>
      <c r="I2715" s="13"/>
      <c r="J2715" s="13"/>
      <c r="K2715" s="15">
        <v>1.0</v>
      </c>
      <c r="L2715" s="15">
        <v>1.0</v>
      </c>
      <c r="M2715" s="16"/>
      <c r="N2715" s="16"/>
      <c r="O2715" s="17"/>
      <c r="P2715" s="17"/>
      <c r="Q2715" s="13">
        <f t="shared" si="2909"/>
        <v>0</v>
      </c>
      <c r="R2715" s="13"/>
      <c r="S2715" s="13"/>
      <c r="T2715" s="13">
        <f t="shared" ref="T2715:Y2715" si="2915">IF(ISBLANK(K2715)=TRUE,0,1)</f>
        <v>1</v>
      </c>
      <c r="U2715" s="13">
        <f t="shared" si="2915"/>
        <v>1</v>
      </c>
      <c r="V2715" s="13">
        <f t="shared" si="2915"/>
        <v>0</v>
      </c>
      <c r="W2715" s="13">
        <f t="shared" si="2915"/>
        <v>0</v>
      </c>
      <c r="X2715" s="13">
        <f t="shared" si="2915"/>
        <v>0</v>
      </c>
      <c r="Y2715" s="13">
        <f t="shared" si="2915"/>
        <v>0</v>
      </c>
      <c r="Z2715" s="13">
        <f t="shared" si="1998"/>
        <v>1</v>
      </c>
      <c r="AA2715" s="13"/>
      <c r="AB2715" s="13"/>
      <c r="AC2715" s="13"/>
      <c r="AD2715" s="13"/>
      <c r="AE2715" s="13"/>
      <c r="AF2715" s="13"/>
      <c r="AG2715" s="13"/>
      <c r="AH2715" s="13"/>
      <c r="AI2715" s="13"/>
      <c r="AJ2715" s="13"/>
      <c r="AK2715" s="13"/>
      <c r="AL2715" s="13"/>
      <c r="AM2715" s="13"/>
      <c r="AN2715" s="13"/>
      <c r="AO2715" s="13"/>
      <c r="AP2715" s="13"/>
      <c r="AQ2715" s="13"/>
      <c r="AR2715" s="13"/>
      <c r="AS2715" s="13"/>
    </row>
    <row r="2716" ht="14.25" customHeight="1">
      <c r="A2716" s="13" t="s">
        <v>36</v>
      </c>
      <c r="B2716" s="13" t="s">
        <v>42</v>
      </c>
      <c r="C2716" s="13">
        <v>2.0</v>
      </c>
      <c r="D2716" s="13" t="s">
        <v>175</v>
      </c>
      <c r="F2716" s="13"/>
      <c r="G2716" s="13" t="s">
        <v>111</v>
      </c>
      <c r="H2716" s="13" t="s">
        <v>75</v>
      </c>
      <c r="I2716" s="13"/>
      <c r="J2716" s="13"/>
      <c r="K2716" s="15">
        <v>1.0</v>
      </c>
      <c r="L2716" s="15">
        <v>1.0</v>
      </c>
      <c r="M2716" s="16"/>
      <c r="N2716" s="16"/>
      <c r="O2716" s="17"/>
      <c r="P2716" s="17"/>
      <c r="Q2716" s="13">
        <f t="shared" si="2909"/>
        <v>2</v>
      </c>
      <c r="R2716" s="13"/>
      <c r="S2716" s="13"/>
      <c r="T2716" s="13">
        <f t="shared" ref="T2716:Y2716" si="2916">IF(ISBLANK(K2716)=TRUE,0,1)</f>
        <v>1</v>
      </c>
      <c r="U2716" s="13">
        <f t="shared" si="2916"/>
        <v>1</v>
      </c>
      <c r="V2716" s="13">
        <f t="shared" si="2916"/>
        <v>0</v>
      </c>
      <c r="W2716" s="13">
        <f t="shared" si="2916"/>
        <v>0</v>
      </c>
      <c r="X2716" s="13">
        <f t="shared" si="2916"/>
        <v>0</v>
      </c>
      <c r="Y2716" s="13">
        <f t="shared" si="2916"/>
        <v>0</v>
      </c>
      <c r="Z2716" s="13">
        <f t="shared" si="1998"/>
        <v>1</v>
      </c>
      <c r="AA2716" s="13"/>
      <c r="AB2716" s="13"/>
      <c r="AC2716" s="13"/>
      <c r="AD2716" s="13"/>
      <c r="AE2716" s="13"/>
      <c r="AF2716" s="13"/>
      <c r="AG2716" s="13"/>
      <c r="AH2716" s="13"/>
      <c r="AI2716" s="13"/>
      <c r="AJ2716" s="13"/>
      <c r="AK2716" s="13"/>
      <c r="AL2716" s="13"/>
      <c r="AM2716" s="13"/>
      <c r="AN2716" s="13"/>
      <c r="AO2716" s="13"/>
      <c r="AP2716" s="13"/>
      <c r="AQ2716" s="13"/>
      <c r="AR2716" s="13"/>
      <c r="AS2716" s="13"/>
    </row>
    <row r="2717" ht="14.25" hidden="1" customHeight="1">
      <c r="A2717" s="13" t="s">
        <v>36</v>
      </c>
      <c r="B2717" s="13" t="s">
        <v>39</v>
      </c>
      <c r="C2717" s="13" t="s">
        <v>1738</v>
      </c>
      <c r="D2717" s="13" t="s">
        <v>175</v>
      </c>
      <c r="F2717" s="13"/>
      <c r="G2717" s="13" t="s">
        <v>111</v>
      </c>
      <c r="H2717" s="13" t="s">
        <v>75</v>
      </c>
      <c r="I2717" s="13"/>
      <c r="J2717" s="13"/>
      <c r="K2717" s="15">
        <v>0.0</v>
      </c>
      <c r="L2717" s="15">
        <v>0.0</v>
      </c>
      <c r="M2717" s="16"/>
      <c r="N2717" s="16"/>
      <c r="O2717" s="17"/>
      <c r="P2717" s="17"/>
      <c r="Q2717" s="13">
        <f t="shared" si="2909"/>
        <v>2</v>
      </c>
      <c r="R2717" s="13"/>
      <c r="S2717" s="13"/>
      <c r="T2717" s="13">
        <f t="shared" ref="T2717:Y2717" si="2917">IF(ISBLANK(K2717)=TRUE,0,1)</f>
        <v>1</v>
      </c>
      <c r="U2717" s="13">
        <f t="shared" si="2917"/>
        <v>1</v>
      </c>
      <c r="V2717" s="13">
        <f t="shared" si="2917"/>
        <v>0</v>
      </c>
      <c r="W2717" s="13">
        <f t="shared" si="2917"/>
        <v>0</v>
      </c>
      <c r="X2717" s="13">
        <f t="shared" si="2917"/>
        <v>0</v>
      </c>
      <c r="Y2717" s="13">
        <f t="shared" si="2917"/>
        <v>0</v>
      </c>
      <c r="Z2717" s="13">
        <f t="shared" si="1998"/>
        <v>0</v>
      </c>
      <c r="AA2717" s="13"/>
      <c r="AB2717" s="13"/>
      <c r="AC2717" s="13"/>
      <c r="AD2717" s="13"/>
      <c r="AE2717" s="13"/>
      <c r="AF2717" s="13"/>
      <c r="AG2717" s="13"/>
      <c r="AH2717" s="13"/>
      <c r="AI2717" s="13"/>
      <c r="AJ2717" s="13"/>
      <c r="AK2717" s="13"/>
      <c r="AL2717" s="13"/>
      <c r="AM2717" s="13"/>
      <c r="AN2717" s="13"/>
      <c r="AO2717" s="13"/>
      <c r="AP2717" s="13"/>
      <c r="AQ2717" s="13"/>
      <c r="AR2717" s="13"/>
      <c r="AS2717" s="13"/>
    </row>
    <row r="2718" ht="14.25" hidden="1" customHeight="1">
      <c r="A2718" s="13" t="s">
        <v>36</v>
      </c>
      <c r="B2718" s="13" t="s">
        <v>39</v>
      </c>
      <c r="C2718" s="13" t="s">
        <v>1738</v>
      </c>
      <c r="D2718" s="13" t="s">
        <v>176</v>
      </c>
      <c r="F2718" s="13"/>
      <c r="G2718" s="13" t="s">
        <v>111</v>
      </c>
      <c r="H2718" s="13" t="s">
        <v>75</v>
      </c>
      <c r="I2718" s="13"/>
      <c r="J2718" s="13"/>
      <c r="K2718" s="15">
        <v>0.0</v>
      </c>
      <c r="L2718" s="15">
        <v>0.0</v>
      </c>
      <c r="M2718" s="16"/>
      <c r="N2718" s="16"/>
      <c r="O2718" s="17"/>
      <c r="P2718" s="17"/>
      <c r="Q2718" s="13">
        <f t="shared" si="2909"/>
        <v>0</v>
      </c>
      <c r="R2718" s="13"/>
      <c r="S2718" s="13"/>
      <c r="T2718" s="13">
        <f t="shared" ref="T2718:Y2718" si="2918">IF(ISBLANK(K2718)=TRUE,0,1)</f>
        <v>1</v>
      </c>
      <c r="U2718" s="13">
        <f t="shared" si="2918"/>
        <v>1</v>
      </c>
      <c r="V2718" s="13">
        <f t="shared" si="2918"/>
        <v>0</v>
      </c>
      <c r="W2718" s="13">
        <f t="shared" si="2918"/>
        <v>0</v>
      </c>
      <c r="X2718" s="13">
        <f t="shared" si="2918"/>
        <v>0</v>
      </c>
      <c r="Y2718" s="13">
        <f t="shared" si="2918"/>
        <v>0</v>
      </c>
      <c r="Z2718" s="13">
        <f t="shared" si="1998"/>
        <v>0</v>
      </c>
      <c r="AA2718" s="13"/>
      <c r="AB2718" s="13"/>
      <c r="AC2718" s="13"/>
      <c r="AD2718" s="13"/>
      <c r="AE2718" s="13"/>
      <c r="AF2718" s="13"/>
      <c r="AG2718" s="13"/>
      <c r="AH2718" s="13"/>
      <c r="AI2718" s="13"/>
      <c r="AJ2718" s="13"/>
      <c r="AK2718" s="13"/>
      <c r="AL2718" s="13"/>
      <c r="AM2718" s="13"/>
      <c r="AN2718" s="13"/>
      <c r="AO2718" s="13"/>
      <c r="AP2718" s="13"/>
      <c r="AQ2718" s="13"/>
      <c r="AR2718" s="13"/>
      <c r="AS2718" s="13"/>
    </row>
    <row r="2719" ht="14.25" customHeight="1">
      <c r="A2719" s="13" t="s">
        <v>36</v>
      </c>
      <c r="B2719" s="13" t="s">
        <v>42</v>
      </c>
      <c r="C2719" s="13">
        <v>2.0</v>
      </c>
      <c r="D2719" s="13" t="s">
        <v>176</v>
      </c>
      <c r="F2719" s="13"/>
      <c r="G2719" s="13" t="s">
        <v>111</v>
      </c>
      <c r="H2719" s="13" t="s">
        <v>75</v>
      </c>
      <c r="I2719" s="13"/>
      <c r="J2719" s="13"/>
      <c r="K2719" s="15">
        <v>1.0</v>
      </c>
      <c r="L2719" s="15">
        <v>1.0</v>
      </c>
      <c r="M2719" s="16"/>
      <c r="N2719" s="16"/>
      <c r="O2719" s="17"/>
      <c r="P2719" s="17"/>
      <c r="Q2719" s="13">
        <f t="shared" si="2909"/>
        <v>0</v>
      </c>
      <c r="R2719" s="13"/>
      <c r="S2719" s="13"/>
      <c r="T2719" s="13">
        <f t="shared" ref="T2719:Y2719" si="2919">IF(ISBLANK(K2719)=TRUE,0,1)</f>
        <v>1</v>
      </c>
      <c r="U2719" s="13">
        <f t="shared" si="2919"/>
        <v>1</v>
      </c>
      <c r="V2719" s="13">
        <f t="shared" si="2919"/>
        <v>0</v>
      </c>
      <c r="W2719" s="13">
        <f t="shared" si="2919"/>
        <v>0</v>
      </c>
      <c r="X2719" s="13">
        <f t="shared" si="2919"/>
        <v>0</v>
      </c>
      <c r="Y2719" s="13">
        <f t="shared" si="2919"/>
        <v>0</v>
      </c>
      <c r="Z2719" s="13">
        <f t="shared" si="1998"/>
        <v>1</v>
      </c>
      <c r="AA2719" s="13"/>
      <c r="AB2719" s="13"/>
      <c r="AC2719" s="13"/>
      <c r="AD2719" s="13"/>
      <c r="AE2719" s="13"/>
      <c r="AF2719" s="13"/>
      <c r="AG2719" s="13"/>
      <c r="AH2719" s="13"/>
      <c r="AI2719" s="13"/>
      <c r="AJ2719" s="13"/>
      <c r="AK2719" s="13"/>
      <c r="AL2719" s="13"/>
      <c r="AM2719" s="13"/>
      <c r="AN2719" s="13"/>
      <c r="AO2719" s="13"/>
      <c r="AP2719" s="13"/>
      <c r="AQ2719" s="13"/>
      <c r="AR2719" s="13"/>
      <c r="AS2719" s="13"/>
    </row>
    <row r="2720" ht="14.25" customHeight="1">
      <c r="A2720" s="13" t="s">
        <v>36</v>
      </c>
      <c r="B2720" s="13" t="s">
        <v>42</v>
      </c>
      <c r="C2720" s="13">
        <v>2.0</v>
      </c>
      <c r="D2720" s="13" t="s">
        <v>177</v>
      </c>
      <c r="F2720" s="13"/>
      <c r="G2720" s="13" t="s">
        <v>111</v>
      </c>
      <c r="H2720" s="13" t="s">
        <v>75</v>
      </c>
      <c r="I2720" s="13"/>
      <c r="J2720" s="13"/>
      <c r="K2720" s="15">
        <v>1.0</v>
      </c>
      <c r="L2720" s="15">
        <v>1.0</v>
      </c>
      <c r="M2720" s="16"/>
      <c r="N2720" s="16"/>
      <c r="O2720" s="17"/>
      <c r="P2720" s="17"/>
      <c r="Q2720" s="13">
        <f t="shared" si="2909"/>
        <v>2</v>
      </c>
      <c r="R2720" s="13"/>
      <c r="S2720" s="13"/>
      <c r="T2720" s="13">
        <f t="shared" ref="T2720:Y2720" si="2920">IF(ISBLANK(K2720)=TRUE,0,1)</f>
        <v>1</v>
      </c>
      <c r="U2720" s="13">
        <f t="shared" si="2920"/>
        <v>1</v>
      </c>
      <c r="V2720" s="13">
        <f t="shared" si="2920"/>
        <v>0</v>
      </c>
      <c r="W2720" s="13">
        <f t="shared" si="2920"/>
        <v>0</v>
      </c>
      <c r="X2720" s="13">
        <f t="shared" si="2920"/>
        <v>0</v>
      </c>
      <c r="Y2720" s="13">
        <f t="shared" si="2920"/>
        <v>0</v>
      </c>
      <c r="Z2720" s="13">
        <f t="shared" si="1998"/>
        <v>1</v>
      </c>
      <c r="AA2720" s="13"/>
      <c r="AB2720" s="13"/>
      <c r="AC2720" s="13"/>
      <c r="AD2720" s="13"/>
      <c r="AE2720" s="13"/>
      <c r="AF2720" s="13"/>
      <c r="AG2720" s="13"/>
      <c r="AH2720" s="13"/>
      <c r="AI2720" s="13"/>
      <c r="AJ2720" s="13"/>
      <c r="AK2720" s="13"/>
      <c r="AL2720" s="13"/>
      <c r="AM2720" s="13"/>
      <c r="AN2720" s="13"/>
      <c r="AO2720" s="13"/>
      <c r="AP2720" s="13"/>
      <c r="AQ2720" s="13"/>
      <c r="AR2720" s="13"/>
      <c r="AS2720" s="13"/>
    </row>
    <row r="2721" ht="14.25" hidden="1" customHeight="1">
      <c r="A2721" s="13" t="s">
        <v>36</v>
      </c>
      <c r="B2721" s="13" t="s">
        <v>39</v>
      </c>
      <c r="C2721" s="13" t="s">
        <v>1738</v>
      </c>
      <c r="D2721" s="13" t="s">
        <v>177</v>
      </c>
      <c r="F2721" s="13"/>
      <c r="G2721" s="13" t="s">
        <v>111</v>
      </c>
      <c r="H2721" s="13" t="s">
        <v>75</v>
      </c>
      <c r="I2721" s="13"/>
      <c r="J2721" s="13"/>
      <c r="K2721" s="15">
        <v>0.0</v>
      </c>
      <c r="L2721" s="15">
        <v>0.0</v>
      </c>
      <c r="M2721" s="16"/>
      <c r="N2721" s="16"/>
      <c r="O2721" s="17"/>
      <c r="P2721" s="17"/>
      <c r="Q2721" s="13">
        <f t="shared" si="2909"/>
        <v>2</v>
      </c>
      <c r="R2721" s="13"/>
      <c r="S2721" s="13"/>
      <c r="T2721" s="13">
        <f t="shared" ref="T2721:Y2721" si="2921">IF(ISBLANK(K2721)=TRUE,0,1)</f>
        <v>1</v>
      </c>
      <c r="U2721" s="13">
        <f t="shared" si="2921"/>
        <v>1</v>
      </c>
      <c r="V2721" s="13">
        <f t="shared" si="2921"/>
        <v>0</v>
      </c>
      <c r="W2721" s="13">
        <f t="shared" si="2921"/>
        <v>0</v>
      </c>
      <c r="X2721" s="13">
        <f t="shared" si="2921"/>
        <v>0</v>
      </c>
      <c r="Y2721" s="13">
        <f t="shared" si="2921"/>
        <v>0</v>
      </c>
      <c r="Z2721" s="13">
        <f t="shared" si="1998"/>
        <v>0</v>
      </c>
      <c r="AA2721" s="13"/>
      <c r="AB2721" s="13"/>
      <c r="AC2721" s="13"/>
      <c r="AD2721" s="13"/>
      <c r="AE2721" s="13"/>
      <c r="AF2721" s="13"/>
      <c r="AG2721" s="13"/>
      <c r="AH2721" s="13"/>
      <c r="AI2721" s="13"/>
      <c r="AJ2721" s="13"/>
      <c r="AK2721" s="13"/>
      <c r="AL2721" s="13"/>
      <c r="AM2721" s="13"/>
      <c r="AN2721" s="13"/>
      <c r="AO2721" s="13"/>
      <c r="AP2721" s="13"/>
      <c r="AQ2721" s="13"/>
      <c r="AR2721" s="13"/>
      <c r="AS2721" s="13"/>
    </row>
    <row r="2722" ht="14.25" hidden="1" customHeight="1">
      <c r="A2722" s="13" t="s">
        <v>29</v>
      </c>
      <c r="B2722" s="13" t="s">
        <v>30</v>
      </c>
      <c r="C2722" s="18" t="s">
        <v>1740</v>
      </c>
      <c r="D2722" s="13"/>
      <c r="E2722" s="13" t="str">
        <f t="shared" ref="E2722:E2723" si="2923">CONCATENATE(B2722,",",C2722,",",D2722,",",Z2722)</f>
        <v>SJC,909-6-51,,NA</v>
      </c>
      <c r="F2722" s="13"/>
      <c r="G2722" s="13" t="s">
        <v>111</v>
      </c>
      <c r="H2722" s="13" t="s">
        <v>75</v>
      </c>
      <c r="I2722" s="13"/>
      <c r="J2722" s="13"/>
      <c r="K2722" s="15"/>
      <c r="L2722" s="15"/>
      <c r="M2722" s="16"/>
      <c r="N2722" s="16"/>
      <c r="O2722" s="17"/>
      <c r="P2722" s="17"/>
      <c r="Q2722" s="13"/>
      <c r="R2722" s="13"/>
      <c r="S2722" s="13"/>
      <c r="T2722" s="13">
        <f t="shared" ref="T2722:Y2722" si="2922">IF(ISBLANK(K2722)=TRUE,0,1)</f>
        <v>0</v>
      </c>
      <c r="U2722" s="13">
        <f t="shared" si="2922"/>
        <v>0</v>
      </c>
      <c r="V2722" s="13">
        <f t="shared" si="2922"/>
        <v>0</v>
      </c>
      <c r="W2722" s="13">
        <f t="shared" si="2922"/>
        <v>0</v>
      </c>
      <c r="X2722" s="13">
        <f t="shared" si="2922"/>
        <v>0</v>
      </c>
      <c r="Y2722" s="13">
        <f t="shared" si="2922"/>
        <v>0</v>
      </c>
      <c r="Z2722" s="13" t="str">
        <f t="shared" si="1998"/>
        <v>NA</v>
      </c>
      <c r="AA2722" s="13"/>
      <c r="AB2722" s="13"/>
      <c r="AC2722" s="13"/>
      <c r="AD2722" s="13"/>
      <c r="AE2722" s="13"/>
      <c r="AF2722" s="13"/>
      <c r="AG2722" s="13"/>
      <c r="AH2722" s="13"/>
      <c r="AI2722" s="13"/>
      <c r="AJ2722" s="13"/>
      <c r="AK2722" s="13"/>
      <c r="AL2722" s="13"/>
      <c r="AM2722" s="13"/>
      <c r="AN2722" s="13"/>
      <c r="AO2722" s="13"/>
      <c r="AP2722" s="13"/>
      <c r="AQ2722" s="13"/>
      <c r="AR2722" s="13"/>
      <c r="AS2722" s="13"/>
    </row>
    <row r="2723" ht="14.25" hidden="1" customHeight="1">
      <c r="A2723" s="13" t="s">
        <v>29</v>
      </c>
      <c r="B2723" s="13" t="s">
        <v>30</v>
      </c>
      <c r="C2723" s="18" t="s">
        <v>1741</v>
      </c>
      <c r="D2723" s="13"/>
      <c r="E2723" s="13" t="str">
        <f t="shared" si="2923"/>
        <v>SJC,909-6-52,,NA</v>
      </c>
      <c r="F2723" s="13"/>
      <c r="G2723" s="13" t="s">
        <v>111</v>
      </c>
      <c r="H2723" s="13" t="s">
        <v>75</v>
      </c>
      <c r="I2723" s="13"/>
      <c r="J2723" s="13"/>
      <c r="K2723" s="15"/>
      <c r="L2723" s="15"/>
      <c r="M2723" s="16"/>
      <c r="N2723" s="16"/>
      <c r="O2723" s="17"/>
      <c r="P2723" s="17"/>
      <c r="Q2723" s="13"/>
      <c r="R2723" s="13"/>
      <c r="S2723" s="13"/>
      <c r="T2723" s="13">
        <f t="shared" ref="T2723:Y2723" si="2924">IF(ISBLANK(K2723)=TRUE,0,1)</f>
        <v>0</v>
      </c>
      <c r="U2723" s="13">
        <f t="shared" si="2924"/>
        <v>0</v>
      </c>
      <c r="V2723" s="13">
        <f t="shared" si="2924"/>
        <v>0</v>
      </c>
      <c r="W2723" s="13">
        <f t="shared" si="2924"/>
        <v>0</v>
      </c>
      <c r="X2723" s="13">
        <f t="shared" si="2924"/>
        <v>0</v>
      </c>
      <c r="Y2723" s="13">
        <f t="shared" si="2924"/>
        <v>0</v>
      </c>
      <c r="Z2723" s="13" t="str">
        <f t="shared" si="1998"/>
        <v>NA</v>
      </c>
      <c r="AA2723" s="13"/>
      <c r="AB2723" s="13"/>
      <c r="AC2723" s="13"/>
      <c r="AD2723" s="13"/>
      <c r="AE2723" s="13"/>
      <c r="AF2723" s="13"/>
      <c r="AG2723" s="13"/>
      <c r="AH2723" s="13"/>
      <c r="AI2723" s="13"/>
      <c r="AJ2723" s="13"/>
      <c r="AK2723" s="13"/>
      <c r="AL2723" s="13"/>
      <c r="AM2723" s="13"/>
      <c r="AN2723" s="13"/>
      <c r="AO2723" s="13"/>
      <c r="AP2723" s="13"/>
      <c r="AQ2723" s="13"/>
      <c r="AR2723" s="13"/>
      <c r="AS2723" s="13"/>
    </row>
    <row r="2724" ht="14.25" hidden="1" customHeight="1">
      <c r="A2724" s="13" t="s">
        <v>46</v>
      </c>
      <c r="B2724" s="13" t="s">
        <v>53</v>
      </c>
      <c r="C2724" s="13">
        <v>100.0</v>
      </c>
      <c r="D2724" s="13"/>
      <c r="E2724" s="13"/>
      <c r="F2724" s="13"/>
      <c r="G2724" s="13" t="s">
        <v>74</v>
      </c>
      <c r="H2724" s="13" t="s">
        <v>75</v>
      </c>
      <c r="I2724" s="13"/>
      <c r="J2724" s="13"/>
      <c r="K2724" s="15">
        <v>0.0</v>
      </c>
      <c r="L2724" s="15">
        <v>0.0</v>
      </c>
      <c r="M2724" s="16"/>
      <c r="N2724" s="16"/>
      <c r="O2724" s="17"/>
      <c r="P2724" s="17"/>
      <c r="Q2724" s="13"/>
      <c r="R2724" s="13"/>
      <c r="S2724" s="13"/>
      <c r="T2724" s="13">
        <f t="shared" ref="T2724:Y2724" si="2925">IF(ISBLANK(K2724)=TRUE,0,1)</f>
        <v>1</v>
      </c>
      <c r="U2724" s="13">
        <f t="shared" si="2925"/>
        <v>1</v>
      </c>
      <c r="V2724" s="13">
        <f t="shared" si="2925"/>
        <v>0</v>
      </c>
      <c r="W2724" s="13">
        <f t="shared" si="2925"/>
        <v>0</v>
      </c>
      <c r="X2724" s="13">
        <f t="shared" si="2925"/>
        <v>0</v>
      </c>
      <c r="Y2724" s="13">
        <f t="shared" si="2925"/>
        <v>0</v>
      </c>
      <c r="Z2724" s="13">
        <f t="shared" si="1998"/>
        <v>0</v>
      </c>
      <c r="AA2724" s="13" t="s">
        <v>1742</v>
      </c>
      <c r="AB2724" s="13"/>
      <c r="AC2724" s="13"/>
      <c r="AD2724" s="13"/>
      <c r="AE2724" s="13"/>
      <c r="AF2724" s="13"/>
      <c r="AG2724" s="13"/>
      <c r="AH2724" s="13"/>
      <c r="AI2724" s="13"/>
      <c r="AJ2724" s="13"/>
      <c r="AK2724" s="13"/>
      <c r="AL2724" s="13"/>
      <c r="AM2724" s="13"/>
      <c r="AN2724" s="13"/>
      <c r="AO2724" s="13"/>
      <c r="AP2724" s="13"/>
      <c r="AQ2724" s="13"/>
      <c r="AR2724" s="13"/>
      <c r="AS2724" s="13"/>
    </row>
    <row r="2725" ht="14.25" hidden="1" customHeight="1">
      <c r="A2725" s="13" t="s">
        <v>46</v>
      </c>
      <c r="B2725" s="13" t="s">
        <v>53</v>
      </c>
      <c r="C2725" s="13" t="s">
        <v>1743</v>
      </c>
      <c r="D2725" s="13"/>
      <c r="E2725" s="13"/>
      <c r="F2725" s="13"/>
      <c r="G2725" s="13" t="s">
        <v>74</v>
      </c>
      <c r="H2725" s="13" t="s">
        <v>75</v>
      </c>
      <c r="I2725" s="13"/>
      <c r="J2725" s="13"/>
      <c r="K2725" s="15">
        <v>0.0</v>
      </c>
      <c r="L2725" s="15">
        <v>0.0</v>
      </c>
      <c r="M2725" s="16"/>
      <c r="N2725" s="16"/>
      <c r="O2725" s="17"/>
      <c r="P2725" s="17"/>
      <c r="Q2725" s="13"/>
      <c r="R2725" s="13"/>
      <c r="S2725" s="13"/>
      <c r="T2725" s="13">
        <f t="shared" ref="T2725:Y2725" si="2926">IF(ISBLANK(K2725)=TRUE,0,1)</f>
        <v>1</v>
      </c>
      <c r="U2725" s="13">
        <f t="shared" si="2926"/>
        <v>1</v>
      </c>
      <c r="V2725" s="13">
        <f t="shared" si="2926"/>
        <v>0</v>
      </c>
      <c r="W2725" s="13">
        <f t="shared" si="2926"/>
        <v>0</v>
      </c>
      <c r="X2725" s="13">
        <f t="shared" si="2926"/>
        <v>0</v>
      </c>
      <c r="Y2725" s="13">
        <f t="shared" si="2926"/>
        <v>0</v>
      </c>
      <c r="Z2725" s="13">
        <f t="shared" si="1998"/>
        <v>0</v>
      </c>
      <c r="AA2725" s="13" t="s">
        <v>1744</v>
      </c>
      <c r="AB2725" s="13"/>
      <c r="AC2725" s="13"/>
      <c r="AD2725" s="13"/>
      <c r="AE2725" s="13"/>
      <c r="AF2725" s="13"/>
      <c r="AG2725" s="13"/>
      <c r="AH2725" s="13"/>
      <c r="AI2725" s="13"/>
      <c r="AJ2725" s="13"/>
      <c r="AK2725" s="13"/>
      <c r="AL2725" s="13"/>
      <c r="AM2725" s="13"/>
      <c r="AN2725" s="13"/>
      <c r="AO2725" s="13"/>
      <c r="AP2725" s="13"/>
      <c r="AQ2725" s="13"/>
      <c r="AR2725" s="13"/>
      <c r="AS2725" s="13"/>
    </row>
    <row r="2726" ht="14.25" hidden="1" customHeight="1">
      <c r="A2726" s="13" t="s">
        <v>29</v>
      </c>
      <c r="B2726" s="13" t="s">
        <v>30</v>
      </c>
      <c r="C2726" s="18" t="s">
        <v>1745</v>
      </c>
      <c r="D2726" s="13"/>
      <c r="E2726" s="13" t="str">
        <f t="shared" ref="E2726:E2729" si="2928">CONCATENATE(B2726,",",C2726,",",D2726,",",Z2726)</f>
        <v>SJC,909-6-53,,NA</v>
      </c>
      <c r="F2726" s="13"/>
      <c r="G2726" s="13" t="s">
        <v>111</v>
      </c>
      <c r="H2726" s="13" t="s">
        <v>75</v>
      </c>
      <c r="I2726" s="13"/>
      <c r="J2726" s="13"/>
      <c r="K2726" s="15"/>
      <c r="L2726" s="15"/>
      <c r="M2726" s="16"/>
      <c r="N2726" s="16"/>
      <c r="O2726" s="17"/>
      <c r="P2726" s="17"/>
      <c r="Q2726" s="13"/>
      <c r="R2726" s="13"/>
      <c r="S2726" s="13"/>
      <c r="T2726" s="13">
        <f t="shared" ref="T2726:Y2726" si="2927">IF(ISBLANK(K2726)=TRUE,0,1)</f>
        <v>0</v>
      </c>
      <c r="U2726" s="13">
        <f t="shared" si="2927"/>
        <v>0</v>
      </c>
      <c r="V2726" s="13">
        <f t="shared" si="2927"/>
        <v>0</v>
      </c>
      <c r="W2726" s="13">
        <f t="shared" si="2927"/>
        <v>0</v>
      </c>
      <c r="X2726" s="13">
        <f t="shared" si="2927"/>
        <v>0</v>
      </c>
      <c r="Y2726" s="13">
        <f t="shared" si="2927"/>
        <v>0</v>
      </c>
      <c r="Z2726" s="13" t="str">
        <f t="shared" si="1998"/>
        <v>NA</v>
      </c>
      <c r="AA2726" s="13"/>
      <c r="AB2726" s="13"/>
      <c r="AC2726" s="13"/>
      <c r="AD2726" s="13"/>
      <c r="AE2726" s="13"/>
      <c r="AF2726" s="13"/>
      <c r="AG2726" s="13"/>
      <c r="AH2726" s="13"/>
      <c r="AI2726" s="13"/>
      <c r="AJ2726" s="13"/>
      <c r="AK2726" s="13"/>
      <c r="AL2726" s="13"/>
      <c r="AM2726" s="13"/>
      <c r="AN2726" s="13"/>
      <c r="AO2726" s="13"/>
      <c r="AP2726" s="13"/>
      <c r="AQ2726" s="13"/>
      <c r="AR2726" s="13"/>
      <c r="AS2726" s="13"/>
    </row>
    <row r="2727" ht="14.25" hidden="1" customHeight="1">
      <c r="A2727" s="13" t="s">
        <v>29</v>
      </c>
      <c r="B2727" s="13" t="s">
        <v>30</v>
      </c>
      <c r="C2727" s="18" t="s">
        <v>1746</v>
      </c>
      <c r="D2727" s="13"/>
      <c r="E2727" s="13" t="str">
        <f t="shared" si="2928"/>
        <v>SJC,909-6-54,,NA</v>
      </c>
      <c r="F2727" s="13"/>
      <c r="G2727" s="13" t="s">
        <v>111</v>
      </c>
      <c r="H2727" s="13" t="s">
        <v>75</v>
      </c>
      <c r="I2727" s="13"/>
      <c r="J2727" s="13"/>
      <c r="K2727" s="15"/>
      <c r="L2727" s="15"/>
      <c r="M2727" s="16"/>
      <c r="N2727" s="16"/>
      <c r="O2727" s="17"/>
      <c r="P2727" s="17"/>
      <c r="Q2727" s="13"/>
      <c r="R2727" s="13"/>
      <c r="S2727" s="13"/>
      <c r="T2727" s="13">
        <f t="shared" ref="T2727:Y2727" si="2929">IF(ISBLANK(K2727)=TRUE,0,1)</f>
        <v>0</v>
      </c>
      <c r="U2727" s="13">
        <f t="shared" si="2929"/>
        <v>0</v>
      </c>
      <c r="V2727" s="13">
        <f t="shared" si="2929"/>
        <v>0</v>
      </c>
      <c r="W2727" s="13">
        <f t="shared" si="2929"/>
        <v>0</v>
      </c>
      <c r="X2727" s="13">
        <f t="shared" si="2929"/>
        <v>0</v>
      </c>
      <c r="Y2727" s="13">
        <f t="shared" si="2929"/>
        <v>0</v>
      </c>
      <c r="Z2727" s="13" t="str">
        <f t="shared" si="1998"/>
        <v>NA</v>
      </c>
      <c r="AA2727" s="13"/>
      <c r="AB2727" s="13"/>
      <c r="AC2727" s="13"/>
      <c r="AD2727" s="13"/>
      <c r="AE2727" s="13"/>
      <c r="AF2727" s="13"/>
      <c r="AG2727" s="13"/>
      <c r="AH2727" s="13"/>
      <c r="AI2727" s="13"/>
      <c r="AJ2727" s="13"/>
      <c r="AK2727" s="13"/>
      <c r="AL2727" s="13"/>
      <c r="AM2727" s="13"/>
      <c r="AN2727" s="13"/>
      <c r="AO2727" s="13"/>
      <c r="AP2727" s="13"/>
      <c r="AQ2727" s="13"/>
      <c r="AR2727" s="13"/>
      <c r="AS2727" s="13"/>
    </row>
    <row r="2728" ht="14.25" hidden="1" customHeight="1">
      <c r="A2728" s="13" t="s">
        <v>29</v>
      </c>
      <c r="B2728" s="13" t="s">
        <v>30</v>
      </c>
      <c r="C2728" s="18" t="s">
        <v>1747</v>
      </c>
      <c r="D2728" s="13"/>
      <c r="E2728" s="13" t="str">
        <f t="shared" si="2928"/>
        <v>SJC,909-6-55,,NA</v>
      </c>
      <c r="F2728" s="13"/>
      <c r="G2728" s="13" t="s">
        <v>111</v>
      </c>
      <c r="H2728" s="13" t="s">
        <v>75</v>
      </c>
      <c r="I2728" s="13"/>
      <c r="J2728" s="13"/>
      <c r="K2728" s="15"/>
      <c r="L2728" s="15"/>
      <c r="M2728" s="16"/>
      <c r="N2728" s="16"/>
      <c r="O2728" s="17"/>
      <c r="P2728" s="17"/>
      <c r="Q2728" s="13"/>
      <c r="R2728" s="13"/>
      <c r="S2728" s="13"/>
      <c r="T2728" s="13">
        <f t="shared" ref="T2728:Y2728" si="2930">IF(ISBLANK(K2728)=TRUE,0,1)</f>
        <v>0</v>
      </c>
      <c r="U2728" s="13">
        <f t="shared" si="2930"/>
        <v>0</v>
      </c>
      <c r="V2728" s="13">
        <f t="shared" si="2930"/>
        <v>0</v>
      </c>
      <c r="W2728" s="13">
        <f t="shared" si="2930"/>
        <v>0</v>
      </c>
      <c r="X2728" s="13">
        <f t="shared" si="2930"/>
        <v>0</v>
      </c>
      <c r="Y2728" s="13">
        <f t="shared" si="2930"/>
        <v>0</v>
      </c>
      <c r="Z2728" s="13" t="str">
        <f t="shared" si="1998"/>
        <v>NA</v>
      </c>
      <c r="AA2728" s="13"/>
      <c r="AB2728" s="13"/>
      <c r="AC2728" s="13"/>
      <c r="AD2728" s="13"/>
      <c r="AE2728" s="13"/>
      <c r="AF2728" s="13"/>
      <c r="AG2728" s="13"/>
      <c r="AH2728" s="13"/>
      <c r="AI2728" s="13"/>
      <c r="AJ2728" s="13"/>
      <c r="AK2728" s="13"/>
      <c r="AL2728" s="13"/>
      <c r="AM2728" s="13"/>
      <c r="AN2728" s="13"/>
      <c r="AO2728" s="13"/>
      <c r="AP2728" s="13"/>
      <c r="AQ2728" s="13"/>
      <c r="AR2728" s="13"/>
      <c r="AS2728" s="13"/>
    </row>
    <row r="2729" ht="14.25" hidden="1" customHeight="1">
      <c r="A2729" s="13" t="s">
        <v>29</v>
      </c>
      <c r="B2729" s="13" t="s">
        <v>30</v>
      </c>
      <c r="C2729" s="18" t="s">
        <v>1748</v>
      </c>
      <c r="D2729" s="13"/>
      <c r="E2729" s="13" t="str">
        <f t="shared" si="2928"/>
        <v>SJC,909-6-56,,NA</v>
      </c>
      <c r="F2729" s="13"/>
      <c r="G2729" s="13" t="s">
        <v>111</v>
      </c>
      <c r="H2729" s="13" t="s">
        <v>75</v>
      </c>
      <c r="I2729" s="13"/>
      <c r="J2729" s="13"/>
      <c r="K2729" s="15"/>
      <c r="L2729" s="15"/>
      <c r="M2729" s="16"/>
      <c r="N2729" s="16"/>
      <c r="O2729" s="17"/>
      <c r="P2729" s="17"/>
      <c r="Q2729" s="13"/>
      <c r="R2729" s="13"/>
      <c r="S2729" s="13"/>
      <c r="T2729" s="13">
        <f t="shared" ref="T2729:Y2729" si="2931">IF(ISBLANK(K2729)=TRUE,0,1)</f>
        <v>0</v>
      </c>
      <c r="U2729" s="13">
        <f t="shared" si="2931"/>
        <v>0</v>
      </c>
      <c r="V2729" s="13">
        <f t="shared" si="2931"/>
        <v>0</v>
      </c>
      <c r="W2729" s="13">
        <f t="shared" si="2931"/>
        <v>0</v>
      </c>
      <c r="X2729" s="13">
        <f t="shared" si="2931"/>
        <v>0</v>
      </c>
      <c r="Y2729" s="13">
        <f t="shared" si="2931"/>
        <v>0</v>
      </c>
      <c r="Z2729" s="13" t="str">
        <f t="shared" si="1998"/>
        <v>NA</v>
      </c>
      <c r="AA2729" s="13"/>
      <c r="AB2729" s="13"/>
      <c r="AC2729" s="13"/>
      <c r="AD2729" s="13"/>
      <c r="AE2729" s="13"/>
      <c r="AF2729" s="13"/>
      <c r="AG2729" s="13"/>
      <c r="AH2729" s="13"/>
      <c r="AI2729" s="13"/>
      <c r="AJ2729" s="13"/>
      <c r="AK2729" s="13"/>
      <c r="AL2729" s="13"/>
      <c r="AM2729" s="13"/>
      <c r="AN2729" s="13"/>
      <c r="AO2729" s="13"/>
      <c r="AP2729" s="13"/>
      <c r="AQ2729" s="13"/>
      <c r="AR2729" s="13"/>
      <c r="AS2729" s="13"/>
    </row>
    <row r="2730" ht="14.25" hidden="1" customHeight="1">
      <c r="A2730" s="26" t="s">
        <v>46</v>
      </c>
      <c r="B2730" s="31" t="s">
        <v>53</v>
      </c>
      <c r="C2730" s="13">
        <v>79.0</v>
      </c>
      <c r="D2730" s="26" t="s">
        <v>183</v>
      </c>
      <c r="E2730" s="13"/>
      <c r="F2730" s="13"/>
      <c r="G2730" s="26" t="s">
        <v>74</v>
      </c>
      <c r="H2730" s="26" t="s">
        <v>107</v>
      </c>
      <c r="I2730" s="13"/>
      <c r="J2730" s="13"/>
      <c r="K2730" s="15">
        <v>0.0</v>
      </c>
      <c r="L2730" s="15">
        <v>0.0</v>
      </c>
      <c r="M2730" s="16"/>
      <c r="N2730" s="16"/>
      <c r="O2730" s="17"/>
      <c r="P2730" s="17"/>
      <c r="Q2730" s="13"/>
      <c r="R2730" s="13"/>
      <c r="S2730" s="13"/>
      <c r="T2730" s="13">
        <f t="shared" ref="T2730:Y2730" si="2932">IF(ISBLANK(K2730)=TRUE,0,1)</f>
        <v>1</v>
      </c>
      <c r="U2730" s="13">
        <f t="shared" si="2932"/>
        <v>1</v>
      </c>
      <c r="V2730" s="13">
        <f t="shared" si="2932"/>
        <v>0</v>
      </c>
      <c r="W2730" s="13">
        <f t="shared" si="2932"/>
        <v>0</v>
      </c>
      <c r="X2730" s="13">
        <f t="shared" si="2932"/>
        <v>0</v>
      </c>
      <c r="Y2730" s="13">
        <f t="shared" si="2932"/>
        <v>0</v>
      </c>
      <c r="Z2730" s="13">
        <f t="shared" si="1998"/>
        <v>0</v>
      </c>
      <c r="AA2730" s="13"/>
      <c r="AB2730" s="13"/>
      <c r="AC2730" s="13"/>
      <c r="AD2730" s="13"/>
      <c r="AE2730" s="13"/>
      <c r="AF2730" s="13"/>
      <c r="AG2730" s="13"/>
      <c r="AH2730" s="13"/>
      <c r="AI2730" s="13"/>
      <c r="AJ2730" s="13"/>
      <c r="AK2730" s="13"/>
      <c r="AL2730" s="13"/>
      <c r="AM2730" s="13"/>
      <c r="AN2730" s="13"/>
      <c r="AO2730" s="13"/>
      <c r="AP2730" s="13"/>
      <c r="AQ2730" s="13"/>
      <c r="AR2730" s="13"/>
      <c r="AS2730" s="13"/>
    </row>
    <row r="2731" ht="14.25" hidden="1" customHeight="1">
      <c r="A2731" s="26" t="s">
        <v>46</v>
      </c>
      <c r="B2731" s="31" t="s">
        <v>53</v>
      </c>
      <c r="C2731" s="13">
        <v>79.0</v>
      </c>
      <c r="D2731" s="26" t="s">
        <v>184</v>
      </c>
      <c r="E2731" s="13"/>
      <c r="F2731" s="13"/>
      <c r="G2731" s="26" t="s">
        <v>74</v>
      </c>
      <c r="H2731" s="26" t="s">
        <v>107</v>
      </c>
      <c r="I2731" s="13"/>
      <c r="J2731" s="13"/>
      <c r="K2731" s="15">
        <v>0.0</v>
      </c>
      <c r="L2731" s="15">
        <v>0.0</v>
      </c>
      <c r="M2731" s="16"/>
      <c r="N2731" s="16"/>
      <c r="O2731" s="17"/>
      <c r="P2731" s="17"/>
      <c r="Q2731" s="13"/>
      <c r="R2731" s="13"/>
      <c r="S2731" s="13"/>
      <c r="T2731" s="13">
        <f t="shared" ref="T2731:Y2731" si="2933">IF(ISBLANK(K2731)=TRUE,0,1)</f>
        <v>1</v>
      </c>
      <c r="U2731" s="13">
        <f t="shared" si="2933"/>
        <v>1</v>
      </c>
      <c r="V2731" s="13">
        <f t="shared" si="2933"/>
        <v>0</v>
      </c>
      <c r="W2731" s="13">
        <f t="shared" si="2933"/>
        <v>0</v>
      </c>
      <c r="X2731" s="13">
        <f t="shared" si="2933"/>
        <v>0</v>
      </c>
      <c r="Y2731" s="13">
        <f t="shared" si="2933"/>
        <v>0</v>
      </c>
      <c r="Z2731" s="13">
        <f t="shared" si="1998"/>
        <v>0</v>
      </c>
      <c r="AA2731" s="13"/>
      <c r="AB2731" s="13"/>
      <c r="AC2731" s="13"/>
      <c r="AD2731" s="13"/>
      <c r="AE2731" s="13"/>
      <c r="AF2731" s="13"/>
      <c r="AG2731" s="13"/>
      <c r="AH2731" s="13"/>
      <c r="AI2731" s="13"/>
      <c r="AJ2731" s="13"/>
      <c r="AK2731" s="13"/>
      <c r="AL2731" s="13"/>
      <c r="AM2731" s="13"/>
      <c r="AN2731" s="13"/>
      <c r="AO2731" s="13"/>
      <c r="AP2731" s="13"/>
      <c r="AQ2731" s="13"/>
      <c r="AR2731" s="13"/>
      <c r="AS2731" s="13"/>
    </row>
    <row r="2732" ht="14.25" hidden="1" customHeight="1">
      <c r="A2732" s="13" t="s">
        <v>29</v>
      </c>
      <c r="B2732" s="13" t="s">
        <v>30</v>
      </c>
      <c r="C2732" s="18" t="s">
        <v>1749</v>
      </c>
      <c r="D2732" s="13"/>
      <c r="E2732" s="13" t="str">
        <f t="shared" ref="E2732:E2733" si="2935">CONCATENATE(B2732,",",C2732,",",D2732,",",Z2732)</f>
        <v>SJC,909-6-57,,NA</v>
      </c>
      <c r="F2732" s="13"/>
      <c r="G2732" s="13" t="s">
        <v>111</v>
      </c>
      <c r="H2732" s="13" t="s">
        <v>75</v>
      </c>
      <c r="I2732" s="13"/>
      <c r="J2732" s="13"/>
      <c r="K2732" s="15"/>
      <c r="L2732" s="15"/>
      <c r="M2732" s="16"/>
      <c r="N2732" s="16"/>
      <c r="O2732" s="17"/>
      <c r="P2732" s="17"/>
      <c r="Q2732" s="13"/>
      <c r="R2732" s="13"/>
      <c r="S2732" s="13"/>
      <c r="T2732" s="13">
        <f t="shared" ref="T2732:Y2732" si="2934">IF(ISBLANK(K2732)=TRUE,0,1)</f>
        <v>0</v>
      </c>
      <c r="U2732" s="13">
        <f t="shared" si="2934"/>
        <v>0</v>
      </c>
      <c r="V2732" s="13">
        <f t="shared" si="2934"/>
        <v>0</v>
      </c>
      <c r="W2732" s="13">
        <f t="shared" si="2934"/>
        <v>0</v>
      </c>
      <c r="X2732" s="13">
        <f t="shared" si="2934"/>
        <v>0</v>
      </c>
      <c r="Y2732" s="13">
        <f t="shared" si="2934"/>
        <v>0</v>
      </c>
      <c r="Z2732" s="13" t="str">
        <f t="shared" si="1998"/>
        <v>NA</v>
      </c>
      <c r="AA2732" s="13"/>
      <c r="AB2732" s="13"/>
      <c r="AC2732" s="13"/>
      <c r="AD2732" s="13"/>
      <c r="AE2732" s="13"/>
      <c r="AF2732" s="13"/>
      <c r="AG2732" s="13"/>
      <c r="AH2732" s="13"/>
      <c r="AI2732" s="13"/>
      <c r="AJ2732" s="13"/>
      <c r="AK2732" s="13"/>
      <c r="AL2732" s="13"/>
      <c r="AM2732" s="13"/>
      <c r="AN2732" s="13"/>
      <c r="AO2732" s="13"/>
      <c r="AP2732" s="13"/>
      <c r="AQ2732" s="13"/>
      <c r="AR2732" s="13"/>
      <c r="AS2732" s="13"/>
    </row>
    <row r="2733" ht="14.25" hidden="1" customHeight="1">
      <c r="A2733" s="13" t="s">
        <v>29</v>
      </c>
      <c r="B2733" s="13" t="s">
        <v>30</v>
      </c>
      <c r="C2733" s="18" t="s">
        <v>1750</v>
      </c>
      <c r="D2733" s="13"/>
      <c r="E2733" s="13" t="str">
        <f t="shared" si="2935"/>
        <v>SJC,909-6-58,,NA</v>
      </c>
      <c r="F2733" s="13"/>
      <c r="G2733" s="13" t="s">
        <v>111</v>
      </c>
      <c r="H2733" s="13" t="s">
        <v>75</v>
      </c>
      <c r="I2733" s="13"/>
      <c r="J2733" s="13"/>
      <c r="K2733" s="15"/>
      <c r="L2733" s="15"/>
      <c r="M2733" s="16"/>
      <c r="N2733" s="16"/>
      <c r="O2733" s="17"/>
      <c r="P2733" s="17"/>
      <c r="Q2733" s="13"/>
      <c r="R2733" s="13"/>
      <c r="S2733" s="13"/>
      <c r="T2733" s="13">
        <f t="shared" ref="T2733:Y2733" si="2936">IF(ISBLANK(K2733)=TRUE,0,1)</f>
        <v>0</v>
      </c>
      <c r="U2733" s="13">
        <f t="shared" si="2936"/>
        <v>0</v>
      </c>
      <c r="V2733" s="13">
        <f t="shared" si="2936"/>
        <v>0</v>
      </c>
      <c r="W2733" s="13">
        <f t="shared" si="2936"/>
        <v>0</v>
      </c>
      <c r="X2733" s="13">
        <f t="shared" si="2936"/>
        <v>0</v>
      </c>
      <c r="Y2733" s="13">
        <f t="shared" si="2936"/>
        <v>0</v>
      </c>
      <c r="Z2733" s="13" t="str">
        <f t="shared" si="1998"/>
        <v>NA</v>
      </c>
      <c r="AA2733" s="13"/>
      <c r="AB2733" s="13"/>
      <c r="AC2733" s="13"/>
      <c r="AD2733" s="13"/>
      <c r="AE2733" s="13"/>
      <c r="AF2733" s="13"/>
      <c r="AG2733" s="13"/>
      <c r="AH2733" s="13"/>
      <c r="AI2733" s="13"/>
      <c r="AJ2733" s="13"/>
      <c r="AK2733" s="13"/>
      <c r="AL2733" s="13"/>
      <c r="AM2733" s="13"/>
      <c r="AN2733" s="13"/>
      <c r="AO2733" s="13"/>
      <c r="AP2733" s="13"/>
      <c r="AQ2733" s="13"/>
      <c r="AR2733" s="13"/>
      <c r="AS2733" s="13"/>
    </row>
    <row r="2734" ht="14.25" hidden="1" customHeight="1">
      <c r="A2734" s="13" t="s">
        <v>29</v>
      </c>
      <c r="B2734" s="13" t="s">
        <v>30</v>
      </c>
      <c r="C2734" s="18" t="s">
        <v>1751</v>
      </c>
      <c r="D2734" s="13"/>
      <c r="E2734" s="13" t="str">
        <f>CONCATENATE(B2734,",",C2734,",",D2734,",",$Z$4282)</f>
        <v>SJC,909-6-59,,1</v>
      </c>
      <c r="F2734" s="13"/>
      <c r="G2734" s="13" t="s">
        <v>111</v>
      </c>
      <c r="H2734" s="13" t="s">
        <v>75</v>
      </c>
      <c r="I2734" s="13"/>
      <c r="J2734" s="13"/>
      <c r="K2734" s="15"/>
      <c r="L2734" s="15"/>
      <c r="M2734" s="16"/>
      <c r="N2734" s="16"/>
      <c r="O2734" s="17"/>
      <c r="P2734" s="17"/>
      <c r="Q2734" s="13"/>
      <c r="R2734" s="13"/>
      <c r="S2734" s="13"/>
      <c r="T2734" s="13">
        <f t="shared" ref="T2734:Y2734" si="2937">IF(ISBLANK(K2734)=TRUE,0,1)</f>
        <v>0</v>
      </c>
      <c r="U2734" s="13">
        <f t="shared" si="2937"/>
        <v>0</v>
      </c>
      <c r="V2734" s="13">
        <f t="shared" si="2937"/>
        <v>0</v>
      </c>
      <c r="W2734" s="13">
        <f t="shared" si="2937"/>
        <v>0</v>
      </c>
      <c r="X2734" s="13">
        <f t="shared" si="2937"/>
        <v>0</v>
      </c>
      <c r="Y2734" s="13">
        <f t="shared" si="2937"/>
        <v>0</v>
      </c>
      <c r="Z2734" s="13" t="str">
        <f t="shared" si="1998"/>
        <v>NA</v>
      </c>
      <c r="AA2734" s="13"/>
      <c r="AB2734" s="13"/>
      <c r="AC2734" s="13"/>
      <c r="AD2734" s="13"/>
      <c r="AE2734" s="13"/>
      <c r="AF2734" s="13"/>
      <c r="AG2734" s="13"/>
      <c r="AH2734" s="13"/>
      <c r="AI2734" s="13"/>
      <c r="AJ2734" s="13"/>
      <c r="AK2734" s="13"/>
      <c r="AL2734" s="13"/>
      <c r="AM2734" s="13"/>
      <c r="AN2734" s="13"/>
      <c r="AO2734" s="13"/>
      <c r="AP2734" s="13"/>
      <c r="AQ2734" s="13"/>
      <c r="AR2734" s="13"/>
      <c r="AS2734" s="13"/>
    </row>
    <row r="2735" ht="14.25" hidden="1" customHeight="1">
      <c r="A2735" s="13" t="s">
        <v>29</v>
      </c>
      <c r="B2735" s="13" t="s">
        <v>30</v>
      </c>
      <c r="C2735" s="18" t="s">
        <v>1752</v>
      </c>
      <c r="D2735" s="13"/>
      <c r="E2735" s="13" t="str">
        <f t="shared" ref="E2735:E2738" si="2939">CONCATENATE(B2735,",",C2735,",",D2735,",",Z2735)</f>
        <v>SJC,909-6-6,,NA</v>
      </c>
      <c r="F2735" s="13"/>
      <c r="G2735" s="13" t="s">
        <v>111</v>
      </c>
      <c r="H2735" s="13" t="s">
        <v>75</v>
      </c>
      <c r="I2735" s="13"/>
      <c r="J2735" s="13"/>
      <c r="K2735" s="15"/>
      <c r="L2735" s="15"/>
      <c r="M2735" s="16"/>
      <c r="N2735" s="16"/>
      <c r="O2735" s="17"/>
      <c r="P2735" s="17"/>
      <c r="Q2735" s="13"/>
      <c r="R2735" s="13"/>
      <c r="S2735" s="13"/>
      <c r="T2735" s="13">
        <f t="shared" ref="T2735:Y2735" si="2938">IF(ISBLANK(K2735)=TRUE,0,1)</f>
        <v>0</v>
      </c>
      <c r="U2735" s="13">
        <f t="shared" si="2938"/>
        <v>0</v>
      </c>
      <c r="V2735" s="13">
        <f t="shared" si="2938"/>
        <v>0</v>
      </c>
      <c r="W2735" s="13">
        <f t="shared" si="2938"/>
        <v>0</v>
      </c>
      <c r="X2735" s="13">
        <f t="shared" si="2938"/>
        <v>0</v>
      </c>
      <c r="Y2735" s="13">
        <f t="shared" si="2938"/>
        <v>0</v>
      </c>
      <c r="Z2735" s="13" t="str">
        <f t="shared" si="1998"/>
        <v>NA</v>
      </c>
      <c r="AA2735" s="13"/>
      <c r="AB2735" s="13"/>
      <c r="AC2735" s="13"/>
      <c r="AD2735" s="13"/>
      <c r="AE2735" s="13"/>
      <c r="AF2735" s="13"/>
      <c r="AG2735" s="13"/>
      <c r="AH2735" s="13"/>
      <c r="AI2735" s="13"/>
      <c r="AJ2735" s="13"/>
      <c r="AK2735" s="13"/>
      <c r="AL2735" s="13"/>
      <c r="AM2735" s="13"/>
      <c r="AN2735" s="13"/>
      <c r="AO2735" s="13"/>
      <c r="AP2735" s="13"/>
      <c r="AQ2735" s="13"/>
      <c r="AR2735" s="13"/>
      <c r="AS2735" s="13"/>
    </row>
    <row r="2736" ht="14.25" hidden="1" customHeight="1">
      <c r="A2736" s="13" t="s">
        <v>29</v>
      </c>
      <c r="B2736" s="13" t="s">
        <v>30</v>
      </c>
      <c r="C2736" s="18" t="s">
        <v>1753</v>
      </c>
      <c r="D2736" s="13"/>
      <c r="E2736" s="13" t="str">
        <f t="shared" si="2939"/>
        <v>SJC,909-6-7,,NA</v>
      </c>
      <c r="F2736" s="13"/>
      <c r="G2736" s="13" t="s">
        <v>111</v>
      </c>
      <c r="H2736" s="13" t="s">
        <v>75</v>
      </c>
      <c r="I2736" s="13"/>
      <c r="J2736" s="13"/>
      <c r="K2736" s="15"/>
      <c r="L2736" s="15"/>
      <c r="M2736" s="16"/>
      <c r="N2736" s="16"/>
      <c r="O2736" s="17"/>
      <c r="P2736" s="17"/>
      <c r="Q2736" s="13"/>
      <c r="R2736" s="13"/>
      <c r="S2736" s="13"/>
      <c r="T2736" s="13">
        <f t="shared" ref="T2736:Y2736" si="2940">IF(ISBLANK(K2736)=TRUE,0,1)</f>
        <v>0</v>
      </c>
      <c r="U2736" s="13">
        <f t="shared" si="2940"/>
        <v>0</v>
      </c>
      <c r="V2736" s="13">
        <f t="shared" si="2940"/>
        <v>0</v>
      </c>
      <c r="W2736" s="13">
        <f t="shared" si="2940"/>
        <v>0</v>
      </c>
      <c r="X2736" s="13">
        <f t="shared" si="2940"/>
        <v>0</v>
      </c>
      <c r="Y2736" s="13">
        <f t="shared" si="2940"/>
        <v>0</v>
      </c>
      <c r="Z2736" s="13" t="str">
        <f t="shared" si="1998"/>
        <v>NA</v>
      </c>
      <c r="AA2736" s="13"/>
      <c r="AB2736" s="13"/>
      <c r="AC2736" s="13"/>
      <c r="AD2736" s="13"/>
      <c r="AE2736" s="13"/>
      <c r="AF2736" s="13"/>
      <c r="AG2736" s="13"/>
      <c r="AH2736" s="13"/>
      <c r="AI2736" s="13"/>
      <c r="AJ2736" s="13"/>
      <c r="AK2736" s="13"/>
      <c r="AL2736" s="13"/>
      <c r="AM2736" s="13"/>
      <c r="AN2736" s="13"/>
      <c r="AO2736" s="13"/>
      <c r="AP2736" s="13"/>
      <c r="AQ2736" s="13"/>
      <c r="AR2736" s="13"/>
      <c r="AS2736" s="13"/>
    </row>
    <row r="2737" ht="14.25" hidden="1" customHeight="1">
      <c r="A2737" s="13" t="s">
        <v>29</v>
      </c>
      <c r="B2737" s="13" t="s">
        <v>30</v>
      </c>
      <c r="C2737" s="18" t="s">
        <v>1754</v>
      </c>
      <c r="D2737" s="13"/>
      <c r="E2737" s="13" t="str">
        <f t="shared" si="2939"/>
        <v>SJC,909-6-8,,NA</v>
      </c>
      <c r="F2737" s="13"/>
      <c r="G2737" s="13" t="s">
        <v>111</v>
      </c>
      <c r="H2737" s="13" t="s">
        <v>75</v>
      </c>
      <c r="I2737" s="13"/>
      <c r="J2737" s="13"/>
      <c r="K2737" s="15"/>
      <c r="L2737" s="15"/>
      <c r="M2737" s="16"/>
      <c r="N2737" s="16"/>
      <c r="O2737" s="17"/>
      <c r="P2737" s="17"/>
      <c r="Q2737" s="13"/>
      <c r="R2737" s="13"/>
      <c r="S2737" s="13"/>
      <c r="T2737" s="13">
        <f t="shared" ref="T2737:Y2737" si="2941">IF(ISBLANK(K2737)=TRUE,0,1)</f>
        <v>0</v>
      </c>
      <c r="U2737" s="13">
        <f t="shared" si="2941"/>
        <v>0</v>
      </c>
      <c r="V2737" s="13">
        <f t="shared" si="2941"/>
        <v>0</v>
      </c>
      <c r="W2737" s="13">
        <f t="shared" si="2941"/>
        <v>0</v>
      </c>
      <c r="X2737" s="13">
        <f t="shared" si="2941"/>
        <v>0</v>
      </c>
      <c r="Y2737" s="13">
        <f t="shared" si="2941"/>
        <v>0</v>
      </c>
      <c r="Z2737" s="13" t="str">
        <f t="shared" si="1998"/>
        <v>NA</v>
      </c>
      <c r="AA2737" s="13"/>
      <c r="AB2737" s="13"/>
      <c r="AC2737" s="13"/>
      <c r="AD2737" s="13"/>
      <c r="AE2737" s="13"/>
      <c r="AF2737" s="13"/>
      <c r="AG2737" s="13"/>
      <c r="AH2737" s="13"/>
      <c r="AI2737" s="13"/>
      <c r="AJ2737" s="13"/>
      <c r="AK2737" s="13"/>
      <c r="AL2737" s="13"/>
      <c r="AM2737" s="13"/>
      <c r="AN2737" s="13"/>
      <c r="AO2737" s="13"/>
      <c r="AP2737" s="13"/>
      <c r="AQ2737" s="13"/>
      <c r="AR2737" s="13"/>
      <c r="AS2737" s="13"/>
    </row>
    <row r="2738" ht="14.25" hidden="1" customHeight="1">
      <c r="A2738" s="13" t="s">
        <v>29</v>
      </c>
      <c r="B2738" s="13" t="s">
        <v>30</v>
      </c>
      <c r="C2738" s="18" t="s">
        <v>1755</v>
      </c>
      <c r="D2738" s="13"/>
      <c r="E2738" s="13" t="str">
        <f t="shared" si="2939"/>
        <v>SJC,909-6-9,,NA</v>
      </c>
      <c r="F2738" s="13"/>
      <c r="G2738" s="13" t="s">
        <v>111</v>
      </c>
      <c r="H2738" s="13" t="s">
        <v>75</v>
      </c>
      <c r="I2738" s="13"/>
      <c r="J2738" s="13"/>
      <c r="K2738" s="15"/>
      <c r="L2738" s="15"/>
      <c r="M2738" s="16"/>
      <c r="N2738" s="16"/>
      <c r="O2738" s="17"/>
      <c r="P2738" s="17"/>
      <c r="Q2738" s="13"/>
      <c r="R2738" s="13"/>
      <c r="S2738" s="13"/>
      <c r="T2738" s="13">
        <f t="shared" ref="T2738:Y2738" si="2942">IF(ISBLANK(K2738)=TRUE,0,1)</f>
        <v>0</v>
      </c>
      <c r="U2738" s="13">
        <f t="shared" si="2942"/>
        <v>0</v>
      </c>
      <c r="V2738" s="13">
        <f t="shared" si="2942"/>
        <v>0</v>
      </c>
      <c r="W2738" s="13">
        <f t="shared" si="2942"/>
        <v>0</v>
      </c>
      <c r="X2738" s="13">
        <f t="shared" si="2942"/>
        <v>0</v>
      </c>
      <c r="Y2738" s="13">
        <f t="shared" si="2942"/>
        <v>0</v>
      </c>
      <c r="Z2738" s="13" t="str">
        <f t="shared" si="1998"/>
        <v>NA</v>
      </c>
      <c r="AA2738" s="13"/>
      <c r="AB2738" s="13"/>
      <c r="AC2738" s="13"/>
      <c r="AD2738" s="13"/>
      <c r="AE2738" s="13"/>
      <c r="AF2738" s="13"/>
      <c r="AG2738" s="13"/>
      <c r="AH2738" s="13"/>
      <c r="AI2738" s="13"/>
      <c r="AJ2738" s="13"/>
      <c r="AK2738" s="13"/>
      <c r="AL2738" s="13"/>
      <c r="AM2738" s="13"/>
      <c r="AN2738" s="13"/>
      <c r="AO2738" s="13"/>
      <c r="AP2738" s="13"/>
      <c r="AQ2738" s="13"/>
      <c r="AR2738" s="13"/>
      <c r="AS2738" s="13"/>
    </row>
    <row r="2739" ht="14.25" hidden="1" customHeight="1">
      <c r="A2739" s="13" t="s">
        <v>36</v>
      </c>
      <c r="B2739" s="13" t="s">
        <v>39</v>
      </c>
      <c r="C2739" s="13" t="s">
        <v>1738</v>
      </c>
      <c r="D2739" s="13" t="s">
        <v>178</v>
      </c>
      <c r="F2739" s="13"/>
      <c r="G2739" s="13" t="s">
        <v>111</v>
      </c>
      <c r="H2739" s="13" t="s">
        <v>75</v>
      </c>
      <c r="I2739" s="13"/>
      <c r="J2739" s="13"/>
      <c r="K2739" s="15">
        <v>0.0</v>
      </c>
      <c r="L2739" s="15">
        <v>0.0</v>
      </c>
      <c r="M2739" s="16"/>
      <c r="N2739" s="16"/>
      <c r="O2739" s="17"/>
      <c r="P2739" s="17"/>
      <c r="Q2739" s="13">
        <f>K2738+L2738+M2738+N2738+O2738+P2738/6</f>
        <v>0</v>
      </c>
      <c r="R2739" s="13"/>
      <c r="S2739" s="13"/>
      <c r="T2739" s="13">
        <f t="shared" ref="T2739:Y2739" si="2943">IF(ISBLANK(K2739)=TRUE,0,1)</f>
        <v>1</v>
      </c>
      <c r="U2739" s="13">
        <f t="shared" si="2943"/>
        <v>1</v>
      </c>
      <c r="V2739" s="13">
        <f t="shared" si="2943"/>
        <v>0</v>
      </c>
      <c r="W2739" s="13">
        <f t="shared" si="2943"/>
        <v>0</v>
      </c>
      <c r="X2739" s="13">
        <f t="shared" si="2943"/>
        <v>0</v>
      </c>
      <c r="Y2739" s="13">
        <f t="shared" si="2943"/>
        <v>0</v>
      </c>
      <c r="Z2739" s="13">
        <f t="shared" si="1998"/>
        <v>0</v>
      </c>
      <c r="AA2739" s="13"/>
      <c r="AB2739" s="13"/>
      <c r="AC2739" s="13"/>
      <c r="AD2739" s="13"/>
      <c r="AE2739" s="13"/>
      <c r="AF2739" s="13"/>
      <c r="AG2739" s="13"/>
      <c r="AH2739" s="13"/>
      <c r="AI2739" s="13"/>
      <c r="AJ2739" s="13"/>
      <c r="AK2739" s="13"/>
      <c r="AL2739" s="13"/>
      <c r="AM2739" s="13"/>
      <c r="AN2739" s="13"/>
      <c r="AO2739" s="13"/>
      <c r="AP2739" s="13"/>
      <c r="AQ2739" s="13"/>
      <c r="AR2739" s="13"/>
      <c r="AS2739" s="13"/>
    </row>
    <row r="2740" ht="14.25" hidden="1" customHeight="1">
      <c r="A2740" s="13" t="s">
        <v>46</v>
      </c>
      <c r="B2740" s="13" t="s">
        <v>55</v>
      </c>
      <c r="C2740" s="13" t="s">
        <v>1756</v>
      </c>
      <c r="D2740" s="13"/>
      <c r="E2740" s="13"/>
      <c r="F2740" s="13"/>
      <c r="G2740" s="13" t="s">
        <v>111</v>
      </c>
      <c r="H2740" s="13" t="s">
        <v>75</v>
      </c>
      <c r="I2740" s="13"/>
      <c r="J2740" s="13"/>
      <c r="K2740" s="15">
        <v>0.0</v>
      </c>
      <c r="L2740" s="15">
        <v>0.0</v>
      </c>
      <c r="M2740" s="16"/>
      <c r="N2740" s="16"/>
      <c r="O2740" s="17"/>
      <c r="P2740" s="17"/>
      <c r="Q2740" s="13"/>
      <c r="R2740" s="13"/>
      <c r="S2740" s="13"/>
      <c r="T2740" s="13">
        <f t="shared" ref="T2740:Y2740" si="2944">IF(ISBLANK(K2740)=TRUE,0,1)</f>
        <v>1</v>
      </c>
      <c r="U2740" s="13">
        <f t="shared" si="2944"/>
        <v>1</v>
      </c>
      <c r="V2740" s="13">
        <f t="shared" si="2944"/>
        <v>0</v>
      </c>
      <c r="W2740" s="13">
        <f t="shared" si="2944"/>
        <v>0</v>
      </c>
      <c r="X2740" s="13">
        <f t="shared" si="2944"/>
        <v>0</v>
      </c>
      <c r="Y2740" s="13">
        <f t="shared" si="2944"/>
        <v>0</v>
      </c>
      <c r="Z2740" s="13">
        <f t="shared" si="1998"/>
        <v>0</v>
      </c>
      <c r="AA2740" s="13"/>
      <c r="AB2740" s="13"/>
      <c r="AC2740" s="13"/>
      <c r="AD2740" s="13"/>
      <c r="AE2740" s="13"/>
      <c r="AF2740" s="13"/>
      <c r="AG2740" s="13"/>
      <c r="AH2740" s="13"/>
      <c r="AI2740" s="13"/>
      <c r="AJ2740" s="13"/>
      <c r="AK2740" s="13"/>
      <c r="AL2740" s="13"/>
      <c r="AM2740" s="13"/>
      <c r="AN2740" s="13"/>
      <c r="AO2740" s="13"/>
      <c r="AP2740" s="13"/>
      <c r="AQ2740" s="13"/>
      <c r="AR2740" s="13"/>
      <c r="AS2740" s="13"/>
    </row>
    <row r="2741" ht="14.25" hidden="1" customHeight="1">
      <c r="A2741" s="13" t="s">
        <v>46</v>
      </c>
      <c r="B2741" s="13" t="s">
        <v>55</v>
      </c>
      <c r="C2741" s="13" t="s">
        <v>1757</v>
      </c>
      <c r="D2741" s="13"/>
      <c r="E2741" s="13"/>
      <c r="F2741" s="13"/>
      <c r="G2741" s="13" t="s">
        <v>111</v>
      </c>
      <c r="H2741" s="13" t="s">
        <v>75</v>
      </c>
      <c r="I2741" s="13"/>
      <c r="J2741" s="13"/>
      <c r="K2741" s="15">
        <v>0.0</v>
      </c>
      <c r="L2741" s="15">
        <v>0.0</v>
      </c>
      <c r="M2741" s="16"/>
      <c r="N2741" s="16"/>
      <c r="O2741" s="17"/>
      <c r="P2741" s="17"/>
      <c r="Q2741" s="13"/>
      <c r="R2741" s="13"/>
      <c r="S2741" s="13"/>
      <c r="T2741" s="13">
        <f t="shared" ref="T2741:Y2741" si="2945">IF(ISBLANK(K2741)=TRUE,0,1)</f>
        <v>1</v>
      </c>
      <c r="U2741" s="13">
        <f t="shared" si="2945"/>
        <v>1</v>
      </c>
      <c r="V2741" s="13">
        <f t="shared" si="2945"/>
        <v>0</v>
      </c>
      <c r="W2741" s="13">
        <f t="shared" si="2945"/>
        <v>0</v>
      </c>
      <c r="X2741" s="13">
        <f t="shared" si="2945"/>
        <v>0</v>
      </c>
      <c r="Y2741" s="13">
        <f t="shared" si="2945"/>
        <v>0</v>
      </c>
      <c r="Z2741" s="13">
        <f t="shared" si="1998"/>
        <v>0</v>
      </c>
      <c r="AA2741" s="13"/>
      <c r="AB2741" s="13"/>
      <c r="AC2741" s="13"/>
      <c r="AD2741" s="13"/>
      <c r="AE2741" s="13"/>
      <c r="AF2741" s="13"/>
      <c r="AG2741" s="13"/>
      <c r="AH2741" s="13"/>
      <c r="AI2741" s="13"/>
      <c r="AJ2741" s="13"/>
      <c r="AK2741" s="13"/>
      <c r="AL2741" s="13"/>
      <c r="AM2741" s="13"/>
      <c r="AN2741" s="13"/>
      <c r="AO2741" s="13"/>
      <c r="AP2741" s="13"/>
      <c r="AQ2741" s="13"/>
      <c r="AR2741" s="13"/>
      <c r="AS2741" s="13"/>
    </row>
    <row r="2742" ht="14.25" hidden="1" customHeight="1">
      <c r="A2742" s="13" t="s">
        <v>46</v>
      </c>
      <c r="B2742" s="13" t="s">
        <v>55</v>
      </c>
      <c r="C2742" s="13" t="s">
        <v>1758</v>
      </c>
      <c r="D2742" s="13"/>
      <c r="E2742" s="13"/>
      <c r="F2742" s="13"/>
      <c r="G2742" s="13" t="s">
        <v>111</v>
      </c>
      <c r="H2742" s="13" t="s">
        <v>75</v>
      </c>
      <c r="I2742" s="13"/>
      <c r="J2742" s="13"/>
      <c r="K2742" s="15">
        <v>0.0</v>
      </c>
      <c r="L2742" s="15">
        <v>0.0</v>
      </c>
      <c r="M2742" s="16"/>
      <c r="N2742" s="16"/>
      <c r="O2742" s="17">
        <v>0.0</v>
      </c>
      <c r="P2742" s="17">
        <v>0.0</v>
      </c>
      <c r="Q2742" s="13"/>
      <c r="R2742" s="13"/>
      <c r="S2742" s="13"/>
      <c r="T2742" s="13">
        <f t="shared" ref="T2742:Y2742" si="2946">IF(ISBLANK(K2742)=TRUE,0,1)</f>
        <v>1</v>
      </c>
      <c r="U2742" s="13">
        <f t="shared" si="2946"/>
        <v>1</v>
      </c>
      <c r="V2742" s="13">
        <f t="shared" si="2946"/>
        <v>0</v>
      </c>
      <c r="W2742" s="13">
        <f t="shared" si="2946"/>
        <v>0</v>
      </c>
      <c r="X2742" s="13">
        <f t="shared" si="2946"/>
        <v>1</v>
      </c>
      <c r="Y2742" s="13">
        <f t="shared" si="2946"/>
        <v>1</v>
      </c>
      <c r="Z2742" s="13">
        <f t="shared" si="1998"/>
        <v>0</v>
      </c>
      <c r="AA2742" s="13"/>
      <c r="AB2742" s="13"/>
      <c r="AC2742" s="13"/>
      <c r="AD2742" s="13"/>
      <c r="AE2742" s="13"/>
      <c r="AF2742" s="13"/>
      <c r="AG2742" s="13"/>
      <c r="AH2742" s="13"/>
      <c r="AI2742" s="13"/>
      <c r="AJ2742" s="13"/>
      <c r="AK2742" s="13"/>
      <c r="AL2742" s="13"/>
      <c r="AM2742" s="13"/>
      <c r="AN2742" s="13"/>
      <c r="AO2742" s="13"/>
      <c r="AP2742" s="13"/>
      <c r="AQ2742" s="13"/>
      <c r="AR2742" s="13"/>
      <c r="AS2742" s="13"/>
    </row>
    <row r="2743" ht="14.25" hidden="1" customHeight="1">
      <c r="A2743" s="13" t="s">
        <v>46</v>
      </c>
      <c r="B2743" s="13" t="s">
        <v>55</v>
      </c>
      <c r="C2743" s="13" t="s">
        <v>1759</v>
      </c>
      <c r="D2743" s="13"/>
      <c r="E2743" s="13"/>
      <c r="F2743" s="13"/>
      <c r="G2743" s="13" t="s">
        <v>111</v>
      </c>
      <c r="H2743" s="13" t="s">
        <v>75</v>
      </c>
      <c r="I2743" s="13"/>
      <c r="J2743" s="13"/>
      <c r="K2743" s="15">
        <v>0.0</v>
      </c>
      <c r="L2743" s="15">
        <v>0.0</v>
      </c>
      <c r="M2743" s="16"/>
      <c r="N2743" s="16"/>
      <c r="O2743" s="17"/>
      <c r="P2743" s="17"/>
      <c r="Q2743" s="13"/>
      <c r="R2743" s="13"/>
      <c r="S2743" s="13"/>
      <c r="T2743" s="13">
        <f t="shared" ref="T2743:Y2743" si="2947">IF(ISBLANK(K2743)=TRUE,0,1)</f>
        <v>1</v>
      </c>
      <c r="U2743" s="13">
        <f t="shared" si="2947"/>
        <v>1</v>
      </c>
      <c r="V2743" s="13">
        <f t="shared" si="2947"/>
        <v>0</v>
      </c>
      <c r="W2743" s="13">
        <f t="shared" si="2947"/>
        <v>0</v>
      </c>
      <c r="X2743" s="13">
        <f t="shared" si="2947"/>
        <v>0</v>
      </c>
      <c r="Y2743" s="13">
        <f t="shared" si="2947"/>
        <v>0</v>
      </c>
      <c r="Z2743" s="13">
        <f t="shared" si="1998"/>
        <v>0</v>
      </c>
      <c r="AA2743" s="13"/>
      <c r="AB2743" s="13"/>
      <c r="AC2743" s="13"/>
      <c r="AD2743" s="13"/>
      <c r="AE2743" s="13"/>
      <c r="AF2743" s="13"/>
      <c r="AG2743" s="13"/>
      <c r="AH2743" s="13"/>
      <c r="AI2743" s="13"/>
      <c r="AJ2743" s="13"/>
      <c r="AK2743" s="13"/>
      <c r="AL2743" s="13"/>
      <c r="AM2743" s="13"/>
      <c r="AN2743" s="13"/>
      <c r="AO2743" s="13"/>
      <c r="AP2743" s="13"/>
      <c r="AQ2743" s="13"/>
      <c r="AR2743" s="13"/>
      <c r="AS2743" s="13"/>
    </row>
    <row r="2744" ht="14.25" hidden="1" customHeight="1">
      <c r="A2744" s="13" t="s">
        <v>46</v>
      </c>
      <c r="B2744" s="13" t="s">
        <v>55</v>
      </c>
      <c r="C2744" s="13" t="s">
        <v>1760</v>
      </c>
      <c r="D2744" s="13"/>
      <c r="E2744" s="13"/>
      <c r="F2744" s="13"/>
      <c r="G2744" s="13" t="s">
        <v>111</v>
      </c>
      <c r="H2744" s="13" t="s">
        <v>75</v>
      </c>
      <c r="I2744" s="13"/>
      <c r="J2744" s="13"/>
      <c r="K2744" s="15">
        <v>0.0</v>
      </c>
      <c r="L2744" s="15">
        <v>0.0</v>
      </c>
      <c r="M2744" s="16"/>
      <c r="N2744" s="16"/>
      <c r="O2744" s="17">
        <v>0.0</v>
      </c>
      <c r="P2744" s="17">
        <v>0.0</v>
      </c>
      <c r="Q2744" s="13"/>
      <c r="R2744" s="13"/>
      <c r="S2744" s="13"/>
      <c r="T2744" s="13">
        <f t="shared" ref="T2744:Y2744" si="2948">IF(ISBLANK(K2744)=TRUE,0,1)</f>
        <v>1</v>
      </c>
      <c r="U2744" s="13">
        <f t="shared" si="2948"/>
        <v>1</v>
      </c>
      <c r="V2744" s="13">
        <f t="shared" si="2948"/>
        <v>0</v>
      </c>
      <c r="W2744" s="13">
        <f t="shared" si="2948"/>
        <v>0</v>
      </c>
      <c r="X2744" s="13">
        <f t="shared" si="2948"/>
        <v>1</v>
      </c>
      <c r="Y2744" s="13">
        <f t="shared" si="2948"/>
        <v>1</v>
      </c>
      <c r="Z2744" s="13">
        <f t="shared" si="1998"/>
        <v>0</v>
      </c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3"/>
      <c r="AM2744" s="13"/>
      <c r="AN2744" s="13"/>
      <c r="AO2744" s="13"/>
      <c r="AP2744" s="13"/>
      <c r="AQ2744" s="13"/>
      <c r="AR2744" s="13"/>
      <c r="AS2744" s="13"/>
    </row>
    <row r="2745" ht="14.25" hidden="1" customHeight="1">
      <c r="A2745" s="13" t="s">
        <v>46</v>
      </c>
      <c r="B2745" s="13" t="s">
        <v>55</v>
      </c>
      <c r="C2745" s="13" t="s">
        <v>1761</v>
      </c>
      <c r="D2745" s="13"/>
      <c r="E2745" s="13"/>
      <c r="F2745" s="13"/>
      <c r="G2745" s="13" t="s">
        <v>111</v>
      </c>
      <c r="H2745" s="13" t="s">
        <v>75</v>
      </c>
      <c r="I2745" s="13"/>
      <c r="J2745" s="13"/>
      <c r="K2745" s="15">
        <v>0.0</v>
      </c>
      <c r="L2745" s="15">
        <v>0.0</v>
      </c>
      <c r="M2745" s="16"/>
      <c r="N2745" s="16"/>
      <c r="O2745" s="17">
        <v>0.0</v>
      </c>
      <c r="P2745" s="17">
        <v>0.0</v>
      </c>
      <c r="Q2745" s="13"/>
      <c r="R2745" s="13"/>
      <c r="S2745" s="13"/>
      <c r="T2745" s="13">
        <f t="shared" ref="T2745:Y2745" si="2949">IF(ISBLANK(K2745)=TRUE,0,1)</f>
        <v>1</v>
      </c>
      <c r="U2745" s="13">
        <f t="shared" si="2949"/>
        <v>1</v>
      </c>
      <c r="V2745" s="13">
        <f t="shared" si="2949"/>
        <v>0</v>
      </c>
      <c r="W2745" s="13">
        <f t="shared" si="2949"/>
        <v>0</v>
      </c>
      <c r="X2745" s="13">
        <f t="shared" si="2949"/>
        <v>1</v>
      </c>
      <c r="Y2745" s="13">
        <f t="shared" si="2949"/>
        <v>1</v>
      </c>
      <c r="Z2745" s="13">
        <f t="shared" si="1998"/>
        <v>0</v>
      </c>
      <c r="AA2745" s="13"/>
      <c r="AB2745" s="13"/>
      <c r="AC2745" s="13"/>
      <c r="AD2745" s="13"/>
      <c r="AE2745" s="13"/>
      <c r="AF2745" s="13"/>
      <c r="AG2745" s="13"/>
      <c r="AH2745" s="13"/>
      <c r="AI2745" s="13"/>
      <c r="AJ2745" s="13"/>
      <c r="AK2745" s="13"/>
      <c r="AL2745" s="13"/>
      <c r="AM2745" s="13"/>
      <c r="AN2745" s="13"/>
      <c r="AO2745" s="13"/>
      <c r="AP2745" s="13"/>
      <c r="AQ2745" s="13"/>
      <c r="AR2745" s="13"/>
      <c r="AS2745" s="13"/>
    </row>
    <row r="2746" ht="14.25" hidden="1" customHeight="1">
      <c r="A2746" s="13" t="s">
        <v>46</v>
      </c>
      <c r="B2746" s="13" t="s">
        <v>55</v>
      </c>
      <c r="C2746" s="13" t="s">
        <v>1762</v>
      </c>
      <c r="D2746" s="13"/>
      <c r="E2746" s="13"/>
      <c r="F2746" s="13"/>
      <c r="G2746" s="13" t="s">
        <v>111</v>
      </c>
      <c r="H2746" s="13" t="s">
        <v>75</v>
      </c>
      <c r="I2746" s="13"/>
      <c r="J2746" s="13"/>
      <c r="K2746" s="15">
        <v>0.0</v>
      </c>
      <c r="L2746" s="15">
        <v>0.0</v>
      </c>
      <c r="M2746" s="16"/>
      <c r="N2746" s="16"/>
      <c r="O2746" s="17">
        <v>0.0</v>
      </c>
      <c r="P2746" s="17">
        <v>0.0</v>
      </c>
      <c r="Q2746" s="13"/>
      <c r="R2746" s="13"/>
      <c r="S2746" s="13"/>
      <c r="T2746" s="13">
        <f t="shared" ref="T2746:Y2746" si="2950">IF(ISBLANK(K2746)=TRUE,0,1)</f>
        <v>1</v>
      </c>
      <c r="U2746" s="13">
        <f t="shared" si="2950"/>
        <v>1</v>
      </c>
      <c r="V2746" s="13">
        <f t="shared" si="2950"/>
        <v>0</v>
      </c>
      <c r="W2746" s="13">
        <f t="shared" si="2950"/>
        <v>0</v>
      </c>
      <c r="X2746" s="13">
        <f t="shared" si="2950"/>
        <v>1</v>
      </c>
      <c r="Y2746" s="13">
        <f t="shared" si="2950"/>
        <v>1</v>
      </c>
      <c r="Z2746" s="13">
        <f t="shared" si="1998"/>
        <v>0</v>
      </c>
      <c r="AA2746" s="13"/>
      <c r="AB2746" s="13"/>
      <c r="AC2746" s="13"/>
      <c r="AD2746" s="13"/>
      <c r="AE2746" s="13"/>
      <c r="AF2746" s="13"/>
      <c r="AG2746" s="13"/>
      <c r="AH2746" s="13"/>
      <c r="AI2746" s="13"/>
      <c r="AJ2746" s="13"/>
      <c r="AK2746" s="13"/>
      <c r="AL2746" s="13"/>
      <c r="AM2746" s="13"/>
      <c r="AN2746" s="13"/>
      <c r="AO2746" s="13"/>
      <c r="AP2746" s="13"/>
      <c r="AQ2746" s="13"/>
      <c r="AR2746" s="13"/>
      <c r="AS2746" s="13"/>
    </row>
    <row r="2747" ht="14.25" hidden="1" customHeight="1">
      <c r="A2747" s="13" t="s">
        <v>46</v>
      </c>
      <c r="B2747" s="13" t="s">
        <v>55</v>
      </c>
      <c r="C2747" s="13" t="s">
        <v>1763</v>
      </c>
      <c r="D2747" s="13"/>
      <c r="E2747" s="13"/>
      <c r="F2747" s="13"/>
      <c r="G2747" s="13" t="s">
        <v>111</v>
      </c>
      <c r="H2747" s="13" t="s">
        <v>75</v>
      </c>
      <c r="I2747" s="13"/>
      <c r="J2747" s="13"/>
      <c r="K2747" s="15">
        <v>0.0</v>
      </c>
      <c r="L2747" s="15">
        <v>0.0</v>
      </c>
      <c r="M2747" s="16"/>
      <c r="N2747" s="16"/>
      <c r="O2747" s="17">
        <v>0.0</v>
      </c>
      <c r="P2747" s="17">
        <v>0.0</v>
      </c>
      <c r="Q2747" s="13"/>
      <c r="R2747" s="13"/>
      <c r="S2747" s="13"/>
      <c r="T2747" s="13">
        <f t="shared" ref="T2747:Y2747" si="2951">IF(ISBLANK(K2747)=TRUE,0,1)</f>
        <v>1</v>
      </c>
      <c r="U2747" s="13">
        <f t="shared" si="2951"/>
        <v>1</v>
      </c>
      <c r="V2747" s="13">
        <f t="shared" si="2951"/>
        <v>0</v>
      </c>
      <c r="W2747" s="13">
        <f t="shared" si="2951"/>
        <v>0</v>
      </c>
      <c r="X2747" s="13">
        <f t="shared" si="2951"/>
        <v>1</v>
      </c>
      <c r="Y2747" s="13">
        <f t="shared" si="2951"/>
        <v>1</v>
      </c>
      <c r="Z2747" s="13">
        <f t="shared" si="1998"/>
        <v>0</v>
      </c>
      <c r="AA2747" s="13"/>
      <c r="AB2747" s="13"/>
      <c r="AC2747" s="13"/>
      <c r="AD2747" s="13"/>
      <c r="AE2747" s="13"/>
      <c r="AF2747" s="13"/>
      <c r="AG2747" s="13"/>
      <c r="AH2747" s="13"/>
      <c r="AI2747" s="13"/>
      <c r="AJ2747" s="13"/>
      <c r="AK2747" s="13"/>
      <c r="AL2747" s="13"/>
      <c r="AM2747" s="13"/>
      <c r="AN2747" s="13"/>
      <c r="AO2747" s="13"/>
      <c r="AP2747" s="13"/>
      <c r="AQ2747" s="13"/>
      <c r="AR2747" s="13"/>
      <c r="AS2747" s="13"/>
    </row>
    <row r="2748" ht="14.25" hidden="1" customHeight="1">
      <c r="A2748" s="13" t="s">
        <v>46</v>
      </c>
      <c r="B2748" s="13" t="s">
        <v>55</v>
      </c>
      <c r="C2748" s="13" t="s">
        <v>1764</v>
      </c>
      <c r="D2748" s="13"/>
      <c r="E2748" s="13"/>
      <c r="F2748" s="13"/>
      <c r="G2748" s="13" t="s">
        <v>111</v>
      </c>
      <c r="H2748" s="13" t="s">
        <v>75</v>
      </c>
      <c r="I2748" s="13"/>
      <c r="J2748" s="13"/>
      <c r="K2748" s="15">
        <v>0.0</v>
      </c>
      <c r="L2748" s="15">
        <v>0.0</v>
      </c>
      <c r="M2748" s="16"/>
      <c r="N2748" s="16"/>
      <c r="O2748" s="17">
        <v>0.0</v>
      </c>
      <c r="P2748" s="17">
        <v>0.0</v>
      </c>
      <c r="Q2748" s="13"/>
      <c r="R2748" s="13"/>
      <c r="S2748" s="13"/>
      <c r="T2748" s="13">
        <f t="shared" ref="T2748:Y2748" si="2952">IF(ISBLANK(K2748)=TRUE,0,1)</f>
        <v>1</v>
      </c>
      <c r="U2748" s="13">
        <f t="shared" si="2952"/>
        <v>1</v>
      </c>
      <c r="V2748" s="13">
        <f t="shared" si="2952"/>
        <v>0</v>
      </c>
      <c r="W2748" s="13">
        <f t="shared" si="2952"/>
        <v>0</v>
      </c>
      <c r="X2748" s="13">
        <f t="shared" si="2952"/>
        <v>1</v>
      </c>
      <c r="Y2748" s="13">
        <f t="shared" si="2952"/>
        <v>1</v>
      </c>
      <c r="Z2748" s="13">
        <f t="shared" si="1998"/>
        <v>0</v>
      </c>
      <c r="AA2748" s="13"/>
      <c r="AB2748" s="13"/>
      <c r="AC2748" s="13"/>
      <c r="AD2748" s="13"/>
      <c r="AE2748" s="13"/>
      <c r="AF2748" s="13"/>
      <c r="AG2748" s="13"/>
      <c r="AH2748" s="13"/>
      <c r="AI2748" s="13"/>
      <c r="AJ2748" s="13"/>
      <c r="AK2748" s="13"/>
      <c r="AL2748" s="13"/>
      <c r="AM2748" s="13"/>
      <c r="AN2748" s="13"/>
      <c r="AO2748" s="13"/>
      <c r="AP2748" s="13"/>
      <c r="AQ2748" s="13"/>
      <c r="AR2748" s="13"/>
      <c r="AS2748" s="13"/>
    </row>
    <row r="2749" ht="14.25" hidden="1" customHeight="1">
      <c r="A2749" s="13" t="s">
        <v>46</v>
      </c>
      <c r="B2749" s="13" t="s">
        <v>55</v>
      </c>
      <c r="C2749" s="13" t="s">
        <v>1765</v>
      </c>
      <c r="D2749" s="13"/>
      <c r="E2749" s="13"/>
      <c r="F2749" s="13"/>
      <c r="G2749" s="13" t="s">
        <v>111</v>
      </c>
      <c r="H2749" s="13" t="s">
        <v>75</v>
      </c>
      <c r="I2749" s="13"/>
      <c r="J2749" s="13"/>
      <c r="K2749" s="15">
        <v>0.0</v>
      </c>
      <c r="L2749" s="15">
        <v>0.0</v>
      </c>
      <c r="M2749" s="16"/>
      <c r="N2749" s="16"/>
      <c r="O2749" s="17">
        <v>0.0</v>
      </c>
      <c r="P2749" s="17">
        <v>0.0</v>
      </c>
      <c r="Q2749" s="13"/>
      <c r="R2749" s="13"/>
      <c r="S2749" s="13"/>
      <c r="T2749" s="13">
        <f t="shared" ref="T2749:Y2749" si="2953">IF(ISBLANK(K2749)=TRUE,0,1)</f>
        <v>1</v>
      </c>
      <c r="U2749" s="13">
        <f t="shared" si="2953"/>
        <v>1</v>
      </c>
      <c r="V2749" s="13">
        <f t="shared" si="2953"/>
        <v>0</v>
      </c>
      <c r="W2749" s="13">
        <f t="shared" si="2953"/>
        <v>0</v>
      </c>
      <c r="X2749" s="13">
        <f t="shared" si="2953"/>
        <v>1</v>
      </c>
      <c r="Y2749" s="13">
        <f t="shared" si="2953"/>
        <v>1</v>
      </c>
      <c r="Z2749" s="13">
        <f t="shared" si="1998"/>
        <v>0</v>
      </c>
      <c r="AA2749" s="13"/>
      <c r="AB2749" s="13"/>
      <c r="AC2749" s="13"/>
      <c r="AD2749" s="13"/>
      <c r="AE2749" s="13"/>
      <c r="AF2749" s="13"/>
      <c r="AG2749" s="13"/>
      <c r="AH2749" s="13"/>
      <c r="AI2749" s="13"/>
      <c r="AJ2749" s="13"/>
      <c r="AK2749" s="13"/>
      <c r="AL2749" s="13"/>
      <c r="AM2749" s="13"/>
      <c r="AN2749" s="13"/>
      <c r="AO2749" s="13"/>
      <c r="AP2749" s="13"/>
      <c r="AQ2749" s="13"/>
      <c r="AR2749" s="13"/>
      <c r="AS2749" s="13"/>
    </row>
    <row r="2750" ht="14.25" hidden="1" customHeight="1">
      <c r="A2750" s="13" t="s">
        <v>46</v>
      </c>
      <c r="B2750" s="13" t="s">
        <v>55</v>
      </c>
      <c r="C2750" s="13" t="s">
        <v>1766</v>
      </c>
      <c r="D2750" s="13"/>
      <c r="E2750" s="13"/>
      <c r="F2750" s="13"/>
      <c r="G2750" s="13" t="s">
        <v>111</v>
      </c>
      <c r="H2750" s="13" t="s">
        <v>75</v>
      </c>
      <c r="I2750" s="13"/>
      <c r="J2750" s="13"/>
      <c r="K2750" s="15"/>
      <c r="L2750" s="15"/>
      <c r="M2750" s="16"/>
      <c r="N2750" s="16"/>
      <c r="O2750" s="17">
        <v>0.0</v>
      </c>
      <c r="P2750" s="17">
        <v>0.0</v>
      </c>
      <c r="Q2750" s="13"/>
      <c r="R2750" s="13"/>
      <c r="S2750" s="13"/>
      <c r="T2750" s="13">
        <f t="shared" ref="T2750:Y2750" si="2954">IF(ISBLANK(K2750)=TRUE,0,1)</f>
        <v>0</v>
      </c>
      <c r="U2750" s="13">
        <f t="shared" si="2954"/>
        <v>0</v>
      </c>
      <c r="V2750" s="13">
        <f t="shared" si="2954"/>
        <v>0</v>
      </c>
      <c r="W2750" s="13">
        <f t="shared" si="2954"/>
        <v>0</v>
      </c>
      <c r="X2750" s="13">
        <f t="shared" si="2954"/>
        <v>1</v>
      </c>
      <c r="Y2750" s="13">
        <f t="shared" si="2954"/>
        <v>1</v>
      </c>
      <c r="Z2750" s="13">
        <f t="shared" si="1998"/>
        <v>0</v>
      </c>
      <c r="AA2750" s="13"/>
      <c r="AB2750" s="13"/>
      <c r="AC2750" s="13"/>
      <c r="AD2750" s="13"/>
      <c r="AE2750" s="13"/>
      <c r="AF2750" s="13"/>
      <c r="AG2750" s="13"/>
      <c r="AH2750" s="13"/>
      <c r="AI2750" s="13"/>
      <c r="AJ2750" s="13"/>
      <c r="AK2750" s="13"/>
      <c r="AL2750" s="13"/>
      <c r="AM2750" s="13"/>
      <c r="AN2750" s="13"/>
      <c r="AO2750" s="13"/>
      <c r="AP2750" s="13"/>
      <c r="AQ2750" s="13"/>
      <c r="AR2750" s="13"/>
      <c r="AS2750" s="13"/>
    </row>
    <row r="2751" ht="14.25" hidden="1" customHeight="1">
      <c r="A2751" s="13" t="s">
        <v>46</v>
      </c>
      <c r="B2751" s="13" t="s">
        <v>55</v>
      </c>
      <c r="C2751" s="13" t="s">
        <v>1767</v>
      </c>
      <c r="D2751" s="13"/>
      <c r="E2751" s="13" t="str">
        <f t="shared" ref="E2751:E2777" si="2956">CONCATENATE(B2751,",",C2751,",",D2751,",",Z2751)</f>
        <v>JLP,110-5A-4I,,1</v>
      </c>
      <c r="F2751" s="13"/>
      <c r="G2751" s="13" t="s">
        <v>111</v>
      </c>
      <c r="H2751" s="13" t="s">
        <v>75</v>
      </c>
      <c r="I2751" s="13"/>
      <c r="J2751" s="13"/>
      <c r="K2751" s="15"/>
      <c r="L2751" s="15"/>
      <c r="M2751" s="16"/>
      <c r="N2751" s="16"/>
      <c r="O2751" s="17">
        <v>1.0</v>
      </c>
      <c r="P2751" s="17">
        <v>1.0</v>
      </c>
      <c r="Q2751" s="13"/>
      <c r="R2751" s="13"/>
      <c r="S2751" s="13"/>
      <c r="T2751" s="13">
        <f t="shared" ref="T2751:Y2751" si="2955">IF(ISBLANK(K2751)=TRUE,0,1)</f>
        <v>0</v>
      </c>
      <c r="U2751" s="13">
        <f t="shared" si="2955"/>
        <v>0</v>
      </c>
      <c r="V2751" s="13">
        <f t="shared" si="2955"/>
        <v>0</v>
      </c>
      <c r="W2751" s="13">
        <f t="shared" si="2955"/>
        <v>0</v>
      </c>
      <c r="X2751" s="13">
        <f t="shared" si="2955"/>
        <v>1</v>
      </c>
      <c r="Y2751" s="13">
        <f t="shared" si="2955"/>
        <v>1</v>
      </c>
      <c r="Z2751" s="13">
        <f t="shared" si="1998"/>
        <v>1</v>
      </c>
      <c r="AA2751" s="13"/>
      <c r="AB2751" s="13"/>
      <c r="AC2751" s="13"/>
      <c r="AD2751" s="13"/>
      <c r="AE2751" s="13"/>
      <c r="AF2751" s="13"/>
      <c r="AG2751" s="13"/>
      <c r="AH2751" s="13"/>
      <c r="AI2751" s="13"/>
      <c r="AJ2751" s="13"/>
      <c r="AK2751" s="13"/>
      <c r="AL2751" s="13"/>
      <c r="AM2751" s="13"/>
      <c r="AN2751" s="13"/>
      <c r="AO2751" s="13"/>
      <c r="AP2751" s="13"/>
      <c r="AQ2751" s="13"/>
      <c r="AR2751" s="13"/>
      <c r="AS2751" s="13"/>
    </row>
    <row r="2752" ht="14.25" hidden="1" customHeight="1">
      <c r="A2752" s="13" t="s">
        <v>46</v>
      </c>
      <c r="B2752" s="13" t="s">
        <v>55</v>
      </c>
      <c r="C2752" s="13" t="s">
        <v>1768</v>
      </c>
      <c r="D2752" s="13"/>
      <c r="E2752" s="13" t="str">
        <f t="shared" si="2956"/>
        <v>JLP,110-5A-4M,,NA</v>
      </c>
      <c r="F2752" s="13"/>
      <c r="G2752" s="13" t="s">
        <v>111</v>
      </c>
      <c r="H2752" s="13" t="s">
        <v>75</v>
      </c>
      <c r="I2752" s="13"/>
      <c r="J2752" s="13"/>
      <c r="K2752" s="15"/>
      <c r="L2752" s="15"/>
      <c r="M2752" s="16"/>
      <c r="N2752" s="16"/>
      <c r="O2752" s="17"/>
      <c r="P2752" s="17"/>
      <c r="Q2752" s="13"/>
      <c r="R2752" s="13"/>
      <c r="S2752" s="13"/>
      <c r="T2752" s="13">
        <f t="shared" ref="T2752:Y2752" si="2957">IF(ISBLANK(K2752)=TRUE,0,1)</f>
        <v>0</v>
      </c>
      <c r="U2752" s="13">
        <f t="shared" si="2957"/>
        <v>0</v>
      </c>
      <c r="V2752" s="13">
        <f t="shared" si="2957"/>
        <v>0</v>
      </c>
      <c r="W2752" s="13">
        <f t="shared" si="2957"/>
        <v>0</v>
      </c>
      <c r="X2752" s="13">
        <f t="shared" si="2957"/>
        <v>0</v>
      </c>
      <c r="Y2752" s="13">
        <f t="shared" si="2957"/>
        <v>0</v>
      </c>
      <c r="Z2752" s="13" t="str">
        <f t="shared" si="1998"/>
        <v>NA</v>
      </c>
      <c r="AA2752" s="13"/>
      <c r="AB2752" s="13"/>
      <c r="AC2752" s="13"/>
      <c r="AD2752" s="13"/>
      <c r="AE2752" s="13"/>
      <c r="AF2752" s="13"/>
      <c r="AG2752" s="13"/>
      <c r="AH2752" s="13"/>
      <c r="AI2752" s="13"/>
      <c r="AJ2752" s="13"/>
      <c r="AK2752" s="13"/>
      <c r="AL2752" s="13"/>
      <c r="AM2752" s="13"/>
      <c r="AN2752" s="13"/>
      <c r="AO2752" s="13"/>
      <c r="AP2752" s="13"/>
      <c r="AQ2752" s="13"/>
      <c r="AR2752" s="13"/>
      <c r="AS2752" s="13"/>
    </row>
    <row r="2753" ht="14.25" hidden="1" customHeight="1">
      <c r="A2753" s="13" t="s">
        <v>46</v>
      </c>
      <c r="B2753" s="13" t="s">
        <v>55</v>
      </c>
      <c r="C2753" s="13" t="s">
        <v>1769</v>
      </c>
      <c r="D2753" s="13"/>
      <c r="E2753" s="13" t="str">
        <f t="shared" si="2956"/>
        <v>JLP,110-5A-4N,,NA</v>
      </c>
      <c r="F2753" s="13"/>
      <c r="G2753" s="13" t="s">
        <v>111</v>
      </c>
      <c r="H2753" s="13" t="s">
        <v>107</v>
      </c>
      <c r="I2753" s="13"/>
      <c r="J2753" s="13"/>
      <c r="K2753" s="15"/>
      <c r="L2753" s="15"/>
      <c r="M2753" s="16"/>
      <c r="N2753" s="16"/>
      <c r="O2753" s="17"/>
      <c r="P2753" s="17"/>
      <c r="Q2753" s="13"/>
      <c r="R2753" s="13"/>
      <c r="S2753" s="13"/>
      <c r="T2753" s="13">
        <f t="shared" ref="T2753:Y2753" si="2958">IF(ISBLANK(K2753)=TRUE,0,1)</f>
        <v>0</v>
      </c>
      <c r="U2753" s="13">
        <f t="shared" si="2958"/>
        <v>0</v>
      </c>
      <c r="V2753" s="13">
        <f t="shared" si="2958"/>
        <v>0</v>
      </c>
      <c r="W2753" s="13">
        <f t="shared" si="2958"/>
        <v>0</v>
      </c>
      <c r="X2753" s="13">
        <f t="shared" si="2958"/>
        <v>0</v>
      </c>
      <c r="Y2753" s="13">
        <f t="shared" si="2958"/>
        <v>0</v>
      </c>
      <c r="Z2753" s="13" t="str">
        <f t="shared" si="1998"/>
        <v>NA</v>
      </c>
      <c r="AA2753" s="13"/>
      <c r="AB2753" s="13"/>
      <c r="AC2753" s="13"/>
      <c r="AD2753" s="13"/>
      <c r="AE2753" s="13"/>
      <c r="AF2753" s="13"/>
      <c r="AG2753" s="13"/>
      <c r="AH2753" s="13"/>
      <c r="AI2753" s="13"/>
      <c r="AJ2753" s="13"/>
      <c r="AK2753" s="13"/>
      <c r="AL2753" s="13"/>
      <c r="AM2753" s="13"/>
      <c r="AN2753" s="13"/>
      <c r="AO2753" s="13"/>
      <c r="AP2753" s="13"/>
      <c r="AQ2753" s="13"/>
      <c r="AR2753" s="13"/>
      <c r="AS2753" s="13"/>
    </row>
    <row r="2754" ht="14.25" hidden="1" customHeight="1">
      <c r="A2754" s="13" t="s">
        <v>46</v>
      </c>
      <c r="B2754" s="13" t="s">
        <v>55</v>
      </c>
      <c r="C2754" s="13" t="s">
        <v>1770</v>
      </c>
      <c r="D2754" s="13"/>
      <c r="E2754" s="13" t="str">
        <f t="shared" si="2956"/>
        <v>JLP,110-5A-4Q,,NA</v>
      </c>
      <c r="F2754" s="13"/>
      <c r="G2754" s="13" t="s">
        <v>111</v>
      </c>
      <c r="H2754" s="13" t="s">
        <v>107</v>
      </c>
      <c r="I2754" s="13"/>
      <c r="J2754" s="13"/>
      <c r="K2754" s="15"/>
      <c r="L2754" s="15"/>
      <c r="M2754" s="16"/>
      <c r="N2754" s="16"/>
      <c r="O2754" s="17"/>
      <c r="P2754" s="17"/>
      <c r="Q2754" s="13"/>
      <c r="R2754" s="13"/>
      <c r="S2754" s="13"/>
      <c r="T2754" s="13">
        <f t="shared" ref="T2754:Y2754" si="2959">IF(ISBLANK(K2754)=TRUE,0,1)</f>
        <v>0</v>
      </c>
      <c r="U2754" s="13">
        <f t="shared" si="2959"/>
        <v>0</v>
      </c>
      <c r="V2754" s="13">
        <f t="shared" si="2959"/>
        <v>0</v>
      </c>
      <c r="W2754" s="13">
        <f t="shared" si="2959"/>
        <v>0</v>
      </c>
      <c r="X2754" s="13">
        <f t="shared" si="2959"/>
        <v>0</v>
      </c>
      <c r="Y2754" s="13">
        <f t="shared" si="2959"/>
        <v>0</v>
      </c>
      <c r="Z2754" s="13" t="str">
        <f t="shared" si="1998"/>
        <v>NA</v>
      </c>
      <c r="AA2754" s="13"/>
      <c r="AB2754" s="13"/>
      <c r="AC2754" s="13"/>
      <c r="AD2754" s="13"/>
      <c r="AE2754" s="13"/>
      <c r="AF2754" s="13"/>
      <c r="AG2754" s="13"/>
      <c r="AH2754" s="13"/>
      <c r="AI2754" s="13"/>
      <c r="AJ2754" s="13"/>
      <c r="AK2754" s="13"/>
      <c r="AL2754" s="13"/>
      <c r="AM2754" s="13"/>
      <c r="AN2754" s="13"/>
      <c r="AO2754" s="13"/>
      <c r="AP2754" s="13"/>
      <c r="AQ2754" s="13"/>
      <c r="AR2754" s="13"/>
      <c r="AS2754" s="13"/>
    </row>
    <row r="2755" ht="14.25" hidden="1" customHeight="1">
      <c r="A2755" s="13" t="s">
        <v>46</v>
      </c>
      <c r="B2755" s="13" t="s">
        <v>55</v>
      </c>
      <c r="C2755" s="39" t="s">
        <v>1771</v>
      </c>
      <c r="D2755" s="13"/>
      <c r="E2755" s="13" t="str">
        <f t="shared" si="2956"/>
        <v>JLP,110-5A-4U,,NA</v>
      </c>
      <c r="F2755" s="13"/>
      <c r="G2755" s="13" t="s">
        <v>111</v>
      </c>
      <c r="H2755" s="13" t="s">
        <v>75</v>
      </c>
      <c r="I2755" s="13"/>
      <c r="J2755" s="13"/>
      <c r="K2755" s="15"/>
      <c r="L2755" s="15"/>
      <c r="M2755" s="16"/>
      <c r="N2755" s="16"/>
      <c r="O2755" s="17"/>
      <c r="P2755" s="17"/>
      <c r="Q2755" s="13"/>
      <c r="R2755" s="13"/>
      <c r="S2755" s="13"/>
      <c r="T2755" s="13">
        <f t="shared" ref="T2755:Y2755" si="2960">IF(ISBLANK(K2755)=TRUE,0,1)</f>
        <v>0</v>
      </c>
      <c r="U2755" s="13">
        <f t="shared" si="2960"/>
        <v>0</v>
      </c>
      <c r="V2755" s="13">
        <f t="shared" si="2960"/>
        <v>0</v>
      </c>
      <c r="W2755" s="13">
        <f t="shared" si="2960"/>
        <v>0</v>
      </c>
      <c r="X2755" s="13">
        <f t="shared" si="2960"/>
        <v>0</v>
      </c>
      <c r="Y2755" s="13">
        <f t="shared" si="2960"/>
        <v>0</v>
      </c>
      <c r="Z2755" s="13" t="str">
        <f t="shared" si="1998"/>
        <v>NA</v>
      </c>
      <c r="AA2755" s="13"/>
      <c r="AB2755" s="13"/>
      <c r="AC2755" s="13"/>
      <c r="AD2755" s="13"/>
      <c r="AE2755" s="13"/>
      <c r="AF2755" s="13"/>
      <c r="AG2755" s="13"/>
      <c r="AH2755" s="13"/>
      <c r="AI2755" s="13"/>
      <c r="AJ2755" s="13"/>
      <c r="AK2755" s="13"/>
      <c r="AL2755" s="13"/>
      <c r="AM2755" s="13"/>
      <c r="AN2755" s="13"/>
      <c r="AO2755" s="13"/>
      <c r="AP2755" s="13"/>
      <c r="AQ2755" s="13"/>
      <c r="AR2755" s="13"/>
      <c r="AS2755" s="13"/>
    </row>
    <row r="2756" ht="14.25" hidden="1" customHeight="1">
      <c r="A2756" s="13" t="s">
        <v>46</v>
      </c>
      <c r="B2756" s="13" t="s">
        <v>55</v>
      </c>
      <c r="C2756" s="39" t="s">
        <v>1772</v>
      </c>
      <c r="D2756" s="13"/>
      <c r="E2756" s="13" t="str">
        <f t="shared" si="2956"/>
        <v>JLP,110-5A-4V,,NA</v>
      </c>
      <c r="F2756" s="13"/>
      <c r="G2756" s="13" t="s">
        <v>111</v>
      </c>
      <c r="H2756" s="13" t="s">
        <v>75</v>
      </c>
      <c r="I2756" s="13"/>
      <c r="J2756" s="13"/>
      <c r="K2756" s="15"/>
      <c r="L2756" s="15"/>
      <c r="M2756" s="16"/>
      <c r="N2756" s="16"/>
      <c r="O2756" s="17"/>
      <c r="P2756" s="17"/>
      <c r="Q2756" s="13"/>
      <c r="R2756" s="13"/>
      <c r="S2756" s="13"/>
      <c r="T2756" s="13">
        <f t="shared" ref="T2756:Y2756" si="2961">IF(ISBLANK(K2756)=TRUE,0,1)</f>
        <v>0</v>
      </c>
      <c r="U2756" s="13">
        <f t="shared" si="2961"/>
        <v>0</v>
      </c>
      <c r="V2756" s="13">
        <f t="shared" si="2961"/>
        <v>0</v>
      </c>
      <c r="W2756" s="13">
        <f t="shared" si="2961"/>
        <v>0</v>
      </c>
      <c r="X2756" s="13">
        <f t="shared" si="2961"/>
        <v>0</v>
      </c>
      <c r="Y2756" s="13">
        <f t="shared" si="2961"/>
        <v>0</v>
      </c>
      <c r="Z2756" s="13" t="str">
        <f t="shared" si="1998"/>
        <v>NA</v>
      </c>
      <c r="AA2756" s="13"/>
      <c r="AB2756" s="13"/>
      <c r="AC2756" s="13"/>
      <c r="AD2756" s="13"/>
      <c r="AE2756" s="13"/>
      <c r="AF2756" s="13"/>
      <c r="AG2756" s="13"/>
      <c r="AH2756" s="13"/>
      <c r="AI2756" s="13"/>
      <c r="AJ2756" s="13"/>
      <c r="AK2756" s="13"/>
      <c r="AL2756" s="13"/>
      <c r="AM2756" s="13"/>
      <c r="AN2756" s="13"/>
      <c r="AO2756" s="13"/>
      <c r="AP2756" s="13"/>
      <c r="AQ2756" s="13"/>
      <c r="AR2756" s="13"/>
      <c r="AS2756" s="13"/>
    </row>
    <row r="2757" ht="14.25" hidden="1" customHeight="1">
      <c r="A2757" s="13" t="s">
        <v>46</v>
      </c>
      <c r="B2757" s="13" t="s">
        <v>55</v>
      </c>
      <c r="C2757" s="13" t="s">
        <v>1773</v>
      </c>
      <c r="D2757" s="13"/>
      <c r="E2757" s="13" t="str">
        <f t="shared" si="2956"/>
        <v>JLP,110-5A-4W,,NA</v>
      </c>
      <c r="F2757" s="13"/>
      <c r="G2757" s="13" t="s">
        <v>111</v>
      </c>
      <c r="H2757" s="13" t="s">
        <v>75</v>
      </c>
      <c r="I2757" s="13"/>
      <c r="J2757" s="13"/>
      <c r="K2757" s="15"/>
      <c r="L2757" s="15"/>
      <c r="M2757" s="16"/>
      <c r="N2757" s="16"/>
      <c r="O2757" s="17"/>
      <c r="P2757" s="17"/>
      <c r="Q2757" s="13"/>
      <c r="R2757" s="13"/>
      <c r="S2757" s="13"/>
      <c r="T2757" s="13">
        <f t="shared" ref="T2757:Y2757" si="2962">IF(ISBLANK(K2757)=TRUE,0,1)</f>
        <v>0</v>
      </c>
      <c r="U2757" s="13">
        <f t="shared" si="2962"/>
        <v>0</v>
      </c>
      <c r="V2757" s="13">
        <f t="shared" si="2962"/>
        <v>0</v>
      </c>
      <c r="W2757" s="13">
        <f t="shared" si="2962"/>
        <v>0</v>
      </c>
      <c r="X2757" s="13">
        <f t="shared" si="2962"/>
        <v>0</v>
      </c>
      <c r="Y2757" s="13">
        <f t="shared" si="2962"/>
        <v>0</v>
      </c>
      <c r="Z2757" s="13" t="str">
        <f t="shared" si="1998"/>
        <v>NA</v>
      </c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13"/>
      <c r="AK2757" s="13"/>
      <c r="AL2757" s="13"/>
      <c r="AM2757" s="13"/>
      <c r="AN2757" s="13"/>
      <c r="AO2757" s="13"/>
      <c r="AP2757" s="13"/>
      <c r="AQ2757" s="13"/>
      <c r="AR2757" s="13"/>
      <c r="AS2757" s="13"/>
    </row>
    <row r="2758" ht="14.25" hidden="1" customHeight="1">
      <c r="A2758" s="13" t="s">
        <v>46</v>
      </c>
      <c r="B2758" s="13" t="s">
        <v>55</v>
      </c>
      <c r="C2758" s="13" t="s">
        <v>1774</v>
      </c>
      <c r="D2758" s="13"/>
      <c r="E2758" s="13" t="str">
        <f t="shared" si="2956"/>
        <v>JLP,110-5A-5B,,NA</v>
      </c>
      <c r="F2758" s="13"/>
      <c r="G2758" s="13" t="s">
        <v>111</v>
      </c>
      <c r="H2758" s="13" t="s">
        <v>75</v>
      </c>
      <c r="I2758" s="13"/>
      <c r="J2758" s="13"/>
      <c r="K2758" s="15"/>
      <c r="L2758" s="15"/>
      <c r="M2758" s="16"/>
      <c r="N2758" s="16"/>
      <c r="O2758" s="17"/>
      <c r="P2758" s="17"/>
      <c r="Q2758" s="13"/>
      <c r="R2758" s="13"/>
      <c r="S2758" s="13"/>
      <c r="T2758" s="13">
        <f t="shared" ref="T2758:Y2758" si="2963">IF(ISBLANK(K2758)=TRUE,0,1)</f>
        <v>0</v>
      </c>
      <c r="U2758" s="13">
        <f t="shared" si="2963"/>
        <v>0</v>
      </c>
      <c r="V2758" s="13">
        <f t="shared" si="2963"/>
        <v>0</v>
      </c>
      <c r="W2758" s="13">
        <f t="shared" si="2963"/>
        <v>0</v>
      </c>
      <c r="X2758" s="13">
        <f t="shared" si="2963"/>
        <v>0</v>
      </c>
      <c r="Y2758" s="13">
        <f t="shared" si="2963"/>
        <v>0</v>
      </c>
      <c r="Z2758" s="13" t="str">
        <f t="shared" si="1998"/>
        <v>NA</v>
      </c>
      <c r="AA2758" s="13"/>
      <c r="AB2758" s="13"/>
      <c r="AC2758" s="13"/>
      <c r="AD2758" s="13"/>
      <c r="AE2758" s="13"/>
      <c r="AF2758" s="13"/>
      <c r="AG2758" s="13"/>
      <c r="AH2758" s="13"/>
      <c r="AI2758" s="13"/>
      <c r="AJ2758" s="13"/>
      <c r="AK2758" s="13"/>
      <c r="AL2758" s="13"/>
      <c r="AM2758" s="13"/>
      <c r="AN2758" s="13"/>
      <c r="AO2758" s="13"/>
      <c r="AP2758" s="13"/>
      <c r="AQ2758" s="13"/>
      <c r="AR2758" s="13"/>
      <c r="AS2758" s="13"/>
    </row>
    <row r="2759" ht="14.25" hidden="1" customHeight="1">
      <c r="A2759" s="13" t="s">
        <v>46</v>
      </c>
      <c r="B2759" s="13" t="s">
        <v>55</v>
      </c>
      <c r="C2759" s="13" t="s">
        <v>1775</v>
      </c>
      <c r="D2759" s="13"/>
      <c r="E2759" s="13" t="str">
        <f t="shared" si="2956"/>
        <v>JLP,110-5A-5C,,NA</v>
      </c>
      <c r="F2759" s="13"/>
      <c r="G2759" s="13" t="s">
        <v>111</v>
      </c>
      <c r="H2759" s="13" t="s">
        <v>75</v>
      </c>
      <c r="I2759" s="13"/>
      <c r="J2759" s="13"/>
      <c r="K2759" s="15"/>
      <c r="L2759" s="15"/>
      <c r="M2759" s="16"/>
      <c r="N2759" s="16"/>
      <c r="O2759" s="17"/>
      <c r="P2759" s="17"/>
      <c r="Q2759" s="13"/>
      <c r="R2759" s="13"/>
      <c r="S2759" s="13"/>
      <c r="T2759" s="13">
        <f t="shared" ref="T2759:Y2759" si="2964">IF(ISBLANK(K2759)=TRUE,0,1)</f>
        <v>0</v>
      </c>
      <c r="U2759" s="13">
        <f t="shared" si="2964"/>
        <v>0</v>
      </c>
      <c r="V2759" s="13">
        <f t="shared" si="2964"/>
        <v>0</v>
      </c>
      <c r="W2759" s="13">
        <f t="shared" si="2964"/>
        <v>0</v>
      </c>
      <c r="X2759" s="13">
        <f t="shared" si="2964"/>
        <v>0</v>
      </c>
      <c r="Y2759" s="13">
        <f t="shared" si="2964"/>
        <v>0</v>
      </c>
      <c r="Z2759" s="13" t="str">
        <f t="shared" si="1998"/>
        <v>NA</v>
      </c>
      <c r="AA2759" s="13"/>
      <c r="AB2759" s="13"/>
      <c r="AC2759" s="13"/>
      <c r="AD2759" s="13"/>
      <c r="AE2759" s="13"/>
      <c r="AF2759" s="13"/>
      <c r="AG2759" s="13"/>
      <c r="AH2759" s="13"/>
      <c r="AI2759" s="13"/>
      <c r="AJ2759" s="13"/>
      <c r="AK2759" s="13"/>
      <c r="AL2759" s="13"/>
      <c r="AM2759" s="13"/>
      <c r="AN2759" s="13"/>
      <c r="AO2759" s="13"/>
      <c r="AP2759" s="13"/>
      <c r="AQ2759" s="13"/>
      <c r="AR2759" s="13"/>
      <c r="AS2759" s="13"/>
    </row>
    <row r="2760" ht="14.25" hidden="1" customHeight="1">
      <c r="A2760" s="13" t="s">
        <v>46</v>
      </c>
      <c r="B2760" s="13" t="s">
        <v>55</v>
      </c>
      <c r="C2760" s="13" t="s">
        <v>1776</v>
      </c>
      <c r="D2760" s="13"/>
      <c r="E2760" s="13" t="str">
        <f t="shared" si="2956"/>
        <v>JLP,110-5A-5D,,NA</v>
      </c>
      <c r="F2760" s="13"/>
      <c r="G2760" s="13" t="s">
        <v>111</v>
      </c>
      <c r="H2760" s="13" t="s">
        <v>75</v>
      </c>
      <c r="I2760" s="13"/>
      <c r="J2760" s="13"/>
      <c r="K2760" s="15"/>
      <c r="L2760" s="15"/>
      <c r="M2760" s="16"/>
      <c r="N2760" s="16"/>
      <c r="O2760" s="17"/>
      <c r="P2760" s="17"/>
      <c r="Q2760" s="13"/>
      <c r="R2760" s="13"/>
      <c r="S2760" s="13"/>
      <c r="T2760" s="13">
        <f t="shared" ref="T2760:Y2760" si="2965">IF(ISBLANK(K2760)=TRUE,0,1)</f>
        <v>0</v>
      </c>
      <c r="U2760" s="13">
        <f t="shared" si="2965"/>
        <v>0</v>
      </c>
      <c r="V2760" s="13">
        <f t="shared" si="2965"/>
        <v>0</v>
      </c>
      <c r="W2760" s="13">
        <f t="shared" si="2965"/>
        <v>0</v>
      </c>
      <c r="X2760" s="13">
        <f t="shared" si="2965"/>
        <v>0</v>
      </c>
      <c r="Y2760" s="13">
        <f t="shared" si="2965"/>
        <v>0</v>
      </c>
      <c r="Z2760" s="13" t="str">
        <f t="shared" si="1998"/>
        <v>NA</v>
      </c>
      <c r="AA2760" s="13"/>
      <c r="AB2760" s="13"/>
      <c r="AC2760" s="13"/>
      <c r="AD2760" s="13"/>
      <c r="AE2760" s="13"/>
      <c r="AF2760" s="13"/>
      <c r="AG2760" s="13"/>
      <c r="AH2760" s="13"/>
      <c r="AI2760" s="13"/>
      <c r="AJ2760" s="13"/>
      <c r="AK2760" s="13"/>
      <c r="AL2760" s="13"/>
      <c r="AM2760" s="13"/>
      <c r="AN2760" s="13"/>
      <c r="AO2760" s="13"/>
      <c r="AP2760" s="13"/>
      <c r="AQ2760" s="13"/>
      <c r="AR2760" s="13"/>
      <c r="AS2760" s="13"/>
    </row>
    <row r="2761" ht="14.25" hidden="1" customHeight="1">
      <c r="A2761" s="13" t="s">
        <v>46</v>
      </c>
      <c r="B2761" s="13" t="s">
        <v>55</v>
      </c>
      <c r="C2761" s="13" t="s">
        <v>1777</v>
      </c>
      <c r="D2761" s="13"/>
      <c r="E2761" s="13" t="str">
        <f t="shared" si="2956"/>
        <v>JLP,110-5A-5E,,NA</v>
      </c>
      <c r="F2761" s="13"/>
      <c r="G2761" s="13" t="s">
        <v>111</v>
      </c>
      <c r="H2761" s="13" t="s">
        <v>75</v>
      </c>
      <c r="I2761" s="13"/>
      <c r="J2761" s="13"/>
      <c r="K2761" s="15"/>
      <c r="L2761" s="15"/>
      <c r="M2761" s="16"/>
      <c r="N2761" s="16"/>
      <c r="O2761" s="17"/>
      <c r="P2761" s="17"/>
      <c r="Q2761" s="13"/>
      <c r="R2761" s="13"/>
      <c r="S2761" s="13"/>
      <c r="T2761" s="13">
        <f t="shared" ref="T2761:Y2761" si="2966">IF(ISBLANK(K2761)=TRUE,0,1)</f>
        <v>0</v>
      </c>
      <c r="U2761" s="13">
        <f t="shared" si="2966"/>
        <v>0</v>
      </c>
      <c r="V2761" s="13">
        <f t="shared" si="2966"/>
        <v>0</v>
      </c>
      <c r="W2761" s="13">
        <f t="shared" si="2966"/>
        <v>0</v>
      </c>
      <c r="X2761" s="13">
        <f t="shared" si="2966"/>
        <v>0</v>
      </c>
      <c r="Y2761" s="13">
        <f t="shared" si="2966"/>
        <v>0</v>
      </c>
      <c r="Z2761" s="13" t="str">
        <f t="shared" si="1998"/>
        <v>NA</v>
      </c>
      <c r="AA2761" s="13"/>
      <c r="AB2761" s="13"/>
      <c r="AC2761" s="13"/>
      <c r="AD2761" s="13"/>
      <c r="AE2761" s="13"/>
      <c r="AF2761" s="13"/>
      <c r="AG2761" s="13"/>
      <c r="AH2761" s="13"/>
      <c r="AI2761" s="13"/>
      <c r="AJ2761" s="13"/>
      <c r="AK2761" s="13"/>
      <c r="AL2761" s="13"/>
      <c r="AM2761" s="13"/>
      <c r="AN2761" s="13"/>
      <c r="AO2761" s="13"/>
      <c r="AP2761" s="13"/>
      <c r="AQ2761" s="13"/>
      <c r="AR2761" s="13"/>
      <c r="AS2761" s="13"/>
    </row>
    <row r="2762" ht="14.25" hidden="1" customHeight="1">
      <c r="A2762" s="13" t="s">
        <v>46</v>
      </c>
      <c r="B2762" s="13" t="s">
        <v>55</v>
      </c>
      <c r="C2762" s="13" t="s">
        <v>1778</v>
      </c>
      <c r="D2762" s="13"/>
      <c r="E2762" s="13" t="str">
        <f t="shared" si="2956"/>
        <v>JLP,110-5A-5G,,NA</v>
      </c>
      <c r="F2762" s="13"/>
      <c r="G2762" s="13" t="s">
        <v>111</v>
      </c>
      <c r="H2762" s="13" t="s">
        <v>75</v>
      </c>
      <c r="I2762" s="13"/>
      <c r="J2762" s="13"/>
      <c r="K2762" s="15"/>
      <c r="L2762" s="15"/>
      <c r="M2762" s="16"/>
      <c r="N2762" s="16"/>
      <c r="O2762" s="17"/>
      <c r="P2762" s="17"/>
      <c r="Q2762" s="13"/>
      <c r="R2762" s="13"/>
      <c r="S2762" s="13"/>
      <c r="T2762" s="13">
        <f t="shared" ref="T2762:Y2762" si="2967">IF(ISBLANK(K2762)=TRUE,0,1)</f>
        <v>0</v>
      </c>
      <c r="U2762" s="13">
        <f t="shared" si="2967"/>
        <v>0</v>
      </c>
      <c r="V2762" s="13">
        <f t="shared" si="2967"/>
        <v>0</v>
      </c>
      <c r="W2762" s="13">
        <f t="shared" si="2967"/>
        <v>0</v>
      </c>
      <c r="X2762" s="13">
        <f t="shared" si="2967"/>
        <v>0</v>
      </c>
      <c r="Y2762" s="13">
        <f t="shared" si="2967"/>
        <v>0</v>
      </c>
      <c r="Z2762" s="13" t="str">
        <f t="shared" si="1998"/>
        <v>NA</v>
      </c>
      <c r="AA2762" s="13"/>
      <c r="AB2762" s="13"/>
      <c r="AC2762" s="13"/>
      <c r="AD2762" s="13"/>
      <c r="AE2762" s="13"/>
      <c r="AF2762" s="13"/>
      <c r="AG2762" s="13"/>
      <c r="AH2762" s="13"/>
      <c r="AI2762" s="13"/>
      <c r="AJ2762" s="13"/>
      <c r="AK2762" s="13"/>
      <c r="AL2762" s="13"/>
      <c r="AM2762" s="13"/>
      <c r="AN2762" s="13"/>
      <c r="AO2762" s="13"/>
      <c r="AP2762" s="13"/>
      <c r="AQ2762" s="13"/>
      <c r="AR2762" s="13"/>
      <c r="AS2762" s="13"/>
    </row>
    <row r="2763" ht="14.25" hidden="1" customHeight="1">
      <c r="A2763" s="13" t="s">
        <v>46</v>
      </c>
      <c r="B2763" s="13" t="s">
        <v>55</v>
      </c>
      <c r="C2763" s="13" t="s">
        <v>1779</v>
      </c>
      <c r="D2763" s="13"/>
      <c r="E2763" s="13" t="str">
        <f t="shared" si="2956"/>
        <v>JLP,110-5A-5H,,NA</v>
      </c>
      <c r="F2763" s="13"/>
      <c r="G2763" s="13" t="s">
        <v>111</v>
      </c>
      <c r="H2763" s="13" t="s">
        <v>75</v>
      </c>
      <c r="I2763" s="13"/>
      <c r="J2763" s="13"/>
      <c r="K2763" s="15"/>
      <c r="L2763" s="15"/>
      <c r="M2763" s="16"/>
      <c r="N2763" s="16"/>
      <c r="O2763" s="17"/>
      <c r="P2763" s="17"/>
      <c r="Q2763" s="13"/>
      <c r="R2763" s="13"/>
      <c r="S2763" s="13"/>
      <c r="T2763" s="13">
        <f t="shared" ref="T2763:Y2763" si="2968">IF(ISBLANK(K2763)=TRUE,0,1)</f>
        <v>0</v>
      </c>
      <c r="U2763" s="13">
        <f t="shared" si="2968"/>
        <v>0</v>
      </c>
      <c r="V2763" s="13">
        <f t="shared" si="2968"/>
        <v>0</v>
      </c>
      <c r="W2763" s="13">
        <f t="shared" si="2968"/>
        <v>0</v>
      </c>
      <c r="X2763" s="13">
        <f t="shared" si="2968"/>
        <v>0</v>
      </c>
      <c r="Y2763" s="13">
        <f t="shared" si="2968"/>
        <v>0</v>
      </c>
      <c r="Z2763" s="13" t="str">
        <f t="shared" si="1998"/>
        <v>NA</v>
      </c>
      <c r="AA2763" s="13"/>
      <c r="AB2763" s="13"/>
      <c r="AC2763" s="13"/>
      <c r="AD2763" s="13"/>
      <c r="AE2763" s="13"/>
      <c r="AF2763" s="13"/>
      <c r="AG2763" s="13"/>
      <c r="AH2763" s="13"/>
      <c r="AI2763" s="13"/>
      <c r="AJ2763" s="13"/>
      <c r="AK2763" s="13"/>
      <c r="AL2763" s="13"/>
      <c r="AM2763" s="13"/>
      <c r="AN2763" s="13"/>
      <c r="AO2763" s="13"/>
      <c r="AP2763" s="13"/>
      <c r="AQ2763" s="13"/>
      <c r="AR2763" s="13"/>
      <c r="AS2763" s="13"/>
    </row>
    <row r="2764" ht="14.25" hidden="1" customHeight="1">
      <c r="A2764" s="13" t="s">
        <v>46</v>
      </c>
      <c r="B2764" s="13" t="s">
        <v>55</v>
      </c>
      <c r="C2764" s="13" t="s">
        <v>1780</v>
      </c>
      <c r="D2764" s="13"/>
      <c r="E2764" s="13" t="str">
        <f t="shared" si="2956"/>
        <v>JLP,110-5A-5I,,NA</v>
      </c>
      <c r="F2764" s="13"/>
      <c r="G2764" s="13" t="s">
        <v>111</v>
      </c>
      <c r="H2764" s="13" t="s">
        <v>75</v>
      </c>
      <c r="I2764" s="13"/>
      <c r="J2764" s="13"/>
      <c r="K2764" s="15"/>
      <c r="L2764" s="15"/>
      <c r="M2764" s="16"/>
      <c r="N2764" s="16"/>
      <c r="O2764" s="17"/>
      <c r="P2764" s="17"/>
      <c r="Q2764" s="13"/>
      <c r="R2764" s="13"/>
      <c r="S2764" s="13"/>
      <c r="T2764" s="13">
        <f t="shared" ref="T2764:Y2764" si="2969">IF(ISBLANK(K2764)=TRUE,0,1)</f>
        <v>0</v>
      </c>
      <c r="U2764" s="13">
        <f t="shared" si="2969"/>
        <v>0</v>
      </c>
      <c r="V2764" s="13">
        <f t="shared" si="2969"/>
        <v>0</v>
      </c>
      <c r="W2764" s="13">
        <f t="shared" si="2969"/>
        <v>0</v>
      </c>
      <c r="X2764" s="13">
        <f t="shared" si="2969"/>
        <v>0</v>
      </c>
      <c r="Y2764" s="13">
        <f t="shared" si="2969"/>
        <v>0</v>
      </c>
      <c r="Z2764" s="13" t="str">
        <f t="shared" si="1998"/>
        <v>NA</v>
      </c>
      <c r="AA2764" s="13"/>
      <c r="AB2764" s="13"/>
      <c r="AC2764" s="13"/>
      <c r="AD2764" s="13"/>
      <c r="AE2764" s="13"/>
      <c r="AF2764" s="13"/>
      <c r="AG2764" s="13"/>
      <c r="AH2764" s="13"/>
      <c r="AI2764" s="13"/>
      <c r="AJ2764" s="13"/>
      <c r="AK2764" s="13"/>
      <c r="AL2764" s="13"/>
      <c r="AM2764" s="13"/>
      <c r="AN2764" s="13"/>
      <c r="AO2764" s="13"/>
      <c r="AP2764" s="13"/>
      <c r="AQ2764" s="13"/>
      <c r="AR2764" s="13"/>
      <c r="AS2764" s="13"/>
    </row>
    <row r="2765" ht="14.25" hidden="1" customHeight="1">
      <c r="A2765" s="13" t="s">
        <v>46</v>
      </c>
      <c r="B2765" s="13" t="s">
        <v>55</v>
      </c>
      <c r="C2765" s="13" t="s">
        <v>1781</v>
      </c>
      <c r="D2765" s="13"/>
      <c r="E2765" s="13" t="str">
        <f t="shared" si="2956"/>
        <v>JLP,110-5A-5J,,NA</v>
      </c>
      <c r="F2765" s="13"/>
      <c r="G2765" s="13" t="s">
        <v>111</v>
      </c>
      <c r="H2765" s="13" t="s">
        <v>75</v>
      </c>
      <c r="I2765" s="13"/>
      <c r="J2765" s="13"/>
      <c r="K2765" s="15"/>
      <c r="L2765" s="15"/>
      <c r="M2765" s="16"/>
      <c r="N2765" s="16"/>
      <c r="O2765" s="17"/>
      <c r="P2765" s="17"/>
      <c r="Q2765" s="13"/>
      <c r="R2765" s="13"/>
      <c r="S2765" s="13"/>
      <c r="T2765" s="13">
        <f t="shared" ref="T2765:Y2765" si="2970">IF(ISBLANK(K2765)=TRUE,0,1)</f>
        <v>0</v>
      </c>
      <c r="U2765" s="13">
        <f t="shared" si="2970"/>
        <v>0</v>
      </c>
      <c r="V2765" s="13">
        <f t="shared" si="2970"/>
        <v>0</v>
      </c>
      <c r="W2765" s="13">
        <f t="shared" si="2970"/>
        <v>0</v>
      </c>
      <c r="X2765" s="13">
        <f t="shared" si="2970"/>
        <v>0</v>
      </c>
      <c r="Y2765" s="13">
        <f t="shared" si="2970"/>
        <v>0</v>
      </c>
      <c r="Z2765" s="13" t="str">
        <f t="shared" si="1998"/>
        <v>NA</v>
      </c>
      <c r="AA2765" s="13"/>
      <c r="AB2765" s="13"/>
      <c r="AC2765" s="13"/>
      <c r="AD2765" s="13"/>
      <c r="AE2765" s="13"/>
      <c r="AF2765" s="13"/>
      <c r="AG2765" s="13"/>
      <c r="AH2765" s="13"/>
      <c r="AI2765" s="13"/>
      <c r="AJ2765" s="13"/>
      <c r="AK2765" s="13"/>
      <c r="AL2765" s="13"/>
      <c r="AM2765" s="13"/>
      <c r="AN2765" s="13"/>
      <c r="AO2765" s="13"/>
      <c r="AP2765" s="13"/>
      <c r="AQ2765" s="13"/>
      <c r="AR2765" s="13"/>
      <c r="AS2765" s="13"/>
    </row>
    <row r="2766" ht="14.25" hidden="1" customHeight="1">
      <c r="A2766" s="13" t="s">
        <v>46</v>
      </c>
      <c r="B2766" s="13" t="s">
        <v>55</v>
      </c>
      <c r="C2766" s="13" t="s">
        <v>1782</v>
      </c>
      <c r="D2766" s="13"/>
      <c r="E2766" s="13" t="str">
        <f t="shared" si="2956"/>
        <v>JLP,110-5A-5L,,NA</v>
      </c>
      <c r="F2766" s="13"/>
      <c r="G2766" s="13" t="s">
        <v>111</v>
      </c>
      <c r="H2766" s="13" t="s">
        <v>75</v>
      </c>
      <c r="I2766" s="13"/>
      <c r="J2766" s="13"/>
      <c r="K2766" s="15"/>
      <c r="L2766" s="15"/>
      <c r="M2766" s="16"/>
      <c r="N2766" s="16"/>
      <c r="O2766" s="17"/>
      <c r="P2766" s="17"/>
      <c r="Q2766" s="13"/>
      <c r="R2766" s="13"/>
      <c r="S2766" s="13"/>
      <c r="T2766" s="13">
        <f t="shared" ref="T2766:Y2766" si="2971">IF(ISBLANK(K2766)=TRUE,0,1)</f>
        <v>0</v>
      </c>
      <c r="U2766" s="13">
        <f t="shared" si="2971"/>
        <v>0</v>
      </c>
      <c r="V2766" s="13">
        <f t="shared" si="2971"/>
        <v>0</v>
      </c>
      <c r="W2766" s="13">
        <f t="shared" si="2971"/>
        <v>0</v>
      </c>
      <c r="X2766" s="13">
        <f t="shared" si="2971"/>
        <v>0</v>
      </c>
      <c r="Y2766" s="13">
        <f t="shared" si="2971"/>
        <v>0</v>
      </c>
      <c r="Z2766" s="13" t="str">
        <f t="shared" si="1998"/>
        <v>NA</v>
      </c>
      <c r="AA2766" s="13"/>
      <c r="AB2766" s="13"/>
      <c r="AC2766" s="13"/>
      <c r="AD2766" s="13"/>
      <c r="AE2766" s="13"/>
      <c r="AF2766" s="13"/>
      <c r="AG2766" s="13"/>
      <c r="AH2766" s="13"/>
      <c r="AI2766" s="13"/>
      <c r="AJ2766" s="13"/>
      <c r="AK2766" s="13"/>
      <c r="AL2766" s="13"/>
      <c r="AM2766" s="13"/>
      <c r="AN2766" s="13"/>
      <c r="AO2766" s="13"/>
      <c r="AP2766" s="13"/>
      <c r="AQ2766" s="13"/>
      <c r="AR2766" s="13"/>
      <c r="AS2766" s="13"/>
    </row>
    <row r="2767" ht="14.25" hidden="1" customHeight="1">
      <c r="A2767" s="13" t="s">
        <v>46</v>
      </c>
      <c r="B2767" s="13" t="s">
        <v>55</v>
      </c>
      <c r="C2767" s="13" t="s">
        <v>1783</v>
      </c>
      <c r="D2767" s="13"/>
      <c r="E2767" s="13" t="str">
        <f t="shared" si="2956"/>
        <v>JLP,110-5A-5S,,NA</v>
      </c>
      <c r="F2767" s="13"/>
      <c r="G2767" s="13" t="s">
        <v>111</v>
      </c>
      <c r="H2767" s="13" t="s">
        <v>75</v>
      </c>
      <c r="I2767" s="13"/>
      <c r="J2767" s="13"/>
      <c r="K2767" s="15"/>
      <c r="L2767" s="15"/>
      <c r="M2767" s="16"/>
      <c r="N2767" s="16"/>
      <c r="O2767" s="17"/>
      <c r="P2767" s="17"/>
      <c r="Q2767" s="13"/>
      <c r="R2767" s="13"/>
      <c r="S2767" s="13"/>
      <c r="T2767" s="13">
        <f t="shared" ref="T2767:Y2767" si="2972">IF(ISBLANK(K2767)=TRUE,0,1)</f>
        <v>0</v>
      </c>
      <c r="U2767" s="13">
        <f t="shared" si="2972"/>
        <v>0</v>
      </c>
      <c r="V2767" s="13">
        <f t="shared" si="2972"/>
        <v>0</v>
      </c>
      <c r="W2767" s="13">
        <f t="shared" si="2972"/>
        <v>0</v>
      </c>
      <c r="X2767" s="13">
        <f t="shared" si="2972"/>
        <v>0</v>
      </c>
      <c r="Y2767" s="13">
        <f t="shared" si="2972"/>
        <v>0</v>
      </c>
      <c r="Z2767" s="13" t="str">
        <f t="shared" si="1998"/>
        <v>NA</v>
      </c>
      <c r="AA2767" s="13"/>
      <c r="AB2767" s="13"/>
      <c r="AC2767" s="13"/>
      <c r="AD2767" s="13"/>
      <c r="AE2767" s="13"/>
      <c r="AF2767" s="13"/>
      <c r="AG2767" s="13"/>
      <c r="AH2767" s="13"/>
      <c r="AI2767" s="13"/>
      <c r="AJ2767" s="13"/>
      <c r="AK2767" s="13"/>
      <c r="AL2767" s="13"/>
      <c r="AM2767" s="13"/>
      <c r="AN2767" s="13"/>
      <c r="AO2767" s="13"/>
      <c r="AP2767" s="13"/>
      <c r="AQ2767" s="13"/>
      <c r="AR2767" s="13"/>
      <c r="AS2767" s="13"/>
    </row>
    <row r="2768" ht="14.25" hidden="1" customHeight="1">
      <c r="A2768" s="13" t="s">
        <v>46</v>
      </c>
      <c r="B2768" s="13" t="s">
        <v>55</v>
      </c>
      <c r="C2768" s="13" t="s">
        <v>1784</v>
      </c>
      <c r="D2768" s="13"/>
      <c r="E2768" s="13" t="str">
        <f t="shared" si="2956"/>
        <v>JLP,110-5A-5T,,NA</v>
      </c>
      <c r="F2768" s="13"/>
      <c r="G2768" s="13" t="s">
        <v>111</v>
      </c>
      <c r="H2768" s="13" t="s">
        <v>75</v>
      </c>
      <c r="I2768" s="13"/>
      <c r="J2768" s="13"/>
      <c r="K2768" s="15"/>
      <c r="L2768" s="15"/>
      <c r="M2768" s="16"/>
      <c r="N2768" s="16"/>
      <c r="O2768" s="17"/>
      <c r="P2768" s="17"/>
      <c r="Q2768" s="13"/>
      <c r="R2768" s="13"/>
      <c r="S2768" s="13"/>
      <c r="T2768" s="13">
        <f t="shared" ref="T2768:Y2768" si="2973">IF(ISBLANK(K2768)=TRUE,0,1)</f>
        <v>0</v>
      </c>
      <c r="U2768" s="13">
        <f t="shared" si="2973"/>
        <v>0</v>
      </c>
      <c r="V2768" s="13">
        <f t="shared" si="2973"/>
        <v>0</v>
      </c>
      <c r="W2768" s="13">
        <f t="shared" si="2973"/>
        <v>0</v>
      </c>
      <c r="X2768" s="13">
        <f t="shared" si="2973"/>
        <v>0</v>
      </c>
      <c r="Y2768" s="13">
        <f t="shared" si="2973"/>
        <v>0</v>
      </c>
      <c r="Z2768" s="13" t="str">
        <f t="shared" si="1998"/>
        <v>NA</v>
      </c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13"/>
      <c r="AK2768" s="13"/>
      <c r="AL2768" s="13"/>
      <c r="AM2768" s="13"/>
      <c r="AN2768" s="13"/>
      <c r="AO2768" s="13"/>
      <c r="AP2768" s="13"/>
      <c r="AQ2768" s="13"/>
      <c r="AR2768" s="13"/>
      <c r="AS2768" s="13"/>
    </row>
    <row r="2769" ht="14.25" hidden="1" customHeight="1">
      <c r="A2769" s="13" t="s">
        <v>46</v>
      </c>
      <c r="B2769" s="13" t="s">
        <v>55</v>
      </c>
      <c r="C2769" s="13" t="s">
        <v>1785</v>
      </c>
      <c r="D2769" s="13"/>
      <c r="E2769" s="13" t="str">
        <f t="shared" si="2956"/>
        <v>JLP,110-5A-5V,,NA</v>
      </c>
      <c r="F2769" s="13"/>
      <c r="G2769" s="13" t="s">
        <v>111</v>
      </c>
      <c r="H2769" s="13" t="s">
        <v>75</v>
      </c>
      <c r="I2769" s="13"/>
      <c r="J2769" s="13"/>
      <c r="K2769" s="15"/>
      <c r="L2769" s="15"/>
      <c r="M2769" s="16"/>
      <c r="N2769" s="16"/>
      <c r="O2769" s="17"/>
      <c r="P2769" s="17"/>
      <c r="Q2769" s="13"/>
      <c r="R2769" s="13"/>
      <c r="S2769" s="13"/>
      <c r="T2769" s="13">
        <f t="shared" ref="T2769:Y2769" si="2974">IF(ISBLANK(K2769)=TRUE,0,1)</f>
        <v>0</v>
      </c>
      <c r="U2769" s="13">
        <f t="shared" si="2974"/>
        <v>0</v>
      </c>
      <c r="V2769" s="13">
        <f t="shared" si="2974"/>
        <v>0</v>
      </c>
      <c r="W2769" s="13">
        <f t="shared" si="2974"/>
        <v>0</v>
      </c>
      <c r="X2769" s="13">
        <f t="shared" si="2974"/>
        <v>0</v>
      </c>
      <c r="Y2769" s="13">
        <f t="shared" si="2974"/>
        <v>0</v>
      </c>
      <c r="Z2769" s="13" t="str">
        <f t="shared" si="1998"/>
        <v>NA</v>
      </c>
      <c r="AA2769" s="13"/>
      <c r="AB2769" s="13"/>
      <c r="AC2769" s="13"/>
      <c r="AD2769" s="13"/>
      <c r="AE2769" s="13"/>
      <c r="AF2769" s="13"/>
      <c r="AG2769" s="13"/>
      <c r="AH2769" s="13"/>
      <c r="AI2769" s="13"/>
      <c r="AJ2769" s="13"/>
      <c r="AK2769" s="13"/>
      <c r="AL2769" s="13"/>
      <c r="AM2769" s="13"/>
      <c r="AN2769" s="13"/>
      <c r="AO2769" s="13"/>
      <c r="AP2769" s="13"/>
      <c r="AQ2769" s="13"/>
      <c r="AR2769" s="13"/>
      <c r="AS2769" s="13"/>
    </row>
    <row r="2770" ht="14.25" hidden="1" customHeight="1">
      <c r="A2770" s="13" t="s">
        <v>46</v>
      </c>
      <c r="B2770" s="13" t="s">
        <v>55</v>
      </c>
      <c r="C2770" s="13" t="s">
        <v>1786</v>
      </c>
      <c r="D2770" s="13"/>
      <c r="E2770" s="13" t="str">
        <f t="shared" si="2956"/>
        <v>JLP,110-5A-6A,,NA</v>
      </c>
      <c r="F2770" s="13"/>
      <c r="G2770" s="13" t="s">
        <v>111</v>
      </c>
      <c r="H2770" s="13" t="s">
        <v>75</v>
      </c>
      <c r="I2770" s="13"/>
      <c r="J2770" s="13"/>
      <c r="K2770" s="15"/>
      <c r="L2770" s="15"/>
      <c r="M2770" s="16"/>
      <c r="N2770" s="16"/>
      <c r="O2770" s="17"/>
      <c r="P2770" s="17"/>
      <c r="Q2770" s="13"/>
      <c r="R2770" s="13"/>
      <c r="S2770" s="13"/>
      <c r="T2770" s="13">
        <f t="shared" ref="T2770:Y2770" si="2975">IF(ISBLANK(K2770)=TRUE,0,1)</f>
        <v>0</v>
      </c>
      <c r="U2770" s="13">
        <f t="shared" si="2975"/>
        <v>0</v>
      </c>
      <c r="V2770" s="13">
        <f t="shared" si="2975"/>
        <v>0</v>
      </c>
      <c r="W2770" s="13">
        <f t="shared" si="2975"/>
        <v>0</v>
      </c>
      <c r="X2770" s="13">
        <f t="shared" si="2975"/>
        <v>0</v>
      </c>
      <c r="Y2770" s="13">
        <f t="shared" si="2975"/>
        <v>0</v>
      </c>
      <c r="Z2770" s="13" t="str">
        <f t="shared" si="1998"/>
        <v>NA</v>
      </c>
      <c r="AA2770" s="13"/>
      <c r="AB2770" s="13"/>
      <c r="AC2770" s="13"/>
      <c r="AD2770" s="13"/>
      <c r="AE2770" s="13"/>
      <c r="AF2770" s="13"/>
      <c r="AG2770" s="13"/>
      <c r="AH2770" s="13"/>
      <c r="AI2770" s="13"/>
      <c r="AJ2770" s="13"/>
      <c r="AK2770" s="13"/>
      <c r="AL2770" s="13"/>
      <c r="AM2770" s="13"/>
      <c r="AN2770" s="13"/>
      <c r="AO2770" s="13"/>
      <c r="AP2770" s="13"/>
      <c r="AQ2770" s="13"/>
      <c r="AR2770" s="13"/>
      <c r="AS2770" s="13"/>
    </row>
    <row r="2771" ht="14.25" hidden="1" customHeight="1">
      <c r="A2771" s="13" t="s">
        <v>46</v>
      </c>
      <c r="B2771" s="13" t="s">
        <v>55</v>
      </c>
      <c r="C2771" s="13" t="s">
        <v>1787</v>
      </c>
      <c r="D2771" s="13"/>
      <c r="E2771" s="13" t="str">
        <f t="shared" si="2956"/>
        <v>JLP,110-5A-6F,,NA</v>
      </c>
      <c r="F2771" s="13"/>
      <c r="G2771" s="13" t="s">
        <v>111</v>
      </c>
      <c r="H2771" s="13" t="s">
        <v>75</v>
      </c>
      <c r="I2771" s="13"/>
      <c r="J2771" s="13"/>
      <c r="K2771" s="15"/>
      <c r="L2771" s="15"/>
      <c r="M2771" s="16"/>
      <c r="N2771" s="16"/>
      <c r="O2771" s="17"/>
      <c r="P2771" s="17"/>
      <c r="Q2771" s="13"/>
      <c r="R2771" s="13"/>
      <c r="S2771" s="13"/>
      <c r="T2771" s="13">
        <f t="shared" ref="T2771:Y2771" si="2976">IF(ISBLANK(K2771)=TRUE,0,1)</f>
        <v>0</v>
      </c>
      <c r="U2771" s="13">
        <f t="shared" si="2976"/>
        <v>0</v>
      </c>
      <c r="V2771" s="13">
        <f t="shared" si="2976"/>
        <v>0</v>
      </c>
      <c r="W2771" s="13">
        <f t="shared" si="2976"/>
        <v>0</v>
      </c>
      <c r="X2771" s="13">
        <f t="shared" si="2976"/>
        <v>0</v>
      </c>
      <c r="Y2771" s="13">
        <f t="shared" si="2976"/>
        <v>0</v>
      </c>
      <c r="Z2771" s="13" t="str">
        <f t="shared" si="1998"/>
        <v>NA</v>
      </c>
      <c r="AA2771" s="13"/>
      <c r="AB2771" s="13"/>
      <c r="AC2771" s="13"/>
      <c r="AD2771" s="13"/>
      <c r="AE2771" s="13"/>
      <c r="AF2771" s="13"/>
      <c r="AG2771" s="13"/>
      <c r="AH2771" s="13"/>
      <c r="AI2771" s="13"/>
      <c r="AJ2771" s="13"/>
      <c r="AK2771" s="13"/>
      <c r="AL2771" s="13"/>
      <c r="AM2771" s="13"/>
      <c r="AN2771" s="13"/>
      <c r="AO2771" s="13"/>
      <c r="AP2771" s="13"/>
      <c r="AQ2771" s="13"/>
      <c r="AR2771" s="13"/>
      <c r="AS2771" s="13"/>
    </row>
    <row r="2772" ht="14.25" hidden="1" customHeight="1">
      <c r="A2772" s="13" t="s">
        <v>46</v>
      </c>
      <c r="B2772" s="13" t="s">
        <v>55</v>
      </c>
      <c r="C2772" s="13" t="s">
        <v>1788</v>
      </c>
      <c r="D2772" s="13"/>
      <c r="E2772" s="13" t="str">
        <f t="shared" si="2956"/>
        <v>JLP,110-5A-6M,,NA</v>
      </c>
      <c r="F2772" s="13"/>
      <c r="G2772" s="13" t="s">
        <v>111</v>
      </c>
      <c r="H2772" s="13" t="s">
        <v>75</v>
      </c>
      <c r="I2772" s="13"/>
      <c r="J2772" s="13"/>
      <c r="K2772" s="15"/>
      <c r="L2772" s="15"/>
      <c r="M2772" s="16"/>
      <c r="N2772" s="16"/>
      <c r="O2772" s="17"/>
      <c r="P2772" s="17"/>
      <c r="Q2772" s="13"/>
      <c r="R2772" s="13"/>
      <c r="S2772" s="13"/>
      <c r="T2772" s="13">
        <f t="shared" ref="T2772:Y2772" si="2977">IF(ISBLANK(K2772)=TRUE,0,1)</f>
        <v>0</v>
      </c>
      <c r="U2772" s="13">
        <f t="shared" si="2977"/>
        <v>0</v>
      </c>
      <c r="V2772" s="13">
        <f t="shared" si="2977"/>
        <v>0</v>
      </c>
      <c r="W2772" s="13">
        <f t="shared" si="2977"/>
        <v>0</v>
      </c>
      <c r="X2772" s="13">
        <f t="shared" si="2977"/>
        <v>0</v>
      </c>
      <c r="Y2772" s="13">
        <f t="shared" si="2977"/>
        <v>0</v>
      </c>
      <c r="Z2772" s="13" t="str">
        <f t="shared" si="1998"/>
        <v>NA</v>
      </c>
      <c r="AA2772" s="13"/>
      <c r="AB2772" s="13"/>
      <c r="AC2772" s="13"/>
      <c r="AD2772" s="13"/>
      <c r="AE2772" s="13"/>
      <c r="AF2772" s="13"/>
      <c r="AG2772" s="13"/>
      <c r="AH2772" s="13"/>
      <c r="AI2772" s="13"/>
      <c r="AJ2772" s="13"/>
      <c r="AK2772" s="13"/>
      <c r="AL2772" s="13"/>
      <c r="AM2772" s="13"/>
      <c r="AN2772" s="13"/>
      <c r="AO2772" s="13"/>
      <c r="AP2772" s="13"/>
      <c r="AQ2772" s="13"/>
      <c r="AR2772" s="13"/>
      <c r="AS2772" s="13"/>
    </row>
    <row r="2773" ht="14.25" hidden="1" customHeight="1">
      <c r="A2773" s="13" t="s">
        <v>46</v>
      </c>
      <c r="B2773" s="13" t="s">
        <v>55</v>
      </c>
      <c r="C2773" s="13" t="s">
        <v>1789</v>
      </c>
      <c r="D2773" s="13"/>
      <c r="E2773" s="13" t="str">
        <f t="shared" si="2956"/>
        <v>JLP,110-5A-6N,,NA</v>
      </c>
      <c r="F2773" s="13"/>
      <c r="G2773" s="13" t="s">
        <v>111</v>
      </c>
      <c r="H2773" s="13" t="s">
        <v>75</v>
      </c>
      <c r="I2773" s="13"/>
      <c r="J2773" s="13"/>
      <c r="K2773" s="15"/>
      <c r="L2773" s="15"/>
      <c r="M2773" s="16"/>
      <c r="N2773" s="16"/>
      <c r="O2773" s="17"/>
      <c r="P2773" s="17"/>
      <c r="Q2773" s="13"/>
      <c r="R2773" s="13"/>
      <c r="S2773" s="13"/>
      <c r="T2773" s="13">
        <f t="shared" ref="T2773:Y2773" si="2978">IF(ISBLANK(K2773)=TRUE,0,1)</f>
        <v>0</v>
      </c>
      <c r="U2773" s="13">
        <f t="shared" si="2978"/>
        <v>0</v>
      </c>
      <c r="V2773" s="13">
        <f t="shared" si="2978"/>
        <v>0</v>
      </c>
      <c r="W2773" s="13">
        <f t="shared" si="2978"/>
        <v>0</v>
      </c>
      <c r="X2773" s="13">
        <f t="shared" si="2978"/>
        <v>0</v>
      </c>
      <c r="Y2773" s="13">
        <f t="shared" si="2978"/>
        <v>0</v>
      </c>
      <c r="Z2773" s="13" t="str">
        <f t="shared" si="1998"/>
        <v>NA</v>
      </c>
      <c r="AA2773" s="13"/>
      <c r="AB2773" s="13"/>
      <c r="AC2773" s="13"/>
      <c r="AD2773" s="13"/>
      <c r="AE2773" s="13"/>
      <c r="AF2773" s="13"/>
      <c r="AG2773" s="13"/>
      <c r="AH2773" s="13"/>
      <c r="AI2773" s="13"/>
      <c r="AJ2773" s="13"/>
      <c r="AK2773" s="13"/>
      <c r="AL2773" s="13"/>
      <c r="AM2773" s="13"/>
      <c r="AN2773" s="13"/>
      <c r="AO2773" s="13"/>
      <c r="AP2773" s="13"/>
      <c r="AQ2773" s="13"/>
      <c r="AR2773" s="13"/>
      <c r="AS2773" s="13"/>
    </row>
    <row r="2774" ht="14.25" hidden="1" customHeight="1">
      <c r="A2774" s="13" t="s">
        <v>46</v>
      </c>
      <c r="B2774" s="13" t="s">
        <v>55</v>
      </c>
      <c r="C2774" s="13" t="s">
        <v>1790</v>
      </c>
      <c r="D2774" s="13"/>
      <c r="E2774" s="13" t="str">
        <f t="shared" si="2956"/>
        <v>JLP,110-5A-6O,,NA</v>
      </c>
      <c r="F2774" s="13"/>
      <c r="G2774" s="13" t="s">
        <v>111</v>
      </c>
      <c r="H2774" s="13" t="s">
        <v>75</v>
      </c>
      <c r="I2774" s="13"/>
      <c r="J2774" s="13"/>
      <c r="K2774" s="15"/>
      <c r="L2774" s="15"/>
      <c r="M2774" s="16"/>
      <c r="N2774" s="16"/>
      <c r="O2774" s="17"/>
      <c r="P2774" s="17"/>
      <c r="Q2774" s="13"/>
      <c r="R2774" s="13"/>
      <c r="S2774" s="13"/>
      <c r="T2774" s="13">
        <f t="shared" ref="T2774:Y2774" si="2979">IF(ISBLANK(K2774)=TRUE,0,1)</f>
        <v>0</v>
      </c>
      <c r="U2774" s="13">
        <f t="shared" si="2979"/>
        <v>0</v>
      </c>
      <c r="V2774" s="13">
        <f t="shared" si="2979"/>
        <v>0</v>
      </c>
      <c r="W2774" s="13">
        <f t="shared" si="2979"/>
        <v>0</v>
      </c>
      <c r="X2774" s="13">
        <f t="shared" si="2979"/>
        <v>0</v>
      </c>
      <c r="Y2774" s="13">
        <f t="shared" si="2979"/>
        <v>0</v>
      </c>
      <c r="Z2774" s="13" t="str">
        <f t="shared" si="1998"/>
        <v>NA</v>
      </c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/>
      <c r="AK2774" s="13"/>
      <c r="AL2774" s="13"/>
      <c r="AM2774" s="13"/>
      <c r="AN2774" s="13"/>
      <c r="AO2774" s="13"/>
      <c r="AP2774" s="13"/>
      <c r="AQ2774" s="13"/>
      <c r="AR2774" s="13"/>
      <c r="AS2774" s="13"/>
    </row>
    <row r="2775" ht="14.25" hidden="1" customHeight="1">
      <c r="A2775" s="13" t="s">
        <v>46</v>
      </c>
      <c r="B2775" s="13" t="s">
        <v>55</v>
      </c>
      <c r="C2775" s="13" t="s">
        <v>1791</v>
      </c>
      <c r="D2775" s="13"/>
      <c r="E2775" s="13" t="str">
        <f t="shared" si="2956"/>
        <v>JLP,110-5A-6P,,NA</v>
      </c>
      <c r="F2775" s="13"/>
      <c r="G2775" s="13" t="s">
        <v>111</v>
      </c>
      <c r="H2775" s="13" t="s">
        <v>75</v>
      </c>
      <c r="I2775" s="13"/>
      <c r="J2775" s="13"/>
      <c r="K2775" s="15"/>
      <c r="L2775" s="15"/>
      <c r="M2775" s="16"/>
      <c r="N2775" s="16"/>
      <c r="O2775" s="17"/>
      <c r="P2775" s="17"/>
      <c r="Q2775" s="13"/>
      <c r="R2775" s="13"/>
      <c r="S2775" s="13"/>
      <c r="T2775" s="13">
        <f t="shared" ref="T2775:Y2775" si="2980">IF(ISBLANK(K2775)=TRUE,0,1)</f>
        <v>0</v>
      </c>
      <c r="U2775" s="13">
        <f t="shared" si="2980"/>
        <v>0</v>
      </c>
      <c r="V2775" s="13">
        <f t="shared" si="2980"/>
        <v>0</v>
      </c>
      <c r="W2775" s="13">
        <f t="shared" si="2980"/>
        <v>0</v>
      </c>
      <c r="X2775" s="13">
        <f t="shared" si="2980"/>
        <v>0</v>
      </c>
      <c r="Y2775" s="13">
        <f t="shared" si="2980"/>
        <v>0</v>
      </c>
      <c r="Z2775" s="13" t="str">
        <f t="shared" si="1998"/>
        <v>NA</v>
      </c>
      <c r="AA2775" s="13"/>
      <c r="AB2775" s="13"/>
      <c r="AC2775" s="13"/>
      <c r="AD2775" s="13"/>
      <c r="AE2775" s="13"/>
      <c r="AF2775" s="13"/>
      <c r="AG2775" s="13"/>
      <c r="AH2775" s="13"/>
      <c r="AI2775" s="13"/>
      <c r="AJ2775" s="13"/>
      <c r="AK2775" s="13"/>
      <c r="AL2775" s="13"/>
      <c r="AM2775" s="13"/>
      <c r="AN2775" s="13"/>
      <c r="AO2775" s="13"/>
      <c r="AP2775" s="13"/>
      <c r="AQ2775" s="13"/>
      <c r="AR2775" s="13"/>
      <c r="AS2775" s="13"/>
    </row>
    <row r="2776" ht="14.25" hidden="1" customHeight="1">
      <c r="A2776" s="13" t="s">
        <v>46</v>
      </c>
      <c r="B2776" s="13" t="s">
        <v>55</v>
      </c>
      <c r="C2776" s="13" t="s">
        <v>1792</v>
      </c>
      <c r="D2776" s="13"/>
      <c r="E2776" s="13" t="str">
        <f t="shared" si="2956"/>
        <v>JLP,110-5A-6Q,,NA</v>
      </c>
      <c r="F2776" s="13"/>
      <c r="G2776" s="13" t="s">
        <v>111</v>
      </c>
      <c r="H2776" s="13" t="s">
        <v>75</v>
      </c>
      <c r="I2776" s="13"/>
      <c r="J2776" s="13"/>
      <c r="K2776" s="15"/>
      <c r="L2776" s="15"/>
      <c r="M2776" s="16"/>
      <c r="N2776" s="16"/>
      <c r="O2776" s="17"/>
      <c r="P2776" s="17"/>
      <c r="Q2776" s="13"/>
      <c r="R2776" s="13"/>
      <c r="S2776" s="13"/>
      <c r="T2776" s="13">
        <f t="shared" ref="T2776:Y2776" si="2981">IF(ISBLANK(K2776)=TRUE,0,1)</f>
        <v>0</v>
      </c>
      <c r="U2776" s="13">
        <f t="shared" si="2981"/>
        <v>0</v>
      </c>
      <c r="V2776" s="13">
        <f t="shared" si="2981"/>
        <v>0</v>
      </c>
      <c r="W2776" s="13">
        <f t="shared" si="2981"/>
        <v>0</v>
      </c>
      <c r="X2776" s="13">
        <f t="shared" si="2981"/>
        <v>0</v>
      </c>
      <c r="Y2776" s="13">
        <f t="shared" si="2981"/>
        <v>0</v>
      </c>
      <c r="Z2776" s="13" t="str">
        <f t="shared" si="1998"/>
        <v>NA</v>
      </c>
      <c r="AA2776" s="13"/>
      <c r="AB2776" s="13"/>
      <c r="AC2776" s="13"/>
      <c r="AD2776" s="13"/>
      <c r="AE2776" s="13"/>
      <c r="AF2776" s="13"/>
      <c r="AG2776" s="13"/>
      <c r="AH2776" s="13"/>
      <c r="AI2776" s="13"/>
      <c r="AJ2776" s="13"/>
      <c r="AK2776" s="13"/>
      <c r="AL2776" s="13"/>
      <c r="AM2776" s="13"/>
      <c r="AN2776" s="13"/>
      <c r="AO2776" s="13"/>
      <c r="AP2776" s="13"/>
      <c r="AQ2776" s="13"/>
      <c r="AR2776" s="13"/>
      <c r="AS2776" s="13"/>
    </row>
    <row r="2777" ht="14.25" hidden="1" customHeight="1">
      <c r="A2777" s="13" t="s">
        <v>46</v>
      </c>
      <c r="B2777" s="13" t="s">
        <v>55</v>
      </c>
      <c r="C2777" s="13" t="s">
        <v>1793</v>
      </c>
      <c r="D2777" s="13"/>
      <c r="E2777" s="13" t="str">
        <f t="shared" si="2956"/>
        <v>JLP,110-5A-6R,,NA</v>
      </c>
      <c r="F2777" s="13"/>
      <c r="G2777" s="13" t="s">
        <v>111</v>
      </c>
      <c r="H2777" s="13" t="s">
        <v>75</v>
      </c>
      <c r="I2777" s="13"/>
      <c r="J2777" s="13"/>
      <c r="K2777" s="15"/>
      <c r="L2777" s="15"/>
      <c r="M2777" s="16"/>
      <c r="N2777" s="16"/>
      <c r="O2777" s="17"/>
      <c r="P2777" s="17"/>
      <c r="Q2777" s="13"/>
      <c r="R2777" s="13"/>
      <c r="S2777" s="13"/>
      <c r="T2777" s="13">
        <f t="shared" ref="T2777:Y2777" si="2982">IF(ISBLANK(K2777)=TRUE,0,1)</f>
        <v>0</v>
      </c>
      <c r="U2777" s="13">
        <f t="shared" si="2982"/>
        <v>0</v>
      </c>
      <c r="V2777" s="13">
        <f t="shared" si="2982"/>
        <v>0</v>
      </c>
      <c r="W2777" s="13">
        <f t="shared" si="2982"/>
        <v>0</v>
      </c>
      <c r="X2777" s="13">
        <f t="shared" si="2982"/>
        <v>0</v>
      </c>
      <c r="Y2777" s="13">
        <f t="shared" si="2982"/>
        <v>0</v>
      </c>
      <c r="Z2777" s="13" t="str">
        <f t="shared" si="1998"/>
        <v>NA</v>
      </c>
      <c r="AA2777" s="13"/>
      <c r="AB2777" s="13"/>
      <c r="AC2777" s="13"/>
      <c r="AD2777" s="13"/>
      <c r="AE2777" s="13"/>
      <c r="AF2777" s="13"/>
      <c r="AG2777" s="13"/>
      <c r="AH2777" s="13"/>
      <c r="AI2777" s="13"/>
      <c r="AJ2777" s="13"/>
      <c r="AK2777" s="13"/>
      <c r="AL2777" s="13"/>
      <c r="AM2777" s="13"/>
      <c r="AN2777" s="13"/>
      <c r="AO2777" s="13"/>
      <c r="AP2777" s="13"/>
      <c r="AQ2777" s="13"/>
      <c r="AR2777" s="13"/>
      <c r="AS2777" s="13"/>
    </row>
    <row r="2778" ht="14.25" hidden="1" customHeight="1">
      <c r="A2778" s="13" t="s">
        <v>36</v>
      </c>
      <c r="B2778" s="13" t="s">
        <v>39</v>
      </c>
      <c r="C2778" s="13" t="s">
        <v>1738</v>
      </c>
      <c r="D2778" s="13" t="s">
        <v>179</v>
      </c>
      <c r="F2778" s="13"/>
      <c r="G2778" s="13" t="s">
        <v>111</v>
      </c>
      <c r="H2778" s="13" t="s">
        <v>75</v>
      </c>
      <c r="I2778" s="13"/>
      <c r="J2778" s="13"/>
      <c r="K2778" s="15">
        <v>0.0</v>
      </c>
      <c r="L2778" s="15">
        <v>0.0</v>
      </c>
      <c r="M2778" s="16"/>
      <c r="N2778" s="16"/>
      <c r="O2778" s="17"/>
      <c r="P2778" s="17"/>
      <c r="Q2778" s="13">
        <f t="shared" ref="Q2778:Q2794" si="2984">K2777+L2777+M2777+N2777+O2777+P2777/6</f>
        <v>0</v>
      </c>
      <c r="R2778" s="13"/>
      <c r="S2778" s="13"/>
      <c r="T2778" s="13">
        <f t="shared" ref="T2778:Y2778" si="2983">IF(ISBLANK(K2778)=TRUE,0,1)</f>
        <v>1</v>
      </c>
      <c r="U2778" s="13">
        <f t="shared" si="2983"/>
        <v>1</v>
      </c>
      <c r="V2778" s="13">
        <f t="shared" si="2983"/>
        <v>0</v>
      </c>
      <c r="W2778" s="13">
        <f t="shared" si="2983"/>
        <v>0</v>
      </c>
      <c r="X2778" s="13">
        <f t="shared" si="2983"/>
        <v>0</v>
      </c>
      <c r="Y2778" s="13">
        <f t="shared" si="2983"/>
        <v>0</v>
      </c>
      <c r="Z2778" s="13">
        <f t="shared" si="1998"/>
        <v>0</v>
      </c>
      <c r="AA2778" s="13"/>
      <c r="AB2778" s="13"/>
      <c r="AC2778" s="13"/>
      <c r="AD2778" s="13"/>
      <c r="AE2778" s="13"/>
      <c r="AF2778" s="13"/>
      <c r="AG2778" s="13"/>
      <c r="AH2778" s="13"/>
      <c r="AI2778" s="13"/>
      <c r="AJ2778" s="13"/>
      <c r="AK2778" s="13"/>
      <c r="AL2778" s="13"/>
      <c r="AM2778" s="13"/>
      <c r="AN2778" s="13"/>
      <c r="AO2778" s="13"/>
      <c r="AP2778" s="13"/>
      <c r="AQ2778" s="13"/>
      <c r="AR2778" s="13"/>
      <c r="AS2778" s="13"/>
    </row>
    <row r="2779" ht="14.25" hidden="1" customHeight="1">
      <c r="A2779" s="13" t="s">
        <v>36</v>
      </c>
      <c r="B2779" s="13" t="s">
        <v>39</v>
      </c>
      <c r="C2779" s="13" t="s">
        <v>1738</v>
      </c>
      <c r="D2779" s="13" t="s">
        <v>180</v>
      </c>
      <c r="F2779" s="13"/>
      <c r="G2779" s="13" t="s">
        <v>111</v>
      </c>
      <c r="H2779" s="13" t="s">
        <v>75</v>
      </c>
      <c r="I2779" s="13"/>
      <c r="J2779" s="13"/>
      <c r="K2779" s="15">
        <v>0.0</v>
      </c>
      <c r="L2779" s="15">
        <v>0.0</v>
      </c>
      <c r="M2779" s="16"/>
      <c r="N2779" s="16"/>
      <c r="O2779" s="17"/>
      <c r="P2779" s="17"/>
      <c r="Q2779" s="13">
        <f t="shared" si="2984"/>
        <v>0</v>
      </c>
      <c r="R2779" s="13"/>
      <c r="S2779" s="13"/>
      <c r="T2779" s="13">
        <f t="shared" ref="T2779:Y2779" si="2985">IF(ISBLANK(K2779)=TRUE,0,1)</f>
        <v>1</v>
      </c>
      <c r="U2779" s="13">
        <f t="shared" si="2985"/>
        <v>1</v>
      </c>
      <c r="V2779" s="13">
        <f t="shared" si="2985"/>
        <v>0</v>
      </c>
      <c r="W2779" s="13">
        <f t="shared" si="2985"/>
        <v>0</v>
      </c>
      <c r="X2779" s="13">
        <f t="shared" si="2985"/>
        <v>0</v>
      </c>
      <c r="Y2779" s="13">
        <f t="shared" si="2985"/>
        <v>0</v>
      </c>
      <c r="Z2779" s="13">
        <f t="shared" si="1998"/>
        <v>0</v>
      </c>
      <c r="AA2779" s="13"/>
      <c r="AB2779" s="13"/>
      <c r="AC2779" s="13"/>
      <c r="AD2779" s="13"/>
      <c r="AE2779" s="13"/>
      <c r="AF2779" s="13"/>
      <c r="AG2779" s="13"/>
      <c r="AH2779" s="13"/>
      <c r="AI2779" s="13"/>
      <c r="AJ2779" s="13"/>
      <c r="AK2779" s="13"/>
      <c r="AL2779" s="13"/>
      <c r="AM2779" s="13"/>
      <c r="AN2779" s="13"/>
      <c r="AO2779" s="13"/>
      <c r="AP2779" s="13"/>
      <c r="AQ2779" s="13"/>
      <c r="AR2779" s="13"/>
      <c r="AS2779" s="13"/>
    </row>
    <row r="2780" ht="14.25" customHeight="1">
      <c r="A2780" s="13" t="s">
        <v>36</v>
      </c>
      <c r="B2780" s="13" t="s">
        <v>42</v>
      </c>
      <c r="C2780" s="13">
        <v>2.0</v>
      </c>
      <c r="D2780" s="13" t="s">
        <v>178</v>
      </c>
      <c r="F2780" s="13"/>
      <c r="G2780" s="13" t="s">
        <v>111</v>
      </c>
      <c r="H2780" s="13" t="s">
        <v>75</v>
      </c>
      <c r="I2780" s="13"/>
      <c r="J2780" s="13"/>
      <c r="K2780" s="15">
        <v>1.0</v>
      </c>
      <c r="L2780" s="15">
        <v>1.0</v>
      </c>
      <c r="M2780" s="16"/>
      <c r="N2780" s="16"/>
      <c r="O2780" s="17"/>
      <c r="P2780" s="17"/>
      <c r="Q2780" s="13">
        <f t="shared" si="2984"/>
        <v>0</v>
      </c>
      <c r="R2780" s="13"/>
      <c r="S2780" s="13"/>
      <c r="T2780" s="13">
        <f t="shared" ref="T2780:Y2780" si="2986">IF(ISBLANK(K2780)=TRUE,0,1)</f>
        <v>1</v>
      </c>
      <c r="U2780" s="13">
        <f t="shared" si="2986"/>
        <v>1</v>
      </c>
      <c r="V2780" s="13">
        <f t="shared" si="2986"/>
        <v>0</v>
      </c>
      <c r="W2780" s="13">
        <f t="shared" si="2986"/>
        <v>0</v>
      </c>
      <c r="X2780" s="13">
        <f t="shared" si="2986"/>
        <v>0</v>
      </c>
      <c r="Y2780" s="13">
        <f t="shared" si="2986"/>
        <v>0</v>
      </c>
      <c r="Z2780" s="13">
        <f t="shared" si="1998"/>
        <v>1</v>
      </c>
      <c r="AA2780" s="13"/>
      <c r="AB2780" s="13"/>
      <c r="AC2780" s="13"/>
      <c r="AD2780" s="13"/>
      <c r="AE2780" s="13"/>
      <c r="AF2780" s="13"/>
      <c r="AG2780" s="13"/>
      <c r="AH2780" s="13"/>
      <c r="AI2780" s="13"/>
      <c r="AJ2780" s="13"/>
      <c r="AK2780" s="13"/>
      <c r="AL2780" s="13"/>
      <c r="AM2780" s="13"/>
      <c r="AN2780" s="13"/>
      <c r="AO2780" s="13"/>
      <c r="AP2780" s="13"/>
      <c r="AQ2780" s="13"/>
      <c r="AR2780" s="13"/>
      <c r="AS2780" s="13"/>
    </row>
    <row r="2781" ht="14.25" customHeight="1">
      <c r="A2781" s="13" t="s">
        <v>36</v>
      </c>
      <c r="B2781" s="13" t="s">
        <v>42</v>
      </c>
      <c r="C2781" s="13">
        <v>2.0</v>
      </c>
      <c r="D2781" s="13" t="s">
        <v>179</v>
      </c>
      <c r="F2781" s="13"/>
      <c r="G2781" s="13" t="s">
        <v>111</v>
      </c>
      <c r="H2781" s="13" t="s">
        <v>75</v>
      </c>
      <c r="I2781" s="13"/>
      <c r="J2781" s="13"/>
      <c r="K2781" s="15">
        <v>1.0</v>
      </c>
      <c r="L2781" s="15">
        <v>1.0</v>
      </c>
      <c r="M2781" s="16"/>
      <c r="N2781" s="16"/>
      <c r="O2781" s="17"/>
      <c r="P2781" s="17"/>
      <c r="Q2781" s="13">
        <f t="shared" si="2984"/>
        <v>2</v>
      </c>
      <c r="R2781" s="13"/>
      <c r="S2781" s="13"/>
      <c r="T2781" s="13">
        <f t="shared" ref="T2781:Y2781" si="2987">IF(ISBLANK(K2781)=TRUE,0,1)</f>
        <v>1</v>
      </c>
      <c r="U2781" s="13">
        <f t="shared" si="2987"/>
        <v>1</v>
      </c>
      <c r="V2781" s="13">
        <f t="shared" si="2987"/>
        <v>0</v>
      </c>
      <c r="W2781" s="13">
        <f t="shared" si="2987"/>
        <v>0</v>
      </c>
      <c r="X2781" s="13">
        <f t="shared" si="2987"/>
        <v>0</v>
      </c>
      <c r="Y2781" s="13">
        <f t="shared" si="2987"/>
        <v>0</v>
      </c>
      <c r="Z2781" s="13">
        <f t="shared" si="1998"/>
        <v>1</v>
      </c>
      <c r="AA2781" s="13"/>
      <c r="AB2781" s="13"/>
      <c r="AC2781" s="13"/>
      <c r="AD2781" s="13"/>
      <c r="AE2781" s="13"/>
      <c r="AF2781" s="13"/>
      <c r="AG2781" s="13"/>
      <c r="AH2781" s="13"/>
      <c r="AI2781" s="13"/>
      <c r="AJ2781" s="13"/>
      <c r="AK2781" s="13"/>
      <c r="AL2781" s="13"/>
      <c r="AM2781" s="13"/>
      <c r="AN2781" s="13"/>
      <c r="AO2781" s="13"/>
      <c r="AP2781" s="13"/>
      <c r="AQ2781" s="13"/>
      <c r="AR2781" s="13"/>
      <c r="AS2781" s="13"/>
    </row>
    <row r="2782" ht="14.25" customHeight="1">
      <c r="A2782" s="13" t="s">
        <v>36</v>
      </c>
      <c r="B2782" s="13" t="s">
        <v>42</v>
      </c>
      <c r="C2782" s="13">
        <v>2.0</v>
      </c>
      <c r="D2782" s="13" t="s">
        <v>180</v>
      </c>
      <c r="F2782" s="13"/>
      <c r="G2782" s="13" t="s">
        <v>111</v>
      </c>
      <c r="H2782" s="13" t="s">
        <v>75</v>
      </c>
      <c r="I2782" s="13"/>
      <c r="J2782" s="13"/>
      <c r="K2782" s="15">
        <v>1.0</v>
      </c>
      <c r="L2782" s="15">
        <v>1.0</v>
      </c>
      <c r="M2782" s="16"/>
      <c r="N2782" s="16"/>
      <c r="O2782" s="17"/>
      <c r="P2782" s="17"/>
      <c r="Q2782" s="13">
        <f t="shared" si="2984"/>
        <v>2</v>
      </c>
      <c r="R2782" s="13"/>
      <c r="S2782" s="13"/>
      <c r="T2782" s="13">
        <f t="shared" ref="T2782:Y2782" si="2988">IF(ISBLANK(K2782)=TRUE,0,1)</f>
        <v>1</v>
      </c>
      <c r="U2782" s="13">
        <f t="shared" si="2988"/>
        <v>1</v>
      </c>
      <c r="V2782" s="13">
        <f t="shared" si="2988"/>
        <v>0</v>
      </c>
      <c r="W2782" s="13">
        <f t="shared" si="2988"/>
        <v>0</v>
      </c>
      <c r="X2782" s="13">
        <f t="shared" si="2988"/>
        <v>0</v>
      </c>
      <c r="Y2782" s="13">
        <f t="shared" si="2988"/>
        <v>0</v>
      </c>
      <c r="Z2782" s="13">
        <f t="shared" si="1998"/>
        <v>1</v>
      </c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  <c r="AL2782" s="13"/>
      <c r="AM2782" s="13"/>
      <c r="AN2782" s="13"/>
      <c r="AO2782" s="13"/>
      <c r="AP2782" s="13"/>
      <c r="AQ2782" s="13"/>
      <c r="AR2782" s="13"/>
      <c r="AS2782" s="13"/>
    </row>
    <row r="2783" ht="14.25" customHeight="1">
      <c r="A2783" s="13" t="s">
        <v>36</v>
      </c>
      <c r="B2783" s="13" t="s">
        <v>42</v>
      </c>
      <c r="C2783" s="13">
        <v>2.0</v>
      </c>
      <c r="D2783" s="13" t="s">
        <v>181</v>
      </c>
      <c r="F2783" s="13"/>
      <c r="G2783" s="13" t="s">
        <v>111</v>
      </c>
      <c r="H2783" s="13" t="s">
        <v>75</v>
      </c>
      <c r="I2783" s="13"/>
      <c r="J2783" s="13"/>
      <c r="K2783" s="15">
        <v>1.0</v>
      </c>
      <c r="L2783" s="15">
        <v>1.0</v>
      </c>
      <c r="M2783" s="16"/>
      <c r="N2783" s="16"/>
      <c r="O2783" s="17"/>
      <c r="P2783" s="17"/>
      <c r="Q2783" s="13">
        <f t="shared" si="2984"/>
        <v>2</v>
      </c>
      <c r="R2783" s="13"/>
      <c r="S2783" s="13"/>
      <c r="T2783" s="13">
        <f t="shared" ref="T2783:Y2783" si="2989">IF(ISBLANK(K2783)=TRUE,0,1)</f>
        <v>1</v>
      </c>
      <c r="U2783" s="13">
        <f t="shared" si="2989"/>
        <v>1</v>
      </c>
      <c r="V2783" s="13">
        <f t="shared" si="2989"/>
        <v>0</v>
      </c>
      <c r="W2783" s="13">
        <f t="shared" si="2989"/>
        <v>0</v>
      </c>
      <c r="X2783" s="13">
        <f t="shared" si="2989"/>
        <v>0</v>
      </c>
      <c r="Y2783" s="13">
        <f t="shared" si="2989"/>
        <v>0</v>
      </c>
      <c r="Z2783" s="13">
        <f t="shared" si="1998"/>
        <v>1</v>
      </c>
      <c r="AA2783" s="13"/>
      <c r="AB2783" s="13"/>
      <c r="AC2783" s="13"/>
      <c r="AD2783" s="13"/>
      <c r="AE2783" s="13"/>
      <c r="AF2783" s="13"/>
      <c r="AG2783" s="13"/>
      <c r="AH2783" s="13"/>
      <c r="AI2783" s="13"/>
      <c r="AJ2783" s="13"/>
      <c r="AK2783" s="13"/>
      <c r="AL2783" s="13"/>
      <c r="AM2783" s="13"/>
      <c r="AN2783" s="13"/>
      <c r="AO2783" s="13"/>
      <c r="AP2783" s="13"/>
      <c r="AQ2783" s="13"/>
      <c r="AR2783" s="13"/>
      <c r="AS2783" s="13"/>
    </row>
    <row r="2784" ht="14.25" customHeight="1">
      <c r="A2784" s="13" t="s">
        <v>36</v>
      </c>
      <c r="B2784" s="13" t="s">
        <v>42</v>
      </c>
      <c r="C2784" s="13">
        <v>2.0</v>
      </c>
      <c r="D2784" s="13" t="s">
        <v>182</v>
      </c>
      <c r="F2784" s="13"/>
      <c r="G2784" s="13" t="s">
        <v>111</v>
      </c>
      <c r="H2784" s="13" t="s">
        <v>75</v>
      </c>
      <c r="I2784" s="13"/>
      <c r="J2784" s="13"/>
      <c r="K2784" s="15">
        <v>1.0</v>
      </c>
      <c r="L2784" s="15">
        <v>1.0</v>
      </c>
      <c r="M2784" s="16"/>
      <c r="N2784" s="16"/>
      <c r="O2784" s="17"/>
      <c r="P2784" s="17"/>
      <c r="Q2784" s="13">
        <f t="shared" si="2984"/>
        <v>2</v>
      </c>
      <c r="R2784" s="13"/>
      <c r="S2784" s="13"/>
      <c r="T2784" s="13">
        <f t="shared" ref="T2784:Y2784" si="2990">IF(ISBLANK(K2784)=TRUE,0,1)</f>
        <v>1</v>
      </c>
      <c r="U2784" s="13">
        <f t="shared" si="2990"/>
        <v>1</v>
      </c>
      <c r="V2784" s="13">
        <f t="shared" si="2990"/>
        <v>0</v>
      </c>
      <c r="W2784" s="13">
        <f t="shared" si="2990"/>
        <v>0</v>
      </c>
      <c r="X2784" s="13">
        <f t="shared" si="2990"/>
        <v>0</v>
      </c>
      <c r="Y2784" s="13">
        <f t="shared" si="2990"/>
        <v>0</v>
      </c>
      <c r="Z2784" s="13">
        <f t="shared" si="1998"/>
        <v>1</v>
      </c>
      <c r="AA2784" s="13"/>
      <c r="AB2784" s="13"/>
      <c r="AC2784" s="13"/>
      <c r="AD2784" s="13"/>
      <c r="AE2784" s="13"/>
      <c r="AF2784" s="13"/>
      <c r="AG2784" s="13"/>
      <c r="AH2784" s="13"/>
      <c r="AI2784" s="13"/>
      <c r="AJ2784" s="13"/>
      <c r="AK2784" s="13"/>
      <c r="AL2784" s="13"/>
      <c r="AM2784" s="13"/>
      <c r="AN2784" s="13"/>
      <c r="AO2784" s="13"/>
      <c r="AP2784" s="13"/>
      <c r="AQ2784" s="13"/>
      <c r="AR2784" s="13"/>
      <c r="AS2784" s="13"/>
    </row>
    <row r="2785" ht="14.25" customHeight="1">
      <c r="A2785" s="13" t="s">
        <v>36</v>
      </c>
      <c r="B2785" s="13" t="s">
        <v>42</v>
      </c>
      <c r="C2785" s="13">
        <v>3.0</v>
      </c>
      <c r="D2785" s="13" t="s">
        <v>174</v>
      </c>
      <c r="F2785" s="13"/>
      <c r="G2785" s="13" t="s">
        <v>111</v>
      </c>
      <c r="H2785" s="13" t="s">
        <v>75</v>
      </c>
      <c r="I2785" s="13"/>
      <c r="J2785" s="13"/>
      <c r="K2785" s="15">
        <v>1.0</v>
      </c>
      <c r="L2785" s="15">
        <v>1.0</v>
      </c>
      <c r="M2785" s="16"/>
      <c r="N2785" s="16"/>
      <c r="O2785" s="17"/>
      <c r="P2785" s="17"/>
      <c r="Q2785" s="13">
        <f t="shared" si="2984"/>
        <v>2</v>
      </c>
      <c r="R2785" s="13"/>
      <c r="S2785" s="13"/>
      <c r="T2785" s="13">
        <f t="shared" ref="T2785:Y2785" si="2991">IF(ISBLANK(K2785)=TRUE,0,1)</f>
        <v>1</v>
      </c>
      <c r="U2785" s="13">
        <f t="shared" si="2991"/>
        <v>1</v>
      </c>
      <c r="V2785" s="13">
        <f t="shared" si="2991"/>
        <v>0</v>
      </c>
      <c r="W2785" s="13">
        <f t="shared" si="2991"/>
        <v>0</v>
      </c>
      <c r="X2785" s="13">
        <f t="shared" si="2991"/>
        <v>0</v>
      </c>
      <c r="Y2785" s="13">
        <f t="shared" si="2991"/>
        <v>0</v>
      </c>
      <c r="Z2785" s="13">
        <f t="shared" si="1998"/>
        <v>1</v>
      </c>
      <c r="AA2785" s="13"/>
      <c r="AB2785" s="13"/>
      <c r="AC2785" s="13"/>
      <c r="AD2785" s="13"/>
      <c r="AE2785" s="13"/>
      <c r="AF2785" s="13"/>
      <c r="AG2785" s="13"/>
      <c r="AH2785" s="13"/>
      <c r="AI2785" s="13"/>
      <c r="AJ2785" s="13"/>
      <c r="AK2785" s="13"/>
      <c r="AL2785" s="13"/>
      <c r="AM2785" s="13"/>
      <c r="AN2785" s="13"/>
      <c r="AO2785" s="13"/>
      <c r="AP2785" s="13"/>
      <c r="AQ2785" s="13"/>
      <c r="AR2785" s="13"/>
      <c r="AS2785" s="13"/>
    </row>
    <row r="2786" ht="14.25" customHeight="1">
      <c r="A2786" s="13" t="s">
        <v>36</v>
      </c>
      <c r="B2786" s="13" t="s">
        <v>42</v>
      </c>
      <c r="C2786" s="13">
        <v>3.0</v>
      </c>
      <c r="D2786" s="13" t="s">
        <v>175</v>
      </c>
      <c r="F2786" s="13"/>
      <c r="G2786" s="13" t="s">
        <v>111</v>
      </c>
      <c r="H2786" s="13" t="s">
        <v>75</v>
      </c>
      <c r="I2786" s="13"/>
      <c r="J2786" s="13"/>
      <c r="K2786" s="15">
        <v>1.0</v>
      </c>
      <c r="L2786" s="15">
        <v>1.0</v>
      </c>
      <c r="M2786" s="16"/>
      <c r="N2786" s="16"/>
      <c r="O2786" s="17"/>
      <c r="P2786" s="17"/>
      <c r="Q2786" s="13">
        <f t="shared" si="2984"/>
        <v>2</v>
      </c>
      <c r="R2786" s="13"/>
      <c r="S2786" s="13"/>
      <c r="T2786" s="13">
        <f t="shared" ref="T2786:Y2786" si="2992">IF(ISBLANK(K2786)=TRUE,0,1)</f>
        <v>1</v>
      </c>
      <c r="U2786" s="13">
        <f t="shared" si="2992"/>
        <v>1</v>
      </c>
      <c r="V2786" s="13">
        <f t="shared" si="2992"/>
        <v>0</v>
      </c>
      <c r="W2786" s="13">
        <f t="shared" si="2992"/>
        <v>0</v>
      </c>
      <c r="X2786" s="13">
        <f t="shared" si="2992"/>
        <v>0</v>
      </c>
      <c r="Y2786" s="13">
        <f t="shared" si="2992"/>
        <v>0</v>
      </c>
      <c r="Z2786" s="13">
        <f t="shared" si="1998"/>
        <v>1</v>
      </c>
      <c r="AA2786" s="13"/>
      <c r="AB2786" s="13"/>
      <c r="AC2786" s="13"/>
      <c r="AD2786" s="13"/>
      <c r="AE2786" s="13"/>
      <c r="AF2786" s="13"/>
      <c r="AG2786" s="13"/>
      <c r="AH2786" s="13"/>
      <c r="AI2786" s="13"/>
      <c r="AJ2786" s="13"/>
      <c r="AK2786" s="13"/>
      <c r="AL2786" s="13"/>
      <c r="AM2786" s="13"/>
      <c r="AN2786" s="13"/>
      <c r="AO2786" s="13"/>
      <c r="AP2786" s="13"/>
      <c r="AQ2786" s="13"/>
      <c r="AR2786" s="13"/>
      <c r="AS2786" s="13"/>
    </row>
    <row r="2787" ht="14.25" customHeight="1">
      <c r="A2787" s="13" t="s">
        <v>36</v>
      </c>
      <c r="B2787" s="13" t="s">
        <v>42</v>
      </c>
      <c r="C2787" s="13">
        <v>3.0</v>
      </c>
      <c r="D2787" s="13" t="s">
        <v>176</v>
      </c>
      <c r="F2787" s="13"/>
      <c r="G2787" s="13" t="s">
        <v>111</v>
      </c>
      <c r="H2787" s="13" t="s">
        <v>75</v>
      </c>
      <c r="I2787" s="13"/>
      <c r="J2787" s="13"/>
      <c r="K2787" s="15">
        <v>1.0</v>
      </c>
      <c r="L2787" s="15">
        <v>1.0</v>
      </c>
      <c r="M2787" s="16"/>
      <c r="N2787" s="16"/>
      <c r="O2787" s="17"/>
      <c r="P2787" s="17"/>
      <c r="Q2787" s="13">
        <f t="shared" si="2984"/>
        <v>2</v>
      </c>
      <c r="R2787" s="13"/>
      <c r="S2787" s="13"/>
      <c r="T2787" s="13">
        <f t="shared" ref="T2787:Y2787" si="2993">IF(ISBLANK(K2787)=TRUE,0,1)</f>
        <v>1</v>
      </c>
      <c r="U2787" s="13">
        <f t="shared" si="2993"/>
        <v>1</v>
      </c>
      <c r="V2787" s="13">
        <f t="shared" si="2993"/>
        <v>0</v>
      </c>
      <c r="W2787" s="13">
        <f t="shared" si="2993"/>
        <v>0</v>
      </c>
      <c r="X2787" s="13">
        <f t="shared" si="2993"/>
        <v>0</v>
      </c>
      <c r="Y2787" s="13">
        <f t="shared" si="2993"/>
        <v>0</v>
      </c>
      <c r="Z2787" s="13">
        <f t="shared" si="1998"/>
        <v>1</v>
      </c>
      <c r="AA2787" s="13"/>
      <c r="AB2787" s="13"/>
      <c r="AC2787" s="13"/>
      <c r="AD2787" s="13"/>
      <c r="AE2787" s="13"/>
      <c r="AF2787" s="13"/>
      <c r="AG2787" s="13"/>
      <c r="AH2787" s="13"/>
      <c r="AI2787" s="13"/>
      <c r="AJ2787" s="13"/>
      <c r="AK2787" s="13"/>
      <c r="AL2787" s="13"/>
      <c r="AM2787" s="13"/>
      <c r="AN2787" s="13"/>
      <c r="AO2787" s="13"/>
      <c r="AP2787" s="13"/>
      <c r="AQ2787" s="13"/>
      <c r="AR2787" s="13"/>
      <c r="AS2787" s="13"/>
    </row>
    <row r="2788" ht="14.25" customHeight="1">
      <c r="A2788" s="13" t="s">
        <v>36</v>
      </c>
      <c r="B2788" s="13" t="s">
        <v>42</v>
      </c>
      <c r="C2788" s="13">
        <v>3.0</v>
      </c>
      <c r="D2788" s="13" t="s">
        <v>177</v>
      </c>
      <c r="F2788" s="13"/>
      <c r="G2788" s="13" t="s">
        <v>111</v>
      </c>
      <c r="H2788" s="13" t="s">
        <v>75</v>
      </c>
      <c r="I2788" s="13"/>
      <c r="J2788" s="13"/>
      <c r="K2788" s="15">
        <v>1.0</v>
      </c>
      <c r="L2788" s="15">
        <v>1.0</v>
      </c>
      <c r="M2788" s="16"/>
      <c r="N2788" s="16"/>
      <c r="O2788" s="17"/>
      <c r="P2788" s="17"/>
      <c r="Q2788" s="13">
        <f t="shared" si="2984"/>
        <v>2</v>
      </c>
      <c r="R2788" s="13"/>
      <c r="S2788" s="13"/>
      <c r="T2788" s="13">
        <f t="shared" ref="T2788:Y2788" si="2994">IF(ISBLANK(K2788)=TRUE,0,1)</f>
        <v>1</v>
      </c>
      <c r="U2788" s="13">
        <f t="shared" si="2994"/>
        <v>1</v>
      </c>
      <c r="V2788" s="13">
        <f t="shared" si="2994"/>
        <v>0</v>
      </c>
      <c r="W2788" s="13">
        <f t="shared" si="2994"/>
        <v>0</v>
      </c>
      <c r="X2788" s="13">
        <f t="shared" si="2994"/>
        <v>0</v>
      </c>
      <c r="Y2788" s="13">
        <f t="shared" si="2994"/>
        <v>0</v>
      </c>
      <c r="Z2788" s="13">
        <f t="shared" si="1998"/>
        <v>1</v>
      </c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/>
      <c r="AK2788" s="13"/>
      <c r="AL2788" s="13"/>
      <c r="AM2788" s="13"/>
      <c r="AN2788" s="13"/>
      <c r="AO2788" s="13"/>
      <c r="AP2788" s="13"/>
      <c r="AQ2788" s="13"/>
      <c r="AR2788" s="13"/>
      <c r="AS2788" s="13"/>
    </row>
    <row r="2789" ht="14.25" hidden="1" customHeight="1">
      <c r="A2789" s="13" t="s">
        <v>36</v>
      </c>
      <c r="B2789" s="13" t="s">
        <v>39</v>
      </c>
      <c r="C2789" s="13" t="s">
        <v>1738</v>
      </c>
      <c r="D2789" s="13" t="s">
        <v>181</v>
      </c>
      <c r="F2789" s="13"/>
      <c r="G2789" s="13" t="s">
        <v>111</v>
      </c>
      <c r="H2789" s="13" t="s">
        <v>75</v>
      </c>
      <c r="I2789" s="13"/>
      <c r="J2789" s="13"/>
      <c r="K2789" s="15">
        <v>0.0</v>
      </c>
      <c r="L2789" s="15">
        <v>0.0</v>
      </c>
      <c r="M2789" s="16"/>
      <c r="N2789" s="16"/>
      <c r="O2789" s="17"/>
      <c r="P2789" s="17"/>
      <c r="Q2789" s="13">
        <f t="shared" si="2984"/>
        <v>2</v>
      </c>
      <c r="R2789" s="13"/>
      <c r="S2789" s="13"/>
      <c r="T2789" s="13">
        <f t="shared" ref="T2789:Y2789" si="2995">IF(ISBLANK(K2789)=TRUE,0,1)</f>
        <v>1</v>
      </c>
      <c r="U2789" s="13">
        <f t="shared" si="2995"/>
        <v>1</v>
      </c>
      <c r="V2789" s="13">
        <f t="shared" si="2995"/>
        <v>0</v>
      </c>
      <c r="W2789" s="13">
        <f t="shared" si="2995"/>
        <v>0</v>
      </c>
      <c r="X2789" s="13">
        <f t="shared" si="2995"/>
        <v>0</v>
      </c>
      <c r="Y2789" s="13">
        <f t="shared" si="2995"/>
        <v>0</v>
      </c>
      <c r="Z2789" s="13">
        <f t="shared" si="1998"/>
        <v>0</v>
      </c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13"/>
      <c r="AK2789" s="13"/>
      <c r="AL2789" s="13"/>
      <c r="AM2789" s="13"/>
      <c r="AN2789" s="13"/>
      <c r="AO2789" s="13"/>
      <c r="AP2789" s="13"/>
      <c r="AQ2789" s="13"/>
      <c r="AR2789" s="13"/>
      <c r="AS2789" s="13"/>
    </row>
    <row r="2790" ht="14.25" hidden="1" customHeight="1">
      <c r="A2790" s="13" t="s">
        <v>36</v>
      </c>
      <c r="B2790" s="13" t="s">
        <v>39</v>
      </c>
      <c r="C2790" s="13" t="s">
        <v>1738</v>
      </c>
      <c r="D2790" s="13" t="s">
        <v>182</v>
      </c>
      <c r="F2790" s="13"/>
      <c r="G2790" s="13" t="s">
        <v>111</v>
      </c>
      <c r="H2790" s="13" t="s">
        <v>75</v>
      </c>
      <c r="I2790" s="13"/>
      <c r="J2790" s="13"/>
      <c r="K2790" s="15">
        <v>0.0</v>
      </c>
      <c r="L2790" s="15">
        <v>0.0</v>
      </c>
      <c r="M2790" s="16"/>
      <c r="N2790" s="16"/>
      <c r="O2790" s="17"/>
      <c r="P2790" s="17"/>
      <c r="Q2790" s="13">
        <f t="shared" si="2984"/>
        <v>0</v>
      </c>
      <c r="R2790" s="13"/>
      <c r="S2790" s="13"/>
      <c r="T2790" s="13">
        <f t="shared" ref="T2790:Y2790" si="2996">IF(ISBLANK(K2790)=TRUE,0,1)</f>
        <v>1</v>
      </c>
      <c r="U2790" s="13">
        <f t="shared" si="2996"/>
        <v>1</v>
      </c>
      <c r="V2790" s="13">
        <f t="shared" si="2996"/>
        <v>0</v>
      </c>
      <c r="W2790" s="13">
        <f t="shared" si="2996"/>
        <v>0</v>
      </c>
      <c r="X2790" s="13">
        <f t="shared" si="2996"/>
        <v>0</v>
      </c>
      <c r="Y2790" s="13">
        <f t="shared" si="2996"/>
        <v>0</v>
      </c>
      <c r="Z2790" s="13">
        <f t="shared" si="1998"/>
        <v>0</v>
      </c>
      <c r="AA2790" s="13"/>
      <c r="AB2790" s="13"/>
      <c r="AC2790" s="13"/>
      <c r="AD2790" s="13"/>
      <c r="AE2790" s="13"/>
      <c r="AF2790" s="13"/>
      <c r="AG2790" s="13"/>
      <c r="AH2790" s="13"/>
      <c r="AI2790" s="13"/>
      <c r="AJ2790" s="13"/>
      <c r="AK2790" s="13"/>
      <c r="AL2790" s="13"/>
      <c r="AM2790" s="13"/>
      <c r="AN2790" s="13"/>
      <c r="AO2790" s="13"/>
      <c r="AP2790" s="13"/>
      <c r="AQ2790" s="13"/>
      <c r="AR2790" s="13"/>
      <c r="AS2790" s="13"/>
    </row>
    <row r="2791" ht="14.25" customHeight="1">
      <c r="A2791" s="13" t="s">
        <v>36</v>
      </c>
      <c r="B2791" s="13" t="s">
        <v>42</v>
      </c>
      <c r="C2791" s="13">
        <v>3.0</v>
      </c>
      <c r="D2791" s="13" t="s">
        <v>178</v>
      </c>
      <c r="F2791" s="13"/>
      <c r="G2791" s="13" t="s">
        <v>111</v>
      </c>
      <c r="H2791" s="13" t="s">
        <v>75</v>
      </c>
      <c r="I2791" s="13"/>
      <c r="J2791" s="13"/>
      <c r="K2791" s="15">
        <v>1.0</v>
      </c>
      <c r="L2791" s="15">
        <v>1.0</v>
      </c>
      <c r="M2791" s="16"/>
      <c r="N2791" s="16"/>
      <c r="O2791" s="17"/>
      <c r="P2791" s="17"/>
      <c r="Q2791" s="13">
        <f t="shared" si="2984"/>
        <v>0</v>
      </c>
      <c r="R2791" s="13"/>
      <c r="S2791" s="13"/>
      <c r="T2791" s="13">
        <f t="shared" ref="T2791:Y2791" si="2997">IF(ISBLANK(K2791)=TRUE,0,1)</f>
        <v>1</v>
      </c>
      <c r="U2791" s="13">
        <f t="shared" si="2997"/>
        <v>1</v>
      </c>
      <c r="V2791" s="13">
        <f t="shared" si="2997"/>
        <v>0</v>
      </c>
      <c r="W2791" s="13">
        <f t="shared" si="2997"/>
        <v>0</v>
      </c>
      <c r="X2791" s="13">
        <f t="shared" si="2997"/>
        <v>0</v>
      </c>
      <c r="Y2791" s="13">
        <f t="shared" si="2997"/>
        <v>0</v>
      </c>
      <c r="Z2791" s="13">
        <f t="shared" si="1998"/>
        <v>1</v>
      </c>
      <c r="AA2791" s="13"/>
      <c r="AB2791" s="13"/>
      <c r="AC2791" s="13"/>
      <c r="AD2791" s="13"/>
      <c r="AE2791" s="13"/>
      <c r="AF2791" s="13"/>
      <c r="AG2791" s="13"/>
      <c r="AH2791" s="13"/>
      <c r="AI2791" s="13"/>
      <c r="AJ2791" s="13"/>
      <c r="AK2791" s="13"/>
      <c r="AL2791" s="13"/>
      <c r="AM2791" s="13"/>
      <c r="AN2791" s="13"/>
      <c r="AO2791" s="13"/>
      <c r="AP2791" s="13"/>
      <c r="AQ2791" s="13"/>
      <c r="AR2791" s="13"/>
      <c r="AS2791" s="13"/>
    </row>
    <row r="2792" ht="14.25" customHeight="1">
      <c r="A2792" s="13" t="s">
        <v>36</v>
      </c>
      <c r="B2792" s="13" t="s">
        <v>42</v>
      </c>
      <c r="C2792" s="13">
        <v>3.0</v>
      </c>
      <c r="D2792" s="13" t="s">
        <v>179</v>
      </c>
      <c r="F2792" s="13"/>
      <c r="G2792" s="13" t="s">
        <v>111</v>
      </c>
      <c r="H2792" s="13" t="s">
        <v>75</v>
      </c>
      <c r="I2792" s="13"/>
      <c r="J2792" s="13"/>
      <c r="K2792" s="15">
        <v>1.0</v>
      </c>
      <c r="L2792" s="15">
        <v>1.0</v>
      </c>
      <c r="M2792" s="16"/>
      <c r="N2792" s="16"/>
      <c r="O2792" s="17"/>
      <c r="P2792" s="17"/>
      <c r="Q2792" s="13">
        <f t="shared" si="2984"/>
        <v>2</v>
      </c>
      <c r="R2792" s="13"/>
      <c r="S2792" s="13"/>
      <c r="T2792" s="13">
        <f t="shared" ref="T2792:Y2792" si="2998">IF(ISBLANK(K2792)=TRUE,0,1)</f>
        <v>1</v>
      </c>
      <c r="U2792" s="13">
        <f t="shared" si="2998"/>
        <v>1</v>
      </c>
      <c r="V2792" s="13">
        <f t="shared" si="2998"/>
        <v>0</v>
      </c>
      <c r="W2792" s="13">
        <f t="shared" si="2998"/>
        <v>0</v>
      </c>
      <c r="X2792" s="13">
        <f t="shared" si="2998"/>
        <v>0</v>
      </c>
      <c r="Y2792" s="13">
        <f t="shared" si="2998"/>
        <v>0</v>
      </c>
      <c r="Z2792" s="13">
        <f t="shared" si="1998"/>
        <v>1</v>
      </c>
      <c r="AA2792" s="13"/>
      <c r="AB2792" s="13"/>
      <c r="AC2792" s="13"/>
      <c r="AD2792" s="13"/>
      <c r="AE2792" s="13"/>
      <c r="AF2792" s="13"/>
      <c r="AG2792" s="13"/>
      <c r="AH2792" s="13"/>
      <c r="AI2792" s="13"/>
      <c r="AJ2792" s="13"/>
      <c r="AK2792" s="13"/>
      <c r="AL2792" s="13"/>
      <c r="AM2792" s="13"/>
      <c r="AN2792" s="13"/>
      <c r="AO2792" s="13"/>
      <c r="AP2792" s="13"/>
      <c r="AQ2792" s="13"/>
      <c r="AR2792" s="13"/>
      <c r="AS2792" s="13"/>
    </row>
    <row r="2793" ht="14.25" hidden="1" customHeight="1">
      <c r="A2793" s="13" t="s">
        <v>36</v>
      </c>
      <c r="B2793" s="13" t="s">
        <v>39</v>
      </c>
      <c r="C2793" s="13" t="s">
        <v>1738</v>
      </c>
      <c r="D2793" s="13" t="s">
        <v>183</v>
      </c>
      <c r="F2793" s="13"/>
      <c r="G2793" s="13" t="s">
        <v>111</v>
      </c>
      <c r="H2793" s="13" t="s">
        <v>75</v>
      </c>
      <c r="I2793" s="13"/>
      <c r="J2793" s="13"/>
      <c r="K2793" s="15">
        <v>0.0</v>
      </c>
      <c r="L2793" s="15">
        <v>0.0</v>
      </c>
      <c r="M2793" s="16"/>
      <c r="N2793" s="16"/>
      <c r="O2793" s="17"/>
      <c r="P2793" s="17"/>
      <c r="Q2793" s="13">
        <f t="shared" si="2984"/>
        <v>2</v>
      </c>
      <c r="R2793" s="13"/>
      <c r="S2793" s="13"/>
      <c r="T2793" s="13">
        <f t="shared" ref="T2793:Y2793" si="2999">IF(ISBLANK(K2793)=TRUE,0,1)</f>
        <v>1</v>
      </c>
      <c r="U2793" s="13">
        <f t="shared" si="2999"/>
        <v>1</v>
      </c>
      <c r="V2793" s="13">
        <f t="shared" si="2999"/>
        <v>0</v>
      </c>
      <c r="W2793" s="13">
        <f t="shared" si="2999"/>
        <v>0</v>
      </c>
      <c r="X2793" s="13">
        <f t="shared" si="2999"/>
        <v>0</v>
      </c>
      <c r="Y2793" s="13">
        <f t="shared" si="2999"/>
        <v>0</v>
      </c>
      <c r="Z2793" s="13">
        <f t="shared" si="1998"/>
        <v>0</v>
      </c>
      <c r="AA2793" s="13"/>
      <c r="AB2793" s="13"/>
      <c r="AC2793" s="13"/>
      <c r="AD2793" s="13"/>
      <c r="AE2793" s="13"/>
      <c r="AF2793" s="13"/>
      <c r="AG2793" s="13"/>
      <c r="AH2793" s="13"/>
      <c r="AI2793" s="13"/>
      <c r="AJ2793" s="13"/>
      <c r="AK2793" s="13"/>
      <c r="AL2793" s="13"/>
      <c r="AM2793" s="13"/>
      <c r="AN2793" s="13"/>
      <c r="AO2793" s="13"/>
      <c r="AP2793" s="13"/>
      <c r="AQ2793" s="13"/>
      <c r="AR2793" s="13"/>
      <c r="AS2793" s="13"/>
    </row>
    <row r="2794" ht="14.25" customHeight="1">
      <c r="A2794" s="13" t="s">
        <v>36</v>
      </c>
      <c r="B2794" s="13" t="s">
        <v>37</v>
      </c>
      <c r="C2794" s="13" t="s">
        <v>1794</v>
      </c>
      <c r="D2794" s="13"/>
      <c r="F2794" s="13"/>
      <c r="G2794" s="13" t="s">
        <v>74</v>
      </c>
      <c r="H2794" s="13" t="s">
        <v>75</v>
      </c>
      <c r="I2794" s="14">
        <v>44862.0</v>
      </c>
      <c r="J2794" s="14"/>
      <c r="K2794" s="15"/>
      <c r="L2794" s="15"/>
      <c r="M2794" s="16"/>
      <c r="N2794" s="16"/>
      <c r="O2794" s="17">
        <v>1.0</v>
      </c>
      <c r="P2794" s="17">
        <v>1.0</v>
      </c>
      <c r="Q2794" s="13">
        <f t="shared" si="2984"/>
        <v>0</v>
      </c>
      <c r="R2794" s="13"/>
      <c r="S2794" s="13"/>
      <c r="T2794" s="13">
        <f t="shared" ref="T2794:Y2794" si="3000">IF(ISBLANK(K2794)=TRUE,0,1)</f>
        <v>0</v>
      </c>
      <c r="U2794" s="13">
        <f t="shared" si="3000"/>
        <v>0</v>
      </c>
      <c r="V2794" s="13">
        <f t="shared" si="3000"/>
        <v>0</v>
      </c>
      <c r="W2794" s="13">
        <f t="shared" si="3000"/>
        <v>0</v>
      </c>
      <c r="X2794" s="13">
        <f t="shared" si="3000"/>
        <v>1</v>
      </c>
      <c r="Y2794" s="13">
        <f t="shared" si="3000"/>
        <v>1</v>
      </c>
      <c r="Z2794" s="13">
        <f t="shared" si="1998"/>
        <v>1</v>
      </c>
      <c r="AA2794" s="13"/>
      <c r="AB2794" s="13"/>
      <c r="AC2794" s="13"/>
      <c r="AD2794" s="13"/>
      <c r="AE2794" s="13"/>
      <c r="AF2794" s="13"/>
      <c r="AG2794" s="13"/>
      <c r="AH2794" s="13"/>
      <c r="AI2794" s="13"/>
      <c r="AJ2794" s="13"/>
      <c r="AK2794" s="13"/>
      <c r="AL2794" s="13"/>
      <c r="AM2794" s="13"/>
      <c r="AN2794" s="13"/>
      <c r="AO2794" s="13"/>
      <c r="AP2794" s="13"/>
      <c r="AQ2794" s="13"/>
      <c r="AR2794" s="13"/>
      <c r="AS2794" s="13"/>
    </row>
    <row r="2795" ht="14.25" hidden="1" customHeight="1">
      <c r="A2795" s="13" t="s">
        <v>46</v>
      </c>
      <c r="B2795" s="13" t="s">
        <v>55</v>
      </c>
      <c r="C2795" s="13" t="s">
        <v>1795</v>
      </c>
      <c r="D2795" s="13"/>
      <c r="E2795" s="13" t="str">
        <f t="shared" ref="E2795:E2808" si="3002">CONCATENATE(B2795,",",C2795,",",D2795,",",Z2795)</f>
        <v>JLP,110-5A-6S,,NA</v>
      </c>
      <c r="F2795" s="13"/>
      <c r="G2795" s="13" t="s">
        <v>111</v>
      </c>
      <c r="H2795" s="13" t="s">
        <v>75</v>
      </c>
      <c r="I2795" s="13"/>
      <c r="J2795" s="13"/>
      <c r="K2795" s="15"/>
      <c r="L2795" s="15"/>
      <c r="M2795" s="16"/>
      <c r="N2795" s="16"/>
      <c r="O2795" s="17"/>
      <c r="P2795" s="17"/>
      <c r="Q2795" s="13"/>
      <c r="R2795" s="13"/>
      <c r="S2795" s="13"/>
      <c r="T2795" s="13">
        <f t="shared" ref="T2795:Y2795" si="3001">IF(ISBLANK(K2795)=TRUE,0,1)</f>
        <v>0</v>
      </c>
      <c r="U2795" s="13">
        <f t="shared" si="3001"/>
        <v>0</v>
      </c>
      <c r="V2795" s="13">
        <f t="shared" si="3001"/>
        <v>0</v>
      </c>
      <c r="W2795" s="13">
        <f t="shared" si="3001"/>
        <v>0</v>
      </c>
      <c r="X2795" s="13">
        <f t="shared" si="3001"/>
        <v>0</v>
      </c>
      <c r="Y2795" s="13">
        <f t="shared" si="3001"/>
        <v>0</v>
      </c>
      <c r="Z2795" s="13" t="str">
        <f t="shared" si="1998"/>
        <v>NA</v>
      </c>
      <c r="AA2795" s="13"/>
      <c r="AB2795" s="13"/>
      <c r="AC2795" s="13"/>
      <c r="AD2795" s="13"/>
      <c r="AE2795" s="13"/>
      <c r="AF2795" s="13"/>
      <c r="AG2795" s="13"/>
      <c r="AH2795" s="13"/>
      <c r="AI2795" s="13"/>
      <c r="AJ2795" s="13"/>
      <c r="AK2795" s="13"/>
      <c r="AL2795" s="13"/>
      <c r="AM2795" s="13"/>
      <c r="AN2795" s="13"/>
      <c r="AO2795" s="13"/>
      <c r="AP2795" s="13"/>
      <c r="AQ2795" s="13"/>
      <c r="AR2795" s="13"/>
      <c r="AS2795" s="13"/>
    </row>
    <row r="2796" ht="14.25" hidden="1" customHeight="1">
      <c r="A2796" s="13" t="s">
        <v>46</v>
      </c>
      <c r="B2796" s="13" t="s">
        <v>55</v>
      </c>
      <c r="C2796" s="13" t="s">
        <v>1796</v>
      </c>
      <c r="D2796" s="13"/>
      <c r="E2796" s="13" t="str">
        <f t="shared" si="3002"/>
        <v>JLP,110-5A-6T,,NA</v>
      </c>
      <c r="F2796" s="13"/>
      <c r="G2796" s="13" t="s">
        <v>111</v>
      </c>
      <c r="H2796" s="13" t="s">
        <v>75</v>
      </c>
      <c r="I2796" s="13"/>
      <c r="J2796" s="13"/>
      <c r="K2796" s="15"/>
      <c r="L2796" s="15"/>
      <c r="M2796" s="16"/>
      <c r="N2796" s="16"/>
      <c r="O2796" s="17"/>
      <c r="P2796" s="17"/>
      <c r="Q2796" s="13"/>
      <c r="R2796" s="13"/>
      <c r="S2796" s="13"/>
      <c r="T2796" s="13">
        <f t="shared" ref="T2796:Y2796" si="3003">IF(ISBLANK(K2796)=TRUE,0,1)</f>
        <v>0</v>
      </c>
      <c r="U2796" s="13">
        <f t="shared" si="3003"/>
        <v>0</v>
      </c>
      <c r="V2796" s="13">
        <f t="shared" si="3003"/>
        <v>0</v>
      </c>
      <c r="W2796" s="13">
        <f t="shared" si="3003"/>
        <v>0</v>
      </c>
      <c r="X2796" s="13">
        <f t="shared" si="3003"/>
        <v>0</v>
      </c>
      <c r="Y2796" s="13">
        <f t="shared" si="3003"/>
        <v>0</v>
      </c>
      <c r="Z2796" s="13" t="str">
        <f t="shared" si="1998"/>
        <v>NA</v>
      </c>
      <c r="AA2796" s="13"/>
      <c r="AB2796" s="13"/>
      <c r="AC2796" s="13"/>
      <c r="AD2796" s="13"/>
      <c r="AE2796" s="13"/>
      <c r="AF2796" s="13"/>
      <c r="AG2796" s="13"/>
      <c r="AH2796" s="13"/>
      <c r="AI2796" s="13"/>
      <c r="AJ2796" s="13"/>
      <c r="AK2796" s="13"/>
      <c r="AL2796" s="13"/>
      <c r="AM2796" s="13"/>
      <c r="AN2796" s="13"/>
      <c r="AO2796" s="13"/>
      <c r="AP2796" s="13"/>
      <c r="AQ2796" s="13"/>
      <c r="AR2796" s="13"/>
      <c r="AS2796" s="13"/>
    </row>
    <row r="2797" ht="14.25" hidden="1" customHeight="1">
      <c r="A2797" s="13" t="s">
        <v>46</v>
      </c>
      <c r="B2797" s="13" t="s">
        <v>55</v>
      </c>
      <c r="C2797" s="13" t="s">
        <v>1797</v>
      </c>
      <c r="D2797" s="13"/>
      <c r="E2797" s="13" t="str">
        <f t="shared" si="3002"/>
        <v>JLP,110-5A-6U,,NA</v>
      </c>
      <c r="F2797" s="13"/>
      <c r="G2797" s="13" t="s">
        <v>111</v>
      </c>
      <c r="H2797" s="13" t="s">
        <v>75</v>
      </c>
      <c r="I2797" s="13"/>
      <c r="J2797" s="13"/>
      <c r="K2797" s="15"/>
      <c r="L2797" s="15"/>
      <c r="M2797" s="16"/>
      <c r="N2797" s="16"/>
      <c r="O2797" s="17"/>
      <c r="P2797" s="17"/>
      <c r="Q2797" s="13"/>
      <c r="R2797" s="13"/>
      <c r="S2797" s="13"/>
      <c r="T2797" s="13">
        <f t="shared" ref="T2797:Y2797" si="3004">IF(ISBLANK(K2797)=TRUE,0,1)</f>
        <v>0</v>
      </c>
      <c r="U2797" s="13">
        <f t="shared" si="3004"/>
        <v>0</v>
      </c>
      <c r="V2797" s="13">
        <f t="shared" si="3004"/>
        <v>0</v>
      </c>
      <c r="W2797" s="13">
        <f t="shared" si="3004"/>
        <v>0</v>
      </c>
      <c r="X2797" s="13">
        <f t="shared" si="3004"/>
        <v>0</v>
      </c>
      <c r="Y2797" s="13">
        <f t="shared" si="3004"/>
        <v>0</v>
      </c>
      <c r="Z2797" s="13" t="str">
        <f t="shared" si="1998"/>
        <v>NA</v>
      </c>
      <c r="AA2797" s="13"/>
      <c r="AB2797" s="13"/>
      <c r="AC2797" s="13"/>
      <c r="AD2797" s="13"/>
      <c r="AE2797" s="13"/>
      <c r="AF2797" s="13"/>
      <c r="AG2797" s="13"/>
      <c r="AH2797" s="13"/>
      <c r="AI2797" s="13"/>
      <c r="AJ2797" s="13"/>
      <c r="AK2797" s="13"/>
      <c r="AL2797" s="13"/>
      <c r="AM2797" s="13"/>
      <c r="AN2797" s="13"/>
      <c r="AO2797" s="13"/>
      <c r="AP2797" s="13"/>
      <c r="AQ2797" s="13"/>
      <c r="AR2797" s="13"/>
      <c r="AS2797" s="13"/>
    </row>
    <row r="2798" ht="14.25" hidden="1" customHeight="1">
      <c r="A2798" s="13" t="s">
        <v>46</v>
      </c>
      <c r="B2798" s="13" t="s">
        <v>55</v>
      </c>
      <c r="C2798" s="13" t="s">
        <v>1798</v>
      </c>
      <c r="D2798" s="13"/>
      <c r="E2798" s="13" t="str">
        <f t="shared" si="3002"/>
        <v>JLP,110-5A-6V,,NA</v>
      </c>
      <c r="F2798" s="13"/>
      <c r="G2798" s="13" t="s">
        <v>111</v>
      </c>
      <c r="H2798" s="13" t="s">
        <v>75</v>
      </c>
      <c r="I2798" s="13"/>
      <c r="J2798" s="13"/>
      <c r="K2798" s="15"/>
      <c r="L2798" s="15"/>
      <c r="M2798" s="16"/>
      <c r="N2798" s="16"/>
      <c r="O2798" s="17"/>
      <c r="P2798" s="17"/>
      <c r="Q2798" s="13"/>
      <c r="R2798" s="13"/>
      <c r="S2798" s="13"/>
      <c r="T2798" s="13">
        <f t="shared" ref="T2798:Y2798" si="3005">IF(ISBLANK(K2798)=TRUE,0,1)</f>
        <v>0</v>
      </c>
      <c r="U2798" s="13">
        <f t="shared" si="3005"/>
        <v>0</v>
      </c>
      <c r="V2798" s="13">
        <f t="shared" si="3005"/>
        <v>0</v>
      </c>
      <c r="W2798" s="13">
        <f t="shared" si="3005"/>
        <v>0</v>
      </c>
      <c r="X2798" s="13">
        <f t="shared" si="3005"/>
        <v>0</v>
      </c>
      <c r="Y2798" s="13">
        <f t="shared" si="3005"/>
        <v>0</v>
      </c>
      <c r="Z2798" s="13" t="str">
        <f t="shared" si="1998"/>
        <v>NA</v>
      </c>
      <c r="AA2798" s="13"/>
      <c r="AB2798" s="13"/>
      <c r="AC2798" s="13"/>
      <c r="AD2798" s="13"/>
      <c r="AE2798" s="13"/>
      <c r="AF2798" s="13"/>
      <c r="AG2798" s="13"/>
      <c r="AH2798" s="13"/>
      <c r="AI2798" s="13"/>
      <c r="AJ2798" s="13"/>
      <c r="AK2798" s="13"/>
      <c r="AL2798" s="13"/>
      <c r="AM2798" s="13"/>
      <c r="AN2798" s="13"/>
      <c r="AO2798" s="13"/>
      <c r="AP2798" s="13"/>
      <c r="AQ2798" s="13"/>
      <c r="AR2798" s="13"/>
      <c r="AS2798" s="13"/>
    </row>
    <row r="2799" ht="14.25" hidden="1" customHeight="1">
      <c r="A2799" s="13" t="s">
        <v>46</v>
      </c>
      <c r="B2799" s="13" t="s">
        <v>55</v>
      </c>
      <c r="C2799" s="13" t="s">
        <v>1799</v>
      </c>
      <c r="D2799" s="13"/>
      <c r="E2799" s="13" t="str">
        <f t="shared" si="3002"/>
        <v>JLP,110-5A-6W,,NA</v>
      </c>
      <c r="F2799" s="13"/>
      <c r="G2799" s="13" t="s">
        <v>111</v>
      </c>
      <c r="H2799" s="13" t="s">
        <v>75</v>
      </c>
      <c r="I2799" s="13"/>
      <c r="J2799" s="13"/>
      <c r="K2799" s="15"/>
      <c r="L2799" s="15"/>
      <c r="M2799" s="16"/>
      <c r="N2799" s="16"/>
      <c r="O2799" s="17"/>
      <c r="P2799" s="17"/>
      <c r="Q2799" s="13"/>
      <c r="R2799" s="13"/>
      <c r="S2799" s="13"/>
      <c r="T2799" s="13">
        <f t="shared" ref="T2799:Y2799" si="3006">IF(ISBLANK(K2799)=TRUE,0,1)</f>
        <v>0</v>
      </c>
      <c r="U2799" s="13">
        <f t="shared" si="3006"/>
        <v>0</v>
      </c>
      <c r="V2799" s="13">
        <f t="shared" si="3006"/>
        <v>0</v>
      </c>
      <c r="W2799" s="13">
        <f t="shared" si="3006"/>
        <v>0</v>
      </c>
      <c r="X2799" s="13">
        <f t="shared" si="3006"/>
        <v>0</v>
      </c>
      <c r="Y2799" s="13">
        <f t="shared" si="3006"/>
        <v>0</v>
      </c>
      <c r="Z2799" s="13" t="str">
        <f t="shared" si="1998"/>
        <v>NA</v>
      </c>
      <c r="AA2799" s="13"/>
      <c r="AB2799" s="13"/>
      <c r="AC2799" s="13"/>
      <c r="AD2799" s="13"/>
      <c r="AE2799" s="13"/>
      <c r="AF2799" s="13"/>
      <c r="AG2799" s="13"/>
      <c r="AH2799" s="13"/>
      <c r="AI2799" s="13"/>
      <c r="AJ2799" s="13"/>
      <c r="AK2799" s="13"/>
      <c r="AL2799" s="13"/>
      <c r="AM2799" s="13"/>
      <c r="AN2799" s="13"/>
      <c r="AO2799" s="13"/>
      <c r="AP2799" s="13"/>
      <c r="AQ2799" s="13"/>
      <c r="AR2799" s="13"/>
      <c r="AS2799" s="13"/>
    </row>
    <row r="2800" ht="14.25" hidden="1" customHeight="1">
      <c r="A2800" s="13" t="s">
        <v>46</v>
      </c>
      <c r="B2800" s="13" t="s">
        <v>55</v>
      </c>
      <c r="C2800" s="13" t="s">
        <v>1800</v>
      </c>
      <c r="D2800" s="13"/>
      <c r="E2800" s="13" t="str">
        <f t="shared" si="3002"/>
        <v>JLP,110-5A-6X,,NA</v>
      </c>
      <c r="F2800" s="13"/>
      <c r="G2800" s="13" t="s">
        <v>111</v>
      </c>
      <c r="H2800" s="13" t="s">
        <v>75</v>
      </c>
      <c r="I2800" s="13"/>
      <c r="J2800" s="13"/>
      <c r="K2800" s="15"/>
      <c r="L2800" s="15"/>
      <c r="M2800" s="16"/>
      <c r="N2800" s="16"/>
      <c r="O2800" s="17"/>
      <c r="P2800" s="17"/>
      <c r="Q2800" s="13"/>
      <c r="R2800" s="13"/>
      <c r="S2800" s="13"/>
      <c r="T2800" s="13">
        <f t="shared" ref="T2800:Y2800" si="3007">IF(ISBLANK(K2800)=TRUE,0,1)</f>
        <v>0</v>
      </c>
      <c r="U2800" s="13">
        <f t="shared" si="3007"/>
        <v>0</v>
      </c>
      <c r="V2800" s="13">
        <f t="shared" si="3007"/>
        <v>0</v>
      </c>
      <c r="W2800" s="13">
        <f t="shared" si="3007"/>
        <v>0</v>
      </c>
      <c r="X2800" s="13">
        <f t="shared" si="3007"/>
        <v>0</v>
      </c>
      <c r="Y2800" s="13">
        <f t="shared" si="3007"/>
        <v>0</v>
      </c>
      <c r="Z2800" s="13" t="str">
        <f t="shared" si="1998"/>
        <v>NA</v>
      </c>
      <c r="AA2800" s="13"/>
      <c r="AB2800" s="13"/>
      <c r="AC2800" s="13"/>
      <c r="AD2800" s="13"/>
      <c r="AE2800" s="13"/>
      <c r="AF2800" s="13"/>
      <c r="AG2800" s="13"/>
      <c r="AH2800" s="13"/>
      <c r="AI2800" s="13"/>
      <c r="AJ2800" s="13"/>
      <c r="AK2800" s="13"/>
      <c r="AL2800" s="13"/>
      <c r="AM2800" s="13"/>
      <c r="AN2800" s="13"/>
      <c r="AO2800" s="13"/>
      <c r="AP2800" s="13"/>
      <c r="AQ2800" s="13"/>
      <c r="AR2800" s="13"/>
      <c r="AS2800" s="13"/>
    </row>
    <row r="2801" ht="14.25" hidden="1" customHeight="1">
      <c r="A2801" s="13" t="s">
        <v>46</v>
      </c>
      <c r="B2801" s="13" t="s">
        <v>55</v>
      </c>
      <c r="C2801" s="13" t="s">
        <v>1801</v>
      </c>
      <c r="D2801" s="13"/>
      <c r="E2801" s="13" t="str">
        <f t="shared" si="3002"/>
        <v>JLP,110-5A-6Y,,NA</v>
      </c>
      <c r="F2801" s="13"/>
      <c r="G2801" s="13" t="s">
        <v>111</v>
      </c>
      <c r="H2801" s="13" t="s">
        <v>75</v>
      </c>
      <c r="I2801" s="13"/>
      <c r="J2801" s="13"/>
      <c r="K2801" s="15"/>
      <c r="L2801" s="15"/>
      <c r="M2801" s="16"/>
      <c r="N2801" s="16"/>
      <c r="O2801" s="17"/>
      <c r="P2801" s="17"/>
      <c r="Q2801" s="13"/>
      <c r="R2801" s="13"/>
      <c r="S2801" s="13"/>
      <c r="T2801" s="13">
        <f t="shared" ref="T2801:Y2801" si="3008">IF(ISBLANK(K2801)=TRUE,0,1)</f>
        <v>0</v>
      </c>
      <c r="U2801" s="13">
        <f t="shared" si="3008"/>
        <v>0</v>
      </c>
      <c r="V2801" s="13">
        <f t="shared" si="3008"/>
        <v>0</v>
      </c>
      <c r="W2801" s="13">
        <f t="shared" si="3008"/>
        <v>0</v>
      </c>
      <c r="X2801" s="13">
        <f t="shared" si="3008"/>
        <v>0</v>
      </c>
      <c r="Y2801" s="13">
        <f t="shared" si="3008"/>
        <v>0</v>
      </c>
      <c r="Z2801" s="13" t="str">
        <f t="shared" si="1998"/>
        <v>NA</v>
      </c>
      <c r="AA2801" s="13"/>
      <c r="AB2801" s="13"/>
      <c r="AC2801" s="13"/>
      <c r="AD2801" s="13"/>
      <c r="AE2801" s="13"/>
      <c r="AF2801" s="13"/>
      <c r="AG2801" s="13"/>
      <c r="AH2801" s="13"/>
      <c r="AI2801" s="13"/>
      <c r="AJ2801" s="13"/>
      <c r="AK2801" s="13"/>
      <c r="AL2801" s="13"/>
      <c r="AM2801" s="13"/>
      <c r="AN2801" s="13"/>
      <c r="AO2801" s="13"/>
      <c r="AP2801" s="13"/>
      <c r="AQ2801" s="13"/>
      <c r="AR2801" s="13"/>
      <c r="AS2801" s="13"/>
    </row>
    <row r="2802" ht="14.25" hidden="1" customHeight="1">
      <c r="A2802" s="13" t="s">
        <v>46</v>
      </c>
      <c r="B2802" s="13" t="s">
        <v>55</v>
      </c>
      <c r="C2802" s="13" t="s">
        <v>1802</v>
      </c>
      <c r="D2802" s="13"/>
      <c r="E2802" s="13" t="str">
        <f t="shared" si="3002"/>
        <v>JLP,110-5A-6Z,,NA</v>
      </c>
      <c r="F2802" s="13"/>
      <c r="G2802" s="13" t="s">
        <v>111</v>
      </c>
      <c r="H2802" s="13" t="s">
        <v>75</v>
      </c>
      <c r="I2802" s="13"/>
      <c r="J2802" s="13"/>
      <c r="K2802" s="15"/>
      <c r="L2802" s="15"/>
      <c r="M2802" s="16"/>
      <c r="N2802" s="16"/>
      <c r="O2802" s="17"/>
      <c r="P2802" s="17"/>
      <c r="Q2802" s="13"/>
      <c r="R2802" s="13"/>
      <c r="S2802" s="13"/>
      <c r="T2802" s="13">
        <f t="shared" ref="T2802:Y2802" si="3009">IF(ISBLANK(K2802)=TRUE,0,1)</f>
        <v>0</v>
      </c>
      <c r="U2802" s="13">
        <f t="shared" si="3009"/>
        <v>0</v>
      </c>
      <c r="V2802" s="13">
        <f t="shared" si="3009"/>
        <v>0</v>
      </c>
      <c r="W2802" s="13">
        <f t="shared" si="3009"/>
        <v>0</v>
      </c>
      <c r="X2802" s="13">
        <f t="shared" si="3009"/>
        <v>0</v>
      </c>
      <c r="Y2802" s="13">
        <f t="shared" si="3009"/>
        <v>0</v>
      </c>
      <c r="Z2802" s="13" t="str">
        <f t="shared" si="1998"/>
        <v>NA</v>
      </c>
      <c r="AA2802" s="13"/>
      <c r="AB2802" s="13"/>
      <c r="AC2802" s="13"/>
      <c r="AD2802" s="13"/>
      <c r="AE2802" s="13"/>
      <c r="AF2802" s="13"/>
      <c r="AG2802" s="13"/>
      <c r="AH2802" s="13"/>
      <c r="AI2802" s="13"/>
      <c r="AJ2802" s="13"/>
      <c r="AK2802" s="13"/>
      <c r="AL2802" s="13"/>
      <c r="AM2802" s="13"/>
      <c r="AN2802" s="13"/>
      <c r="AO2802" s="13"/>
      <c r="AP2802" s="13"/>
      <c r="AQ2802" s="13"/>
      <c r="AR2802" s="13"/>
      <c r="AS2802" s="13"/>
    </row>
    <row r="2803" ht="14.25" hidden="1" customHeight="1">
      <c r="A2803" s="13" t="s">
        <v>46</v>
      </c>
      <c r="B2803" s="13" t="s">
        <v>55</v>
      </c>
      <c r="C2803" s="13" t="s">
        <v>1803</v>
      </c>
      <c r="D2803" s="13"/>
      <c r="E2803" s="13" t="str">
        <f t="shared" si="3002"/>
        <v>JLP,110-5A-7A,,NA</v>
      </c>
      <c r="F2803" s="13"/>
      <c r="G2803" s="13" t="s">
        <v>111</v>
      </c>
      <c r="H2803" s="13" t="s">
        <v>75</v>
      </c>
      <c r="I2803" s="13"/>
      <c r="J2803" s="13"/>
      <c r="K2803" s="15"/>
      <c r="L2803" s="15"/>
      <c r="M2803" s="16"/>
      <c r="N2803" s="16"/>
      <c r="O2803" s="17"/>
      <c r="P2803" s="17"/>
      <c r="Q2803" s="13"/>
      <c r="R2803" s="13"/>
      <c r="S2803" s="13"/>
      <c r="T2803" s="13">
        <f t="shared" ref="T2803:Y2803" si="3010">IF(ISBLANK(K2803)=TRUE,0,1)</f>
        <v>0</v>
      </c>
      <c r="U2803" s="13">
        <f t="shared" si="3010"/>
        <v>0</v>
      </c>
      <c r="V2803" s="13">
        <f t="shared" si="3010"/>
        <v>0</v>
      </c>
      <c r="W2803" s="13">
        <f t="shared" si="3010"/>
        <v>0</v>
      </c>
      <c r="X2803" s="13">
        <f t="shared" si="3010"/>
        <v>0</v>
      </c>
      <c r="Y2803" s="13">
        <f t="shared" si="3010"/>
        <v>0</v>
      </c>
      <c r="Z2803" s="13" t="str">
        <f t="shared" si="1998"/>
        <v>NA</v>
      </c>
      <c r="AA2803" s="13"/>
      <c r="AB2803" s="13"/>
      <c r="AC2803" s="13"/>
      <c r="AD2803" s="13"/>
      <c r="AE2803" s="13"/>
      <c r="AF2803" s="13"/>
      <c r="AG2803" s="13"/>
      <c r="AH2803" s="13"/>
      <c r="AI2803" s="13"/>
      <c r="AJ2803" s="13"/>
      <c r="AK2803" s="13"/>
      <c r="AL2803" s="13"/>
      <c r="AM2803" s="13"/>
      <c r="AN2803" s="13"/>
      <c r="AO2803" s="13"/>
      <c r="AP2803" s="13"/>
      <c r="AQ2803" s="13"/>
      <c r="AR2803" s="13"/>
      <c r="AS2803" s="13"/>
    </row>
    <row r="2804" ht="14.25" hidden="1" customHeight="1">
      <c r="A2804" s="13" t="s">
        <v>46</v>
      </c>
      <c r="B2804" s="13" t="s">
        <v>55</v>
      </c>
      <c r="C2804" s="13" t="s">
        <v>1804</v>
      </c>
      <c r="D2804" s="13"/>
      <c r="E2804" s="13" t="str">
        <f t="shared" si="3002"/>
        <v>JLP,110-5A-7B,,NA</v>
      </c>
      <c r="F2804" s="13"/>
      <c r="G2804" s="13" t="s">
        <v>111</v>
      </c>
      <c r="H2804" s="13" t="s">
        <v>75</v>
      </c>
      <c r="I2804" s="13"/>
      <c r="J2804" s="13"/>
      <c r="K2804" s="15"/>
      <c r="L2804" s="15"/>
      <c r="M2804" s="16"/>
      <c r="N2804" s="16"/>
      <c r="O2804" s="17"/>
      <c r="P2804" s="17"/>
      <c r="Q2804" s="13"/>
      <c r="R2804" s="13"/>
      <c r="S2804" s="13"/>
      <c r="T2804" s="13">
        <f t="shared" ref="T2804:Y2804" si="3011">IF(ISBLANK(K2804)=TRUE,0,1)</f>
        <v>0</v>
      </c>
      <c r="U2804" s="13">
        <f t="shared" si="3011"/>
        <v>0</v>
      </c>
      <c r="V2804" s="13">
        <f t="shared" si="3011"/>
        <v>0</v>
      </c>
      <c r="W2804" s="13">
        <f t="shared" si="3011"/>
        <v>0</v>
      </c>
      <c r="X2804" s="13">
        <f t="shared" si="3011"/>
        <v>0</v>
      </c>
      <c r="Y2804" s="13">
        <f t="shared" si="3011"/>
        <v>0</v>
      </c>
      <c r="Z2804" s="13" t="str">
        <f t="shared" si="1998"/>
        <v>NA</v>
      </c>
      <c r="AA2804" s="13"/>
      <c r="AB2804" s="13"/>
      <c r="AC2804" s="13"/>
      <c r="AD2804" s="13"/>
      <c r="AE2804" s="13"/>
      <c r="AF2804" s="13"/>
      <c r="AG2804" s="13"/>
      <c r="AH2804" s="13"/>
      <c r="AI2804" s="13"/>
      <c r="AJ2804" s="13"/>
      <c r="AK2804" s="13"/>
      <c r="AL2804" s="13"/>
      <c r="AM2804" s="13"/>
      <c r="AN2804" s="13"/>
      <c r="AO2804" s="13"/>
      <c r="AP2804" s="13"/>
      <c r="AQ2804" s="13"/>
      <c r="AR2804" s="13"/>
      <c r="AS2804" s="13"/>
    </row>
    <row r="2805" ht="14.25" hidden="1" customHeight="1">
      <c r="A2805" s="13" t="s">
        <v>46</v>
      </c>
      <c r="B2805" s="13" t="s">
        <v>55</v>
      </c>
      <c r="C2805" s="13" t="s">
        <v>1805</v>
      </c>
      <c r="D2805" s="13"/>
      <c r="E2805" s="13" t="str">
        <f t="shared" si="3002"/>
        <v>JLP,110-5A-7C,,NA</v>
      </c>
      <c r="F2805" s="13"/>
      <c r="G2805" s="13" t="s">
        <v>111</v>
      </c>
      <c r="H2805" s="13" t="s">
        <v>75</v>
      </c>
      <c r="I2805" s="13"/>
      <c r="J2805" s="13"/>
      <c r="K2805" s="15"/>
      <c r="L2805" s="15"/>
      <c r="M2805" s="16"/>
      <c r="N2805" s="16"/>
      <c r="O2805" s="17"/>
      <c r="P2805" s="17"/>
      <c r="Q2805" s="13"/>
      <c r="R2805" s="13"/>
      <c r="S2805" s="13"/>
      <c r="T2805" s="13">
        <f t="shared" ref="T2805:Y2805" si="3012">IF(ISBLANK(K2805)=TRUE,0,1)</f>
        <v>0</v>
      </c>
      <c r="U2805" s="13">
        <f t="shared" si="3012"/>
        <v>0</v>
      </c>
      <c r="V2805" s="13">
        <f t="shared" si="3012"/>
        <v>0</v>
      </c>
      <c r="W2805" s="13">
        <f t="shared" si="3012"/>
        <v>0</v>
      </c>
      <c r="X2805" s="13">
        <f t="shared" si="3012"/>
        <v>0</v>
      </c>
      <c r="Y2805" s="13">
        <f t="shared" si="3012"/>
        <v>0</v>
      </c>
      <c r="Z2805" s="13" t="str">
        <f t="shared" si="1998"/>
        <v>NA</v>
      </c>
      <c r="AA2805" s="13"/>
      <c r="AB2805" s="13"/>
      <c r="AC2805" s="13"/>
      <c r="AD2805" s="13"/>
      <c r="AE2805" s="13"/>
      <c r="AF2805" s="13"/>
      <c r="AG2805" s="13"/>
      <c r="AH2805" s="13"/>
      <c r="AI2805" s="13"/>
      <c r="AJ2805" s="13"/>
      <c r="AK2805" s="13"/>
      <c r="AL2805" s="13"/>
      <c r="AM2805" s="13"/>
      <c r="AN2805" s="13"/>
      <c r="AO2805" s="13"/>
      <c r="AP2805" s="13"/>
      <c r="AQ2805" s="13"/>
      <c r="AR2805" s="13"/>
      <c r="AS2805" s="13"/>
    </row>
    <row r="2806" ht="14.25" hidden="1" customHeight="1">
      <c r="A2806" s="13" t="s">
        <v>46</v>
      </c>
      <c r="B2806" s="13" t="s">
        <v>55</v>
      </c>
      <c r="C2806" s="13" t="s">
        <v>1806</v>
      </c>
      <c r="D2806" s="13"/>
      <c r="E2806" s="13" t="str">
        <f t="shared" si="3002"/>
        <v>JLP,110-5A-7D,,NA</v>
      </c>
      <c r="F2806" s="13"/>
      <c r="G2806" s="13" t="s">
        <v>111</v>
      </c>
      <c r="H2806" s="13" t="s">
        <v>75</v>
      </c>
      <c r="I2806" s="13"/>
      <c r="J2806" s="13"/>
      <c r="K2806" s="15"/>
      <c r="L2806" s="15"/>
      <c r="M2806" s="16"/>
      <c r="N2806" s="16"/>
      <c r="O2806" s="17"/>
      <c r="P2806" s="17"/>
      <c r="Q2806" s="13"/>
      <c r="R2806" s="13"/>
      <c r="S2806" s="13"/>
      <c r="T2806" s="13">
        <f t="shared" ref="T2806:Y2806" si="3013">IF(ISBLANK(K2806)=TRUE,0,1)</f>
        <v>0</v>
      </c>
      <c r="U2806" s="13">
        <f t="shared" si="3013"/>
        <v>0</v>
      </c>
      <c r="V2806" s="13">
        <f t="shared" si="3013"/>
        <v>0</v>
      </c>
      <c r="W2806" s="13">
        <f t="shared" si="3013"/>
        <v>0</v>
      </c>
      <c r="X2806" s="13">
        <f t="shared" si="3013"/>
        <v>0</v>
      </c>
      <c r="Y2806" s="13">
        <f t="shared" si="3013"/>
        <v>0</v>
      </c>
      <c r="Z2806" s="13" t="str">
        <f t="shared" si="1998"/>
        <v>NA</v>
      </c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13"/>
      <c r="AK2806" s="13"/>
      <c r="AL2806" s="13"/>
      <c r="AM2806" s="13"/>
      <c r="AN2806" s="13"/>
      <c r="AO2806" s="13"/>
      <c r="AP2806" s="13"/>
      <c r="AQ2806" s="13"/>
      <c r="AR2806" s="13"/>
      <c r="AS2806" s="13"/>
    </row>
    <row r="2807" ht="14.25" hidden="1" customHeight="1">
      <c r="A2807" s="13" t="s">
        <v>46</v>
      </c>
      <c r="B2807" s="13" t="s">
        <v>55</v>
      </c>
      <c r="C2807" s="13" t="s">
        <v>1807</v>
      </c>
      <c r="D2807" s="13"/>
      <c r="E2807" s="13" t="str">
        <f t="shared" si="3002"/>
        <v>JLP,110-5A-7E,,NA</v>
      </c>
      <c r="F2807" s="13"/>
      <c r="G2807" s="13" t="s">
        <v>111</v>
      </c>
      <c r="H2807" s="13" t="s">
        <v>75</v>
      </c>
      <c r="I2807" s="13"/>
      <c r="J2807" s="13"/>
      <c r="K2807" s="15"/>
      <c r="L2807" s="15"/>
      <c r="M2807" s="16"/>
      <c r="N2807" s="16"/>
      <c r="O2807" s="17"/>
      <c r="P2807" s="17"/>
      <c r="Q2807" s="13"/>
      <c r="R2807" s="13"/>
      <c r="S2807" s="13"/>
      <c r="T2807" s="13">
        <f t="shared" ref="T2807:Y2807" si="3014">IF(ISBLANK(K2807)=TRUE,0,1)</f>
        <v>0</v>
      </c>
      <c r="U2807" s="13">
        <f t="shared" si="3014"/>
        <v>0</v>
      </c>
      <c r="V2807" s="13">
        <f t="shared" si="3014"/>
        <v>0</v>
      </c>
      <c r="W2807" s="13">
        <f t="shared" si="3014"/>
        <v>0</v>
      </c>
      <c r="X2807" s="13">
        <f t="shared" si="3014"/>
        <v>0</v>
      </c>
      <c r="Y2807" s="13">
        <f t="shared" si="3014"/>
        <v>0</v>
      </c>
      <c r="Z2807" s="13" t="str">
        <f t="shared" si="1998"/>
        <v>NA</v>
      </c>
      <c r="AA2807" s="13"/>
      <c r="AB2807" s="13"/>
      <c r="AC2807" s="13"/>
      <c r="AD2807" s="13"/>
      <c r="AE2807" s="13"/>
      <c r="AF2807" s="13"/>
      <c r="AG2807" s="13"/>
      <c r="AH2807" s="13"/>
      <c r="AI2807" s="13"/>
      <c r="AJ2807" s="13"/>
      <c r="AK2807" s="13"/>
      <c r="AL2807" s="13"/>
      <c r="AM2807" s="13"/>
      <c r="AN2807" s="13"/>
      <c r="AO2807" s="13"/>
      <c r="AP2807" s="13"/>
      <c r="AQ2807" s="13"/>
      <c r="AR2807" s="13"/>
      <c r="AS2807" s="13"/>
    </row>
    <row r="2808" ht="14.25" hidden="1" customHeight="1">
      <c r="A2808" s="13" t="s">
        <v>46</v>
      </c>
      <c r="B2808" s="13" t="s">
        <v>55</v>
      </c>
      <c r="C2808" s="13" t="s">
        <v>1808</v>
      </c>
      <c r="D2808" s="13"/>
      <c r="E2808" s="13" t="str">
        <f t="shared" si="3002"/>
        <v>JLP,110-5A-7F,,NA</v>
      </c>
      <c r="F2808" s="13"/>
      <c r="G2808" s="13" t="s">
        <v>111</v>
      </c>
      <c r="H2808" s="13" t="s">
        <v>75</v>
      </c>
      <c r="I2808" s="13"/>
      <c r="J2808" s="13"/>
      <c r="K2808" s="15"/>
      <c r="L2808" s="15"/>
      <c r="M2808" s="16"/>
      <c r="N2808" s="16"/>
      <c r="O2808" s="17"/>
      <c r="P2808" s="17"/>
      <c r="Q2808" s="13"/>
      <c r="R2808" s="13"/>
      <c r="S2808" s="13"/>
      <c r="T2808" s="13">
        <f t="shared" ref="T2808:Y2808" si="3015">IF(ISBLANK(K2808)=TRUE,0,1)</f>
        <v>0</v>
      </c>
      <c r="U2808" s="13">
        <f t="shared" si="3015"/>
        <v>0</v>
      </c>
      <c r="V2808" s="13">
        <f t="shared" si="3015"/>
        <v>0</v>
      </c>
      <c r="W2808" s="13">
        <f t="shared" si="3015"/>
        <v>0</v>
      </c>
      <c r="X2808" s="13">
        <f t="shared" si="3015"/>
        <v>0</v>
      </c>
      <c r="Y2808" s="13">
        <f t="shared" si="3015"/>
        <v>0</v>
      </c>
      <c r="Z2808" s="13" t="str">
        <f t="shared" si="1998"/>
        <v>NA</v>
      </c>
      <c r="AA2808" s="13"/>
      <c r="AB2808" s="13"/>
      <c r="AC2808" s="13"/>
      <c r="AD2808" s="13"/>
      <c r="AE2808" s="13"/>
      <c r="AF2808" s="13"/>
      <c r="AG2808" s="13"/>
      <c r="AH2808" s="13"/>
      <c r="AI2808" s="13"/>
      <c r="AJ2808" s="13"/>
      <c r="AK2808" s="13"/>
      <c r="AL2808" s="13"/>
      <c r="AM2808" s="13"/>
      <c r="AN2808" s="13"/>
      <c r="AO2808" s="13"/>
      <c r="AP2808" s="13"/>
      <c r="AQ2808" s="13"/>
      <c r="AR2808" s="13"/>
      <c r="AS2808" s="13"/>
    </row>
    <row r="2809" ht="14.25" hidden="1" customHeight="1">
      <c r="A2809" s="13" t="s">
        <v>36</v>
      </c>
      <c r="B2809" s="13" t="s">
        <v>39</v>
      </c>
      <c r="C2809" s="13" t="s">
        <v>1738</v>
      </c>
      <c r="D2809" s="13" t="s">
        <v>184</v>
      </c>
      <c r="F2809" s="13"/>
      <c r="G2809" s="13" t="s">
        <v>111</v>
      </c>
      <c r="H2809" s="13" t="s">
        <v>75</v>
      </c>
      <c r="I2809" s="13"/>
      <c r="J2809" s="13"/>
      <c r="K2809" s="15">
        <v>0.0</v>
      </c>
      <c r="L2809" s="15">
        <v>0.0</v>
      </c>
      <c r="M2809" s="16"/>
      <c r="N2809" s="16"/>
      <c r="O2809" s="17"/>
      <c r="P2809" s="17"/>
      <c r="Q2809" s="13">
        <f>K2808+L2808+M2808+N2808+O2808+P2808/6</f>
        <v>0</v>
      </c>
      <c r="R2809" s="13"/>
      <c r="S2809" s="13"/>
      <c r="T2809" s="13">
        <f t="shared" ref="T2809:Y2809" si="3016">IF(ISBLANK(K2809)=TRUE,0,1)</f>
        <v>1</v>
      </c>
      <c r="U2809" s="13">
        <f t="shared" si="3016"/>
        <v>1</v>
      </c>
      <c r="V2809" s="13">
        <f t="shared" si="3016"/>
        <v>0</v>
      </c>
      <c r="W2809" s="13">
        <f t="shared" si="3016"/>
        <v>0</v>
      </c>
      <c r="X2809" s="13">
        <f t="shared" si="3016"/>
        <v>0</v>
      </c>
      <c r="Y2809" s="13">
        <f t="shared" si="3016"/>
        <v>0</v>
      </c>
      <c r="Z2809" s="13">
        <f t="shared" si="1998"/>
        <v>0</v>
      </c>
      <c r="AA2809" s="13"/>
      <c r="AB2809" s="13"/>
      <c r="AC2809" s="13"/>
      <c r="AD2809" s="13"/>
      <c r="AE2809" s="13"/>
      <c r="AF2809" s="13"/>
      <c r="AG2809" s="13"/>
      <c r="AH2809" s="13"/>
      <c r="AI2809" s="13"/>
      <c r="AJ2809" s="13"/>
      <c r="AK2809" s="13"/>
      <c r="AL2809" s="13"/>
      <c r="AM2809" s="13"/>
      <c r="AN2809" s="13"/>
      <c r="AO2809" s="13"/>
      <c r="AP2809" s="13"/>
      <c r="AQ2809" s="13"/>
      <c r="AR2809" s="13"/>
      <c r="AS2809" s="13"/>
    </row>
    <row r="2810" ht="14.25" hidden="1" customHeight="1">
      <c r="A2810" s="13" t="s">
        <v>46</v>
      </c>
      <c r="B2810" s="13" t="s">
        <v>55</v>
      </c>
      <c r="C2810" s="13" t="s">
        <v>1809</v>
      </c>
      <c r="D2810" s="13"/>
      <c r="E2810" s="13" t="str">
        <f t="shared" ref="E2810:E2812" si="3018">CONCATENATE(B2810,",",C2810,",",D2810,",",Z2810)</f>
        <v>JLP,110-5A-7G,,NA</v>
      </c>
      <c r="F2810" s="13"/>
      <c r="G2810" s="13" t="s">
        <v>111</v>
      </c>
      <c r="H2810" s="13" t="s">
        <v>75</v>
      </c>
      <c r="I2810" s="13"/>
      <c r="J2810" s="13"/>
      <c r="K2810" s="15"/>
      <c r="L2810" s="15"/>
      <c r="M2810" s="16"/>
      <c r="N2810" s="16"/>
      <c r="O2810" s="17"/>
      <c r="P2810" s="17"/>
      <c r="Q2810" s="13"/>
      <c r="R2810" s="13"/>
      <c r="S2810" s="13"/>
      <c r="T2810" s="13">
        <f t="shared" ref="T2810:Y2810" si="3017">IF(ISBLANK(K2810)=TRUE,0,1)</f>
        <v>0</v>
      </c>
      <c r="U2810" s="13">
        <f t="shared" si="3017"/>
        <v>0</v>
      </c>
      <c r="V2810" s="13">
        <f t="shared" si="3017"/>
        <v>0</v>
      </c>
      <c r="W2810" s="13">
        <f t="shared" si="3017"/>
        <v>0</v>
      </c>
      <c r="X2810" s="13">
        <f t="shared" si="3017"/>
        <v>0</v>
      </c>
      <c r="Y2810" s="13">
        <f t="shared" si="3017"/>
        <v>0</v>
      </c>
      <c r="Z2810" s="13" t="str">
        <f t="shared" si="1998"/>
        <v>NA</v>
      </c>
      <c r="AA2810" s="13"/>
      <c r="AB2810" s="13"/>
      <c r="AC2810" s="13"/>
      <c r="AD2810" s="13"/>
      <c r="AE2810" s="13"/>
      <c r="AF2810" s="13"/>
      <c r="AG2810" s="13"/>
      <c r="AH2810" s="13"/>
      <c r="AI2810" s="13"/>
      <c r="AJ2810" s="13"/>
      <c r="AK2810" s="13"/>
      <c r="AL2810" s="13"/>
      <c r="AM2810" s="13"/>
      <c r="AN2810" s="13"/>
      <c r="AO2810" s="13"/>
      <c r="AP2810" s="13"/>
      <c r="AQ2810" s="13"/>
      <c r="AR2810" s="13"/>
      <c r="AS2810" s="13"/>
    </row>
    <row r="2811" ht="14.25" hidden="1" customHeight="1">
      <c r="A2811" s="13" t="s">
        <v>46</v>
      </c>
      <c r="B2811" s="13" t="s">
        <v>55</v>
      </c>
      <c r="C2811" s="13" t="s">
        <v>1810</v>
      </c>
      <c r="D2811" s="13"/>
      <c r="E2811" s="13" t="str">
        <f t="shared" si="3018"/>
        <v>JLP,110-5A-7H,,NA</v>
      </c>
      <c r="F2811" s="13"/>
      <c r="G2811" s="13" t="s">
        <v>111</v>
      </c>
      <c r="H2811" s="13" t="s">
        <v>75</v>
      </c>
      <c r="I2811" s="13"/>
      <c r="J2811" s="13"/>
      <c r="K2811" s="15"/>
      <c r="L2811" s="15"/>
      <c r="M2811" s="16"/>
      <c r="N2811" s="16"/>
      <c r="O2811" s="17"/>
      <c r="P2811" s="17"/>
      <c r="Q2811" s="13"/>
      <c r="R2811" s="13"/>
      <c r="S2811" s="13"/>
      <c r="T2811" s="13">
        <f t="shared" ref="T2811:Y2811" si="3019">IF(ISBLANK(K2811)=TRUE,0,1)</f>
        <v>0</v>
      </c>
      <c r="U2811" s="13">
        <f t="shared" si="3019"/>
        <v>0</v>
      </c>
      <c r="V2811" s="13">
        <f t="shared" si="3019"/>
        <v>0</v>
      </c>
      <c r="W2811" s="13">
        <f t="shared" si="3019"/>
        <v>0</v>
      </c>
      <c r="X2811" s="13">
        <f t="shared" si="3019"/>
        <v>0</v>
      </c>
      <c r="Y2811" s="13">
        <f t="shared" si="3019"/>
        <v>0</v>
      </c>
      <c r="Z2811" s="13" t="str">
        <f t="shared" si="1998"/>
        <v>NA</v>
      </c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13"/>
      <c r="AK2811" s="13"/>
      <c r="AL2811" s="13"/>
      <c r="AM2811" s="13"/>
      <c r="AN2811" s="13"/>
      <c r="AO2811" s="13"/>
      <c r="AP2811" s="13"/>
      <c r="AQ2811" s="13"/>
      <c r="AR2811" s="13"/>
      <c r="AS2811" s="13"/>
    </row>
    <row r="2812" ht="14.25" hidden="1" customHeight="1">
      <c r="A2812" s="13" t="s">
        <v>46</v>
      </c>
      <c r="B2812" s="13" t="s">
        <v>55</v>
      </c>
      <c r="C2812" s="13" t="s">
        <v>1811</v>
      </c>
      <c r="D2812" s="13"/>
      <c r="E2812" s="13" t="str">
        <f t="shared" si="3018"/>
        <v>JLP,110-5A-7I,,NA</v>
      </c>
      <c r="F2812" s="13"/>
      <c r="G2812" s="13" t="s">
        <v>111</v>
      </c>
      <c r="H2812" s="13" t="s">
        <v>75</v>
      </c>
      <c r="I2812" s="13"/>
      <c r="J2812" s="13"/>
      <c r="K2812" s="15"/>
      <c r="L2812" s="15"/>
      <c r="M2812" s="16"/>
      <c r="N2812" s="16"/>
      <c r="O2812" s="17"/>
      <c r="P2812" s="17"/>
      <c r="Q2812" s="13"/>
      <c r="R2812" s="13"/>
      <c r="S2812" s="13"/>
      <c r="T2812" s="13">
        <f t="shared" ref="T2812:Y2812" si="3020">IF(ISBLANK(K2812)=TRUE,0,1)</f>
        <v>0</v>
      </c>
      <c r="U2812" s="13">
        <f t="shared" si="3020"/>
        <v>0</v>
      </c>
      <c r="V2812" s="13">
        <f t="shared" si="3020"/>
        <v>0</v>
      </c>
      <c r="W2812" s="13">
        <f t="shared" si="3020"/>
        <v>0</v>
      </c>
      <c r="X2812" s="13">
        <f t="shared" si="3020"/>
        <v>0</v>
      </c>
      <c r="Y2812" s="13">
        <f t="shared" si="3020"/>
        <v>0</v>
      </c>
      <c r="Z2812" s="13" t="str">
        <f t="shared" si="1998"/>
        <v>NA</v>
      </c>
      <c r="AA2812" s="13"/>
      <c r="AB2812" s="13"/>
      <c r="AC2812" s="13"/>
      <c r="AD2812" s="13"/>
      <c r="AE2812" s="13"/>
      <c r="AF2812" s="13"/>
      <c r="AG2812" s="13"/>
      <c r="AH2812" s="13"/>
      <c r="AI2812" s="13"/>
      <c r="AJ2812" s="13"/>
      <c r="AK2812" s="13"/>
      <c r="AL2812" s="13"/>
      <c r="AM2812" s="13"/>
      <c r="AN2812" s="13"/>
      <c r="AO2812" s="13"/>
      <c r="AP2812" s="13"/>
      <c r="AQ2812" s="13"/>
      <c r="AR2812" s="13"/>
      <c r="AS2812" s="13"/>
    </row>
    <row r="2813" ht="14.25" customHeight="1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5"/>
      <c r="L2813" s="15"/>
      <c r="M2813" s="16"/>
      <c r="N2813" s="16"/>
      <c r="O2813" s="17"/>
      <c r="P2813" s="17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/>
      <c r="AH2813" s="13"/>
      <c r="AI2813" s="13"/>
      <c r="AJ2813" s="13"/>
      <c r="AK2813" s="13"/>
      <c r="AL2813" s="13"/>
      <c r="AM2813" s="13"/>
      <c r="AN2813" s="13"/>
      <c r="AO2813" s="13"/>
      <c r="AP2813" s="13"/>
      <c r="AQ2813" s="13"/>
      <c r="AR2813" s="13"/>
      <c r="AS2813" s="13"/>
    </row>
    <row r="2814" ht="14.25" customHeight="1">
      <c r="A2814" s="13" t="s">
        <v>46</v>
      </c>
      <c r="B2814" s="13" t="s">
        <v>55</v>
      </c>
      <c r="C2814" s="13" t="s">
        <v>1812</v>
      </c>
      <c r="D2814" s="13"/>
      <c r="E2814" s="13"/>
      <c r="F2814" s="13"/>
      <c r="G2814" s="13" t="s">
        <v>111</v>
      </c>
      <c r="H2814" s="13" t="s">
        <v>75</v>
      </c>
      <c r="I2814" s="13"/>
      <c r="J2814" s="13"/>
      <c r="K2814" s="15"/>
      <c r="L2814" s="15"/>
      <c r="M2814" s="16"/>
      <c r="N2814" s="16"/>
      <c r="O2814" s="17">
        <v>0.0</v>
      </c>
      <c r="P2814" s="17">
        <v>0.0</v>
      </c>
      <c r="Q2814" s="13"/>
      <c r="R2814" s="13"/>
      <c r="S2814" s="13"/>
      <c r="T2814" s="13">
        <f t="shared" ref="T2814:Y2814" si="3021">IF(ISBLANK(K2814)=TRUE,0,1)</f>
        <v>0</v>
      </c>
      <c r="U2814" s="13">
        <f t="shared" si="3021"/>
        <v>0</v>
      </c>
      <c r="V2814" s="13">
        <f t="shared" si="3021"/>
        <v>0</v>
      </c>
      <c r="W2814" s="13">
        <f t="shared" si="3021"/>
        <v>0</v>
      </c>
      <c r="X2814" s="13">
        <f t="shared" si="3021"/>
        <v>1</v>
      </c>
      <c r="Y2814" s="13">
        <f t="shared" si="3021"/>
        <v>1</v>
      </c>
      <c r="Z2814" s="13">
        <f t="shared" ref="Z2814:Z4210" si="3023">IF(SUM(T2814:Y2814)=0,"NA",AVERAGE(K2814:P2814))</f>
        <v>0</v>
      </c>
      <c r="AA2814" s="13"/>
      <c r="AB2814" s="13"/>
      <c r="AC2814" s="13"/>
      <c r="AD2814" s="13"/>
      <c r="AE2814" s="13"/>
      <c r="AF2814" s="13"/>
      <c r="AG2814" s="13"/>
      <c r="AH2814" s="13"/>
      <c r="AI2814" s="13"/>
      <c r="AJ2814" s="13"/>
      <c r="AK2814" s="13"/>
      <c r="AL2814" s="13"/>
      <c r="AM2814" s="13"/>
      <c r="AN2814" s="13"/>
      <c r="AO2814" s="13"/>
      <c r="AP2814" s="13"/>
      <c r="AQ2814" s="13"/>
      <c r="AR2814" s="13"/>
      <c r="AS2814" s="13"/>
    </row>
    <row r="2815" ht="14.25" customHeight="1">
      <c r="A2815" s="13" t="s">
        <v>46</v>
      </c>
      <c r="B2815" s="13" t="s">
        <v>55</v>
      </c>
      <c r="C2815" s="13" t="s">
        <v>1813</v>
      </c>
      <c r="D2815" s="13"/>
      <c r="E2815" s="13"/>
      <c r="F2815" s="13"/>
      <c r="G2815" s="13" t="s">
        <v>111</v>
      </c>
      <c r="H2815" s="13" t="s">
        <v>75</v>
      </c>
      <c r="I2815" s="13"/>
      <c r="J2815" s="13"/>
      <c r="K2815" s="15"/>
      <c r="L2815" s="15"/>
      <c r="M2815" s="16"/>
      <c r="N2815" s="16"/>
      <c r="O2815" s="17">
        <v>0.0</v>
      </c>
      <c r="P2815" s="17">
        <v>0.0</v>
      </c>
      <c r="Q2815" s="13"/>
      <c r="R2815" s="13"/>
      <c r="S2815" s="13"/>
      <c r="T2815" s="13">
        <f t="shared" ref="T2815:Y2815" si="3022">IF(ISBLANK(K2815)=TRUE,0,1)</f>
        <v>0</v>
      </c>
      <c r="U2815" s="13">
        <f t="shared" si="3022"/>
        <v>0</v>
      </c>
      <c r="V2815" s="13">
        <f t="shared" si="3022"/>
        <v>0</v>
      </c>
      <c r="W2815" s="13">
        <f t="shared" si="3022"/>
        <v>0</v>
      </c>
      <c r="X2815" s="13">
        <f t="shared" si="3022"/>
        <v>1</v>
      </c>
      <c r="Y2815" s="13">
        <f t="shared" si="3022"/>
        <v>1</v>
      </c>
      <c r="Z2815" s="13">
        <f t="shared" si="3023"/>
        <v>0</v>
      </c>
      <c r="AA2815" s="13"/>
      <c r="AB2815" s="13"/>
      <c r="AC2815" s="13"/>
      <c r="AD2815" s="13"/>
      <c r="AE2815" s="13"/>
      <c r="AF2815" s="13"/>
      <c r="AG2815" s="13"/>
      <c r="AH2815" s="13"/>
      <c r="AI2815" s="13"/>
      <c r="AJ2815" s="13"/>
      <c r="AK2815" s="13"/>
      <c r="AL2815" s="13"/>
      <c r="AM2815" s="13"/>
      <c r="AN2815" s="13"/>
      <c r="AO2815" s="13"/>
      <c r="AP2815" s="13"/>
      <c r="AQ2815" s="13"/>
      <c r="AR2815" s="13"/>
      <c r="AS2815" s="13"/>
    </row>
    <row r="2816" ht="14.25" customHeight="1">
      <c r="A2816" s="13" t="s">
        <v>46</v>
      </c>
      <c r="B2816" s="13" t="s">
        <v>55</v>
      </c>
      <c r="C2816" s="13" t="s">
        <v>1814</v>
      </c>
      <c r="D2816" s="13"/>
      <c r="E2816" s="13"/>
      <c r="F2816" s="13"/>
      <c r="G2816" s="13" t="s">
        <v>111</v>
      </c>
      <c r="H2816" s="13" t="s">
        <v>75</v>
      </c>
      <c r="I2816" s="13"/>
      <c r="J2816" s="13"/>
      <c r="K2816" s="15"/>
      <c r="L2816" s="15"/>
      <c r="M2816" s="16"/>
      <c r="N2816" s="16"/>
      <c r="O2816" s="17">
        <v>0.0</v>
      </c>
      <c r="P2816" s="17">
        <v>0.0</v>
      </c>
      <c r="Q2816" s="13"/>
      <c r="R2816" s="13"/>
      <c r="S2816" s="13"/>
      <c r="T2816" s="13">
        <f t="shared" ref="T2816:Y2816" si="3024">IF(ISBLANK(K2816)=TRUE,0,1)</f>
        <v>0</v>
      </c>
      <c r="U2816" s="13">
        <f t="shared" si="3024"/>
        <v>0</v>
      </c>
      <c r="V2816" s="13">
        <f t="shared" si="3024"/>
        <v>0</v>
      </c>
      <c r="W2816" s="13">
        <f t="shared" si="3024"/>
        <v>0</v>
      </c>
      <c r="X2816" s="13">
        <f t="shared" si="3024"/>
        <v>1</v>
      </c>
      <c r="Y2816" s="13">
        <f t="shared" si="3024"/>
        <v>1</v>
      </c>
      <c r="Z2816" s="13">
        <f t="shared" si="3023"/>
        <v>0</v>
      </c>
      <c r="AA2816" s="13"/>
      <c r="AB2816" s="13"/>
      <c r="AC2816" s="13"/>
      <c r="AD2816" s="13"/>
      <c r="AE2816" s="13"/>
      <c r="AF2816" s="13"/>
      <c r="AG2816" s="13"/>
      <c r="AH2816" s="13"/>
      <c r="AI2816" s="13"/>
      <c r="AJ2816" s="13"/>
      <c r="AK2816" s="13"/>
      <c r="AL2816" s="13"/>
      <c r="AM2816" s="13"/>
      <c r="AN2816" s="13"/>
      <c r="AO2816" s="13"/>
      <c r="AP2816" s="13"/>
      <c r="AQ2816" s="13"/>
      <c r="AR2816" s="13"/>
      <c r="AS2816" s="13"/>
    </row>
    <row r="2817" ht="14.25" customHeight="1">
      <c r="A2817" s="13" t="s">
        <v>46</v>
      </c>
      <c r="B2817" s="13" t="s">
        <v>55</v>
      </c>
      <c r="C2817" s="13" t="s">
        <v>1815</v>
      </c>
      <c r="D2817" s="13"/>
      <c r="E2817" s="13"/>
      <c r="F2817" s="13"/>
      <c r="G2817" s="13" t="s">
        <v>111</v>
      </c>
      <c r="H2817" s="13" t="s">
        <v>75</v>
      </c>
      <c r="I2817" s="13"/>
      <c r="J2817" s="13"/>
      <c r="K2817" s="15"/>
      <c r="L2817" s="15"/>
      <c r="M2817" s="16"/>
      <c r="N2817" s="16"/>
      <c r="O2817" s="17">
        <v>0.0</v>
      </c>
      <c r="P2817" s="17">
        <v>0.0</v>
      </c>
      <c r="Q2817" s="13"/>
      <c r="R2817" s="13"/>
      <c r="S2817" s="13"/>
      <c r="T2817" s="13">
        <f t="shared" ref="T2817:Y2817" si="3025">IF(ISBLANK(K2817)=TRUE,0,1)</f>
        <v>0</v>
      </c>
      <c r="U2817" s="13">
        <f t="shared" si="3025"/>
        <v>0</v>
      </c>
      <c r="V2817" s="13">
        <f t="shared" si="3025"/>
        <v>0</v>
      </c>
      <c r="W2817" s="13">
        <f t="shared" si="3025"/>
        <v>0</v>
      </c>
      <c r="X2817" s="13">
        <f t="shared" si="3025"/>
        <v>1</v>
      </c>
      <c r="Y2817" s="13">
        <f t="shared" si="3025"/>
        <v>1</v>
      </c>
      <c r="Z2817" s="13">
        <f t="shared" si="3023"/>
        <v>0</v>
      </c>
      <c r="AA2817" s="13"/>
      <c r="AB2817" s="13"/>
      <c r="AC2817" s="13"/>
      <c r="AD2817" s="13"/>
      <c r="AE2817" s="13"/>
      <c r="AF2817" s="13"/>
      <c r="AG2817" s="13"/>
      <c r="AH2817" s="13"/>
      <c r="AI2817" s="13"/>
      <c r="AJ2817" s="13"/>
      <c r="AK2817" s="13"/>
      <c r="AL2817" s="13"/>
      <c r="AM2817" s="13"/>
      <c r="AN2817" s="13"/>
      <c r="AO2817" s="13"/>
      <c r="AP2817" s="13"/>
      <c r="AQ2817" s="13"/>
      <c r="AR2817" s="13"/>
      <c r="AS2817" s="13"/>
    </row>
    <row r="2818" ht="14.25" customHeight="1">
      <c r="A2818" s="13" t="s">
        <v>46</v>
      </c>
      <c r="B2818" s="13" t="s">
        <v>55</v>
      </c>
      <c r="C2818" s="13" t="s">
        <v>1816</v>
      </c>
      <c r="D2818" s="13"/>
      <c r="E2818" s="13"/>
      <c r="F2818" s="13"/>
      <c r="G2818" s="13" t="s">
        <v>111</v>
      </c>
      <c r="H2818" s="13" t="s">
        <v>75</v>
      </c>
      <c r="I2818" s="13"/>
      <c r="J2818" s="13"/>
      <c r="K2818" s="15"/>
      <c r="L2818" s="15"/>
      <c r="M2818" s="16"/>
      <c r="N2818" s="16"/>
      <c r="O2818" s="17">
        <v>0.0</v>
      </c>
      <c r="P2818" s="17">
        <v>0.0</v>
      </c>
      <c r="Q2818" s="13"/>
      <c r="R2818" s="13"/>
      <c r="S2818" s="13"/>
      <c r="T2818" s="13">
        <f t="shared" ref="T2818:Y2818" si="3026">IF(ISBLANK(K2818)=TRUE,0,1)</f>
        <v>0</v>
      </c>
      <c r="U2818" s="13">
        <f t="shared" si="3026"/>
        <v>0</v>
      </c>
      <c r="V2818" s="13">
        <f t="shared" si="3026"/>
        <v>0</v>
      </c>
      <c r="W2818" s="13">
        <f t="shared" si="3026"/>
        <v>0</v>
      </c>
      <c r="X2818" s="13">
        <f t="shared" si="3026"/>
        <v>1</v>
      </c>
      <c r="Y2818" s="13">
        <f t="shared" si="3026"/>
        <v>1</v>
      </c>
      <c r="Z2818" s="13">
        <f t="shared" si="3023"/>
        <v>0</v>
      </c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13"/>
      <c r="AK2818" s="13"/>
      <c r="AL2818" s="13"/>
      <c r="AM2818" s="13"/>
      <c r="AN2818" s="13"/>
      <c r="AO2818" s="13"/>
      <c r="AP2818" s="13"/>
      <c r="AQ2818" s="13"/>
      <c r="AR2818" s="13"/>
      <c r="AS2818" s="13"/>
    </row>
    <row r="2819" ht="14.25" customHeight="1">
      <c r="A2819" s="13" t="s">
        <v>46</v>
      </c>
      <c r="B2819" s="13" t="s">
        <v>55</v>
      </c>
      <c r="C2819" s="13" t="s">
        <v>1817</v>
      </c>
      <c r="D2819" s="13"/>
      <c r="E2819" s="13"/>
      <c r="F2819" s="13"/>
      <c r="G2819" s="13" t="s">
        <v>111</v>
      </c>
      <c r="H2819" s="13" t="s">
        <v>75</v>
      </c>
      <c r="I2819" s="13"/>
      <c r="J2819" s="13"/>
      <c r="K2819" s="15"/>
      <c r="L2819" s="15"/>
      <c r="M2819" s="16"/>
      <c r="N2819" s="16"/>
      <c r="O2819" s="17">
        <v>0.0</v>
      </c>
      <c r="P2819" s="17">
        <v>0.0</v>
      </c>
      <c r="Q2819" s="13"/>
      <c r="R2819" s="13"/>
      <c r="S2819" s="13"/>
      <c r="T2819" s="13">
        <f t="shared" ref="T2819:Y2819" si="3027">IF(ISBLANK(K2819)=TRUE,0,1)</f>
        <v>0</v>
      </c>
      <c r="U2819" s="13">
        <f t="shared" si="3027"/>
        <v>0</v>
      </c>
      <c r="V2819" s="13">
        <f t="shared" si="3027"/>
        <v>0</v>
      </c>
      <c r="W2819" s="13">
        <f t="shared" si="3027"/>
        <v>0</v>
      </c>
      <c r="X2819" s="13">
        <f t="shared" si="3027"/>
        <v>1</v>
      </c>
      <c r="Y2819" s="13">
        <f t="shared" si="3027"/>
        <v>1</v>
      </c>
      <c r="Z2819" s="13">
        <f t="shared" si="3023"/>
        <v>0</v>
      </c>
      <c r="AA2819" s="13"/>
      <c r="AB2819" s="13"/>
      <c r="AC2819" s="13"/>
      <c r="AD2819" s="13"/>
      <c r="AE2819" s="13"/>
      <c r="AF2819" s="13"/>
      <c r="AG2819" s="13"/>
      <c r="AH2819" s="13"/>
      <c r="AI2819" s="13"/>
      <c r="AJ2819" s="13"/>
      <c r="AK2819" s="13"/>
      <c r="AL2819" s="13"/>
      <c r="AM2819" s="13"/>
      <c r="AN2819" s="13"/>
      <c r="AO2819" s="13"/>
      <c r="AP2819" s="13"/>
      <c r="AQ2819" s="13"/>
      <c r="AR2819" s="13"/>
      <c r="AS2819" s="13"/>
    </row>
    <row r="2820" ht="14.25" customHeight="1">
      <c r="A2820" s="13" t="s">
        <v>46</v>
      </c>
      <c r="B2820" s="13" t="s">
        <v>55</v>
      </c>
      <c r="C2820" s="13" t="s">
        <v>1818</v>
      </c>
      <c r="D2820" s="13"/>
      <c r="E2820" s="13"/>
      <c r="F2820" s="13"/>
      <c r="G2820" s="13" t="s">
        <v>111</v>
      </c>
      <c r="H2820" s="13" t="s">
        <v>75</v>
      </c>
      <c r="I2820" s="13"/>
      <c r="J2820" s="13"/>
      <c r="K2820" s="15"/>
      <c r="L2820" s="15"/>
      <c r="M2820" s="16"/>
      <c r="N2820" s="16"/>
      <c r="O2820" s="17">
        <v>0.0</v>
      </c>
      <c r="P2820" s="17">
        <v>0.0</v>
      </c>
      <c r="Q2820" s="13"/>
      <c r="R2820" s="13"/>
      <c r="S2820" s="13"/>
      <c r="T2820" s="13">
        <f t="shared" ref="T2820:Y2820" si="3028">IF(ISBLANK(K2820)=TRUE,0,1)</f>
        <v>0</v>
      </c>
      <c r="U2820" s="13">
        <f t="shared" si="3028"/>
        <v>0</v>
      </c>
      <c r="V2820" s="13">
        <f t="shared" si="3028"/>
        <v>0</v>
      </c>
      <c r="W2820" s="13">
        <f t="shared" si="3028"/>
        <v>0</v>
      </c>
      <c r="X2820" s="13">
        <f t="shared" si="3028"/>
        <v>1</v>
      </c>
      <c r="Y2820" s="13">
        <f t="shared" si="3028"/>
        <v>1</v>
      </c>
      <c r="Z2820" s="13">
        <f t="shared" si="3023"/>
        <v>0</v>
      </c>
      <c r="AA2820" s="13"/>
      <c r="AB2820" s="13"/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  <c r="AO2820" s="13"/>
      <c r="AP2820" s="13"/>
      <c r="AQ2820" s="13"/>
      <c r="AR2820" s="13"/>
      <c r="AS2820" s="13"/>
    </row>
    <row r="2821" ht="14.25" customHeight="1">
      <c r="A2821" s="13" t="s">
        <v>46</v>
      </c>
      <c r="B2821" s="13" t="s">
        <v>55</v>
      </c>
      <c r="C2821" s="13" t="s">
        <v>1819</v>
      </c>
      <c r="D2821" s="13"/>
      <c r="E2821" s="13"/>
      <c r="F2821" s="13"/>
      <c r="G2821" s="13" t="s">
        <v>111</v>
      </c>
      <c r="H2821" s="13" t="s">
        <v>75</v>
      </c>
      <c r="I2821" s="13"/>
      <c r="J2821" s="13"/>
      <c r="K2821" s="15"/>
      <c r="L2821" s="15"/>
      <c r="M2821" s="16"/>
      <c r="N2821" s="16"/>
      <c r="O2821" s="17">
        <v>0.0</v>
      </c>
      <c r="P2821" s="17">
        <v>0.0</v>
      </c>
      <c r="Q2821" s="13"/>
      <c r="R2821" s="13"/>
      <c r="S2821" s="13"/>
      <c r="T2821" s="13">
        <f t="shared" ref="T2821:Y2821" si="3029">IF(ISBLANK(K2821)=TRUE,0,1)</f>
        <v>0</v>
      </c>
      <c r="U2821" s="13">
        <f t="shared" si="3029"/>
        <v>0</v>
      </c>
      <c r="V2821" s="13">
        <f t="shared" si="3029"/>
        <v>0</v>
      </c>
      <c r="W2821" s="13">
        <f t="shared" si="3029"/>
        <v>0</v>
      </c>
      <c r="X2821" s="13">
        <f t="shared" si="3029"/>
        <v>1</v>
      </c>
      <c r="Y2821" s="13">
        <f t="shared" si="3029"/>
        <v>1</v>
      </c>
      <c r="Z2821" s="13">
        <f t="shared" si="3023"/>
        <v>0</v>
      </c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</row>
    <row r="2822" ht="14.25" customHeight="1">
      <c r="A2822" s="13" t="s">
        <v>46</v>
      </c>
      <c r="B2822" s="13" t="s">
        <v>55</v>
      </c>
      <c r="C2822" s="13" t="s">
        <v>1820</v>
      </c>
      <c r="D2822" s="13"/>
      <c r="E2822" s="13"/>
      <c r="F2822" s="13"/>
      <c r="G2822" s="13" t="s">
        <v>111</v>
      </c>
      <c r="H2822" s="13" t="s">
        <v>75</v>
      </c>
      <c r="I2822" s="13"/>
      <c r="J2822" s="13"/>
      <c r="K2822" s="15"/>
      <c r="L2822" s="15"/>
      <c r="M2822" s="16"/>
      <c r="N2822" s="16"/>
      <c r="O2822" s="17">
        <v>0.0</v>
      </c>
      <c r="P2822" s="17">
        <v>0.0</v>
      </c>
      <c r="Q2822" s="13"/>
      <c r="R2822" s="13"/>
      <c r="S2822" s="13"/>
      <c r="T2822" s="13">
        <f t="shared" ref="T2822:Y2822" si="3030">IF(ISBLANK(K2822)=TRUE,0,1)</f>
        <v>0</v>
      </c>
      <c r="U2822" s="13">
        <f t="shared" si="3030"/>
        <v>0</v>
      </c>
      <c r="V2822" s="13">
        <f t="shared" si="3030"/>
        <v>0</v>
      </c>
      <c r="W2822" s="13">
        <f t="shared" si="3030"/>
        <v>0</v>
      </c>
      <c r="X2822" s="13">
        <f t="shared" si="3030"/>
        <v>1</v>
      </c>
      <c r="Y2822" s="13">
        <f t="shared" si="3030"/>
        <v>1</v>
      </c>
      <c r="Z2822" s="13">
        <f t="shared" si="3023"/>
        <v>0</v>
      </c>
      <c r="AA2822" s="13"/>
      <c r="AB2822" s="13"/>
      <c r="AC2822" s="13"/>
      <c r="AD2822" s="13"/>
      <c r="AE2822" s="13"/>
      <c r="AF2822" s="13"/>
      <c r="AG2822" s="13"/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</row>
    <row r="2823" ht="14.25" customHeight="1">
      <c r="A2823" s="13" t="s">
        <v>46</v>
      </c>
      <c r="B2823" s="13" t="s">
        <v>55</v>
      </c>
      <c r="C2823" s="13" t="s">
        <v>1821</v>
      </c>
      <c r="D2823" s="13"/>
      <c r="E2823" s="13"/>
      <c r="F2823" s="13"/>
      <c r="G2823" s="13" t="s">
        <v>111</v>
      </c>
      <c r="H2823" s="13" t="s">
        <v>75</v>
      </c>
      <c r="I2823" s="13"/>
      <c r="J2823" s="13"/>
      <c r="K2823" s="15"/>
      <c r="L2823" s="15"/>
      <c r="M2823" s="16"/>
      <c r="N2823" s="16"/>
      <c r="O2823" s="17">
        <v>0.0</v>
      </c>
      <c r="P2823" s="17">
        <v>0.0</v>
      </c>
      <c r="Q2823" s="13"/>
      <c r="R2823" s="13"/>
      <c r="S2823" s="13"/>
      <c r="T2823" s="13">
        <f t="shared" ref="T2823:Y2823" si="3031">IF(ISBLANK(K2823)=TRUE,0,1)</f>
        <v>0</v>
      </c>
      <c r="U2823" s="13">
        <f t="shared" si="3031"/>
        <v>0</v>
      </c>
      <c r="V2823" s="13">
        <f t="shared" si="3031"/>
        <v>0</v>
      </c>
      <c r="W2823" s="13">
        <f t="shared" si="3031"/>
        <v>0</v>
      </c>
      <c r="X2823" s="13">
        <f t="shared" si="3031"/>
        <v>1</v>
      </c>
      <c r="Y2823" s="13">
        <f t="shared" si="3031"/>
        <v>1</v>
      </c>
      <c r="Z2823" s="13">
        <f t="shared" si="3023"/>
        <v>0</v>
      </c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3"/>
      <c r="AL2823" s="13"/>
      <c r="AM2823" s="13"/>
      <c r="AN2823" s="13"/>
      <c r="AO2823" s="13"/>
      <c r="AP2823" s="13"/>
      <c r="AQ2823" s="13"/>
      <c r="AR2823" s="13"/>
      <c r="AS2823" s="13"/>
    </row>
    <row r="2824" ht="14.25" customHeight="1">
      <c r="A2824" s="13" t="s">
        <v>46</v>
      </c>
      <c r="B2824" s="13" t="s">
        <v>55</v>
      </c>
      <c r="C2824" s="13" t="s">
        <v>1822</v>
      </c>
      <c r="D2824" s="13"/>
      <c r="E2824" s="13"/>
      <c r="F2824" s="13"/>
      <c r="G2824" s="13" t="s">
        <v>111</v>
      </c>
      <c r="H2824" s="13" t="s">
        <v>75</v>
      </c>
      <c r="I2824" s="13"/>
      <c r="J2824" s="13"/>
      <c r="K2824" s="15"/>
      <c r="L2824" s="15"/>
      <c r="M2824" s="16"/>
      <c r="N2824" s="16"/>
      <c r="O2824" s="17">
        <v>0.0</v>
      </c>
      <c r="P2824" s="17">
        <v>0.0</v>
      </c>
      <c r="Q2824" s="13"/>
      <c r="R2824" s="13"/>
      <c r="S2824" s="13"/>
      <c r="T2824" s="13">
        <f t="shared" ref="T2824:Y2824" si="3032">IF(ISBLANK(K2824)=TRUE,0,1)</f>
        <v>0</v>
      </c>
      <c r="U2824" s="13">
        <f t="shared" si="3032"/>
        <v>0</v>
      </c>
      <c r="V2824" s="13">
        <f t="shared" si="3032"/>
        <v>0</v>
      </c>
      <c r="W2824" s="13">
        <f t="shared" si="3032"/>
        <v>0</v>
      </c>
      <c r="X2824" s="13">
        <f t="shared" si="3032"/>
        <v>1</v>
      </c>
      <c r="Y2824" s="13">
        <f t="shared" si="3032"/>
        <v>1</v>
      </c>
      <c r="Z2824" s="13">
        <f t="shared" si="3023"/>
        <v>0</v>
      </c>
      <c r="AA2824" s="13"/>
      <c r="AB2824" s="13"/>
      <c r="AC2824" s="13"/>
      <c r="AD2824" s="13"/>
      <c r="AE2824" s="13"/>
      <c r="AF2824" s="13"/>
      <c r="AG2824" s="13"/>
      <c r="AH2824" s="13"/>
      <c r="AI2824" s="13"/>
      <c r="AJ2824" s="13"/>
      <c r="AK2824" s="13"/>
      <c r="AL2824" s="13"/>
      <c r="AM2824" s="13"/>
      <c r="AN2824" s="13"/>
      <c r="AO2824" s="13"/>
      <c r="AP2824" s="13"/>
      <c r="AQ2824" s="13"/>
      <c r="AR2824" s="13"/>
      <c r="AS2824" s="13"/>
    </row>
    <row r="2825" ht="14.25" customHeight="1">
      <c r="A2825" s="13" t="s">
        <v>46</v>
      </c>
      <c r="B2825" s="13" t="s">
        <v>55</v>
      </c>
      <c r="C2825" s="13" t="s">
        <v>1823</v>
      </c>
      <c r="D2825" s="13"/>
      <c r="E2825" s="13"/>
      <c r="F2825" s="13"/>
      <c r="G2825" s="13" t="s">
        <v>111</v>
      </c>
      <c r="H2825" s="13" t="s">
        <v>75</v>
      </c>
      <c r="I2825" s="13"/>
      <c r="J2825" s="13"/>
      <c r="K2825" s="15"/>
      <c r="L2825" s="15"/>
      <c r="M2825" s="16"/>
      <c r="N2825" s="16"/>
      <c r="O2825" s="17">
        <v>0.0</v>
      </c>
      <c r="P2825" s="17">
        <v>0.0</v>
      </c>
      <c r="Q2825" s="13"/>
      <c r="R2825" s="13"/>
      <c r="S2825" s="13"/>
      <c r="T2825" s="13">
        <f t="shared" ref="T2825:Y2825" si="3033">IF(ISBLANK(K2825)=TRUE,0,1)</f>
        <v>0</v>
      </c>
      <c r="U2825" s="13">
        <f t="shared" si="3033"/>
        <v>0</v>
      </c>
      <c r="V2825" s="13">
        <f t="shared" si="3033"/>
        <v>0</v>
      </c>
      <c r="W2825" s="13">
        <f t="shared" si="3033"/>
        <v>0</v>
      </c>
      <c r="X2825" s="13">
        <f t="shared" si="3033"/>
        <v>1</v>
      </c>
      <c r="Y2825" s="13">
        <f t="shared" si="3033"/>
        <v>1</v>
      </c>
      <c r="Z2825" s="13">
        <f t="shared" si="3023"/>
        <v>0</v>
      </c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/>
      <c r="AL2825" s="13"/>
      <c r="AM2825" s="13"/>
      <c r="AN2825" s="13"/>
      <c r="AO2825" s="13"/>
      <c r="AP2825" s="13"/>
      <c r="AQ2825" s="13"/>
      <c r="AR2825" s="13"/>
      <c r="AS2825" s="13"/>
    </row>
    <row r="2826" ht="14.25" customHeight="1">
      <c r="A2826" s="13" t="s">
        <v>46</v>
      </c>
      <c r="B2826" s="13" t="s">
        <v>55</v>
      </c>
      <c r="C2826" s="13" t="s">
        <v>1824</v>
      </c>
      <c r="D2826" s="13"/>
      <c r="E2826" s="13"/>
      <c r="F2826" s="13"/>
      <c r="G2826" s="13" t="s">
        <v>111</v>
      </c>
      <c r="H2826" s="13" t="s">
        <v>75</v>
      </c>
      <c r="I2826" s="13"/>
      <c r="J2826" s="13"/>
      <c r="K2826" s="15"/>
      <c r="L2826" s="15"/>
      <c r="M2826" s="16"/>
      <c r="N2826" s="16"/>
      <c r="O2826" s="17">
        <v>0.0</v>
      </c>
      <c r="P2826" s="17">
        <v>0.0</v>
      </c>
      <c r="Q2826" s="13"/>
      <c r="R2826" s="13"/>
      <c r="S2826" s="13"/>
      <c r="T2826" s="13">
        <f t="shared" ref="T2826:Y2826" si="3034">IF(ISBLANK(K2826)=TRUE,0,1)</f>
        <v>0</v>
      </c>
      <c r="U2826" s="13">
        <f t="shared" si="3034"/>
        <v>0</v>
      </c>
      <c r="V2826" s="13">
        <f t="shared" si="3034"/>
        <v>0</v>
      </c>
      <c r="W2826" s="13">
        <f t="shared" si="3034"/>
        <v>0</v>
      </c>
      <c r="X2826" s="13">
        <f t="shared" si="3034"/>
        <v>1</v>
      </c>
      <c r="Y2826" s="13">
        <f t="shared" si="3034"/>
        <v>1</v>
      </c>
      <c r="Z2826" s="13">
        <f t="shared" si="3023"/>
        <v>0</v>
      </c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  <c r="AO2826" s="13"/>
      <c r="AP2826" s="13"/>
      <c r="AQ2826" s="13"/>
      <c r="AR2826" s="13"/>
      <c r="AS2826" s="13"/>
    </row>
    <row r="2827" ht="14.25" customHeight="1">
      <c r="A2827" s="13" t="s">
        <v>36</v>
      </c>
      <c r="B2827" s="13" t="s">
        <v>39</v>
      </c>
      <c r="C2827" s="13" t="s">
        <v>1738</v>
      </c>
      <c r="D2827" s="13" t="s">
        <v>185</v>
      </c>
      <c r="F2827" s="13"/>
      <c r="G2827" s="13" t="s">
        <v>111</v>
      </c>
      <c r="H2827" s="13" t="s">
        <v>75</v>
      </c>
      <c r="I2827" s="13"/>
      <c r="J2827" s="13"/>
      <c r="K2827" s="15">
        <v>0.0</v>
      </c>
      <c r="L2827" s="15">
        <v>0.0</v>
      </c>
      <c r="M2827" s="16"/>
      <c r="N2827" s="16"/>
      <c r="O2827" s="17"/>
      <c r="P2827" s="17"/>
      <c r="Q2827" s="13">
        <f t="shared" ref="Q2827:Q2837" si="3036">K2826+L2826+M2826+N2826+O2826+P2826/6</f>
        <v>0</v>
      </c>
      <c r="R2827" s="13"/>
      <c r="S2827" s="13"/>
      <c r="T2827" s="13">
        <f t="shared" ref="T2827:Y2827" si="3035">IF(ISBLANK(K2827)=TRUE,0,1)</f>
        <v>1</v>
      </c>
      <c r="U2827" s="13">
        <f t="shared" si="3035"/>
        <v>1</v>
      </c>
      <c r="V2827" s="13">
        <f t="shared" si="3035"/>
        <v>0</v>
      </c>
      <c r="W2827" s="13">
        <f t="shared" si="3035"/>
        <v>0</v>
      </c>
      <c r="X2827" s="13">
        <f t="shared" si="3035"/>
        <v>0</v>
      </c>
      <c r="Y2827" s="13">
        <f t="shared" si="3035"/>
        <v>0</v>
      </c>
      <c r="Z2827" s="13">
        <f t="shared" si="3023"/>
        <v>0</v>
      </c>
      <c r="AA2827" s="13"/>
      <c r="AB2827" s="13"/>
      <c r="AC2827" s="13"/>
      <c r="AD2827" s="13"/>
      <c r="AE2827" s="13"/>
      <c r="AF2827" s="13"/>
      <c r="AG2827" s="13"/>
      <c r="AH2827" s="13"/>
      <c r="AI2827" s="13"/>
      <c r="AJ2827" s="13"/>
      <c r="AK2827" s="13"/>
      <c r="AL2827" s="13"/>
      <c r="AM2827" s="13"/>
      <c r="AN2827" s="13"/>
      <c r="AO2827" s="13"/>
      <c r="AP2827" s="13"/>
      <c r="AQ2827" s="13"/>
      <c r="AR2827" s="13"/>
      <c r="AS2827" s="13"/>
    </row>
    <row r="2828" ht="14.25" customHeight="1">
      <c r="A2828" s="13" t="s">
        <v>36</v>
      </c>
      <c r="B2828" s="13" t="s">
        <v>37</v>
      </c>
      <c r="C2828" s="13" t="s">
        <v>1825</v>
      </c>
      <c r="D2828" s="13"/>
      <c r="F2828" s="13"/>
      <c r="G2828" s="13" t="s">
        <v>74</v>
      </c>
      <c r="H2828" s="13" t="s">
        <v>75</v>
      </c>
      <c r="I2828" s="14">
        <v>44862.0</v>
      </c>
      <c r="J2828" s="14"/>
      <c r="K2828" s="15"/>
      <c r="L2828" s="15"/>
      <c r="M2828" s="16"/>
      <c r="N2828" s="16"/>
      <c r="O2828" s="17">
        <v>1.0</v>
      </c>
      <c r="P2828" s="17">
        <v>1.0</v>
      </c>
      <c r="Q2828" s="13">
        <f t="shared" si="3036"/>
        <v>0</v>
      </c>
      <c r="R2828" s="13"/>
      <c r="S2828" s="13"/>
      <c r="T2828" s="13">
        <f t="shared" ref="T2828:Y2828" si="3037">IF(ISBLANK(K2828)=TRUE,0,1)</f>
        <v>0</v>
      </c>
      <c r="U2828" s="13">
        <f t="shared" si="3037"/>
        <v>0</v>
      </c>
      <c r="V2828" s="13">
        <f t="shared" si="3037"/>
        <v>0</v>
      </c>
      <c r="W2828" s="13">
        <f t="shared" si="3037"/>
        <v>0</v>
      </c>
      <c r="X2828" s="13">
        <f t="shared" si="3037"/>
        <v>1</v>
      </c>
      <c r="Y2828" s="13">
        <f t="shared" si="3037"/>
        <v>1</v>
      </c>
      <c r="Z2828" s="13">
        <f t="shared" si="3023"/>
        <v>1</v>
      </c>
      <c r="AA2828" s="13"/>
      <c r="AB2828" s="13"/>
      <c r="AC2828" s="13"/>
      <c r="AD2828" s="13"/>
      <c r="AE2828" s="13"/>
      <c r="AF2828" s="13"/>
      <c r="AG2828" s="13"/>
      <c r="AH2828" s="13"/>
      <c r="AI2828" s="13"/>
      <c r="AJ2828" s="13"/>
      <c r="AK2828" s="13"/>
      <c r="AL2828" s="13"/>
      <c r="AM2828" s="13"/>
      <c r="AN2828" s="13"/>
      <c r="AO2828" s="13"/>
      <c r="AP2828" s="13"/>
      <c r="AQ2828" s="13"/>
      <c r="AR2828" s="13"/>
      <c r="AS2828" s="13"/>
    </row>
    <row r="2829" ht="14.25" customHeight="1">
      <c r="A2829" s="13" t="s">
        <v>36</v>
      </c>
      <c r="B2829" s="13" t="s">
        <v>37</v>
      </c>
      <c r="C2829" s="13" t="s">
        <v>1826</v>
      </c>
      <c r="D2829" s="13"/>
      <c r="F2829" s="13"/>
      <c r="G2829" s="13" t="s">
        <v>74</v>
      </c>
      <c r="H2829" s="13" t="s">
        <v>75</v>
      </c>
      <c r="I2829" s="14">
        <v>44862.0</v>
      </c>
      <c r="J2829" s="14"/>
      <c r="K2829" s="15"/>
      <c r="L2829" s="15"/>
      <c r="M2829" s="16"/>
      <c r="N2829" s="16"/>
      <c r="O2829" s="17">
        <v>1.0</v>
      </c>
      <c r="P2829" s="17">
        <v>1.0</v>
      </c>
      <c r="Q2829" s="13">
        <f t="shared" si="3036"/>
        <v>1.166666667</v>
      </c>
      <c r="R2829" s="13"/>
      <c r="S2829" s="13"/>
      <c r="T2829" s="13">
        <f t="shared" ref="T2829:Y2829" si="3038">IF(ISBLANK(K2829)=TRUE,0,1)</f>
        <v>0</v>
      </c>
      <c r="U2829" s="13">
        <f t="shared" si="3038"/>
        <v>0</v>
      </c>
      <c r="V2829" s="13">
        <f t="shared" si="3038"/>
        <v>0</v>
      </c>
      <c r="W2829" s="13">
        <f t="shared" si="3038"/>
        <v>0</v>
      </c>
      <c r="X2829" s="13">
        <f t="shared" si="3038"/>
        <v>1</v>
      </c>
      <c r="Y2829" s="13">
        <f t="shared" si="3038"/>
        <v>1</v>
      </c>
      <c r="Z2829" s="13">
        <f t="shared" si="3023"/>
        <v>1</v>
      </c>
      <c r="AA2829" s="13"/>
      <c r="AB2829" s="13"/>
      <c r="AC2829" s="13"/>
      <c r="AD2829" s="13"/>
      <c r="AE2829" s="13"/>
      <c r="AF2829" s="13"/>
      <c r="AG2829" s="13"/>
      <c r="AH2829" s="13"/>
      <c r="AI2829" s="13"/>
      <c r="AJ2829" s="13"/>
      <c r="AK2829" s="13"/>
      <c r="AL2829" s="13"/>
      <c r="AM2829" s="13"/>
      <c r="AN2829" s="13"/>
      <c r="AO2829" s="13"/>
      <c r="AP2829" s="13"/>
      <c r="AQ2829" s="13"/>
      <c r="AR2829" s="13"/>
      <c r="AS2829" s="13"/>
    </row>
    <row r="2830" ht="14.25" customHeight="1">
      <c r="A2830" s="13" t="s">
        <v>36</v>
      </c>
      <c r="B2830" s="13" t="s">
        <v>39</v>
      </c>
      <c r="C2830" s="13" t="s">
        <v>1738</v>
      </c>
      <c r="D2830" s="13" t="s">
        <v>186</v>
      </c>
      <c r="F2830" s="13"/>
      <c r="G2830" s="13" t="s">
        <v>111</v>
      </c>
      <c r="H2830" s="13" t="s">
        <v>75</v>
      </c>
      <c r="I2830" s="13"/>
      <c r="J2830" s="13"/>
      <c r="K2830" s="15">
        <v>0.0</v>
      </c>
      <c r="L2830" s="15">
        <v>0.0</v>
      </c>
      <c r="M2830" s="16"/>
      <c r="N2830" s="16"/>
      <c r="O2830" s="17"/>
      <c r="P2830" s="17"/>
      <c r="Q2830" s="13">
        <f t="shared" si="3036"/>
        <v>1.166666667</v>
      </c>
      <c r="R2830" s="13"/>
      <c r="S2830" s="13"/>
      <c r="T2830" s="13">
        <f t="shared" ref="T2830:Y2830" si="3039">IF(ISBLANK(K2830)=TRUE,0,1)</f>
        <v>1</v>
      </c>
      <c r="U2830" s="13">
        <f t="shared" si="3039"/>
        <v>1</v>
      </c>
      <c r="V2830" s="13">
        <f t="shared" si="3039"/>
        <v>0</v>
      </c>
      <c r="W2830" s="13">
        <f t="shared" si="3039"/>
        <v>0</v>
      </c>
      <c r="X2830" s="13">
        <f t="shared" si="3039"/>
        <v>0</v>
      </c>
      <c r="Y2830" s="13">
        <f t="shared" si="3039"/>
        <v>0</v>
      </c>
      <c r="Z2830" s="13">
        <f t="shared" si="3023"/>
        <v>0</v>
      </c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  <c r="AQ2830" s="13"/>
      <c r="AR2830" s="13"/>
      <c r="AS2830" s="13"/>
    </row>
    <row r="2831" ht="14.25" customHeight="1">
      <c r="A2831" s="13" t="s">
        <v>36</v>
      </c>
      <c r="B2831" s="13" t="s">
        <v>42</v>
      </c>
      <c r="C2831" s="13">
        <v>3.0</v>
      </c>
      <c r="D2831" s="13" t="s">
        <v>180</v>
      </c>
      <c r="F2831" s="13"/>
      <c r="G2831" s="13" t="s">
        <v>111</v>
      </c>
      <c r="H2831" s="13" t="s">
        <v>75</v>
      </c>
      <c r="I2831" s="13"/>
      <c r="J2831" s="13"/>
      <c r="K2831" s="15">
        <v>1.0</v>
      </c>
      <c r="L2831" s="15">
        <v>1.0</v>
      </c>
      <c r="M2831" s="16"/>
      <c r="N2831" s="16"/>
      <c r="O2831" s="17"/>
      <c r="P2831" s="17"/>
      <c r="Q2831" s="13">
        <f t="shared" si="3036"/>
        <v>0</v>
      </c>
      <c r="R2831" s="13"/>
      <c r="S2831" s="13"/>
      <c r="T2831" s="13">
        <f t="shared" ref="T2831:Y2831" si="3040">IF(ISBLANK(K2831)=TRUE,0,1)</f>
        <v>1</v>
      </c>
      <c r="U2831" s="13">
        <f t="shared" si="3040"/>
        <v>1</v>
      </c>
      <c r="V2831" s="13">
        <f t="shared" si="3040"/>
        <v>0</v>
      </c>
      <c r="W2831" s="13">
        <f t="shared" si="3040"/>
        <v>0</v>
      </c>
      <c r="X2831" s="13">
        <f t="shared" si="3040"/>
        <v>0</v>
      </c>
      <c r="Y2831" s="13">
        <f t="shared" si="3040"/>
        <v>0</v>
      </c>
      <c r="Z2831" s="13">
        <f t="shared" si="3023"/>
        <v>1</v>
      </c>
      <c r="AA2831" s="13"/>
      <c r="AB2831" s="13"/>
      <c r="AC2831" s="13"/>
      <c r="AD2831" s="13"/>
      <c r="AE2831" s="13"/>
      <c r="AF2831" s="13"/>
      <c r="AG2831" s="13"/>
      <c r="AH2831" s="13"/>
      <c r="AI2831" s="13"/>
      <c r="AJ2831" s="13"/>
      <c r="AK2831" s="13"/>
      <c r="AL2831" s="13"/>
      <c r="AM2831" s="13"/>
      <c r="AN2831" s="13"/>
      <c r="AO2831" s="13"/>
      <c r="AP2831" s="13"/>
      <c r="AQ2831" s="13"/>
      <c r="AR2831" s="13"/>
      <c r="AS2831" s="13"/>
    </row>
    <row r="2832" ht="14.25" customHeight="1">
      <c r="A2832" s="13" t="s">
        <v>36</v>
      </c>
      <c r="B2832" s="13" t="s">
        <v>42</v>
      </c>
      <c r="C2832" s="13">
        <v>3.0</v>
      </c>
      <c r="D2832" s="13" t="s">
        <v>181</v>
      </c>
      <c r="F2832" s="13"/>
      <c r="G2832" s="13" t="s">
        <v>111</v>
      </c>
      <c r="H2832" s="13" t="s">
        <v>75</v>
      </c>
      <c r="I2832" s="13"/>
      <c r="J2832" s="13"/>
      <c r="K2832" s="15">
        <v>1.0</v>
      </c>
      <c r="L2832" s="15">
        <v>1.0</v>
      </c>
      <c r="M2832" s="16"/>
      <c r="N2832" s="16"/>
      <c r="O2832" s="17"/>
      <c r="P2832" s="17"/>
      <c r="Q2832" s="13">
        <f t="shared" si="3036"/>
        <v>2</v>
      </c>
      <c r="R2832" s="13"/>
      <c r="S2832" s="13"/>
      <c r="T2832" s="13">
        <f t="shared" ref="T2832:Y2832" si="3041">IF(ISBLANK(K2832)=TRUE,0,1)</f>
        <v>1</v>
      </c>
      <c r="U2832" s="13">
        <f t="shared" si="3041"/>
        <v>1</v>
      </c>
      <c r="V2832" s="13">
        <f t="shared" si="3041"/>
        <v>0</v>
      </c>
      <c r="W2832" s="13">
        <f t="shared" si="3041"/>
        <v>0</v>
      </c>
      <c r="X2832" s="13">
        <f t="shared" si="3041"/>
        <v>0</v>
      </c>
      <c r="Y2832" s="13">
        <f t="shared" si="3041"/>
        <v>0</v>
      </c>
      <c r="Z2832" s="13">
        <f t="shared" si="3023"/>
        <v>1</v>
      </c>
      <c r="AA2832" s="13"/>
      <c r="AB2832" s="13"/>
      <c r="AC2832" s="13"/>
      <c r="AD2832" s="13"/>
      <c r="AE2832" s="13"/>
      <c r="AF2832" s="13"/>
      <c r="AG2832" s="13"/>
      <c r="AH2832" s="13"/>
      <c r="AI2832" s="13"/>
      <c r="AJ2832" s="13"/>
      <c r="AK2832" s="13"/>
      <c r="AL2832" s="13"/>
      <c r="AM2832" s="13"/>
      <c r="AN2832" s="13"/>
      <c r="AO2832" s="13"/>
      <c r="AP2832" s="13"/>
      <c r="AQ2832" s="13"/>
      <c r="AR2832" s="13"/>
      <c r="AS2832" s="13"/>
    </row>
    <row r="2833" ht="14.25" customHeight="1">
      <c r="A2833" s="13" t="s">
        <v>36</v>
      </c>
      <c r="B2833" s="13" t="s">
        <v>39</v>
      </c>
      <c r="C2833" s="13" t="s">
        <v>1738</v>
      </c>
      <c r="D2833" s="13" t="s">
        <v>187</v>
      </c>
      <c r="F2833" s="13"/>
      <c r="G2833" s="13" t="s">
        <v>111</v>
      </c>
      <c r="H2833" s="13" t="s">
        <v>75</v>
      </c>
      <c r="I2833" s="13"/>
      <c r="J2833" s="13"/>
      <c r="K2833" s="15">
        <v>0.0</v>
      </c>
      <c r="L2833" s="15">
        <v>0.0</v>
      </c>
      <c r="M2833" s="16"/>
      <c r="N2833" s="16"/>
      <c r="O2833" s="17"/>
      <c r="P2833" s="17"/>
      <c r="Q2833" s="13">
        <f t="shared" si="3036"/>
        <v>2</v>
      </c>
      <c r="R2833" s="13"/>
      <c r="S2833" s="13"/>
      <c r="T2833" s="13">
        <f t="shared" ref="T2833:Y2833" si="3042">IF(ISBLANK(K2833)=TRUE,0,1)</f>
        <v>1</v>
      </c>
      <c r="U2833" s="13">
        <f t="shared" si="3042"/>
        <v>1</v>
      </c>
      <c r="V2833" s="13">
        <f t="shared" si="3042"/>
        <v>0</v>
      </c>
      <c r="W2833" s="13">
        <f t="shared" si="3042"/>
        <v>0</v>
      </c>
      <c r="X2833" s="13">
        <f t="shared" si="3042"/>
        <v>0</v>
      </c>
      <c r="Y2833" s="13">
        <f t="shared" si="3042"/>
        <v>0</v>
      </c>
      <c r="Z2833" s="13">
        <f t="shared" si="3023"/>
        <v>0</v>
      </c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</row>
    <row r="2834" ht="14.25" customHeight="1">
      <c r="A2834" s="13" t="s">
        <v>36</v>
      </c>
      <c r="B2834" s="13" t="s">
        <v>39</v>
      </c>
      <c r="C2834" s="13" t="s">
        <v>1738</v>
      </c>
      <c r="D2834" s="13" t="s">
        <v>188</v>
      </c>
      <c r="F2834" s="13"/>
      <c r="G2834" s="13" t="s">
        <v>111</v>
      </c>
      <c r="H2834" s="13" t="s">
        <v>75</v>
      </c>
      <c r="I2834" s="13"/>
      <c r="J2834" s="13"/>
      <c r="K2834" s="15">
        <v>0.0</v>
      </c>
      <c r="L2834" s="15">
        <v>0.0</v>
      </c>
      <c r="M2834" s="16"/>
      <c r="N2834" s="16"/>
      <c r="O2834" s="17"/>
      <c r="P2834" s="17"/>
      <c r="Q2834" s="13">
        <f t="shared" si="3036"/>
        <v>0</v>
      </c>
      <c r="R2834" s="13"/>
      <c r="S2834" s="13"/>
      <c r="T2834" s="13">
        <f t="shared" ref="T2834:Y2834" si="3043">IF(ISBLANK(K2834)=TRUE,0,1)</f>
        <v>1</v>
      </c>
      <c r="U2834" s="13">
        <f t="shared" si="3043"/>
        <v>1</v>
      </c>
      <c r="V2834" s="13">
        <f t="shared" si="3043"/>
        <v>0</v>
      </c>
      <c r="W2834" s="13">
        <f t="shared" si="3043"/>
        <v>0</v>
      </c>
      <c r="X2834" s="13">
        <f t="shared" si="3043"/>
        <v>0</v>
      </c>
      <c r="Y2834" s="13">
        <f t="shared" si="3043"/>
        <v>0</v>
      </c>
      <c r="Z2834" s="13">
        <f t="shared" si="3023"/>
        <v>0</v>
      </c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/>
      <c r="AK2834" s="13"/>
      <c r="AL2834" s="13"/>
      <c r="AM2834" s="13"/>
      <c r="AN2834" s="13"/>
      <c r="AO2834" s="13"/>
      <c r="AP2834" s="13"/>
      <c r="AQ2834" s="13"/>
      <c r="AR2834" s="13"/>
      <c r="AS2834" s="13"/>
    </row>
    <row r="2835" ht="14.25" customHeight="1">
      <c r="A2835" s="13" t="s">
        <v>36</v>
      </c>
      <c r="B2835" s="13" t="s">
        <v>42</v>
      </c>
      <c r="C2835" s="13">
        <v>616.0</v>
      </c>
      <c r="D2835" s="13" t="s">
        <v>174</v>
      </c>
      <c r="F2835" s="13"/>
      <c r="G2835" s="13" t="s">
        <v>111</v>
      </c>
      <c r="H2835" s="13" t="s">
        <v>75</v>
      </c>
      <c r="I2835" s="13"/>
      <c r="J2835" s="13"/>
      <c r="K2835" s="15">
        <v>1.0</v>
      </c>
      <c r="L2835" s="15">
        <v>1.0</v>
      </c>
      <c r="M2835" s="16"/>
      <c r="N2835" s="16"/>
      <c r="O2835" s="17"/>
      <c r="P2835" s="17"/>
      <c r="Q2835" s="13">
        <f t="shared" si="3036"/>
        <v>0</v>
      </c>
      <c r="R2835" s="13"/>
      <c r="S2835" s="13"/>
      <c r="T2835" s="13">
        <f t="shared" ref="T2835:Y2835" si="3044">IF(ISBLANK(K2835)=TRUE,0,1)</f>
        <v>1</v>
      </c>
      <c r="U2835" s="13">
        <f t="shared" si="3044"/>
        <v>1</v>
      </c>
      <c r="V2835" s="13">
        <f t="shared" si="3044"/>
        <v>0</v>
      </c>
      <c r="W2835" s="13">
        <f t="shared" si="3044"/>
        <v>0</v>
      </c>
      <c r="X2835" s="13">
        <f t="shared" si="3044"/>
        <v>0</v>
      </c>
      <c r="Y2835" s="13">
        <f t="shared" si="3044"/>
        <v>0</v>
      </c>
      <c r="Z2835" s="13">
        <f t="shared" si="3023"/>
        <v>1</v>
      </c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13"/>
      <c r="AK2835" s="13"/>
      <c r="AL2835" s="13"/>
      <c r="AM2835" s="13"/>
      <c r="AN2835" s="13"/>
      <c r="AO2835" s="13"/>
      <c r="AP2835" s="13"/>
      <c r="AQ2835" s="13"/>
      <c r="AR2835" s="13"/>
      <c r="AS2835" s="13"/>
    </row>
    <row r="2836" ht="14.25" customHeight="1">
      <c r="A2836" s="13" t="s">
        <v>36</v>
      </c>
      <c r="B2836" s="13" t="s">
        <v>39</v>
      </c>
      <c r="C2836" s="13" t="s">
        <v>1738</v>
      </c>
      <c r="D2836" s="13" t="s">
        <v>189</v>
      </c>
      <c r="F2836" s="13"/>
      <c r="G2836" s="13" t="s">
        <v>111</v>
      </c>
      <c r="H2836" s="13" t="s">
        <v>75</v>
      </c>
      <c r="I2836" s="13"/>
      <c r="J2836" s="13"/>
      <c r="K2836" s="15">
        <v>0.0</v>
      </c>
      <c r="L2836" s="15">
        <v>0.0</v>
      </c>
      <c r="M2836" s="16"/>
      <c r="N2836" s="16"/>
      <c r="O2836" s="17"/>
      <c r="P2836" s="17"/>
      <c r="Q2836" s="13">
        <f t="shared" si="3036"/>
        <v>2</v>
      </c>
      <c r="R2836" s="13"/>
      <c r="S2836" s="13"/>
      <c r="T2836" s="13">
        <f t="shared" ref="T2836:Y2836" si="3045">IF(ISBLANK(K2836)=TRUE,0,1)</f>
        <v>1</v>
      </c>
      <c r="U2836" s="13">
        <f t="shared" si="3045"/>
        <v>1</v>
      </c>
      <c r="V2836" s="13">
        <f t="shared" si="3045"/>
        <v>0</v>
      </c>
      <c r="W2836" s="13">
        <f t="shared" si="3045"/>
        <v>0</v>
      </c>
      <c r="X2836" s="13">
        <f t="shared" si="3045"/>
        <v>0</v>
      </c>
      <c r="Y2836" s="13">
        <f t="shared" si="3045"/>
        <v>0</v>
      </c>
      <c r="Z2836" s="13">
        <f t="shared" si="3023"/>
        <v>0</v>
      </c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  <c r="AK2836" s="13"/>
      <c r="AL2836" s="13"/>
      <c r="AM2836" s="13"/>
      <c r="AN2836" s="13"/>
      <c r="AO2836" s="13"/>
      <c r="AP2836" s="13"/>
      <c r="AQ2836" s="13"/>
      <c r="AR2836" s="13"/>
      <c r="AS2836" s="13"/>
    </row>
    <row r="2837" ht="14.25" customHeight="1">
      <c r="A2837" s="13" t="s">
        <v>36</v>
      </c>
      <c r="B2837" s="13" t="s">
        <v>37</v>
      </c>
      <c r="C2837" s="13" t="s">
        <v>1827</v>
      </c>
      <c r="D2837" s="13"/>
      <c r="F2837" s="13"/>
      <c r="G2837" s="13" t="s">
        <v>111</v>
      </c>
      <c r="H2837" s="13" t="s">
        <v>75</v>
      </c>
      <c r="I2837" s="14">
        <v>44862.0</v>
      </c>
      <c r="J2837" s="14"/>
      <c r="K2837" s="15"/>
      <c r="L2837" s="15"/>
      <c r="M2837" s="16"/>
      <c r="N2837" s="16"/>
      <c r="O2837" s="17">
        <v>0.0</v>
      </c>
      <c r="P2837" s="17">
        <v>0.0</v>
      </c>
      <c r="Q2837" s="13">
        <f t="shared" si="3036"/>
        <v>0</v>
      </c>
      <c r="R2837" s="13"/>
      <c r="S2837" s="13"/>
      <c r="T2837" s="13">
        <f t="shared" ref="T2837:Y2837" si="3046">IF(ISBLANK(K2837)=TRUE,0,1)</f>
        <v>0</v>
      </c>
      <c r="U2837" s="13">
        <f t="shared" si="3046"/>
        <v>0</v>
      </c>
      <c r="V2837" s="13">
        <f t="shared" si="3046"/>
        <v>0</v>
      </c>
      <c r="W2837" s="13">
        <f t="shared" si="3046"/>
        <v>0</v>
      </c>
      <c r="X2837" s="13">
        <f t="shared" si="3046"/>
        <v>1</v>
      </c>
      <c r="Y2837" s="13">
        <f t="shared" si="3046"/>
        <v>1</v>
      </c>
      <c r="Z2837" s="13">
        <f t="shared" si="3023"/>
        <v>0</v>
      </c>
      <c r="AA2837" s="13"/>
      <c r="AB2837" s="13"/>
      <c r="AC2837" s="13"/>
      <c r="AD2837" s="13"/>
      <c r="AE2837" s="13"/>
      <c r="AF2837" s="13"/>
      <c r="AG2837" s="13"/>
      <c r="AH2837" s="13"/>
      <c r="AI2837" s="13"/>
      <c r="AJ2837" s="13"/>
      <c r="AK2837" s="13"/>
      <c r="AL2837" s="13"/>
      <c r="AM2837" s="13"/>
      <c r="AN2837" s="13"/>
      <c r="AO2837" s="13"/>
      <c r="AP2837" s="13"/>
      <c r="AQ2837" s="13"/>
      <c r="AR2837" s="13"/>
      <c r="AS2837" s="13"/>
    </row>
    <row r="2838" ht="14.25" customHeight="1">
      <c r="A2838" s="13" t="s">
        <v>46</v>
      </c>
      <c r="B2838" s="13" t="s">
        <v>55</v>
      </c>
      <c r="C2838" s="13" t="s">
        <v>1828</v>
      </c>
      <c r="D2838" s="13"/>
      <c r="E2838" s="13"/>
      <c r="F2838" s="13"/>
      <c r="G2838" s="13" t="s">
        <v>111</v>
      </c>
      <c r="H2838" s="13" t="s">
        <v>75</v>
      </c>
      <c r="I2838" s="13"/>
      <c r="J2838" s="13"/>
      <c r="K2838" s="15"/>
      <c r="L2838" s="15"/>
      <c r="M2838" s="16"/>
      <c r="N2838" s="16"/>
      <c r="O2838" s="17">
        <v>0.0</v>
      </c>
      <c r="P2838" s="17">
        <v>0.0</v>
      </c>
      <c r="Q2838" s="13"/>
      <c r="R2838" s="13"/>
      <c r="S2838" s="13"/>
      <c r="T2838" s="13">
        <f t="shared" ref="T2838:Y2838" si="3047">IF(ISBLANK(K2838)=TRUE,0,1)</f>
        <v>0</v>
      </c>
      <c r="U2838" s="13">
        <f t="shared" si="3047"/>
        <v>0</v>
      </c>
      <c r="V2838" s="13">
        <f t="shared" si="3047"/>
        <v>0</v>
      </c>
      <c r="W2838" s="13">
        <f t="shared" si="3047"/>
        <v>0</v>
      </c>
      <c r="X2838" s="13">
        <f t="shared" si="3047"/>
        <v>1</v>
      </c>
      <c r="Y2838" s="13">
        <f t="shared" si="3047"/>
        <v>1</v>
      </c>
      <c r="Z2838" s="13">
        <f t="shared" si="3023"/>
        <v>0</v>
      </c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13"/>
      <c r="AK2838" s="13"/>
      <c r="AL2838" s="13"/>
      <c r="AM2838" s="13"/>
      <c r="AN2838" s="13"/>
      <c r="AO2838" s="13"/>
      <c r="AP2838" s="13"/>
      <c r="AQ2838" s="13"/>
      <c r="AR2838" s="13"/>
      <c r="AS2838" s="13"/>
    </row>
    <row r="2839" ht="14.25" customHeight="1">
      <c r="A2839" s="13" t="s">
        <v>46</v>
      </c>
      <c r="B2839" s="13" t="s">
        <v>55</v>
      </c>
      <c r="C2839" s="13" t="s">
        <v>1829</v>
      </c>
      <c r="D2839" s="13"/>
      <c r="E2839" s="13"/>
      <c r="F2839" s="13"/>
      <c r="G2839" s="13" t="s">
        <v>111</v>
      </c>
      <c r="H2839" s="13" t="s">
        <v>75</v>
      </c>
      <c r="I2839" s="13"/>
      <c r="J2839" s="13"/>
      <c r="K2839" s="15"/>
      <c r="L2839" s="15"/>
      <c r="M2839" s="16"/>
      <c r="N2839" s="16"/>
      <c r="O2839" s="17">
        <v>0.0</v>
      </c>
      <c r="P2839" s="17">
        <v>0.0</v>
      </c>
      <c r="Q2839" s="13"/>
      <c r="R2839" s="13"/>
      <c r="S2839" s="13"/>
      <c r="T2839" s="13">
        <f t="shared" ref="T2839:Y2839" si="3048">IF(ISBLANK(K2839)=TRUE,0,1)</f>
        <v>0</v>
      </c>
      <c r="U2839" s="13">
        <f t="shared" si="3048"/>
        <v>0</v>
      </c>
      <c r="V2839" s="13">
        <f t="shared" si="3048"/>
        <v>0</v>
      </c>
      <c r="W2839" s="13">
        <f t="shared" si="3048"/>
        <v>0</v>
      </c>
      <c r="X2839" s="13">
        <f t="shared" si="3048"/>
        <v>1</v>
      </c>
      <c r="Y2839" s="13">
        <f t="shared" si="3048"/>
        <v>1</v>
      </c>
      <c r="Z2839" s="13">
        <f t="shared" si="3023"/>
        <v>0</v>
      </c>
      <c r="AA2839" s="13"/>
      <c r="AB2839" s="13"/>
      <c r="AC2839" s="13"/>
      <c r="AD2839" s="13"/>
      <c r="AE2839" s="13"/>
      <c r="AF2839" s="13"/>
      <c r="AG2839" s="13"/>
      <c r="AH2839" s="13"/>
      <c r="AI2839" s="13"/>
      <c r="AJ2839" s="13"/>
      <c r="AK2839" s="13"/>
      <c r="AL2839" s="13"/>
      <c r="AM2839" s="13"/>
      <c r="AN2839" s="13"/>
      <c r="AO2839" s="13"/>
      <c r="AP2839" s="13"/>
      <c r="AQ2839" s="13"/>
      <c r="AR2839" s="13"/>
      <c r="AS2839" s="13"/>
    </row>
    <row r="2840" ht="14.25" customHeight="1">
      <c r="A2840" s="13" t="s">
        <v>46</v>
      </c>
      <c r="B2840" s="13" t="s">
        <v>55</v>
      </c>
      <c r="C2840" s="13" t="s">
        <v>1830</v>
      </c>
      <c r="D2840" s="13"/>
      <c r="E2840" s="13"/>
      <c r="F2840" s="13"/>
      <c r="G2840" s="13" t="s">
        <v>111</v>
      </c>
      <c r="H2840" s="13" t="s">
        <v>75</v>
      </c>
      <c r="I2840" s="13"/>
      <c r="J2840" s="13"/>
      <c r="K2840" s="15"/>
      <c r="L2840" s="15"/>
      <c r="M2840" s="16"/>
      <c r="N2840" s="16"/>
      <c r="O2840" s="17">
        <v>0.0</v>
      </c>
      <c r="P2840" s="17">
        <v>0.0</v>
      </c>
      <c r="Q2840" s="13"/>
      <c r="R2840" s="13"/>
      <c r="S2840" s="13"/>
      <c r="T2840" s="13">
        <f t="shared" ref="T2840:Y2840" si="3049">IF(ISBLANK(K2840)=TRUE,0,1)</f>
        <v>0</v>
      </c>
      <c r="U2840" s="13">
        <f t="shared" si="3049"/>
        <v>0</v>
      </c>
      <c r="V2840" s="13">
        <f t="shared" si="3049"/>
        <v>0</v>
      </c>
      <c r="W2840" s="13">
        <f t="shared" si="3049"/>
        <v>0</v>
      </c>
      <c r="X2840" s="13">
        <f t="shared" si="3049"/>
        <v>1</v>
      </c>
      <c r="Y2840" s="13">
        <f t="shared" si="3049"/>
        <v>1</v>
      </c>
      <c r="Z2840" s="13">
        <f t="shared" si="3023"/>
        <v>0</v>
      </c>
      <c r="AA2840" s="13"/>
      <c r="AB2840" s="13"/>
      <c r="AC2840" s="13"/>
      <c r="AD2840" s="13"/>
      <c r="AE2840" s="13"/>
      <c r="AF2840" s="13"/>
      <c r="AG2840" s="13"/>
      <c r="AH2840" s="13"/>
      <c r="AI2840" s="13"/>
      <c r="AJ2840" s="13"/>
      <c r="AK2840" s="13"/>
      <c r="AL2840" s="13"/>
      <c r="AM2840" s="13"/>
      <c r="AN2840" s="13"/>
      <c r="AO2840" s="13"/>
      <c r="AP2840" s="13"/>
      <c r="AQ2840" s="13"/>
      <c r="AR2840" s="13"/>
      <c r="AS2840" s="13"/>
    </row>
    <row r="2841" ht="14.25" customHeight="1">
      <c r="A2841" s="13" t="s">
        <v>46</v>
      </c>
      <c r="B2841" s="13" t="s">
        <v>55</v>
      </c>
      <c r="C2841" s="13" t="s">
        <v>1831</v>
      </c>
      <c r="D2841" s="13"/>
      <c r="E2841" s="13"/>
      <c r="F2841" s="13"/>
      <c r="G2841" s="13" t="s">
        <v>111</v>
      </c>
      <c r="H2841" s="13" t="s">
        <v>75</v>
      </c>
      <c r="I2841" s="13"/>
      <c r="J2841" s="13"/>
      <c r="K2841" s="15"/>
      <c r="L2841" s="15"/>
      <c r="M2841" s="16"/>
      <c r="N2841" s="16"/>
      <c r="O2841" s="17">
        <v>0.0</v>
      </c>
      <c r="P2841" s="17">
        <v>0.0</v>
      </c>
      <c r="Q2841" s="13"/>
      <c r="R2841" s="13"/>
      <c r="S2841" s="13"/>
      <c r="T2841" s="13">
        <f t="shared" ref="T2841:Y2841" si="3050">IF(ISBLANK(K2841)=TRUE,0,1)</f>
        <v>0</v>
      </c>
      <c r="U2841" s="13">
        <f t="shared" si="3050"/>
        <v>0</v>
      </c>
      <c r="V2841" s="13">
        <f t="shared" si="3050"/>
        <v>0</v>
      </c>
      <c r="W2841" s="13">
        <f t="shared" si="3050"/>
        <v>0</v>
      </c>
      <c r="X2841" s="13">
        <f t="shared" si="3050"/>
        <v>1</v>
      </c>
      <c r="Y2841" s="13">
        <f t="shared" si="3050"/>
        <v>1</v>
      </c>
      <c r="Z2841" s="13">
        <f t="shared" si="3023"/>
        <v>0</v>
      </c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  <c r="AL2841" s="13"/>
      <c r="AM2841" s="13"/>
      <c r="AN2841" s="13"/>
      <c r="AO2841" s="13"/>
      <c r="AP2841" s="13"/>
      <c r="AQ2841" s="13"/>
      <c r="AR2841" s="13"/>
      <c r="AS2841" s="13"/>
    </row>
    <row r="2842" ht="14.25" customHeight="1">
      <c r="A2842" s="13" t="s">
        <v>46</v>
      </c>
      <c r="B2842" s="13" t="s">
        <v>55</v>
      </c>
      <c r="C2842" s="13" t="s">
        <v>1832</v>
      </c>
      <c r="D2842" s="13"/>
      <c r="E2842" s="13"/>
      <c r="F2842" s="13"/>
      <c r="G2842" s="13" t="s">
        <v>111</v>
      </c>
      <c r="H2842" s="13" t="s">
        <v>75</v>
      </c>
      <c r="I2842" s="13"/>
      <c r="J2842" s="13"/>
      <c r="K2842" s="15"/>
      <c r="L2842" s="15"/>
      <c r="M2842" s="16"/>
      <c r="N2842" s="16"/>
      <c r="O2842" s="17">
        <v>0.0</v>
      </c>
      <c r="P2842" s="17">
        <v>0.0</v>
      </c>
      <c r="Q2842" s="13"/>
      <c r="R2842" s="13"/>
      <c r="S2842" s="13"/>
      <c r="T2842" s="13">
        <f t="shared" ref="T2842:Y2842" si="3051">IF(ISBLANK(K2842)=TRUE,0,1)</f>
        <v>0</v>
      </c>
      <c r="U2842" s="13">
        <f t="shared" si="3051"/>
        <v>0</v>
      </c>
      <c r="V2842" s="13">
        <f t="shared" si="3051"/>
        <v>0</v>
      </c>
      <c r="W2842" s="13">
        <f t="shared" si="3051"/>
        <v>0</v>
      </c>
      <c r="X2842" s="13">
        <f t="shared" si="3051"/>
        <v>1</v>
      </c>
      <c r="Y2842" s="13">
        <f t="shared" si="3051"/>
        <v>1</v>
      </c>
      <c r="Z2842" s="13">
        <f t="shared" si="3023"/>
        <v>0</v>
      </c>
      <c r="AA2842" s="13"/>
      <c r="AB2842" s="13"/>
      <c r="AC2842" s="13"/>
      <c r="AD2842" s="13"/>
      <c r="AE2842" s="13"/>
      <c r="AF2842" s="13"/>
      <c r="AG2842" s="13"/>
      <c r="AH2842" s="13"/>
      <c r="AI2842" s="13"/>
      <c r="AJ2842" s="13"/>
      <c r="AK2842" s="13"/>
      <c r="AL2842" s="13"/>
      <c r="AM2842" s="13"/>
      <c r="AN2842" s="13"/>
      <c r="AO2842" s="13"/>
      <c r="AP2842" s="13"/>
      <c r="AQ2842" s="13"/>
      <c r="AR2842" s="13"/>
      <c r="AS2842" s="13"/>
    </row>
    <row r="2843" ht="14.25" customHeight="1">
      <c r="A2843" s="13" t="s">
        <v>46</v>
      </c>
      <c r="B2843" s="13" t="s">
        <v>55</v>
      </c>
      <c r="C2843" s="13" t="s">
        <v>1833</v>
      </c>
      <c r="D2843" s="13"/>
      <c r="E2843" s="13"/>
      <c r="F2843" s="13"/>
      <c r="G2843" s="13" t="s">
        <v>111</v>
      </c>
      <c r="H2843" s="13" t="s">
        <v>75</v>
      </c>
      <c r="I2843" s="13"/>
      <c r="J2843" s="13"/>
      <c r="K2843" s="15"/>
      <c r="L2843" s="15"/>
      <c r="M2843" s="16"/>
      <c r="N2843" s="16"/>
      <c r="O2843" s="17">
        <v>0.0</v>
      </c>
      <c r="P2843" s="17">
        <v>0.0</v>
      </c>
      <c r="Q2843" s="13"/>
      <c r="R2843" s="13"/>
      <c r="S2843" s="13"/>
      <c r="T2843" s="13">
        <f t="shared" ref="T2843:Y2843" si="3052">IF(ISBLANK(K2843)=TRUE,0,1)</f>
        <v>0</v>
      </c>
      <c r="U2843" s="13">
        <f t="shared" si="3052"/>
        <v>0</v>
      </c>
      <c r="V2843" s="13">
        <f t="shared" si="3052"/>
        <v>0</v>
      </c>
      <c r="W2843" s="13">
        <f t="shared" si="3052"/>
        <v>0</v>
      </c>
      <c r="X2843" s="13">
        <f t="shared" si="3052"/>
        <v>1</v>
      </c>
      <c r="Y2843" s="13">
        <f t="shared" si="3052"/>
        <v>1</v>
      </c>
      <c r="Z2843" s="13">
        <f t="shared" si="3023"/>
        <v>0</v>
      </c>
      <c r="AA2843" s="13"/>
      <c r="AB2843" s="13"/>
      <c r="AC2843" s="13"/>
      <c r="AD2843" s="13"/>
      <c r="AE2843" s="13"/>
      <c r="AF2843" s="13"/>
      <c r="AG2843" s="13"/>
      <c r="AH2843" s="13"/>
      <c r="AI2843" s="13"/>
      <c r="AJ2843" s="13"/>
      <c r="AK2843" s="13"/>
      <c r="AL2843" s="13"/>
      <c r="AM2843" s="13"/>
      <c r="AN2843" s="13"/>
      <c r="AO2843" s="13"/>
      <c r="AP2843" s="13"/>
      <c r="AQ2843" s="13"/>
      <c r="AR2843" s="13"/>
      <c r="AS2843" s="13"/>
    </row>
    <row r="2844" ht="14.25" customHeight="1">
      <c r="A2844" s="13" t="s">
        <v>46</v>
      </c>
      <c r="B2844" s="13" t="s">
        <v>55</v>
      </c>
      <c r="C2844" s="13" t="s">
        <v>1834</v>
      </c>
      <c r="D2844" s="13"/>
      <c r="E2844" s="13"/>
      <c r="F2844" s="13"/>
      <c r="G2844" s="13" t="s">
        <v>111</v>
      </c>
      <c r="H2844" s="13" t="s">
        <v>75</v>
      </c>
      <c r="I2844" s="13"/>
      <c r="J2844" s="13"/>
      <c r="K2844" s="15"/>
      <c r="L2844" s="15"/>
      <c r="M2844" s="16"/>
      <c r="N2844" s="16"/>
      <c r="O2844" s="17">
        <v>0.0</v>
      </c>
      <c r="P2844" s="17">
        <v>0.0</v>
      </c>
      <c r="Q2844" s="13"/>
      <c r="R2844" s="13"/>
      <c r="S2844" s="13"/>
      <c r="T2844" s="13">
        <f t="shared" ref="T2844:Y2844" si="3053">IF(ISBLANK(K2844)=TRUE,0,1)</f>
        <v>0</v>
      </c>
      <c r="U2844" s="13">
        <f t="shared" si="3053"/>
        <v>0</v>
      </c>
      <c r="V2844" s="13">
        <f t="shared" si="3053"/>
        <v>0</v>
      </c>
      <c r="W2844" s="13">
        <f t="shared" si="3053"/>
        <v>0</v>
      </c>
      <c r="X2844" s="13">
        <f t="shared" si="3053"/>
        <v>1</v>
      </c>
      <c r="Y2844" s="13">
        <f t="shared" si="3053"/>
        <v>1</v>
      </c>
      <c r="Z2844" s="13">
        <f t="shared" si="3023"/>
        <v>0</v>
      </c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13"/>
      <c r="AK2844" s="13"/>
      <c r="AL2844" s="13"/>
      <c r="AM2844" s="13"/>
      <c r="AN2844" s="13"/>
      <c r="AO2844" s="13"/>
      <c r="AP2844" s="13"/>
      <c r="AQ2844" s="13"/>
      <c r="AR2844" s="13"/>
      <c r="AS2844" s="13"/>
    </row>
    <row r="2845" ht="14.25" customHeight="1">
      <c r="A2845" s="13" t="s">
        <v>46</v>
      </c>
      <c r="B2845" s="13" t="s">
        <v>55</v>
      </c>
      <c r="C2845" s="13" t="s">
        <v>1835</v>
      </c>
      <c r="D2845" s="13"/>
      <c r="E2845" s="13"/>
      <c r="F2845" s="13"/>
      <c r="G2845" s="13" t="s">
        <v>111</v>
      </c>
      <c r="H2845" s="13" t="s">
        <v>75</v>
      </c>
      <c r="I2845" s="13"/>
      <c r="J2845" s="13"/>
      <c r="K2845" s="15"/>
      <c r="L2845" s="15"/>
      <c r="M2845" s="16"/>
      <c r="N2845" s="16"/>
      <c r="O2845" s="17">
        <v>0.0</v>
      </c>
      <c r="P2845" s="17">
        <v>0.0</v>
      </c>
      <c r="Q2845" s="13"/>
      <c r="R2845" s="13"/>
      <c r="S2845" s="13"/>
      <c r="T2845" s="13">
        <f t="shared" ref="T2845:Y2845" si="3054">IF(ISBLANK(K2845)=TRUE,0,1)</f>
        <v>0</v>
      </c>
      <c r="U2845" s="13">
        <f t="shared" si="3054"/>
        <v>0</v>
      </c>
      <c r="V2845" s="13">
        <f t="shared" si="3054"/>
        <v>0</v>
      </c>
      <c r="W2845" s="13">
        <f t="shared" si="3054"/>
        <v>0</v>
      </c>
      <c r="X2845" s="13">
        <f t="shared" si="3054"/>
        <v>1</v>
      </c>
      <c r="Y2845" s="13">
        <f t="shared" si="3054"/>
        <v>1</v>
      </c>
      <c r="Z2845" s="13">
        <f t="shared" si="3023"/>
        <v>0</v>
      </c>
      <c r="AA2845" s="13"/>
      <c r="AB2845" s="13"/>
      <c r="AC2845" s="13"/>
      <c r="AD2845" s="13"/>
      <c r="AE2845" s="13"/>
      <c r="AF2845" s="13"/>
      <c r="AG2845" s="13"/>
      <c r="AH2845" s="13"/>
      <c r="AI2845" s="13"/>
      <c r="AJ2845" s="13"/>
      <c r="AK2845" s="13"/>
      <c r="AL2845" s="13"/>
      <c r="AM2845" s="13"/>
      <c r="AN2845" s="13"/>
      <c r="AO2845" s="13"/>
      <c r="AP2845" s="13"/>
      <c r="AQ2845" s="13"/>
      <c r="AR2845" s="13"/>
      <c r="AS2845" s="13"/>
    </row>
    <row r="2846" ht="14.25" customHeight="1">
      <c r="A2846" s="13" t="s">
        <v>46</v>
      </c>
      <c r="B2846" s="13" t="s">
        <v>55</v>
      </c>
      <c r="C2846" s="13" t="s">
        <v>1836</v>
      </c>
      <c r="D2846" s="13"/>
      <c r="E2846" s="13"/>
      <c r="F2846" s="13"/>
      <c r="G2846" s="13" t="s">
        <v>111</v>
      </c>
      <c r="H2846" s="13" t="s">
        <v>75</v>
      </c>
      <c r="I2846" s="13"/>
      <c r="J2846" s="13"/>
      <c r="K2846" s="15"/>
      <c r="L2846" s="15"/>
      <c r="M2846" s="16"/>
      <c r="N2846" s="16"/>
      <c r="O2846" s="17">
        <v>0.0</v>
      </c>
      <c r="P2846" s="17">
        <v>0.0</v>
      </c>
      <c r="Q2846" s="13"/>
      <c r="R2846" s="13"/>
      <c r="S2846" s="13"/>
      <c r="T2846" s="13">
        <f t="shared" ref="T2846:Y2846" si="3055">IF(ISBLANK(K2846)=TRUE,0,1)</f>
        <v>0</v>
      </c>
      <c r="U2846" s="13">
        <f t="shared" si="3055"/>
        <v>0</v>
      </c>
      <c r="V2846" s="13">
        <f t="shared" si="3055"/>
        <v>0</v>
      </c>
      <c r="W2846" s="13">
        <f t="shared" si="3055"/>
        <v>0</v>
      </c>
      <c r="X2846" s="13">
        <f t="shared" si="3055"/>
        <v>1</v>
      </c>
      <c r="Y2846" s="13">
        <f t="shared" si="3055"/>
        <v>1</v>
      </c>
      <c r="Z2846" s="13">
        <f t="shared" si="3023"/>
        <v>0</v>
      </c>
      <c r="AA2846" s="13"/>
      <c r="AB2846" s="13"/>
      <c r="AC2846" s="13"/>
      <c r="AD2846" s="13"/>
      <c r="AE2846" s="13"/>
      <c r="AF2846" s="13"/>
      <c r="AG2846" s="13"/>
      <c r="AH2846" s="13"/>
      <c r="AI2846" s="13"/>
      <c r="AJ2846" s="13"/>
      <c r="AK2846" s="13"/>
      <c r="AL2846" s="13"/>
      <c r="AM2846" s="13"/>
      <c r="AN2846" s="13"/>
      <c r="AO2846" s="13"/>
      <c r="AP2846" s="13"/>
      <c r="AQ2846" s="13"/>
      <c r="AR2846" s="13"/>
      <c r="AS2846" s="13"/>
    </row>
    <row r="2847" ht="14.25" customHeight="1">
      <c r="A2847" s="13" t="s">
        <v>46</v>
      </c>
      <c r="B2847" s="13" t="s">
        <v>55</v>
      </c>
      <c r="C2847" s="13" t="s">
        <v>1837</v>
      </c>
      <c r="D2847" s="13"/>
      <c r="E2847" s="13"/>
      <c r="F2847" s="13"/>
      <c r="G2847" s="13" t="s">
        <v>111</v>
      </c>
      <c r="H2847" s="13" t="s">
        <v>75</v>
      </c>
      <c r="I2847" s="13"/>
      <c r="J2847" s="13"/>
      <c r="K2847" s="15"/>
      <c r="L2847" s="15"/>
      <c r="M2847" s="16"/>
      <c r="N2847" s="16"/>
      <c r="O2847" s="17">
        <v>0.0</v>
      </c>
      <c r="P2847" s="17">
        <v>0.0</v>
      </c>
      <c r="Q2847" s="13"/>
      <c r="R2847" s="13"/>
      <c r="S2847" s="13"/>
      <c r="T2847" s="13">
        <f t="shared" ref="T2847:Y2847" si="3056">IF(ISBLANK(K2847)=TRUE,0,1)</f>
        <v>0</v>
      </c>
      <c r="U2847" s="13">
        <f t="shared" si="3056"/>
        <v>0</v>
      </c>
      <c r="V2847" s="13">
        <f t="shared" si="3056"/>
        <v>0</v>
      </c>
      <c r="W2847" s="13">
        <f t="shared" si="3056"/>
        <v>0</v>
      </c>
      <c r="X2847" s="13">
        <f t="shared" si="3056"/>
        <v>1</v>
      </c>
      <c r="Y2847" s="13">
        <f t="shared" si="3056"/>
        <v>1</v>
      </c>
      <c r="Z2847" s="13">
        <f t="shared" si="3023"/>
        <v>0</v>
      </c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13"/>
      <c r="AK2847" s="13"/>
      <c r="AL2847" s="13"/>
      <c r="AM2847" s="13"/>
      <c r="AN2847" s="13"/>
      <c r="AO2847" s="13"/>
      <c r="AP2847" s="13"/>
      <c r="AQ2847" s="13"/>
      <c r="AR2847" s="13"/>
      <c r="AS2847" s="13"/>
    </row>
    <row r="2848" ht="14.25" customHeight="1">
      <c r="A2848" s="13" t="s">
        <v>46</v>
      </c>
      <c r="B2848" s="13" t="s">
        <v>55</v>
      </c>
      <c r="C2848" s="13" t="s">
        <v>1838</v>
      </c>
      <c r="D2848" s="13"/>
      <c r="E2848" s="13"/>
      <c r="F2848" s="13"/>
      <c r="G2848" s="13" t="s">
        <v>111</v>
      </c>
      <c r="H2848" s="13" t="s">
        <v>75</v>
      </c>
      <c r="I2848" s="13"/>
      <c r="J2848" s="13"/>
      <c r="K2848" s="15"/>
      <c r="L2848" s="15"/>
      <c r="M2848" s="16"/>
      <c r="N2848" s="16"/>
      <c r="O2848" s="17">
        <v>0.0</v>
      </c>
      <c r="P2848" s="17">
        <v>0.0</v>
      </c>
      <c r="Q2848" s="13"/>
      <c r="R2848" s="13"/>
      <c r="S2848" s="13"/>
      <c r="T2848" s="13">
        <f t="shared" ref="T2848:Y2848" si="3057">IF(ISBLANK(K2848)=TRUE,0,1)</f>
        <v>0</v>
      </c>
      <c r="U2848" s="13">
        <f t="shared" si="3057"/>
        <v>0</v>
      </c>
      <c r="V2848" s="13">
        <f t="shared" si="3057"/>
        <v>0</v>
      </c>
      <c r="W2848" s="13">
        <f t="shared" si="3057"/>
        <v>0</v>
      </c>
      <c r="X2848" s="13">
        <f t="shared" si="3057"/>
        <v>1</v>
      </c>
      <c r="Y2848" s="13">
        <f t="shared" si="3057"/>
        <v>1</v>
      </c>
      <c r="Z2848" s="13">
        <f t="shared" si="3023"/>
        <v>0</v>
      </c>
      <c r="AA2848" s="13"/>
      <c r="AB2848" s="13"/>
      <c r="AC2848" s="13"/>
      <c r="AD2848" s="13"/>
      <c r="AE2848" s="13"/>
      <c r="AF2848" s="13"/>
      <c r="AG2848" s="13"/>
      <c r="AH2848" s="13"/>
      <c r="AI2848" s="13"/>
      <c r="AJ2848" s="13"/>
      <c r="AK2848" s="13"/>
      <c r="AL2848" s="13"/>
      <c r="AM2848" s="13"/>
      <c r="AN2848" s="13"/>
      <c r="AO2848" s="13"/>
      <c r="AP2848" s="13"/>
      <c r="AQ2848" s="13"/>
      <c r="AR2848" s="13"/>
      <c r="AS2848" s="13"/>
    </row>
    <row r="2849" ht="14.25" customHeight="1">
      <c r="A2849" s="13" t="s">
        <v>46</v>
      </c>
      <c r="B2849" s="13" t="s">
        <v>55</v>
      </c>
      <c r="C2849" s="13" t="s">
        <v>1839</v>
      </c>
      <c r="D2849" s="13"/>
      <c r="E2849" s="13"/>
      <c r="F2849" s="13"/>
      <c r="G2849" s="13" t="s">
        <v>111</v>
      </c>
      <c r="H2849" s="13" t="s">
        <v>75</v>
      </c>
      <c r="I2849" s="13"/>
      <c r="J2849" s="13"/>
      <c r="K2849" s="15"/>
      <c r="L2849" s="15"/>
      <c r="M2849" s="16"/>
      <c r="N2849" s="16"/>
      <c r="O2849" s="17">
        <v>0.0</v>
      </c>
      <c r="P2849" s="17">
        <v>0.0</v>
      </c>
      <c r="Q2849" s="13"/>
      <c r="R2849" s="13"/>
      <c r="S2849" s="13"/>
      <c r="T2849" s="13">
        <f t="shared" ref="T2849:Y2849" si="3058">IF(ISBLANK(K2849)=TRUE,0,1)</f>
        <v>0</v>
      </c>
      <c r="U2849" s="13">
        <f t="shared" si="3058"/>
        <v>0</v>
      </c>
      <c r="V2849" s="13">
        <f t="shared" si="3058"/>
        <v>0</v>
      </c>
      <c r="W2849" s="13">
        <f t="shared" si="3058"/>
        <v>0</v>
      </c>
      <c r="X2849" s="13">
        <f t="shared" si="3058"/>
        <v>1</v>
      </c>
      <c r="Y2849" s="13">
        <f t="shared" si="3058"/>
        <v>1</v>
      </c>
      <c r="Z2849" s="13">
        <f t="shared" si="3023"/>
        <v>0</v>
      </c>
      <c r="AA2849" s="13"/>
      <c r="AB2849" s="13"/>
      <c r="AC2849" s="13"/>
      <c r="AD2849" s="13"/>
      <c r="AE2849" s="13"/>
      <c r="AF2849" s="13"/>
      <c r="AG2849" s="13"/>
      <c r="AH2849" s="13"/>
      <c r="AI2849" s="13"/>
      <c r="AJ2849" s="13"/>
      <c r="AK2849" s="13"/>
      <c r="AL2849" s="13"/>
      <c r="AM2849" s="13"/>
      <c r="AN2849" s="13"/>
      <c r="AO2849" s="13"/>
      <c r="AP2849" s="13"/>
      <c r="AQ2849" s="13"/>
      <c r="AR2849" s="13"/>
      <c r="AS2849" s="13"/>
    </row>
    <row r="2850" ht="14.25" customHeight="1">
      <c r="A2850" s="13" t="s">
        <v>46</v>
      </c>
      <c r="B2850" s="13" t="s">
        <v>55</v>
      </c>
      <c r="C2850" s="13" t="s">
        <v>1840</v>
      </c>
      <c r="D2850" s="13"/>
      <c r="E2850" s="13"/>
      <c r="F2850" s="13"/>
      <c r="G2850" s="13" t="s">
        <v>111</v>
      </c>
      <c r="H2850" s="13" t="s">
        <v>75</v>
      </c>
      <c r="I2850" s="13"/>
      <c r="J2850" s="13"/>
      <c r="K2850" s="15"/>
      <c r="L2850" s="15"/>
      <c r="M2850" s="16"/>
      <c r="N2850" s="16"/>
      <c r="O2850" s="17">
        <v>0.0</v>
      </c>
      <c r="P2850" s="17">
        <v>0.0</v>
      </c>
      <c r="Q2850" s="13"/>
      <c r="R2850" s="13"/>
      <c r="S2850" s="13"/>
      <c r="T2850" s="13">
        <f t="shared" ref="T2850:Y2850" si="3059">IF(ISBLANK(K2850)=TRUE,0,1)</f>
        <v>0</v>
      </c>
      <c r="U2850" s="13">
        <f t="shared" si="3059"/>
        <v>0</v>
      </c>
      <c r="V2850" s="13">
        <f t="shared" si="3059"/>
        <v>0</v>
      </c>
      <c r="W2850" s="13">
        <f t="shared" si="3059"/>
        <v>0</v>
      </c>
      <c r="X2850" s="13">
        <f t="shared" si="3059"/>
        <v>1</v>
      </c>
      <c r="Y2850" s="13">
        <f t="shared" si="3059"/>
        <v>1</v>
      </c>
      <c r="Z2850" s="13">
        <f t="shared" si="3023"/>
        <v>0</v>
      </c>
      <c r="AA2850" s="13"/>
      <c r="AB2850" s="13"/>
      <c r="AC2850" s="13"/>
      <c r="AD2850" s="13"/>
      <c r="AE2850" s="13"/>
      <c r="AF2850" s="13"/>
      <c r="AG2850" s="13"/>
      <c r="AH2850" s="13"/>
      <c r="AI2850" s="13"/>
      <c r="AJ2850" s="13"/>
      <c r="AK2850" s="13"/>
      <c r="AL2850" s="13"/>
      <c r="AM2850" s="13"/>
      <c r="AN2850" s="13"/>
      <c r="AO2850" s="13"/>
      <c r="AP2850" s="13"/>
      <c r="AQ2850" s="13"/>
      <c r="AR2850" s="13"/>
      <c r="AS2850" s="13"/>
    </row>
    <row r="2851" ht="14.25" customHeight="1">
      <c r="A2851" s="13" t="s">
        <v>46</v>
      </c>
      <c r="B2851" s="13" t="s">
        <v>55</v>
      </c>
      <c r="C2851" s="13" t="s">
        <v>1841</v>
      </c>
      <c r="D2851" s="13"/>
      <c r="E2851" s="13"/>
      <c r="F2851" s="13"/>
      <c r="G2851" s="13" t="s">
        <v>111</v>
      </c>
      <c r="H2851" s="13" t="s">
        <v>75</v>
      </c>
      <c r="I2851" s="13"/>
      <c r="J2851" s="13"/>
      <c r="K2851" s="15"/>
      <c r="L2851" s="15"/>
      <c r="M2851" s="16"/>
      <c r="N2851" s="16"/>
      <c r="O2851" s="17">
        <v>0.0</v>
      </c>
      <c r="P2851" s="17">
        <v>0.0</v>
      </c>
      <c r="Q2851" s="13"/>
      <c r="R2851" s="13"/>
      <c r="S2851" s="13"/>
      <c r="T2851" s="13">
        <f t="shared" ref="T2851:Y2851" si="3060">IF(ISBLANK(K2851)=TRUE,0,1)</f>
        <v>0</v>
      </c>
      <c r="U2851" s="13">
        <f t="shared" si="3060"/>
        <v>0</v>
      </c>
      <c r="V2851" s="13">
        <f t="shared" si="3060"/>
        <v>0</v>
      </c>
      <c r="W2851" s="13">
        <f t="shared" si="3060"/>
        <v>0</v>
      </c>
      <c r="X2851" s="13">
        <f t="shared" si="3060"/>
        <v>1</v>
      </c>
      <c r="Y2851" s="13">
        <f t="shared" si="3060"/>
        <v>1</v>
      </c>
      <c r="Z2851" s="13">
        <f t="shared" si="3023"/>
        <v>0</v>
      </c>
      <c r="AA2851" s="13"/>
      <c r="AB2851" s="13"/>
      <c r="AC2851" s="13"/>
      <c r="AD2851" s="13"/>
      <c r="AE2851" s="13"/>
      <c r="AF2851" s="13"/>
      <c r="AG2851" s="13"/>
      <c r="AH2851" s="13"/>
      <c r="AI2851" s="13"/>
      <c r="AJ2851" s="13"/>
      <c r="AK2851" s="13"/>
      <c r="AL2851" s="13"/>
      <c r="AM2851" s="13"/>
      <c r="AN2851" s="13"/>
      <c r="AO2851" s="13"/>
      <c r="AP2851" s="13"/>
      <c r="AQ2851" s="13"/>
      <c r="AR2851" s="13"/>
      <c r="AS2851" s="13"/>
    </row>
    <row r="2852" ht="14.25" customHeight="1">
      <c r="A2852" s="13" t="s">
        <v>36</v>
      </c>
      <c r="B2852" s="13" t="s">
        <v>39</v>
      </c>
      <c r="C2852" s="13" t="s">
        <v>1738</v>
      </c>
      <c r="D2852" s="13" t="s">
        <v>190</v>
      </c>
      <c r="F2852" s="13"/>
      <c r="G2852" s="13" t="s">
        <v>111</v>
      </c>
      <c r="H2852" s="13" t="s">
        <v>75</v>
      </c>
      <c r="I2852" s="13"/>
      <c r="J2852" s="13"/>
      <c r="K2852" s="15">
        <v>0.0</v>
      </c>
      <c r="L2852" s="15">
        <v>0.0</v>
      </c>
      <c r="M2852" s="16"/>
      <c r="N2852" s="16"/>
      <c r="O2852" s="17"/>
      <c r="P2852" s="17"/>
      <c r="Q2852" s="13">
        <f>K2850+L2850+M2850+N2850+O2850+P2850/6</f>
        <v>0</v>
      </c>
      <c r="R2852" s="13"/>
      <c r="S2852" s="13"/>
      <c r="T2852" s="13">
        <f t="shared" ref="T2852:Y2852" si="3061">IF(ISBLANK(K2852)=TRUE,0,1)</f>
        <v>1</v>
      </c>
      <c r="U2852" s="13">
        <f t="shared" si="3061"/>
        <v>1</v>
      </c>
      <c r="V2852" s="13">
        <f t="shared" si="3061"/>
        <v>0</v>
      </c>
      <c r="W2852" s="13">
        <f t="shared" si="3061"/>
        <v>0</v>
      </c>
      <c r="X2852" s="13">
        <f t="shared" si="3061"/>
        <v>0</v>
      </c>
      <c r="Y2852" s="13">
        <f t="shared" si="3061"/>
        <v>0</v>
      </c>
      <c r="Z2852" s="13">
        <f t="shared" si="3023"/>
        <v>0</v>
      </c>
      <c r="AA2852" s="13"/>
      <c r="AB2852" s="13"/>
      <c r="AC2852" s="13"/>
      <c r="AD2852" s="13"/>
      <c r="AE2852" s="13"/>
      <c r="AF2852" s="13"/>
      <c r="AG2852" s="13"/>
      <c r="AH2852" s="13"/>
      <c r="AI2852" s="13"/>
      <c r="AJ2852" s="13"/>
      <c r="AK2852" s="13"/>
      <c r="AL2852" s="13"/>
      <c r="AM2852" s="13"/>
      <c r="AN2852" s="13"/>
      <c r="AO2852" s="13"/>
      <c r="AP2852" s="13"/>
      <c r="AQ2852" s="13"/>
      <c r="AR2852" s="13"/>
      <c r="AS2852" s="13"/>
    </row>
    <row r="2853" ht="14.25" customHeight="1">
      <c r="A2853" s="13" t="s">
        <v>46</v>
      </c>
      <c r="B2853" s="13" t="s">
        <v>55</v>
      </c>
      <c r="C2853" s="13" t="s">
        <v>1842</v>
      </c>
      <c r="D2853" s="13"/>
      <c r="E2853" s="13"/>
      <c r="F2853" s="13"/>
      <c r="G2853" s="13" t="s">
        <v>111</v>
      </c>
      <c r="H2853" s="13" t="s">
        <v>75</v>
      </c>
      <c r="I2853" s="13"/>
      <c r="J2853" s="13"/>
      <c r="K2853" s="15"/>
      <c r="L2853" s="15"/>
      <c r="M2853" s="16"/>
      <c r="N2853" s="16"/>
      <c r="O2853" s="17">
        <v>0.0</v>
      </c>
      <c r="P2853" s="17">
        <v>0.0</v>
      </c>
      <c r="Q2853" s="13"/>
      <c r="R2853" s="13"/>
      <c r="S2853" s="13"/>
      <c r="T2853" s="13">
        <f t="shared" ref="T2853:Y2853" si="3062">IF(ISBLANK(K2853)=TRUE,0,1)</f>
        <v>0</v>
      </c>
      <c r="U2853" s="13">
        <f t="shared" si="3062"/>
        <v>0</v>
      </c>
      <c r="V2853" s="13">
        <f t="shared" si="3062"/>
        <v>0</v>
      </c>
      <c r="W2853" s="13">
        <f t="shared" si="3062"/>
        <v>0</v>
      </c>
      <c r="X2853" s="13">
        <f t="shared" si="3062"/>
        <v>1</v>
      </c>
      <c r="Y2853" s="13">
        <f t="shared" si="3062"/>
        <v>1</v>
      </c>
      <c r="Z2853" s="13">
        <f t="shared" si="3023"/>
        <v>0</v>
      </c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13"/>
      <c r="AK2853" s="13"/>
      <c r="AL2853" s="13"/>
      <c r="AM2853" s="13"/>
      <c r="AN2853" s="13"/>
      <c r="AO2853" s="13"/>
      <c r="AP2853" s="13"/>
      <c r="AQ2853" s="13"/>
      <c r="AR2853" s="13"/>
      <c r="AS2853" s="13"/>
    </row>
    <row r="2854" ht="14.25" customHeight="1">
      <c r="A2854" s="13" t="s">
        <v>46</v>
      </c>
      <c r="B2854" s="13" t="s">
        <v>55</v>
      </c>
      <c r="C2854" s="13" t="s">
        <v>1843</v>
      </c>
      <c r="D2854" s="13"/>
      <c r="E2854" s="13"/>
      <c r="F2854" s="13"/>
      <c r="G2854" s="13" t="s">
        <v>111</v>
      </c>
      <c r="H2854" s="13" t="s">
        <v>75</v>
      </c>
      <c r="I2854" s="13"/>
      <c r="J2854" s="13"/>
      <c r="K2854" s="15"/>
      <c r="L2854" s="15"/>
      <c r="M2854" s="16"/>
      <c r="N2854" s="16"/>
      <c r="O2854" s="17">
        <v>0.0</v>
      </c>
      <c r="P2854" s="17">
        <v>0.0</v>
      </c>
      <c r="Q2854" s="13"/>
      <c r="R2854" s="13"/>
      <c r="S2854" s="13"/>
      <c r="T2854" s="13">
        <f t="shared" ref="T2854:Y2854" si="3063">IF(ISBLANK(K2854)=TRUE,0,1)</f>
        <v>0</v>
      </c>
      <c r="U2854" s="13">
        <f t="shared" si="3063"/>
        <v>0</v>
      </c>
      <c r="V2854" s="13">
        <f t="shared" si="3063"/>
        <v>0</v>
      </c>
      <c r="W2854" s="13">
        <f t="shared" si="3063"/>
        <v>0</v>
      </c>
      <c r="X2854" s="13">
        <f t="shared" si="3063"/>
        <v>1</v>
      </c>
      <c r="Y2854" s="13">
        <f t="shared" si="3063"/>
        <v>1</v>
      </c>
      <c r="Z2854" s="13">
        <f t="shared" si="3023"/>
        <v>0</v>
      </c>
      <c r="AA2854" s="13"/>
      <c r="AB2854" s="13"/>
      <c r="AC2854" s="13"/>
      <c r="AD2854" s="13"/>
      <c r="AE2854" s="13"/>
      <c r="AF2854" s="13"/>
      <c r="AG2854" s="13"/>
      <c r="AH2854" s="13"/>
      <c r="AI2854" s="13"/>
      <c r="AJ2854" s="13"/>
      <c r="AK2854" s="13"/>
      <c r="AL2854" s="13"/>
      <c r="AM2854" s="13"/>
      <c r="AN2854" s="13"/>
      <c r="AO2854" s="13"/>
      <c r="AP2854" s="13"/>
      <c r="AQ2854" s="13"/>
      <c r="AR2854" s="13"/>
      <c r="AS2854" s="13"/>
    </row>
    <row r="2855" ht="14.25" customHeight="1">
      <c r="A2855" s="13" t="s">
        <v>46</v>
      </c>
      <c r="B2855" s="13" t="s">
        <v>55</v>
      </c>
      <c r="C2855" s="13" t="s">
        <v>1844</v>
      </c>
      <c r="D2855" s="13"/>
      <c r="E2855" s="13"/>
      <c r="F2855" s="13"/>
      <c r="G2855" s="13" t="s">
        <v>111</v>
      </c>
      <c r="H2855" s="13" t="s">
        <v>75</v>
      </c>
      <c r="I2855" s="13"/>
      <c r="J2855" s="13"/>
      <c r="K2855" s="15"/>
      <c r="L2855" s="15"/>
      <c r="M2855" s="16"/>
      <c r="N2855" s="16"/>
      <c r="O2855" s="17">
        <v>0.0</v>
      </c>
      <c r="P2855" s="17">
        <v>0.0</v>
      </c>
      <c r="Q2855" s="13"/>
      <c r="R2855" s="13"/>
      <c r="S2855" s="13"/>
      <c r="T2855" s="13">
        <f t="shared" ref="T2855:Y2855" si="3064">IF(ISBLANK(K2855)=TRUE,0,1)</f>
        <v>0</v>
      </c>
      <c r="U2855" s="13">
        <f t="shared" si="3064"/>
        <v>0</v>
      </c>
      <c r="V2855" s="13">
        <f t="shared" si="3064"/>
        <v>0</v>
      </c>
      <c r="W2855" s="13">
        <f t="shared" si="3064"/>
        <v>0</v>
      </c>
      <c r="X2855" s="13">
        <f t="shared" si="3064"/>
        <v>1</v>
      </c>
      <c r="Y2855" s="13">
        <f t="shared" si="3064"/>
        <v>1</v>
      </c>
      <c r="Z2855" s="13">
        <f t="shared" si="3023"/>
        <v>0</v>
      </c>
      <c r="AA2855" s="13"/>
      <c r="AB2855" s="13"/>
      <c r="AC2855" s="13"/>
      <c r="AD2855" s="13"/>
      <c r="AE2855" s="13"/>
      <c r="AF2855" s="13"/>
      <c r="AG2855" s="13"/>
      <c r="AH2855" s="13"/>
      <c r="AI2855" s="13"/>
      <c r="AJ2855" s="13"/>
      <c r="AK2855" s="13"/>
      <c r="AL2855" s="13"/>
      <c r="AM2855" s="13"/>
      <c r="AN2855" s="13"/>
      <c r="AO2855" s="13"/>
      <c r="AP2855" s="13"/>
      <c r="AQ2855" s="13"/>
      <c r="AR2855" s="13"/>
      <c r="AS2855" s="13"/>
    </row>
    <row r="2856" ht="14.25" customHeight="1">
      <c r="A2856" s="13" t="s">
        <v>46</v>
      </c>
      <c r="B2856" s="13" t="s">
        <v>55</v>
      </c>
      <c r="C2856" s="13" t="s">
        <v>1845</v>
      </c>
      <c r="D2856" s="13"/>
      <c r="E2856" s="13"/>
      <c r="F2856" s="13"/>
      <c r="G2856" s="13" t="s">
        <v>111</v>
      </c>
      <c r="H2856" s="13" t="s">
        <v>75</v>
      </c>
      <c r="I2856" s="13"/>
      <c r="J2856" s="13"/>
      <c r="K2856" s="15"/>
      <c r="L2856" s="15"/>
      <c r="M2856" s="16"/>
      <c r="N2856" s="16"/>
      <c r="O2856" s="17">
        <v>0.0</v>
      </c>
      <c r="P2856" s="17">
        <v>0.0</v>
      </c>
      <c r="Q2856" s="13"/>
      <c r="R2856" s="13"/>
      <c r="S2856" s="13"/>
      <c r="T2856" s="13">
        <f t="shared" ref="T2856:Y2856" si="3065">IF(ISBLANK(K2856)=TRUE,0,1)</f>
        <v>0</v>
      </c>
      <c r="U2856" s="13">
        <f t="shared" si="3065"/>
        <v>0</v>
      </c>
      <c r="V2856" s="13">
        <f t="shared" si="3065"/>
        <v>0</v>
      </c>
      <c r="W2856" s="13">
        <f t="shared" si="3065"/>
        <v>0</v>
      </c>
      <c r="X2856" s="13">
        <f t="shared" si="3065"/>
        <v>1</v>
      </c>
      <c r="Y2856" s="13">
        <f t="shared" si="3065"/>
        <v>1</v>
      </c>
      <c r="Z2856" s="13">
        <f t="shared" si="3023"/>
        <v>0</v>
      </c>
      <c r="AA2856" s="13"/>
      <c r="AB2856" s="13"/>
      <c r="AC2856" s="13"/>
      <c r="AD2856" s="13"/>
      <c r="AE2856" s="13"/>
      <c r="AF2856" s="13"/>
      <c r="AG2856" s="13"/>
      <c r="AH2856" s="13"/>
      <c r="AI2856" s="13"/>
      <c r="AJ2856" s="13"/>
      <c r="AK2856" s="13"/>
      <c r="AL2856" s="13"/>
      <c r="AM2856" s="13"/>
      <c r="AN2856" s="13"/>
      <c r="AO2856" s="13"/>
      <c r="AP2856" s="13"/>
      <c r="AQ2856" s="13"/>
      <c r="AR2856" s="13"/>
      <c r="AS2856" s="13"/>
    </row>
    <row r="2857" ht="14.25" customHeight="1">
      <c r="A2857" s="13" t="s">
        <v>46</v>
      </c>
      <c r="B2857" s="13" t="s">
        <v>55</v>
      </c>
      <c r="C2857" s="13" t="s">
        <v>1846</v>
      </c>
      <c r="D2857" s="13"/>
      <c r="E2857" s="13"/>
      <c r="F2857" s="13"/>
      <c r="G2857" s="13" t="s">
        <v>111</v>
      </c>
      <c r="H2857" s="13" t="s">
        <v>75</v>
      </c>
      <c r="I2857" s="13"/>
      <c r="J2857" s="13"/>
      <c r="K2857" s="15"/>
      <c r="L2857" s="15"/>
      <c r="M2857" s="16"/>
      <c r="N2857" s="16"/>
      <c r="O2857" s="17">
        <v>0.0</v>
      </c>
      <c r="P2857" s="17">
        <v>0.0</v>
      </c>
      <c r="Q2857" s="13"/>
      <c r="R2857" s="13"/>
      <c r="S2857" s="13"/>
      <c r="T2857" s="13">
        <f t="shared" ref="T2857:Y2857" si="3066">IF(ISBLANK(K2857)=TRUE,0,1)</f>
        <v>0</v>
      </c>
      <c r="U2857" s="13">
        <f t="shared" si="3066"/>
        <v>0</v>
      </c>
      <c r="V2857" s="13">
        <f t="shared" si="3066"/>
        <v>0</v>
      </c>
      <c r="W2857" s="13">
        <f t="shared" si="3066"/>
        <v>0</v>
      </c>
      <c r="X2857" s="13">
        <f t="shared" si="3066"/>
        <v>1</v>
      </c>
      <c r="Y2857" s="13">
        <f t="shared" si="3066"/>
        <v>1</v>
      </c>
      <c r="Z2857" s="13">
        <f t="shared" si="3023"/>
        <v>0</v>
      </c>
      <c r="AA2857" s="13"/>
      <c r="AB2857" s="13"/>
      <c r="AC2857" s="13"/>
      <c r="AD2857" s="13"/>
      <c r="AE2857" s="13"/>
      <c r="AF2857" s="13"/>
      <c r="AG2857" s="13"/>
      <c r="AH2857" s="13"/>
      <c r="AI2857" s="13"/>
      <c r="AJ2857" s="13"/>
      <c r="AK2857" s="13"/>
      <c r="AL2857" s="13"/>
      <c r="AM2857" s="13"/>
      <c r="AN2857" s="13"/>
      <c r="AO2857" s="13"/>
      <c r="AP2857" s="13"/>
      <c r="AQ2857" s="13"/>
      <c r="AR2857" s="13"/>
      <c r="AS2857" s="13"/>
    </row>
    <row r="2858" ht="14.25" customHeight="1">
      <c r="A2858" s="13" t="s">
        <v>46</v>
      </c>
      <c r="B2858" s="13" t="s">
        <v>55</v>
      </c>
      <c r="C2858" s="13" t="s">
        <v>1847</v>
      </c>
      <c r="D2858" s="13"/>
      <c r="E2858" s="13"/>
      <c r="F2858" s="13"/>
      <c r="G2858" s="13" t="s">
        <v>111</v>
      </c>
      <c r="H2858" s="13" t="s">
        <v>75</v>
      </c>
      <c r="I2858" s="13"/>
      <c r="J2858" s="13"/>
      <c r="K2858" s="15"/>
      <c r="L2858" s="15"/>
      <c r="M2858" s="16"/>
      <c r="N2858" s="16"/>
      <c r="O2858" s="17">
        <v>0.0</v>
      </c>
      <c r="P2858" s="17">
        <v>0.0</v>
      </c>
      <c r="Q2858" s="13"/>
      <c r="R2858" s="13"/>
      <c r="S2858" s="13"/>
      <c r="T2858" s="13">
        <f t="shared" ref="T2858:Y2858" si="3067">IF(ISBLANK(K2858)=TRUE,0,1)</f>
        <v>0</v>
      </c>
      <c r="U2858" s="13">
        <f t="shared" si="3067"/>
        <v>0</v>
      </c>
      <c r="V2858" s="13">
        <f t="shared" si="3067"/>
        <v>0</v>
      </c>
      <c r="W2858" s="13">
        <f t="shared" si="3067"/>
        <v>0</v>
      </c>
      <c r="X2858" s="13">
        <f t="shared" si="3067"/>
        <v>1</v>
      </c>
      <c r="Y2858" s="13">
        <f t="shared" si="3067"/>
        <v>1</v>
      </c>
      <c r="Z2858" s="13">
        <f t="shared" si="3023"/>
        <v>0</v>
      </c>
      <c r="AA2858" s="13"/>
      <c r="AB2858" s="13"/>
      <c r="AC2858" s="13"/>
      <c r="AD2858" s="13"/>
      <c r="AE2858" s="13"/>
      <c r="AF2858" s="13"/>
      <c r="AG2858" s="13"/>
      <c r="AH2858" s="13"/>
      <c r="AI2858" s="13"/>
      <c r="AJ2858" s="13"/>
      <c r="AK2858" s="13"/>
      <c r="AL2858" s="13"/>
      <c r="AM2858" s="13"/>
      <c r="AN2858" s="13"/>
      <c r="AO2858" s="13"/>
      <c r="AP2858" s="13"/>
      <c r="AQ2858" s="13"/>
      <c r="AR2858" s="13"/>
      <c r="AS2858" s="13"/>
    </row>
    <row r="2859" ht="14.25" customHeight="1">
      <c r="A2859" s="26" t="s">
        <v>46</v>
      </c>
      <c r="B2859" s="31" t="s">
        <v>53</v>
      </c>
      <c r="C2859" s="26">
        <v>226.0</v>
      </c>
      <c r="D2859" s="26" t="s">
        <v>175</v>
      </c>
      <c r="E2859" s="13"/>
      <c r="F2859" s="26"/>
      <c r="G2859" s="26" t="s">
        <v>74</v>
      </c>
      <c r="H2859" s="26" t="s">
        <v>107</v>
      </c>
      <c r="I2859" s="13"/>
      <c r="J2859" s="13"/>
      <c r="K2859" s="15">
        <v>1.0</v>
      </c>
      <c r="L2859" s="15">
        <v>1.0</v>
      </c>
      <c r="M2859" s="16"/>
      <c r="N2859" s="16"/>
      <c r="O2859" s="17"/>
      <c r="P2859" s="17"/>
      <c r="Q2859" s="13"/>
      <c r="R2859" s="13"/>
      <c r="S2859" s="13"/>
      <c r="T2859" s="13">
        <f t="shared" ref="T2859:Y2859" si="3068">IF(ISBLANK(K2859)=TRUE,0,1)</f>
        <v>1</v>
      </c>
      <c r="U2859" s="13">
        <f t="shared" si="3068"/>
        <v>1</v>
      </c>
      <c r="V2859" s="13">
        <f t="shared" si="3068"/>
        <v>0</v>
      </c>
      <c r="W2859" s="13">
        <f t="shared" si="3068"/>
        <v>0</v>
      </c>
      <c r="X2859" s="13">
        <f t="shared" si="3068"/>
        <v>0</v>
      </c>
      <c r="Y2859" s="13">
        <f t="shared" si="3068"/>
        <v>0</v>
      </c>
      <c r="Z2859" s="13">
        <f t="shared" si="3023"/>
        <v>1</v>
      </c>
      <c r="AA2859" s="13"/>
      <c r="AB2859" s="13"/>
      <c r="AC2859" s="13"/>
      <c r="AD2859" s="13"/>
      <c r="AE2859" s="13"/>
      <c r="AF2859" s="13"/>
      <c r="AG2859" s="13"/>
      <c r="AH2859" s="13"/>
      <c r="AI2859" s="13"/>
      <c r="AJ2859" s="13"/>
      <c r="AK2859" s="13"/>
      <c r="AL2859" s="13"/>
      <c r="AM2859" s="13"/>
      <c r="AN2859" s="13"/>
      <c r="AO2859" s="13"/>
      <c r="AP2859" s="13"/>
      <c r="AQ2859" s="13"/>
      <c r="AR2859" s="13"/>
      <c r="AS2859" s="13"/>
    </row>
    <row r="2860" ht="14.25" customHeight="1">
      <c r="A2860" s="13" t="s">
        <v>46</v>
      </c>
      <c r="B2860" s="13" t="s">
        <v>55</v>
      </c>
      <c r="C2860" s="13" t="s">
        <v>1848</v>
      </c>
      <c r="D2860" s="13"/>
      <c r="E2860" s="13"/>
      <c r="F2860" s="13"/>
      <c r="G2860" s="13" t="s">
        <v>111</v>
      </c>
      <c r="H2860" s="13" t="s">
        <v>75</v>
      </c>
      <c r="I2860" s="13"/>
      <c r="J2860" s="13"/>
      <c r="K2860" s="15"/>
      <c r="L2860" s="15"/>
      <c r="M2860" s="16"/>
      <c r="N2860" s="16"/>
      <c r="O2860" s="17">
        <v>0.0</v>
      </c>
      <c r="P2860" s="17">
        <v>0.0</v>
      </c>
      <c r="Q2860" s="13"/>
      <c r="R2860" s="13"/>
      <c r="S2860" s="13"/>
      <c r="T2860" s="13">
        <f t="shared" ref="T2860:Y2860" si="3069">IF(ISBLANK(K2860)=TRUE,0,1)</f>
        <v>0</v>
      </c>
      <c r="U2860" s="13">
        <f t="shared" si="3069"/>
        <v>0</v>
      </c>
      <c r="V2860" s="13">
        <f t="shared" si="3069"/>
        <v>0</v>
      </c>
      <c r="W2860" s="13">
        <f t="shared" si="3069"/>
        <v>0</v>
      </c>
      <c r="X2860" s="13">
        <f t="shared" si="3069"/>
        <v>1</v>
      </c>
      <c r="Y2860" s="13">
        <f t="shared" si="3069"/>
        <v>1</v>
      </c>
      <c r="Z2860" s="13">
        <f t="shared" si="3023"/>
        <v>0</v>
      </c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13"/>
      <c r="AK2860" s="13"/>
      <c r="AL2860" s="13"/>
      <c r="AM2860" s="13"/>
      <c r="AN2860" s="13"/>
      <c r="AO2860" s="13"/>
      <c r="AP2860" s="13"/>
      <c r="AQ2860" s="13"/>
      <c r="AR2860" s="13"/>
      <c r="AS2860" s="13"/>
    </row>
    <row r="2861" ht="14.25" customHeight="1">
      <c r="A2861" s="13" t="s">
        <v>46</v>
      </c>
      <c r="B2861" s="13" t="s">
        <v>55</v>
      </c>
      <c r="C2861" s="13" t="s">
        <v>1849</v>
      </c>
      <c r="D2861" s="13"/>
      <c r="E2861" s="13"/>
      <c r="F2861" s="13"/>
      <c r="G2861" s="13" t="s">
        <v>111</v>
      </c>
      <c r="H2861" s="13" t="s">
        <v>75</v>
      </c>
      <c r="I2861" s="13"/>
      <c r="J2861" s="13"/>
      <c r="K2861" s="15"/>
      <c r="L2861" s="15"/>
      <c r="M2861" s="16"/>
      <c r="N2861" s="16"/>
      <c r="O2861" s="17">
        <v>0.0</v>
      </c>
      <c r="P2861" s="17">
        <v>0.0</v>
      </c>
      <c r="Q2861" s="13"/>
      <c r="R2861" s="13"/>
      <c r="S2861" s="13"/>
      <c r="T2861" s="13">
        <f t="shared" ref="T2861:Y2861" si="3070">IF(ISBLANK(K2861)=TRUE,0,1)</f>
        <v>0</v>
      </c>
      <c r="U2861" s="13">
        <f t="shared" si="3070"/>
        <v>0</v>
      </c>
      <c r="V2861" s="13">
        <f t="shared" si="3070"/>
        <v>0</v>
      </c>
      <c r="W2861" s="13">
        <f t="shared" si="3070"/>
        <v>0</v>
      </c>
      <c r="X2861" s="13">
        <f t="shared" si="3070"/>
        <v>1</v>
      </c>
      <c r="Y2861" s="13">
        <f t="shared" si="3070"/>
        <v>1</v>
      </c>
      <c r="Z2861" s="13">
        <f t="shared" si="3023"/>
        <v>0</v>
      </c>
      <c r="AA2861" s="13"/>
      <c r="AB2861" s="13"/>
      <c r="AC2861" s="13"/>
      <c r="AD2861" s="13"/>
      <c r="AE2861" s="13"/>
      <c r="AF2861" s="13"/>
      <c r="AG2861" s="13"/>
      <c r="AH2861" s="13"/>
      <c r="AI2861" s="13"/>
      <c r="AJ2861" s="13"/>
      <c r="AK2861" s="13"/>
      <c r="AL2861" s="13"/>
      <c r="AM2861" s="13"/>
      <c r="AN2861" s="13"/>
      <c r="AO2861" s="13"/>
      <c r="AP2861" s="13"/>
      <c r="AQ2861" s="13"/>
      <c r="AR2861" s="13"/>
      <c r="AS2861" s="13"/>
    </row>
    <row r="2862" ht="14.25" customHeight="1">
      <c r="A2862" s="26" t="s">
        <v>46</v>
      </c>
      <c r="B2862" s="31" t="s">
        <v>53</v>
      </c>
      <c r="C2862" s="26">
        <v>226.0</v>
      </c>
      <c r="D2862" s="26" t="s">
        <v>178</v>
      </c>
      <c r="E2862" s="13"/>
      <c r="F2862" s="26"/>
      <c r="G2862" s="26" t="s">
        <v>74</v>
      </c>
      <c r="H2862" s="26" t="s">
        <v>107</v>
      </c>
      <c r="I2862" s="13"/>
      <c r="J2862" s="13"/>
      <c r="K2862" s="15">
        <v>1.0</v>
      </c>
      <c r="L2862" s="15">
        <v>1.0</v>
      </c>
      <c r="M2862" s="16"/>
      <c r="N2862" s="16"/>
      <c r="O2862" s="17"/>
      <c r="P2862" s="17"/>
      <c r="Q2862" s="13"/>
      <c r="R2862" s="13"/>
      <c r="S2862" s="13"/>
      <c r="T2862" s="13">
        <f t="shared" ref="T2862:Y2862" si="3071">IF(ISBLANK(K2862)=TRUE,0,1)</f>
        <v>1</v>
      </c>
      <c r="U2862" s="13">
        <f t="shared" si="3071"/>
        <v>1</v>
      </c>
      <c r="V2862" s="13">
        <f t="shared" si="3071"/>
        <v>0</v>
      </c>
      <c r="W2862" s="13">
        <f t="shared" si="3071"/>
        <v>0</v>
      </c>
      <c r="X2862" s="13">
        <f t="shared" si="3071"/>
        <v>0</v>
      </c>
      <c r="Y2862" s="13">
        <f t="shared" si="3071"/>
        <v>0</v>
      </c>
      <c r="Z2862" s="13">
        <f t="shared" si="3023"/>
        <v>1</v>
      </c>
      <c r="AA2862" s="13"/>
      <c r="AB2862" s="13"/>
      <c r="AC2862" s="13"/>
      <c r="AD2862" s="13"/>
      <c r="AE2862" s="13"/>
      <c r="AF2862" s="13"/>
      <c r="AG2862" s="13"/>
      <c r="AH2862" s="13"/>
      <c r="AI2862" s="13"/>
      <c r="AJ2862" s="13"/>
      <c r="AK2862" s="13"/>
      <c r="AL2862" s="13"/>
      <c r="AM2862" s="13"/>
      <c r="AN2862" s="13"/>
      <c r="AO2862" s="13"/>
      <c r="AP2862" s="13"/>
      <c r="AQ2862" s="13"/>
      <c r="AR2862" s="13"/>
      <c r="AS2862" s="13"/>
    </row>
    <row r="2863" ht="14.25" customHeight="1">
      <c r="A2863" s="13" t="s">
        <v>46</v>
      </c>
      <c r="B2863" s="13" t="s">
        <v>55</v>
      </c>
      <c r="C2863" s="13" t="s">
        <v>1850</v>
      </c>
      <c r="D2863" s="13"/>
      <c r="E2863" s="13"/>
      <c r="F2863" s="13"/>
      <c r="G2863" s="13" t="s">
        <v>111</v>
      </c>
      <c r="H2863" s="13" t="s">
        <v>75</v>
      </c>
      <c r="I2863" s="13"/>
      <c r="J2863" s="13"/>
      <c r="K2863" s="15"/>
      <c r="L2863" s="15"/>
      <c r="M2863" s="16"/>
      <c r="N2863" s="16"/>
      <c r="O2863" s="17">
        <v>0.0</v>
      </c>
      <c r="P2863" s="17">
        <v>0.0</v>
      </c>
      <c r="Q2863" s="13"/>
      <c r="R2863" s="13"/>
      <c r="S2863" s="13"/>
      <c r="T2863" s="13">
        <f t="shared" ref="T2863:Y2863" si="3072">IF(ISBLANK(K2863)=TRUE,0,1)</f>
        <v>0</v>
      </c>
      <c r="U2863" s="13">
        <f t="shared" si="3072"/>
        <v>0</v>
      </c>
      <c r="V2863" s="13">
        <f t="shared" si="3072"/>
        <v>0</v>
      </c>
      <c r="W2863" s="13">
        <f t="shared" si="3072"/>
        <v>0</v>
      </c>
      <c r="X2863" s="13">
        <f t="shared" si="3072"/>
        <v>1</v>
      </c>
      <c r="Y2863" s="13">
        <f t="shared" si="3072"/>
        <v>1</v>
      </c>
      <c r="Z2863" s="13">
        <f t="shared" si="3023"/>
        <v>0</v>
      </c>
      <c r="AA2863" s="13"/>
      <c r="AB2863" s="13"/>
      <c r="AC2863" s="13"/>
      <c r="AD2863" s="13"/>
      <c r="AE2863" s="13"/>
      <c r="AF2863" s="13"/>
      <c r="AG2863" s="13"/>
      <c r="AH2863" s="13"/>
      <c r="AI2863" s="13"/>
      <c r="AJ2863" s="13"/>
      <c r="AK2863" s="13"/>
      <c r="AL2863" s="13"/>
      <c r="AM2863" s="13"/>
      <c r="AN2863" s="13"/>
      <c r="AO2863" s="13"/>
      <c r="AP2863" s="13"/>
      <c r="AQ2863" s="13"/>
      <c r="AR2863" s="13"/>
      <c r="AS2863" s="13"/>
    </row>
    <row r="2864" ht="14.25" customHeight="1">
      <c r="A2864" s="13" t="s">
        <v>46</v>
      </c>
      <c r="B2864" s="13" t="s">
        <v>55</v>
      </c>
      <c r="C2864" s="13" t="s">
        <v>1851</v>
      </c>
      <c r="D2864" s="13"/>
      <c r="E2864" s="13"/>
      <c r="F2864" s="13"/>
      <c r="G2864" s="13" t="s">
        <v>111</v>
      </c>
      <c r="H2864" s="13" t="s">
        <v>75</v>
      </c>
      <c r="I2864" s="13"/>
      <c r="J2864" s="13"/>
      <c r="K2864" s="15"/>
      <c r="L2864" s="15"/>
      <c r="M2864" s="16"/>
      <c r="N2864" s="16"/>
      <c r="O2864" s="17">
        <v>0.0</v>
      </c>
      <c r="P2864" s="17">
        <v>0.0</v>
      </c>
      <c r="Q2864" s="13"/>
      <c r="R2864" s="13"/>
      <c r="S2864" s="13"/>
      <c r="T2864" s="13">
        <f t="shared" ref="T2864:Y2864" si="3073">IF(ISBLANK(K2864)=TRUE,0,1)</f>
        <v>0</v>
      </c>
      <c r="U2864" s="13">
        <f t="shared" si="3073"/>
        <v>0</v>
      </c>
      <c r="V2864" s="13">
        <f t="shared" si="3073"/>
        <v>0</v>
      </c>
      <c r="W2864" s="13">
        <f t="shared" si="3073"/>
        <v>0</v>
      </c>
      <c r="X2864" s="13">
        <f t="shared" si="3073"/>
        <v>1</v>
      </c>
      <c r="Y2864" s="13">
        <f t="shared" si="3073"/>
        <v>1</v>
      </c>
      <c r="Z2864" s="13">
        <f t="shared" si="3023"/>
        <v>0</v>
      </c>
      <c r="AA2864" s="13"/>
      <c r="AB2864" s="13"/>
      <c r="AC2864" s="13"/>
      <c r="AD2864" s="13"/>
      <c r="AE2864" s="13"/>
      <c r="AF2864" s="13"/>
      <c r="AG2864" s="13"/>
      <c r="AH2864" s="13"/>
      <c r="AI2864" s="13"/>
      <c r="AJ2864" s="13"/>
      <c r="AK2864" s="13"/>
      <c r="AL2864" s="13"/>
      <c r="AM2864" s="13"/>
      <c r="AN2864" s="13"/>
      <c r="AO2864" s="13"/>
      <c r="AP2864" s="13"/>
      <c r="AQ2864" s="13"/>
      <c r="AR2864" s="13"/>
      <c r="AS2864" s="13"/>
    </row>
    <row r="2865" ht="14.25" customHeight="1">
      <c r="A2865" s="13" t="s">
        <v>46</v>
      </c>
      <c r="B2865" s="13" t="s">
        <v>55</v>
      </c>
      <c r="C2865" s="13" t="s">
        <v>1852</v>
      </c>
      <c r="D2865" s="13"/>
      <c r="E2865" s="13"/>
      <c r="F2865" s="13"/>
      <c r="G2865" s="13" t="s">
        <v>111</v>
      </c>
      <c r="H2865" s="13" t="s">
        <v>75</v>
      </c>
      <c r="I2865" s="13"/>
      <c r="J2865" s="13"/>
      <c r="K2865" s="15"/>
      <c r="L2865" s="15"/>
      <c r="M2865" s="16"/>
      <c r="N2865" s="16"/>
      <c r="O2865" s="17">
        <v>0.0</v>
      </c>
      <c r="P2865" s="17">
        <v>0.0</v>
      </c>
      <c r="Q2865" s="13"/>
      <c r="R2865" s="13"/>
      <c r="S2865" s="13"/>
      <c r="T2865" s="13">
        <f t="shared" ref="T2865:Y2865" si="3074">IF(ISBLANK(K2865)=TRUE,0,1)</f>
        <v>0</v>
      </c>
      <c r="U2865" s="13">
        <f t="shared" si="3074"/>
        <v>0</v>
      </c>
      <c r="V2865" s="13">
        <f t="shared" si="3074"/>
        <v>0</v>
      </c>
      <c r="W2865" s="13">
        <f t="shared" si="3074"/>
        <v>0</v>
      </c>
      <c r="X2865" s="13">
        <f t="shared" si="3074"/>
        <v>1</v>
      </c>
      <c r="Y2865" s="13">
        <f t="shared" si="3074"/>
        <v>1</v>
      </c>
      <c r="Z2865" s="13">
        <f t="shared" si="3023"/>
        <v>0</v>
      </c>
      <c r="AA2865" s="13"/>
      <c r="AB2865" s="13"/>
      <c r="AC2865" s="13"/>
      <c r="AD2865" s="13"/>
      <c r="AE2865" s="13"/>
      <c r="AF2865" s="13"/>
      <c r="AG2865" s="13"/>
      <c r="AH2865" s="13"/>
      <c r="AI2865" s="13"/>
      <c r="AJ2865" s="13"/>
      <c r="AK2865" s="13"/>
      <c r="AL2865" s="13"/>
      <c r="AM2865" s="13"/>
      <c r="AN2865" s="13"/>
      <c r="AO2865" s="13"/>
      <c r="AP2865" s="13"/>
      <c r="AQ2865" s="13"/>
      <c r="AR2865" s="13"/>
      <c r="AS2865" s="13"/>
    </row>
    <row r="2866" ht="14.25" customHeight="1">
      <c r="A2866" s="13" t="s">
        <v>46</v>
      </c>
      <c r="B2866" s="13" t="s">
        <v>55</v>
      </c>
      <c r="C2866" s="13" t="s">
        <v>1853</v>
      </c>
      <c r="D2866" s="13"/>
      <c r="E2866" s="13"/>
      <c r="F2866" s="13"/>
      <c r="G2866" s="13" t="s">
        <v>111</v>
      </c>
      <c r="H2866" s="13" t="s">
        <v>75</v>
      </c>
      <c r="I2866" s="13"/>
      <c r="J2866" s="13"/>
      <c r="K2866" s="15"/>
      <c r="L2866" s="15"/>
      <c r="M2866" s="16"/>
      <c r="N2866" s="16"/>
      <c r="O2866" s="17">
        <v>0.0</v>
      </c>
      <c r="P2866" s="17">
        <v>0.0</v>
      </c>
      <c r="Q2866" s="13"/>
      <c r="R2866" s="13"/>
      <c r="S2866" s="13"/>
      <c r="T2866" s="13">
        <f t="shared" ref="T2866:Y2866" si="3075">IF(ISBLANK(K2866)=TRUE,0,1)</f>
        <v>0</v>
      </c>
      <c r="U2866" s="13">
        <f t="shared" si="3075"/>
        <v>0</v>
      </c>
      <c r="V2866" s="13">
        <f t="shared" si="3075"/>
        <v>0</v>
      </c>
      <c r="W2866" s="13">
        <f t="shared" si="3075"/>
        <v>0</v>
      </c>
      <c r="X2866" s="13">
        <f t="shared" si="3075"/>
        <v>1</v>
      </c>
      <c r="Y2866" s="13">
        <f t="shared" si="3075"/>
        <v>1</v>
      </c>
      <c r="Z2866" s="13">
        <f t="shared" si="3023"/>
        <v>0</v>
      </c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</row>
    <row r="2867" ht="14.25" customHeight="1">
      <c r="A2867" s="13" t="s">
        <v>46</v>
      </c>
      <c r="B2867" s="13" t="s">
        <v>55</v>
      </c>
      <c r="C2867" s="13" t="s">
        <v>1854</v>
      </c>
      <c r="D2867" s="13"/>
      <c r="E2867" s="13"/>
      <c r="F2867" s="13"/>
      <c r="G2867" s="13" t="s">
        <v>111</v>
      </c>
      <c r="H2867" s="13" t="s">
        <v>75</v>
      </c>
      <c r="I2867" s="13"/>
      <c r="J2867" s="13"/>
      <c r="K2867" s="15"/>
      <c r="L2867" s="15"/>
      <c r="M2867" s="16"/>
      <c r="N2867" s="16"/>
      <c r="O2867" s="17">
        <v>0.0</v>
      </c>
      <c r="P2867" s="17">
        <v>0.0</v>
      </c>
      <c r="Q2867" s="13"/>
      <c r="R2867" s="13"/>
      <c r="S2867" s="13"/>
      <c r="T2867" s="13">
        <f t="shared" ref="T2867:Y2867" si="3076">IF(ISBLANK(K2867)=TRUE,0,1)</f>
        <v>0</v>
      </c>
      <c r="U2867" s="13">
        <f t="shared" si="3076"/>
        <v>0</v>
      </c>
      <c r="V2867" s="13">
        <f t="shared" si="3076"/>
        <v>0</v>
      </c>
      <c r="W2867" s="13">
        <f t="shared" si="3076"/>
        <v>0</v>
      </c>
      <c r="X2867" s="13">
        <f t="shared" si="3076"/>
        <v>1</v>
      </c>
      <c r="Y2867" s="13">
        <f t="shared" si="3076"/>
        <v>1</v>
      </c>
      <c r="Z2867" s="13">
        <f t="shared" si="3023"/>
        <v>0</v>
      </c>
      <c r="AA2867" s="13"/>
      <c r="AB2867" s="13"/>
      <c r="AC2867" s="13"/>
      <c r="AD2867" s="13"/>
      <c r="AE2867" s="13"/>
      <c r="AF2867" s="13"/>
      <c r="AG2867" s="13"/>
      <c r="AH2867" s="13"/>
      <c r="AI2867" s="13"/>
      <c r="AJ2867" s="13"/>
      <c r="AK2867" s="13"/>
      <c r="AL2867" s="13"/>
      <c r="AM2867" s="13"/>
      <c r="AN2867" s="13"/>
      <c r="AO2867" s="13"/>
      <c r="AP2867" s="13"/>
      <c r="AQ2867" s="13"/>
      <c r="AR2867" s="13"/>
      <c r="AS2867" s="13"/>
    </row>
    <row r="2868" ht="14.25" customHeight="1">
      <c r="A2868" s="13" t="s">
        <v>46</v>
      </c>
      <c r="B2868" s="13" t="s">
        <v>55</v>
      </c>
      <c r="C2868" s="13" t="s">
        <v>1855</v>
      </c>
      <c r="D2868" s="13"/>
      <c r="E2868" s="13"/>
      <c r="F2868" s="13"/>
      <c r="G2868" s="13" t="s">
        <v>111</v>
      </c>
      <c r="H2868" s="13" t="s">
        <v>75</v>
      </c>
      <c r="I2868" s="13"/>
      <c r="J2868" s="13"/>
      <c r="K2868" s="15"/>
      <c r="L2868" s="15"/>
      <c r="M2868" s="16"/>
      <c r="N2868" s="16"/>
      <c r="O2868" s="17">
        <v>0.0</v>
      </c>
      <c r="P2868" s="17">
        <v>0.0</v>
      </c>
      <c r="Q2868" s="13"/>
      <c r="R2868" s="13"/>
      <c r="S2868" s="13"/>
      <c r="T2868" s="13">
        <f t="shared" ref="T2868:Y2868" si="3077">IF(ISBLANK(K2868)=TRUE,0,1)</f>
        <v>0</v>
      </c>
      <c r="U2868" s="13">
        <f t="shared" si="3077"/>
        <v>0</v>
      </c>
      <c r="V2868" s="13">
        <f t="shared" si="3077"/>
        <v>0</v>
      </c>
      <c r="W2868" s="13">
        <f t="shared" si="3077"/>
        <v>0</v>
      </c>
      <c r="X2868" s="13">
        <f t="shared" si="3077"/>
        <v>1</v>
      </c>
      <c r="Y2868" s="13">
        <f t="shared" si="3077"/>
        <v>1</v>
      </c>
      <c r="Z2868" s="13">
        <f t="shared" si="3023"/>
        <v>0</v>
      </c>
      <c r="AA2868" s="13"/>
      <c r="AB2868" s="13"/>
      <c r="AC2868" s="13"/>
      <c r="AD2868" s="13"/>
      <c r="AE2868" s="13"/>
      <c r="AF2868" s="13"/>
      <c r="AG2868" s="13"/>
      <c r="AH2868" s="13"/>
      <c r="AI2868" s="13"/>
      <c r="AJ2868" s="13"/>
      <c r="AK2868" s="13"/>
      <c r="AL2868" s="13"/>
      <c r="AM2868" s="13"/>
      <c r="AN2868" s="13"/>
      <c r="AO2868" s="13"/>
      <c r="AP2868" s="13"/>
      <c r="AQ2868" s="13"/>
      <c r="AR2868" s="13"/>
      <c r="AS2868" s="13"/>
    </row>
    <row r="2869" ht="14.25" customHeight="1">
      <c r="A2869" s="13" t="s">
        <v>36</v>
      </c>
      <c r="B2869" s="13" t="s">
        <v>41</v>
      </c>
      <c r="C2869" s="13" t="s">
        <v>1856</v>
      </c>
      <c r="D2869" s="13"/>
      <c r="F2869" s="13"/>
      <c r="G2869" s="13" t="s">
        <v>74</v>
      </c>
      <c r="H2869" s="13" t="s">
        <v>75</v>
      </c>
      <c r="I2869" s="14">
        <v>44862.0</v>
      </c>
      <c r="J2869" s="14"/>
      <c r="K2869" s="15">
        <v>1.0</v>
      </c>
      <c r="L2869" s="15">
        <v>1.0</v>
      </c>
      <c r="M2869" s="16"/>
      <c r="N2869" s="16"/>
      <c r="O2869" s="17"/>
      <c r="P2869" s="17"/>
      <c r="Q2869" s="13">
        <f t="shared" ref="Q2869:Q2891" si="3079">K2868+L2868+M2868+N2868+O2868+P2868/6</f>
        <v>0</v>
      </c>
      <c r="R2869" s="13"/>
      <c r="S2869" s="13"/>
      <c r="T2869" s="13">
        <f t="shared" ref="T2869:Y2869" si="3078">IF(ISBLANK(K2869)=TRUE,0,1)</f>
        <v>1</v>
      </c>
      <c r="U2869" s="13">
        <f t="shared" si="3078"/>
        <v>1</v>
      </c>
      <c r="V2869" s="13">
        <f t="shared" si="3078"/>
        <v>0</v>
      </c>
      <c r="W2869" s="13">
        <f t="shared" si="3078"/>
        <v>0</v>
      </c>
      <c r="X2869" s="13">
        <f t="shared" si="3078"/>
        <v>0</v>
      </c>
      <c r="Y2869" s="13">
        <f t="shared" si="3078"/>
        <v>0</v>
      </c>
      <c r="Z2869" s="13">
        <f t="shared" si="3023"/>
        <v>1</v>
      </c>
      <c r="AA2869" s="13" t="s">
        <v>483</v>
      </c>
      <c r="AB2869" s="13"/>
      <c r="AC2869" s="13"/>
      <c r="AD2869" s="13"/>
      <c r="AE2869" s="13"/>
      <c r="AF2869" s="13"/>
      <c r="AG2869" s="13"/>
      <c r="AH2869" s="13"/>
      <c r="AI2869" s="13"/>
      <c r="AJ2869" s="13"/>
      <c r="AK2869" s="13"/>
      <c r="AL2869" s="13"/>
      <c r="AM2869" s="13"/>
      <c r="AN2869" s="13"/>
      <c r="AO2869" s="13"/>
      <c r="AP2869" s="13"/>
      <c r="AQ2869" s="13"/>
      <c r="AR2869" s="13"/>
      <c r="AS2869" s="13"/>
    </row>
    <row r="2870" ht="14.25" customHeight="1">
      <c r="A2870" s="13" t="s">
        <v>36</v>
      </c>
      <c r="B2870" s="13" t="s">
        <v>41</v>
      </c>
      <c r="C2870" s="13" t="s">
        <v>1857</v>
      </c>
      <c r="D2870" s="13"/>
      <c r="F2870" s="13"/>
      <c r="G2870" s="13" t="s">
        <v>74</v>
      </c>
      <c r="H2870" s="13" t="s">
        <v>75</v>
      </c>
      <c r="I2870" s="14">
        <v>44862.0</v>
      </c>
      <c r="J2870" s="14"/>
      <c r="K2870" s="15">
        <v>1.0</v>
      </c>
      <c r="L2870" s="15">
        <v>1.0</v>
      </c>
      <c r="M2870" s="16"/>
      <c r="N2870" s="16"/>
      <c r="O2870" s="17"/>
      <c r="P2870" s="17"/>
      <c r="Q2870" s="13">
        <f t="shared" si="3079"/>
        <v>2</v>
      </c>
      <c r="R2870" s="13"/>
      <c r="S2870" s="13"/>
      <c r="T2870" s="13">
        <f t="shared" ref="T2870:Y2870" si="3080">IF(ISBLANK(K2870)=TRUE,0,1)</f>
        <v>1</v>
      </c>
      <c r="U2870" s="13">
        <f t="shared" si="3080"/>
        <v>1</v>
      </c>
      <c r="V2870" s="13">
        <f t="shared" si="3080"/>
        <v>0</v>
      </c>
      <c r="W2870" s="13">
        <f t="shared" si="3080"/>
        <v>0</v>
      </c>
      <c r="X2870" s="13">
        <f t="shared" si="3080"/>
        <v>0</v>
      </c>
      <c r="Y2870" s="13">
        <f t="shared" si="3080"/>
        <v>0</v>
      </c>
      <c r="Z2870" s="13">
        <f t="shared" si="3023"/>
        <v>1</v>
      </c>
      <c r="AA2870" s="13" t="s">
        <v>483</v>
      </c>
      <c r="AB2870" s="13"/>
      <c r="AC2870" s="13"/>
      <c r="AD2870" s="13"/>
      <c r="AE2870" s="13"/>
      <c r="AF2870" s="13"/>
      <c r="AG2870" s="13"/>
      <c r="AH2870" s="13"/>
      <c r="AI2870" s="13"/>
      <c r="AJ2870" s="13"/>
      <c r="AK2870" s="13"/>
      <c r="AL2870" s="13"/>
      <c r="AM2870" s="13"/>
      <c r="AN2870" s="13"/>
      <c r="AO2870" s="13"/>
      <c r="AP2870" s="13"/>
      <c r="AQ2870" s="13"/>
      <c r="AR2870" s="13"/>
      <c r="AS2870" s="13"/>
    </row>
    <row r="2871" ht="14.25" customHeight="1">
      <c r="A2871" s="13" t="s">
        <v>36</v>
      </c>
      <c r="B2871" s="13" t="s">
        <v>39</v>
      </c>
      <c r="C2871" s="13" t="s">
        <v>1738</v>
      </c>
      <c r="D2871" s="13" t="s">
        <v>191</v>
      </c>
      <c r="F2871" s="13"/>
      <c r="G2871" s="13" t="s">
        <v>111</v>
      </c>
      <c r="H2871" s="13" t="s">
        <v>75</v>
      </c>
      <c r="I2871" s="13"/>
      <c r="J2871" s="13"/>
      <c r="K2871" s="15">
        <v>0.0</v>
      </c>
      <c r="L2871" s="15">
        <v>0.0</v>
      </c>
      <c r="M2871" s="16"/>
      <c r="N2871" s="16"/>
      <c r="O2871" s="17"/>
      <c r="P2871" s="17"/>
      <c r="Q2871" s="13">
        <f t="shared" si="3079"/>
        <v>2</v>
      </c>
      <c r="R2871" s="13"/>
      <c r="S2871" s="13"/>
      <c r="T2871" s="13">
        <f t="shared" ref="T2871:Y2871" si="3081">IF(ISBLANK(K2871)=TRUE,0,1)</f>
        <v>1</v>
      </c>
      <c r="U2871" s="13">
        <f t="shared" si="3081"/>
        <v>1</v>
      </c>
      <c r="V2871" s="13">
        <f t="shared" si="3081"/>
        <v>0</v>
      </c>
      <c r="W2871" s="13">
        <f t="shared" si="3081"/>
        <v>0</v>
      </c>
      <c r="X2871" s="13">
        <f t="shared" si="3081"/>
        <v>0</v>
      </c>
      <c r="Y2871" s="13">
        <f t="shared" si="3081"/>
        <v>0</v>
      </c>
      <c r="Z2871" s="13">
        <f t="shared" si="3023"/>
        <v>0</v>
      </c>
      <c r="AA2871" s="13"/>
      <c r="AB2871" s="13"/>
      <c r="AC2871" s="13"/>
      <c r="AD2871" s="13"/>
      <c r="AE2871" s="13"/>
      <c r="AF2871" s="13"/>
      <c r="AG2871" s="13"/>
      <c r="AH2871" s="13"/>
      <c r="AI2871" s="13"/>
      <c r="AJ2871" s="13"/>
      <c r="AK2871" s="13"/>
      <c r="AL2871" s="13"/>
      <c r="AM2871" s="13"/>
      <c r="AN2871" s="13"/>
      <c r="AO2871" s="13"/>
      <c r="AP2871" s="13"/>
      <c r="AQ2871" s="13"/>
      <c r="AR2871" s="13"/>
      <c r="AS2871" s="13"/>
    </row>
    <row r="2872" ht="14.25" customHeight="1">
      <c r="A2872" s="13" t="s">
        <v>36</v>
      </c>
      <c r="B2872" s="13" t="s">
        <v>37</v>
      </c>
      <c r="C2872" s="13" t="s">
        <v>1858</v>
      </c>
      <c r="D2872" s="13"/>
      <c r="F2872" s="13"/>
      <c r="G2872" s="13" t="s">
        <v>111</v>
      </c>
      <c r="H2872" s="13" t="s">
        <v>75</v>
      </c>
      <c r="I2872" s="14">
        <v>44862.0</v>
      </c>
      <c r="J2872" s="14"/>
      <c r="K2872" s="15"/>
      <c r="L2872" s="15"/>
      <c r="M2872" s="16"/>
      <c r="N2872" s="16"/>
      <c r="O2872" s="17">
        <v>0.0</v>
      </c>
      <c r="P2872" s="17">
        <v>0.0</v>
      </c>
      <c r="Q2872" s="13">
        <f t="shared" si="3079"/>
        <v>0</v>
      </c>
      <c r="R2872" s="13"/>
      <c r="S2872" s="13"/>
      <c r="T2872" s="13">
        <f t="shared" ref="T2872:Y2872" si="3082">IF(ISBLANK(K2872)=TRUE,0,1)</f>
        <v>0</v>
      </c>
      <c r="U2872" s="13">
        <f t="shared" si="3082"/>
        <v>0</v>
      </c>
      <c r="V2872" s="13">
        <f t="shared" si="3082"/>
        <v>0</v>
      </c>
      <c r="W2872" s="13">
        <f t="shared" si="3082"/>
        <v>0</v>
      </c>
      <c r="X2872" s="13">
        <f t="shared" si="3082"/>
        <v>1</v>
      </c>
      <c r="Y2872" s="13">
        <f t="shared" si="3082"/>
        <v>1</v>
      </c>
      <c r="Z2872" s="13">
        <f t="shared" si="3023"/>
        <v>0</v>
      </c>
      <c r="AA2872" s="13"/>
      <c r="AB2872" s="13"/>
      <c r="AC2872" s="13"/>
      <c r="AD2872" s="13"/>
      <c r="AE2872" s="13"/>
      <c r="AF2872" s="13"/>
      <c r="AG2872" s="13"/>
      <c r="AH2872" s="13"/>
      <c r="AI2872" s="13"/>
      <c r="AJ2872" s="13"/>
      <c r="AK2872" s="13"/>
      <c r="AL2872" s="13"/>
      <c r="AM2872" s="13"/>
      <c r="AN2872" s="13"/>
      <c r="AO2872" s="13"/>
      <c r="AP2872" s="13"/>
      <c r="AQ2872" s="13"/>
      <c r="AR2872" s="13"/>
      <c r="AS2872" s="13"/>
    </row>
    <row r="2873" ht="14.25" customHeight="1">
      <c r="A2873" s="13" t="s">
        <v>36</v>
      </c>
      <c r="B2873" s="13" t="s">
        <v>37</v>
      </c>
      <c r="C2873" s="13" t="s">
        <v>1859</v>
      </c>
      <c r="D2873" s="13" t="s">
        <v>174</v>
      </c>
      <c r="F2873" s="13"/>
      <c r="G2873" s="13" t="s">
        <v>74</v>
      </c>
      <c r="H2873" s="13" t="s">
        <v>75</v>
      </c>
      <c r="I2873" s="13"/>
      <c r="J2873" s="13"/>
      <c r="K2873" s="15">
        <v>1.0</v>
      </c>
      <c r="L2873" s="15">
        <v>1.0</v>
      </c>
      <c r="M2873" s="16"/>
      <c r="N2873" s="16"/>
      <c r="O2873" s="17"/>
      <c r="P2873" s="17"/>
      <c r="Q2873" s="13">
        <f t="shared" si="3079"/>
        <v>0</v>
      </c>
      <c r="R2873" s="13"/>
      <c r="S2873" s="13"/>
      <c r="T2873" s="13">
        <f t="shared" ref="T2873:Y2873" si="3083">IF(ISBLANK(K2873)=TRUE,0,1)</f>
        <v>1</v>
      </c>
      <c r="U2873" s="13">
        <f t="shared" si="3083"/>
        <v>1</v>
      </c>
      <c r="V2873" s="13">
        <f t="shared" si="3083"/>
        <v>0</v>
      </c>
      <c r="W2873" s="13">
        <f t="shared" si="3083"/>
        <v>0</v>
      </c>
      <c r="X2873" s="13">
        <f t="shared" si="3083"/>
        <v>0</v>
      </c>
      <c r="Y2873" s="13">
        <f t="shared" si="3083"/>
        <v>0</v>
      </c>
      <c r="Z2873" s="13">
        <f t="shared" si="3023"/>
        <v>1</v>
      </c>
      <c r="AA2873" s="13"/>
      <c r="AB2873" s="13"/>
      <c r="AC2873" s="13"/>
      <c r="AD2873" s="13"/>
      <c r="AE2873" s="13"/>
      <c r="AF2873" s="13"/>
      <c r="AG2873" s="13"/>
      <c r="AH2873" s="13"/>
      <c r="AI2873" s="13"/>
      <c r="AJ2873" s="13"/>
      <c r="AK2873" s="13"/>
      <c r="AL2873" s="13"/>
      <c r="AM2873" s="13"/>
      <c r="AN2873" s="13"/>
      <c r="AO2873" s="13"/>
      <c r="AP2873" s="13"/>
      <c r="AQ2873" s="13"/>
      <c r="AR2873" s="13"/>
      <c r="AS2873" s="13"/>
    </row>
    <row r="2874" ht="14.25" customHeight="1">
      <c r="A2874" s="13" t="s">
        <v>36</v>
      </c>
      <c r="B2874" s="13" t="s">
        <v>39</v>
      </c>
      <c r="C2874" s="13" t="s">
        <v>1738</v>
      </c>
      <c r="D2874" s="13" t="s">
        <v>192</v>
      </c>
      <c r="F2874" s="13"/>
      <c r="G2874" s="13" t="s">
        <v>111</v>
      </c>
      <c r="H2874" s="13" t="s">
        <v>75</v>
      </c>
      <c r="I2874" s="13"/>
      <c r="J2874" s="13"/>
      <c r="K2874" s="15">
        <v>0.0</v>
      </c>
      <c r="L2874" s="15">
        <v>0.0</v>
      </c>
      <c r="M2874" s="16"/>
      <c r="N2874" s="16"/>
      <c r="O2874" s="17"/>
      <c r="P2874" s="17"/>
      <c r="Q2874" s="13">
        <f t="shared" si="3079"/>
        <v>2</v>
      </c>
      <c r="R2874" s="13"/>
      <c r="S2874" s="13"/>
      <c r="T2874" s="13">
        <f t="shared" ref="T2874:Y2874" si="3084">IF(ISBLANK(K2874)=TRUE,0,1)</f>
        <v>1</v>
      </c>
      <c r="U2874" s="13">
        <f t="shared" si="3084"/>
        <v>1</v>
      </c>
      <c r="V2874" s="13">
        <f t="shared" si="3084"/>
        <v>0</v>
      </c>
      <c r="W2874" s="13">
        <f t="shared" si="3084"/>
        <v>0</v>
      </c>
      <c r="X2874" s="13">
        <f t="shared" si="3084"/>
        <v>0</v>
      </c>
      <c r="Y2874" s="13">
        <f t="shared" si="3084"/>
        <v>0</v>
      </c>
      <c r="Z2874" s="13">
        <f t="shared" si="3023"/>
        <v>0</v>
      </c>
      <c r="AA2874" s="13"/>
      <c r="AB2874" s="13"/>
      <c r="AC2874" s="13"/>
      <c r="AD2874" s="13"/>
      <c r="AE2874" s="13"/>
      <c r="AF2874" s="13"/>
      <c r="AG2874" s="13"/>
      <c r="AH2874" s="13"/>
      <c r="AI2874" s="13"/>
      <c r="AJ2874" s="13"/>
      <c r="AK2874" s="13"/>
      <c r="AL2874" s="13"/>
      <c r="AM2874" s="13"/>
      <c r="AN2874" s="13"/>
      <c r="AO2874" s="13"/>
      <c r="AP2874" s="13"/>
      <c r="AQ2874" s="13"/>
      <c r="AR2874" s="13"/>
      <c r="AS2874" s="13"/>
    </row>
    <row r="2875" ht="14.25" customHeight="1">
      <c r="A2875" s="13" t="s">
        <v>36</v>
      </c>
      <c r="B2875" s="13" t="s">
        <v>42</v>
      </c>
      <c r="C2875" s="13">
        <v>616.0</v>
      </c>
      <c r="D2875" s="13" t="s">
        <v>175</v>
      </c>
      <c r="F2875" s="13"/>
      <c r="G2875" s="13" t="s">
        <v>111</v>
      </c>
      <c r="H2875" s="13" t="s">
        <v>75</v>
      </c>
      <c r="I2875" s="13"/>
      <c r="J2875" s="13"/>
      <c r="K2875" s="15">
        <v>1.0</v>
      </c>
      <c r="L2875" s="15">
        <v>1.0</v>
      </c>
      <c r="M2875" s="16"/>
      <c r="N2875" s="16"/>
      <c r="O2875" s="17"/>
      <c r="P2875" s="17"/>
      <c r="Q2875" s="13">
        <f t="shared" si="3079"/>
        <v>0</v>
      </c>
      <c r="R2875" s="13"/>
      <c r="S2875" s="13"/>
      <c r="T2875" s="13">
        <f t="shared" ref="T2875:Y2875" si="3085">IF(ISBLANK(K2875)=TRUE,0,1)</f>
        <v>1</v>
      </c>
      <c r="U2875" s="13">
        <f t="shared" si="3085"/>
        <v>1</v>
      </c>
      <c r="V2875" s="13">
        <f t="shared" si="3085"/>
        <v>0</v>
      </c>
      <c r="W2875" s="13">
        <f t="shared" si="3085"/>
        <v>0</v>
      </c>
      <c r="X2875" s="13">
        <f t="shared" si="3085"/>
        <v>0</v>
      </c>
      <c r="Y2875" s="13">
        <f t="shared" si="3085"/>
        <v>0</v>
      </c>
      <c r="Z2875" s="13">
        <f t="shared" si="3023"/>
        <v>1</v>
      </c>
      <c r="AA2875" s="13"/>
      <c r="AB2875" s="13"/>
      <c r="AC2875" s="13"/>
      <c r="AD2875" s="13"/>
      <c r="AE2875" s="13"/>
      <c r="AF2875" s="13"/>
      <c r="AG2875" s="13"/>
      <c r="AH2875" s="13"/>
      <c r="AI2875" s="13"/>
      <c r="AJ2875" s="13"/>
      <c r="AK2875" s="13"/>
      <c r="AL2875" s="13"/>
      <c r="AM2875" s="13"/>
      <c r="AN2875" s="13"/>
      <c r="AO2875" s="13"/>
      <c r="AP2875" s="13"/>
      <c r="AQ2875" s="13"/>
      <c r="AR2875" s="13"/>
      <c r="AS2875" s="13"/>
    </row>
    <row r="2876" ht="14.25" customHeight="1">
      <c r="A2876" s="13" t="s">
        <v>36</v>
      </c>
      <c r="B2876" s="13" t="s">
        <v>42</v>
      </c>
      <c r="C2876" s="13">
        <v>616.0</v>
      </c>
      <c r="D2876" s="13" t="s">
        <v>176</v>
      </c>
      <c r="F2876" s="13"/>
      <c r="G2876" s="13" t="s">
        <v>111</v>
      </c>
      <c r="H2876" s="13" t="s">
        <v>75</v>
      </c>
      <c r="I2876" s="13"/>
      <c r="J2876" s="13"/>
      <c r="K2876" s="15">
        <v>1.0</v>
      </c>
      <c r="L2876" s="15">
        <v>1.0</v>
      </c>
      <c r="M2876" s="16"/>
      <c r="N2876" s="16"/>
      <c r="O2876" s="17"/>
      <c r="P2876" s="17"/>
      <c r="Q2876" s="13">
        <f t="shared" si="3079"/>
        <v>2</v>
      </c>
      <c r="R2876" s="13"/>
      <c r="S2876" s="13"/>
      <c r="T2876" s="13">
        <f t="shared" ref="T2876:Y2876" si="3086">IF(ISBLANK(K2876)=TRUE,0,1)</f>
        <v>1</v>
      </c>
      <c r="U2876" s="13">
        <f t="shared" si="3086"/>
        <v>1</v>
      </c>
      <c r="V2876" s="13">
        <f t="shared" si="3086"/>
        <v>0</v>
      </c>
      <c r="W2876" s="13">
        <f t="shared" si="3086"/>
        <v>0</v>
      </c>
      <c r="X2876" s="13">
        <f t="shared" si="3086"/>
        <v>0</v>
      </c>
      <c r="Y2876" s="13">
        <f t="shared" si="3086"/>
        <v>0</v>
      </c>
      <c r="Z2876" s="13">
        <f t="shared" si="3023"/>
        <v>1</v>
      </c>
      <c r="AA2876" s="13"/>
      <c r="AB2876" s="13"/>
      <c r="AC2876" s="13"/>
      <c r="AD2876" s="13"/>
      <c r="AE2876" s="13"/>
      <c r="AF2876" s="13"/>
      <c r="AG2876" s="13"/>
      <c r="AH2876" s="13"/>
      <c r="AI2876" s="13"/>
      <c r="AJ2876" s="13"/>
      <c r="AK2876" s="13"/>
      <c r="AL2876" s="13"/>
      <c r="AM2876" s="13"/>
      <c r="AN2876" s="13"/>
      <c r="AO2876" s="13"/>
      <c r="AP2876" s="13"/>
      <c r="AQ2876" s="13"/>
      <c r="AR2876" s="13"/>
      <c r="AS2876" s="13"/>
    </row>
    <row r="2877" ht="14.25" customHeight="1">
      <c r="A2877" s="13" t="s">
        <v>36</v>
      </c>
      <c r="B2877" s="13" t="s">
        <v>42</v>
      </c>
      <c r="C2877" s="13">
        <v>616.0</v>
      </c>
      <c r="D2877" s="13" t="s">
        <v>177</v>
      </c>
      <c r="F2877" s="13"/>
      <c r="G2877" s="13" t="s">
        <v>111</v>
      </c>
      <c r="H2877" s="13" t="s">
        <v>75</v>
      </c>
      <c r="I2877" s="13"/>
      <c r="J2877" s="13"/>
      <c r="K2877" s="15">
        <v>1.0</v>
      </c>
      <c r="L2877" s="15">
        <v>1.0</v>
      </c>
      <c r="M2877" s="16"/>
      <c r="N2877" s="16"/>
      <c r="O2877" s="17"/>
      <c r="P2877" s="17"/>
      <c r="Q2877" s="13">
        <f t="shared" si="3079"/>
        <v>2</v>
      </c>
      <c r="R2877" s="13"/>
      <c r="S2877" s="13"/>
      <c r="T2877" s="13">
        <f t="shared" ref="T2877:Y2877" si="3087">IF(ISBLANK(K2877)=TRUE,0,1)</f>
        <v>1</v>
      </c>
      <c r="U2877" s="13">
        <f t="shared" si="3087"/>
        <v>1</v>
      </c>
      <c r="V2877" s="13">
        <f t="shared" si="3087"/>
        <v>0</v>
      </c>
      <c r="W2877" s="13">
        <f t="shared" si="3087"/>
        <v>0</v>
      </c>
      <c r="X2877" s="13">
        <f t="shared" si="3087"/>
        <v>0</v>
      </c>
      <c r="Y2877" s="13">
        <f t="shared" si="3087"/>
        <v>0</v>
      </c>
      <c r="Z2877" s="13">
        <f t="shared" si="3023"/>
        <v>1</v>
      </c>
      <c r="AA2877" s="13"/>
      <c r="AB2877" s="13"/>
      <c r="AC2877" s="13"/>
      <c r="AD2877" s="13"/>
      <c r="AE2877" s="13"/>
      <c r="AF2877" s="13"/>
      <c r="AG2877" s="13"/>
      <c r="AH2877" s="13"/>
      <c r="AI2877" s="13"/>
      <c r="AJ2877" s="13"/>
      <c r="AK2877" s="13"/>
      <c r="AL2877" s="13"/>
      <c r="AM2877" s="13"/>
      <c r="AN2877" s="13"/>
      <c r="AO2877" s="13"/>
      <c r="AP2877" s="13"/>
      <c r="AQ2877" s="13"/>
      <c r="AR2877" s="13"/>
      <c r="AS2877" s="13"/>
    </row>
    <row r="2878" ht="14.25" customHeight="1">
      <c r="A2878" s="13" t="s">
        <v>36</v>
      </c>
      <c r="B2878" s="13" t="s">
        <v>42</v>
      </c>
      <c r="C2878" s="13">
        <v>616.0</v>
      </c>
      <c r="D2878" s="13" t="s">
        <v>178</v>
      </c>
      <c r="F2878" s="13"/>
      <c r="G2878" s="13" t="s">
        <v>111</v>
      </c>
      <c r="H2878" s="13" t="s">
        <v>75</v>
      </c>
      <c r="I2878" s="13"/>
      <c r="J2878" s="13"/>
      <c r="K2878" s="15">
        <v>1.0</v>
      </c>
      <c r="L2878" s="15">
        <v>1.0</v>
      </c>
      <c r="M2878" s="16"/>
      <c r="N2878" s="16"/>
      <c r="O2878" s="17"/>
      <c r="P2878" s="17"/>
      <c r="Q2878" s="13">
        <f t="shared" si="3079"/>
        <v>2</v>
      </c>
      <c r="R2878" s="13"/>
      <c r="S2878" s="13"/>
      <c r="T2878" s="13">
        <f t="shared" ref="T2878:Y2878" si="3088">IF(ISBLANK(K2878)=TRUE,0,1)</f>
        <v>1</v>
      </c>
      <c r="U2878" s="13">
        <f t="shared" si="3088"/>
        <v>1</v>
      </c>
      <c r="V2878" s="13">
        <f t="shared" si="3088"/>
        <v>0</v>
      </c>
      <c r="W2878" s="13">
        <f t="shared" si="3088"/>
        <v>0</v>
      </c>
      <c r="X2878" s="13">
        <f t="shared" si="3088"/>
        <v>0</v>
      </c>
      <c r="Y2878" s="13">
        <f t="shared" si="3088"/>
        <v>0</v>
      </c>
      <c r="Z2878" s="13">
        <f t="shared" si="3023"/>
        <v>1</v>
      </c>
      <c r="AA2878" s="13"/>
      <c r="AB2878" s="13"/>
      <c r="AC2878" s="13"/>
      <c r="AD2878" s="13"/>
      <c r="AE2878" s="13"/>
      <c r="AF2878" s="13"/>
      <c r="AG2878" s="13"/>
      <c r="AH2878" s="13"/>
      <c r="AI2878" s="13"/>
      <c r="AJ2878" s="13"/>
      <c r="AK2878" s="13"/>
      <c r="AL2878" s="13"/>
      <c r="AM2878" s="13"/>
      <c r="AN2878" s="13"/>
      <c r="AO2878" s="13"/>
      <c r="AP2878" s="13"/>
      <c r="AQ2878" s="13"/>
      <c r="AR2878" s="13"/>
      <c r="AS2878" s="13"/>
    </row>
    <row r="2879" ht="14.25" customHeight="1">
      <c r="A2879" s="13" t="s">
        <v>36</v>
      </c>
      <c r="B2879" s="13" t="s">
        <v>42</v>
      </c>
      <c r="C2879" s="13">
        <v>616.0</v>
      </c>
      <c r="D2879" s="13" t="s">
        <v>179</v>
      </c>
      <c r="F2879" s="13"/>
      <c r="G2879" s="13" t="s">
        <v>111</v>
      </c>
      <c r="H2879" s="13" t="s">
        <v>75</v>
      </c>
      <c r="I2879" s="13"/>
      <c r="J2879" s="13"/>
      <c r="K2879" s="15">
        <v>1.0</v>
      </c>
      <c r="L2879" s="15">
        <v>1.0</v>
      </c>
      <c r="M2879" s="16"/>
      <c r="N2879" s="16"/>
      <c r="O2879" s="17"/>
      <c r="P2879" s="17"/>
      <c r="Q2879" s="13">
        <f t="shared" si="3079"/>
        <v>2</v>
      </c>
      <c r="R2879" s="13"/>
      <c r="S2879" s="13"/>
      <c r="T2879" s="13">
        <f t="shared" ref="T2879:Y2879" si="3089">IF(ISBLANK(K2879)=TRUE,0,1)</f>
        <v>1</v>
      </c>
      <c r="U2879" s="13">
        <f t="shared" si="3089"/>
        <v>1</v>
      </c>
      <c r="V2879" s="13">
        <f t="shared" si="3089"/>
        <v>0</v>
      </c>
      <c r="W2879" s="13">
        <f t="shared" si="3089"/>
        <v>0</v>
      </c>
      <c r="X2879" s="13">
        <f t="shared" si="3089"/>
        <v>0</v>
      </c>
      <c r="Y2879" s="13">
        <f t="shared" si="3089"/>
        <v>0</v>
      </c>
      <c r="Z2879" s="13">
        <f t="shared" si="3023"/>
        <v>1</v>
      </c>
      <c r="AA2879" s="13"/>
      <c r="AB2879" s="13"/>
      <c r="AC2879" s="13"/>
      <c r="AD2879" s="13"/>
      <c r="AE2879" s="13"/>
      <c r="AF2879" s="13"/>
      <c r="AG2879" s="13"/>
      <c r="AH2879" s="13"/>
      <c r="AI2879" s="13"/>
      <c r="AJ2879" s="13"/>
      <c r="AK2879" s="13"/>
      <c r="AL2879" s="13"/>
      <c r="AM2879" s="13"/>
      <c r="AN2879" s="13"/>
      <c r="AO2879" s="13"/>
      <c r="AP2879" s="13"/>
      <c r="AQ2879" s="13"/>
      <c r="AR2879" s="13"/>
      <c r="AS2879" s="13"/>
    </row>
    <row r="2880" ht="14.25" customHeight="1">
      <c r="A2880" s="13" t="s">
        <v>36</v>
      </c>
      <c r="B2880" s="13" t="s">
        <v>42</v>
      </c>
      <c r="C2880" s="13">
        <v>616.0</v>
      </c>
      <c r="D2880" s="13" t="s">
        <v>180</v>
      </c>
      <c r="F2880" s="13"/>
      <c r="G2880" s="13" t="s">
        <v>111</v>
      </c>
      <c r="H2880" s="13" t="s">
        <v>75</v>
      </c>
      <c r="I2880" s="13"/>
      <c r="J2880" s="13"/>
      <c r="K2880" s="15">
        <v>1.0</v>
      </c>
      <c r="L2880" s="15">
        <v>1.0</v>
      </c>
      <c r="M2880" s="16"/>
      <c r="N2880" s="16"/>
      <c r="O2880" s="17"/>
      <c r="P2880" s="17"/>
      <c r="Q2880" s="13">
        <f t="shared" si="3079"/>
        <v>2</v>
      </c>
      <c r="R2880" s="13"/>
      <c r="S2880" s="13"/>
      <c r="T2880" s="13">
        <f t="shared" ref="T2880:Y2880" si="3090">IF(ISBLANK(K2880)=TRUE,0,1)</f>
        <v>1</v>
      </c>
      <c r="U2880" s="13">
        <f t="shared" si="3090"/>
        <v>1</v>
      </c>
      <c r="V2880" s="13">
        <f t="shared" si="3090"/>
        <v>0</v>
      </c>
      <c r="W2880" s="13">
        <f t="shared" si="3090"/>
        <v>0</v>
      </c>
      <c r="X2880" s="13">
        <f t="shared" si="3090"/>
        <v>0</v>
      </c>
      <c r="Y2880" s="13">
        <f t="shared" si="3090"/>
        <v>0</v>
      </c>
      <c r="Z2880" s="13">
        <f t="shared" si="3023"/>
        <v>1</v>
      </c>
      <c r="AA2880" s="13"/>
      <c r="AB2880" s="13"/>
      <c r="AC2880" s="13"/>
      <c r="AD2880" s="13"/>
      <c r="AE2880" s="13"/>
      <c r="AF2880" s="13"/>
      <c r="AG2880" s="13"/>
      <c r="AH2880" s="13"/>
      <c r="AI2880" s="13"/>
      <c r="AJ2880" s="13"/>
      <c r="AK2880" s="13"/>
      <c r="AL2880" s="13"/>
      <c r="AM2880" s="13"/>
      <c r="AN2880" s="13"/>
      <c r="AO2880" s="13"/>
      <c r="AP2880" s="13"/>
      <c r="AQ2880" s="13"/>
      <c r="AR2880" s="13"/>
      <c r="AS2880" s="13"/>
    </row>
    <row r="2881" ht="14.25" customHeight="1">
      <c r="A2881" s="13" t="s">
        <v>36</v>
      </c>
      <c r="B2881" s="13" t="s">
        <v>42</v>
      </c>
      <c r="C2881" s="13">
        <v>616.0</v>
      </c>
      <c r="D2881" s="13" t="s">
        <v>181</v>
      </c>
      <c r="F2881" s="13"/>
      <c r="G2881" s="13" t="s">
        <v>111</v>
      </c>
      <c r="H2881" s="13" t="s">
        <v>75</v>
      </c>
      <c r="I2881" s="13"/>
      <c r="J2881" s="13"/>
      <c r="K2881" s="15">
        <v>1.0</v>
      </c>
      <c r="L2881" s="15">
        <v>1.0</v>
      </c>
      <c r="M2881" s="16"/>
      <c r="N2881" s="16"/>
      <c r="O2881" s="17"/>
      <c r="P2881" s="17"/>
      <c r="Q2881" s="13">
        <f t="shared" si="3079"/>
        <v>2</v>
      </c>
      <c r="R2881" s="13"/>
      <c r="S2881" s="13"/>
      <c r="T2881" s="13">
        <f t="shared" ref="T2881:Y2881" si="3091">IF(ISBLANK(K2881)=TRUE,0,1)</f>
        <v>1</v>
      </c>
      <c r="U2881" s="13">
        <f t="shared" si="3091"/>
        <v>1</v>
      </c>
      <c r="V2881" s="13">
        <f t="shared" si="3091"/>
        <v>0</v>
      </c>
      <c r="W2881" s="13">
        <f t="shared" si="3091"/>
        <v>0</v>
      </c>
      <c r="X2881" s="13">
        <f t="shared" si="3091"/>
        <v>0</v>
      </c>
      <c r="Y2881" s="13">
        <f t="shared" si="3091"/>
        <v>0</v>
      </c>
      <c r="Z2881" s="13">
        <f t="shared" si="3023"/>
        <v>1</v>
      </c>
      <c r="AA2881" s="13"/>
      <c r="AB2881" s="13"/>
      <c r="AC2881" s="13"/>
      <c r="AD2881" s="13"/>
      <c r="AE2881" s="13"/>
      <c r="AF2881" s="13"/>
      <c r="AG2881" s="13"/>
      <c r="AH2881" s="13"/>
      <c r="AI2881" s="13"/>
      <c r="AJ2881" s="13"/>
      <c r="AK2881" s="13"/>
      <c r="AL2881" s="13"/>
      <c r="AM2881" s="13"/>
      <c r="AN2881" s="13"/>
      <c r="AO2881" s="13"/>
      <c r="AP2881" s="13"/>
      <c r="AQ2881" s="13"/>
      <c r="AR2881" s="13"/>
      <c r="AS2881" s="13"/>
    </row>
    <row r="2882" ht="14.25" customHeight="1">
      <c r="A2882" s="13" t="s">
        <v>36</v>
      </c>
      <c r="B2882" s="13" t="s">
        <v>42</v>
      </c>
      <c r="C2882" s="13">
        <v>616.0</v>
      </c>
      <c r="D2882" s="13" t="s">
        <v>182</v>
      </c>
      <c r="F2882" s="13"/>
      <c r="G2882" s="13" t="s">
        <v>111</v>
      </c>
      <c r="H2882" s="13" t="s">
        <v>75</v>
      </c>
      <c r="I2882" s="13"/>
      <c r="J2882" s="13"/>
      <c r="K2882" s="15">
        <v>1.0</v>
      </c>
      <c r="L2882" s="15">
        <v>1.0</v>
      </c>
      <c r="M2882" s="16"/>
      <c r="N2882" s="16"/>
      <c r="O2882" s="17"/>
      <c r="P2882" s="17"/>
      <c r="Q2882" s="13">
        <f t="shared" si="3079"/>
        <v>2</v>
      </c>
      <c r="R2882" s="13"/>
      <c r="S2882" s="13"/>
      <c r="T2882" s="13">
        <f t="shared" ref="T2882:Y2882" si="3092">IF(ISBLANK(K2882)=TRUE,0,1)</f>
        <v>1</v>
      </c>
      <c r="U2882" s="13">
        <f t="shared" si="3092"/>
        <v>1</v>
      </c>
      <c r="V2882" s="13">
        <f t="shared" si="3092"/>
        <v>0</v>
      </c>
      <c r="W2882" s="13">
        <f t="shared" si="3092"/>
        <v>0</v>
      </c>
      <c r="X2882" s="13">
        <f t="shared" si="3092"/>
        <v>0</v>
      </c>
      <c r="Y2882" s="13">
        <f t="shared" si="3092"/>
        <v>0</v>
      </c>
      <c r="Z2882" s="13">
        <f t="shared" si="3023"/>
        <v>1</v>
      </c>
      <c r="AA2882" s="13"/>
      <c r="AB2882" s="13"/>
      <c r="AC2882" s="13"/>
      <c r="AD2882" s="13"/>
      <c r="AE2882" s="13"/>
      <c r="AF2882" s="13"/>
      <c r="AG2882" s="13"/>
      <c r="AH2882" s="13"/>
      <c r="AI2882" s="13"/>
      <c r="AJ2882" s="13"/>
      <c r="AK2882" s="13"/>
      <c r="AL2882" s="13"/>
      <c r="AM2882" s="13"/>
      <c r="AN2882" s="13"/>
      <c r="AO2882" s="13"/>
      <c r="AP2882" s="13"/>
      <c r="AQ2882" s="13"/>
      <c r="AR2882" s="13"/>
      <c r="AS2882" s="13"/>
    </row>
    <row r="2883" ht="14.25" customHeight="1">
      <c r="A2883" s="13" t="s">
        <v>36</v>
      </c>
      <c r="B2883" s="13" t="s">
        <v>41</v>
      </c>
      <c r="C2883" s="13" t="s">
        <v>1860</v>
      </c>
      <c r="D2883" s="13" t="s">
        <v>174</v>
      </c>
      <c r="F2883" s="13"/>
      <c r="G2883" s="13" t="s">
        <v>74</v>
      </c>
      <c r="H2883" s="13" t="s">
        <v>75</v>
      </c>
      <c r="I2883" s="13"/>
      <c r="J2883" s="13"/>
      <c r="K2883" s="15">
        <v>1.0</v>
      </c>
      <c r="L2883" s="15">
        <v>1.0</v>
      </c>
      <c r="M2883" s="16"/>
      <c r="N2883" s="16"/>
      <c r="O2883" s="17">
        <v>1.0</v>
      </c>
      <c r="P2883" s="17">
        <v>1.0</v>
      </c>
      <c r="Q2883" s="13">
        <f t="shared" si="3079"/>
        <v>2</v>
      </c>
      <c r="R2883" s="13"/>
      <c r="S2883" s="13"/>
      <c r="T2883" s="13">
        <f t="shared" ref="T2883:Y2883" si="3093">IF(ISBLANK(K2883)=TRUE,0,1)</f>
        <v>1</v>
      </c>
      <c r="U2883" s="13">
        <f t="shared" si="3093"/>
        <v>1</v>
      </c>
      <c r="V2883" s="13">
        <f t="shared" si="3093"/>
        <v>0</v>
      </c>
      <c r="W2883" s="13">
        <f t="shared" si="3093"/>
        <v>0</v>
      </c>
      <c r="X2883" s="13">
        <f t="shared" si="3093"/>
        <v>1</v>
      </c>
      <c r="Y2883" s="13">
        <f t="shared" si="3093"/>
        <v>1</v>
      </c>
      <c r="Z2883" s="13">
        <f t="shared" si="3023"/>
        <v>1</v>
      </c>
      <c r="AA2883" s="13"/>
      <c r="AB2883" s="13"/>
      <c r="AC2883" s="13"/>
      <c r="AD2883" s="13"/>
      <c r="AE2883" s="13"/>
      <c r="AF2883" s="13"/>
      <c r="AG2883" s="13"/>
      <c r="AH2883" s="13"/>
      <c r="AI2883" s="13"/>
      <c r="AJ2883" s="13"/>
      <c r="AK2883" s="13"/>
      <c r="AL2883" s="13"/>
      <c r="AM2883" s="13"/>
      <c r="AN2883" s="13"/>
      <c r="AO2883" s="13"/>
      <c r="AP2883" s="13"/>
      <c r="AQ2883" s="13"/>
      <c r="AR2883" s="13"/>
      <c r="AS2883" s="13"/>
    </row>
    <row r="2884" ht="14.25" customHeight="1">
      <c r="A2884" s="13" t="s">
        <v>36</v>
      </c>
      <c r="B2884" s="13" t="s">
        <v>41</v>
      </c>
      <c r="C2884" s="13" t="s">
        <v>1860</v>
      </c>
      <c r="D2884" s="13" t="s">
        <v>175</v>
      </c>
      <c r="F2884" s="13"/>
      <c r="G2884" s="13" t="s">
        <v>74</v>
      </c>
      <c r="H2884" s="13" t="s">
        <v>75</v>
      </c>
      <c r="I2884" s="13"/>
      <c r="J2884" s="13"/>
      <c r="K2884" s="15">
        <v>1.0</v>
      </c>
      <c r="L2884" s="15">
        <v>1.0</v>
      </c>
      <c r="M2884" s="16"/>
      <c r="N2884" s="16"/>
      <c r="O2884" s="17">
        <v>1.0</v>
      </c>
      <c r="P2884" s="17">
        <v>1.0</v>
      </c>
      <c r="Q2884" s="13">
        <f t="shared" si="3079"/>
        <v>3.166666667</v>
      </c>
      <c r="R2884" s="13"/>
      <c r="S2884" s="13"/>
      <c r="T2884" s="13">
        <f t="shared" ref="T2884:Y2884" si="3094">IF(ISBLANK(K2884)=TRUE,0,1)</f>
        <v>1</v>
      </c>
      <c r="U2884" s="13">
        <f t="shared" si="3094"/>
        <v>1</v>
      </c>
      <c r="V2884" s="13">
        <f t="shared" si="3094"/>
        <v>0</v>
      </c>
      <c r="W2884" s="13">
        <f t="shared" si="3094"/>
        <v>0</v>
      </c>
      <c r="X2884" s="13">
        <f t="shared" si="3094"/>
        <v>1</v>
      </c>
      <c r="Y2884" s="13">
        <f t="shared" si="3094"/>
        <v>1</v>
      </c>
      <c r="Z2884" s="13">
        <f t="shared" si="3023"/>
        <v>1</v>
      </c>
      <c r="AA2884" s="13"/>
      <c r="AB2884" s="13"/>
      <c r="AC2884" s="13"/>
      <c r="AD2884" s="13"/>
      <c r="AE2884" s="13"/>
      <c r="AF2884" s="13"/>
      <c r="AG2884" s="13"/>
      <c r="AH2884" s="13"/>
      <c r="AI2884" s="13"/>
      <c r="AJ2884" s="13"/>
      <c r="AK2884" s="13"/>
      <c r="AL2884" s="13"/>
      <c r="AM2884" s="13"/>
      <c r="AN2884" s="13"/>
      <c r="AO2884" s="13"/>
      <c r="AP2884" s="13"/>
      <c r="AQ2884" s="13"/>
      <c r="AR2884" s="13"/>
      <c r="AS2884" s="13"/>
    </row>
    <row r="2885" ht="14.25" customHeight="1">
      <c r="A2885" s="13" t="s">
        <v>36</v>
      </c>
      <c r="B2885" s="13" t="s">
        <v>42</v>
      </c>
      <c r="C2885" s="13">
        <v>616.0</v>
      </c>
      <c r="D2885" s="13" t="s">
        <v>183</v>
      </c>
      <c r="F2885" s="13"/>
      <c r="G2885" s="13" t="s">
        <v>111</v>
      </c>
      <c r="H2885" s="13" t="s">
        <v>75</v>
      </c>
      <c r="I2885" s="13"/>
      <c r="J2885" s="13"/>
      <c r="K2885" s="15">
        <v>1.0</v>
      </c>
      <c r="L2885" s="15">
        <v>1.0</v>
      </c>
      <c r="M2885" s="16"/>
      <c r="N2885" s="16"/>
      <c r="O2885" s="17"/>
      <c r="P2885" s="17"/>
      <c r="Q2885" s="13">
        <f t="shared" si="3079"/>
        <v>3.166666667</v>
      </c>
      <c r="R2885" s="13"/>
      <c r="S2885" s="13"/>
      <c r="T2885" s="13">
        <f t="shared" ref="T2885:Y2885" si="3095">IF(ISBLANK(K2885)=TRUE,0,1)</f>
        <v>1</v>
      </c>
      <c r="U2885" s="13">
        <f t="shared" si="3095"/>
        <v>1</v>
      </c>
      <c r="V2885" s="13">
        <f t="shared" si="3095"/>
        <v>0</v>
      </c>
      <c r="W2885" s="13">
        <f t="shared" si="3095"/>
        <v>0</v>
      </c>
      <c r="X2885" s="13">
        <f t="shared" si="3095"/>
        <v>0</v>
      </c>
      <c r="Y2885" s="13">
        <f t="shared" si="3095"/>
        <v>0</v>
      </c>
      <c r="Z2885" s="13">
        <f t="shared" si="3023"/>
        <v>1</v>
      </c>
      <c r="AA2885" s="13"/>
      <c r="AB2885" s="13"/>
      <c r="AC2885" s="13"/>
      <c r="AD2885" s="13"/>
      <c r="AE2885" s="13"/>
      <c r="AF2885" s="13"/>
      <c r="AG2885" s="13"/>
      <c r="AH2885" s="13"/>
      <c r="AI2885" s="13"/>
      <c r="AJ2885" s="13"/>
      <c r="AK2885" s="13"/>
      <c r="AL2885" s="13"/>
      <c r="AM2885" s="13"/>
      <c r="AN2885" s="13"/>
      <c r="AO2885" s="13"/>
      <c r="AP2885" s="13"/>
      <c r="AQ2885" s="13"/>
      <c r="AR2885" s="13"/>
      <c r="AS2885" s="13"/>
    </row>
    <row r="2886" ht="14.25" customHeight="1">
      <c r="A2886" s="13" t="s">
        <v>36</v>
      </c>
      <c r="B2886" s="13" t="s">
        <v>39</v>
      </c>
      <c r="C2886" s="13" t="s">
        <v>1738</v>
      </c>
      <c r="D2886" s="13" t="s">
        <v>193</v>
      </c>
      <c r="F2886" s="13"/>
      <c r="G2886" s="13" t="s">
        <v>111</v>
      </c>
      <c r="H2886" s="13" t="s">
        <v>75</v>
      </c>
      <c r="I2886" s="13"/>
      <c r="J2886" s="13"/>
      <c r="K2886" s="15">
        <v>0.0</v>
      </c>
      <c r="L2886" s="15">
        <v>0.0</v>
      </c>
      <c r="M2886" s="16"/>
      <c r="N2886" s="16"/>
      <c r="O2886" s="17"/>
      <c r="P2886" s="17"/>
      <c r="Q2886" s="13">
        <f t="shared" si="3079"/>
        <v>2</v>
      </c>
      <c r="R2886" s="13"/>
      <c r="S2886" s="13"/>
      <c r="T2886" s="13">
        <f t="shared" ref="T2886:Y2886" si="3096">IF(ISBLANK(K2886)=TRUE,0,1)</f>
        <v>1</v>
      </c>
      <c r="U2886" s="13">
        <f t="shared" si="3096"/>
        <v>1</v>
      </c>
      <c r="V2886" s="13">
        <f t="shared" si="3096"/>
        <v>0</v>
      </c>
      <c r="W2886" s="13">
        <f t="shared" si="3096"/>
        <v>0</v>
      </c>
      <c r="X2886" s="13">
        <f t="shared" si="3096"/>
        <v>0</v>
      </c>
      <c r="Y2886" s="13">
        <f t="shared" si="3096"/>
        <v>0</v>
      </c>
      <c r="Z2886" s="13">
        <f t="shared" si="3023"/>
        <v>0</v>
      </c>
      <c r="AA2886" s="13"/>
      <c r="AB2886" s="13"/>
      <c r="AC2886" s="13"/>
      <c r="AD2886" s="13"/>
      <c r="AE2886" s="13"/>
      <c r="AF2886" s="13"/>
      <c r="AG2886" s="13"/>
      <c r="AH2886" s="13"/>
      <c r="AI2886" s="13"/>
      <c r="AJ2886" s="13"/>
      <c r="AK2886" s="13"/>
      <c r="AL2886" s="13"/>
      <c r="AM2886" s="13"/>
      <c r="AN2886" s="13"/>
      <c r="AO2886" s="13"/>
      <c r="AP2886" s="13"/>
      <c r="AQ2886" s="13"/>
      <c r="AR2886" s="13"/>
      <c r="AS2886" s="13"/>
    </row>
    <row r="2887" ht="14.25" customHeight="1">
      <c r="A2887" s="13" t="s">
        <v>36</v>
      </c>
      <c r="B2887" s="13" t="s">
        <v>39</v>
      </c>
      <c r="C2887" s="13" t="s">
        <v>1738</v>
      </c>
      <c r="D2887" s="13" t="s">
        <v>194</v>
      </c>
      <c r="F2887" s="13"/>
      <c r="G2887" s="13" t="s">
        <v>111</v>
      </c>
      <c r="H2887" s="13" t="s">
        <v>75</v>
      </c>
      <c r="I2887" s="13"/>
      <c r="J2887" s="13"/>
      <c r="K2887" s="15">
        <v>0.0</v>
      </c>
      <c r="L2887" s="15">
        <v>0.0</v>
      </c>
      <c r="M2887" s="16"/>
      <c r="N2887" s="16"/>
      <c r="O2887" s="17"/>
      <c r="P2887" s="17"/>
      <c r="Q2887" s="13">
        <f t="shared" si="3079"/>
        <v>0</v>
      </c>
      <c r="R2887" s="13"/>
      <c r="S2887" s="13"/>
      <c r="T2887" s="13">
        <f t="shared" ref="T2887:Y2887" si="3097">IF(ISBLANK(K2887)=TRUE,0,1)</f>
        <v>1</v>
      </c>
      <c r="U2887" s="13">
        <f t="shared" si="3097"/>
        <v>1</v>
      </c>
      <c r="V2887" s="13">
        <f t="shared" si="3097"/>
        <v>0</v>
      </c>
      <c r="W2887" s="13">
        <f t="shared" si="3097"/>
        <v>0</v>
      </c>
      <c r="X2887" s="13">
        <f t="shared" si="3097"/>
        <v>0</v>
      </c>
      <c r="Y2887" s="13">
        <f t="shared" si="3097"/>
        <v>0</v>
      </c>
      <c r="Z2887" s="13">
        <f t="shared" si="3023"/>
        <v>0</v>
      </c>
      <c r="AA2887" s="13"/>
      <c r="AB2887" s="13"/>
      <c r="AC2887" s="13"/>
      <c r="AD2887" s="13"/>
      <c r="AE2887" s="13"/>
      <c r="AF2887" s="13"/>
      <c r="AG2887" s="13"/>
      <c r="AH2887" s="13"/>
      <c r="AI2887" s="13"/>
      <c r="AJ2887" s="13"/>
      <c r="AK2887" s="13"/>
      <c r="AL2887" s="13"/>
      <c r="AM2887" s="13"/>
      <c r="AN2887" s="13"/>
      <c r="AO2887" s="13"/>
      <c r="AP2887" s="13"/>
      <c r="AQ2887" s="13"/>
      <c r="AR2887" s="13"/>
      <c r="AS2887" s="13"/>
    </row>
    <row r="2888" ht="14.25" customHeight="1">
      <c r="A2888" s="13" t="s">
        <v>36</v>
      </c>
      <c r="B2888" s="13" t="s">
        <v>42</v>
      </c>
      <c r="C2888" s="13">
        <v>616.0</v>
      </c>
      <c r="D2888" s="13" t="s">
        <v>184</v>
      </c>
      <c r="F2888" s="13"/>
      <c r="G2888" s="13" t="s">
        <v>111</v>
      </c>
      <c r="H2888" s="13" t="s">
        <v>75</v>
      </c>
      <c r="I2888" s="13"/>
      <c r="J2888" s="13"/>
      <c r="K2888" s="15">
        <v>1.0</v>
      </c>
      <c r="L2888" s="15">
        <v>1.0</v>
      </c>
      <c r="M2888" s="16"/>
      <c r="N2888" s="16"/>
      <c r="O2888" s="17"/>
      <c r="P2888" s="17"/>
      <c r="Q2888" s="13">
        <f t="shared" si="3079"/>
        <v>0</v>
      </c>
      <c r="R2888" s="13"/>
      <c r="S2888" s="13"/>
      <c r="T2888" s="13">
        <f t="shared" ref="T2888:Y2888" si="3098">IF(ISBLANK(K2888)=TRUE,0,1)</f>
        <v>1</v>
      </c>
      <c r="U2888" s="13">
        <f t="shared" si="3098"/>
        <v>1</v>
      </c>
      <c r="V2888" s="13">
        <f t="shared" si="3098"/>
        <v>0</v>
      </c>
      <c r="W2888" s="13">
        <f t="shared" si="3098"/>
        <v>0</v>
      </c>
      <c r="X2888" s="13">
        <f t="shared" si="3098"/>
        <v>0</v>
      </c>
      <c r="Y2888" s="13">
        <f t="shared" si="3098"/>
        <v>0</v>
      </c>
      <c r="Z2888" s="13">
        <f t="shared" si="3023"/>
        <v>1</v>
      </c>
      <c r="AA2888" s="13"/>
      <c r="AB2888" s="13"/>
      <c r="AC2888" s="13"/>
      <c r="AD2888" s="13"/>
      <c r="AE2888" s="13"/>
      <c r="AF2888" s="13"/>
      <c r="AG2888" s="13"/>
      <c r="AH2888" s="13"/>
      <c r="AI2888" s="13"/>
      <c r="AJ2888" s="13"/>
      <c r="AK2888" s="13"/>
      <c r="AL2888" s="13"/>
      <c r="AM2888" s="13"/>
      <c r="AN2888" s="13"/>
      <c r="AO2888" s="13"/>
      <c r="AP2888" s="13"/>
      <c r="AQ2888" s="13"/>
      <c r="AR2888" s="13"/>
      <c r="AS2888" s="13"/>
    </row>
    <row r="2889" ht="14.25" customHeight="1">
      <c r="A2889" s="13" t="s">
        <v>36</v>
      </c>
      <c r="B2889" s="13" t="s">
        <v>42</v>
      </c>
      <c r="C2889" s="13">
        <v>616.0</v>
      </c>
      <c r="D2889" s="13" t="s">
        <v>185</v>
      </c>
      <c r="F2889" s="13"/>
      <c r="G2889" s="13" t="s">
        <v>111</v>
      </c>
      <c r="H2889" s="13" t="s">
        <v>75</v>
      </c>
      <c r="I2889" s="13"/>
      <c r="J2889" s="13"/>
      <c r="K2889" s="15">
        <v>1.0</v>
      </c>
      <c r="L2889" s="15">
        <v>1.0</v>
      </c>
      <c r="M2889" s="16"/>
      <c r="N2889" s="16"/>
      <c r="O2889" s="17"/>
      <c r="P2889" s="17"/>
      <c r="Q2889" s="13">
        <f t="shared" si="3079"/>
        <v>2</v>
      </c>
      <c r="R2889" s="13"/>
      <c r="S2889" s="13"/>
      <c r="T2889" s="13">
        <f t="shared" ref="T2889:Y2889" si="3099">IF(ISBLANK(K2889)=TRUE,0,1)</f>
        <v>1</v>
      </c>
      <c r="U2889" s="13">
        <f t="shared" si="3099"/>
        <v>1</v>
      </c>
      <c r="V2889" s="13">
        <f t="shared" si="3099"/>
        <v>0</v>
      </c>
      <c r="W2889" s="13">
        <f t="shared" si="3099"/>
        <v>0</v>
      </c>
      <c r="X2889" s="13">
        <f t="shared" si="3099"/>
        <v>0</v>
      </c>
      <c r="Y2889" s="13">
        <f t="shared" si="3099"/>
        <v>0</v>
      </c>
      <c r="Z2889" s="13">
        <f t="shared" si="3023"/>
        <v>1</v>
      </c>
      <c r="AA2889" s="13"/>
      <c r="AB2889" s="13"/>
      <c r="AC2889" s="13"/>
      <c r="AD2889" s="13"/>
      <c r="AE2889" s="13"/>
      <c r="AF2889" s="13"/>
      <c r="AG2889" s="13"/>
      <c r="AH2889" s="13"/>
      <c r="AI2889" s="13"/>
      <c r="AJ2889" s="13"/>
      <c r="AK2889" s="13"/>
      <c r="AL2889" s="13"/>
      <c r="AM2889" s="13"/>
      <c r="AN2889" s="13"/>
      <c r="AO2889" s="13"/>
      <c r="AP2889" s="13"/>
      <c r="AQ2889" s="13"/>
      <c r="AR2889" s="13"/>
      <c r="AS2889" s="13"/>
    </row>
    <row r="2890" ht="14.25" customHeight="1">
      <c r="A2890" s="13" t="s">
        <v>36</v>
      </c>
      <c r="B2890" s="13" t="s">
        <v>39</v>
      </c>
      <c r="C2890" s="13" t="s">
        <v>1738</v>
      </c>
      <c r="D2890" s="13" t="s">
        <v>195</v>
      </c>
      <c r="F2890" s="13"/>
      <c r="G2890" s="13" t="s">
        <v>111</v>
      </c>
      <c r="H2890" s="13" t="s">
        <v>75</v>
      </c>
      <c r="I2890" s="13"/>
      <c r="J2890" s="13"/>
      <c r="K2890" s="15">
        <v>0.0</v>
      </c>
      <c r="L2890" s="15">
        <v>0.0</v>
      </c>
      <c r="M2890" s="16"/>
      <c r="N2890" s="16"/>
      <c r="O2890" s="17"/>
      <c r="P2890" s="17"/>
      <c r="Q2890" s="13">
        <f t="shared" si="3079"/>
        <v>2</v>
      </c>
      <c r="R2890" s="13"/>
      <c r="S2890" s="13"/>
      <c r="T2890" s="13">
        <f t="shared" ref="T2890:Y2890" si="3100">IF(ISBLANK(K2890)=TRUE,0,1)</f>
        <v>1</v>
      </c>
      <c r="U2890" s="13">
        <f t="shared" si="3100"/>
        <v>1</v>
      </c>
      <c r="V2890" s="13">
        <f t="shared" si="3100"/>
        <v>0</v>
      </c>
      <c r="W2890" s="13">
        <f t="shared" si="3100"/>
        <v>0</v>
      </c>
      <c r="X2890" s="13">
        <f t="shared" si="3100"/>
        <v>0</v>
      </c>
      <c r="Y2890" s="13">
        <f t="shared" si="3100"/>
        <v>0</v>
      </c>
      <c r="Z2890" s="13">
        <f t="shared" si="3023"/>
        <v>0</v>
      </c>
      <c r="AA2890" s="13"/>
      <c r="AB2890" s="13"/>
      <c r="AC2890" s="13"/>
      <c r="AD2890" s="13"/>
      <c r="AE2890" s="13"/>
      <c r="AF2890" s="13"/>
      <c r="AG2890" s="13"/>
      <c r="AH2890" s="13"/>
      <c r="AI2890" s="13"/>
      <c r="AJ2890" s="13"/>
      <c r="AK2890" s="13"/>
      <c r="AL2890" s="13"/>
      <c r="AM2890" s="13"/>
      <c r="AN2890" s="13"/>
      <c r="AO2890" s="13"/>
      <c r="AP2890" s="13"/>
      <c r="AQ2890" s="13"/>
      <c r="AR2890" s="13"/>
      <c r="AS2890" s="13"/>
    </row>
    <row r="2891" ht="14.25" customHeight="1">
      <c r="A2891" s="13" t="s">
        <v>36</v>
      </c>
      <c r="B2891" s="13" t="s">
        <v>37</v>
      </c>
      <c r="C2891" s="13" t="s">
        <v>1859</v>
      </c>
      <c r="D2891" s="13" t="s">
        <v>175</v>
      </c>
      <c r="F2891" s="13"/>
      <c r="G2891" s="13" t="s">
        <v>74</v>
      </c>
      <c r="H2891" s="13" t="s">
        <v>75</v>
      </c>
      <c r="I2891" s="13"/>
      <c r="J2891" s="13"/>
      <c r="K2891" s="15">
        <v>1.0</v>
      </c>
      <c r="L2891" s="15">
        <v>1.0</v>
      </c>
      <c r="M2891" s="16"/>
      <c r="N2891" s="16"/>
      <c r="O2891" s="17"/>
      <c r="P2891" s="17"/>
      <c r="Q2891" s="13">
        <f t="shared" si="3079"/>
        <v>0</v>
      </c>
      <c r="R2891" s="13"/>
      <c r="S2891" s="13"/>
      <c r="T2891" s="13">
        <f t="shared" ref="T2891:Y2891" si="3101">IF(ISBLANK(K2891)=TRUE,0,1)</f>
        <v>1</v>
      </c>
      <c r="U2891" s="13">
        <f t="shared" si="3101"/>
        <v>1</v>
      </c>
      <c r="V2891" s="13">
        <f t="shared" si="3101"/>
        <v>0</v>
      </c>
      <c r="W2891" s="13">
        <f t="shared" si="3101"/>
        <v>0</v>
      </c>
      <c r="X2891" s="13">
        <f t="shared" si="3101"/>
        <v>0</v>
      </c>
      <c r="Y2891" s="13">
        <f t="shared" si="3101"/>
        <v>0</v>
      </c>
      <c r="Z2891" s="13">
        <f t="shared" si="3023"/>
        <v>1</v>
      </c>
      <c r="AA2891" s="13"/>
      <c r="AB2891" s="13"/>
      <c r="AC2891" s="13"/>
      <c r="AD2891" s="13"/>
      <c r="AE2891" s="13"/>
      <c r="AF2891" s="13"/>
      <c r="AG2891" s="13"/>
      <c r="AH2891" s="13"/>
      <c r="AI2891" s="13"/>
      <c r="AJ2891" s="13"/>
      <c r="AK2891" s="13"/>
      <c r="AL2891" s="13"/>
      <c r="AM2891" s="13"/>
      <c r="AN2891" s="13"/>
      <c r="AO2891" s="13"/>
      <c r="AP2891" s="13"/>
      <c r="AQ2891" s="13"/>
      <c r="AR2891" s="13"/>
      <c r="AS2891" s="13"/>
    </row>
    <row r="2892" ht="14.25" customHeight="1">
      <c r="A2892" s="13" t="s">
        <v>46</v>
      </c>
      <c r="B2892" s="13" t="s">
        <v>55</v>
      </c>
      <c r="C2892" s="13" t="s">
        <v>1861</v>
      </c>
      <c r="D2892" s="13"/>
      <c r="E2892" s="13"/>
      <c r="F2892" s="13"/>
      <c r="G2892" s="13" t="s">
        <v>111</v>
      </c>
      <c r="H2892" s="13" t="s">
        <v>75</v>
      </c>
      <c r="I2892" s="13"/>
      <c r="J2892" s="13"/>
      <c r="K2892" s="15"/>
      <c r="L2892" s="15"/>
      <c r="M2892" s="16"/>
      <c r="N2892" s="16"/>
      <c r="O2892" s="17">
        <v>0.0</v>
      </c>
      <c r="P2892" s="17">
        <v>0.0</v>
      </c>
      <c r="Q2892" s="13"/>
      <c r="R2892" s="13"/>
      <c r="S2892" s="13"/>
      <c r="T2892" s="13">
        <f t="shared" ref="T2892:Y2892" si="3102">IF(ISBLANK(K2892)=TRUE,0,1)</f>
        <v>0</v>
      </c>
      <c r="U2892" s="13">
        <f t="shared" si="3102"/>
        <v>0</v>
      </c>
      <c r="V2892" s="13">
        <f t="shared" si="3102"/>
        <v>0</v>
      </c>
      <c r="W2892" s="13">
        <f t="shared" si="3102"/>
        <v>0</v>
      </c>
      <c r="X2892" s="13">
        <f t="shared" si="3102"/>
        <v>1</v>
      </c>
      <c r="Y2892" s="13">
        <f t="shared" si="3102"/>
        <v>1</v>
      </c>
      <c r="Z2892" s="13">
        <f t="shared" si="3023"/>
        <v>0</v>
      </c>
      <c r="AA2892" s="13"/>
      <c r="AB2892" s="13"/>
      <c r="AC2892" s="13"/>
      <c r="AD2892" s="13"/>
      <c r="AE2892" s="13"/>
      <c r="AF2892" s="13"/>
      <c r="AG2892" s="13"/>
      <c r="AH2892" s="13"/>
      <c r="AI2892" s="13"/>
      <c r="AJ2892" s="13"/>
      <c r="AK2892" s="13"/>
      <c r="AL2892" s="13"/>
      <c r="AM2892" s="13"/>
      <c r="AN2892" s="13"/>
      <c r="AO2892" s="13"/>
      <c r="AP2892" s="13"/>
      <c r="AQ2892" s="13"/>
      <c r="AR2892" s="13"/>
      <c r="AS2892" s="13"/>
    </row>
    <row r="2893" ht="14.25" customHeight="1">
      <c r="A2893" s="13" t="s">
        <v>36</v>
      </c>
      <c r="B2893" s="13" t="s">
        <v>39</v>
      </c>
      <c r="C2893" s="13" t="s">
        <v>1738</v>
      </c>
      <c r="D2893" s="13" t="s">
        <v>196</v>
      </c>
      <c r="F2893" s="13"/>
      <c r="G2893" s="13" t="s">
        <v>111</v>
      </c>
      <c r="H2893" s="13" t="s">
        <v>75</v>
      </c>
      <c r="I2893" s="13"/>
      <c r="J2893" s="13"/>
      <c r="K2893" s="15">
        <v>0.0</v>
      </c>
      <c r="L2893" s="15">
        <v>0.0</v>
      </c>
      <c r="M2893" s="16"/>
      <c r="N2893" s="16"/>
      <c r="O2893" s="17"/>
      <c r="P2893" s="17"/>
      <c r="Q2893" s="13">
        <f t="shared" ref="Q2893:Q2942" si="3104">K2892+L2892+M2892+N2892+O2892+P2892/6</f>
        <v>0</v>
      </c>
      <c r="R2893" s="13"/>
      <c r="S2893" s="13"/>
      <c r="T2893" s="13">
        <f t="shared" ref="T2893:Y2893" si="3103">IF(ISBLANK(K2893)=TRUE,0,1)</f>
        <v>1</v>
      </c>
      <c r="U2893" s="13">
        <f t="shared" si="3103"/>
        <v>1</v>
      </c>
      <c r="V2893" s="13">
        <f t="shared" si="3103"/>
        <v>0</v>
      </c>
      <c r="W2893" s="13">
        <f t="shared" si="3103"/>
        <v>0</v>
      </c>
      <c r="X2893" s="13">
        <f t="shared" si="3103"/>
        <v>0</v>
      </c>
      <c r="Y2893" s="13">
        <f t="shared" si="3103"/>
        <v>0</v>
      </c>
      <c r="Z2893" s="13">
        <f t="shared" si="3023"/>
        <v>0</v>
      </c>
      <c r="AA2893" s="13"/>
      <c r="AB2893" s="13"/>
      <c r="AC2893" s="13"/>
      <c r="AD2893" s="13"/>
      <c r="AE2893" s="13"/>
      <c r="AF2893" s="13"/>
      <c r="AG2893" s="13"/>
      <c r="AH2893" s="13"/>
      <c r="AI2893" s="13"/>
      <c r="AJ2893" s="13"/>
      <c r="AK2893" s="13"/>
      <c r="AL2893" s="13"/>
      <c r="AM2893" s="13"/>
      <c r="AN2893" s="13"/>
      <c r="AO2893" s="13"/>
      <c r="AP2893" s="13"/>
      <c r="AQ2893" s="13"/>
      <c r="AR2893" s="13"/>
      <c r="AS2893" s="13"/>
    </row>
    <row r="2894" ht="14.25" customHeight="1">
      <c r="A2894" s="13" t="s">
        <v>36</v>
      </c>
      <c r="B2894" s="13" t="s">
        <v>41</v>
      </c>
      <c r="C2894" s="13" t="s">
        <v>1860</v>
      </c>
      <c r="D2894" s="13" t="s">
        <v>176</v>
      </c>
      <c r="F2894" s="13"/>
      <c r="G2894" s="13" t="s">
        <v>74</v>
      </c>
      <c r="H2894" s="13" t="s">
        <v>75</v>
      </c>
      <c r="I2894" s="13"/>
      <c r="J2894" s="13"/>
      <c r="K2894" s="15">
        <v>1.0</v>
      </c>
      <c r="L2894" s="15">
        <v>1.0</v>
      </c>
      <c r="M2894" s="16"/>
      <c r="N2894" s="16"/>
      <c r="O2894" s="17">
        <v>1.0</v>
      </c>
      <c r="P2894" s="17">
        <v>1.0</v>
      </c>
      <c r="Q2894" s="13">
        <f t="shared" si="3104"/>
        <v>0</v>
      </c>
      <c r="R2894" s="13"/>
      <c r="S2894" s="13"/>
      <c r="T2894" s="13">
        <f t="shared" ref="T2894:Y2894" si="3105">IF(ISBLANK(K2894)=TRUE,0,1)</f>
        <v>1</v>
      </c>
      <c r="U2894" s="13">
        <f t="shared" si="3105"/>
        <v>1</v>
      </c>
      <c r="V2894" s="13">
        <f t="shared" si="3105"/>
        <v>0</v>
      </c>
      <c r="W2894" s="13">
        <f t="shared" si="3105"/>
        <v>0</v>
      </c>
      <c r="X2894" s="13">
        <f t="shared" si="3105"/>
        <v>1</v>
      </c>
      <c r="Y2894" s="13">
        <f t="shared" si="3105"/>
        <v>1</v>
      </c>
      <c r="Z2894" s="13">
        <f t="shared" si="3023"/>
        <v>1</v>
      </c>
      <c r="AA2894" s="13"/>
      <c r="AB2894" s="13"/>
      <c r="AC2894" s="13"/>
      <c r="AD2894" s="13"/>
      <c r="AE2894" s="13"/>
      <c r="AF2894" s="13"/>
      <c r="AG2894" s="13"/>
      <c r="AH2894" s="13"/>
      <c r="AI2894" s="13"/>
      <c r="AJ2894" s="13"/>
      <c r="AK2894" s="13"/>
      <c r="AL2894" s="13"/>
      <c r="AM2894" s="13"/>
      <c r="AN2894" s="13"/>
      <c r="AO2894" s="13"/>
      <c r="AP2894" s="13"/>
      <c r="AQ2894" s="13"/>
      <c r="AR2894" s="13"/>
      <c r="AS2894" s="13"/>
    </row>
    <row r="2895" ht="14.25" customHeight="1">
      <c r="A2895" s="13" t="s">
        <v>36</v>
      </c>
      <c r="B2895" s="13" t="s">
        <v>41</v>
      </c>
      <c r="C2895" s="13" t="s">
        <v>1860</v>
      </c>
      <c r="D2895" s="13" t="s">
        <v>177</v>
      </c>
      <c r="F2895" s="13"/>
      <c r="G2895" s="13" t="s">
        <v>74</v>
      </c>
      <c r="H2895" s="13" t="s">
        <v>75</v>
      </c>
      <c r="I2895" s="13"/>
      <c r="J2895" s="13"/>
      <c r="K2895" s="15">
        <v>1.0</v>
      </c>
      <c r="L2895" s="15">
        <v>1.0</v>
      </c>
      <c r="M2895" s="16"/>
      <c r="N2895" s="16"/>
      <c r="O2895" s="17">
        <v>1.0</v>
      </c>
      <c r="P2895" s="17">
        <v>1.0</v>
      </c>
      <c r="Q2895" s="13">
        <f t="shared" si="3104"/>
        <v>3.166666667</v>
      </c>
      <c r="R2895" s="13"/>
      <c r="S2895" s="13"/>
      <c r="T2895" s="13">
        <f t="shared" ref="T2895:Y2895" si="3106">IF(ISBLANK(K2895)=TRUE,0,1)</f>
        <v>1</v>
      </c>
      <c r="U2895" s="13">
        <f t="shared" si="3106"/>
        <v>1</v>
      </c>
      <c r="V2895" s="13">
        <f t="shared" si="3106"/>
        <v>0</v>
      </c>
      <c r="W2895" s="13">
        <f t="shared" si="3106"/>
        <v>0</v>
      </c>
      <c r="X2895" s="13">
        <f t="shared" si="3106"/>
        <v>1</v>
      </c>
      <c r="Y2895" s="13">
        <f t="shared" si="3106"/>
        <v>1</v>
      </c>
      <c r="Z2895" s="13">
        <f t="shared" si="3023"/>
        <v>1</v>
      </c>
      <c r="AA2895" s="13"/>
      <c r="AB2895" s="13"/>
      <c r="AC2895" s="13"/>
      <c r="AD2895" s="13"/>
      <c r="AE2895" s="13"/>
      <c r="AF2895" s="13"/>
      <c r="AG2895" s="13"/>
      <c r="AH2895" s="13"/>
      <c r="AI2895" s="13"/>
      <c r="AJ2895" s="13"/>
      <c r="AK2895" s="13"/>
      <c r="AL2895" s="13"/>
      <c r="AM2895" s="13"/>
      <c r="AN2895" s="13"/>
      <c r="AO2895" s="13"/>
      <c r="AP2895" s="13"/>
      <c r="AQ2895" s="13"/>
      <c r="AR2895" s="13"/>
      <c r="AS2895" s="13"/>
    </row>
    <row r="2896" ht="14.25" customHeight="1">
      <c r="A2896" s="13" t="s">
        <v>36</v>
      </c>
      <c r="B2896" s="13" t="s">
        <v>41</v>
      </c>
      <c r="C2896" s="13" t="s">
        <v>1860</v>
      </c>
      <c r="D2896" s="13" t="s">
        <v>178</v>
      </c>
      <c r="F2896" s="13"/>
      <c r="G2896" s="13" t="s">
        <v>74</v>
      </c>
      <c r="H2896" s="13" t="s">
        <v>75</v>
      </c>
      <c r="I2896" s="13"/>
      <c r="J2896" s="13"/>
      <c r="K2896" s="15">
        <v>1.0</v>
      </c>
      <c r="L2896" s="15">
        <v>1.0</v>
      </c>
      <c r="M2896" s="16"/>
      <c r="N2896" s="16"/>
      <c r="O2896" s="17">
        <v>1.0</v>
      </c>
      <c r="P2896" s="17">
        <v>1.0</v>
      </c>
      <c r="Q2896" s="13">
        <f t="shared" si="3104"/>
        <v>3.166666667</v>
      </c>
      <c r="R2896" s="13"/>
      <c r="S2896" s="13"/>
      <c r="T2896" s="13">
        <f t="shared" ref="T2896:Y2896" si="3107">IF(ISBLANK(K2896)=TRUE,0,1)</f>
        <v>1</v>
      </c>
      <c r="U2896" s="13">
        <f t="shared" si="3107"/>
        <v>1</v>
      </c>
      <c r="V2896" s="13">
        <f t="shared" si="3107"/>
        <v>0</v>
      </c>
      <c r="W2896" s="13">
        <f t="shared" si="3107"/>
        <v>0</v>
      </c>
      <c r="X2896" s="13">
        <f t="shared" si="3107"/>
        <v>1</v>
      </c>
      <c r="Y2896" s="13">
        <f t="shared" si="3107"/>
        <v>1</v>
      </c>
      <c r="Z2896" s="13">
        <f t="shared" si="3023"/>
        <v>1</v>
      </c>
      <c r="AA2896" s="13"/>
      <c r="AB2896" s="13"/>
      <c r="AC2896" s="13"/>
      <c r="AD2896" s="13"/>
      <c r="AE2896" s="13"/>
      <c r="AF2896" s="13"/>
      <c r="AG2896" s="13"/>
      <c r="AH2896" s="13"/>
      <c r="AI2896" s="13"/>
      <c r="AJ2896" s="13"/>
      <c r="AK2896" s="13"/>
      <c r="AL2896" s="13"/>
      <c r="AM2896" s="13"/>
      <c r="AN2896" s="13"/>
      <c r="AO2896" s="13"/>
      <c r="AP2896" s="13"/>
      <c r="AQ2896" s="13"/>
      <c r="AR2896" s="13"/>
      <c r="AS2896" s="13"/>
    </row>
    <row r="2897" ht="14.25" customHeight="1">
      <c r="A2897" s="13" t="s">
        <v>36</v>
      </c>
      <c r="B2897" s="13" t="s">
        <v>39</v>
      </c>
      <c r="C2897" s="13" t="s">
        <v>1738</v>
      </c>
      <c r="D2897" s="13" t="s">
        <v>197</v>
      </c>
      <c r="F2897" s="13"/>
      <c r="G2897" s="13" t="s">
        <v>111</v>
      </c>
      <c r="H2897" s="13" t="s">
        <v>75</v>
      </c>
      <c r="I2897" s="13"/>
      <c r="J2897" s="13"/>
      <c r="K2897" s="15">
        <v>0.0</v>
      </c>
      <c r="L2897" s="15">
        <v>0.0</v>
      </c>
      <c r="M2897" s="16"/>
      <c r="N2897" s="16"/>
      <c r="O2897" s="17"/>
      <c r="P2897" s="17"/>
      <c r="Q2897" s="13">
        <f t="shared" si="3104"/>
        <v>3.166666667</v>
      </c>
      <c r="R2897" s="13"/>
      <c r="S2897" s="13"/>
      <c r="T2897" s="13">
        <f t="shared" ref="T2897:Y2897" si="3108">IF(ISBLANK(K2897)=TRUE,0,1)</f>
        <v>1</v>
      </c>
      <c r="U2897" s="13">
        <f t="shared" si="3108"/>
        <v>1</v>
      </c>
      <c r="V2897" s="13">
        <f t="shared" si="3108"/>
        <v>0</v>
      </c>
      <c r="W2897" s="13">
        <f t="shared" si="3108"/>
        <v>0</v>
      </c>
      <c r="X2897" s="13">
        <f t="shared" si="3108"/>
        <v>0</v>
      </c>
      <c r="Y2897" s="13">
        <f t="shared" si="3108"/>
        <v>0</v>
      </c>
      <c r="Z2897" s="13">
        <f t="shared" si="3023"/>
        <v>0</v>
      </c>
      <c r="AA2897" s="13"/>
      <c r="AB2897" s="13"/>
      <c r="AC2897" s="13"/>
      <c r="AD2897" s="13"/>
      <c r="AE2897" s="13"/>
      <c r="AF2897" s="13"/>
      <c r="AG2897" s="13"/>
      <c r="AH2897" s="13"/>
      <c r="AI2897" s="13"/>
      <c r="AJ2897" s="13"/>
      <c r="AK2897" s="13"/>
      <c r="AL2897" s="13"/>
      <c r="AM2897" s="13"/>
      <c r="AN2897" s="13"/>
      <c r="AO2897" s="13"/>
      <c r="AP2897" s="13"/>
      <c r="AQ2897" s="13"/>
      <c r="AR2897" s="13"/>
      <c r="AS2897" s="13"/>
    </row>
    <row r="2898" ht="14.25" customHeight="1">
      <c r="A2898" s="13" t="s">
        <v>36</v>
      </c>
      <c r="B2898" s="13" t="s">
        <v>37</v>
      </c>
      <c r="C2898" s="13" t="s">
        <v>1859</v>
      </c>
      <c r="D2898" s="13" t="s">
        <v>176</v>
      </c>
      <c r="F2898" s="13"/>
      <c r="G2898" s="13" t="s">
        <v>74</v>
      </c>
      <c r="H2898" s="13" t="s">
        <v>75</v>
      </c>
      <c r="I2898" s="13"/>
      <c r="J2898" s="13"/>
      <c r="K2898" s="15">
        <v>1.0</v>
      </c>
      <c r="L2898" s="15">
        <v>1.0</v>
      </c>
      <c r="M2898" s="16"/>
      <c r="N2898" s="16"/>
      <c r="O2898" s="17"/>
      <c r="P2898" s="17"/>
      <c r="Q2898" s="13">
        <f t="shared" si="3104"/>
        <v>0</v>
      </c>
      <c r="R2898" s="13"/>
      <c r="S2898" s="13"/>
      <c r="T2898" s="13">
        <f t="shared" ref="T2898:Y2898" si="3109">IF(ISBLANK(K2898)=TRUE,0,1)</f>
        <v>1</v>
      </c>
      <c r="U2898" s="13">
        <f t="shared" si="3109"/>
        <v>1</v>
      </c>
      <c r="V2898" s="13">
        <f t="shared" si="3109"/>
        <v>0</v>
      </c>
      <c r="W2898" s="13">
        <f t="shared" si="3109"/>
        <v>0</v>
      </c>
      <c r="X2898" s="13">
        <f t="shared" si="3109"/>
        <v>0</v>
      </c>
      <c r="Y2898" s="13">
        <f t="shared" si="3109"/>
        <v>0</v>
      </c>
      <c r="Z2898" s="13">
        <f t="shared" si="3023"/>
        <v>1</v>
      </c>
      <c r="AA2898" s="13"/>
      <c r="AB2898" s="13"/>
      <c r="AC2898" s="13"/>
      <c r="AD2898" s="13"/>
      <c r="AE2898" s="13"/>
      <c r="AF2898" s="13"/>
      <c r="AG2898" s="13"/>
      <c r="AH2898" s="13"/>
      <c r="AI2898" s="13"/>
      <c r="AJ2898" s="13"/>
      <c r="AK2898" s="13"/>
      <c r="AL2898" s="13"/>
      <c r="AM2898" s="13"/>
      <c r="AN2898" s="13"/>
      <c r="AO2898" s="13"/>
      <c r="AP2898" s="13"/>
      <c r="AQ2898" s="13"/>
      <c r="AR2898" s="13"/>
      <c r="AS2898" s="13"/>
    </row>
    <row r="2899" ht="14.25" customHeight="1">
      <c r="A2899" s="13" t="s">
        <v>36</v>
      </c>
      <c r="B2899" s="13" t="s">
        <v>37</v>
      </c>
      <c r="C2899" s="13" t="s">
        <v>1859</v>
      </c>
      <c r="D2899" s="13" t="s">
        <v>177</v>
      </c>
      <c r="F2899" s="13"/>
      <c r="G2899" s="13" t="s">
        <v>74</v>
      </c>
      <c r="H2899" s="13" t="s">
        <v>75</v>
      </c>
      <c r="I2899" s="13"/>
      <c r="J2899" s="13"/>
      <c r="K2899" s="15">
        <v>1.0</v>
      </c>
      <c r="L2899" s="15">
        <v>1.0</v>
      </c>
      <c r="M2899" s="16"/>
      <c r="N2899" s="16"/>
      <c r="O2899" s="17"/>
      <c r="P2899" s="17"/>
      <c r="Q2899" s="13">
        <f t="shared" si="3104"/>
        <v>2</v>
      </c>
      <c r="R2899" s="13"/>
      <c r="S2899" s="13"/>
      <c r="T2899" s="13">
        <f t="shared" ref="T2899:Y2899" si="3110">IF(ISBLANK(K2899)=TRUE,0,1)</f>
        <v>1</v>
      </c>
      <c r="U2899" s="13">
        <f t="shared" si="3110"/>
        <v>1</v>
      </c>
      <c r="V2899" s="13">
        <f t="shared" si="3110"/>
        <v>0</v>
      </c>
      <c r="W2899" s="13">
        <f t="shared" si="3110"/>
        <v>0</v>
      </c>
      <c r="X2899" s="13">
        <f t="shared" si="3110"/>
        <v>0</v>
      </c>
      <c r="Y2899" s="13">
        <f t="shared" si="3110"/>
        <v>0</v>
      </c>
      <c r="Z2899" s="13">
        <f t="shared" si="3023"/>
        <v>1</v>
      </c>
      <c r="AA2899" s="13"/>
      <c r="AB2899" s="13"/>
      <c r="AC2899" s="13"/>
      <c r="AD2899" s="13"/>
      <c r="AE2899" s="13"/>
      <c r="AF2899" s="13"/>
      <c r="AG2899" s="13"/>
      <c r="AH2899" s="13"/>
      <c r="AI2899" s="13"/>
      <c r="AJ2899" s="13"/>
      <c r="AK2899" s="13"/>
      <c r="AL2899" s="13"/>
      <c r="AM2899" s="13"/>
      <c r="AN2899" s="13"/>
      <c r="AO2899" s="13"/>
      <c r="AP2899" s="13"/>
      <c r="AQ2899" s="13"/>
      <c r="AR2899" s="13"/>
      <c r="AS2899" s="13"/>
    </row>
    <row r="2900" ht="14.25" customHeight="1">
      <c r="A2900" s="13" t="s">
        <v>36</v>
      </c>
      <c r="B2900" s="13" t="s">
        <v>39</v>
      </c>
      <c r="C2900" s="13" t="s">
        <v>1738</v>
      </c>
      <c r="D2900" s="13" t="s">
        <v>433</v>
      </c>
      <c r="F2900" s="13"/>
      <c r="G2900" s="13" t="s">
        <v>111</v>
      </c>
      <c r="H2900" s="13" t="s">
        <v>75</v>
      </c>
      <c r="I2900" s="13"/>
      <c r="J2900" s="13"/>
      <c r="K2900" s="15">
        <v>0.0</v>
      </c>
      <c r="L2900" s="15">
        <v>0.0</v>
      </c>
      <c r="M2900" s="16"/>
      <c r="N2900" s="16"/>
      <c r="O2900" s="17"/>
      <c r="P2900" s="17"/>
      <c r="Q2900" s="13">
        <f t="shared" si="3104"/>
        <v>2</v>
      </c>
      <c r="R2900" s="13"/>
      <c r="S2900" s="13"/>
      <c r="T2900" s="13">
        <f t="shared" ref="T2900:Y2900" si="3111">IF(ISBLANK(K2900)=TRUE,0,1)</f>
        <v>1</v>
      </c>
      <c r="U2900" s="13">
        <f t="shared" si="3111"/>
        <v>1</v>
      </c>
      <c r="V2900" s="13">
        <f t="shared" si="3111"/>
        <v>0</v>
      </c>
      <c r="W2900" s="13">
        <f t="shared" si="3111"/>
        <v>0</v>
      </c>
      <c r="X2900" s="13">
        <f t="shared" si="3111"/>
        <v>0</v>
      </c>
      <c r="Y2900" s="13">
        <f t="shared" si="3111"/>
        <v>0</v>
      </c>
      <c r="Z2900" s="13">
        <f t="shared" si="3023"/>
        <v>0</v>
      </c>
      <c r="AA2900" s="13"/>
      <c r="AB2900" s="13"/>
      <c r="AC2900" s="13"/>
      <c r="AD2900" s="13"/>
      <c r="AE2900" s="13"/>
      <c r="AF2900" s="13"/>
      <c r="AG2900" s="13"/>
      <c r="AH2900" s="13"/>
      <c r="AI2900" s="13"/>
      <c r="AJ2900" s="13"/>
      <c r="AK2900" s="13"/>
      <c r="AL2900" s="13"/>
      <c r="AM2900" s="13"/>
      <c r="AN2900" s="13"/>
      <c r="AO2900" s="13"/>
      <c r="AP2900" s="13"/>
      <c r="AQ2900" s="13"/>
      <c r="AR2900" s="13"/>
      <c r="AS2900" s="13"/>
    </row>
    <row r="2901" ht="14.25" customHeight="1">
      <c r="A2901" s="13" t="s">
        <v>36</v>
      </c>
      <c r="B2901" s="13" t="s">
        <v>42</v>
      </c>
      <c r="C2901" s="13">
        <v>616.0</v>
      </c>
      <c r="D2901" s="13" t="s">
        <v>186</v>
      </c>
      <c r="F2901" s="13"/>
      <c r="G2901" s="13" t="s">
        <v>111</v>
      </c>
      <c r="H2901" s="13" t="s">
        <v>75</v>
      </c>
      <c r="I2901" s="13"/>
      <c r="J2901" s="13"/>
      <c r="K2901" s="15">
        <v>1.0</v>
      </c>
      <c r="L2901" s="15">
        <v>1.0</v>
      </c>
      <c r="M2901" s="16"/>
      <c r="N2901" s="16"/>
      <c r="O2901" s="17"/>
      <c r="P2901" s="17"/>
      <c r="Q2901" s="13">
        <f t="shared" si="3104"/>
        <v>0</v>
      </c>
      <c r="R2901" s="13"/>
      <c r="S2901" s="13"/>
      <c r="T2901" s="13">
        <f t="shared" ref="T2901:Y2901" si="3112">IF(ISBLANK(K2901)=TRUE,0,1)</f>
        <v>1</v>
      </c>
      <c r="U2901" s="13">
        <f t="shared" si="3112"/>
        <v>1</v>
      </c>
      <c r="V2901" s="13">
        <f t="shared" si="3112"/>
        <v>0</v>
      </c>
      <c r="W2901" s="13">
        <f t="shared" si="3112"/>
        <v>0</v>
      </c>
      <c r="X2901" s="13">
        <f t="shared" si="3112"/>
        <v>0</v>
      </c>
      <c r="Y2901" s="13">
        <f t="shared" si="3112"/>
        <v>0</v>
      </c>
      <c r="Z2901" s="13">
        <f t="shared" si="3023"/>
        <v>1</v>
      </c>
      <c r="AA2901" s="13"/>
      <c r="AB2901" s="13"/>
      <c r="AC2901" s="13"/>
      <c r="AD2901" s="13"/>
      <c r="AE2901" s="13"/>
      <c r="AF2901" s="13"/>
      <c r="AG2901" s="13"/>
      <c r="AH2901" s="13"/>
      <c r="AI2901" s="13"/>
      <c r="AJ2901" s="13"/>
      <c r="AK2901" s="13"/>
      <c r="AL2901" s="13"/>
      <c r="AM2901" s="13"/>
      <c r="AN2901" s="13"/>
      <c r="AO2901" s="13"/>
      <c r="AP2901" s="13"/>
      <c r="AQ2901" s="13"/>
      <c r="AR2901" s="13"/>
      <c r="AS2901" s="13"/>
    </row>
    <row r="2902" ht="14.25" customHeight="1">
      <c r="A2902" s="13" t="s">
        <v>36</v>
      </c>
      <c r="B2902" s="13" t="s">
        <v>42</v>
      </c>
      <c r="C2902" s="13">
        <v>616.0</v>
      </c>
      <c r="D2902" s="13" t="s">
        <v>187</v>
      </c>
      <c r="F2902" s="13"/>
      <c r="G2902" s="13" t="s">
        <v>111</v>
      </c>
      <c r="H2902" s="13" t="s">
        <v>75</v>
      </c>
      <c r="I2902" s="13"/>
      <c r="J2902" s="13"/>
      <c r="K2902" s="15">
        <v>1.0</v>
      </c>
      <c r="L2902" s="15">
        <v>1.0</v>
      </c>
      <c r="M2902" s="16"/>
      <c r="N2902" s="16"/>
      <c r="O2902" s="17"/>
      <c r="P2902" s="17"/>
      <c r="Q2902" s="13">
        <f t="shared" si="3104"/>
        <v>2</v>
      </c>
      <c r="R2902" s="13"/>
      <c r="S2902" s="13"/>
      <c r="T2902" s="13">
        <f t="shared" ref="T2902:Y2902" si="3113">IF(ISBLANK(K2902)=TRUE,0,1)</f>
        <v>1</v>
      </c>
      <c r="U2902" s="13">
        <f t="shared" si="3113"/>
        <v>1</v>
      </c>
      <c r="V2902" s="13">
        <f t="shared" si="3113"/>
        <v>0</v>
      </c>
      <c r="W2902" s="13">
        <f t="shared" si="3113"/>
        <v>0</v>
      </c>
      <c r="X2902" s="13">
        <f t="shared" si="3113"/>
        <v>0</v>
      </c>
      <c r="Y2902" s="13">
        <f t="shared" si="3113"/>
        <v>0</v>
      </c>
      <c r="Z2902" s="13">
        <f t="shared" si="3023"/>
        <v>1</v>
      </c>
      <c r="AA2902" s="13"/>
      <c r="AB2902" s="13"/>
      <c r="AC2902" s="13"/>
      <c r="AD2902" s="13"/>
      <c r="AE2902" s="13"/>
      <c r="AF2902" s="13"/>
      <c r="AG2902" s="13"/>
      <c r="AH2902" s="13"/>
      <c r="AI2902" s="13"/>
      <c r="AJ2902" s="13"/>
      <c r="AK2902" s="13"/>
      <c r="AL2902" s="13"/>
      <c r="AM2902" s="13"/>
      <c r="AN2902" s="13"/>
      <c r="AO2902" s="13"/>
      <c r="AP2902" s="13"/>
      <c r="AQ2902" s="13"/>
      <c r="AR2902" s="13"/>
      <c r="AS2902" s="13"/>
    </row>
    <row r="2903" ht="14.25" customHeight="1">
      <c r="A2903" s="13" t="s">
        <v>36</v>
      </c>
      <c r="B2903" s="13" t="s">
        <v>42</v>
      </c>
      <c r="C2903" s="13">
        <v>616.0</v>
      </c>
      <c r="D2903" s="13" t="s">
        <v>188</v>
      </c>
      <c r="F2903" s="13"/>
      <c r="G2903" s="13" t="s">
        <v>111</v>
      </c>
      <c r="H2903" s="13" t="s">
        <v>75</v>
      </c>
      <c r="I2903" s="13"/>
      <c r="J2903" s="13"/>
      <c r="K2903" s="15">
        <v>1.0</v>
      </c>
      <c r="L2903" s="15">
        <v>1.0</v>
      </c>
      <c r="M2903" s="16"/>
      <c r="N2903" s="16"/>
      <c r="O2903" s="17"/>
      <c r="P2903" s="17"/>
      <c r="Q2903" s="13">
        <f t="shared" si="3104"/>
        <v>2</v>
      </c>
      <c r="R2903" s="13"/>
      <c r="S2903" s="13"/>
      <c r="T2903" s="13">
        <f t="shared" ref="T2903:Y2903" si="3114">IF(ISBLANK(K2903)=TRUE,0,1)</f>
        <v>1</v>
      </c>
      <c r="U2903" s="13">
        <f t="shared" si="3114"/>
        <v>1</v>
      </c>
      <c r="V2903" s="13">
        <f t="shared" si="3114"/>
        <v>0</v>
      </c>
      <c r="W2903" s="13">
        <f t="shared" si="3114"/>
        <v>0</v>
      </c>
      <c r="X2903" s="13">
        <f t="shared" si="3114"/>
        <v>0</v>
      </c>
      <c r="Y2903" s="13">
        <f t="shared" si="3114"/>
        <v>0</v>
      </c>
      <c r="Z2903" s="13">
        <f t="shared" si="3023"/>
        <v>1</v>
      </c>
      <c r="AA2903" s="13"/>
      <c r="AB2903" s="13"/>
      <c r="AC2903" s="13"/>
      <c r="AD2903" s="13"/>
      <c r="AE2903" s="13"/>
      <c r="AF2903" s="13"/>
      <c r="AG2903" s="13"/>
      <c r="AH2903" s="13"/>
      <c r="AI2903" s="13"/>
      <c r="AJ2903" s="13"/>
      <c r="AK2903" s="13"/>
      <c r="AL2903" s="13"/>
      <c r="AM2903" s="13"/>
      <c r="AN2903" s="13"/>
      <c r="AO2903" s="13"/>
      <c r="AP2903" s="13"/>
      <c r="AQ2903" s="13"/>
      <c r="AR2903" s="13"/>
      <c r="AS2903" s="13"/>
    </row>
    <row r="2904" ht="14.25" customHeight="1">
      <c r="A2904" s="13" t="s">
        <v>36</v>
      </c>
      <c r="B2904" s="13" t="s">
        <v>42</v>
      </c>
      <c r="C2904" s="13">
        <v>616.0</v>
      </c>
      <c r="D2904" s="13" t="s">
        <v>189</v>
      </c>
      <c r="F2904" s="13"/>
      <c r="G2904" s="13" t="s">
        <v>111</v>
      </c>
      <c r="H2904" s="13" t="s">
        <v>75</v>
      </c>
      <c r="I2904" s="13"/>
      <c r="J2904" s="13"/>
      <c r="K2904" s="15">
        <v>1.0</v>
      </c>
      <c r="L2904" s="15">
        <v>1.0</v>
      </c>
      <c r="M2904" s="16"/>
      <c r="N2904" s="16"/>
      <c r="O2904" s="17"/>
      <c r="P2904" s="17"/>
      <c r="Q2904" s="13">
        <f t="shared" si="3104"/>
        <v>2</v>
      </c>
      <c r="R2904" s="13"/>
      <c r="S2904" s="13"/>
      <c r="T2904" s="13">
        <f t="shared" ref="T2904:Y2904" si="3115">IF(ISBLANK(K2904)=TRUE,0,1)</f>
        <v>1</v>
      </c>
      <c r="U2904" s="13">
        <f t="shared" si="3115"/>
        <v>1</v>
      </c>
      <c r="V2904" s="13">
        <f t="shared" si="3115"/>
        <v>0</v>
      </c>
      <c r="W2904" s="13">
        <f t="shared" si="3115"/>
        <v>0</v>
      </c>
      <c r="X2904" s="13">
        <f t="shared" si="3115"/>
        <v>0</v>
      </c>
      <c r="Y2904" s="13">
        <f t="shared" si="3115"/>
        <v>0</v>
      </c>
      <c r="Z2904" s="13">
        <f t="shared" si="3023"/>
        <v>1</v>
      </c>
      <c r="AA2904" s="13"/>
      <c r="AB2904" s="13"/>
      <c r="AC2904" s="13"/>
      <c r="AD2904" s="13"/>
      <c r="AE2904" s="13"/>
      <c r="AF2904" s="13"/>
      <c r="AG2904" s="13"/>
      <c r="AH2904" s="13"/>
      <c r="AI2904" s="13"/>
      <c r="AJ2904" s="13"/>
      <c r="AK2904" s="13"/>
      <c r="AL2904" s="13"/>
      <c r="AM2904" s="13"/>
      <c r="AN2904" s="13"/>
      <c r="AO2904" s="13"/>
      <c r="AP2904" s="13"/>
      <c r="AQ2904" s="13"/>
      <c r="AR2904" s="13"/>
      <c r="AS2904" s="13"/>
    </row>
    <row r="2905" ht="14.25" customHeight="1">
      <c r="A2905" s="13" t="s">
        <v>36</v>
      </c>
      <c r="B2905" s="13" t="s">
        <v>42</v>
      </c>
      <c r="C2905" s="13">
        <v>616.0</v>
      </c>
      <c r="D2905" s="13" t="s">
        <v>190</v>
      </c>
      <c r="F2905" s="13"/>
      <c r="G2905" s="13" t="s">
        <v>111</v>
      </c>
      <c r="H2905" s="13" t="s">
        <v>75</v>
      </c>
      <c r="I2905" s="13"/>
      <c r="J2905" s="13"/>
      <c r="K2905" s="15">
        <v>1.0</v>
      </c>
      <c r="L2905" s="15">
        <v>1.0</v>
      </c>
      <c r="M2905" s="16"/>
      <c r="N2905" s="16"/>
      <c r="O2905" s="17"/>
      <c r="P2905" s="17"/>
      <c r="Q2905" s="13">
        <f t="shared" si="3104"/>
        <v>2</v>
      </c>
      <c r="R2905" s="13"/>
      <c r="S2905" s="13"/>
      <c r="T2905" s="13">
        <f t="shared" ref="T2905:Y2905" si="3116">IF(ISBLANK(K2905)=TRUE,0,1)</f>
        <v>1</v>
      </c>
      <c r="U2905" s="13">
        <f t="shared" si="3116"/>
        <v>1</v>
      </c>
      <c r="V2905" s="13">
        <f t="shared" si="3116"/>
        <v>0</v>
      </c>
      <c r="W2905" s="13">
        <f t="shared" si="3116"/>
        <v>0</v>
      </c>
      <c r="X2905" s="13">
        <f t="shared" si="3116"/>
        <v>0</v>
      </c>
      <c r="Y2905" s="13">
        <f t="shared" si="3116"/>
        <v>0</v>
      </c>
      <c r="Z2905" s="13">
        <f t="shared" si="3023"/>
        <v>1</v>
      </c>
      <c r="AA2905" s="13"/>
      <c r="AB2905" s="13"/>
      <c r="AC2905" s="13"/>
      <c r="AD2905" s="13"/>
      <c r="AE2905" s="13"/>
      <c r="AF2905" s="13"/>
      <c r="AG2905" s="13"/>
      <c r="AH2905" s="13"/>
      <c r="AI2905" s="13"/>
      <c r="AJ2905" s="13"/>
      <c r="AK2905" s="13"/>
      <c r="AL2905" s="13"/>
      <c r="AM2905" s="13"/>
      <c r="AN2905" s="13"/>
      <c r="AO2905" s="13"/>
      <c r="AP2905" s="13"/>
      <c r="AQ2905" s="13"/>
      <c r="AR2905" s="13"/>
      <c r="AS2905" s="13"/>
    </row>
    <row r="2906" ht="14.25" customHeight="1">
      <c r="A2906" s="13" t="s">
        <v>36</v>
      </c>
      <c r="B2906" s="13" t="s">
        <v>42</v>
      </c>
      <c r="C2906" s="13">
        <v>616.0</v>
      </c>
      <c r="D2906" s="13" t="s">
        <v>191</v>
      </c>
      <c r="F2906" s="13"/>
      <c r="G2906" s="13" t="s">
        <v>111</v>
      </c>
      <c r="H2906" s="13" t="s">
        <v>75</v>
      </c>
      <c r="I2906" s="13"/>
      <c r="J2906" s="13"/>
      <c r="K2906" s="15">
        <v>1.0</v>
      </c>
      <c r="L2906" s="15">
        <v>1.0</v>
      </c>
      <c r="M2906" s="16"/>
      <c r="N2906" s="16"/>
      <c r="O2906" s="17"/>
      <c r="P2906" s="17"/>
      <c r="Q2906" s="13">
        <f t="shared" si="3104"/>
        <v>2</v>
      </c>
      <c r="R2906" s="13"/>
      <c r="S2906" s="13"/>
      <c r="T2906" s="13">
        <f t="shared" ref="T2906:Y2906" si="3117">IF(ISBLANK(K2906)=TRUE,0,1)</f>
        <v>1</v>
      </c>
      <c r="U2906" s="13">
        <f t="shared" si="3117"/>
        <v>1</v>
      </c>
      <c r="V2906" s="13">
        <f t="shared" si="3117"/>
        <v>0</v>
      </c>
      <c r="W2906" s="13">
        <f t="shared" si="3117"/>
        <v>0</v>
      </c>
      <c r="X2906" s="13">
        <f t="shared" si="3117"/>
        <v>0</v>
      </c>
      <c r="Y2906" s="13">
        <f t="shared" si="3117"/>
        <v>0</v>
      </c>
      <c r="Z2906" s="13">
        <f t="shared" si="3023"/>
        <v>1</v>
      </c>
      <c r="AA2906" s="13"/>
      <c r="AB2906" s="13"/>
      <c r="AC2906" s="13"/>
      <c r="AD2906" s="13"/>
      <c r="AE2906" s="13"/>
      <c r="AF2906" s="13"/>
      <c r="AG2906" s="13"/>
      <c r="AH2906" s="13"/>
      <c r="AI2906" s="13"/>
      <c r="AJ2906" s="13"/>
      <c r="AK2906" s="13"/>
      <c r="AL2906" s="13"/>
      <c r="AM2906" s="13"/>
      <c r="AN2906" s="13"/>
      <c r="AO2906" s="13"/>
      <c r="AP2906" s="13"/>
      <c r="AQ2906" s="13"/>
      <c r="AR2906" s="13"/>
      <c r="AS2906" s="13"/>
    </row>
    <row r="2907" ht="14.25" customHeight="1">
      <c r="A2907" s="13" t="s">
        <v>36</v>
      </c>
      <c r="B2907" s="13" t="s">
        <v>42</v>
      </c>
      <c r="C2907" s="13">
        <v>616.0</v>
      </c>
      <c r="D2907" s="13" t="s">
        <v>192</v>
      </c>
      <c r="F2907" s="13"/>
      <c r="G2907" s="13" t="s">
        <v>111</v>
      </c>
      <c r="H2907" s="13" t="s">
        <v>75</v>
      </c>
      <c r="I2907" s="13"/>
      <c r="J2907" s="13"/>
      <c r="K2907" s="15">
        <v>1.0</v>
      </c>
      <c r="L2907" s="15">
        <v>1.0</v>
      </c>
      <c r="M2907" s="16"/>
      <c r="N2907" s="16"/>
      <c r="O2907" s="17"/>
      <c r="P2907" s="17"/>
      <c r="Q2907" s="13">
        <f t="shared" si="3104"/>
        <v>2</v>
      </c>
      <c r="R2907" s="13"/>
      <c r="S2907" s="13"/>
      <c r="T2907" s="13">
        <f t="shared" ref="T2907:Y2907" si="3118">IF(ISBLANK(K2907)=TRUE,0,1)</f>
        <v>1</v>
      </c>
      <c r="U2907" s="13">
        <f t="shared" si="3118"/>
        <v>1</v>
      </c>
      <c r="V2907" s="13">
        <f t="shared" si="3118"/>
        <v>0</v>
      </c>
      <c r="W2907" s="13">
        <f t="shared" si="3118"/>
        <v>0</v>
      </c>
      <c r="X2907" s="13">
        <f t="shared" si="3118"/>
        <v>0</v>
      </c>
      <c r="Y2907" s="13">
        <f t="shared" si="3118"/>
        <v>0</v>
      </c>
      <c r="Z2907" s="13">
        <f t="shared" si="3023"/>
        <v>1</v>
      </c>
      <c r="AA2907" s="13"/>
      <c r="AB2907" s="13"/>
      <c r="AC2907" s="13"/>
      <c r="AD2907" s="13"/>
      <c r="AE2907" s="13"/>
      <c r="AF2907" s="13"/>
      <c r="AG2907" s="13"/>
      <c r="AH2907" s="13"/>
      <c r="AI2907" s="13"/>
      <c r="AJ2907" s="13"/>
      <c r="AK2907" s="13"/>
      <c r="AL2907" s="13"/>
      <c r="AM2907" s="13"/>
      <c r="AN2907" s="13"/>
      <c r="AO2907" s="13"/>
      <c r="AP2907" s="13"/>
      <c r="AQ2907" s="13"/>
      <c r="AR2907" s="13"/>
      <c r="AS2907" s="13"/>
    </row>
    <row r="2908" ht="14.25" customHeight="1">
      <c r="A2908" s="13" t="s">
        <v>36</v>
      </c>
      <c r="B2908" s="13" t="s">
        <v>42</v>
      </c>
      <c r="C2908" s="13">
        <v>616.0</v>
      </c>
      <c r="D2908" s="13" t="s">
        <v>193</v>
      </c>
      <c r="F2908" s="13"/>
      <c r="G2908" s="13" t="s">
        <v>111</v>
      </c>
      <c r="H2908" s="13" t="s">
        <v>75</v>
      </c>
      <c r="I2908" s="13"/>
      <c r="J2908" s="13"/>
      <c r="K2908" s="15">
        <v>1.0</v>
      </c>
      <c r="L2908" s="15">
        <v>1.0</v>
      </c>
      <c r="M2908" s="16"/>
      <c r="N2908" s="16"/>
      <c r="O2908" s="17"/>
      <c r="P2908" s="17"/>
      <c r="Q2908" s="13">
        <f t="shared" si="3104"/>
        <v>2</v>
      </c>
      <c r="R2908" s="13"/>
      <c r="S2908" s="13"/>
      <c r="T2908" s="13">
        <f t="shared" ref="T2908:Y2908" si="3119">IF(ISBLANK(K2908)=TRUE,0,1)</f>
        <v>1</v>
      </c>
      <c r="U2908" s="13">
        <f t="shared" si="3119"/>
        <v>1</v>
      </c>
      <c r="V2908" s="13">
        <f t="shared" si="3119"/>
        <v>0</v>
      </c>
      <c r="W2908" s="13">
        <f t="shared" si="3119"/>
        <v>0</v>
      </c>
      <c r="X2908" s="13">
        <f t="shared" si="3119"/>
        <v>0</v>
      </c>
      <c r="Y2908" s="13">
        <f t="shared" si="3119"/>
        <v>0</v>
      </c>
      <c r="Z2908" s="13">
        <f t="shared" si="3023"/>
        <v>1</v>
      </c>
      <c r="AA2908" s="13"/>
      <c r="AB2908" s="13"/>
      <c r="AC2908" s="13"/>
      <c r="AD2908" s="13"/>
      <c r="AE2908" s="13"/>
      <c r="AF2908" s="13"/>
      <c r="AG2908" s="13"/>
      <c r="AH2908" s="13"/>
      <c r="AI2908" s="13"/>
      <c r="AJ2908" s="13"/>
      <c r="AK2908" s="13"/>
      <c r="AL2908" s="13"/>
      <c r="AM2908" s="13"/>
      <c r="AN2908" s="13"/>
      <c r="AO2908" s="13"/>
      <c r="AP2908" s="13"/>
      <c r="AQ2908" s="13"/>
      <c r="AR2908" s="13"/>
      <c r="AS2908" s="13"/>
    </row>
    <row r="2909" ht="14.25" customHeight="1">
      <c r="A2909" s="13" t="s">
        <v>36</v>
      </c>
      <c r="B2909" s="13" t="s">
        <v>41</v>
      </c>
      <c r="C2909" s="13" t="s">
        <v>1860</v>
      </c>
      <c r="D2909" s="13" t="s">
        <v>179</v>
      </c>
      <c r="F2909" s="13"/>
      <c r="G2909" s="13" t="s">
        <v>74</v>
      </c>
      <c r="H2909" s="13" t="s">
        <v>75</v>
      </c>
      <c r="I2909" s="13"/>
      <c r="J2909" s="13"/>
      <c r="K2909" s="15">
        <v>1.0</v>
      </c>
      <c r="L2909" s="15">
        <v>1.0</v>
      </c>
      <c r="M2909" s="16"/>
      <c r="N2909" s="16"/>
      <c r="O2909" s="17">
        <v>1.0</v>
      </c>
      <c r="P2909" s="17">
        <v>1.0</v>
      </c>
      <c r="Q2909" s="13">
        <f t="shared" si="3104"/>
        <v>2</v>
      </c>
      <c r="R2909" s="13"/>
      <c r="S2909" s="13"/>
      <c r="T2909" s="13">
        <f t="shared" ref="T2909:Y2909" si="3120">IF(ISBLANK(K2909)=TRUE,0,1)</f>
        <v>1</v>
      </c>
      <c r="U2909" s="13">
        <f t="shared" si="3120"/>
        <v>1</v>
      </c>
      <c r="V2909" s="13">
        <f t="shared" si="3120"/>
        <v>0</v>
      </c>
      <c r="W2909" s="13">
        <f t="shared" si="3120"/>
        <v>0</v>
      </c>
      <c r="X2909" s="13">
        <f t="shared" si="3120"/>
        <v>1</v>
      </c>
      <c r="Y2909" s="13">
        <f t="shared" si="3120"/>
        <v>1</v>
      </c>
      <c r="Z2909" s="13">
        <f t="shared" si="3023"/>
        <v>1</v>
      </c>
      <c r="AA2909" s="13"/>
      <c r="AB2909" s="13"/>
      <c r="AC2909" s="13"/>
      <c r="AD2909" s="13"/>
      <c r="AE2909" s="13"/>
      <c r="AF2909" s="13"/>
      <c r="AG2909" s="13"/>
      <c r="AH2909" s="13"/>
      <c r="AI2909" s="13"/>
      <c r="AJ2909" s="13"/>
      <c r="AK2909" s="13"/>
      <c r="AL2909" s="13"/>
      <c r="AM2909" s="13"/>
      <c r="AN2909" s="13"/>
      <c r="AO2909" s="13"/>
      <c r="AP2909" s="13"/>
      <c r="AQ2909" s="13"/>
      <c r="AR2909" s="13"/>
      <c r="AS2909" s="13"/>
    </row>
    <row r="2910" ht="14.25" customHeight="1">
      <c r="A2910" s="13" t="s">
        <v>36</v>
      </c>
      <c r="B2910" s="13" t="s">
        <v>41</v>
      </c>
      <c r="C2910" s="13" t="s">
        <v>1860</v>
      </c>
      <c r="D2910" s="13" t="s">
        <v>180</v>
      </c>
      <c r="F2910" s="13"/>
      <c r="G2910" s="13" t="s">
        <v>74</v>
      </c>
      <c r="H2910" s="13" t="s">
        <v>75</v>
      </c>
      <c r="I2910" s="13"/>
      <c r="J2910" s="13"/>
      <c r="K2910" s="15">
        <v>1.0</v>
      </c>
      <c r="L2910" s="15">
        <v>1.0</v>
      </c>
      <c r="M2910" s="16"/>
      <c r="N2910" s="16"/>
      <c r="O2910" s="17">
        <v>1.0</v>
      </c>
      <c r="P2910" s="17">
        <v>1.0</v>
      </c>
      <c r="Q2910" s="13">
        <f t="shared" si="3104"/>
        <v>3.166666667</v>
      </c>
      <c r="R2910" s="13"/>
      <c r="S2910" s="13"/>
      <c r="T2910" s="13">
        <f t="shared" ref="T2910:Y2910" si="3121">IF(ISBLANK(K2910)=TRUE,0,1)</f>
        <v>1</v>
      </c>
      <c r="U2910" s="13">
        <f t="shared" si="3121"/>
        <v>1</v>
      </c>
      <c r="V2910" s="13">
        <f t="shared" si="3121"/>
        <v>0</v>
      </c>
      <c r="W2910" s="13">
        <f t="shared" si="3121"/>
        <v>0</v>
      </c>
      <c r="X2910" s="13">
        <f t="shared" si="3121"/>
        <v>1</v>
      </c>
      <c r="Y2910" s="13">
        <f t="shared" si="3121"/>
        <v>1</v>
      </c>
      <c r="Z2910" s="13">
        <f t="shared" si="3023"/>
        <v>1</v>
      </c>
      <c r="AA2910" s="13"/>
      <c r="AB2910" s="13"/>
      <c r="AC2910" s="13"/>
      <c r="AD2910" s="13"/>
      <c r="AE2910" s="13"/>
      <c r="AF2910" s="13"/>
      <c r="AG2910" s="13"/>
      <c r="AH2910" s="13"/>
      <c r="AI2910" s="13"/>
      <c r="AJ2910" s="13"/>
      <c r="AK2910" s="13"/>
      <c r="AL2910" s="13"/>
      <c r="AM2910" s="13"/>
      <c r="AN2910" s="13"/>
      <c r="AO2910" s="13"/>
      <c r="AP2910" s="13"/>
      <c r="AQ2910" s="13"/>
      <c r="AR2910" s="13"/>
      <c r="AS2910" s="13"/>
    </row>
    <row r="2911" ht="14.25" customHeight="1">
      <c r="A2911" s="13" t="s">
        <v>36</v>
      </c>
      <c r="B2911" s="13" t="s">
        <v>42</v>
      </c>
      <c r="C2911" s="13">
        <v>616.0</v>
      </c>
      <c r="D2911" s="13" t="s">
        <v>194</v>
      </c>
      <c r="F2911" s="13"/>
      <c r="G2911" s="13" t="s">
        <v>111</v>
      </c>
      <c r="H2911" s="13" t="s">
        <v>75</v>
      </c>
      <c r="I2911" s="13"/>
      <c r="J2911" s="13"/>
      <c r="K2911" s="15">
        <v>1.0</v>
      </c>
      <c r="L2911" s="15">
        <v>1.0</v>
      </c>
      <c r="M2911" s="16"/>
      <c r="N2911" s="16"/>
      <c r="O2911" s="17"/>
      <c r="P2911" s="17"/>
      <c r="Q2911" s="13">
        <f t="shared" si="3104"/>
        <v>3.166666667</v>
      </c>
      <c r="R2911" s="13"/>
      <c r="S2911" s="13"/>
      <c r="T2911" s="13">
        <f t="shared" ref="T2911:Y2911" si="3122">IF(ISBLANK(K2911)=TRUE,0,1)</f>
        <v>1</v>
      </c>
      <c r="U2911" s="13">
        <f t="shared" si="3122"/>
        <v>1</v>
      </c>
      <c r="V2911" s="13">
        <f t="shared" si="3122"/>
        <v>0</v>
      </c>
      <c r="W2911" s="13">
        <f t="shared" si="3122"/>
        <v>0</v>
      </c>
      <c r="X2911" s="13">
        <f t="shared" si="3122"/>
        <v>0</v>
      </c>
      <c r="Y2911" s="13">
        <f t="shared" si="3122"/>
        <v>0</v>
      </c>
      <c r="Z2911" s="13">
        <f t="shared" si="3023"/>
        <v>1</v>
      </c>
      <c r="AA2911" s="13"/>
      <c r="AB2911" s="13"/>
      <c r="AC2911" s="13"/>
      <c r="AD2911" s="13"/>
      <c r="AE2911" s="13"/>
      <c r="AF2911" s="13"/>
      <c r="AG2911" s="13"/>
      <c r="AH2911" s="13"/>
      <c r="AI2911" s="13"/>
      <c r="AJ2911" s="13"/>
      <c r="AK2911" s="13"/>
      <c r="AL2911" s="13"/>
      <c r="AM2911" s="13"/>
      <c r="AN2911" s="13"/>
      <c r="AO2911" s="13"/>
      <c r="AP2911" s="13"/>
      <c r="AQ2911" s="13"/>
      <c r="AR2911" s="13"/>
      <c r="AS2911" s="13"/>
    </row>
    <row r="2912" ht="14.25" customHeight="1">
      <c r="A2912" s="13" t="s">
        <v>36</v>
      </c>
      <c r="B2912" s="13" t="s">
        <v>39</v>
      </c>
      <c r="C2912" s="13" t="s">
        <v>1738</v>
      </c>
      <c r="D2912" s="13" t="s">
        <v>434</v>
      </c>
      <c r="F2912" s="13"/>
      <c r="G2912" s="13" t="s">
        <v>111</v>
      </c>
      <c r="H2912" s="13" t="s">
        <v>75</v>
      </c>
      <c r="I2912" s="13"/>
      <c r="J2912" s="13"/>
      <c r="K2912" s="15">
        <v>0.0</v>
      </c>
      <c r="L2912" s="15">
        <v>0.0</v>
      </c>
      <c r="M2912" s="16"/>
      <c r="N2912" s="16"/>
      <c r="O2912" s="17"/>
      <c r="P2912" s="17"/>
      <c r="Q2912" s="13">
        <f t="shared" si="3104"/>
        <v>2</v>
      </c>
      <c r="R2912" s="13"/>
      <c r="S2912" s="13"/>
      <c r="T2912" s="13">
        <f t="shared" ref="T2912:Y2912" si="3123">IF(ISBLANK(K2912)=TRUE,0,1)</f>
        <v>1</v>
      </c>
      <c r="U2912" s="13">
        <f t="shared" si="3123"/>
        <v>1</v>
      </c>
      <c r="V2912" s="13">
        <f t="shared" si="3123"/>
        <v>0</v>
      </c>
      <c r="W2912" s="13">
        <f t="shared" si="3123"/>
        <v>0</v>
      </c>
      <c r="X2912" s="13">
        <f t="shared" si="3123"/>
        <v>0</v>
      </c>
      <c r="Y2912" s="13">
        <f t="shared" si="3123"/>
        <v>0</v>
      </c>
      <c r="Z2912" s="13">
        <f t="shared" si="3023"/>
        <v>0</v>
      </c>
      <c r="AA2912" s="13"/>
      <c r="AB2912" s="13"/>
      <c r="AC2912" s="13"/>
      <c r="AD2912" s="13"/>
      <c r="AE2912" s="13"/>
      <c r="AF2912" s="13"/>
      <c r="AG2912" s="13"/>
      <c r="AH2912" s="13"/>
      <c r="AI2912" s="13"/>
      <c r="AJ2912" s="13"/>
      <c r="AK2912" s="13"/>
      <c r="AL2912" s="13"/>
      <c r="AM2912" s="13"/>
      <c r="AN2912" s="13"/>
      <c r="AO2912" s="13"/>
      <c r="AP2912" s="13"/>
      <c r="AQ2912" s="13"/>
      <c r="AR2912" s="13"/>
      <c r="AS2912" s="13"/>
    </row>
    <row r="2913" ht="14.25" customHeight="1">
      <c r="A2913" s="13" t="s">
        <v>36</v>
      </c>
      <c r="B2913" s="13" t="s">
        <v>39</v>
      </c>
      <c r="C2913" s="13" t="s">
        <v>1738</v>
      </c>
      <c r="D2913" s="13" t="s">
        <v>435</v>
      </c>
      <c r="F2913" s="13"/>
      <c r="G2913" s="13" t="s">
        <v>111</v>
      </c>
      <c r="H2913" s="13" t="s">
        <v>75</v>
      </c>
      <c r="I2913" s="13"/>
      <c r="J2913" s="13"/>
      <c r="K2913" s="15">
        <v>0.0</v>
      </c>
      <c r="L2913" s="15">
        <v>0.0</v>
      </c>
      <c r="M2913" s="16"/>
      <c r="N2913" s="16"/>
      <c r="O2913" s="17"/>
      <c r="P2913" s="17"/>
      <c r="Q2913" s="13">
        <f t="shared" si="3104"/>
        <v>0</v>
      </c>
      <c r="R2913" s="13"/>
      <c r="S2913" s="13"/>
      <c r="T2913" s="13">
        <f t="shared" ref="T2913:Y2913" si="3124">IF(ISBLANK(K2913)=TRUE,0,1)</f>
        <v>1</v>
      </c>
      <c r="U2913" s="13">
        <f t="shared" si="3124"/>
        <v>1</v>
      </c>
      <c r="V2913" s="13">
        <f t="shared" si="3124"/>
        <v>0</v>
      </c>
      <c r="W2913" s="13">
        <f t="shared" si="3124"/>
        <v>0</v>
      </c>
      <c r="X2913" s="13">
        <f t="shared" si="3124"/>
        <v>0</v>
      </c>
      <c r="Y2913" s="13">
        <f t="shared" si="3124"/>
        <v>0</v>
      </c>
      <c r="Z2913" s="13">
        <f t="shared" si="3023"/>
        <v>0</v>
      </c>
      <c r="AA2913" s="13"/>
      <c r="AB2913" s="13"/>
      <c r="AC2913" s="13"/>
      <c r="AD2913" s="13"/>
      <c r="AE2913" s="13"/>
      <c r="AF2913" s="13"/>
      <c r="AG2913" s="13"/>
      <c r="AH2913" s="13"/>
      <c r="AI2913" s="13"/>
      <c r="AJ2913" s="13"/>
      <c r="AK2913" s="13"/>
      <c r="AL2913" s="13"/>
      <c r="AM2913" s="13"/>
      <c r="AN2913" s="13"/>
      <c r="AO2913" s="13"/>
      <c r="AP2913" s="13"/>
      <c r="AQ2913" s="13"/>
      <c r="AR2913" s="13"/>
      <c r="AS2913" s="13"/>
    </row>
    <row r="2914" ht="14.25" customHeight="1">
      <c r="A2914" s="13" t="s">
        <v>36</v>
      </c>
      <c r="B2914" s="13" t="s">
        <v>42</v>
      </c>
      <c r="C2914" s="13">
        <v>616.0</v>
      </c>
      <c r="D2914" s="13" t="s">
        <v>195</v>
      </c>
      <c r="F2914" s="13"/>
      <c r="G2914" s="13" t="s">
        <v>111</v>
      </c>
      <c r="H2914" s="13" t="s">
        <v>75</v>
      </c>
      <c r="I2914" s="13"/>
      <c r="J2914" s="13"/>
      <c r="K2914" s="15">
        <v>1.0</v>
      </c>
      <c r="L2914" s="15">
        <v>1.0</v>
      </c>
      <c r="M2914" s="16"/>
      <c r="N2914" s="16"/>
      <c r="O2914" s="17"/>
      <c r="P2914" s="17"/>
      <c r="Q2914" s="13">
        <f t="shared" si="3104"/>
        <v>0</v>
      </c>
      <c r="R2914" s="13"/>
      <c r="S2914" s="13"/>
      <c r="T2914" s="13">
        <f t="shared" ref="T2914:Y2914" si="3125">IF(ISBLANK(K2914)=TRUE,0,1)</f>
        <v>1</v>
      </c>
      <c r="U2914" s="13">
        <f t="shared" si="3125"/>
        <v>1</v>
      </c>
      <c r="V2914" s="13">
        <f t="shared" si="3125"/>
        <v>0</v>
      </c>
      <c r="W2914" s="13">
        <f t="shared" si="3125"/>
        <v>0</v>
      </c>
      <c r="X2914" s="13">
        <f t="shared" si="3125"/>
        <v>0</v>
      </c>
      <c r="Y2914" s="13">
        <f t="shared" si="3125"/>
        <v>0</v>
      </c>
      <c r="Z2914" s="13">
        <f t="shared" si="3023"/>
        <v>1</v>
      </c>
      <c r="AA2914" s="13"/>
      <c r="AB2914" s="13"/>
      <c r="AC2914" s="13"/>
      <c r="AD2914" s="13"/>
      <c r="AE2914" s="13"/>
      <c r="AF2914" s="13"/>
      <c r="AG2914" s="13"/>
      <c r="AH2914" s="13"/>
      <c r="AI2914" s="13"/>
      <c r="AJ2914" s="13"/>
      <c r="AK2914" s="13"/>
      <c r="AL2914" s="13"/>
      <c r="AM2914" s="13"/>
      <c r="AN2914" s="13"/>
      <c r="AO2914" s="13"/>
      <c r="AP2914" s="13"/>
      <c r="AQ2914" s="13"/>
      <c r="AR2914" s="13"/>
      <c r="AS2914" s="13"/>
    </row>
    <row r="2915" ht="14.25" customHeight="1">
      <c r="A2915" s="13" t="s">
        <v>36</v>
      </c>
      <c r="B2915" s="13" t="s">
        <v>42</v>
      </c>
      <c r="C2915" s="13">
        <v>616.0</v>
      </c>
      <c r="D2915" s="13" t="s">
        <v>196</v>
      </c>
      <c r="F2915" s="13"/>
      <c r="G2915" s="13" t="s">
        <v>111</v>
      </c>
      <c r="H2915" s="13" t="s">
        <v>75</v>
      </c>
      <c r="I2915" s="13"/>
      <c r="J2915" s="13"/>
      <c r="K2915" s="15">
        <v>1.0</v>
      </c>
      <c r="L2915" s="15">
        <v>1.0</v>
      </c>
      <c r="M2915" s="16"/>
      <c r="N2915" s="16"/>
      <c r="O2915" s="17"/>
      <c r="P2915" s="17"/>
      <c r="Q2915" s="13">
        <f t="shared" si="3104"/>
        <v>2</v>
      </c>
      <c r="R2915" s="13"/>
      <c r="S2915" s="13"/>
      <c r="T2915" s="13">
        <f t="shared" ref="T2915:Y2915" si="3126">IF(ISBLANK(K2915)=TRUE,0,1)</f>
        <v>1</v>
      </c>
      <c r="U2915" s="13">
        <f t="shared" si="3126"/>
        <v>1</v>
      </c>
      <c r="V2915" s="13">
        <f t="shared" si="3126"/>
        <v>0</v>
      </c>
      <c r="W2915" s="13">
        <f t="shared" si="3126"/>
        <v>0</v>
      </c>
      <c r="X2915" s="13">
        <f t="shared" si="3126"/>
        <v>0</v>
      </c>
      <c r="Y2915" s="13">
        <f t="shared" si="3126"/>
        <v>0</v>
      </c>
      <c r="Z2915" s="13">
        <f t="shared" si="3023"/>
        <v>1</v>
      </c>
      <c r="AA2915" s="13"/>
      <c r="AB2915" s="13"/>
      <c r="AC2915" s="13"/>
      <c r="AD2915" s="13"/>
      <c r="AE2915" s="13"/>
      <c r="AF2915" s="13"/>
      <c r="AG2915" s="13"/>
      <c r="AH2915" s="13"/>
      <c r="AI2915" s="13"/>
      <c r="AJ2915" s="13"/>
      <c r="AK2915" s="13"/>
      <c r="AL2915" s="13"/>
      <c r="AM2915" s="13"/>
      <c r="AN2915" s="13"/>
      <c r="AO2915" s="13"/>
      <c r="AP2915" s="13"/>
      <c r="AQ2915" s="13"/>
      <c r="AR2915" s="13"/>
      <c r="AS2915" s="13"/>
    </row>
    <row r="2916" ht="14.25" customHeight="1">
      <c r="A2916" s="13" t="s">
        <v>36</v>
      </c>
      <c r="B2916" s="13" t="s">
        <v>39</v>
      </c>
      <c r="C2916" s="13" t="s">
        <v>1738</v>
      </c>
      <c r="D2916" s="13" t="s">
        <v>436</v>
      </c>
      <c r="F2916" s="13"/>
      <c r="G2916" s="13" t="s">
        <v>111</v>
      </c>
      <c r="H2916" s="13" t="s">
        <v>75</v>
      </c>
      <c r="I2916" s="13"/>
      <c r="J2916" s="13"/>
      <c r="K2916" s="15">
        <v>0.0</v>
      </c>
      <c r="L2916" s="15">
        <v>0.0</v>
      </c>
      <c r="M2916" s="16"/>
      <c r="N2916" s="16"/>
      <c r="O2916" s="17"/>
      <c r="P2916" s="17"/>
      <c r="Q2916" s="13">
        <f t="shared" si="3104"/>
        <v>2</v>
      </c>
      <c r="R2916" s="13"/>
      <c r="S2916" s="13"/>
      <c r="T2916" s="13">
        <f t="shared" ref="T2916:Y2916" si="3127">IF(ISBLANK(K2916)=TRUE,0,1)</f>
        <v>1</v>
      </c>
      <c r="U2916" s="13">
        <f t="shared" si="3127"/>
        <v>1</v>
      </c>
      <c r="V2916" s="13">
        <f t="shared" si="3127"/>
        <v>0</v>
      </c>
      <c r="W2916" s="13">
        <f t="shared" si="3127"/>
        <v>0</v>
      </c>
      <c r="X2916" s="13">
        <f t="shared" si="3127"/>
        <v>0</v>
      </c>
      <c r="Y2916" s="13">
        <f t="shared" si="3127"/>
        <v>0</v>
      </c>
      <c r="Z2916" s="13">
        <f t="shared" si="3023"/>
        <v>0</v>
      </c>
      <c r="AA2916" s="13"/>
      <c r="AB2916" s="13"/>
      <c r="AC2916" s="13"/>
      <c r="AD2916" s="13"/>
      <c r="AE2916" s="13"/>
      <c r="AF2916" s="13"/>
      <c r="AG2916" s="13"/>
      <c r="AH2916" s="13"/>
      <c r="AI2916" s="13"/>
      <c r="AJ2916" s="13"/>
      <c r="AK2916" s="13"/>
      <c r="AL2916" s="13"/>
      <c r="AM2916" s="13"/>
      <c r="AN2916" s="13"/>
      <c r="AO2916" s="13"/>
      <c r="AP2916" s="13"/>
      <c r="AQ2916" s="13"/>
      <c r="AR2916" s="13"/>
      <c r="AS2916" s="13"/>
    </row>
    <row r="2917" ht="14.25" customHeight="1">
      <c r="A2917" s="13" t="s">
        <v>36</v>
      </c>
      <c r="B2917" s="13" t="s">
        <v>37</v>
      </c>
      <c r="C2917" s="13" t="s">
        <v>1859</v>
      </c>
      <c r="D2917" s="13" t="s">
        <v>178</v>
      </c>
      <c r="F2917" s="13"/>
      <c r="G2917" s="13" t="s">
        <v>74</v>
      </c>
      <c r="H2917" s="13" t="s">
        <v>75</v>
      </c>
      <c r="I2917" s="13"/>
      <c r="J2917" s="13"/>
      <c r="K2917" s="15">
        <v>1.0</v>
      </c>
      <c r="L2917" s="15">
        <v>1.0</v>
      </c>
      <c r="M2917" s="16"/>
      <c r="N2917" s="16"/>
      <c r="O2917" s="17"/>
      <c r="P2917" s="17"/>
      <c r="Q2917" s="13">
        <f t="shared" si="3104"/>
        <v>0</v>
      </c>
      <c r="R2917" s="13"/>
      <c r="S2917" s="13"/>
      <c r="T2917" s="13">
        <f t="shared" ref="T2917:Y2917" si="3128">IF(ISBLANK(K2917)=TRUE,0,1)</f>
        <v>1</v>
      </c>
      <c r="U2917" s="13">
        <f t="shared" si="3128"/>
        <v>1</v>
      </c>
      <c r="V2917" s="13">
        <f t="shared" si="3128"/>
        <v>0</v>
      </c>
      <c r="W2917" s="13">
        <f t="shared" si="3128"/>
        <v>0</v>
      </c>
      <c r="X2917" s="13">
        <f t="shared" si="3128"/>
        <v>0</v>
      </c>
      <c r="Y2917" s="13">
        <f t="shared" si="3128"/>
        <v>0</v>
      </c>
      <c r="Z2917" s="13">
        <f t="shared" si="3023"/>
        <v>1</v>
      </c>
      <c r="AA2917" s="13"/>
      <c r="AB2917" s="13"/>
      <c r="AC2917" s="13"/>
      <c r="AD2917" s="13"/>
      <c r="AE2917" s="13"/>
      <c r="AF2917" s="13"/>
      <c r="AG2917" s="13"/>
      <c r="AH2917" s="13"/>
      <c r="AI2917" s="13"/>
      <c r="AJ2917" s="13"/>
      <c r="AK2917" s="13"/>
      <c r="AL2917" s="13"/>
      <c r="AM2917" s="13"/>
      <c r="AN2917" s="13"/>
      <c r="AO2917" s="13"/>
      <c r="AP2917" s="13"/>
      <c r="AQ2917" s="13"/>
      <c r="AR2917" s="13"/>
      <c r="AS2917" s="13"/>
    </row>
    <row r="2918" ht="14.25" customHeight="1">
      <c r="A2918" s="13" t="s">
        <v>36</v>
      </c>
      <c r="B2918" s="13" t="s">
        <v>39</v>
      </c>
      <c r="C2918" s="13" t="s">
        <v>1738</v>
      </c>
      <c r="D2918" s="13" t="s">
        <v>437</v>
      </c>
      <c r="F2918" s="13"/>
      <c r="G2918" s="13" t="s">
        <v>111</v>
      </c>
      <c r="H2918" s="13" t="s">
        <v>75</v>
      </c>
      <c r="I2918" s="13"/>
      <c r="J2918" s="13"/>
      <c r="K2918" s="15">
        <v>0.0</v>
      </c>
      <c r="L2918" s="15">
        <v>0.0</v>
      </c>
      <c r="M2918" s="16"/>
      <c r="N2918" s="16"/>
      <c r="O2918" s="17"/>
      <c r="P2918" s="17"/>
      <c r="Q2918" s="13">
        <f t="shared" si="3104"/>
        <v>2</v>
      </c>
      <c r="R2918" s="13"/>
      <c r="S2918" s="13"/>
      <c r="T2918" s="13">
        <f t="shared" ref="T2918:Y2918" si="3129">IF(ISBLANK(K2918)=TRUE,0,1)</f>
        <v>1</v>
      </c>
      <c r="U2918" s="13">
        <f t="shared" si="3129"/>
        <v>1</v>
      </c>
      <c r="V2918" s="13">
        <f t="shared" si="3129"/>
        <v>0</v>
      </c>
      <c r="W2918" s="13">
        <f t="shared" si="3129"/>
        <v>0</v>
      </c>
      <c r="X2918" s="13">
        <f t="shared" si="3129"/>
        <v>0</v>
      </c>
      <c r="Y2918" s="13">
        <f t="shared" si="3129"/>
        <v>0</v>
      </c>
      <c r="Z2918" s="13">
        <f t="shared" si="3023"/>
        <v>0</v>
      </c>
      <c r="AA2918" s="13"/>
      <c r="AB2918" s="13"/>
      <c r="AC2918" s="13"/>
      <c r="AD2918" s="13"/>
      <c r="AE2918" s="13"/>
      <c r="AF2918" s="13"/>
      <c r="AG2918" s="13"/>
      <c r="AH2918" s="13"/>
      <c r="AI2918" s="13"/>
      <c r="AJ2918" s="13"/>
      <c r="AK2918" s="13"/>
      <c r="AL2918" s="13"/>
      <c r="AM2918" s="13"/>
      <c r="AN2918" s="13"/>
      <c r="AO2918" s="13"/>
      <c r="AP2918" s="13"/>
      <c r="AQ2918" s="13"/>
      <c r="AR2918" s="13"/>
      <c r="AS2918" s="13"/>
    </row>
    <row r="2919" ht="14.25" customHeight="1">
      <c r="A2919" s="13" t="s">
        <v>36</v>
      </c>
      <c r="B2919" s="13" t="s">
        <v>41</v>
      </c>
      <c r="C2919" s="13" t="s">
        <v>1860</v>
      </c>
      <c r="D2919" s="13" t="s">
        <v>181</v>
      </c>
      <c r="F2919" s="13"/>
      <c r="G2919" s="13" t="s">
        <v>74</v>
      </c>
      <c r="H2919" s="13" t="s">
        <v>75</v>
      </c>
      <c r="I2919" s="13"/>
      <c r="J2919" s="13"/>
      <c r="K2919" s="15">
        <v>1.0</v>
      </c>
      <c r="L2919" s="15">
        <v>1.0</v>
      </c>
      <c r="M2919" s="16"/>
      <c r="N2919" s="16"/>
      <c r="O2919" s="17">
        <v>1.0</v>
      </c>
      <c r="P2919" s="17">
        <v>1.0</v>
      </c>
      <c r="Q2919" s="13">
        <f t="shared" si="3104"/>
        <v>0</v>
      </c>
      <c r="R2919" s="13"/>
      <c r="S2919" s="13"/>
      <c r="T2919" s="13">
        <f t="shared" ref="T2919:Y2919" si="3130">IF(ISBLANK(K2919)=TRUE,0,1)</f>
        <v>1</v>
      </c>
      <c r="U2919" s="13">
        <f t="shared" si="3130"/>
        <v>1</v>
      </c>
      <c r="V2919" s="13">
        <f t="shared" si="3130"/>
        <v>0</v>
      </c>
      <c r="W2919" s="13">
        <f t="shared" si="3130"/>
        <v>0</v>
      </c>
      <c r="X2919" s="13">
        <f t="shared" si="3130"/>
        <v>1</v>
      </c>
      <c r="Y2919" s="13">
        <f t="shared" si="3130"/>
        <v>1</v>
      </c>
      <c r="Z2919" s="13">
        <f t="shared" si="3023"/>
        <v>1</v>
      </c>
      <c r="AA2919" s="13"/>
      <c r="AB2919" s="13"/>
      <c r="AC2919" s="13"/>
      <c r="AD2919" s="13"/>
      <c r="AE2919" s="13"/>
      <c r="AF2919" s="13"/>
      <c r="AG2919" s="13"/>
      <c r="AH2919" s="13"/>
      <c r="AI2919" s="13"/>
      <c r="AJ2919" s="13"/>
      <c r="AK2919" s="13"/>
      <c r="AL2919" s="13"/>
      <c r="AM2919" s="13"/>
      <c r="AN2919" s="13"/>
      <c r="AO2919" s="13"/>
      <c r="AP2919" s="13"/>
      <c r="AQ2919" s="13"/>
      <c r="AR2919" s="13"/>
      <c r="AS2919" s="13"/>
    </row>
    <row r="2920" ht="14.25" customHeight="1">
      <c r="A2920" s="13" t="s">
        <v>36</v>
      </c>
      <c r="B2920" s="13" t="s">
        <v>41</v>
      </c>
      <c r="C2920" s="13" t="s">
        <v>1860</v>
      </c>
      <c r="D2920" s="13" t="s">
        <v>182</v>
      </c>
      <c r="F2920" s="13"/>
      <c r="G2920" s="13" t="s">
        <v>74</v>
      </c>
      <c r="H2920" s="13" t="s">
        <v>75</v>
      </c>
      <c r="I2920" s="13"/>
      <c r="J2920" s="13"/>
      <c r="K2920" s="15">
        <v>1.0</v>
      </c>
      <c r="L2920" s="15">
        <v>1.0</v>
      </c>
      <c r="M2920" s="16"/>
      <c r="N2920" s="16"/>
      <c r="O2920" s="17">
        <v>1.0</v>
      </c>
      <c r="P2920" s="17">
        <v>1.0</v>
      </c>
      <c r="Q2920" s="13">
        <f t="shared" si="3104"/>
        <v>3.166666667</v>
      </c>
      <c r="R2920" s="13"/>
      <c r="S2920" s="13"/>
      <c r="T2920" s="13">
        <f t="shared" ref="T2920:Y2920" si="3131">IF(ISBLANK(K2920)=TRUE,0,1)</f>
        <v>1</v>
      </c>
      <c r="U2920" s="13">
        <f t="shared" si="3131"/>
        <v>1</v>
      </c>
      <c r="V2920" s="13">
        <f t="shared" si="3131"/>
        <v>0</v>
      </c>
      <c r="W2920" s="13">
        <f t="shared" si="3131"/>
        <v>0</v>
      </c>
      <c r="X2920" s="13">
        <f t="shared" si="3131"/>
        <v>1</v>
      </c>
      <c r="Y2920" s="13">
        <f t="shared" si="3131"/>
        <v>1</v>
      </c>
      <c r="Z2920" s="13">
        <f t="shared" si="3023"/>
        <v>1</v>
      </c>
      <c r="AA2920" s="13"/>
      <c r="AB2920" s="13"/>
      <c r="AC2920" s="13"/>
      <c r="AD2920" s="13"/>
      <c r="AE2920" s="13"/>
      <c r="AF2920" s="13"/>
      <c r="AG2920" s="13"/>
      <c r="AH2920" s="13"/>
      <c r="AI2920" s="13"/>
      <c r="AJ2920" s="13"/>
      <c r="AK2920" s="13"/>
      <c r="AL2920" s="13"/>
      <c r="AM2920" s="13"/>
      <c r="AN2920" s="13"/>
      <c r="AO2920" s="13"/>
      <c r="AP2920" s="13"/>
      <c r="AQ2920" s="13"/>
      <c r="AR2920" s="13"/>
      <c r="AS2920" s="13"/>
    </row>
    <row r="2921" ht="14.25" customHeight="1">
      <c r="A2921" s="13" t="s">
        <v>36</v>
      </c>
      <c r="B2921" s="13" t="s">
        <v>41</v>
      </c>
      <c r="C2921" s="13" t="s">
        <v>1860</v>
      </c>
      <c r="D2921" s="13" t="s">
        <v>183</v>
      </c>
      <c r="F2921" s="13"/>
      <c r="G2921" s="13" t="s">
        <v>74</v>
      </c>
      <c r="H2921" s="13" t="s">
        <v>75</v>
      </c>
      <c r="I2921" s="13"/>
      <c r="J2921" s="13"/>
      <c r="K2921" s="15">
        <v>1.0</v>
      </c>
      <c r="L2921" s="15">
        <v>1.0</v>
      </c>
      <c r="M2921" s="16"/>
      <c r="N2921" s="16"/>
      <c r="O2921" s="17">
        <v>1.0</v>
      </c>
      <c r="P2921" s="17">
        <v>1.0</v>
      </c>
      <c r="Q2921" s="13">
        <f t="shared" si="3104"/>
        <v>3.166666667</v>
      </c>
      <c r="R2921" s="13"/>
      <c r="S2921" s="13"/>
      <c r="T2921" s="13">
        <f t="shared" ref="T2921:Y2921" si="3132">IF(ISBLANK(K2921)=TRUE,0,1)</f>
        <v>1</v>
      </c>
      <c r="U2921" s="13">
        <f t="shared" si="3132"/>
        <v>1</v>
      </c>
      <c r="V2921" s="13">
        <f t="shared" si="3132"/>
        <v>0</v>
      </c>
      <c r="W2921" s="13">
        <f t="shared" si="3132"/>
        <v>0</v>
      </c>
      <c r="X2921" s="13">
        <f t="shared" si="3132"/>
        <v>1</v>
      </c>
      <c r="Y2921" s="13">
        <f t="shared" si="3132"/>
        <v>1</v>
      </c>
      <c r="Z2921" s="13">
        <f t="shared" si="3023"/>
        <v>1</v>
      </c>
      <c r="AA2921" s="13"/>
      <c r="AB2921" s="13"/>
      <c r="AC2921" s="13"/>
      <c r="AD2921" s="13"/>
      <c r="AE2921" s="13"/>
      <c r="AF2921" s="13"/>
      <c r="AG2921" s="13"/>
      <c r="AH2921" s="13"/>
      <c r="AI2921" s="13"/>
      <c r="AJ2921" s="13"/>
      <c r="AK2921" s="13"/>
      <c r="AL2921" s="13"/>
      <c r="AM2921" s="13"/>
      <c r="AN2921" s="13"/>
      <c r="AO2921" s="13"/>
      <c r="AP2921" s="13"/>
      <c r="AQ2921" s="13"/>
      <c r="AR2921" s="13"/>
      <c r="AS2921" s="13"/>
    </row>
    <row r="2922" ht="14.25" customHeight="1">
      <c r="A2922" s="13" t="s">
        <v>36</v>
      </c>
      <c r="B2922" s="13" t="s">
        <v>39</v>
      </c>
      <c r="C2922" s="13" t="s">
        <v>1738</v>
      </c>
      <c r="D2922" s="13" t="s">
        <v>440</v>
      </c>
      <c r="F2922" s="13"/>
      <c r="G2922" s="13" t="s">
        <v>111</v>
      </c>
      <c r="H2922" s="13" t="s">
        <v>75</v>
      </c>
      <c r="I2922" s="13"/>
      <c r="J2922" s="13"/>
      <c r="K2922" s="15">
        <v>0.0</v>
      </c>
      <c r="L2922" s="15">
        <v>0.0</v>
      </c>
      <c r="M2922" s="16"/>
      <c r="N2922" s="16"/>
      <c r="O2922" s="17"/>
      <c r="P2922" s="17"/>
      <c r="Q2922" s="13">
        <f t="shared" si="3104"/>
        <v>3.166666667</v>
      </c>
      <c r="R2922" s="13"/>
      <c r="S2922" s="13"/>
      <c r="T2922" s="13">
        <f t="shared" ref="T2922:Y2922" si="3133">IF(ISBLANK(K2922)=TRUE,0,1)</f>
        <v>1</v>
      </c>
      <c r="U2922" s="13">
        <f t="shared" si="3133"/>
        <v>1</v>
      </c>
      <c r="V2922" s="13">
        <f t="shared" si="3133"/>
        <v>0</v>
      </c>
      <c r="W2922" s="13">
        <f t="shared" si="3133"/>
        <v>0</v>
      </c>
      <c r="X2922" s="13">
        <f t="shared" si="3133"/>
        <v>0</v>
      </c>
      <c r="Y2922" s="13">
        <f t="shared" si="3133"/>
        <v>0</v>
      </c>
      <c r="Z2922" s="13">
        <f t="shared" si="3023"/>
        <v>0</v>
      </c>
      <c r="AA2922" s="13"/>
      <c r="AB2922" s="13"/>
      <c r="AC2922" s="13"/>
      <c r="AD2922" s="13"/>
      <c r="AE2922" s="13"/>
      <c r="AF2922" s="13"/>
      <c r="AG2922" s="13"/>
      <c r="AH2922" s="13"/>
      <c r="AI2922" s="13"/>
      <c r="AJ2922" s="13"/>
      <c r="AK2922" s="13"/>
      <c r="AL2922" s="13"/>
      <c r="AM2922" s="13"/>
      <c r="AN2922" s="13"/>
      <c r="AO2922" s="13"/>
      <c r="AP2922" s="13"/>
      <c r="AQ2922" s="13"/>
      <c r="AR2922" s="13"/>
      <c r="AS2922" s="13"/>
    </row>
    <row r="2923" ht="14.25" customHeight="1">
      <c r="A2923" s="13" t="s">
        <v>36</v>
      </c>
      <c r="B2923" s="13" t="s">
        <v>37</v>
      </c>
      <c r="C2923" s="13" t="s">
        <v>1859</v>
      </c>
      <c r="D2923" s="13" t="s">
        <v>179</v>
      </c>
      <c r="F2923" s="13"/>
      <c r="G2923" s="13" t="s">
        <v>74</v>
      </c>
      <c r="H2923" s="13" t="s">
        <v>75</v>
      </c>
      <c r="I2923" s="13"/>
      <c r="J2923" s="13"/>
      <c r="K2923" s="15">
        <v>1.0</v>
      </c>
      <c r="L2923" s="15">
        <v>1.0</v>
      </c>
      <c r="M2923" s="16"/>
      <c r="N2923" s="16"/>
      <c r="O2923" s="17"/>
      <c r="P2923" s="17"/>
      <c r="Q2923" s="13">
        <f t="shared" si="3104"/>
        <v>0</v>
      </c>
      <c r="R2923" s="13"/>
      <c r="S2923" s="13"/>
      <c r="T2923" s="13">
        <f t="shared" ref="T2923:Y2923" si="3134">IF(ISBLANK(K2923)=TRUE,0,1)</f>
        <v>1</v>
      </c>
      <c r="U2923" s="13">
        <f t="shared" si="3134"/>
        <v>1</v>
      </c>
      <c r="V2923" s="13">
        <f t="shared" si="3134"/>
        <v>0</v>
      </c>
      <c r="W2923" s="13">
        <f t="shared" si="3134"/>
        <v>0</v>
      </c>
      <c r="X2923" s="13">
        <f t="shared" si="3134"/>
        <v>0</v>
      </c>
      <c r="Y2923" s="13">
        <f t="shared" si="3134"/>
        <v>0</v>
      </c>
      <c r="Z2923" s="13">
        <f t="shared" si="3023"/>
        <v>1</v>
      </c>
      <c r="AA2923" s="13"/>
      <c r="AB2923" s="13"/>
      <c r="AC2923" s="13"/>
      <c r="AD2923" s="13"/>
      <c r="AE2923" s="13"/>
      <c r="AF2923" s="13"/>
      <c r="AG2923" s="13"/>
      <c r="AH2923" s="13"/>
      <c r="AI2923" s="13"/>
      <c r="AJ2923" s="13"/>
      <c r="AK2923" s="13"/>
      <c r="AL2923" s="13"/>
      <c r="AM2923" s="13"/>
      <c r="AN2923" s="13"/>
      <c r="AO2923" s="13"/>
      <c r="AP2923" s="13"/>
      <c r="AQ2923" s="13"/>
      <c r="AR2923" s="13"/>
      <c r="AS2923" s="13"/>
    </row>
    <row r="2924" ht="14.25" customHeight="1">
      <c r="A2924" s="13" t="s">
        <v>36</v>
      </c>
      <c r="B2924" s="13" t="s">
        <v>37</v>
      </c>
      <c r="C2924" s="13" t="s">
        <v>1859</v>
      </c>
      <c r="D2924" s="13" t="s">
        <v>180</v>
      </c>
      <c r="F2924" s="13"/>
      <c r="G2924" s="13" t="s">
        <v>74</v>
      </c>
      <c r="H2924" s="13" t="s">
        <v>75</v>
      </c>
      <c r="I2924" s="13"/>
      <c r="J2924" s="13"/>
      <c r="K2924" s="15">
        <v>1.0</v>
      </c>
      <c r="L2924" s="15">
        <v>1.0</v>
      </c>
      <c r="M2924" s="16"/>
      <c r="N2924" s="16"/>
      <c r="O2924" s="17"/>
      <c r="P2924" s="17"/>
      <c r="Q2924" s="13">
        <f t="shared" si="3104"/>
        <v>2</v>
      </c>
      <c r="R2924" s="13"/>
      <c r="S2924" s="13"/>
      <c r="T2924" s="13">
        <f t="shared" ref="T2924:Y2924" si="3135">IF(ISBLANK(K2924)=TRUE,0,1)</f>
        <v>1</v>
      </c>
      <c r="U2924" s="13">
        <f t="shared" si="3135"/>
        <v>1</v>
      </c>
      <c r="V2924" s="13">
        <f t="shared" si="3135"/>
        <v>0</v>
      </c>
      <c r="W2924" s="13">
        <f t="shared" si="3135"/>
        <v>0</v>
      </c>
      <c r="X2924" s="13">
        <f t="shared" si="3135"/>
        <v>0</v>
      </c>
      <c r="Y2924" s="13">
        <f t="shared" si="3135"/>
        <v>0</v>
      </c>
      <c r="Z2924" s="13">
        <f t="shared" si="3023"/>
        <v>1</v>
      </c>
      <c r="AA2924" s="13"/>
      <c r="AB2924" s="13"/>
      <c r="AC2924" s="13"/>
      <c r="AD2924" s="13"/>
      <c r="AE2924" s="13"/>
      <c r="AF2924" s="13"/>
      <c r="AG2924" s="13"/>
      <c r="AH2924" s="13"/>
      <c r="AI2924" s="13"/>
      <c r="AJ2924" s="13"/>
      <c r="AK2924" s="13"/>
      <c r="AL2924" s="13"/>
      <c r="AM2924" s="13"/>
      <c r="AN2924" s="13"/>
      <c r="AO2924" s="13"/>
      <c r="AP2924" s="13"/>
      <c r="AQ2924" s="13"/>
      <c r="AR2924" s="13"/>
      <c r="AS2924" s="13"/>
    </row>
    <row r="2925" ht="14.25" customHeight="1">
      <c r="A2925" s="13" t="s">
        <v>36</v>
      </c>
      <c r="B2925" s="13" t="s">
        <v>39</v>
      </c>
      <c r="C2925" s="13" t="s">
        <v>1738</v>
      </c>
      <c r="D2925" s="13" t="s">
        <v>441</v>
      </c>
      <c r="F2925" s="13"/>
      <c r="G2925" s="13" t="s">
        <v>111</v>
      </c>
      <c r="H2925" s="13" t="s">
        <v>75</v>
      </c>
      <c r="I2925" s="13"/>
      <c r="J2925" s="13"/>
      <c r="K2925" s="15">
        <v>0.0</v>
      </c>
      <c r="L2925" s="15">
        <v>0.0</v>
      </c>
      <c r="M2925" s="16"/>
      <c r="N2925" s="16"/>
      <c r="O2925" s="17"/>
      <c r="P2925" s="17"/>
      <c r="Q2925" s="13">
        <f t="shared" si="3104"/>
        <v>2</v>
      </c>
      <c r="R2925" s="13"/>
      <c r="S2925" s="13"/>
      <c r="T2925" s="13">
        <f t="shared" ref="T2925:Y2925" si="3136">IF(ISBLANK(K2925)=TRUE,0,1)</f>
        <v>1</v>
      </c>
      <c r="U2925" s="13">
        <f t="shared" si="3136"/>
        <v>1</v>
      </c>
      <c r="V2925" s="13">
        <f t="shared" si="3136"/>
        <v>0</v>
      </c>
      <c r="W2925" s="13">
        <f t="shared" si="3136"/>
        <v>0</v>
      </c>
      <c r="X2925" s="13">
        <f t="shared" si="3136"/>
        <v>0</v>
      </c>
      <c r="Y2925" s="13">
        <f t="shared" si="3136"/>
        <v>0</v>
      </c>
      <c r="Z2925" s="13">
        <f t="shared" si="3023"/>
        <v>0</v>
      </c>
      <c r="AA2925" s="13"/>
      <c r="AB2925" s="13"/>
      <c r="AC2925" s="13"/>
      <c r="AD2925" s="13"/>
      <c r="AE2925" s="13"/>
      <c r="AF2925" s="13"/>
      <c r="AG2925" s="13"/>
      <c r="AH2925" s="13"/>
      <c r="AI2925" s="13"/>
      <c r="AJ2925" s="13"/>
      <c r="AK2925" s="13"/>
      <c r="AL2925" s="13"/>
      <c r="AM2925" s="13"/>
      <c r="AN2925" s="13"/>
      <c r="AO2925" s="13"/>
      <c r="AP2925" s="13"/>
      <c r="AQ2925" s="13"/>
      <c r="AR2925" s="13"/>
      <c r="AS2925" s="13"/>
    </row>
    <row r="2926" ht="14.25" customHeight="1">
      <c r="A2926" s="13" t="s">
        <v>36</v>
      </c>
      <c r="B2926" s="13" t="s">
        <v>42</v>
      </c>
      <c r="C2926" s="13">
        <v>616.0</v>
      </c>
      <c r="D2926" s="13" t="s">
        <v>197</v>
      </c>
      <c r="F2926" s="13"/>
      <c r="G2926" s="13" t="s">
        <v>111</v>
      </c>
      <c r="H2926" s="13" t="s">
        <v>75</v>
      </c>
      <c r="I2926" s="13"/>
      <c r="J2926" s="13"/>
      <c r="K2926" s="15">
        <v>1.0</v>
      </c>
      <c r="L2926" s="15">
        <v>1.0</v>
      </c>
      <c r="M2926" s="16"/>
      <c r="N2926" s="16"/>
      <c r="O2926" s="17"/>
      <c r="P2926" s="17"/>
      <c r="Q2926" s="13">
        <f t="shared" si="3104"/>
        <v>0</v>
      </c>
      <c r="R2926" s="13"/>
      <c r="S2926" s="13"/>
      <c r="T2926" s="13">
        <f t="shared" ref="T2926:Y2926" si="3137">IF(ISBLANK(K2926)=TRUE,0,1)</f>
        <v>1</v>
      </c>
      <c r="U2926" s="13">
        <f t="shared" si="3137"/>
        <v>1</v>
      </c>
      <c r="V2926" s="13">
        <f t="shared" si="3137"/>
        <v>0</v>
      </c>
      <c r="W2926" s="13">
        <f t="shared" si="3137"/>
        <v>0</v>
      </c>
      <c r="X2926" s="13">
        <f t="shared" si="3137"/>
        <v>0</v>
      </c>
      <c r="Y2926" s="13">
        <f t="shared" si="3137"/>
        <v>0</v>
      </c>
      <c r="Z2926" s="13">
        <f t="shared" si="3023"/>
        <v>1</v>
      </c>
      <c r="AA2926" s="13"/>
      <c r="AB2926" s="13"/>
      <c r="AC2926" s="13"/>
      <c r="AD2926" s="13"/>
      <c r="AE2926" s="13"/>
      <c r="AF2926" s="13"/>
      <c r="AG2926" s="13"/>
      <c r="AH2926" s="13"/>
      <c r="AI2926" s="13"/>
      <c r="AJ2926" s="13"/>
      <c r="AK2926" s="13"/>
      <c r="AL2926" s="13"/>
      <c r="AM2926" s="13"/>
      <c r="AN2926" s="13"/>
      <c r="AO2926" s="13"/>
      <c r="AP2926" s="13"/>
      <c r="AQ2926" s="13"/>
      <c r="AR2926" s="13"/>
      <c r="AS2926" s="13"/>
    </row>
    <row r="2927" ht="14.25" customHeight="1">
      <c r="A2927" s="13" t="s">
        <v>36</v>
      </c>
      <c r="B2927" s="13" t="s">
        <v>42</v>
      </c>
      <c r="C2927" s="13">
        <v>616.0</v>
      </c>
      <c r="D2927" s="13" t="s">
        <v>433</v>
      </c>
      <c r="F2927" s="13"/>
      <c r="G2927" s="13" t="s">
        <v>111</v>
      </c>
      <c r="H2927" s="13" t="s">
        <v>75</v>
      </c>
      <c r="I2927" s="13"/>
      <c r="J2927" s="13"/>
      <c r="K2927" s="15">
        <v>1.0</v>
      </c>
      <c r="L2927" s="15">
        <v>1.0</v>
      </c>
      <c r="M2927" s="16"/>
      <c r="N2927" s="16"/>
      <c r="O2927" s="17"/>
      <c r="P2927" s="17"/>
      <c r="Q2927" s="13">
        <f t="shared" si="3104"/>
        <v>2</v>
      </c>
      <c r="R2927" s="13"/>
      <c r="S2927" s="13"/>
      <c r="T2927" s="13">
        <f t="shared" ref="T2927:Y2927" si="3138">IF(ISBLANK(K2927)=TRUE,0,1)</f>
        <v>1</v>
      </c>
      <c r="U2927" s="13">
        <f t="shared" si="3138"/>
        <v>1</v>
      </c>
      <c r="V2927" s="13">
        <f t="shared" si="3138"/>
        <v>0</v>
      </c>
      <c r="W2927" s="13">
        <f t="shared" si="3138"/>
        <v>0</v>
      </c>
      <c r="X2927" s="13">
        <f t="shared" si="3138"/>
        <v>0</v>
      </c>
      <c r="Y2927" s="13">
        <f t="shared" si="3138"/>
        <v>0</v>
      </c>
      <c r="Z2927" s="13">
        <f t="shared" si="3023"/>
        <v>1</v>
      </c>
      <c r="AA2927" s="13"/>
      <c r="AB2927" s="13"/>
      <c r="AC2927" s="13"/>
      <c r="AD2927" s="13"/>
      <c r="AE2927" s="13"/>
      <c r="AF2927" s="13"/>
      <c r="AG2927" s="13"/>
      <c r="AH2927" s="13"/>
      <c r="AI2927" s="13"/>
      <c r="AJ2927" s="13"/>
      <c r="AK2927" s="13"/>
      <c r="AL2927" s="13"/>
      <c r="AM2927" s="13"/>
      <c r="AN2927" s="13"/>
      <c r="AO2927" s="13"/>
      <c r="AP2927" s="13"/>
      <c r="AQ2927" s="13"/>
      <c r="AR2927" s="13"/>
      <c r="AS2927" s="13"/>
    </row>
    <row r="2928" ht="14.25" customHeight="1">
      <c r="A2928" s="13" t="s">
        <v>36</v>
      </c>
      <c r="B2928" s="13" t="s">
        <v>42</v>
      </c>
      <c r="C2928" s="13">
        <v>616.0</v>
      </c>
      <c r="D2928" s="13" t="s">
        <v>434</v>
      </c>
      <c r="F2928" s="13"/>
      <c r="G2928" s="13" t="s">
        <v>111</v>
      </c>
      <c r="H2928" s="13" t="s">
        <v>75</v>
      </c>
      <c r="I2928" s="13"/>
      <c r="J2928" s="13"/>
      <c r="K2928" s="15">
        <v>1.0</v>
      </c>
      <c r="L2928" s="15">
        <v>1.0</v>
      </c>
      <c r="M2928" s="16"/>
      <c r="N2928" s="16"/>
      <c r="O2928" s="17"/>
      <c r="P2928" s="17"/>
      <c r="Q2928" s="13">
        <f t="shared" si="3104"/>
        <v>2</v>
      </c>
      <c r="R2928" s="13"/>
      <c r="S2928" s="13"/>
      <c r="T2928" s="13">
        <f t="shared" ref="T2928:Y2928" si="3139">IF(ISBLANK(K2928)=TRUE,0,1)</f>
        <v>1</v>
      </c>
      <c r="U2928" s="13">
        <f t="shared" si="3139"/>
        <v>1</v>
      </c>
      <c r="V2928" s="13">
        <f t="shared" si="3139"/>
        <v>0</v>
      </c>
      <c r="W2928" s="13">
        <f t="shared" si="3139"/>
        <v>0</v>
      </c>
      <c r="X2928" s="13">
        <f t="shared" si="3139"/>
        <v>0</v>
      </c>
      <c r="Y2928" s="13">
        <f t="shared" si="3139"/>
        <v>0</v>
      </c>
      <c r="Z2928" s="13">
        <f t="shared" si="3023"/>
        <v>1</v>
      </c>
      <c r="AA2928" s="13"/>
      <c r="AB2928" s="13"/>
      <c r="AC2928" s="13"/>
      <c r="AD2928" s="13"/>
      <c r="AE2928" s="13"/>
      <c r="AF2928" s="13"/>
      <c r="AG2928" s="13"/>
      <c r="AH2928" s="13"/>
      <c r="AI2928" s="13"/>
      <c r="AJ2928" s="13"/>
      <c r="AK2928" s="13"/>
      <c r="AL2928" s="13"/>
      <c r="AM2928" s="13"/>
      <c r="AN2928" s="13"/>
      <c r="AO2928" s="13"/>
      <c r="AP2928" s="13"/>
      <c r="AQ2928" s="13"/>
      <c r="AR2928" s="13"/>
      <c r="AS2928" s="13"/>
    </row>
    <row r="2929" ht="14.25" customHeight="1">
      <c r="A2929" s="13" t="s">
        <v>36</v>
      </c>
      <c r="B2929" s="13" t="s">
        <v>42</v>
      </c>
      <c r="C2929" s="13">
        <v>616.0</v>
      </c>
      <c r="D2929" s="13" t="s">
        <v>435</v>
      </c>
      <c r="F2929" s="13"/>
      <c r="G2929" s="13" t="s">
        <v>111</v>
      </c>
      <c r="H2929" s="13" t="s">
        <v>75</v>
      </c>
      <c r="I2929" s="13"/>
      <c r="J2929" s="13"/>
      <c r="K2929" s="15">
        <v>1.0</v>
      </c>
      <c r="L2929" s="15">
        <v>1.0</v>
      </c>
      <c r="M2929" s="16"/>
      <c r="N2929" s="16"/>
      <c r="O2929" s="17"/>
      <c r="P2929" s="17"/>
      <c r="Q2929" s="13">
        <f t="shared" si="3104"/>
        <v>2</v>
      </c>
      <c r="R2929" s="13"/>
      <c r="S2929" s="13"/>
      <c r="T2929" s="13">
        <f t="shared" ref="T2929:Y2929" si="3140">IF(ISBLANK(K2929)=TRUE,0,1)</f>
        <v>1</v>
      </c>
      <c r="U2929" s="13">
        <f t="shared" si="3140"/>
        <v>1</v>
      </c>
      <c r="V2929" s="13">
        <f t="shared" si="3140"/>
        <v>0</v>
      </c>
      <c r="W2929" s="13">
        <f t="shared" si="3140"/>
        <v>0</v>
      </c>
      <c r="X2929" s="13">
        <f t="shared" si="3140"/>
        <v>0</v>
      </c>
      <c r="Y2929" s="13">
        <f t="shared" si="3140"/>
        <v>0</v>
      </c>
      <c r="Z2929" s="13">
        <f t="shared" si="3023"/>
        <v>1</v>
      </c>
      <c r="AA2929" s="13"/>
      <c r="AB2929" s="13"/>
      <c r="AC2929" s="13"/>
      <c r="AD2929" s="13"/>
      <c r="AE2929" s="13"/>
      <c r="AF2929" s="13"/>
      <c r="AG2929" s="13"/>
      <c r="AH2929" s="13"/>
      <c r="AI2929" s="13"/>
      <c r="AJ2929" s="13"/>
      <c r="AK2929" s="13"/>
      <c r="AL2929" s="13"/>
      <c r="AM2929" s="13"/>
      <c r="AN2929" s="13"/>
      <c r="AO2929" s="13"/>
      <c r="AP2929" s="13"/>
      <c r="AQ2929" s="13"/>
      <c r="AR2929" s="13"/>
      <c r="AS2929" s="13"/>
    </row>
    <row r="2930" ht="14.25" customHeight="1">
      <c r="A2930" s="13" t="s">
        <v>36</v>
      </c>
      <c r="B2930" s="13" t="s">
        <v>42</v>
      </c>
      <c r="C2930" s="13">
        <v>616.0</v>
      </c>
      <c r="D2930" s="13" t="s">
        <v>436</v>
      </c>
      <c r="F2930" s="13"/>
      <c r="G2930" s="13" t="s">
        <v>111</v>
      </c>
      <c r="H2930" s="13" t="s">
        <v>75</v>
      </c>
      <c r="I2930" s="13"/>
      <c r="J2930" s="13"/>
      <c r="K2930" s="15">
        <v>1.0</v>
      </c>
      <c r="L2930" s="15">
        <v>1.0</v>
      </c>
      <c r="M2930" s="16"/>
      <c r="N2930" s="16"/>
      <c r="O2930" s="17"/>
      <c r="P2930" s="17"/>
      <c r="Q2930" s="13">
        <f t="shared" si="3104"/>
        <v>2</v>
      </c>
      <c r="R2930" s="13"/>
      <c r="S2930" s="13"/>
      <c r="T2930" s="13">
        <f t="shared" ref="T2930:Y2930" si="3141">IF(ISBLANK(K2930)=TRUE,0,1)</f>
        <v>1</v>
      </c>
      <c r="U2930" s="13">
        <f t="shared" si="3141"/>
        <v>1</v>
      </c>
      <c r="V2930" s="13">
        <f t="shared" si="3141"/>
        <v>0</v>
      </c>
      <c r="W2930" s="13">
        <f t="shared" si="3141"/>
        <v>0</v>
      </c>
      <c r="X2930" s="13">
        <f t="shared" si="3141"/>
        <v>0</v>
      </c>
      <c r="Y2930" s="13">
        <f t="shared" si="3141"/>
        <v>0</v>
      </c>
      <c r="Z2930" s="13">
        <f t="shared" si="3023"/>
        <v>1</v>
      </c>
      <c r="AA2930" s="13"/>
      <c r="AB2930" s="13"/>
      <c r="AC2930" s="13"/>
      <c r="AD2930" s="13"/>
      <c r="AE2930" s="13"/>
      <c r="AF2930" s="13"/>
      <c r="AG2930" s="13"/>
      <c r="AH2930" s="13"/>
      <c r="AI2930" s="13"/>
      <c r="AJ2930" s="13"/>
      <c r="AK2930" s="13"/>
      <c r="AL2930" s="13"/>
      <c r="AM2930" s="13"/>
      <c r="AN2930" s="13"/>
      <c r="AO2930" s="13"/>
      <c r="AP2930" s="13"/>
      <c r="AQ2930" s="13"/>
      <c r="AR2930" s="13"/>
      <c r="AS2930" s="13"/>
    </row>
    <row r="2931" ht="14.25" customHeight="1">
      <c r="A2931" s="13" t="s">
        <v>36</v>
      </c>
      <c r="B2931" s="13" t="s">
        <v>42</v>
      </c>
      <c r="C2931" s="13">
        <v>616.0</v>
      </c>
      <c r="D2931" s="13" t="s">
        <v>437</v>
      </c>
      <c r="F2931" s="13"/>
      <c r="G2931" s="13" t="s">
        <v>111</v>
      </c>
      <c r="H2931" s="13" t="s">
        <v>75</v>
      </c>
      <c r="I2931" s="13"/>
      <c r="J2931" s="13"/>
      <c r="K2931" s="15">
        <v>1.0</v>
      </c>
      <c r="L2931" s="15">
        <v>1.0</v>
      </c>
      <c r="M2931" s="16"/>
      <c r="N2931" s="16"/>
      <c r="O2931" s="17"/>
      <c r="P2931" s="17"/>
      <c r="Q2931" s="13">
        <f t="shared" si="3104"/>
        <v>2</v>
      </c>
      <c r="R2931" s="13"/>
      <c r="S2931" s="13"/>
      <c r="T2931" s="13">
        <f t="shared" ref="T2931:Y2931" si="3142">IF(ISBLANK(K2931)=TRUE,0,1)</f>
        <v>1</v>
      </c>
      <c r="U2931" s="13">
        <f t="shared" si="3142"/>
        <v>1</v>
      </c>
      <c r="V2931" s="13">
        <f t="shared" si="3142"/>
        <v>0</v>
      </c>
      <c r="W2931" s="13">
        <f t="shared" si="3142"/>
        <v>0</v>
      </c>
      <c r="X2931" s="13">
        <f t="shared" si="3142"/>
        <v>0</v>
      </c>
      <c r="Y2931" s="13">
        <f t="shared" si="3142"/>
        <v>0</v>
      </c>
      <c r="Z2931" s="13">
        <f t="shared" si="3023"/>
        <v>1</v>
      </c>
      <c r="AA2931" s="13"/>
      <c r="AB2931" s="13"/>
      <c r="AC2931" s="13"/>
      <c r="AD2931" s="13"/>
      <c r="AE2931" s="13"/>
      <c r="AF2931" s="13"/>
      <c r="AG2931" s="13"/>
      <c r="AH2931" s="13"/>
      <c r="AI2931" s="13"/>
      <c r="AJ2931" s="13"/>
      <c r="AK2931" s="13"/>
      <c r="AL2931" s="13"/>
      <c r="AM2931" s="13"/>
      <c r="AN2931" s="13"/>
      <c r="AO2931" s="13"/>
      <c r="AP2931" s="13"/>
      <c r="AQ2931" s="13"/>
      <c r="AR2931" s="13"/>
      <c r="AS2931" s="13"/>
    </row>
    <row r="2932" ht="14.25" customHeight="1">
      <c r="A2932" s="13" t="s">
        <v>36</v>
      </c>
      <c r="B2932" s="13" t="s">
        <v>42</v>
      </c>
      <c r="C2932" s="13">
        <v>616.0</v>
      </c>
      <c r="D2932" s="13" t="s">
        <v>440</v>
      </c>
      <c r="F2932" s="13"/>
      <c r="G2932" s="13" t="s">
        <v>111</v>
      </c>
      <c r="H2932" s="13" t="s">
        <v>75</v>
      </c>
      <c r="I2932" s="13"/>
      <c r="J2932" s="13"/>
      <c r="K2932" s="15">
        <v>1.0</v>
      </c>
      <c r="L2932" s="15">
        <v>1.0</v>
      </c>
      <c r="M2932" s="16"/>
      <c r="N2932" s="16"/>
      <c r="O2932" s="17"/>
      <c r="P2932" s="17"/>
      <c r="Q2932" s="13">
        <f t="shared" si="3104"/>
        <v>2</v>
      </c>
      <c r="R2932" s="13"/>
      <c r="S2932" s="13"/>
      <c r="T2932" s="13">
        <f t="shared" ref="T2932:Y2932" si="3143">IF(ISBLANK(K2932)=TRUE,0,1)</f>
        <v>1</v>
      </c>
      <c r="U2932" s="13">
        <f t="shared" si="3143"/>
        <v>1</v>
      </c>
      <c r="V2932" s="13">
        <f t="shared" si="3143"/>
        <v>0</v>
      </c>
      <c r="W2932" s="13">
        <f t="shared" si="3143"/>
        <v>0</v>
      </c>
      <c r="X2932" s="13">
        <f t="shared" si="3143"/>
        <v>0</v>
      </c>
      <c r="Y2932" s="13">
        <f t="shared" si="3143"/>
        <v>0</v>
      </c>
      <c r="Z2932" s="13">
        <f t="shared" si="3023"/>
        <v>1</v>
      </c>
      <c r="AA2932" s="13"/>
      <c r="AB2932" s="13"/>
      <c r="AC2932" s="13"/>
      <c r="AD2932" s="13"/>
      <c r="AE2932" s="13"/>
      <c r="AF2932" s="13"/>
      <c r="AG2932" s="13"/>
      <c r="AH2932" s="13"/>
      <c r="AI2932" s="13"/>
      <c r="AJ2932" s="13"/>
      <c r="AK2932" s="13"/>
      <c r="AL2932" s="13"/>
      <c r="AM2932" s="13"/>
      <c r="AN2932" s="13"/>
      <c r="AO2932" s="13"/>
      <c r="AP2932" s="13"/>
      <c r="AQ2932" s="13"/>
      <c r="AR2932" s="13"/>
      <c r="AS2932" s="13"/>
    </row>
    <row r="2933" ht="14.25" customHeight="1">
      <c r="A2933" s="13" t="s">
        <v>36</v>
      </c>
      <c r="B2933" s="13" t="s">
        <v>42</v>
      </c>
      <c r="C2933" s="13">
        <v>616.0</v>
      </c>
      <c r="D2933" s="13" t="s">
        <v>441</v>
      </c>
      <c r="F2933" s="13"/>
      <c r="G2933" s="13" t="s">
        <v>111</v>
      </c>
      <c r="H2933" s="13" t="s">
        <v>75</v>
      </c>
      <c r="I2933" s="13"/>
      <c r="J2933" s="13"/>
      <c r="K2933" s="15">
        <v>1.0</v>
      </c>
      <c r="L2933" s="15">
        <v>1.0</v>
      </c>
      <c r="M2933" s="16"/>
      <c r="N2933" s="16"/>
      <c r="O2933" s="17"/>
      <c r="P2933" s="17"/>
      <c r="Q2933" s="13">
        <f t="shared" si="3104"/>
        <v>2</v>
      </c>
      <c r="R2933" s="13"/>
      <c r="S2933" s="13"/>
      <c r="T2933" s="13">
        <f t="shared" ref="T2933:Y2933" si="3144">IF(ISBLANK(K2933)=TRUE,0,1)</f>
        <v>1</v>
      </c>
      <c r="U2933" s="13">
        <f t="shared" si="3144"/>
        <v>1</v>
      </c>
      <c r="V2933" s="13">
        <f t="shared" si="3144"/>
        <v>0</v>
      </c>
      <c r="W2933" s="13">
        <f t="shared" si="3144"/>
        <v>0</v>
      </c>
      <c r="X2933" s="13">
        <f t="shared" si="3144"/>
        <v>0</v>
      </c>
      <c r="Y2933" s="13">
        <f t="shared" si="3144"/>
        <v>0</v>
      </c>
      <c r="Z2933" s="13">
        <f t="shared" si="3023"/>
        <v>1</v>
      </c>
      <c r="AA2933" s="13"/>
      <c r="AB2933" s="13"/>
      <c r="AC2933" s="13"/>
      <c r="AD2933" s="13"/>
      <c r="AE2933" s="13"/>
      <c r="AF2933" s="13"/>
      <c r="AG2933" s="13"/>
      <c r="AH2933" s="13"/>
      <c r="AI2933" s="13"/>
      <c r="AJ2933" s="13"/>
      <c r="AK2933" s="13"/>
      <c r="AL2933" s="13"/>
      <c r="AM2933" s="13"/>
      <c r="AN2933" s="13"/>
      <c r="AO2933" s="13"/>
      <c r="AP2933" s="13"/>
      <c r="AQ2933" s="13"/>
      <c r="AR2933" s="13"/>
      <c r="AS2933" s="13"/>
    </row>
    <row r="2934" ht="14.25" customHeight="1">
      <c r="A2934" s="13" t="s">
        <v>36</v>
      </c>
      <c r="B2934" s="13" t="s">
        <v>41</v>
      </c>
      <c r="C2934" s="13" t="s">
        <v>1860</v>
      </c>
      <c r="D2934" s="13" t="s">
        <v>184</v>
      </c>
      <c r="F2934" s="13"/>
      <c r="G2934" s="13" t="s">
        <v>74</v>
      </c>
      <c r="H2934" s="13" t="s">
        <v>75</v>
      </c>
      <c r="I2934" s="13"/>
      <c r="J2934" s="13"/>
      <c r="K2934" s="15">
        <v>1.0</v>
      </c>
      <c r="L2934" s="15">
        <v>1.0</v>
      </c>
      <c r="M2934" s="16"/>
      <c r="N2934" s="16"/>
      <c r="O2934" s="17">
        <v>1.0</v>
      </c>
      <c r="P2934" s="17">
        <v>1.0</v>
      </c>
      <c r="Q2934" s="13">
        <f t="shared" si="3104"/>
        <v>2</v>
      </c>
      <c r="R2934" s="13"/>
      <c r="S2934" s="13"/>
      <c r="T2934" s="13">
        <f t="shared" ref="T2934:Y2934" si="3145">IF(ISBLANK(K2934)=TRUE,0,1)</f>
        <v>1</v>
      </c>
      <c r="U2934" s="13">
        <f t="shared" si="3145"/>
        <v>1</v>
      </c>
      <c r="V2934" s="13">
        <f t="shared" si="3145"/>
        <v>0</v>
      </c>
      <c r="W2934" s="13">
        <f t="shared" si="3145"/>
        <v>0</v>
      </c>
      <c r="X2934" s="13">
        <f t="shared" si="3145"/>
        <v>1</v>
      </c>
      <c r="Y2934" s="13">
        <f t="shared" si="3145"/>
        <v>1</v>
      </c>
      <c r="Z2934" s="13">
        <f t="shared" si="3023"/>
        <v>1</v>
      </c>
      <c r="AA2934" s="13"/>
      <c r="AB2934" s="13"/>
      <c r="AC2934" s="13"/>
      <c r="AD2934" s="13"/>
      <c r="AE2934" s="13"/>
      <c r="AF2934" s="13"/>
      <c r="AG2934" s="13"/>
      <c r="AH2934" s="13"/>
      <c r="AI2934" s="13"/>
      <c r="AJ2934" s="13"/>
      <c r="AK2934" s="13"/>
      <c r="AL2934" s="13"/>
      <c r="AM2934" s="13"/>
      <c r="AN2934" s="13"/>
      <c r="AO2934" s="13"/>
      <c r="AP2934" s="13"/>
      <c r="AQ2934" s="13"/>
      <c r="AR2934" s="13"/>
      <c r="AS2934" s="13"/>
    </row>
    <row r="2935" ht="14.25" customHeight="1">
      <c r="A2935" s="13" t="s">
        <v>36</v>
      </c>
      <c r="B2935" s="13" t="s">
        <v>41</v>
      </c>
      <c r="C2935" s="13" t="s">
        <v>1860</v>
      </c>
      <c r="D2935" s="13" t="s">
        <v>185</v>
      </c>
      <c r="F2935" s="13"/>
      <c r="G2935" s="13" t="s">
        <v>74</v>
      </c>
      <c r="H2935" s="13" t="s">
        <v>75</v>
      </c>
      <c r="I2935" s="13"/>
      <c r="J2935" s="13"/>
      <c r="K2935" s="15">
        <v>1.0</v>
      </c>
      <c r="L2935" s="15">
        <v>1.0</v>
      </c>
      <c r="M2935" s="16"/>
      <c r="N2935" s="16"/>
      <c r="O2935" s="17">
        <v>1.0</v>
      </c>
      <c r="P2935" s="17">
        <v>1.0</v>
      </c>
      <c r="Q2935" s="13">
        <f t="shared" si="3104"/>
        <v>3.166666667</v>
      </c>
      <c r="R2935" s="13"/>
      <c r="S2935" s="13"/>
      <c r="T2935" s="13">
        <f t="shared" ref="T2935:Y2935" si="3146">IF(ISBLANK(K2935)=TRUE,0,1)</f>
        <v>1</v>
      </c>
      <c r="U2935" s="13">
        <f t="shared" si="3146"/>
        <v>1</v>
      </c>
      <c r="V2935" s="13">
        <f t="shared" si="3146"/>
        <v>0</v>
      </c>
      <c r="W2935" s="13">
        <f t="shared" si="3146"/>
        <v>0</v>
      </c>
      <c r="X2935" s="13">
        <f t="shared" si="3146"/>
        <v>1</v>
      </c>
      <c r="Y2935" s="13">
        <f t="shared" si="3146"/>
        <v>1</v>
      </c>
      <c r="Z2935" s="13">
        <f t="shared" si="3023"/>
        <v>1</v>
      </c>
      <c r="AA2935" s="13"/>
      <c r="AB2935" s="13"/>
      <c r="AC2935" s="13"/>
      <c r="AD2935" s="13"/>
      <c r="AE2935" s="13"/>
      <c r="AF2935" s="13"/>
      <c r="AG2935" s="13"/>
      <c r="AH2935" s="13"/>
      <c r="AI2935" s="13"/>
      <c r="AJ2935" s="13"/>
      <c r="AK2935" s="13"/>
      <c r="AL2935" s="13"/>
      <c r="AM2935" s="13"/>
      <c r="AN2935" s="13"/>
      <c r="AO2935" s="13"/>
      <c r="AP2935" s="13"/>
      <c r="AQ2935" s="13"/>
      <c r="AR2935" s="13"/>
      <c r="AS2935" s="13"/>
    </row>
    <row r="2936" ht="14.25" customHeight="1">
      <c r="A2936" s="13" t="s">
        <v>36</v>
      </c>
      <c r="B2936" s="13" t="s">
        <v>42</v>
      </c>
      <c r="C2936" s="13">
        <v>616.0</v>
      </c>
      <c r="D2936" s="13" t="s">
        <v>551</v>
      </c>
      <c r="F2936" s="13"/>
      <c r="G2936" s="13" t="s">
        <v>111</v>
      </c>
      <c r="H2936" s="13" t="s">
        <v>75</v>
      </c>
      <c r="I2936" s="13"/>
      <c r="J2936" s="13"/>
      <c r="K2936" s="15">
        <v>1.0</v>
      </c>
      <c r="L2936" s="15">
        <v>1.0</v>
      </c>
      <c r="M2936" s="16"/>
      <c r="N2936" s="16"/>
      <c r="O2936" s="17"/>
      <c r="P2936" s="17"/>
      <c r="Q2936" s="13">
        <f t="shared" si="3104"/>
        <v>3.166666667</v>
      </c>
      <c r="R2936" s="13"/>
      <c r="S2936" s="13"/>
      <c r="T2936" s="13">
        <f t="shared" ref="T2936:Y2936" si="3147">IF(ISBLANK(K2936)=TRUE,0,1)</f>
        <v>1</v>
      </c>
      <c r="U2936" s="13">
        <f t="shared" si="3147"/>
        <v>1</v>
      </c>
      <c r="V2936" s="13">
        <f t="shared" si="3147"/>
        <v>0</v>
      </c>
      <c r="W2936" s="13">
        <f t="shared" si="3147"/>
        <v>0</v>
      </c>
      <c r="X2936" s="13">
        <f t="shared" si="3147"/>
        <v>0</v>
      </c>
      <c r="Y2936" s="13">
        <f t="shared" si="3147"/>
        <v>0</v>
      </c>
      <c r="Z2936" s="13">
        <f t="shared" si="3023"/>
        <v>1</v>
      </c>
      <c r="AA2936" s="13"/>
      <c r="AB2936" s="13"/>
      <c r="AC2936" s="13"/>
      <c r="AD2936" s="13"/>
      <c r="AE2936" s="13"/>
      <c r="AF2936" s="13"/>
      <c r="AG2936" s="13"/>
      <c r="AH2936" s="13"/>
      <c r="AI2936" s="13"/>
      <c r="AJ2936" s="13"/>
      <c r="AK2936" s="13"/>
      <c r="AL2936" s="13"/>
      <c r="AM2936" s="13"/>
      <c r="AN2936" s="13"/>
      <c r="AO2936" s="13"/>
      <c r="AP2936" s="13"/>
      <c r="AQ2936" s="13"/>
      <c r="AR2936" s="13"/>
      <c r="AS2936" s="13"/>
    </row>
    <row r="2937" ht="14.25" customHeight="1">
      <c r="A2937" s="13" t="s">
        <v>36</v>
      </c>
      <c r="B2937" s="13" t="s">
        <v>39</v>
      </c>
      <c r="C2937" s="13" t="s">
        <v>1738</v>
      </c>
      <c r="D2937" s="13" t="s">
        <v>551</v>
      </c>
      <c r="F2937" s="13"/>
      <c r="G2937" s="13" t="s">
        <v>111</v>
      </c>
      <c r="H2937" s="13" t="s">
        <v>75</v>
      </c>
      <c r="I2937" s="13"/>
      <c r="J2937" s="13"/>
      <c r="K2937" s="15">
        <v>0.0</v>
      </c>
      <c r="L2937" s="15">
        <v>0.0</v>
      </c>
      <c r="M2937" s="16"/>
      <c r="N2937" s="16"/>
      <c r="O2937" s="17"/>
      <c r="P2937" s="17"/>
      <c r="Q2937" s="13">
        <f t="shared" si="3104"/>
        <v>2</v>
      </c>
      <c r="R2937" s="13"/>
      <c r="S2937" s="13"/>
      <c r="T2937" s="13">
        <f t="shared" ref="T2937:Y2937" si="3148">IF(ISBLANK(K2937)=TRUE,0,1)</f>
        <v>1</v>
      </c>
      <c r="U2937" s="13">
        <f t="shared" si="3148"/>
        <v>1</v>
      </c>
      <c r="V2937" s="13">
        <f t="shared" si="3148"/>
        <v>0</v>
      </c>
      <c r="W2937" s="13">
        <f t="shared" si="3148"/>
        <v>0</v>
      </c>
      <c r="X2937" s="13">
        <f t="shared" si="3148"/>
        <v>0</v>
      </c>
      <c r="Y2937" s="13">
        <f t="shared" si="3148"/>
        <v>0</v>
      </c>
      <c r="Z2937" s="13">
        <f t="shared" si="3023"/>
        <v>0</v>
      </c>
      <c r="AA2937" s="13"/>
      <c r="AB2937" s="13"/>
      <c r="AC2937" s="13"/>
      <c r="AD2937" s="13"/>
      <c r="AE2937" s="13"/>
      <c r="AF2937" s="13"/>
      <c r="AG2937" s="13"/>
      <c r="AH2937" s="13"/>
      <c r="AI2937" s="13"/>
      <c r="AJ2937" s="13"/>
      <c r="AK2937" s="13"/>
      <c r="AL2937" s="13"/>
      <c r="AM2937" s="13"/>
      <c r="AN2937" s="13"/>
      <c r="AO2937" s="13"/>
      <c r="AP2937" s="13"/>
      <c r="AQ2937" s="13"/>
      <c r="AR2937" s="13"/>
      <c r="AS2937" s="13"/>
    </row>
    <row r="2938" ht="14.25" customHeight="1">
      <c r="A2938" s="13" t="s">
        <v>36</v>
      </c>
      <c r="B2938" s="13" t="s">
        <v>39</v>
      </c>
      <c r="C2938" s="13" t="s">
        <v>1738</v>
      </c>
      <c r="D2938" s="13" t="s">
        <v>553</v>
      </c>
      <c r="F2938" s="13"/>
      <c r="G2938" s="13" t="s">
        <v>111</v>
      </c>
      <c r="H2938" s="13" t="s">
        <v>75</v>
      </c>
      <c r="I2938" s="13"/>
      <c r="J2938" s="13"/>
      <c r="K2938" s="15">
        <v>0.0</v>
      </c>
      <c r="L2938" s="15">
        <v>0.0</v>
      </c>
      <c r="M2938" s="16"/>
      <c r="N2938" s="16"/>
      <c r="O2938" s="17"/>
      <c r="P2938" s="17"/>
      <c r="Q2938" s="13">
        <f t="shared" si="3104"/>
        <v>0</v>
      </c>
      <c r="R2938" s="13"/>
      <c r="S2938" s="13"/>
      <c r="T2938" s="13">
        <f t="shared" ref="T2938:Y2938" si="3149">IF(ISBLANK(K2938)=TRUE,0,1)</f>
        <v>1</v>
      </c>
      <c r="U2938" s="13">
        <f t="shared" si="3149"/>
        <v>1</v>
      </c>
      <c r="V2938" s="13">
        <f t="shared" si="3149"/>
        <v>0</v>
      </c>
      <c r="W2938" s="13">
        <f t="shared" si="3149"/>
        <v>0</v>
      </c>
      <c r="X2938" s="13">
        <f t="shared" si="3149"/>
        <v>0</v>
      </c>
      <c r="Y2938" s="13">
        <f t="shared" si="3149"/>
        <v>0</v>
      </c>
      <c r="Z2938" s="13">
        <f t="shared" si="3023"/>
        <v>0</v>
      </c>
      <c r="AA2938" s="13"/>
      <c r="AB2938" s="13"/>
      <c r="AC2938" s="13"/>
      <c r="AD2938" s="13"/>
      <c r="AE2938" s="13"/>
      <c r="AF2938" s="13"/>
      <c r="AG2938" s="13"/>
      <c r="AH2938" s="13"/>
      <c r="AI2938" s="13"/>
      <c r="AJ2938" s="13"/>
      <c r="AK2938" s="13"/>
      <c r="AL2938" s="13"/>
      <c r="AM2938" s="13"/>
      <c r="AN2938" s="13"/>
      <c r="AO2938" s="13"/>
      <c r="AP2938" s="13"/>
      <c r="AQ2938" s="13"/>
      <c r="AR2938" s="13"/>
      <c r="AS2938" s="13"/>
    </row>
    <row r="2939" ht="14.25" customHeight="1">
      <c r="A2939" s="13" t="s">
        <v>36</v>
      </c>
      <c r="B2939" s="13" t="s">
        <v>42</v>
      </c>
      <c r="C2939" s="13">
        <v>616.0</v>
      </c>
      <c r="D2939" s="13" t="s">
        <v>553</v>
      </c>
      <c r="F2939" s="13"/>
      <c r="G2939" s="13" t="s">
        <v>111</v>
      </c>
      <c r="H2939" s="13" t="s">
        <v>75</v>
      </c>
      <c r="I2939" s="13"/>
      <c r="J2939" s="13"/>
      <c r="K2939" s="15">
        <v>1.0</v>
      </c>
      <c r="L2939" s="15">
        <v>1.0</v>
      </c>
      <c r="M2939" s="16"/>
      <c r="N2939" s="16"/>
      <c r="O2939" s="17"/>
      <c r="P2939" s="17"/>
      <c r="Q2939" s="13">
        <f t="shared" si="3104"/>
        <v>0</v>
      </c>
      <c r="R2939" s="13"/>
      <c r="S2939" s="13"/>
      <c r="T2939" s="13">
        <f t="shared" ref="T2939:Y2939" si="3150">IF(ISBLANK(K2939)=TRUE,0,1)</f>
        <v>1</v>
      </c>
      <c r="U2939" s="13">
        <f t="shared" si="3150"/>
        <v>1</v>
      </c>
      <c r="V2939" s="13">
        <f t="shared" si="3150"/>
        <v>0</v>
      </c>
      <c r="W2939" s="13">
        <f t="shared" si="3150"/>
        <v>0</v>
      </c>
      <c r="X2939" s="13">
        <f t="shared" si="3150"/>
        <v>0</v>
      </c>
      <c r="Y2939" s="13">
        <f t="shared" si="3150"/>
        <v>0</v>
      </c>
      <c r="Z2939" s="13">
        <f t="shared" si="3023"/>
        <v>1</v>
      </c>
      <c r="AA2939" s="13"/>
      <c r="AB2939" s="13"/>
      <c r="AC2939" s="13"/>
      <c r="AD2939" s="13"/>
      <c r="AE2939" s="13"/>
      <c r="AF2939" s="13"/>
      <c r="AG2939" s="13"/>
      <c r="AH2939" s="13"/>
      <c r="AI2939" s="13"/>
      <c r="AJ2939" s="13"/>
      <c r="AK2939" s="13"/>
      <c r="AL2939" s="13"/>
      <c r="AM2939" s="13"/>
      <c r="AN2939" s="13"/>
      <c r="AO2939" s="13"/>
      <c r="AP2939" s="13"/>
      <c r="AQ2939" s="13"/>
      <c r="AR2939" s="13"/>
      <c r="AS2939" s="13"/>
    </row>
    <row r="2940" ht="14.25" customHeight="1">
      <c r="A2940" s="13" t="s">
        <v>36</v>
      </c>
      <c r="B2940" s="13" t="s">
        <v>42</v>
      </c>
      <c r="C2940" s="13">
        <v>616.0</v>
      </c>
      <c r="D2940" s="13" t="s">
        <v>554</v>
      </c>
      <c r="F2940" s="13"/>
      <c r="G2940" s="13" t="s">
        <v>111</v>
      </c>
      <c r="H2940" s="13" t="s">
        <v>75</v>
      </c>
      <c r="I2940" s="13"/>
      <c r="J2940" s="13"/>
      <c r="K2940" s="15">
        <v>1.0</v>
      </c>
      <c r="L2940" s="15">
        <v>1.0</v>
      </c>
      <c r="M2940" s="16"/>
      <c r="N2940" s="16"/>
      <c r="O2940" s="17"/>
      <c r="P2940" s="17"/>
      <c r="Q2940" s="13">
        <f t="shared" si="3104"/>
        <v>2</v>
      </c>
      <c r="R2940" s="13"/>
      <c r="S2940" s="13"/>
      <c r="T2940" s="13">
        <f t="shared" ref="T2940:Y2940" si="3151">IF(ISBLANK(K2940)=TRUE,0,1)</f>
        <v>1</v>
      </c>
      <c r="U2940" s="13">
        <f t="shared" si="3151"/>
        <v>1</v>
      </c>
      <c r="V2940" s="13">
        <f t="shared" si="3151"/>
        <v>0</v>
      </c>
      <c r="W2940" s="13">
        <f t="shared" si="3151"/>
        <v>0</v>
      </c>
      <c r="X2940" s="13">
        <f t="shared" si="3151"/>
        <v>0</v>
      </c>
      <c r="Y2940" s="13">
        <f t="shared" si="3151"/>
        <v>0</v>
      </c>
      <c r="Z2940" s="13">
        <f t="shared" si="3023"/>
        <v>1</v>
      </c>
      <c r="AA2940" s="13"/>
      <c r="AB2940" s="13"/>
      <c r="AC2940" s="13"/>
      <c r="AD2940" s="13"/>
      <c r="AE2940" s="13"/>
      <c r="AF2940" s="13"/>
      <c r="AG2940" s="13"/>
      <c r="AH2940" s="13"/>
      <c r="AI2940" s="13"/>
      <c r="AJ2940" s="13"/>
      <c r="AK2940" s="13"/>
      <c r="AL2940" s="13"/>
      <c r="AM2940" s="13"/>
      <c r="AN2940" s="13"/>
      <c r="AO2940" s="13"/>
      <c r="AP2940" s="13"/>
      <c r="AQ2940" s="13"/>
      <c r="AR2940" s="13"/>
      <c r="AS2940" s="13"/>
    </row>
    <row r="2941" ht="14.25" customHeight="1">
      <c r="A2941" s="13" t="s">
        <v>36</v>
      </c>
      <c r="B2941" s="13" t="s">
        <v>39</v>
      </c>
      <c r="C2941" s="13" t="s">
        <v>1738</v>
      </c>
      <c r="D2941" s="13" t="s">
        <v>554</v>
      </c>
      <c r="F2941" s="13"/>
      <c r="G2941" s="13" t="s">
        <v>111</v>
      </c>
      <c r="H2941" s="13" t="s">
        <v>75</v>
      </c>
      <c r="I2941" s="13"/>
      <c r="J2941" s="13"/>
      <c r="K2941" s="15">
        <v>0.0</v>
      </c>
      <c r="L2941" s="15">
        <v>0.0</v>
      </c>
      <c r="M2941" s="16"/>
      <c r="N2941" s="16"/>
      <c r="O2941" s="17"/>
      <c r="P2941" s="17"/>
      <c r="Q2941" s="13">
        <f t="shared" si="3104"/>
        <v>2</v>
      </c>
      <c r="R2941" s="13"/>
      <c r="S2941" s="13"/>
      <c r="T2941" s="13">
        <f t="shared" ref="T2941:Y2941" si="3152">IF(ISBLANK(K2941)=TRUE,0,1)</f>
        <v>1</v>
      </c>
      <c r="U2941" s="13">
        <f t="shared" si="3152"/>
        <v>1</v>
      </c>
      <c r="V2941" s="13">
        <f t="shared" si="3152"/>
        <v>0</v>
      </c>
      <c r="W2941" s="13">
        <f t="shared" si="3152"/>
        <v>0</v>
      </c>
      <c r="X2941" s="13">
        <f t="shared" si="3152"/>
        <v>0</v>
      </c>
      <c r="Y2941" s="13">
        <f t="shared" si="3152"/>
        <v>0</v>
      </c>
      <c r="Z2941" s="13">
        <f t="shared" si="3023"/>
        <v>0</v>
      </c>
      <c r="AA2941" s="13"/>
      <c r="AB2941" s="13"/>
      <c r="AC2941" s="13"/>
      <c r="AD2941" s="13"/>
      <c r="AE2941" s="13"/>
      <c r="AF2941" s="13"/>
      <c r="AG2941" s="13"/>
      <c r="AH2941" s="13"/>
      <c r="AI2941" s="13"/>
      <c r="AJ2941" s="13"/>
      <c r="AK2941" s="13"/>
      <c r="AL2941" s="13"/>
      <c r="AM2941" s="13"/>
      <c r="AN2941" s="13"/>
      <c r="AO2941" s="13"/>
      <c r="AP2941" s="13"/>
      <c r="AQ2941" s="13"/>
      <c r="AR2941" s="13"/>
      <c r="AS2941" s="13"/>
    </row>
    <row r="2942" ht="14.25" customHeight="1">
      <c r="A2942" s="13" t="s">
        <v>36</v>
      </c>
      <c r="B2942" s="13" t="s">
        <v>37</v>
      </c>
      <c r="C2942" s="13" t="s">
        <v>1859</v>
      </c>
      <c r="D2942" s="13" t="s">
        <v>181</v>
      </c>
      <c r="F2942" s="13"/>
      <c r="G2942" s="13" t="s">
        <v>74</v>
      </c>
      <c r="H2942" s="13" t="s">
        <v>75</v>
      </c>
      <c r="I2942" s="13"/>
      <c r="J2942" s="13"/>
      <c r="K2942" s="15">
        <v>1.0</v>
      </c>
      <c r="L2942" s="15">
        <v>1.0</v>
      </c>
      <c r="M2942" s="16"/>
      <c r="N2942" s="16"/>
      <c r="O2942" s="17"/>
      <c r="P2942" s="17"/>
      <c r="Q2942" s="13">
        <f t="shared" si="3104"/>
        <v>0</v>
      </c>
      <c r="R2942" s="13"/>
      <c r="S2942" s="13"/>
      <c r="T2942" s="13">
        <f t="shared" ref="T2942:Y2942" si="3153">IF(ISBLANK(K2942)=TRUE,0,1)</f>
        <v>1</v>
      </c>
      <c r="U2942" s="13">
        <f t="shared" si="3153"/>
        <v>1</v>
      </c>
      <c r="V2942" s="13">
        <f t="shared" si="3153"/>
        <v>0</v>
      </c>
      <c r="W2942" s="13">
        <f t="shared" si="3153"/>
        <v>0</v>
      </c>
      <c r="X2942" s="13">
        <f t="shared" si="3153"/>
        <v>0</v>
      </c>
      <c r="Y2942" s="13">
        <f t="shared" si="3153"/>
        <v>0</v>
      </c>
      <c r="Z2942" s="13">
        <f t="shared" si="3023"/>
        <v>1</v>
      </c>
      <c r="AA2942" s="13"/>
      <c r="AB2942" s="13"/>
      <c r="AC2942" s="13"/>
      <c r="AD2942" s="13"/>
      <c r="AE2942" s="13"/>
      <c r="AF2942" s="13"/>
      <c r="AG2942" s="13"/>
      <c r="AH2942" s="13"/>
      <c r="AI2942" s="13"/>
      <c r="AJ2942" s="13"/>
      <c r="AK2942" s="13"/>
      <c r="AL2942" s="13"/>
      <c r="AM2942" s="13"/>
      <c r="AN2942" s="13"/>
      <c r="AO2942" s="13"/>
      <c r="AP2942" s="13"/>
      <c r="AQ2942" s="13"/>
      <c r="AR2942" s="13"/>
      <c r="AS2942" s="13"/>
    </row>
    <row r="2943" ht="14.25" customHeight="1">
      <c r="A2943" s="13" t="s">
        <v>46</v>
      </c>
      <c r="B2943" s="13" t="s">
        <v>49</v>
      </c>
      <c r="C2943" s="13" t="s">
        <v>1862</v>
      </c>
      <c r="D2943" s="26" t="s">
        <v>174</v>
      </c>
      <c r="E2943" s="13"/>
      <c r="F2943" s="13"/>
      <c r="G2943" s="26" t="s">
        <v>74</v>
      </c>
      <c r="H2943" s="13" t="s">
        <v>107</v>
      </c>
      <c r="I2943" s="13"/>
      <c r="J2943" s="13"/>
      <c r="K2943" s="15">
        <v>1.0</v>
      </c>
      <c r="L2943" s="15">
        <v>1.0</v>
      </c>
      <c r="M2943" s="16"/>
      <c r="N2943" s="16"/>
      <c r="O2943" s="17"/>
      <c r="P2943" s="17"/>
      <c r="Q2943" s="13"/>
      <c r="R2943" s="13"/>
      <c r="S2943" s="13"/>
      <c r="T2943" s="13">
        <f t="shared" ref="T2943:Y2943" si="3154">IF(ISBLANK(K2943)=TRUE,0,1)</f>
        <v>1</v>
      </c>
      <c r="U2943" s="13">
        <f t="shared" si="3154"/>
        <v>1</v>
      </c>
      <c r="V2943" s="13">
        <f t="shared" si="3154"/>
        <v>0</v>
      </c>
      <c r="W2943" s="13">
        <f t="shared" si="3154"/>
        <v>0</v>
      </c>
      <c r="X2943" s="13">
        <f t="shared" si="3154"/>
        <v>0</v>
      </c>
      <c r="Y2943" s="13">
        <f t="shared" si="3154"/>
        <v>0</v>
      </c>
      <c r="Z2943" s="13">
        <f t="shared" si="3023"/>
        <v>1</v>
      </c>
      <c r="AA2943" s="13"/>
      <c r="AB2943" s="13"/>
      <c r="AC2943" s="13"/>
      <c r="AD2943" s="13"/>
      <c r="AE2943" s="13"/>
      <c r="AF2943" s="13"/>
      <c r="AG2943" s="13"/>
      <c r="AH2943" s="13"/>
      <c r="AI2943" s="13"/>
      <c r="AJ2943" s="13"/>
      <c r="AK2943" s="13"/>
      <c r="AL2943" s="13"/>
      <c r="AM2943" s="13"/>
      <c r="AN2943" s="13"/>
      <c r="AO2943" s="13"/>
      <c r="AP2943" s="13"/>
      <c r="AQ2943" s="13"/>
      <c r="AR2943" s="13"/>
      <c r="AS2943" s="13"/>
    </row>
    <row r="2944" ht="14.25" customHeight="1">
      <c r="A2944" s="13" t="s">
        <v>36</v>
      </c>
      <c r="B2944" s="13" t="s">
        <v>39</v>
      </c>
      <c r="C2944" s="13" t="s">
        <v>1738</v>
      </c>
      <c r="D2944" s="13" t="s">
        <v>555</v>
      </c>
      <c r="F2944" s="13"/>
      <c r="G2944" s="13" t="s">
        <v>111</v>
      </c>
      <c r="H2944" s="13" t="s">
        <v>75</v>
      </c>
      <c r="I2944" s="13"/>
      <c r="J2944" s="13"/>
      <c r="K2944" s="15">
        <v>0.0</v>
      </c>
      <c r="L2944" s="15">
        <v>0.0</v>
      </c>
      <c r="M2944" s="16"/>
      <c r="N2944" s="16"/>
      <c r="O2944" s="17"/>
      <c r="P2944" s="17"/>
      <c r="Q2944" s="13">
        <f t="shared" ref="Q2944:Q2948" si="3156">K2943+L2943+M2943+N2943+O2943+P2943/6</f>
        <v>2</v>
      </c>
      <c r="R2944" s="13"/>
      <c r="S2944" s="13"/>
      <c r="T2944" s="13">
        <f t="shared" ref="T2944:Y2944" si="3155">IF(ISBLANK(K2944)=TRUE,0,1)</f>
        <v>1</v>
      </c>
      <c r="U2944" s="13">
        <f t="shared" si="3155"/>
        <v>1</v>
      </c>
      <c r="V2944" s="13">
        <f t="shared" si="3155"/>
        <v>0</v>
      </c>
      <c r="W2944" s="13">
        <f t="shared" si="3155"/>
        <v>0</v>
      </c>
      <c r="X2944" s="13">
        <f t="shared" si="3155"/>
        <v>0</v>
      </c>
      <c r="Y2944" s="13">
        <f t="shared" si="3155"/>
        <v>0</v>
      </c>
      <c r="Z2944" s="13">
        <f t="shared" si="3023"/>
        <v>0</v>
      </c>
      <c r="AA2944" s="13"/>
      <c r="AB2944" s="13"/>
      <c r="AC2944" s="13"/>
      <c r="AD2944" s="13"/>
      <c r="AE2944" s="13"/>
      <c r="AF2944" s="13"/>
      <c r="AG2944" s="13"/>
      <c r="AH2944" s="13"/>
      <c r="AI2944" s="13"/>
      <c r="AJ2944" s="13"/>
      <c r="AK2944" s="13"/>
      <c r="AL2944" s="13"/>
      <c r="AM2944" s="13"/>
      <c r="AN2944" s="13"/>
      <c r="AO2944" s="13"/>
      <c r="AP2944" s="13"/>
      <c r="AQ2944" s="13"/>
      <c r="AR2944" s="13"/>
      <c r="AS2944" s="13"/>
    </row>
    <row r="2945" ht="14.25" customHeight="1">
      <c r="A2945" s="13" t="s">
        <v>46</v>
      </c>
      <c r="B2945" s="13" t="s">
        <v>51</v>
      </c>
      <c r="C2945" s="13" t="s">
        <v>1863</v>
      </c>
      <c r="D2945" s="13"/>
      <c r="E2945" s="13"/>
      <c r="F2945" s="13"/>
      <c r="G2945" s="13" t="s">
        <v>74</v>
      </c>
      <c r="H2945" s="13" t="s">
        <v>75</v>
      </c>
      <c r="I2945" s="14">
        <v>44908.0</v>
      </c>
      <c r="J2945" s="14"/>
      <c r="K2945" s="15">
        <v>0.0</v>
      </c>
      <c r="L2945" s="15">
        <v>0.0</v>
      </c>
      <c r="M2945" s="16"/>
      <c r="N2945" s="16"/>
      <c r="O2945" s="17">
        <v>0.0</v>
      </c>
      <c r="P2945" s="17">
        <v>0.0</v>
      </c>
      <c r="Q2945" s="13">
        <f t="shared" si="3156"/>
        <v>0</v>
      </c>
      <c r="R2945" s="14">
        <v>44966.0</v>
      </c>
      <c r="S2945" s="13"/>
      <c r="T2945" s="13">
        <f t="shared" ref="T2945:Y2945" si="3157">IF(ISBLANK(K2945)=TRUE,0,1)</f>
        <v>1</v>
      </c>
      <c r="U2945" s="13">
        <f t="shared" si="3157"/>
        <v>1</v>
      </c>
      <c r="V2945" s="13">
        <f t="shared" si="3157"/>
        <v>0</v>
      </c>
      <c r="W2945" s="13">
        <f t="shared" si="3157"/>
        <v>0</v>
      </c>
      <c r="X2945" s="13">
        <f t="shared" si="3157"/>
        <v>1</v>
      </c>
      <c r="Y2945" s="13">
        <f t="shared" si="3157"/>
        <v>1</v>
      </c>
      <c r="Z2945" s="13">
        <f t="shared" si="3023"/>
        <v>0</v>
      </c>
      <c r="AA2945" s="13"/>
      <c r="AB2945" s="13"/>
      <c r="AC2945" s="13"/>
      <c r="AD2945" s="13"/>
      <c r="AE2945" s="13"/>
      <c r="AF2945" s="13"/>
      <c r="AG2945" s="13"/>
      <c r="AH2945" s="13"/>
      <c r="AI2945" s="13"/>
      <c r="AJ2945" s="13"/>
      <c r="AK2945" s="13"/>
      <c r="AL2945" s="13"/>
      <c r="AM2945" s="13"/>
      <c r="AN2945" s="13"/>
      <c r="AO2945" s="13"/>
      <c r="AP2945" s="13"/>
      <c r="AQ2945" s="13"/>
      <c r="AR2945" s="13"/>
      <c r="AS2945" s="13"/>
    </row>
    <row r="2946" ht="14.25" customHeight="1">
      <c r="A2946" s="13" t="s">
        <v>46</v>
      </c>
      <c r="B2946" s="13" t="s">
        <v>51</v>
      </c>
      <c r="C2946" s="13" t="s">
        <v>1864</v>
      </c>
      <c r="D2946" s="13"/>
      <c r="E2946" s="13"/>
      <c r="F2946" s="13"/>
      <c r="G2946" s="13" t="s">
        <v>74</v>
      </c>
      <c r="H2946" s="13" t="s">
        <v>75</v>
      </c>
      <c r="I2946" s="14">
        <v>44908.0</v>
      </c>
      <c r="J2946" s="14"/>
      <c r="K2946" s="15">
        <v>0.0</v>
      </c>
      <c r="L2946" s="15">
        <v>0.0</v>
      </c>
      <c r="M2946" s="16"/>
      <c r="N2946" s="16"/>
      <c r="O2946" s="17">
        <v>0.0</v>
      </c>
      <c r="P2946" s="17">
        <v>0.0</v>
      </c>
      <c r="Q2946" s="13">
        <f t="shared" si="3156"/>
        <v>0</v>
      </c>
      <c r="R2946" s="14">
        <v>44966.0</v>
      </c>
      <c r="S2946" s="13"/>
      <c r="T2946" s="13">
        <f t="shared" ref="T2946:Y2946" si="3158">IF(ISBLANK(K2946)=TRUE,0,1)</f>
        <v>1</v>
      </c>
      <c r="U2946" s="13">
        <f t="shared" si="3158"/>
        <v>1</v>
      </c>
      <c r="V2946" s="13">
        <f t="shared" si="3158"/>
        <v>0</v>
      </c>
      <c r="W2946" s="13">
        <f t="shared" si="3158"/>
        <v>0</v>
      </c>
      <c r="X2946" s="13">
        <f t="shared" si="3158"/>
        <v>1</v>
      </c>
      <c r="Y2946" s="13">
        <f t="shared" si="3158"/>
        <v>1</v>
      </c>
      <c r="Z2946" s="13">
        <f t="shared" si="3023"/>
        <v>0</v>
      </c>
      <c r="AA2946" s="13"/>
      <c r="AB2946" s="13"/>
      <c r="AC2946" s="13"/>
      <c r="AD2946" s="13"/>
      <c r="AE2946" s="13"/>
      <c r="AF2946" s="13"/>
      <c r="AG2946" s="13"/>
      <c r="AH2946" s="13"/>
      <c r="AI2946" s="13"/>
      <c r="AJ2946" s="13"/>
      <c r="AK2946" s="13"/>
      <c r="AL2946" s="13"/>
      <c r="AM2946" s="13"/>
      <c r="AN2946" s="13"/>
      <c r="AO2946" s="13"/>
      <c r="AP2946" s="13"/>
      <c r="AQ2946" s="13"/>
      <c r="AR2946" s="13"/>
      <c r="AS2946" s="13"/>
    </row>
    <row r="2947" ht="14.25" customHeight="1">
      <c r="A2947" s="13" t="s">
        <v>46</v>
      </c>
      <c r="B2947" s="13" t="s">
        <v>51</v>
      </c>
      <c r="C2947" s="13" t="s">
        <v>1864</v>
      </c>
      <c r="D2947" s="13" t="s">
        <v>174</v>
      </c>
      <c r="E2947" s="13"/>
      <c r="F2947" s="13"/>
      <c r="G2947" s="13" t="s">
        <v>74</v>
      </c>
      <c r="H2947" s="13" t="s">
        <v>75</v>
      </c>
      <c r="I2947" s="14">
        <v>44908.0</v>
      </c>
      <c r="J2947" s="14"/>
      <c r="K2947" s="15">
        <v>0.0</v>
      </c>
      <c r="L2947" s="15">
        <v>0.0</v>
      </c>
      <c r="M2947" s="16"/>
      <c r="N2947" s="16"/>
      <c r="O2947" s="17">
        <v>0.0</v>
      </c>
      <c r="P2947" s="17">
        <v>0.0</v>
      </c>
      <c r="Q2947" s="13">
        <f t="shared" si="3156"/>
        <v>0</v>
      </c>
      <c r="R2947" s="14">
        <v>44966.0</v>
      </c>
      <c r="S2947" s="13"/>
      <c r="T2947" s="13">
        <f t="shared" ref="T2947:Y2947" si="3159">IF(ISBLANK(K2947)=TRUE,0,1)</f>
        <v>1</v>
      </c>
      <c r="U2947" s="13">
        <f t="shared" si="3159"/>
        <v>1</v>
      </c>
      <c r="V2947" s="13">
        <f t="shared" si="3159"/>
        <v>0</v>
      </c>
      <c r="W2947" s="13">
        <f t="shared" si="3159"/>
        <v>0</v>
      </c>
      <c r="X2947" s="13">
        <f t="shared" si="3159"/>
        <v>1</v>
      </c>
      <c r="Y2947" s="13">
        <f t="shared" si="3159"/>
        <v>1</v>
      </c>
      <c r="Z2947" s="13">
        <f t="shared" si="3023"/>
        <v>0</v>
      </c>
      <c r="AA2947" s="13"/>
      <c r="AB2947" s="13"/>
      <c r="AC2947" s="13"/>
      <c r="AD2947" s="13"/>
      <c r="AE2947" s="13"/>
      <c r="AF2947" s="13"/>
      <c r="AG2947" s="13"/>
      <c r="AH2947" s="13"/>
      <c r="AI2947" s="13"/>
      <c r="AJ2947" s="13"/>
      <c r="AK2947" s="13"/>
      <c r="AL2947" s="13"/>
      <c r="AM2947" s="13"/>
      <c r="AN2947" s="13"/>
      <c r="AO2947" s="13"/>
      <c r="AP2947" s="13"/>
      <c r="AQ2947" s="13"/>
      <c r="AR2947" s="13"/>
      <c r="AS2947" s="13"/>
    </row>
    <row r="2948" ht="14.25" customHeight="1">
      <c r="A2948" s="13" t="s">
        <v>46</v>
      </c>
      <c r="B2948" s="13" t="s">
        <v>51</v>
      </c>
      <c r="C2948" s="13" t="s">
        <v>1865</v>
      </c>
      <c r="D2948" s="13"/>
      <c r="E2948" s="13"/>
      <c r="F2948" s="13"/>
      <c r="G2948" s="13" t="s">
        <v>74</v>
      </c>
      <c r="H2948" s="13" t="s">
        <v>75</v>
      </c>
      <c r="I2948" s="14">
        <v>44908.0</v>
      </c>
      <c r="J2948" s="14"/>
      <c r="K2948" s="15">
        <v>0.0</v>
      </c>
      <c r="L2948" s="15">
        <v>0.0</v>
      </c>
      <c r="M2948" s="16"/>
      <c r="N2948" s="16"/>
      <c r="O2948" s="17">
        <v>0.0</v>
      </c>
      <c r="P2948" s="17">
        <v>0.0</v>
      </c>
      <c r="Q2948" s="13">
        <f t="shared" si="3156"/>
        <v>0</v>
      </c>
      <c r="R2948" s="14">
        <v>44966.0</v>
      </c>
      <c r="S2948" s="13"/>
      <c r="T2948" s="13">
        <f t="shared" ref="T2948:Y2948" si="3160">IF(ISBLANK(K2948)=TRUE,0,1)</f>
        <v>1</v>
      </c>
      <c r="U2948" s="13">
        <f t="shared" si="3160"/>
        <v>1</v>
      </c>
      <c r="V2948" s="13">
        <f t="shared" si="3160"/>
        <v>0</v>
      </c>
      <c r="W2948" s="13">
        <f t="shared" si="3160"/>
        <v>0</v>
      </c>
      <c r="X2948" s="13">
        <f t="shared" si="3160"/>
        <v>1</v>
      </c>
      <c r="Y2948" s="13">
        <f t="shared" si="3160"/>
        <v>1</v>
      </c>
      <c r="Z2948" s="13">
        <f t="shared" si="3023"/>
        <v>0</v>
      </c>
      <c r="AA2948" s="13"/>
      <c r="AB2948" s="13"/>
      <c r="AC2948" s="13"/>
      <c r="AD2948" s="13"/>
      <c r="AE2948" s="13"/>
      <c r="AF2948" s="13"/>
      <c r="AG2948" s="13"/>
      <c r="AH2948" s="13"/>
      <c r="AI2948" s="13"/>
      <c r="AJ2948" s="13"/>
      <c r="AK2948" s="13"/>
      <c r="AL2948" s="13"/>
      <c r="AM2948" s="13"/>
      <c r="AN2948" s="13"/>
      <c r="AO2948" s="13"/>
      <c r="AP2948" s="13"/>
      <c r="AQ2948" s="13"/>
      <c r="AR2948" s="13"/>
      <c r="AS2948" s="13"/>
    </row>
    <row r="2949" ht="14.25" customHeight="1">
      <c r="A2949" s="13" t="s">
        <v>46</v>
      </c>
      <c r="B2949" s="13" t="s">
        <v>49</v>
      </c>
      <c r="C2949" s="13" t="s">
        <v>1862</v>
      </c>
      <c r="D2949" s="26" t="s">
        <v>184</v>
      </c>
      <c r="E2949" s="13"/>
      <c r="F2949" s="13"/>
      <c r="G2949" s="26" t="s">
        <v>74</v>
      </c>
      <c r="H2949" s="13" t="s">
        <v>107</v>
      </c>
      <c r="I2949" s="13"/>
      <c r="J2949" s="13"/>
      <c r="K2949" s="15">
        <v>1.0</v>
      </c>
      <c r="L2949" s="15">
        <v>1.0</v>
      </c>
      <c r="M2949" s="16"/>
      <c r="N2949" s="16"/>
      <c r="O2949" s="17"/>
      <c r="P2949" s="17"/>
      <c r="Q2949" s="13"/>
      <c r="R2949" s="13"/>
      <c r="S2949" s="13"/>
      <c r="T2949" s="13">
        <f t="shared" ref="T2949:Y2949" si="3161">IF(ISBLANK(K2949)=TRUE,0,1)</f>
        <v>1</v>
      </c>
      <c r="U2949" s="13">
        <f t="shared" si="3161"/>
        <v>1</v>
      </c>
      <c r="V2949" s="13">
        <f t="shared" si="3161"/>
        <v>0</v>
      </c>
      <c r="W2949" s="13">
        <f t="shared" si="3161"/>
        <v>0</v>
      </c>
      <c r="X2949" s="13">
        <f t="shared" si="3161"/>
        <v>0</v>
      </c>
      <c r="Y2949" s="13">
        <f t="shared" si="3161"/>
        <v>0</v>
      </c>
      <c r="Z2949" s="13">
        <f t="shared" si="3023"/>
        <v>1</v>
      </c>
      <c r="AA2949" s="13"/>
      <c r="AB2949" s="13"/>
      <c r="AC2949" s="13"/>
      <c r="AD2949" s="13"/>
      <c r="AE2949" s="13"/>
      <c r="AF2949" s="13"/>
      <c r="AG2949" s="13"/>
      <c r="AH2949" s="13"/>
      <c r="AI2949" s="13"/>
      <c r="AJ2949" s="13"/>
      <c r="AK2949" s="13"/>
      <c r="AL2949" s="13"/>
      <c r="AM2949" s="13"/>
      <c r="AN2949" s="13"/>
      <c r="AO2949" s="13"/>
      <c r="AP2949" s="13"/>
      <c r="AQ2949" s="13"/>
      <c r="AR2949" s="13"/>
      <c r="AS2949" s="13"/>
    </row>
    <row r="2950" ht="14.25" customHeight="1">
      <c r="A2950" s="13" t="s">
        <v>46</v>
      </c>
      <c r="B2950" s="13" t="s">
        <v>49</v>
      </c>
      <c r="C2950" s="13" t="s">
        <v>1862</v>
      </c>
      <c r="D2950" s="26" t="s">
        <v>185</v>
      </c>
      <c r="E2950" s="13"/>
      <c r="F2950" s="13"/>
      <c r="G2950" s="26" t="s">
        <v>74</v>
      </c>
      <c r="H2950" s="13" t="s">
        <v>107</v>
      </c>
      <c r="I2950" s="13"/>
      <c r="J2950" s="13"/>
      <c r="K2950" s="15">
        <v>1.0</v>
      </c>
      <c r="L2950" s="15">
        <v>1.0</v>
      </c>
      <c r="M2950" s="16"/>
      <c r="N2950" s="16"/>
      <c r="O2950" s="17"/>
      <c r="P2950" s="17"/>
      <c r="Q2950" s="13"/>
      <c r="R2950" s="13"/>
      <c r="S2950" s="13"/>
      <c r="T2950" s="13">
        <f t="shared" ref="T2950:Y2950" si="3162">IF(ISBLANK(K2950)=TRUE,0,1)</f>
        <v>1</v>
      </c>
      <c r="U2950" s="13">
        <f t="shared" si="3162"/>
        <v>1</v>
      </c>
      <c r="V2950" s="13">
        <f t="shared" si="3162"/>
        <v>0</v>
      </c>
      <c r="W2950" s="13">
        <f t="shared" si="3162"/>
        <v>0</v>
      </c>
      <c r="X2950" s="13">
        <f t="shared" si="3162"/>
        <v>0</v>
      </c>
      <c r="Y2950" s="13">
        <f t="shared" si="3162"/>
        <v>0</v>
      </c>
      <c r="Z2950" s="13">
        <f t="shared" si="3023"/>
        <v>1</v>
      </c>
      <c r="AA2950" s="13"/>
      <c r="AB2950" s="13"/>
      <c r="AC2950" s="13"/>
      <c r="AD2950" s="13"/>
      <c r="AE2950" s="13"/>
      <c r="AF2950" s="13"/>
      <c r="AG2950" s="13"/>
      <c r="AH2950" s="13"/>
      <c r="AI2950" s="13"/>
      <c r="AJ2950" s="13"/>
      <c r="AK2950" s="13"/>
      <c r="AL2950" s="13"/>
      <c r="AM2950" s="13"/>
      <c r="AN2950" s="13"/>
      <c r="AO2950" s="13"/>
      <c r="AP2950" s="13"/>
      <c r="AQ2950" s="13"/>
      <c r="AR2950" s="13"/>
      <c r="AS2950" s="13"/>
    </row>
    <row r="2951" ht="14.25" customHeight="1">
      <c r="A2951" s="13" t="s">
        <v>46</v>
      </c>
      <c r="B2951" s="13" t="s">
        <v>51</v>
      </c>
      <c r="C2951" s="13" t="s">
        <v>1866</v>
      </c>
      <c r="D2951" s="13"/>
      <c r="E2951" s="13"/>
      <c r="F2951" s="13"/>
      <c r="G2951" s="13" t="s">
        <v>74</v>
      </c>
      <c r="H2951" s="13" t="s">
        <v>75</v>
      </c>
      <c r="I2951" s="14">
        <v>44908.0</v>
      </c>
      <c r="J2951" s="14"/>
      <c r="K2951" s="15">
        <v>0.0</v>
      </c>
      <c r="L2951" s="15">
        <v>0.0</v>
      </c>
      <c r="M2951" s="16"/>
      <c r="N2951" s="16"/>
      <c r="O2951" s="17">
        <v>0.0</v>
      </c>
      <c r="P2951" s="17">
        <v>0.0</v>
      </c>
      <c r="Q2951" s="13">
        <f>K2950+L2950+M2950+N2950+O2950+P2950/6</f>
        <v>2</v>
      </c>
      <c r="R2951" s="14">
        <v>44966.0</v>
      </c>
      <c r="S2951" s="13"/>
      <c r="T2951" s="13">
        <f t="shared" ref="T2951:Y2951" si="3163">IF(ISBLANK(K2951)=TRUE,0,1)</f>
        <v>1</v>
      </c>
      <c r="U2951" s="13">
        <f t="shared" si="3163"/>
        <v>1</v>
      </c>
      <c r="V2951" s="13">
        <f t="shared" si="3163"/>
        <v>0</v>
      </c>
      <c r="W2951" s="13">
        <f t="shared" si="3163"/>
        <v>0</v>
      </c>
      <c r="X2951" s="13">
        <f t="shared" si="3163"/>
        <v>1</v>
      </c>
      <c r="Y2951" s="13">
        <f t="shared" si="3163"/>
        <v>1</v>
      </c>
      <c r="Z2951" s="13">
        <f t="shared" si="3023"/>
        <v>0</v>
      </c>
      <c r="AA2951" s="13"/>
      <c r="AB2951" s="13"/>
      <c r="AC2951" s="13"/>
      <c r="AD2951" s="13"/>
      <c r="AE2951" s="13"/>
      <c r="AF2951" s="13"/>
      <c r="AG2951" s="13"/>
      <c r="AH2951" s="13"/>
      <c r="AI2951" s="13"/>
      <c r="AJ2951" s="13"/>
      <c r="AK2951" s="13"/>
      <c r="AL2951" s="13"/>
      <c r="AM2951" s="13"/>
      <c r="AN2951" s="13"/>
      <c r="AO2951" s="13"/>
      <c r="AP2951" s="13"/>
      <c r="AQ2951" s="13"/>
      <c r="AR2951" s="13"/>
      <c r="AS2951" s="13"/>
    </row>
    <row r="2952" ht="14.25" customHeight="1">
      <c r="A2952" s="13" t="s">
        <v>46</v>
      </c>
      <c r="B2952" s="13" t="s">
        <v>51</v>
      </c>
      <c r="C2952" s="13" t="s">
        <v>1866</v>
      </c>
      <c r="D2952" s="13" t="s">
        <v>174</v>
      </c>
      <c r="E2952" s="13"/>
      <c r="F2952" s="13"/>
      <c r="G2952" s="13" t="s">
        <v>74</v>
      </c>
      <c r="H2952" s="13" t="s">
        <v>75</v>
      </c>
      <c r="I2952" s="14">
        <v>44909.0</v>
      </c>
      <c r="J2952" s="14"/>
      <c r="K2952" s="15">
        <v>0.0</v>
      </c>
      <c r="L2952" s="15">
        <v>0.0</v>
      </c>
      <c r="M2952" s="16"/>
      <c r="N2952" s="16"/>
      <c r="O2952" s="17">
        <v>0.0</v>
      </c>
      <c r="P2952" s="17">
        <v>0.0</v>
      </c>
      <c r="Q2952" s="13"/>
      <c r="R2952" s="14"/>
      <c r="S2952" s="13"/>
      <c r="T2952" s="13">
        <f t="shared" ref="T2952:Y2952" si="3164">IF(ISBLANK(K2952)=TRUE,0,1)</f>
        <v>1</v>
      </c>
      <c r="U2952" s="13">
        <f t="shared" si="3164"/>
        <v>1</v>
      </c>
      <c r="V2952" s="13">
        <f t="shared" si="3164"/>
        <v>0</v>
      </c>
      <c r="W2952" s="13">
        <f t="shared" si="3164"/>
        <v>0</v>
      </c>
      <c r="X2952" s="13">
        <f t="shared" si="3164"/>
        <v>1</v>
      </c>
      <c r="Y2952" s="13">
        <f t="shared" si="3164"/>
        <v>1</v>
      </c>
      <c r="Z2952" s="13">
        <f t="shared" si="3023"/>
        <v>0</v>
      </c>
      <c r="AA2952" s="13"/>
      <c r="AB2952" s="13"/>
      <c r="AC2952" s="13"/>
      <c r="AD2952" s="13"/>
      <c r="AE2952" s="13"/>
      <c r="AF2952" s="13"/>
      <c r="AG2952" s="13"/>
      <c r="AH2952" s="13"/>
      <c r="AI2952" s="13"/>
      <c r="AJ2952" s="13"/>
      <c r="AK2952" s="13"/>
      <c r="AL2952" s="13"/>
      <c r="AM2952" s="13"/>
      <c r="AN2952" s="13"/>
      <c r="AO2952" s="13"/>
      <c r="AP2952" s="13"/>
      <c r="AQ2952" s="13"/>
      <c r="AR2952" s="13"/>
      <c r="AS2952" s="13"/>
    </row>
    <row r="2953" ht="14.25" customHeight="1">
      <c r="A2953" s="13" t="s">
        <v>46</v>
      </c>
      <c r="B2953" s="13" t="s">
        <v>51</v>
      </c>
      <c r="C2953" s="13" t="s">
        <v>1867</v>
      </c>
      <c r="D2953" s="13"/>
      <c r="E2953" s="13"/>
      <c r="F2953" s="13"/>
      <c r="G2953" s="13" t="s">
        <v>74</v>
      </c>
      <c r="H2953" s="13" t="s">
        <v>75</v>
      </c>
      <c r="I2953" s="14">
        <v>44908.0</v>
      </c>
      <c r="J2953" s="14"/>
      <c r="K2953" s="15">
        <v>0.0</v>
      </c>
      <c r="L2953" s="15">
        <v>0.0</v>
      </c>
      <c r="M2953" s="16"/>
      <c r="N2953" s="16"/>
      <c r="O2953" s="17">
        <v>0.0</v>
      </c>
      <c r="P2953" s="17">
        <v>0.0</v>
      </c>
      <c r="Q2953" s="13">
        <f>K2952+L2952+M2952+N2952+O2952+P2952/6</f>
        <v>0</v>
      </c>
      <c r="R2953" s="14">
        <v>44966.0</v>
      </c>
      <c r="S2953" s="13"/>
      <c r="T2953" s="13">
        <f t="shared" ref="T2953:Y2953" si="3165">IF(ISBLANK(K2953)=TRUE,0,1)</f>
        <v>1</v>
      </c>
      <c r="U2953" s="13">
        <f t="shared" si="3165"/>
        <v>1</v>
      </c>
      <c r="V2953" s="13">
        <f t="shared" si="3165"/>
        <v>0</v>
      </c>
      <c r="W2953" s="13">
        <f t="shared" si="3165"/>
        <v>0</v>
      </c>
      <c r="X2953" s="13">
        <f t="shared" si="3165"/>
        <v>1</v>
      </c>
      <c r="Y2953" s="13">
        <f t="shared" si="3165"/>
        <v>1</v>
      </c>
      <c r="Z2953" s="13">
        <f t="shared" si="3023"/>
        <v>0</v>
      </c>
      <c r="AA2953" s="13"/>
      <c r="AB2953" s="13"/>
      <c r="AC2953" s="13"/>
      <c r="AD2953" s="13"/>
      <c r="AE2953" s="13"/>
      <c r="AF2953" s="13"/>
      <c r="AG2953" s="13"/>
      <c r="AH2953" s="13"/>
      <c r="AI2953" s="13"/>
      <c r="AJ2953" s="13"/>
      <c r="AK2953" s="13"/>
      <c r="AL2953" s="13"/>
      <c r="AM2953" s="13"/>
      <c r="AN2953" s="13"/>
      <c r="AO2953" s="13"/>
      <c r="AP2953" s="13"/>
      <c r="AQ2953" s="13"/>
      <c r="AR2953" s="13"/>
      <c r="AS2953" s="13"/>
    </row>
    <row r="2954" ht="14.25" customHeight="1">
      <c r="A2954" s="13" t="s">
        <v>46</v>
      </c>
      <c r="B2954" s="13" t="s">
        <v>51</v>
      </c>
      <c r="C2954" s="13" t="s">
        <v>1867</v>
      </c>
      <c r="D2954" s="13" t="s">
        <v>174</v>
      </c>
      <c r="E2954" s="13"/>
      <c r="F2954" s="13"/>
      <c r="G2954" s="13" t="s">
        <v>74</v>
      </c>
      <c r="H2954" s="13" t="s">
        <v>75</v>
      </c>
      <c r="I2954" s="14">
        <v>44909.0</v>
      </c>
      <c r="J2954" s="14"/>
      <c r="K2954" s="15">
        <v>0.0</v>
      </c>
      <c r="L2954" s="15">
        <v>0.0</v>
      </c>
      <c r="M2954" s="16"/>
      <c r="N2954" s="16"/>
      <c r="O2954" s="17">
        <v>0.0</v>
      </c>
      <c r="P2954" s="17">
        <v>0.0</v>
      </c>
      <c r="Q2954" s="13"/>
      <c r="R2954" s="14"/>
      <c r="S2954" s="13"/>
      <c r="T2954" s="13">
        <f t="shared" ref="T2954:Y2954" si="3166">IF(ISBLANK(K2954)=TRUE,0,1)</f>
        <v>1</v>
      </c>
      <c r="U2954" s="13">
        <f t="shared" si="3166"/>
        <v>1</v>
      </c>
      <c r="V2954" s="13">
        <f t="shared" si="3166"/>
        <v>0</v>
      </c>
      <c r="W2954" s="13">
        <f t="shared" si="3166"/>
        <v>0</v>
      </c>
      <c r="X2954" s="13">
        <f t="shared" si="3166"/>
        <v>1</v>
      </c>
      <c r="Y2954" s="13">
        <f t="shared" si="3166"/>
        <v>1</v>
      </c>
      <c r="Z2954" s="13">
        <f t="shared" si="3023"/>
        <v>0</v>
      </c>
      <c r="AA2954" s="13"/>
      <c r="AB2954" s="13"/>
      <c r="AC2954" s="13"/>
      <c r="AD2954" s="13"/>
      <c r="AE2954" s="13"/>
      <c r="AF2954" s="13"/>
      <c r="AG2954" s="13"/>
      <c r="AH2954" s="13"/>
      <c r="AI2954" s="13"/>
      <c r="AJ2954" s="13"/>
      <c r="AK2954" s="13"/>
      <c r="AL2954" s="13"/>
      <c r="AM2954" s="13"/>
      <c r="AN2954" s="13"/>
      <c r="AO2954" s="13"/>
      <c r="AP2954" s="13"/>
      <c r="AQ2954" s="13"/>
      <c r="AR2954" s="13"/>
      <c r="AS2954" s="13"/>
    </row>
    <row r="2955" ht="14.25" customHeight="1">
      <c r="A2955" s="13" t="s">
        <v>46</v>
      </c>
      <c r="B2955" s="13" t="s">
        <v>51</v>
      </c>
      <c r="C2955" s="13" t="s">
        <v>1868</v>
      </c>
      <c r="D2955" s="13"/>
      <c r="E2955" s="13"/>
      <c r="F2955" s="13"/>
      <c r="G2955" s="13" t="s">
        <v>74</v>
      </c>
      <c r="H2955" s="13" t="s">
        <v>75</v>
      </c>
      <c r="I2955" s="14">
        <v>44908.0</v>
      </c>
      <c r="J2955" s="14"/>
      <c r="K2955" s="15">
        <v>0.0</v>
      </c>
      <c r="L2955" s="15">
        <v>0.0</v>
      </c>
      <c r="M2955" s="16"/>
      <c r="N2955" s="16"/>
      <c r="O2955" s="17">
        <v>0.0</v>
      </c>
      <c r="P2955" s="17">
        <v>0.0</v>
      </c>
      <c r="Q2955" s="13">
        <f>K2954+L2954+M2954+N2954+O2954+P2954/6</f>
        <v>0</v>
      </c>
      <c r="R2955" s="14">
        <v>44966.0</v>
      </c>
      <c r="S2955" s="13"/>
      <c r="T2955" s="13">
        <f t="shared" ref="T2955:Y2955" si="3167">IF(ISBLANK(K2955)=TRUE,0,1)</f>
        <v>1</v>
      </c>
      <c r="U2955" s="13">
        <f t="shared" si="3167"/>
        <v>1</v>
      </c>
      <c r="V2955" s="13">
        <f t="shared" si="3167"/>
        <v>0</v>
      </c>
      <c r="W2955" s="13">
        <f t="shared" si="3167"/>
        <v>0</v>
      </c>
      <c r="X2955" s="13">
        <f t="shared" si="3167"/>
        <v>1</v>
      </c>
      <c r="Y2955" s="13">
        <f t="shared" si="3167"/>
        <v>1</v>
      </c>
      <c r="Z2955" s="13">
        <f t="shared" si="3023"/>
        <v>0</v>
      </c>
      <c r="AA2955" s="13"/>
      <c r="AB2955" s="13"/>
      <c r="AC2955" s="13"/>
      <c r="AD2955" s="13"/>
      <c r="AE2955" s="13"/>
      <c r="AF2955" s="13"/>
      <c r="AG2955" s="13"/>
      <c r="AH2955" s="13"/>
      <c r="AI2955" s="13"/>
      <c r="AJ2955" s="13"/>
      <c r="AK2955" s="13"/>
      <c r="AL2955" s="13"/>
      <c r="AM2955" s="13"/>
      <c r="AN2955" s="13"/>
      <c r="AO2955" s="13"/>
      <c r="AP2955" s="13"/>
      <c r="AQ2955" s="13"/>
      <c r="AR2955" s="13"/>
      <c r="AS2955" s="13"/>
    </row>
    <row r="2956" ht="14.25" customHeight="1">
      <c r="A2956" s="13" t="s">
        <v>46</v>
      </c>
      <c r="B2956" s="13" t="s">
        <v>51</v>
      </c>
      <c r="C2956" s="13" t="s">
        <v>1868</v>
      </c>
      <c r="D2956" s="13" t="s">
        <v>174</v>
      </c>
      <c r="E2956" s="13"/>
      <c r="F2956" s="13"/>
      <c r="G2956" s="13" t="s">
        <v>74</v>
      </c>
      <c r="H2956" s="13" t="s">
        <v>75</v>
      </c>
      <c r="I2956" s="14">
        <v>44909.0</v>
      </c>
      <c r="J2956" s="14"/>
      <c r="K2956" s="15">
        <v>0.0</v>
      </c>
      <c r="L2956" s="15">
        <v>0.0</v>
      </c>
      <c r="M2956" s="16"/>
      <c r="N2956" s="16"/>
      <c r="O2956" s="17">
        <v>0.0</v>
      </c>
      <c r="P2956" s="17">
        <v>0.0</v>
      </c>
      <c r="Q2956" s="13"/>
      <c r="R2956" s="14"/>
      <c r="S2956" s="13"/>
      <c r="T2956" s="13">
        <f t="shared" ref="T2956:Y2956" si="3168">IF(ISBLANK(K2956)=TRUE,0,1)</f>
        <v>1</v>
      </c>
      <c r="U2956" s="13">
        <f t="shared" si="3168"/>
        <v>1</v>
      </c>
      <c r="V2956" s="13">
        <f t="shared" si="3168"/>
        <v>0</v>
      </c>
      <c r="W2956" s="13">
        <f t="shared" si="3168"/>
        <v>0</v>
      </c>
      <c r="X2956" s="13">
        <f t="shared" si="3168"/>
        <v>1</v>
      </c>
      <c r="Y2956" s="13">
        <f t="shared" si="3168"/>
        <v>1</v>
      </c>
      <c r="Z2956" s="13">
        <f t="shared" si="3023"/>
        <v>0</v>
      </c>
      <c r="AA2956" s="13"/>
      <c r="AB2956" s="13"/>
      <c r="AC2956" s="13"/>
      <c r="AD2956" s="13"/>
      <c r="AE2956" s="13"/>
      <c r="AF2956" s="13"/>
      <c r="AG2956" s="13"/>
      <c r="AH2956" s="13"/>
      <c r="AI2956" s="13"/>
      <c r="AJ2956" s="13"/>
      <c r="AK2956" s="13"/>
      <c r="AL2956" s="13"/>
      <c r="AM2956" s="13"/>
      <c r="AN2956" s="13"/>
      <c r="AO2956" s="13"/>
      <c r="AP2956" s="13"/>
      <c r="AQ2956" s="13"/>
      <c r="AR2956" s="13"/>
      <c r="AS2956" s="13"/>
    </row>
    <row r="2957" ht="14.25" customHeight="1">
      <c r="A2957" s="13" t="s">
        <v>46</v>
      </c>
      <c r="B2957" s="13" t="s">
        <v>51</v>
      </c>
      <c r="C2957" s="13" t="s">
        <v>1869</v>
      </c>
      <c r="D2957" s="13"/>
      <c r="E2957" s="13"/>
      <c r="F2957" s="13"/>
      <c r="G2957" s="13" t="s">
        <v>74</v>
      </c>
      <c r="H2957" s="13" t="s">
        <v>75</v>
      </c>
      <c r="I2957" s="14">
        <v>44908.0</v>
      </c>
      <c r="J2957" s="14"/>
      <c r="K2957" s="15">
        <v>0.0</v>
      </c>
      <c r="L2957" s="15">
        <v>0.0</v>
      </c>
      <c r="M2957" s="16"/>
      <c r="N2957" s="16"/>
      <c r="O2957" s="17">
        <v>0.0</v>
      </c>
      <c r="P2957" s="17">
        <v>0.0</v>
      </c>
      <c r="Q2957" s="13">
        <f>K2955+L2955+M2955+N2955+O2955+P2955/6</f>
        <v>0</v>
      </c>
      <c r="R2957" s="14">
        <v>44966.0</v>
      </c>
      <c r="S2957" s="13"/>
      <c r="T2957" s="13">
        <f t="shared" ref="T2957:Y2957" si="3169">IF(ISBLANK(K2957)=TRUE,0,1)</f>
        <v>1</v>
      </c>
      <c r="U2957" s="13">
        <f t="shared" si="3169"/>
        <v>1</v>
      </c>
      <c r="V2957" s="13">
        <f t="shared" si="3169"/>
        <v>0</v>
      </c>
      <c r="W2957" s="13">
        <f t="shared" si="3169"/>
        <v>0</v>
      </c>
      <c r="X2957" s="13">
        <f t="shared" si="3169"/>
        <v>1</v>
      </c>
      <c r="Y2957" s="13">
        <f t="shared" si="3169"/>
        <v>1</v>
      </c>
      <c r="Z2957" s="13">
        <f t="shared" si="3023"/>
        <v>0</v>
      </c>
      <c r="AA2957" s="13"/>
      <c r="AB2957" s="13"/>
      <c r="AC2957" s="13"/>
      <c r="AD2957" s="13"/>
      <c r="AE2957" s="13"/>
      <c r="AF2957" s="13"/>
      <c r="AG2957" s="13"/>
      <c r="AH2957" s="13"/>
      <c r="AI2957" s="13"/>
      <c r="AJ2957" s="13"/>
      <c r="AK2957" s="13"/>
      <c r="AL2957" s="13"/>
      <c r="AM2957" s="13"/>
      <c r="AN2957" s="13"/>
      <c r="AO2957" s="13"/>
      <c r="AP2957" s="13"/>
      <c r="AQ2957" s="13"/>
      <c r="AR2957" s="13"/>
      <c r="AS2957" s="13"/>
    </row>
    <row r="2958" ht="14.25" customHeight="1">
      <c r="A2958" s="13" t="s">
        <v>46</v>
      </c>
      <c r="B2958" s="13" t="s">
        <v>51</v>
      </c>
      <c r="C2958" s="13" t="s">
        <v>1869</v>
      </c>
      <c r="D2958" s="13" t="s">
        <v>174</v>
      </c>
      <c r="E2958" s="13"/>
      <c r="F2958" s="13"/>
      <c r="G2958" s="13" t="s">
        <v>74</v>
      </c>
      <c r="H2958" s="13" t="s">
        <v>75</v>
      </c>
      <c r="I2958" s="14">
        <v>44908.0</v>
      </c>
      <c r="J2958" s="14"/>
      <c r="K2958" s="15">
        <v>0.0</v>
      </c>
      <c r="L2958" s="15">
        <v>0.0</v>
      </c>
      <c r="M2958" s="16"/>
      <c r="N2958" s="16"/>
      <c r="O2958" s="17">
        <v>0.0</v>
      </c>
      <c r="P2958" s="17">
        <v>0.0</v>
      </c>
      <c r="Q2958" s="13">
        <f t="shared" ref="Q2958:Q2982" si="3171">K2957+L2957+M2957+N2957+O2957+P2957/6</f>
        <v>0</v>
      </c>
      <c r="R2958" s="14">
        <v>44966.0</v>
      </c>
      <c r="S2958" s="13"/>
      <c r="T2958" s="13">
        <f t="shared" ref="T2958:Y2958" si="3170">IF(ISBLANK(K2958)=TRUE,0,1)</f>
        <v>1</v>
      </c>
      <c r="U2958" s="13">
        <f t="shared" si="3170"/>
        <v>1</v>
      </c>
      <c r="V2958" s="13">
        <f t="shared" si="3170"/>
        <v>0</v>
      </c>
      <c r="W2958" s="13">
        <f t="shared" si="3170"/>
        <v>0</v>
      </c>
      <c r="X2958" s="13">
        <f t="shared" si="3170"/>
        <v>1</v>
      </c>
      <c r="Y2958" s="13">
        <f t="shared" si="3170"/>
        <v>1</v>
      </c>
      <c r="Z2958" s="13">
        <f t="shared" si="3023"/>
        <v>0</v>
      </c>
      <c r="AA2958" s="13"/>
      <c r="AB2958" s="13"/>
      <c r="AC2958" s="13"/>
      <c r="AD2958" s="13"/>
      <c r="AE2958" s="13"/>
      <c r="AF2958" s="13"/>
      <c r="AG2958" s="13"/>
      <c r="AH2958" s="13"/>
      <c r="AI2958" s="13"/>
      <c r="AJ2958" s="13"/>
      <c r="AK2958" s="13"/>
      <c r="AL2958" s="13"/>
      <c r="AM2958" s="13"/>
      <c r="AN2958" s="13"/>
      <c r="AO2958" s="13"/>
      <c r="AP2958" s="13"/>
      <c r="AQ2958" s="13"/>
      <c r="AR2958" s="13"/>
      <c r="AS2958" s="13"/>
    </row>
    <row r="2959" ht="14.25" customHeight="1">
      <c r="A2959" s="13" t="s">
        <v>36</v>
      </c>
      <c r="B2959" s="13" t="s">
        <v>41</v>
      </c>
      <c r="C2959" s="13" t="s">
        <v>1860</v>
      </c>
      <c r="D2959" s="13" t="s">
        <v>186</v>
      </c>
      <c r="F2959" s="13"/>
      <c r="G2959" s="13" t="s">
        <v>74</v>
      </c>
      <c r="H2959" s="13" t="s">
        <v>75</v>
      </c>
      <c r="I2959" s="13"/>
      <c r="J2959" s="13"/>
      <c r="K2959" s="15">
        <v>1.0</v>
      </c>
      <c r="L2959" s="15">
        <v>1.0</v>
      </c>
      <c r="M2959" s="16"/>
      <c r="N2959" s="16"/>
      <c r="O2959" s="17">
        <v>1.0</v>
      </c>
      <c r="P2959" s="17">
        <v>1.0</v>
      </c>
      <c r="Q2959" s="13">
        <f t="shared" si="3171"/>
        <v>0</v>
      </c>
      <c r="R2959" s="13"/>
      <c r="S2959" s="13"/>
      <c r="T2959" s="13">
        <f t="shared" ref="T2959:Y2959" si="3172">IF(ISBLANK(K2959)=TRUE,0,1)</f>
        <v>1</v>
      </c>
      <c r="U2959" s="13">
        <f t="shared" si="3172"/>
        <v>1</v>
      </c>
      <c r="V2959" s="13">
        <f t="shared" si="3172"/>
        <v>0</v>
      </c>
      <c r="W2959" s="13">
        <f t="shared" si="3172"/>
        <v>0</v>
      </c>
      <c r="X2959" s="13">
        <f t="shared" si="3172"/>
        <v>1</v>
      </c>
      <c r="Y2959" s="13">
        <f t="shared" si="3172"/>
        <v>1</v>
      </c>
      <c r="Z2959" s="13">
        <f t="shared" si="3023"/>
        <v>1</v>
      </c>
      <c r="AA2959" s="13"/>
      <c r="AB2959" s="13"/>
      <c r="AC2959" s="13"/>
      <c r="AD2959" s="13"/>
      <c r="AE2959" s="13"/>
      <c r="AF2959" s="13"/>
      <c r="AG2959" s="13"/>
      <c r="AH2959" s="13"/>
      <c r="AI2959" s="13"/>
      <c r="AJ2959" s="13"/>
      <c r="AK2959" s="13"/>
      <c r="AL2959" s="13"/>
      <c r="AM2959" s="13"/>
      <c r="AN2959" s="13"/>
      <c r="AO2959" s="13"/>
      <c r="AP2959" s="13"/>
      <c r="AQ2959" s="13"/>
      <c r="AR2959" s="13"/>
      <c r="AS2959" s="13"/>
    </row>
    <row r="2960" ht="14.25" customHeight="1">
      <c r="A2960" s="13" t="s">
        <v>36</v>
      </c>
      <c r="B2960" s="13" t="s">
        <v>41</v>
      </c>
      <c r="C2960" s="13" t="s">
        <v>1860</v>
      </c>
      <c r="D2960" s="13" t="s">
        <v>187</v>
      </c>
      <c r="F2960" s="13"/>
      <c r="G2960" s="13" t="s">
        <v>74</v>
      </c>
      <c r="H2960" s="13" t="s">
        <v>75</v>
      </c>
      <c r="I2960" s="13"/>
      <c r="J2960" s="13"/>
      <c r="K2960" s="15">
        <v>1.0</v>
      </c>
      <c r="L2960" s="15">
        <v>1.0</v>
      </c>
      <c r="M2960" s="16"/>
      <c r="N2960" s="16"/>
      <c r="O2960" s="17">
        <v>1.0</v>
      </c>
      <c r="P2960" s="17">
        <v>1.0</v>
      </c>
      <c r="Q2960" s="13">
        <f t="shared" si="3171"/>
        <v>3.166666667</v>
      </c>
      <c r="R2960" s="13"/>
      <c r="S2960" s="13"/>
      <c r="T2960" s="13">
        <f t="shared" ref="T2960:Y2960" si="3173">IF(ISBLANK(K2960)=TRUE,0,1)</f>
        <v>1</v>
      </c>
      <c r="U2960" s="13">
        <f t="shared" si="3173"/>
        <v>1</v>
      </c>
      <c r="V2960" s="13">
        <f t="shared" si="3173"/>
        <v>0</v>
      </c>
      <c r="W2960" s="13">
        <f t="shared" si="3173"/>
        <v>0</v>
      </c>
      <c r="X2960" s="13">
        <f t="shared" si="3173"/>
        <v>1</v>
      </c>
      <c r="Y2960" s="13">
        <f t="shared" si="3173"/>
        <v>1</v>
      </c>
      <c r="Z2960" s="13">
        <f t="shared" si="3023"/>
        <v>1</v>
      </c>
      <c r="AA2960" s="13"/>
      <c r="AB2960" s="13"/>
      <c r="AC2960" s="13"/>
      <c r="AD2960" s="13"/>
      <c r="AE2960" s="13"/>
      <c r="AF2960" s="13"/>
      <c r="AG2960" s="13"/>
      <c r="AH2960" s="13"/>
      <c r="AI2960" s="13"/>
      <c r="AJ2960" s="13"/>
      <c r="AK2960" s="13"/>
      <c r="AL2960" s="13"/>
      <c r="AM2960" s="13"/>
      <c r="AN2960" s="13"/>
      <c r="AO2960" s="13"/>
      <c r="AP2960" s="13"/>
      <c r="AQ2960" s="13"/>
      <c r="AR2960" s="13"/>
      <c r="AS2960" s="13"/>
    </row>
    <row r="2961" ht="14.25" customHeight="1">
      <c r="A2961" s="13" t="s">
        <v>36</v>
      </c>
      <c r="B2961" s="13" t="s">
        <v>41</v>
      </c>
      <c r="C2961" s="13" t="s">
        <v>1860</v>
      </c>
      <c r="D2961" s="13" t="s">
        <v>188</v>
      </c>
      <c r="F2961" s="13"/>
      <c r="G2961" s="13" t="s">
        <v>74</v>
      </c>
      <c r="H2961" s="13" t="s">
        <v>75</v>
      </c>
      <c r="I2961" s="13"/>
      <c r="J2961" s="13"/>
      <c r="K2961" s="15">
        <v>1.0</v>
      </c>
      <c r="L2961" s="15">
        <v>1.0</v>
      </c>
      <c r="M2961" s="16"/>
      <c r="N2961" s="16"/>
      <c r="O2961" s="17">
        <v>1.0</v>
      </c>
      <c r="P2961" s="17">
        <v>1.0</v>
      </c>
      <c r="Q2961" s="13">
        <f t="shared" si="3171"/>
        <v>3.166666667</v>
      </c>
      <c r="R2961" s="13"/>
      <c r="S2961" s="13"/>
      <c r="T2961" s="13">
        <f t="shared" ref="T2961:Y2961" si="3174">IF(ISBLANK(K2961)=TRUE,0,1)</f>
        <v>1</v>
      </c>
      <c r="U2961" s="13">
        <f t="shared" si="3174"/>
        <v>1</v>
      </c>
      <c r="V2961" s="13">
        <f t="shared" si="3174"/>
        <v>0</v>
      </c>
      <c r="W2961" s="13">
        <f t="shared" si="3174"/>
        <v>0</v>
      </c>
      <c r="X2961" s="13">
        <f t="shared" si="3174"/>
        <v>1</v>
      </c>
      <c r="Y2961" s="13">
        <f t="shared" si="3174"/>
        <v>1</v>
      </c>
      <c r="Z2961" s="13">
        <f t="shared" si="3023"/>
        <v>1</v>
      </c>
      <c r="AA2961" s="13"/>
      <c r="AB2961" s="13"/>
      <c r="AC2961" s="13"/>
      <c r="AD2961" s="13"/>
      <c r="AE2961" s="13"/>
      <c r="AF2961" s="13"/>
      <c r="AG2961" s="13"/>
      <c r="AH2961" s="13"/>
      <c r="AI2961" s="13"/>
      <c r="AJ2961" s="13"/>
      <c r="AK2961" s="13"/>
      <c r="AL2961" s="13"/>
      <c r="AM2961" s="13"/>
      <c r="AN2961" s="13"/>
      <c r="AO2961" s="13"/>
      <c r="AP2961" s="13"/>
      <c r="AQ2961" s="13"/>
      <c r="AR2961" s="13"/>
      <c r="AS2961" s="13"/>
    </row>
    <row r="2962" ht="14.25" customHeight="1">
      <c r="A2962" s="13" t="s">
        <v>36</v>
      </c>
      <c r="B2962" s="13" t="s">
        <v>39</v>
      </c>
      <c r="C2962" s="13" t="s">
        <v>1738</v>
      </c>
      <c r="D2962" s="13" t="s">
        <v>168</v>
      </c>
      <c r="F2962" s="13"/>
      <c r="G2962" s="13" t="s">
        <v>111</v>
      </c>
      <c r="H2962" s="13" t="s">
        <v>75</v>
      </c>
      <c r="I2962" s="13"/>
      <c r="J2962" s="13"/>
      <c r="K2962" s="15">
        <v>0.0</v>
      </c>
      <c r="L2962" s="15">
        <v>0.0</v>
      </c>
      <c r="M2962" s="16"/>
      <c r="N2962" s="16"/>
      <c r="O2962" s="17"/>
      <c r="P2962" s="17"/>
      <c r="Q2962" s="13">
        <f t="shared" si="3171"/>
        <v>3.166666667</v>
      </c>
      <c r="R2962" s="13"/>
      <c r="S2962" s="13"/>
      <c r="T2962" s="13">
        <f t="shared" ref="T2962:Y2962" si="3175">IF(ISBLANK(K2962)=TRUE,0,1)</f>
        <v>1</v>
      </c>
      <c r="U2962" s="13">
        <f t="shared" si="3175"/>
        <v>1</v>
      </c>
      <c r="V2962" s="13">
        <f t="shared" si="3175"/>
        <v>0</v>
      </c>
      <c r="W2962" s="13">
        <f t="shared" si="3175"/>
        <v>0</v>
      </c>
      <c r="X2962" s="13">
        <f t="shared" si="3175"/>
        <v>0</v>
      </c>
      <c r="Y2962" s="13">
        <f t="shared" si="3175"/>
        <v>0</v>
      </c>
      <c r="Z2962" s="13">
        <f t="shared" si="3023"/>
        <v>0</v>
      </c>
      <c r="AA2962" s="13"/>
      <c r="AB2962" s="13"/>
      <c r="AC2962" s="13"/>
      <c r="AD2962" s="13"/>
      <c r="AE2962" s="13"/>
      <c r="AF2962" s="13"/>
      <c r="AG2962" s="13"/>
      <c r="AH2962" s="13"/>
      <c r="AI2962" s="13"/>
      <c r="AJ2962" s="13"/>
      <c r="AK2962" s="13"/>
      <c r="AL2962" s="13"/>
      <c r="AM2962" s="13"/>
      <c r="AN2962" s="13"/>
      <c r="AO2962" s="13"/>
      <c r="AP2962" s="13"/>
      <c r="AQ2962" s="13"/>
      <c r="AR2962" s="13"/>
      <c r="AS2962" s="13"/>
    </row>
    <row r="2963" ht="14.25" customHeight="1">
      <c r="A2963" s="13" t="s">
        <v>36</v>
      </c>
      <c r="B2963" s="13" t="s">
        <v>37</v>
      </c>
      <c r="C2963" s="13" t="s">
        <v>1859</v>
      </c>
      <c r="D2963" s="13" t="s">
        <v>182</v>
      </c>
      <c r="F2963" s="13"/>
      <c r="G2963" s="13" t="s">
        <v>74</v>
      </c>
      <c r="H2963" s="13" t="s">
        <v>75</v>
      </c>
      <c r="I2963" s="13"/>
      <c r="J2963" s="13"/>
      <c r="K2963" s="15">
        <v>1.0</v>
      </c>
      <c r="L2963" s="15">
        <v>1.0</v>
      </c>
      <c r="M2963" s="16"/>
      <c r="N2963" s="16"/>
      <c r="O2963" s="17"/>
      <c r="P2963" s="17"/>
      <c r="Q2963" s="13">
        <f t="shared" si="3171"/>
        <v>0</v>
      </c>
      <c r="R2963" s="13"/>
      <c r="S2963" s="13"/>
      <c r="T2963" s="13">
        <f t="shared" ref="T2963:Y2963" si="3176">IF(ISBLANK(K2963)=TRUE,0,1)</f>
        <v>1</v>
      </c>
      <c r="U2963" s="13">
        <f t="shared" si="3176"/>
        <v>1</v>
      </c>
      <c r="V2963" s="13">
        <f t="shared" si="3176"/>
        <v>0</v>
      </c>
      <c r="W2963" s="13">
        <f t="shared" si="3176"/>
        <v>0</v>
      </c>
      <c r="X2963" s="13">
        <f t="shared" si="3176"/>
        <v>0</v>
      </c>
      <c r="Y2963" s="13">
        <f t="shared" si="3176"/>
        <v>0</v>
      </c>
      <c r="Z2963" s="13">
        <f t="shared" si="3023"/>
        <v>1</v>
      </c>
      <c r="AA2963" s="13"/>
      <c r="AB2963" s="13"/>
      <c r="AC2963" s="13"/>
      <c r="AD2963" s="13"/>
      <c r="AE2963" s="13"/>
      <c r="AF2963" s="13"/>
      <c r="AG2963" s="13"/>
      <c r="AH2963" s="13"/>
      <c r="AI2963" s="13"/>
      <c r="AJ2963" s="13"/>
      <c r="AK2963" s="13"/>
      <c r="AL2963" s="13"/>
      <c r="AM2963" s="13"/>
      <c r="AN2963" s="13"/>
      <c r="AO2963" s="13"/>
      <c r="AP2963" s="13"/>
      <c r="AQ2963" s="13"/>
      <c r="AR2963" s="13"/>
      <c r="AS2963" s="13"/>
    </row>
    <row r="2964" ht="14.25" customHeight="1">
      <c r="A2964" s="13" t="s">
        <v>36</v>
      </c>
      <c r="B2964" s="13" t="s">
        <v>37</v>
      </c>
      <c r="C2964" s="13" t="s">
        <v>1859</v>
      </c>
      <c r="D2964" s="13" t="s">
        <v>183</v>
      </c>
      <c r="F2964" s="13"/>
      <c r="G2964" s="13" t="s">
        <v>74</v>
      </c>
      <c r="H2964" s="13" t="s">
        <v>75</v>
      </c>
      <c r="I2964" s="13"/>
      <c r="J2964" s="13"/>
      <c r="K2964" s="15">
        <v>1.0</v>
      </c>
      <c r="L2964" s="15">
        <v>1.0</v>
      </c>
      <c r="M2964" s="16"/>
      <c r="N2964" s="16"/>
      <c r="O2964" s="17"/>
      <c r="P2964" s="17"/>
      <c r="Q2964" s="13">
        <f t="shared" si="3171"/>
        <v>2</v>
      </c>
      <c r="R2964" s="13"/>
      <c r="S2964" s="13"/>
      <c r="T2964" s="13">
        <f t="shared" ref="T2964:Y2964" si="3177">IF(ISBLANK(K2964)=TRUE,0,1)</f>
        <v>1</v>
      </c>
      <c r="U2964" s="13">
        <f t="shared" si="3177"/>
        <v>1</v>
      </c>
      <c r="V2964" s="13">
        <f t="shared" si="3177"/>
        <v>0</v>
      </c>
      <c r="W2964" s="13">
        <f t="shared" si="3177"/>
        <v>0</v>
      </c>
      <c r="X2964" s="13">
        <f t="shared" si="3177"/>
        <v>0</v>
      </c>
      <c r="Y2964" s="13">
        <f t="shared" si="3177"/>
        <v>0</v>
      </c>
      <c r="Z2964" s="13">
        <f t="shared" si="3023"/>
        <v>1</v>
      </c>
      <c r="AA2964" s="13"/>
      <c r="AB2964" s="13"/>
      <c r="AC2964" s="13"/>
      <c r="AD2964" s="13"/>
      <c r="AE2964" s="13"/>
      <c r="AF2964" s="13"/>
      <c r="AG2964" s="13"/>
      <c r="AH2964" s="13"/>
      <c r="AI2964" s="13"/>
      <c r="AJ2964" s="13"/>
      <c r="AK2964" s="13"/>
      <c r="AL2964" s="13"/>
      <c r="AM2964" s="13"/>
      <c r="AN2964" s="13"/>
      <c r="AO2964" s="13"/>
      <c r="AP2964" s="13"/>
      <c r="AQ2964" s="13"/>
      <c r="AR2964" s="13"/>
      <c r="AS2964" s="13"/>
    </row>
    <row r="2965" ht="14.25" customHeight="1">
      <c r="A2965" s="13" t="s">
        <v>36</v>
      </c>
      <c r="B2965" s="13" t="s">
        <v>39</v>
      </c>
      <c r="C2965" s="13" t="s">
        <v>1738</v>
      </c>
      <c r="D2965" s="13" t="s">
        <v>169</v>
      </c>
      <c r="F2965" s="13"/>
      <c r="G2965" s="13" t="s">
        <v>111</v>
      </c>
      <c r="H2965" s="13" t="s">
        <v>75</v>
      </c>
      <c r="I2965" s="13"/>
      <c r="J2965" s="13"/>
      <c r="K2965" s="15">
        <v>0.0</v>
      </c>
      <c r="L2965" s="15">
        <v>0.0</v>
      </c>
      <c r="M2965" s="16"/>
      <c r="N2965" s="16"/>
      <c r="O2965" s="17"/>
      <c r="P2965" s="17"/>
      <c r="Q2965" s="13">
        <f t="shared" si="3171"/>
        <v>2</v>
      </c>
      <c r="R2965" s="13"/>
      <c r="S2965" s="13"/>
      <c r="T2965" s="13">
        <f t="shared" ref="T2965:Y2965" si="3178">IF(ISBLANK(K2965)=TRUE,0,1)</f>
        <v>1</v>
      </c>
      <c r="U2965" s="13">
        <f t="shared" si="3178"/>
        <v>1</v>
      </c>
      <c r="V2965" s="13">
        <f t="shared" si="3178"/>
        <v>0</v>
      </c>
      <c r="W2965" s="13">
        <f t="shared" si="3178"/>
        <v>0</v>
      </c>
      <c r="X2965" s="13">
        <f t="shared" si="3178"/>
        <v>0</v>
      </c>
      <c r="Y2965" s="13">
        <f t="shared" si="3178"/>
        <v>0</v>
      </c>
      <c r="Z2965" s="13">
        <f t="shared" si="3023"/>
        <v>0</v>
      </c>
      <c r="AA2965" s="13"/>
      <c r="AB2965" s="13"/>
      <c r="AC2965" s="13"/>
      <c r="AD2965" s="13"/>
      <c r="AE2965" s="13"/>
      <c r="AF2965" s="13"/>
      <c r="AG2965" s="13"/>
      <c r="AH2965" s="13"/>
      <c r="AI2965" s="13"/>
      <c r="AJ2965" s="13"/>
      <c r="AK2965" s="13"/>
      <c r="AL2965" s="13"/>
      <c r="AM2965" s="13"/>
      <c r="AN2965" s="13"/>
      <c r="AO2965" s="13"/>
      <c r="AP2965" s="13"/>
      <c r="AQ2965" s="13"/>
      <c r="AR2965" s="13"/>
      <c r="AS2965" s="13"/>
    </row>
    <row r="2966" ht="14.25" customHeight="1">
      <c r="A2966" s="13" t="s">
        <v>36</v>
      </c>
      <c r="B2966" s="13" t="s">
        <v>42</v>
      </c>
      <c r="C2966" s="13">
        <v>616.0</v>
      </c>
      <c r="D2966" s="13" t="s">
        <v>555</v>
      </c>
      <c r="F2966" s="13"/>
      <c r="G2966" s="13" t="s">
        <v>111</v>
      </c>
      <c r="H2966" s="13" t="s">
        <v>75</v>
      </c>
      <c r="I2966" s="13"/>
      <c r="J2966" s="13"/>
      <c r="K2966" s="15">
        <v>1.0</v>
      </c>
      <c r="L2966" s="15">
        <v>1.0</v>
      </c>
      <c r="M2966" s="16"/>
      <c r="N2966" s="16"/>
      <c r="O2966" s="17"/>
      <c r="P2966" s="17"/>
      <c r="Q2966" s="13">
        <f t="shared" si="3171"/>
        <v>0</v>
      </c>
      <c r="R2966" s="13"/>
      <c r="S2966" s="13"/>
      <c r="T2966" s="13">
        <f t="shared" ref="T2966:Y2966" si="3179">IF(ISBLANK(K2966)=TRUE,0,1)</f>
        <v>1</v>
      </c>
      <c r="U2966" s="13">
        <f t="shared" si="3179"/>
        <v>1</v>
      </c>
      <c r="V2966" s="13">
        <f t="shared" si="3179"/>
        <v>0</v>
      </c>
      <c r="W2966" s="13">
        <f t="shared" si="3179"/>
        <v>0</v>
      </c>
      <c r="X2966" s="13">
        <f t="shared" si="3179"/>
        <v>0</v>
      </c>
      <c r="Y2966" s="13">
        <f t="shared" si="3179"/>
        <v>0</v>
      </c>
      <c r="Z2966" s="13">
        <f t="shared" si="3023"/>
        <v>1</v>
      </c>
      <c r="AA2966" s="13"/>
      <c r="AB2966" s="13"/>
      <c r="AC2966" s="13"/>
      <c r="AD2966" s="13"/>
      <c r="AE2966" s="13"/>
      <c r="AF2966" s="13"/>
      <c r="AG2966" s="13"/>
      <c r="AH2966" s="13"/>
      <c r="AI2966" s="13"/>
      <c r="AJ2966" s="13"/>
      <c r="AK2966" s="13"/>
      <c r="AL2966" s="13"/>
      <c r="AM2966" s="13"/>
      <c r="AN2966" s="13"/>
      <c r="AO2966" s="13"/>
      <c r="AP2966" s="13"/>
      <c r="AQ2966" s="13"/>
      <c r="AR2966" s="13"/>
      <c r="AS2966" s="13"/>
    </row>
    <row r="2967" ht="14.25" customHeight="1">
      <c r="A2967" s="13" t="s">
        <v>36</v>
      </c>
      <c r="B2967" s="13" t="s">
        <v>42</v>
      </c>
      <c r="C2967" s="13">
        <v>616.0</v>
      </c>
      <c r="D2967" s="13" t="s">
        <v>168</v>
      </c>
      <c r="F2967" s="13"/>
      <c r="G2967" s="13" t="s">
        <v>111</v>
      </c>
      <c r="H2967" s="13" t="s">
        <v>75</v>
      </c>
      <c r="I2967" s="13"/>
      <c r="J2967" s="13"/>
      <c r="K2967" s="15">
        <v>1.0</v>
      </c>
      <c r="L2967" s="15">
        <v>1.0</v>
      </c>
      <c r="M2967" s="16"/>
      <c r="N2967" s="16"/>
      <c r="O2967" s="17"/>
      <c r="P2967" s="17"/>
      <c r="Q2967" s="13">
        <f t="shared" si="3171"/>
        <v>2</v>
      </c>
      <c r="R2967" s="13"/>
      <c r="S2967" s="13"/>
      <c r="T2967" s="13">
        <f t="shared" ref="T2967:Y2967" si="3180">IF(ISBLANK(K2967)=TRUE,0,1)</f>
        <v>1</v>
      </c>
      <c r="U2967" s="13">
        <f t="shared" si="3180"/>
        <v>1</v>
      </c>
      <c r="V2967" s="13">
        <f t="shared" si="3180"/>
        <v>0</v>
      </c>
      <c r="W2967" s="13">
        <f t="shared" si="3180"/>
        <v>0</v>
      </c>
      <c r="X2967" s="13">
        <f t="shared" si="3180"/>
        <v>0</v>
      </c>
      <c r="Y2967" s="13">
        <f t="shared" si="3180"/>
        <v>0</v>
      </c>
      <c r="Z2967" s="13">
        <f t="shared" si="3023"/>
        <v>1</v>
      </c>
      <c r="AA2967" s="13"/>
      <c r="AB2967" s="13"/>
      <c r="AC2967" s="13"/>
      <c r="AD2967" s="13"/>
      <c r="AE2967" s="13"/>
      <c r="AF2967" s="13"/>
      <c r="AG2967" s="13"/>
      <c r="AH2967" s="13"/>
      <c r="AI2967" s="13"/>
      <c r="AJ2967" s="13"/>
      <c r="AK2967" s="13"/>
      <c r="AL2967" s="13"/>
      <c r="AM2967" s="13"/>
      <c r="AN2967" s="13"/>
      <c r="AO2967" s="13"/>
      <c r="AP2967" s="13"/>
      <c r="AQ2967" s="13"/>
      <c r="AR2967" s="13"/>
      <c r="AS2967" s="13"/>
    </row>
    <row r="2968" ht="14.25" customHeight="1">
      <c r="A2968" s="13" t="s">
        <v>36</v>
      </c>
      <c r="B2968" s="13" t="s">
        <v>42</v>
      </c>
      <c r="C2968" s="13">
        <v>616.0</v>
      </c>
      <c r="D2968" s="13" t="s">
        <v>169</v>
      </c>
      <c r="F2968" s="13"/>
      <c r="G2968" s="13" t="s">
        <v>111</v>
      </c>
      <c r="H2968" s="13" t="s">
        <v>75</v>
      </c>
      <c r="I2968" s="13"/>
      <c r="J2968" s="13"/>
      <c r="K2968" s="15">
        <v>1.0</v>
      </c>
      <c r="L2968" s="15">
        <v>1.0</v>
      </c>
      <c r="M2968" s="16"/>
      <c r="N2968" s="16"/>
      <c r="O2968" s="17"/>
      <c r="P2968" s="17"/>
      <c r="Q2968" s="13">
        <f t="shared" si="3171"/>
        <v>2</v>
      </c>
      <c r="R2968" s="13"/>
      <c r="S2968" s="13"/>
      <c r="T2968" s="13">
        <f t="shared" ref="T2968:Y2968" si="3181">IF(ISBLANK(K2968)=TRUE,0,1)</f>
        <v>1</v>
      </c>
      <c r="U2968" s="13">
        <f t="shared" si="3181"/>
        <v>1</v>
      </c>
      <c r="V2968" s="13">
        <f t="shared" si="3181"/>
        <v>0</v>
      </c>
      <c r="W2968" s="13">
        <f t="shared" si="3181"/>
        <v>0</v>
      </c>
      <c r="X2968" s="13">
        <f t="shared" si="3181"/>
        <v>0</v>
      </c>
      <c r="Y2968" s="13">
        <f t="shared" si="3181"/>
        <v>0</v>
      </c>
      <c r="Z2968" s="13">
        <f t="shared" si="3023"/>
        <v>1</v>
      </c>
      <c r="AA2968" s="13"/>
      <c r="AB2968" s="13"/>
      <c r="AC2968" s="13"/>
      <c r="AD2968" s="13"/>
      <c r="AE2968" s="13"/>
      <c r="AF2968" s="13"/>
      <c r="AG2968" s="13"/>
      <c r="AH2968" s="13"/>
      <c r="AI2968" s="13"/>
      <c r="AJ2968" s="13"/>
      <c r="AK2968" s="13"/>
      <c r="AL2968" s="13"/>
      <c r="AM2968" s="13"/>
      <c r="AN2968" s="13"/>
      <c r="AO2968" s="13"/>
      <c r="AP2968" s="13"/>
      <c r="AQ2968" s="13"/>
      <c r="AR2968" s="13"/>
      <c r="AS2968" s="13"/>
    </row>
    <row r="2969" ht="14.25" customHeight="1">
      <c r="A2969" s="13" t="s">
        <v>36</v>
      </c>
      <c r="B2969" s="13" t="s">
        <v>42</v>
      </c>
      <c r="C2969" s="13">
        <v>616.0</v>
      </c>
      <c r="D2969" s="13" t="s">
        <v>170</v>
      </c>
      <c r="F2969" s="13"/>
      <c r="G2969" s="13" t="s">
        <v>111</v>
      </c>
      <c r="H2969" s="13" t="s">
        <v>75</v>
      </c>
      <c r="I2969" s="13"/>
      <c r="J2969" s="13"/>
      <c r="K2969" s="15">
        <v>1.0</v>
      </c>
      <c r="L2969" s="15">
        <v>1.0</v>
      </c>
      <c r="M2969" s="16"/>
      <c r="N2969" s="16"/>
      <c r="O2969" s="17"/>
      <c r="P2969" s="17"/>
      <c r="Q2969" s="13">
        <f t="shared" si="3171"/>
        <v>2</v>
      </c>
      <c r="R2969" s="13"/>
      <c r="S2969" s="13"/>
      <c r="T2969" s="13">
        <f t="shared" ref="T2969:Y2969" si="3182">IF(ISBLANK(K2969)=TRUE,0,1)</f>
        <v>1</v>
      </c>
      <c r="U2969" s="13">
        <f t="shared" si="3182"/>
        <v>1</v>
      </c>
      <c r="V2969" s="13">
        <f t="shared" si="3182"/>
        <v>0</v>
      </c>
      <c r="W2969" s="13">
        <f t="shared" si="3182"/>
        <v>0</v>
      </c>
      <c r="X2969" s="13">
        <f t="shared" si="3182"/>
        <v>0</v>
      </c>
      <c r="Y2969" s="13">
        <f t="shared" si="3182"/>
        <v>0</v>
      </c>
      <c r="Z2969" s="13">
        <f t="shared" si="3023"/>
        <v>1</v>
      </c>
      <c r="AA2969" s="13"/>
      <c r="AB2969" s="13"/>
      <c r="AC2969" s="13"/>
      <c r="AD2969" s="13"/>
      <c r="AE2969" s="13"/>
      <c r="AF2969" s="13"/>
      <c r="AG2969" s="13"/>
      <c r="AH2969" s="13"/>
      <c r="AI2969" s="13"/>
      <c r="AJ2969" s="13"/>
      <c r="AK2969" s="13"/>
      <c r="AL2969" s="13"/>
      <c r="AM2969" s="13"/>
      <c r="AN2969" s="13"/>
      <c r="AO2969" s="13"/>
      <c r="AP2969" s="13"/>
      <c r="AQ2969" s="13"/>
      <c r="AR2969" s="13"/>
      <c r="AS2969" s="13"/>
    </row>
    <row r="2970" ht="14.25" customHeight="1">
      <c r="A2970" s="13" t="s">
        <v>36</v>
      </c>
      <c r="B2970" s="13" t="s">
        <v>42</v>
      </c>
      <c r="C2970" s="13">
        <v>616.0</v>
      </c>
      <c r="D2970" s="13" t="s">
        <v>171</v>
      </c>
      <c r="F2970" s="13"/>
      <c r="G2970" s="13" t="s">
        <v>111</v>
      </c>
      <c r="H2970" s="13" t="s">
        <v>75</v>
      </c>
      <c r="I2970" s="13"/>
      <c r="J2970" s="13"/>
      <c r="K2970" s="15">
        <v>1.0</v>
      </c>
      <c r="L2970" s="15">
        <v>1.0</v>
      </c>
      <c r="M2970" s="16"/>
      <c r="N2970" s="16"/>
      <c r="O2970" s="17"/>
      <c r="P2970" s="17"/>
      <c r="Q2970" s="13">
        <f t="shared" si="3171"/>
        <v>2</v>
      </c>
      <c r="R2970" s="13"/>
      <c r="S2970" s="13"/>
      <c r="T2970" s="13">
        <f t="shared" ref="T2970:Y2970" si="3183">IF(ISBLANK(K2970)=TRUE,0,1)</f>
        <v>1</v>
      </c>
      <c r="U2970" s="13">
        <f t="shared" si="3183"/>
        <v>1</v>
      </c>
      <c r="V2970" s="13">
        <f t="shared" si="3183"/>
        <v>0</v>
      </c>
      <c r="W2970" s="13">
        <f t="shared" si="3183"/>
        <v>0</v>
      </c>
      <c r="X2970" s="13">
        <f t="shared" si="3183"/>
        <v>0</v>
      </c>
      <c r="Y2970" s="13">
        <f t="shared" si="3183"/>
        <v>0</v>
      </c>
      <c r="Z2970" s="13">
        <f t="shared" si="3023"/>
        <v>1</v>
      </c>
      <c r="AA2970" s="13"/>
      <c r="AB2970" s="13"/>
      <c r="AC2970" s="13"/>
      <c r="AD2970" s="13"/>
      <c r="AE2970" s="13"/>
      <c r="AF2970" s="13"/>
      <c r="AG2970" s="13"/>
      <c r="AH2970" s="13"/>
      <c r="AI2970" s="13"/>
      <c r="AJ2970" s="13"/>
      <c r="AK2970" s="13"/>
      <c r="AL2970" s="13"/>
      <c r="AM2970" s="13"/>
      <c r="AN2970" s="13"/>
      <c r="AO2970" s="13"/>
      <c r="AP2970" s="13"/>
      <c r="AQ2970" s="13"/>
      <c r="AR2970" s="13"/>
      <c r="AS2970" s="13"/>
    </row>
    <row r="2971" ht="14.25" customHeight="1">
      <c r="A2971" s="13" t="s">
        <v>36</v>
      </c>
      <c r="B2971" s="13" t="s">
        <v>42</v>
      </c>
      <c r="C2971" s="13">
        <v>616.0</v>
      </c>
      <c r="D2971" s="13" t="s">
        <v>172</v>
      </c>
      <c r="F2971" s="13"/>
      <c r="G2971" s="13" t="s">
        <v>111</v>
      </c>
      <c r="H2971" s="13" t="s">
        <v>75</v>
      </c>
      <c r="I2971" s="13"/>
      <c r="J2971" s="13"/>
      <c r="K2971" s="15">
        <v>1.0</v>
      </c>
      <c r="L2971" s="15">
        <v>1.0</v>
      </c>
      <c r="M2971" s="16"/>
      <c r="N2971" s="16"/>
      <c r="O2971" s="17"/>
      <c r="P2971" s="17"/>
      <c r="Q2971" s="13">
        <f t="shared" si="3171"/>
        <v>2</v>
      </c>
      <c r="R2971" s="13"/>
      <c r="S2971" s="13"/>
      <c r="T2971" s="13">
        <f t="shared" ref="T2971:Y2971" si="3184">IF(ISBLANK(K2971)=TRUE,0,1)</f>
        <v>1</v>
      </c>
      <c r="U2971" s="13">
        <f t="shared" si="3184"/>
        <v>1</v>
      </c>
      <c r="V2971" s="13">
        <f t="shared" si="3184"/>
        <v>0</v>
      </c>
      <c r="W2971" s="13">
        <f t="shared" si="3184"/>
        <v>0</v>
      </c>
      <c r="X2971" s="13">
        <f t="shared" si="3184"/>
        <v>0</v>
      </c>
      <c r="Y2971" s="13">
        <f t="shared" si="3184"/>
        <v>0</v>
      </c>
      <c r="Z2971" s="13">
        <f t="shared" si="3023"/>
        <v>1</v>
      </c>
      <c r="AA2971" s="13"/>
      <c r="AB2971" s="13"/>
      <c r="AC2971" s="13"/>
      <c r="AD2971" s="13"/>
      <c r="AE2971" s="13"/>
      <c r="AF2971" s="13"/>
      <c r="AG2971" s="13"/>
      <c r="AH2971" s="13"/>
      <c r="AI2971" s="13"/>
      <c r="AJ2971" s="13"/>
      <c r="AK2971" s="13"/>
      <c r="AL2971" s="13"/>
      <c r="AM2971" s="13"/>
      <c r="AN2971" s="13"/>
      <c r="AO2971" s="13"/>
      <c r="AP2971" s="13"/>
      <c r="AQ2971" s="13"/>
      <c r="AR2971" s="13"/>
      <c r="AS2971" s="13"/>
    </row>
    <row r="2972" ht="14.25" customHeight="1">
      <c r="A2972" s="13" t="s">
        <v>36</v>
      </c>
      <c r="B2972" s="13" t="s">
        <v>42</v>
      </c>
      <c r="C2972" s="13">
        <v>616.0</v>
      </c>
      <c r="D2972" s="13" t="s">
        <v>556</v>
      </c>
      <c r="F2972" s="13"/>
      <c r="G2972" s="13" t="s">
        <v>111</v>
      </c>
      <c r="H2972" s="13" t="s">
        <v>75</v>
      </c>
      <c r="I2972" s="13"/>
      <c r="J2972" s="13"/>
      <c r="K2972" s="15">
        <v>1.0</v>
      </c>
      <c r="L2972" s="15">
        <v>1.0</v>
      </c>
      <c r="M2972" s="16"/>
      <c r="N2972" s="16"/>
      <c r="O2972" s="17"/>
      <c r="P2972" s="17"/>
      <c r="Q2972" s="13">
        <f t="shared" si="3171"/>
        <v>2</v>
      </c>
      <c r="R2972" s="13"/>
      <c r="S2972" s="13"/>
      <c r="T2972" s="13">
        <f t="shared" ref="T2972:Y2972" si="3185">IF(ISBLANK(K2972)=TRUE,0,1)</f>
        <v>1</v>
      </c>
      <c r="U2972" s="13">
        <f t="shared" si="3185"/>
        <v>1</v>
      </c>
      <c r="V2972" s="13">
        <f t="shared" si="3185"/>
        <v>0</v>
      </c>
      <c r="W2972" s="13">
        <f t="shared" si="3185"/>
        <v>0</v>
      </c>
      <c r="X2972" s="13">
        <f t="shared" si="3185"/>
        <v>0</v>
      </c>
      <c r="Y2972" s="13">
        <f t="shared" si="3185"/>
        <v>0</v>
      </c>
      <c r="Z2972" s="13">
        <f t="shared" si="3023"/>
        <v>1</v>
      </c>
      <c r="AA2972" s="13"/>
      <c r="AB2972" s="13"/>
      <c r="AC2972" s="13"/>
      <c r="AD2972" s="13"/>
      <c r="AE2972" s="13"/>
      <c r="AF2972" s="13"/>
      <c r="AG2972" s="13"/>
      <c r="AH2972" s="13"/>
      <c r="AI2972" s="13"/>
      <c r="AJ2972" s="13"/>
      <c r="AK2972" s="13"/>
      <c r="AL2972" s="13"/>
      <c r="AM2972" s="13"/>
      <c r="AN2972" s="13"/>
      <c r="AO2972" s="13"/>
      <c r="AP2972" s="13"/>
      <c r="AQ2972" s="13"/>
      <c r="AR2972" s="13"/>
      <c r="AS2972" s="13"/>
    </row>
    <row r="2973" ht="14.25" customHeight="1">
      <c r="A2973" s="13" t="s">
        <v>36</v>
      </c>
      <c r="B2973" s="13" t="s">
        <v>42</v>
      </c>
      <c r="C2973" s="13">
        <v>616.0</v>
      </c>
      <c r="D2973" s="13" t="s">
        <v>557</v>
      </c>
      <c r="F2973" s="13"/>
      <c r="G2973" s="13" t="s">
        <v>111</v>
      </c>
      <c r="H2973" s="13" t="s">
        <v>75</v>
      </c>
      <c r="I2973" s="13"/>
      <c r="J2973" s="13"/>
      <c r="K2973" s="15">
        <v>1.0</v>
      </c>
      <c r="L2973" s="15">
        <v>1.0</v>
      </c>
      <c r="M2973" s="16"/>
      <c r="N2973" s="16"/>
      <c r="O2973" s="17"/>
      <c r="P2973" s="17"/>
      <c r="Q2973" s="13">
        <f t="shared" si="3171"/>
        <v>2</v>
      </c>
      <c r="R2973" s="13"/>
      <c r="S2973" s="13"/>
      <c r="T2973" s="13">
        <f t="shared" ref="T2973:Y2973" si="3186">IF(ISBLANK(K2973)=TRUE,0,1)</f>
        <v>1</v>
      </c>
      <c r="U2973" s="13">
        <f t="shared" si="3186"/>
        <v>1</v>
      </c>
      <c r="V2973" s="13">
        <f t="shared" si="3186"/>
        <v>0</v>
      </c>
      <c r="W2973" s="13">
        <f t="shared" si="3186"/>
        <v>0</v>
      </c>
      <c r="X2973" s="13">
        <f t="shared" si="3186"/>
        <v>0</v>
      </c>
      <c r="Y2973" s="13">
        <f t="shared" si="3186"/>
        <v>0</v>
      </c>
      <c r="Z2973" s="13">
        <f t="shared" si="3023"/>
        <v>1</v>
      </c>
      <c r="AA2973" s="13"/>
      <c r="AB2973" s="13"/>
      <c r="AC2973" s="13"/>
      <c r="AD2973" s="13"/>
      <c r="AE2973" s="13"/>
      <c r="AF2973" s="13"/>
      <c r="AG2973" s="13"/>
      <c r="AH2973" s="13"/>
      <c r="AI2973" s="13"/>
      <c r="AJ2973" s="13"/>
      <c r="AK2973" s="13"/>
      <c r="AL2973" s="13"/>
      <c r="AM2973" s="13"/>
      <c r="AN2973" s="13"/>
      <c r="AO2973" s="13"/>
      <c r="AP2973" s="13"/>
      <c r="AQ2973" s="13"/>
      <c r="AR2973" s="13"/>
      <c r="AS2973" s="13"/>
    </row>
    <row r="2974" ht="14.25" customHeight="1">
      <c r="A2974" s="13" t="s">
        <v>36</v>
      </c>
      <c r="B2974" s="13" t="s">
        <v>41</v>
      </c>
      <c r="C2974" s="13" t="s">
        <v>1860</v>
      </c>
      <c r="D2974" s="13" t="s">
        <v>189</v>
      </c>
      <c r="F2974" s="13"/>
      <c r="G2974" s="13" t="s">
        <v>74</v>
      </c>
      <c r="H2974" s="13" t="s">
        <v>75</v>
      </c>
      <c r="I2974" s="13"/>
      <c r="J2974" s="13"/>
      <c r="K2974" s="15">
        <v>1.0</v>
      </c>
      <c r="L2974" s="15">
        <v>1.0</v>
      </c>
      <c r="M2974" s="16"/>
      <c r="N2974" s="16"/>
      <c r="O2974" s="17">
        <v>1.0</v>
      </c>
      <c r="P2974" s="17">
        <v>1.0</v>
      </c>
      <c r="Q2974" s="13">
        <f t="shared" si="3171"/>
        <v>2</v>
      </c>
      <c r="R2974" s="13"/>
      <c r="S2974" s="13"/>
      <c r="T2974" s="13">
        <f t="shared" ref="T2974:Y2974" si="3187">IF(ISBLANK(K2974)=TRUE,0,1)</f>
        <v>1</v>
      </c>
      <c r="U2974" s="13">
        <f t="shared" si="3187"/>
        <v>1</v>
      </c>
      <c r="V2974" s="13">
        <f t="shared" si="3187"/>
        <v>0</v>
      </c>
      <c r="W2974" s="13">
        <f t="shared" si="3187"/>
        <v>0</v>
      </c>
      <c r="X2974" s="13">
        <f t="shared" si="3187"/>
        <v>1</v>
      </c>
      <c r="Y2974" s="13">
        <f t="shared" si="3187"/>
        <v>1</v>
      </c>
      <c r="Z2974" s="13">
        <f t="shared" si="3023"/>
        <v>1</v>
      </c>
      <c r="AA2974" s="13"/>
      <c r="AB2974" s="13"/>
      <c r="AC2974" s="13"/>
      <c r="AD2974" s="13"/>
      <c r="AE2974" s="13"/>
      <c r="AF2974" s="13"/>
      <c r="AG2974" s="13"/>
      <c r="AH2974" s="13"/>
      <c r="AI2974" s="13"/>
      <c r="AJ2974" s="13"/>
      <c r="AK2974" s="13"/>
      <c r="AL2974" s="13"/>
      <c r="AM2974" s="13"/>
      <c r="AN2974" s="13"/>
      <c r="AO2974" s="13"/>
      <c r="AP2974" s="13"/>
      <c r="AQ2974" s="13"/>
      <c r="AR2974" s="13"/>
      <c r="AS2974" s="13"/>
    </row>
    <row r="2975" ht="14.25" customHeight="1">
      <c r="A2975" s="13" t="s">
        <v>36</v>
      </c>
      <c r="B2975" s="13" t="s">
        <v>41</v>
      </c>
      <c r="C2975" s="13" t="s">
        <v>1860</v>
      </c>
      <c r="D2975" s="13" t="s">
        <v>190</v>
      </c>
      <c r="F2975" s="13"/>
      <c r="G2975" s="13" t="s">
        <v>74</v>
      </c>
      <c r="H2975" s="13" t="s">
        <v>75</v>
      </c>
      <c r="I2975" s="13"/>
      <c r="J2975" s="13"/>
      <c r="K2975" s="15">
        <v>1.0</v>
      </c>
      <c r="L2975" s="15">
        <v>1.0</v>
      </c>
      <c r="M2975" s="16"/>
      <c r="N2975" s="16"/>
      <c r="O2975" s="17">
        <v>1.0</v>
      </c>
      <c r="P2975" s="17">
        <v>1.0</v>
      </c>
      <c r="Q2975" s="13">
        <f t="shared" si="3171"/>
        <v>3.166666667</v>
      </c>
      <c r="R2975" s="13"/>
      <c r="S2975" s="13"/>
      <c r="T2975" s="13">
        <f t="shared" ref="T2975:Y2975" si="3188">IF(ISBLANK(K2975)=TRUE,0,1)</f>
        <v>1</v>
      </c>
      <c r="U2975" s="13">
        <f t="shared" si="3188"/>
        <v>1</v>
      </c>
      <c r="V2975" s="13">
        <f t="shared" si="3188"/>
        <v>0</v>
      </c>
      <c r="W2975" s="13">
        <f t="shared" si="3188"/>
        <v>0</v>
      </c>
      <c r="X2975" s="13">
        <f t="shared" si="3188"/>
        <v>1</v>
      </c>
      <c r="Y2975" s="13">
        <f t="shared" si="3188"/>
        <v>1</v>
      </c>
      <c r="Z2975" s="13">
        <f t="shared" si="3023"/>
        <v>1</v>
      </c>
      <c r="AA2975" s="13"/>
      <c r="AB2975" s="13"/>
      <c r="AC2975" s="13"/>
      <c r="AD2975" s="13"/>
      <c r="AE2975" s="13"/>
      <c r="AF2975" s="13"/>
      <c r="AG2975" s="13"/>
      <c r="AH2975" s="13"/>
      <c r="AI2975" s="13"/>
      <c r="AJ2975" s="13"/>
      <c r="AK2975" s="13"/>
      <c r="AL2975" s="13"/>
      <c r="AM2975" s="13"/>
      <c r="AN2975" s="13"/>
      <c r="AO2975" s="13"/>
      <c r="AP2975" s="13"/>
      <c r="AQ2975" s="13"/>
      <c r="AR2975" s="13"/>
      <c r="AS2975" s="13"/>
    </row>
    <row r="2976" ht="14.25" customHeight="1">
      <c r="A2976" s="13" t="s">
        <v>36</v>
      </c>
      <c r="B2976" s="13" t="s">
        <v>42</v>
      </c>
      <c r="C2976" s="13">
        <v>616.0</v>
      </c>
      <c r="D2976" s="13" t="s">
        <v>110</v>
      </c>
      <c r="F2976" s="13"/>
      <c r="G2976" s="13" t="s">
        <v>111</v>
      </c>
      <c r="H2976" s="13" t="s">
        <v>75</v>
      </c>
      <c r="I2976" s="13"/>
      <c r="J2976" s="13"/>
      <c r="K2976" s="15">
        <v>1.0</v>
      </c>
      <c r="L2976" s="15">
        <v>1.0</v>
      </c>
      <c r="M2976" s="16"/>
      <c r="N2976" s="16"/>
      <c r="O2976" s="17"/>
      <c r="P2976" s="17"/>
      <c r="Q2976" s="13">
        <f t="shared" si="3171"/>
        <v>3.166666667</v>
      </c>
      <c r="R2976" s="13"/>
      <c r="S2976" s="13"/>
      <c r="T2976" s="13">
        <f t="shared" ref="T2976:Y2976" si="3189">IF(ISBLANK(K2976)=TRUE,0,1)</f>
        <v>1</v>
      </c>
      <c r="U2976" s="13">
        <f t="shared" si="3189"/>
        <v>1</v>
      </c>
      <c r="V2976" s="13">
        <f t="shared" si="3189"/>
        <v>0</v>
      </c>
      <c r="W2976" s="13">
        <f t="shared" si="3189"/>
        <v>0</v>
      </c>
      <c r="X2976" s="13">
        <f t="shared" si="3189"/>
        <v>0</v>
      </c>
      <c r="Y2976" s="13">
        <f t="shared" si="3189"/>
        <v>0</v>
      </c>
      <c r="Z2976" s="13">
        <f t="shared" si="3023"/>
        <v>1</v>
      </c>
      <c r="AA2976" s="13"/>
      <c r="AB2976" s="13"/>
      <c r="AC2976" s="13"/>
      <c r="AD2976" s="13"/>
      <c r="AE2976" s="13"/>
      <c r="AF2976" s="13"/>
      <c r="AG2976" s="13"/>
      <c r="AH2976" s="13"/>
      <c r="AI2976" s="13"/>
      <c r="AJ2976" s="13"/>
      <c r="AK2976" s="13"/>
      <c r="AL2976" s="13"/>
      <c r="AM2976" s="13"/>
      <c r="AN2976" s="13"/>
      <c r="AO2976" s="13"/>
      <c r="AP2976" s="13"/>
      <c r="AQ2976" s="13"/>
      <c r="AR2976" s="13"/>
      <c r="AS2976" s="13"/>
    </row>
    <row r="2977" ht="14.25" customHeight="1">
      <c r="A2977" s="13" t="s">
        <v>36</v>
      </c>
      <c r="B2977" s="13" t="s">
        <v>39</v>
      </c>
      <c r="C2977" s="13" t="s">
        <v>1738</v>
      </c>
      <c r="D2977" s="13" t="s">
        <v>170</v>
      </c>
      <c r="F2977" s="13"/>
      <c r="G2977" s="13" t="s">
        <v>111</v>
      </c>
      <c r="H2977" s="13" t="s">
        <v>75</v>
      </c>
      <c r="I2977" s="13"/>
      <c r="J2977" s="13"/>
      <c r="K2977" s="15">
        <v>0.0</v>
      </c>
      <c r="L2977" s="15">
        <v>0.0</v>
      </c>
      <c r="M2977" s="16"/>
      <c r="N2977" s="16"/>
      <c r="O2977" s="17"/>
      <c r="P2977" s="17"/>
      <c r="Q2977" s="13">
        <f t="shared" si="3171"/>
        <v>2</v>
      </c>
      <c r="R2977" s="13"/>
      <c r="S2977" s="13"/>
      <c r="T2977" s="13">
        <f t="shared" ref="T2977:Y2977" si="3190">IF(ISBLANK(K2977)=TRUE,0,1)</f>
        <v>1</v>
      </c>
      <c r="U2977" s="13">
        <f t="shared" si="3190"/>
        <v>1</v>
      </c>
      <c r="V2977" s="13">
        <f t="shared" si="3190"/>
        <v>0</v>
      </c>
      <c r="W2977" s="13">
        <f t="shared" si="3190"/>
        <v>0</v>
      </c>
      <c r="X2977" s="13">
        <f t="shared" si="3190"/>
        <v>0</v>
      </c>
      <c r="Y2977" s="13">
        <f t="shared" si="3190"/>
        <v>0</v>
      </c>
      <c r="Z2977" s="13">
        <f t="shared" si="3023"/>
        <v>0</v>
      </c>
      <c r="AA2977" s="13"/>
      <c r="AB2977" s="13"/>
      <c r="AC2977" s="13"/>
      <c r="AD2977" s="13"/>
      <c r="AE2977" s="13"/>
      <c r="AF2977" s="13"/>
      <c r="AG2977" s="13"/>
      <c r="AH2977" s="13"/>
      <c r="AI2977" s="13"/>
      <c r="AJ2977" s="13"/>
      <c r="AK2977" s="13"/>
      <c r="AL2977" s="13"/>
      <c r="AM2977" s="13"/>
      <c r="AN2977" s="13"/>
      <c r="AO2977" s="13"/>
      <c r="AP2977" s="13"/>
      <c r="AQ2977" s="13"/>
      <c r="AR2977" s="13"/>
      <c r="AS2977" s="13"/>
    </row>
    <row r="2978" ht="14.25" customHeight="1">
      <c r="A2978" s="13" t="s">
        <v>36</v>
      </c>
      <c r="B2978" s="13" t="s">
        <v>39</v>
      </c>
      <c r="C2978" s="13" t="s">
        <v>1738</v>
      </c>
      <c r="D2978" s="13" t="s">
        <v>171</v>
      </c>
      <c r="F2978" s="13"/>
      <c r="G2978" s="13" t="s">
        <v>111</v>
      </c>
      <c r="H2978" s="13" t="s">
        <v>75</v>
      </c>
      <c r="I2978" s="13"/>
      <c r="J2978" s="13"/>
      <c r="K2978" s="15">
        <v>0.0</v>
      </c>
      <c r="L2978" s="15">
        <v>0.0</v>
      </c>
      <c r="M2978" s="16"/>
      <c r="N2978" s="16"/>
      <c r="O2978" s="17"/>
      <c r="P2978" s="17"/>
      <c r="Q2978" s="13">
        <f t="shared" si="3171"/>
        <v>0</v>
      </c>
      <c r="R2978" s="13"/>
      <c r="S2978" s="13"/>
      <c r="T2978" s="13">
        <f t="shared" ref="T2978:Y2978" si="3191">IF(ISBLANK(K2978)=TRUE,0,1)</f>
        <v>1</v>
      </c>
      <c r="U2978" s="13">
        <f t="shared" si="3191"/>
        <v>1</v>
      </c>
      <c r="V2978" s="13">
        <f t="shared" si="3191"/>
        <v>0</v>
      </c>
      <c r="W2978" s="13">
        <f t="shared" si="3191"/>
        <v>0</v>
      </c>
      <c r="X2978" s="13">
        <f t="shared" si="3191"/>
        <v>0</v>
      </c>
      <c r="Y2978" s="13">
        <f t="shared" si="3191"/>
        <v>0</v>
      </c>
      <c r="Z2978" s="13">
        <f t="shared" si="3023"/>
        <v>0</v>
      </c>
      <c r="AA2978" s="13"/>
      <c r="AB2978" s="13"/>
      <c r="AC2978" s="13"/>
      <c r="AD2978" s="13"/>
      <c r="AE2978" s="13"/>
      <c r="AF2978" s="13"/>
      <c r="AG2978" s="13"/>
      <c r="AH2978" s="13"/>
      <c r="AI2978" s="13"/>
      <c r="AJ2978" s="13"/>
      <c r="AK2978" s="13"/>
      <c r="AL2978" s="13"/>
      <c r="AM2978" s="13"/>
      <c r="AN2978" s="13"/>
      <c r="AO2978" s="13"/>
      <c r="AP2978" s="13"/>
      <c r="AQ2978" s="13"/>
      <c r="AR2978" s="13"/>
      <c r="AS2978" s="13"/>
    </row>
    <row r="2979" ht="14.25" customHeight="1">
      <c r="A2979" s="13" t="s">
        <v>36</v>
      </c>
      <c r="B2979" s="13" t="s">
        <v>42</v>
      </c>
      <c r="C2979" s="13">
        <v>616.0</v>
      </c>
      <c r="D2979" s="13" t="s">
        <v>113</v>
      </c>
      <c r="F2979" s="13"/>
      <c r="G2979" s="13" t="s">
        <v>111</v>
      </c>
      <c r="H2979" s="13" t="s">
        <v>75</v>
      </c>
      <c r="I2979" s="13"/>
      <c r="J2979" s="13"/>
      <c r="K2979" s="15">
        <v>1.0</v>
      </c>
      <c r="L2979" s="15">
        <v>1.0</v>
      </c>
      <c r="M2979" s="16"/>
      <c r="N2979" s="16"/>
      <c r="O2979" s="17"/>
      <c r="P2979" s="17"/>
      <c r="Q2979" s="13">
        <f t="shared" si="3171"/>
        <v>0</v>
      </c>
      <c r="R2979" s="13"/>
      <c r="S2979" s="13"/>
      <c r="T2979" s="13">
        <f t="shared" ref="T2979:Y2979" si="3192">IF(ISBLANK(K2979)=TRUE,0,1)</f>
        <v>1</v>
      </c>
      <c r="U2979" s="13">
        <f t="shared" si="3192"/>
        <v>1</v>
      </c>
      <c r="V2979" s="13">
        <f t="shared" si="3192"/>
        <v>0</v>
      </c>
      <c r="W2979" s="13">
        <f t="shared" si="3192"/>
        <v>0</v>
      </c>
      <c r="X2979" s="13">
        <f t="shared" si="3192"/>
        <v>0</v>
      </c>
      <c r="Y2979" s="13">
        <f t="shared" si="3192"/>
        <v>0</v>
      </c>
      <c r="Z2979" s="13">
        <f t="shared" si="3023"/>
        <v>1</v>
      </c>
      <c r="AA2979" s="13"/>
      <c r="AB2979" s="13"/>
      <c r="AC2979" s="13"/>
      <c r="AD2979" s="13"/>
      <c r="AE2979" s="13"/>
      <c r="AF2979" s="13"/>
      <c r="AG2979" s="13"/>
      <c r="AH2979" s="13"/>
      <c r="AI2979" s="13"/>
      <c r="AJ2979" s="13"/>
      <c r="AK2979" s="13"/>
      <c r="AL2979" s="13"/>
      <c r="AM2979" s="13"/>
      <c r="AN2979" s="13"/>
      <c r="AO2979" s="13"/>
      <c r="AP2979" s="13"/>
      <c r="AQ2979" s="13"/>
      <c r="AR2979" s="13"/>
      <c r="AS2979" s="13"/>
    </row>
    <row r="2980" ht="14.25" customHeight="1">
      <c r="A2980" s="13" t="s">
        <v>36</v>
      </c>
      <c r="B2980" s="13" t="s">
        <v>42</v>
      </c>
      <c r="C2980" s="13">
        <v>616.0</v>
      </c>
      <c r="D2980" s="13" t="s">
        <v>115</v>
      </c>
      <c r="F2980" s="13"/>
      <c r="G2980" s="13" t="s">
        <v>111</v>
      </c>
      <c r="H2980" s="13" t="s">
        <v>75</v>
      </c>
      <c r="I2980" s="13"/>
      <c r="J2980" s="13"/>
      <c r="K2980" s="15">
        <v>1.0</v>
      </c>
      <c r="L2980" s="15">
        <v>1.0</v>
      </c>
      <c r="M2980" s="16"/>
      <c r="N2980" s="16"/>
      <c r="O2980" s="17"/>
      <c r="P2980" s="17"/>
      <c r="Q2980" s="13">
        <f t="shared" si="3171"/>
        <v>2</v>
      </c>
      <c r="R2980" s="13"/>
      <c r="S2980" s="13"/>
      <c r="T2980" s="13">
        <f t="shared" ref="T2980:Y2980" si="3193">IF(ISBLANK(K2980)=TRUE,0,1)</f>
        <v>1</v>
      </c>
      <c r="U2980" s="13">
        <f t="shared" si="3193"/>
        <v>1</v>
      </c>
      <c r="V2980" s="13">
        <f t="shared" si="3193"/>
        <v>0</v>
      </c>
      <c r="W2980" s="13">
        <f t="shared" si="3193"/>
        <v>0</v>
      </c>
      <c r="X2980" s="13">
        <f t="shared" si="3193"/>
        <v>0</v>
      </c>
      <c r="Y2980" s="13">
        <f t="shared" si="3193"/>
        <v>0</v>
      </c>
      <c r="Z2980" s="13">
        <f t="shared" si="3023"/>
        <v>1</v>
      </c>
      <c r="AA2980" s="13"/>
      <c r="AB2980" s="13"/>
      <c r="AC2980" s="13"/>
      <c r="AD2980" s="13"/>
      <c r="AE2980" s="13"/>
      <c r="AF2980" s="13"/>
      <c r="AG2980" s="13"/>
      <c r="AH2980" s="13"/>
      <c r="AI2980" s="13"/>
      <c r="AJ2980" s="13"/>
      <c r="AK2980" s="13"/>
      <c r="AL2980" s="13"/>
      <c r="AM2980" s="13"/>
      <c r="AN2980" s="13"/>
      <c r="AO2980" s="13"/>
      <c r="AP2980" s="13"/>
      <c r="AQ2980" s="13"/>
      <c r="AR2980" s="13"/>
      <c r="AS2980" s="13"/>
    </row>
    <row r="2981" ht="14.25" customHeight="1">
      <c r="A2981" s="13" t="s">
        <v>36</v>
      </c>
      <c r="B2981" s="13" t="s">
        <v>39</v>
      </c>
      <c r="C2981" s="13" t="s">
        <v>1738</v>
      </c>
      <c r="D2981" s="13" t="s">
        <v>172</v>
      </c>
      <c r="F2981" s="13"/>
      <c r="G2981" s="13" t="s">
        <v>111</v>
      </c>
      <c r="H2981" s="13" t="s">
        <v>75</v>
      </c>
      <c r="I2981" s="13"/>
      <c r="J2981" s="13"/>
      <c r="K2981" s="15">
        <v>0.0</v>
      </c>
      <c r="L2981" s="15">
        <v>0.0</v>
      </c>
      <c r="M2981" s="16"/>
      <c r="N2981" s="16"/>
      <c r="O2981" s="17"/>
      <c r="P2981" s="17"/>
      <c r="Q2981" s="13">
        <f t="shared" si="3171"/>
        <v>2</v>
      </c>
      <c r="R2981" s="13"/>
      <c r="S2981" s="13"/>
      <c r="T2981" s="13">
        <f t="shared" ref="T2981:Y2981" si="3194">IF(ISBLANK(K2981)=TRUE,0,1)</f>
        <v>1</v>
      </c>
      <c r="U2981" s="13">
        <f t="shared" si="3194"/>
        <v>1</v>
      </c>
      <c r="V2981" s="13">
        <f t="shared" si="3194"/>
        <v>0</v>
      </c>
      <c r="W2981" s="13">
        <f t="shared" si="3194"/>
        <v>0</v>
      </c>
      <c r="X2981" s="13">
        <f t="shared" si="3194"/>
        <v>0</v>
      </c>
      <c r="Y2981" s="13">
        <f t="shared" si="3194"/>
        <v>0</v>
      </c>
      <c r="Z2981" s="13">
        <f t="shared" si="3023"/>
        <v>0</v>
      </c>
      <c r="AA2981" s="13"/>
      <c r="AB2981" s="13"/>
      <c r="AC2981" s="13"/>
      <c r="AD2981" s="13"/>
      <c r="AE2981" s="13"/>
      <c r="AF2981" s="13"/>
      <c r="AG2981" s="13"/>
      <c r="AH2981" s="13"/>
      <c r="AI2981" s="13"/>
      <c r="AJ2981" s="13"/>
      <c r="AK2981" s="13"/>
      <c r="AL2981" s="13"/>
      <c r="AM2981" s="13"/>
      <c r="AN2981" s="13"/>
      <c r="AO2981" s="13"/>
      <c r="AP2981" s="13"/>
      <c r="AQ2981" s="13"/>
      <c r="AR2981" s="13"/>
      <c r="AS2981" s="13"/>
    </row>
    <row r="2982" ht="14.25" customHeight="1">
      <c r="A2982" s="13" t="s">
        <v>36</v>
      </c>
      <c r="B2982" s="13" t="s">
        <v>37</v>
      </c>
      <c r="C2982" s="13" t="s">
        <v>1859</v>
      </c>
      <c r="D2982" s="13" t="s">
        <v>184</v>
      </c>
      <c r="F2982" s="13"/>
      <c r="G2982" s="13" t="s">
        <v>74</v>
      </c>
      <c r="H2982" s="13" t="s">
        <v>75</v>
      </c>
      <c r="I2982" s="13"/>
      <c r="J2982" s="13"/>
      <c r="K2982" s="15">
        <v>1.0</v>
      </c>
      <c r="L2982" s="15">
        <v>1.0</v>
      </c>
      <c r="M2982" s="16"/>
      <c r="N2982" s="16"/>
      <c r="O2982" s="17"/>
      <c r="P2982" s="17"/>
      <c r="Q2982" s="13">
        <f t="shared" si="3171"/>
        <v>0</v>
      </c>
      <c r="R2982" s="13"/>
      <c r="S2982" s="13"/>
      <c r="T2982" s="13">
        <f t="shared" ref="T2982:Y2982" si="3195">IF(ISBLANK(K2982)=TRUE,0,1)</f>
        <v>1</v>
      </c>
      <c r="U2982" s="13">
        <f t="shared" si="3195"/>
        <v>1</v>
      </c>
      <c r="V2982" s="13">
        <f t="shared" si="3195"/>
        <v>0</v>
      </c>
      <c r="W2982" s="13">
        <f t="shared" si="3195"/>
        <v>0</v>
      </c>
      <c r="X2982" s="13">
        <f t="shared" si="3195"/>
        <v>0</v>
      </c>
      <c r="Y2982" s="13">
        <f t="shared" si="3195"/>
        <v>0</v>
      </c>
      <c r="Z2982" s="13">
        <f t="shared" si="3023"/>
        <v>1</v>
      </c>
      <c r="AA2982" s="13"/>
      <c r="AB2982" s="13"/>
      <c r="AC2982" s="13"/>
      <c r="AD2982" s="13"/>
      <c r="AE2982" s="13"/>
      <c r="AF2982" s="13"/>
      <c r="AG2982" s="13"/>
      <c r="AH2982" s="13"/>
      <c r="AI2982" s="13"/>
      <c r="AJ2982" s="13"/>
      <c r="AK2982" s="13"/>
      <c r="AL2982" s="13"/>
      <c r="AM2982" s="13"/>
      <c r="AN2982" s="13"/>
      <c r="AO2982" s="13"/>
      <c r="AP2982" s="13"/>
      <c r="AQ2982" s="13"/>
      <c r="AR2982" s="13"/>
      <c r="AS2982" s="13"/>
    </row>
    <row r="2983" ht="14.25" customHeight="1">
      <c r="A2983" s="13" t="s">
        <v>46</v>
      </c>
      <c r="B2983" s="13" t="s">
        <v>51</v>
      </c>
      <c r="C2983" s="13" t="s">
        <v>1057</v>
      </c>
      <c r="D2983" s="13"/>
      <c r="E2983" s="13"/>
      <c r="F2983" s="13"/>
      <c r="G2983" s="13" t="s">
        <v>74</v>
      </c>
      <c r="H2983" s="13" t="s">
        <v>75</v>
      </c>
      <c r="I2983" s="14">
        <v>44908.0</v>
      </c>
      <c r="J2983" s="14"/>
      <c r="K2983" s="15">
        <v>0.0</v>
      </c>
      <c r="L2983" s="15">
        <v>0.0</v>
      </c>
      <c r="M2983" s="16"/>
      <c r="N2983" s="16"/>
      <c r="O2983" s="17">
        <v>0.0</v>
      </c>
      <c r="P2983" s="17">
        <v>0.0</v>
      </c>
      <c r="Q2983" s="13">
        <f t="shared" ref="Q2983:Q2985" si="3197">K2981+L2981+M2981+N2981+O2981+P2981/6</f>
        <v>0</v>
      </c>
      <c r="R2983" s="14">
        <v>44966.0</v>
      </c>
      <c r="S2983" s="13"/>
      <c r="T2983" s="13">
        <f t="shared" ref="T2983:Y2983" si="3196">IF(ISBLANK(K2983)=TRUE,0,1)</f>
        <v>1</v>
      </c>
      <c r="U2983" s="13">
        <f t="shared" si="3196"/>
        <v>1</v>
      </c>
      <c r="V2983" s="13">
        <f t="shared" si="3196"/>
        <v>0</v>
      </c>
      <c r="W2983" s="13">
        <f t="shared" si="3196"/>
        <v>0</v>
      </c>
      <c r="X2983" s="13">
        <f t="shared" si="3196"/>
        <v>1</v>
      </c>
      <c r="Y2983" s="13">
        <f t="shared" si="3196"/>
        <v>1</v>
      </c>
      <c r="Z2983" s="13">
        <f t="shared" si="3023"/>
        <v>0</v>
      </c>
      <c r="AA2983" s="13"/>
      <c r="AB2983" s="13"/>
      <c r="AC2983" s="13"/>
      <c r="AD2983" s="13"/>
      <c r="AE2983" s="13"/>
      <c r="AF2983" s="13"/>
      <c r="AG2983" s="13"/>
      <c r="AH2983" s="13"/>
      <c r="AI2983" s="13"/>
      <c r="AJ2983" s="13"/>
      <c r="AK2983" s="13"/>
      <c r="AL2983" s="13"/>
      <c r="AM2983" s="13"/>
      <c r="AN2983" s="13"/>
      <c r="AO2983" s="13"/>
      <c r="AP2983" s="13"/>
      <c r="AQ2983" s="13"/>
      <c r="AR2983" s="13"/>
      <c r="AS2983" s="13"/>
    </row>
    <row r="2984" ht="14.25" customHeight="1">
      <c r="A2984" s="13" t="s">
        <v>46</v>
      </c>
      <c r="B2984" s="13" t="s">
        <v>51</v>
      </c>
      <c r="C2984" s="13" t="s">
        <v>1058</v>
      </c>
      <c r="D2984" s="13"/>
      <c r="E2984" s="13"/>
      <c r="F2984" s="13"/>
      <c r="G2984" s="13" t="s">
        <v>74</v>
      </c>
      <c r="H2984" s="13" t="s">
        <v>75</v>
      </c>
      <c r="I2984" s="14">
        <v>44908.0</v>
      </c>
      <c r="J2984" s="14"/>
      <c r="K2984" s="15">
        <v>0.0</v>
      </c>
      <c r="L2984" s="15">
        <v>0.0</v>
      </c>
      <c r="M2984" s="16"/>
      <c r="N2984" s="16"/>
      <c r="O2984" s="17">
        <v>0.0</v>
      </c>
      <c r="P2984" s="17">
        <v>0.0</v>
      </c>
      <c r="Q2984" s="13">
        <f t="shared" si="3197"/>
        <v>2</v>
      </c>
      <c r="R2984" s="14">
        <v>44966.0</v>
      </c>
      <c r="S2984" s="13"/>
      <c r="T2984" s="13">
        <f t="shared" ref="T2984:Y2984" si="3198">IF(ISBLANK(K2984)=TRUE,0,1)</f>
        <v>1</v>
      </c>
      <c r="U2984" s="13">
        <f t="shared" si="3198"/>
        <v>1</v>
      </c>
      <c r="V2984" s="13">
        <f t="shared" si="3198"/>
        <v>0</v>
      </c>
      <c r="W2984" s="13">
        <f t="shared" si="3198"/>
        <v>0</v>
      </c>
      <c r="X2984" s="13">
        <f t="shared" si="3198"/>
        <v>1</v>
      </c>
      <c r="Y2984" s="13">
        <f t="shared" si="3198"/>
        <v>1</v>
      </c>
      <c r="Z2984" s="13">
        <f t="shared" si="3023"/>
        <v>0</v>
      </c>
      <c r="AA2984" s="13"/>
      <c r="AB2984" s="13"/>
      <c r="AC2984" s="13"/>
      <c r="AD2984" s="13"/>
      <c r="AE2984" s="13"/>
      <c r="AF2984" s="13"/>
      <c r="AG2984" s="13"/>
      <c r="AH2984" s="13"/>
      <c r="AI2984" s="13"/>
      <c r="AJ2984" s="13"/>
      <c r="AK2984" s="13"/>
      <c r="AL2984" s="13"/>
      <c r="AM2984" s="13"/>
      <c r="AN2984" s="13"/>
      <c r="AO2984" s="13"/>
      <c r="AP2984" s="13"/>
      <c r="AQ2984" s="13"/>
      <c r="AR2984" s="13"/>
      <c r="AS2984" s="13"/>
    </row>
    <row r="2985" ht="14.25" customHeight="1">
      <c r="A2985" s="13" t="s">
        <v>46</v>
      </c>
      <c r="B2985" s="13" t="s">
        <v>51</v>
      </c>
      <c r="C2985" s="13" t="s">
        <v>1870</v>
      </c>
      <c r="D2985" s="13"/>
      <c r="E2985" s="13"/>
      <c r="F2985" s="13"/>
      <c r="G2985" s="13" t="s">
        <v>74</v>
      </c>
      <c r="H2985" s="13" t="s">
        <v>75</v>
      </c>
      <c r="I2985" s="14">
        <v>44908.0</v>
      </c>
      <c r="J2985" s="14"/>
      <c r="K2985" s="15">
        <v>0.0</v>
      </c>
      <c r="L2985" s="15">
        <v>0.0</v>
      </c>
      <c r="M2985" s="16"/>
      <c r="N2985" s="16"/>
      <c r="O2985" s="17">
        <v>0.0</v>
      </c>
      <c r="P2985" s="17">
        <v>0.0</v>
      </c>
      <c r="Q2985" s="13">
        <f t="shared" si="3197"/>
        <v>0</v>
      </c>
      <c r="R2985" s="14">
        <v>44966.0</v>
      </c>
      <c r="S2985" s="13"/>
      <c r="T2985" s="13">
        <f t="shared" ref="T2985:Y2985" si="3199">IF(ISBLANK(K2985)=TRUE,0,1)</f>
        <v>1</v>
      </c>
      <c r="U2985" s="13">
        <f t="shared" si="3199"/>
        <v>1</v>
      </c>
      <c r="V2985" s="13">
        <f t="shared" si="3199"/>
        <v>0</v>
      </c>
      <c r="W2985" s="13">
        <f t="shared" si="3199"/>
        <v>0</v>
      </c>
      <c r="X2985" s="13">
        <f t="shared" si="3199"/>
        <v>1</v>
      </c>
      <c r="Y2985" s="13">
        <f t="shared" si="3199"/>
        <v>1</v>
      </c>
      <c r="Z2985" s="13">
        <f t="shared" si="3023"/>
        <v>0</v>
      </c>
      <c r="AA2985" s="13"/>
      <c r="AB2985" s="13"/>
      <c r="AC2985" s="13"/>
      <c r="AD2985" s="13"/>
      <c r="AE2985" s="13"/>
      <c r="AF2985" s="13"/>
      <c r="AG2985" s="13"/>
      <c r="AH2985" s="13"/>
      <c r="AI2985" s="13"/>
      <c r="AJ2985" s="13"/>
      <c r="AK2985" s="13"/>
      <c r="AL2985" s="13"/>
      <c r="AM2985" s="13"/>
      <c r="AN2985" s="13"/>
      <c r="AO2985" s="13"/>
      <c r="AP2985" s="13"/>
      <c r="AQ2985" s="13"/>
      <c r="AR2985" s="13"/>
      <c r="AS2985" s="13"/>
    </row>
    <row r="2986" ht="14.25" customHeight="1">
      <c r="A2986" s="13" t="s">
        <v>46</v>
      </c>
      <c r="B2986" s="13" t="s">
        <v>51</v>
      </c>
      <c r="C2986" s="13" t="s">
        <v>1870</v>
      </c>
      <c r="D2986" s="34" t="s">
        <v>174</v>
      </c>
      <c r="E2986" s="13"/>
      <c r="F2986" s="13"/>
      <c r="G2986" s="13" t="s">
        <v>74</v>
      </c>
      <c r="H2986" s="13" t="s">
        <v>75</v>
      </c>
      <c r="I2986" s="14"/>
      <c r="J2986" s="14"/>
      <c r="K2986" s="15">
        <v>0.0</v>
      </c>
      <c r="L2986" s="15">
        <v>0.0</v>
      </c>
      <c r="M2986" s="16"/>
      <c r="N2986" s="16"/>
      <c r="O2986" s="17"/>
      <c r="P2986" s="17"/>
      <c r="Q2986" s="13"/>
      <c r="R2986" s="14"/>
      <c r="S2986" s="13"/>
      <c r="T2986" s="13">
        <f t="shared" ref="T2986:Y2986" si="3200">IF(ISBLANK(K2986)=TRUE,0,1)</f>
        <v>1</v>
      </c>
      <c r="U2986" s="13">
        <f t="shared" si="3200"/>
        <v>1</v>
      </c>
      <c r="V2986" s="13">
        <f t="shared" si="3200"/>
        <v>0</v>
      </c>
      <c r="W2986" s="13">
        <f t="shared" si="3200"/>
        <v>0</v>
      </c>
      <c r="X2986" s="13">
        <f t="shared" si="3200"/>
        <v>0</v>
      </c>
      <c r="Y2986" s="13">
        <f t="shared" si="3200"/>
        <v>0</v>
      </c>
      <c r="Z2986" s="13">
        <f t="shared" si="3023"/>
        <v>0</v>
      </c>
      <c r="AA2986" s="13"/>
      <c r="AB2986" s="13"/>
      <c r="AC2986" s="13"/>
      <c r="AD2986" s="13"/>
      <c r="AE2986" s="13"/>
      <c r="AF2986" s="13"/>
      <c r="AG2986" s="13"/>
      <c r="AH2986" s="13"/>
      <c r="AI2986" s="13"/>
      <c r="AJ2986" s="13"/>
      <c r="AK2986" s="13"/>
      <c r="AL2986" s="13"/>
      <c r="AM2986" s="13"/>
      <c r="AN2986" s="13"/>
      <c r="AO2986" s="13"/>
      <c r="AP2986" s="13"/>
      <c r="AQ2986" s="13"/>
      <c r="AR2986" s="13"/>
      <c r="AS2986" s="13"/>
    </row>
    <row r="2987" ht="14.25" customHeight="1">
      <c r="A2987" s="13" t="s">
        <v>46</v>
      </c>
      <c r="B2987" s="13" t="s">
        <v>51</v>
      </c>
      <c r="C2987" s="13" t="s">
        <v>1059</v>
      </c>
      <c r="D2987" s="13"/>
      <c r="E2987" s="13"/>
      <c r="F2987" s="13"/>
      <c r="G2987" s="13" t="s">
        <v>74</v>
      </c>
      <c r="H2987" s="13" t="s">
        <v>75</v>
      </c>
      <c r="I2987" s="14">
        <v>44908.0</v>
      </c>
      <c r="J2987" s="14"/>
      <c r="K2987" s="15">
        <v>0.0</v>
      </c>
      <c r="L2987" s="15">
        <v>0.0</v>
      </c>
      <c r="M2987" s="16"/>
      <c r="N2987" s="16"/>
      <c r="O2987" s="17">
        <v>0.0</v>
      </c>
      <c r="P2987" s="17">
        <v>0.0</v>
      </c>
      <c r="Q2987" s="13">
        <f>K2985+L2985+M2985+N2985+O2985+P2985/6</f>
        <v>0</v>
      </c>
      <c r="R2987" s="14">
        <v>44966.0</v>
      </c>
      <c r="S2987" s="13"/>
      <c r="T2987" s="13">
        <f t="shared" ref="T2987:Y2987" si="3201">IF(ISBLANK(K2987)=TRUE,0,1)</f>
        <v>1</v>
      </c>
      <c r="U2987" s="13">
        <f t="shared" si="3201"/>
        <v>1</v>
      </c>
      <c r="V2987" s="13">
        <f t="shared" si="3201"/>
        <v>0</v>
      </c>
      <c r="W2987" s="13">
        <f t="shared" si="3201"/>
        <v>0</v>
      </c>
      <c r="X2987" s="13">
        <f t="shared" si="3201"/>
        <v>1</v>
      </c>
      <c r="Y2987" s="13">
        <f t="shared" si="3201"/>
        <v>1</v>
      </c>
      <c r="Z2987" s="13">
        <f t="shared" si="3023"/>
        <v>0</v>
      </c>
      <c r="AA2987" s="13" t="s">
        <v>819</v>
      </c>
      <c r="AB2987" s="13"/>
      <c r="AC2987" s="13"/>
      <c r="AD2987" s="13"/>
      <c r="AE2987" s="13"/>
      <c r="AF2987" s="13"/>
      <c r="AG2987" s="13"/>
      <c r="AH2987" s="13"/>
      <c r="AI2987" s="13"/>
      <c r="AJ2987" s="13"/>
      <c r="AK2987" s="13"/>
      <c r="AL2987" s="13"/>
      <c r="AM2987" s="13"/>
      <c r="AN2987" s="13"/>
      <c r="AO2987" s="13"/>
      <c r="AP2987" s="13"/>
      <c r="AQ2987" s="13"/>
      <c r="AR2987" s="13"/>
      <c r="AS2987" s="13"/>
    </row>
    <row r="2988" ht="14.25" customHeight="1">
      <c r="A2988" s="13" t="s">
        <v>46</v>
      </c>
      <c r="B2988" s="13" t="s">
        <v>51</v>
      </c>
      <c r="C2988" s="13" t="s">
        <v>1060</v>
      </c>
      <c r="D2988" s="13"/>
      <c r="E2988" s="13"/>
      <c r="F2988" s="13"/>
      <c r="G2988" s="13" t="s">
        <v>74</v>
      </c>
      <c r="H2988" s="13" t="s">
        <v>75</v>
      </c>
      <c r="I2988" s="14">
        <v>44908.0</v>
      </c>
      <c r="J2988" s="14"/>
      <c r="K2988" s="15">
        <v>0.0</v>
      </c>
      <c r="L2988" s="15">
        <v>0.0</v>
      </c>
      <c r="M2988" s="16"/>
      <c r="N2988" s="16"/>
      <c r="O2988" s="17">
        <v>0.0</v>
      </c>
      <c r="P2988" s="17">
        <v>0.0</v>
      </c>
      <c r="Q2988" s="13">
        <f>K2984+L2984+M2984+N2984+O2984+P2984/6</f>
        <v>0</v>
      </c>
      <c r="R2988" s="14">
        <v>44966.0</v>
      </c>
      <c r="S2988" s="13"/>
      <c r="T2988" s="13">
        <f t="shared" ref="T2988:Y2988" si="3202">IF(ISBLANK(K2988)=TRUE,0,1)</f>
        <v>1</v>
      </c>
      <c r="U2988" s="13">
        <f t="shared" si="3202"/>
        <v>1</v>
      </c>
      <c r="V2988" s="13">
        <f t="shared" si="3202"/>
        <v>0</v>
      </c>
      <c r="W2988" s="13">
        <f t="shared" si="3202"/>
        <v>0</v>
      </c>
      <c r="X2988" s="13">
        <f t="shared" si="3202"/>
        <v>1</v>
      </c>
      <c r="Y2988" s="13">
        <f t="shared" si="3202"/>
        <v>1</v>
      </c>
      <c r="Z2988" s="13">
        <f t="shared" si="3023"/>
        <v>0</v>
      </c>
      <c r="AA2988" s="13" t="s">
        <v>874</v>
      </c>
      <c r="AB2988" s="13"/>
      <c r="AC2988" s="13"/>
      <c r="AD2988" s="13"/>
      <c r="AE2988" s="13"/>
      <c r="AF2988" s="13"/>
      <c r="AG2988" s="13"/>
      <c r="AH2988" s="13"/>
      <c r="AI2988" s="13"/>
      <c r="AJ2988" s="13"/>
      <c r="AK2988" s="13"/>
      <c r="AL2988" s="13"/>
      <c r="AM2988" s="13"/>
      <c r="AN2988" s="13"/>
      <c r="AO2988" s="13"/>
      <c r="AP2988" s="13"/>
      <c r="AQ2988" s="13"/>
      <c r="AR2988" s="13"/>
      <c r="AS2988" s="13"/>
    </row>
    <row r="2989" ht="14.25" customHeight="1">
      <c r="A2989" s="13" t="s">
        <v>46</v>
      </c>
      <c r="B2989" s="13" t="s">
        <v>51</v>
      </c>
      <c r="C2989" s="13" t="s">
        <v>1871</v>
      </c>
      <c r="D2989" s="13"/>
      <c r="E2989" s="13"/>
      <c r="F2989" s="13"/>
      <c r="G2989" s="13" t="s">
        <v>74</v>
      </c>
      <c r="H2989" s="13" t="s">
        <v>75</v>
      </c>
      <c r="I2989" s="14">
        <v>44908.0</v>
      </c>
      <c r="J2989" s="14"/>
      <c r="K2989" s="15">
        <v>0.0</v>
      </c>
      <c r="L2989" s="15">
        <v>0.0</v>
      </c>
      <c r="M2989" s="16"/>
      <c r="N2989" s="16"/>
      <c r="O2989" s="17">
        <v>0.0</v>
      </c>
      <c r="P2989" s="17">
        <v>0.0</v>
      </c>
      <c r="Q2989" s="13">
        <f>K2987+L2987+M2987+N2987+O2987+P2987/6</f>
        <v>0</v>
      </c>
      <c r="R2989" s="14">
        <v>44966.0</v>
      </c>
      <c r="S2989" s="13"/>
      <c r="T2989" s="13">
        <f t="shared" ref="T2989:Y2989" si="3203">IF(ISBLANK(K2989)=TRUE,0,1)</f>
        <v>1</v>
      </c>
      <c r="U2989" s="13">
        <f t="shared" si="3203"/>
        <v>1</v>
      </c>
      <c r="V2989" s="13">
        <f t="shared" si="3203"/>
        <v>0</v>
      </c>
      <c r="W2989" s="13">
        <f t="shared" si="3203"/>
        <v>0</v>
      </c>
      <c r="X2989" s="13">
        <f t="shared" si="3203"/>
        <v>1</v>
      </c>
      <c r="Y2989" s="13">
        <f t="shared" si="3203"/>
        <v>1</v>
      </c>
      <c r="Z2989" s="13">
        <f t="shared" si="3023"/>
        <v>0</v>
      </c>
      <c r="AA2989" s="13" t="s">
        <v>1071</v>
      </c>
      <c r="AB2989" s="13"/>
      <c r="AC2989" s="13"/>
      <c r="AD2989" s="13"/>
      <c r="AE2989" s="13"/>
      <c r="AF2989" s="13"/>
      <c r="AG2989" s="13"/>
      <c r="AH2989" s="13"/>
      <c r="AI2989" s="13"/>
      <c r="AJ2989" s="13"/>
      <c r="AK2989" s="13"/>
      <c r="AL2989" s="13"/>
      <c r="AM2989" s="13"/>
      <c r="AN2989" s="13"/>
      <c r="AO2989" s="13"/>
      <c r="AP2989" s="13"/>
      <c r="AQ2989" s="13"/>
      <c r="AR2989" s="13"/>
      <c r="AS2989" s="13"/>
    </row>
    <row r="2990" ht="14.25" customHeight="1">
      <c r="A2990" s="13" t="s">
        <v>46</v>
      </c>
      <c r="B2990" s="13" t="s">
        <v>51</v>
      </c>
      <c r="C2990" s="13" t="s">
        <v>1061</v>
      </c>
      <c r="D2990" s="13"/>
      <c r="E2990" s="13"/>
      <c r="F2990" s="13"/>
      <c r="G2990" s="13" t="s">
        <v>74</v>
      </c>
      <c r="H2990" s="13" t="s">
        <v>75</v>
      </c>
      <c r="I2990" s="14">
        <v>44908.0</v>
      </c>
      <c r="J2990" s="14"/>
      <c r="K2990" s="15">
        <v>0.0</v>
      </c>
      <c r="L2990" s="15">
        <v>0.0</v>
      </c>
      <c r="M2990" s="16"/>
      <c r="N2990" s="16"/>
      <c r="O2990" s="17">
        <v>0.0</v>
      </c>
      <c r="P2990" s="17">
        <v>0.0</v>
      </c>
      <c r="Q2990" s="13">
        <f>K2989+L2989+M2989+N2989+O2989+P2989/6</f>
        <v>0</v>
      </c>
      <c r="R2990" s="14">
        <v>44966.0</v>
      </c>
      <c r="S2990" s="13"/>
      <c r="T2990" s="13">
        <f t="shared" ref="T2990:Y2990" si="3204">IF(ISBLANK(K2990)=TRUE,0,1)</f>
        <v>1</v>
      </c>
      <c r="U2990" s="13">
        <f t="shared" si="3204"/>
        <v>1</v>
      </c>
      <c r="V2990" s="13">
        <f t="shared" si="3204"/>
        <v>0</v>
      </c>
      <c r="W2990" s="13">
        <f t="shared" si="3204"/>
        <v>0</v>
      </c>
      <c r="X2990" s="13">
        <f t="shared" si="3204"/>
        <v>1</v>
      </c>
      <c r="Y2990" s="13">
        <f t="shared" si="3204"/>
        <v>1</v>
      </c>
      <c r="Z2990" s="13">
        <f t="shared" si="3023"/>
        <v>0</v>
      </c>
      <c r="AA2990" s="13"/>
      <c r="AB2990" s="13"/>
      <c r="AC2990" s="13"/>
      <c r="AD2990" s="13"/>
      <c r="AE2990" s="13"/>
      <c r="AF2990" s="13"/>
      <c r="AG2990" s="13"/>
      <c r="AH2990" s="13"/>
      <c r="AI2990" s="13"/>
      <c r="AJ2990" s="13"/>
      <c r="AK2990" s="13"/>
      <c r="AL2990" s="13"/>
      <c r="AM2990" s="13"/>
      <c r="AN2990" s="13"/>
      <c r="AO2990" s="13"/>
      <c r="AP2990" s="13"/>
      <c r="AQ2990" s="13"/>
      <c r="AR2990" s="13"/>
      <c r="AS2990" s="13"/>
    </row>
    <row r="2991" ht="14.25" customHeight="1">
      <c r="A2991" s="13" t="s">
        <v>46</v>
      </c>
      <c r="B2991" s="13" t="s">
        <v>51</v>
      </c>
      <c r="C2991" s="13" t="s">
        <v>1062</v>
      </c>
      <c r="D2991" s="13"/>
      <c r="E2991" s="13"/>
      <c r="F2991" s="13"/>
      <c r="G2991" s="13" t="s">
        <v>74</v>
      </c>
      <c r="H2991" s="13" t="s">
        <v>75</v>
      </c>
      <c r="I2991" s="14">
        <v>44908.0</v>
      </c>
      <c r="J2991" s="14"/>
      <c r="K2991" s="15">
        <v>0.0</v>
      </c>
      <c r="L2991" s="15">
        <v>0.0</v>
      </c>
      <c r="M2991" s="16"/>
      <c r="N2991" s="16"/>
      <c r="O2991" s="17">
        <v>0.0</v>
      </c>
      <c r="P2991" s="17">
        <v>0.0</v>
      </c>
      <c r="Q2991" s="13">
        <f t="shared" ref="Q2991:Q2994" si="3206">K2989+L2989+M2989+N2989+O2989+P2989/6</f>
        <v>0</v>
      </c>
      <c r="R2991" s="14">
        <v>44966.0</v>
      </c>
      <c r="S2991" s="13"/>
      <c r="T2991" s="13">
        <f t="shared" ref="T2991:Y2991" si="3205">IF(ISBLANK(K2991)=TRUE,0,1)</f>
        <v>1</v>
      </c>
      <c r="U2991" s="13">
        <f t="shared" si="3205"/>
        <v>1</v>
      </c>
      <c r="V2991" s="13">
        <f t="shared" si="3205"/>
        <v>0</v>
      </c>
      <c r="W2991" s="13">
        <f t="shared" si="3205"/>
        <v>0</v>
      </c>
      <c r="X2991" s="13">
        <f t="shared" si="3205"/>
        <v>1</v>
      </c>
      <c r="Y2991" s="13">
        <f t="shared" si="3205"/>
        <v>1</v>
      </c>
      <c r="Z2991" s="13">
        <f t="shared" si="3023"/>
        <v>0</v>
      </c>
      <c r="AA2991" s="13"/>
      <c r="AB2991" s="13"/>
      <c r="AC2991" s="13"/>
      <c r="AD2991" s="13"/>
      <c r="AE2991" s="13"/>
      <c r="AF2991" s="13"/>
      <c r="AG2991" s="13"/>
      <c r="AH2991" s="13"/>
      <c r="AI2991" s="13"/>
      <c r="AJ2991" s="13"/>
      <c r="AK2991" s="13"/>
      <c r="AL2991" s="13"/>
      <c r="AM2991" s="13"/>
      <c r="AN2991" s="13"/>
      <c r="AO2991" s="13"/>
      <c r="AP2991" s="13"/>
      <c r="AQ2991" s="13"/>
      <c r="AR2991" s="13"/>
      <c r="AS2991" s="13"/>
    </row>
    <row r="2992" ht="14.25" customHeight="1">
      <c r="A2992" s="13" t="s">
        <v>46</v>
      </c>
      <c r="B2992" s="13" t="s">
        <v>51</v>
      </c>
      <c r="C2992" s="13" t="s">
        <v>1063</v>
      </c>
      <c r="D2992" s="13"/>
      <c r="E2992" s="13"/>
      <c r="F2992" s="13"/>
      <c r="G2992" s="13" t="s">
        <v>74</v>
      </c>
      <c r="H2992" s="13" t="s">
        <v>75</v>
      </c>
      <c r="I2992" s="14">
        <v>44908.0</v>
      </c>
      <c r="J2992" s="14"/>
      <c r="K2992" s="15"/>
      <c r="L2992" s="15"/>
      <c r="M2992" s="16"/>
      <c r="N2992" s="16"/>
      <c r="O2992" s="17">
        <v>0.0</v>
      </c>
      <c r="P2992" s="17">
        <v>0.0</v>
      </c>
      <c r="Q2992" s="13">
        <f t="shared" si="3206"/>
        <v>0</v>
      </c>
      <c r="R2992" s="14">
        <v>44966.0</v>
      </c>
      <c r="S2992" s="13"/>
      <c r="T2992" s="13">
        <f t="shared" ref="T2992:Y2992" si="3207">IF(ISBLANK(K2992)=TRUE,0,1)</f>
        <v>0</v>
      </c>
      <c r="U2992" s="13">
        <f t="shared" si="3207"/>
        <v>0</v>
      </c>
      <c r="V2992" s="13">
        <f t="shared" si="3207"/>
        <v>0</v>
      </c>
      <c r="W2992" s="13">
        <f t="shared" si="3207"/>
        <v>0</v>
      </c>
      <c r="X2992" s="13">
        <f t="shared" si="3207"/>
        <v>1</v>
      </c>
      <c r="Y2992" s="13">
        <f t="shared" si="3207"/>
        <v>1</v>
      </c>
      <c r="Z2992" s="13">
        <f t="shared" si="3023"/>
        <v>0</v>
      </c>
      <c r="AA2992" s="13"/>
      <c r="AB2992" s="13"/>
      <c r="AC2992" s="13"/>
      <c r="AD2992" s="13"/>
      <c r="AE2992" s="13"/>
      <c r="AF2992" s="13"/>
      <c r="AG2992" s="13"/>
      <c r="AH2992" s="13"/>
      <c r="AI2992" s="13"/>
      <c r="AJ2992" s="13"/>
      <c r="AK2992" s="13"/>
      <c r="AL2992" s="13"/>
      <c r="AM2992" s="13"/>
      <c r="AN2992" s="13"/>
      <c r="AO2992" s="13"/>
      <c r="AP2992" s="13"/>
      <c r="AQ2992" s="13"/>
      <c r="AR2992" s="13"/>
      <c r="AS2992" s="13"/>
    </row>
    <row r="2993" ht="14.25" customHeight="1">
      <c r="A2993" s="13" t="s">
        <v>46</v>
      </c>
      <c r="B2993" s="13" t="s">
        <v>51</v>
      </c>
      <c r="C2993" s="13" t="s">
        <v>1064</v>
      </c>
      <c r="D2993" s="13"/>
      <c r="E2993" s="13"/>
      <c r="F2993" s="13"/>
      <c r="G2993" s="13" t="s">
        <v>74</v>
      </c>
      <c r="H2993" s="13" t="s">
        <v>75</v>
      </c>
      <c r="I2993" s="14">
        <v>44908.0</v>
      </c>
      <c r="J2993" s="14"/>
      <c r="K2993" s="15">
        <v>0.0</v>
      </c>
      <c r="L2993" s="15">
        <v>0.0</v>
      </c>
      <c r="M2993" s="16"/>
      <c r="N2993" s="16"/>
      <c r="O2993" s="17">
        <v>0.0</v>
      </c>
      <c r="P2993" s="17">
        <v>0.0</v>
      </c>
      <c r="Q2993" s="13">
        <f t="shared" si="3206"/>
        <v>0</v>
      </c>
      <c r="R2993" s="14">
        <v>44966.0</v>
      </c>
      <c r="S2993" s="13"/>
      <c r="T2993" s="13">
        <f t="shared" ref="T2993:Y2993" si="3208">IF(ISBLANK(K2993)=TRUE,0,1)</f>
        <v>1</v>
      </c>
      <c r="U2993" s="13">
        <f t="shared" si="3208"/>
        <v>1</v>
      </c>
      <c r="V2993" s="13">
        <f t="shared" si="3208"/>
        <v>0</v>
      </c>
      <c r="W2993" s="13">
        <f t="shared" si="3208"/>
        <v>0</v>
      </c>
      <c r="X2993" s="13">
        <f t="shared" si="3208"/>
        <v>1</v>
      </c>
      <c r="Y2993" s="13">
        <f t="shared" si="3208"/>
        <v>1</v>
      </c>
      <c r="Z2993" s="13">
        <f t="shared" si="3023"/>
        <v>0</v>
      </c>
      <c r="AA2993" s="13"/>
      <c r="AB2993" s="13"/>
      <c r="AC2993" s="13"/>
      <c r="AD2993" s="13"/>
      <c r="AE2993" s="13"/>
      <c r="AF2993" s="13"/>
      <c r="AG2993" s="13"/>
      <c r="AH2993" s="13"/>
      <c r="AI2993" s="13"/>
      <c r="AJ2993" s="13"/>
      <c r="AK2993" s="13"/>
      <c r="AL2993" s="13"/>
      <c r="AM2993" s="13"/>
      <c r="AN2993" s="13"/>
      <c r="AO2993" s="13"/>
      <c r="AP2993" s="13"/>
      <c r="AQ2993" s="13"/>
      <c r="AR2993" s="13"/>
      <c r="AS2993" s="13"/>
    </row>
    <row r="2994" ht="14.25" customHeight="1">
      <c r="A2994" s="13" t="s">
        <v>46</v>
      </c>
      <c r="B2994" s="13" t="s">
        <v>51</v>
      </c>
      <c r="C2994" s="13" t="s">
        <v>1065</v>
      </c>
      <c r="D2994" s="13"/>
      <c r="E2994" s="13"/>
      <c r="F2994" s="13"/>
      <c r="G2994" s="13" t="s">
        <v>74</v>
      </c>
      <c r="H2994" s="13" t="s">
        <v>75</v>
      </c>
      <c r="I2994" s="14">
        <v>44908.0</v>
      </c>
      <c r="J2994" s="14"/>
      <c r="K2994" s="15">
        <v>0.0</v>
      </c>
      <c r="L2994" s="15">
        <v>0.0</v>
      </c>
      <c r="M2994" s="16"/>
      <c r="N2994" s="16"/>
      <c r="O2994" s="17">
        <v>0.0</v>
      </c>
      <c r="P2994" s="17">
        <v>0.0</v>
      </c>
      <c r="Q2994" s="13">
        <f t="shared" si="3206"/>
        <v>0</v>
      </c>
      <c r="R2994" s="14">
        <v>44966.0</v>
      </c>
      <c r="S2994" s="13"/>
      <c r="T2994" s="13">
        <f t="shared" ref="T2994:Y2994" si="3209">IF(ISBLANK(K2994)=TRUE,0,1)</f>
        <v>1</v>
      </c>
      <c r="U2994" s="13">
        <f t="shared" si="3209"/>
        <v>1</v>
      </c>
      <c r="V2994" s="13">
        <f t="shared" si="3209"/>
        <v>0</v>
      </c>
      <c r="W2994" s="13">
        <f t="shared" si="3209"/>
        <v>0</v>
      </c>
      <c r="X2994" s="13">
        <f t="shared" si="3209"/>
        <v>1</v>
      </c>
      <c r="Y2994" s="13">
        <f t="shared" si="3209"/>
        <v>1</v>
      </c>
      <c r="Z2994" s="13">
        <f t="shared" si="3023"/>
        <v>0</v>
      </c>
      <c r="AA2994" s="13" t="s">
        <v>1071</v>
      </c>
      <c r="AB2994" s="13"/>
      <c r="AC2994" s="13"/>
      <c r="AD2994" s="13"/>
      <c r="AE2994" s="13"/>
      <c r="AF2994" s="13"/>
      <c r="AG2994" s="13"/>
      <c r="AH2994" s="13"/>
      <c r="AI2994" s="13"/>
      <c r="AJ2994" s="13"/>
      <c r="AK2994" s="13"/>
      <c r="AL2994" s="13"/>
      <c r="AM2994" s="13"/>
      <c r="AN2994" s="13"/>
      <c r="AO2994" s="13"/>
      <c r="AP2994" s="13"/>
      <c r="AQ2994" s="13"/>
      <c r="AR2994" s="13"/>
      <c r="AS2994" s="13"/>
    </row>
    <row r="2995" ht="14.25" customHeight="1">
      <c r="A2995" s="20" t="s">
        <v>36</v>
      </c>
      <c r="B2995" s="20" t="s">
        <v>39</v>
      </c>
      <c r="C2995" s="20" t="s">
        <v>1872</v>
      </c>
      <c r="D2995" s="20" t="s">
        <v>174</v>
      </c>
      <c r="F2995" s="20"/>
      <c r="G2995" s="20" t="s">
        <v>111</v>
      </c>
      <c r="H2995" s="20" t="s">
        <v>75</v>
      </c>
      <c r="I2995" s="20"/>
      <c r="J2995" s="32"/>
      <c r="K2995" s="23">
        <v>0.0</v>
      </c>
      <c r="L2995" s="23">
        <v>0.0</v>
      </c>
      <c r="M2995" s="24"/>
      <c r="N2995" s="24"/>
      <c r="O2995" s="25"/>
      <c r="P2995" s="25"/>
      <c r="Q2995" s="20">
        <f>K2994+L2994+M2994+N2994+O2994+P2994/6</f>
        <v>0</v>
      </c>
      <c r="R2995" s="20"/>
      <c r="S2995" s="20"/>
      <c r="T2995" s="13">
        <f t="shared" ref="T2995:Y2995" si="3210">IF(ISBLANK(K2995)=TRUE,0,1)</f>
        <v>1</v>
      </c>
      <c r="U2995" s="13">
        <f t="shared" si="3210"/>
        <v>1</v>
      </c>
      <c r="V2995" s="13">
        <f t="shared" si="3210"/>
        <v>0</v>
      </c>
      <c r="W2995" s="13">
        <f t="shared" si="3210"/>
        <v>0</v>
      </c>
      <c r="X2995" s="13">
        <f t="shared" si="3210"/>
        <v>0</v>
      </c>
      <c r="Y2995" s="13">
        <f t="shared" si="3210"/>
        <v>0</v>
      </c>
      <c r="Z2995" s="13">
        <f t="shared" si="3023"/>
        <v>0</v>
      </c>
      <c r="AA2995" s="20"/>
      <c r="AB2995" s="20"/>
      <c r="AC2995" s="13"/>
      <c r="AD2995" s="13"/>
      <c r="AE2995" s="13"/>
      <c r="AF2995" s="13"/>
      <c r="AG2995" s="13"/>
      <c r="AH2995" s="13"/>
      <c r="AI2995" s="13"/>
      <c r="AJ2995" s="13"/>
      <c r="AK2995" s="13"/>
      <c r="AL2995" s="13"/>
      <c r="AM2995" s="13"/>
      <c r="AN2995" s="13"/>
      <c r="AO2995" s="13"/>
      <c r="AP2995" s="13"/>
      <c r="AQ2995" s="13"/>
      <c r="AR2995" s="13"/>
      <c r="AS2995" s="13"/>
    </row>
    <row r="2996" ht="14.25" customHeight="1">
      <c r="A2996" s="13" t="s">
        <v>46</v>
      </c>
      <c r="B2996" s="13" t="s">
        <v>51</v>
      </c>
      <c r="C2996" s="13" t="s">
        <v>1066</v>
      </c>
      <c r="D2996" s="13"/>
      <c r="E2996" s="13"/>
      <c r="F2996" s="13"/>
      <c r="G2996" s="13" t="s">
        <v>74</v>
      </c>
      <c r="H2996" s="13" t="s">
        <v>75</v>
      </c>
      <c r="I2996" s="14">
        <v>44908.0</v>
      </c>
      <c r="J2996" s="14"/>
      <c r="K2996" s="15">
        <v>0.0</v>
      </c>
      <c r="L2996" s="15">
        <v>0.0</v>
      </c>
      <c r="M2996" s="16"/>
      <c r="N2996" s="16"/>
      <c r="O2996" s="17">
        <v>0.0</v>
      </c>
      <c r="P2996" s="17">
        <v>0.0</v>
      </c>
      <c r="Q2996" s="13">
        <f>K2989+L2989+M2989+N2989+O2989+P2989/6</f>
        <v>0</v>
      </c>
      <c r="R2996" s="14">
        <v>44966.0</v>
      </c>
      <c r="S2996" s="13"/>
      <c r="T2996" s="13">
        <f t="shared" ref="T2996:Y2996" si="3211">IF(ISBLANK(K2996)=TRUE,0,1)</f>
        <v>1</v>
      </c>
      <c r="U2996" s="13">
        <f t="shared" si="3211"/>
        <v>1</v>
      </c>
      <c r="V2996" s="13">
        <f t="shared" si="3211"/>
        <v>0</v>
      </c>
      <c r="W2996" s="13">
        <f t="shared" si="3211"/>
        <v>0</v>
      </c>
      <c r="X2996" s="13">
        <f t="shared" si="3211"/>
        <v>1</v>
      </c>
      <c r="Y2996" s="13">
        <f t="shared" si="3211"/>
        <v>1</v>
      </c>
      <c r="Z2996" s="13">
        <f t="shared" si="3023"/>
        <v>0</v>
      </c>
      <c r="AA2996" s="13"/>
      <c r="AB2996" s="13"/>
      <c r="AC2996" s="13"/>
      <c r="AD2996" s="13"/>
      <c r="AE2996" s="13"/>
      <c r="AF2996" s="13"/>
      <c r="AG2996" s="13"/>
      <c r="AH2996" s="13"/>
      <c r="AI2996" s="13"/>
      <c r="AJ2996" s="13"/>
      <c r="AK2996" s="13"/>
      <c r="AL2996" s="13"/>
      <c r="AM2996" s="13"/>
      <c r="AN2996" s="13"/>
      <c r="AO2996" s="13"/>
      <c r="AP2996" s="13"/>
      <c r="AQ2996" s="13"/>
      <c r="AR2996" s="13"/>
      <c r="AS2996" s="13"/>
    </row>
    <row r="2997" ht="14.25" customHeight="1">
      <c r="A2997" s="13" t="s">
        <v>46</v>
      </c>
      <c r="B2997" s="13" t="s">
        <v>49</v>
      </c>
      <c r="C2997" s="13" t="s">
        <v>1255</v>
      </c>
      <c r="D2997" s="26" t="s">
        <v>179</v>
      </c>
      <c r="E2997" s="13"/>
      <c r="F2997" s="13"/>
      <c r="G2997" s="26" t="s">
        <v>74</v>
      </c>
      <c r="H2997" s="13" t="s">
        <v>107</v>
      </c>
      <c r="I2997" s="13"/>
      <c r="J2997" s="13"/>
      <c r="K2997" s="15">
        <v>1.0</v>
      </c>
      <c r="L2997" s="15">
        <v>1.0</v>
      </c>
      <c r="M2997" s="16"/>
      <c r="N2997" s="16"/>
      <c r="O2997" s="17"/>
      <c r="P2997" s="17"/>
      <c r="Q2997" s="13"/>
      <c r="R2997" s="13"/>
      <c r="S2997" s="13"/>
      <c r="T2997" s="13">
        <f t="shared" ref="T2997:Y2997" si="3212">IF(ISBLANK(K2997)=TRUE,0,1)</f>
        <v>1</v>
      </c>
      <c r="U2997" s="13">
        <f t="shared" si="3212"/>
        <v>1</v>
      </c>
      <c r="V2997" s="13">
        <f t="shared" si="3212"/>
        <v>0</v>
      </c>
      <c r="W2997" s="13">
        <f t="shared" si="3212"/>
        <v>0</v>
      </c>
      <c r="X2997" s="13">
        <f t="shared" si="3212"/>
        <v>0</v>
      </c>
      <c r="Y2997" s="13">
        <f t="shared" si="3212"/>
        <v>0</v>
      </c>
      <c r="Z2997" s="13">
        <f t="shared" si="3023"/>
        <v>1</v>
      </c>
      <c r="AA2997" s="13" t="s">
        <v>378</v>
      </c>
      <c r="AB2997" s="13"/>
      <c r="AC2997" s="13"/>
      <c r="AD2997" s="13"/>
      <c r="AE2997" s="13"/>
      <c r="AF2997" s="13"/>
      <c r="AG2997" s="13"/>
      <c r="AH2997" s="13"/>
      <c r="AI2997" s="13"/>
      <c r="AJ2997" s="13"/>
      <c r="AK2997" s="13"/>
      <c r="AL2997" s="13"/>
      <c r="AM2997" s="13"/>
      <c r="AN2997" s="13"/>
      <c r="AO2997" s="13"/>
      <c r="AP2997" s="13"/>
      <c r="AQ2997" s="13"/>
      <c r="AR2997" s="13"/>
      <c r="AS2997" s="13"/>
    </row>
    <row r="2998" ht="14.25" customHeight="1">
      <c r="A2998" s="13" t="s">
        <v>46</v>
      </c>
      <c r="B2998" s="13" t="s">
        <v>51</v>
      </c>
      <c r="C2998" s="13" t="s">
        <v>1067</v>
      </c>
      <c r="D2998" s="13"/>
      <c r="E2998" s="13"/>
      <c r="F2998" s="13"/>
      <c r="G2998" s="13" t="s">
        <v>74</v>
      </c>
      <c r="H2998" s="13" t="s">
        <v>75</v>
      </c>
      <c r="I2998" s="14">
        <v>44908.0</v>
      </c>
      <c r="J2998" s="14"/>
      <c r="K2998" s="15">
        <v>0.0</v>
      </c>
      <c r="L2998" s="15">
        <v>0.0</v>
      </c>
      <c r="M2998" s="16"/>
      <c r="N2998" s="16"/>
      <c r="O2998" s="17">
        <v>0.0</v>
      </c>
      <c r="P2998" s="17">
        <v>0.0</v>
      </c>
      <c r="Q2998" s="13">
        <f>K2997+L2997+M2997+N2997+O2997+P2997/6</f>
        <v>2</v>
      </c>
      <c r="R2998" s="14">
        <v>44966.0</v>
      </c>
      <c r="S2998" s="13"/>
      <c r="T2998" s="13">
        <f t="shared" ref="T2998:Y2998" si="3213">IF(ISBLANK(K2998)=TRUE,0,1)</f>
        <v>1</v>
      </c>
      <c r="U2998" s="13">
        <f t="shared" si="3213"/>
        <v>1</v>
      </c>
      <c r="V2998" s="13">
        <f t="shared" si="3213"/>
        <v>0</v>
      </c>
      <c r="W2998" s="13">
        <f t="shared" si="3213"/>
        <v>0</v>
      </c>
      <c r="X2998" s="13">
        <f t="shared" si="3213"/>
        <v>1</v>
      </c>
      <c r="Y2998" s="13">
        <f t="shared" si="3213"/>
        <v>1</v>
      </c>
      <c r="Z2998" s="13">
        <f t="shared" si="3023"/>
        <v>0</v>
      </c>
      <c r="AA2998" s="13"/>
      <c r="AB2998" s="13"/>
      <c r="AC2998" s="13"/>
      <c r="AD2998" s="13"/>
      <c r="AE2998" s="13"/>
      <c r="AF2998" s="13"/>
      <c r="AG2998" s="13"/>
      <c r="AH2998" s="13"/>
      <c r="AI2998" s="13"/>
      <c r="AJ2998" s="13"/>
      <c r="AK2998" s="13"/>
      <c r="AL2998" s="13"/>
      <c r="AM2998" s="13"/>
      <c r="AN2998" s="13"/>
      <c r="AO2998" s="13"/>
      <c r="AP2998" s="13"/>
      <c r="AQ2998" s="13"/>
      <c r="AR2998" s="13"/>
      <c r="AS2998" s="13"/>
    </row>
    <row r="2999" ht="14.25" customHeight="1">
      <c r="A2999" s="26" t="s">
        <v>29</v>
      </c>
      <c r="B2999" s="26" t="s">
        <v>32</v>
      </c>
      <c r="C2999" s="27" t="s">
        <v>109</v>
      </c>
      <c r="D2999" s="26" t="s">
        <v>174</v>
      </c>
      <c r="F2999" s="26"/>
      <c r="G2999" s="13" t="s">
        <v>111</v>
      </c>
      <c r="H2999" s="26" t="s">
        <v>75</v>
      </c>
      <c r="I2999" s="26"/>
      <c r="J2999" s="26"/>
      <c r="K2999" s="28"/>
      <c r="L2999" s="28"/>
      <c r="M2999" s="16">
        <v>0.0</v>
      </c>
      <c r="N2999" s="16">
        <v>0.0</v>
      </c>
      <c r="O2999" s="17">
        <v>0.0</v>
      </c>
      <c r="P2999" s="17">
        <v>0.0</v>
      </c>
      <c r="Q2999" s="13"/>
      <c r="R2999" s="13"/>
      <c r="S2999" s="13"/>
      <c r="T2999" s="13">
        <f t="shared" ref="T2999:Y2999" si="3214">IF(ISBLANK(K2999)=TRUE,0,1)</f>
        <v>0</v>
      </c>
      <c r="U2999" s="13">
        <f t="shared" si="3214"/>
        <v>0</v>
      </c>
      <c r="V2999" s="13">
        <f t="shared" si="3214"/>
        <v>1</v>
      </c>
      <c r="W2999" s="13">
        <f t="shared" si="3214"/>
        <v>1</v>
      </c>
      <c r="X2999" s="13">
        <f t="shared" si="3214"/>
        <v>1</v>
      </c>
      <c r="Y2999" s="13">
        <f t="shared" si="3214"/>
        <v>1</v>
      </c>
      <c r="Z2999" s="13">
        <f t="shared" si="3023"/>
        <v>0</v>
      </c>
      <c r="AA2999" s="13"/>
      <c r="AB2999" s="13"/>
      <c r="AC2999" s="13"/>
      <c r="AD2999" s="13"/>
      <c r="AE2999" s="13"/>
      <c r="AF2999" s="13"/>
      <c r="AG2999" s="13"/>
      <c r="AH2999" s="13"/>
      <c r="AI2999" s="13"/>
      <c r="AJ2999" s="13"/>
      <c r="AK2999" s="13"/>
      <c r="AL2999" s="13"/>
      <c r="AM2999" s="13"/>
      <c r="AN2999" s="13"/>
      <c r="AO2999" s="13"/>
      <c r="AP2999" s="13"/>
      <c r="AQ2999" s="13"/>
      <c r="AR2999" s="13"/>
      <c r="AS2999" s="13"/>
    </row>
    <row r="3000" ht="14.25" customHeight="1">
      <c r="A3000" s="13" t="s">
        <v>29</v>
      </c>
      <c r="B3000" s="13" t="s">
        <v>32</v>
      </c>
      <c r="C3000" s="18" t="s">
        <v>109</v>
      </c>
      <c r="D3000" s="13" t="s">
        <v>481</v>
      </c>
      <c r="F3000" s="13"/>
      <c r="G3000" s="13" t="s">
        <v>111</v>
      </c>
      <c r="H3000" s="13" t="s">
        <v>75</v>
      </c>
      <c r="I3000" s="13"/>
      <c r="J3000" s="13"/>
      <c r="K3000" s="15"/>
      <c r="L3000" s="15"/>
      <c r="M3000" s="16">
        <v>0.0</v>
      </c>
      <c r="N3000" s="16">
        <v>0.0</v>
      </c>
      <c r="O3000" s="17">
        <v>0.0</v>
      </c>
      <c r="P3000" s="17">
        <v>0.0</v>
      </c>
      <c r="Q3000" s="13"/>
      <c r="R3000" s="13"/>
      <c r="S3000" s="13"/>
      <c r="T3000" s="13">
        <f t="shared" ref="T3000:Y3000" si="3215">IF(ISBLANK(K3000)=TRUE,0,1)</f>
        <v>0</v>
      </c>
      <c r="U3000" s="13">
        <f t="shared" si="3215"/>
        <v>0</v>
      </c>
      <c r="V3000" s="13">
        <f t="shared" si="3215"/>
        <v>1</v>
      </c>
      <c r="W3000" s="13">
        <f t="shared" si="3215"/>
        <v>1</v>
      </c>
      <c r="X3000" s="13">
        <f t="shared" si="3215"/>
        <v>1</v>
      </c>
      <c r="Y3000" s="13">
        <f t="shared" si="3215"/>
        <v>1</v>
      </c>
      <c r="Z3000" s="13">
        <f t="shared" si="3023"/>
        <v>0</v>
      </c>
      <c r="AA3000" s="13"/>
      <c r="AB3000" s="13"/>
      <c r="AC3000" s="13"/>
      <c r="AD3000" s="13"/>
      <c r="AE3000" s="13"/>
      <c r="AF3000" s="13"/>
      <c r="AG3000" s="13"/>
      <c r="AH3000" s="13"/>
      <c r="AI3000" s="13"/>
      <c r="AJ3000" s="13"/>
      <c r="AK3000" s="13"/>
      <c r="AL3000" s="13"/>
      <c r="AM3000" s="13"/>
      <c r="AN3000" s="13"/>
      <c r="AO3000" s="13"/>
      <c r="AP3000" s="13"/>
      <c r="AQ3000" s="13"/>
      <c r="AR3000" s="13"/>
      <c r="AS3000" s="13"/>
    </row>
    <row r="3001" ht="14.25" customHeight="1">
      <c r="A3001" s="26" t="s">
        <v>29</v>
      </c>
      <c r="B3001" s="26" t="s">
        <v>32</v>
      </c>
      <c r="C3001" s="27" t="s">
        <v>109</v>
      </c>
      <c r="D3001" s="26" t="s">
        <v>175</v>
      </c>
      <c r="F3001" s="26"/>
      <c r="G3001" s="13" t="s">
        <v>111</v>
      </c>
      <c r="H3001" s="26" t="s">
        <v>75</v>
      </c>
      <c r="I3001" s="26"/>
      <c r="J3001" s="26"/>
      <c r="K3001" s="28"/>
      <c r="L3001" s="28"/>
      <c r="M3001" s="16">
        <v>0.0</v>
      </c>
      <c r="N3001" s="16">
        <v>0.0</v>
      </c>
      <c r="O3001" s="17">
        <v>0.0</v>
      </c>
      <c r="P3001" s="17">
        <v>0.0</v>
      </c>
      <c r="Q3001" s="13"/>
      <c r="R3001" s="13"/>
      <c r="S3001" s="13"/>
      <c r="T3001" s="13">
        <f t="shared" ref="T3001:Y3001" si="3216">IF(ISBLANK(K3001)=TRUE,0,1)</f>
        <v>0</v>
      </c>
      <c r="U3001" s="13">
        <f t="shared" si="3216"/>
        <v>0</v>
      </c>
      <c r="V3001" s="13">
        <f t="shared" si="3216"/>
        <v>1</v>
      </c>
      <c r="W3001" s="13">
        <f t="shared" si="3216"/>
        <v>1</v>
      </c>
      <c r="X3001" s="13">
        <f t="shared" si="3216"/>
        <v>1</v>
      </c>
      <c r="Y3001" s="13">
        <f t="shared" si="3216"/>
        <v>1</v>
      </c>
      <c r="Z3001" s="13">
        <f t="shared" si="3023"/>
        <v>0</v>
      </c>
      <c r="AA3001" s="13"/>
      <c r="AB3001" s="13"/>
      <c r="AC3001" s="13"/>
      <c r="AD3001" s="13"/>
      <c r="AE3001" s="13"/>
      <c r="AF3001" s="13"/>
      <c r="AG3001" s="13"/>
      <c r="AH3001" s="13"/>
      <c r="AI3001" s="13"/>
      <c r="AJ3001" s="13"/>
      <c r="AK3001" s="13"/>
      <c r="AL3001" s="13"/>
      <c r="AM3001" s="13"/>
      <c r="AN3001" s="13"/>
      <c r="AO3001" s="13"/>
      <c r="AP3001" s="13"/>
      <c r="AQ3001" s="13"/>
      <c r="AR3001" s="13"/>
      <c r="AS3001" s="13"/>
    </row>
    <row r="3002" ht="14.25" customHeight="1">
      <c r="A3002" s="13" t="s">
        <v>29</v>
      </c>
      <c r="B3002" s="13" t="s">
        <v>32</v>
      </c>
      <c r="C3002" s="18" t="s">
        <v>109</v>
      </c>
      <c r="D3002" s="13" t="s">
        <v>1873</v>
      </c>
      <c r="F3002" s="13"/>
      <c r="G3002" s="13" t="s">
        <v>111</v>
      </c>
      <c r="H3002" s="13" t="s">
        <v>75</v>
      </c>
      <c r="I3002" s="13"/>
      <c r="J3002" s="13"/>
      <c r="K3002" s="15"/>
      <c r="L3002" s="15"/>
      <c r="M3002" s="16">
        <v>0.0</v>
      </c>
      <c r="N3002" s="16">
        <v>0.0</v>
      </c>
      <c r="O3002" s="17">
        <v>0.0</v>
      </c>
      <c r="P3002" s="17">
        <v>0.0</v>
      </c>
      <c r="Q3002" s="13"/>
      <c r="R3002" s="13"/>
      <c r="S3002" s="13"/>
      <c r="T3002" s="13">
        <f t="shared" ref="T3002:Y3002" si="3217">IF(ISBLANK(K3002)=TRUE,0,1)</f>
        <v>0</v>
      </c>
      <c r="U3002" s="13">
        <f t="shared" si="3217"/>
        <v>0</v>
      </c>
      <c r="V3002" s="13">
        <f t="shared" si="3217"/>
        <v>1</v>
      </c>
      <c r="W3002" s="13">
        <f t="shared" si="3217"/>
        <v>1</v>
      </c>
      <c r="X3002" s="13">
        <f t="shared" si="3217"/>
        <v>1</v>
      </c>
      <c r="Y3002" s="13">
        <f t="shared" si="3217"/>
        <v>1</v>
      </c>
      <c r="Z3002" s="13">
        <f t="shared" si="3023"/>
        <v>0</v>
      </c>
      <c r="AA3002" s="13"/>
      <c r="AB3002" s="13"/>
      <c r="AC3002" s="13"/>
      <c r="AD3002" s="13"/>
      <c r="AE3002" s="13"/>
      <c r="AF3002" s="13"/>
      <c r="AG3002" s="13"/>
      <c r="AH3002" s="13"/>
      <c r="AI3002" s="13"/>
      <c r="AJ3002" s="13"/>
      <c r="AK3002" s="13"/>
      <c r="AL3002" s="13"/>
      <c r="AM3002" s="13"/>
      <c r="AN3002" s="13"/>
      <c r="AO3002" s="13"/>
      <c r="AP3002" s="13"/>
      <c r="AQ3002" s="13"/>
      <c r="AR3002" s="13"/>
      <c r="AS3002" s="13"/>
    </row>
    <row r="3003" ht="14.25" customHeight="1">
      <c r="A3003" s="26" t="s">
        <v>29</v>
      </c>
      <c r="B3003" s="26" t="s">
        <v>32</v>
      </c>
      <c r="C3003" s="27" t="s">
        <v>109</v>
      </c>
      <c r="D3003" s="26" t="s">
        <v>176</v>
      </c>
      <c r="F3003" s="26"/>
      <c r="G3003" s="13" t="s">
        <v>111</v>
      </c>
      <c r="H3003" s="26" t="s">
        <v>75</v>
      </c>
      <c r="I3003" s="26"/>
      <c r="J3003" s="26"/>
      <c r="K3003" s="28"/>
      <c r="L3003" s="28"/>
      <c r="M3003" s="16">
        <v>0.0</v>
      </c>
      <c r="N3003" s="16">
        <v>0.0</v>
      </c>
      <c r="O3003" s="17">
        <v>0.0</v>
      </c>
      <c r="P3003" s="17">
        <v>0.0</v>
      </c>
      <c r="Q3003" s="13"/>
      <c r="R3003" s="13"/>
      <c r="S3003" s="13"/>
      <c r="T3003" s="13">
        <f t="shared" ref="T3003:Y3003" si="3218">IF(ISBLANK(K3003)=TRUE,0,1)</f>
        <v>0</v>
      </c>
      <c r="U3003" s="13">
        <f t="shared" si="3218"/>
        <v>0</v>
      </c>
      <c r="V3003" s="13">
        <f t="shared" si="3218"/>
        <v>1</v>
      </c>
      <c r="W3003" s="13">
        <f t="shared" si="3218"/>
        <v>1</v>
      </c>
      <c r="X3003" s="13">
        <f t="shared" si="3218"/>
        <v>1</v>
      </c>
      <c r="Y3003" s="13">
        <f t="shared" si="3218"/>
        <v>1</v>
      </c>
      <c r="Z3003" s="13">
        <f t="shared" si="3023"/>
        <v>0</v>
      </c>
      <c r="AA3003" s="13"/>
      <c r="AB3003" s="13"/>
      <c r="AC3003" s="13"/>
      <c r="AD3003" s="13"/>
      <c r="AE3003" s="13"/>
      <c r="AF3003" s="13"/>
      <c r="AG3003" s="13"/>
      <c r="AH3003" s="13"/>
      <c r="AI3003" s="13"/>
      <c r="AJ3003" s="13"/>
      <c r="AK3003" s="13"/>
      <c r="AL3003" s="13"/>
      <c r="AM3003" s="13"/>
      <c r="AN3003" s="13"/>
      <c r="AO3003" s="13"/>
      <c r="AP3003" s="13"/>
      <c r="AQ3003" s="13"/>
      <c r="AR3003" s="13"/>
      <c r="AS3003" s="13"/>
    </row>
    <row r="3004" ht="14.25" customHeight="1">
      <c r="A3004" s="13" t="s">
        <v>29</v>
      </c>
      <c r="B3004" s="13" t="s">
        <v>32</v>
      </c>
      <c r="C3004" s="18" t="s">
        <v>109</v>
      </c>
      <c r="D3004" s="13" t="s">
        <v>1874</v>
      </c>
      <c r="F3004" s="13"/>
      <c r="G3004" s="13" t="s">
        <v>111</v>
      </c>
      <c r="H3004" s="13" t="s">
        <v>75</v>
      </c>
      <c r="I3004" s="13"/>
      <c r="J3004" s="13"/>
      <c r="K3004" s="15"/>
      <c r="L3004" s="15"/>
      <c r="M3004" s="16">
        <v>0.0</v>
      </c>
      <c r="N3004" s="16">
        <v>0.0</v>
      </c>
      <c r="O3004" s="17">
        <v>0.0</v>
      </c>
      <c r="P3004" s="17">
        <v>0.0</v>
      </c>
      <c r="Q3004" s="13"/>
      <c r="R3004" s="13"/>
      <c r="S3004" s="13"/>
      <c r="T3004" s="13">
        <f t="shared" ref="T3004:Y3004" si="3219">IF(ISBLANK(K3004)=TRUE,0,1)</f>
        <v>0</v>
      </c>
      <c r="U3004" s="13">
        <f t="shared" si="3219"/>
        <v>0</v>
      </c>
      <c r="V3004" s="13">
        <f t="shared" si="3219"/>
        <v>1</v>
      </c>
      <c r="W3004" s="13">
        <f t="shared" si="3219"/>
        <v>1</v>
      </c>
      <c r="X3004" s="13">
        <f t="shared" si="3219"/>
        <v>1</v>
      </c>
      <c r="Y3004" s="13">
        <f t="shared" si="3219"/>
        <v>1</v>
      </c>
      <c r="Z3004" s="13">
        <f t="shared" si="3023"/>
        <v>0</v>
      </c>
      <c r="AA3004" s="13"/>
      <c r="AB3004" s="13"/>
      <c r="AC3004" s="13"/>
      <c r="AD3004" s="13"/>
      <c r="AE3004" s="13"/>
      <c r="AF3004" s="13"/>
      <c r="AG3004" s="13"/>
      <c r="AH3004" s="13"/>
      <c r="AI3004" s="13"/>
      <c r="AJ3004" s="13"/>
      <c r="AK3004" s="13"/>
      <c r="AL3004" s="13"/>
      <c r="AM3004" s="13"/>
      <c r="AN3004" s="13"/>
      <c r="AO3004" s="13"/>
      <c r="AP3004" s="13"/>
      <c r="AQ3004" s="13"/>
      <c r="AR3004" s="13"/>
      <c r="AS3004" s="13"/>
    </row>
    <row r="3005" ht="14.25" customHeight="1">
      <c r="A3005" s="13" t="s">
        <v>46</v>
      </c>
      <c r="B3005" s="13" t="s">
        <v>51</v>
      </c>
      <c r="C3005" s="13" t="s">
        <v>1875</v>
      </c>
      <c r="D3005" s="13"/>
      <c r="E3005" s="13"/>
      <c r="F3005" s="13"/>
      <c r="G3005" s="13" t="s">
        <v>74</v>
      </c>
      <c r="H3005" s="13" t="s">
        <v>75</v>
      </c>
      <c r="I3005" s="14">
        <v>44908.0</v>
      </c>
      <c r="J3005" s="14"/>
      <c r="K3005" s="15"/>
      <c r="L3005" s="15"/>
      <c r="M3005" s="16"/>
      <c r="N3005" s="16"/>
      <c r="O3005" s="17">
        <v>0.0</v>
      </c>
      <c r="P3005" s="17">
        <v>0.0</v>
      </c>
      <c r="Q3005" s="13">
        <f t="shared" ref="Q3005:Q3006" si="3221">K3004+L3004+M3004+N3004+O3004+P3004/6</f>
        <v>0</v>
      </c>
      <c r="R3005" s="14">
        <v>44966.0</v>
      </c>
      <c r="S3005" s="13"/>
      <c r="T3005" s="13">
        <f t="shared" ref="T3005:Y3005" si="3220">IF(ISBLANK(K3005)=TRUE,0,1)</f>
        <v>0</v>
      </c>
      <c r="U3005" s="13">
        <f t="shared" si="3220"/>
        <v>0</v>
      </c>
      <c r="V3005" s="13">
        <f t="shared" si="3220"/>
        <v>0</v>
      </c>
      <c r="W3005" s="13">
        <f t="shared" si="3220"/>
        <v>0</v>
      </c>
      <c r="X3005" s="13">
        <f t="shared" si="3220"/>
        <v>1</v>
      </c>
      <c r="Y3005" s="13">
        <f t="shared" si="3220"/>
        <v>1</v>
      </c>
      <c r="Z3005" s="13">
        <f t="shared" si="3023"/>
        <v>0</v>
      </c>
      <c r="AA3005" s="13"/>
      <c r="AB3005" s="13"/>
      <c r="AC3005" s="13"/>
      <c r="AD3005" s="13"/>
      <c r="AE3005" s="13"/>
      <c r="AF3005" s="13"/>
      <c r="AG3005" s="13"/>
      <c r="AH3005" s="13"/>
      <c r="AI3005" s="13"/>
      <c r="AJ3005" s="13"/>
      <c r="AK3005" s="13"/>
      <c r="AL3005" s="13"/>
      <c r="AM3005" s="13"/>
      <c r="AN3005" s="13"/>
      <c r="AO3005" s="13"/>
      <c r="AP3005" s="13"/>
      <c r="AQ3005" s="13"/>
      <c r="AR3005" s="13"/>
      <c r="AS3005" s="13"/>
    </row>
    <row r="3006" ht="14.25" customHeight="1">
      <c r="A3006" s="13" t="s">
        <v>46</v>
      </c>
      <c r="B3006" s="13" t="s">
        <v>51</v>
      </c>
      <c r="C3006" s="13" t="s">
        <v>1068</v>
      </c>
      <c r="D3006" s="13"/>
      <c r="E3006" s="13"/>
      <c r="F3006" s="13"/>
      <c r="G3006" s="13" t="s">
        <v>74</v>
      </c>
      <c r="H3006" s="13" t="s">
        <v>75</v>
      </c>
      <c r="I3006" s="14">
        <v>44908.0</v>
      </c>
      <c r="J3006" s="14"/>
      <c r="K3006" s="15">
        <v>0.0</v>
      </c>
      <c r="L3006" s="15">
        <v>0.0</v>
      </c>
      <c r="M3006" s="16"/>
      <c r="N3006" s="16"/>
      <c r="O3006" s="17">
        <v>0.0</v>
      </c>
      <c r="P3006" s="17">
        <v>0.0</v>
      </c>
      <c r="Q3006" s="13">
        <f t="shared" si="3221"/>
        <v>0</v>
      </c>
      <c r="R3006" s="14">
        <v>44966.0</v>
      </c>
      <c r="S3006" s="13"/>
      <c r="T3006" s="13">
        <f t="shared" ref="T3006:Y3006" si="3222">IF(ISBLANK(K3006)=TRUE,0,1)</f>
        <v>1</v>
      </c>
      <c r="U3006" s="13">
        <f t="shared" si="3222"/>
        <v>1</v>
      </c>
      <c r="V3006" s="13">
        <f t="shared" si="3222"/>
        <v>0</v>
      </c>
      <c r="W3006" s="13">
        <f t="shared" si="3222"/>
        <v>0</v>
      </c>
      <c r="X3006" s="13">
        <f t="shared" si="3222"/>
        <v>1</v>
      </c>
      <c r="Y3006" s="13">
        <f t="shared" si="3222"/>
        <v>1</v>
      </c>
      <c r="Z3006" s="13">
        <f t="shared" si="3023"/>
        <v>0</v>
      </c>
      <c r="AA3006" s="13"/>
      <c r="AB3006" s="13"/>
      <c r="AC3006" s="13"/>
      <c r="AD3006" s="13"/>
      <c r="AE3006" s="13"/>
      <c r="AF3006" s="13"/>
      <c r="AG3006" s="13"/>
      <c r="AH3006" s="13"/>
      <c r="AI3006" s="13"/>
      <c r="AJ3006" s="13"/>
      <c r="AK3006" s="13"/>
      <c r="AL3006" s="13"/>
      <c r="AM3006" s="13"/>
      <c r="AN3006" s="13"/>
      <c r="AO3006" s="13"/>
      <c r="AP3006" s="13"/>
      <c r="AQ3006" s="13"/>
      <c r="AR3006" s="13"/>
      <c r="AS3006" s="13"/>
    </row>
    <row r="3007" ht="14.25" customHeight="1">
      <c r="A3007" s="13" t="s">
        <v>46</v>
      </c>
      <c r="B3007" s="13" t="s">
        <v>51</v>
      </c>
      <c r="C3007" s="13" t="s">
        <v>1069</v>
      </c>
      <c r="D3007" s="13"/>
      <c r="E3007" s="13"/>
      <c r="F3007" s="13"/>
      <c r="G3007" s="13" t="s">
        <v>74</v>
      </c>
      <c r="H3007" s="13" t="s">
        <v>75</v>
      </c>
      <c r="I3007" s="14">
        <v>44908.0</v>
      </c>
      <c r="J3007" s="14"/>
      <c r="K3007" s="15"/>
      <c r="L3007" s="15"/>
      <c r="M3007" s="16"/>
      <c r="N3007" s="16"/>
      <c r="O3007" s="17">
        <v>0.0</v>
      </c>
      <c r="P3007" s="17">
        <v>0.0</v>
      </c>
      <c r="Q3007" s="13">
        <f>K3004+L3004+M3004+N3004+O3004+P3004/6</f>
        <v>0</v>
      </c>
      <c r="R3007" s="14">
        <v>44966.0</v>
      </c>
      <c r="S3007" s="13"/>
      <c r="T3007" s="13">
        <f t="shared" ref="T3007:Y3007" si="3223">IF(ISBLANK(K3007)=TRUE,0,1)</f>
        <v>0</v>
      </c>
      <c r="U3007" s="13">
        <f t="shared" si="3223"/>
        <v>0</v>
      </c>
      <c r="V3007" s="13">
        <f t="shared" si="3223"/>
        <v>0</v>
      </c>
      <c r="W3007" s="13">
        <f t="shared" si="3223"/>
        <v>0</v>
      </c>
      <c r="X3007" s="13">
        <f t="shared" si="3223"/>
        <v>1</v>
      </c>
      <c r="Y3007" s="13">
        <f t="shared" si="3223"/>
        <v>1</v>
      </c>
      <c r="Z3007" s="13">
        <f t="shared" si="3023"/>
        <v>0</v>
      </c>
      <c r="AA3007" s="13"/>
      <c r="AB3007" s="13"/>
      <c r="AC3007" s="13"/>
      <c r="AD3007" s="13"/>
      <c r="AE3007" s="13"/>
      <c r="AF3007" s="13"/>
      <c r="AG3007" s="13"/>
      <c r="AH3007" s="13"/>
      <c r="AI3007" s="13"/>
      <c r="AJ3007" s="13"/>
      <c r="AK3007" s="13"/>
      <c r="AL3007" s="13"/>
      <c r="AM3007" s="13"/>
      <c r="AN3007" s="13"/>
      <c r="AO3007" s="13"/>
      <c r="AP3007" s="13"/>
      <c r="AQ3007" s="13"/>
      <c r="AR3007" s="13"/>
      <c r="AS3007" s="13"/>
    </row>
    <row r="3008" ht="14.25" customHeight="1">
      <c r="A3008" s="13" t="s">
        <v>46</v>
      </c>
      <c r="B3008" s="13" t="s">
        <v>51</v>
      </c>
      <c r="C3008" s="13" t="s">
        <v>1876</v>
      </c>
      <c r="D3008" s="13"/>
      <c r="E3008" s="13"/>
      <c r="F3008" s="13"/>
      <c r="G3008" s="13" t="s">
        <v>74</v>
      </c>
      <c r="H3008" s="13" t="s">
        <v>75</v>
      </c>
      <c r="I3008" s="14">
        <v>44908.0</v>
      </c>
      <c r="J3008" s="14"/>
      <c r="K3008" s="15">
        <v>0.0</v>
      </c>
      <c r="L3008" s="15">
        <v>0.0</v>
      </c>
      <c r="M3008" s="16"/>
      <c r="N3008" s="16"/>
      <c r="O3008" s="17">
        <v>0.0</v>
      </c>
      <c r="P3008" s="17">
        <v>0.0</v>
      </c>
      <c r="Q3008" s="13">
        <f>K3006+L3006+M3006+N3006+O3006+P3006/6</f>
        <v>0</v>
      </c>
      <c r="R3008" s="14">
        <v>44966.0</v>
      </c>
      <c r="S3008" s="13"/>
      <c r="T3008" s="13">
        <f t="shared" ref="T3008:Y3008" si="3224">IF(ISBLANK(K3008)=TRUE,0,1)</f>
        <v>1</v>
      </c>
      <c r="U3008" s="13">
        <f t="shared" si="3224"/>
        <v>1</v>
      </c>
      <c r="V3008" s="13">
        <f t="shared" si="3224"/>
        <v>0</v>
      </c>
      <c r="W3008" s="13">
        <f t="shared" si="3224"/>
        <v>0</v>
      </c>
      <c r="X3008" s="13">
        <f t="shared" si="3224"/>
        <v>1</v>
      </c>
      <c r="Y3008" s="13">
        <f t="shared" si="3224"/>
        <v>1</v>
      </c>
      <c r="Z3008" s="13">
        <f t="shared" si="3023"/>
        <v>0</v>
      </c>
      <c r="AA3008" s="13"/>
      <c r="AB3008" s="13"/>
      <c r="AC3008" s="13"/>
      <c r="AD3008" s="13"/>
      <c r="AE3008" s="13"/>
      <c r="AF3008" s="13"/>
      <c r="AG3008" s="13"/>
      <c r="AH3008" s="13"/>
      <c r="AI3008" s="13"/>
      <c r="AJ3008" s="13"/>
      <c r="AK3008" s="13"/>
      <c r="AL3008" s="13"/>
      <c r="AM3008" s="13"/>
      <c r="AN3008" s="13"/>
      <c r="AO3008" s="13"/>
      <c r="AP3008" s="13"/>
      <c r="AQ3008" s="13"/>
      <c r="AR3008" s="13"/>
      <c r="AS3008" s="13"/>
    </row>
    <row r="3009" ht="14.25" customHeight="1">
      <c r="A3009" s="13" t="s">
        <v>46</v>
      </c>
      <c r="B3009" s="13" t="s">
        <v>51</v>
      </c>
      <c r="C3009" s="13" t="s">
        <v>1877</v>
      </c>
      <c r="D3009" s="13"/>
      <c r="E3009" s="13"/>
      <c r="F3009" s="13"/>
      <c r="G3009" s="13" t="s">
        <v>74</v>
      </c>
      <c r="H3009" s="13" t="s">
        <v>75</v>
      </c>
      <c r="I3009" s="14">
        <v>44917.0</v>
      </c>
      <c r="J3009" s="14"/>
      <c r="K3009" s="15">
        <v>0.0</v>
      </c>
      <c r="L3009" s="15">
        <v>0.0</v>
      </c>
      <c r="M3009" s="16"/>
      <c r="N3009" s="16"/>
      <c r="O3009" s="17">
        <v>0.0</v>
      </c>
      <c r="P3009" s="17">
        <v>0.0</v>
      </c>
      <c r="Q3009" s="13">
        <f t="shared" ref="Q3009:Q3014" si="3226">K3008+L3008+M3008+N3008+O3008+P3008/6</f>
        <v>0</v>
      </c>
      <c r="R3009" s="14">
        <v>44966.0</v>
      </c>
      <c r="S3009" s="13"/>
      <c r="T3009" s="13">
        <f t="shared" ref="T3009:Y3009" si="3225">IF(ISBLANK(K3009)=TRUE,0,1)</f>
        <v>1</v>
      </c>
      <c r="U3009" s="13">
        <f t="shared" si="3225"/>
        <v>1</v>
      </c>
      <c r="V3009" s="13">
        <f t="shared" si="3225"/>
        <v>0</v>
      </c>
      <c r="W3009" s="13">
        <f t="shared" si="3225"/>
        <v>0</v>
      </c>
      <c r="X3009" s="13">
        <f t="shared" si="3225"/>
        <v>1</v>
      </c>
      <c r="Y3009" s="13">
        <f t="shared" si="3225"/>
        <v>1</v>
      </c>
      <c r="Z3009" s="13">
        <f t="shared" si="3023"/>
        <v>0</v>
      </c>
      <c r="AA3009" s="13" t="s">
        <v>874</v>
      </c>
      <c r="AB3009" s="13"/>
      <c r="AC3009" s="13"/>
      <c r="AD3009" s="13"/>
      <c r="AE3009" s="13"/>
      <c r="AF3009" s="13"/>
      <c r="AG3009" s="13"/>
      <c r="AH3009" s="13"/>
      <c r="AI3009" s="13"/>
      <c r="AJ3009" s="13"/>
      <c r="AK3009" s="13"/>
      <c r="AL3009" s="13"/>
      <c r="AM3009" s="13"/>
      <c r="AN3009" s="13"/>
      <c r="AO3009" s="13"/>
      <c r="AP3009" s="13"/>
      <c r="AQ3009" s="13"/>
      <c r="AR3009" s="13"/>
      <c r="AS3009" s="13"/>
    </row>
    <row r="3010" ht="14.25" customHeight="1">
      <c r="A3010" s="13" t="s">
        <v>36</v>
      </c>
      <c r="B3010" s="13" t="s">
        <v>41</v>
      </c>
      <c r="C3010" s="13" t="s">
        <v>1860</v>
      </c>
      <c r="D3010" s="13" t="s">
        <v>191</v>
      </c>
      <c r="F3010" s="13"/>
      <c r="G3010" s="13" t="s">
        <v>74</v>
      </c>
      <c r="H3010" s="13" t="s">
        <v>75</v>
      </c>
      <c r="I3010" s="13"/>
      <c r="J3010" s="13"/>
      <c r="K3010" s="15">
        <v>1.0</v>
      </c>
      <c r="L3010" s="15">
        <v>1.0</v>
      </c>
      <c r="M3010" s="16"/>
      <c r="N3010" s="16"/>
      <c r="O3010" s="17">
        <v>1.0</v>
      </c>
      <c r="P3010" s="17">
        <v>1.0</v>
      </c>
      <c r="Q3010" s="13">
        <f t="shared" si="3226"/>
        <v>0</v>
      </c>
      <c r="R3010" s="13"/>
      <c r="S3010" s="13"/>
      <c r="T3010" s="13">
        <f t="shared" ref="T3010:Y3010" si="3227">IF(ISBLANK(K3010)=TRUE,0,1)</f>
        <v>1</v>
      </c>
      <c r="U3010" s="13">
        <f t="shared" si="3227"/>
        <v>1</v>
      </c>
      <c r="V3010" s="13">
        <f t="shared" si="3227"/>
        <v>0</v>
      </c>
      <c r="W3010" s="13">
        <f t="shared" si="3227"/>
        <v>0</v>
      </c>
      <c r="X3010" s="13">
        <f t="shared" si="3227"/>
        <v>1</v>
      </c>
      <c r="Y3010" s="13">
        <f t="shared" si="3227"/>
        <v>1</v>
      </c>
      <c r="Z3010" s="13">
        <f t="shared" si="3023"/>
        <v>1</v>
      </c>
      <c r="AA3010" s="13"/>
      <c r="AB3010" s="13"/>
      <c r="AC3010" s="13"/>
      <c r="AD3010" s="13"/>
      <c r="AE3010" s="13"/>
      <c r="AF3010" s="13"/>
      <c r="AG3010" s="13"/>
      <c r="AH3010" s="13"/>
      <c r="AI3010" s="13"/>
      <c r="AJ3010" s="13"/>
      <c r="AK3010" s="13"/>
      <c r="AL3010" s="13"/>
      <c r="AM3010" s="13"/>
      <c r="AN3010" s="13"/>
      <c r="AO3010" s="13"/>
      <c r="AP3010" s="13"/>
      <c r="AQ3010" s="13"/>
      <c r="AR3010" s="13"/>
      <c r="AS3010" s="13"/>
    </row>
    <row r="3011" ht="14.25" customHeight="1">
      <c r="A3011" s="13" t="s">
        <v>36</v>
      </c>
      <c r="B3011" s="13" t="s">
        <v>41</v>
      </c>
      <c r="C3011" s="13" t="s">
        <v>1860</v>
      </c>
      <c r="D3011" s="13" t="s">
        <v>192</v>
      </c>
      <c r="F3011" s="13"/>
      <c r="G3011" s="13" t="s">
        <v>74</v>
      </c>
      <c r="H3011" s="13" t="s">
        <v>75</v>
      </c>
      <c r="I3011" s="13"/>
      <c r="J3011" s="13"/>
      <c r="K3011" s="15">
        <v>1.0</v>
      </c>
      <c r="L3011" s="15">
        <v>1.0</v>
      </c>
      <c r="M3011" s="16"/>
      <c r="N3011" s="16"/>
      <c r="O3011" s="17">
        <v>1.0</v>
      </c>
      <c r="P3011" s="17">
        <v>1.0</v>
      </c>
      <c r="Q3011" s="13">
        <f t="shared" si="3226"/>
        <v>3.166666667</v>
      </c>
      <c r="R3011" s="13"/>
      <c r="S3011" s="13"/>
      <c r="T3011" s="13">
        <f t="shared" ref="T3011:Y3011" si="3228">IF(ISBLANK(K3011)=TRUE,0,1)</f>
        <v>1</v>
      </c>
      <c r="U3011" s="13">
        <f t="shared" si="3228"/>
        <v>1</v>
      </c>
      <c r="V3011" s="13">
        <f t="shared" si="3228"/>
        <v>0</v>
      </c>
      <c r="W3011" s="13">
        <f t="shared" si="3228"/>
        <v>0</v>
      </c>
      <c r="X3011" s="13">
        <f t="shared" si="3228"/>
        <v>1</v>
      </c>
      <c r="Y3011" s="13">
        <f t="shared" si="3228"/>
        <v>1</v>
      </c>
      <c r="Z3011" s="13">
        <f t="shared" si="3023"/>
        <v>1</v>
      </c>
      <c r="AA3011" s="13"/>
      <c r="AB3011" s="13"/>
      <c r="AC3011" s="13"/>
      <c r="AD3011" s="13"/>
      <c r="AE3011" s="13"/>
      <c r="AF3011" s="13"/>
      <c r="AG3011" s="13"/>
      <c r="AH3011" s="13"/>
      <c r="AI3011" s="13"/>
      <c r="AJ3011" s="13"/>
      <c r="AK3011" s="13"/>
      <c r="AL3011" s="13"/>
      <c r="AM3011" s="13"/>
      <c r="AN3011" s="13"/>
      <c r="AO3011" s="13"/>
      <c r="AP3011" s="13"/>
      <c r="AQ3011" s="13"/>
      <c r="AR3011" s="13"/>
      <c r="AS3011" s="13"/>
    </row>
    <row r="3012" ht="14.25" customHeight="1">
      <c r="A3012" s="13" t="s">
        <v>36</v>
      </c>
      <c r="B3012" s="13" t="s">
        <v>41</v>
      </c>
      <c r="C3012" s="13" t="s">
        <v>1860</v>
      </c>
      <c r="D3012" s="13" t="s">
        <v>193</v>
      </c>
      <c r="F3012" s="13"/>
      <c r="G3012" s="13" t="s">
        <v>74</v>
      </c>
      <c r="H3012" s="13" t="s">
        <v>75</v>
      </c>
      <c r="I3012" s="13"/>
      <c r="J3012" s="13"/>
      <c r="K3012" s="15">
        <v>1.0</v>
      </c>
      <c r="L3012" s="15">
        <v>1.0</v>
      </c>
      <c r="M3012" s="16"/>
      <c r="N3012" s="16"/>
      <c r="O3012" s="17">
        <v>1.0</v>
      </c>
      <c r="P3012" s="17">
        <v>1.0</v>
      </c>
      <c r="Q3012" s="13">
        <f t="shared" si="3226"/>
        <v>3.166666667</v>
      </c>
      <c r="R3012" s="13"/>
      <c r="S3012" s="13"/>
      <c r="T3012" s="13">
        <f t="shared" ref="T3012:Y3012" si="3229">IF(ISBLANK(K3012)=TRUE,0,1)</f>
        <v>1</v>
      </c>
      <c r="U3012" s="13">
        <f t="shared" si="3229"/>
        <v>1</v>
      </c>
      <c r="V3012" s="13">
        <f t="shared" si="3229"/>
        <v>0</v>
      </c>
      <c r="W3012" s="13">
        <f t="shared" si="3229"/>
        <v>0</v>
      </c>
      <c r="X3012" s="13">
        <f t="shared" si="3229"/>
        <v>1</v>
      </c>
      <c r="Y3012" s="13">
        <f t="shared" si="3229"/>
        <v>1</v>
      </c>
      <c r="Z3012" s="13">
        <f t="shared" si="3023"/>
        <v>1</v>
      </c>
      <c r="AA3012" s="13"/>
      <c r="AB3012" s="13"/>
      <c r="AC3012" s="13"/>
      <c r="AD3012" s="13"/>
      <c r="AE3012" s="13"/>
      <c r="AF3012" s="13"/>
      <c r="AG3012" s="13"/>
      <c r="AH3012" s="13"/>
      <c r="AI3012" s="13"/>
      <c r="AJ3012" s="13"/>
      <c r="AK3012" s="13"/>
      <c r="AL3012" s="13"/>
      <c r="AM3012" s="13"/>
      <c r="AN3012" s="13"/>
      <c r="AO3012" s="13"/>
      <c r="AP3012" s="13"/>
      <c r="AQ3012" s="13"/>
      <c r="AR3012" s="13"/>
      <c r="AS3012" s="13"/>
    </row>
    <row r="3013" ht="14.25" customHeight="1">
      <c r="A3013" s="13" t="s">
        <v>36</v>
      </c>
      <c r="B3013" s="13" t="s">
        <v>39</v>
      </c>
      <c r="C3013" s="13" t="s">
        <v>1872</v>
      </c>
      <c r="D3013" s="13" t="s">
        <v>175</v>
      </c>
      <c r="F3013" s="13"/>
      <c r="G3013" s="13" t="s">
        <v>111</v>
      </c>
      <c r="H3013" s="13" t="s">
        <v>75</v>
      </c>
      <c r="I3013" s="13"/>
      <c r="J3013" s="13"/>
      <c r="K3013" s="15">
        <v>0.0</v>
      </c>
      <c r="L3013" s="15">
        <v>0.0</v>
      </c>
      <c r="M3013" s="16"/>
      <c r="N3013" s="16"/>
      <c r="O3013" s="17"/>
      <c r="P3013" s="17"/>
      <c r="Q3013" s="13">
        <f t="shared" si="3226"/>
        <v>3.166666667</v>
      </c>
      <c r="R3013" s="13"/>
      <c r="S3013" s="13"/>
      <c r="T3013" s="13">
        <f t="shared" ref="T3013:Y3013" si="3230">IF(ISBLANK(K3013)=TRUE,0,1)</f>
        <v>1</v>
      </c>
      <c r="U3013" s="13">
        <f t="shared" si="3230"/>
        <v>1</v>
      </c>
      <c r="V3013" s="13">
        <f t="shared" si="3230"/>
        <v>0</v>
      </c>
      <c r="W3013" s="13">
        <f t="shared" si="3230"/>
        <v>0</v>
      </c>
      <c r="X3013" s="13">
        <f t="shared" si="3230"/>
        <v>0</v>
      </c>
      <c r="Y3013" s="13">
        <f t="shared" si="3230"/>
        <v>0</v>
      </c>
      <c r="Z3013" s="13">
        <f t="shared" si="3023"/>
        <v>0</v>
      </c>
      <c r="AA3013" s="13"/>
      <c r="AB3013" s="13"/>
      <c r="AC3013" s="13"/>
      <c r="AD3013" s="13"/>
      <c r="AE3013" s="13"/>
      <c r="AF3013" s="13"/>
      <c r="AG3013" s="13"/>
      <c r="AH3013" s="13"/>
      <c r="AI3013" s="13"/>
      <c r="AJ3013" s="13"/>
      <c r="AK3013" s="13"/>
      <c r="AL3013" s="13"/>
      <c r="AM3013" s="13"/>
      <c r="AN3013" s="13"/>
      <c r="AO3013" s="13"/>
      <c r="AP3013" s="13"/>
      <c r="AQ3013" s="13"/>
      <c r="AR3013" s="13"/>
      <c r="AS3013" s="13"/>
    </row>
    <row r="3014" ht="14.25" customHeight="1">
      <c r="A3014" s="13" t="s">
        <v>36</v>
      </c>
      <c r="B3014" s="13" t="s">
        <v>37</v>
      </c>
      <c r="C3014" s="13" t="s">
        <v>1859</v>
      </c>
      <c r="D3014" s="13" t="s">
        <v>185</v>
      </c>
      <c r="F3014" s="13"/>
      <c r="G3014" s="13" t="s">
        <v>74</v>
      </c>
      <c r="H3014" s="13" t="s">
        <v>75</v>
      </c>
      <c r="I3014" s="13"/>
      <c r="J3014" s="13"/>
      <c r="K3014" s="15">
        <v>1.0</v>
      </c>
      <c r="L3014" s="15">
        <v>1.0</v>
      </c>
      <c r="M3014" s="16"/>
      <c r="N3014" s="16"/>
      <c r="O3014" s="17"/>
      <c r="P3014" s="17"/>
      <c r="Q3014" s="13">
        <f t="shared" si="3226"/>
        <v>0</v>
      </c>
      <c r="R3014" s="13"/>
      <c r="S3014" s="13"/>
      <c r="T3014" s="13">
        <f t="shared" ref="T3014:Y3014" si="3231">IF(ISBLANK(K3014)=TRUE,0,1)</f>
        <v>1</v>
      </c>
      <c r="U3014" s="13">
        <f t="shared" si="3231"/>
        <v>1</v>
      </c>
      <c r="V3014" s="13">
        <f t="shared" si="3231"/>
        <v>0</v>
      </c>
      <c r="W3014" s="13">
        <f t="shared" si="3231"/>
        <v>0</v>
      </c>
      <c r="X3014" s="13">
        <f t="shared" si="3231"/>
        <v>0</v>
      </c>
      <c r="Y3014" s="13">
        <f t="shared" si="3231"/>
        <v>0</v>
      </c>
      <c r="Z3014" s="13">
        <f t="shared" si="3023"/>
        <v>1</v>
      </c>
      <c r="AA3014" s="13"/>
      <c r="AB3014" s="13"/>
      <c r="AC3014" s="13"/>
      <c r="AD3014" s="13"/>
      <c r="AE3014" s="13"/>
      <c r="AF3014" s="13"/>
      <c r="AG3014" s="13"/>
      <c r="AH3014" s="13"/>
      <c r="AI3014" s="13"/>
      <c r="AJ3014" s="13"/>
      <c r="AK3014" s="13"/>
      <c r="AL3014" s="13"/>
      <c r="AM3014" s="13"/>
      <c r="AN3014" s="13"/>
      <c r="AO3014" s="13"/>
      <c r="AP3014" s="13"/>
      <c r="AQ3014" s="13"/>
      <c r="AR3014" s="13"/>
      <c r="AS3014" s="13"/>
    </row>
    <row r="3015" ht="14.25" customHeight="1">
      <c r="A3015" s="26" t="s">
        <v>29</v>
      </c>
      <c r="B3015" s="26" t="s">
        <v>32</v>
      </c>
      <c r="C3015" s="27" t="s">
        <v>109</v>
      </c>
      <c r="D3015" s="26" t="s">
        <v>177</v>
      </c>
      <c r="F3015" s="26"/>
      <c r="G3015" s="13" t="s">
        <v>111</v>
      </c>
      <c r="H3015" s="26" t="s">
        <v>75</v>
      </c>
      <c r="I3015" s="26"/>
      <c r="J3015" s="26"/>
      <c r="K3015" s="28"/>
      <c r="L3015" s="28"/>
      <c r="M3015" s="16">
        <v>0.0</v>
      </c>
      <c r="N3015" s="16">
        <v>0.0</v>
      </c>
      <c r="O3015" s="17">
        <v>0.0</v>
      </c>
      <c r="P3015" s="17">
        <v>0.0</v>
      </c>
      <c r="Q3015" s="13"/>
      <c r="R3015" s="13"/>
      <c r="S3015" s="13"/>
      <c r="T3015" s="13">
        <f t="shared" ref="T3015:Y3015" si="3232">IF(ISBLANK(K3015)=TRUE,0,1)</f>
        <v>0</v>
      </c>
      <c r="U3015" s="13">
        <f t="shared" si="3232"/>
        <v>0</v>
      </c>
      <c r="V3015" s="13">
        <f t="shared" si="3232"/>
        <v>1</v>
      </c>
      <c r="W3015" s="13">
        <f t="shared" si="3232"/>
        <v>1</v>
      </c>
      <c r="X3015" s="13">
        <f t="shared" si="3232"/>
        <v>1</v>
      </c>
      <c r="Y3015" s="13">
        <f t="shared" si="3232"/>
        <v>1</v>
      </c>
      <c r="Z3015" s="13">
        <f t="shared" si="3023"/>
        <v>0</v>
      </c>
      <c r="AA3015" s="13"/>
      <c r="AB3015" s="13"/>
      <c r="AC3015" s="13"/>
      <c r="AD3015" s="13"/>
      <c r="AE3015" s="13"/>
      <c r="AF3015" s="13"/>
      <c r="AG3015" s="13"/>
      <c r="AH3015" s="13"/>
      <c r="AI3015" s="13"/>
      <c r="AJ3015" s="13"/>
      <c r="AK3015" s="13"/>
      <c r="AL3015" s="13"/>
      <c r="AM3015" s="13"/>
      <c r="AN3015" s="13"/>
      <c r="AO3015" s="13"/>
      <c r="AP3015" s="13"/>
      <c r="AQ3015" s="13"/>
      <c r="AR3015" s="13"/>
      <c r="AS3015" s="13"/>
    </row>
    <row r="3016" ht="14.25" customHeight="1">
      <c r="A3016" s="13" t="s">
        <v>36</v>
      </c>
      <c r="B3016" s="13" t="s">
        <v>37</v>
      </c>
      <c r="C3016" s="13" t="s">
        <v>1859</v>
      </c>
      <c r="D3016" s="13" t="s">
        <v>186</v>
      </c>
      <c r="F3016" s="13"/>
      <c r="G3016" s="13" t="s">
        <v>74</v>
      </c>
      <c r="H3016" s="13" t="s">
        <v>75</v>
      </c>
      <c r="I3016" s="13"/>
      <c r="J3016" s="13"/>
      <c r="K3016" s="15">
        <v>1.0</v>
      </c>
      <c r="L3016" s="15">
        <v>1.0</v>
      </c>
      <c r="M3016" s="16"/>
      <c r="N3016" s="16"/>
      <c r="O3016" s="17"/>
      <c r="P3016" s="17"/>
      <c r="Q3016" s="13">
        <f t="shared" ref="Q3016:Q3017" si="3234">K3015+L3015+M3015+N3015+O3015+P3015/6</f>
        <v>0</v>
      </c>
      <c r="R3016" s="13"/>
      <c r="S3016" s="13"/>
      <c r="T3016" s="13">
        <f t="shared" ref="T3016:Y3016" si="3233">IF(ISBLANK(K3016)=TRUE,0,1)</f>
        <v>1</v>
      </c>
      <c r="U3016" s="13">
        <f t="shared" si="3233"/>
        <v>1</v>
      </c>
      <c r="V3016" s="13">
        <f t="shared" si="3233"/>
        <v>0</v>
      </c>
      <c r="W3016" s="13">
        <f t="shared" si="3233"/>
        <v>0</v>
      </c>
      <c r="X3016" s="13">
        <f t="shared" si="3233"/>
        <v>0</v>
      </c>
      <c r="Y3016" s="13">
        <f t="shared" si="3233"/>
        <v>0</v>
      </c>
      <c r="Z3016" s="13">
        <f t="shared" si="3023"/>
        <v>1</v>
      </c>
      <c r="AA3016" s="13"/>
      <c r="AB3016" s="13"/>
      <c r="AC3016" s="13"/>
      <c r="AD3016" s="13"/>
      <c r="AE3016" s="13"/>
      <c r="AF3016" s="13"/>
      <c r="AG3016" s="13"/>
      <c r="AH3016" s="13"/>
      <c r="AI3016" s="13"/>
      <c r="AJ3016" s="13"/>
      <c r="AK3016" s="13"/>
      <c r="AL3016" s="13"/>
      <c r="AM3016" s="13"/>
      <c r="AN3016" s="13"/>
      <c r="AO3016" s="13"/>
      <c r="AP3016" s="13"/>
      <c r="AQ3016" s="13"/>
      <c r="AR3016" s="13"/>
      <c r="AS3016" s="13"/>
    </row>
    <row r="3017" ht="14.25" customHeight="1">
      <c r="A3017" s="13" t="s">
        <v>36</v>
      </c>
      <c r="B3017" s="13" t="s">
        <v>39</v>
      </c>
      <c r="C3017" s="13" t="s">
        <v>1872</v>
      </c>
      <c r="D3017" s="13" t="s">
        <v>176</v>
      </c>
      <c r="F3017" s="13"/>
      <c r="G3017" s="13" t="s">
        <v>111</v>
      </c>
      <c r="H3017" s="13" t="s">
        <v>75</v>
      </c>
      <c r="I3017" s="13"/>
      <c r="J3017" s="13"/>
      <c r="K3017" s="15">
        <v>0.0</v>
      </c>
      <c r="L3017" s="15">
        <v>0.0</v>
      </c>
      <c r="M3017" s="16"/>
      <c r="N3017" s="16"/>
      <c r="O3017" s="17"/>
      <c r="P3017" s="17"/>
      <c r="Q3017" s="13">
        <f t="shared" si="3234"/>
        <v>2</v>
      </c>
      <c r="R3017" s="13"/>
      <c r="S3017" s="13"/>
      <c r="T3017" s="13">
        <f t="shared" ref="T3017:Y3017" si="3235">IF(ISBLANK(K3017)=TRUE,0,1)</f>
        <v>1</v>
      </c>
      <c r="U3017" s="13">
        <f t="shared" si="3235"/>
        <v>1</v>
      </c>
      <c r="V3017" s="13">
        <f t="shared" si="3235"/>
        <v>0</v>
      </c>
      <c r="W3017" s="13">
        <f t="shared" si="3235"/>
        <v>0</v>
      </c>
      <c r="X3017" s="13">
        <f t="shared" si="3235"/>
        <v>0</v>
      </c>
      <c r="Y3017" s="13">
        <f t="shared" si="3235"/>
        <v>0</v>
      </c>
      <c r="Z3017" s="13">
        <f t="shared" si="3023"/>
        <v>0</v>
      </c>
      <c r="AA3017" s="13"/>
      <c r="AB3017" s="13"/>
      <c r="AC3017" s="13"/>
      <c r="AD3017" s="13"/>
      <c r="AE3017" s="13"/>
      <c r="AF3017" s="13"/>
      <c r="AG3017" s="13"/>
      <c r="AH3017" s="13"/>
      <c r="AI3017" s="13"/>
      <c r="AJ3017" s="13"/>
      <c r="AK3017" s="13"/>
      <c r="AL3017" s="13"/>
      <c r="AM3017" s="13"/>
      <c r="AN3017" s="13"/>
      <c r="AO3017" s="13"/>
      <c r="AP3017" s="13"/>
      <c r="AQ3017" s="13"/>
      <c r="AR3017" s="13"/>
      <c r="AS3017" s="13"/>
    </row>
    <row r="3018" ht="14.25" customHeight="1">
      <c r="A3018" s="13" t="s">
        <v>29</v>
      </c>
      <c r="B3018" s="13" t="s">
        <v>32</v>
      </c>
      <c r="C3018" s="18" t="s">
        <v>109</v>
      </c>
      <c r="D3018" s="13" t="s">
        <v>1878</v>
      </c>
      <c r="F3018" s="13"/>
      <c r="G3018" s="13" t="s">
        <v>111</v>
      </c>
      <c r="H3018" s="13" t="s">
        <v>75</v>
      </c>
      <c r="I3018" s="13"/>
      <c r="J3018" s="13"/>
      <c r="K3018" s="15"/>
      <c r="L3018" s="15"/>
      <c r="M3018" s="16">
        <v>0.0</v>
      </c>
      <c r="N3018" s="16">
        <v>0.0</v>
      </c>
      <c r="O3018" s="17">
        <v>0.0</v>
      </c>
      <c r="P3018" s="17">
        <v>0.0</v>
      </c>
      <c r="Q3018" s="13"/>
      <c r="R3018" s="13"/>
      <c r="S3018" s="13"/>
      <c r="T3018" s="13">
        <f t="shared" ref="T3018:Y3018" si="3236">IF(ISBLANK(K3018)=TRUE,0,1)</f>
        <v>0</v>
      </c>
      <c r="U3018" s="13">
        <f t="shared" si="3236"/>
        <v>0</v>
      </c>
      <c r="V3018" s="13">
        <f t="shared" si="3236"/>
        <v>1</v>
      </c>
      <c r="W3018" s="13">
        <f t="shared" si="3236"/>
        <v>1</v>
      </c>
      <c r="X3018" s="13">
        <f t="shared" si="3236"/>
        <v>1</v>
      </c>
      <c r="Y3018" s="13">
        <f t="shared" si="3236"/>
        <v>1</v>
      </c>
      <c r="Z3018" s="13">
        <f t="shared" si="3023"/>
        <v>0</v>
      </c>
      <c r="AA3018" s="13"/>
      <c r="AB3018" s="13"/>
      <c r="AC3018" s="13"/>
      <c r="AD3018" s="13"/>
      <c r="AE3018" s="13"/>
      <c r="AF3018" s="13"/>
      <c r="AG3018" s="13"/>
      <c r="AH3018" s="13"/>
      <c r="AI3018" s="13"/>
      <c r="AJ3018" s="13"/>
      <c r="AK3018" s="13"/>
      <c r="AL3018" s="13"/>
      <c r="AM3018" s="13"/>
      <c r="AN3018" s="13"/>
      <c r="AO3018" s="13"/>
      <c r="AP3018" s="13"/>
      <c r="AQ3018" s="13"/>
      <c r="AR3018" s="13"/>
      <c r="AS3018" s="13"/>
    </row>
    <row r="3019" ht="14.25" customHeight="1">
      <c r="A3019" s="13" t="s">
        <v>36</v>
      </c>
      <c r="B3019" s="13" t="s">
        <v>42</v>
      </c>
      <c r="C3019" s="13">
        <v>616.0</v>
      </c>
      <c r="D3019" s="13" t="s">
        <v>117</v>
      </c>
      <c r="F3019" s="13"/>
      <c r="G3019" s="13" t="s">
        <v>111</v>
      </c>
      <c r="H3019" s="13" t="s">
        <v>75</v>
      </c>
      <c r="I3019" s="13"/>
      <c r="J3019" s="13"/>
      <c r="K3019" s="15">
        <v>1.0</v>
      </c>
      <c r="L3019" s="15">
        <v>1.0</v>
      </c>
      <c r="M3019" s="16"/>
      <c r="N3019" s="16"/>
      <c r="O3019" s="17"/>
      <c r="P3019" s="17"/>
      <c r="Q3019" s="13">
        <f t="shared" ref="Q3019:Q3027" si="3238">K3018+L3018+M3018+N3018+O3018+P3018/6</f>
        <v>0</v>
      </c>
      <c r="R3019" s="13"/>
      <c r="S3019" s="13"/>
      <c r="T3019" s="13">
        <f t="shared" ref="T3019:Y3019" si="3237">IF(ISBLANK(K3019)=TRUE,0,1)</f>
        <v>1</v>
      </c>
      <c r="U3019" s="13">
        <f t="shared" si="3237"/>
        <v>1</v>
      </c>
      <c r="V3019" s="13">
        <f t="shared" si="3237"/>
        <v>0</v>
      </c>
      <c r="W3019" s="13">
        <f t="shared" si="3237"/>
        <v>0</v>
      </c>
      <c r="X3019" s="13">
        <f t="shared" si="3237"/>
        <v>0</v>
      </c>
      <c r="Y3019" s="13">
        <f t="shared" si="3237"/>
        <v>0</v>
      </c>
      <c r="Z3019" s="13">
        <f t="shared" si="3023"/>
        <v>1</v>
      </c>
      <c r="AA3019" s="13"/>
      <c r="AB3019" s="13"/>
      <c r="AC3019" s="13"/>
      <c r="AD3019" s="13"/>
      <c r="AE3019" s="13"/>
      <c r="AF3019" s="13"/>
      <c r="AG3019" s="13"/>
      <c r="AH3019" s="13"/>
      <c r="AI3019" s="13"/>
      <c r="AJ3019" s="13"/>
      <c r="AK3019" s="13"/>
      <c r="AL3019" s="13"/>
      <c r="AM3019" s="13"/>
      <c r="AN3019" s="13"/>
      <c r="AO3019" s="13"/>
      <c r="AP3019" s="13"/>
      <c r="AQ3019" s="13"/>
      <c r="AR3019" s="13"/>
      <c r="AS3019" s="13"/>
    </row>
    <row r="3020" ht="14.25" customHeight="1">
      <c r="A3020" s="13" t="s">
        <v>36</v>
      </c>
      <c r="B3020" s="13" t="s">
        <v>42</v>
      </c>
      <c r="C3020" s="13">
        <v>616.0</v>
      </c>
      <c r="D3020" s="13" t="s">
        <v>119</v>
      </c>
      <c r="F3020" s="13"/>
      <c r="G3020" s="13" t="s">
        <v>111</v>
      </c>
      <c r="H3020" s="13" t="s">
        <v>75</v>
      </c>
      <c r="I3020" s="13"/>
      <c r="J3020" s="13"/>
      <c r="K3020" s="15">
        <v>1.0</v>
      </c>
      <c r="L3020" s="15">
        <v>1.0</v>
      </c>
      <c r="M3020" s="16"/>
      <c r="N3020" s="16"/>
      <c r="O3020" s="17"/>
      <c r="P3020" s="17"/>
      <c r="Q3020" s="13">
        <f t="shared" si="3238"/>
        <v>2</v>
      </c>
      <c r="R3020" s="13"/>
      <c r="S3020" s="13"/>
      <c r="T3020" s="13">
        <f t="shared" ref="T3020:Y3020" si="3239">IF(ISBLANK(K3020)=TRUE,0,1)</f>
        <v>1</v>
      </c>
      <c r="U3020" s="13">
        <f t="shared" si="3239"/>
        <v>1</v>
      </c>
      <c r="V3020" s="13">
        <f t="shared" si="3239"/>
        <v>0</v>
      </c>
      <c r="W3020" s="13">
        <f t="shared" si="3239"/>
        <v>0</v>
      </c>
      <c r="X3020" s="13">
        <f t="shared" si="3239"/>
        <v>0</v>
      </c>
      <c r="Y3020" s="13">
        <f t="shared" si="3239"/>
        <v>0</v>
      </c>
      <c r="Z3020" s="13">
        <f t="shared" si="3023"/>
        <v>1</v>
      </c>
      <c r="AA3020" s="13"/>
      <c r="AB3020" s="13"/>
      <c r="AC3020" s="13"/>
      <c r="AD3020" s="13"/>
      <c r="AE3020" s="13"/>
      <c r="AF3020" s="13"/>
      <c r="AG3020" s="13"/>
      <c r="AH3020" s="13"/>
      <c r="AI3020" s="13"/>
      <c r="AJ3020" s="13"/>
      <c r="AK3020" s="13"/>
      <c r="AL3020" s="13"/>
      <c r="AM3020" s="13"/>
      <c r="AN3020" s="13"/>
      <c r="AO3020" s="13"/>
      <c r="AP3020" s="13"/>
      <c r="AQ3020" s="13"/>
      <c r="AR3020" s="13"/>
      <c r="AS3020" s="13"/>
    </row>
    <row r="3021" ht="14.25" customHeight="1">
      <c r="A3021" s="13" t="s">
        <v>36</v>
      </c>
      <c r="B3021" s="13" t="s">
        <v>42</v>
      </c>
      <c r="C3021" s="13">
        <v>616.0</v>
      </c>
      <c r="D3021" s="13" t="s">
        <v>120</v>
      </c>
      <c r="F3021" s="13"/>
      <c r="G3021" s="13" t="s">
        <v>111</v>
      </c>
      <c r="H3021" s="13" t="s">
        <v>75</v>
      </c>
      <c r="I3021" s="13"/>
      <c r="J3021" s="13"/>
      <c r="K3021" s="15">
        <v>1.0</v>
      </c>
      <c r="L3021" s="15">
        <v>1.0</v>
      </c>
      <c r="M3021" s="16"/>
      <c r="N3021" s="16"/>
      <c r="O3021" s="17"/>
      <c r="P3021" s="17"/>
      <c r="Q3021" s="13">
        <f t="shared" si="3238"/>
        <v>2</v>
      </c>
      <c r="R3021" s="13"/>
      <c r="S3021" s="13"/>
      <c r="T3021" s="13">
        <f t="shared" ref="T3021:Y3021" si="3240">IF(ISBLANK(K3021)=TRUE,0,1)</f>
        <v>1</v>
      </c>
      <c r="U3021" s="13">
        <f t="shared" si="3240"/>
        <v>1</v>
      </c>
      <c r="V3021" s="13">
        <f t="shared" si="3240"/>
        <v>0</v>
      </c>
      <c r="W3021" s="13">
        <f t="shared" si="3240"/>
        <v>0</v>
      </c>
      <c r="X3021" s="13">
        <f t="shared" si="3240"/>
        <v>0</v>
      </c>
      <c r="Y3021" s="13">
        <f t="shared" si="3240"/>
        <v>0</v>
      </c>
      <c r="Z3021" s="13">
        <f t="shared" si="3023"/>
        <v>1</v>
      </c>
      <c r="AA3021" s="13"/>
      <c r="AB3021" s="13"/>
      <c r="AC3021" s="13"/>
      <c r="AD3021" s="13"/>
      <c r="AE3021" s="13"/>
      <c r="AF3021" s="13"/>
      <c r="AG3021" s="13"/>
      <c r="AH3021" s="13"/>
      <c r="AI3021" s="13"/>
      <c r="AJ3021" s="13"/>
      <c r="AK3021" s="13"/>
      <c r="AL3021" s="13"/>
      <c r="AM3021" s="13"/>
      <c r="AN3021" s="13"/>
      <c r="AO3021" s="13"/>
      <c r="AP3021" s="13"/>
      <c r="AQ3021" s="13"/>
      <c r="AR3021" s="13"/>
      <c r="AS3021" s="13"/>
    </row>
    <row r="3022" ht="14.25" customHeight="1">
      <c r="A3022" s="13" t="s">
        <v>36</v>
      </c>
      <c r="B3022" s="13" t="s">
        <v>41</v>
      </c>
      <c r="C3022" s="13" t="s">
        <v>1860</v>
      </c>
      <c r="D3022" s="13" t="s">
        <v>194</v>
      </c>
      <c r="F3022" s="13"/>
      <c r="G3022" s="13" t="s">
        <v>74</v>
      </c>
      <c r="H3022" s="13" t="s">
        <v>75</v>
      </c>
      <c r="I3022" s="13"/>
      <c r="J3022" s="13"/>
      <c r="K3022" s="15">
        <v>1.0</v>
      </c>
      <c r="L3022" s="15">
        <v>1.0</v>
      </c>
      <c r="M3022" s="16"/>
      <c r="N3022" s="16"/>
      <c r="O3022" s="17">
        <v>1.0</v>
      </c>
      <c r="P3022" s="17">
        <v>1.0</v>
      </c>
      <c r="Q3022" s="13">
        <f t="shared" si="3238"/>
        <v>2</v>
      </c>
      <c r="R3022" s="13"/>
      <c r="S3022" s="13"/>
      <c r="T3022" s="13">
        <f t="shared" ref="T3022:Y3022" si="3241">IF(ISBLANK(K3022)=TRUE,0,1)</f>
        <v>1</v>
      </c>
      <c r="U3022" s="13">
        <f t="shared" si="3241"/>
        <v>1</v>
      </c>
      <c r="V3022" s="13">
        <f t="shared" si="3241"/>
        <v>0</v>
      </c>
      <c r="W3022" s="13">
        <f t="shared" si="3241"/>
        <v>0</v>
      </c>
      <c r="X3022" s="13">
        <f t="shared" si="3241"/>
        <v>1</v>
      </c>
      <c r="Y3022" s="13">
        <f t="shared" si="3241"/>
        <v>1</v>
      </c>
      <c r="Z3022" s="13">
        <f t="shared" si="3023"/>
        <v>1</v>
      </c>
      <c r="AA3022" s="13"/>
      <c r="AB3022" s="13"/>
      <c r="AC3022" s="13"/>
      <c r="AD3022" s="13"/>
      <c r="AE3022" s="13"/>
      <c r="AF3022" s="13"/>
      <c r="AG3022" s="13"/>
      <c r="AH3022" s="13"/>
      <c r="AI3022" s="13"/>
      <c r="AJ3022" s="13"/>
      <c r="AK3022" s="13"/>
      <c r="AL3022" s="13"/>
      <c r="AM3022" s="13"/>
      <c r="AN3022" s="13"/>
      <c r="AO3022" s="13"/>
      <c r="AP3022" s="13"/>
      <c r="AQ3022" s="13"/>
      <c r="AR3022" s="13"/>
      <c r="AS3022" s="13"/>
    </row>
    <row r="3023" ht="14.25" customHeight="1">
      <c r="A3023" s="13" t="s">
        <v>36</v>
      </c>
      <c r="B3023" s="13" t="s">
        <v>41</v>
      </c>
      <c r="C3023" s="13" t="s">
        <v>1860</v>
      </c>
      <c r="D3023" s="13" t="s">
        <v>195</v>
      </c>
      <c r="F3023" s="13"/>
      <c r="G3023" s="13" t="s">
        <v>74</v>
      </c>
      <c r="H3023" s="13" t="s">
        <v>75</v>
      </c>
      <c r="I3023" s="13"/>
      <c r="J3023" s="13"/>
      <c r="K3023" s="15">
        <v>1.0</v>
      </c>
      <c r="L3023" s="15">
        <v>1.0</v>
      </c>
      <c r="M3023" s="16"/>
      <c r="N3023" s="16"/>
      <c r="O3023" s="17">
        <v>1.0</v>
      </c>
      <c r="P3023" s="17">
        <v>1.0</v>
      </c>
      <c r="Q3023" s="13">
        <f t="shared" si="3238"/>
        <v>3.166666667</v>
      </c>
      <c r="R3023" s="13"/>
      <c r="S3023" s="13"/>
      <c r="T3023" s="13">
        <f t="shared" ref="T3023:Y3023" si="3242">IF(ISBLANK(K3023)=TRUE,0,1)</f>
        <v>1</v>
      </c>
      <c r="U3023" s="13">
        <f t="shared" si="3242"/>
        <v>1</v>
      </c>
      <c r="V3023" s="13">
        <f t="shared" si="3242"/>
        <v>0</v>
      </c>
      <c r="W3023" s="13">
        <f t="shared" si="3242"/>
        <v>0</v>
      </c>
      <c r="X3023" s="13">
        <f t="shared" si="3242"/>
        <v>1</v>
      </c>
      <c r="Y3023" s="13">
        <f t="shared" si="3242"/>
        <v>1</v>
      </c>
      <c r="Z3023" s="13">
        <f t="shared" si="3023"/>
        <v>1</v>
      </c>
      <c r="AA3023" s="13"/>
      <c r="AB3023" s="13"/>
      <c r="AC3023" s="13"/>
      <c r="AD3023" s="13"/>
      <c r="AE3023" s="13"/>
      <c r="AF3023" s="13"/>
      <c r="AG3023" s="13"/>
      <c r="AH3023" s="13"/>
      <c r="AI3023" s="13"/>
      <c r="AJ3023" s="13"/>
      <c r="AK3023" s="13"/>
      <c r="AL3023" s="13"/>
      <c r="AM3023" s="13"/>
      <c r="AN3023" s="13"/>
      <c r="AO3023" s="13"/>
      <c r="AP3023" s="13"/>
      <c r="AQ3023" s="13"/>
      <c r="AR3023" s="13"/>
      <c r="AS3023" s="13"/>
    </row>
    <row r="3024" ht="14.25" customHeight="1">
      <c r="A3024" s="13" t="s">
        <v>36</v>
      </c>
      <c r="B3024" s="13" t="s">
        <v>39</v>
      </c>
      <c r="C3024" s="13" t="s">
        <v>1872</v>
      </c>
      <c r="D3024" s="13" t="s">
        <v>177</v>
      </c>
      <c r="F3024" s="13"/>
      <c r="G3024" s="13" t="s">
        <v>111</v>
      </c>
      <c r="H3024" s="13" t="s">
        <v>75</v>
      </c>
      <c r="I3024" s="13"/>
      <c r="J3024" s="13"/>
      <c r="K3024" s="15">
        <v>0.0</v>
      </c>
      <c r="L3024" s="15">
        <v>0.0</v>
      </c>
      <c r="M3024" s="16"/>
      <c r="N3024" s="16"/>
      <c r="O3024" s="17"/>
      <c r="P3024" s="17"/>
      <c r="Q3024" s="13">
        <f t="shared" si="3238"/>
        <v>3.166666667</v>
      </c>
      <c r="R3024" s="13"/>
      <c r="S3024" s="13"/>
      <c r="T3024" s="13">
        <f t="shared" ref="T3024:Y3024" si="3243">IF(ISBLANK(K3024)=TRUE,0,1)</f>
        <v>1</v>
      </c>
      <c r="U3024" s="13">
        <f t="shared" si="3243"/>
        <v>1</v>
      </c>
      <c r="V3024" s="13">
        <f t="shared" si="3243"/>
        <v>0</v>
      </c>
      <c r="W3024" s="13">
        <f t="shared" si="3243"/>
        <v>0</v>
      </c>
      <c r="X3024" s="13">
        <f t="shared" si="3243"/>
        <v>0</v>
      </c>
      <c r="Y3024" s="13">
        <f t="shared" si="3243"/>
        <v>0</v>
      </c>
      <c r="Z3024" s="13">
        <f t="shared" si="3023"/>
        <v>0</v>
      </c>
      <c r="AA3024" s="13"/>
      <c r="AB3024" s="13"/>
      <c r="AC3024" s="13"/>
      <c r="AD3024" s="13"/>
      <c r="AE3024" s="13"/>
      <c r="AF3024" s="13"/>
      <c r="AG3024" s="13"/>
      <c r="AH3024" s="13"/>
      <c r="AI3024" s="13"/>
      <c r="AJ3024" s="13"/>
      <c r="AK3024" s="13"/>
      <c r="AL3024" s="13"/>
      <c r="AM3024" s="13"/>
      <c r="AN3024" s="13"/>
      <c r="AO3024" s="13"/>
      <c r="AP3024" s="13"/>
      <c r="AQ3024" s="13"/>
      <c r="AR3024" s="13"/>
      <c r="AS3024" s="13"/>
    </row>
    <row r="3025" ht="14.25" customHeight="1">
      <c r="A3025" s="13" t="s">
        <v>36</v>
      </c>
      <c r="B3025" s="13" t="s">
        <v>39</v>
      </c>
      <c r="C3025" s="13" t="s">
        <v>1872</v>
      </c>
      <c r="D3025" s="13" t="s">
        <v>178</v>
      </c>
      <c r="F3025" s="13"/>
      <c r="G3025" s="13" t="s">
        <v>111</v>
      </c>
      <c r="H3025" s="13" t="s">
        <v>75</v>
      </c>
      <c r="I3025" s="13"/>
      <c r="J3025" s="13"/>
      <c r="K3025" s="15">
        <v>0.0</v>
      </c>
      <c r="L3025" s="15">
        <v>0.0</v>
      </c>
      <c r="M3025" s="16"/>
      <c r="N3025" s="16"/>
      <c r="O3025" s="17"/>
      <c r="P3025" s="17"/>
      <c r="Q3025" s="13">
        <f t="shared" si="3238"/>
        <v>0</v>
      </c>
      <c r="R3025" s="13"/>
      <c r="S3025" s="13"/>
      <c r="T3025" s="13">
        <f t="shared" ref="T3025:Y3025" si="3244">IF(ISBLANK(K3025)=TRUE,0,1)</f>
        <v>1</v>
      </c>
      <c r="U3025" s="13">
        <f t="shared" si="3244"/>
        <v>1</v>
      </c>
      <c r="V3025" s="13">
        <f t="shared" si="3244"/>
        <v>0</v>
      </c>
      <c r="W3025" s="13">
        <f t="shared" si="3244"/>
        <v>0</v>
      </c>
      <c r="X3025" s="13">
        <f t="shared" si="3244"/>
        <v>0</v>
      </c>
      <c r="Y3025" s="13">
        <f t="shared" si="3244"/>
        <v>0</v>
      </c>
      <c r="Z3025" s="13">
        <f t="shared" si="3023"/>
        <v>0</v>
      </c>
      <c r="AA3025" s="13"/>
      <c r="AB3025" s="13"/>
      <c r="AC3025" s="13"/>
      <c r="AD3025" s="13"/>
      <c r="AE3025" s="13"/>
      <c r="AF3025" s="13"/>
      <c r="AG3025" s="13"/>
      <c r="AH3025" s="13"/>
      <c r="AI3025" s="13"/>
      <c r="AJ3025" s="13"/>
      <c r="AK3025" s="13"/>
      <c r="AL3025" s="13"/>
      <c r="AM3025" s="13"/>
      <c r="AN3025" s="13"/>
      <c r="AO3025" s="13"/>
      <c r="AP3025" s="13"/>
      <c r="AQ3025" s="13"/>
      <c r="AR3025" s="13"/>
      <c r="AS3025" s="13"/>
    </row>
    <row r="3026" ht="14.25" customHeight="1">
      <c r="A3026" s="13" t="s">
        <v>36</v>
      </c>
      <c r="B3026" s="13" t="s">
        <v>39</v>
      </c>
      <c r="C3026" s="13" t="s">
        <v>1872</v>
      </c>
      <c r="D3026" s="13" t="s">
        <v>179</v>
      </c>
      <c r="F3026" s="13"/>
      <c r="G3026" s="13" t="s">
        <v>111</v>
      </c>
      <c r="H3026" s="13" t="s">
        <v>75</v>
      </c>
      <c r="I3026" s="13"/>
      <c r="J3026" s="13"/>
      <c r="K3026" s="15">
        <v>0.0</v>
      </c>
      <c r="L3026" s="15">
        <v>0.0</v>
      </c>
      <c r="M3026" s="16"/>
      <c r="N3026" s="16"/>
      <c r="O3026" s="17"/>
      <c r="P3026" s="17"/>
      <c r="Q3026" s="13">
        <f t="shared" si="3238"/>
        <v>0</v>
      </c>
      <c r="R3026" s="13"/>
      <c r="S3026" s="13"/>
      <c r="T3026" s="13">
        <f t="shared" ref="T3026:Y3026" si="3245">IF(ISBLANK(K3026)=TRUE,0,1)</f>
        <v>1</v>
      </c>
      <c r="U3026" s="13">
        <f t="shared" si="3245"/>
        <v>1</v>
      </c>
      <c r="V3026" s="13">
        <f t="shared" si="3245"/>
        <v>0</v>
      </c>
      <c r="W3026" s="13">
        <f t="shared" si="3245"/>
        <v>0</v>
      </c>
      <c r="X3026" s="13">
        <f t="shared" si="3245"/>
        <v>0</v>
      </c>
      <c r="Y3026" s="13">
        <f t="shared" si="3245"/>
        <v>0</v>
      </c>
      <c r="Z3026" s="13">
        <f t="shared" si="3023"/>
        <v>0</v>
      </c>
      <c r="AA3026" s="13"/>
      <c r="AB3026" s="13"/>
      <c r="AC3026" s="13"/>
      <c r="AD3026" s="13"/>
      <c r="AE3026" s="13"/>
      <c r="AF3026" s="13"/>
      <c r="AG3026" s="13"/>
      <c r="AH3026" s="13"/>
      <c r="AI3026" s="13"/>
      <c r="AJ3026" s="13"/>
      <c r="AK3026" s="13"/>
      <c r="AL3026" s="13"/>
      <c r="AM3026" s="13"/>
      <c r="AN3026" s="13"/>
      <c r="AO3026" s="13"/>
      <c r="AP3026" s="13"/>
      <c r="AQ3026" s="13"/>
      <c r="AR3026" s="13"/>
      <c r="AS3026" s="13"/>
    </row>
    <row r="3027" ht="14.25" customHeight="1">
      <c r="A3027" s="13" t="s">
        <v>36</v>
      </c>
      <c r="B3027" s="13" t="s">
        <v>37</v>
      </c>
      <c r="C3027" s="13" t="s">
        <v>1859</v>
      </c>
      <c r="D3027" s="13" t="s">
        <v>187</v>
      </c>
      <c r="F3027" s="13"/>
      <c r="G3027" s="13" t="s">
        <v>74</v>
      </c>
      <c r="H3027" s="13" t="s">
        <v>75</v>
      </c>
      <c r="I3027" s="13"/>
      <c r="J3027" s="13"/>
      <c r="K3027" s="15">
        <v>1.0</v>
      </c>
      <c r="L3027" s="15">
        <v>1.0</v>
      </c>
      <c r="M3027" s="16"/>
      <c r="N3027" s="16"/>
      <c r="O3027" s="17"/>
      <c r="P3027" s="17"/>
      <c r="Q3027" s="13">
        <f t="shared" si="3238"/>
        <v>0</v>
      </c>
      <c r="R3027" s="13"/>
      <c r="S3027" s="13"/>
      <c r="T3027" s="13">
        <f t="shared" ref="T3027:Y3027" si="3246">IF(ISBLANK(K3027)=TRUE,0,1)</f>
        <v>1</v>
      </c>
      <c r="U3027" s="13">
        <f t="shared" si="3246"/>
        <v>1</v>
      </c>
      <c r="V3027" s="13">
        <f t="shared" si="3246"/>
        <v>0</v>
      </c>
      <c r="W3027" s="13">
        <f t="shared" si="3246"/>
        <v>0</v>
      </c>
      <c r="X3027" s="13">
        <f t="shared" si="3246"/>
        <v>0</v>
      </c>
      <c r="Y3027" s="13">
        <f t="shared" si="3246"/>
        <v>0</v>
      </c>
      <c r="Z3027" s="13">
        <f t="shared" si="3023"/>
        <v>1</v>
      </c>
      <c r="AA3027" s="13"/>
      <c r="AB3027" s="13"/>
      <c r="AC3027" s="13"/>
      <c r="AD3027" s="13"/>
      <c r="AE3027" s="13"/>
      <c r="AF3027" s="13"/>
      <c r="AG3027" s="13"/>
      <c r="AH3027" s="13"/>
      <c r="AI3027" s="13"/>
      <c r="AJ3027" s="13"/>
      <c r="AK3027" s="13"/>
      <c r="AL3027" s="13"/>
      <c r="AM3027" s="13"/>
      <c r="AN3027" s="13"/>
      <c r="AO3027" s="13"/>
      <c r="AP3027" s="13"/>
      <c r="AQ3027" s="13"/>
      <c r="AR3027" s="13"/>
      <c r="AS3027" s="13"/>
    </row>
    <row r="3028" ht="14.25" customHeight="1">
      <c r="A3028" s="26" t="s">
        <v>29</v>
      </c>
      <c r="B3028" s="26" t="s">
        <v>32</v>
      </c>
      <c r="C3028" s="27" t="s">
        <v>109</v>
      </c>
      <c r="D3028" s="26" t="s">
        <v>178</v>
      </c>
      <c r="F3028" s="26"/>
      <c r="G3028" s="13" t="s">
        <v>111</v>
      </c>
      <c r="H3028" s="26" t="s">
        <v>75</v>
      </c>
      <c r="I3028" s="26"/>
      <c r="J3028" s="26"/>
      <c r="K3028" s="28"/>
      <c r="L3028" s="28"/>
      <c r="M3028" s="16">
        <v>0.0</v>
      </c>
      <c r="N3028" s="16">
        <v>0.0</v>
      </c>
      <c r="O3028" s="17">
        <v>0.0</v>
      </c>
      <c r="P3028" s="17">
        <v>0.0</v>
      </c>
      <c r="Q3028" s="13"/>
      <c r="R3028" s="13"/>
      <c r="S3028" s="13"/>
      <c r="T3028" s="13">
        <f t="shared" ref="T3028:Y3028" si="3247">IF(ISBLANK(K3028)=TRUE,0,1)</f>
        <v>0</v>
      </c>
      <c r="U3028" s="13">
        <f t="shared" si="3247"/>
        <v>0</v>
      </c>
      <c r="V3028" s="13">
        <f t="shared" si="3247"/>
        <v>1</v>
      </c>
      <c r="W3028" s="13">
        <f t="shared" si="3247"/>
        <v>1</v>
      </c>
      <c r="X3028" s="13">
        <f t="shared" si="3247"/>
        <v>1</v>
      </c>
      <c r="Y3028" s="13">
        <f t="shared" si="3247"/>
        <v>1</v>
      </c>
      <c r="Z3028" s="13">
        <f t="shared" si="3023"/>
        <v>0</v>
      </c>
      <c r="AA3028" s="13"/>
      <c r="AB3028" s="13"/>
      <c r="AC3028" s="13"/>
      <c r="AD3028" s="13"/>
      <c r="AE3028" s="13"/>
      <c r="AF3028" s="13"/>
      <c r="AG3028" s="13"/>
      <c r="AH3028" s="13"/>
      <c r="AI3028" s="13"/>
      <c r="AJ3028" s="13"/>
      <c r="AK3028" s="13"/>
      <c r="AL3028" s="13"/>
      <c r="AM3028" s="13"/>
      <c r="AN3028" s="13"/>
      <c r="AO3028" s="13"/>
      <c r="AP3028" s="13"/>
      <c r="AQ3028" s="13"/>
      <c r="AR3028" s="13"/>
      <c r="AS3028" s="13"/>
    </row>
    <row r="3029" ht="14.25" customHeight="1">
      <c r="A3029" s="13" t="s">
        <v>29</v>
      </c>
      <c r="B3029" s="13" t="s">
        <v>32</v>
      </c>
      <c r="C3029" s="18" t="s">
        <v>109</v>
      </c>
      <c r="D3029" s="13" t="s">
        <v>1879</v>
      </c>
      <c r="F3029" s="13"/>
      <c r="G3029" s="13" t="s">
        <v>111</v>
      </c>
      <c r="H3029" s="13" t="s">
        <v>75</v>
      </c>
      <c r="I3029" s="13"/>
      <c r="J3029" s="13"/>
      <c r="K3029" s="15"/>
      <c r="L3029" s="15"/>
      <c r="M3029" s="16">
        <v>0.0</v>
      </c>
      <c r="N3029" s="16">
        <v>0.0</v>
      </c>
      <c r="O3029" s="17">
        <v>0.0</v>
      </c>
      <c r="P3029" s="17">
        <v>0.0</v>
      </c>
      <c r="Q3029" s="13"/>
      <c r="R3029" s="13"/>
      <c r="S3029" s="13"/>
      <c r="T3029" s="13">
        <f t="shared" ref="T3029:Y3029" si="3248">IF(ISBLANK(K3029)=TRUE,0,1)</f>
        <v>0</v>
      </c>
      <c r="U3029" s="13">
        <f t="shared" si="3248"/>
        <v>0</v>
      </c>
      <c r="V3029" s="13">
        <f t="shared" si="3248"/>
        <v>1</v>
      </c>
      <c r="W3029" s="13">
        <f t="shared" si="3248"/>
        <v>1</v>
      </c>
      <c r="X3029" s="13">
        <f t="shared" si="3248"/>
        <v>1</v>
      </c>
      <c r="Y3029" s="13">
        <f t="shared" si="3248"/>
        <v>1</v>
      </c>
      <c r="Z3029" s="13">
        <f t="shared" si="3023"/>
        <v>0</v>
      </c>
      <c r="AA3029" s="13"/>
      <c r="AB3029" s="13"/>
      <c r="AC3029" s="13"/>
      <c r="AD3029" s="13"/>
      <c r="AE3029" s="13"/>
      <c r="AF3029" s="13"/>
      <c r="AG3029" s="13"/>
      <c r="AH3029" s="13"/>
      <c r="AI3029" s="13"/>
      <c r="AJ3029" s="13"/>
      <c r="AK3029" s="13"/>
      <c r="AL3029" s="13"/>
      <c r="AM3029" s="13"/>
      <c r="AN3029" s="13"/>
      <c r="AO3029" s="13"/>
      <c r="AP3029" s="13"/>
      <c r="AQ3029" s="13"/>
      <c r="AR3029" s="13"/>
      <c r="AS3029" s="13"/>
    </row>
    <row r="3030" ht="14.25" customHeight="1">
      <c r="A3030" s="26" t="s">
        <v>29</v>
      </c>
      <c r="B3030" s="26" t="s">
        <v>32</v>
      </c>
      <c r="C3030" s="27" t="s">
        <v>109</v>
      </c>
      <c r="D3030" s="26" t="s">
        <v>179</v>
      </c>
      <c r="F3030" s="26"/>
      <c r="G3030" s="13" t="s">
        <v>111</v>
      </c>
      <c r="H3030" s="26" t="s">
        <v>75</v>
      </c>
      <c r="I3030" s="26"/>
      <c r="J3030" s="26"/>
      <c r="K3030" s="28"/>
      <c r="L3030" s="28"/>
      <c r="M3030" s="16">
        <v>0.0</v>
      </c>
      <c r="N3030" s="16">
        <v>0.0</v>
      </c>
      <c r="O3030" s="17">
        <v>0.0</v>
      </c>
      <c r="P3030" s="17">
        <v>0.0</v>
      </c>
      <c r="Q3030" s="13"/>
      <c r="R3030" s="13"/>
      <c r="S3030" s="13"/>
      <c r="T3030" s="13">
        <f t="shared" ref="T3030:Y3030" si="3249">IF(ISBLANK(K3030)=TRUE,0,1)</f>
        <v>0</v>
      </c>
      <c r="U3030" s="13">
        <f t="shared" si="3249"/>
        <v>0</v>
      </c>
      <c r="V3030" s="13">
        <f t="shared" si="3249"/>
        <v>1</v>
      </c>
      <c r="W3030" s="13">
        <f t="shared" si="3249"/>
        <v>1</v>
      </c>
      <c r="X3030" s="13">
        <f t="shared" si="3249"/>
        <v>1</v>
      </c>
      <c r="Y3030" s="13">
        <f t="shared" si="3249"/>
        <v>1</v>
      </c>
      <c r="Z3030" s="13">
        <f t="shared" si="3023"/>
        <v>0</v>
      </c>
      <c r="AA3030" s="13"/>
      <c r="AB3030" s="13"/>
      <c r="AC3030" s="13"/>
      <c r="AD3030" s="13"/>
      <c r="AE3030" s="13"/>
      <c r="AF3030" s="13"/>
      <c r="AG3030" s="13"/>
      <c r="AH3030" s="13"/>
      <c r="AI3030" s="13"/>
      <c r="AJ3030" s="13"/>
      <c r="AK3030" s="13"/>
      <c r="AL3030" s="13"/>
      <c r="AM3030" s="13"/>
      <c r="AN3030" s="13"/>
      <c r="AO3030" s="13"/>
      <c r="AP3030" s="13"/>
      <c r="AQ3030" s="13"/>
      <c r="AR3030" s="13"/>
      <c r="AS3030" s="13"/>
    </row>
    <row r="3031" ht="14.25" customHeight="1">
      <c r="A3031" s="13" t="s">
        <v>29</v>
      </c>
      <c r="B3031" s="13" t="s">
        <v>32</v>
      </c>
      <c r="C3031" s="18" t="s">
        <v>109</v>
      </c>
      <c r="D3031" s="13" t="s">
        <v>1880</v>
      </c>
      <c r="F3031" s="13"/>
      <c r="G3031" s="13" t="s">
        <v>111</v>
      </c>
      <c r="H3031" s="13" t="s">
        <v>75</v>
      </c>
      <c r="I3031" s="13"/>
      <c r="J3031" s="13"/>
      <c r="K3031" s="15"/>
      <c r="L3031" s="15"/>
      <c r="M3031" s="16">
        <v>0.0</v>
      </c>
      <c r="N3031" s="16">
        <v>0.0</v>
      </c>
      <c r="O3031" s="17">
        <v>0.0</v>
      </c>
      <c r="P3031" s="17">
        <v>0.0</v>
      </c>
      <c r="Q3031" s="13"/>
      <c r="R3031" s="13"/>
      <c r="S3031" s="13"/>
      <c r="T3031" s="13">
        <f t="shared" ref="T3031:Y3031" si="3250">IF(ISBLANK(K3031)=TRUE,0,1)</f>
        <v>0</v>
      </c>
      <c r="U3031" s="13">
        <f t="shared" si="3250"/>
        <v>0</v>
      </c>
      <c r="V3031" s="13">
        <f t="shared" si="3250"/>
        <v>1</v>
      </c>
      <c r="W3031" s="13">
        <f t="shared" si="3250"/>
        <v>1</v>
      </c>
      <c r="X3031" s="13">
        <f t="shared" si="3250"/>
        <v>1</v>
      </c>
      <c r="Y3031" s="13">
        <f t="shared" si="3250"/>
        <v>1</v>
      </c>
      <c r="Z3031" s="13">
        <f t="shared" si="3023"/>
        <v>0</v>
      </c>
      <c r="AA3031" s="13"/>
      <c r="AB3031" s="13"/>
      <c r="AC3031" s="13"/>
      <c r="AD3031" s="13"/>
      <c r="AE3031" s="13"/>
      <c r="AF3031" s="13"/>
      <c r="AG3031" s="13"/>
      <c r="AH3031" s="13"/>
      <c r="AI3031" s="13"/>
      <c r="AJ3031" s="13"/>
      <c r="AK3031" s="13"/>
      <c r="AL3031" s="13"/>
      <c r="AM3031" s="13"/>
      <c r="AN3031" s="13"/>
      <c r="AO3031" s="13"/>
      <c r="AP3031" s="13"/>
      <c r="AQ3031" s="13"/>
      <c r="AR3031" s="13"/>
      <c r="AS3031" s="13"/>
    </row>
    <row r="3032" ht="14.25" customHeight="1">
      <c r="A3032" s="26" t="s">
        <v>29</v>
      </c>
      <c r="B3032" s="26" t="s">
        <v>32</v>
      </c>
      <c r="C3032" s="27" t="s">
        <v>109</v>
      </c>
      <c r="D3032" s="26" t="s">
        <v>180</v>
      </c>
      <c r="F3032" s="26"/>
      <c r="G3032" s="13" t="s">
        <v>111</v>
      </c>
      <c r="H3032" s="26"/>
      <c r="I3032" s="26"/>
      <c r="J3032" s="26"/>
      <c r="K3032" s="28"/>
      <c r="L3032" s="28"/>
      <c r="M3032" s="16">
        <v>0.0</v>
      </c>
      <c r="N3032" s="16">
        <v>0.0</v>
      </c>
      <c r="O3032" s="17">
        <v>0.0</v>
      </c>
      <c r="P3032" s="17">
        <v>0.0</v>
      </c>
      <c r="Q3032" s="13"/>
      <c r="R3032" s="13"/>
      <c r="S3032" s="13"/>
      <c r="T3032" s="13">
        <f t="shared" ref="T3032:Y3032" si="3251">IF(ISBLANK(K3032)=TRUE,0,1)</f>
        <v>0</v>
      </c>
      <c r="U3032" s="13">
        <f t="shared" si="3251"/>
        <v>0</v>
      </c>
      <c r="V3032" s="13">
        <f t="shared" si="3251"/>
        <v>1</v>
      </c>
      <c r="W3032" s="13">
        <f t="shared" si="3251"/>
        <v>1</v>
      </c>
      <c r="X3032" s="13">
        <f t="shared" si="3251"/>
        <v>1</v>
      </c>
      <c r="Y3032" s="13">
        <f t="shared" si="3251"/>
        <v>1</v>
      </c>
      <c r="Z3032" s="13">
        <f t="shared" si="3023"/>
        <v>0</v>
      </c>
      <c r="AA3032" s="13"/>
      <c r="AB3032" s="13"/>
      <c r="AC3032" s="13"/>
      <c r="AD3032" s="13"/>
      <c r="AE3032" s="13"/>
      <c r="AF3032" s="13"/>
      <c r="AG3032" s="13"/>
      <c r="AH3032" s="13"/>
      <c r="AI3032" s="13"/>
      <c r="AJ3032" s="13"/>
      <c r="AK3032" s="13"/>
      <c r="AL3032" s="13"/>
      <c r="AM3032" s="13"/>
      <c r="AN3032" s="13"/>
      <c r="AO3032" s="13"/>
      <c r="AP3032" s="13"/>
      <c r="AQ3032" s="13"/>
      <c r="AR3032" s="13"/>
      <c r="AS3032" s="13"/>
    </row>
    <row r="3033" ht="14.25" customHeight="1">
      <c r="A3033" s="13" t="s">
        <v>29</v>
      </c>
      <c r="B3033" s="13" t="s">
        <v>32</v>
      </c>
      <c r="C3033" s="18" t="s">
        <v>109</v>
      </c>
      <c r="D3033" s="13" t="s">
        <v>1881</v>
      </c>
      <c r="F3033" s="13"/>
      <c r="G3033" s="13" t="s">
        <v>111</v>
      </c>
      <c r="H3033" s="13" t="s">
        <v>75</v>
      </c>
      <c r="I3033" s="13"/>
      <c r="J3033" s="13"/>
      <c r="K3033" s="15"/>
      <c r="L3033" s="15"/>
      <c r="M3033" s="16">
        <v>0.0</v>
      </c>
      <c r="N3033" s="16">
        <v>0.0</v>
      </c>
      <c r="O3033" s="17">
        <v>0.0</v>
      </c>
      <c r="P3033" s="17">
        <v>0.0</v>
      </c>
      <c r="Q3033" s="13"/>
      <c r="R3033" s="13"/>
      <c r="S3033" s="13"/>
      <c r="T3033" s="13">
        <f t="shared" ref="T3033:Y3033" si="3252">IF(ISBLANK(K3033)=TRUE,0,1)</f>
        <v>0</v>
      </c>
      <c r="U3033" s="13">
        <f t="shared" si="3252"/>
        <v>0</v>
      </c>
      <c r="V3033" s="13">
        <f t="shared" si="3252"/>
        <v>1</v>
      </c>
      <c r="W3033" s="13">
        <f t="shared" si="3252"/>
        <v>1</v>
      </c>
      <c r="X3033" s="13">
        <f t="shared" si="3252"/>
        <v>1</v>
      </c>
      <c r="Y3033" s="13">
        <f t="shared" si="3252"/>
        <v>1</v>
      </c>
      <c r="Z3033" s="13">
        <f t="shared" si="3023"/>
        <v>0</v>
      </c>
      <c r="AA3033" s="13"/>
      <c r="AB3033" s="13"/>
      <c r="AC3033" s="13"/>
      <c r="AD3033" s="13"/>
      <c r="AE3033" s="13"/>
      <c r="AF3033" s="13"/>
      <c r="AG3033" s="13"/>
      <c r="AH3033" s="13"/>
      <c r="AI3033" s="13"/>
      <c r="AJ3033" s="13"/>
      <c r="AK3033" s="13"/>
      <c r="AL3033" s="13"/>
      <c r="AM3033" s="13"/>
      <c r="AN3033" s="13"/>
      <c r="AO3033" s="13"/>
      <c r="AP3033" s="13"/>
      <c r="AQ3033" s="13"/>
      <c r="AR3033" s="13"/>
      <c r="AS3033" s="13"/>
    </row>
    <row r="3034" ht="14.25" customHeight="1">
      <c r="A3034" s="13" t="s">
        <v>46</v>
      </c>
      <c r="B3034" s="13" t="s">
        <v>51</v>
      </c>
      <c r="C3034" s="13" t="s">
        <v>1882</v>
      </c>
      <c r="D3034" s="13"/>
      <c r="E3034" s="13"/>
      <c r="F3034" s="13"/>
      <c r="G3034" s="13" t="s">
        <v>74</v>
      </c>
      <c r="H3034" s="13" t="s">
        <v>75</v>
      </c>
      <c r="I3034" s="14">
        <v>44917.0</v>
      </c>
      <c r="J3034" s="14"/>
      <c r="K3034" s="15"/>
      <c r="L3034" s="15"/>
      <c r="M3034" s="16"/>
      <c r="N3034" s="16"/>
      <c r="O3034" s="17">
        <v>0.0</v>
      </c>
      <c r="P3034" s="17">
        <v>0.0</v>
      </c>
      <c r="Q3034" s="13">
        <f>K3033+L3033+M3033+N3033+O3033+P3033/6</f>
        <v>0</v>
      </c>
      <c r="R3034" s="14">
        <v>44966.0</v>
      </c>
      <c r="S3034" s="13"/>
      <c r="T3034" s="13">
        <f t="shared" ref="T3034:Y3034" si="3253">IF(ISBLANK(K3034)=TRUE,0,1)</f>
        <v>0</v>
      </c>
      <c r="U3034" s="13">
        <f t="shared" si="3253"/>
        <v>0</v>
      </c>
      <c r="V3034" s="13">
        <f t="shared" si="3253"/>
        <v>0</v>
      </c>
      <c r="W3034" s="13">
        <f t="shared" si="3253"/>
        <v>0</v>
      </c>
      <c r="X3034" s="13">
        <f t="shared" si="3253"/>
        <v>1</v>
      </c>
      <c r="Y3034" s="13">
        <f t="shared" si="3253"/>
        <v>1</v>
      </c>
      <c r="Z3034" s="13">
        <f t="shared" si="3023"/>
        <v>0</v>
      </c>
      <c r="AA3034" s="13"/>
      <c r="AB3034" s="13"/>
      <c r="AC3034" s="13"/>
      <c r="AD3034" s="13"/>
      <c r="AE3034" s="13"/>
      <c r="AF3034" s="13"/>
      <c r="AG3034" s="13"/>
      <c r="AH3034" s="13"/>
      <c r="AI3034" s="13"/>
      <c r="AJ3034" s="13"/>
      <c r="AK3034" s="13"/>
      <c r="AL3034" s="13"/>
      <c r="AM3034" s="13"/>
      <c r="AN3034" s="13"/>
      <c r="AO3034" s="13"/>
      <c r="AP3034" s="13"/>
      <c r="AQ3034" s="13"/>
      <c r="AR3034" s="13"/>
      <c r="AS3034" s="13"/>
    </row>
    <row r="3035" ht="14.25" customHeight="1">
      <c r="A3035" s="26" t="s">
        <v>29</v>
      </c>
      <c r="B3035" s="26" t="s">
        <v>32</v>
      </c>
      <c r="C3035" s="27" t="s">
        <v>109</v>
      </c>
      <c r="D3035" s="26" t="s">
        <v>181</v>
      </c>
      <c r="F3035" s="26"/>
      <c r="G3035" s="13" t="s">
        <v>111</v>
      </c>
      <c r="H3035" s="26" t="s">
        <v>75</v>
      </c>
      <c r="I3035" s="26"/>
      <c r="J3035" s="26"/>
      <c r="K3035" s="28"/>
      <c r="L3035" s="28"/>
      <c r="M3035" s="16">
        <v>0.0</v>
      </c>
      <c r="N3035" s="16">
        <v>0.0</v>
      </c>
      <c r="O3035" s="17">
        <v>0.0</v>
      </c>
      <c r="P3035" s="17">
        <v>0.0</v>
      </c>
      <c r="Q3035" s="13"/>
      <c r="R3035" s="13"/>
      <c r="S3035" s="13"/>
      <c r="T3035" s="13">
        <f t="shared" ref="T3035:Y3035" si="3254">IF(ISBLANK(K3035)=TRUE,0,1)</f>
        <v>0</v>
      </c>
      <c r="U3035" s="13">
        <f t="shared" si="3254"/>
        <v>0</v>
      </c>
      <c r="V3035" s="13">
        <f t="shared" si="3254"/>
        <v>1</v>
      </c>
      <c r="W3035" s="13">
        <f t="shared" si="3254"/>
        <v>1</v>
      </c>
      <c r="X3035" s="13">
        <f t="shared" si="3254"/>
        <v>1</v>
      </c>
      <c r="Y3035" s="13">
        <f t="shared" si="3254"/>
        <v>1</v>
      </c>
      <c r="Z3035" s="13">
        <f t="shared" si="3023"/>
        <v>0</v>
      </c>
      <c r="AA3035" s="13"/>
      <c r="AB3035" s="13"/>
      <c r="AC3035" s="13"/>
      <c r="AD3035" s="13"/>
      <c r="AE3035" s="13"/>
      <c r="AF3035" s="13"/>
      <c r="AG3035" s="13"/>
      <c r="AH3035" s="13"/>
      <c r="AI3035" s="13"/>
      <c r="AJ3035" s="13"/>
      <c r="AK3035" s="13"/>
      <c r="AL3035" s="13"/>
      <c r="AM3035" s="13"/>
      <c r="AN3035" s="13"/>
      <c r="AO3035" s="13"/>
      <c r="AP3035" s="13"/>
      <c r="AQ3035" s="13"/>
      <c r="AR3035" s="13"/>
      <c r="AS3035" s="13"/>
    </row>
    <row r="3036" ht="14.25" customHeight="1">
      <c r="A3036" s="13" t="s">
        <v>29</v>
      </c>
      <c r="B3036" s="13" t="s">
        <v>32</v>
      </c>
      <c r="C3036" s="18" t="s">
        <v>109</v>
      </c>
      <c r="D3036" s="13" t="s">
        <v>1883</v>
      </c>
      <c r="F3036" s="13"/>
      <c r="G3036" s="13" t="s">
        <v>111</v>
      </c>
      <c r="H3036" s="13" t="s">
        <v>75</v>
      </c>
      <c r="I3036" s="13"/>
      <c r="J3036" s="13"/>
      <c r="K3036" s="15"/>
      <c r="L3036" s="15"/>
      <c r="M3036" s="16">
        <v>0.0</v>
      </c>
      <c r="N3036" s="16">
        <v>0.0</v>
      </c>
      <c r="O3036" s="17">
        <v>0.0</v>
      </c>
      <c r="P3036" s="17">
        <v>0.0</v>
      </c>
      <c r="Q3036" s="13"/>
      <c r="R3036" s="13"/>
      <c r="S3036" s="13"/>
      <c r="T3036" s="13">
        <f t="shared" ref="T3036:Y3036" si="3255">IF(ISBLANK(K3036)=TRUE,0,1)</f>
        <v>0</v>
      </c>
      <c r="U3036" s="13">
        <f t="shared" si="3255"/>
        <v>0</v>
      </c>
      <c r="V3036" s="13">
        <f t="shared" si="3255"/>
        <v>1</v>
      </c>
      <c r="W3036" s="13">
        <f t="shared" si="3255"/>
        <v>1</v>
      </c>
      <c r="X3036" s="13">
        <f t="shared" si="3255"/>
        <v>1</v>
      </c>
      <c r="Y3036" s="13">
        <f t="shared" si="3255"/>
        <v>1</v>
      </c>
      <c r="Z3036" s="13">
        <f t="shared" si="3023"/>
        <v>0</v>
      </c>
      <c r="AA3036" s="13"/>
      <c r="AB3036" s="13"/>
      <c r="AC3036" s="13"/>
      <c r="AD3036" s="13"/>
      <c r="AE3036" s="13"/>
      <c r="AF3036" s="13"/>
      <c r="AG3036" s="13"/>
      <c r="AH3036" s="13"/>
      <c r="AI3036" s="13"/>
      <c r="AJ3036" s="13"/>
      <c r="AK3036" s="13"/>
      <c r="AL3036" s="13"/>
      <c r="AM3036" s="13"/>
      <c r="AN3036" s="13"/>
      <c r="AO3036" s="13"/>
      <c r="AP3036" s="13"/>
      <c r="AQ3036" s="13"/>
      <c r="AR3036" s="13"/>
      <c r="AS3036" s="13"/>
    </row>
    <row r="3037" ht="14.25" customHeight="1">
      <c r="A3037" s="13" t="s">
        <v>46</v>
      </c>
      <c r="B3037" s="13" t="s">
        <v>51</v>
      </c>
      <c r="C3037" s="13" t="s">
        <v>1884</v>
      </c>
      <c r="D3037" s="13"/>
      <c r="E3037" s="13"/>
      <c r="F3037" s="13"/>
      <c r="G3037" s="13" t="s">
        <v>74</v>
      </c>
      <c r="H3037" s="13" t="s">
        <v>75</v>
      </c>
      <c r="I3037" s="14">
        <v>44917.0</v>
      </c>
      <c r="J3037" s="14"/>
      <c r="K3037" s="15"/>
      <c r="L3037" s="15"/>
      <c r="M3037" s="16"/>
      <c r="N3037" s="16"/>
      <c r="O3037" s="17">
        <v>0.0</v>
      </c>
      <c r="P3037" s="17">
        <v>0.0</v>
      </c>
      <c r="Q3037" s="13">
        <f>K3036+L3036+M3036+N3036+O3036+P3036/6</f>
        <v>0</v>
      </c>
      <c r="R3037" s="14">
        <v>44966.0</v>
      </c>
      <c r="S3037" s="13"/>
      <c r="T3037" s="13">
        <f t="shared" ref="T3037:Y3037" si="3256">IF(ISBLANK(K3037)=TRUE,0,1)</f>
        <v>0</v>
      </c>
      <c r="U3037" s="13">
        <f t="shared" si="3256"/>
        <v>0</v>
      </c>
      <c r="V3037" s="13">
        <f t="shared" si="3256"/>
        <v>0</v>
      </c>
      <c r="W3037" s="13">
        <f t="shared" si="3256"/>
        <v>0</v>
      </c>
      <c r="X3037" s="13">
        <f t="shared" si="3256"/>
        <v>1</v>
      </c>
      <c r="Y3037" s="13">
        <f t="shared" si="3256"/>
        <v>1</v>
      </c>
      <c r="Z3037" s="13">
        <f t="shared" si="3023"/>
        <v>0</v>
      </c>
      <c r="AA3037" s="13"/>
      <c r="AB3037" s="13"/>
      <c r="AC3037" s="13"/>
      <c r="AD3037" s="13"/>
      <c r="AE3037" s="13"/>
      <c r="AF3037" s="13"/>
      <c r="AG3037" s="13"/>
      <c r="AH3037" s="13"/>
      <c r="AI3037" s="13"/>
      <c r="AJ3037" s="13"/>
      <c r="AK3037" s="13"/>
      <c r="AL3037" s="13"/>
      <c r="AM3037" s="13"/>
      <c r="AN3037" s="13"/>
      <c r="AO3037" s="13"/>
      <c r="AP3037" s="13"/>
      <c r="AQ3037" s="13"/>
      <c r="AR3037" s="13"/>
      <c r="AS3037" s="13"/>
    </row>
    <row r="3038" ht="14.25" customHeight="1">
      <c r="A3038" s="26" t="s">
        <v>46</v>
      </c>
      <c r="B3038" s="26" t="s">
        <v>49</v>
      </c>
      <c r="C3038" s="26" t="s">
        <v>1885</v>
      </c>
      <c r="D3038" s="26" t="s">
        <v>179</v>
      </c>
      <c r="E3038" s="13"/>
      <c r="F3038" s="26"/>
      <c r="G3038" s="26" t="s">
        <v>74</v>
      </c>
      <c r="H3038" s="26" t="s">
        <v>107</v>
      </c>
      <c r="I3038" s="13"/>
      <c r="J3038" s="13"/>
      <c r="K3038" s="15">
        <v>1.0</v>
      </c>
      <c r="L3038" s="15">
        <v>1.0</v>
      </c>
      <c r="M3038" s="16"/>
      <c r="N3038" s="16"/>
      <c r="O3038" s="17"/>
      <c r="P3038" s="17"/>
      <c r="Q3038" s="13"/>
      <c r="R3038" s="13"/>
      <c r="S3038" s="13"/>
      <c r="T3038" s="13">
        <f t="shared" ref="T3038:Y3038" si="3257">IF(ISBLANK(K3038)=TRUE,0,1)</f>
        <v>1</v>
      </c>
      <c r="U3038" s="13">
        <f t="shared" si="3257"/>
        <v>1</v>
      </c>
      <c r="V3038" s="13">
        <f t="shared" si="3257"/>
        <v>0</v>
      </c>
      <c r="W3038" s="13">
        <f t="shared" si="3257"/>
        <v>0</v>
      </c>
      <c r="X3038" s="13">
        <f t="shared" si="3257"/>
        <v>0</v>
      </c>
      <c r="Y3038" s="13">
        <f t="shared" si="3257"/>
        <v>0</v>
      </c>
      <c r="Z3038" s="13">
        <f t="shared" si="3023"/>
        <v>1</v>
      </c>
      <c r="AA3038" s="13"/>
      <c r="AB3038" s="13"/>
      <c r="AC3038" s="13"/>
      <c r="AD3038" s="13"/>
      <c r="AE3038" s="13"/>
      <c r="AF3038" s="13"/>
      <c r="AG3038" s="13"/>
      <c r="AH3038" s="13"/>
      <c r="AI3038" s="13"/>
      <c r="AJ3038" s="13"/>
      <c r="AK3038" s="13"/>
      <c r="AL3038" s="13"/>
      <c r="AM3038" s="13"/>
      <c r="AN3038" s="13"/>
      <c r="AO3038" s="13"/>
      <c r="AP3038" s="13"/>
      <c r="AQ3038" s="13"/>
      <c r="AR3038" s="13"/>
      <c r="AS3038" s="13"/>
    </row>
    <row r="3039" ht="14.25" customHeight="1">
      <c r="A3039" s="13" t="s">
        <v>46</v>
      </c>
      <c r="B3039" s="13" t="s">
        <v>51</v>
      </c>
      <c r="C3039" s="13" t="s">
        <v>1886</v>
      </c>
      <c r="D3039" s="13"/>
      <c r="E3039" s="13"/>
      <c r="F3039" s="13"/>
      <c r="G3039" s="13" t="s">
        <v>74</v>
      </c>
      <c r="H3039" s="13" t="s">
        <v>75</v>
      </c>
      <c r="I3039" s="14">
        <v>44917.0</v>
      </c>
      <c r="J3039" s="14"/>
      <c r="K3039" s="15"/>
      <c r="L3039" s="15"/>
      <c r="M3039" s="16"/>
      <c r="N3039" s="16"/>
      <c r="O3039" s="17">
        <v>0.0</v>
      </c>
      <c r="P3039" s="17">
        <v>0.0</v>
      </c>
      <c r="Q3039" s="13">
        <f t="shared" ref="Q3039:Q3041" si="3259">K3038+L3038+M3038+N3038+O3038+P3038/6</f>
        <v>2</v>
      </c>
      <c r="R3039" s="14">
        <v>44966.0</v>
      </c>
      <c r="S3039" s="13"/>
      <c r="T3039" s="13">
        <f t="shared" ref="T3039:Y3039" si="3258">IF(ISBLANK(K3039)=TRUE,0,1)</f>
        <v>0</v>
      </c>
      <c r="U3039" s="13">
        <f t="shared" si="3258"/>
        <v>0</v>
      </c>
      <c r="V3039" s="13">
        <f t="shared" si="3258"/>
        <v>0</v>
      </c>
      <c r="W3039" s="13">
        <f t="shared" si="3258"/>
        <v>0</v>
      </c>
      <c r="X3039" s="13">
        <f t="shared" si="3258"/>
        <v>1</v>
      </c>
      <c r="Y3039" s="13">
        <f t="shared" si="3258"/>
        <v>1</v>
      </c>
      <c r="Z3039" s="13">
        <f t="shared" si="3023"/>
        <v>0</v>
      </c>
      <c r="AA3039" s="13"/>
      <c r="AB3039" s="13"/>
      <c r="AC3039" s="13"/>
      <c r="AD3039" s="13"/>
      <c r="AE3039" s="13"/>
      <c r="AF3039" s="13"/>
      <c r="AG3039" s="13"/>
      <c r="AH3039" s="13"/>
      <c r="AI3039" s="13"/>
      <c r="AJ3039" s="13"/>
      <c r="AK3039" s="13"/>
      <c r="AL3039" s="13"/>
      <c r="AM3039" s="13"/>
      <c r="AN3039" s="13"/>
      <c r="AO3039" s="13"/>
      <c r="AP3039" s="13"/>
      <c r="AQ3039" s="13"/>
      <c r="AR3039" s="13"/>
      <c r="AS3039" s="13"/>
    </row>
    <row r="3040" ht="14.25" customHeight="1">
      <c r="A3040" s="13" t="s">
        <v>46</v>
      </c>
      <c r="B3040" s="13" t="s">
        <v>51</v>
      </c>
      <c r="C3040" s="13" t="s">
        <v>1887</v>
      </c>
      <c r="D3040" s="13"/>
      <c r="E3040" s="13"/>
      <c r="F3040" s="13"/>
      <c r="G3040" s="13" t="s">
        <v>74</v>
      </c>
      <c r="H3040" s="13" t="s">
        <v>75</v>
      </c>
      <c r="I3040" s="14">
        <v>44917.0</v>
      </c>
      <c r="J3040" s="14"/>
      <c r="K3040" s="15"/>
      <c r="L3040" s="15"/>
      <c r="M3040" s="16"/>
      <c r="N3040" s="16"/>
      <c r="O3040" s="17">
        <v>0.0</v>
      </c>
      <c r="P3040" s="17">
        <v>0.0</v>
      </c>
      <c r="Q3040" s="13">
        <f t="shared" si="3259"/>
        <v>0</v>
      </c>
      <c r="R3040" s="14">
        <v>44966.0</v>
      </c>
      <c r="S3040" s="13"/>
      <c r="T3040" s="13">
        <f t="shared" ref="T3040:Y3040" si="3260">IF(ISBLANK(K3040)=TRUE,0,1)</f>
        <v>0</v>
      </c>
      <c r="U3040" s="13">
        <f t="shared" si="3260"/>
        <v>0</v>
      </c>
      <c r="V3040" s="13">
        <f t="shared" si="3260"/>
        <v>0</v>
      </c>
      <c r="W3040" s="13">
        <f t="shared" si="3260"/>
        <v>0</v>
      </c>
      <c r="X3040" s="13">
        <f t="shared" si="3260"/>
        <v>1</v>
      </c>
      <c r="Y3040" s="13">
        <f t="shared" si="3260"/>
        <v>1</v>
      </c>
      <c r="Z3040" s="13">
        <f t="shared" si="3023"/>
        <v>0</v>
      </c>
      <c r="AA3040" s="13"/>
      <c r="AB3040" s="13"/>
      <c r="AC3040" s="13"/>
      <c r="AD3040" s="13"/>
      <c r="AE3040" s="13"/>
      <c r="AF3040" s="13"/>
      <c r="AG3040" s="13"/>
      <c r="AH3040" s="13"/>
      <c r="AI3040" s="13"/>
      <c r="AJ3040" s="13"/>
      <c r="AK3040" s="13"/>
      <c r="AL3040" s="13"/>
      <c r="AM3040" s="13"/>
      <c r="AN3040" s="13"/>
      <c r="AO3040" s="13"/>
      <c r="AP3040" s="13"/>
      <c r="AQ3040" s="13"/>
      <c r="AR3040" s="13"/>
      <c r="AS3040" s="13"/>
    </row>
    <row r="3041" ht="14.25" customHeight="1">
      <c r="A3041" s="13" t="s">
        <v>46</v>
      </c>
      <c r="B3041" s="13" t="s">
        <v>51</v>
      </c>
      <c r="C3041" s="13" t="s">
        <v>1888</v>
      </c>
      <c r="D3041" s="13"/>
      <c r="E3041" s="13"/>
      <c r="F3041" s="13"/>
      <c r="G3041" s="13" t="s">
        <v>74</v>
      </c>
      <c r="H3041" s="13" t="s">
        <v>75</v>
      </c>
      <c r="I3041" s="14">
        <v>44917.0</v>
      </c>
      <c r="J3041" s="14"/>
      <c r="K3041" s="15"/>
      <c r="L3041" s="15"/>
      <c r="M3041" s="16"/>
      <c r="N3041" s="16"/>
      <c r="O3041" s="17">
        <v>0.0</v>
      </c>
      <c r="P3041" s="17">
        <v>0.0</v>
      </c>
      <c r="Q3041" s="13">
        <f t="shared" si="3259"/>
        <v>0</v>
      </c>
      <c r="R3041" s="14">
        <v>44966.0</v>
      </c>
      <c r="S3041" s="13"/>
      <c r="T3041" s="13">
        <f t="shared" ref="T3041:Y3041" si="3261">IF(ISBLANK(K3041)=TRUE,0,1)</f>
        <v>0</v>
      </c>
      <c r="U3041" s="13">
        <f t="shared" si="3261"/>
        <v>0</v>
      </c>
      <c r="V3041" s="13">
        <f t="shared" si="3261"/>
        <v>0</v>
      </c>
      <c r="W3041" s="13">
        <f t="shared" si="3261"/>
        <v>0</v>
      </c>
      <c r="X3041" s="13">
        <f t="shared" si="3261"/>
        <v>1</v>
      </c>
      <c r="Y3041" s="13">
        <f t="shared" si="3261"/>
        <v>1</v>
      </c>
      <c r="Z3041" s="13">
        <f t="shared" si="3023"/>
        <v>0</v>
      </c>
      <c r="AA3041" s="13"/>
      <c r="AB3041" s="13"/>
      <c r="AC3041" s="13"/>
      <c r="AD3041" s="13"/>
      <c r="AE3041" s="13"/>
      <c r="AF3041" s="13"/>
      <c r="AG3041" s="13"/>
      <c r="AH3041" s="13"/>
      <c r="AI3041" s="13"/>
      <c r="AJ3041" s="13"/>
      <c r="AK3041" s="13"/>
      <c r="AL3041" s="13"/>
      <c r="AM3041" s="13"/>
      <c r="AN3041" s="13"/>
      <c r="AO3041" s="13"/>
      <c r="AP3041" s="13"/>
      <c r="AQ3041" s="13"/>
      <c r="AR3041" s="13"/>
      <c r="AS3041" s="13"/>
    </row>
    <row r="3042" ht="14.25" customHeight="1">
      <c r="A3042" s="26" t="s">
        <v>46</v>
      </c>
      <c r="B3042" s="26" t="s">
        <v>49</v>
      </c>
      <c r="C3042" s="26" t="s">
        <v>1885</v>
      </c>
      <c r="D3042" s="26" t="s">
        <v>183</v>
      </c>
      <c r="E3042" s="13"/>
      <c r="F3042" s="26"/>
      <c r="G3042" s="26" t="s">
        <v>74</v>
      </c>
      <c r="H3042" s="26" t="s">
        <v>107</v>
      </c>
      <c r="I3042" s="13"/>
      <c r="J3042" s="13"/>
      <c r="K3042" s="15">
        <v>1.0</v>
      </c>
      <c r="L3042" s="15">
        <v>1.0</v>
      </c>
      <c r="M3042" s="16"/>
      <c r="N3042" s="16"/>
      <c r="O3042" s="17"/>
      <c r="P3042" s="17"/>
      <c r="Q3042" s="13"/>
      <c r="R3042" s="13"/>
      <c r="S3042" s="13"/>
      <c r="T3042" s="13">
        <f t="shared" ref="T3042:Y3042" si="3262">IF(ISBLANK(K3042)=TRUE,0,1)</f>
        <v>1</v>
      </c>
      <c r="U3042" s="13">
        <f t="shared" si="3262"/>
        <v>1</v>
      </c>
      <c r="V3042" s="13">
        <f t="shared" si="3262"/>
        <v>0</v>
      </c>
      <c r="W3042" s="13">
        <f t="shared" si="3262"/>
        <v>0</v>
      </c>
      <c r="X3042" s="13">
        <f t="shared" si="3262"/>
        <v>0</v>
      </c>
      <c r="Y3042" s="13">
        <f t="shared" si="3262"/>
        <v>0</v>
      </c>
      <c r="Z3042" s="13">
        <f t="shared" si="3023"/>
        <v>1</v>
      </c>
      <c r="AA3042" s="13"/>
      <c r="AB3042" s="13"/>
      <c r="AC3042" s="13"/>
      <c r="AD3042" s="13"/>
      <c r="AE3042" s="13"/>
      <c r="AF3042" s="13"/>
      <c r="AG3042" s="13"/>
      <c r="AH3042" s="13"/>
      <c r="AI3042" s="13"/>
      <c r="AJ3042" s="13"/>
      <c r="AK3042" s="13"/>
      <c r="AL3042" s="13"/>
      <c r="AM3042" s="13"/>
      <c r="AN3042" s="13"/>
      <c r="AO3042" s="13"/>
      <c r="AP3042" s="13"/>
      <c r="AQ3042" s="13"/>
      <c r="AR3042" s="13"/>
      <c r="AS3042" s="13"/>
    </row>
    <row r="3043" ht="14.25" customHeight="1">
      <c r="A3043" s="13" t="s">
        <v>46</v>
      </c>
      <c r="B3043" s="13" t="s">
        <v>51</v>
      </c>
      <c r="C3043" s="13" t="s">
        <v>1889</v>
      </c>
      <c r="D3043" s="13"/>
      <c r="E3043" s="13"/>
      <c r="F3043" s="13"/>
      <c r="G3043" s="13" t="s">
        <v>74</v>
      </c>
      <c r="H3043" s="13" t="s">
        <v>75</v>
      </c>
      <c r="I3043" s="14">
        <v>44908.0</v>
      </c>
      <c r="J3043" s="14"/>
      <c r="K3043" s="15">
        <v>0.0</v>
      </c>
      <c r="L3043" s="15">
        <v>0.0</v>
      </c>
      <c r="M3043" s="16"/>
      <c r="N3043" s="16"/>
      <c r="O3043" s="17">
        <v>0.0</v>
      </c>
      <c r="P3043" s="17">
        <v>0.0</v>
      </c>
      <c r="Q3043" s="13">
        <f t="shared" ref="Q3043:Q3044" si="3264">K3042+L3042+M3042+N3042+O3042+P3042/6</f>
        <v>2</v>
      </c>
      <c r="R3043" s="14">
        <v>44966.0</v>
      </c>
      <c r="S3043" s="13"/>
      <c r="T3043" s="13">
        <f t="shared" ref="T3043:Y3043" si="3263">IF(ISBLANK(K3043)=TRUE,0,1)</f>
        <v>1</v>
      </c>
      <c r="U3043" s="13">
        <f t="shared" si="3263"/>
        <v>1</v>
      </c>
      <c r="V3043" s="13">
        <f t="shared" si="3263"/>
        <v>0</v>
      </c>
      <c r="W3043" s="13">
        <f t="shared" si="3263"/>
        <v>0</v>
      </c>
      <c r="X3043" s="13">
        <f t="shared" si="3263"/>
        <v>1</v>
      </c>
      <c r="Y3043" s="13">
        <f t="shared" si="3263"/>
        <v>1</v>
      </c>
      <c r="Z3043" s="13">
        <f t="shared" si="3023"/>
        <v>0</v>
      </c>
      <c r="AA3043" s="13" t="s">
        <v>819</v>
      </c>
      <c r="AB3043" s="13"/>
      <c r="AC3043" s="13"/>
      <c r="AD3043" s="13"/>
      <c r="AE3043" s="13"/>
      <c r="AF3043" s="13"/>
      <c r="AG3043" s="13"/>
      <c r="AH3043" s="13"/>
      <c r="AI3043" s="13"/>
      <c r="AJ3043" s="13"/>
      <c r="AK3043" s="13"/>
      <c r="AL3043" s="13"/>
      <c r="AM3043" s="13"/>
      <c r="AN3043" s="13"/>
      <c r="AO3043" s="13"/>
      <c r="AP3043" s="13"/>
      <c r="AQ3043" s="13"/>
      <c r="AR3043" s="13"/>
      <c r="AS3043" s="13"/>
    </row>
    <row r="3044" ht="14.25" customHeight="1">
      <c r="A3044" s="13" t="s">
        <v>46</v>
      </c>
      <c r="B3044" s="13" t="s">
        <v>51</v>
      </c>
      <c r="C3044" s="13" t="s">
        <v>1890</v>
      </c>
      <c r="D3044" s="13"/>
      <c r="E3044" s="13"/>
      <c r="F3044" s="13"/>
      <c r="G3044" s="13" t="s">
        <v>74</v>
      </c>
      <c r="H3044" s="13" t="s">
        <v>75</v>
      </c>
      <c r="I3044" s="14">
        <v>44917.0</v>
      </c>
      <c r="J3044" s="14"/>
      <c r="K3044" s="15"/>
      <c r="L3044" s="15"/>
      <c r="M3044" s="16"/>
      <c r="N3044" s="16"/>
      <c r="O3044" s="17">
        <v>0.0</v>
      </c>
      <c r="P3044" s="17">
        <v>0.0</v>
      </c>
      <c r="Q3044" s="13">
        <f t="shared" si="3264"/>
        <v>0</v>
      </c>
      <c r="R3044" s="14">
        <v>44966.0</v>
      </c>
      <c r="S3044" s="13"/>
      <c r="T3044" s="13">
        <f t="shared" ref="T3044:Y3044" si="3265">IF(ISBLANK(K3044)=TRUE,0,1)</f>
        <v>0</v>
      </c>
      <c r="U3044" s="13">
        <f t="shared" si="3265"/>
        <v>0</v>
      </c>
      <c r="V3044" s="13">
        <f t="shared" si="3265"/>
        <v>0</v>
      </c>
      <c r="W3044" s="13">
        <f t="shared" si="3265"/>
        <v>0</v>
      </c>
      <c r="X3044" s="13">
        <f t="shared" si="3265"/>
        <v>1</v>
      </c>
      <c r="Y3044" s="13">
        <f t="shared" si="3265"/>
        <v>1</v>
      </c>
      <c r="Z3044" s="13">
        <f t="shared" si="3023"/>
        <v>0</v>
      </c>
      <c r="AA3044" s="13"/>
      <c r="AB3044" s="13"/>
      <c r="AC3044" s="13"/>
      <c r="AD3044" s="13"/>
      <c r="AE3044" s="13"/>
      <c r="AF3044" s="13"/>
      <c r="AG3044" s="13"/>
      <c r="AH3044" s="13"/>
      <c r="AI3044" s="13"/>
      <c r="AJ3044" s="13"/>
      <c r="AK3044" s="13"/>
      <c r="AL3044" s="13"/>
      <c r="AM3044" s="13"/>
      <c r="AN3044" s="13"/>
      <c r="AO3044" s="13"/>
      <c r="AP3044" s="13"/>
      <c r="AQ3044" s="13"/>
      <c r="AR3044" s="13"/>
      <c r="AS3044" s="13"/>
    </row>
    <row r="3045" ht="14.25" customHeight="1">
      <c r="A3045" s="26" t="s">
        <v>46</v>
      </c>
      <c r="B3045" s="26" t="s">
        <v>49</v>
      </c>
      <c r="C3045" s="26" t="s">
        <v>1885</v>
      </c>
      <c r="D3045" s="26" t="s">
        <v>186</v>
      </c>
      <c r="E3045" s="13"/>
      <c r="F3045" s="26"/>
      <c r="G3045" s="26" t="s">
        <v>74</v>
      </c>
      <c r="H3045" s="26" t="s">
        <v>107</v>
      </c>
      <c r="I3045" s="13"/>
      <c r="J3045" s="13"/>
      <c r="K3045" s="15">
        <v>1.0</v>
      </c>
      <c r="L3045" s="15">
        <v>1.0</v>
      </c>
      <c r="M3045" s="16"/>
      <c r="N3045" s="16"/>
      <c r="O3045" s="17"/>
      <c r="P3045" s="17"/>
      <c r="Q3045" s="13"/>
      <c r="R3045" s="13"/>
      <c r="S3045" s="13"/>
      <c r="T3045" s="13">
        <f t="shared" ref="T3045:Y3045" si="3266">IF(ISBLANK(K3045)=TRUE,0,1)</f>
        <v>1</v>
      </c>
      <c r="U3045" s="13">
        <f t="shared" si="3266"/>
        <v>1</v>
      </c>
      <c r="V3045" s="13">
        <f t="shared" si="3266"/>
        <v>0</v>
      </c>
      <c r="W3045" s="13">
        <f t="shared" si="3266"/>
        <v>0</v>
      </c>
      <c r="X3045" s="13">
        <f t="shared" si="3266"/>
        <v>0</v>
      </c>
      <c r="Y3045" s="13">
        <f t="shared" si="3266"/>
        <v>0</v>
      </c>
      <c r="Z3045" s="13">
        <f t="shared" si="3023"/>
        <v>1</v>
      </c>
      <c r="AA3045" s="13"/>
      <c r="AB3045" s="13"/>
      <c r="AC3045" s="13"/>
      <c r="AD3045" s="13"/>
      <c r="AE3045" s="13"/>
      <c r="AF3045" s="13"/>
      <c r="AG3045" s="13"/>
      <c r="AH3045" s="13"/>
      <c r="AI3045" s="13"/>
      <c r="AJ3045" s="13"/>
      <c r="AK3045" s="13"/>
      <c r="AL3045" s="13"/>
      <c r="AM3045" s="13"/>
      <c r="AN3045" s="13"/>
      <c r="AO3045" s="13"/>
      <c r="AP3045" s="13"/>
      <c r="AQ3045" s="13"/>
      <c r="AR3045" s="13"/>
      <c r="AS3045" s="13"/>
    </row>
    <row r="3046" ht="14.25" customHeight="1">
      <c r="A3046" s="13" t="s">
        <v>46</v>
      </c>
      <c r="B3046" s="13" t="s">
        <v>51</v>
      </c>
      <c r="C3046" s="13" t="s">
        <v>1891</v>
      </c>
      <c r="D3046" s="13"/>
      <c r="E3046" s="13"/>
      <c r="F3046" s="13"/>
      <c r="G3046" s="13" t="s">
        <v>74</v>
      </c>
      <c r="H3046" s="13" t="s">
        <v>75</v>
      </c>
      <c r="I3046" s="14">
        <v>44917.0</v>
      </c>
      <c r="J3046" s="14"/>
      <c r="K3046" s="40"/>
      <c r="L3046" s="15"/>
      <c r="M3046" s="16"/>
      <c r="N3046" s="16"/>
      <c r="O3046" s="17">
        <v>0.0</v>
      </c>
      <c r="P3046" s="17">
        <v>0.0</v>
      </c>
      <c r="Q3046" s="13">
        <f>K3045+L3045+M3045+N3045+O3045+P3045/6</f>
        <v>2</v>
      </c>
      <c r="R3046" s="14">
        <v>44966.0</v>
      </c>
      <c r="S3046" s="13"/>
      <c r="T3046" s="13">
        <f t="shared" ref="T3046:Y3046" si="3267">IF(ISBLANK(K3046)=TRUE,0,1)</f>
        <v>0</v>
      </c>
      <c r="U3046" s="13">
        <f t="shared" si="3267"/>
        <v>0</v>
      </c>
      <c r="V3046" s="13">
        <f t="shared" si="3267"/>
        <v>0</v>
      </c>
      <c r="W3046" s="13">
        <f t="shared" si="3267"/>
        <v>0</v>
      </c>
      <c r="X3046" s="13">
        <f t="shared" si="3267"/>
        <v>1</v>
      </c>
      <c r="Y3046" s="13">
        <f t="shared" si="3267"/>
        <v>1</v>
      </c>
      <c r="Z3046" s="13">
        <f t="shared" si="3023"/>
        <v>0</v>
      </c>
      <c r="AA3046" s="13"/>
      <c r="AB3046" s="13"/>
      <c r="AC3046" s="13"/>
      <c r="AD3046" s="13"/>
      <c r="AE3046" s="13"/>
      <c r="AF3046" s="13"/>
      <c r="AG3046" s="13"/>
      <c r="AH3046" s="13"/>
      <c r="AI3046" s="13"/>
      <c r="AJ3046" s="13"/>
      <c r="AK3046" s="13"/>
      <c r="AL3046" s="13"/>
      <c r="AM3046" s="13"/>
      <c r="AN3046" s="13"/>
      <c r="AO3046" s="13"/>
      <c r="AP3046" s="13"/>
      <c r="AQ3046" s="13"/>
      <c r="AR3046" s="13"/>
      <c r="AS3046" s="13"/>
    </row>
    <row r="3047" ht="14.25" customHeight="1">
      <c r="A3047" s="26" t="s">
        <v>29</v>
      </c>
      <c r="B3047" s="26" t="s">
        <v>32</v>
      </c>
      <c r="C3047" s="27" t="s">
        <v>109</v>
      </c>
      <c r="D3047" s="26" t="s">
        <v>182</v>
      </c>
      <c r="F3047" s="26"/>
      <c r="G3047" s="13" t="s">
        <v>111</v>
      </c>
      <c r="H3047" s="26" t="s">
        <v>75</v>
      </c>
      <c r="I3047" s="26"/>
      <c r="J3047" s="26"/>
      <c r="K3047" s="28"/>
      <c r="L3047" s="28"/>
      <c r="M3047" s="16">
        <v>0.0</v>
      </c>
      <c r="N3047" s="16">
        <v>0.0</v>
      </c>
      <c r="O3047" s="17">
        <v>0.0</v>
      </c>
      <c r="P3047" s="17">
        <v>0.0</v>
      </c>
      <c r="Q3047" s="13"/>
      <c r="R3047" s="13"/>
      <c r="S3047" s="13"/>
      <c r="T3047" s="13">
        <f t="shared" ref="T3047:Y3047" si="3268">IF(ISBLANK(K3047)=TRUE,0,1)</f>
        <v>0</v>
      </c>
      <c r="U3047" s="13">
        <f t="shared" si="3268"/>
        <v>0</v>
      </c>
      <c r="V3047" s="13">
        <f t="shared" si="3268"/>
        <v>1</v>
      </c>
      <c r="W3047" s="13">
        <f t="shared" si="3268"/>
        <v>1</v>
      </c>
      <c r="X3047" s="13">
        <f t="shared" si="3268"/>
        <v>1</v>
      </c>
      <c r="Y3047" s="13">
        <f t="shared" si="3268"/>
        <v>1</v>
      </c>
      <c r="Z3047" s="13">
        <f t="shared" si="3023"/>
        <v>0</v>
      </c>
      <c r="AA3047" s="13"/>
      <c r="AB3047" s="13"/>
      <c r="AC3047" s="13"/>
      <c r="AD3047" s="13"/>
      <c r="AE3047" s="13"/>
      <c r="AF3047" s="13"/>
      <c r="AG3047" s="13"/>
      <c r="AH3047" s="13"/>
      <c r="AI3047" s="13"/>
      <c r="AJ3047" s="13"/>
      <c r="AK3047" s="13"/>
      <c r="AL3047" s="13"/>
      <c r="AM3047" s="13"/>
      <c r="AN3047" s="13"/>
      <c r="AO3047" s="13"/>
      <c r="AP3047" s="13"/>
      <c r="AQ3047" s="13"/>
      <c r="AR3047" s="13"/>
      <c r="AS3047" s="13"/>
    </row>
    <row r="3048" ht="14.25" customHeight="1">
      <c r="A3048" s="13" t="s">
        <v>29</v>
      </c>
      <c r="B3048" s="13" t="s">
        <v>32</v>
      </c>
      <c r="C3048" s="18" t="s">
        <v>109</v>
      </c>
      <c r="D3048" s="13" t="s">
        <v>1892</v>
      </c>
      <c r="F3048" s="13"/>
      <c r="G3048" s="13" t="s">
        <v>111</v>
      </c>
      <c r="H3048" s="13" t="s">
        <v>75</v>
      </c>
      <c r="I3048" s="13"/>
      <c r="J3048" s="13"/>
      <c r="K3048" s="15"/>
      <c r="L3048" s="15"/>
      <c r="M3048" s="16">
        <v>0.0</v>
      </c>
      <c r="N3048" s="16">
        <v>0.0</v>
      </c>
      <c r="O3048" s="17">
        <v>0.0</v>
      </c>
      <c r="P3048" s="17">
        <v>0.0</v>
      </c>
      <c r="Q3048" s="13"/>
      <c r="R3048" s="13"/>
      <c r="S3048" s="13"/>
      <c r="T3048" s="13">
        <f t="shared" ref="T3048:Y3048" si="3269">IF(ISBLANK(K3048)=TRUE,0,1)</f>
        <v>0</v>
      </c>
      <c r="U3048" s="13">
        <f t="shared" si="3269"/>
        <v>0</v>
      </c>
      <c r="V3048" s="13">
        <f t="shared" si="3269"/>
        <v>1</v>
      </c>
      <c r="W3048" s="13">
        <f t="shared" si="3269"/>
        <v>1</v>
      </c>
      <c r="X3048" s="13">
        <f t="shared" si="3269"/>
        <v>1</v>
      </c>
      <c r="Y3048" s="13">
        <f t="shared" si="3269"/>
        <v>1</v>
      </c>
      <c r="Z3048" s="13">
        <f t="shared" si="3023"/>
        <v>0</v>
      </c>
      <c r="AA3048" s="13"/>
      <c r="AB3048" s="13"/>
      <c r="AC3048" s="13"/>
      <c r="AD3048" s="13"/>
      <c r="AE3048" s="13"/>
      <c r="AF3048" s="13"/>
      <c r="AG3048" s="13"/>
      <c r="AH3048" s="13"/>
      <c r="AI3048" s="13"/>
      <c r="AJ3048" s="13"/>
      <c r="AK3048" s="13"/>
      <c r="AL3048" s="13"/>
      <c r="AM3048" s="13"/>
      <c r="AN3048" s="13"/>
      <c r="AO3048" s="13"/>
      <c r="AP3048" s="13"/>
      <c r="AQ3048" s="13"/>
      <c r="AR3048" s="13"/>
      <c r="AS3048" s="13"/>
    </row>
    <row r="3049" ht="14.25" customHeight="1">
      <c r="A3049" s="26" t="s">
        <v>29</v>
      </c>
      <c r="B3049" s="26" t="s">
        <v>32</v>
      </c>
      <c r="C3049" s="27" t="s">
        <v>109</v>
      </c>
      <c r="D3049" s="26" t="s">
        <v>183</v>
      </c>
      <c r="F3049" s="26"/>
      <c r="G3049" s="13" t="s">
        <v>111</v>
      </c>
      <c r="H3049" s="26" t="s">
        <v>75</v>
      </c>
      <c r="I3049" s="26"/>
      <c r="J3049" s="26"/>
      <c r="K3049" s="28"/>
      <c r="L3049" s="28"/>
      <c r="M3049" s="16">
        <v>0.0</v>
      </c>
      <c r="N3049" s="16">
        <v>0.0</v>
      </c>
      <c r="O3049" s="17">
        <v>0.0</v>
      </c>
      <c r="P3049" s="17">
        <v>0.0</v>
      </c>
      <c r="Q3049" s="13"/>
      <c r="R3049" s="13"/>
      <c r="S3049" s="13"/>
      <c r="T3049" s="13">
        <f t="shared" ref="T3049:Y3049" si="3270">IF(ISBLANK(K3049)=TRUE,0,1)</f>
        <v>0</v>
      </c>
      <c r="U3049" s="13">
        <f t="shared" si="3270"/>
        <v>0</v>
      </c>
      <c r="V3049" s="13">
        <f t="shared" si="3270"/>
        <v>1</v>
      </c>
      <c r="W3049" s="13">
        <f t="shared" si="3270"/>
        <v>1</v>
      </c>
      <c r="X3049" s="13">
        <f t="shared" si="3270"/>
        <v>1</v>
      </c>
      <c r="Y3049" s="13">
        <f t="shared" si="3270"/>
        <v>1</v>
      </c>
      <c r="Z3049" s="13">
        <f t="shared" si="3023"/>
        <v>0</v>
      </c>
      <c r="AA3049" s="13"/>
      <c r="AB3049" s="13"/>
      <c r="AC3049" s="13"/>
      <c r="AD3049" s="13"/>
      <c r="AE3049" s="13"/>
      <c r="AF3049" s="13"/>
      <c r="AG3049" s="13"/>
      <c r="AH3049" s="13"/>
      <c r="AI3049" s="13"/>
      <c r="AJ3049" s="13"/>
      <c r="AK3049" s="13"/>
      <c r="AL3049" s="13"/>
      <c r="AM3049" s="13"/>
      <c r="AN3049" s="13"/>
      <c r="AO3049" s="13"/>
      <c r="AP3049" s="13"/>
      <c r="AQ3049" s="13"/>
      <c r="AR3049" s="13"/>
      <c r="AS3049" s="13"/>
    </row>
    <row r="3050" ht="14.25" customHeight="1">
      <c r="A3050" s="13" t="s">
        <v>36</v>
      </c>
      <c r="B3050" s="13" t="s">
        <v>39</v>
      </c>
      <c r="C3050" s="13" t="s">
        <v>1872</v>
      </c>
      <c r="D3050" s="13" t="s">
        <v>180</v>
      </c>
      <c r="F3050" s="13"/>
      <c r="G3050" s="13" t="s">
        <v>111</v>
      </c>
      <c r="H3050" s="13" t="s">
        <v>75</v>
      </c>
      <c r="I3050" s="13"/>
      <c r="J3050" s="13"/>
      <c r="K3050" s="15">
        <v>0.0</v>
      </c>
      <c r="L3050" s="15">
        <v>0.0</v>
      </c>
      <c r="M3050" s="16"/>
      <c r="N3050" s="16"/>
      <c r="O3050" s="17"/>
      <c r="P3050" s="17"/>
      <c r="Q3050" s="13">
        <f t="shared" ref="Q3050:Q3052" si="3272">K3049+L3049+M3049+N3049+O3049+P3049/6</f>
        <v>0</v>
      </c>
      <c r="R3050" s="13"/>
      <c r="S3050" s="13"/>
      <c r="T3050" s="13">
        <f t="shared" ref="T3050:Y3050" si="3271">IF(ISBLANK(K3050)=TRUE,0,1)</f>
        <v>1</v>
      </c>
      <c r="U3050" s="13">
        <f t="shared" si="3271"/>
        <v>1</v>
      </c>
      <c r="V3050" s="13">
        <f t="shared" si="3271"/>
        <v>0</v>
      </c>
      <c r="W3050" s="13">
        <f t="shared" si="3271"/>
        <v>0</v>
      </c>
      <c r="X3050" s="13">
        <f t="shared" si="3271"/>
        <v>0</v>
      </c>
      <c r="Y3050" s="13">
        <f t="shared" si="3271"/>
        <v>0</v>
      </c>
      <c r="Z3050" s="13">
        <f t="shared" si="3023"/>
        <v>0</v>
      </c>
      <c r="AA3050" s="13"/>
      <c r="AB3050" s="13"/>
      <c r="AC3050" s="13"/>
      <c r="AD3050" s="13"/>
      <c r="AE3050" s="13"/>
      <c r="AF3050" s="13"/>
      <c r="AG3050" s="13"/>
      <c r="AH3050" s="13"/>
      <c r="AI3050" s="13"/>
      <c r="AJ3050" s="13"/>
      <c r="AK3050" s="13"/>
      <c r="AL3050" s="13"/>
      <c r="AM3050" s="13"/>
      <c r="AN3050" s="13"/>
      <c r="AO3050" s="13"/>
      <c r="AP3050" s="13"/>
      <c r="AQ3050" s="13"/>
      <c r="AR3050" s="13"/>
      <c r="AS3050" s="13"/>
    </row>
    <row r="3051" ht="14.25" customHeight="1">
      <c r="A3051" s="13" t="s">
        <v>46</v>
      </c>
      <c r="B3051" s="13" t="s">
        <v>51</v>
      </c>
      <c r="C3051" s="13" t="s">
        <v>1893</v>
      </c>
      <c r="D3051" s="13"/>
      <c r="E3051" s="13"/>
      <c r="F3051" s="13"/>
      <c r="G3051" s="13" t="s">
        <v>111</v>
      </c>
      <c r="H3051" s="13" t="s">
        <v>75</v>
      </c>
      <c r="I3051" s="14">
        <v>44908.0</v>
      </c>
      <c r="J3051" s="14"/>
      <c r="K3051" s="15">
        <v>0.0</v>
      </c>
      <c r="L3051" s="15">
        <v>0.0</v>
      </c>
      <c r="M3051" s="16"/>
      <c r="N3051" s="16"/>
      <c r="O3051" s="17">
        <v>0.0</v>
      </c>
      <c r="P3051" s="17">
        <v>0.0</v>
      </c>
      <c r="Q3051" s="13">
        <f t="shared" si="3272"/>
        <v>0</v>
      </c>
      <c r="R3051" s="14">
        <v>44966.0</v>
      </c>
      <c r="S3051" s="13"/>
      <c r="T3051" s="13">
        <f t="shared" ref="T3051:Y3051" si="3273">IF(ISBLANK(K3051)=TRUE,0,1)</f>
        <v>1</v>
      </c>
      <c r="U3051" s="13">
        <f t="shared" si="3273"/>
        <v>1</v>
      </c>
      <c r="V3051" s="13">
        <f t="shared" si="3273"/>
        <v>0</v>
      </c>
      <c r="W3051" s="13">
        <f t="shared" si="3273"/>
        <v>0</v>
      </c>
      <c r="X3051" s="13">
        <f t="shared" si="3273"/>
        <v>1</v>
      </c>
      <c r="Y3051" s="13">
        <f t="shared" si="3273"/>
        <v>1</v>
      </c>
      <c r="Z3051" s="13">
        <f t="shared" si="3023"/>
        <v>0</v>
      </c>
      <c r="AA3051" s="13" t="s">
        <v>1071</v>
      </c>
      <c r="AB3051" s="13"/>
      <c r="AC3051" s="13"/>
      <c r="AD3051" s="13"/>
      <c r="AE3051" s="13"/>
      <c r="AF3051" s="13"/>
      <c r="AG3051" s="13"/>
      <c r="AH3051" s="13"/>
      <c r="AI3051" s="13"/>
      <c r="AJ3051" s="13"/>
      <c r="AK3051" s="13"/>
      <c r="AL3051" s="13"/>
      <c r="AM3051" s="13"/>
      <c r="AN3051" s="13"/>
      <c r="AO3051" s="13"/>
      <c r="AP3051" s="13"/>
      <c r="AQ3051" s="13"/>
      <c r="AR3051" s="13"/>
      <c r="AS3051" s="13"/>
    </row>
    <row r="3052" ht="14.25" customHeight="1">
      <c r="A3052" s="13" t="s">
        <v>46</v>
      </c>
      <c r="B3052" s="13" t="s">
        <v>51</v>
      </c>
      <c r="C3052" s="13" t="s">
        <v>1086</v>
      </c>
      <c r="D3052" s="13"/>
      <c r="E3052" s="13"/>
      <c r="F3052" s="13"/>
      <c r="G3052" s="13" t="s">
        <v>111</v>
      </c>
      <c r="H3052" s="13" t="s">
        <v>75</v>
      </c>
      <c r="I3052" s="14">
        <v>44908.0</v>
      </c>
      <c r="J3052" s="14"/>
      <c r="K3052" s="15"/>
      <c r="L3052" s="15"/>
      <c r="M3052" s="16"/>
      <c r="N3052" s="16"/>
      <c r="O3052" s="17">
        <v>0.0</v>
      </c>
      <c r="P3052" s="17">
        <v>0.0</v>
      </c>
      <c r="Q3052" s="13">
        <f t="shared" si="3272"/>
        <v>0</v>
      </c>
      <c r="R3052" s="14">
        <v>44966.0</v>
      </c>
      <c r="S3052" s="13"/>
      <c r="T3052" s="13">
        <f t="shared" ref="T3052:Y3052" si="3274">IF(ISBLANK(K3052)=TRUE,0,1)</f>
        <v>0</v>
      </c>
      <c r="U3052" s="13">
        <f t="shared" si="3274"/>
        <v>0</v>
      </c>
      <c r="V3052" s="13">
        <f t="shared" si="3274"/>
        <v>0</v>
      </c>
      <c r="W3052" s="13">
        <f t="shared" si="3274"/>
        <v>0</v>
      </c>
      <c r="X3052" s="13">
        <f t="shared" si="3274"/>
        <v>1</v>
      </c>
      <c r="Y3052" s="13">
        <f t="shared" si="3274"/>
        <v>1</v>
      </c>
      <c r="Z3052" s="13">
        <f t="shared" si="3023"/>
        <v>0</v>
      </c>
      <c r="AA3052" s="13"/>
      <c r="AB3052" s="13"/>
      <c r="AC3052" s="13"/>
      <c r="AD3052" s="13"/>
      <c r="AE3052" s="13"/>
      <c r="AF3052" s="13"/>
      <c r="AG3052" s="13"/>
      <c r="AH3052" s="13"/>
      <c r="AI3052" s="13"/>
      <c r="AJ3052" s="13"/>
      <c r="AK3052" s="13"/>
      <c r="AL3052" s="13"/>
      <c r="AM3052" s="13"/>
      <c r="AN3052" s="13"/>
      <c r="AO3052" s="13"/>
      <c r="AP3052" s="13"/>
      <c r="AQ3052" s="13"/>
      <c r="AR3052" s="13"/>
      <c r="AS3052" s="13"/>
    </row>
    <row r="3053" ht="14.25" customHeight="1">
      <c r="A3053" s="13" t="s">
        <v>46</v>
      </c>
      <c r="B3053" s="13" t="s">
        <v>51</v>
      </c>
      <c r="C3053" s="13" t="s">
        <v>1087</v>
      </c>
      <c r="D3053" s="13"/>
      <c r="E3053" s="13"/>
      <c r="F3053" s="13"/>
      <c r="G3053" s="13" t="s">
        <v>111</v>
      </c>
      <c r="H3053" s="13" t="s">
        <v>75</v>
      </c>
      <c r="I3053" s="14">
        <v>44908.0</v>
      </c>
      <c r="J3053" s="14"/>
      <c r="K3053" s="15"/>
      <c r="L3053" s="15"/>
      <c r="M3053" s="16"/>
      <c r="N3053" s="16"/>
      <c r="O3053" s="17">
        <v>0.0</v>
      </c>
      <c r="P3053" s="17">
        <v>0.0</v>
      </c>
      <c r="Q3053" s="13">
        <f t="shared" ref="Q3053:Q3054" si="3276">K3051+L3051+M3051+N3051+O3051+P3051/6</f>
        <v>0</v>
      </c>
      <c r="R3053" s="14">
        <v>44966.0</v>
      </c>
      <c r="S3053" s="13"/>
      <c r="T3053" s="13">
        <f t="shared" ref="T3053:Y3053" si="3275">IF(ISBLANK(K3053)=TRUE,0,1)</f>
        <v>0</v>
      </c>
      <c r="U3053" s="13">
        <f t="shared" si="3275"/>
        <v>0</v>
      </c>
      <c r="V3053" s="13">
        <f t="shared" si="3275"/>
        <v>0</v>
      </c>
      <c r="W3053" s="13">
        <f t="shared" si="3275"/>
        <v>0</v>
      </c>
      <c r="X3053" s="13">
        <f t="shared" si="3275"/>
        <v>1</v>
      </c>
      <c r="Y3053" s="13">
        <f t="shared" si="3275"/>
        <v>1</v>
      </c>
      <c r="Z3053" s="13">
        <f t="shared" si="3023"/>
        <v>0</v>
      </c>
      <c r="AA3053" s="13"/>
      <c r="AB3053" s="13"/>
      <c r="AC3053" s="13"/>
      <c r="AD3053" s="13"/>
      <c r="AE3053" s="13"/>
      <c r="AF3053" s="13"/>
      <c r="AG3053" s="13"/>
      <c r="AH3053" s="13"/>
      <c r="AI3053" s="13"/>
      <c r="AJ3053" s="13"/>
      <c r="AK3053" s="13"/>
      <c r="AL3053" s="13"/>
      <c r="AM3053" s="13"/>
      <c r="AN3053" s="13"/>
      <c r="AO3053" s="13"/>
      <c r="AP3053" s="13"/>
      <c r="AQ3053" s="13"/>
      <c r="AR3053" s="13"/>
      <c r="AS3053" s="13"/>
    </row>
    <row r="3054" ht="14.25" customHeight="1">
      <c r="A3054" s="13" t="s">
        <v>46</v>
      </c>
      <c r="B3054" s="13" t="s">
        <v>51</v>
      </c>
      <c r="C3054" s="13" t="s">
        <v>1088</v>
      </c>
      <c r="D3054" s="13"/>
      <c r="E3054" s="13"/>
      <c r="F3054" s="13"/>
      <c r="G3054" s="13" t="s">
        <v>111</v>
      </c>
      <c r="H3054" s="13" t="s">
        <v>75</v>
      </c>
      <c r="I3054" s="14">
        <v>44908.0</v>
      </c>
      <c r="J3054" s="14"/>
      <c r="K3054" s="15"/>
      <c r="L3054" s="15"/>
      <c r="M3054" s="16"/>
      <c r="N3054" s="16"/>
      <c r="O3054" s="17">
        <v>0.0</v>
      </c>
      <c r="P3054" s="17">
        <v>0.0</v>
      </c>
      <c r="Q3054" s="13">
        <f t="shared" si="3276"/>
        <v>0</v>
      </c>
      <c r="R3054" s="14">
        <v>44966.0</v>
      </c>
      <c r="S3054" s="13"/>
      <c r="T3054" s="13">
        <f t="shared" ref="T3054:Y3054" si="3277">IF(ISBLANK(K3054)=TRUE,0,1)</f>
        <v>0</v>
      </c>
      <c r="U3054" s="13">
        <f t="shared" si="3277"/>
        <v>0</v>
      </c>
      <c r="V3054" s="13">
        <f t="shared" si="3277"/>
        <v>0</v>
      </c>
      <c r="W3054" s="13">
        <f t="shared" si="3277"/>
        <v>0</v>
      </c>
      <c r="X3054" s="13">
        <f t="shared" si="3277"/>
        <v>1</v>
      </c>
      <c r="Y3054" s="13">
        <f t="shared" si="3277"/>
        <v>1</v>
      </c>
      <c r="Z3054" s="13">
        <f t="shared" si="3023"/>
        <v>0</v>
      </c>
      <c r="AA3054" s="13"/>
      <c r="AB3054" s="13"/>
      <c r="AC3054" s="13"/>
      <c r="AD3054" s="13"/>
      <c r="AE3054" s="13"/>
      <c r="AF3054" s="13"/>
      <c r="AG3054" s="13"/>
      <c r="AH3054" s="13"/>
      <c r="AI3054" s="13"/>
      <c r="AJ3054" s="13"/>
      <c r="AK3054" s="13"/>
      <c r="AL3054" s="13"/>
      <c r="AM3054" s="13"/>
      <c r="AN3054" s="13"/>
      <c r="AO3054" s="13"/>
      <c r="AP3054" s="13"/>
      <c r="AQ3054" s="13"/>
      <c r="AR3054" s="13"/>
      <c r="AS3054" s="13"/>
    </row>
    <row r="3055" ht="14.25" customHeight="1">
      <c r="A3055" s="13" t="s">
        <v>29</v>
      </c>
      <c r="B3055" s="13" t="s">
        <v>32</v>
      </c>
      <c r="C3055" s="18" t="s">
        <v>109</v>
      </c>
      <c r="D3055" s="13" t="s">
        <v>1894</v>
      </c>
      <c r="F3055" s="13"/>
      <c r="G3055" s="13" t="s">
        <v>111</v>
      </c>
      <c r="H3055" s="13" t="s">
        <v>75</v>
      </c>
      <c r="I3055" s="13"/>
      <c r="J3055" s="13"/>
      <c r="K3055" s="15"/>
      <c r="L3055" s="15"/>
      <c r="M3055" s="16">
        <v>0.0</v>
      </c>
      <c r="N3055" s="16">
        <v>0.0</v>
      </c>
      <c r="O3055" s="17">
        <v>0.0</v>
      </c>
      <c r="P3055" s="17">
        <v>0.0</v>
      </c>
      <c r="Q3055" s="13"/>
      <c r="R3055" s="13"/>
      <c r="S3055" s="13"/>
      <c r="T3055" s="13">
        <f t="shared" ref="T3055:Y3055" si="3278">IF(ISBLANK(K3055)=TRUE,0,1)</f>
        <v>0</v>
      </c>
      <c r="U3055" s="13">
        <f t="shared" si="3278"/>
        <v>0</v>
      </c>
      <c r="V3055" s="13">
        <f t="shared" si="3278"/>
        <v>1</v>
      </c>
      <c r="W3055" s="13">
        <f t="shared" si="3278"/>
        <v>1</v>
      </c>
      <c r="X3055" s="13">
        <f t="shared" si="3278"/>
        <v>1</v>
      </c>
      <c r="Y3055" s="13">
        <f t="shared" si="3278"/>
        <v>1</v>
      </c>
      <c r="Z3055" s="13">
        <f t="shared" si="3023"/>
        <v>0</v>
      </c>
      <c r="AA3055" s="13"/>
      <c r="AB3055" s="13"/>
      <c r="AC3055" s="13"/>
      <c r="AD3055" s="13"/>
      <c r="AE3055" s="13"/>
      <c r="AF3055" s="13"/>
      <c r="AG3055" s="13"/>
      <c r="AH3055" s="13"/>
      <c r="AI3055" s="13"/>
      <c r="AJ3055" s="13"/>
      <c r="AK3055" s="13"/>
      <c r="AL3055" s="13"/>
      <c r="AM3055" s="13"/>
      <c r="AN3055" s="13"/>
      <c r="AO3055" s="13"/>
      <c r="AP3055" s="13"/>
      <c r="AQ3055" s="13"/>
      <c r="AR3055" s="13"/>
      <c r="AS3055" s="13"/>
    </row>
    <row r="3056" ht="14.25" customHeight="1">
      <c r="A3056" s="26" t="s">
        <v>29</v>
      </c>
      <c r="B3056" s="26" t="s">
        <v>32</v>
      </c>
      <c r="C3056" s="27" t="s">
        <v>109</v>
      </c>
      <c r="D3056" s="26" t="s">
        <v>184</v>
      </c>
      <c r="F3056" s="26"/>
      <c r="G3056" s="13" t="s">
        <v>111</v>
      </c>
      <c r="H3056" s="26" t="s">
        <v>75</v>
      </c>
      <c r="I3056" s="26"/>
      <c r="J3056" s="26"/>
      <c r="K3056" s="28"/>
      <c r="L3056" s="28"/>
      <c r="M3056" s="16">
        <v>0.0</v>
      </c>
      <c r="N3056" s="16">
        <v>0.0</v>
      </c>
      <c r="O3056" s="17">
        <v>0.0</v>
      </c>
      <c r="P3056" s="17">
        <v>0.0</v>
      </c>
      <c r="Q3056" s="13"/>
      <c r="R3056" s="13"/>
      <c r="S3056" s="13"/>
      <c r="T3056" s="13">
        <f t="shared" ref="T3056:Y3056" si="3279">IF(ISBLANK(K3056)=TRUE,0,1)</f>
        <v>0</v>
      </c>
      <c r="U3056" s="13">
        <f t="shared" si="3279"/>
        <v>0</v>
      </c>
      <c r="V3056" s="13">
        <f t="shared" si="3279"/>
        <v>1</v>
      </c>
      <c r="W3056" s="13">
        <f t="shared" si="3279"/>
        <v>1</v>
      </c>
      <c r="X3056" s="13">
        <f t="shared" si="3279"/>
        <v>1</v>
      </c>
      <c r="Y3056" s="13">
        <f t="shared" si="3279"/>
        <v>1</v>
      </c>
      <c r="Z3056" s="13">
        <f t="shared" si="3023"/>
        <v>0</v>
      </c>
      <c r="AA3056" s="13"/>
      <c r="AB3056" s="13"/>
      <c r="AC3056" s="13"/>
      <c r="AD3056" s="13"/>
      <c r="AE3056" s="13"/>
      <c r="AF3056" s="13"/>
      <c r="AG3056" s="13"/>
      <c r="AH3056" s="13"/>
      <c r="AI3056" s="13"/>
      <c r="AJ3056" s="13"/>
      <c r="AK3056" s="13"/>
      <c r="AL3056" s="13"/>
      <c r="AM3056" s="13"/>
      <c r="AN3056" s="13"/>
      <c r="AO3056" s="13"/>
      <c r="AP3056" s="13"/>
      <c r="AQ3056" s="13"/>
      <c r="AR3056" s="13"/>
      <c r="AS3056" s="13"/>
    </row>
    <row r="3057" ht="14.25" customHeight="1">
      <c r="A3057" s="13" t="s">
        <v>29</v>
      </c>
      <c r="B3057" s="13" t="s">
        <v>32</v>
      </c>
      <c r="C3057" s="18" t="s">
        <v>109</v>
      </c>
      <c r="D3057" s="13" t="s">
        <v>1895</v>
      </c>
      <c r="F3057" s="13"/>
      <c r="G3057" s="13" t="s">
        <v>111</v>
      </c>
      <c r="H3057" s="13" t="s">
        <v>75</v>
      </c>
      <c r="I3057" s="13"/>
      <c r="J3057" s="13"/>
      <c r="K3057" s="15"/>
      <c r="L3057" s="15"/>
      <c r="M3057" s="16">
        <v>0.0</v>
      </c>
      <c r="N3057" s="16">
        <v>0.0</v>
      </c>
      <c r="O3057" s="17">
        <v>0.0</v>
      </c>
      <c r="P3057" s="17">
        <v>0.0</v>
      </c>
      <c r="Q3057" s="13"/>
      <c r="R3057" s="13"/>
      <c r="S3057" s="13"/>
      <c r="T3057" s="13">
        <f t="shared" ref="T3057:Y3057" si="3280">IF(ISBLANK(K3057)=TRUE,0,1)</f>
        <v>0</v>
      </c>
      <c r="U3057" s="13">
        <f t="shared" si="3280"/>
        <v>0</v>
      </c>
      <c r="V3057" s="13">
        <f t="shared" si="3280"/>
        <v>1</v>
      </c>
      <c r="W3057" s="13">
        <f t="shared" si="3280"/>
        <v>1</v>
      </c>
      <c r="X3057" s="13">
        <f t="shared" si="3280"/>
        <v>1</v>
      </c>
      <c r="Y3057" s="13">
        <f t="shared" si="3280"/>
        <v>1</v>
      </c>
      <c r="Z3057" s="13">
        <f t="shared" si="3023"/>
        <v>0</v>
      </c>
      <c r="AA3057" s="13"/>
      <c r="AB3057" s="13"/>
      <c r="AC3057" s="13"/>
      <c r="AD3057" s="13"/>
      <c r="AE3057" s="13"/>
      <c r="AF3057" s="13"/>
      <c r="AG3057" s="13"/>
      <c r="AH3057" s="13"/>
      <c r="AI3057" s="13"/>
      <c r="AJ3057" s="13"/>
      <c r="AK3057" s="13"/>
      <c r="AL3057" s="13"/>
      <c r="AM3057" s="13"/>
      <c r="AN3057" s="13"/>
      <c r="AO3057" s="13"/>
      <c r="AP3057" s="13"/>
      <c r="AQ3057" s="13"/>
      <c r="AR3057" s="13"/>
      <c r="AS3057" s="13"/>
    </row>
    <row r="3058" ht="14.25" customHeight="1">
      <c r="A3058" s="26" t="s">
        <v>29</v>
      </c>
      <c r="B3058" s="26" t="s">
        <v>32</v>
      </c>
      <c r="C3058" s="27" t="s">
        <v>109</v>
      </c>
      <c r="D3058" s="26" t="s">
        <v>185</v>
      </c>
      <c r="F3058" s="26"/>
      <c r="G3058" s="13" t="s">
        <v>111</v>
      </c>
      <c r="H3058" s="26" t="s">
        <v>75</v>
      </c>
      <c r="I3058" s="26"/>
      <c r="J3058" s="26"/>
      <c r="K3058" s="28"/>
      <c r="L3058" s="28"/>
      <c r="M3058" s="16">
        <v>0.0</v>
      </c>
      <c r="N3058" s="16">
        <v>0.0</v>
      </c>
      <c r="O3058" s="17">
        <v>0.0</v>
      </c>
      <c r="P3058" s="17">
        <v>0.0</v>
      </c>
      <c r="Q3058" s="13"/>
      <c r="R3058" s="13"/>
      <c r="S3058" s="13"/>
      <c r="T3058" s="13">
        <f t="shared" ref="T3058:Y3058" si="3281">IF(ISBLANK(K3058)=TRUE,0,1)</f>
        <v>0</v>
      </c>
      <c r="U3058" s="13">
        <f t="shared" si="3281"/>
        <v>0</v>
      </c>
      <c r="V3058" s="13">
        <f t="shared" si="3281"/>
        <v>1</v>
      </c>
      <c r="W3058" s="13">
        <f t="shared" si="3281"/>
        <v>1</v>
      </c>
      <c r="X3058" s="13">
        <f t="shared" si="3281"/>
        <v>1</v>
      </c>
      <c r="Y3058" s="13">
        <f t="shared" si="3281"/>
        <v>1</v>
      </c>
      <c r="Z3058" s="13">
        <f t="shared" si="3023"/>
        <v>0</v>
      </c>
      <c r="AA3058" s="13"/>
      <c r="AB3058" s="13"/>
      <c r="AC3058" s="13"/>
      <c r="AD3058" s="13"/>
      <c r="AE3058" s="13"/>
      <c r="AF3058" s="13"/>
      <c r="AG3058" s="13"/>
      <c r="AH3058" s="13"/>
      <c r="AI3058" s="13"/>
      <c r="AJ3058" s="13"/>
      <c r="AK3058" s="13"/>
      <c r="AL3058" s="13"/>
      <c r="AM3058" s="13"/>
      <c r="AN3058" s="13"/>
      <c r="AO3058" s="13"/>
      <c r="AP3058" s="13"/>
      <c r="AQ3058" s="13"/>
      <c r="AR3058" s="13"/>
      <c r="AS3058" s="13"/>
    </row>
    <row r="3059" ht="14.25" customHeight="1">
      <c r="A3059" s="13" t="s">
        <v>29</v>
      </c>
      <c r="B3059" s="13" t="s">
        <v>32</v>
      </c>
      <c r="C3059" s="18" t="s">
        <v>109</v>
      </c>
      <c r="D3059" s="13" t="s">
        <v>1896</v>
      </c>
      <c r="F3059" s="13"/>
      <c r="G3059" s="13" t="s">
        <v>111</v>
      </c>
      <c r="H3059" s="13" t="s">
        <v>75</v>
      </c>
      <c r="I3059" s="13"/>
      <c r="J3059" s="13"/>
      <c r="K3059" s="15"/>
      <c r="L3059" s="15"/>
      <c r="M3059" s="16">
        <v>0.0</v>
      </c>
      <c r="N3059" s="16">
        <v>0.0</v>
      </c>
      <c r="O3059" s="17">
        <v>0.0</v>
      </c>
      <c r="P3059" s="17">
        <v>0.0</v>
      </c>
      <c r="Q3059" s="13"/>
      <c r="R3059" s="13"/>
      <c r="S3059" s="13"/>
      <c r="T3059" s="13">
        <f t="shared" ref="T3059:Y3059" si="3282">IF(ISBLANK(K3059)=TRUE,0,1)</f>
        <v>0</v>
      </c>
      <c r="U3059" s="13">
        <f t="shared" si="3282"/>
        <v>0</v>
      </c>
      <c r="V3059" s="13">
        <f t="shared" si="3282"/>
        <v>1</v>
      </c>
      <c r="W3059" s="13">
        <f t="shared" si="3282"/>
        <v>1</v>
      </c>
      <c r="X3059" s="13">
        <f t="shared" si="3282"/>
        <v>1</v>
      </c>
      <c r="Y3059" s="13">
        <f t="shared" si="3282"/>
        <v>1</v>
      </c>
      <c r="Z3059" s="13">
        <f t="shared" si="3023"/>
        <v>0</v>
      </c>
      <c r="AA3059" s="13"/>
      <c r="AB3059" s="13"/>
      <c r="AC3059" s="13"/>
      <c r="AD3059" s="13"/>
      <c r="AE3059" s="13"/>
      <c r="AF3059" s="13"/>
      <c r="AG3059" s="13"/>
      <c r="AH3059" s="13"/>
      <c r="AI3059" s="13"/>
      <c r="AJ3059" s="13"/>
      <c r="AK3059" s="13"/>
      <c r="AL3059" s="13"/>
      <c r="AM3059" s="13"/>
      <c r="AN3059" s="13"/>
      <c r="AO3059" s="13"/>
      <c r="AP3059" s="13"/>
      <c r="AQ3059" s="13"/>
      <c r="AR3059" s="13"/>
      <c r="AS3059" s="13"/>
    </row>
    <row r="3060" ht="14.25" customHeight="1">
      <c r="A3060" s="13" t="s">
        <v>46</v>
      </c>
      <c r="B3060" s="13" t="s">
        <v>51</v>
      </c>
      <c r="C3060" s="13" t="s">
        <v>1089</v>
      </c>
      <c r="D3060" s="13"/>
      <c r="E3060" s="13"/>
      <c r="F3060" s="13"/>
      <c r="G3060" s="13" t="s">
        <v>111</v>
      </c>
      <c r="H3060" s="13" t="s">
        <v>75</v>
      </c>
      <c r="I3060" s="14">
        <v>44908.0</v>
      </c>
      <c r="J3060" s="14"/>
      <c r="K3060" s="15"/>
      <c r="L3060" s="15"/>
      <c r="M3060" s="16"/>
      <c r="N3060" s="16"/>
      <c r="O3060" s="17">
        <v>0.0</v>
      </c>
      <c r="P3060" s="17">
        <v>0.0</v>
      </c>
      <c r="Q3060" s="13">
        <f t="shared" ref="Q3060:Q3065" si="3284">K3059+L3059+M3059+N3059+O3059+P3059/6</f>
        <v>0</v>
      </c>
      <c r="R3060" s="14">
        <v>44966.0</v>
      </c>
      <c r="S3060" s="13"/>
      <c r="T3060" s="13">
        <f t="shared" ref="T3060:Y3060" si="3283">IF(ISBLANK(K3060)=TRUE,0,1)</f>
        <v>0</v>
      </c>
      <c r="U3060" s="13">
        <f t="shared" si="3283"/>
        <v>0</v>
      </c>
      <c r="V3060" s="13">
        <f t="shared" si="3283"/>
        <v>0</v>
      </c>
      <c r="W3060" s="13">
        <f t="shared" si="3283"/>
        <v>0</v>
      </c>
      <c r="X3060" s="13">
        <f t="shared" si="3283"/>
        <v>1</v>
      </c>
      <c r="Y3060" s="13">
        <f t="shared" si="3283"/>
        <v>1</v>
      </c>
      <c r="Z3060" s="13">
        <f t="shared" si="3023"/>
        <v>0</v>
      </c>
      <c r="AA3060" s="13"/>
      <c r="AB3060" s="13"/>
      <c r="AC3060" s="13"/>
      <c r="AD3060" s="13"/>
      <c r="AE3060" s="13"/>
      <c r="AF3060" s="13"/>
      <c r="AG3060" s="13"/>
      <c r="AH3060" s="13"/>
      <c r="AI3060" s="13"/>
      <c r="AJ3060" s="13"/>
      <c r="AK3060" s="13"/>
      <c r="AL3060" s="13"/>
      <c r="AM3060" s="13"/>
      <c r="AN3060" s="13"/>
      <c r="AO3060" s="13"/>
      <c r="AP3060" s="13"/>
      <c r="AQ3060" s="13"/>
      <c r="AR3060" s="13"/>
      <c r="AS3060" s="13"/>
    </row>
    <row r="3061" ht="14.25" customHeight="1">
      <c r="A3061" s="13" t="s">
        <v>36</v>
      </c>
      <c r="B3061" s="13" t="s">
        <v>41</v>
      </c>
      <c r="C3061" s="13" t="s">
        <v>1860</v>
      </c>
      <c r="D3061" s="13" t="s">
        <v>196</v>
      </c>
      <c r="F3061" s="13"/>
      <c r="G3061" s="13" t="s">
        <v>74</v>
      </c>
      <c r="H3061" s="13" t="s">
        <v>75</v>
      </c>
      <c r="I3061" s="13"/>
      <c r="J3061" s="13"/>
      <c r="K3061" s="15">
        <v>1.0</v>
      </c>
      <c r="L3061" s="15">
        <v>1.0</v>
      </c>
      <c r="M3061" s="16"/>
      <c r="N3061" s="16"/>
      <c r="O3061" s="17">
        <v>1.0</v>
      </c>
      <c r="P3061" s="17">
        <v>1.0</v>
      </c>
      <c r="Q3061" s="13">
        <f t="shared" si="3284"/>
        <v>0</v>
      </c>
      <c r="R3061" s="13"/>
      <c r="S3061" s="13"/>
      <c r="T3061" s="13">
        <f t="shared" ref="T3061:Y3061" si="3285">IF(ISBLANK(K3061)=TRUE,0,1)</f>
        <v>1</v>
      </c>
      <c r="U3061" s="13">
        <f t="shared" si="3285"/>
        <v>1</v>
      </c>
      <c r="V3061" s="13">
        <f t="shared" si="3285"/>
        <v>0</v>
      </c>
      <c r="W3061" s="13">
        <f t="shared" si="3285"/>
        <v>0</v>
      </c>
      <c r="X3061" s="13">
        <f t="shared" si="3285"/>
        <v>1</v>
      </c>
      <c r="Y3061" s="13">
        <f t="shared" si="3285"/>
        <v>1</v>
      </c>
      <c r="Z3061" s="13">
        <f t="shared" si="3023"/>
        <v>1</v>
      </c>
      <c r="AA3061" s="13"/>
      <c r="AB3061" s="13"/>
      <c r="AC3061" s="13"/>
      <c r="AD3061" s="13"/>
      <c r="AE3061" s="13"/>
      <c r="AF3061" s="13"/>
      <c r="AG3061" s="13"/>
      <c r="AH3061" s="13"/>
      <c r="AI3061" s="13"/>
      <c r="AJ3061" s="13"/>
      <c r="AK3061" s="13"/>
      <c r="AL3061" s="13"/>
      <c r="AM3061" s="13"/>
      <c r="AN3061" s="13"/>
      <c r="AO3061" s="13"/>
      <c r="AP3061" s="13"/>
      <c r="AQ3061" s="13"/>
      <c r="AR3061" s="13"/>
      <c r="AS3061" s="13"/>
    </row>
    <row r="3062" ht="14.25" customHeight="1">
      <c r="A3062" s="13" t="s">
        <v>36</v>
      </c>
      <c r="B3062" s="13" t="s">
        <v>41</v>
      </c>
      <c r="C3062" s="13" t="s">
        <v>1860</v>
      </c>
      <c r="D3062" s="13" t="s">
        <v>197</v>
      </c>
      <c r="F3062" s="13"/>
      <c r="G3062" s="13" t="s">
        <v>74</v>
      </c>
      <c r="H3062" s="13" t="s">
        <v>75</v>
      </c>
      <c r="I3062" s="13"/>
      <c r="J3062" s="13"/>
      <c r="K3062" s="15">
        <v>1.0</v>
      </c>
      <c r="L3062" s="15">
        <v>1.0</v>
      </c>
      <c r="M3062" s="16"/>
      <c r="N3062" s="16"/>
      <c r="O3062" s="17">
        <v>1.0</v>
      </c>
      <c r="P3062" s="17">
        <v>1.0</v>
      </c>
      <c r="Q3062" s="13">
        <f t="shared" si="3284"/>
        <v>3.166666667</v>
      </c>
      <c r="R3062" s="13"/>
      <c r="S3062" s="13"/>
      <c r="T3062" s="13">
        <f t="shared" ref="T3062:Y3062" si="3286">IF(ISBLANK(K3062)=TRUE,0,1)</f>
        <v>1</v>
      </c>
      <c r="U3062" s="13">
        <f t="shared" si="3286"/>
        <v>1</v>
      </c>
      <c r="V3062" s="13">
        <f t="shared" si="3286"/>
        <v>0</v>
      </c>
      <c r="W3062" s="13">
        <f t="shared" si="3286"/>
        <v>0</v>
      </c>
      <c r="X3062" s="13">
        <f t="shared" si="3286"/>
        <v>1</v>
      </c>
      <c r="Y3062" s="13">
        <f t="shared" si="3286"/>
        <v>1</v>
      </c>
      <c r="Z3062" s="13">
        <f t="shared" si="3023"/>
        <v>1</v>
      </c>
      <c r="AA3062" s="13"/>
      <c r="AB3062" s="13"/>
      <c r="AC3062" s="13"/>
      <c r="AD3062" s="13"/>
      <c r="AE3062" s="13"/>
      <c r="AF3062" s="13"/>
      <c r="AG3062" s="13"/>
      <c r="AH3062" s="13"/>
      <c r="AI3062" s="13"/>
      <c r="AJ3062" s="13"/>
      <c r="AK3062" s="13"/>
      <c r="AL3062" s="13"/>
      <c r="AM3062" s="13"/>
      <c r="AN3062" s="13"/>
      <c r="AO3062" s="13"/>
      <c r="AP3062" s="13"/>
      <c r="AQ3062" s="13"/>
      <c r="AR3062" s="13"/>
      <c r="AS3062" s="13"/>
    </row>
    <row r="3063" ht="14.25" customHeight="1">
      <c r="A3063" s="13" t="s">
        <v>36</v>
      </c>
      <c r="B3063" s="13" t="s">
        <v>41</v>
      </c>
      <c r="C3063" s="13" t="s">
        <v>1860</v>
      </c>
      <c r="D3063" s="13" t="s">
        <v>433</v>
      </c>
      <c r="F3063" s="13"/>
      <c r="G3063" s="13" t="s">
        <v>74</v>
      </c>
      <c r="H3063" s="13" t="s">
        <v>75</v>
      </c>
      <c r="I3063" s="13"/>
      <c r="J3063" s="13"/>
      <c r="K3063" s="15">
        <v>1.0</v>
      </c>
      <c r="L3063" s="15">
        <v>1.0</v>
      </c>
      <c r="M3063" s="16"/>
      <c r="N3063" s="16"/>
      <c r="O3063" s="17">
        <v>1.0</v>
      </c>
      <c r="P3063" s="17">
        <v>1.0</v>
      </c>
      <c r="Q3063" s="13">
        <f t="shared" si="3284"/>
        <v>3.166666667</v>
      </c>
      <c r="R3063" s="13"/>
      <c r="S3063" s="13"/>
      <c r="T3063" s="13">
        <f t="shared" ref="T3063:Y3063" si="3287">IF(ISBLANK(K3063)=TRUE,0,1)</f>
        <v>1</v>
      </c>
      <c r="U3063" s="13">
        <f t="shared" si="3287"/>
        <v>1</v>
      </c>
      <c r="V3063" s="13">
        <f t="shared" si="3287"/>
        <v>0</v>
      </c>
      <c r="W3063" s="13">
        <f t="shared" si="3287"/>
        <v>0</v>
      </c>
      <c r="X3063" s="13">
        <f t="shared" si="3287"/>
        <v>1</v>
      </c>
      <c r="Y3063" s="13">
        <f t="shared" si="3287"/>
        <v>1</v>
      </c>
      <c r="Z3063" s="13">
        <f t="shared" si="3023"/>
        <v>1</v>
      </c>
      <c r="AA3063" s="13"/>
      <c r="AB3063" s="13"/>
      <c r="AC3063" s="13"/>
      <c r="AD3063" s="13"/>
      <c r="AE3063" s="13"/>
      <c r="AF3063" s="13"/>
      <c r="AG3063" s="13"/>
      <c r="AH3063" s="13"/>
      <c r="AI3063" s="13"/>
      <c r="AJ3063" s="13"/>
      <c r="AK3063" s="13"/>
      <c r="AL3063" s="13"/>
      <c r="AM3063" s="13"/>
      <c r="AN3063" s="13"/>
      <c r="AO3063" s="13"/>
      <c r="AP3063" s="13"/>
      <c r="AQ3063" s="13"/>
      <c r="AR3063" s="13"/>
      <c r="AS3063" s="13"/>
    </row>
    <row r="3064" ht="14.25" customHeight="1">
      <c r="A3064" s="13" t="s">
        <v>36</v>
      </c>
      <c r="B3064" s="13" t="s">
        <v>39</v>
      </c>
      <c r="C3064" s="13" t="s">
        <v>1872</v>
      </c>
      <c r="D3064" s="13" t="s">
        <v>181</v>
      </c>
      <c r="F3064" s="13"/>
      <c r="G3064" s="13" t="s">
        <v>111</v>
      </c>
      <c r="H3064" s="13" t="s">
        <v>75</v>
      </c>
      <c r="I3064" s="13"/>
      <c r="J3064" s="13"/>
      <c r="K3064" s="15">
        <v>0.0</v>
      </c>
      <c r="L3064" s="15">
        <v>0.0</v>
      </c>
      <c r="M3064" s="16"/>
      <c r="N3064" s="16"/>
      <c r="O3064" s="17"/>
      <c r="P3064" s="17"/>
      <c r="Q3064" s="13">
        <f t="shared" si="3284"/>
        <v>3.166666667</v>
      </c>
      <c r="R3064" s="13"/>
      <c r="S3064" s="13"/>
      <c r="T3064" s="13">
        <f t="shared" ref="T3064:Y3064" si="3288">IF(ISBLANK(K3064)=TRUE,0,1)</f>
        <v>1</v>
      </c>
      <c r="U3064" s="13">
        <f t="shared" si="3288"/>
        <v>1</v>
      </c>
      <c r="V3064" s="13">
        <f t="shared" si="3288"/>
        <v>0</v>
      </c>
      <c r="W3064" s="13">
        <f t="shared" si="3288"/>
        <v>0</v>
      </c>
      <c r="X3064" s="13">
        <f t="shared" si="3288"/>
        <v>0</v>
      </c>
      <c r="Y3064" s="13">
        <f t="shared" si="3288"/>
        <v>0</v>
      </c>
      <c r="Z3064" s="13">
        <f t="shared" si="3023"/>
        <v>0</v>
      </c>
      <c r="AA3064" s="13"/>
      <c r="AB3064" s="13"/>
      <c r="AC3064" s="13"/>
      <c r="AD3064" s="13"/>
      <c r="AE3064" s="13"/>
      <c r="AF3064" s="13"/>
      <c r="AG3064" s="13"/>
      <c r="AH3064" s="13"/>
      <c r="AI3064" s="13"/>
      <c r="AJ3064" s="13"/>
      <c r="AK3064" s="13"/>
      <c r="AL3064" s="13"/>
      <c r="AM3064" s="13"/>
      <c r="AN3064" s="13"/>
      <c r="AO3064" s="13"/>
      <c r="AP3064" s="13"/>
      <c r="AQ3064" s="13"/>
      <c r="AR3064" s="13"/>
      <c r="AS3064" s="13"/>
    </row>
    <row r="3065" ht="14.25" customHeight="1">
      <c r="A3065" s="13" t="s">
        <v>36</v>
      </c>
      <c r="B3065" s="13" t="s">
        <v>37</v>
      </c>
      <c r="C3065" s="13" t="s">
        <v>1859</v>
      </c>
      <c r="D3065" s="13" t="s">
        <v>188</v>
      </c>
      <c r="F3065" s="13"/>
      <c r="G3065" s="13" t="s">
        <v>74</v>
      </c>
      <c r="H3065" s="13" t="s">
        <v>75</v>
      </c>
      <c r="I3065" s="13"/>
      <c r="J3065" s="13"/>
      <c r="K3065" s="15">
        <v>1.0</v>
      </c>
      <c r="L3065" s="15">
        <v>1.0</v>
      </c>
      <c r="M3065" s="16"/>
      <c r="N3065" s="16"/>
      <c r="O3065" s="17"/>
      <c r="P3065" s="17"/>
      <c r="Q3065" s="13">
        <f t="shared" si="3284"/>
        <v>0</v>
      </c>
      <c r="R3065" s="13"/>
      <c r="S3065" s="13"/>
      <c r="T3065" s="13">
        <f t="shared" ref="T3065:Y3065" si="3289">IF(ISBLANK(K3065)=TRUE,0,1)</f>
        <v>1</v>
      </c>
      <c r="U3065" s="13">
        <f t="shared" si="3289"/>
        <v>1</v>
      </c>
      <c r="V3065" s="13">
        <f t="shared" si="3289"/>
        <v>0</v>
      </c>
      <c r="W3065" s="13">
        <f t="shared" si="3289"/>
        <v>0</v>
      </c>
      <c r="X3065" s="13">
        <f t="shared" si="3289"/>
        <v>0</v>
      </c>
      <c r="Y3065" s="13">
        <f t="shared" si="3289"/>
        <v>0</v>
      </c>
      <c r="Z3065" s="13">
        <f t="shared" si="3023"/>
        <v>1</v>
      </c>
      <c r="AA3065" s="13"/>
      <c r="AB3065" s="13"/>
      <c r="AC3065" s="13"/>
      <c r="AD3065" s="13"/>
      <c r="AE3065" s="13"/>
      <c r="AF3065" s="13"/>
      <c r="AG3065" s="13"/>
      <c r="AH3065" s="13"/>
      <c r="AI3065" s="13"/>
      <c r="AJ3065" s="13"/>
      <c r="AK3065" s="13"/>
      <c r="AL3065" s="13"/>
      <c r="AM3065" s="13"/>
      <c r="AN3065" s="13"/>
      <c r="AO3065" s="13"/>
      <c r="AP3065" s="13"/>
      <c r="AQ3065" s="13"/>
      <c r="AR3065" s="13"/>
      <c r="AS3065" s="13"/>
    </row>
    <row r="3066" ht="14.25" customHeight="1">
      <c r="A3066" s="26" t="s">
        <v>29</v>
      </c>
      <c r="B3066" s="26" t="s">
        <v>32</v>
      </c>
      <c r="C3066" s="27" t="s">
        <v>109</v>
      </c>
      <c r="D3066" s="26" t="s">
        <v>186</v>
      </c>
      <c r="F3066" s="26"/>
      <c r="G3066" s="13" t="s">
        <v>111</v>
      </c>
      <c r="H3066" s="26" t="s">
        <v>75</v>
      </c>
      <c r="I3066" s="26"/>
      <c r="J3066" s="26"/>
      <c r="K3066" s="28"/>
      <c r="L3066" s="28"/>
      <c r="M3066" s="16">
        <v>0.0</v>
      </c>
      <c r="N3066" s="16">
        <v>0.0</v>
      </c>
      <c r="O3066" s="17">
        <v>0.0</v>
      </c>
      <c r="P3066" s="17">
        <v>0.0</v>
      </c>
      <c r="Q3066" s="13"/>
      <c r="R3066" s="13"/>
      <c r="S3066" s="13"/>
      <c r="T3066" s="13">
        <f t="shared" ref="T3066:Y3066" si="3290">IF(ISBLANK(K3066)=TRUE,0,1)</f>
        <v>0</v>
      </c>
      <c r="U3066" s="13">
        <f t="shared" si="3290"/>
        <v>0</v>
      </c>
      <c r="V3066" s="13">
        <f t="shared" si="3290"/>
        <v>1</v>
      </c>
      <c r="W3066" s="13">
        <f t="shared" si="3290"/>
        <v>1</v>
      </c>
      <c r="X3066" s="13">
        <f t="shared" si="3290"/>
        <v>1</v>
      </c>
      <c r="Y3066" s="13">
        <f t="shared" si="3290"/>
        <v>1</v>
      </c>
      <c r="Z3066" s="13">
        <f t="shared" si="3023"/>
        <v>0</v>
      </c>
      <c r="AA3066" s="13"/>
      <c r="AB3066" s="13"/>
      <c r="AC3066" s="13"/>
      <c r="AD3066" s="13"/>
      <c r="AE3066" s="13"/>
      <c r="AF3066" s="13"/>
      <c r="AG3066" s="13"/>
      <c r="AH3066" s="13"/>
      <c r="AI3066" s="13"/>
      <c r="AJ3066" s="13"/>
      <c r="AK3066" s="13"/>
      <c r="AL3066" s="13"/>
      <c r="AM3066" s="13"/>
      <c r="AN3066" s="13"/>
      <c r="AO3066" s="13"/>
      <c r="AP3066" s="13"/>
      <c r="AQ3066" s="13"/>
      <c r="AR3066" s="13"/>
      <c r="AS3066" s="13"/>
    </row>
    <row r="3067" ht="14.25" customHeight="1">
      <c r="A3067" s="13" t="s">
        <v>36</v>
      </c>
      <c r="B3067" s="13" t="s">
        <v>37</v>
      </c>
      <c r="C3067" s="13" t="s">
        <v>1859</v>
      </c>
      <c r="D3067" s="13" t="s">
        <v>189</v>
      </c>
      <c r="F3067" s="13"/>
      <c r="G3067" s="13" t="s">
        <v>74</v>
      </c>
      <c r="H3067" s="13" t="s">
        <v>75</v>
      </c>
      <c r="I3067" s="13"/>
      <c r="J3067" s="13"/>
      <c r="K3067" s="15">
        <v>1.0</v>
      </c>
      <c r="L3067" s="15">
        <v>1.0</v>
      </c>
      <c r="M3067" s="16"/>
      <c r="N3067" s="16"/>
      <c r="O3067" s="17"/>
      <c r="P3067" s="17"/>
      <c r="Q3067" s="13">
        <f t="shared" ref="Q3067:Q3068" si="3292">K3066+L3066+M3066+N3066+O3066+P3066/6</f>
        <v>0</v>
      </c>
      <c r="R3067" s="13"/>
      <c r="S3067" s="13"/>
      <c r="T3067" s="13">
        <f t="shared" ref="T3067:Y3067" si="3291">IF(ISBLANK(K3067)=TRUE,0,1)</f>
        <v>1</v>
      </c>
      <c r="U3067" s="13">
        <f t="shared" si="3291"/>
        <v>1</v>
      </c>
      <c r="V3067" s="13">
        <f t="shared" si="3291"/>
        <v>0</v>
      </c>
      <c r="W3067" s="13">
        <f t="shared" si="3291"/>
        <v>0</v>
      </c>
      <c r="X3067" s="13">
        <f t="shared" si="3291"/>
        <v>0</v>
      </c>
      <c r="Y3067" s="13">
        <f t="shared" si="3291"/>
        <v>0</v>
      </c>
      <c r="Z3067" s="13">
        <f t="shared" si="3023"/>
        <v>1</v>
      </c>
      <c r="AA3067" s="13"/>
      <c r="AB3067" s="13"/>
      <c r="AC3067" s="13"/>
      <c r="AD3067" s="13"/>
      <c r="AE3067" s="13"/>
      <c r="AF3067" s="13"/>
      <c r="AG3067" s="13"/>
      <c r="AH3067" s="13"/>
      <c r="AI3067" s="13"/>
      <c r="AJ3067" s="13"/>
      <c r="AK3067" s="13"/>
      <c r="AL3067" s="13"/>
      <c r="AM3067" s="13"/>
      <c r="AN3067" s="13"/>
      <c r="AO3067" s="13"/>
      <c r="AP3067" s="13"/>
      <c r="AQ3067" s="13"/>
      <c r="AR3067" s="13"/>
      <c r="AS3067" s="13"/>
    </row>
    <row r="3068" ht="14.25" customHeight="1">
      <c r="A3068" s="13" t="s">
        <v>36</v>
      </c>
      <c r="B3068" s="13" t="s">
        <v>39</v>
      </c>
      <c r="C3068" s="13" t="s">
        <v>1872</v>
      </c>
      <c r="D3068" s="13" t="s">
        <v>182</v>
      </c>
      <c r="F3068" s="13"/>
      <c r="G3068" s="13" t="s">
        <v>111</v>
      </c>
      <c r="H3068" s="13" t="s">
        <v>75</v>
      </c>
      <c r="I3068" s="13"/>
      <c r="J3068" s="13"/>
      <c r="K3068" s="15">
        <v>0.0</v>
      </c>
      <c r="L3068" s="15">
        <v>0.0</v>
      </c>
      <c r="M3068" s="16"/>
      <c r="N3068" s="16"/>
      <c r="O3068" s="17"/>
      <c r="P3068" s="17"/>
      <c r="Q3068" s="13">
        <f t="shared" si="3292"/>
        <v>2</v>
      </c>
      <c r="R3068" s="13"/>
      <c r="S3068" s="13"/>
      <c r="T3068" s="13">
        <f t="shared" ref="T3068:Y3068" si="3293">IF(ISBLANK(K3068)=TRUE,0,1)</f>
        <v>1</v>
      </c>
      <c r="U3068" s="13">
        <f t="shared" si="3293"/>
        <v>1</v>
      </c>
      <c r="V3068" s="13">
        <f t="shared" si="3293"/>
        <v>0</v>
      </c>
      <c r="W3068" s="13">
        <f t="shared" si="3293"/>
        <v>0</v>
      </c>
      <c r="X3068" s="13">
        <f t="shared" si="3293"/>
        <v>0</v>
      </c>
      <c r="Y3068" s="13">
        <f t="shared" si="3293"/>
        <v>0</v>
      </c>
      <c r="Z3068" s="13">
        <f t="shared" si="3023"/>
        <v>0</v>
      </c>
      <c r="AA3068" s="13" t="s">
        <v>561</v>
      </c>
      <c r="AB3068" s="13"/>
      <c r="AC3068" s="13"/>
      <c r="AD3068" s="13"/>
      <c r="AE3068" s="13"/>
      <c r="AF3068" s="13"/>
      <c r="AG3068" s="13"/>
      <c r="AH3068" s="13"/>
      <c r="AI3068" s="13"/>
      <c r="AJ3068" s="13"/>
      <c r="AK3068" s="13"/>
      <c r="AL3068" s="13"/>
      <c r="AM3068" s="13"/>
      <c r="AN3068" s="13"/>
      <c r="AO3068" s="13"/>
      <c r="AP3068" s="13"/>
      <c r="AQ3068" s="13"/>
      <c r="AR3068" s="13"/>
      <c r="AS3068" s="13"/>
    </row>
    <row r="3069" ht="14.25" customHeight="1">
      <c r="A3069" s="13" t="s">
        <v>29</v>
      </c>
      <c r="B3069" s="13" t="s">
        <v>32</v>
      </c>
      <c r="C3069" s="18" t="s">
        <v>109</v>
      </c>
      <c r="D3069" s="13" t="s">
        <v>1897</v>
      </c>
      <c r="F3069" s="13"/>
      <c r="G3069" s="13" t="s">
        <v>111</v>
      </c>
      <c r="H3069" s="13" t="s">
        <v>75</v>
      </c>
      <c r="I3069" s="13"/>
      <c r="J3069" s="13"/>
      <c r="K3069" s="15"/>
      <c r="L3069" s="15"/>
      <c r="M3069" s="16">
        <v>0.0</v>
      </c>
      <c r="N3069" s="16">
        <v>0.0</v>
      </c>
      <c r="O3069" s="17">
        <v>0.0</v>
      </c>
      <c r="P3069" s="17">
        <v>0.0</v>
      </c>
      <c r="Q3069" s="13"/>
      <c r="R3069" s="13"/>
      <c r="S3069" s="13"/>
      <c r="T3069" s="13">
        <f t="shared" ref="T3069:Y3069" si="3294">IF(ISBLANK(K3069)=TRUE,0,1)</f>
        <v>0</v>
      </c>
      <c r="U3069" s="13">
        <f t="shared" si="3294"/>
        <v>0</v>
      </c>
      <c r="V3069" s="13">
        <f t="shared" si="3294"/>
        <v>1</v>
      </c>
      <c r="W3069" s="13">
        <f t="shared" si="3294"/>
        <v>1</v>
      </c>
      <c r="X3069" s="13">
        <f t="shared" si="3294"/>
        <v>1</v>
      </c>
      <c r="Y3069" s="13">
        <f t="shared" si="3294"/>
        <v>1</v>
      </c>
      <c r="Z3069" s="13">
        <f t="shared" si="3023"/>
        <v>0</v>
      </c>
      <c r="AA3069" s="13"/>
      <c r="AB3069" s="13"/>
      <c r="AC3069" s="13"/>
      <c r="AD3069" s="13"/>
      <c r="AE3069" s="13"/>
      <c r="AF3069" s="13"/>
      <c r="AG3069" s="13"/>
      <c r="AH3069" s="13"/>
      <c r="AI3069" s="13"/>
      <c r="AJ3069" s="13"/>
      <c r="AK3069" s="13"/>
      <c r="AL3069" s="13"/>
      <c r="AM3069" s="13"/>
      <c r="AN3069" s="13"/>
      <c r="AO3069" s="13"/>
      <c r="AP3069" s="13"/>
      <c r="AQ3069" s="13"/>
      <c r="AR3069" s="13"/>
      <c r="AS3069" s="13"/>
    </row>
    <row r="3070" ht="14.25" customHeight="1">
      <c r="A3070" s="13" t="s">
        <v>36</v>
      </c>
      <c r="B3070" s="13" t="s">
        <v>41</v>
      </c>
      <c r="C3070" s="13" t="s">
        <v>1860</v>
      </c>
      <c r="D3070" s="13" t="s">
        <v>434</v>
      </c>
      <c r="F3070" s="13"/>
      <c r="G3070" s="13" t="s">
        <v>74</v>
      </c>
      <c r="H3070" s="13" t="s">
        <v>75</v>
      </c>
      <c r="I3070" s="13"/>
      <c r="J3070" s="13"/>
      <c r="K3070" s="15">
        <v>1.0</v>
      </c>
      <c r="L3070" s="15">
        <v>1.0</v>
      </c>
      <c r="M3070" s="16"/>
      <c r="N3070" s="16"/>
      <c r="O3070" s="17">
        <v>1.0</v>
      </c>
      <c r="P3070" s="17">
        <v>1.0</v>
      </c>
      <c r="Q3070" s="13">
        <f t="shared" ref="Q3070:Q3075" si="3296">K3069+L3069+M3069+N3069+O3069+P3069/6</f>
        <v>0</v>
      </c>
      <c r="R3070" s="13"/>
      <c r="S3070" s="13"/>
      <c r="T3070" s="13">
        <f t="shared" ref="T3070:Y3070" si="3295">IF(ISBLANK(K3070)=TRUE,0,1)</f>
        <v>1</v>
      </c>
      <c r="U3070" s="13">
        <f t="shared" si="3295"/>
        <v>1</v>
      </c>
      <c r="V3070" s="13">
        <f t="shared" si="3295"/>
        <v>0</v>
      </c>
      <c r="W3070" s="13">
        <f t="shared" si="3295"/>
        <v>0</v>
      </c>
      <c r="X3070" s="13">
        <f t="shared" si="3295"/>
        <v>1</v>
      </c>
      <c r="Y3070" s="13">
        <f t="shared" si="3295"/>
        <v>1</v>
      </c>
      <c r="Z3070" s="13">
        <f t="shared" si="3023"/>
        <v>1</v>
      </c>
      <c r="AA3070" s="13"/>
      <c r="AB3070" s="13"/>
      <c r="AC3070" s="13"/>
      <c r="AD3070" s="13"/>
      <c r="AE3070" s="13"/>
      <c r="AF3070" s="13"/>
      <c r="AG3070" s="13"/>
      <c r="AH3070" s="13"/>
      <c r="AI3070" s="13"/>
      <c r="AJ3070" s="13"/>
      <c r="AK3070" s="13"/>
      <c r="AL3070" s="13"/>
      <c r="AM3070" s="13"/>
      <c r="AN3070" s="13"/>
      <c r="AO3070" s="13"/>
      <c r="AP3070" s="13"/>
      <c r="AQ3070" s="13"/>
      <c r="AR3070" s="13"/>
      <c r="AS3070" s="13"/>
    </row>
    <row r="3071" ht="14.25" customHeight="1">
      <c r="A3071" s="13" t="s">
        <v>36</v>
      </c>
      <c r="B3071" s="13" t="s">
        <v>41</v>
      </c>
      <c r="C3071" s="13" t="s">
        <v>1860</v>
      </c>
      <c r="D3071" s="13" t="s">
        <v>435</v>
      </c>
      <c r="F3071" s="13"/>
      <c r="G3071" s="13" t="s">
        <v>74</v>
      </c>
      <c r="H3071" s="13" t="s">
        <v>75</v>
      </c>
      <c r="I3071" s="13"/>
      <c r="J3071" s="13"/>
      <c r="K3071" s="15">
        <v>1.0</v>
      </c>
      <c r="L3071" s="15">
        <v>1.0</v>
      </c>
      <c r="M3071" s="16"/>
      <c r="N3071" s="16"/>
      <c r="O3071" s="17">
        <v>1.0</v>
      </c>
      <c r="P3071" s="17">
        <v>1.0</v>
      </c>
      <c r="Q3071" s="13">
        <f t="shared" si="3296"/>
        <v>3.166666667</v>
      </c>
      <c r="R3071" s="13"/>
      <c r="S3071" s="13"/>
      <c r="T3071" s="13">
        <f t="shared" ref="T3071:Y3071" si="3297">IF(ISBLANK(K3071)=TRUE,0,1)</f>
        <v>1</v>
      </c>
      <c r="U3071" s="13">
        <f t="shared" si="3297"/>
        <v>1</v>
      </c>
      <c r="V3071" s="13">
        <f t="shared" si="3297"/>
        <v>0</v>
      </c>
      <c r="W3071" s="13">
        <f t="shared" si="3297"/>
        <v>0</v>
      </c>
      <c r="X3071" s="13">
        <f t="shared" si="3297"/>
        <v>1</v>
      </c>
      <c r="Y3071" s="13">
        <f t="shared" si="3297"/>
        <v>1</v>
      </c>
      <c r="Z3071" s="13">
        <f t="shared" si="3023"/>
        <v>1</v>
      </c>
      <c r="AA3071" s="13"/>
      <c r="AB3071" s="13"/>
      <c r="AC3071" s="13"/>
      <c r="AD3071" s="13"/>
      <c r="AE3071" s="13"/>
      <c r="AF3071" s="13"/>
      <c r="AG3071" s="13"/>
      <c r="AH3071" s="13"/>
      <c r="AI3071" s="13"/>
      <c r="AJ3071" s="13"/>
      <c r="AK3071" s="13"/>
      <c r="AL3071" s="13"/>
      <c r="AM3071" s="13"/>
      <c r="AN3071" s="13"/>
      <c r="AO3071" s="13"/>
      <c r="AP3071" s="13"/>
      <c r="AQ3071" s="13"/>
      <c r="AR3071" s="13"/>
      <c r="AS3071" s="13"/>
    </row>
    <row r="3072" ht="14.25" customHeight="1">
      <c r="A3072" s="13" t="s">
        <v>36</v>
      </c>
      <c r="B3072" s="13" t="s">
        <v>39</v>
      </c>
      <c r="C3072" s="13" t="s">
        <v>1872</v>
      </c>
      <c r="D3072" s="13" t="s">
        <v>183</v>
      </c>
      <c r="F3072" s="13"/>
      <c r="G3072" s="13" t="s">
        <v>111</v>
      </c>
      <c r="H3072" s="13" t="s">
        <v>75</v>
      </c>
      <c r="I3072" s="13"/>
      <c r="J3072" s="13"/>
      <c r="K3072" s="15">
        <v>0.0</v>
      </c>
      <c r="L3072" s="15">
        <v>0.0</v>
      </c>
      <c r="M3072" s="16"/>
      <c r="N3072" s="16"/>
      <c r="O3072" s="17"/>
      <c r="P3072" s="17"/>
      <c r="Q3072" s="13">
        <f t="shared" si="3296"/>
        <v>3.166666667</v>
      </c>
      <c r="R3072" s="13"/>
      <c r="S3072" s="13"/>
      <c r="T3072" s="13">
        <f t="shared" ref="T3072:Y3072" si="3298">IF(ISBLANK(K3072)=TRUE,0,1)</f>
        <v>1</v>
      </c>
      <c r="U3072" s="13">
        <f t="shared" si="3298"/>
        <v>1</v>
      </c>
      <c r="V3072" s="13">
        <f t="shared" si="3298"/>
        <v>0</v>
      </c>
      <c r="W3072" s="13">
        <f t="shared" si="3298"/>
        <v>0</v>
      </c>
      <c r="X3072" s="13">
        <f t="shared" si="3298"/>
        <v>0</v>
      </c>
      <c r="Y3072" s="13">
        <f t="shared" si="3298"/>
        <v>0</v>
      </c>
      <c r="Z3072" s="13">
        <f t="shared" si="3023"/>
        <v>0</v>
      </c>
      <c r="AA3072" s="13"/>
      <c r="AB3072" s="13"/>
      <c r="AC3072" s="13"/>
      <c r="AD3072" s="13"/>
      <c r="AE3072" s="13"/>
      <c r="AF3072" s="13"/>
      <c r="AG3072" s="13"/>
      <c r="AH3072" s="13"/>
      <c r="AI3072" s="13"/>
      <c r="AJ3072" s="13"/>
      <c r="AK3072" s="13"/>
      <c r="AL3072" s="13"/>
      <c r="AM3072" s="13"/>
      <c r="AN3072" s="13"/>
      <c r="AO3072" s="13"/>
      <c r="AP3072" s="13"/>
      <c r="AQ3072" s="13"/>
      <c r="AR3072" s="13"/>
      <c r="AS3072" s="13"/>
    </row>
    <row r="3073" ht="14.25" customHeight="1">
      <c r="A3073" s="13" t="s">
        <v>36</v>
      </c>
      <c r="B3073" s="13" t="s">
        <v>39</v>
      </c>
      <c r="C3073" s="13" t="s">
        <v>1872</v>
      </c>
      <c r="D3073" s="13" t="s">
        <v>184</v>
      </c>
      <c r="F3073" s="13"/>
      <c r="G3073" s="13" t="s">
        <v>111</v>
      </c>
      <c r="H3073" s="13" t="s">
        <v>75</v>
      </c>
      <c r="I3073" s="13"/>
      <c r="J3073" s="13"/>
      <c r="K3073" s="15">
        <v>0.0</v>
      </c>
      <c r="L3073" s="15">
        <v>0.0</v>
      </c>
      <c r="M3073" s="16"/>
      <c r="N3073" s="16"/>
      <c r="O3073" s="17"/>
      <c r="P3073" s="17"/>
      <c r="Q3073" s="13">
        <f t="shared" si="3296"/>
        <v>0</v>
      </c>
      <c r="R3073" s="13"/>
      <c r="S3073" s="13"/>
      <c r="T3073" s="13">
        <f t="shared" ref="T3073:Y3073" si="3299">IF(ISBLANK(K3073)=TRUE,0,1)</f>
        <v>1</v>
      </c>
      <c r="U3073" s="13">
        <f t="shared" si="3299"/>
        <v>1</v>
      </c>
      <c r="V3073" s="13">
        <f t="shared" si="3299"/>
        <v>0</v>
      </c>
      <c r="W3073" s="13">
        <f t="shared" si="3299"/>
        <v>0</v>
      </c>
      <c r="X3073" s="13">
        <f t="shared" si="3299"/>
        <v>0</v>
      </c>
      <c r="Y3073" s="13">
        <f t="shared" si="3299"/>
        <v>0</v>
      </c>
      <c r="Z3073" s="13">
        <f t="shared" si="3023"/>
        <v>0</v>
      </c>
      <c r="AA3073" s="13"/>
      <c r="AB3073" s="13"/>
      <c r="AC3073" s="13"/>
      <c r="AD3073" s="13"/>
      <c r="AE3073" s="13"/>
      <c r="AF3073" s="13"/>
      <c r="AG3073" s="13"/>
      <c r="AH3073" s="13"/>
      <c r="AI3073" s="13"/>
      <c r="AJ3073" s="13"/>
      <c r="AK3073" s="13"/>
      <c r="AL3073" s="13"/>
      <c r="AM3073" s="13"/>
      <c r="AN3073" s="13"/>
      <c r="AO3073" s="13"/>
      <c r="AP3073" s="13"/>
      <c r="AQ3073" s="13"/>
      <c r="AR3073" s="13"/>
      <c r="AS3073" s="13"/>
    </row>
    <row r="3074" ht="14.25" customHeight="1">
      <c r="A3074" s="13" t="s">
        <v>36</v>
      </c>
      <c r="B3074" s="13" t="s">
        <v>39</v>
      </c>
      <c r="C3074" s="13" t="s">
        <v>1872</v>
      </c>
      <c r="D3074" s="13" t="s">
        <v>185</v>
      </c>
      <c r="F3074" s="13"/>
      <c r="G3074" s="13" t="s">
        <v>111</v>
      </c>
      <c r="H3074" s="13" t="s">
        <v>75</v>
      </c>
      <c r="I3074" s="13"/>
      <c r="J3074" s="13"/>
      <c r="K3074" s="15">
        <v>0.0</v>
      </c>
      <c r="L3074" s="15">
        <v>0.0</v>
      </c>
      <c r="M3074" s="16"/>
      <c r="N3074" s="16"/>
      <c r="O3074" s="17"/>
      <c r="P3074" s="17"/>
      <c r="Q3074" s="13">
        <f t="shared" si="3296"/>
        <v>0</v>
      </c>
      <c r="R3074" s="13"/>
      <c r="S3074" s="13"/>
      <c r="T3074" s="13">
        <f t="shared" ref="T3074:Y3074" si="3300">IF(ISBLANK(K3074)=TRUE,0,1)</f>
        <v>1</v>
      </c>
      <c r="U3074" s="13">
        <f t="shared" si="3300"/>
        <v>1</v>
      </c>
      <c r="V3074" s="13">
        <f t="shared" si="3300"/>
        <v>0</v>
      </c>
      <c r="W3074" s="13">
        <f t="shared" si="3300"/>
        <v>0</v>
      </c>
      <c r="X3074" s="13">
        <f t="shared" si="3300"/>
        <v>0</v>
      </c>
      <c r="Y3074" s="13">
        <f t="shared" si="3300"/>
        <v>0</v>
      </c>
      <c r="Z3074" s="13">
        <f t="shared" si="3023"/>
        <v>0</v>
      </c>
      <c r="AA3074" s="13" t="s">
        <v>561</v>
      </c>
      <c r="AB3074" s="13"/>
      <c r="AC3074" s="13"/>
      <c r="AD3074" s="13"/>
      <c r="AE3074" s="13"/>
      <c r="AF3074" s="13"/>
      <c r="AG3074" s="13"/>
      <c r="AH3074" s="13"/>
      <c r="AI3074" s="13"/>
      <c r="AJ3074" s="13"/>
      <c r="AK3074" s="13"/>
      <c r="AL3074" s="13"/>
      <c r="AM3074" s="13"/>
      <c r="AN3074" s="13"/>
      <c r="AO3074" s="13"/>
      <c r="AP3074" s="13"/>
      <c r="AQ3074" s="13"/>
      <c r="AR3074" s="13"/>
      <c r="AS3074" s="13"/>
    </row>
    <row r="3075" ht="14.25" customHeight="1">
      <c r="A3075" s="13" t="s">
        <v>36</v>
      </c>
      <c r="B3075" s="13" t="s">
        <v>37</v>
      </c>
      <c r="C3075" s="13" t="s">
        <v>1859</v>
      </c>
      <c r="D3075" s="13" t="s">
        <v>190</v>
      </c>
      <c r="F3075" s="13"/>
      <c r="G3075" s="13" t="s">
        <v>74</v>
      </c>
      <c r="H3075" s="13" t="s">
        <v>75</v>
      </c>
      <c r="I3075" s="13"/>
      <c r="J3075" s="13"/>
      <c r="K3075" s="15">
        <v>1.0</v>
      </c>
      <c r="L3075" s="15">
        <v>1.0</v>
      </c>
      <c r="M3075" s="16"/>
      <c r="N3075" s="16"/>
      <c r="O3075" s="17"/>
      <c r="P3075" s="17"/>
      <c r="Q3075" s="13">
        <f t="shared" si="3296"/>
        <v>0</v>
      </c>
      <c r="R3075" s="13"/>
      <c r="S3075" s="13"/>
      <c r="T3075" s="13">
        <f t="shared" ref="T3075:Y3075" si="3301">IF(ISBLANK(K3075)=TRUE,0,1)</f>
        <v>1</v>
      </c>
      <c r="U3075" s="13">
        <f t="shared" si="3301"/>
        <v>1</v>
      </c>
      <c r="V3075" s="13">
        <f t="shared" si="3301"/>
        <v>0</v>
      </c>
      <c r="W3075" s="13">
        <f t="shared" si="3301"/>
        <v>0</v>
      </c>
      <c r="X3075" s="13">
        <f t="shared" si="3301"/>
        <v>0</v>
      </c>
      <c r="Y3075" s="13">
        <f t="shared" si="3301"/>
        <v>0</v>
      </c>
      <c r="Z3075" s="13">
        <f t="shared" si="3023"/>
        <v>1</v>
      </c>
      <c r="AA3075" s="13"/>
      <c r="AB3075" s="13"/>
      <c r="AC3075" s="13"/>
      <c r="AD3075" s="13"/>
      <c r="AE3075" s="13"/>
      <c r="AF3075" s="13"/>
      <c r="AG3075" s="13"/>
      <c r="AH3075" s="13"/>
      <c r="AI3075" s="13"/>
      <c r="AJ3075" s="13"/>
      <c r="AK3075" s="13"/>
      <c r="AL3075" s="13"/>
      <c r="AM3075" s="13"/>
      <c r="AN3075" s="13"/>
      <c r="AO3075" s="13"/>
      <c r="AP3075" s="13"/>
      <c r="AQ3075" s="13"/>
      <c r="AR3075" s="13"/>
      <c r="AS3075" s="13"/>
    </row>
    <row r="3076" ht="14.25" customHeight="1">
      <c r="A3076" s="26" t="s">
        <v>29</v>
      </c>
      <c r="B3076" s="26" t="s">
        <v>32</v>
      </c>
      <c r="C3076" s="27" t="s">
        <v>109</v>
      </c>
      <c r="D3076" s="26" t="s">
        <v>187</v>
      </c>
      <c r="F3076" s="26"/>
      <c r="G3076" s="13" t="s">
        <v>111</v>
      </c>
      <c r="H3076" s="26" t="s">
        <v>75</v>
      </c>
      <c r="I3076" s="26"/>
      <c r="J3076" s="26"/>
      <c r="K3076" s="28"/>
      <c r="L3076" s="28"/>
      <c r="M3076" s="16">
        <v>0.0</v>
      </c>
      <c r="N3076" s="16">
        <v>0.0</v>
      </c>
      <c r="O3076" s="17">
        <v>0.0</v>
      </c>
      <c r="P3076" s="17">
        <v>0.0</v>
      </c>
      <c r="Q3076" s="13"/>
      <c r="R3076" s="13"/>
      <c r="S3076" s="13"/>
      <c r="T3076" s="13">
        <f t="shared" ref="T3076:Y3076" si="3302">IF(ISBLANK(K3076)=TRUE,0,1)</f>
        <v>0</v>
      </c>
      <c r="U3076" s="13">
        <f t="shared" si="3302"/>
        <v>0</v>
      </c>
      <c r="V3076" s="13">
        <f t="shared" si="3302"/>
        <v>1</v>
      </c>
      <c r="W3076" s="13">
        <f t="shared" si="3302"/>
        <v>1</v>
      </c>
      <c r="X3076" s="13">
        <f t="shared" si="3302"/>
        <v>1</v>
      </c>
      <c r="Y3076" s="13">
        <f t="shared" si="3302"/>
        <v>1</v>
      </c>
      <c r="Z3076" s="13">
        <f t="shared" si="3023"/>
        <v>0</v>
      </c>
      <c r="AA3076" s="13"/>
      <c r="AB3076" s="13"/>
      <c r="AC3076" s="13"/>
      <c r="AD3076" s="13"/>
      <c r="AE3076" s="13"/>
      <c r="AF3076" s="13"/>
      <c r="AG3076" s="13"/>
      <c r="AH3076" s="13"/>
      <c r="AI3076" s="13"/>
      <c r="AJ3076" s="13"/>
      <c r="AK3076" s="13"/>
      <c r="AL3076" s="13"/>
      <c r="AM3076" s="13"/>
      <c r="AN3076" s="13"/>
      <c r="AO3076" s="13"/>
      <c r="AP3076" s="13"/>
      <c r="AQ3076" s="13"/>
      <c r="AR3076" s="13"/>
      <c r="AS3076" s="13"/>
    </row>
    <row r="3077" ht="14.25" customHeight="1">
      <c r="A3077" s="13" t="s">
        <v>29</v>
      </c>
      <c r="B3077" s="13" t="s">
        <v>32</v>
      </c>
      <c r="C3077" s="18" t="s">
        <v>109</v>
      </c>
      <c r="D3077" s="13" t="s">
        <v>1898</v>
      </c>
      <c r="F3077" s="13"/>
      <c r="G3077" s="13" t="s">
        <v>111</v>
      </c>
      <c r="H3077" s="13" t="s">
        <v>75</v>
      </c>
      <c r="I3077" s="13"/>
      <c r="J3077" s="13"/>
      <c r="K3077" s="15"/>
      <c r="L3077" s="15"/>
      <c r="M3077" s="16">
        <v>0.0</v>
      </c>
      <c r="N3077" s="16">
        <v>0.0</v>
      </c>
      <c r="O3077" s="17">
        <v>0.0</v>
      </c>
      <c r="P3077" s="17">
        <v>0.0</v>
      </c>
      <c r="Q3077" s="13"/>
      <c r="R3077" s="13"/>
      <c r="S3077" s="13"/>
      <c r="T3077" s="13">
        <f t="shared" ref="T3077:Y3077" si="3303">IF(ISBLANK(K3077)=TRUE,0,1)</f>
        <v>0</v>
      </c>
      <c r="U3077" s="13">
        <f t="shared" si="3303"/>
        <v>0</v>
      </c>
      <c r="V3077" s="13">
        <f t="shared" si="3303"/>
        <v>1</v>
      </c>
      <c r="W3077" s="13">
        <f t="shared" si="3303"/>
        <v>1</v>
      </c>
      <c r="X3077" s="13">
        <f t="shared" si="3303"/>
        <v>1</v>
      </c>
      <c r="Y3077" s="13">
        <f t="shared" si="3303"/>
        <v>1</v>
      </c>
      <c r="Z3077" s="13">
        <f t="shared" si="3023"/>
        <v>0</v>
      </c>
      <c r="AA3077" s="13"/>
      <c r="AB3077" s="13"/>
      <c r="AC3077" s="13"/>
      <c r="AD3077" s="13"/>
      <c r="AE3077" s="13"/>
      <c r="AF3077" s="13"/>
      <c r="AG3077" s="13"/>
      <c r="AH3077" s="13"/>
      <c r="AI3077" s="13"/>
      <c r="AJ3077" s="13"/>
      <c r="AK3077" s="13"/>
      <c r="AL3077" s="13"/>
      <c r="AM3077" s="13"/>
      <c r="AN3077" s="13"/>
      <c r="AO3077" s="13"/>
      <c r="AP3077" s="13"/>
      <c r="AQ3077" s="13"/>
      <c r="AR3077" s="13"/>
      <c r="AS3077" s="13"/>
    </row>
    <row r="3078" ht="14.25" customHeight="1">
      <c r="A3078" s="26" t="s">
        <v>29</v>
      </c>
      <c r="B3078" s="26" t="s">
        <v>32</v>
      </c>
      <c r="C3078" s="27" t="s">
        <v>109</v>
      </c>
      <c r="D3078" s="26" t="s">
        <v>188</v>
      </c>
      <c r="F3078" s="26"/>
      <c r="G3078" s="13" t="s">
        <v>111</v>
      </c>
      <c r="H3078" s="26" t="s">
        <v>75</v>
      </c>
      <c r="I3078" s="26"/>
      <c r="J3078" s="26"/>
      <c r="K3078" s="28"/>
      <c r="L3078" s="28"/>
      <c r="M3078" s="16">
        <v>0.0</v>
      </c>
      <c r="N3078" s="16">
        <v>0.0</v>
      </c>
      <c r="O3078" s="17">
        <v>0.0</v>
      </c>
      <c r="P3078" s="17">
        <v>0.0</v>
      </c>
      <c r="Q3078" s="13"/>
      <c r="R3078" s="13"/>
      <c r="S3078" s="13"/>
      <c r="T3078" s="13">
        <f t="shared" ref="T3078:Y3078" si="3304">IF(ISBLANK(K3078)=TRUE,0,1)</f>
        <v>0</v>
      </c>
      <c r="U3078" s="13">
        <f t="shared" si="3304"/>
        <v>0</v>
      </c>
      <c r="V3078" s="13">
        <f t="shared" si="3304"/>
        <v>1</v>
      </c>
      <c r="W3078" s="13">
        <f t="shared" si="3304"/>
        <v>1</v>
      </c>
      <c r="X3078" s="13">
        <f t="shared" si="3304"/>
        <v>1</v>
      </c>
      <c r="Y3078" s="13">
        <f t="shared" si="3304"/>
        <v>1</v>
      </c>
      <c r="Z3078" s="13">
        <f t="shared" si="3023"/>
        <v>0</v>
      </c>
      <c r="AA3078" s="13"/>
      <c r="AB3078" s="13"/>
      <c r="AC3078" s="13"/>
      <c r="AD3078" s="13"/>
      <c r="AE3078" s="13"/>
      <c r="AF3078" s="13"/>
      <c r="AG3078" s="13"/>
      <c r="AH3078" s="13"/>
      <c r="AI3078" s="13"/>
      <c r="AJ3078" s="13"/>
      <c r="AK3078" s="13"/>
      <c r="AL3078" s="13"/>
      <c r="AM3078" s="13"/>
      <c r="AN3078" s="13"/>
      <c r="AO3078" s="13"/>
      <c r="AP3078" s="13"/>
      <c r="AQ3078" s="13"/>
      <c r="AR3078" s="13"/>
      <c r="AS3078" s="13"/>
    </row>
    <row r="3079" ht="14.25" customHeight="1">
      <c r="A3079" s="13" t="s">
        <v>29</v>
      </c>
      <c r="B3079" s="13" t="s">
        <v>32</v>
      </c>
      <c r="C3079" s="18" t="s">
        <v>109</v>
      </c>
      <c r="D3079" s="13" t="s">
        <v>1899</v>
      </c>
      <c r="F3079" s="13"/>
      <c r="G3079" s="13" t="s">
        <v>111</v>
      </c>
      <c r="H3079" s="13" t="s">
        <v>75</v>
      </c>
      <c r="I3079" s="13"/>
      <c r="J3079" s="13"/>
      <c r="K3079" s="15"/>
      <c r="L3079" s="15"/>
      <c r="M3079" s="16">
        <v>0.0</v>
      </c>
      <c r="N3079" s="16">
        <v>0.0</v>
      </c>
      <c r="O3079" s="17">
        <v>0.0</v>
      </c>
      <c r="P3079" s="17">
        <v>0.0</v>
      </c>
      <c r="Q3079" s="13"/>
      <c r="R3079" s="13"/>
      <c r="S3079" s="13"/>
      <c r="T3079" s="13">
        <f t="shared" ref="T3079:Y3079" si="3305">IF(ISBLANK(K3079)=TRUE,0,1)</f>
        <v>0</v>
      </c>
      <c r="U3079" s="13">
        <f t="shared" si="3305"/>
        <v>0</v>
      </c>
      <c r="V3079" s="13">
        <f t="shared" si="3305"/>
        <v>1</v>
      </c>
      <c r="W3079" s="13">
        <f t="shared" si="3305"/>
        <v>1</v>
      </c>
      <c r="X3079" s="13">
        <f t="shared" si="3305"/>
        <v>1</v>
      </c>
      <c r="Y3079" s="13">
        <f t="shared" si="3305"/>
        <v>1</v>
      </c>
      <c r="Z3079" s="13">
        <f t="shared" si="3023"/>
        <v>0</v>
      </c>
      <c r="AA3079" s="13"/>
      <c r="AB3079" s="13"/>
      <c r="AC3079" s="13"/>
      <c r="AD3079" s="13"/>
      <c r="AE3079" s="13"/>
      <c r="AF3079" s="13"/>
      <c r="AG3079" s="13"/>
      <c r="AH3079" s="13"/>
      <c r="AI3079" s="13"/>
      <c r="AJ3079" s="13"/>
      <c r="AK3079" s="13"/>
      <c r="AL3079" s="13"/>
      <c r="AM3079" s="13"/>
      <c r="AN3079" s="13"/>
      <c r="AO3079" s="13"/>
      <c r="AP3079" s="13"/>
      <c r="AQ3079" s="13"/>
      <c r="AR3079" s="13"/>
      <c r="AS3079" s="13"/>
    </row>
    <row r="3080" ht="14.25" customHeight="1">
      <c r="A3080" s="26" t="s">
        <v>29</v>
      </c>
      <c r="B3080" s="26" t="s">
        <v>32</v>
      </c>
      <c r="C3080" s="27" t="s">
        <v>109</v>
      </c>
      <c r="D3080" s="26" t="s">
        <v>189</v>
      </c>
      <c r="F3080" s="26"/>
      <c r="G3080" s="13" t="s">
        <v>111</v>
      </c>
      <c r="H3080" s="26" t="s">
        <v>75</v>
      </c>
      <c r="I3080" s="26"/>
      <c r="J3080" s="26"/>
      <c r="K3080" s="28"/>
      <c r="L3080" s="28"/>
      <c r="M3080" s="16">
        <v>0.0</v>
      </c>
      <c r="N3080" s="16">
        <v>0.0</v>
      </c>
      <c r="O3080" s="17">
        <v>0.0</v>
      </c>
      <c r="P3080" s="17">
        <v>0.0</v>
      </c>
      <c r="Q3080" s="13"/>
      <c r="R3080" s="13"/>
      <c r="S3080" s="13"/>
      <c r="T3080" s="13">
        <f t="shared" ref="T3080:Y3080" si="3306">IF(ISBLANK(K3080)=TRUE,0,1)</f>
        <v>0</v>
      </c>
      <c r="U3080" s="13">
        <f t="shared" si="3306"/>
        <v>0</v>
      </c>
      <c r="V3080" s="13">
        <f t="shared" si="3306"/>
        <v>1</v>
      </c>
      <c r="W3080" s="13">
        <f t="shared" si="3306"/>
        <v>1</v>
      </c>
      <c r="X3080" s="13">
        <f t="shared" si="3306"/>
        <v>1</v>
      </c>
      <c r="Y3080" s="13">
        <f t="shared" si="3306"/>
        <v>1</v>
      </c>
      <c r="Z3080" s="13">
        <f t="shared" si="3023"/>
        <v>0</v>
      </c>
      <c r="AA3080" s="13"/>
      <c r="AB3080" s="13"/>
      <c r="AC3080" s="13"/>
      <c r="AD3080" s="13"/>
      <c r="AE3080" s="13"/>
      <c r="AF3080" s="13"/>
      <c r="AG3080" s="13"/>
      <c r="AH3080" s="13"/>
      <c r="AI3080" s="13"/>
      <c r="AJ3080" s="13"/>
      <c r="AK3080" s="13"/>
      <c r="AL3080" s="13"/>
      <c r="AM3080" s="13"/>
      <c r="AN3080" s="13"/>
      <c r="AO3080" s="13"/>
      <c r="AP3080" s="13"/>
      <c r="AQ3080" s="13"/>
      <c r="AR3080" s="13"/>
      <c r="AS3080" s="13"/>
    </row>
    <row r="3081" ht="14.25" customHeight="1">
      <c r="A3081" s="13" t="s">
        <v>29</v>
      </c>
      <c r="B3081" s="13" t="s">
        <v>32</v>
      </c>
      <c r="C3081" s="18" t="s">
        <v>109</v>
      </c>
      <c r="D3081" s="13" t="s">
        <v>1900</v>
      </c>
      <c r="F3081" s="13"/>
      <c r="G3081" s="13" t="s">
        <v>111</v>
      </c>
      <c r="H3081" s="13" t="s">
        <v>75</v>
      </c>
      <c r="I3081" s="13"/>
      <c r="J3081" s="13"/>
      <c r="K3081" s="15"/>
      <c r="L3081" s="15"/>
      <c r="M3081" s="16">
        <v>0.0</v>
      </c>
      <c r="N3081" s="16">
        <v>0.0</v>
      </c>
      <c r="O3081" s="17">
        <v>0.0</v>
      </c>
      <c r="P3081" s="17">
        <v>0.0</v>
      </c>
      <c r="Q3081" s="13"/>
      <c r="R3081" s="13"/>
      <c r="S3081" s="13"/>
      <c r="T3081" s="13">
        <f t="shared" ref="T3081:Y3081" si="3307">IF(ISBLANK(K3081)=TRUE,0,1)</f>
        <v>0</v>
      </c>
      <c r="U3081" s="13">
        <f t="shared" si="3307"/>
        <v>0</v>
      </c>
      <c r="V3081" s="13">
        <f t="shared" si="3307"/>
        <v>1</v>
      </c>
      <c r="W3081" s="13">
        <f t="shared" si="3307"/>
        <v>1</v>
      </c>
      <c r="X3081" s="13">
        <f t="shared" si="3307"/>
        <v>1</v>
      </c>
      <c r="Y3081" s="13">
        <f t="shared" si="3307"/>
        <v>1</v>
      </c>
      <c r="Z3081" s="13">
        <f t="shared" si="3023"/>
        <v>0</v>
      </c>
      <c r="AA3081" s="13"/>
      <c r="AB3081" s="13"/>
      <c r="AC3081" s="13"/>
      <c r="AD3081" s="13"/>
      <c r="AE3081" s="13"/>
      <c r="AF3081" s="13"/>
      <c r="AG3081" s="13"/>
      <c r="AH3081" s="13"/>
      <c r="AI3081" s="13"/>
      <c r="AJ3081" s="13"/>
      <c r="AK3081" s="13"/>
      <c r="AL3081" s="13"/>
      <c r="AM3081" s="13"/>
      <c r="AN3081" s="13"/>
      <c r="AO3081" s="13"/>
      <c r="AP3081" s="13"/>
      <c r="AQ3081" s="13"/>
      <c r="AR3081" s="13"/>
      <c r="AS3081" s="13"/>
    </row>
    <row r="3082" ht="14.25" customHeight="1">
      <c r="A3082" s="26" t="s">
        <v>29</v>
      </c>
      <c r="B3082" s="26" t="s">
        <v>32</v>
      </c>
      <c r="C3082" s="27" t="s">
        <v>109</v>
      </c>
      <c r="D3082" s="26" t="s">
        <v>190</v>
      </c>
      <c r="F3082" s="26"/>
      <c r="G3082" s="13" t="s">
        <v>111</v>
      </c>
      <c r="H3082" s="26" t="s">
        <v>75</v>
      </c>
      <c r="I3082" s="26"/>
      <c r="J3082" s="26"/>
      <c r="K3082" s="28"/>
      <c r="L3082" s="28"/>
      <c r="M3082" s="16">
        <v>0.0</v>
      </c>
      <c r="N3082" s="16">
        <v>0.0</v>
      </c>
      <c r="O3082" s="17">
        <v>0.0</v>
      </c>
      <c r="P3082" s="17">
        <v>0.0</v>
      </c>
      <c r="Q3082" s="13"/>
      <c r="R3082" s="13"/>
      <c r="S3082" s="13"/>
      <c r="T3082" s="13">
        <f t="shared" ref="T3082:Y3082" si="3308">IF(ISBLANK(K3082)=TRUE,0,1)</f>
        <v>0</v>
      </c>
      <c r="U3082" s="13">
        <f t="shared" si="3308"/>
        <v>0</v>
      </c>
      <c r="V3082" s="13">
        <f t="shared" si="3308"/>
        <v>1</v>
      </c>
      <c r="W3082" s="13">
        <f t="shared" si="3308"/>
        <v>1</v>
      </c>
      <c r="X3082" s="13">
        <f t="shared" si="3308"/>
        <v>1</v>
      </c>
      <c r="Y3082" s="13">
        <f t="shared" si="3308"/>
        <v>1</v>
      </c>
      <c r="Z3082" s="13">
        <f t="shared" si="3023"/>
        <v>0</v>
      </c>
      <c r="AA3082" s="13"/>
      <c r="AB3082" s="13"/>
      <c r="AC3082" s="13"/>
      <c r="AD3082" s="13"/>
      <c r="AE3082" s="13"/>
      <c r="AF3082" s="13"/>
      <c r="AG3082" s="13"/>
      <c r="AH3082" s="13"/>
      <c r="AI3082" s="13"/>
      <c r="AJ3082" s="13"/>
      <c r="AK3082" s="13"/>
      <c r="AL3082" s="13"/>
      <c r="AM3082" s="13"/>
      <c r="AN3082" s="13"/>
      <c r="AO3082" s="13"/>
      <c r="AP3082" s="13"/>
      <c r="AQ3082" s="13"/>
      <c r="AR3082" s="13"/>
      <c r="AS3082" s="13"/>
    </row>
    <row r="3083" ht="14.25" customHeight="1">
      <c r="A3083" s="13" t="s">
        <v>29</v>
      </c>
      <c r="B3083" s="13" t="s">
        <v>32</v>
      </c>
      <c r="C3083" s="18" t="s">
        <v>109</v>
      </c>
      <c r="D3083" s="13" t="s">
        <v>1901</v>
      </c>
      <c r="F3083" s="13"/>
      <c r="G3083" s="13" t="s">
        <v>111</v>
      </c>
      <c r="H3083" s="13" t="s">
        <v>75</v>
      </c>
      <c r="I3083" s="13"/>
      <c r="J3083" s="13"/>
      <c r="K3083" s="15"/>
      <c r="L3083" s="15"/>
      <c r="M3083" s="16">
        <v>0.0</v>
      </c>
      <c r="N3083" s="16">
        <v>0.0</v>
      </c>
      <c r="O3083" s="17">
        <v>0.0</v>
      </c>
      <c r="P3083" s="17">
        <v>0.0</v>
      </c>
      <c r="Q3083" s="13"/>
      <c r="R3083" s="13"/>
      <c r="S3083" s="13"/>
      <c r="T3083" s="13">
        <f t="shared" ref="T3083:Y3083" si="3309">IF(ISBLANK(K3083)=TRUE,0,1)</f>
        <v>0</v>
      </c>
      <c r="U3083" s="13">
        <f t="shared" si="3309"/>
        <v>0</v>
      </c>
      <c r="V3083" s="13">
        <f t="shared" si="3309"/>
        <v>1</v>
      </c>
      <c r="W3083" s="13">
        <f t="shared" si="3309"/>
        <v>1</v>
      </c>
      <c r="X3083" s="13">
        <f t="shared" si="3309"/>
        <v>1</v>
      </c>
      <c r="Y3083" s="13">
        <f t="shared" si="3309"/>
        <v>1</v>
      </c>
      <c r="Z3083" s="13">
        <f t="shared" si="3023"/>
        <v>0</v>
      </c>
      <c r="AA3083" s="13"/>
      <c r="AB3083" s="13"/>
      <c r="AC3083" s="13"/>
      <c r="AD3083" s="13"/>
      <c r="AE3083" s="13"/>
      <c r="AF3083" s="13"/>
      <c r="AG3083" s="13"/>
      <c r="AH3083" s="13"/>
      <c r="AI3083" s="13"/>
      <c r="AJ3083" s="13"/>
      <c r="AK3083" s="13"/>
      <c r="AL3083" s="13"/>
      <c r="AM3083" s="13"/>
      <c r="AN3083" s="13"/>
      <c r="AO3083" s="13"/>
      <c r="AP3083" s="13"/>
      <c r="AQ3083" s="13"/>
      <c r="AR3083" s="13"/>
      <c r="AS3083" s="13"/>
    </row>
    <row r="3084" ht="14.25" customHeight="1">
      <c r="A3084" s="13" t="s">
        <v>46</v>
      </c>
      <c r="B3084" s="13" t="s">
        <v>51</v>
      </c>
      <c r="C3084" s="13" t="s">
        <v>1093</v>
      </c>
      <c r="D3084" s="13"/>
      <c r="E3084" s="13"/>
      <c r="F3084" s="13"/>
      <c r="G3084" s="13" t="s">
        <v>111</v>
      </c>
      <c r="H3084" s="13" t="s">
        <v>75</v>
      </c>
      <c r="I3084" s="14">
        <v>44908.0</v>
      </c>
      <c r="J3084" s="14"/>
      <c r="K3084" s="15"/>
      <c r="L3084" s="15"/>
      <c r="M3084" s="16"/>
      <c r="N3084" s="16"/>
      <c r="O3084" s="17">
        <v>0.0</v>
      </c>
      <c r="P3084" s="17">
        <v>0.0</v>
      </c>
      <c r="Q3084" s="13">
        <f>K3083+L3083+M3083+N3083+O3083+P3083/6</f>
        <v>0</v>
      </c>
      <c r="R3084" s="14">
        <v>44966.0</v>
      </c>
      <c r="S3084" s="13"/>
      <c r="T3084" s="13">
        <f t="shared" ref="T3084:Y3084" si="3310">IF(ISBLANK(K3084)=TRUE,0,1)</f>
        <v>0</v>
      </c>
      <c r="U3084" s="13">
        <f t="shared" si="3310"/>
        <v>0</v>
      </c>
      <c r="V3084" s="13">
        <f t="shared" si="3310"/>
        <v>0</v>
      </c>
      <c r="W3084" s="13">
        <f t="shared" si="3310"/>
        <v>0</v>
      </c>
      <c r="X3084" s="13">
        <f t="shared" si="3310"/>
        <v>1</v>
      </c>
      <c r="Y3084" s="13">
        <f t="shared" si="3310"/>
        <v>1</v>
      </c>
      <c r="Z3084" s="13">
        <f t="shared" si="3023"/>
        <v>0</v>
      </c>
      <c r="AA3084" s="13"/>
      <c r="AB3084" s="13"/>
      <c r="AC3084" s="13"/>
      <c r="AD3084" s="13"/>
      <c r="AE3084" s="13"/>
      <c r="AF3084" s="13"/>
      <c r="AG3084" s="13"/>
      <c r="AH3084" s="13"/>
      <c r="AI3084" s="13"/>
      <c r="AJ3084" s="13"/>
      <c r="AK3084" s="13"/>
      <c r="AL3084" s="13"/>
      <c r="AM3084" s="13"/>
      <c r="AN3084" s="13"/>
      <c r="AO3084" s="13"/>
      <c r="AP3084" s="13"/>
      <c r="AQ3084" s="13"/>
      <c r="AR3084" s="13"/>
      <c r="AS3084" s="13"/>
    </row>
    <row r="3085" ht="14.25" customHeight="1">
      <c r="A3085" s="13" t="s">
        <v>46</v>
      </c>
      <c r="B3085" s="13" t="s">
        <v>51</v>
      </c>
      <c r="C3085" s="13" t="s">
        <v>1094</v>
      </c>
      <c r="D3085" s="13"/>
      <c r="E3085" s="13"/>
      <c r="F3085" s="13"/>
      <c r="G3085" s="13" t="s">
        <v>111</v>
      </c>
      <c r="H3085" s="13" t="s">
        <v>75</v>
      </c>
      <c r="I3085" s="14">
        <v>44908.0</v>
      </c>
      <c r="J3085" s="14"/>
      <c r="K3085" s="15">
        <v>0.0</v>
      </c>
      <c r="L3085" s="15">
        <v>0.0</v>
      </c>
      <c r="M3085" s="16"/>
      <c r="N3085" s="16"/>
      <c r="O3085" s="17">
        <v>0.0</v>
      </c>
      <c r="P3085" s="17">
        <v>0.0</v>
      </c>
      <c r="Q3085" s="13">
        <f t="shared" ref="Q3085:Q3088" si="3312">K3083+L3083+M3083+N3083+O3083+P3083/6</f>
        <v>0</v>
      </c>
      <c r="R3085" s="14">
        <v>44966.0</v>
      </c>
      <c r="S3085" s="13"/>
      <c r="T3085" s="13">
        <f t="shared" ref="T3085:Y3085" si="3311">IF(ISBLANK(K3085)=TRUE,0,1)</f>
        <v>1</v>
      </c>
      <c r="U3085" s="13">
        <f t="shared" si="3311"/>
        <v>1</v>
      </c>
      <c r="V3085" s="13">
        <f t="shared" si="3311"/>
        <v>0</v>
      </c>
      <c r="W3085" s="13">
        <f t="shared" si="3311"/>
        <v>0</v>
      </c>
      <c r="X3085" s="13">
        <f t="shared" si="3311"/>
        <v>1</v>
      </c>
      <c r="Y3085" s="13">
        <f t="shared" si="3311"/>
        <v>1</v>
      </c>
      <c r="Z3085" s="13">
        <f t="shared" si="3023"/>
        <v>0</v>
      </c>
      <c r="AA3085" s="13" t="s">
        <v>819</v>
      </c>
      <c r="AB3085" s="13"/>
      <c r="AC3085" s="13"/>
      <c r="AD3085" s="13"/>
      <c r="AE3085" s="13"/>
      <c r="AF3085" s="13"/>
      <c r="AG3085" s="13"/>
      <c r="AH3085" s="13"/>
      <c r="AI3085" s="13"/>
      <c r="AJ3085" s="13"/>
      <c r="AK3085" s="13"/>
      <c r="AL3085" s="13"/>
      <c r="AM3085" s="13"/>
      <c r="AN3085" s="13"/>
      <c r="AO3085" s="13"/>
      <c r="AP3085" s="13"/>
      <c r="AQ3085" s="13"/>
      <c r="AR3085" s="13"/>
      <c r="AS3085" s="13"/>
    </row>
    <row r="3086" ht="14.25" customHeight="1">
      <c r="A3086" s="13" t="s">
        <v>46</v>
      </c>
      <c r="B3086" s="13" t="s">
        <v>51</v>
      </c>
      <c r="C3086" s="13" t="s">
        <v>1095</v>
      </c>
      <c r="D3086" s="13"/>
      <c r="E3086" s="13"/>
      <c r="F3086" s="13"/>
      <c r="G3086" s="13" t="s">
        <v>111</v>
      </c>
      <c r="H3086" s="13" t="s">
        <v>75</v>
      </c>
      <c r="I3086" s="14">
        <v>44908.0</v>
      </c>
      <c r="J3086" s="14"/>
      <c r="K3086" s="15"/>
      <c r="L3086" s="15"/>
      <c r="M3086" s="16"/>
      <c r="N3086" s="16"/>
      <c r="O3086" s="17">
        <v>0.0</v>
      </c>
      <c r="P3086" s="17">
        <v>0.0</v>
      </c>
      <c r="Q3086" s="13">
        <f t="shared" si="3312"/>
        <v>0</v>
      </c>
      <c r="R3086" s="14">
        <v>44966.0</v>
      </c>
      <c r="S3086" s="13"/>
      <c r="T3086" s="13">
        <f t="shared" ref="T3086:Y3086" si="3313">IF(ISBLANK(K3086)=TRUE,0,1)</f>
        <v>0</v>
      </c>
      <c r="U3086" s="13">
        <f t="shared" si="3313"/>
        <v>0</v>
      </c>
      <c r="V3086" s="13">
        <f t="shared" si="3313"/>
        <v>0</v>
      </c>
      <c r="W3086" s="13">
        <f t="shared" si="3313"/>
        <v>0</v>
      </c>
      <c r="X3086" s="13">
        <f t="shared" si="3313"/>
        <v>1</v>
      </c>
      <c r="Y3086" s="13">
        <f t="shared" si="3313"/>
        <v>1</v>
      </c>
      <c r="Z3086" s="13">
        <f t="shared" si="3023"/>
        <v>0</v>
      </c>
      <c r="AA3086" s="13"/>
      <c r="AB3086" s="13"/>
      <c r="AC3086" s="13"/>
      <c r="AD3086" s="13"/>
      <c r="AE3086" s="13"/>
      <c r="AF3086" s="13"/>
      <c r="AG3086" s="13"/>
      <c r="AH3086" s="13"/>
      <c r="AI3086" s="13"/>
      <c r="AJ3086" s="13"/>
      <c r="AK3086" s="13"/>
      <c r="AL3086" s="13"/>
      <c r="AM3086" s="13"/>
      <c r="AN3086" s="13"/>
      <c r="AO3086" s="13"/>
      <c r="AP3086" s="13"/>
      <c r="AQ3086" s="13"/>
      <c r="AR3086" s="13"/>
      <c r="AS3086" s="13"/>
    </row>
    <row r="3087" ht="14.25" customHeight="1">
      <c r="A3087" s="13" t="s">
        <v>46</v>
      </c>
      <c r="B3087" s="13" t="s">
        <v>51</v>
      </c>
      <c r="C3087" s="13" t="s">
        <v>1102</v>
      </c>
      <c r="D3087" s="13"/>
      <c r="E3087" s="13"/>
      <c r="F3087" s="13"/>
      <c r="G3087" s="13" t="s">
        <v>111</v>
      </c>
      <c r="H3087" s="13" t="s">
        <v>75</v>
      </c>
      <c r="I3087" s="14">
        <v>44908.0</v>
      </c>
      <c r="J3087" s="14"/>
      <c r="K3087" s="15"/>
      <c r="L3087" s="15"/>
      <c r="M3087" s="16"/>
      <c r="N3087" s="16"/>
      <c r="O3087" s="17">
        <v>0.0</v>
      </c>
      <c r="P3087" s="17">
        <v>0.0</v>
      </c>
      <c r="Q3087" s="13">
        <f t="shared" si="3312"/>
        <v>0</v>
      </c>
      <c r="R3087" s="14">
        <v>44966.0</v>
      </c>
      <c r="S3087" s="13"/>
      <c r="T3087" s="13">
        <f t="shared" ref="T3087:Y3087" si="3314">IF(ISBLANK(K3087)=TRUE,0,1)</f>
        <v>0</v>
      </c>
      <c r="U3087" s="13">
        <f t="shared" si="3314"/>
        <v>0</v>
      </c>
      <c r="V3087" s="13">
        <f t="shared" si="3314"/>
        <v>0</v>
      </c>
      <c r="W3087" s="13">
        <f t="shared" si="3314"/>
        <v>0</v>
      </c>
      <c r="X3087" s="13">
        <f t="shared" si="3314"/>
        <v>1</v>
      </c>
      <c r="Y3087" s="13">
        <f t="shared" si="3314"/>
        <v>1</v>
      </c>
      <c r="Z3087" s="13">
        <f t="shared" si="3023"/>
        <v>0</v>
      </c>
      <c r="AA3087" s="13"/>
      <c r="AB3087" s="13"/>
      <c r="AC3087" s="13"/>
      <c r="AD3087" s="13"/>
      <c r="AE3087" s="13"/>
      <c r="AF3087" s="13"/>
      <c r="AG3087" s="13"/>
      <c r="AH3087" s="13"/>
      <c r="AI3087" s="13"/>
      <c r="AJ3087" s="13"/>
      <c r="AK3087" s="13"/>
      <c r="AL3087" s="13"/>
      <c r="AM3087" s="13"/>
      <c r="AN3087" s="13"/>
      <c r="AO3087" s="13"/>
      <c r="AP3087" s="13"/>
      <c r="AQ3087" s="13"/>
      <c r="AR3087" s="13"/>
      <c r="AS3087" s="13"/>
    </row>
    <row r="3088" ht="14.25" customHeight="1">
      <c r="A3088" s="13" t="s">
        <v>46</v>
      </c>
      <c r="B3088" s="13" t="s">
        <v>51</v>
      </c>
      <c r="C3088" s="13" t="s">
        <v>1110</v>
      </c>
      <c r="D3088" s="13"/>
      <c r="E3088" s="13"/>
      <c r="F3088" s="13"/>
      <c r="G3088" s="13" t="s">
        <v>111</v>
      </c>
      <c r="H3088" s="13" t="s">
        <v>75</v>
      </c>
      <c r="I3088" s="14">
        <v>44908.0</v>
      </c>
      <c r="J3088" s="14"/>
      <c r="K3088" s="15"/>
      <c r="L3088" s="15"/>
      <c r="M3088" s="16"/>
      <c r="N3088" s="16"/>
      <c r="O3088" s="17">
        <v>0.0</v>
      </c>
      <c r="P3088" s="17">
        <v>0.0</v>
      </c>
      <c r="Q3088" s="13">
        <f t="shared" si="3312"/>
        <v>0</v>
      </c>
      <c r="R3088" s="14">
        <v>44966.0</v>
      </c>
      <c r="S3088" s="13"/>
      <c r="T3088" s="13">
        <f t="shared" ref="T3088:Y3088" si="3315">IF(ISBLANK(K3088)=TRUE,0,1)</f>
        <v>0</v>
      </c>
      <c r="U3088" s="13">
        <f t="shared" si="3315"/>
        <v>0</v>
      </c>
      <c r="V3088" s="13">
        <f t="shared" si="3315"/>
        <v>0</v>
      </c>
      <c r="W3088" s="13">
        <f t="shared" si="3315"/>
        <v>0</v>
      </c>
      <c r="X3088" s="13">
        <f t="shared" si="3315"/>
        <v>1</v>
      </c>
      <c r="Y3088" s="13">
        <f t="shared" si="3315"/>
        <v>1</v>
      </c>
      <c r="Z3088" s="13">
        <f t="shared" si="3023"/>
        <v>0</v>
      </c>
      <c r="AA3088" s="13"/>
      <c r="AB3088" s="13"/>
      <c r="AC3088" s="13"/>
      <c r="AD3088" s="13"/>
      <c r="AE3088" s="13"/>
      <c r="AF3088" s="13"/>
      <c r="AG3088" s="13"/>
      <c r="AH3088" s="13"/>
      <c r="AI3088" s="13"/>
      <c r="AJ3088" s="13"/>
      <c r="AK3088" s="13"/>
      <c r="AL3088" s="13"/>
      <c r="AM3088" s="13"/>
      <c r="AN3088" s="13"/>
      <c r="AO3088" s="13"/>
      <c r="AP3088" s="13"/>
      <c r="AQ3088" s="13"/>
      <c r="AR3088" s="13"/>
      <c r="AS3088" s="13"/>
    </row>
    <row r="3089" ht="14.25" customHeight="1">
      <c r="A3089" s="13" t="s">
        <v>46</v>
      </c>
      <c r="B3089" s="13" t="s">
        <v>55</v>
      </c>
      <c r="C3089" s="13" t="s">
        <v>1902</v>
      </c>
      <c r="D3089" s="13" t="s">
        <v>176</v>
      </c>
      <c r="E3089" s="13"/>
      <c r="F3089" s="13"/>
      <c r="G3089" s="26" t="s">
        <v>74</v>
      </c>
      <c r="H3089" s="13" t="s">
        <v>107</v>
      </c>
      <c r="I3089" s="13"/>
      <c r="J3089" s="13"/>
      <c r="K3089" s="15">
        <v>1.0</v>
      </c>
      <c r="L3089" s="15">
        <v>1.0</v>
      </c>
      <c r="M3089" s="16"/>
      <c r="N3089" s="16"/>
      <c r="O3089" s="17"/>
      <c r="P3089" s="17"/>
      <c r="Q3089" s="13"/>
      <c r="R3089" s="13"/>
      <c r="S3089" s="13"/>
      <c r="T3089" s="13">
        <f t="shared" ref="T3089:Y3089" si="3316">IF(ISBLANK(K3089)=TRUE,0,1)</f>
        <v>1</v>
      </c>
      <c r="U3089" s="13">
        <f t="shared" si="3316"/>
        <v>1</v>
      </c>
      <c r="V3089" s="13">
        <f t="shared" si="3316"/>
        <v>0</v>
      </c>
      <c r="W3089" s="13">
        <f t="shared" si="3316"/>
        <v>0</v>
      </c>
      <c r="X3089" s="13">
        <f t="shared" si="3316"/>
        <v>0</v>
      </c>
      <c r="Y3089" s="13">
        <f t="shared" si="3316"/>
        <v>0</v>
      </c>
      <c r="Z3089" s="13">
        <f t="shared" si="3023"/>
        <v>1</v>
      </c>
      <c r="AA3089" s="13"/>
      <c r="AB3089" s="13"/>
      <c r="AC3089" s="13"/>
      <c r="AD3089" s="13"/>
      <c r="AE3089" s="13"/>
      <c r="AF3089" s="13"/>
      <c r="AG3089" s="13"/>
      <c r="AH3089" s="13"/>
      <c r="AI3089" s="13"/>
      <c r="AJ3089" s="13"/>
      <c r="AK3089" s="13"/>
      <c r="AL3089" s="13"/>
      <c r="AM3089" s="13"/>
      <c r="AN3089" s="13"/>
      <c r="AO3089" s="13"/>
      <c r="AP3089" s="13"/>
      <c r="AQ3089" s="13"/>
      <c r="AR3089" s="13"/>
      <c r="AS3089" s="13"/>
    </row>
    <row r="3090" ht="14.25" customHeight="1">
      <c r="A3090" s="13" t="s">
        <v>46</v>
      </c>
      <c r="B3090" s="13" t="s">
        <v>51</v>
      </c>
      <c r="C3090" s="13" t="s">
        <v>1115</v>
      </c>
      <c r="D3090" s="13"/>
      <c r="E3090" s="13"/>
      <c r="F3090" s="13"/>
      <c r="G3090" s="13" t="s">
        <v>111</v>
      </c>
      <c r="H3090" s="13" t="s">
        <v>75</v>
      </c>
      <c r="I3090" s="14">
        <v>44908.0</v>
      </c>
      <c r="J3090" s="14"/>
      <c r="K3090" s="15"/>
      <c r="L3090" s="15"/>
      <c r="M3090" s="16"/>
      <c r="N3090" s="16"/>
      <c r="O3090" s="17">
        <v>0.0</v>
      </c>
      <c r="P3090" s="17">
        <v>0.0</v>
      </c>
      <c r="Q3090" s="13">
        <f>K3089+L3089+M3089+N3089+O3089+P3089/6</f>
        <v>2</v>
      </c>
      <c r="R3090" s="14">
        <v>44966.0</v>
      </c>
      <c r="S3090" s="13"/>
      <c r="T3090" s="13">
        <f t="shared" ref="T3090:Y3090" si="3317">IF(ISBLANK(K3090)=TRUE,0,1)</f>
        <v>0</v>
      </c>
      <c r="U3090" s="13">
        <f t="shared" si="3317"/>
        <v>0</v>
      </c>
      <c r="V3090" s="13">
        <f t="shared" si="3317"/>
        <v>0</v>
      </c>
      <c r="W3090" s="13">
        <f t="shared" si="3317"/>
        <v>0</v>
      </c>
      <c r="X3090" s="13">
        <f t="shared" si="3317"/>
        <v>1</v>
      </c>
      <c r="Y3090" s="13">
        <f t="shared" si="3317"/>
        <v>1</v>
      </c>
      <c r="Z3090" s="13">
        <f t="shared" si="3023"/>
        <v>0</v>
      </c>
      <c r="AA3090" s="13"/>
      <c r="AB3090" s="13"/>
      <c r="AC3090" s="13"/>
      <c r="AD3090" s="13"/>
      <c r="AE3090" s="13"/>
      <c r="AF3090" s="13"/>
      <c r="AG3090" s="13"/>
      <c r="AH3090" s="13"/>
      <c r="AI3090" s="13"/>
      <c r="AJ3090" s="13"/>
      <c r="AK3090" s="13"/>
      <c r="AL3090" s="13"/>
      <c r="AM3090" s="13"/>
      <c r="AN3090" s="13"/>
      <c r="AO3090" s="13"/>
      <c r="AP3090" s="13"/>
      <c r="AQ3090" s="13"/>
      <c r="AR3090" s="13"/>
      <c r="AS3090" s="13"/>
    </row>
    <row r="3091" ht="14.25" customHeight="1">
      <c r="A3091" s="13" t="s">
        <v>36</v>
      </c>
      <c r="B3091" s="13" t="s">
        <v>39</v>
      </c>
      <c r="C3091" s="13" t="s">
        <v>1872</v>
      </c>
      <c r="D3091" s="13" t="s">
        <v>186</v>
      </c>
      <c r="F3091" s="13"/>
      <c r="G3091" s="13" t="s">
        <v>111</v>
      </c>
      <c r="H3091" s="13" t="s">
        <v>75</v>
      </c>
      <c r="I3091" s="13"/>
      <c r="J3091" s="13"/>
      <c r="K3091" s="15">
        <v>0.0</v>
      </c>
      <c r="L3091" s="15">
        <v>0.0</v>
      </c>
      <c r="M3091" s="16"/>
      <c r="N3091" s="16"/>
      <c r="O3091" s="17"/>
      <c r="P3091" s="17"/>
      <c r="Q3091" s="13">
        <f>K3089+L3089+M3089+N3089+O3089+P3089/6</f>
        <v>2</v>
      </c>
      <c r="R3091" s="13"/>
      <c r="S3091" s="13"/>
      <c r="T3091" s="13">
        <f t="shared" ref="T3091:Y3091" si="3318">IF(ISBLANK(K3091)=TRUE,0,1)</f>
        <v>1</v>
      </c>
      <c r="U3091" s="13">
        <f t="shared" si="3318"/>
        <v>1</v>
      </c>
      <c r="V3091" s="13">
        <f t="shared" si="3318"/>
        <v>0</v>
      </c>
      <c r="W3091" s="13">
        <f t="shared" si="3318"/>
        <v>0</v>
      </c>
      <c r="X3091" s="13">
        <f t="shared" si="3318"/>
        <v>0</v>
      </c>
      <c r="Y3091" s="13">
        <f t="shared" si="3318"/>
        <v>0</v>
      </c>
      <c r="Z3091" s="13">
        <f t="shared" si="3023"/>
        <v>0</v>
      </c>
      <c r="AA3091" s="13"/>
      <c r="AB3091" s="13"/>
      <c r="AC3091" s="13"/>
      <c r="AD3091" s="13"/>
      <c r="AE3091" s="13"/>
      <c r="AF3091" s="13"/>
      <c r="AG3091" s="13"/>
      <c r="AH3091" s="13"/>
      <c r="AI3091" s="13"/>
      <c r="AJ3091" s="13"/>
      <c r="AK3091" s="13"/>
      <c r="AL3091" s="13"/>
      <c r="AM3091" s="13"/>
      <c r="AN3091" s="13"/>
      <c r="AO3091" s="13"/>
      <c r="AP3091" s="13"/>
      <c r="AQ3091" s="13"/>
      <c r="AR3091" s="13"/>
      <c r="AS3091" s="13"/>
    </row>
    <row r="3092" ht="14.25" customHeight="1">
      <c r="A3092" s="13" t="s">
        <v>46</v>
      </c>
      <c r="B3092" s="13" t="s">
        <v>55</v>
      </c>
      <c r="C3092" s="13" t="s">
        <v>432</v>
      </c>
      <c r="D3092" s="26" t="s">
        <v>175</v>
      </c>
      <c r="E3092" s="13"/>
      <c r="F3092" s="13"/>
      <c r="G3092" s="26" t="s">
        <v>74</v>
      </c>
      <c r="H3092" s="13" t="s">
        <v>107</v>
      </c>
      <c r="I3092" s="13"/>
      <c r="J3092" s="13"/>
      <c r="K3092" s="15">
        <v>1.0</v>
      </c>
      <c r="L3092" s="15">
        <v>1.0</v>
      </c>
      <c r="M3092" s="16"/>
      <c r="N3092" s="16"/>
      <c r="O3092" s="17"/>
      <c r="P3092" s="17"/>
      <c r="Q3092" s="13"/>
      <c r="R3092" s="13"/>
      <c r="S3092" s="13"/>
      <c r="T3092" s="13">
        <f t="shared" ref="T3092:Y3092" si="3319">IF(ISBLANK(K3092)=TRUE,0,1)</f>
        <v>1</v>
      </c>
      <c r="U3092" s="13">
        <f t="shared" si="3319"/>
        <v>1</v>
      </c>
      <c r="V3092" s="13">
        <f t="shared" si="3319"/>
        <v>0</v>
      </c>
      <c r="W3092" s="13">
        <f t="shared" si="3319"/>
        <v>0</v>
      </c>
      <c r="X3092" s="13">
        <f t="shared" si="3319"/>
        <v>0</v>
      </c>
      <c r="Y3092" s="13">
        <f t="shared" si="3319"/>
        <v>0</v>
      </c>
      <c r="Z3092" s="13">
        <f t="shared" si="3023"/>
        <v>1</v>
      </c>
      <c r="AA3092" s="13"/>
      <c r="AB3092" s="13"/>
      <c r="AC3092" s="13"/>
      <c r="AD3092" s="13"/>
      <c r="AE3092" s="13"/>
      <c r="AF3092" s="13"/>
      <c r="AG3092" s="13"/>
      <c r="AH3092" s="13"/>
      <c r="AI3092" s="13"/>
      <c r="AJ3092" s="13"/>
      <c r="AK3092" s="13"/>
      <c r="AL3092" s="13"/>
      <c r="AM3092" s="13"/>
      <c r="AN3092" s="13"/>
      <c r="AO3092" s="13"/>
      <c r="AP3092" s="13"/>
      <c r="AQ3092" s="13"/>
      <c r="AR3092" s="13"/>
      <c r="AS3092" s="13"/>
    </row>
    <row r="3093" ht="14.25" customHeight="1">
      <c r="A3093" s="13" t="s">
        <v>46</v>
      </c>
      <c r="B3093" s="13" t="s">
        <v>55</v>
      </c>
      <c r="C3093" s="13" t="s">
        <v>432</v>
      </c>
      <c r="D3093" s="26" t="s">
        <v>176</v>
      </c>
      <c r="E3093" s="13"/>
      <c r="F3093" s="13"/>
      <c r="G3093" s="26" t="s">
        <v>74</v>
      </c>
      <c r="H3093" s="13" t="s">
        <v>107</v>
      </c>
      <c r="I3093" s="13"/>
      <c r="J3093" s="13"/>
      <c r="K3093" s="15">
        <v>1.0</v>
      </c>
      <c r="L3093" s="15">
        <v>1.0</v>
      </c>
      <c r="M3093" s="16"/>
      <c r="N3093" s="16"/>
      <c r="O3093" s="17"/>
      <c r="P3093" s="17"/>
      <c r="Q3093" s="13"/>
      <c r="R3093" s="13"/>
      <c r="S3093" s="13"/>
      <c r="T3093" s="13">
        <f t="shared" ref="T3093:Y3093" si="3320">IF(ISBLANK(K3093)=TRUE,0,1)</f>
        <v>1</v>
      </c>
      <c r="U3093" s="13">
        <f t="shared" si="3320"/>
        <v>1</v>
      </c>
      <c r="V3093" s="13">
        <f t="shared" si="3320"/>
        <v>0</v>
      </c>
      <c r="W3093" s="13">
        <f t="shared" si="3320"/>
        <v>0</v>
      </c>
      <c r="X3093" s="13">
        <f t="shared" si="3320"/>
        <v>0</v>
      </c>
      <c r="Y3093" s="13">
        <f t="shared" si="3320"/>
        <v>0</v>
      </c>
      <c r="Z3093" s="13">
        <f t="shared" si="3023"/>
        <v>1</v>
      </c>
      <c r="AA3093" s="13"/>
      <c r="AB3093" s="13"/>
      <c r="AC3093" s="13"/>
      <c r="AD3093" s="13"/>
      <c r="AE3093" s="13"/>
      <c r="AF3093" s="13"/>
      <c r="AG3093" s="13"/>
      <c r="AH3093" s="13"/>
      <c r="AI3093" s="13"/>
      <c r="AJ3093" s="13"/>
      <c r="AK3093" s="13"/>
      <c r="AL3093" s="13"/>
      <c r="AM3093" s="13"/>
      <c r="AN3093" s="13"/>
      <c r="AO3093" s="13"/>
      <c r="AP3093" s="13"/>
      <c r="AQ3093" s="13"/>
      <c r="AR3093" s="13"/>
      <c r="AS3093" s="13"/>
    </row>
    <row r="3094" ht="14.25" customHeight="1">
      <c r="A3094" s="13" t="s">
        <v>46</v>
      </c>
      <c r="B3094" s="13" t="s">
        <v>51</v>
      </c>
      <c r="C3094" s="13" t="s">
        <v>1903</v>
      </c>
      <c r="D3094" s="13"/>
      <c r="E3094" s="13"/>
      <c r="F3094" s="13"/>
      <c r="G3094" s="13" t="s">
        <v>111</v>
      </c>
      <c r="H3094" s="13" t="s">
        <v>75</v>
      </c>
      <c r="I3094" s="14">
        <v>44917.0</v>
      </c>
      <c r="J3094" s="14"/>
      <c r="K3094" s="15">
        <v>0.0</v>
      </c>
      <c r="L3094" s="15">
        <v>0.0</v>
      </c>
      <c r="M3094" s="16"/>
      <c r="N3094" s="16"/>
      <c r="O3094" s="17">
        <v>0.0</v>
      </c>
      <c r="P3094" s="17">
        <v>0.0</v>
      </c>
      <c r="Q3094" s="13">
        <f>K3093+L3093+M3093+N3093+O3093+P3093/6</f>
        <v>2</v>
      </c>
      <c r="R3094" s="14">
        <v>44966.0</v>
      </c>
      <c r="S3094" s="13"/>
      <c r="T3094" s="13">
        <f t="shared" ref="T3094:Y3094" si="3321">IF(ISBLANK(K3094)=TRUE,0,1)</f>
        <v>1</v>
      </c>
      <c r="U3094" s="13">
        <f t="shared" si="3321"/>
        <v>1</v>
      </c>
      <c r="V3094" s="13">
        <f t="shared" si="3321"/>
        <v>0</v>
      </c>
      <c r="W3094" s="13">
        <f t="shared" si="3321"/>
        <v>0</v>
      </c>
      <c r="X3094" s="13">
        <f t="shared" si="3321"/>
        <v>1</v>
      </c>
      <c r="Y3094" s="13">
        <f t="shared" si="3321"/>
        <v>1</v>
      </c>
      <c r="Z3094" s="13">
        <f t="shared" si="3023"/>
        <v>0</v>
      </c>
      <c r="AA3094" s="13" t="s">
        <v>874</v>
      </c>
      <c r="AB3094" s="13"/>
      <c r="AC3094" s="13"/>
      <c r="AD3094" s="13"/>
      <c r="AE3094" s="13"/>
      <c r="AF3094" s="13"/>
      <c r="AG3094" s="13"/>
      <c r="AH3094" s="13"/>
      <c r="AI3094" s="13"/>
      <c r="AJ3094" s="13"/>
      <c r="AK3094" s="13"/>
      <c r="AL3094" s="13"/>
      <c r="AM3094" s="13"/>
      <c r="AN3094" s="13"/>
      <c r="AO3094" s="13"/>
      <c r="AP3094" s="13"/>
      <c r="AQ3094" s="13"/>
      <c r="AR3094" s="13"/>
      <c r="AS3094" s="13"/>
    </row>
    <row r="3095" ht="14.25" customHeight="1">
      <c r="A3095" s="13" t="s">
        <v>46</v>
      </c>
      <c r="B3095" s="13" t="s">
        <v>51</v>
      </c>
      <c r="C3095" s="13" t="s">
        <v>1904</v>
      </c>
      <c r="D3095" s="13"/>
      <c r="E3095" s="13"/>
      <c r="F3095" s="13"/>
      <c r="G3095" s="13" t="s">
        <v>111</v>
      </c>
      <c r="H3095" s="13" t="s">
        <v>75</v>
      </c>
      <c r="I3095" s="14">
        <v>44908.0</v>
      </c>
      <c r="J3095" s="14"/>
      <c r="K3095" s="15"/>
      <c r="L3095" s="15"/>
      <c r="M3095" s="16"/>
      <c r="N3095" s="16"/>
      <c r="O3095" s="17">
        <v>0.0</v>
      </c>
      <c r="P3095" s="17">
        <v>0.0</v>
      </c>
      <c r="Q3095" s="13">
        <f>K3093+L3093+M3093+N3093+O3093+P3093/6</f>
        <v>2</v>
      </c>
      <c r="R3095" s="14">
        <v>44966.0</v>
      </c>
      <c r="S3095" s="13"/>
      <c r="T3095" s="13">
        <f t="shared" ref="T3095:Y3095" si="3322">IF(ISBLANK(K3095)=TRUE,0,1)</f>
        <v>0</v>
      </c>
      <c r="U3095" s="13">
        <f t="shared" si="3322"/>
        <v>0</v>
      </c>
      <c r="V3095" s="13">
        <f t="shared" si="3322"/>
        <v>0</v>
      </c>
      <c r="W3095" s="13">
        <f t="shared" si="3322"/>
        <v>0</v>
      </c>
      <c r="X3095" s="13">
        <f t="shared" si="3322"/>
        <v>1</v>
      </c>
      <c r="Y3095" s="13">
        <f t="shared" si="3322"/>
        <v>1</v>
      </c>
      <c r="Z3095" s="13">
        <f t="shared" si="3023"/>
        <v>0</v>
      </c>
      <c r="AA3095" s="13"/>
      <c r="AB3095" s="13"/>
      <c r="AC3095" s="13"/>
      <c r="AD3095" s="13"/>
      <c r="AE3095" s="13"/>
      <c r="AF3095" s="13"/>
      <c r="AG3095" s="13"/>
      <c r="AH3095" s="13"/>
      <c r="AI3095" s="13"/>
      <c r="AJ3095" s="13"/>
      <c r="AK3095" s="13"/>
      <c r="AL3095" s="13"/>
      <c r="AM3095" s="13"/>
      <c r="AN3095" s="13"/>
      <c r="AO3095" s="13"/>
      <c r="AP3095" s="13"/>
      <c r="AQ3095" s="13"/>
      <c r="AR3095" s="13"/>
      <c r="AS3095" s="13"/>
    </row>
    <row r="3096" ht="14.25" customHeight="1">
      <c r="A3096" s="13" t="s">
        <v>46</v>
      </c>
      <c r="B3096" s="13" t="s">
        <v>51</v>
      </c>
      <c r="C3096" s="13" t="s">
        <v>1905</v>
      </c>
      <c r="D3096" s="13"/>
      <c r="E3096" s="13"/>
      <c r="F3096" s="13"/>
      <c r="G3096" s="13" t="s">
        <v>111</v>
      </c>
      <c r="H3096" s="13" t="s">
        <v>75</v>
      </c>
      <c r="I3096" s="14">
        <v>44908.0</v>
      </c>
      <c r="J3096" s="14"/>
      <c r="K3096" s="15"/>
      <c r="L3096" s="15"/>
      <c r="M3096" s="16"/>
      <c r="N3096" s="16"/>
      <c r="O3096" s="17">
        <v>0.0</v>
      </c>
      <c r="P3096" s="17">
        <v>0.0</v>
      </c>
      <c r="Q3096" s="13">
        <f t="shared" ref="Q3096:Q3097" si="3324">K3095+L3095+M3095+N3095+O3095+P3095/6</f>
        <v>0</v>
      </c>
      <c r="R3096" s="14">
        <v>44966.0</v>
      </c>
      <c r="S3096" s="13"/>
      <c r="T3096" s="13">
        <f t="shared" ref="T3096:Y3096" si="3323">IF(ISBLANK(K3096)=TRUE,0,1)</f>
        <v>0</v>
      </c>
      <c r="U3096" s="13">
        <f t="shared" si="3323"/>
        <v>0</v>
      </c>
      <c r="V3096" s="13">
        <f t="shared" si="3323"/>
        <v>0</v>
      </c>
      <c r="W3096" s="13">
        <f t="shared" si="3323"/>
        <v>0</v>
      </c>
      <c r="X3096" s="13">
        <f t="shared" si="3323"/>
        <v>1</v>
      </c>
      <c r="Y3096" s="13">
        <f t="shared" si="3323"/>
        <v>1</v>
      </c>
      <c r="Z3096" s="13">
        <f t="shared" si="3023"/>
        <v>0</v>
      </c>
      <c r="AA3096" s="13"/>
      <c r="AB3096" s="13"/>
      <c r="AC3096" s="13"/>
      <c r="AD3096" s="13"/>
      <c r="AE3096" s="13"/>
      <c r="AF3096" s="13"/>
      <c r="AG3096" s="13"/>
      <c r="AH3096" s="13"/>
      <c r="AI3096" s="13"/>
      <c r="AJ3096" s="13"/>
      <c r="AK3096" s="13"/>
      <c r="AL3096" s="13"/>
      <c r="AM3096" s="13"/>
      <c r="AN3096" s="13"/>
      <c r="AO3096" s="13"/>
      <c r="AP3096" s="13"/>
      <c r="AQ3096" s="13"/>
      <c r="AR3096" s="13"/>
      <c r="AS3096" s="13"/>
    </row>
    <row r="3097" ht="14.25" customHeight="1">
      <c r="A3097" s="13" t="s">
        <v>46</v>
      </c>
      <c r="B3097" s="13" t="s">
        <v>51</v>
      </c>
      <c r="C3097" s="13" t="s">
        <v>1906</v>
      </c>
      <c r="D3097" s="13"/>
      <c r="E3097" s="13"/>
      <c r="F3097" s="13"/>
      <c r="G3097" s="13" t="s">
        <v>111</v>
      </c>
      <c r="H3097" s="13" t="s">
        <v>75</v>
      </c>
      <c r="I3097" s="14">
        <v>44908.0</v>
      </c>
      <c r="J3097" s="14"/>
      <c r="K3097" s="15">
        <v>0.0</v>
      </c>
      <c r="L3097" s="15">
        <v>0.0</v>
      </c>
      <c r="M3097" s="16"/>
      <c r="N3097" s="16"/>
      <c r="O3097" s="17">
        <v>0.0</v>
      </c>
      <c r="P3097" s="17">
        <v>0.0</v>
      </c>
      <c r="Q3097" s="13">
        <f t="shared" si="3324"/>
        <v>0</v>
      </c>
      <c r="R3097" s="14">
        <v>44966.0</v>
      </c>
      <c r="S3097" s="13"/>
      <c r="T3097" s="13">
        <f t="shared" ref="T3097:Y3097" si="3325">IF(ISBLANK(K3097)=TRUE,0,1)</f>
        <v>1</v>
      </c>
      <c r="U3097" s="13">
        <f t="shared" si="3325"/>
        <v>1</v>
      </c>
      <c r="V3097" s="13">
        <f t="shared" si="3325"/>
        <v>0</v>
      </c>
      <c r="W3097" s="13">
        <f t="shared" si="3325"/>
        <v>0</v>
      </c>
      <c r="X3097" s="13">
        <f t="shared" si="3325"/>
        <v>1</v>
      </c>
      <c r="Y3097" s="13">
        <f t="shared" si="3325"/>
        <v>1</v>
      </c>
      <c r="Z3097" s="13">
        <f t="shared" si="3023"/>
        <v>0</v>
      </c>
      <c r="AA3097" s="13" t="s">
        <v>819</v>
      </c>
      <c r="AB3097" s="13"/>
      <c r="AC3097" s="13"/>
      <c r="AD3097" s="13"/>
      <c r="AE3097" s="13"/>
      <c r="AF3097" s="13"/>
      <c r="AG3097" s="13"/>
      <c r="AH3097" s="13"/>
      <c r="AI3097" s="13"/>
      <c r="AJ3097" s="13"/>
      <c r="AK3097" s="13"/>
      <c r="AL3097" s="13"/>
      <c r="AM3097" s="13"/>
      <c r="AN3097" s="13"/>
      <c r="AO3097" s="13"/>
      <c r="AP3097" s="13"/>
      <c r="AQ3097" s="13"/>
      <c r="AR3097" s="13"/>
      <c r="AS3097" s="13"/>
    </row>
    <row r="3098" ht="14.25" customHeight="1">
      <c r="A3098" s="13" t="s">
        <v>46</v>
      </c>
      <c r="B3098" s="13" t="s">
        <v>55</v>
      </c>
      <c r="C3098" s="13" t="s">
        <v>432</v>
      </c>
      <c r="D3098" s="26" t="s">
        <v>182</v>
      </c>
      <c r="E3098" s="13"/>
      <c r="F3098" s="13"/>
      <c r="G3098" s="26" t="s">
        <v>74</v>
      </c>
      <c r="H3098" s="13" t="s">
        <v>107</v>
      </c>
      <c r="I3098" s="13"/>
      <c r="J3098" s="13"/>
      <c r="K3098" s="15">
        <v>1.0</v>
      </c>
      <c r="L3098" s="15">
        <v>1.0</v>
      </c>
      <c r="M3098" s="16"/>
      <c r="N3098" s="16"/>
      <c r="O3098" s="17"/>
      <c r="P3098" s="17"/>
      <c r="Q3098" s="13"/>
      <c r="R3098" s="13"/>
      <c r="S3098" s="13"/>
      <c r="T3098" s="13">
        <f t="shared" ref="T3098:Y3098" si="3326">IF(ISBLANK(K3098)=TRUE,0,1)</f>
        <v>1</v>
      </c>
      <c r="U3098" s="13">
        <f t="shared" si="3326"/>
        <v>1</v>
      </c>
      <c r="V3098" s="13">
        <f t="shared" si="3326"/>
        <v>0</v>
      </c>
      <c r="W3098" s="13">
        <f t="shared" si="3326"/>
        <v>0</v>
      </c>
      <c r="X3098" s="13">
        <f t="shared" si="3326"/>
        <v>0</v>
      </c>
      <c r="Y3098" s="13">
        <f t="shared" si="3326"/>
        <v>0</v>
      </c>
      <c r="Z3098" s="13">
        <f t="shared" si="3023"/>
        <v>1</v>
      </c>
      <c r="AA3098" s="13"/>
      <c r="AB3098" s="13"/>
      <c r="AC3098" s="13"/>
      <c r="AD3098" s="13"/>
      <c r="AE3098" s="13"/>
      <c r="AF3098" s="13"/>
      <c r="AG3098" s="13"/>
      <c r="AH3098" s="13"/>
      <c r="AI3098" s="13"/>
      <c r="AJ3098" s="13"/>
      <c r="AK3098" s="13"/>
      <c r="AL3098" s="13"/>
      <c r="AM3098" s="13"/>
      <c r="AN3098" s="13"/>
      <c r="AO3098" s="13"/>
      <c r="AP3098" s="13"/>
      <c r="AQ3098" s="13"/>
      <c r="AR3098" s="13"/>
      <c r="AS3098" s="13"/>
    </row>
    <row r="3099" ht="14.25" customHeight="1">
      <c r="A3099" s="13" t="s">
        <v>46</v>
      </c>
      <c r="B3099" s="13" t="s">
        <v>47</v>
      </c>
      <c r="C3099" s="13" t="s">
        <v>1907</v>
      </c>
      <c r="D3099" s="13"/>
      <c r="E3099" s="13"/>
      <c r="F3099" s="13"/>
      <c r="G3099" s="13" t="s">
        <v>74</v>
      </c>
      <c r="H3099" s="13" t="s">
        <v>75</v>
      </c>
      <c r="I3099" s="13"/>
      <c r="J3099" s="13"/>
      <c r="K3099" s="15">
        <v>0.0</v>
      </c>
      <c r="L3099" s="15">
        <v>0.0</v>
      </c>
      <c r="M3099" s="16"/>
      <c r="N3099" s="16"/>
      <c r="O3099" s="17"/>
      <c r="P3099" s="17"/>
      <c r="Q3099" s="13">
        <f>K3098+L3098+M3098+N3098+O3098+P3098/6</f>
        <v>2</v>
      </c>
      <c r="R3099" s="13"/>
      <c r="S3099" s="13"/>
      <c r="T3099" s="13">
        <f t="shared" ref="T3099:Y3099" si="3327">IF(ISBLANK(K3099)=TRUE,0,1)</f>
        <v>1</v>
      </c>
      <c r="U3099" s="13">
        <f t="shared" si="3327"/>
        <v>1</v>
      </c>
      <c r="V3099" s="13">
        <f t="shared" si="3327"/>
        <v>0</v>
      </c>
      <c r="W3099" s="13">
        <f t="shared" si="3327"/>
        <v>0</v>
      </c>
      <c r="X3099" s="13">
        <f t="shared" si="3327"/>
        <v>0</v>
      </c>
      <c r="Y3099" s="13">
        <f t="shared" si="3327"/>
        <v>0</v>
      </c>
      <c r="Z3099" s="13">
        <f t="shared" si="3023"/>
        <v>0</v>
      </c>
      <c r="AA3099" s="13"/>
      <c r="AB3099" s="13"/>
      <c r="AC3099" s="13"/>
      <c r="AD3099" s="13"/>
      <c r="AE3099" s="13"/>
      <c r="AF3099" s="13"/>
      <c r="AG3099" s="13"/>
      <c r="AH3099" s="13"/>
      <c r="AI3099" s="13"/>
      <c r="AJ3099" s="13"/>
      <c r="AK3099" s="13"/>
      <c r="AL3099" s="13"/>
      <c r="AM3099" s="13"/>
      <c r="AN3099" s="13"/>
      <c r="AO3099" s="13"/>
      <c r="AP3099" s="13"/>
      <c r="AQ3099" s="13"/>
      <c r="AR3099" s="13"/>
      <c r="AS3099" s="13"/>
    </row>
    <row r="3100" ht="14.25" customHeight="1">
      <c r="A3100" s="26" t="s">
        <v>29</v>
      </c>
      <c r="B3100" s="26" t="s">
        <v>32</v>
      </c>
      <c r="C3100" s="27" t="s">
        <v>109</v>
      </c>
      <c r="D3100" s="26" t="s">
        <v>191</v>
      </c>
      <c r="F3100" s="26"/>
      <c r="G3100" s="13" t="s">
        <v>111</v>
      </c>
      <c r="H3100" s="26" t="s">
        <v>75</v>
      </c>
      <c r="I3100" s="26"/>
      <c r="J3100" s="26"/>
      <c r="K3100" s="28"/>
      <c r="L3100" s="28"/>
      <c r="M3100" s="16">
        <v>0.0</v>
      </c>
      <c r="N3100" s="16">
        <v>0.0</v>
      </c>
      <c r="O3100" s="17">
        <v>0.0</v>
      </c>
      <c r="P3100" s="17">
        <v>0.0</v>
      </c>
      <c r="Q3100" s="13"/>
      <c r="R3100" s="13"/>
      <c r="S3100" s="13"/>
      <c r="T3100" s="13">
        <f t="shared" ref="T3100:Y3100" si="3328">IF(ISBLANK(K3100)=TRUE,0,1)</f>
        <v>0</v>
      </c>
      <c r="U3100" s="13">
        <f t="shared" si="3328"/>
        <v>0</v>
      </c>
      <c r="V3100" s="13">
        <f t="shared" si="3328"/>
        <v>1</v>
      </c>
      <c r="W3100" s="13">
        <f t="shared" si="3328"/>
        <v>1</v>
      </c>
      <c r="X3100" s="13">
        <f t="shared" si="3328"/>
        <v>1</v>
      </c>
      <c r="Y3100" s="13">
        <f t="shared" si="3328"/>
        <v>1</v>
      </c>
      <c r="Z3100" s="13">
        <f t="shared" si="3023"/>
        <v>0</v>
      </c>
      <c r="AA3100" s="13"/>
      <c r="AB3100" s="13"/>
      <c r="AC3100" s="13"/>
      <c r="AD3100" s="13"/>
      <c r="AE3100" s="13"/>
      <c r="AF3100" s="13"/>
      <c r="AG3100" s="13"/>
      <c r="AH3100" s="13"/>
      <c r="AI3100" s="13"/>
      <c r="AJ3100" s="13"/>
      <c r="AK3100" s="13"/>
      <c r="AL3100" s="13"/>
      <c r="AM3100" s="13"/>
      <c r="AN3100" s="13"/>
      <c r="AO3100" s="13"/>
      <c r="AP3100" s="13"/>
      <c r="AQ3100" s="13"/>
      <c r="AR3100" s="13"/>
      <c r="AS3100" s="13"/>
    </row>
    <row r="3101" ht="14.25" customHeight="1">
      <c r="A3101" s="13" t="s">
        <v>29</v>
      </c>
      <c r="B3101" s="13" t="s">
        <v>32</v>
      </c>
      <c r="C3101" s="18" t="s">
        <v>109</v>
      </c>
      <c r="D3101" s="13" t="s">
        <v>1908</v>
      </c>
      <c r="F3101" s="13"/>
      <c r="G3101" s="13" t="s">
        <v>111</v>
      </c>
      <c r="H3101" s="13" t="s">
        <v>75</v>
      </c>
      <c r="I3101" s="13"/>
      <c r="J3101" s="13"/>
      <c r="K3101" s="15"/>
      <c r="L3101" s="15"/>
      <c r="M3101" s="16">
        <v>0.0</v>
      </c>
      <c r="N3101" s="16">
        <v>0.0</v>
      </c>
      <c r="O3101" s="17">
        <v>0.0</v>
      </c>
      <c r="P3101" s="17">
        <v>0.0</v>
      </c>
      <c r="Q3101" s="13"/>
      <c r="R3101" s="13"/>
      <c r="S3101" s="13"/>
      <c r="T3101" s="13">
        <f t="shared" ref="T3101:Y3101" si="3329">IF(ISBLANK(K3101)=TRUE,0,1)</f>
        <v>0</v>
      </c>
      <c r="U3101" s="13">
        <f t="shared" si="3329"/>
        <v>0</v>
      </c>
      <c r="V3101" s="13">
        <f t="shared" si="3329"/>
        <v>1</v>
      </c>
      <c r="W3101" s="13">
        <f t="shared" si="3329"/>
        <v>1</v>
      </c>
      <c r="X3101" s="13">
        <f t="shared" si="3329"/>
        <v>1</v>
      </c>
      <c r="Y3101" s="13">
        <f t="shared" si="3329"/>
        <v>1</v>
      </c>
      <c r="Z3101" s="13">
        <f t="shared" si="3023"/>
        <v>0</v>
      </c>
      <c r="AA3101" s="13"/>
      <c r="AB3101" s="13"/>
      <c r="AC3101" s="13"/>
      <c r="AD3101" s="13"/>
      <c r="AE3101" s="13"/>
      <c r="AF3101" s="13"/>
      <c r="AG3101" s="13"/>
      <c r="AH3101" s="13"/>
      <c r="AI3101" s="13"/>
      <c r="AJ3101" s="13"/>
      <c r="AK3101" s="13"/>
      <c r="AL3101" s="13"/>
      <c r="AM3101" s="13"/>
      <c r="AN3101" s="13"/>
      <c r="AO3101" s="13"/>
      <c r="AP3101" s="13"/>
      <c r="AQ3101" s="13"/>
      <c r="AR3101" s="13"/>
      <c r="AS3101" s="13"/>
    </row>
    <row r="3102" ht="14.25" customHeight="1">
      <c r="A3102" s="26" t="s">
        <v>29</v>
      </c>
      <c r="B3102" s="26" t="s">
        <v>32</v>
      </c>
      <c r="C3102" s="27" t="s">
        <v>109</v>
      </c>
      <c r="D3102" s="26" t="s">
        <v>192</v>
      </c>
      <c r="F3102" s="26"/>
      <c r="G3102" s="13" t="s">
        <v>111</v>
      </c>
      <c r="H3102" s="26" t="s">
        <v>75</v>
      </c>
      <c r="I3102" s="26"/>
      <c r="J3102" s="26"/>
      <c r="K3102" s="28"/>
      <c r="L3102" s="28"/>
      <c r="M3102" s="16">
        <v>0.0</v>
      </c>
      <c r="N3102" s="16">
        <v>0.0</v>
      </c>
      <c r="O3102" s="17">
        <v>0.0</v>
      </c>
      <c r="P3102" s="17">
        <v>0.0</v>
      </c>
      <c r="Q3102" s="13"/>
      <c r="R3102" s="13"/>
      <c r="S3102" s="13"/>
      <c r="T3102" s="13">
        <f t="shared" ref="T3102:Y3102" si="3330">IF(ISBLANK(K3102)=TRUE,0,1)</f>
        <v>0</v>
      </c>
      <c r="U3102" s="13">
        <f t="shared" si="3330"/>
        <v>0</v>
      </c>
      <c r="V3102" s="13">
        <f t="shared" si="3330"/>
        <v>1</v>
      </c>
      <c r="W3102" s="13">
        <f t="shared" si="3330"/>
        <v>1</v>
      </c>
      <c r="X3102" s="13">
        <f t="shared" si="3330"/>
        <v>1</v>
      </c>
      <c r="Y3102" s="13">
        <f t="shared" si="3330"/>
        <v>1</v>
      </c>
      <c r="Z3102" s="13">
        <f t="shared" si="3023"/>
        <v>0</v>
      </c>
      <c r="AA3102" s="13"/>
      <c r="AB3102" s="13"/>
      <c r="AC3102" s="13"/>
      <c r="AD3102" s="13"/>
      <c r="AE3102" s="13"/>
      <c r="AF3102" s="13"/>
      <c r="AG3102" s="13"/>
      <c r="AH3102" s="13"/>
      <c r="AI3102" s="13"/>
      <c r="AJ3102" s="13"/>
      <c r="AK3102" s="13"/>
      <c r="AL3102" s="13"/>
      <c r="AM3102" s="13"/>
      <c r="AN3102" s="13"/>
      <c r="AO3102" s="13"/>
      <c r="AP3102" s="13"/>
      <c r="AQ3102" s="13"/>
      <c r="AR3102" s="13"/>
      <c r="AS3102" s="13"/>
    </row>
    <row r="3103" ht="14.25" customHeight="1">
      <c r="A3103" s="13" t="s">
        <v>29</v>
      </c>
      <c r="B3103" s="13" t="s">
        <v>32</v>
      </c>
      <c r="C3103" s="18" t="s">
        <v>109</v>
      </c>
      <c r="D3103" s="13" t="s">
        <v>1909</v>
      </c>
      <c r="F3103" s="13"/>
      <c r="G3103" s="13" t="s">
        <v>111</v>
      </c>
      <c r="H3103" s="13" t="s">
        <v>75</v>
      </c>
      <c r="I3103" s="13"/>
      <c r="J3103" s="13"/>
      <c r="K3103" s="15"/>
      <c r="L3103" s="15"/>
      <c r="M3103" s="16">
        <v>0.0</v>
      </c>
      <c r="N3103" s="16">
        <v>0.0</v>
      </c>
      <c r="O3103" s="17">
        <v>0.0</v>
      </c>
      <c r="P3103" s="17">
        <v>0.0</v>
      </c>
      <c r="Q3103" s="13"/>
      <c r="R3103" s="13"/>
      <c r="S3103" s="13"/>
      <c r="T3103" s="13">
        <f t="shared" ref="T3103:Y3103" si="3331">IF(ISBLANK(K3103)=TRUE,0,1)</f>
        <v>0</v>
      </c>
      <c r="U3103" s="13">
        <f t="shared" si="3331"/>
        <v>0</v>
      </c>
      <c r="V3103" s="13">
        <f t="shared" si="3331"/>
        <v>1</v>
      </c>
      <c r="W3103" s="13">
        <f t="shared" si="3331"/>
        <v>1</v>
      </c>
      <c r="X3103" s="13">
        <f t="shared" si="3331"/>
        <v>1</v>
      </c>
      <c r="Y3103" s="13">
        <f t="shared" si="3331"/>
        <v>1</v>
      </c>
      <c r="Z3103" s="13">
        <f t="shared" si="3023"/>
        <v>0</v>
      </c>
      <c r="AA3103" s="13"/>
      <c r="AB3103" s="13"/>
      <c r="AC3103" s="13"/>
      <c r="AD3103" s="13"/>
      <c r="AE3103" s="13"/>
      <c r="AF3103" s="13"/>
      <c r="AG3103" s="13"/>
      <c r="AH3103" s="13"/>
      <c r="AI3103" s="13"/>
      <c r="AJ3103" s="13"/>
      <c r="AK3103" s="13"/>
      <c r="AL3103" s="13"/>
      <c r="AM3103" s="13"/>
      <c r="AN3103" s="13"/>
      <c r="AO3103" s="13"/>
      <c r="AP3103" s="13"/>
      <c r="AQ3103" s="13"/>
      <c r="AR3103" s="13"/>
      <c r="AS3103" s="13"/>
    </row>
    <row r="3104" ht="14.25" customHeight="1">
      <c r="A3104" s="26" t="s">
        <v>29</v>
      </c>
      <c r="B3104" s="26" t="s">
        <v>32</v>
      </c>
      <c r="C3104" s="27" t="s">
        <v>109</v>
      </c>
      <c r="D3104" s="26" t="s">
        <v>193</v>
      </c>
      <c r="F3104" s="26"/>
      <c r="G3104" s="13" t="s">
        <v>111</v>
      </c>
      <c r="H3104" s="26" t="s">
        <v>75</v>
      </c>
      <c r="I3104" s="26"/>
      <c r="J3104" s="26"/>
      <c r="K3104" s="28"/>
      <c r="L3104" s="28"/>
      <c r="M3104" s="16">
        <v>0.0</v>
      </c>
      <c r="N3104" s="16">
        <v>0.0</v>
      </c>
      <c r="O3104" s="17">
        <v>0.0</v>
      </c>
      <c r="P3104" s="17">
        <v>0.0</v>
      </c>
      <c r="Q3104" s="13"/>
      <c r="R3104" s="13"/>
      <c r="S3104" s="13"/>
      <c r="T3104" s="13">
        <f t="shared" ref="T3104:Y3104" si="3332">IF(ISBLANK(K3104)=TRUE,0,1)</f>
        <v>0</v>
      </c>
      <c r="U3104" s="13">
        <f t="shared" si="3332"/>
        <v>0</v>
      </c>
      <c r="V3104" s="13">
        <f t="shared" si="3332"/>
        <v>1</v>
      </c>
      <c r="W3104" s="13">
        <f t="shared" si="3332"/>
        <v>1</v>
      </c>
      <c r="X3104" s="13">
        <f t="shared" si="3332"/>
        <v>1</v>
      </c>
      <c r="Y3104" s="13">
        <f t="shared" si="3332"/>
        <v>1</v>
      </c>
      <c r="Z3104" s="13">
        <f t="shared" si="3023"/>
        <v>0</v>
      </c>
      <c r="AA3104" s="13"/>
      <c r="AB3104" s="13"/>
      <c r="AC3104" s="13"/>
      <c r="AD3104" s="13"/>
      <c r="AE3104" s="13"/>
      <c r="AF3104" s="13"/>
      <c r="AG3104" s="13"/>
      <c r="AH3104" s="13"/>
      <c r="AI3104" s="13"/>
      <c r="AJ3104" s="13"/>
      <c r="AK3104" s="13"/>
      <c r="AL3104" s="13"/>
      <c r="AM3104" s="13"/>
      <c r="AN3104" s="13"/>
      <c r="AO3104" s="13"/>
      <c r="AP3104" s="13"/>
      <c r="AQ3104" s="13"/>
      <c r="AR3104" s="13"/>
      <c r="AS3104" s="13"/>
    </row>
    <row r="3105" ht="14.25" customHeight="1">
      <c r="A3105" s="13" t="s">
        <v>46</v>
      </c>
      <c r="B3105" s="13" t="s">
        <v>47</v>
      </c>
      <c r="C3105" s="13" t="s">
        <v>1910</v>
      </c>
      <c r="D3105" s="13"/>
      <c r="E3105" s="13"/>
      <c r="F3105" s="13"/>
      <c r="G3105" s="13" t="s">
        <v>74</v>
      </c>
      <c r="H3105" s="13" t="s">
        <v>75</v>
      </c>
      <c r="I3105" s="13"/>
      <c r="J3105" s="13"/>
      <c r="K3105" s="15">
        <v>0.0</v>
      </c>
      <c r="L3105" s="15">
        <v>0.0</v>
      </c>
      <c r="M3105" s="16"/>
      <c r="N3105" s="16"/>
      <c r="O3105" s="17"/>
      <c r="P3105" s="17"/>
      <c r="Q3105" s="13">
        <f t="shared" ref="Q3105:Q3108" si="3334">K3104+L3104+M3104+N3104+O3104+P3104/6</f>
        <v>0</v>
      </c>
      <c r="R3105" s="13"/>
      <c r="S3105" s="13"/>
      <c r="T3105" s="13">
        <f t="shared" ref="T3105:Y3105" si="3333">IF(ISBLANK(K3105)=TRUE,0,1)</f>
        <v>1</v>
      </c>
      <c r="U3105" s="13">
        <f t="shared" si="3333"/>
        <v>1</v>
      </c>
      <c r="V3105" s="13">
        <f t="shared" si="3333"/>
        <v>0</v>
      </c>
      <c r="W3105" s="13">
        <f t="shared" si="3333"/>
        <v>0</v>
      </c>
      <c r="X3105" s="13">
        <f t="shared" si="3333"/>
        <v>0</v>
      </c>
      <c r="Y3105" s="13">
        <f t="shared" si="3333"/>
        <v>0</v>
      </c>
      <c r="Z3105" s="13">
        <f t="shared" si="3023"/>
        <v>0</v>
      </c>
      <c r="AA3105" s="13"/>
      <c r="AB3105" s="13"/>
      <c r="AC3105" s="13"/>
      <c r="AD3105" s="13"/>
      <c r="AE3105" s="13"/>
      <c r="AF3105" s="13"/>
      <c r="AG3105" s="13"/>
      <c r="AH3105" s="13"/>
      <c r="AI3105" s="13"/>
      <c r="AJ3105" s="13"/>
      <c r="AK3105" s="13"/>
      <c r="AL3105" s="13"/>
      <c r="AM3105" s="13"/>
      <c r="AN3105" s="13"/>
      <c r="AO3105" s="13"/>
      <c r="AP3105" s="13"/>
      <c r="AQ3105" s="13"/>
      <c r="AR3105" s="13"/>
      <c r="AS3105" s="13"/>
    </row>
    <row r="3106" ht="14.25" customHeight="1">
      <c r="A3106" s="13" t="s">
        <v>46</v>
      </c>
      <c r="B3106" s="13" t="s">
        <v>47</v>
      </c>
      <c r="C3106" s="13" t="s">
        <v>1911</v>
      </c>
      <c r="D3106" s="13"/>
      <c r="E3106" s="13"/>
      <c r="F3106" s="13"/>
      <c r="G3106" s="13" t="s">
        <v>74</v>
      </c>
      <c r="H3106" s="13" t="s">
        <v>75</v>
      </c>
      <c r="I3106" s="13"/>
      <c r="J3106" s="13"/>
      <c r="K3106" s="15">
        <v>0.0</v>
      </c>
      <c r="L3106" s="15">
        <v>0.0</v>
      </c>
      <c r="M3106" s="16"/>
      <c r="N3106" s="16"/>
      <c r="O3106" s="17"/>
      <c r="P3106" s="17"/>
      <c r="Q3106" s="13">
        <f t="shared" si="3334"/>
        <v>0</v>
      </c>
      <c r="R3106" s="13"/>
      <c r="S3106" s="13"/>
      <c r="T3106" s="13">
        <f t="shared" ref="T3106:Y3106" si="3335">IF(ISBLANK(K3106)=TRUE,0,1)</f>
        <v>1</v>
      </c>
      <c r="U3106" s="13">
        <f t="shared" si="3335"/>
        <v>1</v>
      </c>
      <c r="V3106" s="13">
        <f t="shared" si="3335"/>
        <v>0</v>
      </c>
      <c r="W3106" s="13">
        <f t="shared" si="3335"/>
        <v>0</v>
      </c>
      <c r="X3106" s="13">
        <f t="shared" si="3335"/>
        <v>0</v>
      </c>
      <c r="Y3106" s="13">
        <f t="shared" si="3335"/>
        <v>0</v>
      </c>
      <c r="Z3106" s="13">
        <f t="shared" si="3023"/>
        <v>0</v>
      </c>
      <c r="AA3106" s="13"/>
      <c r="AB3106" s="13"/>
      <c r="AC3106" s="13"/>
      <c r="AD3106" s="13"/>
      <c r="AE3106" s="13"/>
      <c r="AF3106" s="13"/>
      <c r="AG3106" s="13"/>
      <c r="AH3106" s="13"/>
      <c r="AI3106" s="13"/>
      <c r="AJ3106" s="13"/>
      <c r="AK3106" s="13"/>
      <c r="AL3106" s="13"/>
      <c r="AM3106" s="13"/>
      <c r="AN3106" s="13"/>
      <c r="AO3106" s="13"/>
      <c r="AP3106" s="13"/>
      <c r="AQ3106" s="13"/>
      <c r="AR3106" s="13"/>
      <c r="AS3106" s="13"/>
    </row>
    <row r="3107" ht="14.25" customHeight="1">
      <c r="A3107" s="13" t="s">
        <v>46</v>
      </c>
      <c r="B3107" s="13" t="s">
        <v>47</v>
      </c>
      <c r="C3107" s="13" t="s">
        <v>1911</v>
      </c>
      <c r="D3107" s="13" t="s">
        <v>174</v>
      </c>
      <c r="E3107" s="13"/>
      <c r="F3107" s="13"/>
      <c r="G3107" s="13" t="s">
        <v>74</v>
      </c>
      <c r="H3107" s="13" t="s">
        <v>75</v>
      </c>
      <c r="I3107" s="13"/>
      <c r="J3107" s="13"/>
      <c r="K3107" s="15">
        <v>0.0</v>
      </c>
      <c r="L3107" s="15">
        <v>0.0</v>
      </c>
      <c r="M3107" s="16"/>
      <c r="N3107" s="16"/>
      <c r="O3107" s="17"/>
      <c r="P3107" s="17"/>
      <c r="Q3107" s="13">
        <f t="shared" si="3334"/>
        <v>0</v>
      </c>
      <c r="R3107" s="13"/>
      <c r="S3107" s="13"/>
      <c r="T3107" s="13">
        <f t="shared" ref="T3107:Y3107" si="3336">IF(ISBLANK(K3107)=TRUE,0,1)</f>
        <v>1</v>
      </c>
      <c r="U3107" s="13">
        <f t="shared" si="3336"/>
        <v>1</v>
      </c>
      <c r="V3107" s="13">
        <f t="shared" si="3336"/>
        <v>0</v>
      </c>
      <c r="W3107" s="13">
        <f t="shared" si="3336"/>
        <v>0</v>
      </c>
      <c r="X3107" s="13">
        <f t="shared" si="3336"/>
        <v>0</v>
      </c>
      <c r="Y3107" s="13">
        <f t="shared" si="3336"/>
        <v>0</v>
      </c>
      <c r="Z3107" s="13">
        <f t="shared" si="3023"/>
        <v>0</v>
      </c>
      <c r="AA3107" s="13"/>
      <c r="AB3107" s="13"/>
      <c r="AC3107" s="13"/>
      <c r="AD3107" s="13"/>
      <c r="AE3107" s="13"/>
      <c r="AF3107" s="13"/>
      <c r="AG3107" s="13"/>
      <c r="AH3107" s="13"/>
      <c r="AI3107" s="13"/>
      <c r="AJ3107" s="13"/>
      <c r="AK3107" s="13"/>
      <c r="AL3107" s="13"/>
      <c r="AM3107" s="13"/>
      <c r="AN3107" s="13"/>
      <c r="AO3107" s="13"/>
      <c r="AP3107" s="13"/>
      <c r="AQ3107" s="13"/>
      <c r="AR3107" s="13"/>
      <c r="AS3107" s="13"/>
    </row>
    <row r="3108" ht="14.25" customHeight="1">
      <c r="A3108" s="13" t="s">
        <v>46</v>
      </c>
      <c r="B3108" s="13" t="s">
        <v>47</v>
      </c>
      <c r="C3108" s="13" t="s">
        <v>1911</v>
      </c>
      <c r="D3108" s="13" t="s">
        <v>175</v>
      </c>
      <c r="E3108" s="13"/>
      <c r="F3108" s="13"/>
      <c r="G3108" s="13" t="s">
        <v>74</v>
      </c>
      <c r="H3108" s="13" t="s">
        <v>75</v>
      </c>
      <c r="I3108" s="13"/>
      <c r="J3108" s="13"/>
      <c r="K3108" s="15">
        <v>0.0</v>
      </c>
      <c r="L3108" s="15">
        <v>0.0</v>
      </c>
      <c r="M3108" s="16"/>
      <c r="N3108" s="16"/>
      <c r="O3108" s="17"/>
      <c r="P3108" s="17"/>
      <c r="Q3108" s="13">
        <f t="shared" si="3334"/>
        <v>0</v>
      </c>
      <c r="R3108" s="13"/>
      <c r="S3108" s="13"/>
      <c r="T3108" s="13">
        <f t="shared" ref="T3108:Y3108" si="3337">IF(ISBLANK(K3108)=TRUE,0,1)</f>
        <v>1</v>
      </c>
      <c r="U3108" s="13">
        <f t="shared" si="3337"/>
        <v>1</v>
      </c>
      <c r="V3108" s="13">
        <f t="shared" si="3337"/>
        <v>0</v>
      </c>
      <c r="W3108" s="13">
        <f t="shared" si="3337"/>
        <v>0</v>
      </c>
      <c r="X3108" s="13">
        <f t="shared" si="3337"/>
        <v>0</v>
      </c>
      <c r="Y3108" s="13">
        <f t="shared" si="3337"/>
        <v>0</v>
      </c>
      <c r="Z3108" s="13">
        <f t="shared" si="3023"/>
        <v>0</v>
      </c>
      <c r="AA3108" s="13"/>
      <c r="AB3108" s="13"/>
      <c r="AC3108" s="13"/>
      <c r="AD3108" s="13"/>
      <c r="AE3108" s="13"/>
      <c r="AF3108" s="13"/>
      <c r="AG3108" s="13"/>
      <c r="AH3108" s="13"/>
      <c r="AI3108" s="13"/>
      <c r="AJ3108" s="13"/>
      <c r="AK3108" s="13"/>
      <c r="AL3108" s="13"/>
      <c r="AM3108" s="13"/>
      <c r="AN3108" s="13"/>
      <c r="AO3108" s="13"/>
      <c r="AP3108" s="13"/>
      <c r="AQ3108" s="13"/>
      <c r="AR3108" s="13"/>
      <c r="AS3108" s="13"/>
    </row>
    <row r="3109" ht="14.25" customHeight="1">
      <c r="A3109" s="13" t="s">
        <v>46</v>
      </c>
      <c r="B3109" s="13" t="s">
        <v>55</v>
      </c>
      <c r="C3109" s="13" t="s">
        <v>432</v>
      </c>
      <c r="D3109" s="26" t="s">
        <v>186</v>
      </c>
      <c r="E3109" s="13"/>
      <c r="F3109" s="13"/>
      <c r="G3109" s="26" t="s">
        <v>74</v>
      </c>
      <c r="H3109" s="13" t="s">
        <v>107</v>
      </c>
      <c r="I3109" s="13"/>
      <c r="J3109" s="13"/>
      <c r="K3109" s="15">
        <v>1.0</v>
      </c>
      <c r="L3109" s="15">
        <v>1.0</v>
      </c>
      <c r="M3109" s="16"/>
      <c r="N3109" s="16"/>
      <c r="O3109" s="17"/>
      <c r="P3109" s="17"/>
      <c r="Q3109" s="13"/>
      <c r="R3109" s="13"/>
      <c r="S3109" s="13"/>
      <c r="T3109" s="13">
        <f t="shared" ref="T3109:Y3109" si="3338">IF(ISBLANK(K3109)=TRUE,0,1)</f>
        <v>1</v>
      </c>
      <c r="U3109" s="13">
        <f t="shared" si="3338"/>
        <v>1</v>
      </c>
      <c r="V3109" s="13">
        <f t="shared" si="3338"/>
        <v>0</v>
      </c>
      <c r="W3109" s="13">
        <f t="shared" si="3338"/>
        <v>0</v>
      </c>
      <c r="X3109" s="13">
        <f t="shared" si="3338"/>
        <v>0</v>
      </c>
      <c r="Y3109" s="13">
        <f t="shared" si="3338"/>
        <v>0</v>
      </c>
      <c r="Z3109" s="13">
        <f t="shared" si="3023"/>
        <v>1</v>
      </c>
      <c r="AA3109" s="13"/>
      <c r="AB3109" s="13"/>
      <c r="AC3109" s="13"/>
      <c r="AD3109" s="13"/>
      <c r="AE3109" s="13"/>
      <c r="AF3109" s="13"/>
      <c r="AG3109" s="13"/>
      <c r="AH3109" s="13"/>
      <c r="AI3109" s="13"/>
      <c r="AJ3109" s="13"/>
      <c r="AK3109" s="13"/>
      <c r="AL3109" s="13"/>
      <c r="AM3109" s="13"/>
      <c r="AN3109" s="13"/>
      <c r="AO3109" s="13"/>
      <c r="AP3109" s="13"/>
      <c r="AQ3109" s="13"/>
      <c r="AR3109" s="13"/>
      <c r="AS3109" s="13"/>
    </row>
    <row r="3110" ht="14.25" customHeight="1">
      <c r="A3110" s="13" t="s">
        <v>46</v>
      </c>
      <c r="B3110" s="13" t="s">
        <v>47</v>
      </c>
      <c r="C3110" s="13" t="s">
        <v>1912</v>
      </c>
      <c r="D3110" s="13"/>
      <c r="E3110" s="13"/>
      <c r="F3110" s="13"/>
      <c r="G3110" s="13" t="s">
        <v>74</v>
      </c>
      <c r="H3110" s="13" t="s">
        <v>75</v>
      </c>
      <c r="I3110" s="13"/>
      <c r="J3110" s="13"/>
      <c r="K3110" s="15">
        <v>0.0</v>
      </c>
      <c r="L3110" s="15">
        <v>0.0</v>
      </c>
      <c r="M3110" s="16"/>
      <c r="N3110" s="16"/>
      <c r="O3110" s="17"/>
      <c r="P3110" s="17"/>
      <c r="Q3110" s="13">
        <f t="shared" ref="Q3110:Q3111" si="3340">K3109+L3109+M3109+N3109+O3109+P3109/6</f>
        <v>2</v>
      </c>
      <c r="R3110" s="13"/>
      <c r="S3110" s="13"/>
      <c r="T3110" s="13">
        <f t="shared" ref="T3110:Y3110" si="3339">IF(ISBLANK(K3110)=TRUE,0,1)</f>
        <v>1</v>
      </c>
      <c r="U3110" s="13">
        <f t="shared" si="3339"/>
        <v>1</v>
      </c>
      <c r="V3110" s="13">
        <f t="shared" si="3339"/>
        <v>0</v>
      </c>
      <c r="W3110" s="13">
        <f t="shared" si="3339"/>
        <v>0</v>
      </c>
      <c r="X3110" s="13">
        <f t="shared" si="3339"/>
        <v>0</v>
      </c>
      <c r="Y3110" s="13">
        <f t="shared" si="3339"/>
        <v>0</v>
      </c>
      <c r="Z3110" s="13">
        <f t="shared" si="3023"/>
        <v>0</v>
      </c>
      <c r="AA3110" s="13"/>
      <c r="AB3110" s="13"/>
      <c r="AC3110" s="13"/>
      <c r="AD3110" s="13"/>
      <c r="AE3110" s="13"/>
      <c r="AF3110" s="13"/>
      <c r="AG3110" s="13"/>
      <c r="AH3110" s="13"/>
      <c r="AI3110" s="13"/>
      <c r="AJ3110" s="13"/>
      <c r="AK3110" s="13"/>
      <c r="AL3110" s="13"/>
      <c r="AM3110" s="13"/>
      <c r="AN3110" s="13"/>
      <c r="AO3110" s="13"/>
      <c r="AP3110" s="13"/>
      <c r="AQ3110" s="13"/>
      <c r="AR3110" s="13"/>
      <c r="AS3110" s="13"/>
    </row>
    <row r="3111" ht="14.25" customHeight="1">
      <c r="A3111" s="13" t="s">
        <v>46</v>
      </c>
      <c r="B3111" s="13" t="s">
        <v>47</v>
      </c>
      <c r="C3111" s="13" t="s">
        <v>1913</v>
      </c>
      <c r="D3111" s="13"/>
      <c r="E3111" s="13"/>
      <c r="F3111" s="13"/>
      <c r="G3111" s="13" t="s">
        <v>74</v>
      </c>
      <c r="H3111" s="13" t="s">
        <v>75</v>
      </c>
      <c r="I3111" s="13"/>
      <c r="J3111" s="13"/>
      <c r="K3111" s="15">
        <v>0.0</v>
      </c>
      <c r="L3111" s="15">
        <v>0.0</v>
      </c>
      <c r="M3111" s="16"/>
      <c r="N3111" s="16"/>
      <c r="O3111" s="17"/>
      <c r="P3111" s="17"/>
      <c r="Q3111" s="13">
        <f t="shared" si="3340"/>
        <v>0</v>
      </c>
      <c r="R3111" s="13"/>
      <c r="S3111" s="13"/>
      <c r="T3111" s="13">
        <f t="shared" ref="T3111:Y3111" si="3341">IF(ISBLANK(K3111)=TRUE,0,1)</f>
        <v>1</v>
      </c>
      <c r="U3111" s="13">
        <f t="shared" si="3341"/>
        <v>1</v>
      </c>
      <c r="V3111" s="13">
        <f t="shared" si="3341"/>
        <v>0</v>
      </c>
      <c r="W3111" s="13">
        <f t="shared" si="3341"/>
        <v>0</v>
      </c>
      <c r="X3111" s="13">
        <f t="shared" si="3341"/>
        <v>0</v>
      </c>
      <c r="Y3111" s="13">
        <f t="shared" si="3341"/>
        <v>0</v>
      </c>
      <c r="Z3111" s="13">
        <f t="shared" si="3023"/>
        <v>0</v>
      </c>
      <c r="AA3111" s="13"/>
      <c r="AB3111" s="13"/>
      <c r="AC3111" s="13"/>
      <c r="AD3111" s="13"/>
      <c r="AE3111" s="13"/>
      <c r="AF3111" s="13"/>
      <c r="AG3111" s="13"/>
      <c r="AH3111" s="13"/>
      <c r="AI3111" s="13"/>
      <c r="AJ3111" s="13"/>
      <c r="AK3111" s="13"/>
      <c r="AL3111" s="13"/>
      <c r="AM3111" s="13"/>
      <c r="AN3111" s="13"/>
      <c r="AO3111" s="13"/>
      <c r="AP3111" s="13"/>
      <c r="AQ3111" s="13"/>
      <c r="AR3111" s="13"/>
      <c r="AS3111" s="13"/>
    </row>
    <row r="3112" ht="14.25" customHeight="1">
      <c r="A3112" s="13" t="s">
        <v>46</v>
      </c>
      <c r="B3112" s="13" t="s">
        <v>55</v>
      </c>
      <c r="C3112" s="13" t="s">
        <v>432</v>
      </c>
      <c r="D3112" s="26" t="s">
        <v>189</v>
      </c>
      <c r="E3112" s="13"/>
      <c r="F3112" s="13"/>
      <c r="G3112" s="26" t="s">
        <v>74</v>
      </c>
      <c r="H3112" s="13" t="s">
        <v>107</v>
      </c>
      <c r="I3112" s="13"/>
      <c r="J3112" s="13"/>
      <c r="K3112" s="15">
        <v>1.0</v>
      </c>
      <c r="L3112" s="15">
        <v>1.0</v>
      </c>
      <c r="M3112" s="16"/>
      <c r="N3112" s="16"/>
      <c r="O3112" s="17"/>
      <c r="P3112" s="17"/>
      <c r="Q3112" s="13"/>
      <c r="R3112" s="13"/>
      <c r="S3112" s="13"/>
      <c r="T3112" s="13">
        <f t="shared" ref="T3112:Y3112" si="3342">IF(ISBLANK(K3112)=TRUE,0,1)</f>
        <v>1</v>
      </c>
      <c r="U3112" s="13">
        <f t="shared" si="3342"/>
        <v>1</v>
      </c>
      <c r="V3112" s="13">
        <f t="shared" si="3342"/>
        <v>0</v>
      </c>
      <c r="W3112" s="13">
        <f t="shared" si="3342"/>
        <v>0</v>
      </c>
      <c r="X3112" s="13">
        <f t="shared" si="3342"/>
        <v>0</v>
      </c>
      <c r="Y3112" s="13">
        <f t="shared" si="3342"/>
        <v>0</v>
      </c>
      <c r="Z3112" s="13">
        <f t="shared" si="3023"/>
        <v>1</v>
      </c>
      <c r="AA3112" s="13"/>
      <c r="AB3112" s="13"/>
      <c r="AC3112" s="13"/>
      <c r="AD3112" s="13"/>
      <c r="AE3112" s="13"/>
      <c r="AF3112" s="13"/>
      <c r="AG3112" s="13"/>
      <c r="AH3112" s="13"/>
      <c r="AI3112" s="13"/>
      <c r="AJ3112" s="13"/>
      <c r="AK3112" s="13"/>
      <c r="AL3112" s="13"/>
      <c r="AM3112" s="13"/>
      <c r="AN3112" s="13"/>
      <c r="AO3112" s="13"/>
      <c r="AP3112" s="13"/>
      <c r="AQ3112" s="13"/>
      <c r="AR3112" s="13"/>
      <c r="AS3112" s="13"/>
    </row>
    <row r="3113" ht="14.25" customHeight="1">
      <c r="A3113" s="13" t="s">
        <v>46</v>
      </c>
      <c r="B3113" s="13" t="s">
        <v>55</v>
      </c>
      <c r="C3113" s="13" t="s">
        <v>432</v>
      </c>
      <c r="D3113" s="26" t="s">
        <v>190</v>
      </c>
      <c r="E3113" s="13"/>
      <c r="F3113" s="13"/>
      <c r="G3113" s="26" t="s">
        <v>74</v>
      </c>
      <c r="H3113" s="13" t="s">
        <v>107</v>
      </c>
      <c r="I3113" s="13"/>
      <c r="J3113" s="13"/>
      <c r="K3113" s="15">
        <v>1.0</v>
      </c>
      <c r="L3113" s="15">
        <v>1.0</v>
      </c>
      <c r="M3113" s="16"/>
      <c r="N3113" s="16"/>
      <c r="O3113" s="17"/>
      <c r="P3113" s="17"/>
      <c r="Q3113" s="13"/>
      <c r="R3113" s="13"/>
      <c r="S3113" s="13"/>
      <c r="T3113" s="13">
        <f t="shared" ref="T3113:Y3113" si="3343">IF(ISBLANK(K3113)=TRUE,0,1)</f>
        <v>1</v>
      </c>
      <c r="U3113" s="13">
        <f t="shared" si="3343"/>
        <v>1</v>
      </c>
      <c r="V3113" s="13">
        <f t="shared" si="3343"/>
        <v>0</v>
      </c>
      <c r="W3113" s="13">
        <f t="shared" si="3343"/>
        <v>0</v>
      </c>
      <c r="X3113" s="13">
        <f t="shared" si="3343"/>
        <v>0</v>
      </c>
      <c r="Y3113" s="13">
        <f t="shared" si="3343"/>
        <v>0</v>
      </c>
      <c r="Z3113" s="13">
        <f t="shared" si="3023"/>
        <v>1</v>
      </c>
      <c r="AA3113" s="13"/>
      <c r="AB3113" s="13"/>
      <c r="AC3113" s="13"/>
      <c r="AD3113" s="13"/>
      <c r="AE3113" s="13"/>
      <c r="AF3113" s="13"/>
      <c r="AG3113" s="13"/>
      <c r="AH3113" s="13"/>
      <c r="AI3113" s="13"/>
      <c r="AJ3113" s="13"/>
      <c r="AK3113" s="13"/>
      <c r="AL3113" s="13"/>
      <c r="AM3113" s="13"/>
      <c r="AN3113" s="13"/>
      <c r="AO3113" s="13"/>
      <c r="AP3113" s="13"/>
      <c r="AQ3113" s="13"/>
      <c r="AR3113" s="13"/>
      <c r="AS3113" s="13"/>
    </row>
    <row r="3114" ht="14.25" customHeight="1">
      <c r="A3114" s="13" t="s">
        <v>46</v>
      </c>
      <c r="B3114" s="13" t="s">
        <v>47</v>
      </c>
      <c r="C3114" s="13" t="s">
        <v>1914</v>
      </c>
      <c r="D3114" s="13"/>
      <c r="E3114" s="13"/>
      <c r="F3114" s="13"/>
      <c r="G3114" s="13" t="s">
        <v>74</v>
      </c>
      <c r="H3114" s="13" t="s">
        <v>75</v>
      </c>
      <c r="I3114" s="13"/>
      <c r="J3114" s="13"/>
      <c r="K3114" s="15">
        <v>0.0</v>
      </c>
      <c r="L3114" s="15">
        <v>0.0</v>
      </c>
      <c r="M3114" s="16"/>
      <c r="N3114" s="16"/>
      <c r="O3114" s="17"/>
      <c r="P3114" s="17"/>
      <c r="Q3114" s="13">
        <f t="shared" ref="Q3114:Q3119" si="3345">K3113+L3113+M3113+N3113+O3113+P3113/6</f>
        <v>2</v>
      </c>
      <c r="R3114" s="13"/>
      <c r="S3114" s="13"/>
      <c r="T3114" s="13">
        <f t="shared" ref="T3114:Y3114" si="3344">IF(ISBLANK(K3114)=TRUE,0,1)</f>
        <v>1</v>
      </c>
      <c r="U3114" s="13">
        <f t="shared" si="3344"/>
        <v>1</v>
      </c>
      <c r="V3114" s="13">
        <f t="shared" si="3344"/>
        <v>0</v>
      </c>
      <c r="W3114" s="13">
        <f t="shared" si="3344"/>
        <v>0</v>
      </c>
      <c r="X3114" s="13">
        <f t="shared" si="3344"/>
        <v>0</v>
      </c>
      <c r="Y3114" s="13">
        <f t="shared" si="3344"/>
        <v>0</v>
      </c>
      <c r="Z3114" s="13">
        <f t="shared" si="3023"/>
        <v>0</v>
      </c>
      <c r="AA3114" s="13" t="s">
        <v>483</v>
      </c>
      <c r="AB3114" s="13"/>
      <c r="AC3114" s="13"/>
      <c r="AD3114" s="13"/>
      <c r="AE3114" s="13"/>
      <c r="AF3114" s="13"/>
      <c r="AG3114" s="13"/>
      <c r="AH3114" s="13"/>
      <c r="AI3114" s="13"/>
      <c r="AJ3114" s="13"/>
      <c r="AK3114" s="13"/>
      <c r="AL3114" s="13"/>
      <c r="AM3114" s="13"/>
      <c r="AN3114" s="13"/>
      <c r="AO3114" s="13"/>
      <c r="AP3114" s="13"/>
      <c r="AQ3114" s="13"/>
      <c r="AR3114" s="13"/>
      <c r="AS3114" s="13"/>
    </row>
    <row r="3115" ht="14.25" customHeight="1">
      <c r="A3115" s="13" t="s">
        <v>36</v>
      </c>
      <c r="B3115" s="13" t="s">
        <v>41</v>
      </c>
      <c r="C3115" s="13" t="s">
        <v>1860</v>
      </c>
      <c r="D3115" s="13" t="s">
        <v>436</v>
      </c>
      <c r="F3115" s="13"/>
      <c r="G3115" s="13" t="s">
        <v>74</v>
      </c>
      <c r="H3115" s="13" t="s">
        <v>75</v>
      </c>
      <c r="I3115" s="13"/>
      <c r="J3115" s="13"/>
      <c r="K3115" s="15">
        <v>1.0</v>
      </c>
      <c r="L3115" s="15">
        <v>1.0</v>
      </c>
      <c r="M3115" s="16"/>
      <c r="N3115" s="16"/>
      <c r="O3115" s="17">
        <v>1.0</v>
      </c>
      <c r="P3115" s="17">
        <v>1.0</v>
      </c>
      <c r="Q3115" s="13">
        <f t="shared" si="3345"/>
        <v>0</v>
      </c>
      <c r="R3115" s="13"/>
      <c r="S3115" s="13"/>
      <c r="T3115" s="13">
        <f t="shared" ref="T3115:Y3115" si="3346">IF(ISBLANK(K3115)=TRUE,0,1)</f>
        <v>1</v>
      </c>
      <c r="U3115" s="13">
        <f t="shared" si="3346"/>
        <v>1</v>
      </c>
      <c r="V3115" s="13">
        <f t="shared" si="3346"/>
        <v>0</v>
      </c>
      <c r="W3115" s="13">
        <f t="shared" si="3346"/>
        <v>0</v>
      </c>
      <c r="X3115" s="13">
        <f t="shared" si="3346"/>
        <v>1</v>
      </c>
      <c r="Y3115" s="13">
        <f t="shared" si="3346"/>
        <v>1</v>
      </c>
      <c r="Z3115" s="13">
        <f t="shared" si="3023"/>
        <v>1</v>
      </c>
      <c r="AA3115" s="13"/>
      <c r="AB3115" s="13"/>
      <c r="AC3115" s="13"/>
      <c r="AD3115" s="13"/>
      <c r="AE3115" s="13"/>
      <c r="AF3115" s="13"/>
      <c r="AG3115" s="13"/>
      <c r="AH3115" s="13"/>
      <c r="AI3115" s="13"/>
      <c r="AJ3115" s="13"/>
      <c r="AK3115" s="13"/>
      <c r="AL3115" s="13"/>
      <c r="AM3115" s="13"/>
      <c r="AN3115" s="13"/>
      <c r="AO3115" s="13"/>
      <c r="AP3115" s="13"/>
      <c r="AQ3115" s="13"/>
      <c r="AR3115" s="13"/>
      <c r="AS3115" s="13"/>
    </row>
    <row r="3116" ht="14.25" customHeight="1">
      <c r="A3116" s="13" t="s">
        <v>36</v>
      </c>
      <c r="B3116" s="13" t="s">
        <v>41</v>
      </c>
      <c r="C3116" s="13" t="s">
        <v>1860</v>
      </c>
      <c r="D3116" s="13" t="s">
        <v>437</v>
      </c>
      <c r="F3116" s="13"/>
      <c r="G3116" s="13" t="s">
        <v>74</v>
      </c>
      <c r="H3116" s="13" t="s">
        <v>75</v>
      </c>
      <c r="I3116" s="13"/>
      <c r="J3116" s="13"/>
      <c r="K3116" s="15">
        <v>1.0</v>
      </c>
      <c r="L3116" s="15">
        <v>1.0</v>
      </c>
      <c r="M3116" s="16"/>
      <c r="N3116" s="16"/>
      <c r="O3116" s="17">
        <v>1.0</v>
      </c>
      <c r="P3116" s="17">
        <v>1.0</v>
      </c>
      <c r="Q3116" s="13">
        <f t="shared" si="3345"/>
        <v>3.166666667</v>
      </c>
      <c r="R3116" s="13"/>
      <c r="S3116" s="13"/>
      <c r="T3116" s="13">
        <f t="shared" ref="T3116:Y3116" si="3347">IF(ISBLANK(K3116)=TRUE,0,1)</f>
        <v>1</v>
      </c>
      <c r="U3116" s="13">
        <f t="shared" si="3347"/>
        <v>1</v>
      </c>
      <c r="V3116" s="13">
        <f t="shared" si="3347"/>
        <v>0</v>
      </c>
      <c r="W3116" s="13">
        <f t="shared" si="3347"/>
        <v>0</v>
      </c>
      <c r="X3116" s="13">
        <f t="shared" si="3347"/>
        <v>1</v>
      </c>
      <c r="Y3116" s="13">
        <f t="shared" si="3347"/>
        <v>1</v>
      </c>
      <c r="Z3116" s="13">
        <f t="shared" si="3023"/>
        <v>1</v>
      </c>
      <c r="AA3116" s="13"/>
      <c r="AB3116" s="13"/>
      <c r="AC3116" s="13"/>
      <c r="AD3116" s="13"/>
      <c r="AE3116" s="13"/>
      <c r="AF3116" s="13"/>
      <c r="AG3116" s="13"/>
      <c r="AH3116" s="13"/>
      <c r="AI3116" s="13"/>
      <c r="AJ3116" s="13"/>
      <c r="AK3116" s="13"/>
      <c r="AL3116" s="13"/>
      <c r="AM3116" s="13"/>
      <c r="AN3116" s="13"/>
      <c r="AO3116" s="13"/>
      <c r="AP3116" s="13"/>
      <c r="AQ3116" s="13"/>
      <c r="AR3116" s="13"/>
      <c r="AS3116" s="13"/>
    </row>
    <row r="3117" ht="14.25" customHeight="1">
      <c r="A3117" s="13" t="s">
        <v>36</v>
      </c>
      <c r="B3117" s="13" t="s">
        <v>41</v>
      </c>
      <c r="C3117" s="13" t="s">
        <v>1860</v>
      </c>
      <c r="D3117" s="13" t="s">
        <v>440</v>
      </c>
      <c r="F3117" s="13"/>
      <c r="G3117" s="13" t="s">
        <v>74</v>
      </c>
      <c r="H3117" s="13" t="s">
        <v>75</v>
      </c>
      <c r="I3117" s="13"/>
      <c r="J3117" s="13"/>
      <c r="K3117" s="15">
        <v>1.0</v>
      </c>
      <c r="L3117" s="15">
        <v>1.0</v>
      </c>
      <c r="M3117" s="16"/>
      <c r="N3117" s="16"/>
      <c r="O3117" s="17">
        <v>1.0</v>
      </c>
      <c r="P3117" s="17">
        <v>1.0</v>
      </c>
      <c r="Q3117" s="13">
        <f t="shared" si="3345"/>
        <v>3.166666667</v>
      </c>
      <c r="R3117" s="13"/>
      <c r="S3117" s="13"/>
      <c r="T3117" s="13">
        <f t="shared" ref="T3117:Y3117" si="3348">IF(ISBLANK(K3117)=TRUE,0,1)</f>
        <v>1</v>
      </c>
      <c r="U3117" s="13">
        <f t="shared" si="3348"/>
        <v>1</v>
      </c>
      <c r="V3117" s="13">
        <f t="shared" si="3348"/>
        <v>0</v>
      </c>
      <c r="W3117" s="13">
        <f t="shared" si="3348"/>
        <v>0</v>
      </c>
      <c r="X3117" s="13">
        <f t="shared" si="3348"/>
        <v>1</v>
      </c>
      <c r="Y3117" s="13">
        <f t="shared" si="3348"/>
        <v>1</v>
      </c>
      <c r="Z3117" s="13">
        <f t="shared" si="3023"/>
        <v>1</v>
      </c>
      <c r="AA3117" s="13"/>
      <c r="AB3117" s="13"/>
      <c r="AC3117" s="13"/>
      <c r="AD3117" s="13"/>
      <c r="AE3117" s="13"/>
      <c r="AF3117" s="13"/>
      <c r="AG3117" s="13"/>
      <c r="AH3117" s="13"/>
      <c r="AI3117" s="13"/>
      <c r="AJ3117" s="13"/>
      <c r="AK3117" s="13"/>
      <c r="AL3117" s="13"/>
      <c r="AM3117" s="13"/>
      <c r="AN3117" s="13"/>
      <c r="AO3117" s="13"/>
      <c r="AP3117" s="13"/>
      <c r="AQ3117" s="13"/>
      <c r="AR3117" s="13"/>
      <c r="AS3117" s="13"/>
    </row>
    <row r="3118" ht="14.25" customHeight="1">
      <c r="A3118" s="13" t="s">
        <v>36</v>
      </c>
      <c r="B3118" s="13" t="s">
        <v>39</v>
      </c>
      <c r="C3118" s="13" t="s">
        <v>1872</v>
      </c>
      <c r="D3118" s="13" t="s">
        <v>187</v>
      </c>
      <c r="F3118" s="13"/>
      <c r="G3118" s="13" t="s">
        <v>111</v>
      </c>
      <c r="H3118" s="13" t="s">
        <v>75</v>
      </c>
      <c r="I3118" s="13"/>
      <c r="J3118" s="13"/>
      <c r="K3118" s="15">
        <v>0.0</v>
      </c>
      <c r="L3118" s="15">
        <v>0.0</v>
      </c>
      <c r="M3118" s="16"/>
      <c r="N3118" s="16"/>
      <c r="O3118" s="17"/>
      <c r="P3118" s="17"/>
      <c r="Q3118" s="13">
        <f t="shared" si="3345"/>
        <v>3.166666667</v>
      </c>
      <c r="R3118" s="13"/>
      <c r="S3118" s="13"/>
      <c r="T3118" s="13">
        <f t="shared" ref="T3118:Y3118" si="3349">IF(ISBLANK(K3118)=TRUE,0,1)</f>
        <v>1</v>
      </c>
      <c r="U3118" s="13">
        <f t="shared" si="3349"/>
        <v>1</v>
      </c>
      <c r="V3118" s="13">
        <f t="shared" si="3349"/>
        <v>0</v>
      </c>
      <c r="W3118" s="13">
        <f t="shared" si="3349"/>
        <v>0</v>
      </c>
      <c r="X3118" s="13">
        <f t="shared" si="3349"/>
        <v>0</v>
      </c>
      <c r="Y3118" s="13">
        <f t="shared" si="3349"/>
        <v>0</v>
      </c>
      <c r="Z3118" s="13">
        <f t="shared" si="3023"/>
        <v>0</v>
      </c>
      <c r="AA3118" s="13"/>
      <c r="AB3118" s="13"/>
      <c r="AC3118" s="13"/>
      <c r="AD3118" s="13"/>
      <c r="AE3118" s="13"/>
      <c r="AF3118" s="13"/>
      <c r="AG3118" s="13"/>
      <c r="AH3118" s="13"/>
      <c r="AI3118" s="13"/>
      <c r="AJ3118" s="13"/>
      <c r="AK3118" s="13"/>
      <c r="AL3118" s="13"/>
      <c r="AM3118" s="13"/>
      <c r="AN3118" s="13"/>
      <c r="AO3118" s="13"/>
      <c r="AP3118" s="13"/>
      <c r="AQ3118" s="13"/>
      <c r="AR3118" s="13"/>
      <c r="AS3118" s="13"/>
    </row>
    <row r="3119" ht="14.25" customHeight="1">
      <c r="A3119" s="13" t="s">
        <v>36</v>
      </c>
      <c r="B3119" s="13" t="s">
        <v>37</v>
      </c>
      <c r="C3119" s="13" t="s">
        <v>1859</v>
      </c>
      <c r="D3119" s="13" t="s">
        <v>191</v>
      </c>
      <c r="F3119" s="13"/>
      <c r="G3119" s="13" t="s">
        <v>74</v>
      </c>
      <c r="H3119" s="13" t="s">
        <v>75</v>
      </c>
      <c r="I3119" s="13"/>
      <c r="J3119" s="13"/>
      <c r="K3119" s="15">
        <v>1.0</v>
      </c>
      <c r="L3119" s="15">
        <v>1.0</v>
      </c>
      <c r="M3119" s="16"/>
      <c r="N3119" s="16"/>
      <c r="O3119" s="17"/>
      <c r="P3119" s="17"/>
      <c r="Q3119" s="13">
        <f t="shared" si="3345"/>
        <v>0</v>
      </c>
      <c r="R3119" s="13"/>
      <c r="S3119" s="13"/>
      <c r="T3119" s="13">
        <f t="shared" ref="T3119:Y3119" si="3350">IF(ISBLANK(K3119)=TRUE,0,1)</f>
        <v>1</v>
      </c>
      <c r="U3119" s="13">
        <f t="shared" si="3350"/>
        <v>1</v>
      </c>
      <c r="V3119" s="13">
        <f t="shared" si="3350"/>
        <v>0</v>
      </c>
      <c r="W3119" s="13">
        <f t="shared" si="3350"/>
        <v>0</v>
      </c>
      <c r="X3119" s="13">
        <f t="shared" si="3350"/>
        <v>0</v>
      </c>
      <c r="Y3119" s="13">
        <f t="shared" si="3350"/>
        <v>0</v>
      </c>
      <c r="Z3119" s="13">
        <f t="shared" si="3023"/>
        <v>1</v>
      </c>
      <c r="AA3119" s="13"/>
      <c r="AB3119" s="13"/>
      <c r="AC3119" s="13"/>
      <c r="AD3119" s="13"/>
      <c r="AE3119" s="13"/>
      <c r="AF3119" s="13"/>
      <c r="AG3119" s="13"/>
      <c r="AH3119" s="13"/>
      <c r="AI3119" s="13"/>
      <c r="AJ3119" s="13"/>
      <c r="AK3119" s="13"/>
      <c r="AL3119" s="13"/>
      <c r="AM3119" s="13"/>
      <c r="AN3119" s="13"/>
      <c r="AO3119" s="13"/>
      <c r="AP3119" s="13"/>
      <c r="AQ3119" s="13"/>
      <c r="AR3119" s="13"/>
      <c r="AS3119" s="13"/>
    </row>
    <row r="3120" ht="14.25" customHeight="1">
      <c r="A3120" s="13" t="s">
        <v>29</v>
      </c>
      <c r="B3120" s="13" t="s">
        <v>32</v>
      </c>
      <c r="C3120" s="18" t="s">
        <v>109</v>
      </c>
      <c r="D3120" s="13" t="s">
        <v>1915</v>
      </c>
      <c r="F3120" s="13"/>
      <c r="G3120" s="13" t="s">
        <v>111</v>
      </c>
      <c r="H3120" s="13" t="s">
        <v>75</v>
      </c>
      <c r="I3120" s="13"/>
      <c r="J3120" s="13"/>
      <c r="K3120" s="15"/>
      <c r="L3120" s="15"/>
      <c r="M3120" s="16">
        <v>0.0</v>
      </c>
      <c r="N3120" s="16">
        <v>0.0</v>
      </c>
      <c r="O3120" s="17">
        <v>0.0</v>
      </c>
      <c r="P3120" s="17">
        <v>0.0</v>
      </c>
      <c r="Q3120" s="13"/>
      <c r="R3120" s="13"/>
      <c r="S3120" s="13"/>
      <c r="T3120" s="13">
        <f t="shared" ref="T3120:Y3120" si="3351">IF(ISBLANK(K3120)=TRUE,0,1)</f>
        <v>0</v>
      </c>
      <c r="U3120" s="13">
        <f t="shared" si="3351"/>
        <v>0</v>
      </c>
      <c r="V3120" s="13">
        <f t="shared" si="3351"/>
        <v>1</v>
      </c>
      <c r="W3120" s="13">
        <f t="shared" si="3351"/>
        <v>1</v>
      </c>
      <c r="X3120" s="13">
        <f t="shared" si="3351"/>
        <v>1</v>
      </c>
      <c r="Y3120" s="13">
        <f t="shared" si="3351"/>
        <v>1</v>
      </c>
      <c r="Z3120" s="13">
        <f t="shared" si="3023"/>
        <v>0</v>
      </c>
      <c r="AA3120" s="13"/>
      <c r="AB3120" s="13"/>
      <c r="AC3120" s="13"/>
      <c r="AD3120" s="13"/>
      <c r="AE3120" s="13"/>
      <c r="AF3120" s="13"/>
      <c r="AG3120" s="13"/>
      <c r="AH3120" s="13"/>
      <c r="AI3120" s="13"/>
      <c r="AJ3120" s="13"/>
      <c r="AK3120" s="13"/>
      <c r="AL3120" s="13"/>
      <c r="AM3120" s="13"/>
      <c r="AN3120" s="13"/>
      <c r="AO3120" s="13"/>
      <c r="AP3120" s="13"/>
      <c r="AQ3120" s="13"/>
      <c r="AR3120" s="13"/>
      <c r="AS3120" s="13"/>
    </row>
    <row r="3121" ht="14.25" customHeight="1">
      <c r="A3121" s="13" t="s">
        <v>36</v>
      </c>
      <c r="B3121" s="13" t="s">
        <v>37</v>
      </c>
      <c r="C3121" s="13" t="s">
        <v>1859</v>
      </c>
      <c r="D3121" s="13" t="s">
        <v>192</v>
      </c>
      <c r="F3121" s="13"/>
      <c r="G3121" s="13" t="s">
        <v>74</v>
      </c>
      <c r="H3121" s="13" t="s">
        <v>75</v>
      </c>
      <c r="I3121" s="13"/>
      <c r="J3121" s="13"/>
      <c r="K3121" s="15">
        <v>1.0</v>
      </c>
      <c r="L3121" s="15">
        <v>1.0</v>
      </c>
      <c r="M3121" s="16"/>
      <c r="N3121" s="16"/>
      <c r="O3121" s="17"/>
      <c r="P3121" s="17"/>
      <c r="Q3121" s="13">
        <f t="shared" ref="Q3121:Q3122" si="3353">K3120+L3120+M3120+N3120+O3120+P3120/6</f>
        <v>0</v>
      </c>
      <c r="R3121" s="13"/>
      <c r="S3121" s="13"/>
      <c r="T3121" s="13">
        <f t="shared" ref="T3121:Y3121" si="3352">IF(ISBLANK(K3121)=TRUE,0,1)</f>
        <v>1</v>
      </c>
      <c r="U3121" s="13">
        <f t="shared" si="3352"/>
        <v>1</v>
      </c>
      <c r="V3121" s="13">
        <f t="shared" si="3352"/>
        <v>0</v>
      </c>
      <c r="W3121" s="13">
        <f t="shared" si="3352"/>
        <v>0</v>
      </c>
      <c r="X3121" s="13">
        <f t="shared" si="3352"/>
        <v>0</v>
      </c>
      <c r="Y3121" s="13">
        <f t="shared" si="3352"/>
        <v>0</v>
      </c>
      <c r="Z3121" s="13">
        <f t="shared" si="3023"/>
        <v>1</v>
      </c>
      <c r="AA3121" s="13"/>
      <c r="AB3121" s="13"/>
      <c r="AC3121" s="13"/>
      <c r="AD3121" s="13"/>
      <c r="AE3121" s="13"/>
      <c r="AF3121" s="13"/>
      <c r="AG3121" s="13"/>
      <c r="AH3121" s="13"/>
      <c r="AI3121" s="13"/>
      <c r="AJ3121" s="13"/>
      <c r="AK3121" s="13"/>
      <c r="AL3121" s="13"/>
      <c r="AM3121" s="13"/>
      <c r="AN3121" s="13"/>
      <c r="AO3121" s="13"/>
      <c r="AP3121" s="13"/>
      <c r="AQ3121" s="13"/>
      <c r="AR3121" s="13"/>
      <c r="AS3121" s="13"/>
    </row>
    <row r="3122" ht="14.25" customHeight="1">
      <c r="A3122" s="13" t="s">
        <v>36</v>
      </c>
      <c r="B3122" s="13" t="s">
        <v>39</v>
      </c>
      <c r="C3122" s="13" t="s">
        <v>1872</v>
      </c>
      <c r="D3122" s="13" t="s">
        <v>188</v>
      </c>
      <c r="F3122" s="13"/>
      <c r="G3122" s="13" t="s">
        <v>111</v>
      </c>
      <c r="H3122" s="13" t="s">
        <v>75</v>
      </c>
      <c r="I3122" s="13"/>
      <c r="J3122" s="13"/>
      <c r="K3122" s="15">
        <v>0.0</v>
      </c>
      <c r="L3122" s="15">
        <v>0.0</v>
      </c>
      <c r="M3122" s="16"/>
      <c r="N3122" s="16"/>
      <c r="O3122" s="17"/>
      <c r="P3122" s="17"/>
      <c r="Q3122" s="13">
        <f t="shared" si="3353"/>
        <v>2</v>
      </c>
      <c r="R3122" s="13"/>
      <c r="S3122" s="13"/>
      <c r="T3122" s="13">
        <f t="shared" ref="T3122:Y3122" si="3354">IF(ISBLANK(K3122)=TRUE,0,1)</f>
        <v>1</v>
      </c>
      <c r="U3122" s="13">
        <f t="shared" si="3354"/>
        <v>1</v>
      </c>
      <c r="V3122" s="13">
        <f t="shared" si="3354"/>
        <v>0</v>
      </c>
      <c r="W3122" s="13">
        <f t="shared" si="3354"/>
        <v>0</v>
      </c>
      <c r="X3122" s="13">
        <f t="shared" si="3354"/>
        <v>0</v>
      </c>
      <c r="Y3122" s="13">
        <f t="shared" si="3354"/>
        <v>0</v>
      </c>
      <c r="Z3122" s="13">
        <f t="shared" si="3023"/>
        <v>0</v>
      </c>
      <c r="AA3122" s="13"/>
      <c r="AB3122" s="13"/>
      <c r="AC3122" s="13"/>
      <c r="AD3122" s="13"/>
      <c r="AE3122" s="13"/>
      <c r="AF3122" s="13"/>
      <c r="AG3122" s="13"/>
      <c r="AH3122" s="13"/>
      <c r="AI3122" s="13"/>
      <c r="AJ3122" s="13"/>
      <c r="AK3122" s="13"/>
      <c r="AL3122" s="13"/>
      <c r="AM3122" s="13"/>
      <c r="AN3122" s="13"/>
      <c r="AO3122" s="13"/>
      <c r="AP3122" s="13"/>
      <c r="AQ3122" s="13"/>
      <c r="AR3122" s="13"/>
      <c r="AS3122" s="13"/>
    </row>
    <row r="3123" ht="14.25" customHeight="1">
      <c r="A3123" s="26" t="s">
        <v>29</v>
      </c>
      <c r="B3123" s="26" t="s">
        <v>32</v>
      </c>
      <c r="C3123" s="27" t="s">
        <v>109</v>
      </c>
      <c r="D3123" s="26" t="s">
        <v>194</v>
      </c>
      <c r="F3123" s="26"/>
      <c r="G3123" s="13" t="s">
        <v>111</v>
      </c>
      <c r="H3123" s="26" t="s">
        <v>75</v>
      </c>
      <c r="I3123" s="26"/>
      <c r="J3123" s="26"/>
      <c r="K3123" s="28"/>
      <c r="L3123" s="28"/>
      <c r="M3123" s="16">
        <v>0.0</v>
      </c>
      <c r="N3123" s="16">
        <v>0.0</v>
      </c>
      <c r="O3123" s="17">
        <v>0.0</v>
      </c>
      <c r="P3123" s="17">
        <v>0.0</v>
      </c>
      <c r="Q3123" s="13"/>
      <c r="R3123" s="13"/>
      <c r="S3123" s="13"/>
      <c r="T3123" s="13">
        <f t="shared" ref="T3123:Y3123" si="3355">IF(ISBLANK(K3123)=TRUE,0,1)</f>
        <v>0</v>
      </c>
      <c r="U3123" s="13">
        <f t="shared" si="3355"/>
        <v>0</v>
      </c>
      <c r="V3123" s="13">
        <f t="shared" si="3355"/>
        <v>1</v>
      </c>
      <c r="W3123" s="13">
        <f t="shared" si="3355"/>
        <v>1</v>
      </c>
      <c r="X3123" s="13">
        <f t="shared" si="3355"/>
        <v>1</v>
      </c>
      <c r="Y3123" s="13">
        <f t="shared" si="3355"/>
        <v>1</v>
      </c>
      <c r="Z3123" s="13">
        <f t="shared" si="3023"/>
        <v>0</v>
      </c>
      <c r="AA3123" s="13"/>
      <c r="AB3123" s="13"/>
      <c r="AC3123" s="13"/>
      <c r="AD3123" s="13"/>
      <c r="AE3123" s="13"/>
      <c r="AF3123" s="13"/>
      <c r="AG3123" s="13"/>
      <c r="AH3123" s="13"/>
      <c r="AI3123" s="13"/>
      <c r="AJ3123" s="13"/>
      <c r="AK3123" s="13"/>
      <c r="AL3123" s="13"/>
      <c r="AM3123" s="13"/>
      <c r="AN3123" s="13"/>
      <c r="AO3123" s="13"/>
      <c r="AP3123" s="13"/>
      <c r="AQ3123" s="13"/>
      <c r="AR3123" s="13"/>
      <c r="AS3123" s="13"/>
    </row>
    <row r="3124" ht="14.25" customHeight="1">
      <c r="A3124" s="13" t="s">
        <v>36</v>
      </c>
      <c r="B3124" s="13" t="s">
        <v>41</v>
      </c>
      <c r="C3124" s="13" t="s">
        <v>1860</v>
      </c>
      <c r="D3124" s="13" t="s">
        <v>441</v>
      </c>
      <c r="F3124" s="13"/>
      <c r="G3124" s="13" t="s">
        <v>74</v>
      </c>
      <c r="H3124" s="13" t="s">
        <v>75</v>
      </c>
      <c r="I3124" s="13"/>
      <c r="J3124" s="13"/>
      <c r="K3124" s="15">
        <v>1.0</v>
      </c>
      <c r="L3124" s="15">
        <v>1.0</v>
      </c>
      <c r="M3124" s="16"/>
      <c r="N3124" s="16"/>
      <c r="O3124" s="17">
        <v>1.0</v>
      </c>
      <c r="P3124" s="17">
        <v>1.0</v>
      </c>
      <c r="Q3124" s="13">
        <f t="shared" ref="Q3124:Q3129" si="3357">K3123+L3123+M3123+N3123+O3123+P3123/6</f>
        <v>0</v>
      </c>
      <c r="R3124" s="13"/>
      <c r="S3124" s="13"/>
      <c r="T3124" s="13">
        <f t="shared" ref="T3124:Y3124" si="3356">IF(ISBLANK(K3124)=TRUE,0,1)</f>
        <v>1</v>
      </c>
      <c r="U3124" s="13">
        <f t="shared" si="3356"/>
        <v>1</v>
      </c>
      <c r="V3124" s="13">
        <f t="shared" si="3356"/>
        <v>0</v>
      </c>
      <c r="W3124" s="13">
        <f t="shared" si="3356"/>
        <v>0</v>
      </c>
      <c r="X3124" s="13">
        <f t="shared" si="3356"/>
        <v>1</v>
      </c>
      <c r="Y3124" s="13">
        <f t="shared" si="3356"/>
        <v>1</v>
      </c>
      <c r="Z3124" s="13">
        <f t="shared" si="3023"/>
        <v>1</v>
      </c>
      <c r="AA3124" s="13"/>
      <c r="AB3124" s="13"/>
      <c r="AC3124" s="13"/>
      <c r="AD3124" s="13"/>
      <c r="AE3124" s="13"/>
      <c r="AF3124" s="13"/>
      <c r="AG3124" s="13"/>
      <c r="AH3124" s="13"/>
      <c r="AI3124" s="13"/>
      <c r="AJ3124" s="13"/>
      <c r="AK3124" s="13"/>
      <c r="AL3124" s="13"/>
      <c r="AM3124" s="13"/>
      <c r="AN3124" s="13"/>
      <c r="AO3124" s="13"/>
      <c r="AP3124" s="13"/>
      <c r="AQ3124" s="13"/>
      <c r="AR3124" s="13"/>
      <c r="AS3124" s="13"/>
    </row>
    <row r="3125" ht="14.25" customHeight="1">
      <c r="A3125" s="13" t="s">
        <v>36</v>
      </c>
      <c r="B3125" s="13" t="s">
        <v>41</v>
      </c>
      <c r="C3125" s="13" t="s">
        <v>1860</v>
      </c>
      <c r="D3125" s="13" t="s">
        <v>551</v>
      </c>
      <c r="F3125" s="13"/>
      <c r="G3125" s="13" t="s">
        <v>74</v>
      </c>
      <c r="H3125" s="13" t="s">
        <v>75</v>
      </c>
      <c r="I3125" s="13"/>
      <c r="J3125" s="13"/>
      <c r="K3125" s="15">
        <v>1.0</v>
      </c>
      <c r="L3125" s="15">
        <v>1.0</v>
      </c>
      <c r="M3125" s="16"/>
      <c r="N3125" s="16"/>
      <c r="O3125" s="17">
        <v>1.0</v>
      </c>
      <c r="P3125" s="17">
        <v>1.0</v>
      </c>
      <c r="Q3125" s="13">
        <f t="shared" si="3357"/>
        <v>3.166666667</v>
      </c>
      <c r="R3125" s="13"/>
      <c r="S3125" s="13"/>
      <c r="T3125" s="13">
        <f t="shared" ref="T3125:Y3125" si="3358">IF(ISBLANK(K3125)=TRUE,0,1)</f>
        <v>1</v>
      </c>
      <c r="U3125" s="13">
        <f t="shared" si="3358"/>
        <v>1</v>
      </c>
      <c r="V3125" s="13">
        <f t="shared" si="3358"/>
        <v>0</v>
      </c>
      <c r="W3125" s="13">
        <f t="shared" si="3358"/>
        <v>0</v>
      </c>
      <c r="X3125" s="13">
        <f t="shared" si="3358"/>
        <v>1</v>
      </c>
      <c r="Y3125" s="13">
        <f t="shared" si="3358"/>
        <v>1</v>
      </c>
      <c r="Z3125" s="13">
        <f t="shared" si="3023"/>
        <v>1</v>
      </c>
      <c r="AA3125" s="13"/>
      <c r="AB3125" s="13"/>
      <c r="AC3125" s="13"/>
      <c r="AD3125" s="13"/>
      <c r="AE3125" s="13"/>
      <c r="AF3125" s="13"/>
      <c r="AG3125" s="13"/>
      <c r="AH3125" s="13"/>
      <c r="AI3125" s="13"/>
      <c r="AJ3125" s="13"/>
      <c r="AK3125" s="13"/>
      <c r="AL3125" s="13"/>
      <c r="AM3125" s="13"/>
      <c r="AN3125" s="13"/>
      <c r="AO3125" s="13"/>
      <c r="AP3125" s="13"/>
      <c r="AQ3125" s="13"/>
      <c r="AR3125" s="13"/>
      <c r="AS3125" s="13"/>
    </row>
    <row r="3126" ht="14.25" customHeight="1">
      <c r="A3126" s="13" t="s">
        <v>36</v>
      </c>
      <c r="B3126" s="13" t="s">
        <v>39</v>
      </c>
      <c r="C3126" s="13" t="s">
        <v>1872</v>
      </c>
      <c r="D3126" s="13" t="s">
        <v>189</v>
      </c>
      <c r="F3126" s="13"/>
      <c r="G3126" s="13" t="s">
        <v>111</v>
      </c>
      <c r="H3126" s="13" t="s">
        <v>75</v>
      </c>
      <c r="I3126" s="13"/>
      <c r="J3126" s="13"/>
      <c r="K3126" s="15">
        <v>0.0</v>
      </c>
      <c r="L3126" s="15">
        <v>0.0</v>
      </c>
      <c r="M3126" s="16"/>
      <c r="N3126" s="16"/>
      <c r="O3126" s="17"/>
      <c r="P3126" s="17"/>
      <c r="Q3126" s="13">
        <f t="shared" si="3357"/>
        <v>3.166666667</v>
      </c>
      <c r="R3126" s="13"/>
      <c r="S3126" s="13"/>
      <c r="T3126" s="13">
        <f t="shared" ref="T3126:Y3126" si="3359">IF(ISBLANK(K3126)=TRUE,0,1)</f>
        <v>1</v>
      </c>
      <c r="U3126" s="13">
        <f t="shared" si="3359"/>
        <v>1</v>
      </c>
      <c r="V3126" s="13">
        <f t="shared" si="3359"/>
        <v>0</v>
      </c>
      <c r="W3126" s="13">
        <f t="shared" si="3359"/>
        <v>0</v>
      </c>
      <c r="X3126" s="13">
        <f t="shared" si="3359"/>
        <v>0</v>
      </c>
      <c r="Y3126" s="13">
        <f t="shared" si="3359"/>
        <v>0</v>
      </c>
      <c r="Z3126" s="13">
        <f t="shared" si="3023"/>
        <v>0</v>
      </c>
      <c r="AA3126" s="13"/>
      <c r="AB3126" s="13"/>
      <c r="AC3126" s="13"/>
      <c r="AD3126" s="13"/>
      <c r="AE3126" s="13"/>
      <c r="AF3126" s="13"/>
      <c r="AG3126" s="13"/>
      <c r="AH3126" s="13"/>
      <c r="AI3126" s="13"/>
      <c r="AJ3126" s="13"/>
      <c r="AK3126" s="13"/>
      <c r="AL3126" s="13"/>
      <c r="AM3126" s="13"/>
      <c r="AN3126" s="13"/>
      <c r="AO3126" s="13"/>
      <c r="AP3126" s="13"/>
      <c r="AQ3126" s="13"/>
      <c r="AR3126" s="13"/>
      <c r="AS3126" s="13"/>
    </row>
    <row r="3127" ht="14.25" customHeight="1">
      <c r="A3127" s="13" t="s">
        <v>36</v>
      </c>
      <c r="B3127" s="13" t="s">
        <v>39</v>
      </c>
      <c r="C3127" s="13" t="s">
        <v>1872</v>
      </c>
      <c r="D3127" s="13" t="s">
        <v>190</v>
      </c>
      <c r="F3127" s="13"/>
      <c r="G3127" s="13" t="s">
        <v>111</v>
      </c>
      <c r="H3127" s="13" t="s">
        <v>75</v>
      </c>
      <c r="I3127" s="13"/>
      <c r="J3127" s="13"/>
      <c r="K3127" s="15">
        <v>0.0</v>
      </c>
      <c r="L3127" s="15">
        <v>0.0</v>
      </c>
      <c r="M3127" s="16"/>
      <c r="N3127" s="16"/>
      <c r="O3127" s="17"/>
      <c r="P3127" s="17"/>
      <c r="Q3127" s="13">
        <f t="shared" si="3357"/>
        <v>0</v>
      </c>
      <c r="R3127" s="13"/>
      <c r="S3127" s="13"/>
      <c r="T3127" s="13">
        <f t="shared" ref="T3127:Y3127" si="3360">IF(ISBLANK(K3127)=TRUE,0,1)</f>
        <v>1</v>
      </c>
      <c r="U3127" s="13">
        <f t="shared" si="3360"/>
        <v>1</v>
      </c>
      <c r="V3127" s="13">
        <f t="shared" si="3360"/>
        <v>0</v>
      </c>
      <c r="W3127" s="13">
        <f t="shared" si="3360"/>
        <v>0</v>
      </c>
      <c r="X3127" s="13">
        <f t="shared" si="3360"/>
        <v>0</v>
      </c>
      <c r="Y3127" s="13">
        <f t="shared" si="3360"/>
        <v>0</v>
      </c>
      <c r="Z3127" s="13">
        <f t="shared" si="3023"/>
        <v>0</v>
      </c>
      <c r="AA3127" s="13"/>
      <c r="AB3127" s="13"/>
      <c r="AC3127" s="13"/>
      <c r="AD3127" s="13"/>
      <c r="AE3127" s="13"/>
      <c r="AF3127" s="13"/>
      <c r="AG3127" s="13"/>
      <c r="AH3127" s="13"/>
      <c r="AI3127" s="13"/>
      <c r="AJ3127" s="13"/>
      <c r="AK3127" s="13"/>
      <c r="AL3127" s="13"/>
      <c r="AM3127" s="13"/>
      <c r="AN3127" s="13"/>
      <c r="AO3127" s="13"/>
      <c r="AP3127" s="13"/>
      <c r="AQ3127" s="13"/>
      <c r="AR3127" s="13"/>
      <c r="AS3127" s="13"/>
    </row>
    <row r="3128" ht="14.25" customHeight="1">
      <c r="A3128" s="13" t="s">
        <v>36</v>
      </c>
      <c r="B3128" s="13" t="s">
        <v>39</v>
      </c>
      <c r="C3128" s="13" t="s">
        <v>1872</v>
      </c>
      <c r="D3128" s="13" t="s">
        <v>191</v>
      </c>
      <c r="F3128" s="13"/>
      <c r="G3128" s="13" t="s">
        <v>111</v>
      </c>
      <c r="H3128" s="13" t="s">
        <v>75</v>
      </c>
      <c r="I3128" s="13"/>
      <c r="J3128" s="13"/>
      <c r="K3128" s="15">
        <v>0.0</v>
      </c>
      <c r="L3128" s="15">
        <v>0.0</v>
      </c>
      <c r="M3128" s="16"/>
      <c r="N3128" s="16"/>
      <c r="O3128" s="17"/>
      <c r="P3128" s="17"/>
      <c r="Q3128" s="13">
        <f t="shared" si="3357"/>
        <v>0</v>
      </c>
      <c r="R3128" s="13"/>
      <c r="S3128" s="13"/>
      <c r="T3128" s="13">
        <f t="shared" ref="T3128:Y3128" si="3361">IF(ISBLANK(K3128)=TRUE,0,1)</f>
        <v>1</v>
      </c>
      <c r="U3128" s="13">
        <f t="shared" si="3361"/>
        <v>1</v>
      </c>
      <c r="V3128" s="13">
        <f t="shared" si="3361"/>
        <v>0</v>
      </c>
      <c r="W3128" s="13">
        <f t="shared" si="3361"/>
        <v>0</v>
      </c>
      <c r="X3128" s="13">
        <f t="shared" si="3361"/>
        <v>0</v>
      </c>
      <c r="Y3128" s="13">
        <f t="shared" si="3361"/>
        <v>0</v>
      </c>
      <c r="Z3128" s="13">
        <f t="shared" si="3023"/>
        <v>0</v>
      </c>
      <c r="AA3128" s="13"/>
      <c r="AB3128" s="13"/>
      <c r="AC3128" s="13"/>
      <c r="AD3128" s="13"/>
      <c r="AE3128" s="13"/>
      <c r="AF3128" s="13"/>
      <c r="AG3128" s="13"/>
      <c r="AH3128" s="13"/>
      <c r="AI3128" s="13"/>
      <c r="AJ3128" s="13"/>
      <c r="AK3128" s="13"/>
      <c r="AL3128" s="13"/>
      <c r="AM3128" s="13"/>
      <c r="AN3128" s="13"/>
      <c r="AO3128" s="13"/>
      <c r="AP3128" s="13"/>
      <c r="AQ3128" s="13"/>
      <c r="AR3128" s="13"/>
      <c r="AS3128" s="13"/>
    </row>
    <row r="3129" ht="14.25" customHeight="1">
      <c r="A3129" s="13" t="s">
        <v>36</v>
      </c>
      <c r="B3129" s="13" t="s">
        <v>37</v>
      </c>
      <c r="C3129" s="13" t="s">
        <v>1859</v>
      </c>
      <c r="D3129" s="13" t="s">
        <v>193</v>
      </c>
      <c r="F3129" s="13"/>
      <c r="G3129" s="13" t="s">
        <v>74</v>
      </c>
      <c r="H3129" s="13" t="s">
        <v>75</v>
      </c>
      <c r="I3129" s="13"/>
      <c r="J3129" s="13"/>
      <c r="K3129" s="15">
        <v>1.0</v>
      </c>
      <c r="L3129" s="15">
        <v>1.0</v>
      </c>
      <c r="M3129" s="16"/>
      <c r="N3129" s="16"/>
      <c r="O3129" s="17"/>
      <c r="P3129" s="17"/>
      <c r="Q3129" s="13">
        <f t="shared" si="3357"/>
        <v>0</v>
      </c>
      <c r="R3129" s="13"/>
      <c r="S3129" s="13"/>
      <c r="T3129" s="13">
        <f t="shared" ref="T3129:Y3129" si="3362">IF(ISBLANK(K3129)=TRUE,0,1)</f>
        <v>1</v>
      </c>
      <c r="U3129" s="13">
        <f t="shared" si="3362"/>
        <v>1</v>
      </c>
      <c r="V3129" s="13">
        <f t="shared" si="3362"/>
        <v>0</v>
      </c>
      <c r="W3129" s="13">
        <f t="shared" si="3362"/>
        <v>0</v>
      </c>
      <c r="X3129" s="13">
        <f t="shared" si="3362"/>
        <v>0</v>
      </c>
      <c r="Y3129" s="13">
        <f t="shared" si="3362"/>
        <v>0</v>
      </c>
      <c r="Z3129" s="13">
        <f t="shared" si="3023"/>
        <v>1</v>
      </c>
      <c r="AA3129" s="13"/>
      <c r="AB3129" s="13"/>
      <c r="AC3129" s="13"/>
      <c r="AD3129" s="13"/>
      <c r="AE3129" s="13"/>
      <c r="AF3129" s="13"/>
      <c r="AG3129" s="13"/>
      <c r="AH3129" s="13"/>
      <c r="AI3129" s="13"/>
      <c r="AJ3129" s="13"/>
      <c r="AK3129" s="13"/>
      <c r="AL3129" s="13"/>
      <c r="AM3129" s="13"/>
      <c r="AN3129" s="13"/>
      <c r="AO3129" s="13"/>
      <c r="AP3129" s="13"/>
      <c r="AQ3129" s="13"/>
      <c r="AR3129" s="13"/>
      <c r="AS3129" s="13"/>
    </row>
    <row r="3130" ht="14.25" customHeight="1">
      <c r="A3130" s="13" t="s">
        <v>29</v>
      </c>
      <c r="B3130" s="13" t="s">
        <v>32</v>
      </c>
      <c r="C3130" s="18" t="s">
        <v>109</v>
      </c>
      <c r="D3130" s="13" t="s">
        <v>1916</v>
      </c>
      <c r="F3130" s="13"/>
      <c r="G3130" s="13" t="s">
        <v>111</v>
      </c>
      <c r="H3130" s="13" t="s">
        <v>75</v>
      </c>
      <c r="I3130" s="13"/>
      <c r="J3130" s="13"/>
      <c r="K3130" s="15"/>
      <c r="L3130" s="15"/>
      <c r="M3130" s="16">
        <v>0.0</v>
      </c>
      <c r="N3130" s="16">
        <v>0.0</v>
      </c>
      <c r="O3130" s="17">
        <v>0.0</v>
      </c>
      <c r="P3130" s="17">
        <v>0.0</v>
      </c>
      <c r="Q3130" s="13"/>
      <c r="R3130" s="13"/>
      <c r="S3130" s="13"/>
      <c r="T3130" s="13">
        <f t="shared" ref="T3130:Y3130" si="3363">IF(ISBLANK(K3130)=TRUE,0,1)</f>
        <v>0</v>
      </c>
      <c r="U3130" s="13">
        <f t="shared" si="3363"/>
        <v>0</v>
      </c>
      <c r="V3130" s="13">
        <f t="shared" si="3363"/>
        <v>1</v>
      </c>
      <c r="W3130" s="13">
        <f t="shared" si="3363"/>
        <v>1</v>
      </c>
      <c r="X3130" s="13">
        <f t="shared" si="3363"/>
        <v>1</v>
      </c>
      <c r="Y3130" s="13">
        <f t="shared" si="3363"/>
        <v>1</v>
      </c>
      <c r="Z3130" s="13">
        <f t="shared" si="3023"/>
        <v>0</v>
      </c>
      <c r="AA3130" s="13"/>
      <c r="AB3130" s="13"/>
      <c r="AC3130" s="13"/>
      <c r="AD3130" s="13"/>
      <c r="AE3130" s="13"/>
      <c r="AF3130" s="13"/>
      <c r="AG3130" s="13"/>
      <c r="AH3130" s="13"/>
      <c r="AI3130" s="13"/>
      <c r="AJ3130" s="13"/>
      <c r="AK3130" s="13"/>
      <c r="AL3130" s="13"/>
      <c r="AM3130" s="13"/>
      <c r="AN3130" s="13"/>
      <c r="AO3130" s="13"/>
      <c r="AP3130" s="13"/>
      <c r="AQ3130" s="13"/>
      <c r="AR3130" s="13"/>
      <c r="AS3130" s="13"/>
    </row>
    <row r="3131" ht="14.25" customHeight="1">
      <c r="A3131" s="26" t="s">
        <v>29</v>
      </c>
      <c r="B3131" s="26" t="s">
        <v>32</v>
      </c>
      <c r="C3131" s="27" t="s">
        <v>109</v>
      </c>
      <c r="D3131" s="26" t="s">
        <v>195</v>
      </c>
      <c r="F3131" s="26"/>
      <c r="G3131" s="13" t="s">
        <v>111</v>
      </c>
      <c r="H3131" s="26" t="s">
        <v>75</v>
      </c>
      <c r="I3131" s="26"/>
      <c r="J3131" s="26"/>
      <c r="K3131" s="28"/>
      <c r="L3131" s="28"/>
      <c r="M3131" s="16">
        <v>0.0</v>
      </c>
      <c r="N3131" s="16">
        <v>0.0</v>
      </c>
      <c r="O3131" s="17">
        <v>0.0</v>
      </c>
      <c r="P3131" s="17">
        <v>0.0</v>
      </c>
      <c r="Q3131" s="13"/>
      <c r="R3131" s="13"/>
      <c r="S3131" s="13"/>
      <c r="T3131" s="13">
        <f t="shared" ref="T3131:Y3131" si="3364">IF(ISBLANK(K3131)=TRUE,0,1)</f>
        <v>0</v>
      </c>
      <c r="U3131" s="13">
        <f t="shared" si="3364"/>
        <v>0</v>
      </c>
      <c r="V3131" s="13">
        <f t="shared" si="3364"/>
        <v>1</v>
      </c>
      <c r="W3131" s="13">
        <f t="shared" si="3364"/>
        <v>1</v>
      </c>
      <c r="X3131" s="13">
        <f t="shared" si="3364"/>
        <v>1</v>
      </c>
      <c r="Y3131" s="13">
        <f t="shared" si="3364"/>
        <v>1</v>
      </c>
      <c r="Z3131" s="13">
        <f t="shared" si="3023"/>
        <v>0</v>
      </c>
      <c r="AA3131" s="13"/>
      <c r="AB3131" s="13"/>
      <c r="AC3131" s="13"/>
      <c r="AD3131" s="13"/>
      <c r="AE3131" s="13"/>
      <c r="AF3131" s="13"/>
      <c r="AG3131" s="13"/>
      <c r="AH3131" s="13"/>
      <c r="AI3131" s="13"/>
      <c r="AJ3131" s="13"/>
      <c r="AK3131" s="13"/>
      <c r="AL3131" s="13"/>
      <c r="AM3131" s="13"/>
      <c r="AN3131" s="13"/>
      <c r="AO3131" s="13"/>
      <c r="AP3131" s="13"/>
      <c r="AQ3131" s="13"/>
      <c r="AR3131" s="13"/>
      <c r="AS3131" s="13"/>
    </row>
    <row r="3132" ht="14.25" customHeight="1">
      <c r="A3132" s="13" t="s">
        <v>29</v>
      </c>
      <c r="B3132" s="13" t="s">
        <v>32</v>
      </c>
      <c r="C3132" s="18" t="s">
        <v>109</v>
      </c>
      <c r="D3132" s="13" t="s">
        <v>1917</v>
      </c>
      <c r="F3132" s="13"/>
      <c r="G3132" s="13" t="s">
        <v>111</v>
      </c>
      <c r="H3132" s="13" t="s">
        <v>75</v>
      </c>
      <c r="I3132" s="13"/>
      <c r="J3132" s="13"/>
      <c r="K3132" s="15"/>
      <c r="L3132" s="15"/>
      <c r="M3132" s="16">
        <v>0.0</v>
      </c>
      <c r="N3132" s="16">
        <v>0.0</v>
      </c>
      <c r="O3132" s="17">
        <v>0.0</v>
      </c>
      <c r="P3132" s="17">
        <v>0.0</v>
      </c>
      <c r="Q3132" s="13"/>
      <c r="R3132" s="13"/>
      <c r="S3132" s="13"/>
      <c r="T3132" s="13">
        <f t="shared" ref="T3132:Y3132" si="3365">IF(ISBLANK(K3132)=TRUE,0,1)</f>
        <v>0</v>
      </c>
      <c r="U3132" s="13">
        <f t="shared" si="3365"/>
        <v>0</v>
      </c>
      <c r="V3132" s="13">
        <f t="shared" si="3365"/>
        <v>1</v>
      </c>
      <c r="W3132" s="13">
        <f t="shared" si="3365"/>
        <v>1</v>
      </c>
      <c r="X3132" s="13">
        <f t="shared" si="3365"/>
        <v>1</v>
      </c>
      <c r="Y3132" s="13">
        <f t="shared" si="3365"/>
        <v>1</v>
      </c>
      <c r="Z3132" s="13">
        <f t="shared" si="3023"/>
        <v>0</v>
      </c>
      <c r="AA3132" s="13"/>
      <c r="AB3132" s="13"/>
      <c r="AC3132" s="13"/>
      <c r="AD3132" s="13"/>
      <c r="AE3132" s="13"/>
      <c r="AF3132" s="13"/>
      <c r="AG3132" s="13"/>
      <c r="AH3132" s="13"/>
      <c r="AI3132" s="13"/>
      <c r="AJ3132" s="13"/>
      <c r="AK3132" s="13"/>
      <c r="AL3132" s="13"/>
      <c r="AM3132" s="13"/>
      <c r="AN3132" s="13"/>
      <c r="AO3132" s="13"/>
      <c r="AP3132" s="13"/>
      <c r="AQ3132" s="13"/>
      <c r="AR3132" s="13"/>
      <c r="AS3132" s="13"/>
    </row>
    <row r="3133" ht="14.25" customHeight="1">
      <c r="A3133" s="26" t="s">
        <v>29</v>
      </c>
      <c r="B3133" s="26" t="s">
        <v>32</v>
      </c>
      <c r="C3133" s="27" t="s">
        <v>109</v>
      </c>
      <c r="D3133" s="26" t="s">
        <v>196</v>
      </c>
      <c r="F3133" s="26"/>
      <c r="G3133" s="13" t="s">
        <v>111</v>
      </c>
      <c r="H3133" s="26" t="s">
        <v>75</v>
      </c>
      <c r="I3133" s="26"/>
      <c r="J3133" s="26"/>
      <c r="K3133" s="28"/>
      <c r="L3133" s="28"/>
      <c r="M3133" s="16">
        <v>0.0</v>
      </c>
      <c r="N3133" s="16">
        <v>0.0</v>
      </c>
      <c r="O3133" s="17">
        <v>0.0</v>
      </c>
      <c r="P3133" s="17">
        <v>0.0</v>
      </c>
      <c r="Q3133" s="13"/>
      <c r="R3133" s="13"/>
      <c r="S3133" s="13"/>
      <c r="T3133" s="13">
        <f t="shared" ref="T3133:Y3133" si="3366">IF(ISBLANK(K3133)=TRUE,0,1)</f>
        <v>0</v>
      </c>
      <c r="U3133" s="13">
        <f t="shared" si="3366"/>
        <v>0</v>
      </c>
      <c r="V3133" s="13">
        <f t="shared" si="3366"/>
        <v>1</v>
      </c>
      <c r="W3133" s="13">
        <f t="shared" si="3366"/>
        <v>1</v>
      </c>
      <c r="X3133" s="13">
        <f t="shared" si="3366"/>
        <v>1</v>
      </c>
      <c r="Y3133" s="13">
        <f t="shared" si="3366"/>
        <v>1</v>
      </c>
      <c r="Z3133" s="13">
        <f t="shared" si="3023"/>
        <v>0</v>
      </c>
      <c r="AA3133" s="13"/>
      <c r="AB3133" s="13"/>
      <c r="AC3133" s="13"/>
      <c r="AD3133" s="13"/>
      <c r="AE3133" s="13"/>
      <c r="AF3133" s="13"/>
      <c r="AG3133" s="13"/>
      <c r="AH3133" s="13"/>
      <c r="AI3133" s="13"/>
      <c r="AJ3133" s="13"/>
      <c r="AK3133" s="13"/>
      <c r="AL3133" s="13"/>
      <c r="AM3133" s="13"/>
      <c r="AN3133" s="13"/>
      <c r="AO3133" s="13"/>
      <c r="AP3133" s="13"/>
      <c r="AQ3133" s="13"/>
      <c r="AR3133" s="13"/>
      <c r="AS3133" s="13"/>
    </row>
    <row r="3134" ht="14.25" customHeight="1">
      <c r="A3134" s="13" t="s">
        <v>29</v>
      </c>
      <c r="B3134" s="13" t="s">
        <v>32</v>
      </c>
      <c r="C3134" s="18" t="s">
        <v>109</v>
      </c>
      <c r="D3134" s="13" t="s">
        <v>1918</v>
      </c>
      <c r="F3134" s="13"/>
      <c r="G3134" s="13" t="s">
        <v>111</v>
      </c>
      <c r="H3134" s="13" t="s">
        <v>75</v>
      </c>
      <c r="I3134" s="13"/>
      <c r="J3134" s="13"/>
      <c r="K3134" s="15"/>
      <c r="L3134" s="15"/>
      <c r="M3134" s="16">
        <v>0.0</v>
      </c>
      <c r="N3134" s="16">
        <v>0.0</v>
      </c>
      <c r="O3134" s="17">
        <v>0.0</v>
      </c>
      <c r="P3134" s="17">
        <v>0.0</v>
      </c>
      <c r="Q3134" s="13"/>
      <c r="R3134" s="13"/>
      <c r="S3134" s="13"/>
      <c r="T3134" s="13">
        <f t="shared" ref="T3134:Y3134" si="3367">IF(ISBLANK(K3134)=TRUE,0,1)</f>
        <v>0</v>
      </c>
      <c r="U3134" s="13">
        <f t="shared" si="3367"/>
        <v>0</v>
      </c>
      <c r="V3134" s="13">
        <f t="shared" si="3367"/>
        <v>1</v>
      </c>
      <c r="W3134" s="13">
        <f t="shared" si="3367"/>
        <v>1</v>
      </c>
      <c r="X3134" s="13">
        <f t="shared" si="3367"/>
        <v>1</v>
      </c>
      <c r="Y3134" s="13">
        <f t="shared" si="3367"/>
        <v>1</v>
      </c>
      <c r="Z3134" s="13">
        <f t="shared" si="3023"/>
        <v>0</v>
      </c>
      <c r="AA3134" s="13"/>
      <c r="AB3134" s="13"/>
      <c r="AC3134" s="13"/>
      <c r="AD3134" s="13"/>
      <c r="AE3134" s="13"/>
      <c r="AF3134" s="13"/>
      <c r="AG3134" s="13"/>
      <c r="AH3134" s="13"/>
      <c r="AI3134" s="13"/>
      <c r="AJ3134" s="13"/>
      <c r="AK3134" s="13"/>
      <c r="AL3134" s="13"/>
      <c r="AM3134" s="13"/>
      <c r="AN3134" s="13"/>
      <c r="AO3134" s="13"/>
      <c r="AP3134" s="13"/>
      <c r="AQ3134" s="13"/>
      <c r="AR3134" s="13"/>
      <c r="AS3134" s="13"/>
    </row>
    <row r="3135" ht="14.25" customHeight="1">
      <c r="A3135" s="26" t="s">
        <v>29</v>
      </c>
      <c r="B3135" s="26" t="s">
        <v>32</v>
      </c>
      <c r="C3135" s="27" t="s">
        <v>109</v>
      </c>
      <c r="D3135" s="26" t="s">
        <v>197</v>
      </c>
      <c r="F3135" s="26"/>
      <c r="G3135" s="13" t="s">
        <v>111</v>
      </c>
      <c r="H3135" s="26" t="s">
        <v>75</v>
      </c>
      <c r="I3135" s="26"/>
      <c r="J3135" s="26"/>
      <c r="K3135" s="28"/>
      <c r="L3135" s="28"/>
      <c r="M3135" s="16">
        <v>0.0</v>
      </c>
      <c r="N3135" s="16">
        <v>0.0</v>
      </c>
      <c r="O3135" s="17">
        <v>0.0</v>
      </c>
      <c r="P3135" s="17">
        <v>0.0</v>
      </c>
      <c r="Q3135" s="13"/>
      <c r="R3135" s="13"/>
      <c r="S3135" s="13"/>
      <c r="T3135" s="13">
        <f t="shared" ref="T3135:Y3135" si="3368">IF(ISBLANK(K3135)=TRUE,0,1)</f>
        <v>0</v>
      </c>
      <c r="U3135" s="13">
        <f t="shared" si="3368"/>
        <v>0</v>
      </c>
      <c r="V3135" s="13">
        <f t="shared" si="3368"/>
        <v>1</v>
      </c>
      <c r="W3135" s="13">
        <f t="shared" si="3368"/>
        <v>1</v>
      </c>
      <c r="X3135" s="13">
        <f t="shared" si="3368"/>
        <v>1</v>
      </c>
      <c r="Y3135" s="13">
        <f t="shared" si="3368"/>
        <v>1</v>
      </c>
      <c r="Z3135" s="13">
        <f t="shared" si="3023"/>
        <v>0</v>
      </c>
      <c r="AA3135" s="13"/>
      <c r="AB3135" s="13"/>
      <c r="AC3135" s="13"/>
      <c r="AD3135" s="13"/>
      <c r="AE3135" s="13"/>
      <c r="AF3135" s="13"/>
      <c r="AG3135" s="13"/>
      <c r="AH3135" s="13"/>
      <c r="AI3135" s="13"/>
      <c r="AJ3135" s="13"/>
      <c r="AK3135" s="13"/>
      <c r="AL3135" s="13"/>
      <c r="AM3135" s="13"/>
      <c r="AN3135" s="13"/>
      <c r="AO3135" s="13"/>
      <c r="AP3135" s="13"/>
      <c r="AQ3135" s="13"/>
      <c r="AR3135" s="13"/>
      <c r="AS3135" s="13"/>
    </row>
    <row r="3136" ht="14.25" customHeight="1">
      <c r="A3136" s="13" t="s">
        <v>29</v>
      </c>
      <c r="B3136" s="13" t="s">
        <v>32</v>
      </c>
      <c r="C3136" s="18" t="s">
        <v>109</v>
      </c>
      <c r="D3136" s="13" t="s">
        <v>1919</v>
      </c>
      <c r="F3136" s="13"/>
      <c r="G3136" s="13" t="s">
        <v>111</v>
      </c>
      <c r="H3136" s="13" t="s">
        <v>75</v>
      </c>
      <c r="I3136" s="13"/>
      <c r="J3136" s="13"/>
      <c r="K3136" s="15"/>
      <c r="L3136" s="15"/>
      <c r="M3136" s="16">
        <v>0.0</v>
      </c>
      <c r="N3136" s="16">
        <v>0.0</v>
      </c>
      <c r="O3136" s="17">
        <v>0.0</v>
      </c>
      <c r="P3136" s="17">
        <v>0.0</v>
      </c>
      <c r="Q3136" s="13"/>
      <c r="R3136" s="13"/>
      <c r="S3136" s="13"/>
      <c r="T3136" s="13">
        <f t="shared" ref="T3136:Y3136" si="3369">IF(ISBLANK(K3136)=TRUE,0,1)</f>
        <v>0</v>
      </c>
      <c r="U3136" s="13">
        <f t="shared" si="3369"/>
        <v>0</v>
      </c>
      <c r="V3136" s="13">
        <f t="shared" si="3369"/>
        <v>1</v>
      </c>
      <c r="W3136" s="13">
        <f t="shared" si="3369"/>
        <v>1</v>
      </c>
      <c r="X3136" s="13">
        <f t="shared" si="3369"/>
        <v>1</v>
      </c>
      <c r="Y3136" s="13">
        <f t="shared" si="3369"/>
        <v>1</v>
      </c>
      <c r="Z3136" s="13">
        <f t="shared" si="3023"/>
        <v>0</v>
      </c>
      <c r="AA3136" s="13"/>
      <c r="AB3136" s="13"/>
      <c r="AC3136" s="13"/>
      <c r="AD3136" s="13"/>
      <c r="AE3136" s="13"/>
      <c r="AF3136" s="13"/>
      <c r="AG3136" s="13"/>
      <c r="AH3136" s="13"/>
      <c r="AI3136" s="13"/>
      <c r="AJ3136" s="13"/>
      <c r="AK3136" s="13"/>
      <c r="AL3136" s="13"/>
      <c r="AM3136" s="13"/>
      <c r="AN3136" s="13"/>
      <c r="AO3136" s="13"/>
      <c r="AP3136" s="13"/>
      <c r="AQ3136" s="13"/>
      <c r="AR3136" s="13"/>
      <c r="AS3136" s="13"/>
    </row>
    <row r="3137" ht="14.25" customHeight="1">
      <c r="A3137" s="26" t="s">
        <v>29</v>
      </c>
      <c r="B3137" s="26" t="s">
        <v>32</v>
      </c>
      <c r="C3137" s="27" t="s">
        <v>109</v>
      </c>
      <c r="D3137" s="26" t="s">
        <v>433</v>
      </c>
      <c r="F3137" s="26"/>
      <c r="G3137" s="13" t="s">
        <v>111</v>
      </c>
      <c r="H3137" s="26" t="s">
        <v>75</v>
      </c>
      <c r="I3137" s="26"/>
      <c r="J3137" s="26"/>
      <c r="K3137" s="28"/>
      <c r="L3137" s="28"/>
      <c r="M3137" s="16">
        <v>0.0</v>
      </c>
      <c r="N3137" s="16">
        <v>0.0</v>
      </c>
      <c r="O3137" s="17">
        <v>0.0</v>
      </c>
      <c r="P3137" s="17">
        <v>0.0</v>
      </c>
      <c r="Q3137" s="13"/>
      <c r="R3137" s="13"/>
      <c r="S3137" s="13"/>
      <c r="T3137" s="13">
        <f t="shared" ref="T3137:Y3137" si="3370">IF(ISBLANK(K3137)=TRUE,0,1)</f>
        <v>0</v>
      </c>
      <c r="U3137" s="13">
        <f t="shared" si="3370"/>
        <v>0</v>
      </c>
      <c r="V3137" s="13">
        <f t="shared" si="3370"/>
        <v>1</v>
      </c>
      <c r="W3137" s="13">
        <f t="shared" si="3370"/>
        <v>1</v>
      </c>
      <c r="X3137" s="13">
        <f t="shared" si="3370"/>
        <v>1</v>
      </c>
      <c r="Y3137" s="13">
        <f t="shared" si="3370"/>
        <v>1</v>
      </c>
      <c r="Z3137" s="13">
        <f t="shared" si="3023"/>
        <v>0</v>
      </c>
      <c r="AA3137" s="13"/>
      <c r="AB3137" s="13"/>
      <c r="AC3137" s="13"/>
      <c r="AD3137" s="13"/>
      <c r="AE3137" s="13"/>
      <c r="AF3137" s="13"/>
      <c r="AG3137" s="13"/>
      <c r="AH3137" s="13"/>
      <c r="AI3137" s="13"/>
      <c r="AJ3137" s="13"/>
      <c r="AK3137" s="13"/>
      <c r="AL3137" s="13"/>
      <c r="AM3137" s="13"/>
      <c r="AN3137" s="13"/>
      <c r="AO3137" s="13"/>
      <c r="AP3137" s="13"/>
      <c r="AQ3137" s="13"/>
      <c r="AR3137" s="13"/>
      <c r="AS3137" s="13"/>
    </row>
    <row r="3138" ht="14.25" customHeight="1">
      <c r="A3138" s="13" t="s">
        <v>46</v>
      </c>
      <c r="B3138" s="13" t="s">
        <v>47</v>
      </c>
      <c r="C3138" s="13" t="s">
        <v>1920</v>
      </c>
      <c r="D3138" s="13"/>
      <c r="E3138" s="13"/>
      <c r="F3138" s="13"/>
      <c r="G3138" s="13" t="s">
        <v>74</v>
      </c>
      <c r="H3138" s="13" t="s">
        <v>75</v>
      </c>
      <c r="I3138" s="13"/>
      <c r="J3138" s="13"/>
      <c r="K3138" s="15"/>
      <c r="L3138" s="15"/>
      <c r="M3138" s="16"/>
      <c r="N3138" s="16"/>
      <c r="O3138" s="17">
        <v>0.0</v>
      </c>
      <c r="P3138" s="17">
        <v>0.0</v>
      </c>
      <c r="Q3138" s="13">
        <f t="shared" ref="Q3138:Q3142" si="3372">K3137+L3137+M3137+N3137+O3137+P3137/6</f>
        <v>0</v>
      </c>
      <c r="R3138" s="14">
        <v>44973.0</v>
      </c>
      <c r="S3138" s="13"/>
      <c r="T3138" s="13">
        <f t="shared" ref="T3138:Y3138" si="3371">IF(ISBLANK(K3138)=TRUE,0,1)</f>
        <v>0</v>
      </c>
      <c r="U3138" s="13">
        <f t="shared" si="3371"/>
        <v>0</v>
      </c>
      <c r="V3138" s="13">
        <f t="shared" si="3371"/>
        <v>0</v>
      </c>
      <c r="W3138" s="13">
        <f t="shared" si="3371"/>
        <v>0</v>
      </c>
      <c r="X3138" s="13">
        <f t="shared" si="3371"/>
        <v>1</v>
      </c>
      <c r="Y3138" s="13">
        <f t="shared" si="3371"/>
        <v>1</v>
      </c>
      <c r="Z3138" s="13">
        <f t="shared" si="3023"/>
        <v>0</v>
      </c>
      <c r="AA3138" s="13"/>
      <c r="AB3138" s="13"/>
      <c r="AC3138" s="13"/>
      <c r="AD3138" s="13"/>
      <c r="AE3138" s="13"/>
      <c r="AF3138" s="13"/>
      <c r="AG3138" s="13"/>
      <c r="AH3138" s="13"/>
      <c r="AI3138" s="13"/>
      <c r="AJ3138" s="13"/>
      <c r="AK3138" s="13"/>
      <c r="AL3138" s="13"/>
      <c r="AM3138" s="13"/>
      <c r="AN3138" s="13"/>
      <c r="AO3138" s="13"/>
      <c r="AP3138" s="13"/>
      <c r="AQ3138" s="13"/>
      <c r="AR3138" s="13"/>
      <c r="AS3138" s="13"/>
    </row>
    <row r="3139" ht="14.25" customHeight="1">
      <c r="A3139" s="13" t="s">
        <v>46</v>
      </c>
      <c r="B3139" s="13" t="s">
        <v>47</v>
      </c>
      <c r="C3139" s="13" t="s">
        <v>1921</v>
      </c>
      <c r="D3139" s="13"/>
      <c r="E3139" s="13"/>
      <c r="F3139" s="13"/>
      <c r="G3139" s="13" t="s">
        <v>74</v>
      </c>
      <c r="H3139" s="13" t="s">
        <v>75</v>
      </c>
      <c r="I3139" s="13"/>
      <c r="J3139" s="13"/>
      <c r="K3139" s="15">
        <v>0.0</v>
      </c>
      <c r="L3139" s="15">
        <v>0.0</v>
      </c>
      <c r="M3139" s="16"/>
      <c r="N3139" s="16"/>
      <c r="O3139" s="17"/>
      <c r="P3139" s="17"/>
      <c r="Q3139" s="13">
        <f t="shared" si="3372"/>
        <v>0</v>
      </c>
      <c r="R3139" s="13"/>
      <c r="S3139" s="13"/>
      <c r="T3139" s="13">
        <f t="shared" ref="T3139:Y3139" si="3373">IF(ISBLANK(K3139)=TRUE,0,1)</f>
        <v>1</v>
      </c>
      <c r="U3139" s="13">
        <f t="shared" si="3373"/>
        <v>1</v>
      </c>
      <c r="V3139" s="13">
        <f t="shared" si="3373"/>
        <v>0</v>
      </c>
      <c r="W3139" s="13">
        <f t="shared" si="3373"/>
        <v>0</v>
      </c>
      <c r="X3139" s="13">
        <f t="shared" si="3373"/>
        <v>0</v>
      </c>
      <c r="Y3139" s="13">
        <f t="shared" si="3373"/>
        <v>0</v>
      </c>
      <c r="Z3139" s="13">
        <f t="shared" si="3023"/>
        <v>0</v>
      </c>
      <c r="AA3139" s="13"/>
      <c r="AB3139" s="13"/>
      <c r="AC3139" s="13"/>
      <c r="AD3139" s="13"/>
      <c r="AE3139" s="13"/>
      <c r="AF3139" s="13"/>
      <c r="AG3139" s="13"/>
      <c r="AH3139" s="13"/>
      <c r="AI3139" s="13"/>
      <c r="AJ3139" s="13"/>
      <c r="AK3139" s="13"/>
      <c r="AL3139" s="13"/>
      <c r="AM3139" s="13"/>
      <c r="AN3139" s="13"/>
      <c r="AO3139" s="13"/>
      <c r="AP3139" s="13"/>
      <c r="AQ3139" s="13"/>
      <c r="AR3139" s="13"/>
      <c r="AS3139" s="13"/>
    </row>
    <row r="3140" ht="14.25" customHeight="1">
      <c r="A3140" s="13" t="s">
        <v>46</v>
      </c>
      <c r="B3140" s="13" t="s">
        <v>47</v>
      </c>
      <c r="C3140" s="13" t="s">
        <v>1922</v>
      </c>
      <c r="D3140" s="13"/>
      <c r="E3140" s="13"/>
      <c r="F3140" s="13"/>
      <c r="G3140" s="13" t="s">
        <v>74</v>
      </c>
      <c r="H3140" s="13" t="s">
        <v>75</v>
      </c>
      <c r="I3140" s="13"/>
      <c r="J3140" s="13"/>
      <c r="K3140" s="15">
        <v>0.0</v>
      </c>
      <c r="L3140" s="15">
        <v>0.0</v>
      </c>
      <c r="M3140" s="16"/>
      <c r="N3140" s="16"/>
      <c r="O3140" s="17"/>
      <c r="P3140" s="17"/>
      <c r="Q3140" s="13">
        <f t="shared" si="3372"/>
        <v>0</v>
      </c>
      <c r="R3140" s="13"/>
      <c r="S3140" s="13"/>
      <c r="T3140" s="13">
        <f t="shared" ref="T3140:Y3140" si="3374">IF(ISBLANK(K3140)=TRUE,0,1)</f>
        <v>1</v>
      </c>
      <c r="U3140" s="13">
        <f t="shared" si="3374"/>
        <v>1</v>
      </c>
      <c r="V3140" s="13">
        <f t="shared" si="3374"/>
        <v>0</v>
      </c>
      <c r="W3140" s="13">
        <f t="shared" si="3374"/>
        <v>0</v>
      </c>
      <c r="X3140" s="13">
        <f t="shared" si="3374"/>
        <v>0</v>
      </c>
      <c r="Y3140" s="13">
        <f t="shared" si="3374"/>
        <v>0</v>
      </c>
      <c r="Z3140" s="13">
        <f t="shared" si="3023"/>
        <v>0</v>
      </c>
      <c r="AA3140" s="13"/>
      <c r="AB3140" s="13"/>
      <c r="AC3140" s="13"/>
      <c r="AD3140" s="13"/>
      <c r="AE3140" s="13"/>
      <c r="AF3140" s="13"/>
      <c r="AG3140" s="13"/>
      <c r="AH3140" s="13"/>
      <c r="AI3140" s="13"/>
      <c r="AJ3140" s="13"/>
      <c r="AK3140" s="13"/>
      <c r="AL3140" s="13"/>
      <c r="AM3140" s="13"/>
      <c r="AN3140" s="13"/>
      <c r="AO3140" s="13"/>
      <c r="AP3140" s="13"/>
      <c r="AQ3140" s="13"/>
      <c r="AR3140" s="13"/>
      <c r="AS3140" s="13"/>
    </row>
    <row r="3141" ht="14.25" customHeight="1">
      <c r="A3141" s="13" t="s">
        <v>46</v>
      </c>
      <c r="B3141" s="13" t="s">
        <v>47</v>
      </c>
      <c r="C3141" s="13" t="s">
        <v>1923</v>
      </c>
      <c r="D3141" s="13"/>
      <c r="E3141" s="13"/>
      <c r="F3141" s="13"/>
      <c r="G3141" s="13" t="s">
        <v>74</v>
      </c>
      <c r="H3141" s="13" t="s">
        <v>75</v>
      </c>
      <c r="I3141" s="13"/>
      <c r="J3141" s="13"/>
      <c r="K3141" s="15">
        <v>0.0</v>
      </c>
      <c r="L3141" s="15">
        <v>0.0</v>
      </c>
      <c r="M3141" s="16"/>
      <c r="N3141" s="16"/>
      <c r="O3141" s="17"/>
      <c r="P3141" s="17"/>
      <c r="Q3141" s="13">
        <f t="shared" si="3372"/>
        <v>0</v>
      </c>
      <c r="R3141" s="13"/>
      <c r="S3141" s="13"/>
      <c r="T3141" s="13">
        <f t="shared" ref="T3141:Y3141" si="3375">IF(ISBLANK(K3141)=TRUE,0,1)</f>
        <v>1</v>
      </c>
      <c r="U3141" s="13">
        <f t="shared" si="3375"/>
        <v>1</v>
      </c>
      <c r="V3141" s="13">
        <f t="shared" si="3375"/>
        <v>0</v>
      </c>
      <c r="W3141" s="13">
        <f t="shared" si="3375"/>
        <v>0</v>
      </c>
      <c r="X3141" s="13">
        <f t="shared" si="3375"/>
        <v>0</v>
      </c>
      <c r="Y3141" s="13">
        <f t="shared" si="3375"/>
        <v>0</v>
      </c>
      <c r="Z3141" s="13">
        <f t="shared" si="3023"/>
        <v>0</v>
      </c>
      <c r="AA3141" s="13"/>
      <c r="AB3141" s="13"/>
      <c r="AC3141" s="13"/>
      <c r="AD3141" s="13"/>
      <c r="AE3141" s="13"/>
      <c r="AF3141" s="13"/>
      <c r="AG3141" s="13"/>
      <c r="AH3141" s="13"/>
      <c r="AI3141" s="13"/>
      <c r="AJ3141" s="13"/>
      <c r="AK3141" s="13"/>
      <c r="AL3141" s="13"/>
      <c r="AM3141" s="13"/>
      <c r="AN3141" s="13"/>
      <c r="AO3141" s="13"/>
      <c r="AP3141" s="13"/>
      <c r="AQ3141" s="13"/>
      <c r="AR3141" s="13"/>
      <c r="AS3141" s="13"/>
    </row>
    <row r="3142" ht="14.25" customHeight="1">
      <c r="A3142" s="13" t="s">
        <v>46</v>
      </c>
      <c r="B3142" s="13" t="s">
        <v>47</v>
      </c>
      <c r="C3142" s="13" t="s">
        <v>1923</v>
      </c>
      <c r="D3142" s="13" t="s">
        <v>174</v>
      </c>
      <c r="E3142" s="13"/>
      <c r="F3142" s="13"/>
      <c r="G3142" s="13" t="s">
        <v>74</v>
      </c>
      <c r="H3142" s="13" t="s">
        <v>75</v>
      </c>
      <c r="I3142" s="13"/>
      <c r="J3142" s="13"/>
      <c r="K3142" s="15">
        <v>0.0</v>
      </c>
      <c r="L3142" s="15">
        <v>0.0</v>
      </c>
      <c r="M3142" s="16"/>
      <c r="N3142" s="16"/>
      <c r="O3142" s="17"/>
      <c r="P3142" s="17"/>
      <c r="Q3142" s="13">
        <f t="shared" si="3372"/>
        <v>0</v>
      </c>
      <c r="R3142" s="13"/>
      <c r="S3142" s="13"/>
      <c r="T3142" s="13">
        <f t="shared" ref="T3142:Y3142" si="3376">IF(ISBLANK(K3142)=TRUE,0,1)</f>
        <v>1</v>
      </c>
      <c r="U3142" s="13">
        <f t="shared" si="3376"/>
        <v>1</v>
      </c>
      <c r="V3142" s="13">
        <f t="shared" si="3376"/>
        <v>0</v>
      </c>
      <c r="W3142" s="13">
        <f t="shared" si="3376"/>
        <v>0</v>
      </c>
      <c r="X3142" s="13">
        <f t="shared" si="3376"/>
        <v>0</v>
      </c>
      <c r="Y3142" s="13">
        <f t="shared" si="3376"/>
        <v>0</v>
      </c>
      <c r="Z3142" s="13">
        <f t="shared" si="3023"/>
        <v>0</v>
      </c>
      <c r="AA3142" s="13"/>
      <c r="AB3142" s="13"/>
      <c r="AC3142" s="13"/>
      <c r="AD3142" s="13"/>
      <c r="AE3142" s="13"/>
      <c r="AF3142" s="13"/>
      <c r="AG3142" s="13"/>
      <c r="AH3142" s="13"/>
      <c r="AI3142" s="13"/>
      <c r="AJ3142" s="13"/>
      <c r="AK3142" s="13"/>
      <c r="AL3142" s="13"/>
      <c r="AM3142" s="13"/>
      <c r="AN3142" s="13"/>
      <c r="AO3142" s="13"/>
      <c r="AP3142" s="13"/>
      <c r="AQ3142" s="13"/>
      <c r="AR3142" s="13"/>
      <c r="AS3142" s="13"/>
    </row>
    <row r="3143" ht="14.25" customHeight="1">
      <c r="A3143" s="13" t="s">
        <v>46</v>
      </c>
      <c r="B3143" s="13" t="s">
        <v>47</v>
      </c>
      <c r="C3143" s="13" t="s">
        <v>1924</v>
      </c>
      <c r="D3143" s="13"/>
      <c r="E3143" s="13"/>
      <c r="F3143" s="13"/>
      <c r="G3143" s="13" t="s">
        <v>74</v>
      </c>
      <c r="H3143" s="13" t="s">
        <v>75</v>
      </c>
      <c r="I3143" s="13"/>
      <c r="J3143" s="13"/>
      <c r="K3143" s="15">
        <v>0.0</v>
      </c>
      <c r="L3143" s="15">
        <v>0.0</v>
      </c>
      <c r="M3143" s="16"/>
      <c r="N3143" s="16"/>
      <c r="O3143" s="17"/>
      <c r="P3143" s="17"/>
      <c r="Q3143" s="13">
        <f>K3141+L3141+M3141+N3141+O3141+P3141/6</f>
        <v>0</v>
      </c>
      <c r="R3143" s="13"/>
      <c r="S3143" s="13"/>
      <c r="T3143" s="13">
        <f t="shared" ref="T3143:Y3143" si="3377">IF(ISBLANK(K3143)=TRUE,0,1)</f>
        <v>1</v>
      </c>
      <c r="U3143" s="13">
        <f t="shared" si="3377"/>
        <v>1</v>
      </c>
      <c r="V3143" s="13">
        <f t="shared" si="3377"/>
        <v>0</v>
      </c>
      <c r="W3143" s="13">
        <f t="shared" si="3377"/>
        <v>0</v>
      </c>
      <c r="X3143" s="13">
        <f t="shared" si="3377"/>
        <v>0</v>
      </c>
      <c r="Y3143" s="13">
        <f t="shared" si="3377"/>
        <v>0</v>
      </c>
      <c r="Z3143" s="13">
        <f t="shared" si="3023"/>
        <v>0</v>
      </c>
      <c r="AA3143" s="13"/>
      <c r="AB3143" s="13"/>
      <c r="AC3143" s="13"/>
      <c r="AD3143" s="13"/>
      <c r="AE3143" s="13"/>
      <c r="AF3143" s="13"/>
      <c r="AG3143" s="13"/>
      <c r="AH3143" s="13"/>
      <c r="AI3143" s="13"/>
      <c r="AJ3143" s="13"/>
      <c r="AK3143" s="13"/>
      <c r="AL3143" s="13"/>
      <c r="AM3143" s="13"/>
      <c r="AN3143" s="13"/>
      <c r="AO3143" s="13"/>
      <c r="AP3143" s="13"/>
      <c r="AQ3143" s="13"/>
      <c r="AR3143" s="13"/>
      <c r="AS3143" s="13"/>
    </row>
    <row r="3144" ht="14.25" customHeight="1">
      <c r="A3144" s="13" t="s">
        <v>46</v>
      </c>
      <c r="B3144" s="13" t="s">
        <v>47</v>
      </c>
      <c r="C3144" s="13" t="s">
        <v>1925</v>
      </c>
      <c r="D3144" s="13"/>
      <c r="E3144" s="13"/>
      <c r="F3144" s="13"/>
      <c r="G3144" s="13" t="s">
        <v>74</v>
      </c>
      <c r="H3144" s="13" t="s">
        <v>75</v>
      </c>
      <c r="I3144" s="13"/>
      <c r="J3144" s="13"/>
      <c r="K3144" s="15"/>
      <c r="L3144" s="15"/>
      <c r="M3144" s="16"/>
      <c r="N3144" s="16"/>
      <c r="O3144" s="17">
        <v>0.0</v>
      </c>
      <c r="P3144" s="17">
        <v>0.0</v>
      </c>
      <c r="Q3144" s="13"/>
      <c r="R3144" s="29">
        <v>45007.0</v>
      </c>
      <c r="S3144" s="13"/>
      <c r="T3144" s="13">
        <f t="shared" ref="T3144:Y3144" si="3378">IF(ISBLANK(K3144)=TRUE,0,1)</f>
        <v>0</v>
      </c>
      <c r="U3144" s="13">
        <f t="shared" si="3378"/>
        <v>0</v>
      </c>
      <c r="V3144" s="13">
        <f t="shared" si="3378"/>
        <v>0</v>
      </c>
      <c r="W3144" s="13">
        <f t="shared" si="3378"/>
        <v>0</v>
      </c>
      <c r="X3144" s="13">
        <f t="shared" si="3378"/>
        <v>1</v>
      </c>
      <c r="Y3144" s="13">
        <f t="shared" si="3378"/>
        <v>1</v>
      </c>
      <c r="Z3144" s="13">
        <f t="shared" si="3023"/>
        <v>0</v>
      </c>
      <c r="AA3144" s="13"/>
      <c r="AB3144" s="13"/>
      <c r="AC3144" s="13"/>
      <c r="AD3144" s="13"/>
      <c r="AE3144" s="13"/>
      <c r="AF3144" s="13"/>
      <c r="AG3144" s="13"/>
      <c r="AH3144" s="13"/>
      <c r="AI3144" s="13"/>
      <c r="AJ3144" s="13"/>
      <c r="AK3144" s="13"/>
      <c r="AL3144" s="13"/>
      <c r="AM3144" s="13"/>
      <c r="AN3144" s="13"/>
      <c r="AO3144" s="13"/>
      <c r="AP3144" s="13"/>
      <c r="AQ3144" s="13"/>
      <c r="AR3144" s="13"/>
      <c r="AS3144" s="13"/>
    </row>
    <row r="3145" ht="14.25" customHeight="1">
      <c r="A3145" s="13" t="s">
        <v>46</v>
      </c>
      <c r="B3145" s="13" t="s">
        <v>47</v>
      </c>
      <c r="C3145" s="13" t="s">
        <v>1926</v>
      </c>
      <c r="D3145" s="13"/>
      <c r="E3145" s="13"/>
      <c r="F3145" s="13"/>
      <c r="G3145" s="13" t="s">
        <v>74</v>
      </c>
      <c r="H3145" s="13" t="s">
        <v>75</v>
      </c>
      <c r="I3145" s="13"/>
      <c r="J3145" s="13"/>
      <c r="K3145" s="15"/>
      <c r="L3145" s="15"/>
      <c r="M3145" s="16"/>
      <c r="N3145" s="16"/>
      <c r="O3145" s="17">
        <v>0.0</v>
      </c>
      <c r="P3145" s="17">
        <v>0.0</v>
      </c>
      <c r="Q3145" s="13"/>
      <c r="R3145" s="29">
        <v>45007.0</v>
      </c>
      <c r="S3145" s="13"/>
      <c r="T3145" s="13">
        <f t="shared" ref="T3145:Y3145" si="3379">IF(ISBLANK(K3145)=TRUE,0,1)</f>
        <v>0</v>
      </c>
      <c r="U3145" s="13">
        <f t="shared" si="3379"/>
        <v>0</v>
      </c>
      <c r="V3145" s="13">
        <f t="shared" si="3379"/>
        <v>0</v>
      </c>
      <c r="W3145" s="13">
        <f t="shared" si="3379"/>
        <v>0</v>
      </c>
      <c r="X3145" s="13">
        <f t="shared" si="3379"/>
        <v>1</v>
      </c>
      <c r="Y3145" s="13">
        <f t="shared" si="3379"/>
        <v>1</v>
      </c>
      <c r="Z3145" s="13">
        <f t="shared" si="3023"/>
        <v>0</v>
      </c>
      <c r="AA3145" s="13"/>
      <c r="AB3145" s="13"/>
      <c r="AC3145" s="13"/>
      <c r="AD3145" s="13"/>
      <c r="AE3145" s="13"/>
      <c r="AF3145" s="13"/>
      <c r="AG3145" s="13"/>
      <c r="AH3145" s="13"/>
      <c r="AI3145" s="13"/>
      <c r="AJ3145" s="13"/>
      <c r="AK3145" s="13"/>
      <c r="AL3145" s="13"/>
      <c r="AM3145" s="13"/>
      <c r="AN3145" s="13"/>
      <c r="AO3145" s="13"/>
      <c r="AP3145" s="13"/>
      <c r="AQ3145" s="13"/>
      <c r="AR3145" s="13"/>
      <c r="AS3145" s="13"/>
    </row>
    <row r="3146" ht="14.25" customHeight="1">
      <c r="A3146" s="13" t="s">
        <v>46</v>
      </c>
      <c r="B3146" s="13" t="s">
        <v>47</v>
      </c>
      <c r="C3146" s="13" t="s">
        <v>1927</v>
      </c>
      <c r="D3146" s="13"/>
      <c r="E3146" s="13"/>
      <c r="F3146" s="13"/>
      <c r="G3146" s="13" t="s">
        <v>111</v>
      </c>
      <c r="H3146" s="13" t="s">
        <v>75</v>
      </c>
      <c r="I3146" s="13"/>
      <c r="J3146" s="13"/>
      <c r="K3146" s="15">
        <v>0.0</v>
      </c>
      <c r="L3146" s="15">
        <v>0.0</v>
      </c>
      <c r="M3146" s="16"/>
      <c r="N3146" s="16"/>
      <c r="O3146" s="17"/>
      <c r="P3146" s="17"/>
      <c r="Q3146" s="13">
        <f t="shared" ref="Q3146:Q3147" si="3381">K3145+L3145+M3145+N3145+O3145+P3145/6</f>
        <v>0</v>
      </c>
      <c r="R3146" s="13"/>
      <c r="S3146" s="13"/>
      <c r="T3146" s="13">
        <f t="shared" ref="T3146:Y3146" si="3380">IF(ISBLANK(K3146)=TRUE,0,1)</f>
        <v>1</v>
      </c>
      <c r="U3146" s="13">
        <f t="shared" si="3380"/>
        <v>1</v>
      </c>
      <c r="V3146" s="13">
        <f t="shared" si="3380"/>
        <v>0</v>
      </c>
      <c r="W3146" s="13">
        <f t="shared" si="3380"/>
        <v>0</v>
      </c>
      <c r="X3146" s="13">
        <f t="shared" si="3380"/>
        <v>0</v>
      </c>
      <c r="Y3146" s="13">
        <f t="shared" si="3380"/>
        <v>0</v>
      </c>
      <c r="Z3146" s="13">
        <f t="shared" si="3023"/>
        <v>0</v>
      </c>
      <c r="AA3146" s="13"/>
      <c r="AB3146" s="13"/>
      <c r="AC3146" s="13"/>
      <c r="AD3146" s="13"/>
      <c r="AE3146" s="13"/>
      <c r="AF3146" s="13"/>
      <c r="AG3146" s="13"/>
      <c r="AH3146" s="13"/>
      <c r="AI3146" s="13"/>
      <c r="AJ3146" s="13"/>
      <c r="AK3146" s="13"/>
      <c r="AL3146" s="13"/>
      <c r="AM3146" s="13"/>
      <c r="AN3146" s="13"/>
      <c r="AO3146" s="13"/>
      <c r="AP3146" s="13"/>
      <c r="AQ3146" s="13"/>
      <c r="AR3146" s="13"/>
      <c r="AS3146" s="13"/>
    </row>
    <row r="3147" ht="14.25" customHeight="1">
      <c r="A3147" s="13" t="s">
        <v>46</v>
      </c>
      <c r="B3147" s="13" t="s">
        <v>47</v>
      </c>
      <c r="C3147" s="13" t="s">
        <v>1927</v>
      </c>
      <c r="D3147" s="13" t="s">
        <v>174</v>
      </c>
      <c r="E3147" s="13"/>
      <c r="F3147" s="13"/>
      <c r="G3147" s="13" t="s">
        <v>111</v>
      </c>
      <c r="H3147" s="13" t="s">
        <v>75</v>
      </c>
      <c r="I3147" s="13"/>
      <c r="J3147" s="13"/>
      <c r="K3147" s="15">
        <v>0.0</v>
      </c>
      <c r="L3147" s="15">
        <v>0.0</v>
      </c>
      <c r="M3147" s="16"/>
      <c r="N3147" s="16"/>
      <c r="O3147" s="17"/>
      <c r="P3147" s="17"/>
      <c r="Q3147" s="13">
        <f t="shared" si="3381"/>
        <v>0</v>
      </c>
      <c r="R3147" s="13"/>
      <c r="S3147" s="13"/>
      <c r="T3147" s="13">
        <f t="shared" ref="T3147:Y3147" si="3382">IF(ISBLANK(K3147)=TRUE,0,1)</f>
        <v>1</v>
      </c>
      <c r="U3147" s="13">
        <f t="shared" si="3382"/>
        <v>1</v>
      </c>
      <c r="V3147" s="13">
        <f t="shared" si="3382"/>
        <v>0</v>
      </c>
      <c r="W3147" s="13">
        <f t="shared" si="3382"/>
        <v>0</v>
      </c>
      <c r="X3147" s="13">
        <f t="shared" si="3382"/>
        <v>0</v>
      </c>
      <c r="Y3147" s="13">
        <f t="shared" si="3382"/>
        <v>0</v>
      </c>
      <c r="Z3147" s="13">
        <f t="shared" si="3023"/>
        <v>0</v>
      </c>
      <c r="AA3147" s="13"/>
      <c r="AB3147" s="13"/>
      <c r="AC3147" s="13"/>
      <c r="AD3147" s="13"/>
      <c r="AE3147" s="13"/>
      <c r="AF3147" s="13"/>
      <c r="AG3147" s="13"/>
      <c r="AH3147" s="13"/>
      <c r="AI3147" s="13"/>
      <c r="AJ3147" s="13"/>
      <c r="AK3147" s="13"/>
      <c r="AL3147" s="13"/>
      <c r="AM3147" s="13"/>
      <c r="AN3147" s="13"/>
      <c r="AO3147" s="13"/>
      <c r="AP3147" s="13"/>
      <c r="AQ3147" s="13"/>
      <c r="AR3147" s="13"/>
      <c r="AS3147" s="13"/>
    </row>
    <row r="3148" ht="14.25" customHeight="1">
      <c r="A3148" s="13" t="s">
        <v>46</v>
      </c>
      <c r="B3148" s="13" t="s">
        <v>47</v>
      </c>
      <c r="C3148" s="13" t="s">
        <v>1928</v>
      </c>
      <c r="D3148" s="13"/>
      <c r="E3148" s="13"/>
      <c r="F3148" s="13"/>
      <c r="G3148" s="13" t="s">
        <v>111</v>
      </c>
      <c r="H3148" s="13" t="s">
        <v>75</v>
      </c>
      <c r="I3148" s="13"/>
      <c r="J3148" s="13"/>
      <c r="K3148" s="15">
        <v>0.0</v>
      </c>
      <c r="L3148" s="15">
        <v>0.0</v>
      </c>
      <c r="M3148" s="16"/>
      <c r="N3148" s="16"/>
      <c r="O3148" s="17"/>
      <c r="P3148" s="17"/>
      <c r="Q3148" s="13">
        <f t="shared" ref="Q3148:Q3151" si="3384">K3146+L3146+M3146+N3146+O3146+P3146/6</f>
        <v>0</v>
      </c>
      <c r="R3148" s="13"/>
      <c r="S3148" s="13"/>
      <c r="T3148" s="13">
        <f t="shared" ref="T3148:Y3148" si="3383">IF(ISBLANK(K3148)=TRUE,0,1)</f>
        <v>1</v>
      </c>
      <c r="U3148" s="13">
        <f t="shared" si="3383"/>
        <v>1</v>
      </c>
      <c r="V3148" s="13">
        <f t="shared" si="3383"/>
        <v>0</v>
      </c>
      <c r="W3148" s="13">
        <f t="shared" si="3383"/>
        <v>0</v>
      </c>
      <c r="X3148" s="13">
        <f t="shared" si="3383"/>
        <v>0</v>
      </c>
      <c r="Y3148" s="13">
        <f t="shared" si="3383"/>
        <v>0</v>
      </c>
      <c r="Z3148" s="13">
        <f t="shared" si="3023"/>
        <v>0</v>
      </c>
      <c r="AA3148" s="13"/>
      <c r="AB3148" s="13"/>
      <c r="AC3148" s="13"/>
      <c r="AD3148" s="13"/>
      <c r="AE3148" s="13"/>
      <c r="AF3148" s="13"/>
      <c r="AG3148" s="13"/>
      <c r="AH3148" s="13"/>
      <c r="AI3148" s="13"/>
      <c r="AJ3148" s="13"/>
      <c r="AK3148" s="13"/>
      <c r="AL3148" s="13"/>
      <c r="AM3148" s="13"/>
      <c r="AN3148" s="13"/>
      <c r="AO3148" s="13"/>
      <c r="AP3148" s="13"/>
      <c r="AQ3148" s="13"/>
      <c r="AR3148" s="13"/>
      <c r="AS3148" s="13"/>
    </row>
    <row r="3149" ht="14.25" customHeight="1">
      <c r="A3149" s="13" t="s">
        <v>46</v>
      </c>
      <c r="B3149" s="13" t="s">
        <v>47</v>
      </c>
      <c r="C3149" s="13" t="s">
        <v>1928</v>
      </c>
      <c r="D3149" s="13" t="s">
        <v>174</v>
      </c>
      <c r="E3149" s="13"/>
      <c r="F3149" s="13"/>
      <c r="G3149" s="13" t="s">
        <v>111</v>
      </c>
      <c r="H3149" s="13" t="s">
        <v>75</v>
      </c>
      <c r="I3149" s="13"/>
      <c r="J3149" s="13"/>
      <c r="K3149" s="15">
        <v>0.0</v>
      </c>
      <c r="L3149" s="15">
        <v>0.0</v>
      </c>
      <c r="M3149" s="16"/>
      <c r="N3149" s="16"/>
      <c r="O3149" s="17"/>
      <c r="P3149" s="17"/>
      <c r="Q3149" s="13">
        <f t="shared" si="3384"/>
        <v>0</v>
      </c>
      <c r="R3149" s="13"/>
      <c r="S3149" s="13"/>
      <c r="T3149" s="13">
        <f t="shared" ref="T3149:Y3149" si="3385">IF(ISBLANK(K3149)=TRUE,0,1)</f>
        <v>1</v>
      </c>
      <c r="U3149" s="13">
        <f t="shared" si="3385"/>
        <v>1</v>
      </c>
      <c r="V3149" s="13">
        <f t="shared" si="3385"/>
        <v>0</v>
      </c>
      <c r="W3149" s="13">
        <f t="shared" si="3385"/>
        <v>0</v>
      </c>
      <c r="X3149" s="13">
        <f t="shared" si="3385"/>
        <v>0</v>
      </c>
      <c r="Y3149" s="13">
        <f t="shared" si="3385"/>
        <v>0</v>
      </c>
      <c r="Z3149" s="13">
        <f t="shared" si="3023"/>
        <v>0</v>
      </c>
      <c r="AA3149" s="13"/>
      <c r="AB3149" s="13"/>
      <c r="AC3149" s="13"/>
      <c r="AD3149" s="13"/>
      <c r="AE3149" s="13"/>
      <c r="AF3149" s="13"/>
      <c r="AG3149" s="13"/>
      <c r="AH3149" s="13"/>
      <c r="AI3149" s="13"/>
      <c r="AJ3149" s="13"/>
      <c r="AK3149" s="13"/>
      <c r="AL3149" s="13"/>
      <c r="AM3149" s="13"/>
      <c r="AN3149" s="13"/>
      <c r="AO3149" s="13"/>
      <c r="AP3149" s="13"/>
      <c r="AQ3149" s="13"/>
      <c r="AR3149" s="13"/>
      <c r="AS3149" s="13"/>
    </row>
    <row r="3150" ht="14.25" customHeight="1">
      <c r="A3150" s="13" t="s">
        <v>46</v>
      </c>
      <c r="B3150" s="13" t="s">
        <v>47</v>
      </c>
      <c r="C3150" s="13" t="s">
        <v>398</v>
      </c>
      <c r="D3150" s="13"/>
      <c r="E3150" s="13"/>
      <c r="F3150" s="13"/>
      <c r="G3150" s="13" t="s">
        <v>111</v>
      </c>
      <c r="H3150" s="13" t="s">
        <v>75</v>
      </c>
      <c r="I3150" s="13"/>
      <c r="J3150" s="13"/>
      <c r="K3150" s="15">
        <v>0.0</v>
      </c>
      <c r="L3150" s="15">
        <v>0.0</v>
      </c>
      <c r="M3150" s="16"/>
      <c r="N3150" s="16"/>
      <c r="O3150" s="17"/>
      <c r="P3150" s="17"/>
      <c r="Q3150" s="13">
        <f t="shared" si="3384"/>
        <v>0</v>
      </c>
      <c r="R3150" s="13"/>
      <c r="S3150" s="13"/>
      <c r="T3150" s="13">
        <f t="shared" ref="T3150:Y3150" si="3386">IF(ISBLANK(K3150)=TRUE,0,1)</f>
        <v>1</v>
      </c>
      <c r="U3150" s="13">
        <f t="shared" si="3386"/>
        <v>1</v>
      </c>
      <c r="V3150" s="13">
        <f t="shared" si="3386"/>
        <v>0</v>
      </c>
      <c r="W3150" s="13">
        <f t="shared" si="3386"/>
        <v>0</v>
      </c>
      <c r="X3150" s="13">
        <f t="shared" si="3386"/>
        <v>0</v>
      </c>
      <c r="Y3150" s="13">
        <f t="shared" si="3386"/>
        <v>0</v>
      </c>
      <c r="Z3150" s="13">
        <f t="shared" si="3023"/>
        <v>0</v>
      </c>
      <c r="AA3150" s="13"/>
      <c r="AB3150" s="13"/>
      <c r="AC3150" s="13"/>
      <c r="AD3150" s="13"/>
      <c r="AE3150" s="13"/>
      <c r="AF3150" s="13"/>
      <c r="AG3150" s="13"/>
      <c r="AH3150" s="13"/>
      <c r="AI3150" s="13"/>
      <c r="AJ3150" s="13"/>
      <c r="AK3150" s="13"/>
      <c r="AL3150" s="13"/>
      <c r="AM3150" s="13"/>
      <c r="AN3150" s="13"/>
      <c r="AO3150" s="13"/>
      <c r="AP3150" s="13"/>
      <c r="AQ3150" s="13"/>
      <c r="AR3150" s="13"/>
      <c r="AS3150" s="13"/>
    </row>
    <row r="3151" ht="14.25" customHeight="1">
      <c r="A3151" s="13" t="s">
        <v>46</v>
      </c>
      <c r="B3151" s="13" t="s">
        <v>47</v>
      </c>
      <c r="C3151" s="13" t="s">
        <v>1929</v>
      </c>
      <c r="D3151" s="13"/>
      <c r="E3151" s="13"/>
      <c r="F3151" s="13"/>
      <c r="G3151" s="13" t="s">
        <v>111</v>
      </c>
      <c r="H3151" s="13" t="s">
        <v>75</v>
      </c>
      <c r="I3151" s="13"/>
      <c r="J3151" s="13"/>
      <c r="K3151" s="15">
        <v>0.0</v>
      </c>
      <c r="L3151" s="15">
        <v>0.0</v>
      </c>
      <c r="M3151" s="16"/>
      <c r="N3151" s="16"/>
      <c r="O3151" s="17"/>
      <c r="P3151" s="17"/>
      <c r="Q3151" s="13">
        <f t="shared" si="3384"/>
        <v>0</v>
      </c>
      <c r="R3151" s="13"/>
      <c r="S3151" s="13"/>
      <c r="T3151" s="13">
        <f t="shared" ref="T3151:Y3151" si="3387">IF(ISBLANK(K3151)=TRUE,0,1)</f>
        <v>1</v>
      </c>
      <c r="U3151" s="13">
        <f t="shared" si="3387"/>
        <v>1</v>
      </c>
      <c r="V3151" s="13">
        <f t="shared" si="3387"/>
        <v>0</v>
      </c>
      <c r="W3151" s="13">
        <f t="shared" si="3387"/>
        <v>0</v>
      </c>
      <c r="X3151" s="13">
        <f t="shared" si="3387"/>
        <v>0</v>
      </c>
      <c r="Y3151" s="13">
        <f t="shared" si="3387"/>
        <v>0</v>
      </c>
      <c r="Z3151" s="13">
        <f t="shared" si="3023"/>
        <v>0</v>
      </c>
      <c r="AA3151" s="13"/>
      <c r="AB3151" s="13"/>
      <c r="AC3151" s="13"/>
      <c r="AD3151" s="13"/>
      <c r="AE3151" s="13"/>
      <c r="AF3151" s="13"/>
      <c r="AG3151" s="13"/>
      <c r="AH3151" s="13"/>
      <c r="AI3151" s="13"/>
      <c r="AJ3151" s="13"/>
      <c r="AK3151" s="13"/>
      <c r="AL3151" s="13"/>
      <c r="AM3151" s="13"/>
      <c r="AN3151" s="13"/>
      <c r="AO3151" s="13"/>
      <c r="AP3151" s="13"/>
      <c r="AQ3151" s="13"/>
      <c r="AR3151" s="13"/>
      <c r="AS3151" s="13"/>
    </row>
    <row r="3152" ht="14.25" customHeight="1">
      <c r="A3152" s="13" t="s">
        <v>46</v>
      </c>
      <c r="B3152" s="13" t="s">
        <v>47</v>
      </c>
      <c r="C3152" s="13" t="s">
        <v>1930</v>
      </c>
      <c r="D3152" s="13"/>
      <c r="E3152" s="13"/>
      <c r="F3152" s="13"/>
      <c r="G3152" s="13" t="s">
        <v>111</v>
      </c>
      <c r="H3152" s="13" t="s">
        <v>75</v>
      </c>
      <c r="I3152" s="13"/>
      <c r="J3152" s="13"/>
      <c r="K3152" s="15">
        <v>0.0</v>
      </c>
      <c r="L3152" s="15">
        <v>0.0</v>
      </c>
      <c r="M3152" s="16"/>
      <c r="N3152" s="16"/>
      <c r="O3152" s="17"/>
      <c r="P3152" s="17"/>
      <c r="Q3152" s="13">
        <f t="shared" ref="Q3152:Q3156" si="3389">K3151+L3151+M3151+N3151+O3151+P3151/6</f>
        <v>0</v>
      </c>
      <c r="R3152" s="13"/>
      <c r="S3152" s="13"/>
      <c r="T3152" s="13">
        <f t="shared" ref="T3152:Y3152" si="3388">IF(ISBLANK(K3152)=TRUE,0,1)</f>
        <v>1</v>
      </c>
      <c r="U3152" s="13">
        <f t="shared" si="3388"/>
        <v>1</v>
      </c>
      <c r="V3152" s="13">
        <f t="shared" si="3388"/>
        <v>0</v>
      </c>
      <c r="W3152" s="13">
        <f t="shared" si="3388"/>
        <v>0</v>
      </c>
      <c r="X3152" s="13">
        <f t="shared" si="3388"/>
        <v>0</v>
      </c>
      <c r="Y3152" s="13">
        <f t="shared" si="3388"/>
        <v>0</v>
      </c>
      <c r="Z3152" s="13">
        <f t="shared" si="3023"/>
        <v>0</v>
      </c>
      <c r="AA3152" s="13"/>
      <c r="AB3152" s="13"/>
      <c r="AC3152" s="13"/>
      <c r="AD3152" s="13"/>
      <c r="AE3152" s="13"/>
      <c r="AF3152" s="13"/>
      <c r="AG3152" s="13"/>
      <c r="AH3152" s="13"/>
      <c r="AI3152" s="13"/>
      <c r="AJ3152" s="13"/>
      <c r="AK3152" s="13"/>
      <c r="AL3152" s="13"/>
      <c r="AM3152" s="13"/>
      <c r="AN3152" s="13"/>
      <c r="AO3152" s="13"/>
      <c r="AP3152" s="13"/>
      <c r="AQ3152" s="13"/>
      <c r="AR3152" s="13"/>
      <c r="AS3152" s="13"/>
    </row>
    <row r="3153" ht="14.25" customHeight="1">
      <c r="A3153" s="13" t="s">
        <v>46</v>
      </c>
      <c r="B3153" s="13" t="s">
        <v>47</v>
      </c>
      <c r="C3153" s="13" t="s">
        <v>1931</v>
      </c>
      <c r="D3153" s="13"/>
      <c r="E3153" s="13"/>
      <c r="F3153" s="13"/>
      <c r="G3153" s="13" t="s">
        <v>111</v>
      </c>
      <c r="H3153" s="13" t="s">
        <v>75</v>
      </c>
      <c r="I3153" s="13"/>
      <c r="J3153" s="13"/>
      <c r="K3153" s="15">
        <v>0.0</v>
      </c>
      <c r="L3153" s="15">
        <v>0.0</v>
      </c>
      <c r="M3153" s="16"/>
      <c r="N3153" s="16"/>
      <c r="O3153" s="17"/>
      <c r="P3153" s="17"/>
      <c r="Q3153" s="13">
        <f t="shared" si="3389"/>
        <v>0</v>
      </c>
      <c r="R3153" s="13"/>
      <c r="S3153" s="13"/>
      <c r="T3153" s="13">
        <f t="shared" ref="T3153:Y3153" si="3390">IF(ISBLANK(K3153)=TRUE,0,1)</f>
        <v>1</v>
      </c>
      <c r="U3153" s="13">
        <f t="shared" si="3390"/>
        <v>1</v>
      </c>
      <c r="V3153" s="13">
        <f t="shared" si="3390"/>
        <v>0</v>
      </c>
      <c r="W3153" s="13">
        <f t="shared" si="3390"/>
        <v>0</v>
      </c>
      <c r="X3153" s="13">
        <f t="shared" si="3390"/>
        <v>0</v>
      </c>
      <c r="Y3153" s="13">
        <f t="shared" si="3390"/>
        <v>0</v>
      </c>
      <c r="Z3153" s="13">
        <f t="shared" si="3023"/>
        <v>0</v>
      </c>
      <c r="AA3153" s="13"/>
      <c r="AB3153" s="13"/>
      <c r="AC3153" s="13"/>
      <c r="AD3153" s="13"/>
      <c r="AE3153" s="13"/>
      <c r="AF3153" s="13"/>
      <c r="AG3153" s="13"/>
      <c r="AH3153" s="13"/>
      <c r="AI3153" s="13"/>
      <c r="AJ3153" s="13"/>
      <c r="AK3153" s="13"/>
      <c r="AL3153" s="13"/>
      <c r="AM3153" s="13"/>
      <c r="AN3153" s="13"/>
      <c r="AO3153" s="13"/>
      <c r="AP3153" s="13"/>
      <c r="AQ3153" s="13"/>
      <c r="AR3153" s="13"/>
      <c r="AS3153" s="13"/>
    </row>
    <row r="3154" ht="14.25" customHeight="1">
      <c r="A3154" s="13" t="s">
        <v>46</v>
      </c>
      <c r="B3154" s="13" t="s">
        <v>47</v>
      </c>
      <c r="C3154" s="13" t="s">
        <v>1932</v>
      </c>
      <c r="D3154" s="13"/>
      <c r="E3154" s="13"/>
      <c r="F3154" s="13"/>
      <c r="G3154" s="13" t="s">
        <v>111</v>
      </c>
      <c r="H3154" s="13" t="s">
        <v>75</v>
      </c>
      <c r="I3154" s="13"/>
      <c r="J3154" s="13"/>
      <c r="K3154" s="15">
        <v>0.0</v>
      </c>
      <c r="L3154" s="15">
        <v>0.0</v>
      </c>
      <c r="M3154" s="16"/>
      <c r="N3154" s="16"/>
      <c r="O3154" s="17"/>
      <c r="P3154" s="17"/>
      <c r="Q3154" s="13">
        <f t="shared" si="3389"/>
        <v>0</v>
      </c>
      <c r="R3154" s="13"/>
      <c r="S3154" s="13"/>
      <c r="T3154" s="13">
        <f t="shared" ref="T3154:Y3154" si="3391">IF(ISBLANK(K3154)=TRUE,0,1)</f>
        <v>1</v>
      </c>
      <c r="U3154" s="13">
        <f t="shared" si="3391"/>
        <v>1</v>
      </c>
      <c r="V3154" s="13">
        <f t="shared" si="3391"/>
        <v>0</v>
      </c>
      <c r="W3154" s="13">
        <f t="shared" si="3391"/>
        <v>0</v>
      </c>
      <c r="X3154" s="13">
        <f t="shared" si="3391"/>
        <v>0</v>
      </c>
      <c r="Y3154" s="13">
        <f t="shared" si="3391"/>
        <v>0</v>
      </c>
      <c r="Z3154" s="13">
        <f t="shared" si="3023"/>
        <v>0</v>
      </c>
      <c r="AA3154" s="13"/>
      <c r="AB3154" s="13"/>
      <c r="AC3154" s="13"/>
      <c r="AD3154" s="13"/>
      <c r="AE3154" s="13"/>
      <c r="AF3154" s="13"/>
      <c r="AG3154" s="13"/>
      <c r="AH3154" s="13"/>
      <c r="AI3154" s="13"/>
      <c r="AJ3154" s="13"/>
      <c r="AK3154" s="13"/>
      <c r="AL3154" s="13"/>
      <c r="AM3154" s="13"/>
      <c r="AN3154" s="13"/>
      <c r="AO3154" s="13"/>
      <c r="AP3154" s="13"/>
      <c r="AQ3154" s="13"/>
      <c r="AR3154" s="13"/>
      <c r="AS3154" s="13"/>
    </row>
    <row r="3155" ht="14.25" customHeight="1">
      <c r="A3155" s="13" t="s">
        <v>46</v>
      </c>
      <c r="B3155" s="13" t="s">
        <v>47</v>
      </c>
      <c r="C3155" s="13" t="s">
        <v>1933</v>
      </c>
      <c r="D3155" s="13"/>
      <c r="E3155" s="13"/>
      <c r="F3155" s="13"/>
      <c r="G3155" s="13" t="s">
        <v>111</v>
      </c>
      <c r="H3155" s="13" t="s">
        <v>75</v>
      </c>
      <c r="I3155" s="13"/>
      <c r="J3155" s="13"/>
      <c r="K3155" s="15">
        <v>0.0</v>
      </c>
      <c r="L3155" s="15">
        <v>0.0</v>
      </c>
      <c r="M3155" s="16"/>
      <c r="N3155" s="16"/>
      <c r="O3155" s="17"/>
      <c r="P3155" s="17"/>
      <c r="Q3155" s="13">
        <f t="shared" si="3389"/>
        <v>0</v>
      </c>
      <c r="R3155" s="13"/>
      <c r="S3155" s="13"/>
      <c r="T3155" s="13">
        <f t="shared" ref="T3155:Y3155" si="3392">IF(ISBLANK(K3155)=TRUE,0,1)</f>
        <v>1</v>
      </c>
      <c r="U3155" s="13">
        <f t="shared" si="3392"/>
        <v>1</v>
      </c>
      <c r="V3155" s="13">
        <f t="shared" si="3392"/>
        <v>0</v>
      </c>
      <c r="W3155" s="13">
        <f t="shared" si="3392"/>
        <v>0</v>
      </c>
      <c r="X3155" s="13">
        <f t="shared" si="3392"/>
        <v>0</v>
      </c>
      <c r="Y3155" s="13">
        <f t="shared" si="3392"/>
        <v>0</v>
      </c>
      <c r="Z3155" s="13">
        <f t="shared" si="3023"/>
        <v>0</v>
      </c>
      <c r="AA3155" s="13"/>
      <c r="AB3155" s="13"/>
      <c r="AC3155" s="13"/>
      <c r="AD3155" s="13"/>
      <c r="AE3155" s="13"/>
      <c r="AF3155" s="13"/>
      <c r="AG3155" s="13"/>
      <c r="AH3155" s="13"/>
      <c r="AI3155" s="13"/>
      <c r="AJ3155" s="13"/>
      <c r="AK3155" s="13"/>
      <c r="AL3155" s="13"/>
      <c r="AM3155" s="13"/>
      <c r="AN3155" s="13"/>
      <c r="AO3155" s="13"/>
      <c r="AP3155" s="13"/>
      <c r="AQ3155" s="13"/>
      <c r="AR3155" s="13"/>
      <c r="AS3155" s="13"/>
    </row>
    <row r="3156" ht="14.25" customHeight="1">
      <c r="A3156" s="13" t="s">
        <v>46</v>
      </c>
      <c r="B3156" s="13" t="s">
        <v>47</v>
      </c>
      <c r="C3156" s="13" t="s">
        <v>1934</v>
      </c>
      <c r="D3156" s="13"/>
      <c r="E3156" s="13"/>
      <c r="F3156" s="13"/>
      <c r="G3156" s="13" t="s">
        <v>111</v>
      </c>
      <c r="H3156" s="13" t="s">
        <v>75</v>
      </c>
      <c r="I3156" s="13"/>
      <c r="J3156" s="13"/>
      <c r="K3156" s="15">
        <v>0.0</v>
      </c>
      <c r="L3156" s="15">
        <v>0.0</v>
      </c>
      <c r="M3156" s="16"/>
      <c r="N3156" s="16"/>
      <c r="O3156" s="17"/>
      <c r="P3156" s="17"/>
      <c r="Q3156" s="13">
        <f t="shared" si="3389"/>
        <v>0</v>
      </c>
      <c r="R3156" s="13"/>
      <c r="S3156" s="13"/>
      <c r="T3156" s="13">
        <f t="shared" ref="T3156:Y3156" si="3393">IF(ISBLANK(K3156)=TRUE,0,1)</f>
        <v>1</v>
      </c>
      <c r="U3156" s="13">
        <f t="shared" si="3393"/>
        <v>1</v>
      </c>
      <c r="V3156" s="13">
        <f t="shared" si="3393"/>
        <v>0</v>
      </c>
      <c r="W3156" s="13">
        <f t="shared" si="3393"/>
        <v>0</v>
      </c>
      <c r="X3156" s="13">
        <f t="shared" si="3393"/>
        <v>0</v>
      </c>
      <c r="Y3156" s="13">
        <f t="shared" si="3393"/>
        <v>0</v>
      </c>
      <c r="Z3156" s="13">
        <f t="shared" si="3023"/>
        <v>0</v>
      </c>
      <c r="AA3156" s="13"/>
      <c r="AB3156" s="13"/>
      <c r="AC3156" s="13"/>
      <c r="AD3156" s="13"/>
      <c r="AE3156" s="13"/>
      <c r="AF3156" s="13"/>
      <c r="AG3156" s="13"/>
      <c r="AH3156" s="13"/>
      <c r="AI3156" s="13"/>
      <c r="AJ3156" s="13"/>
      <c r="AK3156" s="13"/>
      <c r="AL3156" s="13"/>
      <c r="AM3156" s="13"/>
      <c r="AN3156" s="13"/>
      <c r="AO3156" s="13"/>
      <c r="AP3156" s="13"/>
      <c r="AQ3156" s="13"/>
      <c r="AR3156" s="13"/>
      <c r="AS3156" s="13"/>
    </row>
    <row r="3157" ht="14.25" customHeight="1">
      <c r="A3157" s="13" t="s">
        <v>46</v>
      </c>
      <c r="B3157" s="13" t="s">
        <v>47</v>
      </c>
      <c r="C3157" s="13" t="s">
        <v>1935</v>
      </c>
      <c r="D3157" s="13"/>
      <c r="E3157" s="13"/>
      <c r="F3157" s="13"/>
      <c r="G3157" s="13" t="s">
        <v>111</v>
      </c>
      <c r="H3157" s="13" t="s">
        <v>75</v>
      </c>
      <c r="I3157" s="13"/>
      <c r="J3157" s="13"/>
      <c r="K3157" s="15"/>
      <c r="L3157" s="15"/>
      <c r="M3157" s="16"/>
      <c r="N3157" s="16"/>
      <c r="O3157" s="17">
        <v>0.0</v>
      </c>
      <c r="P3157" s="17">
        <v>0.0</v>
      </c>
      <c r="Q3157" s="13"/>
      <c r="R3157" s="29">
        <v>45007.0</v>
      </c>
      <c r="S3157" s="13"/>
      <c r="T3157" s="13">
        <f t="shared" ref="T3157:Y3157" si="3394">IF(ISBLANK(K3157)=TRUE,0,1)</f>
        <v>0</v>
      </c>
      <c r="U3157" s="13">
        <f t="shared" si="3394"/>
        <v>0</v>
      </c>
      <c r="V3157" s="13">
        <f t="shared" si="3394"/>
        <v>0</v>
      </c>
      <c r="W3157" s="13">
        <f t="shared" si="3394"/>
        <v>0</v>
      </c>
      <c r="X3157" s="13">
        <f t="shared" si="3394"/>
        <v>1</v>
      </c>
      <c r="Y3157" s="13">
        <f t="shared" si="3394"/>
        <v>1</v>
      </c>
      <c r="Z3157" s="13">
        <f t="shared" si="3023"/>
        <v>0</v>
      </c>
      <c r="AA3157" s="13"/>
      <c r="AB3157" s="13"/>
      <c r="AC3157" s="13"/>
      <c r="AD3157" s="13"/>
      <c r="AE3157" s="13"/>
      <c r="AF3157" s="13"/>
      <c r="AG3157" s="13"/>
      <c r="AH3157" s="13"/>
      <c r="AI3157" s="13"/>
      <c r="AJ3157" s="13"/>
      <c r="AK3157" s="13"/>
      <c r="AL3157" s="13"/>
      <c r="AM3157" s="13"/>
      <c r="AN3157" s="13"/>
      <c r="AO3157" s="13"/>
      <c r="AP3157" s="13"/>
      <c r="AQ3157" s="13"/>
      <c r="AR3157" s="13"/>
      <c r="AS3157" s="13"/>
    </row>
    <row r="3158" ht="14.25" customHeight="1">
      <c r="A3158" s="13" t="s">
        <v>46</v>
      </c>
      <c r="B3158" s="13" t="s">
        <v>47</v>
      </c>
      <c r="C3158" s="13" t="s">
        <v>1936</v>
      </c>
      <c r="D3158" s="13"/>
      <c r="E3158" s="13"/>
      <c r="F3158" s="13"/>
      <c r="G3158" s="13" t="s">
        <v>111</v>
      </c>
      <c r="H3158" s="13" t="s">
        <v>75</v>
      </c>
      <c r="I3158" s="13"/>
      <c r="J3158" s="13"/>
      <c r="K3158" s="15"/>
      <c r="L3158" s="15"/>
      <c r="M3158" s="16"/>
      <c r="N3158" s="16"/>
      <c r="O3158" s="17">
        <v>0.0</v>
      </c>
      <c r="P3158" s="17">
        <v>0.0</v>
      </c>
      <c r="Q3158" s="13"/>
      <c r="R3158" s="29">
        <v>45007.0</v>
      </c>
      <c r="S3158" s="13"/>
      <c r="T3158" s="13">
        <f t="shared" ref="T3158:Y3158" si="3395">IF(ISBLANK(K3158)=TRUE,0,1)</f>
        <v>0</v>
      </c>
      <c r="U3158" s="13">
        <f t="shared" si="3395"/>
        <v>0</v>
      </c>
      <c r="V3158" s="13">
        <f t="shared" si="3395"/>
        <v>0</v>
      </c>
      <c r="W3158" s="13">
        <f t="shared" si="3395"/>
        <v>0</v>
      </c>
      <c r="X3158" s="13">
        <f t="shared" si="3395"/>
        <v>1</v>
      </c>
      <c r="Y3158" s="13">
        <f t="shared" si="3395"/>
        <v>1</v>
      </c>
      <c r="Z3158" s="13">
        <f t="shared" si="3023"/>
        <v>0</v>
      </c>
      <c r="AA3158" s="13"/>
      <c r="AB3158" s="13"/>
      <c r="AC3158" s="13"/>
      <c r="AD3158" s="13"/>
      <c r="AE3158" s="13"/>
      <c r="AF3158" s="13"/>
      <c r="AG3158" s="13"/>
      <c r="AH3158" s="13"/>
      <c r="AI3158" s="13"/>
      <c r="AJ3158" s="13"/>
      <c r="AK3158" s="13"/>
      <c r="AL3158" s="13"/>
      <c r="AM3158" s="13"/>
      <c r="AN3158" s="13"/>
      <c r="AO3158" s="13"/>
      <c r="AP3158" s="13"/>
      <c r="AQ3158" s="13"/>
      <c r="AR3158" s="13"/>
      <c r="AS3158" s="13"/>
    </row>
    <row r="3159" ht="14.25" customHeight="1">
      <c r="A3159" s="13" t="s">
        <v>36</v>
      </c>
      <c r="B3159" s="13" t="s">
        <v>39</v>
      </c>
      <c r="C3159" s="13" t="s">
        <v>1872</v>
      </c>
      <c r="D3159" s="13" t="s">
        <v>192</v>
      </c>
      <c r="F3159" s="13"/>
      <c r="G3159" s="13" t="s">
        <v>111</v>
      </c>
      <c r="H3159" s="13" t="s">
        <v>75</v>
      </c>
      <c r="I3159" s="13"/>
      <c r="J3159" s="13"/>
      <c r="K3159" s="15">
        <v>0.0</v>
      </c>
      <c r="L3159" s="15">
        <v>0.0</v>
      </c>
      <c r="M3159" s="16"/>
      <c r="N3159" s="16"/>
      <c r="O3159" s="17"/>
      <c r="P3159" s="17"/>
      <c r="Q3159" s="13">
        <f>K3158+L3158+M3158+N3158+O3158+P3158/6</f>
        <v>0</v>
      </c>
      <c r="R3159" s="13"/>
      <c r="S3159" s="13"/>
      <c r="T3159" s="13">
        <f t="shared" ref="T3159:Y3159" si="3396">IF(ISBLANK(K3159)=TRUE,0,1)</f>
        <v>1</v>
      </c>
      <c r="U3159" s="13">
        <f t="shared" si="3396"/>
        <v>1</v>
      </c>
      <c r="V3159" s="13">
        <f t="shared" si="3396"/>
        <v>0</v>
      </c>
      <c r="W3159" s="13">
        <f t="shared" si="3396"/>
        <v>0</v>
      </c>
      <c r="X3159" s="13">
        <f t="shared" si="3396"/>
        <v>0</v>
      </c>
      <c r="Y3159" s="13">
        <f t="shared" si="3396"/>
        <v>0</v>
      </c>
      <c r="Z3159" s="13">
        <f t="shared" si="3023"/>
        <v>0</v>
      </c>
      <c r="AA3159" s="13"/>
      <c r="AB3159" s="13"/>
      <c r="AC3159" s="13"/>
      <c r="AD3159" s="13"/>
      <c r="AE3159" s="13"/>
      <c r="AF3159" s="13"/>
      <c r="AG3159" s="13"/>
      <c r="AH3159" s="13"/>
      <c r="AI3159" s="13"/>
      <c r="AJ3159" s="13"/>
      <c r="AK3159" s="13"/>
      <c r="AL3159" s="13"/>
      <c r="AM3159" s="13"/>
      <c r="AN3159" s="13"/>
      <c r="AO3159" s="13"/>
      <c r="AP3159" s="13"/>
      <c r="AQ3159" s="13"/>
      <c r="AR3159" s="13"/>
      <c r="AS3159" s="13"/>
    </row>
    <row r="3160" ht="14.25" customHeight="1">
      <c r="A3160" s="13" t="s">
        <v>46</v>
      </c>
      <c r="B3160" s="13" t="s">
        <v>47</v>
      </c>
      <c r="C3160" s="13" t="s">
        <v>1937</v>
      </c>
      <c r="D3160" s="13"/>
      <c r="E3160" s="13"/>
      <c r="F3160" s="13"/>
      <c r="G3160" s="13" t="s">
        <v>111</v>
      </c>
      <c r="H3160" s="13" t="s">
        <v>75</v>
      </c>
      <c r="I3160" s="13"/>
      <c r="J3160" s="13"/>
      <c r="K3160" s="15"/>
      <c r="L3160" s="15"/>
      <c r="M3160" s="16"/>
      <c r="N3160" s="16"/>
      <c r="O3160" s="17">
        <v>0.0</v>
      </c>
      <c r="P3160" s="17">
        <v>0.0</v>
      </c>
      <c r="Q3160" s="13"/>
      <c r="R3160" s="29">
        <v>45007.0</v>
      </c>
      <c r="S3160" s="13"/>
      <c r="T3160" s="13">
        <f t="shared" ref="T3160:Y3160" si="3397">IF(ISBLANK(K3160)=TRUE,0,1)</f>
        <v>0</v>
      </c>
      <c r="U3160" s="13">
        <f t="shared" si="3397"/>
        <v>0</v>
      </c>
      <c r="V3160" s="13">
        <f t="shared" si="3397"/>
        <v>0</v>
      </c>
      <c r="W3160" s="13">
        <f t="shared" si="3397"/>
        <v>0</v>
      </c>
      <c r="X3160" s="13">
        <f t="shared" si="3397"/>
        <v>1</v>
      </c>
      <c r="Y3160" s="13">
        <f t="shared" si="3397"/>
        <v>1</v>
      </c>
      <c r="Z3160" s="13">
        <f t="shared" si="3023"/>
        <v>0</v>
      </c>
      <c r="AA3160" s="13"/>
      <c r="AB3160" s="13"/>
      <c r="AC3160" s="13"/>
      <c r="AD3160" s="13"/>
      <c r="AE3160" s="13"/>
      <c r="AF3160" s="13"/>
      <c r="AG3160" s="13"/>
      <c r="AH3160" s="13"/>
      <c r="AI3160" s="13"/>
      <c r="AJ3160" s="13"/>
      <c r="AK3160" s="13"/>
      <c r="AL3160" s="13"/>
      <c r="AM3160" s="13"/>
      <c r="AN3160" s="13"/>
      <c r="AO3160" s="13"/>
      <c r="AP3160" s="13"/>
      <c r="AQ3160" s="13"/>
      <c r="AR3160" s="13"/>
      <c r="AS3160" s="13"/>
    </row>
    <row r="3161" ht="14.25" customHeight="1">
      <c r="A3161" s="13" t="s">
        <v>46</v>
      </c>
      <c r="B3161" s="13" t="s">
        <v>47</v>
      </c>
      <c r="C3161" s="13" t="s">
        <v>1938</v>
      </c>
      <c r="D3161" s="13"/>
      <c r="E3161" s="13"/>
      <c r="F3161" s="13"/>
      <c r="G3161" s="13" t="s">
        <v>111</v>
      </c>
      <c r="H3161" s="13" t="s">
        <v>75</v>
      </c>
      <c r="I3161" s="13"/>
      <c r="J3161" s="13"/>
      <c r="K3161" s="15"/>
      <c r="L3161" s="15"/>
      <c r="M3161" s="16"/>
      <c r="N3161" s="16"/>
      <c r="O3161" s="17">
        <v>0.0</v>
      </c>
      <c r="P3161" s="17">
        <v>0.0</v>
      </c>
      <c r="Q3161" s="13"/>
      <c r="R3161" s="29">
        <v>45007.0</v>
      </c>
      <c r="S3161" s="13"/>
      <c r="T3161" s="13">
        <f t="shared" ref="T3161:Y3161" si="3398">IF(ISBLANK(K3161)=TRUE,0,1)</f>
        <v>0</v>
      </c>
      <c r="U3161" s="13">
        <f t="shared" si="3398"/>
        <v>0</v>
      </c>
      <c r="V3161" s="13">
        <f t="shared" si="3398"/>
        <v>0</v>
      </c>
      <c r="W3161" s="13">
        <f t="shared" si="3398"/>
        <v>0</v>
      </c>
      <c r="X3161" s="13">
        <f t="shared" si="3398"/>
        <v>1</v>
      </c>
      <c r="Y3161" s="13">
        <f t="shared" si="3398"/>
        <v>1</v>
      </c>
      <c r="Z3161" s="13">
        <f t="shared" si="3023"/>
        <v>0</v>
      </c>
      <c r="AA3161" s="13"/>
      <c r="AB3161" s="13"/>
      <c r="AC3161" s="13"/>
      <c r="AD3161" s="13"/>
      <c r="AE3161" s="13"/>
      <c r="AF3161" s="13"/>
      <c r="AG3161" s="13"/>
      <c r="AH3161" s="13"/>
      <c r="AI3161" s="13"/>
      <c r="AJ3161" s="13"/>
      <c r="AK3161" s="13"/>
      <c r="AL3161" s="13"/>
      <c r="AM3161" s="13"/>
      <c r="AN3161" s="13"/>
      <c r="AO3161" s="13"/>
      <c r="AP3161" s="13"/>
      <c r="AQ3161" s="13"/>
      <c r="AR3161" s="13"/>
      <c r="AS3161" s="13"/>
    </row>
    <row r="3162" ht="14.25" customHeight="1">
      <c r="A3162" s="13" t="s">
        <v>46</v>
      </c>
      <c r="B3162" s="13" t="s">
        <v>47</v>
      </c>
      <c r="C3162" s="13" t="s">
        <v>1939</v>
      </c>
      <c r="D3162" s="13"/>
      <c r="E3162" s="13"/>
      <c r="F3162" s="13"/>
      <c r="G3162" s="13" t="s">
        <v>111</v>
      </c>
      <c r="H3162" s="13" t="s">
        <v>75</v>
      </c>
      <c r="I3162" s="13"/>
      <c r="J3162" s="13"/>
      <c r="K3162" s="15"/>
      <c r="L3162" s="15"/>
      <c r="M3162" s="16"/>
      <c r="N3162" s="16"/>
      <c r="O3162" s="17">
        <v>0.0</v>
      </c>
      <c r="P3162" s="17">
        <v>0.0</v>
      </c>
      <c r="Q3162" s="13"/>
      <c r="R3162" s="29">
        <v>45007.0</v>
      </c>
      <c r="S3162" s="13"/>
      <c r="T3162" s="13">
        <f t="shared" ref="T3162:Y3162" si="3399">IF(ISBLANK(K3162)=TRUE,0,1)</f>
        <v>0</v>
      </c>
      <c r="U3162" s="13">
        <f t="shared" si="3399"/>
        <v>0</v>
      </c>
      <c r="V3162" s="13">
        <f t="shared" si="3399"/>
        <v>0</v>
      </c>
      <c r="W3162" s="13">
        <f t="shared" si="3399"/>
        <v>0</v>
      </c>
      <c r="X3162" s="13">
        <f t="shared" si="3399"/>
        <v>1</v>
      </c>
      <c r="Y3162" s="13">
        <f t="shared" si="3399"/>
        <v>1</v>
      </c>
      <c r="Z3162" s="13">
        <f t="shared" si="3023"/>
        <v>0</v>
      </c>
      <c r="AA3162" s="13"/>
      <c r="AB3162" s="13"/>
      <c r="AC3162" s="13"/>
      <c r="AD3162" s="13"/>
      <c r="AE3162" s="13"/>
      <c r="AF3162" s="13"/>
      <c r="AG3162" s="13"/>
      <c r="AH3162" s="13"/>
      <c r="AI3162" s="13"/>
      <c r="AJ3162" s="13"/>
      <c r="AK3162" s="13"/>
      <c r="AL3162" s="13"/>
      <c r="AM3162" s="13"/>
      <c r="AN3162" s="13"/>
      <c r="AO3162" s="13"/>
      <c r="AP3162" s="13"/>
      <c r="AQ3162" s="13"/>
      <c r="AR3162" s="13"/>
      <c r="AS3162" s="13"/>
    </row>
    <row r="3163" ht="14.25" customHeight="1">
      <c r="A3163" s="13" t="s">
        <v>46</v>
      </c>
      <c r="B3163" s="13" t="s">
        <v>47</v>
      </c>
      <c r="C3163" s="13" t="s">
        <v>1940</v>
      </c>
      <c r="D3163" s="13"/>
      <c r="E3163" s="13"/>
      <c r="F3163" s="13"/>
      <c r="G3163" s="13" t="s">
        <v>111</v>
      </c>
      <c r="H3163" s="13" t="s">
        <v>75</v>
      </c>
      <c r="I3163" s="13"/>
      <c r="J3163" s="13"/>
      <c r="K3163" s="15"/>
      <c r="L3163" s="15"/>
      <c r="M3163" s="16"/>
      <c r="N3163" s="16"/>
      <c r="O3163" s="17">
        <v>0.0</v>
      </c>
      <c r="P3163" s="17">
        <v>0.0</v>
      </c>
      <c r="Q3163" s="13"/>
      <c r="R3163" s="29">
        <v>45007.0</v>
      </c>
      <c r="S3163" s="13"/>
      <c r="T3163" s="13">
        <f t="shared" ref="T3163:Y3163" si="3400">IF(ISBLANK(K3163)=TRUE,0,1)</f>
        <v>0</v>
      </c>
      <c r="U3163" s="13">
        <f t="shared" si="3400"/>
        <v>0</v>
      </c>
      <c r="V3163" s="13">
        <f t="shared" si="3400"/>
        <v>0</v>
      </c>
      <c r="W3163" s="13">
        <f t="shared" si="3400"/>
        <v>0</v>
      </c>
      <c r="X3163" s="13">
        <f t="shared" si="3400"/>
        <v>1</v>
      </c>
      <c r="Y3163" s="13">
        <f t="shared" si="3400"/>
        <v>1</v>
      </c>
      <c r="Z3163" s="13">
        <f t="shared" si="3023"/>
        <v>0</v>
      </c>
      <c r="AA3163" s="13"/>
      <c r="AB3163" s="13"/>
      <c r="AC3163" s="13"/>
      <c r="AD3163" s="13"/>
      <c r="AE3163" s="13"/>
      <c r="AF3163" s="13"/>
      <c r="AG3163" s="13"/>
      <c r="AH3163" s="13"/>
      <c r="AI3163" s="13"/>
      <c r="AJ3163" s="13"/>
      <c r="AK3163" s="13"/>
      <c r="AL3163" s="13"/>
      <c r="AM3163" s="13"/>
      <c r="AN3163" s="13"/>
      <c r="AO3163" s="13"/>
      <c r="AP3163" s="13"/>
      <c r="AQ3163" s="13"/>
      <c r="AR3163" s="13"/>
      <c r="AS3163" s="13"/>
    </row>
    <row r="3164" ht="14.25" customHeight="1">
      <c r="A3164" s="26" t="s">
        <v>46</v>
      </c>
      <c r="B3164" s="26" t="s">
        <v>55</v>
      </c>
      <c r="C3164" s="26" t="s">
        <v>438</v>
      </c>
      <c r="D3164" s="26" t="s">
        <v>187</v>
      </c>
      <c r="E3164" s="13"/>
      <c r="F3164" s="26"/>
      <c r="G3164" s="26" t="s">
        <v>74</v>
      </c>
      <c r="H3164" s="26" t="s">
        <v>107</v>
      </c>
      <c r="I3164" s="26"/>
      <c r="J3164" s="26"/>
      <c r="K3164" s="28">
        <v>1.0</v>
      </c>
      <c r="L3164" s="28">
        <v>1.0</v>
      </c>
      <c r="M3164" s="30"/>
      <c r="N3164" s="30"/>
      <c r="O3164" s="17"/>
      <c r="P3164" s="17"/>
      <c r="Q3164" s="13"/>
      <c r="R3164" s="13"/>
      <c r="S3164" s="13"/>
      <c r="T3164" s="13">
        <f t="shared" ref="T3164:Y3164" si="3401">IF(ISBLANK(K3164)=TRUE,0,1)</f>
        <v>1</v>
      </c>
      <c r="U3164" s="13">
        <f t="shared" si="3401"/>
        <v>1</v>
      </c>
      <c r="V3164" s="13">
        <f t="shared" si="3401"/>
        <v>0</v>
      </c>
      <c r="W3164" s="13">
        <f t="shared" si="3401"/>
        <v>0</v>
      </c>
      <c r="X3164" s="13">
        <f t="shared" si="3401"/>
        <v>0</v>
      </c>
      <c r="Y3164" s="13">
        <f t="shared" si="3401"/>
        <v>0</v>
      </c>
      <c r="Z3164" s="13">
        <f t="shared" si="3023"/>
        <v>1</v>
      </c>
      <c r="AA3164" s="13"/>
      <c r="AB3164" s="13"/>
      <c r="AC3164" s="13"/>
      <c r="AD3164" s="13"/>
      <c r="AE3164" s="13"/>
      <c r="AF3164" s="13"/>
      <c r="AG3164" s="13"/>
      <c r="AH3164" s="13"/>
      <c r="AI3164" s="13"/>
      <c r="AJ3164" s="13"/>
      <c r="AK3164" s="13"/>
      <c r="AL3164" s="13"/>
      <c r="AM3164" s="13"/>
      <c r="AN3164" s="13"/>
      <c r="AO3164" s="13"/>
      <c r="AP3164" s="13"/>
      <c r="AQ3164" s="13"/>
      <c r="AR3164" s="13"/>
      <c r="AS3164" s="13"/>
    </row>
    <row r="3165" ht="14.25" customHeight="1">
      <c r="A3165" s="13" t="s">
        <v>46</v>
      </c>
      <c r="B3165" s="13" t="s">
        <v>47</v>
      </c>
      <c r="C3165" s="13" t="s">
        <v>1941</v>
      </c>
      <c r="D3165" s="13"/>
      <c r="E3165" s="13"/>
      <c r="F3165" s="13"/>
      <c r="G3165" s="13" t="s">
        <v>111</v>
      </c>
      <c r="H3165" s="13" t="s">
        <v>75</v>
      </c>
      <c r="I3165" s="13"/>
      <c r="J3165" s="13"/>
      <c r="K3165" s="15"/>
      <c r="L3165" s="15"/>
      <c r="M3165" s="16"/>
      <c r="N3165" s="16"/>
      <c r="O3165" s="17">
        <v>0.0</v>
      </c>
      <c r="P3165" s="17">
        <v>0.0</v>
      </c>
      <c r="Q3165" s="13"/>
      <c r="R3165" s="29">
        <v>45007.0</v>
      </c>
      <c r="S3165" s="13"/>
      <c r="T3165" s="13">
        <f t="shared" ref="T3165:Y3165" si="3402">IF(ISBLANK(K3165)=TRUE,0,1)</f>
        <v>0</v>
      </c>
      <c r="U3165" s="13">
        <f t="shared" si="3402"/>
        <v>0</v>
      </c>
      <c r="V3165" s="13">
        <f t="shared" si="3402"/>
        <v>0</v>
      </c>
      <c r="W3165" s="13">
        <f t="shared" si="3402"/>
        <v>0</v>
      </c>
      <c r="X3165" s="13">
        <f t="shared" si="3402"/>
        <v>1</v>
      </c>
      <c r="Y3165" s="13">
        <f t="shared" si="3402"/>
        <v>1</v>
      </c>
      <c r="Z3165" s="13">
        <f t="shared" si="3023"/>
        <v>0</v>
      </c>
      <c r="AA3165" s="13"/>
      <c r="AB3165" s="13"/>
      <c r="AC3165" s="13"/>
      <c r="AD3165" s="13"/>
      <c r="AE3165" s="13"/>
      <c r="AF3165" s="13"/>
      <c r="AG3165" s="13"/>
      <c r="AH3165" s="13"/>
      <c r="AI3165" s="13"/>
      <c r="AJ3165" s="13"/>
      <c r="AK3165" s="13"/>
      <c r="AL3165" s="13"/>
      <c r="AM3165" s="13"/>
      <c r="AN3165" s="13"/>
      <c r="AO3165" s="13"/>
      <c r="AP3165" s="13"/>
      <c r="AQ3165" s="13"/>
      <c r="AR3165" s="13"/>
      <c r="AS3165" s="13"/>
    </row>
    <row r="3166" ht="14.25" customHeight="1">
      <c r="A3166" s="13" t="s">
        <v>29</v>
      </c>
      <c r="B3166" s="13" t="s">
        <v>32</v>
      </c>
      <c r="C3166" s="18" t="s">
        <v>109</v>
      </c>
      <c r="D3166" s="13" t="s">
        <v>1942</v>
      </c>
      <c r="F3166" s="13"/>
      <c r="G3166" s="13" t="s">
        <v>111</v>
      </c>
      <c r="H3166" s="13" t="s">
        <v>75</v>
      </c>
      <c r="I3166" s="13"/>
      <c r="J3166" s="13"/>
      <c r="K3166" s="15"/>
      <c r="L3166" s="15"/>
      <c r="M3166" s="16">
        <v>0.0</v>
      </c>
      <c r="N3166" s="16">
        <v>0.0</v>
      </c>
      <c r="O3166" s="17">
        <v>0.0</v>
      </c>
      <c r="P3166" s="17">
        <v>0.0</v>
      </c>
      <c r="Q3166" s="13"/>
      <c r="R3166" s="13"/>
      <c r="S3166" s="13"/>
      <c r="T3166" s="13">
        <f t="shared" ref="T3166:Y3166" si="3403">IF(ISBLANK(K3166)=TRUE,0,1)</f>
        <v>0</v>
      </c>
      <c r="U3166" s="13">
        <f t="shared" si="3403"/>
        <v>0</v>
      </c>
      <c r="V3166" s="13">
        <f t="shared" si="3403"/>
        <v>1</v>
      </c>
      <c r="W3166" s="13">
        <f t="shared" si="3403"/>
        <v>1</v>
      </c>
      <c r="X3166" s="13">
        <f t="shared" si="3403"/>
        <v>1</v>
      </c>
      <c r="Y3166" s="13">
        <f t="shared" si="3403"/>
        <v>1</v>
      </c>
      <c r="Z3166" s="13">
        <f t="shared" si="3023"/>
        <v>0</v>
      </c>
      <c r="AA3166" s="13"/>
      <c r="AB3166" s="13"/>
      <c r="AC3166" s="13"/>
      <c r="AD3166" s="13"/>
      <c r="AE3166" s="13"/>
      <c r="AF3166" s="13"/>
      <c r="AG3166" s="13"/>
      <c r="AH3166" s="13"/>
      <c r="AI3166" s="13"/>
      <c r="AJ3166" s="13"/>
      <c r="AK3166" s="13"/>
      <c r="AL3166" s="13"/>
      <c r="AM3166" s="13"/>
      <c r="AN3166" s="13"/>
      <c r="AO3166" s="13"/>
      <c r="AP3166" s="13"/>
      <c r="AQ3166" s="13"/>
      <c r="AR3166" s="13"/>
      <c r="AS3166" s="13"/>
    </row>
    <row r="3167" ht="14.25" customHeight="1">
      <c r="A3167" s="26" t="s">
        <v>29</v>
      </c>
      <c r="B3167" s="26" t="s">
        <v>32</v>
      </c>
      <c r="C3167" s="27" t="s">
        <v>109</v>
      </c>
      <c r="D3167" s="26" t="s">
        <v>434</v>
      </c>
      <c r="F3167" s="26"/>
      <c r="G3167" s="13" t="s">
        <v>111</v>
      </c>
      <c r="H3167" s="26" t="s">
        <v>75</v>
      </c>
      <c r="I3167" s="26"/>
      <c r="J3167" s="26"/>
      <c r="K3167" s="28"/>
      <c r="L3167" s="28"/>
      <c r="M3167" s="16">
        <v>0.0</v>
      </c>
      <c r="N3167" s="16">
        <v>0.0</v>
      </c>
      <c r="O3167" s="17">
        <v>0.0</v>
      </c>
      <c r="P3167" s="17">
        <v>0.0</v>
      </c>
      <c r="Q3167" s="13"/>
      <c r="R3167" s="13"/>
      <c r="S3167" s="13"/>
      <c r="T3167" s="13">
        <f t="shared" ref="T3167:Y3167" si="3404">IF(ISBLANK(K3167)=TRUE,0,1)</f>
        <v>0</v>
      </c>
      <c r="U3167" s="13">
        <f t="shared" si="3404"/>
        <v>0</v>
      </c>
      <c r="V3167" s="13">
        <f t="shared" si="3404"/>
        <v>1</v>
      </c>
      <c r="W3167" s="13">
        <f t="shared" si="3404"/>
        <v>1</v>
      </c>
      <c r="X3167" s="13">
        <f t="shared" si="3404"/>
        <v>1</v>
      </c>
      <c r="Y3167" s="13">
        <f t="shared" si="3404"/>
        <v>1</v>
      </c>
      <c r="Z3167" s="13">
        <f t="shared" si="3023"/>
        <v>0</v>
      </c>
      <c r="AA3167" s="13"/>
      <c r="AB3167" s="13"/>
      <c r="AC3167" s="13"/>
      <c r="AD3167" s="13"/>
      <c r="AE3167" s="13"/>
      <c r="AF3167" s="13"/>
      <c r="AG3167" s="13"/>
      <c r="AH3167" s="13"/>
      <c r="AI3167" s="13"/>
      <c r="AJ3167" s="13"/>
      <c r="AK3167" s="13"/>
      <c r="AL3167" s="13"/>
      <c r="AM3167" s="13"/>
      <c r="AN3167" s="13"/>
      <c r="AO3167" s="13"/>
      <c r="AP3167" s="13"/>
      <c r="AQ3167" s="13"/>
      <c r="AR3167" s="13"/>
      <c r="AS3167" s="13"/>
    </row>
    <row r="3168" ht="14.25" customHeight="1">
      <c r="A3168" s="13" t="s">
        <v>29</v>
      </c>
      <c r="B3168" s="13" t="s">
        <v>32</v>
      </c>
      <c r="C3168" s="18" t="s">
        <v>109</v>
      </c>
      <c r="D3168" s="13" t="s">
        <v>1943</v>
      </c>
      <c r="F3168" s="13"/>
      <c r="G3168" s="13" t="s">
        <v>111</v>
      </c>
      <c r="H3168" s="13" t="s">
        <v>75</v>
      </c>
      <c r="I3168" s="13"/>
      <c r="J3168" s="13"/>
      <c r="K3168" s="15"/>
      <c r="L3168" s="15"/>
      <c r="M3168" s="16">
        <v>0.0</v>
      </c>
      <c r="N3168" s="16">
        <v>0.0</v>
      </c>
      <c r="O3168" s="17">
        <v>0.0</v>
      </c>
      <c r="P3168" s="17">
        <v>0.0</v>
      </c>
      <c r="Q3168" s="13"/>
      <c r="R3168" s="13"/>
      <c r="S3168" s="13"/>
      <c r="T3168" s="13">
        <f t="shared" ref="T3168:Y3168" si="3405">IF(ISBLANK(K3168)=TRUE,0,1)</f>
        <v>0</v>
      </c>
      <c r="U3168" s="13">
        <f t="shared" si="3405"/>
        <v>0</v>
      </c>
      <c r="V3168" s="13">
        <f t="shared" si="3405"/>
        <v>1</v>
      </c>
      <c r="W3168" s="13">
        <f t="shared" si="3405"/>
        <v>1</v>
      </c>
      <c r="X3168" s="13">
        <f t="shared" si="3405"/>
        <v>1</v>
      </c>
      <c r="Y3168" s="13">
        <f t="shared" si="3405"/>
        <v>1</v>
      </c>
      <c r="Z3168" s="13">
        <f t="shared" si="3023"/>
        <v>0</v>
      </c>
      <c r="AA3168" s="13"/>
      <c r="AB3168" s="13"/>
      <c r="AC3168" s="13"/>
      <c r="AD3168" s="13"/>
      <c r="AE3168" s="13"/>
      <c r="AF3168" s="13"/>
      <c r="AG3168" s="13"/>
      <c r="AH3168" s="13"/>
      <c r="AI3168" s="13"/>
      <c r="AJ3168" s="13"/>
      <c r="AK3168" s="13"/>
      <c r="AL3168" s="13"/>
      <c r="AM3168" s="13"/>
      <c r="AN3168" s="13"/>
      <c r="AO3168" s="13"/>
      <c r="AP3168" s="13"/>
      <c r="AQ3168" s="13"/>
      <c r="AR3168" s="13"/>
      <c r="AS3168" s="13"/>
    </row>
    <row r="3169" ht="14.25" customHeight="1">
      <c r="A3169" s="26" t="s">
        <v>29</v>
      </c>
      <c r="B3169" s="26" t="s">
        <v>32</v>
      </c>
      <c r="C3169" s="27" t="s">
        <v>109</v>
      </c>
      <c r="D3169" s="26" t="s">
        <v>435</v>
      </c>
      <c r="F3169" s="26"/>
      <c r="G3169" s="13" t="s">
        <v>111</v>
      </c>
      <c r="H3169" s="26" t="s">
        <v>75</v>
      </c>
      <c r="I3169" s="26"/>
      <c r="J3169" s="26"/>
      <c r="K3169" s="28"/>
      <c r="L3169" s="28"/>
      <c r="M3169" s="16">
        <v>0.0</v>
      </c>
      <c r="N3169" s="16">
        <v>0.0</v>
      </c>
      <c r="O3169" s="17">
        <v>0.0</v>
      </c>
      <c r="P3169" s="17">
        <v>0.0</v>
      </c>
      <c r="Q3169" s="13"/>
      <c r="R3169" s="13"/>
      <c r="S3169" s="13"/>
      <c r="T3169" s="13">
        <f t="shared" ref="T3169:Y3169" si="3406">IF(ISBLANK(K3169)=TRUE,0,1)</f>
        <v>0</v>
      </c>
      <c r="U3169" s="13">
        <f t="shared" si="3406"/>
        <v>0</v>
      </c>
      <c r="V3169" s="13">
        <f t="shared" si="3406"/>
        <v>1</v>
      </c>
      <c r="W3169" s="13">
        <f t="shared" si="3406"/>
        <v>1</v>
      </c>
      <c r="X3169" s="13">
        <f t="shared" si="3406"/>
        <v>1</v>
      </c>
      <c r="Y3169" s="13">
        <f t="shared" si="3406"/>
        <v>1</v>
      </c>
      <c r="Z3169" s="13">
        <f t="shared" si="3023"/>
        <v>0</v>
      </c>
      <c r="AA3169" s="13"/>
      <c r="AB3169" s="13"/>
      <c r="AC3169" s="13"/>
      <c r="AD3169" s="13"/>
      <c r="AE3169" s="13"/>
      <c r="AF3169" s="13"/>
      <c r="AG3169" s="13"/>
      <c r="AH3169" s="13"/>
      <c r="AI3169" s="13"/>
      <c r="AJ3169" s="13"/>
      <c r="AK3169" s="13"/>
      <c r="AL3169" s="13"/>
      <c r="AM3169" s="13"/>
      <c r="AN3169" s="13"/>
      <c r="AO3169" s="13"/>
      <c r="AP3169" s="13"/>
      <c r="AQ3169" s="13"/>
      <c r="AR3169" s="13"/>
      <c r="AS3169" s="13"/>
    </row>
    <row r="3170" ht="14.25" customHeight="1">
      <c r="A3170" s="13" t="s">
        <v>46</v>
      </c>
      <c r="B3170" s="13" t="s">
        <v>47</v>
      </c>
      <c r="C3170" s="13" t="s">
        <v>1944</v>
      </c>
      <c r="D3170" s="13"/>
      <c r="E3170" s="13"/>
      <c r="F3170" s="13"/>
      <c r="G3170" s="13" t="s">
        <v>111</v>
      </c>
      <c r="H3170" s="13" t="s">
        <v>75</v>
      </c>
      <c r="I3170" s="13"/>
      <c r="J3170" s="13"/>
      <c r="K3170" s="15"/>
      <c r="L3170" s="15"/>
      <c r="M3170" s="16"/>
      <c r="N3170" s="16"/>
      <c r="O3170" s="17">
        <v>0.0</v>
      </c>
      <c r="P3170" s="17">
        <v>0.0</v>
      </c>
      <c r="Q3170" s="13"/>
      <c r="R3170" s="29">
        <v>45007.0</v>
      </c>
      <c r="S3170" s="13"/>
      <c r="T3170" s="13">
        <f t="shared" ref="T3170:Y3170" si="3407">IF(ISBLANK(K3170)=TRUE,0,1)</f>
        <v>0</v>
      </c>
      <c r="U3170" s="13">
        <f t="shared" si="3407"/>
        <v>0</v>
      </c>
      <c r="V3170" s="13">
        <f t="shared" si="3407"/>
        <v>0</v>
      </c>
      <c r="W3170" s="13">
        <f t="shared" si="3407"/>
        <v>0</v>
      </c>
      <c r="X3170" s="13">
        <f t="shared" si="3407"/>
        <v>1</v>
      </c>
      <c r="Y3170" s="13">
        <f t="shared" si="3407"/>
        <v>1</v>
      </c>
      <c r="Z3170" s="13">
        <f t="shared" si="3023"/>
        <v>0</v>
      </c>
      <c r="AA3170" s="13"/>
      <c r="AB3170" s="13"/>
      <c r="AC3170" s="13"/>
      <c r="AD3170" s="13"/>
      <c r="AE3170" s="13"/>
      <c r="AF3170" s="13"/>
      <c r="AG3170" s="13"/>
      <c r="AH3170" s="13"/>
      <c r="AI3170" s="13"/>
      <c r="AJ3170" s="13"/>
      <c r="AK3170" s="13"/>
      <c r="AL3170" s="13"/>
      <c r="AM3170" s="13"/>
      <c r="AN3170" s="13"/>
      <c r="AO3170" s="13"/>
      <c r="AP3170" s="13"/>
      <c r="AQ3170" s="13"/>
      <c r="AR3170" s="13"/>
      <c r="AS3170" s="13"/>
    </row>
    <row r="3171" ht="14.25" customHeight="1">
      <c r="A3171" s="13" t="s">
        <v>46</v>
      </c>
      <c r="B3171" s="13" t="s">
        <v>47</v>
      </c>
      <c r="C3171" s="13" t="s">
        <v>1945</v>
      </c>
      <c r="D3171" s="13"/>
      <c r="E3171" s="13"/>
      <c r="F3171" s="13"/>
      <c r="G3171" s="13" t="s">
        <v>111</v>
      </c>
      <c r="H3171" s="13" t="s">
        <v>75</v>
      </c>
      <c r="I3171" s="13"/>
      <c r="J3171" s="13"/>
      <c r="K3171" s="15"/>
      <c r="L3171" s="15"/>
      <c r="M3171" s="16"/>
      <c r="N3171" s="16"/>
      <c r="O3171" s="17">
        <v>0.0</v>
      </c>
      <c r="P3171" s="17">
        <v>0.0</v>
      </c>
      <c r="Q3171" s="13"/>
      <c r="R3171" s="29">
        <v>45007.0</v>
      </c>
      <c r="S3171" s="13"/>
      <c r="T3171" s="13">
        <f t="shared" ref="T3171:Y3171" si="3408">IF(ISBLANK(K3171)=TRUE,0,1)</f>
        <v>0</v>
      </c>
      <c r="U3171" s="13">
        <f t="shared" si="3408"/>
        <v>0</v>
      </c>
      <c r="V3171" s="13">
        <f t="shared" si="3408"/>
        <v>0</v>
      </c>
      <c r="W3171" s="13">
        <f t="shared" si="3408"/>
        <v>0</v>
      </c>
      <c r="X3171" s="13">
        <f t="shared" si="3408"/>
        <v>1</v>
      </c>
      <c r="Y3171" s="13">
        <f t="shared" si="3408"/>
        <v>1</v>
      </c>
      <c r="Z3171" s="13">
        <f t="shared" si="3023"/>
        <v>0</v>
      </c>
      <c r="AA3171" s="13"/>
      <c r="AB3171" s="13"/>
      <c r="AC3171" s="13"/>
      <c r="AD3171" s="13"/>
      <c r="AE3171" s="13"/>
      <c r="AF3171" s="13"/>
      <c r="AG3171" s="13"/>
      <c r="AH3171" s="13"/>
      <c r="AI3171" s="13"/>
      <c r="AJ3171" s="13"/>
      <c r="AK3171" s="13"/>
      <c r="AL3171" s="13"/>
      <c r="AM3171" s="13"/>
      <c r="AN3171" s="13"/>
      <c r="AO3171" s="13"/>
      <c r="AP3171" s="13"/>
      <c r="AQ3171" s="13"/>
      <c r="AR3171" s="13"/>
      <c r="AS3171" s="13"/>
    </row>
    <row r="3172" ht="14.25" customHeight="1">
      <c r="A3172" s="13" t="s">
        <v>46</v>
      </c>
      <c r="B3172" s="13" t="s">
        <v>47</v>
      </c>
      <c r="C3172" s="13" t="s">
        <v>1946</v>
      </c>
      <c r="D3172" s="13"/>
      <c r="E3172" s="13"/>
      <c r="F3172" s="13"/>
      <c r="G3172" s="13" t="s">
        <v>111</v>
      </c>
      <c r="H3172" s="13" t="s">
        <v>75</v>
      </c>
      <c r="I3172" s="13"/>
      <c r="J3172" s="13"/>
      <c r="K3172" s="15">
        <v>0.0</v>
      </c>
      <c r="L3172" s="15">
        <v>0.0</v>
      </c>
      <c r="M3172" s="16"/>
      <c r="N3172" s="16"/>
      <c r="O3172" s="17"/>
      <c r="P3172" s="17"/>
      <c r="Q3172" s="13">
        <f t="shared" ref="Q3172:Q3177" si="3410">K3171+L3171+M3171+N3171+O3171+P3171/6</f>
        <v>0</v>
      </c>
      <c r="R3172" s="13"/>
      <c r="S3172" s="13"/>
      <c r="T3172" s="13">
        <f t="shared" ref="T3172:Y3172" si="3409">IF(ISBLANK(K3172)=TRUE,0,1)</f>
        <v>1</v>
      </c>
      <c r="U3172" s="13">
        <f t="shared" si="3409"/>
        <v>1</v>
      </c>
      <c r="V3172" s="13">
        <f t="shared" si="3409"/>
        <v>0</v>
      </c>
      <c r="W3172" s="13">
        <f t="shared" si="3409"/>
        <v>0</v>
      </c>
      <c r="X3172" s="13">
        <f t="shared" si="3409"/>
        <v>0</v>
      </c>
      <c r="Y3172" s="13">
        <f t="shared" si="3409"/>
        <v>0</v>
      </c>
      <c r="Z3172" s="13">
        <f t="shared" si="3023"/>
        <v>0</v>
      </c>
      <c r="AA3172" s="13"/>
      <c r="AB3172" s="13"/>
      <c r="AC3172" s="13"/>
      <c r="AD3172" s="13"/>
      <c r="AE3172" s="13"/>
      <c r="AF3172" s="13"/>
      <c r="AG3172" s="13"/>
      <c r="AH3172" s="13"/>
      <c r="AI3172" s="13"/>
      <c r="AJ3172" s="13"/>
      <c r="AK3172" s="13"/>
      <c r="AL3172" s="13"/>
      <c r="AM3172" s="13"/>
      <c r="AN3172" s="13"/>
      <c r="AO3172" s="13"/>
      <c r="AP3172" s="13"/>
      <c r="AQ3172" s="13"/>
      <c r="AR3172" s="13"/>
      <c r="AS3172" s="13"/>
    </row>
    <row r="3173" ht="14.25" customHeight="1">
      <c r="A3173" s="13" t="s">
        <v>36</v>
      </c>
      <c r="B3173" s="13" t="s">
        <v>41</v>
      </c>
      <c r="C3173" s="13" t="s">
        <v>1860</v>
      </c>
      <c r="D3173" s="13" t="s">
        <v>553</v>
      </c>
      <c r="F3173" s="13"/>
      <c r="G3173" s="13" t="s">
        <v>74</v>
      </c>
      <c r="H3173" s="13" t="s">
        <v>75</v>
      </c>
      <c r="I3173" s="13"/>
      <c r="J3173" s="13"/>
      <c r="K3173" s="15">
        <v>1.0</v>
      </c>
      <c r="L3173" s="15">
        <v>1.0</v>
      </c>
      <c r="M3173" s="16"/>
      <c r="N3173" s="16"/>
      <c r="O3173" s="17">
        <v>1.0</v>
      </c>
      <c r="P3173" s="17">
        <v>1.0</v>
      </c>
      <c r="Q3173" s="13">
        <f t="shared" si="3410"/>
        <v>0</v>
      </c>
      <c r="R3173" s="13"/>
      <c r="S3173" s="13"/>
      <c r="T3173" s="13">
        <f t="shared" ref="T3173:Y3173" si="3411">IF(ISBLANK(K3173)=TRUE,0,1)</f>
        <v>1</v>
      </c>
      <c r="U3173" s="13">
        <f t="shared" si="3411"/>
        <v>1</v>
      </c>
      <c r="V3173" s="13">
        <f t="shared" si="3411"/>
        <v>0</v>
      </c>
      <c r="W3173" s="13">
        <f t="shared" si="3411"/>
        <v>0</v>
      </c>
      <c r="X3173" s="13">
        <f t="shared" si="3411"/>
        <v>1</v>
      </c>
      <c r="Y3173" s="13">
        <f t="shared" si="3411"/>
        <v>1</v>
      </c>
      <c r="Z3173" s="13">
        <f t="shared" si="3023"/>
        <v>1</v>
      </c>
      <c r="AA3173" s="13"/>
      <c r="AB3173" s="13"/>
      <c r="AC3173" s="13"/>
      <c r="AD3173" s="13"/>
      <c r="AE3173" s="13"/>
      <c r="AF3173" s="13"/>
      <c r="AG3173" s="13"/>
      <c r="AH3173" s="13"/>
      <c r="AI3173" s="13"/>
      <c r="AJ3173" s="13"/>
      <c r="AK3173" s="13"/>
      <c r="AL3173" s="13"/>
      <c r="AM3173" s="13"/>
      <c r="AN3173" s="13"/>
      <c r="AO3173" s="13"/>
      <c r="AP3173" s="13"/>
      <c r="AQ3173" s="13"/>
      <c r="AR3173" s="13"/>
      <c r="AS3173" s="13"/>
    </row>
    <row r="3174" ht="14.25" customHeight="1">
      <c r="A3174" s="13" t="s">
        <v>36</v>
      </c>
      <c r="B3174" s="13" t="s">
        <v>41</v>
      </c>
      <c r="C3174" s="13" t="s">
        <v>1860</v>
      </c>
      <c r="D3174" s="13" t="s">
        <v>554</v>
      </c>
      <c r="F3174" s="13"/>
      <c r="G3174" s="13" t="s">
        <v>74</v>
      </c>
      <c r="H3174" s="13" t="s">
        <v>75</v>
      </c>
      <c r="I3174" s="13"/>
      <c r="J3174" s="13"/>
      <c r="K3174" s="15">
        <v>1.0</v>
      </c>
      <c r="L3174" s="15">
        <v>1.0</v>
      </c>
      <c r="M3174" s="16"/>
      <c r="N3174" s="16"/>
      <c r="O3174" s="17">
        <v>1.0</v>
      </c>
      <c r="P3174" s="17">
        <v>1.0</v>
      </c>
      <c r="Q3174" s="13">
        <f t="shared" si="3410"/>
        <v>3.166666667</v>
      </c>
      <c r="R3174" s="13"/>
      <c r="S3174" s="13"/>
      <c r="T3174" s="13">
        <f t="shared" ref="T3174:Y3174" si="3412">IF(ISBLANK(K3174)=TRUE,0,1)</f>
        <v>1</v>
      </c>
      <c r="U3174" s="13">
        <f t="shared" si="3412"/>
        <v>1</v>
      </c>
      <c r="V3174" s="13">
        <f t="shared" si="3412"/>
        <v>0</v>
      </c>
      <c r="W3174" s="13">
        <f t="shared" si="3412"/>
        <v>0</v>
      </c>
      <c r="X3174" s="13">
        <f t="shared" si="3412"/>
        <v>1</v>
      </c>
      <c r="Y3174" s="13">
        <f t="shared" si="3412"/>
        <v>1</v>
      </c>
      <c r="Z3174" s="13">
        <f t="shared" si="3023"/>
        <v>1</v>
      </c>
      <c r="AA3174" s="13"/>
      <c r="AB3174" s="13"/>
      <c r="AC3174" s="13"/>
      <c r="AD3174" s="13"/>
      <c r="AE3174" s="13"/>
      <c r="AF3174" s="13"/>
      <c r="AG3174" s="13"/>
      <c r="AH3174" s="13"/>
      <c r="AI3174" s="13"/>
      <c r="AJ3174" s="13"/>
      <c r="AK3174" s="13"/>
      <c r="AL3174" s="13"/>
      <c r="AM3174" s="13"/>
      <c r="AN3174" s="13"/>
      <c r="AO3174" s="13"/>
      <c r="AP3174" s="13"/>
      <c r="AQ3174" s="13"/>
      <c r="AR3174" s="13"/>
      <c r="AS3174" s="13"/>
    </row>
    <row r="3175" ht="14.25" customHeight="1">
      <c r="A3175" s="13" t="s">
        <v>36</v>
      </c>
      <c r="B3175" s="13" t="s">
        <v>41</v>
      </c>
      <c r="C3175" s="13" t="s">
        <v>1860</v>
      </c>
      <c r="D3175" s="13" t="s">
        <v>555</v>
      </c>
      <c r="F3175" s="13"/>
      <c r="G3175" s="13" t="s">
        <v>74</v>
      </c>
      <c r="H3175" s="13" t="s">
        <v>75</v>
      </c>
      <c r="I3175" s="13"/>
      <c r="J3175" s="13"/>
      <c r="K3175" s="15">
        <v>1.0</v>
      </c>
      <c r="L3175" s="15">
        <v>1.0</v>
      </c>
      <c r="M3175" s="16"/>
      <c r="N3175" s="16"/>
      <c r="O3175" s="17">
        <v>1.0</v>
      </c>
      <c r="P3175" s="17">
        <v>1.0</v>
      </c>
      <c r="Q3175" s="13">
        <f t="shared" si="3410"/>
        <v>3.166666667</v>
      </c>
      <c r="R3175" s="13"/>
      <c r="S3175" s="13"/>
      <c r="T3175" s="13">
        <f t="shared" ref="T3175:Y3175" si="3413">IF(ISBLANK(K3175)=TRUE,0,1)</f>
        <v>1</v>
      </c>
      <c r="U3175" s="13">
        <f t="shared" si="3413"/>
        <v>1</v>
      </c>
      <c r="V3175" s="13">
        <f t="shared" si="3413"/>
        <v>0</v>
      </c>
      <c r="W3175" s="13">
        <f t="shared" si="3413"/>
        <v>0</v>
      </c>
      <c r="X3175" s="13">
        <f t="shared" si="3413"/>
        <v>1</v>
      </c>
      <c r="Y3175" s="13">
        <f t="shared" si="3413"/>
        <v>1</v>
      </c>
      <c r="Z3175" s="13">
        <f t="shared" si="3023"/>
        <v>1</v>
      </c>
      <c r="AA3175" s="13"/>
      <c r="AB3175" s="13"/>
      <c r="AC3175" s="13"/>
      <c r="AD3175" s="13"/>
      <c r="AE3175" s="13"/>
      <c r="AF3175" s="13"/>
      <c r="AG3175" s="13"/>
      <c r="AH3175" s="13"/>
      <c r="AI3175" s="13"/>
      <c r="AJ3175" s="13"/>
      <c r="AK3175" s="13"/>
      <c r="AL3175" s="13"/>
      <c r="AM3175" s="13"/>
      <c r="AN3175" s="13"/>
      <c r="AO3175" s="13"/>
      <c r="AP3175" s="13"/>
      <c r="AQ3175" s="13"/>
      <c r="AR3175" s="13"/>
      <c r="AS3175" s="13"/>
    </row>
    <row r="3176" ht="14.25" customHeight="1">
      <c r="A3176" s="13" t="s">
        <v>36</v>
      </c>
      <c r="B3176" s="13" t="s">
        <v>39</v>
      </c>
      <c r="C3176" s="13" t="s">
        <v>1872</v>
      </c>
      <c r="D3176" s="13" t="s">
        <v>193</v>
      </c>
      <c r="F3176" s="13"/>
      <c r="G3176" s="13" t="s">
        <v>111</v>
      </c>
      <c r="H3176" s="13" t="s">
        <v>75</v>
      </c>
      <c r="I3176" s="13"/>
      <c r="J3176" s="13"/>
      <c r="K3176" s="15">
        <v>0.0</v>
      </c>
      <c r="L3176" s="15">
        <v>0.0</v>
      </c>
      <c r="M3176" s="16"/>
      <c r="N3176" s="16"/>
      <c r="O3176" s="17"/>
      <c r="P3176" s="17"/>
      <c r="Q3176" s="13">
        <f t="shared" si="3410"/>
        <v>3.166666667</v>
      </c>
      <c r="R3176" s="13"/>
      <c r="S3176" s="13"/>
      <c r="T3176" s="13">
        <f t="shared" ref="T3176:Y3176" si="3414">IF(ISBLANK(K3176)=TRUE,0,1)</f>
        <v>1</v>
      </c>
      <c r="U3176" s="13">
        <f t="shared" si="3414"/>
        <v>1</v>
      </c>
      <c r="V3176" s="13">
        <f t="shared" si="3414"/>
        <v>0</v>
      </c>
      <c r="W3176" s="13">
        <f t="shared" si="3414"/>
        <v>0</v>
      </c>
      <c r="X3176" s="13">
        <f t="shared" si="3414"/>
        <v>0</v>
      </c>
      <c r="Y3176" s="13">
        <f t="shared" si="3414"/>
        <v>0</v>
      </c>
      <c r="Z3176" s="13">
        <f t="shared" si="3023"/>
        <v>0</v>
      </c>
      <c r="AA3176" s="13"/>
      <c r="AB3176" s="13"/>
      <c r="AC3176" s="13"/>
      <c r="AD3176" s="13"/>
      <c r="AE3176" s="13"/>
      <c r="AF3176" s="13"/>
      <c r="AG3176" s="13"/>
      <c r="AH3176" s="13"/>
      <c r="AI3176" s="13"/>
      <c r="AJ3176" s="13"/>
      <c r="AK3176" s="13"/>
      <c r="AL3176" s="13"/>
      <c r="AM3176" s="13"/>
      <c r="AN3176" s="13"/>
      <c r="AO3176" s="13"/>
      <c r="AP3176" s="13"/>
      <c r="AQ3176" s="13"/>
      <c r="AR3176" s="13"/>
      <c r="AS3176" s="13"/>
    </row>
    <row r="3177" ht="14.25" customHeight="1">
      <c r="A3177" s="13" t="s">
        <v>36</v>
      </c>
      <c r="B3177" s="13" t="s">
        <v>37</v>
      </c>
      <c r="C3177" s="13" t="s">
        <v>1859</v>
      </c>
      <c r="D3177" s="13" t="s">
        <v>194</v>
      </c>
      <c r="F3177" s="13"/>
      <c r="G3177" s="13" t="s">
        <v>74</v>
      </c>
      <c r="H3177" s="13" t="s">
        <v>75</v>
      </c>
      <c r="I3177" s="13"/>
      <c r="J3177" s="13"/>
      <c r="K3177" s="15">
        <v>1.0</v>
      </c>
      <c r="L3177" s="15">
        <v>1.0</v>
      </c>
      <c r="M3177" s="16"/>
      <c r="N3177" s="16"/>
      <c r="O3177" s="17"/>
      <c r="P3177" s="17"/>
      <c r="Q3177" s="13">
        <f t="shared" si="3410"/>
        <v>0</v>
      </c>
      <c r="R3177" s="13"/>
      <c r="S3177" s="13"/>
      <c r="T3177" s="13">
        <f t="shared" ref="T3177:Y3177" si="3415">IF(ISBLANK(K3177)=TRUE,0,1)</f>
        <v>1</v>
      </c>
      <c r="U3177" s="13">
        <f t="shared" si="3415"/>
        <v>1</v>
      </c>
      <c r="V3177" s="13">
        <f t="shared" si="3415"/>
        <v>0</v>
      </c>
      <c r="W3177" s="13">
        <f t="shared" si="3415"/>
        <v>0</v>
      </c>
      <c r="X3177" s="13">
        <f t="shared" si="3415"/>
        <v>0</v>
      </c>
      <c r="Y3177" s="13">
        <f t="shared" si="3415"/>
        <v>0</v>
      </c>
      <c r="Z3177" s="13">
        <f t="shared" si="3023"/>
        <v>1</v>
      </c>
      <c r="AA3177" s="13"/>
      <c r="AB3177" s="13"/>
      <c r="AC3177" s="13"/>
      <c r="AD3177" s="13"/>
      <c r="AE3177" s="13"/>
      <c r="AF3177" s="13"/>
      <c r="AG3177" s="13"/>
      <c r="AH3177" s="13"/>
      <c r="AI3177" s="13"/>
      <c r="AJ3177" s="13"/>
      <c r="AK3177" s="13"/>
      <c r="AL3177" s="13"/>
      <c r="AM3177" s="13"/>
      <c r="AN3177" s="13"/>
      <c r="AO3177" s="13"/>
      <c r="AP3177" s="13"/>
      <c r="AQ3177" s="13"/>
      <c r="AR3177" s="13"/>
      <c r="AS3177" s="13"/>
    </row>
    <row r="3178" ht="14.25" customHeight="1">
      <c r="A3178" s="13" t="s">
        <v>29</v>
      </c>
      <c r="B3178" s="13" t="s">
        <v>32</v>
      </c>
      <c r="C3178" s="18" t="s">
        <v>109</v>
      </c>
      <c r="D3178" s="13" t="s">
        <v>1947</v>
      </c>
      <c r="F3178" s="13"/>
      <c r="G3178" s="13" t="s">
        <v>111</v>
      </c>
      <c r="H3178" s="13" t="s">
        <v>75</v>
      </c>
      <c r="I3178" s="13"/>
      <c r="J3178" s="13"/>
      <c r="K3178" s="15"/>
      <c r="L3178" s="15"/>
      <c r="M3178" s="16">
        <v>0.0</v>
      </c>
      <c r="N3178" s="16">
        <v>0.0</v>
      </c>
      <c r="O3178" s="17">
        <v>0.0</v>
      </c>
      <c r="P3178" s="17">
        <v>0.0</v>
      </c>
      <c r="Q3178" s="13"/>
      <c r="R3178" s="13"/>
      <c r="S3178" s="13"/>
      <c r="T3178" s="13">
        <f t="shared" ref="T3178:Y3178" si="3416">IF(ISBLANK(K3178)=TRUE,0,1)</f>
        <v>0</v>
      </c>
      <c r="U3178" s="13">
        <f t="shared" si="3416"/>
        <v>0</v>
      </c>
      <c r="V3178" s="13">
        <f t="shared" si="3416"/>
        <v>1</v>
      </c>
      <c r="W3178" s="13">
        <f t="shared" si="3416"/>
        <v>1</v>
      </c>
      <c r="X3178" s="13">
        <f t="shared" si="3416"/>
        <v>1</v>
      </c>
      <c r="Y3178" s="13">
        <f t="shared" si="3416"/>
        <v>1</v>
      </c>
      <c r="Z3178" s="13">
        <f t="shared" si="3023"/>
        <v>0</v>
      </c>
      <c r="AA3178" s="13"/>
      <c r="AB3178" s="13"/>
      <c r="AC3178" s="13"/>
      <c r="AD3178" s="13"/>
      <c r="AE3178" s="13"/>
      <c r="AF3178" s="13"/>
      <c r="AG3178" s="13"/>
      <c r="AH3178" s="13"/>
      <c r="AI3178" s="13"/>
      <c r="AJ3178" s="13"/>
      <c r="AK3178" s="13"/>
      <c r="AL3178" s="13"/>
      <c r="AM3178" s="13"/>
      <c r="AN3178" s="13"/>
      <c r="AO3178" s="13"/>
      <c r="AP3178" s="13"/>
      <c r="AQ3178" s="13"/>
      <c r="AR3178" s="13"/>
      <c r="AS3178" s="13"/>
    </row>
    <row r="3179" ht="14.25" customHeight="1">
      <c r="A3179" s="13" t="s">
        <v>36</v>
      </c>
      <c r="B3179" s="13" t="s">
        <v>37</v>
      </c>
      <c r="C3179" s="13" t="s">
        <v>1859</v>
      </c>
      <c r="D3179" s="13" t="s">
        <v>195</v>
      </c>
      <c r="F3179" s="13"/>
      <c r="G3179" s="13" t="s">
        <v>74</v>
      </c>
      <c r="H3179" s="13" t="s">
        <v>75</v>
      </c>
      <c r="I3179" s="13"/>
      <c r="J3179" s="13"/>
      <c r="K3179" s="15">
        <v>1.0</v>
      </c>
      <c r="L3179" s="15">
        <v>1.0</v>
      </c>
      <c r="M3179" s="16"/>
      <c r="N3179" s="16"/>
      <c r="O3179" s="17"/>
      <c r="P3179" s="17"/>
      <c r="Q3179" s="13">
        <f t="shared" ref="Q3179:Q3180" si="3418">K3178+L3178+M3178+N3178+O3178+P3178/6</f>
        <v>0</v>
      </c>
      <c r="R3179" s="13"/>
      <c r="S3179" s="13"/>
      <c r="T3179" s="13">
        <f t="shared" ref="T3179:Y3179" si="3417">IF(ISBLANK(K3179)=TRUE,0,1)</f>
        <v>1</v>
      </c>
      <c r="U3179" s="13">
        <f t="shared" si="3417"/>
        <v>1</v>
      </c>
      <c r="V3179" s="13">
        <f t="shared" si="3417"/>
        <v>0</v>
      </c>
      <c r="W3179" s="13">
        <f t="shared" si="3417"/>
        <v>0</v>
      </c>
      <c r="X3179" s="13">
        <f t="shared" si="3417"/>
        <v>0</v>
      </c>
      <c r="Y3179" s="13">
        <f t="shared" si="3417"/>
        <v>0</v>
      </c>
      <c r="Z3179" s="13">
        <f t="shared" si="3023"/>
        <v>1</v>
      </c>
      <c r="AA3179" s="13"/>
      <c r="AB3179" s="13"/>
      <c r="AC3179" s="13"/>
      <c r="AD3179" s="13"/>
      <c r="AE3179" s="13"/>
      <c r="AF3179" s="13"/>
      <c r="AG3179" s="13"/>
      <c r="AH3179" s="13"/>
      <c r="AI3179" s="13"/>
      <c r="AJ3179" s="13"/>
      <c r="AK3179" s="13"/>
      <c r="AL3179" s="13"/>
      <c r="AM3179" s="13"/>
      <c r="AN3179" s="13"/>
      <c r="AO3179" s="13"/>
      <c r="AP3179" s="13"/>
      <c r="AQ3179" s="13"/>
      <c r="AR3179" s="13"/>
      <c r="AS3179" s="13"/>
    </row>
    <row r="3180" ht="14.25" customHeight="1">
      <c r="A3180" s="13" t="s">
        <v>36</v>
      </c>
      <c r="B3180" s="13" t="s">
        <v>39</v>
      </c>
      <c r="C3180" s="13" t="s">
        <v>1872</v>
      </c>
      <c r="D3180" s="13" t="s">
        <v>194</v>
      </c>
      <c r="F3180" s="13"/>
      <c r="G3180" s="13" t="s">
        <v>111</v>
      </c>
      <c r="H3180" s="13" t="s">
        <v>75</v>
      </c>
      <c r="I3180" s="13"/>
      <c r="J3180" s="13"/>
      <c r="K3180" s="15">
        <v>0.0</v>
      </c>
      <c r="L3180" s="15">
        <v>0.0</v>
      </c>
      <c r="M3180" s="16"/>
      <c r="N3180" s="16"/>
      <c r="O3180" s="17"/>
      <c r="P3180" s="17"/>
      <c r="Q3180" s="13">
        <f t="shared" si="3418"/>
        <v>2</v>
      </c>
      <c r="R3180" s="13"/>
      <c r="S3180" s="13"/>
      <c r="T3180" s="13">
        <f t="shared" ref="T3180:Y3180" si="3419">IF(ISBLANK(K3180)=TRUE,0,1)</f>
        <v>1</v>
      </c>
      <c r="U3180" s="13">
        <f t="shared" si="3419"/>
        <v>1</v>
      </c>
      <c r="V3180" s="13">
        <f t="shared" si="3419"/>
        <v>0</v>
      </c>
      <c r="W3180" s="13">
        <f t="shared" si="3419"/>
        <v>0</v>
      </c>
      <c r="X3180" s="13">
        <f t="shared" si="3419"/>
        <v>0</v>
      </c>
      <c r="Y3180" s="13">
        <f t="shared" si="3419"/>
        <v>0</v>
      </c>
      <c r="Z3180" s="13">
        <f t="shared" si="3023"/>
        <v>0</v>
      </c>
      <c r="AA3180" s="13"/>
      <c r="AB3180" s="13"/>
      <c r="AC3180" s="13"/>
      <c r="AD3180" s="13"/>
      <c r="AE3180" s="13"/>
      <c r="AF3180" s="13"/>
      <c r="AG3180" s="13"/>
      <c r="AH3180" s="13"/>
      <c r="AI3180" s="13"/>
      <c r="AJ3180" s="13"/>
      <c r="AK3180" s="13"/>
      <c r="AL3180" s="13"/>
      <c r="AM3180" s="13"/>
      <c r="AN3180" s="13"/>
      <c r="AO3180" s="13"/>
      <c r="AP3180" s="13"/>
      <c r="AQ3180" s="13"/>
      <c r="AR3180" s="13"/>
      <c r="AS3180" s="13"/>
    </row>
    <row r="3181" ht="14.25" customHeight="1">
      <c r="A3181" s="26" t="s">
        <v>29</v>
      </c>
      <c r="B3181" s="26" t="s">
        <v>32</v>
      </c>
      <c r="C3181" s="27" t="s">
        <v>109</v>
      </c>
      <c r="D3181" s="26" t="s">
        <v>436</v>
      </c>
      <c r="F3181" s="26"/>
      <c r="G3181" s="13" t="s">
        <v>111</v>
      </c>
      <c r="H3181" s="26" t="s">
        <v>75</v>
      </c>
      <c r="I3181" s="26"/>
      <c r="J3181" s="26"/>
      <c r="K3181" s="28"/>
      <c r="L3181" s="28"/>
      <c r="M3181" s="16">
        <v>0.0</v>
      </c>
      <c r="N3181" s="16">
        <v>0.0</v>
      </c>
      <c r="O3181" s="17">
        <v>0.0</v>
      </c>
      <c r="P3181" s="17">
        <v>0.0</v>
      </c>
      <c r="Q3181" s="13"/>
      <c r="R3181" s="13"/>
      <c r="S3181" s="13"/>
      <c r="T3181" s="13">
        <f t="shared" ref="T3181:Y3181" si="3420">IF(ISBLANK(K3181)=TRUE,0,1)</f>
        <v>0</v>
      </c>
      <c r="U3181" s="13">
        <f t="shared" si="3420"/>
        <v>0</v>
      </c>
      <c r="V3181" s="13">
        <f t="shared" si="3420"/>
        <v>1</v>
      </c>
      <c r="W3181" s="13">
        <f t="shared" si="3420"/>
        <v>1</v>
      </c>
      <c r="X3181" s="13">
        <f t="shared" si="3420"/>
        <v>1</v>
      </c>
      <c r="Y3181" s="13">
        <f t="shared" si="3420"/>
        <v>1</v>
      </c>
      <c r="Z3181" s="13">
        <f t="shared" si="3023"/>
        <v>0</v>
      </c>
      <c r="AA3181" s="13"/>
      <c r="AB3181" s="13"/>
      <c r="AC3181" s="13"/>
      <c r="AD3181" s="13"/>
      <c r="AE3181" s="13"/>
      <c r="AF3181" s="13"/>
      <c r="AG3181" s="13"/>
      <c r="AH3181" s="13"/>
      <c r="AI3181" s="13"/>
      <c r="AJ3181" s="13"/>
      <c r="AK3181" s="13"/>
      <c r="AL3181" s="13"/>
      <c r="AM3181" s="13"/>
      <c r="AN3181" s="13"/>
      <c r="AO3181" s="13"/>
      <c r="AP3181" s="13"/>
      <c r="AQ3181" s="13"/>
      <c r="AR3181" s="13"/>
      <c r="AS3181" s="13"/>
    </row>
    <row r="3182" ht="14.25" customHeight="1">
      <c r="A3182" s="13" t="s">
        <v>36</v>
      </c>
      <c r="B3182" s="13" t="s">
        <v>42</v>
      </c>
      <c r="C3182" s="13">
        <v>712.0</v>
      </c>
      <c r="D3182" s="13" t="s">
        <v>174</v>
      </c>
      <c r="F3182" s="13"/>
      <c r="G3182" s="13" t="s">
        <v>111</v>
      </c>
      <c r="H3182" s="13" t="s">
        <v>75</v>
      </c>
      <c r="I3182" s="13"/>
      <c r="J3182" s="13"/>
      <c r="K3182" s="15">
        <v>0.0</v>
      </c>
      <c r="L3182" s="15">
        <v>0.0</v>
      </c>
      <c r="M3182" s="16"/>
      <c r="N3182" s="16"/>
      <c r="O3182" s="17"/>
      <c r="P3182" s="17"/>
      <c r="Q3182" s="13">
        <f t="shared" ref="Q3182:Q3192" si="3422">K3181+L3181+M3181+N3181+O3181+P3181/6</f>
        <v>0</v>
      </c>
      <c r="R3182" s="13"/>
      <c r="S3182" s="13"/>
      <c r="T3182" s="13">
        <f t="shared" ref="T3182:Y3182" si="3421">IF(ISBLANK(K3182)=TRUE,0,1)</f>
        <v>1</v>
      </c>
      <c r="U3182" s="13">
        <f t="shared" si="3421"/>
        <v>1</v>
      </c>
      <c r="V3182" s="13">
        <f t="shared" si="3421"/>
        <v>0</v>
      </c>
      <c r="W3182" s="13">
        <f t="shared" si="3421"/>
        <v>0</v>
      </c>
      <c r="X3182" s="13">
        <f t="shared" si="3421"/>
        <v>0</v>
      </c>
      <c r="Y3182" s="13">
        <f t="shared" si="3421"/>
        <v>0</v>
      </c>
      <c r="Z3182" s="13">
        <f t="shared" si="3023"/>
        <v>0</v>
      </c>
      <c r="AA3182" s="13"/>
      <c r="AB3182" s="13"/>
      <c r="AC3182" s="13"/>
      <c r="AD3182" s="13"/>
      <c r="AE3182" s="13"/>
      <c r="AF3182" s="13"/>
      <c r="AG3182" s="13"/>
      <c r="AH3182" s="13"/>
      <c r="AI3182" s="13"/>
      <c r="AJ3182" s="13"/>
      <c r="AK3182" s="13"/>
      <c r="AL3182" s="13"/>
      <c r="AM3182" s="13"/>
      <c r="AN3182" s="13"/>
      <c r="AO3182" s="13"/>
      <c r="AP3182" s="13"/>
      <c r="AQ3182" s="13"/>
      <c r="AR3182" s="13"/>
      <c r="AS3182" s="13"/>
    </row>
    <row r="3183" ht="14.25" customHeight="1">
      <c r="A3183" s="13" t="s">
        <v>36</v>
      </c>
      <c r="B3183" s="13" t="s">
        <v>42</v>
      </c>
      <c r="C3183" s="13">
        <v>712.0</v>
      </c>
      <c r="D3183" s="13" t="s">
        <v>175</v>
      </c>
      <c r="F3183" s="13"/>
      <c r="G3183" s="13" t="s">
        <v>111</v>
      </c>
      <c r="H3183" s="13" t="s">
        <v>75</v>
      </c>
      <c r="I3183" s="13"/>
      <c r="J3183" s="13"/>
      <c r="K3183" s="15">
        <v>0.0</v>
      </c>
      <c r="L3183" s="15">
        <v>0.0</v>
      </c>
      <c r="M3183" s="16"/>
      <c r="N3183" s="16"/>
      <c r="O3183" s="17"/>
      <c r="P3183" s="17"/>
      <c r="Q3183" s="13">
        <f t="shared" si="3422"/>
        <v>0</v>
      </c>
      <c r="R3183" s="13"/>
      <c r="S3183" s="13"/>
      <c r="T3183" s="13">
        <f t="shared" ref="T3183:Y3183" si="3423">IF(ISBLANK(K3183)=TRUE,0,1)</f>
        <v>1</v>
      </c>
      <c r="U3183" s="13">
        <f t="shared" si="3423"/>
        <v>1</v>
      </c>
      <c r="V3183" s="13">
        <f t="shared" si="3423"/>
        <v>0</v>
      </c>
      <c r="W3183" s="13">
        <f t="shared" si="3423"/>
        <v>0</v>
      </c>
      <c r="X3183" s="13">
        <f t="shared" si="3423"/>
        <v>0</v>
      </c>
      <c r="Y3183" s="13">
        <f t="shared" si="3423"/>
        <v>0</v>
      </c>
      <c r="Z3183" s="13">
        <f t="shared" si="3023"/>
        <v>0</v>
      </c>
      <c r="AA3183" s="13"/>
      <c r="AB3183" s="13"/>
      <c r="AC3183" s="13"/>
      <c r="AD3183" s="13"/>
      <c r="AE3183" s="13"/>
      <c r="AF3183" s="13"/>
      <c r="AG3183" s="13"/>
      <c r="AH3183" s="13"/>
      <c r="AI3183" s="13"/>
      <c r="AJ3183" s="13"/>
      <c r="AK3183" s="13"/>
      <c r="AL3183" s="13"/>
      <c r="AM3183" s="13"/>
      <c r="AN3183" s="13"/>
      <c r="AO3183" s="13"/>
      <c r="AP3183" s="13"/>
      <c r="AQ3183" s="13"/>
      <c r="AR3183" s="13"/>
      <c r="AS3183" s="13"/>
    </row>
    <row r="3184" ht="14.25" customHeight="1">
      <c r="A3184" s="13" t="s">
        <v>36</v>
      </c>
      <c r="B3184" s="13" t="s">
        <v>41</v>
      </c>
      <c r="C3184" s="13" t="s">
        <v>1860</v>
      </c>
      <c r="D3184" s="13" t="s">
        <v>168</v>
      </c>
      <c r="F3184" s="13"/>
      <c r="G3184" s="13" t="s">
        <v>74</v>
      </c>
      <c r="H3184" s="13" t="s">
        <v>75</v>
      </c>
      <c r="I3184" s="13"/>
      <c r="J3184" s="13"/>
      <c r="K3184" s="15">
        <v>1.0</v>
      </c>
      <c r="L3184" s="15">
        <v>1.0</v>
      </c>
      <c r="M3184" s="16"/>
      <c r="N3184" s="16"/>
      <c r="O3184" s="17">
        <v>1.0</v>
      </c>
      <c r="P3184" s="17">
        <v>1.0</v>
      </c>
      <c r="Q3184" s="13">
        <f t="shared" si="3422"/>
        <v>0</v>
      </c>
      <c r="R3184" s="13"/>
      <c r="S3184" s="13"/>
      <c r="T3184" s="13">
        <f t="shared" ref="T3184:Y3184" si="3424">IF(ISBLANK(K3184)=TRUE,0,1)</f>
        <v>1</v>
      </c>
      <c r="U3184" s="13">
        <f t="shared" si="3424"/>
        <v>1</v>
      </c>
      <c r="V3184" s="13">
        <f t="shared" si="3424"/>
        <v>0</v>
      </c>
      <c r="W3184" s="13">
        <f t="shared" si="3424"/>
        <v>0</v>
      </c>
      <c r="X3184" s="13">
        <f t="shared" si="3424"/>
        <v>1</v>
      </c>
      <c r="Y3184" s="13">
        <f t="shared" si="3424"/>
        <v>1</v>
      </c>
      <c r="Z3184" s="13">
        <f t="shared" si="3023"/>
        <v>1</v>
      </c>
      <c r="AA3184" s="13"/>
      <c r="AB3184" s="13"/>
      <c r="AC3184" s="13"/>
      <c r="AD3184" s="13"/>
      <c r="AE3184" s="13"/>
      <c r="AF3184" s="13"/>
      <c r="AG3184" s="13"/>
      <c r="AH3184" s="13"/>
      <c r="AI3184" s="13"/>
      <c r="AJ3184" s="13"/>
      <c r="AK3184" s="13"/>
      <c r="AL3184" s="13"/>
      <c r="AM3184" s="13"/>
      <c r="AN3184" s="13"/>
      <c r="AO3184" s="13"/>
      <c r="AP3184" s="13"/>
      <c r="AQ3184" s="13"/>
      <c r="AR3184" s="13"/>
      <c r="AS3184" s="13"/>
    </row>
    <row r="3185" ht="14.25" customHeight="1">
      <c r="A3185" s="13" t="s">
        <v>36</v>
      </c>
      <c r="B3185" s="13" t="s">
        <v>41</v>
      </c>
      <c r="C3185" s="13" t="s">
        <v>1860</v>
      </c>
      <c r="D3185" s="13" t="s">
        <v>169</v>
      </c>
      <c r="F3185" s="13"/>
      <c r="G3185" s="13" t="s">
        <v>74</v>
      </c>
      <c r="H3185" s="13" t="s">
        <v>75</v>
      </c>
      <c r="I3185" s="13"/>
      <c r="J3185" s="13"/>
      <c r="K3185" s="15">
        <v>1.0</v>
      </c>
      <c r="L3185" s="15">
        <v>1.0</v>
      </c>
      <c r="M3185" s="16"/>
      <c r="N3185" s="16"/>
      <c r="O3185" s="17">
        <v>1.0</v>
      </c>
      <c r="P3185" s="17">
        <v>1.0</v>
      </c>
      <c r="Q3185" s="13">
        <f t="shared" si="3422"/>
        <v>3.166666667</v>
      </c>
      <c r="R3185" s="13"/>
      <c r="S3185" s="13"/>
      <c r="T3185" s="13">
        <f t="shared" ref="T3185:Y3185" si="3425">IF(ISBLANK(K3185)=TRUE,0,1)</f>
        <v>1</v>
      </c>
      <c r="U3185" s="13">
        <f t="shared" si="3425"/>
        <v>1</v>
      </c>
      <c r="V3185" s="13">
        <f t="shared" si="3425"/>
        <v>0</v>
      </c>
      <c r="W3185" s="13">
        <f t="shared" si="3425"/>
        <v>0</v>
      </c>
      <c r="X3185" s="13">
        <f t="shared" si="3425"/>
        <v>1</v>
      </c>
      <c r="Y3185" s="13">
        <f t="shared" si="3425"/>
        <v>1</v>
      </c>
      <c r="Z3185" s="13">
        <f t="shared" si="3023"/>
        <v>1</v>
      </c>
      <c r="AA3185" s="13"/>
      <c r="AB3185" s="13"/>
      <c r="AC3185" s="13"/>
      <c r="AD3185" s="13"/>
      <c r="AE3185" s="13"/>
      <c r="AF3185" s="13"/>
      <c r="AG3185" s="13"/>
      <c r="AH3185" s="13"/>
      <c r="AI3185" s="13"/>
      <c r="AJ3185" s="13"/>
      <c r="AK3185" s="13"/>
      <c r="AL3185" s="13"/>
      <c r="AM3185" s="13"/>
      <c r="AN3185" s="13"/>
      <c r="AO3185" s="13"/>
      <c r="AP3185" s="13"/>
      <c r="AQ3185" s="13"/>
      <c r="AR3185" s="13"/>
      <c r="AS3185" s="13"/>
    </row>
    <row r="3186" ht="14.25" customHeight="1">
      <c r="A3186" s="13" t="s">
        <v>36</v>
      </c>
      <c r="B3186" s="13" t="s">
        <v>42</v>
      </c>
      <c r="C3186" s="13">
        <v>712.0</v>
      </c>
      <c r="D3186" s="13" t="s">
        <v>176</v>
      </c>
      <c r="F3186" s="13"/>
      <c r="G3186" s="13" t="s">
        <v>111</v>
      </c>
      <c r="H3186" s="13" t="s">
        <v>75</v>
      </c>
      <c r="I3186" s="13"/>
      <c r="J3186" s="13"/>
      <c r="K3186" s="15">
        <v>0.0</v>
      </c>
      <c r="L3186" s="15">
        <v>0.0</v>
      </c>
      <c r="M3186" s="16"/>
      <c r="N3186" s="16"/>
      <c r="O3186" s="17"/>
      <c r="P3186" s="17"/>
      <c r="Q3186" s="13">
        <f t="shared" si="3422"/>
        <v>3.166666667</v>
      </c>
      <c r="R3186" s="13"/>
      <c r="S3186" s="13"/>
      <c r="T3186" s="13">
        <f t="shared" ref="T3186:Y3186" si="3426">IF(ISBLANK(K3186)=TRUE,0,1)</f>
        <v>1</v>
      </c>
      <c r="U3186" s="13">
        <f t="shared" si="3426"/>
        <v>1</v>
      </c>
      <c r="V3186" s="13">
        <f t="shared" si="3426"/>
        <v>0</v>
      </c>
      <c r="W3186" s="13">
        <f t="shared" si="3426"/>
        <v>0</v>
      </c>
      <c r="X3186" s="13">
        <f t="shared" si="3426"/>
        <v>0</v>
      </c>
      <c r="Y3186" s="13">
        <f t="shared" si="3426"/>
        <v>0</v>
      </c>
      <c r="Z3186" s="13">
        <f t="shared" si="3023"/>
        <v>0</v>
      </c>
      <c r="AA3186" s="13"/>
      <c r="AB3186" s="13"/>
      <c r="AC3186" s="13"/>
      <c r="AD3186" s="13"/>
      <c r="AE3186" s="13"/>
      <c r="AF3186" s="13"/>
      <c r="AG3186" s="13"/>
      <c r="AH3186" s="13"/>
      <c r="AI3186" s="13"/>
      <c r="AJ3186" s="13"/>
      <c r="AK3186" s="13"/>
      <c r="AL3186" s="13"/>
      <c r="AM3186" s="13"/>
      <c r="AN3186" s="13"/>
      <c r="AO3186" s="13"/>
      <c r="AP3186" s="13"/>
      <c r="AQ3186" s="13"/>
      <c r="AR3186" s="13"/>
      <c r="AS3186" s="13"/>
    </row>
    <row r="3187" ht="14.25" customHeight="1">
      <c r="A3187" s="13" t="s">
        <v>36</v>
      </c>
      <c r="B3187" s="13" t="s">
        <v>39</v>
      </c>
      <c r="C3187" s="13" t="s">
        <v>1872</v>
      </c>
      <c r="D3187" s="13" t="s">
        <v>195</v>
      </c>
      <c r="F3187" s="13"/>
      <c r="G3187" s="13" t="s">
        <v>111</v>
      </c>
      <c r="H3187" s="13" t="s">
        <v>75</v>
      </c>
      <c r="I3187" s="13"/>
      <c r="J3187" s="13"/>
      <c r="K3187" s="15">
        <v>0.0</v>
      </c>
      <c r="L3187" s="15">
        <v>0.0</v>
      </c>
      <c r="M3187" s="16"/>
      <c r="N3187" s="16"/>
      <c r="O3187" s="17"/>
      <c r="P3187" s="17"/>
      <c r="Q3187" s="13">
        <f t="shared" si="3422"/>
        <v>0</v>
      </c>
      <c r="R3187" s="13"/>
      <c r="S3187" s="13"/>
      <c r="T3187" s="13">
        <f t="shared" ref="T3187:Y3187" si="3427">IF(ISBLANK(K3187)=TRUE,0,1)</f>
        <v>1</v>
      </c>
      <c r="U3187" s="13">
        <f t="shared" si="3427"/>
        <v>1</v>
      </c>
      <c r="V3187" s="13">
        <f t="shared" si="3427"/>
        <v>0</v>
      </c>
      <c r="W3187" s="13">
        <f t="shared" si="3427"/>
        <v>0</v>
      </c>
      <c r="X3187" s="13">
        <f t="shared" si="3427"/>
        <v>0</v>
      </c>
      <c r="Y3187" s="13">
        <f t="shared" si="3427"/>
        <v>0</v>
      </c>
      <c r="Z3187" s="13">
        <f t="shared" si="3023"/>
        <v>0</v>
      </c>
      <c r="AA3187" s="13"/>
      <c r="AB3187" s="13"/>
      <c r="AC3187" s="13"/>
      <c r="AD3187" s="13"/>
      <c r="AE3187" s="13"/>
      <c r="AF3187" s="13"/>
      <c r="AG3187" s="13"/>
      <c r="AH3187" s="13"/>
      <c r="AI3187" s="13"/>
      <c r="AJ3187" s="13"/>
      <c r="AK3187" s="13"/>
      <c r="AL3187" s="13"/>
      <c r="AM3187" s="13"/>
      <c r="AN3187" s="13"/>
      <c r="AO3187" s="13"/>
      <c r="AP3187" s="13"/>
      <c r="AQ3187" s="13"/>
      <c r="AR3187" s="13"/>
      <c r="AS3187" s="13"/>
    </row>
    <row r="3188" ht="14.25" customHeight="1">
      <c r="A3188" s="13" t="s">
        <v>36</v>
      </c>
      <c r="B3188" s="13" t="s">
        <v>39</v>
      </c>
      <c r="C3188" s="13" t="s">
        <v>1872</v>
      </c>
      <c r="D3188" s="13" t="s">
        <v>196</v>
      </c>
      <c r="F3188" s="13"/>
      <c r="G3188" s="13" t="s">
        <v>111</v>
      </c>
      <c r="H3188" s="13" t="s">
        <v>75</v>
      </c>
      <c r="I3188" s="13"/>
      <c r="J3188" s="13"/>
      <c r="K3188" s="15">
        <v>0.0</v>
      </c>
      <c r="L3188" s="15">
        <v>0.0</v>
      </c>
      <c r="M3188" s="16"/>
      <c r="N3188" s="16"/>
      <c r="O3188" s="17"/>
      <c r="P3188" s="17"/>
      <c r="Q3188" s="13">
        <f t="shared" si="3422"/>
        <v>0</v>
      </c>
      <c r="R3188" s="13"/>
      <c r="S3188" s="13"/>
      <c r="T3188" s="13">
        <f t="shared" ref="T3188:Y3188" si="3428">IF(ISBLANK(K3188)=TRUE,0,1)</f>
        <v>1</v>
      </c>
      <c r="U3188" s="13">
        <f t="shared" si="3428"/>
        <v>1</v>
      </c>
      <c r="V3188" s="13">
        <f t="shared" si="3428"/>
        <v>0</v>
      </c>
      <c r="W3188" s="13">
        <f t="shared" si="3428"/>
        <v>0</v>
      </c>
      <c r="X3188" s="13">
        <f t="shared" si="3428"/>
        <v>0</v>
      </c>
      <c r="Y3188" s="13">
        <f t="shared" si="3428"/>
        <v>0</v>
      </c>
      <c r="Z3188" s="13">
        <f t="shared" si="3023"/>
        <v>0</v>
      </c>
      <c r="AA3188" s="13"/>
      <c r="AB3188" s="13"/>
      <c r="AC3188" s="13"/>
      <c r="AD3188" s="13"/>
      <c r="AE3188" s="13"/>
      <c r="AF3188" s="13"/>
      <c r="AG3188" s="13"/>
      <c r="AH3188" s="13"/>
      <c r="AI3188" s="13"/>
      <c r="AJ3188" s="13"/>
      <c r="AK3188" s="13"/>
      <c r="AL3188" s="13"/>
      <c r="AM3188" s="13"/>
      <c r="AN3188" s="13"/>
      <c r="AO3188" s="13"/>
      <c r="AP3188" s="13"/>
      <c r="AQ3188" s="13"/>
      <c r="AR3188" s="13"/>
      <c r="AS3188" s="13"/>
    </row>
    <row r="3189" ht="14.25" customHeight="1">
      <c r="A3189" s="13" t="s">
        <v>36</v>
      </c>
      <c r="B3189" s="13" t="s">
        <v>42</v>
      </c>
      <c r="C3189" s="13">
        <v>712.0</v>
      </c>
      <c r="D3189" s="13" t="s">
        <v>177</v>
      </c>
      <c r="F3189" s="13"/>
      <c r="G3189" s="13" t="s">
        <v>111</v>
      </c>
      <c r="H3189" s="13" t="s">
        <v>75</v>
      </c>
      <c r="I3189" s="13"/>
      <c r="J3189" s="13"/>
      <c r="K3189" s="15">
        <v>0.0</v>
      </c>
      <c r="L3189" s="15">
        <v>0.0</v>
      </c>
      <c r="M3189" s="16"/>
      <c r="N3189" s="16"/>
      <c r="O3189" s="17"/>
      <c r="P3189" s="17"/>
      <c r="Q3189" s="13">
        <f t="shared" si="3422"/>
        <v>0</v>
      </c>
      <c r="R3189" s="13"/>
      <c r="S3189" s="13"/>
      <c r="T3189" s="13">
        <f t="shared" ref="T3189:Y3189" si="3429">IF(ISBLANK(K3189)=TRUE,0,1)</f>
        <v>1</v>
      </c>
      <c r="U3189" s="13">
        <f t="shared" si="3429"/>
        <v>1</v>
      </c>
      <c r="V3189" s="13">
        <f t="shared" si="3429"/>
        <v>0</v>
      </c>
      <c r="W3189" s="13">
        <f t="shared" si="3429"/>
        <v>0</v>
      </c>
      <c r="X3189" s="13">
        <f t="shared" si="3429"/>
        <v>0</v>
      </c>
      <c r="Y3189" s="13">
        <f t="shared" si="3429"/>
        <v>0</v>
      </c>
      <c r="Z3189" s="13">
        <f t="shared" si="3023"/>
        <v>0</v>
      </c>
      <c r="AA3189" s="13"/>
      <c r="AB3189" s="13"/>
      <c r="AC3189" s="13"/>
      <c r="AD3189" s="13"/>
      <c r="AE3189" s="13"/>
      <c r="AF3189" s="13"/>
      <c r="AG3189" s="13"/>
      <c r="AH3189" s="13"/>
      <c r="AI3189" s="13"/>
      <c r="AJ3189" s="13"/>
      <c r="AK3189" s="13"/>
      <c r="AL3189" s="13"/>
      <c r="AM3189" s="13"/>
      <c r="AN3189" s="13"/>
      <c r="AO3189" s="13"/>
      <c r="AP3189" s="13"/>
      <c r="AQ3189" s="13"/>
      <c r="AR3189" s="13"/>
      <c r="AS3189" s="13"/>
    </row>
    <row r="3190" ht="14.25" customHeight="1">
      <c r="A3190" s="13" t="s">
        <v>36</v>
      </c>
      <c r="B3190" s="13" t="s">
        <v>42</v>
      </c>
      <c r="C3190" s="13">
        <v>712.0</v>
      </c>
      <c r="D3190" s="13" t="s">
        <v>178</v>
      </c>
      <c r="F3190" s="13"/>
      <c r="G3190" s="13" t="s">
        <v>111</v>
      </c>
      <c r="H3190" s="13" t="s">
        <v>75</v>
      </c>
      <c r="I3190" s="13"/>
      <c r="J3190" s="13"/>
      <c r="K3190" s="15">
        <v>0.0</v>
      </c>
      <c r="L3190" s="15">
        <v>0.0</v>
      </c>
      <c r="M3190" s="16"/>
      <c r="N3190" s="16"/>
      <c r="O3190" s="17"/>
      <c r="P3190" s="17"/>
      <c r="Q3190" s="13">
        <f t="shared" si="3422"/>
        <v>0</v>
      </c>
      <c r="R3190" s="13"/>
      <c r="S3190" s="13"/>
      <c r="T3190" s="13">
        <f t="shared" ref="T3190:Y3190" si="3430">IF(ISBLANK(K3190)=TRUE,0,1)</f>
        <v>1</v>
      </c>
      <c r="U3190" s="13">
        <f t="shared" si="3430"/>
        <v>1</v>
      </c>
      <c r="V3190" s="13">
        <f t="shared" si="3430"/>
        <v>0</v>
      </c>
      <c r="W3190" s="13">
        <f t="shared" si="3430"/>
        <v>0</v>
      </c>
      <c r="X3190" s="13">
        <f t="shared" si="3430"/>
        <v>0</v>
      </c>
      <c r="Y3190" s="13">
        <f t="shared" si="3430"/>
        <v>0</v>
      </c>
      <c r="Z3190" s="13">
        <f t="shared" si="3023"/>
        <v>0</v>
      </c>
      <c r="AA3190" s="13"/>
      <c r="AB3190" s="13"/>
      <c r="AC3190" s="13"/>
      <c r="AD3190" s="13"/>
      <c r="AE3190" s="13"/>
      <c r="AF3190" s="13"/>
      <c r="AG3190" s="13"/>
      <c r="AH3190" s="13"/>
      <c r="AI3190" s="13"/>
      <c r="AJ3190" s="13"/>
      <c r="AK3190" s="13"/>
      <c r="AL3190" s="13"/>
      <c r="AM3190" s="13"/>
      <c r="AN3190" s="13"/>
      <c r="AO3190" s="13"/>
      <c r="AP3190" s="13"/>
      <c r="AQ3190" s="13"/>
      <c r="AR3190" s="13"/>
      <c r="AS3190" s="13"/>
    </row>
    <row r="3191" ht="14.25" customHeight="1">
      <c r="A3191" s="13" t="s">
        <v>36</v>
      </c>
      <c r="B3191" s="13" t="s">
        <v>39</v>
      </c>
      <c r="C3191" s="13" t="s">
        <v>1872</v>
      </c>
      <c r="D3191" s="13" t="s">
        <v>197</v>
      </c>
      <c r="F3191" s="13"/>
      <c r="G3191" s="13" t="s">
        <v>111</v>
      </c>
      <c r="H3191" s="13" t="s">
        <v>75</v>
      </c>
      <c r="I3191" s="13"/>
      <c r="J3191" s="13"/>
      <c r="K3191" s="15">
        <v>0.0</v>
      </c>
      <c r="L3191" s="15">
        <v>0.0</v>
      </c>
      <c r="M3191" s="16"/>
      <c r="N3191" s="16"/>
      <c r="O3191" s="17"/>
      <c r="P3191" s="17"/>
      <c r="Q3191" s="13">
        <f t="shared" si="3422"/>
        <v>0</v>
      </c>
      <c r="R3191" s="13"/>
      <c r="S3191" s="13"/>
      <c r="T3191" s="13">
        <f t="shared" ref="T3191:Y3191" si="3431">IF(ISBLANK(K3191)=TRUE,0,1)</f>
        <v>1</v>
      </c>
      <c r="U3191" s="13">
        <f t="shared" si="3431"/>
        <v>1</v>
      </c>
      <c r="V3191" s="13">
        <f t="shared" si="3431"/>
        <v>0</v>
      </c>
      <c r="W3191" s="13">
        <f t="shared" si="3431"/>
        <v>0</v>
      </c>
      <c r="X3191" s="13">
        <f t="shared" si="3431"/>
        <v>0</v>
      </c>
      <c r="Y3191" s="13">
        <f t="shared" si="3431"/>
        <v>0</v>
      </c>
      <c r="Z3191" s="13">
        <f t="shared" si="3023"/>
        <v>0</v>
      </c>
      <c r="AA3191" s="13"/>
      <c r="AB3191" s="13"/>
      <c r="AC3191" s="13"/>
      <c r="AD3191" s="13"/>
      <c r="AE3191" s="13"/>
      <c r="AF3191" s="13"/>
      <c r="AG3191" s="13"/>
      <c r="AH3191" s="13"/>
      <c r="AI3191" s="13"/>
      <c r="AJ3191" s="13"/>
      <c r="AK3191" s="13"/>
      <c r="AL3191" s="13"/>
      <c r="AM3191" s="13"/>
      <c r="AN3191" s="13"/>
      <c r="AO3191" s="13"/>
      <c r="AP3191" s="13"/>
      <c r="AQ3191" s="13"/>
      <c r="AR3191" s="13"/>
      <c r="AS3191" s="13"/>
    </row>
    <row r="3192" ht="14.25" customHeight="1">
      <c r="A3192" s="13" t="s">
        <v>36</v>
      </c>
      <c r="B3192" s="13" t="s">
        <v>37</v>
      </c>
      <c r="C3192" s="13" t="s">
        <v>1859</v>
      </c>
      <c r="D3192" s="13" t="s">
        <v>196</v>
      </c>
      <c r="F3192" s="13"/>
      <c r="G3192" s="13" t="s">
        <v>74</v>
      </c>
      <c r="H3192" s="13" t="s">
        <v>75</v>
      </c>
      <c r="I3192" s="13"/>
      <c r="J3192" s="13"/>
      <c r="K3192" s="15">
        <v>1.0</v>
      </c>
      <c r="L3192" s="15">
        <v>1.0</v>
      </c>
      <c r="M3192" s="16"/>
      <c r="N3192" s="16"/>
      <c r="O3192" s="17"/>
      <c r="P3192" s="17"/>
      <c r="Q3192" s="13">
        <f t="shared" si="3422"/>
        <v>0</v>
      </c>
      <c r="R3192" s="13"/>
      <c r="S3192" s="13"/>
      <c r="T3192" s="13">
        <f t="shared" ref="T3192:Y3192" si="3432">IF(ISBLANK(K3192)=TRUE,0,1)</f>
        <v>1</v>
      </c>
      <c r="U3192" s="13">
        <f t="shared" si="3432"/>
        <v>1</v>
      </c>
      <c r="V3192" s="13">
        <f t="shared" si="3432"/>
        <v>0</v>
      </c>
      <c r="W3192" s="13">
        <f t="shared" si="3432"/>
        <v>0</v>
      </c>
      <c r="X3192" s="13">
        <f t="shared" si="3432"/>
        <v>0</v>
      </c>
      <c r="Y3192" s="13">
        <f t="shared" si="3432"/>
        <v>0</v>
      </c>
      <c r="Z3192" s="13">
        <f t="shared" si="3023"/>
        <v>1</v>
      </c>
      <c r="AA3192" s="13"/>
      <c r="AB3192" s="13"/>
      <c r="AC3192" s="13"/>
      <c r="AD3192" s="13"/>
      <c r="AE3192" s="13"/>
      <c r="AF3192" s="13"/>
      <c r="AG3192" s="13"/>
      <c r="AH3192" s="13"/>
      <c r="AI3192" s="13"/>
      <c r="AJ3192" s="13"/>
      <c r="AK3192" s="13"/>
      <c r="AL3192" s="13"/>
      <c r="AM3192" s="13"/>
      <c r="AN3192" s="13"/>
      <c r="AO3192" s="13"/>
      <c r="AP3192" s="13"/>
      <c r="AQ3192" s="13"/>
      <c r="AR3192" s="13"/>
      <c r="AS3192" s="13"/>
    </row>
    <row r="3193" ht="14.25" customHeight="1">
      <c r="A3193" s="13" t="s">
        <v>29</v>
      </c>
      <c r="B3193" s="13" t="s">
        <v>32</v>
      </c>
      <c r="C3193" s="18" t="s">
        <v>109</v>
      </c>
      <c r="D3193" s="13" t="s">
        <v>1948</v>
      </c>
      <c r="F3193" s="13"/>
      <c r="G3193" s="13" t="s">
        <v>111</v>
      </c>
      <c r="H3193" s="13" t="s">
        <v>75</v>
      </c>
      <c r="I3193" s="13"/>
      <c r="J3193" s="13"/>
      <c r="K3193" s="15"/>
      <c r="L3193" s="15"/>
      <c r="M3193" s="16">
        <v>0.0</v>
      </c>
      <c r="N3193" s="16">
        <v>0.0</v>
      </c>
      <c r="O3193" s="17">
        <v>0.0</v>
      </c>
      <c r="P3193" s="17">
        <v>0.0</v>
      </c>
      <c r="Q3193" s="13"/>
      <c r="R3193" s="13"/>
      <c r="S3193" s="13"/>
      <c r="T3193" s="13">
        <f t="shared" ref="T3193:Y3193" si="3433">IF(ISBLANK(K3193)=TRUE,0,1)</f>
        <v>0</v>
      </c>
      <c r="U3193" s="13">
        <f t="shared" si="3433"/>
        <v>0</v>
      </c>
      <c r="V3193" s="13">
        <f t="shared" si="3433"/>
        <v>1</v>
      </c>
      <c r="W3193" s="13">
        <f t="shared" si="3433"/>
        <v>1</v>
      </c>
      <c r="X3193" s="13">
        <f t="shared" si="3433"/>
        <v>1</v>
      </c>
      <c r="Y3193" s="13">
        <f t="shared" si="3433"/>
        <v>1</v>
      </c>
      <c r="Z3193" s="13">
        <f t="shared" si="3023"/>
        <v>0</v>
      </c>
      <c r="AA3193" s="13"/>
      <c r="AB3193" s="13"/>
      <c r="AC3193" s="13"/>
      <c r="AD3193" s="13"/>
      <c r="AE3193" s="13"/>
      <c r="AF3193" s="13"/>
      <c r="AG3193" s="13"/>
      <c r="AH3193" s="13"/>
      <c r="AI3193" s="13"/>
      <c r="AJ3193" s="13"/>
      <c r="AK3193" s="13"/>
      <c r="AL3193" s="13"/>
      <c r="AM3193" s="13"/>
      <c r="AN3193" s="13"/>
      <c r="AO3193" s="13"/>
      <c r="AP3193" s="13"/>
      <c r="AQ3193" s="13"/>
      <c r="AR3193" s="13"/>
      <c r="AS3193" s="13"/>
    </row>
    <row r="3194" ht="14.25" customHeight="1">
      <c r="A3194" s="26" t="s">
        <v>29</v>
      </c>
      <c r="B3194" s="26" t="s">
        <v>32</v>
      </c>
      <c r="C3194" s="27" t="s">
        <v>109</v>
      </c>
      <c r="D3194" s="26" t="s">
        <v>437</v>
      </c>
      <c r="F3194" s="26"/>
      <c r="G3194" s="13" t="s">
        <v>111</v>
      </c>
      <c r="H3194" s="26" t="s">
        <v>75</v>
      </c>
      <c r="I3194" s="26"/>
      <c r="J3194" s="26"/>
      <c r="K3194" s="28"/>
      <c r="L3194" s="28"/>
      <c r="M3194" s="16">
        <v>0.0</v>
      </c>
      <c r="N3194" s="16">
        <v>0.0</v>
      </c>
      <c r="O3194" s="17">
        <v>0.0</v>
      </c>
      <c r="P3194" s="17">
        <v>0.0</v>
      </c>
      <c r="Q3194" s="13"/>
      <c r="R3194" s="13"/>
      <c r="S3194" s="13"/>
      <c r="T3194" s="13">
        <f t="shared" ref="T3194:Y3194" si="3434">IF(ISBLANK(K3194)=TRUE,0,1)</f>
        <v>0</v>
      </c>
      <c r="U3194" s="13">
        <f t="shared" si="3434"/>
        <v>0</v>
      </c>
      <c r="V3194" s="13">
        <f t="shared" si="3434"/>
        <v>1</v>
      </c>
      <c r="W3194" s="13">
        <f t="shared" si="3434"/>
        <v>1</v>
      </c>
      <c r="X3194" s="13">
        <f t="shared" si="3434"/>
        <v>1</v>
      </c>
      <c r="Y3194" s="13">
        <f t="shared" si="3434"/>
        <v>1</v>
      </c>
      <c r="Z3194" s="13">
        <f t="shared" si="3023"/>
        <v>0</v>
      </c>
      <c r="AA3194" s="13"/>
      <c r="AB3194" s="13"/>
      <c r="AC3194" s="13"/>
      <c r="AD3194" s="13"/>
      <c r="AE3194" s="13"/>
      <c r="AF3194" s="13"/>
      <c r="AG3194" s="13"/>
      <c r="AH3194" s="13"/>
      <c r="AI3194" s="13"/>
      <c r="AJ3194" s="13"/>
      <c r="AK3194" s="13"/>
      <c r="AL3194" s="13"/>
      <c r="AM3194" s="13"/>
      <c r="AN3194" s="13"/>
      <c r="AO3194" s="13"/>
      <c r="AP3194" s="13"/>
      <c r="AQ3194" s="13"/>
      <c r="AR3194" s="13"/>
      <c r="AS3194" s="13"/>
    </row>
    <row r="3195" ht="14.25" customHeight="1">
      <c r="A3195" s="13" t="s">
        <v>29</v>
      </c>
      <c r="B3195" s="13" t="s">
        <v>32</v>
      </c>
      <c r="C3195" s="18" t="s">
        <v>109</v>
      </c>
      <c r="D3195" s="13" t="s">
        <v>1949</v>
      </c>
      <c r="F3195" s="13"/>
      <c r="G3195" s="13" t="s">
        <v>111</v>
      </c>
      <c r="H3195" s="13" t="s">
        <v>75</v>
      </c>
      <c r="I3195" s="13"/>
      <c r="J3195" s="13"/>
      <c r="K3195" s="15"/>
      <c r="L3195" s="15"/>
      <c r="M3195" s="16">
        <v>0.0</v>
      </c>
      <c r="N3195" s="16">
        <v>0.0</v>
      </c>
      <c r="O3195" s="17">
        <v>0.0</v>
      </c>
      <c r="P3195" s="17">
        <v>0.0</v>
      </c>
      <c r="Q3195" s="13"/>
      <c r="R3195" s="13"/>
      <c r="S3195" s="13"/>
      <c r="T3195" s="13">
        <f t="shared" ref="T3195:Y3195" si="3435">IF(ISBLANK(K3195)=TRUE,0,1)</f>
        <v>0</v>
      </c>
      <c r="U3195" s="13">
        <f t="shared" si="3435"/>
        <v>0</v>
      </c>
      <c r="V3195" s="13">
        <f t="shared" si="3435"/>
        <v>1</v>
      </c>
      <c r="W3195" s="13">
        <f t="shared" si="3435"/>
        <v>1</v>
      </c>
      <c r="X3195" s="13">
        <f t="shared" si="3435"/>
        <v>1</v>
      </c>
      <c r="Y3195" s="13">
        <f t="shared" si="3435"/>
        <v>1</v>
      </c>
      <c r="Z3195" s="13">
        <f t="shared" si="3023"/>
        <v>0</v>
      </c>
      <c r="AA3195" s="13"/>
      <c r="AB3195" s="13"/>
      <c r="AC3195" s="13"/>
      <c r="AD3195" s="13"/>
      <c r="AE3195" s="13"/>
      <c r="AF3195" s="13"/>
      <c r="AG3195" s="13"/>
      <c r="AH3195" s="13"/>
      <c r="AI3195" s="13"/>
      <c r="AJ3195" s="13"/>
      <c r="AK3195" s="13"/>
      <c r="AL3195" s="13"/>
      <c r="AM3195" s="13"/>
      <c r="AN3195" s="13"/>
      <c r="AO3195" s="13"/>
      <c r="AP3195" s="13"/>
      <c r="AQ3195" s="13"/>
      <c r="AR3195" s="13"/>
      <c r="AS3195" s="13"/>
    </row>
    <row r="3196" ht="14.25" customHeight="1">
      <c r="A3196" s="26" t="s">
        <v>29</v>
      </c>
      <c r="B3196" s="26" t="s">
        <v>32</v>
      </c>
      <c r="C3196" s="27" t="s">
        <v>109</v>
      </c>
      <c r="D3196" s="26" t="s">
        <v>440</v>
      </c>
      <c r="F3196" s="26"/>
      <c r="G3196" s="13" t="s">
        <v>111</v>
      </c>
      <c r="H3196" s="26" t="s">
        <v>75</v>
      </c>
      <c r="I3196" s="26"/>
      <c r="J3196" s="26"/>
      <c r="K3196" s="28"/>
      <c r="L3196" s="28"/>
      <c r="M3196" s="16">
        <v>0.0</v>
      </c>
      <c r="N3196" s="16">
        <v>0.0</v>
      </c>
      <c r="O3196" s="17">
        <v>0.0</v>
      </c>
      <c r="P3196" s="17">
        <v>0.0</v>
      </c>
      <c r="Q3196" s="13"/>
      <c r="R3196" s="13"/>
      <c r="S3196" s="13"/>
      <c r="T3196" s="13">
        <f t="shared" ref="T3196:Y3196" si="3436">IF(ISBLANK(K3196)=TRUE,0,1)</f>
        <v>0</v>
      </c>
      <c r="U3196" s="13">
        <f t="shared" si="3436"/>
        <v>0</v>
      </c>
      <c r="V3196" s="13">
        <f t="shared" si="3436"/>
        <v>1</v>
      </c>
      <c r="W3196" s="13">
        <f t="shared" si="3436"/>
        <v>1</v>
      </c>
      <c r="X3196" s="13">
        <f t="shared" si="3436"/>
        <v>1</v>
      </c>
      <c r="Y3196" s="13">
        <f t="shared" si="3436"/>
        <v>1</v>
      </c>
      <c r="Z3196" s="13">
        <f t="shared" si="3023"/>
        <v>0</v>
      </c>
      <c r="AA3196" s="13"/>
      <c r="AB3196" s="13"/>
      <c r="AC3196" s="13"/>
      <c r="AD3196" s="13"/>
      <c r="AE3196" s="13"/>
      <c r="AF3196" s="13"/>
      <c r="AG3196" s="13"/>
      <c r="AH3196" s="13"/>
      <c r="AI3196" s="13"/>
      <c r="AJ3196" s="13"/>
      <c r="AK3196" s="13"/>
      <c r="AL3196" s="13"/>
      <c r="AM3196" s="13"/>
      <c r="AN3196" s="13"/>
      <c r="AO3196" s="13"/>
      <c r="AP3196" s="13"/>
      <c r="AQ3196" s="13"/>
      <c r="AR3196" s="13"/>
      <c r="AS3196" s="13"/>
    </row>
    <row r="3197" ht="14.25" customHeight="1">
      <c r="A3197" s="13" t="s">
        <v>29</v>
      </c>
      <c r="B3197" s="13" t="s">
        <v>32</v>
      </c>
      <c r="C3197" s="18" t="s">
        <v>109</v>
      </c>
      <c r="D3197" s="13" t="s">
        <v>1950</v>
      </c>
      <c r="F3197" s="13"/>
      <c r="G3197" s="13" t="s">
        <v>111</v>
      </c>
      <c r="H3197" s="13" t="s">
        <v>75</v>
      </c>
      <c r="I3197" s="13"/>
      <c r="J3197" s="13"/>
      <c r="K3197" s="15"/>
      <c r="L3197" s="15"/>
      <c r="M3197" s="16">
        <v>0.0</v>
      </c>
      <c r="N3197" s="16">
        <v>0.0</v>
      </c>
      <c r="O3197" s="17">
        <v>0.0</v>
      </c>
      <c r="P3197" s="17">
        <v>0.0</v>
      </c>
      <c r="Q3197" s="13"/>
      <c r="R3197" s="13"/>
      <c r="S3197" s="13"/>
      <c r="T3197" s="13">
        <f t="shared" ref="T3197:Y3197" si="3437">IF(ISBLANK(K3197)=TRUE,0,1)</f>
        <v>0</v>
      </c>
      <c r="U3197" s="13">
        <f t="shared" si="3437"/>
        <v>0</v>
      </c>
      <c r="V3197" s="13">
        <f t="shared" si="3437"/>
        <v>1</v>
      </c>
      <c r="W3197" s="13">
        <f t="shared" si="3437"/>
        <v>1</v>
      </c>
      <c r="X3197" s="13">
        <f t="shared" si="3437"/>
        <v>1</v>
      </c>
      <c r="Y3197" s="13">
        <f t="shared" si="3437"/>
        <v>1</v>
      </c>
      <c r="Z3197" s="13">
        <f t="shared" si="3023"/>
        <v>0</v>
      </c>
      <c r="AA3197" s="13"/>
      <c r="AB3197" s="13"/>
      <c r="AC3197" s="13"/>
      <c r="AD3197" s="13"/>
      <c r="AE3197" s="13"/>
      <c r="AF3197" s="13"/>
      <c r="AG3197" s="13"/>
      <c r="AH3197" s="13"/>
      <c r="AI3197" s="13"/>
      <c r="AJ3197" s="13"/>
      <c r="AK3197" s="13"/>
      <c r="AL3197" s="13"/>
      <c r="AM3197" s="13"/>
      <c r="AN3197" s="13"/>
      <c r="AO3197" s="13"/>
      <c r="AP3197" s="13"/>
      <c r="AQ3197" s="13"/>
      <c r="AR3197" s="13"/>
      <c r="AS3197" s="13"/>
    </row>
    <row r="3198" ht="14.25" customHeight="1">
      <c r="A3198" s="26" t="s">
        <v>29</v>
      </c>
      <c r="B3198" s="26" t="s">
        <v>32</v>
      </c>
      <c r="C3198" s="27" t="s">
        <v>109</v>
      </c>
      <c r="D3198" s="26" t="s">
        <v>441</v>
      </c>
      <c r="F3198" s="26"/>
      <c r="G3198" s="13" t="s">
        <v>111</v>
      </c>
      <c r="H3198" s="26" t="s">
        <v>75</v>
      </c>
      <c r="I3198" s="26"/>
      <c r="J3198" s="26"/>
      <c r="K3198" s="28"/>
      <c r="L3198" s="28"/>
      <c r="M3198" s="16">
        <v>0.0</v>
      </c>
      <c r="N3198" s="16">
        <v>0.0</v>
      </c>
      <c r="O3198" s="17">
        <v>0.0</v>
      </c>
      <c r="P3198" s="17">
        <v>0.0</v>
      </c>
      <c r="Q3198" s="13"/>
      <c r="R3198" s="13"/>
      <c r="S3198" s="13"/>
      <c r="T3198" s="13">
        <f t="shared" ref="T3198:Y3198" si="3438">IF(ISBLANK(K3198)=TRUE,0,1)</f>
        <v>0</v>
      </c>
      <c r="U3198" s="13">
        <f t="shared" si="3438"/>
        <v>0</v>
      </c>
      <c r="V3198" s="13">
        <f t="shared" si="3438"/>
        <v>1</v>
      </c>
      <c r="W3198" s="13">
        <f t="shared" si="3438"/>
        <v>1</v>
      </c>
      <c r="X3198" s="13">
        <f t="shared" si="3438"/>
        <v>1</v>
      </c>
      <c r="Y3198" s="13">
        <f t="shared" si="3438"/>
        <v>1</v>
      </c>
      <c r="Z3198" s="13">
        <f t="shared" si="3023"/>
        <v>0</v>
      </c>
      <c r="AA3198" s="13"/>
      <c r="AB3198" s="13"/>
      <c r="AC3198" s="13"/>
      <c r="AD3198" s="13"/>
      <c r="AE3198" s="13"/>
      <c r="AF3198" s="13"/>
      <c r="AG3198" s="13"/>
      <c r="AH3198" s="13"/>
      <c r="AI3198" s="13"/>
      <c r="AJ3198" s="13"/>
      <c r="AK3198" s="13"/>
      <c r="AL3198" s="13"/>
      <c r="AM3198" s="13"/>
      <c r="AN3198" s="13"/>
      <c r="AO3198" s="13"/>
      <c r="AP3198" s="13"/>
      <c r="AQ3198" s="13"/>
      <c r="AR3198" s="13"/>
      <c r="AS3198" s="13"/>
    </row>
    <row r="3199" ht="14.25" customHeight="1">
      <c r="A3199" s="13" t="s">
        <v>46</v>
      </c>
      <c r="B3199" s="13" t="s">
        <v>47</v>
      </c>
      <c r="C3199" s="13" t="s">
        <v>1951</v>
      </c>
      <c r="D3199" s="13"/>
      <c r="E3199" s="13"/>
      <c r="F3199" s="13"/>
      <c r="G3199" s="13" t="s">
        <v>111</v>
      </c>
      <c r="H3199" s="13" t="s">
        <v>75</v>
      </c>
      <c r="I3199" s="13"/>
      <c r="J3199" s="13"/>
      <c r="K3199" s="15">
        <v>0.0</v>
      </c>
      <c r="L3199" s="15">
        <v>0.0</v>
      </c>
      <c r="M3199" s="16"/>
      <c r="N3199" s="16"/>
      <c r="O3199" s="17"/>
      <c r="P3199" s="17"/>
      <c r="Q3199" s="13">
        <f>K3198+L3198+M3198+N3198+O3198+P3198/6</f>
        <v>0</v>
      </c>
      <c r="R3199" s="13"/>
      <c r="S3199" s="13"/>
      <c r="T3199" s="13">
        <f t="shared" ref="T3199:Y3199" si="3439">IF(ISBLANK(K3199)=TRUE,0,1)</f>
        <v>1</v>
      </c>
      <c r="U3199" s="13">
        <f t="shared" si="3439"/>
        <v>1</v>
      </c>
      <c r="V3199" s="13">
        <f t="shared" si="3439"/>
        <v>0</v>
      </c>
      <c r="W3199" s="13">
        <f t="shared" si="3439"/>
        <v>0</v>
      </c>
      <c r="X3199" s="13">
        <f t="shared" si="3439"/>
        <v>0</v>
      </c>
      <c r="Y3199" s="13">
        <f t="shared" si="3439"/>
        <v>0</v>
      </c>
      <c r="Z3199" s="13">
        <f t="shared" si="3023"/>
        <v>0</v>
      </c>
      <c r="AA3199" s="13"/>
      <c r="AB3199" s="13"/>
      <c r="AC3199" s="13"/>
      <c r="AD3199" s="13"/>
      <c r="AE3199" s="13"/>
      <c r="AF3199" s="13"/>
      <c r="AG3199" s="13"/>
      <c r="AH3199" s="13"/>
      <c r="AI3199" s="13"/>
      <c r="AJ3199" s="13"/>
      <c r="AK3199" s="13"/>
      <c r="AL3199" s="13"/>
      <c r="AM3199" s="13"/>
      <c r="AN3199" s="13"/>
      <c r="AO3199" s="13"/>
      <c r="AP3199" s="13"/>
      <c r="AQ3199" s="13"/>
      <c r="AR3199" s="13"/>
      <c r="AS3199" s="13"/>
    </row>
    <row r="3200" ht="14.25" customHeight="1">
      <c r="A3200" s="13" t="s">
        <v>29</v>
      </c>
      <c r="B3200" s="13" t="s">
        <v>32</v>
      </c>
      <c r="C3200" s="18" t="s">
        <v>109</v>
      </c>
      <c r="D3200" s="13" t="s">
        <v>1952</v>
      </c>
      <c r="F3200" s="13"/>
      <c r="G3200" s="13" t="s">
        <v>111</v>
      </c>
      <c r="H3200" s="13" t="s">
        <v>75</v>
      </c>
      <c r="I3200" s="13"/>
      <c r="J3200" s="13"/>
      <c r="K3200" s="15"/>
      <c r="L3200" s="15"/>
      <c r="M3200" s="16">
        <v>0.0</v>
      </c>
      <c r="N3200" s="16">
        <v>0.0</v>
      </c>
      <c r="O3200" s="17">
        <v>0.0</v>
      </c>
      <c r="P3200" s="17">
        <v>0.0</v>
      </c>
      <c r="Q3200" s="13"/>
      <c r="R3200" s="13"/>
      <c r="S3200" s="13"/>
      <c r="T3200" s="13">
        <f t="shared" ref="T3200:Y3200" si="3440">IF(ISBLANK(K3200)=TRUE,0,1)</f>
        <v>0</v>
      </c>
      <c r="U3200" s="13">
        <f t="shared" si="3440"/>
        <v>0</v>
      </c>
      <c r="V3200" s="13">
        <f t="shared" si="3440"/>
        <v>1</v>
      </c>
      <c r="W3200" s="13">
        <f t="shared" si="3440"/>
        <v>1</v>
      </c>
      <c r="X3200" s="13">
        <f t="shared" si="3440"/>
        <v>1</v>
      </c>
      <c r="Y3200" s="13">
        <f t="shared" si="3440"/>
        <v>1</v>
      </c>
      <c r="Z3200" s="13">
        <f t="shared" si="3023"/>
        <v>0</v>
      </c>
      <c r="AA3200" s="13"/>
      <c r="AB3200" s="13"/>
      <c r="AC3200" s="13"/>
      <c r="AD3200" s="13"/>
      <c r="AE3200" s="13"/>
      <c r="AF3200" s="13"/>
      <c r="AG3200" s="13"/>
      <c r="AH3200" s="13"/>
      <c r="AI3200" s="13"/>
      <c r="AJ3200" s="13"/>
      <c r="AK3200" s="13"/>
      <c r="AL3200" s="13"/>
      <c r="AM3200" s="13"/>
      <c r="AN3200" s="13"/>
      <c r="AO3200" s="13"/>
      <c r="AP3200" s="13"/>
      <c r="AQ3200" s="13"/>
      <c r="AR3200" s="13"/>
      <c r="AS3200" s="13"/>
    </row>
    <row r="3201" ht="14.25" customHeight="1">
      <c r="A3201" s="26" t="s">
        <v>29</v>
      </c>
      <c r="B3201" s="26" t="s">
        <v>32</v>
      </c>
      <c r="C3201" s="27" t="s">
        <v>109</v>
      </c>
      <c r="D3201" s="26" t="s">
        <v>551</v>
      </c>
      <c r="F3201" s="26"/>
      <c r="G3201" s="13" t="s">
        <v>111</v>
      </c>
      <c r="H3201" s="26" t="s">
        <v>75</v>
      </c>
      <c r="I3201" s="26"/>
      <c r="J3201" s="26"/>
      <c r="K3201" s="28"/>
      <c r="L3201" s="28"/>
      <c r="M3201" s="16">
        <v>0.0</v>
      </c>
      <c r="N3201" s="16">
        <v>0.0</v>
      </c>
      <c r="O3201" s="17">
        <v>0.0</v>
      </c>
      <c r="P3201" s="17">
        <v>0.0</v>
      </c>
      <c r="Q3201" s="13"/>
      <c r="R3201" s="13"/>
      <c r="S3201" s="13"/>
      <c r="T3201" s="13">
        <f t="shared" ref="T3201:Y3201" si="3441">IF(ISBLANK(K3201)=TRUE,0,1)</f>
        <v>0</v>
      </c>
      <c r="U3201" s="13">
        <f t="shared" si="3441"/>
        <v>0</v>
      </c>
      <c r="V3201" s="13">
        <f t="shared" si="3441"/>
        <v>1</v>
      </c>
      <c r="W3201" s="13">
        <f t="shared" si="3441"/>
        <v>1</v>
      </c>
      <c r="X3201" s="13">
        <f t="shared" si="3441"/>
        <v>1</v>
      </c>
      <c r="Y3201" s="13">
        <f t="shared" si="3441"/>
        <v>1</v>
      </c>
      <c r="Z3201" s="13">
        <f t="shared" si="3023"/>
        <v>0</v>
      </c>
      <c r="AA3201" s="13"/>
      <c r="AB3201" s="13"/>
      <c r="AC3201" s="13"/>
      <c r="AD3201" s="13"/>
      <c r="AE3201" s="13"/>
      <c r="AF3201" s="13"/>
      <c r="AG3201" s="13"/>
      <c r="AH3201" s="13"/>
      <c r="AI3201" s="13"/>
      <c r="AJ3201" s="13"/>
      <c r="AK3201" s="13"/>
      <c r="AL3201" s="13"/>
      <c r="AM3201" s="13"/>
      <c r="AN3201" s="13"/>
      <c r="AO3201" s="13"/>
      <c r="AP3201" s="13"/>
      <c r="AQ3201" s="13"/>
      <c r="AR3201" s="13"/>
      <c r="AS3201" s="13"/>
    </row>
    <row r="3202" ht="14.25" customHeight="1">
      <c r="A3202" s="13" t="s">
        <v>46</v>
      </c>
      <c r="B3202" s="13" t="s">
        <v>47</v>
      </c>
      <c r="C3202" s="13" t="s">
        <v>1953</v>
      </c>
      <c r="D3202" s="13"/>
      <c r="E3202" s="13"/>
      <c r="F3202" s="13"/>
      <c r="G3202" s="13" t="s">
        <v>111</v>
      </c>
      <c r="H3202" s="13" t="s">
        <v>75</v>
      </c>
      <c r="I3202" s="13"/>
      <c r="J3202" s="13"/>
      <c r="K3202" s="15">
        <v>0.0</v>
      </c>
      <c r="L3202" s="15">
        <v>0.0</v>
      </c>
      <c r="M3202" s="16"/>
      <c r="N3202" s="16"/>
      <c r="O3202" s="17"/>
      <c r="P3202" s="17"/>
      <c r="Q3202" s="13">
        <f t="shared" ref="Q3202:Q3204" si="3443">K3201+L3201+M3201+N3201+O3201+P3201/6</f>
        <v>0</v>
      </c>
      <c r="R3202" s="13"/>
      <c r="S3202" s="13"/>
      <c r="T3202" s="13">
        <f t="shared" ref="T3202:Y3202" si="3442">IF(ISBLANK(K3202)=TRUE,0,1)</f>
        <v>1</v>
      </c>
      <c r="U3202" s="13">
        <f t="shared" si="3442"/>
        <v>1</v>
      </c>
      <c r="V3202" s="13">
        <f t="shared" si="3442"/>
        <v>0</v>
      </c>
      <c r="W3202" s="13">
        <f t="shared" si="3442"/>
        <v>0</v>
      </c>
      <c r="X3202" s="13">
        <f t="shared" si="3442"/>
        <v>0</v>
      </c>
      <c r="Y3202" s="13">
        <f t="shared" si="3442"/>
        <v>0</v>
      </c>
      <c r="Z3202" s="13">
        <f t="shared" si="3023"/>
        <v>0</v>
      </c>
      <c r="AA3202" s="13"/>
      <c r="AB3202" s="13"/>
      <c r="AC3202" s="13"/>
      <c r="AD3202" s="13"/>
      <c r="AE3202" s="13"/>
      <c r="AF3202" s="13"/>
      <c r="AG3202" s="13"/>
      <c r="AH3202" s="13"/>
      <c r="AI3202" s="13"/>
      <c r="AJ3202" s="13"/>
      <c r="AK3202" s="13"/>
      <c r="AL3202" s="13"/>
      <c r="AM3202" s="13"/>
      <c r="AN3202" s="13"/>
      <c r="AO3202" s="13"/>
      <c r="AP3202" s="13"/>
      <c r="AQ3202" s="13"/>
      <c r="AR3202" s="13"/>
      <c r="AS3202" s="13"/>
    </row>
    <row r="3203" ht="14.25" customHeight="1">
      <c r="A3203" s="13" t="s">
        <v>46</v>
      </c>
      <c r="B3203" s="13" t="s">
        <v>47</v>
      </c>
      <c r="C3203" s="13" t="s">
        <v>1954</v>
      </c>
      <c r="D3203" s="13"/>
      <c r="E3203" s="13"/>
      <c r="F3203" s="13"/>
      <c r="G3203" s="13" t="s">
        <v>111</v>
      </c>
      <c r="H3203" s="13" t="s">
        <v>75</v>
      </c>
      <c r="I3203" s="13"/>
      <c r="J3203" s="13"/>
      <c r="K3203" s="15">
        <v>0.0</v>
      </c>
      <c r="L3203" s="15">
        <v>0.0</v>
      </c>
      <c r="M3203" s="16"/>
      <c r="N3203" s="16"/>
      <c r="O3203" s="17"/>
      <c r="P3203" s="17"/>
      <c r="Q3203" s="13">
        <f t="shared" si="3443"/>
        <v>0</v>
      </c>
      <c r="R3203" s="13"/>
      <c r="S3203" s="13"/>
      <c r="T3203" s="13">
        <f t="shared" ref="T3203:Y3203" si="3444">IF(ISBLANK(K3203)=TRUE,0,1)</f>
        <v>1</v>
      </c>
      <c r="U3203" s="13">
        <f t="shared" si="3444"/>
        <v>1</v>
      </c>
      <c r="V3203" s="13">
        <f t="shared" si="3444"/>
        <v>0</v>
      </c>
      <c r="W3203" s="13">
        <f t="shared" si="3444"/>
        <v>0</v>
      </c>
      <c r="X3203" s="13">
        <f t="shared" si="3444"/>
        <v>0</v>
      </c>
      <c r="Y3203" s="13">
        <f t="shared" si="3444"/>
        <v>0</v>
      </c>
      <c r="Z3203" s="13">
        <f t="shared" si="3023"/>
        <v>0</v>
      </c>
      <c r="AA3203" s="13"/>
      <c r="AB3203" s="13"/>
      <c r="AC3203" s="13"/>
      <c r="AD3203" s="13"/>
      <c r="AE3203" s="13"/>
      <c r="AF3203" s="13"/>
      <c r="AG3203" s="13"/>
      <c r="AH3203" s="13"/>
      <c r="AI3203" s="13"/>
      <c r="AJ3203" s="13"/>
      <c r="AK3203" s="13"/>
      <c r="AL3203" s="13"/>
      <c r="AM3203" s="13"/>
      <c r="AN3203" s="13"/>
      <c r="AO3203" s="13"/>
      <c r="AP3203" s="13"/>
      <c r="AQ3203" s="13"/>
      <c r="AR3203" s="13"/>
      <c r="AS3203" s="13"/>
    </row>
    <row r="3204" ht="14.25" customHeight="1">
      <c r="A3204" s="13" t="s">
        <v>46</v>
      </c>
      <c r="B3204" s="13" t="s">
        <v>47</v>
      </c>
      <c r="C3204" s="13" t="s">
        <v>431</v>
      </c>
      <c r="D3204" s="13"/>
      <c r="E3204" s="13"/>
      <c r="F3204" s="13"/>
      <c r="G3204" s="13" t="s">
        <v>111</v>
      </c>
      <c r="H3204" s="13" t="s">
        <v>75</v>
      </c>
      <c r="I3204" s="13"/>
      <c r="J3204" s="13"/>
      <c r="K3204" s="15">
        <v>0.0</v>
      </c>
      <c r="L3204" s="15">
        <v>0.0</v>
      </c>
      <c r="M3204" s="16"/>
      <c r="N3204" s="16"/>
      <c r="O3204" s="17"/>
      <c r="P3204" s="17"/>
      <c r="Q3204" s="13">
        <f t="shared" si="3443"/>
        <v>0</v>
      </c>
      <c r="R3204" s="13"/>
      <c r="S3204" s="13"/>
      <c r="T3204" s="13">
        <f t="shared" ref="T3204:Y3204" si="3445">IF(ISBLANK(K3204)=TRUE,0,1)</f>
        <v>1</v>
      </c>
      <c r="U3204" s="13">
        <f t="shared" si="3445"/>
        <v>1</v>
      </c>
      <c r="V3204" s="13">
        <f t="shared" si="3445"/>
        <v>0</v>
      </c>
      <c r="W3204" s="13">
        <f t="shared" si="3445"/>
        <v>0</v>
      </c>
      <c r="X3204" s="13">
        <f t="shared" si="3445"/>
        <v>0</v>
      </c>
      <c r="Y3204" s="13">
        <f t="shared" si="3445"/>
        <v>0</v>
      </c>
      <c r="Z3204" s="13">
        <f t="shared" si="3023"/>
        <v>0</v>
      </c>
      <c r="AA3204" s="13"/>
      <c r="AB3204" s="13"/>
      <c r="AC3204" s="13"/>
      <c r="AD3204" s="13"/>
      <c r="AE3204" s="13"/>
      <c r="AF3204" s="13"/>
      <c r="AG3204" s="13"/>
      <c r="AH3204" s="13"/>
      <c r="AI3204" s="13"/>
      <c r="AJ3204" s="13"/>
      <c r="AK3204" s="13"/>
      <c r="AL3204" s="13"/>
      <c r="AM3204" s="13"/>
      <c r="AN3204" s="13"/>
      <c r="AO3204" s="13"/>
      <c r="AP3204" s="13"/>
      <c r="AQ3204" s="13"/>
      <c r="AR3204" s="13"/>
      <c r="AS3204" s="13"/>
    </row>
    <row r="3205" ht="14.25" customHeight="1">
      <c r="A3205" s="13" t="s">
        <v>36</v>
      </c>
      <c r="B3205" s="13" t="s">
        <v>39</v>
      </c>
      <c r="C3205" s="13" t="s">
        <v>1872</v>
      </c>
      <c r="D3205" s="13" t="s">
        <v>433</v>
      </c>
      <c r="F3205" s="13"/>
      <c r="G3205" s="13" t="s">
        <v>111</v>
      </c>
      <c r="H3205" s="13" t="s">
        <v>75</v>
      </c>
      <c r="I3205" s="13"/>
      <c r="J3205" s="13"/>
      <c r="K3205" s="15">
        <v>0.0</v>
      </c>
      <c r="L3205" s="15">
        <v>0.0</v>
      </c>
      <c r="M3205" s="16"/>
      <c r="N3205" s="16"/>
      <c r="O3205" s="17"/>
      <c r="P3205" s="17"/>
      <c r="Q3205" s="13">
        <f>K3204+L3204+M3204+N3204+O3208+P3204/6</f>
        <v>1</v>
      </c>
      <c r="R3205" s="13"/>
      <c r="S3205" s="13"/>
      <c r="T3205" s="13">
        <f t="shared" ref="T3205:Y3205" si="3446">IF(ISBLANK(K3205)=TRUE,0,1)</f>
        <v>1</v>
      </c>
      <c r="U3205" s="13">
        <f t="shared" si="3446"/>
        <v>1</v>
      </c>
      <c r="V3205" s="13">
        <f t="shared" si="3446"/>
        <v>0</v>
      </c>
      <c r="W3205" s="13">
        <f t="shared" si="3446"/>
        <v>0</v>
      </c>
      <c r="X3205" s="13">
        <f t="shared" si="3446"/>
        <v>0</v>
      </c>
      <c r="Y3205" s="13">
        <f t="shared" si="3446"/>
        <v>0</v>
      </c>
      <c r="Z3205" s="13">
        <f t="shared" si="3023"/>
        <v>0</v>
      </c>
      <c r="AA3205" s="13"/>
      <c r="AB3205" s="13"/>
      <c r="AC3205" s="13"/>
      <c r="AD3205" s="13"/>
      <c r="AE3205" s="13"/>
      <c r="AF3205" s="13"/>
      <c r="AG3205" s="13"/>
      <c r="AH3205" s="13"/>
      <c r="AI3205" s="13"/>
      <c r="AJ3205" s="13"/>
      <c r="AK3205" s="13"/>
      <c r="AL3205" s="13"/>
      <c r="AM3205" s="13"/>
      <c r="AN3205" s="13"/>
      <c r="AO3205" s="13"/>
      <c r="AP3205" s="13"/>
      <c r="AQ3205" s="13"/>
      <c r="AR3205" s="13"/>
      <c r="AS3205" s="13"/>
    </row>
    <row r="3206" ht="14.25" customHeight="1">
      <c r="A3206" s="13" t="s">
        <v>29</v>
      </c>
      <c r="B3206" s="13" t="s">
        <v>32</v>
      </c>
      <c r="C3206" s="18" t="s">
        <v>109</v>
      </c>
      <c r="D3206" s="13" t="s">
        <v>1955</v>
      </c>
      <c r="F3206" s="13"/>
      <c r="G3206" s="13" t="s">
        <v>111</v>
      </c>
      <c r="H3206" s="13" t="s">
        <v>75</v>
      </c>
      <c r="I3206" s="13"/>
      <c r="J3206" s="13"/>
      <c r="K3206" s="15"/>
      <c r="L3206" s="15"/>
      <c r="M3206" s="16">
        <v>0.0</v>
      </c>
      <c r="N3206" s="16">
        <v>0.0</v>
      </c>
      <c r="O3206" s="17">
        <v>0.0</v>
      </c>
      <c r="P3206" s="17">
        <v>0.0</v>
      </c>
      <c r="Q3206" s="13"/>
      <c r="R3206" s="13"/>
      <c r="S3206" s="13"/>
      <c r="T3206" s="13">
        <f t="shared" ref="T3206:Y3206" si="3447">IF(ISBLANK(K3206)=TRUE,0,1)</f>
        <v>0</v>
      </c>
      <c r="U3206" s="13">
        <f t="shared" si="3447"/>
        <v>0</v>
      </c>
      <c r="V3206" s="13">
        <f t="shared" si="3447"/>
        <v>1</v>
      </c>
      <c r="W3206" s="13">
        <f t="shared" si="3447"/>
        <v>1</v>
      </c>
      <c r="X3206" s="13">
        <f t="shared" si="3447"/>
        <v>1</v>
      </c>
      <c r="Y3206" s="13">
        <f t="shared" si="3447"/>
        <v>1</v>
      </c>
      <c r="Z3206" s="13">
        <f t="shared" si="3023"/>
        <v>0</v>
      </c>
      <c r="AA3206" s="13"/>
      <c r="AB3206" s="13"/>
      <c r="AC3206" s="13"/>
      <c r="AD3206" s="13"/>
      <c r="AE3206" s="13"/>
      <c r="AF3206" s="13"/>
      <c r="AG3206" s="13"/>
      <c r="AH3206" s="13"/>
      <c r="AI3206" s="13"/>
      <c r="AJ3206" s="13"/>
      <c r="AK3206" s="13"/>
      <c r="AL3206" s="13"/>
      <c r="AM3206" s="13"/>
      <c r="AN3206" s="13"/>
      <c r="AO3206" s="13"/>
      <c r="AP3206" s="13"/>
      <c r="AQ3206" s="13"/>
      <c r="AR3206" s="13"/>
      <c r="AS3206" s="13"/>
    </row>
    <row r="3207" ht="14.25" customHeight="1">
      <c r="A3207" s="26" t="s">
        <v>29</v>
      </c>
      <c r="B3207" s="26" t="s">
        <v>32</v>
      </c>
      <c r="C3207" s="27" t="s">
        <v>109</v>
      </c>
      <c r="D3207" s="26" t="s">
        <v>553</v>
      </c>
      <c r="F3207" s="26"/>
      <c r="G3207" s="13" t="s">
        <v>111</v>
      </c>
      <c r="H3207" s="26" t="s">
        <v>75</v>
      </c>
      <c r="I3207" s="26"/>
      <c r="J3207" s="26"/>
      <c r="K3207" s="28"/>
      <c r="L3207" s="28"/>
      <c r="M3207" s="16">
        <v>0.0</v>
      </c>
      <c r="N3207" s="16">
        <v>0.0</v>
      </c>
      <c r="O3207" s="17">
        <v>0.0</v>
      </c>
      <c r="P3207" s="17">
        <v>0.0</v>
      </c>
      <c r="Q3207" s="13"/>
      <c r="R3207" s="13"/>
      <c r="S3207" s="13"/>
      <c r="T3207" s="13">
        <f t="shared" ref="T3207:Y3207" si="3448">IF(ISBLANK(K3207)=TRUE,0,1)</f>
        <v>0</v>
      </c>
      <c r="U3207" s="13">
        <f t="shared" si="3448"/>
        <v>0</v>
      </c>
      <c r="V3207" s="13">
        <f t="shared" si="3448"/>
        <v>1</v>
      </c>
      <c r="W3207" s="13">
        <f t="shared" si="3448"/>
        <v>1</v>
      </c>
      <c r="X3207" s="13">
        <f t="shared" si="3448"/>
        <v>1</v>
      </c>
      <c r="Y3207" s="13">
        <f t="shared" si="3448"/>
        <v>1</v>
      </c>
      <c r="Z3207" s="13">
        <f t="shared" si="3023"/>
        <v>0</v>
      </c>
      <c r="AA3207" s="13"/>
      <c r="AB3207" s="13"/>
      <c r="AC3207" s="13"/>
      <c r="AD3207" s="13"/>
      <c r="AE3207" s="13"/>
      <c r="AF3207" s="13"/>
      <c r="AG3207" s="13"/>
      <c r="AH3207" s="13"/>
      <c r="AI3207" s="13"/>
      <c r="AJ3207" s="13"/>
      <c r="AK3207" s="13"/>
      <c r="AL3207" s="13"/>
      <c r="AM3207" s="13"/>
      <c r="AN3207" s="13"/>
      <c r="AO3207" s="13"/>
      <c r="AP3207" s="13"/>
      <c r="AQ3207" s="13"/>
      <c r="AR3207" s="13"/>
      <c r="AS3207" s="13"/>
    </row>
    <row r="3208" ht="14.25" customHeight="1">
      <c r="A3208" s="13" t="s">
        <v>36</v>
      </c>
      <c r="B3208" s="13" t="s">
        <v>41</v>
      </c>
      <c r="C3208" s="13" t="s">
        <v>1860</v>
      </c>
      <c r="D3208" s="13" t="s">
        <v>170</v>
      </c>
      <c r="F3208" s="13"/>
      <c r="G3208" s="13" t="s">
        <v>74</v>
      </c>
      <c r="H3208" s="13" t="s">
        <v>75</v>
      </c>
      <c r="I3208" s="13"/>
      <c r="J3208" s="13"/>
      <c r="K3208" s="15">
        <v>1.0</v>
      </c>
      <c r="L3208" s="15">
        <v>1.0</v>
      </c>
      <c r="M3208" s="16"/>
      <c r="N3208" s="16"/>
      <c r="O3208" s="17">
        <v>1.0</v>
      </c>
      <c r="P3208" s="17">
        <v>1.0</v>
      </c>
      <c r="Q3208" s="13">
        <f t="shared" ref="Q3208:Q3212" si="3450">K3207+L3207+M3207+N3207+O3207+P3207/6</f>
        <v>0</v>
      </c>
      <c r="R3208" s="13"/>
      <c r="S3208" s="13"/>
      <c r="T3208" s="13">
        <f t="shared" ref="T3208:Y3208" si="3449">IF(ISBLANK(K3208)=TRUE,0,1)</f>
        <v>1</v>
      </c>
      <c r="U3208" s="13">
        <f t="shared" si="3449"/>
        <v>1</v>
      </c>
      <c r="V3208" s="13">
        <f t="shared" si="3449"/>
        <v>0</v>
      </c>
      <c r="W3208" s="13">
        <f t="shared" si="3449"/>
        <v>0</v>
      </c>
      <c r="X3208" s="13">
        <f t="shared" si="3449"/>
        <v>1</v>
      </c>
      <c r="Y3208" s="13">
        <f t="shared" si="3449"/>
        <v>1</v>
      </c>
      <c r="Z3208" s="13">
        <f t="shared" si="3023"/>
        <v>1</v>
      </c>
      <c r="AA3208" s="13"/>
      <c r="AB3208" s="13"/>
      <c r="AC3208" s="13"/>
      <c r="AD3208" s="13"/>
      <c r="AE3208" s="13"/>
      <c r="AF3208" s="13"/>
      <c r="AG3208" s="13"/>
      <c r="AH3208" s="13"/>
      <c r="AI3208" s="13"/>
      <c r="AJ3208" s="13"/>
      <c r="AK3208" s="13"/>
      <c r="AL3208" s="13"/>
      <c r="AM3208" s="13"/>
      <c r="AN3208" s="13"/>
      <c r="AO3208" s="13"/>
      <c r="AP3208" s="13"/>
      <c r="AQ3208" s="13"/>
      <c r="AR3208" s="13"/>
      <c r="AS3208" s="13"/>
    </row>
    <row r="3209" ht="14.25" customHeight="1">
      <c r="A3209" s="13" t="s">
        <v>36</v>
      </c>
      <c r="B3209" s="13" t="s">
        <v>41</v>
      </c>
      <c r="C3209" s="13" t="s">
        <v>1860</v>
      </c>
      <c r="D3209" s="13" t="s">
        <v>171</v>
      </c>
      <c r="F3209" s="13"/>
      <c r="G3209" s="13" t="s">
        <v>74</v>
      </c>
      <c r="H3209" s="13" t="s">
        <v>75</v>
      </c>
      <c r="I3209" s="13"/>
      <c r="J3209" s="13"/>
      <c r="K3209" s="15">
        <v>1.0</v>
      </c>
      <c r="L3209" s="15">
        <v>1.0</v>
      </c>
      <c r="M3209" s="16"/>
      <c r="N3209" s="16"/>
      <c r="O3209" s="17">
        <v>1.0</v>
      </c>
      <c r="P3209" s="17">
        <v>1.0</v>
      </c>
      <c r="Q3209" s="13">
        <f t="shared" si="3450"/>
        <v>3.166666667</v>
      </c>
      <c r="R3209" s="13"/>
      <c r="S3209" s="13"/>
      <c r="T3209" s="13">
        <f t="shared" ref="T3209:Y3209" si="3451">IF(ISBLANK(K3209)=TRUE,0,1)</f>
        <v>1</v>
      </c>
      <c r="U3209" s="13">
        <f t="shared" si="3451"/>
        <v>1</v>
      </c>
      <c r="V3209" s="13">
        <f t="shared" si="3451"/>
        <v>0</v>
      </c>
      <c r="W3209" s="13">
        <f t="shared" si="3451"/>
        <v>0</v>
      </c>
      <c r="X3209" s="13">
        <f t="shared" si="3451"/>
        <v>1</v>
      </c>
      <c r="Y3209" s="13">
        <f t="shared" si="3451"/>
        <v>1</v>
      </c>
      <c r="Z3209" s="13">
        <f t="shared" si="3023"/>
        <v>1</v>
      </c>
      <c r="AA3209" s="13"/>
      <c r="AB3209" s="13"/>
      <c r="AC3209" s="13"/>
      <c r="AD3209" s="13"/>
      <c r="AE3209" s="13"/>
      <c r="AF3209" s="13"/>
      <c r="AG3209" s="13"/>
      <c r="AH3209" s="13"/>
      <c r="AI3209" s="13"/>
      <c r="AJ3209" s="13"/>
      <c r="AK3209" s="13"/>
      <c r="AL3209" s="13"/>
      <c r="AM3209" s="13"/>
      <c r="AN3209" s="13"/>
      <c r="AO3209" s="13"/>
      <c r="AP3209" s="13"/>
      <c r="AQ3209" s="13"/>
      <c r="AR3209" s="13"/>
      <c r="AS3209" s="13"/>
    </row>
    <row r="3210" ht="14.25" customHeight="1">
      <c r="A3210" s="13" t="s">
        <v>36</v>
      </c>
      <c r="B3210" s="13" t="s">
        <v>41</v>
      </c>
      <c r="C3210" s="13" t="s">
        <v>1860</v>
      </c>
      <c r="D3210" s="13" t="s">
        <v>172</v>
      </c>
      <c r="F3210" s="13"/>
      <c r="G3210" s="13" t="s">
        <v>74</v>
      </c>
      <c r="H3210" s="13" t="s">
        <v>75</v>
      </c>
      <c r="I3210" s="13"/>
      <c r="J3210" s="13"/>
      <c r="K3210" s="15">
        <v>1.0</v>
      </c>
      <c r="L3210" s="15">
        <v>1.0</v>
      </c>
      <c r="M3210" s="16"/>
      <c r="N3210" s="16"/>
      <c r="O3210" s="17">
        <v>1.0</v>
      </c>
      <c r="P3210" s="17">
        <v>1.0</v>
      </c>
      <c r="Q3210" s="13">
        <f t="shared" si="3450"/>
        <v>3.166666667</v>
      </c>
      <c r="R3210" s="13"/>
      <c r="S3210" s="13"/>
      <c r="T3210" s="13">
        <f t="shared" ref="T3210:Y3210" si="3452">IF(ISBLANK(K3210)=TRUE,0,1)</f>
        <v>1</v>
      </c>
      <c r="U3210" s="13">
        <f t="shared" si="3452"/>
        <v>1</v>
      </c>
      <c r="V3210" s="13">
        <f t="shared" si="3452"/>
        <v>0</v>
      </c>
      <c r="W3210" s="13">
        <f t="shared" si="3452"/>
        <v>0</v>
      </c>
      <c r="X3210" s="13">
        <f t="shared" si="3452"/>
        <v>1</v>
      </c>
      <c r="Y3210" s="13">
        <f t="shared" si="3452"/>
        <v>1</v>
      </c>
      <c r="Z3210" s="13">
        <f t="shared" si="3023"/>
        <v>1</v>
      </c>
      <c r="AA3210" s="13"/>
      <c r="AB3210" s="13"/>
      <c r="AC3210" s="13"/>
      <c r="AD3210" s="13"/>
      <c r="AE3210" s="13"/>
      <c r="AF3210" s="13"/>
      <c r="AG3210" s="13"/>
      <c r="AH3210" s="13"/>
      <c r="AI3210" s="13"/>
      <c r="AJ3210" s="13"/>
      <c r="AK3210" s="13"/>
      <c r="AL3210" s="13"/>
      <c r="AM3210" s="13"/>
      <c r="AN3210" s="13"/>
      <c r="AO3210" s="13"/>
      <c r="AP3210" s="13"/>
      <c r="AQ3210" s="13"/>
      <c r="AR3210" s="13"/>
      <c r="AS3210" s="13"/>
    </row>
    <row r="3211" ht="14.25" customHeight="1">
      <c r="A3211" s="13" t="s">
        <v>36</v>
      </c>
      <c r="B3211" s="13" t="s">
        <v>39</v>
      </c>
      <c r="C3211" s="13" t="s">
        <v>1872</v>
      </c>
      <c r="D3211" s="13" t="s">
        <v>434</v>
      </c>
      <c r="F3211" s="13"/>
      <c r="G3211" s="13" t="s">
        <v>111</v>
      </c>
      <c r="H3211" s="13" t="s">
        <v>75</v>
      </c>
      <c r="I3211" s="13"/>
      <c r="J3211" s="13"/>
      <c r="K3211" s="15">
        <v>0.0</v>
      </c>
      <c r="L3211" s="15">
        <v>0.0</v>
      </c>
      <c r="M3211" s="16"/>
      <c r="N3211" s="16"/>
      <c r="O3211" s="17"/>
      <c r="P3211" s="17"/>
      <c r="Q3211" s="13">
        <f t="shared" si="3450"/>
        <v>3.166666667</v>
      </c>
      <c r="R3211" s="13"/>
      <c r="S3211" s="13"/>
      <c r="T3211" s="13">
        <f t="shared" ref="T3211:Y3211" si="3453">IF(ISBLANK(K3211)=TRUE,0,1)</f>
        <v>1</v>
      </c>
      <c r="U3211" s="13">
        <f t="shared" si="3453"/>
        <v>1</v>
      </c>
      <c r="V3211" s="13">
        <f t="shared" si="3453"/>
        <v>0</v>
      </c>
      <c r="W3211" s="13">
        <f t="shared" si="3453"/>
        <v>0</v>
      </c>
      <c r="X3211" s="13">
        <f t="shared" si="3453"/>
        <v>0</v>
      </c>
      <c r="Y3211" s="13">
        <f t="shared" si="3453"/>
        <v>0</v>
      </c>
      <c r="Z3211" s="13">
        <f t="shared" si="3023"/>
        <v>0</v>
      </c>
      <c r="AA3211" s="13"/>
      <c r="AB3211" s="13"/>
      <c r="AC3211" s="13"/>
      <c r="AD3211" s="13"/>
      <c r="AE3211" s="13"/>
      <c r="AF3211" s="13"/>
      <c r="AG3211" s="13"/>
      <c r="AH3211" s="13"/>
      <c r="AI3211" s="13"/>
      <c r="AJ3211" s="13"/>
      <c r="AK3211" s="13"/>
      <c r="AL3211" s="13"/>
      <c r="AM3211" s="13"/>
      <c r="AN3211" s="13"/>
      <c r="AO3211" s="13"/>
      <c r="AP3211" s="13"/>
      <c r="AQ3211" s="13"/>
      <c r="AR3211" s="13"/>
      <c r="AS3211" s="13"/>
    </row>
    <row r="3212" ht="14.25" customHeight="1">
      <c r="A3212" s="13" t="s">
        <v>36</v>
      </c>
      <c r="B3212" s="13" t="s">
        <v>37</v>
      </c>
      <c r="C3212" s="13" t="s">
        <v>1859</v>
      </c>
      <c r="D3212" s="13" t="s">
        <v>197</v>
      </c>
      <c r="F3212" s="13"/>
      <c r="G3212" s="13" t="s">
        <v>74</v>
      </c>
      <c r="H3212" s="13" t="s">
        <v>75</v>
      </c>
      <c r="I3212" s="13"/>
      <c r="J3212" s="13"/>
      <c r="K3212" s="15">
        <v>1.0</v>
      </c>
      <c r="L3212" s="15">
        <v>1.0</v>
      </c>
      <c r="M3212" s="16"/>
      <c r="N3212" s="16"/>
      <c r="O3212" s="17"/>
      <c r="P3212" s="17"/>
      <c r="Q3212" s="13">
        <f t="shared" si="3450"/>
        <v>0</v>
      </c>
      <c r="R3212" s="13"/>
      <c r="S3212" s="13"/>
      <c r="T3212" s="13">
        <f t="shared" ref="T3212:Y3212" si="3454">IF(ISBLANK(K3212)=TRUE,0,1)</f>
        <v>1</v>
      </c>
      <c r="U3212" s="13">
        <f t="shared" si="3454"/>
        <v>1</v>
      </c>
      <c r="V3212" s="13">
        <f t="shared" si="3454"/>
        <v>0</v>
      </c>
      <c r="W3212" s="13">
        <f t="shared" si="3454"/>
        <v>0</v>
      </c>
      <c r="X3212" s="13">
        <f t="shared" si="3454"/>
        <v>0</v>
      </c>
      <c r="Y3212" s="13">
        <f t="shared" si="3454"/>
        <v>0</v>
      </c>
      <c r="Z3212" s="13">
        <f t="shared" si="3023"/>
        <v>1</v>
      </c>
      <c r="AA3212" s="13"/>
      <c r="AB3212" s="13"/>
      <c r="AC3212" s="13"/>
      <c r="AD3212" s="13"/>
      <c r="AE3212" s="13"/>
      <c r="AF3212" s="13"/>
      <c r="AG3212" s="13"/>
      <c r="AH3212" s="13"/>
      <c r="AI3212" s="13"/>
      <c r="AJ3212" s="13"/>
      <c r="AK3212" s="13"/>
      <c r="AL3212" s="13"/>
      <c r="AM3212" s="13"/>
      <c r="AN3212" s="13"/>
      <c r="AO3212" s="13"/>
      <c r="AP3212" s="13"/>
      <c r="AQ3212" s="13"/>
      <c r="AR3212" s="13"/>
      <c r="AS3212" s="13"/>
    </row>
    <row r="3213" ht="14.25" customHeight="1">
      <c r="A3213" s="13" t="s">
        <v>29</v>
      </c>
      <c r="B3213" s="13" t="s">
        <v>32</v>
      </c>
      <c r="C3213" s="18" t="s">
        <v>109</v>
      </c>
      <c r="D3213" s="13" t="s">
        <v>1956</v>
      </c>
      <c r="F3213" s="13"/>
      <c r="G3213" s="13" t="s">
        <v>111</v>
      </c>
      <c r="H3213" s="13" t="s">
        <v>75</v>
      </c>
      <c r="I3213" s="13"/>
      <c r="J3213" s="13"/>
      <c r="K3213" s="15"/>
      <c r="L3213" s="15"/>
      <c r="M3213" s="16">
        <v>0.0</v>
      </c>
      <c r="N3213" s="16">
        <v>0.0</v>
      </c>
      <c r="O3213" s="17">
        <v>0.0</v>
      </c>
      <c r="P3213" s="17">
        <v>0.0</v>
      </c>
      <c r="Q3213" s="13"/>
      <c r="R3213" s="13"/>
      <c r="S3213" s="13"/>
      <c r="T3213" s="13">
        <f t="shared" ref="T3213:Y3213" si="3455">IF(ISBLANK(K3213)=TRUE,0,1)</f>
        <v>0</v>
      </c>
      <c r="U3213" s="13">
        <f t="shared" si="3455"/>
        <v>0</v>
      </c>
      <c r="V3213" s="13">
        <f t="shared" si="3455"/>
        <v>1</v>
      </c>
      <c r="W3213" s="13">
        <f t="shared" si="3455"/>
        <v>1</v>
      </c>
      <c r="X3213" s="13">
        <f t="shared" si="3455"/>
        <v>1</v>
      </c>
      <c r="Y3213" s="13">
        <f t="shared" si="3455"/>
        <v>1</v>
      </c>
      <c r="Z3213" s="13">
        <f t="shared" si="3023"/>
        <v>0</v>
      </c>
      <c r="AA3213" s="13"/>
      <c r="AB3213" s="13"/>
      <c r="AC3213" s="13"/>
      <c r="AD3213" s="13"/>
      <c r="AE3213" s="13"/>
      <c r="AF3213" s="13"/>
      <c r="AG3213" s="13"/>
      <c r="AH3213" s="13"/>
      <c r="AI3213" s="13"/>
      <c r="AJ3213" s="13"/>
      <c r="AK3213" s="13"/>
      <c r="AL3213" s="13"/>
      <c r="AM3213" s="13"/>
      <c r="AN3213" s="13"/>
      <c r="AO3213" s="13"/>
      <c r="AP3213" s="13"/>
      <c r="AQ3213" s="13"/>
      <c r="AR3213" s="13"/>
      <c r="AS3213" s="13"/>
    </row>
    <row r="3214" ht="14.25" customHeight="1">
      <c r="A3214" s="13" t="s">
        <v>36</v>
      </c>
      <c r="B3214" s="13" t="s">
        <v>37</v>
      </c>
      <c r="C3214" s="13" t="s">
        <v>1859</v>
      </c>
      <c r="D3214" s="13" t="s">
        <v>433</v>
      </c>
      <c r="F3214" s="13"/>
      <c r="G3214" s="13" t="s">
        <v>74</v>
      </c>
      <c r="H3214" s="13" t="s">
        <v>75</v>
      </c>
      <c r="I3214" s="13"/>
      <c r="J3214" s="13"/>
      <c r="K3214" s="15">
        <v>1.0</v>
      </c>
      <c r="L3214" s="15">
        <v>1.0</v>
      </c>
      <c r="M3214" s="16"/>
      <c r="N3214" s="16"/>
      <c r="O3214" s="17"/>
      <c r="P3214" s="17"/>
      <c r="Q3214" s="13">
        <f t="shared" ref="Q3214:Q3215" si="3457">K3213+L3213+M3213+N3213+O3213+P3213/6</f>
        <v>0</v>
      </c>
      <c r="R3214" s="13"/>
      <c r="S3214" s="13"/>
      <c r="T3214" s="13">
        <f t="shared" ref="T3214:Y3214" si="3456">IF(ISBLANK(K3214)=TRUE,0,1)</f>
        <v>1</v>
      </c>
      <c r="U3214" s="13">
        <f t="shared" si="3456"/>
        <v>1</v>
      </c>
      <c r="V3214" s="13">
        <f t="shared" si="3456"/>
        <v>0</v>
      </c>
      <c r="W3214" s="13">
        <f t="shared" si="3456"/>
        <v>0</v>
      </c>
      <c r="X3214" s="13">
        <f t="shared" si="3456"/>
        <v>0</v>
      </c>
      <c r="Y3214" s="13">
        <f t="shared" si="3456"/>
        <v>0</v>
      </c>
      <c r="Z3214" s="13">
        <f t="shared" si="3023"/>
        <v>1</v>
      </c>
      <c r="AA3214" s="13"/>
      <c r="AB3214" s="13"/>
      <c r="AC3214" s="13"/>
      <c r="AD3214" s="13"/>
      <c r="AE3214" s="13"/>
      <c r="AF3214" s="13"/>
      <c r="AG3214" s="13"/>
      <c r="AH3214" s="13"/>
      <c r="AI3214" s="13"/>
      <c r="AJ3214" s="13"/>
      <c r="AK3214" s="13"/>
      <c r="AL3214" s="13"/>
      <c r="AM3214" s="13"/>
      <c r="AN3214" s="13"/>
      <c r="AO3214" s="13"/>
      <c r="AP3214" s="13"/>
      <c r="AQ3214" s="13"/>
      <c r="AR3214" s="13"/>
      <c r="AS3214" s="13"/>
    </row>
    <row r="3215" ht="14.25" customHeight="1">
      <c r="A3215" s="13" t="s">
        <v>36</v>
      </c>
      <c r="B3215" s="13" t="s">
        <v>39</v>
      </c>
      <c r="C3215" s="13" t="s">
        <v>1872</v>
      </c>
      <c r="D3215" s="13" t="s">
        <v>435</v>
      </c>
      <c r="F3215" s="13"/>
      <c r="G3215" s="13" t="s">
        <v>111</v>
      </c>
      <c r="H3215" s="13" t="s">
        <v>75</v>
      </c>
      <c r="I3215" s="13"/>
      <c r="J3215" s="13"/>
      <c r="K3215" s="15">
        <v>0.0</v>
      </c>
      <c r="L3215" s="15">
        <v>0.0</v>
      </c>
      <c r="M3215" s="16"/>
      <c r="N3215" s="16"/>
      <c r="O3215" s="17"/>
      <c r="P3215" s="17"/>
      <c r="Q3215" s="13">
        <f t="shared" si="3457"/>
        <v>2</v>
      </c>
      <c r="R3215" s="13"/>
      <c r="S3215" s="13"/>
      <c r="T3215" s="13">
        <f t="shared" ref="T3215:Y3215" si="3458">IF(ISBLANK(K3215)=TRUE,0,1)</f>
        <v>1</v>
      </c>
      <c r="U3215" s="13">
        <f t="shared" si="3458"/>
        <v>1</v>
      </c>
      <c r="V3215" s="13">
        <f t="shared" si="3458"/>
        <v>0</v>
      </c>
      <c r="W3215" s="13">
        <f t="shared" si="3458"/>
        <v>0</v>
      </c>
      <c r="X3215" s="13">
        <f t="shared" si="3458"/>
        <v>0</v>
      </c>
      <c r="Y3215" s="13">
        <f t="shared" si="3458"/>
        <v>0</v>
      </c>
      <c r="Z3215" s="13">
        <f t="shared" si="3023"/>
        <v>0</v>
      </c>
      <c r="AA3215" s="13" t="s">
        <v>483</v>
      </c>
      <c r="AB3215" s="13"/>
      <c r="AC3215" s="13"/>
      <c r="AD3215" s="13"/>
      <c r="AE3215" s="13"/>
      <c r="AF3215" s="13"/>
      <c r="AG3215" s="13"/>
      <c r="AH3215" s="13"/>
      <c r="AI3215" s="13"/>
      <c r="AJ3215" s="13"/>
      <c r="AK3215" s="13"/>
      <c r="AL3215" s="13"/>
      <c r="AM3215" s="13"/>
      <c r="AN3215" s="13"/>
      <c r="AO3215" s="13"/>
      <c r="AP3215" s="13"/>
      <c r="AQ3215" s="13"/>
      <c r="AR3215" s="13"/>
      <c r="AS3215" s="13"/>
    </row>
    <row r="3216" ht="14.25" customHeight="1">
      <c r="A3216" s="26" t="s">
        <v>29</v>
      </c>
      <c r="B3216" s="26" t="s">
        <v>32</v>
      </c>
      <c r="C3216" s="27" t="s">
        <v>109</v>
      </c>
      <c r="D3216" s="26" t="s">
        <v>554</v>
      </c>
      <c r="F3216" s="26"/>
      <c r="G3216" s="13" t="s">
        <v>111</v>
      </c>
      <c r="H3216" s="26" t="s">
        <v>75</v>
      </c>
      <c r="I3216" s="26"/>
      <c r="J3216" s="26"/>
      <c r="K3216" s="28"/>
      <c r="L3216" s="28"/>
      <c r="M3216" s="16">
        <v>0.0</v>
      </c>
      <c r="N3216" s="16">
        <v>0.0</v>
      </c>
      <c r="O3216" s="17">
        <v>0.0</v>
      </c>
      <c r="P3216" s="17">
        <v>0.0</v>
      </c>
      <c r="Q3216" s="13"/>
      <c r="R3216" s="13"/>
      <c r="S3216" s="13"/>
      <c r="T3216" s="13">
        <f t="shared" ref="T3216:Y3216" si="3459">IF(ISBLANK(K3216)=TRUE,0,1)</f>
        <v>0</v>
      </c>
      <c r="U3216" s="13">
        <f t="shared" si="3459"/>
        <v>0</v>
      </c>
      <c r="V3216" s="13">
        <f t="shared" si="3459"/>
        <v>1</v>
      </c>
      <c r="W3216" s="13">
        <f t="shared" si="3459"/>
        <v>1</v>
      </c>
      <c r="X3216" s="13">
        <f t="shared" si="3459"/>
        <v>1</v>
      </c>
      <c r="Y3216" s="13">
        <f t="shared" si="3459"/>
        <v>1</v>
      </c>
      <c r="Z3216" s="13">
        <f t="shared" si="3023"/>
        <v>0</v>
      </c>
      <c r="AA3216" s="13"/>
      <c r="AB3216" s="13"/>
      <c r="AC3216" s="13"/>
      <c r="AD3216" s="13"/>
      <c r="AE3216" s="13"/>
      <c r="AF3216" s="13"/>
      <c r="AG3216" s="13"/>
      <c r="AH3216" s="13"/>
      <c r="AI3216" s="13"/>
      <c r="AJ3216" s="13"/>
      <c r="AK3216" s="13"/>
      <c r="AL3216" s="13"/>
      <c r="AM3216" s="13"/>
      <c r="AN3216" s="13"/>
      <c r="AO3216" s="13"/>
      <c r="AP3216" s="13"/>
      <c r="AQ3216" s="13"/>
      <c r="AR3216" s="13"/>
      <c r="AS3216" s="13"/>
    </row>
    <row r="3217" ht="14.25" customHeight="1">
      <c r="A3217" s="13" t="s">
        <v>36</v>
      </c>
      <c r="B3217" s="13" t="s">
        <v>42</v>
      </c>
      <c r="C3217" s="13">
        <v>712.0</v>
      </c>
      <c r="D3217" s="13" t="s">
        <v>179</v>
      </c>
      <c r="F3217" s="13"/>
      <c r="G3217" s="13" t="s">
        <v>111</v>
      </c>
      <c r="H3217" s="13" t="s">
        <v>75</v>
      </c>
      <c r="I3217" s="13"/>
      <c r="J3217" s="13"/>
      <c r="K3217" s="15">
        <v>0.0</v>
      </c>
      <c r="L3217" s="15">
        <v>0.0</v>
      </c>
      <c r="M3217" s="16"/>
      <c r="N3217" s="16"/>
      <c r="O3217" s="17"/>
      <c r="P3217" s="17"/>
      <c r="Q3217" s="13">
        <f t="shared" ref="Q3217:Q3228" si="3461">K3216+L3216+M3216+N3216+O3216+P3216/6</f>
        <v>0</v>
      </c>
      <c r="R3217" s="13"/>
      <c r="S3217" s="13"/>
      <c r="T3217" s="13">
        <f t="shared" ref="T3217:Y3217" si="3460">IF(ISBLANK(K3217)=TRUE,0,1)</f>
        <v>1</v>
      </c>
      <c r="U3217" s="13">
        <f t="shared" si="3460"/>
        <v>1</v>
      </c>
      <c r="V3217" s="13">
        <f t="shared" si="3460"/>
        <v>0</v>
      </c>
      <c r="W3217" s="13">
        <f t="shared" si="3460"/>
        <v>0</v>
      </c>
      <c r="X3217" s="13">
        <f t="shared" si="3460"/>
        <v>0</v>
      </c>
      <c r="Y3217" s="13">
        <f t="shared" si="3460"/>
        <v>0</v>
      </c>
      <c r="Z3217" s="13">
        <f t="shared" si="3023"/>
        <v>0</v>
      </c>
      <c r="AA3217" s="13"/>
      <c r="AB3217" s="13"/>
      <c r="AC3217" s="13"/>
      <c r="AD3217" s="13"/>
      <c r="AE3217" s="13"/>
      <c r="AF3217" s="13"/>
      <c r="AG3217" s="13"/>
      <c r="AH3217" s="13"/>
      <c r="AI3217" s="13"/>
      <c r="AJ3217" s="13"/>
      <c r="AK3217" s="13"/>
      <c r="AL3217" s="13"/>
      <c r="AM3217" s="13"/>
      <c r="AN3217" s="13"/>
      <c r="AO3217" s="13"/>
      <c r="AP3217" s="13"/>
      <c r="AQ3217" s="13"/>
      <c r="AR3217" s="13"/>
      <c r="AS3217" s="13"/>
    </row>
    <row r="3218" ht="14.25" customHeight="1">
      <c r="A3218" s="13" t="s">
        <v>36</v>
      </c>
      <c r="B3218" s="13" t="s">
        <v>42</v>
      </c>
      <c r="C3218" s="13">
        <v>712.0</v>
      </c>
      <c r="D3218" s="13" t="s">
        <v>180</v>
      </c>
      <c r="F3218" s="13"/>
      <c r="G3218" s="13" t="s">
        <v>111</v>
      </c>
      <c r="H3218" s="13" t="s">
        <v>75</v>
      </c>
      <c r="I3218" s="13"/>
      <c r="J3218" s="13"/>
      <c r="K3218" s="15">
        <v>0.0</v>
      </c>
      <c r="L3218" s="15">
        <v>0.0</v>
      </c>
      <c r="M3218" s="16"/>
      <c r="N3218" s="16"/>
      <c r="O3218" s="17"/>
      <c r="P3218" s="17"/>
      <c r="Q3218" s="13">
        <f t="shared" si="3461"/>
        <v>0</v>
      </c>
      <c r="R3218" s="13"/>
      <c r="S3218" s="13"/>
      <c r="T3218" s="13">
        <f t="shared" ref="T3218:Y3218" si="3462">IF(ISBLANK(K3218)=TRUE,0,1)</f>
        <v>1</v>
      </c>
      <c r="U3218" s="13">
        <f t="shared" si="3462"/>
        <v>1</v>
      </c>
      <c r="V3218" s="13">
        <f t="shared" si="3462"/>
        <v>0</v>
      </c>
      <c r="W3218" s="13">
        <f t="shared" si="3462"/>
        <v>0</v>
      </c>
      <c r="X3218" s="13">
        <f t="shared" si="3462"/>
        <v>0</v>
      </c>
      <c r="Y3218" s="13">
        <f t="shared" si="3462"/>
        <v>0</v>
      </c>
      <c r="Z3218" s="13">
        <f t="shared" si="3023"/>
        <v>0</v>
      </c>
      <c r="AA3218" s="13"/>
      <c r="AB3218" s="13"/>
      <c r="AC3218" s="13"/>
      <c r="AD3218" s="13"/>
      <c r="AE3218" s="13"/>
      <c r="AF3218" s="13"/>
      <c r="AG3218" s="13"/>
      <c r="AH3218" s="13"/>
      <c r="AI3218" s="13"/>
      <c r="AJ3218" s="13"/>
      <c r="AK3218" s="13"/>
      <c r="AL3218" s="13"/>
      <c r="AM3218" s="13"/>
      <c r="AN3218" s="13"/>
      <c r="AO3218" s="13"/>
      <c r="AP3218" s="13"/>
      <c r="AQ3218" s="13"/>
      <c r="AR3218" s="13"/>
      <c r="AS3218" s="13"/>
    </row>
    <row r="3219" ht="14.25" customHeight="1">
      <c r="A3219" s="13" t="s">
        <v>36</v>
      </c>
      <c r="B3219" s="13" t="s">
        <v>42</v>
      </c>
      <c r="C3219" s="13">
        <v>712.0</v>
      </c>
      <c r="D3219" s="13" t="s">
        <v>181</v>
      </c>
      <c r="F3219" s="13"/>
      <c r="G3219" s="13" t="s">
        <v>111</v>
      </c>
      <c r="H3219" s="13" t="s">
        <v>75</v>
      </c>
      <c r="I3219" s="13"/>
      <c r="J3219" s="13"/>
      <c r="K3219" s="15">
        <v>0.0</v>
      </c>
      <c r="L3219" s="15">
        <v>0.0</v>
      </c>
      <c r="M3219" s="16"/>
      <c r="N3219" s="16"/>
      <c r="O3219" s="17"/>
      <c r="P3219" s="17"/>
      <c r="Q3219" s="13">
        <f t="shared" si="3461"/>
        <v>0</v>
      </c>
      <c r="R3219" s="13"/>
      <c r="S3219" s="13"/>
      <c r="T3219" s="13">
        <f t="shared" ref="T3219:Y3219" si="3463">IF(ISBLANK(K3219)=TRUE,0,1)</f>
        <v>1</v>
      </c>
      <c r="U3219" s="13">
        <f t="shared" si="3463"/>
        <v>1</v>
      </c>
      <c r="V3219" s="13">
        <f t="shared" si="3463"/>
        <v>0</v>
      </c>
      <c r="W3219" s="13">
        <f t="shared" si="3463"/>
        <v>0</v>
      </c>
      <c r="X3219" s="13">
        <f t="shared" si="3463"/>
        <v>0</v>
      </c>
      <c r="Y3219" s="13">
        <f t="shared" si="3463"/>
        <v>0</v>
      </c>
      <c r="Z3219" s="13">
        <f t="shared" si="3023"/>
        <v>0</v>
      </c>
      <c r="AA3219" s="13"/>
      <c r="AB3219" s="13"/>
      <c r="AC3219" s="13"/>
      <c r="AD3219" s="13"/>
      <c r="AE3219" s="13"/>
      <c r="AF3219" s="13"/>
      <c r="AG3219" s="13"/>
      <c r="AH3219" s="13"/>
      <c r="AI3219" s="13"/>
      <c r="AJ3219" s="13"/>
      <c r="AK3219" s="13"/>
      <c r="AL3219" s="13"/>
      <c r="AM3219" s="13"/>
      <c r="AN3219" s="13"/>
      <c r="AO3219" s="13"/>
      <c r="AP3219" s="13"/>
      <c r="AQ3219" s="13"/>
      <c r="AR3219" s="13"/>
      <c r="AS3219" s="13"/>
    </row>
    <row r="3220" ht="14.25" customHeight="1">
      <c r="A3220" s="13" t="s">
        <v>36</v>
      </c>
      <c r="B3220" s="13" t="s">
        <v>41</v>
      </c>
      <c r="C3220" s="13" t="s">
        <v>1860</v>
      </c>
      <c r="D3220" s="13" t="s">
        <v>556</v>
      </c>
      <c r="F3220" s="13"/>
      <c r="G3220" s="13" t="s">
        <v>74</v>
      </c>
      <c r="H3220" s="13" t="s">
        <v>75</v>
      </c>
      <c r="I3220" s="13"/>
      <c r="J3220" s="13"/>
      <c r="K3220" s="15">
        <v>1.0</v>
      </c>
      <c r="L3220" s="15">
        <v>1.0</v>
      </c>
      <c r="M3220" s="16"/>
      <c r="N3220" s="16"/>
      <c r="O3220" s="17">
        <v>1.0</v>
      </c>
      <c r="P3220" s="17">
        <v>1.0</v>
      </c>
      <c r="Q3220" s="13">
        <f t="shared" si="3461"/>
        <v>0</v>
      </c>
      <c r="R3220" s="13"/>
      <c r="S3220" s="13"/>
      <c r="T3220" s="13">
        <f t="shared" ref="T3220:Y3220" si="3464">IF(ISBLANK(K3220)=TRUE,0,1)</f>
        <v>1</v>
      </c>
      <c r="U3220" s="13">
        <f t="shared" si="3464"/>
        <v>1</v>
      </c>
      <c r="V3220" s="13">
        <f t="shared" si="3464"/>
        <v>0</v>
      </c>
      <c r="W3220" s="13">
        <f t="shared" si="3464"/>
        <v>0</v>
      </c>
      <c r="X3220" s="13">
        <f t="shared" si="3464"/>
        <v>1</v>
      </c>
      <c r="Y3220" s="13">
        <f t="shared" si="3464"/>
        <v>1</v>
      </c>
      <c r="Z3220" s="13">
        <f t="shared" si="3023"/>
        <v>1</v>
      </c>
      <c r="AA3220" s="13"/>
      <c r="AB3220" s="13"/>
      <c r="AC3220" s="13"/>
      <c r="AD3220" s="13"/>
      <c r="AE3220" s="13"/>
      <c r="AF3220" s="13"/>
      <c r="AG3220" s="13"/>
      <c r="AH3220" s="13"/>
      <c r="AI3220" s="13"/>
      <c r="AJ3220" s="13"/>
      <c r="AK3220" s="13"/>
      <c r="AL3220" s="13"/>
      <c r="AM3220" s="13"/>
      <c r="AN3220" s="13"/>
      <c r="AO3220" s="13"/>
      <c r="AP3220" s="13"/>
      <c r="AQ3220" s="13"/>
      <c r="AR3220" s="13"/>
      <c r="AS3220" s="13"/>
    </row>
    <row r="3221" ht="14.25" customHeight="1">
      <c r="A3221" s="13" t="s">
        <v>36</v>
      </c>
      <c r="B3221" s="13" t="s">
        <v>41</v>
      </c>
      <c r="C3221" s="13" t="s">
        <v>1860</v>
      </c>
      <c r="D3221" s="13" t="s">
        <v>557</v>
      </c>
      <c r="F3221" s="13"/>
      <c r="G3221" s="13" t="s">
        <v>74</v>
      </c>
      <c r="H3221" s="13" t="s">
        <v>75</v>
      </c>
      <c r="I3221" s="13"/>
      <c r="J3221" s="13"/>
      <c r="K3221" s="15">
        <v>1.0</v>
      </c>
      <c r="L3221" s="15">
        <v>1.0</v>
      </c>
      <c r="M3221" s="16"/>
      <c r="N3221" s="16"/>
      <c r="O3221" s="17">
        <v>1.0</v>
      </c>
      <c r="P3221" s="17">
        <v>1.0</v>
      </c>
      <c r="Q3221" s="13">
        <f t="shared" si="3461"/>
        <v>3.166666667</v>
      </c>
      <c r="R3221" s="13"/>
      <c r="S3221" s="13"/>
      <c r="T3221" s="13">
        <f t="shared" ref="T3221:Y3221" si="3465">IF(ISBLANK(K3221)=TRUE,0,1)</f>
        <v>1</v>
      </c>
      <c r="U3221" s="13">
        <f t="shared" si="3465"/>
        <v>1</v>
      </c>
      <c r="V3221" s="13">
        <f t="shared" si="3465"/>
        <v>0</v>
      </c>
      <c r="W3221" s="13">
        <f t="shared" si="3465"/>
        <v>0</v>
      </c>
      <c r="X3221" s="13">
        <f t="shared" si="3465"/>
        <v>1</v>
      </c>
      <c r="Y3221" s="13">
        <f t="shared" si="3465"/>
        <v>1</v>
      </c>
      <c r="Z3221" s="13">
        <f t="shared" si="3023"/>
        <v>1</v>
      </c>
      <c r="AA3221" s="13"/>
      <c r="AB3221" s="13"/>
      <c r="AC3221" s="13"/>
      <c r="AD3221" s="13"/>
      <c r="AE3221" s="13"/>
      <c r="AF3221" s="13"/>
      <c r="AG3221" s="13"/>
      <c r="AH3221" s="13"/>
      <c r="AI3221" s="13"/>
      <c r="AJ3221" s="13"/>
      <c r="AK3221" s="13"/>
      <c r="AL3221" s="13"/>
      <c r="AM3221" s="13"/>
      <c r="AN3221" s="13"/>
      <c r="AO3221" s="13"/>
      <c r="AP3221" s="13"/>
      <c r="AQ3221" s="13"/>
      <c r="AR3221" s="13"/>
      <c r="AS3221" s="13"/>
    </row>
    <row r="3222" ht="14.25" customHeight="1">
      <c r="A3222" s="13" t="s">
        <v>36</v>
      </c>
      <c r="B3222" s="13" t="s">
        <v>42</v>
      </c>
      <c r="C3222" s="13">
        <v>712.0</v>
      </c>
      <c r="D3222" s="13" t="s">
        <v>182</v>
      </c>
      <c r="F3222" s="13"/>
      <c r="G3222" s="13" t="s">
        <v>111</v>
      </c>
      <c r="H3222" s="13" t="s">
        <v>75</v>
      </c>
      <c r="I3222" s="13"/>
      <c r="J3222" s="13"/>
      <c r="K3222" s="15">
        <v>0.0</v>
      </c>
      <c r="L3222" s="15">
        <v>0.0</v>
      </c>
      <c r="M3222" s="16"/>
      <c r="N3222" s="16"/>
      <c r="O3222" s="17"/>
      <c r="P3222" s="17"/>
      <c r="Q3222" s="13">
        <f t="shared" si="3461"/>
        <v>3.166666667</v>
      </c>
      <c r="R3222" s="13"/>
      <c r="S3222" s="13"/>
      <c r="T3222" s="13">
        <f t="shared" ref="T3222:Y3222" si="3466">IF(ISBLANK(K3222)=TRUE,0,1)</f>
        <v>1</v>
      </c>
      <c r="U3222" s="13">
        <f t="shared" si="3466"/>
        <v>1</v>
      </c>
      <c r="V3222" s="13">
        <f t="shared" si="3466"/>
        <v>0</v>
      </c>
      <c r="W3222" s="13">
        <f t="shared" si="3466"/>
        <v>0</v>
      </c>
      <c r="X3222" s="13">
        <f t="shared" si="3466"/>
        <v>0</v>
      </c>
      <c r="Y3222" s="13">
        <f t="shared" si="3466"/>
        <v>0</v>
      </c>
      <c r="Z3222" s="13">
        <f t="shared" si="3023"/>
        <v>0</v>
      </c>
      <c r="AA3222" s="13"/>
      <c r="AB3222" s="13"/>
      <c r="AC3222" s="13"/>
      <c r="AD3222" s="13"/>
      <c r="AE3222" s="13"/>
      <c r="AF3222" s="13"/>
      <c r="AG3222" s="13"/>
      <c r="AH3222" s="13"/>
      <c r="AI3222" s="13"/>
      <c r="AJ3222" s="13"/>
      <c r="AK3222" s="13"/>
      <c r="AL3222" s="13"/>
      <c r="AM3222" s="13"/>
      <c r="AN3222" s="13"/>
      <c r="AO3222" s="13"/>
      <c r="AP3222" s="13"/>
      <c r="AQ3222" s="13"/>
      <c r="AR3222" s="13"/>
      <c r="AS3222" s="13"/>
    </row>
    <row r="3223" ht="14.25" customHeight="1">
      <c r="A3223" s="13" t="s">
        <v>36</v>
      </c>
      <c r="B3223" s="13" t="s">
        <v>39</v>
      </c>
      <c r="C3223" s="13" t="s">
        <v>1872</v>
      </c>
      <c r="D3223" s="13" t="s">
        <v>436</v>
      </c>
      <c r="F3223" s="13"/>
      <c r="G3223" s="13" t="s">
        <v>111</v>
      </c>
      <c r="H3223" s="13" t="s">
        <v>75</v>
      </c>
      <c r="I3223" s="13"/>
      <c r="J3223" s="13"/>
      <c r="K3223" s="15">
        <v>0.0</v>
      </c>
      <c r="L3223" s="15">
        <v>0.0</v>
      </c>
      <c r="M3223" s="16"/>
      <c r="N3223" s="16"/>
      <c r="O3223" s="17"/>
      <c r="P3223" s="17"/>
      <c r="Q3223" s="13">
        <f t="shared" si="3461"/>
        <v>0</v>
      </c>
      <c r="R3223" s="13"/>
      <c r="S3223" s="13"/>
      <c r="T3223" s="13">
        <f t="shared" ref="T3223:Y3223" si="3467">IF(ISBLANK(K3223)=TRUE,0,1)</f>
        <v>1</v>
      </c>
      <c r="U3223" s="13">
        <f t="shared" si="3467"/>
        <v>1</v>
      </c>
      <c r="V3223" s="13">
        <f t="shared" si="3467"/>
        <v>0</v>
      </c>
      <c r="W3223" s="13">
        <f t="shared" si="3467"/>
        <v>0</v>
      </c>
      <c r="X3223" s="13">
        <f t="shared" si="3467"/>
        <v>0</v>
      </c>
      <c r="Y3223" s="13">
        <f t="shared" si="3467"/>
        <v>0</v>
      </c>
      <c r="Z3223" s="13">
        <f t="shared" si="3023"/>
        <v>0</v>
      </c>
      <c r="AA3223" s="13"/>
      <c r="AB3223" s="13"/>
      <c r="AC3223" s="13"/>
      <c r="AD3223" s="13"/>
      <c r="AE3223" s="13"/>
      <c r="AF3223" s="13"/>
      <c r="AG3223" s="13"/>
      <c r="AH3223" s="13"/>
      <c r="AI3223" s="13"/>
      <c r="AJ3223" s="13"/>
      <c r="AK3223" s="13"/>
      <c r="AL3223" s="13"/>
      <c r="AM3223" s="13"/>
      <c r="AN3223" s="13"/>
      <c r="AO3223" s="13"/>
      <c r="AP3223" s="13"/>
      <c r="AQ3223" s="13"/>
      <c r="AR3223" s="13"/>
      <c r="AS3223" s="13"/>
    </row>
    <row r="3224" ht="14.25" customHeight="1">
      <c r="A3224" s="13" t="s">
        <v>36</v>
      </c>
      <c r="B3224" s="13" t="s">
        <v>39</v>
      </c>
      <c r="C3224" s="13" t="s">
        <v>1872</v>
      </c>
      <c r="D3224" s="13" t="s">
        <v>437</v>
      </c>
      <c r="F3224" s="13"/>
      <c r="G3224" s="13" t="s">
        <v>111</v>
      </c>
      <c r="H3224" s="13" t="s">
        <v>75</v>
      </c>
      <c r="I3224" s="13"/>
      <c r="J3224" s="13"/>
      <c r="K3224" s="15">
        <v>0.0</v>
      </c>
      <c r="L3224" s="15">
        <v>0.0</v>
      </c>
      <c r="M3224" s="16"/>
      <c r="N3224" s="16"/>
      <c r="O3224" s="17"/>
      <c r="P3224" s="17"/>
      <c r="Q3224" s="13">
        <f t="shared" si="3461"/>
        <v>0</v>
      </c>
      <c r="R3224" s="13"/>
      <c r="S3224" s="13"/>
      <c r="T3224" s="13">
        <f t="shared" ref="T3224:Y3224" si="3468">IF(ISBLANK(K3224)=TRUE,0,1)</f>
        <v>1</v>
      </c>
      <c r="U3224" s="13">
        <f t="shared" si="3468"/>
        <v>1</v>
      </c>
      <c r="V3224" s="13">
        <f t="shared" si="3468"/>
        <v>0</v>
      </c>
      <c r="W3224" s="13">
        <f t="shared" si="3468"/>
        <v>0</v>
      </c>
      <c r="X3224" s="13">
        <f t="shared" si="3468"/>
        <v>0</v>
      </c>
      <c r="Y3224" s="13">
        <f t="shared" si="3468"/>
        <v>0</v>
      </c>
      <c r="Z3224" s="13">
        <f t="shared" si="3023"/>
        <v>0</v>
      </c>
      <c r="AA3224" s="13"/>
      <c r="AB3224" s="13"/>
      <c r="AC3224" s="13"/>
      <c r="AD3224" s="13"/>
      <c r="AE3224" s="13"/>
      <c r="AF3224" s="13"/>
      <c r="AG3224" s="13"/>
      <c r="AH3224" s="13"/>
      <c r="AI3224" s="13"/>
      <c r="AJ3224" s="13"/>
      <c r="AK3224" s="13"/>
      <c r="AL3224" s="13"/>
      <c r="AM3224" s="13"/>
      <c r="AN3224" s="13"/>
      <c r="AO3224" s="13"/>
      <c r="AP3224" s="13"/>
      <c r="AQ3224" s="13"/>
      <c r="AR3224" s="13"/>
      <c r="AS3224" s="13"/>
    </row>
    <row r="3225" ht="14.25" customHeight="1">
      <c r="A3225" s="13" t="s">
        <v>36</v>
      </c>
      <c r="B3225" s="13" t="s">
        <v>42</v>
      </c>
      <c r="C3225" s="13">
        <v>712.0</v>
      </c>
      <c r="D3225" s="13" t="s">
        <v>183</v>
      </c>
      <c r="F3225" s="13"/>
      <c r="G3225" s="13" t="s">
        <v>111</v>
      </c>
      <c r="H3225" s="13" t="s">
        <v>75</v>
      </c>
      <c r="I3225" s="13"/>
      <c r="J3225" s="13"/>
      <c r="K3225" s="15">
        <v>0.0</v>
      </c>
      <c r="L3225" s="15">
        <v>0.0</v>
      </c>
      <c r="M3225" s="16"/>
      <c r="N3225" s="16"/>
      <c r="O3225" s="17"/>
      <c r="P3225" s="17"/>
      <c r="Q3225" s="13">
        <f t="shared" si="3461"/>
        <v>0</v>
      </c>
      <c r="R3225" s="13"/>
      <c r="S3225" s="13"/>
      <c r="T3225" s="13">
        <f t="shared" ref="T3225:Y3225" si="3469">IF(ISBLANK(K3225)=TRUE,0,1)</f>
        <v>1</v>
      </c>
      <c r="U3225" s="13">
        <f t="shared" si="3469"/>
        <v>1</v>
      </c>
      <c r="V3225" s="13">
        <f t="shared" si="3469"/>
        <v>0</v>
      </c>
      <c r="W3225" s="13">
        <f t="shared" si="3469"/>
        <v>0</v>
      </c>
      <c r="X3225" s="13">
        <f t="shared" si="3469"/>
        <v>0</v>
      </c>
      <c r="Y3225" s="13">
        <f t="shared" si="3469"/>
        <v>0</v>
      </c>
      <c r="Z3225" s="13">
        <f t="shared" si="3023"/>
        <v>0</v>
      </c>
      <c r="AA3225" s="13"/>
      <c r="AB3225" s="13"/>
      <c r="AC3225" s="13"/>
      <c r="AD3225" s="13"/>
      <c r="AE3225" s="13"/>
      <c r="AF3225" s="13"/>
      <c r="AG3225" s="13"/>
      <c r="AH3225" s="13"/>
      <c r="AI3225" s="13"/>
      <c r="AJ3225" s="13"/>
      <c r="AK3225" s="13"/>
      <c r="AL3225" s="13"/>
      <c r="AM3225" s="13"/>
      <c r="AN3225" s="13"/>
      <c r="AO3225" s="13"/>
      <c r="AP3225" s="13"/>
      <c r="AQ3225" s="13"/>
      <c r="AR3225" s="13"/>
      <c r="AS3225" s="13"/>
    </row>
    <row r="3226" ht="14.25" customHeight="1">
      <c r="A3226" s="13" t="s">
        <v>36</v>
      </c>
      <c r="B3226" s="13" t="s">
        <v>42</v>
      </c>
      <c r="C3226" s="13">
        <v>712.0</v>
      </c>
      <c r="D3226" s="13" t="s">
        <v>184</v>
      </c>
      <c r="F3226" s="13"/>
      <c r="G3226" s="13" t="s">
        <v>111</v>
      </c>
      <c r="H3226" s="13" t="s">
        <v>75</v>
      </c>
      <c r="I3226" s="13"/>
      <c r="J3226" s="13"/>
      <c r="K3226" s="15">
        <v>0.0</v>
      </c>
      <c r="L3226" s="15">
        <v>0.0</v>
      </c>
      <c r="M3226" s="16"/>
      <c r="N3226" s="16"/>
      <c r="O3226" s="17"/>
      <c r="P3226" s="17"/>
      <c r="Q3226" s="13">
        <f t="shared" si="3461"/>
        <v>0</v>
      </c>
      <c r="R3226" s="13"/>
      <c r="S3226" s="13"/>
      <c r="T3226" s="13">
        <f t="shared" ref="T3226:Y3226" si="3470">IF(ISBLANK(K3226)=TRUE,0,1)</f>
        <v>1</v>
      </c>
      <c r="U3226" s="13">
        <f t="shared" si="3470"/>
        <v>1</v>
      </c>
      <c r="V3226" s="13">
        <f t="shared" si="3470"/>
        <v>0</v>
      </c>
      <c r="W3226" s="13">
        <f t="shared" si="3470"/>
        <v>0</v>
      </c>
      <c r="X3226" s="13">
        <f t="shared" si="3470"/>
        <v>0</v>
      </c>
      <c r="Y3226" s="13">
        <f t="shared" si="3470"/>
        <v>0</v>
      </c>
      <c r="Z3226" s="13">
        <f t="shared" si="3023"/>
        <v>0</v>
      </c>
      <c r="AA3226" s="13"/>
      <c r="AB3226" s="13"/>
      <c r="AC3226" s="13"/>
      <c r="AD3226" s="13"/>
      <c r="AE3226" s="13"/>
      <c r="AF3226" s="13"/>
      <c r="AG3226" s="13"/>
      <c r="AH3226" s="13"/>
      <c r="AI3226" s="13"/>
      <c r="AJ3226" s="13"/>
      <c r="AK3226" s="13"/>
      <c r="AL3226" s="13"/>
      <c r="AM3226" s="13"/>
      <c r="AN3226" s="13"/>
      <c r="AO3226" s="13"/>
      <c r="AP3226" s="13"/>
      <c r="AQ3226" s="13"/>
      <c r="AR3226" s="13"/>
      <c r="AS3226" s="13"/>
    </row>
    <row r="3227" ht="14.25" customHeight="1">
      <c r="A3227" s="13" t="s">
        <v>36</v>
      </c>
      <c r="B3227" s="13" t="s">
        <v>39</v>
      </c>
      <c r="C3227" s="13" t="s">
        <v>1872</v>
      </c>
      <c r="D3227" s="13" t="s">
        <v>440</v>
      </c>
      <c r="F3227" s="13"/>
      <c r="G3227" s="13" t="s">
        <v>111</v>
      </c>
      <c r="H3227" s="13" t="s">
        <v>75</v>
      </c>
      <c r="I3227" s="13"/>
      <c r="J3227" s="13"/>
      <c r="K3227" s="15">
        <v>0.0</v>
      </c>
      <c r="L3227" s="15">
        <v>0.0</v>
      </c>
      <c r="M3227" s="16"/>
      <c r="N3227" s="16"/>
      <c r="O3227" s="17"/>
      <c r="P3227" s="17"/>
      <c r="Q3227" s="13">
        <f t="shared" si="3461"/>
        <v>0</v>
      </c>
      <c r="R3227" s="13"/>
      <c r="S3227" s="13"/>
      <c r="T3227" s="13">
        <f t="shared" ref="T3227:Y3227" si="3471">IF(ISBLANK(K3227)=TRUE,0,1)</f>
        <v>1</v>
      </c>
      <c r="U3227" s="13">
        <f t="shared" si="3471"/>
        <v>1</v>
      </c>
      <c r="V3227" s="13">
        <f t="shared" si="3471"/>
        <v>0</v>
      </c>
      <c r="W3227" s="13">
        <f t="shared" si="3471"/>
        <v>0</v>
      </c>
      <c r="X3227" s="13">
        <f t="shared" si="3471"/>
        <v>0</v>
      </c>
      <c r="Y3227" s="13">
        <f t="shared" si="3471"/>
        <v>0</v>
      </c>
      <c r="Z3227" s="13">
        <f t="shared" si="3023"/>
        <v>0</v>
      </c>
      <c r="AA3227" s="13"/>
      <c r="AB3227" s="13"/>
      <c r="AC3227" s="13"/>
      <c r="AD3227" s="13"/>
      <c r="AE3227" s="13"/>
      <c r="AF3227" s="13"/>
      <c r="AG3227" s="13"/>
      <c r="AH3227" s="13"/>
      <c r="AI3227" s="13"/>
      <c r="AJ3227" s="13"/>
      <c r="AK3227" s="13"/>
      <c r="AL3227" s="13"/>
      <c r="AM3227" s="13"/>
      <c r="AN3227" s="13"/>
      <c r="AO3227" s="13"/>
      <c r="AP3227" s="13"/>
      <c r="AQ3227" s="13"/>
      <c r="AR3227" s="13"/>
      <c r="AS3227" s="13"/>
    </row>
    <row r="3228" ht="14.25" customHeight="1">
      <c r="A3228" s="13" t="s">
        <v>36</v>
      </c>
      <c r="B3228" s="13" t="s">
        <v>37</v>
      </c>
      <c r="C3228" s="13" t="s">
        <v>1859</v>
      </c>
      <c r="D3228" s="13" t="s">
        <v>434</v>
      </c>
      <c r="F3228" s="13"/>
      <c r="G3228" s="13" t="s">
        <v>74</v>
      </c>
      <c r="H3228" s="13" t="s">
        <v>75</v>
      </c>
      <c r="I3228" s="13"/>
      <c r="J3228" s="13"/>
      <c r="K3228" s="15">
        <v>1.0</v>
      </c>
      <c r="L3228" s="15">
        <v>1.0</v>
      </c>
      <c r="M3228" s="16"/>
      <c r="N3228" s="16"/>
      <c r="O3228" s="17"/>
      <c r="P3228" s="17"/>
      <c r="Q3228" s="13">
        <f t="shared" si="3461"/>
        <v>0</v>
      </c>
      <c r="R3228" s="13"/>
      <c r="S3228" s="13"/>
      <c r="T3228" s="13">
        <f t="shared" ref="T3228:Y3228" si="3472">IF(ISBLANK(K3228)=TRUE,0,1)</f>
        <v>1</v>
      </c>
      <c r="U3228" s="13">
        <f t="shared" si="3472"/>
        <v>1</v>
      </c>
      <c r="V3228" s="13">
        <f t="shared" si="3472"/>
        <v>0</v>
      </c>
      <c r="W3228" s="13">
        <f t="shared" si="3472"/>
        <v>0</v>
      </c>
      <c r="X3228" s="13">
        <f t="shared" si="3472"/>
        <v>0</v>
      </c>
      <c r="Y3228" s="13">
        <f t="shared" si="3472"/>
        <v>0</v>
      </c>
      <c r="Z3228" s="13">
        <f t="shared" si="3023"/>
        <v>1</v>
      </c>
      <c r="AA3228" s="13"/>
      <c r="AB3228" s="13"/>
      <c r="AC3228" s="13"/>
      <c r="AD3228" s="13"/>
      <c r="AE3228" s="13"/>
      <c r="AF3228" s="13"/>
      <c r="AG3228" s="13"/>
      <c r="AH3228" s="13"/>
      <c r="AI3228" s="13"/>
      <c r="AJ3228" s="13"/>
      <c r="AK3228" s="13"/>
      <c r="AL3228" s="13"/>
      <c r="AM3228" s="13"/>
      <c r="AN3228" s="13"/>
      <c r="AO3228" s="13"/>
      <c r="AP3228" s="13"/>
      <c r="AQ3228" s="13"/>
      <c r="AR3228" s="13"/>
      <c r="AS3228" s="13"/>
    </row>
    <row r="3229" ht="14.25" customHeight="1">
      <c r="A3229" s="13" t="s">
        <v>29</v>
      </c>
      <c r="B3229" s="13" t="s">
        <v>32</v>
      </c>
      <c r="C3229" s="18" t="s">
        <v>109</v>
      </c>
      <c r="D3229" s="13" t="s">
        <v>1957</v>
      </c>
      <c r="F3229" s="13"/>
      <c r="G3229" s="13" t="s">
        <v>111</v>
      </c>
      <c r="H3229" s="13" t="s">
        <v>75</v>
      </c>
      <c r="I3229" s="13"/>
      <c r="J3229" s="13"/>
      <c r="K3229" s="15"/>
      <c r="L3229" s="15"/>
      <c r="M3229" s="16">
        <v>0.0</v>
      </c>
      <c r="N3229" s="16">
        <v>0.0</v>
      </c>
      <c r="O3229" s="17">
        <v>0.0</v>
      </c>
      <c r="P3229" s="17">
        <v>0.0</v>
      </c>
      <c r="Q3229" s="13"/>
      <c r="R3229" s="13"/>
      <c r="S3229" s="13"/>
      <c r="T3229" s="13">
        <f t="shared" ref="T3229:Y3229" si="3473">IF(ISBLANK(K3229)=TRUE,0,1)</f>
        <v>0</v>
      </c>
      <c r="U3229" s="13">
        <f t="shared" si="3473"/>
        <v>0</v>
      </c>
      <c r="V3229" s="13">
        <f t="shared" si="3473"/>
        <v>1</v>
      </c>
      <c r="W3229" s="13">
        <f t="shared" si="3473"/>
        <v>1</v>
      </c>
      <c r="X3229" s="13">
        <f t="shared" si="3473"/>
        <v>1</v>
      </c>
      <c r="Y3229" s="13">
        <f t="shared" si="3473"/>
        <v>1</v>
      </c>
      <c r="Z3229" s="13">
        <f t="shared" si="3023"/>
        <v>0</v>
      </c>
      <c r="AA3229" s="13"/>
      <c r="AB3229" s="13"/>
      <c r="AC3229" s="13"/>
      <c r="AD3229" s="13"/>
      <c r="AE3229" s="13"/>
      <c r="AF3229" s="13"/>
      <c r="AG3229" s="13"/>
      <c r="AH3229" s="13"/>
      <c r="AI3229" s="13"/>
      <c r="AJ3229" s="13"/>
      <c r="AK3229" s="13"/>
      <c r="AL3229" s="13"/>
      <c r="AM3229" s="13"/>
      <c r="AN3229" s="13"/>
      <c r="AO3229" s="13"/>
      <c r="AP3229" s="13"/>
      <c r="AQ3229" s="13"/>
      <c r="AR3229" s="13"/>
      <c r="AS3229" s="13"/>
    </row>
    <row r="3230" ht="14.25" customHeight="1">
      <c r="A3230" s="26" t="s">
        <v>29</v>
      </c>
      <c r="B3230" s="26" t="s">
        <v>32</v>
      </c>
      <c r="C3230" s="27" t="s">
        <v>109</v>
      </c>
      <c r="D3230" s="26" t="s">
        <v>555</v>
      </c>
      <c r="F3230" s="26"/>
      <c r="G3230" s="13" t="s">
        <v>111</v>
      </c>
      <c r="H3230" s="26" t="s">
        <v>75</v>
      </c>
      <c r="I3230" s="26"/>
      <c r="J3230" s="26"/>
      <c r="K3230" s="28"/>
      <c r="L3230" s="28"/>
      <c r="M3230" s="16">
        <v>0.0</v>
      </c>
      <c r="N3230" s="16">
        <v>0.0</v>
      </c>
      <c r="O3230" s="17">
        <v>0.0</v>
      </c>
      <c r="P3230" s="17">
        <v>0.0</v>
      </c>
      <c r="Q3230" s="13"/>
      <c r="R3230" s="13"/>
      <c r="S3230" s="13"/>
      <c r="T3230" s="13">
        <f t="shared" ref="T3230:Y3230" si="3474">IF(ISBLANK(K3230)=TRUE,0,1)</f>
        <v>0</v>
      </c>
      <c r="U3230" s="13">
        <f t="shared" si="3474"/>
        <v>0</v>
      </c>
      <c r="V3230" s="13">
        <f t="shared" si="3474"/>
        <v>1</v>
      </c>
      <c r="W3230" s="13">
        <f t="shared" si="3474"/>
        <v>1</v>
      </c>
      <c r="X3230" s="13">
        <f t="shared" si="3474"/>
        <v>1</v>
      </c>
      <c r="Y3230" s="13">
        <f t="shared" si="3474"/>
        <v>1</v>
      </c>
      <c r="Z3230" s="13">
        <f t="shared" si="3023"/>
        <v>0</v>
      </c>
      <c r="AA3230" s="13"/>
      <c r="AB3230" s="13"/>
      <c r="AC3230" s="13"/>
      <c r="AD3230" s="13"/>
      <c r="AE3230" s="13"/>
      <c r="AF3230" s="13"/>
      <c r="AG3230" s="13"/>
      <c r="AH3230" s="13"/>
      <c r="AI3230" s="13"/>
      <c r="AJ3230" s="13"/>
      <c r="AK3230" s="13"/>
      <c r="AL3230" s="13"/>
      <c r="AM3230" s="13"/>
      <c r="AN3230" s="13"/>
      <c r="AO3230" s="13"/>
      <c r="AP3230" s="13"/>
      <c r="AQ3230" s="13"/>
      <c r="AR3230" s="13"/>
      <c r="AS3230" s="13"/>
    </row>
    <row r="3231" ht="14.25" customHeight="1">
      <c r="A3231" s="13" t="s">
        <v>29</v>
      </c>
      <c r="B3231" s="13" t="s">
        <v>32</v>
      </c>
      <c r="C3231" s="18" t="s">
        <v>109</v>
      </c>
      <c r="D3231" s="13" t="s">
        <v>1958</v>
      </c>
      <c r="F3231" s="13"/>
      <c r="G3231" s="13" t="s">
        <v>111</v>
      </c>
      <c r="H3231" s="13" t="s">
        <v>75</v>
      </c>
      <c r="I3231" s="13"/>
      <c r="J3231" s="13"/>
      <c r="K3231" s="15"/>
      <c r="L3231" s="15"/>
      <c r="M3231" s="16">
        <v>0.0</v>
      </c>
      <c r="N3231" s="16">
        <v>0.0</v>
      </c>
      <c r="O3231" s="17">
        <v>0.0</v>
      </c>
      <c r="P3231" s="17">
        <v>0.0</v>
      </c>
      <c r="Q3231" s="13"/>
      <c r="R3231" s="13"/>
      <c r="S3231" s="13"/>
      <c r="T3231" s="13">
        <f t="shared" ref="T3231:Y3231" si="3475">IF(ISBLANK(K3231)=TRUE,0,1)</f>
        <v>0</v>
      </c>
      <c r="U3231" s="13">
        <f t="shared" si="3475"/>
        <v>0</v>
      </c>
      <c r="V3231" s="13">
        <f t="shared" si="3475"/>
        <v>1</v>
      </c>
      <c r="W3231" s="13">
        <f t="shared" si="3475"/>
        <v>1</v>
      </c>
      <c r="X3231" s="13">
        <f t="shared" si="3475"/>
        <v>1</v>
      </c>
      <c r="Y3231" s="13">
        <f t="shared" si="3475"/>
        <v>1</v>
      </c>
      <c r="Z3231" s="13">
        <f t="shared" si="3023"/>
        <v>0</v>
      </c>
      <c r="AA3231" s="13"/>
      <c r="AB3231" s="13"/>
      <c r="AC3231" s="13"/>
      <c r="AD3231" s="13"/>
      <c r="AE3231" s="13"/>
      <c r="AF3231" s="13"/>
      <c r="AG3231" s="13"/>
      <c r="AH3231" s="13"/>
      <c r="AI3231" s="13"/>
      <c r="AJ3231" s="13"/>
      <c r="AK3231" s="13"/>
      <c r="AL3231" s="13"/>
      <c r="AM3231" s="13"/>
      <c r="AN3231" s="13"/>
      <c r="AO3231" s="13"/>
      <c r="AP3231" s="13"/>
      <c r="AQ3231" s="13"/>
      <c r="AR3231" s="13"/>
      <c r="AS3231" s="13"/>
    </row>
    <row r="3232" ht="14.25" customHeight="1">
      <c r="A3232" s="26" t="s">
        <v>29</v>
      </c>
      <c r="B3232" s="26" t="s">
        <v>32</v>
      </c>
      <c r="C3232" s="27" t="s">
        <v>109</v>
      </c>
      <c r="D3232" s="26" t="s">
        <v>168</v>
      </c>
      <c r="F3232" s="26"/>
      <c r="G3232" s="13" t="s">
        <v>111</v>
      </c>
      <c r="H3232" s="26" t="s">
        <v>75</v>
      </c>
      <c r="I3232" s="26"/>
      <c r="J3232" s="26"/>
      <c r="K3232" s="28"/>
      <c r="L3232" s="28"/>
      <c r="M3232" s="16">
        <v>0.0</v>
      </c>
      <c r="N3232" s="16">
        <v>0.0</v>
      </c>
      <c r="O3232" s="17">
        <v>0.0</v>
      </c>
      <c r="P3232" s="17">
        <v>0.0</v>
      </c>
      <c r="Q3232" s="13"/>
      <c r="R3232" s="13"/>
      <c r="S3232" s="13"/>
      <c r="T3232" s="13">
        <f t="shared" ref="T3232:Y3232" si="3476">IF(ISBLANK(K3232)=TRUE,0,1)</f>
        <v>0</v>
      </c>
      <c r="U3232" s="13">
        <f t="shared" si="3476"/>
        <v>0</v>
      </c>
      <c r="V3232" s="13">
        <f t="shared" si="3476"/>
        <v>1</v>
      </c>
      <c r="W3232" s="13">
        <f t="shared" si="3476"/>
        <v>1</v>
      </c>
      <c r="X3232" s="13">
        <f t="shared" si="3476"/>
        <v>1</v>
      </c>
      <c r="Y3232" s="13">
        <f t="shared" si="3476"/>
        <v>1</v>
      </c>
      <c r="Z3232" s="13">
        <f t="shared" si="3023"/>
        <v>0</v>
      </c>
      <c r="AA3232" s="13"/>
      <c r="AB3232" s="13"/>
      <c r="AC3232" s="13"/>
      <c r="AD3232" s="13"/>
      <c r="AE3232" s="13"/>
      <c r="AF3232" s="13"/>
      <c r="AG3232" s="13"/>
      <c r="AH3232" s="13"/>
      <c r="AI3232" s="13"/>
      <c r="AJ3232" s="13"/>
      <c r="AK3232" s="13"/>
      <c r="AL3232" s="13"/>
      <c r="AM3232" s="13"/>
      <c r="AN3232" s="13"/>
      <c r="AO3232" s="13"/>
      <c r="AP3232" s="13"/>
      <c r="AQ3232" s="13"/>
      <c r="AR3232" s="13"/>
      <c r="AS3232" s="13"/>
    </row>
    <row r="3233" ht="14.25" customHeight="1">
      <c r="A3233" s="13" t="s">
        <v>29</v>
      </c>
      <c r="B3233" s="13" t="s">
        <v>32</v>
      </c>
      <c r="C3233" s="18" t="s">
        <v>109</v>
      </c>
      <c r="D3233" s="13" t="s">
        <v>1959</v>
      </c>
      <c r="F3233" s="13"/>
      <c r="G3233" s="13" t="s">
        <v>111</v>
      </c>
      <c r="H3233" s="13" t="s">
        <v>75</v>
      </c>
      <c r="I3233" s="13"/>
      <c r="J3233" s="13"/>
      <c r="K3233" s="15"/>
      <c r="L3233" s="15"/>
      <c r="M3233" s="16">
        <v>0.0</v>
      </c>
      <c r="N3233" s="16">
        <v>0.0</v>
      </c>
      <c r="O3233" s="17">
        <v>0.0</v>
      </c>
      <c r="P3233" s="17">
        <v>0.0</v>
      </c>
      <c r="Q3233" s="13"/>
      <c r="R3233" s="13"/>
      <c r="S3233" s="13"/>
      <c r="T3233" s="13">
        <f t="shared" ref="T3233:Y3233" si="3477">IF(ISBLANK(K3233)=TRUE,0,1)</f>
        <v>0</v>
      </c>
      <c r="U3233" s="13">
        <f t="shared" si="3477"/>
        <v>0</v>
      </c>
      <c r="V3233" s="13">
        <f t="shared" si="3477"/>
        <v>1</v>
      </c>
      <c r="W3233" s="13">
        <f t="shared" si="3477"/>
        <v>1</v>
      </c>
      <c r="X3233" s="13">
        <f t="shared" si="3477"/>
        <v>1</v>
      </c>
      <c r="Y3233" s="13">
        <f t="shared" si="3477"/>
        <v>1</v>
      </c>
      <c r="Z3233" s="13">
        <f t="shared" si="3023"/>
        <v>0</v>
      </c>
      <c r="AA3233" s="13"/>
      <c r="AB3233" s="13"/>
      <c r="AC3233" s="13"/>
      <c r="AD3233" s="13"/>
      <c r="AE3233" s="13"/>
      <c r="AF3233" s="13"/>
      <c r="AG3233" s="13"/>
      <c r="AH3233" s="13"/>
      <c r="AI3233" s="13"/>
      <c r="AJ3233" s="13"/>
      <c r="AK3233" s="13"/>
      <c r="AL3233" s="13"/>
      <c r="AM3233" s="13"/>
      <c r="AN3233" s="13"/>
      <c r="AO3233" s="13"/>
      <c r="AP3233" s="13"/>
      <c r="AQ3233" s="13"/>
      <c r="AR3233" s="13"/>
      <c r="AS3233" s="13"/>
    </row>
    <row r="3234" ht="14.25" customHeight="1">
      <c r="A3234" s="26" t="s">
        <v>29</v>
      </c>
      <c r="B3234" s="26" t="s">
        <v>32</v>
      </c>
      <c r="C3234" s="27" t="s">
        <v>109</v>
      </c>
      <c r="D3234" s="26" t="s">
        <v>169</v>
      </c>
      <c r="F3234" s="26"/>
      <c r="G3234" s="13" t="s">
        <v>111</v>
      </c>
      <c r="H3234" s="26" t="s">
        <v>75</v>
      </c>
      <c r="I3234" s="26"/>
      <c r="J3234" s="26"/>
      <c r="K3234" s="28"/>
      <c r="L3234" s="28"/>
      <c r="M3234" s="16">
        <v>0.0</v>
      </c>
      <c r="N3234" s="16">
        <v>0.0</v>
      </c>
      <c r="O3234" s="17">
        <v>0.0</v>
      </c>
      <c r="P3234" s="17">
        <v>0.0</v>
      </c>
      <c r="Q3234" s="13"/>
      <c r="R3234" s="13"/>
      <c r="S3234" s="13"/>
      <c r="T3234" s="13">
        <f t="shared" ref="T3234:Y3234" si="3478">IF(ISBLANK(K3234)=TRUE,0,1)</f>
        <v>0</v>
      </c>
      <c r="U3234" s="13">
        <f t="shared" si="3478"/>
        <v>0</v>
      </c>
      <c r="V3234" s="13">
        <f t="shared" si="3478"/>
        <v>1</v>
      </c>
      <c r="W3234" s="13">
        <f t="shared" si="3478"/>
        <v>1</v>
      </c>
      <c r="X3234" s="13">
        <f t="shared" si="3478"/>
        <v>1</v>
      </c>
      <c r="Y3234" s="13">
        <f t="shared" si="3478"/>
        <v>1</v>
      </c>
      <c r="Z3234" s="13">
        <f t="shared" si="3023"/>
        <v>0</v>
      </c>
      <c r="AA3234" s="13"/>
      <c r="AB3234" s="13"/>
      <c r="AC3234" s="13"/>
      <c r="AD3234" s="13"/>
      <c r="AE3234" s="13"/>
      <c r="AF3234" s="13"/>
      <c r="AG3234" s="13"/>
      <c r="AH3234" s="13"/>
      <c r="AI3234" s="13"/>
      <c r="AJ3234" s="13"/>
      <c r="AK3234" s="13"/>
      <c r="AL3234" s="13"/>
      <c r="AM3234" s="13"/>
      <c r="AN3234" s="13"/>
      <c r="AO3234" s="13"/>
      <c r="AP3234" s="13"/>
      <c r="AQ3234" s="13"/>
      <c r="AR3234" s="13"/>
      <c r="AS3234" s="13"/>
    </row>
    <row r="3235" ht="14.25" customHeight="1">
      <c r="A3235" s="13" t="s">
        <v>29</v>
      </c>
      <c r="B3235" s="13" t="s">
        <v>32</v>
      </c>
      <c r="C3235" s="18" t="s">
        <v>109</v>
      </c>
      <c r="D3235" s="13" t="s">
        <v>1960</v>
      </c>
      <c r="F3235" s="13"/>
      <c r="G3235" s="13" t="s">
        <v>111</v>
      </c>
      <c r="H3235" s="13" t="s">
        <v>75</v>
      </c>
      <c r="I3235" s="13"/>
      <c r="J3235" s="13"/>
      <c r="K3235" s="15"/>
      <c r="L3235" s="15"/>
      <c r="M3235" s="16">
        <v>0.0</v>
      </c>
      <c r="N3235" s="16">
        <v>0.0</v>
      </c>
      <c r="O3235" s="17">
        <v>0.0</v>
      </c>
      <c r="P3235" s="17">
        <v>0.0</v>
      </c>
      <c r="Q3235" s="13"/>
      <c r="R3235" s="13"/>
      <c r="S3235" s="13"/>
      <c r="T3235" s="13">
        <f t="shared" ref="T3235:Y3235" si="3479">IF(ISBLANK(K3235)=TRUE,0,1)</f>
        <v>0</v>
      </c>
      <c r="U3235" s="13">
        <f t="shared" si="3479"/>
        <v>0</v>
      </c>
      <c r="V3235" s="13">
        <f t="shared" si="3479"/>
        <v>1</v>
      </c>
      <c r="W3235" s="13">
        <f t="shared" si="3479"/>
        <v>1</v>
      </c>
      <c r="X3235" s="13">
        <f t="shared" si="3479"/>
        <v>1</v>
      </c>
      <c r="Y3235" s="13">
        <f t="shared" si="3479"/>
        <v>1</v>
      </c>
      <c r="Z3235" s="13">
        <f t="shared" si="3023"/>
        <v>0</v>
      </c>
      <c r="AA3235" s="13"/>
      <c r="AB3235" s="13"/>
      <c r="AC3235" s="13"/>
      <c r="AD3235" s="13"/>
      <c r="AE3235" s="13"/>
      <c r="AF3235" s="13"/>
      <c r="AG3235" s="13"/>
      <c r="AH3235" s="13"/>
      <c r="AI3235" s="13"/>
      <c r="AJ3235" s="13"/>
      <c r="AK3235" s="13"/>
      <c r="AL3235" s="13"/>
      <c r="AM3235" s="13"/>
      <c r="AN3235" s="13"/>
      <c r="AO3235" s="13"/>
      <c r="AP3235" s="13"/>
      <c r="AQ3235" s="13"/>
      <c r="AR3235" s="13"/>
      <c r="AS3235" s="13"/>
    </row>
    <row r="3236" ht="14.25" customHeight="1">
      <c r="A3236" s="26" t="s">
        <v>29</v>
      </c>
      <c r="B3236" s="26" t="s">
        <v>32</v>
      </c>
      <c r="C3236" s="27" t="s">
        <v>109</v>
      </c>
      <c r="D3236" s="26" t="s">
        <v>170</v>
      </c>
      <c r="F3236" s="26"/>
      <c r="G3236" s="13" t="s">
        <v>111</v>
      </c>
      <c r="H3236" s="26" t="s">
        <v>107</v>
      </c>
      <c r="I3236" s="26"/>
      <c r="J3236" s="26"/>
      <c r="K3236" s="28"/>
      <c r="L3236" s="28"/>
      <c r="M3236" s="16">
        <v>0.0</v>
      </c>
      <c r="N3236" s="16">
        <v>0.0</v>
      </c>
      <c r="O3236" s="17">
        <v>0.0</v>
      </c>
      <c r="P3236" s="17">
        <v>0.0</v>
      </c>
      <c r="Q3236" s="13"/>
      <c r="R3236" s="13"/>
      <c r="S3236" s="13"/>
      <c r="T3236" s="13">
        <f t="shared" ref="T3236:Y3236" si="3480">IF(ISBLANK(K3236)=TRUE,0,1)</f>
        <v>0</v>
      </c>
      <c r="U3236" s="13">
        <f t="shared" si="3480"/>
        <v>0</v>
      </c>
      <c r="V3236" s="13">
        <f t="shared" si="3480"/>
        <v>1</v>
      </c>
      <c r="W3236" s="13">
        <f t="shared" si="3480"/>
        <v>1</v>
      </c>
      <c r="X3236" s="13">
        <f t="shared" si="3480"/>
        <v>1</v>
      </c>
      <c r="Y3236" s="13">
        <f t="shared" si="3480"/>
        <v>1</v>
      </c>
      <c r="Z3236" s="13">
        <f t="shared" si="3023"/>
        <v>0</v>
      </c>
      <c r="AA3236" s="13"/>
      <c r="AB3236" s="13"/>
      <c r="AC3236" s="13"/>
      <c r="AD3236" s="13"/>
      <c r="AE3236" s="13"/>
      <c r="AF3236" s="13"/>
      <c r="AG3236" s="13"/>
      <c r="AH3236" s="13"/>
      <c r="AI3236" s="13"/>
      <c r="AJ3236" s="13"/>
      <c r="AK3236" s="13"/>
      <c r="AL3236" s="13"/>
      <c r="AM3236" s="13"/>
      <c r="AN3236" s="13"/>
      <c r="AO3236" s="13"/>
      <c r="AP3236" s="13"/>
      <c r="AQ3236" s="13"/>
      <c r="AR3236" s="13"/>
      <c r="AS3236" s="13"/>
    </row>
    <row r="3237" ht="14.25" customHeight="1">
      <c r="A3237" s="13" t="s">
        <v>36</v>
      </c>
      <c r="B3237" s="13" t="s">
        <v>39</v>
      </c>
      <c r="C3237" s="13" t="s">
        <v>1872</v>
      </c>
      <c r="D3237" s="13" t="s">
        <v>441</v>
      </c>
      <c r="F3237" s="13"/>
      <c r="G3237" s="13" t="s">
        <v>111</v>
      </c>
      <c r="H3237" s="13" t="s">
        <v>75</v>
      </c>
      <c r="I3237" s="13"/>
      <c r="J3237" s="13"/>
      <c r="K3237" s="15">
        <v>0.0</v>
      </c>
      <c r="L3237" s="15">
        <v>0.0</v>
      </c>
      <c r="M3237" s="16"/>
      <c r="N3237" s="16"/>
      <c r="O3237" s="17"/>
      <c r="P3237" s="17"/>
      <c r="Q3237" s="13">
        <f>K3236+L3236+M3236+N3236+O3236+P3236/6</f>
        <v>0</v>
      </c>
      <c r="R3237" s="13"/>
      <c r="S3237" s="13"/>
      <c r="T3237" s="13">
        <f t="shared" ref="T3237:Y3237" si="3481">IF(ISBLANK(K3237)=TRUE,0,1)</f>
        <v>1</v>
      </c>
      <c r="U3237" s="13">
        <f t="shared" si="3481"/>
        <v>1</v>
      </c>
      <c r="V3237" s="13">
        <f t="shared" si="3481"/>
        <v>0</v>
      </c>
      <c r="W3237" s="13">
        <f t="shared" si="3481"/>
        <v>0</v>
      </c>
      <c r="X3237" s="13">
        <f t="shared" si="3481"/>
        <v>0</v>
      </c>
      <c r="Y3237" s="13">
        <f t="shared" si="3481"/>
        <v>0</v>
      </c>
      <c r="Z3237" s="13">
        <f t="shared" si="3023"/>
        <v>0</v>
      </c>
      <c r="AA3237" s="13"/>
      <c r="AB3237" s="13"/>
      <c r="AC3237" s="13"/>
      <c r="AD3237" s="13"/>
      <c r="AE3237" s="13"/>
      <c r="AF3237" s="13"/>
      <c r="AG3237" s="13"/>
      <c r="AH3237" s="13"/>
      <c r="AI3237" s="13"/>
      <c r="AJ3237" s="13"/>
      <c r="AK3237" s="13"/>
      <c r="AL3237" s="13"/>
      <c r="AM3237" s="13"/>
      <c r="AN3237" s="13"/>
      <c r="AO3237" s="13"/>
      <c r="AP3237" s="13"/>
      <c r="AQ3237" s="13"/>
      <c r="AR3237" s="13"/>
      <c r="AS3237" s="13"/>
    </row>
    <row r="3238" ht="14.25" customHeight="1">
      <c r="A3238" s="13" t="s">
        <v>46</v>
      </c>
      <c r="B3238" s="13" t="s">
        <v>55</v>
      </c>
      <c r="C3238" s="13" t="s">
        <v>442</v>
      </c>
      <c r="D3238" s="26" t="s">
        <v>177</v>
      </c>
      <c r="E3238" s="13"/>
      <c r="F3238" s="13"/>
      <c r="G3238" s="26" t="s">
        <v>74</v>
      </c>
      <c r="H3238" s="13" t="s">
        <v>107</v>
      </c>
      <c r="I3238" s="13"/>
      <c r="J3238" s="13"/>
      <c r="K3238" s="15">
        <v>1.0</v>
      </c>
      <c r="L3238" s="15">
        <v>1.0</v>
      </c>
      <c r="M3238" s="16"/>
      <c r="N3238" s="16"/>
      <c r="O3238" s="17"/>
      <c r="P3238" s="17"/>
      <c r="Q3238" s="13"/>
      <c r="R3238" s="13"/>
      <c r="S3238" s="13"/>
      <c r="T3238" s="13">
        <f t="shared" ref="T3238:Y3238" si="3482">IF(ISBLANK(K3238)=TRUE,0,1)</f>
        <v>1</v>
      </c>
      <c r="U3238" s="13">
        <f t="shared" si="3482"/>
        <v>1</v>
      </c>
      <c r="V3238" s="13">
        <f t="shared" si="3482"/>
        <v>0</v>
      </c>
      <c r="W3238" s="13">
        <f t="shared" si="3482"/>
        <v>0</v>
      </c>
      <c r="X3238" s="13">
        <f t="shared" si="3482"/>
        <v>0</v>
      </c>
      <c r="Y3238" s="13">
        <f t="shared" si="3482"/>
        <v>0</v>
      </c>
      <c r="Z3238" s="13">
        <f t="shared" si="3023"/>
        <v>1</v>
      </c>
      <c r="AA3238" s="13" t="s">
        <v>378</v>
      </c>
      <c r="AB3238" s="13"/>
      <c r="AC3238" s="13"/>
      <c r="AD3238" s="13"/>
      <c r="AE3238" s="13"/>
      <c r="AF3238" s="13"/>
      <c r="AG3238" s="13"/>
      <c r="AH3238" s="13"/>
      <c r="AI3238" s="13"/>
      <c r="AJ3238" s="13"/>
      <c r="AK3238" s="13"/>
      <c r="AL3238" s="13"/>
      <c r="AM3238" s="13"/>
      <c r="AN3238" s="13"/>
      <c r="AO3238" s="13"/>
      <c r="AP3238" s="13"/>
      <c r="AQ3238" s="13"/>
      <c r="AR3238" s="13"/>
      <c r="AS3238" s="13"/>
    </row>
    <row r="3239" ht="14.25" customHeight="1">
      <c r="A3239" s="13" t="s">
        <v>46</v>
      </c>
      <c r="B3239" s="13" t="s">
        <v>55</v>
      </c>
      <c r="C3239" s="13" t="s">
        <v>442</v>
      </c>
      <c r="D3239" s="26" t="s">
        <v>178</v>
      </c>
      <c r="E3239" s="13" t="str">
        <f>CONCATENATE(B3239,",",C3239,",",D3239,",",Z3239)</f>
        <v>JLP,110-2A-21,AE,1</v>
      </c>
      <c r="F3239" s="13"/>
      <c r="G3239" s="26" t="s">
        <v>74</v>
      </c>
      <c r="H3239" s="13" t="s">
        <v>75</v>
      </c>
      <c r="I3239" s="13"/>
      <c r="J3239" s="13"/>
      <c r="K3239" s="15">
        <v>1.0</v>
      </c>
      <c r="L3239" s="15">
        <v>1.0</v>
      </c>
      <c r="M3239" s="16"/>
      <c r="N3239" s="16"/>
      <c r="O3239" s="17"/>
      <c r="P3239" s="17"/>
      <c r="Q3239" s="13"/>
      <c r="R3239" s="13"/>
      <c r="S3239" s="13"/>
      <c r="T3239" s="13">
        <f t="shared" ref="T3239:Y3239" si="3483">IF(ISBLANK(K3239)=TRUE,0,1)</f>
        <v>1</v>
      </c>
      <c r="U3239" s="13">
        <f t="shared" si="3483"/>
        <v>1</v>
      </c>
      <c r="V3239" s="13">
        <f t="shared" si="3483"/>
        <v>0</v>
      </c>
      <c r="W3239" s="13">
        <f t="shared" si="3483"/>
        <v>0</v>
      </c>
      <c r="X3239" s="13">
        <f t="shared" si="3483"/>
        <v>0</v>
      </c>
      <c r="Y3239" s="13">
        <f t="shared" si="3483"/>
        <v>0</v>
      </c>
      <c r="Z3239" s="13">
        <f t="shared" si="3023"/>
        <v>1</v>
      </c>
      <c r="AA3239" s="13" t="s">
        <v>378</v>
      </c>
      <c r="AB3239" s="13"/>
      <c r="AC3239" s="13"/>
      <c r="AD3239" s="13"/>
      <c r="AE3239" s="13"/>
      <c r="AF3239" s="13"/>
      <c r="AG3239" s="13"/>
      <c r="AH3239" s="13"/>
      <c r="AI3239" s="13"/>
      <c r="AJ3239" s="13"/>
      <c r="AK3239" s="13"/>
      <c r="AL3239" s="13"/>
      <c r="AM3239" s="13"/>
      <c r="AN3239" s="13"/>
      <c r="AO3239" s="13"/>
      <c r="AP3239" s="13"/>
      <c r="AQ3239" s="13"/>
      <c r="AR3239" s="13"/>
      <c r="AS3239" s="13"/>
    </row>
    <row r="3240" ht="14.25" customHeight="1">
      <c r="A3240" s="13" t="s">
        <v>29</v>
      </c>
      <c r="B3240" s="13" t="s">
        <v>32</v>
      </c>
      <c r="C3240" s="18" t="s">
        <v>109</v>
      </c>
      <c r="D3240" s="13" t="s">
        <v>1961</v>
      </c>
      <c r="F3240" s="13"/>
      <c r="G3240" s="13" t="s">
        <v>111</v>
      </c>
      <c r="H3240" s="13" t="s">
        <v>75</v>
      </c>
      <c r="I3240" s="13"/>
      <c r="J3240" s="13"/>
      <c r="K3240" s="15"/>
      <c r="L3240" s="15"/>
      <c r="M3240" s="16">
        <v>0.0</v>
      </c>
      <c r="N3240" s="16">
        <v>0.0</v>
      </c>
      <c r="O3240" s="17">
        <v>0.0</v>
      </c>
      <c r="P3240" s="17">
        <v>0.0</v>
      </c>
      <c r="Q3240" s="13"/>
      <c r="R3240" s="13"/>
      <c r="S3240" s="13"/>
      <c r="T3240" s="13">
        <f t="shared" ref="T3240:Y3240" si="3484">IF(ISBLANK(K3240)=TRUE,0,1)</f>
        <v>0</v>
      </c>
      <c r="U3240" s="13">
        <f t="shared" si="3484"/>
        <v>0</v>
      </c>
      <c r="V3240" s="13">
        <f t="shared" si="3484"/>
        <v>1</v>
      </c>
      <c r="W3240" s="13">
        <f t="shared" si="3484"/>
        <v>1</v>
      </c>
      <c r="X3240" s="13">
        <f t="shared" si="3484"/>
        <v>1</v>
      </c>
      <c r="Y3240" s="13">
        <f t="shared" si="3484"/>
        <v>1</v>
      </c>
      <c r="Z3240" s="13">
        <f t="shared" si="3023"/>
        <v>0</v>
      </c>
      <c r="AA3240" s="13"/>
      <c r="AB3240" s="13"/>
      <c r="AC3240" s="13"/>
      <c r="AD3240" s="13"/>
      <c r="AE3240" s="13"/>
      <c r="AF3240" s="13"/>
      <c r="AG3240" s="13"/>
      <c r="AH3240" s="13"/>
      <c r="AI3240" s="13"/>
      <c r="AJ3240" s="13"/>
      <c r="AK3240" s="13"/>
      <c r="AL3240" s="13"/>
      <c r="AM3240" s="13"/>
      <c r="AN3240" s="13"/>
      <c r="AO3240" s="13"/>
      <c r="AP3240" s="13"/>
      <c r="AQ3240" s="13"/>
      <c r="AR3240" s="13"/>
      <c r="AS3240" s="13"/>
    </row>
    <row r="3241" ht="14.25" customHeight="1">
      <c r="A3241" s="26" t="s">
        <v>29</v>
      </c>
      <c r="B3241" s="26" t="s">
        <v>32</v>
      </c>
      <c r="C3241" s="27" t="s">
        <v>109</v>
      </c>
      <c r="D3241" s="26" t="s">
        <v>171</v>
      </c>
      <c r="F3241" s="26"/>
      <c r="G3241" s="13" t="s">
        <v>111</v>
      </c>
      <c r="H3241" s="26" t="s">
        <v>75</v>
      </c>
      <c r="I3241" s="26"/>
      <c r="J3241" s="26"/>
      <c r="K3241" s="28"/>
      <c r="L3241" s="28"/>
      <c r="M3241" s="16">
        <v>0.0</v>
      </c>
      <c r="N3241" s="16">
        <v>0.0</v>
      </c>
      <c r="O3241" s="17">
        <v>0.0</v>
      </c>
      <c r="P3241" s="17">
        <v>0.0</v>
      </c>
      <c r="Q3241" s="13"/>
      <c r="R3241" s="13"/>
      <c r="S3241" s="13"/>
      <c r="T3241" s="13">
        <f t="shared" ref="T3241:Y3241" si="3485">IF(ISBLANK(K3241)=TRUE,0,1)</f>
        <v>0</v>
      </c>
      <c r="U3241" s="13">
        <f t="shared" si="3485"/>
        <v>0</v>
      </c>
      <c r="V3241" s="13">
        <f t="shared" si="3485"/>
        <v>1</v>
      </c>
      <c r="W3241" s="13">
        <f t="shared" si="3485"/>
        <v>1</v>
      </c>
      <c r="X3241" s="13">
        <f t="shared" si="3485"/>
        <v>1</v>
      </c>
      <c r="Y3241" s="13">
        <f t="shared" si="3485"/>
        <v>1</v>
      </c>
      <c r="Z3241" s="13">
        <f t="shared" si="3023"/>
        <v>0</v>
      </c>
      <c r="AA3241" s="13"/>
      <c r="AB3241" s="13"/>
      <c r="AC3241" s="13"/>
      <c r="AD3241" s="13"/>
      <c r="AE3241" s="13"/>
      <c r="AF3241" s="13"/>
      <c r="AG3241" s="13"/>
      <c r="AH3241" s="13"/>
      <c r="AI3241" s="13"/>
      <c r="AJ3241" s="13"/>
      <c r="AK3241" s="13"/>
      <c r="AL3241" s="13"/>
      <c r="AM3241" s="13"/>
      <c r="AN3241" s="13"/>
      <c r="AO3241" s="13"/>
      <c r="AP3241" s="13"/>
      <c r="AQ3241" s="13"/>
      <c r="AR3241" s="13"/>
      <c r="AS3241" s="13"/>
    </row>
    <row r="3242" ht="14.25" customHeight="1">
      <c r="A3242" s="13" t="s">
        <v>46</v>
      </c>
      <c r="B3242" s="13" t="s">
        <v>55</v>
      </c>
      <c r="C3242" s="13" t="s">
        <v>442</v>
      </c>
      <c r="D3242" s="26" t="s">
        <v>179</v>
      </c>
      <c r="E3242" s="13"/>
      <c r="F3242" s="13"/>
      <c r="G3242" s="26" t="s">
        <v>74</v>
      </c>
      <c r="H3242" s="13" t="s">
        <v>75</v>
      </c>
      <c r="I3242" s="13"/>
      <c r="J3242" s="13"/>
      <c r="K3242" s="15">
        <v>1.0</v>
      </c>
      <c r="L3242" s="15">
        <v>1.0</v>
      </c>
      <c r="M3242" s="16"/>
      <c r="N3242" s="16"/>
      <c r="O3242" s="17"/>
      <c r="P3242" s="17"/>
      <c r="Q3242" s="13"/>
      <c r="R3242" s="13"/>
      <c r="S3242" s="13"/>
      <c r="T3242" s="13">
        <f t="shared" ref="T3242:Y3242" si="3486">IF(ISBLANK(K3242)=TRUE,0,1)</f>
        <v>1</v>
      </c>
      <c r="U3242" s="13">
        <f t="shared" si="3486"/>
        <v>1</v>
      </c>
      <c r="V3242" s="13">
        <f t="shared" si="3486"/>
        <v>0</v>
      </c>
      <c r="W3242" s="13">
        <f t="shared" si="3486"/>
        <v>0</v>
      </c>
      <c r="X3242" s="13">
        <f t="shared" si="3486"/>
        <v>0</v>
      </c>
      <c r="Y3242" s="13">
        <f t="shared" si="3486"/>
        <v>0</v>
      </c>
      <c r="Z3242" s="13">
        <f t="shared" si="3023"/>
        <v>1</v>
      </c>
      <c r="AA3242" s="13" t="s">
        <v>378</v>
      </c>
      <c r="AB3242" s="13"/>
      <c r="AC3242" s="13"/>
      <c r="AD3242" s="13"/>
      <c r="AE3242" s="13"/>
      <c r="AF3242" s="13"/>
      <c r="AG3242" s="13"/>
      <c r="AH3242" s="13"/>
      <c r="AI3242" s="13"/>
      <c r="AJ3242" s="13"/>
      <c r="AK3242" s="13"/>
      <c r="AL3242" s="13"/>
      <c r="AM3242" s="13"/>
      <c r="AN3242" s="13"/>
      <c r="AO3242" s="13"/>
      <c r="AP3242" s="13"/>
      <c r="AQ3242" s="13"/>
      <c r="AR3242" s="13"/>
      <c r="AS3242" s="13"/>
    </row>
    <row r="3243" ht="14.25" customHeight="1">
      <c r="A3243" s="13" t="s">
        <v>36</v>
      </c>
      <c r="B3243" s="13" t="s">
        <v>41</v>
      </c>
      <c r="C3243" s="13" t="s">
        <v>1860</v>
      </c>
      <c r="D3243" s="13" t="s">
        <v>110</v>
      </c>
      <c r="F3243" s="13"/>
      <c r="G3243" s="13" t="s">
        <v>74</v>
      </c>
      <c r="H3243" s="13" t="s">
        <v>75</v>
      </c>
      <c r="I3243" s="13"/>
      <c r="J3243" s="13"/>
      <c r="K3243" s="15">
        <v>1.0</v>
      </c>
      <c r="L3243" s="15">
        <v>1.0</v>
      </c>
      <c r="M3243" s="16"/>
      <c r="N3243" s="16"/>
      <c r="O3243" s="17">
        <v>1.0</v>
      </c>
      <c r="P3243" s="17">
        <v>1.0</v>
      </c>
      <c r="Q3243" s="13">
        <f t="shared" ref="Q3243:Q3247" si="3488">K3242+L3242+M3242+N3242+O3242+P3242/6</f>
        <v>2</v>
      </c>
      <c r="R3243" s="13"/>
      <c r="S3243" s="13"/>
      <c r="T3243" s="13">
        <f t="shared" ref="T3243:Y3243" si="3487">IF(ISBLANK(K3243)=TRUE,0,1)</f>
        <v>1</v>
      </c>
      <c r="U3243" s="13">
        <f t="shared" si="3487"/>
        <v>1</v>
      </c>
      <c r="V3243" s="13">
        <f t="shared" si="3487"/>
        <v>0</v>
      </c>
      <c r="W3243" s="13">
        <f t="shared" si="3487"/>
        <v>0</v>
      </c>
      <c r="X3243" s="13">
        <f t="shared" si="3487"/>
        <v>1</v>
      </c>
      <c r="Y3243" s="13">
        <f t="shared" si="3487"/>
        <v>1</v>
      </c>
      <c r="Z3243" s="13">
        <f t="shared" si="3023"/>
        <v>1</v>
      </c>
      <c r="AA3243" s="13"/>
      <c r="AB3243" s="13"/>
      <c r="AC3243" s="13"/>
      <c r="AD3243" s="13"/>
      <c r="AE3243" s="13"/>
      <c r="AF3243" s="13"/>
      <c r="AG3243" s="13"/>
      <c r="AH3243" s="13"/>
      <c r="AI3243" s="13"/>
      <c r="AJ3243" s="13"/>
      <c r="AK3243" s="13"/>
      <c r="AL3243" s="13"/>
      <c r="AM3243" s="13"/>
      <c r="AN3243" s="13"/>
      <c r="AO3243" s="13"/>
      <c r="AP3243" s="13"/>
      <c r="AQ3243" s="13"/>
      <c r="AR3243" s="13"/>
      <c r="AS3243" s="13"/>
    </row>
    <row r="3244" ht="14.25" customHeight="1">
      <c r="A3244" s="13" t="s">
        <v>36</v>
      </c>
      <c r="B3244" s="13" t="s">
        <v>41</v>
      </c>
      <c r="C3244" s="13" t="s">
        <v>1860</v>
      </c>
      <c r="D3244" s="13" t="s">
        <v>113</v>
      </c>
      <c r="F3244" s="13"/>
      <c r="G3244" s="13" t="s">
        <v>74</v>
      </c>
      <c r="H3244" s="13" t="s">
        <v>75</v>
      </c>
      <c r="I3244" s="13"/>
      <c r="J3244" s="13"/>
      <c r="K3244" s="15">
        <v>1.0</v>
      </c>
      <c r="L3244" s="15">
        <v>1.0</v>
      </c>
      <c r="M3244" s="16"/>
      <c r="N3244" s="16"/>
      <c r="O3244" s="17">
        <v>1.0</v>
      </c>
      <c r="P3244" s="17">
        <v>1.0</v>
      </c>
      <c r="Q3244" s="13">
        <f t="shared" si="3488"/>
        <v>3.166666667</v>
      </c>
      <c r="R3244" s="13"/>
      <c r="S3244" s="13"/>
      <c r="T3244" s="13">
        <f t="shared" ref="T3244:Y3244" si="3489">IF(ISBLANK(K3244)=TRUE,0,1)</f>
        <v>1</v>
      </c>
      <c r="U3244" s="13">
        <f t="shared" si="3489"/>
        <v>1</v>
      </c>
      <c r="V3244" s="13">
        <f t="shared" si="3489"/>
        <v>0</v>
      </c>
      <c r="W3244" s="13">
        <f t="shared" si="3489"/>
        <v>0</v>
      </c>
      <c r="X3244" s="13">
        <f t="shared" si="3489"/>
        <v>1</v>
      </c>
      <c r="Y3244" s="13">
        <f t="shared" si="3489"/>
        <v>1</v>
      </c>
      <c r="Z3244" s="13">
        <f t="shared" si="3023"/>
        <v>1</v>
      </c>
      <c r="AA3244" s="13"/>
      <c r="AB3244" s="13"/>
      <c r="AC3244" s="13"/>
      <c r="AD3244" s="13"/>
      <c r="AE3244" s="13"/>
      <c r="AF3244" s="13"/>
      <c r="AG3244" s="13"/>
      <c r="AH3244" s="13"/>
      <c r="AI3244" s="13"/>
      <c r="AJ3244" s="13"/>
      <c r="AK3244" s="13"/>
      <c r="AL3244" s="13"/>
      <c r="AM3244" s="13"/>
      <c r="AN3244" s="13"/>
      <c r="AO3244" s="13"/>
      <c r="AP3244" s="13"/>
      <c r="AQ3244" s="13"/>
      <c r="AR3244" s="13"/>
      <c r="AS3244" s="13"/>
    </row>
    <row r="3245" ht="14.25" customHeight="1">
      <c r="A3245" s="13" t="s">
        <v>36</v>
      </c>
      <c r="B3245" s="13" t="s">
        <v>41</v>
      </c>
      <c r="C3245" s="13" t="s">
        <v>1860</v>
      </c>
      <c r="D3245" s="13" t="s">
        <v>115</v>
      </c>
      <c r="F3245" s="13"/>
      <c r="G3245" s="13" t="s">
        <v>74</v>
      </c>
      <c r="H3245" s="13" t="s">
        <v>75</v>
      </c>
      <c r="I3245" s="13"/>
      <c r="J3245" s="13"/>
      <c r="K3245" s="15">
        <v>1.0</v>
      </c>
      <c r="L3245" s="15">
        <v>1.0</v>
      </c>
      <c r="M3245" s="16"/>
      <c r="N3245" s="16"/>
      <c r="O3245" s="17">
        <v>1.0</v>
      </c>
      <c r="P3245" s="17">
        <v>1.0</v>
      </c>
      <c r="Q3245" s="13">
        <f t="shared" si="3488"/>
        <v>3.166666667</v>
      </c>
      <c r="R3245" s="13"/>
      <c r="S3245" s="13"/>
      <c r="T3245" s="13">
        <f t="shared" ref="T3245:Y3245" si="3490">IF(ISBLANK(K3245)=TRUE,0,1)</f>
        <v>1</v>
      </c>
      <c r="U3245" s="13">
        <f t="shared" si="3490"/>
        <v>1</v>
      </c>
      <c r="V3245" s="13">
        <f t="shared" si="3490"/>
        <v>0</v>
      </c>
      <c r="W3245" s="13">
        <f t="shared" si="3490"/>
        <v>0</v>
      </c>
      <c r="X3245" s="13">
        <f t="shared" si="3490"/>
        <v>1</v>
      </c>
      <c r="Y3245" s="13">
        <f t="shared" si="3490"/>
        <v>1</v>
      </c>
      <c r="Z3245" s="13">
        <f t="shared" si="3023"/>
        <v>1</v>
      </c>
      <c r="AA3245" s="13"/>
      <c r="AB3245" s="13"/>
      <c r="AC3245" s="13"/>
      <c r="AD3245" s="13"/>
      <c r="AE3245" s="13"/>
      <c r="AF3245" s="13"/>
      <c r="AG3245" s="13"/>
      <c r="AH3245" s="13"/>
      <c r="AI3245" s="13"/>
      <c r="AJ3245" s="13"/>
      <c r="AK3245" s="13"/>
      <c r="AL3245" s="13"/>
      <c r="AM3245" s="13"/>
      <c r="AN3245" s="13"/>
      <c r="AO3245" s="13"/>
      <c r="AP3245" s="13"/>
      <c r="AQ3245" s="13"/>
      <c r="AR3245" s="13"/>
      <c r="AS3245" s="13"/>
    </row>
    <row r="3246" ht="14.25" customHeight="1">
      <c r="A3246" s="13" t="s">
        <v>36</v>
      </c>
      <c r="B3246" s="13" t="s">
        <v>39</v>
      </c>
      <c r="C3246" s="13" t="s">
        <v>1872</v>
      </c>
      <c r="D3246" s="13" t="s">
        <v>551</v>
      </c>
      <c r="F3246" s="13"/>
      <c r="G3246" s="13" t="s">
        <v>111</v>
      </c>
      <c r="H3246" s="13" t="s">
        <v>75</v>
      </c>
      <c r="I3246" s="13"/>
      <c r="J3246" s="13"/>
      <c r="K3246" s="15">
        <v>0.0</v>
      </c>
      <c r="L3246" s="15">
        <v>0.0</v>
      </c>
      <c r="M3246" s="16"/>
      <c r="N3246" s="16"/>
      <c r="O3246" s="17"/>
      <c r="P3246" s="17"/>
      <c r="Q3246" s="13">
        <f t="shared" si="3488"/>
        <v>3.166666667</v>
      </c>
      <c r="R3246" s="13"/>
      <c r="S3246" s="13"/>
      <c r="T3246" s="13">
        <f t="shared" ref="T3246:Y3246" si="3491">IF(ISBLANK(K3246)=TRUE,0,1)</f>
        <v>1</v>
      </c>
      <c r="U3246" s="13">
        <f t="shared" si="3491"/>
        <v>1</v>
      </c>
      <c r="V3246" s="13">
        <f t="shared" si="3491"/>
        <v>0</v>
      </c>
      <c r="W3246" s="13">
        <f t="shared" si="3491"/>
        <v>0</v>
      </c>
      <c r="X3246" s="13">
        <f t="shared" si="3491"/>
        <v>0</v>
      </c>
      <c r="Y3246" s="13">
        <f t="shared" si="3491"/>
        <v>0</v>
      </c>
      <c r="Z3246" s="13">
        <f t="shared" si="3023"/>
        <v>0</v>
      </c>
      <c r="AA3246" s="13"/>
      <c r="AB3246" s="13"/>
      <c r="AC3246" s="13"/>
      <c r="AD3246" s="13"/>
      <c r="AE3246" s="13"/>
      <c r="AF3246" s="13"/>
      <c r="AG3246" s="13"/>
      <c r="AH3246" s="13"/>
      <c r="AI3246" s="13"/>
      <c r="AJ3246" s="13"/>
      <c r="AK3246" s="13"/>
      <c r="AL3246" s="13"/>
      <c r="AM3246" s="13"/>
      <c r="AN3246" s="13"/>
      <c r="AO3246" s="13"/>
      <c r="AP3246" s="13"/>
      <c r="AQ3246" s="13"/>
      <c r="AR3246" s="13"/>
      <c r="AS3246" s="13"/>
    </row>
    <row r="3247" ht="14.25" customHeight="1">
      <c r="A3247" s="13" t="s">
        <v>36</v>
      </c>
      <c r="B3247" s="13" t="s">
        <v>37</v>
      </c>
      <c r="C3247" s="13" t="s">
        <v>1859</v>
      </c>
      <c r="D3247" s="13" t="s">
        <v>435</v>
      </c>
      <c r="F3247" s="13"/>
      <c r="G3247" s="13" t="s">
        <v>74</v>
      </c>
      <c r="H3247" s="13" t="s">
        <v>75</v>
      </c>
      <c r="I3247" s="13"/>
      <c r="J3247" s="13"/>
      <c r="K3247" s="15">
        <v>1.0</v>
      </c>
      <c r="L3247" s="15">
        <v>1.0</v>
      </c>
      <c r="M3247" s="16"/>
      <c r="N3247" s="16"/>
      <c r="O3247" s="17"/>
      <c r="P3247" s="17"/>
      <c r="Q3247" s="13">
        <f t="shared" si="3488"/>
        <v>0</v>
      </c>
      <c r="R3247" s="13"/>
      <c r="S3247" s="13"/>
      <c r="T3247" s="13">
        <f t="shared" ref="T3247:Y3247" si="3492">IF(ISBLANK(K3247)=TRUE,0,1)</f>
        <v>1</v>
      </c>
      <c r="U3247" s="13">
        <f t="shared" si="3492"/>
        <v>1</v>
      </c>
      <c r="V3247" s="13">
        <f t="shared" si="3492"/>
        <v>0</v>
      </c>
      <c r="W3247" s="13">
        <f t="shared" si="3492"/>
        <v>0</v>
      </c>
      <c r="X3247" s="13">
        <f t="shared" si="3492"/>
        <v>0</v>
      </c>
      <c r="Y3247" s="13">
        <f t="shared" si="3492"/>
        <v>0</v>
      </c>
      <c r="Z3247" s="13">
        <f t="shared" si="3023"/>
        <v>1</v>
      </c>
      <c r="AA3247" s="13"/>
      <c r="AB3247" s="13"/>
      <c r="AC3247" s="13"/>
      <c r="AD3247" s="13"/>
      <c r="AE3247" s="13"/>
      <c r="AF3247" s="13"/>
      <c r="AG3247" s="13"/>
      <c r="AH3247" s="13"/>
      <c r="AI3247" s="13"/>
      <c r="AJ3247" s="13"/>
      <c r="AK3247" s="13"/>
      <c r="AL3247" s="13"/>
      <c r="AM3247" s="13"/>
      <c r="AN3247" s="13"/>
      <c r="AO3247" s="13"/>
      <c r="AP3247" s="13"/>
      <c r="AQ3247" s="13"/>
      <c r="AR3247" s="13"/>
      <c r="AS3247" s="13"/>
    </row>
    <row r="3248" ht="14.25" customHeight="1">
      <c r="A3248" s="13" t="s">
        <v>29</v>
      </c>
      <c r="B3248" s="13" t="s">
        <v>32</v>
      </c>
      <c r="C3248" s="18" t="s">
        <v>109</v>
      </c>
      <c r="D3248" s="13" t="s">
        <v>1962</v>
      </c>
      <c r="F3248" s="13"/>
      <c r="G3248" s="13" t="s">
        <v>111</v>
      </c>
      <c r="H3248" s="13" t="s">
        <v>75</v>
      </c>
      <c r="I3248" s="13"/>
      <c r="J3248" s="13"/>
      <c r="K3248" s="15"/>
      <c r="L3248" s="15"/>
      <c r="M3248" s="16">
        <v>0.0</v>
      </c>
      <c r="N3248" s="16">
        <v>0.0</v>
      </c>
      <c r="O3248" s="17">
        <v>0.0</v>
      </c>
      <c r="P3248" s="17">
        <v>0.0</v>
      </c>
      <c r="Q3248" s="13"/>
      <c r="R3248" s="13"/>
      <c r="S3248" s="13"/>
      <c r="T3248" s="13">
        <f t="shared" ref="T3248:Y3248" si="3493">IF(ISBLANK(K3248)=TRUE,0,1)</f>
        <v>0</v>
      </c>
      <c r="U3248" s="13">
        <f t="shared" si="3493"/>
        <v>0</v>
      </c>
      <c r="V3248" s="13">
        <f t="shared" si="3493"/>
        <v>1</v>
      </c>
      <c r="W3248" s="13">
        <f t="shared" si="3493"/>
        <v>1</v>
      </c>
      <c r="X3248" s="13">
        <f t="shared" si="3493"/>
        <v>1</v>
      </c>
      <c r="Y3248" s="13">
        <f t="shared" si="3493"/>
        <v>1</v>
      </c>
      <c r="Z3248" s="13">
        <f t="shared" si="3023"/>
        <v>0</v>
      </c>
      <c r="AA3248" s="13"/>
      <c r="AB3248" s="13"/>
      <c r="AC3248" s="13"/>
      <c r="AD3248" s="13"/>
      <c r="AE3248" s="13"/>
      <c r="AF3248" s="13"/>
      <c r="AG3248" s="13"/>
      <c r="AH3248" s="13"/>
      <c r="AI3248" s="13"/>
      <c r="AJ3248" s="13"/>
      <c r="AK3248" s="13"/>
      <c r="AL3248" s="13"/>
      <c r="AM3248" s="13"/>
      <c r="AN3248" s="13"/>
      <c r="AO3248" s="13"/>
      <c r="AP3248" s="13"/>
      <c r="AQ3248" s="13"/>
      <c r="AR3248" s="13"/>
      <c r="AS3248" s="13"/>
    </row>
    <row r="3249" ht="14.25" customHeight="1">
      <c r="A3249" s="13" t="s">
        <v>36</v>
      </c>
      <c r="B3249" s="13" t="s">
        <v>37</v>
      </c>
      <c r="C3249" s="13" t="s">
        <v>1859</v>
      </c>
      <c r="D3249" s="13" t="s">
        <v>436</v>
      </c>
      <c r="F3249" s="13"/>
      <c r="G3249" s="13" t="s">
        <v>74</v>
      </c>
      <c r="H3249" s="13" t="s">
        <v>75</v>
      </c>
      <c r="I3249" s="13"/>
      <c r="J3249" s="13"/>
      <c r="K3249" s="15">
        <v>1.0</v>
      </c>
      <c r="L3249" s="15">
        <v>1.0</v>
      </c>
      <c r="M3249" s="16"/>
      <c r="N3249" s="16"/>
      <c r="O3249" s="17"/>
      <c r="P3249" s="17"/>
      <c r="Q3249" s="13">
        <f t="shared" ref="Q3249:Q3250" si="3495">K3248+L3248+M3248+N3248+O3248+P3248/6</f>
        <v>0</v>
      </c>
      <c r="R3249" s="13"/>
      <c r="S3249" s="13"/>
      <c r="T3249" s="13">
        <f t="shared" ref="T3249:Y3249" si="3494">IF(ISBLANK(K3249)=TRUE,0,1)</f>
        <v>1</v>
      </c>
      <c r="U3249" s="13">
        <f t="shared" si="3494"/>
        <v>1</v>
      </c>
      <c r="V3249" s="13">
        <f t="shared" si="3494"/>
        <v>0</v>
      </c>
      <c r="W3249" s="13">
        <f t="shared" si="3494"/>
        <v>0</v>
      </c>
      <c r="X3249" s="13">
        <f t="shared" si="3494"/>
        <v>0</v>
      </c>
      <c r="Y3249" s="13">
        <f t="shared" si="3494"/>
        <v>0</v>
      </c>
      <c r="Z3249" s="13">
        <f t="shared" si="3023"/>
        <v>1</v>
      </c>
      <c r="AA3249" s="13"/>
      <c r="AB3249" s="13"/>
      <c r="AC3249" s="13"/>
      <c r="AD3249" s="13"/>
      <c r="AE3249" s="13"/>
      <c r="AF3249" s="13"/>
      <c r="AG3249" s="13"/>
      <c r="AH3249" s="13"/>
      <c r="AI3249" s="13"/>
      <c r="AJ3249" s="13"/>
      <c r="AK3249" s="13"/>
      <c r="AL3249" s="13"/>
      <c r="AM3249" s="13"/>
      <c r="AN3249" s="13"/>
      <c r="AO3249" s="13"/>
      <c r="AP3249" s="13"/>
      <c r="AQ3249" s="13"/>
      <c r="AR3249" s="13"/>
      <c r="AS3249" s="13"/>
    </row>
    <row r="3250" ht="14.25" customHeight="1">
      <c r="A3250" s="13" t="s">
        <v>36</v>
      </c>
      <c r="B3250" s="13" t="s">
        <v>39</v>
      </c>
      <c r="C3250" s="13" t="s">
        <v>1872</v>
      </c>
      <c r="D3250" s="13" t="s">
        <v>553</v>
      </c>
      <c r="F3250" s="13"/>
      <c r="G3250" s="13" t="s">
        <v>111</v>
      </c>
      <c r="H3250" s="13" t="s">
        <v>75</v>
      </c>
      <c r="I3250" s="13"/>
      <c r="J3250" s="13"/>
      <c r="K3250" s="15">
        <v>0.0</v>
      </c>
      <c r="L3250" s="15">
        <v>0.0</v>
      </c>
      <c r="M3250" s="16"/>
      <c r="N3250" s="16"/>
      <c r="O3250" s="17"/>
      <c r="P3250" s="17"/>
      <c r="Q3250" s="13">
        <f t="shared" si="3495"/>
        <v>2</v>
      </c>
      <c r="R3250" s="13"/>
      <c r="S3250" s="13"/>
      <c r="T3250" s="13">
        <f t="shared" ref="T3250:Y3250" si="3496">IF(ISBLANK(K3250)=TRUE,0,1)</f>
        <v>1</v>
      </c>
      <c r="U3250" s="13">
        <f t="shared" si="3496"/>
        <v>1</v>
      </c>
      <c r="V3250" s="13">
        <f t="shared" si="3496"/>
        <v>0</v>
      </c>
      <c r="W3250" s="13">
        <f t="shared" si="3496"/>
        <v>0</v>
      </c>
      <c r="X3250" s="13">
        <f t="shared" si="3496"/>
        <v>0</v>
      </c>
      <c r="Y3250" s="13">
        <f t="shared" si="3496"/>
        <v>0</v>
      </c>
      <c r="Z3250" s="13">
        <f t="shared" si="3023"/>
        <v>0</v>
      </c>
      <c r="AA3250" s="13"/>
      <c r="AB3250" s="13"/>
      <c r="AC3250" s="13"/>
      <c r="AD3250" s="13"/>
      <c r="AE3250" s="13"/>
      <c r="AF3250" s="13"/>
      <c r="AG3250" s="13"/>
      <c r="AH3250" s="13"/>
      <c r="AI3250" s="13"/>
      <c r="AJ3250" s="13"/>
      <c r="AK3250" s="13"/>
      <c r="AL3250" s="13"/>
      <c r="AM3250" s="13"/>
      <c r="AN3250" s="13"/>
      <c r="AO3250" s="13"/>
      <c r="AP3250" s="13"/>
      <c r="AQ3250" s="13"/>
      <c r="AR3250" s="13"/>
      <c r="AS3250" s="13"/>
    </row>
    <row r="3251" ht="14.25" customHeight="1">
      <c r="A3251" s="26" t="s">
        <v>29</v>
      </c>
      <c r="B3251" s="26" t="s">
        <v>32</v>
      </c>
      <c r="C3251" s="27" t="s">
        <v>109</v>
      </c>
      <c r="D3251" s="26" t="s">
        <v>172</v>
      </c>
      <c r="F3251" s="26"/>
      <c r="G3251" s="13" t="s">
        <v>111</v>
      </c>
      <c r="H3251" s="26" t="s">
        <v>75</v>
      </c>
      <c r="I3251" s="26"/>
      <c r="J3251" s="26"/>
      <c r="K3251" s="28"/>
      <c r="L3251" s="28"/>
      <c r="M3251" s="16">
        <v>0.0</v>
      </c>
      <c r="N3251" s="16">
        <v>0.0</v>
      </c>
      <c r="O3251" s="17">
        <v>0.0</v>
      </c>
      <c r="P3251" s="17">
        <v>0.0</v>
      </c>
      <c r="Q3251" s="13"/>
      <c r="R3251" s="13"/>
      <c r="S3251" s="13"/>
      <c r="T3251" s="13">
        <f t="shared" ref="T3251:Y3251" si="3497">IF(ISBLANK(K3251)=TRUE,0,1)</f>
        <v>0</v>
      </c>
      <c r="U3251" s="13">
        <f t="shared" si="3497"/>
        <v>0</v>
      </c>
      <c r="V3251" s="13">
        <f t="shared" si="3497"/>
        <v>1</v>
      </c>
      <c r="W3251" s="13">
        <f t="shared" si="3497"/>
        <v>1</v>
      </c>
      <c r="X3251" s="13">
        <f t="shared" si="3497"/>
        <v>1</v>
      </c>
      <c r="Y3251" s="13">
        <f t="shared" si="3497"/>
        <v>1</v>
      </c>
      <c r="Z3251" s="13">
        <f t="shared" si="3023"/>
        <v>0</v>
      </c>
      <c r="AA3251" s="13"/>
      <c r="AB3251" s="13"/>
      <c r="AC3251" s="13"/>
      <c r="AD3251" s="13"/>
      <c r="AE3251" s="13"/>
      <c r="AF3251" s="13"/>
      <c r="AG3251" s="13"/>
      <c r="AH3251" s="13"/>
      <c r="AI3251" s="13"/>
      <c r="AJ3251" s="13"/>
      <c r="AK3251" s="13"/>
      <c r="AL3251" s="13"/>
      <c r="AM3251" s="13"/>
      <c r="AN3251" s="13"/>
      <c r="AO3251" s="13"/>
      <c r="AP3251" s="13"/>
      <c r="AQ3251" s="13"/>
      <c r="AR3251" s="13"/>
      <c r="AS3251" s="13"/>
    </row>
    <row r="3252" ht="14.25" customHeight="1">
      <c r="A3252" s="13" t="s">
        <v>36</v>
      </c>
      <c r="B3252" s="13" t="s">
        <v>42</v>
      </c>
      <c r="C3252" s="13">
        <v>712.0</v>
      </c>
      <c r="D3252" s="13" t="s">
        <v>185</v>
      </c>
      <c r="F3252" s="13"/>
      <c r="G3252" s="13" t="s">
        <v>111</v>
      </c>
      <c r="H3252" s="13" t="s">
        <v>75</v>
      </c>
      <c r="I3252" s="13"/>
      <c r="J3252" s="13"/>
      <c r="K3252" s="15">
        <v>0.0</v>
      </c>
      <c r="L3252" s="15">
        <v>0.0</v>
      </c>
      <c r="M3252" s="16"/>
      <c r="N3252" s="16"/>
      <c r="O3252" s="17"/>
      <c r="P3252" s="17"/>
      <c r="Q3252" s="13">
        <f t="shared" ref="Q3252:Q3258" si="3499">K3251+L3251+M3251+N3251+O3251+P3251/6</f>
        <v>0</v>
      </c>
      <c r="R3252" s="13"/>
      <c r="S3252" s="13"/>
      <c r="T3252" s="13">
        <f t="shared" ref="T3252:Y3252" si="3498">IF(ISBLANK(K3252)=TRUE,0,1)</f>
        <v>1</v>
      </c>
      <c r="U3252" s="13">
        <f t="shared" si="3498"/>
        <v>1</v>
      </c>
      <c r="V3252" s="13">
        <f t="shared" si="3498"/>
        <v>0</v>
      </c>
      <c r="W3252" s="13">
        <f t="shared" si="3498"/>
        <v>0</v>
      </c>
      <c r="X3252" s="13">
        <f t="shared" si="3498"/>
        <v>0</v>
      </c>
      <c r="Y3252" s="13">
        <f t="shared" si="3498"/>
        <v>0</v>
      </c>
      <c r="Z3252" s="13">
        <f t="shared" si="3023"/>
        <v>0</v>
      </c>
      <c r="AA3252" s="13"/>
      <c r="AB3252" s="13"/>
      <c r="AC3252" s="13"/>
      <c r="AD3252" s="13"/>
      <c r="AE3252" s="13"/>
      <c r="AF3252" s="13"/>
      <c r="AG3252" s="13"/>
      <c r="AH3252" s="13"/>
      <c r="AI3252" s="13"/>
      <c r="AJ3252" s="13"/>
      <c r="AK3252" s="13"/>
      <c r="AL3252" s="13"/>
      <c r="AM3252" s="13"/>
      <c r="AN3252" s="13"/>
      <c r="AO3252" s="13"/>
      <c r="AP3252" s="13"/>
      <c r="AQ3252" s="13"/>
      <c r="AR3252" s="13"/>
      <c r="AS3252" s="13"/>
    </row>
    <row r="3253" ht="14.25" customHeight="1">
      <c r="A3253" s="13" t="s">
        <v>36</v>
      </c>
      <c r="B3253" s="13" t="s">
        <v>41</v>
      </c>
      <c r="C3253" s="13" t="s">
        <v>1860</v>
      </c>
      <c r="D3253" s="13" t="s">
        <v>117</v>
      </c>
      <c r="F3253" s="13"/>
      <c r="G3253" s="13" t="s">
        <v>74</v>
      </c>
      <c r="H3253" s="13" t="s">
        <v>75</v>
      </c>
      <c r="I3253" s="13"/>
      <c r="J3253" s="13"/>
      <c r="K3253" s="15">
        <v>1.0</v>
      </c>
      <c r="L3253" s="15">
        <v>1.0</v>
      </c>
      <c r="M3253" s="16"/>
      <c r="N3253" s="16"/>
      <c r="O3253" s="17">
        <v>1.0</v>
      </c>
      <c r="P3253" s="17">
        <v>1.0</v>
      </c>
      <c r="Q3253" s="13">
        <f t="shared" si="3499"/>
        <v>0</v>
      </c>
      <c r="R3253" s="13"/>
      <c r="S3253" s="13"/>
      <c r="T3253" s="13">
        <f t="shared" ref="T3253:Y3253" si="3500">IF(ISBLANK(K3253)=TRUE,0,1)</f>
        <v>1</v>
      </c>
      <c r="U3253" s="13">
        <f t="shared" si="3500"/>
        <v>1</v>
      </c>
      <c r="V3253" s="13">
        <f t="shared" si="3500"/>
        <v>0</v>
      </c>
      <c r="W3253" s="13">
        <f t="shared" si="3500"/>
        <v>0</v>
      </c>
      <c r="X3253" s="13">
        <f t="shared" si="3500"/>
        <v>1</v>
      </c>
      <c r="Y3253" s="13">
        <f t="shared" si="3500"/>
        <v>1</v>
      </c>
      <c r="Z3253" s="13">
        <f t="shared" si="3023"/>
        <v>1</v>
      </c>
      <c r="AA3253" s="13"/>
      <c r="AB3253" s="13"/>
      <c r="AC3253" s="13"/>
      <c r="AD3253" s="13"/>
      <c r="AE3253" s="13"/>
      <c r="AF3253" s="13"/>
      <c r="AG3253" s="13"/>
      <c r="AH3253" s="13"/>
      <c r="AI3253" s="13"/>
      <c r="AJ3253" s="13"/>
      <c r="AK3253" s="13"/>
      <c r="AL3253" s="13"/>
      <c r="AM3253" s="13"/>
      <c r="AN3253" s="13"/>
      <c r="AO3253" s="13"/>
      <c r="AP3253" s="13"/>
      <c r="AQ3253" s="13"/>
      <c r="AR3253" s="13"/>
      <c r="AS3253" s="13"/>
    </row>
    <row r="3254" ht="14.25" customHeight="1">
      <c r="A3254" s="13" t="s">
        <v>36</v>
      </c>
      <c r="B3254" s="13" t="s">
        <v>41</v>
      </c>
      <c r="C3254" s="13" t="s">
        <v>1860</v>
      </c>
      <c r="D3254" s="13" t="s">
        <v>119</v>
      </c>
      <c r="F3254" s="13"/>
      <c r="G3254" s="13" t="s">
        <v>74</v>
      </c>
      <c r="H3254" s="13" t="s">
        <v>75</v>
      </c>
      <c r="I3254" s="13"/>
      <c r="J3254" s="13"/>
      <c r="K3254" s="15">
        <v>1.0</v>
      </c>
      <c r="L3254" s="15">
        <v>1.0</v>
      </c>
      <c r="M3254" s="16"/>
      <c r="N3254" s="16"/>
      <c r="O3254" s="17">
        <v>1.0</v>
      </c>
      <c r="P3254" s="17">
        <v>1.0</v>
      </c>
      <c r="Q3254" s="13">
        <f t="shared" si="3499"/>
        <v>3.166666667</v>
      </c>
      <c r="R3254" s="13"/>
      <c r="S3254" s="13"/>
      <c r="T3254" s="13">
        <f t="shared" ref="T3254:Y3254" si="3501">IF(ISBLANK(K3254)=TRUE,0,1)</f>
        <v>1</v>
      </c>
      <c r="U3254" s="13">
        <f t="shared" si="3501"/>
        <v>1</v>
      </c>
      <c r="V3254" s="13">
        <f t="shared" si="3501"/>
        <v>0</v>
      </c>
      <c r="W3254" s="13">
        <f t="shared" si="3501"/>
        <v>0</v>
      </c>
      <c r="X3254" s="13">
        <f t="shared" si="3501"/>
        <v>1</v>
      </c>
      <c r="Y3254" s="13">
        <f t="shared" si="3501"/>
        <v>1</v>
      </c>
      <c r="Z3254" s="13">
        <f t="shared" si="3023"/>
        <v>1</v>
      </c>
      <c r="AA3254" s="13"/>
      <c r="AB3254" s="13"/>
      <c r="AC3254" s="13"/>
      <c r="AD3254" s="13"/>
      <c r="AE3254" s="13"/>
      <c r="AF3254" s="13"/>
      <c r="AG3254" s="13"/>
      <c r="AH3254" s="13"/>
      <c r="AI3254" s="13"/>
      <c r="AJ3254" s="13"/>
      <c r="AK3254" s="13"/>
      <c r="AL3254" s="13"/>
      <c r="AM3254" s="13"/>
      <c r="AN3254" s="13"/>
      <c r="AO3254" s="13"/>
      <c r="AP3254" s="13"/>
      <c r="AQ3254" s="13"/>
      <c r="AR3254" s="13"/>
      <c r="AS3254" s="13"/>
    </row>
    <row r="3255" ht="14.25" customHeight="1">
      <c r="A3255" s="13" t="s">
        <v>36</v>
      </c>
      <c r="B3255" s="13" t="s">
        <v>39</v>
      </c>
      <c r="C3255" s="13" t="s">
        <v>1872</v>
      </c>
      <c r="D3255" s="13" t="s">
        <v>554</v>
      </c>
      <c r="F3255" s="13"/>
      <c r="G3255" s="13" t="s">
        <v>111</v>
      </c>
      <c r="H3255" s="13" t="s">
        <v>75</v>
      </c>
      <c r="I3255" s="13"/>
      <c r="J3255" s="13"/>
      <c r="K3255" s="15">
        <v>0.0</v>
      </c>
      <c r="L3255" s="15">
        <v>0.0</v>
      </c>
      <c r="M3255" s="16"/>
      <c r="N3255" s="16"/>
      <c r="O3255" s="17"/>
      <c r="P3255" s="17"/>
      <c r="Q3255" s="13">
        <f t="shared" si="3499"/>
        <v>3.166666667</v>
      </c>
      <c r="R3255" s="13"/>
      <c r="S3255" s="13"/>
      <c r="T3255" s="13">
        <f t="shared" ref="T3255:Y3255" si="3502">IF(ISBLANK(K3255)=TRUE,0,1)</f>
        <v>1</v>
      </c>
      <c r="U3255" s="13">
        <f t="shared" si="3502"/>
        <v>1</v>
      </c>
      <c r="V3255" s="13">
        <f t="shared" si="3502"/>
        <v>0</v>
      </c>
      <c r="W3255" s="13">
        <f t="shared" si="3502"/>
        <v>0</v>
      </c>
      <c r="X3255" s="13">
        <f t="shared" si="3502"/>
        <v>0</v>
      </c>
      <c r="Y3255" s="13">
        <f t="shared" si="3502"/>
        <v>0</v>
      </c>
      <c r="Z3255" s="13">
        <f t="shared" si="3023"/>
        <v>0</v>
      </c>
      <c r="AA3255" s="13"/>
      <c r="AB3255" s="13"/>
      <c r="AC3255" s="13"/>
      <c r="AD3255" s="13"/>
      <c r="AE3255" s="13"/>
      <c r="AF3255" s="13"/>
      <c r="AG3255" s="13"/>
      <c r="AH3255" s="13"/>
      <c r="AI3255" s="13"/>
      <c r="AJ3255" s="13"/>
      <c r="AK3255" s="13"/>
      <c r="AL3255" s="13"/>
      <c r="AM3255" s="13"/>
      <c r="AN3255" s="13"/>
      <c r="AO3255" s="13"/>
      <c r="AP3255" s="13"/>
      <c r="AQ3255" s="13"/>
      <c r="AR3255" s="13"/>
      <c r="AS3255" s="13"/>
    </row>
    <row r="3256" ht="14.25" customHeight="1">
      <c r="A3256" s="13" t="s">
        <v>36</v>
      </c>
      <c r="B3256" s="13" t="s">
        <v>39</v>
      </c>
      <c r="C3256" s="13" t="s">
        <v>1872</v>
      </c>
      <c r="D3256" s="13" t="s">
        <v>555</v>
      </c>
      <c r="F3256" s="13"/>
      <c r="G3256" s="13" t="s">
        <v>111</v>
      </c>
      <c r="H3256" s="13" t="s">
        <v>75</v>
      </c>
      <c r="I3256" s="13"/>
      <c r="J3256" s="13"/>
      <c r="K3256" s="15">
        <v>0.0</v>
      </c>
      <c r="L3256" s="15">
        <v>0.0</v>
      </c>
      <c r="M3256" s="16"/>
      <c r="N3256" s="16"/>
      <c r="O3256" s="17"/>
      <c r="P3256" s="17"/>
      <c r="Q3256" s="13">
        <f t="shared" si="3499"/>
        <v>0</v>
      </c>
      <c r="R3256" s="13"/>
      <c r="S3256" s="13"/>
      <c r="T3256" s="13">
        <f t="shared" ref="T3256:Y3256" si="3503">IF(ISBLANK(K3256)=TRUE,0,1)</f>
        <v>1</v>
      </c>
      <c r="U3256" s="13">
        <f t="shared" si="3503"/>
        <v>1</v>
      </c>
      <c r="V3256" s="13">
        <f t="shared" si="3503"/>
        <v>0</v>
      </c>
      <c r="W3256" s="13">
        <f t="shared" si="3503"/>
        <v>0</v>
      </c>
      <c r="X3256" s="13">
        <f t="shared" si="3503"/>
        <v>0</v>
      </c>
      <c r="Y3256" s="13">
        <f t="shared" si="3503"/>
        <v>0</v>
      </c>
      <c r="Z3256" s="13">
        <f t="shared" si="3023"/>
        <v>0</v>
      </c>
      <c r="AA3256" s="13"/>
      <c r="AB3256" s="13"/>
      <c r="AC3256" s="13"/>
      <c r="AD3256" s="13"/>
      <c r="AE3256" s="13"/>
      <c r="AF3256" s="13"/>
      <c r="AG3256" s="13"/>
      <c r="AH3256" s="13"/>
      <c r="AI3256" s="13"/>
      <c r="AJ3256" s="13"/>
      <c r="AK3256" s="13"/>
      <c r="AL3256" s="13"/>
      <c r="AM3256" s="13"/>
      <c r="AN3256" s="13"/>
      <c r="AO3256" s="13"/>
      <c r="AP3256" s="13"/>
      <c r="AQ3256" s="13"/>
      <c r="AR3256" s="13"/>
      <c r="AS3256" s="13"/>
    </row>
    <row r="3257" ht="14.25" customHeight="1">
      <c r="A3257" s="13" t="s">
        <v>36</v>
      </c>
      <c r="B3257" s="13" t="s">
        <v>39</v>
      </c>
      <c r="C3257" s="13" t="s">
        <v>1872</v>
      </c>
      <c r="D3257" s="13" t="s">
        <v>168</v>
      </c>
      <c r="F3257" s="13"/>
      <c r="G3257" s="13" t="s">
        <v>111</v>
      </c>
      <c r="H3257" s="13" t="s">
        <v>75</v>
      </c>
      <c r="I3257" s="13"/>
      <c r="J3257" s="13"/>
      <c r="K3257" s="15">
        <v>0.0</v>
      </c>
      <c r="L3257" s="15">
        <v>0.0</v>
      </c>
      <c r="M3257" s="16"/>
      <c r="N3257" s="16"/>
      <c r="O3257" s="17"/>
      <c r="P3257" s="17"/>
      <c r="Q3257" s="13">
        <f t="shared" si="3499"/>
        <v>0</v>
      </c>
      <c r="R3257" s="13"/>
      <c r="S3257" s="13"/>
      <c r="T3257" s="13">
        <f t="shared" ref="T3257:Y3257" si="3504">IF(ISBLANK(K3257)=TRUE,0,1)</f>
        <v>1</v>
      </c>
      <c r="U3257" s="13">
        <f t="shared" si="3504"/>
        <v>1</v>
      </c>
      <c r="V3257" s="13">
        <f t="shared" si="3504"/>
        <v>0</v>
      </c>
      <c r="W3257" s="13">
        <f t="shared" si="3504"/>
        <v>0</v>
      </c>
      <c r="X3257" s="13">
        <f t="shared" si="3504"/>
        <v>0</v>
      </c>
      <c r="Y3257" s="13">
        <f t="shared" si="3504"/>
        <v>0</v>
      </c>
      <c r="Z3257" s="13">
        <f t="shared" si="3023"/>
        <v>0</v>
      </c>
      <c r="AA3257" s="13"/>
      <c r="AB3257" s="13"/>
      <c r="AC3257" s="13"/>
      <c r="AD3257" s="13"/>
      <c r="AE3257" s="13"/>
      <c r="AF3257" s="13"/>
      <c r="AG3257" s="13"/>
      <c r="AH3257" s="13"/>
      <c r="AI3257" s="13"/>
      <c r="AJ3257" s="13"/>
      <c r="AK3257" s="13"/>
      <c r="AL3257" s="13"/>
      <c r="AM3257" s="13"/>
      <c r="AN3257" s="13"/>
      <c r="AO3257" s="13"/>
      <c r="AP3257" s="13"/>
      <c r="AQ3257" s="13"/>
      <c r="AR3257" s="13"/>
      <c r="AS3257" s="13"/>
    </row>
    <row r="3258" ht="14.25" customHeight="1">
      <c r="A3258" s="13" t="s">
        <v>36</v>
      </c>
      <c r="B3258" s="13" t="s">
        <v>37</v>
      </c>
      <c r="C3258" s="13" t="s">
        <v>1859</v>
      </c>
      <c r="D3258" s="13" t="s">
        <v>437</v>
      </c>
      <c r="F3258" s="13"/>
      <c r="G3258" s="13" t="s">
        <v>74</v>
      </c>
      <c r="H3258" s="13" t="s">
        <v>75</v>
      </c>
      <c r="I3258" s="13"/>
      <c r="J3258" s="13"/>
      <c r="K3258" s="15">
        <v>1.0</v>
      </c>
      <c r="L3258" s="15">
        <v>1.0</v>
      </c>
      <c r="M3258" s="16"/>
      <c r="N3258" s="16"/>
      <c r="O3258" s="17"/>
      <c r="P3258" s="17"/>
      <c r="Q3258" s="13">
        <f t="shared" si="3499"/>
        <v>0</v>
      </c>
      <c r="R3258" s="13"/>
      <c r="S3258" s="13"/>
      <c r="T3258" s="13">
        <f t="shared" ref="T3258:Y3258" si="3505">IF(ISBLANK(K3258)=TRUE,0,1)</f>
        <v>1</v>
      </c>
      <c r="U3258" s="13">
        <f t="shared" si="3505"/>
        <v>1</v>
      </c>
      <c r="V3258" s="13">
        <f t="shared" si="3505"/>
        <v>0</v>
      </c>
      <c r="W3258" s="13">
        <f t="shared" si="3505"/>
        <v>0</v>
      </c>
      <c r="X3258" s="13">
        <f t="shared" si="3505"/>
        <v>0</v>
      </c>
      <c r="Y3258" s="13">
        <f t="shared" si="3505"/>
        <v>0</v>
      </c>
      <c r="Z3258" s="13">
        <f t="shared" si="3023"/>
        <v>1</v>
      </c>
      <c r="AA3258" s="13"/>
      <c r="AB3258" s="13"/>
      <c r="AC3258" s="13"/>
      <c r="AD3258" s="13"/>
      <c r="AE3258" s="13"/>
      <c r="AF3258" s="13"/>
      <c r="AG3258" s="13"/>
      <c r="AH3258" s="13"/>
      <c r="AI3258" s="13"/>
      <c r="AJ3258" s="13"/>
      <c r="AK3258" s="13"/>
      <c r="AL3258" s="13"/>
      <c r="AM3258" s="13"/>
      <c r="AN3258" s="13"/>
      <c r="AO3258" s="13"/>
      <c r="AP3258" s="13"/>
      <c r="AQ3258" s="13"/>
      <c r="AR3258" s="13"/>
      <c r="AS3258" s="13"/>
    </row>
    <row r="3259" ht="14.25" customHeight="1">
      <c r="A3259" s="13" t="s">
        <v>29</v>
      </c>
      <c r="B3259" s="13" t="s">
        <v>32</v>
      </c>
      <c r="C3259" s="18" t="s">
        <v>109</v>
      </c>
      <c r="D3259" s="13" t="s">
        <v>1963</v>
      </c>
      <c r="F3259" s="13"/>
      <c r="G3259" s="13" t="s">
        <v>111</v>
      </c>
      <c r="H3259" s="13" t="s">
        <v>75</v>
      </c>
      <c r="I3259" s="13"/>
      <c r="J3259" s="13"/>
      <c r="K3259" s="15"/>
      <c r="L3259" s="15"/>
      <c r="M3259" s="16">
        <v>0.0</v>
      </c>
      <c r="N3259" s="16">
        <v>0.0</v>
      </c>
      <c r="O3259" s="17">
        <v>0.0</v>
      </c>
      <c r="P3259" s="17">
        <v>0.0</v>
      </c>
      <c r="Q3259" s="13"/>
      <c r="R3259" s="13"/>
      <c r="S3259" s="13"/>
      <c r="T3259" s="13">
        <f t="shared" ref="T3259:Y3259" si="3506">IF(ISBLANK(K3259)=TRUE,0,1)</f>
        <v>0</v>
      </c>
      <c r="U3259" s="13">
        <f t="shared" si="3506"/>
        <v>0</v>
      </c>
      <c r="V3259" s="13">
        <f t="shared" si="3506"/>
        <v>1</v>
      </c>
      <c r="W3259" s="13">
        <f t="shared" si="3506"/>
        <v>1</v>
      </c>
      <c r="X3259" s="13">
        <f t="shared" si="3506"/>
        <v>1</v>
      </c>
      <c r="Y3259" s="13">
        <f t="shared" si="3506"/>
        <v>1</v>
      </c>
      <c r="Z3259" s="13">
        <f t="shared" si="3023"/>
        <v>0</v>
      </c>
      <c r="AA3259" s="13"/>
      <c r="AB3259" s="13"/>
      <c r="AC3259" s="13"/>
      <c r="AD3259" s="13"/>
      <c r="AE3259" s="13"/>
      <c r="AF3259" s="13"/>
      <c r="AG3259" s="13"/>
      <c r="AH3259" s="13"/>
      <c r="AI3259" s="13"/>
      <c r="AJ3259" s="13"/>
      <c r="AK3259" s="13"/>
      <c r="AL3259" s="13"/>
      <c r="AM3259" s="13"/>
      <c r="AN3259" s="13"/>
      <c r="AO3259" s="13"/>
      <c r="AP3259" s="13"/>
      <c r="AQ3259" s="13"/>
      <c r="AR3259" s="13"/>
      <c r="AS3259" s="13"/>
    </row>
    <row r="3260" ht="14.25" customHeight="1">
      <c r="A3260" s="26" t="s">
        <v>29</v>
      </c>
      <c r="B3260" s="26" t="s">
        <v>32</v>
      </c>
      <c r="C3260" s="27" t="s">
        <v>109</v>
      </c>
      <c r="D3260" s="26" t="s">
        <v>556</v>
      </c>
      <c r="F3260" s="26"/>
      <c r="G3260" s="13" t="s">
        <v>111</v>
      </c>
      <c r="H3260" s="26" t="s">
        <v>107</v>
      </c>
      <c r="I3260" s="26"/>
      <c r="J3260" s="26"/>
      <c r="K3260" s="28"/>
      <c r="L3260" s="28"/>
      <c r="M3260" s="16">
        <v>0.0</v>
      </c>
      <c r="N3260" s="16">
        <v>0.0</v>
      </c>
      <c r="O3260" s="17">
        <v>0.0</v>
      </c>
      <c r="P3260" s="17">
        <v>0.0</v>
      </c>
      <c r="Q3260" s="13"/>
      <c r="R3260" s="13"/>
      <c r="S3260" s="13"/>
      <c r="T3260" s="13">
        <f t="shared" ref="T3260:Y3260" si="3507">IF(ISBLANK(K3260)=TRUE,0,1)</f>
        <v>0</v>
      </c>
      <c r="U3260" s="13">
        <f t="shared" si="3507"/>
        <v>0</v>
      </c>
      <c r="V3260" s="13">
        <f t="shared" si="3507"/>
        <v>1</v>
      </c>
      <c r="W3260" s="13">
        <f t="shared" si="3507"/>
        <v>1</v>
      </c>
      <c r="X3260" s="13">
        <f t="shared" si="3507"/>
        <v>1</v>
      </c>
      <c r="Y3260" s="13">
        <f t="shared" si="3507"/>
        <v>1</v>
      </c>
      <c r="Z3260" s="13">
        <f t="shared" si="3023"/>
        <v>0</v>
      </c>
      <c r="AA3260" s="13"/>
      <c r="AB3260" s="13"/>
      <c r="AC3260" s="13"/>
      <c r="AD3260" s="13"/>
      <c r="AE3260" s="13"/>
      <c r="AF3260" s="13"/>
      <c r="AG3260" s="13"/>
      <c r="AH3260" s="13"/>
      <c r="AI3260" s="13"/>
      <c r="AJ3260" s="13"/>
      <c r="AK3260" s="13"/>
      <c r="AL3260" s="13"/>
      <c r="AM3260" s="13"/>
      <c r="AN3260" s="13"/>
      <c r="AO3260" s="13"/>
      <c r="AP3260" s="13"/>
      <c r="AQ3260" s="13"/>
      <c r="AR3260" s="13"/>
      <c r="AS3260" s="13"/>
    </row>
    <row r="3261" ht="14.25" customHeight="1">
      <c r="A3261" s="13" t="s">
        <v>29</v>
      </c>
      <c r="B3261" s="13" t="s">
        <v>32</v>
      </c>
      <c r="C3261" s="18" t="s">
        <v>109</v>
      </c>
      <c r="D3261" s="13" t="s">
        <v>1964</v>
      </c>
      <c r="F3261" s="13"/>
      <c r="G3261" s="13" t="s">
        <v>111</v>
      </c>
      <c r="H3261" s="13" t="s">
        <v>75</v>
      </c>
      <c r="I3261" s="13"/>
      <c r="J3261" s="13"/>
      <c r="K3261" s="15"/>
      <c r="L3261" s="15"/>
      <c r="M3261" s="16">
        <v>0.0</v>
      </c>
      <c r="N3261" s="16">
        <v>0.0</v>
      </c>
      <c r="O3261" s="17">
        <v>0.0</v>
      </c>
      <c r="P3261" s="17">
        <v>0.0</v>
      </c>
      <c r="Q3261" s="13"/>
      <c r="R3261" s="13"/>
      <c r="S3261" s="13"/>
      <c r="T3261" s="13">
        <f t="shared" ref="T3261:Y3261" si="3508">IF(ISBLANK(K3261)=TRUE,0,1)</f>
        <v>0</v>
      </c>
      <c r="U3261" s="13">
        <f t="shared" si="3508"/>
        <v>0</v>
      </c>
      <c r="V3261" s="13">
        <f t="shared" si="3508"/>
        <v>1</v>
      </c>
      <c r="W3261" s="13">
        <f t="shared" si="3508"/>
        <v>1</v>
      </c>
      <c r="X3261" s="13">
        <f t="shared" si="3508"/>
        <v>1</v>
      </c>
      <c r="Y3261" s="13">
        <f t="shared" si="3508"/>
        <v>1</v>
      </c>
      <c r="Z3261" s="13">
        <f t="shared" si="3023"/>
        <v>0</v>
      </c>
      <c r="AA3261" s="13"/>
      <c r="AB3261" s="13"/>
      <c r="AC3261" s="13"/>
      <c r="AD3261" s="13"/>
      <c r="AE3261" s="13"/>
      <c r="AF3261" s="13"/>
      <c r="AG3261" s="13"/>
      <c r="AH3261" s="13"/>
      <c r="AI3261" s="13"/>
      <c r="AJ3261" s="13"/>
      <c r="AK3261" s="13"/>
      <c r="AL3261" s="13"/>
      <c r="AM3261" s="13"/>
      <c r="AN3261" s="13"/>
      <c r="AO3261" s="13"/>
      <c r="AP3261" s="13"/>
      <c r="AQ3261" s="13"/>
      <c r="AR3261" s="13"/>
      <c r="AS3261" s="13"/>
    </row>
    <row r="3262" ht="14.25" customHeight="1">
      <c r="A3262" s="26" t="s">
        <v>29</v>
      </c>
      <c r="B3262" s="26" t="s">
        <v>32</v>
      </c>
      <c r="C3262" s="27" t="s">
        <v>109</v>
      </c>
      <c r="D3262" s="26" t="s">
        <v>557</v>
      </c>
      <c r="F3262" s="26"/>
      <c r="G3262" s="13" t="s">
        <v>111</v>
      </c>
      <c r="H3262" s="26" t="s">
        <v>75</v>
      </c>
      <c r="I3262" s="26"/>
      <c r="J3262" s="26"/>
      <c r="K3262" s="28"/>
      <c r="L3262" s="28"/>
      <c r="M3262" s="16">
        <v>0.0</v>
      </c>
      <c r="N3262" s="16">
        <v>0.0</v>
      </c>
      <c r="O3262" s="17">
        <v>0.0</v>
      </c>
      <c r="P3262" s="17">
        <v>0.0</v>
      </c>
      <c r="Q3262" s="13"/>
      <c r="R3262" s="13"/>
      <c r="S3262" s="13"/>
      <c r="T3262" s="13">
        <f t="shared" ref="T3262:Y3262" si="3509">IF(ISBLANK(K3262)=TRUE,0,1)</f>
        <v>0</v>
      </c>
      <c r="U3262" s="13">
        <f t="shared" si="3509"/>
        <v>0</v>
      </c>
      <c r="V3262" s="13">
        <f t="shared" si="3509"/>
        <v>1</v>
      </c>
      <c r="W3262" s="13">
        <f t="shared" si="3509"/>
        <v>1</v>
      </c>
      <c r="X3262" s="13">
        <f t="shared" si="3509"/>
        <v>1</v>
      </c>
      <c r="Y3262" s="13">
        <f t="shared" si="3509"/>
        <v>1</v>
      </c>
      <c r="Z3262" s="13">
        <f t="shared" si="3023"/>
        <v>0</v>
      </c>
      <c r="AA3262" s="13"/>
      <c r="AB3262" s="13"/>
      <c r="AC3262" s="13"/>
      <c r="AD3262" s="13"/>
      <c r="AE3262" s="13"/>
      <c r="AF3262" s="13"/>
      <c r="AG3262" s="13"/>
      <c r="AH3262" s="13"/>
      <c r="AI3262" s="13"/>
      <c r="AJ3262" s="13"/>
      <c r="AK3262" s="13"/>
      <c r="AL3262" s="13"/>
      <c r="AM3262" s="13"/>
      <c r="AN3262" s="13"/>
      <c r="AO3262" s="13"/>
      <c r="AP3262" s="13"/>
      <c r="AQ3262" s="13"/>
      <c r="AR3262" s="13"/>
      <c r="AS3262" s="13"/>
    </row>
    <row r="3263" ht="14.25" customHeight="1">
      <c r="A3263" s="13" t="s">
        <v>29</v>
      </c>
      <c r="B3263" s="13" t="s">
        <v>32</v>
      </c>
      <c r="C3263" s="18" t="s">
        <v>109</v>
      </c>
      <c r="D3263" s="13" t="s">
        <v>1965</v>
      </c>
      <c r="F3263" s="13"/>
      <c r="G3263" s="13" t="s">
        <v>111</v>
      </c>
      <c r="H3263" s="13" t="s">
        <v>75</v>
      </c>
      <c r="I3263" s="13"/>
      <c r="J3263" s="13"/>
      <c r="K3263" s="15"/>
      <c r="L3263" s="15"/>
      <c r="M3263" s="16">
        <v>0.0</v>
      </c>
      <c r="N3263" s="16">
        <v>0.0</v>
      </c>
      <c r="O3263" s="17">
        <v>0.0</v>
      </c>
      <c r="P3263" s="17">
        <v>0.0</v>
      </c>
      <c r="Q3263" s="13"/>
      <c r="R3263" s="13"/>
      <c r="S3263" s="13"/>
      <c r="T3263" s="13">
        <f t="shared" ref="T3263:Y3263" si="3510">IF(ISBLANK(K3263)=TRUE,0,1)</f>
        <v>0</v>
      </c>
      <c r="U3263" s="13">
        <f t="shared" si="3510"/>
        <v>0</v>
      </c>
      <c r="V3263" s="13">
        <f t="shared" si="3510"/>
        <v>1</v>
      </c>
      <c r="W3263" s="13">
        <f t="shared" si="3510"/>
        <v>1</v>
      </c>
      <c r="X3263" s="13">
        <f t="shared" si="3510"/>
        <v>1</v>
      </c>
      <c r="Y3263" s="13">
        <f t="shared" si="3510"/>
        <v>1</v>
      </c>
      <c r="Z3263" s="13">
        <f t="shared" si="3023"/>
        <v>0</v>
      </c>
      <c r="AA3263" s="13"/>
      <c r="AB3263" s="13"/>
      <c r="AC3263" s="13"/>
      <c r="AD3263" s="13"/>
      <c r="AE3263" s="13"/>
      <c r="AF3263" s="13"/>
      <c r="AG3263" s="13"/>
      <c r="AH3263" s="13"/>
      <c r="AI3263" s="13"/>
      <c r="AJ3263" s="13"/>
      <c r="AK3263" s="13"/>
      <c r="AL3263" s="13"/>
      <c r="AM3263" s="13"/>
      <c r="AN3263" s="13"/>
      <c r="AO3263" s="13"/>
      <c r="AP3263" s="13"/>
      <c r="AQ3263" s="13"/>
      <c r="AR3263" s="13"/>
      <c r="AS3263" s="13"/>
    </row>
    <row r="3264" ht="14.25" customHeight="1">
      <c r="A3264" s="13" t="s">
        <v>36</v>
      </c>
      <c r="B3264" s="13" t="s">
        <v>39</v>
      </c>
      <c r="C3264" s="13" t="s">
        <v>1872</v>
      </c>
      <c r="D3264" s="13" t="s">
        <v>169</v>
      </c>
      <c r="F3264" s="13"/>
      <c r="G3264" s="13" t="s">
        <v>111</v>
      </c>
      <c r="H3264" s="13" t="s">
        <v>75</v>
      </c>
      <c r="I3264" s="13"/>
      <c r="J3264" s="13"/>
      <c r="K3264" s="15">
        <v>0.0</v>
      </c>
      <c r="L3264" s="15">
        <v>0.0</v>
      </c>
      <c r="M3264" s="16"/>
      <c r="N3264" s="16"/>
      <c r="O3264" s="17"/>
      <c r="P3264" s="17"/>
      <c r="Q3264" s="13">
        <f t="shared" ref="Q3264:Q3270" si="3512">K3263+L3263+M3263+N3263+O3263+P3263/6</f>
        <v>0</v>
      </c>
      <c r="R3264" s="13"/>
      <c r="S3264" s="13"/>
      <c r="T3264" s="13">
        <f t="shared" ref="T3264:Y3264" si="3511">IF(ISBLANK(K3264)=TRUE,0,1)</f>
        <v>1</v>
      </c>
      <c r="U3264" s="13">
        <f t="shared" si="3511"/>
        <v>1</v>
      </c>
      <c r="V3264" s="13">
        <f t="shared" si="3511"/>
        <v>0</v>
      </c>
      <c r="W3264" s="13">
        <f t="shared" si="3511"/>
        <v>0</v>
      </c>
      <c r="X3264" s="13">
        <f t="shared" si="3511"/>
        <v>0</v>
      </c>
      <c r="Y3264" s="13">
        <f t="shared" si="3511"/>
        <v>0</v>
      </c>
      <c r="Z3264" s="13">
        <f t="shared" si="3023"/>
        <v>0</v>
      </c>
      <c r="AA3264" s="13"/>
      <c r="AB3264" s="13"/>
      <c r="AC3264" s="13"/>
      <c r="AD3264" s="13"/>
      <c r="AE3264" s="13"/>
      <c r="AF3264" s="13"/>
      <c r="AG3264" s="13"/>
      <c r="AH3264" s="13"/>
      <c r="AI3264" s="13"/>
      <c r="AJ3264" s="13"/>
      <c r="AK3264" s="13"/>
      <c r="AL3264" s="13"/>
      <c r="AM3264" s="13"/>
      <c r="AN3264" s="13"/>
      <c r="AO3264" s="13"/>
      <c r="AP3264" s="13"/>
      <c r="AQ3264" s="13"/>
      <c r="AR3264" s="13"/>
      <c r="AS3264" s="13"/>
    </row>
    <row r="3265" ht="14.25" customHeight="1">
      <c r="A3265" s="13" t="s">
        <v>36</v>
      </c>
      <c r="B3265" s="13" t="s">
        <v>41</v>
      </c>
      <c r="C3265" s="13" t="s">
        <v>1860</v>
      </c>
      <c r="D3265" s="13" t="s">
        <v>120</v>
      </c>
      <c r="F3265" s="13"/>
      <c r="G3265" s="13" t="s">
        <v>74</v>
      </c>
      <c r="H3265" s="13" t="s">
        <v>75</v>
      </c>
      <c r="I3265" s="13"/>
      <c r="J3265" s="13"/>
      <c r="K3265" s="15">
        <v>1.0</v>
      </c>
      <c r="L3265" s="15">
        <v>1.0</v>
      </c>
      <c r="M3265" s="16"/>
      <c r="N3265" s="16"/>
      <c r="O3265" s="17">
        <v>1.0</v>
      </c>
      <c r="P3265" s="17">
        <v>1.0</v>
      </c>
      <c r="Q3265" s="13">
        <f t="shared" si="3512"/>
        <v>0</v>
      </c>
      <c r="R3265" s="13"/>
      <c r="S3265" s="13"/>
      <c r="T3265" s="13">
        <f t="shared" ref="T3265:Y3265" si="3513">IF(ISBLANK(K3265)=TRUE,0,1)</f>
        <v>1</v>
      </c>
      <c r="U3265" s="13">
        <f t="shared" si="3513"/>
        <v>1</v>
      </c>
      <c r="V3265" s="13">
        <f t="shared" si="3513"/>
        <v>0</v>
      </c>
      <c r="W3265" s="13">
        <f t="shared" si="3513"/>
        <v>0</v>
      </c>
      <c r="X3265" s="13">
        <f t="shared" si="3513"/>
        <v>1</v>
      </c>
      <c r="Y3265" s="13">
        <f t="shared" si="3513"/>
        <v>1</v>
      </c>
      <c r="Z3265" s="13">
        <f t="shared" si="3023"/>
        <v>1</v>
      </c>
      <c r="AA3265" s="13"/>
      <c r="AB3265" s="13"/>
      <c r="AC3265" s="13"/>
      <c r="AD3265" s="13"/>
      <c r="AE3265" s="13"/>
      <c r="AF3265" s="13"/>
      <c r="AG3265" s="13"/>
      <c r="AH3265" s="13"/>
      <c r="AI3265" s="13"/>
      <c r="AJ3265" s="13"/>
      <c r="AK3265" s="13"/>
      <c r="AL3265" s="13"/>
      <c r="AM3265" s="13"/>
      <c r="AN3265" s="13"/>
      <c r="AO3265" s="13"/>
      <c r="AP3265" s="13"/>
      <c r="AQ3265" s="13"/>
      <c r="AR3265" s="13"/>
      <c r="AS3265" s="13"/>
    </row>
    <row r="3266" ht="14.25" customHeight="1">
      <c r="A3266" s="13" t="s">
        <v>36</v>
      </c>
      <c r="B3266" s="13" t="s">
        <v>41</v>
      </c>
      <c r="C3266" s="13" t="s">
        <v>1860</v>
      </c>
      <c r="D3266" s="13" t="s">
        <v>121</v>
      </c>
      <c r="F3266" s="13"/>
      <c r="G3266" s="13" t="s">
        <v>74</v>
      </c>
      <c r="H3266" s="13" t="s">
        <v>75</v>
      </c>
      <c r="I3266" s="13"/>
      <c r="J3266" s="13"/>
      <c r="K3266" s="15">
        <v>1.0</v>
      </c>
      <c r="L3266" s="15">
        <v>1.0</v>
      </c>
      <c r="M3266" s="16"/>
      <c r="N3266" s="16"/>
      <c r="O3266" s="17">
        <v>1.0</v>
      </c>
      <c r="P3266" s="17">
        <v>1.0</v>
      </c>
      <c r="Q3266" s="13">
        <f t="shared" si="3512"/>
        <v>3.166666667</v>
      </c>
      <c r="R3266" s="13"/>
      <c r="S3266" s="13"/>
      <c r="T3266" s="13">
        <f t="shared" ref="T3266:Y3266" si="3514">IF(ISBLANK(K3266)=TRUE,0,1)</f>
        <v>1</v>
      </c>
      <c r="U3266" s="13">
        <f t="shared" si="3514"/>
        <v>1</v>
      </c>
      <c r="V3266" s="13">
        <f t="shared" si="3514"/>
        <v>0</v>
      </c>
      <c r="W3266" s="13">
        <f t="shared" si="3514"/>
        <v>0</v>
      </c>
      <c r="X3266" s="13">
        <f t="shared" si="3514"/>
        <v>1</v>
      </c>
      <c r="Y3266" s="13">
        <f t="shared" si="3514"/>
        <v>1</v>
      </c>
      <c r="Z3266" s="13">
        <f t="shared" si="3023"/>
        <v>1</v>
      </c>
      <c r="AA3266" s="13"/>
      <c r="AB3266" s="13"/>
      <c r="AC3266" s="13"/>
      <c r="AD3266" s="13"/>
      <c r="AE3266" s="13"/>
      <c r="AF3266" s="13"/>
      <c r="AG3266" s="13"/>
      <c r="AH3266" s="13"/>
      <c r="AI3266" s="13"/>
      <c r="AJ3266" s="13"/>
      <c r="AK3266" s="13"/>
      <c r="AL3266" s="13"/>
      <c r="AM3266" s="13"/>
      <c r="AN3266" s="13"/>
      <c r="AO3266" s="13"/>
      <c r="AP3266" s="13"/>
      <c r="AQ3266" s="13"/>
      <c r="AR3266" s="13"/>
      <c r="AS3266" s="13"/>
    </row>
    <row r="3267" ht="14.25" customHeight="1">
      <c r="A3267" s="13" t="s">
        <v>36</v>
      </c>
      <c r="B3267" s="13" t="s">
        <v>41</v>
      </c>
      <c r="C3267" s="13" t="s">
        <v>1860</v>
      </c>
      <c r="D3267" s="13" t="s">
        <v>122</v>
      </c>
      <c r="F3267" s="13"/>
      <c r="G3267" s="13" t="s">
        <v>74</v>
      </c>
      <c r="H3267" s="13" t="s">
        <v>75</v>
      </c>
      <c r="I3267" s="13"/>
      <c r="J3267" s="13"/>
      <c r="K3267" s="15">
        <v>1.0</v>
      </c>
      <c r="L3267" s="15">
        <v>1.0</v>
      </c>
      <c r="M3267" s="16"/>
      <c r="N3267" s="16"/>
      <c r="O3267" s="17">
        <v>1.0</v>
      </c>
      <c r="P3267" s="17">
        <v>1.0</v>
      </c>
      <c r="Q3267" s="13">
        <f t="shared" si="3512"/>
        <v>3.166666667</v>
      </c>
      <c r="R3267" s="13"/>
      <c r="S3267" s="13"/>
      <c r="T3267" s="13">
        <f t="shared" ref="T3267:Y3267" si="3515">IF(ISBLANK(K3267)=TRUE,0,1)</f>
        <v>1</v>
      </c>
      <c r="U3267" s="13">
        <f t="shared" si="3515"/>
        <v>1</v>
      </c>
      <c r="V3267" s="13">
        <f t="shared" si="3515"/>
        <v>0</v>
      </c>
      <c r="W3267" s="13">
        <f t="shared" si="3515"/>
        <v>0</v>
      </c>
      <c r="X3267" s="13">
        <f t="shared" si="3515"/>
        <v>1</v>
      </c>
      <c r="Y3267" s="13">
        <f t="shared" si="3515"/>
        <v>1</v>
      </c>
      <c r="Z3267" s="13">
        <f t="shared" si="3023"/>
        <v>1</v>
      </c>
      <c r="AA3267" s="13"/>
      <c r="AB3267" s="13"/>
      <c r="AC3267" s="13"/>
      <c r="AD3267" s="13"/>
      <c r="AE3267" s="13"/>
      <c r="AF3267" s="13"/>
      <c r="AG3267" s="13"/>
      <c r="AH3267" s="13"/>
      <c r="AI3267" s="13"/>
      <c r="AJ3267" s="13"/>
      <c r="AK3267" s="13"/>
      <c r="AL3267" s="13"/>
      <c r="AM3267" s="13"/>
      <c r="AN3267" s="13"/>
      <c r="AO3267" s="13"/>
      <c r="AP3267" s="13"/>
      <c r="AQ3267" s="13"/>
      <c r="AR3267" s="13"/>
      <c r="AS3267" s="13"/>
    </row>
    <row r="3268" ht="14.25" customHeight="1">
      <c r="A3268" s="13" t="s">
        <v>36</v>
      </c>
      <c r="B3268" s="13" t="s">
        <v>39</v>
      </c>
      <c r="C3268" s="13" t="s">
        <v>1872</v>
      </c>
      <c r="D3268" s="13" t="s">
        <v>170</v>
      </c>
      <c r="F3268" s="13"/>
      <c r="G3268" s="13" t="s">
        <v>111</v>
      </c>
      <c r="H3268" s="13" t="s">
        <v>75</v>
      </c>
      <c r="I3268" s="13"/>
      <c r="J3268" s="13"/>
      <c r="K3268" s="15">
        <v>0.0</v>
      </c>
      <c r="L3268" s="15">
        <v>0.0</v>
      </c>
      <c r="M3268" s="16"/>
      <c r="N3268" s="16"/>
      <c r="O3268" s="17"/>
      <c r="P3268" s="17"/>
      <c r="Q3268" s="13">
        <f t="shared" si="3512"/>
        <v>3.166666667</v>
      </c>
      <c r="R3268" s="13"/>
      <c r="S3268" s="13"/>
      <c r="T3268" s="13">
        <f t="shared" ref="T3268:Y3268" si="3516">IF(ISBLANK(K3268)=TRUE,0,1)</f>
        <v>1</v>
      </c>
      <c r="U3268" s="13">
        <f t="shared" si="3516"/>
        <v>1</v>
      </c>
      <c r="V3268" s="13">
        <f t="shared" si="3516"/>
        <v>0</v>
      </c>
      <c r="W3268" s="13">
        <f t="shared" si="3516"/>
        <v>0</v>
      </c>
      <c r="X3268" s="13">
        <f t="shared" si="3516"/>
        <v>0</v>
      </c>
      <c r="Y3268" s="13">
        <f t="shared" si="3516"/>
        <v>0</v>
      </c>
      <c r="Z3268" s="13">
        <f t="shared" si="3023"/>
        <v>0</v>
      </c>
      <c r="AA3268" s="13"/>
      <c r="AB3268" s="13"/>
      <c r="AC3268" s="13"/>
      <c r="AD3268" s="13"/>
      <c r="AE3268" s="13"/>
      <c r="AF3268" s="13"/>
      <c r="AG3268" s="13"/>
      <c r="AH3268" s="13"/>
      <c r="AI3268" s="13"/>
      <c r="AJ3268" s="13"/>
      <c r="AK3268" s="13"/>
      <c r="AL3268" s="13"/>
      <c r="AM3268" s="13"/>
      <c r="AN3268" s="13"/>
      <c r="AO3268" s="13"/>
      <c r="AP3268" s="13"/>
      <c r="AQ3268" s="13"/>
      <c r="AR3268" s="13"/>
      <c r="AS3268" s="13"/>
    </row>
    <row r="3269" ht="14.25" customHeight="1">
      <c r="A3269" s="13" t="s">
        <v>36</v>
      </c>
      <c r="B3269" s="13" t="s">
        <v>37</v>
      </c>
      <c r="C3269" s="13" t="s">
        <v>1859</v>
      </c>
      <c r="D3269" s="13" t="s">
        <v>440</v>
      </c>
      <c r="F3269" s="13"/>
      <c r="G3269" s="13" t="s">
        <v>74</v>
      </c>
      <c r="H3269" s="13" t="s">
        <v>75</v>
      </c>
      <c r="I3269" s="13"/>
      <c r="J3269" s="13"/>
      <c r="K3269" s="15">
        <v>1.0</v>
      </c>
      <c r="L3269" s="15">
        <v>1.0</v>
      </c>
      <c r="M3269" s="16"/>
      <c r="N3269" s="16"/>
      <c r="O3269" s="17"/>
      <c r="P3269" s="17"/>
      <c r="Q3269" s="13">
        <f t="shared" si="3512"/>
        <v>0</v>
      </c>
      <c r="R3269" s="13"/>
      <c r="S3269" s="13"/>
      <c r="T3269" s="13">
        <f t="shared" ref="T3269:Y3269" si="3517">IF(ISBLANK(K3269)=TRUE,0,1)</f>
        <v>1</v>
      </c>
      <c r="U3269" s="13">
        <f t="shared" si="3517"/>
        <v>1</v>
      </c>
      <c r="V3269" s="13">
        <f t="shared" si="3517"/>
        <v>0</v>
      </c>
      <c r="W3269" s="13">
        <f t="shared" si="3517"/>
        <v>0</v>
      </c>
      <c r="X3269" s="13">
        <f t="shared" si="3517"/>
        <v>0</v>
      </c>
      <c r="Y3269" s="13">
        <f t="shared" si="3517"/>
        <v>0</v>
      </c>
      <c r="Z3269" s="13">
        <f t="shared" si="3023"/>
        <v>1</v>
      </c>
      <c r="AA3269" s="13"/>
      <c r="AB3269" s="13"/>
      <c r="AC3269" s="13"/>
      <c r="AD3269" s="13"/>
      <c r="AE3269" s="13"/>
      <c r="AF3269" s="13"/>
      <c r="AG3269" s="13"/>
      <c r="AH3269" s="13"/>
      <c r="AI3269" s="13"/>
      <c r="AJ3269" s="13"/>
      <c r="AK3269" s="13"/>
      <c r="AL3269" s="13"/>
      <c r="AM3269" s="13"/>
      <c r="AN3269" s="13"/>
      <c r="AO3269" s="13"/>
      <c r="AP3269" s="13"/>
      <c r="AQ3269" s="13"/>
      <c r="AR3269" s="13"/>
      <c r="AS3269" s="13"/>
    </row>
    <row r="3270" ht="14.25" customHeight="1">
      <c r="A3270" s="13" t="s">
        <v>36</v>
      </c>
      <c r="B3270" s="13" t="s">
        <v>37</v>
      </c>
      <c r="C3270" s="13" t="s">
        <v>1859</v>
      </c>
      <c r="D3270" s="13" t="s">
        <v>441</v>
      </c>
      <c r="F3270" s="13"/>
      <c r="G3270" s="13" t="s">
        <v>74</v>
      </c>
      <c r="H3270" s="13" t="s">
        <v>75</v>
      </c>
      <c r="I3270" s="13"/>
      <c r="J3270" s="13"/>
      <c r="K3270" s="15">
        <v>1.0</v>
      </c>
      <c r="L3270" s="15">
        <v>1.0</v>
      </c>
      <c r="M3270" s="16"/>
      <c r="N3270" s="16"/>
      <c r="O3270" s="17"/>
      <c r="P3270" s="17"/>
      <c r="Q3270" s="13">
        <f t="shared" si="3512"/>
        <v>2</v>
      </c>
      <c r="R3270" s="13"/>
      <c r="S3270" s="13"/>
      <c r="T3270" s="13">
        <f t="shared" ref="T3270:Y3270" si="3518">IF(ISBLANK(K3270)=TRUE,0,1)</f>
        <v>1</v>
      </c>
      <c r="U3270" s="13">
        <f t="shared" si="3518"/>
        <v>1</v>
      </c>
      <c r="V3270" s="13">
        <f t="shared" si="3518"/>
        <v>0</v>
      </c>
      <c r="W3270" s="13">
        <f t="shared" si="3518"/>
        <v>0</v>
      </c>
      <c r="X3270" s="13">
        <f t="shared" si="3518"/>
        <v>0</v>
      </c>
      <c r="Y3270" s="13">
        <f t="shared" si="3518"/>
        <v>0</v>
      </c>
      <c r="Z3270" s="13">
        <f t="shared" si="3023"/>
        <v>1</v>
      </c>
      <c r="AA3270" s="13"/>
      <c r="AB3270" s="13"/>
      <c r="AC3270" s="13"/>
      <c r="AD3270" s="13"/>
      <c r="AE3270" s="13"/>
      <c r="AF3270" s="13"/>
      <c r="AG3270" s="13"/>
      <c r="AH3270" s="13"/>
      <c r="AI3270" s="13"/>
      <c r="AJ3270" s="13"/>
      <c r="AK3270" s="13"/>
      <c r="AL3270" s="13"/>
      <c r="AM3270" s="13"/>
      <c r="AN3270" s="13"/>
      <c r="AO3270" s="13"/>
      <c r="AP3270" s="13"/>
      <c r="AQ3270" s="13"/>
      <c r="AR3270" s="13"/>
      <c r="AS3270" s="13"/>
    </row>
    <row r="3271" ht="14.25" customHeight="1">
      <c r="A3271" s="13" t="s">
        <v>36</v>
      </c>
      <c r="B3271" s="13" t="s">
        <v>39</v>
      </c>
      <c r="C3271" s="13" t="s">
        <v>1872</v>
      </c>
      <c r="D3271" s="13" t="s">
        <v>171</v>
      </c>
      <c r="F3271" s="13"/>
      <c r="G3271" s="13" t="s">
        <v>111</v>
      </c>
      <c r="H3271" s="13" t="s">
        <v>75</v>
      </c>
      <c r="I3271" s="13"/>
      <c r="J3271" s="13"/>
      <c r="K3271" s="15">
        <v>0.0</v>
      </c>
      <c r="L3271" s="15">
        <v>0.0</v>
      </c>
      <c r="M3271" s="16"/>
      <c r="N3271" s="16"/>
      <c r="O3271" s="17"/>
      <c r="P3271" s="17"/>
      <c r="Q3271" s="13"/>
      <c r="R3271" s="13"/>
      <c r="S3271" s="13"/>
      <c r="T3271" s="13">
        <f t="shared" ref="T3271:Y3271" si="3519">IF(ISBLANK(K3271)=TRUE,0,1)</f>
        <v>1</v>
      </c>
      <c r="U3271" s="13">
        <f t="shared" si="3519"/>
        <v>1</v>
      </c>
      <c r="V3271" s="13">
        <f t="shared" si="3519"/>
        <v>0</v>
      </c>
      <c r="W3271" s="13">
        <f t="shared" si="3519"/>
        <v>0</v>
      </c>
      <c r="X3271" s="13">
        <f t="shared" si="3519"/>
        <v>0</v>
      </c>
      <c r="Y3271" s="13">
        <f t="shared" si="3519"/>
        <v>0</v>
      </c>
      <c r="Z3271" s="13">
        <f t="shared" si="3023"/>
        <v>0</v>
      </c>
      <c r="AA3271" s="13"/>
      <c r="AB3271" s="13"/>
      <c r="AC3271" s="13"/>
      <c r="AD3271" s="13"/>
      <c r="AE3271" s="13"/>
      <c r="AF3271" s="13"/>
      <c r="AG3271" s="13"/>
      <c r="AH3271" s="13"/>
      <c r="AI3271" s="13"/>
      <c r="AJ3271" s="13"/>
      <c r="AK3271" s="13"/>
      <c r="AL3271" s="13"/>
      <c r="AM3271" s="13"/>
      <c r="AN3271" s="13"/>
      <c r="AO3271" s="13"/>
      <c r="AP3271" s="13"/>
      <c r="AQ3271" s="13"/>
      <c r="AR3271" s="13"/>
      <c r="AS3271" s="13"/>
    </row>
    <row r="3272" ht="14.25" customHeight="1">
      <c r="A3272" s="13" t="s">
        <v>36</v>
      </c>
      <c r="B3272" s="13" t="s">
        <v>41</v>
      </c>
      <c r="C3272" s="13" t="s">
        <v>1860</v>
      </c>
      <c r="D3272" s="13" t="s">
        <v>123</v>
      </c>
      <c r="F3272" s="13"/>
      <c r="G3272" s="13" t="s">
        <v>74</v>
      </c>
      <c r="H3272" s="13" t="s">
        <v>75</v>
      </c>
      <c r="I3272" s="13"/>
      <c r="J3272" s="13"/>
      <c r="K3272" s="15">
        <v>1.0</v>
      </c>
      <c r="L3272" s="15">
        <v>1.0</v>
      </c>
      <c r="M3272" s="16"/>
      <c r="N3272" s="16"/>
      <c r="O3272" s="17">
        <v>1.0</v>
      </c>
      <c r="P3272" s="17">
        <v>1.0</v>
      </c>
      <c r="Q3272" s="13">
        <f t="shared" ref="Q3272:Q3273" si="3521">K3271+L3271+M3271+N3271+O3271+P3271/6</f>
        <v>0</v>
      </c>
      <c r="R3272" s="13"/>
      <c r="S3272" s="13"/>
      <c r="T3272" s="13">
        <f t="shared" ref="T3272:Y3272" si="3520">IF(ISBLANK(K3272)=TRUE,0,1)</f>
        <v>1</v>
      </c>
      <c r="U3272" s="13">
        <f t="shared" si="3520"/>
        <v>1</v>
      </c>
      <c r="V3272" s="13">
        <f t="shared" si="3520"/>
        <v>0</v>
      </c>
      <c r="W3272" s="13">
        <f t="shared" si="3520"/>
        <v>0</v>
      </c>
      <c r="X3272" s="13">
        <f t="shared" si="3520"/>
        <v>1</v>
      </c>
      <c r="Y3272" s="13">
        <f t="shared" si="3520"/>
        <v>1</v>
      </c>
      <c r="Z3272" s="13">
        <f t="shared" si="3023"/>
        <v>1</v>
      </c>
      <c r="AA3272" s="13"/>
      <c r="AB3272" s="13"/>
      <c r="AC3272" s="13"/>
      <c r="AD3272" s="13"/>
      <c r="AE3272" s="13"/>
      <c r="AF3272" s="13"/>
      <c r="AG3272" s="13"/>
      <c r="AH3272" s="13"/>
      <c r="AI3272" s="13"/>
      <c r="AJ3272" s="13"/>
      <c r="AK3272" s="13"/>
      <c r="AL3272" s="13"/>
      <c r="AM3272" s="13"/>
      <c r="AN3272" s="13"/>
      <c r="AO3272" s="13"/>
      <c r="AP3272" s="13"/>
      <c r="AQ3272" s="13"/>
      <c r="AR3272" s="13"/>
      <c r="AS3272" s="13"/>
    </row>
    <row r="3273" ht="14.25" customHeight="1">
      <c r="A3273" s="13" t="s">
        <v>36</v>
      </c>
      <c r="B3273" s="13" t="s">
        <v>41</v>
      </c>
      <c r="C3273" s="13" t="s">
        <v>1860</v>
      </c>
      <c r="D3273" s="13" t="s">
        <v>124</v>
      </c>
      <c r="F3273" s="13"/>
      <c r="G3273" s="13" t="s">
        <v>74</v>
      </c>
      <c r="H3273" s="13" t="s">
        <v>75</v>
      </c>
      <c r="I3273" s="13"/>
      <c r="J3273" s="13"/>
      <c r="K3273" s="15">
        <v>1.0</v>
      </c>
      <c r="L3273" s="15">
        <v>1.0</v>
      </c>
      <c r="M3273" s="16"/>
      <c r="N3273" s="16"/>
      <c r="O3273" s="17">
        <v>1.0</v>
      </c>
      <c r="P3273" s="17">
        <v>1.0</v>
      </c>
      <c r="Q3273" s="13">
        <f t="shared" si="3521"/>
        <v>3.166666667</v>
      </c>
      <c r="R3273" s="13"/>
      <c r="S3273" s="13"/>
      <c r="T3273" s="13">
        <f t="shared" ref="T3273:Y3273" si="3522">IF(ISBLANK(K3273)=TRUE,0,1)</f>
        <v>1</v>
      </c>
      <c r="U3273" s="13">
        <f t="shared" si="3522"/>
        <v>1</v>
      </c>
      <c r="V3273" s="13">
        <f t="shared" si="3522"/>
        <v>0</v>
      </c>
      <c r="W3273" s="13">
        <f t="shared" si="3522"/>
        <v>0</v>
      </c>
      <c r="X3273" s="13">
        <f t="shared" si="3522"/>
        <v>1</v>
      </c>
      <c r="Y3273" s="13">
        <f t="shared" si="3522"/>
        <v>1</v>
      </c>
      <c r="Z3273" s="13">
        <f t="shared" si="3023"/>
        <v>1</v>
      </c>
      <c r="AA3273" s="13"/>
      <c r="AB3273" s="13"/>
      <c r="AC3273" s="13"/>
      <c r="AD3273" s="13"/>
      <c r="AE3273" s="13"/>
      <c r="AF3273" s="13"/>
      <c r="AG3273" s="13"/>
      <c r="AH3273" s="13"/>
      <c r="AI3273" s="13"/>
      <c r="AJ3273" s="13"/>
      <c r="AK3273" s="13"/>
      <c r="AL3273" s="13"/>
      <c r="AM3273" s="13"/>
      <c r="AN3273" s="13"/>
      <c r="AO3273" s="13"/>
      <c r="AP3273" s="13"/>
      <c r="AQ3273" s="13"/>
      <c r="AR3273" s="13"/>
      <c r="AS3273" s="13"/>
    </row>
    <row r="3274" ht="14.25" customHeight="1">
      <c r="A3274" s="13" t="s">
        <v>36</v>
      </c>
      <c r="B3274" s="13" t="s">
        <v>39</v>
      </c>
      <c r="C3274" s="13" t="s">
        <v>1872</v>
      </c>
      <c r="D3274" s="13" t="s">
        <v>172</v>
      </c>
      <c r="F3274" s="13"/>
      <c r="G3274" s="13" t="s">
        <v>111</v>
      </c>
      <c r="H3274" s="13" t="s">
        <v>75</v>
      </c>
      <c r="I3274" s="13"/>
      <c r="J3274" s="13"/>
      <c r="K3274" s="15">
        <v>0.0</v>
      </c>
      <c r="L3274" s="15">
        <v>0.0</v>
      </c>
      <c r="M3274" s="16"/>
      <c r="N3274" s="16"/>
      <c r="O3274" s="17"/>
      <c r="P3274" s="17"/>
      <c r="Q3274" s="13"/>
      <c r="R3274" s="13"/>
      <c r="S3274" s="13"/>
      <c r="T3274" s="13">
        <f t="shared" ref="T3274:Y3274" si="3523">IF(ISBLANK(K3274)=TRUE,0,1)</f>
        <v>1</v>
      </c>
      <c r="U3274" s="13">
        <f t="shared" si="3523"/>
        <v>1</v>
      </c>
      <c r="V3274" s="13">
        <f t="shared" si="3523"/>
        <v>0</v>
      </c>
      <c r="W3274" s="13">
        <f t="shared" si="3523"/>
        <v>0</v>
      </c>
      <c r="X3274" s="13">
        <f t="shared" si="3523"/>
        <v>0</v>
      </c>
      <c r="Y3274" s="13">
        <f t="shared" si="3523"/>
        <v>0</v>
      </c>
      <c r="Z3274" s="13">
        <f t="shared" si="3023"/>
        <v>0</v>
      </c>
      <c r="AA3274" s="13"/>
      <c r="AB3274" s="13"/>
      <c r="AC3274" s="13"/>
      <c r="AD3274" s="13"/>
      <c r="AE3274" s="13"/>
      <c r="AF3274" s="13"/>
      <c r="AG3274" s="13"/>
      <c r="AH3274" s="13"/>
      <c r="AI3274" s="13"/>
      <c r="AJ3274" s="13"/>
      <c r="AK3274" s="13"/>
      <c r="AL3274" s="13"/>
      <c r="AM3274" s="13"/>
      <c r="AN3274" s="13"/>
      <c r="AO3274" s="13"/>
      <c r="AP3274" s="13"/>
      <c r="AQ3274" s="13"/>
      <c r="AR3274" s="13"/>
      <c r="AS3274" s="13"/>
    </row>
    <row r="3275" ht="14.25" customHeight="1">
      <c r="A3275" s="13" t="s">
        <v>36</v>
      </c>
      <c r="B3275" s="13" t="s">
        <v>39</v>
      </c>
      <c r="C3275" s="13" t="s">
        <v>1872</v>
      </c>
      <c r="D3275" s="13" t="s">
        <v>556</v>
      </c>
      <c r="F3275" s="13"/>
      <c r="G3275" s="13" t="s">
        <v>111</v>
      </c>
      <c r="H3275" s="13" t="s">
        <v>75</v>
      </c>
      <c r="I3275" s="13"/>
      <c r="J3275" s="13"/>
      <c r="K3275" s="15">
        <v>0.0</v>
      </c>
      <c r="L3275" s="15">
        <v>0.0</v>
      </c>
      <c r="M3275" s="16"/>
      <c r="N3275" s="16"/>
      <c r="O3275" s="17"/>
      <c r="P3275" s="17"/>
      <c r="Q3275" s="13"/>
      <c r="R3275" s="13"/>
      <c r="S3275" s="13"/>
      <c r="T3275" s="13">
        <f t="shared" ref="T3275:Y3275" si="3524">IF(ISBLANK(K3275)=TRUE,0,1)</f>
        <v>1</v>
      </c>
      <c r="U3275" s="13">
        <f t="shared" si="3524"/>
        <v>1</v>
      </c>
      <c r="V3275" s="13">
        <f t="shared" si="3524"/>
        <v>0</v>
      </c>
      <c r="W3275" s="13">
        <f t="shared" si="3524"/>
        <v>0</v>
      </c>
      <c r="X3275" s="13">
        <f t="shared" si="3524"/>
        <v>0</v>
      </c>
      <c r="Y3275" s="13">
        <f t="shared" si="3524"/>
        <v>0</v>
      </c>
      <c r="Z3275" s="13">
        <f t="shared" si="3023"/>
        <v>0</v>
      </c>
      <c r="AA3275" s="13"/>
      <c r="AB3275" s="13"/>
      <c r="AC3275" s="13"/>
      <c r="AD3275" s="13"/>
      <c r="AE3275" s="13"/>
      <c r="AF3275" s="13"/>
      <c r="AG3275" s="13"/>
      <c r="AH3275" s="13"/>
      <c r="AI3275" s="13"/>
      <c r="AJ3275" s="13"/>
      <c r="AK3275" s="13"/>
      <c r="AL3275" s="13"/>
      <c r="AM3275" s="13"/>
      <c r="AN3275" s="13"/>
      <c r="AO3275" s="13"/>
      <c r="AP3275" s="13"/>
      <c r="AQ3275" s="13"/>
      <c r="AR3275" s="13"/>
      <c r="AS3275" s="13"/>
    </row>
    <row r="3276" ht="14.25" customHeight="1">
      <c r="A3276" s="13" t="s">
        <v>36</v>
      </c>
      <c r="B3276" s="13" t="s">
        <v>39</v>
      </c>
      <c r="C3276" s="13" t="s">
        <v>1872</v>
      </c>
      <c r="D3276" s="13" t="s">
        <v>557</v>
      </c>
      <c r="F3276" s="13"/>
      <c r="G3276" s="13" t="s">
        <v>111</v>
      </c>
      <c r="H3276" s="13" t="s">
        <v>75</v>
      </c>
      <c r="I3276" s="13"/>
      <c r="J3276" s="13"/>
      <c r="K3276" s="15">
        <v>0.0</v>
      </c>
      <c r="L3276" s="15">
        <v>0.0</v>
      </c>
      <c r="M3276" s="16"/>
      <c r="N3276" s="16"/>
      <c r="O3276" s="17"/>
      <c r="P3276" s="17"/>
      <c r="Q3276" s="13"/>
      <c r="R3276" s="13"/>
      <c r="S3276" s="13"/>
      <c r="T3276" s="13">
        <f t="shared" ref="T3276:Y3276" si="3525">IF(ISBLANK(K3276)=TRUE,0,1)</f>
        <v>1</v>
      </c>
      <c r="U3276" s="13">
        <f t="shared" si="3525"/>
        <v>1</v>
      </c>
      <c r="V3276" s="13">
        <f t="shared" si="3525"/>
        <v>0</v>
      </c>
      <c r="W3276" s="13">
        <f t="shared" si="3525"/>
        <v>0</v>
      </c>
      <c r="X3276" s="13">
        <f t="shared" si="3525"/>
        <v>0</v>
      </c>
      <c r="Y3276" s="13">
        <f t="shared" si="3525"/>
        <v>0</v>
      </c>
      <c r="Z3276" s="13">
        <f t="shared" si="3023"/>
        <v>0</v>
      </c>
      <c r="AA3276" s="13" t="s">
        <v>561</v>
      </c>
      <c r="AB3276" s="13"/>
      <c r="AC3276" s="13"/>
      <c r="AD3276" s="13"/>
      <c r="AE3276" s="13"/>
      <c r="AF3276" s="13"/>
      <c r="AG3276" s="13"/>
      <c r="AH3276" s="13"/>
      <c r="AI3276" s="13"/>
      <c r="AJ3276" s="13"/>
      <c r="AK3276" s="13"/>
      <c r="AL3276" s="13"/>
      <c r="AM3276" s="13"/>
      <c r="AN3276" s="13"/>
      <c r="AO3276" s="13"/>
      <c r="AP3276" s="13"/>
      <c r="AQ3276" s="13"/>
      <c r="AR3276" s="13"/>
      <c r="AS3276" s="13"/>
    </row>
    <row r="3277" ht="14.25" customHeight="1">
      <c r="A3277" s="13" t="s">
        <v>36</v>
      </c>
      <c r="B3277" s="13" t="s">
        <v>37</v>
      </c>
      <c r="C3277" s="13" t="s">
        <v>1859</v>
      </c>
      <c r="D3277" s="13" t="s">
        <v>551</v>
      </c>
      <c r="F3277" s="13"/>
      <c r="G3277" s="13" t="s">
        <v>74</v>
      </c>
      <c r="H3277" s="13" t="s">
        <v>75</v>
      </c>
      <c r="I3277" s="13"/>
      <c r="J3277" s="13"/>
      <c r="K3277" s="15">
        <v>1.0</v>
      </c>
      <c r="L3277" s="15">
        <v>1.0</v>
      </c>
      <c r="M3277" s="16"/>
      <c r="N3277" s="16"/>
      <c r="O3277" s="17"/>
      <c r="P3277" s="17"/>
      <c r="Q3277" s="13">
        <f t="shared" ref="Q3277:Q3304" si="3527">K3276+L3276+M3276+N3276+O3276+P3276/6</f>
        <v>0</v>
      </c>
      <c r="R3277" s="13"/>
      <c r="S3277" s="13"/>
      <c r="T3277" s="13">
        <f t="shared" ref="T3277:Y3277" si="3526">IF(ISBLANK(K3277)=TRUE,0,1)</f>
        <v>1</v>
      </c>
      <c r="U3277" s="13">
        <f t="shared" si="3526"/>
        <v>1</v>
      </c>
      <c r="V3277" s="13">
        <f t="shared" si="3526"/>
        <v>0</v>
      </c>
      <c r="W3277" s="13">
        <f t="shared" si="3526"/>
        <v>0</v>
      </c>
      <c r="X3277" s="13">
        <f t="shared" si="3526"/>
        <v>0</v>
      </c>
      <c r="Y3277" s="13">
        <f t="shared" si="3526"/>
        <v>0</v>
      </c>
      <c r="Z3277" s="13">
        <f t="shared" si="3023"/>
        <v>1</v>
      </c>
      <c r="AA3277" s="13"/>
      <c r="AB3277" s="13"/>
      <c r="AC3277" s="13"/>
      <c r="AD3277" s="13"/>
      <c r="AE3277" s="13"/>
      <c r="AF3277" s="13"/>
      <c r="AG3277" s="13"/>
      <c r="AH3277" s="13"/>
      <c r="AI3277" s="13"/>
      <c r="AJ3277" s="13"/>
      <c r="AK3277" s="13"/>
      <c r="AL3277" s="13"/>
      <c r="AM3277" s="13"/>
      <c r="AN3277" s="13"/>
      <c r="AO3277" s="13"/>
      <c r="AP3277" s="13"/>
      <c r="AQ3277" s="13"/>
      <c r="AR3277" s="13"/>
      <c r="AS3277" s="13"/>
    </row>
    <row r="3278" ht="14.25" customHeight="1">
      <c r="A3278" s="13" t="s">
        <v>36</v>
      </c>
      <c r="B3278" s="13" t="s">
        <v>41</v>
      </c>
      <c r="C3278" s="13" t="s">
        <v>1860</v>
      </c>
      <c r="D3278" s="13" t="s">
        <v>125</v>
      </c>
      <c r="F3278" s="13"/>
      <c r="G3278" s="13" t="s">
        <v>74</v>
      </c>
      <c r="H3278" s="13" t="s">
        <v>75</v>
      </c>
      <c r="I3278" s="13"/>
      <c r="J3278" s="13"/>
      <c r="K3278" s="15">
        <v>1.0</v>
      </c>
      <c r="L3278" s="15">
        <v>1.0</v>
      </c>
      <c r="M3278" s="16"/>
      <c r="N3278" s="16"/>
      <c r="O3278" s="17">
        <v>1.0</v>
      </c>
      <c r="P3278" s="17">
        <v>1.0</v>
      </c>
      <c r="Q3278" s="13">
        <f t="shared" si="3527"/>
        <v>2</v>
      </c>
      <c r="R3278" s="13"/>
      <c r="S3278" s="13"/>
      <c r="T3278" s="13">
        <f t="shared" ref="T3278:Y3278" si="3528">IF(ISBLANK(K3278)=TRUE,0,1)</f>
        <v>1</v>
      </c>
      <c r="U3278" s="13">
        <f t="shared" si="3528"/>
        <v>1</v>
      </c>
      <c r="V3278" s="13">
        <f t="shared" si="3528"/>
        <v>0</v>
      </c>
      <c r="W3278" s="13">
        <f t="shared" si="3528"/>
        <v>0</v>
      </c>
      <c r="X3278" s="13">
        <f t="shared" si="3528"/>
        <v>1</v>
      </c>
      <c r="Y3278" s="13">
        <f t="shared" si="3528"/>
        <v>1</v>
      </c>
      <c r="Z3278" s="13">
        <f t="shared" si="3023"/>
        <v>1</v>
      </c>
      <c r="AA3278" s="13"/>
      <c r="AB3278" s="13"/>
      <c r="AC3278" s="13"/>
      <c r="AD3278" s="13"/>
      <c r="AE3278" s="13"/>
      <c r="AF3278" s="13"/>
      <c r="AG3278" s="13"/>
      <c r="AH3278" s="13"/>
      <c r="AI3278" s="13"/>
      <c r="AJ3278" s="13"/>
      <c r="AK3278" s="13"/>
      <c r="AL3278" s="13"/>
      <c r="AM3278" s="13"/>
      <c r="AN3278" s="13"/>
      <c r="AO3278" s="13"/>
      <c r="AP3278" s="13"/>
      <c r="AQ3278" s="13"/>
      <c r="AR3278" s="13"/>
      <c r="AS3278" s="13"/>
    </row>
    <row r="3279" ht="14.25" customHeight="1">
      <c r="A3279" s="13" t="s">
        <v>36</v>
      </c>
      <c r="B3279" s="13" t="s">
        <v>41</v>
      </c>
      <c r="C3279" s="13" t="s">
        <v>1860</v>
      </c>
      <c r="D3279" s="13" t="s">
        <v>126</v>
      </c>
      <c r="F3279" s="13"/>
      <c r="G3279" s="13" t="s">
        <v>74</v>
      </c>
      <c r="H3279" s="13" t="s">
        <v>75</v>
      </c>
      <c r="I3279" s="13"/>
      <c r="J3279" s="13"/>
      <c r="K3279" s="15">
        <v>1.0</v>
      </c>
      <c r="L3279" s="15">
        <v>1.0</v>
      </c>
      <c r="M3279" s="16"/>
      <c r="N3279" s="16"/>
      <c r="O3279" s="17">
        <v>1.0</v>
      </c>
      <c r="P3279" s="17">
        <v>1.0</v>
      </c>
      <c r="Q3279" s="13">
        <f t="shared" si="3527"/>
        <v>3.166666667</v>
      </c>
      <c r="R3279" s="13"/>
      <c r="S3279" s="13"/>
      <c r="T3279" s="13">
        <f t="shared" ref="T3279:Y3279" si="3529">IF(ISBLANK(K3279)=TRUE,0,1)</f>
        <v>1</v>
      </c>
      <c r="U3279" s="13">
        <f t="shared" si="3529"/>
        <v>1</v>
      </c>
      <c r="V3279" s="13">
        <f t="shared" si="3529"/>
        <v>0</v>
      </c>
      <c r="W3279" s="13">
        <f t="shared" si="3529"/>
        <v>0</v>
      </c>
      <c r="X3279" s="13">
        <f t="shared" si="3529"/>
        <v>1</v>
      </c>
      <c r="Y3279" s="13">
        <f t="shared" si="3529"/>
        <v>1</v>
      </c>
      <c r="Z3279" s="13">
        <f t="shared" si="3023"/>
        <v>1</v>
      </c>
      <c r="AA3279" s="13"/>
      <c r="AB3279" s="13"/>
      <c r="AC3279" s="13"/>
      <c r="AD3279" s="13"/>
      <c r="AE3279" s="13"/>
      <c r="AF3279" s="13"/>
      <c r="AG3279" s="13"/>
      <c r="AH3279" s="13"/>
      <c r="AI3279" s="13"/>
      <c r="AJ3279" s="13"/>
      <c r="AK3279" s="13"/>
      <c r="AL3279" s="13"/>
      <c r="AM3279" s="13"/>
      <c r="AN3279" s="13"/>
      <c r="AO3279" s="13"/>
      <c r="AP3279" s="13"/>
      <c r="AQ3279" s="13"/>
      <c r="AR3279" s="13"/>
      <c r="AS3279" s="13"/>
    </row>
    <row r="3280" ht="14.25" customHeight="1">
      <c r="A3280" s="13" t="s">
        <v>36</v>
      </c>
      <c r="B3280" s="13" t="s">
        <v>41</v>
      </c>
      <c r="C3280" s="13" t="s">
        <v>1860</v>
      </c>
      <c r="D3280" s="13" t="s">
        <v>127</v>
      </c>
      <c r="F3280" s="13"/>
      <c r="G3280" s="13" t="s">
        <v>74</v>
      </c>
      <c r="H3280" s="13" t="s">
        <v>75</v>
      </c>
      <c r="I3280" s="13"/>
      <c r="J3280" s="13"/>
      <c r="K3280" s="15">
        <v>1.0</v>
      </c>
      <c r="L3280" s="15">
        <v>1.0</v>
      </c>
      <c r="M3280" s="16"/>
      <c r="N3280" s="16"/>
      <c r="O3280" s="17">
        <v>1.0</v>
      </c>
      <c r="P3280" s="17">
        <v>1.0</v>
      </c>
      <c r="Q3280" s="13">
        <f t="shared" si="3527"/>
        <v>3.166666667</v>
      </c>
      <c r="R3280" s="13"/>
      <c r="S3280" s="13"/>
      <c r="T3280" s="13">
        <f t="shared" ref="T3280:Y3280" si="3530">IF(ISBLANK(K3280)=TRUE,0,1)</f>
        <v>1</v>
      </c>
      <c r="U3280" s="13">
        <f t="shared" si="3530"/>
        <v>1</v>
      </c>
      <c r="V3280" s="13">
        <f t="shared" si="3530"/>
        <v>0</v>
      </c>
      <c r="W3280" s="13">
        <f t="shared" si="3530"/>
        <v>0</v>
      </c>
      <c r="X3280" s="13">
        <f t="shared" si="3530"/>
        <v>1</v>
      </c>
      <c r="Y3280" s="13">
        <f t="shared" si="3530"/>
        <v>1</v>
      </c>
      <c r="Z3280" s="13">
        <f t="shared" si="3023"/>
        <v>1</v>
      </c>
      <c r="AA3280" s="13"/>
      <c r="AB3280" s="13"/>
      <c r="AC3280" s="13"/>
      <c r="AD3280" s="13"/>
      <c r="AE3280" s="13"/>
      <c r="AF3280" s="13"/>
      <c r="AG3280" s="13"/>
      <c r="AH3280" s="13"/>
      <c r="AI3280" s="13"/>
      <c r="AJ3280" s="13"/>
      <c r="AK3280" s="13"/>
      <c r="AL3280" s="13"/>
      <c r="AM3280" s="13"/>
      <c r="AN3280" s="13"/>
      <c r="AO3280" s="13"/>
      <c r="AP3280" s="13"/>
      <c r="AQ3280" s="13"/>
      <c r="AR3280" s="13"/>
      <c r="AS3280" s="13"/>
    </row>
    <row r="3281" ht="14.25" customHeight="1">
      <c r="A3281" s="13" t="s">
        <v>36</v>
      </c>
      <c r="B3281" s="13" t="s">
        <v>39</v>
      </c>
      <c r="C3281" s="13" t="s">
        <v>550</v>
      </c>
      <c r="D3281" s="13" t="s">
        <v>174</v>
      </c>
      <c r="F3281" s="13"/>
      <c r="G3281" s="13" t="s">
        <v>74</v>
      </c>
      <c r="H3281" s="13" t="s">
        <v>75</v>
      </c>
      <c r="I3281" s="13"/>
      <c r="J3281" s="13"/>
      <c r="K3281" s="15">
        <v>0.0</v>
      </c>
      <c r="L3281" s="15">
        <v>0.0</v>
      </c>
      <c r="M3281" s="16"/>
      <c r="N3281" s="16"/>
      <c r="O3281" s="17"/>
      <c r="P3281" s="17"/>
      <c r="Q3281" s="13">
        <f t="shared" si="3527"/>
        <v>3.166666667</v>
      </c>
      <c r="R3281" s="13"/>
      <c r="S3281" s="13"/>
      <c r="T3281" s="13">
        <f t="shared" ref="T3281:Y3281" si="3531">IF(ISBLANK(K3281)=TRUE,0,1)</f>
        <v>1</v>
      </c>
      <c r="U3281" s="13">
        <f t="shared" si="3531"/>
        <v>1</v>
      </c>
      <c r="V3281" s="13">
        <f t="shared" si="3531"/>
        <v>0</v>
      </c>
      <c r="W3281" s="13">
        <f t="shared" si="3531"/>
        <v>0</v>
      </c>
      <c r="X3281" s="13">
        <f t="shared" si="3531"/>
        <v>0</v>
      </c>
      <c r="Y3281" s="13">
        <f t="shared" si="3531"/>
        <v>0</v>
      </c>
      <c r="Z3281" s="13">
        <f t="shared" si="3023"/>
        <v>0</v>
      </c>
      <c r="AA3281" s="13"/>
      <c r="AB3281" s="13"/>
      <c r="AC3281" s="13"/>
      <c r="AD3281" s="13"/>
      <c r="AE3281" s="13"/>
      <c r="AF3281" s="13"/>
      <c r="AG3281" s="13"/>
      <c r="AH3281" s="13"/>
      <c r="AI3281" s="13"/>
      <c r="AJ3281" s="13"/>
      <c r="AK3281" s="13"/>
      <c r="AL3281" s="13"/>
      <c r="AM3281" s="13"/>
      <c r="AN3281" s="13"/>
      <c r="AO3281" s="13"/>
      <c r="AP3281" s="13"/>
      <c r="AQ3281" s="13"/>
      <c r="AR3281" s="13"/>
      <c r="AS3281" s="13"/>
    </row>
    <row r="3282" ht="14.25" customHeight="1">
      <c r="A3282" s="13" t="s">
        <v>36</v>
      </c>
      <c r="B3282" s="13" t="s">
        <v>37</v>
      </c>
      <c r="C3282" s="13" t="s">
        <v>1859</v>
      </c>
      <c r="D3282" s="13" t="s">
        <v>553</v>
      </c>
      <c r="F3282" s="13"/>
      <c r="G3282" s="13" t="s">
        <v>74</v>
      </c>
      <c r="H3282" s="13" t="s">
        <v>75</v>
      </c>
      <c r="I3282" s="13"/>
      <c r="J3282" s="13"/>
      <c r="K3282" s="15">
        <v>1.0</v>
      </c>
      <c r="L3282" s="15">
        <v>1.0</v>
      </c>
      <c r="M3282" s="16"/>
      <c r="N3282" s="16"/>
      <c r="O3282" s="17"/>
      <c r="P3282" s="17"/>
      <c r="Q3282" s="13">
        <f t="shared" si="3527"/>
        <v>0</v>
      </c>
      <c r="R3282" s="13"/>
      <c r="S3282" s="13"/>
      <c r="T3282" s="13">
        <f t="shared" ref="T3282:Y3282" si="3532">IF(ISBLANK(K3282)=TRUE,0,1)</f>
        <v>1</v>
      </c>
      <c r="U3282" s="13">
        <f t="shared" si="3532"/>
        <v>1</v>
      </c>
      <c r="V3282" s="13">
        <f t="shared" si="3532"/>
        <v>0</v>
      </c>
      <c r="W3282" s="13">
        <f t="shared" si="3532"/>
        <v>0</v>
      </c>
      <c r="X3282" s="13">
        <f t="shared" si="3532"/>
        <v>0</v>
      </c>
      <c r="Y3282" s="13">
        <f t="shared" si="3532"/>
        <v>0</v>
      </c>
      <c r="Z3282" s="13">
        <f t="shared" si="3023"/>
        <v>1</v>
      </c>
      <c r="AA3282" s="13"/>
      <c r="AB3282" s="13"/>
      <c r="AC3282" s="13"/>
      <c r="AD3282" s="13"/>
      <c r="AE3282" s="13"/>
      <c r="AF3282" s="13"/>
      <c r="AG3282" s="13"/>
      <c r="AH3282" s="13"/>
      <c r="AI3282" s="13"/>
      <c r="AJ3282" s="13"/>
      <c r="AK3282" s="13"/>
      <c r="AL3282" s="13"/>
      <c r="AM3282" s="13"/>
      <c r="AN3282" s="13"/>
      <c r="AO3282" s="13"/>
      <c r="AP3282" s="13"/>
      <c r="AQ3282" s="13"/>
      <c r="AR3282" s="13"/>
      <c r="AS3282" s="13"/>
    </row>
    <row r="3283" ht="14.25" customHeight="1">
      <c r="A3283" s="13" t="s">
        <v>36</v>
      </c>
      <c r="B3283" s="13" t="s">
        <v>37</v>
      </c>
      <c r="C3283" s="13" t="s">
        <v>1859</v>
      </c>
      <c r="D3283" s="13" t="s">
        <v>554</v>
      </c>
      <c r="F3283" s="13"/>
      <c r="G3283" s="13" t="s">
        <v>74</v>
      </c>
      <c r="H3283" s="13" t="s">
        <v>75</v>
      </c>
      <c r="I3283" s="13"/>
      <c r="J3283" s="13"/>
      <c r="K3283" s="15">
        <v>1.0</v>
      </c>
      <c r="L3283" s="15">
        <v>1.0</v>
      </c>
      <c r="M3283" s="16"/>
      <c r="N3283" s="16"/>
      <c r="O3283" s="17"/>
      <c r="P3283" s="17"/>
      <c r="Q3283" s="13">
        <f t="shared" si="3527"/>
        <v>2</v>
      </c>
      <c r="R3283" s="13"/>
      <c r="S3283" s="13"/>
      <c r="T3283" s="13">
        <f t="shared" ref="T3283:Y3283" si="3533">IF(ISBLANK(K3283)=TRUE,0,1)</f>
        <v>1</v>
      </c>
      <c r="U3283" s="13">
        <f t="shared" si="3533"/>
        <v>1</v>
      </c>
      <c r="V3283" s="13">
        <f t="shared" si="3533"/>
        <v>0</v>
      </c>
      <c r="W3283" s="13">
        <f t="shared" si="3533"/>
        <v>0</v>
      </c>
      <c r="X3283" s="13">
        <f t="shared" si="3533"/>
        <v>0</v>
      </c>
      <c r="Y3283" s="13">
        <f t="shared" si="3533"/>
        <v>0</v>
      </c>
      <c r="Z3283" s="13">
        <f t="shared" si="3023"/>
        <v>1</v>
      </c>
      <c r="AA3283" s="13"/>
      <c r="AB3283" s="13"/>
      <c r="AC3283" s="13"/>
      <c r="AD3283" s="13"/>
      <c r="AE3283" s="13"/>
      <c r="AF3283" s="13"/>
      <c r="AG3283" s="13"/>
      <c r="AH3283" s="13"/>
      <c r="AI3283" s="13"/>
      <c r="AJ3283" s="13"/>
      <c r="AK3283" s="13"/>
      <c r="AL3283" s="13"/>
      <c r="AM3283" s="13"/>
      <c r="AN3283" s="13"/>
      <c r="AO3283" s="13"/>
      <c r="AP3283" s="13"/>
      <c r="AQ3283" s="13"/>
      <c r="AR3283" s="13"/>
      <c r="AS3283" s="13"/>
    </row>
    <row r="3284" ht="14.25" customHeight="1">
      <c r="A3284" s="13" t="s">
        <v>36</v>
      </c>
      <c r="B3284" s="13" t="s">
        <v>39</v>
      </c>
      <c r="C3284" s="13" t="s">
        <v>550</v>
      </c>
      <c r="D3284" s="13" t="s">
        <v>175</v>
      </c>
      <c r="F3284" s="13"/>
      <c r="G3284" s="13" t="s">
        <v>74</v>
      </c>
      <c r="H3284" s="13" t="s">
        <v>75</v>
      </c>
      <c r="I3284" s="13"/>
      <c r="J3284" s="13"/>
      <c r="K3284" s="15">
        <v>0.0</v>
      </c>
      <c r="L3284" s="15">
        <v>0.0</v>
      </c>
      <c r="M3284" s="16"/>
      <c r="N3284" s="16"/>
      <c r="O3284" s="17"/>
      <c r="P3284" s="17"/>
      <c r="Q3284" s="13">
        <f t="shared" si="3527"/>
        <v>2</v>
      </c>
      <c r="R3284" s="13"/>
      <c r="S3284" s="13"/>
      <c r="T3284" s="13">
        <f t="shared" ref="T3284:Y3284" si="3534">IF(ISBLANK(K3284)=TRUE,0,1)</f>
        <v>1</v>
      </c>
      <c r="U3284" s="13">
        <f t="shared" si="3534"/>
        <v>1</v>
      </c>
      <c r="V3284" s="13">
        <f t="shared" si="3534"/>
        <v>0</v>
      </c>
      <c r="W3284" s="13">
        <f t="shared" si="3534"/>
        <v>0</v>
      </c>
      <c r="X3284" s="13">
        <f t="shared" si="3534"/>
        <v>0</v>
      </c>
      <c r="Y3284" s="13">
        <f t="shared" si="3534"/>
        <v>0</v>
      </c>
      <c r="Z3284" s="13">
        <f t="shared" si="3023"/>
        <v>0</v>
      </c>
      <c r="AA3284" s="13"/>
      <c r="AB3284" s="13"/>
      <c r="AC3284" s="13"/>
      <c r="AD3284" s="13"/>
      <c r="AE3284" s="13"/>
      <c r="AF3284" s="13"/>
      <c r="AG3284" s="13"/>
      <c r="AH3284" s="13"/>
      <c r="AI3284" s="13"/>
      <c r="AJ3284" s="13"/>
      <c r="AK3284" s="13"/>
      <c r="AL3284" s="13"/>
      <c r="AM3284" s="13"/>
      <c r="AN3284" s="13"/>
      <c r="AO3284" s="13"/>
      <c r="AP3284" s="13"/>
      <c r="AQ3284" s="13"/>
      <c r="AR3284" s="13"/>
      <c r="AS3284" s="13"/>
    </row>
    <row r="3285" ht="14.25" customHeight="1">
      <c r="A3285" s="13" t="s">
        <v>36</v>
      </c>
      <c r="B3285" s="13" t="s">
        <v>41</v>
      </c>
      <c r="C3285" s="13" t="s">
        <v>1860</v>
      </c>
      <c r="D3285" s="13" t="s">
        <v>128</v>
      </c>
      <c r="F3285" s="13"/>
      <c r="G3285" s="13" t="s">
        <v>74</v>
      </c>
      <c r="H3285" s="13" t="s">
        <v>75</v>
      </c>
      <c r="I3285" s="13"/>
      <c r="J3285" s="13"/>
      <c r="K3285" s="15">
        <v>1.0</v>
      </c>
      <c r="L3285" s="15">
        <v>1.0</v>
      </c>
      <c r="M3285" s="16"/>
      <c r="N3285" s="16"/>
      <c r="O3285" s="17">
        <v>1.0</v>
      </c>
      <c r="P3285" s="17">
        <v>1.0</v>
      </c>
      <c r="Q3285" s="13">
        <f t="shared" si="3527"/>
        <v>0</v>
      </c>
      <c r="R3285" s="13"/>
      <c r="S3285" s="13"/>
      <c r="T3285" s="13">
        <f t="shared" ref="T3285:Y3285" si="3535">IF(ISBLANK(K3285)=TRUE,0,1)</f>
        <v>1</v>
      </c>
      <c r="U3285" s="13">
        <f t="shared" si="3535"/>
        <v>1</v>
      </c>
      <c r="V3285" s="13">
        <f t="shared" si="3535"/>
        <v>0</v>
      </c>
      <c r="W3285" s="13">
        <f t="shared" si="3535"/>
        <v>0</v>
      </c>
      <c r="X3285" s="13">
        <f t="shared" si="3535"/>
        <v>1</v>
      </c>
      <c r="Y3285" s="13">
        <f t="shared" si="3535"/>
        <v>1</v>
      </c>
      <c r="Z3285" s="13">
        <f t="shared" si="3023"/>
        <v>1</v>
      </c>
      <c r="AA3285" s="13"/>
      <c r="AB3285" s="13"/>
      <c r="AC3285" s="13"/>
      <c r="AD3285" s="13"/>
      <c r="AE3285" s="13"/>
      <c r="AF3285" s="13"/>
      <c r="AG3285" s="13"/>
      <c r="AH3285" s="13"/>
      <c r="AI3285" s="13"/>
      <c r="AJ3285" s="13"/>
      <c r="AK3285" s="13"/>
      <c r="AL3285" s="13"/>
      <c r="AM3285" s="13"/>
      <c r="AN3285" s="13"/>
      <c r="AO3285" s="13"/>
      <c r="AP3285" s="13"/>
      <c r="AQ3285" s="13"/>
      <c r="AR3285" s="13"/>
      <c r="AS3285" s="13"/>
    </row>
    <row r="3286" ht="14.25" customHeight="1">
      <c r="A3286" s="13" t="s">
        <v>36</v>
      </c>
      <c r="B3286" s="13" t="s">
        <v>41</v>
      </c>
      <c r="C3286" s="13" t="s">
        <v>1860</v>
      </c>
      <c r="D3286" s="13" t="s">
        <v>129</v>
      </c>
      <c r="F3286" s="13"/>
      <c r="G3286" s="13" t="s">
        <v>74</v>
      </c>
      <c r="H3286" s="13" t="s">
        <v>75</v>
      </c>
      <c r="I3286" s="13"/>
      <c r="J3286" s="13"/>
      <c r="K3286" s="15">
        <v>1.0</v>
      </c>
      <c r="L3286" s="15">
        <v>1.0</v>
      </c>
      <c r="M3286" s="16"/>
      <c r="N3286" s="16"/>
      <c r="O3286" s="17">
        <v>1.0</v>
      </c>
      <c r="P3286" s="17">
        <v>1.0</v>
      </c>
      <c r="Q3286" s="13">
        <f t="shared" si="3527"/>
        <v>3.166666667</v>
      </c>
      <c r="R3286" s="13"/>
      <c r="S3286" s="13"/>
      <c r="T3286" s="13">
        <f t="shared" ref="T3286:Y3286" si="3536">IF(ISBLANK(K3286)=TRUE,0,1)</f>
        <v>1</v>
      </c>
      <c r="U3286" s="13">
        <f t="shared" si="3536"/>
        <v>1</v>
      </c>
      <c r="V3286" s="13">
        <f t="shared" si="3536"/>
        <v>0</v>
      </c>
      <c r="W3286" s="13">
        <f t="shared" si="3536"/>
        <v>0</v>
      </c>
      <c r="X3286" s="13">
        <f t="shared" si="3536"/>
        <v>1</v>
      </c>
      <c r="Y3286" s="13">
        <f t="shared" si="3536"/>
        <v>1</v>
      </c>
      <c r="Z3286" s="13">
        <f t="shared" si="3023"/>
        <v>1</v>
      </c>
      <c r="AA3286" s="13"/>
      <c r="AB3286" s="13"/>
      <c r="AC3286" s="13"/>
      <c r="AD3286" s="13"/>
      <c r="AE3286" s="13"/>
      <c r="AF3286" s="13"/>
      <c r="AG3286" s="13"/>
      <c r="AH3286" s="13"/>
      <c r="AI3286" s="13"/>
      <c r="AJ3286" s="13"/>
      <c r="AK3286" s="13"/>
      <c r="AL3286" s="13"/>
      <c r="AM3286" s="13"/>
      <c r="AN3286" s="13"/>
      <c r="AO3286" s="13"/>
      <c r="AP3286" s="13"/>
      <c r="AQ3286" s="13"/>
      <c r="AR3286" s="13"/>
      <c r="AS3286" s="13"/>
    </row>
    <row r="3287" ht="14.25" customHeight="1">
      <c r="A3287" s="13" t="s">
        <v>36</v>
      </c>
      <c r="B3287" s="13" t="s">
        <v>39</v>
      </c>
      <c r="C3287" s="13" t="s">
        <v>550</v>
      </c>
      <c r="D3287" s="13" t="s">
        <v>176</v>
      </c>
      <c r="F3287" s="13"/>
      <c r="G3287" s="13" t="s">
        <v>74</v>
      </c>
      <c r="H3287" s="13" t="s">
        <v>75</v>
      </c>
      <c r="I3287" s="13"/>
      <c r="J3287" s="13"/>
      <c r="K3287" s="15">
        <v>0.0</v>
      </c>
      <c r="L3287" s="15">
        <v>0.0</v>
      </c>
      <c r="M3287" s="16"/>
      <c r="N3287" s="16"/>
      <c r="O3287" s="17"/>
      <c r="P3287" s="17"/>
      <c r="Q3287" s="13">
        <f t="shared" si="3527"/>
        <v>3.166666667</v>
      </c>
      <c r="R3287" s="13"/>
      <c r="S3287" s="13"/>
      <c r="T3287" s="13">
        <f t="shared" ref="T3287:Y3287" si="3537">IF(ISBLANK(K3287)=TRUE,0,1)</f>
        <v>1</v>
      </c>
      <c r="U3287" s="13">
        <f t="shared" si="3537"/>
        <v>1</v>
      </c>
      <c r="V3287" s="13">
        <f t="shared" si="3537"/>
        <v>0</v>
      </c>
      <c r="W3287" s="13">
        <f t="shared" si="3537"/>
        <v>0</v>
      </c>
      <c r="X3287" s="13">
        <f t="shared" si="3537"/>
        <v>0</v>
      </c>
      <c r="Y3287" s="13">
        <f t="shared" si="3537"/>
        <v>0</v>
      </c>
      <c r="Z3287" s="13">
        <f t="shared" si="3023"/>
        <v>0</v>
      </c>
      <c r="AA3287" s="13"/>
      <c r="AB3287" s="13"/>
      <c r="AC3287" s="13"/>
      <c r="AD3287" s="13"/>
      <c r="AE3287" s="13"/>
      <c r="AF3287" s="13"/>
      <c r="AG3287" s="13"/>
      <c r="AH3287" s="13"/>
      <c r="AI3287" s="13"/>
      <c r="AJ3287" s="13"/>
      <c r="AK3287" s="13"/>
      <c r="AL3287" s="13"/>
      <c r="AM3287" s="13"/>
      <c r="AN3287" s="13"/>
      <c r="AO3287" s="13"/>
      <c r="AP3287" s="13"/>
      <c r="AQ3287" s="13"/>
      <c r="AR3287" s="13"/>
      <c r="AS3287" s="13"/>
    </row>
    <row r="3288" ht="14.25" customHeight="1">
      <c r="A3288" s="13" t="s">
        <v>36</v>
      </c>
      <c r="B3288" s="13" t="s">
        <v>39</v>
      </c>
      <c r="C3288" s="13" t="s">
        <v>550</v>
      </c>
      <c r="D3288" s="13" t="s">
        <v>177</v>
      </c>
      <c r="F3288" s="13"/>
      <c r="G3288" s="13" t="s">
        <v>74</v>
      </c>
      <c r="H3288" s="13" t="s">
        <v>75</v>
      </c>
      <c r="I3288" s="13"/>
      <c r="J3288" s="13"/>
      <c r="K3288" s="15">
        <v>0.0</v>
      </c>
      <c r="L3288" s="15">
        <v>0.0</v>
      </c>
      <c r="M3288" s="16"/>
      <c r="N3288" s="16"/>
      <c r="O3288" s="17"/>
      <c r="P3288" s="17"/>
      <c r="Q3288" s="13">
        <f t="shared" si="3527"/>
        <v>0</v>
      </c>
      <c r="R3288" s="13"/>
      <c r="S3288" s="13"/>
      <c r="T3288" s="13">
        <f t="shared" ref="T3288:Y3288" si="3538">IF(ISBLANK(K3288)=TRUE,0,1)</f>
        <v>1</v>
      </c>
      <c r="U3288" s="13">
        <f t="shared" si="3538"/>
        <v>1</v>
      </c>
      <c r="V3288" s="13">
        <f t="shared" si="3538"/>
        <v>0</v>
      </c>
      <c r="W3288" s="13">
        <f t="shared" si="3538"/>
        <v>0</v>
      </c>
      <c r="X3288" s="13">
        <f t="shared" si="3538"/>
        <v>0</v>
      </c>
      <c r="Y3288" s="13">
        <f t="shared" si="3538"/>
        <v>0</v>
      </c>
      <c r="Z3288" s="13">
        <f t="shared" si="3023"/>
        <v>0</v>
      </c>
      <c r="AA3288" s="13"/>
      <c r="AB3288" s="13"/>
      <c r="AC3288" s="13"/>
      <c r="AD3288" s="13"/>
      <c r="AE3288" s="13"/>
      <c r="AF3288" s="13"/>
      <c r="AG3288" s="13"/>
      <c r="AH3288" s="13"/>
      <c r="AI3288" s="13"/>
      <c r="AJ3288" s="13"/>
      <c r="AK3288" s="13"/>
      <c r="AL3288" s="13"/>
      <c r="AM3288" s="13"/>
      <c r="AN3288" s="13"/>
      <c r="AO3288" s="13"/>
      <c r="AP3288" s="13"/>
      <c r="AQ3288" s="13"/>
      <c r="AR3288" s="13"/>
      <c r="AS3288" s="13"/>
    </row>
    <row r="3289" ht="14.25" customHeight="1">
      <c r="A3289" s="13" t="s">
        <v>36</v>
      </c>
      <c r="B3289" s="13" t="s">
        <v>39</v>
      </c>
      <c r="C3289" s="13" t="s">
        <v>550</v>
      </c>
      <c r="D3289" s="13" t="s">
        <v>178</v>
      </c>
      <c r="F3289" s="13"/>
      <c r="G3289" s="13" t="s">
        <v>74</v>
      </c>
      <c r="H3289" s="13" t="s">
        <v>75</v>
      </c>
      <c r="I3289" s="13"/>
      <c r="J3289" s="13"/>
      <c r="K3289" s="15">
        <v>0.0</v>
      </c>
      <c r="L3289" s="15">
        <v>0.0</v>
      </c>
      <c r="M3289" s="16"/>
      <c r="N3289" s="16"/>
      <c r="O3289" s="17"/>
      <c r="P3289" s="17"/>
      <c r="Q3289" s="13">
        <f t="shared" si="3527"/>
        <v>0</v>
      </c>
      <c r="R3289" s="13"/>
      <c r="S3289" s="13"/>
      <c r="T3289" s="13">
        <f t="shared" ref="T3289:Y3289" si="3539">IF(ISBLANK(K3289)=TRUE,0,1)</f>
        <v>1</v>
      </c>
      <c r="U3289" s="13">
        <f t="shared" si="3539"/>
        <v>1</v>
      </c>
      <c r="V3289" s="13">
        <f t="shared" si="3539"/>
        <v>0</v>
      </c>
      <c r="W3289" s="13">
        <f t="shared" si="3539"/>
        <v>0</v>
      </c>
      <c r="X3289" s="13">
        <f t="shared" si="3539"/>
        <v>0</v>
      </c>
      <c r="Y3289" s="13">
        <f t="shared" si="3539"/>
        <v>0</v>
      </c>
      <c r="Z3289" s="13">
        <f t="shared" si="3023"/>
        <v>0</v>
      </c>
      <c r="AA3289" s="13"/>
      <c r="AB3289" s="13"/>
      <c r="AC3289" s="13"/>
      <c r="AD3289" s="13"/>
      <c r="AE3289" s="13"/>
      <c r="AF3289" s="13"/>
      <c r="AG3289" s="13"/>
      <c r="AH3289" s="13"/>
      <c r="AI3289" s="13"/>
      <c r="AJ3289" s="13"/>
      <c r="AK3289" s="13"/>
      <c r="AL3289" s="13"/>
      <c r="AM3289" s="13"/>
      <c r="AN3289" s="13"/>
      <c r="AO3289" s="13"/>
      <c r="AP3289" s="13"/>
      <c r="AQ3289" s="13"/>
      <c r="AR3289" s="13"/>
      <c r="AS3289" s="13"/>
    </row>
    <row r="3290" ht="14.25" customHeight="1">
      <c r="A3290" s="13" t="s">
        <v>36</v>
      </c>
      <c r="B3290" s="13" t="s">
        <v>37</v>
      </c>
      <c r="C3290" s="13" t="s">
        <v>1859</v>
      </c>
      <c r="D3290" s="13" t="s">
        <v>555</v>
      </c>
      <c r="F3290" s="13"/>
      <c r="G3290" s="13" t="s">
        <v>74</v>
      </c>
      <c r="H3290" s="13" t="s">
        <v>75</v>
      </c>
      <c r="I3290" s="13"/>
      <c r="J3290" s="13"/>
      <c r="K3290" s="15">
        <v>1.0</v>
      </c>
      <c r="L3290" s="15">
        <v>1.0</v>
      </c>
      <c r="M3290" s="16"/>
      <c r="N3290" s="16"/>
      <c r="O3290" s="17"/>
      <c r="P3290" s="17"/>
      <c r="Q3290" s="13">
        <f t="shared" si="3527"/>
        <v>0</v>
      </c>
      <c r="R3290" s="13"/>
      <c r="S3290" s="13"/>
      <c r="T3290" s="13">
        <f t="shared" ref="T3290:Y3290" si="3540">IF(ISBLANK(K3290)=TRUE,0,1)</f>
        <v>1</v>
      </c>
      <c r="U3290" s="13">
        <f t="shared" si="3540"/>
        <v>1</v>
      </c>
      <c r="V3290" s="13">
        <f t="shared" si="3540"/>
        <v>0</v>
      </c>
      <c r="W3290" s="13">
        <f t="shared" si="3540"/>
        <v>0</v>
      </c>
      <c r="X3290" s="13">
        <f t="shared" si="3540"/>
        <v>0</v>
      </c>
      <c r="Y3290" s="13">
        <f t="shared" si="3540"/>
        <v>0</v>
      </c>
      <c r="Z3290" s="13">
        <f t="shared" si="3023"/>
        <v>1</v>
      </c>
      <c r="AA3290" s="13"/>
      <c r="AB3290" s="13"/>
      <c r="AC3290" s="13"/>
      <c r="AD3290" s="13"/>
      <c r="AE3290" s="13"/>
      <c r="AF3290" s="13"/>
      <c r="AG3290" s="13"/>
      <c r="AH3290" s="13"/>
      <c r="AI3290" s="13"/>
      <c r="AJ3290" s="13"/>
      <c r="AK3290" s="13"/>
      <c r="AL3290" s="13"/>
      <c r="AM3290" s="13"/>
      <c r="AN3290" s="13"/>
      <c r="AO3290" s="13"/>
      <c r="AP3290" s="13"/>
      <c r="AQ3290" s="13"/>
      <c r="AR3290" s="13"/>
      <c r="AS3290" s="13"/>
    </row>
    <row r="3291" ht="14.25" customHeight="1">
      <c r="A3291" s="13" t="s">
        <v>36</v>
      </c>
      <c r="B3291" s="13" t="s">
        <v>39</v>
      </c>
      <c r="C3291" s="13" t="s">
        <v>550</v>
      </c>
      <c r="D3291" s="13" t="s">
        <v>179</v>
      </c>
      <c r="F3291" s="13"/>
      <c r="G3291" s="13" t="s">
        <v>74</v>
      </c>
      <c r="H3291" s="13" t="s">
        <v>75</v>
      </c>
      <c r="I3291" s="13"/>
      <c r="J3291" s="13"/>
      <c r="K3291" s="15">
        <v>0.0</v>
      </c>
      <c r="L3291" s="15">
        <v>0.0</v>
      </c>
      <c r="M3291" s="16"/>
      <c r="N3291" s="16"/>
      <c r="O3291" s="17"/>
      <c r="P3291" s="17"/>
      <c r="Q3291" s="13">
        <f t="shared" si="3527"/>
        <v>2</v>
      </c>
      <c r="R3291" s="13"/>
      <c r="S3291" s="13"/>
      <c r="T3291" s="13">
        <f t="shared" ref="T3291:Y3291" si="3541">IF(ISBLANK(K3291)=TRUE,0,1)</f>
        <v>1</v>
      </c>
      <c r="U3291" s="13">
        <f t="shared" si="3541"/>
        <v>1</v>
      </c>
      <c r="V3291" s="13">
        <f t="shared" si="3541"/>
        <v>0</v>
      </c>
      <c r="W3291" s="13">
        <f t="shared" si="3541"/>
        <v>0</v>
      </c>
      <c r="X3291" s="13">
        <f t="shared" si="3541"/>
        <v>0</v>
      </c>
      <c r="Y3291" s="13">
        <f t="shared" si="3541"/>
        <v>0</v>
      </c>
      <c r="Z3291" s="13">
        <f t="shared" si="3023"/>
        <v>0</v>
      </c>
      <c r="AA3291" s="13"/>
      <c r="AB3291" s="13"/>
      <c r="AC3291" s="13"/>
      <c r="AD3291" s="13"/>
      <c r="AE3291" s="13"/>
      <c r="AF3291" s="13"/>
      <c r="AG3291" s="13"/>
      <c r="AH3291" s="13"/>
      <c r="AI3291" s="13"/>
      <c r="AJ3291" s="13"/>
      <c r="AK3291" s="13"/>
      <c r="AL3291" s="13"/>
      <c r="AM3291" s="13"/>
      <c r="AN3291" s="13"/>
      <c r="AO3291" s="13"/>
      <c r="AP3291" s="13"/>
      <c r="AQ3291" s="13"/>
      <c r="AR3291" s="13"/>
      <c r="AS3291" s="13"/>
    </row>
    <row r="3292" ht="14.25" customHeight="1">
      <c r="A3292" s="13" t="s">
        <v>36</v>
      </c>
      <c r="B3292" s="13" t="s">
        <v>41</v>
      </c>
      <c r="C3292" s="13" t="s">
        <v>1860</v>
      </c>
      <c r="D3292" s="13" t="s">
        <v>130</v>
      </c>
      <c r="F3292" s="13"/>
      <c r="G3292" s="13" t="s">
        <v>74</v>
      </c>
      <c r="H3292" s="13" t="s">
        <v>75</v>
      </c>
      <c r="I3292" s="13"/>
      <c r="J3292" s="13"/>
      <c r="K3292" s="15">
        <v>1.0</v>
      </c>
      <c r="L3292" s="15">
        <v>1.0</v>
      </c>
      <c r="M3292" s="16"/>
      <c r="N3292" s="16"/>
      <c r="O3292" s="17">
        <v>1.0</v>
      </c>
      <c r="P3292" s="17">
        <v>1.0</v>
      </c>
      <c r="Q3292" s="13">
        <f t="shared" si="3527"/>
        <v>0</v>
      </c>
      <c r="R3292" s="13"/>
      <c r="S3292" s="13"/>
      <c r="T3292" s="13">
        <f t="shared" ref="T3292:Y3292" si="3542">IF(ISBLANK(K3292)=TRUE,0,1)</f>
        <v>1</v>
      </c>
      <c r="U3292" s="13">
        <f t="shared" si="3542"/>
        <v>1</v>
      </c>
      <c r="V3292" s="13">
        <f t="shared" si="3542"/>
        <v>0</v>
      </c>
      <c r="W3292" s="13">
        <f t="shared" si="3542"/>
        <v>0</v>
      </c>
      <c r="X3292" s="13">
        <f t="shared" si="3542"/>
        <v>1</v>
      </c>
      <c r="Y3292" s="13">
        <f t="shared" si="3542"/>
        <v>1</v>
      </c>
      <c r="Z3292" s="13">
        <f t="shared" si="3023"/>
        <v>1</v>
      </c>
      <c r="AA3292" s="13"/>
      <c r="AB3292" s="13"/>
      <c r="AC3292" s="13"/>
      <c r="AD3292" s="13"/>
      <c r="AE3292" s="13"/>
      <c r="AF3292" s="13"/>
      <c r="AG3292" s="13"/>
      <c r="AH3292" s="13"/>
      <c r="AI3292" s="13"/>
      <c r="AJ3292" s="13"/>
      <c r="AK3292" s="13"/>
      <c r="AL3292" s="13"/>
      <c r="AM3292" s="13"/>
      <c r="AN3292" s="13"/>
      <c r="AO3292" s="13"/>
      <c r="AP3292" s="13"/>
      <c r="AQ3292" s="13"/>
      <c r="AR3292" s="13"/>
      <c r="AS3292" s="13"/>
    </row>
    <row r="3293" ht="14.25" customHeight="1">
      <c r="A3293" s="13" t="s">
        <v>36</v>
      </c>
      <c r="B3293" s="13" t="s">
        <v>41</v>
      </c>
      <c r="C3293" s="13" t="s">
        <v>1860</v>
      </c>
      <c r="D3293" s="13" t="s">
        <v>131</v>
      </c>
      <c r="F3293" s="13"/>
      <c r="G3293" s="13" t="s">
        <v>74</v>
      </c>
      <c r="H3293" s="13" t="s">
        <v>75</v>
      </c>
      <c r="I3293" s="13"/>
      <c r="J3293" s="13"/>
      <c r="K3293" s="15">
        <v>1.0</v>
      </c>
      <c r="L3293" s="15">
        <v>1.0</v>
      </c>
      <c r="M3293" s="16"/>
      <c r="N3293" s="16"/>
      <c r="O3293" s="17">
        <v>1.0</v>
      </c>
      <c r="P3293" s="17">
        <v>1.0</v>
      </c>
      <c r="Q3293" s="13">
        <f t="shared" si="3527"/>
        <v>3.166666667</v>
      </c>
      <c r="R3293" s="13"/>
      <c r="S3293" s="13"/>
      <c r="T3293" s="13">
        <f t="shared" ref="T3293:Y3293" si="3543">IF(ISBLANK(K3293)=TRUE,0,1)</f>
        <v>1</v>
      </c>
      <c r="U3293" s="13">
        <f t="shared" si="3543"/>
        <v>1</v>
      </c>
      <c r="V3293" s="13">
        <f t="shared" si="3543"/>
        <v>0</v>
      </c>
      <c r="W3293" s="13">
        <f t="shared" si="3543"/>
        <v>0</v>
      </c>
      <c r="X3293" s="13">
        <f t="shared" si="3543"/>
        <v>1</v>
      </c>
      <c r="Y3293" s="13">
        <f t="shared" si="3543"/>
        <v>1</v>
      </c>
      <c r="Z3293" s="13">
        <f t="shared" si="3023"/>
        <v>1</v>
      </c>
      <c r="AA3293" s="13"/>
      <c r="AB3293" s="13"/>
      <c r="AC3293" s="13"/>
      <c r="AD3293" s="13"/>
      <c r="AE3293" s="13"/>
      <c r="AF3293" s="13"/>
      <c r="AG3293" s="13"/>
      <c r="AH3293" s="13"/>
      <c r="AI3293" s="13"/>
      <c r="AJ3293" s="13"/>
      <c r="AK3293" s="13"/>
      <c r="AL3293" s="13"/>
      <c r="AM3293" s="13"/>
      <c r="AN3293" s="13"/>
      <c r="AO3293" s="13"/>
      <c r="AP3293" s="13"/>
      <c r="AQ3293" s="13"/>
      <c r="AR3293" s="13"/>
      <c r="AS3293" s="13"/>
    </row>
    <row r="3294" ht="14.25" customHeight="1">
      <c r="A3294" s="13" t="s">
        <v>36</v>
      </c>
      <c r="B3294" s="13" t="s">
        <v>41</v>
      </c>
      <c r="C3294" s="13" t="s">
        <v>1860</v>
      </c>
      <c r="D3294" s="13" t="s">
        <v>132</v>
      </c>
      <c r="F3294" s="13"/>
      <c r="G3294" s="13" t="s">
        <v>74</v>
      </c>
      <c r="H3294" s="13" t="s">
        <v>75</v>
      </c>
      <c r="I3294" s="13"/>
      <c r="J3294" s="13"/>
      <c r="K3294" s="15">
        <v>1.0</v>
      </c>
      <c r="L3294" s="15">
        <v>1.0</v>
      </c>
      <c r="M3294" s="16"/>
      <c r="N3294" s="16"/>
      <c r="O3294" s="17">
        <v>1.0</v>
      </c>
      <c r="P3294" s="17">
        <v>1.0</v>
      </c>
      <c r="Q3294" s="13">
        <f t="shared" si="3527"/>
        <v>3.166666667</v>
      </c>
      <c r="R3294" s="13"/>
      <c r="S3294" s="13"/>
      <c r="T3294" s="13">
        <f t="shared" ref="T3294:Y3294" si="3544">IF(ISBLANK(K3294)=TRUE,0,1)</f>
        <v>1</v>
      </c>
      <c r="U3294" s="13">
        <f t="shared" si="3544"/>
        <v>1</v>
      </c>
      <c r="V3294" s="13">
        <f t="shared" si="3544"/>
        <v>0</v>
      </c>
      <c r="W3294" s="13">
        <f t="shared" si="3544"/>
        <v>0</v>
      </c>
      <c r="X3294" s="13">
        <f t="shared" si="3544"/>
        <v>1</v>
      </c>
      <c r="Y3294" s="13">
        <f t="shared" si="3544"/>
        <v>1</v>
      </c>
      <c r="Z3294" s="13">
        <f t="shared" si="3023"/>
        <v>1</v>
      </c>
      <c r="AA3294" s="13"/>
      <c r="AB3294" s="13"/>
      <c r="AC3294" s="13"/>
      <c r="AD3294" s="13"/>
      <c r="AE3294" s="13"/>
      <c r="AF3294" s="13"/>
      <c r="AG3294" s="13"/>
      <c r="AH3294" s="13"/>
      <c r="AI3294" s="13"/>
      <c r="AJ3294" s="13"/>
      <c r="AK3294" s="13"/>
      <c r="AL3294" s="13"/>
      <c r="AM3294" s="13"/>
      <c r="AN3294" s="13"/>
      <c r="AO3294" s="13"/>
      <c r="AP3294" s="13"/>
      <c r="AQ3294" s="13"/>
      <c r="AR3294" s="13"/>
      <c r="AS3294" s="13"/>
    </row>
    <row r="3295" ht="14.25" customHeight="1">
      <c r="A3295" s="13" t="s">
        <v>36</v>
      </c>
      <c r="B3295" s="13" t="s">
        <v>39</v>
      </c>
      <c r="C3295" s="13" t="s">
        <v>550</v>
      </c>
      <c r="D3295" s="13" t="s">
        <v>180</v>
      </c>
      <c r="F3295" s="13"/>
      <c r="G3295" s="13" t="s">
        <v>74</v>
      </c>
      <c r="H3295" s="13" t="s">
        <v>75</v>
      </c>
      <c r="I3295" s="13"/>
      <c r="J3295" s="13"/>
      <c r="K3295" s="15">
        <v>0.0</v>
      </c>
      <c r="L3295" s="15">
        <v>0.0</v>
      </c>
      <c r="M3295" s="16"/>
      <c r="N3295" s="16"/>
      <c r="O3295" s="17"/>
      <c r="P3295" s="17"/>
      <c r="Q3295" s="13">
        <f t="shared" si="3527"/>
        <v>3.166666667</v>
      </c>
      <c r="R3295" s="13"/>
      <c r="S3295" s="13"/>
      <c r="T3295" s="13">
        <f t="shared" ref="T3295:Y3295" si="3545">IF(ISBLANK(K3295)=TRUE,0,1)</f>
        <v>1</v>
      </c>
      <c r="U3295" s="13">
        <f t="shared" si="3545"/>
        <v>1</v>
      </c>
      <c r="V3295" s="13">
        <f t="shared" si="3545"/>
        <v>0</v>
      </c>
      <c r="W3295" s="13">
        <f t="shared" si="3545"/>
        <v>0</v>
      </c>
      <c r="X3295" s="13">
        <f t="shared" si="3545"/>
        <v>0</v>
      </c>
      <c r="Y3295" s="13">
        <f t="shared" si="3545"/>
        <v>0</v>
      </c>
      <c r="Z3295" s="13">
        <f t="shared" si="3023"/>
        <v>0</v>
      </c>
      <c r="AA3295" s="13"/>
      <c r="AB3295" s="13"/>
      <c r="AC3295" s="13"/>
      <c r="AD3295" s="13"/>
      <c r="AE3295" s="13"/>
      <c r="AF3295" s="13"/>
      <c r="AG3295" s="13"/>
      <c r="AH3295" s="13"/>
      <c r="AI3295" s="13"/>
      <c r="AJ3295" s="13"/>
      <c r="AK3295" s="13"/>
      <c r="AL3295" s="13"/>
      <c r="AM3295" s="13"/>
      <c r="AN3295" s="13"/>
      <c r="AO3295" s="13"/>
      <c r="AP3295" s="13"/>
      <c r="AQ3295" s="13"/>
      <c r="AR3295" s="13"/>
      <c r="AS3295" s="13"/>
    </row>
    <row r="3296" ht="14.25" customHeight="1">
      <c r="A3296" s="13" t="s">
        <v>36</v>
      </c>
      <c r="B3296" s="13" t="s">
        <v>37</v>
      </c>
      <c r="C3296" s="13" t="s">
        <v>1859</v>
      </c>
      <c r="D3296" s="13" t="s">
        <v>168</v>
      </c>
      <c r="F3296" s="13"/>
      <c r="G3296" s="13" t="s">
        <v>74</v>
      </c>
      <c r="H3296" s="13" t="s">
        <v>75</v>
      </c>
      <c r="I3296" s="13"/>
      <c r="J3296" s="13"/>
      <c r="K3296" s="15">
        <v>1.0</v>
      </c>
      <c r="L3296" s="15">
        <v>1.0</v>
      </c>
      <c r="M3296" s="16"/>
      <c r="N3296" s="16"/>
      <c r="O3296" s="17"/>
      <c r="P3296" s="17"/>
      <c r="Q3296" s="13">
        <f t="shared" si="3527"/>
        <v>0</v>
      </c>
      <c r="R3296" s="13"/>
      <c r="S3296" s="13"/>
      <c r="T3296" s="13">
        <f t="shared" ref="T3296:Y3296" si="3546">IF(ISBLANK(K3296)=TRUE,0,1)</f>
        <v>1</v>
      </c>
      <c r="U3296" s="13">
        <f t="shared" si="3546"/>
        <v>1</v>
      </c>
      <c r="V3296" s="13">
        <f t="shared" si="3546"/>
        <v>0</v>
      </c>
      <c r="W3296" s="13">
        <f t="shared" si="3546"/>
        <v>0</v>
      </c>
      <c r="X3296" s="13">
        <f t="shared" si="3546"/>
        <v>0</v>
      </c>
      <c r="Y3296" s="13">
        <f t="shared" si="3546"/>
        <v>0</v>
      </c>
      <c r="Z3296" s="13">
        <f t="shared" si="3023"/>
        <v>1</v>
      </c>
      <c r="AA3296" s="13"/>
      <c r="AB3296" s="13"/>
      <c r="AC3296" s="13"/>
      <c r="AD3296" s="13"/>
      <c r="AE3296" s="13"/>
      <c r="AF3296" s="13"/>
      <c r="AG3296" s="13"/>
      <c r="AH3296" s="13"/>
      <c r="AI3296" s="13"/>
      <c r="AJ3296" s="13"/>
      <c r="AK3296" s="13"/>
      <c r="AL3296" s="13"/>
      <c r="AM3296" s="13"/>
      <c r="AN3296" s="13"/>
      <c r="AO3296" s="13"/>
      <c r="AP3296" s="13"/>
      <c r="AQ3296" s="13"/>
      <c r="AR3296" s="13"/>
      <c r="AS3296" s="13"/>
    </row>
    <row r="3297" ht="14.25" customHeight="1">
      <c r="A3297" s="13" t="s">
        <v>36</v>
      </c>
      <c r="B3297" s="13" t="s">
        <v>37</v>
      </c>
      <c r="C3297" s="13" t="s">
        <v>1966</v>
      </c>
      <c r="D3297" s="13"/>
      <c r="F3297" s="13"/>
      <c r="G3297" s="13" t="s">
        <v>74</v>
      </c>
      <c r="H3297" s="13" t="s">
        <v>75</v>
      </c>
      <c r="I3297" s="14">
        <v>44862.0</v>
      </c>
      <c r="J3297" s="14"/>
      <c r="K3297" s="15"/>
      <c r="L3297" s="15"/>
      <c r="M3297" s="16"/>
      <c r="N3297" s="16"/>
      <c r="O3297" s="17">
        <v>1.0</v>
      </c>
      <c r="P3297" s="17">
        <v>1.0</v>
      </c>
      <c r="Q3297" s="13">
        <f t="shared" si="3527"/>
        <v>2</v>
      </c>
      <c r="R3297" s="13"/>
      <c r="S3297" s="13"/>
      <c r="T3297" s="13">
        <f t="shared" ref="T3297:Y3297" si="3547">IF(ISBLANK(K3297)=TRUE,0,1)</f>
        <v>0</v>
      </c>
      <c r="U3297" s="13">
        <f t="shared" si="3547"/>
        <v>0</v>
      </c>
      <c r="V3297" s="13">
        <f t="shared" si="3547"/>
        <v>0</v>
      </c>
      <c r="W3297" s="13">
        <f t="shared" si="3547"/>
        <v>0</v>
      </c>
      <c r="X3297" s="13">
        <f t="shared" si="3547"/>
        <v>1</v>
      </c>
      <c r="Y3297" s="13">
        <f t="shared" si="3547"/>
        <v>1</v>
      </c>
      <c r="Z3297" s="13">
        <f t="shared" si="3023"/>
        <v>1</v>
      </c>
      <c r="AA3297" s="13"/>
      <c r="AB3297" s="13"/>
      <c r="AC3297" s="13"/>
      <c r="AD3297" s="13"/>
      <c r="AE3297" s="13"/>
      <c r="AF3297" s="13"/>
      <c r="AG3297" s="13"/>
      <c r="AH3297" s="13"/>
      <c r="AI3297" s="13"/>
      <c r="AJ3297" s="13"/>
      <c r="AK3297" s="13"/>
      <c r="AL3297" s="13"/>
      <c r="AM3297" s="13"/>
      <c r="AN3297" s="13"/>
      <c r="AO3297" s="13"/>
      <c r="AP3297" s="13"/>
      <c r="AQ3297" s="13"/>
      <c r="AR3297" s="13"/>
      <c r="AS3297" s="13"/>
    </row>
    <row r="3298" ht="14.25" customHeight="1">
      <c r="A3298" s="13" t="s">
        <v>36</v>
      </c>
      <c r="B3298" s="13" t="s">
        <v>39</v>
      </c>
      <c r="C3298" s="13" t="s">
        <v>550</v>
      </c>
      <c r="D3298" s="13" t="s">
        <v>181</v>
      </c>
      <c r="F3298" s="13"/>
      <c r="G3298" s="13" t="s">
        <v>74</v>
      </c>
      <c r="H3298" s="13" t="s">
        <v>75</v>
      </c>
      <c r="I3298" s="13"/>
      <c r="J3298" s="13"/>
      <c r="K3298" s="15">
        <v>0.0</v>
      </c>
      <c r="L3298" s="15">
        <v>0.0</v>
      </c>
      <c r="M3298" s="16"/>
      <c r="N3298" s="16"/>
      <c r="O3298" s="17"/>
      <c r="P3298" s="17"/>
      <c r="Q3298" s="13">
        <f t="shared" si="3527"/>
        <v>1.166666667</v>
      </c>
      <c r="R3298" s="13"/>
      <c r="S3298" s="13"/>
      <c r="T3298" s="13">
        <f t="shared" ref="T3298:Y3298" si="3548">IF(ISBLANK(K3298)=TRUE,0,1)</f>
        <v>1</v>
      </c>
      <c r="U3298" s="13">
        <f t="shared" si="3548"/>
        <v>1</v>
      </c>
      <c r="V3298" s="13">
        <f t="shared" si="3548"/>
        <v>0</v>
      </c>
      <c r="W3298" s="13">
        <f t="shared" si="3548"/>
        <v>0</v>
      </c>
      <c r="X3298" s="13">
        <f t="shared" si="3548"/>
        <v>0</v>
      </c>
      <c r="Y3298" s="13">
        <f t="shared" si="3548"/>
        <v>0</v>
      </c>
      <c r="Z3298" s="13">
        <f t="shared" si="3023"/>
        <v>0</v>
      </c>
      <c r="AA3298" s="13"/>
      <c r="AB3298" s="13"/>
      <c r="AC3298" s="13"/>
      <c r="AD3298" s="13"/>
      <c r="AE3298" s="13"/>
      <c r="AF3298" s="13"/>
      <c r="AG3298" s="13"/>
      <c r="AH3298" s="13"/>
      <c r="AI3298" s="13"/>
      <c r="AJ3298" s="13"/>
      <c r="AK3298" s="13"/>
      <c r="AL3298" s="13"/>
      <c r="AM3298" s="13"/>
      <c r="AN3298" s="13"/>
      <c r="AO3298" s="13"/>
      <c r="AP3298" s="13"/>
      <c r="AQ3298" s="13"/>
      <c r="AR3298" s="13"/>
      <c r="AS3298" s="13"/>
    </row>
    <row r="3299" ht="14.25" customHeight="1">
      <c r="A3299" s="13" t="s">
        <v>36</v>
      </c>
      <c r="B3299" s="13" t="s">
        <v>41</v>
      </c>
      <c r="C3299" s="13" t="s">
        <v>1860</v>
      </c>
      <c r="D3299" s="13" t="s">
        <v>133</v>
      </c>
      <c r="F3299" s="13"/>
      <c r="G3299" s="13" t="s">
        <v>74</v>
      </c>
      <c r="H3299" s="13" t="s">
        <v>75</v>
      </c>
      <c r="I3299" s="13"/>
      <c r="J3299" s="13"/>
      <c r="K3299" s="15">
        <v>1.0</v>
      </c>
      <c r="L3299" s="15">
        <v>1.0</v>
      </c>
      <c r="M3299" s="16"/>
      <c r="N3299" s="16"/>
      <c r="O3299" s="17">
        <v>1.0</v>
      </c>
      <c r="P3299" s="17">
        <v>1.0</v>
      </c>
      <c r="Q3299" s="13">
        <f t="shared" si="3527"/>
        <v>0</v>
      </c>
      <c r="R3299" s="13"/>
      <c r="S3299" s="13"/>
      <c r="T3299" s="13">
        <f t="shared" ref="T3299:Y3299" si="3549">IF(ISBLANK(K3299)=TRUE,0,1)</f>
        <v>1</v>
      </c>
      <c r="U3299" s="13">
        <f t="shared" si="3549"/>
        <v>1</v>
      </c>
      <c r="V3299" s="13">
        <f t="shared" si="3549"/>
        <v>0</v>
      </c>
      <c r="W3299" s="13">
        <f t="shared" si="3549"/>
        <v>0</v>
      </c>
      <c r="X3299" s="13">
        <f t="shared" si="3549"/>
        <v>1</v>
      </c>
      <c r="Y3299" s="13">
        <f t="shared" si="3549"/>
        <v>1</v>
      </c>
      <c r="Z3299" s="13">
        <f t="shared" si="3023"/>
        <v>1</v>
      </c>
      <c r="AA3299" s="13"/>
      <c r="AB3299" s="13"/>
      <c r="AC3299" s="13"/>
      <c r="AD3299" s="13"/>
      <c r="AE3299" s="13"/>
      <c r="AF3299" s="13"/>
      <c r="AG3299" s="13"/>
      <c r="AH3299" s="13"/>
      <c r="AI3299" s="13"/>
      <c r="AJ3299" s="13"/>
      <c r="AK3299" s="13"/>
      <c r="AL3299" s="13"/>
      <c r="AM3299" s="13"/>
      <c r="AN3299" s="13"/>
      <c r="AO3299" s="13"/>
      <c r="AP3299" s="13"/>
      <c r="AQ3299" s="13"/>
      <c r="AR3299" s="13"/>
      <c r="AS3299" s="13"/>
    </row>
    <row r="3300" ht="14.25" customHeight="1">
      <c r="A3300" s="13" t="s">
        <v>36</v>
      </c>
      <c r="B3300" s="13" t="s">
        <v>41</v>
      </c>
      <c r="C3300" s="13" t="s">
        <v>1860</v>
      </c>
      <c r="D3300" s="13" t="s">
        <v>134</v>
      </c>
      <c r="F3300" s="13"/>
      <c r="G3300" s="13" t="s">
        <v>74</v>
      </c>
      <c r="H3300" s="13" t="s">
        <v>75</v>
      </c>
      <c r="I3300" s="13"/>
      <c r="J3300" s="13"/>
      <c r="K3300" s="15">
        <v>1.0</v>
      </c>
      <c r="L3300" s="15">
        <v>1.0</v>
      </c>
      <c r="M3300" s="16"/>
      <c r="N3300" s="16"/>
      <c r="O3300" s="17">
        <v>1.0</v>
      </c>
      <c r="P3300" s="17">
        <v>1.0</v>
      </c>
      <c r="Q3300" s="13">
        <f t="shared" si="3527"/>
        <v>3.166666667</v>
      </c>
      <c r="R3300" s="13"/>
      <c r="S3300" s="13"/>
      <c r="T3300" s="13">
        <f t="shared" ref="T3300:Y3300" si="3550">IF(ISBLANK(K3300)=TRUE,0,1)</f>
        <v>1</v>
      </c>
      <c r="U3300" s="13">
        <f t="shared" si="3550"/>
        <v>1</v>
      </c>
      <c r="V3300" s="13">
        <f t="shared" si="3550"/>
        <v>0</v>
      </c>
      <c r="W3300" s="13">
        <f t="shared" si="3550"/>
        <v>0</v>
      </c>
      <c r="X3300" s="13">
        <f t="shared" si="3550"/>
        <v>1</v>
      </c>
      <c r="Y3300" s="13">
        <f t="shared" si="3550"/>
        <v>1</v>
      </c>
      <c r="Z3300" s="13">
        <f t="shared" si="3023"/>
        <v>1</v>
      </c>
      <c r="AA3300" s="13"/>
      <c r="AB3300" s="13"/>
      <c r="AC3300" s="13"/>
      <c r="AD3300" s="13"/>
      <c r="AE3300" s="13"/>
      <c r="AF3300" s="13"/>
      <c r="AG3300" s="13"/>
      <c r="AH3300" s="13"/>
      <c r="AI3300" s="13"/>
      <c r="AJ3300" s="13"/>
      <c r="AK3300" s="13"/>
      <c r="AL3300" s="13"/>
      <c r="AM3300" s="13"/>
      <c r="AN3300" s="13"/>
      <c r="AO3300" s="13"/>
      <c r="AP3300" s="13"/>
      <c r="AQ3300" s="13"/>
      <c r="AR3300" s="13"/>
      <c r="AS3300" s="13"/>
    </row>
    <row r="3301" ht="14.25" customHeight="1">
      <c r="A3301" s="13" t="s">
        <v>36</v>
      </c>
      <c r="B3301" s="13" t="s">
        <v>39</v>
      </c>
      <c r="C3301" s="13" t="s">
        <v>550</v>
      </c>
      <c r="D3301" s="13" t="s">
        <v>182</v>
      </c>
      <c r="F3301" s="13"/>
      <c r="G3301" s="13" t="s">
        <v>74</v>
      </c>
      <c r="H3301" s="13" t="s">
        <v>75</v>
      </c>
      <c r="I3301" s="13"/>
      <c r="J3301" s="13"/>
      <c r="K3301" s="15">
        <v>0.0</v>
      </c>
      <c r="L3301" s="15">
        <v>0.0</v>
      </c>
      <c r="M3301" s="16"/>
      <c r="N3301" s="16"/>
      <c r="O3301" s="17"/>
      <c r="P3301" s="17"/>
      <c r="Q3301" s="13">
        <f t="shared" si="3527"/>
        <v>3.166666667</v>
      </c>
      <c r="R3301" s="13"/>
      <c r="S3301" s="13"/>
      <c r="T3301" s="13">
        <f t="shared" ref="T3301:Y3301" si="3551">IF(ISBLANK(K3301)=TRUE,0,1)</f>
        <v>1</v>
      </c>
      <c r="U3301" s="13">
        <f t="shared" si="3551"/>
        <v>1</v>
      </c>
      <c r="V3301" s="13">
        <f t="shared" si="3551"/>
        <v>0</v>
      </c>
      <c r="W3301" s="13">
        <f t="shared" si="3551"/>
        <v>0</v>
      </c>
      <c r="X3301" s="13">
        <f t="shared" si="3551"/>
        <v>0</v>
      </c>
      <c r="Y3301" s="13">
        <f t="shared" si="3551"/>
        <v>0</v>
      </c>
      <c r="Z3301" s="13">
        <f t="shared" si="3023"/>
        <v>0</v>
      </c>
      <c r="AA3301" s="13"/>
      <c r="AB3301" s="13"/>
      <c r="AC3301" s="13"/>
      <c r="AD3301" s="13"/>
      <c r="AE3301" s="13"/>
      <c r="AF3301" s="13"/>
      <c r="AG3301" s="13"/>
      <c r="AH3301" s="13"/>
      <c r="AI3301" s="13"/>
      <c r="AJ3301" s="13"/>
      <c r="AK3301" s="13"/>
      <c r="AL3301" s="13"/>
      <c r="AM3301" s="13"/>
      <c r="AN3301" s="13"/>
      <c r="AO3301" s="13"/>
      <c r="AP3301" s="13"/>
      <c r="AQ3301" s="13"/>
      <c r="AR3301" s="13"/>
      <c r="AS3301" s="13"/>
    </row>
    <row r="3302" ht="14.25" customHeight="1">
      <c r="A3302" s="13" t="s">
        <v>36</v>
      </c>
      <c r="B3302" s="13" t="s">
        <v>39</v>
      </c>
      <c r="C3302" s="13" t="s">
        <v>550</v>
      </c>
      <c r="D3302" s="13" t="s">
        <v>183</v>
      </c>
      <c r="F3302" s="13"/>
      <c r="G3302" s="13" t="s">
        <v>74</v>
      </c>
      <c r="H3302" s="13" t="s">
        <v>75</v>
      </c>
      <c r="I3302" s="13"/>
      <c r="J3302" s="13"/>
      <c r="K3302" s="15">
        <v>0.0</v>
      </c>
      <c r="L3302" s="15">
        <v>0.0</v>
      </c>
      <c r="M3302" s="16"/>
      <c r="N3302" s="16"/>
      <c r="O3302" s="17"/>
      <c r="P3302" s="17"/>
      <c r="Q3302" s="13">
        <f t="shared" si="3527"/>
        <v>0</v>
      </c>
      <c r="R3302" s="13"/>
      <c r="S3302" s="13"/>
      <c r="T3302" s="13">
        <f t="shared" ref="T3302:Y3302" si="3552">IF(ISBLANK(K3302)=TRUE,0,1)</f>
        <v>1</v>
      </c>
      <c r="U3302" s="13">
        <f t="shared" si="3552"/>
        <v>1</v>
      </c>
      <c r="V3302" s="13">
        <f t="shared" si="3552"/>
        <v>0</v>
      </c>
      <c r="W3302" s="13">
        <f t="shared" si="3552"/>
        <v>0</v>
      </c>
      <c r="X3302" s="13">
        <f t="shared" si="3552"/>
        <v>0</v>
      </c>
      <c r="Y3302" s="13">
        <f t="shared" si="3552"/>
        <v>0</v>
      </c>
      <c r="Z3302" s="13">
        <f t="shared" si="3023"/>
        <v>0</v>
      </c>
      <c r="AA3302" s="13"/>
      <c r="AB3302" s="13"/>
      <c r="AC3302" s="13"/>
      <c r="AD3302" s="13"/>
      <c r="AE3302" s="13"/>
      <c r="AF3302" s="13"/>
      <c r="AG3302" s="13"/>
      <c r="AH3302" s="13"/>
      <c r="AI3302" s="13"/>
      <c r="AJ3302" s="13"/>
      <c r="AK3302" s="13"/>
      <c r="AL3302" s="13"/>
      <c r="AM3302" s="13"/>
      <c r="AN3302" s="13"/>
      <c r="AO3302" s="13"/>
      <c r="AP3302" s="13"/>
      <c r="AQ3302" s="13"/>
      <c r="AR3302" s="13"/>
      <c r="AS3302" s="13"/>
    </row>
    <row r="3303" ht="14.25" customHeight="1">
      <c r="A3303" s="13" t="s">
        <v>36</v>
      </c>
      <c r="B3303" s="13" t="s">
        <v>39</v>
      </c>
      <c r="C3303" s="13" t="s">
        <v>550</v>
      </c>
      <c r="D3303" s="13" t="s">
        <v>184</v>
      </c>
      <c r="F3303" s="13"/>
      <c r="G3303" s="13" t="s">
        <v>74</v>
      </c>
      <c r="H3303" s="13" t="s">
        <v>75</v>
      </c>
      <c r="I3303" s="13"/>
      <c r="J3303" s="13"/>
      <c r="K3303" s="15">
        <v>0.0</v>
      </c>
      <c r="L3303" s="15">
        <v>0.0</v>
      </c>
      <c r="M3303" s="16"/>
      <c r="N3303" s="16"/>
      <c r="O3303" s="17"/>
      <c r="P3303" s="17"/>
      <c r="Q3303" s="13">
        <f t="shared" si="3527"/>
        <v>0</v>
      </c>
      <c r="R3303" s="13"/>
      <c r="S3303" s="13"/>
      <c r="T3303" s="13">
        <f t="shared" ref="T3303:Y3303" si="3553">IF(ISBLANK(K3303)=TRUE,0,1)</f>
        <v>1</v>
      </c>
      <c r="U3303" s="13">
        <f t="shared" si="3553"/>
        <v>1</v>
      </c>
      <c r="V3303" s="13">
        <f t="shared" si="3553"/>
        <v>0</v>
      </c>
      <c r="W3303" s="13">
        <f t="shared" si="3553"/>
        <v>0</v>
      </c>
      <c r="X3303" s="13">
        <f t="shared" si="3553"/>
        <v>0</v>
      </c>
      <c r="Y3303" s="13">
        <f t="shared" si="3553"/>
        <v>0</v>
      </c>
      <c r="Z3303" s="13">
        <f t="shared" si="3023"/>
        <v>0</v>
      </c>
      <c r="AA3303" s="13"/>
      <c r="AB3303" s="13"/>
      <c r="AC3303" s="13"/>
      <c r="AD3303" s="13"/>
      <c r="AE3303" s="13"/>
      <c r="AF3303" s="13"/>
      <c r="AG3303" s="13"/>
      <c r="AH3303" s="13"/>
      <c r="AI3303" s="13"/>
      <c r="AJ3303" s="13"/>
      <c r="AK3303" s="13"/>
      <c r="AL3303" s="13"/>
      <c r="AM3303" s="13"/>
      <c r="AN3303" s="13"/>
      <c r="AO3303" s="13"/>
      <c r="AP3303" s="13"/>
      <c r="AQ3303" s="13"/>
      <c r="AR3303" s="13"/>
      <c r="AS3303" s="13"/>
    </row>
    <row r="3304" ht="14.25" customHeight="1">
      <c r="A3304" s="13" t="s">
        <v>36</v>
      </c>
      <c r="B3304" s="13" t="s">
        <v>37</v>
      </c>
      <c r="C3304" s="13" t="s">
        <v>607</v>
      </c>
      <c r="D3304" s="13" t="s">
        <v>174</v>
      </c>
      <c r="F3304" s="13"/>
      <c r="G3304" s="13" t="s">
        <v>111</v>
      </c>
      <c r="H3304" s="13" t="s">
        <v>75</v>
      </c>
      <c r="I3304" s="13"/>
      <c r="J3304" s="13"/>
      <c r="K3304" s="15">
        <v>0.0</v>
      </c>
      <c r="L3304" s="15">
        <v>0.0</v>
      </c>
      <c r="M3304" s="16"/>
      <c r="N3304" s="16"/>
      <c r="O3304" s="17"/>
      <c r="P3304" s="17"/>
      <c r="Q3304" s="13">
        <f t="shared" si="3527"/>
        <v>0</v>
      </c>
      <c r="R3304" s="13"/>
      <c r="S3304" s="13"/>
      <c r="T3304" s="13">
        <f t="shared" ref="T3304:Y3304" si="3554">IF(ISBLANK(K3304)=TRUE,0,1)</f>
        <v>1</v>
      </c>
      <c r="U3304" s="13">
        <f t="shared" si="3554"/>
        <v>1</v>
      </c>
      <c r="V3304" s="13">
        <f t="shared" si="3554"/>
        <v>0</v>
      </c>
      <c r="W3304" s="13">
        <f t="shared" si="3554"/>
        <v>0</v>
      </c>
      <c r="X3304" s="13">
        <f t="shared" si="3554"/>
        <v>0</v>
      </c>
      <c r="Y3304" s="13">
        <f t="shared" si="3554"/>
        <v>0</v>
      </c>
      <c r="Z3304" s="13">
        <f t="shared" si="3023"/>
        <v>0</v>
      </c>
      <c r="AA3304" s="13"/>
      <c r="AB3304" s="13"/>
      <c r="AC3304" s="13"/>
      <c r="AD3304" s="13"/>
      <c r="AE3304" s="13"/>
      <c r="AF3304" s="13"/>
      <c r="AG3304" s="13"/>
      <c r="AH3304" s="13"/>
      <c r="AI3304" s="13"/>
      <c r="AJ3304" s="13"/>
      <c r="AK3304" s="13"/>
      <c r="AL3304" s="13"/>
      <c r="AM3304" s="13"/>
      <c r="AN3304" s="13"/>
      <c r="AO3304" s="13"/>
      <c r="AP3304" s="13"/>
      <c r="AQ3304" s="13"/>
      <c r="AR3304" s="13"/>
      <c r="AS3304" s="13"/>
    </row>
    <row r="3305" ht="14.25" customHeight="1">
      <c r="A3305" s="13" t="s">
        <v>29</v>
      </c>
      <c r="B3305" s="13" t="s">
        <v>32</v>
      </c>
      <c r="C3305" s="13" t="s">
        <v>167</v>
      </c>
      <c r="D3305" s="13" t="s">
        <v>174</v>
      </c>
      <c r="F3305" s="13"/>
      <c r="G3305" s="13" t="s">
        <v>111</v>
      </c>
      <c r="H3305" s="13" t="s">
        <v>75</v>
      </c>
      <c r="I3305" s="13"/>
      <c r="J3305" s="13"/>
      <c r="K3305" s="15"/>
      <c r="L3305" s="15"/>
      <c r="M3305" s="16">
        <v>0.0</v>
      </c>
      <c r="N3305" s="16">
        <v>0.0</v>
      </c>
      <c r="O3305" s="17">
        <v>0.0</v>
      </c>
      <c r="P3305" s="17">
        <v>0.0</v>
      </c>
      <c r="Q3305" s="13"/>
      <c r="R3305" s="13"/>
      <c r="S3305" s="13"/>
      <c r="T3305" s="13">
        <f t="shared" ref="T3305:Y3305" si="3555">IF(ISBLANK(K3305)=TRUE,0,1)</f>
        <v>0</v>
      </c>
      <c r="U3305" s="13">
        <f t="shared" si="3555"/>
        <v>0</v>
      </c>
      <c r="V3305" s="13">
        <f t="shared" si="3555"/>
        <v>1</v>
      </c>
      <c r="W3305" s="13">
        <f t="shared" si="3555"/>
        <v>1</v>
      </c>
      <c r="X3305" s="13">
        <f t="shared" si="3555"/>
        <v>1</v>
      </c>
      <c r="Y3305" s="13">
        <f t="shared" si="3555"/>
        <v>1</v>
      </c>
      <c r="Z3305" s="13">
        <f t="shared" si="3023"/>
        <v>0</v>
      </c>
      <c r="AA3305" s="13"/>
      <c r="AB3305" s="13"/>
      <c r="AC3305" s="13"/>
      <c r="AD3305" s="13"/>
      <c r="AE3305" s="13"/>
      <c r="AF3305" s="13"/>
      <c r="AG3305" s="13"/>
      <c r="AH3305" s="13"/>
      <c r="AI3305" s="13"/>
      <c r="AJ3305" s="13"/>
      <c r="AK3305" s="13"/>
      <c r="AL3305" s="13"/>
      <c r="AM3305" s="13"/>
      <c r="AN3305" s="13"/>
      <c r="AO3305" s="13"/>
      <c r="AP3305" s="13"/>
      <c r="AQ3305" s="13"/>
      <c r="AR3305" s="13"/>
      <c r="AS3305" s="13"/>
    </row>
    <row r="3306" ht="14.25" customHeight="1">
      <c r="A3306" s="13" t="s">
        <v>29</v>
      </c>
      <c r="B3306" s="13" t="s">
        <v>32</v>
      </c>
      <c r="C3306" s="13" t="s">
        <v>167</v>
      </c>
      <c r="D3306" s="13" t="s">
        <v>175</v>
      </c>
      <c r="F3306" s="13"/>
      <c r="G3306" s="13" t="s">
        <v>111</v>
      </c>
      <c r="H3306" s="13" t="s">
        <v>75</v>
      </c>
      <c r="I3306" s="13"/>
      <c r="J3306" s="13"/>
      <c r="K3306" s="15"/>
      <c r="L3306" s="15"/>
      <c r="M3306" s="16">
        <v>0.0</v>
      </c>
      <c r="N3306" s="16">
        <v>0.0</v>
      </c>
      <c r="O3306" s="17">
        <v>0.0</v>
      </c>
      <c r="P3306" s="17">
        <v>0.0</v>
      </c>
      <c r="Q3306" s="13"/>
      <c r="R3306" s="13"/>
      <c r="S3306" s="13"/>
      <c r="T3306" s="13">
        <f t="shared" ref="T3306:Y3306" si="3556">IF(ISBLANK(K3306)=TRUE,0,1)</f>
        <v>0</v>
      </c>
      <c r="U3306" s="13">
        <f t="shared" si="3556"/>
        <v>0</v>
      </c>
      <c r="V3306" s="13">
        <f t="shared" si="3556"/>
        <v>1</v>
      </c>
      <c r="W3306" s="13">
        <f t="shared" si="3556"/>
        <v>1</v>
      </c>
      <c r="X3306" s="13">
        <f t="shared" si="3556"/>
        <v>1</v>
      </c>
      <c r="Y3306" s="13">
        <f t="shared" si="3556"/>
        <v>1</v>
      </c>
      <c r="Z3306" s="13">
        <f t="shared" si="3023"/>
        <v>0</v>
      </c>
      <c r="AA3306" s="13"/>
      <c r="AB3306" s="13"/>
      <c r="AC3306" s="13"/>
      <c r="AD3306" s="13"/>
      <c r="AE3306" s="13"/>
      <c r="AF3306" s="13"/>
      <c r="AG3306" s="13"/>
      <c r="AH3306" s="13"/>
      <c r="AI3306" s="13"/>
      <c r="AJ3306" s="13"/>
      <c r="AK3306" s="13"/>
      <c r="AL3306" s="13"/>
      <c r="AM3306" s="13"/>
      <c r="AN3306" s="13"/>
      <c r="AO3306" s="13"/>
      <c r="AP3306" s="13"/>
      <c r="AQ3306" s="13"/>
      <c r="AR3306" s="13"/>
      <c r="AS3306" s="13"/>
    </row>
    <row r="3307" ht="14.25" customHeight="1">
      <c r="A3307" s="13" t="s">
        <v>29</v>
      </c>
      <c r="B3307" s="13" t="s">
        <v>32</v>
      </c>
      <c r="C3307" s="13" t="s">
        <v>167</v>
      </c>
      <c r="D3307" s="13" t="s">
        <v>176</v>
      </c>
      <c r="F3307" s="13"/>
      <c r="G3307" s="13" t="s">
        <v>111</v>
      </c>
      <c r="H3307" s="13" t="s">
        <v>75</v>
      </c>
      <c r="I3307" s="13"/>
      <c r="J3307" s="13"/>
      <c r="K3307" s="15"/>
      <c r="L3307" s="15"/>
      <c r="M3307" s="16">
        <v>0.0</v>
      </c>
      <c r="N3307" s="16">
        <v>0.0</v>
      </c>
      <c r="O3307" s="17">
        <v>0.0</v>
      </c>
      <c r="P3307" s="17">
        <v>0.0</v>
      </c>
      <c r="Q3307" s="13"/>
      <c r="R3307" s="13"/>
      <c r="S3307" s="13"/>
      <c r="T3307" s="13">
        <f t="shared" ref="T3307:Y3307" si="3557">IF(ISBLANK(K3307)=TRUE,0,1)</f>
        <v>0</v>
      </c>
      <c r="U3307" s="13">
        <f t="shared" si="3557"/>
        <v>0</v>
      </c>
      <c r="V3307" s="13">
        <f t="shared" si="3557"/>
        <v>1</v>
      </c>
      <c r="W3307" s="13">
        <f t="shared" si="3557"/>
        <v>1</v>
      </c>
      <c r="X3307" s="13">
        <f t="shared" si="3557"/>
        <v>1</v>
      </c>
      <c r="Y3307" s="13">
        <f t="shared" si="3557"/>
        <v>1</v>
      </c>
      <c r="Z3307" s="13">
        <f t="shared" si="3023"/>
        <v>0</v>
      </c>
      <c r="AA3307" s="13"/>
      <c r="AB3307" s="13"/>
      <c r="AC3307" s="13"/>
      <c r="AD3307" s="13"/>
      <c r="AE3307" s="13"/>
      <c r="AF3307" s="13"/>
      <c r="AG3307" s="13"/>
      <c r="AH3307" s="13"/>
      <c r="AI3307" s="13"/>
      <c r="AJ3307" s="13"/>
      <c r="AK3307" s="13"/>
      <c r="AL3307" s="13"/>
      <c r="AM3307" s="13"/>
      <c r="AN3307" s="13"/>
      <c r="AO3307" s="13"/>
      <c r="AP3307" s="13"/>
      <c r="AQ3307" s="13"/>
      <c r="AR3307" s="13"/>
      <c r="AS3307" s="13"/>
    </row>
    <row r="3308" ht="14.25" customHeight="1">
      <c r="A3308" s="13" t="s">
        <v>29</v>
      </c>
      <c r="B3308" s="13" t="s">
        <v>32</v>
      </c>
      <c r="C3308" s="13" t="s">
        <v>167</v>
      </c>
      <c r="D3308" s="13" t="s">
        <v>177</v>
      </c>
      <c r="F3308" s="13"/>
      <c r="G3308" s="13" t="s">
        <v>111</v>
      </c>
      <c r="H3308" s="13" t="s">
        <v>75</v>
      </c>
      <c r="I3308" s="13"/>
      <c r="J3308" s="13"/>
      <c r="K3308" s="15"/>
      <c r="L3308" s="15"/>
      <c r="M3308" s="16">
        <v>0.0</v>
      </c>
      <c r="N3308" s="16">
        <v>0.0</v>
      </c>
      <c r="O3308" s="17">
        <v>0.0</v>
      </c>
      <c r="P3308" s="17">
        <v>0.0</v>
      </c>
      <c r="Q3308" s="13"/>
      <c r="R3308" s="13"/>
      <c r="S3308" s="13"/>
      <c r="T3308" s="13">
        <f t="shared" ref="T3308:Y3308" si="3558">IF(ISBLANK(K3308)=TRUE,0,1)</f>
        <v>0</v>
      </c>
      <c r="U3308" s="13">
        <f t="shared" si="3558"/>
        <v>0</v>
      </c>
      <c r="V3308" s="13">
        <f t="shared" si="3558"/>
        <v>1</v>
      </c>
      <c r="W3308" s="13">
        <f t="shared" si="3558"/>
        <v>1</v>
      </c>
      <c r="X3308" s="13">
        <f t="shared" si="3558"/>
        <v>1</v>
      </c>
      <c r="Y3308" s="13">
        <f t="shared" si="3558"/>
        <v>1</v>
      </c>
      <c r="Z3308" s="13">
        <f t="shared" si="3023"/>
        <v>0</v>
      </c>
      <c r="AA3308" s="13"/>
      <c r="AB3308" s="13"/>
      <c r="AC3308" s="13"/>
      <c r="AD3308" s="13"/>
      <c r="AE3308" s="13"/>
      <c r="AF3308" s="13"/>
      <c r="AG3308" s="13"/>
      <c r="AH3308" s="13"/>
      <c r="AI3308" s="13"/>
      <c r="AJ3308" s="13"/>
      <c r="AK3308" s="13"/>
      <c r="AL3308" s="13"/>
      <c r="AM3308" s="13"/>
      <c r="AN3308" s="13"/>
      <c r="AO3308" s="13"/>
      <c r="AP3308" s="13"/>
      <c r="AQ3308" s="13"/>
      <c r="AR3308" s="13"/>
      <c r="AS3308" s="13"/>
    </row>
    <row r="3309" ht="14.25" customHeight="1">
      <c r="A3309" s="13" t="s">
        <v>29</v>
      </c>
      <c r="B3309" s="13" t="s">
        <v>32</v>
      </c>
      <c r="C3309" s="13" t="s">
        <v>167</v>
      </c>
      <c r="D3309" s="13" t="s">
        <v>178</v>
      </c>
      <c r="F3309" s="13"/>
      <c r="G3309" s="13" t="s">
        <v>111</v>
      </c>
      <c r="H3309" s="13" t="s">
        <v>75</v>
      </c>
      <c r="I3309" s="13"/>
      <c r="J3309" s="13"/>
      <c r="K3309" s="15"/>
      <c r="L3309" s="15"/>
      <c r="M3309" s="16">
        <v>0.0</v>
      </c>
      <c r="N3309" s="16">
        <v>0.0</v>
      </c>
      <c r="O3309" s="17">
        <v>0.0</v>
      </c>
      <c r="P3309" s="17">
        <v>0.0</v>
      </c>
      <c r="Q3309" s="13"/>
      <c r="R3309" s="13"/>
      <c r="S3309" s="13"/>
      <c r="T3309" s="13">
        <f t="shared" ref="T3309:Y3309" si="3559">IF(ISBLANK(K3309)=TRUE,0,1)</f>
        <v>0</v>
      </c>
      <c r="U3309" s="13">
        <f t="shared" si="3559"/>
        <v>0</v>
      </c>
      <c r="V3309" s="13">
        <f t="shared" si="3559"/>
        <v>1</v>
      </c>
      <c r="W3309" s="13">
        <f t="shared" si="3559"/>
        <v>1</v>
      </c>
      <c r="X3309" s="13">
        <f t="shared" si="3559"/>
        <v>1</v>
      </c>
      <c r="Y3309" s="13">
        <f t="shared" si="3559"/>
        <v>1</v>
      </c>
      <c r="Z3309" s="13">
        <f t="shared" si="3023"/>
        <v>0</v>
      </c>
      <c r="AA3309" s="13"/>
      <c r="AB3309" s="13"/>
      <c r="AC3309" s="13"/>
      <c r="AD3309" s="13"/>
      <c r="AE3309" s="13"/>
      <c r="AF3309" s="13"/>
      <c r="AG3309" s="13"/>
      <c r="AH3309" s="13"/>
      <c r="AI3309" s="13"/>
      <c r="AJ3309" s="13"/>
      <c r="AK3309" s="13"/>
      <c r="AL3309" s="13"/>
      <c r="AM3309" s="13"/>
      <c r="AN3309" s="13"/>
      <c r="AO3309" s="13"/>
      <c r="AP3309" s="13"/>
      <c r="AQ3309" s="13"/>
      <c r="AR3309" s="13"/>
      <c r="AS3309" s="13"/>
    </row>
    <row r="3310" ht="14.25" customHeight="1">
      <c r="A3310" s="13" t="s">
        <v>29</v>
      </c>
      <c r="B3310" s="13" t="s">
        <v>32</v>
      </c>
      <c r="C3310" s="13" t="s">
        <v>167</v>
      </c>
      <c r="D3310" s="13" t="s">
        <v>179</v>
      </c>
      <c r="F3310" s="13"/>
      <c r="G3310" s="13" t="s">
        <v>111</v>
      </c>
      <c r="H3310" s="13" t="s">
        <v>75</v>
      </c>
      <c r="I3310" s="13"/>
      <c r="J3310" s="13"/>
      <c r="K3310" s="15"/>
      <c r="L3310" s="15"/>
      <c r="M3310" s="16">
        <v>0.0</v>
      </c>
      <c r="N3310" s="16">
        <v>0.0</v>
      </c>
      <c r="O3310" s="17">
        <v>0.0</v>
      </c>
      <c r="P3310" s="17">
        <v>0.0</v>
      </c>
      <c r="Q3310" s="13"/>
      <c r="R3310" s="13"/>
      <c r="S3310" s="13"/>
      <c r="T3310" s="13">
        <f t="shared" ref="T3310:Y3310" si="3560">IF(ISBLANK(K3310)=TRUE,0,1)</f>
        <v>0</v>
      </c>
      <c r="U3310" s="13">
        <f t="shared" si="3560"/>
        <v>0</v>
      </c>
      <c r="V3310" s="13">
        <f t="shared" si="3560"/>
        <v>1</v>
      </c>
      <c r="W3310" s="13">
        <f t="shared" si="3560"/>
        <v>1</v>
      </c>
      <c r="X3310" s="13">
        <f t="shared" si="3560"/>
        <v>1</v>
      </c>
      <c r="Y3310" s="13">
        <f t="shared" si="3560"/>
        <v>1</v>
      </c>
      <c r="Z3310" s="13">
        <f t="shared" si="3023"/>
        <v>0</v>
      </c>
      <c r="AA3310" s="13"/>
      <c r="AB3310" s="13"/>
      <c r="AC3310" s="13"/>
      <c r="AD3310" s="13"/>
      <c r="AE3310" s="13"/>
      <c r="AF3310" s="13"/>
      <c r="AG3310" s="13"/>
      <c r="AH3310" s="13"/>
      <c r="AI3310" s="13"/>
      <c r="AJ3310" s="13"/>
      <c r="AK3310" s="13"/>
      <c r="AL3310" s="13"/>
      <c r="AM3310" s="13"/>
      <c r="AN3310" s="13"/>
      <c r="AO3310" s="13"/>
      <c r="AP3310" s="13"/>
      <c r="AQ3310" s="13"/>
      <c r="AR3310" s="13"/>
      <c r="AS3310" s="13"/>
    </row>
    <row r="3311" ht="14.25" customHeight="1">
      <c r="A3311" s="13" t="s">
        <v>29</v>
      </c>
      <c r="B3311" s="13" t="s">
        <v>32</v>
      </c>
      <c r="C3311" s="13" t="s">
        <v>167</v>
      </c>
      <c r="D3311" s="13" t="s">
        <v>180</v>
      </c>
      <c r="F3311" s="13"/>
      <c r="G3311" s="13" t="s">
        <v>111</v>
      </c>
      <c r="H3311" s="13" t="s">
        <v>75</v>
      </c>
      <c r="I3311" s="13"/>
      <c r="J3311" s="13"/>
      <c r="K3311" s="15"/>
      <c r="L3311" s="15"/>
      <c r="M3311" s="16">
        <v>0.0</v>
      </c>
      <c r="N3311" s="16">
        <v>0.0</v>
      </c>
      <c r="O3311" s="17">
        <v>0.0</v>
      </c>
      <c r="P3311" s="17">
        <v>0.0</v>
      </c>
      <c r="Q3311" s="13"/>
      <c r="R3311" s="13"/>
      <c r="S3311" s="13"/>
      <c r="T3311" s="13">
        <f t="shared" ref="T3311:Y3311" si="3561">IF(ISBLANK(K3311)=TRUE,0,1)</f>
        <v>0</v>
      </c>
      <c r="U3311" s="13">
        <f t="shared" si="3561"/>
        <v>0</v>
      </c>
      <c r="V3311" s="13">
        <f t="shared" si="3561"/>
        <v>1</v>
      </c>
      <c r="W3311" s="13">
        <f t="shared" si="3561"/>
        <v>1</v>
      </c>
      <c r="X3311" s="13">
        <f t="shared" si="3561"/>
        <v>1</v>
      </c>
      <c r="Y3311" s="13">
        <f t="shared" si="3561"/>
        <v>1</v>
      </c>
      <c r="Z3311" s="13">
        <f t="shared" si="3023"/>
        <v>0</v>
      </c>
      <c r="AA3311" s="13"/>
      <c r="AB3311" s="13"/>
      <c r="AC3311" s="13"/>
      <c r="AD3311" s="13"/>
      <c r="AE3311" s="13"/>
      <c r="AF3311" s="13"/>
      <c r="AG3311" s="13"/>
      <c r="AH3311" s="13"/>
      <c r="AI3311" s="13"/>
      <c r="AJ3311" s="13"/>
      <c r="AK3311" s="13"/>
      <c r="AL3311" s="13"/>
      <c r="AM3311" s="13"/>
      <c r="AN3311" s="13"/>
      <c r="AO3311" s="13"/>
      <c r="AP3311" s="13"/>
      <c r="AQ3311" s="13"/>
      <c r="AR3311" s="13"/>
      <c r="AS3311" s="13"/>
    </row>
    <row r="3312" ht="14.25" customHeight="1">
      <c r="A3312" s="13" t="s">
        <v>29</v>
      </c>
      <c r="B3312" s="13" t="s">
        <v>32</v>
      </c>
      <c r="C3312" s="13" t="s">
        <v>167</v>
      </c>
      <c r="D3312" s="13" t="s">
        <v>181</v>
      </c>
      <c r="F3312" s="13"/>
      <c r="G3312" s="13" t="s">
        <v>111</v>
      </c>
      <c r="H3312" s="13" t="s">
        <v>75</v>
      </c>
      <c r="I3312" s="13"/>
      <c r="J3312" s="13"/>
      <c r="K3312" s="15"/>
      <c r="L3312" s="15"/>
      <c r="M3312" s="16">
        <v>0.0</v>
      </c>
      <c r="N3312" s="16">
        <v>0.0</v>
      </c>
      <c r="O3312" s="17">
        <v>0.0</v>
      </c>
      <c r="P3312" s="17">
        <v>0.0</v>
      </c>
      <c r="Q3312" s="13"/>
      <c r="R3312" s="13"/>
      <c r="S3312" s="13"/>
      <c r="T3312" s="13">
        <f t="shared" ref="T3312:Y3312" si="3562">IF(ISBLANK(K3312)=TRUE,0,1)</f>
        <v>0</v>
      </c>
      <c r="U3312" s="13">
        <f t="shared" si="3562"/>
        <v>0</v>
      </c>
      <c r="V3312" s="13">
        <f t="shared" si="3562"/>
        <v>1</v>
      </c>
      <c r="W3312" s="13">
        <f t="shared" si="3562"/>
        <v>1</v>
      </c>
      <c r="X3312" s="13">
        <f t="shared" si="3562"/>
        <v>1</v>
      </c>
      <c r="Y3312" s="13">
        <f t="shared" si="3562"/>
        <v>1</v>
      </c>
      <c r="Z3312" s="13">
        <f t="shared" si="3023"/>
        <v>0</v>
      </c>
      <c r="AA3312" s="13"/>
      <c r="AB3312" s="13"/>
      <c r="AC3312" s="13"/>
      <c r="AD3312" s="13"/>
      <c r="AE3312" s="13"/>
      <c r="AF3312" s="13"/>
      <c r="AG3312" s="13"/>
      <c r="AH3312" s="13"/>
      <c r="AI3312" s="13"/>
      <c r="AJ3312" s="13"/>
      <c r="AK3312" s="13"/>
      <c r="AL3312" s="13"/>
      <c r="AM3312" s="13"/>
      <c r="AN3312" s="13"/>
      <c r="AO3312" s="13"/>
      <c r="AP3312" s="13"/>
      <c r="AQ3312" s="13"/>
      <c r="AR3312" s="13"/>
      <c r="AS3312" s="13"/>
    </row>
    <row r="3313" ht="14.25" customHeight="1">
      <c r="A3313" s="13" t="s">
        <v>29</v>
      </c>
      <c r="B3313" s="13" t="s">
        <v>32</v>
      </c>
      <c r="C3313" s="13" t="s">
        <v>167</v>
      </c>
      <c r="D3313" s="13" t="s">
        <v>182</v>
      </c>
      <c r="F3313" s="13"/>
      <c r="G3313" s="13" t="s">
        <v>111</v>
      </c>
      <c r="H3313" s="13" t="s">
        <v>75</v>
      </c>
      <c r="I3313" s="13"/>
      <c r="J3313" s="13"/>
      <c r="K3313" s="15"/>
      <c r="L3313" s="15"/>
      <c r="M3313" s="16">
        <v>0.0</v>
      </c>
      <c r="N3313" s="16">
        <v>0.0</v>
      </c>
      <c r="O3313" s="17">
        <v>0.0</v>
      </c>
      <c r="P3313" s="17">
        <v>0.0</v>
      </c>
      <c r="Q3313" s="13"/>
      <c r="R3313" s="13"/>
      <c r="S3313" s="13"/>
      <c r="T3313" s="13">
        <f t="shared" ref="T3313:Y3313" si="3563">IF(ISBLANK(K3313)=TRUE,0,1)</f>
        <v>0</v>
      </c>
      <c r="U3313" s="13">
        <f t="shared" si="3563"/>
        <v>0</v>
      </c>
      <c r="V3313" s="13">
        <f t="shared" si="3563"/>
        <v>1</v>
      </c>
      <c r="W3313" s="13">
        <f t="shared" si="3563"/>
        <v>1</v>
      </c>
      <c r="X3313" s="13">
        <f t="shared" si="3563"/>
        <v>1</v>
      </c>
      <c r="Y3313" s="13">
        <f t="shared" si="3563"/>
        <v>1</v>
      </c>
      <c r="Z3313" s="13">
        <f t="shared" si="3023"/>
        <v>0</v>
      </c>
      <c r="AA3313" s="13"/>
      <c r="AB3313" s="13"/>
      <c r="AC3313" s="13"/>
      <c r="AD3313" s="13"/>
      <c r="AE3313" s="13"/>
      <c r="AF3313" s="13"/>
      <c r="AG3313" s="13"/>
      <c r="AH3313" s="13"/>
      <c r="AI3313" s="13"/>
      <c r="AJ3313" s="13"/>
      <c r="AK3313" s="13"/>
      <c r="AL3313" s="13"/>
      <c r="AM3313" s="13"/>
      <c r="AN3313" s="13"/>
      <c r="AO3313" s="13"/>
      <c r="AP3313" s="13"/>
      <c r="AQ3313" s="13"/>
      <c r="AR3313" s="13"/>
      <c r="AS3313" s="13"/>
    </row>
    <row r="3314" ht="14.25" customHeight="1">
      <c r="A3314" s="13" t="s">
        <v>36</v>
      </c>
      <c r="B3314" s="13" t="s">
        <v>41</v>
      </c>
      <c r="C3314" s="13" t="s">
        <v>1860</v>
      </c>
      <c r="D3314" s="13" t="s">
        <v>135</v>
      </c>
      <c r="F3314" s="13"/>
      <c r="G3314" s="13" t="s">
        <v>74</v>
      </c>
      <c r="H3314" s="13" t="s">
        <v>75</v>
      </c>
      <c r="I3314" s="13"/>
      <c r="J3314" s="13"/>
      <c r="K3314" s="15">
        <v>1.0</v>
      </c>
      <c r="L3314" s="15">
        <v>1.0</v>
      </c>
      <c r="M3314" s="16"/>
      <c r="N3314" s="16"/>
      <c r="O3314" s="17">
        <v>1.0</v>
      </c>
      <c r="P3314" s="17">
        <v>1.0</v>
      </c>
      <c r="Q3314" s="13">
        <f t="shared" ref="Q3314:Q3317" si="3565">K3313+L3313+M3313+N3313+O3313+P3313/6</f>
        <v>0</v>
      </c>
      <c r="R3314" s="13"/>
      <c r="S3314" s="13"/>
      <c r="T3314" s="13">
        <f t="shared" ref="T3314:Y3314" si="3564">IF(ISBLANK(K3314)=TRUE,0,1)</f>
        <v>1</v>
      </c>
      <c r="U3314" s="13">
        <f t="shared" si="3564"/>
        <v>1</v>
      </c>
      <c r="V3314" s="13">
        <f t="shared" si="3564"/>
        <v>0</v>
      </c>
      <c r="W3314" s="13">
        <f t="shared" si="3564"/>
        <v>0</v>
      </c>
      <c r="X3314" s="13">
        <f t="shared" si="3564"/>
        <v>1</v>
      </c>
      <c r="Y3314" s="13">
        <f t="shared" si="3564"/>
        <v>1</v>
      </c>
      <c r="Z3314" s="13">
        <f t="shared" si="3023"/>
        <v>1</v>
      </c>
      <c r="AA3314" s="13"/>
      <c r="AB3314" s="13"/>
      <c r="AC3314" s="13"/>
      <c r="AD3314" s="13"/>
      <c r="AE3314" s="13"/>
      <c r="AF3314" s="13"/>
      <c r="AG3314" s="13"/>
      <c r="AH3314" s="13"/>
      <c r="AI3314" s="13"/>
      <c r="AJ3314" s="13"/>
      <c r="AK3314" s="13"/>
      <c r="AL3314" s="13"/>
      <c r="AM3314" s="13"/>
      <c r="AN3314" s="13"/>
      <c r="AO3314" s="13"/>
      <c r="AP3314" s="13"/>
      <c r="AQ3314" s="13"/>
      <c r="AR3314" s="13"/>
      <c r="AS3314" s="13"/>
    </row>
    <row r="3315" ht="14.25" customHeight="1">
      <c r="A3315" s="13" t="s">
        <v>36</v>
      </c>
      <c r="B3315" s="13" t="s">
        <v>41</v>
      </c>
      <c r="C3315" s="13" t="s">
        <v>1860</v>
      </c>
      <c r="D3315" s="13" t="s">
        <v>136</v>
      </c>
      <c r="F3315" s="13"/>
      <c r="G3315" s="13" t="s">
        <v>74</v>
      </c>
      <c r="H3315" s="13" t="s">
        <v>75</v>
      </c>
      <c r="I3315" s="13"/>
      <c r="J3315" s="13"/>
      <c r="K3315" s="15">
        <v>1.0</v>
      </c>
      <c r="L3315" s="15">
        <v>1.0</v>
      </c>
      <c r="M3315" s="16"/>
      <c r="N3315" s="16"/>
      <c r="O3315" s="17">
        <v>1.0</v>
      </c>
      <c r="P3315" s="17">
        <v>1.0</v>
      </c>
      <c r="Q3315" s="13">
        <f t="shared" si="3565"/>
        <v>3.166666667</v>
      </c>
      <c r="R3315" s="13"/>
      <c r="S3315" s="13"/>
      <c r="T3315" s="13">
        <f t="shared" ref="T3315:Y3315" si="3566">IF(ISBLANK(K3315)=TRUE,0,1)</f>
        <v>1</v>
      </c>
      <c r="U3315" s="13">
        <f t="shared" si="3566"/>
        <v>1</v>
      </c>
      <c r="V3315" s="13">
        <f t="shared" si="3566"/>
        <v>0</v>
      </c>
      <c r="W3315" s="13">
        <f t="shared" si="3566"/>
        <v>0</v>
      </c>
      <c r="X3315" s="13">
        <f t="shared" si="3566"/>
        <v>1</v>
      </c>
      <c r="Y3315" s="13">
        <f t="shared" si="3566"/>
        <v>1</v>
      </c>
      <c r="Z3315" s="13">
        <f t="shared" si="3023"/>
        <v>1</v>
      </c>
      <c r="AA3315" s="13"/>
      <c r="AB3315" s="13"/>
      <c r="AC3315" s="13"/>
      <c r="AD3315" s="13"/>
      <c r="AE3315" s="13"/>
      <c r="AF3315" s="13"/>
      <c r="AG3315" s="13"/>
      <c r="AH3315" s="13"/>
      <c r="AI3315" s="13"/>
      <c r="AJ3315" s="13"/>
      <c r="AK3315" s="13"/>
      <c r="AL3315" s="13"/>
      <c r="AM3315" s="13"/>
      <c r="AN3315" s="13"/>
      <c r="AO3315" s="13"/>
      <c r="AP3315" s="13"/>
      <c r="AQ3315" s="13"/>
      <c r="AR3315" s="13"/>
      <c r="AS3315" s="13"/>
    </row>
    <row r="3316" ht="14.25" customHeight="1">
      <c r="A3316" s="13" t="s">
        <v>36</v>
      </c>
      <c r="B3316" s="13" t="s">
        <v>41</v>
      </c>
      <c r="C3316" s="13" t="s">
        <v>1860</v>
      </c>
      <c r="D3316" s="13" t="s">
        <v>137</v>
      </c>
      <c r="F3316" s="13"/>
      <c r="G3316" s="13" t="s">
        <v>74</v>
      </c>
      <c r="H3316" s="13" t="s">
        <v>75</v>
      </c>
      <c r="I3316" s="13"/>
      <c r="J3316" s="13"/>
      <c r="K3316" s="15">
        <v>1.0</v>
      </c>
      <c r="L3316" s="15">
        <v>1.0</v>
      </c>
      <c r="M3316" s="16"/>
      <c r="N3316" s="16"/>
      <c r="O3316" s="17">
        <v>1.0</v>
      </c>
      <c r="P3316" s="17">
        <v>1.0</v>
      </c>
      <c r="Q3316" s="13">
        <f t="shared" si="3565"/>
        <v>3.166666667</v>
      </c>
      <c r="R3316" s="13"/>
      <c r="S3316" s="13"/>
      <c r="T3316" s="13">
        <f t="shared" ref="T3316:Y3316" si="3567">IF(ISBLANK(K3316)=TRUE,0,1)</f>
        <v>1</v>
      </c>
      <c r="U3316" s="13">
        <f t="shared" si="3567"/>
        <v>1</v>
      </c>
      <c r="V3316" s="13">
        <f t="shared" si="3567"/>
        <v>0</v>
      </c>
      <c r="W3316" s="13">
        <f t="shared" si="3567"/>
        <v>0</v>
      </c>
      <c r="X3316" s="13">
        <f t="shared" si="3567"/>
        <v>1</v>
      </c>
      <c r="Y3316" s="13">
        <f t="shared" si="3567"/>
        <v>1</v>
      </c>
      <c r="Z3316" s="13">
        <f t="shared" si="3023"/>
        <v>1</v>
      </c>
      <c r="AA3316" s="13"/>
      <c r="AB3316" s="13"/>
      <c r="AC3316" s="13"/>
      <c r="AD3316" s="13"/>
      <c r="AE3316" s="13"/>
      <c r="AF3316" s="13"/>
      <c r="AG3316" s="13"/>
      <c r="AH3316" s="13"/>
      <c r="AI3316" s="13"/>
      <c r="AJ3316" s="13"/>
      <c r="AK3316" s="13"/>
      <c r="AL3316" s="13"/>
      <c r="AM3316" s="13"/>
      <c r="AN3316" s="13"/>
      <c r="AO3316" s="13"/>
      <c r="AP3316" s="13"/>
      <c r="AQ3316" s="13"/>
      <c r="AR3316" s="13"/>
      <c r="AS3316" s="13"/>
    </row>
    <row r="3317" ht="14.25" customHeight="1">
      <c r="A3317" s="13" t="s">
        <v>36</v>
      </c>
      <c r="B3317" s="13" t="s">
        <v>37</v>
      </c>
      <c r="C3317" s="13" t="s">
        <v>607</v>
      </c>
      <c r="D3317" s="13" t="s">
        <v>175</v>
      </c>
      <c r="F3317" s="13"/>
      <c r="G3317" s="13" t="s">
        <v>111</v>
      </c>
      <c r="H3317" s="13" t="s">
        <v>75</v>
      </c>
      <c r="I3317" s="13"/>
      <c r="J3317" s="13"/>
      <c r="K3317" s="15">
        <v>0.0</v>
      </c>
      <c r="L3317" s="15">
        <v>0.0</v>
      </c>
      <c r="M3317" s="16"/>
      <c r="N3317" s="16"/>
      <c r="O3317" s="17"/>
      <c r="P3317" s="17"/>
      <c r="Q3317" s="13">
        <f t="shared" si="3565"/>
        <v>3.166666667</v>
      </c>
      <c r="R3317" s="13"/>
      <c r="S3317" s="13"/>
      <c r="T3317" s="13">
        <f t="shared" ref="T3317:Y3317" si="3568">IF(ISBLANK(K3317)=TRUE,0,1)</f>
        <v>1</v>
      </c>
      <c r="U3317" s="13">
        <f t="shared" si="3568"/>
        <v>1</v>
      </c>
      <c r="V3317" s="13">
        <f t="shared" si="3568"/>
        <v>0</v>
      </c>
      <c r="W3317" s="13">
        <f t="shared" si="3568"/>
        <v>0</v>
      </c>
      <c r="X3317" s="13">
        <f t="shared" si="3568"/>
        <v>0</v>
      </c>
      <c r="Y3317" s="13">
        <f t="shared" si="3568"/>
        <v>0</v>
      </c>
      <c r="Z3317" s="13">
        <f t="shared" si="3023"/>
        <v>0</v>
      </c>
      <c r="AA3317" s="13"/>
      <c r="AB3317" s="13"/>
      <c r="AC3317" s="13"/>
      <c r="AD3317" s="13"/>
      <c r="AE3317" s="13"/>
      <c r="AF3317" s="13"/>
      <c r="AG3317" s="13"/>
      <c r="AH3317" s="13"/>
      <c r="AI3317" s="13"/>
      <c r="AJ3317" s="13"/>
      <c r="AK3317" s="13"/>
      <c r="AL3317" s="13"/>
      <c r="AM3317" s="13"/>
      <c r="AN3317" s="13"/>
      <c r="AO3317" s="13"/>
      <c r="AP3317" s="13"/>
      <c r="AQ3317" s="13"/>
      <c r="AR3317" s="13"/>
      <c r="AS3317" s="13"/>
    </row>
    <row r="3318" ht="14.25" customHeight="1">
      <c r="A3318" s="13" t="s">
        <v>29</v>
      </c>
      <c r="B3318" s="13" t="s">
        <v>32</v>
      </c>
      <c r="C3318" s="13" t="s">
        <v>167</v>
      </c>
      <c r="D3318" s="13" t="s">
        <v>183</v>
      </c>
      <c r="F3318" s="13"/>
      <c r="G3318" s="13" t="s">
        <v>111</v>
      </c>
      <c r="H3318" s="13" t="s">
        <v>75</v>
      </c>
      <c r="I3318" s="13"/>
      <c r="J3318" s="13"/>
      <c r="K3318" s="15"/>
      <c r="L3318" s="15"/>
      <c r="M3318" s="16">
        <v>0.0</v>
      </c>
      <c r="N3318" s="16">
        <v>0.0</v>
      </c>
      <c r="O3318" s="17">
        <v>0.0</v>
      </c>
      <c r="P3318" s="17">
        <v>0.0</v>
      </c>
      <c r="Q3318" s="13"/>
      <c r="R3318" s="13"/>
      <c r="S3318" s="13"/>
      <c r="T3318" s="13">
        <f t="shared" ref="T3318:Y3318" si="3569">IF(ISBLANK(K3318)=TRUE,0,1)</f>
        <v>0</v>
      </c>
      <c r="U3318" s="13">
        <f t="shared" si="3569"/>
        <v>0</v>
      </c>
      <c r="V3318" s="13">
        <f t="shared" si="3569"/>
        <v>1</v>
      </c>
      <c r="W3318" s="13">
        <f t="shared" si="3569"/>
        <v>1</v>
      </c>
      <c r="X3318" s="13">
        <f t="shared" si="3569"/>
        <v>1</v>
      </c>
      <c r="Y3318" s="13">
        <f t="shared" si="3569"/>
        <v>1</v>
      </c>
      <c r="Z3318" s="13">
        <f t="shared" si="3023"/>
        <v>0</v>
      </c>
      <c r="AA3318" s="13"/>
      <c r="AB3318" s="13"/>
      <c r="AC3318" s="13"/>
      <c r="AD3318" s="13"/>
      <c r="AE3318" s="13"/>
      <c r="AF3318" s="13"/>
      <c r="AG3318" s="13"/>
      <c r="AH3318" s="13"/>
      <c r="AI3318" s="13"/>
      <c r="AJ3318" s="13"/>
      <c r="AK3318" s="13"/>
      <c r="AL3318" s="13"/>
      <c r="AM3318" s="13"/>
      <c r="AN3318" s="13"/>
      <c r="AO3318" s="13"/>
      <c r="AP3318" s="13"/>
      <c r="AQ3318" s="13"/>
      <c r="AR3318" s="13"/>
      <c r="AS3318" s="13"/>
    </row>
    <row r="3319" ht="14.25" customHeight="1">
      <c r="A3319" s="13" t="s">
        <v>36</v>
      </c>
      <c r="B3319" s="13" t="s">
        <v>37</v>
      </c>
      <c r="C3319" s="13" t="s">
        <v>607</v>
      </c>
      <c r="D3319" s="13" t="s">
        <v>176</v>
      </c>
      <c r="F3319" s="13"/>
      <c r="G3319" s="13" t="s">
        <v>111</v>
      </c>
      <c r="H3319" s="13" t="s">
        <v>75</v>
      </c>
      <c r="I3319" s="13"/>
      <c r="J3319" s="13"/>
      <c r="K3319" s="15">
        <v>0.0</v>
      </c>
      <c r="L3319" s="15">
        <v>0.0</v>
      </c>
      <c r="M3319" s="16"/>
      <c r="N3319" s="16"/>
      <c r="O3319" s="17"/>
      <c r="P3319" s="17"/>
      <c r="Q3319" s="13">
        <f>K3318+L3318+M3318+N3318+O3318+P3318/6</f>
        <v>0</v>
      </c>
      <c r="R3319" s="13"/>
      <c r="S3319" s="13"/>
      <c r="T3319" s="13">
        <f t="shared" ref="T3319:Y3319" si="3570">IF(ISBLANK(K3319)=TRUE,0,1)</f>
        <v>1</v>
      </c>
      <c r="U3319" s="13">
        <f t="shared" si="3570"/>
        <v>1</v>
      </c>
      <c r="V3319" s="13">
        <f t="shared" si="3570"/>
        <v>0</v>
      </c>
      <c r="W3319" s="13">
        <f t="shared" si="3570"/>
        <v>0</v>
      </c>
      <c r="X3319" s="13">
        <f t="shared" si="3570"/>
        <v>0</v>
      </c>
      <c r="Y3319" s="13">
        <f t="shared" si="3570"/>
        <v>0</v>
      </c>
      <c r="Z3319" s="13">
        <f t="shared" si="3023"/>
        <v>0</v>
      </c>
      <c r="AA3319" s="13"/>
      <c r="AB3319" s="13"/>
      <c r="AC3319" s="13"/>
      <c r="AD3319" s="13"/>
      <c r="AE3319" s="13"/>
      <c r="AF3319" s="13"/>
      <c r="AG3319" s="13"/>
      <c r="AH3319" s="13"/>
      <c r="AI3319" s="13"/>
      <c r="AJ3319" s="13"/>
      <c r="AK3319" s="13"/>
      <c r="AL3319" s="13"/>
      <c r="AM3319" s="13"/>
      <c r="AN3319" s="13"/>
      <c r="AO3319" s="13"/>
      <c r="AP3319" s="13"/>
      <c r="AQ3319" s="13"/>
      <c r="AR3319" s="13"/>
      <c r="AS3319" s="13"/>
    </row>
    <row r="3320" ht="14.25" customHeight="1">
      <c r="A3320" s="13" t="s">
        <v>29</v>
      </c>
      <c r="B3320" s="13" t="s">
        <v>32</v>
      </c>
      <c r="C3320" s="13" t="s">
        <v>167</v>
      </c>
      <c r="D3320" s="13" t="s">
        <v>184</v>
      </c>
      <c r="F3320" s="13"/>
      <c r="G3320" s="13" t="s">
        <v>111</v>
      </c>
      <c r="H3320" s="13" t="s">
        <v>75</v>
      </c>
      <c r="I3320" s="13"/>
      <c r="J3320" s="13"/>
      <c r="K3320" s="15"/>
      <c r="L3320" s="15"/>
      <c r="M3320" s="16">
        <v>0.0</v>
      </c>
      <c r="N3320" s="16">
        <v>0.0</v>
      </c>
      <c r="O3320" s="17">
        <v>0.0</v>
      </c>
      <c r="P3320" s="17">
        <v>0.0</v>
      </c>
      <c r="Q3320" s="13"/>
      <c r="R3320" s="13"/>
      <c r="S3320" s="13"/>
      <c r="T3320" s="13">
        <f t="shared" ref="T3320:Y3320" si="3571">IF(ISBLANK(K3320)=TRUE,0,1)</f>
        <v>0</v>
      </c>
      <c r="U3320" s="13">
        <f t="shared" si="3571"/>
        <v>0</v>
      </c>
      <c r="V3320" s="13">
        <f t="shared" si="3571"/>
        <v>1</v>
      </c>
      <c r="W3320" s="13">
        <f t="shared" si="3571"/>
        <v>1</v>
      </c>
      <c r="X3320" s="13">
        <f t="shared" si="3571"/>
        <v>1</v>
      </c>
      <c r="Y3320" s="13">
        <f t="shared" si="3571"/>
        <v>1</v>
      </c>
      <c r="Z3320" s="13">
        <f t="shared" si="3023"/>
        <v>0</v>
      </c>
      <c r="AA3320" s="13"/>
      <c r="AB3320" s="13"/>
      <c r="AC3320" s="13"/>
      <c r="AD3320" s="13"/>
      <c r="AE3320" s="13"/>
      <c r="AF3320" s="13"/>
      <c r="AG3320" s="13"/>
      <c r="AH3320" s="13"/>
      <c r="AI3320" s="13"/>
      <c r="AJ3320" s="13"/>
      <c r="AK3320" s="13"/>
      <c r="AL3320" s="13"/>
      <c r="AM3320" s="13"/>
      <c r="AN3320" s="13"/>
      <c r="AO3320" s="13"/>
      <c r="AP3320" s="13"/>
      <c r="AQ3320" s="13"/>
      <c r="AR3320" s="13"/>
      <c r="AS3320" s="13"/>
    </row>
    <row r="3321" ht="14.25" customHeight="1">
      <c r="A3321" s="13" t="s">
        <v>36</v>
      </c>
      <c r="B3321" s="13" t="s">
        <v>41</v>
      </c>
      <c r="C3321" s="13" t="s">
        <v>1860</v>
      </c>
      <c r="D3321" s="13" t="s">
        <v>138</v>
      </c>
      <c r="F3321" s="13"/>
      <c r="G3321" s="13" t="s">
        <v>74</v>
      </c>
      <c r="H3321" s="13" t="s">
        <v>75</v>
      </c>
      <c r="I3321" s="13"/>
      <c r="J3321" s="13"/>
      <c r="K3321" s="15">
        <v>1.0</v>
      </c>
      <c r="L3321" s="15">
        <v>1.0</v>
      </c>
      <c r="M3321" s="16"/>
      <c r="N3321" s="16"/>
      <c r="O3321" s="17">
        <v>1.0</v>
      </c>
      <c r="P3321" s="17">
        <v>1.0</v>
      </c>
      <c r="Q3321" s="13">
        <f t="shared" ref="Q3321:Q3323" si="3573">K3320+L3320+M3320+N3320+O3320+P3320/6</f>
        <v>0</v>
      </c>
      <c r="R3321" s="13"/>
      <c r="S3321" s="13"/>
      <c r="T3321" s="13">
        <f t="shared" ref="T3321:Y3321" si="3572">IF(ISBLANK(K3321)=TRUE,0,1)</f>
        <v>1</v>
      </c>
      <c r="U3321" s="13">
        <f t="shared" si="3572"/>
        <v>1</v>
      </c>
      <c r="V3321" s="13">
        <f t="shared" si="3572"/>
        <v>0</v>
      </c>
      <c r="W3321" s="13">
        <f t="shared" si="3572"/>
        <v>0</v>
      </c>
      <c r="X3321" s="13">
        <f t="shared" si="3572"/>
        <v>1</v>
      </c>
      <c r="Y3321" s="13">
        <f t="shared" si="3572"/>
        <v>1</v>
      </c>
      <c r="Z3321" s="13">
        <f t="shared" si="3023"/>
        <v>1</v>
      </c>
      <c r="AA3321" s="13"/>
      <c r="AB3321" s="13"/>
      <c r="AC3321" s="13"/>
      <c r="AD3321" s="13"/>
      <c r="AE3321" s="13"/>
      <c r="AF3321" s="13"/>
      <c r="AG3321" s="13"/>
      <c r="AH3321" s="13"/>
      <c r="AI3321" s="13"/>
      <c r="AJ3321" s="13"/>
      <c r="AK3321" s="13"/>
      <c r="AL3321" s="13"/>
      <c r="AM3321" s="13"/>
      <c r="AN3321" s="13"/>
      <c r="AO3321" s="13"/>
      <c r="AP3321" s="13"/>
      <c r="AQ3321" s="13"/>
      <c r="AR3321" s="13"/>
      <c r="AS3321" s="13"/>
    </row>
    <row r="3322" ht="14.25" customHeight="1">
      <c r="A3322" s="13" t="s">
        <v>36</v>
      </c>
      <c r="B3322" s="13" t="s">
        <v>41</v>
      </c>
      <c r="C3322" s="13" t="s">
        <v>1967</v>
      </c>
      <c r="D3322" s="13" t="s">
        <v>174</v>
      </c>
      <c r="F3322" s="13"/>
      <c r="G3322" s="13" t="s">
        <v>74</v>
      </c>
      <c r="H3322" s="13" t="s">
        <v>75</v>
      </c>
      <c r="I3322" s="13"/>
      <c r="J3322" s="13"/>
      <c r="K3322" s="15">
        <v>0.0</v>
      </c>
      <c r="L3322" s="15">
        <v>0.0</v>
      </c>
      <c r="M3322" s="16"/>
      <c r="N3322" s="16"/>
      <c r="O3322" s="17"/>
      <c r="P3322" s="17"/>
      <c r="Q3322" s="13">
        <f t="shared" si="3573"/>
        <v>3.166666667</v>
      </c>
      <c r="R3322" s="13"/>
      <c r="S3322" s="13"/>
      <c r="T3322" s="13">
        <f t="shared" ref="T3322:Y3322" si="3574">IF(ISBLANK(K3322)=TRUE,0,1)</f>
        <v>1</v>
      </c>
      <c r="U3322" s="13">
        <f t="shared" si="3574"/>
        <v>1</v>
      </c>
      <c r="V3322" s="13">
        <f t="shared" si="3574"/>
        <v>0</v>
      </c>
      <c r="W3322" s="13">
        <f t="shared" si="3574"/>
        <v>0</v>
      </c>
      <c r="X3322" s="13">
        <f t="shared" si="3574"/>
        <v>0</v>
      </c>
      <c r="Y3322" s="13">
        <f t="shared" si="3574"/>
        <v>0</v>
      </c>
      <c r="Z3322" s="13">
        <f t="shared" si="3023"/>
        <v>0</v>
      </c>
      <c r="AA3322" s="13"/>
      <c r="AB3322" s="13"/>
      <c r="AC3322" s="13"/>
      <c r="AD3322" s="13"/>
      <c r="AE3322" s="13"/>
      <c r="AF3322" s="13"/>
      <c r="AG3322" s="13"/>
      <c r="AH3322" s="13"/>
      <c r="AI3322" s="13"/>
      <c r="AJ3322" s="13"/>
      <c r="AK3322" s="13"/>
      <c r="AL3322" s="13"/>
      <c r="AM3322" s="13"/>
      <c r="AN3322" s="13"/>
      <c r="AO3322" s="13"/>
      <c r="AP3322" s="13"/>
      <c r="AQ3322" s="13"/>
      <c r="AR3322" s="13"/>
      <c r="AS3322" s="13"/>
    </row>
    <row r="3323" ht="14.25" customHeight="1">
      <c r="A3323" s="13" t="s">
        <v>36</v>
      </c>
      <c r="B3323" s="13" t="s">
        <v>37</v>
      </c>
      <c r="C3323" s="13" t="s">
        <v>607</v>
      </c>
      <c r="D3323" s="13" t="s">
        <v>177</v>
      </c>
      <c r="F3323" s="13"/>
      <c r="G3323" s="13" t="s">
        <v>111</v>
      </c>
      <c r="H3323" s="13" t="s">
        <v>75</v>
      </c>
      <c r="I3323" s="13"/>
      <c r="J3323" s="13"/>
      <c r="K3323" s="15">
        <v>0.0</v>
      </c>
      <c r="L3323" s="15">
        <v>0.0</v>
      </c>
      <c r="M3323" s="16"/>
      <c r="N3323" s="16"/>
      <c r="O3323" s="17"/>
      <c r="P3323" s="17"/>
      <c r="Q3323" s="13">
        <f t="shared" si="3573"/>
        <v>0</v>
      </c>
      <c r="R3323" s="13"/>
      <c r="S3323" s="13"/>
      <c r="T3323" s="13">
        <f t="shared" ref="T3323:Y3323" si="3575">IF(ISBLANK(K3323)=TRUE,0,1)</f>
        <v>1</v>
      </c>
      <c r="U3323" s="13">
        <f t="shared" si="3575"/>
        <v>1</v>
      </c>
      <c r="V3323" s="13">
        <f t="shared" si="3575"/>
        <v>0</v>
      </c>
      <c r="W3323" s="13">
        <f t="shared" si="3575"/>
        <v>0</v>
      </c>
      <c r="X3323" s="13">
        <f t="shared" si="3575"/>
        <v>0</v>
      </c>
      <c r="Y3323" s="13">
        <f t="shared" si="3575"/>
        <v>0</v>
      </c>
      <c r="Z3323" s="13">
        <f t="shared" si="3023"/>
        <v>0</v>
      </c>
      <c r="AA3323" s="13"/>
      <c r="AB3323" s="13"/>
      <c r="AC3323" s="13"/>
      <c r="AD3323" s="13"/>
      <c r="AE3323" s="13"/>
      <c r="AF3323" s="13"/>
      <c r="AG3323" s="13"/>
      <c r="AH3323" s="13"/>
      <c r="AI3323" s="13"/>
      <c r="AJ3323" s="13"/>
      <c r="AK3323" s="13"/>
      <c r="AL3323" s="13"/>
      <c r="AM3323" s="13"/>
      <c r="AN3323" s="13"/>
      <c r="AO3323" s="13"/>
      <c r="AP3323" s="13"/>
      <c r="AQ3323" s="13"/>
      <c r="AR3323" s="13"/>
      <c r="AS3323" s="13"/>
    </row>
    <row r="3324" ht="14.25" customHeight="1">
      <c r="A3324" s="13" t="s">
        <v>29</v>
      </c>
      <c r="B3324" s="13" t="s">
        <v>32</v>
      </c>
      <c r="C3324" s="13" t="s">
        <v>167</v>
      </c>
      <c r="D3324" s="13" t="s">
        <v>185</v>
      </c>
      <c r="F3324" s="13"/>
      <c r="G3324" s="13" t="s">
        <v>111</v>
      </c>
      <c r="H3324" s="13" t="s">
        <v>75</v>
      </c>
      <c r="I3324" s="13"/>
      <c r="J3324" s="13"/>
      <c r="K3324" s="15"/>
      <c r="L3324" s="15"/>
      <c r="M3324" s="16">
        <v>0.0</v>
      </c>
      <c r="N3324" s="16">
        <v>0.0</v>
      </c>
      <c r="O3324" s="17">
        <v>0.0</v>
      </c>
      <c r="P3324" s="17">
        <v>0.0</v>
      </c>
      <c r="Q3324" s="13"/>
      <c r="R3324" s="13"/>
      <c r="S3324" s="13"/>
      <c r="T3324" s="13">
        <f t="shared" ref="T3324:Y3324" si="3576">IF(ISBLANK(K3324)=TRUE,0,1)</f>
        <v>0</v>
      </c>
      <c r="U3324" s="13">
        <f t="shared" si="3576"/>
        <v>0</v>
      </c>
      <c r="V3324" s="13">
        <f t="shared" si="3576"/>
        <v>1</v>
      </c>
      <c r="W3324" s="13">
        <f t="shared" si="3576"/>
        <v>1</v>
      </c>
      <c r="X3324" s="13">
        <f t="shared" si="3576"/>
        <v>1</v>
      </c>
      <c r="Y3324" s="13">
        <f t="shared" si="3576"/>
        <v>1</v>
      </c>
      <c r="Z3324" s="13">
        <f t="shared" si="3023"/>
        <v>0</v>
      </c>
      <c r="AA3324" s="13"/>
      <c r="AB3324" s="13"/>
      <c r="AC3324" s="13"/>
      <c r="AD3324" s="13"/>
      <c r="AE3324" s="13"/>
      <c r="AF3324" s="13"/>
      <c r="AG3324" s="13"/>
      <c r="AH3324" s="13"/>
      <c r="AI3324" s="13"/>
      <c r="AJ3324" s="13"/>
      <c r="AK3324" s="13"/>
      <c r="AL3324" s="13"/>
      <c r="AM3324" s="13"/>
      <c r="AN3324" s="13"/>
      <c r="AO3324" s="13"/>
      <c r="AP3324" s="13"/>
      <c r="AQ3324" s="13"/>
      <c r="AR3324" s="13"/>
      <c r="AS3324" s="13"/>
    </row>
    <row r="3325" ht="14.25" customHeight="1">
      <c r="A3325" s="13" t="s">
        <v>29</v>
      </c>
      <c r="B3325" s="13" t="s">
        <v>32</v>
      </c>
      <c r="C3325" s="13" t="s">
        <v>167</v>
      </c>
      <c r="D3325" s="13" t="s">
        <v>186</v>
      </c>
      <c r="F3325" s="13"/>
      <c r="G3325" s="13" t="s">
        <v>111</v>
      </c>
      <c r="H3325" s="13" t="s">
        <v>75</v>
      </c>
      <c r="I3325" s="13"/>
      <c r="J3325" s="13"/>
      <c r="K3325" s="15"/>
      <c r="L3325" s="15"/>
      <c r="M3325" s="16">
        <v>0.0</v>
      </c>
      <c r="N3325" s="16">
        <v>0.0</v>
      </c>
      <c r="O3325" s="17">
        <v>0.0</v>
      </c>
      <c r="P3325" s="17">
        <v>0.0</v>
      </c>
      <c r="Q3325" s="13"/>
      <c r="R3325" s="13"/>
      <c r="S3325" s="13"/>
      <c r="T3325" s="13">
        <f t="shared" ref="T3325:Y3325" si="3577">IF(ISBLANK(K3325)=TRUE,0,1)</f>
        <v>0</v>
      </c>
      <c r="U3325" s="13">
        <f t="shared" si="3577"/>
        <v>0</v>
      </c>
      <c r="V3325" s="13">
        <f t="shared" si="3577"/>
        <v>1</v>
      </c>
      <c r="W3325" s="13">
        <f t="shared" si="3577"/>
        <v>1</v>
      </c>
      <c r="X3325" s="13">
        <f t="shared" si="3577"/>
        <v>1</v>
      </c>
      <c r="Y3325" s="13">
        <f t="shared" si="3577"/>
        <v>1</v>
      </c>
      <c r="Z3325" s="13">
        <f t="shared" si="3023"/>
        <v>0</v>
      </c>
      <c r="AA3325" s="13"/>
      <c r="AB3325" s="13"/>
      <c r="AC3325" s="13"/>
      <c r="AD3325" s="13"/>
      <c r="AE3325" s="13"/>
      <c r="AF3325" s="13"/>
      <c r="AG3325" s="13"/>
      <c r="AH3325" s="13"/>
      <c r="AI3325" s="13"/>
      <c r="AJ3325" s="13"/>
      <c r="AK3325" s="13"/>
      <c r="AL3325" s="13"/>
      <c r="AM3325" s="13"/>
      <c r="AN3325" s="13"/>
      <c r="AO3325" s="13"/>
      <c r="AP3325" s="13"/>
      <c r="AQ3325" s="13"/>
      <c r="AR3325" s="13"/>
      <c r="AS3325" s="13"/>
    </row>
    <row r="3326" ht="14.25" customHeight="1">
      <c r="A3326" s="13" t="s">
        <v>29</v>
      </c>
      <c r="B3326" s="13" t="s">
        <v>32</v>
      </c>
      <c r="C3326" s="13" t="s">
        <v>167</v>
      </c>
      <c r="D3326" s="13" t="s">
        <v>187</v>
      </c>
      <c r="F3326" s="13"/>
      <c r="G3326" s="13" t="s">
        <v>111</v>
      </c>
      <c r="H3326" s="13" t="s">
        <v>75</v>
      </c>
      <c r="I3326" s="13"/>
      <c r="J3326" s="13"/>
      <c r="K3326" s="15"/>
      <c r="L3326" s="15"/>
      <c r="M3326" s="16">
        <v>0.0</v>
      </c>
      <c r="N3326" s="16">
        <v>0.0</v>
      </c>
      <c r="O3326" s="17">
        <v>0.0</v>
      </c>
      <c r="P3326" s="17">
        <v>0.0</v>
      </c>
      <c r="Q3326" s="13"/>
      <c r="R3326" s="13"/>
      <c r="S3326" s="13"/>
      <c r="T3326" s="13">
        <f t="shared" ref="T3326:Y3326" si="3578">IF(ISBLANK(K3326)=TRUE,0,1)</f>
        <v>0</v>
      </c>
      <c r="U3326" s="13">
        <f t="shared" si="3578"/>
        <v>0</v>
      </c>
      <c r="V3326" s="13">
        <f t="shared" si="3578"/>
        <v>1</v>
      </c>
      <c r="W3326" s="13">
        <f t="shared" si="3578"/>
        <v>1</v>
      </c>
      <c r="X3326" s="13">
        <f t="shared" si="3578"/>
        <v>1</v>
      </c>
      <c r="Y3326" s="13">
        <f t="shared" si="3578"/>
        <v>1</v>
      </c>
      <c r="Z3326" s="13">
        <f t="shared" si="3023"/>
        <v>0</v>
      </c>
      <c r="AA3326" s="13"/>
      <c r="AB3326" s="13"/>
      <c r="AC3326" s="13"/>
      <c r="AD3326" s="13"/>
      <c r="AE3326" s="13"/>
      <c r="AF3326" s="13"/>
      <c r="AG3326" s="13"/>
      <c r="AH3326" s="13"/>
      <c r="AI3326" s="13"/>
      <c r="AJ3326" s="13"/>
      <c r="AK3326" s="13"/>
      <c r="AL3326" s="13"/>
      <c r="AM3326" s="13"/>
      <c r="AN3326" s="13"/>
      <c r="AO3326" s="13"/>
      <c r="AP3326" s="13"/>
      <c r="AQ3326" s="13"/>
      <c r="AR3326" s="13"/>
      <c r="AS3326" s="13"/>
    </row>
    <row r="3327" ht="14.25" customHeight="1">
      <c r="A3327" s="13" t="s">
        <v>29</v>
      </c>
      <c r="B3327" s="13" t="s">
        <v>32</v>
      </c>
      <c r="C3327" s="13" t="s">
        <v>167</v>
      </c>
      <c r="D3327" s="13" t="s">
        <v>188</v>
      </c>
      <c r="F3327" s="13"/>
      <c r="G3327" s="13" t="s">
        <v>111</v>
      </c>
      <c r="H3327" s="13" t="s">
        <v>75</v>
      </c>
      <c r="I3327" s="13"/>
      <c r="J3327" s="13"/>
      <c r="K3327" s="15"/>
      <c r="L3327" s="15"/>
      <c r="M3327" s="16">
        <v>0.0</v>
      </c>
      <c r="N3327" s="16">
        <v>0.0</v>
      </c>
      <c r="O3327" s="17">
        <v>0.0</v>
      </c>
      <c r="P3327" s="17">
        <v>0.0</v>
      </c>
      <c r="Q3327" s="13"/>
      <c r="R3327" s="13"/>
      <c r="S3327" s="13"/>
      <c r="T3327" s="13">
        <f t="shared" ref="T3327:Y3327" si="3579">IF(ISBLANK(K3327)=TRUE,0,1)</f>
        <v>0</v>
      </c>
      <c r="U3327" s="13">
        <f t="shared" si="3579"/>
        <v>0</v>
      </c>
      <c r="V3327" s="13">
        <f t="shared" si="3579"/>
        <v>1</v>
      </c>
      <c r="W3327" s="13">
        <f t="shared" si="3579"/>
        <v>1</v>
      </c>
      <c r="X3327" s="13">
        <f t="shared" si="3579"/>
        <v>1</v>
      </c>
      <c r="Y3327" s="13">
        <f t="shared" si="3579"/>
        <v>1</v>
      </c>
      <c r="Z3327" s="13">
        <f t="shared" si="3023"/>
        <v>0</v>
      </c>
      <c r="AA3327" s="13"/>
      <c r="AB3327" s="13"/>
      <c r="AC3327" s="13"/>
      <c r="AD3327" s="13"/>
      <c r="AE3327" s="13"/>
      <c r="AF3327" s="13"/>
      <c r="AG3327" s="13"/>
      <c r="AH3327" s="13"/>
      <c r="AI3327" s="13"/>
      <c r="AJ3327" s="13"/>
      <c r="AK3327" s="13"/>
      <c r="AL3327" s="13"/>
      <c r="AM3327" s="13"/>
      <c r="AN3327" s="13"/>
      <c r="AO3327" s="13"/>
      <c r="AP3327" s="13"/>
      <c r="AQ3327" s="13"/>
      <c r="AR3327" s="13"/>
      <c r="AS3327" s="13"/>
    </row>
    <row r="3328" ht="14.25" customHeight="1">
      <c r="A3328" s="13" t="s">
        <v>29</v>
      </c>
      <c r="B3328" s="13" t="s">
        <v>32</v>
      </c>
      <c r="C3328" s="13" t="s">
        <v>167</v>
      </c>
      <c r="D3328" s="13" t="s">
        <v>189</v>
      </c>
      <c r="F3328" s="13"/>
      <c r="G3328" s="13" t="s">
        <v>111</v>
      </c>
      <c r="H3328" s="13" t="s">
        <v>75</v>
      </c>
      <c r="I3328" s="13"/>
      <c r="J3328" s="13"/>
      <c r="K3328" s="15"/>
      <c r="L3328" s="15"/>
      <c r="M3328" s="16">
        <v>0.0</v>
      </c>
      <c r="N3328" s="16">
        <v>0.0</v>
      </c>
      <c r="O3328" s="17">
        <v>0.0</v>
      </c>
      <c r="P3328" s="17">
        <v>0.0</v>
      </c>
      <c r="Q3328" s="13"/>
      <c r="R3328" s="13"/>
      <c r="S3328" s="13"/>
      <c r="T3328" s="13">
        <f t="shared" ref="T3328:Y3328" si="3580">IF(ISBLANK(K3328)=TRUE,0,1)</f>
        <v>0</v>
      </c>
      <c r="U3328" s="13">
        <f t="shared" si="3580"/>
        <v>0</v>
      </c>
      <c r="V3328" s="13">
        <f t="shared" si="3580"/>
        <v>1</v>
      </c>
      <c r="W3328" s="13">
        <f t="shared" si="3580"/>
        <v>1</v>
      </c>
      <c r="X3328" s="13">
        <f t="shared" si="3580"/>
        <v>1</v>
      </c>
      <c r="Y3328" s="13">
        <f t="shared" si="3580"/>
        <v>1</v>
      </c>
      <c r="Z3328" s="13">
        <f t="shared" si="3023"/>
        <v>0</v>
      </c>
      <c r="AA3328" s="13"/>
      <c r="AB3328" s="13"/>
      <c r="AC3328" s="13"/>
      <c r="AD3328" s="13"/>
      <c r="AE3328" s="13"/>
      <c r="AF3328" s="13"/>
      <c r="AG3328" s="13"/>
      <c r="AH3328" s="13"/>
      <c r="AI3328" s="13"/>
      <c r="AJ3328" s="13"/>
      <c r="AK3328" s="13"/>
      <c r="AL3328" s="13"/>
      <c r="AM3328" s="13"/>
      <c r="AN3328" s="13"/>
      <c r="AO3328" s="13"/>
      <c r="AP3328" s="13"/>
      <c r="AQ3328" s="13"/>
      <c r="AR3328" s="13"/>
      <c r="AS3328" s="13"/>
    </row>
    <row r="3329" ht="14.25" customHeight="1">
      <c r="A3329" s="13" t="s">
        <v>29</v>
      </c>
      <c r="B3329" s="13" t="s">
        <v>32</v>
      </c>
      <c r="C3329" s="13" t="s">
        <v>167</v>
      </c>
      <c r="D3329" s="13" t="s">
        <v>190</v>
      </c>
      <c r="F3329" s="13"/>
      <c r="G3329" s="13" t="s">
        <v>111</v>
      </c>
      <c r="H3329" s="13" t="s">
        <v>75</v>
      </c>
      <c r="I3329" s="13"/>
      <c r="J3329" s="13"/>
      <c r="K3329" s="15"/>
      <c r="L3329" s="15"/>
      <c r="M3329" s="16">
        <v>0.0</v>
      </c>
      <c r="N3329" s="16">
        <v>0.0</v>
      </c>
      <c r="O3329" s="17">
        <v>0.0</v>
      </c>
      <c r="P3329" s="17">
        <v>0.0</v>
      </c>
      <c r="Q3329" s="13"/>
      <c r="R3329" s="13"/>
      <c r="S3329" s="13"/>
      <c r="T3329" s="13">
        <f t="shared" ref="T3329:Y3329" si="3581">IF(ISBLANK(K3329)=TRUE,0,1)</f>
        <v>0</v>
      </c>
      <c r="U3329" s="13">
        <f t="shared" si="3581"/>
        <v>0</v>
      </c>
      <c r="V3329" s="13">
        <f t="shared" si="3581"/>
        <v>1</v>
      </c>
      <c r="W3329" s="13">
        <f t="shared" si="3581"/>
        <v>1</v>
      </c>
      <c r="X3329" s="13">
        <f t="shared" si="3581"/>
        <v>1</v>
      </c>
      <c r="Y3329" s="13">
        <f t="shared" si="3581"/>
        <v>1</v>
      </c>
      <c r="Z3329" s="13">
        <f t="shared" si="3023"/>
        <v>0</v>
      </c>
      <c r="AA3329" s="13"/>
      <c r="AB3329" s="13"/>
      <c r="AC3329" s="13"/>
      <c r="AD3329" s="13"/>
      <c r="AE3329" s="13"/>
      <c r="AF3329" s="13"/>
      <c r="AG3329" s="13"/>
      <c r="AH3329" s="13"/>
      <c r="AI3329" s="13"/>
      <c r="AJ3329" s="13"/>
      <c r="AK3329" s="13"/>
      <c r="AL3329" s="13"/>
      <c r="AM3329" s="13"/>
      <c r="AN3329" s="13"/>
      <c r="AO3329" s="13"/>
      <c r="AP3329" s="13"/>
      <c r="AQ3329" s="13"/>
      <c r="AR3329" s="13"/>
      <c r="AS3329" s="13"/>
    </row>
    <row r="3330" ht="14.25" customHeight="1">
      <c r="A3330" s="13" t="s">
        <v>29</v>
      </c>
      <c r="B3330" s="13" t="s">
        <v>32</v>
      </c>
      <c r="C3330" s="13" t="s">
        <v>167</v>
      </c>
      <c r="D3330" s="13" t="s">
        <v>191</v>
      </c>
      <c r="F3330" s="13"/>
      <c r="G3330" s="13" t="s">
        <v>111</v>
      </c>
      <c r="H3330" s="13" t="s">
        <v>75</v>
      </c>
      <c r="I3330" s="13"/>
      <c r="J3330" s="13"/>
      <c r="K3330" s="15"/>
      <c r="L3330" s="15"/>
      <c r="M3330" s="16">
        <v>0.0</v>
      </c>
      <c r="N3330" s="16">
        <v>0.0</v>
      </c>
      <c r="O3330" s="17">
        <v>0.0</v>
      </c>
      <c r="P3330" s="17">
        <v>0.0</v>
      </c>
      <c r="Q3330" s="13"/>
      <c r="R3330" s="13"/>
      <c r="S3330" s="13"/>
      <c r="T3330" s="13">
        <f t="shared" ref="T3330:Y3330" si="3582">IF(ISBLANK(K3330)=TRUE,0,1)</f>
        <v>0</v>
      </c>
      <c r="U3330" s="13">
        <f t="shared" si="3582"/>
        <v>0</v>
      </c>
      <c r="V3330" s="13">
        <f t="shared" si="3582"/>
        <v>1</v>
      </c>
      <c r="W3330" s="13">
        <f t="shared" si="3582"/>
        <v>1</v>
      </c>
      <c r="X3330" s="13">
        <f t="shared" si="3582"/>
        <v>1</v>
      </c>
      <c r="Y3330" s="13">
        <f t="shared" si="3582"/>
        <v>1</v>
      </c>
      <c r="Z3330" s="13">
        <f t="shared" si="3023"/>
        <v>0</v>
      </c>
      <c r="AA3330" s="13"/>
      <c r="AB3330" s="13"/>
      <c r="AC3330" s="13"/>
      <c r="AD3330" s="13"/>
      <c r="AE3330" s="13"/>
      <c r="AF3330" s="13"/>
      <c r="AG3330" s="13"/>
      <c r="AH3330" s="13"/>
      <c r="AI3330" s="13"/>
      <c r="AJ3330" s="13"/>
      <c r="AK3330" s="13"/>
      <c r="AL3330" s="13"/>
      <c r="AM3330" s="13"/>
      <c r="AN3330" s="13"/>
      <c r="AO3330" s="13"/>
      <c r="AP3330" s="13"/>
      <c r="AQ3330" s="13"/>
      <c r="AR3330" s="13"/>
      <c r="AS3330" s="13"/>
    </row>
    <row r="3331" ht="14.25" customHeight="1">
      <c r="A3331" s="13" t="s">
        <v>46</v>
      </c>
      <c r="B3331" s="13" t="s">
        <v>55</v>
      </c>
      <c r="C3331" s="13" t="s">
        <v>1968</v>
      </c>
      <c r="D3331" s="13"/>
      <c r="E3331" s="13"/>
      <c r="F3331" s="13"/>
      <c r="G3331" s="13" t="s">
        <v>111</v>
      </c>
      <c r="H3331" s="13" t="s">
        <v>107</v>
      </c>
      <c r="I3331" s="13"/>
      <c r="J3331" s="13"/>
      <c r="K3331" s="15">
        <v>0.0</v>
      </c>
      <c r="L3331" s="15">
        <v>0.0</v>
      </c>
      <c r="M3331" s="16"/>
      <c r="N3331" s="16"/>
      <c r="O3331" s="17"/>
      <c r="P3331" s="17"/>
      <c r="Q3331" s="13"/>
      <c r="R3331" s="13"/>
      <c r="S3331" s="13"/>
      <c r="T3331" s="13">
        <f t="shared" ref="T3331:Y3331" si="3583">IF(ISBLANK(K3331)=TRUE,0,1)</f>
        <v>1</v>
      </c>
      <c r="U3331" s="13">
        <f t="shared" si="3583"/>
        <v>1</v>
      </c>
      <c r="V3331" s="13">
        <f t="shared" si="3583"/>
        <v>0</v>
      </c>
      <c r="W3331" s="13">
        <f t="shared" si="3583"/>
        <v>0</v>
      </c>
      <c r="X3331" s="13">
        <f t="shared" si="3583"/>
        <v>0</v>
      </c>
      <c r="Y3331" s="13">
        <f t="shared" si="3583"/>
        <v>0</v>
      </c>
      <c r="Z3331" s="13">
        <f t="shared" si="3023"/>
        <v>0</v>
      </c>
      <c r="AA3331" s="13"/>
      <c r="AB3331" s="13"/>
      <c r="AC3331" s="13"/>
      <c r="AD3331" s="13"/>
      <c r="AE3331" s="13"/>
      <c r="AF3331" s="13"/>
      <c r="AG3331" s="13"/>
      <c r="AH3331" s="13"/>
      <c r="AI3331" s="13"/>
      <c r="AJ3331" s="13"/>
      <c r="AK3331" s="13"/>
      <c r="AL3331" s="13"/>
      <c r="AM3331" s="13"/>
      <c r="AN3331" s="13"/>
      <c r="AO3331" s="13"/>
      <c r="AP3331" s="13"/>
      <c r="AQ3331" s="13"/>
      <c r="AR3331" s="13"/>
      <c r="AS3331" s="13"/>
    </row>
    <row r="3332" ht="14.25" customHeight="1">
      <c r="A3332" s="13" t="s">
        <v>29</v>
      </c>
      <c r="B3332" s="13" t="s">
        <v>32</v>
      </c>
      <c r="C3332" s="13" t="s">
        <v>167</v>
      </c>
      <c r="D3332" s="13" t="s">
        <v>192</v>
      </c>
      <c r="F3332" s="13"/>
      <c r="G3332" s="13" t="s">
        <v>111</v>
      </c>
      <c r="H3332" s="13" t="s">
        <v>75</v>
      </c>
      <c r="I3332" s="13"/>
      <c r="J3332" s="13"/>
      <c r="K3332" s="15"/>
      <c r="L3332" s="15"/>
      <c r="M3332" s="16">
        <v>0.0</v>
      </c>
      <c r="N3332" s="16">
        <v>0.0</v>
      </c>
      <c r="O3332" s="17">
        <v>0.0</v>
      </c>
      <c r="P3332" s="17">
        <v>0.0</v>
      </c>
      <c r="Q3332" s="13"/>
      <c r="R3332" s="13"/>
      <c r="S3332" s="13"/>
      <c r="T3332" s="13">
        <f t="shared" ref="T3332:Y3332" si="3584">IF(ISBLANK(K3332)=TRUE,0,1)</f>
        <v>0</v>
      </c>
      <c r="U3332" s="13">
        <f t="shared" si="3584"/>
        <v>0</v>
      </c>
      <c r="V3332" s="13">
        <f t="shared" si="3584"/>
        <v>1</v>
      </c>
      <c r="W3332" s="13">
        <f t="shared" si="3584"/>
        <v>1</v>
      </c>
      <c r="X3332" s="13">
        <f t="shared" si="3584"/>
        <v>1</v>
      </c>
      <c r="Y3332" s="13">
        <f t="shared" si="3584"/>
        <v>1</v>
      </c>
      <c r="Z3332" s="13">
        <f t="shared" si="3023"/>
        <v>0</v>
      </c>
      <c r="AA3332" s="13"/>
      <c r="AB3332" s="13"/>
      <c r="AC3332" s="13"/>
      <c r="AD3332" s="13"/>
      <c r="AE3332" s="13"/>
      <c r="AF3332" s="13"/>
      <c r="AG3332" s="13"/>
      <c r="AH3332" s="13"/>
      <c r="AI3332" s="13"/>
      <c r="AJ3332" s="13"/>
      <c r="AK3332" s="13"/>
      <c r="AL3332" s="13"/>
      <c r="AM3332" s="13"/>
      <c r="AN3332" s="13"/>
      <c r="AO3332" s="13"/>
      <c r="AP3332" s="13"/>
      <c r="AQ3332" s="13"/>
      <c r="AR3332" s="13"/>
      <c r="AS3332" s="13"/>
    </row>
    <row r="3333" ht="14.25" customHeight="1">
      <c r="A3333" s="13" t="s">
        <v>46</v>
      </c>
      <c r="B3333" s="13" t="s">
        <v>55</v>
      </c>
      <c r="C3333" s="13" t="s">
        <v>1969</v>
      </c>
      <c r="D3333" s="13"/>
      <c r="E3333" s="13"/>
      <c r="F3333" s="13"/>
      <c r="G3333" s="13" t="s">
        <v>111</v>
      </c>
      <c r="H3333" s="13" t="s">
        <v>107</v>
      </c>
      <c r="I3333" s="13"/>
      <c r="J3333" s="13"/>
      <c r="K3333" s="15">
        <v>0.0</v>
      </c>
      <c r="L3333" s="15">
        <v>0.0</v>
      </c>
      <c r="M3333" s="16"/>
      <c r="N3333" s="16"/>
      <c r="O3333" s="17"/>
      <c r="P3333" s="17"/>
      <c r="Q3333" s="13"/>
      <c r="R3333" s="13"/>
      <c r="S3333" s="13"/>
      <c r="T3333" s="13">
        <f t="shared" ref="T3333:Y3333" si="3585">IF(ISBLANK(K3333)=TRUE,0,1)</f>
        <v>1</v>
      </c>
      <c r="U3333" s="13">
        <f t="shared" si="3585"/>
        <v>1</v>
      </c>
      <c r="V3333" s="13">
        <f t="shared" si="3585"/>
        <v>0</v>
      </c>
      <c r="W3333" s="13">
        <f t="shared" si="3585"/>
        <v>0</v>
      </c>
      <c r="X3333" s="13">
        <f t="shared" si="3585"/>
        <v>0</v>
      </c>
      <c r="Y3333" s="13">
        <f t="shared" si="3585"/>
        <v>0</v>
      </c>
      <c r="Z3333" s="13">
        <f t="shared" si="3023"/>
        <v>0</v>
      </c>
      <c r="AA3333" s="13"/>
      <c r="AB3333" s="13"/>
      <c r="AC3333" s="13"/>
      <c r="AD3333" s="13"/>
      <c r="AE3333" s="13"/>
      <c r="AF3333" s="13"/>
      <c r="AG3333" s="13"/>
      <c r="AH3333" s="13"/>
      <c r="AI3333" s="13"/>
      <c r="AJ3333" s="13"/>
      <c r="AK3333" s="13"/>
      <c r="AL3333" s="13"/>
      <c r="AM3333" s="13"/>
      <c r="AN3333" s="13"/>
      <c r="AO3333" s="13"/>
      <c r="AP3333" s="13"/>
      <c r="AQ3333" s="13"/>
      <c r="AR3333" s="13"/>
      <c r="AS3333" s="13"/>
    </row>
    <row r="3334" ht="14.25" customHeight="1">
      <c r="A3334" s="13" t="s">
        <v>36</v>
      </c>
      <c r="B3334" s="13" t="s">
        <v>41</v>
      </c>
      <c r="C3334" s="13" t="s">
        <v>1967</v>
      </c>
      <c r="D3334" s="13" t="s">
        <v>175</v>
      </c>
      <c r="F3334" s="13"/>
      <c r="G3334" s="13" t="s">
        <v>74</v>
      </c>
      <c r="H3334" s="13" t="s">
        <v>75</v>
      </c>
      <c r="I3334" s="13"/>
      <c r="J3334" s="13"/>
      <c r="K3334" s="15">
        <v>0.0</v>
      </c>
      <c r="L3334" s="15">
        <v>0.0</v>
      </c>
      <c r="M3334" s="16"/>
      <c r="N3334" s="16"/>
      <c r="O3334" s="17"/>
      <c r="P3334" s="17"/>
      <c r="Q3334" s="13">
        <f t="shared" ref="Q3334:Q3337" si="3587">K3333+L3333+M3333+N3333+O3333+P3333/6</f>
        <v>0</v>
      </c>
      <c r="R3334" s="13"/>
      <c r="S3334" s="13"/>
      <c r="T3334" s="13">
        <f t="shared" ref="T3334:Y3334" si="3586">IF(ISBLANK(K3334)=TRUE,0,1)</f>
        <v>1</v>
      </c>
      <c r="U3334" s="13">
        <f t="shared" si="3586"/>
        <v>1</v>
      </c>
      <c r="V3334" s="13">
        <f t="shared" si="3586"/>
        <v>0</v>
      </c>
      <c r="W3334" s="13">
        <f t="shared" si="3586"/>
        <v>0</v>
      </c>
      <c r="X3334" s="13">
        <f t="shared" si="3586"/>
        <v>0</v>
      </c>
      <c r="Y3334" s="13">
        <f t="shared" si="3586"/>
        <v>0</v>
      </c>
      <c r="Z3334" s="13">
        <f t="shared" si="3023"/>
        <v>0</v>
      </c>
      <c r="AA3334" s="13"/>
      <c r="AB3334" s="13"/>
      <c r="AC3334" s="13"/>
      <c r="AD3334" s="13"/>
      <c r="AE3334" s="13"/>
      <c r="AF3334" s="13"/>
      <c r="AG3334" s="13"/>
      <c r="AH3334" s="13"/>
      <c r="AI3334" s="13"/>
      <c r="AJ3334" s="13"/>
      <c r="AK3334" s="13"/>
      <c r="AL3334" s="13"/>
      <c r="AM3334" s="13"/>
      <c r="AN3334" s="13"/>
      <c r="AO3334" s="13"/>
      <c r="AP3334" s="13"/>
      <c r="AQ3334" s="13"/>
      <c r="AR3334" s="13"/>
      <c r="AS3334" s="13"/>
    </row>
    <row r="3335" ht="14.25" customHeight="1">
      <c r="A3335" s="13" t="s">
        <v>36</v>
      </c>
      <c r="B3335" s="13" t="s">
        <v>41</v>
      </c>
      <c r="C3335" s="13" t="s">
        <v>1967</v>
      </c>
      <c r="D3335" s="13" t="s">
        <v>176</v>
      </c>
      <c r="F3335" s="13"/>
      <c r="G3335" s="13" t="s">
        <v>74</v>
      </c>
      <c r="H3335" s="13" t="s">
        <v>75</v>
      </c>
      <c r="I3335" s="13"/>
      <c r="J3335" s="13"/>
      <c r="K3335" s="15">
        <v>0.0</v>
      </c>
      <c r="L3335" s="15">
        <v>0.0</v>
      </c>
      <c r="M3335" s="16"/>
      <c r="N3335" s="16"/>
      <c r="O3335" s="17"/>
      <c r="P3335" s="17"/>
      <c r="Q3335" s="13">
        <f t="shared" si="3587"/>
        <v>0</v>
      </c>
      <c r="R3335" s="13"/>
      <c r="S3335" s="13"/>
      <c r="T3335" s="13">
        <f t="shared" ref="T3335:Y3335" si="3588">IF(ISBLANK(K3335)=TRUE,0,1)</f>
        <v>1</v>
      </c>
      <c r="U3335" s="13">
        <f t="shared" si="3588"/>
        <v>1</v>
      </c>
      <c r="V3335" s="13">
        <f t="shared" si="3588"/>
        <v>0</v>
      </c>
      <c r="W3335" s="13">
        <f t="shared" si="3588"/>
        <v>0</v>
      </c>
      <c r="X3335" s="13">
        <f t="shared" si="3588"/>
        <v>0</v>
      </c>
      <c r="Y3335" s="13">
        <f t="shared" si="3588"/>
        <v>0</v>
      </c>
      <c r="Z3335" s="13">
        <f t="shared" si="3023"/>
        <v>0</v>
      </c>
      <c r="AA3335" s="13"/>
      <c r="AB3335" s="13"/>
      <c r="AC3335" s="13"/>
      <c r="AD3335" s="13"/>
      <c r="AE3335" s="13"/>
      <c r="AF3335" s="13"/>
      <c r="AG3335" s="13"/>
      <c r="AH3335" s="13"/>
      <c r="AI3335" s="13"/>
      <c r="AJ3335" s="13"/>
      <c r="AK3335" s="13"/>
      <c r="AL3335" s="13"/>
      <c r="AM3335" s="13"/>
      <c r="AN3335" s="13"/>
      <c r="AO3335" s="13"/>
      <c r="AP3335" s="13"/>
      <c r="AQ3335" s="13"/>
      <c r="AR3335" s="13"/>
      <c r="AS3335" s="13"/>
    </row>
    <row r="3336" ht="14.25" customHeight="1">
      <c r="A3336" s="13" t="s">
        <v>36</v>
      </c>
      <c r="B3336" s="13" t="s">
        <v>41</v>
      </c>
      <c r="C3336" s="13" t="s">
        <v>1967</v>
      </c>
      <c r="D3336" s="13" t="s">
        <v>177</v>
      </c>
      <c r="F3336" s="13"/>
      <c r="G3336" s="13" t="s">
        <v>74</v>
      </c>
      <c r="H3336" s="13" t="s">
        <v>75</v>
      </c>
      <c r="I3336" s="13"/>
      <c r="J3336" s="13"/>
      <c r="K3336" s="15">
        <v>0.0</v>
      </c>
      <c r="L3336" s="15">
        <v>0.0</v>
      </c>
      <c r="M3336" s="16"/>
      <c r="N3336" s="16"/>
      <c r="O3336" s="17"/>
      <c r="P3336" s="17"/>
      <c r="Q3336" s="13">
        <f t="shared" si="3587"/>
        <v>0</v>
      </c>
      <c r="R3336" s="13"/>
      <c r="S3336" s="13"/>
      <c r="T3336" s="13">
        <f t="shared" ref="T3336:Y3336" si="3589">IF(ISBLANK(K3336)=TRUE,0,1)</f>
        <v>1</v>
      </c>
      <c r="U3336" s="13">
        <f t="shared" si="3589"/>
        <v>1</v>
      </c>
      <c r="V3336" s="13">
        <f t="shared" si="3589"/>
        <v>0</v>
      </c>
      <c r="W3336" s="13">
        <f t="shared" si="3589"/>
        <v>0</v>
      </c>
      <c r="X3336" s="13">
        <f t="shared" si="3589"/>
        <v>0</v>
      </c>
      <c r="Y3336" s="13">
        <f t="shared" si="3589"/>
        <v>0</v>
      </c>
      <c r="Z3336" s="13">
        <f t="shared" si="3023"/>
        <v>0</v>
      </c>
      <c r="AA3336" s="13"/>
      <c r="AB3336" s="13"/>
      <c r="AC3336" s="13"/>
      <c r="AD3336" s="13"/>
      <c r="AE3336" s="13"/>
      <c r="AF3336" s="13"/>
      <c r="AG3336" s="13"/>
      <c r="AH3336" s="13"/>
      <c r="AI3336" s="13"/>
      <c r="AJ3336" s="13"/>
      <c r="AK3336" s="13"/>
      <c r="AL3336" s="13"/>
      <c r="AM3336" s="13"/>
      <c r="AN3336" s="13"/>
      <c r="AO3336" s="13"/>
      <c r="AP3336" s="13"/>
      <c r="AQ3336" s="13"/>
      <c r="AR3336" s="13"/>
      <c r="AS3336" s="13"/>
    </row>
    <row r="3337" ht="14.25" customHeight="1">
      <c r="A3337" s="13" t="s">
        <v>36</v>
      </c>
      <c r="B3337" s="13" t="s">
        <v>37</v>
      </c>
      <c r="C3337" s="13" t="s">
        <v>607</v>
      </c>
      <c r="D3337" s="13" t="s">
        <v>178</v>
      </c>
      <c r="F3337" s="13"/>
      <c r="G3337" s="13" t="s">
        <v>111</v>
      </c>
      <c r="H3337" s="13" t="s">
        <v>75</v>
      </c>
      <c r="I3337" s="13"/>
      <c r="J3337" s="13"/>
      <c r="K3337" s="15">
        <v>0.0</v>
      </c>
      <c r="L3337" s="15">
        <v>0.0</v>
      </c>
      <c r="M3337" s="16"/>
      <c r="N3337" s="16"/>
      <c r="O3337" s="17"/>
      <c r="P3337" s="17"/>
      <c r="Q3337" s="13">
        <f t="shared" si="3587"/>
        <v>0</v>
      </c>
      <c r="R3337" s="13"/>
      <c r="S3337" s="13"/>
      <c r="T3337" s="13">
        <f t="shared" ref="T3337:Y3337" si="3590">IF(ISBLANK(K3337)=TRUE,0,1)</f>
        <v>1</v>
      </c>
      <c r="U3337" s="13">
        <f t="shared" si="3590"/>
        <v>1</v>
      </c>
      <c r="V3337" s="13">
        <f t="shared" si="3590"/>
        <v>0</v>
      </c>
      <c r="W3337" s="13">
        <f t="shared" si="3590"/>
        <v>0</v>
      </c>
      <c r="X3337" s="13">
        <f t="shared" si="3590"/>
        <v>0</v>
      </c>
      <c r="Y3337" s="13">
        <f t="shared" si="3590"/>
        <v>0</v>
      </c>
      <c r="Z3337" s="13">
        <f t="shared" si="3023"/>
        <v>0</v>
      </c>
      <c r="AA3337" s="13"/>
      <c r="AB3337" s="13"/>
      <c r="AC3337" s="13"/>
      <c r="AD3337" s="13"/>
      <c r="AE3337" s="13"/>
      <c r="AF3337" s="13"/>
      <c r="AG3337" s="13"/>
      <c r="AH3337" s="13"/>
      <c r="AI3337" s="13"/>
      <c r="AJ3337" s="13"/>
      <c r="AK3337" s="13"/>
      <c r="AL3337" s="13"/>
      <c r="AM3337" s="13"/>
      <c r="AN3337" s="13"/>
      <c r="AO3337" s="13"/>
      <c r="AP3337" s="13"/>
      <c r="AQ3337" s="13"/>
      <c r="AR3337" s="13"/>
      <c r="AS3337" s="13"/>
    </row>
    <row r="3338" ht="14.25" customHeight="1">
      <c r="A3338" s="13" t="s">
        <v>29</v>
      </c>
      <c r="B3338" s="13" t="s">
        <v>32</v>
      </c>
      <c r="C3338" s="13" t="s">
        <v>167</v>
      </c>
      <c r="D3338" s="13" t="s">
        <v>193</v>
      </c>
      <c r="F3338" s="13"/>
      <c r="G3338" s="13" t="s">
        <v>111</v>
      </c>
      <c r="H3338" s="13" t="s">
        <v>75</v>
      </c>
      <c r="I3338" s="13"/>
      <c r="J3338" s="13"/>
      <c r="K3338" s="15"/>
      <c r="L3338" s="15"/>
      <c r="M3338" s="16">
        <v>0.0</v>
      </c>
      <c r="N3338" s="16">
        <v>0.0</v>
      </c>
      <c r="O3338" s="17">
        <v>0.0</v>
      </c>
      <c r="P3338" s="17">
        <v>0.0</v>
      </c>
      <c r="Q3338" s="13"/>
      <c r="R3338" s="13"/>
      <c r="S3338" s="13"/>
      <c r="T3338" s="13">
        <f t="shared" ref="T3338:Y3338" si="3591">IF(ISBLANK(K3338)=TRUE,0,1)</f>
        <v>0</v>
      </c>
      <c r="U3338" s="13">
        <f t="shared" si="3591"/>
        <v>0</v>
      </c>
      <c r="V3338" s="13">
        <f t="shared" si="3591"/>
        <v>1</v>
      </c>
      <c r="W3338" s="13">
        <f t="shared" si="3591"/>
        <v>1</v>
      </c>
      <c r="X3338" s="13">
        <f t="shared" si="3591"/>
        <v>1</v>
      </c>
      <c r="Y3338" s="13">
        <f t="shared" si="3591"/>
        <v>1</v>
      </c>
      <c r="Z3338" s="13">
        <f t="shared" si="3023"/>
        <v>0</v>
      </c>
      <c r="AA3338" s="13"/>
      <c r="AB3338" s="13"/>
      <c r="AC3338" s="13"/>
      <c r="AD3338" s="13"/>
      <c r="AE3338" s="13"/>
      <c r="AF3338" s="13"/>
      <c r="AG3338" s="13"/>
      <c r="AH3338" s="13"/>
      <c r="AI3338" s="13"/>
      <c r="AJ3338" s="13"/>
      <c r="AK3338" s="13"/>
      <c r="AL3338" s="13"/>
      <c r="AM3338" s="13"/>
      <c r="AN3338" s="13"/>
      <c r="AO3338" s="13"/>
      <c r="AP3338" s="13"/>
      <c r="AQ3338" s="13"/>
      <c r="AR3338" s="13"/>
      <c r="AS3338" s="13"/>
    </row>
    <row r="3339" ht="14.25" customHeight="1">
      <c r="A3339" s="13" t="s">
        <v>36</v>
      </c>
      <c r="B3339" s="13" t="s">
        <v>37</v>
      </c>
      <c r="C3339" s="13" t="s">
        <v>607</v>
      </c>
      <c r="D3339" s="13" t="s">
        <v>179</v>
      </c>
      <c r="F3339" s="13"/>
      <c r="G3339" s="13" t="s">
        <v>111</v>
      </c>
      <c r="H3339" s="13" t="s">
        <v>75</v>
      </c>
      <c r="I3339" s="13"/>
      <c r="J3339" s="13"/>
      <c r="K3339" s="15">
        <v>0.0</v>
      </c>
      <c r="L3339" s="15">
        <v>0.0</v>
      </c>
      <c r="M3339" s="16"/>
      <c r="N3339" s="16"/>
      <c r="O3339" s="17"/>
      <c r="P3339" s="17"/>
      <c r="Q3339" s="13">
        <f>K3338+L3338+M3338+N3338+O3338+P3338/6</f>
        <v>0</v>
      </c>
      <c r="R3339" s="13"/>
      <c r="S3339" s="13"/>
      <c r="T3339" s="13">
        <f t="shared" ref="T3339:Y3339" si="3592">IF(ISBLANK(K3339)=TRUE,0,1)</f>
        <v>1</v>
      </c>
      <c r="U3339" s="13">
        <f t="shared" si="3592"/>
        <v>1</v>
      </c>
      <c r="V3339" s="13">
        <f t="shared" si="3592"/>
        <v>0</v>
      </c>
      <c r="W3339" s="13">
        <f t="shared" si="3592"/>
        <v>0</v>
      </c>
      <c r="X3339" s="13">
        <f t="shared" si="3592"/>
        <v>0</v>
      </c>
      <c r="Y3339" s="13">
        <f t="shared" si="3592"/>
        <v>0</v>
      </c>
      <c r="Z3339" s="13">
        <f t="shared" si="3023"/>
        <v>0</v>
      </c>
      <c r="AA3339" s="13"/>
      <c r="AB3339" s="13"/>
      <c r="AC3339" s="13"/>
      <c r="AD3339" s="13"/>
      <c r="AE3339" s="13"/>
      <c r="AF3339" s="13"/>
      <c r="AG3339" s="13"/>
      <c r="AH3339" s="13"/>
      <c r="AI3339" s="13"/>
      <c r="AJ3339" s="13"/>
      <c r="AK3339" s="13"/>
      <c r="AL3339" s="13"/>
      <c r="AM3339" s="13"/>
      <c r="AN3339" s="13"/>
      <c r="AO3339" s="13"/>
      <c r="AP3339" s="13"/>
      <c r="AQ3339" s="13"/>
      <c r="AR3339" s="13"/>
      <c r="AS3339" s="13"/>
    </row>
    <row r="3340" ht="14.25" customHeight="1">
      <c r="A3340" s="13" t="s">
        <v>29</v>
      </c>
      <c r="B3340" s="13" t="s">
        <v>32</v>
      </c>
      <c r="C3340" s="13" t="s">
        <v>167</v>
      </c>
      <c r="D3340" s="13" t="s">
        <v>194</v>
      </c>
      <c r="F3340" s="13"/>
      <c r="G3340" s="13" t="s">
        <v>111</v>
      </c>
      <c r="H3340" s="13" t="s">
        <v>75</v>
      </c>
      <c r="I3340" s="13"/>
      <c r="J3340" s="13"/>
      <c r="K3340" s="15"/>
      <c r="L3340" s="15"/>
      <c r="M3340" s="16">
        <v>0.0</v>
      </c>
      <c r="N3340" s="16">
        <v>0.0</v>
      </c>
      <c r="O3340" s="17">
        <v>0.0</v>
      </c>
      <c r="P3340" s="17">
        <v>0.0</v>
      </c>
      <c r="Q3340" s="13"/>
      <c r="R3340" s="13"/>
      <c r="S3340" s="13"/>
      <c r="T3340" s="13">
        <f t="shared" ref="T3340:Y3340" si="3593">IF(ISBLANK(K3340)=TRUE,0,1)</f>
        <v>0</v>
      </c>
      <c r="U3340" s="13">
        <f t="shared" si="3593"/>
        <v>0</v>
      </c>
      <c r="V3340" s="13">
        <f t="shared" si="3593"/>
        <v>1</v>
      </c>
      <c r="W3340" s="13">
        <f t="shared" si="3593"/>
        <v>1</v>
      </c>
      <c r="X3340" s="13">
        <f t="shared" si="3593"/>
        <v>1</v>
      </c>
      <c r="Y3340" s="13">
        <f t="shared" si="3593"/>
        <v>1</v>
      </c>
      <c r="Z3340" s="13">
        <f t="shared" si="3023"/>
        <v>0</v>
      </c>
      <c r="AA3340" s="13"/>
      <c r="AB3340" s="13"/>
      <c r="AC3340" s="13"/>
      <c r="AD3340" s="13"/>
      <c r="AE3340" s="13"/>
      <c r="AF3340" s="13"/>
      <c r="AG3340" s="13"/>
      <c r="AH3340" s="13"/>
      <c r="AI3340" s="13"/>
      <c r="AJ3340" s="13"/>
      <c r="AK3340" s="13"/>
      <c r="AL3340" s="13"/>
      <c r="AM3340" s="13"/>
      <c r="AN3340" s="13"/>
      <c r="AO3340" s="13"/>
      <c r="AP3340" s="13"/>
      <c r="AQ3340" s="13"/>
      <c r="AR3340" s="13"/>
      <c r="AS3340" s="13"/>
    </row>
    <row r="3341" ht="14.25" customHeight="1">
      <c r="A3341" s="13" t="s">
        <v>36</v>
      </c>
      <c r="B3341" s="13" t="s">
        <v>41</v>
      </c>
      <c r="C3341" s="13" t="s">
        <v>1967</v>
      </c>
      <c r="D3341" s="13" t="s">
        <v>178</v>
      </c>
      <c r="F3341" s="13"/>
      <c r="G3341" s="13" t="s">
        <v>74</v>
      </c>
      <c r="H3341" s="13" t="s">
        <v>75</v>
      </c>
      <c r="I3341" s="13"/>
      <c r="J3341" s="13"/>
      <c r="K3341" s="15">
        <v>0.0</v>
      </c>
      <c r="L3341" s="15">
        <v>0.0</v>
      </c>
      <c r="M3341" s="16"/>
      <c r="N3341" s="16"/>
      <c r="O3341" s="17"/>
      <c r="P3341" s="17"/>
      <c r="Q3341" s="13">
        <f t="shared" ref="Q3341:Q3343" si="3595">K3340+L3340+M3340+N3340+O3340+P3340/6</f>
        <v>0</v>
      </c>
      <c r="R3341" s="13"/>
      <c r="S3341" s="13"/>
      <c r="T3341" s="13">
        <f t="shared" ref="T3341:Y3341" si="3594">IF(ISBLANK(K3341)=TRUE,0,1)</f>
        <v>1</v>
      </c>
      <c r="U3341" s="13">
        <f t="shared" si="3594"/>
        <v>1</v>
      </c>
      <c r="V3341" s="13">
        <f t="shared" si="3594"/>
        <v>0</v>
      </c>
      <c r="W3341" s="13">
        <f t="shared" si="3594"/>
        <v>0</v>
      </c>
      <c r="X3341" s="13">
        <f t="shared" si="3594"/>
        <v>0</v>
      </c>
      <c r="Y3341" s="13">
        <f t="shared" si="3594"/>
        <v>0</v>
      </c>
      <c r="Z3341" s="13">
        <f t="shared" si="3023"/>
        <v>0</v>
      </c>
      <c r="AA3341" s="13"/>
      <c r="AB3341" s="13"/>
      <c r="AC3341" s="13"/>
      <c r="AD3341" s="13"/>
      <c r="AE3341" s="13"/>
      <c r="AF3341" s="13"/>
      <c r="AG3341" s="13"/>
      <c r="AH3341" s="13"/>
      <c r="AI3341" s="13"/>
      <c r="AJ3341" s="13"/>
      <c r="AK3341" s="13"/>
      <c r="AL3341" s="13"/>
      <c r="AM3341" s="13"/>
      <c r="AN3341" s="13"/>
      <c r="AO3341" s="13"/>
      <c r="AP3341" s="13"/>
      <c r="AQ3341" s="13"/>
      <c r="AR3341" s="13"/>
      <c r="AS3341" s="13"/>
    </row>
    <row r="3342" ht="14.25" customHeight="1">
      <c r="A3342" s="13" t="s">
        <v>36</v>
      </c>
      <c r="B3342" s="13" t="s">
        <v>41</v>
      </c>
      <c r="C3342" s="13" t="s">
        <v>1967</v>
      </c>
      <c r="D3342" s="13" t="s">
        <v>179</v>
      </c>
      <c r="F3342" s="13"/>
      <c r="G3342" s="13" t="s">
        <v>74</v>
      </c>
      <c r="H3342" s="13" t="s">
        <v>75</v>
      </c>
      <c r="I3342" s="13"/>
      <c r="J3342" s="13"/>
      <c r="K3342" s="15">
        <v>0.0</v>
      </c>
      <c r="L3342" s="15">
        <v>0.0</v>
      </c>
      <c r="M3342" s="16"/>
      <c r="N3342" s="16"/>
      <c r="O3342" s="17"/>
      <c r="P3342" s="17"/>
      <c r="Q3342" s="13">
        <f t="shared" si="3595"/>
        <v>0</v>
      </c>
      <c r="R3342" s="13"/>
      <c r="S3342" s="13"/>
      <c r="T3342" s="13">
        <f t="shared" ref="T3342:Y3342" si="3596">IF(ISBLANK(K3342)=TRUE,0,1)</f>
        <v>1</v>
      </c>
      <c r="U3342" s="13">
        <f t="shared" si="3596"/>
        <v>1</v>
      </c>
      <c r="V3342" s="13">
        <f t="shared" si="3596"/>
        <v>0</v>
      </c>
      <c r="W3342" s="13">
        <f t="shared" si="3596"/>
        <v>0</v>
      </c>
      <c r="X3342" s="13">
        <f t="shared" si="3596"/>
        <v>0</v>
      </c>
      <c r="Y3342" s="13">
        <f t="shared" si="3596"/>
        <v>0</v>
      </c>
      <c r="Z3342" s="13">
        <f t="shared" si="3023"/>
        <v>0</v>
      </c>
      <c r="AA3342" s="13"/>
      <c r="AB3342" s="13"/>
      <c r="AC3342" s="13"/>
      <c r="AD3342" s="13"/>
      <c r="AE3342" s="13"/>
      <c r="AF3342" s="13"/>
      <c r="AG3342" s="13"/>
      <c r="AH3342" s="13"/>
      <c r="AI3342" s="13"/>
      <c r="AJ3342" s="13"/>
      <c r="AK3342" s="13"/>
      <c r="AL3342" s="13"/>
      <c r="AM3342" s="13"/>
      <c r="AN3342" s="13"/>
      <c r="AO3342" s="13"/>
      <c r="AP3342" s="13"/>
      <c r="AQ3342" s="13"/>
      <c r="AR3342" s="13"/>
      <c r="AS3342" s="13"/>
    </row>
    <row r="3343" ht="14.25" customHeight="1">
      <c r="A3343" s="13" t="s">
        <v>36</v>
      </c>
      <c r="B3343" s="13" t="s">
        <v>37</v>
      </c>
      <c r="C3343" s="13" t="s">
        <v>607</v>
      </c>
      <c r="D3343" s="13" t="s">
        <v>180</v>
      </c>
      <c r="F3343" s="13"/>
      <c r="G3343" s="13" t="s">
        <v>111</v>
      </c>
      <c r="H3343" s="13" t="s">
        <v>75</v>
      </c>
      <c r="I3343" s="13"/>
      <c r="J3343" s="13"/>
      <c r="K3343" s="15">
        <v>0.0</v>
      </c>
      <c r="L3343" s="15">
        <v>0.0</v>
      </c>
      <c r="M3343" s="16"/>
      <c r="N3343" s="16"/>
      <c r="O3343" s="17"/>
      <c r="P3343" s="17"/>
      <c r="Q3343" s="13">
        <f t="shared" si="3595"/>
        <v>0</v>
      </c>
      <c r="R3343" s="13"/>
      <c r="S3343" s="13"/>
      <c r="T3343" s="13">
        <f t="shared" ref="T3343:Y3343" si="3597">IF(ISBLANK(K3343)=TRUE,0,1)</f>
        <v>1</v>
      </c>
      <c r="U3343" s="13">
        <f t="shared" si="3597"/>
        <v>1</v>
      </c>
      <c r="V3343" s="13">
        <f t="shared" si="3597"/>
        <v>0</v>
      </c>
      <c r="W3343" s="13">
        <f t="shared" si="3597"/>
        <v>0</v>
      </c>
      <c r="X3343" s="13">
        <f t="shared" si="3597"/>
        <v>0</v>
      </c>
      <c r="Y3343" s="13">
        <f t="shared" si="3597"/>
        <v>0</v>
      </c>
      <c r="Z3343" s="13">
        <f t="shared" si="3023"/>
        <v>0</v>
      </c>
      <c r="AA3343" s="13"/>
      <c r="AB3343" s="13"/>
      <c r="AC3343" s="13"/>
      <c r="AD3343" s="13"/>
      <c r="AE3343" s="13"/>
      <c r="AF3343" s="13"/>
      <c r="AG3343" s="13"/>
      <c r="AH3343" s="13"/>
      <c r="AI3343" s="13"/>
      <c r="AJ3343" s="13"/>
      <c r="AK3343" s="13"/>
      <c r="AL3343" s="13"/>
      <c r="AM3343" s="13"/>
      <c r="AN3343" s="13"/>
      <c r="AO3343" s="13"/>
      <c r="AP3343" s="13"/>
      <c r="AQ3343" s="13"/>
      <c r="AR3343" s="13"/>
      <c r="AS3343" s="13"/>
    </row>
    <row r="3344" ht="14.25" customHeight="1">
      <c r="A3344" s="13" t="s">
        <v>29</v>
      </c>
      <c r="B3344" s="13" t="s">
        <v>32</v>
      </c>
      <c r="C3344" s="13" t="s">
        <v>167</v>
      </c>
      <c r="D3344" s="13" t="s">
        <v>195</v>
      </c>
      <c r="F3344" s="13"/>
      <c r="G3344" s="13" t="s">
        <v>111</v>
      </c>
      <c r="H3344" s="13" t="s">
        <v>75</v>
      </c>
      <c r="I3344" s="13"/>
      <c r="J3344" s="13"/>
      <c r="K3344" s="15"/>
      <c r="L3344" s="15"/>
      <c r="M3344" s="16">
        <v>0.0</v>
      </c>
      <c r="N3344" s="16">
        <v>0.0</v>
      </c>
      <c r="O3344" s="17">
        <v>0.0</v>
      </c>
      <c r="P3344" s="17">
        <v>0.0</v>
      </c>
      <c r="Q3344" s="13"/>
      <c r="R3344" s="13"/>
      <c r="S3344" s="13"/>
      <c r="T3344" s="13">
        <f t="shared" ref="T3344:Y3344" si="3598">IF(ISBLANK(K3344)=TRUE,0,1)</f>
        <v>0</v>
      </c>
      <c r="U3344" s="13">
        <f t="shared" si="3598"/>
        <v>0</v>
      </c>
      <c r="V3344" s="13">
        <f t="shared" si="3598"/>
        <v>1</v>
      </c>
      <c r="W3344" s="13">
        <f t="shared" si="3598"/>
        <v>1</v>
      </c>
      <c r="X3344" s="13">
        <f t="shared" si="3598"/>
        <v>1</v>
      </c>
      <c r="Y3344" s="13">
        <f t="shared" si="3598"/>
        <v>1</v>
      </c>
      <c r="Z3344" s="13">
        <f t="shared" si="3023"/>
        <v>0</v>
      </c>
      <c r="AA3344" s="13"/>
      <c r="AB3344" s="13"/>
      <c r="AC3344" s="13"/>
      <c r="AD3344" s="13"/>
      <c r="AE3344" s="13"/>
      <c r="AF3344" s="13"/>
      <c r="AG3344" s="13"/>
      <c r="AH3344" s="13"/>
      <c r="AI3344" s="13"/>
      <c r="AJ3344" s="13"/>
      <c r="AK3344" s="13"/>
      <c r="AL3344" s="13"/>
      <c r="AM3344" s="13"/>
      <c r="AN3344" s="13"/>
      <c r="AO3344" s="13"/>
      <c r="AP3344" s="13"/>
      <c r="AQ3344" s="13"/>
      <c r="AR3344" s="13"/>
      <c r="AS3344" s="13"/>
    </row>
    <row r="3345" ht="14.25" customHeight="1">
      <c r="A3345" s="13" t="s">
        <v>29</v>
      </c>
      <c r="B3345" s="13" t="s">
        <v>32</v>
      </c>
      <c r="C3345" s="13" t="s">
        <v>167</v>
      </c>
      <c r="D3345" s="13" t="s">
        <v>196</v>
      </c>
      <c r="F3345" s="13"/>
      <c r="G3345" s="13" t="s">
        <v>111</v>
      </c>
      <c r="H3345" s="13" t="s">
        <v>75</v>
      </c>
      <c r="I3345" s="13"/>
      <c r="J3345" s="13"/>
      <c r="K3345" s="15"/>
      <c r="L3345" s="15"/>
      <c r="M3345" s="16">
        <v>0.0</v>
      </c>
      <c r="N3345" s="16">
        <v>0.0</v>
      </c>
      <c r="O3345" s="17">
        <v>0.0</v>
      </c>
      <c r="P3345" s="17">
        <v>0.0</v>
      </c>
      <c r="Q3345" s="13"/>
      <c r="R3345" s="13"/>
      <c r="S3345" s="13"/>
      <c r="T3345" s="13">
        <f t="shared" ref="T3345:Y3345" si="3599">IF(ISBLANK(K3345)=TRUE,0,1)</f>
        <v>0</v>
      </c>
      <c r="U3345" s="13">
        <f t="shared" si="3599"/>
        <v>0</v>
      </c>
      <c r="V3345" s="13">
        <f t="shared" si="3599"/>
        <v>1</v>
      </c>
      <c r="W3345" s="13">
        <f t="shared" si="3599"/>
        <v>1</v>
      </c>
      <c r="X3345" s="13">
        <f t="shared" si="3599"/>
        <v>1</v>
      </c>
      <c r="Y3345" s="13">
        <f t="shared" si="3599"/>
        <v>1</v>
      </c>
      <c r="Z3345" s="13">
        <f t="shared" si="3023"/>
        <v>0</v>
      </c>
      <c r="AA3345" s="13"/>
      <c r="AB3345" s="13"/>
      <c r="AC3345" s="13"/>
      <c r="AD3345" s="13"/>
      <c r="AE3345" s="13"/>
      <c r="AF3345" s="13"/>
      <c r="AG3345" s="13"/>
      <c r="AH3345" s="13"/>
      <c r="AI3345" s="13"/>
      <c r="AJ3345" s="13"/>
      <c r="AK3345" s="13"/>
      <c r="AL3345" s="13"/>
      <c r="AM3345" s="13"/>
      <c r="AN3345" s="13"/>
      <c r="AO3345" s="13"/>
      <c r="AP3345" s="13"/>
      <c r="AQ3345" s="13"/>
      <c r="AR3345" s="13"/>
      <c r="AS3345" s="13"/>
    </row>
    <row r="3346" ht="14.25" customHeight="1">
      <c r="A3346" s="13" t="s">
        <v>29</v>
      </c>
      <c r="B3346" s="13" t="s">
        <v>32</v>
      </c>
      <c r="C3346" s="13" t="s">
        <v>167</v>
      </c>
      <c r="D3346" s="13" t="s">
        <v>197</v>
      </c>
      <c r="F3346" s="13"/>
      <c r="G3346" s="13" t="s">
        <v>111</v>
      </c>
      <c r="H3346" s="13" t="s">
        <v>75</v>
      </c>
      <c r="I3346" s="13"/>
      <c r="J3346" s="13"/>
      <c r="K3346" s="15"/>
      <c r="L3346" s="15"/>
      <c r="M3346" s="16">
        <v>0.0</v>
      </c>
      <c r="N3346" s="16">
        <v>0.0</v>
      </c>
      <c r="O3346" s="17">
        <v>0.0</v>
      </c>
      <c r="P3346" s="17">
        <v>0.0</v>
      </c>
      <c r="Q3346" s="13"/>
      <c r="R3346" s="13"/>
      <c r="S3346" s="13"/>
      <c r="T3346" s="13">
        <f t="shared" ref="T3346:Y3346" si="3600">IF(ISBLANK(K3346)=TRUE,0,1)</f>
        <v>0</v>
      </c>
      <c r="U3346" s="13">
        <f t="shared" si="3600"/>
        <v>0</v>
      </c>
      <c r="V3346" s="13">
        <f t="shared" si="3600"/>
        <v>1</v>
      </c>
      <c r="W3346" s="13">
        <f t="shared" si="3600"/>
        <v>1</v>
      </c>
      <c r="X3346" s="13">
        <f t="shared" si="3600"/>
        <v>1</v>
      </c>
      <c r="Y3346" s="13">
        <f t="shared" si="3600"/>
        <v>1</v>
      </c>
      <c r="Z3346" s="13">
        <f t="shared" si="3023"/>
        <v>0</v>
      </c>
      <c r="AA3346" s="13"/>
      <c r="AB3346" s="13"/>
      <c r="AC3346" s="13"/>
      <c r="AD3346" s="13"/>
      <c r="AE3346" s="13"/>
      <c r="AF3346" s="13"/>
      <c r="AG3346" s="13"/>
      <c r="AH3346" s="13"/>
      <c r="AI3346" s="13"/>
      <c r="AJ3346" s="13"/>
      <c r="AK3346" s="13"/>
      <c r="AL3346" s="13"/>
      <c r="AM3346" s="13"/>
      <c r="AN3346" s="13"/>
      <c r="AO3346" s="13"/>
      <c r="AP3346" s="13"/>
      <c r="AQ3346" s="13"/>
      <c r="AR3346" s="13"/>
      <c r="AS3346" s="13"/>
    </row>
    <row r="3347" ht="14.25" customHeight="1">
      <c r="A3347" s="13" t="s">
        <v>29</v>
      </c>
      <c r="B3347" s="13" t="s">
        <v>32</v>
      </c>
      <c r="C3347" s="13" t="s">
        <v>167</v>
      </c>
      <c r="D3347" s="13" t="s">
        <v>433</v>
      </c>
      <c r="F3347" s="13"/>
      <c r="G3347" s="13" t="s">
        <v>111</v>
      </c>
      <c r="H3347" s="13" t="s">
        <v>75</v>
      </c>
      <c r="I3347" s="13"/>
      <c r="J3347" s="13"/>
      <c r="K3347" s="15"/>
      <c r="L3347" s="15"/>
      <c r="M3347" s="16">
        <v>0.0</v>
      </c>
      <c r="N3347" s="16">
        <v>0.0</v>
      </c>
      <c r="O3347" s="17">
        <v>0.0</v>
      </c>
      <c r="P3347" s="17">
        <v>0.0</v>
      </c>
      <c r="Q3347" s="13"/>
      <c r="R3347" s="13"/>
      <c r="S3347" s="13"/>
      <c r="T3347" s="13">
        <f t="shared" ref="T3347:Y3347" si="3601">IF(ISBLANK(K3347)=TRUE,0,1)</f>
        <v>0</v>
      </c>
      <c r="U3347" s="13">
        <f t="shared" si="3601"/>
        <v>0</v>
      </c>
      <c r="V3347" s="13">
        <f t="shared" si="3601"/>
        <v>1</v>
      </c>
      <c r="W3347" s="13">
        <f t="shared" si="3601"/>
        <v>1</v>
      </c>
      <c r="X3347" s="13">
        <f t="shared" si="3601"/>
        <v>1</v>
      </c>
      <c r="Y3347" s="13">
        <f t="shared" si="3601"/>
        <v>1</v>
      </c>
      <c r="Z3347" s="13">
        <f t="shared" si="3023"/>
        <v>0</v>
      </c>
      <c r="AA3347" s="13"/>
      <c r="AB3347" s="13"/>
      <c r="AC3347" s="13"/>
      <c r="AD3347" s="13"/>
      <c r="AE3347" s="13"/>
      <c r="AF3347" s="13"/>
      <c r="AG3347" s="13"/>
      <c r="AH3347" s="13"/>
      <c r="AI3347" s="13"/>
      <c r="AJ3347" s="13"/>
      <c r="AK3347" s="13"/>
      <c r="AL3347" s="13"/>
      <c r="AM3347" s="13"/>
      <c r="AN3347" s="13"/>
      <c r="AO3347" s="13"/>
      <c r="AP3347" s="13"/>
      <c r="AQ3347" s="13"/>
      <c r="AR3347" s="13"/>
      <c r="AS3347" s="13"/>
    </row>
    <row r="3348" ht="14.25" customHeight="1">
      <c r="A3348" s="13" t="s">
        <v>29</v>
      </c>
      <c r="B3348" s="13" t="s">
        <v>32</v>
      </c>
      <c r="C3348" s="13" t="s">
        <v>167</v>
      </c>
      <c r="D3348" s="13" t="s">
        <v>434</v>
      </c>
      <c r="F3348" s="13"/>
      <c r="G3348" s="13" t="s">
        <v>111</v>
      </c>
      <c r="H3348" s="13" t="s">
        <v>75</v>
      </c>
      <c r="I3348" s="13"/>
      <c r="J3348" s="13"/>
      <c r="K3348" s="15"/>
      <c r="L3348" s="15"/>
      <c r="M3348" s="16">
        <v>0.0</v>
      </c>
      <c r="N3348" s="16">
        <v>0.0</v>
      </c>
      <c r="O3348" s="17">
        <v>0.0</v>
      </c>
      <c r="P3348" s="17">
        <v>0.0</v>
      </c>
      <c r="Q3348" s="13"/>
      <c r="R3348" s="13"/>
      <c r="S3348" s="13"/>
      <c r="T3348" s="13">
        <f t="shared" ref="T3348:Y3348" si="3602">IF(ISBLANK(K3348)=TRUE,0,1)</f>
        <v>0</v>
      </c>
      <c r="U3348" s="13">
        <f t="shared" si="3602"/>
        <v>0</v>
      </c>
      <c r="V3348" s="13">
        <f t="shared" si="3602"/>
        <v>1</v>
      </c>
      <c r="W3348" s="13">
        <f t="shared" si="3602"/>
        <v>1</v>
      </c>
      <c r="X3348" s="13">
        <f t="shared" si="3602"/>
        <v>1</v>
      </c>
      <c r="Y3348" s="13">
        <f t="shared" si="3602"/>
        <v>1</v>
      </c>
      <c r="Z3348" s="13">
        <f t="shared" si="3023"/>
        <v>0</v>
      </c>
      <c r="AA3348" s="13"/>
      <c r="AB3348" s="13"/>
      <c r="AC3348" s="13"/>
      <c r="AD3348" s="13"/>
      <c r="AE3348" s="13"/>
      <c r="AF3348" s="13"/>
      <c r="AG3348" s="13"/>
      <c r="AH3348" s="13"/>
      <c r="AI3348" s="13"/>
      <c r="AJ3348" s="13"/>
      <c r="AK3348" s="13"/>
      <c r="AL3348" s="13"/>
      <c r="AM3348" s="13"/>
      <c r="AN3348" s="13"/>
      <c r="AO3348" s="13"/>
      <c r="AP3348" s="13"/>
      <c r="AQ3348" s="13"/>
      <c r="AR3348" s="13"/>
      <c r="AS3348" s="13"/>
    </row>
    <row r="3349" ht="14.25" customHeight="1">
      <c r="A3349" s="13" t="s">
        <v>29</v>
      </c>
      <c r="B3349" s="13" t="s">
        <v>32</v>
      </c>
      <c r="C3349" s="13" t="s">
        <v>167</v>
      </c>
      <c r="D3349" s="13" t="s">
        <v>435</v>
      </c>
      <c r="F3349" s="13"/>
      <c r="G3349" s="13" t="s">
        <v>111</v>
      </c>
      <c r="H3349" s="13" t="s">
        <v>75</v>
      </c>
      <c r="I3349" s="13"/>
      <c r="J3349" s="13"/>
      <c r="K3349" s="15"/>
      <c r="L3349" s="15"/>
      <c r="M3349" s="16">
        <v>0.0</v>
      </c>
      <c r="N3349" s="16">
        <v>0.0</v>
      </c>
      <c r="O3349" s="17">
        <v>0.0</v>
      </c>
      <c r="P3349" s="17">
        <v>0.0</v>
      </c>
      <c r="Q3349" s="13"/>
      <c r="R3349" s="13"/>
      <c r="S3349" s="13"/>
      <c r="T3349" s="13">
        <f t="shared" ref="T3349:Y3349" si="3603">IF(ISBLANK(K3349)=TRUE,0,1)</f>
        <v>0</v>
      </c>
      <c r="U3349" s="13">
        <f t="shared" si="3603"/>
        <v>0</v>
      </c>
      <c r="V3349" s="13">
        <f t="shared" si="3603"/>
        <v>1</v>
      </c>
      <c r="W3349" s="13">
        <f t="shared" si="3603"/>
        <v>1</v>
      </c>
      <c r="X3349" s="13">
        <f t="shared" si="3603"/>
        <v>1</v>
      </c>
      <c r="Y3349" s="13">
        <f t="shared" si="3603"/>
        <v>1</v>
      </c>
      <c r="Z3349" s="13">
        <f t="shared" si="3023"/>
        <v>0</v>
      </c>
      <c r="AA3349" s="13"/>
      <c r="AB3349" s="13"/>
      <c r="AC3349" s="13"/>
      <c r="AD3349" s="13"/>
      <c r="AE3349" s="13"/>
      <c r="AF3349" s="13"/>
      <c r="AG3349" s="13"/>
      <c r="AH3349" s="13"/>
      <c r="AI3349" s="13"/>
      <c r="AJ3349" s="13"/>
      <c r="AK3349" s="13"/>
      <c r="AL3349" s="13"/>
      <c r="AM3349" s="13"/>
      <c r="AN3349" s="13"/>
      <c r="AO3349" s="13"/>
      <c r="AP3349" s="13"/>
      <c r="AQ3349" s="13"/>
      <c r="AR3349" s="13"/>
      <c r="AS3349" s="13"/>
    </row>
    <row r="3350" ht="14.25" customHeight="1">
      <c r="A3350" s="13" t="s">
        <v>29</v>
      </c>
      <c r="B3350" s="13" t="s">
        <v>32</v>
      </c>
      <c r="C3350" s="13" t="s">
        <v>167</v>
      </c>
      <c r="D3350" s="13" t="s">
        <v>436</v>
      </c>
      <c r="F3350" s="13"/>
      <c r="G3350" s="13" t="s">
        <v>111</v>
      </c>
      <c r="H3350" s="13" t="s">
        <v>75</v>
      </c>
      <c r="I3350" s="13"/>
      <c r="J3350" s="13"/>
      <c r="K3350" s="15"/>
      <c r="L3350" s="15"/>
      <c r="M3350" s="16">
        <v>0.0</v>
      </c>
      <c r="N3350" s="16">
        <v>0.0</v>
      </c>
      <c r="O3350" s="17">
        <v>0.0</v>
      </c>
      <c r="P3350" s="17">
        <v>0.0</v>
      </c>
      <c r="Q3350" s="13"/>
      <c r="R3350" s="13"/>
      <c r="S3350" s="13"/>
      <c r="T3350" s="13">
        <f t="shared" ref="T3350:Y3350" si="3604">IF(ISBLANK(K3350)=TRUE,0,1)</f>
        <v>0</v>
      </c>
      <c r="U3350" s="13">
        <f t="shared" si="3604"/>
        <v>0</v>
      </c>
      <c r="V3350" s="13">
        <f t="shared" si="3604"/>
        <v>1</v>
      </c>
      <c r="W3350" s="13">
        <f t="shared" si="3604"/>
        <v>1</v>
      </c>
      <c r="X3350" s="13">
        <f t="shared" si="3604"/>
        <v>1</v>
      </c>
      <c r="Y3350" s="13">
        <f t="shared" si="3604"/>
        <v>1</v>
      </c>
      <c r="Z3350" s="13">
        <f t="shared" si="3023"/>
        <v>0</v>
      </c>
      <c r="AA3350" s="13"/>
      <c r="AB3350" s="13"/>
      <c r="AC3350" s="13"/>
      <c r="AD3350" s="13"/>
      <c r="AE3350" s="13"/>
      <c r="AF3350" s="13"/>
      <c r="AG3350" s="13"/>
      <c r="AH3350" s="13"/>
      <c r="AI3350" s="13"/>
      <c r="AJ3350" s="13"/>
      <c r="AK3350" s="13"/>
      <c r="AL3350" s="13"/>
      <c r="AM3350" s="13"/>
      <c r="AN3350" s="13"/>
      <c r="AO3350" s="13"/>
      <c r="AP3350" s="13"/>
      <c r="AQ3350" s="13"/>
      <c r="AR3350" s="13"/>
      <c r="AS3350" s="13"/>
    </row>
    <row r="3351" ht="14.25" customHeight="1">
      <c r="A3351" s="13" t="s">
        <v>29</v>
      </c>
      <c r="B3351" s="13" t="s">
        <v>32</v>
      </c>
      <c r="C3351" s="13" t="s">
        <v>167</v>
      </c>
      <c r="D3351" s="13" t="s">
        <v>437</v>
      </c>
      <c r="F3351" s="13"/>
      <c r="G3351" s="13" t="s">
        <v>111</v>
      </c>
      <c r="H3351" s="13" t="s">
        <v>75</v>
      </c>
      <c r="I3351" s="13"/>
      <c r="J3351" s="13"/>
      <c r="K3351" s="15"/>
      <c r="L3351" s="15"/>
      <c r="M3351" s="16">
        <v>0.0</v>
      </c>
      <c r="N3351" s="16">
        <v>0.0</v>
      </c>
      <c r="O3351" s="17">
        <v>0.0</v>
      </c>
      <c r="P3351" s="17">
        <v>0.0</v>
      </c>
      <c r="Q3351" s="13"/>
      <c r="R3351" s="13"/>
      <c r="S3351" s="13"/>
      <c r="T3351" s="13">
        <f t="shared" ref="T3351:Y3351" si="3605">IF(ISBLANK(K3351)=TRUE,0,1)</f>
        <v>0</v>
      </c>
      <c r="U3351" s="13">
        <f t="shared" si="3605"/>
        <v>0</v>
      </c>
      <c r="V3351" s="13">
        <f t="shared" si="3605"/>
        <v>1</v>
      </c>
      <c r="W3351" s="13">
        <f t="shared" si="3605"/>
        <v>1</v>
      </c>
      <c r="X3351" s="13">
        <f t="shared" si="3605"/>
        <v>1</v>
      </c>
      <c r="Y3351" s="13">
        <f t="shared" si="3605"/>
        <v>1</v>
      </c>
      <c r="Z3351" s="13">
        <f t="shared" si="3023"/>
        <v>0</v>
      </c>
      <c r="AA3351" s="13"/>
      <c r="AB3351" s="13"/>
      <c r="AC3351" s="13"/>
      <c r="AD3351" s="13"/>
      <c r="AE3351" s="13"/>
      <c r="AF3351" s="13"/>
      <c r="AG3351" s="13"/>
      <c r="AH3351" s="13"/>
      <c r="AI3351" s="13"/>
      <c r="AJ3351" s="13"/>
      <c r="AK3351" s="13"/>
      <c r="AL3351" s="13"/>
      <c r="AM3351" s="13"/>
      <c r="AN3351" s="13"/>
      <c r="AO3351" s="13"/>
      <c r="AP3351" s="13"/>
      <c r="AQ3351" s="13"/>
      <c r="AR3351" s="13"/>
      <c r="AS3351" s="13"/>
    </row>
    <row r="3352" ht="14.25" customHeight="1">
      <c r="A3352" s="13" t="s">
        <v>36</v>
      </c>
      <c r="B3352" s="13" t="s">
        <v>41</v>
      </c>
      <c r="C3352" s="13" t="s">
        <v>1967</v>
      </c>
      <c r="D3352" s="13" t="s">
        <v>180</v>
      </c>
      <c r="F3352" s="13"/>
      <c r="G3352" s="13" t="s">
        <v>74</v>
      </c>
      <c r="H3352" s="13" t="s">
        <v>75</v>
      </c>
      <c r="I3352" s="13"/>
      <c r="J3352" s="13"/>
      <c r="K3352" s="15">
        <v>0.0</v>
      </c>
      <c r="L3352" s="15">
        <v>0.0</v>
      </c>
      <c r="M3352" s="16"/>
      <c r="N3352" s="16"/>
      <c r="O3352" s="17"/>
      <c r="P3352" s="17"/>
      <c r="Q3352" s="13">
        <f t="shared" ref="Q3352:Q3355" si="3607">K3351+L3351+M3351+N3351+O3351+P3351/6</f>
        <v>0</v>
      </c>
      <c r="R3352" s="13"/>
      <c r="S3352" s="13"/>
      <c r="T3352" s="13">
        <f t="shared" ref="T3352:Y3352" si="3606">IF(ISBLANK(K3352)=TRUE,0,1)</f>
        <v>1</v>
      </c>
      <c r="U3352" s="13">
        <f t="shared" si="3606"/>
        <v>1</v>
      </c>
      <c r="V3352" s="13">
        <f t="shared" si="3606"/>
        <v>0</v>
      </c>
      <c r="W3352" s="13">
        <f t="shared" si="3606"/>
        <v>0</v>
      </c>
      <c r="X3352" s="13">
        <f t="shared" si="3606"/>
        <v>0</v>
      </c>
      <c r="Y3352" s="13">
        <f t="shared" si="3606"/>
        <v>0</v>
      </c>
      <c r="Z3352" s="13">
        <f t="shared" si="3023"/>
        <v>0</v>
      </c>
      <c r="AA3352" s="13"/>
      <c r="AB3352" s="13"/>
      <c r="AC3352" s="13"/>
      <c r="AD3352" s="13"/>
      <c r="AE3352" s="13"/>
      <c r="AF3352" s="13"/>
      <c r="AG3352" s="13"/>
      <c r="AH3352" s="13"/>
      <c r="AI3352" s="13"/>
      <c r="AJ3352" s="13"/>
      <c r="AK3352" s="13"/>
      <c r="AL3352" s="13"/>
      <c r="AM3352" s="13"/>
      <c r="AN3352" s="13"/>
      <c r="AO3352" s="13"/>
      <c r="AP3352" s="13"/>
      <c r="AQ3352" s="13"/>
      <c r="AR3352" s="13"/>
      <c r="AS3352" s="13"/>
    </row>
    <row r="3353" ht="14.25" customHeight="1">
      <c r="A3353" s="13" t="s">
        <v>36</v>
      </c>
      <c r="B3353" s="13" t="s">
        <v>41</v>
      </c>
      <c r="C3353" s="13" t="s">
        <v>1967</v>
      </c>
      <c r="D3353" s="13" t="s">
        <v>181</v>
      </c>
      <c r="F3353" s="13"/>
      <c r="G3353" s="13" t="s">
        <v>74</v>
      </c>
      <c r="H3353" s="13" t="s">
        <v>75</v>
      </c>
      <c r="I3353" s="13"/>
      <c r="J3353" s="13"/>
      <c r="K3353" s="15">
        <v>0.0</v>
      </c>
      <c r="L3353" s="15">
        <v>0.0</v>
      </c>
      <c r="M3353" s="16"/>
      <c r="N3353" s="16"/>
      <c r="O3353" s="17"/>
      <c r="P3353" s="17"/>
      <c r="Q3353" s="13">
        <f t="shared" si="3607"/>
        <v>0</v>
      </c>
      <c r="R3353" s="13"/>
      <c r="S3353" s="13"/>
      <c r="T3353" s="13">
        <f t="shared" ref="T3353:Y3353" si="3608">IF(ISBLANK(K3353)=TRUE,0,1)</f>
        <v>1</v>
      </c>
      <c r="U3353" s="13">
        <f t="shared" si="3608"/>
        <v>1</v>
      </c>
      <c r="V3353" s="13">
        <f t="shared" si="3608"/>
        <v>0</v>
      </c>
      <c r="W3353" s="13">
        <f t="shared" si="3608"/>
        <v>0</v>
      </c>
      <c r="X3353" s="13">
        <f t="shared" si="3608"/>
        <v>0</v>
      </c>
      <c r="Y3353" s="13">
        <f t="shared" si="3608"/>
        <v>0</v>
      </c>
      <c r="Z3353" s="13">
        <f t="shared" si="3023"/>
        <v>0</v>
      </c>
      <c r="AA3353" s="13"/>
      <c r="AB3353" s="13"/>
      <c r="AC3353" s="13"/>
      <c r="AD3353" s="13"/>
      <c r="AE3353" s="13"/>
      <c r="AF3353" s="13"/>
      <c r="AG3353" s="13"/>
      <c r="AH3353" s="13"/>
      <c r="AI3353" s="13"/>
      <c r="AJ3353" s="13"/>
      <c r="AK3353" s="13"/>
      <c r="AL3353" s="13"/>
      <c r="AM3353" s="13"/>
      <c r="AN3353" s="13"/>
      <c r="AO3353" s="13"/>
      <c r="AP3353" s="13"/>
      <c r="AQ3353" s="13"/>
      <c r="AR3353" s="13"/>
      <c r="AS3353" s="13"/>
    </row>
    <row r="3354" ht="14.25" customHeight="1">
      <c r="A3354" s="13" t="s">
        <v>36</v>
      </c>
      <c r="B3354" s="13" t="s">
        <v>41</v>
      </c>
      <c r="C3354" s="13" t="s">
        <v>1967</v>
      </c>
      <c r="D3354" s="13" t="s">
        <v>182</v>
      </c>
      <c r="F3354" s="13"/>
      <c r="G3354" s="13" t="s">
        <v>74</v>
      </c>
      <c r="H3354" s="13" t="s">
        <v>75</v>
      </c>
      <c r="I3354" s="13"/>
      <c r="J3354" s="13"/>
      <c r="K3354" s="15">
        <v>0.0</v>
      </c>
      <c r="L3354" s="15">
        <v>0.0</v>
      </c>
      <c r="M3354" s="16"/>
      <c r="N3354" s="16"/>
      <c r="O3354" s="17"/>
      <c r="P3354" s="17"/>
      <c r="Q3354" s="13">
        <f t="shared" si="3607"/>
        <v>0</v>
      </c>
      <c r="R3354" s="13"/>
      <c r="S3354" s="13"/>
      <c r="T3354" s="13">
        <f t="shared" ref="T3354:Y3354" si="3609">IF(ISBLANK(K3354)=TRUE,0,1)</f>
        <v>1</v>
      </c>
      <c r="U3354" s="13">
        <f t="shared" si="3609"/>
        <v>1</v>
      </c>
      <c r="V3354" s="13">
        <f t="shared" si="3609"/>
        <v>0</v>
      </c>
      <c r="W3354" s="13">
        <f t="shared" si="3609"/>
        <v>0</v>
      </c>
      <c r="X3354" s="13">
        <f t="shared" si="3609"/>
        <v>0</v>
      </c>
      <c r="Y3354" s="13">
        <f t="shared" si="3609"/>
        <v>0</v>
      </c>
      <c r="Z3354" s="13">
        <f t="shared" si="3023"/>
        <v>0</v>
      </c>
      <c r="AA3354" s="13"/>
      <c r="AB3354" s="13"/>
      <c r="AC3354" s="13"/>
      <c r="AD3354" s="13"/>
      <c r="AE3354" s="13"/>
      <c r="AF3354" s="13"/>
      <c r="AG3354" s="13"/>
      <c r="AH3354" s="13"/>
      <c r="AI3354" s="13"/>
      <c r="AJ3354" s="13"/>
      <c r="AK3354" s="13"/>
      <c r="AL3354" s="13"/>
      <c r="AM3354" s="13"/>
      <c r="AN3354" s="13"/>
      <c r="AO3354" s="13"/>
      <c r="AP3354" s="13"/>
      <c r="AQ3354" s="13"/>
      <c r="AR3354" s="13"/>
      <c r="AS3354" s="13"/>
    </row>
    <row r="3355" ht="14.25" customHeight="1">
      <c r="A3355" s="13" t="s">
        <v>36</v>
      </c>
      <c r="B3355" s="13" t="s">
        <v>37</v>
      </c>
      <c r="C3355" s="13" t="s">
        <v>607</v>
      </c>
      <c r="D3355" s="13" t="s">
        <v>181</v>
      </c>
      <c r="F3355" s="13"/>
      <c r="G3355" s="13" t="s">
        <v>111</v>
      </c>
      <c r="H3355" s="13" t="s">
        <v>75</v>
      </c>
      <c r="I3355" s="13"/>
      <c r="J3355" s="13"/>
      <c r="K3355" s="15">
        <v>0.0</v>
      </c>
      <c r="L3355" s="15">
        <v>0.0</v>
      </c>
      <c r="M3355" s="16"/>
      <c r="N3355" s="16"/>
      <c r="O3355" s="17"/>
      <c r="P3355" s="17"/>
      <c r="Q3355" s="13">
        <f t="shared" si="3607"/>
        <v>0</v>
      </c>
      <c r="R3355" s="13"/>
      <c r="S3355" s="13"/>
      <c r="T3355" s="13">
        <f t="shared" ref="T3355:Y3355" si="3610">IF(ISBLANK(K3355)=TRUE,0,1)</f>
        <v>1</v>
      </c>
      <c r="U3355" s="13">
        <f t="shared" si="3610"/>
        <v>1</v>
      </c>
      <c r="V3355" s="13">
        <f t="shared" si="3610"/>
        <v>0</v>
      </c>
      <c r="W3355" s="13">
        <f t="shared" si="3610"/>
        <v>0</v>
      </c>
      <c r="X3355" s="13">
        <f t="shared" si="3610"/>
        <v>0</v>
      </c>
      <c r="Y3355" s="13">
        <f t="shared" si="3610"/>
        <v>0</v>
      </c>
      <c r="Z3355" s="13">
        <f t="shared" si="3023"/>
        <v>0</v>
      </c>
      <c r="AA3355" s="13"/>
      <c r="AB3355" s="13"/>
      <c r="AC3355" s="13"/>
      <c r="AD3355" s="13"/>
      <c r="AE3355" s="13"/>
      <c r="AF3355" s="13"/>
      <c r="AG3355" s="13"/>
      <c r="AH3355" s="13"/>
      <c r="AI3355" s="13"/>
      <c r="AJ3355" s="13"/>
      <c r="AK3355" s="13"/>
      <c r="AL3355" s="13"/>
      <c r="AM3355" s="13"/>
      <c r="AN3355" s="13"/>
      <c r="AO3355" s="13"/>
      <c r="AP3355" s="13"/>
      <c r="AQ3355" s="13"/>
      <c r="AR3355" s="13"/>
      <c r="AS3355" s="13"/>
    </row>
    <row r="3356" ht="14.25" customHeight="1">
      <c r="A3356" s="13" t="s">
        <v>29</v>
      </c>
      <c r="B3356" s="13" t="s">
        <v>32</v>
      </c>
      <c r="C3356" s="13" t="s">
        <v>167</v>
      </c>
      <c r="D3356" s="13" t="s">
        <v>440</v>
      </c>
      <c r="F3356" s="13"/>
      <c r="G3356" s="13" t="s">
        <v>111</v>
      </c>
      <c r="H3356" s="13" t="s">
        <v>75</v>
      </c>
      <c r="I3356" s="13"/>
      <c r="J3356" s="13"/>
      <c r="K3356" s="15"/>
      <c r="L3356" s="15"/>
      <c r="M3356" s="16">
        <v>0.0</v>
      </c>
      <c r="N3356" s="16">
        <v>0.0</v>
      </c>
      <c r="O3356" s="17">
        <v>0.0</v>
      </c>
      <c r="P3356" s="17">
        <v>0.0</v>
      </c>
      <c r="Q3356" s="13"/>
      <c r="R3356" s="13"/>
      <c r="S3356" s="13"/>
      <c r="T3356" s="13">
        <f t="shared" ref="T3356:Y3356" si="3611">IF(ISBLANK(K3356)=TRUE,0,1)</f>
        <v>0</v>
      </c>
      <c r="U3356" s="13">
        <f t="shared" si="3611"/>
        <v>0</v>
      </c>
      <c r="V3356" s="13">
        <f t="shared" si="3611"/>
        <v>1</v>
      </c>
      <c r="W3356" s="13">
        <f t="shared" si="3611"/>
        <v>1</v>
      </c>
      <c r="X3356" s="13">
        <f t="shared" si="3611"/>
        <v>1</v>
      </c>
      <c r="Y3356" s="13">
        <f t="shared" si="3611"/>
        <v>1</v>
      </c>
      <c r="Z3356" s="13">
        <f t="shared" si="3023"/>
        <v>0</v>
      </c>
      <c r="AA3356" s="13"/>
      <c r="AB3356" s="13"/>
      <c r="AC3356" s="13"/>
      <c r="AD3356" s="13"/>
      <c r="AE3356" s="13"/>
      <c r="AF3356" s="13"/>
      <c r="AG3356" s="13"/>
      <c r="AH3356" s="13"/>
      <c r="AI3356" s="13"/>
      <c r="AJ3356" s="13"/>
      <c r="AK3356" s="13"/>
      <c r="AL3356" s="13"/>
      <c r="AM3356" s="13"/>
      <c r="AN3356" s="13"/>
      <c r="AO3356" s="13"/>
      <c r="AP3356" s="13"/>
      <c r="AQ3356" s="13"/>
      <c r="AR3356" s="13"/>
      <c r="AS3356" s="13"/>
    </row>
    <row r="3357" ht="14.25" customHeight="1">
      <c r="A3357" s="13" t="s">
        <v>36</v>
      </c>
      <c r="B3357" s="13" t="s">
        <v>37</v>
      </c>
      <c r="C3357" s="13" t="s">
        <v>607</v>
      </c>
      <c r="D3357" s="13" t="s">
        <v>182</v>
      </c>
      <c r="F3357" s="13"/>
      <c r="G3357" s="13" t="s">
        <v>111</v>
      </c>
      <c r="H3357" s="13" t="s">
        <v>75</v>
      </c>
      <c r="I3357" s="13"/>
      <c r="J3357" s="13"/>
      <c r="K3357" s="15">
        <v>0.0</v>
      </c>
      <c r="L3357" s="15">
        <v>0.0</v>
      </c>
      <c r="M3357" s="16"/>
      <c r="N3357" s="16"/>
      <c r="O3357" s="17"/>
      <c r="P3357" s="17"/>
      <c r="Q3357" s="13">
        <f>K3356+L3356+M3356+N3356+O3356+P3356/6</f>
        <v>0</v>
      </c>
      <c r="R3357" s="13"/>
      <c r="S3357" s="13"/>
      <c r="T3357" s="13">
        <f t="shared" ref="T3357:Y3357" si="3612">IF(ISBLANK(K3357)=TRUE,0,1)</f>
        <v>1</v>
      </c>
      <c r="U3357" s="13">
        <f t="shared" si="3612"/>
        <v>1</v>
      </c>
      <c r="V3357" s="13">
        <f t="shared" si="3612"/>
        <v>0</v>
      </c>
      <c r="W3357" s="13">
        <f t="shared" si="3612"/>
        <v>0</v>
      </c>
      <c r="X3357" s="13">
        <f t="shared" si="3612"/>
        <v>0</v>
      </c>
      <c r="Y3357" s="13">
        <f t="shared" si="3612"/>
        <v>0</v>
      </c>
      <c r="Z3357" s="13">
        <f t="shared" si="3023"/>
        <v>0</v>
      </c>
      <c r="AA3357" s="13"/>
      <c r="AB3357" s="13"/>
      <c r="AC3357" s="13"/>
      <c r="AD3357" s="13"/>
      <c r="AE3357" s="13"/>
      <c r="AF3357" s="13"/>
      <c r="AG3357" s="13"/>
      <c r="AH3357" s="13"/>
      <c r="AI3357" s="13"/>
      <c r="AJ3357" s="13"/>
      <c r="AK3357" s="13"/>
      <c r="AL3357" s="13"/>
      <c r="AM3357" s="13"/>
      <c r="AN3357" s="13"/>
      <c r="AO3357" s="13"/>
      <c r="AP3357" s="13"/>
      <c r="AQ3357" s="13"/>
      <c r="AR3357" s="13"/>
      <c r="AS3357" s="13"/>
    </row>
    <row r="3358" ht="14.25" customHeight="1">
      <c r="A3358" s="13" t="s">
        <v>29</v>
      </c>
      <c r="B3358" s="13" t="s">
        <v>32</v>
      </c>
      <c r="C3358" s="13" t="s">
        <v>167</v>
      </c>
      <c r="D3358" s="13" t="s">
        <v>441</v>
      </c>
      <c r="F3358" s="13"/>
      <c r="G3358" s="13" t="s">
        <v>111</v>
      </c>
      <c r="H3358" s="13" t="s">
        <v>75</v>
      </c>
      <c r="I3358" s="13"/>
      <c r="J3358" s="13"/>
      <c r="K3358" s="15"/>
      <c r="L3358" s="15"/>
      <c r="M3358" s="16">
        <v>0.0</v>
      </c>
      <c r="N3358" s="16">
        <v>0.0</v>
      </c>
      <c r="O3358" s="17">
        <v>0.0</v>
      </c>
      <c r="P3358" s="17">
        <v>0.0</v>
      </c>
      <c r="Q3358" s="13"/>
      <c r="R3358" s="13"/>
      <c r="S3358" s="13"/>
      <c r="T3358" s="13">
        <f t="shared" ref="T3358:Y3358" si="3613">IF(ISBLANK(K3358)=TRUE,0,1)</f>
        <v>0</v>
      </c>
      <c r="U3358" s="13">
        <f t="shared" si="3613"/>
        <v>0</v>
      </c>
      <c r="V3358" s="13">
        <f t="shared" si="3613"/>
        <v>1</v>
      </c>
      <c r="W3358" s="13">
        <f t="shared" si="3613"/>
        <v>1</v>
      </c>
      <c r="X3358" s="13">
        <f t="shared" si="3613"/>
        <v>1</v>
      </c>
      <c r="Y3358" s="13">
        <f t="shared" si="3613"/>
        <v>1</v>
      </c>
      <c r="Z3358" s="13">
        <f t="shared" si="3023"/>
        <v>0</v>
      </c>
      <c r="AA3358" s="13"/>
      <c r="AB3358" s="13"/>
      <c r="AC3358" s="13"/>
      <c r="AD3358" s="13"/>
      <c r="AE3358" s="13"/>
      <c r="AF3358" s="13"/>
      <c r="AG3358" s="13"/>
      <c r="AH3358" s="13"/>
      <c r="AI3358" s="13"/>
      <c r="AJ3358" s="13"/>
      <c r="AK3358" s="13"/>
      <c r="AL3358" s="13"/>
      <c r="AM3358" s="13"/>
      <c r="AN3358" s="13"/>
      <c r="AO3358" s="13"/>
      <c r="AP3358" s="13"/>
      <c r="AQ3358" s="13"/>
      <c r="AR3358" s="13"/>
      <c r="AS3358" s="13"/>
    </row>
    <row r="3359" ht="14.25" customHeight="1">
      <c r="A3359" s="13" t="s">
        <v>36</v>
      </c>
      <c r="B3359" s="13" t="s">
        <v>41</v>
      </c>
      <c r="C3359" s="13" t="s">
        <v>1967</v>
      </c>
      <c r="D3359" s="13" t="s">
        <v>183</v>
      </c>
      <c r="F3359" s="13"/>
      <c r="G3359" s="13" t="s">
        <v>74</v>
      </c>
      <c r="H3359" s="13" t="s">
        <v>75</v>
      </c>
      <c r="I3359" s="13"/>
      <c r="J3359" s="13"/>
      <c r="K3359" s="15">
        <v>0.0</v>
      </c>
      <c r="L3359" s="15">
        <v>0.0</v>
      </c>
      <c r="M3359" s="16"/>
      <c r="N3359" s="16"/>
      <c r="O3359" s="17"/>
      <c r="P3359" s="17"/>
      <c r="Q3359" s="13">
        <f t="shared" ref="Q3359:Q3362" si="3615">K3358+L3358+M3358+N3358+O3358+P3358/6</f>
        <v>0</v>
      </c>
      <c r="R3359" s="13"/>
      <c r="S3359" s="13"/>
      <c r="T3359" s="13">
        <f t="shared" ref="T3359:Y3359" si="3614">IF(ISBLANK(K3359)=TRUE,0,1)</f>
        <v>1</v>
      </c>
      <c r="U3359" s="13">
        <f t="shared" si="3614"/>
        <v>1</v>
      </c>
      <c r="V3359" s="13">
        <f t="shared" si="3614"/>
        <v>0</v>
      </c>
      <c r="W3359" s="13">
        <f t="shared" si="3614"/>
        <v>0</v>
      </c>
      <c r="X3359" s="13">
        <f t="shared" si="3614"/>
        <v>0</v>
      </c>
      <c r="Y3359" s="13">
        <f t="shared" si="3614"/>
        <v>0</v>
      </c>
      <c r="Z3359" s="13">
        <f t="shared" si="3023"/>
        <v>0</v>
      </c>
      <c r="AA3359" s="13"/>
      <c r="AB3359" s="13"/>
      <c r="AC3359" s="13"/>
      <c r="AD3359" s="13"/>
      <c r="AE3359" s="13"/>
      <c r="AF3359" s="13"/>
      <c r="AG3359" s="13"/>
      <c r="AH3359" s="13"/>
      <c r="AI3359" s="13"/>
      <c r="AJ3359" s="13"/>
      <c r="AK3359" s="13"/>
      <c r="AL3359" s="13"/>
      <c r="AM3359" s="13"/>
      <c r="AN3359" s="13"/>
      <c r="AO3359" s="13"/>
      <c r="AP3359" s="13"/>
      <c r="AQ3359" s="13"/>
      <c r="AR3359" s="13"/>
      <c r="AS3359" s="13"/>
    </row>
    <row r="3360" ht="14.25" customHeight="1">
      <c r="A3360" s="13" t="s">
        <v>36</v>
      </c>
      <c r="B3360" s="13" t="s">
        <v>41</v>
      </c>
      <c r="C3360" s="13" t="s">
        <v>1967</v>
      </c>
      <c r="D3360" s="13" t="s">
        <v>184</v>
      </c>
      <c r="F3360" s="13"/>
      <c r="G3360" s="13" t="s">
        <v>74</v>
      </c>
      <c r="H3360" s="13" t="s">
        <v>75</v>
      </c>
      <c r="I3360" s="13"/>
      <c r="J3360" s="13"/>
      <c r="K3360" s="15">
        <v>0.0</v>
      </c>
      <c r="L3360" s="15">
        <v>0.0</v>
      </c>
      <c r="M3360" s="16"/>
      <c r="N3360" s="16"/>
      <c r="O3360" s="17"/>
      <c r="P3360" s="17"/>
      <c r="Q3360" s="13">
        <f t="shared" si="3615"/>
        <v>0</v>
      </c>
      <c r="R3360" s="13"/>
      <c r="S3360" s="13"/>
      <c r="T3360" s="13">
        <f t="shared" ref="T3360:Y3360" si="3616">IF(ISBLANK(K3360)=TRUE,0,1)</f>
        <v>1</v>
      </c>
      <c r="U3360" s="13">
        <f t="shared" si="3616"/>
        <v>1</v>
      </c>
      <c r="V3360" s="13">
        <f t="shared" si="3616"/>
        <v>0</v>
      </c>
      <c r="W3360" s="13">
        <f t="shared" si="3616"/>
        <v>0</v>
      </c>
      <c r="X3360" s="13">
        <f t="shared" si="3616"/>
        <v>0</v>
      </c>
      <c r="Y3360" s="13">
        <f t="shared" si="3616"/>
        <v>0</v>
      </c>
      <c r="Z3360" s="13">
        <f t="shared" si="3023"/>
        <v>0</v>
      </c>
      <c r="AA3360" s="13"/>
      <c r="AB3360" s="13"/>
      <c r="AC3360" s="13"/>
      <c r="AD3360" s="13"/>
      <c r="AE3360" s="13"/>
      <c r="AF3360" s="13"/>
      <c r="AG3360" s="13"/>
      <c r="AH3360" s="13"/>
      <c r="AI3360" s="13"/>
      <c r="AJ3360" s="13"/>
      <c r="AK3360" s="13"/>
      <c r="AL3360" s="13"/>
      <c r="AM3360" s="13"/>
      <c r="AN3360" s="13"/>
      <c r="AO3360" s="13"/>
      <c r="AP3360" s="13"/>
      <c r="AQ3360" s="13"/>
      <c r="AR3360" s="13"/>
      <c r="AS3360" s="13"/>
    </row>
    <row r="3361" ht="14.25" customHeight="1">
      <c r="A3361" s="13" t="s">
        <v>36</v>
      </c>
      <c r="B3361" s="13" t="s">
        <v>42</v>
      </c>
      <c r="C3361" s="13">
        <v>872.0</v>
      </c>
      <c r="D3361" s="13" t="s">
        <v>174</v>
      </c>
      <c r="F3361" s="13"/>
      <c r="G3361" s="13" t="s">
        <v>111</v>
      </c>
      <c r="H3361" s="13" t="s">
        <v>75</v>
      </c>
      <c r="I3361" s="13"/>
      <c r="J3361" s="13"/>
      <c r="K3361" s="15">
        <v>1.0</v>
      </c>
      <c r="L3361" s="15">
        <v>1.0</v>
      </c>
      <c r="M3361" s="16"/>
      <c r="N3361" s="16"/>
      <c r="O3361" s="17"/>
      <c r="P3361" s="17"/>
      <c r="Q3361" s="13">
        <f t="shared" si="3615"/>
        <v>0</v>
      </c>
      <c r="R3361" s="13"/>
      <c r="S3361" s="13"/>
      <c r="T3361" s="13">
        <f t="shared" ref="T3361:Y3361" si="3617">IF(ISBLANK(K3361)=TRUE,0,1)</f>
        <v>1</v>
      </c>
      <c r="U3361" s="13">
        <f t="shared" si="3617"/>
        <v>1</v>
      </c>
      <c r="V3361" s="13">
        <f t="shared" si="3617"/>
        <v>0</v>
      </c>
      <c r="W3361" s="13">
        <f t="shared" si="3617"/>
        <v>0</v>
      </c>
      <c r="X3361" s="13">
        <f t="shared" si="3617"/>
        <v>0</v>
      </c>
      <c r="Y3361" s="13">
        <f t="shared" si="3617"/>
        <v>0</v>
      </c>
      <c r="Z3361" s="13">
        <f t="shared" si="3023"/>
        <v>1</v>
      </c>
      <c r="AA3361" s="13"/>
      <c r="AB3361" s="13"/>
      <c r="AC3361" s="13"/>
      <c r="AD3361" s="13"/>
      <c r="AE3361" s="13"/>
      <c r="AF3361" s="13"/>
      <c r="AG3361" s="13"/>
      <c r="AH3361" s="13"/>
      <c r="AI3361" s="13"/>
      <c r="AJ3361" s="13"/>
      <c r="AK3361" s="13"/>
      <c r="AL3361" s="13"/>
      <c r="AM3361" s="13"/>
      <c r="AN3361" s="13"/>
      <c r="AO3361" s="13"/>
      <c r="AP3361" s="13"/>
      <c r="AQ3361" s="13"/>
      <c r="AR3361" s="13"/>
      <c r="AS3361" s="13"/>
    </row>
    <row r="3362" ht="14.25" customHeight="1">
      <c r="A3362" s="13" t="s">
        <v>36</v>
      </c>
      <c r="B3362" s="13" t="s">
        <v>37</v>
      </c>
      <c r="C3362" s="13" t="s">
        <v>607</v>
      </c>
      <c r="D3362" s="13" t="s">
        <v>183</v>
      </c>
      <c r="F3362" s="13"/>
      <c r="G3362" s="13" t="s">
        <v>111</v>
      </c>
      <c r="H3362" s="13" t="s">
        <v>75</v>
      </c>
      <c r="I3362" s="13"/>
      <c r="J3362" s="13"/>
      <c r="K3362" s="15">
        <v>0.0</v>
      </c>
      <c r="L3362" s="15">
        <v>0.0</v>
      </c>
      <c r="M3362" s="16"/>
      <c r="N3362" s="16"/>
      <c r="O3362" s="17"/>
      <c r="P3362" s="17"/>
      <c r="Q3362" s="13">
        <f t="shared" si="3615"/>
        <v>2</v>
      </c>
      <c r="R3362" s="13"/>
      <c r="S3362" s="13"/>
      <c r="T3362" s="13">
        <f t="shared" ref="T3362:Y3362" si="3618">IF(ISBLANK(K3362)=TRUE,0,1)</f>
        <v>1</v>
      </c>
      <c r="U3362" s="13">
        <f t="shared" si="3618"/>
        <v>1</v>
      </c>
      <c r="V3362" s="13">
        <f t="shared" si="3618"/>
        <v>0</v>
      </c>
      <c r="W3362" s="13">
        <f t="shared" si="3618"/>
        <v>0</v>
      </c>
      <c r="X3362" s="13">
        <f t="shared" si="3618"/>
        <v>0</v>
      </c>
      <c r="Y3362" s="13">
        <f t="shared" si="3618"/>
        <v>0</v>
      </c>
      <c r="Z3362" s="13">
        <f t="shared" si="3023"/>
        <v>0</v>
      </c>
      <c r="AA3362" s="13"/>
      <c r="AB3362" s="13"/>
      <c r="AC3362" s="13"/>
      <c r="AD3362" s="13"/>
      <c r="AE3362" s="13"/>
      <c r="AF3362" s="13"/>
      <c r="AG3362" s="13"/>
      <c r="AH3362" s="13"/>
      <c r="AI3362" s="13"/>
      <c r="AJ3362" s="13"/>
      <c r="AK3362" s="13"/>
      <c r="AL3362" s="13"/>
      <c r="AM3362" s="13"/>
      <c r="AN3362" s="13"/>
      <c r="AO3362" s="13"/>
      <c r="AP3362" s="13"/>
      <c r="AQ3362" s="13"/>
      <c r="AR3362" s="13"/>
      <c r="AS3362" s="13"/>
    </row>
    <row r="3363" ht="14.25" customHeight="1">
      <c r="A3363" s="13" t="s">
        <v>29</v>
      </c>
      <c r="B3363" s="13" t="s">
        <v>32</v>
      </c>
      <c r="C3363" s="13" t="s">
        <v>167</v>
      </c>
      <c r="D3363" s="13" t="s">
        <v>551</v>
      </c>
      <c r="F3363" s="13"/>
      <c r="G3363" s="13" t="s">
        <v>111</v>
      </c>
      <c r="H3363" s="13" t="s">
        <v>75</v>
      </c>
      <c r="I3363" s="13"/>
      <c r="J3363" s="13"/>
      <c r="K3363" s="15"/>
      <c r="L3363" s="15"/>
      <c r="M3363" s="16">
        <v>0.0</v>
      </c>
      <c r="N3363" s="16">
        <v>0.0</v>
      </c>
      <c r="O3363" s="17">
        <v>0.0</v>
      </c>
      <c r="P3363" s="17">
        <v>0.0</v>
      </c>
      <c r="Q3363" s="13"/>
      <c r="R3363" s="13"/>
      <c r="S3363" s="13"/>
      <c r="T3363" s="13">
        <f t="shared" ref="T3363:Y3363" si="3619">IF(ISBLANK(K3363)=TRUE,0,1)</f>
        <v>0</v>
      </c>
      <c r="U3363" s="13">
        <f t="shared" si="3619"/>
        <v>0</v>
      </c>
      <c r="V3363" s="13">
        <f t="shared" si="3619"/>
        <v>1</v>
      </c>
      <c r="W3363" s="13">
        <f t="shared" si="3619"/>
        <v>1</v>
      </c>
      <c r="X3363" s="13">
        <f t="shared" si="3619"/>
        <v>1</v>
      </c>
      <c r="Y3363" s="13">
        <f t="shared" si="3619"/>
        <v>1</v>
      </c>
      <c r="Z3363" s="13">
        <f t="shared" si="3023"/>
        <v>0</v>
      </c>
      <c r="AA3363" s="13"/>
      <c r="AB3363" s="13"/>
      <c r="AC3363" s="13"/>
      <c r="AD3363" s="13"/>
      <c r="AE3363" s="13"/>
      <c r="AF3363" s="13"/>
      <c r="AG3363" s="13"/>
      <c r="AH3363" s="13"/>
      <c r="AI3363" s="13"/>
      <c r="AJ3363" s="13"/>
      <c r="AK3363" s="13"/>
      <c r="AL3363" s="13"/>
      <c r="AM3363" s="13"/>
      <c r="AN3363" s="13"/>
      <c r="AO3363" s="13"/>
      <c r="AP3363" s="13"/>
      <c r="AQ3363" s="13"/>
      <c r="AR3363" s="13"/>
      <c r="AS3363" s="13"/>
    </row>
    <row r="3364" ht="14.25" customHeight="1">
      <c r="A3364" s="13" t="s">
        <v>29</v>
      </c>
      <c r="B3364" s="13" t="s">
        <v>32</v>
      </c>
      <c r="C3364" s="13" t="s">
        <v>167</v>
      </c>
      <c r="D3364" s="13" t="s">
        <v>553</v>
      </c>
      <c r="F3364" s="13"/>
      <c r="G3364" s="13" t="s">
        <v>111</v>
      </c>
      <c r="H3364" s="13" t="s">
        <v>75</v>
      </c>
      <c r="I3364" s="13"/>
      <c r="J3364" s="13"/>
      <c r="K3364" s="15"/>
      <c r="L3364" s="15"/>
      <c r="M3364" s="16">
        <v>0.0</v>
      </c>
      <c r="N3364" s="16">
        <v>0.0</v>
      </c>
      <c r="O3364" s="17">
        <v>0.0</v>
      </c>
      <c r="P3364" s="17">
        <v>0.0</v>
      </c>
      <c r="Q3364" s="13"/>
      <c r="R3364" s="13"/>
      <c r="S3364" s="13"/>
      <c r="T3364" s="13">
        <f t="shared" ref="T3364:Y3364" si="3620">IF(ISBLANK(K3364)=TRUE,0,1)</f>
        <v>0</v>
      </c>
      <c r="U3364" s="13">
        <f t="shared" si="3620"/>
        <v>0</v>
      </c>
      <c r="V3364" s="13">
        <f t="shared" si="3620"/>
        <v>1</v>
      </c>
      <c r="W3364" s="13">
        <f t="shared" si="3620"/>
        <v>1</v>
      </c>
      <c r="X3364" s="13">
        <f t="shared" si="3620"/>
        <v>1</v>
      </c>
      <c r="Y3364" s="13">
        <f t="shared" si="3620"/>
        <v>1</v>
      </c>
      <c r="Z3364" s="13">
        <f t="shared" si="3023"/>
        <v>0</v>
      </c>
      <c r="AA3364" s="13"/>
      <c r="AB3364" s="13"/>
      <c r="AC3364" s="13"/>
      <c r="AD3364" s="13"/>
      <c r="AE3364" s="13"/>
      <c r="AF3364" s="13"/>
      <c r="AG3364" s="13"/>
      <c r="AH3364" s="13"/>
      <c r="AI3364" s="13"/>
      <c r="AJ3364" s="13"/>
      <c r="AK3364" s="13"/>
      <c r="AL3364" s="13"/>
      <c r="AM3364" s="13"/>
      <c r="AN3364" s="13"/>
      <c r="AO3364" s="13"/>
      <c r="AP3364" s="13"/>
      <c r="AQ3364" s="13"/>
      <c r="AR3364" s="13"/>
      <c r="AS3364" s="13"/>
    </row>
    <row r="3365" ht="14.25" customHeight="1">
      <c r="A3365" s="13" t="s">
        <v>29</v>
      </c>
      <c r="B3365" s="13" t="s">
        <v>32</v>
      </c>
      <c r="C3365" s="13" t="s">
        <v>167</v>
      </c>
      <c r="D3365" s="13" t="s">
        <v>554</v>
      </c>
      <c r="F3365" s="13"/>
      <c r="G3365" s="13" t="s">
        <v>111</v>
      </c>
      <c r="H3365" s="13" t="s">
        <v>75</v>
      </c>
      <c r="I3365" s="13"/>
      <c r="J3365" s="13"/>
      <c r="K3365" s="15"/>
      <c r="L3365" s="15"/>
      <c r="M3365" s="16">
        <v>0.0</v>
      </c>
      <c r="N3365" s="16">
        <v>0.0</v>
      </c>
      <c r="O3365" s="17">
        <v>0.0</v>
      </c>
      <c r="P3365" s="17">
        <v>0.0</v>
      </c>
      <c r="Q3365" s="13"/>
      <c r="R3365" s="13"/>
      <c r="S3365" s="13"/>
      <c r="T3365" s="13">
        <f t="shared" ref="T3365:Y3365" si="3621">IF(ISBLANK(K3365)=TRUE,0,1)</f>
        <v>0</v>
      </c>
      <c r="U3365" s="13">
        <f t="shared" si="3621"/>
        <v>0</v>
      </c>
      <c r="V3365" s="13">
        <f t="shared" si="3621"/>
        <v>1</v>
      </c>
      <c r="W3365" s="13">
        <f t="shared" si="3621"/>
        <v>1</v>
      </c>
      <c r="X3365" s="13">
        <f t="shared" si="3621"/>
        <v>1</v>
      </c>
      <c r="Y3365" s="13">
        <f t="shared" si="3621"/>
        <v>1</v>
      </c>
      <c r="Z3365" s="13">
        <f t="shared" si="3023"/>
        <v>0</v>
      </c>
      <c r="AA3365" s="13"/>
      <c r="AB3365" s="13"/>
      <c r="AC3365" s="13"/>
      <c r="AD3365" s="13"/>
      <c r="AE3365" s="13"/>
      <c r="AF3365" s="13"/>
      <c r="AG3365" s="13"/>
      <c r="AH3365" s="13"/>
      <c r="AI3365" s="13"/>
      <c r="AJ3365" s="13"/>
      <c r="AK3365" s="13"/>
      <c r="AL3365" s="13"/>
      <c r="AM3365" s="13"/>
      <c r="AN3365" s="13"/>
      <c r="AO3365" s="13"/>
      <c r="AP3365" s="13"/>
      <c r="AQ3365" s="13"/>
      <c r="AR3365" s="13"/>
      <c r="AS3365" s="13"/>
    </row>
    <row r="3366" ht="14.25" customHeight="1">
      <c r="A3366" s="13" t="s">
        <v>29</v>
      </c>
      <c r="B3366" s="13" t="s">
        <v>32</v>
      </c>
      <c r="C3366" s="13" t="s">
        <v>167</v>
      </c>
      <c r="D3366" s="13" t="s">
        <v>555</v>
      </c>
      <c r="F3366" s="13"/>
      <c r="G3366" s="13" t="s">
        <v>111</v>
      </c>
      <c r="H3366" s="13" t="s">
        <v>75</v>
      </c>
      <c r="I3366" s="13"/>
      <c r="J3366" s="13"/>
      <c r="K3366" s="15"/>
      <c r="L3366" s="15"/>
      <c r="M3366" s="16">
        <v>0.0</v>
      </c>
      <c r="N3366" s="16">
        <v>0.0</v>
      </c>
      <c r="O3366" s="17">
        <v>0.0</v>
      </c>
      <c r="P3366" s="17">
        <v>0.0</v>
      </c>
      <c r="Q3366" s="13"/>
      <c r="R3366" s="13"/>
      <c r="S3366" s="13"/>
      <c r="T3366" s="13">
        <f t="shared" ref="T3366:Y3366" si="3622">IF(ISBLANK(K3366)=TRUE,0,1)</f>
        <v>0</v>
      </c>
      <c r="U3366" s="13">
        <f t="shared" si="3622"/>
        <v>0</v>
      </c>
      <c r="V3366" s="13">
        <f t="shared" si="3622"/>
        <v>1</v>
      </c>
      <c r="W3366" s="13">
        <f t="shared" si="3622"/>
        <v>1</v>
      </c>
      <c r="X3366" s="13">
        <f t="shared" si="3622"/>
        <v>1</v>
      </c>
      <c r="Y3366" s="13">
        <f t="shared" si="3622"/>
        <v>1</v>
      </c>
      <c r="Z3366" s="13">
        <f t="shared" si="3023"/>
        <v>0</v>
      </c>
      <c r="AA3366" s="13"/>
      <c r="AB3366" s="13"/>
      <c r="AC3366" s="13"/>
      <c r="AD3366" s="13"/>
      <c r="AE3366" s="13"/>
      <c r="AF3366" s="13"/>
      <c r="AG3366" s="13"/>
      <c r="AH3366" s="13"/>
      <c r="AI3366" s="13"/>
      <c r="AJ3366" s="13"/>
      <c r="AK3366" s="13"/>
      <c r="AL3366" s="13"/>
      <c r="AM3366" s="13"/>
      <c r="AN3366" s="13"/>
      <c r="AO3366" s="13"/>
      <c r="AP3366" s="13"/>
      <c r="AQ3366" s="13"/>
      <c r="AR3366" s="13"/>
      <c r="AS3366" s="13"/>
    </row>
    <row r="3367" ht="14.25" customHeight="1">
      <c r="A3367" s="13" t="s">
        <v>36</v>
      </c>
      <c r="B3367" s="13" t="s">
        <v>41</v>
      </c>
      <c r="C3367" s="13" t="s">
        <v>1967</v>
      </c>
      <c r="D3367" s="13" t="s">
        <v>185</v>
      </c>
      <c r="F3367" s="13"/>
      <c r="G3367" s="13" t="s">
        <v>74</v>
      </c>
      <c r="H3367" s="13" t="s">
        <v>75</v>
      </c>
      <c r="I3367" s="13"/>
      <c r="J3367" s="13"/>
      <c r="K3367" s="15">
        <v>0.0</v>
      </c>
      <c r="L3367" s="15">
        <v>0.0</v>
      </c>
      <c r="M3367" s="16"/>
      <c r="N3367" s="16"/>
      <c r="O3367" s="17"/>
      <c r="P3367" s="17"/>
      <c r="Q3367" s="13">
        <f t="shared" ref="Q3367:Q3394" si="3624">K3366+L3366+M3366+N3366+O3366+P3366/6</f>
        <v>0</v>
      </c>
      <c r="R3367" s="13"/>
      <c r="S3367" s="13"/>
      <c r="T3367" s="13">
        <f t="shared" ref="T3367:Y3367" si="3623">IF(ISBLANK(K3367)=TRUE,0,1)</f>
        <v>1</v>
      </c>
      <c r="U3367" s="13">
        <f t="shared" si="3623"/>
        <v>1</v>
      </c>
      <c r="V3367" s="13">
        <f t="shared" si="3623"/>
        <v>0</v>
      </c>
      <c r="W3367" s="13">
        <f t="shared" si="3623"/>
        <v>0</v>
      </c>
      <c r="X3367" s="13">
        <f t="shared" si="3623"/>
        <v>0</v>
      </c>
      <c r="Y3367" s="13">
        <f t="shared" si="3623"/>
        <v>0</v>
      </c>
      <c r="Z3367" s="13">
        <f t="shared" si="3023"/>
        <v>0</v>
      </c>
      <c r="AA3367" s="13"/>
      <c r="AB3367" s="13"/>
      <c r="AC3367" s="13"/>
      <c r="AD3367" s="13"/>
      <c r="AE3367" s="13"/>
      <c r="AF3367" s="13"/>
      <c r="AG3367" s="13"/>
      <c r="AH3367" s="13"/>
      <c r="AI3367" s="13"/>
      <c r="AJ3367" s="13"/>
      <c r="AK3367" s="13"/>
      <c r="AL3367" s="13"/>
      <c r="AM3367" s="13"/>
      <c r="AN3367" s="13"/>
      <c r="AO3367" s="13"/>
      <c r="AP3367" s="13"/>
      <c r="AQ3367" s="13"/>
      <c r="AR3367" s="13"/>
      <c r="AS3367" s="13"/>
    </row>
    <row r="3368" ht="14.25" customHeight="1">
      <c r="A3368" s="13" t="s">
        <v>36</v>
      </c>
      <c r="B3368" s="13" t="s">
        <v>41</v>
      </c>
      <c r="C3368" s="13" t="s">
        <v>1967</v>
      </c>
      <c r="D3368" s="13" t="s">
        <v>186</v>
      </c>
      <c r="F3368" s="13"/>
      <c r="G3368" s="13" t="s">
        <v>74</v>
      </c>
      <c r="H3368" s="13" t="s">
        <v>75</v>
      </c>
      <c r="I3368" s="13"/>
      <c r="J3368" s="13"/>
      <c r="K3368" s="15">
        <v>0.0</v>
      </c>
      <c r="L3368" s="15">
        <v>0.0</v>
      </c>
      <c r="M3368" s="16"/>
      <c r="N3368" s="16"/>
      <c r="O3368" s="17"/>
      <c r="P3368" s="17"/>
      <c r="Q3368" s="13">
        <f t="shared" si="3624"/>
        <v>0</v>
      </c>
      <c r="R3368" s="13"/>
      <c r="S3368" s="13"/>
      <c r="T3368" s="13">
        <f t="shared" ref="T3368:Y3368" si="3625">IF(ISBLANK(K3368)=TRUE,0,1)</f>
        <v>1</v>
      </c>
      <c r="U3368" s="13">
        <f t="shared" si="3625"/>
        <v>1</v>
      </c>
      <c r="V3368" s="13">
        <f t="shared" si="3625"/>
        <v>0</v>
      </c>
      <c r="W3368" s="13">
        <f t="shared" si="3625"/>
        <v>0</v>
      </c>
      <c r="X3368" s="13">
        <f t="shared" si="3625"/>
        <v>0</v>
      </c>
      <c r="Y3368" s="13">
        <f t="shared" si="3625"/>
        <v>0</v>
      </c>
      <c r="Z3368" s="13">
        <f t="shared" si="3023"/>
        <v>0</v>
      </c>
      <c r="AA3368" s="13"/>
      <c r="AB3368" s="13"/>
      <c r="AC3368" s="13"/>
      <c r="AD3368" s="13"/>
      <c r="AE3368" s="13"/>
      <c r="AF3368" s="13"/>
      <c r="AG3368" s="13"/>
      <c r="AH3368" s="13"/>
      <c r="AI3368" s="13"/>
      <c r="AJ3368" s="13"/>
      <c r="AK3368" s="13"/>
      <c r="AL3368" s="13"/>
      <c r="AM3368" s="13"/>
      <c r="AN3368" s="13"/>
      <c r="AO3368" s="13"/>
      <c r="AP3368" s="13"/>
      <c r="AQ3368" s="13"/>
      <c r="AR3368" s="13"/>
      <c r="AS3368" s="13"/>
    </row>
    <row r="3369" ht="14.25" customHeight="1">
      <c r="A3369" s="13" t="s">
        <v>36</v>
      </c>
      <c r="B3369" s="13" t="s">
        <v>41</v>
      </c>
      <c r="C3369" s="13" t="s">
        <v>1967</v>
      </c>
      <c r="D3369" s="13" t="s">
        <v>187</v>
      </c>
      <c r="F3369" s="13"/>
      <c r="G3369" s="13" t="s">
        <v>74</v>
      </c>
      <c r="H3369" s="13" t="s">
        <v>75</v>
      </c>
      <c r="I3369" s="13"/>
      <c r="J3369" s="13"/>
      <c r="K3369" s="15">
        <v>0.0</v>
      </c>
      <c r="L3369" s="15">
        <v>0.0</v>
      </c>
      <c r="M3369" s="16"/>
      <c r="N3369" s="16"/>
      <c r="O3369" s="17"/>
      <c r="P3369" s="17"/>
      <c r="Q3369" s="13">
        <f t="shared" si="3624"/>
        <v>0</v>
      </c>
      <c r="R3369" s="13"/>
      <c r="S3369" s="13"/>
      <c r="T3369" s="13">
        <f t="shared" ref="T3369:Y3369" si="3626">IF(ISBLANK(K3369)=TRUE,0,1)</f>
        <v>1</v>
      </c>
      <c r="U3369" s="13">
        <f t="shared" si="3626"/>
        <v>1</v>
      </c>
      <c r="V3369" s="13">
        <f t="shared" si="3626"/>
        <v>0</v>
      </c>
      <c r="W3369" s="13">
        <f t="shared" si="3626"/>
        <v>0</v>
      </c>
      <c r="X3369" s="13">
        <f t="shared" si="3626"/>
        <v>0</v>
      </c>
      <c r="Y3369" s="13">
        <f t="shared" si="3626"/>
        <v>0</v>
      </c>
      <c r="Z3369" s="13">
        <f t="shared" si="3023"/>
        <v>0</v>
      </c>
      <c r="AA3369" s="13"/>
      <c r="AB3369" s="13"/>
      <c r="AC3369" s="13"/>
      <c r="AD3369" s="13"/>
      <c r="AE3369" s="13"/>
      <c r="AF3369" s="13"/>
      <c r="AG3369" s="13"/>
      <c r="AH3369" s="13"/>
      <c r="AI3369" s="13"/>
      <c r="AJ3369" s="13"/>
      <c r="AK3369" s="13"/>
      <c r="AL3369" s="13"/>
      <c r="AM3369" s="13"/>
      <c r="AN3369" s="13"/>
      <c r="AO3369" s="13"/>
      <c r="AP3369" s="13"/>
      <c r="AQ3369" s="13"/>
      <c r="AR3369" s="13"/>
      <c r="AS3369" s="13"/>
    </row>
    <row r="3370" ht="14.25" customHeight="1">
      <c r="A3370" s="13" t="s">
        <v>36</v>
      </c>
      <c r="B3370" s="13" t="s">
        <v>37</v>
      </c>
      <c r="C3370" s="13" t="s">
        <v>607</v>
      </c>
      <c r="D3370" s="13" t="s">
        <v>184</v>
      </c>
      <c r="F3370" s="13"/>
      <c r="G3370" s="13" t="s">
        <v>111</v>
      </c>
      <c r="H3370" s="13" t="s">
        <v>75</v>
      </c>
      <c r="I3370" s="13"/>
      <c r="J3370" s="13"/>
      <c r="K3370" s="15">
        <v>0.0</v>
      </c>
      <c r="L3370" s="15">
        <v>0.0</v>
      </c>
      <c r="M3370" s="16"/>
      <c r="N3370" s="16"/>
      <c r="O3370" s="17"/>
      <c r="P3370" s="17"/>
      <c r="Q3370" s="13">
        <f t="shared" si="3624"/>
        <v>0</v>
      </c>
      <c r="R3370" s="13"/>
      <c r="S3370" s="13"/>
      <c r="T3370" s="13">
        <f t="shared" ref="T3370:Y3370" si="3627">IF(ISBLANK(K3370)=TRUE,0,1)</f>
        <v>1</v>
      </c>
      <c r="U3370" s="13">
        <f t="shared" si="3627"/>
        <v>1</v>
      </c>
      <c r="V3370" s="13">
        <f t="shared" si="3627"/>
        <v>0</v>
      </c>
      <c r="W3370" s="13">
        <f t="shared" si="3627"/>
        <v>0</v>
      </c>
      <c r="X3370" s="13">
        <f t="shared" si="3627"/>
        <v>0</v>
      </c>
      <c r="Y3370" s="13">
        <f t="shared" si="3627"/>
        <v>0</v>
      </c>
      <c r="Z3370" s="13">
        <f t="shared" si="3023"/>
        <v>0</v>
      </c>
      <c r="AA3370" s="13"/>
      <c r="AB3370" s="13"/>
      <c r="AC3370" s="13"/>
      <c r="AD3370" s="13"/>
      <c r="AE3370" s="13"/>
      <c r="AF3370" s="13"/>
      <c r="AG3370" s="13"/>
      <c r="AH3370" s="13"/>
      <c r="AI3370" s="13"/>
      <c r="AJ3370" s="13"/>
      <c r="AK3370" s="13"/>
      <c r="AL3370" s="13"/>
      <c r="AM3370" s="13"/>
      <c r="AN3370" s="13"/>
      <c r="AO3370" s="13"/>
      <c r="AP3370" s="13"/>
      <c r="AQ3370" s="13"/>
      <c r="AR3370" s="13"/>
      <c r="AS3370" s="13"/>
    </row>
    <row r="3371" ht="14.25" customHeight="1">
      <c r="A3371" s="13" t="s">
        <v>36</v>
      </c>
      <c r="B3371" s="13" t="s">
        <v>37</v>
      </c>
      <c r="C3371" s="13" t="s">
        <v>607</v>
      </c>
      <c r="D3371" s="13" t="s">
        <v>185</v>
      </c>
      <c r="F3371" s="13"/>
      <c r="G3371" s="13" t="s">
        <v>111</v>
      </c>
      <c r="H3371" s="13" t="s">
        <v>75</v>
      </c>
      <c r="I3371" s="13"/>
      <c r="J3371" s="13"/>
      <c r="K3371" s="15">
        <v>0.0</v>
      </c>
      <c r="L3371" s="15">
        <v>0.0</v>
      </c>
      <c r="M3371" s="16"/>
      <c r="N3371" s="16"/>
      <c r="O3371" s="17"/>
      <c r="P3371" s="17"/>
      <c r="Q3371" s="13">
        <f t="shared" si="3624"/>
        <v>0</v>
      </c>
      <c r="R3371" s="13"/>
      <c r="S3371" s="13"/>
      <c r="T3371" s="13">
        <f t="shared" ref="T3371:Y3371" si="3628">IF(ISBLANK(K3371)=TRUE,0,1)</f>
        <v>1</v>
      </c>
      <c r="U3371" s="13">
        <f t="shared" si="3628"/>
        <v>1</v>
      </c>
      <c r="V3371" s="13">
        <f t="shared" si="3628"/>
        <v>0</v>
      </c>
      <c r="W3371" s="13">
        <f t="shared" si="3628"/>
        <v>0</v>
      </c>
      <c r="X3371" s="13">
        <f t="shared" si="3628"/>
        <v>0</v>
      </c>
      <c r="Y3371" s="13">
        <f t="shared" si="3628"/>
        <v>0</v>
      </c>
      <c r="Z3371" s="13">
        <f t="shared" si="3023"/>
        <v>0</v>
      </c>
      <c r="AA3371" s="13"/>
      <c r="AB3371" s="13"/>
      <c r="AC3371" s="13"/>
      <c r="AD3371" s="13"/>
      <c r="AE3371" s="13"/>
      <c r="AF3371" s="13"/>
      <c r="AG3371" s="13"/>
      <c r="AH3371" s="13"/>
      <c r="AI3371" s="13"/>
      <c r="AJ3371" s="13"/>
      <c r="AK3371" s="13"/>
      <c r="AL3371" s="13"/>
      <c r="AM3371" s="13"/>
      <c r="AN3371" s="13"/>
      <c r="AO3371" s="13"/>
      <c r="AP3371" s="13"/>
      <c r="AQ3371" s="13"/>
      <c r="AR3371" s="13"/>
      <c r="AS3371" s="13"/>
    </row>
    <row r="3372" ht="14.25" customHeight="1">
      <c r="A3372" s="13" t="s">
        <v>36</v>
      </c>
      <c r="B3372" s="13" t="s">
        <v>42</v>
      </c>
      <c r="C3372" s="13">
        <v>872.0</v>
      </c>
      <c r="D3372" s="13" t="s">
        <v>175</v>
      </c>
      <c r="F3372" s="13"/>
      <c r="G3372" s="13" t="s">
        <v>111</v>
      </c>
      <c r="H3372" s="13" t="s">
        <v>75</v>
      </c>
      <c r="I3372" s="13"/>
      <c r="J3372" s="13"/>
      <c r="K3372" s="15">
        <v>1.0</v>
      </c>
      <c r="L3372" s="15">
        <v>1.0</v>
      </c>
      <c r="M3372" s="16"/>
      <c r="N3372" s="16"/>
      <c r="O3372" s="17"/>
      <c r="P3372" s="17"/>
      <c r="Q3372" s="13">
        <f t="shared" si="3624"/>
        <v>0</v>
      </c>
      <c r="R3372" s="13"/>
      <c r="S3372" s="13"/>
      <c r="T3372" s="13">
        <f t="shared" ref="T3372:Y3372" si="3629">IF(ISBLANK(K3372)=TRUE,0,1)</f>
        <v>1</v>
      </c>
      <c r="U3372" s="13">
        <f t="shared" si="3629"/>
        <v>1</v>
      </c>
      <c r="V3372" s="13">
        <f t="shared" si="3629"/>
        <v>0</v>
      </c>
      <c r="W3372" s="13">
        <f t="shared" si="3629"/>
        <v>0</v>
      </c>
      <c r="X3372" s="13">
        <f t="shared" si="3629"/>
        <v>0</v>
      </c>
      <c r="Y3372" s="13">
        <f t="shared" si="3629"/>
        <v>0</v>
      </c>
      <c r="Z3372" s="13">
        <f t="shared" si="3023"/>
        <v>1</v>
      </c>
      <c r="AA3372" s="13"/>
      <c r="AB3372" s="13"/>
      <c r="AC3372" s="13"/>
      <c r="AD3372" s="13"/>
      <c r="AE3372" s="13"/>
      <c r="AF3372" s="13"/>
      <c r="AG3372" s="13"/>
      <c r="AH3372" s="13"/>
      <c r="AI3372" s="13"/>
      <c r="AJ3372" s="13"/>
      <c r="AK3372" s="13"/>
      <c r="AL3372" s="13"/>
      <c r="AM3372" s="13"/>
      <c r="AN3372" s="13"/>
      <c r="AO3372" s="13"/>
      <c r="AP3372" s="13"/>
      <c r="AQ3372" s="13"/>
      <c r="AR3372" s="13"/>
      <c r="AS3372" s="13"/>
    </row>
    <row r="3373" ht="14.25" customHeight="1">
      <c r="A3373" s="13" t="s">
        <v>36</v>
      </c>
      <c r="B3373" s="13" t="s">
        <v>42</v>
      </c>
      <c r="C3373" s="13">
        <v>872.0</v>
      </c>
      <c r="D3373" s="13" t="s">
        <v>176</v>
      </c>
      <c r="F3373" s="13"/>
      <c r="G3373" s="13" t="s">
        <v>111</v>
      </c>
      <c r="H3373" s="13" t="s">
        <v>75</v>
      </c>
      <c r="I3373" s="13"/>
      <c r="J3373" s="13"/>
      <c r="K3373" s="15">
        <v>1.0</v>
      </c>
      <c r="L3373" s="15">
        <v>1.0</v>
      </c>
      <c r="M3373" s="16"/>
      <c r="N3373" s="16"/>
      <c r="O3373" s="17"/>
      <c r="P3373" s="17"/>
      <c r="Q3373" s="13">
        <f t="shared" si="3624"/>
        <v>2</v>
      </c>
      <c r="R3373" s="13"/>
      <c r="S3373" s="13"/>
      <c r="T3373" s="13">
        <f t="shared" ref="T3373:Y3373" si="3630">IF(ISBLANK(K3373)=TRUE,0,1)</f>
        <v>1</v>
      </c>
      <c r="U3373" s="13">
        <f t="shared" si="3630"/>
        <v>1</v>
      </c>
      <c r="V3373" s="13">
        <f t="shared" si="3630"/>
        <v>0</v>
      </c>
      <c r="W3373" s="13">
        <f t="shared" si="3630"/>
        <v>0</v>
      </c>
      <c r="X3373" s="13">
        <f t="shared" si="3630"/>
        <v>0</v>
      </c>
      <c r="Y3373" s="13">
        <f t="shared" si="3630"/>
        <v>0</v>
      </c>
      <c r="Z3373" s="13">
        <f t="shared" si="3023"/>
        <v>1</v>
      </c>
      <c r="AA3373" s="13"/>
      <c r="AB3373" s="13"/>
      <c r="AC3373" s="13"/>
      <c r="AD3373" s="13"/>
      <c r="AE3373" s="13"/>
      <c r="AF3373" s="13"/>
      <c r="AG3373" s="13"/>
      <c r="AH3373" s="13"/>
      <c r="AI3373" s="13"/>
      <c r="AJ3373" s="13"/>
      <c r="AK3373" s="13"/>
      <c r="AL3373" s="13"/>
      <c r="AM3373" s="13"/>
      <c r="AN3373" s="13"/>
      <c r="AO3373" s="13"/>
      <c r="AP3373" s="13"/>
      <c r="AQ3373" s="13"/>
      <c r="AR3373" s="13"/>
      <c r="AS3373" s="13"/>
    </row>
    <row r="3374" ht="14.25" customHeight="1">
      <c r="A3374" s="13" t="s">
        <v>36</v>
      </c>
      <c r="B3374" s="13" t="s">
        <v>42</v>
      </c>
      <c r="C3374" s="13">
        <v>872.0</v>
      </c>
      <c r="D3374" s="13" t="s">
        <v>177</v>
      </c>
      <c r="F3374" s="13"/>
      <c r="G3374" s="13" t="s">
        <v>111</v>
      </c>
      <c r="H3374" s="13" t="s">
        <v>75</v>
      </c>
      <c r="I3374" s="13"/>
      <c r="J3374" s="13"/>
      <c r="K3374" s="15">
        <v>1.0</v>
      </c>
      <c r="L3374" s="15">
        <v>1.0</v>
      </c>
      <c r="M3374" s="16"/>
      <c r="N3374" s="16"/>
      <c r="O3374" s="17"/>
      <c r="P3374" s="17"/>
      <c r="Q3374" s="13">
        <f t="shared" si="3624"/>
        <v>2</v>
      </c>
      <c r="R3374" s="13"/>
      <c r="S3374" s="13"/>
      <c r="T3374" s="13">
        <f t="shared" ref="T3374:Y3374" si="3631">IF(ISBLANK(K3374)=TRUE,0,1)</f>
        <v>1</v>
      </c>
      <c r="U3374" s="13">
        <f t="shared" si="3631"/>
        <v>1</v>
      </c>
      <c r="V3374" s="13">
        <f t="shared" si="3631"/>
        <v>0</v>
      </c>
      <c r="W3374" s="13">
        <f t="shared" si="3631"/>
        <v>0</v>
      </c>
      <c r="X3374" s="13">
        <f t="shared" si="3631"/>
        <v>0</v>
      </c>
      <c r="Y3374" s="13">
        <f t="shared" si="3631"/>
        <v>0</v>
      </c>
      <c r="Z3374" s="13">
        <f t="shared" si="3023"/>
        <v>1</v>
      </c>
      <c r="AA3374" s="13"/>
      <c r="AB3374" s="13"/>
      <c r="AC3374" s="13"/>
      <c r="AD3374" s="13"/>
      <c r="AE3374" s="13"/>
      <c r="AF3374" s="13"/>
      <c r="AG3374" s="13"/>
      <c r="AH3374" s="13"/>
      <c r="AI3374" s="13"/>
      <c r="AJ3374" s="13"/>
      <c r="AK3374" s="13"/>
      <c r="AL3374" s="13"/>
      <c r="AM3374" s="13"/>
      <c r="AN3374" s="13"/>
      <c r="AO3374" s="13"/>
      <c r="AP3374" s="13"/>
      <c r="AQ3374" s="13"/>
      <c r="AR3374" s="13"/>
      <c r="AS3374" s="13"/>
    </row>
    <row r="3375" ht="14.25" customHeight="1">
      <c r="A3375" s="13" t="s">
        <v>36</v>
      </c>
      <c r="B3375" s="13" t="s">
        <v>41</v>
      </c>
      <c r="C3375" s="13" t="s">
        <v>1967</v>
      </c>
      <c r="D3375" s="13" t="s">
        <v>188</v>
      </c>
      <c r="F3375" s="13"/>
      <c r="G3375" s="13" t="s">
        <v>74</v>
      </c>
      <c r="H3375" s="13" t="s">
        <v>75</v>
      </c>
      <c r="I3375" s="13"/>
      <c r="J3375" s="13"/>
      <c r="K3375" s="15">
        <v>0.0</v>
      </c>
      <c r="L3375" s="15">
        <v>0.0</v>
      </c>
      <c r="M3375" s="16"/>
      <c r="N3375" s="16"/>
      <c r="O3375" s="17"/>
      <c r="P3375" s="17"/>
      <c r="Q3375" s="13">
        <f t="shared" si="3624"/>
        <v>2</v>
      </c>
      <c r="R3375" s="13"/>
      <c r="S3375" s="13"/>
      <c r="T3375" s="13">
        <f t="shared" ref="T3375:Y3375" si="3632">IF(ISBLANK(K3375)=TRUE,0,1)</f>
        <v>1</v>
      </c>
      <c r="U3375" s="13">
        <f t="shared" si="3632"/>
        <v>1</v>
      </c>
      <c r="V3375" s="13">
        <f t="shared" si="3632"/>
        <v>0</v>
      </c>
      <c r="W3375" s="13">
        <f t="shared" si="3632"/>
        <v>0</v>
      </c>
      <c r="X3375" s="13">
        <f t="shared" si="3632"/>
        <v>0</v>
      </c>
      <c r="Y3375" s="13">
        <f t="shared" si="3632"/>
        <v>0</v>
      </c>
      <c r="Z3375" s="13">
        <f t="shared" si="3023"/>
        <v>0</v>
      </c>
      <c r="AA3375" s="13"/>
      <c r="AB3375" s="13"/>
      <c r="AC3375" s="13"/>
      <c r="AD3375" s="13"/>
      <c r="AE3375" s="13"/>
      <c r="AF3375" s="13"/>
      <c r="AG3375" s="13"/>
      <c r="AH3375" s="13"/>
      <c r="AI3375" s="13"/>
      <c r="AJ3375" s="13"/>
      <c r="AK3375" s="13"/>
      <c r="AL3375" s="13"/>
      <c r="AM3375" s="13"/>
      <c r="AN3375" s="13"/>
      <c r="AO3375" s="13"/>
      <c r="AP3375" s="13"/>
      <c r="AQ3375" s="13"/>
      <c r="AR3375" s="13"/>
      <c r="AS3375" s="13"/>
    </row>
    <row r="3376" ht="14.25" customHeight="1">
      <c r="A3376" s="13" t="s">
        <v>36</v>
      </c>
      <c r="B3376" s="13" t="s">
        <v>41</v>
      </c>
      <c r="C3376" s="13" t="s">
        <v>1967</v>
      </c>
      <c r="D3376" s="13" t="s">
        <v>189</v>
      </c>
      <c r="F3376" s="13"/>
      <c r="G3376" s="13" t="s">
        <v>74</v>
      </c>
      <c r="H3376" s="13" t="s">
        <v>75</v>
      </c>
      <c r="I3376" s="13"/>
      <c r="J3376" s="13"/>
      <c r="K3376" s="15">
        <v>0.0</v>
      </c>
      <c r="L3376" s="15">
        <v>0.0</v>
      </c>
      <c r="M3376" s="16"/>
      <c r="N3376" s="16"/>
      <c r="O3376" s="17"/>
      <c r="P3376" s="17"/>
      <c r="Q3376" s="13">
        <f t="shared" si="3624"/>
        <v>0</v>
      </c>
      <c r="R3376" s="13"/>
      <c r="S3376" s="13"/>
      <c r="T3376" s="13">
        <f t="shared" ref="T3376:Y3376" si="3633">IF(ISBLANK(K3376)=TRUE,0,1)</f>
        <v>1</v>
      </c>
      <c r="U3376" s="13">
        <f t="shared" si="3633"/>
        <v>1</v>
      </c>
      <c r="V3376" s="13">
        <f t="shared" si="3633"/>
        <v>0</v>
      </c>
      <c r="W3376" s="13">
        <f t="shared" si="3633"/>
        <v>0</v>
      </c>
      <c r="X3376" s="13">
        <f t="shared" si="3633"/>
        <v>0</v>
      </c>
      <c r="Y3376" s="13">
        <f t="shared" si="3633"/>
        <v>0</v>
      </c>
      <c r="Z3376" s="13">
        <f t="shared" si="3023"/>
        <v>0</v>
      </c>
      <c r="AA3376" s="13"/>
      <c r="AB3376" s="13"/>
      <c r="AC3376" s="13"/>
      <c r="AD3376" s="13"/>
      <c r="AE3376" s="13"/>
      <c r="AF3376" s="13"/>
      <c r="AG3376" s="13"/>
      <c r="AH3376" s="13"/>
      <c r="AI3376" s="13"/>
      <c r="AJ3376" s="13"/>
      <c r="AK3376" s="13"/>
      <c r="AL3376" s="13"/>
      <c r="AM3376" s="13"/>
      <c r="AN3376" s="13"/>
      <c r="AO3376" s="13"/>
      <c r="AP3376" s="13"/>
      <c r="AQ3376" s="13"/>
      <c r="AR3376" s="13"/>
      <c r="AS3376" s="13"/>
    </row>
    <row r="3377" ht="14.25" customHeight="1">
      <c r="A3377" s="13" t="s">
        <v>36</v>
      </c>
      <c r="B3377" s="13" t="s">
        <v>42</v>
      </c>
      <c r="C3377" s="13">
        <v>872.0</v>
      </c>
      <c r="D3377" s="13" t="s">
        <v>178</v>
      </c>
      <c r="F3377" s="13"/>
      <c r="G3377" s="13" t="s">
        <v>111</v>
      </c>
      <c r="H3377" s="13" t="s">
        <v>75</v>
      </c>
      <c r="I3377" s="13"/>
      <c r="J3377" s="13"/>
      <c r="K3377" s="15">
        <v>1.0</v>
      </c>
      <c r="L3377" s="15">
        <v>1.0</v>
      </c>
      <c r="M3377" s="16"/>
      <c r="N3377" s="16"/>
      <c r="O3377" s="17"/>
      <c r="P3377" s="17"/>
      <c r="Q3377" s="13">
        <f t="shared" si="3624"/>
        <v>0</v>
      </c>
      <c r="R3377" s="13"/>
      <c r="S3377" s="13"/>
      <c r="T3377" s="13">
        <f t="shared" ref="T3377:Y3377" si="3634">IF(ISBLANK(K3377)=TRUE,0,1)</f>
        <v>1</v>
      </c>
      <c r="U3377" s="13">
        <f t="shared" si="3634"/>
        <v>1</v>
      </c>
      <c r="V3377" s="13">
        <f t="shared" si="3634"/>
        <v>0</v>
      </c>
      <c r="W3377" s="13">
        <f t="shared" si="3634"/>
        <v>0</v>
      </c>
      <c r="X3377" s="13">
        <f t="shared" si="3634"/>
        <v>0</v>
      </c>
      <c r="Y3377" s="13">
        <f t="shared" si="3634"/>
        <v>0</v>
      </c>
      <c r="Z3377" s="13">
        <f t="shared" si="3023"/>
        <v>1</v>
      </c>
      <c r="AA3377" s="13"/>
      <c r="AB3377" s="13"/>
      <c r="AC3377" s="13"/>
      <c r="AD3377" s="13"/>
      <c r="AE3377" s="13"/>
      <c r="AF3377" s="13"/>
      <c r="AG3377" s="13"/>
      <c r="AH3377" s="13"/>
      <c r="AI3377" s="13"/>
      <c r="AJ3377" s="13"/>
      <c r="AK3377" s="13"/>
      <c r="AL3377" s="13"/>
      <c r="AM3377" s="13"/>
      <c r="AN3377" s="13"/>
      <c r="AO3377" s="13"/>
      <c r="AP3377" s="13"/>
      <c r="AQ3377" s="13"/>
      <c r="AR3377" s="13"/>
      <c r="AS3377" s="13"/>
    </row>
    <row r="3378" ht="14.25" customHeight="1">
      <c r="A3378" s="13" t="s">
        <v>36</v>
      </c>
      <c r="B3378" s="13" t="s">
        <v>42</v>
      </c>
      <c r="C3378" s="13">
        <v>872.0</v>
      </c>
      <c r="D3378" s="13" t="s">
        <v>179</v>
      </c>
      <c r="F3378" s="13"/>
      <c r="G3378" s="13" t="s">
        <v>111</v>
      </c>
      <c r="H3378" s="13" t="s">
        <v>75</v>
      </c>
      <c r="I3378" s="13"/>
      <c r="J3378" s="13"/>
      <c r="K3378" s="15">
        <v>1.0</v>
      </c>
      <c r="L3378" s="15">
        <v>1.0</v>
      </c>
      <c r="M3378" s="16"/>
      <c r="N3378" s="16"/>
      <c r="O3378" s="17"/>
      <c r="P3378" s="17"/>
      <c r="Q3378" s="13">
        <f t="shared" si="3624"/>
        <v>2</v>
      </c>
      <c r="R3378" s="13"/>
      <c r="S3378" s="13"/>
      <c r="T3378" s="13">
        <f t="shared" ref="T3378:Y3378" si="3635">IF(ISBLANK(K3378)=TRUE,0,1)</f>
        <v>1</v>
      </c>
      <c r="U3378" s="13">
        <f t="shared" si="3635"/>
        <v>1</v>
      </c>
      <c r="V3378" s="13">
        <f t="shared" si="3635"/>
        <v>0</v>
      </c>
      <c r="W3378" s="13">
        <f t="shared" si="3635"/>
        <v>0</v>
      </c>
      <c r="X3378" s="13">
        <f t="shared" si="3635"/>
        <v>0</v>
      </c>
      <c r="Y3378" s="13">
        <f t="shared" si="3635"/>
        <v>0</v>
      </c>
      <c r="Z3378" s="13">
        <f t="shared" si="3023"/>
        <v>1</v>
      </c>
      <c r="AA3378" s="13"/>
      <c r="AB3378" s="13"/>
      <c r="AC3378" s="13"/>
      <c r="AD3378" s="13"/>
      <c r="AE3378" s="13"/>
      <c r="AF3378" s="13"/>
      <c r="AG3378" s="13"/>
      <c r="AH3378" s="13"/>
      <c r="AI3378" s="13"/>
      <c r="AJ3378" s="13"/>
      <c r="AK3378" s="13"/>
      <c r="AL3378" s="13"/>
      <c r="AM3378" s="13"/>
      <c r="AN3378" s="13"/>
      <c r="AO3378" s="13"/>
      <c r="AP3378" s="13"/>
      <c r="AQ3378" s="13"/>
      <c r="AR3378" s="13"/>
      <c r="AS3378" s="13"/>
    </row>
    <row r="3379" ht="14.25" customHeight="1">
      <c r="A3379" s="13" t="s">
        <v>36</v>
      </c>
      <c r="B3379" s="13" t="s">
        <v>42</v>
      </c>
      <c r="C3379" s="13">
        <v>872.0</v>
      </c>
      <c r="D3379" s="13" t="s">
        <v>180</v>
      </c>
      <c r="F3379" s="13"/>
      <c r="G3379" s="13" t="s">
        <v>111</v>
      </c>
      <c r="H3379" s="13" t="s">
        <v>75</v>
      </c>
      <c r="I3379" s="13"/>
      <c r="J3379" s="13"/>
      <c r="K3379" s="15">
        <v>1.0</v>
      </c>
      <c r="L3379" s="15">
        <v>1.0</v>
      </c>
      <c r="M3379" s="16"/>
      <c r="N3379" s="16"/>
      <c r="O3379" s="17"/>
      <c r="P3379" s="17"/>
      <c r="Q3379" s="13">
        <f t="shared" si="3624"/>
        <v>2</v>
      </c>
      <c r="R3379" s="13"/>
      <c r="S3379" s="13"/>
      <c r="T3379" s="13">
        <f t="shared" ref="T3379:Y3379" si="3636">IF(ISBLANK(K3379)=TRUE,0,1)</f>
        <v>1</v>
      </c>
      <c r="U3379" s="13">
        <f t="shared" si="3636"/>
        <v>1</v>
      </c>
      <c r="V3379" s="13">
        <f t="shared" si="3636"/>
        <v>0</v>
      </c>
      <c r="W3379" s="13">
        <f t="shared" si="3636"/>
        <v>0</v>
      </c>
      <c r="X3379" s="13">
        <f t="shared" si="3636"/>
        <v>0</v>
      </c>
      <c r="Y3379" s="13">
        <f t="shared" si="3636"/>
        <v>0</v>
      </c>
      <c r="Z3379" s="13">
        <f t="shared" si="3023"/>
        <v>1</v>
      </c>
      <c r="AA3379" s="13"/>
      <c r="AB3379" s="13"/>
      <c r="AC3379" s="13"/>
      <c r="AD3379" s="13"/>
      <c r="AE3379" s="13"/>
      <c r="AF3379" s="13"/>
      <c r="AG3379" s="13"/>
      <c r="AH3379" s="13"/>
      <c r="AI3379" s="13"/>
      <c r="AJ3379" s="13"/>
      <c r="AK3379" s="13"/>
      <c r="AL3379" s="13"/>
      <c r="AM3379" s="13"/>
      <c r="AN3379" s="13"/>
      <c r="AO3379" s="13"/>
      <c r="AP3379" s="13"/>
      <c r="AQ3379" s="13"/>
      <c r="AR3379" s="13"/>
      <c r="AS3379" s="13"/>
    </row>
    <row r="3380" ht="14.25" customHeight="1">
      <c r="A3380" s="13" t="s">
        <v>36</v>
      </c>
      <c r="B3380" s="13" t="s">
        <v>37</v>
      </c>
      <c r="C3380" s="13" t="s">
        <v>607</v>
      </c>
      <c r="D3380" s="13" t="s">
        <v>186</v>
      </c>
      <c r="F3380" s="13"/>
      <c r="G3380" s="13" t="s">
        <v>111</v>
      </c>
      <c r="H3380" s="13" t="s">
        <v>75</v>
      </c>
      <c r="I3380" s="13"/>
      <c r="J3380" s="13"/>
      <c r="K3380" s="15">
        <v>0.0</v>
      </c>
      <c r="L3380" s="15">
        <v>0.0</v>
      </c>
      <c r="M3380" s="16"/>
      <c r="N3380" s="16"/>
      <c r="O3380" s="17"/>
      <c r="P3380" s="17"/>
      <c r="Q3380" s="13">
        <f t="shared" si="3624"/>
        <v>2</v>
      </c>
      <c r="R3380" s="13"/>
      <c r="S3380" s="13"/>
      <c r="T3380" s="13">
        <f t="shared" ref="T3380:Y3380" si="3637">IF(ISBLANK(K3380)=TRUE,0,1)</f>
        <v>1</v>
      </c>
      <c r="U3380" s="13">
        <f t="shared" si="3637"/>
        <v>1</v>
      </c>
      <c r="V3380" s="13">
        <f t="shared" si="3637"/>
        <v>0</v>
      </c>
      <c r="W3380" s="13">
        <f t="shared" si="3637"/>
        <v>0</v>
      </c>
      <c r="X3380" s="13">
        <f t="shared" si="3637"/>
        <v>0</v>
      </c>
      <c r="Y3380" s="13">
        <f t="shared" si="3637"/>
        <v>0</v>
      </c>
      <c r="Z3380" s="13">
        <f t="shared" si="3023"/>
        <v>0</v>
      </c>
      <c r="AA3380" s="13"/>
      <c r="AB3380" s="13"/>
      <c r="AC3380" s="13"/>
      <c r="AD3380" s="13"/>
      <c r="AE3380" s="13"/>
      <c r="AF3380" s="13"/>
      <c r="AG3380" s="13"/>
      <c r="AH3380" s="13"/>
      <c r="AI3380" s="13"/>
      <c r="AJ3380" s="13"/>
      <c r="AK3380" s="13"/>
      <c r="AL3380" s="13"/>
      <c r="AM3380" s="13"/>
      <c r="AN3380" s="13"/>
      <c r="AO3380" s="13"/>
      <c r="AP3380" s="13"/>
      <c r="AQ3380" s="13"/>
      <c r="AR3380" s="13"/>
      <c r="AS3380" s="13"/>
    </row>
    <row r="3381" ht="14.25" customHeight="1">
      <c r="A3381" s="13" t="s">
        <v>36</v>
      </c>
      <c r="B3381" s="13" t="s">
        <v>41</v>
      </c>
      <c r="C3381" s="13" t="s">
        <v>1967</v>
      </c>
      <c r="D3381" s="13" t="s">
        <v>190</v>
      </c>
      <c r="F3381" s="13"/>
      <c r="G3381" s="13" t="s">
        <v>74</v>
      </c>
      <c r="H3381" s="13" t="s">
        <v>75</v>
      </c>
      <c r="I3381" s="13"/>
      <c r="J3381" s="13"/>
      <c r="K3381" s="15">
        <v>0.0</v>
      </c>
      <c r="L3381" s="15">
        <v>0.0</v>
      </c>
      <c r="M3381" s="16"/>
      <c r="N3381" s="16"/>
      <c r="O3381" s="17"/>
      <c r="P3381" s="17"/>
      <c r="Q3381" s="13">
        <f t="shared" si="3624"/>
        <v>0</v>
      </c>
      <c r="R3381" s="13"/>
      <c r="S3381" s="13"/>
      <c r="T3381" s="13">
        <f t="shared" ref="T3381:Y3381" si="3638">IF(ISBLANK(K3381)=TRUE,0,1)</f>
        <v>1</v>
      </c>
      <c r="U3381" s="13">
        <f t="shared" si="3638"/>
        <v>1</v>
      </c>
      <c r="V3381" s="13">
        <f t="shared" si="3638"/>
        <v>0</v>
      </c>
      <c r="W3381" s="13">
        <f t="shared" si="3638"/>
        <v>0</v>
      </c>
      <c r="X3381" s="13">
        <f t="shared" si="3638"/>
        <v>0</v>
      </c>
      <c r="Y3381" s="13">
        <f t="shared" si="3638"/>
        <v>0</v>
      </c>
      <c r="Z3381" s="13">
        <f t="shared" si="3023"/>
        <v>0</v>
      </c>
      <c r="AA3381" s="13"/>
      <c r="AB3381" s="13"/>
      <c r="AC3381" s="13"/>
      <c r="AD3381" s="13"/>
      <c r="AE3381" s="13"/>
      <c r="AF3381" s="13"/>
      <c r="AG3381" s="13"/>
      <c r="AH3381" s="13"/>
      <c r="AI3381" s="13"/>
      <c r="AJ3381" s="13"/>
      <c r="AK3381" s="13"/>
      <c r="AL3381" s="13"/>
      <c r="AM3381" s="13"/>
      <c r="AN3381" s="13"/>
      <c r="AO3381" s="13"/>
      <c r="AP3381" s="13"/>
      <c r="AQ3381" s="13"/>
      <c r="AR3381" s="13"/>
      <c r="AS3381" s="13"/>
    </row>
    <row r="3382" ht="14.25" customHeight="1">
      <c r="A3382" s="13" t="s">
        <v>36</v>
      </c>
      <c r="B3382" s="13" t="s">
        <v>41</v>
      </c>
      <c r="C3382" s="13" t="s">
        <v>1967</v>
      </c>
      <c r="D3382" s="13" t="s">
        <v>191</v>
      </c>
      <c r="F3382" s="13"/>
      <c r="G3382" s="13" t="s">
        <v>74</v>
      </c>
      <c r="H3382" s="13" t="s">
        <v>75</v>
      </c>
      <c r="I3382" s="13"/>
      <c r="J3382" s="13"/>
      <c r="K3382" s="15">
        <v>0.0</v>
      </c>
      <c r="L3382" s="15">
        <v>0.0</v>
      </c>
      <c r="M3382" s="16"/>
      <c r="N3382" s="16"/>
      <c r="O3382" s="17"/>
      <c r="P3382" s="17"/>
      <c r="Q3382" s="13">
        <f t="shared" si="3624"/>
        <v>0</v>
      </c>
      <c r="R3382" s="13"/>
      <c r="S3382" s="13"/>
      <c r="T3382" s="13">
        <f t="shared" ref="T3382:Y3382" si="3639">IF(ISBLANK(K3382)=TRUE,0,1)</f>
        <v>1</v>
      </c>
      <c r="U3382" s="13">
        <f t="shared" si="3639"/>
        <v>1</v>
      </c>
      <c r="V3382" s="13">
        <f t="shared" si="3639"/>
        <v>0</v>
      </c>
      <c r="W3382" s="13">
        <f t="shared" si="3639"/>
        <v>0</v>
      </c>
      <c r="X3382" s="13">
        <f t="shared" si="3639"/>
        <v>0</v>
      </c>
      <c r="Y3382" s="13">
        <f t="shared" si="3639"/>
        <v>0</v>
      </c>
      <c r="Z3382" s="13">
        <f t="shared" si="3023"/>
        <v>0</v>
      </c>
      <c r="AA3382" s="13"/>
      <c r="AB3382" s="13"/>
      <c r="AC3382" s="13"/>
      <c r="AD3382" s="13"/>
      <c r="AE3382" s="13"/>
      <c r="AF3382" s="13"/>
      <c r="AG3382" s="13"/>
      <c r="AH3382" s="13"/>
      <c r="AI3382" s="13"/>
      <c r="AJ3382" s="13"/>
      <c r="AK3382" s="13"/>
      <c r="AL3382" s="13"/>
      <c r="AM3382" s="13"/>
      <c r="AN3382" s="13"/>
      <c r="AO3382" s="13"/>
      <c r="AP3382" s="13"/>
      <c r="AQ3382" s="13"/>
      <c r="AR3382" s="13"/>
      <c r="AS3382" s="13"/>
    </row>
    <row r="3383" ht="14.25" customHeight="1">
      <c r="A3383" s="13" t="s">
        <v>36</v>
      </c>
      <c r="B3383" s="13" t="s">
        <v>41</v>
      </c>
      <c r="C3383" s="13" t="s">
        <v>1967</v>
      </c>
      <c r="D3383" s="13" t="s">
        <v>192</v>
      </c>
      <c r="F3383" s="13"/>
      <c r="G3383" s="13" t="s">
        <v>74</v>
      </c>
      <c r="H3383" s="13" t="s">
        <v>75</v>
      </c>
      <c r="I3383" s="13"/>
      <c r="J3383" s="13"/>
      <c r="K3383" s="15">
        <v>0.0</v>
      </c>
      <c r="L3383" s="15">
        <v>0.0</v>
      </c>
      <c r="M3383" s="16"/>
      <c r="N3383" s="16"/>
      <c r="O3383" s="17"/>
      <c r="P3383" s="17"/>
      <c r="Q3383" s="13">
        <f t="shared" si="3624"/>
        <v>0</v>
      </c>
      <c r="R3383" s="13"/>
      <c r="S3383" s="13"/>
      <c r="T3383" s="13">
        <f t="shared" ref="T3383:Y3383" si="3640">IF(ISBLANK(K3383)=TRUE,0,1)</f>
        <v>1</v>
      </c>
      <c r="U3383" s="13">
        <f t="shared" si="3640"/>
        <v>1</v>
      </c>
      <c r="V3383" s="13">
        <f t="shared" si="3640"/>
        <v>0</v>
      </c>
      <c r="W3383" s="13">
        <f t="shared" si="3640"/>
        <v>0</v>
      </c>
      <c r="X3383" s="13">
        <f t="shared" si="3640"/>
        <v>0</v>
      </c>
      <c r="Y3383" s="13">
        <f t="shared" si="3640"/>
        <v>0</v>
      </c>
      <c r="Z3383" s="13">
        <f t="shared" si="3023"/>
        <v>0</v>
      </c>
      <c r="AA3383" s="13"/>
      <c r="AB3383" s="13"/>
      <c r="AC3383" s="13"/>
      <c r="AD3383" s="13"/>
      <c r="AE3383" s="13"/>
      <c r="AF3383" s="13"/>
      <c r="AG3383" s="13"/>
      <c r="AH3383" s="13"/>
      <c r="AI3383" s="13"/>
      <c r="AJ3383" s="13"/>
      <c r="AK3383" s="13"/>
      <c r="AL3383" s="13"/>
      <c r="AM3383" s="13"/>
      <c r="AN3383" s="13"/>
      <c r="AO3383" s="13"/>
      <c r="AP3383" s="13"/>
      <c r="AQ3383" s="13"/>
      <c r="AR3383" s="13"/>
      <c r="AS3383" s="13"/>
    </row>
    <row r="3384" ht="14.25" customHeight="1">
      <c r="A3384" s="13" t="s">
        <v>36</v>
      </c>
      <c r="B3384" s="13" t="s">
        <v>37</v>
      </c>
      <c r="C3384" s="13" t="s">
        <v>607</v>
      </c>
      <c r="D3384" s="13" t="s">
        <v>187</v>
      </c>
      <c r="F3384" s="13"/>
      <c r="G3384" s="13" t="s">
        <v>111</v>
      </c>
      <c r="H3384" s="13" t="s">
        <v>75</v>
      </c>
      <c r="I3384" s="13"/>
      <c r="J3384" s="13"/>
      <c r="K3384" s="15">
        <v>0.0</v>
      </c>
      <c r="L3384" s="15">
        <v>0.0</v>
      </c>
      <c r="M3384" s="16"/>
      <c r="N3384" s="16"/>
      <c r="O3384" s="17"/>
      <c r="P3384" s="17"/>
      <c r="Q3384" s="13">
        <f t="shared" si="3624"/>
        <v>0</v>
      </c>
      <c r="R3384" s="13"/>
      <c r="S3384" s="13"/>
      <c r="T3384" s="13">
        <f t="shared" ref="T3384:Y3384" si="3641">IF(ISBLANK(K3384)=TRUE,0,1)</f>
        <v>1</v>
      </c>
      <c r="U3384" s="13">
        <f t="shared" si="3641"/>
        <v>1</v>
      </c>
      <c r="V3384" s="13">
        <f t="shared" si="3641"/>
        <v>0</v>
      </c>
      <c r="W3384" s="13">
        <f t="shared" si="3641"/>
        <v>0</v>
      </c>
      <c r="X3384" s="13">
        <f t="shared" si="3641"/>
        <v>0</v>
      </c>
      <c r="Y3384" s="13">
        <f t="shared" si="3641"/>
        <v>0</v>
      </c>
      <c r="Z3384" s="13">
        <f t="shared" si="3023"/>
        <v>0</v>
      </c>
      <c r="AA3384" s="13"/>
      <c r="AB3384" s="13"/>
      <c r="AC3384" s="13"/>
      <c r="AD3384" s="13"/>
      <c r="AE3384" s="13"/>
      <c r="AF3384" s="13"/>
      <c r="AG3384" s="13"/>
      <c r="AH3384" s="13"/>
      <c r="AI3384" s="13"/>
      <c r="AJ3384" s="13"/>
      <c r="AK3384" s="13"/>
      <c r="AL3384" s="13"/>
      <c r="AM3384" s="13"/>
      <c r="AN3384" s="13"/>
      <c r="AO3384" s="13"/>
      <c r="AP3384" s="13"/>
      <c r="AQ3384" s="13"/>
      <c r="AR3384" s="13"/>
      <c r="AS3384" s="13"/>
    </row>
    <row r="3385" ht="14.25" customHeight="1">
      <c r="A3385" s="13" t="s">
        <v>36</v>
      </c>
      <c r="B3385" s="13" t="s">
        <v>37</v>
      </c>
      <c r="C3385" s="13" t="s">
        <v>607</v>
      </c>
      <c r="D3385" s="13" t="s">
        <v>188</v>
      </c>
      <c r="F3385" s="13"/>
      <c r="G3385" s="13" t="s">
        <v>111</v>
      </c>
      <c r="H3385" s="13" t="s">
        <v>75</v>
      </c>
      <c r="I3385" s="13"/>
      <c r="J3385" s="13"/>
      <c r="K3385" s="15">
        <v>0.0</v>
      </c>
      <c r="L3385" s="15">
        <v>0.0</v>
      </c>
      <c r="M3385" s="16"/>
      <c r="N3385" s="16"/>
      <c r="O3385" s="17"/>
      <c r="P3385" s="17"/>
      <c r="Q3385" s="13">
        <f t="shared" si="3624"/>
        <v>0</v>
      </c>
      <c r="R3385" s="13"/>
      <c r="S3385" s="13"/>
      <c r="T3385" s="13">
        <f t="shared" ref="T3385:Y3385" si="3642">IF(ISBLANK(K3385)=TRUE,0,1)</f>
        <v>1</v>
      </c>
      <c r="U3385" s="13">
        <f t="shared" si="3642"/>
        <v>1</v>
      </c>
      <c r="V3385" s="13">
        <f t="shared" si="3642"/>
        <v>0</v>
      </c>
      <c r="W3385" s="13">
        <f t="shared" si="3642"/>
        <v>0</v>
      </c>
      <c r="X3385" s="13">
        <f t="shared" si="3642"/>
        <v>0</v>
      </c>
      <c r="Y3385" s="13">
        <f t="shared" si="3642"/>
        <v>0</v>
      </c>
      <c r="Z3385" s="13">
        <f t="shared" si="3023"/>
        <v>0</v>
      </c>
      <c r="AA3385" s="13"/>
      <c r="AB3385" s="13"/>
      <c r="AC3385" s="13"/>
      <c r="AD3385" s="13"/>
      <c r="AE3385" s="13"/>
      <c r="AF3385" s="13"/>
      <c r="AG3385" s="13"/>
      <c r="AH3385" s="13"/>
      <c r="AI3385" s="13"/>
      <c r="AJ3385" s="13"/>
      <c r="AK3385" s="13"/>
      <c r="AL3385" s="13"/>
      <c r="AM3385" s="13"/>
      <c r="AN3385" s="13"/>
      <c r="AO3385" s="13"/>
      <c r="AP3385" s="13"/>
      <c r="AQ3385" s="13"/>
      <c r="AR3385" s="13"/>
      <c r="AS3385" s="13"/>
    </row>
    <row r="3386" ht="14.25" customHeight="1">
      <c r="A3386" s="13" t="s">
        <v>36</v>
      </c>
      <c r="B3386" s="13" t="s">
        <v>42</v>
      </c>
      <c r="C3386" s="13">
        <v>872.0</v>
      </c>
      <c r="D3386" s="13" t="s">
        <v>181</v>
      </c>
      <c r="F3386" s="13"/>
      <c r="G3386" s="13" t="s">
        <v>111</v>
      </c>
      <c r="H3386" s="13" t="s">
        <v>75</v>
      </c>
      <c r="I3386" s="13"/>
      <c r="J3386" s="13"/>
      <c r="K3386" s="15">
        <v>1.0</v>
      </c>
      <c r="L3386" s="15">
        <v>1.0</v>
      </c>
      <c r="M3386" s="16"/>
      <c r="N3386" s="16"/>
      <c r="O3386" s="17"/>
      <c r="P3386" s="17"/>
      <c r="Q3386" s="13">
        <f t="shared" si="3624"/>
        <v>0</v>
      </c>
      <c r="R3386" s="13"/>
      <c r="S3386" s="13"/>
      <c r="T3386" s="13">
        <f t="shared" ref="T3386:Y3386" si="3643">IF(ISBLANK(K3386)=TRUE,0,1)</f>
        <v>1</v>
      </c>
      <c r="U3386" s="13">
        <f t="shared" si="3643"/>
        <v>1</v>
      </c>
      <c r="V3386" s="13">
        <f t="shared" si="3643"/>
        <v>0</v>
      </c>
      <c r="W3386" s="13">
        <f t="shared" si="3643"/>
        <v>0</v>
      </c>
      <c r="X3386" s="13">
        <f t="shared" si="3643"/>
        <v>0</v>
      </c>
      <c r="Y3386" s="13">
        <f t="shared" si="3643"/>
        <v>0</v>
      </c>
      <c r="Z3386" s="13">
        <f t="shared" si="3023"/>
        <v>1</v>
      </c>
      <c r="AA3386" s="13"/>
      <c r="AB3386" s="13"/>
      <c r="AC3386" s="13"/>
      <c r="AD3386" s="13"/>
      <c r="AE3386" s="13"/>
      <c r="AF3386" s="13"/>
      <c r="AG3386" s="13"/>
      <c r="AH3386" s="13"/>
      <c r="AI3386" s="13"/>
      <c r="AJ3386" s="13"/>
      <c r="AK3386" s="13"/>
      <c r="AL3386" s="13"/>
      <c r="AM3386" s="13"/>
      <c r="AN3386" s="13"/>
      <c r="AO3386" s="13"/>
      <c r="AP3386" s="13"/>
      <c r="AQ3386" s="13"/>
      <c r="AR3386" s="13"/>
      <c r="AS3386" s="13"/>
    </row>
    <row r="3387" ht="14.25" customHeight="1">
      <c r="A3387" s="13" t="s">
        <v>36</v>
      </c>
      <c r="B3387" s="13" t="s">
        <v>42</v>
      </c>
      <c r="C3387" s="13">
        <v>872.0</v>
      </c>
      <c r="D3387" s="13" t="s">
        <v>182</v>
      </c>
      <c r="F3387" s="13"/>
      <c r="G3387" s="13" t="s">
        <v>111</v>
      </c>
      <c r="H3387" s="13" t="s">
        <v>75</v>
      </c>
      <c r="I3387" s="13"/>
      <c r="J3387" s="13"/>
      <c r="K3387" s="15">
        <v>1.0</v>
      </c>
      <c r="L3387" s="15">
        <v>1.0</v>
      </c>
      <c r="M3387" s="16"/>
      <c r="N3387" s="16"/>
      <c r="O3387" s="17"/>
      <c r="P3387" s="17"/>
      <c r="Q3387" s="13">
        <f t="shared" si="3624"/>
        <v>2</v>
      </c>
      <c r="R3387" s="13"/>
      <c r="S3387" s="13"/>
      <c r="T3387" s="13">
        <f t="shared" ref="T3387:Y3387" si="3644">IF(ISBLANK(K3387)=TRUE,0,1)</f>
        <v>1</v>
      </c>
      <c r="U3387" s="13">
        <f t="shared" si="3644"/>
        <v>1</v>
      </c>
      <c r="V3387" s="13">
        <f t="shared" si="3644"/>
        <v>0</v>
      </c>
      <c r="W3387" s="13">
        <f t="shared" si="3644"/>
        <v>0</v>
      </c>
      <c r="X3387" s="13">
        <f t="shared" si="3644"/>
        <v>0</v>
      </c>
      <c r="Y3387" s="13">
        <f t="shared" si="3644"/>
        <v>0</v>
      </c>
      <c r="Z3387" s="13">
        <f t="shared" si="3023"/>
        <v>1</v>
      </c>
      <c r="AA3387" s="13"/>
      <c r="AB3387" s="13"/>
      <c r="AC3387" s="13"/>
      <c r="AD3387" s="13"/>
      <c r="AE3387" s="13"/>
      <c r="AF3387" s="13"/>
      <c r="AG3387" s="13"/>
      <c r="AH3387" s="13"/>
      <c r="AI3387" s="13"/>
      <c r="AJ3387" s="13"/>
      <c r="AK3387" s="13"/>
      <c r="AL3387" s="13"/>
      <c r="AM3387" s="13"/>
      <c r="AN3387" s="13"/>
      <c r="AO3387" s="13"/>
      <c r="AP3387" s="13"/>
      <c r="AQ3387" s="13"/>
      <c r="AR3387" s="13"/>
      <c r="AS3387" s="13"/>
    </row>
    <row r="3388" ht="14.25" customHeight="1">
      <c r="A3388" s="13" t="s">
        <v>36</v>
      </c>
      <c r="B3388" s="13" t="s">
        <v>42</v>
      </c>
      <c r="C3388" s="13">
        <v>872.0</v>
      </c>
      <c r="D3388" s="13" t="s">
        <v>183</v>
      </c>
      <c r="F3388" s="13"/>
      <c r="G3388" s="13" t="s">
        <v>111</v>
      </c>
      <c r="H3388" s="13" t="s">
        <v>75</v>
      </c>
      <c r="I3388" s="13"/>
      <c r="J3388" s="13"/>
      <c r="K3388" s="15">
        <v>1.0</v>
      </c>
      <c r="L3388" s="15">
        <v>1.0</v>
      </c>
      <c r="M3388" s="16"/>
      <c r="N3388" s="16"/>
      <c r="O3388" s="17"/>
      <c r="P3388" s="17"/>
      <c r="Q3388" s="13">
        <f t="shared" si="3624"/>
        <v>2</v>
      </c>
      <c r="R3388" s="13"/>
      <c r="S3388" s="13"/>
      <c r="T3388" s="13">
        <f t="shared" ref="T3388:Y3388" si="3645">IF(ISBLANK(K3388)=TRUE,0,1)</f>
        <v>1</v>
      </c>
      <c r="U3388" s="13">
        <f t="shared" si="3645"/>
        <v>1</v>
      </c>
      <c r="V3388" s="13">
        <f t="shared" si="3645"/>
        <v>0</v>
      </c>
      <c r="W3388" s="13">
        <f t="shared" si="3645"/>
        <v>0</v>
      </c>
      <c r="X3388" s="13">
        <f t="shared" si="3645"/>
        <v>0</v>
      </c>
      <c r="Y3388" s="13">
        <f t="shared" si="3645"/>
        <v>0</v>
      </c>
      <c r="Z3388" s="13">
        <f t="shared" si="3023"/>
        <v>1</v>
      </c>
      <c r="AA3388" s="13"/>
      <c r="AB3388" s="13"/>
      <c r="AC3388" s="13"/>
      <c r="AD3388" s="13"/>
      <c r="AE3388" s="13"/>
      <c r="AF3388" s="13"/>
      <c r="AG3388" s="13"/>
      <c r="AH3388" s="13"/>
      <c r="AI3388" s="13"/>
      <c r="AJ3388" s="13"/>
      <c r="AK3388" s="13"/>
      <c r="AL3388" s="13"/>
      <c r="AM3388" s="13"/>
      <c r="AN3388" s="13"/>
      <c r="AO3388" s="13"/>
      <c r="AP3388" s="13"/>
      <c r="AQ3388" s="13"/>
      <c r="AR3388" s="13"/>
      <c r="AS3388" s="13"/>
    </row>
    <row r="3389" ht="14.25" customHeight="1">
      <c r="A3389" s="13" t="s">
        <v>36</v>
      </c>
      <c r="B3389" s="13" t="s">
        <v>41</v>
      </c>
      <c r="C3389" s="13" t="s">
        <v>1967</v>
      </c>
      <c r="D3389" s="13" t="s">
        <v>193</v>
      </c>
      <c r="F3389" s="13"/>
      <c r="G3389" s="13" t="s">
        <v>74</v>
      </c>
      <c r="H3389" s="13" t="s">
        <v>75</v>
      </c>
      <c r="I3389" s="13"/>
      <c r="J3389" s="13"/>
      <c r="K3389" s="15">
        <v>0.0</v>
      </c>
      <c r="L3389" s="15">
        <v>0.0</v>
      </c>
      <c r="M3389" s="16"/>
      <c r="N3389" s="16"/>
      <c r="O3389" s="17"/>
      <c r="P3389" s="17"/>
      <c r="Q3389" s="13">
        <f t="shared" si="3624"/>
        <v>2</v>
      </c>
      <c r="R3389" s="13"/>
      <c r="S3389" s="13"/>
      <c r="T3389" s="13">
        <f t="shared" ref="T3389:Y3389" si="3646">IF(ISBLANK(K3389)=TRUE,0,1)</f>
        <v>1</v>
      </c>
      <c r="U3389" s="13">
        <f t="shared" si="3646"/>
        <v>1</v>
      </c>
      <c r="V3389" s="13">
        <f t="shared" si="3646"/>
        <v>0</v>
      </c>
      <c r="W3389" s="13">
        <f t="shared" si="3646"/>
        <v>0</v>
      </c>
      <c r="X3389" s="13">
        <f t="shared" si="3646"/>
        <v>0</v>
      </c>
      <c r="Y3389" s="13">
        <f t="shared" si="3646"/>
        <v>0</v>
      </c>
      <c r="Z3389" s="13">
        <f t="shared" si="3023"/>
        <v>0</v>
      </c>
      <c r="AA3389" s="13"/>
      <c r="AB3389" s="13"/>
      <c r="AC3389" s="13"/>
      <c r="AD3389" s="13"/>
      <c r="AE3389" s="13"/>
      <c r="AF3389" s="13"/>
      <c r="AG3389" s="13"/>
      <c r="AH3389" s="13"/>
      <c r="AI3389" s="13"/>
      <c r="AJ3389" s="13"/>
      <c r="AK3389" s="13"/>
      <c r="AL3389" s="13"/>
      <c r="AM3389" s="13"/>
      <c r="AN3389" s="13"/>
      <c r="AO3389" s="13"/>
      <c r="AP3389" s="13"/>
      <c r="AQ3389" s="13"/>
      <c r="AR3389" s="13"/>
      <c r="AS3389" s="13"/>
    </row>
    <row r="3390" ht="14.25" customHeight="1">
      <c r="A3390" s="13" t="s">
        <v>36</v>
      </c>
      <c r="B3390" s="13" t="s">
        <v>41</v>
      </c>
      <c r="C3390" s="13" t="s">
        <v>1967</v>
      </c>
      <c r="D3390" s="13" t="s">
        <v>194</v>
      </c>
      <c r="F3390" s="13"/>
      <c r="G3390" s="13" t="s">
        <v>74</v>
      </c>
      <c r="H3390" s="13" t="s">
        <v>75</v>
      </c>
      <c r="I3390" s="13"/>
      <c r="J3390" s="13"/>
      <c r="K3390" s="15">
        <v>0.0</v>
      </c>
      <c r="L3390" s="15">
        <v>0.0</v>
      </c>
      <c r="M3390" s="16"/>
      <c r="N3390" s="16"/>
      <c r="O3390" s="17"/>
      <c r="P3390" s="17"/>
      <c r="Q3390" s="13">
        <f t="shared" si="3624"/>
        <v>0</v>
      </c>
      <c r="R3390" s="13"/>
      <c r="S3390" s="13"/>
      <c r="T3390" s="13">
        <f t="shared" ref="T3390:Y3390" si="3647">IF(ISBLANK(K3390)=TRUE,0,1)</f>
        <v>1</v>
      </c>
      <c r="U3390" s="13">
        <f t="shared" si="3647"/>
        <v>1</v>
      </c>
      <c r="V3390" s="13">
        <f t="shared" si="3647"/>
        <v>0</v>
      </c>
      <c r="W3390" s="13">
        <f t="shared" si="3647"/>
        <v>0</v>
      </c>
      <c r="X3390" s="13">
        <f t="shared" si="3647"/>
        <v>0</v>
      </c>
      <c r="Y3390" s="13">
        <f t="shared" si="3647"/>
        <v>0</v>
      </c>
      <c r="Z3390" s="13">
        <f t="shared" si="3023"/>
        <v>0</v>
      </c>
      <c r="AA3390" s="13"/>
      <c r="AB3390" s="13"/>
      <c r="AC3390" s="13"/>
      <c r="AD3390" s="13"/>
      <c r="AE3390" s="13"/>
      <c r="AF3390" s="13"/>
      <c r="AG3390" s="13"/>
      <c r="AH3390" s="13"/>
      <c r="AI3390" s="13"/>
      <c r="AJ3390" s="13"/>
      <c r="AK3390" s="13"/>
      <c r="AL3390" s="13"/>
      <c r="AM3390" s="13"/>
      <c r="AN3390" s="13"/>
      <c r="AO3390" s="13"/>
      <c r="AP3390" s="13"/>
      <c r="AQ3390" s="13"/>
      <c r="AR3390" s="13"/>
      <c r="AS3390" s="13"/>
    </row>
    <row r="3391" ht="14.25" customHeight="1">
      <c r="A3391" s="13" t="s">
        <v>36</v>
      </c>
      <c r="B3391" s="13" t="s">
        <v>42</v>
      </c>
      <c r="C3391" s="13">
        <v>872.0</v>
      </c>
      <c r="D3391" s="13" t="s">
        <v>184</v>
      </c>
      <c r="F3391" s="13"/>
      <c r="G3391" s="13" t="s">
        <v>111</v>
      </c>
      <c r="H3391" s="13" t="s">
        <v>75</v>
      </c>
      <c r="I3391" s="13"/>
      <c r="J3391" s="13"/>
      <c r="K3391" s="15">
        <v>1.0</v>
      </c>
      <c r="L3391" s="15">
        <v>1.0</v>
      </c>
      <c r="M3391" s="16"/>
      <c r="N3391" s="16"/>
      <c r="O3391" s="17"/>
      <c r="P3391" s="17"/>
      <c r="Q3391" s="13">
        <f t="shared" si="3624"/>
        <v>0</v>
      </c>
      <c r="R3391" s="13"/>
      <c r="S3391" s="13"/>
      <c r="T3391" s="13">
        <f t="shared" ref="T3391:Y3391" si="3648">IF(ISBLANK(K3391)=TRUE,0,1)</f>
        <v>1</v>
      </c>
      <c r="U3391" s="13">
        <f t="shared" si="3648"/>
        <v>1</v>
      </c>
      <c r="V3391" s="13">
        <f t="shared" si="3648"/>
        <v>0</v>
      </c>
      <c r="W3391" s="13">
        <f t="shared" si="3648"/>
        <v>0</v>
      </c>
      <c r="X3391" s="13">
        <f t="shared" si="3648"/>
        <v>0</v>
      </c>
      <c r="Y3391" s="13">
        <f t="shared" si="3648"/>
        <v>0</v>
      </c>
      <c r="Z3391" s="13">
        <f t="shared" si="3023"/>
        <v>1</v>
      </c>
      <c r="AA3391" s="13"/>
      <c r="AB3391" s="13"/>
      <c r="AC3391" s="13"/>
      <c r="AD3391" s="13"/>
      <c r="AE3391" s="13"/>
      <c r="AF3391" s="13"/>
      <c r="AG3391" s="13"/>
      <c r="AH3391" s="13"/>
      <c r="AI3391" s="13"/>
      <c r="AJ3391" s="13"/>
      <c r="AK3391" s="13"/>
      <c r="AL3391" s="13"/>
      <c r="AM3391" s="13"/>
      <c r="AN3391" s="13"/>
      <c r="AO3391" s="13"/>
      <c r="AP3391" s="13"/>
      <c r="AQ3391" s="13"/>
      <c r="AR3391" s="13"/>
      <c r="AS3391" s="13"/>
    </row>
    <row r="3392" ht="14.25" customHeight="1">
      <c r="A3392" s="13" t="s">
        <v>36</v>
      </c>
      <c r="B3392" s="13" t="s">
        <v>42</v>
      </c>
      <c r="C3392" s="13">
        <v>872.0</v>
      </c>
      <c r="D3392" s="13" t="s">
        <v>185</v>
      </c>
      <c r="F3392" s="13"/>
      <c r="G3392" s="13" t="s">
        <v>111</v>
      </c>
      <c r="H3392" s="13" t="s">
        <v>75</v>
      </c>
      <c r="I3392" s="13"/>
      <c r="J3392" s="13"/>
      <c r="K3392" s="15">
        <v>1.0</v>
      </c>
      <c r="L3392" s="15">
        <v>1.0</v>
      </c>
      <c r="M3392" s="16"/>
      <c r="N3392" s="16"/>
      <c r="O3392" s="17"/>
      <c r="P3392" s="17"/>
      <c r="Q3392" s="13">
        <f t="shared" si="3624"/>
        <v>2</v>
      </c>
      <c r="R3392" s="13"/>
      <c r="S3392" s="13"/>
      <c r="T3392" s="13">
        <f t="shared" ref="T3392:Y3392" si="3649">IF(ISBLANK(K3392)=TRUE,0,1)</f>
        <v>1</v>
      </c>
      <c r="U3392" s="13">
        <f t="shared" si="3649"/>
        <v>1</v>
      </c>
      <c r="V3392" s="13">
        <f t="shared" si="3649"/>
        <v>0</v>
      </c>
      <c r="W3392" s="13">
        <f t="shared" si="3649"/>
        <v>0</v>
      </c>
      <c r="X3392" s="13">
        <f t="shared" si="3649"/>
        <v>0</v>
      </c>
      <c r="Y3392" s="13">
        <f t="shared" si="3649"/>
        <v>0</v>
      </c>
      <c r="Z3392" s="13">
        <f t="shared" si="3023"/>
        <v>1</v>
      </c>
      <c r="AA3392" s="13"/>
      <c r="AB3392" s="13"/>
      <c r="AC3392" s="13"/>
      <c r="AD3392" s="13"/>
      <c r="AE3392" s="13"/>
      <c r="AF3392" s="13"/>
      <c r="AG3392" s="13"/>
      <c r="AH3392" s="13"/>
      <c r="AI3392" s="13"/>
      <c r="AJ3392" s="13"/>
      <c r="AK3392" s="13"/>
      <c r="AL3392" s="13"/>
      <c r="AM3392" s="13"/>
      <c r="AN3392" s="13"/>
      <c r="AO3392" s="13"/>
      <c r="AP3392" s="13"/>
      <c r="AQ3392" s="13"/>
      <c r="AR3392" s="13"/>
      <c r="AS3392" s="13"/>
    </row>
    <row r="3393" ht="14.25" customHeight="1">
      <c r="A3393" s="13" t="s">
        <v>36</v>
      </c>
      <c r="B3393" s="13" t="s">
        <v>42</v>
      </c>
      <c r="C3393" s="13">
        <v>872.0</v>
      </c>
      <c r="D3393" s="13" t="s">
        <v>186</v>
      </c>
      <c r="F3393" s="13"/>
      <c r="G3393" s="13" t="s">
        <v>111</v>
      </c>
      <c r="H3393" s="13" t="s">
        <v>75</v>
      </c>
      <c r="I3393" s="13"/>
      <c r="J3393" s="13"/>
      <c r="K3393" s="15">
        <v>1.0</v>
      </c>
      <c r="L3393" s="15">
        <v>1.0</v>
      </c>
      <c r="M3393" s="16"/>
      <c r="N3393" s="16"/>
      <c r="O3393" s="17"/>
      <c r="P3393" s="17"/>
      <c r="Q3393" s="13">
        <f t="shared" si="3624"/>
        <v>2</v>
      </c>
      <c r="R3393" s="13"/>
      <c r="S3393" s="13"/>
      <c r="T3393" s="13">
        <f t="shared" ref="T3393:Y3393" si="3650">IF(ISBLANK(K3393)=TRUE,0,1)</f>
        <v>1</v>
      </c>
      <c r="U3393" s="13">
        <f t="shared" si="3650"/>
        <v>1</v>
      </c>
      <c r="V3393" s="13">
        <f t="shared" si="3650"/>
        <v>0</v>
      </c>
      <c r="W3393" s="13">
        <f t="shared" si="3650"/>
        <v>0</v>
      </c>
      <c r="X3393" s="13">
        <f t="shared" si="3650"/>
        <v>0</v>
      </c>
      <c r="Y3393" s="13">
        <f t="shared" si="3650"/>
        <v>0</v>
      </c>
      <c r="Z3393" s="13">
        <f t="shared" si="3023"/>
        <v>1</v>
      </c>
      <c r="AA3393" s="13"/>
      <c r="AB3393" s="13"/>
      <c r="AC3393" s="13"/>
      <c r="AD3393" s="13"/>
      <c r="AE3393" s="13"/>
      <c r="AF3393" s="13"/>
      <c r="AG3393" s="13"/>
      <c r="AH3393" s="13"/>
      <c r="AI3393" s="13"/>
      <c r="AJ3393" s="13"/>
      <c r="AK3393" s="13"/>
      <c r="AL3393" s="13"/>
      <c r="AM3393" s="13"/>
      <c r="AN3393" s="13"/>
      <c r="AO3393" s="13"/>
      <c r="AP3393" s="13"/>
      <c r="AQ3393" s="13"/>
      <c r="AR3393" s="13"/>
      <c r="AS3393" s="13"/>
    </row>
    <row r="3394" ht="14.25" customHeight="1">
      <c r="A3394" s="13" t="s">
        <v>36</v>
      </c>
      <c r="B3394" s="13" t="s">
        <v>37</v>
      </c>
      <c r="C3394" s="13" t="s">
        <v>607</v>
      </c>
      <c r="D3394" s="13" t="s">
        <v>189</v>
      </c>
      <c r="F3394" s="13"/>
      <c r="G3394" s="13" t="s">
        <v>111</v>
      </c>
      <c r="H3394" s="13" t="s">
        <v>75</v>
      </c>
      <c r="I3394" s="13"/>
      <c r="J3394" s="13"/>
      <c r="K3394" s="15">
        <v>0.0</v>
      </c>
      <c r="L3394" s="15">
        <v>0.0</v>
      </c>
      <c r="M3394" s="16"/>
      <c r="N3394" s="16"/>
      <c r="O3394" s="17"/>
      <c r="P3394" s="17"/>
      <c r="Q3394" s="13">
        <f t="shared" si="3624"/>
        <v>2</v>
      </c>
      <c r="R3394" s="13"/>
      <c r="S3394" s="13"/>
      <c r="T3394" s="13">
        <f t="shared" ref="T3394:Y3394" si="3651">IF(ISBLANK(K3394)=TRUE,0,1)</f>
        <v>1</v>
      </c>
      <c r="U3394" s="13">
        <f t="shared" si="3651"/>
        <v>1</v>
      </c>
      <c r="V3394" s="13">
        <f t="shared" si="3651"/>
        <v>0</v>
      </c>
      <c r="W3394" s="13">
        <f t="shared" si="3651"/>
        <v>0</v>
      </c>
      <c r="X3394" s="13">
        <f t="shared" si="3651"/>
        <v>0</v>
      </c>
      <c r="Y3394" s="13">
        <f t="shared" si="3651"/>
        <v>0</v>
      </c>
      <c r="Z3394" s="13">
        <f t="shared" si="3023"/>
        <v>0</v>
      </c>
      <c r="AA3394" s="13"/>
      <c r="AB3394" s="13"/>
      <c r="AC3394" s="13"/>
      <c r="AD3394" s="13"/>
      <c r="AE3394" s="13"/>
      <c r="AF3394" s="13"/>
      <c r="AG3394" s="13"/>
      <c r="AH3394" s="13"/>
      <c r="AI3394" s="13"/>
      <c r="AJ3394" s="13"/>
      <c r="AK3394" s="13"/>
      <c r="AL3394" s="13"/>
      <c r="AM3394" s="13"/>
      <c r="AN3394" s="13"/>
      <c r="AO3394" s="13"/>
      <c r="AP3394" s="13"/>
      <c r="AQ3394" s="13"/>
      <c r="AR3394" s="13"/>
      <c r="AS3394" s="13"/>
    </row>
    <row r="3395" ht="14.25" customHeight="1">
      <c r="A3395" s="13" t="s">
        <v>46</v>
      </c>
      <c r="B3395" s="13" t="s">
        <v>49</v>
      </c>
      <c r="C3395" s="13" t="s">
        <v>1862</v>
      </c>
      <c r="D3395" s="26" t="s">
        <v>175</v>
      </c>
      <c r="E3395" s="13"/>
      <c r="F3395" s="13"/>
      <c r="G3395" s="26" t="s">
        <v>74</v>
      </c>
      <c r="H3395" s="13" t="s">
        <v>75</v>
      </c>
      <c r="I3395" s="13"/>
      <c r="J3395" s="13"/>
      <c r="K3395" s="15">
        <v>1.0</v>
      </c>
      <c r="L3395" s="15">
        <v>1.0</v>
      </c>
      <c r="M3395" s="16"/>
      <c r="N3395" s="16"/>
      <c r="O3395" s="17"/>
      <c r="P3395" s="17"/>
      <c r="Q3395" s="13"/>
      <c r="R3395" s="13"/>
      <c r="S3395" s="13"/>
      <c r="T3395" s="13">
        <f t="shared" ref="T3395:Y3395" si="3652">IF(ISBLANK(K3395)=TRUE,0,1)</f>
        <v>1</v>
      </c>
      <c r="U3395" s="13">
        <f t="shared" si="3652"/>
        <v>1</v>
      </c>
      <c r="V3395" s="13">
        <f t="shared" si="3652"/>
        <v>0</v>
      </c>
      <c r="W3395" s="13">
        <f t="shared" si="3652"/>
        <v>0</v>
      </c>
      <c r="X3395" s="13">
        <f t="shared" si="3652"/>
        <v>0</v>
      </c>
      <c r="Y3395" s="13">
        <f t="shared" si="3652"/>
        <v>0</v>
      </c>
      <c r="Z3395" s="13">
        <f t="shared" si="3023"/>
        <v>1</v>
      </c>
      <c r="AA3395" s="13"/>
      <c r="AB3395" s="13"/>
      <c r="AC3395" s="13"/>
      <c r="AD3395" s="13"/>
      <c r="AE3395" s="13"/>
      <c r="AF3395" s="13"/>
      <c r="AG3395" s="13"/>
      <c r="AH3395" s="13"/>
      <c r="AI3395" s="13"/>
      <c r="AJ3395" s="13"/>
      <c r="AK3395" s="13"/>
      <c r="AL3395" s="13"/>
      <c r="AM3395" s="13"/>
      <c r="AN3395" s="13"/>
      <c r="AO3395" s="13"/>
      <c r="AP3395" s="13"/>
      <c r="AQ3395" s="13"/>
      <c r="AR3395" s="13"/>
      <c r="AS3395" s="13"/>
    </row>
    <row r="3396" ht="14.25" customHeight="1">
      <c r="A3396" s="13" t="s">
        <v>46</v>
      </c>
      <c r="B3396" s="13" t="s">
        <v>49</v>
      </c>
      <c r="C3396" s="13" t="s">
        <v>1862</v>
      </c>
      <c r="D3396" s="26" t="s">
        <v>176</v>
      </c>
      <c r="E3396" s="13"/>
      <c r="F3396" s="13"/>
      <c r="G3396" s="26" t="s">
        <v>74</v>
      </c>
      <c r="H3396" s="13" t="s">
        <v>75</v>
      </c>
      <c r="I3396" s="13"/>
      <c r="J3396" s="13"/>
      <c r="K3396" s="15">
        <v>1.0</v>
      </c>
      <c r="L3396" s="15">
        <v>1.0</v>
      </c>
      <c r="M3396" s="16"/>
      <c r="N3396" s="16"/>
      <c r="O3396" s="17"/>
      <c r="P3396" s="17"/>
      <c r="Q3396" s="13"/>
      <c r="R3396" s="13"/>
      <c r="S3396" s="13"/>
      <c r="T3396" s="13">
        <f t="shared" ref="T3396:Y3396" si="3653">IF(ISBLANK(K3396)=TRUE,0,1)</f>
        <v>1</v>
      </c>
      <c r="U3396" s="13">
        <f t="shared" si="3653"/>
        <v>1</v>
      </c>
      <c r="V3396" s="13">
        <f t="shared" si="3653"/>
        <v>0</v>
      </c>
      <c r="W3396" s="13">
        <f t="shared" si="3653"/>
        <v>0</v>
      </c>
      <c r="X3396" s="13">
        <f t="shared" si="3653"/>
        <v>0</v>
      </c>
      <c r="Y3396" s="13">
        <f t="shared" si="3653"/>
        <v>0</v>
      </c>
      <c r="Z3396" s="13">
        <f t="shared" si="3023"/>
        <v>1</v>
      </c>
      <c r="AA3396" s="13"/>
      <c r="AB3396" s="13"/>
      <c r="AC3396" s="13"/>
      <c r="AD3396" s="13"/>
      <c r="AE3396" s="13"/>
      <c r="AF3396" s="13"/>
      <c r="AG3396" s="13"/>
      <c r="AH3396" s="13"/>
      <c r="AI3396" s="13"/>
      <c r="AJ3396" s="13"/>
      <c r="AK3396" s="13"/>
      <c r="AL3396" s="13"/>
      <c r="AM3396" s="13"/>
      <c r="AN3396" s="13"/>
      <c r="AO3396" s="13"/>
      <c r="AP3396" s="13"/>
      <c r="AQ3396" s="13"/>
      <c r="AR3396" s="13"/>
      <c r="AS3396" s="13"/>
    </row>
    <row r="3397" ht="14.25" customHeight="1">
      <c r="A3397" s="13" t="s">
        <v>46</v>
      </c>
      <c r="B3397" s="13" t="s">
        <v>49</v>
      </c>
      <c r="C3397" s="13" t="s">
        <v>1862</v>
      </c>
      <c r="D3397" s="26" t="s">
        <v>177</v>
      </c>
      <c r="E3397" s="13"/>
      <c r="F3397" s="13"/>
      <c r="G3397" s="26" t="s">
        <v>74</v>
      </c>
      <c r="H3397" s="13" t="s">
        <v>75</v>
      </c>
      <c r="I3397" s="13"/>
      <c r="J3397" s="13"/>
      <c r="K3397" s="15">
        <v>1.0</v>
      </c>
      <c r="L3397" s="15">
        <v>1.0</v>
      </c>
      <c r="M3397" s="16"/>
      <c r="N3397" s="16"/>
      <c r="O3397" s="17"/>
      <c r="P3397" s="17"/>
      <c r="Q3397" s="13"/>
      <c r="R3397" s="13"/>
      <c r="S3397" s="13"/>
      <c r="T3397" s="13">
        <f t="shared" ref="T3397:Y3397" si="3654">IF(ISBLANK(K3397)=TRUE,0,1)</f>
        <v>1</v>
      </c>
      <c r="U3397" s="13">
        <f t="shared" si="3654"/>
        <v>1</v>
      </c>
      <c r="V3397" s="13">
        <f t="shared" si="3654"/>
        <v>0</v>
      </c>
      <c r="W3397" s="13">
        <f t="shared" si="3654"/>
        <v>0</v>
      </c>
      <c r="X3397" s="13">
        <f t="shared" si="3654"/>
        <v>0</v>
      </c>
      <c r="Y3397" s="13">
        <f t="shared" si="3654"/>
        <v>0</v>
      </c>
      <c r="Z3397" s="13">
        <f t="shared" si="3023"/>
        <v>1</v>
      </c>
      <c r="AA3397" s="13"/>
      <c r="AB3397" s="13"/>
      <c r="AC3397" s="13"/>
      <c r="AD3397" s="13"/>
      <c r="AE3397" s="13"/>
      <c r="AF3397" s="13"/>
      <c r="AG3397" s="13"/>
      <c r="AH3397" s="13"/>
      <c r="AI3397" s="13"/>
      <c r="AJ3397" s="13"/>
      <c r="AK3397" s="13"/>
      <c r="AL3397" s="13"/>
      <c r="AM3397" s="13"/>
      <c r="AN3397" s="13"/>
      <c r="AO3397" s="13"/>
      <c r="AP3397" s="13"/>
      <c r="AQ3397" s="13"/>
      <c r="AR3397" s="13"/>
      <c r="AS3397" s="13"/>
    </row>
    <row r="3398" ht="14.25" customHeight="1">
      <c r="A3398" s="13" t="s">
        <v>46</v>
      </c>
      <c r="B3398" s="13" t="s">
        <v>49</v>
      </c>
      <c r="C3398" s="13" t="s">
        <v>1862</v>
      </c>
      <c r="D3398" s="26" t="s">
        <v>178</v>
      </c>
      <c r="E3398" s="13"/>
      <c r="F3398" s="13"/>
      <c r="G3398" s="26" t="s">
        <v>74</v>
      </c>
      <c r="H3398" s="13" t="s">
        <v>75</v>
      </c>
      <c r="I3398" s="13"/>
      <c r="J3398" s="13"/>
      <c r="K3398" s="15">
        <v>1.0</v>
      </c>
      <c r="L3398" s="15">
        <v>1.0</v>
      </c>
      <c r="M3398" s="16"/>
      <c r="N3398" s="16"/>
      <c r="O3398" s="17"/>
      <c r="P3398" s="17"/>
      <c r="Q3398" s="13"/>
      <c r="R3398" s="13"/>
      <c r="S3398" s="13"/>
      <c r="T3398" s="13">
        <f t="shared" ref="T3398:Y3398" si="3655">IF(ISBLANK(K3398)=TRUE,0,1)</f>
        <v>1</v>
      </c>
      <c r="U3398" s="13">
        <f t="shared" si="3655"/>
        <v>1</v>
      </c>
      <c r="V3398" s="13">
        <f t="shared" si="3655"/>
        <v>0</v>
      </c>
      <c r="W3398" s="13">
        <f t="shared" si="3655"/>
        <v>0</v>
      </c>
      <c r="X3398" s="13">
        <f t="shared" si="3655"/>
        <v>0</v>
      </c>
      <c r="Y3398" s="13">
        <f t="shared" si="3655"/>
        <v>0</v>
      </c>
      <c r="Z3398" s="13">
        <f t="shared" si="3023"/>
        <v>1</v>
      </c>
      <c r="AA3398" s="13"/>
      <c r="AB3398" s="13"/>
      <c r="AC3398" s="13"/>
      <c r="AD3398" s="13"/>
      <c r="AE3398" s="13"/>
      <c r="AF3398" s="13"/>
      <c r="AG3398" s="13"/>
      <c r="AH3398" s="13"/>
      <c r="AI3398" s="13"/>
      <c r="AJ3398" s="13"/>
      <c r="AK3398" s="13"/>
      <c r="AL3398" s="13"/>
      <c r="AM3398" s="13"/>
      <c r="AN3398" s="13"/>
      <c r="AO3398" s="13"/>
      <c r="AP3398" s="13"/>
      <c r="AQ3398" s="13"/>
      <c r="AR3398" s="13"/>
      <c r="AS3398" s="13"/>
    </row>
    <row r="3399" ht="14.25" customHeight="1">
      <c r="A3399" s="13" t="s">
        <v>46</v>
      </c>
      <c r="B3399" s="13" t="s">
        <v>49</v>
      </c>
      <c r="C3399" s="13" t="s">
        <v>1862</v>
      </c>
      <c r="D3399" s="26" t="s">
        <v>179</v>
      </c>
      <c r="E3399" s="13"/>
      <c r="F3399" s="13"/>
      <c r="G3399" s="26" t="s">
        <v>74</v>
      </c>
      <c r="H3399" s="13" t="s">
        <v>75</v>
      </c>
      <c r="I3399" s="13"/>
      <c r="J3399" s="13"/>
      <c r="K3399" s="15">
        <v>1.0</v>
      </c>
      <c r="L3399" s="15">
        <v>1.0</v>
      </c>
      <c r="M3399" s="16"/>
      <c r="N3399" s="16"/>
      <c r="O3399" s="17"/>
      <c r="P3399" s="17"/>
      <c r="Q3399" s="13"/>
      <c r="R3399" s="13"/>
      <c r="S3399" s="13"/>
      <c r="T3399" s="13">
        <f t="shared" ref="T3399:Y3399" si="3656">IF(ISBLANK(K3399)=TRUE,0,1)</f>
        <v>1</v>
      </c>
      <c r="U3399" s="13">
        <f t="shared" si="3656"/>
        <v>1</v>
      </c>
      <c r="V3399" s="13">
        <f t="shared" si="3656"/>
        <v>0</v>
      </c>
      <c r="W3399" s="13">
        <f t="shared" si="3656"/>
        <v>0</v>
      </c>
      <c r="X3399" s="13">
        <f t="shared" si="3656"/>
        <v>0</v>
      </c>
      <c r="Y3399" s="13">
        <f t="shared" si="3656"/>
        <v>0</v>
      </c>
      <c r="Z3399" s="13">
        <f t="shared" si="3023"/>
        <v>1</v>
      </c>
      <c r="AA3399" s="13"/>
      <c r="AB3399" s="13"/>
      <c r="AC3399" s="13"/>
      <c r="AD3399" s="13"/>
      <c r="AE3399" s="13"/>
      <c r="AF3399" s="13"/>
      <c r="AG3399" s="13"/>
      <c r="AH3399" s="13"/>
      <c r="AI3399" s="13"/>
      <c r="AJ3399" s="13"/>
      <c r="AK3399" s="13"/>
      <c r="AL3399" s="13"/>
      <c r="AM3399" s="13"/>
      <c r="AN3399" s="13"/>
      <c r="AO3399" s="13"/>
      <c r="AP3399" s="13"/>
      <c r="AQ3399" s="13"/>
      <c r="AR3399" s="13"/>
      <c r="AS3399" s="13"/>
    </row>
    <row r="3400" ht="14.25" customHeight="1">
      <c r="A3400" s="13" t="s">
        <v>46</v>
      </c>
      <c r="B3400" s="13" t="s">
        <v>49</v>
      </c>
      <c r="C3400" s="13" t="s">
        <v>1862</v>
      </c>
      <c r="D3400" s="26" t="s">
        <v>180</v>
      </c>
      <c r="E3400" s="13"/>
      <c r="F3400" s="13"/>
      <c r="G3400" s="26" t="s">
        <v>74</v>
      </c>
      <c r="H3400" s="13" t="s">
        <v>75</v>
      </c>
      <c r="I3400" s="13"/>
      <c r="J3400" s="13"/>
      <c r="K3400" s="15">
        <v>1.0</v>
      </c>
      <c r="L3400" s="15">
        <v>1.0</v>
      </c>
      <c r="M3400" s="16"/>
      <c r="N3400" s="16"/>
      <c r="O3400" s="17"/>
      <c r="P3400" s="17"/>
      <c r="Q3400" s="13"/>
      <c r="R3400" s="13"/>
      <c r="S3400" s="13"/>
      <c r="T3400" s="13">
        <f t="shared" ref="T3400:Y3400" si="3657">IF(ISBLANK(K3400)=TRUE,0,1)</f>
        <v>1</v>
      </c>
      <c r="U3400" s="13">
        <f t="shared" si="3657"/>
        <v>1</v>
      </c>
      <c r="V3400" s="13">
        <f t="shared" si="3657"/>
        <v>0</v>
      </c>
      <c r="W3400" s="13">
        <f t="shared" si="3657"/>
        <v>0</v>
      </c>
      <c r="X3400" s="13">
        <f t="shared" si="3657"/>
        <v>0</v>
      </c>
      <c r="Y3400" s="13">
        <f t="shared" si="3657"/>
        <v>0</v>
      </c>
      <c r="Z3400" s="13">
        <f t="shared" si="3023"/>
        <v>1</v>
      </c>
      <c r="AA3400" s="13"/>
      <c r="AB3400" s="13"/>
      <c r="AC3400" s="13"/>
      <c r="AD3400" s="13"/>
      <c r="AE3400" s="13"/>
      <c r="AF3400" s="13"/>
      <c r="AG3400" s="13"/>
      <c r="AH3400" s="13"/>
      <c r="AI3400" s="13"/>
      <c r="AJ3400" s="13"/>
      <c r="AK3400" s="13"/>
      <c r="AL3400" s="13"/>
      <c r="AM3400" s="13"/>
      <c r="AN3400" s="13"/>
      <c r="AO3400" s="13"/>
      <c r="AP3400" s="13"/>
      <c r="AQ3400" s="13"/>
      <c r="AR3400" s="13"/>
      <c r="AS3400" s="13"/>
    </row>
    <row r="3401" ht="14.25" customHeight="1">
      <c r="A3401" s="13" t="s">
        <v>36</v>
      </c>
      <c r="B3401" s="13" t="s">
        <v>41</v>
      </c>
      <c r="C3401" s="13" t="s">
        <v>1967</v>
      </c>
      <c r="D3401" s="13" t="s">
        <v>195</v>
      </c>
      <c r="F3401" s="13"/>
      <c r="G3401" s="13" t="s">
        <v>74</v>
      </c>
      <c r="H3401" s="13" t="s">
        <v>75</v>
      </c>
      <c r="I3401" s="13"/>
      <c r="J3401" s="13"/>
      <c r="K3401" s="15">
        <v>0.0</v>
      </c>
      <c r="L3401" s="15">
        <v>0.0</v>
      </c>
      <c r="M3401" s="16"/>
      <c r="N3401" s="16"/>
      <c r="O3401" s="17"/>
      <c r="P3401" s="17"/>
      <c r="Q3401" s="13">
        <f t="shared" ref="Q3401:Q3414" si="3659">K3400+L3400+M3400+N3400+O3400+P3400/6</f>
        <v>2</v>
      </c>
      <c r="R3401" s="13"/>
      <c r="S3401" s="13"/>
      <c r="T3401" s="13">
        <f t="shared" ref="T3401:Y3401" si="3658">IF(ISBLANK(K3401)=TRUE,0,1)</f>
        <v>1</v>
      </c>
      <c r="U3401" s="13">
        <f t="shared" si="3658"/>
        <v>1</v>
      </c>
      <c r="V3401" s="13">
        <f t="shared" si="3658"/>
        <v>0</v>
      </c>
      <c r="W3401" s="13">
        <f t="shared" si="3658"/>
        <v>0</v>
      </c>
      <c r="X3401" s="13">
        <f t="shared" si="3658"/>
        <v>0</v>
      </c>
      <c r="Y3401" s="13">
        <f t="shared" si="3658"/>
        <v>0</v>
      </c>
      <c r="Z3401" s="13">
        <f t="shared" si="3023"/>
        <v>0</v>
      </c>
      <c r="AA3401" s="13"/>
      <c r="AB3401" s="13"/>
      <c r="AC3401" s="13"/>
      <c r="AD3401" s="13"/>
      <c r="AE3401" s="13"/>
      <c r="AF3401" s="13"/>
      <c r="AG3401" s="13"/>
      <c r="AH3401" s="13"/>
      <c r="AI3401" s="13"/>
      <c r="AJ3401" s="13"/>
      <c r="AK3401" s="13"/>
      <c r="AL3401" s="13"/>
      <c r="AM3401" s="13"/>
      <c r="AN3401" s="13"/>
      <c r="AO3401" s="13"/>
      <c r="AP3401" s="13"/>
      <c r="AQ3401" s="13"/>
      <c r="AR3401" s="13"/>
      <c r="AS3401" s="13"/>
    </row>
    <row r="3402" ht="14.25" customHeight="1">
      <c r="A3402" s="13" t="s">
        <v>36</v>
      </c>
      <c r="B3402" s="13" t="s">
        <v>41</v>
      </c>
      <c r="C3402" s="13" t="s">
        <v>1967</v>
      </c>
      <c r="D3402" s="13" t="s">
        <v>196</v>
      </c>
      <c r="F3402" s="13"/>
      <c r="G3402" s="13" t="s">
        <v>74</v>
      </c>
      <c r="H3402" s="13" t="s">
        <v>75</v>
      </c>
      <c r="I3402" s="13"/>
      <c r="J3402" s="13"/>
      <c r="K3402" s="15">
        <v>0.0</v>
      </c>
      <c r="L3402" s="15">
        <v>0.0</v>
      </c>
      <c r="M3402" s="16"/>
      <c r="N3402" s="16"/>
      <c r="O3402" s="17"/>
      <c r="P3402" s="17"/>
      <c r="Q3402" s="13">
        <f t="shared" si="3659"/>
        <v>0</v>
      </c>
      <c r="R3402" s="13"/>
      <c r="S3402" s="13"/>
      <c r="T3402" s="13">
        <f t="shared" ref="T3402:Y3402" si="3660">IF(ISBLANK(K3402)=TRUE,0,1)</f>
        <v>1</v>
      </c>
      <c r="U3402" s="13">
        <f t="shared" si="3660"/>
        <v>1</v>
      </c>
      <c r="V3402" s="13">
        <f t="shared" si="3660"/>
        <v>0</v>
      </c>
      <c r="W3402" s="13">
        <f t="shared" si="3660"/>
        <v>0</v>
      </c>
      <c r="X3402" s="13">
        <f t="shared" si="3660"/>
        <v>0</v>
      </c>
      <c r="Y3402" s="13">
        <f t="shared" si="3660"/>
        <v>0</v>
      </c>
      <c r="Z3402" s="13">
        <f t="shared" si="3023"/>
        <v>0</v>
      </c>
      <c r="AA3402" s="13"/>
      <c r="AB3402" s="13"/>
      <c r="AC3402" s="13"/>
      <c r="AD3402" s="13"/>
      <c r="AE3402" s="13"/>
      <c r="AF3402" s="13"/>
      <c r="AG3402" s="13"/>
      <c r="AH3402" s="13"/>
      <c r="AI3402" s="13"/>
      <c r="AJ3402" s="13"/>
      <c r="AK3402" s="13"/>
      <c r="AL3402" s="13"/>
      <c r="AM3402" s="13"/>
      <c r="AN3402" s="13"/>
      <c r="AO3402" s="13"/>
      <c r="AP3402" s="13"/>
      <c r="AQ3402" s="13"/>
      <c r="AR3402" s="13"/>
      <c r="AS3402" s="13"/>
    </row>
    <row r="3403" ht="14.25" customHeight="1">
      <c r="A3403" s="13" t="s">
        <v>36</v>
      </c>
      <c r="B3403" s="13" t="s">
        <v>41</v>
      </c>
      <c r="C3403" s="13" t="s">
        <v>1967</v>
      </c>
      <c r="D3403" s="13" t="s">
        <v>197</v>
      </c>
      <c r="F3403" s="13"/>
      <c r="G3403" s="13" t="s">
        <v>74</v>
      </c>
      <c r="H3403" s="13" t="s">
        <v>75</v>
      </c>
      <c r="I3403" s="13"/>
      <c r="J3403" s="13"/>
      <c r="K3403" s="15">
        <v>0.0</v>
      </c>
      <c r="L3403" s="15">
        <v>0.0</v>
      </c>
      <c r="M3403" s="16"/>
      <c r="N3403" s="16"/>
      <c r="O3403" s="17"/>
      <c r="P3403" s="17"/>
      <c r="Q3403" s="13">
        <f t="shared" si="3659"/>
        <v>0</v>
      </c>
      <c r="R3403" s="13"/>
      <c r="S3403" s="13"/>
      <c r="T3403" s="13">
        <f t="shared" ref="T3403:Y3403" si="3661">IF(ISBLANK(K3403)=TRUE,0,1)</f>
        <v>1</v>
      </c>
      <c r="U3403" s="13">
        <f t="shared" si="3661"/>
        <v>1</v>
      </c>
      <c r="V3403" s="13">
        <f t="shared" si="3661"/>
        <v>0</v>
      </c>
      <c r="W3403" s="13">
        <f t="shared" si="3661"/>
        <v>0</v>
      </c>
      <c r="X3403" s="13">
        <f t="shared" si="3661"/>
        <v>0</v>
      </c>
      <c r="Y3403" s="13">
        <f t="shared" si="3661"/>
        <v>0</v>
      </c>
      <c r="Z3403" s="13">
        <f t="shared" si="3023"/>
        <v>0</v>
      </c>
      <c r="AA3403" s="13"/>
      <c r="AB3403" s="13"/>
      <c r="AC3403" s="13"/>
      <c r="AD3403" s="13"/>
      <c r="AE3403" s="13"/>
      <c r="AF3403" s="13"/>
      <c r="AG3403" s="13"/>
      <c r="AH3403" s="13"/>
      <c r="AI3403" s="13"/>
      <c r="AJ3403" s="13"/>
      <c r="AK3403" s="13"/>
      <c r="AL3403" s="13"/>
      <c r="AM3403" s="13"/>
      <c r="AN3403" s="13"/>
      <c r="AO3403" s="13"/>
      <c r="AP3403" s="13"/>
      <c r="AQ3403" s="13"/>
      <c r="AR3403" s="13"/>
      <c r="AS3403" s="13"/>
    </row>
    <row r="3404" ht="14.25" customHeight="1">
      <c r="A3404" s="13" t="s">
        <v>36</v>
      </c>
      <c r="B3404" s="13" t="s">
        <v>37</v>
      </c>
      <c r="C3404" s="13" t="s">
        <v>607</v>
      </c>
      <c r="D3404" s="13" t="s">
        <v>190</v>
      </c>
      <c r="F3404" s="13"/>
      <c r="G3404" s="13" t="s">
        <v>111</v>
      </c>
      <c r="H3404" s="13" t="s">
        <v>75</v>
      </c>
      <c r="I3404" s="13"/>
      <c r="J3404" s="13"/>
      <c r="K3404" s="15">
        <v>0.0</v>
      </c>
      <c r="L3404" s="15">
        <v>0.0</v>
      </c>
      <c r="M3404" s="16"/>
      <c r="N3404" s="16"/>
      <c r="O3404" s="17"/>
      <c r="P3404" s="17"/>
      <c r="Q3404" s="13">
        <f t="shared" si="3659"/>
        <v>0</v>
      </c>
      <c r="R3404" s="13"/>
      <c r="S3404" s="13"/>
      <c r="T3404" s="13">
        <f t="shared" ref="T3404:Y3404" si="3662">IF(ISBLANK(K3404)=TRUE,0,1)</f>
        <v>1</v>
      </c>
      <c r="U3404" s="13">
        <f t="shared" si="3662"/>
        <v>1</v>
      </c>
      <c r="V3404" s="13">
        <f t="shared" si="3662"/>
        <v>0</v>
      </c>
      <c r="W3404" s="13">
        <f t="shared" si="3662"/>
        <v>0</v>
      </c>
      <c r="X3404" s="13">
        <f t="shared" si="3662"/>
        <v>0</v>
      </c>
      <c r="Y3404" s="13">
        <f t="shared" si="3662"/>
        <v>0</v>
      </c>
      <c r="Z3404" s="13">
        <f t="shared" si="3023"/>
        <v>0</v>
      </c>
      <c r="AA3404" s="13"/>
      <c r="AB3404" s="13"/>
      <c r="AC3404" s="13"/>
      <c r="AD3404" s="13"/>
      <c r="AE3404" s="13"/>
      <c r="AF3404" s="13"/>
      <c r="AG3404" s="13"/>
      <c r="AH3404" s="13"/>
      <c r="AI3404" s="13"/>
      <c r="AJ3404" s="13"/>
      <c r="AK3404" s="13"/>
      <c r="AL3404" s="13"/>
      <c r="AM3404" s="13"/>
      <c r="AN3404" s="13"/>
      <c r="AO3404" s="13"/>
      <c r="AP3404" s="13"/>
      <c r="AQ3404" s="13"/>
      <c r="AR3404" s="13"/>
      <c r="AS3404" s="13"/>
    </row>
    <row r="3405" ht="14.25" customHeight="1">
      <c r="A3405" s="13" t="s">
        <v>36</v>
      </c>
      <c r="B3405" s="13" t="s">
        <v>37</v>
      </c>
      <c r="C3405" s="13" t="s">
        <v>607</v>
      </c>
      <c r="D3405" s="13" t="s">
        <v>191</v>
      </c>
      <c r="F3405" s="13"/>
      <c r="G3405" s="13" t="s">
        <v>111</v>
      </c>
      <c r="H3405" s="13" t="s">
        <v>75</v>
      </c>
      <c r="I3405" s="13"/>
      <c r="J3405" s="13"/>
      <c r="K3405" s="15">
        <v>0.0</v>
      </c>
      <c r="L3405" s="15">
        <v>0.0</v>
      </c>
      <c r="M3405" s="16"/>
      <c r="N3405" s="16"/>
      <c r="O3405" s="17"/>
      <c r="P3405" s="17"/>
      <c r="Q3405" s="13">
        <f t="shared" si="3659"/>
        <v>0</v>
      </c>
      <c r="R3405" s="13"/>
      <c r="S3405" s="13"/>
      <c r="T3405" s="13">
        <f t="shared" ref="T3405:Y3405" si="3663">IF(ISBLANK(K3405)=TRUE,0,1)</f>
        <v>1</v>
      </c>
      <c r="U3405" s="13">
        <f t="shared" si="3663"/>
        <v>1</v>
      </c>
      <c r="V3405" s="13">
        <f t="shared" si="3663"/>
        <v>0</v>
      </c>
      <c r="W3405" s="13">
        <f t="shared" si="3663"/>
        <v>0</v>
      </c>
      <c r="X3405" s="13">
        <f t="shared" si="3663"/>
        <v>0</v>
      </c>
      <c r="Y3405" s="13">
        <f t="shared" si="3663"/>
        <v>0</v>
      </c>
      <c r="Z3405" s="13">
        <f t="shared" si="3023"/>
        <v>0</v>
      </c>
      <c r="AA3405" s="13"/>
      <c r="AB3405" s="13"/>
      <c r="AC3405" s="13"/>
      <c r="AD3405" s="13"/>
      <c r="AE3405" s="13"/>
      <c r="AF3405" s="13"/>
      <c r="AG3405" s="13"/>
      <c r="AH3405" s="13"/>
      <c r="AI3405" s="13"/>
      <c r="AJ3405" s="13"/>
      <c r="AK3405" s="13"/>
      <c r="AL3405" s="13"/>
      <c r="AM3405" s="13"/>
      <c r="AN3405" s="13"/>
      <c r="AO3405" s="13"/>
      <c r="AP3405" s="13"/>
      <c r="AQ3405" s="13"/>
      <c r="AR3405" s="13"/>
      <c r="AS3405" s="13"/>
    </row>
    <row r="3406" ht="14.25" customHeight="1">
      <c r="A3406" s="13" t="s">
        <v>36</v>
      </c>
      <c r="B3406" s="13" t="s">
        <v>42</v>
      </c>
      <c r="C3406" s="13">
        <v>872.0</v>
      </c>
      <c r="D3406" s="13" t="s">
        <v>187</v>
      </c>
      <c r="F3406" s="13"/>
      <c r="G3406" s="13" t="s">
        <v>111</v>
      </c>
      <c r="H3406" s="13" t="s">
        <v>75</v>
      </c>
      <c r="I3406" s="13"/>
      <c r="J3406" s="13"/>
      <c r="K3406" s="15">
        <v>1.0</v>
      </c>
      <c r="L3406" s="15">
        <v>1.0</v>
      </c>
      <c r="M3406" s="16"/>
      <c r="N3406" s="16"/>
      <c r="O3406" s="17"/>
      <c r="P3406" s="17"/>
      <c r="Q3406" s="13">
        <f t="shared" si="3659"/>
        <v>0</v>
      </c>
      <c r="R3406" s="13"/>
      <c r="S3406" s="13"/>
      <c r="T3406" s="13">
        <f t="shared" ref="T3406:Y3406" si="3664">IF(ISBLANK(K3406)=TRUE,0,1)</f>
        <v>1</v>
      </c>
      <c r="U3406" s="13">
        <f t="shared" si="3664"/>
        <v>1</v>
      </c>
      <c r="V3406" s="13">
        <f t="shared" si="3664"/>
        <v>0</v>
      </c>
      <c r="W3406" s="13">
        <f t="shared" si="3664"/>
        <v>0</v>
      </c>
      <c r="X3406" s="13">
        <f t="shared" si="3664"/>
        <v>0</v>
      </c>
      <c r="Y3406" s="13">
        <f t="shared" si="3664"/>
        <v>0</v>
      </c>
      <c r="Z3406" s="13">
        <f t="shared" si="3023"/>
        <v>1</v>
      </c>
      <c r="AA3406" s="13"/>
      <c r="AB3406" s="13"/>
      <c r="AC3406" s="13"/>
      <c r="AD3406" s="13"/>
      <c r="AE3406" s="13"/>
      <c r="AF3406" s="13"/>
      <c r="AG3406" s="13"/>
      <c r="AH3406" s="13"/>
      <c r="AI3406" s="13"/>
      <c r="AJ3406" s="13"/>
      <c r="AK3406" s="13"/>
      <c r="AL3406" s="13"/>
      <c r="AM3406" s="13"/>
      <c r="AN3406" s="13"/>
      <c r="AO3406" s="13"/>
      <c r="AP3406" s="13"/>
      <c r="AQ3406" s="13"/>
      <c r="AR3406" s="13"/>
      <c r="AS3406" s="13"/>
    </row>
    <row r="3407" ht="14.25" customHeight="1">
      <c r="A3407" s="13" t="s">
        <v>36</v>
      </c>
      <c r="B3407" s="13" t="s">
        <v>42</v>
      </c>
      <c r="C3407" s="13">
        <v>872.0</v>
      </c>
      <c r="D3407" s="13" t="s">
        <v>188</v>
      </c>
      <c r="F3407" s="13"/>
      <c r="G3407" s="13" t="s">
        <v>111</v>
      </c>
      <c r="H3407" s="13" t="s">
        <v>75</v>
      </c>
      <c r="I3407" s="13"/>
      <c r="J3407" s="13"/>
      <c r="K3407" s="15">
        <v>1.0</v>
      </c>
      <c r="L3407" s="15">
        <v>1.0</v>
      </c>
      <c r="M3407" s="16"/>
      <c r="N3407" s="16"/>
      <c r="O3407" s="17"/>
      <c r="P3407" s="17"/>
      <c r="Q3407" s="13">
        <f t="shared" si="3659"/>
        <v>2</v>
      </c>
      <c r="R3407" s="13"/>
      <c r="S3407" s="13"/>
      <c r="T3407" s="13">
        <f t="shared" ref="T3407:Y3407" si="3665">IF(ISBLANK(K3407)=TRUE,0,1)</f>
        <v>1</v>
      </c>
      <c r="U3407" s="13">
        <f t="shared" si="3665"/>
        <v>1</v>
      </c>
      <c r="V3407" s="13">
        <f t="shared" si="3665"/>
        <v>0</v>
      </c>
      <c r="W3407" s="13">
        <f t="shared" si="3665"/>
        <v>0</v>
      </c>
      <c r="X3407" s="13">
        <f t="shared" si="3665"/>
        <v>0</v>
      </c>
      <c r="Y3407" s="13">
        <f t="shared" si="3665"/>
        <v>0</v>
      </c>
      <c r="Z3407" s="13">
        <f t="shared" si="3023"/>
        <v>1</v>
      </c>
      <c r="AA3407" s="13"/>
      <c r="AB3407" s="13"/>
      <c r="AC3407" s="13"/>
      <c r="AD3407" s="13"/>
      <c r="AE3407" s="13"/>
      <c r="AF3407" s="13"/>
      <c r="AG3407" s="13"/>
      <c r="AH3407" s="13"/>
      <c r="AI3407" s="13"/>
      <c r="AJ3407" s="13"/>
      <c r="AK3407" s="13"/>
      <c r="AL3407" s="13"/>
      <c r="AM3407" s="13"/>
      <c r="AN3407" s="13"/>
      <c r="AO3407" s="13"/>
      <c r="AP3407" s="13"/>
      <c r="AQ3407" s="13"/>
      <c r="AR3407" s="13"/>
      <c r="AS3407" s="13"/>
    </row>
    <row r="3408" ht="14.25" customHeight="1">
      <c r="A3408" s="13" t="s">
        <v>36</v>
      </c>
      <c r="B3408" s="13" t="s">
        <v>42</v>
      </c>
      <c r="C3408" s="13">
        <v>872.0</v>
      </c>
      <c r="D3408" s="13" t="s">
        <v>189</v>
      </c>
      <c r="F3408" s="13"/>
      <c r="G3408" s="13" t="s">
        <v>111</v>
      </c>
      <c r="H3408" s="13" t="s">
        <v>75</v>
      </c>
      <c r="I3408" s="13"/>
      <c r="J3408" s="13"/>
      <c r="K3408" s="15">
        <v>1.0</v>
      </c>
      <c r="L3408" s="15">
        <v>1.0</v>
      </c>
      <c r="M3408" s="16"/>
      <c r="N3408" s="16"/>
      <c r="O3408" s="17"/>
      <c r="P3408" s="17"/>
      <c r="Q3408" s="13">
        <f t="shared" si="3659"/>
        <v>2</v>
      </c>
      <c r="R3408" s="13"/>
      <c r="S3408" s="13"/>
      <c r="T3408" s="13">
        <f t="shared" ref="T3408:Y3408" si="3666">IF(ISBLANK(K3408)=TRUE,0,1)</f>
        <v>1</v>
      </c>
      <c r="U3408" s="13">
        <f t="shared" si="3666"/>
        <v>1</v>
      </c>
      <c r="V3408" s="13">
        <f t="shared" si="3666"/>
        <v>0</v>
      </c>
      <c r="W3408" s="13">
        <f t="shared" si="3666"/>
        <v>0</v>
      </c>
      <c r="X3408" s="13">
        <f t="shared" si="3666"/>
        <v>0</v>
      </c>
      <c r="Y3408" s="13">
        <f t="shared" si="3666"/>
        <v>0</v>
      </c>
      <c r="Z3408" s="13">
        <f t="shared" si="3023"/>
        <v>1</v>
      </c>
      <c r="AA3408" s="13"/>
      <c r="AB3408" s="13"/>
      <c r="AC3408" s="13"/>
      <c r="AD3408" s="13"/>
      <c r="AE3408" s="13"/>
      <c r="AF3408" s="13"/>
      <c r="AG3408" s="13"/>
      <c r="AH3408" s="13"/>
      <c r="AI3408" s="13"/>
      <c r="AJ3408" s="13"/>
      <c r="AK3408" s="13"/>
      <c r="AL3408" s="13"/>
      <c r="AM3408" s="13"/>
      <c r="AN3408" s="13"/>
      <c r="AO3408" s="13"/>
      <c r="AP3408" s="13"/>
      <c r="AQ3408" s="13"/>
      <c r="AR3408" s="13"/>
      <c r="AS3408" s="13"/>
    </row>
    <row r="3409" ht="14.25" customHeight="1">
      <c r="A3409" s="13" t="s">
        <v>36</v>
      </c>
      <c r="B3409" s="13" t="s">
        <v>41</v>
      </c>
      <c r="C3409" s="13" t="s">
        <v>1967</v>
      </c>
      <c r="D3409" s="13" t="s">
        <v>433</v>
      </c>
      <c r="F3409" s="13"/>
      <c r="G3409" s="13" t="s">
        <v>74</v>
      </c>
      <c r="H3409" s="13" t="s">
        <v>75</v>
      </c>
      <c r="I3409" s="13"/>
      <c r="J3409" s="13"/>
      <c r="K3409" s="15">
        <v>0.0</v>
      </c>
      <c r="L3409" s="15">
        <v>0.0</v>
      </c>
      <c r="M3409" s="16"/>
      <c r="N3409" s="16"/>
      <c r="O3409" s="17"/>
      <c r="P3409" s="17"/>
      <c r="Q3409" s="13">
        <f t="shared" si="3659"/>
        <v>2</v>
      </c>
      <c r="R3409" s="13"/>
      <c r="S3409" s="13"/>
      <c r="T3409" s="13">
        <f t="shared" ref="T3409:Y3409" si="3667">IF(ISBLANK(K3409)=TRUE,0,1)</f>
        <v>1</v>
      </c>
      <c r="U3409" s="13">
        <f t="shared" si="3667"/>
        <v>1</v>
      </c>
      <c r="V3409" s="13">
        <f t="shared" si="3667"/>
        <v>0</v>
      </c>
      <c r="W3409" s="13">
        <f t="shared" si="3667"/>
        <v>0</v>
      </c>
      <c r="X3409" s="13">
        <f t="shared" si="3667"/>
        <v>0</v>
      </c>
      <c r="Y3409" s="13">
        <f t="shared" si="3667"/>
        <v>0</v>
      </c>
      <c r="Z3409" s="13">
        <f t="shared" si="3023"/>
        <v>0</v>
      </c>
      <c r="AA3409" s="13"/>
      <c r="AB3409" s="13"/>
      <c r="AC3409" s="13"/>
      <c r="AD3409" s="13"/>
      <c r="AE3409" s="13"/>
      <c r="AF3409" s="13"/>
      <c r="AG3409" s="13"/>
      <c r="AH3409" s="13"/>
      <c r="AI3409" s="13"/>
      <c r="AJ3409" s="13"/>
      <c r="AK3409" s="13"/>
      <c r="AL3409" s="13"/>
      <c r="AM3409" s="13"/>
      <c r="AN3409" s="13"/>
      <c r="AO3409" s="13"/>
      <c r="AP3409" s="13"/>
      <c r="AQ3409" s="13"/>
      <c r="AR3409" s="13"/>
      <c r="AS3409" s="13"/>
    </row>
    <row r="3410" ht="14.25" customHeight="1">
      <c r="A3410" s="13" t="s">
        <v>36</v>
      </c>
      <c r="B3410" s="13" t="s">
        <v>41</v>
      </c>
      <c r="C3410" s="13" t="s">
        <v>1967</v>
      </c>
      <c r="D3410" s="13" t="s">
        <v>434</v>
      </c>
      <c r="F3410" s="13"/>
      <c r="G3410" s="13" t="s">
        <v>74</v>
      </c>
      <c r="H3410" s="13" t="s">
        <v>75</v>
      </c>
      <c r="I3410" s="13"/>
      <c r="J3410" s="13"/>
      <c r="K3410" s="15">
        <v>0.0</v>
      </c>
      <c r="L3410" s="15">
        <v>0.0</v>
      </c>
      <c r="M3410" s="16"/>
      <c r="N3410" s="16"/>
      <c r="O3410" s="17"/>
      <c r="P3410" s="17"/>
      <c r="Q3410" s="13">
        <f t="shared" si="3659"/>
        <v>0</v>
      </c>
      <c r="R3410" s="13"/>
      <c r="S3410" s="13"/>
      <c r="T3410" s="13">
        <f t="shared" ref="T3410:Y3410" si="3668">IF(ISBLANK(K3410)=TRUE,0,1)</f>
        <v>1</v>
      </c>
      <c r="U3410" s="13">
        <f t="shared" si="3668"/>
        <v>1</v>
      </c>
      <c r="V3410" s="13">
        <f t="shared" si="3668"/>
        <v>0</v>
      </c>
      <c r="W3410" s="13">
        <f t="shared" si="3668"/>
        <v>0</v>
      </c>
      <c r="X3410" s="13">
        <f t="shared" si="3668"/>
        <v>0</v>
      </c>
      <c r="Y3410" s="13">
        <f t="shared" si="3668"/>
        <v>0</v>
      </c>
      <c r="Z3410" s="13">
        <f t="shared" si="3023"/>
        <v>0</v>
      </c>
      <c r="AA3410" s="13"/>
      <c r="AB3410" s="13"/>
      <c r="AC3410" s="13"/>
      <c r="AD3410" s="13"/>
      <c r="AE3410" s="13"/>
      <c r="AF3410" s="13"/>
      <c r="AG3410" s="13"/>
      <c r="AH3410" s="13"/>
      <c r="AI3410" s="13"/>
      <c r="AJ3410" s="13"/>
      <c r="AK3410" s="13"/>
      <c r="AL3410" s="13"/>
      <c r="AM3410" s="13"/>
      <c r="AN3410" s="13"/>
      <c r="AO3410" s="13"/>
      <c r="AP3410" s="13"/>
      <c r="AQ3410" s="13"/>
      <c r="AR3410" s="13"/>
      <c r="AS3410" s="13"/>
    </row>
    <row r="3411" ht="14.25" customHeight="1">
      <c r="A3411" s="13" t="s">
        <v>36</v>
      </c>
      <c r="B3411" s="13" t="s">
        <v>42</v>
      </c>
      <c r="C3411" s="13">
        <v>872.0</v>
      </c>
      <c r="D3411" s="13" t="s">
        <v>190</v>
      </c>
      <c r="F3411" s="13"/>
      <c r="G3411" s="13" t="s">
        <v>111</v>
      </c>
      <c r="H3411" s="13" t="s">
        <v>75</v>
      </c>
      <c r="I3411" s="13"/>
      <c r="J3411" s="13"/>
      <c r="K3411" s="15">
        <v>1.0</v>
      </c>
      <c r="L3411" s="15">
        <v>1.0</v>
      </c>
      <c r="M3411" s="16"/>
      <c r="N3411" s="16"/>
      <c r="O3411" s="17"/>
      <c r="P3411" s="17"/>
      <c r="Q3411" s="13">
        <f t="shared" si="3659"/>
        <v>0</v>
      </c>
      <c r="R3411" s="13"/>
      <c r="S3411" s="13"/>
      <c r="T3411" s="13">
        <f t="shared" ref="T3411:Y3411" si="3669">IF(ISBLANK(K3411)=TRUE,0,1)</f>
        <v>1</v>
      </c>
      <c r="U3411" s="13">
        <f t="shared" si="3669"/>
        <v>1</v>
      </c>
      <c r="V3411" s="13">
        <f t="shared" si="3669"/>
        <v>0</v>
      </c>
      <c r="W3411" s="13">
        <f t="shared" si="3669"/>
        <v>0</v>
      </c>
      <c r="X3411" s="13">
        <f t="shared" si="3669"/>
        <v>0</v>
      </c>
      <c r="Y3411" s="13">
        <f t="shared" si="3669"/>
        <v>0</v>
      </c>
      <c r="Z3411" s="13">
        <f t="shared" si="3023"/>
        <v>1</v>
      </c>
      <c r="AA3411" s="13"/>
      <c r="AB3411" s="13"/>
      <c r="AC3411" s="13"/>
      <c r="AD3411" s="13"/>
      <c r="AE3411" s="13"/>
      <c r="AF3411" s="13"/>
      <c r="AG3411" s="13"/>
      <c r="AH3411" s="13"/>
      <c r="AI3411" s="13"/>
      <c r="AJ3411" s="13"/>
      <c r="AK3411" s="13"/>
      <c r="AL3411" s="13"/>
      <c r="AM3411" s="13"/>
      <c r="AN3411" s="13"/>
      <c r="AO3411" s="13"/>
      <c r="AP3411" s="13"/>
      <c r="AQ3411" s="13"/>
      <c r="AR3411" s="13"/>
      <c r="AS3411" s="13"/>
    </row>
    <row r="3412" ht="14.25" customHeight="1">
      <c r="A3412" s="13" t="s">
        <v>36</v>
      </c>
      <c r="B3412" s="13" t="s">
        <v>42</v>
      </c>
      <c r="C3412" s="13">
        <v>872.0</v>
      </c>
      <c r="D3412" s="13" t="s">
        <v>191</v>
      </c>
      <c r="F3412" s="13"/>
      <c r="G3412" s="13" t="s">
        <v>111</v>
      </c>
      <c r="H3412" s="13" t="s">
        <v>75</v>
      </c>
      <c r="I3412" s="13"/>
      <c r="J3412" s="13"/>
      <c r="K3412" s="15">
        <v>1.0</v>
      </c>
      <c r="L3412" s="15">
        <v>1.0</v>
      </c>
      <c r="M3412" s="16"/>
      <c r="N3412" s="16"/>
      <c r="O3412" s="17"/>
      <c r="P3412" s="17"/>
      <c r="Q3412" s="13">
        <f t="shared" si="3659"/>
        <v>2</v>
      </c>
      <c r="R3412" s="13"/>
      <c r="S3412" s="13"/>
      <c r="T3412" s="13">
        <f t="shared" ref="T3412:Y3412" si="3670">IF(ISBLANK(K3412)=TRUE,0,1)</f>
        <v>1</v>
      </c>
      <c r="U3412" s="13">
        <f t="shared" si="3670"/>
        <v>1</v>
      </c>
      <c r="V3412" s="13">
        <f t="shared" si="3670"/>
        <v>0</v>
      </c>
      <c r="W3412" s="13">
        <f t="shared" si="3670"/>
        <v>0</v>
      </c>
      <c r="X3412" s="13">
        <f t="shared" si="3670"/>
        <v>0</v>
      </c>
      <c r="Y3412" s="13">
        <f t="shared" si="3670"/>
        <v>0</v>
      </c>
      <c r="Z3412" s="13">
        <f t="shared" si="3023"/>
        <v>1</v>
      </c>
      <c r="AA3412" s="13"/>
      <c r="AB3412" s="13"/>
      <c r="AC3412" s="13"/>
      <c r="AD3412" s="13"/>
      <c r="AE3412" s="13"/>
      <c r="AF3412" s="13"/>
      <c r="AG3412" s="13"/>
      <c r="AH3412" s="13"/>
      <c r="AI3412" s="13"/>
      <c r="AJ3412" s="13"/>
      <c r="AK3412" s="13"/>
      <c r="AL3412" s="13"/>
      <c r="AM3412" s="13"/>
      <c r="AN3412" s="13"/>
      <c r="AO3412" s="13"/>
      <c r="AP3412" s="13"/>
      <c r="AQ3412" s="13"/>
      <c r="AR3412" s="13"/>
      <c r="AS3412" s="13"/>
    </row>
    <row r="3413" ht="14.25" customHeight="1">
      <c r="A3413" s="13" t="s">
        <v>36</v>
      </c>
      <c r="B3413" s="13" t="s">
        <v>42</v>
      </c>
      <c r="C3413" s="13">
        <v>872.0</v>
      </c>
      <c r="D3413" s="13" t="s">
        <v>192</v>
      </c>
      <c r="F3413" s="13"/>
      <c r="G3413" s="13" t="s">
        <v>111</v>
      </c>
      <c r="H3413" s="13" t="s">
        <v>75</v>
      </c>
      <c r="I3413" s="13"/>
      <c r="J3413" s="13"/>
      <c r="K3413" s="15">
        <v>1.0</v>
      </c>
      <c r="L3413" s="15">
        <v>1.0</v>
      </c>
      <c r="M3413" s="16"/>
      <c r="N3413" s="16"/>
      <c r="O3413" s="17"/>
      <c r="P3413" s="17"/>
      <c r="Q3413" s="13">
        <f t="shared" si="3659"/>
        <v>2</v>
      </c>
      <c r="R3413" s="13"/>
      <c r="S3413" s="13"/>
      <c r="T3413" s="13">
        <f t="shared" ref="T3413:Y3413" si="3671">IF(ISBLANK(K3413)=TRUE,0,1)</f>
        <v>1</v>
      </c>
      <c r="U3413" s="13">
        <f t="shared" si="3671"/>
        <v>1</v>
      </c>
      <c r="V3413" s="13">
        <f t="shared" si="3671"/>
        <v>0</v>
      </c>
      <c r="W3413" s="13">
        <f t="shared" si="3671"/>
        <v>0</v>
      </c>
      <c r="X3413" s="13">
        <f t="shared" si="3671"/>
        <v>0</v>
      </c>
      <c r="Y3413" s="13">
        <f t="shared" si="3671"/>
        <v>0</v>
      </c>
      <c r="Z3413" s="13">
        <f t="shared" si="3023"/>
        <v>1</v>
      </c>
      <c r="AA3413" s="13"/>
      <c r="AB3413" s="13"/>
      <c r="AC3413" s="13"/>
      <c r="AD3413" s="13"/>
      <c r="AE3413" s="13"/>
      <c r="AF3413" s="13"/>
      <c r="AG3413" s="13"/>
      <c r="AH3413" s="13"/>
      <c r="AI3413" s="13"/>
      <c r="AJ3413" s="13"/>
      <c r="AK3413" s="13"/>
      <c r="AL3413" s="13"/>
      <c r="AM3413" s="13"/>
      <c r="AN3413" s="13"/>
      <c r="AO3413" s="13"/>
      <c r="AP3413" s="13"/>
      <c r="AQ3413" s="13"/>
      <c r="AR3413" s="13"/>
      <c r="AS3413" s="13"/>
    </row>
    <row r="3414" ht="14.25" customHeight="1">
      <c r="A3414" s="13" t="s">
        <v>36</v>
      </c>
      <c r="B3414" s="13" t="s">
        <v>37</v>
      </c>
      <c r="C3414" s="13" t="s">
        <v>607</v>
      </c>
      <c r="D3414" s="13" t="s">
        <v>192</v>
      </c>
      <c r="F3414" s="13"/>
      <c r="G3414" s="13" t="s">
        <v>111</v>
      </c>
      <c r="H3414" s="13" t="s">
        <v>75</v>
      </c>
      <c r="I3414" s="13"/>
      <c r="J3414" s="13"/>
      <c r="K3414" s="15">
        <v>0.0</v>
      </c>
      <c r="L3414" s="15">
        <v>0.0</v>
      </c>
      <c r="M3414" s="16"/>
      <c r="N3414" s="16"/>
      <c r="O3414" s="17"/>
      <c r="P3414" s="17"/>
      <c r="Q3414" s="13">
        <f t="shared" si="3659"/>
        <v>2</v>
      </c>
      <c r="R3414" s="13"/>
      <c r="S3414" s="13"/>
      <c r="T3414" s="13">
        <f t="shared" ref="T3414:Y3414" si="3672">IF(ISBLANK(K3414)=TRUE,0,1)</f>
        <v>1</v>
      </c>
      <c r="U3414" s="13">
        <f t="shared" si="3672"/>
        <v>1</v>
      </c>
      <c r="V3414" s="13">
        <f t="shared" si="3672"/>
        <v>0</v>
      </c>
      <c r="W3414" s="13">
        <f t="shared" si="3672"/>
        <v>0</v>
      </c>
      <c r="X3414" s="13">
        <f t="shared" si="3672"/>
        <v>0</v>
      </c>
      <c r="Y3414" s="13">
        <f t="shared" si="3672"/>
        <v>0</v>
      </c>
      <c r="Z3414" s="13">
        <f t="shared" si="3023"/>
        <v>0</v>
      </c>
      <c r="AA3414" s="13"/>
      <c r="AB3414" s="13"/>
      <c r="AC3414" s="13"/>
      <c r="AD3414" s="13"/>
      <c r="AE3414" s="13"/>
      <c r="AF3414" s="13"/>
      <c r="AG3414" s="13"/>
      <c r="AH3414" s="13"/>
      <c r="AI3414" s="13"/>
      <c r="AJ3414" s="13"/>
      <c r="AK3414" s="13"/>
      <c r="AL3414" s="13"/>
      <c r="AM3414" s="13"/>
      <c r="AN3414" s="13"/>
      <c r="AO3414" s="13"/>
      <c r="AP3414" s="13"/>
      <c r="AQ3414" s="13"/>
      <c r="AR3414" s="13"/>
      <c r="AS3414" s="13"/>
    </row>
    <row r="3415" ht="14.25" customHeight="1">
      <c r="A3415" s="13" t="s">
        <v>46</v>
      </c>
      <c r="B3415" s="13" t="s">
        <v>49</v>
      </c>
      <c r="C3415" s="13" t="s">
        <v>1862</v>
      </c>
      <c r="D3415" s="26" t="s">
        <v>181</v>
      </c>
      <c r="E3415" s="13"/>
      <c r="F3415" s="13"/>
      <c r="G3415" s="26" t="s">
        <v>74</v>
      </c>
      <c r="H3415" s="13" t="s">
        <v>75</v>
      </c>
      <c r="I3415" s="13"/>
      <c r="J3415" s="13"/>
      <c r="K3415" s="15">
        <v>1.0</v>
      </c>
      <c r="L3415" s="15">
        <v>1.0</v>
      </c>
      <c r="M3415" s="16"/>
      <c r="N3415" s="16"/>
      <c r="O3415" s="17"/>
      <c r="P3415" s="17"/>
      <c r="Q3415" s="13"/>
      <c r="R3415" s="13"/>
      <c r="S3415" s="13"/>
      <c r="T3415" s="13">
        <f t="shared" ref="T3415:Y3415" si="3673">IF(ISBLANK(K3415)=TRUE,0,1)</f>
        <v>1</v>
      </c>
      <c r="U3415" s="13">
        <f t="shared" si="3673"/>
        <v>1</v>
      </c>
      <c r="V3415" s="13">
        <f t="shared" si="3673"/>
        <v>0</v>
      </c>
      <c r="W3415" s="13">
        <f t="shared" si="3673"/>
        <v>0</v>
      </c>
      <c r="X3415" s="13">
        <f t="shared" si="3673"/>
        <v>0</v>
      </c>
      <c r="Y3415" s="13">
        <f t="shared" si="3673"/>
        <v>0</v>
      </c>
      <c r="Z3415" s="13">
        <f t="shared" si="3023"/>
        <v>1</v>
      </c>
      <c r="AA3415" s="13"/>
      <c r="AB3415" s="13"/>
      <c r="AC3415" s="13"/>
      <c r="AD3415" s="13"/>
      <c r="AE3415" s="13"/>
      <c r="AF3415" s="13"/>
      <c r="AG3415" s="13"/>
      <c r="AH3415" s="13"/>
      <c r="AI3415" s="13"/>
      <c r="AJ3415" s="13"/>
      <c r="AK3415" s="13"/>
      <c r="AL3415" s="13"/>
      <c r="AM3415" s="13"/>
      <c r="AN3415" s="13"/>
      <c r="AO3415" s="13"/>
      <c r="AP3415" s="13"/>
      <c r="AQ3415" s="13"/>
      <c r="AR3415" s="13"/>
      <c r="AS3415" s="13"/>
    </row>
    <row r="3416" ht="14.25" customHeight="1">
      <c r="A3416" s="13" t="s">
        <v>46</v>
      </c>
      <c r="B3416" s="13" t="s">
        <v>49</v>
      </c>
      <c r="C3416" s="13" t="s">
        <v>1862</v>
      </c>
      <c r="D3416" s="26" t="s">
        <v>182</v>
      </c>
      <c r="E3416" s="13"/>
      <c r="F3416" s="13"/>
      <c r="G3416" s="26" t="s">
        <v>74</v>
      </c>
      <c r="H3416" s="13" t="s">
        <v>75</v>
      </c>
      <c r="I3416" s="13"/>
      <c r="J3416" s="13"/>
      <c r="K3416" s="15">
        <v>1.0</v>
      </c>
      <c r="L3416" s="15">
        <v>1.0</v>
      </c>
      <c r="M3416" s="16"/>
      <c r="N3416" s="16"/>
      <c r="O3416" s="17"/>
      <c r="P3416" s="17"/>
      <c r="Q3416" s="13"/>
      <c r="R3416" s="13"/>
      <c r="S3416" s="13"/>
      <c r="T3416" s="13">
        <f t="shared" ref="T3416:Y3416" si="3674">IF(ISBLANK(K3416)=TRUE,0,1)</f>
        <v>1</v>
      </c>
      <c r="U3416" s="13">
        <f t="shared" si="3674"/>
        <v>1</v>
      </c>
      <c r="V3416" s="13">
        <f t="shared" si="3674"/>
        <v>0</v>
      </c>
      <c r="W3416" s="13">
        <f t="shared" si="3674"/>
        <v>0</v>
      </c>
      <c r="X3416" s="13">
        <f t="shared" si="3674"/>
        <v>0</v>
      </c>
      <c r="Y3416" s="13">
        <f t="shared" si="3674"/>
        <v>0</v>
      </c>
      <c r="Z3416" s="13">
        <f t="shared" si="3023"/>
        <v>1</v>
      </c>
      <c r="AA3416" s="13"/>
      <c r="AB3416" s="13"/>
      <c r="AC3416" s="13"/>
      <c r="AD3416" s="13"/>
      <c r="AE3416" s="13"/>
      <c r="AF3416" s="13"/>
      <c r="AG3416" s="13"/>
      <c r="AH3416" s="13"/>
      <c r="AI3416" s="13"/>
      <c r="AJ3416" s="13"/>
      <c r="AK3416" s="13"/>
      <c r="AL3416" s="13"/>
      <c r="AM3416" s="13"/>
      <c r="AN3416" s="13"/>
      <c r="AO3416" s="13"/>
      <c r="AP3416" s="13"/>
      <c r="AQ3416" s="13"/>
      <c r="AR3416" s="13"/>
      <c r="AS3416" s="13"/>
    </row>
    <row r="3417" ht="14.25" customHeight="1">
      <c r="A3417" s="13" t="s">
        <v>46</v>
      </c>
      <c r="B3417" s="13" t="s">
        <v>49</v>
      </c>
      <c r="C3417" s="13" t="s">
        <v>1862</v>
      </c>
      <c r="D3417" s="26" t="s">
        <v>183</v>
      </c>
      <c r="E3417" s="13"/>
      <c r="F3417" s="13"/>
      <c r="G3417" s="26" t="s">
        <v>74</v>
      </c>
      <c r="H3417" s="13" t="s">
        <v>75</v>
      </c>
      <c r="I3417" s="13"/>
      <c r="J3417" s="13"/>
      <c r="K3417" s="15">
        <v>1.0</v>
      </c>
      <c r="L3417" s="15">
        <v>1.0</v>
      </c>
      <c r="M3417" s="16"/>
      <c r="N3417" s="16"/>
      <c r="O3417" s="17"/>
      <c r="P3417" s="17"/>
      <c r="Q3417" s="13"/>
      <c r="R3417" s="13"/>
      <c r="S3417" s="13"/>
      <c r="T3417" s="13">
        <f t="shared" ref="T3417:Y3417" si="3675">IF(ISBLANK(K3417)=TRUE,0,1)</f>
        <v>1</v>
      </c>
      <c r="U3417" s="13">
        <f t="shared" si="3675"/>
        <v>1</v>
      </c>
      <c r="V3417" s="13">
        <f t="shared" si="3675"/>
        <v>0</v>
      </c>
      <c r="W3417" s="13">
        <f t="shared" si="3675"/>
        <v>0</v>
      </c>
      <c r="X3417" s="13">
        <f t="shared" si="3675"/>
        <v>0</v>
      </c>
      <c r="Y3417" s="13">
        <f t="shared" si="3675"/>
        <v>0</v>
      </c>
      <c r="Z3417" s="13">
        <f t="shared" si="3023"/>
        <v>1</v>
      </c>
      <c r="AA3417" s="13"/>
      <c r="AB3417" s="13"/>
      <c r="AC3417" s="13"/>
      <c r="AD3417" s="13"/>
      <c r="AE3417" s="13"/>
      <c r="AF3417" s="13"/>
      <c r="AG3417" s="13"/>
      <c r="AH3417" s="13"/>
      <c r="AI3417" s="13"/>
      <c r="AJ3417" s="13"/>
      <c r="AK3417" s="13"/>
      <c r="AL3417" s="13"/>
      <c r="AM3417" s="13"/>
      <c r="AN3417" s="13"/>
      <c r="AO3417" s="13"/>
      <c r="AP3417" s="13"/>
      <c r="AQ3417" s="13"/>
      <c r="AR3417" s="13"/>
      <c r="AS3417" s="13"/>
    </row>
    <row r="3418" ht="14.25" customHeight="1">
      <c r="A3418" s="13" t="s">
        <v>46</v>
      </c>
      <c r="B3418" s="13" t="s">
        <v>49</v>
      </c>
      <c r="C3418" s="13" t="s">
        <v>1254</v>
      </c>
      <c r="D3418" s="13" t="s">
        <v>174</v>
      </c>
      <c r="E3418" s="13"/>
      <c r="F3418" s="13"/>
      <c r="G3418" s="26" t="s">
        <v>74</v>
      </c>
      <c r="H3418" s="13" t="s">
        <v>75</v>
      </c>
      <c r="I3418" s="13"/>
      <c r="J3418" s="13"/>
      <c r="K3418" s="15">
        <v>1.0</v>
      </c>
      <c r="L3418" s="15">
        <v>1.0</v>
      </c>
      <c r="M3418" s="16"/>
      <c r="N3418" s="16"/>
      <c r="O3418" s="17"/>
      <c r="P3418" s="17"/>
      <c r="Q3418" s="13"/>
      <c r="R3418" s="13"/>
      <c r="S3418" s="13"/>
      <c r="T3418" s="13">
        <f t="shared" ref="T3418:Y3418" si="3676">IF(ISBLANK(K3418)=TRUE,0,1)</f>
        <v>1</v>
      </c>
      <c r="U3418" s="13">
        <f t="shared" si="3676"/>
        <v>1</v>
      </c>
      <c r="V3418" s="13">
        <f t="shared" si="3676"/>
        <v>0</v>
      </c>
      <c r="W3418" s="13">
        <f t="shared" si="3676"/>
        <v>0</v>
      </c>
      <c r="X3418" s="13">
        <f t="shared" si="3676"/>
        <v>0</v>
      </c>
      <c r="Y3418" s="13">
        <f t="shared" si="3676"/>
        <v>0</v>
      </c>
      <c r="Z3418" s="13">
        <f t="shared" si="3023"/>
        <v>1</v>
      </c>
      <c r="AA3418" s="13" t="s">
        <v>378</v>
      </c>
      <c r="AB3418" s="13"/>
      <c r="AC3418" s="13"/>
      <c r="AD3418" s="13"/>
      <c r="AE3418" s="13"/>
      <c r="AF3418" s="13"/>
      <c r="AG3418" s="13"/>
      <c r="AH3418" s="13"/>
      <c r="AI3418" s="13"/>
      <c r="AJ3418" s="13"/>
      <c r="AK3418" s="13"/>
      <c r="AL3418" s="13"/>
      <c r="AM3418" s="13"/>
      <c r="AN3418" s="13"/>
      <c r="AO3418" s="13"/>
      <c r="AP3418" s="13"/>
      <c r="AQ3418" s="13"/>
      <c r="AR3418" s="13"/>
      <c r="AS3418" s="13"/>
    </row>
    <row r="3419" ht="14.25" customHeight="1">
      <c r="A3419" s="13" t="s">
        <v>36</v>
      </c>
      <c r="B3419" s="13" t="s">
        <v>41</v>
      </c>
      <c r="C3419" s="13" t="s">
        <v>1967</v>
      </c>
      <c r="D3419" s="13" t="s">
        <v>435</v>
      </c>
      <c r="F3419" s="13"/>
      <c r="G3419" s="13" t="s">
        <v>74</v>
      </c>
      <c r="H3419" s="13" t="s">
        <v>75</v>
      </c>
      <c r="I3419" s="13"/>
      <c r="J3419" s="13"/>
      <c r="K3419" s="15">
        <v>0.0</v>
      </c>
      <c r="L3419" s="15">
        <v>0.0</v>
      </c>
      <c r="M3419" s="16"/>
      <c r="N3419" s="16"/>
      <c r="O3419" s="17"/>
      <c r="P3419" s="17"/>
      <c r="Q3419" s="13">
        <f t="shared" ref="Q3419:Q3445" si="3678">K3418+L3418+M3418+N3418+O3418+P3418/6</f>
        <v>2</v>
      </c>
      <c r="R3419" s="13"/>
      <c r="S3419" s="13"/>
      <c r="T3419" s="13">
        <f t="shared" ref="T3419:Y3419" si="3677">IF(ISBLANK(K3419)=TRUE,0,1)</f>
        <v>1</v>
      </c>
      <c r="U3419" s="13">
        <f t="shared" si="3677"/>
        <v>1</v>
      </c>
      <c r="V3419" s="13">
        <f t="shared" si="3677"/>
        <v>0</v>
      </c>
      <c r="W3419" s="13">
        <f t="shared" si="3677"/>
        <v>0</v>
      </c>
      <c r="X3419" s="13">
        <f t="shared" si="3677"/>
        <v>0</v>
      </c>
      <c r="Y3419" s="13">
        <f t="shared" si="3677"/>
        <v>0</v>
      </c>
      <c r="Z3419" s="13">
        <f t="shared" si="3023"/>
        <v>0</v>
      </c>
      <c r="AA3419" s="13"/>
      <c r="AB3419" s="13"/>
      <c r="AC3419" s="13"/>
      <c r="AD3419" s="13"/>
      <c r="AE3419" s="13"/>
      <c r="AF3419" s="13"/>
      <c r="AG3419" s="13"/>
      <c r="AH3419" s="13"/>
      <c r="AI3419" s="13"/>
      <c r="AJ3419" s="13"/>
      <c r="AK3419" s="13"/>
      <c r="AL3419" s="13"/>
      <c r="AM3419" s="13"/>
      <c r="AN3419" s="13"/>
      <c r="AO3419" s="13"/>
      <c r="AP3419" s="13"/>
      <c r="AQ3419" s="13"/>
      <c r="AR3419" s="13"/>
      <c r="AS3419" s="13"/>
    </row>
    <row r="3420" ht="14.25" customHeight="1">
      <c r="A3420" s="13" t="s">
        <v>36</v>
      </c>
      <c r="B3420" s="13" t="s">
        <v>41</v>
      </c>
      <c r="C3420" s="13" t="s">
        <v>1967</v>
      </c>
      <c r="D3420" s="13" t="s">
        <v>436</v>
      </c>
      <c r="F3420" s="13"/>
      <c r="G3420" s="13" t="s">
        <v>74</v>
      </c>
      <c r="H3420" s="13" t="s">
        <v>75</v>
      </c>
      <c r="I3420" s="13"/>
      <c r="J3420" s="13"/>
      <c r="K3420" s="15">
        <v>0.0</v>
      </c>
      <c r="L3420" s="15">
        <v>0.0</v>
      </c>
      <c r="M3420" s="16"/>
      <c r="N3420" s="16"/>
      <c r="O3420" s="17"/>
      <c r="P3420" s="17"/>
      <c r="Q3420" s="13">
        <f t="shared" si="3678"/>
        <v>0</v>
      </c>
      <c r="R3420" s="13"/>
      <c r="S3420" s="13"/>
      <c r="T3420" s="13">
        <f t="shared" ref="T3420:Y3420" si="3679">IF(ISBLANK(K3420)=TRUE,0,1)</f>
        <v>1</v>
      </c>
      <c r="U3420" s="13">
        <f t="shared" si="3679"/>
        <v>1</v>
      </c>
      <c r="V3420" s="13">
        <f t="shared" si="3679"/>
        <v>0</v>
      </c>
      <c r="W3420" s="13">
        <f t="shared" si="3679"/>
        <v>0</v>
      </c>
      <c r="X3420" s="13">
        <f t="shared" si="3679"/>
        <v>0</v>
      </c>
      <c r="Y3420" s="13">
        <f t="shared" si="3679"/>
        <v>0</v>
      </c>
      <c r="Z3420" s="13">
        <f t="shared" si="3023"/>
        <v>0</v>
      </c>
      <c r="AA3420" s="13"/>
      <c r="AB3420" s="13"/>
      <c r="AC3420" s="13"/>
      <c r="AD3420" s="13"/>
      <c r="AE3420" s="13"/>
      <c r="AF3420" s="13"/>
      <c r="AG3420" s="13"/>
      <c r="AH3420" s="13"/>
      <c r="AI3420" s="13"/>
      <c r="AJ3420" s="13"/>
      <c r="AK3420" s="13"/>
      <c r="AL3420" s="13"/>
      <c r="AM3420" s="13"/>
      <c r="AN3420" s="13"/>
      <c r="AO3420" s="13"/>
      <c r="AP3420" s="13"/>
      <c r="AQ3420" s="13"/>
      <c r="AR3420" s="13"/>
      <c r="AS3420" s="13"/>
    </row>
    <row r="3421" ht="14.25" customHeight="1">
      <c r="A3421" s="13" t="s">
        <v>36</v>
      </c>
      <c r="B3421" s="13" t="s">
        <v>41</v>
      </c>
      <c r="C3421" s="13" t="s">
        <v>1967</v>
      </c>
      <c r="D3421" s="13" t="s">
        <v>437</v>
      </c>
      <c r="F3421" s="13"/>
      <c r="G3421" s="13" t="s">
        <v>74</v>
      </c>
      <c r="H3421" s="13" t="s">
        <v>75</v>
      </c>
      <c r="I3421" s="13"/>
      <c r="J3421" s="13"/>
      <c r="K3421" s="15">
        <v>0.0</v>
      </c>
      <c r="L3421" s="15">
        <v>0.0</v>
      </c>
      <c r="M3421" s="16"/>
      <c r="N3421" s="16"/>
      <c r="O3421" s="17"/>
      <c r="P3421" s="17"/>
      <c r="Q3421" s="13">
        <f t="shared" si="3678"/>
        <v>0</v>
      </c>
      <c r="R3421" s="13"/>
      <c r="S3421" s="13"/>
      <c r="T3421" s="13">
        <f t="shared" ref="T3421:Y3421" si="3680">IF(ISBLANK(K3421)=TRUE,0,1)</f>
        <v>1</v>
      </c>
      <c r="U3421" s="13">
        <f t="shared" si="3680"/>
        <v>1</v>
      </c>
      <c r="V3421" s="13">
        <f t="shared" si="3680"/>
        <v>0</v>
      </c>
      <c r="W3421" s="13">
        <f t="shared" si="3680"/>
        <v>0</v>
      </c>
      <c r="X3421" s="13">
        <f t="shared" si="3680"/>
        <v>0</v>
      </c>
      <c r="Y3421" s="13">
        <f t="shared" si="3680"/>
        <v>0</v>
      </c>
      <c r="Z3421" s="13">
        <f t="shared" si="3023"/>
        <v>0</v>
      </c>
      <c r="AA3421" s="13"/>
      <c r="AB3421" s="13"/>
      <c r="AC3421" s="13"/>
      <c r="AD3421" s="13"/>
      <c r="AE3421" s="13"/>
      <c r="AF3421" s="13"/>
      <c r="AG3421" s="13"/>
      <c r="AH3421" s="13"/>
      <c r="AI3421" s="13"/>
      <c r="AJ3421" s="13"/>
      <c r="AK3421" s="13"/>
      <c r="AL3421" s="13"/>
      <c r="AM3421" s="13"/>
      <c r="AN3421" s="13"/>
      <c r="AO3421" s="13"/>
      <c r="AP3421" s="13"/>
      <c r="AQ3421" s="13"/>
      <c r="AR3421" s="13"/>
      <c r="AS3421" s="13"/>
    </row>
    <row r="3422" ht="14.25" customHeight="1">
      <c r="A3422" s="13" t="s">
        <v>36</v>
      </c>
      <c r="B3422" s="13" t="s">
        <v>37</v>
      </c>
      <c r="C3422" s="13" t="s">
        <v>607</v>
      </c>
      <c r="D3422" s="13" t="s">
        <v>193</v>
      </c>
      <c r="F3422" s="13"/>
      <c r="G3422" s="13" t="s">
        <v>111</v>
      </c>
      <c r="H3422" s="13" t="s">
        <v>75</v>
      </c>
      <c r="I3422" s="13"/>
      <c r="J3422" s="13"/>
      <c r="K3422" s="15">
        <v>0.0</v>
      </c>
      <c r="L3422" s="15">
        <v>0.0</v>
      </c>
      <c r="M3422" s="16"/>
      <c r="N3422" s="16"/>
      <c r="O3422" s="17"/>
      <c r="P3422" s="17"/>
      <c r="Q3422" s="13">
        <f t="shared" si="3678"/>
        <v>0</v>
      </c>
      <c r="R3422" s="13"/>
      <c r="S3422" s="13"/>
      <c r="T3422" s="13">
        <f t="shared" ref="T3422:Y3422" si="3681">IF(ISBLANK(K3422)=TRUE,0,1)</f>
        <v>1</v>
      </c>
      <c r="U3422" s="13">
        <f t="shared" si="3681"/>
        <v>1</v>
      </c>
      <c r="V3422" s="13">
        <f t="shared" si="3681"/>
        <v>0</v>
      </c>
      <c r="W3422" s="13">
        <f t="shared" si="3681"/>
        <v>0</v>
      </c>
      <c r="X3422" s="13">
        <f t="shared" si="3681"/>
        <v>0</v>
      </c>
      <c r="Y3422" s="13">
        <f t="shared" si="3681"/>
        <v>0</v>
      </c>
      <c r="Z3422" s="13">
        <f t="shared" si="3023"/>
        <v>0</v>
      </c>
      <c r="AA3422" s="13"/>
      <c r="AB3422" s="13"/>
      <c r="AC3422" s="13"/>
      <c r="AD3422" s="13"/>
      <c r="AE3422" s="13"/>
      <c r="AF3422" s="13"/>
      <c r="AG3422" s="13"/>
      <c r="AH3422" s="13"/>
      <c r="AI3422" s="13"/>
      <c r="AJ3422" s="13"/>
      <c r="AK3422" s="13"/>
      <c r="AL3422" s="13"/>
      <c r="AM3422" s="13"/>
      <c r="AN3422" s="13"/>
      <c r="AO3422" s="13"/>
      <c r="AP3422" s="13"/>
      <c r="AQ3422" s="13"/>
      <c r="AR3422" s="13"/>
      <c r="AS3422" s="13"/>
    </row>
    <row r="3423" ht="14.25" customHeight="1">
      <c r="A3423" s="13" t="s">
        <v>36</v>
      </c>
      <c r="B3423" s="13" t="s">
        <v>37</v>
      </c>
      <c r="C3423" s="13" t="s">
        <v>607</v>
      </c>
      <c r="D3423" s="13" t="s">
        <v>194</v>
      </c>
      <c r="F3423" s="13"/>
      <c r="G3423" s="13" t="s">
        <v>111</v>
      </c>
      <c r="H3423" s="13" t="s">
        <v>75</v>
      </c>
      <c r="I3423" s="13"/>
      <c r="J3423" s="13"/>
      <c r="K3423" s="15">
        <v>0.0</v>
      </c>
      <c r="L3423" s="15">
        <v>0.0</v>
      </c>
      <c r="M3423" s="16"/>
      <c r="N3423" s="16"/>
      <c r="O3423" s="17"/>
      <c r="P3423" s="17"/>
      <c r="Q3423" s="13">
        <f t="shared" si="3678"/>
        <v>0</v>
      </c>
      <c r="R3423" s="13"/>
      <c r="S3423" s="13"/>
      <c r="T3423" s="13">
        <f t="shared" ref="T3423:Y3423" si="3682">IF(ISBLANK(K3423)=TRUE,0,1)</f>
        <v>1</v>
      </c>
      <c r="U3423" s="13">
        <f t="shared" si="3682"/>
        <v>1</v>
      </c>
      <c r="V3423" s="13">
        <f t="shared" si="3682"/>
        <v>0</v>
      </c>
      <c r="W3423" s="13">
        <f t="shared" si="3682"/>
        <v>0</v>
      </c>
      <c r="X3423" s="13">
        <f t="shared" si="3682"/>
        <v>0</v>
      </c>
      <c r="Y3423" s="13">
        <f t="shared" si="3682"/>
        <v>0</v>
      </c>
      <c r="Z3423" s="13">
        <f t="shared" si="3023"/>
        <v>0</v>
      </c>
      <c r="AA3423" s="13"/>
      <c r="AB3423" s="13"/>
      <c r="AC3423" s="13"/>
      <c r="AD3423" s="13"/>
      <c r="AE3423" s="13"/>
      <c r="AF3423" s="13"/>
      <c r="AG3423" s="13"/>
      <c r="AH3423" s="13"/>
      <c r="AI3423" s="13"/>
      <c r="AJ3423" s="13"/>
      <c r="AK3423" s="13"/>
      <c r="AL3423" s="13"/>
      <c r="AM3423" s="13"/>
      <c r="AN3423" s="13"/>
      <c r="AO3423" s="13"/>
      <c r="AP3423" s="13"/>
      <c r="AQ3423" s="13"/>
      <c r="AR3423" s="13"/>
      <c r="AS3423" s="13"/>
    </row>
    <row r="3424" ht="14.25" customHeight="1">
      <c r="A3424" s="13" t="s">
        <v>36</v>
      </c>
      <c r="B3424" s="13" t="s">
        <v>42</v>
      </c>
      <c r="C3424" s="13">
        <v>872.0</v>
      </c>
      <c r="D3424" s="13" t="s">
        <v>193</v>
      </c>
      <c r="F3424" s="13"/>
      <c r="G3424" s="13" t="s">
        <v>111</v>
      </c>
      <c r="H3424" s="13" t="s">
        <v>75</v>
      </c>
      <c r="I3424" s="13"/>
      <c r="J3424" s="13"/>
      <c r="K3424" s="15">
        <v>1.0</v>
      </c>
      <c r="L3424" s="15">
        <v>1.0</v>
      </c>
      <c r="M3424" s="16"/>
      <c r="N3424" s="16"/>
      <c r="O3424" s="17"/>
      <c r="P3424" s="17"/>
      <c r="Q3424" s="13">
        <f t="shared" si="3678"/>
        <v>0</v>
      </c>
      <c r="R3424" s="13"/>
      <c r="S3424" s="13"/>
      <c r="T3424" s="13">
        <f t="shared" ref="T3424:Y3424" si="3683">IF(ISBLANK(K3424)=TRUE,0,1)</f>
        <v>1</v>
      </c>
      <c r="U3424" s="13">
        <f t="shared" si="3683"/>
        <v>1</v>
      </c>
      <c r="V3424" s="13">
        <f t="shared" si="3683"/>
        <v>0</v>
      </c>
      <c r="W3424" s="13">
        <f t="shared" si="3683"/>
        <v>0</v>
      </c>
      <c r="X3424" s="13">
        <f t="shared" si="3683"/>
        <v>0</v>
      </c>
      <c r="Y3424" s="13">
        <f t="shared" si="3683"/>
        <v>0</v>
      </c>
      <c r="Z3424" s="13">
        <f t="shared" si="3023"/>
        <v>1</v>
      </c>
      <c r="AA3424" s="13"/>
      <c r="AB3424" s="13"/>
      <c r="AC3424" s="13"/>
      <c r="AD3424" s="13"/>
      <c r="AE3424" s="13"/>
      <c r="AF3424" s="13"/>
      <c r="AG3424" s="13"/>
      <c r="AH3424" s="13"/>
      <c r="AI3424" s="13"/>
      <c r="AJ3424" s="13"/>
      <c r="AK3424" s="13"/>
      <c r="AL3424" s="13"/>
      <c r="AM3424" s="13"/>
      <c r="AN3424" s="13"/>
      <c r="AO3424" s="13"/>
      <c r="AP3424" s="13"/>
      <c r="AQ3424" s="13"/>
      <c r="AR3424" s="13"/>
      <c r="AS3424" s="13"/>
    </row>
    <row r="3425" ht="14.25" customHeight="1">
      <c r="A3425" s="13" t="s">
        <v>36</v>
      </c>
      <c r="B3425" s="13" t="s">
        <v>42</v>
      </c>
      <c r="C3425" s="13">
        <v>872.0</v>
      </c>
      <c r="D3425" s="13" t="s">
        <v>194</v>
      </c>
      <c r="F3425" s="13"/>
      <c r="G3425" s="13" t="s">
        <v>111</v>
      </c>
      <c r="H3425" s="13" t="s">
        <v>75</v>
      </c>
      <c r="I3425" s="13"/>
      <c r="J3425" s="13"/>
      <c r="K3425" s="15">
        <v>1.0</v>
      </c>
      <c r="L3425" s="15">
        <v>1.0</v>
      </c>
      <c r="M3425" s="16"/>
      <c r="N3425" s="16"/>
      <c r="O3425" s="17"/>
      <c r="P3425" s="17"/>
      <c r="Q3425" s="13">
        <f t="shared" si="3678"/>
        <v>2</v>
      </c>
      <c r="R3425" s="13"/>
      <c r="S3425" s="13"/>
      <c r="T3425" s="13">
        <f t="shared" ref="T3425:Y3425" si="3684">IF(ISBLANK(K3425)=TRUE,0,1)</f>
        <v>1</v>
      </c>
      <c r="U3425" s="13">
        <f t="shared" si="3684"/>
        <v>1</v>
      </c>
      <c r="V3425" s="13">
        <f t="shared" si="3684"/>
        <v>0</v>
      </c>
      <c r="W3425" s="13">
        <f t="shared" si="3684"/>
        <v>0</v>
      </c>
      <c r="X3425" s="13">
        <f t="shared" si="3684"/>
        <v>0</v>
      </c>
      <c r="Y3425" s="13">
        <f t="shared" si="3684"/>
        <v>0</v>
      </c>
      <c r="Z3425" s="13">
        <f t="shared" si="3023"/>
        <v>1</v>
      </c>
      <c r="AA3425" s="13"/>
      <c r="AB3425" s="13"/>
      <c r="AC3425" s="13"/>
      <c r="AD3425" s="13"/>
      <c r="AE3425" s="13"/>
      <c r="AF3425" s="13"/>
      <c r="AG3425" s="13"/>
      <c r="AH3425" s="13"/>
      <c r="AI3425" s="13"/>
      <c r="AJ3425" s="13"/>
      <c r="AK3425" s="13"/>
      <c r="AL3425" s="13"/>
      <c r="AM3425" s="13"/>
      <c r="AN3425" s="13"/>
      <c r="AO3425" s="13"/>
      <c r="AP3425" s="13"/>
      <c r="AQ3425" s="13"/>
      <c r="AR3425" s="13"/>
      <c r="AS3425" s="13"/>
    </row>
    <row r="3426" ht="14.25" customHeight="1">
      <c r="A3426" s="13" t="s">
        <v>36</v>
      </c>
      <c r="B3426" s="13" t="s">
        <v>42</v>
      </c>
      <c r="C3426" s="13">
        <v>872.0</v>
      </c>
      <c r="D3426" s="13" t="s">
        <v>195</v>
      </c>
      <c r="F3426" s="13"/>
      <c r="G3426" s="13" t="s">
        <v>111</v>
      </c>
      <c r="H3426" s="13" t="s">
        <v>75</v>
      </c>
      <c r="I3426" s="13"/>
      <c r="J3426" s="13"/>
      <c r="K3426" s="15">
        <v>1.0</v>
      </c>
      <c r="L3426" s="15">
        <v>1.0</v>
      </c>
      <c r="M3426" s="16"/>
      <c r="N3426" s="16"/>
      <c r="O3426" s="17"/>
      <c r="P3426" s="17"/>
      <c r="Q3426" s="13">
        <f t="shared" si="3678"/>
        <v>2</v>
      </c>
      <c r="R3426" s="13"/>
      <c r="S3426" s="13"/>
      <c r="T3426" s="13">
        <f t="shared" ref="T3426:Y3426" si="3685">IF(ISBLANK(K3426)=TRUE,0,1)</f>
        <v>1</v>
      </c>
      <c r="U3426" s="13">
        <f t="shared" si="3685"/>
        <v>1</v>
      </c>
      <c r="V3426" s="13">
        <f t="shared" si="3685"/>
        <v>0</v>
      </c>
      <c r="W3426" s="13">
        <f t="shared" si="3685"/>
        <v>0</v>
      </c>
      <c r="X3426" s="13">
        <f t="shared" si="3685"/>
        <v>0</v>
      </c>
      <c r="Y3426" s="13">
        <f t="shared" si="3685"/>
        <v>0</v>
      </c>
      <c r="Z3426" s="13">
        <f t="shared" si="3023"/>
        <v>1</v>
      </c>
      <c r="AA3426" s="13"/>
      <c r="AB3426" s="13"/>
      <c r="AC3426" s="13"/>
      <c r="AD3426" s="13"/>
      <c r="AE3426" s="13"/>
      <c r="AF3426" s="13"/>
      <c r="AG3426" s="13"/>
      <c r="AH3426" s="13"/>
      <c r="AI3426" s="13"/>
      <c r="AJ3426" s="13"/>
      <c r="AK3426" s="13"/>
      <c r="AL3426" s="13"/>
      <c r="AM3426" s="13"/>
      <c r="AN3426" s="13"/>
      <c r="AO3426" s="13"/>
      <c r="AP3426" s="13"/>
      <c r="AQ3426" s="13"/>
      <c r="AR3426" s="13"/>
      <c r="AS3426" s="13"/>
    </row>
    <row r="3427" ht="14.25" customHeight="1">
      <c r="A3427" s="13" t="s">
        <v>36</v>
      </c>
      <c r="B3427" s="13" t="s">
        <v>41</v>
      </c>
      <c r="C3427" s="13" t="s">
        <v>1967</v>
      </c>
      <c r="D3427" s="13" t="s">
        <v>440</v>
      </c>
      <c r="F3427" s="13"/>
      <c r="G3427" s="13" t="s">
        <v>74</v>
      </c>
      <c r="H3427" s="13" t="s">
        <v>75</v>
      </c>
      <c r="I3427" s="13"/>
      <c r="J3427" s="13"/>
      <c r="K3427" s="15">
        <v>0.0</v>
      </c>
      <c r="L3427" s="15">
        <v>0.0</v>
      </c>
      <c r="M3427" s="16"/>
      <c r="N3427" s="16"/>
      <c r="O3427" s="17"/>
      <c r="P3427" s="17"/>
      <c r="Q3427" s="13">
        <f t="shared" si="3678"/>
        <v>2</v>
      </c>
      <c r="R3427" s="13"/>
      <c r="S3427" s="13"/>
      <c r="T3427" s="13">
        <f t="shared" ref="T3427:Y3427" si="3686">IF(ISBLANK(K3427)=TRUE,0,1)</f>
        <v>1</v>
      </c>
      <c r="U3427" s="13">
        <f t="shared" si="3686"/>
        <v>1</v>
      </c>
      <c r="V3427" s="13">
        <f t="shared" si="3686"/>
        <v>0</v>
      </c>
      <c r="W3427" s="13">
        <f t="shared" si="3686"/>
        <v>0</v>
      </c>
      <c r="X3427" s="13">
        <f t="shared" si="3686"/>
        <v>0</v>
      </c>
      <c r="Y3427" s="13">
        <f t="shared" si="3686"/>
        <v>0</v>
      </c>
      <c r="Z3427" s="13">
        <f t="shared" si="3023"/>
        <v>0</v>
      </c>
      <c r="AA3427" s="13"/>
      <c r="AB3427" s="13"/>
      <c r="AC3427" s="13"/>
      <c r="AD3427" s="13"/>
      <c r="AE3427" s="13"/>
      <c r="AF3427" s="13"/>
      <c r="AG3427" s="13"/>
      <c r="AH3427" s="13"/>
      <c r="AI3427" s="13"/>
      <c r="AJ3427" s="13"/>
      <c r="AK3427" s="13"/>
      <c r="AL3427" s="13"/>
      <c r="AM3427" s="13"/>
      <c r="AN3427" s="13"/>
      <c r="AO3427" s="13"/>
      <c r="AP3427" s="13"/>
      <c r="AQ3427" s="13"/>
      <c r="AR3427" s="13"/>
      <c r="AS3427" s="13"/>
    </row>
    <row r="3428" ht="14.25" customHeight="1">
      <c r="A3428" s="13" t="s">
        <v>36</v>
      </c>
      <c r="B3428" s="13" t="s">
        <v>41</v>
      </c>
      <c r="C3428" s="13" t="s">
        <v>1967</v>
      </c>
      <c r="D3428" s="13" t="s">
        <v>441</v>
      </c>
      <c r="F3428" s="13"/>
      <c r="G3428" s="13" t="s">
        <v>74</v>
      </c>
      <c r="H3428" s="13" t="s">
        <v>75</v>
      </c>
      <c r="I3428" s="13"/>
      <c r="J3428" s="13"/>
      <c r="K3428" s="15">
        <v>0.0</v>
      </c>
      <c r="L3428" s="15">
        <v>0.0</v>
      </c>
      <c r="M3428" s="16"/>
      <c r="N3428" s="16"/>
      <c r="O3428" s="17"/>
      <c r="P3428" s="17"/>
      <c r="Q3428" s="13">
        <f t="shared" si="3678"/>
        <v>0</v>
      </c>
      <c r="R3428" s="13"/>
      <c r="S3428" s="13"/>
      <c r="T3428" s="13">
        <f t="shared" ref="T3428:Y3428" si="3687">IF(ISBLANK(K3428)=TRUE,0,1)</f>
        <v>1</v>
      </c>
      <c r="U3428" s="13">
        <f t="shared" si="3687"/>
        <v>1</v>
      </c>
      <c r="V3428" s="13">
        <f t="shared" si="3687"/>
        <v>0</v>
      </c>
      <c r="W3428" s="13">
        <f t="shared" si="3687"/>
        <v>0</v>
      </c>
      <c r="X3428" s="13">
        <f t="shared" si="3687"/>
        <v>0</v>
      </c>
      <c r="Y3428" s="13">
        <f t="shared" si="3687"/>
        <v>0</v>
      </c>
      <c r="Z3428" s="13">
        <f t="shared" si="3023"/>
        <v>0</v>
      </c>
      <c r="AA3428" s="13"/>
      <c r="AB3428" s="13"/>
      <c r="AC3428" s="13"/>
      <c r="AD3428" s="13"/>
      <c r="AE3428" s="13"/>
      <c r="AF3428" s="13"/>
      <c r="AG3428" s="13"/>
      <c r="AH3428" s="13"/>
      <c r="AI3428" s="13"/>
      <c r="AJ3428" s="13"/>
      <c r="AK3428" s="13"/>
      <c r="AL3428" s="13"/>
      <c r="AM3428" s="13"/>
      <c r="AN3428" s="13"/>
      <c r="AO3428" s="13"/>
      <c r="AP3428" s="13"/>
      <c r="AQ3428" s="13"/>
      <c r="AR3428" s="13"/>
      <c r="AS3428" s="13"/>
    </row>
    <row r="3429" ht="14.25" customHeight="1">
      <c r="A3429" s="13" t="s">
        <v>36</v>
      </c>
      <c r="B3429" s="13" t="s">
        <v>42</v>
      </c>
      <c r="C3429" s="13">
        <v>872.0</v>
      </c>
      <c r="D3429" s="13" t="s">
        <v>196</v>
      </c>
      <c r="F3429" s="13"/>
      <c r="G3429" s="13" t="s">
        <v>111</v>
      </c>
      <c r="H3429" s="13" t="s">
        <v>75</v>
      </c>
      <c r="I3429" s="13"/>
      <c r="J3429" s="13"/>
      <c r="K3429" s="15">
        <v>1.0</v>
      </c>
      <c r="L3429" s="15">
        <v>1.0</v>
      </c>
      <c r="M3429" s="16"/>
      <c r="N3429" s="16"/>
      <c r="O3429" s="17"/>
      <c r="P3429" s="17"/>
      <c r="Q3429" s="13">
        <f t="shared" si="3678"/>
        <v>0</v>
      </c>
      <c r="R3429" s="13"/>
      <c r="S3429" s="13"/>
      <c r="T3429" s="13">
        <f t="shared" ref="T3429:Y3429" si="3688">IF(ISBLANK(K3429)=TRUE,0,1)</f>
        <v>1</v>
      </c>
      <c r="U3429" s="13">
        <f t="shared" si="3688"/>
        <v>1</v>
      </c>
      <c r="V3429" s="13">
        <f t="shared" si="3688"/>
        <v>0</v>
      </c>
      <c r="W3429" s="13">
        <f t="shared" si="3688"/>
        <v>0</v>
      </c>
      <c r="X3429" s="13">
        <f t="shared" si="3688"/>
        <v>0</v>
      </c>
      <c r="Y3429" s="13">
        <f t="shared" si="3688"/>
        <v>0</v>
      </c>
      <c r="Z3429" s="13">
        <f t="shared" si="3023"/>
        <v>1</v>
      </c>
      <c r="AA3429" s="13"/>
      <c r="AB3429" s="13"/>
      <c r="AC3429" s="13"/>
      <c r="AD3429" s="13"/>
      <c r="AE3429" s="13"/>
      <c r="AF3429" s="13"/>
      <c r="AG3429" s="13"/>
      <c r="AH3429" s="13"/>
      <c r="AI3429" s="13"/>
      <c r="AJ3429" s="13"/>
      <c r="AK3429" s="13"/>
      <c r="AL3429" s="13"/>
      <c r="AM3429" s="13"/>
      <c r="AN3429" s="13"/>
      <c r="AO3429" s="13"/>
      <c r="AP3429" s="13"/>
      <c r="AQ3429" s="13"/>
      <c r="AR3429" s="13"/>
      <c r="AS3429" s="13"/>
    </row>
    <row r="3430" ht="14.25" customHeight="1">
      <c r="A3430" s="13" t="s">
        <v>36</v>
      </c>
      <c r="B3430" s="13" t="s">
        <v>42</v>
      </c>
      <c r="C3430" s="13">
        <v>872.0</v>
      </c>
      <c r="D3430" s="13" t="s">
        <v>197</v>
      </c>
      <c r="F3430" s="13"/>
      <c r="G3430" s="13" t="s">
        <v>111</v>
      </c>
      <c r="H3430" s="13" t="s">
        <v>75</v>
      </c>
      <c r="I3430" s="13"/>
      <c r="J3430" s="13"/>
      <c r="K3430" s="15">
        <v>1.0</v>
      </c>
      <c r="L3430" s="15">
        <v>1.0</v>
      </c>
      <c r="M3430" s="16"/>
      <c r="N3430" s="16"/>
      <c r="O3430" s="17"/>
      <c r="P3430" s="17"/>
      <c r="Q3430" s="13">
        <f t="shared" si="3678"/>
        <v>2</v>
      </c>
      <c r="R3430" s="13"/>
      <c r="S3430" s="13"/>
      <c r="T3430" s="13">
        <f t="shared" ref="T3430:Y3430" si="3689">IF(ISBLANK(K3430)=TRUE,0,1)</f>
        <v>1</v>
      </c>
      <c r="U3430" s="13">
        <f t="shared" si="3689"/>
        <v>1</v>
      </c>
      <c r="V3430" s="13">
        <f t="shared" si="3689"/>
        <v>0</v>
      </c>
      <c r="W3430" s="13">
        <f t="shared" si="3689"/>
        <v>0</v>
      </c>
      <c r="X3430" s="13">
        <f t="shared" si="3689"/>
        <v>0</v>
      </c>
      <c r="Y3430" s="13">
        <f t="shared" si="3689"/>
        <v>0</v>
      </c>
      <c r="Z3430" s="13">
        <f t="shared" si="3023"/>
        <v>1</v>
      </c>
      <c r="AA3430" s="13"/>
      <c r="AB3430" s="13"/>
      <c r="AC3430" s="13"/>
      <c r="AD3430" s="13"/>
      <c r="AE3430" s="13"/>
      <c r="AF3430" s="13"/>
      <c r="AG3430" s="13"/>
      <c r="AH3430" s="13"/>
      <c r="AI3430" s="13"/>
      <c r="AJ3430" s="13"/>
      <c r="AK3430" s="13"/>
      <c r="AL3430" s="13"/>
      <c r="AM3430" s="13"/>
      <c r="AN3430" s="13"/>
      <c r="AO3430" s="13"/>
      <c r="AP3430" s="13"/>
      <c r="AQ3430" s="13"/>
      <c r="AR3430" s="13"/>
      <c r="AS3430" s="13"/>
    </row>
    <row r="3431" ht="14.25" customHeight="1">
      <c r="A3431" s="13" t="s">
        <v>36</v>
      </c>
      <c r="B3431" s="13" t="s">
        <v>42</v>
      </c>
      <c r="C3431" s="13">
        <v>872.0</v>
      </c>
      <c r="D3431" s="13" t="s">
        <v>433</v>
      </c>
      <c r="F3431" s="13"/>
      <c r="G3431" s="13" t="s">
        <v>111</v>
      </c>
      <c r="H3431" s="13" t="s">
        <v>75</v>
      </c>
      <c r="I3431" s="13"/>
      <c r="J3431" s="13"/>
      <c r="K3431" s="15">
        <v>1.0</v>
      </c>
      <c r="L3431" s="15">
        <v>1.0</v>
      </c>
      <c r="M3431" s="16"/>
      <c r="N3431" s="16"/>
      <c r="O3431" s="17"/>
      <c r="P3431" s="17"/>
      <c r="Q3431" s="13">
        <f t="shared" si="3678"/>
        <v>2</v>
      </c>
      <c r="R3431" s="13"/>
      <c r="S3431" s="13"/>
      <c r="T3431" s="13">
        <f t="shared" ref="T3431:Y3431" si="3690">IF(ISBLANK(K3431)=TRUE,0,1)</f>
        <v>1</v>
      </c>
      <c r="U3431" s="13">
        <f t="shared" si="3690"/>
        <v>1</v>
      </c>
      <c r="V3431" s="13">
        <f t="shared" si="3690"/>
        <v>0</v>
      </c>
      <c r="W3431" s="13">
        <f t="shared" si="3690"/>
        <v>0</v>
      </c>
      <c r="X3431" s="13">
        <f t="shared" si="3690"/>
        <v>0</v>
      </c>
      <c r="Y3431" s="13">
        <f t="shared" si="3690"/>
        <v>0</v>
      </c>
      <c r="Z3431" s="13">
        <f t="shared" si="3023"/>
        <v>1</v>
      </c>
      <c r="AA3431" s="13"/>
      <c r="AB3431" s="13"/>
      <c r="AC3431" s="13"/>
      <c r="AD3431" s="13"/>
      <c r="AE3431" s="13"/>
      <c r="AF3431" s="13"/>
      <c r="AG3431" s="13"/>
      <c r="AH3431" s="13"/>
      <c r="AI3431" s="13"/>
      <c r="AJ3431" s="13"/>
      <c r="AK3431" s="13"/>
      <c r="AL3431" s="13"/>
      <c r="AM3431" s="13"/>
      <c r="AN3431" s="13"/>
      <c r="AO3431" s="13"/>
      <c r="AP3431" s="13"/>
      <c r="AQ3431" s="13"/>
      <c r="AR3431" s="13"/>
      <c r="AS3431" s="13"/>
    </row>
    <row r="3432" ht="14.25" customHeight="1">
      <c r="A3432" s="13" t="s">
        <v>36</v>
      </c>
      <c r="B3432" s="13" t="s">
        <v>37</v>
      </c>
      <c r="C3432" s="13" t="s">
        <v>607</v>
      </c>
      <c r="D3432" s="13" t="s">
        <v>195</v>
      </c>
      <c r="F3432" s="13"/>
      <c r="G3432" s="13" t="s">
        <v>111</v>
      </c>
      <c r="H3432" s="13" t="s">
        <v>75</v>
      </c>
      <c r="I3432" s="13"/>
      <c r="J3432" s="13"/>
      <c r="K3432" s="15">
        <v>0.0</v>
      </c>
      <c r="L3432" s="15">
        <v>0.0</v>
      </c>
      <c r="M3432" s="16"/>
      <c r="N3432" s="16"/>
      <c r="O3432" s="17"/>
      <c r="P3432" s="17"/>
      <c r="Q3432" s="13">
        <f t="shared" si="3678"/>
        <v>2</v>
      </c>
      <c r="R3432" s="13"/>
      <c r="S3432" s="13"/>
      <c r="T3432" s="13">
        <f t="shared" ref="T3432:Y3432" si="3691">IF(ISBLANK(K3432)=TRUE,0,1)</f>
        <v>1</v>
      </c>
      <c r="U3432" s="13">
        <f t="shared" si="3691"/>
        <v>1</v>
      </c>
      <c r="V3432" s="13">
        <f t="shared" si="3691"/>
        <v>0</v>
      </c>
      <c r="W3432" s="13">
        <f t="shared" si="3691"/>
        <v>0</v>
      </c>
      <c r="X3432" s="13">
        <f t="shared" si="3691"/>
        <v>0</v>
      </c>
      <c r="Y3432" s="13">
        <f t="shared" si="3691"/>
        <v>0</v>
      </c>
      <c r="Z3432" s="13">
        <f t="shared" si="3023"/>
        <v>0</v>
      </c>
      <c r="AA3432" s="13"/>
      <c r="AB3432" s="13"/>
      <c r="AC3432" s="13"/>
      <c r="AD3432" s="13"/>
      <c r="AE3432" s="13"/>
      <c r="AF3432" s="13"/>
      <c r="AG3432" s="13"/>
      <c r="AH3432" s="13"/>
      <c r="AI3432" s="13"/>
      <c r="AJ3432" s="13"/>
      <c r="AK3432" s="13"/>
      <c r="AL3432" s="13"/>
      <c r="AM3432" s="13"/>
      <c r="AN3432" s="13"/>
      <c r="AO3432" s="13"/>
      <c r="AP3432" s="13"/>
      <c r="AQ3432" s="13"/>
      <c r="AR3432" s="13"/>
      <c r="AS3432" s="13"/>
    </row>
    <row r="3433" ht="14.25" customHeight="1">
      <c r="A3433" s="13" t="s">
        <v>36</v>
      </c>
      <c r="B3433" s="13" t="s">
        <v>41</v>
      </c>
      <c r="C3433" s="13" t="s">
        <v>1967</v>
      </c>
      <c r="D3433" s="13" t="s">
        <v>551</v>
      </c>
      <c r="F3433" s="13"/>
      <c r="G3433" s="13" t="s">
        <v>74</v>
      </c>
      <c r="H3433" s="13" t="s">
        <v>75</v>
      </c>
      <c r="I3433" s="13"/>
      <c r="J3433" s="13"/>
      <c r="K3433" s="15">
        <v>0.0</v>
      </c>
      <c r="L3433" s="15">
        <v>0.0</v>
      </c>
      <c r="M3433" s="16"/>
      <c r="N3433" s="16"/>
      <c r="O3433" s="17"/>
      <c r="P3433" s="17"/>
      <c r="Q3433" s="13">
        <f t="shared" si="3678"/>
        <v>0</v>
      </c>
      <c r="R3433" s="13"/>
      <c r="S3433" s="13"/>
      <c r="T3433" s="13">
        <f t="shared" ref="T3433:Y3433" si="3692">IF(ISBLANK(K3433)=TRUE,0,1)</f>
        <v>1</v>
      </c>
      <c r="U3433" s="13">
        <f t="shared" si="3692"/>
        <v>1</v>
      </c>
      <c r="V3433" s="13">
        <f t="shared" si="3692"/>
        <v>0</v>
      </c>
      <c r="W3433" s="13">
        <f t="shared" si="3692"/>
        <v>0</v>
      </c>
      <c r="X3433" s="13">
        <f t="shared" si="3692"/>
        <v>0</v>
      </c>
      <c r="Y3433" s="13">
        <f t="shared" si="3692"/>
        <v>0</v>
      </c>
      <c r="Z3433" s="13">
        <f t="shared" si="3023"/>
        <v>0</v>
      </c>
      <c r="AA3433" s="13"/>
      <c r="AB3433" s="13"/>
      <c r="AC3433" s="13"/>
      <c r="AD3433" s="13"/>
      <c r="AE3433" s="13"/>
      <c r="AF3433" s="13"/>
      <c r="AG3433" s="13"/>
      <c r="AH3433" s="13"/>
      <c r="AI3433" s="13"/>
      <c r="AJ3433" s="13"/>
      <c r="AK3433" s="13"/>
      <c r="AL3433" s="13"/>
      <c r="AM3433" s="13"/>
      <c r="AN3433" s="13"/>
      <c r="AO3433" s="13"/>
      <c r="AP3433" s="13"/>
      <c r="AQ3433" s="13"/>
      <c r="AR3433" s="13"/>
      <c r="AS3433" s="13"/>
    </row>
    <row r="3434" ht="14.25" customHeight="1">
      <c r="A3434" s="13" t="s">
        <v>36</v>
      </c>
      <c r="B3434" s="13" t="s">
        <v>41</v>
      </c>
      <c r="C3434" s="13" t="s">
        <v>1967</v>
      </c>
      <c r="D3434" s="13" t="s">
        <v>553</v>
      </c>
      <c r="F3434" s="13"/>
      <c r="G3434" s="13" t="s">
        <v>74</v>
      </c>
      <c r="H3434" s="13" t="s">
        <v>75</v>
      </c>
      <c r="I3434" s="13"/>
      <c r="J3434" s="13"/>
      <c r="K3434" s="15">
        <v>0.0</v>
      </c>
      <c r="L3434" s="15">
        <v>0.0</v>
      </c>
      <c r="M3434" s="16"/>
      <c r="N3434" s="16"/>
      <c r="O3434" s="17"/>
      <c r="P3434" s="17"/>
      <c r="Q3434" s="13">
        <f t="shared" si="3678"/>
        <v>0</v>
      </c>
      <c r="R3434" s="13"/>
      <c r="S3434" s="13"/>
      <c r="T3434" s="13">
        <f t="shared" ref="T3434:Y3434" si="3693">IF(ISBLANK(K3434)=TRUE,0,1)</f>
        <v>1</v>
      </c>
      <c r="U3434" s="13">
        <f t="shared" si="3693"/>
        <v>1</v>
      </c>
      <c r="V3434" s="13">
        <f t="shared" si="3693"/>
        <v>0</v>
      </c>
      <c r="W3434" s="13">
        <f t="shared" si="3693"/>
        <v>0</v>
      </c>
      <c r="X3434" s="13">
        <f t="shared" si="3693"/>
        <v>0</v>
      </c>
      <c r="Y3434" s="13">
        <f t="shared" si="3693"/>
        <v>0</v>
      </c>
      <c r="Z3434" s="13">
        <f t="shared" si="3023"/>
        <v>0</v>
      </c>
      <c r="AA3434" s="13"/>
      <c r="AB3434" s="13"/>
      <c r="AC3434" s="13"/>
      <c r="AD3434" s="13"/>
      <c r="AE3434" s="13"/>
      <c r="AF3434" s="13"/>
      <c r="AG3434" s="13"/>
      <c r="AH3434" s="13"/>
      <c r="AI3434" s="13"/>
      <c r="AJ3434" s="13"/>
      <c r="AK3434" s="13"/>
      <c r="AL3434" s="13"/>
      <c r="AM3434" s="13"/>
      <c r="AN3434" s="13"/>
      <c r="AO3434" s="13"/>
      <c r="AP3434" s="13"/>
      <c r="AQ3434" s="13"/>
      <c r="AR3434" s="13"/>
      <c r="AS3434" s="13"/>
    </row>
    <row r="3435" ht="14.25" customHeight="1">
      <c r="A3435" s="13" t="s">
        <v>36</v>
      </c>
      <c r="B3435" s="13" t="s">
        <v>41</v>
      </c>
      <c r="C3435" s="13" t="s">
        <v>1967</v>
      </c>
      <c r="D3435" s="13" t="s">
        <v>554</v>
      </c>
      <c r="F3435" s="13"/>
      <c r="G3435" s="13" t="s">
        <v>74</v>
      </c>
      <c r="H3435" s="13" t="s">
        <v>75</v>
      </c>
      <c r="I3435" s="13"/>
      <c r="J3435" s="13"/>
      <c r="K3435" s="15">
        <v>0.0</v>
      </c>
      <c r="L3435" s="15">
        <v>0.0</v>
      </c>
      <c r="M3435" s="16"/>
      <c r="N3435" s="16"/>
      <c r="O3435" s="17"/>
      <c r="P3435" s="17"/>
      <c r="Q3435" s="13">
        <f t="shared" si="3678"/>
        <v>0</v>
      </c>
      <c r="R3435" s="13"/>
      <c r="S3435" s="13"/>
      <c r="T3435" s="13">
        <f t="shared" ref="T3435:Y3435" si="3694">IF(ISBLANK(K3435)=TRUE,0,1)</f>
        <v>1</v>
      </c>
      <c r="U3435" s="13">
        <f t="shared" si="3694"/>
        <v>1</v>
      </c>
      <c r="V3435" s="13">
        <f t="shared" si="3694"/>
        <v>0</v>
      </c>
      <c r="W3435" s="13">
        <f t="shared" si="3694"/>
        <v>0</v>
      </c>
      <c r="X3435" s="13">
        <f t="shared" si="3694"/>
        <v>0</v>
      </c>
      <c r="Y3435" s="13">
        <f t="shared" si="3694"/>
        <v>0</v>
      </c>
      <c r="Z3435" s="13">
        <f t="shared" si="3023"/>
        <v>0</v>
      </c>
      <c r="AA3435" s="13"/>
      <c r="AB3435" s="13"/>
      <c r="AC3435" s="13"/>
      <c r="AD3435" s="13"/>
      <c r="AE3435" s="13"/>
      <c r="AF3435" s="13"/>
      <c r="AG3435" s="13"/>
      <c r="AH3435" s="13"/>
      <c r="AI3435" s="13"/>
      <c r="AJ3435" s="13"/>
      <c r="AK3435" s="13"/>
      <c r="AL3435" s="13"/>
      <c r="AM3435" s="13"/>
      <c r="AN3435" s="13"/>
      <c r="AO3435" s="13"/>
      <c r="AP3435" s="13"/>
      <c r="AQ3435" s="13"/>
      <c r="AR3435" s="13"/>
      <c r="AS3435" s="13"/>
    </row>
    <row r="3436" ht="14.25" customHeight="1">
      <c r="A3436" s="13" t="s">
        <v>36</v>
      </c>
      <c r="B3436" s="13" t="s">
        <v>37</v>
      </c>
      <c r="C3436" s="13" t="s">
        <v>607</v>
      </c>
      <c r="D3436" s="13" t="s">
        <v>196</v>
      </c>
      <c r="F3436" s="13"/>
      <c r="G3436" s="13" t="s">
        <v>111</v>
      </c>
      <c r="H3436" s="13" t="s">
        <v>75</v>
      </c>
      <c r="I3436" s="13"/>
      <c r="J3436" s="13"/>
      <c r="K3436" s="15">
        <v>0.0</v>
      </c>
      <c r="L3436" s="15">
        <v>0.0</v>
      </c>
      <c r="M3436" s="16"/>
      <c r="N3436" s="16"/>
      <c r="O3436" s="17"/>
      <c r="P3436" s="17"/>
      <c r="Q3436" s="13">
        <f t="shared" si="3678"/>
        <v>0</v>
      </c>
      <c r="R3436" s="13"/>
      <c r="S3436" s="13"/>
      <c r="T3436" s="13">
        <f t="shared" ref="T3436:Y3436" si="3695">IF(ISBLANK(K3436)=TRUE,0,1)</f>
        <v>1</v>
      </c>
      <c r="U3436" s="13">
        <f t="shared" si="3695"/>
        <v>1</v>
      </c>
      <c r="V3436" s="13">
        <f t="shared" si="3695"/>
        <v>0</v>
      </c>
      <c r="W3436" s="13">
        <f t="shared" si="3695"/>
        <v>0</v>
      </c>
      <c r="X3436" s="13">
        <f t="shared" si="3695"/>
        <v>0</v>
      </c>
      <c r="Y3436" s="13">
        <f t="shared" si="3695"/>
        <v>0</v>
      </c>
      <c r="Z3436" s="13">
        <f t="shared" si="3023"/>
        <v>0</v>
      </c>
      <c r="AA3436" s="13"/>
      <c r="AB3436" s="13"/>
      <c r="AC3436" s="13"/>
      <c r="AD3436" s="13"/>
      <c r="AE3436" s="13"/>
      <c r="AF3436" s="13"/>
      <c r="AG3436" s="13"/>
      <c r="AH3436" s="13"/>
      <c r="AI3436" s="13"/>
      <c r="AJ3436" s="13"/>
      <c r="AK3436" s="13"/>
      <c r="AL3436" s="13"/>
      <c r="AM3436" s="13"/>
      <c r="AN3436" s="13"/>
      <c r="AO3436" s="13"/>
      <c r="AP3436" s="13"/>
      <c r="AQ3436" s="13"/>
      <c r="AR3436" s="13"/>
      <c r="AS3436" s="13"/>
    </row>
    <row r="3437" ht="14.25" customHeight="1">
      <c r="A3437" s="13" t="s">
        <v>36</v>
      </c>
      <c r="B3437" s="13" t="s">
        <v>37</v>
      </c>
      <c r="C3437" s="13" t="s">
        <v>607</v>
      </c>
      <c r="D3437" s="13" t="s">
        <v>197</v>
      </c>
      <c r="F3437" s="13"/>
      <c r="G3437" s="13" t="s">
        <v>111</v>
      </c>
      <c r="H3437" s="13" t="s">
        <v>75</v>
      </c>
      <c r="I3437" s="13"/>
      <c r="J3437" s="13"/>
      <c r="K3437" s="15">
        <v>0.0</v>
      </c>
      <c r="L3437" s="15">
        <v>0.0</v>
      </c>
      <c r="M3437" s="16"/>
      <c r="N3437" s="16"/>
      <c r="O3437" s="17"/>
      <c r="P3437" s="17"/>
      <c r="Q3437" s="13">
        <f t="shared" si="3678"/>
        <v>0</v>
      </c>
      <c r="R3437" s="13"/>
      <c r="S3437" s="13"/>
      <c r="T3437" s="13">
        <f t="shared" ref="T3437:Y3437" si="3696">IF(ISBLANK(K3437)=TRUE,0,1)</f>
        <v>1</v>
      </c>
      <c r="U3437" s="13">
        <f t="shared" si="3696"/>
        <v>1</v>
      </c>
      <c r="V3437" s="13">
        <f t="shared" si="3696"/>
        <v>0</v>
      </c>
      <c r="W3437" s="13">
        <f t="shared" si="3696"/>
        <v>0</v>
      </c>
      <c r="X3437" s="13">
        <f t="shared" si="3696"/>
        <v>0</v>
      </c>
      <c r="Y3437" s="13">
        <f t="shared" si="3696"/>
        <v>0</v>
      </c>
      <c r="Z3437" s="13">
        <f t="shared" si="3023"/>
        <v>0</v>
      </c>
      <c r="AA3437" s="13"/>
      <c r="AB3437" s="13"/>
      <c r="AC3437" s="13"/>
      <c r="AD3437" s="13"/>
      <c r="AE3437" s="13"/>
      <c r="AF3437" s="13"/>
      <c r="AG3437" s="13"/>
      <c r="AH3437" s="13"/>
      <c r="AI3437" s="13"/>
      <c r="AJ3437" s="13"/>
      <c r="AK3437" s="13"/>
      <c r="AL3437" s="13"/>
      <c r="AM3437" s="13"/>
      <c r="AN3437" s="13"/>
      <c r="AO3437" s="13"/>
      <c r="AP3437" s="13"/>
      <c r="AQ3437" s="13"/>
      <c r="AR3437" s="13"/>
      <c r="AS3437" s="13"/>
    </row>
    <row r="3438" ht="14.25" customHeight="1">
      <c r="A3438" s="13" t="s">
        <v>36</v>
      </c>
      <c r="B3438" s="13" t="s">
        <v>42</v>
      </c>
      <c r="C3438" s="13">
        <v>872.0</v>
      </c>
      <c r="D3438" s="13" t="s">
        <v>434</v>
      </c>
      <c r="F3438" s="13"/>
      <c r="G3438" s="13" t="s">
        <v>111</v>
      </c>
      <c r="H3438" s="13" t="s">
        <v>75</v>
      </c>
      <c r="I3438" s="13"/>
      <c r="J3438" s="13"/>
      <c r="K3438" s="15">
        <v>1.0</v>
      </c>
      <c r="L3438" s="15">
        <v>1.0</v>
      </c>
      <c r="M3438" s="16"/>
      <c r="N3438" s="16"/>
      <c r="O3438" s="17"/>
      <c r="P3438" s="17"/>
      <c r="Q3438" s="13">
        <f t="shared" si="3678"/>
        <v>0</v>
      </c>
      <c r="R3438" s="13"/>
      <c r="S3438" s="13"/>
      <c r="T3438" s="13">
        <f t="shared" ref="T3438:Y3438" si="3697">IF(ISBLANK(K3438)=TRUE,0,1)</f>
        <v>1</v>
      </c>
      <c r="U3438" s="13">
        <f t="shared" si="3697"/>
        <v>1</v>
      </c>
      <c r="V3438" s="13">
        <f t="shared" si="3697"/>
        <v>0</v>
      </c>
      <c r="W3438" s="13">
        <f t="shared" si="3697"/>
        <v>0</v>
      </c>
      <c r="X3438" s="13">
        <f t="shared" si="3697"/>
        <v>0</v>
      </c>
      <c r="Y3438" s="13">
        <f t="shared" si="3697"/>
        <v>0</v>
      </c>
      <c r="Z3438" s="13">
        <f t="shared" si="3023"/>
        <v>1</v>
      </c>
      <c r="AA3438" s="13"/>
      <c r="AB3438" s="13"/>
      <c r="AC3438" s="13"/>
      <c r="AD3438" s="13"/>
      <c r="AE3438" s="13"/>
      <c r="AF3438" s="13"/>
      <c r="AG3438" s="13"/>
      <c r="AH3438" s="13"/>
      <c r="AI3438" s="13"/>
      <c r="AJ3438" s="13"/>
      <c r="AK3438" s="13"/>
      <c r="AL3438" s="13"/>
      <c r="AM3438" s="13"/>
      <c r="AN3438" s="13"/>
      <c r="AO3438" s="13"/>
      <c r="AP3438" s="13"/>
      <c r="AQ3438" s="13"/>
      <c r="AR3438" s="13"/>
      <c r="AS3438" s="13"/>
    </row>
    <row r="3439" ht="14.25" customHeight="1">
      <c r="A3439" s="13" t="s">
        <v>36</v>
      </c>
      <c r="B3439" s="13" t="s">
        <v>42</v>
      </c>
      <c r="C3439" s="13">
        <v>872.0</v>
      </c>
      <c r="D3439" s="13" t="s">
        <v>435</v>
      </c>
      <c r="F3439" s="13"/>
      <c r="G3439" s="13" t="s">
        <v>111</v>
      </c>
      <c r="H3439" s="13" t="s">
        <v>75</v>
      </c>
      <c r="I3439" s="13"/>
      <c r="J3439" s="13"/>
      <c r="K3439" s="15">
        <v>1.0</v>
      </c>
      <c r="L3439" s="15">
        <v>1.0</v>
      </c>
      <c r="M3439" s="16"/>
      <c r="N3439" s="16"/>
      <c r="O3439" s="17"/>
      <c r="P3439" s="17"/>
      <c r="Q3439" s="13">
        <f t="shared" si="3678"/>
        <v>2</v>
      </c>
      <c r="R3439" s="13"/>
      <c r="S3439" s="13"/>
      <c r="T3439" s="13">
        <f t="shared" ref="T3439:Y3439" si="3698">IF(ISBLANK(K3439)=TRUE,0,1)</f>
        <v>1</v>
      </c>
      <c r="U3439" s="13">
        <f t="shared" si="3698"/>
        <v>1</v>
      </c>
      <c r="V3439" s="13">
        <f t="shared" si="3698"/>
        <v>0</v>
      </c>
      <c r="W3439" s="13">
        <f t="shared" si="3698"/>
        <v>0</v>
      </c>
      <c r="X3439" s="13">
        <f t="shared" si="3698"/>
        <v>0</v>
      </c>
      <c r="Y3439" s="13">
        <f t="shared" si="3698"/>
        <v>0</v>
      </c>
      <c r="Z3439" s="13">
        <f t="shared" si="3023"/>
        <v>1</v>
      </c>
      <c r="AA3439" s="13"/>
      <c r="AB3439" s="13"/>
      <c r="AC3439" s="13"/>
      <c r="AD3439" s="13"/>
      <c r="AE3439" s="13"/>
      <c r="AF3439" s="13"/>
      <c r="AG3439" s="13"/>
      <c r="AH3439" s="13"/>
      <c r="AI3439" s="13"/>
      <c r="AJ3439" s="13"/>
      <c r="AK3439" s="13"/>
      <c r="AL3439" s="13"/>
      <c r="AM3439" s="13"/>
      <c r="AN3439" s="13"/>
      <c r="AO3439" s="13"/>
      <c r="AP3439" s="13"/>
      <c r="AQ3439" s="13"/>
      <c r="AR3439" s="13"/>
      <c r="AS3439" s="13"/>
    </row>
    <row r="3440" ht="14.25" customHeight="1">
      <c r="A3440" s="13" t="s">
        <v>36</v>
      </c>
      <c r="B3440" s="13" t="s">
        <v>42</v>
      </c>
      <c r="C3440" s="13">
        <v>872.0</v>
      </c>
      <c r="D3440" s="13" t="s">
        <v>436</v>
      </c>
      <c r="F3440" s="13"/>
      <c r="G3440" s="13" t="s">
        <v>111</v>
      </c>
      <c r="H3440" s="13" t="s">
        <v>75</v>
      </c>
      <c r="I3440" s="13"/>
      <c r="J3440" s="13"/>
      <c r="K3440" s="15">
        <v>1.0</v>
      </c>
      <c r="L3440" s="15">
        <v>1.0</v>
      </c>
      <c r="M3440" s="16"/>
      <c r="N3440" s="16"/>
      <c r="O3440" s="17"/>
      <c r="P3440" s="17"/>
      <c r="Q3440" s="13">
        <f t="shared" si="3678"/>
        <v>2</v>
      </c>
      <c r="R3440" s="13"/>
      <c r="S3440" s="13"/>
      <c r="T3440" s="13">
        <f t="shared" ref="T3440:Y3440" si="3699">IF(ISBLANK(K3440)=TRUE,0,1)</f>
        <v>1</v>
      </c>
      <c r="U3440" s="13">
        <f t="shared" si="3699"/>
        <v>1</v>
      </c>
      <c r="V3440" s="13">
        <f t="shared" si="3699"/>
        <v>0</v>
      </c>
      <c r="W3440" s="13">
        <f t="shared" si="3699"/>
        <v>0</v>
      </c>
      <c r="X3440" s="13">
        <f t="shared" si="3699"/>
        <v>0</v>
      </c>
      <c r="Y3440" s="13">
        <f t="shared" si="3699"/>
        <v>0</v>
      </c>
      <c r="Z3440" s="13">
        <f t="shared" si="3023"/>
        <v>1</v>
      </c>
      <c r="AA3440" s="13"/>
      <c r="AB3440" s="13"/>
      <c r="AC3440" s="13"/>
      <c r="AD3440" s="13"/>
      <c r="AE3440" s="13"/>
      <c r="AF3440" s="13"/>
      <c r="AG3440" s="13"/>
      <c r="AH3440" s="13"/>
      <c r="AI3440" s="13"/>
      <c r="AJ3440" s="13"/>
      <c r="AK3440" s="13"/>
      <c r="AL3440" s="13"/>
      <c r="AM3440" s="13"/>
      <c r="AN3440" s="13"/>
      <c r="AO3440" s="13"/>
      <c r="AP3440" s="13"/>
      <c r="AQ3440" s="13"/>
      <c r="AR3440" s="13"/>
      <c r="AS3440" s="13"/>
    </row>
    <row r="3441" ht="14.25" customHeight="1">
      <c r="A3441" s="13" t="s">
        <v>36</v>
      </c>
      <c r="B3441" s="13" t="s">
        <v>41</v>
      </c>
      <c r="C3441" s="13" t="s">
        <v>1967</v>
      </c>
      <c r="D3441" s="13" t="s">
        <v>555</v>
      </c>
      <c r="F3441" s="13"/>
      <c r="G3441" s="13" t="s">
        <v>74</v>
      </c>
      <c r="H3441" s="13" t="s">
        <v>75</v>
      </c>
      <c r="I3441" s="13"/>
      <c r="J3441" s="13"/>
      <c r="K3441" s="15">
        <v>0.0</v>
      </c>
      <c r="L3441" s="15">
        <v>0.0</v>
      </c>
      <c r="M3441" s="16"/>
      <c r="N3441" s="16"/>
      <c r="O3441" s="17"/>
      <c r="P3441" s="17"/>
      <c r="Q3441" s="13">
        <f t="shared" si="3678"/>
        <v>2</v>
      </c>
      <c r="R3441" s="13"/>
      <c r="S3441" s="13"/>
      <c r="T3441" s="13">
        <f t="shared" ref="T3441:Y3441" si="3700">IF(ISBLANK(K3441)=TRUE,0,1)</f>
        <v>1</v>
      </c>
      <c r="U3441" s="13">
        <f t="shared" si="3700"/>
        <v>1</v>
      </c>
      <c r="V3441" s="13">
        <f t="shared" si="3700"/>
        <v>0</v>
      </c>
      <c r="W3441" s="13">
        <f t="shared" si="3700"/>
        <v>0</v>
      </c>
      <c r="X3441" s="13">
        <f t="shared" si="3700"/>
        <v>0</v>
      </c>
      <c r="Y3441" s="13">
        <f t="shared" si="3700"/>
        <v>0</v>
      </c>
      <c r="Z3441" s="13">
        <f t="shared" si="3023"/>
        <v>0</v>
      </c>
      <c r="AA3441" s="13"/>
      <c r="AB3441" s="13"/>
      <c r="AC3441" s="13"/>
      <c r="AD3441" s="13"/>
      <c r="AE3441" s="13"/>
      <c r="AF3441" s="13"/>
      <c r="AG3441" s="13"/>
      <c r="AH3441" s="13"/>
      <c r="AI3441" s="13"/>
      <c r="AJ3441" s="13"/>
      <c r="AK3441" s="13"/>
      <c r="AL3441" s="13"/>
      <c r="AM3441" s="13"/>
      <c r="AN3441" s="13"/>
      <c r="AO3441" s="13"/>
      <c r="AP3441" s="13"/>
      <c r="AQ3441" s="13"/>
      <c r="AR3441" s="13"/>
      <c r="AS3441" s="13"/>
    </row>
    <row r="3442" ht="14.25" customHeight="1">
      <c r="A3442" s="13" t="s">
        <v>36</v>
      </c>
      <c r="B3442" s="13" t="s">
        <v>41</v>
      </c>
      <c r="C3442" s="13" t="s">
        <v>1967</v>
      </c>
      <c r="D3442" s="13" t="s">
        <v>168</v>
      </c>
      <c r="F3442" s="13"/>
      <c r="G3442" s="13" t="s">
        <v>74</v>
      </c>
      <c r="H3442" s="13" t="s">
        <v>75</v>
      </c>
      <c r="I3442" s="13"/>
      <c r="J3442" s="13"/>
      <c r="K3442" s="15">
        <v>0.0</v>
      </c>
      <c r="L3442" s="15">
        <v>0.0</v>
      </c>
      <c r="M3442" s="16"/>
      <c r="N3442" s="16"/>
      <c r="O3442" s="17"/>
      <c r="P3442" s="17"/>
      <c r="Q3442" s="13">
        <f t="shared" si="3678"/>
        <v>0</v>
      </c>
      <c r="R3442" s="13"/>
      <c r="S3442" s="13"/>
      <c r="T3442" s="13">
        <f t="shared" ref="T3442:Y3442" si="3701">IF(ISBLANK(K3442)=TRUE,0,1)</f>
        <v>1</v>
      </c>
      <c r="U3442" s="13">
        <f t="shared" si="3701"/>
        <v>1</v>
      </c>
      <c r="V3442" s="13">
        <f t="shared" si="3701"/>
        <v>0</v>
      </c>
      <c r="W3442" s="13">
        <f t="shared" si="3701"/>
        <v>0</v>
      </c>
      <c r="X3442" s="13">
        <f t="shared" si="3701"/>
        <v>0</v>
      </c>
      <c r="Y3442" s="13">
        <f t="shared" si="3701"/>
        <v>0</v>
      </c>
      <c r="Z3442" s="13">
        <f t="shared" si="3023"/>
        <v>0</v>
      </c>
      <c r="AA3442" s="13"/>
      <c r="AB3442" s="13"/>
      <c r="AC3442" s="13"/>
      <c r="AD3442" s="13"/>
      <c r="AE3442" s="13"/>
      <c r="AF3442" s="13"/>
      <c r="AG3442" s="13"/>
      <c r="AH3442" s="13"/>
      <c r="AI3442" s="13"/>
      <c r="AJ3442" s="13"/>
      <c r="AK3442" s="13"/>
      <c r="AL3442" s="13"/>
      <c r="AM3442" s="13"/>
      <c r="AN3442" s="13"/>
      <c r="AO3442" s="13"/>
      <c r="AP3442" s="13"/>
      <c r="AQ3442" s="13"/>
      <c r="AR3442" s="13"/>
      <c r="AS3442" s="13"/>
    </row>
    <row r="3443" ht="14.25" customHeight="1">
      <c r="A3443" s="13" t="s">
        <v>36</v>
      </c>
      <c r="B3443" s="13" t="s">
        <v>42</v>
      </c>
      <c r="C3443" s="13">
        <v>872.0</v>
      </c>
      <c r="D3443" s="13" t="s">
        <v>437</v>
      </c>
      <c r="F3443" s="13"/>
      <c r="G3443" s="13" t="s">
        <v>111</v>
      </c>
      <c r="H3443" s="13" t="s">
        <v>75</v>
      </c>
      <c r="I3443" s="13"/>
      <c r="J3443" s="13"/>
      <c r="K3443" s="15">
        <v>1.0</v>
      </c>
      <c r="L3443" s="15">
        <v>1.0</v>
      </c>
      <c r="M3443" s="16"/>
      <c r="N3443" s="16"/>
      <c r="O3443" s="17"/>
      <c r="P3443" s="17"/>
      <c r="Q3443" s="13">
        <f t="shared" si="3678"/>
        <v>0</v>
      </c>
      <c r="R3443" s="13"/>
      <c r="S3443" s="13"/>
      <c r="T3443" s="13">
        <f t="shared" ref="T3443:Y3443" si="3702">IF(ISBLANK(K3443)=TRUE,0,1)</f>
        <v>1</v>
      </c>
      <c r="U3443" s="13">
        <f t="shared" si="3702"/>
        <v>1</v>
      </c>
      <c r="V3443" s="13">
        <f t="shared" si="3702"/>
        <v>0</v>
      </c>
      <c r="W3443" s="13">
        <f t="shared" si="3702"/>
        <v>0</v>
      </c>
      <c r="X3443" s="13">
        <f t="shared" si="3702"/>
        <v>0</v>
      </c>
      <c r="Y3443" s="13">
        <f t="shared" si="3702"/>
        <v>0</v>
      </c>
      <c r="Z3443" s="13">
        <f t="shared" si="3023"/>
        <v>1</v>
      </c>
      <c r="AA3443" s="13"/>
      <c r="AB3443" s="13"/>
      <c r="AC3443" s="13"/>
      <c r="AD3443" s="13"/>
      <c r="AE3443" s="13"/>
      <c r="AF3443" s="13"/>
      <c r="AG3443" s="13"/>
      <c r="AH3443" s="13"/>
      <c r="AI3443" s="13"/>
      <c r="AJ3443" s="13"/>
      <c r="AK3443" s="13"/>
      <c r="AL3443" s="13"/>
      <c r="AM3443" s="13"/>
      <c r="AN3443" s="13"/>
      <c r="AO3443" s="13"/>
      <c r="AP3443" s="13"/>
      <c r="AQ3443" s="13"/>
      <c r="AR3443" s="13"/>
      <c r="AS3443" s="13"/>
    </row>
    <row r="3444" ht="14.25" customHeight="1">
      <c r="A3444" s="13" t="s">
        <v>36</v>
      </c>
      <c r="B3444" s="13" t="s">
        <v>42</v>
      </c>
      <c r="C3444" s="13">
        <v>872.0</v>
      </c>
      <c r="D3444" s="13" t="s">
        <v>440</v>
      </c>
      <c r="F3444" s="13"/>
      <c r="G3444" s="13" t="s">
        <v>111</v>
      </c>
      <c r="H3444" s="13" t="s">
        <v>75</v>
      </c>
      <c r="I3444" s="13"/>
      <c r="J3444" s="13"/>
      <c r="K3444" s="15">
        <v>1.0</v>
      </c>
      <c r="L3444" s="15">
        <v>1.0</v>
      </c>
      <c r="M3444" s="16"/>
      <c r="N3444" s="16"/>
      <c r="O3444" s="17"/>
      <c r="P3444" s="17"/>
      <c r="Q3444" s="13">
        <f t="shared" si="3678"/>
        <v>2</v>
      </c>
      <c r="R3444" s="13"/>
      <c r="S3444" s="13"/>
      <c r="T3444" s="13">
        <f t="shared" ref="T3444:Y3444" si="3703">IF(ISBLANK(K3444)=TRUE,0,1)</f>
        <v>1</v>
      </c>
      <c r="U3444" s="13">
        <f t="shared" si="3703"/>
        <v>1</v>
      </c>
      <c r="V3444" s="13">
        <f t="shared" si="3703"/>
        <v>0</v>
      </c>
      <c r="W3444" s="13">
        <f t="shared" si="3703"/>
        <v>0</v>
      </c>
      <c r="X3444" s="13">
        <f t="shared" si="3703"/>
        <v>0</v>
      </c>
      <c r="Y3444" s="13">
        <f t="shared" si="3703"/>
        <v>0</v>
      </c>
      <c r="Z3444" s="13">
        <f t="shared" si="3023"/>
        <v>1</v>
      </c>
      <c r="AA3444" s="13"/>
      <c r="AB3444" s="13"/>
      <c r="AC3444" s="13"/>
      <c r="AD3444" s="13"/>
      <c r="AE3444" s="13"/>
      <c r="AF3444" s="13"/>
      <c r="AG3444" s="13"/>
      <c r="AH3444" s="13"/>
      <c r="AI3444" s="13"/>
      <c r="AJ3444" s="13"/>
      <c r="AK3444" s="13"/>
      <c r="AL3444" s="13"/>
      <c r="AM3444" s="13"/>
      <c r="AN3444" s="13"/>
      <c r="AO3444" s="13"/>
      <c r="AP3444" s="13"/>
      <c r="AQ3444" s="13"/>
      <c r="AR3444" s="13"/>
      <c r="AS3444" s="13"/>
    </row>
    <row r="3445" ht="14.25" customHeight="1">
      <c r="A3445" s="13" t="s">
        <v>36</v>
      </c>
      <c r="B3445" s="13" t="s">
        <v>42</v>
      </c>
      <c r="C3445" s="13">
        <v>872.0</v>
      </c>
      <c r="D3445" s="13" t="s">
        <v>441</v>
      </c>
      <c r="F3445" s="13"/>
      <c r="G3445" s="13" t="s">
        <v>111</v>
      </c>
      <c r="H3445" s="13" t="s">
        <v>75</v>
      </c>
      <c r="I3445" s="13"/>
      <c r="J3445" s="13"/>
      <c r="K3445" s="15">
        <v>1.0</v>
      </c>
      <c r="L3445" s="15">
        <v>1.0</v>
      </c>
      <c r="M3445" s="16"/>
      <c r="N3445" s="16"/>
      <c r="O3445" s="17"/>
      <c r="P3445" s="17"/>
      <c r="Q3445" s="13">
        <f t="shared" si="3678"/>
        <v>2</v>
      </c>
      <c r="R3445" s="13"/>
      <c r="S3445" s="13"/>
      <c r="T3445" s="13">
        <f t="shared" ref="T3445:Y3445" si="3704">IF(ISBLANK(K3445)=TRUE,0,1)</f>
        <v>1</v>
      </c>
      <c r="U3445" s="13">
        <f t="shared" si="3704"/>
        <v>1</v>
      </c>
      <c r="V3445" s="13">
        <f t="shared" si="3704"/>
        <v>0</v>
      </c>
      <c r="W3445" s="13">
        <f t="shared" si="3704"/>
        <v>0</v>
      </c>
      <c r="X3445" s="13">
        <f t="shared" si="3704"/>
        <v>0</v>
      </c>
      <c r="Y3445" s="13">
        <f t="shared" si="3704"/>
        <v>0</v>
      </c>
      <c r="Z3445" s="13">
        <f t="shared" si="3023"/>
        <v>1</v>
      </c>
      <c r="AA3445" s="13"/>
      <c r="AB3445" s="13"/>
      <c r="AC3445" s="13"/>
      <c r="AD3445" s="13"/>
      <c r="AE3445" s="13"/>
      <c r="AF3445" s="13"/>
      <c r="AG3445" s="13"/>
      <c r="AH3445" s="13"/>
      <c r="AI3445" s="13"/>
      <c r="AJ3445" s="13"/>
      <c r="AK3445" s="13"/>
      <c r="AL3445" s="13"/>
      <c r="AM3445" s="13"/>
      <c r="AN3445" s="13"/>
      <c r="AO3445" s="13"/>
      <c r="AP3445" s="13"/>
      <c r="AQ3445" s="13"/>
      <c r="AR3445" s="13"/>
      <c r="AS3445" s="13"/>
    </row>
    <row r="3446" ht="14.25" customHeight="1">
      <c r="A3446" s="19" t="s">
        <v>29</v>
      </c>
      <c r="B3446" s="19" t="s">
        <v>32</v>
      </c>
      <c r="C3446" s="19" t="s">
        <v>215</v>
      </c>
      <c r="D3446" s="19" t="s">
        <v>174</v>
      </c>
      <c r="F3446" s="19"/>
      <c r="G3446" s="19" t="s">
        <v>111</v>
      </c>
      <c r="H3446" s="19" t="s">
        <v>107</v>
      </c>
      <c r="I3446" s="19"/>
      <c r="J3446" s="32">
        <v>1.0</v>
      </c>
      <c r="K3446" s="23"/>
      <c r="L3446" s="23"/>
      <c r="M3446" s="24">
        <v>0.0</v>
      </c>
      <c r="N3446" s="24">
        <v>0.0</v>
      </c>
      <c r="O3446" s="25"/>
      <c r="P3446" s="25"/>
      <c r="Q3446" s="19"/>
      <c r="R3446" s="19"/>
      <c r="S3446" s="19"/>
      <c r="T3446" s="13">
        <f t="shared" ref="T3446:Y3446" si="3705">IF(ISBLANK(K3446)=TRUE,0,1)</f>
        <v>0</v>
      </c>
      <c r="U3446" s="13">
        <f t="shared" si="3705"/>
        <v>0</v>
      </c>
      <c r="V3446" s="13">
        <f t="shared" si="3705"/>
        <v>1</v>
      </c>
      <c r="W3446" s="13">
        <f t="shared" si="3705"/>
        <v>1</v>
      </c>
      <c r="X3446" s="13">
        <f t="shared" si="3705"/>
        <v>0</v>
      </c>
      <c r="Y3446" s="13">
        <f t="shared" si="3705"/>
        <v>0</v>
      </c>
      <c r="Z3446" s="13">
        <f t="shared" si="3023"/>
        <v>0</v>
      </c>
      <c r="AA3446" s="19"/>
      <c r="AB3446" s="19"/>
      <c r="AC3446" s="13"/>
      <c r="AD3446" s="13"/>
      <c r="AE3446" s="13"/>
      <c r="AF3446" s="13"/>
      <c r="AG3446" s="13"/>
      <c r="AH3446" s="13"/>
      <c r="AI3446" s="13"/>
      <c r="AJ3446" s="13"/>
      <c r="AK3446" s="13"/>
      <c r="AL3446" s="13"/>
      <c r="AM3446" s="13"/>
      <c r="AN3446" s="13"/>
      <c r="AO3446" s="13"/>
      <c r="AP3446" s="13"/>
      <c r="AQ3446" s="13"/>
      <c r="AR3446" s="13"/>
      <c r="AS3446" s="13"/>
    </row>
    <row r="3447" ht="14.25" customHeight="1">
      <c r="A3447" s="13" t="s">
        <v>29</v>
      </c>
      <c r="B3447" s="13" t="s">
        <v>32</v>
      </c>
      <c r="C3447" s="13" t="s">
        <v>215</v>
      </c>
      <c r="D3447" s="13" t="s">
        <v>175</v>
      </c>
      <c r="F3447" s="13"/>
      <c r="G3447" s="13" t="s">
        <v>111</v>
      </c>
      <c r="H3447" s="13" t="s">
        <v>75</v>
      </c>
      <c r="I3447" s="13"/>
      <c r="J3447" s="13"/>
      <c r="K3447" s="15"/>
      <c r="L3447" s="15"/>
      <c r="M3447" s="16">
        <v>0.0</v>
      </c>
      <c r="N3447" s="16">
        <v>0.0</v>
      </c>
      <c r="O3447" s="17"/>
      <c r="P3447" s="17"/>
      <c r="Q3447" s="13"/>
      <c r="R3447" s="13"/>
      <c r="S3447" s="13"/>
      <c r="T3447" s="13">
        <f t="shared" ref="T3447:Y3447" si="3706">IF(ISBLANK(K3447)=TRUE,0,1)</f>
        <v>0</v>
      </c>
      <c r="U3447" s="13">
        <f t="shared" si="3706"/>
        <v>0</v>
      </c>
      <c r="V3447" s="13">
        <f t="shared" si="3706"/>
        <v>1</v>
      </c>
      <c r="W3447" s="13">
        <f t="shared" si="3706"/>
        <v>1</v>
      </c>
      <c r="X3447" s="13">
        <f t="shared" si="3706"/>
        <v>0</v>
      </c>
      <c r="Y3447" s="13">
        <f t="shared" si="3706"/>
        <v>0</v>
      </c>
      <c r="Z3447" s="13">
        <f t="shared" si="3023"/>
        <v>0</v>
      </c>
      <c r="AA3447" s="13"/>
      <c r="AB3447" s="13"/>
      <c r="AC3447" s="13"/>
      <c r="AD3447" s="13"/>
      <c r="AE3447" s="13"/>
      <c r="AF3447" s="13"/>
      <c r="AG3447" s="13"/>
      <c r="AH3447" s="13"/>
      <c r="AI3447" s="13"/>
      <c r="AJ3447" s="13"/>
      <c r="AK3447" s="13"/>
      <c r="AL3447" s="13"/>
      <c r="AM3447" s="13"/>
      <c r="AN3447" s="13"/>
      <c r="AO3447" s="13"/>
      <c r="AP3447" s="13"/>
      <c r="AQ3447" s="13"/>
      <c r="AR3447" s="13"/>
      <c r="AS3447" s="13"/>
    </row>
    <row r="3448" ht="14.25" customHeight="1">
      <c r="A3448" s="13" t="s">
        <v>29</v>
      </c>
      <c r="B3448" s="13" t="s">
        <v>32</v>
      </c>
      <c r="C3448" s="13" t="s">
        <v>215</v>
      </c>
      <c r="D3448" s="13" t="s">
        <v>176</v>
      </c>
      <c r="F3448" s="13"/>
      <c r="G3448" s="13" t="s">
        <v>111</v>
      </c>
      <c r="H3448" s="13" t="s">
        <v>75</v>
      </c>
      <c r="I3448" s="13"/>
      <c r="J3448" s="13"/>
      <c r="K3448" s="15"/>
      <c r="L3448" s="15"/>
      <c r="M3448" s="16">
        <v>0.0</v>
      </c>
      <c r="N3448" s="16">
        <v>0.0</v>
      </c>
      <c r="O3448" s="17"/>
      <c r="P3448" s="17"/>
      <c r="Q3448" s="13"/>
      <c r="R3448" s="13"/>
      <c r="S3448" s="13"/>
      <c r="T3448" s="13">
        <f t="shared" ref="T3448:Y3448" si="3707">IF(ISBLANK(K3448)=TRUE,0,1)</f>
        <v>0</v>
      </c>
      <c r="U3448" s="13">
        <f t="shared" si="3707"/>
        <v>0</v>
      </c>
      <c r="V3448" s="13">
        <f t="shared" si="3707"/>
        <v>1</v>
      </c>
      <c r="W3448" s="13">
        <f t="shared" si="3707"/>
        <v>1</v>
      </c>
      <c r="X3448" s="13">
        <f t="shared" si="3707"/>
        <v>0</v>
      </c>
      <c r="Y3448" s="13">
        <f t="shared" si="3707"/>
        <v>0</v>
      </c>
      <c r="Z3448" s="13">
        <f t="shared" si="3023"/>
        <v>0</v>
      </c>
      <c r="AA3448" s="13"/>
      <c r="AB3448" s="13"/>
      <c r="AC3448" s="13"/>
      <c r="AD3448" s="13"/>
      <c r="AE3448" s="13"/>
      <c r="AF3448" s="13"/>
      <c r="AG3448" s="13"/>
      <c r="AH3448" s="13"/>
      <c r="AI3448" s="13"/>
      <c r="AJ3448" s="13"/>
      <c r="AK3448" s="13"/>
      <c r="AL3448" s="13"/>
      <c r="AM3448" s="13"/>
      <c r="AN3448" s="13"/>
      <c r="AO3448" s="13"/>
      <c r="AP3448" s="13"/>
      <c r="AQ3448" s="13"/>
      <c r="AR3448" s="13"/>
      <c r="AS3448" s="13"/>
    </row>
    <row r="3449" ht="14.25" customHeight="1">
      <c r="A3449" s="13" t="s">
        <v>36</v>
      </c>
      <c r="B3449" s="13" t="s">
        <v>41</v>
      </c>
      <c r="C3449" s="13" t="s">
        <v>1967</v>
      </c>
      <c r="D3449" s="13" t="s">
        <v>169</v>
      </c>
      <c r="F3449" s="13"/>
      <c r="G3449" s="13" t="s">
        <v>74</v>
      </c>
      <c r="H3449" s="13" t="s">
        <v>75</v>
      </c>
      <c r="I3449" s="13"/>
      <c r="J3449" s="13"/>
      <c r="K3449" s="15">
        <v>0.0</v>
      </c>
      <c r="L3449" s="15">
        <v>0.0</v>
      </c>
      <c r="M3449" s="16"/>
      <c r="N3449" s="16"/>
      <c r="O3449" s="17"/>
      <c r="P3449" s="17"/>
      <c r="Q3449" s="13">
        <f t="shared" ref="Q3449:Q3451" si="3709">K3448+L3448+M3448+N3448+O3448+P3448/6</f>
        <v>0</v>
      </c>
      <c r="R3449" s="13"/>
      <c r="S3449" s="13"/>
      <c r="T3449" s="13">
        <f t="shared" ref="T3449:Y3449" si="3708">IF(ISBLANK(K3449)=TRUE,0,1)</f>
        <v>1</v>
      </c>
      <c r="U3449" s="13">
        <f t="shared" si="3708"/>
        <v>1</v>
      </c>
      <c r="V3449" s="13">
        <f t="shared" si="3708"/>
        <v>0</v>
      </c>
      <c r="W3449" s="13">
        <f t="shared" si="3708"/>
        <v>0</v>
      </c>
      <c r="X3449" s="13">
        <f t="shared" si="3708"/>
        <v>0</v>
      </c>
      <c r="Y3449" s="13">
        <f t="shared" si="3708"/>
        <v>0</v>
      </c>
      <c r="Z3449" s="13">
        <f t="shared" si="3023"/>
        <v>0</v>
      </c>
      <c r="AA3449" s="13"/>
      <c r="AB3449" s="13"/>
      <c r="AC3449" s="13"/>
      <c r="AD3449" s="13"/>
      <c r="AE3449" s="13"/>
      <c r="AF3449" s="13"/>
      <c r="AG3449" s="13"/>
      <c r="AH3449" s="13"/>
      <c r="AI3449" s="13"/>
      <c r="AJ3449" s="13"/>
      <c r="AK3449" s="13"/>
      <c r="AL3449" s="13"/>
      <c r="AM3449" s="13"/>
      <c r="AN3449" s="13"/>
      <c r="AO3449" s="13"/>
      <c r="AP3449" s="13"/>
      <c r="AQ3449" s="13"/>
      <c r="AR3449" s="13"/>
      <c r="AS3449" s="13"/>
    </row>
    <row r="3450" ht="14.25" customHeight="1">
      <c r="A3450" s="13" t="s">
        <v>36</v>
      </c>
      <c r="B3450" s="13" t="s">
        <v>41</v>
      </c>
      <c r="C3450" s="13" t="s">
        <v>1967</v>
      </c>
      <c r="D3450" s="13" t="s">
        <v>170</v>
      </c>
      <c r="F3450" s="13"/>
      <c r="G3450" s="13" t="s">
        <v>74</v>
      </c>
      <c r="H3450" s="13" t="s">
        <v>75</v>
      </c>
      <c r="I3450" s="13"/>
      <c r="J3450" s="13"/>
      <c r="K3450" s="15">
        <v>0.0</v>
      </c>
      <c r="L3450" s="15">
        <v>0.0</v>
      </c>
      <c r="M3450" s="16"/>
      <c r="N3450" s="16"/>
      <c r="O3450" s="17"/>
      <c r="P3450" s="17"/>
      <c r="Q3450" s="13">
        <f t="shared" si="3709"/>
        <v>0</v>
      </c>
      <c r="R3450" s="13"/>
      <c r="S3450" s="13"/>
      <c r="T3450" s="13">
        <f t="shared" ref="T3450:Y3450" si="3710">IF(ISBLANK(K3450)=TRUE,0,1)</f>
        <v>1</v>
      </c>
      <c r="U3450" s="13">
        <f t="shared" si="3710"/>
        <v>1</v>
      </c>
      <c r="V3450" s="13">
        <f t="shared" si="3710"/>
        <v>0</v>
      </c>
      <c r="W3450" s="13">
        <f t="shared" si="3710"/>
        <v>0</v>
      </c>
      <c r="X3450" s="13">
        <f t="shared" si="3710"/>
        <v>0</v>
      </c>
      <c r="Y3450" s="13">
        <f t="shared" si="3710"/>
        <v>0</v>
      </c>
      <c r="Z3450" s="13">
        <f t="shared" si="3023"/>
        <v>0</v>
      </c>
      <c r="AA3450" s="13"/>
      <c r="AB3450" s="13"/>
      <c r="AC3450" s="13"/>
      <c r="AD3450" s="13"/>
      <c r="AE3450" s="13"/>
      <c r="AF3450" s="13"/>
      <c r="AG3450" s="13"/>
      <c r="AH3450" s="13"/>
      <c r="AI3450" s="13"/>
      <c r="AJ3450" s="13"/>
      <c r="AK3450" s="13"/>
      <c r="AL3450" s="13"/>
      <c r="AM3450" s="13"/>
      <c r="AN3450" s="13"/>
      <c r="AO3450" s="13"/>
      <c r="AP3450" s="13"/>
      <c r="AQ3450" s="13"/>
      <c r="AR3450" s="13"/>
      <c r="AS3450" s="13"/>
    </row>
    <row r="3451" ht="14.25" customHeight="1">
      <c r="A3451" s="13" t="s">
        <v>36</v>
      </c>
      <c r="B3451" s="13" t="s">
        <v>41</v>
      </c>
      <c r="C3451" s="13" t="s">
        <v>1967</v>
      </c>
      <c r="D3451" s="13" t="s">
        <v>171</v>
      </c>
      <c r="F3451" s="13"/>
      <c r="G3451" s="13" t="s">
        <v>74</v>
      </c>
      <c r="H3451" s="13" t="s">
        <v>75</v>
      </c>
      <c r="I3451" s="13"/>
      <c r="J3451" s="13"/>
      <c r="K3451" s="15">
        <v>0.0</v>
      </c>
      <c r="L3451" s="15">
        <v>0.0</v>
      </c>
      <c r="M3451" s="16"/>
      <c r="N3451" s="16"/>
      <c r="O3451" s="17"/>
      <c r="P3451" s="17"/>
      <c r="Q3451" s="13">
        <f t="shared" si="3709"/>
        <v>0</v>
      </c>
      <c r="R3451" s="13"/>
      <c r="S3451" s="13"/>
      <c r="T3451" s="13">
        <f t="shared" ref="T3451:Y3451" si="3711">IF(ISBLANK(K3451)=TRUE,0,1)</f>
        <v>1</v>
      </c>
      <c r="U3451" s="13">
        <f t="shared" si="3711"/>
        <v>1</v>
      </c>
      <c r="V3451" s="13">
        <f t="shared" si="3711"/>
        <v>0</v>
      </c>
      <c r="W3451" s="13">
        <f t="shared" si="3711"/>
        <v>0</v>
      </c>
      <c r="X3451" s="13">
        <f t="shared" si="3711"/>
        <v>0</v>
      </c>
      <c r="Y3451" s="13">
        <f t="shared" si="3711"/>
        <v>0</v>
      </c>
      <c r="Z3451" s="13">
        <f t="shared" si="3023"/>
        <v>0</v>
      </c>
      <c r="AA3451" s="13"/>
      <c r="AB3451" s="13"/>
      <c r="AC3451" s="13"/>
      <c r="AD3451" s="13"/>
      <c r="AE3451" s="13"/>
      <c r="AF3451" s="13"/>
      <c r="AG3451" s="13"/>
      <c r="AH3451" s="13"/>
      <c r="AI3451" s="13"/>
      <c r="AJ3451" s="13"/>
      <c r="AK3451" s="13"/>
      <c r="AL3451" s="13"/>
      <c r="AM3451" s="13"/>
      <c r="AN3451" s="13"/>
      <c r="AO3451" s="13"/>
      <c r="AP3451" s="13"/>
      <c r="AQ3451" s="13"/>
      <c r="AR3451" s="13"/>
      <c r="AS3451" s="13"/>
    </row>
    <row r="3452" ht="14.25" customHeight="1">
      <c r="A3452" s="13" t="s">
        <v>29</v>
      </c>
      <c r="B3452" s="13" t="s">
        <v>32</v>
      </c>
      <c r="C3452" s="13" t="s">
        <v>215</v>
      </c>
      <c r="D3452" s="13" t="s">
        <v>177</v>
      </c>
      <c r="F3452" s="13"/>
      <c r="G3452" s="13" t="s">
        <v>111</v>
      </c>
      <c r="H3452" s="13" t="s">
        <v>75</v>
      </c>
      <c r="I3452" s="13"/>
      <c r="J3452" s="13"/>
      <c r="K3452" s="15"/>
      <c r="L3452" s="15"/>
      <c r="M3452" s="16">
        <v>0.0</v>
      </c>
      <c r="N3452" s="16">
        <v>0.0</v>
      </c>
      <c r="O3452" s="17"/>
      <c r="P3452" s="17"/>
      <c r="Q3452" s="13"/>
      <c r="R3452" s="13"/>
      <c r="S3452" s="13"/>
      <c r="T3452" s="13">
        <f t="shared" ref="T3452:Y3452" si="3712">IF(ISBLANK(K3452)=TRUE,0,1)</f>
        <v>0</v>
      </c>
      <c r="U3452" s="13">
        <f t="shared" si="3712"/>
        <v>0</v>
      </c>
      <c r="V3452" s="13">
        <f t="shared" si="3712"/>
        <v>1</v>
      </c>
      <c r="W3452" s="13">
        <f t="shared" si="3712"/>
        <v>1</v>
      </c>
      <c r="X3452" s="13">
        <f t="shared" si="3712"/>
        <v>0</v>
      </c>
      <c r="Y3452" s="13">
        <f t="shared" si="3712"/>
        <v>0</v>
      </c>
      <c r="Z3452" s="13">
        <f t="shared" si="3023"/>
        <v>0</v>
      </c>
      <c r="AA3452" s="13"/>
      <c r="AB3452" s="13"/>
      <c r="AC3452" s="13"/>
      <c r="AD3452" s="13"/>
      <c r="AE3452" s="13"/>
      <c r="AF3452" s="13"/>
      <c r="AG3452" s="13"/>
      <c r="AH3452" s="13"/>
      <c r="AI3452" s="13"/>
      <c r="AJ3452" s="13"/>
      <c r="AK3452" s="13"/>
      <c r="AL3452" s="13"/>
      <c r="AM3452" s="13"/>
      <c r="AN3452" s="13"/>
      <c r="AO3452" s="13"/>
      <c r="AP3452" s="13"/>
      <c r="AQ3452" s="13"/>
      <c r="AR3452" s="13"/>
      <c r="AS3452" s="13"/>
    </row>
    <row r="3453" ht="14.25" customHeight="1">
      <c r="A3453" s="13" t="s">
        <v>29</v>
      </c>
      <c r="B3453" s="13" t="s">
        <v>32</v>
      </c>
      <c r="C3453" s="13" t="s">
        <v>215</v>
      </c>
      <c r="D3453" s="13" t="s">
        <v>178</v>
      </c>
      <c r="F3453" s="13"/>
      <c r="G3453" s="13" t="s">
        <v>111</v>
      </c>
      <c r="H3453" s="13" t="s">
        <v>75</v>
      </c>
      <c r="I3453" s="13"/>
      <c r="J3453" s="13"/>
      <c r="K3453" s="15"/>
      <c r="L3453" s="15"/>
      <c r="M3453" s="16">
        <v>0.0</v>
      </c>
      <c r="N3453" s="16">
        <v>0.0</v>
      </c>
      <c r="O3453" s="17"/>
      <c r="P3453" s="17"/>
      <c r="Q3453" s="13"/>
      <c r="R3453" s="13"/>
      <c r="S3453" s="13"/>
      <c r="T3453" s="13">
        <f t="shared" ref="T3453:Y3453" si="3713">IF(ISBLANK(K3453)=TRUE,0,1)</f>
        <v>0</v>
      </c>
      <c r="U3453" s="13">
        <f t="shared" si="3713"/>
        <v>0</v>
      </c>
      <c r="V3453" s="13">
        <f t="shared" si="3713"/>
        <v>1</v>
      </c>
      <c r="W3453" s="13">
        <f t="shared" si="3713"/>
        <v>1</v>
      </c>
      <c r="X3453" s="13">
        <f t="shared" si="3713"/>
        <v>0</v>
      </c>
      <c r="Y3453" s="13">
        <f t="shared" si="3713"/>
        <v>0</v>
      </c>
      <c r="Z3453" s="13">
        <f t="shared" si="3023"/>
        <v>0</v>
      </c>
      <c r="AA3453" s="13"/>
      <c r="AB3453" s="13"/>
      <c r="AC3453" s="13"/>
      <c r="AD3453" s="13"/>
      <c r="AE3453" s="13"/>
      <c r="AF3453" s="13"/>
      <c r="AG3453" s="13"/>
      <c r="AH3453" s="13"/>
      <c r="AI3453" s="13"/>
      <c r="AJ3453" s="13"/>
      <c r="AK3453" s="13"/>
      <c r="AL3453" s="13"/>
      <c r="AM3453" s="13"/>
      <c r="AN3453" s="13"/>
      <c r="AO3453" s="13"/>
      <c r="AP3453" s="13"/>
      <c r="AQ3453" s="13"/>
      <c r="AR3453" s="13"/>
      <c r="AS3453" s="13"/>
    </row>
    <row r="3454" ht="14.25" customHeight="1">
      <c r="A3454" s="13" t="s">
        <v>36</v>
      </c>
      <c r="B3454" s="13" t="s">
        <v>42</v>
      </c>
      <c r="C3454" s="13">
        <v>872.0</v>
      </c>
      <c r="D3454" s="13" t="s">
        <v>551</v>
      </c>
      <c r="F3454" s="13"/>
      <c r="G3454" s="13" t="s">
        <v>111</v>
      </c>
      <c r="H3454" s="13" t="s">
        <v>75</v>
      </c>
      <c r="I3454" s="13"/>
      <c r="J3454" s="13"/>
      <c r="K3454" s="15">
        <v>1.0</v>
      </c>
      <c r="L3454" s="15">
        <v>1.0</v>
      </c>
      <c r="M3454" s="16"/>
      <c r="N3454" s="16"/>
      <c r="O3454" s="17"/>
      <c r="P3454" s="17"/>
      <c r="Q3454" s="13">
        <f t="shared" ref="Q3454:Q3460" si="3715">K3453+L3453+M3453+N3453+O3453+P3453/6</f>
        <v>0</v>
      </c>
      <c r="R3454" s="13"/>
      <c r="S3454" s="13"/>
      <c r="T3454" s="13">
        <f t="shared" ref="T3454:Y3454" si="3714">IF(ISBLANK(K3454)=TRUE,0,1)</f>
        <v>1</v>
      </c>
      <c r="U3454" s="13">
        <f t="shared" si="3714"/>
        <v>1</v>
      </c>
      <c r="V3454" s="13">
        <f t="shared" si="3714"/>
        <v>0</v>
      </c>
      <c r="W3454" s="13">
        <f t="shared" si="3714"/>
        <v>0</v>
      </c>
      <c r="X3454" s="13">
        <f t="shared" si="3714"/>
        <v>0</v>
      </c>
      <c r="Y3454" s="13">
        <f t="shared" si="3714"/>
        <v>0</v>
      </c>
      <c r="Z3454" s="13">
        <f t="shared" si="3023"/>
        <v>1</v>
      </c>
      <c r="AA3454" s="13"/>
      <c r="AB3454" s="13"/>
      <c r="AC3454" s="13"/>
      <c r="AD3454" s="13"/>
      <c r="AE3454" s="13"/>
      <c r="AF3454" s="13"/>
      <c r="AG3454" s="13"/>
      <c r="AH3454" s="13"/>
      <c r="AI3454" s="13"/>
      <c r="AJ3454" s="13"/>
      <c r="AK3454" s="13"/>
      <c r="AL3454" s="13"/>
      <c r="AM3454" s="13"/>
      <c r="AN3454" s="13"/>
      <c r="AO3454" s="13"/>
      <c r="AP3454" s="13"/>
      <c r="AQ3454" s="13"/>
      <c r="AR3454" s="13"/>
      <c r="AS3454" s="13"/>
    </row>
    <row r="3455" ht="14.25" customHeight="1">
      <c r="A3455" s="13" t="s">
        <v>36</v>
      </c>
      <c r="B3455" s="13" t="s">
        <v>42</v>
      </c>
      <c r="C3455" s="13">
        <v>872.0</v>
      </c>
      <c r="D3455" s="13" t="s">
        <v>553</v>
      </c>
      <c r="F3455" s="13"/>
      <c r="G3455" s="13" t="s">
        <v>111</v>
      </c>
      <c r="H3455" s="13" t="s">
        <v>75</v>
      </c>
      <c r="I3455" s="13"/>
      <c r="J3455" s="13"/>
      <c r="K3455" s="15">
        <v>1.0</v>
      </c>
      <c r="L3455" s="15">
        <v>1.0</v>
      </c>
      <c r="M3455" s="16"/>
      <c r="N3455" s="16"/>
      <c r="O3455" s="17"/>
      <c r="P3455" s="17"/>
      <c r="Q3455" s="13">
        <f t="shared" si="3715"/>
        <v>2</v>
      </c>
      <c r="R3455" s="13"/>
      <c r="S3455" s="13"/>
      <c r="T3455" s="13">
        <f t="shared" ref="T3455:Y3455" si="3716">IF(ISBLANK(K3455)=TRUE,0,1)</f>
        <v>1</v>
      </c>
      <c r="U3455" s="13">
        <f t="shared" si="3716"/>
        <v>1</v>
      </c>
      <c r="V3455" s="13">
        <f t="shared" si="3716"/>
        <v>0</v>
      </c>
      <c r="W3455" s="13">
        <f t="shared" si="3716"/>
        <v>0</v>
      </c>
      <c r="X3455" s="13">
        <f t="shared" si="3716"/>
        <v>0</v>
      </c>
      <c r="Y3455" s="13">
        <f t="shared" si="3716"/>
        <v>0</v>
      </c>
      <c r="Z3455" s="13">
        <f t="shared" si="3023"/>
        <v>1</v>
      </c>
      <c r="AA3455" s="13"/>
      <c r="AB3455" s="13"/>
      <c r="AC3455" s="13"/>
      <c r="AD3455" s="13"/>
      <c r="AE3455" s="13"/>
      <c r="AF3455" s="13"/>
      <c r="AG3455" s="13"/>
      <c r="AH3455" s="13"/>
      <c r="AI3455" s="13"/>
      <c r="AJ3455" s="13"/>
      <c r="AK3455" s="13"/>
      <c r="AL3455" s="13"/>
      <c r="AM3455" s="13"/>
      <c r="AN3455" s="13"/>
      <c r="AO3455" s="13"/>
      <c r="AP3455" s="13"/>
      <c r="AQ3455" s="13"/>
      <c r="AR3455" s="13"/>
      <c r="AS3455" s="13"/>
    </row>
    <row r="3456" ht="14.25" customHeight="1">
      <c r="A3456" s="13" t="s">
        <v>36</v>
      </c>
      <c r="B3456" s="13" t="s">
        <v>42</v>
      </c>
      <c r="C3456" s="13">
        <v>872.0</v>
      </c>
      <c r="D3456" s="13" t="s">
        <v>554</v>
      </c>
      <c r="F3456" s="13"/>
      <c r="G3456" s="13" t="s">
        <v>111</v>
      </c>
      <c r="H3456" s="13" t="s">
        <v>75</v>
      </c>
      <c r="I3456" s="13"/>
      <c r="J3456" s="13"/>
      <c r="K3456" s="15">
        <v>1.0</v>
      </c>
      <c r="L3456" s="15">
        <v>1.0</v>
      </c>
      <c r="M3456" s="16"/>
      <c r="N3456" s="16"/>
      <c r="O3456" s="17"/>
      <c r="P3456" s="17"/>
      <c r="Q3456" s="13">
        <f t="shared" si="3715"/>
        <v>2</v>
      </c>
      <c r="R3456" s="13"/>
      <c r="S3456" s="13"/>
      <c r="T3456" s="13">
        <f t="shared" ref="T3456:Y3456" si="3717">IF(ISBLANK(K3456)=TRUE,0,1)</f>
        <v>1</v>
      </c>
      <c r="U3456" s="13">
        <f t="shared" si="3717"/>
        <v>1</v>
      </c>
      <c r="V3456" s="13">
        <f t="shared" si="3717"/>
        <v>0</v>
      </c>
      <c r="W3456" s="13">
        <f t="shared" si="3717"/>
        <v>0</v>
      </c>
      <c r="X3456" s="13">
        <f t="shared" si="3717"/>
        <v>0</v>
      </c>
      <c r="Y3456" s="13">
        <f t="shared" si="3717"/>
        <v>0</v>
      </c>
      <c r="Z3456" s="13">
        <f t="shared" si="3023"/>
        <v>1</v>
      </c>
      <c r="AA3456" s="13"/>
      <c r="AB3456" s="13"/>
      <c r="AC3456" s="13"/>
      <c r="AD3456" s="13"/>
      <c r="AE3456" s="13"/>
      <c r="AF3456" s="13"/>
      <c r="AG3456" s="13"/>
      <c r="AH3456" s="13"/>
      <c r="AI3456" s="13"/>
      <c r="AJ3456" s="13"/>
      <c r="AK3456" s="13"/>
      <c r="AL3456" s="13"/>
      <c r="AM3456" s="13"/>
      <c r="AN3456" s="13"/>
      <c r="AO3456" s="13"/>
      <c r="AP3456" s="13"/>
      <c r="AQ3456" s="13"/>
      <c r="AR3456" s="13"/>
      <c r="AS3456" s="13"/>
    </row>
    <row r="3457" ht="14.25" customHeight="1">
      <c r="A3457" s="13" t="s">
        <v>36</v>
      </c>
      <c r="B3457" s="13" t="s">
        <v>41</v>
      </c>
      <c r="C3457" s="13" t="s">
        <v>1967</v>
      </c>
      <c r="D3457" s="13" t="s">
        <v>172</v>
      </c>
      <c r="F3457" s="13"/>
      <c r="G3457" s="13" t="s">
        <v>74</v>
      </c>
      <c r="H3457" s="13" t="s">
        <v>75</v>
      </c>
      <c r="I3457" s="13"/>
      <c r="J3457" s="13"/>
      <c r="K3457" s="15">
        <v>0.0</v>
      </c>
      <c r="L3457" s="15">
        <v>0.0</v>
      </c>
      <c r="M3457" s="16"/>
      <c r="N3457" s="16"/>
      <c r="O3457" s="17"/>
      <c r="P3457" s="17"/>
      <c r="Q3457" s="13">
        <f t="shared" si="3715"/>
        <v>2</v>
      </c>
      <c r="R3457" s="13"/>
      <c r="S3457" s="13"/>
      <c r="T3457" s="13">
        <f t="shared" ref="T3457:Y3457" si="3718">IF(ISBLANK(K3457)=TRUE,0,1)</f>
        <v>1</v>
      </c>
      <c r="U3457" s="13">
        <f t="shared" si="3718"/>
        <v>1</v>
      </c>
      <c r="V3457" s="13">
        <f t="shared" si="3718"/>
        <v>0</v>
      </c>
      <c r="W3457" s="13">
        <f t="shared" si="3718"/>
        <v>0</v>
      </c>
      <c r="X3457" s="13">
        <f t="shared" si="3718"/>
        <v>0</v>
      </c>
      <c r="Y3457" s="13">
        <f t="shared" si="3718"/>
        <v>0</v>
      </c>
      <c r="Z3457" s="13">
        <f t="shared" si="3023"/>
        <v>0</v>
      </c>
      <c r="AA3457" s="13"/>
      <c r="AB3457" s="13"/>
      <c r="AC3457" s="13"/>
      <c r="AD3457" s="13"/>
      <c r="AE3457" s="13"/>
      <c r="AF3457" s="13"/>
      <c r="AG3457" s="13"/>
      <c r="AH3457" s="13"/>
      <c r="AI3457" s="13"/>
      <c r="AJ3457" s="13"/>
      <c r="AK3457" s="13"/>
      <c r="AL3457" s="13"/>
      <c r="AM3457" s="13"/>
      <c r="AN3457" s="13"/>
      <c r="AO3457" s="13"/>
      <c r="AP3457" s="13"/>
      <c r="AQ3457" s="13"/>
      <c r="AR3457" s="13"/>
      <c r="AS3457" s="13"/>
    </row>
    <row r="3458" ht="14.25" customHeight="1">
      <c r="A3458" s="13" t="s">
        <v>36</v>
      </c>
      <c r="B3458" s="13" t="s">
        <v>41</v>
      </c>
      <c r="C3458" s="13" t="s">
        <v>1967</v>
      </c>
      <c r="D3458" s="13" t="s">
        <v>556</v>
      </c>
      <c r="F3458" s="13"/>
      <c r="G3458" s="13" t="s">
        <v>74</v>
      </c>
      <c r="H3458" s="13" t="s">
        <v>75</v>
      </c>
      <c r="I3458" s="13"/>
      <c r="J3458" s="13"/>
      <c r="K3458" s="15">
        <v>0.0</v>
      </c>
      <c r="L3458" s="15">
        <v>0.0</v>
      </c>
      <c r="M3458" s="16"/>
      <c r="N3458" s="16"/>
      <c r="O3458" s="17"/>
      <c r="P3458" s="17"/>
      <c r="Q3458" s="13">
        <f t="shared" si="3715"/>
        <v>0</v>
      </c>
      <c r="R3458" s="13"/>
      <c r="S3458" s="13"/>
      <c r="T3458" s="13">
        <f t="shared" ref="T3458:Y3458" si="3719">IF(ISBLANK(K3458)=TRUE,0,1)</f>
        <v>1</v>
      </c>
      <c r="U3458" s="13">
        <f t="shared" si="3719"/>
        <v>1</v>
      </c>
      <c r="V3458" s="13">
        <f t="shared" si="3719"/>
        <v>0</v>
      </c>
      <c r="W3458" s="13">
        <f t="shared" si="3719"/>
        <v>0</v>
      </c>
      <c r="X3458" s="13">
        <f t="shared" si="3719"/>
        <v>0</v>
      </c>
      <c r="Y3458" s="13">
        <f t="shared" si="3719"/>
        <v>0</v>
      </c>
      <c r="Z3458" s="13">
        <f t="shared" si="3023"/>
        <v>0</v>
      </c>
      <c r="AA3458" s="13"/>
      <c r="AB3458" s="13"/>
      <c r="AC3458" s="13"/>
      <c r="AD3458" s="13"/>
      <c r="AE3458" s="13"/>
      <c r="AF3458" s="13"/>
      <c r="AG3458" s="13"/>
      <c r="AH3458" s="13"/>
      <c r="AI3458" s="13"/>
      <c r="AJ3458" s="13"/>
      <c r="AK3458" s="13"/>
      <c r="AL3458" s="13"/>
      <c r="AM3458" s="13"/>
      <c r="AN3458" s="13"/>
      <c r="AO3458" s="13"/>
      <c r="AP3458" s="13"/>
      <c r="AQ3458" s="13"/>
      <c r="AR3458" s="13"/>
      <c r="AS3458" s="13"/>
    </row>
    <row r="3459" ht="14.25" customHeight="1">
      <c r="A3459" s="13" t="s">
        <v>36</v>
      </c>
      <c r="B3459" s="13" t="s">
        <v>42</v>
      </c>
      <c r="C3459" s="13">
        <v>872.0</v>
      </c>
      <c r="D3459" s="13" t="s">
        <v>555</v>
      </c>
      <c r="F3459" s="13"/>
      <c r="G3459" s="13" t="s">
        <v>111</v>
      </c>
      <c r="H3459" s="13" t="s">
        <v>75</v>
      </c>
      <c r="I3459" s="13"/>
      <c r="J3459" s="13"/>
      <c r="K3459" s="15">
        <v>1.0</v>
      </c>
      <c r="L3459" s="15">
        <v>1.0</v>
      </c>
      <c r="M3459" s="16"/>
      <c r="N3459" s="16"/>
      <c r="O3459" s="17"/>
      <c r="P3459" s="17"/>
      <c r="Q3459" s="13">
        <f t="shared" si="3715"/>
        <v>0</v>
      </c>
      <c r="R3459" s="13"/>
      <c r="S3459" s="13"/>
      <c r="T3459" s="13">
        <f t="shared" ref="T3459:Y3459" si="3720">IF(ISBLANK(K3459)=TRUE,0,1)</f>
        <v>1</v>
      </c>
      <c r="U3459" s="13">
        <f t="shared" si="3720"/>
        <v>1</v>
      </c>
      <c r="V3459" s="13">
        <f t="shared" si="3720"/>
        <v>0</v>
      </c>
      <c r="W3459" s="13">
        <f t="shared" si="3720"/>
        <v>0</v>
      </c>
      <c r="X3459" s="13">
        <f t="shared" si="3720"/>
        <v>0</v>
      </c>
      <c r="Y3459" s="13">
        <f t="shared" si="3720"/>
        <v>0</v>
      </c>
      <c r="Z3459" s="13">
        <f t="shared" si="3023"/>
        <v>1</v>
      </c>
      <c r="AA3459" s="13"/>
      <c r="AB3459" s="13"/>
      <c r="AC3459" s="13"/>
      <c r="AD3459" s="13"/>
      <c r="AE3459" s="13"/>
      <c r="AF3459" s="13"/>
      <c r="AG3459" s="13"/>
      <c r="AH3459" s="13"/>
      <c r="AI3459" s="13"/>
      <c r="AJ3459" s="13"/>
      <c r="AK3459" s="13"/>
      <c r="AL3459" s="13"/>
      <c r="AM3459" s="13"/>
      <c r="AN3459" s="13"/>
      <c r="AO3459" s="13"/>
      <c r="AP3459" s="13"/>
      <c r="AQ3459" s="13"/>
      <c r="AR3459" s="13"/>
      <c r="AS3459" s="13"/>
    </row>
    <row r="3460" ht="14.25" customHeight="1">
      <c r="A3460" s="13" t="s">
        <v>36</v>
      </c>
      <c r="B3460" s="13" t="s">
        <v>42</v>
      </c>
      <c r="C3460" s="13">
        <v>872.0</v>
      </c>
      <c r="D3460" s="13" t="s">
        <v>168</v>
      </c>
      <c r="F3460" s="13"/>
      <c r="G3460" s="13" t="s">
        <v>111</v>
      </c>
      <c r="H3460" s="13" t="s">
        <v>75</v>
      </c>
      <c r="I3460" s="13"/>
      <c r="J3460" s="13"/>
      <c r="K3460" s="15">
        <v>1.0</v>
      </c>
      <c r="L3460" s="15">
        <v>1.0</v>
      </c>
      <c r="M3460" s="16"/>
      <c r="N3460" s="16"/>
      <c r="O3460" s="17"/>
      <c r="P3460" s="17"/>
      <c r="Q3460" s="13">
        <f t="shared" si="3715"/>
        <v>2</v>
      </c>
      <c r="R3460" s="13"/>
      <c r="S3460" s="13"/>
      <c r="T3460" s="13">
        <f t="shared" ref="T3460:Y3460" si="3721">IF(ISBLANK(K3460)=TRUE,0,1)</f>
        <v>1</v>
      </c>
      <c r="U3460" s="13">
        <f t="shared" si="3721"/>
        <v>1</v>
      </c>
      <c r="V3460" s="13">
        <f t="shared" si="3721"/>
        <v>0</v>
      </c>
      <c r="W3460" s="13">
        <f t="shared" si="3721"/>
        <v>0</v>
      </c>
      <c r="X3460" s="13">
        <f t="shared" si="3721"/>
        <v>0</v>
      </c>
      <c r="Y3460" s="13">
        <f t="shared" si="3721"/>
        <v>0</v>
      </c>
      <c r="Z3460" s="13">
        <f t="shared" si="3023"/>
        <v>1</v>
      </c>
      <c r="AA3460" s="13"/>
      <c r="AB3460" s="13"/>
      <c r="AC3460" s="13"/>
      <c r="AD3460" s="13"/>
      <c r="AE3460" s="13"/>
      <c r="AF3460" s="13"/>
      <c r="AG3460" s="13"/>
      <c r="AH3460" s="13"/>
      <c r="AI3460" s="13"/>
      <c r="AJ3460" s="13"/>
      <c r="AK3460" s="13"/>
      <c r="AL3460" s="13"/>
      <c r="AM3460" s="13"/>
      <c r="AN3460" s="13"/>
      <c r="AO3460" s="13"/>
      <c r="AP3460" s="13"/>
      <c r="AQ3460" s="13"/>
      <c r="AR3460" s="13"/>
      <c r="AS3460" s="13"/>
    </row>
    <row r="3461" ht="14.25" customHeight="1">
      <c r="A3461" s="13" t="s">
        <v>29</v>
      </c>
      <c r="B3461" s="13" t="s">
        <v>32</v>
      </c>
      <c r="C3461" s="13" t="s">
        <v>215</v>
      </c>
      <c r="D3461" s="13" t="s">
        <v>179</v>
      </c>
      <c r="F3461" s="13"/>
      <c r="G3461" s="13" t="s">
        <v>111</v>
      </c>
      <c r="H3461" s="13" t="s">
        <v>75</v>
      </c>
      <c r="I3461" s="13"/>
      <c r="J3461" s="13"/>
      <c r="K3461" s="15"/>
      <c r="L3461" s="15"/>
      <c r="M3461" s="16">
        <v>0.0</v>
      </c>
      <c r="N3461" s="16">
        <v>0.0</v>
      </c>
      <c r="O3461" s="17"/>
      <c r="P3461" s="17"/>
      <c r="Q3461" s="13"/>
      <c r="R3461" s="13"/>
      <c r="S3461" s="13"/>
      <c r="T3461" s="13">
        <f t="shared" ref="T3461:Y3461" si="3722">IF(ISBLANK(K3461)=TRUE,0,1)</f>
        <v>0</v>
      </c>
      <c r="U3461" s="13">
        <f t="shared" si="3722"/>
        <v>0</v>
      </c>
      <c r="V3461" s="13">
        <f t="shared" si="3722"/>
        <v>1</v>
      </c>
      <c r="W3461" s="13">
        <f t="shared" si="3722"/>
        <v>1</v>
      </c>
      <c r="X3461" s="13">
        <f t="shared" si="3722"/>
        <v>0</v>
      </c>
      <c r="Y3461" s="13">
        <f t="shared" si="3722"/>
        <v>0</v>
      </c>
      <c r="Z3461" s="13">
        <f t="shared" si="3023"/>
        <v>0</v>
      </c>
      <c r="AA3461" s="13"/>
      <c r="AB3461" s="13"/>
      <c r="AC3461" s="13"/>
      <c r="AD3461" s="13"/>
      <c r="AE3461" s="13"/>
      <c r="AF3461" s="13"/>
      <c r="AG3461" s="13"/>
      <c r="AH3461" s="13"/>
      <c r="AI3461" s="13"/>
      <c r="AJ3461" s="13"/>
      <c r="AK3461" s="13"/>
      <c r="AL3461" s="13"/>
      <c r="AM3461" s="13"/>
      <c r="AN3461" s="13"/>
      <c r="AO3461" s="13"/>
      <c r="AP3461" s="13"/>
      <c r="AQ3461" s="13"/>
      <c r="AR3461" s="13"/>
      <c r="AS3461" s="13"/>
    </row>
    <row r="3462" ht="14.25" customHeight="1">
      <c r="A3462" s="13" t="s">
        <v>29</v>
      </c>
      <c r="B3462" s="13" t="s">
        <v>32</v>
      </c>
      <c r="C3462" s="13" t="s">
        <v>215</v>
      </c>
      <c r="D3462" s="13" t="s">
        <v>180</v>
      </c>
      <c r="F3462" s="13"/>
      <c r="G3462" s="13" t="s">
        <v>111</v>
      </c>
      <c r="H3462" s="13" t="s">
        <v>75</v>
      </c>
      <c r="I3462" s="13"/>
      <c r="J3462" s="13"/>
      <c r="K3462" s="15"/>
      <c r="L3462" s="15"/>
      <c r="M3462" s="16">
        <v>0.0</v>
      </c>
      <c r="N3462" s="16">
        <v>0.0</v>
      </c>
      <c r="O3462" s="17"/>
      <c r="P3462" s="17"/>
      <c r="Q3462" s="13"/>
      <c r="R3462" s="13"/>
      <c r="S3462" s="13"/>
      <c r="T3462" s="13">
        <f t="shared" ref="T3462:Y3462" si="3723">IF(ISBLANK(K3462)=TRUE,0,1)</f>
        <v>0</v>
      </c>
      <c r="U3462" s="13">
        <f t="shared" si="3723"/>
        <v>0</v>
      </c>
      <c r="V3462" s="13">
        <f t="shared" si="3723"/>
        <v>1</v>
      </c>
      <c r="W3462" s="13">
        <f t="shared" si="3723"/>
        <v>1</v>
      </c>
      <c r="X3462" s="13">
        <f t="shared" si="3723"/>
        <v>0</v>
      </c>
      <c r="Y3462" s="13">
        <f t="shared" si="3723"/>
        <v>0</v>
      </c>
      <c r="Z3462" s="13">
        <f t="shared" si="3023"/>
        <v>0</v>
      </c>
      <c r="AA3462" s="13"/>
      <c r="AB3462" s="13"/>
      <c r="AC3462" s="13"/>
      <c r="AD3462" s="13"/>
      <c r="AE3462" s="13"/>
      <c r="AF3462" s="13"/>
      <c r="AG3462" s="13"/>
      <c r="AH3462" s="13"/>
      <c r="AI3462" s="13"/>
      <c r="AJ3462" s="13"/>
      <c r="AK3462" s="13"/>
      <c r="AL3462" s="13"/>
      <c r="AM3462" s="13"/>
      <c r="AN3462" s="13"/>
      <c r="AO3462" s="13"/>
      <c r="AP3462" s="13"/>
      <c r="AQ3462" s="13"/>
      <c r="AR3462" s="13"/>
      <c r="AS3462" s="13"/>
    </row>
    <row r="3463" ht="14.25" customHeight="1">
      <c r="A3463" s="13" t="s">
        <v>36</v>
      </c>
      <c r="B3463" s="13" t="s">
        <v>41</v>
      </c>
      <c r="C3463" s="13" t="s">
        <v>1967</v>
      </c>
      <c r="D3463" s="13" t="s">
        <v>557</v>
      </c>
      <c r="F3463" s="13"/>
      <c r="G3463" s="13" t="s">
        <v>74</v>
      </c>
      <c r="H3463" s="13" t="s">
        <v>75</v>
      </c>
      <c r="I3463" s="13"/>
      <c r="J3463" s="13"/>
      <c r="K3463" s="15">
        <v>0.0</v>
      </c>
      <c r="L3463" s="15">
        <v>0.0</v>
      </c>
      <c r="M3463" s="16"/>
      <c r="N3463" s="16"/>
      <c r="O3463" s="17"/>
      <c r="P3463" s="17"/>
      <c r="Q3463" s="13">
        <f t="shared" ref="Q3463:Q3502" si="3725">K3462+L3462+M3462+N3462+O3462+P3462/6</f>
        <v>0</v>
      </c>
      <c r="R3463" s="13"/>
      <c r="S3463" s="13"/>
      <c r="T3463" s="13">
        <f t="shared" ref="T3463:Y3463" si="3724">IF(ISBLANK(K3463)=TRUE,0,1)</f>
        <v>1</v>
      </c>
      <c r="U3463" s="13">
        <f t="shared" si="3724"/>
        <v>1</v>
      </c>
      <c r="V3463" s="13">
        <f t="shared" si="3724"/>
        <v>0</v>
      </c>
      <c r="W3463" s="13">
        <f t="shared" si="3724"/>
        <v>0</v>
      </c>
      <c r="X3463" s="13">
        <f t="shared" si="3724"/>
        <v>0</v>
      </c>
      <c r="Y3463" s="13">
        <f t="shared" si="3724"/>
        <v>0</v>
      </c>
      <c r="Z3463" s="13">
        <f t="shared" si="3023"/>
        <v>0</v>
      </c>
      <c r="AA3463" s="13"/>
      <c r="AB3463" s="13"/>
      <c r="AC3463" s="13"/>
      <c r="AD3463" s="13"/>
      <c r="AE3463" s="13"/>
      <c r="AF3463" s="13"/>
      <c r="AG3463" s="13"/>
      <c r="AH3463" s="13"/>
      <c r="AI3463" s="13"/>
      <c r="AJ3463" s="13"/>
      <c r="AK3463" s="13"/>
      <c r="AL3463" s="13"/>
      <c r="AM3463" s="13"/>
      <c r="AN3463" s="13"/>
      <c r="AO3463" s="13"/>
      <c r="AP3463" s="13"/>
      <c r="AQ3463" s="13"/>
      <c r="AR3463" s="13"/>
      <c r="AS3463" s="13"/>
    </row>
    <row r="3464" ht="14.25" customHeight="1">
      <c r="A3464" s="13" t="s">
        <v>36</v>
      </c>
      <c r="B3464" s="13" t="s">
        <v>41</v>
      </c>
      <c r="C3464" s="13" t="s">
        <v>1967</v>
      </c>
      <c r="D3464" s="13" t="s">
        <v>110</v>
      </c>
      <c r="F3464" s="13"/>
      <c r="G3464" s="13" t="s">
        <v>74</v>
      </c>
      <c r="H3464" s="13" t="s">
        <v>75</v>
      </c>
      <c r="I3464" s="13"/>
      <c r="J3464" s="13"/>
      <c r="K3464" s="15">
        <v>0.0</v>
      </c>
      <c r="L3464" s="15">
        <v>0.0</v>
      </c>
      <c r="M3464" s="16"/>
      <c r="N3464" s="16"/>
      <c r="O3464" s="17"/>
      <c r="P3464" s="17"/>
      <c r="Q3464" s="13">
        <f t="shared" si="3725"/>
        <v>0</v>
      </c>
      <c r="R3464" s="13"/>
      <c r="S3464" s="13"/>
      <c r="T3464" s="13">
        <f t="shared" ref="T3464:Y3464" si="3726">IF(ISBLANK(K3464)=TRUE,0,1)</f>
        <v>1</v>
      </c>
      <c r="U3464" s="13">
        <f t="shared" si="3726"/>
        <v>1</v>
      </c>
      <c r="V3464" s="13">
        <f t="shared" si="3726"/>
        <v>0</v>
      </c>
      <c r="W3464" s="13">
        <f t="shared" si="3726"/>
        <v>0</v>
      </c>
      <c r="X3464" s="13">
        <f t="shared" si="3726"/>
        <v>0</v>
      </c>
      <c r="Y3464" s="13">
        <f t="shared" si="3726"/>
        <v>0</v>
      </c>
      <c r="Z3464" s="13">
        <f t="shared" si="3023"/>
        <v>0</v>
      </c>
      <c r="AA3464" s="13"/>
      <c r="AB3464" s="13"/>
      <c r="AC3464" s="13"/>
      <c r="AD3464" s="13"/>
      <c r="AE3464" s="13"/>
      <c r="AF3464" s="13"/>
      <c r="AG3464" s="13"/>
      <c r="AH3464" s="13"/>
      <c r="AI3464" s="13"/>
      <c r="AJ3464" s="13"/>
      <c r="AK3464" s="13"/>
      <c r="AL3464" s="13"/>
      <c r="AM3464" s="13"/>
      <c r="AN3464" s="13"/>
      <c r="AO3464" s="13"/>
      <c r="AP3464" s="13"/>
      <c r="AQ3464" s="13"/>
      <c r="AR3464" s="13"/>
      <c r="AS3464" s="13"/>
    </row>
    <row r="3465" ht="14.25" customHeight="1">
      <c r="A3465" s="13" t="s">
        <v>36</v>
      </c>
      <c r="B3465" s="13" t="s">
        <v>41</v>
      </c>
      <c r="C3465" s="13" t="s">
        <v>1967</v>
      </c>
      <c r="D3465" s="13" t="s">
        <v>113</v>
      </c>
      <c r="F3465" s="13"/>
      <c r="G3465" s="13" t="s">
        <v>74</v>
      </c>
      <c r="H3465" s="13" t="s">
        <v>75</v>
      </c>
      <c r="I3465" s="13"/>
      <c r="J3465" s="13"/>
      <c r="K3465" s="15">
        <v>0.0</v>
      </c>
      <c r="L3465" s="15">
        <v>0.0</v>
      </c>
      <c r="M3465" s="16"/>
      <c r="N3465" s="16"/>
      <c r="O3465" s="17"/>
      <c r="P3465" s="17"/>
      <c r="Q3465" s="13">
        <f t="shared" si="3725"/>
        <v>0</v>
      </c>
      <c r="R3465" s="13"/>
      <c r="S3465" s="13"/>
      <c r="T3465" s="13">
        <f t="shared" ref="T3465:Y3465" si="3727">IF(ISBLANK(K3465)=TRUE,0,1)</f>
        <v>1</v>
      </c>
      <c r="U3465" s="13">
        <f t="shared" si="3727"/>
        <v>1</v>
      </c>
      <c r="V3465" s="13">
        <f t="shared" si="3727"/>
        <v>0</v>
      </c>
      <c r="W3465" s="13">
        <f t="shared" si="3727"/>
        <v>0</v>
      </c>
      <c r="X3465" s="13">
        <f t="shared" si="3727"/>
        <v>0</v>
      </c>
      <c r="Y3465" s="13">
        <f t="shared" si="3727"/>
        <v>0</v>
      </c>
      <c r="Z3465" s="13">
        <f t="shared" si="3023"/>
        <v>0</v>
      </c>
      <c r="AA3465" s="13"/>
      <c r="AB3465" s="13"/>
      <c r="AC3465" s="13"/>
      <c r="AD3465" s="13"/>
      <c r="AE3465" s="13"/>
      <c r="AF3465" s="13"/>
      <c r="AG3465" s="13"/>
      <c r="AH3465" s="13"/>
      <c r="AI3465" s="13"/>
      <c r="AJ3465" s="13"/>
      <c r="AK3465" s="13"/>
      <c r="AL3465" s="13"/>
      <c r="AM3465" s="13"/>
      <c r="AN3465" s="13"/>
      <c r="AO3465" s="13"/>
      <c r="AP3465" s="13"/>
      <c r="AQ3465" s="13"/>
      <c r="AR3465" s="13"/>
      <c r="AS3465" s="13"/>
    </row>
    <row r="3466" ht="14.25" customHeight="1">
      <c r="A3466" s="13" t="s">
        <v>36</v>
      </c>
      <c r="B3466" s="13" t="s">
        <v>41</v>
      </c>
      <c r="C3466" s="13" t="s">
        <v>1967</v>
      </c>
      <c r="D3466" s="13" t="s">
        <v>115</v>
      </c>
      <c r="F3466" s="13"/>
      <c r="G3466" s="13" t="s">
        <v>74</v>
      </c>
      <c r="H3466" s="13" t="s">
        <v>75</v>
      </c>
      <c r="I3466" s="13"/>
      <c r="J3466" s="13"/>
      <c r="K3466" s="15">
        <v>0.0</v>
      </c>
      <c r="L3466" s="15">
        <v>0.0</v>
      </c>
      <c r="M3466" s="16"/>
      <c r="N3466" s="16"/>
      <c r="O3466" s="17"/>
      <c r="P3466" s="17"/>
      <c r="Q3466" s="13">
        <f t="shared" si="3725"/>
        <v>0</v>
      </c>
      <c r="R3466" s="13"/>
      <c r="S3466" s="13"/>
      <c r="T3466" s="13">
        <f t="shared" ref="T3466:Y3466" si="3728">IF(ISBLANK(K3466)=TRUE,0,1)</f>
        <v>1</v>
      </c>
      <c r="U3466" s="13">
        <f t="shared" si="3728"/>
        <v>1</v>
      </c>
      <c r="V3466" s="13">
        <f t="shared" si="3728"/>
        <v>0</v>
      </c>
      <c r="W3466" s="13">
        <f t="shared" si="3728"/>
        <v>0</v>
      </c>
      <c r="X3466" s="13">
        <f t="shared" si="3728"/>
        <v>0</v>
      </c>
      <c r="Y3466" s="13">
        <f t="shared" si="3728"/>
        <v>0</v>
      </c>
      <c r="Z3466" s="13">
        <f t="shared" si="3023"/>
        <v>0</v>
      </c>
      <c r="AA3466" s="13"/>
      <c r="AB3466" s="13"/>
      <c r="AC3466" s="13"/>
      <c r="AD3466" s="13"/>
      <c r="AE3466" s="13"/>
      <c r="AF3466" s="13"/>
      <c r="AG3466" s="13"/>
      <c r="AH3466" s="13"/>
      <c r="AI3466" s="13"/>
      <c r="AJ3466" s="13"/>
      <c r="AK3466" s="13"/>
      <c r="AL3466" s="13"/>
      <c r="AM3466" s="13"/>
      <c r="AN3466" s="13"/>
      <c r="AO3466" s="13"/>
      <c r="AP3466" s="13"/>
      <c r="AQ3466" s="13"/>
      <c r="AR3466" s="13"/>
      <c r="AS3466" s="13"/>
    </row>
    <row r="3467" ht="14.25" customHeight="1">
      <c r="A3467" s="13" t="s">
        <v>36</v>
      </c>
      <c r="B3467" s="13" t="s">
        <v>41</v>
      </c>
      <c r="C3467" s="13" t="s">
        <v>1967</v>
      </c>
      <c r="D3467" s="13" t="s">
        <v>117</v>
      </c>
      <c r="F3467" s="13"/>
      <c r="G3467" s="13" t="s">
        <v>74</v>
      </c>
      <c r="H3467" s="13" t="s">
        <v>75</v>
      </c>
      <c r="I3467" s="13"/>
      <c r="J3467" s="13"/>
      <c r="K3467" s="15">
        <v>0.0</v>
      </c>
      <c r="L3467" s="15">
        <v>0.0</v>
      </c>
      <c r="M3467" s="16"/>
      <c r="N3467" s="16"/>
      <c r="O3467" s="17"/>
      <c r="P3467" s="17"/>
      <c r="Q3467" s="13">
        <f t="shared" si="3725"/>
        <v>0</v>
      </c>
      <c r="R3467" s="13"/>
      <c r="S3467" s="13"/>
      <c r="T3467" s="13">
        <f t="shared" ref="T3467:Y3467" si="3729">IF(ISBLANK(K3467)=TRUE,0,1)</f>
        <v>1</v>
      </c>
      <c r="U3467" s="13">
        <f t="shared" si="3729"/>
        <v>1</v>
      </c>
      <c r="V3467" s="13">
        <f t="shared" si="3729"/>
        <v>0</v>
      </c>
      <c r="W3467" s="13">
        <f t="shared" si="3729"/>
        <v>0</v>
      </c>
      <c r="X3467" s="13">
        <f t="shared" si="3729"/>
        <v>0</v>
      </c>
      <c r="Y3467" s="13">
        <f t="shared" si="3729"/>
        <v>0</v>
      </c>
      <c r="Z3467" s="13">
        <f t="shared" si="3023"/>
        <v>0</v>
      </c>
      <c r="AA3467" s="13"/>
      <c r="AB3467" s="13"/>
      <c r="AC3467" s="13"/>
      <c r="AD3467" s="13"/>
      <c r="AE3467" s="13"/>
      <c r="AF3467" s="13"/>
      <c r="AG3467" s="13"/>
      <c r="AH3467" s="13"/>
      <c r="AI3467" s="13"/>
      <c r="AJ3467" s="13"/>
      <c r="AK3467" s="13"/>
      <c r="AL3467" s="13"/>
      <c r="AM3467" s="13"/>
      <c r="AN3467" s="13"/>
      <c r="AO3467" s="13"/>
      <c r="AP3467" s="13"/>
      <c r="AQ3467" s="13"/>
      <c r="AR3467" s="13"/>
      <c r="AS3467" s="13"/>
    </row>
    <row r="3468" ht="14.25" customHeight="1">
      <c r="A3468" s="13" t="s">
        <v>36</v>
      </c>
      <c r="B3468" s="13" t="s">
        <v>41</v>
      </c>
      <c r="C3468" s="13" t="s">
        <v>1967</v>
      </c>
      <c r="D3468" s="13" t="s">
        <v>119</v>
      </c>
      <c r="F3468" s="13"/>
      <c r="G3468" s="13" t="s">
        <v>74</v>
      </c>
      <c r="H3468" s="13" t="s">
        <v>75</v>
      </c>
      <c r="I3468" s="13"/>
      <c r="J3468" s="13"/>
      <c r="K3468" s="15">
        <v>0.0</v>
      </c>
      <c r="L3468" s="15">
        <v>0.0</v>
      </c>
      <c r="M3468" s="16"/>
      <c r="N3468" s="16"/>
      <c r="O3468" s="17"/>
      <c r="P3468" s="17"/>
      <c r="Q3468" s="13">
        <f t="shared" si="3725"/>
        <v>0</v>
      </c>
      <c r="R3468" s="13"/>
      <c r="S3468" s="13"/>
      <c r="T3468" s="13">
        <f t="shared" ref="T3468:Y3468" si="3730">IF(ISBLANK(K3468)=TRUE,0,1)</f>
        <v>1</v>
      </c>
      <c r="U3468" s="13">
        <f t="shared" si="3730"/>
        <v>1</v>
      </c>
      <c r="V3468" s="13">
        <f t="shared" si="3730"/>
        <v>0</v>
      </c>
      <c r="W3468" s="13">
        <f t="shared" si="3730"/>
        <v>0</v>
      </c>
      <c r="X3468" s="13">
        <f t="shared" si="3730"/>
        <v>0</v>
      </c>
      <c r="Y3468" s="13">
        <f t="shared" si="3730"/>
        <v>0</v>
      </c>
      <c r="Z3468" s="13">
        <f t="shared" si="3023"/>
        <v>0</v>
      </c>
      <c r="AA3468" s="13"/>
      <c r="AB3468" s="13"/>
      <c r="AC3468" s="13"/>
      <c r="AD3468" s="13"/>
      <c r="AE3468" s="13"/>
      <c r="AF3468" s="13"/>
      <c r="AG3468" s="13"/>
      <c r="AH3468" s="13"/>
      <c r="AI3468" s="13"/>
      <c r="AJ3468" s="13"/>
      <c r="AK3468" s="13"/>
      <c r="AL3468" s="13"/>
      <c r="AM3468" s="13"/>
      <c r="AN3468" s="13"/>
      <c r="AO3468" s="13"/>
      <c r="AP3468" s="13"/>
      <c r="AQ3468" s="13"/>
      <c r="AR3468" s="13"/>
      <c r="AS3468" s="13"/>
    </row>
    <row r="3469" ht="14.25" customHeight="1">
      <c r="A3469" s="13" t="s">
        <v>36</v>
      </c>
      <c r="B3469" s="13" t="s">
        <v>41</v>
      </c>
      <c r="C3469" s="13" t="s">
        <v>1967</v>
      </c>
      <c r="D3469" s="13" t="s">
        <v>120</v>
      </c>
      <c r="F3469" s="13"/>
      <c r="G3469" s="13" t="s">
        <v>74</v>
      </c>
      <c r="H3469" s="13" t="s">
        <v>75</v>
      </c>
      <c r="I3469" s="13"/>
      <c r="J3469" s="13"/>
      <c r="K3469" s="15">
        <v>0.0</v>
      </c>
      <c r="L3469" s="15">
        <v>0.0</v>
      </c>
      <c r="M3469" s="16"/>
      <c r="N3469" s="16"/>
      <c r="O3469" s="17"/>
      <c r="P3469" s="17"/>
      <c r="Q3469" s="13">
        <f t="shared" si="3725"/>
        <v>0</v>
      </c>
      <c r="R3469" s="13"/>
      <c r="S3469" s="13"/>
      <c r="T3469" s="13">
        <f t="shared" ref="T3469:Y3469" si="3731">IF(ISBLANK(K3469)=TRUE,0,1)</f>
        <v>1</v>
      </c>
      <c r="U3469" s="13">
        <f t="shared" si="3731"/>
        <v>1</v>
      </c>
      <c r="V3469" s="13">
        <f t="shared" si="3731"/>
        <v>0</v>
      </c>
      <c r="W3469" s="13">
        <f t="shared" si="3731"/>
        <v>0</v>
      </c>
      <c r="X3469" s="13">
        <f t="shared" si="3731"/>
        <v>0</v>
      </c>
      <c r="Y3469" s="13">
        <f t="shared" si="3731"/>
        <v>0</v>
      </c>
      <c r="Z3469" s="13">
        <f t="shared" si="3023"/>
        <v>0</v>
      </c>
      <c r="AA3469" s="13"/>
      <c r="AB3469" s="13"/>
      <c r="AC3469" s="13"/>
      <c r="AD3469" s="13"/>
      <c r="AE3469" s="13"/>
      <c r="AF3469" s="13"/>
      <c r="AG3469" s="13"/>
      <c r="AH3469" s="13"/>
      <c r="AI3469" s="13"/>
      <c r="AJ3469" s="13"/>
      <c r="AK3469" s="13"/>
      <c r="AL3469" s="13"/>
      <c r="AM3469" s="13"/>
      <c r="AN3469" s="13"/>
      <c r="AO3469" s="13"/>
      <c r="AP3469" s="13"/>
      <c r="AQ3469" s="13"/>
      <c r="AR3469" s="13"/>
      <c r="AS3469" s="13"/>
    </row>
    <row r="3470" ht="14.25" customHeight="1">
      <c r="A3470" s="13" t="s">
        <v>36</v>
      </c>
      <c r="B3470" s="13" t="s">
        <v>41</v>
      </c>
      <c r="C3470" s="13" t="s">
        <v>1967</v>
      </c>
      <c r="D3470" s="13" t="s">
        <v>121</v>
      </c>
      <c r="F3470" s="13"/>
      <c r="G3470" s="13" t="s">
        <v>74</v>
      </c>
      <c r="H3470" s="13" t="s">
        <v>75</v>
      </c>
      <c r="I3470" s="13"/>
      <c r="J3470" s="13"/>
      <c r="K3470" s="15">
        <v>0.0</v>
      </c>
      <c r="L3470" s="15">
        <v>0.0</v>
      </c>
      <c r="M3470" s="16"/>
      <c r="N3470" s="16"/>
      <c r="O3470" s="17"/>
      <c r="P3470" s="17"/>
      <c r="Q3470" s="13">
        <f t="shared" si="3725"/>
        <v>0</v>
      </c>
      <c r="R3470" s="13"/>
      <c r="S3470" s="13"/>
      <c r="T3470" s="13">
        <f t="shared" ref="T3470:Y3470" si="3732">IF(ISBLANK(K3470)=TRUE,0,1)</f>
        <v>1</v>
      </c>
      <c r="U3470" s="13">
        <f t="shared" si="3732"/>
        <v>1</v>
      </c>
      <c r="V3470" s="13">
        <f t="shared" si="3732"/>
        <v>0</v>
      </c>
      <c r="W3470" s="13">
        <f t="shared" si="3732"/>
        <v>0</v>
      </c>
      <c r="X3470" s="13">
        <f t="shared" si="3732"/>
        <v>0</v>
      </c>
      <c r="Y3470" s="13">
        <f t="shared" si="3732"/>
        <v>0</v>
      </c>
      <c r="Z3470" s="13">
        <f t="shared" si="3023"/>
        <v>0</v>
      </c>
      <c r="AA3470" s="13"/>
      <c r="AB3470" s="13"/>
      <c r="AC3470" s="13"/>
      <c r="AD3470" s="13"/>
      <c r="AE3470" s="13"/>
      <c r="AF3470" s="13"/>
      <c r="AG3470" s="13"/>
      <c r="AH3470" s="13"/>
      <c r="AI3470" s="13"/>
      <c r="AJ3470" s="13"/>
      <c r="AK3470" s="13"/>
      <c r="AL3470" s="13"/>
      <c r="AM3470" s="13"/>
      <c r="AN3470" s="13"/>
      <c r="AO3470" s="13"/>
      <c r="AP3470" s="13"/>
      <c r="AQ3470" s="13"/>
      <c r="AR3470" s="13"/>
      <c r="AS3470" s="13"/>
    </row>
    <row r="3471" ht="14.25" customHeight="1">
      <c r="A3471" s="13" t="s">
        <v>36</v>
      </c>
      <c r="B3471" s="13" t="s">
        <v>41</v>
      </c>
      <c r="C3471" s="13" t="s">
        <v>1967</v>
      </c>
      <c r="D3471" s="13" t="s">
        <v>122</v>
      </c>
      <c r="F3471" s="13"/>
      <c r="G3471" s="13" t="s">
        <v>74</v>
      </c>
      <c r="H3471" s="13" t="s">
        <v>75</v>
      </c>
      <c r="I3471" s="13"/>
      <c r="J3471" s="13"/>
      <c r="K3471" s="15">
        <v>0.0</v>
      </c>
      <c r="L3471" s="15">
        <v>0.0</v>
      </c>
      <c r="M3471" s="16"/>
      <c r="N3471" s="16"/>
      <c r="O3471" s="17"/>
      <c r="P3471" s="17"/>
      <c r="Q3471" s="13">
        <f t="shared" si="3725"/>
        <v>0</v>
      </c>
      <c r="R3471" s="13"/>
      <c r="S3471" s="13"/>
      <c r="T3471" s="13">
        <f t="shared" ref="T3471:Y3471" si="3733">IF(ISBLANK(K3471)=TRUE,0,1)</f>
        <v>1</v>
      </c>
      <c r="U3471" s="13">
        <f t="shared" si="3733"/>
        <v>1</v>
      </c>
      <c r="V3471" s="13">
        <f t="shared" si="3733"/>
        <v>0</v>
      </c>
      <c r="W3471" s="13">
        <f t="shared" si="3733"/>
        <v>0</v>
      </c>
      <c r="X3471" s="13">
        <f t="shared" si="3733"/>
        <v>0</v>
      </c>
      <c r="Y3471" s="13">
        <f t="shared" si="3733"/>
        <v>0</v>
      </c>
      <c r="Z3471" s="13">
        <f t="shared" si="3023"/>
        <v>0</v>
      </c>
      <c r="AA3471" s="13"/>
      <c r="AB3471" s="13"/>
      <c r="AC3471" s="13"/>
      <c r="AD3471" s="13"/>
      <c r="AE3471" s="13"/>
      <c r="AF3471" s="13"/>
      <c r="AG3471" s="13"/>
      <c r="AH3471" s="13"/>
      <c r="AI3471" s="13"/>
      <c r="AJ3471" s="13"/>
      <c r="AK3471" s="13"/>
      <c r="AL3471" s="13"/>
      <c r="AM3471" s="13"/>
      <c r="AN3471" s="13"/>
      <c r="AO3471" s="13"/>
      <c r="AP3471" s="13"/>
      <c r="AQ3471" s="13"/>
      <c r="AR3471" s="13"/>
      <c r="AS3471" s="13"/>
    </row>
    <row r="3472" ht="14.25" customHeight="1">
      <c r="A3472" s="13" t="s">
        <v>36</v>
      </c>
      <c r="B3472" s="13" t="s">
        <v>41</v>
      </c>
      <c r="C3472" s="13" t="s">
        <v>1967</v>
      </c>
      <c r="D3472" s="13" t="s">
        <v>123</v>
      </c>
      <c r="F3472" s="13"/>
      <c r="G3472" s="13" t="s">
        <v>74</v>
      </c>
      <c r="H3472" s="13" t="s">
        <v>75</v>
      </c>
      <c r="I3472" s="13"/>
      <c r="J3472" s="13"/>
      <c r="K3472" s="15">
        <v>0.0</v>
      </c>
      <c r="L3472" s="15">
        <v>0.0</v>
      </c>
      <c r="M3472" s="16"/>
      <c r="N3472" s="16"/>
      <c r="O3472" s="17"/>
      <c r="P3472" s="17"/>
      <c r="Q3472" s="13">
        <f t="shared" si="3725"/>
        <v>0</v>
      </c>
      <c r="R3472" s="13"/>
      <c r="S3472" s="13"/>
      <c r="T3472" s="13">
        <f t="shared" ref="T3472:Y3472" si="3734">IF(ISBLANK(K3472)=TRUE,0,1)</f>
        <v>1</v>
      </c>
      <c r="U3472" s="13">
        <f t="shared" si="3734"/>
        <v>1</v>
      </c>
      <c r="V3472" s="13">
        <f t="shared" si="3734"/>
        <v>0</v>
      </c>
      <c r="W3472" s="13">
        <f t="shared" si="3734"/>
        <v>0</v>
      </c>
      <c r="X3472" s="13">
        <f t="shared" si="3734"/>
        <v>0</v>
      </c>
      <c r="Y3472" s="13">
        <f t="shared" si="3734"/>
        <v>0</v>
      </c>
      <c r="Z3472" s="13">
        <f t="shared" si="3023"/>
        <v>0</v>
      </c>
      <c r="AA3472" s="13"/>
      <c r="AB3472" s="13"/>
      <c r="AC3472" s="13"/>
      <c r="AD3472" s="13"/>
      <c r="AE3472" s="13"/>
      <c r="AF3472" s="13"/>
      <c r="AG3472" s="13"/>
      <c r="AH3472" s="13"/>
      <c r="AI3472" s="13"/>
      <c r="AJ3472" s="13"/>
      <c r="AK3472" s="13"/>
      <c r="AL3472" s="13"/>
      <c r="AM3472" s="13"/>
      <c r="AN3472" s="13"/>
      <c r="AO3472" s="13"/>
      <c r="AP3472" s="13"/>
      <c r="AQ3472" s="13"/>
      <c r="AR3472" s="13"/>
      <c r="AS3472" s="13"/>
    </row>
    <row r="3473" ht="14.25" customHeight="1">
      <c r="A3473" s="13" t="s">
        <v>36</v>
      </c>
      <c r="B3473" s="13" t="s">
        <v>41</v>
      </c>
      <c r="C3473" s="13" t="s">
        <v>1967</v>
      </c>
      <c r="D3473" s="13" t="s">
        <v>124</v>
      </c>
      <c r="F3473" s="13"/>
      <c r="G3473" s="13" t="s">
        <v>74</v>
      </c>
      <c r="H3473" s="13" t="s">
        <v>75</v>
      </c>
      <c r="I3473" s="13"/>
      <c r="J3473" s="13"/>
      <c r="K3473" s="15">
        <v>0.0</v>
      </c>
      <c r="L3473" s="15">
        <v>0.0</v>
      </c>
      <c r="M3473" s="16"/>
      <c r="N3473" s="16"/>
      <c r="O3473" s="17"/>
      <c r="P3473" s="17"/>
      <c r="Q3473" s="13">
        <f t="shared" si="3725"/>
        <v>0</v>
      </c>
      <c r="R3473" s="13"/>
      <c r="S3473" s="13"/>
      <c r="T3473" s="13">
        <f t="shared" ref="T3473:Y3473" si="3735">IF(ISBLANK(K3473)=TRUE,0,1)</f>
        <v>1</v>
      </c>
      <c r="U3473" s="13">
        <f t="shared" si="3735"/>
        <v>1</v>
      </c>
      <c r="V3473" s="13">
        <f t="shared" si="3735"/>
        <v>0</v>
      </c>
      <c r="W3473" s="13">
        <f t="shared" si="3735"/>
        <v>0</v>
      </c>
      <c r="X3473" s="13">
        <f t="shared" si="3735"/>
        <v>0</v>
      </c>
      <c r="Y3473" s="13">
        <f t="shared" si="3735"/>
        <v>0</v>
      </c>
      <c r="Z3473" s="13">
        <f t="shared" si="3023"/>
        <v>0</v>
      </c>
      <c r="AA3473" s="13"/>
      <c r="AB3473" s="13"/>
      <c r="AC3473" s="13"/>
      <c r="AD3473" s="13"/>
      <c r="AE3473" s="13"/>
      <c r="AF3473" s="13"/>
      <c r="AG3473" s="13"/>
      <c r="AH3473" s="13"/>
      <c r="AI3473" s="13"/>
      <c r="AJ3473" s="13"/>
      <c r="AK3473" s="13"/>
      <c r="AL3473" s="13"/>
      <c r="AM3473" s="13"/>
      <c r="AN3473" s="13"/>
      <c r="AO3473" s="13"/>
      <c r="AP3473" s="13"/>
      <c r="AQ3473" s="13"/>
      <c r="AR3473" s="13"/>
      <c r="AS3473" s="13"/>
    </row>
    <row r="3474" ht="14.25" customHeight="1">
      <c r="A3474" s="13" t="s">
        <v>36</v>
      </c>
      <c r="B3474" s="13" t="s">
        <v>41</v>
      </c>
      <c r="C3474" s="13" t="s">
        <v>1967</v>
      </c>
      <c r="D3474" s="13" t="s">
        <v>125</v>
      </c>
      <c r="F3474" s="13"/>
      <c r="G3474" s="13" t="s">
        <v>74</v>
      </c>
      <c r="H3474" s="13" t="s">
        <v>75</v>
      </c>
      <c r="I3474" s="13"/>
      <c r="J3474" s="13"/>
      <c r="K3474" s="15">
        <v>0.0</v>
      </c>
      <c r="L3474" s="15">
        <v>0.0</v>
      </c>
      <c r="M3474" s="16"/>
      <c r="N3474" s="16"/>
      <c r="O3474" s="17"/>
      <c r="P3474" s="17"/>
      <c r="Q3474" s="13">
        <f t="shared" si="3725"/>
        <v>0</v>
      </c>
      <c r="R3474" s="13"/>
      <c r="S3474" s="13"/>
      <c r="T3474" s="13">
        <f t="shared" ref="T3474:Y3474" si="3736">IF(ISBLANK(K3474)=TRUE,0,1)</f>
        <v>1</v>
      </c>
      <c r="U3474" s="13">
        <f t="shared" si="3736"/>
        <v>1</v>
      </c>
      <c r="V3474" s="13">
        <f t="shared" si="3736"/>
        <v>0</v>
      </c>
      <c r="W3474" s="13">
        <f t="shared" si="3736"/>
        <v>0</v>
      </c>
      <c r="X3474" s="13">
        <f t="shared" si="3736"/>
        <v>0</v>
      </c>
      <c r="Y3474" s="13">
        <f t="shared" si="3736"/>
        <v>0</v>
      </c>
      <c r="Z3474" s="13">
        <f t="shared" si="3023"/>
        <v>0</v>
      </c>
      <c r="AA3474" s="13"/>
      <c r="AB3474" s="13"/>
      <c r="AC3474" s="13"/>
      <c r="AD3474" s="13"/>
      <c r="AE3474" s="13"/>
      <c r="AF3474" s="13"/>
      <c r="AG3474" s="13"/>
      <c r="AH3474" s="13"/>
      <c r="AI3474" s="13"/>
      <c r="AJ3474" s="13"/>
      <c r="AK3474" s="13"/>
      <c r="AL3474" s="13"/>
      <c r="AM3474" s="13"/>
      <c r="AN3474" s="13"/>
      <c r="AO3474" s="13"/>
      <c r="AP3474" s="13"/>
      <c r="AQ3474" s="13"/>
      <c r="AR3474" s="13"/>
      <c r="AS3474" s="13"/>
    </row>
    <row r="3475" ht="14.25" customHeight="1">
      <c r="A3475" s="13" t="s">
        <v>36</v>
      </c>
      <c r="B3475" s="13" t="s">
        <v>41</v>
      </c>
      <c r="C3475" s="13" t="s">
        <v>1967</v>
      </c>
      <c r="D3475" s="13" t="s">
        <v>126</v>
      </c>
      <c r="F3475" s="13"/>
      <c r="G3475" s="13" t="s">
        <v>74</v>
      </c>
      <c r="H3475" s="13" t="s">
        <v>75</v>
      </c>
      <c r="I3475" s="13"/>
      <c r="J3475" s="13"/>
      <c r="K3475" s="15">
        <v>0.0</v>
      </c>
      <c r="L3475" s="15">
        <v>0.0</v>
      </c>
      <c r="M3475" s="16"/>
      <c r="N3475" s="16"/>
      <c r="O3475" s="17"/>
      <c r="P3475" s="17"/>
      <c r="Q3475" s="13">
        <f t="shared" si="3725"/>
        <v>0</v>
      </c>
      <c r="R3475" s="13"/>
      <c r="S3475" s="13"/>
      <c r="T3475" s="13">
        <f t="shared" ref="T3475:Y3475" si="3737">IF(ISBLANK(K3475)=TRUE,0,1)</f>
        <v>1</v>
      </c>
      <c r="U3475" s="13">
        <f t="shared" si="3737"/>
        <v>1</v>
      </c>
      <c r="V3475" s="13">
        <f t="shared" si="3737"/>
        <v>0</v>
      </c>
      <c r="W3475" s="13">
        <f t="shared" si="3737"/>
        <v>0</v>
      </c>
      <c r="X3475" s="13">
        <f t="shared" si="3737"/>
        <v>0</v>
      </c>
      <c r="Y3475" s="13">
        <f t="shared" si="3737"/>
        <v>0</v>
      </c>
      <c r="Z3475" s="13">
        <f t="shared" si="3023"/>
        <v>0</v>
      </c>
      <c r="AA3475" s="13"/>
      <c r="AB3475" s="13"/>
      <c r="AC3475" s="13"/>
      <c r="AD3475" s="13"/>
      <c r="AE3475" s="13"/>
      <c r="AF3475" s="13"/>
      <c r="AG3475" s="13"/>
      <c r="AH3475" s="13"/>
      <c r="AI3475" s="13"/>
      <c r="AJ3475" s="13"/>
      <c r="AK3475" s="13"/>
      <c r="AL3475" s="13"/>
      <c r="AM3475" s="13"/>
      <c r="AN3475" s="13"/>
      <c r="AO3475" s="13"/>
      <c r="AP3475" s="13"/>
      <c r="AQ3475" s="13"/>
      <c r="AR3475" s="13"/>
      <c r="AS3475" s="13"/>
    </row>
    <row r="3476" ht="14.25" customHeight="1">
      <c r="A3476" s="13" t="s">
        <v>36</v>
      </c>
      <c r="B3476" s="13" t="s">
        <v>41</v>
      </c>
      <c r="C3476" s="13" t="s">
        <v>1967</v>
      </c>
      <c r="D3476" s="13" t="s">
        <v>127</v>
      </c>
      <c r="F3476" s="13"/>
      <c r="G3476" s="13" t="s">
        <v>74</v>
      </c>
      <c r="H3476" s="13" t="s">
        <v>75</v>
      </c>
      <c r="I3476" s="13"/>
      <c r="J3476" s="13"/>
      <c r="K3476" s="15">
        <v>0.0</v>
      </c>
      <c r="L3476" s="15">
        <v>0.0</v>
      </c>
      <c r="M3476" s="16"/>
      <c r="N3476" s="16"/>
      <c r="O3476" s="17"/>
      <c r="P3476" s="17"/>
      <c r="Q3476" s="13">
        <f t="shared" si="3725"/>
        <v>0</v>
      </c>
      <c r="R3476" s="13"/>
      <c r="S3476" s="13"/>
      <c r="T3476" s="13">
        <f t="shared" ref="T3476:Y3476" si="3738">IF(ISBLANK(K3476)=TRUE,0,1)</f>
        <v>1</v>
      </c>
      <c r="U3476" s="13">
        <f t="shared" si="3738"/>
        <v>1</v>
      </c>
      <c r="V3476" s="13">
        <f t="shared" si="3738"/>
        <v>0</v>
      </c>
      <c r="W3476" s="13">
        <f t="shared" si="3738"/>
        <v>0</v>
      </c>
      <c r="X3476" s="13">
        <f t="shared" si="3738"/>
        <v>0</v>
      </c>
      <c r="Y3476" s="13">
        <f t="shared" si="3738"/>
        <v>0</v>
      </c>
      <c r="Z3476" s="13">
        <f t="shared" si="3023"/>
        <v>0</v>
      </c>
      <c r="AA3476" s="13"/>
      <c r="AB3476" s="13"/>
      <c r="AC3476" s="13"/>
      <c r="AD3476" s="13"/>
      <c r="AE3476" s="13"/>
      <c r="AF3476" s="13"/>
      <c r="AG3476" s="13"/>
      <c r="AH3476" s="13"/>
      <c r="AI3476" s="13"/>
      <c r="AJ3476" s="13"/>
      <c r="AK3476" s="13"/>
      <c r="AL3476" s="13"/>
      <c r="AM3476" s="13"/>
      <c r="AN3476" s="13"/>
      <c r="AO3476" s="13"/>
      <c r="AP3476" s="13"/>
      <c r="AQ3476" s="13"/>
      <c r="AR3476" s="13"/>
      <c r="AS3476" s="13"/>
    </row>
    <row r="3477" ht="14.25" customHeight="1">
      <c r="A3477" s="13" t="s">
        <v>36</v>
      </c>
      <c r="B3477" s="13" t="s">
        <v>41</v>
      </c>
      <c r="C3477" s="13" t="s">
        <v>1967</v>
      </c>
      <c r="D3477" s="13" t="s">
        <v>128</v>
      </c>
      <c r="F3477" s="13"/>
      <c r="G3477" s="13" t="s">
        <v>74</v>
      </c>
      <c r="H3477" s="13" t="s">
        <v>75</v>
      </c>
      <c r="I3477" s="13"/>
      <c r="J3477" s="13"/>
      <c r="K3477" s="15">
        <v>0.0</v>
      </c>
      <c r="L3477" s="15">
        <v>0.0</v>
      </c>
      <c r="M3477" s="16"/>
      <c r="N3477" s="16"/>
      <c r="O3477" s="17"/>
      <c r="P3477" s="17"/>
      <c r="Q3477" s="13">
        <f t="shared" si="3725"/>
        <v>0</v>
      </c>
      <c r="R3477" s="13"/>
      <c r="S3477" s="13"/>
      <c r="T3477" s="13">
        <f t="shared" ref="T3477:Y3477" si="3739">IF(ISBLANK(K3477)=TRUE,0,1)</f>
        <v>1</v>
      </c>
      <c r="U3477" s="13">
        <f t="shared" si="3739"/>
        <v>1</v>
      </c>
      <c r="V3477" s="13">
        <f t="shared" si="3739"/>
        <v>0</v>
      </c>
      <c r="W3477" s="13">
        <f t="shared" si="3739"/>
        <v>0</v>
      </c>
      <c r="X3477" s="13">
        <f t="shared" si="3739"/>
        <v>0</v>
      </c>
      <c r="Y3477" s="13">
        <f t="shared" si="3739"/>
        <v>0</v>
      </c>
      <c r="Z3477" s="13">
        <f t="shared" si="3023"/>
        <v>0</v>
      </c>
      <c r="AA3477" s="13"/>
      <c r="AB3477" s="13"/>
      <c r="AC3477" s="13"/>
      <c r="AD3477" s="13"/>
      <c r="AE3477" s="13"/>
      <c r="AF3477" s="13"/>
      <c r="AG3477" s="13"/>
      <c r="AH3477" s="13"/>
      <c r="AI3477" s="13"/>
      <c r="AJ3477" s="13"/>
      <c r="AK3477" s="13"/>
      <c r="AL3477" s="13"/>
      <c r="AM3477" s="13"/>
      <c r="AN3477" s="13"/>
      <c r="AO3477" s="13"/>
      <c r="AP3477" s="13"/>
      <c r="AQ3477" s="13"/>
      <c r="AR3477" s="13"/>
      <c r="AS3477" s="13"/>
    </row>
    <row r="3478" ht="14.25" customHeight="1">
      <c r="A3478" s="13" t="s">
        <v>36</v>
      </c>
      <c r="B3478" s="13" t="s">
        <v>41</v>
      </c>
      <c r="C3478" s="13" t="s">
        <v>1967</v>
      </c>
      <c r="D3478" s="13" t="s">
        <v>129</v>
      </c>
      <c r="F3478" s="13"/>
      <c r="G3478" s="13" t="s">
        <v>74</v>
      </c>
      <c r="H3478" s="13" t="s">
        <v>75</v>
      </c>
      <c r="I3478" s="13"/>
      <c r="J3478" s="13"/>
      <c r="K3478" s="15">
        <v>0.0</v>
      </c>
      <c r="L3478" s="15">
        <v>0.0</v>
      </c>
      <c r="M3478" s="16"/>
      <c r="N3478" s="16"/>
      <c r="O3478" s="17"/>
      <c r="P3478" s="17"/>
      <c r="Q3478" s="13">
        <f t="shared" si="3725"/>
        <v>0</v>
      </c>
      <c r="R3478" s="13"/>
      <c r="S3478" s="13"/>
      <c r="T3478" s="13">
        <f t="shared" ref="T3478:Y3478" si="3740">IF(ISBLANK(K3478)=TRUE,0,1)</f>
        <v>1</v>
      </c>
      <c r="U3478" s="13">
        <f t="shared" si="3740"/>
        <v>1</v>
      </c>
      <c r="V3478" s="13">
        <f t="shared" si="3740"/>
        <v>0</v>
      </c>
      <c r="W3478" s="13">
        <f t="shared" si="3740"/>
        <v>0</v>
      </c>
      <c r="X3478" s="13">
        <f t="shared" si="3740"/>
        <v>0</v>
      </c>
      <c r="Y3478" s="13">
        <f t="shared" si="3740"/>
        <v>0</v>
      </c>
      <c r="Z3478" s="13">
        <f t="shared" si="3023"/>
        <v>0</v>
      </c>
      <c r="AA3478" s="13"/>
      <c r="AB3478" s="13"/>
      <c r="AC3478" s="13"/>
      <c r="AD3478" s="13"/>
      <c r="AE3478" s="13"/>
      <c r="AF3478" s="13"/>
      <c r="AG3478" s="13"/>
      <c r="AH3478" s="13"/>
      <c r="AI3478" s="13"/>
      <c r="AJ3478" s="13"/>
      <c r="AK3478" s="13"/>
      <c r="AL3478" s="13"/>
      <c r="AM3478" s="13"/>
      <c r="AN3478" s="13"/>
      <c r="AO3478" s="13"/>
      <c r="AP3478" s="13"/>
      <c r="AQ3478" s="13"/>
      <c r="AR3478" s="13"/>
      <c r="AS3478" s="13"/>
    </row>
    <row r="3479" ht="14.25" customHeight="1">
      <c r="A3479" s="13" t="s">
        <v>36</v>
      </c>
      <c r="B3479" s="13" t="s">
        <v>41</v>
      </c>
      <c r="C3479" s="13" t="s">
        <v>1967</v>
      </c>
      <c r="D3479" s="13" t="s">
        <v>130</v>
      </c>
      <c r="F3479" s="13"/>
      <c r="G3479" s="13" t="s">
        <v>74</v>
      </c>
      <c r="H3479" s="13" t="s">
        <v>75</v>
      </c>
      <c r="I3479" s="13"/>
      <c r="J3479" s="13"/>
      <c r="K3479" s="15">
        <v>0.0</v>
      </c>
      <c r="L3479" s="15">
        <v>0.0</v>
      </c>
      <c r="M3479" s="16"/>
      <c r="N3479" s="16"/>
      <c r="O3479" s="17"/>
      <c r="P3479" s="17"/>
      <c r="Q3479" s="13">
        <f t="shared" si="3725"/>
        <v>0</v>
      </c>
      <c r="R3479" s="13"/>
      <c r="S3479" s="13"/>
      <c r="T3479" s="13">
        <f t="shared" ref="T3479:Y3479" si="3741">IF(ISBLANK(K3479)=TRUE,0,1)</f>
        <v>1</v>
      </c>
      <c r="U3479" s="13">
        <f t="shared" si="3741"/>
        <v>1</v>
      </c>
      <c r="V3479" s="13">
        <f t="shared" si="3741"/>
        <v>0</v>
      </c>
      <c r="W3479" s="13">
        <f t="shared" si="3741"/>
        <v>0</v>
      </c>
      <c r="X3479" s="13">
        <f t="shared" si="3741"/>
        <v>0</v>
      </c>
      <c r="Y3479" s="13">
        <f t="shared" si="3741"/>
        <v>0</v>
      </c>
      <c r="Z3479" s="13">
        <f t="shared" si="3023"/>
        <v>0</v>
      </c>
      <c r="AA3479" s="13"/>
      <c r="AB3479" s="13"/>
      <c r="AC3479" s="13"/>
      <c r="AD3479" s="13"/>
      <c r="AE3479" s="13"/>
      <c r="AF3479" s="13"/>
      <c r="AG3479" s="13"/>
      <c r="AH3479" s="13"/>
      <c r="AI3479" s="13"/>
      <c r="AJ3479" s="13"/>
      <c r="AK3479" s="13"/>
      <c r="AL3479" s="13"/>
      <c r="AM3479" s="13"/>
      <c r="AN3479" s="13"/>
      <c r="AO3479" s="13"/>
      <c r="AP3479" s="13"/>
      <c r="AQ3479" s="13"/>
      <c r="AR3479" s="13"/>
      <c r="AS3479" s="13"/>
    </row>
    <row r="3480" ht="14.25" customHeight="1">
      <c r="A3480" s="13" t="s">
        <v>36</v>
      </c>
      <c r="B3480" s="13" t="s">
        <v>37</v>
      </c>
      <c r="C3480" s="13" t="s">
        <v>611</v>
      </c>
      <c r="D3480" s="13" t="s">
        <v>174</v>
      </c>
      <c r="F3480" s="13"/>
      <c r="G3480" s="13" t="s">
        <v>111</v>
      </c>
      <c r="H3480" s="13" t="s">
        <v>75</v>
      </c>
      <c r="I3480" s="13"/>
      <c r="J3480" s="13"/>
      <c r="K3480" s="15">
        <v>0.0</v>
      </c>
      <c r="L3480" s="15">
        <v>0.0</v>
      </c>
      <c r="M3480" s="16"/>
      <c r="N3480" s="16"/>
      <c r="O3480" s="17"/>
      <c r="P3480" s="17"/>
      <c r="Q3480" s="13">
        <f t="shared" si="3725"/>
        <v>0</v>
      </c>
      <c r="R3480" s="13"/>
      <c r="S3480" s="13"/>
      <c r="T3480" s="13">
        <f t="shared" ref="T3480:Y3480" si="3742">IF(ISBLANK(K3480)=TRUE,0,1)</f>
        <v>1</v>
      </c>
      <c r="U3480" s="13">
        <f t="shared" si="3742"/>
        <v>1</v>
      </c>
      <c r="V3480" s="13">
        <f t="shared" si="3742"/>
        <v>0</v>
      </c>
      <c r="W3480" s="13">
        <f t="shared" si="3742"/>
        <v>0</v>
      </c>
      <c r="X3480" s="13">
        <f t="shared" si="3742"/>
        <v>0</v>
      </c>
      <c r="Y3480" s="13">
        <f t="shared" si="3742"/>
        <v>0</v>
      </c>
      <c r="Z3480" s="13">
        <f t="shared" si="3023"/>
        <v>0</v>
      </c>
      <c r="AA3480" s="13" t="s">
        <v>483</v>
      </c>
      <c r="AB3480" s="13"/>
      <c r="AC3480" s="13"/>
      <c r="AD3480" s="13"/>
      <c r="AE3480" s="13"/>
      <c r="AF3480" s="13"/>
      <c r="AG3480" s="13"/>
      <c r="AH3480" s="13"/>
      <c r="AI3480" s="13"/>
      <c r="AJ3480" s="13"/>
      <c r="AK3480" s="13"/>
      <c r="AL3480" s="13"/>
      <c r="AM3480" s="13"/>
      <c r="AN3480" s="13"/>
      <c r="AO3480" s="13"/>
      <c r="AP3480" s="13"/>
      <c r="AQ3480" s="13"/>
      <c r="AR3480" s="13"/>
      <c r="AS3480" s="13"/>
    </row>
    <row r="3481" ht="14.25" customHeight="1">
      <c r="A3481" s="13" t="s">
        <v>36</v>
      </c>
      <c r="B3481" s="13" t="s">
        <v>41</v>
      </c>
      <c r="C3481" s="13" t="s">
        <v>1967</v>
      </c>
      <c r="D3481" s="13" t="s">
        <v>131</v>
      </c>
      <c r="F3481" s="13"/>
      <c r="G3481" s="13" t="s">
        <v>74</v>
      </c>
      <c r="H3481" s="13" t="s">
        <v>75</v>
      </c>
      <c r="I3481" s="13"/>
      <c r="J3481" s="13"/>
      <c r="K3481" s="15">
        <v>0.0</v>
      </c>
      <c r="L3481" s="15">
        <v>0.0</v>
      </c>
      <c r="M3481" s="16"/>
      <c r="N3481" s="16"/>
      <c r="O3481" s="17"/>
      <c r="P3481" s="17"/>
      <c r="Q3481" s="13">
        <f t="shared" si="3725"/>
        <v>0</v>
      </c>
      <c r="R3481" s="13"/>
      <c r="S3481" s="13"/>
      <c r="T3481" s="13">
        <f t="shared" ref="T3481:Y3481" si="3743">IF(ISBLANK(K3481)=TRUE,0,1)</f>
        <v>1</v>
      </c>
      <c r="U3481" s="13">
        <f t="shared" si="3743"/>
        <v>1</v>
      </c>
      <c r="V3481" s="13">
        <f t="shared" si="3743"/>
        <v>0</v>
      </c>
      <c r="W3481" s="13">
        <f t="shared" si="3743"/>
        <v>0</v>
      </c>
      <c r="X3481" s="13">
        <f t="shared" si="3743"/>
        <v>0</v>
      </c>
      <c r="Y3481" s="13">
        <f t="shared" si="3743"/>
        <v>0</v>
      </c>
      <c r="Z3481" s="13">
        <f t="shared" si="3023"/>
        <v>0</v>
      </c>
      <c r="AA3481" s="13"/>
      <c r="AB3481" s="13"/>
      <c r="AC3481" s="13"/>
      <c r="AD3481" s="13"/>
      <c r="AE3481" s="13"/>
      <c r="AF3481" s="13"/>
      <c r="AG3481" s="13"/>
      <c r="AH3481" s="13"/>
      <c r="AI3481" s="13"/>
      <c r="AJ3481" s="13"/>
      <c r="AK3481" s="13"/>
      <c r="AL3481" s="13"/>
      <c r="AM3481" s="13"/>
      <c r="AN3481" s="13"/>
      <c r="AO3481" s="13"/>
      <c r="AP3481" s="13"/>
      <c r="AQ3481" s="13"/>
      <c r="AR3481" s="13"/>
      <c r="AS3481" s="13"/>
    </row>
    <row r="3482" ht="14.25" customHeight="1">
      <c r="A3482" s="13" t="s">
        <v>36</v>
      </c>
      <c r="B3482" s="13" t="s">
        <v>37</v>
      </c>
      <c r="C3482" s="13" t="s">
        <v>611</v>
      </c>
      <c r="D3482" s="13" t="s">
        <v>175</v>
      </c>
      <c r="F3482" s="13"/>
      <c r="G3482" s="13" t="s">
        <v>111</v>
      </c>
      <c r="H3482" s="13" t="s">
        <v>75</v>
      </c>
      <c r="I3482" s="13"/>
      <c r="J3482" s="13"/>
      <c r="K3482" s="15">
        <v>0.0</v>
      </c>
      <c r="L3482" s="15">
        <v>0.0</v>
      </c>
      <c r="M3482" s="16"/>
      <c r="N3482" s="16"/>
      <c r="O3482" s="17"/>
      <c r="P3482" s="17"/>
      <c r="Q3482" s="13">
        <f t="shared" si="3725"/>
        <v>0</v>
      </c>
      <c r="R3482" s="13"/>
      <c r="S3482" s="13"/>
      <c r="T3482" s="13">
        <f t="shared" ref="T3482:Y3482" si="3744">IF(ISBLANK(K3482)=TRUE,0,1)</f>
        <v>1</v>
      </c>
      <c r="U3482" s="13">
        <f t="shared" si="3744"/>
        <v>1</v>
      </c>
      <c r="V3482" s="13">
        <f t="shared" si="3744"/>
        <v>0</v>
      </c>
      <c r="W3482" s="13">
        <f t="shared" si="3744"/>
        <v>0</v>
      </c>
      <c r="X3482" s="13">
        <f t="shared" si="3744"/>
        <v>0</v>
      </c>
      <c r="Y3482" s="13">
        <f t="shared" si="3744"/>
        <v>0</v>
      </c>
      <c r="Z3482" s="13">
        <f t="shared" si="3023"/>
        <v>0</v>
      </c>
      <c r="AA3482" s="13" t="s">
        <v>561</v>
      </c>
      <c r="AB3482" s="13"/>
      <c r="AC3482" s="13"/>
      <c r="AD3482" s="13"/>
      <c r="AE3482" s="13"/>
      <c r="AF3482" s="13"/>
      <c r="AG3482" s="13"/>
      <c r="AH3482" s="13"/>
      <c r="AI3482" s="13"/>
      <c r="AJ3482" s="13"/>
      <c r="AK3482" s="13"/>
      <c r="AL3482" s="13"/>
      <c r="AM3482" s="13"/>
      <c r="AN3482" s="13"/>
      <c r="AO3482" s="13"/>
      <c r="AP3482" s="13"/>
      <c r="AQ3482" s="13"/>
      <c r="AR3482" s="13"/>
      <c r="AS3482" s="13"/>
    </row>
    <row r="3483" ht="14.25" customHeight="1">
      <c r="A3483" s="13" t="s">
        <v>36</v>
      </c>
      <c r="B3483" s="13" t="s">
        <v>41</v>
      </c>
      <c r="C3483" s="13" t="s">
        <v>1967</v>
      </c>
      <c r="D3483" s="13" t="s">
        <v>132</v>
      </c>
      <c r="F3483" s="13"/>
      <c r="G3483" s="13" t="s">
        <v>74</v>
      </c>
      <c r="H3483" s="13" t="s">
        <v>75</v>
      </c>
      <c r="I3483" s="13"/>
      <c r="J3483" s="13"/>
      <c r="K3483" s="15">
        <v>0.0</v>
      </c>
      <c r="L3483" s="15">
        <v>0.0</v>
      </c>
      <c r="M3483" s="16"/>
      <c r="N3483" s="16"/>
      <c r="O3483" s="17"/>
      <c r="P3483" s="17"/>
      <c r="Q3483" s="13">
        <f t="shared" si="3725"/>
        <v>0</v>
      </c>
      <c r="R3483" s="13"/>
      <c r="S3483" s="13"/>
      <c r="T3483" s="13">
        <f t="shared" ref="T3483:Y3483" si="3745">IF(ISBLANK(K3483)=TRUE,0,1)</f>
        <v>1</v>
      </c>
      <c r="U3483" s="13">
        <f t="shared" si="3745"/>
        <v>1</v>
      </c>
      <c r="V3483" s="13">
        <f t="shared" si="3745"/>
        <v>0</v>
      </c>
      <c r="W3483" s="13">
        <f t="shared" si="3745"/>
        <v>0</v>
      </c>
      <c r="X3483" s="13">
        <f t="shared" si="3745"/>
        <v>0</v>
      </c>
      <c r="Y3483" s="13">
        <f t="shared" si="3745"/>
        <v>0</v>
      </c>
      <c r="Z3483" s="13">
        <f t="shared" si="3023"/>
        <v>0</v>
      </c>
      <c r="AA3483" s="13"/>
      <c r="AB3483" s="13"/>
      <c r="AC3483" s="13"/>
      <c r="AD3483" s="13"/>
      <c r="AE3483" s="13"/>
      <c r="AF3483" s="13"/>
      <c r="AG3483" s="13"/>
      <c r="AH3483" s="13"/>
      <c r="AI3483" s="13"/>
      <c r="AJ3483" s="13"/>
      <c r="AK3483" s="13"/>
      <c r="AL3483" s="13"/>
      <c r="AM3483" s="13"/>
      <c r="AN3483" s="13"/>
      <c r="AO3483" s="13"/>
      <c r="AP3483" s="13"/>
      <c r="AQ3483" s="13"/>
      <c r="AR3483" s="13"/>
      <c r="AS3483" s="13"/>
    </row>
    <row r="3484" ht="14.25" customHeight="1">
      <c r="A3484" s="13" t="s">
        <v>36</v>
      </c>
      <c r="B3484" s="13" t="s">
        <v>41</v>
      </c>
      <c r="C3484" s="13" t="s">
        <v>1967</v>
      </c>
      <c r="D3484" s="13" t="s">
        <v>133</v>
      </c>
      <c r="F3484" s="13"/>
      <c r="G3484" s="13" t="s">
        <v>74</v>
      </c>
      <c r="H3484" s="13" t="s">
        <v>75</v>
      </c>
      <c r="I3484" s="13"/>
      <c r="J3484" s="13"/>
      <c r="K3484" s="15">
        <v>0.0</v>
      </c>
      <c r="L3484" s="15">
        <v>0.0</v>
      </c>
      <c r="M3484" s="16"/>
      <c r="N3484" s="16"/>
      <c r="O3484" s="17"/>
      <c r="P3484" s="17"/>
      <c r="Q3484" s="13">
        <f t="shared" si="3725"/>
        <v>0</v>
      </c>
      <c r="R3484" s="13"/>
      <c r="S3484" s="13"/>
      <c r="T3484" s="13">
        <f t="shared" ref="T3484:Y3484" si="3746">IF(ISBLANK(K3484)=TRUE,0,1)</f>
        <v>1</v>
      </c>
      <c r="U3484" s="13">
        <f t="shared" si="3746"/>
        <v>1</v>
      </c>
      <c r="V3484" s="13">
        <f t="shared" si="3746"/>
        <v>0</v>
      </c>
      <c r="W3484" s="13">
        <f t="shared" si="3746"/>
        <v>0</v>
      </c>
      <c r="X3484" s="13">
        <f t="shared" si="3746"/>
        <v>0</v>
      </c>
      <c r="Y3484" s="13">
        <f t="shared" si="3746"/>
        <v>0</v>
      </c>
      <c r="Z3484" s="13">
        <f t="shared" si="3023"/>
        <v>0</v>
      </c>
      <c r="AA3484" s="13"/>
      <c r="AB3484" s="13"/>
      <c r="AC3484" s="13"/>
      <c r="AD3484" s="13"/>
      <c r="AE3484" s="13"/>
      <c r="AF3484" s="13"/>
      <c r="AG3484" s="13"/>
      <c r="AH3484" s="13"/>
      <c r="AI3484" s="13"/>
      <c r="AJ3484" s="13"/>
      <c r="AK3484" s="13"/>
      <c r="AL3484" s="13"/>
      <c r="AM3484" s="13"/>
      <c r="AN3484" s="13"/>
      <c r="AO3484" s="13"/>
      <c r="AP3484" s="13"/>
      <c r="AQ3484" s="13"/>
      <c r="AR3484" s="13"/>
      <c r="AS3484" s="13"/>
    </row>
    <row r="3485" ht="14.25" customHeight="1">
      <c r="A3485" s="13" t="s">
        <v>36</v>
      </c>
      <c r="B3485" s="13" t="s">
        <v>37</v>
      </c>
      <c r="C3485" s="13" t="s">
        <v>611</v>
      </c>
      <c r="D3485" s="13" t="s">
        <v>176</v>
      </c>
      <c r="F3485" s="13"/>
      <c r="G3485" s="13" t="s">
        <v>111</v>
      </c>
      <c r="H3485" s="13" t="s">
        <v>75</v>
      </c>
      <c r="I3485" s="13"/>
      <c r="J3485" s="13"/>
      <c r="K3485" s="15">
        <v>0.0</v>
      </c>
      <c r="L3485" s="15">
        <v>0.0</v>
      </c>
      <c r="M3485" s="16"/>
      <c r="N3485" s="16"/>
      <c r="O3485" s="17"/>
      <c r="P3485" s="17"/>
      <c r="Q3485" s="13">
        <f t="shared" si="3725"/>
        <v>0</v>
      </c>
      <c r="R3485" s="13"/>
      <c r="S3485" s="13"/>
      <c r="T3485" s="13">
        <f t="shared" ref="T3485:Y3485" si="3747">IF(ISBLANK(K3485)=TRUE,0,1)</f>
        <v>1</v>
      </c>
      <c r="U3485" s="13">
        <f t="shared" si="3747"/>
        <v>1</v>
      </c>
      <c r="V3485" s="13">
        <f t="shared" si="3747"/>
        <v>0</v>
      </c>
      <c r="W3485" s="13">
        <f t="shared" si="3747"/>
        <v>0</v>
      </c>
      <c r="X3485" s="13">
        <f t="shared" si="3747"/>
        <v>0</v>
      </c>
      <c r="Y3485" s="13">
        <f t="shared" si="3747"/>
        <v>0</v>
      </c>
      <c r="Z3485" s="13">
        <f t="shared" si="3023"/>
        <v>0</v>
      </c>
      <c r="AA3485" s="13"/>
      <c r="AB3485" s="13"/>
      <c r="AC3485" s="13"/>
      <c r="AD3485" s="13"/>
      <c r="AE3485" s="13"/>
      <c r="AF3485" s="13"/>
      <c r="AG3485" s="13"/>
      <c r="AH3485" s="13"/>
      <c r="AI3485" s="13"/>
      <c r="AJ3485" s="13"/>
      <c r="AK3485" s="13"/>
      <c r="AL3485" s="13"/>
      <c r="AM3485" s="13"/>
      <c r="AN3485" s="13"/>
      <c r="AO3485" s="13"/>
      <c r="AP3485" s="13"/>
      <c r="AQ3485" s="13"/>
      <c r="AR3485" s="13"/>
      <c r="AS3485" s="13"/>
    </row>
    <row r="3486" ht="14.25" customHeight="1">
      <c r="A3486" s="13" t="s">
        <v>36</v>
      </c>
      <c r="B3486" s="13" t="s">
        <v>41</v>
      </c>
      <c r="C3486" s="13" t="s">
        <v>1967</v>
      </c>
      <c r="D3486" s="13" t="s">
        <v>134</v>
      </c>
      <c r="F3486" s="13"/>
      <c r="G3486" s="13" t="s">
        <v>74</v>
      </c>
      <c r="H3486" s="13" t="s">
        <v>75</v>
      </c>
      <c r="I3486" s="13"/>
      <c r="J3486" s="13"/>
      <c r="K3486" s="15">
        <v>0.0</v>
      </c>
      <c r="L3486" s="15">
        <v>0.0</v>
      </c>
      <c r="M3486" s="16"/>
      <c r="N3486" s="16"/>
      <c r="O3486" s="17"/>
      <c r="P3486" s="17"/>
      <c r="Q3486" s="13">
        <f t="shared" si="3725"/>
        <v>0</v>
      </c>
      <c r="R3486" s="13"/>
      <c r="S3486" s="13"/>
      <c r="T3486" s="13">
        <f t="shared" ref="T3486:Y3486" si="3748">IF(ISBLANK(K3486)=TRUE,0,1)</f>
        <v>1</v>
      </c>
      <c r="U3486" s="13">
        <f t="shared" si="3748"/>
        <v>1</v>
      </c>
      <c r="V3486" s="13">
        <f t="shared" si="3748"/>
        <v>0</v>
      </c>
      <c r="W3486" s="13">
        <f t="shared" si="3748"/>
        <v>0</v>
      </c>
      <c r="X3486" s="13">
        <f t="shared" si="3748"/>
        <v>0</v>
      </c>
      <c r="Y3486" s="13">
        <f t="shared" si="3748"/>
        <v>0</v>
      </c>
      <c r="Z3486" s="13">
        <f t="shared" si="3023"/>
        <v>0</v>
      </c>
      <c r="AA3486" s="13"/>
      <c r="AB3486" s="13"/>
      <c r="AC3486" s="13"/>
      <c r="AD3486" s="13"/>
      <c r="AE3486" s="13"/>
      <c r="AF3486" s="13"/>
      <c r="AG3486" s="13"/>
      <c r="AH3486" s="13"/>
      <c r="AI3486" s="13"/>
      <c r="AJ3486" s="13"/>
      <c r="AK3486" s="13"/>
      <c r="AL3486" s="13"/>
      <c r="AM3486" s="13"/>
      <c r="AN3486" s="13"/>
      <c r="AO3486" s="13"/>
      <c r="AP3486" s="13"/>
      <c r="AQ3486" s="13"/>
      <c r="AR3486" s="13"/>
      <c r="AS3486" s="13"/>
    </row>
    <row r="3487" ht="14.25" customHeight="1">
      <c r="A3487" s="13" t="s">
        <v>36</v>
      </c>
      <c r="B3487" s="13" t="s">
        <v>41</v>
      </c>
      <c r="C3487" s="13" t="s">
        <v>1967</v>
      </c>
      <c r="D3487" s="13"/>
      <c r="F3487" s="13"/>
      <c r="G3487" s="13" t="s">
        <v>74</v>
      </c>
      <c r="H3487" s="13" t="s">
        <v>75</v>
      </c>
      <c r="I3487" s="13"/>
      <c r="J3487" s="13"/>
      <c r="K3487" s="15">
        <v>0.0</v>
      </c>
      <c r="L3487" s="15">
        <v>0.0</v>
      </c>
      <c r="M3487" s="16"/>
      <c r="N3487" s="16"/>
      <c r="O3487" s="17"/>
      <c r="P3487" s="17"/>
      <c r="Q3487" s="13">
        <f t="shared" si="3725"/>
        <v>0</v>
      </c>
      <c r="R3487" s="13"/>
      <c r="S3487" s="13"/>
      <c r="T3487" s="13">
        <f t="shared" ref="T3487:Y3487" si="3749">IF(ISBLANK(K3487)=TRUE,0,1)</f>
        <v>1</v>
      </c>
      <c r="U3487" s="13">
        <f t="shared" si="3749"/>
        <v>1</v>
      </c>
      <c r="V3487" s="13">
        <f t="shared" si="3749"/>
        <v>0</v>
      </c>
      <c r="W3487" s="13">
        <f t="shared" si="3749"/>
        <v>0</v>
      </c>
      <c r="X3487" s="13">
        <f t="shared" si="3749"/>
        <v>0</v>
      </c>
      <c r="Y3487" s="13">
        <f t="shared" si="3749"/>
        <v>0</v>
      </c>
      <c r="Z3487" s="13">
        <f t="shared" si="3023"/>
        <v>0</v>
      </c>
      <c r="AA3487" s="13"/>
      <c r="AB3487" s="13"/>
      <c r="AC3487" s="13"/>
      <c r="AD3487" s="13"/>
      <c r="AE3487" s="13"/>
      <c r="AF3487" s="13"/>
      <c r="AG3487" s="13"/>
      <c r="AH3487" s="13"/>
      <c r="AI3487" s="13"/>
      <c r="AJ3487" s="13"/>
      <c r="AK3487" s="13"/>
      <c r="AL3487" s="13"/>
      <c r="AM3487" s="13"/>
      <c r="AN3487" s="13"/>
      <c r="AO3487" s="13"/>
      <c r="AP3487" s="13"/>
      <c r="AQ3487" s="13"/>
      <c r="AR3487" s="13"/>
      <c r="AS3487" s="13"/>
    </row>
    <row r="3488" ht="14.25" customHeight="1">
      <c r="A3488" s="13" t="s">
        <v>36</v>
      </c>
      <c r="B3488" s="13" t="s">
        <v>41</v>
      </c>
      <c r="C3488" s="13" t="s">
        <v>1970</v>
      </c>
      <c r="D3488" s="13" t="s">
        <v>174</v>
      </c>
      <c r="F3488" s="13"/>
      <c r="G3488" s="13" t="s">
        <v>74</v>
      </c>
      <c r="H3488" s="13" t="s">
        <v>75</v>
      </c>
      <c r="I3488" s="13"/>
      <c r="J3488" s="13"/>
      <c r="K3488" s="15">
        <v>0.0</v>
      </c>
      <c r="L3488" s="15">
        <v>0.0</v>
      </c>
      <c r="M3488" s="16"/>
      <c r="N3488" s="16"/>
      <c r="O3488" s="17"/>
      <c r="P3488" s="17"/>
      <c r="Q3488" s="13">
        <f t="shared" si="3725"/>
        <v>0</v>
      </c>
      <c r="R3488" s="13"/>
      <c r="S3488" s="13"/>
      <c r="T3488" s="13">
        <f t="shared" ref="T3488:Y3488" si="3750">IF(ISBLANK(K3488)=TRUE,0,1)</f>
        <v>1</v>
      </c>
      <c r="U3488" s="13">
        <f t="shared" si="3750"/>
        <v>1</v>
      </c>
      <c r="V3488" s="13">
        <f t="shared" si="3750"/>
        <v>0</v>
      </c>
      <c r="W3488" s="13">
        <f t="shared" si="3750"/>
        <v>0</v>
      </c>
      <c r="X3488" s="13">
        <f t="shared" si="3750"/>
        <v>0</v>
      </c>
      <c r="Y3488" s="13">
        <f t="shared" si="3750"/>
        <v>0</v>
      </c>
      <c r="Z3488" s="13">
        <f t="shared" si="3023"/>
        <v>0</v>
      </c>
      <c r="AA3488" s="13"/>
      <c r="AB3488" s="13"/>
      <c r="AC3488" s="13"/>
      <c r="AD3488" s="13"/>
      <c r="AE3488" s="13"/>
      <c r="AF3488" s="13"/>
      <c r="AG3488" s="13"/>
      <c r="AH3488" s="13"/>
      <c r="AI3488" s="13"/>
      <c r="AJ3488" s="13"/>
      <c r="AK3488" s="13"/>
      <c r="AL3488" s="13"/>
      <c r="AM3488" s="13"/>
      <c r="AN3488" s="13"/>
      <c r="AO3488" s="13"/>
      <c r="AP3488" s="13"/>
      <c r="AQ3488" s="13"/>
      <c r="AR3488" s="13"/>
      <c r="AS3488" s="13"/>
    </row>
    <row r="3489" ht="14.25" customHeight="1">
      <c r="A3489" s="13" t="s">
        <v>36</v>
      </c>
      <c r="B3489" s="13" t="s">
        <v>37</v>
      </c>
      <c r="C3489" s="13" t="s">
        <v>611</v>
      </c>
      <c r="D3489" s="13" t="s">
        <v>177</v>
      </c>
      <c r="F3489" s="13"/>
      <c r="G3489" s="13" t="s">
        <v>111</v>
      </c>
      <c r="H3489" s="13" t="s">
        <v>75</v>
      </c>
      <c r="I3489" s="13"/>
      <c r="J3489" s="13"/>
      <c r="K3489" s="15">
        <v>0.0</v>
      </c>
      <c r="L3489" s="15">
        <v>0.0</v>
      </c>
      <c r="M3489" s="16"/>
      <c r="N3489" s="16"/>
      <c r="O3489" s="17"/>
      <c r="P3489" s="17"/>
      <c r="Q3489" s="13">
        <f t="shared" si="3725"/>
        <v>0</v>
      </c>
      <c r="R3489" s="13"/>
      <c r="S3489" s="13"/>
      <c r="T3489" s="13">
        <f t="shared" ref="T3489:Y3489" si="3751">IF(ISBLANK(K3489)=TRUE,0,1)</f>
        <v>1</v>
      </c>
      <c r="U3489" s="13">
        <f t="shared" si="3751"/>
        <v>1</v>
      </c>
      <c r="V3489" s="13">
        <f t="shared" si="3751"/>
        <v>0</v>
      </c>
      <c r="W3489" s="13">
        <f t="shared" si="3751"/>
        <v>0</v>
      </c>
      <c r="X3489" s="13">
        <f t="shared" si="3751"/>
        <v>0</v>
      </c>
      <c r="Y3489" s="13">
        <f t="shared" si="3751"/>
        <v>0</v>
      </c>
      <c r="Z3489" s="13">
        <f t="shared" si="3023"/>
        <v>0</v>
      </c>
      <c r="AA3489" s="13"/>
      <c r="AB3489" s="13"/>
      <c r="AC3489" s="13"/>
      <c r="AD3489" s="13"/>
      <c r="AE3489" s="13"/>
      <c r="AF3489" s="13"/>
      <c r="AG3489" s="13"/>
      <c r="AH3489" s="13"/>
      <c r="AI3489" s="13"/>
      <c r="AJ3489" s="13"/>
      <c r="AK3489" s="13"/>
      <c r="AL3489" s="13"/>
      <c r="AM3489" s="13"/>
      <c r="AN3489" s="13"/>
      <c r="AO3489" s="13"/>
      <c r="AP3489" s="13"/>
      <c r="AQ3489" s="13"/>
      <c r="AR3489" s="13"/>
      <c r="AS3489" s="13"/>
    </row>
    <row r="3490" ht="14.25" customHeight="1">
      <c r="A3490" s="13" t="s">
        <v>36</v>
      </c>
      <c r="B3490" s="13" t="s">
        <v>41</v>
      </c>
      <c r="C3490" s="13" t="s">
        <v>1970</v>
      </c>
      <c r="D3490" s="13" t="s">
        <v>175</v>
      </c>
      <c r="F3490" s="13"/>
      <c r="G3490" s="13" t="s">
        <v>74</v>
      </c>
      <c r="H3490" s="13" t="s">
        <v>107</v>
      </c>
      <c r="I3490" s="13"/>
      <c r="J3490" s="13"/>
      <c r="K3490" s="15">
        <v>0.0</v>
      </c>
      <c r="L3490" s="15">
        <v>0.0</v>
      </c>
      <c r="M3490" s="16"/>
      <c r="N3490" s="16"/>
      <c r="O3490" s="17"/>
      <c r="P3490" s="17"/>
      <c r="Q3490" s="13">
        <f t="shared" si="3725"/>
        <v>0</v>
      </c>
      <c r="R3490" s="13"/>
      <c r="S3490" s="13"/>
      <c r="T3490" s="13">
        <f t="shared" ref="T3490:Y3490" si="3752">IF(ISBLANK(K3490)=TRUE,0,1)</f>
        <v>1</v>
      </c>
      <c r="U3490" s="13">
        <f t="shared" si="3752"/>
        <v>1</v>
      </c>
      <c r="V3490" s="13">
        <f t="shared" si="3752"/>
        <v>0</v>
      </c>
      <c r="W3490" s="13">
        <f t="shared" si="3752"/>
        <v>0</v>
      </c>
      <c r="X3490" s="13">
        <f t="shared" si="3752"/>
        <v>0</v>
      </c>
      <c r="Y3490" s="13">
        <f t="shared" si="3752"/>
        <v>0</v>
      </c>
      <c r="Z3490" s="13">
        <f t="shared" si="3023"/>
        <v>0</v>
      </c>
      <c r="AA3490" s="13"/>
      <c r="AB3490" s="13"/>
      <c r="AC3490" s="13"/>
      <c r="AD3490" s="13"/>
      <c r="AE3490" s="13"/>
      <c r="AF3490" s="13"/>
      <c r="AG3490" s="13"/>
      <c r="AH3490" s="13"/>
      <c r="AI3490" s="13"/>
      <c r="AJ3490" s="13"/>
      <c r="AK3490" s="13"/>
      <c r="AL3490" s="13"/>
      <c r="AM3490" s="13"/>
      <c r="AN3490" s="13"/>
      <c r="AO3490" s="13"/>
      <c r="AP3490" s="13"/>
      <c r="AQ3490" s="13"/>
      <c r="AR3490" s="13"/>
      <c r="AS3490" s="13"/>
    </row>
    <row r="3491" ht="14.25" customHeight="1">
      <c r="A3491" s="13" t="s">
        <v>36</v>
      </c>
      <c r="B3491" s="13" t="s">
        <v>37</v>
      </c>
      <c r="C3491" s="13" t="s">
        <v>611</v>
      </c>
      <c r="D3491" s="13" t="s">
        <v>178</v>
      </c>
      <c r="F3491" s="13"/>
      <c r="G3491" s="13" t="s">
        <v>111</v>
      </c>
      <c r="H3491" s="13" t="s">
        <v>75</v>
      </c>
      <c r="I3491" s="13"/>
      <c r="J3491" s="13"/>
      <c r="K3491" s="15">
        <v>0.0</v>
      </c>
      <c r="L3491" s="15">
        <v>0.0</v>
      </c>
      <c r="M3491" s="16"/>
      <c r="N3491" s="16"/>
      <c r="O3491" s="17"/>
      <c r="P3491" s="17"/>
      <c r="Q3491" s="13">
        <f t="shared" si="3725"/>
        <v>0</v>
      </c>
      <c r="R3491" s="13"/>
      <c r="S3491" s="13"/>
      <c r="T3491" s="13">
        <f t="shared" ref="T3491:Y3491" si="3753">IF(ISBLANK(K3491)=TRUE,0,1)</f>
        <v>1</v>
      </c>
      <c r="U3491" s="13">
        <f t="shared" si="3753"/>
        <v>1</v>
      </c>
      <c r="V3491" s="13">
        <f t="shared" si="3753"/>
        <v>0</v>
      </c>
      <c r="W3491" s="13">
        <f t="shared" si="3753"/>
        <v>0</v>
      </c>
      <c r="X3491" s="13">
        <f t="shared" si="3753"/>
        <v>0</v>
      </c>
      <c r="Y3491" s="13">
        <f t="shared" si="3753"/>
        <v>0</v>
      </c>
      <c r="Z3491" s="13">
        <f t="shared" si="3023"/>
        <v>0</v>
      </c>
      <c r="AA3491" s="13"/>
      <c r="AB3491" s="13"/>
      <c r="AC3491" s="13"/>
      <c r="AD3491" s="13"/>
      <c r="AE3491" s="13"/>
      <c r="AF3491" s="13"/>
      <c r="AG3491" s="13"/>
      <c r="AH3491" s="13"/>
      <c r="AI3491" s="13"/>
      <c r="AJ3491" s="13"/>
      <c r="AK3491" s="13"/>
      <c r="AL3491" s="13"/>
      <c r="AM3491" s="13"/>
      <c r="AN3491" s="13"/>
      <c r="AO3491" s="13"/>
      <c r="AP3491" s="13"/>
      <c r="AQ3491" s="13"/>
      <c r="AR3491" s="13"/>
      <c r="AS3491" s="13"/>
    </row>
    <row r="3492" ht="14.25" customHeight="1">
      <c r="A3492" s="13" t="s">
        <v>36</v>
      </c>
      <c r="B3492" s="13" t="s">
        <v>41</v>
      </c>
      <c r="C3492" s="13" t="s">
        <v>1970</v>
      </c>
      <c r="D3492" s="13" t="s">
        <v>176</v>
      </c>
      <c r="F3492" s="13"/>
      <c r="G3492" s="13" t="s">
        <v>74</v>
      </c>
      <c r="H3492" s="13" t="s">
        <v>75</v>
      </c>
      <c r="I3492" s="13"/>
      <c r="J3492" s="13"/>
      <c r="K3492" s="15">
        <v>0.0</v>
      </c>
      <c r="L3492" s="15">
        <v>0.0</v>
      </c>
      <c r="M3492" s="16"/>
      <c r="N3492" s="16"/>
      <c r="O3492" s="17"/>
      <c r="P3492" s="17"/>
      <c r="Q3492" s="13">
        <f t="shared" si="3725"/>
        <v>0</v>
      </c>
      <c r="R3492" s="13"/>
      <c r="S3492" s="13"/>
      <c r="T3492" s="13">
        <f t="shared" ref="T3492:Y3492" si="3754">IF(ISBLANK(K3492)=TRUE,0,1)</f>
        <v>1</v>
      </c>
      <c r="U3492" s="13">
        <f t="shared" si="3754"/>
        <v>1</v>
      </c>
      <c r="V3492" s="13">
        <f t="shared" si="3754"/>
        <v>0</v>
      </c>
      <c r="W3492" s="13">
        <f t="shared" si="3754"/>
        <v>0</v>
      </c>
      <c r="X3492" s="13">
        <f t="shared" si="3754"/>
        <v>0</v>
      </c>
      <c r="Y3492" s="13">
        <f t="shared" si="3754"/>
        <v>0</v>
      </c>
      <c r="Z3492" s="13">
        <f t="shared" si="3023"/>
        <v>0</v>
      </c>
      <c r="AA3492" s="13"/>
      <c r="AB3492" s="13"/>
      <c r="AC3492" s="13"/>
      <c r="AD3492" s="13"/>
      <c r="AE3492" s="13"/>
      <c r="AF3492" s="13"/>
      <c r="AG3492" s="13"/>
      <c r="AH3492" s="13"/>
      <c r="AI3492" s="13"/>
      <c r="AJ3492" s="13"/>
      <c r="AK3492" s="13"/>
      <c r="AL3492" s="13"/>
      <c r="AM3492" s="13"/>
      <c r="AN3492" s="13"/>
      <c r="AO3492" s="13"/>
      <c r="AP3492" s="13"/>
      <c r="AQ3492" s="13"/>
      <c r="AR3492" s="13"/>
      <c r="AS3492" s="13"/>
    </row>
    <row r="3493" ht="14.25" customHeight="1">
      <c r="A3493" s="13" t="s">
        <v>36</v>
      </c>
      <c r="B3493" s="13" t="s">
        <v>41</v>
      </c>
      <c r="C3493" s="13" t="s">
        <v>1970</v>
      </c>
      <c r="D3493" s="13" t="s">
        <v>177</v>
      </c>
      <c r="F3493" s="13"/>
      <c r="G3493" s="13" t="s">
        <v>74</v>
      </c>
      <c r="H3493" s="13" t="s">
        <v>75</v>
      </c>
      <c r="I3493" s="13"/>
      <c r="J3493" s="13"/>
      <c r="K3493" s="15">
        <v>0.0</v>
      </c>
      <c r="L3493" s="15">
        <v>0.0</v>
      </c>
      <c r="M3493" s="16"/>
      <c r="N3493" s="16"/>
      <c r="O3493" s="17"/>
      <c r="P3493" s="17"/>
      <c r="Q3493" s="13">
        <f t="shared" si="3725"/>
        <v>0</v>
      </c>
      <c r="R3493" s="13"/>
      <c r="S3493" s="13"/>
      <c r="T3493" s="13">
        <f t="shared" ref="T3493:Y3493" si="3755">IF(ISBLANK(K3493)=TRUE,0,1)</f>
        <v>1</v>
      </c>
      <c r="U3493" s="13">
        <f t="shared" si="3755"/>
        <v>1</v>
      </c>
      <c r="V3493" s="13">
        <f t="shared" si="3755"/>
        <v>0</v>
      </c>
      <c r="W3493" s="13">
        <f t="shared" si="3755"/>
        <v>0</v>
      </c>
      <c r="X3493" s="13">
        <f t="shared" si="3755"/>
        <v>0</v>
      </c>
      <c r="Y3493" s="13">
        <f t="shared" si="3755"/>
        <v>0</v>
      </c>
      <c r="Z3493" s="13">
        <f t="shared" si="3023"/>
        <v>0</v>
      </c>
      <c r="AA3493" s="13"/>
      <c r="AB3493" s="13"/>
      <c r="AC3493" s="13"/>
      <c r="AD3493" s="13"/>
      <c r="AE3493" s="13"/>
      <c r="AF3493" s="13"/>
      <c r="AG3493" s="13"/>
      <c r="AH3493" s="13"/>
      <c r="AI3493" s="13"/>
      <c r="AJ3493" s="13"/>
      <c r="AK3493" s="13"/>
      <c r="AL3493" s="13"/>
      <c r="AM3493" s="13"/>
      <c r="AN3493" s="13"/>
      <c r="AO3493" s="13"/>
      <c r="AP3493" s="13"/>
      <c r="AQ3493" s="13"/>
      <c r="AR3493" s="13"/>
      <c r="AS3493" s="13"/>
    </row>
    <row r="3494" ht="14.25" customHeight="1">
      <c r="A3494" s="13" t="s">
        <v>36</v>
      </c>
      <c r="B3494" s="13" t="s">
        <v>37</v>
      </c>
      <c r="C3494" s="13" t="s">
        <v>611</v>
      </c>
      <c r="D3494" s="13" t="s">
        <v>179</v>
      </c>
      <c r="F3494" s="13"/>
      <c r="G3494" s="13" t="s">
        <v>111</v>
      </c>
      <c r="H3494" s="13" t="s">
        <v>75</v>
      </c>
      <c r="I3494" s="13"/>
      <c r="J3494" s="13"/>
      <c r="K3494" s="15">
        <v>0.0</v>
      </c>
      <c r="L3494" s="15">
        <v>0.0</v>
      </c>
      <c r="M3494" s="16"/>
      <c r="N3494" s="16"/>
      <c r="O3494" s="17"/>
      <c r="P3494" s="17"/>
      <c r="Q3494" s="13">
        <f t="shared" si="3725"/>
        <v>0</v>
      </c>
      <c r="R3494" s="13"/>
      <c r="S3494" s="13"/>
      <c r="T3494" s="13">
        <f t="shared" ref="T3494:Y3494" si="3756">IF(ISBLANK(K3494)=TRUE,0,1)</f>
        <v>1</v>
      </c>
      <c r="U3494" s="13">
        <f t="shared" si="3756"/>
        <v>1</v>
      </c>
      <c r="V3494" s="13">
        <f t="shared" si="3756"/>
        <v>0</v>
      </c>
      <c r="W3494" s="13">
        <f t="shared" si="3756"/>
        <v>0</v>
      </c>
      <c r="X3494" s="13">
        <f t="shared" si="3756"/>
        <v>0</v>
      </c>
      <c r="Y3494" s="13">
        <f t="shared" si="3756"/>
        <v>0</v>
      </c>
      <c r="Z3494" s="13">
        <f t="shared" si="3023"/>
        <v>0</v>
      </c>
      <c r="AA3494" s="13"/>
      <c r="AB3494" s="13"/>
      <c r="AC3494" s="13"/>
      <c r="AD3494" s="13"/>
      <c r="AE3494" s="13"/>
      <c r="AF3494" s="13"/>
      <c r="AG3494" s="13"/>
      <c r="AH3494" s="13"/>
      <c r="AI3494" s="13"/>
      <c r="AJ3494" s="13"/>
      <c r="AK3494" s="13"/>
      <c r="AL3494" s="13"/>
      <c r="AM3494" s="13"/>
      <c r="AN3494" s="13"/>
      <c r="AO3494" s="13"/>
      <c r="AP3494" s="13"/>
      <c r="AQ3494" s="13"/>
      <c r="AR3494" s="13"/>
      <c r="AS3494" s="13"/>
    </row>
    <row r="3495" ht="14.25" customHeight="1">
      <c r="A3495" s="13" t="s">
        <v>36</v>
      </c>
      <c r="B3495" s="13" t="s">
        <v>41</v>
      </c>
      <c r="C3495" s="13" t="s">
        <v>1970</v>
      </c>
      <c r="D3495" s="13" t="s">
        <v>178</v>
      </c>
      <c r="F3495" s="13"/>
      <c r="G3495" s="13" t="s">
        <v>74</v>
      </c>
      <c r="H3495" s="13" t="s">
        <v>75</v>
      </c>
      <c r="I3495" s="13"/>
      <c r="J3495" s="13"/>
      <c r="K3495" s="15">
        <v>0.0</v>
      </c>
      <c r="L3495" s="15">
        <v>0.0</v>
      </c>
      <c r="M3495" s="16"/>
      <c r="N3495" s="16"/>
      <c r="O3495" s="17"/>
      <c r="P3495" s="17"/>
      <c r="Q3495" s="13">
        <f t="shared" si="3725"/>
        <v>0</v>
      </c>
      <c r="R3495" s="13"/>
      <c r="S3495" s="13"/>
      <c r="T3495" s="13">
        <f t="shared" ref="T3495:Y3495" si="3757">IF(ISBLANK(K3495)=TRUE,0,1)</f>
        <v>1</v>
      </c>
      <c r="U3495" s="13">
        <f t="shared" si="3757"/>
        <v>1</v>
      </c>
      <c r="V3495" s="13">
        <f t="shared" si="3757"/>
        <v>0</v>
      </c>
      <c r="W3495" s="13">
        <f t="shared" si="3757"/>
        <v>0</v>
      </c>
      <c r="X3495" s="13">
        <f t="shared" si="3757"/>
        <v>0</v>
      </c>
      <c r="Y3495" s="13">
        <f t="shared" si="3757"/>
        <v>0</v>
      </c>
      <c r="Z3495" s="13">
        <f t="shared" si="3023"/>
        <v>0</v>
      </c>
      <c r="AA3495" s="13"/>
      <c r="AB3495" s="13"/>
      <c r="AC3495" s="13"/>
      <c r="AD3495" s="13"/>
      <c r="AE3495" s="13"/>
      <c r="AF3495" s="13"/>
      <c r="AG3495" s="13"/>
      <c r="AH3495" s="13"/>
      <c r="AI3495" s="13"/>
      <c r="AJ3495" s="13"/>
      <c r="AK3495" s="13"/>
      <c r="AL3495" s="13"/>
      <c r="AM3495" s="13"/>
      <c r="AN3495" s="13"/>
      <c r="AO3495" s="13"/>
      <c r="AP3495" s="13"/>
      <c r="AQ3495" s="13"/>
      <c r="AR3495" s="13"/>
      <c r="AS3495" s="13"/>
    </row>
    <row r="3496" ht="14.25" customHeight="1">
      <c r="A3496" s="13" t="s">
        <v>36</v>
      </c>
      <c r="B3496" s="13" t="s">
        <v>41</v>
      </c>
      <c r="C3496" s="13" t="s">
        <v>1970</v>
      </c>
      <c r="D3496" s="13" t="s">
        <v>179</v>
      </c>
      <c r="F3496" s="13"/>
      <c r="G3496" s="13" t="s">
        <v>74</v>
      </c>
      <c r="H3496" s="13" t="s">
        <v>75</v>
      </c>
      <c r="I3496" s="13"/>
      <c r="J3496" s="13"/>
      <c r="K3496" s="15">
        <v>0.0</v>
      </c>
      <c r="L3496" s="15">
        <v>0.0</v>
      </c>
      <c r="M3496" s="16"/>
      <c r="N3496" s="16"/>
      <c r="O3496" s="17"/>
      <c r="P3496" s="17"/>
      <c r="Q3496" s="13">
        <f t="shared" si="3725"/>
        <v>0</v>
      </c>
      <c r="R3496" s="13"/>
      <c r="S3496" s="13"/>
      <c r="T3496" s="13">
        <f t="shared" ref="T3496:Y3496" si="3758">IF(ISBLANK(K3496)=TRUE,0,1)</f>
        <v>1</v>
      </c>
      <c r="U3496" s="13">
        <f t="shared" si="3758"/>
        <v>1</v>
      </c>
      <c r="V3496" s="13">
        <f t="shared" si="3758"/>
        <v>0</v>
      </c>
      <c r="W3496" s="13">
        <f t="shared" si="3758"/>
        <v>0</v>
      </c>
      <c r="X3496" s="13">
        <f t="shared" si="3758"/>
        <v>0</v>
      </c>
      <c r="Y3496" s="13">
        <f t="shared" si="3758"/>
        <v>0</v>
      </c>
      <c r="Z3496" s="13">
        <f t="shared" si="3023"/>
        <v>0</v>
      </c>
      <c r="AA3496" s="13"/>
      <c r="AB3496" s="13"/>
      <c r="AC3496" s="13"/>
      <c r="AD3496" s="13"/>
      <c r="AE3496" s="13"/>
      <c r="AF3496" s="13"/>
      <c r="AG3496" s="13"/>
      <c r="AH3496" s="13"/>
      <c r="AI3496" s="13"/>
      <c r="AJ3496" s="13"/>
      <c r="AK3496" s="13"/>
      <c r="AL3496" s="13"/>
      <c r="AM3496" s="13"/>
      <c r="AN3496" s="13"/>
      <c r="AO3496" s="13"/>
      <c r="AP3496" s="13"/>
      <c r="AQ3496" s="13"/>
      <c r="AR3496" s="13"/>
      <c r="AS3496" s="13"/>
    </row>
    <row r="3497" ht="14.25" customHeight="1">
      <c r="A3497" s="13" t="s">
        <v>36</v>
      </c>
      <c r="B3497" s="13" t="s">
        <v>41</v>
      </c>
      <c r="C3497" s="13" t="s">
        <v>1970</v>
      </c>
      <c r="D3497" s="13" t="s">
        <v>180</v>
      </c>
      <c r="F3497" s="13"/>
      <c r="G3497" s="13" t="s">
        <v>74</v>
      </c>
      <c r="H3497" s="13" t="s">
        <v>75</v>
      </c>
      <c r="I3497" s="13"/>
      <c r="J3497" s="13"/>
      <c r="K3497" s="15">
        <v>0.0</v>
      </c>
      <c r="L3497" s="15">
        <v>0.0</v>
      </c>
      <c r="M3497" s="16"/>
      <c r="N3497" s="16"/>
      <c r="O3497" s="17"/>
      <c r="P3497" s="17"/>
      <c r="Q3497" s="13">
        <f t="shared" si="3725"/>
        <v>0</v>
      </c>
      <c r="R3497" s="13"/>
      <c r="S3497" s="13"/>
      <c r="T3497" s="13">
        <f t="shared" ref="T3497:Y3497" si="3759">IF(ISBLANK(K3497)=TRUE,0,1)</f>
        <v>1</v>
      </c>
      <c r="U3497" s="13">
        <f t="shared" si="3759"/>
        <v>1</v>
      </c>
      <c r="V3497" s="13">
        <f t="shared" si="3759"/>
        <v>0</v>
      </c>
      <c r="W3497" s="13">
        <f t="shared" si="3759"/>
        <v>0</v>
      </c>
      <c r="X3497" s="13">
        <f t="shared" si="3759"/>
        <v>0</v>
      </c>
      <c r="Y3497" s="13">
        <f t="shared" si="3759"/>
        <v>0</v>
      </c>
      <c r="Z3497" s="13">
        <f t="shared" si="3023"/>
        <v>0</v>
      </c>
      <c r="AA3497" s="13"/>
      <c r="AB3497" s="13"/>
      <c r="AC3497" s="13"/>
      <c r="AD3497" s="13"/>
      <c r="AE3497" s="13"/>
      <c r="AF3497" s="13"/>
      <c r="AG3497" s="13"/>
      <c r="AH3497" s="13"/>
      <c r="AI3497" s="13"/>
      <c r="AJ3497" s="13"/>
      <c r="AK3497" s="13"/>
      <c r="AL3497" s="13"/>
      <c r="AM3497" s="13"/>
      <c r="AN3497" s="13"/>
      <c r="AO3497" s="13"/>
      <c r="AP3497" s="13"/>
      <c r="AQ3497" s="13"/>
      <c r="AR3497" s="13"/>
      <c r="AS3497" s="13"/>
    </row>
    <row r="3498" ht="14.25" customHeight="1">
      <c r="A3498" s="13" t="s">
        <v>36</v>
      </c>
      <c r="B3498" s="13" t="s">
        <v>37</v>
      </c>
      <c r="C3498" s="13" t="s">
        <v>611</v>
      </c>
      <c r="D3498" s="13" t="s">
        <v>180</v>
      </c>
      <c r="F3498" s="13"/>
      <c r="G3498" s="13" t="s">
        <v>111</v>
      </c>
      <c r="H3498" s="13" t="s">
        <v>75</v>
      </c>
      <c r="I3498" s="13"/>
      <c r="J3498" s="13"/>
      <c r="K3498" s="15">
        <v>0.0</v>
      </c>
      <c r="L3498" s="15">
        <v>0.0</v>
      </c>
      <c r="M3498" s="16"/>
      <c r="N3498" s="16"/>
      <c r="O3498" s="17"/>
      <c r="P3498" s="17"/>
      <c r="Q3498" s="13">
        <f t="shared" si="3725"/>
        <v>0</v>
      </c>
      <c r="R3498" s="13"/>
      <c r="S3498" s="13"/>
      <c r="T3498" s="13">
        <f t="shared" ref="T3498:Y3498" si="3760">IF(ISBLANK(K3498)=TRUE,0,1)</f>
        <v>1</v>
      </c>
      <c r="U3498" s="13">
        <f t="shared" si="3760"/>
        <v>1</v>
      </c>
      <c r="V3498" s="13">
        <f t="shared" si="3760"/>
        <v>0</v>
      </c>
      <c r="W3498" s="13">
        <f t="shared" si="3760"/>
        <v>0</v>
      </c>
      <c r="X3498" s="13">
        <f t="shared" si="3760"/>
        <v>0</v>
      </c>
      <c r="Y3498" s="13">
        <f t="shared" si="3760"/>
        <v>0</v>
      </c>
      <c r="Z3498" s="13">
        <f t="shared" si="3023"/>
        <v>0</v>
      </c>
      <c r="AA3498" s="13"/>
      <c r="AB3498" s="13"/>
      <c r="AC3498" s="13"/>
      <c r="AD3498" s="13"/>
      <c r="AE3498" s="13"/>
      <c r="AF3498" s="13"/>
      <c r="AG3498" s="13"/>
      <c r="AH3498" s="13"/>
      <c r="AI3498" s="13"/>
      <c r="AJ3498" s="13"/>
      <c r="AK3498" s="13"/>
      <c r="AL3498" s="13"/>
      <c r="AM3498" s="13"/>
      <c r="AN3498" s="13"/>
      <c r="AO3498" s="13"/>
      <c r="AP3498" s="13"/>
      <c r="AQ3498" s="13"/>
      <c r="AR3498" s="13"/>
      <c r="AS3498" s="13"/>
    </row>
    <row r="3499" ht="14.25" customHeight="1">
      <c r="A3499" s="13" t="s">
        <v>36</v>
      </c>
      <c r="B3499" s="13" t="s">
        <v>41</v>
      </c>
      <c r="C3499" s="13" t="s">
        <v>1970</v>
      </c>
      <c r="D3499" s="13" t="s">
        <v>181</v>
      </c>
      <c r="F3499" s="13"/>
      <c r="G3499" s="13" t="s">
        <v>74</v>
      </c>
      <c r="H3499" s="13" t="s">
        <v>75</v>
      </c>
      <c r="I3499" s="13"/>
      <c r="J3499" s="13"/>
      <c r="K3499" s="15">
        <v>0.0</v>
      </c>
      <c r="L3499" s="15">
        <v>0.0</v>
      </c>
      <c r="M3499" s="16"/>
      <c r="N3499" s="16"/>
      <c r="O3499" s="17"/>
      <c r="P3499" s="17"/>
      <c r="Q3499" s="13">
        <f t="shared" si="3725"/>
        <v>0</v>
      </c>
      <c r="R3499" s="13"/>
      <c r="S3499" s="13"/>
      <c r="T3499" s="13">
        <f t="shared" ref="T3499:Y3499" si="3761">IF(ISBLANK(K3499)=TRUE,0,1)</f>
        <v>1</v>
      </c>
      <c r="U3499" s="13">
        <f t="shared" si="3761"/>
        <v>1</v>
      </c>
      <c r="V3499" s="13">
        <f t="shared" si="3761"/>
        <v>0</v>
      </c>
      <c r="W3499" s="13">
        <f t="shared" si="3761"/>
        <v>0</v>
      </c>
      <c r="X3499" s="13">
        <f t="shared" si="3761"/>
        <v>0</v>
      </c>
      <c r="Y3499" s="13">
        <f t="shared" si="3761"/>
        <v>0</v>
      </c>
      <c r="Z3499" s="13">
        <f t="shared" si="3023"/>
        <v>0</v>
      </c>
      <c r="AA3499" s="13"/>
      <c r="AB3499" s="13"/>
      <c r="AC3499" s="13"/>
      <c r="AD3499" s="13"/>
      <c r="AE3499" s="13"/>
      <c r="AF3499" s="13"/>
      <c r="AG3499" s="13"/>
      <c r="AH3499" s="13"/>
      <c r="AI3499" s="13"/>
      <c r="AJ3499" s="13"/>
      <c r="AK3499" s="13"/>
      <c r="AL3499" s="13"/>
      <c r="AM3499" s="13"/>
      <c r="AN3499" s="13"/>
      <c r="AO3499" s="13"/>
      <c r="AP3499" s="13"/>
      <c r="AQ3499" s="13"/>
      <c r="AR3499" s="13"/>
      <c r="AS3499" s="13"/>
    </row>
    <row r="3500" ht="14.25" customHeight="1">
      <c r="A3500" s="13" t="s">
        <v>36</v>
      </c>
      <c r="B3500" s="13" t="s">
        <v>37</v>
      </c>
      <c r="C3500" s="13" t="s">
        <v>611</v>
      </c>
      <c r="D3500" s="13" t="s">
        <v>181</v>
      </c>
      <c r="F3500" s="13"/>
      <c r="G3500" s="13" t="s">
        <v>111</v>
      </c>
      <c r="H3500" s="13" t="s">
        <v>75</v>
      </c>
      <c r="I3500" s="13"/>
      <c r="J3500" s="13"/>
      <c r="K3500" s="15">
        <v>0.0</v>
      </c>
      <c r="L3500" s="15">
        <v>0.0</v>
      </c>
      <c r="M3500" s="16"/>
      <c r="N3500" s="16"/>
      <c r="O3500" s="17"/>
      <c r="P3500" s="17"/>
      <c r="Q3500" s="13">
        <f t="shared" si="3725"/>
        <v>0</v>
      </c>
      <c r="R3500" s="13"/>
      <c r="S3500" s="13"/>
      <c r="T3500" s="13">
        <f t="shared" ref="T3500:Y3500" si="3762">IF(ISBLANK(K3500)=TRUE,0,1)</f>
        <v>1</v>
      </c>
      <c r="U3500" s="13">
        <f t="shared" si="3762"/>
        <v>1</v>
      </c>
      <c r="V3500" s="13">
        <f t="shared" si="3762"/>
        <v>0</v>
      </c>
      <c r="W3500" s="13">
        <f t="shared" si="3762"/>
        <v>0</v>
      </c>
      <c r="X3500" s="13">
        <f t="shared" si="3762"/>
        <v>0</v>
      </c>
      <c r="Y3500" s="13">
        <f t="shared" si="3762"/>
        <v>0</v>
      </c>
      <c r="Z3500" s="13">
        <f t="shared" si="3023"/>
        <v>0</v>
      </c>
      <c r="AA3500" s="13"/>
      <c r="AB3500" s="13"/>
      <c r="AC3500" s="13"/>
      <c r="AD3500" s="13"/>
      <c r="AE3500" s="13"/>
      <c r="AF3500" s="13"/>
      <c r="AG3500" s="13"/>
      <c r="AH3500" s="13"/>
      <c r="AI3500" s="13"/>
      <c r="AJ3500" s="13"/>
      <c r="AK3500" s="13"/>
      <c r="AL3500" s="13"/>
      <c r="AM3500" s="13"/>
      <c r="AN3500" s="13"/>
      <c r="AO3500" s="13"/>
      <c r="AP3500" s="13"/>
      <c r="AQ3500" s="13"/>
      <c r="AR3500" s="13"/>
      <c r="AS3500" s="13"/>
    </row>
    <row r="3501" ht="14.25" customHeight="1">
      <c r="A3501" s="13" t="s">
        <v>36</v>
      </c>
      <c r="B3501" s="13" t="s">
        <v>41</v>
      </c>
      <c r="C3501" s="13" t="s">
        <v>1970</v>
      </c>
      <c r="D3501" s="13" t="s">
        <v>182</v>
      </c>
      <c r="F3501" s="13"/>
      <c r="G3501" s="13" t="s">
        <v>74</v>
      </c>
      <c r="H3501" s="13" t="s">
        <v>75</v>
      </c>
      <c r="I3501" s="13"/>
      <c r="J3501" s="13"/>
      <c r="K3501" s="15">
        <v>0.0</v>
      </c>
      <c r="L3501" s="15">
        <v>0.0</v>
      </c>
      <c r="M3501" s="16"/>
      <c r="N3501" s="16"/>
      <c r="O3501" s="17"/>
      <c r="P3501" s="17"/>
      <c r="Q3501" s="13">
        <f t="shared" si="3725"/>
        <v>0</v>
      </c>
      <c r="R3501" s="13"/>
      <c r="S3501" s="13"/>
      <c r="T3501" s="13">
        <f t="shared" ref="T3501:Y3501" si="3763">IF(ISBLANK(K3501)=TRUE,0,1)</f>
        <v>1</v>
      </c>
      <c r="U3501" s="13">
        <f t="shared" si="3763"/>
        <v>1</v>
      </c>
      <c r="V3501" s="13">
        <f t="shared" si="3763"/>
        <v>0</v>
      </c>
      <c r="W3501" s="13">
        <f t="shared" si="3763"/>
        <v>0</v>
      </c>
      <c r="X3501" s="13">
        <f t="shared" si="3763"/>
        <v>0</v>
      </c>
      <c r="Y3501" s="13">
        <f t="shared" si="3763"/>
        <v>0</v>
      </c>
      <c r="Z3501" s="13">
        <f t="shared" si="3023"/>
        <v>0</v>
      </c>
      <c r="AA3501" s="13"/>
      <c r="AB3501" s="13"/>
      <c r="AC3501" s="13"/>
      <c r="AD3501" s="13"/>
      <c r="AE3501" s="13"/>
      <c r="AF3501" s="13"/>
      <c r="AG3501" s="13"/>
      <c r="AH3501" s="13"/>
      <c r="AI3501" s="13"/>
      <c r="AJ3501" s="13"/>
      <c r="AK3501" s="13"/>
      <c r="AL3501" s="13"/>
      <c r="AM3501" s="13"/>
      <c r="AN3501" s="13"/>
      <c r="AO3501" s="13"/>
      <c r="AP3501" s="13"/>
      <c r="AQ3501" s="13"/>
      <c r="AR3501" s="13"/>
      <c r="AS3501" s="13"/>
    </row>
    <row r="3502" ht="14.25" customHeight="1">
      <c r="A3502" s="13" t="s">
        <v>36</v>
      </c>
      <c r="B3502" s="13" t="s">
        <v>41</v>
      </c>
      <c r="C3502" s="13" t="s">
        <v>1970</v>
      </c>
      <c r="D3502" s="13" t="s">
        <v>183</v>
      </c>
      <c r="F3502" s="13"/>
      <c r="G3502" s="13" t="s">
        <v>74</v>
      </c>
      <c r="H3502" s="13" t="s">
        <v>75</v>
      </c>
      <c r="I3502" s="13"/>
      <c r="J3502" s="13"/>
      <c r="K3502" s="15">
        <v>0.0</v>
      </c>
      <c r="L3502" s="15">
        <v>0.0</v>
      </c>
      <c r="M3502" s="16"/>
      <c r="N3502" s="16"/>
      <c r="O3502" s="17"/>
      <c r="P3502" s="17"/>
      <c r="Q3502" s="13">
        <f t="shared" si="3725"/>
        <v>0</v>
      </c>
      <c r="R3502" s="13"/>
      <c r="S3502" s="13"/>
      <c r="T3502" s="13">
        <f t="shared" ref="T3502:Y3502" si="3764">IF(ISBLANK(K3502)=TRUE,0,1)</f>
        <v>1</v>
      </c>
      <c r="U3502" s="13">
        <f t="shared" si="3764"/>
        <v>1</v>
      </c>
      <c r="V3502" s="13">
        <f t="shared" si="3764"/>
        <v>0</v>
      </c>
      <c r="W3502" s="13">
        <f t="shared" si="3764"/>
        <v>0</v>
      </c>
      <c r="X3502" s="13">
        <f t="shared" si="3764"/>
        <v>0</v>
      </c>
      <c r="Y3502" s="13">
        <f t="shared" si="3764"/>
        <v>0</v>
      </c>
      <c r="Z3502" s="13">
        <f t="shared" si="3023"/>
        <v>0</v>
      </c>
      <c r="AA3502" s="13"/>
      <c r="AB3502" s="13"/>
      <c r="AC3502" s="13"/>
      <c r="AD3502" s="13"/>
      <c r="AE3502" s="13"/>
      <c r="AF3502" s="13"/>
      <c r="AG3502" s="13"/>
      <c r="AH3502" s="13"/>
      <c r="AI3502" s="13"/>
      <c r="AJ3502" s="13"/>
      <c r="AK3502" s="13"/>
      <c r="AL3502" s="13"/>
      <c r="AM3502" s="13"/>
      <c r="AN3502" s="13"/>
      <c r="AO3502" s="13"/>
      <c r="AP3502" s="13"/>
      <c r="AQ3502" s="13"/>
      <c r="AR3502" s="13"/>
      <c r="AS3502" s="13"/>
    </row>
    <row r="3503" ht="14.25" customHeight="1">
      <c r="A3503" s="13" t="s">
        <v>36</v>
      </c>
      <c r="B3503" s="13" t="s">
        <v>37</v>
      </c>
      <c r="C3503" s="13" t="s">
        <v>611</v>
      </c>
      <c r="D3503" s="13" t="s">
        <v>182</v>
      </c>
      <c r="F3503" s="13"/>
      <c r="G3503" s="13" t="s">
        <v>111</v>
      </c>
      <c r="H3503" s="13" t="s">
        <v>75</v>
      </c>
      <c r="I3503" s="13"/>
      <c r="J3503" s="13"/>
      <c r="K3503" s="15">
        <v>0.0</v>
      </c>
      <c r="L3503" s="15">
        <v>0.0</v>
      </c>
      <c r="M3503" s="16"/>
      <c r="N3503" s="16"/>
      <c r="O3503" s="17"/>
      <c r="P3503" s="17"/>
      <c r="Q3503" s="13"/>
      <c r="R3503" s="13"/>
      <c r="S3503" s="13"/>
      <c r="T3503" s="13">
        <f t="shared" ref="T3503:Y3503" si="3765">IF(ISBLANK(K3503)=TRUE,0,1)</f>
        <v>1</v>
      </c>
      <c r="U3503" s="13">
        <f t="shared" si="3765"/>
        <v>1</v>
      </c>
      <c r="V3503" s="13">
        <f t="shared" si="3765"/>
        <v>0</v>
      </c>
      <c r="W3503" s="13">
        <f t="shared" si="3765"/>
        <v>0</v>
      </c>
      <c r="X3503" s="13">
        <f t="shared" si="3765"/>
        <v>0</v>
      </c>
      <c r="Y3503" s="13">
        <f t="shared" si="3765"/>
        <v>0</v>
      </c>
      <c r="Z3503" s="13">
        <f t="shared" si="3023"/>
        <v>0</v>
      </c>
      <c r="AA3503" s="13"/>
      <c r="AB3503" s="13"/>
      <c r="AC3503" s="13"/>
      <c r="AD3503" s="13"/>
      <c r="AE3503" s="13"/>
      <c r="AF3503" s="13"/>
      <c r="AG3503" s="13"/>
      <c r="AH3503" s="13"/>
      <c r="AI3503" s="13"/>
      <c r="AJ3503" s="13"/>
      <c r="AK3503" s="13"/>
      <c r="AL3503" s="13"/>
      <c r="AM3503" s="13"/>
      <c r="AN3503" s="13"/>
      <c r="AO3503" s="13"/>
      <c r="AP3503" s="13"/>
      <c r="AQ3503" s="13"/>
      <c r="AR3503" s="13"/>
      <c r="AS3503" s="13"/>
    </row>
    <row r="3504" ht="14.25" customHeight="1">
      <c r="A3504" s="13" t="s">
        <v>36</v>
      </c>
      <c r="B3504" s="13" t="s">
        <v>41</v>
      </c>
      <c r="C3504" s="13" t="s">
        <v>1970</v>
      </c>
      <c r="D3504" s="13" t="s">
        <v>184</v>
      </c>
      <c r="F3504" s="13"/>
      <c r="G3504" s="13" t="s">
        <v>74</v>
      </c>
      <c r="H3504" s="13" t="s">
        <v>75</v>
      </c>
      <c r="I3504" s="13"/>
      <c r="J3504" s="13"/>
      <c r="K3504" s="15">
        <v>0.0</v>
      </c>
      <c r="L3504" s="15">
        <v>0.0</v>
      </c>
      <c r="M3504" s="16"/>
      <c r="N3504" s="16"/>
      <c r="O3504" s="17"/>
      <c r="P3504" s="17"/>
      <c r="Q3504" s="13">
        <f t="shared" ref="Q3504:Q3506" si="3767">K3503+L3503+M3503+N3503+O3503+P3503/6</f>
        <v>0</v>
      </c>
      <c r="R3504" s="13"/>
      <c r="S3504" s="13"/>
      <c r="T3504" s="13">
        <f t="shared" ref="T3504:Y3504" si="3766">IF(ISBLANK(K3504)=TRUE,0,1)</f>
        <v>1</v>
      </c>
      <c r="U3504" s="13">
        <f t="shared" si="3766"/>
        <v>1</v>
      </c>
      <c r="V3504" s="13">
        <f t="shared" si="3766"/>
        <v>0</v>
      </c>
      <c r="W3504" s="13">
        <f t="shared" si="3766"/>
        <v>0</v>
      </c>
      <c r="X3504" s="13">
        <f t="shared" si="3766"/>
        <v>0</v>
      </c>
      <c r="Y3504" s="13">
        <f t="shared" si="3766"/>
        <v>0</v>
      </c>
      <c r="Z3504" s="13">
        <f t="shared" si="3023"/>
        <v>0</v>
      </c>
      <c r="AA3504" s="13"/>
      <c r="AB3504" s="13"/>
      <c r="AC3504" s="13"/>
      <c r="AD3504" s="13"/>
      <c r="AE3504" s="13"/>
      <c r="AF3504" s="13"/>
      <c r="AG3504" s="13"/>
      <c r="AH3504" s="13"/>
      <c r="AI3504" s="13"/>
      <c r="AJ3504" s="13"/>
      <c r="AK3504" s="13"/>
      <c r="AL3504" s="13"/>
      <c r="AM3504" s="13"/>
      <c r="AN3504" s="13"/>
      <c r="AO3504" s="13"/>
      <c r="AP3504" s="13"/>
      <c r="AQ3504" s="13"/>
      <c r="AR3504" s="13"/>
      <c r="AS3504" s="13"/>
    </row>
    <row r="3505" ht="14.25" customHeight="1">
      <c r="A3505" s="13" t="s">
        <v>36</v>
      </c>
      <c r="B3505" s="13" t="s">
        <v>41</v>
      </c>
      <c r="C3505" s="13" t="s">
        <v>1970</v>
      </c>
      <c r="D3505" s="13" t="s">
        <v>185</v>
      </c>
      <c r="F3505" s="13"/>
      <c r="G3505" s="13" t="s">
        <v>74</v>
      </c>
      <c r="H3505" s="13" t="s">
        <v>75</v>
      </c>
      <c r="I3505" s="13"/>
      <c r="J3505" s="13"/>
      <c r="K3505" s="15">
        <v>0.0</v>
      </c>
      <c r="L3505" s="15">
        <v>0.0</v>
      </c>
      <c r="M3505" s="16"/>
      <c r="N3505" s="16"/>
      <c r="O3505" s="17"/>
      <c r="P3505" s="17"/>
      <c r="Q3505" s="13">
        <f t="shared" si="3767"/>
        <v>0</v>
      </c>
      <c r="R3505" s="13"/>
      <c r="S3505" s="13"/>
      <c r="T3505" s="13">
        <f t="shared" ref="T3505:Y3505" si="3768">IF(ISBLANK(K3505)=TRUE,0,1)</f>
        <v>1</v>
      </c>
      <c r="U3505" s="13">
        <f t="shared" si="3768"/>
        <v>1</v>
      </c>
      <c r="V3505" s="13">
        <f t="shared" si="3768"/>
        <v>0</v>
      </c>
      <c r="W3505" s="13">
        <f t="shared" si="3768"/>
        <v>0</v>
      </c>
      <c r="X3505" s="13">
        <f t="shared" si="3768"/>
        <v>0</v>
      </c>
      <c r="Y3505" s="13">
        <f t="shared" si="3768"/>
        <v>0</v>
      </c>
      <c r="Z3505" s="13">
        <f t="shared" si="3023"/>
        <v>0</v>
      </c>
      <c r="AA3505" s="13"/>
      <c r="AB3505" s="13"/>
      <c r="AC3505" s="13"/>
      <c r="AD3505" s="13"/>
      <c r="AE3505" s="13"/>
      <c r="AF3505" s="13"/>
      <c r="AG3505" s="13"/>
      <c r="AH3505" s="13"/>
      <c r="AI3505" s="13"/>
      <c r="AJ3505" s="13"/>
      <c r="AK3505" s="13"/>
      <c r="AL3505" s="13"/>
      <c r="AM3505" s="13"/>
      <c r="AN3505" s="13"/>
      <c r="AO3505" s="13"/>
      <c r="AP3505" s="13"/>
      <c r="AQ3505" s="13"/>
      <c r="AR3505" s="13"/>
      <c r="AS3505" s="13"/>
    </row>
    <row r="3506" ht="14.25" customHeight="1">
      <c r="A3506" s="13" t="s">
        <v>36</v>
      </c>
      <c r="B3506" s="13" t="s">
        <v>41</v>
      </c>
      <c r="C3506" s="13" t="s">
        <v>1970</v>
      </c>
      <c r="D3506" s="13" t="s">
        <v>186</v>
      </c>
      <c r="F3506" s="13"/>
      <c r="G3506" s="13" t="s">
        <v>74</v>
      </c>
      <c r="H3506" s="13" t="s">
        <v>75</v>
      </c>
      <c r="I3506" s="13"/>
      <c r="J3506" s="13"/>
      <c r="K3506" s="15">
        <v>0.0</v>
      </c>
      <c r="L3506" s="15">
        <v>0.0</v>
      </c>
      <c r="M3506" s="16"/>
      <c r="N3506" s="16"/>
      <c r="O3506" s="17"/>
      <c r="P3506" s="17"/>
      <c r="Q3506" s="13">
        <f t="shared" si="3767"/>
        <v>0</v>
      </c>
      <c r="R3506" s="13"/>
      <c r="S3506" s="13"/>
      <c r="T3506" s="13">
        <f t="shared" ref="T3506:Y3506" si="3769">IF(ISBLANK(K3506)=TRUE,0,1)</f>
        <v>1</v>
      </c>
      <c r="U3506" s="13">
        <f t="shared" si="3769"/>
        <v>1</v>
      </c>
      <c r="V3506" s="13">
        <f t="shared" si="3769"/>
        <v>0</v>
      </c>
      <c r="W3506" s="13">
        <f t="shared" si="3769"/>
        <v>0</v>
      </c>
      <c r="X3506" s="13">
        <f t="shared" si="3769"/>
        <v>0</v>
      </c>
      <c r="Y3506" s="13">
        <f t="shared" si="3769"/>
        <v>0</v>
      </c>
      <c r="Z3506" s="13">
        <f t="shared" si="3023"/>
        <v>0</v>
      </c>
      <c r="AA3506" s="13"/>
      <c r="AB3506" s="13"/>
      <c r="AC3506" s="13"/>
      <c r="AD3506" s="13"/>
      <c r="AE3506" s="13"/>
      <c r="AF3506" s="13"/>
      <c r="AG3506" s="13"/>
      <c r="AH3506" s="13"/>
      <c r="AI3506" s="13"/>
      <c r="AJ3506" s="13"/>
      <c r="AK3506" s="13"/>
      <c r="AL3506" s="13"/>
      <c r="AM3506" s="13"/>
      <c r="AN3506" s="13"/>
      <c r="AO3506" s="13"/>
      <c r="AP3506" s="13"/>
      <c r="AQ3506" s="13"/>
      <c r="AR3506" s="13"/>
      <c r="AS3506" s="13"/>
    </row>
    <row r="3507" ht="14.25" customHeight="1">
      <c r="A3507" s="13" t="s">
        <v>36</v>
      </c>
      <c r="B3507" s="13" t="s">
        <v>37</v>
      </c>
      <c r="C3507" s="13" t="s">
        <v>611</v>
      </c>
      <c r="D3507" s="13" t="s">
        <v>183</v>
      </c>
      <c r="F3507" s="13"/>
      <c r="G3507" s="13" t="s">
        <v>111</v>
      </c>
      <c r="H3507" s="13" t="s">
        <v>75</v>
      </c>
      <c r="I3507" s="13"/>
      <c r="J3507" s="13"/>
      <c r="K3507" s="15">
        <v>0.0</v>
      </c>
      <c r="L3507" s="15">
        <v>0.0</v>
      </c>
      <c r="M3507" s="16"/>
      <c r="N3507" s="16"/>
      <c r="O3507" s="17"/>
      <c r="P3507" s="17"/>
      <c r="Q3507" s="13"/>
      <c r="R3507" s="13"/>
      <c r="S3507" s="13"/>
      <c r="T3507" s="13">
        <f t="shared" ref="T3507:Y3507" si="3770">IF(ISBLANK(K3507)=TRUE,0,1)</f>
        <v>1</v>
      </c>
      <c r="U3507" s="13">
        <f t="shared" si="3770"/>
        <v>1</v>
      </c>
      <c r="V3507" s="13">
        <f t="shared" si="3770"/>
        <v>0</v>
      </c>
      <c r="W3507" s="13">
        <f t="shared" si="3770"/>
        <v>0</v>
      </c>
      <c r="X3507" s="13">
        <f t="shared" si="3770"/>
        <v>0</v>
      </c>
      <c r="Y3507" s="13">
        <f t="shared" si="3770"/>
        <v>0</v>
      </c>
      <c r="Z3507" s="13">
        <f t="shared" si="3023"/>
        <v>0</v>
      </c>
      <c r="AA3507" s="13"/>
      <c r="AB3507" s="13"/>
      <c r="AC3507" s="13"/>
      <c r="AD3507" s="13"/>
      <c r="AE3507" s="13"/>
      <c r="AF3507" s="13"/>
      <c r="AG3507" s="13"/>
      <c r="AH3507" s="13"/>
      <c r="AI3507" s="13"/>
      <c r="AJ3507" s="13"/>
      <c r="AK3507" s="13"/>
      <c r="AL3507" s="13"/>
      <c r="AM3507" s="13"/>
      <c r="AN3507" s="13"/>
      <c r="AO3507" s="13"/>
      <c r="AP3507" s="13"/>
      <c r="AQ3507" s="13"/>
      <c r="AR3507" s="13"/>
      <c r="AS3507" s="13"/>
    </row>
    <row r="3508" ht="14.25" customHeight="1">
      <c r="A3508" s="13" t="s">
        <v>36</v>
      </c>
      <c r="B3508" s="13" t="s">
        <v>41</v>
      </c>
      <c r="C3508" s="13" t="s">
        <v>1970</v>
      </c>
      <c r="D3508" s="13" t="s">
        <v>187</v>
      </c>
      <c r="F3508" s="13"/>
      <c r="G3508" s="13" t="s">
        <v>74</v>
      </c>
      <c r="H3508" s="13" t="s">
        <v>75</v>
      </c>
      <c r="I3508" s="13"/>
      <c r="J3508" s="13"/>
      <c r="K3508" s="15">
        <v>0.0</v>
      </c>
      <c r="L3508" s="15">
        <v>0.0</v>
      </c>
      <c r="M3508" s="16"/>
      <c r="N3508" s="16"/>
      <c r="O3508" s="17"/>
      <c r="P3508" s="17"/>
      <c r="Q3508" s="13">
        <f t="shared" ref="Q3508:Q3510" si="3772">K3507+L3507+M3507+N3507+O3507+P3507/6</f>
        <v>0</v>
      </c>
      <c r="R3508" s="13"/>
      <c r="S3508" s="13"/>
      <c r="T3508" s="13">
        <f t="shared" ref="T3508:Y3508" si="3771">IF(ISBLANK(K3508)=TRUE,0,1)</f>
        <v>1</v>
      </c>
      <c r="U3508" s="13">
        <f t="shared" si="3771"/>
        <v>1</v>
      </c>
      <c r="V3508" s="13">
        <f t="shared" si="3771"/>
        <v>0</v>
      </c>
      <c r="W3508" s="13">
        <f t="shared" si="3771"/>
        <v>0</v>
      </c>
      <c r="X3508" s="13">
        <f t="shared" si="3771"/>
        <v>0</v>
      </c>
      <c r="Y3508" s="13">
        <f t="shared" si="3771"/>
        <v>0</v>
      </c>
      <c r="Z3508" s="13">
        <f t="shared" si="3023"/>
        <v>0</v>
      </c>
      <c r="AA3508" s="13"/>
      <c r="AB3508" s="13"/>
      <c r="AC3508" s="13"/>
      <c r="AD3508" s="13"/>
      <c r="AE3508" s="13"/>
      <c r="AF3508" s="13"/>
      <c r="AG3508" s="13"/>
      <c r="AH3508" s="13"/>
      <c r="AI3508" s="13"/>
      <c r="AJ3508" s="13"/>
      <c r="AK3508" s="13"/>
      <c r="AL3508" s="13"/>
      <c r="AM3508" s="13"/>
      <c r="AN3508" s="13"/>
      <c r="AO3508" s="13"/>
      <c r="AP3508" s="13"/>
      <c r="AQ3508" s="13"/>
      <c r="AR3508" s="13"/>
      <c r="AS3508" s="13"/>
    </row>
    <row r="3509" ht="14.25" customHeight="1">
      <c r="A3509" s="13" t="s">
        <v>36</v>
      </c>
      <c r="B3509" s="13" t="s">
        <v>41</v>
      </c>
      <c r="C3509" s="13" t="s">
        <v>1970</v>
      </c>
      <c r="D3509" s="13" t="s">
        <v>188</v>
      </c>
      <c r="F3509" s="13"/>
      <c r="G3509" s="13" t="s">
        <v>74</v>
      </c>
      <c r="H3509" s="13" t="s">
        <v>75</v>
      </c>
      <c r="I3509" s="13"/>
      <c r="J3509" s="13"/>
      <c r="K3509" s="15">
        <v>0.0</v>
      </c>
      <c r="L3509" s="15">
        <v>0.0</v>
      </c>
      <c r="M3509" s="16"/>
      <c r="N3509" s="16"/>
      <c r="O3509" s="17"/>
      <c r="P3509" s="17"/>
      <c r="Q3509" s="13">
        <f t="shared" si="3772"/>
        <v>0</v>
      </c>
      <c r="R3509" s="13"/>
      <c r="S3509" s="13"/>
      <c r="T3509" s="13">
        <f t="shared" ref="T3509:Y3509" si="3773">IF(ISBLANK(K3509)=TRUE,0,1)</f>
        <v>1</v>
      </c>
      <c r="U3509" s="13">
        <f t="shared" si="3773"/>
        <v>1</v>
      </c>
      <c r="V3509" s="13">
        <f t="shared" si="3773"/>
        <v>0</v>
      </c>
      <c r="W3509" s="13">
        <f t="shared" si="3773"/>
        <v>0</v>
      </c>
      <c r="X3509" s="13">
        <f t="shared" si="3773"/>
        <v>0</v>
      </c>
      <c r="Y3509" s="13">
        <f t="shared" si="3773"/>
        <v>0</v>
      </c>
      <c r="Z3509" s="13">
        <f t="shared" si="3023"/>
        <v>0</v>
      </c>
      <c r="AA3509" s="13"/>
      <c r="AB3509" s="13"/>
      <c r="AC3509" s="13"/>
      <c r="AD3509" s="13"/>
      <c r="AE3509" s="13"/>
      <c r="AF3509" s="13"/>
      <c r="AG3509" s="13"/>
      <c r="AH3509" s="13"/>
      <c r="AI3509" s="13"/>
      <c r="AJ3509" s="13"/>
      <c r="AK3509" s="13"/>
      <c r="AL3509" s="13"/>
      <c r="AM3509" s="13"/>
      <c r="AN3509" s="13"/>
      <c r="AO3509" s="13"/>
      <c r="AP3509" s="13"/>
      <c r="AQ3509" s="13"/>
      <c r="AR3509" s="13"/>
      <c r="AS3509" s="13"/>
    </row>
    <row r="3510" ht="14.25" customHeight="1">
      <c r="A3510" s="13" t="s">
        <v>36</v>
      </c>
      <c r="B3510" s="13" t="s">
        <v>41</v>
      </c>
      <c r="C3510" s="13" t="s">
        <v>1970</v>
      </c>
      <c r="D3510" s="13" t="s">
        <v>189</v>
      </c>
      <c r="F3510" s="13"/>
      <c r="G3510" s="13" t="s">
        <v>74</v>
      </c>
      <c r="H3510" s="13" t="s">
        <v>75</v>
      </c>
      <c r="I3510" s="13"/>
      <c r="J3510" s="13"/>
      <c r="K3510" s="15">
        <v>0.0</v>
      </c>
      <c r="L3510" s="15">
        <v>0.0</v>
      </c>
      <c r="M3510" s="16"/>
      <c r="N3510" s="16"/>
      <c r="O3510" s="17"/>
      <c r="P3510" s="17"/>
      <c r="Q3510" s="13">
        <f t="shared" si="3772"/>
        <v>0</v>
      </c>
      <c r="R3510" s="13"/>
      <c r="S3510" s="13"/>
      <c r="T3510" s="13">
        <f t="shared" ref="T3510:Y3510" si="3774">IF(ISBLANK(K3510)=TRUE,0,1)</f>
        <v>1</v>
      </c>
      <c r="U3510" s="13">
        <f t="shared" si="3774"/>
        <v>1</v>
      </c>
      <c r="V3510" s="13">
        <f t="shared" si="3774"/>
        <v>0</v>
      </c>
      <c r="W3510" s="13">
        <f t="shared" si="3774"/>
        <v>0</v>
      </c>
      <c r="X3510" s="13">
        <f t="shared" si="3774"/>
        <v>0</v>
      </c>
      <c r="Y3510" s="13">
        <f t="shared" si="3774"/>
        <v>0</v>
      </c>
      <c r="Z3510" s="13">
        <f t="shared" si="3023"/>
        <v>0</v>
      </c>
      <c r="AA3510" s="13"/>
      <c r="AB3510" s="13"/>
      <c r="AC3510" s="13"/>
      <c r="AD3510" s="13"/>
      <c r="AE3510" s="13"/>
      <c r="AF3510" s="13"/>
      <c r="AG3510" s="13"/>
      <c r="AH3510" s="13"/>
      <c r="AI3510" s="13"/>
      <c r="AJ3510" s="13"/>
      <c r="AK3510" s="13"/>
      <c r="AL3510" s="13"/>
      <c r="AM3510" s="13"/>
      <c r="AN3510" s="13"/>
      <c r="AO3510" s="13"/>
      <c r="AP3510" s="13"/>
      <c r="AQ3510" s="13"/>
      <c r="AR3510" s="13"/>
      <c r="AS3510" s="13"/>
    </row>
    <row r="3511" ht="14.25" customHeight="1">
      <c r="A3511" s="13" t="s">
        <v>36</v>
      </c>
      <c r="B3511" s="13" t="s">
        <v>37</v>
      </c>
      <c r="C3511" s="13" t="s">
        <v>611</v>
      </c>
      <c r="D3511" s="13" t="s">
        <v>184</v>
      </c>
      <c r="F3511" s="13"/>
      <c r="G3511" s="13" t="s">
        <v>111</v>
      </c>
      <c r="H3511" s="13" t="s">
        <v>75</v>
      </c>
      <c r="I3511" s="13"/>
      <c r="J3511" s="13"/>
      <c r="K3511" s="15">
        <v>0.0</v>
      </c>
      <c r="L3511" s="15">
        <v>0.0</v>
      </c>
      <c r="M3511" s="16"/>
      <c r="N3511" s="16"/>
      <c r="O3511" s="17"/>
      <c r="P3511" s="17"/>
      <c r="Q3511" s="13"/>
      <c r="R3511" s="13"/>
      <c r="S3511" s="13"/>
      <c r="T3511" s="13">
        <f t="shared" ref="T3511:Y3511" si="3775">IF(ISBLANK(K3511)=TRUE,0,1)</f>
        <v>1</v>
      </c>
      <c r="U3511" s="13">
        <f t="shared" si="3775"/>
        <v>1</v>
      </c>
      <c r="V3511" s="13">
        <f t="shared" si="3775"/>
        <v>0</v>
      </c>
      <c r="W3511" s="13">
        <f t="shared" si="3775"/>
        <v>0</v>
      </c>
      <c r="X3511" s="13">
        <f t="shared" si="3775"/>
        <v>0</v>
      </c>
      <c r="Y3511" s="13">
        <f t="shared" si="3775"/>
        <v>0</v>
      </c>
      <c r="Z3511" s="13">
        <f t="shared" si="3023"/>
        <v>0</v>
      </c>
      <c r="AA3511" s="13"/>
      <c r="AB3511" s="13"/>
      <c r="AC3511" s="13"/>
      <c r="AD3511" s="13"/>
      <c r="AE3511" s="13"/>
      <c r="AF3511" s="13"/>
      <c r="AG3511" s="13"/>
      <c r="AH3511" s="13"/>
      <c r="AI3511" s="13"/>
      <c r="AJ3511" s="13"/>
      <c r="AK3511" s="13"/>
      <c r="AL3511" s="13"/>
      <c r="AM3511" s="13"/>
      <c r="AN3511" s="13"/>
      <c r="AO3511" s="13"/>
      <c r="AP3511" s="13"/>
      <c r="AQ3511" s="13"/>
      <c r="AR3511" s="13"/>
      <c r="AS3511" s="13"/>
    </row>
    <row r="3512" ht="14.25" customHeight="1">
      <c r="A3512" s="13" t="s">
        <v>36</v>
      </c>
      <c r="B3512" s="13" t="s">
        <v>41</v>
      </c>
      <c r="C3512" s="13" t="s">
        <v>1970</v>
      </c>
      <c r="D3512" s="13" t="s">
        <v>190</v>
      </c>
      <c r="F3512" s="13"/>
      <c r="G3512" s="13" t="s">
        <v>74</v>
      </c>
      <c r="H3512" s="13" t="s">
        <v>75</v>
      </c>
      <c r="I3512" s="13"/>
      <c r="J3512" s="13"/>
      <c r="K3512" s="15">
        <v>0.0</v>
      </c>
      <c r="L3512" s="15">
        <v>0.0</v>
      </c>
      <c r="M3512" s="16"/>
      <c r="N3512" s="16"/>
      <c r="O3512" s="17"/>
      <c r="P3512" s="17"/>
      <c r="Q3512" s="13">
        <f t="shared" ref="Q3512:Q3514" si="3777">K3511+L3511+M3511+N3511+O3511+P3511/6</f>
        <v>0</v>
      </c>
      <c r="R3512" s="13"/>
      <c r="S3512" s="13"/>
      <c r="T3512" s="13">
        <f t="shared" ref="T3512:Y3512" si="3776">IF(ISBLANK(K3512)=TRUE,0,1)</f>
        <v>1</v>
      </c>
      <c r="U3512" s="13">
        <f t="shared" si="3776"/>
        <v>1</v>
      </c>
      <c r="V3512" s="13">
        <f t="shared" si="3776"/>
        <v>0</v>
      </c>
      <c r="W3512" s="13">
        <f t="shared" si="3776"/>
        <v>0</v>
      </c>
      <c r="X3512" s="13">
        <f t="shared" si="3776"/>
        <v>0</v>
      </c>
      <c r="Y3512" s="13">
        <f t="shared" si="3776"/>
        <v>0</v>
      </c>
      <c r="Z3512" s="13">
        <f t="shared" si="3023"/>
        <v>0</v>
      </c>
      <c r="AA3512" s="13"/>
      <c r="AB3512" s="13"/>
      <c r="AC3512" s="13"/>
      <c r="AD3512" s="13"/>
      <c r="AE3512" s="13"/>
      <c r="AF3512" s="13"/>
      <c r="AG3512" s="13"/>
      <c r="AH3512" s="13"/>
      <c r="AI3512" s="13"/>
      <c r="AJ3512" s="13"/>
      <c r="AK3512" s="13"/>
      <c r="AL3512" s="13"/>
      <c r="AM3512" s="13"/>
      <c r="AN3512" s="13"/>
      <c r="AO3512" s="13"/>
      <c r="AP3512" s="13"/>
      <c r="AQ3512" s="13"/>
      <c r="AR3512" s="13"/>
      <c r="AS3512" s="13"/>
    </row>
    <row r="3513" ht="14.25" customHeight="1">
      <c r="A3513" s="13" t="s">
        <v>36</v>
      </c>
      <c r="B3513" s="13" t="s">
        <v>41</v>
      </c>
      <c r="C3513" s="13" t="s">
        <v>1970</v>
      </c>
      <c r="D3513" s="13" t="s">
        <v>191</v>
      </c>
      <c r="F3513" s="13"/>
      <c r="G3513" s="13" t="s">
        <v>74</v>
      </c>
      <c r="H3513" s="13" t="s">
        <v>75</v>
      </c>
      <c r="I3513" s="13"/>
      <c r="J3513" s="13"/>
      <c r="K3513" s="15">
        <v>0.0</v>
      </c>
      <c r="L3513" s="15">
        <v>0.0</v>
      </c>
      <c r="M3513" s="16"/>
      <c r="N3513" s="16"/>
      <c r="O3513" s="17"/>
      <c r="P3513" s="17"/>
      <c r="Q3513" s="13">
        <f t="shared" si="3777"/>
        <v>0</v>
      </c>
      <c r="R3513" s="13"/>
      <c r="S3513" s="13"/>
      <c r="T3513" s="13">
        <f t="shared" ref="T3513:Y3513" si="3778">IF(ISBLANK(K3513)=TRUE,0,1)</f>
        <v>1</v>
      </c>
      <c r="U3513" s="13">
        <f t="shared" si="3778"/>
        <v>1</v>
      </c>
      <c r="V3513" s="13">
        <f t="shared" si="3778"/>
        <v>0</v>
      </c>
      <c r="W3513" s="13">
        <f t="shared" si="3778"/>
        <v>0</v>
      </c>
      <c r="X3513" s="13">
        <f t="shared" si="3778"/>
        <v>0</v>
      </c>
      <c r="Y3513" s="13">
        <f t="shared" si="3778"/>
        <v>0</v>
      </c>
      <c r="Z3513" s="13">
        <f t="shared" si="3023"/>
        <v>0</v>
      </c>
      <c r="AA3513" s="13"/>
      <c r="AB3513" s="13"/>
      <c r="AC3513" s="13"/>
      <c r="AD3513" s="13"/>
      <c r="AE3513" s="13"/>
      <c r="AF3513" s="13"/>
      <c r="AG3513" s="13"/>
      <c r="AH3513" s="13"/>
      <c r="AI3513" s="13"/>
      <c r="AJ3513" s="13"/>
      <c r="AK3513" s="13"/>
      <c r="AL3513" s="13"/>
      <c r="AM3513" s="13"/>
      <c r="AN3513" s="13"/>
      <c r="AO3513" s="13"/>
      <c r="AP3513" s="13"/>
      <c r="AQ3513" s="13"/>
      <c r="AR3513" s="13"/>
      <c r="AS3513" s="13"/>
    </row>
    <row r="3514" ht="14.25" customHeight="1">
      <c r="A3514" s="13" t="s">
        <v>36</v>
      </c>
      <c r="B3514" s="13" t="s">
        <v>41</v>
      </c>
      <c r="C3514" s="13" t="s">
        <v>1970</v>
      </c>
      <c r="D3514" s="13" t="s">
        <v>192</v>
      </c>
      <c r="F3514" s="13"/>
      <c r="G3514" s="13" t="s">
        <v>74</v>
      </c>
      <c r="H3514" s="13" t="s">
        <v>75</v>
      </c>
      <c r="I3514" s="13"/>
      <c r="J3514" s="13"/>
      <c r="K3514" s="15">
        <v>0.0</v>
      </c>
      <c r="L3514" s="15">
        <v>0.0</v>
      </c>
      <c r="M3514" s="16"/>
      <c r="N3514" s="16"/>
      <c r="O3514" s="17"/>
      <c r="P3514" s="17"/>
      <c r="Q3514" s="13">
        <f t="shared" si="3777"/>
        <v>0</v>
      </c>
      <c r="R3514" s="13"/>
      <c r="S3514" s="13"/>
      <c r="T3514" s="13">
        <f t="shared" ref="T3514:Y3514" si="3779">IF(ISBLANK(K3514)=TRUE,0,1)</f>
        <v>1</v>
      </c>
      <c r="U3514" s="13">
        <f t="shared" si="3779"/>
        <v>1</v>
      </c>
      <c r="V3514" s="13">
        <f t="shared" si="3779"/>
        <v>0</v>
      </c>
      <c r="W3514" s="13">
        <f t="shared" si="3779"/>
        <v>0</v>
      </c>
      <c r="X3514" s="13">
        <f t="shared" si="3779"/>
        <v>0</v>
      </c>
      <c r="Y3514" s="13">
        <f t="shared" si="3779"/>
        <v>0</v>
      </c>
      <c r="Z3514" s="13">
        <f t="shared" si="3023"/>
        <v>0</v>
      </c>
      <c r="AA3514" s="13"/>
      <c r="AB3514" s="13"/>
      <c r="AC3514" s="13"/>
      <c r="AD3514" s="13"/>
      <c r="AE3514" s="13"/>
      <c r="AF3514" s="13"/>
      <c r="AG3514" s="13"/>
      <c r="AH3514" s="13"/>
      <c r="AI3514" s="13"/>
      <c r="AJ3514" s="13"/>
      <c r="AK3514" s="13"/>
      <c r="AL3514" s="13"/>
      <c r="AM3514" s="13"/>
      <c r="AN3514" s="13"/>
      <c r="AO3514" s="13"/>
      <c r="AP3514" s="13"/>
      <c r="AQ3514" s="13"/>
      <c r="AR3514" s="13"/>
      <c r="AS3514" s="13"/>
    </row>
    <row r="3515" ht="14.25" customHeight="1">
      <c r="A3515" s="13" t="s">
        <v>36</v>
      </c>
      <c r="B3515" s="13" t="s">
        <v>37</v>
      </c>
      <c r="C3515" s="13" t="s">
        <v>611</v>
      </c>
      <c r="D3515" s="13" t="s">
        <v>185</v>
      </c>
      <c r="F3515" s="13"/>
      <c r="G3515" s="13" t="s">
        <v>111</v>
      </c>
      <c r="H3515" s="13" t="s">
        <v>75</v>
      </c>
      <c r="I3515" s="13"/>
      <c r="J3515" s="13"/>
      <c r="K3515" s="15">
        <v>0.0</v>
      </c>
      <c r="L3515" s="15">
        <v>0.0</v>
      </c>
      <c r="M3515" s="16"/>
      <c r="N3515" s="16"/>
      <c r="O3515" s="17"/>
      <c r="P3515" s="17"/>
      <c r="Q3515" s="13"/>
      <c r="R3515" s="13"/>
      <c r="S3515" s="13"/>
      <c r="T3515" s="13">
        <f t="shared" ref="T3515:Y3515" si="3780">IF(ISBLANK(K3515)=TRUE,0,1)</f>
        <v>1</v>
      </c>
      <c r="U3515" s="13">
        <f t="shared" si="3780"/>
        <v>1</v>
      </c>
      <c r="V3515" s="13">
        <f t="shared" si="3780"/>
        <v>0</v>
      </c>
      <c r="W3515" s="13">
        <f t="shared" si="3780"/>
        <v>0</v>
      </c>
      <c r="X3515" s="13">
        <f t="shared" si="3780"/>
        <v>0</v>
      </c>
      <c r="Y3515" s="13">
        <f t="shared" si="3780"/>
        <v>0</v>
      </c>
      <c r="Z3515" s="13">
        <f t="shared" si="3023"/>
        <v>0</v>
      </c>
      <c r="AA3515" s="13"/>
      <c r="AB3515" s="13"/>
      <c r="AC3515" s="13"/>
      <c r="AD3515" s="13"/>
      <c r="AE3515" s="13"/>
      <c r="AF3515" s="13"/>
      <c r="AG3515" s="13"/>
      <c r="AH3515" s="13"/>
      <c r="AI3515" s="13"/>
      <c r="AJ3515" s="13"/>
      <c r="AK3515" s="13"/>
      <c r="AL3515" s="13"/>
      <c r="AM3515" s="13"/>
      <c r="AN3515" s="13"/>
      <c r="AO3515" s="13"/>
      <c r="AP3515" s="13"/>
      <c r="AQ3515" s="13"/>
      <c r="AR3515" s="13"/>
      <c r="AS3515" s="13"/>
    </row>
    <row r="3516" ht="14.25" customHeight="1">
      <c r="A3516" s="13" t="s">
        <v>36</v>
      </c>
      <c r="B3516" s="13" t="s">
        <v>41</v>
      </c>
      <c r="C3516" s="13" t="s">
        <v>1970</v>
      </c>
      <c r="D3516" s="13" t="s">
        <v>193</v>
      </c>
      <c r="F3516" s="13"/>
      <c r="G3516" s="13" t="s">
        <v>74</v>
      </c>
      <c r="H3516" s="13" t="s">
        <v>75</v>
      </c>
      <c r="I3516" s="13"/>
      <c r="J3516" s="13"/>
      <c r="K3516" s="15">
        <v>0.0</v>
      </c>
      <c r="L3516" s="15">
        <v>0.0</v>
      </c>
      <c r="M3516" s="16"/>
      <c r="N3516" s="16"/>
      <c r="O3516" s="17"/>
      <c r="P3516" s="17"/>
      <c r="Q3516" s="13">
        <f t="shared" ref="Q3516:Q3518" si="3782">K3515+L3515+M3515+N3515+O3515+P3515/6</f>
        <v>0</v>
      </c>
      <c r="R3516" s="13"/>
      <c r="S3516" s="13"/>
      <c r="T3516" s="13">
        <f t="shared" ref="T3516:Y3516" si="3781">IF(ISBLANK(K3516)=TRUE,0,1)</f>
        <v>1</v>
      </c>
      <c r="U3516" s="13">
        <f t="shared" si="3781"/>
        <v>1</v>
      </c>
      <c r="V3516" s="13">
        <f t="shared" si="3781"/>
        <v>0</v>
      </c>
      <c r="W3516" s="13">
        <f t="shared" si="3781"/>
        <v>0</v>
      </c>
      <c r="X3516" s="13">
        <f t="shared" si="3781"/>
        <v>0</v>
      </c>
      <c r="Y3516" s="13">
        <f t="shared" si="3781"/>
        <v>0</v>
      </c>
      <c r="Z3516" s="13">
        <f t="shared" si="3023"/>
        <v>0</v>
      </c>
      <c r="AA3516" s="13"/>
      <c r="AB3516" s="13"/>
      <c r="AC3516" s="13"/>
      <c r="AD3516" s="13"/>
      <c r="AE3516" s="13"/>
      <c r="AF3516" s="13"/>
      <c r="AG3516" s="13"/>
      <c r="AH3516" s="13"/>
      <c r="AI3516" s="13"/>
      <c r="AJ3516" s="13"/>
      <c r="AK3516" s="13"/>
      <c r="AL3516" s="13"/>
      <c r="AM3516" s="13"/>
      <c r="AN3516" s="13"/>
      <c r="AO3516" s="13"/>
      <c r="AP3516" s="13"/>
      <c r="AQ3516" s="13"/>
      <c r="AR3516" s="13"/>
      <c r="AS3516" s="13"/>
    </row>
    <row r="3517" ht="14.25" customHeight="1">
      <c r="A3517" s="13" t="s">
        <v>36</v>
      </c>
      <c r="B3517" s="13" t="s">
        <v>41</v>
      </c>
      <c r="C3517" s="13" t="s">
        <v>1970</v>
      </c>
      <c r="D3517" s="13" t="s">
        <v>194</v>
      </c>
      <c r="F3517" s="13"/>
      <c r="G3517" s="13" t="s">
        <v>74</v>
      </c>
      <c r="H3517" s="13" t="s">
        <v>75</v>
      </c>
      <c r="I3517" s="13"/>
      <c r="J3517" s="13"/>
      <c r="K3517" s="15">
        <v>0.0</v>
      </c>
      <c r="L3517" s="15">
        <v>0.0</v>
      </c>
      <c r="M3517" s="16"/>
      <c r="N3517" s="16"/>
      <c r="O3517" s="17"/>
      <c r="P3517" s="17"/>
      <c r="Q3517" s="13">
        <f t="shared" si="3782"/>
        <v>0</v>
      </c>
      <c r="R3517" s="13"/>
      <c r="S3517" s="13"/>
      <c r="T3517" s="13">
        <f t="shared" ref="T3517:Y3517" si="3783">IF(ISBLANK(K3517)=TRUE,0,1)</f>
        <v>1</v>
      </c>
      <c r="U3517" s="13">
        <f t="shared" si="3783"/>
        <v>1</v>
      </c>
      <c r="V3517" s="13">
        <f t="shared" si="3783"/>
        <v>0</v>
      </c>
      <c r="W3517" s="13">
        <f t="shared" si="3783"/>
        <v>0</v>
      </c>
      <c r="X3517" s="13">
        <f t="shared" si="3783"/>
        <v>0</v>
      </c>
      <c r="Y3517" s="13">
        <f t="shared" si="3783"/>
        <v>0</v>
      </c>
      <c r="Z3517" s="13">
        <f t="shared" si="3023"/>
        <v>0</v>
      </c>
      <c r="AA3517" s="13"/>
      <c r="AB3517" s="13"/>
      <c r="AC3517" s="13"/>
      <c r="AD3517" s="13"/>
      <c r="AE3517" s="13"/>
      <c r="AF3517" s="13"/>
      <c r="AG3517" s="13"/>
      <c r="AH3517" s="13"/>
      <c r="AI3517" s="13"/>
      <c r="AJ3517" s="13"/>
      <c r="AK3517" s="13"/>
      <c r="AL3517" s="13"/>
      <c r="AM3517" s="13"/>
      <c r="AN3517" s="13"/>
      <c r="AO3517" s="13"/>
      <c r="AP3517" s="13"/>
      <c r="AQ3517" s="13"/>
      <c r="AR3517" s="13"/>
      <c r="AS3517" s="13"/>
    </row>
    <row r="3518" ht="14.25" customHeight="1">
      <c r="A3518" s="13" t="s">
        <v>36</v>
      </c>
      <c r="B3518" s="13" t="s">
        <v>41</v>
      </c>
      <c r="C3518" s="13" t="s">
        <v>1970</v>
      </c>
      <c r="D3518" s="13" t="s">
        <v>195</v>
      </c>
      <c r="F3518" s="13"/>
      <c r="G3518" s="13" t="s">
        <v>74</v>
      </c>
      <c r="H3518" s="13" t="s">
        <v>75</v>
      </c>
      <c r="I3518" s="13"/>
      <c r="J3518" s="13"/>
      <c r="K3518" s="15">
        <v>0.0</v>
      </c>
      <c r="L3518" s="15">
        <v>0.0</v>
      </c>
      <c r="M3518" s="16"/>
      <c r="N3518" s="16"/>
      <c r="O3518" s="17"/>
      <c r="P3518" s="17"/>
      <c r="Q3518" s="13">
        <f t="shared" si="3782"/>
        <v>0</v>
      </c>
      <c r="R3518" s="13"/>
      <c r="S3518" s="13"/>
      <c r="T3518" s="13">
        <f t="shared" ref="T3518:Y3518" si="3784">IF(ISBLANK(K3518)=TRUE,0,1)</f>
        <v>1</v>
      </c>
      <c r="U3518" s="13">
        <f t="shared" si="3784"/>
        <v>1</v>
      </c>
      <c r="V3518" s="13">
        <f t="shared" si="3784"/>
        <v>0</v>
      </c>
      <c r="W3518" s="13">
        <f t="shared" si="3784"/>
        <v>0</v>
      </c>
      <c r="X3518" s="13">
        <f t="shared" si="3784"/>
        <v>0</v>
      </c>
      <c r="Y3518" s="13">
        <f t="shared" si="3784"/>
        <v>0</v>
      </c>
      <c r="Z3518" s="13">
        <f t="shared" si="3023"/>
        <v>0</v>
      </c>
      <c r="AA3518" s="13"/>
      <c r="AB3518" s="13"/>
      <c r="AC3518" s="13"/>
      <c r="AD3518" s="13"/>
      <c r="AE3518" s="13"/>
      <c r="AF3518" s="13"/>
      <c r="AG3518" s="13"/>
      <c r="AH3518" s="13"/>
      <c r="AI3518" s="13"/>
      <c r="AJ3518" s="13"/>
      <c r="AK3518" s="13"/>
      <c r="AL3518" s="13"/>
      <c r="AM3518" s="13"/>
      <c r="AN3518" s="13"/>
      <c r="AO3518" s="13"/>
      <c r="AP3518" s="13"/>
      <c r="AQ3518" s="13"/>
      <c r="AR3518" s="13"/>
      <c r="AS3518" s="13"/>
    </row>
    <row r="3519" ht="14.25" customHeight="1">
      <c r="A3519" s="13" t="s">
        <v>36</v>
      </c>
      <c r="B3519" s="13" t="s">
        <v>37</v>
      </c>
      <c r="C3519" s="13" t="s">
        <v>611</v>
      </c>
      <c r="D3519" s="13" t="s">
        <v>186</v>
      </c>
      <c r="F3519" s="13"/>
      <c r="G3519" s="13" t="s">
        <v>111</v>
      </c>
      <c r="H3519" s="13" t="s">
        <v>75</v>
      </c>
      <c r="I3519" s="13"/>
      <c r="J3519" s="13"/>
      <c r="K3519" s="15">
        <v>0.0</v>
      </c>
      <c r="L3519" s="15">
        <v>0.0</v>
      </c>
      <c r="M3519" s="16"/>
      <c r="N3519" s="16"/>
      <c r="O3519" s="17"/>
      <c r="P3519" s="17"/>
      <c r="Q3519" s="13"/>
      <c r="R3519" s="13"/>
      <c r="S3519" s="13"/>
      <c r="T3519" s="13">
        <f t="shared" ref="T3519:Y3519" si="3785">IF(ISBLANK(K3519)=TRUE,0,1)</f>
        <v>1</v>
      </c>
      <c r="U3519" s="13">
        <f t="shared" si="3785"/>
        <v>1</v>
      </c>
      <c r="V3519" s="13">
        <f t="shared" si="3785"/>
        <v>0</v>
      </c>
      <c r="W3519" s="13">
        <f t="shared" si="3785"/>
        <v>0</v>
      </c>
      <c r="X3519" s="13">
        <f t="shared" si="3785"/>
        <v>0</v>
      </c>
      <c r="Y3519" s="13">
        <f t="shared" si="3785"/>
        <v>0</v>
      </c>
      <c r="Z3519" s="13">
        <f t="shared" si="3023"/>
        <v>0</v>
      </c>
      <c r="AA3519" s="13"/>
      <c r="AB3519" s="13"/>
      <c r="AC3519" s="13"/>
      <c r="AD3519" s="13"/>
      <c r="AE3519" s="13"/>
      <c r="AF3519" s="13"/>
      <c r="AG3519" s="13"/>
      <c r="AH3519" s="13"/>
      <c r="AI3519" s="13"/>
      <c r="AJ3519" s="13"/>
      <c r="AK3519" s="13"/>
      <c r="AL3519" s="13"/>
      <c r="AM3519" s="13"/>
      <c r="AN3519" s="13"/>
      <c r="AO3519" s="13"/>
      <c r="AP3519" s="13"/>
      <c r="AQ3519" s="13"/>
      <c r="AR3519" s="13"/>
      <c r="AS3519" s="13"/>
    </row>
    <row r="3520" ht="14.25" customHeight="1">
      <c r="A3520" s="13" t="s">
        <v>36</v>
      </c>
      <c r="B3520" s="13" t="s">
        <v>41</v>
      </c>
      <c r="C3520" s="13" t="s">
        <v>1970</v>
      </c>
      <c r="D3520" s="13" t="s">
        <v>196</v>
      </c>
      <c r="F3520" s="13"/>
      <c r="G3520" s="13" t="s">
        <v>74</v>
      </c>
      <c r="H3520" s="13" t="s">
        <v>75</v>
      </c>
      <c r="I3520" s="13"/>
      <c r="J3520" s="13"/>
      <c r="K3520" s="15">
        <v>0.0</v>
      </c>
      <c r="L3520" s="15">
        <v>0.0</v>
      </c>
      <c r="M3520" s="16"/>
      <c r="N3520" s="16"/>
      <c r="O3520" s="17"/>
      <c r="P3520" s="17"/>
      <c r="Q3520" s="13">
        <f t="shared" ref="Q3520:Q3522" si="3787">K3519+L3519+M3519+N3519+O3519+P3519/6</f>
        <v>0</v>
      </c>
      <c r="R3520" s="13"/>
      <c r="S3520" s="13"/>
      <c r="T3520" s="13">
        <f t="shared" ref="T3520:Y3520" si="3786">IF(ISBLANK(K3520)=TRUE,0,1)</f>
        <v>1</v>
      </c>
      <c r="U3520" s="13">
        <f t="shared" si="3786"/>
        <v>1</v>
      </c>
      <c r="V3520" s="13">
        <f t="shared" si="3786"/>
        <v>0</v>
      </c>
      <c r="W3520" s="13">
        <f t="shared" si="3786"/>
        <v>0</v>
      </c>
      <c r="X3520" s="13">
        <f t="shared" si="3786"/>
        <v>0</v>
      </c>
      <c r="Y3520" s="13">
        <f t="shared" si="3786"/>
        <v>0</v>
      </c>
      <c r="Z3520" s="13">
        <f t="shared" si="3023"/>
        <v>0</v>
      </c>
      <c r="AA3520" s="13"/>
      <c r="AB3520" s="13"/>
      <c r="AC3520" s="13"/>
      <c r="AD3520" s="13"/>
      <c r="AE3520" s="13"/>
      <c r="AF3520" s="13"/>
      <c r="AG3520" s="13"/>
      <c r="AH3520" s="13"/>
      <c r="AI3520" s="13"/>
      <c r="AJ3520" s="13"/>
      <c r="AK3520" s="13"/>
      <c r="AL3520" s="13"/>
      <c r="AM3520" s="13"/>
      <c r="AN3520" s="13"/>
      <c r="AO3520" s="13"/>
      <c r="AP3520" s="13"/>
      <c r="AQ3520" s="13"/>
      <c r="AR3520" s="13"/>
      <c r="AS3520" s="13"/>
    </row>
    <row r="3521" ht="14.25" customHeight="1">
      <c r="A3521" s="13" t="s">
        <v>36</v>
      </c>
      <c r="B3521" s="13" t="s">
        <v>41</v>
      </c>
      <c r="C3521" s="13" t="s">
        <v>1970</v>
      </c>
      <c r="D3521" s="13" t="s">
        <v>197</v>
      </c>
      <c r="F3521" s="13"/>
      <c r="G3521" s="13" t="s">
        <v>74</v>
      </c>
      <c r="H3521" s="13" t="s">
        <v>75</v>
      </c>
      <c r="I3521" s="13"/>
      <c r="J3521" s="13"/>
      <c r="K3521" s="15">
        <v>0.0</v>
      </c>
      <c r="L3521" s="15">
        <v>0.0</v>
      </c>
      <c r="M3521" s="16"/>
      <c r="N3521" s="16"/>
      <c r="O3521" s="17"/>
      <c r="P3521" s="17"/>
      <c r="Q3521" s="13">
        <f t="shared" si="3787"/>
        <v>0</v>
      </c>
      <c r="R3521" s="13"/>
      <c r="S3521" s="13"/>
      <c r="T3521" s="13">
        <f t="shared" ref="T3521:Y3521" si="3788">IF(ISBLANK(K3521)=TRUE,0,1)</f>
        <v>1</v>
      </c>
      <c r="U3521" s="13">
        <f t="shared" si="3788"/>
        <v>1</v>
      </c>
      <c r="V3521" s="13">
        <f t="shared" si="3788"/>
        <v>0</v>
      </c>
      <c r="W3521" s="13">
        <f t="shared" si="3788"/>
        <v>0</v>
      </c>
      <c r="X3521" s="13">
        <f t="shared" si="3788"/>
        <v>0</v>
      </c>
      <c r="Y3521" s="13">
        <f t="shared" si="3788"/>
        <v>0</v>
      </c>
      <c r="Z3521" s="13">
        <f t="shared" si="3023"/>
        <v>0</v>
      </c>
      <c r="AA3521" s="13"/>
      <c r="AB3521" s="13"/>
      <c r="AC3521" s="13"/>
      <c r="AD3521" s="13"/>
      <c r="AE3521" s="13"/>
      <c r="AF3521" s="13"/>
      <c r="AG3521" s="13"/>
      <c r="AH3521" s="13"/>
      <c r="AI3521" s="13"/>
      <c r="AJ3521" s="13"/>
      <c r="AK3521" s="13"/>
      <c r="AL3521" s="13"/>
      <c r="AM3521" s="13"/>
      <c r="AN3521" s="13"/>
      <c r="AO3521" s="13"/>
      <c r="AP3521" s="13"/>
      <c r="AQ3521" s="13"/>
      <c r="AR3521" s="13"/>
      <c r="AS3521" s="13"/>
    </row>
    <row r="3522" ht="14.25" customHeight="1">
      <c r="A3522" s="13" t="s">
        <v>36</v>
      </c>
      <c r="B3522" s="13" t="s">
        <v>41</v>
      </c>
      <c r="C3522" s="13" t="s">
        <v>1970</v>
      </c>
      <c r="D3522" s="13" t="s">
        <v>433</v>
      </c>
      <c r="F3522" s="13"/>
      <c r="G3522" s="13" t="s">
        <v>74</v>
      </c>
      <c r="H3522" s="13" t="s">
        <v>75</v>
      </c>
      <c r="I3522" s="13"/>
      <c r="J3522" s="13"/>
      <c r="K3522" s="15">
        <v>0.0</v>
      </c>
      <c r="L3522" s="15">
        <v>0.0</v>
      </c>
      <c r="M3522" s="16"/>
      <c r="N3522" s="16"/>
      <c r="O3522" s="17"/>
      <c r="P3522" s="17"/>
      <c r="Q3522" s="13">
        <f t="shared" si="3787"/>
        <v>0</v>
      </c>
      <c r="R3522" s="13"/>
      <c r="S3522" s="13"/>
      <c r="T3522" s="13">
        <f t="shared" ref="T3522:Y3522" si="3789">IF(ISBLANK(K3522)=TRUE,0,1)</f>
        <v>1</v>
      </c>
      <c r="U3522" s="13">
        <f t="shared" si="3789"/>
        <v>1</v>
      </c>
      <c r="V3522" s="13">
        <f t="shared" si="3789"/>
        <v>0</v>
      </c>
      <c r="W3522" s="13">
        <f t="shared" si="3789"/>
        <v>0</v>
      </c>
      <c r="X3522" s="13">
        <f t="shared" si="3789"/>
        <v>0</v>
      </c>
      <c r="Y3522" s="13">
        <f t="shared" si="3789"/>
        <v>0</v>
      </c>
      <c r="Z3522" s="13">
        <f t="shared" si="3023"/>
        <v>0</v>
      </c>
      <c r="AA3522" s="13"/>
      <c r="AB3522" s="13"/>
      <c r="AC3522" s="13"/>
      <c r="AD3522" s="13"/>
      <c r="AE3522" s="13"/>
      <c r="AF3522" s="13"/>
      <c r="AG3522" s="13"/>
      <c r="AH3522" s="13"/>
      <c r="AI3522" s="13"/>
      <c r="AJ3522" s="13"/>
      <c r="AK3522" s="13"/>
      <c r="AL3522" s="13"/>
      <c r="AM3522" s="13"/>
      <c r="AN3522" s="13"/>
      <c r="AO3522" s="13"/>
      <c r="AP3522" s="13"/>
      <c r="AQ3522" s="13"/>
      <c r="AR3522" s="13"/>
      <c r="AS3522" s="13"/>
    </row>
    <row r="3523" ht="14.25" customHeight="1">
      <c r="A3523" s="13" t="s">
        <v>36</v>
      </c>
      <c r="B3523" s="13" t="s">
        <v>37</v>
      </c>
      <c r="C3523" s="13" t="s">
        <v>611</v>
      </c>
      <c r="D3523" s="13" t="s">
        <v>187</v>
      </c>
      <c r="F3523" s="13"/>
      <c r="G3523" s="13" t="s">
        <v>111</v>
      </c>
      <c r="H3523" s="13" t="s">
        <v>75</v>
      </c>
      <c r="I3523" s="13"/>
      <c r="J3523" s="13"/>
      <c r="K3523" s="15">
        <v>0.0</v>
      </c>
      <c r="L3523" s="15">
        <v>0.0</v>
      </c>
      <c r="M3523" s="16"/>
      <c r="N3523" s="16"/>
      <c r="O3523" s="17"/>
      <c r="P3523" s="17"/>
      <c r="Q3523" s="13"/>
      <c r="R3523" s="13"/>
      <c r="S3523" s="13"/>
      <c r="T3523" s="13">
        <f t="shared" ref="T3523:Y3523" si="3790">IF(ISBLANK(K3523)=TRUE,0,1)</f>
        <v>1</v>
      </c>
      <c r="U3523" s="13">
        <f t="shared" si="3790"/>
        <v>1</v>
      </c>
      <c r="V3523" s="13">
        <f t="shared" si="3790"/>
        <v>0</v>
      </c>
      <c r="W3523" s="13">
        <f t="shared" si="3790"/>
        <v>0</v>
      </c>
      <c r="X3523" s="13">
        <f t="shared" si="3790"/>
        <v>0</v>
      </c>
      <c r="Y3523" s="13">
        <f t="shared" si="3790"/>
        <v>0</v>
      </c>
      <c r="Z3523" s="13">
        <f t="shared" si="3023"/>
        <v>0</v>
      </c>
      <c r="AA3523" s="13"/>
      <c r="AB3523" s="13"/>
      <c r="AC3523" s="13"/>
      <c r="AD3523" s="13"/>
      <c r="AE3523" s="13"/>
      <c r="AF3523" s="13"/>
      <c r="AG3523" s="13"/>
      <c r="AH3523" s="13"/>
      <c r="AI3523" s="13"/>
      <c r="AJ3523" s="13"/>
      <c r="AK3523" s="13"/>
      <c r="AL3523" s="13"/>
      <c r="AM3523" s="13"/>
      <c r="AN3523" s="13"/>
      <c r="AO3523" s="13"/>
      <c r="AP3523" s="13"/>
      <c r="AQ3523" s="13"/>
      <c r="AR3523" s="13"/>
      <c r="AS3523" s="13"/>
    </row>
    <row r="3524" ht="14.25" customHeight="1">
      <c r="A3524" s="13" t="s">
        <v>36</v>
      </c>
      <c r="B3524" s="13" t="s">
        <v>41</v>
      </c>
      <c r="C3524" s="13" t="s">
        <v>1970</v>
      </c>
      <c r="D3524" s="13" t="s">
        <v>434</v>
      </c>
      <c r="F3524" s="13"/>
      <c r="G3524" s="13" t="s">
        <v>74</v>
      </c>
      <c r="H3524" s="13" t="s">
        <v>75</v>
      </c>
      <c r="I3524" s="13"/>
      <c r="J3524" s="13"/>
      <c r="K3524" s="15">
        <v>0.0</v>
      </c>
      <c r="L3524" s="15">
        <v>0.0</v>
      </c>
      <c r="M3524" s="16"/>
      <c r="N3524" s="16"/>
      <c r="O3524" s="17"/>
      <c r="P3524" s="17"/>
      <c r="Q3524" s="13">
        <f t="shared" ref="Q3524:Q3528" si="3792">K3523+L3523+M3523+N3523+O3523+P3523/6</f>
        <v>0</v>
      </c>
      <c r="R3524" s="13"/>
      <c r="S3524" s="13"/>
      <c r="T3524" s="13">
        <f t="shared" ref="T3524:Y3524" si="3791">IF(ISBLANK(K3524)=TRUE,0,1)</f>
        <v>1</v>
      </c>
      <c r="U3524" s="13">
        <f t="shared" si="3791"/>
        <v>1</v>
      </c>
      <c r="V3524" s="13">
        <f t="shared" si="3791"/>
        <v>0</v>
      </c>
      <c r="W3524" s="13">
        <f t="shared" si="3791"/>
        <v>0</v>
      </c>
      <c r="X3524" s="13">
        <f t="shared" si="3791"/>
        <v>0</v>
      </c>
      <c r="Y3524" s="13">
        <f t="shared" si="3791"/>
        <v>0</v>
      </c>
      <c r="Z3524" s="13">
        <f t="shared" si="3023"/>
        <v>0</v>
      </c>
      <c r="AA3524" s="13"/>
      <c r="AB3524" s="13"/>
      <c r="AC3524" s="13"/>
      <c r="AD3524" s="13"/>
      <c r="AE3524" s="13"/>
      <c r="AF3524" s="13"/>
      <c r="AG3524" s="13"/>
      <c r="AH3524" s="13"/>
      <c r="AI3524" s="13"/>
      <c r="AJ3524" s="13"/>
      <c r="AK3524" s="13"/>
      <c r="AL3524" s="13"/>
      <c r="AM3524" s="13"/>
      <c r="AN3524" s="13"/>
      <c r="AO3524" s="13"/>
      <c r="AP3524" s="13"/>
      <c r="AQ3524" s="13"/>
      <c r="AR3524" s="13"/>
      <c r="AS3524" s="13"/>
    </row>
    <row r="3525" ht="14.25" customHeight="1">
      <c r="A3525" s="13" t="s">
        <v>36</v>
      </c>
      <c r="B3525" s="13" t="s">
        <v>41</v>
      </c>
      <c r="C3525" s="13" t="s">
        <v>1970</v>
      </c>
      <c r="D3525" s="13" t="s">
        <v>435</v>
      </c>
      <c r="F3525" s="13"/>
      <c r="G3525" s="13" t="s">
        <v>74</v>
      </c>
      <c r="H3525" s="13" t="s">
        <v>75</v>
      </c>
      <c r="I3525" s="13"/>
      <c r="J3525" s="13"/>
      <c r="K3525" s="15">
        <v>0.0</v>
      </c>
      <c r="L3525" s="15">
        <v>0.0</v>
      </c>
      <c r="M3525" s="16"/>
      <c r="N3525" s="16"/>
      <c r="O3525" s="17"/>
      <c r="P3525" s="17"/>
      <c r="Q3525" s="13">
        <f t="shared" si="3792"/>
        <v>0</v>
      </c>
      <c r="R3525" s="13"/>
      <c r="S3525" s="13"/>
      <c r="T3525" s="13">
        <f t="shared" ref="T3525:Y3525" si="3793">IF(ISBLANK(K3525)=TRUE,0,1)</f>
        <v>1</v>
      </c>
      <c r="U3525" s="13">
        <f t="shared" si="3793"/>
        <v>1</v>
      </c>
      <c r="V3525" s="13">
        <f t="shared" si="3793"/>
        <v>0</v>
      </c>
      <c r="W3525" s="13">
        <f t="shared" si="3793"/>
        <v>0</v>
      </c>
      <c r="X3525" s="13">
        <f t="shared" si="3793"/>
        <v>0</v>
      </c>
      <c r="Y3525" s="13">
        <f t="shared" si="3793"/>
        <v>0</v>
      </c>
      <c r="Z3525" s="13">
        <f t="shared" si="3023"/>
        <v>0</v>
      </c>
      <c r="AA3525" s="13"/>
      <c r="AB3525" s="13"/>
      <c r="AC3525" s="13"/>
      <c r="AD3525" s="13"/>
      <c r="AE3525" s="13"/>
      <c r="AF3525" s="13"/>
      <c r="AG3525" s="13"/>
      <c r="AH3525" s="13"/>
      <c r="AI3525" s="13"/>
      <c r="AJ3525" s="13"/>
      <c r="AK3525" s="13"/>
      <c r="AL3525" s="13"/>
      <c r="AM3525" s="13"/>
      <c r="AN3525" s="13"/>
      <c r="AO3525" s="13"/>
      <c r="AP3525" s="13"/>
      <c r="AQ3525" s="13"/>
      <c r="AR3525" s="13"/>
      <c r="AS3525" s="13"/>
    </row>
    <row r="3526" ht="14.25" customHeight="1">
      <c r="A3526" s="13" t="s">
        <v>36</v>
      </c>
      <c r="B3526" s="13" t="s">
        <v>41</v>
      </c>
      <c r="C3526" s="13" t="s">
        <v>1970</v>
      </c>
      <c r="D3526" s="13" t="s">
        <v>436</v>
      </c>
      <c r="F3526" s="13"/>
      <c r="G3526" s="13" t="s">
        <v>74</v>
      </c>
      <c r="H3526" s="13" t="s">
        <v>75</v>
      </c>
      <c r="I3526" s="13"/>
      <c r="J3526" s="13"/>
      <c r="K3526" s="15">
        <v>0.0</v>
      </c>
      <c r="L3526" s="15">
        <v>0.0</v>
      </c>
      <c r="M3526" s="16"/>
      <c r="N3526" s="16"/>
      <c r="O3526" s="17"/>
      <c r="P3526" s="17"/>
      <c r="Q3526" s="13">
        <f t="shared" si="3792"/>
        <v>0</v>
      </c>
      <c r="R3526" s="13"/>
      <c r="S3526" s="13"/>
      <c r="T3526" s="13">
        <f t="shared" ref="T3526:Y3526" si="3794">IF(ISBLANK(K3526)=TRUE,0,1)</f>
        <v>1</v>
      </c>
      <c r="U3526" s="13">
        <f t="shared" si="3794"/>
        <v>1</v>
      </c>
      <c r="V3526" s="13">
        <f t="shared" si="3794"/>
        <v>0</v>
      </c>
      <c r="W3526" s="13">
        <f t="shared" si="3794"/>
        <v>0</v>
      </c>
      <c r="X3526" s="13">
        <f t="shared" si="3794"/>
        <v>0</v>
      </c>
      <c r="Y3526" s="13">
        <f t="shared" si="3794"/>
        <v>0</v>
      </c>
      <c r="Z3526" s="13">
        <f t="shared" si="3023"/>
        <v>0</v>
      </c>
      <c r="AA3526" s="13"/>
      <c r="AB3526" s="13"/>
      <c r="AC3526" s="13"/>
      <c r="AD3526" s="13"/>
      <c r="AE3526" s="13"/>
      <c r="AF3526" s="13"/>
      <c r="AG3526" s="13"/>
      <c r="AH3526" s="13"/>
      <c r="AI3526" s="13"/>
      <c r="AJ3526" s="13"/>
      <c r="AK3526" s="13"/>
      <c r="AL3526" s="13"/>
      <c r="AM3526" s="13"/>
      <c r="AN3526" s="13"/>
      <c r="AO3526" s="13"/>
      <c r="AP3526" s="13"/>
      <c r="AQ3526" s="13"/>
      <c r="AR3526" s="13"/>
      <c r="AS3526" s="13"/>
    </row>
    <row r="3527" ht="14.25" customHeight="1">
      <c r="A3527" s="13" t="s">
        <v>36</v>
      </c>
      <c r="B3527" s="13" t="s">
        <v>42</v>
      </c>
      <c r="C3527" s="13">
        <v>1245.0</v>
      </c>
      <c r="D3527" s="13" t="s">
        <v>174</v>
      </c>
      <c r="F3527" s="13"/>
      <c r="G3527" s="13" t="s">
        <v>111</v>
      </c>
      <c r="H3527" s="13" t="s">
        <v>75</v>
      </c>
      <c r="I3527" s="13"/>
      <c r="J3527" s="13"/>
      <c r="K3527" s="15">
        <v>0.0</v>
      </c>
      <c r="L3527" s="15">
        <v>0.0</v>
      </c>
      <c r="M3527" s="16"/>
      <c r="N3527" s="16"/>
      <c r="O3527" s="17"/>
      <c r="P3527" s="17"/>
      <c r="Q3527" s="13">
        <f t="shared" si="3792"/>
        <v>0</v>
      </c>
      <c r="R3527" s="13"/>
      <c r="S3527" s="13"/>
      <c r="T3527" s="13">
        <f t="shared" ref="T3527:Y3527" si="3795">IF(ISBLANK(K3527)=TRUE,0,1)</f>
        <v>1</v>
      </c>
      <c r="U3527" s="13">
        <f t="shared" si="3795"/>
        <v>1</v>
      </c>
      <c r="V3527" s="13">
        <f t="shared" si="3795"/>
        <v>0</v>
      </c>
      <c r="W3527" s="13">
        <f t="shared" si="3795"/>
        <v>0</v>
      </c>
      <c r="X3527" s="13">
        <f t="shared" si="3795"/>
        <v>0</v>
      </c>
      <c r="Y3527" s="13">
        <f t="shared" si="3795"/>
        <v>0</v>
      </c>
      <c r="Z3527" s="13">
        <f t="shared" si="3023"/>
        <v>0</v>
      </c>
      <c r="AA3527" s="13"/>
      <c r="AB3527" s="13"/>
      <c r="AC3527" s="13"/>
      <c r="AD3527" s="13"/>
      <c r="AE3527" s="13"/>
      <c r="AF3527" s="13"/>
      <c r="AG3527" s="13"/>
      <c r="AH3527" s="13"/>
      <c r="AI3527" s="13"/>
      <c r="AJ3527" s="13"/>
      <c r="AK3527" s="13"/>
      <c r="AL3527" s="13"/>
      <c r="AM3527" s="13"/>
      <c r="AN3527" s="13"/>
      <c r="AO3527" s="13"/>
      <c r="AP3527" s="13"/>
      <c r="AQ3527" s="13"/>
      <c r="AR3527" s="13"/>
      <c r="AS3527" s="13"/>
    </row>
    <row r="3528" ht="14.25" customHeight="1">
      <c r="A3528" s="13" t="s">
        <v>36</v>
      </c>
      <c r="B3528" s="13" t="s">
        <v>42</v>
      </c>
      <c r="C3528" s="13">
        <v>1245.0</v>
      </c>
      <c r="D3528" s="13" t="s">
        <v>175</v>
      </c>
      <c r="F3528" s="13"/>
      <c r="G3528" s="13" t="s">
        <v>111</v>
      </c>
      <c r="H3528" s="13" t="s">
        <v>107</v>
      </c>
      <c r="I3528" s="13"/>
      <c r="J3528" s="13"/>
      <c r="K3528" s="15">
        <v>0.0</v>
      </c>
      <c r="L3528" s="15">
        <v>0.0</v>
      </c>
      <c r="M3528" s="16"/>
      <c r="N3528" s="16"/>
      <c r="O3528" s="17"/>
      <c r="P3528" s="17"/>
      <c r="Q3528" s="13">
        <f t="shared" si="3792"/>
        <v>0</v>
      </c>
      <c r="R3528" s="13"/>
      <c r="S3528" s="13"/>
      <c r="T3528" s="13">
        <f t="shared" ref="T3528:Y3528" si="3796">IF(ISBLANK(K3528)=TRUE,0,1)</f>
        <v>1</v>
      </c>
      <c r="U3528" s="13">
        <f t="shared" si="3796"/>
        <v>1</v>
      </c>
      <c r="V3528" s="13">
        <f t="shared" si="3796"/>
        <v>0</v>
      </c>
      <c r="W3528" s="13">
        <f t="shared" si="3796"/>
        <v>0</v>
      </c>
      <c r="X3528" s="13">
        <f t="shared" si="3796"/>
        <v>0</v>
      </c>
      <c r="Y3528" s="13">
        <f t="shared" si="3796"/>
        <v>0</v>
      </c>
      <c r="Z3528" s="13">
        <f t="shared" si="3023"/>
        <v>0</v>
      </c>
      <c r="AA3528" s="13"/>
      <c r="AB3528" s="13"/>
      <c r="AC3528" s="13"/>
      <c r="AD3528" s="13"/>
      <c r="AE3528" s="13"/>
      <c r="AF3528" s="13"/>
      <c r="AG3528" s="13"/>
      <c r="AH3528" s="13"/>
      <c r="AI3528" s="13"/>
      <c r="AJ3528" s="13"/>
      <c r="AK3528" s="13"/>
      <c r="AL3528" s="13"/>
      <c r="AM3528" s="13"/>
      <c r="AN3528" s="13"/>
      <c r="AO3528" s="13"/>
      <c r="AP3528" s="13"/>
      <c r="AQ3528" s="13"/>
      <c r="AR3528" s="13"/>
      <c r="AS3528" s="13"/>
    </row>
    <row r="3529" ht="14.25" customHeight="1">
      <c r="A3529" s="13" t="s">
        <v>36</v>
      </c>
      <c r="B3529" s="13" t="s">
        <v>37</v>
      </c>
      <c r="C3529" s="13" t="s">
        <v>611</v>
      </c>
      <c r="D3529" s="13" t="s">
        <v>188</v>
      </c>
      <c r="F3529" s="13"/>
      <c r="G3529" s="13" t="s">
        <v>111</v>
      </c>
      <c r="H3529" s="13" t="s">
        <v>75</v>
      </c>
      <c r="I3529" s="13"/>
      <c r="J3529" s="13"/>
      <c r="K3529" s="15">
        <v>0.0</v>
      </c>
      <c r="L3529" s="15">
        <v>0.0</v>
      </c>
      <c r="M3529" s="16"/>
      <c r="N3529" s="16"/>
      <c r="O3529" s="17"/>
      <c r="P3529" s="17"/>
      <c r="Q3529" s="13"/>
      <c r="R3529" s="13"/>
      <c r="S3529" s="13"/>
      <c r="T3529" s="13">
        <f t="shared" ref="T3529:Y3529" si="3797">IF(ISBLANK(K3529)=TRUE,0,1)</f>
        <v>1</v>
      </c>
      <c r="U3529" s="13">
        <f t="shared" si="3797"/>
        <v>1</v>
      </c>
      <c r="V3529" s="13">
        <f t="shared" si="3797"/>
        <v>0</v>
      </c>
      <c r="W3529" s="13">
        <f t="shared" si="3797"/>
        <v>0</v>
      </c>
      <c r="X3529" s="13">
        <f t="shared" si="3797"/>
        <v>0</v>
      </c>
      <c r="Y3529" s="13">
        <f t="shared" si="3797"/>
        <v>0</v>
      </c>
      <c r="Z3529" s="13">
        <f t="shared" si="3023"/>
        <v>0</v>
      </c>
      <c r="AA3529" s="13"/>
      <c r="AB3529" s="13"/>
      <c r="AC3529" s="13"/>
      <c r="AD3529" s="13"/>
      <c r="AE3529" s="13"/>
      <c r="AF3529" s="13"/>
      <c r="AG3529" s="13"/>
      <c r="AH3529" s="13"/>
      <c r="AI3529" s="13"/>
      <c r="AJ3529" s="13"/>
      <c r="AK3529" s="13"/>
      <c r="AL3529" s="13"/>
      <c r="AM3529" s="13"/>
      <c r="AN3529" s="13"/>
      <c r="AO3529" s="13"/>
      <c r="AP3529" s="13"/>
      <c r="AQ3529" s="13"/>
      <c r="AR3529" s="13"/>
      <c r="AS3529" s="13"/>
    </row>
    <row r="3530" ht="14.25" customHeight="1">
      <c r="A3530" s="26" t="s">
        <v>46</v>
      </c>
      <c r="B3530" s="26" t="s">
        <v>49</v>
      </c>
      <c r="C3530" s="26" t="s">
        <v>1885</v>
      </c>
      <c r="D3530" s="26" t="s">
        <v>174</v>
      </c>
      <c r="E3530" s="13"/>
      <c r="F3530" s="26"/>
      <c r="G3530" s="26" t="s">
        <v>74</v>
      </c>
      <c r="H3530" s="26" t="s">
        <v>75</v>
      </c>
      <c r="I3530" s="13"/>
      <c r="J3530" s="13"/>
      <c r="K3530" s="15">
        <v>1.0</v>
      </c>
      <c r="L3530" s="15">
        <v>1.0</v>
      </c>
      <c r="M3530" s="16"/>
      <c r="N3530" s="16"/>
      <c r="O3530" s="17"/>
      <c r="P3530" s="17"/>
      <c r="Q3530" s="13"/>
      <c r="R3530" s="13"/>
      <c r="S3530" s="13"/>
      <c r="T3530" s="13">
        <f t="shared" ref="T3530:Y3530" si="3798">IF(ISBLANK(K3530)=TRUE,0,1)</f>
        <v>1</v>
      </c>
      <c r="U3530" s="13">
        <f t="shared" si="3798"/>
        <v>1</v>
      </c>
      <c r="V3530" s="13">
        <f t="shared" si="3798"/>
        <v>0</v>
      </c>
      <c r="W3530" s="13">
        <f t="shared" si="3798"/>
        <v>0</v>
      </c>
      <c r="X3530" s="13">
        <f t="shared" si="3798"/>
        <v>0</v>
      </c>
      <c r="Y3530" s="13">
        <f t="shared" si="3798"/>
        <v>0</v>
      </c>
      <c r="Z3530" s="13">
        <f t="shared" si="3023"/>
        <v>1</v>
      </c>
      <c r="AA3530" s="13"/>
      <c r="AB3530" s="13"/>
      <c r="AC3530" s="13"/>
      <c r="AD3530" s="13"/>
      <c r="AE3530" s="13"/>
      <c r="AF3530" s="13"/>
      <c r="AG3530" s="13"/>
      <c r="AH3530" s="13"/>
      <c r="AI3530" s="13"/>
      <c r="AJ3530" s="13"/>
      <c r="AK3530" s="13"/>
      <c r="AL3530" s="13"/>
      <c r="AM3530" s="13"/>
      <c r="AN3530" s="13"/>
      <c r="AO3530" s="13"/>
      <c r="AP3530" s="13"/>
      <c r="AQ3530" s="13"/>
      <c r="AR3530" s="13"/>
      <c r="AS3530" s="13"/>
    </row>
    <row r="3531" ht="14.25" customHeight="1">
      <c r="A3531" s="13" t="s">
        <v>36</v>
      </c>
      <c r="B3531" s="13" t="s">
        <v>41</v>
      </c>
      <c r="C3531" s="13" t="s">
        <v>1970</v>
      </c>
      <c r="D3531" s="13" t="s">
        <v>437</v>
      </c>
      <c r="F3531" s="13"/>
      <c r="G3531" s="13" t="s">
        <v>74</v>
      </c>
      <c r="H3531" s="13" t="s">
        <v>75</v>
      </c>
      <c r="I3531" s="13"/>
      <c r="J3531" s="13"/>
      <c r="K3531" s="15">
        <v>0.0</v>
      </c>
      <c r="L3531" s="15">
        <v>0.0</v>
      </c>
      <c r="M3531" s="16"/>
      <c r="N3531" s="16"/>
      <c r="O3531" s="17"/>
      <c r="P3531" s="17"/>
      <c r="Q3531" s="13">
        <f t="shared" ref="Q3531:Q3533" si="3800">K3530+L3530+M3530+N3530+O3530+P3530/6</f>
        <v>2</v>
      </c>
      <c r="R3531" s="13"/>
      <c r="S3531" s="13"/>
      <c r="T3531" s="13">
        <f t="shared" ref="T3531:Y3531" si="3799">IF(ISBLANK(K3531)=TRUE,0,1)</f>
        <v>1</v>
      </c>
      <c r="U3531" s="13">
        <f t="shared" si="3799"/>
        <v>1</v>
      </c>
      <c r="V3531" s="13">
        <f t="shared" si="3799"/>
        <v>0</v>
      </c>
      <c r="W3531" s="13">
        <f t="shared" si="3799"/>
        <v>0</v>
      </c>
      <c r="X3531" s="13">
        <f t="shared" si="3799"/>
        <v>0</v>
      </c>
      <c r="Y3531" s="13">
        <f t="shared" si="3799"/>
        <v>0</v>
      </c>
      <c r="Z3531" s="13">
        <f t="shared" si="3023"/>
        <v>0</v>
      </c>
      <c r="AA3531" s="13"/>
      <c r="AB3531" s="13"/>
      <c r="AC3531" s="13"/>
      <c r="AD3531" s="13"/>
      <c r="AE3531" s="13"/>
      <c r="AF3531" s="13"/>
      <c r="AG3531" s="13"/>
      <c r="AH3531" s="13"/>
      <c r="AI3531" s="13"/>
      <c r="AJ3531" s="13"/>
      <c r="AK3531" s="13"/>
      <c r="AL3531" s="13"/>
      <c r="AM3531" s="13"/>
      <c r="AN3531" s="13"/>
      <c r="AO3531" s="13"/>
      <c r="AP3531" s="13"/>
      <c r="AQ3531" s="13"/>
      <c r="AR3531" s="13"/>
      <c r="AS3531" s="13"/>
    </row>
    <row r="3532" ht="14.25" customHeight="1">
      <c r="A3532" s="13" t="s">
        <v>36</v>
      </c>
      <c r="B3532" s="13" t="s">
        <v>41</v>
      </c>
      <c r="C3532" s="13" t="s">
        <v>1970</v>
      </c>
      <c r="D3532" s="13" t="s">
        <v>440</v>
      </c>
      <c r="F3532" s="13"/>
      <c r="G3532" s="13" t="s">
        <v>74</v>
      </c>
      <c r="H3532" s="13" t="s">
        <v>75</v>
      </c>
      <c r="I3532" s="13"/>
      <c r="J3532" s="13"/>
      <c r="K3532" s="15">
        <v>0.0</v>
      </c>
      <c r="L3532" s="15">
        <v>0.0</v>
      </c>
      <c r="M3532" s="16"/>
      <c r="N3532" s="16"/>
      <c r="O3532" s="17"/>
      <c r="P3532" s="17"/>
      <c r="Q3532" s="13">
        <f t="shared" si="3800"/>
        <v>0</v>
      </c>
      <c r="R3532" s="13"/>
      <c r="S3532" s="13"/>
      <c r="T3532" s="13">
        <f t="shared" ref="T3532:Y3532" si="3801">IF(ISBLANK(K3532)=TRUE,0,1)</f>
        <v>1</v>
      </c>
      <c r="U3532" s="13">
        <f t="shared" si="3801"/>
        <v>1</v>
      </c>
      <c r="V3532" s="13">
        <f t="shared" si="3801"/>
        <v>0</v>
      </c>
      <c r="W3532" s="13">
        <f t="shared" si="3801"/>
        <v>0</v>
      </c>
      <c r="X3532" s="13">
        <f t="shared" si="3801"/>
        <v>0</v>
      </c>
      <c r="Y3532" s="13">
        <f t="shared" si="3801"/>
        <v>0</v>
      </c>
      <c r="Z3532" s="13">
        <f t="shared" si="3023"/>
        <v>0</v>
      </c>
      <c r="AA3532" s="13"/>
      <c r="AB3532" s="13"/>
      <c r="AC3532" s="13"/>
      <c r="AD3532" s="13"/>
      <c r="AE3532" s="13"/>
      <c r="AF3532" s="13"/>
      <c r="AG3532" s="13"/>
      <c r="AH3532" s="13"/>
      <c r="AI3532" s="13"/>
      <c r="AJ3532" s="13"/>
      <c r="AK3532" s="13"/>
      <c r="AL3532" s="13"/>
      <c r="AM3532" s="13"/>
      <c r="AN3532" s="13"/>
      <c r="AO3532" s="13"/>
      <c r="AP3532" s="13"/>
      <c r="AQ3532" s="13"/>
      <c r="AR3532" s="13"/>
      <c r="AS3532" s="13"/>
    </row>
    <row r="3533" ht="14.25" customHeight="1">
      <c r="A3533" s="13" t="s">
        <v>36</v>
      </c>
      <c r="B3533" s="13" t="s">
        <v>41</v>
      </c>
      <c r="C3533" s="13" t="s">
        <v>1970</v>
      </c>
      <c r="D3533" s="13" t="s">
        <v>441</v>
      </c>
      <c r="F3533" s="13"/>
      <c r="G3533" s="13" t="s">
        <v>74</v>
      </c>
      <c r="H3533" s="13" t="s">
        <v>75</v>
      </c>
      <c r="I3533" s="13"/>
      <c r="J3533" s="13"/>
      <c r="K3533" s="15">
        <v>0.0</v>
      </c>
      <c r="L3533" s="15">
        <v>0.0</v>
      </c>
      <c r="M3533" s="16"/>
      <c r="N3533" s="16"/>
      <c r="O3533" s="17"/>
      <c r="P3533" s="17"/>
      <c r="Q3533" s="13">
        <f t="shared" si="3800"/>
        <v>0</v>
      </c>
      <c r="R3533" s="13"/>
      <c r="S3533" s="13"/>
      <c r="T3533" s="13">
        <f t="shared" ref="T3533:Y3533" si="3802">IF(ISBLANK(K3533)=TRUE,0,1)</f>
        <v>1</v>
      </c>
      <c r="U3533" s="13">
        <f t="shared" si="3802"/>
        <v>1</v>
      </c>
      <c r="V3533" s="13">
        <f t="shared" si="3802"/>
        <v>0</v>
      </c>
      <c r="W3533" s="13">
        <f t="shared" si="3802"/>
        <v>0</v>
      </c>
      <c r="X3533" s="13">
        <f t="shared" si="3802"/>
        <v>0</v>
      </c>
      <c r="Y3533" s="13">
        <f t="shared" si="3802"/>
        <v>0</v>
      </c>
      <c r="Z3533" s="13">
        <f t="shared" si="3023"/>
        <v>0</v>
      </c>
      <c r="AA3533" s="13"/>
      <c r="AB3533" s="13"/>
      <c r="AC3533" s="13"/>
      <c r="AD3533" s="13"/>
      <c r="AE3533" s="13"/>
      <c r="AF3533" s="13"/>
      <c r="AG3533" s="13"/>
      <c r="AH3533" s="13"/>
      <c r="AI3533" s="13"/>
      <c r="AJ3533" s="13"/>
      <c r="AK3533" s="13"/>
      <c r="AL3533" s="13"/>
      <c r="AM3533" s="13"/>
      <c r="AN3533" s="13"/>
      <c r="AO3533" s="13"/>
      <c r="AP3533" s="13"/>
      <c r="AQ3533" s="13"/>
      <c r="AR3533" s="13"/>
      <c r="AS3533" s="13"/>
    </row>
    <row r="3534" ht="14.25" customHeight="1">
      <c r="A3534" s="13" t="s">
        <v>36</v>
      </c>
      <c r="B3534" s="13" t="s">
        <v>37</v>
      </c>
      <c r="C3534" s="13" t="s">
        <v>611</v>
      </c>
      <c r="D3534" s="13" t="s">
        <v>189</v>
      </c>
      <c r="F3534" s="13"/>
      <c r="G3534" s="13" t="s">
        <v>111</v>
      </c>
      <c r="H3534" s="13" t="s">
        <v>75</v>
      </c>
      <c r="I3534" s="13"/>
      <c r="J3534" s="13"/>
      <c r="K3534" s="15">
        <v>0.0</v>
      </c>
      <c r="L3534" s="15">
        <v>0.0</v>
      </c>
      <c r="M3534" s="16"/>
      <c r="N3534" s="16"/>
      <c r="O3534" s="17"/>
      <c r="P3534" s="17"/>
      <c r="Q3534" s="13"/>
      <c r="R3534" s="13"/>
      <c r="S3534" s="13"/>
      <c r="T3534" s="13">
        <f t="shared" ref="T3534:Y3534" si="3803">IF(ISBLANK(K3534)=TRUE,0,1)</f>
        <v>1</v>
      </c>
      <c r="U3534" s="13">
        <f t="shared" si="3803"/>
        <v>1</v>
      </c>
      <c r="V3534" s="13">
        <f t="shared" si="3803"/>
        <v>0</v>
      </c>
      <c r="W3534" s="13">
        <f t="shared" si="3803"/>
        <v>0</v>
      </c>
      <c r="X3534" s="13">
        <f t="shared" si="3803"/>
        <v>0</v>
      </c>
      <c r="Y3534" s="13">
        <f t="shared" si="3803"/>
        <v>0</v>
      </c>
      <c r="Z3534" s="13">
        <f t="shared" si="3023"/>
        <v>0</v>
      </c>
      <c r="AA3534" s="13"/>
      <c r="AB3534" s="13"/>
      <c r="AC3534" s="13"/>
      <c r="AD3534" s="13"/>
      <c r="AE3534" s="13"/>
      <c r="AF3534" s="13"/>
      <c r="AG3534" s="13"/>
      <c r="AH3534" s="13"/>
      <c r="AI3534" s="13"/>
      <c r="AJ3534" s="13"/>
      <c r="AK3534" s="13"/>
      <c r="AL3534" s="13"/>
      <c r="AM3534" s="13"/>
      <c r="AN3534" s="13"/>
      <c r="AO3534" s="13"/>
      <c r="AP3534" s="13"/>
      <c r="AQ3534" s="13"/>
      <c r="AR3534" s="13"/>
      <c r="AS3534" s="13"/>
    </row>
    <row r="3535" ht="14.25" customHeight="1">
      <c r="A3535" s="13" t="s">
        <v>36</v>
      </c>
      <c r="B3535" s="13" t="s">
        <v>41</v>
      </c>
      <c r="C3535" s="13" t="s">
        <v>1970</v>
      </c>
      <c r="D3535" s="13" t="s">
        <v>551</v>
      </c>
      <c r="F3535" s="13"/>
      <c r="G3535" s="13" t="s">
        <v>74</v>
      </c>
      <c r="H3535" s="13" t="s">
        <v>75</v>
      </c>
      <c r="I3535" s="13"/>
      <c r="J3535" s="13"/>
      <c r="K3535" s="15">
        <v>0.0</v>
      </c>
      <c r="L3535" s="15">
        <v>0.0</v>
      </c>
      <c r="M3535" s="16"/>
      <c r="N3535" s="16"/>
      <c r="O3535" s="17"/>
      <c r="P3535" s="17"/>
      <c r="Q3535" s="13">
        <f t="shared" ref="Q3535:Q3542" si="3805">K3534+L3534+M3534+N3534+O3534+P3534/6</f>
        <v>0</v>
      </c>
      <c r="R3535" s="13"/>
      <c r="S3535" s="13"/>
      <c r="T3535" s="13">
        <f t="shared" ref="T3535:Y3535" si="3804">IF(ISBLANK(K3535)=TRUE,0,1)</f>
        <v>1</v>
      </c>
      <c r="U3535" s="13">
        <f t="shared" si="3804"/>
        <v>1</v>
      </c>
      <c r="V3535" s="13">
        <f t="shared" si="3804"/>
        <v>0</v>
      </c>
      <c r="W3535" s="13">
        <f t="shared" si="3804"/>
        <v>0</v>
      </c>
      <c r="X3535" s="13">
        <f t="shared" si="3804"/>
        <v>0</v>
      </c>
      <c r="Y3535" s="13">
        <f t="shared" si="3804"/>
        <v>0</v>
      </c>
      <c r="Z3535" s="13">
        <f t="shared" si="3023"/>
        <v>0</v>
      </c>
      <c r="AA3535" s="13"/>
      <c r="AB3535" s="13"/>
      <c r="AC3535" s="13"/>
      <c r="AD3535" s="13"/>
      <c r="AE3535" s="13"/>
      <c r="AF3535" s="13"/>
      <c r="AG3535" s="13"/>
      <c r="AH3535" s="13"/>
      <c r="AI3535" s="13"/>
      <c r="AJ3535" s="13"/>
      <c r="AK3535" s="13"/>
      <c r="AL3535" s="13"/>
      <c r="AM3535" s="13"/>
      <c r="AN3535" s="13"/>
      <c r="AO3535" s="13"/>
      <c r="AP3535" s="13"/>
      <c r="AQ3535" s="13"/>
      <c r="AR3535" s="13"/>
      <c r="AS3535" s="13"/>
    </row>
    <row r="3536" ht="14.25" customHeight="1">
      <c r="A3536" s="13" t="s">
        <v>36</v>
      </c>
      <c r="B3536" s="13" t="s">
        <v>42</v>
      </c>
      <c r="C3536" s="13">
        <v>1245.0</v>
      </c>
      <c r="D3536" s="13" t="s">
        <v>176</v>
      </c>
      <c r="F3536" s="13"/>
      <c r="G3536" s="13" t="s">
        <v>111</v>
      </c>
      <c r="H3536" s="13" t="s">
        <v>75</v>
      </c>
      <c r="I3536" s="13"/>
      <c r="J3536" s="13"/>
      <c r="K3536" s="15">
        <v>0.0</v>
      </c>
      <c r="L3536" s="15">
        <v>0.0</v>
      </c>
      <c r="M3536" s="16"/>
      <c r="N3536" s="16"/>
      <c r="O3536" s="17"/>
      <c r="P3536" s="17"/>
      <c r="Q3536" s="13">
        <f t="shared" si="3805"/>
        <v>0</v>
      </c>
      <c r="R3536" s="13"/>
      <c r="S3536" s="13"/>
      <c r="T3536" s="13">
        <f t="shared" ref="T3536:Y3536" si="3806">IF(ISBLANK(K3536)=TRUE,0,1)</f>
        <v>1</v>
      </c>
      <c r="U3536" s="13">
        <f t="shared" si="3806"/>
        <v>1</v>
      </c>
      <c r="V3536" s="13">
        <f t="shared" si="3806"/>
        <v>0</v>
      </c>
      <c r="W3536" s="13">
        <f t="shared" si="3806"/>
        <v>0</v>
      </c>
      <c r="X3536" s="13">
        <f t="shared" si="3806"/>
        <v>0</v>
      </c>
      <c r="Y3536" s="13">
        <f t="shared" si="3806"/>
        <v>0</v>
      </c>
      <c r="Z3536" s="13">
        <f t="shared" si="3023"/>
        <v>0</v>
      </c>
      <c r="AA3536" s="13"/>
      <c r="AB3536" s="13"/>
      <c r="AC3536" s="13"/>
      <c r="AD3536" s="13"/>
      <c r="AE3536" s="13"/>
      <c r="AF3536" s="13"/>
      <c r="AG3536" s="13"/>
      <c r="AH3536" s="13"/>
      <c r="AI3536" s="13"/>
      <c r="AJ3536" s="13"/>
      <c r="AK3536" s="13"/>
      <c r="AL3536" s="13"/>
      <c r="AM3536" s="13"/>
      <c r="AN3536" s="13"/>
      <c r="AO3536" s="13"/>
      <c r="AP3536" s="13"/>
      <c r="AQ3536" s="13"/>
      <c r="AR3536" s="13"/>
      <c r="AS3536" s="13"/>
    </row>
    <row r="3537" ht="14.25" customHeight="1">
      <c r="A3537" s="13" t="s">
        <v>36</v>
      </c>
      <c r="B3537" s="13" t="s">
        <v>42</v>
      </c>
      <c r="C3537" s="13">
        <v>1245.0</v>
      </c>
      <c r="D3537" s="13" t="s">
        <v>177</v>
      </c>
      <c r="F3537" s="13"/>
      <c r="G3537" s="13" t="s">
        <v>111</v>
      </c>
      <c r="H3537" s="13" t="s">
        <v>107</v>
      </c>
      <c r="I3537" s="13"/>
      <c r="J3537" s="13"/>
      <c r="K3537" s="15">
        <v>0.0</v>
      </c>
      <c r="L3537" s="15">
        <v>0.0</v>
      </c>
      <c r="M3537" s="16"/>
      <c r="N3537" s="16"/>
      <c r="O3537" s="17"/>
      <c r="P3537" s="17"/>
      <c r="Q3537" s="13">
        <f t="shared" si="3805"/>
        <v>0</v>
      </c>
      <c r="R3537" s="13"/>
      <c r="S3537" s="13"/>
      <c r="T3537" s="13">
        <f t="shared" ref="T3537:Y3537" si="3807">IF(ISBLANK(K3537)=TRUE,0,1)</f>
        <v>1</v>
      </c>
      <c r="U3537" s="13">
        <f t="shared" si="3807"/>
        <v>1</v>
      </c>
      <c r="V3537" s="13">
        <f t="shared" si="3807"/>
        <v>0</v>
      </c>
      <c r="W3537" s="13">
        <f t="shared" si="3807"/>
        <v>0</v>
      </c>
      <c r="X3537" s="13">
        <f t="shared" si="3807"/>
        <v>0</v>
      </c>
      <c r="Y3537" s="13">
        <f t="shared" si="3807"/>
        <v>0</v>
      </c>
      <c r="Z3537" s="13">
        <f t="shared" si="3023"/>
        <v>0</v>
      </c>
      <c r="AA3537" s="13"/>
      <c r="AB3537" s="13"/>
      <c r="AC3537" s="13"/>
      <c r="AD3537" s="13"/>
      <c r="AE3537" s="13"/>
      <c r="AF3537" s="13"/>
      <c r="AG3537" s="13"/>
      <c r="AH3537" s="13"/>
      <c r="AI3537" s="13"/>
      <c r="AJ3537" s="13"/>
      <c r="AK3537" s="13"/>
      <c r="AL3537" s="13"/>
      <c r="AM3537" s="13"/>
      <c r="AN3537" s="13"/>
      <c r="AO3537" s="13"/>
      <c r="AP3537" s="13"/>
      <c r="AQ3537" s="13"/>
      <c r="AR3537" s="13"/>
      <c r="AS3537" s="13"/>
    </row>
    <row r="3538" ht="14.25" customHeight="1">
      <c r="A3538" s="13" t="s">
        <v>36</v>
      </c>
      <c r="B3538" s="13" t="s">
        <v>42</v>
      </c>
      <c r="C3538" s="13">
        <v>1245.0</v>
      </c>
      <c r="D3538" s="13" t="s">
        <v>178</v>
      </c>
      <c r="F3538" s="13"/>
      <c r="G3538" s="13" t="s">
        <v>111</v>
      </c>
      <c r="H3538" s="13" t="s">
        <v>75</v>
      </c>
      <c r="I3538" s="13"/>
      <c r="J3538" s="13"/>
      <c r="K3538" s="15">
        <v>0.0</v>
      </c>
      <c r="L3538" s="15">
        <v>0.0</v>
      </c>
      <c r="M3538" s="16"/>
      <c r="N3538" s="16"/>
      <c r="O3538" s="17"/>
      <c r="P3538" s="17"/>
      <c r="Q3538" s="13">
        <f t="shared" si="3805"/>
        <v>0</v>
      </c>
      <c r="R3538" s="13"/>
      <c r="S3538" s="13"/>
      <c r="T3538" s="13">
        <f t="shared" ref="T3538:Y3538" si="3808">IF(ISBLANK(K3538)=TRUE,0,1)</f>
        <v>1</v>
      </c>
      <c r="U3538" s="13">
        <f t="shared" si="3808"/>
        <v>1</v>
      </c>
      <c r="V3538" s="13">
        <f t="shared" si="3808"/>
        <v>0</v>
      </c>
      <c r="W3538" s="13">
        <f t="shared" si="3808"/>
        <v>0</v>
      </c>
      <c r="X3538" s="13">
        <f t="shared" si="3808"/>
        <v>0</v>
      </c>
      <c r="Y3538" s="13">
        <f t="shared" si="3808"/>
        <v>0</v>
      </c>
      <c r="Z3538" s="13">
        <f t="shared" si="3023"/>
        <v>0</v>
      </c>
      <c r="AA3538" s="13"/>
      <c r="AB3538" s="13"/>
      <c r="AC3538" s="13"/>
      <c r="AD3538" s="13"/>
      <c r="AE3538" s="13"/>
      <c r="AF3538" s="13"/>
      <c r="AG3538" s="13"/>
      <c r="AH3538" s="13"/>
      <c r="AI3538" s="13"/>
      <c r="AJ3538" s="13"/>
      <c r="AK3538" s="13"/>
      <c r="AL3538" s="13"/>
      <c r="AM3538" s="13"/>
      <c r="AN3538" s="13"/>
      <c r="AO3538" s="13"/>
      <c r="AP3538" s="13"/>
      <c r="AQ3538" s="13"/>
      <c r="AR3538" s="13"/>
      <c r="AS3538" s="13"/>
    </row>
    <row r="3539" ht="14.25" customHeight="1">
      <c r="A3539" s="13" t="s">
        <v>36</v>
      </c>
      <c r="B3539" s="13" t="s">
        <v>41</v>
      </c>
      <c r="C3539" s="13" t="s">
        <v>1970</v>
      </c>
      <c r="D3539" s="13" t="s">
        <v>553</v>
      </c>
      <c r="F3539" s="13"/>
      <c r="G3539" s="13" t="s">
        <v>74</v>
      </c>
      <c r="H3539" s="13" t="s">
        <v>75</v>
      </c>
      <c r="I3539" s="13"/>
      <c r="J3539" s="13"/>
      <c r="K3539" s="15">
        <v>0.0</v>
      </c>
      <c r="L3539" s="15">
        <v>0.0</v>
      </c>
      <c r="M3539" s="16"/>
      <c r="N3539" s="16"/>
      <c r="O3539" s="17"/>
      <c r="P3539" s="17"/>
      <c r="Q3539" s="13">
        <f t="shared" si="3805"/>
        <v>0</v>
      </c>
      <c r="R3539" s="13"/>
      <c r="S3539" s="13"/>
      <c r="T3539" s="13">
        <f t="shared" ref="T3539:Y3539" si="3809">IF(ISBLANK(K3539)=TRUE,0,1)</f>
        <v>1</v>
      </c>
      <c r="U3539" s="13">
        <f t="shared" si="3809"/>
        <v>1</v>
      </c>
      <c r="V3539" s="13">
        <f t="shared" si="3809"/>
        <v>0</v>
      </c>
      <c r="W3539" s="13">
        <f t="shared" si="3809"/>
        <v>0</v>
      </c>
      <c r="X3539" s="13">
        <f t="shared" si="3809"/>
        <v>0</v>
      </c>
      <c r="Y3539" s="13">
        <f t="shared" si="3809"/>
        <v>0</v>
      </c>
      <c r="Z3539" s="13">
        <f t="shared" si="3023"/>
        <v>0</v>
      </c>
      <c r="AA3539" s="13"/>
      <c r="AB3539" s="13"/>
      <c r="AC3539" s="13"/>
      <c r="AD3539" s="13"/>
      <c r="AE3539" s="13"/>
      <c r="AF3539" s="13"/>
      <c r="AG3539" s="13"/>
      <c r="AH3539" s="13"/>
      <c r="AI3539" s="13"/>
      <c r="AJ3539" s="13"/>
      <c r="AK3539" s="13"/>
      <c r="AL3539" s="13"/>
      <c r="AM3539" s="13"/>
      <c r="AN3539" s="13"/>
      <c r="AO3539" s="13"/>
      <c r="AP3539" s="13"/>
      <c r="AQ3539" s="13"/>
      <c r="AR3539" s="13"/>
      <c r="AS3539" s="13"/>
    </row>
    <row r="3540" ht="14.25" customHeight="1">
      <c r="A3540" s="13" t="s">
        <v>36</v>
      </c>
      <c r="B3540" s="13" t="s">
        <v>41</v>
      </c>
      <c r="C3540" s="13" t="s">
        <v>1970</v>
      </c>
      <c r="D3540" s="13" t="s">
        <v>554</v>
      </c>
      <c r="F3540" s="13"/>
      <c r="G3540" s="13" t="s">
        <v>74</v>
      </c>
      <c r="H3540" s="13" t="s">
        <v>75</v>
      </c>
      <c r="I3540" s="13"/>
      <c r="J3540" s="13"/>
      <c r="K3540" s="15">
        <v>0.0</v>
      </c>
      <c r="L3540" s="15">
        <v>0.0</v>
      </c>
      <c r="M3540" s="16"/>
      <c r="N3540" s="16"/>
      <c r="O3540" s="17"/>
      <c r="P3540" s="17"/>
      <c r="Q3540" s="13">
        <f t="shared" si="3805"/>
        <v>0</v>
      </c>
      <c r="R3540" s="13"/>
      <c r="S3540" s="13"/>
      <c r="T3540" s="13">
        <f t="shared" ref="T3540:Y3540" si="3810">IF(ISBLANK(K3540)=TRUE,0,1)</f>
        <v>1</v>
      </c>
      <c r="U3540" s="13">
        <f t="shared" si="3810"/>
        <v>1</v>
      </c>
      <c r="V3540" s="13">
        <f t="shared" si="3810"/>
        <v>0</v>
      </c>
      <c r="W3540" s="13">
        <f t="shared" si="3810"/>
        <v>0</v>
      </c>
      <c r="X3540" s="13">
        <f t="shared" si="3810"/>
        <v>0</v>
      </c>
      <c r="Y3540" s="13">
        <f t="shared" si="3810"/>
        <v>0</v>
      </c>
      <c r="Z3540" s="13">
        <f t="shared" si="3023"/>
        <v>0</v>
      </c>
      <c r="AA3540" s="13"/>
      <c r="AB3540" s="13"/>
      <c r="AC3540" s="13"/>
      <c r="AD3540" s="13"/>
      <c r="AE3540" s="13"/>
      <c r="AF3540" s="13"/>
      <c r="AG3540" s="13"/>
      <c r="AH3540" s="13"/>
      <c r="AI3540" s="13"/>
      <c r="AJ3540" s="13"/>
      <c r="AK3540" s="13"/>
      <c r="AL3540" s="13"/>
      <c r="AM3540" s="13"/>
      <c r="AN3540" s="13"/>
      <c r="AO3540" s="13"/>
      <c r="AP3540" s="13"/>
      <c r="AQ3540" s="13"/>
      <c r="AR3540" s="13"/>
      <c r="AS3540" s="13"/>
    </row>
    <row r="3541" ht="14.25" customHeight="1">
      <c r="A3541" s="13" t="s">
        <v>36</v>
      </c>
      <c r="B3541" s="13" t="s">
        <v>42</v>
      </c>
      <c r="C3541" s="13">
        <v>1245.0</v>
      </c>
      <c r="D3541" s="13" t="s">
        <v>179</v>
      </c>
      <c r="F3541" s="13"/>
      <c r="G3541" s="13" t="s">
        <v>111</v>
      </c>
      <c r="H3541" s="13" t="s">
        <v>75</v>
      </c>
      <c r="I3541" s="13"/>
      <c r="J3541" s="13"/>
      <c r="K3541" s="15">
        <v>0.0</v>
      </c>
      <c r="L3541" s="15">
        <v>0.0</v>
      </c>
      <c r="M3541" s="16"/>
      <c r="N3541" s="16"/>
      <c r="O3541" s="17"/>
      <c r="P3541" s="17"/>
      <c r="Q3541" s="13">
        <f t="shared" si="3805"/>
        <v>0</v>
      </c>
      <c r="R3541" s="13"/>
      <c r="S3541" s="13"/>
      <c r="T3541" s="13">
        <f t="shared" ref="T3541:Y3541" si="3811">IF(ISBLANK(K3541)=TRUE,0,1)</f>
        <v>1</v>
      </c>
      <c r="U3541" s="13">
        <f t="shared" si="3811"/>
        <v>1</v>
      </c>
      <c r="V3541" s="13">
        <f t="shared" si="3811"/>
        <v>0</v>
      </c>
      <c r="W3541" s="13">
        <f t="shared" si="3811"/>
        <v>0</v>
      </c>
      <c r="X3541" s="13">
        <f t="shared" si="3811"/>
        <v>0</v>
      </c>
      <c r="Y3541" s="13">
        <f t="shared" si="3811"/>
        <v>0</v>
      </c>
      <c r="Z3541" s="13">
        <f t="shared" si="3023"/>
        <v>0</v>
      </c>
      <c r="AA3541" s="13"/>
      <c r="AB3541" s="13"/>
      <c r="AC3541" s="13"/>
      <c r="AD3541" s="13"/>
      <c r="AE3541" s="13"/>
      <c r="AF3541" s="13"/>
      <c r="AG3541" s="13"/>
      <c r="AH3541" s="13"/>
      <c r="AI3541" s="13"/>
      <c r="AJ3541" s="13"/>
      <c r="AK3541" s="13"/>
      <c r="AL3541" s="13"/>
      <c r="AM3541" s="13"/>
      <c r="AN3541" s="13"/>
      <c r="AO3541" s="13"/>
      <c r="AP3541" s="13"/>
      <c r="AQ3541" s="13"/>
      <c r="AR3541" s="13"/>
      <c r="AS3541" s="13"/>
    </row>
    <row r="3542" ht="14.25" customHeight="1">
      <c r="A3542" s="13" t="s">
        <v>36</v>
      </c>
      <c r="B3542" s="13" t="s">
        <v>42</v>
      </c>
      <c r="C3542" s="13">
        <v>1245.0</v>
      </c>
      <c r="D3542" s="13" t="s">
        <v>180</v>
      </c>
      <c r="F3542" s="13"/>
      <c r="G3542" s="13" t="s">
        <v>111</v>
      </c>
      <c r="H3542" s="13" t="s">
        <v>75</v>
      </c>
      <c r="I3542" s="13"/>
      <c r="J3542" s="13"/>
      <c r="K3542" s="15">
        <v>0.0</v>
      </c>
      <c r="L3542" s="15">
        <v>0.0</v>
      </c>
      <c r="M3542" s="16"/>
      <c r="N3542" s="16"/>
      <c r="O3542" s="17"/>
      <c r="P3542" s="17"/>
      <c r="Q3542" s="13">
        <f t="shared" si="3805"/>
        <v>0</v>
      </c>
      <c r="R3542" s="13"/>
      <c r="S3542" s="13"/>
      <c r="T3542" s="13">
        <f t="shared" ref="T3542:Y3542" si="3812">IF(ISBLANK(K3542)=TRUE,0,1)</f>
        <v>1</v>
      </c>
      <c r="U3542" s="13">
        <f t="shared" si="3812"/>
        <v>1</v>
      </c>
      <c r="V3542" s="13">
        <f t="shared" si="3812"/>
        <v>0</v>
      </c>
      <c r="W3542" s="13">
        <f t="shared" si="3812"/>
        <v>0</v>
      </c>
      <c r="X3542" s="13">
        <f t="shared" si="3812"/>
        <v>0</v>
      </c>
      <c r="Y3542" s="13">
        <f t="shared" si="3812"/>
        <v>0</v>
      </c>
      <c r="Z3542" s="13">
        <f t="shared" si="3023"/>
        <v>0</v>
      </c>
      <c r="AA3542" s="13"/>
      <c r="AB3542" s="13"/>
      <c r="AC3542" s="13"/>
      <c r="AD3542" s="13"/>
      <c r="AE3542" s="13"/>
      <c r="AF3542" s="13"/>
      <c r="AG3542" s="13"/>
      <c r="AH3542" s="13"/>
      <c r="AI3542" s="13"/>
      <c r="AJ3542" s="13"/>
      <c r="AK3542" s="13"/>
      <c r="AL3542" s="13"/>
      <c r="AM3542" s="13"/>
      <c r="AN3542" s="13"/>
      <c r="AO3542" s="13"/>
      <c r="AP3542" s="13"/>
      <c r="AQ3542" s="13"/>
      <c r="AR3542" s="13"/>
      <c r="AS3542" s="13"/>
    </row>
    <row r="3543" ht="14.25" customHeight="1">
      <c r="A3543" s="13" t="s">
        <v>36</v>
      </c>
      <c r="B3543" s="13" t="s">
        <v>37</v>
      </c>
      <c r="C3543" s="13" t="s">
        <v>611</v>
      </c>
      <c r="D3543" s="13" t="s">
        <v>190</v>
      </c>
      <c r="F3543" s="13"/>
      <c r="G3543" s="13" t="s">
        <v>111</v>
      </c>
      <c r="H3543" s="13" t="s">
        <v>75</v>
      </c>
      <c r="I3543" s="13"/>
      <c r="J3543" s="13"/>
      <c r="K3543" s="15">
        <v>0.0</v>
      </c>
      <c r="L3543" s="15">
        <v>0.0</v>
      </c>
      <c r="M3543" s="16"/>
      <c r="N3543" s="16"/>
      <c r="O3543" s="17"/>
      <c r="P3543" s="17"/>
      <c r="Q3543" s="13"/>
      <c r="R3543" s="13"/>
      <c r="S3543" s="13"/>
      <c r="T3543" s="13">
        <f t="shared" ref="T3543:Y3543" si="3813">IF(ISBLANK(K3543)=TRUE,0,1)</f>
        <v>1</v>
      </c>
      <c r="U3543" s="13">
        <f t="shared" si="3813"/>
        <v>1</v>
      </c>
      <c r="V3543" s="13">
        <f t="shared" si="3813"/>
        <v>0</v>
      </c>
      <c r="W3543" s="13">
        <f t="shared" si="3813"/>
        <v>0</v>
      </c>
      <c r="X3543" s="13">
        <f t="shared" si="3813"/>
        <v>0</v>
      </c>
      <c r="Y3543" s="13">
        <f t="shared" si="3813"/>
        <v>0</v>
      </c>
      <c r="Z3543" s="13">
        <f t="shared" si="3023"/>
        <v>0</v>
      </c>
      <c r="AA3543" s="13"/>
      <c r="AB3543" s="13"/>
      <c r="AC3543" s="13"/>
      <c r="AD3543" s="13"/>
      <c r="AE3543" s="13"/>
      <c r="AF3543" s="13"/>
      <c r="AG3543" s="13"/>
      <c r="AH3543" s="13"/>
      <c r="AI3543" s="13"/>
      <c r="AJ3543" s="13"/>
      <c r="AK3543" s="13"/>
      <c r="AL3543" s="13"/>
      <c r="AM3543" s="13"/>
      <c r="AN3543" s="13"/>
      <c r="AO3543" s="13"/>
      <c r="AP3543" s="13"/>
      <c r="AQ3543" s="13"/>
      <c r="AR3543" s="13"/>
      <c r="AS3543" s="13"/>
    </row>
    <row r="3544" ht="14.25" customHeight="1">
      <c r="A3544" s="26" t="s">
        <v>46</v>
      </c>
      <c r="B3544" s="26" t="s">
        <v>49</v>
      </c>
      <c r="C3544" s="26" t="s">
        <v>1885</v>
      </c>
      <c r="D3544" s="26" t="s">
        <v>175</v>
      </c>
      <c r="E3544" s="13"/>
      <c r="F3544" s="26"/>
      <c r="G3544" s="26" t="s">
        <v>74</v>
      </c>
      <c r="H3544" s="26" t="s">
        <v>75</v>
      </c>
      <c r="I3544" s="13"/>
      <c r="J3544" s="13"/>
      <c r="K3544" s="15">
        <v>1.0</v>
      </c>
      <c r="L3544" s="15">
        <v>1.0</v>
      </c>
      <c r="M3544" s="16"/>
      <c r="N3544" s="16"/>
      <c r="O3544" s="17"/>
      <c r="P3544" s="17"/>
      <c r="Q3544" s="13"/>
      <c r="R3544" s="13"/>
      <c r="S3544" s="13"/>
      <c r="T3544" s="13">
        <f t="shared" ref="T3544:Y3544" si="3814">IF(ISBLANK(K3544)=TRUE,0,1)</f>
        <v>1</v>
      </c>
      <c r="U3544" s="13">
        <f t="shared" si="3814"/>
        <v>1</v>
      </c>
      <c r="V3544" s="13">
        <f t="shared" si="3814"/>
        <v>0</v>
      </c>
      <c r="W3544" s="13">
        <f t="shared" si="3814"/>
        <v>0</v>
      </c>
      <c r="X3544" s="13">
        <f t="shared" si="3814"/>
        <v>0</v>
      </c>
      <c r="Y3544" s="13">
        <f t="shared" si="3814"/>
        <v>0</v>
      </c>
      <c r="Z3544" s="13">
        <f t="shared" si="3023"/>
        <v>1</v>
      </c>
      <c r="AA3544" s="13"/>
      <c r="AB3544" s="13"/>
      <c r="AC3544" s="13"/>
      <c r="AD3544" s="13"/>
      <c r="AE3544" s="13"/>
      <c r="AF3544" s="13"/>
      <c r="AG3544" s="13"/>
      <c r="AH3544" s="13"/>
      <c r="AI3544" s="13"/>
      <c r="AJ3544" s="13"/>
      <c r="AK3544" s="13"/>
      <c r="AL3544" s="13"/>
      <c r="AM3544" s="13"/>
      <c r="AN3544" s="13"/>
      <c r="AO3544" s="13"/>
      <c r="AP3544" s="13"/>
      <c r="AQ3544" s="13"/>
      <c r="AR3544" s="13"/>
      <c r="AS3544" s="13"/>
    </row>
    <row r="3545" ht="14.25" customHeight="1">
      <c r="A3545" s="13" t="s">
        <v>36</v>
      </c>
      <c r="B3545" s="13" t="s">
        <v>41</v>
      </c>
      <c r="C3545" s="13" t="s">
        <v>1970</v>
      </c>
      <c r="D3545" s="13" t="s">
        <v>555</v>
      </c>
      <c r="F3545" s="13"/>
      <c r="G3545" s="13" t="s">
        <v>74</v>
      </c>
      <c r="H3545" s="13" t="s">
        <v>75</v>
      </c>
      <c r="I3545" s="13"/>
      <c r="J3545" s="13"/>
      <c r="K3545" s="15">
        <v>0.0</v>
      </c>
      <c r="L3545" s="15">
        <v>0.0</v>
      </c>
      <c r="M3545" s="16"/>
      <c r="N3545" s="16"/>
      <c r="O3545" s="17"/>
      <c r="P3545" s="17"/>
      <c r="Q3545" s="13">
        <f t="shared" ref="Q3545:Q3547" si="3816">K3544+L3544+M3544+N3544+O3544+P3544/6</f>
        <v>2</v>
      </c>
      <c r="R3545" s="13"/>
      <c r="S3545" s="13"/>
      <c r="T3545" s="13">
        <f t="shared" ref="T3545:Y3545" si="3815">IF(ISBLANK(K3545)=TRUE,0,1)</f>
        <v>1</v>
      </c>
      <c r="U3545" s="13">
        <f t="shared" si="3815"/>
        <v>1</v>
      </c>
      <c r="V3545" s="13">
        <f t="shared" si="3815"/>
        <v>0</v>
      </c>
      <c r="W3545" s="13">
        <f t="shared" si="3815"/>
        <v>0</v>
      </c>
      <c r="X3545" s="13">
        <f t="shared" si="3815"/>
        <v>0</v>
      </c>
      <c r="Y3545" s="13">
        <f t="shared" si="3815"/>
        <v>0</v>
      </c>
      <c r="Z3545" s="13">
        <f t="shared" si="3023"/>
        <v>0</v>
      </c>
      <c r="AA3545" s="13"/>
      <c r="AB3545" s="13"/>
      <c r="AC3545" s="13"/>
      <c r="AD3545" s="13"/>
      <c r="AE3545" s="13"/>
      <c r="AF3545" s="13"/>
      <c r="AG3545" s="13"/>
      <c r="AH3545" s="13"/>
      <c r="AI3545" s="13"/>
      <c r="AJ3545" s="13"/>
      <c r="AK3545" s="13"/>
      <c r="AL3545" s="13"/>
      <c r="AM3545" s="13"/>
      <c r="AN3545" s="13"/>
      <c r="AO3545" s="13"/>
      <c r="AP3545" s="13"/>
      <c r="AQ3545" s="13"/>
      <c r="AR3545" s="13"/>
      <c r="AS3545" s="13"/>
    </row>
    <row r="3546" ht="14.25" customHeight="1">
      <c r="A3546" s="13" t="s">
        <v>36</v>
      </c>
      <c r="B3546" s="13" t="s">
        <v>41</v>
      </c>
      <c r="C3546" s="13" t="s">
        <v>1970</v>
      </c>
      <c r="D3546" s="13" t="s">
        <v>168</v>
      </c>
      <c r="F3546" s="13"/>
      <c r="G3546" s="13" t="s">
        <v>74</v>
      </c>
      <c r="H3546" s="13" t="s">
        <v>75</v>
      </c>
      <c r="I3546" s="13"/>
      <c r="J3546" s="13"/>
      <c r="K3546" s="15">
        <v>0.0</v>
      </c>
      <c r="L3546" s="15">
        <v>0.0</v>
      </c>
      <c r="M3546" s="16"/>
      <c r="N3546" s="16"/>
      <c r="O3546" s="17"/>
      <c r="P3546" s="17"/>
      <c r="Q3546" s="13">
        <f t="shared" si="3816"/>
        <v>0</v>
      </c>
      <c r="R3546" s="13"/>
      <c r="S3546" s="13"/>
      <c r="T3546" s="13">
        <f t="shared" ref="T3546:Y3546" si="3817">IF(ISBLANK(K3546)=TRUE,0,1)</f>
        <v>1</v>
      </c>
      <c r="U3546" s="13">
        <f t="shared" si="3817"/>
        <v>1</v>
      </c>
      <c r="V3546" s="13">
        <f t="shared" si="3817"/>
        <v>0</v>
      </c>
      <c r="W3546" s="13">
        <f t="shared" si="3817"/>
        <v>0</v>
      </c>
      <c r="X3546" s="13">
        <f t="shared" si="3817"/>
        <v>0</v>
      </c>
      <c r="Y3546" s="13">
        <f t="shared" si="3817"/>
        <v>0</v>
      </c>
      <c r="Z3546" s="13">
        <f t="shared" si="3023"/>
        <v>0</v>
      </c>
      <c r="AA3546" s="13"/>
      <c r="AB3546" s="13"/>
      <c r="AC3546" s="13"/>
      <c r="AD3546" s="13"/>
      <c r="AE3546" s="13"/>
      <c r="AF3546" s="13"/>
      <c r="AG3546" s="13"/>
      <c r="AH3546" s="13"/>
      <c r="AI3546" s="13"/>
      <c r="AJ3546" s="13"/>
      <c r="AK3546" s="13"/>
      <c r="AL3546" s="13"/>
      <c r="AM3546" s="13"/>
      <c r="AN3546" s="13"/>
      <c r="AO3546" s="13"/>
      <c r="AP3546" s="13"/>
      <c r="AQ3546" s="13"/>
      <c r="AR3546" s="13"/>
      <c r="AS3546" s="13"/>
    </row>
    <row r="3547" ht="14.25" customHeight="1">
      <c r="A3547" s="13" t="s">
        <v>36</v>
      </c>
      <c r="B3547" s="13" t="s">
        <v>41</v>
      </c>
      <c r="C3547" s="13" t="s">
        <v>1970</v>
      </c>
      <c r="D3547" s="13" t="s">
        <v>169</v>
      </c>
      <c r="F3547" s="13"/>
      <c r="G3547" s="13" t="s">
        <v>74</v>
      </c>
      <c r="H3547" s="13" t="s">
        <v>75</v>
      </c>
      <c r="I3547" s="13"/>
      <c r="J3547" s="13"/>
      <c r="K3547" s="15">
        <v>0.0</v>
      </c>
      <c r="L3547" s="15">
        <v>0.0</v>
      </c>
      <c r="M3547" s="16"/>
      <c r="N3547" s="16"/>
      <c r="O3547" s="17"/>
      <c r="P3547" s="17"/>
      <c r="Q3547" s="13">
        <f t="shared" si="3816"/>
        <v>0</v>
      </c>
      <c r="R3547" s="13"/>
      <c r="S3547" s="13"/>
      <c r="T3547" s="13">
        <f t="shared" ref="T3547:Y3547" si="3818">IF(ISBLANK(K3547)=TRUE,0,1)</f>
        <v>1</v>
      </c>
      <c r="U3547" s="13">
        <f t="shared" si="3818"/>
        <v>1</v>
      </c>
      <c r="V3547" s="13">
        <f t="shared" si="3818"/>
        <v>0</v>
      </c>
      <c r="W3547" s="13">
        <f t="shared" si="3818"/>
        <v>0</v>
      </c>
      <c r="X3547" s="13">
        <f t="shared" si="3818"/>
        <v>0</v>
      </c>
      <c r="Y3547" s="13">
        <f t="shared" si="3818"/>
        <v>0</v>
      </c>
      <c r="Z3547" s="13">
        <f t="shared" si="3023"/>
        <v>0</v>
      </c>
      <c r="AA3547" s="13"/>
      <c r="AB3547" s="13"/>
      <c r="AC3547" s="13"/>
      <c r="AD3547" s="13"/>
      <c r="AE3547" s="13"/>
      <c r="AF3547" s="13"/>
      <c r="AG3547" s="13"/>
      <c r="AH3547" s="13"/>
      <c r="AI3547" s="13"/>
      <c r="AJ3547" s="13"/>
      <c r="AK3547" s="13"/>
      <c r="AL3547" s="13"/>
      <c r="AM3547" s="13"/>
      <c r="AN3547" s="13"/>
      <c r="AO3547" s="13"/>
      <c r="AP3547" s="13"/>
      <c r="AQ3547" s="13"/>
      <c r="AR3547" s="13"/>
      <c r="AS3547" s="13"/>
    </row>
    <row r="3548" ht="14.25" customHeight="1">
      <c r="A3548" s="13" t="s">
        <v>36</v>
      </c>
      <c r="B3548" s="13" t="s">
        <v>37</v>
      </c>
      <c r="C3548" s="13" t="s">
        <v>611</v>
      </c>
      <c r="D3548" s="13" t="s">
        <v>191</v>
      </c>
      <c r="F3548" s="13"/>
      <c r="G3548" s="13" t="s">
        <v>111</v>
      </c>
      <c r="H3548" s="13" t="s">
        <v>75</v>
      </c>
      <c r="I3548" s="13"/>
      <c r="J3548" s="13"/>
      <c r="K3548" s="15">
        <v>0.0</v>
      </c>
      <c r="L3548" s="15">
        <v>0.0</v>
      </c>
      <c r="M3548" s="16"/>
      <c r="N3548" s="16"/>
      <c r="O3548" s="17"/>
      <c r="P3548" s="17"/>
      <c r="Q3548" s="13"/>
      <c r="R3548" s="13"/>
      <c r="S3548" s="13"/>
      <c r="T3548" s="13">
        <f t="shared" ref="T3548:Y3548" si="3819">IF(ISBLANK(K3548)=TRUE,0,1)</f>
        <v>1</v>
      </c>
      <c r="U3548" s="13">
        <f t="shared" si="3819"/>
        <v>1</v>
      </c>
      <c r="V3548" s="13">
        <f t="shared" si="3819"/>
        <v>0</v>
      </c>
      <c r="W3548" s="13">
        <f t="shared" si="3819"/>
        <v>0</v>
      </c>
      <c r="X3548" s="13">
        <f t="shared" si="3819"/>
        <v>0</v>
      </c>
      <c r="Y3548" s="13">
        <f t="shared" si="3819"/>
        <v>0</v>
      </c>
      <c r="Z3548" s="13">
        <f t="shared" si="3023"/>
        <v>0</v>
      </c>
      <c r="AA3548" s="13"/>
      <c r="AB3548" s="13"/>
      <c r="AC3548" s="13"/>
      <c r="AD3548" s="13"/>
      <c r="AE3548" s="13"/>
      <c r="AF3548" s="13"/>
      <c r="AG3548" s="13"/>
      <c r="AH3548" s="13"/>
      <c r="AI3548" s="13"/>
      <c r="AJ3548" s="13"/>
      <c r="AK3548" s="13"/>
      <c r="AL3548" s="13"/>
      <c r="AM3548" s="13"/>
      <c r="AN3548" s="13"/>
      <c r="AO3548" s="13"/>
      <c r="AP3548" s="13"/>
      <c r="AQ3548" s="13"/>
      <c r="AR3548" s="13"/>
      <c r="AS3548" s="13"/>
    </row>
    <row r="3549" ht="14.25" customHeight="1">
      <c r="A3549" s="13" t="s">
        <v>36</v>
      </c>
      <c r="B3549" s="13" t="s">
        <v>41</v>
      </c>
      <c r="C3549" s="13" t="s">
        <v>1970</v>
      </c>
      <c r="D3549" s="13" t="s">
        <v>170</v>
      </c>
      <c r="F3549" s="13"/>
      <c r="G3549" s="13" t="s">
        <v>74</v>
      </c>
      <c r="H3549" s="13" t="s">
        <v>75</v>
      </c>
      <c r="I3549" s="13"/>
      <c r="J3549" s="13"/>
      <c r="K3549" s="15">
        <v>0.0</v>
      </c>
      <c r="L3549" s="15">
        <v>0.0</v>
      </c>
      <c r="M3549" s="16"/>
      <c r="N3549" s="16"/>
      <c r="O3549" s="17"/>
      <c r="P3549" s="17"/>
      <c r="Q3549" s="13">
        <f t="shared" ref="Q3549:Q3558" si="3821">K3548+L3548+M3548+N3548+O3548+P3548/6</f>
        <v>0</v>
      </c>
      <c r="R3549" s="13"/>
      <c r="S3549" s="13"/>
      <c r="T3549" s="13">
        <f t="shared" ref="T3549:Y3549" si="3820">IF(ISBLANK(K3549)=TRUE,0,1)</f>
        <v>1</v>
      </c>
      <c r="U3549" s="13">
        <f t="shared" si="3820"/>
        <v>1</v>
      </c>
      <c r="V3549" s="13">
        <f t="shared" si="3820"/>
        <v>0</v>
      </c>
      <c r="W3549" s="13">
        <f t="shared" si="3820"/>
        <v>0</v>
      </c>
      <c r="X3549" s="13">
        <f t="shared" si="3820"/>
        <v>0</v>
      </c>
      <c r="Y3549" s="13">
        <f t="shared" si="3820"/>
        <v>0</v>
      </c>
      <c r="Z3549" s="13">
        <f t="shared" si="3023"/>
        <v>0</v>
      </c>
      <c r="AA3549" s="13"/>
      <c r="AB3549" s="13"/>
      <c r="AC3549" s="13"/>
      <c r="AD3549" s="13"/>
      <c r="AE3549" s="13"/>
      <c r="AF3549" s="13"/>
      <c r="AG3549" s="13"/>
      <c r="AH3549" s="13"/>
      <c r="AI3549" s="13"/>
      <c r="AJ3549" s="13"/>
      <c r="AK3549" s="13"/>
      <c r="AL3549" s="13"/>
      <c r="AM3549" s="13"/>
      <c r="AN3549" s="13"/>
      <c r="AO3549" s="13"/>
      <c r="AP3549" s="13"/>
      <c r="AQ3549" s="13"/>
      <c r="AR3549" s="13"/>
      <c r="AS3549" s="13"/>
    </row>
    <row r="3550" ht="14.25" customHeight="1">
      <c r="A3550" s="13" t="s">
        <v>36</v>
      </c>
      <c r="B3550" s="13" t="s">
        <v>42</v>
      </c>
      <c r="C3550" s="13">
        <v>1245.0</v>
      </c>
      <c r="D3550" s="13" t="s">
        <v>181</v>
      </c>
      <c r="F3550" s="13"/>
      <c r="G3550" s="13" t="s">
        <v>111</v>
      </c>
      <c r="H3550" s="13" t="s">
        <v>75</v>
      </c>
      <c r="I3550" s="13"/>
      <c r="J3550" s="13"/>
      <c r="K3550" s="15">
        <v>0.0</v>
      </c>
      <c r="L3550" s="15">
        <v>0.0</v>
      </c>
      <c r="M3550" s="16"/>
      <c r="N3550" s="16"/>
      <c r="O3550" s="17"/>
      <c r="P3550" s="17"/>
      <c r="Q3550" s="13">
        <f t="shared" si="3821"/>
        <v>0</v>
      </c>
      <c r="R3550" s="13"/>
      <c r="S3550" s="13"/>
      <c r="T3550" s="13">
        <f t="shared" ref="T3550:Y3550" si="3822">IF(ISBLANK(K3550)=TRUE,0,1)</f>
        <v>1</v>
      </c>
      <c r="U3550" s="13">
        <f t="shared" si="3822"/>
        <v>1</v>
      </c>
      <c r="V3550" s="13">
        <f t="shared" si="3822"/>
        <v>0</v>
      </c>
      <c r="W3550" s="13">
        <f t="shared" si="3822"/>
        <v>0</v>
      </c>
      <c r="X3550" s="13">
        <f t="shared" si="3822"/>
        <v>0</v>
      </c>
      <c r="Y3550" s="13">
        <f t="shared" si="3822"/>
        <v>0</v>
      </c>
      <c r="Z3550" s="13">
        <f t="shared" si="3023"/>
        <v>0</v>
      </c>
      <c r="AA3550" s="13"/>
      <c r="AB3550" s="13"/>
      <c r="AC3550" s="13"/>
      <c r="AD3550" s="13"/>
      <c r="AE3550" s="13"/>
      <c r="AF3550" s="13"/>
      <c r="AG3550" s="13"/>
      <c r="AH3550" s="13"/>
      <c r="AI3550" s="13"/>
      <c r="AJ3550" s="13"/>
      <c r="AK3550" s="13"/>
      <c r="AL3550" s="13"/>
      <c r="AM3550" s="13"/>
      <c r="AN3550" s="13"/>
      <c r="AO3550" s="13"/>
      <c r="AP3550" s="13"/>
      <c r="AQ3550" s="13"/>
      <c r="AR3550" s="13"/>
      <c r="AS3550" s="13"/>
    </row>
    <row r="3551" ht="14.25" customHeight="1">
      <c r="A3551" s="13" t="s">
        <v>36</v>
      </c>
      <c r="B3551" s="13" t="s">
        <v>42</v>
      </c>
      <c r="C3551" s="13">
        <v>1245.0</v>
      </c>
      <c r="D3551" s="13" t="s">
        <v>182</v>
      </c>
      <c r="F3551" s="13"/>
      <c r="G3551" s="13" t="s">
        <v>111</v>
      </c>
      <c r="H3551" s="13" t="s">
        <v>75</v>
      </c>
      <c r="I3551" s="13"/>
      <c r="J3551" s="13"/>
      <c r="K3551" s="15">
        <v>0.0</v>
      </c>
      <c r="L3551" s="15">
        <v>0.0</v>
      </c>
      <c r="M3551" s="16"/>
      <c r="N3551" s="16"/>
      <c r="O3551" s="17"/>
      <c r="P3551" s="17"/>
      <c r="Q3551" s="13">
        <f t="shared" si="3821"/>
        <v>0</v>
      </c>
      <c r="R3551" s="13"/>
      <c r="S3551" s="13"/>
      <c r="T3551" s="13">
        <f t="shared" ref="T3551:Y3551" si="3823">IF(ISBLANK(K3551)=TRUE,0,1)</f>
        <v>1</v>
      </c>
      <c r="U3551" s="13">
        <f t="shared" si="3823"/>
        <v>1</v>
      </c>
      <c r="V3551" s="13">
        <f t="shared" si="3823"/>
        <v>0</v>
      </c>
      <c r="W3551" s="13">
        <f t="shared" si="3823"/>
        <v>0</v>
      </c>
      <c r="X3551" s="13">
        <f t="shared" si="3823"/>
        <v>0</v>
      </c>
      <c r="Y3551" s="13">
        <f t="shared" si="3823"/>
        <v>0</v>
      </c>
      <c r="Z3551" s="13">
        <f t="shared" si="3023"/>
        <v>0</v>
      </c>
      <c r="AA3551" s="13"/>
      <c r="AB3551" s="13"/>
      <c r="AC3551" s="13"/>
      <c r="AD3551" s="13"/>
      <c r="AE3551" s="13"/>
      <c r="AF3551" s="13"/>
      <c r="AG3551" s="13"/>
      <c r="AH3551" s="13"/>
      <c r="AI3551" s="13"/>
      <c r="AJ3551" s="13"/>
      <c r="AK3551" s="13"/>
      <c r="AL3551" s="13"/>
      <c r="AM3551" s="13"/>
      <c r="AN3551" s="13"/>
      <c r="AO3551" s="13"/>
      <c r="AP3551" s="13"/>
      <c r="AQ3551" s="13"/>
      <c r="AR3551" s="13"/>
      <c r="AS3551" s="13"/>
    </row>
    <row r="3552" ht="14.25" customHeight="1">
      <c r="A3552" s="13" t="s">
        <v>36</v>
      </c>
      <c r="B3552" s="13" t="s">
        <v>42</v>
      </c>
      <c r="C3552" s="13">
        <v>1245.0</v>
      </c>
      <c r="D3552" s="13" t="s">
        <v>183</v>
      </c>
      <c r="F3552" s="13"/>
      <c r="G3552" s="13" t="s">
        <v>111</v>
      </c>
      <c r="H3552" s="13" t="s">
        <v>75</v>
      </c>
      <c r="I3552" s="13"/>
      <c r="J3552" s="13"/>
      <c r="K3552" s="15">
        <v>0.0</v>
      </c>
      <c r="L3552" s="15">
        <v>0.0</v>
      </c>
      <c r="M3552" s="16"/>
      <c r="N3552" s="16"/>
      <c r="O3552" s="17"/>
      <c r="P3552" s="17"/>
      <c r="Q3552" s="13">
        <f t="shared" si="3821"/>
        <v>0</v>
      </c>
      <c r="R3552" s="13"/>
      <c r="S3552" s="13"/>
      <c r="T3552" s="13">
        <f t="shared" ref="T3552:Y3552" si="3824">IF(ISBLANK(K3552)=TRUE,0,1)</f>
        <v>1</v>
      </c>
      <c r="U3552" s="13">
        <f t="shared" si="3824"/>
        <v>1</v>
      </c>
      <c r="V3552" s="13">
        <f t="shared" si="3824"/>
        <v>0</v>
      </c>
      <c r="W3552" s="13">
        <f t="shared" si="3824"/>
        <v>0</v>
      </c>
      <c r="X3552" s="13">
        <f t="shared" si="3824"/>
        <v>0</v>
      </c>
      <c r="Y3552" s="13">
        <f t="shared" si="3824"/>
        <v>0</v>
      </c>
      <c r="Z3552" s="13">
        <f t="shared" si="3023"/>
        <v>0</v>
      </c>
      <c r="AA3552" s="13"/>
      <c r="AB3552" s="13"/>
      <c r="AC3552" s="13"/>
      <c r="AD3552" s="13"/>
      <c r="AE3552" s="13"/>
      <c r="AF3552" s="13"/>
      <c r="AG3552" s="13"/>
      <c r="AH3552" s="13"/>
      <c r="AI3552" s="13"/>
      <c r="AJ3552" s="13"/>
      <c r="AK3552" s="13"/>
      <c r="AL3552" s="13"/>
      <c r="AM3552" s="13"/>
      <c r="AN3552" s="13"/>
      <c r="AO3552" s="13"/>
      <c r="AP3552" s="13"/>
      <c r="AQ3552" s="13"/>
      <c r="AR3552" s="13"/>
      <c r="AS3552" s="13"/>
    </row>
    <row r="3553" ht="14.25" customHeight="1">
      <c r="A3553" s="13" t="s">
        <v>36</v>
      </c>
      <c r="B3553" s="13" t="s">
        <v>41</v>
      </c>
      <c r="C3553" s="13" t="s">
        <v>1970</v>
      </c>
      <c r="D3553" s="13" t="s">
        <v>171</v>
      </c>
      <c r="F3553" s="13"/>
      <c r="G3553" s="13" t="s">
        <v>74</v>
      </c>
      <c r="H3553" s="13" t="s">
        <v>75</v>
      </c>
      <c r="I3553" s="13"/>
      <c r="J3553" s="13"/>
      <c r="K3553" s="15">
        <v>0.0</v>
      </c>
      <c r="L3553" s="15">
        <v>0.0</v>
      </c>
      <c r="M3553" s="16"/>
      <c r="N3553" s="16"/>
      <c r="O3553" s="17"/>
      <c r="P3553" s="17"/>
      <c r="Q3553" s="13">
        <f t="shared" si="3821"/>
        <v>0</v>
      </c>
      <c r="R3553" s="13"/>
      <c r="S3553" s="13"/>
      <c r="T3553" s="13">
        <f t="shared" ref="T3553:Y3553" si="3825">IF(ISBLANK(K3553)=TRUE,0,1)</f>
        <v>1</v>
      </c>
      <c r="U3553" s="13">
        <f t="shared" si="3825"/>
        <v>1</v>
      </c>
      <c r="V3553" s="13">
        <f t="shared" si="3825"/>
        <v>0</v>
      </c>
      <c r="W3553" s="13">
        <f t="shared" si="3825"/>
        <v>0</v>
      </c>
      <c r="X3553" s="13">
        <f t="shared" si="3825"/>
        <v>0</v>
      </c>
      <c r="Y3553" s="13">
        <f t="shared" si="3825"/>
        <v>0</v>
      </c>
      <c r="Z3553" s="13">
        <f t="shared" si="3023"/>
        <v>0</v>
      </c>
      <c r="AA3553" s="13"/>
      <c r="AB3553" s="13"/>
      <c r="AC3553" s="13"/>
      <c r="AD3553" s="13"/>
      <c r="AE3553" s="13"/>
      <c r="AF3553" s="13"/>
      <c r="AG3553" s="13"/>
      <c r="AH3553" s="13"/>
      <c r="AI3553" s="13"/>
      <c r="AJ3553" s="13"/>
      <c r="AK3553" s="13"/>
      <c r="AL3553" s="13"/>
      <c r="AM3553" s="13"/>
      <c r="AN3553" s="13"/>
      <c r="AO3553" s="13"/>
      <c r="AP3553" s="13"/>
      <c r="AQ3553" s="13"/>
      <c r="AR3553" s="13"/>
      <c r="AS3553" s="13"/>
    </row>
    <row r="3554" ht="14.25" customHeight="1">
      <c r="A3554" s="13" t="s">
        <v>36</v>
      </c>
      <c r="B3554" s="13" t="s">
        <v>41</v>
      </c>
      <c r="C3554" s="13" t="s">
        <v>1970</v>
      </c>
      <c r="D3554" s="13" t="s">
        <v>172</v>
      </c>
      <c r="F3554" s="13"/>
      <c r="G3554" s="13" t="s">
        <v>74</v>
      </c>
      <c r="H3554" s="13" t="s">
        <v>75</v>
      </c>
      <c r="I3554" s="13"/>
      <c r="J3554" s="13"/>
      <c r="K3554" s="15">
        <v>0.0</v>
      </c>
      <c r="L3554" s="15">
        <v>0.0</v>
      </c>
      <c r="M3554" s="16"/>
      <c r="N3554" s="16"/>
      <c r="O3554" s="17"/>
      <c r="P3554" s="17"/>
      <c r="Q3554" s="13">
        <f t="shared" si="3821"/>
        <v>0</v>
      </c>
      <c r="R3554" s="13"/>
      <c r="S3554" s="13"/>
      <c r="T3554" s="13">
        <f t="shared" ref="T3554:Y3554" si="3826">IF(ISBLANK(K3554)=TRUE,0,1)</f>
        <v>1</v>
      </c>
      <c r="U3554" s="13">
        <f t="shared" si="3826"/>
        <v>1</v>
      </c>
      <c r="V3554" s="13">
        <f t="shared" si="3826"/>
        <v>0</v>
      </c>
      <c r="W3554" s="13">
        <f t="shared" si="3826"/>
        <v>0</v>
      </c>
      <c r="X3554" s="13">
        <f t="shared" si="3826"/>
        <v>0</v>
      </c>
      <c r="Y3554" s="13">
        <f t="shared" si="3826"/>
        <v>0</v>
      </c>
      <c r="Z3554" s="13">
        <f t="shared" si="3023"/>
        <v>0</v>
      </c>
      <c r="AA3554" s="13"/>
      <c r="AB3554" s="13"/>
      <c r="AC3554" s="13"/>
      <c r="AD3554" s="13"/>
      <c r="AE3554" s="13"/>
      <c r="AF3554" s="13"/>
      <c r="AG3554" s="13"/>
      <c r="AH3554" s="13"/>
      <c r="AI3554" s="13"/>
      <c r="AJ3554" s="13"/>
      <c r="AK3554" s="13"/>
      <c r="AL3554" s="13"/>
      <c r="AM3554" s="13"/>
      <c r="AN3554" s="13"/>
      <c r="AO3554" s="13"/>
      <c r="AP3554" s="13"/>
      <c r="AQ3554" s="13"/>
      <c r="AR3554" s="13"/>
      <c r="AS3554" s="13"/>
    </row>
    <row r="3555" ht="14.25" customHeight="1">
      <c r="A3555" s="13" t="s">
        <v>36</v>
      </c>
      <c r="B3555" s="13" t="s">
        <v>42</v>
      </c>
      <c r="C3555" s="13">
        <v>1245.0</v>
      </c>
      <c r="D3555" s="13" t="s">
        <v>184</v>
      </c>
      <c r="F3555" s="13"/>
      <c r="G3555" s="13" t="s">
        <v>111</v>
      </c>
      <c r="H3555" s="13" t="s">
        <v>75</v>
      </c>
      <c r="I3555" s="13"/>
      <c r="J3555" s="13"/>
      <c r="K3555" s="15">
        <v>0.0</v>
      </c>
      <c r="L3555" s="15">
        <v>0.0</v>
      </c>
      <c r="M3555" s="16"/>
      <c r="N3555" s="16"/>
      <c r="O3555" s="17"/>
      <c r="P3555" s="17"/>
      <c r="Q3555" s="13">
        <f t="shared" si="3821"/>
        <v>0</v>
      </c>
      <c r="R3555" s="13"/>
      <c r="S3555" s="13"/>
      <c r="T3555" s="13">
        <f t="shared" ref="T3555:Y3555" si="3827">IF(ISBLANK(K3555)=TRUE,0,1)</f>
        <v>1</v>
      </c>
      <c r="U3555" s="13">
        <f t="shared" si="3827"/>
        <v>1</v>
      </c>
      <c r="V3555" s="13">
        <f t="shared" si="3827"/>
        <v>0</v>
      </c>
      <c r="W3555" s="13">
        <f t="shared" si="3827"/>
        <v>0</v>
      </c>
      <c r="X3555" s="13">
        <f t="shared" si="3827"/>
        <v>0</v>
      </c>
      <c r="Y3555" s="13">
        <f t="shared" si="3827"/>
        <v>0</v>
      </c>
      <c r="Z3555" s="13">
        <f t="shared" si="3023"/>
        <v>0</v>
      </c>
      <c r="AA3555" s="13"/>
      <c r="AB3555" s="13"/>
      <c r="AC3555" s="13"/>
      <c r="AD3555" s="13"/>
      <c r="AE3555" s="13"/>
      <c r="AF3555" s="13"/>
      <c r="AG3555" s="13"/>
      <c r="AH3555" s="13"/>
      <c r="AI3555" s="13"/>
      <c r="AJ3555" s="13"/>
      <c r="AK3555" s="13"/>
      <c r="AL3555" s="13"/>
      <c r="AM3555" s="13"/>
      <c r="AN3555" s="13"/>
      <c r="AO3555" s="13"/>
      <c r="AP3555" s="13"/>
      <c r="AQ3555" s="13"/>
      <c r="AR3555" s="13"/>
      <c r="AS3555" s="13"/>
    </row>
    <row r="3556" ht="14.25" customHeight="1">
      <c r="A3556" s="13" t="s">
        <v>36</v>
      </c>
      <c r="B3556" s="13" t="s">
        <v>41</v>
      </c>
      <c r="C3556" s="13" t="s">
        <v>1970</v>
      </c>
      <c r="D3556" s="13" t="s">
        <v>556</v>
      </c>
      <c r="F3556" s="13"/>
      <c r="G3556" s="13" t="s">
        <v>74</v>
      </c>
      <c r="H3556" s="13" t="s">
        <v>75</v>
      </c>
      <c r="I3556" s="13"/>
      <c r="J3556" s="13"/>
      <c r="K3556" s="15">
        <v>0.0</v>
      </c>
      <c r="L3556" s="15">
        <v>0.0</v>
      </c>
      <c r="M3556" s="16"/>
      <c r="N3556" s="16"/>
      <c r="O3556" s="17"/>
      <c r="P3556" s="17"/>
      <c r="Q3556" s="13">
        <f t="shared" si="3821"/>
        <v>0</v>
      </c>
      <c r="R3556" s="13"/>
      <c r="S3556" s="13"/>
      <c r="T3556" s="13">
        <f t="shared" ref="T3556:Y3556" si="3828">IF(ISBLANK(K3556)=TRUE,0,1)</f>
        <v>1</v>
      </c>
      <c r="U3556" s="13">
        <f t="shared" si="3828"/>
        <v>1</v>
      </c>
      <c r="V3556" s="13">
        <f t="shared" si="3828"/>
        <v>0</v>
      </c>
      <c r="W3556" s="13">
        <f t="shared" si="3828"/>
        <v>0</v>
      </c>
      <c r="X3556" s="13">
        <f t="shared" si="3828"/>
        <v>0</v>
      </c>
      <c r="Y3556" s="13">
        <f t="shared" si="3828"/>
        <v>0</v>
      </c>
      <c r="Z3556" s="13">
        <f t="shared" si="3023"/>
        <v>0</v>
      </c>
      <c r="AA3556" s="13"/>
      <c r="AB3556" s="13"/>
      <c r="AC3556" s="13"/>
      <c r="AD3556" s="13"/>
      <c r="AE3556" s="13"/>
      <c r="AF3556" s="13"/>
      <c r="AG3556" s="13"/>
      <c r="AH3556" s="13"/>
      <c r="AI3556" s="13"/>
      <c r="AJ3556" s="13"/>
      <c r="AK3556" s="13"/>
      <c r="AL3556" s="13"/>
      <c r="AM3556" s="13"/>
      <c r="AN3556" s="13"/>
      <c r="AO3556" s="13"/>
      <c r="AP3556" s="13"/>
      <c r="AQ3556" s="13"/>
      <c r="AR3556" s="13"/>
      <c r="AS3556" s="13"/>
    </row>
    <row r="3557" ht="14.25" customHeight="1">
      <c r="A3557" s="13" t="s">
        <v>36</v>
      </c>
      <c r="B3557" s="13" t="s">
        <v>41</v>
      </c>
      <c r="C3557" s="13" t="s">
        <v>1970</v>
      </c>
      <c r="D3557" s="13" t="s">
        <v>557</v>
      </c>
      <c r="F3557" s="13"/>
      <c r="G3557" s="13" t="s">
        <v>74</v>
      </c>
      <c r="H3557" s="13" t="s">
        <v>75</v>
      </c>
      <c r="I3557" s="13"/>
      <c r="J3557" s="13"/>
      <c r="K3557" s="15">
        <v>0.0</v>
      </c>
      <c r="L3557" s="15">
        <v>0.0</v>
      </c>
      <c r="M3557" s="16"/>
      <c r="N3557" s="16"/>
      <c r="O3557" s="17"/>
      <c r="P3557" s="17"/>
      <c r="Q3557" s="13">
        <f t="shared" si="3821"/>
        <v>0</v>
      </c>
      <c r="R3557" s="13"/>
      <c r="S3557" s="13"/>
      <c r="T3557" s="13">
        <f t="shared" ref="T3557:Y3557" si="3829">IF(ISBLANK(K3557)=TRUE,0,1)</f>
        <v>1</v>
      </c>
      <c r="U3557" s="13">
        <f t="shared" si="3829"/>
        <v>1</v>
      </c>
      <c r="V3557" s="13">
        <f t="shared" si="3829"/>
        <v>0</v>
      </c>
      <c r="W3557" s="13">
        <f t="shared" si="3829"/>
        <v>0</v>
      </c>
      <c r="X3557" s="13">
        <f t="shared" si="3829"/>
        <v>0</v>
      </c>
      <c r="Y3557" s="13">
        <f t="shared" si="3829"/>
        <v>0</v>
      </c>
      <c r="Z3557" s="13">
        <f t="shared" si="3023"/>
        <v>0</v>
      </c>
      <c r="AA3557" s="13"/>
      <c r="AB3557" s="13"/>
      <c r="AC3557" s="13"/>
      <c r="AD3557" s="13"/>
      <c r="AE3557" s="13"/>
      <c r="AF3557" s="13"/>
      <c r="AG3557" s="13"/>
      <c r="AH3557" s="13"/>
      <c r="AI3557" s="13"/>
      <c r="AJ3557" s="13"/>
      <c r="AK3557" s="13"/>
      <c r="AL3557" s="13"/>
      <c r="AM3557" s="13"/>
      <c r="AN3557" s="13"/>
      <c r="AO3557" s="13"/>
      <c r="AP3557" s="13"/>
      <c r="AQ3557" s="13"/>
      <c r="AR3557" s="13"/>
      <c r="AS3557" s="13"/>
    </row>
    <row r="3558" ht="14.25" customHeight="1">
      <c r="A3558" s="13" t="s">
        <v>36</v>
      </c>
      <c r="B3558" s="13" t="s">
        <v>41</v>
      </c>
      <c r="C3558" s="13" t="s">
        <v>1970</v>
      </c>
      <c r="D3558" s="13" t="s">
        <v>110</v>
      </c>
      <c r="F3558" s="13"/>
      <c r="G3558" s="13" t="s">
        <v>74</v>
      </c>
      <c r="H3558" s="13" t="s">
        <v>75</v>
      </c>
      <c r="I3558" s="13"/>
      <c r="J3558" s="13"/>
      <c r="K3558" s="15">
        <v>0.0</v>
      </c>
      <c r="L3558" s="15">
        <v>0.0</v>
      </c>
      <c r="M3558" s="16"/>
      <c r="N3558" s="16"/>
      <c r="O3558" s="17"/>
      <c r="P3558" s="17"/>
      <c r="Q3558" s="13">
        <f t="shared" si="3821"/>
        <v>0</v>
      </c>
      <c r="R3558" s="13"/>
      <c r="S3558" s="13"/>
      <c r="T3558" s="13">
        <f t="shared" ref="T3558:Y3558" si="3830">IF(ISBLANK(K3558)=TRUE,0,1)</f>
        <v>1</v>
      </c>
      <c r="U3558" s="13">
        <f t="shared" si="3830"/>
        <v>1</v>
      </c>
      <c r="V3558" s="13">
        <f t="shared" si="3830"/>
        <v>0</v>
      </c>
      <c r="W3558" s="13">
        <f t="shared" si="3830"/>
        <v>0</v>
      </c>
      <c r="X3558" s="13">
        <f t="shared" si="3830"/>
        <v>0</v>
      </c>
      <c r="Y3558" s="13">
        <f t="shared" si="3830"/>
        <v>0</v>
      </c>
      <c r="Z3558" s="13">
        <f t="shared" si="3023"/>
        <v>0</v>
      </c>
      <c r="AA3558" s="13"/>
      <c r="AB3558" s="13"/>
      <c r="AC3558" s="13"/>
      <c r="AD3558" s="13"/>
      <c r="AE3558" s="13"/>
      <c r="AF3558" s="13"/>
      <c r="AG3558" s="13"/>
      <c r="AH3558" s="13"/>
      <c r="AI3558" s="13"/>
      <c r="AJ3558" s="13"/>
      <c r="AK3558" s="13"/>
      <c r="AL3558" s="13"/>
      <c r="AM3558" s="13"/>
      <c r="AN3558" s="13"/>
      <c r="AO3558" s="13"/>
      <c r="AP3558" s="13"/>
      <c r="AQ3558" s="13"/>
      <c r="AR3558" s="13"/>
      <c r="AS3558" s="13"/>
    </row>
    <row r="3559" ht="14.25" customHeight="1">
      <c r="A3559" s="13" t="s">
        <v>36</v>
      </c>
      <c r="B3559" s="13" t="s">
        <v>37</v>
      </c>
      <c r="C3559" s="13" t="s">
        <v>611</v>
      </c>
      <c r="D3559" s="13" t="s">
        <v>192</v>
      </c>
      <c r="F3559" s="13"/>
      <c r="G3559" s="13" t="s">
        <v>111</v>
      </c>
      <c r="H3559" s="13" t="s">
        <v>75</v>
      </c>
      <c r="I3559" s="13"/>
      <c r="J3559" s="13"/>
      <c r="K3559" s="15">
        <v>0.0</v>
      </c>
      <c r="L3559" s="15">
        <v>0.0</v>
      </c>
      <c r="M3559" s="16"/>
      <c r="N3559" s="16"/>
      <c r="O3559" s="17"/>
      <c r="P3559" s="17"/>
      <c r="Q3559" s="13"/>
      <c r="R3559" s="13"/>
      <c r="S3559" s="13"/>
      <c r="T3559" s="13">
        <f t="shared" ref="T3559:Y3559" si="3831">IF(ISBLANK(K3559)=TRUE,0,1)</f>
        <v>1</v>
      </c>
      <c r="U3559" s="13">
        <f t="shared" si="3831"/>
        <v>1</v>
      </c>
      <c r="V3559" s="13">
        <f t="shared" si="3831"/>
        <v>0</v>
      </c>
      <c r="W3559" s="13">
        <f t="shared" si="3831"/>
        <v>0</v>
      </c>
      <c r="X3559" s="13">
        <f t="shared" si="3831"/>
        <v>0</v>
      </c>
      <c r="Y3559" s="13">
        <f t="shared" si="3831"/>
        <v>0</v>
      </c>
      <c r="Z3559" s="13">
        <f t="shared" si="3023"/>
        <v>0</v>
      </c>
      <c r="AA3559" s="13"/>
      <c r="AB3559" s="13"/>
      <c r="AC3559" s="13"/>
      <c r="AD3559" s="13"/>
      <c r="AE3559" s="13"/>
      <c r="AF3559" s="13"/>
      <c r="AG3559" s="13"/>
      <c r="AH3559" s="13"/>
      <c r="AI3559" s="13"/>
      <c r="AJ3559" s="13"/>
      <c r="AK3559" s="13"/>
      <c r="AL3559" s="13"/>
      <c r="AM3559" s="13"/>
      <c r="AN3559" s="13"/>
      <c r="AO3559" s="13"/>
      <c r="AP3559" s="13"/>
      <c r="AQ3559" s="13"/>
      <c r="AR3559" s="13"/>
      <c r="AS3559" s="13"/>
    </row>
    <row r="3560" ht="14.25" customHeight="1">
      <c r="A3560" s="13" t="s">
        <v>36</v>
      </c>
      <c r="B3560" s="13" t="s">
        <v>41</v>
      </c>
      <c r="C3560" s="13" t="s">
        <v>1970</v>
      </c>
      <c r="D3560" s="13" t="s">
        <v>113</v>
      </c>
      <c r="F3560" s="13"/>
      <c r="G3560" s="13" t="s">
        <v>74</v>
      </c>
      <c r="H3560" s="13" t="s">
        <v>75</v>
      </c>
      <c r="I3560" s="13"/>
      <c r="J3560" s="13"/>
      <c r="K3560" s="15">
        <v>0.0</v>
      </c>
      <c r="L3560" s="15">
        <v>0.0</v>
      </c>
      <c r="M3560" s="16"/>
      <c r="N3560" s="16"/>
      <c r="O3560" s="17"/>
      <c r="P3560" s="17"/>
      <c r="Q3560" s="13">
        <f t="shared" ref="Q3560:Q3566" si="3833">K3559+L3559+M3559+N3559+O3559+P3559/6</f>
        <v>0</v>
      </c>
      <c r="R3560" s="13"/>
      <c r="S3560" s="13"/>
      <c r="T3560" s="13">
        <f t="shared" ref="T3560:Y3560" si="3832">IF(ISBLANK(K3560)=TRUE,0,1)</f>
        <v>1</v>
      </c>
      <c r="U3560" s="13">
        <f t="shared" si="3832"/>
        <v>1</v>
      </c>
      <c r="V3560" s="13">
        <f t="shared" si="3832"/>
        <v>0</v>
      </c>
      <c r="W3560" s="13">
        <f t="shared" si="3832"/>
        <v>0</v>
      </c>
      <c r="X3560" s="13">
        <f t="shared" si="3832"/>
        <v>0</v>
      </c>
      <c r="Y3560" s="13">
        <f t="shared" si="3832"/>
        <v>0</v>
      </c>
      <c r="Z3560" s="13">
        <f t="shared" si="3023"/>
        <v>0</v>
      </c>
      <c r="AA3560" s="13"/>
      <c r="AB3560" s="13"/>
      <c r="AC3560" s="13"/>
      <c r="AD3560" s="13"/>
      <c r="AE3560" s="13"/>
      <c r="AF3560" s="13"/>
      <c r="AG3560" s="13"/>
      <c r="AH3560" s="13"/>
      <c r="AI3560" s="13"/>
      <c r="AJ3560" s="13"/>
      <c r="AK3560" s="13"/>
      <c r="AL3560" s="13"/>
      <c r="AM3560" s="13"/>
      <c r="AN3560" s="13"/>
      <c r="AO3560" s="13"/>
      <c r="AP3560" s="13"/>
      <c r="AQ3560" s="13"/>
      <c r="AR3560" s="13"/>
      <c r="AS3560" s="13"/>
    </row>
    <row r="3561" ht="14.25" customHeight="1">
      <c r="A3561" s="13" t="s">
        <v>36</v>
      </c>
      <c r="B3561" s="13" t="s">
        <v>42</v>
      </c>
      <c r="C3561" s="13">
        <v>1245.0</v>
      </c>
      <c r="D3561" s="13" t="s">
        <v>185</v>
      </c>
      <c r="F3561" s="13"/>
      <c r="G3561" s="13" t="s">
        <v>111</v>
      </c>
      <c r="H3561" s="13" t="s">
        <v>75</v>
      </c>
      <c r="I3561" s="13"/>
      <c r="J3561" s="13"/>
      <c r="K3561" s="15">
        <v>0.0</v>
      </c>
      <c r="L3561" s="15">
        <v>0.0</v>
      </c>
      <c r="M3561" s="16"/>
      <c r="N3561" s="16"/>
      <c r="O3561" s="17"/>
      <c r="P3561" s="17"/>
      <c r="Q3561" s="13">
        <f t="shared" si="3833"/>
        <v>0</v>
      </c>
      <c r="R3561" s="13"/>
      <c r="S3561" s="13"/>
      <c r="T3561" s="13">
        <f t="shared" ref="T3561:Y3561" si="3834">IF(ISBLANK(K3561)=TRUE,0,1)</f>
        <v>1</v>
      </c>
      <c r="U3561" s="13">
        <f t="shared" si="3834"/>
        <v>1</v>
      </c>
      <c r="V3561" s="13">
        <f t="shared" si="3834"/>
        <v>0</v>
      </c>
      <c r="W3561" s="13">
        <f t="shared" si="3834"/>
        <v>0</v>
      </c>
      <c r="X3561" s="13">
        <f t="shared" si="3834"/>
        <v>0</v>
      </c>
      <c r="Y3561" s="13">
        <f t="shared" si="3834"/>
        <v>0</v>
      </c>
      <c r="Z3561" s="13">
        <f t="shared" si="3023"/>
        <v>0</v>
      </c>
      <c r="AA3561" s="13"/>
      <c r="AB3561" s="13"/>
      <c r="AC3561" s="13"/>
      <c r="AD3561" s="13"/>
      <c r="AE3561" s="13"/>
      <c r="AF3561" s="13"/>
      <c r="AG3561" s="13"/>
      <c r="AH3561" s="13"/>
      <c r="AI3561" s="13"/>
      <c r="AJ3561" s="13"/>
      <c r="AK3561" s="13"/>
      <c r="AL3561" s="13"/>
      <c r="AM3561" s="13"/>
      <c r="AN3561" s="13"/>
      <c r="AO3561" s="13"/>
      <c r="AP3561" s="13"/>
      <c r="AQ3561" s="13"/>
      <c r="AR3561" s="13"/>
      <c r="AS3561" s="13"/>
    </row>
    <row r="3562" ht="14.25" customHeight="1">
      <c r="A3562" s="13" t="s">
        <v>36</v>
      </c>
      <c r="B3562" s="13" t="s">
        <v>42</v>
      </c>
      <c r="C3562" s="13">
        <v>1245.0</v>
      </c>
      <c r="D3562" s="13" t="s">
        <v>186</v>
      </c>
      <c r="F3562" s="13"/>
      <c r="G3562" s="13" t="s">
        <v>111</v>
      </c>
      <c r="H3562" s="13" t="s">
        <v>75</v>
      </c>
      <c r="I3562" s="13"/>
      <c r="J3562" s="13"/>
      <c r="K3562" s="15">
        <v>0.0</v>
      </c>
      <c r="L3562" s="15">
        <v>0.0</v>
      </c>
      <c r="M3562" s="16"/>
      <c r="N3562" s="16"/>
      <c r="O3562" s="17"/>
      <c r="P3562" s="17"/>
      <c r="Q3562" s="13">
        <f t="shared" si="3833"/>
        <v>0</v>
      </c>
      <c r="R3562" s="13"/>
      <c r="S3562" s="13"/>
      <c r="T3562" s="13">
        <f t="shared" ref="T3562:Y3562" si="3835">IF(ISBLANK(K3562)=TRUE,0,1)</f>
        <v>1</v>
      </c>
      <c r="U3562" s="13">
        <f t="shared" si="3835"/>
        <v>1</v>
      </c>
      <c r="V3562" s="13">
        <f t="shared" si="3835"/>
        <v>0</v>
      </c>
      <c r="W3562" s="13">
        <f t="shared" si="3835"/>
        <v>0</v>
      </c>
      <c r="X3562" s="13">
        <f t="shared" si="3835"/>
        <v>0</v>
      </c>
      <c r="Y3562" s="13">
        <f t="shared" si="3835"/>
        <v>0</v>
      </c>
      <c r="Z3562" s="13">
        <f t="shared" si="3023"/>
        <v>0</v>
      </c>
      <c r="AA3562" s="13"/>
      <c r="AB3562" s="13"/>
      <c r="AC3562" s="13"/>
      <c r="AD3562" s="13"/>
      <c r="AE3562" s="13"/>
      <c r="AF3562" s="13"/>
      <c r="AG3562" s="13"/>
      <c r="AH3562" s="13"/>
      <c r="AI3562" s="13"/>
      <c r="AJ3562" s="13"/>
      <c r="AK3562" s="13"/>
      <c r="AL3562" s="13"/>
      <c r="AM3562" s="13"/>
      <c r="AN3562" s="13"/>
      <c r="AO3562" s="13"/>
      <c r="AP3562" s="13"/>
      <c r="AQ3562" s="13"/>
      <c r="AR3562" s="13"/>
      <c r="AS3562" s="13"/>
    </row>
    <row r="3563" ht="14.25" customHeight="1">
      <c r="A3563" s="13" t="s">
        <v>36</v>
      </c>
      <c r="B3563" s="13" t="s">
        <v>42</v>
      </c>
      <c r="C3563" s="13">
        <v>1245.0</v>
      </c>
      <c r="D3563" s="13" t="s">
        <v>187</v>
      </c>
      <c r="F3563" s="13"/>
      <c r="G3563" s="13" t="s">
        <v>111</v>
      </c>
      <c r="H3563" s="13" t="s">
        <v>75</v>
      </c>
      <c r="I3563" s="13"/>
      <c r="J3563" s="13"/>
      <c r="K3563" s="15">
        <v>0.0</v>
      </c>
      <c r="L3563" s="15">
        <v>0.0</v>
      </c>
      <c r="M3563" s="16"/>
      <c r="N3563" s="16"/>
      <c r="O3563" s="17"/>
      <c r="P3563" s="17"/>
      <c r="Q3563" s="13">
        <f t="shared" si="3833"/>
        <v>0</v>
      </c>
      <c r="R3563" s="13"/>
      <c r="S3563" s="13"/>
      <c r="T3563" s="13">
        <f t="shared" ref="T3563:Y3563" si="3836">IF(ISBLANK(K3563)=TRUE,0,1)</f>
        <v>1</v>
      </c>
      <c r="U3563" s="13">
        <f t="shared" si="3836"/>
        <v>1</v>
      </c>
      <c r="V3563" s="13">
        <f t="shared" si="3836"/>
        <v>0</v>
      </c>
      <c r="W3563" s="13">
        <f t="shared" si="3836"/>
        <v>0</v>
      </c>
      <c r="X3563" s="13">
        <f t="shared" si="3836"/>
        <v>0</v>
      </c>
      <c r="Y3563" s="13">
        <f t="shared" si="3836"/>
        <v>0</v>
      </c>
      <c r="Z3563" s="13">
        <f t="shared" si="3023"/>
        <v>0</v>
      </c>
      <c r="AA3563" s="13"/>
      <c r="AB3563" s="13"/>
      <c r="AC3563" s="13"/>
      <c r="AD3563" s="13"/>
      <c r="AE3563" s="13"/>
      <c r="AF3563" s="13"/>
      <c r="AG3563" s="13"/>
      <c r="AH3563" s="13"/>
      <c r="AI3563" s="13"/>
      <c r="AJ3563" s="13"/>
      <c r="AK3563" s="13"/>
      <c r="AL3563" s="13"/>
      <c r="AM3563" s="13"/>
      <c r="AN3563" s="13"/>
      <c r="AO3563" s="13"/>
      <c r="AP3563" s="13"/>
      <c r="AQ3563" s="13"/>
      <c r="AR3563" s="13"/>
      <c r="AS3563" s="13"/>
    </row>
    <row r="3564" ht="14.25" customHeight="1">
      <c r="A3564" s="13" t="s">
        <v>36</v>
      </c>
      <c r="B3564" s="13" t="s">
        <v>41</v>
      </c>
      <c r="C3564" s="13" t="s">
        <v>1970</v>
      </c>
      <c r="D3564" s="13" t="s">
        <v>115</v>
      </c>
      <c r="F3564" s="13"/>
      <c r="G3564" s="13" t="s">
        <v>74</v>
      </c>
      <c r="H3564" s="13" t="s">
        <v>75</v>
      </c>
      <c r="I3564" s="13"/>
      <c r="J3564" s="13"/>
      <c r="K3564" s="15">
        <v>0.0</v>
      </c>
      <c r="L3564" s="15">
        <v>0.0</v>
      </c>
      <c r="M3564" s="16"/>
      <c r="N3564" s="16"/>
      <c r="O3564" s="17"/>
      <c r="P3564" s="17"/>
      <c r="Q3564" s="13">
        <f t="shared" si="3833"/>
        <v>0</v>
      </c>
      <c r="R3564" s="13"/>
      <c r="S3564" s="13"/>
      <c r="T3564" s="13">
        <f t="shared" ref="T3564:Y3564" si="3837">IF(ISBLANK(K3564)=TRUE,0,1)</f>
        <v>1</v>
      </c>
      <c r="U3564" s="13">
        <f t="shared" si="3837"/>
        <v>1</v>
      </c>
      <c r="V3564" s="13">
        <f t="shared" si="3837"/>
        <v>0</v>
      </c>
      <c r="W3564" s="13">
        <f t="shared" si="3837"/>
        <v>0</v>
      </c>
      <c r="X3564" s="13">
        <f t="shared" si="3837"/>
        <v>0</v>
      </c>
      <c r="Y3564" s="13">
        <f t="shared" si="3837"/>
        <v>0</v>
      </c>
      <c r="Z3564" s="13">
        <f t="shared" si="3023"/>
        <v>0</v>
      </c>
      <c r="AA3564" s="13"/>
      <c r="AB3564" s="13"/>
      <c r="AC3564" s="13"/>
      <c r="AD3564" s="13"/>
      <c r="AE3564" s="13"/>
      <c r="AF3564" s="13"/>
      <c r="AG3564" s="13"/>
      <c r="AH3564" s="13"/>
      <c r="AI3564" s="13"/>
      <c r="AJ3564" s="13"/>
      <c r="AK3564" s="13"/>
      <c r="AL3564" s="13"/>
      <c r="AM3564" s="13"/>
      <c r="AN3564" s="13"/>
      <c r="AO3564" s="13"/>
      <c r="AP3564" s="13"/>
      <c r="AQ3564" s="13"/>
      <c r="AR3564" s="13"/>
      <c r="AS3564" s="13"/>
    </row>
    <row r="3565" ht="14.25" customHeight="1">
      <c r="A3565" s="13" t="s">
        <v>36</v>
      </c>
      <c r="B3565" s="13" t="s">
        <v>41</v>
      </c>
      <c r="C3565" s="13" t="s">
        <v>1970</v>
      </c>
      <c r="D3565" s="13" t="s">
        <v>117</v>
      </c>
      <c r="F3565" s="13"/>
      <c r="G3565" s="13" t="s">
        <v>74</v>
      </c>
      <c r="H3565" s="13" t="s">
        <v>75</v>
      </c>
      <c r="I3565" s="13"/>
      <c r="J3565" s="13"/>
      <c r="K3565" s="15">
        <v>0.0</v>
      </c>
      <c r="L3565" s="15">
        <v>0.0</v>
      </c>
      <c r="M3565" s="16"/>
      <c r="N3565" s="16"/>
      <c r="O3565" s="17"/>
      <c r="P3565" s="17"/>
      <c r="Q3565" s="13">
        <f t="shared" si="3833"/>
        <v>0</v>
      </c>
      <c r="R3565" s="13"/>
      <c r="S3565" s="13"/>
      <c r="T3565" s="13">
        <f t="shared" ref="T3565:Y3565" si="3838">IF(ISBLANK(K3565)=TRUE,0,1)</f>
        <v>1</v>
      </c>
      <c r="U3565" s="13">
        <f t="shared" si="3838"/>
        <v>1</v>
      </c>
      <c r="V3565" s="13">
        <f t="shared" si="3838"/>
        <v>0</v>
      </c>
      <c r="W3565" s="13">
        <f t="shared" si="3838"/>
        <v>0</v>
      </c>
      <c r="X3565" s="13">
        <f t="shared" si="3838"/>
        <v>0</v>
      </c>
      <c r="Y3565" s="13">
        <f t="shared" si="3838"/>
        <v>0</v>
      </c>
      <c r="Z3565" s="13">
        <f t="shared" si="3023"/>
        <v>0</v>
      </c>
      <c r="AA3565" s="13"/>
      <c r="AB3565" s="13"/>
      <c r="AC3565" s="13"/>
      <c r="AD3565" s="13"/>
      <c r="AE3565" s="13"/>
      <c r="AF3565" s="13"/>
      <c r="AG3565" s="13"/>
      <c r="AH3565" s="13"/>
      <c r="AI3565" s="13"/>
      <c r="AJ3565" s="13"/>
      <c r="AK3565" s="13"/>
      <c r="AL3565" s="13"/>
      <c r="AM3565" s="13"/>
      <c r="AN3565" s="13"/>
      <c r="AO3565" s="13"/>
      <c r="AP3565" s="13"/>
      <c r="AQ3565" s="13"/>
      <c r="AR3565" s="13"/>
      <c r="AS3565" s="13"/>
    </row>
    <row r="3566" ht="14.25" customHeight="1">
      <c r="A3566" s="13" t="s">
        <v>36</v>
      </c>
      <c r="B3566" s="13" t="s">
        <v>42</v>
      </c>
      <c r="C3566" s="13">
        <v>1245.0</v>
      </c>
      <c r="D3566" s="13" t="s">
        <v>188</v>
      </c>
      <c r="F3566" s="13"/>
      <c r="G3566" s="13" t="s">
        <v>111</v>
      </c>
      <c r="H3566" s="13" t="s">
        <v>75</v>
      </c>
      <c r="I3566" s="13"/>
      <c r="J3566" s="13"/>
      <c r="K3566" s="15">
        <v>0.0</v>
      </c>
      <c r="L3566" s="15">
        <v>0.0</v>
      </c>
      <c r="M3566" s="16"/>
      <c r="N3566" s="16"/>
      <c r="O3566" s="17"/>
      <c r="P3566" s="17"/>
      <c r="Q3566" s="13">
        <f t="shared" si="3833"/>
        <v>0</v>
      </c>
      <c r="R3566" s="13"/>
      <c r="S3566" s="13"/>
      <c r="T3566" s="13">
        <f t="shared" ref="T3566:Y3566" si="3839">IF(ISBLANK(K3566)=TRUE,0,1)</f>
        <v>1</v>
      </c>
      <c r="U3566" s="13">
        <f t="shared" si="3839"/>
        <v>1</v>
      </c>
      <c r="V3566" s="13">
        <f t="shared" si="3839"/>
        <v>0</v>
      </c>
      <c r="W3566" s="13">
        <f t="shared" si="3839"/>
        <v>0</v>
      </c>
      <c r="X3566" s="13">
        <f t="shared" si="3839"/>
        <v>0</v>
      </c>
      <c r="Y3566" s="13">
        <f t="shared" si="3839"/>
        <v>0</v>
      </c>
      <c r="Z3566" s="13">
        <f t="shared" si="3023"/>
        <v>0</v>
      </c>
      <c r="AA3566" s="13"/>
      <c r="AB3566" s="13"/>
      <c r="AC3566" s="13"/>
      <c r="AD3566" s="13"/>
      <c r="AE3566" s="13"/>
      <c r="AF3566" s="13"/>
      <c r="AG3566" s="13"/>
      <c r="AH3566" s="13"/>
      <c r="AI3566" s="13"/>
      <c r="AJ3566" s="13"/>
      <c r="AK3566" s="13"/>
      <c r="AL3566" s="13"/>
      <c r="AM3566" s="13"/>
      <c r="AN3566" s="13"/>
      <c r="AO3566" s="13"/>
      <c r="AP3566" s="13"/>
      <c r="AQ3566" s="13"/>
      <c r="AR3566" s="13"/>
      <c r="AS3566" s="13"/>
    </row>
    <row r="3567" ht="14.25" customHeight="1">
      <c r="A3567" s="26" t="s">
        <v>46</v>
      </c>
      <c r="B3567" s="26" t="s">
        <v>49</v>
      </c>
      <c r="C3567" s="26" t="s">
        <v>1885</v>
      </c>
      <c r="D3567" s="26" t="s">
        <v>176</v>
      </c>
      <c r="E3567" s="13"/>
      <c r="F3567" s="26"/>
      <c r="G3567" s="26" t="s">
        <v>74</v>
      </c>
      <c r="H3567" s="26" t="s">
        <v>75</v>
      </c>
      <c r="I3567" s="13"/>
      <c r="J3567" s="13"/>
      <c r="K3567" s="15">
        <v>1.0</v>
      </c>
      <c r="L3567" s="15">
        <v>1.0</v>
      </c>
      <c r="M3567" s="16"/>
      <c r="N3567" s="16"/>
      <c r="O3567" s="17"/>
      <c r="P3567" s="17"/>
      <c r="Q3567" s="13"/>
      <c r="R3567" s="13"/>
      <c r="S3567" s="13"/>
      <c r="T3567" s="13">
        <f t="shared" ref="T3567:Y3567" si="3840">IF(ISBLANK(K3567)=TRUE,0,1)</f>
        <v>1</v>
      </c>
      <c r="U3567" s="13">
        <f t="shared" si="3840"/>
        <v>1</v>
      </c>
      <c r="V3567" s="13">
        <f t="shared" si="3840"/>
        <v>0</v>
      </c>
      <c r="W3567" s="13">
        <f t="shared" si="3840"/>
        <v>0</v>
      </c>
      <c r="X3567" s="13">
        <f t="shared" si="3840"/>
        <v>0</v>
      </c>
      <c r="Y3567" s="13">
        <f t="shared" si="3840"/>
        <v>0</v>
      </c>
      <c r="Z3567" s="13">
        <f t="shared" si="3023"/>
        <v>1</v>
      </c>
      <c r="AA3567" s="13"/>
      <c r="AB3567" s="13"/>
      <c r="AC3567" s="13"/>
      <c r="AD3567" s="13"/>
      <c r="AE3567" s="13"/>
      <c r="AF3567" s="13"/>
      <c r="AG3567" s="13"/>
      <c r="AH3567" s="13"/>
      <c r="AI3567" s="13"/>
      <c r="AJ3567" s="13"/>
      <c r="AK3567" s="13"/>
      <c r="AL3567" s="13"/>
      <c r="AM3567" s="13"/>
      <c r="AN3567" s="13"/>
      <c r="AO3567" s="13"/>
      <c r="AP3567" s="13"/>
      <c r="AQ3567" s="13"/>
      <c r="AR3567" s="13"/>
      <c r="AS3567" s="13"/>
    </row>
    <row r="3568" ht="14.25" customHeight="1">
      <c r="A3568" s="13" t="s">
        <v>36</v>
      </c>
      <c r="B3568" s="13" t="s">
        <v>41</v>
      </c>
      <c r="C3568" s="13" t="s">
        <v>1970</v>
      </c>
      <c r="D3568" s="13" t="s">
        <v>119</v>
      </c>
      <c r="F3568" s="13"/>
      <c r="G3568" s="13" t="s">
        <v>74</v>
      </c>
      <c r="H3568" s="13" t="s">
        <v>75</v>
      </c>
      <c r="I3568" s="13"/>
      <c r="J3568" s="13"/>
      <c r="K3568" s="15">
        <v>0.0</v>
      </c>
      <c r="L3568" s="15">
        <v>0.0</v>
      </c>
      <c r="M3568" s="16"/>
      <c r="N3568" s="16"/>
      <c r="O3568" s="17"/>
      <c r="P3568" s="17"/>
      <c r="Q3568" s="13">
        <f t="shared" ref="Q3568:Q3581" si="3842">K3567+L3567+M3567+N3567+O3567+P3567/6</f>
        <v>2</v>
      </c>
      <c r="R3568" s="13"/>
      <c r="S3568" s="13"/>
      <c r="T3568" s="13">
        <f t="shared" ref="T3568:Y3568" si="3841">IF(ISBLANK(K3568)=TRUE,0,1)</f>
        <v>1</v>
      </c>
      <c r="U3568" s="13">
        <f t="shared" si="3841"/>
        <v>1</v>
      </c>
      <c r="V3568" s="13">
        <f t="shared" si="3841"/>
        <v>0</v>
      </c>
      <c r="W3568" s="13">
        <f t="shared" si="3841"/>
        <v>0</v>
      </c>
      <c r="X3568" s="13">
        <f t="shared" si="3841"/>
        <v>0</v>
      </c>
      <c r="Y3568" s="13">
        <f t="shared" si="3841"/>
        <v>0</v>
      </c>
      <c r="Z3568" s="13">
        <f t="shared" si="3023"/>
        <v>0</v>
      </c>
      <c r="AA3568" s="13"/>
      <c r="AB3568" s="13"/>
      <c r="AC3568" s="13"/>
      <c r="AD3568" s="13"/>
      <c r="AE3568" s="13"/>
      <c r="AF3568" s="13"/>
      <c r="AG3568" s="13"/>
      <c r="AH3568" s="13"/>
      <c r="AI3568" s="13"/>
      <c r="AJ3568" s="13"/>
      <c r="AK3568" s="13"/>
      <c r="AL3568" s="13"/>
      <c r="AM3568" s="13"/>
      <c r="AN3568" s="13"/>
      <c r="AO3568" s="13"/>
      <c r="AP3568" s="13"/>
      <c r="AQ3568" s="13"/>
      <c r="AR3568" s="13"/>
      <c r="AS3568" s="13"/>
    </row>
    <row r="3569" ht="14.25" customHeight="1">
      <c r="A3569" s="13" t="s">
        <v>36</v>
      </c>
      <c r="B3569" s="13" t="s">
        <v>41</v>
      </c>
      <c r="C3569" s="13" t="s">
        <v>1970</v>
      </c>
      <c r="D3569" s="13" t="s">
        <v>120</v>
      </c>
      <c r="F3569" s="13"/>
      <c r="G3569" s="13" t="s">
        <v>74</v>
      </c>
      <c r="H3569" s="13" t="s">
        <v>75</v>
      </c>
      <c r="I3569" s="13"/>
      <c r="J3569" s="13"/>
      <c r="K3569" s="15">
        <v>0.0</v>
      </c>
      <c r="L3569" s="15">
        <v>0.0</v>
      </c>
      <c r="M3569" s="16"/>
      <c r="N3569" s="16"/>
      <c r="O3569" s="17"/>
      <c r="P3569" s="17"/>
      <c r="Q3569" s="13">
        <f t="shared" si="3842"/>
        <v>0</v>
      </c>
      <c r="R3569" s="13"/>
      <c r="S3569" s="13"/>
      <c r="T3569" s="13">
        <f t="shared" ref="T3569:Y3569" si="3843">IF(ISBLANK(K3569)=TRUE,0,1)</f>
        <v>1</v>
      </c>
      <c r="U3569" s="13">
        <f t="shared" si="3843"/>
        <v>1</v>
      </c>
      <c r="V3569" s="13">
        <f t="shared" si="3843"/>
        <v>0</v>
      </c>
      <c r="W3569" s="13">
        <f t="shared" si="3843"/>
        <v>0</v>
      </c>
      <c r="X3569" s="13">
        <f t="shared" si="3843"/>
        <v>0</v>
      </c>
      <c r="Y3569" s="13">
        <f t="shared" si="3843"/>
        <v>0</v>
      </c>
      <c r="Z3569" s="13">
        <f t="shared" si="3023"/>
        <v>0</v>
      </c>
      <c r="AA3569" s="13"/>
      <c r="AB3569" s="13"/>
      <c r="AC3569" s="13"/>
      <c r="AD3569" s="13"/>
      <c r="AE3569" s="13"/>
      <c r="AF3569" s="13"/>
      <c r="AG3569" s="13"/>
      <c r="AH3569" s="13"/>
      <c r="AI3569" s="13"/>
      <c r="AJ3569" s="13"/>
      <c r="AK3569" s="13"/>
      <c r="AL3569" s="13"/>
      <c r="AM3569" s="13"/>
      <c r="AN3569" s="13"/>
      <c r="AO3569" s="13"/>
      <c r="AP3569" s="13"/>
      <c r="AQ3569" s="13"/>
      <c r="AR3569" s="13"/>
      <c r="AS3569" s="13"/>
    </row>
    <row r="3570" ht="14.25" customHeight="1">
      <c r="A3570" s="13" t="s">
        <v>36</v>
      </c>
      <c r="B3570" s="13" t="s">
        <v>41</v>
      </c>
      <c r="C3570" s="13" t="s">
        <v>1970</v>
      </c>
      <c r="D3570" s="13" t="s">
        <v>121</v>
      </c>
      <c r="F3570" s="13"/>
      <c r="G3570" s="13" t="s">
        <v>74</v>
      </c>
      <c r="H3570" s="13" t="s">
        <v>75</v>
      </c>
      <c r="I3570" s="13"/>
      <c r="J3570" s="13"/>
      <c r="K3570" s="15">
        <v>0.0</v>
      </c>
      <c r="L3570" s="15">
        <v>0.0</v>
      </c>
      <c r="M3570" s="16"/>
      <c r="N3570" s="16"/>
      <c r="O3570" s="17"/>
      <c r="P3570" s="17"/>
      <c r="Q3570" s="13">
        <f t="shared" si="3842"/>
        <v>0</v>
      </c>
      <c r="R3570" s="13"/>
      <c r="S3570" s="13"/>
      <c r="T3570" s="13">
        <f t="shared" ref="T3570:Y3570" si="3844">IF(ISBLANK(K3570)=TRUE,0,1)</f>
        <v>1</v>
      </c>
      <c r="U3570" s="13">
        <f t="shared" si="3844"/>
        <v>1</v>
      </c>
      <c r="V3570" s="13">
        <f t="shared" si="3844"/>
        <v>0</v>
      </c>
      <c r="W3570" s="13">
        <f t="shared" si="3844"/>
        <v>0</v>
      </c>
      <c r="X3570" s="13">
        <f t="shared" si="3844"/>
        <v>0</v>
      </c>
      <c r="Y3570" s="13">
        <f t="shared" si="3844"/>
        <v>0</v>
      </c>
      <c r="Z3570" s="13">
        <f t="shared" si="3023"/>
        <v>0</v>
      </c>
      <c r="AA3570" s="13"/>
      <c r="AB3570" s="13"/>
      <c r="AC3570" s="13"/>
      <c r="AD3570" s="13"/>
      <c r="AE3570" s="13"/>
      <c r="AF3570" s="13"/>
      <c r="AG3570" s="13"/>
      <c r="AH3570" s="13"/>
      <c r="AI3570" s="13"/>
      <c r="AJ3570" s="13"/>
      <c r="AK3570" s="13"/>
      <c r="AL3570" s="13"/>
      <c r="AM3570" s="13"/>
      <c r="AN3570" s="13"/>
      <c r="AO3570" s="13"/>
      <c r="AP3570" s="13"/>
      <c r="AQ3570" s="13"/>
      <c r="AR3570" s="13"/>
      <c r="AS3570" s="13"/>
    </row>
    <row r="3571" ht="14.25" customHeight="1">
      <c r="A3571" s="13" t="s">
        <v>36</v>
      </c>
      <c r="B3571" s="13" t="s">
        <v>39</v>
      </c>
      <c r="C3571" s="13" t="s">
        <v>566</v>
      </c>
      <c r="D3571" s="13" t="s">
        <v>174</v>
      </c>
      <c r="F3571" s="13"/>
      <c r="G3571" s="13" t="s">
        <v>74</v>
      </c>
      <c r="H3571" s="13" t="s">
        <v>75</v>
      </c>
      <c r="I3571" s="13"/>
      <c r="J3571" s="13"/>
      <c r="K3571" s="15">
        <v>1.0</v>
      </c>
      <c r="L3571" s="15">
        <v>1.0</v>
      </c>
      <c r="M3571" s="16"/>
      <c r="N3571" s="16"/>
      <c r="O3571" s="17"/>
      <c r="P3571" s="17"/>
      <c r="Q3571" s="13">
        <f t="shared" si="3842"/>
        <v>0</v>
      </c>
      <c r="R3571" s="13"/>
      <c r="S3571" s="13"/>
      <c r="T3571" s="13">
        <f t="shared" ref="T3571:Y3571" si="3845">IF(ISBLANK(K3571)=TRUE,0,1)</f>
        <v>1</v>
      </c>
      <c r="U3571" s="13">
        <f t="shared" si="3845"/>
        <v>1</v>
      </c>
      <c r="V3571" s="13">
        <f t="shared" si="3845"/>
        <v>0</v>
      </c>
      <c r="W3571" s="13">
        <f t="shared" si="3845"/>
        <v>0</v>
      </c>
      <c r="X3571" s="13">
        <f t="shared" si="3845"/>
        <v>0</v>
      </c>
      <c r="Y3571" s="13">
        <f t="shared" si="3845"/>
        <v>0</v>
      </c>
      <c r="Z3571" s="13">
        <f t="shared" si="3023"/>
        <v>1</v>
      </c>
      <c r="AA3571" s="13"/>
      <c r="AB3571" s="13"/>
      <c r="AC3571" s="13"/>
      <c r="AD3571" s="13"/>
      <c r="AE3571" s="13"/>
      <c r="AF3571" s="13"/>
      <c r="AG3571" s="13"/>
      <c r="AH3571" s="13"/>
      <c r="AI3571" s="13"/>
      <c r="AJ3571" s="13"/>
      <c r="AK3571" s="13"/>
      <c r="AL3571" s="13"/>
      <c r="AM3571" s="13"/>
      <c r="AN3571" s="13"/>
      <c r="AO3571" s="13"/>
      <c r="AP3571" s="13"/>
      <c r="AQ3571" s="13"/>
      <c r="AR3571" s="13"/>
      <c r="AS3571" s="13"/>
    </row>
    <row r="3572" ht="14.25" customHeight="1">
      <c r="A3572" s="13" t="s">
        <v>36</v>
      </c>
      <c r="B3572" s="13" t="s">
        <v>41</v>
      </c>
      <c r="C3572" s="13" t="s">
        <v>1970</v>
      </c>
      <c r="D3572" s="13" t="s">
        <v>122</v>
      </c>
      <c r="F3572" s="13"/>
      <c r="G3572" s="13" t="s">
        <v>74</v>
      </c>
      <c r="H3572" s="13" t="s">
        <v>75</v>
      </c>
      <c r="I3572" s="13"/>
      <c r="J3572" s="13"/>
      <c r="K3572" s="15">
        <v>0.0</v>
      </c>
      <c r="L3572" s="15">
        <v>0.0</v>
      </c>
      <c r="M3572" s="16"/>
      <c r="N3572" s="16"/>
      <c r="O3572" s="17"/>
      <c r="P3572" s="17"/>
      <c r="Q3572" s="13">
        <f t="shared" si="3842"/>
        <v>2</v>
      </c>
      <c r="R3572" s="13"/>
      <c r="S3572" s="13"/>
      <c r="T3572" s="13">
        <f t="shared" ref="T3572:Y3572" si="3846">IF(ISBLANK(K3572)=TRUE,0,1)</f>
        <v>1</v>
      </c>
      <c r="U3572" s="13">
        <f t="shared" si="3846"/>
        <v>1</v>
      </c>
      <c r="V3572" s="13">
        <f t="shared" si="3846"/>
        <v>0</v>
      </c>
      <c r="W3572" s="13">
        <f t="shared" si="3846"/>
        <v>0</v>
      </c>
      <c r="X3572" s="13">
        <f t="shared" si="3846"/>
        <v>0</v>
      </c>
      <c r="Y3572" s="13">
        <f t="shared" si="3846"/>
        <v>0</v>
      </c>
      <c r="Z3572" s="13">
        <f t="shared" si="3023"/>
        <v>0</v>
      </c>
      <c r="AA3572" s="13"/>
      <c r="AB3572" s="13"/>
      <c r="AC3572" s="13"/>
      <c r="AD3572" s="13"/>
      <c r="AE3572" s="13"/>
      <c r="AF3572" s="13"/>
      <c r="AG3572" s="13"/>
      <c r="AH3572" s="13"/>
      <c r="AI3572" s="13"/>
      <c r="AJ3572" s="13"/>
      <c r="AK3572" s="13"/>
      <c r="AL3572" s="13"/>
      <c r="AM3572" s="13"/>
      <c r="AN3572" s="13"/>
      <c r="AO3572" s="13"/>
      <c r="AP3572" s="13"/>
      <c r="AQ3572" s="13"/>
      <c r="AR3572" s="13"/>
      <c r="AS3572" s="13"/>
    </row>
    <row r="3573" ht="14.25" customHeight="1">
      <c r="A3573" s="13" t="s">
        <v>36</v>
      </c>
      <c r="B3573" s="13" t="s">
        <v>39</v>
      </c>
      <c r="C3573" s="13" t="s">
        <v>566</v>
      </c>
      <c r="D3573" s="13" t="s">
        <v>175</v>
      </c>
      <c r="F3573" s="13"/>
      <c r="G3573" s="13" t="s">
        <v>74</v>
      </c>
      <c r="H3573" s="13" t="s">
        <v>75</v>
      </c>
      <c r="I3573" s="13"/>
      <c r="J3573" s="13"/>
      <c r="K3573" s="15">
        <v>1.0</v>
      </c>
      <c r="L3573" s="15">
        <v>1.0</v>
      </c>
      <c r="M3573" s="16"/>
      <c r="N3573" s="16"/>
      <c r="O3573" s="17"/>
      <c r="P3573" s="17"/>
      <c r="Q3573" s="13">
        <f t="shared" si="3842"/>
        <v>0</v>
      </c>
      <c r="R3573" s="13"/>
      <c r="S3573" s="13"/>
      <c r="T3573" s="13">
        <f t="shared" ref="T3573:Y3573" si="3847">IF(ISBLANK(K3573)=TRUE,0,1)</f>
        <v>1</v>
      </c>
      <c r="U3573" s="13">
        <f t="shared" si="3847"/>
        <v>1</v>
      </c>
      <c r="V3573" s="13">
        <f t="shared" si="3847"/>
        <v>0</v>
      </c>
      <c r="W3573" s="13">
        <f t="shared" si="3847"/>
        <v>0</v>
      </c>
      <c r="X3573" s="13">
        <f t="shared" si="3847"/>
        <v>0</v>
      </c>
      <c r="Y3573" s="13">
        <f t="shared" si="3847"/>
        <v>0</v>
      </c>
      <c r="Z3573" s="13">
        <f t="shared" si="3023"/>
        <v>1</v>
      </c>
      <c r="AA3573" s="13"/>
      <c r="AB3573" s="13"/>
      <c r="AC3573" s="13"/>
      <c r="AD3573" s="13"/>
      <c r="AE3573" s="13"/>
      <c r="AF3573" s="13"/>
      <c r="AG3573" s="13"/>
      <c r="AH3573" s="13"/>
      <c r="AI3573" s="13"/>
      <c r="AJ3573" s="13"/>
      <c r="AK3573" s="13"/>
      <c r="AL3573" s="13"/>
      <c r="AM3573" s="13"/>
      <c r="AN3573" s="13"/>
      <c r="AO3573" s="13"/>
      <c r="AP3573" s="13"/>
      <c r="AQ3573" s="13"/>
      <c r="AR3573" s="13"/>
      <c r="AS3573" s="13"/>
    </row>
    <row r="3574" ht="14.25" customHeight="1">
      <c r="A3574" s="13" t="s">
        <v>36</v>
      </c>
      <c r="B3574" s="13" t="s">
        <v>42</v>
      </c>
      <c r="C3574" s="13">
        <v>1245.0</v>
      </c>
      <c r="D3574" s="13" t="s">
        <v>189</v>
      </c>
      <c r="F3574" s="13"/>
      <c r="G3574" s="13" t="s">
        <v>111</v>
      </c>
      <c r="H3574" s="13" t="s">
        <v>75</v>
      </c>
      <c r="I3574" s="13"/>
      <c r="J3574" s="13"/>
      <c r="K3574" s="15">
        <v>0.0</v>
      </c>
      <c r="L3574" s="15">
        <v>0.0</v>
      </c>
      <c r="M3574" s="16"/>
      <c r="N3574" s="16"/>
      <c r="O3574" s="17"/>
      <c r="P3574" s="17"/>
      <c r="Q3574" s="13">
        <f t="shared" si="3842"/>
        <v>2</v>
      </c>
      <c r="R3574" s="13"/>
      <c r="S3574" s="13"/>
      <c r="T3574" s="13">
        <f t="shared" ref="T3574:Y3574" si="3848">IF(ISBLANK(K3574)=TRUE,0,1)</f>
        <v>1</v>
      </c>
      <c r="U3574" s="13">
        <f t="shared" si="3848"/>
        <v>1</v>
      </c>
      <c r="V3574" s="13">
        <f t="shared" si="3848"/>
        <v>0</v>
      </c>
      <c r="W3574" s="13">
        <f t="shared" si="3848"/>
        <v>0</v>
      </c>
      <c r="X3574" s="13">
        <f t="shared" si="3848"/>
        <v>0</v>
      </c>
      <c r="Y3574" s="13">
        <f t="shared" si="3848"/>
        <v>0</v>
      </c>
      <c r="Z3574" s="13">
        <f t="shared" si="3023"/>
        <v>0</v>
      </c>
      <c r="AA3574" s="13"/>
      <c r="AB3574" s="13"/>
      <c r="AC3574" s="13"/>
      <c r="AD3574" s="13"/>
      <c r="AE3574" s="13"/>
      <c r="AF3574" s="13"/>
      <c r="AG3574" s="13"/>
      <c r="AH3574" s="13"/>
      <c r="AI3574" s="13"/>
      <c r="AJ3574" s="13"/>
      <c r="AK3574" s="13"/>
      <c r="AL3574" s="13"/>
      <c r="AM3574" s="13"/>
      <c r="AN3574" s="13"/>
      <c r="AO3574" s="13"/>
      <c r="AP3574" s="13"/>
      <c r="AQ3574" s="13"/>
      <c r="AR3574" s="13"/>
      <c r="AS3574" s="13"/>
    </row>
    <row r="3575" ht="14.25" customHeight="1">
      <c r="A3575" s="13" t="s">
        <v>36</v>
      </c>
      <c r="B3575" s="13" t="s">
        <v>42</v>
      </c>
      <c r="C3575" s="13">
        <v>1245.0</v>
      </c>
      <c r="D3575" s="13" t="s">
        <v>190</v>
      </c>
      <c r="F3575" s="13"/>
      <c r="G3575" s="13" t="s">
        <v>111</v>
      </c>
      <c r="H3575" s="13" t="s">
        <v>75</v>
      </c>
      <c r="I3575" s="13"/>
      <c r="J3575" s="13"/>
      <c r="K3575" s="15">
        <v>0.0</v>
      </c>
      <c r="L3575" s="15">
        <v>0.0</v>
      </c>
      <c r="M3575" s="16"/>
      <c r="N3575" s="16"/>
      <c r="O3575" s="17"/>
      <c r="P3575" s="17"/>
      <c r="Q3575" s="13">
        <f t="shared" si="3842"/>
        <v>0</v>
      </c>
      <c r="R3575" s="13"/>
      <c r="S3575" s="13"/>
      <c r="T3575" s="13">
        <f t="shared" ref="T3575:Y3575" si="3849">IF(ISBLANK(K3575)=TRUE,0,1)</f>
        <v>1</v>
      </c>
      <c r="U3575" s="13">
        <f t="shared" si="3849"/>
        <v>1</v>
      </c>
      <c r="V3575" s="13">
        <f t="shared" si="3849"/>
        <v>0</v>
      </c>
      <c r="W3575" s="13">
        <f t="shared" si="3849"/>
        <v>0</v>
      </c>
      <c r="X3575" s="13">
        <f t="shared" si="3849"/>
        <v>0</v>
      </c>
      <c r="Y3575" s="13">
        <f t="shared" si="3849"/>
        <v>0</v>
      </c>
      <c r="Z3575" s="13">
        <f t="shared" si="3023"/>
        <v>0</v>
      </c>
      <c r="AA3575" s="13"/>
      <c r="AB3575" s="13"/>
      <c r="AC3575" s="13"/>
      <c r="AD3575" s="13"/>
      <c r="AE3575" s="13"/>
      <c r="AF3575" s="13"/>
      <c r="AG3575" s="13"/>
      <c r="AH3575" s="13"/>
      <c r="AI3575" s="13"/>
      <c r="AJ3575" s="13"/>
      <c r="AK3575" s="13"/>
      <c r="AL3575" s="13"/>
      <c r="AM3575" s="13"/>
      <c r="AN3575" s="13"/>
      <c r="AO3575" s="13"/>
      <c r="AP3575" s="13"/>
      <c r="AQ3575" s="13"/>
      <c r="AR3575" s="13"/>
      <c r="AS3575" s="13"/>
    </row>
    <row r="3576" ht="14.25" customHeight="1">
      <c r="A3576" s="13" t="s">
        <v>36</v>
      </c>
      <c r="B3576" s="13" t="s">
        <v>42</v>
      </c>
      <c r="C3576" s="13">
        <v>1245.0</v>
      </c>
      <c r="D3576" s="13" t="s">
        <v>191</v>
      </c>
      <c r="F3576" s="13"/>
      <c r="G3576" s="13" t="s">
        <v>111</v>
      </c>
      <c r="H3576" s="13" t="s">
        <v>75</v>
      </c>
      <c r="I3576" s="13"/>
      <c r="J3576" s="13"/>
      <c r="K3576" s="15">
        <v>0.0</v>
      </c>
      <c r="L3576" s="15">
        <v>0.0</v>
      </c>
      <c r="M3576" s="16"/>
      <c r="N3576" s="16"/>
      <c r="O3576" s="17"/>
      <c r="P3576" s="17"/>
      <c r="Q3576" s="13">
        <f t="shared" si="3842"/>
        <v>0</v>
      </c>
      <c r="R3576" s="13"/>
      <c r="S3576" s="13"/>
      <c r="T3576" s="13">
        <f t="shared" ref="T3576:Y3576" si="3850">IF(ISBLANK(K3576)=TRUE,0,1)</f>
        <v>1</v>
      </c>
      <c r="U3576" s="13">
        <f t="shared" si="3850"/>
        <v>1</v>
      </c>
      <c r="V3576" s="13">
        <f t="shared" si="3850"/>
        <v>0</v>
      </c>
      <c r="W3576" s="13">
        <f t="shared" si="3850"/>
        <v>0</v>
      </c>
      <c r="X3576" s="13">
        <f t="shared" si="3850"/>
        <v>0</v>
      </c>
      <c r="Y3576" s="13">
        <f t="shared" si="3850"/>
        <v>0</v>
      </c>
      <c r="Z3576" s="13">
        <f t="shared" si="3023"/>
        <v>0</v>
      </c>
      <c r="AA3576" s="13"/>
      <c r="AB3576" s="13"/>
      <c r="AC3576" s="13"/>
      <c r="AD3576" s="13"/>
      <c r="AE3576" s="13"/>
      <c r="AF3576" s="13"/>
      <c r="AG3576" s="13"/>
      <c r="AH3576" s="13"/>
      <c r="AI3576" s="13"/>
      <c r="AJ3576" s="13"/>
      <c r="AK3576" s="13"/>
      <c r="AL3576" s="13"/>
      <c r="AM3576" s="13"/>
      <c r="AN3576" s="13"/>
      <c r="AO3576" s="13"/>
      <c r="AP3576" s="13"/>
      <c r="AQ3576" s="13"/>
      <c r="AR3576" s="13"/>
      <c r="AS3576" s="13"/>
    </row>
    <row r="3577" ht="14.25" customHeight="1">
      <c r="A3577" s="13" t="s">
        <v>36</v>
      </c>
      <c r="B3577" s="13" t="s">
        <v>41</v>
      </c>
      <c r="C3577" s="13" t="s">
        <v>1970</v>
      </c>
      <c r="D3577" s="13" t="s">
        <v>123</v>
      </c>
      <c r="F3577" s="13"/>
      <c r="G3577" s="13" t="s">
        <v>74</v>
      </c>
      <c r="H3577" s="13" t="s">
        <v>75</v>
      </c>
      <c r="I3577" s="13"/>
      <c r="J3577" s="13"/>
      <c r="K3577" s="15">
        <v>0.0</v>
      </c>
      <c r="L3577" s="15">
        <v>0.0</v>
      </c>
      <c r="M3577" s="16"/>
      <c r="N3577" s="16"/>
      <c r="O3577" s="17"/>
      <c r="P3577" s="17"/>
      <c r="Q3577" s="13">
        <f t="shared" si="3842"/>
        <v>0</v>
      </c>
      <c r="R3577" s="13"/>
      <c r="S3577" s="13"/>
      <c r="T3577" s="13">
        <f t="shared" ref="T3577:Y3577" si="3851">IF(ISBLANK(K3577)=TRUE,0,1)</f>
        <v>1</v>
      </c>
      <c r="U3577" s="13">
        <f t="shared" si="3851"/>
        <v>1</v>
      </c>
      <c r="V3577" s="13">
        <f t="shared" si="3851"/>
        <v>0</v>
      </c>
      <c r="W3577" s="13">
        <f t="shared" si="3851"/>
        <v>0</v>
      </c>
      <c r="X3577" s="13">
        <f t="shared" si="3851"/>
        <v>0</v>
      </c>
      <c r="Y3577" s="13">
        <f t="shared" si="3851"/>
        <v>0</v>
      </c>
      <c r="Z3577" s="13">
        <f t="shared" si="3023"/>
        <v>0</v>
      </c>
      <c r="AA3577" s="13"/>
      <c r="AB3577" s="13"/>
      <c r="AC3577" s="13"/>
      <c r="AD3577" s="13"/>
      <c r="AE3577" s="13"/>
      <c r="AF3577" s="13"/>
      <c r="AG3577" s="13"/>
      <c r="AH3577" s="13"/>
      <c r="AI3577" s="13"/>
      <c r="AJ3577" s="13"/>
      <c r="AK3577" s="13"/>
      <c r="AL3577" s="13"/>
      <c r="AM3577" s="13"/>
      <c r="AN3577" s="13"/>
      <c r="AO3577" s="13"/>
      <c r="AP3577" s="13"/>
      <c r="AQ3577" s="13"/>
      <c r="AR3577" s="13"/>
      <c r="AS3577" s="13"/>
    </row>
    <row r="3578" ht="14.25" customHeight="1">
      <c r="A3578" s="13" t="s">
        <v>36</v>
      </c>
      <c r="B3578" s="13" t="s">
        <v>41</v>
      </c>
      <c r="C3578" s="13" t="s">
        <v>1970</v>
      </c>
      <c r="D3578" s="13" t="s">
        <v>124</v>
      </c>
      <c r="F3578" s="13"/>
      <c r="G3578" s="13" t="s">
        <v>74</v>
      </c>
      <c r="H3578" s="13" t="s">
        <v>75</v>
      </c>
      <c r="I3578" s="13"/>
      <c r="J3578" s="13"/>
      <c r="K3578" s="15">
        <v>0.0</v>
      </c>
      <c r="L3578" s="15">
        <v>0.0</v>
      </c>
      <c r="M3578" s="16"/>
      <c r="N3578" s="16"/>
      <c r="O3578" s="17"/>
      <c r="P3578" s="17"/>
      <c r="Q3578" s="13">
        <f t="shared" si="3842"/>
        <v>0</v>
      </c>
      <c r="R3578" s="13"/>
      <c r="S3578" s="13"/>
      <c r="T3578" s="13">
        <f t="shared" ref="T3578:Y3578" si="3852">IF(ISBLANK(K3578)=TRUE,0,1)</f>
        <v>1</v>
      </c>
      <c r="U3578" s="13">
        <f t="shared" si="3852"/>
        <v>1</v>
      </c>
      <c r="V3578" s="13">
        <f t="shared" si="3852"/>
        <v>0</v>
      </c>
      <c r="W3578" s="13">
        <f t="shared" si="3852"/>
        <v>0</v>
      </c>
      <c r="X3578" s="13">
        <f t="shared" si="3852"/>
        <v>0</v>
      </c>
      <c r="Y3578" s="13">
        <f t="shared" si="3852"/>
        <v>0</v>
      </c>
      <c r="Z3578" s="13">
        <f t="shared" si="3023"/>
        <v>0</v>
      </c>
      <c r="AA3578" s="13"/>
      <c r="AB3578" s="13"/>
      <c r="AC3578" s="13"/>
      <c r="AD3578" s="13"/>
      <c r="AE3578" s="13"/>
      <c r="AF3578" s="13"/>
      <c r="AG3578" s="13"/>
      <c r="AH3578" s="13"/>
      <c r="AI3578" s="13"/>
      <c r="AJ3578" s="13"/>
      <c r="AK3578" s="13"/>
      <c r="AL3578" s="13"/>
      <c r="AM3578" s="13"/>
      <c r="AN3578" s="13"/>
      <c r="AO3578" s="13"/>
      <c r="AP3578" s="13"/>
      <c r="AQ3578" s="13"/>
      <c r="AR3578" s="13"/>
      <c r="AS3578" s="13"/>
    </row>
    <row r="3579" ht="14.25" customHeight="1">
      <c r="A3579" s="13" t="s">
        <v>36</v>
      </c>
      <c r="B3579" s="13" t="s">
        <v>42</v>
      </c>
      <c r="C3579" s="13">
        <v>1245.0</v>
      </c>
      <c r="D3579" s="13" t="s">
        <v>192</v>
      </c>
      <c r="F3579" s="13"/>
      <c r="G3579" s="13" t="s">
        <v>111</v>
      </c>
      <c r="H3579" s="13" t="s">
        <v>75</v>
      </c>
      <c r="I3579" s="13"/>
      <c r="J3579" s="13"/>
      <c r="K3579" s="15">
        <v>0.0</v>
      </c>
      <c r="L3579" s="15">
        <v>0.0</v>
      </c>
      <c r="M3579" s="16"/>
      <c r="N3579" s="16"/>
      <c r="O3579" s="17"/>
      <c r="P3579" s="17"/>
      <c r="Q3579" s="13">
        <f t="shared" si="3842"/>
        <v>0</v>
      </c>
      <c r="R3579" s="13"/>
      <c r="S3579" s="13"/>
      <c r="T3579" s="13">
        <f t="shared" ref="T3579:Y3579" si="3853">IF(ISBLANK(K3579)=TRUE,0,1)</f>
        <v>1</v>
      </c>
      <c r="U3579" s="13">
        <f t="shared" si="3853"/>
        <v>1</v>
      </c>
      <c r="V3579" s="13">
        <f t="shared" si="3853"/>
        <v>0</v>
      </c>
      <c r="W3579" s="13">
        <f t="shared" si="3853"/>
        <v>0</v>
      </c>
      <c r="X3579" s="13">
        <f t="shared" si="3853"/>
        <v>0</v>
      </c>
      <c r="Y3579" s="13">
        <f t="shared" si="3853"/>
        <v>0</v>
      </c>
      <c r="Z3579" s="13">
        <f t="shared" si="3023"/>
        <v>0</v>
      </c>
      <c r="AA3579" s="13"/>
      <c r="AB3579" s="13"/>
      <c r="AC3579" s="13"/>
      <c r="AD3579" s="13"/>
      <c r="AE3579" s="13"/>
      <c r="AF3579" s="13"/>
      <c r="AG3579" s="13"/>
      <c r="AH3579" s="13"/>
      <c r="AI3579" s="13"/>
      <c r="AJ3579" s="13"/>
      <c r="AK3579" s="13"/>
      <c r="AL3579" s="13"/>
      <c r="AM3579" s="13"/>
      <c r="AN3579" s="13"/>
      <c r="AO3579" s="13"/>
      <c r="AP3579" s="13"/>
      <c r="AQ3579" s="13"/>
      <c r="AR3579" s="13"/>
      <c r="AS3579" s="13"/>
    </row>
    <row r="3580" ht="14.25" customHeight="1">
      <c r="A3580" s="13" t="s">
        <v>36</v>
      </c>
      <c r="B3580" s="13" t="s">
        <v>39</v>
      </c>
      <c r="C3580" s="13" t="s">
        <v>566</v>
      </c>
      <c r="D3580" s="13" t="s">
        <v>176</v>
      </c>
      <c r="F3580" s="13"/>
      <c r="G3580" s="13" t="s">
        <v>74</v>
      </c>
      <c r="H3580" s="13" t="s">
        <v>75</v>
      </c>
      <c r="I3580" s="13"/>
      <c r="J3580" s="13"/>
      <c r="K3580" s="15">
        <v>1.0</v>
      </c>
      <c r="L3580" s="15">
        <v>1.0</v>
      </c>
      <c r="M3580" s="16"/>
      <c r="N3580" s="16"/>
      <c r="O3580" s="17"/>
      <c r="P3580" s="17"/>
      <c r="Q3580" s="13">
        <f t="shared" si="3842"/>
        <v>0</v>
      </c>
      <c r="R3580" s="13"/>
      <c r="S3580" s="13"/>
      <c r="T3580" s="13">
        <f t="shared" ref="T3580:Y3580" si="3854">IF(ISBLANK(K3580)=TRUE,0,1)</f>
        <v>1</v>
      </c>
      <c r="U3580" s="13">
        <f t="shared" si="3854"/>
        <v>1</v>
      </c>
      <c r="V3580" s="13">
        <f t="shared" si="3854"/>
        <v>0</v>
      </c>
      <c r="W3580" s="13">
        <f t="shared" si="3854"/>
        <v>0</v>
      </c>
      <c r="X3580" s="13">
        <f t="shared" si="3854"/>
        <v>0</v>
      </c>
      <c r="Y3580" s="13">
        <f t="shared" si="3854"/>
        <v>0</v>
      </c>
      <c r="Z3580" s="13">
        <f t="shared" si="3023"/>
        <v>1</v>
      </c>
      <c r="AA3580" s="13"/>
      <c r="AB3580" s="13"/>
      <c r="AC3580" s="13"/>
      <c r="AD3580" s="13"/>
      <c r="AE3580" s="13"/>
      <c r="AF3580" s="13"/>
      <c r="AG3580" s="13"/>
      <c r="AH3580" s="13"/>
      <c r="AI3580" s="13"/>
      <c r="AJ3580" s="13"/>
      <c r="AK3580" s="13"/>
      <c r="AL3580" s="13"/>
      <c r="AM3580" s="13"/>
      <c r="AN3580" s="13"/>
      <c r="AO3580" s="13"/>
      <c r="AP3580" s="13"/>
      <c r="AQ3580" s="13"/>
      <c r="AR3580" s="13"/>
      <c r="AS3580" s="13"/>
    </row>
    <row r="3581" ht="14.25" customHeight="1">
      <c r="A3581" s="13" t="s">
        <v>36</v>
      </c>
      <c r="B3581" s="13" t="s">
        <v>39</v>
      </c>
      <c r="C3581" s="13" t="s">
        <v>566</v>
      </c>
      <c r="D3581" s="13" t="s">
        <v>177</v>
      </c>
      <c r="F3581" s="13"/>
      <c r="G3581" s="13" t="s">
        <v>74</v>
      </c>
      <c r="H3581" s="13" t="s">
        <v>75</v>
      </c>
      <c r="I3581" s="13"/>
      <c r="J3581" s="13"/>
      <c r="K3581" s="15">
        <v>1.0</v>
      </c>
      <c r="L3581" s="15">
        <v>1.0</v>
      </c>
      <c r="M3581" s="16"/>
      <c r="N3581" s="16"/>
      <c r="O3581" s="17"/>
      <c r="P3581" s="17"/>
      <c r="Q3581" s="13">
        <f t="shared" si="3842"/>
        <v>2</v>
      </c>
      <c r="R3581" s="13"/>
      <c r="S3581" s="13"/>
      <c r="T3581" s="13">
        <f t="shared" ref="T3581:Y3581" si="3855">IF(ISBLANK(K3581)=TRUE,0,1)</f>
        <v>1</v>
      </c>
      <c r="U3581" s="13">
        <f t="shared" si="3855"/>
        <v>1</v>
      </c>
      <c r="V3581" s="13">
        <f t="shared" si="3855"/>
        <v>0</v>
      </c>
      <c r="W3581" s="13">
        <f t="shared" si="3855"/>
        <v>0</v>
      </c>
      <c r="X3581" s="13">
        <f t="shared" si="3855"/>
        <v>0</v>
      </c>
      <c r="Y3581" s="13">
        <f t="shared" si="3855"/>
        <v>0</v>
      </c>
      <c r="Z3581" s="13">
        <f t="shared" si="3023"/>
        <v>1</v>
      </c>
      <c r="AA3581" s="13"/>
      <c r="AB3581" s="13"/>
      <c r="AC3581" s="13"/>
      <c r="AD3581" s="13"/>
      <c r="AE3581" s="13"/>
      <c r="AF3581" s="13"/>
      <c r="AG3581" s="13"/>
      <c r="AH3581" s="13"/>
      <c r="AI3581" s="13"/>
      <c r="AJ3581" s="13"/>
      <c r="AK3581" s="13"/>
      <c r="AL3581" s="13"/>
      <c r="AM3581" s="13"/>
      <c r="AN3581" s="13"/>
      <c r="AO3581" s="13"/>
      <c r="AP3581" s="13"/>
      <c r="AQ3581" s="13"/>
      <c r="AR3581" s="13"/>
      <c r="AS3581" s="13"/>
    </row>
    <row r="3582" ht="14.25" customHeight="1">
      <c r="A3582" s="26" t="s">
        <v>46</v>
      </c>
      <c r="B3582" s="26" t="s">
        <v>49</v>
      </c>
      <c r="C3582" s="26" t="s">
        <v>1885</v>
      </c>
      <c r="D3582" s="26" t="s">
        <v>177</v>
      </c>
      <c r="E3582" s="13"/>
      <c r="F3582" s="26"/>
      <c r="G3582" s="26" t="s">
        <v>74</v>
      </c>
      <c r="H3582" s="26" t="s">
        <v>75</v>
      </c>
      <c r="I3582" s="13"/>
      <c r="J3582" s="13"/>
      <c r="K3582" s="15">
        <v>1.0</v>
      </c>
      <c r="L3582" s="15">
        <v>1.0</v>
      </c>
      <c r="M3582" s="16"/>
      <c r="N3582" s="16"/>
      <c r="O3582" s="17"/>
      <c r="P3582" s="17"/>
      <c r="Q3582" s="13"/>
      <c r="R3582" s="13"/>
      <c r="S3582" s="13"/>
      <c r="T3582" s="13">
        <f t="shared" ref="T3582:Y3582" si="3856">IF(ISBLANK(K3582)=TRUE,0,1)</f>
        <v>1</v>
      </c>
      <c r="U3582" s="13">
        <f t="shared" si="3856"/>
        <v>1</v>
      </c>
      <c r="V3582" s="13">
        <f t="shared" si="3856"/>
        <v>0</v>
      </c>
      <c r="W3582" s="13">
        <f t="shared" si="3856"/>
        <v>0</v>
      </c>
      <c r="X3582" s="13">
        <f t="shared" si="3856"/>
        <v>0</v>
      </c>
      <c r="Y3582" s="13">
        <f t="shared" si="3856"/>
        <v>0</v>
      </c>
      <c r="Z3582" s="13">
        <f t="shared" si="3023"/>
        <v>1</v>
      </c>
      <c r="AA3582" s="13"/>
      <c r="AB3582" s="13"/>
      <c r="AC3582" s="13"/>
      <c r="AD3582" s="13"/>
      <c r="AE3582" s="13"/>
      <c r="AF3582" s="13"/>
      <c r="AG3582" s="13"/>
      <c r="AH3582" s="13"/>
      <c r="AI3582" s="13"/>
      <c r="AJ3582" s="13"/>
      <c r="AK3582" s="13"/>
      <c r="AL3582" s="13"/>
      <c r="AM3582" s="13"/>
      <c r="AN3582" s="13"/>
      <c r="AO3582" s="13"/>
      <c r="AP3582" s="13"/>
      <c r="AQ3582" s="13"/>
      <c r="AR3582" s="13"/>
      <c r="AS3582" s="13"/>
    </row>
    <row r="3583" ht="14.25" customHeight="1">
      <c r="A3583" s="13" t="s">
        <v>36</v>
      </c>
      <c r="B3583" s="13" t="s">
        <v>41</v>
      </c>
      <c r="C3583" s="13" t="s">
        <v>1970</v>
      </c>
      <c r="D3583" s="13" t="s">
        <v>125</v>
      </c>
      <c r="F3583" s="13"/>
      <c r="G3583" s="13" t="s">
        <v>74</v>
      </c>
      <c r="H3583" s="13" t="s">
        <v>75</v>
      </c>
      <c r="I3583" s="13"/>
      <c r="J3583" s="13"/>
      <c r="K3583" s="15">
        <v>0.0</v>
      </c>
      <c r="L3583" s="15">
        <v>0.0</v>
      </c>
      <c r="M3583" s="16"/>
      <c r="N3583" s="16"/>
      <c r="O3583" s="17"/>
      <c r="P3583" s="17"/>
      <c r="Q3583" s="13">
        <f t="shared" ref="Q3583:Q3596" si="3858">K3582+L3582+M3582+N3582+O3582+P3582/6</f>
        <v>2</v>
      </c>
      <c r="R3583" s="13"/>
      <c r="S3583" s="13"/>
      <c r="T3583" s="13">
        <f t="shared" ref="T3583:Y3583" si="3857">IF(ISBLANK(K3583)=TRUE,0,1)</f>
        <v>1</v>
      </c>
      <c r="U3583" s="13">
        <f t="shared" si="3857"/>
        <v>1</v>
      </c>
      <c r="V3583" s="13">
        <f t="shared" si="3857"/>
        <v>0</v>
      </c>
      <c r="W3583" s="13">
        <f t="shared" si="3857"/>
        <v>0</v>
      </c>
      <c r="X3583" s="13">
        <f t="shared" si="3857"/>
        <v>0</v>
      </c>
      <c r="Y3583" s="13">
        <f t="shared" si="3857"/>
        <v>0</v>
      </c>
      <c r="Z3583" s="13">
        <f t="shared" si="3023"/>
        <v>0</v>
      </c>
      <c r="AA3583" s="13"/>
      <c r="AB3583" s="13"/>
      <c r="AC3583" s="13"/>
      <c r="AD3583" s="13"/>
      <c r="AE3583" s="13"/>
      <c r="AF3583" s="13"/>
      <c r="AG3583" s="13"/>
      <c r="AH3583" s="13"/>
      <c r="AI3583" s="13"/>
      <c r="AJ3583" s="13"/>
      <c r="AK3583" s="13"/>
      <c r="AL3583" s="13"/>
      <c r="AM3583" s="13"/>
      <c r="AN3583" s="13"/>
      <c r="AO3583" s="13"/>
      <c r="AP3583" s="13"/>
      <c r="AQ3583" s="13"/>
      <c r="AR3583" s="13"/>
      <c r="AS3583" s="13"/>
    </row>
    <row r="3584" ht="14.25" customHeight="1">
      <c r="A3584" s="13" t="s">
        <v>36</v>
      </c>
      <c r="B3584" s="13" t="s">
        <v>41</v>
      </c>
      <c r="C3584" s="13" t="s">
        <v>1970</v>
      </c>
      <c r="D3584" s="13" t="s">
        <v>126</v>
      </c>
      <c r="F3584" s="13"/>
      <c r="G3584" s="13" t="s">
        <v>74</v>
      </c>
      <c r="H3584" s="13" t="s">
        <v>75</v>
      </c>
      <c r="I3584" s="13"/>
      <c r="J3584" s="13"/>
      <c r="K3584" s="15">
        <v>0.0</v>
      </c>
      <c r="L3584" s="15">
        <v>0.0</v>
      </c>
      <c r="M3584" s="16"/>
      <c r="N3584" s="16"/>
      <c r="O3584" s="17"/>
      <c r="P3584" s="17"/>
      <c r="Q3584" s="13">
        <f t="shared" si="3858"/>
        <v>0</v>
      </c>
      <c r="R3584" s="13"/>
      <c r="S3584" s="13"/>
      <c r="T3584" s="13">
        <f t="shared" ref="T3584:Y3584" si="3859">IF(ISBLANK(K3584)=TRUE,0,1)</f>
        <v>1</v>
      </c>
      <c r="U3584" s="13">
        <f t="shared" si="3859"/>
        <v>1</v>
      </c>
      <c r="V3584" s="13">
        <f t="shared" si="3859"/>
        <v>0</v>
      </c>
      <c r="W3584" s="13">
        <f t="shared" si="3859"/>
        <v>0</v>
      </c>
      <c r="X3584" s="13">
        <f t="shared" si="3859"/>
        <v>0</v>
      </c>
      <c r="Y3584" s="13">
        <f t="shared" si="3859"/>
        <v>0</v>
      </c>
      <c r="Z3584" s="13">
        <f t="shared" si="3023"/>
        <v>0</v>
      </c>
      <c r="AA3584" s="13"/>
      <c r="AB3584" s="13"/>
      <c r="AC3584" s="13"/>
      <c r="AD3584" s="13"/>
      <c r="AE3584" s="13"/>
      <c r="AF3584" s="13"/>
      <c r="AG3584" s="13"/>
      <c r="AH3584" s="13"/>
      <c r="AI3584" s="13"/>
      <c r="AJ3584" s="13"/>
      <c r="AK3584" s="13"/>
      <c r="AL3584" s="13"/>
      <c r="AM3584" s="13"/>
      <c r="AN3584" s="13"/>
      <c r="AO3584" s="13"/>
      <c r="AP3584" s="13"/>
      <c r="AQ3584" s="13"/>
      <c r="AR3584" s="13"/>
      <c r="AS3584" s="13"/>
    </row>
    <row r="3585" ht="14.25" customHeight="1">
      <c r="A3585" s="13" t="s">
        <v>36</v>
      </c>
      <c r="B3585" s="13" t="s">
        <v>41</v>
      </c>
      <c r="C3585" s="13" t="s">
        <v>1970</v>
      </c>
      <c r="D3585" s="13" t="s">
        <v>127</v>
      </c>
      <c r="F3585" s="13"/>
      <c r="G3585" s="13" t="s">
        <v>74</v>
      </c>
      <c r="H3585" s="13" t="s">
        <v>75</v>
      </c>
      <c r="I3585" s="13"/>
      <c r="J3585" s="13"/>
      <c r="K3585" s="15">
        <v>0.0</v>
      </c>
      <c r="L3585" s="15">
        <v>0.0</v>
      </c>
      <c r="M3585" s="16"/>
      <c r="N3585" s="16"/>
      <c r="O3585" s="17"/>
      <c r="P3585" s="17"/>
      <c r="Q3585" s="13">
        <f t="shared" si="3858"/>
        <v>0</v>
      </c>
      <c r="R3585" s="13"/>
      <c r="S3585" s="13"/>
      <c r="T3585" s="13">
        <f t="shared" ref="T3585:Y3585" si="3860">IF(ISBLANK(K3585)=TRUE,0,1)</f>
        <v>1</v>
      </c>
      <c r="U3585" s="13">
        <f t="shared" si="3860"/>
        <v>1</v>
      </c>
      <c r="V3585" s="13">
        <f t="shared" si="3860"/>
        <v>0</v>
      </c>
      <c r="W3585" s="13">
        <f t="shared" si="3860"/>
        <v>0</v>
      </c>
      <c r="X3585" s="13">
        <f t="shared" si="3860"/>
        <v>0</v>
      </c>
      <c r="Y3585" s="13">
        <f t="shared" si="3860"/>
        <v>0</v>
      </c>
      <c r="Z3585" s="13">
        <f t="shared" si="3023"/>
        <v>0</v>
      </c>
      <c r="AA3585" s="13"/>
      <c r="AB3585" s="13"/>
      <c r="AC3585" s="13"/>
      <c r="AD3585" s="13"/>
      <c r="AE3585" s="13"/>
      <c r="AF3585" s="13"/>
      <c r="AG3585" s="13"/>
      <c r="AH3585" s="13"/>
      <c r="AI3585" s="13"/>
      <c r="AJ3585" s="13"/>
      <c r="AK3585" s="13"/>
      <c r="AL3585" s="13"/>
      <c r="AM3585" s="13"/>
      <c r="AN3585" s="13"/>
      <c r="AO3585" s="13"/>
      <c r="AP3585" s="13"/>
      <c r="AQ3585" s="13"/>
      <c r="AR3585" s="13"/>
      <c r="AS3585" s="13"/>
    </row>
    <row r="3586" ht="14.25" customHeight="1">
      <c r="A3586" s="13" t="s">
        <v>36</v>
      </c>
      <c r="B3586" s="13" t="s">
        <v>39</v>
      </c>
      <c r="C3586" s="13" t="s">
        <v>566</v>
      </c>
      <c r="D3586" s="13" t="s">
        <v>178</v>
      </c>
      <c r="F3586" s="13"/>
      <c r="G3586" s="13" t="s">
        <v>74</v>
      </c>
      <c r="H3586" s="13" t="s">
        <v>75</v>
      </c>
      <c r="I3586" s="13"/>
      <c r="J3586" s="13"/>
      <c r="K3586" s="15">
        <v>1.0</v>
      </c>
      <c r="L3586" s="15">
        <v>1.0</v>
      </c>
      <c r="M3586" s="16"/>
      <c r="N3586" s="16"/>
      <c r="O3586" s="17"/>
      <c r="P3586" s="17"/>
      <c r="Q3586" s="13">
        <f t="shared" si="3858"/>
        <v>0</v>
      </c>
      <c r="R3586" s="13"/>
      <c r="S3586" s="13"/>
      <c r="T3586" s="13">
        <f t="shared" ref="T3586:Y3586" si="3861">IF(ISBLANK(K3586)=TRUE,0,1)</f>
        <v>1</v>
      </c>
      <c r="U3586" s="13">
        <f t="shared" si="3861"/>
        <v>1</v>
      </c>
      <c r="V3586" s="13">
        <f t="shared" si="3861"/>
        <v>0</v>
      </c>
      <c r="W3586" s="13">
        <f t="shared" si="3861"/>
        <v>0</v>
      </c>
      <c r="X3586" s="13">
        <f t="shared" si="3861"/>
        <v>0</v>
      </c>
      <c r="Y3586" s="13">
        <f t="shared" si="3861"/>
        <v>0</v>
      </c>
      <c r="Z3586" s="13">
        <f t="shared" si="3023"/>
        <v>1</v>
      </c>
      <c r="AA3586" s="13"/>
      <c r="AB3586" s="13"/>
      <c r="AC3586" s="13"/>
      <c r="AD3586" s="13"/>
      <c r="AE3586" s="13"/>
      <c r="AF3586" s="13"/>
      <c r="AG3586" s="13"/>
      <c r="AH3586" s="13"/>
      <c r="AI3586" s="13"/>
      <c r="AJ3586" s="13"/>
      <c r="AK3586" s="13"/>
      <c r="AL3586" s="13"/>
      <c r="AM3586" s="13"/>
      <c r="AN3586" s="13"/>
      <c r="AO3586" s="13"/>
      <c r="AP3586" s="13"/>
      <c r="AQ3586" s="13"/>
      <c r="AR3586" s="13"/>
      <c r="AS3586" s="13"/>
    </row>
    <row r="3587" ht="14.25" customHeight="1">
      <c r="A3587" s="13" t="s">
        <v>36</v>
      </c>
      <c r="B3587" s="13" t="s">
        <v>41</v>
      </c>
      <c r="C3587" s="13" t="s">
        <v>587</v>
      </c>
      <c r="D3587" s="13" t="s">
        <v>174</v>
      </c>
      <c r="F3587" s="13"/>
      <c r="G3587" s="13" t="s">
        <v>74</v>
      </c>
      <c r="H3587" s="13" t="s">
        <v>75</v>
      </c>
      <c r="I3587" s="13"/>
      <c r="J3587" s="13"/>
      <c r="K3587" s="15">
        <v>1.0</v>
      </c>
      <c r="L3587" s="15">
        <v>1.0</v>
      </c>
      <c r="M3587" s="16"/>
      <c r="N3587" s="16"/>
      <c r="O3587" s="17"/>
      <c r="P3587" s="17"/>
      <c r="Q3587" s="13">
        <f t="shared" si="3858"/>
        <v>2</v>
      </c>
      <c r="R3587" s="13"/>
      <c r="S3587" s="13"/>
      <c r="T3587" s="13">
        <f t="shared" ref="T3587:Y3587" si="3862">IF(ISBLANK(K3587)=TRUE,0,1)</f>
        <v>1</v>
      </c>
      <c r="U3587" s="13">
        <f t="shared" si="3862"/>
        <v>1</v>
      </c>
      <c r="V3587" s="13">
        <f t="shared" si="3862"/>
        <v>0</v>
      </c>
      <c r="W3587" s="13">
        <f t="shared" si="3862"/>
        <v>0</v>
      </c>
      <c r="X3587" s="13">
        <f t="shared" si="3862"/>
        <v>0</v>
      </c>
      <c r="Y3587" s="13">
        <f t="shared" si="3862"/>
        <v>0</v>
      </c>
      <c r="Z3587" s="13">
        <f t="shared" si="3023"/>
        <v>1</v>
      </c>
      <c r="AA3587" s="13"/>
      <c r="AB3587" s="13"/>
      <c r="AC3587" s="13"/>
      <c r="AD3587" s="13"/>
      <c r="AE3587" s="13"/>
      <c r="AF3587" s="13"/>
      <c r="AG3587" s="13"/>
      <c r="AH3587" s="13"/>
      <c r="AI3587" s="13"/>
      <c r="AJ3587" s="13"/>
      <c r="AK3587" s="13"/>
      <c r="AL3587" s="13"/>
      <c r="AM3587" s="13"/>
      <c r="AN3587" s="13"/>
      <c r="AO3587" s="13"/>
      <c r="AP3587" s="13"/>
      <c r="AQ3587" s="13"/>
      <c r="AR3587" s="13"/>
      <c r="AS3587" s="13"/>
    </row>
    <row r="3588" ht="14.25" customHeight="1">
      <c r="A3588" s="13" t="s">
        <v>36</v>
      </c>
      <c r="B3588" s="13" t="s">
        <v>39</v>
      </c>
      <c r="C3588" s="13" t="s">
        <v>566</v>
      </c>
      <c r="D3588" s="13" t="s">
        <v>179</v>
      </c>
      <c r="F3588" s="13"/>
      <c r="G3588" s="13" t="s">
        <v>74</v>
      </c>
      <c r="H3588" s="13" t="s">
        <v>75</v>
      </c>
      <c r="I3588" s="13"/>
      <c r="J3588" s="13"/>
      <c r="K3588" s="15">
        <v>1.0</v>
      </c>
      <c r="L3588" s="15">
        <v>1.0</v>
      </c>
      <c r="M3588" s="16"/>
      <c r="N3588" s="16"/>
      <c r="O3588" s="17"/>
      <c r="P3588" s="17"/>
      <c r="Q3588" s="13">
        <f t="shared" si="3858"/>
        <v>2</v>
      </c>
      <c r="R3588" s="13"/>
      <c r="S3588" s="13"/>
      <c r="T3588" s="13">
        <f t="shared" ref="T3588:Y3588" si="3863">IF(ISBLANK(K3588)=TRUE,0,1)</f>
        <v>1</v>
      </c>
      <c r="U3588" s="13">
        <f t="shared" si="3863"/>
        <v>1</v>
      </c>
      <c r="V3588" s="13">
        <f t="shared" si="3863"/>
        <v>0</v>
      </c>
      <c r="W3588" s="13">
        <f t="shared" si="3863"/>
        <v>0</v>
      </c>
      <c r="X3588" s="13">
        <f t="shared" si="3863"/>
        <v>0</v>
      </c>
      <c r="Y3588" s="13">
        <f t="shared" si="3863"/>
        <v>0</v>
      </c>
      <c r="Z3588" s="13">
        <f t="shared" si="3023"/>
        <v>1</v>
      </c>
      <c r="AA3588" s="13"/>
      <c r="AB3588" s="13"/>
      <c r="AC3588" s="13"/>
      <c r="AD3588" s="13"/>
      <c r="AE3588" s="13"/>
      <c r="AF3588" s="13"/>
      <c r="AG3588" s="13"/>
      <c r="AH3588" s="13"/>
      <c r="AI3588" s="13"/>
      <c r="AJ3588" s="13"/>
      <c r="AK3588" s="13"/>
      <c r="AL3588" s="13"/>
      <c r="AM3588" s="13"/>
      <c r="AN3588" s="13"/>
      <c r="AO3588" s="13"/>
      <c r="AP3588" s="13"/>
      <c r="AQ3588" s="13"/>
      <c r="AR3588" s="13"/>
      <c r="AS3588" s="13"/>
    </row>
    <row r="3589" ht="14.25" customHeight="1">
      <c r="A3589" s="13" t="s">
        <v>36</v>
      </c>
      <c r="B3589" s="13" t="s">
        <v>42</v>
      </c>
      <c r="C3589" s="13">
        <v>1245.0</v>
      </c>
      <c r="D3589" s="13" t="s">
        <v>193</v>
      </c>
      <c r="F3589" s="13"/>
      <c r="G3589" s="13" t="s">
        <v>111</v>
      </c>
      <c r="H3589" s="13" t="s">
        <v>75</v>
      </c>
      <c r="I3589" s="13"/>
      <c r="J3589" s="13"/>
      <c r="K3589" s="15">
        <v>0.0</v>
      </c>
      <c r="L3589" s="15">
        <v>0.0</v>
      </c>
      <c r="M3589" s="16"/>
      <c r="N3589" s="16"/>
      <c r="O3589" s="17"/>
      <c r="P3589" s="17"/>
      <c r="Q3589" s="13">
        <f t="shared" si="3858"/>
        <v>2</v>
      </c>
      <c r="R3589" s="13"/>
      <c r="S3589" s="13"/>
      <c r="T3589" s="13">
        <f t="shared" ref="T3589:Y3589" si="3864">IF(ISBLANK(K3589)=TRUE,0,1)</f>
        <v>1</v>
      </c>
      <c r="U3589" s="13">
        <f t="shared" si="3864"/>
        <v>1</v>
      </c>
      <c r="V3589" s="13">
        <f t="shared" si="3864"/>
        <v>0</v>
      </c>
      <c r="W3589" s="13">
        <f t="shared" si="3864"/>
        <v>0</v>
      </c>
      <c r="X3589" s="13">
        <f t="shared" si="3864"/>
        <v>0</v>
      </c>
      <c r="Y3589" s="13">
        <f t="shared" si="3864"/>
        <v>0</v>
      </c>
      <c r="Z3589" s="13">
        <f t="shared" si="3023"/>
        <v>0</v>
      </c>
      <c r="AA3589" s="13"/>
      <c r="AB3589" s="13"/>
      <c r="AC3589" s="13"/>
      <c r="AD3589" s="13"/>
      <c r="AE3589" s="13"/>
      <c r="AF3589" s="13"/>
      <c r="AG3589" s="13"/>
      <c r="AH3589" s="13"/>
      <c r="AI3589" s="13"/>
      <c r="AJ3589" s="13"/>
      <c r="AK3589" s="13"/>
      <c r="AL3589" s="13"/>
      <c r="AM3589" s="13"/>
      <c r="AN3589" s="13"/>
      <c r="AO3589" s="13"/>
      <c r="AP3589" s="13"/>
      <c r="AQ3589" s="13"/>
      <c r="AR3589" s="13"/>
      <c r="AS3589" s="13"/>
    </row>
    <row r="3590" ht="14.25" customHeight="1">
      <c r="A3590" s="13" t="s">
        <v>36</v>
      </c>
      <c r="B3590" s="13" t="s">
        <v>42</v>
      </c>
      <c r="C3590" s="13">
        <v>1245.0</v>
      </c>
      <c r="D3590" s="13" t="s">
        <v>194</v>
      </c>
      <c r="F3590" s="13"/>
      <c r="G3590" s="13" t="s">
        <v>111</v>
      </c>
      <c r="H3590" s="13" t="s">
        <v>75</v>
      </c>
      <c r="I3590" s="13"/>
      <c r="J3590" s="13"/>
      <c r="K3590" s="15">
        <v>0.0</v>
      </c>
      <c r="L3590" s="15">
        <v>0.0</v>
      </c>
      <c r="M3590" s="16"/>
      <c r="N3590" s="16"/>
      <c r="O3590" s="17"/>
      <c r="P3590" s="17"/>
      <c r="Q3590" s="13">
        <f t="shared" si="3858"/>
        <v>0</v>
      </c>
      <c r="R3590" s="13"/>
      <c r="S3590" s="13"/>
      <c r="T3590" s="13">
        <f t="shared" ref="T3590:Y3590" si="3865">IF(ISBLANK(K3590)=TRUE,0,1)</f>
        <v>1</v>
      </c>
      <c r="U3590" s="13">
        <f t="shared" si="3865"/>
        <v>1</v>
      </c>
      <c r="V3590" s="13">
        <f t="shared" si="3865"/>
        <v>0</v>
      </c>
      <c r="W3590" s="13">
        <f t="shared" si="3865"/>
        <v>0</v>
      </c>
      <c r="X3590" s="13">
        <f t="shared" si="3865"/>
        <v>0</v>
      </c>
      <c r="Y3590" s="13">
        <f t="shared" si="3865"/>
        <v>0</v>
      </c>
      <c r="Z3590" s="13">
        <f t="shared" si="3023"/>
        <v>0</v>
      </c>
      <c r="AA3590" s="13"/>
      <c r="AB3590" s="13"/>
      <c r="AC3590" s="13"/>
      <c r="AD3590" s="13"/>
      <c r="AE3590" s="13"/>
      <c r="AF3590" s="13"/>
      <c r="AG3590" s="13"/>
      <c r="AH3590" s="13"/>
      <c r="AI3590" s="13"/>
      <c r="AJ3590" s="13"/>
      <c r="AK3590" s="13"/>
      <c r="AL3590" s="13"/>
      <c r="AM3590" s="13"/>
      <c r="AN3590" s="13"/>
      <c r="AO3590" s="13"/>
      <c r="AP3590" s="13"/>
      <c r="AQ3590" s="13"/>
      <c r="AR3590" s="13"/>
      <c r="AS3590" s="13"/>
    </row>
    <row r="3591" ht="14.25" customHeight="1">
      <c r="A3591" s="13" t="s">
        <v>36</v>
      </c>
      <c r="B3591" s="13" t="s">
        <v>42</v>
      </c>
      <c r="C3591" s="13">
        <v>1245.0</v>
      </c>
      <c r="D3591" s="13" t="s">
        <v>195</v>
      </c>
      <c r="F3591" s="13"/>
      <c r="G3591" s="13" t="s">
        <v>111</v>
      </c>
      <c r="H3591" s="13" t="s">
        <v>75</v>
      </c>
      <c r="I3591" s="13"/>
      <c r="J3591" s="13"/>
      <c r="K3591" s="15">
        <v>0.0</v>
      </c>
      <c r="L3591" s="15">
        <v>0.0</v>
      </c>
      <c r="M3591" s="16"/>
      <c r="N3591" s="16"/>
      <c r="O3591" s="17"/>
      <c r="P3591" s="17"/>
      <c r="Q3591" s="13">
        <f t="shared" si="3858"/>
        <v>0</v>
      </c>
      <c r="R3591" s="13"/>
      <c r="S3591" s="13"/>
      <c r="T3591" s="13">
        <f t="shared" ref="T3591:Y3591" si="3866">IF(ISBLANK(K3591)=TRUE,0,1)</f>
        <v>1</v>
      </c>
      <c r="U3591" s="13">
        <f t="shared" si="3866"/>
        <v>1</v>
      </c>
      <c r="V3591" s="13">
        <f t="shared" si="3866"/>
        <v>0</v>
      </c>
      <c r="W3591" s="13">
        <f t="shared" si="3866"/>
        <v>0</v>
      </c>
      <c r="X3591" s="13">
        <f t="shared" si="3866"/>
        <v>0</v>
      </c>
      <c r="Y3591" s="13">
        <f t="shared" si="3866"/>
        <v>0</v>
      </c>
      <c r="Z3591" s="13">
        <f t="shared" si="3023"/>
        <v>0</v>
      </c>
      <c r="AA3591" s="13"/>
      <c r="AB3591" s="13"/>
      <c r="AC3591" s="13"/>
      <c r="AD3591" s="13"/>
      <c r="AE3591" s="13"/>
      <c r="AF3591" s="13"/>
      <c r="AG3591" s="13"/>
      <c r="AH3591" s="13"/>
      <c r="AI3591" s="13"/>
      <c r="AJ3591" s="13"/>
      <c r="AK3591" s="13"/>
      <c r="AL3591" s="13"/>
      <c r="AM3591" s="13"/>
      <c r="AN3591" s="13"/>
      <c r="AO3591" s="13"/>
      <c r="AP3591" s="13"/>
      <c r="AQ3591" s="13"/>
      <c r="AR3591" s="13"/>
      <c r="AS3591" s="13"/>
    </row>
    <row r="3592" ht="14.25" customHeight="1">
      <c r="A3592" s="13" t="s">
        <v>36</v>
      </c>
      <c r="B3592" s="13" t="s">
        <v>41</v>
      </c>
      <c r="C3592" s="13" t="s">
        <v>587</v>
      </c>
      <c r="D3592" s="13" t="s">
        <v>175</v>
      </c>
      <c r="F3592" s="13"/>
      <c r="G3592" s="13" t="s">
        <v>74</v>
      </c>
      <c r="H3592" s="13" t="s">
        <v>75</v>
      </c>
      <c r="I3592" s="13"/>
      <c r="J3592" s="13"/>
      <c r="K3592" s="15">
        <v>1.0</v>
      </c>
      <c r="L3592" s="15">
        <v>1.0</v>
      </c>
      <c r="M3592" s="16"/>
      <c r="N3592" s="16"/>
      <c r="O3592" s="17"/>
      <c r="P3592" s="17"/>
      <c r="Q3592" s="13">
        <f t="shared" si="3858"/>
        <v>0</v>
      </c>
      <c r="R3592" s="13"/>
      <c r="S3592" s="13"/>
      <c r="T3592" s="13">
        <f t="shared" ref="T3592:Y3592" si="3867">IF(ISBLANK(K3592)=TRUE,0,1)</f>
        <v>1</v>
      </c>
      <c r="U3592" s="13">
        <f t="shared" si="3867"/>
        <v>1</v>
      </c>
      <c r="V3592" s="13">
        <f t="shared" si="3867"/>
        <v>0</v>
      </c>
      <c r="W3592" s="13">
        <f t="shared" si="3867"/>
        <v>0</v>
      </c>
      <c r="X3592" s="13">
        <f t="shared" si="3867"/>
        <v>0</v>
      </c>
      <c r="Y3592" s="13">
        <f t="shared" si="3867"/>
        <v>0</v>
      </c>
      <c r="Z3592" s="13">
        <f t="shared" si="3023"/>
        <v>1</v>
      </c>
      <c r="AA3592" s="13"/>
      <c r="AB3592" s="13"/>
      <c r="AC3592" s="13"/>
      <c r="AD3592" s="13"/>
      <c r="AE3592" s="13"/>
      <c r="AF3592" s="13"/>
      <c r="AG3592" s="13"/>
      <c r="AH3592" s="13"/>
      <c r="AI3592" s="13"/>
      <c r="AJ3592" s="13"/>
      <c r="AK3592" s="13"/>
      <c r="AL3592" s="13"/>
      <c r="AM3592" s="13"/>
      <c r="AN3592" s="13"/>
      <c r="AO3592" s="13"/>
      <c r="AP3592" s="13"/>
      <c r="AQ3592" s="13"/>
      <c r="AR3592" s="13"/>
      <c r="AS3592" s="13"/>
    </row>
    <row r="3593" ht="14.25" customHeight="1">
      <c r="A3593" s="13" t="s">
        <v>36</v>
      </c>
      <c r="B3593" s="13" t="s">
        <v>41</v>
      </c>
      <c r="C3593" s="13" t="s">
        <v>587</v>
      </c>
      <c r="D3593" s="13" t="s">
        <v>176</v>
      </c>
      <c r="F3593" s="13"/>
      <c r="G3593" s="13" t="s">
        <v>74</v>
      </c>
      <c r="H3593" s="13" t="s">
        <v>75</v>
      </c>
      <c r="I3593" s="13"/>
      <c r="J3593" s="13"/>
      <c r="K3593" s="15">
        <v>1.0</v>
      </c>
      <c r="L3593" s="15">
        <v>1.0</v>
      </c>
      <c r="M3593" s="16"/>
      <c r="N3593" s="16"/>
      <c r="O3593" s="17"/>
      <c r="P3593" s="17"/>
      <c r="Q3593" s="13">
        <f t="shared" si="3858"/>
        <v>2</v>
      </c>
      <c r="R3593" s="13"/>
      <c r="S3593" s="13"/>
      <c r="T3593" s="13">
        <f t="shared" ref="T3593:Y3593" si="3868">IF(ISBLANK(K3593)=TRUE,0,1)</f>
        <v>1</v>
      </c>
      <c r="U3593" s="13">
        <f t="shared" si="3868"/>
        <v>1</v>
      </c>
      <c r="V3593" s="13">
        <f t="shared" si="3868"/>
        <v>0</v>
      </c>
      <c r="W3593" s="13">
        <f t="shared" si="3868"/>
        <v>0</v>
      </c>
      <c r="X3593" s="13">
        <f t="shared" si="3868"/>
        <v>0</v>
      </c>
      <c r="Y3593" s="13">
        <f t="shared" si="3868"/>
        <v>0</v>
      </c>
      <c r="Z3593" s="13">
        <f t="shared" si="3023"/>
        <v>1</v>
      </c>
      <c r="AA3593" s="13"/>
      <c r="AB3593" s="13"/>
      <c r="AC3593" s="13"/>
      <c r="AD3593" s="13"/>
      <c r="AE3593" s="13"/>
      <c r="AF3593" s="13"/>
      <c r="AG3593" s="13"/>
      <c r="AH3593" s="13"/>
      <c r="AI3593" s="13"/>
      <c r="AJ3593" s="13"/>
      <c r="AK3593" s="13"/>
      <c r="AL3593" s="13"/>
      <c r="AM3593" s="13"/>
      <c r="AN3593" s="13"/>
      <c r="AO3593" s="13"/>
      <c r="AP3593" s="13"/>
      <c r="AQ3593" s="13"/>
      <c r="AR3593" s="13"/>
      <c r="AS3593" s="13"/>
    </row>
    <row r="3594" ht="14.25" customHeight="1">
      <c r="A3594" s="13" t="s">
        <v>36</v>
      </c>
      <c r="B3594" s="13" t="s">
        <v>42</v>
      </c>
      <c r="C3594" s="13">
        <v>1245.0</v>
      </c>
      <c r="D3594" s="13" t="s">
        <v>196</v>
      </c>
      <c r="F3594" s="13"/>
      <c r="G3594" s="13" t="s">
        <v>111</v>
      </c>
      <c r="H3594" s="13" t="s">
        <v>75</v>
      </c>
      <c r="I3594" s="13"/>
      <c r="J3594" s="13"/>
      <c r="K3594" s="15">
        <v>0.0</v>
      </c>
      <c r="L3594" s="15">
        <v>0.0</v>
      </c>
      <c r="M3594" s="16"/>
      <c r="N3594" s="16"/>
      <c r="O3594" s="17"/>
      <c r="P3594" s="17"/>
      <c r="Q3594" s="13">
        <f t="shared" si="3858"/>
        <v>2</v>
      </c>
      <c r="R3594" s="13"/>
      <c r="S3594" s="13"/>
      <c r="T3594" s="13">
        <f t="shared" ref="T3594:Y3594" si="3869">IF(ISBLANK(K3594)=TRUE,0,1)</f>
        <v>1</v>
      </c>
      <c r="U3594" s="13">
        <f t="shared" si="3869"/>
        <v>1</v>
      </c>
      <c r="V3594" s="13">
        <f t="shared" si="3869"/>
        <v>0</v>
      </c>
      <c r="W3594" s="13">
        <f t="shared" si="3869"/>
        <v>0</v>
      </c>
      <c r="X3594" s="13">
        <f t="shared" si="3869"/>
        <v>0</v>
      </c>
      <c r="Y3594" s="13">
        <f t="shared" si="3869"/>
        <v>0</v>
      </c>
      <c r="Z3594" s="13">
        <f t="shared" si="3023"/>
        <v>0</v>
      </c>
      <c r="AA3594" s="13"/>
      <c r="AB3594" s="13"/>
      <c r="AC3594" s="13"/>
      <c r="AD3594" s="13"/>
      <c r="AE3594" s="13"/>
      <c r="AF3594" s="13"/>
      <c r="AG3594" s="13"/>
      <c r="AH3594" s="13"/>
      <c r="AI3594" s="13"/>
      <c r="AJ3594" s="13"/>
      <c r="AK3594" s="13"/>
      <c r="AL3594" s="13"/>
      <c r="AM3594" s="13"/>
      <c r="AN3594" s="13"/>
      <c r="AO3594" s="13"/>
      <c r="AP3594" s="13"/>
      <c r="AQ3594" s="13"/>
      <c r="AR3594" s="13"/>
      <c r="AS3594" s="13"/>
    </row>
    <row r="3595" ht="14.25" customHeight="1">
      <c r="A3595" s="13" t="s">
        <v>36</v>
      </c>
      <c r="B3595" s="13" t="s">
        <v>39</v>
      </c>
      <c r="C3595" s="13" t="s">
        <v>566</v>
      </c>
      <c r="D3595" s="13" t="s">
        <v>180</v>
      </c>
      <c r="F3595" s="13"/>
      <c r="G3595" s="13" t="s">
        <v>74</v>
      </c>
      <c r="H3595" s="13" t="s">
        <v>75</v>
      </c>
      <c r="I3595" s="13"/>
      <c r="J3595" s="13"/>
      <c r="K3595" s="15">
        <v>1.0</v>
      </c>
      <c r="L3595" s="15">
        <v>1.0</v>
      </c>
      <c r="M3595" s="16"/>
      <c r="N3595" s="16"/>
      <c r="O3595" s="17"/>
      <c r="P3595" s="17"/>
      <c r="Q3595" s="13">
        <f t="shared" si="3858"/>
        <v>0</v>
      </c>
      <c r="R3595" s="13"/>
      <c r="S3595" s="13"/>
      <c r="T3595" s="13">
        <f t="shared" ref="T3595:Y3595" si="3870">IF(ISBLANK(K3595)=TRUE,0,1)</f>
        <v>1</v>
      </c>
      <c r="U3595" s="13">
        <f t="shared" si="3870"/>
        <v>1</v>
      </c>
      <c r="V3595" s="13">
        <f t="shared" si="3870"/>
        <v>0</v>
      </c>
      <c r="W3595" s="13">
        <f t="shared" si="3870"/>
        <v>0</v>
      </c>
      <c r="X3595" s="13">
        <f t="shared" si="3870"/>
        <v>0</v>
      </c>
      <c r="Y3595" s="13">
        <f t="shared" si="3870"/>
        <v>0</v>
      </c>
      <c r="Z3595" s="13">
        <f t="shared" si="3023"/>
        <v>1</v>
      </c>
      <c r="AA3595" s="13"/>
      <c r="AB3595" s="13"/>
      <c r="AC3595" s="13"/>
      <c r="AD3595" s="13"/>
      <c r="AE3595" s="13"/>
      <c r="AF3595" s="13"/>
      <c r="AG3595" s="13"/>
      <c r="AH3595" s="13"/>
      <c r="AI3595" s="13"/>
      <c r="AJ3595" s="13"/>
      <c r="AK3595" s="13"/>
      <c r="AL3595" s="13"/>
      <c r="AM3595" s="13"/>
      <c r="AN3595" s="13"/>
      <c r="AO3595" s="13"/>
      <c r="AP3595" s="13"/>
      <c r="AQ3595" s="13"/>
      <c r="AR3595" s="13"/>
      <c r="AS3595" s="13"/>
    </row>
    <row r="3596" ht="14.25" customHeight="1">
      <c r="A3596" s="13" t="s">
        <v>36</v>
      </c>
      <c r="B3596" s="13" t="s">
        <v>39</v>
      </c>
      <c r="C3596" s="13" t="s">
        <v>566</v>
      </c>
      <c r="D3596" s="13" t="s">
        <v>181</v>
      </c>
      <c r="F3596" s="13"/>
      <c r="G3596" s="13" t="s">
        <v>74</v>
      </c>
      <c r="H3596" s="13" t="s">
        <v>75</v>
      </c>
      <c r="I3596" s="13"/>
      <c r="J3596" s="13"/>
      <c r="K3596" s="15">
        <v>1.0</v>
      </c>
      <c r="L3596" s="15">
        <v>1.0</v>
      </c>
      <c r="M3596" s="16"/>
      <c r="N3596" s="16"/>
      <c r="O3596" s="17"/>
      <c r="P3596" s="17"/>
      <c r="Q3596" s="13">
        <f t="shared" si="3858"/>
        <v>2</v>
      </c>
      <c r="R3596" s="13"/>
      <c r="S3596" s="13"/>
      <c r="T3596" s="13">
        <f t="shared" ref="T3596:Y3596" si="3871">IF(ISBLANK(K3596)=TRUE,0,1)</f>
        <v>1</v>
      </c>
      <c r="U3596" s="13">
        <f t="shared" si="3871"/>
        <v>1</v>
      </c>
      <c r="V3596" s="13">
        <f t="shared" si="3871"/>
        <v>0</v>
      </c>
      <c r="W3596" s="13">
        <f t="shared" si="3871"/>
        <v>0</v>
      </c>
      <c r="X3596" s="13">
        <f t="shared" si="3871"/>
        <v>0</v>
      </c>
      <c r="Y3596" s="13">
        <f t="shared" si="3871"/>
        <v>0</v>
      </c>
      <c r="Z3596" s="13">
        <f t="shared" si="3023"/>
        <v>1</v>
      </c>
      <c r="AA3596" s="13"/>
      <c r="AB3596" s="13"/>
      <c r="AC3596" s="13"/>
      <c r="AD3596" s="13"/>
      <c r="AE3596" s="13"/>
      <c r="AF3596" s="13"/>
      <c r="AG3596" s="13"/>
      <c r="AH3596" s="13"/>
      <c r="AI3596" s="13"/>
      <c r="AJ3596" s="13"/>
      <c r="AK3596" s="13"/>
      <c r="AL3596" s="13"/>
      <c r="AM3596" s="13"/>
      <c r="AN3596" s="13"/>
      <c r="AO3596" s="13"/>
      <c r="AP3596" s="13"/>
      <c r="AQ3596" s="13"/>
      <c r="AR3596" s="13"/>
      <c r="AS3596" s="13"/>
    </row>
    <row r="3597" ht="14.25" customHeight="1">
      <c r="A3597" s="26" t="s">
        <v>46</v>
      </c>
      <c r="B3597" s="26" t="s">
        <v>49</v>
      </c>
      <c r="C3597" s="26" t="s">
        <v>1885</v>
      </c>
      <c r="D3597" s="26" t="s">
        <v>178</v>
      </c>
      <c r="E3597" s="13"/>
      <c r="F3597" s="26"/>
      <c r="G3597" s="26" t="s">
        <v>74</v>
      </c>
      <c r="H3597" s="26" t="s">
        <v>75</v>
      </c>
      <c r="I3597" s="13"/>
      <c r="J3597" s="13"/>
      <c r="K3597" s="15">
        <v>1.0</v>
      </c>
      <c r="L3597" s="15">
        <v>1.0</v>
      </c>
      <c r="M3597" s="16"/>
      <c r="N3597" s="16"/>
      <c r="O3597" s="17"/>
      <c r="P3597" s="17"/>
      <c r="Q3597" s="13"/>
      <c r="R3597" s="13"/>
      <c r="S3597" s="13"/>
      <c r="T3597" s="13">
        <f t="shared" ref="T3597:Y3597" si="3872">IF(ISBLANK(K3597)=TRUE,0,1)</f>
        <v>1</v>
      </c>
      <c r="U3597" s="13">
        <f t="shared" si="3872"/>
        <v>1</v>
      </c>
      <c r="V3597" s="13">
        <f t="shared" si="3872"/>
        <v>0</v>
      </c>
      <c r="W3597" s="13">
        <f t="shared" si="3872"/>
        <v>0</v>
      </c>
      <c r="X3597" s="13">
        <f t="shared" si="3872"/>
        <v>0</v>
      </c>
      <c r="Y3597" s="13">
        <f t="shared" si="3872"/>
        <v>0</v>
      </c>
      <c r="Z3597" s="13">
        <f t="shared" si="3023"/>
        <v>1</v>
      </c>
      <c r="AA3597" s="13"/>
      <c r="AB3597" s="13"/>
      <c r="AC3597" s="13"/>
      <c r="AD3597" s="13"/>
      <c r="AE3597" s="13"/>
      <c r="AF3597" s="13"/>
      <c r="AG3597" s="13"/>
      <c r="AH3597" s="13"/>
      <c r="AI3597" s="13"/>
      <c r="AJ3597" s="13"/>
      <c r="AK3597" s="13"/>
      <c r="AL3597" s="13"/>
      <c r="AM3597" s="13"/>
      <c r="AN3597" s="13"/>
      <c r="AO3597" s="13"/>
      <c r="AP3597" s="13"/>
      <c r="AQ3597" s="13"/>
      <c r="AR3597" s="13"/>
      <c r="AS3597" s="13"/>
    </row>
    <row r="3598" ht="14.25" customHeight="1">
      <c r="A3598" s="13" t="s">
        <v>36</v>
      </c>
      <c r="B3598" s="13" t="s">
        <v>41</v>
      </c>
      <c r="C3598" s="13" t="s">
        <v>587</v>
      </c>
      <c r="D3598" s="13" t="s">
        <v>177</v>
      </c>
      <c r="F3598" s="13"/>
      <c r="G3598" s="13" t="s">
        <v>74</v>
      </c>
      <c r="H3598" s="13" t="s">
        <v>75</v>
      </c>
      <c r="I3598" s="13"/>
      <c r="J3598" s="13"/>
      <c r="K3598" s="15">
        <v>1.0</v>
      </c>
      <c r="L3598" s="15">
        <v>1.0</v>
      </c>
      <c r="M3598" s="16"/>
      <c r="N3598" s="16"/>
      <c r="O3598" s="17"/>
      <c r="P3598" s="17"/>
      <c r="Q3598" s="13">
        <f t="shared" ref="Q3598:Q3607" si="3874">K3597+L3597+M3597+N3597+O3597+P3597/6</f>
        <v>2</v>
      </c>
      <c r="R3598" s="13"/>
      <c r="S3598" s="13"/>
      <c r="T3598" s="13">
        <f t="shared" ref="T3598:Y3598" si="3873">IF(ISBLANK(K3598)=TRUE,0,1)</f>
        <v>1</v>
      </c>
      <c r="U3598" s="13">
        <f t="shared" si="3873"/>
        <v>1</v>
      </c>
      <c r="V3598" s="13">
        <f t="shared" si="3873"/>
        <v>0</v>
      </c>
      <c r="W3598" s="13">
        <f t="shared" si="3873"/>
        <v>0</v>
      </c>
      <c r="X3598" s="13">
        <f t="shared" si="3873"/>
        <v>0</v>
      </c>
      <c r="Y3598" s="13">
        <f t="shared" si="3873"/>
        <v>0</v>
      </c>
      <c r="Z3598" s="13">
        <f t="shared" si="3023"/>
        <v>1</v>
      </c>
      <c r="AA3598" s="13"/>
      <c r="AB3598" s="13"/>
      <c r="AC3598" s="13"/>
      <c r="AD3598" s="13"/>
      <c r="AE3598" s="13"/>
      <c r="AF3598" s="13"/>
      <c r="AG3598" s="13"/>
      <c r="AH3598" s="13"/>
      <c r="AI3598" s="13"/>
      <c r="AJ3598" s="13"/>
      <c r="AK3598" s="13"/>
      <c r="AL3598" s="13"/>
      <c r="AM3598" s="13"/>
      <c r="AN3598" s="13"/>
      <c r="AO3598" s="13"/>
      <c r="AP3598" s="13"/>
      <c r="AQ3598" s="13"/>
      <c r="AR3598" s="13"/>
      <c r="AS3598" s="13"/>
    </row>
    <row r="3599" ht="14.25" customHeight="1">
      <c r="A3599" s="13" t="s">
        <v>36</v>
      </c>
      <c r="B3599" s="13" t="s">
        <v>41</v>
      </c>
      <c r="C3599" s="13" t="s">
        <v>587</v>
      </c>
      <c r="D3599" s="13" t="s">
        <v>178</v>
      </c>
      <c r="F3599" s="13"/>
      <c r="G3599" s="13" t="s">
        <v>74</v>
      </c>
      <c r="H3599" s="13" t="s">
        <v>75</v>
      </c>
      <c r="I3599" s="13"/>
      <c r="J3599" s="13"/>
      <c r="K3599" s="15">
        <v>1.0</v>
      </c>
      <c r="L3599" s="15">
        <v>1.0</v>
      </c>
      <c r="M3599" s="16"/>
      <c r="N3599" s="16"/>
      <c r="O3599" s="17"/>
      <c r="P3599" s="17"/>
      <c r="Q3599" s="13">
        <f t="shared" si="3874"/>
        <v>2</v>
      </c>
      <c r="R3599" s="13"/>
      <c r="S3599" s="13"/>
      <c r="T3599" s="13">
        <f t="shared" ref="T3599:Y3599" si="3875">IF(ISBLANK(K3599)=TRUE,0,1)</f>
        <v>1</v>
      </c>
      <c r="U3599" s="13">
        <f t="shared" si="3875"/>
        <v>1</v>
      </c>
      <c r="V3599" s="13">
        <f t="shared" si="3875"/>
        <v>0</v>
      </c>
      <c r="W3599" s="13">
        <f t="shared" si="3875"/>
        <v>0</v>
      </c>
      <c r="X3599" s="13">
        <f t="shared" si="3875"/>
        <v>0</v>
      </c>
      <c r="Y3599" s="13">
        <f t="shared" si="3875"/>
        <v>0</v>
      </c>
      <c r="Z3599" s="13">
        <f t="shared" si="3023"/>
        <v>1</v>
      </c>
      <c r="AA3599" s="13"/>
      <c r="AB3599" s="13"/>
      <c r="AC3599" s="13"/>
      <c r="AD3599" s="13"/>
      <c r="AE3599" s="13"/>
      <c r="AF3599" s="13"/>
      <c r="AG3599" s="13"/>
      <c r="AH3599" s="13"/>
      <c r="AI3599" s="13"/>
      <c r="AJ3599" s="13"/>
      <c r="AK3599" s="13"/>
      <c r="AL3599" s="13"/>
      <c r="AM3599" s="13"/>
      <c r="AN3599" s="13"/>
      <c r="AO3599" s="13"/>
      <c r="AP3599" s="13"/>
      <c r="AQ3599" s="13"/>
      <c r="AR3599" s="13"/>
      <c r="AS3599" s="13"/>
    </row>
    <row r="3600" ht="14.25" customHeight="1">
      <c r="A3600" s="13" t="s">
        <v>36</v>
      </c>
      <c r="B3600" s="13" t="s">
        <v>41</v>
      </c>
      <c r="C3600" s="13" t="s">
        <v>587</v>
      </c>
      <c r="D3600" s="13" t="s">
        <v>179</v>
      </c>
      <c r="F3600" s="13"/>
      <c r="G3600" s="13" t="s">
        <v>74</v>
      </c>
      <c r="H3600" s="13" t="s">
        <v>75</v>
      </c>
      <c r="I3600" s="13"/>
      <c r="J3600" s="13"/>
      <c r="K3600" s="15">
        <v>1.0</v>
      </c>
      <c r="L3600" s="15">
        <v>1.0</v>
      </c>
      <c r="M3600" s="16"/>
      <c r="N3600" s="16"/>
      <c r="O3600" s="17"/>
      <c r="P3600" s="17"/>
      <c r="Q3600" s="13">
        <f t="shared" si="3874"/>
        <v>2</v>
      </c>
      <c r="R3600" s="13"/>
      <c r="S3600" s="13"/>
      <c r="T3600" s="13">
        <f t="shared" ref="T3600:Y3600" si="3876">IF(ISBLANK(K3600)=TRUE,0,1)</f>
        <v>1</v>
      </c>
      <c r="U3600" s="13">
        <f t="shared" si="3876"/>
        <v>1</v>
      </c>
      <c r="V3600" s="13">
        <f t="shared" si="3876"/>
        <v>0</v>
      </c>
      <c r="W3600" s="13">
        <f t="shared" si="3876"/>
        <v>0</v>
      </c>
      <c r="X3600" s="13">
        <f t="shared" si="3876"/>
        <v>0</v>
      </c>
      <c r="Y3600" s="13">
        <f t="shared" si="3876"/>
        <v>0</v>
      </c>
      <c r="Z3600" s="13">
        <f t="shared" si="3023"/>
        <v>1</v>
      </c>
      <c r="AA3600" s="13"/>
      <c r="AB3600" s="13"/>
      <c r="AC3600" s="13"/>
      <c r="AD3600" s="13"/>
      <c r="AE3600" s="13"/>
      <c r="AF3600" s="13"/>
      <c r="AG3600" s="13"/>
      <c r="AH3600" s="13"/>
      <c r="AI3600" s="13"/>
      <c r="AJ3600" s="13"/>
      <c r="AK3600" s="13"/>
      <c r="AL3600" s="13"/>
      <c r="AM3600" s="13"/>
      <c r="AN3600" s="13"/>
      <c r="AO3600" s="13"/>
      <c r="AP3600" s="13"/>
      <c r="AQ3600" s="13"/>
      <c r="AR3600" s="13"/>
      <c r="AS3600" s="13"/>
    </row>
    <row r="3601" ht="14.25" customHeight="1">
      <c r="A3601" s="13" t="s">
        <v>36</v>
      </c>
      <c r="B3601" s="13" t="s">
        <v>39</v>
      </c>
      <c r="C3601" s="13" t="s">
        <v>566</v>
      </c>
      <c r="D3601" s="13" t="s">
        <v>182</v>
      </c>
      <c r="F3601" s="13"/>
      <c r="G3601" s="13" t="s">
        <v>74</v>
      </c>
      <c r="H3601" s="13" t="s">
        <v>75</v>
      </c>
      <c r="I3601" s="13"/>
      <c r="J3601" s="13"/>
      <c r="K3601" s="15">
        <v>1.0</v>
      </c>
      <c r="L3601" s="15">
        <v>1.0</v>
      </c>
      <c r="M3601" s="16"/>
      <c r="N3601" s="16"/>
      <c r="O3601" s="17"/>
      <c r="P3601" s="17"/>
      <c r="Q3601" s="13">
        <f t="shared" si="3874"/>
        <v>2</v>
      </c>
      <c r="R3601" s="13"/>
      <c r="S3601" s="13"/>
      <c r="T3601" s="13">
        <f t="shared" ref="T3601:Y3601" si="3877">IF(ISBLANK(K3601)=TRUE,0,1)</f>
        <v>1</v>
      </c>
      <c r="U3601" s="13">
        <f t="shared" si="3877"/>
        <v>1</v>
      </c>
      <c r="V3601" s="13">
        <f t="shared" si="3877"/>
        <v>0</v>
      </c>
      <c r="W3601" s="13">
        <f t="shared" si="3877"/>
        <v>0</v>
      </c>
      <c r="X3601" s="13">
        <f t="shared" si="3877"/>
        <v>0</v>
      </c>
      <c r="Y3601" s="13">
        <f t="shared" si="3877"/>
        <v>0</v>
      </c>
      <c r="Z3601" s="13">
        <f t="shared" si="3023"/>
        <v>1</v>
      </c>
      <c r="AA3601" s="13"/>
      <c r="AB3601" s="13"/>
      <c r="AC3601" s="13"/>
      <c r="AD3601" s="13"/>
      <c r="AE3601" s="13"/>
      <c r="AF3601" s="13"/>
      <c r="AG3601" s="13"/>
      <c r="AH3601" s="13"/>
      <c r="AI3601" s="13"/>
      <c r="AJ3601" s="13"/>
      <c r="AK3601" s="13"/>
      <c r="AL3601" s="13"/>
      <c r="AM3601" s="13"/>
      <c r="AN3601" s="13"/>
      <c r="AO3601" s="13"/>
      <c r="AP3601" s="13"/>
      <c r="AQ3601" s="13"/>
      <c r="AR3601" s="13"/>
      <c r="AS3601" s="13"/>
    </row>
    <row r="3602" ht="14.25" customHeight="1">
      <c r="A3602" s="13" t="s">
        <v>36</v>
      </c>
      <c r="B3602" s="13" t="s">
        <v>42</v>
      </c>
      <c r="C3602" s="13">
        <v>1245.0</v>
      </c>
      <c r="D3602" s="13" t="s">
        <v>197</v>
      </c>
      <c r="F3602" s="13"/>
      <c r="G3602" s="13" t="s">
        <v>111</v>
      </c>
      <c r="H3602" s="13" t="s">
        <v>75</v>
      </c>
      <c r="I3602" s="13"/>
      <c r="J3602" s="13"/>
      <c r="K3602" s="15">
        <v>0.0</v>
      </c>
      <c r="L3602" s="15">
        <v>0.0</v>
      </c>
      <c r="M3602" s="16"/>
      <c r="N3602" s="16"/>
      <c r="O3602" s="17"/>
      <c r="P3602" s="17"/>
      <c r="Q3602" s="13">
        <f t="shared" si="3874"/>
        <v>2</v>
      </c>
      <c r="R3602" s="13"/>
      <c r="S3602" s="13"/>
      <c r="T3602" s="13">
        <f t="shared" ref="T3602:Y3602" si="3878">IF(ISBLANK(K3602)=TRUE,0,1)</f>
        <v>1</v>
      </c>
      <c r="U3602" s="13">
        <f t="shared" si="3878"/>
        <v>1</v>
      </c>
      <c r="V3602" s="13">
        <f t="shared" si="3878"/>
        <v>0</v>
      </c>
      <c r="W3602" s="13">
        <f t="shared" si="3878"/>
        <v>0</v>
      </c>
      <c r="X3602" s="13">
        <f t="shared" si="3878"/>
        <v>0</v>
      </c>
      <c r="Y3602" s="13">
        <f t="shared" si="3878"/>
        <v>0</v>
      </c>
      <c r="Z3602" s="13">
        <f t="shared" si="3023"/>
        <v>0</v>
      </c>
      <c r="AA3602" s="13"/>
      <c r="AB3602" s="13"/>
      <c r="AC3602" s="13"/>
      <c r="AD3602" s="13"/>
      <c r="AE3602" s="13"/>
      <c r="AF3602" s="13"/>
      <c r="AG3602" s="13"/>
      <c r="AH3602" s="13"/>
      <c r="AI3602" s="13"/>
      <c r="AJ3602" s="13"/>
      <c r="AK3602" s="13"/>
      <c r="AL3602" s="13"/>
      <c r="AM3602" s="13"/>
      <c r="AN3602" s="13"/>
      <c r="AO3602" s="13"/>
      <c r="AP3602" s="13"/>
      <c r="AQ3602" s="13"/>
      <c r="AR3602" s="13"/>
      <c r="AS3602" s="13"/>
    </row>
    <row r="3603" ht="14.25" customHeight="1">
      <c r="A3603" s="13" t="s">
        <v>36</v>
      </c>
      <c r="B3603" s="13" t="s">
        <v>41</v>
      </c>
      <c r="C3603" s="13" t="s">
        <v>587</v>
      </c>
      <c r="D3603" s="13" t="s">
        <v>180</v>
      </c>
      <c r="F3603" s="13"/>
      <c r="G3603" s="13" t="s">
        <v>74</v>
      </c>
      <c r="H3603" s="13" t="s">
        <v>75</v>
      </c>
      <c r="I3603" s="13"/>
      <c r="J3603" s="13"/>
      <c r="K3603" s="15">
        <v>1.0</v>
      </c>
      <c r="L3603" s="15">
        <v>1.0</v>
      </c>
      <c r="M3603" s="16"/>
      <c r="N3603" s="16"/>
      <c r="O3603" s="17"/>
      <c r="P3603" s="17"/>
      <c r="Q3603" s="13">
        <f t="shared" si="3874"/>
        <v>0</v>
      </c>
      <c r="R3603" s="13"/>
      <c r="S3603" s="13"/>
      <c r="T3603" s="13">
        <f t="shared" ref="T3603:Y3603" si="3879">IF(ISBLANK(K3603)=TRUE,0,1)</f>
        <v>1</v>
      </c>
      <c r="U3603" s="13">
        <f t="shared" si="3879"/>
        <v>1</v>
      </c>
      <c r="V3603" s="13">
        <f t="shared" si="3879"/>
        <v>0</v>
      </c>
      <c r="W3603" s="13">
        <f t="shared" si="3879"/>
        <v>0</v>
      </c>
      <c r="X3603" s="13">
        <f t="shared" si="3879"/>
        <v>0</v>
      </c>
      <c r="Y3603" s="13">
        <f t="shared" si="3879"/>
        <v>0</v>
      </c>
      <c r="Z3603" s="13">
        <f t="shared" si="3023"/>
        <v>1</v>
      </c>
      <c r="AA3603" s="13"/>
      <c r="AB3603" s="13"/>
      <c r="AC3603" s="13"/>
      <c r="AD3603" s="13"/>
      <c r="AE3603" s="13"/>
      <c r="AF3603" s="13"/>
      <c r="AG3603" s="13"/>
      <c r="AH3603" s="13"/>
      <c r="AI3603" s="13"/>
      <c r="AJ3603" s="13"/>
      <c r="AK3603" s="13"/>
      <c r="AL3603" s="13"/>
      <c r="AM3603" s="13"/>
      <c r="AN3603" s="13"/>
      <c r="AO3603" s="13"/>
      <c r="AP3603" s="13"/>
      <c r="AQ3603" s="13"/>
      <c r="AR3603" s="13"/>
      <c r="AS3603" s="13"/>
    </row>
    <row r="3604" ht="14.25" customHeight="1">
      <c r="A3604" s="13" t="s">
        <v>36</v>
      </c>
      <c r="B3604" s="13" t="s">
        <v>41</v>
      </c>
      <c r="C3604" s="13" t="s">
        <v>587</v>
      </c>
      <c r="D3604" s="13" t="s">
        <v>181</v>
      </c>
      <c r="F3604" s="13"/>
      <c r="G3604" s="13" t="s">
        <v>74</v>
      </c>
      <c r="H3604" s="13" t="s">
        <v>75</v>
      </c>
      <c r="I3604" s="13"/>
      <c r="J3604" s="13"/>
      <c r="K3604" s="15">
        <v>1.0</v>
      </c>
      <c r="L3604" s="15">
        <v>1.0</v>
      </c>
      <c r="M3604" s="16"/>
      <c r="N3604" s="16"/>
      <c r="O3604" s="17"/>
      <c r="P3604" s="17"/>
      <c r="Q3604" s="13">
        <f t="shared" si="3874"/>
        <v>2</v>
      </c>
      <c r="R3604" s="13"/>
      <c r="S3604" s="13"/>
      <c r="T3604" s="13">
        <f t="shared" ref="T3604:Y3604" si="3880">IF(ISBLANK(K3604)=TRUE,0,1)</f>
        <v>1</v>
      </c>
      <c r="U3604" s="13">
        <f t="shared" si="3880"/>
        <v>1</v>
      </c>
      <c r="V3604" s="13">
        <f t="shared" si="3880"/>
        <v>0</v>
      </c>
      <c r="W3604" s="13">
        <f t="shared" si="3880"/>
        <v>0</v>
      </c>
      <c r="X3604" s="13">
        <f t="shared" si="3880"/>
        <v>0</v>
      </c>
      <c r="Y3604" s="13">
        <f t="shared" si="3880"/>
        <v>0</v>
      </c>
      <c r="Z3604" s="13">
        <f t="shared" si="3023"/>
        <v>1</v>
      </c>
      <c r="AA3604" s="13"/>
      <c r="AB3604" s="13"/>
      <c r="AC3604" s="13"/>
      <c r="AD3604" s="13"/>
      <c r="AE3604" s="13"/>
      <c r="AF3604" s="13"/>
      <c r="AG3604" s="13"/>
      <c r="AH3604" s="13"/>
      <c r="AI3604" s="13"/>
      <c r="AJ3604" s="13"/>
      <c r="AK3604" s="13"/>
      <c r="AL3604" s="13"/>
      <c r="AM3604" s="13"/>
      <c r="AN3604" s="13"/>
      <c r="AO3604" s="13"/>
      <c r="AP3604" s="13"/>
      <c r="AQ3604" s="13"/>
      <c r="AR3604" s="13"/>
      <c r="AS3604" s="13"/>
    </row>
    <row r="3605" ht="14.25" customHeight="1">
      <c r="A3605" s="13" t="s">
        <v>36</v>
      </c>
      <c r="B3605" s="13" t="s">
        <v>39</v>
      </c>
      <c r="C3605" s="13" t="s">
        <v>566</v>
      </c>
      <c r="D3605" s="13" t="s">
        <v>183</v>
      </c>
      <c r="F3605" s="13"/>
      <c r="G3605" s="13" t="s">
        <v>74</v>
      </c>
      <c r="H3605" s="13" t="s">
        <v>75</v>
      </c>
      <c r="I3605" s="13"/>
      <c r="J3605" s="13"/>
      <c r="K3605" s="15">
        <v>1.0</v>
      </c>
      <c r="L3605" s="15">
        <v>1.0</v>
      </c>
      <c r="M3605" s="16"/>
      <c r="N3605" s="16"/>
      <c r="O3605" s="17"/>
      <c r="P3605" s="17"/>
      <c r="Q3605" s="13">
        <f t="shared" si="3874"/>
        <v>2</v>
      </c>
      <c r="R3605" s="13"/>
      <c r="S3605" s="13"/>
      <c r="T3605" s="13">
        <f t="shared" ref="T3605:Y3605" si="3881">IF(ISBLANK(K3605)=TRUE,0,1)</f>
        <v>1</v>
      </c>
      <c r="U3605" s="13">
        <f t="shared" si="3881"/>
        <v>1</v>
      </c>
      <c r="V3605" s="13">
        <f t="shared" si="3881"/>
        <v>0</v>
      </c>
      <c r="W3605" s="13">
        <f t="shared" si="3881"/>
        <v>0</v>
      </c>
      <c r="X3605" s="13">
        <f t="shared" si="3881"/>
        <v>0</v>
      </c>
      <c r="Y3605" s="13">
        <f t="shared" si="3881"/>
        <v>0</v>
      </c>
      <c r="Z3605" s="13">
        <f t="shared" si="3023"/>
        <v>1</v>
      </c>
      <c r="AA3605" s="13"/>
      <c r="AB3605" s="13"/>
      <c r="AC3605" s="13"/>
      <c r="AD3605" s="13"/>
      <c r="AE3605" s="13"/>
      <c r="AF3605" s="13"/>
      <c r="AG3605" s="13"/>
      <c r="AH3605" s="13"/>
      <c r="AI3605" s="13"/>
      <c r="AJ3605" s="13"/>
      <c r="AK3605" s="13"/>
      <c r="AL3605" s="13"/>
      <c r="AM3605" s="13"/>
      <c r="AN3605" s="13"/>
      <c r="AO3605" s="13"/>
      <c r="AP3605" s="13"/>
      <c r="AQ3605" s="13"/>
      <c r="AR3605" s="13"/>
      <c r="AS3605" s="13"/>
    </row>
    <row r="3606" ht="14.25" customHeight="1">
      <c r="A3606" s="13" t="s">
        <v>36</v>
      </c>
      <c r="B3606" s="13" t="s">
        <v>39</v>
      </c>
      <c r="C3606" s="13" t="s">
        <v>566</v>
      </c>
      <c r="D3606" s="13" t="s">
        <v>184</v>
      </c>
      <c r="F3606" s="13"/>
      <c r="G3606" s="13" t="s">
        <v>74</v>
      </c>
      <c r="H3606" s="13" t="s">
        <v>75</v>
      </c>
      <c r="I3606" s="13"/>
      <c r="J3606" s="13"/>
      <c r="K3606" s="15">
        <v>1.0</v>
      </c>
      <c r="L3606" s="15">
        <v>1.0</v>
      </c>
      <c r="M3606" s="16"/>
      <c r="N3606" s="16"/>
      <c r="O3606" s="17"/>
      <c r="P3606" s="17"/>
      <c r="Q3606" s="13">
        <f t="shared" si="3874"/>
        <v>2</v>
      </c>
      <c r="R3606" s="13"/>
      <c r="S3606" s="13"/>
      <c r="T3606" s="13">
        <f t="shared" ref="T3606:Y3606" si="3882">IF(ISBLANK(K3606)=TRUE,0,1)</f>
        <v>1</v>
      </c>
      <c r="U3606" s="13">
        <f t="shared" si="3882"/>
        <v>1</v>
      </c>
      <c r="V3606" s="13">
        <f t="shared" si="3882"/>
        <v>0</v>
      </c>
      <c r="W3606" s="13">
        <f t="shared" si="3882"/>
        <v>0</v>
      </c>
      <c r="X3606" s="13">
        <f t="shared" si="3882"/>
        <v>0</v>
      </c>
      <c r="Y3606" s="13">
        <f t="shared" si="3882"/>
        <v>0</v>
      </c>
      <c r="Z3606" s="13">
        <f t="shared" si="3023"/>
        <v>1</v>
      </c>
      <c r="AA3606" s="13"/>
      <c r="AB3606" s="13"/>
      <c r="AC3606" s="13"/>
      <c r="AD3606" s="13"/>
      <c r="AE3606" s="13"/>
      <c r="AF3606" s="13"/>
      <c r="AG3606" s="13"/>
      <c r="AH3606" s="13"/>
      <c r="AI3606" s="13"/>
      <c r="AJ3606" s="13"/>
      <c r="AK3606" s="13"/>
      <c r="AL3606" s="13"/>
      <c r="AM3606" s="13"/>
      <c r="AN3606" s="13"/>
      <c r="AO3606" s="13"/>
      <c r="AP3606" s="13"/>
      <c r="AQ3606" s="13"/>
      <c r="AR3606" s="13"/>
      <c r="AS3606" s="13"/>
    </row>
    <row r="3607" ht="14.25" customHeight="1">
      <c r="A3607" s="13" t="s">
        <v>36</v>
      </c>
      <c r="B3607" s="13" t="s">
        <v>39</v>
      </c>
      <c r="C3607" s="13" t="s">
        <v>566</v>
      </c>
      <c r="D3607" s="13" t="s">
        <v>185</v>
      </c>
      <c r="F3607" s="13"/>
      <c r="G3607" s="13" t="s">
        <v>74</v>
      </c>
      <c r="H3607" s="13" t="s">
        <v>75</v>
      </c>
      <c r="I3607" s="13"/>
      <c r="J3607" s="13"/>
      <c r="K3607" s="15">
        <v>1.0</v>
      </c>
      <c r="L3607" s="15">
        <v>1.0</v>
      </c>
      <c r="M3607" s="16"/>
      <c r="N3607" s="16"/>
      <c r="O3607" s="17"/>
      <c r="P3607" s="17"/>
      <c r="Q3607" s="13">
        <f t="shared" si="3874"/>
        <v>2</v>
      </c>
      <c r="R3607" s="13"/>
      <c r="S3607" s="13"/>
      <c r="T3607" s="13">
        <f t="shared" ref="T3607:Y3607" si="3883">IF(ISBLANK(K3607)=TRUE,0,1)</f>
        <v>1</v>
      </c>
      <c r="U3607" s="13">
        <f t="shared" si="3883"/>
        <v>1</v>
      </c>
      <c r="V3607" s="13">
        <f t="shared" si="3883"/>
        <v>0</v>
      </c>
      <c r="W3607" s="13">
        <f t="shared" si="3883"/>
        <v>0</v>
      </c>
      <c r="X3607" s="13">
        <f t="shared" si="3883"/>
        <v>0</v>
      </c>
      <c r="Y3607" s="13">
        <f t="shared" si="3883"/>
        <v>0</v>
      </c>
      <c r="Z3607" s="13">
        <f t="shared" si="3023"/>
        <v>1</v>
      </c>
      <c r="AA3607" s="13"/>
      <c r="AB3607" s="13"/>
      <c r="AC3607" s="13"/>
      <c r="AD3607" s="13"/>
      <c r="AE3607" s="13"/>
      <c r="AF3607" s="13"/>
      <c r="AG3607" s="13"/>
      <c r="AH3607" s="13"/>
      <c r="AI3607" s="13"/>
      <c r="AJ3607" s="13"/>
      <c r="AK3607" s="13"/>
      <c r="AL3607" s="13"/>
      <c r="AM3607" s="13"/>
      <c r="AN3607" s="13"/>
      <c r="AO3607" s="13"/>
      <c r="AP3607" s="13"/>
      <c r="AQ3607" s="13"/>
      <c r="AR3607" s="13"/>
      <c r="AS3607" s="13"/>
    </row>
    <row r="3608" ht="14.25" customHeight="1">
      <c r="A3608" s="26" t="s">
        <v>46</v>
      </c>
      <c r="B3608" s="26" t="s">
        <v>49</v>
      </c>
      <c r="C3608" s="26" t="s">
        <v>1885</v>
      </c>
      <c r="D3608" s="26" t="s">
        <v>180</v>
      </c>
      <c r="E3608" s="13"/>
      <c r="F3608" s="26"/>
      <c r="G3608" s="26" t="s">
        <v>74</v>
      </c>
      <c r="H3608" s="26" t="s">
        <v>75</v>
      </c>
      <c r="I3608" s="13"/>
      <c r="J3608" s="13"/>
      <c r="K3608" s="15">
        <v>1.0</v>
      </c>
      <c r="L3608" s="15">
        <v>1.0</v>
      </c>
      <c r="M3608" s="16"/>
      <c r="N3608" s="16"/>
      <c r="O3608" s="17"/>
      <c r="P3608" s="17"/>
      <c r="Q3608" s="13"/>
      <c r="R3608" s="13"/>
      <c r="S3608" s="13"/>
      <c r="T3608" s="13">
        <f t="shared" ref="T3608:Y3608" si="3884">IF(ISBLANK(K3608)=TRUE,0,1)</f>
        <v>1</v>
      </c>
      <c r="U3608" s="13">
        <f t="shared" si="3884"/>
        <v>1</v>
      </c>
      <c r="V3608" s="13">
        <f t="shared" si="3884"/>
        <v>0</v>
      </c>
      <c r="W3608" s="13">
        <f t="shared" si="3884"/>
        <v>0</v>
      </c>
      <c r="X3608" s="13">
        <f t="shared" si="3884"/>
        <v>0</v>
      </c>
      <c r="Y3608" s="13">
        <f t="shared" si="3884"/>
        <v>0</v>
      </c>
      <c r="Z3608" s="13">
        <f t="shared" si="3023"/>
        <v>1</v>
      </c>
      <c r="AA3608" s="13"/>
      <c r="AB3608" s="13"/>
      <c r="AC3608" s="13"/>
      <c r="AD3608" s="13"/>
      <c r="AE3608" s="13"/>
      <c r="AF3608" s="13"/>
      <c r="AG3608" s="13"/>
      <c r="AH3608" s="13"/>
      <c r="AI3608" s="13"/>
      <c r="AJ3608" s="13"/>
      <c r="AK3608" s="13"/>
      <c r="AL3608" s="13"/>
      <c r="AM3608" s="13"/>
      <c r="AN3608" s="13"/>
      <c r="AO3608" s="13"/>
      <c r="AP3608" s="13"/>
      <c r="AQ3608" s="13"/>
      <c r="AR3608" s="13"/>
      <c r="AS3608" s="13"/>
    </row>
    <row r="3609" ht="14.25" customHeight="1">
      <c r="A3609" s="13" t="s">
        <v>36</v>
      </c>
      <c r="B3609" s="13" t="s">
        <v>41</v>
      </c>
      <c r="C3609" s="13" t="s">
        <v>587</v>
      </c>
      <c r="D3609" s="13" t="s">
        <v>182</v>
      </c>
      <c r="F3609" s="13"/>
      <c r="G3609" s="13" t="s">
        <v>74</v>
      </c>
      <c r="H3609" s="13" t="s">
        <v>75</v>
      </c>
      <c r="I3609" s="13"/>
      <c r="J3609" s="13"/>
      <c r="K3609" s="15">
        <v>1.0</v>
      </c>
      <c r="L3609" s="15">
        <v>1.0</v>
      </c>
      <c r="M3609" s="16"/>
      <c r="N3609" s="16"/>
      <c r="O3609" s="17"/>
      <c r="P3609" s="17"/>
      <c r="Q3609" s="13">
        <f t="shared" ref="Q3609:Q3652" si="3886">K3608+L3608+M3608+N3608+O3608+P3608/6</f>
        <v>2</v>
      </c>
      <c r="R3609" s="13"/>
      <c r="S3609" s="13"/>
      <c r="T3609" s="13">
        <f t="shared" ref="T3609:Y3609" si="3885">IF(ISBLANK(K3609)=TRUE,0,1)</f>
        <v>1</v>
      </c>
      <c r="U3609" s="13">
        <f t="shared" si="3885"/>
        <v>1</v>
      </c>
      <c r="V3609" s="13">
        <f t="shared" si="3885"/>
        <v>0</v>
      </c>
      <c r="W3609" s="13">
        <f t="shared" si="3885"/>
        <v>0</v>
      </c>
      <c r="X3609" s="13">
        <f t="shared" si="3885"/>
        <v>0</v>
      </c>
      <c r="Y3609" s="13">
        <f t="shared" si="3885"/>
        <v>0</v>
      </c>
      <c r="Z3609" s="13">
        <f t="shared" si="3023"/>
        <v>1</v>
      </c>
      <c r="AA3609" s="13"/>
      <c r="AB3609" s="13"/>
      <c r="AC3609" s="13"/>
      <c r="AD3609" s="13"/>
      <c r="AE3609" s="13"/>
      <c r="AF3609" s="13"/>
      <c r="AG3609" s="13"/>
      <c r="AH3609" s="13"/>
      <c r="AI3609" s="13"/>
      <c r="AJ3609" s="13"/>
      <c r="AK3609" s="13"/>
      <c r="AL3609" s="13"/>
      <c r="AM3609" s="13"/>
      <c r="AN3609" s="13"/>
      <c r="AO3609" s="13"/>
      <c r="AP3609" s="13"/>
      <c r="AQ3609" s="13"/>
      <c r="AR3609" s="13"/>
      <c r="AS3609" s="13"/>
    </row>
    <row r="3610" ht="14.25" customHeight="1">
      <c r="A3610" s="13" t="s">
        <v>36</v>
      </c>
      <c r="B3610" s="13" t="s">
        <v>41</v>
      </c>
      <c r="C3610" s="13" t="s">
        <v>587</v>
      </c>
      <c r="D3610" s="13" t="s">
        <v>183</v>
      </c>
      <c r="F3610" s="13"/>
      <c r="G3610" s="13" t="s">
        <v>74</v>
      </c>
      <c r="H3610" s="13" t="s">
        <v>75</v>
      </c>
      <c r="I3610" s="13"/>
      <c r="J3610" s="13"/>
      <c r="K3610" s="15">
        <v>1.0</v>
      </c>
      <c r="L3610" s="15">
        <v>1.0</v>
      </c>
      <c r="M3610" s="16"/>
      <c r="N3610" s="16"/>
      <c r="O3610" s="17"/>
      <c r="P3610" s="17"/>
      <c r="Q3610" s="13">
        <f t="shared" si="3886"/>
        <v>2</v>
      </c>
      <c r="R3610" s="13"/>
      <c r="S3610" s="13"/>
      <c r="T3610" s="13">
        <f t="shared" ref="T3610:Y3610" si="3887">IF(ISBLANK(K3610)=TRUE,0,1)</f>
        <v>1</v>
      </c>
      <c r="U3610" s="13">
        <f t="shared" si="3887"/>
        <v>1</v>
      </c>
      <c r="V3610" s="13">
        <f t="shared" si="3887"/>
        <v>0</v>
      </c>
      <c r="W3610" s="13">
        <f t="shared" si="3887"/>
        <v>0</v>
      </c>
      <c r="X3610" s="13">
        <f t="shared" si="3887"/>
        <v>0</v>
      </c>
      <c r="Y3610" s="13">
        <f t="shared" si="3887"/>
        <v>0</v>
      </c>
      <c r="Z3610" s="13">
        <f t="shared" si="3023"/>
        <v>1</v>
      </c>
      <c r="AA3610" s="13"/>
      <c r="AB3610" s="13"/>
      <c r="AC3610" s="13"/>
      <c r="AD3610" s="13"/>
      <c r="AE3610" s="13"/>
      <c r="AF3610" s="13"/>
      <c r="AG3610" s="13"/>
      <c r="AH3610" s="13"/>
      <c r="AI3610" s="13"/>
      <c r="AJ3610" s="13"/>
      <c r="AK3610" s="13"/>
      <c r="AL3610" s="13"/>
      <c r="AM3610" s="13"/>
      <c r="AN3610" s="13"/>
      <c r="AO3610" s="13"/>
      <c r="AP3610" s="13"/>
      <c r="AQ3610" s="13"/>
      <c r="AR3610" s="13"/>
      <c r="AS3610" s="13"/>
    </row>
    <row r="3611" ht="14.25" customHeight="1">
      <c r="A3611" s="13" t="s">
        <v>36</v>
      </c>
      <c r="B3611" s="13" t="s">
        <v>41</v>
      </c>
      <c r="C3611" s="13" t="s">
        <v>587</v>
      </c>
      <c r="D3611" s="13" t="s">
        <v>184</v>
      </c>
      <c r="F3611" s="13"/>
      <c r="G3611" s="13" t="s">
        <v>74</v>
      </c>
      <c r="H3611" s="13" t="s">
        <v>75</v>
      </c>
      <c r="I3611" s="13"/>
      <c r="J3611" s="13"/>
      <c r="K3611" s="15">
        <v>1.0</v>
      </c>
      <c r="L3611" s="15">
        <v>1.0</v>
      </c>
      <c r="M3611" s="16"/>
      <c r="N3611" s="16"/>
      <c r="O3611" s="17"/>
      <c r="P3611" s="17"/>
      <c r="Q3611" s="13">
        <f t="shared" si="3886"/>
        <v>2</v>
      </c>
      <c r="R3611" s="13"/>
      <c r="S3611" s="13"/>
      <c r="T3611" s="13">
        <f t="shared" ref="T3611:Y3611" si="3888">IF(ISBLANK(K3611)=TRUE,0,1)</f>
        <v>1</v>
      </c>
      <c r="U3611" s="13">
        <f t="shared" si="3888"/>
        <v>1</v>
      </c>
      <c r="V3611" s="13">
        <f t="shared" si="3888"/>
        <v>0</v>
      </c>
      <c r="W3611" s="13">
        <f t="shared" si="3888"/>
        <v>0</v>
      </c>
      <c r="X3611" s="13">
        <f t="shared" si="3888"/>
        <v>0</v>
      </c>
      <c r="Y3611" s="13">
        <f t="shared" si="3888"/>
        <v>0</v>
      </c>
      <c r="Z3611" s="13">
        <f t="shared" si="3023"/>
        <v>1</v>
      </c>
      <c r="AA3611" s="13"/>
      <c r="AB3611" s="13"/>
      <c r="AC3611" s="13"/>
      <c r="AD3611" s="13"/>
      <c r="AE3611" s="13"/>
      <c r="AF3611" s="13"/>
      <c r="AG3611" s="13"/>
      <c r="AH3611" s="13"/>
      <c r="AI3611" s="13"/>
      <c r="AJ3611" s="13"/>
      <c r="AK3611" s="13"/>
      <c r="AL3611" s="13"/>
      <c r="AM3611" s="13"/>
      <c r="AN3611" s="13"/>
      <c r="AO3611" s="13"/>
      <c r="AP3611" s="13"/>
      <c r="AQ3611" s="13"/>
      <c r="AR3611" s="13"/>
      <c r="AS3611" s="13"/>
    </row>
    <row r="3612" ht="14.25" customHeight="1">
      <c r="A3612" s="13" t="s">
        <v>36</v>
      </c>
      <c r="B3612" s="13" t="s">
        <v>39</v>
      </c>
      <c r="C3612" s="13" t="s">
        <v>566</v>
      </c>
      <c r="D3612" s="13" t="s">
        <v>186</v>
      </c>
      <c r="F3612" s="13"/>
      <c r="G3612" s="13" t="s">
        <v>74</v>
      </c>
      <c r="H3612" s="13" t="s">
        <v>75</v>
      </c>
      <c r="I3612" s="13"/>
      <c r="J3612" s="13"/>
      <c r="K3612" s="15">
        <v>1.0</v>
      </c>
      <c r="L3612" s="15">
        <v>1.0</v>
      </c>
      <c r="M3612" s="16"/>
      <c r="N3612" s="16"/>
      <c r="O3612" s="17"/>
      <c r="P3612" s="17"/>
      <c r="Q3612" s="13">
        <f t="shared" si="3886"/>
        <v>2</v>
      </c>
      <c r="R3612" s="13"/>
      <c r="S3612" s="13"/>
      <c r="T3612" s="13">
        <f t="shared" ref="T3612:Y3612" si="3889">IF(ISBLANK(K3612)=TRUE,0,1)</f>
        <v>1</v>
      </c>
      <c r="U3612" s="13">
        <f t="shared" si="3889"/>
        <v>1</v>
      </c>
      <c r="V3612" s="13">
        <f t="shared" si="3889"/>
        <v>0</v>
      </c>
      <c r="W3612" s="13">
        <f t="shared" si="3889"/>
        <v>0</v>
      </c>
      <c r="X3612" s="13">
        <f t="shared" si="3889"/>
        <v>0</v>
      </c>
      <c r="Y3612" s="13">
        <f t="shared" si="3889"/>
        <v>0</v>
      </c>
      <c r="Z3612" s="13">
        <f t="shared" si="3023"/>
        <v>1</v>
      </c>
      <c r="AA3612" s="13"/>
      <c r="AB3612" s="13"/>
      <c r="AC3612" s="13"/>
      <c r="AD3612" s="13"/>
      <c r="AE3612" s="13"/>
      <c r="AF3612" s="13"/>
      <c r="AG3612" s="13"/>
      <c r="AH3612" s="13"/>
      <c r="AI3612" s="13"/>
      <c r="AJ3612" s="13"/>
      <c r="AK3612" s="13"/>
      <c r="AL3612" s="13"/>
      <c r="AM3612" s="13"/>
      <c r="AN3612" s="13"/>
      <c r="AO3612" s="13"/>
      <c r="AP3612" s="13"/>
      <c r="AQ3612" s="13"/>
      <c r="AR3612" s="13"/>
      <c r="AS3612" s="13"/>
    </row>
    <row r="3613" ht="14.25" customHeight="1">
      <c r="A3613" s="13" t="s">
        <v>36</v>
      </c>
      <c r="B3613" s="13" t="s">
        <v>41</v>
      </c>
      <c r="C3613" s="13" t="s">
        <v>587</v>
      </c>
      <c r="D3613" s="13" t="s">
        <v>185</v>
      </c>
      <c r="F3613" s="13"/>
      <c r="G3613" s="13" t="s">
        <v>74</v>
      </c>
      <c r="H3613" s="13" t="s">
        <v>75</v>
      </c>
      <c r="I3613" s="13"/>
      <c r="J3613" s="13"/>
      <c r="K3613" s="15">
        <v>1.0</v>
      </c>
      <c r="L3613" s="15">
        <v>1.0</v>
      </c>
      <c r="M3613" s="16"/>
      <c r="N3613" s="16"/>
      <c r="O3613" s="17"/>
      <c r="P3613" s="17"/>
      <c r="Q3613" s="13">
        <f t="shared" si="3886"/>
        <v>2</v>
      </c>
      <c r="R3613" s="13"/>
      <c r="S3613" s="13"/>
      <c r="T3613" s="13">
        <f t="shared" ref="T3613:Y3613" si="3890">IF(ISBLANK(K3613)=TRUE,0,1)</f>
        <v>1</v>
      </c>
      <c r="U3613" s="13">
        <f t="shared" si="3890"/>
        <v>1</v>
      </c>
      <c r="V3613" s="13">
        <f t="shared" si="3890"/>
        <v>0</v>
      </c>
      <c r="W3613" s="13">
        <f t="shared" si="3890"/>
        <v>0</v>
      </c>
      <c r="X3613" s="13">
        <f t="shared" si="3890"/>
        <v>0</v>
      </c>
      <c r="Y3613" s="13">
        <f t="shared" si="3890"/>
        <v>0</v>
      </c>
      <c r="Z3613" s="13">
        <f t="shared" si="3023"/>
        <v>1</v>
      </c>
      <c r="AA3613" s="13"/>
      <c r="AB3613" s="13"/>
      <c r="AC3613" s="13"/>
      <c r="AD3613" s="13"/>
      <c r="AE3613" s="13"/>
      <c r="AF3613" s="13"/>
      <c r="AG3613" s="13"/>
      <c r="AH3613" s="13"/>
      <c r="AI3613" s="13"/>
      <c r="AJ3613" s="13"/>
      <c r="AK3613" s="13"/>
      <c r="AL3613" s="13"/>
      <c r="AM3613" s="13"/>
      <c r="AN3613" s="13"/>
      <c r="AO3613" s="13"/>
      <c r="AP3613" s="13"/>
      <c r="AQ3613" s="13"/>
      <c r="AR3613" s="13"/>
      <c r="AS3613" s="13"/>
    </row>
    <row r="3614" ht="14.25" customHeight="1">
      <c r="A3614" s="13" t="s">
        <v>36</v>
      </c>
      <c r="B3614" s="13" t="s">
        <v>41</v>
      </c>
      <c r="C3614" s="13" t="s">
        <v>587</v>
      </c>
      <c r="D3614" s="13" t="s">
        <v>186</v>
      </c>
      <c r="F3614" s="13"/>
      <c r="G3614" s="13" t="s">
        <v>74</v>
      </c>
      <c r="H3614" s="13" t="s">
        <v>75</v>
      </c>
      <c r="I3614" s="13"/>
      <c r="J3614" s="13"/>
      <c r="K3614" s="15">
        <v>1.0</v>
      </c>
      <c r="L3614" s="15">
        <v>1.0</v>
      </c>
      <c r="M3614" s="16"/>
      <c r="N3614" s="16"/>
      <c r="O3614" s="17"/>
      <c r="P3614" s="17"/>
      <c r="Q3614" s="13">
        <f t="shared" si="3886"/>
        <v>2</v>
      </c>
      <c r="R3614" s="13"/>
      <c r="S3614" s="13"/>
      <c r="T3614" s="13">
        <f t="shared" ref="T3614:Y3614" si="3891">IF(ISBLANK(K3614)=TRUE,0,1)</f>
        <v>1</v>
      </c>
      <c r="U3614" s="13">
        <f t="shared" si="3891"/>
        <v>1</v>
      </c>
      <c r="V3614" s="13">
        <f t="shared" si="3891"/>
        <v>0</v>
      </c>
      <c r="W3614" s="13">
        <f t="shared" si="3891"/>
        <v>0</v>
      </c>
      <c r="X3614" s="13">
        <f t="shared" si="3891"/>
        <v>0</v>
      </c>
      <c r="Y3614" s="13">
        <f t="shared" si="3891"/>
        <v>0</v>
      </c>
      <c r="Z3614" s="13">
        <f t="shared" si="3023"/>
        <v>1</v>
      </c>
      <c r="AA3614" s="13"/>
      <c r="AB3614" s="13"/>
      <c r="AC3614" s="13"/>
      <c r="AD3614" s="13"/>
      <c r="AE3614" s="13"/>
      <c r="AF3614" s="13"/>
      <c r="AG3614" s="13"/>
      <c r="AH3614" s="13"/>
      <c r="AI3614" s="13"/>
      <c r="AJ3614" s="13"/>
      <c r="AK3614" s="13"/>
      <c r="AL3614" s="13"/>
      <c r="AM3614" s="13"/>
      <c r="AN3614" s="13"/>
      <c r="AO3614" s="13"/>
      <c r="AP3614" s="13"/>
      <c r="AQ3614" s="13"/>
      <c r="AR3614" s="13"/>
      <c r="AS3614" s="13"/>
    </row>
    <row r="3615" ht="14.25" customHeight="1">
      <c r="A3615" s="13" t="s">
        <v>36</v>
      </c>
      <c r="B3615" s="13" t="s">
        <v>39</v>
      </c>
      <c r="C3615" s="13" t="s">
        <v>566</v>
      </c>
      <c r="D3615" s="13" t="s">
        <v>187</v>
      </c>
      <c r="F3615" s="13"/>
      <c r="G3615" s="13" t="s">
        <v>74</v>
      </c>
      <c r="H3615" s="13" t="s">
        <v>75</v>
      </c>
      <c r="I3615" s="13"/>
      <c r="J3615" s="13"/>
      <c r="K3615" s="15">
        <v>1.0</v>
      </c>
      <c r="L3615" s="15">
        <v>1.0</v>
      </c>
      <c r="M3615" s="16"/>
      <c r="N3615" s="16"/>
      <c r="O3615" s="17"/>
      <c r="P3615" s="17"/>
      <c r="Q3615" s="13">
        <f t="shared" si="3886"/>
        <v>2</v>
      </c>
      <c r="R3615" s="13"/>
      <c r="S3615" s="13"/>
      <c r="T3615" s="13">
        <f t="shared" ref="T3615:Y3615" si="3892">IF(ISBLANK(K3615)=TRUE,0,1)</f>
        <v>1</v>
      </c>
      <c r="U3615" s="13">
        <f t="shared" si="3892"/>
        <v>1</v>
      </c>
      <c r="V3615" s="13">
        <f t="shared" si="3892"/>
        <v>0</v>
      </c>
      <c r="W3615" s="13">
        <f t="shared" si="3892"/>
        <v>0</v>
      </c>
      <c r="X3615" s="13">
        <f t="shared" si="3892"/>
        <v>0</v>
      </c>
      <c r="Y3615" s="13">
        <f t="shared" si="3892"/>
        <v>0</v>
      </c>
      <c r="Z3615" s="13">
        <f t="shared" si="3023"/>
        <v>1</v>
      </c>
      <c r="AA3615" s="13"/>
      <c r="AB3615" s="13"/>
      <c r="AC3615" s="13"/>
      <c r="AD3615" s="13"/>
      <c r="AE3615" s="13"/>
      <c r="AF3615" s="13"/>
      <c r="AG3615" s="13"/>
      <c r="AH3615" s="13"/>
      <c r="AI3615" s="13"/>
      <c r="AJ3615" s="13"/>
      <c r="AK3615" s="13"/>
      <c r="AL3615" s="13"/>
      <c r="AM3615" s="13"/>
      <c r="AN3615" s="13"/>
      <c r="AO3615" s="13"/>
      <c r="AP3615" s="13"/>
      <c r="AQ3615" s="13"/>
      <c r="AR3615" s="13"/>
      <c r="AS3615" s="13"/>
    </row>
    <row r="3616" ht="14.25" customHeight="1">
      <c r="A3616" s="13" t="s">
        <v>36</v>
      </c>
      <c r="B3616" s="13" t="s">
        <v>39</v>
      </c>
      <c r="C3616" s="13" t="s">
        <v>566</v>
      </c>
      <c r="D3616" s="13" t="s">
        <v>188</v>
      </c>
      <c r="F3616" s="13"/>
      <c r="G3616" s="13" t="s">
        <v>74</v>
      </c>
      <c r="H3616" s="13" t="s">
        <v>75</v>
      </c>
      <c r="I3616" s="13"/>
      <c r="J3616" s="13"/>
      <c r="K3616" s="15">
        <v>1.0</v>
      </c>
      <c r="L3616" s="15">
        <v>1.0</v>
      </c>
      <c r="M3616" s="16"/>
      <c r="N3616" s="16"/>
      <c r="O3616" s="17"/>
      <c r="P3616" s="17"/>
      <c r="Q3616" s="13">
        <f t="shared" si="3886"/>
        <v>2</v>
      </c>
      <c r="R3616" s="13"/>
      <c r="S3616" s="13"/>
      <c r="T3616" s="13">
        <f t="shared" ref="T3616:Y3616" si="3893">IF(ISBLANK(K3616)=TRUE,0,1)</f>
        <v>1</v>
      </c>
      <c r="U3616" s="13">
        <f t="shared" si="3893"/>
        <v>1</v>
      </c>
      <c r="V3616" s="13">
        <f t="shared" si="3893"/>
        <v>0</v>
      </c>
      <c r="W3616" s="13">
        <f t="shared" si="3893"/>
        <v>0</v>
      </c>
      <c r="X3616" s="13">
        <f t="shared" si="3893"/>
        <v>0</v>
      </c>
      <c r="Y3616" s="13">
        <f t="shared" si="3893"/>
        <v>0</v>
      </c>
      <c r="Z3616" s="13">
        <f t="shared" si="3023"/>
        <v>1</v>
      </c>
      <c r="AA3616" s="13"/>
      <c r="AB3616" s="13"/>
      <c r="AC3616" s="13"/>
      <c r="AD3616" s="13"/>
      <c r="AE3616" s="13"/>
      <c r="AF3616" s="13"/>
      <c r="AG3616" s="13"/>
      <c r="AH3616" s="13"/>
      <c r="AI3616" s="13"/>
      <c r="AJ3616" s="13"/>
      <c r="AK3616" s="13"/>
      <c r="AL3616" s="13"/>
      <c r="AM3616" s="13"/>
      <c r="AN3616" s="13"/>
      <c r="AO3616" s="13"/>
      <c r="AP3616" s="13"/>
      <c r="AQ3616" s="13"/>
      <c r="AR3616" s="13"/>
      <c r="AS3616" s="13"/>
    </row>
    <row r="3617" ht="14.25" customHeight="1">
      <c r="A3617" s="13" t="s">
        <v>36</v>
      </c>
      <c r="B3617" s="13" t="s">
        <v>39</v>
      </c>
      <c r="C3617" s="13" t="s">
        <v>566</v>
      </c>
      <c r="D3617" s="13" t="s">
        <v>189</v>
      </c>
      <c r="F3617" s="13"/>
      <c r="G3617" s="13" t="s">
        <v>74</v>
      </c>
      <c r="H3617" s="13" t="s">
        <v>75</v>
      </c>
      <c r="I3617" s="13"/>
      <c r="J3617" s="13"/>
      <c r="K3617" s="15">
        <v>1.0</v>
      </c>
      <c r="L3617" s="15">
        <v>1.0</v>
      </c>
      <c r="M3617" s="16"/>
      <c r="N3617" s="16"/>
      <c r="O3617" s="17"/>
      <c r="P3617" s="17"/>
      <c r="Q3617" s="13">
        <f t="shared" si="3886"/>
        <v>2</v>
      </c>
      <c r="R3617" s="13"/>
      <c r="S3617" s="13"/>
      <c r="T3617" s="13">
        <f t="shared" ref="T3617:Y3617" si="3894">IF(ISBLANK(K3617)=TRUE,0,1)</f>
        <v>1</v>
      </c>
      <c r="U3617" s="13">
        <f t="shared" si="3894"/>
        <v>1</v>
      </c>
      <c r="V3617" s="13">
        <f t="shared" si="3894"/>
        <v>0</v>
      </c>
      <c r="W3617" s="13">
        <f t="shared" si="3894"/>
        <v>0</v>
      </c>
      <c r="X3617" s="13">
        <f t="shared" si="3894"/>
        <v>0</v>
      </c>
      <c r="Y3617" s="13">
        <f t="shared" si="3894"/>
        <v>0</v>
      </c>
      <c r="Z3617" s="13">
        <f t="shared" si="3023"/>
        <v>1</v>
      </c>
      <c r="AA3617" s="13"/>
      <c r="AB3617" s="13"/>
      <c r="AC3617" s="13"/>
      <c r="AD3617" s="13"/>
      <c r="AE3617" s="13"/>
      <c r="AF3617" s="13"/>
      <c r="AG3617" s="13"/>
      <c r="AH3617" s="13"/>
      <c r="AI3617" s="13"/>
      <c r="AJ3617" s="13"/>
      <c r="AK3617" s="13"/>
      <c r="AL3617" s="13"/>
      <c r="AM3617" s="13"/>
      <c r="AN3617" s="13"/>
      <c r="AO3617" s="13"/>
      <c r="AP3617" s="13"/>
      <c r="AQ3617" s="13"/>
      <c r="AR3617" s="13"/>
      <c r="AS3617" s="13"/>
    </row>
    <row r="3618" ht="14.25" customHeight="1">
      <c r="A3618" s="13" t="s">
        <v>36</v>
      </c>
      <c r="B3618" s="13" t="s">
        <v>41</v>
      </c>
      <c r="C3618" s="13" t="s">
        <v>587</v>
      </c>
      <c r="D3618" s="13" t="s">
        <v>187</v>
      </c>
      <c r="F3618" s="13"/>
      <c r="G3618" s="13" t="s">
        <v>74</v>
      </c>
      <c r="H3618" s="13" t="s">
        <v>75</v>
      </c>
      <c r="I3618" s="13"/>
      <c r="J3618" s="13"/>
      <c r="K3618" s="15">
        <v>1.0</v>
      </c>
      <c r="L3618" s="15">
        <v>1.0</v>
      </c>
      <c r="M3618" s="16"/>
      <c r="N3618" s="16"/>
      <c r="O3618" s="17"/>
      <c r="P3618" s="17"/>
      <c r="Q3618" s="13">
        <f t="shared" si="3886"/>
        <v>2</v>
      </c>
      <c r="R3618" s="13"/>
      <c r="S3618" s="13"/>
      <c r="T3618" s="13">
        <f t="shared" ref="T3618:Y3618" si="3895">IF(ISBLANK(K3618)=TRUE,0,1)</f>
        <v>1</v>
      </c>
      <c r="U3618" s="13">
        <f t="shared" si="3895"/>
        <v>1</v>
      </c>
      <c r="V3618" s="13">
        <f t="shared" si="3895"/>
        <v>0</v>
      </c>
      <c r="W3618" s="13">
        <f t="shared" si="3895"/>
        <v>0</v>
      </c>
      <c r="X3618" s="13">
        <f t="shared" si="3895"/>
        <v>0</v>
      </c>
      <c r="Y3618" s="13">
        <f t="shared" si="3895"/>
        <v>0</v>
      </c>
      <c r="Z3618" s="13">
        <f t="shared" si="3023"/>
        <v>1</v>
      </c>
      <c r="AA3618" s="13"/>
      <c r="AB3618" s="13"/>
      <c r="AC3618" s="13"/>
      <c r="AD3618" s="13"/>
      <c r="AE3618" s="13"/>
      <c r="AF3618" s="13"/>
      <c r="AG3618" s="13"/>
      <c r="AH3618" s="13"/>
      <c r="AI3618" s="13"/>
      <c r="AJ3618" s="13"/>
      <c r="AK3618" s="13"/>
      <c r="AL3618" s="13"/>
      <c r="AM3618" s="13"/>
      <c r="AN3618" s="13"/>
      <c r="AO3618" s="13"/>
      <c r="AP3618" s="13"/>
      <c r="AQ3618" s="13"/>
      <c r="AR3618" s="13"/>
      <c r="AS3618" s="13"/>
    </row>
    <row r="3619" ht="14.25" customHeight="1">
      <c r="A3619" s="13" t="s">
        <v>36</v>
      </c>
      <c r="B3619" s="13" t="s">
        <v>41</v>
      </c>
      <c r="C3619" s="13" t="s">
        <v>587</v>
      </c>
      <c r="D3619" s="13" t="s">
        <v>188</v>
      </c>
      <c r="F3619" s="13"/>
      <c r="G3619" s="13" t="s">
        <v>74</v>
      </c>
      <c r="H3619" s="13" t="s">
        <v>75</v>
      </c>
      <c r="I3619" s="13"/>
      <c r="J3619" s="13"/>
      <c r="K3619" s="15">
        <v>1.0</v>
      </c>
      <c r="L3619" s="15">
        <v>1.0</v>
      </c>
      <c r="M3619" s="16"/>
      <c r="N3619" s="16"/>
      <c r="O3619" s="17"/>
      <c r="P3619" s="17"/>
      <c r="Q3619" s="13">
        <f t="shared" si="3886"/>
        <v>2</v>
      </c>
      <c r="R3619" s="13"/>
      <c r="S3619" s="13"/>
      <c r="T3619" s="13">
        <f t="shared" ref="T3619:Y3619" si="3896">IF(ISBLANK(K3619)=TRUE,0,1)</f>
        <v>1</v>
      </c>
      <c r="U3619" s="13">
        <f t="shared" si="3896"/>
        <v>1</v>
      </c>
      <c r="V3619" s="13">
        <f t="shared" si="3896"/>
        <v>0</v>
      </c>
      <c r="W3619" s="13">
        <f t="shared" si="3896"/>
        <v>0</v>
      </c>
      <c r="X3619" s="13">
        <f t="shared" si="3896"/>
        <v>0</v>
      </c>
      <c r="Y3619" s="13">
        <f t="shared" si="3896"/>
        <v>0</v>
      </c>
      <c r="Z3619" s="13">
        <f t="shared" si="3023"/>
        <v>1</v>
      </c>
      <c r="AA3619" s="13"/>
      <c r="AB3619" s="13"/>
      <c r="AC3619" s="13"/>
      <c r="AD3619" s="13"/>
      <c r="AE3619" s="13"/>
      <c r="AF3619" s="13"/>
      <c r="AG3619" s="13"/>
      <c r="AH3619" s="13"/>
      <c r="AI3619" s="13"/>
      <c r="AJ3619" s="13"/>
      <c r="AK3619" s="13"/>
      <c r="AL3619" s="13"/>
      <c r="AM3619" s="13"/>
      <c r="AN3619" s="13"/>
      <c r="AO3619" s="13"/>
      <c r="AP3619" s="13"/>
      <c r="AQ3619" s="13"/>
      <c r="AR3619" s="13"/>
      <c r="AS3619" s="13"/>
    </row>
    <row r="3620" ht="14.25" customHeight="1">
      <c r="A3620" s="13" t="s">
        <v>36</v>
      </c>
      <c r="B3620" s="13" t="s">
        <v>41</v>
      </c>
      <c r="C3620" s="13" t="s">
        <v>587</v>
      </c>
      <c r="D3620" s="13" t="s">
        <v>189</v>
      </c>
      <c r="F3620" s="13"/>
      <c r="G3620" s="13" t="s">
        <v>74</v>
      </c>
      <c r="H3620" s="13" t="s">
        <v>75</v>
      </c>
      <c r="I3620" s="13"/>
      <c r="J3620" s="13"/>
      <c r="K3620" s="15">
        <v>1.0</v>
      </c>
      <c r="L3620" s="15">
        <v>1.0</v>
      </c>
      <c r="M3620" s="16"/>
      <c r="N3620" s="16"/>
      <c r="O3620" s="17"/>
      <c r="P3620" s="17"/>
      <c r="Q3620" s="13">
        <f t="shared" si="3886"/>
        <v>2</v>
      </c>
      <c r="R3620" s="13"/>
      <c r="S3620" s="13"/>
      <c r="T3620" s="13">
        <f t="shared" ref="T3620:Y3620" si="3897">IF(ISBLANK(K3620)=TRUE,0,1)</f>
        <v>1</v>
      </c>
      <c r="U3620" s="13">
        <f t="shared" si="3897"/>
        <v>1</v>
      </c>
      <c r="V3620" s="13">
        <f t="shared" si="3897"/>
        <v>0</v>
      </c>
      <c r="W3620" s="13">
        <f t="shared" si="3897"/>
        <v>0</v>
      </c>
      <c r="X3620" s="13">
        <f t="shared" si="3897"/>
        <v>0</v>
      </c>
      <c r="Y3620" s="13">
        <f t="shared" si="3897"/>
        <v>0</v>
      </c>
      <c r="Z3620" s="13">
        <f t="shared" si="3023"/>
        <v>1</v>
      </c>
      <c r="AA3620" s="13"/>
      <c r="AB3620" s="13"/>
      <c r="AC3620" s="13"/>
      <c r="AD3620" s="13"/>
      <c r="AE3620" s="13"/>
      <c r="AF3620" s="13"/>
      <c r="AG3620" s="13"/>
      <c r="AH3620" s="13"/>
      <c r="AI3620" s="13"/>
      <c r="AJ3620" s="13"/>
      <c r="AK3620" s="13"/>
      <c r="AL3620" s="13"/>
      <c r="AM3620" s="13"/>
      <c r="AN3620" s="13"/>
      <c r="AO3620" s="13"/>
      <c r="AP3620" s="13"/>
      <c r="AQ3620" s="13"/>
      <c r="AR3620" s="13"/>
      <c r="AS3620" s="13"/>
    </row>
    <row r="3621" ht="14.25" customHeight="1">
      <c r="A3621" s="13" t="s">
        <v>36</v>
      </c>
      <c r="B3621" s="13" t="s">
        <v>39</v>
      </c>
      <c r="C3621" s="13" t="s">
        <v>566</v>
      </c>
      <c r="D3621" s="13" t="s">
        <v>190</v>
      </c>
      <c r="F3621" s="13"/>
      <c r="G3621" s="13" t="s">
        <v>74</v>
      </c>
      <c r="H3621" s="13" t="s">
        <v>75</v>
      </c>
      <c r="I3621" s="13"/>
      <c r="J3621" s="13"/>
      <c r="K3621" s="15">
        <v>1.0</v>
      </c>
      <c r="L3621" s="15">
        <v>1.0</v>
      </c>
      <c r="M3621" s="16"/>
      <c r="N3621" s="16"/>
      <c r="O3621" s="17"/>
      <c r="P3621" s="17"/>
      <c r="Q3621" s="13">
        <f t="shared" si="3886"/>
        <v>2</v>
      </c>
      <c r="R3621" s="13"/>
      <c r="S3621" s="13"/>
      <c r="T3621" s="13">
        <f t="shared" ref="T3621:Y3621" si="3898">IF(ISBLANK(K3621)=TRUE,0,1)</f>
        <v>1</v>
      </c>
      <c r="U3621" s="13">
        <f t="shared" si="3898"/>
        <v>1</v>
      </c>
      <c r="V3621" s="13">
        <f t="shared" si="3898"/>
        <v>0</v>
      </c>
      <c r="W3621" s="13">
        <f t="shared" si="3898"/>
        <v>0</v>
      </c>
      <c r="X3621" s="13">
        <f t="shared" si="3898"/>
        <v>0</v>
      </c>
      <c r="Y3621" s="13">
        <f t="shared" si="3898"/>
        <v>0</v>
      </c>
      <c r="Z3621" s="13">
        <f t="shared" si="3023"/>
        <v>1</v>
      </c>
      <c r="AA3621" s="13"/>
      <c r="AB3621" s="13"/>
      <c r="AC3621" s="13"/>
      <c r="AD3621" s="13"/>
      <c r="AE3621" s="13"/>
      <c r="AF3621" s="13"/>
      <c r="AG3621" s="13"/>
      <c r="AH3621" s="13"/>
      <c r="AI3621" s="13"/>
      <c r="AJ3621" s="13"/>
      <c r="AK3621" s="13"/>
      <c r="AL3621" s="13"/>
      <c r="AM3621" s="13"/>
      <c r="AN3621" s="13"/>
      <c r="AO3621" s="13"/>
      <c r="AP3621" s="13"/>
      <c r="AQ3621" s="13"/>
      <c r="AR3621" s="13"/>
      <c r="AS3621" s="13"/>
    </row>
    <row r="3622" ht="14.25" customHeight="1">
      <c r="A3622" s="13" t="s">
        <v>36</v>
      </c>
      <c r="B3622" s="13" t="s">
        <v>41</v>
      </c>
      <c r="C3622" s="13" t="s">
        <v>587</v>
      </c>
      <c r="D3622" s="13" t="s">
        <v>190</v>
      </c>
      <c r="F3622" s="13"/>
      <c r="G3622" s="13" t="s">
        <v>74</v>
      </c>
      <c r="H3622" s="13" t="s">
        <v>75</v>
      </c>
      <c r="I3622" s="13"/>
      <c r="J3622" s="13"/>
      <c r="K3622" s="15">
        <v>1.0</v>
      </c>
      <c r="L3622" s="15">
        <v>1.0</v>
      </c>
      <c r="M3622" s="16"/>
      <c r="N3622" s="16"/>
      <c r="O3622" s="17"/>
      <c r="P3622" s="17"/>
      <c r="Q3622" s="13">
        <f t="shared" si="3886"/>
        <v>2</v>
      </c>
      <c r="R3622" s="13"/>
      <c r="S3622" s="13"/>
      <c r="T3622" s="13">
        <f t="shared" ref="T3622:Y3622" si="3899">IF(ISBLANK(K3622)=TRUE,0,1)</f>
        <v>1</v>
      </c>
      <c r="U3622" s="13">
        <f t="shared" si="3899"/>
        <v>1</v>
      </c>
      <c r="V3622" s="13">
        <f t="shared" si="3899"/>
        <v>0</v>
      </c>
      <c r="W3622" s="13">
        <f t="shared" si="3899"/>
        <v>0</v>
      </c>
      <c r="X3622" s="13">
        <f t="shared" si="3899"/>
        <v>0</v>
      </c>
      <c r="Y3622" s="13">
        <f t="shared" si="3899"/>
        <v>0</v>
      </c>
      <c r="Z3622" s="13">
        <f t="shared" si="3023"/>
        <v>1</v>
      </c>
      <c r="AA3622" s="13"/>
      <c r="AB3622" s="13"/>
      <c r="AC3622" s="13"/>
      <c r="AD3622" s="13"/>
      <c r="AE3622" s="13"/>
      <c r="AF3622" s="13"/>
      <c r="AG3622" s="13"/>
      <c r="AH3622" s="13"/>
      <c r="AI3622" s="13"/>
      <c r="AJ3622" s="13"/>
      <c r="AK3622" s="13"/>
      <c r="AL3622" s="13"/>
      <c r="AM3622" s="13"/>
      <c r="AN3622" s="13"/>
      <c r="AO3622" s="13"/>
      <c r="AP3622" s="13"/>
      <c r="AQ3622" s="13"/>
      <c r="AR3622" s="13"/>
      <c r="AS3622" s="13"/>
    </row>
    <row r="3623" ht="14.25" customHeight="1">
      <c r="A3623" s="13" t="s">
        <v>36</v>
      </c>
      <c r="B3623" s="13" t="s">
        <v>41</v>
      </c>
      <c r="C3623" s="13" t="s">
        <v>587</v>
      </c>
      <c r="D3623" s="13" t="s">
        <v>191</v>
      </c>
      <c r="F3623" s="13"/>
      <c r="G3623" s="13" t="s">
        <v>74</v>
      </c>
      <c r="H3623" s="13" t="s">
        <v>75</v>
      </c>
      <c r="I3623" s="13"/>
      <c r="J3623" s="13"/>
      <c r="K3623" s="15">
        <v>1.0</v>
      </c>
      <c r="L3623" s="15">
        <v>1.0</v>
      </c>
      <c r="M3623" s="16"/>
      <c r="N3623" s="16"/>
      <c r="O3623" s="17"/>
      <c r="P3623" s="17"/>
      <c r="Q3623" s="13">
        <f t="shared" si="3886"/>
        <v>2</v>
      </c>
      <c r="R3623" s="13"/>
      <c r="S3623" s="13"/>
      <c r="T3623" s="13">
        <f t="shared" ref="T3623:Y3623" si="3900">IF(ISBLANK(K3623)=TRUE,0,1)</f>
        <v>1</v>
      </c>
      <c r="U3623" s="13">
        <f t="shared" si="3900"/>
        <v>1</v>
      </c>
      <c r="V3623" s="13">
        <f t="shared" si="3900"/>
        <v>0</v>
      </c>
      <c r="W3623" s="13">
        <f t="shared" si="3900"/>
        <v>0</v>
      </c>
      <c r="X3623" s="13">
        <f t="shared" si="3900"/>
        <v>0</v>
      </c>
      <c r="Y3623" s="13">
        <f t="shared" si="3900"/>
        <v>0</v>
      </c>
      <c r="Z3623" s="13">
        <f t="shared" si="3023"/>
        <v>1</v>
      </c>
      <c r="AA3623" s="13"/>
      <c r="AB3623" s="13"/>
      <c r="AC3623" s="13"/>
      <c r="AD3623" s="13"/>
      <c r="AE3623" s="13"/>
      <c r="AF3623" s="13"/>
      <c r="AG3623" s="13"/>
      <c r="AH3623" s="13"/>
      <c r="AI3623" s="13"/>
      <c r="AJ3623" s="13"/>
      <c r="AK3623" s="13"/>
      <c r="AL3623" s="13"/>
      <c r="AM3623" s="13"/>
      <c r="AN3623" s="13"/>
      <c r="AO3623" s="13"/>
      <c r="AP3623" s="13"/>
      <c r="AQ3623" s="13"/>
      <c r="AR3623" s="13"/>
      <c r="AS3623" s="13"/>
    </row>
    <row r="3624" ht="14.25" customHeight="1">
      <c r="A3624" s="13" t="s">
        <v>36</v>
      </c>
      <c r="B3624" s="13" t="s">
        <v>42</v>
      </c>
      <c r="C3624" s="13">
        <v>1328.0</v>
      </c>
      <c r="D3624" s="13" t="s">
        <v>174</v>
      </c>
      <c r="F3624" s="13"/>
      <c r="G3624" s="13" t="s">
        <v>111</v>
      </c>
      <c r="H3624" s="13" t="s">
        <v>75</v>
      </c>
      <c r="I3624" s="13"/>
      <c r="J3624" s="13"/>
      <c r="K3624" s="15">
        <v>0.0</v>
      </c>
      <c r="L3624" s="15">
        <v>0.0</v>
      </c>
      <c r="M3624" s="16"/>
      <c r="N3624" s="16"/>
      <c r="O3624" s="17"/>
      <c r="P3624" s="17"/>
      <c r="Q3624" s="13">
        <f t="shared" si="3886"/>
        <v>2</v>
      </c>
      <c r="R3624" s="13"/>
      <c r="S3624" s="13"/>
      <c r="T3624" s="13">
        <f t="shared" ref="T3624:Y3624" si="3901">IF(ISBLANK(K3624)=TRUE,0,1)</f>
        <v>1</v>
      </c>
      <c r="U3624" s="13">
        <f t="shared" si="3901"/>
        <v>1</v>
      </c>
      <c r="V3624" s="13">
        <f t="shared" si="3901"/>
        <v>0</v>
      </c>
      <c r="W3624" s="13">
        <f t="shared" si="3901"/>
        <v>0</v>
      </c>
      <c r="X3624" s="13">
        <f t="shared" si="3901"/>
        <v>0</v>
      </c>
      <c r="Y3624" s="13">
        <f t="shared" si="3901"/>
        <v>0</v>
      </c>
      <c r="Z3624" s="13">
        <f t="shared" si="3023"/>
        <v>0</v>
      </c>
      <c r="AA3624" s="13"/>
      <c r="AB3624" s="13"/>
      <c r="AC3624" s="13"/>
      <c r="AD3624" s="13"/>
      <c r="AE3624" s="13"/>
      <c r="AF3624" s="13"/>
      <c r="AG3624" s="13"/>
      <c r="AH3624" s="13"/>
      <c r="AI3624" s="13"/>
      <c r="AJ3624" s="13"/>
      <c r="AK3624" s="13"/>
      <c r="AL3624" s="13"/>
      <c r="AM3624" s="13"/>
      <c r="AN3624" s="13"/>
      <c r="AO3624" s="13"/>
      <c r="AP3624" s="13"/>
      <c r="AQ3624" s="13"/>
      <c r="AR3624" s="13"/>
      <c r="AS3624" s="13"/>
    </row>
    <row r="3625" ht="14.25" customHeight="1">
      <c r="A3625" s="13" t="s">
        <v>36</v>
      </c>
      <c r="B3625" s="13" t="s">
        <v>39</v>
      </c>
      <c r="C3625" s="13" t="s">
        <v>566</v>
      </c>
      <c r="D3625" s="13" t="s">
        <v>191</v>
      </c>
      <c r="F3625" s="13"/>
      <c r="G3625" s="13" t="s">
        <v>74</v>
      </c>
      <c r="H3625" s="13" t="s">
        <v>75</v>
      </c>
      <c r="I3625" s="13"/>
      <c r="J3625" s="13"/>
      <c r="K3625" s="15">
        <v>1.0</v>
      </c>
      <c r="L3625" s="15">
        <v>1.0</v>
      </c>
      <c r="M3625" s="16"/>
      <c r="N3625" s="16"/>
      <c r="O3625" s="17"/>
      <c r="P3625" s="17"/>
      <c r="Q3625" s="13">
        <f t="shared" si="3886"/>
        <v>0</v>
      </c>
      <c r="R3625" s="13"/>
      <c r="S3625" s="13"/>
      <c r="T3625" s="13">
        <f t="shared" ref="T3625:Y3625" si="3902">IF(ISBLANK(K3625)=TRUE,0,1)</f>
        <v>1</v>
      </c>
      <c r="U3625" s="13">
        <f t="shared" si="3902"/>
        <v>1</v>
      </c>
      <c r="V3625" s="13">
        <f t="shared" si="3902"/>
        <v>0</v>
      </c>
      <c r="W3625" s="13">
        <f t="shared" si="3902"/>
        <v>0</v>
      </c>
      <c r="X3625" s="13">
        <f t="shared" si="3902"/>
        <v>0</v>
      </c>
      <c r="Y3625" s="13">
        <f t="shared" si="3902"/>
        <v>0</v>
      </c>
      <c r="Z3625" s="13">
        <f t="shared" si="3023"/>
        <v>1</v>
      </c>
      <c r="AA3625" s="13"/>
      <c r="AB3625" s="13"/>
      <c r="AC3625" s="13"/>
      <c r="AD3625" s="13"/>
      <c r="AE3625" s="13"/>
      <c r="AF3625" s="13"/>
      <c r="AG3625" s="13"/>
      <c r="AH3625" s="13"/>
      <c r="AI3625" s="13"/>
      <c r="AJ3625" s="13"/>
      <c r="AK3625" s="13"/>
      <c r="AL3625" s="13"/>
      <c r="AM3625" s="13"/>
      <c r="AN3625" s="13"/>
      <c r="AO3625" s="13"/>
      <c r="AP3625" s="13"/>
      <c r="AQ3625" s="13"/>
      <c r="AR3625" s="13"/>
      <c r="AS3625" s="13"/>
    </row>
    <row r="3626" ht="14.25" customHeight="1">
      <c r="A3626" s="13" t="s">
        <v>36</v>
      </c>
      <c r="B3626" s="13" t="s">
        <v>39</v>
      </c>
      <c r="C3626" s="13" t="s">
        <v>566</v>
      </c>
      <c r="D3626" s="13" t="s">
        <v>192</v>
      </c>
      <c r="F3626" s="13"/>
      <c r="G3626" s="13" t="s">
        <v>74</v>
      </c>
      <c r="H3626" s="13" t="s">
        <v>75</v>
      </c>
      <c r="I3626" s="13"/>
      <c r="J3626" s="13"/>
      <c r="K3626" s="15">
        <v>1.0</v>
      </c>
      <c r="L3626" s="15">
        <v>1.0</v>
      </c>
      <c r="M3626" s="16"/>
      <c r="N3626" s="16"/>
      <c r="O3626" s="17"/>
      <c r="P3626" s="17"/>
      <c r="Q3626" s="13">
        <f t="shared" si="3886"/>
        <v>2</v>
      </c>
      <c r="R3626" s="13"/>
      <c r="S3626" s="13"/>
      <c r="T3626" s="13">
        <f t="shared" ref="T3626:Y3626" si="3903">IF(ISBLANK(K3626)=TRUE,0,1)</f>
        <v>1</v>
      </c>
      <c r="U3626" s="13">
        <f t="shared" si="3903"/>
        <v>1</v>
      </c>
      <c r="V3626" s="13">
        <f t="shared" si="3903"/>
        <v>0</v>
      </c>
      <c r="W3626" s="13">
        <f t="shared" si="3903"/>
        <v>0</v>
      </c>
      <c r="X3626" s="13">
        <f t="shared" si="3903"/>
        <v>0</v>
      </c>
      <c r="Y3626" s="13">
        <f t="shared" si="3903"/>
        <v>0</v>
      </c>
      <c r="Z3626" s="13">
        <f t="shared" si="3023"/>
        <v>1</v>
      </c>
      <c r="AA3626" s="13"/>
      <c r="AB3626" s="13"/>
      <c r="AC3626" s="13"/>
      <c r="AD3626" s="13"/>
      <c r="AE3626" s="13"/>
      <c r="AF3626" s="13"/>
      <c r="AG3626" s="13"/>
      <c r="AH3626" s="13"/>
      <c r="AI3626" s="13"/>
      <c r="AJ3626" s="13"/>
      <c r="AK3626" s="13"/>
      <c r="AL3626" s="13"/>
      <c r="AM3626" s="13"/>
      <c r="AN3626" s="13"/>
      <c r="AO3626" s="13"/>
      <c r="AP3626" s="13"/>
      <c r="AQ3626" s="13"/>
      <c r="AR3626" s="13"/>
      <c r="AS3626" s="13"/>
    </row>
    <row r="3627" ht="14.25" customHeight="1">
      <c r="A3627" s="13" t="s">
        <v>36</v>
      </c>
      <c r="B3627" s="13" t="s">
        <v>41</v>
      </c>
      <c r="C3627" s="13" t="s">
        <v>587</v>
      </c>
      <c r="D3627" s="13" t="s">
        <v>192</v>
      </c>
      <c r="F3627" s="13"/>
      <c r="G3627" s="13" t="s">
        <v>74</v>
      </c>
      <c r="H3627" s="13" t="s">
        <v>75</v>
      </c>
      <c r="I3627" s="13"/>
      <c r="J3627" s="13"/>
      <c r="K3627" s="15">
        <v>1.0</v>
      </c>
      <c r="L3627" s="15">
        <v>1.0</v>
      </c>
      <c r="M3627" s="16"/>
      <c r="N3627" s="16"/>
      <c r="O3627" s="17"/>
      <c r="P3627" s="17"/>
      <c r="Q3627" s="13">
        <f t="shared" si="3886"/>
        <v>2</v>
      </c>
      <c r="R3627" s="13"/>
      <c r="S3627" s="13"/>
      <c r="T3627" s="13">
        <f t="shared" ref="T3627:Y3627" si="3904">IF(ISBLANK(K3627)=TRUE,0,1)</f>
        <v>1</v>
      </c>
      <c r="U3627" s="13">
        <f t="shared" si="3904"/>
        <v>1</v>
      </c>
      <c r="V3627" s="13">
        <f t="shared" si="3904"/>
        <v>0</v>
      </c>
      <c r="W3627" s="13">
        <f t="shared" si="3904"/>
        <v>0</v>
      </c>
      <c r="X3627" s="13">
        <f t="shared" si="3904"/>
        <v>0</v>
      </c>
      <c r="Y3627" s="13">
        <f t="shared" si="3904"/>
        <v>0</v>
      </c>
      <c r="Z3627" s="13">
        <f t="shared" si="3023"/>
        <v>1</v>
      </c>
      <c r="AA3627" s="13"/>
      <c r="AB3627" s="13"/>
      <c r="AC3627" s="13"/>
      <c r="AD3627" s="13"/>
      <c r="AE3627" s="13"/>
      <c r="AF3627" s="13"/>
      <c r="AG3627" s="13"/>
      <c r="AH3627" s="13"/>
      <c r="AI3627" s="13"/>
      <c r="AJ3627" s="13"/>
      <c r="AK3627" s="13"/>
      <c r="AL3627" s="13"/>
      <c r="AM3627" s="13"/>
      <c r="AN3627" s="13"/>
      <c r="AO3627" s="13"/>
      <c r="AP3627" s="13"/>
      <c r="AQ3627" s="13"/>
      <c r="AR3627" s="13"/>
      <c r="AS3627" s="13"/>
    </row>
    <row r="3628" ht="14.25" customHeight="1">
      <c r="A3628" s="13" t="s">
        <v>36</v>
      </c>
      <c r="B3628" s="13" t="s">
        <v>41</v>
      </c>
      <c r="C3628" s="13" t="s">
        <v>587</v>
      </c>
      <c r="D3628" s="13" t="s">
        <v>193</v>
      </c>
      <c r="F3628" s="13"/>
      <c r="G3628" s="13" t="s">
        <v>74</v>
      </c>
      <c r="H3628" s="13" t="s">
        <v>75</v>
      </c>
      <c r="I3628" s="13"/>
      <c r="J3628" s="13"/>
      <c r="K3628" s="15">
        <v>1.0</v>
      </c>
      <c r="L3628" s="15">
        <v>1.0</v>
      </c>
      <c r="M3628" s="16"/>
      <c r="N3628" s="16"/>
      <c r="O3628" s="17"/>
      <c r="P3628" s="17"/>
      <c r="Q3628" s="13">
        <f t="shared" si="3886"/>
        <v>2</v>
      </c>
      <c r="R3628" s="13"/>
      <c r="S3628" s="13"/>
      <c r="T3628" s="13">
        <f t="shared" ref="T3628:Y3628" si="3905">IF(ISBLANK(K3628)=TRUE,0,1)</f>
        <v>1</v>
      </c>
      <c r="U3628" s="13">
        <f t="shared" si="3905"/>
        <v>1</v>
      </c>
      <c r="V3628" s="13">
        <f t="shared" si="3905"/>
        <v>0</v>
      </c>
      <c r="W3628" s="13">
        <f t="shared" si="3905"/>
        <v>0</v>
      </c>
      <c r="X3628" s="13">
        <f t="shared" si="3905"/>
        <v>0</v>
      </c>
      <c r="Y3628" s="13">
        <f t="shared" si="3905"/>
        <v>0</v>
      </c>
      <c r="Z3628" s="13">
        <f t="shared" si="3023"/>
        <v>1</v>
      </c>
      <c r="AA3628" s="13"/>
      <c r="AB3628" s="13"/>
      <c r="AC3628" s="13"/>
      <c r="AD3628" s="13"/>
      <c r="AE3628" s="13"/>
      <c r="AF3628" s="13"/>
      <c r="AG3628" s="13"/>
      <c r="AH3628" s="13"/>
      <c r="AI3628" s="13"/>
      <c r="AJ3628" s="13"/>
      <c r="AK3628" s="13"/>
      <c r="AL3628" s="13"/>
      <c r="AM3628" s="13"/>
      <c r="AN3628" s="13"/>
      <c r="AO3628" s="13"/>
      <c r="AP3628" s="13"/>
      <c r="AQ3628" s="13"/>
      <c r="AR3628" s="13"/>
      <c r="AS3628" s="13"/>
    </row>
    <row r="3629" ht="14.25" customHeight="1">
      <c r="A3629" s="13" t="s">
        <v>36</v>
      </c>
      <c r="B3629" s="13" t="s">
        <v>41</v>
      </c>
      <c r="C3629" s="13" t="s">
        <v>587</v>
      </c>
      <c r="D3629" s="13" t="s">
        <v>194</v>
      </c>
      <c r="F3629" s="13"/>
      <c r="G3629" s="13" t="s">
        <v>74</v>
      </c>
      <c r="H3629" s="13" t="s">
        <v>75</v>
      </c>
      <c r="I3629" s="13"/>
      <c r="J3629" s="13"/>
      <c r="K3629" s="15">
        <v>1.0</v>
      </c>
      <c r="L3629" s="15">
        <v>1.0</v>
      </c>
      <c r="M3629" s="16"/>
      <c r="N3629" s="16"/>
      <c r="O3629" s="17"/>
      <c r="P3629" s="17"/>
      <c r="Q3629" s="13">
        <f t="shared" si="3886"/>
        <v>2</v>
      </c>
      <c r="R3629" s="13"/>
      <c r="S3629" s="13"/>
      <c r="T3629" s="13">
        <f t="shared" ref="T3629:Y3629" si="3906">IF(ISBLANK(K3629)=TRUE,0,1)</f>
        <v>1</v>
      </c>
      <c r="U3629" s="13">
        <f t="shared" si="3906"/>
        <v>1</v>
      </c>
      <c r="V3629" s="13">
        <f t="shared" si="3906"/>
        <v>0</v>
      </c>
      <c r="W3629" s="13">
        <f t="shared" si="3906"/>
        <v>0</v>
      </c>
      <c r="X3629" s="13">
        <f t="shared" si="3906"/>
        <v>0</v>
      </c>
      <c r="Y3629" s="13">
        <f t="shared" si="3906"/>
        <v>0</v>
      </c>
      <c r="Z3629" s="13">
        <f t="shared" si="3023"/>
        <v>1</v>
      </c>
      <c r="AA3629" s="13"/>
      <c r="AB3629" s="13"/>
      <c r="AC3629" s="13"/>
      <c r="AD3629" s="13"/>
      <c r="AE3629" s="13"/>
      <c r="AF3629" s="13"/>
      <c r="AG3629" s="13"/>
      <c r="AH3629" s="13"/>
      <c r="AI3629" s="13"/>
      <c r="AJ3629" s="13"/>
      <c r="AK3629" s="13"/>
      <c r="AL3629" s="13"/>
      <c r="AM3629" s="13"/>
      <c r="AN3629" s="13"/>
      <c r="AO3629" s="13"/>
      <c r="AP3629" s="13"/>
      <c r="AQ3629" s="13"/>
      <c r="AR3629" s="13"/>
      <c r="AS3629" s="13"/>
    </row>
    <row r="3630" ht="14.25" customHeight="1">
      <c r="A3630" s="13" t="s">
        <v>36</v>
      </c>
      <c r="B3630" s="13" t="s">
        <v>39</v>
      </c>
      <c r="C3630" s="13" t="s">
        <v>566</v>
      </c>
      <c r="D3630" s="13" t="s">
        <v>193</v>
      </c>
      <c r="F3630" s="13"/>
      <c r="G3630" s="13" t="s">
        <v>74</v>
      </c>
      <c r="H3630" s="13" t="s">
        <v>75</v>
      </c>
      <c r="I3630" s="13"/>
      <c r="J3630" s="13"/>
      <c r="K3630" s="15">
        <v>1.0</v>
      </c>
      <c r="L3630" s="15">
        <v>1.0</v>
      </c>
      <c r="M3630" s="16"/>
      <c r="N3630" s="16"/>
      <c r="O3630" s="17"/>
      <c r="P3630" s="17"/>
      <c r="Q3630" s="13">
        <f t="shared" si="3886"/>
        <v>2</v>
      </c>
      <c r="R3630" s="13"/>
      <c r="S3630" s="13"/>
      <c r="T3630" s="13">
        <f t="shared" ref="T3630:Y3630" si="3907">IF(ISBLANK(K3630)=TRUE,0,1)</f>
        <v>1</v>
      </c>
      <c r="U3630" s="13">
        <f t="shared" si="3907"/>
        <v>1</v>
      </c>
      <c r="V3630" s="13">
        <f t="shared" si="3907"/>
        <v>0</v>
      </c>
      <c r="W3630" s="13">
        <f t="shared" si="3907"/>
        <v>0</v>
      </c>
      <c r="X3630" s="13">
        <f t="shared" si="3907"/>
        <v>0</v>
      </c>
      <c r="Y3630" s="13">
        <f t="shared" si="3907"/>
        <v>0</v>
      </c>
      <c r="Z3630" s="13">
        <f t="shared" si="3023"/>
        <v>1</v>
      </c>
      <c r="AA3630" s="13"/>
      <c r="AB3630" s="13"/>
      <c r="AC3630" s="13"/>
      <c r="AD3630" s="13"/>
      <c r="AE3630" s="13"/>
      <c r="AF3630" s="13"/>
      <c r="AG3630" s="13"/>
      <c r="AH3630" s="13"/>
      <c r="AI3630" s="13"/>
      <c r="AJ3630" s="13"/>
      <c r="AK3630" s="13"/>
      <c r="AL3630" s="13"/>
      <c r="AM3630" s="13"/>
      <c r="AN3630" s="13"/>
      <c r="AO3630" s="13"/>
      <c r="AP3630" s="13"/>
      <c r="AQ3630" s="13"/>
      <c r="AR3630" s="13"/>
      <c r="AS3630" s="13"/>
    </row>
    <row r="3631" ht="14.25" customHeight="1">
      <c r="A3631" s="13" t="s">
        <v>36</v>
      </c>
      <c r="B3631" s="13" t="s">
        <v>42</v>
      </c>
      <c r="C3631" s="13">
        <v>1328.0</v>
      </c>
      <c r="D3631" s="13" t="s">
        <v>175</v>
      </c>
      <c r="F3631" s="13"/>
      <c r="G3631" s="13" t="s">
        <v>111</v>
      </c>
      <c r="H3631" s="13" t="s">
        <v>75</v>
      </c>
      <c r="I3631" s="13"/>
      <c r="J3631" s="13"/>
      <c r="K3631" s="15">
        <v>0.0</v>
      </c>
      <c r="L3631" s="15">
        <v>0.0</v>
      </c>
      <c r="M3631" s="16"/>
      <c r="N3631" s="16"/>
      <c r="O3631" s="17"/>
      <c r="P3631" s="17"/>
      <c r="Q3631" s="13">
        <f t="shared" si="3886"/>
        <v>2</v>
      </c>
      <c r="R3631" s="13"/>
      <c r="S3631" s="13"/>
      <c r="T3631" s="13">
        <f t="shared" ref="T3631:Y3631" si="3908">IF(ISBLANK(K3631)=TRUE,0,1)</f>
        <v>1</v>
      </c>
      <c r="U3631" s="13">
        <f t="shared" si="3908"/>
        <v>1</v>
      </c>
      <c r="V3631" s="13">
        <f t="shared" si="3908"/>
        <v>0</v>
      </c>
      <c r="W3631" s="13">
        <f t="shared" si="3908"/>
        <v>0</v>
      </c>
      <c r="X3631" s="13">
        <f t="shared" si="3908"/>
        <v>0</v>
      </c>
      <c r="Y3631" s="13">
        <f t="shared" si="3908"/>
        <v>0</v>
      </c>
      <c r="Z3631" s="13">
        <f t="shared" si="3023"/>
        <v>0</v>
      </c>
      <c r="AA3631" s="13"/>
      <c r="AB3631" s="13"/>
      <c r="AC3631" s="13"/>
      <c r="AD3631" s="13"/>
      <c r="AE3631" s="13"/>
      <c r="AF3631" s="13"/>
      <c r="AG3631" s="13"/>
      <c r="AH3631" s="13"/>
      <c r="AI3631" s="13"/>
      <c r="AJ3631" s="13"/>
      <c r="AK3631" s="13"/>
      <c r="AL3631" s="13"/>
      <c r="AM3631" s="13"/>
      <c r="AN3631" s="13"/>
      <c r="AO3631" s="13"/>
      <c r="AP3631" s="13"/>
      <c r="AQ3631" s="13"/>
      <c r="AR3631" s="13"/>
      <c r="AS3631" s="13"/>
    </row>
    <row r="3632" ht="14.25" customHeight="1">
      <c r="A3632" s="13" t="s">
        <v>36</v>
      </c>
      <c r="B3632" s="13" t="s">
        <v>42</v>
      </c>
      <c r="C3632" s="13">
        <v>1328.0</v>
      </c>
      <c r="D3632" s="13" t="s">
        <v>176</v>
      </c>
      <c r="F3632" s="13"/>
      <c r="G3632" s="13" t="s">
        <v>111</v>
      </c>
      <c r="H3632" s="13" t="s">
        <v>75</v>
      </c>
      <c r="I3632" s="13"/>
      <c r="J3632" s="13"/>
      <c r="K3632" s="15">
        <v>0.0</v>
      </c>
      <c r="L3632" s="15">
        <v>0.0</v>
      </c>
      <c r="M3632" s="16"/>
      <c r="N3632" s="16"/>
      <c r="O3632" s="17"/>
      <c r="P3632" s="17"/>
      <c r="Q3632" s="13">
        <f t="shared" si="3886"/>
        <v>0</v>
      </c>
      <c r="R3632" s="13"/>
      <c r="S3632" s="13"/>
      <c r="T3632" s="13">
        <f t="shared" ref="T3632:Y3632" si="3909">IF(ISBLANK(K3632)=TRUE,0,1)</f>
        <v>1</v>
      </c>
      <c r="U3632" s="13">
        <f t="shared" si="3909"/>
        <v>1</v>
      </c>
      <c r="V3632" s="13">
        <f t="shared" si="3909"/>
        <v>0</v>
      </c>
      <c r="W3632" s="13">
        <f t="shared" si="3909"/>
        <v>0</v>
      </c>
      <c r="X3632" s="13">
        <f t="shared" si="3909"/>
        <v>0</v>
      </c>
      <c r="Y3632" s="13">
        <f t="shared" si="3909"/>
        <v>0</v>
      </c>
      <c r="Z3632" s="13">
        <f t="shared" si="3023"/>
        <v>0</v>
      </c>
      <c r="AA3632" s="13"/>
      <c r="AB3632" s="13"/>
      <c r="AC3632" s="13"/>
      <c r="AD3632" s="13"/>
      <c r="AE3632" s="13"/>
      <c r="AF3632" s="13"/>
      <c r="AG3632" s="13"/>
      <c r="AH3632" s="13"/>
      <c r="AI3632" s="13"/>
      <c r="AJ3632" s="13"/>
      <c r="AK3632" s="13"/>
      <c r="AL3632" s="13"/>
      <c r="AM3632" s="13"/>
      <c r="AN3632" s="13"/>
      <c r="AO3632" s="13"/>
      <c r="AP3632" s="13"/>
      <c r="AQ3632" s="13"/>
      <c r="AR3632" s="13"/>
      <c r="AS3632" s="13"/>
    </row>
    <row r="3633" ht="14.25" customHeight="1">
      <c r="A3633" s="13" t="s">
        <v>36</v>
      </c>
      <c r="B3633" s="13" t="s">
        <v>42</v>
      </c>
      <c r="C3633" s="13">
        <v>1328.0</v>
      </c>
      <c r="D3633" s="13" t="s">
        <v>177</v>
      </c>
      <c r="F3633" s="13"/>
      <c r="G3633" s="13" t="s">
        <v>111</v>
      </c>
      <c r="H3633" s="13" t="s">
        <v>75</v>
      </c>
      <c r="I3633" s="13"/>
      <c r="J3633" s="13"/>
      <c r="K3633" s="15">
        <v>0.0</v>
      </c>
      <c r="L3633" s="15">
        <v>0.0</v>
      </c>
      <c r="M3633" s="16"/>
      <c r="N3633" s="16"/>
      <c r="O3633" s="17"/>
      <c r="P3633" s="17"/>
      <c r="Q3633" s="13">
        <f t="shared" si="3886"/>
        <v>0</v>
      </c>
      <c r="R3633" s="13"/>
      <c r="S3633" s="13"/>
      <c r="T3633" s="13">
        <f t="shared" ref="T3633:Y3633" si="3910">IF(ISBLANK(K3633)=TRUE,0,1)</f>
        <v>1</v>
      </c>
      <c r="U3633" s="13">
        <f t="shared" si="3910"/>
        <v>1</v>
      </c>
      <c r="V3633" s="13">
        <f t="shared" si="3910"/>
        <v>0</v>
      </c>
      <c r="W3633" s="13">
        <f t="shared" si="3910"/>
        <v>0</v>
      </c>
      <c r="X3633" s="13">
        <f t="shared" si="3910"/>
        <v>0</v>
      </c>
      <c r="Y3633" s="13">
        <f t="shared" si="3910"/>
        <v>0</v>
      </c>
      <c r="Z3633" s="13">
        <f t="shared" si="3023"/>
        <v>0</v>
      </c>
      <c r="AA3633" s="13"/>
      <c r="AB3633" s="13"/>
      <c r="AC3633" s="13"/>
      <c r="AD3633" s="13"/>
      <c r="AE3633" s="13"/>
      <c r="AF3633" s="13"/>
      <c r="AG3633" s="13"/>
      <c r="AH3633" s="13"/>
      <c r="AI3633" s="13"/>
      <c r="AJ3633" s="13"/>
      <c r="AK3633" s="13"/>
      <c r="AL3633" s="13"/>
      <c r="AM3633" s="13"/>
      <c r="AN3633" s="13"/>
      <c r="AO3633" s="13"/>
      <c r="AP3633" s="13"/>
      <c r="AQ3633" s="13"/>
      <c r="AR3633" s="13"/>
      <c r="AS3633" s="13"/>
    </row>
    <row r="3634" ht="14.25" customHeight="1">
      <c r="A3634" s="13" t="s">
        <v>36</v>
      </c>
      <c r="B3634" s="13" t="s">
        <v>41</v>
      </c>
      <c r="C3634" s="13" t="s">
        <v>587</v>
      </c>
      <c r="D3634" s="13" t="s">
        <v>195</v>
      </c>
      <c r="F3634" s="13"/>
      <c r="G3634" s="13" t="s">
        <v>74</v>
      </c>
      <c r="H3634" s="13" t="s">
        <v>75</v>
      </c>
      <c r="I3634" s="13"/>
      <c r="J3634" s="13"/>
      <c r="K3634" s="15">
        <v>1.0</v>
      </c>
      <c r="L3634" s="15">
        <v>1.0</v>
      </c>
      <c r="M3634" s="16"/>
      <c r="N3634" s="16"/>
      <c r="O3634" s="17"/>
      <c r="P3634" s="17"/>
      <c r="Q3634" s="13">
        <f t="shared" si="3886"/>
        <v>0</v>
      </c>
      <c r="R3634" s="13"/>
      <c r="S3634" s="13"/>
      <c r="T3634" s="13">
        <f t="shared" ref="T3634:Y3634" si="3911">IF(ISBLANK(K3634)=TRUE,0,1)</f>
        <v>1</v>
      </c>
      <c r="U3634" s="13">
        <f t="shared" si="3911"/>
        <v>1</v>
      </c>
      <c r="V3634" s="13">
        <f t="shared" si="3911"/>
        <v>0</v>
      </c>
      <c r="W3634" s="13">
        <f t="shared" si="3911"/>
        <v>0</v>
      </c>
      <c r="X3634" s="13">
        <f t="shared" si="3911"/>
        <v>0</v>
      </c>
      <c r="Y3634" s="13">
        <f t="shared" si="3911"/>
        <v>0</v>
      </c>
      <c r="Z3634" s="13">
        <f t="shared" si="3023"/>
        <v>1</v>
      </c>
      <c r="AA3634" s="13"/>
      <c r="AB3634" s="13"/>
      <c r="AC3634" s="13"/>
      <c r="AD3634" s="13"/>
      <c r="AE3634" s="13"/>
      <c r="AF3634" s="13"/>
      <c r="AG3634" s="13"/>
      <c r="AH3634" s="13"/>
      <c r="AI3634" s="13"/>
      <c r="AJ3634" s="13"/>
      <c r="AK3634" s="13"/>
      <c r="AL3634" s="13"/>
      <c r="AM3634" s="13"/>
      <c r="AN3634" s="13"/>
      <c r="AO3634" s="13"/>
      <c r="AP3634" s="13"/>
      <c r="AQ3634" s="13"/>
      <c r="AR3634" s="13"/>
      <c r="AS3634" s="13"/>
    </row>
    <row r="3635" ht="14.25" customHeight="1">
      <c r="A3635" s="13" t="s">
        <v>36</v>
      </c>
      <c r="B3635" s="13" t="s">
        <v>41</v>
      </c>
      <c r="C3635" s="13" t="s">
        <v>587</v>
      </c>
      <c r="D3635" s="13" t="s">
        <v>196</v>
      </c>
      <c r="F3635" s="13"/>
      <c r="G3635" s="13" t="s">
        <v>74</v>
      </c>
      <c r="H3635" s="13" t="s">
        <v>75</v>
      </c>
      <c r="I3635" s="13"/>
      <c r="J3635" s="13"/>
      <c r="K3635" s="15">
        <v>1.0</v>
      </c>
      <c r="L3635" s="15">
        <v>1.0</v>
      </c>
      <c r="M3635" s="16"/>
      <c r="N3635" s="16"/>
      <c r="O3635" s="17"/>
      <c r="P3635" s="17"/>
      <c r="Q3635" s="13">
        <f t="shared" si="3886"/>
        <v>2</v>
      </c>
      <c r="R3635" s="13"/>
      <c r="S3635" s="13"/>
      <c r="T3635" s="13">
        <f t="shared" ref="T3635:Y3635" si="3912">IF(ISBLANK(K3635)=TRUE,0,1)</f>
        <v>1</v>
      </c>
      <c r="U3635" s="13">
        <f t="shared" si="3912"/>
        <v>1</v>
      </c>
      <c r="V3635" s="13">
        <f t="shared" si="3912"/>
        <v>0</v>
      </c>
      <c r="W3635" s="13">
        <f t="shared" si="3912"/>
        <v>0</v>
      </c>
      <c r="X3635" s="13">
        <f t="shared" si="3912"/>
        <v>0</v>
      </c>
      <c r="Y3635" s="13">
        <f t="shared" si="3912"/>
        <v>0</v>
      </c>
      <c r="Z3635" s="13">
        <f t="shared" si="3023"/>
        <v>1</v>
      </c>
      <c r="AA3635" s="13"/>
      <c r="AB3635" s="13"/>
      <c r="AC3635" s="13"/>
      <c r="AD3635" s="13"/>
      <c r="AE3635" s="13"/>
      <c r="AF3635" s="13"/>
      <c r="AG3635" s="13"/>
      <c r="AH3635" s="13"/>
      <c r="AI3635" s="13"/>
      <c r="AJ3635" s="13"/>
      <c r="AK3635" s="13"/>
      <c r="AL3635" s="13"/>
      <c r="AM3635" s="13"/>
      <c r="AN3635" s="13"/>
      <c r="AO3635" s="13"/>
      <c r="AP3635" s="13"/>
      <c r="AQ3635" s="13"/>
      <c r="AR3635" s="13"/>
      <c r="AS3635" s="13"/>
    </row>
    <row r="3636" ht="14.25" customHeight="1">
      <c r="A3636" s="13" t="s">
        <v>36</v>
      </c>
      <c r="B3636" s="13" t="s">
        <v>42</v>
      </c>
      <c r="C3636" s="13">
        <v>1328.0</v>
      </c>
      <c r="D3636" s="13" t="s">
        <v>178</v>
      </c>
      <c r="F3636" s="13"/>
      <c r="G3636" s="13" t="s">
        <v>111</v>
      </c>
      <c r="H3636" s="13" t="s">
        <v>75</v>
      </c>
      <c r="I3636" s="13"/>
      <c r="J3636" s="13"/>
      <c r="K3636" s="15">
        <v>0.0</v>
      </c>
      <c r="L3636" s="15">
        <v>0.0</v>
      </c>
      <c r="M3636" s="16"/>
      <c r="N3636" s="16"/>
      <c r="O3636" s="17"/>
      <c r="P3636" s="17"/>
      <c r="Q3636" s="13">
        <f t="shared" si="3886"/>
        <v>2</v>
      </c>
      <c r="R3636" s="13"/>
      <c r="S3636" s="13"/>
      <c r="T3636" s="13">
        <f t="shared" ref="T3636:Y3636" si="3913">IF(ISBLANK(K3636)=TRUE,0,1)</f>
        <v>1</v>
      </c>
      <c r="U3636" s="13">
        <f t="shared" si="3913"/>
        <v>1</v>
      </c>
      <c r="V3636" s="13">
        <f t="shared" si="3913"/>
        <v>0</v>
      </c>
      <c r="W3636" s="13">
        <f t="shared" si="3913"/>
        <v>0</v>
      </c>
      <c r="X3636" s="13">
        <f t="shared" si="3913"/>
        <v>0</v>
      </c>
      <c r="Y3636" s="13">
        <f t="shared" si="3913"/>
        <v>0</v>
      </c>
      <c r="Z3636" s="13">
        <f t="shared" si="3023"/>
        <v>0</v>
      </c>
      <c r="AA3636" s="13"/>
      <c r="AB3636" s="13"/>
      <c r="AC3636" s="13"/>
      <c r="AD3636" s="13"/>
      <c r="AE3636" s="13"/>
      <c r="AF3636" s="13"/>
      <c r="AG3636" s="13"/>
      <c r="AH3636" s="13"/>
      <c r="AI3636" s="13"/>
      <c r="AJ3636" s="13"/>
      <c r="AK3636" s="13"/>
      <c r="AL3636" s="13"/>
      <c r="AM3636" s="13"/>
      <c r="AN3636" s="13"/>
      <c r="AO3636" s="13"/>
      <c r="AP3636" s="13"/>
      <c r="AQ3636" s="13"/>
      <c r="AR3636" s="13"/>
      <c r="AS3636" s="13"/>
    </row>
    <row r="3637" ht="14.25" customHeight="1">
      <c r="A3637" s="13" t="s">
        <v>36</v>
      </c>
      <c r="B3637" s="13" t="s">
        <v>39</v>
      </c>
      <c r="C3637" s="13" t="s">
        <v>566</v>
      </c>
      <c r="D3637" s="13" t="s">
        <v>194</v>
      </c>
      <c r="F3637" s="13"/>
      <c r="G3637" s="13" t="s">
        <v>74</v>
      </c>
      <c r="H3637" s="13" t="s">
        <v>75</v>
      </c>
      <c r="I3637" s="13"/>
      <c r="J3637" s="13"/>
      <c r="K3637" s="15">
        <v>1.0</v>
      </c>
      <c r="L3637" s="15">
        <v>1.0</v>
      </c>
      <c r="M3637" s="16"/>
      <c r="N3637" s="16"/>
      <c r="O3637" s="17"/>
      <c r="P3637" s="17"/>
      <c r="Q3637" s="13">
        <f t="shared" si="3886"/>
        <v>0</v>
      </c>
      <c r="R3637" s="13"/>
      <c r="S3637" s="13"/>
      <c r="T3637" s="13">
        <f t="shared" ref="T3637:Y3637" si="3914">IF(ISBLANK(K3637)=TRUE,0,1)</f>
        <v>1</v>
      </c>
      <c r="U3637" s="13">
        <f t="shared" si="3914"/>
        <v>1</v>
      </c>
      <c r="V3637" s="13">
        <f t="shared" si="3914"/>
        <v>0</v>
      </c>
      <c r="W3637" s="13">
        <f t="shared" si="3914"/>
        <v>0</v>
      </c>
      <c r="X3637" s="13">
        <f t="shared" si="3914"/>
        <v>0</v>
      </c>
      <c r="Y3637" s="13">
        <f t="shared" si="3914"/>
        <v>0</v>
      </c>
      <c r="Z3637" s="13">
        <f t="shared" si="3023"/>
        <v>1</v>
      </c>
      <c r="AA3637" s="13"/>
      <c r="AB3637" s="13"/>
      <c r="AC3637" s="13"/>
      <c r="AD3637" s="13"/>
      <c r="AE3637" s="13"/>
      <c r="AF3637" s="13"/>
      <c r="AG3637" s="13"/>
      <c r="AH3637" s="13"/>
      <c r="AI3637" s="13"/>
      <c r="AJ3637" s="13"/>
      <c r="AK3637" s="13"/>
      <c r="AL3637" s="13"/>
      <c r="AM3637" s="13"/>
      <c r="AN3637" s="13"/>
      <c r="AO3637" s="13"/>
      <c r="AP3637" s="13"/>
      <c r="AQ3637" s="13"/>
      <c r="AR3637" s="13"/>
      <c r="AS3637" s="13"/>
    </row>
    <row r="3638" ht="14.25" customHeight="1">
      <c r="A3638" s="13" t="s">
        <v>36</v>
      </c>
      <c r="B3638" s="13" t="s">
        <v>39</v>
      </c>
      <c r="C3638" s="13" t="s">
        <v>566</v>
      </c>
      <c r="D3638" s="13" t="s">
        <v>195</v>
      </c>
      <c r="F3638" s="13"/>
      <c r="G3638" s="13" t="s">
        <v>74</v>
      </c>
      <c r="H3638" s="13" t="s">
        <v>75</v>
      </c>
      <c r="I3638" s="13"/>
      <c r="J3638" s="13"/>
      <c r="K3638" s="15">
        <v>1.0</v>
      </c>
      <c r="L3638" s="15">
        <v>1.0</v>
      </c>
      <c r="M3638" s="16"/>
      <c r="N3638" s="16"/>
      <c r="O3638" s="17"/>
      <c r="P3638" s="17"/>
      <c r="Q3638" s="13">
        <f t="shared" si="3886"/>
        <v>2</v>
      </c>
      <c r="R3638" s="13"/>
      <c r="S3638" s="13"/>
      <c r="T3638" s="13">
        <f t="shared" ref="T3638:Y3638" si="3915">IF(ISBLANK(K3638)=TRUE,0,1)</f>
        <v>1</v>
      </c>
      <c r="U3638" s="13">
        <f t="shared" si="3915"/>
        <v>1</v>
      </c>
      <c r="V3638" s="13">
        <f t="shared" si="3915"/>
        <v>0</v>
      </c>
      <c r="W3638" s="13">
        <f t="shared" si="3915"/>
        <v>0</v>
      </c>
      <c r="X3638" s="13">
        <f t="shared" si="3915"/>
        <v>0</v>
      </c>
      <c r="Y3638" s="13">
        <f t="shared" si="3915"/>
        <v>0</v>
      </c>
      <c r="Z3638" s="13">
        <f t="shared" si="3023"/>
        <v>1</v>
      </c>
      <c r="AA3638" s="13"/>
      <c r="AB3638" s="13"/>
      <c r="AC3638" s="13"/>
      <c r="AD3638" s="13"/>
      <c r="AE3638" s="13"/>
      <c r="AF3638" s="13"/>
      <c r="AG3638" s="13"/>
      <c r="AH3638" s="13"/>
      <c r="AI3638" s="13"/>
      <c r="AJ3638" s="13"/>
      <c r="AK3638" s="13"/>
      <c r="AL3638" s="13"/>
      <c r="AM3638" s="13"/>
      <c r="AN3638" s="13"/>
      <c r="AO3638" s="13"/>
      <c r="AP3638" s="13"/>
      <c r="AQ3638" s="13"/>
      <c r="AR3638" s="13"/>
      <c r="AS3638" s="13"/>
    </row>
    <row r="3639" ht="14.25" customHeight="1">
      <c r="A3639" s="13" t="s">
        <v>36</v>
      </c>
      <c r="B3639" s="13" t="s">
        <v>41</v>
      </c>
      <c r="C3639" s="13" t="s">
        <v>587</v>
      </c>
      <c r="D3639" s="13" t="s">
        <v>197</v>
      </c>
      <c r="F3639" s="13"/>
      <c r="G3639" s="13" t="s">
        <v>74</v>
      </c>
      <c r="H3639" s="13" t="s">
        <v>75</v>
      </c>
      <c r="I3639" s="13"/>
      <c r="J3639" s="13"/>
      <c r="K3639" s="15">
        <v>1.0</v>
      </c>
      <c r="L3639" s="15">
        <v>1.0</v>
      </c>
      <c r="M3639" s="16"/>
      <c r="N3639" s="16"/>
      <c r="O3639" s="17"/>
      <c r="P3639" s="17"/>
      <c r="Q3639" s="13">
        <f t="shared" si="3886"/>
        <v>2</v>
      </c>
      <c r="R3639" s="13"/>
      <c r="S3639" s="13"/>
      <c r="T3639" s="13">
        <f t="shared" ref="T3639:Y3639" si="3916">IF(ISBLANK(K3639)=TRUE,0,1)</f>
        <v>1</v>
      </c>
      <c r="U3639" s="13">
        <f t="shared" si="3916"/>
        <v>1</v>
      </c>
      <c r="V3639" s="13">
        <f t="shared" si="3916"/>
        <v>0</v>
      </c>
      <c r="W3639" s="13">
        <f t="shared" si="3916"/>
        <v>0</v>
      </c>
      <c r="X3639" s="13">
        <f t="shared" si="3916"/>
        <v>0</v>
      </c>
      <c r="Y3639" s="13">
        <f t="shared" si="3916"/>
        <v>0</v>
      </c>
      <c r="Z3639" s="13">
        <f t="shared" si="3023"/>
        <v>1</v>
      </c>
      <c r="AA3639" s="13"/>
      <c r="AB3639" s="13"/>
      <c r="AC3639" s="13"/>
      <c r="AD3639" s="13"/>
      <c r="AE3639" s="13"/>
      <c r="AF3639" s="13"/>
      <c r="AG3639" s="13"/>
      <c r="AH3639" s="13"/>
      <c r="AI3639" s="13"/>
      <c r="AJ3639" s="13"/>
      <c r="AK3639" s="13"/>
      <c r="AL3639" s="13"/>
      <c r="AM3639" s="13"/>
      <c r="AN3639" s="13"/>
      <c r="AO3639" s="13"/>
      <c r="AP3639" s="13"/>
      <c r="AQ3639" s="13"/>
      <c r="AR3639" s="13"/>
      <c r="AS3639" s="13"/>
    </row>
    <row r="3640" ht="14.25" customHeight="1">
      <c r="A3640" s="13" t="s">
        <v>36</v>
      </c>
      <c r="B3640" s="13" t="s">
        <v>41</v>
      </c>
      <c r="C3640" s="13" t="s">
        <v>587</v>
      </c>
      <c r="D3640" s="13" t="s">
        <v>433</v>
      </c>
      <c r="F3640" s="13"/>
      <c r="G3640" s="13" t="s">
        <v>74</v>
      </c>
      <c r="H3640" s="13" t="s">
        <v>75</v>
      </c>
      <c r="I3640" s="13"/>
      <c r="J3640" s="13"/>
      <c r="K3640" s="15">
        <v>1.0</v>
      </c>
      <c r="L3640" s="15">
        <v>1.0</v>
      </c>
      <c r="M3640" s="16"/>
      <c r="N3640" s="16"/>
      <c r="O3640" s="41"/>
      <c r="P3640" s="17"/>
      <c r="Q3640" s="13">
        <f t="shared" si="3886"/>
        <v>2</v>
      </c>
      <c r="R3640" s="13"/>
      <c r="S3640" s="13"/>
      <c r="T3640" s="13">
        <f t="shared" ref="T3640:Y3640" si="3917">IF(ISBLANK(K3640)=TRUE,0,1)</f>
        <v>1</v>
      </c>
      <c r="U3640" s="13">
        <f t="shared" si="3917"/>
        <v>1</v>
      </c>
      <c r="V3640" s="13">
        <f t="shared" si="3917"/>
        <v>0</v>
      </c>
      <c r="W3640" s="13">
        <f t="shared" si="3917"/>
        <v>0</v>
      </c>
      <c r="X3640" s="13">
        <f t="shared" si="3917"/>
        <v>0</v>
      </c>
      <c r="Y3640" s="13">
        <f t="shared" si="3917"/>
        <v>0</v>
      </c>
      <c r="Z3640" s="13">
        <f t="shared" si="3023"/>
        <v>1</v>
      </c>
      <c r="AA3640" s="13"/>
      <c r="AB3640" s="13"/>
      <c r="AC3640" s="13"/>
      <c r="AD3640" s="13"/>
      <c r="AE3640" s="13"/>
      <c r="AF3640" s="13"/>
      <c r="AG3640" s="13"/>
      <c r="AH3640" s="13"/>
      <c r="AI3640" s="13"/>
      <c r="AJ3640" s="13"/>
      <c r="AK3640" s="13"/>
      <c r="AL3640" s="13"/>
      <c r="AM3640" s="13"/>
      <c r="AN3640" s="13"/>
      <c r="AO3640" s="13"/>
      <c r="AP3640" s="13"/>
      <c r="AQ3640" s="13"/>
      <c r="AR3640" s="13"/>
      <c r="AS3640" s="13"/>
    </row>
    <row r="3641" ht="14.25" customHeight="1">
      <c r="A3641" s="13" t="s">
        <v>36</v>
      </c>
      <c r="B3641" s="13" t="s">
        <v>41</v>
      </c>
      <c r="C3641" s="13" t="s">
        <v>587</v>
      </c>
      <c r="D3641" s="13" t="s">
        <v>434</v>
      </c>
      <c r="F3641" s="13"/>
      <c r="G3641" s="13" t="s">
        <v>74</v>
      </c>
      <c r="H3641" s="13" t="s">
        <v>75</v>
      </c>
      <c r="I3641" s="13"/>
      <c r="J3641" s="13"/>
      <c r="K3641" s="15">
        <v>1.0</v>
      </c>
      <c r="L3641" s="15">
        <v>1.0</v>
      </c>
      <c r="M3641" s="16"/>
      <c r="N3641" s="16"/>
      <c r="O3641" s="17"/>
      <c r="P3641" s="17"/>
      <c r="Q3641" s="13">
        <f t="shared" si="3886"/>
        <v>2</v>
      </c>
      <c r="R3641" s="13"/>
      <c r="S3641" s="13"/>
      <c r="T3641" s="13">
        <f t="shared" ref="T3641:Y3641" si="3918">IF(ISBLANK(K3641)=TRUE,0,1)</f>
        <v>1</v>
      </c>
      <c r="U3641" s="13">
        <f t="shared" si="3918"/>
        <v>1</v>
      </c>
      <c r="V3641" s="13">
        <f t="shared" si="3918"/>
        <v>0</v>
      </c>
      <c r="W3641" s="13">
        <f t="shared" si="3918"/>
        <v>0</v>
      </c>
      <c r="X3641" s="13">
        <f t="shared" si="3918"/>
        <v>0</v>
      </c>
      <c r="Y3641" s="13">
        <f t="shared" si="3918"/>
        <v>0</v>
      </c>
      <c r="Z3641" s="13">
        <f t="shared" si="3023"/>
        <v>1</v>
      </c>
      <c r="AA3641" s="13"/>
      <c r="AB3641" s="13"/>
      <c r="AC3641" s="13"/>
      <c r="AD3641" s="13"/>
      <c r="AE3641" s="13"/>
      <c r="AF3641" s="13"/>
      <c r="AG3641" s="13"/>
      <c r="AH3641" s="13"/>
      <c r="AI3641" s="13"/>
      <c r="AJ3641" s="13"/>
      <c r="AK3641" s="13"/>
      <c r="AL3641" s="13"/>
      <c r="AM3641" s="13"/>
      <c r="AN3641" s="13"/>
      <c r="AO3641" s="13"/>
      <c r="AP3641" s="13"/>
      <c r="AQ3641" s="13"/>
      <c r="AR3641" s="13"/>
      <c r="AS3641" s="13"/>
    </row>
    <row r="3642" ht="14.25" customHeight="1">
      <c r="A3642" s="13" t="s">
        <v>36</v>
      </c>
      <c r="B3642" s="13" t="s">
        <v>39</v>
      </c>
      <c r="C3642" s="13" t="s">
        <v>566</v>
      </c>
      <c r="D3642" s="13" t="s">
        <v>196</v>
      </c>
      <c r="F3642" s="13"/>
      <c r="G3642" s="13" t="s">
        <v>74</v>
      </c>
      <c r="H3642" s="13" t="s">
        <v>75</v>
      </c>
      <c r="I3642" s="13"/>
      <c r="J3642" s="13"/>
      <c r="K3642" s="15">
        <v>1.0</v>
      </c>
      <c r="L3642" s="15">
        <v>1.0</v>
      </c>
      <c r="M3642" s="16"/>
      <c r="N3642" s="16"/>
      <c r="O3642" s="17"/>
      <c r="P3642" s="17"/>
      <c r="Q3642" s="13">
        <f t="shared" si="3886"/>
        <v>2</v>
      </c>
      <c r="R3642" s="13"/>
      <c r="S3642" s="13"/>
      <c r="T3642" s="13">
        <f t="shared" ref="T3642:Y3642" si="3919">IF(ISBLANK(K3642)=TRUE,0,1)</f>
        <v>1</v>
      </c>
      <c r="U3642" s="13">
        <f t="shared" si="3919"/>
        <v>1</v>
      </c>
      <c r="V3642" s="13">
        <f t="shared" si="3919"/>
        <v>0</v>
      </c>
      <c r="W3642" s="13">
        <f t="shared" si="3919"/>
        <v>0</v>
      </c>
      <c r="X3642" s="13">
        <f t="shared" si="3919"/>
        <v>0</v>
      </c>
      <c r="Y3642" s="13">
        <f t="shared" si="3919"/>
        <v>0</v>
      </c>
      <c r="Z3642" s="13">
        <f t="shared" si="3023"/>
        <v>1</v>
      </c>
      <c r="AA3642" s="13"/>
      <c r="AB3642" s="13"/>
      <c r="AC3642" s="13"/>
      <c r="AD3642" s="13"/>
      <c r="AE3642" s="13"/>
      <c r="AF3642" s="13"/>
      <c r="AG3642" s="13"/>
      <c r="AH3642" s="13"/>
      <c r="AI3642" s="13"/>
      <c r="AJ3642" s="13"/>
      <c r="AK3642" s="13"/>
      <c r="AL3642" s="13"/>
      <c r="AM3642" s="13"/>
      <c r="AN3642" s="13"/>
      <c r="AO3642" s="13"/>
      <c r="AP3642" s="13"/>
      <c r="AQ3642" s="13"/>
      <c r="AR3642" s="13"/>
      <c r="AS3642" s="13"/>
    </row>
    <row r="3643" ht="14.25" customHeight="1">
      <c r="A3643" s="13" t="s">
        <v>36</v>
      </c>
      <c r="B3643" s="13" t="s">
        <v>42</v>
      </c>
      <c r="C3643" s="13">
        <v>1328.0</v>
      </c>
      <c r="D3643" s="13" t="s">
        <v>179</v>
      </c>
      <c r="F3643" s="13"/>
      <c r="G3643" s="13" t="s">
        <v>111</v>
      </c>
      <c r="H3643" s="13" t="s">
        <v>75</v>
      </c>
      <c r="I3643" s="13"/>
      <c r="J3643" s="13"/>
      <c r="K3643" s="15">
        <v>0.0</v>
      </c>
      <c r="L3643" s="15">
        <v>0.0</v>
      </c>
      <c r="M3643" s="16"/>
      <c r="N3643" s="16"/>
      <c r="O3643" s="17"/>
      <c r="P3643" s="17"/>
      <c r="Q3643" s="13">
        <f t="shared" si="3886"/>
        <v>2</v>
      </c>
      <c r="R3643" s="13"/>
      <c r="S3643" s="13"/>
      <c r="T3643" s="13">
        <f t="shared" ref="T3643:Y3643" si="3920">IF(ISBLANK(K3643)=TRUE,0,1)</f>
        <v>1</v>
      </c>
      <c r="U3643" s="13">
        <f t="shared" si="3920"/>
        <v>1</v>
      </c>
      <c r="V3643" s="13">
        <f t="shared" si="3920"/>
        <v>0</v>
      </c>
      <c r="W3643" s="13">
        <f t="shared" si="3920"/>
        <v>0</v>
      </c>
      <c r="X3643" s="13">
        <f t="shared" si="3920"/>
        <v>0</v>
      </c>
      <c r="Y3643" s="13">
        <f t="shared" si="3920"/>
        <v>0</v>
      </c>
      <c r="Z3643" s="13">
        <f t="shared" si="3023"/>
        <v>0</v>
      </c>
      <c r="AA3643" s="13"/>
      <c r="AB3643" s="13"/>
      <c r="AC3643" s="13"/>
      <c r="AD3643" s="13"/>
      <c r="AE3643" s="13"/>
      <c r="AF3643" s="13"/>
      <c r="AG3643" s="13"/>
      <c r="AH3643" s="13"/>
      <c r="AI3643" s="13"/>
      <c r="AJ3643" s="13"/>
      <c r="AK3643" s="13"/>
      <c r="AL3643" s="13"/>
      <c r="AM3643" s="13"/>
      <c r="AN3643" s="13"/>
      <c r="AO3643" s="13"/>
      <c r="AP3643" s="13"/>
      <c r="AQ3643" s="13"/>
      <c r="AR3643" s="13"/>
      <c r="AS3643" s="13"/>
    </row>
    <row r="3644" ht="14.25" customHeight="1">
      <c r="A3644" s="13" t="s">
        <v>36</v>
      </c>
      <c r="B3644" s="13" t="s">
        <v>42</v>
      </c>
      <c r="C3644" s="13">
        <v>1328.0</v>
      </c>
      <c r="D3644" s="13" t="s">
        <v>180</v>
      </c>
      <c r="F3644" s="13"/>
      <c r="G3644" s="13" t="s">
        <v>111</v>
      </c>
      <c r="H3644" s="13" t="s">
        <v>75</v>
      </c>
      <c r="I3644" s="13"/>
      <c r="J3644" s="13"/>
      <c r="K3644" s="15">
        <v>0.0</v>
      </c>
      <c r="L3644" s="15">
        <v>0.0</v>
      </c>
      <c r="M3644" s="16"/>
      <c r="N3644" s="16"/>
      <c r="O3644" s="17"/>
      <c r="P3644" s="17"/>
      <c r="Q3644" s="13">
        <f t="shared" si="3886"/>
        <v>0</v>
      </c>
      <c r="R3644" s="13"/>
      <c r="S3644" s="13"/>
      <c r="T3644" s="13">
        <f t="shared" ref="T3644:Y3644" si="3921">IF(ISBLANK(K3644)=TRUE,0,1)</f>
        <v>1</v>
      </c>
      <c r="U3644" s="13">
        <f t="shared" si="3921"/>
        <v>1</v>
      </c>
      <c r="V3644" s="13">
        <f t="shared" si="3921"/>
        <v>0</v>
      </c>
      <c r="W3644" s="13">
        <f t="shared" si="3921"/>
        <v>0</v>
      </c>
      <c r="X3644" s="13">
        <f t="shared" si="3921"/>
        <v>0</v>
      </c>
      <c r="Y3644" s="13">
        <f t="shared" si="3921"/>
        <v>0</v>
      </c>
      <c r="Z3644" s="13">
        <f t="shared" si="3023"/>
        <v>0</v>
      </c>
      <c r="AA3644" s="13"/>
      <c r="AB3644" s="13"/>
      <c r="AC3644" s="13"/>
      <c r="AD3644" s="13"/>
      <c r="AE3644" s="13"/>
      <c r="AF3644" s="13"/>
      <c r="AG3644" s="13"/>
      <c r="AH3644" s="13"/>
      <c r="AI3644" s="13"/>
      <c r="AJ3644" s="13"/>
      <c r="AK3644" s="13"/>
      <c r="AL3644" s="13"/>
      <c r="AM3644" s="13"/>
      <c r="AN3644" s="13"/>
      <c r="AO3644" s="13"/>
      <c r="AP3644" s="13"/>
      <c r="AQ3644" s="13"/>
      <c r="AR3644" s="13"/>
      <c r="AS3644" s="13"/>
    </row>
    <row r="3645" ht="14.25" customHeight="1">
      <c r="A3645" s="13" t="s">
        <v>36</v>
      </c>
      <c r="B3645" s="13" t="s">
        <v>42</v>
      </c>
      <c r="C3645" s="13">
        <v>1328.0</v>
      </c>
      <c r="D3645" s="13" t="s">
        <v>181</v>
      </c>
      <c r="F3645" s="13"/>
      <c r="G3645" s="13" t="s">
        <v>111</v>
      </c>
      <c r="H3645" s="13" t="s">
        <v>75</v>
      </c>
      <c r="I3645" s="13"/>
      <c r="J3645" s="13"/>
      <c r="K3645" s="15">
        <v>0.0</v>
      </c>
      <c r="L3645" s="15">
        <v>0.0</v>
      </c>
      <c r="M3645" s="16"/>
      <c r="N3645" s="16"/>
      <c r="O3645" s="17"/>
      <c r="P3645" s="17"/>
      <c r="Q3645" s="13">
        <f t="shared" si="3886"/>
        <v>0</v>
      </c>
      <c r="R3645" s="13"/>
      <c r="S3645" s="13"/>
      <c r="T3645" s="13">
        <f t="shared" ref="T3645:Y3645" si="3922">IF(ISBLANK(K3645)=TRUE,0,1)</f>
        <v>1</v>
      </c>
      <c r="U3645" s="13">
        <f t="shared" si="3922"/>
        <v>1</v>
      </c>
      <c r="V3645" s="13">
        <f t="shared" si="3922"/>
        <v>0</v>
      </c>
      <c r="W3645" s="13">
        <f t="shared" si="3922"/>
        <v>0</v>
      </c>
      <c r="X3645" s="13">
        <f t="shared" si="3922"/>
        <v>0</v>
      </c>
      <c r="Y3645" s="13">
        <f t="shared" si="3922"/>
        <v>0</v>
      </c>
      <c r="Z3645" s="13">
        <f t="shared" si="3023"/>
        <v>0</v>
      </c>
      <c r="AA3645" s="13"/>
      <c r="AB3645" s="13"/>
      <c r="AC3645" s="13"/>
      <c r="AD3645" s="13"/>
      <c r="AE3645" s="13"/>
      <c r="AF3645" s="13"/>
      <c r="AG3645" s="13"/>
      <c r="AH3645" s="13"/>
      <c r="AI3645" s="13"/>
      <c r="AJ3645" s="13"/>
      <c r="AK3645" s="13"/>
      <c r="AL3645" s="13"/>
      <c r="AM3645" s="13"/>
      <c r="AN3645" s="13"/>
      <c r="AO3645" s="13"/>
      <c r="AP3645" s="13"/>
      <c r="AQ3645" s="13"/>
      <c r="AR3645" s="13"/>
      <c r="AS3645" s="13"/>
    </row>
    <row r="3646" ht="14.25" customHeight="1">
      <c r="A3646" s="13" t="s">
        <v>36</v>
      </c>
      <c r="B3646" s="13" t="s">
        <v>41</v>
      </c>
      <c r="C3646" s="13" t="s">
        <v>587</v>
      </c>
      <c r="D3646" s="13" t="s">
        <v>435</v>
      </c>
      <c r="F3646" s="13"/>
      <c r="G3646" s="13" t="s">
        <v>74</v>
      </c>
      <c r="H3646" s="13" t="s">
        <v>75</v>
      </c>
      <c r="I3646" s="13"/>
      <c r="J3646" s="13"/>
      <c r="K3646" s="15">
        <v>1.0</v>
      </c>
      <c r="L3646" s="15">
        <v>1.0</v>
      </c>
      <c r="M3646" s="16"/>
      <c r="N3646" s="16"/>
      <c r="O3646" s="17"/>
      <c r="P3646" s="17"/>
      <c r="Q3646" s="13">
        <f t="shared" si="3886"/>
        <v>0</v>
      </c>
      <c r="R3646" s="13"/>
      <c r="S3646" s="13"/>
      <c r="T3646" s="13">
        <f t="shared" ref="T3646:Y3646" si="3923">IF(ISBLANK(K3646)=TRUE,0,1)</f>
        <v>1</v>
      </c>
      <c r="U3646" s="13">
        <f t="shared" si="3923"/>
        <v>1</v>
      </c>
      <c r="V3646" s="13">
        <f t="shared" si="3923"/>
        <v>0</v>
      </c>
      <c r="W3646" s="13">
        <f t="shared" si="3923"/>
        <v>0</v>
      </c>
      <c r="X3646" s="13">
        <f t="shared" si="3923"/>
        <v>0</v>
      </c>
      <c r="Y3646" s="13">
        <f t="shared" si="3923"/>
        <v>0</v>
      </c>
      <c r="Z3646" s="13">
        <f t="shared" si="3023"/>
        <v>1</v>
      </c>
      <c r="AA3646" s="13"/>
      <c r="AB3646" s="13"/>
      <c r="AC3646" s="13"/>
      <c r="AD3646" s="13"/>
      <c r="AE3646" s="13"/>
      <c r="AF3646" s="13"/>
      <c r="AG3646" s="13"/>
      <c r="AH3646" s="13"/>
      <c r="AI3646" s="13"/>
      <c r="AJ3646" s="13"/>
      <c r="AK3646" s="13"/>
      <c r="AL3646" s="13"/>
      <c r="AM3646" s="13"/>
      <c r="AN3646" s="13"/>
      <c r="AO3646" s="13"/>
      <c r="AP3646" s="13"/>
      <c r="AQ3646" s="13"/>
      <c r="AR3646" s="13"/>
      <c r="AS3646" s="13"/>
    </row>
    <row r="3647" ht="14.25" customHeight="1">
      <c r="A3647" s="13" t="s">
        <v>36</v>
      </c>
      <c r="B3647" s="13" t="s">
        <v>41</v>
      </c>
      <c r="C3647" s="13" t="s">
        <v>587</v>
      </c>
      <c r="D3647" s="13" t="s">
        <v>436</v>
      </c>
      <c r="F3647" s="13"/>
      <c r="G3647" s="13" t="s">
        <v>74</v>
      </c>
      <c r="H3647" s="13" t="s">
        <v>75</v>
      </c>
      <c r="I3647" s="13"/>
      <c r="J3647" s="13"/>
      <c r="K3647" s="15">
        <v>1.0</v>
      </c>
      <c r="L3647" s="15">
        <v>1.0</v>
      </c>
      <c r="M3647" s="16"/>
      <c r="N3647" s="16"/>
      <c r="O3647" s="17"/>
      <c r="P3647" s="17"/>
      <c r="Q3647" s="13">
        <f t="shared" si="3886"/>
        <v>2</v>
      </c>
      <c r="R3647" s="13"/>
      <c r="S3647" s="13"/>
      <c r="T3647" s="13">
        <f t="shared" ref="T3647:Y3647" si="3924">IF(ISBLANK(K3647)=TRUE,0,1)</f>
        <v>1</v>
      </c>
      <c r="U3647" s="13">
        <f t="shared" si="3924"/>
        <v>1</v>
      </c>
      <c r="V3647" s="13">
        <f t="shared" si="3924"/>
        <v>0</v>
      </c>
      <c r="W3647" s="13">
        <f t="shared" si="3924"/>
        <v>0</v>
      </c>
      <c r="X3647" s="13">
        <f t="shared" si="3924"/>
        <v>0</v>
      </c>
      <c r="Y3647" s="13">
        <f t="shared" si="3924"/>
        <v>0</v>
      </c>
      <c r="Z3647" s="13">
        <f t="shared" si="3023"/>
        <v>1</v>
      </c>
      <c r="AA3647" s="13" t="s">
        <v>561</v>
      </c>
      <c r="AB3647" s="13"/>
      <c r="AC3647" s="13"/>
      <c r="AD3647" s="13"/>
      <c r="AE3647" s="13"/>
      <c r="AF3647" s="13"/>
      <c r="AG3647" s="13"/>
      <c r="AH3647" s="13"/>
      <c r="AI3647" s="13"/>
      <c r="AJ3647" s="13"/>
      <c r="AK3647" s="13"/>
      <c r="AL3647" s="13"/>
      <c r="AM3647" s="13"/>
      <c r="AN3647" s="13"/>
      <c r="AO3647" s="13"/>
      <c r="AP3647" s="13"/>
      <c r="AQ3647" s="13"/>
      <c r="AR3647" s="13"/>
      <c r="AS3647" s="13"/>
    </row>
    <row r="3648" ht="14.25" customHeight="1">
      <c r="A3648" s="13" t="s">
        <v>36</v>
      </c>
      <c r="B3648" s="13" t="s">
        <v>42</v>
      </c>
      <c r="C3648" s="13">
        <v>1328.0</v>
      </c>
      <c r="D3648" s="13" t="s">
        <v>182</v>
      </c>
      <c r="F3648" s="13"/>
      <c r="G3648" s="13" t="s">
        <v>111</v>
      </c>
      <c r="H3648" s="13" t="s">
        <v>75</v>
      </c>
      <c r="I3648" s="13"/>
      <c r="J3648" s="13"/>
      <c r="K3648" s="15">
        <v>0.0</v>
      </c>
      <c r="L3648" s="15">
        <v>0.0</v>
      </c>
      <c r="M3648" s="16"/>
      <c r="N3648" s="16"/>
      <c r="O3648" s="17"/>
      <c r="P3648" s="17"/>
      <c r="Q3648" s="13">
        <f t="shared" si="3886"/>
        <v>2</v>
      </c>
      <c r="R3648" s="13"/>
      <c r="S3648" s="13"/>
      <c r="T3648" s="13">
        <f t="shared" ref="T3648:Y3648" si="3925">IF(ISBLANK(K3648)=TRUE,0,1)</f>
        <v>1</v>
      </c>
      <c r="U3648" s="13">
        <f t="shared" si="3925"/>
        <v>1</v>
      </c>
      <c r="V3648" s="13">
        <f t="shared" si="3925"/>
        <v>0</v>
      </c>
      <c r="W3648" s="13">
        <f t="shared" si="3925"/>
        <v>0</v>
      </c>
      <c r="X3648" s="13">
        <f t="shared" si="3925"/>
        <v>0</v>
      </c>
      <c r="Y3648" s="13">
        <f t="shared" si="3925"/>
        <v>0</v>
      </c>
      <c r="Z3648" s="13">
        <f t="shared" si="3023"/>
        <v>0</v>
      </c>
      <c r="AA3648" s="13"/>
      <c r="AB3648" s="13"/>
      <c r="AC3648" s="13"/>
      <c r="AD3648" s="13"/>
      <c r="AE3648" s="13"/>
      <c r="AF3648" s="13"/>
      <c r="AG3648" s="13"/>
      <c r="AH3648" s="13"/>
      <c r="AI3648" s="13"/>
      <c r="AJ3648" s="13"/>
      <c r="AK3648" s="13"/>
      <c r="AL3648" s="13"/>
      <c r="AM3648" s="13"/>
      <c r="AN3648" s="13"/>
      <c r="AO3648" s="13"/>
      <c r="AP3648" s="13"/>
      <c r="AQ3648" s="13"/>
      <c r="AR3648" s="13"/>
      <c r="AS3648" s="13"/>
    </row>
    <row r="3649" ht="14.25" customHeight="1">
      <c r="A3649" s="13" t="s">
        <v>36</v>
      </c>
      <c r="B3649" s="13" t="s">
        <v>39</v>
      </c>
      <c r="C3649" s="13" t="s">
        <v>566</v>
      </c>
      <c r="D3649" s="13" t="s">
        <v>197</v>
      </c>
      <c r="F3649" s="13"/>
      <c r="G3649" s="13" t="s">
        <v>74</v>
      </c>
      <c r="H3649" s="13" t="s">
        <v>75</v>
      </c>
      <c r="I3649" s="13"/>
      <c r="J3649" s="13"/>
      <c r="K3649" s="15">
        <v>1.0</v>
      </c>
      <c r="L3649" s="15">
        <v>1.0</v>
      </c>
      <c r="M3649" s="16"/>
      <c r="N3649" s="16"/>
      <c r="O3649" s="17"/>
      <c r="P3649" s="17"/>
      <c r="Q3649" s="13">
        <f t="shared" si="3886"/>
        <v>0</v>
      </c>
      <c r="R3649" s="13"/>
      <c r="S3649" s="13"/>
      <c r="T3649" s="13">
        <f t="shared" ref="T3649:Y3649" si="3926">IF(ISBLANK(K3649)=TRUE,0,1)</f>
        <v>1</v>
      </c>
      <c r="U3649" s="13">
        <f t="shared" si="3926"/>
        <v>1</v>
      </c>
      <c r="V3649" s="13">
        <f t="shared" si="3926"/>
        <v>0</v>
      </c>
      <c r="W3649" s="13">
        <f t="shared" si="3926"/>
        <v>0</v>
      </c>
      <c r="X3649" s="13">
        <f t="shared" si="3926"/>
        <v>0</v>
      </c>
      <c r="Y3649" s="13">
        <f t="shared" si="3926"/>
        <v>0</v>
      </c>
      <c r="Z3649" s="13">
        <f t="shared" si="3023"/>
        <v>1</v>
      </c>
      <c r="AA3649" s="13"/>
      <c r="AB3649" s="13"/>
      <c r="AC3649" s="13"/>
      <c r="AD3649" s="13"/>
      <c r="AE3649" s="13"/>
      <c r="AF3649" s="13"/>
      <c r="AG3649" s="13"/>
      <c r="AH3649" s="13"/>
      <c r="AI3649" s="13"/>
      <c r="AJ3649" s="13"/>
      <c r="AK3649" s="13"/>
      <c r="AL3649" s="13"/>
      <c r="AM3649" s="13"/>
      <c r="AN3649" s="13"/>
      <c r="AO3649" s="13"/>
      <c r="AP3649" s="13"/>
      <c r="AQ3649" s="13"/>
      <c r="AR3649" s="13"/>
      <c r="AS3649" s="13"/>
    </row>
    <row r="3650" ht="14.25" customHeight="1">
      <c r="A3650" s="13" t="s">
        <v>36</v>
      </c>
      <c r="B3650" s="13" t="s">
        <v>41</v>
      </c>
      <c r="C3650" s="13" t="s">
        <v>587</v>
      </c>
      <c r="D3650" s="13" t="s">
        <v>437</v>
      </c>
      <c r="F3650" s="13"/>
      <c r="G3650" s="13" t="s">
        <v>74</v>
      </c>
      <c r="H3650" s="13" t="s">
        <v>75</v>
      </c>
      <c r="I3650" s="13"/>
      <c r="J3650" s="13"/>
      <c r="K3650" s="15">
        <v>1.0</v>
      </c>
      <c r="L3650" s="15">
        <v>1.0</v>
      </c>
      <c r="M3650" s="16"/>
      <c r="N3650" s="16"/>
      <c r="O3650" s="17"/>
      <c r="P3650" s="17"/>
      <c r="Q3650" s="13">
        <f t="shared" si="3886"/>
        <v>2</v>
      </c>
      <c r="R3650" s="13"/>
      <c r="S3650" s="13"/>
      <c r="T3650" s="13">
        <f t="shared" ref="T3650:Y3650" si="3927">IF(ISBLANK(K3650)=TRUE,0,1)</f>
        <v>1</v>
      </c>
      <c r="U3650" s="13">
        <f t="shared" si="3927"/>
        <v>1</v>
      </c>
      <c r="V3650" s="13">
        <f t="shared" si="3927"/>
        <v>0</v>
      </c>
      <c r="W3650" s="13">
        <f t="shared" si="3927"/>
        <v>0</v>
      </c>
      <c r="X3650" s="13">
        <f t="shared" si="3927"/>
        <v>0</v>
      </c>
      <c r="Y3650" s="13">
        <f t="shared" si="3927"/>
        <v>0</v>
      </c>
      <c r="Z3650" s="13">
        <f t="shared" si="3023"/>
        <v>1</v>
      </c>
      <c r="AA3650" s="13"/>
      <c r="AB3650" s="13"/>
      <c r="AC3650" s="13"/>
      <c r="AD3650" s="13"/>
      <c r="AE3650" s="13"/>
      <c r="AF3650" s="13"/>
      <c r="AG3650" s="13"/>
      <c r="AH3650" s="13"/>
      <c r="AI3650" s="13"/>
      <c r="AJ3650" s="13"/>
      <c r="AK3650" s="13"/>
      <c r="AL3650" s="13"/>
      <c r="AM3650" s="13"/>
      <c r="AN3650" s="13"/>
      <c r="AO3650" s="13"/>
      <c r="AP3650" s="13"/>
      <c r="AQ3650" s="13"/>
      <c r="AR3650" s="13"/>
      <c r="AS3650" s="13"/>
    </row>
    <row r="3651" ht="14.25" customHeight="1">
      <c r="A3651" s="13" t="s">
        <v>36</v>
      </c>
      <c r="B3651" s="13" t="s">
        <v>41</v>
      </c>
      <c r="C3651" s="13" t="s">
        <v>587</v>
      </c>
      <c r="D3651" s="13" t="s">
        <v>440</v>
      </c>
      <c r="F3651" s="13"/>
      <c r="G3651" s="13" t="s">
        <v>74</v>
      </c>
      <c r="H3651" s="13" t="s">
        <v>75</v>
      </c>
      <c r="I3651" s="13"/>
      <c r="J3651" s="13"/>
      <c r="K3651" s="15">
        <v>1.0</v>
      </c>
      <c r="L3651" s="15">
        <v>1.0</v>
      </c>
      <c r="M3651" s="16"/>
      <c r="N3651" s="16"/>
      <c r="O3651" s="17"/>
      <c r="P3651" s="17"/>
      <c r="Q3651" s="13">
        <f t="shared" si="3886"/>
        <v>2</v>
      </c>
      <c r="R3651" s="13"/>
      <c r="S3651" s="13"/>
      <c r="T3651" s="13">
        <f t="shared" ref="T3651:Y3651" si="3928">IF(ISBLANK(K3651)=TRUE,0,1)</f>
        <v>1</v>
      </c>
      <c r="U3651" s="13">
        <f t="shared" si="3928"/>
        <v>1</v>
      </c>
      <c r="V3651" s="13">
        <f t="shared" si="3928"/>
        <v>0</v>
      </c>
      <c r="W3651" s="13">
        <f t="shared" si="3928"/>
        <v>0</v>
      </c>
      <c r="X3651" s="13">
        <f t="shared" si="3928"/>
        <v>0</v>
      </c>
      <c r="Y3651" s="13">
        <f t="shared" si="3928"/>
        <v>0</v>
      </c>
      <c r="Z3651" s="13">
        <f t="shared" si="3023"/>
        <v>1</v>
      </c>
      <c r="AA3651" s="13"/>
      <c r="AB3651" s="13"/>
      <c r="AC3651" s="13"/>
      <c r="AD3651" s="13"/>
      <c r="AE3651" s="13"/>
      <c r="AF3651" s="13"/>
      <c r="AG3651" s="13"/>
      <c r="AH3651" s="13"/>
      <c r="AI3651" s="13"/>
      <c r="AJ3651" s="13"/>
      <c r="AK3651" s="13"/>
      <c r="AL3651" s="13"/>
      <c r="AM3651" s="13"/>
      <c r="AN3651" s="13"/>
      <c r="AO3651" s="13"/>
      <c r="AP3651" s="13"/>
      <c r="AQ3651" s="13"/>
      <c r="AR3651" s="13"/>
      <c r="AS3651" s="13"/>
    </row>
    <row r="3652" ht="14.25" customHeight="1">
      <c r="A3652" s="13" t="s">
        <v>36</v>
      </c>
      <c r="B3652" s="13" t="s">
        <v>41</v>
      </c>
      <c r="C3652" s="13" t="s">
        <v>587</v>
      </c>
      <c r="D3652" s="13" t="s">
        <v>441</v>
      </c>
      <c r="F3652" s="13"/>
      <c r="G3652" s="13" t="s">
        <v>74</v>
      </c>
      <c r="H3652" s="13" t="s">
        <v>75</v>
      </c>
      <c r="I3652" s="13"/>
      <c r="J3652" s="13"/>
      <c r="K3652" s="15">
        <v>1.0</v>
      </c>
      <c r="L3652" s="15">
        <v>1.0</v>
      </c>
      <c r="M3652" s="16"/>
      <c r="N3652" s="16"/>
      <c r="O3652" s="17"/>
      <c r="P3652" s="17"/>
      <c r="Q3652" s="13">
        <f t="shared" si="3886"/>
        <v>2</v>
      </c>
      <c r="R3652" s="13"/>
      <c r="S3652" s="13"/>
      <c r="T3652" s="13">
        <f t="shared" ref="T3652:Y3652" si="3929">IF(ISBLANK(K3652)=TRUE,0,1)</f>
        <v>1</v>
      </c>
      <c r="U3652" s="13">
        <f t="shared" si="3929"/>
        <v>1</v>
      </c>
      <c r="V3652" s="13">
        <f t="shared" si="3929"/>
        <v>0</v>
      </c>
      <c r="W3652" s="13">
        <f t="shared" si="3929"/>
        <v>0</v>
      </c>
      <c r="X3652" s="13">
        <f t="shared" si="3929"/>
        <v>0</v>
      </c>
      <c r="Y3652" s="13">
        <f t="shared" si="3929"/>
        <v>0</v>
      </c>
      <c r="Z3652" s="13">
        <f t="shared" si="3023"/>
        <v>1</v>
      </c>
      <c r="AA3652" s="13"/>
      <c r="AB3652" s="13"/>
      <c r="AC3652" s="13"/>
      <c r="AD3652" s="13"/>
      <c r="AE3652" s="13"/>
      <c r="AF3652" s="13"/>
      <c r="AG3652" s="13"/>
      <c r="AH3652" s="13"/>
      <c r="AI3652" s="13"/>
      <c r="AJ3652" s="13"/>
      <c r="AK3652" s="13"/>
      <c r="AL3652" s="13"/>
      <c r="AM3652" s="13"/>
      <c r="AN3652" s="13"/>
      <c r="AO3652" s="13"/>
      <c r="AP3652" s="13"/>
      <c r="AQ3652" s="13"/>
      <c r="AR3652" s="13"/>
      <c r="AS3652" s="13"/>
    </row>
    <row r="3653" ht="14.25" customHeight="1">
      <c r="A3653" s="13" t="s">
        <v>36</v>
      </c>
      <c r="B3653" s="13" t="s">
        <v>39</v>
      </c>
      <c r="C3653" s="13" t="s">
        <v>566</v>
      </c>
      <c r="D3653" s="13" t="s">
        <v>433</v>
      </c>
      <c r="F3653" s="13"/>
      <c r="G3653" s="13" t="s">
        <v>74</v>
      </c>
      <c r="H3653" s="13" t="s">
        <v>75</v>
      </c>
      <c r="I3653" s="13"/>
      <c r="J3653" s="13"/>
      <c r="K3653" s="15">
        <v>1.0</v>
      </c>
      <c r="L3653" s="15">
        <v>1.0</v>
      </c>
      <c r="M3653" s="16"/>
      <c r="N3653" s="16"/>
      <c r="O3653" s="17"/>
      <c r="P3653" s="17"/>
      <c r="Q3653" s="13" t="str">
        <f>K3652+L3652+M3652+N3652+#REF!+P3652/6</f>
        <v>#REF!</v>
      </c>
      <c r="R3653" s="13"/>
      <c r="S3653" s="13"/>
      <c r="T3653" s="13">
        <f t="shared" ref="T3653:Y3653" si="3930">IF(ISBLANK(K3653)=TRUE,0,1)</f>
        <v>1</v>
      </c>
      <c r="U3653" s="13">
        <f t="shared" si="3930"/>
        <v>1</v>
      </c>
      <c r="V3653" s="13">
        <f t="shared" si="3930"/>
        <v>0</v>
      </c>
      <c r="W3653" s="13">
        <f t="shared" si="3930"/>
        <v>0</v>
      </c>
      <c r="X3653" s="13">
        <f t="shared" si="3930"/>
        <v>0</v>
      </c>
      <c r="Y3653" s="13">
        <f t="shared" si="3930"/>
        <v>0</v>
      </c>
      <c r="Z3653" s="13">
        <f t="shared" si="3023"/>
        <v>1</v>
      </c>
      <c r="AA3653" s="13"/>
      <c r="AB3653" s="13"/>
      <c r="AC3653" s="13"/>
      <c r="AD3653" s="13"/>
      <c r="AE3653" s="13"/>
      <c r="AF3653" s="13"/>
      <c r="AG3653" s="13"/>
      <c r="AH3653" s="13"/>
      <c r="AI3653" s="13"/>
      <c r="AJ3653" s="13"/>
      <c r="AK3653" s="13"/>
      <c r="AL3653" s="13"/>
      <c r="AM3653" s="13"/>
      <c r="AN3653" s="13"/>
      <c r="AO3653" s="13"/>
      <c r="AP3653" s="13"/>
      <c r="AQ3653" s="13"/>
      <c r="AR3653" s="13"/>
      <c r="AS3653" s="13"/>
    </row>
    <row r="3654" ht="14.25" customHeight="1">
      <c r="A3654" s="13" t="s">
        <v>36</v>
      </c>
      <c r="B3654" s="13" t="s">
        <v>42</v>
      </c>
      <c r="C3654" s="13">
        <v>1328.0</v>
      </c>
      <c r="D3654" s="13" t="s">
        <v>183</v>
      </c>
      <c r="F3654" s="13"/>
      <c r="G3654" s="13" t="s">
        <v>111</v>
      </c>
      <c r="H3654" s="13" t="s">
        <v>75</v>
      </c>
      <c r="I3654" s="13"/>
      <c r="J3654" s="13"/>
      <c r="K3654" s="15">
        <v>0.0</v>
      </c>
      <c r="L3654" s="15">
        <v>0.0</v>
      </c>
      <c r="M3654" s="16"/>
      <c r="N3654" s="16"/>
      <c r="O3654" s="17"/>
      <c r="P3654" s="17"/>
      <c r="Q3654" s="13">
        <f t="shared" ref="Q3654:Q3659" si="3932">K3653+L3653+M3653+N3653+O3653+P3653/6</f>
        <v>2</v>
      </c>
      <c r="R3654" s="13"/>
      <c r="S3654" s="13"/>
      <c r="T3654" s="13">
        <f t="shared" ref="T3654:Y3654" si="3931">IF(ISBLANK(K3654)=TRUE,0,1)</f>
        <v>1</v>
      </c>
      <c r="U3654" s="13">
        <f t="shared" si="3931"/>
        <v>1</v>
      </c>
      <c r="V3654" s="13">
        <f t="shared" si="3931"/>
        <v>0</v>
      </c>
      <c r="W3654" s="13">
        <f t="shared" si="3931"/>
        <v>0</v>
      </c>
      <c r="X3654" s="13">
        <f t="shared" si="3931"/>
        <v>0</v>
      </c>
      <c r="Y3654" s="13">
        <f t="shared" si="3931"/>
        <v>0</v>
      </c>
      <c r="Z3654" s="13">
        <f t="shared" si="3023"/>
        <v>0</v>
      </c>
      <c r="AA3654" s="13"/>
      <c r="AB3654" s="13"/>
      <c r="AC3654" s="13"/>
      <c r="AD3654" s="13"/>
      <c r="AE3654" s="13"/>
      <c r="AF3654" s="13"/>
      <c r="AG3654" s="13"/>
      <c r="AH3654" s="13"/>
      <c r="AI3654" s="13"/>
      <c r="AJ3654" s="13"/>
      <c r="AK3654" s="13"/>
      <c r="AL3654" s="13"/>
      <c r="AM3654" s="13"/>
      <c r="AN3654" s="13"/>
      <c r="AO3654" s="13"/>
      <c r="AP3654" s="13"/>
      <c r="AQ3654" s="13"/>
      <c r="AR3654" s="13"/>
      <c r="AS3654" s="13"/>
    </row>
    <row r="3655" ht="14.25" customHeight="1">
      <c r="A3655" s="13" t="s">
        <v>36</v>
      </c>
      <c r="B3655" s="13" t="s">
        <v>42</v>
      </c>
      <c r="C3655" s="13">
        <v>1328.0</v>
      </c>
      <c r="D3655" s="13" t="s">
        <v>184</v>
      </c>
      <c r="F3655" s="13"/>
      <c r="G3655" s="13" t="s">
        <v>111</v>
      </c>
      <c r="H3655" s="13" t="s">
        <v>75</v>
      </c>
      <c r="I3655" s="13"/>
      <c r="J3655" s="13"/>
      <c r="K3655" s="15">
        <v>0.0</v>
      </c>
      <c r="L3655" s="15">
        <v>0.0</v>
      </c>
      <c r="M3655" s="16"/>
      <c r="N3655" s="16"/>
      <c r="O3655" s="17"/>
      <c r="P3655" s="17"/>
      <c r="Q3655" s="13">
        <f t="shared" si="3932"/>
        <v>0</v>
      </c>
      <c r="R3655" s="13"/>
      <c r="S3655" s="13"/>
      <c r="T3655" s="13">
        <f t="shared" ref="T3655:Y3655" si="3933">IF(ISBLANK(K3655)=TRUE,0,1)</f>
        <v>1</v>
      </c>
      <c r="U3655" s="13">
        <f t="shared" si="3933"/>
        <v>1</v>
      </c>
      <c r="V3655" s="13">
        <f t="shared" si="3933"/>
        <v>0</v>
      </c>
      <c r="W3655" s="13">
        <f t="shared" si="3933"/>
        <v>0</v>
      </c>
      <c r="X3655" s="13">
        <f t="shared" si="3933"/>
        <v>0</v>
      </c>
      <c r="Y3655" s="13">
        <f t="shared" si="3933"/>
        <v>0</v>
      </c>
      <c r="Z3655" s="13">
        <f t="shared" si="3023"/>
        <v>0</v>
      </c>
      <c r="AA3655" s="13"/>
      <c r="AB3655" s="13"/>
      <c r="AC3655" s="13"/>
      <c r="AD3655" s="13"/>
      <c r="AE3655" s="13"/>
      <c r="AF3655" s="13"/>
      <c r="AG3655" s="13"/>
      <c r="AH3655" s="13"/>
      <c r="AI3655" s="13"/>
      <c r="AJ3655" s="13"/>
      <c r="AK3655" s="13"/>
      <c r="AL3655" s="13"/>
      <c r="AM3655" s="13"/>
      <c r="AN3655" s="13"/>
      <c r="AO3655" s="13"/>
      <c r="AP3655" s="13"/>
      <c r="AQ3655" s="13"/>
      <c r="AR3655" s="13"/>
      <c r="AS3655" s="13"/>
    </row>
    <row r="3656" ht="14.25" customHeight="1">
      <c r="A3656" s="13" t="s">
        <v>36</v>
      </c>
      <c r="B3656" s="13" t="s">
        <v>42</v>
      </c>
      <c r="C3656" s="13">
        <v>1328.0</v>
      </c>
      <c r="D3656" s="13" t="s">
        <v>185</v>
      </c>
      <c r="F3656" s="13"/>
      <c r="G3656" s="13" t="s">
        <v>111</v>
      </c>
      <c r="H3656" s="13" t="s">
        <v>75</v>
      </c>
      <c r="I3656" s="13"/>
      <c r="J3656" s="13"/>
      <c r="K3656" s="15">
        <v>0.0</v>
      </c>
      <c r="L3656" s="15">
        <v>0.0</v>
      </c>
      <c r="M3656" s="16"/>
      <c r="N3656" s="16"/>
      <c r="O3656" s="17"/>
      <c r="P3656" s="17"/>
      <c r="Q3656" s="13">
        <f t="shared" si="3932"/>
        <v>0</v>
      </c>
      <c r="R3656" s="13"/>
      <c r="S3656" s="13"/>
      <c r="T3656" s="13">
        <f t="shared" ref="T3656:Y3656" si="3934">IF(ISBLANK(K3656)=TRUE,0,1)</f>
        <v>1</v>
      </c>
      <c r="U3656" s="13">
        <f t="shared" si="3934"/>
        <v>1</v>
      </c>
      <c r="V3656" s="13">
        <f t="shared" si="3934"/>
        <v>0</v>
      </c>
      <c r="W3656" s="13">
        <f t="shared" si="3934"/>
        <v>0</v>
      </c>
      <c r="X3656" s="13">
        <f t="shared" si="3934"/>
        <v>0</v>
      </c>
      <c r="Y3656" s="13">
        <f t="shared" si="3934"/>
        <v>0</v>
      </c>
      <c r="Z3656" s="13">
        <f t="shared" si="3023"/>
        <v>0</v>
      </c>
      <c r="AA3656" s="13"/>
      <c r="AB3656" s="13"/>
      <c r="AC3656" s="13"/>
      <c r="AD3656" s="13"/>
      <c r="AE3656" s="13"/>
      <c r="AF3656" s="13"/>
      <c r="AG3656" s="13"/>
      <c r="AH3656" s="13"/>
      <c r="AI3656" s="13"/>
      <c r="AJ3656" s="13"/>
      <c r="AK3656" s="13"/>
      <c r="AL3656" s="13"/>
      <c r="AM3656" s="13"/>
      <c r="AN3656" s="13"/>
      <c r="AO3656" s="13"/>
      <c r="AP3656" s="13"/>
      <c r="AQ3656" s="13"/>
      <c r="AR3656" s="13"/>
      <c r="AS3656" s="13"/>
    </row>
    <row r="3657" ht="14.25" customHeight="1">
      <c r="A3657" s="13" t="s">
        <v>36</v>
      </c>
      <c r="B3657" s="13" t="s">
        <v>41</v>
      </c>
      <c r="C3657" s="13" t="s">
        <v>587</v>
      </c>
      <c r="D3657" s="13" t="s">
        <v>551</v>
      </c>
      <c r="F3657" s="13"/>
      <c r="G3657" s="13" t="s">
        <v>74</v>
      </c>
      <c r="H3657" s="13" t="s">
        <v>75</v>
      </c>
      <c r="I3657" s="13"/>
      <c r="J3657" s="13"/>
      <c r="K3657" s="15">
        <v>1.0</v>
      </c>
      <c r="L3657" s="15">
        <v>1.0</v>
      </c>
      <c r="M3657" s="16"/>
      <c r="N3657" s="16"/>
      <c r="O3657" s="17"/>
      <c r="P3657" s="17"/>
      <c r="Q3657" s="13">
        <f t="shared" si="3932"/>
        <v>0</v>
      </c>
      <c r="R3657" s="13"/>
      <c r="S3657" s="13"/>
      <c r="T3657" s="13">
        <f t="shared" ref="T3657:Y3657" si="3935">IF(ISBLANK(K3657)=TRUE,0,1)</f>
        <v>1</v>
      </c>
      <c r="U3657" s="13">
        <f t="shared" si="3935"/>
        <v>1</v>
      </c>
      <c r="V3657" s="13">
        <f t="shared" si="3935"/>
        <v>0</v>
      </c>
      <c r="W3657" s="13">
        <f t="shared" si="3935"/>
        <v>0</v>
      </c>
      <c r="X3657" s="13">
        <f t="shared" si="3935"/>
        <v>0</v>
      </c>
      <c r="Y3657" s="13">
        <f t="shared" si="3935"/>
        <v>0</v>
      </c>
      <c r="Z3657" s="13">
        <f t="shared" si="3023"/>
        <v>1</v>
      </c>
      <c r="AA3657" s="13"/>
      <c r="AB3657" s="13"/>
      <c r="AC3657" s="13"/>
      <c r="AD3657" s="13"/>
      <c r="AE3657" s="13"/>
      <c r="AF3657" s="13"/>
      <c r="AG3657" s="13"/>
      <c r="AH3657" s="13"/>
      <c r="AI3657" s="13"/>
      <c r="AJ3657" s="13"/>
      <c r="AK3657" s="13"/>
      <c r="AL3657" s="13"/>
      <c r="AM3657" s="13"/>
      <c r="AN3657" s="13"/>
      <c r="AO3657" s="13"/>
      <c r="AP3657" s="13"/>
      <c r="AQ3657" s="13"/>
      <c r="AR3657" s="13"/>
      <c r="AS3657" s="13"/>
    </row>
    <row r="3658" ht="14.25" customHeight="1">
      <c r="A3658" s="13" t="s">
        <v>36</v>
      </c>
      <c r="B3658" s="13" t="s">
        <v>41</v>
      </c>
      <c r="C3658" s="13" t="s">
        <v>587</v>
      </c>
      <c r="D3658" s="13" t="s">
        <v>553</v>
      </c>
      <c r="F3658" s="13"/>
      <c r="G3658" s="13" t="s">
        <v>74</v>
      </c>
      <c r="H3658" s="13" t="s">
        <v>75</v>
      </c>
      <c r="I3658" s="13"/>
      <c r="J3658" s="13"/>
      <c r="K3658" s="15">
        <v>1.0</v>
      </c>
      <c r="L3658" s="15">
        <v>1.0</v>
      </c>
      <c r="M3658" s="16"/>
      <c r="N3658" s="16"/>
      <c r="O3658" s="17"/>
      <c r="P3658" s="17"/>
      <c r="Q3658" s="13">
        <f t="shared" si="3932"/>
        <v>2</v>
      </c>
      <c r="R3658" s="13"/>
      <c r="S3658" s="13"/>
      <c r="T3658" s="13">
        <f t="shared" ref="T3658:Y3658" si="3936">IF(ISBLANK(K3658)=TRUE,0,1)</f>
        <v>1</v>
      </c>
      <c r="U3658" s="13">
        <f t="shared" si="3936"/>
        <v>1</v>
      </c>
      <c r="V3658" s="13">
        <f t="shared" si="3936"/>
        <v>0</v>
      </c>
      <c r="W3658" s="13">
        <f t="shared" si="3936"/>
        <v>0</v>
      </c>
      <c r="X3658" s="13">
        <f t="shared" si="3936"/>
        <v>0</v>
      </c>
      <c r="Y3658" s="13">
        <f t="shared" si="3936"/>
        <v>0</v>
      </c>
      <c r="Z3658" s="13">
        <f t="shared" si="3023"/>
        <v>1</v>
      </c>
      <c r="AA3658" s="13"/>
      <c r="AB3658" s="13"/>
      <c r="AC3658" s="13"/>
      <c r="AD3658" s="13"/>
      <c r="AE3658" s="13"/>
      <c r="AF3658" s="13"/>
      <c r="AG3658" s="13"/>
      <c r="AH3658" s="13"/>
      <c r="AI3658" s="13"/>
      <c r="AJ3658" s="13"/>
      <c r="AK3658" s="13"/>
      <c r="AL3658" s="13"/>
      <c r="AM3658" s="13"/>
      <c r="AN3658" s="13"/>
      <c r="AO3658" s="13"/>
      <c r="AP3658" s="13"/>
      <c r="AQ3658" s="13"/>
      <c r="AR3658" s="13"/>
      <c r="AS3658" s="13"/>
    </row>
    <row r="3659" ht="14.25" customHeight="1">
      <c r="A3659" s="13" t="s">
        <v>36</v>
      </c>
      <c r="B3659" s="13" t="s">
        <v>39</v>
      </c>
      <c r="C3659" s="13" t="s">
        <v>566</v>
      </c>
      <c r="D3659" s="13" t="s">
        <v>434</v>
      </c>
      <c r="F3659" s="13"/>
      <c r="G3659" s="13" t="s">
        <v>74</v>
      </c>
      <c r="H3659" s="13" t="s">
        <v>75</v>
      </c>
      <c r="I3659" s="13"/>
      <c r="J3659" s="13"/>
      <c r="K3659" s="15">
        <v>1.0</v>
      </c>
      <c r="L3659" s="15">
        <v>1.0</v>
      </c>
      <c r="M3659" s="16"/>
      <c r="N3659" s="16"/>
      <c r="O3659" s="17"/>
      <c r="P3659" s="17"/>
      <c r="Q3659" s="13">
        <f t="shared" si="3932"/>
        <v>2</v>
      </c>
      <c r="R3659" s="13"/>
      <c r="S3659" s="13"/>
      <c r="T3659" s="13">
        <f t="shared" ref="T3659:Y3659" si="3937">IF(ISBLANK(K3659)=TRUE,0,1)</f>
        <v>1</v>
      </c>
      <c r="U3659" s="13">
        <f t="shared" si="3937"/>
        <v>1</v>
      </c>
      <c r="V3659" s="13">
        <f t="shared" si="3937"/>
        <v>0</v>
      </c>
      <c r="W3659" s="13">
        <f t="shared" si="3937"/>
        <v>0</v>
      </c>
      <c r="X3659" s="13">
        <f t="shared" si="3937"/>
        <v>0</v>
      </c>
      <c r="Y3659" s="13">
        <f t="shared" si="3937"/>
        <v>0</v>
      </c>
      <c r="Z3659" s="13">
        <f t="shared" si="3023"/>
        <v>1</v>
      </c>
      <c r="AA3659" s="13"/>
      <c r="AB3659" s="13"/>
      <c r="AC3659" s="13"/>
      <c r="AD3659" s="13"/>
      <c r="AE3659" s="13"/>
      <c r="AF3659" s="13"/>
      <c r="AG3659" s="13"/>
      <c r="AH3659" s="13"/>
      <c r="AI3659" s="13"/>
      <c r="AJ3659" s="13"/>
      <c r="AK3659" s="13"/>
      <c r="AL3659" s="13"/>
      <c r="AM3659" s="13"/>
      <c r="AN3659" s="13"/>
      <c r="AO3659" s="13"/>
      <c r="AP3659" s="13"/>
      <c r="AQ3659" s="13"/>
      <c r="AR3659" s="13"/>
      <c r="AS3659" s="13"/>
    </row>
    <row r="3660" ht="14.25" customHeight="1">
      <c r="A3660" s="13" t="s">
        <v>36</v>
      </c>
      <c r="B3660" s="13" t="s">
        <v>41</v>
      </c>
      <c r="C3660" s="13" t="s">
        <v>587</v>
      </c>
      <c r="D3660" s="13" t="s">
        <v>554</v>
      </c>
      <c r="F3660" s="13"/>
      <c r="G3660" s="13" t="s">
        <v>74</v>
      </c>
      <c r="H3660" s="13" t="s">
        <v>75</v>
      </c>
      <c r="I3660" s="13"/>
      <c r="J3660" s="13"/>
      <c r="K3660" s="15">
        <v>1.0</v>
      </c>
      <c r="L3660" s="15">
        <v>1.0</v>
      </c>
      <c r="M3660" s="16"/>
      <c r="N3660" s="16"/>
      <c r="O3660" s="17"/>
      <c r="P3660" s="17"/>
      <c r="Q3660" s="13">
        <f>K3656+L3656+M3656+N3656+O3656+P3656/6</f>
        <v>0</v>
      </c>
      <c r="R3660" s="13"/>
      <c r="S3660" s="13"/>
      <c r="T3660" s="13">
        <f t="shared" ref="T3660:Y3660" si="3938">IF(ISBLANK(K3660)=TRUE,0,1)</f>
        <v>1</v>
      </c>
      <c r="U3660" s="13">
        <f t="shared" si="3938"/>
        <v>1</v>
      </c>
      <c r="V3660" s="13">
        <f t="shared" si="3938"/>
        <v>0</v>
      </c>
      <c r="W3660" s="13">
        <f t="shared" si="3938"/>
        <v>0</v>
      </c>
      <c r="X3660" s="13">
        <f t="shared" si="3938"/>
        <v>0</v>
      </c>
      <c r="Y3660" s="13">
        <f t="shared" si="3938"/>
        <v>0</v>
      </c>
      <c r="Z3660" s="13">
        <f t="shared" si="3023"/>
        <v>1</v>
      </c>
      <c r="AA3660" s="13"/>
      <c r="AB3660" s="13"/>
      <c r="AC3660" s="13"/>
      <c r="AD3660" s="13"/>
      <c r="AE3660" s="13"/>
      <c r="AF3660" s="13"/>
      <c r="AG3660" s="13"/>
      <c r="AH3660" s="13"/>
      <c r="AI3660" s="13"/>
      <c r="AJ3660" s="13"/>
      <c r="AK3660" s="13"/>
      <c r="AL3660" s="13"/>
      <c r="AM3660" s="13"/>
      <c r="AN3660" s="13"/>
      <c r="AO3660" s="13"/>
      <c r="AP3660" s="13"/>
      <c r="AQ3660" s="13"/>
      <c r="AR3660" s="13"/>
      <c r="AS3660" s="13"/>
    </row>
    <row r="3661" ht="14.25" customHeight="1">
      <c r="A3661" s="13" t="s">
        <v>36</v>
      </c>
      <c r="B3661" s="13" t="s">
        <v>41</v>
      </c>
      <c r="C3661" s="13" t="s">
        <v>587</v>
      </c>
      <c r="D3661" s="13" t="s">
        <v>555</v>
      </c>
      <c r="F3661" s="13"/>
      <c r="G3661" s="13" t="s">
        <v>74</v>
      </c>
      <c r="H3661" s="13" t="s">
        <v>75</v>
      </c>
      <c r="I3661" s="13"/>
      <c r="J3661" s="13"/>
      <c r="K3661" s="15">
        <v>1.0</v>
      </c>
      <c r="L3661" s="15">
        <v>1.0</v>
      </c>
      <c r="M3661" s="16"/>
      <c r="N3661" s="16"/>
      <c r="O3661" s="17"/>
      <c r="P3661" s="17"/>
      <c r="Q3661" s="13">
        <f t="shared" ref="Q3661:Q3715" si="3940">K3660+L3660+M3660+N3660+O3660+P3660/6</f>
        <v>2</v>
      </c>
      <c r="R3661" s="13"/>
      <c r="S3661" s="13"/>
      <c r="T3661" s="13">
        <f t="shared" ref="T3661:Y3661" si="3939">IF(ISBLANK(K3661)=TRUE,0,1)</f>
        <v>1</v>
      </c>
      <c r="U3661" s="13">
        <f t="shared" si="3939"/>
        <v>1</v>
      </c>
      <c r="V3661" s="13">
        <f t="shared" si="3939"/>
        <v>0</v>
      </c>
      <c r="W3661" s="13">
        <f t="shared" si="3939"/>
        <v>0</v>
      </c>
      <c r="X3661" s="13">
        <f t="shared" si="3939"/>
        <v>0</v>
      </c>
      <c r="Y3661" s="13">
        <f t="shared" si="3939"/>
        <v>0</v>
      </c>
      <c r="Z3661" s="13">
        <f t="shared" si="3023"/>
        <v>1</v>
      </c>
      <c r="AA3661" s="13"/>
      <c r="AB3661" s="13"/>
      <c r="AC3661" s="13"/>
      <c r="AD3661" s="13"/>
      <c r="AE3661" s="13"/>
      <c r="AF3661" s="13"/>
      <c r="AG3661" s="13"/>
      <c r="AH3661" s="13"/>
      <c r="AI3661" s="13"/>
      <c r="AJ3661" s="13"/>
      <c r="AK3661" s="13"/>
      <c r="AL3661" s="13"/>
      <c r="AM3661" s="13"/>
      <c r="AN3661" s="13"/>
      <c r="AO3661" s="13"/>
      <c r="AP3661" s="13"/>
      <c r="AQ3661" s="13"/>
      <c r="AR3661" s="13"/>
      <c r="AS3661" s="13"/>
    </row>
    <row r="3662" ht="14.25" customHeight="1">
      <c r="A3662" s="13" t="s">
        <v>36</v>
      </c>
      <c r="B3662" s="13" t="s">
        <v>41</v>
      </c>
      <c r="C3662" s="13" t="s">
        <v>587</v>
      </c>
      <c r="D3662" s="13" t="s">
        <v>168</v>
      </c>
      <c r="F3662" s="13"/>
      <c r="G3662" s="13" t="s">
        <v>74</v>
      </c>
      <c r="H3662" s="13" t="s">
        <v>75</v>
      </c>
      <c r="I3662" s="13"/>
      <c r="J3662" s="13"/>
      <c r="K3662" s="15">
        <v>1.0</v>
      </c>
      <c r="L3662" s="15">
        <v>1.0</v>
      </c>
      <c r="M3662" s="16"/>
      <c r="N3662" s="16"/>
      <c r="O3662" s="17"/>
      <c r="P3662" s="17"/>
      <c r="Q3662" s="13">
        <f t="shared" si="3940"/>
        <v>2</v>
      </c>
      <c r="R3662" s="13"/>
      <c r="S3662" s="13"/>
      <c r="T3662" s="13">
        <f t="shared" ref="T3662:Y3662" si="3941">IF(ISBLANK(K3662)=TRUE,0,1)</f>
        <v>1</v>
      </c>
      <c r="U3662" s="13">
        <f t="shared" si="3941"/>
        <v>1</v>
      </c>
      <c r="V3662" s="13">
        <f t="shared" si="3941"/>
        <v>0</v>
      </c>
      <c r="W3662" s="13">
        <f t="shared" si="3941"/>
        <v>0</v>
      </c>
      <c r="X3662" s="13">
        <f t="shared" si="3941"/>
        <v>0</v>
      </c>
      <c r="Y3662" s="13">
        <f t="shared" si="3941"/>
        <v>0</v>
      </c>
      <c r="Z3662" s="13">
        <f t="shared" si="3023"/>
        <v>1</v>
      </c>
      <c r="AA3662" s="13"/>
      <c r="AB3662" s="13"/>
      <c r="AC3662" s="13"/>
      <c r="AD3662" s="13"/>
      <c r="AE3662" s="13"/>
      <c r="AF3662" s="13"/>
      <c r="AG3662" s="13"/>
      <c r="AH3662" s="13"/>
      <c r="AI3662" s="13"/>
      <c r="AJ3662" s="13"/>
      <c r="AK3662" s="13"/>
      <c r="AL3662" s="13"/>
      <c r="AM3662" s="13"/>
      <c r="AN3662" s="13"/>
      <c r="AO3662" s="13"/>
      <c r="AP3662" s="13"/>
      <c r="AQ3662" s="13"/>
      <c r="AR3662" s="13"/>
      <c r="AS3662" s="13"/>
    </row>
    <row r="3663" ht="14.25" customHeight="1">
      <c r="A3663" s="13" t="s">
        <v>36</v>
      </c>
      <c r="B3663" s="13" t="s">
        <v>39</v>
      </c>
      <c r="C3663" s="13" t="s">
        <v>566</v>
      </c>
      <c r="D3663" s="13" t="s">
        <v>435</v>
      </c>
      <c r="F3663" s="13"/>
      <c r="G3663" s="13" t="s">
        <v>74</v>
      </c>
      <c r="H3663" s="13" t="s">
        <v>75</v>
      </c>
      <c r="I3663" s="13"/>
      <c r="J3663" s="13"/>
      <c r="K3663" s="15">
        <v>1.0</v>
      </c>
      <c r="L3663" s="15">
        <v>1.0</v>
      </c>
      <c r="M3663" s="16"/>
      <c r="N3663" s="16"/>
      <c r="O3663" s="17"/>
      <c r="P3663" s="17"/>
      <c r="Q3663" s="13">
        <f t="shared" si="3940"/>
        <v>2</v>
      </c>
      <c r="R3663" s="13"/>
      <c r="S3663" s="13"/>
      <c r="T3663" s="13">
        <f t="shared" ref="T3663:Y3663" si="3942">IF(ISBLANK(K3663)=TRUE,0,1)</f>
        <v>1</v>
      </c>
      <c r="U3663" s="13">
        <f t="shared" si="3942"/>
        <v>1</v>
      </c>
      <c r="V3663" s="13">
        <f t="shared" si="3942"/>
        <v>0</v>
      </c>
      <c r="W3663" s="13">
        <f t="shared" si="3942"/>
        <v>0</v>
      </c>
      <c r="X3663" s="13">
        <f t="shared" si="3942"/>
        <v>0</v>
      </c>
      <c r="Y3663" s="13">
        <f t="shared" si="3942"/>
        <v>0</v>
      </c>
      <c r="Z3663" s="13">
        <f t="shared" si="3023"/>
        <v>1</v>
      </c>
      <c r="AA3663" s="13"/>
      <c r="AB3663" s="13"/>
      <c r="AC3663" s="13"/>
      <c r="AD3663" s="13"/>
      <c r="AE3663" s="13"/>
      <c r="AF3663" s="13"/>
      <c r="AG3663" s="13"/>
      <c r="AH3663" s="13"/>
      <c r="AI3663" s="13"/>
      <c r="AJ3663" s="13"/>
      <c r="AK3663" s="13"/>
      <c r="AL3663" s="13"/>
      <c r="AM3663" s="13"/>
      <c r="AN3663" s="13"/>
      <c r="AO3663" s="13"/>
      <c r="AP3663" s="13"/>
      <c r="AQ3663" s="13"/>
      <c r="AR3663" s="13"/>
      <c r="AS3663" s="13"/>
    </row>
    <row r="3664" ht="14.25" customHeight="1">
      <c r="A3664" s="13" t="s">
        <v>36</v>
      </c>
      <c r="B3664" s="13" t="s">
        <v>42</v>
      </c>
      <c r="C3664" s="13">
        <v>1328.0</v>
      </c>
      <c r="D3664" s="13" t="s">
        <v>186</v>
      </c>
      <c r="F3664" s="13"/>
      <c r="G3664" s="13" t="s">
        <v>111</v>
      </c>
      <c r="H3664" s="13" t="s">
        <v>75</v>
      </c>
      <c r="I3664" s="13"/>
      <c r="J3664" s="13"/>
      <c r="K3664" s="15">
        <v>0.0</v>
      </c>
      <c r="L3664" s="15">
        <v>0.0</v>
      </c>
      <c r="M3664" s="16"/>
      <c r="N3664" s="16"/>
      <c r="O3664" s="17"/>
      <c r="P3664" s="17"/>
      <c r="Q3664" s="13">
        <f t="shared" si="3940"/>
        <v>2</v>
      </c>
      <c r="R3664" s="13"/>
      <c r="S3664" s="13"/>
      <c r="T3664" s="13">
        <f t="shared" ref="T3664:Y3664" si="3943">IF(ISBLANK(K3664)=TRUE,0,1)</f>
        <v>1</v>
      </c>
      <c r="U3664" s="13">
        <f t="shared" si="3943"/>
        <v>1</v>
      </c>
      <c r="V3664" s="13">
        <f t="shared" si="3943"/>
        <v>0</v>
      </c>
      <c r="W3664" s="13">
        <f t="shared" si="3943"/>
        <v>0</v>
      </c>
      <c r="X3664" s="13">
        <f t="shared" si="3943"/>
        <v>0</v>
      </c>
      <c r="Y3664" s="13">
        <f t="shared" si="3943"/>
        <v>0</v>
      </c>
      <c r="Z3664" s="13">
        <f t="shared" si="3023"/>
        <v>0</v>
      </c>
      <c r="AA3664" s="13"/>
      <c r="AB3664" s="13"/>
      <c r="AC3664" s="13"/>
      <c r="AD3664" s="13"/>
      <c r="AE3664" s="13"/>
      <c r="AF3664" s="13"/>
      <c r="AG3664" s="13"/>
      <c r="AH3664" s="13"/>
      <c r="AI3664" s="13"/>
      <c r="AJ3664" s="13"/>
      <c r="AK3664" s="13"/>
      <c r="AL3664" s="13"/>
      <c r="AM3664" s="13"/>
      <c r="AN3664" s="13"/>
      <c r="AO3664" s="13"/>
      <c r="AP3664" s="13"/>
      <c r="AQ3664" s="13"/>
      <c r="AR3664" s="13"/>
      <c r="AS3664" s="13"/>
    </row>
    <row r="3665" ht="14.25" customHeight="1">
      <c r="A3665" s="13" t="s">
        <v>36</v>
      </c>
      <c r="B3665" s="13" t="s">
        <v>42</v>
      </c>
      <c r="C3665" s="13">
        <v>1328.0</v>
      </c>
      <c r="D3665" s="13" t="s">
        <v>187</v>
      </c>
      <c r="F3665" s="13"/>
      <c r="G3665" s="13" t="s">
        <v>111</v>
      </c>
      <c r="H3665" s="13" t="s">
        <v>75</v>
      </c>
      <c r="I3665" s="13"/>
      <c r="J3665" s="13"/>
      <c r="K3665" s="15">
        <v>0.0</v>
      </c>
      <c r="L3665" s="15">
        <v>0.0</v>
      </c>
      <c r="M3665" s="16"/>
      <c r="N3665" s="16"/>
      <c r="O3665" s="17"/>
      <c r="P3665" s="17"/>
      <c r="Q3665" s="13">
        <f t="shared" si="3940"/>
        <v>0</v>
      </c>
      <c r="R3665" s="13"/>
      <c r="S3665" s="13"/>
      <c r="T3665" s="13">
        <f t="shared" ref="T3665:Y3665" si="3944">IF(ISBLANK(K3665)=TRUE,0,1)</f>
        <v>1</v>
      </c>
      <c r="U3665" s="13">
        <f t="shared" si="3944"/>
        <v>1</v>
      </c>
      <c r="V3665" s="13">
        <f t="shared" si="3944"/>
        <v>0</v>
      </c>
      <c r="W3665" s="13">
        <f t="shared" si="3944"/>
        <v>0</v>
      </c>
      <c r="X3665" s="13">
        <f t="shared" si="3944"/>
        <v>0</v>
      </c>
      <c r="Y3665" s="13">
        <f t="shared" si="3944"/>
        <v>0</v>
      </c>
      <c r="Z3665" s="13">
        <f t="shared" si="3023"/>
        <v>0</v>
      </c>
      <c r="AA3665" s="13"/>
      <c r="AB3665" s="13"/>
      <c r="AC3665" s="13"/>
      <c r="AD3665" s="13"/>
      <c r="AE3665" s="13"/>
      <c r="AF3665" s="13"/>
      <c r="AG3665" s="13"/>
      <c r="AH3665" s="13"/>
      <c r="AI3665" s="13"/>
      <c r="AJ3665" s="13"/>
      <c r="AK3665" s="13"/>
      <c r="AL3665" s="13"/>
      <c r="AM3665" s="13"/>
      <c r="AN3665" s="13"/>
      <c r="AO3665" s="13"/>
      <c r="AP3665" s="13"/>
      <c r="AQ3665" s="13"/>
      <c r="AR3665" s="13"/>
      <c r="AS3665" s="13"/>
    </row>
    <row r="3666" ht="14.25" customHeight="1">
      <c r="A3666" s="13" t="s">
        <v>36</v>
      </c>
      <c r="B3666" s="13" t="s">
        <v>42</v>
      </c>
      <c r="C3666" s="13">
        <v>1328.0</v>
      </c>
      <c r="D3666" s="13" t="s">
        <v>188</v>
      </c>
      <c r="F3666" s="13"/>
      <c r="G3666" s="13" t="s">
        <v>111</v>
      </c>
      <c r="H3666" s="13" t="s">
        <v>75</v>
      </c>
      <c r="I3666" s="13"/>
      <c r="J3666" s="13"/>
      <c r="K3666" s="15">
        <v>0.0</v>
      </c>
      <c r="L3666" s="15">
        <v>0.0</v>
      </c>
      <c r="M3666" s="16"/>
      <c r="N3666" s="16"/>
      <c r="O3666" s="17"/>
      <c r="P3666" s="17"/>
      <c r="Q3666" s="13">
        <f t="shared" si="3940"/>
        <v>0</v>
      </c>
      <c r="R3666" s="13"/>
      <c r="S3666" s="13"/>
      <c r="T3666" s="13">
        <f t="shared" ref="T3666:Y3666" si="3945">IF(ISBLANK(K3666)=TRUE,0,1)</f>
        <v>1</v>
      </c>
      <c r="U3666" s="13">
        <f t="shared" si="3945"/>
        <v>1</v>
      </c>
      <c r="V3666" s="13">
        <f t="shared" si="3945"/>
        <v>0</v>
      </c>
      <c r="W3666" s="13">
        <f t="shared" si="3945"/>
        <v>0</v>
      </c>
      <c r="X3666" s="13">
        <f t="shared" si="3945"/>
        <v>0</v>
      </c>
      <c r="Y3666" s="13">
        <f t="shared" si="3945"/>
        <v>0</v>
      </c>
      <c r="Z3666" s="13">
        <f t="shared" si="3023"/>
        <v>0</v>
      </c>
      <c r="AA3666" s="13"/>
      <c r="AB3666" s="13"/>
      <c r="AC3666" s="13"/>
      <c r="AD3666" s="13"/>
      <c r="AE3666" s="13"/>
      <c r="AF3666" s="13"/>
      <c r="AG3666" s="13"/>
      <c r="AH3666" s="13"/>
      <c r="AI3666" s="13"/>
      <c r="AJ3666" s="13"/>
      <c r="AK3666" s="13"/>
      <c r="AL3666" s="13"/>
      <c r="AM3666" s="13"/>
      <c r="AN3666" s="13"/>
      <c r="AO3666" s="13"/>
      <c r="AP3666" s="13"/>
      <c r="AQ3666" s="13"/>
      <c r="AR3666" s="13"/>
      <c r="AS3666" s="13"/>
    </row>
    <row r="3667" ht="14.25" customHeight="1">
      <c r="A3667" s="13" t="s">
        <v>36</v>
      </c>
      <c r="B3667" s="13" t="s">
        <v>39</v>
      </c>
      <c r="C3667" s="13" t="s">
        <v>566</v>
      </c>
      <c r="D3667" s="13" t="s">
        <v>436</v>
      </c>
      <c r="F3667" s="13"/>
      <c r="G3667" s="13" t="s">
        <v>74</v>
      </c>
      <c r="H3667" s="13" t="s">
        <v>75</v>
      </c>
      <c r="I3667" s="13"/>
      <c r="J3667" s="13"/>
      <c r="K3667" s="15">
        <v>1.0</v>
      </c>
      <c r="L3667" s="15">
        <v>1.0</v>
      </c>
      <c r="M3667" s="16"/>
      <c r="N3667" s="16"/>
      <c r="O3667" s="17"/>
      <c r="P3667" s="17"/>
      <c r="Q3667" s="13">
        <f t="shared" si="3940"/>
        <v>0</v>
      </c>
      <c r="R3667" s="13"/>
      <c r="S3667" s="13"/>
      <c r="T3667" s="13">
        <f t="shared" ref="T3667:Y3667" si="3946">IF(ISBLANK(K3667)=TRUE,0,1)</f>
        <v>1</v>
      </c>
      <c r="U3667" s="13">
        <f t="shared" si="3946"/>
        <v>1</v>
      </c>
      <c r="V3667" s="13">
        <f t="shared" si="3946"/>
        <v>0</v>
      </c>
      <c r="W3667" s="13">
        <f t="shared" si="3946"/>
        <v>0</v>
      </c>
      <c r="X3667" s="13">
        <f t="shared" si="3946"/>
        <v>0</v>
      </c>
      <c r="Y3667" s="13">
        <f t="shared" si="3946"/>
        <v>0</v>
      </c>
      <c r="Z3667" s="13">
        <f t="shared" si="3023"/>
        <v>1</v>
      </c>
      <c r="AA3667" s="13"/>
      <c r="AB3667" s="13"/>
      <c r="AC3667" s="13"/>
      <c r="AD3667" s="13"/>
      <c r="AE3667" s="13"/>
      <c r="AF3667" s="13"/>
      <c r="AG3667" s="13"/>
      <c r="AH3667" s="13"/>
      <c r="AI3667" s="13"/>
      <c r="AJ3667" s="13"/>
      <c r="AK3667" s="13"/>
      <c r="AL3667" s="13"/>
      <c r="AM3667" s="13"/>
      <c r="AN3667" s="13"/>
      <c r="AO3667" s="13"/>
      <c r="AP3667" s="13"/>
      <c r="AQ3667" s="13"/>
      <c r="AR3667" s="13"/>
      <c r="AS3667" s="13"/>
    </row>
    <row r="3668" ht="14.25" customHeight="1">
      <c r="A3668" s="13" t="s">
        <v>36</v>
      </c>
      <c r="B3668" s="13" t="s">
        <v>39</v>
      </c>
      <c r="C3668" s="13" t="s">
        <v>566</v>
      </c>
      <c r="D3668" s="13" t="s">
        <v>437</v>
      </c>
      <c r="F3668" s="13"/>
      <c r="G3668" s="13" t="s">
        <v>74</v>
      </c>
      <c r="H3668" s="13" t="s">
        <v>75</v>
      </c>
      <c r="I3668" s="13"/>
      <c r="J3668" s="13"/>
      <c r="K3668" s="15">
        <v>1.0</v>
      </c>
      <c r="L3668" s="15">
        <v>1.0</v>
      </c>
      <c r="M3668" s="16"/>
      <c r="N3668" s="16"/>
      <c r="O3668" s="17"/>
      <c r="P3668" s="17"/>
      <c r="Q3668" s="13">
        <f t="shared" si="3940"/>
        <v>2</v>
      </c>
      <c r="R3668" s="13"/>
      <c r="S3668" s="13"/>
      <c r="T3668" s="13">
        <f t="shared" ref="T3668:Y3668" si="3947">IF(ISBLANK(K3668)=TRUE,0,1)</f>
        <v>1</v>
      </c>
      <c r="U3668" s="13">
        <f t="shared" si="3947"/>
        <v>1</v>
      </c>
      <c r="V3668" s="13">
        <f t="shared" si="3947"/>
        <v>0</v>
      </c>
      <c r="W3668" s="13">
        <f t="shared" si="3947"/>
        <v>0</v>
      </c>
      <c r="X3668" s="13">
        <f t="shared" si="3947"/>
        <v>0</v>
      </c>
      <c r="Y3668" s="13">
        <f t="shared" si="3947"/>
        <v>0</v>
      </c>
      <c r="Z3668" s="13">
        <f t="shared" si="3023"/>
        <v>1</v>
      </c>
      <c r="AA3668" s="13"/>
      <c r="AB3668" s="13"/>
      <c r="AC3668" s="13"/>
      <c r="AD3668" s="13"/>
      <c r="AE3668" s="13"/>
      <c r="AF3668" s="13"/>
      <c r="AG3668" s="13"/>
      <c r="AH3668" s="13"/>
      <c r="AI3668" s="13"/>
      <c r="AJ3668" s="13"/>
      <c r="AK3668" s="13"/>
      <c r="AL3668" s="13"/>
      <c r="AM3668" s="13"/>
      <c r="AN3668" s="13"/>
      <c r="AO3668" s="13"/>
      <c r="AP3668" s="13"/>
      <c r="AQ3668" s="13"/>
      <c r="AR3668" s="13"/>
      <c r="AS3668" s="13"/>
    </row>
    <row r="3669" ht="14.25" customHeight="1">
      <c r="A3669" s="13" t="s">
        <v>36</v>
      </c>
      <c r="B3669" s="13" t="s">
        <v>42</v>
      </c>
      <c r="C3669" s="13">
        <v>1328.0</v>
      </c>
      <c r="D3669" s="13" t="s">
        <v>189</v>
      </c>
      <c r="F3669" s="13"/>
      <c r="G3669" s="13" t="s">
        <v>111</v>
      </c>
      <c r="H3669" s="13" t="s">
        <v>75</v>
      </c>
      <c r="I3669" s="13"/>
      <c r="J3669" s="13"/>
      <c r="K3669" s="15">
        <v>0.0</v>
      </c>
      <c r="L3669" s="15">
        <v>0.0</v>
      </c>
      <c r="M3669" s="16"/>
      <c r="N3669" s="16"/>
      <c r="O3669" s="17"/>
      <c r="P3669" s="17"/>
      <c r="Q3669" s="13">
        <f t="shared" si="3940"/>
        <v>2</v>
      </c>
      <c r="R3669" s="13"/>
      <c r="S3669" s="13"/>
      <c r="T3669" s="13">
        <f t="shared" ref="T3669:Y3669" si="3948">IF(ISBLANK(K3669)=TRUE,0,1)</f>
        <v>1</v>
      </c>
      <c r="U3669" s="13">
        <f t="shared" si="3948"/>
        <v>1</v>
      </c>
      <c r="V3669" s="13">
        <f t="shared" si="3948"/>
        <v>0</v>
      </c>
      <c r="W3669" s="13">
        <f t="shared" si="3948"/>
        <v>0</v>
      </c>
      <c r="X3669" s="13">
        <f t="shared" si="3948"/>
        <v>0</v>
      </c>
      <c r="Y3669" s="13">
        <f t="shared" si="3948"/>
        <v>0</v>
      </c>
      <c r="Z3669" s="13">
        <f t="shared" si="3023"/>
        <v>0</v>
      </c>
      <c r="AA3669" s="13"/>
      <c r="AB3669" s="13"/>
      <c r="AC3669" s="13"/>
      <c r="AD3669" s="13"/>
      <c r="AE3669" s="13"/>
      <c r="AF3669" s="13"/>
      <c r="AG3669" s="13"/>
      <c r="AH3669" s="13"/>
      <c r="AI3669" s="13"/>
      <c r="AJ3669" s="13"/>
      <c r="AK3669" s="13"/>
      <c r="AL3669" s="13"/>
      <c r="AM3669" s="13"/>
      <c r="AN3669" s="13"/>
      <c r="AO3669" s="13"/>
      <c r="AP3669" s="13"/>
      <c r="AQ3669" s="13"/>
      <c r="AR3669" s="13"/>
      <c r="AS3669" s="13"/>
    </row>
    <row r="3670" ht="14.25" customHeight="1">
      <c r="A3670" s="13" t="s">
        <v>36</v>
      </c>
      <c r="B3670" s="13" t="s">
        <v>42</v>
      </c>
      <c r="C3670" s="13">
        <v>1328.0</v>
      </c>
      <c r="D3670" s="13" t="s">
        <v>190</v>
      </c>
      <c r="F3670" s="13"/>
      <c r="G3670" s="13" t="s">
        <v>111</v>
      </c>
      <c r="H3670" s="13" t="s">
        <v>75</v>
      </c>
      <c r="I3670" s="13"/>
      <c r="J3670" s="13"/>
      <c r="K3670" s="15">
        <v>0.0</v>
      </c>
      <c r="L3670" s="15">
        <v>0.0</v>
      </c>
      <c r="M3670" s="16"/>
      <c r="N3670" s="16"/>
      <c r="O3670" s="17"/>
      <c r="P3670" s="17"/>
      <c r="Q3670" s="13">
        <f t="shared" si="3940"/>
        <v>0</v>
      </c>
      <c r="R3670" s="13"/>
      <c r="S3670" s="13"/>
      <c r="T3670" s="13">
        <f t="shared" ref="T3670:Y3670" si="3949">IF(ISBLANK(K3670)=TRUE,0,1)</f>
        <v>1</v>
      </c>
      <c r="U3670" s="13">
        <f t="shared" si="3949"/>
        <v>1</v>
      </c>
      <c r="V3670" s="13">
        <f t="shared" si="3949"/>
        <v>0</v>
      </c>
      <c r="W3670" s="13">
        <f t="shared" si="3949"/>
        <v>0</v>
      </c>
      <c r="X3670" s="13">
        <f t="shared" si="3949"/>
        <v>0</v>
      </c>
      <c r="Y3670" s="13">
        <f t="shared" si="3949"/>
        <v>0</v>
      </c>
      <c r="Z3670" s="13">
        <f t="shared" si="3023"/>
        <v>0</v>
      </c>
      <c r="AA3670" s="13"/>
      <c r="AB3670" s="13"/>
      <c r="AC3670" s="13"/>
      <c r="AD3670" s="13"/>
      <c r="AE3670" s="13"/>
      <c r="AF3670" s="13"/>
      <c r="AG3670" s="13"/>
      <c r="AH3670" s="13"/>
      <c r="AI3670" s="13"/>
      <c r="AJ3670" s="13"/>
      <c r="AK3670" s="13"/>
      <c r="AL3670" s="13"/>
      <c r="AM3670" s="13"/>
      <c r="AN3670" s="13"/>
      <c r="AO3670" s="13"/>
      <c r="AP3670" s="13"/>
      <c r="AQ3670" s="13"/>
      <c r="AR3670" s="13"/>
      <c r="AS3670" s="13"/>
    </row>
    <row r="3671" ht="14.25" customHeight="1">
      <c r="A3671" s="13" t="s">
        <v>36</v>
      </c>
      <c r="B3671" s="13" t="s">
        <v>42</v>
      </c>
      <c r="C3671" s="13">
        <v>1328.0</v>
      </c>
      <c r="D3671" s="13" t="s">
        <v>191</v>
      </c>
      <c r="F3671" s="13"/>
      <c r="G3671" s="13" t="s">
        <v>111</v>
      </c>
      <c r="H3671" s="13" t="s">
        <v>75</v>
      </c>
      <c r="I3671" s="13"/>
      <c r="J3671" s="13"/>
      <c r="K3671" s="15">
        <v>0.0</v>
      </c>
      <c r="L3671" s="15">
        <v>0.0</v>
      </c>
      <c r="M3671" s="16"/>
      <c r="N3671" s="16"/>
      <c r="O3671" s="17"/>
      <c r="P3671" s="17"/>
      <c r="Q3671" s="13">
        <f t="shared" si="3940"/>
        <v>0</v>
      </c>
      <c r="R3671" s="13"/>
      <c r="S3671" s="13"/>
      <c r="T3671" s="13">
        <f t="shared" ref="T3671:Y3671" si="3950">IF(ISBLANK(K3671)=TRUE,0,1)</f>
        <v>1</v>
      </c>
      <c r="U3671" s="13">
        <f t="shared" si="3950"/>
        <v>1</v>
      </c>
      <c r="V3671" s="13">
        <f t="shared" si="3950"/>
        <v>0</v>
      </c>
      <c r="W3671" s="13">
        <f t="shared" si="3950"/>
        <v>0</v>
      </c>
      <c r="X3671" s="13">
        <f t="shared" si="3950"/>
        <v>0</v>
      </c>
      <c r="Y3671" s="13">
        <f t="shared" si="3950"/>
        <v>0</v>
      </c>
      <c r="Z3671" s="13">
        <f t="shared" si="3023"/>
        <v>0</v>
      </c>
      <c r="AA3671" s="13"/>
      <c r="AB3671" s="13"/>
      <c r="AC3671" s="13"/>
      <c r="AD3671" s="13"/>
      <c r="AE3671" s="13"/>
      <c r="AF3671" s="13"/>
      <c r="AG3671" s="13"/>
      <c r="AH3671" s="13"/>
      <c r="AI3671" s="13"/>
      <c r="AJ3671" s="13"/>
      <c r="AK3671" s="13"/>
      <c r="AL3671" s="13"/>
      <c r="AM3671" s="13"/>
      <c r="AN3671" s="13"/>
      <c r="AO3671" s="13"/>
      <c r="AP3671" s="13"/>
      <c r="AQ3671" s="13"/>
      <c r="AR3671" s="13"/>
      <c r="AS3671" s="13"/>
    </row>
    <row r="3672" ht="14.25" customHeight="1">
      <c r="A3672" s="13" t="s">
        <v>36</v>
      </c>
      <c r="B3672" s="13" t="s">
        <v>39</v>
      </c>
      <c r="C3672" s="13" t="s">
        <v>566</v>
      </c>
      <c r="D3672" s="13" t="s">
        <v>440</v>
      </c>
      <c r="F3672" s="13"/>
      <c r="G3672" s="13" t="s">
        <v>74</v>
      </c>
      <c r="H3672" s="13" t="s">
        <v>75</v>
      </c>
      <c r="I3672" s="13"/>
      <c r="J3672" s="13"/>
      <c r="K3672" s="15">
        <v>1.0</v>
      </c>
      <c r="L3672" s="15">
        <v>1.0</v>
      </c>
      <c r="M3672" s="16"/>
      <c r="N3672" s="16"/>
      <c r="O3672" s="17"/>
      <c r="P3672" s="17"/>
      <c r="Q3672" s="13">
        <f t="shared" si="3940"/>
        <v>0</v>
      </c>
      <c r="R3672" s="13"/>
      <c r="S3672" s="13"/>
      <c r="T3672" s="13">
        <f t="shared" ref="T3672:Y3672" si="3951">IF(ISBLANK(K3672)=TRUE,0,1)</f>
        <v>1</v>
      </c>
      <c r="U3672" s="13">
        <f t="shared" si="3951"/>
        <v>1</v>
      </c>
      <c r="V3672" s="13">
        <f t="shared" si="3951"/>
        <v>0</v>
      </c>
      <c r="W3672" s="13">
        <f t="shared" si="3951"/>
        <v>0</v>
      </c>
      <c r="X3672" s="13">
        <f t="shared" si="3951"/>
        <v>0</v>
      </c>
      <c r="Y3672" s="13">
        <f t="shared" si="3951"/>
        <v>0</v>
      </c>
      <c r="Z3672" s="13">
        <f t="shared" si="3023"/>
        <v>1</v>
      </c>
      <c r="AA3672" s="13"/>
      <c r="AB3672" s="13"/>
      <c r="AC3672" s="13"/>
      <c r="AD3672" s="13"/>
      <c r="AE3672" s="13"/>
      <c r="AF3672" s="13"/>
      <c r="AG3672" s="13"/>
      <c r="AH3672" s="13"/>
      <c r="AI3672" s="13"/>
      <c r="AJ3672" s="13"/>
      <c r="AK3672" s="13"/>
      <c r="AL3672" s="13"/>
      <c r="AM3672" s="13"/>
      <c r="AN3672" s="13"/>
      <c r="AO3672" s="13"/>
      <c r="AP3672" s="13"/>
      <c r="AQ3672" s="13"/>
      <c r="AR3672" s="13"/>
      <c r="AS3672" s="13"/>
    </row>
    <row r="3673" ht="14.25" customHeight="1">
      <c r="A3673" s="13" t="s">
        <v>36</v>
      </c>
      <c r="B3673" s="13" t="s">
        <v>39</v>
      </c>
      <c r="C3673" s="13" t="s">
        <v>566</v>
      </c>
      <c r="D3673" s="13" t="s">
        <v>441</v>
      </c>
      <c r="F3673" s="13"/>
      <c r="G3673" s="13" t="s">
        <v>74</v>
      </c>
      <c r="H3673" s="13" t="s">
        <v>75</v>
      </c>
      <c r="I3673" s="13"/>
      <c r="J3673" s="13"/>
      <c r="K3673" s="15">
        <v>1.0</v>
      </c>
      <c r="L3673" s="15">
        <v>1.0</v>
      </c>
      <c r="M3673" s="16"/>
      <c r="N3673" s="16"/>
      <c r="O3673" s="17"/>
      <c r="P3673" s="17"/>
      <c r="Q3673" s="13">
        <f t="shared" si="3940"/>
        <v>2</v>
      </c>
      <c r="R3673" s="13"/>
      <c r="S3673" s="13"/>
      <c r="T3673" s="13">
        <f t="shared" ref="T3673:Y3673" si="3952">IF(ISBLANK(K3673)=TRUE,0,1)</f>
        <v>1</v>
      </c>
      <c r="U3673" s="13">
        <f t="shared" si="3952"/>
        <v>1</v>
      </c>
      <c r="V3673" s="13">
        <f t="shared" si="3952"/>
        <v>0</v>
      </c>
      <c r="W3673" s="13">
        <f t="shared" si="3952"/>
        <v>0</v>
      </c>
      <c r="X3673" s="13">
        <f t="shared" si="3952"/>
        <v>0</v>
      </c>
      <c r="Y3673" s="13">
        <f t="shared" si="3952"/>
        <v>0</v>
      </c>
      <c r="Z3673" s="13">
        <f t="shared" si="3023"/>
        <v>1</v>
      </c>
      <c r="AA3673" s="13"/>
      <c r="AB3673" s="13"/>
      <c r="AC3673" s="13"/>
      <c r="AD3673" s="13"/>
      <c r="AE3673" s="13"/>
      <c r="AF3673" s="13"/>
      <c r="AG3673" s="13"/>
      <c r="AH3673" s="13"/>
      <c r="AI3673" s="13"/>
      <c r="AJ3673" s="13"/>
      <c r="AK3673" s="13"/>
      <c r="AL3673" s="13"/>
      <c r="AM3673" s="13"/>
      <c r="AN3673" s="13"/>
      <c r="AO3673" s="13"/>
      <c r="AP3673" s="13"/>
      <c r="AQ3673" s="13"/>
      <c r="AR3673" s="13"/>
      <c r="AS3673" s="13"/>
    </row>
    <row r="3674" ht="14.25" customHeight="1">
      <c r="A3674" s="13" t="s">
        <v>36</v>
      </c>
      <c r="B3674" s="13" t="s">
        <v>42</v>
      </c>
      <c r="C3674" s="13">
        <v>1328.0</v>
      </c>
      <c r="D3674" s="13" t="s">
        <v>192</v>
      </c>
      <c r="F3674" s="13"/>
      <c r="G3674" s="13" t="s">
        <v>111</v>
      </c>
      <c r="H3674" s="13" t="s">
        <v>75</v>
      </c>
      <c r="I3674" s="13"/>
      <c r="J3674" s="13"/>
      <c r="K3674" s="15">
        <v>0.0</v>
      </c>
      <c r="L3674" s="15">
        <v>0.0</v>
      </c>
      <c r="M3674" s="16"/>
      <c r="N3674" s="16"/>
      <c r="O3674" s="17"/>
      <c r="P3674" s="17"/>
      <c r="Q3674" s="13">
        <f t="shared" si="3940"/>
        <v>2</v>
      </c>
      <c r="R3674" s="13"/>
      <c r="S3674" s="13"/>
      <c r="T3674" s="13">
        <f t="shared" ref="T3674:Y3674" si="3953">IF(ISBLANK(K3674)=TRUE,0,1)</f>
        <v>1</v>
      </c>
      <c r="U3674" s="13">
        <f t="shared" si="3953"/>
        <v>1</v>
      </c>
      <c r="V3674" s="13">
        <f t="shared" si="3953"/>
        <v>0</v>
      </c>
      <c r="W3674" s="13">
        <f t="shared" si="3953"/>
        <v>0</v>
      </c>
      <c r="X3674" s="13">
        <f t="shared" si="3953"/>
        <v>0</v>
      </c>
      <c r="Y3674" s="13">
        <f t="shared" si="3953"/>
        <v>0</v>
      </c>
      <c r="Z3674" s="13">
        <f t="shared" si="3023"/>
        <v>0</v>
      </c>
      <c r="AA3674" s="13"/>
      <c r="AB3674" s="13"/>
      <c r="AC3674" s="13"/>
      <c r="AD3674" s="13"/>
      <c r="AE3674" s="13"/>
      <c r="AF3674" s="13"/>
      <c r="AG3674" s="13"/>
      <c r="AH3674" s="13"/>
      <c r="AI3674" s="13"/>
      <c r="AJ3674" s="13"/>
      <c r="AK3674" s="13"/>
      <c r="AL3674" s="13"/>
      <c r="AM3674" s="13"/>
      <c r="AN3674" s="13"/>
      <c r="AO3674" s="13"/>
      <c r="AP3674" s="13"/>
      <c r="AQ3674" s="13"/>
      <c r="AR3674" s="13"/>
      <c r="AS3674" s="13"/>
    </row>
    <row r="3675" ht="14.25" customHeight="1">
      <c r="A3675" s="13" t="s">
        <v>36</v>
      </c>
      <c r="B3675" s="13" t="s">
        <v>42</v>
      </c>
      <c r="C3675" s="13">
        <v>1328.0</v>
      </c>
      <c r="D3675" s="13" t="s">
        <v>193</v>
      </c>
      <c r="F3675" s="13"/>
      <c r="G3675" s="13" t="s">
        <v>111</v>
      </c>
      <c r="H3675" s="13" t="s">
        <v>75</v>
      </c>
      <c r="I3675" s="13"/>
      <c r="J3675" s="13"/>
      <c r="K3675" s="15">
        <v>0.0</v>
      </c>
      <c r="L3675" s="15">
        <v>0.0</v>
      </c>
      <c r="M3675" s="16"/>
      <c r="N3675" s="16"/>
      <c r="O3675" s="17"/>
      <c r="P3675" s="17"/>
      <c r="Q3675" s="13">
        <f t="shared" si="3940"/>
        <v>0</v>
      </c>
      <c r="R3675" s="13"/>
      <c r="S3675" s="13"/>
      <c r="T3675" s="13">
        <f t="shared" ref="T3675:Y3675" si="3954">IF(ISBLANK(K3675)=TRUE,0,1)</f>
        <v>1</v>
      </c>
      <c r="U3675" s="13">
        <f t="shared" si="3954"/>
        <v>1</v>
      </c>
      <c r="V3675" s="13">
        <f t="shared" si="3954"/>
        <v>0</v>
      </c>
      <c r="W3675" s="13">
        <f t="shared" si="3954"/>
        <v>0</v>
      </c>
      <c r="X3675" s="13">
        <f t="shared" si="3954"/>
        <v>0</v>
      </c>
      <c r="Y3675" s="13">
        <f t="shared" si="3954"/>
        <v>0</v>
      </c>
      <c r="Z3675" s="13">
        <f t="shared" si="3023"/>
        <v>0</v>
      </c>
      <c r="AA3675" s="13"/>
      <c r="AB3675" s="13"/>
      <c r="AC3675" s="13"/>
      <c r="AD3675" s="13"/>
      <c r="AE3675" s="13"/>
      <c r="AF3675" s="13"/>
      <c r="AG3675" s="13"/>
      <c r="AH3675" s="13"/>
      <c r="AI3675" s="13"/>
      <c r="AJ3675" s="13"/>
      <c r="AK3675" s="13"/>
      <c r="AL3675" s="13"/>
      <c r="AM3675" s="13"/>
      <c r="AN3675" s="13"/>
      <c r="AO3675" s="13"/>
      <c r="AP3675" s="13"/>
      <c r="AQ3675" s="13"/>
      <c r="AR3675" s="13"/>
      <c r="AS3675" s="13"/>
    </row>
    <row r="3676" ht="14.25" customHeight="1">
      <c r="A3676" s="13" t="s">
        <v>36</v>
      </c>
      <c r="B3676" s="13" t="s">
        <v>42</v>
      </c>
      <c r="C3676" s="13">
        <v>1328.0</v>
      </c>
      <c r="D3676" s="13" t="s">
        <v>194</v>
      </c>
      <c r="F3676" s="13"/>
      <c r="G3676" s="13" t="s">
        <v>111</v>
      </c>
      <c r="H3676" s="13" t="s">
        <v>75</v>
      </c>
      <c r="I3676" s="13"/>
      <c r="J3676" s="13"/>
      <c r="K3676" s="15">
        <v>0.0</v>
      </c>
      <c r="L3676" s="15">
        <v>0.0</v>
      </c>
      <c r="M3676" s="16"/>
      <c r="N3676" s="16"/>
      <c r="O3676" s="17"/>
      <c r="P3676" s="17"/>
      <c r="Q3676" s="13">
        <f t="shared" si="3940"/>
        <v>0</v>
      </c>
      <c r="R3676" s="13"/>
      <c r="S3676" s="13"/>
      <c r="T3676" s="13">
        <f t="shared" ref="T3676:Y3676" si="3955">IF(ISBLANK(K3676)=TRUE,0,1)</f>
        <v>1</v>
      </c>
      <c r="U3676" s="13">
        <f t="shared" si="3955"/>
        <v>1</v>
      </c>
      <c r="V3676" s="13">
        <f t="shared" si="3955"/>
        <v>0</v>
      </c>
      <c r="W3676" s="13">
        <f t="shared" si="3955"/>
        <v>0</v>
      </c>
      <c r="X3676" s="13">
        <f t="shared" si="3955"/>
        <v>0</v>
      </c>
      <c r="Y3676" s="13">
        <f t="shared" si="3955"/>
        <v>0</v>
      </c>
      <c r="Z3676" s="13">
        <f t="shared" si="3023"/>
        <v>0</v>
      </c>
      <c r="AA3676" s="13"/>
      <c r="AB3676" s="13"/>
      <c r="AC3676" s="13"/>
      <c r="AD3676" s="13"/>
      <c r="AE3676" s="13"/>
      <c r="AF3676" s="13"/>
      <c r="AG3676" s="13"/>
      <c r="AH3676" s="13"/>
      <c r="AI3676" s="13"/>
      <c r="AJ3676" s="13"/>
      <c r="AK3676" s="13"/>
      <c r="AL3676" s="13"/>
      <c r="AM3676" s="13"/>
      <c r="AN3676" s="13"/>
      <c r="AO3676" s="13"/>
      <c r="AP3676" s="13"/>
      <c r="AQ3676" s="13"/>
      <c r="AR3676" s="13"/>
      <c r="AS3676" s="13"/>
    </row>
    <row r="3677" ht="14.25" customHeight="1">
      <c r="A3677" s="13" t="s">
        <v>36</v>
      </c>
      <c r="B3677" s="13" t="s">
        <v>41</v>
      </c>
      <c r="C3677" s="13" t="s">
        <v>588</v>
      </c>
      <c r="D3677" s="13" t="s">
        <v>559</v>
      </c>
      <c r="F3677" s="13"/>
      <c r="G3677" s="13" t="s">
        <v>74</v>
      </c>
      <c r="H3677" s="13" t="s">
        <v>75</v>
      </c>
      <c r="I3677" s="14">
        <v>44917.0</v>
      </c>
      <c r="J3677" s="14"/>
      <c r="K3677" s="15">
        <v>1.0</v>
      </c>
      <c r="L3677" s="15">
        <v>1.0</v>
      </c>
      <c r="M3677" s="16"/>
      <c r="N3677" s="16"/>
      <c r="O3677" s="17"/>
      <c r="P3677" s="17"/>
      <c r="Q3677" s="13">
        <f t="shared" si="3940"/>
        <v>0</v>
      </c>
      <c r="R3677" s="13"/>
      <c r="S3677" s="13"/>
      <c r="T3677" s="13">
        <f t="shared" ref="T3677:Y3677" si="3956">IF(ISBLANK(K3677)=TRUE,0,1)</f>
        <v>1</v>
      </c>
      <c r="U3677" s="13">
        <f t="shared" si="3956"/>
        <v>1</v>
      </c>
      <c r="V3677" s="13">
        <f t="shared" si="3956"/>
        <v>0</v>
      </c>
      <c r="W3677" s="13">
        <f t="shared" si="3956"/>
        <v>0</v>
      </c>
      <c r="X3677" s="13">
        <f t="shared" si="3956"/>
        <v>0</v>
      </c>
      <c r="Y3677" s="13">
        <f t="shared" si="3956"/>
        <v>0</v>
      </c>
      <c r="Z3677" s="13">
        <f t="shared" si="3023"/>
        <v>1</v>
      </c>
      <c r="AA3677" s="13"/>
      <c r="AB3677" s="13"/>
      <c r="AC3677" s="13"/>
      <c r="AD3677" s="13"/>
      <c r="AE3677" s="13"/>
      <c r="AF3677" s="13"/>
      <c r="AG3677" s="13"/>
      <c r="AH3677" s="13"/>
      <c r="AI3677" s="13"/>
      <c r="AJ3677" s="13"/>
      <c r="AK3677" s="13"/>
      <c r="AL3677" s="13"/>
      <c r="AM3677" s="13"/>
      <c r="AN3677" s="13"/>
      <c r="AO3677" s="13"/>
      <c r="AP3677" s="13"/>
      <c r="AQ3677" s="13"/>
      <c r="AR3677" s="13"/>
      <c r="AS3677" s="13"/>
    </row>
    <row r="3678" ht="14.25" customHeight="1">
      <c r="A3678" s="13" t="s">
        <v>36</v>
      </c>
      <c r="B3678" s="13" t="s">
        <v>39</v>
      </c>
      <c r="C3678" s="13" t="s">
        <v>566</v>
      </c>
      <c r="D3678" s="13" t="s">
        <v>551</v>
      </c>
      <c r="F3678" s="13"/>
      <c r="G3678" s="13" t="s">
        <v>74</v>
      </c>
      <c r="H3678" s="13" t="s">
        <v>75</v>
      </c>
      <c r="I3678" s="13"/>
      <c r="J3678" s="13"/>
      <c r="K3678" s="15">
        <v>1.0</v>
      </c>
      <c r="L3678" s="15">
        <v>1.0</v>
      </c>
      <c r="M3678" s="16"/>
      <c r="N3678" s="16"/>
      <c r="O3678" s="17"/>
      <c r="P3678" s="17"/>
      <c r="Q3678" s="13">
        <f t="shared" si="3940"/>
        <v>2</v>
      </c>
      <c r="R3678" s="13"/>
      <c r="S3678" s="13"/>
      <c r="T3678" s="13">
        <f t="shared" ref="T3678:Y3678" si="3957">IF(ISBLANK(K3678)=TRUE,0,1)</f>
        <v>1</v>
      </c>
      <c r="U3678" s="13">
        <f t="shared" si="3957"/>
        <v>1</v>
      </c>
      <c r="V3678" s="13">
        <f t="shared" si="3957"/>
        <v>0</v>
      </c>
      <c r="W3678" s="13">
        <f t="shared" si="3957"/>
        <v>0</v>
      </c>
      <c r="X3678" s="13">
        <f t="shared" si="3957"/>
        <v>0</v>
      </c>
      <c r="Y3678" s="13">
        <f t="shared" si="3957"/>
        <v>0</v>
      </c>
      <c r="Z3678" s="13">
        <f t="shared" si="3023"/>
        <v>1</v>
      </c>
      <c r="AA3678" s="13"/>
      <c r="AB3678" s="13"/>
      <c r="AC3678" s="13"/>
      <c r="AD3678" s="13"/>
      <c r="AE3678" s="13"/>
      <c r="AF3678" s="13"/>
      <c r="AG3678" s="13"/>
      <c r="AH3678" s="13"/>
      <c r="AI3678" s="13"/>
      <c r="AJ3678" s="13"/>
      <c r="AK3678" s="13"/>
      <c r="AL3678" s="13"/>
      <c r="AM3678" s="13"/>
      <c r="AN3678" s="13"/>
      <c r="AO3678" s="13"/>
      <c r="AP3678" s="13"/>
      <c r="AQ3678" s="13"/>
      <c r="AR3678" s="13"/>
      <c r="AS3678" s="13"/>
    </row>
    <row r="3679" ht="14.25" customHeight="1">
      <c r="A3679" s="13" t="s">
        <v>36</v>
      </c>
      <c r="B3679" s="13" t="s">
        <v>41</v>
      </c>
      <c r="C3679" s="13" t="s">
        <v>588</v>
      </c>
      <c r="D3679" s="13" t="s">
        <v>560</v>
      </c>
      <c r="F3679" s="13"/>
      <c r="G3679" s="13" t="s">
        <v>74</v>
      </c>
      <c r="H3679" s="13" t="s">
        <v>75</v>
      </c>
      <c r="I3679" s="14">
        <v>44917.0</v>
      </c>
      <c r="J3679" s="14"/>
      <c r="K3679" s="15">
        <v>1.0</v>
      </c>
      <c r="L3679" s="15">
        <v>1.0</v>
      </c>
      <c r="M3679" s="16"/>
      <c r="N3679" s="16"/>
      <c r="O3679" s="17"/>
      <c r="P3679" s="17"/>
      <c r="Q3679" s="13">
        <f t="shared" si="3940"/>
        <v>2</v>
      </c>
      <c r="R3679" s="13"/>
      <c r="S3679" s="13"/>
      <c r="T3679" s="13">
        <f t="shared" ref="T3679:Y3679" si="3958">IF(ISBLANK(K3679)=TRUE,0,1)</f>
        <v>1</v>
      </c>
      <c r="U3679" s="13">
        <f t="shared" si="3958"/>
        <v>1</v>
      </c>
      <c r="V3679" s="13">
        <f t="shared" si="3958"/>
        <v>0</v>
      </c>
      <c r="W3679" s="13">
        <f t="shared" si="3958"/>
        <v>0</v>
      </c>
      <c r="X3679" s="13">
        <f t="shared" si="3958"/>
        <v>0</v>
      </c>
      <c r="Y3679" s="13">
        <f t="shared" si="3958"/>
        <v>0</v>
      </c>
      <c r="Z3679" s="13">
        <f t="shared" si="3023"/>
        <v>1</v>
      </c>
      <c r="AA3679" s="13"/>
      <c r="AB3679" s="13"/>
      <c r="AC3679" s="13"/>
      <c r="AD3679" s="13"/>
      <c r="AE3679" s="13"/>
      <c r="AF3679" s="13"/>
      <c r="AG3679" s="13"/>
      <c r="AH3679" s="13"/>
      <c r="AI3679" s="13"/>
      <c r="AJ3679" s="13"/>
      <c r="AK3679" s="13"/>
      <c r="AL3679" s="13"/>
      <c r="AM3679" s="13"/>
      <c r="AN3679" s="13"/>
      <c r="AO3679" s="13"/>
      <c r="AP3679" s="13"/>
      <c r="AQ3679" s="13"/>
      <c r="AR3679" s="13"/>
      <c r="AS3679" s="13"/>
    </row>
    <row r="3680" ht="14.25" customHeight="1">
      <c r="A3680" s="13" t="s">
        <v>36</v>
      </c>
      <c r="B3680" s="13" t="s">
        <v>41</v>
      </c>
      <c r="C3680" s="13" t="s">
        <v>588</v>
      </c>
      <c r="D3680" s="13" t="s">
        <v>435</v>
      </c>
      <c r="F3680" s="13"/>
      <c r="G3680" s="13" t="s">
        <v>74</v>
      </c>
      <c r="H3680" s="13" t="s">
        <v>75</v>
      </c>
      <c r="I3680" s="13"/>
      <c r="J3680" s="13"/>
      <c r="K3680" s="15">
        <v>1.0</v>
      </c>
      <c r="L3680" s="15">
        <v>1.0</v>
      </c>
      <c r="M3680" s="16"/>
      <c r="N3680" s="16"/>
      <c r="O3680" s="17"/>
      <c r="P3680" s="17"/>
      <c r="Q3680" s="13">
        <f t="shared" si="3940"/>
        <v>2</v>
      </c>
      <c r="R3680" s="13"/>
      <c r="S3680" s="13"/>
      <c r="T3680" s="13">
        <f t="shared" ref="T3680:Y3680" si="3959">IF(ISBLANK(K3680)=TRUE,0,1)</f>
        <v>1</v>
      </c>
      <c r="U3680" s="13">
        <f t="shared" si="3959"/>
        <v>1</v>
      </c>
      <c r="V3680" s="13">
        <f t="shared" si="3959"/>
        <v>0</v>
      </c>
      <c r="W3680" s="13">
        <f t="shared" si="3959"/>
        <v>0</v>
      </c>
      <c r="X3680" s="13">
        <f t="shared" si="3959"/>
        <v>0</v>
      </c>
      <c r="Y3680" s="13">
        <f t="shared" si="3959"/>
        <v>0</v>
      </c>
      <c r="Z3680" s="13">
        <f t="shared" si="3023"/>
        <v>1</v>
      </c>
      <c r="AA3680" s="13"/>
      <c r="AB3680" s="13"/>
      <c r="AC3680" s="13"/>
      <c r="AD3680" s="13"/>
      <c r="AE3680" s="13"/>
      <c r="AF3680" s="13"/>
      <c r="AG3680" s="13"/>
      <c r="AH3680" s="13"/>
      <c r="AI3680" s="13"/>
      <c r="AJ3680" s="13"/>
      <c r="AK3680" s="13"/>
      <c r="AL3680" s="13"/>
      <c r="AM3680" s="13"/>
      <c r="AN3680" s="13"/>
      <c r="AO3680" s="13"/>
      <c r="AP3680" s="13"/>
      <c r="AQ3680" s="13"/>
      <c r="AR3680" s="13"/>
      <c r="AS3680" s="13"/>
    </row>
    <row r="3681" ht="14.25" customHeight="1">
      <c r="A3681" s="13" t="s">
        <v>36</v>
      </c>
      <c r="B3681" s="13" t="s">
        <v>39</v>
      </c>
      <c r="C3681" s="13" t="s">
        <v>566</v>
      </c>
      <c r="D3681" s="13" t="s">
        <v>553</v>
      </c>
      <c r="F3681" s="13"/>
      <c r="G3681" s="13" t="s">
        <v>74</v>
      </c>
      <c r="H3681" s="13" t="s">
        <v>75</v>
      </c>
      <c r="I3681" s="13"/>
      <c r="J3681" s="13"/>
      <c r="K3681" s="15">
        <v>1.0</v>
      </c>
      <c r="L3681" s="15">
        <v>1.0</v>
      </c>
      <c r="M3681" s="16"/>
      <c r="N3681" s="16"/>
      <c r="O3681" s="17"/>
      <c r="P3681" s="17"/>
      <c r="Q3681" s="13">
        <f t="shared" si="3940"/>
        <v>2</v>
      </c>
      <c r="R3681" s="13"/>
      <c r="S3681" s="13"/>
      <c r="T3681" s="13">
        <f t="shared" ref="T3681:Y3681" si="3960">IF(ISBLANK(K3681)=TRUE,0,1)</f>
        <v>1</v>
      </c>
      <c r="U3681" s="13">
        <f t="shared" si="3960"/>
        <v>1</v>
      </c>
      <c r="V3681" s="13">
        <f t="shared" si="3960"/>
        <v>0</v>
      </c>
      <c r="W3681" s="13">
        <f t="shared" si="3960"/>
        <v>0</v>
      </c>
      <c r="X3681" s="13">
        <f t="shared" si="3960"/>
        <v>0</v>
      </c>
      <c r="Y3681" s="13">
        <f t="shared" si="3960"/>
        <v>0</v>
      </c>
      <c r="Z3681" s="13">
        <f t="shared" si="3023"/>
        <v>1</v>
      </c>
      <c r="AA3681" s="13"/>
      <c r="AB3681" s="13"/>
      <c r="AC3681" s="13"/>
      <c r="AD3681" s="13"/>
      <c r="AE3681" s="13"/>
      <c r="AF3681" s="13"/>
      <c r="AG3681" s="13"/>
      <c r="AH3681" s="13"/>
      <c r="AI3681" s="13"/>
      <c r="AJ3681" s="13"/>
      <c r="AK3681" s="13"/>
      <c r="AL3681" s="13"/>
      <c r="AM3681" s="13"/>
      <c r="AN3681" s="13"/>
      <c r="AO3681" s="13"/>
      <c r="AP3681" s="13"/>
      <c r="AQ3681" s="13"/>
      <c r="AR3681" s="13"/>
      <c r="AS3681" s="13"/>
    </row>
    <row r="3682" ht="14.25" customHeight="1">
      <c r="A3682" s="13" t="s">
        <v>36</v>
      </c>
      <c r="B3682" s="13" t="s">
        <v>42</v>
      </c>
      <c r="C3682" s="13">
        <v>1328.0</v>
      </c>
      <c r="D3682" s="13" t="s">
        <v>195</v>
      </c>
      <c r="F3682" s="13"/>
      <c r="G3682" s="13" t="s">
        <v>111</v>
      </c>
      <c r="H3682" s="13" t="s">
        <v>75</v>
      </c>
      <c r="I3682" s="13"/>
      <c r="J3682" s="13"/>
      <c r="K3682" s="15">
        <v>0.0</v>
      </c>
      <c r="L3682" s="15">
        <v>0.0</v>
      </c>
      <c r="M3682" s="16"/>
      <c r="N3682" s="16"/>
      <c r="O3682" s="17"/>
      <c r="P3682" s="17"/>
      <c r="Q3682" s="13">
        <f t="shared" si="3940"/>
        <v>2</v>
      </c>
      <c r="R3682" s="13"/>
      <c r="S3682" s="13"/>
      <c r="T3682" s="13">
        <f t="shared" ref="T3682:Y3682" si="3961">IF(ISBLANK(K3682)=TRUE,0,1)</f>
        <v>1</v>
      </c>
      <c r="U3682" s="13">
        <f t="shared" si="3961"/>
        <v>1</v>
      </c>
      <c r="V3682" s="13">
        <f t="shared" si="3961"/>
        <v>0</v>
      </c>
      <c r="W3682" s="13">
        <f t="shared" si="3961"/>
        <v>0</v>
      </c>
      <c r="X3682" s="13">
        <f t="shared" si="3961"/>
        <v>0</v>
      </c>
      <c r="Y3682" s="13">
        <f t="shared" si="3961"/>
        <v>0</v>
      </c>
      <c r="Z3682" s="13">
        <f t="shared" si="3023"/>
        <v>0</v>
      </c>
      <c r="AA3682" s="13"/>
      <c r="AB3682" s="13"/>
      <c r="AC3682" s="13"/>
      <c r="AD3682" s="13"/>
      <c r="AE3682" s="13"/>
      <c r="AF3682" s="13"/>
      <c r="AG3682" s="13"/>
      <c r="AH3682" s="13"/>
      <c r="AI3682" s="13"/>
      <c r="AJ3682" s="13"/>
      <c r="AK3682" s="13"/>
      <c r="AL3682" s="13"/>
      <c r="AM3682" s="13"/>
      <c r="AN3682" s="13"/>
      <c r="AO3682" s="13"/>
      <c r="AP3682" s="13"/>
      <c r="AQ3682" s="13"/>
      <c r="AR3682" s="13"/>
      <c r="AS3682" s="13"/>
    </row>
    <row r="3683" ht="14.25" customHeight="1">
      <c r="A3683" s="13" t="s">
        <v>36</v>
      </c>
      <c r="B3683" s="13" t="s">
        <v>42</v>
      </c>
      <c r="C3683" s="13">
        <v>1328.0</v>
      </c>
      <c r="D3683" s="13" t="s">
        <v>196</v>
      </c>
      <c r="F3683" s="13"/>
      <c r="G3683" s="13" t="s">
        <v>111</v>
      </c>
      <c r="H3683" s="13" t="s">
        <v>75</v>
      </c>
      <c r="I3683" s="13"/>
      <c r="J3683" s="13"/>
      <c r="K3683" s="15">
        <v>0.0</v>
      </c>
      <c r="L3683" s="15">
        <v>0.0</v>
      </c>
      <c r="M3683" s="16"/>
      <c r="N3683" s="16"/>
      <c r="O3683" s="17"/>
      <c r="P3683" s="17"/>
      <c r="Q3683" s="13">
        <f t="shared" si="3940"/>
        <v>0</v>
      </c>
      <c r="R3683" s="13"/>
      <c r="S3683" s="13"/>
      <c r="T3683" s="13">
        <f t="shared" ref="T3683:Y3683" si="3962">IF(ISBLANK(K3683)=TRUE,0,1)</f>
        <v>1</v>
      </c>
      <c r="U3683" s="13">
        <f t="shared" si="3962"/>
        <v>1</v>
      </c>
      <c r="V3683" s="13">
        <f t="shared" si="3962"/>
        <v>0</v>
      </c>
      <c r="W3683" s="13">
        <f t="shared" si="3962"/>
        <v>0</v>
      </c>
      <c r="X3683" s="13">
        <f t="shared" si="3962"/>
        <v>0</v>
      </c>
      <c r="Y3683" s="13">
        <f t="shared" si="3962"/>
        <v>0</v>
      </c>
      <c r="Z3683" s="13">
        <f t="shared" si="3023"/>
        <v>0</v>
      </c>
      <c r="AA3683" s="13"/>
      <c r="AB3683" s="13"/>
      <c r="AC3683" s="13"/>
      <c r="AD3683" s="13"/>
      <c r="AE3683" s="13"/>
      <c r="AF3683" s="13"/>
      <c r="AG3683" s="13"/>
      <c r="AH3683" s="13"/>
      <c r="AI3683" s="13"/>
      <c r="AJ3683" s="13"/>
      <c r="AK3683" s="13"/>
      <c r="AL3683" s="13"/>
      <c r="AM3683" s="13"/>
      <c r="AN3683" s="13"/>
      <c r="AO3683" s="13"/>
      <c r="AP3683" s="13"/>
      <c r="AQ3683" s="13"/>
      <c r="AR3683" s="13"/>
      <c r="AS3683" s="13"/>
    </row>
    <row r="3684" ht="14.25" customHeight="1">
      <c r="A3684" s="13" t="s">
        <v>36</v>
      </c>
      <c r="B3684" s="13" t="s">
        <v>42</v>
      </c>
      <c r="C3684" s="13">
        <v>1328.0</v>
      </c>
      <c r="D3684" s="13" t="s">
        <v>197</v>
      </c>
      <c r="F3684" s="13"/>
      <c r="G3684" s="13" t="s">
        <v>111</v>
      </c>
      <c r="H3684" s="13" t="s">
        <v>75</v>
      </c>
      <c r="I3684" s="13"/>
      <c r="J3684" s="13"/>
      <c r="K3684" s="15">
        <v>0.0</v>
      </c>
      <c r="L3684" s="15">
        <v>0.0</v>
      </c>
      <c r="M3684" s="16"/>
      <c r="N3684" s="16"/>
      <c r="O3684" s="17"/>
      <c r="P3684" s="17"/>
      <c r="Q3684" s="13">
        <f t="shared" si="3940"/>
        <v>0</v>
      </c>
      <c r="R3684" s="13"/>
      <c r="S3684" s="13"/>
      <c r="T3684" s="13">
        <f t="shared" ref="T3684:Y3684" si="3963">IF(ISBLANK(K3684)=TRUE,0,1)</f>
        <v>1</v>
      </c>
      <c r="U3684" s="13">
        <f t="shared" si="3963"/>
        <v>1</v>
      </c>
      <c r="V3684" s="13">
        <f t="shared" si="3963"/>
        <v>0</v>
      </c>
      <c r="W3684" s="13">
        <f t="shared" si="3963"/>
        <v>0</v>
      </c>
      <c r="X3684" s="13">
        <f t="shared" si="3963"/>
        <v>0</v>
      </c>
      <c r="Y3684" s="13">
        <f t="shared" si="3963"/>
        <v>0</v>
      </c>
      <c r="Z3684" s="13">
        <f t="shared" si="3023"/>
        <v>0</v>
      </c>
      <c r="AA3684" s="13"/>
      <c r="AB3684" s="13"/>
      <c r="AC3684" s="13"/>
      <c r="AD3684" s="13"/>
      <c r="AE3684" s="13"/>
      <c r="AF3684" s="13"/>
      <c r="AG3684" s="13"/>
      <c r="AH3684" s="13"/>
      <c r="AI3684" s="13"/>
      <c r="AJ3684" s="13"/>
      <c r="AK3684" s="13"/>
      <c r="AL3684" s="13"/>
      <c r="AM3684" s="13"/>
      <c r="AN3684" s="13"/>
      <c r="AO3684" s="13"/>
      <c r="AP3684" s="13"/>
      <c r="AQ3684" s="13"/>
      <c r="AR3684" s="13"/>
      <c r="AS3684" s="13"/>
    </row>
    <row r="3685" ht="14.25" customHeight="1">
      <c r="A3685" s="13" t="s">
        <v>36</v>
      </c>
      <c r="B3685" s="13" t="s">
        <v>41</v>
      </c>
      <c r="C3685" s="13" t="s">
        <v>588</v>
      </c>
      <c r="D3685" s="13" t="s">
        <v>436</v>
      </c>
      <c r="F3685" s="13"/>
      <c r="G3685" s="13" t="s">
        <v>74</v>
      </c>
      <c r="H3685" s="13" t="s">
        <v>75</v>
      </c>
      <c r="I3685" s="13"/>
      <c r="J3685" s="13"/>
      <c r="K3685" s="15">
        <v>1.0</v>
      </c>
      <c r="L3685" s="15">
        <v>1.0</v>
      </c>
      <c r="M3685" s="16"/>
      <c r="N3685" s="16"/>
      <c r="O3685" s="17"/>
      <c r="P3685" s="17"/>
      <c r="Q3685" s="13">
        <f t="shared" si="3940"/>
        <v>0</v>
      </c>
      <c r="R3685" s="13"/>
      <c r="S3685" s="13"/>
      <c r="T3685" s="13">
        <f t="shared" ref="T3685:Y3685" si="3964">IF(ISBLANK(K3685)=TRUE,0,1)</f>
        <v>1</v>
      </c>
      <c r="U3685" s="13">
        <f t="shared" si="3964"/>
        <v>1</v>
      </c>
      <c r="V3685" s="13">
        <f t="shared" si="3964"/>
        <v>0</v>
      </c>
      <c r="W3685" s="13">
        <f t="shared" si="3964"/>
        <v>0</v>
      </c>
      <c r="X3685" s="13">
        <f t="shared" si="3964"/>
        <v>0</v>
      </c>
      <c r="Y3685" s="13">
        <f t="shared" si="3964"/>
        <v>0</v>
      </c>
      <c r="Z3685" s="13">
        <f t="shared" si="3023"/>
        <v>1</v>
      </c>
      <c r="AA3685" s="13"/>
      <c r="AB3685" s="13"/>
      <c r="AC3685" s="13"/>
      <c r="AD3685" s="13"/>
      <c r="AE3685" s="13"/>
      <c r="AF3685" s="13"/>
      <c r="AG3685" s="13"/>
      <c r="AH3685" s="13"/>
      <c r="AI3685" s="13"/>
      <c r="AJ3685" s="13"/>
      <c r="AK3685" s="13"/>
      <c r="AL3685" s="13"/>
      <c r="AM3685" s="13"/>
      <c r="AN3685" s="13"/>
      <c r="AO3685" s="13"/>
      <c r="AP3685" s="13"/>
      <c r="AQ3685" s="13"/>
      <c r="AR3685" s="13"/>
      <c r="AS3685" s="13"/>
    </row>
    <row r="3686" ht="14.25" customHeight="1">
      <c r="A3686" s="13" t="s">
        <v>36</v>
      </c>
      <c r="B3686" s="13" t="s">
        <v>41</v>
      </c>
      <c r="C3686" s="13" t="s">
        <v>588</v>
      </c>
      <c r="D3686" s="13" t="s">
        <v>437</v>
      </c>
      <c r="F3686" s="13"/>
      <c r="G3686" s="13" t="s">
        <v>74</v>
      </c>
      <c r="H3686" s="13" t="s">
        <v>75</v>
      </c>
      <c r="I3686" s="13"/>
      <c r="J3686" s="13"/>
      <c r="K3686" s="15">
        <v>1.0</v>
      </c>
      <c r="L3686" s="15">
        <v>1.0</v>
      </c>
      <c r="M3686" s="16"/>
      <c r="N3686" s="16"/>
      <c r="O3686" s="17"/>
      <c r="P3686" s="17"/>
      <c r="Q3686" s="13">
        <f t="shared" si="3940"/>
        <v>2</v>
      </c>
      <c r="R3686" s="13"/>
      <c r="S3686" s="13"/>
      <c r="T3686" s="13">
        <f t="shared" ref="T3686:Y3686" si="3965">IF(ISBLANK(K3686)=TRUE,0,1)</f>
        <v>1</v>
      </c>
      <c r="U3686" s="13">
        <f t="shared" si="3965"/>
        <v>1</v>
      </c>
      <c r="V3686" s="13">
        <f t="shared" si="3965"/>
        <v>0</v>
      </c>
      <c r="W3686" s="13">
        <f t="shared" si="3965"/>
        <v>0</v>
      </c>
      <c r="X3686" s="13">
        <f t="shared" si="3965"/>
        <v>0</v>
      </c>
      <c r="Y3686" s="13">
        <f t="shared" si="3965"/>
        <v>0</v>
      </c>
      <c r="Z3686" s="13">
        <f t="shared" si="3023"/>
        <v>1</v>
      </c>
      <c r="AA3686" s="13"/>
      <c r="AB3686" s="13"/>
      <c r="AC3686" s="13"/>
      <c r="AD3686" s="13"/>
      <c r="AE3686" s="13"/>
      <c r="AF3686" s="13"/>
      <c r="AG3686" s="13"/>
      <c r="AH3686" s="13"/>
      <c r="AI3686" s="13"/>
      <c r="AJ3686" s="13"/>
      <c r="AK3686" s="13"/>
      <c r="AL3686" s="13"/>
      <c r="AM3686" s="13"/>
      <c r="AN3686" s="13"/>
      <c r="AO3686" s="13"/>
      <c r="AP3686" s="13"/>
      <c r="AQ3686" s="13"/>
      <c r="AR3686" s="13"/>
      <c r="AS3686" s="13"/>
    </row>
    <row r="3687" ht="14.25" customHeight="1">
      <c r="A3687" s="13" t="s">
        <v>36</v>
      </c>
      <c r="B3687" s="13" t="s">
        <v>39</v>
      </c>
      <c r="C3687" s="13" t="s">
        <v>566</v>
      </c>
      <c r="D3687" s="13" t="s">
        <v>554</v>
      </c>
      <c r="F3687" s="13"/>
      <c r="G3687" s="13" t="s">
        <v>74</v>
      </c>
      <c r="H3687" s="13" t="s">
        <v>75</v>
      </c>
      <c r="I3687" s="13"/>
      <c r="J3687" s="13"/>
      <c r="K3687" s="15">
        <v>1.0</v>
      </c>
      <c r="L3687" s="15">
        <v>1.0</v>
      </c>
      <c r="M3687" s="16"/>
      <c r="N3687" s="16"/>
      <c r="O3687" s="17"/>
      <c r="P3687" s="17"/>
      <c r="Q3687" s="13">
        <f t="shared" si="3940"/>
        <v>2</v>
      </c>
      <c r="R3687" s="13"/>
      <c r="S3687" s="13"/>
      <c r="T3687" s="13">
        <f t="shared" ref="T3687:Y3687" si="3966">IF(ISBLANK(K3687)=TRUE,0,1)</f>
        <v>1</v>
      </c>
      <c r="U3687" s="13">
        <f t="shared" si="3966"/>
        <v>1</v>
      </c>
      <c r="V3687" s="13">
        <f t="shared" si="3966"/>
        <v>0</v>
      </c>
      <c r="W3687" s="13">
        <f t="shared" si="3966"/>
        <v>0</v>
      </c>
      <c r="X3687" s="13">
        <f t="shared" si="3966"/>
        <v>0</v>
      </c>
      <c r="Y3687" s="13">
        <f t="shared" si="3966"/>
        <v>0</v>
      </c>
      <c r="Z3687" s="13">
        <f t="shared" si="3023"/>
        <v>1</v>
      </c>
      <c r="AA3687" s="13"/>
      <c r="AB3687" s="13"/>
      <c r="AC3687" s="13"/>
      <c r="AD3687" s="13"/>
      <c r="AE3687" s="13"/>
      <c r="AF3687" s="13"/>
      <c r="AG3687" s="13"/>
      <c r="AH3687" s="13"/>
      <c r="AI3687" s="13"/>
      <c r="AJ3687" s="13"/>
      <c r="AK3687" s="13"/>
      <c r="AL3687" s="13"/>
      <c r="AM3687" s="13"/>
      <c r="AN3687" s="13"/>
      <c r="AO3687" s="13"/>
      <c r="AP3687" s="13"/>
      <c r="AQ3687" s="13"/>
      <c r="AR3687" s="13"/>
      <c r="AS3687" s="13"/>
    </row>
    <row r="3688" ht="14.25" customHeight="1">
      <c r="A3688" s="13" t="s">
        <v>36</v>
      </c>
      <c r="B3688" s="13" t="s">
        <v>41</v>
      </c>
      <c r="C3688" s="13" t="s">
        <v>588</v>
      </c>
      <c r="D3688" s="13" t="s">
        <v>440</v>
      </c>
      <c r="F3688" s="13"/>
      <c r="G3688" s="13" t="s">
        <v>74</v>
      </c>
      <c r="H3688" s="13" t="s">
        <v>75</v>
      </c>
      <c r="I3688" s="13"/>
      <c r="J3688" s="13"/>
      <c r="K3688" s="15">
        <v>1.0</v>
      </c>
      <c r="L3688" s="15">
        <v>1.0</v>
      </c>
      <c r="M3688" s="16"/>
      <c r="N3688" s="16"/>
      <c r="O3688" s="17"/>
      <c r="P3688" s="17"/>
      <c r="Q3688" s="13">
        <f t="shared" si="3940"/>
        <v>2</v>
      </c>
      <c r="R3688" s="13"/>
      <c r="S3688" s="13"/>
      <c r="T3688" s="13">
        <f t="shared" ref="T3688:Y3688" si="3967">IF(ISBLANK(K3688)=TRUE,0,1)</f>
        <v>1</v>
      </c>
      <c r="U3688" s="13">
        <f t="shared" si="3967"/>
        <v>1</v>
      </c>
      <c r="V3688" s="13">
        <f t="shared" si="3967"/>
        <v>0</v>
      </c>
      <c r="W3688" s="13">
        <f t="shared" si="3967"/>
        <v>0</v>
      </c>
      <c r="X3688" s="13">
        <f t="shared" si="3967"/>
        <v>0</v>
      </c>
      <c r="Y3688" s="13">
        <f t="shared" si="3967"/>
        <v>0</v>
      </c>
      <c r="Z3688" s="13">
        <f t="shared" si="3023"/>
        <v>1</v>
      </c>
      <c r="AA3688" s="13"/>
      <c r="AB3688" s="13"/>
      <c r="AC3688" s="13"/>
      <c r="AD3688" s="13"/>
      <c r="AE3688" s="13"/>
      <c r="AF3688" s="13"/>
      <c r="AG3688" s="13"/>
      <c r="AH3688" s="13"/>
      <c r="AI3688" s="13"/>
      <c r="AJ3688" s="13"/>
      <c r="AK3688" s="13"/>
      <c r="AL3688" s="13"/>
      <c r="AM3688" s="13"/>
      <c r="AN3688" s="13"/>
      <c r="AO3688" s="13"/>
      <c r="AP3688" s="13"/>
      <c r="AQ3688" s="13"/>
      <c r="AR3688" s="13"/>
      <c r="AS3688" s="13"/>
    </row>
    <row r="3689" ht="14.25" customHeight="1">
      <c r="A3689" s="13" t="s">
        <v>36</v>
      </c>
      <c r="B3689" s="13" t="s">
        <v>41</v>
      </c>
      <c r="C3689" s="13" t="s">
        <v>588</v>
      </c>
      <c r="D3689" s="13" t="s">
        <v>441</v>
      </c>
      <c r="F3689" s="13"/>
      <c r="G3689" s="13" t="s">
        <v>74</v>
      </c>
      <c r="H3689" s="13" t="s">
        <v>75</v>
      </c>
      <c r="I3689" s="13"/>
      <c r="J3689" s="13"/>
      <c r="K3689" s="15">
        <v>1.0</v>
      </c>
      <c r="L3689" s="15">
        <v>1.0</v>
      </c>
      <c r="M3689" s="16"/>
      <c r="N3689" s="16"/>
      <c r="O3689" s="17"/>
      <c r="P3689" s="17"/>
      <c r="Q3689" s="13">
        <f t="shared" si="3940"/>
        <v>2</v>
      </c>
      <c r="R3689" s="13"/>
      <c r="S3689" s="13"/>
      <c r="T3689" s="13">
        <f t="shared" ref="T3689:Y3689" si="3968">IF(ISBLANK(K3689)=TRUE,0,1)</f>
        <v>1</v>
      </c>
      <c r="U3689" s="13">
        <f t="shared" si="3968"/>
        <v>1</v>
      </c>
      <c r="V3689" s="13">
        <f t="shared" si="3968"/>
        <v>0</v>
      </c>
      <c r="W3689" s="13">
        <f t="shared" si="3968"/>
        <v>0</v>
      </c>
      <c r="X3689" s="13">
        <f t="shared" si="3968"/>
        <v>0</v>
      </c>
      <c r="Y3689" s="13">
        <f t="shared" si="3968"/>
        <v>0</v>
      </c>
      <c r="Z3689" s="13">
        <f t="shared" si="3023"/>
        <v>1</v>
      </c>
      <c r="AA3689" s="13"/>
      <c r="AB3689" s="13"/>
      <c r="AC3689" s="13"/>
      <c r="AD3689" s="13"/>
      <c r="AE3689" s="13"/>
      <c r="AF3689" s="13"/>
      <c r="AG3689" s="13"/>
      <c r="AH3689" s="13"/>
      <c r="AI3689" s="13"/>
      <c r="AJ3689" s="13"/>
      <c r="AK3689" s="13"/>
      <c r="AL3689" s="13"/>
      <c r="AM3689" s="13"/>
      <c r="AN3689" s="13"/>
      <c r="AO3689" s="13"/>
      <c r="AP3689" s="13"/>
      <c r="AQ3689" s="13"/>
      <c r="AR3689" s="13"/>
      <c r="AS3689" s="13"/>
    </row>
    <row r="3690" ht="14.25" customHeight="1">
      <c r="A3690" s="13" t="s">
        <v>36</v>
      </c>
      <c r="B3690" s="13" t="s">
        <v>39</v>
      </c>
      <c r="C3690" s="13" t="s">
        <v>566</v>
      </c>
      <c r="D3690" s="13" t="s">
        <v>555</v>
      </c>
      <c r="F3690" s="13"/>
      <c r="G3690" s="13" t="s">
        <v>74</v>
      </c>
      <c r="H3690" s="13" t="s">
        <v>75</v>
      </c>
      <c r="I3690" s="13"/>
      <c r="J3690" s="13"/>
      <c r="K3690" s="15">
        <v>1.0</v>
      </c>
      <c r="L3690" s="15">
        <v>1.0</v>
      </c>
      <c r="M3690" s="16"/>
      <c r="N3690" s="16"/>
      <c r="O3690" s="17"/>
      <c r="P3690" s="17"/>
      <c r="Q3690" s="13">
        <f t="shared" si="3940"/>
        <v>2</v>
      </c>
      <c r="R3690" s="13"/>
      <c r="S3690" s="13"/>
      <c r="T3690" s="13">
        <f t="shared" ref="T3690:Y3690" si="3969">IF(ISBLANK(K3690)=TRUE,0,1)</f>
        <v>1</v>
      </c>
      <c r="U3690" s="13">
        <f t="shared" si="3969"/>
        <v>1</v>
      </c>
      <c r="V3690" s="13">
        <f t="shared" si="3969"/>
        <v>0</v>
      </c>
      <c r="W3690" s="13">
        <f t="shared" si="3969"/>
        <v>0</v>
      </c>
      <c r="X3690" s="13">
        <f t="shared" si="3969"/>
        <v>0</v>
      </c>
      <c r="Y3690" s="13">
        <f t="shared" si="3969"/>
        <v>0</v>
      </c>
      <c r="Z3690" s="13">
        <f t="shared" si="3023"/>
        <v>1</v>
      </c>
      <c r="AA3690" s="13"/>
      <c r="AB3690" s="13"/>
      <c r="AC3690" s="13"/>
      <c r="AD3690" s="13"/>
      <c r="AE3690" s="13"/>
      <c r="AF3690" s="13"/>
      <c r="AG3690" s="13"/>
      <c r="AH3690" s="13"/>
      <c r="AI3690" s="13"/>
      <c r="AJ3690" s="13"/>
      <c r="AK3690" s="13"/>
      <c r="AL3690" s="13"/>
      <c r="AM3690" s="13"/>
      <c r="AN3690" s="13"/>
      <c r="AO3690" s="13"/>
      <c r="AP3690" s="13"/>
      <c r="AQ3690" s="13"/>
      <c r="AR3690" s="13"/>
      <c r="AS3690" s="13"/>
    </row>
    <row r="3691" ht="14.25" customHeight="1">
      <c r="A3691" s="13" t="s">
        <v>36</v>
      </c>
      <c r="B3691" s="13" t="s">
        <v>42</v>
      </c>
      <c r="C3691" s="13">
        <v>1328.0</v>
      </c>
      <c r="D3691" s="13" t="s">
        <v>433</v>
      </c>
      <c r="F3691" s="13"/>
      <c r="G3691" s="13" t="s">
        <v>111</v>
      </c>
      <c r="H3691" s="13" t="s">
        <v>75</v>
      </c>
      <c r="I3691" s="13"/>
      <c r="J3691" s="13"/>
      <c r="K3691" s="15">
        <v>0.0</v>
      </c>
      <c r="L3691" s="15">
        <v>0.0</v>
      </c>
      <c r="M3691" s="16"/>
      <c r="N3691" s="16"/>
      <c r="O3691" s="17"/>
      <c r="P3691" s="17"/>
      <c r="Q3691" s="13">
        <f t="shared" si="3940"/>
        <v>2</v>
      </c>
      <c r="R3691" s="13"/>
      <c r="S3691" s="13"/>
      <c r="T3691" s="13">
        <f t="shared" ref="T3691:Y3691" si="3970">IF(ISBLANK(K3691)=TRUE,0,1)</f>
        <v>1</v>
      </c>
      <c r="U3691" s="13">
        <f t="shared" si="3970"/>
        <v>1</v>
      </c>
      <c r="V3691" s="13">
        <f t="shared" si="3970"/>
        <v>0</v>
      </c>
      <c r="W3691" s="13">
        <f t="shared" si="3970"/>
        <v>0</v>
      </c>
      <c r="X3691" s="13">
        <f t="shared" si="3970"/>
        <v>0</v>
      </c>
      <c r="Y3691" s="13">
        <f t="shared" si="3970"/>
        <v>0</v>
      </c>
      <c r="Z3691" s="13">
        <f t="shared" si="3023"/>
        <v>0</v>
      </c>
      <c r="AA3691" s="13"/>
      <c r="AB3691" s="13"/>
      <c r="AC3691" s="13"/>
      <c r="AD3691" s="13"/>
      <c r="AE3691" s="13"/>
      <c r="AF3691" s="13"/>
      <c r="AG3691" s="13"/>
      <c r="AH3691" s="13"/>
      <c r="AI3691" s="13"/>
      <c r="AJ3691" s="13"/>
      <c r="AK3691" s="13"/>
      <c r="AL3691" s="13"/>
      <c r="AM3691" s="13"/>
      <c r="AN3691" s="13"/>
      <c r="AO3691" s="13"/>
      <c r="AP3691" s="13"/>
      <c r="AQ3691" s="13"/>
      <c r="AR3691" s="13"/>
      <c r="AS3691" s="13"/>
    </row>
    <row r="3692" ht="14.25" customHeight="1">
      <c r="A3692" s="13" t="s">
        <v>36</v>
      </c>
      <c r="B3692" s="13" t="s">
        <v>42</v>
      </c>
      <c r="C3692" s="13">
        <v>1328.0</v>
      </c>
      <c r="D3692" s="13" t="s">
        <v>434</v>
      </c>
      <c r="F3692" s="13"/>
      <c r="G3692" s="13" t="s">
        <v>111</v>
      </c>
      <c r="H3692" s="13" t="s">
        <v>75</v>
      </c>
      <c r="I3692" s="13"/>
      <c r="J3692" s="13"/>
      <c r="K3692" s="15">
        <v>0.0</v>
      </c>
      <c r="L3692" s="15">
        <v>0.0</v>
      </c>
      <c r="M3692" s="16"/>
      <c r="N3692" s="16"/>
      <c r="O3692" s="17"/>
      <c r="P3692" s="17"/>
      <c r="Q3692" s="13">
        <f t="shared" si="3940"/>
        <v>0</v>
      </c>
      <c r="R3692" s="13"/>
      <c r="S3692" s="13"/>
      <c r="T3692" s="13">
        <f t="shared" ref="T3692:Y3692" si="3971">IF(ISBLANK(K3692)=TRUE,0,1)</f>
        <v>1</v>
      </c>
      <c r="U3692" s="13">
        <f t="shared" si="3971"/>
        <v>1</v>
      </c>
      <c r="V3692" s="13">
        <f t="shared" si="3971"/>
        <v>0</v>
      </c>
      <c r="W3692" s="13">
        <f t="shared" si="3971"/>
        <v>0</v>
      </c>
      <c r="X3692" s="13">
        <f t="shared" si="3971"/>
        <v>0</v>
      </c>
      <c r="Y3692" s="13">
        <f t="shared" si="3971"/>
        <v>0</v>
      </c>
      <c r="Z3692" s="13">
        <f t="shared" si="3023"/>
        <v>0</v>
      </c>
      <c r="AA3692" s="13"/>
      <c r="AB3692" s="13"/>
      <c r="AC3692" s="13"/>
      <c r="AD3692" s="13"/>
      <c r="AE3692" s="13"/>
      <c r="AF3692" s="13"/>
      <c r="AG3692" s="13"/>
      <c r="AH3692" s="13"/>
      <c r="AI3692" s="13"/>
      <c r="AJ3692" s="13"/>
      <c r="AK3692" s="13"/>
      <c r="AL3692" s="13"/>
      <c r="AM3692" s="13"/>
      <c r="AN3692" s="13"/>
      <c r="AO3692" s="13"/>
      <c r="AP3692" s="13"/>
      <c r="AQ3692" s="13"/>
      <c r="AR3692" s="13"/>
      <c r="AS3692" s="13"/>
    </row>
    <row r="3693" ht="14.25" customHeight="1">
      <c r="A3693" s="13" t="s">
        <v>36</v>
      </c>
      <c r="B3693" s="13" t="s">
        <v>42</v>
      </c>
      <c r="C3693" s="13">
        <v>1328.0</v>
      </c>
      <c r="D3693" s="13" t="s">
        <v>435</v>
      </c>
      <c r="F3693" s="13"/>
      <c r="G3693" s="13" t="s">
        <v>111</v>
      </c>
      <c r="H3693" s="13" t="s">
        <v>75</v>
      </c>
      <c r="I3693" s="13"/>
      <c r="J3693" s="13"/>
      <c r="K3693" s="15">
        <v>0.0</v>
      </c>
      <c r="L3693" s="15">
        <v>0.0</v>
      </c>
      <c r="M3693" s="16"/>
      <c r="N3693" s="16"/>
      <c r="O3693" s="17"/>
      <c r="P3693" s="17"/>
      <c r="Q3693" s="13">
        <f t="shared" si="3940"/>
        <v>0</v>
      </c>
      <c r="R3693" s="13"/>
      <c r="S3693" s="13"/>
      <c r="T3693" s="13">
        <f t="shared" ref="T3693:Y3693" si="3972">IF(ISBLANK(K3693)=TRUE,0,1)</f>
        <v>1</v>
      </c>
      <c r="U3693" s="13">
        <f t="shared" si="3972"/>
        <v>1</v>
      </c>
      <c r="V3693" s="13">
        <f t="shared" si="3972"/>
        <v>0</v>
      </c>
      <c r="W3693" s="13">
        <f t="shared" si="3972"/>
        <v>0</v>
      </c>
      <c r="X3693" s="13">
        <f t="shared" si="3972"/>
        <v>0</v>
      </c>
      <c r="Y3693" s="13">
        <f t="shared" si="3972"/>
        <v>0</v>
      </c>
      <c r="Z3693" s="13">
        <f t="shared" si="3023"/>
        <v>0</v>
      </c>
      <c r="AA3693" s="13"/>
      <c r="AB3693" s="13"/>
      <c r="AC3693" s="13"/>
      <c r="AD3693" s="13"/>
      <c r="AE3693" s="13"/>
      <c r="AF3693" s="13"/>
      <c r="AG3693" s="13"/>
      <c r="AH3693" s="13"/>
      <c r="AI3693" s="13"/>
      <c r="AJ3693" s="13"/>
      <c r="AK3693" s="13"/>
      <c r="AL3693" s="13"/>
      <c r="AM3693" s="13"/>
      <c r="AN3693" s="13"/>
      <c r="AO3693" s="13"/>
      <c r="AP3693" s="13"/>
      <c r="AQ3693" s="13"/>
      <c r="AR3693" s="13"/>
      <c r="AS3693" s="13"/>
    </row>
    <row r="3694" ht="14.25" customHeight="1">
      <c r="A3694" s="13" t="s">
        <v>36</v>
      </c>
      <c r="B3694" s="13" t="s">
        <v>41</v>
      </c>
      <c r="C3694" s="13" t="s">
        <v>588</v>
      </c>
      <c r="D3694" s="13" t="s">
        <v>551</v>
      </c>
      <c r="F3694" s="13"/>
      <c r="G3694" s="13" t="s">
        <v>74</v>
      </c>
      <c r="H3694" s="13" t="s">
        <v>75</v>
      </c>
      <c r="I3694" s="13"/>
      <c r="J3694" s="13"/>
      <c r="K3694" s="15">
        <v>1.0</v>
      </c>
      <c r="L3694" s="15">
        <v>1.0</v>
      </c>
      <c r="M3694" s="16"/>
      <c r="N3694" s="16"/>
      <c r="O3694" s="17"/>
      <c r="P3694" s="17"/>
      <c r="Q3694" s="13">
        <f t="shared" si="3940"/>
        <v>0</v>
      </c>
      <c r="R3694" s="13"/>
      <c r="S3694" s="13"/>
      <c r="T3694" s="13">
        <f t="shared" ref="T3694:Y3694" si="3973">IF(ISBLANK(K3694)=TRUE,0,1)</f>
        <v>1</v>
      </c>
      <c r="U3694" s="13">
        <f t="shared" si="3973"/>
        <v>1</v>
      </c>
      <c r="V3694" s="13">
        <f t="shared" si="3973"/>
        <v>0</v>
      </c>
      <c r="W3694" s="13">
        <f t="shared" si="3973"/>
        <v>0</v>
      </c>
      <c r="X3694" s="13">
        <f t="shared" si="3973"/>
        <v>0</v>
      </c>
      <c r="Y3694" s="13">
        <f t="shared" si="3973"/>
        <v>0</v>
      </c>
      <c r="Z3694" s="13">
        <f t="shared" si="3023"/>
        <v>1</v>
      </c>
      <c r="AA3694" s="13"/>
      <c r="AB3694" s="13"/>
      <c r="AC3694" s="13"/>
      <c r="AD3694" s="13"/>
      <c r="AE3694" s="13"/>
      <c r="AF3694" s="13"/>
      <c r="AG3694" s="13"/>
      <c r="AH3694" s="13"/>
      <c r="AI3694" s="13"/>
      <c r="AJ3694" s="13"/>
      <c r="AK3694" s="13"/>
      <c r="AL3694" s="13"/>
      <c r="AM3694" s="13"/>
      <c r="AN3694" s="13"/>
      <c r="AO3694" s="13"/>
      <c r="AP3694" s="13"/>
      <c r="AQ3694" s="13"/>
      <c r="AR3694" s="13"/>
      <c r="AS3694" s="13"/>
    </row>
    <row r="3695" ht="14.25" customHeight="1">
      <c r="A3695" s="13" t="s">
        <v>36</v>
      </c>
      <c r="B3695" s="13" t="s">
        <v>41</v>
      </c>
      <c r="C3695" s="13" t="s">
        <v>588</v>
      </c>
      <c r="D3695" s="13" t="s">
        <v>553</v>
      </c>
      <c r="F3695" s="13"/>
      <c r="G3695" s="13" t="s">
        <v>74</v>
      </c>
      <c r="H3695" s="13" t="s">
        <v>75</v>
      </c>
      <c r="I3695" s="13"/>
      <c r="J3695" s="13"/>
      <c r="K3695" s="15">
        <v>1.0</v>
      </c>
      <c r="L3695" s="15">
        <v>1.0</v>
      </c>
      <c r="M3695" s="16"/>
      <c r="N3695" s="16"/>
      <c r="O3695" s="17"/>
      <c r="P3695" s="17"/>
      <c r="Q3695" s="13">
        <f t="shared" si="3940"/>
        <v>2</v>
      </c>
      <c r="R3695" s="13"/>
      <c r="S3695" s="13"/>
      <c r="T3695" s="13">
        <f t="shared" ref="T3695:Y3695" si="3974">IF(ISBLANK(K3695)=TRUE,0,1)</f>
        <v>1</v>
      </c>
      <c r="U3695" s="13">
        <f t="shared" si="3974"/>
        <v>1</v>
      </c>
      <c r="V3695" s="13">
        <f t="shared" si="3974"/>
        <v>0</v>
      </c>
      <c r="W3695" s="13">
        <f t="shared" si="3974"/>
        <v>0</v>
      </c>
      <c r="X3695" s="13">
        <f t="shared" si="3974"/>
        <v>0</v>
      </c>
      <c r="Y3695" s="13">
        <f t="shared" si="3974"/>
        <v>0</v>
      </c>
      <c r="Z3695" s="13">
        <f t="shared" si="3023"/>
        <v>1</v>
      </c>
      <c r="AA3695" s="13"/>
      <c r="AB3695" s="13"/>
      <c r="AC3695" s="13"/>
      <c r="AD3695" s="13"/>
      <c r="AE3695" s="13"/>
      <c r="AF3695" s="13"/>
      <c r="AG3695" s="13"/>
      <c r="AH3695" s="13"/>
      <c r="AI3695" s="13"/>
      <c r="AJ3695" s="13"/>
      <c r="AK3695" s="13"/>
      <c r="AL3695" s="13"/>
      <c r="AM3695" s="13"/>
      <c r="AN3695" s="13"/>
      <c r="AO3695" s="13"/>
      <c r="AP3695" s="13"/>
      <c r="AQ3695" s="13"/>
      <c r="AR3695" s="13"/>
      <c r="AS3695" s="13"/>
    </row>
    <row r="3696" ht="14.25" customHeight="1">
      <c r="A3696" s="13" t="s">
        <v>36</v>
      </c>
      <c r="B3696" s="13" t="s">
        <v>39</v>
      </c>
      <c r="C3696" s="13" t="s">
        <v>566</v>
      </c>
      <c r="D3696" s="13" t="s">
        <v>168</v>
      </c>
      <c r="F3696" s="13"/>
      <c r="G3696" s="13" t="s">
        <v>74</v>
      </c>
      <c r="H3696" s="13" t="s">
        <v>75</v>
      </c>
      <c r="I3696" s="13"/>
      <c r="J3696" s="13"/>
      <c r="K3696" s="15">
        <v>1.0</v>
      </c>
      <c r="L3696" s="15">
        <v>1.0</v>
      </c>
      <c r="M3696" s="16"/>
      <c r="N3696" s="16"/>
      <c r="O3696" s="17"/>
      <c r="P3696" s="17"/>
      <c r="Q3696" s="13">
        <f t="shared" si="3940"/>
        <v>2</v>
      </c>
      <c r="R3696" s="13"/>
      <c r="S3696" s="13"/>
      <c r="T3696" s="13">
        <f t="shared" ref="T3696:Y3696" si="3975">IF(ISBLANK(K3696)=TRUE,0,1)</f>
        <v>1</v>
      </c>
      <c r="U3696" s="13">
        <f t="shared" si="3975"/>
        <v>1</v>
      </c>
      <c r="V3696" s="13">
        <f t="shared" si="3975"/>
        <v>0</v>
      </c>
      <c r="W3696" s="13">
        <f t="shared" si="3975"/>
        <v>0</v>
      </c>
      <c r="X3696" s="13">
        <f t="shared" si="3975"/>
        <v>0</v>
      </c>
      <c r="Y3696" s="13">
        <f t="shared" si="3975"/>
        <v>0</v>
      </c>
      <c r="Z3696" s="13">
        <f t="shared" si="3023"/>
        <v>1</v>
      </c>
      <c r="AA3696" s="13"/>
      <c r="AB3696" s="13"/>
      <c r="AC3696" s="13"/>
      <c r="AD3696" s="13"/>
      <c r="AE3696" s="13"/>
      <c r="AF3696" s="13"/>
      <c r="AG3696" s="13"/>
      <c r="AH3696" s="13"/>
      <c r="AI3696" s="13"/>
      <c r="AJ3696" s="13"/>
      <c r="AK3696" s="13"/>
      <c r="AL3696" s="13"/>
      <c r="AM3696" s="13"/>
      <c r="AN3696" s="13"/>
      <c r="AO3696" s="13"/>
      <c r="AP3696" s="13"/>
      <c r="AQ3696" s="13"/>
      <c r="AR3696" s="13"/>
      <c r="AS3696" s="13"/>
    </row>
    <row r="3697" ht="14.25" customHeight="1">
      <c r="A3697" s="13" t="s">
        <v>36</v>
      </c>
      <c r="B3697" s="13" t="s">
        <v>41</v>
      </c>
      <c r="C3697" s="13" t="s">
        <v>588</v>
      </c>
      <c r="D3697" s="13" t="s">
        <v>554</v>
      </c>
      <c r="F3697" s="13"/>
      <c r="G3697" s="13" t="s">
        <v>74</v>
      </c>
      <c r="H3697" s="13" t="s">
        <v>75</v>
      </c>
      <c r="I3697" s="13"/>
      <c r="J3697" s="13"/>
      <c r="K3697" s="15">
        <v>1.0</v>
      </c>
      <c r="L3697" s="15">
        <v>1.0</v>
      </c>
      <c r="M3697" s="16"/>
      <c r="N3697" s="16"/>
      <c r="O3697" s="17"/>
      <c r="P3697" s="17"/>
      <c r="Q3697" s="13">
        <f t="shared" si="3940"/>
        <v>2</v>
      </c>
      <c r="R3697" s="13"/>
      <c r="S3697" s="13"/>
      <c r="T3697" s="13">
        <f t="shared" ref="T3697:Y3697" si="3976">IF(ISBLANK(K3697)=TRUE,0,1)</f>
        <v>1</v>
      </c>
      <c r="U3697" s="13">
        <f t="shared" si="3976"/>
        <v>1</v>
      </c>
      <c r="V3697" s="13">
        <f t="shared" si="3976"/>
        <v>0</v>
      </c>
      <c r="W3697" s="13">
        <f t="shared" si="3976"/>
        <v>0</v>
      </c>
      <c r="X3697" s="13">
        <f t="shared" si="3976"/>
        <v>0</v>
      </c>
      <c r="Y3697" s="13">
        <f t="shared" si="3976"/>
        <v>0</v>
      </c>
      <c r="Z3697" s="13">
        <f t="shared" si="3023"/>
        <v>1</v>
      </c>
      <c r="AA3697" s="13"/>
      <c r="AB3697" s="13"/>
      <c r="AC3697" s="13"/>
      <c r="AD3697" s="13"/>
      <c r="AE3697" s="13"/>
      <c r="AF3697" s="13"/>
      <c r="AG3697" s="13"/>
      <c r="AH3697" s="13"/>
      <c r="AI3697" s="13"/>
      <c r="AJ3697" s="13"/>
      <c r="AK3697" s="13"/>
      <c r="AL3697" s="13"/>
      <c r="AM3697" s="13"/>
      <c r="AN3697" s="13"/>
      <c r="AO3697" s="13"/>
      <c r="AP3697" s="13"/>
      <c r="AQ3697" s="13"/>
      <c r="AR3697" s="13"/>
      <c r="AS3697" s="13"/>
    </row>
    <row r="3698" ht="14.25" customHeight="1">
      <c r="A3698" s="13" t="s">
        <v>36</v>
      </c>
      <c r="B3698" s="13" t="s">
        <v>41</v>
      </c>
      <c r="C3698" s="13" t="s">
        <v>588</v>
      </c>
      <c r="D3698" s="13" t="s">
        <v>555</v>
      </c>
      <c r="F3698" s="13"/>
      <c r="G3698" s="13" t="s">
        <v>74</v>
      </c>
      <c r="H3698" s="13" t="s">
        <v>75</v>
      </c>
      <c r="I3698" s="13"/>
      <c r="J3698" s="13"/>
      <c r="K3698" s="15">
        <v>1.0</v>
      </c>
      <c r="L3698" s="15">
        <v>1.0</v>
      </c>
      <c r="M3698" s="16"/>
      <c r="N3698" s="16"/>
      <c r="O3698" s="17"/>
      <c r="P3698" s="17"/>
      <c r="Q3698" s="13">
        <f t="shared" si="3940"/>
        <v>2</v>
      </c>
      <c r="R3698" s="13"/>
      <c r="S3698" s="13"/>
      <c r="T3698" s="13">
        <f t="shared" ref="T3698:Y3698" si="3977">IF(ISBLANK(K3698)=TRUE,0,1)</f>
        <v>1</v>
      </c>
      <c r="U3698" s="13">
        <f t="shared" si="3977"/>
        <v>1</v>
      </c>
      <c r="V3698" s="13">
        <f t="shared" si="3977"/>
        <v>0</v>
      </c>
      <c r="W3698" s="13">
        <f t="shared" si="3977"/>
        <v>0</v>
      </c>
      <c r="X3698" s="13">
        <f t="shared" si="3977"/>
        <v>0</v>
      </c>
      <c r="Y3698" s="13">
        <f t="shared" si="3977"/>
        <v>0</v>
      </c>
      <c r="Z3698" s="13">
        <f t="shared" si="3023"/>
        <v>1</v>
      </c>
      <c r="AA3698" s="13"/>
      <c r="AB3698" s="13"/>
      <c r="AC3698" s="13"/>
      <c r="AD3698" s="13"/>
      <c r="AE3698" s="13"/>
      <c r="AF3698" s="13"/>
      <c r="AG3698" s="13"/>
      <c r="AH3698" s="13"/>
      <c r="AI3698" s="13"/>
      <c r="AJ3698" s="13"/>
      <c r="AK3698" s="13"/>
      <c r="AL3698" s="13"/>
      <c r="AM3698" s="13"/>
      <c r="AN3698" s="13"/>
      <c r="AO3698" s="13"/>
      <c r="AP3698" s="13"/>
      <c r="AQ3698" s="13"/>
      <c r="AR3698" s="13"/>
      <c r="AS3698" s="13"/>
    </row>
    <row r="3699" ht="14.25" customHeight="1">
      <c r="A3699" s="13" t="s">
        <v>36</v>
      </c>
      <c r="B3699" s="13" t="s">
        <v>39</v>
      </c>
      <c r="C3699" s="13" t="s">
        <v>566</v>
      </c>
      <c r="D3699" s="13" t="s">
        <v>169</v>
      </c>
      <c r="F3699" s="13"/>
      <c r="G3699" s="13" t="s">
        <v>74</v>
      </c>
      <c r="H3699" s="13" t="s">
        <v>75</v>
      </c>
      <c r="I3699" s="13"/>
      <c r="J3699" s="13"/>
      <c r="K3699" s="15">
        <v>1.0</v>
      </c>
      <c r="L3699" s="15">
        <v>1.0</v>
      </c>
      <c r="M3699" s="16"/>
      <c r="N3699" s="16"/>
      <c r="O3699" s="17"/>
      <c r="P3699" s="17"/>
      <c r="Q3699" s="13">
        <f t="shared" si="3940"/>
        <v>2</v>
      </c>
      <c r="R3699" s="13"/>
      <c r="S3699" s="13"/>
      <c r="T3699" s="13">
        <f t="shared" ref="T3699:Y3699" si="3978">IF(ISBLANK(K3699)=TRUE,0,1)</f>
        <v>1</v>
      </c>
      <c r="U3699" s="13">
        <f t="shared" si="3978"/>
        <v>1</v>
      </c>
      <c r="V3699" s="13">
        <f t="shared" si="3978"/>
        <v>0</v>
      </c>
      <c r="W3699" s="13">
        <f t="shared" si="3978"/>
        <v>0</v>
      </c>
      <c r="X3699" s="13">
        <f t="shared" si="3978"/>
        <v>0</v>
      </c>
      <c r="Y3699" s="13">
        <f t="shared" si="3978"/>
        <v>0</v>
      </c>
      <c r="Z3699" s="13">
        <f t="shared" si="3023"/>
        <v>1</v>
      </c>
      <c r="AA3699" s="13"/>
      <c r="AB3699" s="13"/>
      <c r="AC3699" s="13"/>
      <c r="AD3699" s="13"/>
      <c r="AE3699" s="13"/>
      <c r="AF3699" s="13"/>
      <c r="AG3699" s="13"/>
      <c r="AH3699" s="13"/>
      <c r="AI3699" s="13"/>
      <c r="AJ3699" s="13"/>
      <c r="AK3699" s="13"/>
      <c r="AL3699" s="13"/>
      <c r="AM3699" s="13"/>
      <c r="AN3699" s="13"/>
      <c r="AO3699" s="13"/>
      <c r="AP3699" s="13"/>
      <c r="AQ3699" s="13"/>
      <c r="AR3699" s="13"/>
      <c r="AS3699" s="13"/>
    </row>
    <row r="3700" ht="14.25" customHeight="1">
      <c r="A3700" s="13" t="s">
        <v>36</v>
      </c>
      <c r="B3700" s="13" t="s">
        <v>42</v>
      </c>
      <c r="C3700" s="13">
        <v>1328.0</v>
      </c>
      <c r="D3700" s="13" t="s">
        <v>436</v>
      </c>
      <c r="F3700" s="13"/>
      <c r="G3700" s="13" t="s">
        <v>111</v>
      </c>
      <c r="H3700" s="13" t="s">
        <v>75</v>
      </c>
      <c r="I3700" s="13"/>
      <c r="J3700" s="13"/>
      <c r="K3700" s="15">
        <v>0.0</v>
      </c>
      <c r="L3700" s="15">
        <v>0.0</v>
      </c>
      <c r="M3700" s="16"/>
      <c r="N3700" s="16"/>
      <c r="O3700" s="17"/>
      <c r="P3700" s="17"/>
      <c r="Q3700" s="13">
        <f t="shared" si="3940"/>
        <v>2</v>
      </c>
      <c r="R3700" s="13"/>
      <c r="S3700" s="13"/>
      <c r="T3700" s="13">
        <f t="shared" ref="T3700:Y3700" si="3979">IF(ISBLANK(K3700)=TRUE,0,1)</f>
        <v>1</v>
      </c>
      <c r="U3700" s="13">
        <f t="shared" si="3979"/>
        <v>1</v>
      </c>
      <c r="V3700" s="13">
        <f t="shared" si="3979"/>
        <v>0</v>
      </c>
      <c r="W3700" s="13">
        <f t="shared" si="3979"/>
        <v>0</v>
      </c>
      <c r="X3700" s="13">
        <f t="shared" si="3979"/>
        <v>0</v>
      </c>
      <c r="Y3700" s="13">
        <f t="shared" si="3979"/>
        <v>0</v>
      </c>
      <c r="Z3700" s="13">
        <f t="shared" si="3023"/>
        <v>0</v>
      </c>
      <c r="AA3700" s="13"/>
      <c r="AB3700" s="13"/>
      <c r="AC3700" s="13"/>
      <c r="AD3700" s="13"/>
      <c r="AE3700" s="13"/>
      <c r="AF3700" s="13"/>
      <c r="AG3700" s="13"/>
      <c r="AH3700" s="13"/>
      <c r="AI3700" s="13"/>
      <c r="AJ3700" s="13"/>
      <c r="AK3700" s="13"/>
      <c r="AL3700" s="13"/>
      <c r="AM3700" s="13"/>
      <c r="AN3700" s="13"/>
      <c r="AO3700" s="13"/>
      <c r="AP3700" s="13"/>
      <c r="AQ3700" s="13"/>
      <c r="AR3700" s="13"/>
      <c r="AS3700" s="13"/>
    </row>
    <row r="3701" ht="14.25" customHeight="1">
      <c r="A3701" s="13" t="s">
        <v>36</v>
      </c>
      <c r="B3701" s="13" t="s">
        <v>42</v>
      </c>
      <c r="C3701" s="13">
        <v>1328.0</v>
      </c>
      <c r="D3701" s="13" t="s">
        <v>437</v>
      </c>
      <c r="F3701" s="13"/>
      <c r="G3701" s="13" t="s">
        <v>111</v>
      </c>
      <c r="H3701" s="13" t="s">
        <v>75</v>
      </c>
      <c r="I3701" s="13"/>
      <c r="J3701" s="13"/>
      <c r="K3701" s="15">
        <v>0.0</v>
      </c>
      <c r="L3701" s="15">
        <v>0.0</v>
      </c>
      <c r="M3701" s="16"/>
      <c r="N3701" s="16"/>
      <c r="O3701" s="17"/>
      <c r="P3701" s="17"/>
      <c r="Q3701" s="13">
        <f t="shared" si="3940"/>
        <v>0</v>
      </c>
      <c r="R3701" s="13"/>
      <c r="S3701" s="13"/>
      <c r="T3701" s="13">
        <f t="shared" ref="T3701:Y3701" si="3980">IF(ISBLANK(K3701)=TRUE,0,1)</f>
        <v>1</v>
      </c>
      <c r="U3701" s="13">
        <f t="shared" si="3980"/>
        <v>1</v>
      </c>
      <c r="V3701" s="13">
        <f t="shared" si="3980"/>
        <v>0</v>
      </c>
      <c r="W3701" s="13">
        <f t="shared" si="3980"/>
        <v>0</v>
      </c>
      <c r="X3701" s="13">
        <f t="shared" si="3980"/>
        <v>0</v>
      </c>
      <c r="Y3701" s="13">
        <f t="shared" si="3980"/>
        <v>0</v>
      </c>
      <c r="Z3701" s="13">
        <f t="shared" si="3023"/>
        <v>0</v>
      </c>
      <c r="AA3701" s="13"/>
      <c r="AB3701" s="13"/>
      <c r="AC3701" s="13"/>
      <c r="AD3701" s="13"/>
      <c r="AE3701" s="13"/>
      <c r="AF3701" s="13"/>
      <c r="AG3701" s="13"/>
      <c r="AH3701" s="13"/>
      <c r="AI3701" s="13"/>
      <c r="AJ3701" s="13"/>
      <c r="AK3701" s="13"/>
      <c r="AL3701" s="13"/>
      <c r="AM3701" s="13"/>
      <c r="AN3701" s="13"/>
      <c r="AO3701" s="13"/>
      <c r="AP3701" s="13"/>
      <c r="AQ3701" s="13"/>
      <c r="AR3701" s="13"/>
      <c r="AS3701" s="13"/>
    </row>
    <row r="3702" ht="14.25" customHeight="1">
      <c r="A3702" s="13" t="s">
        <v>36</v>
      </c>
      <c r="B3702" s="13" t="s">
        <v>42</v>
      </c>
      <c r="C3702" s="13">
        <v>1335.0</v>
      </c>
      <c r="D3702" s="13" t="s">
        <v>174</v>
      </c>
      <c r="F3702" s="13"/>
      <c r="G3702" s="13" t="s">
        <v>111</v>
      </c>
      <c r="H3702" s="13" t="s">
        <v>75</v>
      </c>
      <c r="I3702" s="13"/>
      <c r="J3702" s="13"/>
      <c r="K3702" s="15">
        <v>0.0</v>
      </c>
      <c r="L3702" s="15">
        <v>0.0</v>
      </c>
      <c r="M3702" s="16"/>
      <c r="N3702" s="16"/>
      <c r="O3702" s="17"/>
      <c r="P3702" s="17"/>
      <c r="Q3702" s="13">
        <f t="shared" si="3940"/>
        <v>0</v>
      </c>
      <c r="R3702" s="13"/>
      <c r="S3702" s="13"/>
      <c r="T3702" s="13">
        <f t="shared" ref="T3702:Y3702" si="3981">IF(ISBLANK(K3702)=TRUE,0,1)</f>
        <v>1</v>
      </c>
      <c r="U3702" s="13">
        <f t="shared" si="3981"/>
        <v>1</v>
      </c>
      <c r="V3702" s="13">
        <f t="shared" si="3981"/>
        <v>0</v>
      </c>
      <c r="W3702" s="13">
        <f t="shared" si="3981"/>
        <v>0</v>
      </c>
      <c r="X3702" s="13">
        <f t="shared" si="3981"/>
        <v>0</v>
      </c>
      <c r="Y3702" s="13">
        <f t="shared" si="3981"/>
        <v>0</v>
      </c>
      <c r="Z3702" s="13">
        <f t="shared" si="3023"/>
        <v>0</v>
      </c>
      <c r="AA3702" s="13"/>
      <c r="AB3702" s="13"/>
      <c r="AC3702" s="13"/>
      <c r="AD3702" s="13"/>
      <c r="AE3702" s="13"/>
      <c r="AF3702" s="13"/>
      <c r="AG3702" s="13"/>
      <c r="AH3702" s="13"/>
      <c r="AI3702" s="13"/>
      <c r="AJ3702" s="13"/>
      <c r="AK3702" s="13"/>
      <c r="AL3702" s="13"/>
      <c r="AM3702" s="13"/>
      <c r="AN3702" s="13"/>
      <c r="AO3702" s="13"/>
      <c r="AP3702" s="13"/>
      <c r="AQ3702" s="13"/>
      <c r="AR3702" s="13"/>
      <c r="AS3702" s="13"/>
    </row>
    <row r="3703" ht="14.25" customHeight="1">
      <c r="A3703" s="13" t="s">
        <v>36</v>
      </c>
      <c r="B3703" s="13" t="s">
        <v>41</v>
      </c>
      <c r="C3703" s="13" t="s">
        <v>588</v>
      </c>
      <c r="D3703" s="13" t="s">
        <v>168</v>
      </c>
      <c r="F3703" s="13"/>
      <c r="G3703" s="13" t="s">
        <v>74</v>
      </c>
      <c r="H3703" s="13" t="s">
        <v>75</v>
      </c>
      <c r="I3703" s="13"/>
      <c r="J3703" s="13"/>
      <c r="K3703" s="15">
        <v>1.0</v>
      </c>
      <c r="L3703" s="15">
        <v>1.0</v>
      </c>
      <c r="M3703" s="16"/>
      <c r="N3703" s="16"/>
      <c r="O3703" s="17"/>
      <c r="P3703" s="17"/>
      <c r="Q3703" s="13">
        <f t="shared" si="3940"/>
        <v>0</v>
      </c>
      <c r="R3703" s="13"/>
      <c r="S3703" s="13"/>
      <c r="T3703" s="13">
        <f t="shared" ref="T3703:Y3703" si="3982">IF(ISBLANK(K3703)=TRUE,0,1)</f>
        <v>1</v>
      </c>
      <c r="U3703" s="13">
        <f t="shared" si="3982"/>
        <v>1</v>
      </c>
      <c r="V3703" s="13">
        <f t="shared" si="3982"/>
        <v>0</v>
      </c>
      <c r="W3703" s="13">
        <f t="shared" si="3982"/>
        <v>0</v>
      </c>
      <c r="X3703" s="13">
        <f t="shared" si="3982"/>
        <v>0</v>
      </c>
      <c r="Y3703" s="13">
        <f t="shared" si="3982"/>
        <v>0</v>
      </c>
      <c r="Z3703" s="13">
        <f t="shared" si="3023"/>
        <v>1</v>
      </c>
      <c r="AA3703" s="13"/>
      <c r="AB3703" s="13"/>
      <c r="AC3703" s="13"/>
      <c r="AD3703" s="13"/>
      <c r="AE3703" s="13"/>
      <c r="AF3703" s="13"/>
      <c r="AG3703" s="13"/>
      <c r="AH3703" s="13"/>
      <c r="AI3703" s="13"/>
      <c r="AJ3703" s="13"/>
      <c r="AK3703" s="13"/>
      <c r="AL3703" s="13"/>
      <c r="AM3703" s="13"/>
      <c r="AN3703" s="13"/>
      <c r="AO3703" s="13"/>
      <c r="AP3703" s="13"/>
      <c r="AQ3703" s="13"/>
      <c r="AR3703" s="13"/>
      <c r="AS3703" s="13"/>
    </row>
    <row r="3704" ht="14.25" customHeight="1">
      <c r="A3704" s="13" t="s">
        <v>36</v>
      </c>
      <c r="B3704" s="13" t="s">
        <v>41</v>
      </c>
      <c r="C3704" s="13" t="s">
        <v>588</v>
      </c>
      <c r="D3704" s="13" t="s">
        <v>169</v>
      </c>
      <c r="F3704" s="13"/>
      <c r="G3704" s="13" t="s">
        <v>74</v>
      </c>
      <c r="H3704" s="13" t="s">
        <v>75</v>
      </c>
      <c r="I3704" s="13"/>
      <c r="J3704" s="13"/>
      <c r="K3704" s="15">
        <v>1.0</v>
      </c>
      <c r="L3704" s="15">
        <v>1.0</v>
      </c>
      <c r="M3704" s="16"/>
      <c r="N3704" s="16"/>
      <c r="O3704" s="17"/>
      <c r="P3704" s="17"/>
      <c r="Q3704" s="13">
        <f t="shared" si="3940"/>
        <v>2</v>
      </c>
      <c r="R3704" s="13"/>
      <c r="S3704" s="13"/>
      <c r="T3704" s="13">
        <f t="shared" ref="T3704:Y3704" si="3983">IF(ISBLANK(K3704)=TRUE,0,1)</f>
        <v>1</v>
      </c>
      <c r="U3704" s="13">
        <f t="shared" si="3983"/>
        <v>1</v>
      </c>
      <c r="V3704" s="13">
        <f t="shared" si="3983"/>
        <v>0</v>
      </c>
      <c r="W3704" s="13">
        <f t="shared" si="3983"/>
        <v>0</v>
      </c>
      <c r="X3704" s="13">
        <f t="shared" si="3983"/>
        <v>0</v>
      </c>
      <c r="Y3704" s="13">
        <f t="shared" si="3983"/>
        <v>0</v>
      </c>
      <c r="Z3704" s="13">
        <f t="shared" si="3023"/>
        <v>1</v>
      </c>
      <c r="AA3704" s="13"/>
      <c r="AB3704" s="13"/>
      <c r="AC3704" s="13"/>
      <c r="AD3704" s="13"/>
      <c r="AE3704" s="13"/>
      <c r="AF3704" s="13"/>
      <c r="AG3704" s="13"/>
      <c r="AH3704" s="13"/>
      <c r="AI3704" s="13"/>
      <c r="AJ3704" s="13"/>
      <c r="AK3704" s="13"/>
      <c r="AL3704" s="13"/>
      <c r="AM3704" s="13"/>
      <c r="AN3704" s="13"/>
      <c r="AO3704" s="13"/>
      <c r="AP3704" s="13"/>
      <c r="AQ3704" s="13"/>
      <c r="AR3704" s="13"/>
      <c r="AS3704" s="13"/>
    </row>
    <row r="3705" ht="14.25" customHeight="1">
      <c r="A3705" s="13" t="s">
        <v>36</v>
      </c>
      <c r="B3705" s="13" t="s">
        <v>39</v>
      </c>
      <c r="C3705" s="13" t="s">
        <v>566</v>
      </c>
      <c r="D3705" s="13" t="s">
        <v>170</v>
      </c>
      <c r="F3705" s="13"/>
      <c r="G3705" s="13" t="s">
        <v>74</v>
      </c>
      <c r="H3705" s="13" t="s">
        <v>75</v>
      </c>
      <c r="I3705" s="13"/>
      <c r="J3705" s="13"/>
      <c r="K3705" s="15">
        <v>1.0</v>
      </c>
      <c r="L3705" s="15">
        <v>1.0</v>
      </c>
      <c r="M3705" s="16"/>
      <c r="N3705" s="16"/>
      <c r="O3705" s="17"/>
      <c r="P3705" s="17"/>
      <c r="Q3705" s="13">
        <f t="shared" si="3940"/>
        <v>2</v>
      </c>
      <c r="R3705" s="13"/>
      <c r="S3705" s="13"/>
      <c r="T3705" s="13">
        <f t="shared" ref="T3705:Y3705" si="3984">IF(ISBLANK(K3705)=TRUE,0,1)</f>
        <v>1</v>
      </c>
      <c r="U3705" s="13">
        <f t="shared" si="3984"/>
        <v>1</v>
      </c>
      <c r="V3705" s="13">
        <f t="shared" si="3984"/>
        <v>0</v>
      </c>
      <c r="W3705" s="13">
        <f t="shared" si="3984"/>
        <v>0</v>
      </c>
      <c r="X3705" s="13">
        <f t="shared" si="3984"/>
        <v>0</v>
      </c>
      <c r="Y3705" s="13">
        <f t="shared" si="3984"/>
        <v>0</v>
      </c>
      <c r="Z3705" s="13">
        <f t="shared" si="3023"/>
        <v>1</v>
      </c>
      <c r="AA3705" s="13"/>
      <c r="AB3705" s="13"/>
      <c r="AC3705" s="13"/>
      <c r="AD3705" s="13"/>
      <c r="AE3705" s="13"/>
      <c r="AF3705" s="13"/>
      <c r="AG3705" s="13"/>
      <c r="AH3705" s="13"/>
      <c r="AI3705" s="13"/>
      <c r="AJ3705" s="13"/>
      <c r="AK3705" s="13"/>
      <c r="AL3705" s="13"/>
      <c r="AM3705" s="13"/>
      <c r="AN3705" s="13"/>
      <c r="AO3705" s="13"/>
      <c r="AP3705" s="13"/>
      <c r="AQ3705" s="13"/>
      <c r="AR3705" s="13"/>
      <c r="AS3705" s="13"/>
    </row>
    <row r="3706" ht="14.25" customHeight="1">
      <c r="A3706" s="13" t="s">
        <v>36</v>
      </c>
      <c r="B3706" s="13" t="s">
        <v>41</v>
      </c>
      <c r="C3706" s="13" t="s">
        <v>588</v>
      </c>
      <c r="D3706" s="13" t="s">
        <v>170</v>
      </c>
      <c r="F3706" s="13"/>
      <c r="G3706" s="13" t="s">
        <v>74</v>
      </c>
      <c r="H3706" s="13" t="s">
        <v>75</v>
      </c>
      <c r="I3706" s="13"/>
      <c r="J3706" s="13"/>
      <c r="K3706" s="15">
        <v>1.0</v>
      </c>
      <c r="L3706" s="15">
        <v>1.0</v>
      </c>
      <c r="M3706" s="16"/>
      <c r="N3706" s="16"/>
      <c r="O3706" s="17"/>
      <c r="P3706" s="17"/>
      <c r="Q3706" s="13">
        <f t="shared" si="3940"/>
        <v>2</v>
      </c>
      <c r="R3706" s="13"/>
      <c r="S3706" s="13"/>
      <c r="T3706" s="13">
        <f t="shared" ref="T3706:Y3706" si="3985">IF(ISBLANK(K3706)=TRUE,0,1)</f>
        <v>1</v>
      </c>
      <c r="U3706" s="13">
        <f t="shared" si="3985"/>
        <v>1</v>
      </c>
      <c r="V3706" s="13">
        <f t="shared" si="3985"/>
        <v>0</v>
      </c>
      <c r="W3706" s="13">
        <f t="shared" si="3985"/>
        <v>0</v>
      </c>
      <c r="X3706" s="13">
        <f t="shared" si="3985"/>
        <v>0</v>
      </c>
      <c r="Y3706" s="13">
        <f t="shared" si="3985"/>
        <v>0</v>
      </c>
      <c r="Z3706" s="13">
        <f t="shared" si="3023"/>
        <v>1</v>
      </c>
      <c r="AA3706" s="13"/>
      <c r="AB3706" s="13"/>
      <c r="AC3706" s="13"/>
      <c r="AD3706" s="13"/>
      <c r="AE3706" s="13"/>
      <c r="AF3706" s="13"/>
      <c r="AG3706" s="13"/>
      <c r="AH3706" s="13"/>
      <c r="AI3706" s="13"/>
      <c r="AJ3706" s="13"/>
      <c r="AK3706" s="13"/>
      <c r="AL3706" s="13"/>
      <c r="AM3706" s="13"/>
      <c r="AN3706" s="13"/>
      <c r="AO3706" s="13"/>
      <c r="AP3706" s="13"/>
      <c r="AQ3706" s="13"/>
      <c r="AR3706" s="13"/>
      <c r="AS3706" s="13"/>
    </row>
    <row r="3707" ht="14.25" customHeight="1">
      <c r="A3707" s="13" t="s">
        <v>36</v>
      </c>
      <c r="B3707" s="13" t="s">
        <v>41</v>
      </c>
      <c r="C3707" s="13" t="s">
        <v>588</v>
      </c>
      <c r="D3707" s="13" t="s">
        <v>562</v>
      </c>
      <c r="F3707" s="13"/>
      <c r="G3707" s="13" t="s">
        <v>74</v>
      </c>
      <c r="H3707" s="13" t="s">
        <v>75</v>
      </c>
      <c r="I3707" s="14">
        <v>44917.0</v>
      </c>
      <c r="J3707" s="14"/>
      <c r="K3707" s="15">
        <v>1.0</v>
      </c>
      <c r="L3707" s="15">
        <v>1.0</v>
      </c>
      <c r="M3707" s="16"/>
      <c r="N3707" s="16"/>
      <c r="O3707" s="17"/>
      <c r="P3707" s="17"/>
      <c r="Q3707" s="13">
        <f t="shared" si="3940"/>
        <v>2</v>
      </c>
      <c r="R3707" s="13"/>
      <c r="S3707" s="13"/>
      <c r="T3707" s="13">
        <f t="shared" ref="T3707:Y3707" si="3986">IF(ISBLANK(K3707)=TRUE,0,1)</f>
        <v>1</v>
      </c>
      <c r="U3707" s="13">
        <f t="shared" si="3986"/>
        <v>1</v>
      </c>
      <c r="V3707" s="13">
        <f t="shared" si="3986"/>
        <v>0</v>
      </c>
      <c r="W3707" s="13">
        <f t="shared" si="3986"/>
        <v>0</v>
      </c>
      <c r="X3707" s="13">
        <f t="shared" si="3986"/>
        <v>0</v>
      </c>
      <c r="Y3707" s="13">
        <f t="shared" si="3986"/>
        <v>0</v>
      </c>
      <c r="Z3707" s="13">
        <f t="shared" si="3023"/>
        <v>1</v>
      </c>
      <c r="AA3707" s="13"/>
      <c r="AB3707" s="13"/>
      <c r="AC3707" s="13"/>
      <c r="AD3707" s="13"/>
      <c r="AE3707" s="13"/>
      <c r="AF3707" s="13"/>
      <c r="AG3707" s="13"/>
      <c r="AH3707" s="13"/>
      <c r="AI3707" s="13"/>
      <c r="AJ3707" s="13"/>
      <c r="AK3707" s="13"/>
      <c r="AL3707" s="13"/>
      <c r="AM3707" s="13"/>
      <c r="AN3707" s="13"/>
      <c r="AO3707" s="13"/>
      <c r="AP3707" s="13"/>
      <c r="AQ3707" s="13"/>
      <c r="AR3707" s="13"/>
      <c r="AS3707" s="13"/>
    </row>
    <row r="3708" ht="14.25" customHeight="1">
      <c r="A3708" s="13" t="s">
        <v>36</v>
      </c>
      <c r="B3708" s="13" t="s">
        <v>39</v>
      </c>
      <c r="C3708" s="13" t="s">
        <v>566</v>
      </c>
      <c r="D3708" s="13" t="s">
        <v>171</v>
      </c>
      <c r="F3708" s="13"/>
      <c r="G3708" s="13" t="s">
        <v>74</v>
      </c>
      <c r="H3708" s="13" t="s">
        <v>75</v>
      </c>
      <c r="I3708" s="13"/>
      <c r="J3708" s="13"/>
      <c r="K3708" s="15">
        <v>1.0</v>
      </c>
      <c r="L3708" s="15">
        <v>1.0</v>
      </c>
      <c r="M3708" s="16"/>
      <c r="N3708" s="16"/>
      <c r="O3708" s="17"/>
      <c r="P3708" s="17"/>
      <c r="Q3708" s="13">
        <f t="shared" si="3940"/>
        <v>2</v>
      </c>
      <c r="R3708" s="13"/>
      <c r="S3708" s="13"/>
      <c r="T3708" s="13">
        <f t="shared" ref="T3708:Y3708" si="3987">IF(ISBLANK(K3708)=TRUE,0,1)</f>
        <v>1</v>
      </c>
      <c r="U3708" s="13">
        <f t="shared" si="3987"/>
        <v>1</v>
      </c>
      <c r="V3708" s="13">
        <f t="shared" si="3987"/>
        <v>0</v>
      </c>
      <c r="W3708" s="13">
        <f t="shared" si="3987"/>
        <v>0</v>
      </c>
      <c r="X3708" s="13">
        <f t="shared" si="3987"/>
        <v>0</v>
      </c>
      <c r="Y3708" s="13">
        <f t="shared" si="3987"/>
        <v>0</v>
      </c>
      <c r="Z3708" s="13">
        <f t="shared" si="3023"/>
        <v>1</v>
      </c>
      <c r="AA3708" s="13"/>
      <c r="AB3708" s="13"/>
      <c r="AC3708" s="13"/>
      <c r="AD3708" s="13"/>
      <c r="AE3708" s="13"/>
      <c r="AF3708" s="13"/>
      <c r="AG3708" s="13"/>
      <c r="AH3708" s="13"/>
      <c r="AI3708" s="13"/>
      <c r="AJ3708" s="13"/>
      <c r="AK3708" s="13"/>
      <c r="AL3708" s="13"/>
      <c r="AM3708" s="13"/>
      <c r="AN3708" s="13"/>
      <c r="AO3708" s="13"/>
      <c r="AP3708" s="13"/>
      <c r="AQ3708" s="13"/>
      <c r="AR3708" s="13"/>
      <c r="AS3708" s="13"/>
    </row>
    <row r="3709" ht="14.25" customHeight="1">
      <c r="A3709" s="13" t="s">
        <v>36</v>
      </c>
      <c r="B3709" s="13" t="s">
        <v>42</v>
      </c>
      <c r="C3709" s="13">
        <v>1335.0</v>
      </c>
      <c r="D3709" s="13" t="s">
        <v>175</v>
      </c>
      <c r="F3709" s="13"/>
      <c r="G3709" s="13" t="s">
        <v>111</v>
      </c>
      <c r="H3709" s="13" t="s">
        <v>107</v>
      </c>
      <c r="I3709" s="13"/>
      <c r="J3709" s="13"/>
      <c r="K3709" s="15">
        <v>0.0</v>
      </c>
      <c r="L3709" s="15">
        <v>0.0</v>
      </c>
      <c r="M3709" s="16"/>
      <c r="N3709" s="16"/>
      <c r="O3709" s="17"/>
      <c r="P3709" s="17"/>
      <c r="Q3709" s="13">
        <f t="shared" si="3940"/>
        <v>2</v>
      </c>
      <c r="R3709" s="13"/>
      <c r="S3709" s="13"/>
      <c r="T3709" s="13">
        <f t="shared" ref="T3709:Y3709" si="3988">IF(ISBLANK(K3709)=TRUE,0,1)</f>
        <v>1</v>
      </c>
      <c r="U3709" s="13">
        <f t="shared" si="3988"/>
        <v>1</v>
      </c>
      <c r="V3709" s="13">
        <f t="shared" si="3988"/>
        <v>0</v>
      </c>
      <c r="W3709" s="13">
        <f t="shared" si="3988"/>
        <v>0</v>
      </c>
      <c r="X3709" s="13">
        <f t="shared" si="3988"/>
        <v>0</v>
      </c>
      <c r="Y3709" s="13">
        <f t="shared" si="3988"/>
        <v>0</v>
      </c>
      <c r="Z3709" s="13">
        <f t="shared" si="3023"/>
        <v>0</v>
      </c>
      <c r="AA3709" s="13"/>
      <c r="AB3709" s="13"/>
      <c r="AC3709" s="13"/>
      <c r="AD3709" s="13"/>
      <c r="AE3709" s="13"/>
      <c r="AF3709" s="13"/>
      <c r="AG3709" s="13"/>
      <c r="AH3709" s="13"/>
      <c r="AI3709" s="13"/>
      <c r="AJ3709" s="13"/>
      <c r="AK3709" s="13"/>
      <c r="AL3709" s="13"/>
      <c r="AM3709" s="13"/>
      <c r="AN3709" s="13"/>
      <c r="AO3709" s="13"/>
      <c r="AP3709" s="13"/>
      <c r="AQ3709" s="13"/>
      <c r="AR3709" s="13"/>
      <c r="AS3709" s="13"/>
    </row>
    <row r="3710" ht="14.25" customHeight="1">
      <c r="A3710" s="13" t="s">
        <v>36</v>
      </c>
      <c r="B3710" s="13" t="s">
        <v>42</v>
      </c>
      <c r="C3710" s="13">
        <v>1335.0</v>
      </c>
      <c r="D3710" s="13" t="s">
        <v>176</v>
      </c>
      <c r="F3710" s="13"/>
      <c r="G3710" s="13" t="s">
        <v>111</v>
      </c>
      <c r="H3710" s="13" t="s">
        <v>75</v>
      </c>
      <c r="I3710" s="13"/>
      <c r="J3710" s="13"/>
      <c r="K3710" s="15">
        <v>0.0</v>
      </c>
      <c r="L3710" s="15">
        <v>0.0</v>
      </c>
      <c r="M3710" s="16"/>
      <c r="N3710" s="16"/>
      <c r="O3710" s="17"/>
      <c r="P3710" s="17"/>
      <c r="Q3710" s="13">
        <f t="shared" si="3940"/>
        <v>0</v>
      </c>
      <c r="R3710" s="13"/>
      <c r="S3710" s="13"/>
      <c r="T3710" s="13">
        <f t="shared" ref="T3710:Y3710" si="3989">IF(ISBLANK(K3710)=TRUE,0,1)</f>
        <v>1</v>
      </c>
      <c r="U3710" s="13">
        <f t="shared" si="3989"/>
        <v>1</v>
      </c>
      <c r="V3710" s="13">
        <f t="shared" si="3989"/>
        <v>0</v>
      </c>
      <c r="W3710" s="13">
        <f t="shared" si="3989"/>
        <v>0</v>
      </c>
      <c r="X3710" s="13">
        <f t="shared" si="3989"/>
        <v>0</v>
      </c>
      <c r="Y3710" s="13">
        <f t="shared" si="3989"/>
        <v>0</v>
      </c>
      <c r="Z3710" s="13">
        <f t="shared" si="3023"/>
        <v>0</v>
      </c>
      <c r="AA3710" s="13"/>
      <c r="AB3710" s="13"/>
      <c r="AC3710" s="13"/>
      <c r="AD3710" s="13"/>
      <c r="AE3710" s="13"/>
      <c r="AF3710" s="13"/>
      <c r="AG3710" s="13"/>
      <c r="AH3710" s="13"/>
      <c r="AI3710" s="13"/>
      <c r="AJ3710" s="13"/>
      <c r="AK3710" s="13"/>
      <c r="AL3710" s="13"/>
      <c r="AM3710" s="13"/>
      <c r="AN3710" s="13"/>
      <c r="AO3710" s="13"/>
      <c r="AP3710" s="13"/>
      <c r="AQ3710" s="13"/>
      <c r="AR3710" s="13"/>
      <c r="AS3710" s="13"/>
    </row>
    <row r="3711" ht="14.25" customHeight="1">
      <c r="A3711" s="13" t="s">
        <v>36</v>
      </c>
      <c r="B3711" s="13" t="s">
        <v>42</v>
      </c>
      <c r="C3711" s="13">
        <v>1335.0</v>
      </c>
      <c r="D3711" s="13" t="s">
        <v>177</v>
      </c>
      <c r="F3711" s="13"/>
      <c r="G3711" s="13" t="s">
        <v>111</v>
      </c>
      <c r="H3711" s="13" t="s">
        <v>107</v>
      </c>
      <c r="I3711" s="13"/>
      <c r="J3711" s="13"/>
      <c r="K3711" s="15">
        <v>0.0</v>
      </c>
      <c r="L3711" s="15">
        <v>0.0</v>
      </c>
      <c r="M3711" s="16"/>
      <c r="N3711" s="16"/>
      <c r="O3711" s="17"/>
      <c r="P3711" s="17"/>
      <c r="Q3711" s="13">
        <f t="shared" si="3940"/>
        <v>0</v>
      </c>
      <c r="R3711" s="13"/>
      <c r="S3711" s="13"/>
      <c r="T3711" s="13">
        <f t="shared" ref="T3711:Y3711" si="3990">IF(ISBLANK(K3711)=TRUE,0,1)</f>
        <v>1</v>
      </c>
      <c r="U3711" s="13">
        <f t="shared" si="3990"/>
        <v>1</v>
      </c>
      <c r="V3711" s="13">
        <f t="shared" si="3990"/>
        <v>0</v>
      </c>
      <c r="W3711" s="13">
        <f t="shared" si="3990"/>
        <v>0</v>
      </c>
      <c r="X3711" s="13">
        <f t="shared" si="3990"/>
        <v>0</v>
      </c>
      <c r="Y3711" s="13">
        <f t="shared" si="3990"/>
        <v>0</v>
      </c>
      <c r="Z3711" s="13">
        <f t="shared" si="3023"/>
        <v>0</v>
      </c>
      <c r="AA3711" s="13"/>
      <c r="AB3711" s="13"/>
      <c r="AC3711" s="13"/>
      <c r="AD3711" s="13"/>
      <c r="AE3711" s="13"/>
      <c r="AF3711" s="13"/>
      <c r="AG3711" s="13"/>
      <c r="AH3711" s="13"/>
      <c r="AI3711" s="13"/>
      <c r="AJ3711" s="13"/>
      <c r="AK3711" s="13"/>
      <c r="AL3711" s="13"/>
      <c r="AM3711" s="13"/>
      <c r="AN3711" s="13"/>
      <c r="AO3711" s="13"/>
      <c r="AP3711" s="13"/>
      <c r="AQ3711" s="13"/>
      <c r="AR3711" s="13"/>
      <c r="AS3711" s="13"/>
    </row>
    <row r="3712" ht="14.25" customHeight="1">
      <c r="A3712" s="13" t="s">
        <v>36</v>
      </c>
      <c r="B3712" s="13" t="s">
        <v>41</v>
      </c>
      <c r="C3712" s="13" t="s">
        <v>588</v>
      </c>
      <c r="D3712" s="13" t="s">
        <v>563</v>
      </c>
      <c r="F3712" s="13"/>
      <c r="G3712" s="13" t="s">
        <v>74</v>
      </c>
      <c r="H3712" s="13" t="s">
        <v>75</v>
      </c>
      <c r="I3712" s="14">
        <v>44917.0</v>
      </c>
      <c r="J3712" s="14"/>
      <c r="K3712" s="15">
        <v>1.0</v>
      </c>
      <c r="L3712" s="15">
        <v>1.0</v>
      </c>
      <c r="M3712" s="16"/>
      <c r="N3712" s="16"/>
      <c r="O3712" s="17"/>
      <c r="P3712" s="17"/>
      <c r="Q3712" s="13">
        <f t="shared" si="3940"/>
        <v>0</v>
      </c>
      <c r="R3712" s="13"/>
      <c r="S3712" s="13"/>
      <c r="T3712" s="13">
        <f t="shared" ref="T3712:Y3712" si="3991">IF(ISBLANK(K3712)=TRUE,0,1)</f>
        <v>1</v>
      </c>
      <c r="U3712" s="13">
        <f t="shared" si="3991"/>
        <v>1</v>
      </c>
      <c r="V3712" s="13">
        <f t="shared" si="3991"/>
        <v>0</v>
      </c>
      <c r="W3712" s="13">
        <f t="shared" si="3991"/>
        <v>0</v>
      </c>
      <c r="X3712" s="13">
        <f t="shared" si="3991"/>
        <v>0</v>
      </c>
      <c r="Y3712" s="13">
        <f t="shared" si="3991"/>
        <v>0</v>
      </c>
      <c r="Z3712" s="13">
        <f t="shared" si="3023"/>
        <v>1</v>
      </c>
      <c r="AA3712" s="13"/>
      <c r="AB3712" s="13"/>
      <c r="AC3712" s="13"/>
      <c r="AD3712" s="13"/>
      <c r="AE3712" s="13"/>
      <c r="AF3712" s="13"/>
      <c r="AG3712" s="13"/>
      <c r="AH3712" s="13"/>
      <c r="AI3712" s="13"/>
      <c r="AJ3712" s="13"/>
      <c r="AK3712" s="13"/>
      <c r="AL3712" s="13"/>
      <c r="AM3712" s="13"/>
      <c r="AN3712" s="13"/>
      <c r="AO3712" s="13"/>
      <c r="AP3712" s="13"/>
      <c r="AQ3712" s="13"/>
      <c r="AR3712" s="13"/>
      <c r="AS3712" s="13"/>
    </row>
    <row r="3713" ht="14.25" customHeight="1">
      <c r="A3713" s="13" t="s">
        <v>36</v>
      </c>
      <c r="B3713" s="13" t="s">
        <v>39</v>
      </c>
      <c r="C3713" s="13" t="s">
        <v>566</v>
      </c>
      <c r="D3713" s="13" t="s">
        <v>172</v>
      </c>
      <c r="F3713" s="13"/>
      <c r="G3713" s="13" t="s">
        <v>74</v>
      </c>
      <c r="H3713" s="13" t="s">
        <v>75</v>
      </c>
      <c r="I3713" s="13"/>
      <c r="J3713" s="13"/>
      <c r="K3713" s="15">
        <v>1.0</v>
      </c>
      <c r="L3713" s="15">
        <v>1.0</v>
      </c>
      <c r="M3713" s="16"/>
      <c r="N3713" s="16"/>
      <c r="O3713" s="17"/>
      <c r="P3713" s="17"/>
      <c r="Q3713" s="13">
        <f t="shared" si="3940"/>
        <v>2</v>
      </c>
      <c r="R3713" s="13"/>
      <c r="S3713" s="13"/>
      <c r="T3713" s="13">
        <f t="shared" ref="T3713:Y3713" si="3992">IF(ISBLANK(K3713)=TRUE,0,1)</f>
        <v>1</v>
      </c>
      <c r="U3713" s="13">
        <f t="shared" si="3992"/>
        <v>1</v>
      </c>
      <c r="V3713" s="13">
        <f t="shared" si="3992"/>
        <v>0</v>
      </c>
      <c r="W3713" s="13">
        <f t="shared" si="3992"/>
        <v>0</v>
      </c>
      <c r="X3713" s="13">
        <f t="shared" si="3992"/>
        <v>0</v>
      </c>
      <c r="Y3713" s="13">
        <f t="shared" si="3992"/>
        <v>0</v>
      </c>
      <c r="Z3713" s="13">
        <f t="shared" si="3023"/>
        <v>1</v>
      </c>
      <c r="AA3713" s="13"/>
      <c r="AB3713" s="13"/>
      <c r="AC3713" s="13"/>
      <c r="AD3713" s="13"/>
      <c r="AE3713" s="13"/>
      <c r="AF3713" s="13"/>
      <c r="AG3713" s="13"/>
      <c r="AH3713" s="13"/>
      <c r="AI3713" s="13"/>
      <c r="AJ3713" s="13"/>
      <c r="AK3713" s="13"/>
      <c r="AL3713" s="13"/>
      <c r="AM3713" s="13"/>
      <c r="AN3713" s="13"/>
      <c r="AO3713" s="13"/>
      <c r="AP3713" s="13"/>
      <c r="AQ3713" s="13"/>
      <c r="AR3713" s="13"/>
      <c r="AS3713" s="13"/>
    </row>
    <row r="3714" ht="14.25" customHeight="1">
      <c r="A3714" s="13" t="s">
        <v>36</v>
      </c>
      <c r="B3714" s="13" t="s">
        <v>42</v>
      </c>
      <c r="C3714" s="13">
        <v>1335.0</v>
      </c>
      <c r="D3714" s="13" t="s">
        <v>178</v>
      </c>
      <c r="F3714" s="13"/>
      <c r="G3714" s="13" t="s">
        <v>111</v>
      </c>
      <c r="H3714" s="13" t="s">
        <v>75</v>
      </c>
      <c r="I3714" s="13"/>
      <c r="J3714" s="13"/>
      <c r="K3714" s="15">
        <v>0.0</v>
      </c>
      <c r="L3714" s="15">
        <v>0.0</v>
      </c>
      <c r="M3714" s="16"/>
      <c r="N3714" s="16"/>
      <c r="O3714" s="17"/>
      <c r="P3714" s="17"/>
      <c r="Q3714" s="13">
        <f t="shared" si="3940"/>
        <v>2</v>
      </c>
      <c r="R3714" s="13"/>
      <c r="S3714" s="13"/>
      <c r="T3714" s="13">
        <f t="shared" ref="T3714:Y3714" si="3993">IF(ISBLANK(K3714)=TRUE,0,1)</f>
        <v>1</v>
      </c>
      <c r="U3714" s="13">
        <f t="shared" si="3993"/>
        <v>1</v>
      </c>
      <c r="V3714" s="13">
        <f t="shared" si="3993"/>
        <v>0</v>
      </c>
      <c r="W3714" s="13">
        <f t="shared" si="3993"/>
        <v>0</v>
      </c>
      <c r="X3714" s="13">
        <f t="shared" si="3993"/>
        <v>0</v>
      </c>
      <c r="Y3714" s="13">
        <f t="shared" si="3993"/>
        <v>0</v>
      </c>
      <c r="Z3714" s="13">
        <f t="shared" si="3023"/>
        <v>0</v>
      </c>
      <c r="AA3714" s="13"/>
      <c r="AB3714" s="13"/>
      <c r="AC3714" s="13"/>
      <c r="AD3714" s="13"/>
      <c r="AE3714" s="13"/>
      <c r="AF3714" s="13"/>
      <c r="AG3714" s="13"/>
      <c r="AH3714" s="13"/>
      <c r="AI3714" s="13"/>
      <c r="AJ3714" s="13"/>
      <c r="AK3714" s="13"/>
      <c r="AL3714" s="13"/>
      <c r="AM3714" s="13"/>
      <c r="AN3714" s="13"/>
      <c r="AO3714" s="13"/>
      <c r="AP3714" s="13"/>
      <c r="AQ3714" s="13"/>
      <c r="AR3714" s="13"/>
      <c r="AS3714" s="13"/>
    </row>
    <row r="3715" ht="14.25" customHeight="1">
      <c r="A3715" s="13" t="s">
        <v>36</v>
      </c>
      <c r="B3715" s="13" t="s">
        <v>42</v>
      </c>
      <c r="C3715" s="13">
        <v>1335.0</v>
      </c>
      <c r="D3715" s="13" t="s">
        <v>179</v>
      </c>
      <c r="F3715" s="13"/>
      <c r="G3715" s="13" t="s">
        <v>111</v>
      </c>
      <c r="H3715" s="13" t="s">
        <v>75</v>
      </c>
      <c r="I3715" s="13"/>
      <c r="J3715" s="13"/>
      <c r="K3715" s="15">
        <v>0.0</v>
      </c>
      <c r="L3715" s="15">
        <v>0.0</v>
      </c>
      <c r="M3715" s="16"/>
      <c r="N3715" s="16"/>
      <c r="O3715" s="17"/>
      <c r="P3715" s="17"/>
      <c r="Q3715" s="13">
        <f t="shared" si="3940"/>
        <v>0</v>
      </c>
      <c r="R3715" s="13"/>
      <c r="S3715" s="13"/>
      <c r="T3715" s="13">
        <f t="shared" ref="T3715:Y3715" si="3994">IF(ISBLANK(K3715)=TRUE,0,1)</f>
        <v>1</v>
      </c>
      <c r="U3715" s="13">
        <f t="shared" si="3994"/>
        <v>1</v>
      </c>
      <c r="V3715" s="13">
        <f t="shared" si="3994"/>
        <v>0</v>
      </c>
      <c r="W3715" s="13">
        <f t="shared" si="3994"/>
        <v>0</v>
      </c>
      <c r="X3715" s="13">
        <f t="shared" si="3994"/>
        <v>0</v>
      </c>
      <c r="Y3715" s="13">
        <f t="shared" si="3994"/>
        <v>0</v>
      </c>
      <c r="Z3715" s="13">
        <f t="shared" si="3023"/>
        <v>0</v>
      </c>
      <c r="AA3715" s="13"/>
      <c r="AB3715" s="13"/>
      <c r="AC3715" s="13"/>
      <c r="AD3715" s="13"/>
      <c r="AE3715" s="13"/>
      <c r="AF3715" s="13"/>
      <c r="AG3715" s="13"/>
      <c r="AH3715" s="13"/>
      <c r="AI3715" s="13"/>
      <c r="AJ3715" s="13"/>
      <c r="AK3715" s="13"/>
      <c r="AL3715" s="13"/>
      <c r="AM3715" s="13"/>
      <c r="AN3715" s="13"/>
      <c r="AO3715" s="13"/>
      <c r="AP3715" s="13"/>
      <c r="AQ3715" s="13"/>
      <c r="AR3715" s="13"/>
      <c r="AS3715" s="13"/>
    </row>
    <row r="3716" ht="14.25" customHeight="1">
      <c r="A3716" s="13" t="s">
        <v>36</v>
      </c>
      <c r="B3716" s="13" t="s">
        <v>41</v>
      </c>
      <c r="C3716" s="13" t="s">
        <v>592</v>
      </c>
      <c r="D3716" s="13" t="s">
        <v>559</v>
      </c>
      <c r="F3716" s="13"/>
      <c r="G3716" s="13" t="s">
        <v>74</v>
      </c>
      <c r="H3716" s="13" t="s">
        <v>75</v>
      </c>
      <c r="I3716" s="13"/>
      <c r="J3716" s="13"/>
      <c r="K3716" s="15">
        <v>1.0</v>
      </c>
      <c r="L3716" s="15">
        <v>1.0</v>
      </c>
      <c r="M3716" s="16"/>
      <c r="N3716" s="16"/>
      <c r="O3716" s="17"/>
      <c r="P3716" s="17"/>
      <c r="Q3716" s="13"/>
      <c r="R3716" s="13"/>
      <c r="S3716" s="13"/>
      <c r="T3716" s="13">
        <f t="shared" ref="T3716:Y3716" si="3995">IF(ISBLANK(K3716)=TRUE,0,1)</f>
        <v>1</v>
      </c>
      <c r="U3716" s="13">
        <f t="shared" si="3995"/>
        <v>1</v>
      </c>
      <c r="V3716" s="13">
        <f t="shared" si="3995"/>
        <v>0</v>
      </c>
      <c r="W3716" s="13">
        <f t="shared" si="3995"/>
        <v>0</v>
      </c>
      <c r="X3716" s="13">
        <f t="shared" si="3995"/>
        <v>0</v>
      </c>
      <c r="Y3716" s="13">
        <f t="shared" si="3995"/>
        <v>0</v>
      </c>
      <c r="Z3716" s="13">
        <f t="shared" si="3023"/>
        <v>1</v>
      </c>
      <c r="AA3716" s="13"/>
      <c r="AB3716" s="13"/>
      <c r="AC3716" s="13"/>
      <c r="AD3716" s="13"/>
      <c r="AE3716" s="13"/>
      <c r="AF3716" s="13"/>
      <c r="AG3716" s="13"/>
      <c r="AH3716" s="13"/>
      <c r="AI3716" s="13"/>
      <c r="AJ3716" s="13"/>
      <c r="AK3716" s="13"/>
      <c r="AL3716" s="13"/>
      <c r="AM3716" s="13"/>
      <c r="AN3716" s="13"/>
      <c r="AO3716" s="13"/>
      <c r="AP3716" s="13"/>
      <c r="AQ3716" s="13"/>
      <c r="AR3716" s="13"/>
      <c r="AS3716" s="13"/>
    </row>
    <row r="3717" ht="14.25" customHeight="1">
      <c r="A3717" s="13" t="s">
        <v>36</v>
      </c>
      <c r="B3717" s="13" t="s">
        <v>41</v>
      </c>
      <c r="C3717" s="13" t="s">
        <v>592</v>
      </c>
      <c r="D3717" s="13" t="s">
        <v>560</v>
      </c>
      <c r="F3717" s="13"/>
      <c r="G3717" s="13" t="s">
        <v>74</v>
      </c>
      <c r="H3717" s="13" t="s">
        <v>75</v>
      </c>
      <c r="I3717" s="13"/>
      <c r="J3717" s="13"/>
      <c r="K3717" s="15">
        <v>1.0</v>
      </c>
      <c r="L3717" s="15">
        <v>1.0</v>
      </c>
      <c r="M3717" s="16"/>
      <c r="N3717" s="16"/>
      <c r="O3717" s="17"/>
      <c r="P3717" s="17"/>
      <c r="Q3717" s="13"/>
      <c r="R3717" s="13"/>
      <c r="S3717" s="13"/>
      <c r="T3717" s="13">
        <f t="shared" ref="T3717:Y3717" si="3996">IF(ISBLANK(K3717)=TRUE,0,1)</f>
        <v>1</v>
      </c>
      <c r="U3717" s="13">
        <f t="shared" si="3996"/>
        <v>1</v>
      </c>
      <c r="V3717" s="13">
        <f t="shared" si="3996"/>
        <v>0</v>
      </c>
      <c r="W3717" s="13">
        <f t="shared" si="3996"/>
        <v>0</v>
      </c>
      <c r="X3717" s="13">
        <f t="shared" si="3996"/>
        <v>0</v>
      </c>
      <c r="Y3717" s="13">
        <f t="shared" si="3996"/>
        <v>0</v>
      </c>
      <c r="Z3717" s="13">
        <f t="shared" si="3023"/>
        <v>1</v>
      </c>
      <c r="AA3717" s="13"/>
      <c r="AB3717" s="13"/>
      <c r="AC3717" s="13"/>
      <c r="AD3717" s="13"/>
      <c r="AE3717" s="13"/>
      <c r="AF3717" s="13"/>
      <c r="AG3717" s="13"/>
      <c r="AH3717" s="13"/>
      <c r="AI3717" s="13"/>
      <c r="AJ3717" s="13"/>
      <c r="AK3717" s="13"/>
      <c r="AL3717" s="13"/>
      <c r="AM3717" s="13"/>
      <c r="AN3717" s="13"/>
      <c r="AO3717" s="13"/>
      <c r="AP3717" s="13"/>
      <c r="AQ3717" s="13"/>
      <c r="AR3717" s="13"/>
      <c r="AS3717" s="13"/>
    </row>
    <row r="3718" ht="14.25" customHeight="1">
      <c r="A3718" s="13" t="s">
        <v>36</v>
      </c>
      <c r="B3718" s="13" t="s">
        <v>41</v>
      </c>
      <c r="C3718" s="13" t="s">
        <v>592</v>
      </c>
      <c r="D3718" s="13" t="s">
        <v>562</v>
      </c>
      <c r="F3718" s="13"/>
      <c r="G3718" s="13" t="s">
        <v>74</v>
      </c>
      <c r="H3718" s="13" t="s">
        <v>75</v>
      </c>
      <c r="I3718" s="13"/>
      <c r="J3718" s="13"/>
      <c r="K3718" s="15">
        <v>1.0</v>
      </c>
      <c r="L3718" s="15">
        <v>1.0</v>
      </c>
      <c r="M3718" s="16"/>
      <c r="N3718" s="16"/>
      <c r="O3718" s="17"/>
      <c r="P3718" s="17"/>
      <c r="Q3718" s="13"/>
      <c r="R3718" s="13"/>
      <c r="S3718" s="13"/>
      <c r="T3718" s="13">
        <f t="shared" ref="T3718:Y3718" si="3997">IF(ISBLANK(K3718)=TRUE,0,1)</f>
        <v>1</v>
      </c>
      <c r="U3718" s="13">
        <f t="shared" si="3997"/>
        <v>1</v>
      </c>
      <c r="V3718" s="13">
        <f t="shared" si="3997"/>
        <v>0</v>
      </c>
      <c r="W3718" s="13">
        <f t="shared" si="3997"/>
        <v>0</v>
      </c>
      <c r="X3718" s="13">
        <f t="shared" si="3997"/>
        <v>0</v>
      </c>
      <c r="Y3718" s="13">
        <f t="shared" si="3997"/>
        <v>0</v>
      </c>
      <c r="Z3718" s="13">
        <f t="shared" si="3023"/>
        <v>1</v>
      </c>
      <c r="AA3718" s="13"/>
      <c r="AB3718" s="13"/>
      <c r="AC3718" s="13"/>
      <c r="AD3718" s="13"/>
      <c r="AE3718" s="13"/>
      <c r="AF3718" s="13"/>
      <c r="AG3718" s="13"/>
      <c r="AH3718" s="13"/>
      <c r="AI3718" s="13"/>
      <c r="AJ3718" s="13"/>
      <c r="AK3718" s="13"/>
      <c r="AL3718" s="13"/>
      <c r="AM3718" s="13"/>
      <c r="AN3718" s="13"/>
      <c r="AO3718" s="13"/>
      <c r="AP3718" s="13"/>
      <c r="AQ3718" s="13"/>
      <c r="AR3718" s="13"/>
      <c r="AS3718" s="13"/>
    </row>
    <row r="3719" ht="14.25" customHeight="1">
      <c r="A3719" s="13" t="s">
        <v>36</v>
      </c>
      <c r="B3719" s="13" t="s">
        <v>41</v>
      </c>
      <c r="C3719" s="13" t="s">
        <v>592</v>
      </c>
      <c r="D3719" s="13" t="s">
        <v>563</v>
      </c>
      <c r="F3719" s="13"/>
      <c r="G3719" s="13" t="s">
        <v>74</v>
      </c>
      <c r="H3719" s="13" t="s">
        <v>75</v>
      </c>
      <c r="I3719" s="13"/>
      <c r="J3719" s="13"/>
      <c r="K3719" s="15">
        <v>1.0</v>
      </c>
      <c r="L3719" s="15">
        <v>1.0</v>
      </c>
      <c r="M3719" s="16"/>
      <c r="N3719" s="16"/>
      <c r="O3719" s="17"/>
      <c r="P3719" s="17"/>
      <c r="Q3719" s="13"/>
      <c r="R3719" s="13"/>
      <c r="S3719" s="13"/>
      <c r="T3719" s="13">
        <f t="shared" ref="T3719:Y3719" si="3998">IF(ISBLANK(K3719)=TRUE,0,1)</f>
        <v>1</v>
      </c>
      <c r="U3719" s="13">
        <f t="shared" si="3998"/>
        <v>1</v>
      </c>
      <c r="V3719" s="13">
        <f t="shared" si="3998"/>
        <v>0</v>
      </c>
      <c r="W3719" s="13">
        <f t="shared" si="3998"/>
        <v>0</v>
      </c>
      <c r="X3719" s="13">
        <f t="shared" si="3998"/>
        <v>0</v>
      </c>
      <c r="Y3719" s="13">
        <f t="shared" si="3998"/>
        <v>0</v>
      </c>
      <c r="Z3719" s="13">
        <f t="shared" si="3023"/>
        <v>1</v>
      </c>
      <c r="AA3719" s="13"/>
      <c r="AB3719" s="13"/>
      <c r="AC3719" s="13"/>
      <c r="AD3719" s="13"/>
      <c r="AE3719" s="13"/>
      <c r="AF3719" s="13"/>
      <c r="AG3719" s="13"/>
      <c r="AH3719" s="13"/>
      <c r="AI3719" s="13"/>
      <c r="AJ3719" s="13"/>
      <c r="AK3719" s="13"/>
      <c r="AL3719" s="13"/>
      <c r="AM3719" s="13"/>
      <c r="AN3719" s="13"/>
      <c r="AO3719" s="13"/>
      <c r="AP3719" s="13"/>
      <c r="AQ3719" s="13"/>
      <c r="AR3719" s="13"/>
      <c r="AS3719" s="13"/>
    </row>
    <row r="3720" ht="14.25" customHeight="1">
      <c r="A3720" s="13" t="s">
        <v>36</v>
      </c>
      <c r="B3720" s="13" t="s">
        <v>41</v>
      </c>
      <c r="C3720" s="13" t="s">
        <v>592</v>
      </c>
      <c r="D3720" s="13" t="s">
        <v>589</v>
      </c>
      <c r="F3720" s="13"/>
      <c r="G3720" s="13" t="s">
        <v>74</v>
      </c>
      <c r="H3720" s="13" t="s">
        <v>75</v>
      </c>
      <c r="I3720" s="13"/>
      <c r="J3720" s="13"/>
      <c r="K3720" s="15">
        <v>1.0</v>
      </c>
      <c r="L3720" s="15">
        <v>1.0</v>
      </c>
      <c r="M3720" s="16"/>
      <c r="N3720" s="16"/>
      <c r="O3720" s="17"/>
      <c r="P3720" s="17"/>
      <c r="Q3720" s="13"/>
      <c r="R3720" s="13"/>
      <c r="S3720" s="13"/>
      <c r="T3720" s="13">
        <f t="shared" ref="T3720:Y3720" si="3999">IF(ISBLANK(K3720)=TRUE,0,1)</f>
        <v>1</v>
      </c>
      <c r="U3720" s="13">
        <f t="shared" si="3999"/>
        <v>1</v>
      </c>
      <c r="V3720" s="13">
        <f t="shared" si="3999"/>
        <v>0</v>
      </c>
      <c r="W3720" s="13">
        <f t="shared" si="3999"/>
        <v>0</v>
      </c>
      <c r="X3720" s="13">
        <f t="shared" si="3999"/>
        <v>0</v>
      </c>
      <c r="Y3720" s="13">
        <f t="shared" si="3999"/>
        <v>0</v>
      </c>
      <c r="Z3720" s="13">
        <f t="shared" si="3023"/>
        <v>1</v>
      </c>
      <c r="AA3720" s="13"/>
      <c r="AB3720" s="13"/>
      <c r="AC3720" s="13"/>
      <c r="AD3720" s="13"/>
      <c r="AE3720" s="13"/>
      <c r="AF3720" s="13"/>
      <c r="AG3720" s="13"/>
      <c r="AH3720" s="13"/>
      <c r="AI3720" s="13"/>
      <c r="AJ3720" s="13"/>
      <c r="AK3720" s="13"/>
      <c r="AL3720" s="13"/>
      <c r="AM3720" s="13"/>
      <c r="AN3720" s="13"/>
      <c r="AO3720" s="13"/>
      <c r="AP3720" s="13"/>
      <c r="AQ3720" s="13"/>
      <c r="AR3720" s="13"/>
      <c r="AS3720" s="13"/>
    </row>
    <row r="3721" ht="14.25" customHeight="1">
      <c r="A3721" s="13" t="s">
        <v>36</v>
      </c>
      <c r="B3721" s="13" t="s">
        <v>41</v>
      </c>
      <c r="C3721" s="13" t="s">
        <v>592</v>
      </c>
      <c r="D3721" s="13" t="s">
        <v>590</v>
      </c>
      <c r="F3721" s="13"/>
      <c r="G3721" s="13" t="s">
        <v>74</v>
      </c>
      <c r="H3721" s="13" t="s">
        <v>75</v>
      </c>
      <c r="I3721" s="13"/>
      <c r="J3721" s="13"/>
      <c r="K3721" s="15">
        <v>1.0</v>
      </c>
      <c r="L3721" s="15">
        <v>1.0</v>
      </c>
      <c r="M3721" s="16"/>
      <c r="N3721" s="16"/>
      <c r="O3721" s="17"/>
      <c r="P3721" s="17"/>
      <c r="Q3721" s="13"/>
      <c r="R3721" s="13"/>
      <c r="S3721" s="13"/>
      <c r="T3721" s="13">
        <f t="shared" ref="T3721:Y3721" si="4000">IF(ISBLANK(K3721)=TRUE,0,1)</f>
        <v>1</v>
      </c>
      <c r="U3721" s="13">
        <f t="shared" si="4000"/>
        <v>1</v>
      </c>
      <c r="V3721" s="13">
        <f t="shared" si="4000"/>
        <v>0</v>
      </c>
      <c r="W3721" s="13">
        <f t="shared" si="4000"/>
        <v>0</v>
      </c>
      <c r="X3721" s="13">
        <f t="shared" si="4000"/>
        <v>0</v>
      </c>
      <c r="Y3721" s="13">
        <f t="shared" si="4000"/>
        <v>0</v>
      </c>
      <c r="Z3721" s="13">
        <f t="shared" si="3023"/>
        <v>1</v>
      </c>
      <c r="AA3721" s="13"/>
      <c r="AB3721" s="13"/>
      <c r="AC3721" s="13"/>
      <c r="AD3721" s="13"/>
      <c r="AE3721" s="13"/>
      <c r="AF3721" s="13"/>
      <c r="AG3721" s="13"/>
      <c r="AH3721" s="13"/>
      <c r="AI3721" s="13"/>
      <c r="AJ3721" s="13"/>
      <c r="AK3721" s="13"/>
      <c r="AL3721" s="13"/>
      <c r="AM3721" s="13"/>
      <c r="AN3721" s="13"/>
      <c r="AO3721" s="13"/>
      <c r="AP3721" s="13"/>
      <c r="AQ3721" s="13"/>
      <c r="AR3721" s="13"/>
      <c r="AS3721" s="13"/>
    </row>
    <row r="3722" ht="14.25" customHeight="1">
      <c r="A3722" s="13" t="s">
        <v>36</v>
      </c>
      <c r="B3722" s="13" t="s">
        <v>41</v>
      </c>
      <c r="C3722" s="13" t="s">
        <v>592</v>
      </c>
      <c r="D3722" s="13" t="s">
        <v>591</v>
      </c>
      <c r="F3722" s="13"/>
      <c r="G3722" s="13" t="s">
        <v>74</v>
      </c>
      <c r="H3722" s="13" t="s">
        <v>75</v>
      </c>
      <c r="I3722" s="13"/>
      <c r="J3722" s="13"/>
      <c r="K3722" s="15">
        <v>1.0</v>
      </c>
      <c r="L3722" s="15">
        <v>1.0</v>
      </c>
      <c r="M3722" s="16"/>
      <c r="N3722" s="16"/>
      <c r="O3722" s="17"/>
      <c r="P3722" s="17"/>
      <c r="Q3722" s="13"/>
      <c r="R3722" s="13"/>
      <c r="S3722" s="13"/>
      <c r="T3722" s="13">
        <f t="shared" ref="T3722:Y3722" si="4001">IF(ISBLANK(K3722)=TRUE,0,1)</f>
        <v>1</v>
      </c>
      <c r="U3722" s="13">
        <f t="shared" si="4001"/>
        <v>1</v>
      </c>
      <c r="V3722" s="13">
        <f t="shared" si="4001"/>
        <v>0</v>
      </c>
      <c r="W3722" s="13">
        <f t="shared" si="4001"/>
        <v>0</v>
      </c>
      <c r="X3722" s="13">
        <f t="shared" si="4001"/>
        <v>0</v>
      </c>
      <c r="Y3722" s="13">
        <f t="shared" si="4001"/>
        <v>0</v>
      </c>
      <c r="Z3722" s="13">
        <f t="shared" si="3023"/>
        <v>1</v>
      </c>
      <c r="AA3722" s="13"/>
      <c r="AB3722" s="13"/>
      <c r="AC3722" s="13"/>
      <c r="AD3722" s="13"/>
      <c r="AE3722" s="13"/>
      <c r="AF3722" s="13"/>
      <c r="AG3722" s="13"/>
      <c r="AH3722" s="13"/>
      <c r="AI3722" s="13"/>
      <c r="AJ3722" s="13"/>
      <c r="AK3722" s="13"/>
      <c r="AL3722" s="13"/>
      <c r="AM3722" s="13"/>
      <c r="AN3722" s="13"/>
      <c r="AO3722" s="13"/>
      <c r="AP3722" s="13"/>
      <c r="AQ3722" s="13"/>
      <c r="AR3722" s="13"/>
      <c r="AS3722" s="13"/>
    </row>
    <row r="3723" ht="14.25" customHeight="1">
      <c r="A3723" s="13" t="s">
        <v>36</v>
      </c>
      <c r="B3723" s="13" t="s">
        <v>42</v>
      </c>
      <c r="C3723" s="13">
        <v>1335.0</v>
      </c>
      <c r="D3723" s="13" t="s">
        <v>180</v>
      </c>
      <c r="F3723" s="13"/>
      <c r="G3723" s="13" t="s">
        <v>111</v>
      </c>
      <c r="H3723" s="13" t="s">
        <v>75</v>
      </c>
      <c r="I3723" s="13"/>
      <c r="J3723" s="13"/>
      <c r="K3723" s="15">
        <v>0.0</v>
      </c>
      <c r="L3723" s="15">
        <v>0.0</v>
      </c>
      <c r="M3723" s="16"/>
      <c r="N3723" s="16"/>
      <c r="O3723" s="17"/>
      <c r="P3723" s="17"/>
      <c r="Q3723" s="13">
        <f t="shared" ref="Q3723:Q3724" si="4003">K3722+L3722+M3722+N3722+O3722+P3722/6</f>
        <v>2</v>
      </c>
      <c r="R3723" s="13"/>
      <c r="S3723" s="13"/>
      <c r="T3723" s="13">
        <f t="shared" ref="T3723:Y3723" si="4002">IF(ISBLANK(K3723)=TRUE,0,1)</f>
        <v>1</v>
      </c>
      <c r="U3723" s="13">
        <f t="shared" si="4002"/>
        <v>1</v>
      </c>
      <c r="V3723" s="13">
        <f t="shared" si="4002"/>
        <v>0</v>
      </c>
      <c r="W3723" s="13">
        <f t="shared" si="4002"/>
        <v>0</v>
      </c>
      <c r="X3723" s="13">
        <f t="shared" si="4002"/>
        <v>0</v>
      </c>
      <c r="Y3723" s="13">
        <f t="shared" si="4002"/>
        <v>0</v>
      </c>
      <c r="Z3723" s="13">
        <f t="shared" si="3023"/>
        <v>0</v>
      </c>
      <c r="AA3723" s="13"/>
      <c r="AB3723" s="13"/>
      <c r="AC3723" s="13"/>
      <c r="AD3723" s="13"/>
      <c r="AE3723" s="13"/>
      <c r="AF3723" s="13"/>
      <c r="AG3723" s="13"/>
      <c r="AH3723" s="13"/>
      <c r="AI3723" s="13"/>
      <c r="AJ3723" s="13"/>
      <c r="AK3723" s="13"/>
      <c r="AL3723" s="13"/>
      <c r="AM3723" s="13"/>
      <c r="AN3723" s="13"/>
      <c r="AO3723" s="13"/>
      <c r="AP3723" s="13"/>
      <c r="AQ3723" s="13"/>
      <c r="AR3723" s="13"/>
      <c r="AS3723" s="13"/>
    </row>
    <row r="3724" ht="14.25" customHeight="1">
      <c r="A3724" s="13" t="s">
        <v>36</v>
      </c>
      <c r="B3724" s="13" t="s">
        <v>42</v>
      </c>
      <c r="C3724" s="13">
        <v>1335.0</v>
      </c>
      <c r="D3724" s="13" t="s">
        <v>181</v>
      </c>
      <c r="F3724" s="13"/>
      <c r="G3724" s="13" t="s">
        <v>111</v>
      </c>
      <c r="H3724" s="13" t="s">
        <v>75</v>
      </c>
      <c r="I3724" s="13"/>
      <c r="J3724" s="13"/>
      <c r="K3724" s="15">
        <v>0.0</v>
      </c>
      <c r="L3724" s="15">
        <v>0.0</v>
      </c>
      <c r="M3724" s="16"/>
      <c r="N3724" s="16"/>
      <c r="O3724" s="17"/>
      <c r="P3724" s="17"/>
      <c r="Q3724" s="13">
        <f t="shared" si="4003"/>
        <v>0</v>
      </c>
      <c r="R3724" s="13"/>
      <c r="S3724" s="13"/>
      <c r="T3724" s="13">
        <f t="shared" ref="T3724:Y3724" si="4004">IF(ISBLANK(K3724)=TRUE,0,1)</f>
        <v>1</v>
      </c>
      <c r="U3724" s="13">
        <f t="shared" si="4004"/>
        <v>1</v>
      </c>
      <c r="V3724" s="13">
        <f t="shared" si="4004"/>
        <v>0</v>
      </c>
      <c r="W3724" s="13">
        <f t="shared" si="4004"/>
        <v>0</v>
      </c>
      <c r="X3724" s="13">
        <f t="shared" si="4004"/>
        <v>0</v>
      </c>
      <c r="Y3724" s="13">
        <f t="shared" si="4004"/>
        <v>0</v>
      </c>
      <c r="Z3724" s="13">
        <f t="shared" si="3023"/>
        <v>0</v>
      </c>
      <c r="AA3724" s="13"/>
      <c r="AB3724" s="13"/>
      <c r="AC3724" s="13"/>
      <c r="AD3724" s="13"/>
      <c r="AE3724" s="13"/>
      <c r="AF3724" s="13"/>
      <c r="AG3724" s="13"/>
      <c r="AH3724" s="13"/>
      <c r="AI3724" s="13"/>
      <c r="AJ3724" s="13"/>
      <c r="AK3724" s="13"/>
      <c r="AL3724" s="13"/>
      <c r="AM3724" s="13"/>
      <c r="AN3724" s="13"/>
      <c r="AO3724" s="13"/>
      <c r="AP3724" s="13"/>
      <c r="AQ3724" s="13"/>
      <c r="AR3724" s="13"/>
      <c r="AS3724" s="13"/>
    </row>
    <row r="3725" ht="14.25" customHeight="1">
      <c r="A3725" s="13" t="s">
        <v>36</v>
      </c>
      <c r="B3725" s="13" t="s">
        <v>41</v>
      </c>
      <c r="C3725" s="13" t="s">
        <v>592</v>
      </c>
      <c r="D3725" s="13" t="s">
        <v>1971</v>
      </c>
      <c r="F3725" s="13"/>
      <c r="G3725" s="13" t="s">
        <v>74</v>
      </c>
      <c r="H3725" s="13" t="s">
        <v>75</v>
      </c>
      <c r="I3725" s="13"/>
      <c r="J3725" s="13"/>
      <c r="K3725" s="15">
        <v>1.0</v>
      </c>
      <c r="L3725" s="15">
        <v>1.0</v>
      </c>
      <c r="M3725" s="16"/>
      <c r="N3725" s="16"/>
      <c r="O3725" s="17"/>
      <c r="P3725" s="17"/>
      <c r="Q3725" s="13"/>
      <c r="R3725" s="13"/>
      <c r="S3725" s="13"/>
      <c r="T3725" s="13">
        <f t="shared" ref="T3725:Y3725" si="4005">IF(ISBLANK(K3725)=TRUE,0,1)</f>
        <v>1</v>
      </c>
      <c r="U3725" s="13">
        <f t="shared" si="4005"/>
        <v>1</v>
      </c>
      <c r="V3725" s="13">
        <f t="shared" si="4005"/>
        <v>0</v>
      </c>
      <c r="W3725" s="13">
        <f t="shared" si="4005"/>
        <v>0</v>
      </c>
      <c r="X3725" s="13">
        <f t="shared" si="4005"/>
        <v>0</v>
      </c>
      <c r="Y3725" s="13">
        <f t="shared" si="4005"/>
        <v>0</v>
      </c>
      <c r="Z3725" s="13">
        <f t="shared" si="3023"/>
        <v>1</v>
      </c>
      <c r="AA3725" s="13"/>
      <c r="AB3725" s="13"/>
      <c r="AC3725" s="13"/>
      <c r="AD3725" s="13"/>
      <c r="AE3725" s="13"/>
      <c r="AF3725" s="13"/>
      <c r="AG3725" s="13"/>
      <c r="AH3725" s="13"/>
      <c r="AI3725" s="13"/>
      <c r="AJ3725" s="13"/>
      <c r="AK3725" s="13"/>
      <c r="AL3725" s="13"/>
      <c r="AM3725" s="13"/>
      <c r="AN3725" s="13"/>
      <c r="AO3725" s="13"/>
      <c r="AP3725" s="13"/>
      <c r="AQ3725" s="13"/>
      <c r="AR3725" s="13"/>
      <c r="AS3725" s="13"/>
    </row>
    <row r="3726" ht="14.25" customHeight="1">
      <c r="A3726" s="13" t="s">
        <v>36</v>
      </c>
      <c r="B3726" s="13" t="s">
        <v>42</v>
      </c>
      <c r="C3726" s="13">
        <v>1335.0</v>
      </c>
      <c r="D3726" s="13" t="s">
        <v>182</v>
      </c>
      <c r="F3726" s="13"/>
      <c r="G3726" s="13" t="s">
        <v>111</v>
      </c>
      <c r="H3726" s="13" t="s">
        <v>75</v>
      </c>
      <c r="I3726" s="13"/>
      <c r="J3726" s="13"/>
      <c r="K3726" s="15">
        <v>0.0</v>
      </c>
      <c r="L3726" s="15">
        <v>0.0</v>
      </c>
      <c r="M3726" s="16"/>
      <c r="N3726" s="16"/>
      <c r="O3726" s="17"/>
      <c r="P3726" s="17"/>
      <c r="Q3726" s="13">
        <f t="shared" ref="Q3726:Q3752" si="4007">K3725+L3725+M3725+N3725+O3725+P3725/6</f>
        <v>2</v>
      </c>
      <c r="R3726" s="13"/>
      <c r="S3726" s="13"/>
      <c r="T3726" s="13">
        <f t="shared" ref="T3726:Y3726" si="4006">IF(ISBLANK(K3726)=TRUE,0,1)</f>
        <v>1</v>
      </c>
      <c r="U3726" s="13">
        <f t="shared" si="4006"/>
        <v>1</v>
      </c>
      <c r="V3726" s="13">
        <f t="shared" si="4006"/>
        <v>0</v>
      </c>
      <c r="W3726" s="13">
        <f t="shared" si="4006"/>
        <v>0</v>
      </c>
      <c r="X3726" s="13">
        <f t="shared" si="4006"/>
        <v>0</v>
      </c>
      <c r="Y3726" s="13">
        <f t="shared" si="4006"/>
        <v>0</v>
      </c>
      <c r="Z3726" s="13">
        <f t="shared" si="3023"/>
        <v>0</v>
      </c>
      <c r="AA3726" s="13"/>
      <c r="AB3726" s="13"/>
      <c r="AC3726" s="13"/>
      <c r="AD3726" s="13"/>
      <c r="AE3726" s="13"/>
      <c r="AF3726" s="13"/>
      <c r="AG3726" s="13"/>
      <c r="AH3726" s="13"/>
      <c r="AI3726" s="13"/>
      <c r="AJ3726" s="13"/>
      <c r="AK3726" s="13"/>
      <c r="AL3726" s="13"/>
      <c r="AM3726" s="13"/>
      <c r="AN3726" s="13"/>
      <c r="AO3726" s="13"/>
      <c r="AP3726" s="13"/>
      <c r="AQ3726" s="13"/>
      <c r="AR3726" s="13"/>
      <c r="AS3726" s="13"/>
    </row>
    <row r="3727" ht="14.25" customHeight="1">
      <c r="A3727" s="13" t="s">
        <v>36</v>
      </c>
      <c r="B3727" s="13" t="s">
        <v>42</v>
      </c>
      <c r="C3727" s="13">
        <v>1335.0</v>
      </c>
      <c r="D3727" s="13" t="s">
        <v>183</v>
      </c>
      <c r="F3727" s="13"/>
      <c r="G3727" s="13" t="s">
        <v>111</v>
      </c>
      <c r="H3727" s="13" t="s">
        <v>75</v>
      </c>
      <c r="I3727" s="13"/>
      <c r="J3727" s="13"/>
      <c r="K3727" s="15">
        <v>0.0</v>
      </c>
      <c r="L3727" s="15">
        <v>0.0</v>
      </c>
      <c r="M3727" s="16"/>
      <c r="N3727" s="16"/>
      <c r="O3727" s="17"/>
      <c r="P3727" s="17"/>
      <c r="Q3727" s="13">
        <f t="shared" si="4007"/>
        <v>0</v>
      </c>
      <c r="R3727" s="13"/>
      <c r="S3727" s="13"/>
      <c r="T3727" s="13">
        <f t="shared" ref="T3727:Y3727" si="4008">IF(ISBLANK(K3727)=TRUE,0,1)</f>
        <v>1</v>
      </c>
      <c r="U3727" s="13">
        <f t="shared" si="4008"/>
        <v>1</v>
      </c>
      <c r="V3727" s="13">
        <f t="shared" si="4008"/>
        <v>0</v>
      </c>
      <c r="W3727" s="13">
        <f t="shared" si="4008"/>
        <v>0</v>
      </c>
      <c r="X3727" s="13">
        <f t="shared" si="4008"/>
        <v>0</v>
      </c>
      <c r="Y3727" s="13">
        <f t="shared" si="4008"/>
        <v>0</v>
      </c>
      <c r="Z3727" s="13">
        <f t="shared" si="3023"/>
        <v>0</v>
      </c>
      <c r="AA3727" s="13"/>
      <c r="AB3727" s="13"/>
      <c r="AC3727" s="13"/>
      <c r="AD3727" s="13"/>
      <c r="AE3727" s="13"/>
      <c r="AF3727" s="13"/>
      <c r="AG3727" s="13"/>
      <c r="AH3727" s="13"/>
      <c r="AI3727" s="13"/>
      <c r="AJ3727" s="13"/>
      <c r="AK3727" s="13"/>
      <c r="AL3727" s="13"/>
      <c r="AM3727" s="13"/>
      <c r="AN3727" s="13"/>
      <c r="AO3727" s="13"/>
      <c r="AP3727" s="13"/>
      <c r="AQ3727" s="13"/>
      <c r="AR3727" s="13"/>
      <c r="AS3727" s="13"/>
    </row>
    <row r="3728" ht="14.25" customHeight="1">
      <c r="A3728" s="13" t="s">
        <v>36</v>
      </c>
      <c r="B3728" s="13" t="s">
        <v>42</v>
      </c>
      <c r="C3728" s="13">
        <v>1335.0</v>
      </c>
      <c r="D3728" s="13" t="s">
        <v>184</v>
      </c>
      <c r="F3728" s="13"/>
      <c r="G3728" s="13" t="s">
        <v>111</v>
      </c>
      <c r="H3728" s="13" t="s">
        <v>75</v>
      </c>
      <c r="I3728" s="13"/>
      <c r="J3728" s="13"/>
      <c r="K3728" s="15">
        <v>0.0</v>
      </c>
      <c r="L3728" s="15">
        <v>0.0</v>
      </c>
      <c r="M3728" s="16"/>
      <c r="N3728" s="16"/>
      <c r="O3728" s="17"/>
      <c r="P3728" s="17"/>
      <c r="Q3728" s="13">
        <f t="shared" si="4007"/>
        <v>0</v>
      </c>
      <c r="R3728" s="13"/>
      <c r="S3728" s="13"/>
      <c r="T3728" s="13">
        <f t="shared" ref="T3728:Y3728" si="4009">IF(ISBLANK(K3728)=TRUE,0,1)</f>
        <v>1</v>
      </c>
      <c r="U3728" s="13">
        <f t="shared" si="4009"/>
        <v>1</v>
      </c>
      <c r="V3728" s="13">
        <f t="shared" si="4009"/>
        <v>0</v>
      </c>
      <c r="W3728" s="13">
        <f t="shared" si="4009"/>
        <v>0</v>
      </c>
      <c r="X3728" s="13">
        <f t="shared" si="4009"/>
        <v>0</v>
      </c>
      <c r="Y3728" s="13">
        <f t="shared" si="4009"/>
        <v>0</v>
      </c>
      <c r="Z3728" s="13">
        <f t="shared" si="3023"/>
        <v>0</v>
      </c>
      <c r="AA3728" s="13"/>
      <c r="AB3728" s="13"/>
      <c r="AC3728" s="13"/>
      <c r="AD3728" s="13"/>
      <c r="AE3728" s="13"/>
      <c r="AF3728" s="13"/>
      <c r="AG3728" s="13"/>
      <c r="AH3728" s="13"/>
      <c r="AI3728" s="13"/>
      <c r="AJ3728" s="13"/>
      <c r="AK3728" s="13"/>
      <c r="AL3728" s="13"/>
      <c r="AM3728" s="13"/>
      <c r="AN3728" s="13"/>
      <c r="AO3728" s="13"/>
      <c r="AP3728" s="13"/>
      <c r="AQ3728" s="13"/>
      <c r="AR3728" s="13"/>
      <c r="AS3728" s="13"/>
    </row>
    <row r="3729" ht="14.25" customHeight="1">
      <c r="A3729" s="13" t="s">
        <v>36</v>
      </c>
      <c r="B3729" s="13" t="s">
        <v>42</v>
      </c>
      <c r="C3729" s="13">
        <v>1335.0</v>
      </c>
      <c r="D3729" s="13" t="s">
        <v>185</v>
      </c>
      <c r="F3729" s="13"/>
      <c r="G3729" s="13" t="s">
        <v>111</v>
      </c>
      <c r="H3729" s="13" t="s">
        <v>75</v>
      </c>
      <c r="I3729" s="13"/>
      <c r="J3729" s="13"/>
      <c r="K3729" s="15">
        <v>0.0</v>
      </c>
      <c r="L3729" s="15">
        <v>0.0</v>
      </c>
      <c r="M3729" s="16"/>
      <c r="N3729" s="16"/>
      <c r="O3729" s="17"/>
      <c r="P3729" s="17"/>
      <c r="Q3729" s="13">
        <f t="shared" si="4007"/>
        <v>0</v>
      </c>
      <c r="R3729" s="13"/>
      <c r="S3729" s="13"/>
      <c r="T3729" s="13">
        <f t="shared" ref="T3729:Y3729" si="4010">IF(ISBLANK(K3729)=TRUE,0,1)</f>
        <v>1</v>
      </c>
      <c r="U3729" s="13">
        <f t="shared" si="4010"/>
        <v>1</v>
      </c>
      <c r="V3729" s="13">
        <f t="shared" si="4010"/>
        <v>0</v>
      </c>
      <c r="W3729" s="13">
        <f t="shared" si="4010"/>
        <v>0</v>
      </c>
      <c r="X3729" s="13">
        <f t="shared" si="4010"/>
        <v>0</v>
      </c>
      <c r="Y3729" s="13">
        <f t="shared" si="4010"/>
        <v>0</v>
      </c>
      <c r="Z3729" s="13">
        <f t="shared" si="3023"/>
        <v>0</v>
      </c>
      <c r="AA3729" s="13"/>
      <c r="AB3729" s="13"/>
      <c r="AC3729" s="13"/>
      <c r="AD3729" s="13"/>
      <c r="AE3729" s="13"/>
      <c r="AF3729" s="13"/>
      <c r="AG3729" s="13"/>
      <c r="AH3729" s="13"/>
      <c r="AI3729" s="13"/>
      <c r="AJ3729" s="13"/>
      <c r="AK3729" s="13"/>
      <c r="AL3729" s="13"/>
      <c r="AM3729" s="13"/>
      <c r="AN3729" s="13"/>
      <c r="AO3729" s="13"/>
      <c r="AP3729" s="13"/>
      <c r="AQ3729" s="13"/>
      <c r="AR3729" s="13"/>
      <c r="AS3729" s="13"/>
    </row>
    <row r="3730" ht="14.25" customHeight="1">
      <c r="A3730" s="13" t="s">
        <v>36</v>
      </c>
      <c r="B3730" s="13" t="s">
        <v>42</v>
      </c>
      <c r="C3730" s="13">
        <v>1335.0</v>
      </c>
      <c r="D3730" s="13" t="s">
        <v>186</v>
      </c>
      <c r="F3730" s="13"/>
      <c r="G3730" s="13" t="s">
        <v>111</v>
      </c>
      <c r="H3730" s="13" t="s">
        <v>75</v>
      </c>
      <c r="I3730" s="13"/>
      <c r="J3730" s="13"/>
      <c r="K3730" s="15">
        <v>0.0</v>
      </c>
      <c r="L3730" s="15">
        <v>0.0</v>
      </c>
      <c r="M3730" s="16"/>
      <c r="N3730" s="16"/>
      <c r="O3730" s="17"/>
      <c r="P3730" s="17"/>
      <c r="Q3730" s="13">
        <f t="shared" si="4007"/>
        <v>0</v>
      </c>
      <c r="R3730" s="13"/>
      <c r="S3730" s="13"/>
      <c r="T3730" s="13">
        <f t="shared" ref="T3730:Y3730" si="4011">IF(ISBLANK(K3730)=TRUE,0,1)</f>
        <v>1</v>
      </c>
      <c r="U3730" s="13">
        <f t="shared" si="4011"/>
        <v>1</v>
      </c>
      <c r="V3730" s="13">
        <f t="shared" si="4011"/>
        <v>0</v>
      </c>
      <c r="W3730" s="13">
        <f t="shared" si="4011"/>
        <v>0</v>
      </c>
      <c r="X3730" s="13">
        <f t="shared" si="4011"/>
        <v>0</v>
      </c>
      <c r="Y3730" s="13">
        <f t="shared" si="4011"/>
        <v>0</v>
      </c>
      <c r="Z3730" s="13">
        <f t="shared" si="3023"/>
        <v>0</v>
      </c>
      <c r="AA3730" s="13"/>
      <c r="AB3730" s="13"/>
      <c r="AC3730" s="13"/>
      <c r="AD3730" s="13"/>
      <c r="AE3730" s="13"/>
      <c r="AF3730" s="13"/>
      <c r="AG3730" s="13"/>
      <c r="AH3730" s="13"/>
      <c r="AI3730" s="13"/>
      <c r="AJ3730" s="13"/>
      <c r="AK3730" s="13"/>
      <c r="AL3730" s="13"/>
      <c r="AM3730" s="13"/>
      <c r="AN3730" s="13"/>
      <c r="AO3730" s="13"/>
      <c r="AP3730" s="13"/>
      <c r="AQ3730" s="13"/>
      <c r="AR3730" s="13"/>
      <c r="AS3730" s="13"/>
    </row>
    <row r="3731" ht="14.25" customHeight="1">
      <c r="A3731" s="13" t="s">
        <v>36</v>
      </c>
      <c r="B3731" s="13" t="s">
        <v>42</v>
      </c>
      <c r="C3731" s="13">
        <v>1335.0</v>
      </c>
      <c r="D3731" s="13" t="s">
        <v>187</v>
      </c>
      <c r="F3731" s="13"/>
      <c r="G3731" s="13" t="s">
        <v>111</v>
      </c>
      <c r="H3731" s="13" t="s">
        <v>75</v>
      </c>
      <c r="I3731" s="13"/>
      <c r="J3731" s="13"/>
      <c r="K3731" s="15">
        <v>0.0</v>
      </c>
      <c r="L3731" s="15">
        <v>0.0</v>
      </c>
      <c r="M3731" s="16"/>
      <c r="N3731" s="16"/>
      <c r="O3731" s="17"/>
      <c r="P3731" s="17"/>
      <c r="Q3731" s="13">
        <f t="shared" si="4007"/>
        <v>0</v>
      </c>
      <c r="R3731" s="13"/>
      <c r="S3731" s="13"/>
      <c r="T3731" s="13">
        <f t="shared" ref="T3731:Y3731" si="4012">IF(ISBLANK(K3731)=TRUE,0,1)</f>
        <v>1</v>
      </c>
      <c r="U3731" s="13">
        <f t="shared" si="4012"/>
        <v>1</v>
      </c>
      <c r="V3731" s="13">
        <f t="shared" si="4012"/>
        <v>0</v>
      </c>
      <c r="W3731" s="13">
        <f t="shared" si="4012"/>
        <v>0</v>
      </c>
      <c r="X3731" s="13">
        <f t="shared" si="4012"/>
        <v>0</v>
      </c>
      <c r="Y3731" s="13">
        <f t="shared" si="4012"/>
        <v>0</v>
      </c>
      <c r="Z3731" s="13">
        <f t="shared" si="3023"/>
        <v>0</v>
      </c>
      <c r="AA3731" s="13"/>
      <c r="AB3731" s="13"/>
      <c r="AC3731" s="13"/>
      <c r="AD3731" s="13"/>
      <c r="AE3731" s="13"/>
      <c r="AF3731" s="13"/>
      <c r="AG3731" s="13"/>
      <c r="AH3731" s="13"/>
      <c r="AI3731" s="13"/>
      <c r="AJ3731" s="13"/>
      <c r="AK3731" s="13"/>
      <c r="AL3731" s="13"/>
      <c r="AM3731" s="13"/>
      <c r="AN3731" s="13"/>
      <c r="AO3731" s="13"/>
      <c r="AP3731" s="13"/>
      <c r="AQ3731" s="13"/>
      <c r="AR3731" s="13"/>
      <c r="AS3731" s="13"/>
    </row>
    <row r="3732" ht="14.25" customHeight="1">
      <c r="A3732" s="13" t="s">
        <v>36</v>
      </c>
      <c r="B3732" s="13" t="s">
        <v>42</v>
      </c>
      <c r="C3732" s="13">
        <v>1335.0</v>
      </c>
      <c r="D3732" s="13" t="s">
        <v>188</v>
      </c>
      <c r="F3732" s="13"/>
      <c r="G3732" s="13" t="s">
        <v>111</v>
      </c>
      <c r="H3732" s="13" t="s">
        <v>75</v>
      </c>
      <c r="I3732" s="13"/>
      <c r="J3732" s="13"/>
      <c r="K3732" s="15">
        <v>0.0</v>
      </c>
      <c r="L3732" s="15">
        <v>0.0</v>
      </c>
      <c r="M3732" s="16"/>
      <c r="N3732" s="16"/>
      <c r="O3732" s="17"/>
      <c r="P3732" s="17"/>
      <c r="Q3732" s="13">
        <f t="shared" si="4007"/>
        <v>0</v>
      </c>
      <c r="R3732" s="13"/>
      <c r="S3732" s="13"/>
      <c r="T3732" s="13">
        <f t="shared" ref="T3732:Y3732" si="4013">IF(ISBLANK(K3732)=TRUE,0,1)</f>
        <v>1</v>
      </c>
      <c r="U3732" s="13">
        <f t="shared" si="4013"/>
        <v>1</v>
      </c>
      <c r="V3732" s="13">
        <f t="shared" si="4013"/>
        <v>0</v>
      </c>
      <c r="W3732" s="13">
        <f t="shared" si="4013"/>
        <v>0</v>
      </c>
      <c r="X3732" s="13">
        <f t="shared" si="4013"/>
        <v>0</v>
      </c>
      <c r="Y3732" s="13">
        <f t="shared" si="4013"/>
        <v>0</v>
      </c>
      <c r="Z3732" s="13">
        <f t="shared" si="3023"/>
        <v>0</v>
      </c>
      <c r="AA3732" s="13"/>
      <c r="AB3732" s="13"/>
      <c r="AC3732" s="13"/>
      <c r="AD3732" s="13"/>
      <c r="AE3732" s="13"/>
      <c r="AF3732" s="13"/>
      <c r="AG3732" s="13"/>
      <c r="AH3732" s="13"/>
      <c r="AI3732" s="13"/>
      <c r="AJ3732" s="13"/>
      <c r="AK3732" s="13"/>
      <c r="AL3732" s="13"/>
      <c r="AM3732" s="13"/>
      <c r="AN3732" s="13"/>
      <c r="AO3732" s="13"/>
      <c r="AP3732" s="13"/>
      <c r="AQ3732" s="13"/>
      <c r="AR3732" s="13"/>
      <c r="AS3732" s="13"/>
    </row>
    <row r="3733" ht="14.25" customHeight="1">
      <c r="A3733" s="13" t="s">
        <v>36</v>
      </c>
      <c r="B3733" s="13" t="s">
        <v>42</v>
      </c>
      <c r="C3733" s="13">
        <v>1335.0</v>
      </c>
      <c r="D3733" s="13" t="s">
        <v>189</v>
      </c>
      <c r="F3733" s="13"/>
      <c r="G3733" s="13" t="s">
        <v>111</v>
      </c>
      <c r="H3733" s="13" t="s">
        <v>75</v>
      </c>
      <c r="I3733" s="13"/>
      <c r="J3733" s="13"/>
      <c r="K3733" s="15">
        <v>0.0</v>
      </c>
      <c r="L3733" s="15">
        <v>0.0</v>
      </c>
      <c r="M3733" s="16"/>
      <c r="N3733" s="16"/>
      <c r="O3733" s="17"/>
      <c r="P3733" s="17"/>
      <c r="Q3733" s="13">
        <f t="shared" si="4007"/>
        <v>0</v>
      </c>
      <c r="R3733" s="13"/>
      <c r="S3733" s="13"/>
      <c r="T3733" s="13">
        <f t="shared" ref="T3733:Y3733" si="4014">IF(ISBLANK(K3733)=TRUE,0,1)</f>
        <v>1</v>
      </c>
      <c r="U3733" s="13">
        <f t="shared" si="4014"/>
        <v>1</v>
      </c>
      <c r="V3733" s="13">
        <f t="shared" si="4014"/>
        <v>0</v>
      </c>
      <c r="W3733" s="13">
        <f t="shared" si="4014"/>
        <v>0</v>
      </c>
      <c r="X3733" s="13">
        <f t="shared" si="4014"/>
        <v>0</v>
      </c>
      <c r="Y3733" s="13">
        <f t="shared" si="4014"/>
        <v>0</v>
      </c>
      <c r="Z3733" s="13">
        <f t="shared" si="3023"/>
        <v>0</v>
      </c>
      <c r="AA3733" s="13"/>
      <c r="AB3733" s="13"/>
      <c r="AC3733" s="13"/>
      <c r="AD3733" s="13"/>
      <c r="AE3733" s="13"/>
      <c r="AF3733" s="13"/>
      <c r="AG3733" s="13"/>
      <c r="AH3733" s="13"/>
      <c r="AI3733" s="13"/>
      <c r="AJ3733" s="13"/>
      <c r="AK3733" s="13"/>
      <c r="AL3733" s="13"/>
      <c r="AM3733" s="13"/>
      <c r="AN3733" s="13"/>
      <c r="AO3733" s="13"/>
      <c r="AP3733" s="13"/>
      <c r="AQ3733" s="13"/>
      <c r="AR3733" s="13"/>
      <c r="AS3733" s="13"/>
    </row>
    <row r="3734" ht="14.25" customHeight="1">
      <c r="A3734" s="13" t="s">
        <v>36</v>
      </c>
      <c r="B3734" s="13" t="s">
        <v>42</v>
      </c>
      <c r="C3734" s="13">
        <v>1335.0</v>
      </c>
      <c r="D3734" s="13" t="s">
        <v>190</v>
      </c>
      <c r="F3734" s="13"/>
      <c r="G3734" s="13" t="s">
        <v>111</v>
      </c>
      <c r="H3734" s="13" t="s">
        <v>75</v>
      </c>
      <c r="I3734" s="13"/>
      <c r="J3734" s="13"/>
      <c r="K3734" s="15">
        <v>0.0</v>
      </c>
      <c r="L3734" s="15">
        <v>0.0</v>
      </c>
      <c r="M3734" s="16"/>
      <c r="N3734" s="16"/>
      <c r="O3734" s="17"/>
      <c r="P3734" s="17"/>
      <c r="Q3734" s="13">
        <f t="shared" si="4007"/>
        <v>0</v>
      </c>
      <c r="R3734" s="13"/>
      <c r="S3734" s="13"/>
      <c r="T3734" s="13">
        <f t="shared" ref="T3734:Y3734" si="4015">IF(ISBLANK(K3734)=TRUE,0,1)</f>
        <v>1</v>
      </c>
      <c r="U3734" s="13">
        <f t="shared" si="4015"/>
        <v>1</v>
      </c>
      <c r="V3734" s="13">
        <f t="shared" si="4015"/>
        <v>0</v>
      </c>
      <c r="W3734" s="13">
        <f t="shared" si="4015"/>
        <v>0</v>
      </c>
      <c r="X3734" s="13">
        <f t="shared" si="4015"/>
        <v>0</v>
      </c>
      <c r="Y3734" s="13">
        <f t="shared" si="4015"/>
        <v>0</v>
      </c>
      <c r="Z3734" s="13">
        <f t="shared" si="3023"/>
        <v>0</v>
      </c>
      <c r="AA3734" s="13"/>
      <c r="AB3734" s="13"/>
      <c r="AC3734" s="13"/>
      <c r="AD3734" s="13"/>
      <c r="AE3734" s="13"/>
      <c r="AF3734" s="13"/>
      <c r="AG3734" s="13"/>
      <c r="AH3734" s="13"/>
      <c r="AI3734" s="13"/>
      <c r="AJ3734" s="13"/>
      <c r="AK3734" s="13"/>
      <c r="AL3734" s="13"/>
      <c r="AM3734" s="13"/>
      <c r="AN3734" s="13"/>
      <c r="AO3734" s="13"/>
      <c r="AP3734" s="13"/>
      <c r="AQ3734" s="13"/>
      <c r="AR3734" s="13"/>
      <c r="AS3734" s="13"/>
    </row>
    <row r="3735" ht="14.25" customHeight="1">
      <c r="A3735" s="13" t="s">
        <v>36</v>
      </c>
      <c r="B3735" s="13" t="s">
        <v>42</v>
      </c>
      <c r="C3735" s="13">
        <v>1335.0</v>
      </c>
      <c r="D3735" s="13" t="s">
        <v>191</v>
      </c>
      <c r="F3735" s="13"/>
      <c r="G3735" s="13" t="s">
        <v>111</v>
      </c>
      <c r="H3735" s="13" t="s">
        <v>75</v>
      </c>
      <c r="I3735" s="13"/>
      <c r="J3735" s="13"/>
      <c r="K3735" s="15">
        <v>0.0</v>
      </c>
      <c r="L3735" s="15">
        <v>0.0</v>
      </c>
      <c r="M3735" s="16"/>
      <c r="N3735" s="16"/>
      <c r="O3735" s="17"/>
      <c r="P3735" s="17"/>
      <c r="Q3735" s="13">
        <f t="shared" si="4007"/>
        <v>0</v>
      </c>
      <c r="R3735" s="13"/>
      <c r="S3735" s="13"/>
      <c r="T3735" s="13">
        <f t="shared" ref="T3735:Y3735" si="4016">IF(ISBLANK(K3735)=TRUE,0,1)</f>
        <v>1</v>
      </c>
      <c r="U3735" s="13">
        <f t="shared" si="4016"/>
        <v>1</v>
      </c>
      <c r="V3735" s="13">
        <f t="shared" si="4016"/>
        <v>0</v>
      </c>
      <c r="W3735" s="13">
        <f t="shared" si="4016"/>
        <v>0</v>
      </c>
      <c r="X3735" s="13">
        <f t="shared" si="4016"/>
        <v>0</v>
      </c>
      <c r="Y3735" s="13">
        <f t="shared" si="4016"/>
        <v>0</v>
      </c>
      <c r="Z3735" s="13">
        <f t="shared" si="3023"/>
        <v>0</v>
      </c>
      <c r="AA3735" s="13"/>
      <c r="AB3735" s="13"/>
      <c r="AC3735" s="13"/>
      <c r="AD3735" s="13"/>
      <c r="AE3735" s="13"/>
      <c r="AF3735" s="13"/>
      <c r="AG3735" s="13"/>
      <c r="AH3735" s="13"/>
      <c r="AI3735" s="13"/>
      <c r="AJ3735" s="13"/>
      <c r="AK3735" s="13"/>
      <c r="AL3735" s="13"/>
      <c r="AM3735" s="13"/>
      <c r="AN3735" s="13"/>
      <c r="AO3735" s="13"/>
      <c r="AP3735" s="13"/>
      <c r="AQ3735" s="13"/>
      <c r="AR3735" s="13"/>
      <c r="AS3735" s="13"/>
    </row>
    <row r="3736" ht="14.25" customHeight="1">
      <c r="A3736" s="13" t="s">
        <v>36</v>
      </c>
      <c r="B3736" s="13" t="s">
        <v>42</v>
      </c>
      <c r="C3736" s="13">
        <v>1335.0</v>
      </c>
      <c r="D3736" s="13" t="s">
        <v>192</v>
      </c>
      <c r="F3736" s="13"/>
      <c r="G3736" s="13" t="s">
        <v>111</v>
      </c>
      <c r="H3736" s="13" t="s">
        <v>75</v>
      </c>
      <c r="I3736" s="13"/>
      <c r="J3736" s="13"/>
      <c r="K3736" s="15">
        <v>0.0</v>
      </c>
      <c r="L3736" s="15">
        <v>0.0</v>
      </c>
      <c r="M3736" s="16"/>
      <c r="N3736" s="16"/>
      <c r="O3736" s="17"/>
      <c r="P3736" s="17"/>
      <c r="Q3736" s="13">
        <f t="shared" si="4007"/>
        <v>0</v>
      </c>
      <c r="R3736" s="13"/>
      <c r="S3736" s="13"/>
      <c r="T3736" s="13">
        <f t="shared" ref="T3736:Y3736" si="4017">IF(ISBLANK(K3736)=TRUE,0,1)</f>
        <v>1</v>
      </c>
      <c r="U3736" s="13">
        <f t="shared" si="4017"/>
        <v>1</v>
      </c>
      <c r="V3736" s="13">
        <f t="shared" si="4017"/>
        <v>0</v>
      </c>
      <c r="W3736" s="13">
        <f t="shared" si="4017"/>
        <v>0</v>
      </c>
      <c r="X3736" s="13">
        <f t="shared" si="4017"/>
        <v>0</v>
      </c>
      <c r="Y3736" s="13">
        <f t="shared" si="4017"/>
        <v>0</v>
      </c>
      <c r="Z3736" s="13">
        <f t="shared" si="3023"/>
        <v>0</v>
      </c>
      <c r="AA3736" s="13"/>
      <c r="AB3736" s="13"/>
      <c r="AC3736" s="13"/>
      <c r="AD3736" s="13"/>
      <c r="AE3736" s="13"/>
      <c r="AF3736" s="13"/>
      <c r="AG3736" s="13"/>
      <c r="AH3736" s="13"/>
      <c r="AI3736" s="13"/>
      <c r="AJ3736" s="13"/>
      <c r="AK3736" s="13"/>
      <c r="AL3736" s="13"/>
      <c r="AM3736" s="13"/>
      <c r="AN3736" s="13"/>
      <c r="AO3736" s="13"/>
      <c r="AP3736" s="13"/>
      <c r="AQ3736" s="13"/>
      <c r="AR3736" s="13"/>
      <c r="AS3736" s="13"/>
    </row>
    <row r="3737" ht="14.25" customHeight="1">
      <c r="A3737" s="13" t="s">
        <v>36</v>
      </c>
      <c r="B3737" s="13" t="s">
        <v>42</v>
      </c>
      <c r="C3737" s="13">
        <v>1335.0</v>
      </c>
      <c r="D3737" s="13" t="s">
        <v>193</v>
      </c>
      <c r="F3737" s="13"/>
      <c r="G3737" s="13" t="s">
        <v>111</v>
      </c>
      <c r="H3737" s="13" t="s">
        <v>75</v>
      </c>
      <c r="I3737" s="13"/>
      <c r="J3737" s="13"/>
      <c r="K3737" s="15">
        <v>0.0</v>
      </c>
      <c r="L3737" s="15">
        <v>0.0</v>
      </c>
      <c r="M3737" s="16"/>
      <c r="N3737" s="16"/>
      <c r="O3737" s="17"/>
      <c r="P3737" s="17"/>
      <c r="Q3737" s="13">
        <f t="shared" si="4007"/>
        <v>0</v>
      </c>
      <c r="R3737" s="13"/>
      <c r="S3737" s="13"/>
      <c r="T3737" s="13">
        <f t="shared" ref="T3737:Y3737" si="4018">IF(ISBLANK(K3737)=TRUE,0,1)</f>
        <v>1</v>
      </c>
      <c r="U3737" s="13">
        <f t="shared" si="4018"/>
        <v>1</v>
      </c>
      <c r="V3737" s="13">
        <f t="shared" si="4018"/>
        <v>0</v>
      </c>
      <c r="W3737" s="13">
        <f t="shared" si="4018"/>
        <v>0</v>
      </c>
      <c r="X3737" s="13">
        <f t="shared" si="4018"/>
        <v>0</v>
      </c>
      <c r="Y3737" s="13">
        <f t="shared" si="4018"/>
        <v>0</v>
      </c>
      <c r="Z3737" s="13">
        <f t="shared" si="3023"/>
        <v>0</v>
      </c>
      <c r="AA3737" s="13"/>
      <c r="AB3737" s="13"/>
      <c r="AC3737" s="13"/>
      <c r="AD3737" s="13"/>
      <c r="AE3737" s="13"/>
      <c r="AF3737" s="13"/>
      <c r="AG3737" s="13"/>
      <c r="AH3737" s="13"/>
      <c r="AI3737" s="13"/>
      <c r="AJ3737" s="13"/>
      <c r="AK3737" s="13"/>
      <c r="AL3737" s="13"/>
      <c r="AM3737" s="13"/>
      <c r="AN3737" s="13"/>
      <c r="AO3737" s="13"/>
      <c r="AP3737" s="13"/>
      <c r="AQ3737" s="13"/>
      <c r="AR3737" s="13"/>
      <c r="AS3737" s="13"/>
    </row>
    <row r="3738" ht="14.25" customHeight="1">
      <c r="A3738" s="13" t="s">
        <v>36</v>
      </c>
      <c r="B3738" s="13" t="s">
        <v>42</v>
      </c>
      <c r="C3738" s="13">
        <v>1335.0</v>
      </c>
      <c r="D3738" s="13" t="s">
        <v>194</v>
      </c>
      <c r="F3738" s="13"/>
      <c r="G3738" s="13" t="s">
        <v>111</v>
      </c>
      <c r="H3738" s="13" t="s">
        <v>75</v>
      </c>
      <c r="I3738" s="13"/>
      <c r="J3738" s="13"/>
      <c r="K3738" s="15">
        <v>0.0</v>
      </c>
      <c r="L3738" s="15">
        <v>0.0</v>
      </c>
      <c r="M3738" s="16"/>
      <c r="N3738" s="16"/>
      <c r="O3738" s="17"/>
      <c r="P3738" s="17"/>
      <c r="Q3738" s="13">
        <f t="shared" si="4007"/>
        <v>0</v>
      </c>
      <c r="R3738" s="13"/>
      <c r="S3738" s="13"/>
      <c r="T3738" s="13">
        <f t="shared" ref="T3738:Y3738" si="4019">IF(ISBLANK(K3738)=TRUE,0,1)</f>
        <v>1</v>
      </c>
      <c r="U3738" s="13">
        <f t="shared" si="4019"/>
        <v>1</v>
      </c>
      <c r="V3738" s="13">
        <f t="shared" si="4019"/>
        <v>0</v>
      </c>
      <c r="W3738" s="13">
        <f t="shared" si="4019"/>
        <v>0</v>
      </c>
      <c r="X3738" s="13">
        <f t="shared" si="4019"/>
        <v>0</v>
      </c>
      <c r="Y3738" s="13">
        <f t="shared" si="4019"/>
        <v>0</v>
      </c>
      <c r="Z3738" s="13">
        <f t="shared" si="3023"/>
        <v>0</v>
      </c>
      <c r="AA3738" s="13"/>
      <c r="AB3738" s="13"/>
      <c r="AC3738" s="13"/>
      <c r="AD3738" s="13"/>
      <c r="AE3738" s="13"/>
      <c r="AF3738" s="13"/>
      <c r="AG3738" s="13"/>
      <c r="AH3738" s="13"/>
      <c r="AI3738" s="13"/>
      <c r="AJ3738" s="13"/>
      <c r="AK3738" s="13"/>
      <c r="AL3738" s="13"/>
      <c r="AM3738" s="13"/>
      <c r="AN3738" s="13"/>
      <c r="AO3738" s="13"/>
      <c r="AP3738" s="13"/>
      <c r="AQ3738" s="13"/>
      <c r="AR3738" s="13"/>
      <c r="AS3738" s="13"/>
    </row>
    <row r="3739" ht="14.25" customHeight="1">
      <c r="A3739" s="13" t="s">
        <v>36</v>
      </c>
      <c r="B3739" s="13" t="s">
        <v>42</v>
      </c>
      <c r="C3739" s="13">
        <v>1335.0</v>
      </c>
      <c r="D3739" s="13" t="s">
        <v>195</v>
      </c>
      <c r="F3739" s="13"/>
      <c r="G3739" s="13" t="s">
        <v>111</v>
      </c>
      <c r="H3739" s="13" t="s">
        <v>75</v>
      </c>
      <c r="I3739" s="13"/>
      <c r="J3739" s="13"/>
      <c r="K3739" s="15">
        <v>0.0</v>
      </c>
      <c r="L3739" s="15">
        <v>0.0</v>
      </c>
      <c r="M3739" s="16"/>
      <c r="N3739" s="16"/>
      <c r="O3739" s="17"/>
      <c r="P3739" s="17"/>
      <c r="Q3739" s="13">
        <f t="shared" si="4007"/>
        <v>0</v>
      </c>
      <c r="R3739" s="13"/>
      <c r="S3739" s="13"/>
      <c r="T3739" s="13">
        <f t="shared" ref="T3739:Y3739" si="4020">IF(ISBLANK(K3739)=TRUE,0,1)</f>
        <v>1</v>
      </c>
      <c r="U3739" s="13">
        <f t="shared" si="4020"/>
        <v>1</v>
      </c>
      <c r="V3739" s="13">
        <f t="shared" si="4020"/>
        <v>0</v>
      </c>
      <c r="W3739" s="13">
        <f t="shared" si="4020"/>
        <v>0</v>
      </c>
      <c r="X3739" s="13">
        <f t="shared" si="4020"/>
        <v>0</v>
      </c>
      <c r="Y3739" s="13">
        <f t="shared" si="4020"/>
        <v>0</v>
      </c>
      <c r="Z3739" s="13">
        <f t="shared" si="3023"/>
        <v>0</v>
      </c>
      <c r="AA3739" s="13"/>
      <c r="AB3739" s="13"/>
      <c r="AC3739" s="13"/>
      <c r="AD3739" s="13"/>
      <c r="AE3739" s="13"/>
      <c r="AF3739" s="13"/>
      <c r="AG3739" s="13"/>
      <c r="AH3739" s="13"/>
      <c r="AI3739" s="13"/>
      <c r="AJ3739" s="13"/>
      <c r="AK3739" s="13"/>
      <c r="AL3739" s="13"/>
      <c r="AM3739" s="13"/>
      <c r="AN3739" s="13"/>
      <c r="AO3739" s="13"/>
      <c r="AP3739" s="13"/>
      <c r="AQ3739" s="13"/>
      <c r="AR3739" s="13"/>
      <c r="AS3739" s="13"/>
    </row>
    <row r="3740" ht="14.25" customHeight="1">
      <c r="A3740" s="13" t="s">
        <v>36</v>
      </c>
      <c r="B3740" s="13" t="s">
        <v>42</v>
      </c>
      <c r="C3740" s="13">
        <v>1335.0</v>
      </c>
      <c r="D3740" s="13" t="s">
        <v>196</v>
      </c>
      <c r="F3740" s="13"/>
      <c r="G3740" s="13" t="s">
        <v>111</v>
      </c>
      <c r="H3740" s="13" t="s">
        <v>75</v>
      </c>
      <c r="I3740" s="13"/>
      <c r="J3740" s="13"/>
      <c r="K3740" s="15">
        <v>0.0</v>
      </c>
      <c r="L3740" s="15">
        <v>0.0</v>
      </c>
      <c r="M3740" s="16"/>
      <c r="N3740" s="16"/>
      <c r="O3740" s="17"/>
      <c r="P3740" s="17"/>
      <c r="Q3740" s="13">
        <f t="shared" si="4007"/>
        <v>0</v>
      </c>
      <c r="R3740" s="13"/>
      <c r="S3740" s="13"/>
      <c r="T3740" s="13">
        <f t="shared" ref="T3740:Y3740" si="4021">IF(ISBLANK(K3740)=TRUE,0,1)</f>
        <v>1</v>
      </c>
      <c r="U3740" s="13">
        <f t="shared" si="4021"/>
        <v>1</v>
      </c>
      <c r="V3740" s="13">
        <f t="shared" si="4021"/>
        <v>0</v>
      </c>
      <c r="W3740" s="13">
        <f t="shared" si="4021"/>
        <v>0</v>
      </c>
      <c r="X3740" s="13">
        <f t="shared" si="4021"/>
        <v>0</v>
      </c>
      <c r="Y3740" s="13">
        <f t="shared" si="4021"/>
        <v>0</v>
      </c>
      <c r="Z3740" s="13">
        <f t="shared" si="3023"/>
        <v>0</v>
      </c>
      <c r="AA3740" s="13"/>
      <c r="AB3740" s="13"/>
      <c r="AC3740" s="13"/>
      <c r="AD3740" s="13"/>
      <c r="AE3740" s="13"/>
      <c r="AF3740" s="13"/>
      <c r="AG3740" s="13"/>
      <c r="AH3740" s="13"/>
      <c r="AI3740" s="13"/>
      <c r="AJ3740" s="13"/>
      <c r="AK3740" s="13"/>
      <c r="AL3740" s="13"/>
      <c r="AM3740" s="13"/>
      <c r="AN3740" s="13"/>
      <c r="AO3740" s="13"/>
      <c r="AP3740" s="13"/>
      <c r="AQ3740" s="13"/>
      <c r="AR3740" s="13"/>
      <c r="AS3740" s="13"/>
    </row>
    <row r="3741" ht="14.25" customHeight="1">
      <c r="A3741" s="13" t="s">
        <v>36</v>
      </c>
      <c r="B3741" s="13" t="s">
        <v>42</v>
      </c>
      <c r="C3741" s="13">
        <v>1335.0</v>
      </c>
      <c r="D3741" s="13" t="s">
        <v>197</v>
      </c>
      <c r="F3741" s="13"/>
      <c r="G3741" s="13" t="s">
        <v>111</v>
      </c>
      <c r="H3741" s="13" t="s">
        <v>75</v>
      </c>
      <c r="I3741" s="13"/>
      <c r="J3741" s="13"/>
      <c r="K3741" s="15">
        <v>0.0</v>
      </c>
      <c r="L3741" s="15">
        <v>0.0</v>
      </c>
      <c r="M3741" s="16"/>
      <c r="N3741" s="16"/>
      <c r="O3741" s="17"/>
      <c r="P3741" s="17"/>
      <c r="Q3741" s="13">
        <f t="shared" si="4007"/>
        <v>0</v>
      </c>
      <c r="R3741" s="13"/>
      <c r="S3741" s="13"/>
      <c r="T3741" s="13">
        <f t="shared" ref="T3741:Y3741" si="4022">IF(ISBLANK(K3741)=TRUE,0,1)</f>
        <v>1</v>
      </c>
      <c r="U3741" s="13">
        <f t="shared" si="4022"/>
        <v>1</v>
      </c>
      <c r="V3741" s="13">
        <f t="shared" si="4022"/>
        <v>0</v>
      </c>
      <c r="W3741" s="13">
        <f t="shared" si="4022"/>
        <v>0</v>
      </c>
      <c r="X3741" s="13">
        <f t="shared" si="4022"/>
        <v>0</v>
      </c>
      <c r="Y3741" s="13">
        <f t="shared" si="4022"/>
        <v>0</v>
      </c>
      <c r="Z3741" s="13">
        <f t="shared" si="3023"/>
        <v>0</v>
      </c>
      <c r="AA3741" s="13"/>
      <c r="AB3741" s="13"/>
      <c r="AC3741" s="13"/>
      <c r="AD3741" s="13"/>
      <c r="AE3741" s="13"/>
      <c r="AF3741" s="13"/>
      <c r="AG3741" s="13"/>
      <c r="AH3741" s="13"/>
      <c r="AI3741" s="13"/>
      <c r="AJ3741" s="13"/>
      <c r="AK3741" s="13"/>
      <c r="AL3741" s="13"/>
      <c r="AM3741" s="13"/>
      <c r="AN3741" s="13"/>
      <c r="AO3741" s="13"/>
      <c r="AP3741" s="13"/>
      <c r="AQ3741" s="13"/>
      <c r="AR3741" s="13"/>
      <c r="AS3741" s="13"/>
    </row>
    <row r="3742" ht="14.25" customHeight="1">
      <c r="A3742" s="13" t="s">
        <v>36</v>
      </c>
      <c r="B3742" s="13" t="s">
        <v>42</v>
      </c>
      <c r="C3742" s="13">
        <v>1335.0</v>
      </c>
      <c r="D3742" s="13" t="s">
        <v>433</v>
      </c>
      <c r="F3742" s="13"/>
      <c r="G3742" s="13" t="s">
        <v>111</v>
      </c>
      <c r="H3742" s="13" t="s">
        <v>75</v>
      </c>
      <c r="I3742" s="13"/>
      <c r="J3742" s="13"/>
      <c r="K3742" s="15">
        <v>0.0</v>
      </c>
      <c r="L3742" s="15">
        <v>0.0</v>
      </c>
      <c r="M3742" s="16"/>
      <c r="N3742" s="16"/>
      <c r="O3742" s="17"/>
      <c r="P3742" s="17"/>
      <c r="Q3742" s="13">
        <f t="shared" si="4007"/>
        <v>0</v>
      </c>
      <c r="R3742" s="13"/>
      <c r="S3742" s="13"/>
      <c r="T3742" s="13">
        <f t="shared" ref="T3742:Y3742" si="4023">IF(ISBLANK(K3742)=TRUE,0,1)</f>
        <v>1</v>
      </c>
      <c r="U3742" s="13">
        <f t="shared" si="4023"/>
        <v>1</v>
      </c>
      <c r="V3742" s="13">
        <f t="shared" si="4023"/>
        <v>0</v>
      </c>
      <c r="W3742" s="13">
        <f t="shared" si="4023"/>
        <v>0</v>
      </c>
      <c r="X3742" s="13">
        <f t="shared" si="4023"/>
        <v>0</v>
      </c>
      <c r="Y3742" s="13">
        <f t="shared" si="4023"/>
        <v>0</v>
      </c>
      <c r="Z3742" s="13">
        <f t="shared" si="3023"/>
        <v>0</v>
      </c>
      <c r="AA3742" s="13"/>
      <c r="AB3742" s="13"/>
      <c r="AC3742" s="13"/>
      <c r="AD3742" s="13"/>
      <c r="AE3742" s="13"/>
      <c r="AF3742" s="13"/>
      <c r="AG3742" s="13"/>
      <c r="AH3742" s="13"/>
      <c r="AI3742" s="13"/>
      <c r="AJ3742" s="13"/>
      <c r="AK3742" s="13"/>
      <c r="AL3742" s="13"/>
      <c r="AM3742" s="13"/>
      <c r="AN3742" s="13"/>
      <c r="AO3742" s="13"/>
      <c r="AP3742" s="13"/>
      <c r="AQ3742" s="13"/>
      <c r="AR3742" s="13"/>
      <c r="AS3742" s="13"/>
    </row>
    <row r="3743" ht="14.25" customHeight="1">
      <c r="A3743" s="13" t="s">
        <v>36</v>
      </c>
      <c r="B3743" s="13" t="s">
        <v>42</v>
      </c>
      <c r="C3743" s="13">
        <v>1335.0</v>
      </c>
      <c r="D3743" s="13" t="s">
        <v>434</v>
      </c>
      <c r="F3743" s="13"/>
      <c r="G3743" s="13" t="s">
        <v>111</v>
      </c>
      <c r="H3743" s="13" t="s">
        <v>75</v>
      </c>
      <c r="I3743" s="13"/>
      <c r="J3743" s="13"/>
      <c r="K3743" s="15">
        <v>0.0</v>
      </c>
      <c r="L3743" s="15">
        <v>0.0</v>
      </c>
      <c r="M3743" s="16"/>
      <c r="N3743" s="16"/>
      <c r="O3743" s="17"/>
      <c r="P3743" s="17"/>
      <c r="Q3743" s="13">
        <f t="shared" si="4007"/>
        <v>0</v>
      </c>
      <c r="R3743" s="13"/>
      <c r="S3743" s="13"/>
      <c r="T3743" s="13">
        <f t="shared" ref="T3743:Y3743" si="4024">IF(ISBLANK(K3743)=TRUE,0,1)</f>
        <v>1</v>
      </c>
      <c r="U3743" s="13">
        <f t="shared" si="4024"/>
        <v>1</v>
      </c>
      <c r="V3743" s="13">
        <f t="shared" si="4024"/>
        <v>0</v>
      </c>
      <c r="W3743" s="13">
        <f t="shared" si="4024"/>
        <v>0</v>
      </c>
      <c r="X3743" s="13">
        <f t="shared" si="4024"/>
        <v>0</v>
      </c>
      <c r="Y3743" s="13">
        <f t="shared" si="4024"/>
        <v>0</v>
      </c>
      <c r="Z3743" s="13">
        <f t="shared" si="3023"/>
        <v>0</v>
      </c>
      <c r="AA3743" s="13"/>
      <c r="AB3743" s="13"/>
      <c r="AC3743" s="13"/>
      <c r="AD3743" s="13"/>
      <c r="AE3743" s="13"/>
      <c r="AF3743" s="13"/>
      <c r="AG3743" s="13"/>
      <c r="AH3743" s="13"/>
      <c r="AI3743" s="13"/>
      <c r="AJ3743" s="13"/>
      <c r="AK3743" s="13"/>
      <c r="AL3743" s="13"/>
      <c r="AM3743" s="13"/>
      <c r="AN3743" s="13"/>
      <c r="AO3743" s="13"/>
      <c r="AP3743" s="13"/>
      <c r="AQ3743" s="13"/>
      <c r="AR3743" s="13"/>
      <c r="AS3743" s="13"/>
    </row>
    <row r="3744" ht="14.25" customHeight="1">
      <c r="A3744" s="13" t="s">
        <v>36</v>
      </c>
      <c r="B3744" s="13" t="s">
        <v>42</v>
      </c>
      <c r="C3744" s="13">
        <v>1335.0</v>
      </c>
      <c r="D3744" s="13" t="s">
        <v>435</v>
      </c>
      <c r="F3744" s="13"/>
      <c r="G3744" s="13" t="s">
        <v>111</v>
      </c>
      <c r="H3744" s="13" t="s">
        <v>75</v>
      </c>
      <c r="I3744" s="13"/>
      <c r="J3744" s="13"/>
      <c r="K3744" s="15">
        <v>0.0</v>
      </c>
      <c r="L3744" s="15">
        <v>0.0</v>
      </c>
      <c r="M3744" s="16"/>
      <c r="N3744" s="16"/>
      <c r="O3744" s="17"/>
      <c r="P3744" s="17"/>
      <c r="Q3744" s="13">
        <f t="shared" si="4007"/>
        <v>0</v>
      </c>
      <c r="R3744" s="13"/>
      <c r="S3744" s="13"/>
      <c r="T3744" s="13">
        <f t="shared" ref="T3744:Y3744" si="4025">IF(ISBLANK(K3744)=TRUE,0,1)</f>
        <v>1</v>
      </c>
      <c r="U3744" s="13">
        <f t="shared" si="4025"/>
        <v>1</v>
      </c>
      <c r="V3744" s="13">
        <f t="shared" si="4025"/>
        <v>0</v>
      </c>
      <c r="W3744" s="13">
        <f t="shared" si="4025"/>
        <v>0</v>
      </c>
      <c r="X3744" s="13">
        <f t="shared" si="4025"/>
        <v>0</v>
      </c>
      <c r="Y3744" s="13">
        <f t="shared" si="4025"/>
        <v>0</v>
      </c>
      <c r="Z3744" s="13">
        <f t="shared" si="3023"/>
        <v>0</v>
      </c>
      <c r="AA3744" s="13"/>
      <c r="AB3744" s="13"/>
      <c r="AC3744" s="13"/>
      <c r="AD3744" s="13"/>
      <c r="AE3744" s="13"/>
      <c r="AF3744" s="13"/>
      <c r="AG3744" s="13"/>
      <c r="AH3744" s="13"/>
      <c r="AI3744" s="13"/>
      <c r="AJ3744" s="13"/>
      <c r="AK3744" s="13"/>
      <c r="AL3744" s="13"/>
      <c r="AM3744" s="13"/>
      <c r="AN3744" s="13"/>
      <c r="AO3744" s="13"/>
      <c r="AP3744" s="13"/>
      <c r="AQ3744" s="13"/>
      <c r="AR3744" s="13"/>
      <c r="AS3744" s="13"/>
    </row>
    <row r="3745" ht="14.25" customHeight="1">
      <c r="A3745" s="13" t="s">
        <v>36</v>
      </c>
      <c r="B3745" s="13" t="s">
        <v>42</v>
      </c>
      <c r="C3745" s="13">
        <v>1335.0</v>
      </c>
      <c r="D3745" s="13" t="s">
        <v>436</v>
      </c>
      <c r="F3745" s="13"/>
      <c r="G3745" s="13" t="s">
        <v>111</v>
      </c>
      <c r="H3745" s="13" t="s">
        <v>107</v>
      </c>
      <c r="I3745" s="13"/>
      <c r="J3745" s="13"/>
      <c r="K3745" s="15">
        <v>0.0</v>
      </c>
      <c r="L3745" s="15">
        <v>0.0</v>
      </c>
      <c r="M3745" s="16"/>
      <c r="N3745" s="16"/>
      <c r="O3745" s="17"/>
      <c r="P3745" s="17"/>
      <c r="Q3745" s="13">
        <f t="shared" si="4007"/>
        <v>0</v>
      </c>
      <c r="R3745" s="13"/>
      <c r="S3745" s="13"/>
      <c r="T3745" s="13">
        <f t="shared" ref="T3745:Y3745" si="4026">IF(ISBLANK(K3745)=TRUE,0,1)</f>
        <v>1</v>
      </c>
      <c r="U3745" s="13">
        <f t="shared" si="4026"/>
        <v>1</v>
      </c>
      <c r="V3745" s="13">
        <f t="shared" si="4026"/>
        <v>0</v>
      </c>
      <c r="W3745" s="13">
        <f t="shared" si="4026"/>
        <v>0</v>
      </c>
      <c r="X3745" s="13">
        <f t="shared" si="4026"/>
        <v>0</v>
      </c>
      <c r="Y3745" s="13">
        <f t="shared" si="4026"/>
        <v>0</v>
      </c>
      <c r="Z3745" s="13">
        <f t="shared" si="3023"/>
        <v>0</v>
      </c>
      <c r="AA3745" s="13"/>
      <c r="AB3745" s="13"/>
      <c r="AC3745" s="13"/>
      <c r="AD3745" s="13"/>
      <c r="AE3745" s="13"/>
      <c r="AF3745" s="13"/>
      <c r="AG3745" s="13"/>
      <c r="AH3745" s="13"/>
      <c r="AI3745" s="13"/>
      <c r="AJ3745" s="13"/>
      <c r="AK3745" s="13"/>
      <c r="AL3745" s="13"/>
      <c r="AM3745" s="13"/>
      <c r="AN3745" s="13"/>
      <c r="AO3745" s="13"/>
      <c r="AP3745" s="13"/>
      <c r="AQ3745" s="13"/>
      <c r="AR3745" s="13"/>
      <c r="AS3745" s="13"/>
    </row>
    <row r="3746" ht="14.25" customHeight="1">
      <c r="A3746" s="13" t="s">
        <v>36</v>
      </c>
      <c r="B3746" s="13" t="s">
        <v>42</v>
      </c>
      <c r="C3746" s="13">
        <v>1335.0</v>
      </c>
      <c r="D3746" s="13" t="s">
        <v>437</v>
      </c>
      <c r="F3746" s="13"/>
      <c r="G3746" s="13" t="s">
        <v>111</v>
      </c>
      <c r="H3746" s="13" t="s">
        <v>75</v>
      </c>
      <c r="I3746" s="13"/>
      <c r="J3746" s="13"/>
      <c r="K3746" s="15">
        <v>0.0</v>
      </c>
      <c r="L3746" s="15">
        <v>0.0</v>
      </c>
      <c r="M3746" s="16"/>
      <c r="N3746" s="16"/>
      <c r="O3746" s="17"/>
      <c r="P3746" s="17"/>
      <c r="Q3746" s="13">
        <f t="shared" si="4007"/>
        <v>0</v>
      </c>
      <c r="R3746" s="13"/>
      <c r="S3746" s="13"/>
      <c r="T3746" s="13">
        <f t="shared" ref="T3746:Y3746" si="4027">IF(ISBLANK(K3746)=TRUE,0,1)</f>
        <v>1</v>
      </c>
      <c r="U3746" s="13">
        <f t="shared" si="4027"/>
        <v>1</v>
      </c>
      <c r="V3746" s="13">
        <f t="shared" si="4027"/>
        <v>0</v>
      </c>
      <c r="W3746" s="13">
        <f t="shared" si="4027"/>
        <v>0</v>
      </c>
      <c r="X3746" s="13">
        <f t="shared" si="4027"/>
        <v>0</v>
      </c>
      <c r="Y3746" s="13">
        <f t="shared" si="4027"/>
        <v>0</v>
      </c>
      <c r="Z3746" s="13">
        <f t="shared" si="3023"/>
        <v>0</v>
      </c>
      <c r="AA3746" s="13"/>
      <c r="AB3746" s="13"/>
      <c r="AC3746" s="13"/>
      <c r="AD3746" s="13"/>
      <c r="AE3746" s="13"/>
      <c r="AF3746" s="13"/>
      <c r="AG3746" s="13"/>
      <c r="AH3746" s="13"/>
      <c r="AI3746" s="13"/>
      <c r="AJ3746" s="13"/>
      <c r="AK3746" s="13"/>
      <c r="AL3746" s="13"/>
      <c r="AM3746" s="13"/>
      <c r="AN3746" s="13"/>
      <c r="AO3746" s="13"/>
      <c r="AP3746" s="13"/>
      <c r="AQ3746" s="13"/>
      <c r="AR3746" s="13"/>
      <c r="AS3746" s="13"/>
    </row>
    <row r="3747" ht="14.25" customHeight="1">
      <c r="A3747" s="13" t="s">
        <v>36</v>
      </c>
      <c r="B3747" s="13" t="s">
        <v>42</v>
      </c>
      <c r="C3747" s="13">
        <v>1335.0</v>
      </c>
      <c r="D3747" s="13" t="s">
        <v>440</v>
      </c>
      <c r="F3747" s="13"/>
      <c r="G3747" s="13" t="s">
        <v>111</v>
      </c>
      <c r="H3747" s="13" t="s">
        <v>75</v>
      </c>
      <c r="I3747" s="13"/>
      <c r="J3747" s="13"/>
      <c r="K3747" s="15">
        <v>0.0</v>
      </c>
      <c r="L3747" s="15">
        <v>0.0</v>
      </c>
      <c r="M3747" s="16"/>
      <c r="N3747" s="16"/>
      <c r="O3747" s="17"/>
      <c r="P3747" s="17"/>
      <c r="Q3747" s="13">
        <f t="shared" si="4007"/>
        <v>0</v>
      </c>
      <c r="R3747" s="13"/>
      <c r="S3747" s="13"/>
      <c r="T3747" s="13">
        <f t="shared" ref="T3747:Y3747" si="4028">IF(ISBLANK(K3747)=TRUE,0,1)</f>
        <v>1</v>
      </c>
      <c r="U3747" s="13">
        <f t="shared" si="4028"/>
        <v>1</v>
      </c>
      <c r="V3747" s="13">
        <f t="shared" si="4028"/>
        <v>0</v>
      </c>
      <c r="W3747" s="13">
        <f t="shared" si="4028"/>
        <v>0</v>
      </c>
      <c r="X3747" s="13">
        <f t="shared" si="4028"/>
        <v>0</v>
      </c>
      <c r="Y3747" s="13">
        <f t="shared" si="4028"/>
        <v>0</v>
      </c>
      <c r="Z3747" s="13">
        <f t="shared" si="3023"/>
        <v>0</v>
      </c>
      <c r="AA3747" s="13"/>
      <c r="AB3747" s="13"/>
      <c r="AC3747" s="13"/>
      <c r="AD3747" s="13"/>
      <c r="AE3747" s="13"/>
      <c r="AF3747" s="13"/>
      <c r="AG3747" s="13"/>
      <c r="AH3747" s="13"/>
      <c r="AI3747" s="13"/>
      <c r="AJ3747" s="13"/>
      <c r="AK3747" s="13"/>
      <c r="AL3747" s="13"/>
      <c r="AM3747" s="13"/>
      <c r="AN3747" s="13"/>
      <c r="AO3747" s="13"/>
      <c r="AP3747" s="13"/>
      <c r="AQ3747" s="13"/>
      <c r="AR3747" s="13"/>
      <c r="AS3747" s="13"/>
    </row>
    <row r="3748" ht="14.25" customHeight="1">
      <c r="A3748" s="13" t="s">
        <v>36</v>
      </c>
      <c r="B3748" s="13" t="s">
        <v>42</v>
      </c>
      <c r="C3748" s="13">
        <v>1335.0</v>
      </c>
      <c r="D3748" s="13" t="s">
        <v>441</v>
      </c>
      <c r="F3748" s="13"/>
      <c r="G3748" s="13" t="s">
        <v>111</v>
      </c>
      <c r="H3748" s="13" t="s">
        <v>75</v>
      </c>
      <c r="I3748" s="13"/>
      <c r="J3748" s="13"/>
      <c r="K3748" s="15">
        <v>0.0</v>
      </c>
      <c r="L3748" s="15">
        <v>0.0</v>
      </c>
      <c r="M3748" s="16"/>
      <c r="N3748" s="16"/>
      <c r="O3748" s="17"/>
      <c r="P3748" s="17"/>
      <c r="Q3748" s="13">
        <f t="shared" si="4007"/>
        <v>0</v>
      </c>
      <c r="R3748" s="13"/>
      <c r="S3748" s="13"/>
      <c r="T3748" s="13">
        <f t="shared" ref="T3748:Y3748" si="4029">IF(ISBLANK(K3748)=TRUE,0,1)</f>
        <v>1</v>
      </c>
      <c r="U3748" s="13">
        <f t="shared" si="4029"/>
        <v>1</v>
      </c>
      <c r="V3748" s="13">
        <f t="shared" si="4029"/>
        <v>0</v>
      </c>
      <c r="W3748" s="13">
        <f t="shared" si="4029"/>
        <v>0</v>
      </c>
      <c r="X3748" s="13">
        <f t="shared" si="4029"/>
        <v>0</v>
      </c>
      <c r="Y3748" s="13">
        <f t="shared" si="4029"/>
        <v>0</v>
      </c>
      <c r="Z3748" s="13">
        <f t="shared" si="3023"/>
        <v>0</v>
      </c>
      <c r="AA3748" s="13"/>
      <c r="AB3748" s="13"/>
      <c r="AC3748" s="13"/>
      <c r="AD3748" s="13"/>
      <c r="AE3748" s="13"/>
      <c r="AF3748" s="13"/>
      <c r="AG3748" s="13"/>
      <c r="AH3748" s="13"/>
      <c r="AI3748" s="13"/>
      <c r="AJ3748" s="13"/>
      <c r="AK3748" s="13"/>
      <c r="AL3748" s="13"/>
      <c r="AM3748" s="13"/>
      <c r="AN3748" s="13"/>
      <c r="AO3748" s="13"/>
      <c r="AP3748" s="13"/>
      <c r="AQ3748" s="13"/>
      <c r="AR3748" s="13"/>
      <c r="AS3748" s="13"/>
    </row>
    <row r="3749" ht="14.25" customHeight="1">
      <c r="A3749" s="13" t="s">
        <v>36</v>
      </c>
      <c r="B3749" s="13" t="s">
        <v>42</v>
      </c>
      <c r="C3749" s="13">
        <v>1335.0</v>
      </c>
      <c r="D3749" s="13" t="s">
        <v>551</v>
      </c>
      <c r="F3749" s="13"/>
      <c r="G3749" s="13" t="s">
        <v>111</v>
      </c>
      <c r="H3749" s="13" t="s">
        <v>75</v>
      </c>
      <c r="I3749" s="13"/>
      <c r="J3749" s="13"/>
      <c r="K3749" s="15">
        <v>0.0</v>
      </c>
      <c r="L3749" s="15">
        <v>0.0</v>
      </c>
      <c r="M3749" s="16"/>
      <c r="N3749" s="16"/>
      <c r="O3749" s="17"/>
      <c r="P3749" s="17"/>
      <c r="Q3749" s="13">
        <f t="shared" si="4007"/>
        <v>0</v>
      </c>
      <c r="R3749" s="13"/>
      <c r="S3749" s="13"/>
      <c r="T3749" s="13">
        <f t="shared" ref="T3749:Y3749" si="4030">IF(ISBLANK(K3749)=TRUE,0,1)</f>
        <v>1</v>
      </c>
      <c r="U3749" s="13">
        <f t="shared" si="4030"/>
        <v>1</v>
      </c>
      <c r="V3749" s="13">
        <f t="shared" si="4030"/>
        <v>0</v>
      </c>
      <c r="W3749" s="13">
        <f t="shared" si="4030"/>
        <v>0</v>
      </c>
      <c r="X3749" s="13">
        <f t="shared" si="4030"/>
        <v>0</v>
      </c>
      <c r="Y3749" s="13">
        <f t="shared" si="4030"/>
        <v>0</v>
      </c>
      <c r="Z3749" s="13">
        <f t="shared" si="3023"/>
        <v>0</v>
      </c>
      <c r="AA3749" s="13"/>
      <c r="AB3749" s="13"/>
      <c r="AC3749" s="13"/>
      <c r="AD3749" s="13"/>
      <c r="AE3749" s="13"/>
      <c r="AF3749" s="13"/>
      <c r="AG3749" s="13"/>
      <c r="AH3749" s="13"/>
      <c r="AI3749" s="13"/>
      <c r="AJ3749" s="13"/>
      <c r="AK3749" s="13"/>
      <c r="AL3749" s="13"/>
      <c r="AM3749" s="13"/>
      <c r="AN3749" s="13"/>
      <c r="AO3749" s="13"/>
      <c r="AP3749" s="13"/>
      <c r="AQ3749" s="13"/>
      <c r="AR3749" s="13"/>
      <c r="AS3749" s="13"/>
    </row>
    <row r="3750" ht="14.25" customHeight="1">
      <c r="A3750" s="13" t="s">
        <v>36</v>
      </c>
      <c r="B3750" s="13" t="s">
        <v>42</v>
      </c>
      <c r="C3750" s="13">
        <v>1335.0</v>
      </c>
      <c r="D3750" s="13" t="s">
        <v>553</v>
      </c>
      <c r="F3750" s="13"/>
      <c r="G3750" s="13" t="s">
        <v>111</v>
      </c>
      <c r="H3750" s="13" t="s">
        <v>75</v>
      </c>
      <c r="I3750" s="13"/>
      <c r="J3750" s="13"/>
      <c r="K3750" s="15">
        <v>0.0</v>
      </c>
      <c r="L3750" s="15">
        <v>0.0</v>
      </c>
      <c r="M3750" s="16"/>
      <c r="N3750" s="16"/>
      <c r="O3750" s="17"/>
      <c r="P3750" s="17"/>
      <c r="Q3750" s="13">
        <f t="shared" si="4007"/>
        <v>0</v>
      </c>
      <c r="R3750" s="13"/>
      <c r="S3750" s="13"/>
      <c r="T3750" s="13">
        <f t="shared" ref="T3750:Y3750" si="4031">IF(ISBLANK(K3750)=TRUE,0,1)</f>
        <v>1</v>
      </c>
      <c r="U3750" s="13">
        <f t="shared" si="4031"/>
        <v>1</v>
      </c>
      <c r="V3750" s="13">
        <f t="shared" si="4031"/>
        <v>0</v>
      </c>
      <c r="W3750" s="13">
        <f t="shared" si="4031"/>
        <v>0</v>
      </c>
      <c r="X3750" s="13">
        <f t="shared" si="4031"/>
        <v>0</v>
      </c>
      <c r="Y3750" s="13">
        <f t="shared" si="4031"/>
        <v>0</v>
      </c>
      <c r="Z3750" s="13">
        <f t="shared" si="3023"/>
        <v>0</v>
      </c>
      <c r="AA3750" s="13"/>
      <c r="AB3750" s="13"/>
      <c r="AC3750" s="13"/>
      <c r="AD3750" s="13"/>
      <c r="AE3750" s="13"/>
      <c r="AF3750" s="13"/>
      <c r="AG3750" s="13"/>
      <c r="AH3750" s="13"/>
      <c r="AI3750" s="13"/>
      <c r="AJ3750" s="13"/>
      <c r="AK3750" s="13"/>
      <c r="AL3750" s="13"/>
      <c r="AM3750" s="13"/>
      <c r="AN3750" s="13"/>
      <c r="AO3750" s="13"/>
      <c r="AP3750" s="13"/>
      <c r="AQ3750" s="13"/>
      <c r="AR3750" s="13"/>
      <c r="AS3750" s="13"/>
    </row>
    <row r="3751" ht="14.25" customHeight="1">
      <c r="A3751" s="13" t="s">
        <v>36</v>
      </c>
      <c r="B3751" s="13" t="s">
        <v>42</v>
      </c>
      <c r="C3751" s="13">
        <v>1335.0</v>
      </c>
      <c r="D3751" s="13" t="s">
        <v>554</v>
      </c>
      <c r="F3751" s="13"/>
      <c r="G3751" s="13" t="s">
        <v>111</v>
      </c>
      <c r="H3751" s="13" t="s">
        <v>75</v>
      </c>
      <c r="I3751" s="13"/>
      <c r="J3751" s="13"/>
      <c r="K3751" s="15">
        <v>0.0</v>
      </c>
      <c r="L3751" s="15">
        <v>0.0</v>
      </c>
      <c r="M3751" s="16"/>
      <c r="N3751" s="16"/>
      <c r="O3751" s="17"/>
      <c r="P3751" s="17"/>
      <c r="Q3751" s="13">
        <f t="shared" si="4007"/>
        <v>0</v>
      </c>
      <c r="R3751" s="13"/>
      <c r="S3751" s="13"/>
      <c r="T3751" s="13">
        <f t="shared" ref="T3751:Y3751" si="4032">IF(ISBLANK(K3751)=TRUE,0,1)</f>
        <v>1</v>
      </c>
      <c r="U3751" s="13">
        <f t="shared" si="4032"/>
        <v>1</v>
      </c>
      <c r="V3751" s="13">
        <f t="shared" si="4032"/>
        <v>0</v>
      </c>
      <c r="W3751" s="13">
        <f t="shared" si="4032"/>
        <v>0</v>
      </c>
      <c r="X3751" s="13">
        <f t="shared" si="4032"/>
        <v>0</v>
      </c>
      <c r="Y3751" s="13">
        <f t="shared" si="4032"/>
        <v>0</v>
      </c>
      <c r="Z3751" s="13">
        <f t="shared" si="3023"/>
        <v>0</v>
      </c>
      <c r="AA3751" s="13"/>
      <c r="AB3751" s="13"/>
      <c r="AC3751" s="13"/>
      <c r="AD3751" s="13"/>
      <c r="AE3751" s="13"/>
      <c r="AF3751" s="13"/>
      <c r="AG3751" s="13"/>
      <c r="AH3751" s="13"/>
      <c r="AI3751" s="13"/>
      <c r="AJ3751" s="13"/>
      <c r="AK3751" s="13"/>
      <c r="AL3751" s="13"/>
      <c r="AM3751" s="13"/>
      <c r="AN3751" s="13"/>
      <c r="AO3751" s="13"/>
      <c r="AP3751" s="13"/>
      <c r="AQ3751" s="13"/>
      <c r="AR3751" s="13"/>
      <c r="AS3751" s="13"/>
    </row>
    <row r="3752" ht="14.25" customHeight="1">
      <c r="A3752" s="13" t="s">
        <v>36</v>
      </c>
      <c r="B3752" s="13" t="s">
        <v>42</v>
      </c>
      <c r="C3752" s="13">
        <v>1335.0</v>
      </c>
      <c r="D3752" s="13" t="s">
        <v>555</v>
      </c>
      <c r="F3752" s="13"/>
      <c r="G3752" s="13" t="s">
        <v>111</v>
      </c>
      <c r="H3752" s="13" t="s">
        <v>75</v>
      </c>
      <c r="I3752" s="13"/>
      <c r="J3752" s="13"/>
      <c r="K3752" s="15">
        <v>0.0</v>
      </c>
      <c r="L3752" s="15">
        <v>0.0</v>
      </c>
      <c r="M3752" s="16"/>
      <c r="N3752" s="16"/>
      <c r="O3752" s="17"/>
      <c r="P3752" s="17"/>
      <c r="Q3752" s="13">
        <f t="shared" si="4007"/>
        <v>0</v>
      </c>
      <c r="R3752" s="13"/>
      <c r="S3752" s="13"/>
      <c r="T3752" s="13">
        <f t="shared" ref="T3752:Y3752" si="4033">IF(ISBLANK(K3752)=TRUE,0,1)</f>
        <v>1</v>
      </c>
      <c r="U3752" s="13">
        <f t="shared" si="4033"/>
        <v>1</v>
      </c>
      <c r="V3752" s="13">
        <f t="shared" si="4033"/>
        <v>0</v>
      </c>
      <c r="W3752" s="13">
        <f t="shared" si="4033"/>
        <v>0</v>
      </c>
      <c r="X3752" s="13">
        <f t="shared" si="4033"/>
        <v>0</v>
      </c>
      <c r="Y3752" s="13">
        <f t="shared" si="4033"/>
        <v>0</v>
      </c>
      <c r="Z3752" s="13">
        <f t="shared" si="3023"/>
        <v>0</v>
      </c>
      <c r="AA3752" s="13"/>
      <c r="AB3752" s="13"/>
      <c r="AC3752" s="13"/>
      <c r="AD3752" s="13"/>
      <c r="AE3752" s="13"/>
      <c r="AF3752" s="13"/>
      <c r="AG3752" s="13"/>
      <c r="AH3752" s="13"/>
      <c r="AI3752" s="13"/>
      <c r="AJ3752" s="13"/>
      <c r="AK3752" s="13"/>
      <c r="AL3752" s="13"/>
      <c r="AM3752" s="13"/>
      <c r="AN3752" s="13"/>
      <c r="AO3752" s="13"/>
      <c r="AP3752" s="13"/>
      <c r="AQ3752" s="13"/>
      <c r="AR3752" s="13"/>
      <c r="AS3752" s="13"/>
    </row>
    <row r="3753" ht="14.25" customHeight="1">
      <c r="A3753" s="26" t="s">
        <v>46</v>
      </c>
      <c r="B3753" s="26" t="s">
        <v>49</v>
      </c>
      <c r="C3753" s="26" t="s">
        <v>1885</v>
      </c>
      <c r="D3753" s="26" t="s">
        <v>181</v>
      </c>
      <c r="E3753" s="13"/>
      <c r="F3753" s="26"/>
      <c r="G3753" s="26" t="s">
        <v>74</v>
      </c>
      <c r="H3753" s="26" t="s">
        <v>75</v>
      </c>
      <c r="I3753" s="13"/>
      <c r="J3753" s="13"/>
      <c r="K3753" s="15">
        <v>1.0</v>
      </c>
      <c r="L3753" s="15">
        <v>1.0</v>
      </c>
      <c r="M3753" s="16"/>
      <c r="N3753" s="16"/>
      <c r="O3753" s="17"/>
      <c r="P3753" s="17"/>
      <c r="Q3753" s="13"/>
      <c r="R3753" s="13"/>
      <c r="S3753" s="13"/>
      <c r="T3753" s="13">
        <f t="shared" ref="T3753:Y3753" si="4034">IF(ISBLANK(K3753)=TRUE,0,1)</f>
        <v>1</v>
      </c>
      <c r="U3753" s="13">
        <f t="shared" si="4034"/>
        <v>1</v>
      </c>
      <c r="V3753" s="13">
        <f t="shared" si="4034"/>
        <v>0</v>
      </c>
      <c r="W3753" s="13">
        <f t="shared" si="4034"/>
        <v>0</v>
      </c>
      <c r="X3753" s="13">
        <f t="shared" si="4034"/>
        <v>0</v>
      </c>
      <c r="Y3753" s="13">
        <f t="shared" si="4034"/>
        <v>0</v>
      </c>
      <c r="Z3753" s="13">
        <f t="shared" si="3023"/>
        <v>1</v>
      </c>
      <c r="AA3753" s="13"/>
      <c r="AB3753" s="13"/>
      <c r="AC3753" s="13"/>
      <c r="AD3753" s="13"/>
      <c r="AE3753" s="13"/>
      <c r="AF3753" s="13"/>
      <c r="AG3753" s="13"/>
      <c r="AH3753" s="13"/>
      <c r="AI3753" s="13"/>
      <c r="AJ3753" s="13"/>
      <c r="AK3753" s="13"/>
      <c r="AL3753" s="13"/>
      <c r="AM3753" s="13"/>
      <c r="AN3753" s="13"/>
      <c r="AO3753" s="13"/>
      <c r="AP3753" s="13"/>
      <c r="AQ3753" s="13"/>
      <c r="AR3753" s="13"/>
      <c r="AS3753" s="13"/>
    </row>
    <row r="3754" ht="14.25" customHeight="1">
      <c r="A3754" s="26" t="s">
        <v>46</v>
      </c>
      <c r="B3754" s="26" t="s">
        <v>49</v>
      </c>
      <c r="C3754" s="26" t="s">
        <v>1885</v>
      </c>
      <c r="D3754" s="26" t="s">
        <v>182</v>
      </c>
      <c r="E3754" s="13"/>
      <c r="F3754" s="26"/>
      <c r="G3754" s="26" t="s">
        <v>74</v>
      </c>
      <c r="H3754" s="26" t="s">
        <v>75</v>
      </c>
      <c r="I3754" s="13"/>
      <c r="J3754" s="13"/>
      <c r="K3754" s="15">
        <v>1.0</v>
      </c>
      <c r="L3754" s="15">
        <v>1.0</v>
      </c>
      <c r="M3754" s="16"/>
      <c r="N3754" s="16"/>
      <c r="O3754" s="17"/>
      <c r="P3754" s="17"/>
      <c r="Q3754" s="13"/>
      <c r="R3754" s="13"/>
      <c r="S3754" s="13"/>
      <c r="T3754" s="13">
        <f t="shared" ref="T3754:Y3754" si="4035">IF(ISBLANK(K3754)=TRUE,0,1)</f>
        <v>1</v>
      </c>
      <c r="U3754" s="13">
        <f t="shared" si="4035"/>
        <v>1</v>
      </c>
      <c r="V3754" s="13">
        <f t="shared" si="4035"/>
        <v>0</v>
      </c>
      <c r="W3754" s="13">
        <f t="shared" si="4035"/>
        <v>0</v>
      </c>
      <c r="X3754" s="13">
        <f t="shared" si="4035"/>
        <v>0</v>
      </c>
      <c r="Y3754" s="13">
        <f t="shared" si="4035"/>
        <v>0</v>
      </c>
      <c r="Z3754" s="13">
        <f t="shared" si="3023"/>
        <v>1</v>
      </c>
      <c r="AA3754" s="13"/>
      <c r="AB3754" s="13"/>
      <c r="AC3754" s="13"/>
      <c r="AD3754" s="13"/>
      <c r="AE3754" s="13"/>
      <c r="AF3754" s="13"/>
      <c r="AG3754" s="13"/>
      <c r="AH3754" s="13"/>
      <c r="AI3754" s="13"/>
      <c r="AJ3754" s="13"/>
      <c r="AK3754" s="13"/>
      <c r="AL3754" s="13"/>
      <c r="AM3754" s="13"/>
      <c r="AN3754" s="13"/>
      <c r="AO3754" s="13"/>
      <c r="AP3754" s="13"/>
      <c r="AQ3754" s="13"/>
      <c r="AR3754" s="13"/>
      <c r="AS3754" s="13"/>
    </row>
    <row r="3755" ht="14.25" customHeight="1">
      <c r="A3755" s="26" t="s">
        <v>46</v>
      </c>
      <c r="B3755" s="26" t="s">
        <v>49</v>
      </c>
      <c r="C3755" s="26" t="s">
        <v>1885</v>
      </c>
      <c r="D3755" s="26" t="s">
        <v>184</v>
      </c>
      <c r="E3755" s="13"/>
      <c r="F3755" s="26"/>
      <c r="G3755" s="26" t="s">
        <v>74</v>
      </c>
      <c r="H3755" s="26" t="s">
        <v>75</v>
      </c>
      <c r="I3755" s="13"/>
      <c r="J3755" s="13"/>
      <c r="K3755" s="15">
        <v>1.0</v>
      </c>
      <c r="L3755" s="15">
        <v>1.0</v>
      </c>
      <c r="M3755" s="16"/>
      <c r="N3755" s="16"/>
      <c r="O3755" s="17"/>
      <c r="P3755" s="17"/>
      <c r="Q3755" s="13"/>
      <c r="R3755" s="13"/>
      <c r="S3755" s="13"/>
      <c r="T3755" s="13">
        <f t="shared" ref="T3755:Y3755" si="4036">IF(ISBLANK(K3755)=TRUE,0,1)</f>
        <v>1</v>
      </c>
      <c r="U3755" s="13">
        <f t="shared" si="4036"/>
        <v>1</v>
      </c>
      <c r="V3755" s="13">
        <f t="shared" si="4036"/>
        <v>0</v>
      </c>
      <c r="W3755" s="13">
        <f t="shared" si="4036"/>
        <v>0</v>
      </c>
      <c r="X3755" s="13">
        <f t="shared" si="4036"/>
        <v>0</v>
      </c>
      <c r="Y3755" s="13">
        <f t="shared" si="4036"/>
        <v>0</v>
      </c>
      <c r="Z3755" s="13">
        <f t="shared" si="3023"/>
        <v>1</v>
      </c>
      <c r="AA3755" s="13"/>
      <c r="AB3755" s="13"/>
      <c r="AC3755" s="13"/>
      <c r="AD3755" s="13"/>
      <c r="AE3755" s="13"/>
      <c r="AF3755" s="13"/>
      <c r="AG3755" s="13"/>
      <c r="AH3755" s="13"/>
      <c r="AI3755" s="13"/>
      <c r="AJ3755" s="13"/>
      <c r="AK3755" s="13"/>
      <c r="AL3755" s="13"/>
      <c r="AM3755" s="13"/>
      <c r="AN3755" s="13"/>
      <c r="AO3755" s="13"/>
      <c r="AP3755" s="13"/>
      <c r="AQ3755" s="13"/>
      <c r="AR3755" s="13"/>
      <c r="AS3755" s="13"/>
    </row>
    <row r="3756" ht="14.25" customHeight="1">
      <c r="A3756" s="26" t="s">
        <v>46</v>
      </c>
      <c r="B3756" s="26" t="s">
        <v>49</v>
      </c>
      <c r="C3756" s="26" t="s">
        <v>1885</v>
      </c>
      <c r="D3756" s="26" t="s">
        <v>185</v>
      </c>
      <c r="E3756" s="13"/>
      <c r="F3756" s="26"/>
      <c r="G3756" s="26" t="s">
        <v>74</v>
      </c>
      <c r="H3756" s="26" t="s">
        <v>75</v>
      </c>
      <c r="I3756" s="13"/>
      <c r="J3756" s="13"/>
      <c r="K3756" s="15">
        <v>1.0</v>
      </c>
      <c r="L3756" s="15">
        <v>1.0</v>
      </c>
      <c r="M3756" s="16"/>
      <c r="N3756" s="16"/>
      <c r="O3756" s="17"/>
      <c r="P3756" s="17"/>
      <c r="Q3756" s="13"/>
      <c r="R3756" s="13"/>
      <c r="S3756" s="13"/>
      <c r="T3756" s="13">
        <f t="shared" ref="T3756:Y3756" si="4037">IF(ISBLANK(K3756)=TRUE,0,1)</f>
        <v>1</v>
      </c>
      <c r="U3756" s="13">
        <f t="shared" si="4037"/>
        <v>1</v>
      </c>
      <c r="V3756" s="13">
        <f t="shared" si="4037"/>
        <v>0</v>
      </c>
      <c r="W3756" s="13">
        <f t="shared" si="4037"/>
        <v>0</v>
      </c>
      <c r="X3756" s="13">
        <f t="shared" si="4037"/>
        <v>0</v>
      </c>
      <c r="Y3756" s="13">
        <f t="shared" si="4037"/>
        <v>0</v>
      </c>
      <c r="Z3756" s="13">
        <f t="shared" si="3023"/>
        <v>1</v>
      </c>
      <c r="AA3756" s="13"/>
      <c r="AB3756" s="13"/>
      <c r="AC3756" s="13"/>
      <c r="AD3756" s="13"/>
      <c r="AE3756" s="13"/>
      <c r="AF3756" s="13"/>
      <c r="AG3756" s="13"/>
      <c r="AH3756" s="13"/>
      <c r="AI3756" s="13"/>
      <c r="AJ3756" s="13"/>
      <c r="AK3756" s="13"/>
      <c r="AL3756" s="13"/>
      <c r="AM3756" s="13"/>
      <c r="AN3756" s="13"/>
      <c r="AO3756" s="13"/>
      <c r="AP3756" s="13"/>
      <c r="AQ3756" s="13"/>
      <c r="AR3756" s="13"/>
      <c r="AS3756" s="13"/>
    </row>
    <row r="3757" ht="14.25" customHeight="1">
      <c r="A3757" s="26" t="s">
        <v>46</v>
      </c>
      <c r="B3757" s="26" t="s">
        <v>49</v>
      </c>
      <c r="C3757" s="26" t="s">
        <v>1885</v>
      </c>
      <c r="D3757" s="26" t="s">
        <v>187</v>
      </c>
      <c r="E3757" s="13"/>
      <c r="F3757" s="26"/>
      <c r="G3757" s="26" t="s">
        <v>74</v>
      </c>
      <c r="H3757" s="26" t="s">
        <v>75</v>
      </c>
      <c r="I3757" s="13"/>
      <c r="J3757" s="13"/>
      <c r="K3757" s="15">
        <v>1.0</v>
      </c>
      <c r="L3757" s="15">
        <v>1.0</v>
      </c>
      <c r="M3757" s="16"/>
      <c r="N3757" s="16"/>
      <c r="O3757" s="17"/>
      <c r="P3757" s="17"/>
      <c r="Q3757" s="13"/>
      <c r="R3757" s="13"/>
      <c r="S3757" s="13"/>
      <c r="T3757" s="13">
        <f t="shared" ref="T3757:Y3757" si="4038">IF(ISBLANK(K3757)=TRUE,0,1)</f>
        <v>1</v>
      </c>
      <c r="U3757" s="13">
        <f t="shared" si="4038"/>
        <v>1</v>
      </c>
      <c r="V3757" s="13">
        <f t="shared" si="4038"/>
        <v>0</v>
      </c>
      <c r="W3757" s="13">
        <f t="shared" si="4038"/>
        <v>0</v>
      </c>
      <c r="X3757" s="13">
        <f t="shared" si="4038"/>
        <v>0</v>
      </c>
      <c r="Y3757" s="13">
        <f t="shared" si="4038"/>
        <v>0</v>
      </c>
      <c r="Z3757" s="13">
        <f t="shared" si="3023"/>
        <v>1</v>
      </c>
      <c r="AA3757" s="13"/>
      <c r="AB3757" s="13"/>
      <c r="AC3757" s="13"/>
      <c r="AD3757" s="13"/>
      <c r="AE3757" s="13"/>
      <c r="AF3757" s="13"/>
      <c r="AG3757" s="13"/>
      <c r="AH3757" s="13"/>
      <c r="AI3757" s="13"/>
      <c r="AJ3757" s="13"/>
      <c r="AK3757" s="13"/>
      <c r="AL3757" s="13"/>
      <c r="AM3757" s="13"/>
      <c r="AN3757" s="13"/>
      <c r="AO3757" s="13"/>
      <c r="AP3757" s="13"/>
      <c r="AQ3757" s="13"/>
      <c r="AR3757" s="13"/>
      <c r="AS3757" s="13"/>
    </row>
    <row r="3758" ht="14.25" customHeight="1">
      <c r="A3758" s="26" t="s">
        <v>46</v>
      </c>
      <c r="B3758" s="26" t="s">
        <v>49</v>
      </c>
      <c r="C3758" s="26" t="s">
        <v>1885</v>
      </c>
      <c r="D3758" s="26" t="s">
        <v>188</v>
      </c>
      <c r="E3758" s="13"/>
      <c r="F3758" s="26"/>
      <c r="G3758" s="26" t="s">
        <v>74</v>
      </c>
      <c r="H3758" s="26" t="s">
        <v>75</v>
      </c>
      <c r="I3758" s="13"/>
      <c r="J3758" s="13"/>
      <c r="K3758" s="15">
        <v>1.0</v>
      </c>
      <c r="L3758" s="15">
        <v>1.0</v>
      </c>
      <c r="M3758" s="16"/>
      <c r="N3758" s="16"/>
      <c r="O3758" s="17"/>
      <c r="P3758" s="17"/>
      <c r="Q3758" s="13"/>
      <c r="R3758" s="13"/>
      <c r="S3758" s="13"/>
      <c r="T3758" s="13">
        <f t="shared" ref="T3758:Y3758" si="4039">IF(ISBLANK(K3758)=TRUE,0,1)</f>
        <v>1</v>
      </c>
      <c r="U3758" s="13">
        <f t="shared" si="4039"/>
        <v>1</v>
      </c>
      <c r="V3758" s="13">
        <f t="shared" si="4039"/>
        <v>0</v>
      </c>
      <c r="W3758" s="13">
        <f t="shared" si="4039"/>
        <v>0</v>
      </c>
      <c r="X3758" s="13">
        <f t="shared" si="4039"/>
        <v>0</v>
      </c>
      <c r="Y3758" s="13">
        <f t="shared" si="4039"/>
        <v>0</v>
      </c>
      <c r="Z3758" s="13">
        <f t="shared" si="3023"/>
        <v>1</v>
      </c>
      <c r="AA3758" s="13"/>
      <c r="AB3758" s="13"/>
      <c r="AC3758" s="13"/>
      <c r="AD3758" s="13"/>
      <c r="AE3758" s="13"/>
      <c r="AF3758" s="13"/>
      <c r="AG3758" s="13"/>
      <c r="AH3758" s="13"/>
      <c r="AI3758" s="13"/>
      <c r="AJ3758" s="13"/>
      <c r="AK3758" s="13"/>
      <c r="AL3758" s="13"/>
      <c r="AM3758" s="13"/>
      <c r="AN3758" s="13"/>
      <c r="AO3758" s="13"/>
      <c r="AP3758" s="13"/>
      <c r="AQ3758" s="13"/>
      <c r="AR3758" s="13"/>
      <c r="AS3758" s="13"/>
    </row>
    <row r="3759" ht="14.25" customHeight="1">
      <c r="A3759" s="13" t="s">
        <v>29</v>
      </c>
      <c r="B3759" s="13" t="s">
        <v>34</v>
      </c>
      <c r="C3759" s="13" t="s">
        <v>704</v>
      </c>
      <c r="D3759" s="13" t="s">
        <v>174</v>
      </c>
      <c r="F3759" s="13"/>
      <c r="G3759" s="13" t="s">
        <v>111</v>
      </c>
      <c r="H3759" s="13" t="s">
        <v>75</v>
      </c>
      <c r="I3759" s="13"/>
      <c r="J3759" s="13"/>
      <c r="K3759" s="15"/>
      <c r="L3759" s="15"/>
      <c r="M3759" s="16">
        <v>0.0</v>
      </c>
      <c r="N3759" s="16">
        <v>0.0</v>
      </c>
      <c r="O3759" s="17"/>
      <c r="P3759" s="17"/>
      <c r="Q3759" s="13">
        <f t="shared" ref="Q3759:Q3814" si="4041">K3758+L3758+M3758+N3758+O3758+P3758/6</f>
        <v>2</v>
      </c>
      <c r="R3759" s="13"/>
      <c r="S3759" s="13"/>
      <c r="T3759" s="13">
        <f t="shared" ref="T3759:Y3759" si="4040">IF(ISBLANK(K3759)=TRUE,0,1)</f>
        <v>0</v>
      </c>
      <c r="U3759" s="13">
        <f t="shared" si="4040"/>
        <v>0</v>
      </c>
      <c r="V3759" s="13">
        <f t="shared" si="4040"/>
        <v>1</v>
      </c>
      <c r="W3759" s="13">
        <f t="shared" si="4040"/>
        <v>1</v>
      </c>
      <c r="X3759" s="13">
        <f t="shared" si="4040"/>
        <v>0</v>
      </c>
      <c r="Y3759" s="13">
        <f t="shared" si="4040"/>
        <v>0</v>
      </c>
      <c r="Z3759" s="13">
        <f t="shared" si="3023"/>
        <v>0</v>
      </c>
      <c r="AA3759" s="13"/>
      <c r="AB3759" s="13"/>
      <c r="AC3759" s="13"/>
      <c r="AD3759" s="13"/>
      <c r="AE3759" s="13"/>
      <c r="AF3759" s="13"/>
      <c r="AG3759" s="13"/>
      <c r="AH3759" s="13"/>
      <c r="AI3759" s="13"/>
      <c r="AJ3759" s="13"/>
      <c r="AK3759" s="13"/>
      <c r="AL3759" s="13"/>
      <c r="AM3759" s="13"/>
      <c r="AN3759" s="13"/>
      <c r="AO3759" s="13"/>
      <c r="AP3759" s="13"/>
      <c r="AQ3759" s="13"/>
      <c r="AR3759" s="13"/>
      <c r="AS3759" s="13"/>
    </row>
    <row r="3760" ht="14.25" customHeight="1">
      <c r="A3760" s="13" t="s">
        <v>29</v>
      </c>
      <c r="B3760" s="13" t="s">
        <v>34</v>
      </c>
      <c r="C3760" s="13" t="s">
        <v>704</v>
      </c>
      <c r="D3760" s="13" t="s">
        <v>175</v>
      </c>
      <c r="F3760" s="13"/>
      <c r="G3760" s="13" t="s">
        <v>111</v>
      </c>
      <c r="H3760" s="13" t="s">
        <v>75</v>
      </c>
      <c r="I3760" s="13"/>
      <c r="J3760" s="13"/>
      <c r="K3760" s="15"/>
      <c r="L3760" s="15"/>
      <c r="M3760" s="16">
        <v>0.0</v>
      </c>
      <c r="N3760" s="16">
        <v>0.0</v>
      </c>
      <c r="O3760" s="17"/>
      <c r="P3760" s="17"/>
      <c r="Q3760" s="13">
        <f t="shared" si="4041"/>
        <v>0</v>
      </c>
      <c r="R3760" s="13"/>
      <c r="S3760" s="13"/>
      <c r="T3760" s="13">
        <f t="shared" ref="T3760:Y3760" si="4042">IF(ISBLANK(K3760)=TRUE,0,1)</f>
        <v>0</v>
      </c>
      <c r="U3760" s="13">
        <f t="shared" si="4042"/>
        <v>0</v>
      </c>
      <c r="V3760" s="13">
        <f t="shared" si="4042"/>
        <v>1</v>
      </c>
      <c r="W3760" s="13">
        <f t="shared" si="4042"/>
        <v>1</v>
      </c>
      <c r="X3760" s="13">
        <f t="shared" si="4042"/>
        <v>0</v>
      </c>
      <c r="Y3760" s="13">
        <f t="shared" si="4042"/>
        <v>0</v>
      </c>
      <c r="Z3760" s="13">
        <f t="shared" si="3023"/>
        <v>0</v>
      </c>
      <c r="AA3760" s="13"/>
      <c r="AB3760" s="13"/>
      <c r="AC3760" s="13"/>
      <c r="AD3760" s="13"/>
      <c r="AE3760" s="13"/>
      <c r="AF3760" s="13"/>
      <c r="AG3760" s="13"/>
      <c r="AH3760" s="13"/>
      <c r="AI3760" s="13"/>
      <c r="AJ3760" s="13"/>
      <c r="AK3760" s="13"/>
      <c r="AL3760" s="13"/>
      <c r="AM3760" s="13"/>
      <c r="AN3760" s="13"/>
      <c r="AO3760" s="13"/>
      <c r="AP3760" s="13"/>
      <c r="AQ3760" s="13"/>
      <c r="AR3760" s="13"/>
      <c r="AS3760" s="13"/>
    </row>
    <row r="3761" ht="14.25" customHeight="1">
      <c r="A3761" s="13" t="s">
        <v>29</v>
      </c>
      <c r="B3761" s="13" t="s">
        <v>34</v>
      </c>
      <c r="C3761" s="13" t="s">
        <v>704</v>
      </c>
      <c r="D3761" s="13" t="s">
        <v>176</v>
      </c>
      <c r="F3761" s="13"/>
      <c r="G3761" s="13" t="s">
        <v>111</v>
      </c>
      <c r="H3761" s="13" t="s">
        <v>75</v>
      </c>
      <c r="I3761" s="13"/>
      <c r="J3761" s="13"/>
      <c r="K3761" s="15"/>
      <c r="L3761" s="15"/>
      <c r="M3761" s="16">
        <v>0.0</v>
      </c>
      <c r="N3761" s="16">
        <v>0.0</v>
      </c>
      <c r="O3761" s="17"/>
      <c r="P3761" s="17"/>
      <c r="Q3761" s="13">
        <f t="shared" si="4041"/>
        <v>0</v>
      </c>
      <c r="R3761" s="13"/>
      <c r="S3761" s="13"/>
      <c r="T3761" s="13">
        <f t="shared" ref="T3761:Y3761" si="4043">IF(ISBLANK(K3761)=TRUE,0,1)</f>
        <v>0</v>
      </c>
      <c r="U3761" s="13">
        <f t="shared" si="4043"/>
        <v>0</v>
      </c>
      <c r="V3761" s="13">
        <f t="shared" si="4043"/>
        <v>1</v>
      </c>
      <c r="W3761" s="13">
        <f t="shared" si="4043"/>
        <v>1</v>
      </c>
      <c r="X3761" s="13">
        <f t="shared" si="4043"/>
        <v>0</v>
      </c>
      <c r="Y3761" s="13">
        <f t="shared" si="4043"/>
        <v>0</v>
      </c>
      <c r="Z3761" s="13">
        <f t="shared" si="3023"/>
        <v>0</v>
      </c>
      <c r="AA3761" s="13"/>
      <c r="AB3761" s="13"/>
      <c r="AC3761" s="13"/>
      <c r="AD3761" s="13"/>
      <c r="AE3761" s="13"/>
      <c r="AF3761" s="13"/>
      <c r="AG3761" s="13"/>
      <c r="AH3761" s="13"/>
      <c r="AI3761" s="13"/>
      <c r="AJ3761" s="13"/>
      <c r="AK3761" s="13"/>
      <c r="AL3761" s="13"/>
      <c r="AM3761" s="13"/>
      <c r="AN3761" s="13"/>
      <c r="AO3761" s="13"/>
      <c r="AP3761" s="13"/>
      <c r="AQ3761" s="13"/>
      <c r="AR3761" s="13"/>
      <c r="AS3761" s="13"/>
    </row>
    <row r="3762" ht="14.25" customHeight="1">
      <c r="A3762" s="13" t="s">
        <v>29</v>
      </c>
      <c r="B3762" s="13" t="s">
        <v>34</v>
      </c>
      <c r="C3762" s="13" t="s">
        <v>704</v>
      </c>
      <c r="D3762" s="13" t="s">
        <v>177</v>
      </c>
      <c r="F3762" s="13"/>
      <c r="G3762" s="13" t="s">
        <v>111</v>
      </c>
      <c r="H3762" s="13" t="s">
        <v>75</v>
      </c>
      <c r="I3762" s="13"/>
      <c r="J3762" s="13"/>
      <c r="K3762" s="15"/>
      <c r="L3762" s="15"/>
      <c r="M3762" s="16">
        <v>0.0</v>
      </c>
      <c r="N3762" s="16">
        <v>0.0</v>
      </c>
      <c r="O3762" s="17"/>
      <c r="P3762" s="17"/>
      <c r="Q3762" s="13">
        <f t="shared" si="4041"/>
        <v>0</v>
      </c>
      <c r="R3762" s="13"/>
      <c r="S3762" s="13"/>
      <c r="T3762" s="13">
        <f t="shared" ref="T3762:Y3762" si="4044">IF(ISBLANK(K3762)=TRUE,0,1)</f>
        <v>0</v>
      </c>
      <c r="U3762" s="13">
        <f t="shared" si="4044"/>
        <v>0</v>
      </c>
      <c r="V3762" s="13">
        <f t="shared" si="4044"/>
        <v>1</v>
      </c>
      <c r="W3762" s="13">
        <f t="shared" si="4044"/>
        <v>1</v>
      </c>
      <c r="X3762" s="13">
        <f t="shared" si="4044"/>
        <v>0</v>
      </c>
      <c r="Y3762" s="13">
        <f t="shared" si="4044"/>
        <v>0</v>
      </c>
      <c r="Z3762" s="13">
        <f t="shared" si="3023"/>
        <v>0</v>
      </c>
      <c r="AA3762" s="13"/>
      <c r="AB3762" s="13"/>
      <c r="AC3762" s="13"/>
      <c r="AD3762" s="13"/>
      <c r="AE3762" s="13"/>
      <c r="AF3762" s="13"/>
      <c r="AG3762" s="13"/>
      <c r="AH3762" s="13"/>
      <c r="AI3762" s="13"/>
      <c r="AJ3762" s="13"/>
      <c r="AK3762" s="13"/>
      <c r="AL3762" s="13"/>
      <c r="AM3762" s="13"/>
      <c r="AN3762" s="13"/>
      <c r="AO3762" s="13"/>
      <c r="AP3762" s="13"/>
      <c r="AQ3762" s="13"/>
      <c r="AR3762" s="13"/>
      <c r="AS3762" s="13"/>
    </row>
    <row r="3763" ht="14.25" customHeight="1">
      <c r="A3763" s="13" t="s">
        <v>29</v>
      </c>
      <c r="B3763" s="13" t="s">
        <v>34</v>
      </c>
      <c r="C3763" s="13" t="s">
        <v>704</v>
      </c>
      <c r="D3763" s="13" t="s">
        <v>178</v>
      </c>
      <c r="F3763" s="13"/>
      <c r="G3763" s="13" t="s">
        <v>111</v>
      </c>
      <c r="H3763" s="13" t="s">
        <v>75</v>
      </c>
      <c r="I3763" s="13"/>
      <c r="J3763" s="13"/>
      <c r="K3763" s="15"/>
      <c r="L3763" s="15"/>
      <c r="M3763" s="16">
        <v>0.0</v>
      </c>
      <c r="N3763" s="16">
        <v>0.0</v>
      </c>
      <c r="O3763" s="17"/>
      <c r="P3763" s="17"/>
      <c r="Q3763" s="13">
        <f t="shared" si="4041"/>
        <v>0</v>
      </c>
      <c r="R3763" s="13"/>
      <c r="S3763" s="13"/>
      <c r="T3763" s="13">
        <f t="shared" ref="T3763:Y3763" si="4045">IF(ISBLANK(K3763)=TRUE,0,1)</f>
        <v>0</v>
      </c>
      <c r="U3763" s="13">
        <f t="shared" si="4045"/>
        <v>0</v>
      </c>
      <c r="V3763" s="13">
        <f t="shared" si="4045"/>
        <v>1</v>
      </c>
      <c r="W3763" s="13">
        <f t="shared" si="4045"/>
        <v>1</v>
      </c>
      <c r="X3763" s="13">
        <f t="shared" si="4045"/>
        <v>0</v>
      </c>
      <c r="Y3763" s="13">
        <f t="shared" si="4045"/>
        <v>0</v>
      </c>
      <c r="Z3763" s="13">
        <f t="shared" si="3023"/>
        <v>0</v>
      </c>
      <c r="AA3763" s="13"/>
      <c r="AB3763" s="13"/>
      <c r="AC3763" s="13"/>
      <c r="AD3763" s="13"/>
      <c r="AE3763" s="13"/>
      <c r="AF3763" s="13"/>
      <c r="AG3763" s="13"/>
      <c r="AH3763" s="13"/>
      <c r="AI3763" s="13"/>
      <c r="AJ3763" s="13"/>
      <c r="AK3763" s="13"/>
      <c r="AL3763" s="13"/>
      <c r="AM3763" s="13"/>
      <c r="AN3763" s="13"/>
      <c r="AO3763" s="13"/>
      <c r="AP3763" s="13"/>
      <c r="AQ3763" s="13"/>
      <c r="AR3763" s="13"/>
      <c r="AS3763" s="13"/>
    </row>
    <row r="3764" ht="14.25" customHeight="1">
      <c r="A3764" s="13" t="s">
        <v>29</v>
      </c>
      <c r="B3764" s="13" t="s">
        <v>34</v>
      </c>
      <c r="C3764" s="13" t="s">
        <v>704</v>
      </c>
      <c r="D3764" s="13" t="s">
        <v>179</v>
      </c>
      <c r="F3764" s="13"/>
      <c r="G3764" s="13" t="s">
        <v>111</v>
      </c>
      <c r="H3764" s="13" t="s">
        <v>75</v>
      </c>
      <c r="I3764" s="13"/>
      <c r="J3764" s="13"/>
      <c r="K3764" s="15"/>
      <c r="L3764" s="15"/>
      <c r="M3764" s="16">
        <v>0.0</v>
      </c>
      <c r="N3764" s="16">
        <v>0.0</v>
      </c>
      <c r="O3764" s="17"/>
      <c r="P3764" s="17"/>
      <c r="Q3764" s="13">
        <f t="shared" si="4041"/>
        <v>0</v>
      </c>
      <c r="R3764" s="13"/>
      <c r="S3764" s="13"/>
      <c r="T3764" s="13">
        <f t="shared" ref="T3764:Y3764" si="4046">IF(ISBLANK(K3764)=TRUE,0,1)</f>
        <v>0</v>
      </c>
      <c r="U3764" s="13">
        <f t="shared" si="4046"/>
        <v>0</v>
      </c>
      <c r="V3764" s="13">
        <f t="shared" si="4046"/>
        <v>1</v>
      </c>
      <c r="W3764" s="13">
        <f t="shared" si="4046"/>
        <v>1</v>
      </c>
      <c r="X3764" s="13">
        <f t="shared" si="4046"/>
        <v>0</v>
      </c>
      <c r="Y3764" s="13">
        <f t="shared" si="4046"/>
        <v>0</v>
      </c>
      <c r="Z3764" s="13">
        <f t="shared" si="3023"/>
        <v>0</v>
      </c>
      <c r="AA3764" s="13"/>
      <c r="AB3764" s="13"/>
      <c r="AC3764" s="13"/>
      <c r="AD3764" s="13"/>
      <c r="AE3764" s="13"/>
      <c r="AF3764" s="13"/>
      <c r="AG3764" s="13"/>
      <c r="AH3764" s="13"/>
      <c r="AI3764" s="13"/>
      <c r="AJ3764" s="13"/>
      <c r="AK3764" s="13"/>
      <c r="AL3764" s="13"/>
      <c r="AM3764" s="13"/>
      <c r="AN3764" s="13"/>
      <c r="AO3764" s="13"/>
      <c r="AP3764" s="13"/>
      <c r="AQ3764" s="13"/>
      <c r="AR3764" s="13"/>
      <c r="AS3764" s="13"/>
    </row>
    <row r="3765" ht="14.25" customHeight="1">
      <c r="A3765" s="13" t="s">
        <v>29</v>
      </c>
      <c r="B3765" s="13" t="s">
        <v>34</v>
      </c>
      <c r="C3765" s="13" t="s">
        <v>704</v>
      </c>
      <c r="D3765" s="13" t="s">
        <v>180</v>
      </c>
      <c r="F3765" s="13"/>
      <c r="G3765" s="13" t="s">
        <v>111</v>
      </c>
      <c r="H3765" s="13" t="s">
        <v>75</v>
      </c>
      <c r="I3765" s="13"/>
      <c r="J3765" s="13"/>
      <c r="K3765" s="15"/>
      <c r="L3765" s="15"/>
      <c r="M3765" s="16">
        <v>0.0</v>
      </c>
      <c r="N3765" s="16">
        <v>0.0</v>
      </c>
      <c r="O3765" s="17"/>
      <c r="P3765" s="17"/>
      <c r="Q3765" s="13">
        <f t="shared" si="4041"/>
        <v>0</v>
      </c>
      <c r="R3765" s="13"/>
      <c r="S3765" s="13"/>
      <c r="T3765" s="13">
        <f t="shared" ref="T3765:Y3765" si="4047">IF(ISBLANK(K3765)=TRUE,0,1)</f>
        <v>0</v>
      </c>
      <c r="U3765" s="13">
        <f t="shared" si="4047"/>
        <v>0</v>
      </c>
      <c r="V3765" s="13">
        <f t="shared" si="4047"/>
        <v>1</v>
      </c>
      <c r="W3765" s="13">
        <f t="shared" si="4047"/>
        <v>1</v>
      </c>
      <c r="X3765" s="13">
        <f t="shared" si="4047"/>
        <v>0</v>
      </c>
      <c r="Y3765" s="13">
        <f t="shared" si="4047"/>
        <v>0</v>
      </c>
      <c r="Z3765" s="13">
        <f t="shared" si="3023"/>
        <v>0</v>
      </c>
      <c r="AA3765" s="13"/>
      <c r="AB3765" s="13"/>
      <c r="AC3765" s="13"/>
      <c r="AD3765" s="13"/>
      <c r="AE3765" s="13"/>
      <c r="AF3765" s="13"/>
      <c r="AG3765" s="13"/>
      <c r="AH3765" s="13"/>
      <c r="AI3765" s="13"/>
      <c r="AJ3765" s="13"/>
      <c r="AK3765" s="13"/>
      <c r="AL3765" s="13"/>
      <c r="AM3765" s="13"/>
      <c r="AN3765" s="13"/>
      <c r="AO3765" s="13"/>
      <c r="AP3765" s="13"/>
      <c r="AQ3765" s="13"/>
      <c r="AR3765" s="13"/>
      <c r="AS3765" s="13"/>
    </row>
    <row r="3766" ht="14.25" customHeight="1">
      <c r="A3766" s="13" t="s">
        <v>29</v>
      </c>
      <c r="B3766" s="13" t="s">
        <v>34</v>
      </c>
      <c r="C3766" s="13" t="s">
        <v>704</v>
      </c>
      <c r="D3766" s="13" t="s">
        <v>181</v>
      </c>
      <c r="F3766" s="13"/>
      <c r="G3766" s="13" t="s">
        <v>111</v>
      </c>
      <c r="H3766" s="13" t="s">
        <v>75</v>
      </c>
      <c r="I3766" s="13"/>
      <c r="J3766" s="13"/>
      <c r="K3766" s="15"/>
      <c r="L3766" s="15"/>
      <c r="M3766" s="16">
        <v>0.0</v>
      </c>
      <c r="N3766" s="16">
        <v>0.0</v>
      </c>
      <c r="O3766" s="17"/>
      <c r="P3766" s="17"/>
      <c r="Q3766" s="13">
        <f t="shared" si="4041"/>
        <v>0</v>
      </c>
      <c r="R3766" s="13"/>
      <c r="S3766" s="13"/>
      <c r="T3766" s="13">
        <f t="shared" ref="T3766:Y3766" si="4048">IF(ISBLANK(K3766)=TRUE,0,1)</f>
        <v>0</v>
      </c>
      <c r="U3766" s="13">
        <f t="shared" si="4048"/>
        <v>0</v>
      </c>
      <c r="V3766" s="13">
        <f t="shared" si="4048"/>
        <v>1</v>
      </c>
      <c r="W3766" s="13">
        <f t="shared" si="4048"/>
        <v>1</v>
      </c>
      <c r="X3766" s="13">
        <f t="shared" si="4048"/>
        <v>0</v>
      </c>
      <c r="Y3766" s="13">
        <f t="shared" si="4048"/>
        <v>0</v>
      </c>
      <c r="Z3766" s="13">
        <f t="shared" si="3023"/>
        <v>0</v>
      </c>
      <c r="AA3766" s="13"/>
      <c r="AB3766" s="13"/>
      <c r="AC3766" s="13"/>
      <c r="AD3766" s="13"/>
      <c r="AE3766" s="13"/>
      <c r="AF3766" s="13"/>
      <c r="AG3766" s="13"/>
      <c r="AH3766" s="13"/>
      <c r="AI3766" s="13"/>
      <c r="AJ3766" s="13"/>
      <c r="AK3766" s="13"/>
      <c r="AL3766" s="13"/>
      <c r="AM3766" s="13"/>
      <c r="AN3766" s="13"/>
      <c r="AO3766" s="13"/>
      <c r="AP3766" s="13"/>
      <c r="AQ3766" s="13"/>
      <c r="AR3766" s="13"/>
      <c r="AS3766" s="13"/>
    </row>
    <row r="3767" ht="14.25" customHeight="1">
      <c r="A3767" s="13" t="s">
        <v>29</v>
      </c>
      <c r="B3767" s="13" t="s">
        <v>34</v>
      </c>
      <c r="C3767" s="13" t="s">
        <v>704</v>
      </c>
      <c r="D3767" s="13" t="s">
        <v>182</v>
      </c>
      <c r="F3767" s="13"/>
      <c r="G3767" s="13" t="s">
        <v>111</v>
      </c>
      <c r="H3767" s="13" t="s">
        <v>75</v>
      </c>
      <c r="I3767" s="13"/>
      <c r="J3767" s="13"/>
      <c r="K3767" s="15"/>
      <c r="L3767" s="15"/>
      <c r="M3767" s="16">
        <v>0.0</v>
      </c>
      <c r="N3767" s="16">
        <v>0.0</v>
      </c>
      <c r="O3767" s="17"/>
      <c r="P3767" s="17"/>
      <c r="Q3767" s="13">
        <f t="shared" si="4041"/>
        <v>0</v>
      </c>
      <c r="R3767" s="13"/>
      <c r="S3767" s="13"/>
      <c r="T3767" s="13">
        <f t="shared" ref="T3767:Y3767" si="4049">IF(ISBLANK(K3767)=TRUE,0,1)</f>
        <v>0</v>
      </c>
      <c r="U3767" s="13">
        <f t="shared" si="4049"/>
        <v>0</v>
      </c>
      <c r="V3767" s="13">
        <f t="shared" si="4049"/>
        <v>1</v>
      </c>
      <c r="W3767" s="13">
        <f t="shared" si="4049"/>
        <v>1</v>
      </c>
      <c r="X3767" s="13">
        <f t="shared" si="4049"/>
        <v>0</v>
      </c>
      <c r="Y3767" s="13">
        <f t="shared" si="4049"/>
        <v>0</v>
      </c>
      <c r="Z3767" s="13">
        <f t="shared" si="3023"/>
        <v>0</v>
      </c>
      <c r="AA3767" s="13"/>
      <c r="AB3767" s="13"/>
      <c r="AC3767" s="13"/>
      <c r="AD3767" s="13"/>
      <c r="AE3767" s="13"/>
      <c r="AF3767" s="13"/>
      <c r="AG3767" s="13"/>
      <c r="AH3767" s="13"/>
      <c r="AI3767" s="13"/>
      <c r="AJ3767" s="13"/>
      <c r="AK3767" s="13"/>
      <c r="AL3767" s="13"/>
      <c r="AM3767" s="13"/>
      <c r="AN3767" s="13"/>
      <c r="AO3767" s="13"/>
      <c r="AP3767" s="13"/>
      <c r="AQ3767" s="13"/>
      <c r="AR3767" s="13"/>
      <c r="AS3767" s="13"/>
    </row>
    <row r="3768" ht="14.25" customHeight="1">
      <c r="A3768" s="13" t="s">
        <v>29</v>
      </c>
      <c r="B3768" s="13" t="s">
        <v>34</v>
      </c>
      <c r="C3768" s="13" t="s">
        <v>704</v>
      </c>
      <c r="D3768" s="13" t="s">
        <v>183</v>
      </c>
      <c r="F3768" s="13"/>
      <c r="G3768" s="13" t="s">
        <v>111</v>
      </c>
      <c r="H3768" s="13" t="s">
        <v>75</v>
      </c>
      <c r="I3768" s="13"/>
      <c r="J3768" s="13"/>
      <c r="K3768" s="15"/>
      <c r="L3768" s="15"/>
      <c r="M3768" s="16">
        <v>0.0</v>
      </c>
      <c r="N3768" s="16">
        <v>0.0</v>
      </c>
      <c r="O3768" s="17"/>
      <c r="P3768" s="17"/>
      <c r="Q3768" s="13">
        <f t="shared" si="4041"/>
        <v>0</v>
      </c>
      <c r="R3768" s="13"/>
      <c r="S3768" s="13"/>
      <c r="T3768" s="13">
        <f t="shared" ref="T3768:Y3768" si="4050">IF(ISBLANK(K3768)=TRUE,0,1)</f>
        <v>0</v>
      </c>
      <c r="U3768" s="13">
        <f t="shared" si="4050"/>
        <v>0</v>
      </c>
      <c r="V3768" s="13">
        <f t="shared" si="4050"/>
        <v>1</v>
      </c>
      <c r="W3768" s="13">
        <f t="shared" si="4050"/>
        <v>1</v>
      </c>
      <c r="X3768" s="13">
        <f t="shared" si="4050"/>
        <v>0</v>
      </c>
      <c r="Y3768" s="13">
        <f t="shared" si="4050"/>
        <v>0</v>
      </c>
      <c r="Z3768" s="13">
        <f t="shared" si="3023"/>
        <v>0</v>
      </c>
      <c r="AA3768" s="13"/>
      <c r="AB3768" s="13"/>
      <c r="AC3768" s="13"/>
      <c r="AD3768" s="13"/>
      <c r="AE3768" s="13"/>
      <c r="AF3768" s="13"/>
      <c r="AG3768" s="13"/>
      <c r="AH3768" s="13"/>
      <c r="AI3768" s="13"/>
      <c r="AJ3768" s="13"/>
      <c r="AK3768" s="13"/>
      <c r="AL3768" s="13"/>
      <c r="AM3768" s="13"/>
      <c r="AN3768" s="13"/>
      <c r="AO3768" s="13"/>
      <c r="AP3768" s="13"/>
      <c r="AQ3768" s="13"/>
      <c r="AR3768" s="13"/>
      <c r="AS3768" s="13"/>
    </row>
    <row r="3769" ht="14.25" customHeight="1">
      <c r="A3769" s="13" t="s">
        <v>29</v>
      </c>
      <c r="B3769" s="13" t="s">
        <v>34</v>
      </c>
      <c r="C3769" s="13" t="s">
        <v>704</v>
      </c>
      <c r="D3769" s="13" t="s">
        <v>184</v>
      </c>
      <c r="F3769" s="13"/>
      <c r="G3769" s="13" t="s">
        <v>111</v>
      </c>
      <c r="H3769" s="13" t="s">
        <v>75</v>
      </c>
      <c r="I3769" s="13"/>
      <c r="J3769" s="13"/>
      <c r="K3769" s="15"/>
      <c r="L3769" s="15"/>
      <c r="M3769" s="16">
        <v>0.0</v>
      </c>
      <c r="N3769" s="16">
        <v>0.0</v>
      </c>
      <c r="O3769" s="17"/>
      <c r="P3769" s="17"/>
      <c r="Q3769" s="13">
        <f t="shared" si="4041"/>
        <v>0</v>
      </c>
      <c r="R3769" s="13"/>
      <c r="S3769" s="13"/>
      <c r="T3769" s="13">
        <f t="shared" ref="T3769:Y3769" si="4051">IF(ISBLANK(K3769)=TRUE,0,1)</f>
        <v>0</v>
      </c>
      <c r="U3769" s="13">
        <f t="shared" si="4051"/>
        <v>0</v>
      </c>
      <c r="V3769" s="13">
        <f t="shared" si="4051"/>
        <v>1</v>
      </c>
      <c r="W3769" s="13">
        <f t="shared" si="4051"/>
        <v>1</v>
      </c>
      <c r="X3769" s="13">
        <f t="shared" si="4051"/>
        <v>0</v>
      </c>
      <c r="Y3769" s="13">
        <f t="shared" si="4051"/>
        <v>0</v>
      </c>
      <c r="Z3769" s="13">
        <f t="shared" si="3023"/>
        <v>0</v>
      </c>
      <c r="AA3769" s="13"/>
      <c r="AB3769" s="13"/>
      <c r="AC3769" s="13"/>
      <c r="AD3769" s="13"/>
      <c r="AE3769" s="13"/>
      <c r="AF3769" s="13"/>
      <c r="AG3769" s="13"/>
      <c r="AH3769" s="13"/>
      <c r="AI3769" s="13"/>
      <c r="AJ3769" s="13"/>
      <c r="AK3769" s="13"/>
      <c r="AL3769" s="13"/>
      <c r="AM3769" s="13"/>
      <c r="AN3769" s="13"/>
      <c r="AO3769" s="13"/>
      <c r="AP3769" s="13"/>
      <c r="AQ3769" s="13"/>
      <c r="AR3769" s="13"/>
      <c r="AS3769" s="13"/>
    </row>
    <row r="3770" ht="14.25" customHeight="1">
      <c r="A3770" s="13" t="s">
        <v>29</v>
      </c>
      <c r="B3770" s="13" t="s">
        <v>34</v>
      </c>
      <c r="C3770" s="13" t="s">
        <v>704</v>
      </c>
      <c r="D3770" s="13" t="s">
        <v>185</v>
      </c>
      <c r="F3770" s="13"/>
      <c r="G3770" s="13" t="s">
        <v>111</v>
      </c>
      <c r="H3770" s="13" t="s">
        <v>75</v>
      </c>
      <c r="I3770" s="13"/>
      <c r="J3770" s="13"/>
      <c r="K3770" s="15"/>
      <c r="L3770" s="15"/>
      <c r="M3770" s="16">
        <v>0.0</v>
      </c>
      <c r="N3770" s="16">
        <v>0.0</v>
      </c>
      <c r="O3770" s="17"/>
      <c r="P3770" s="17"/>
      <c r="Q3770" s="13">
        <f t="shared" si="4041"/>
        <v>0</v>
      </c>
      <c r="R3770" s="13"/>
      <c r="S3770" s="13"/>
      <c r="T3770" s="13">
        <f t="shared" ref="T3770:Y3770" si="4052">IF(ISBLANK(K3770)=TRUE,0,1)</f>
        <v>0</v>
      </c>
      <c r="U3770" s="13">
        <f t="shared" si="4052"/>
        <v>0</v>
      </c>
      <c r="V3770" s="13">
        <f t="shared" si="4052"/>
        <v>1</v>
      </c>
      <c r="W3770" s="13">
        <f t="shared" si="4052"/>
        <v>1</v>
      </c>
      <c r="X3770" s="13">
        <f t="shared" si="4052"/>
        <v>0</v>
      </c>
      <c r="Y3770" s="13">
        <f t="shared" si="4052"/>
        <v>0</v>
      </c>
      <c r="Z3770" s="13">
        <f t="shared" si="3023"/>
        <v>0</v>
      </c>
      <c r="AA3770" s="13"/>
      <c r="AB3770" s="13"/>
      <c r="AC3770" s="13"/>
      <c r="AD3770" s="13"/>
      <c r="AE3770" s="13"/>
      <c r="AF3770" s="13"/>
      <c r="AG3770" s="13"/>
      <c r="AH3770" s="13"/>
      <c r="AI3770" s="13"/>
      <c r="AJ3770" s="13"/>
      <c r="AK3770" s="13"/>
      <c r="AL3770" s="13"/>
      <c r="AM3770" s="13"/>
      <c r="AN3770" s="13"/>
      <c r="AO3770" s="13"/>
      <c r="AP3770" s="13"/>
      <c r="AQ3770" s="13"/>
      <c r="AR3770" s="13"/>
      <c r="AS3770" s="13"/>
    </row>
    <row r="3771" ht="14.25" customHeight="1">
      <c r="A3771" s="13" t="s">
        <v>29</v>
      </c>
      <c r="B3771" s="13" t="s">
        <v>34</v>
      </c>
      <c r="C3771" s="13" t="s">
        <v>704</v>
      </c>
      <c r="D3771" s="13" t="s">
        <v>186</v>
      </c>
      <c r="F3771" s="13"/>
      <c r="G3771" s="13" t="s">
        <v>111</v>
      </c>
      <c r="H3771" s="13" t="s">
        <v>75</v>
      </c>
      <c r="I3771" s="13"/>
      <c r="J3771" s="13"/>
      <c r="K3771" s="15"/>
      <c r="L3771" s="15"/>
      <c r="M3771" s="16">
        <v>0.0</v>
      </c>
      <c r="N3771" s="16">
        <v>0.0</v>
      </c>
      <c r="O3771" s="17"/>
      <c r="P3771" s="17"/>
      <c r="Q3771" s="13">
        <f t="shared" si="4041"/>
        <v>0</v>
      </c>
      <c r="R3771" s="13"/>
      <c r="S3771" s="13"/>
      <c r="T3771" s="13">
        <f t="shared" ref="T3771:Y3771" si="4053">IF(ISBLANK(K3771)=TRUE,0,1)</f>
        <v>0</v>
      </c>
      <c r="U3771" s="13">
        <f t="shared" si="4053"/>
        <v>0</v>
      </c>
      <c r="V3771" s="13">
        <f t="shared" si="4053"/>
        <v>1</v>
      </c>
      <c r="W3771" s="13">
        <f t="shared" si="4053"/>
        <v>1</v>
      </c>
      <c r="X3771" s="13">
        <f t="shared" si="4053"/>
        <v>0</v>
      </c>
      <c r="Y3771" s="13">
        <f t="shared" si="4053"/>
        <v>0</v>
      </c>
      <c r="Z3771" s="13">
        <f t="shared" si="3023"/>
        <v>0</v>
      </c>
      <c r="AA3771" s="13"/>
      <c r="AB3771" s="13"/>
      <c r="AC3771" s="13"/>
      <c r="AD3771" s="13"/>
      <c r="AE3771" s="13"/>
      <c r="AF3771" s="13"/>
      <c r="AG3771" s="13"/>
      <c r="AH3771" s="13"/>
      <c r="AI3771" s="13"/>
      <c r="AJ3771" s="13"/>
      <c r="AK3771" s="13"/>
      <c r="AL3771" s="13"/>
      <c r="AM3771" s="13"/>
      <c r="AN3771" s="13"/>
      <c r="AO3771" s="13"/>
      <c r="AP3771" s="13"/>
      <c r="AQ3771" s="13"/>
      <c r="AR3771" s="13"/>
      <c r="AS3771" s="13"/>
    </row>
    <row r="3772" ht="14.25" customHeight="1">
      <c r="A3772" s="13" t="s">
        <v>29</v>
      </c>
      <c r="B3772" s="13" t="s">
        <v>34</v>
      </c>
      <c r="C3772" s="13" t="s">
        <v>704</v>
      </c>
      <c r="D3772" s="13" t="s">
        <v>187</v>
      </c>
      <c r="F3772" s="13"/>
      <c r="G3772" s="13" t="s">
        <v>111</v>
      </c>
      <c r="H3772" s="13" t="s">
        <v>75</v>
      </c>
      <c r="I3772" s="13"/>
      <c r="J3772" s="13"/>
      <c r="K3772" s="15"/>
      <c r="L3772" s="15"/>
      <c r="M3772" s="16">
        <v>0.0</v>
      </c>
      <c r="N3772" s="16">
        <v>0.0</v>
      </c>
      <c r="O3772" s="17"/>
      <c r="P3772" s="17"/>
      <c r="Q3772" s="13">
        <f t="shared" si="4041"/>
        <v>0</v>
      </c>
      <c r="R3772" s="13"/>
      <c r="S3772" s="13"/>
      <c r="T3772" s="13">
        <f t="shared" ref="T3772:Y3772" si="4054">IF(ISBLANK(K3772)=TRUE,0,1)</f>
        <v>0</v>
      </c>
      <c r="U3772" s="13">
        <f t="shared" si="4054"/>
        <v>0</v>
      </c>
      <c r="V3772" s="13">
        <f t="shared" si="4054"/>
        <v>1</v>
      </c>
      <c r="W3772" s="13">
        <f t="shared" si="4054"/>
        <v>1</v>
      </c>
      <c r="X3772" s="13">
        <f t="shared" si="4054"/>
        <v>0</v>
      </c>
      <c r="Y3772" s="13">
        <f t="shared" si="4054"/>
        <v>0</v>
      </c>
      <c r="Z3772" s="13">
        <f t="shared" si="3023"/>
        <v>0</v>
      </c>
      <c r="AA3772" s="13"/>
      <c r="AB3772" s="13"/>
      <c r="AC3772" s="13"/>
      <c r="AD3772" s="13"/>
      <c r="AE3772" s="13"/>
      <c r="AF3772" s="13"/>
      <c r="AG3772" s="13"/>
      <c r="AH3772" s="13"/>
      <c r="AI3772" s="13"/>
      <c r="AJ3772" s="13"/>
      <c r="AK3772" s="13"/>
      <c r="AL3772" s="13"/>
      <c r="AM3772" s="13"/>
      <c r="AN3772" s="13"/>
      <c r="AO3772" s="13"/>
      <c r="AP3772" s="13"/>
      <c r="AQ3772" s="13"/>
      <c r="AR3772" s="13"/>
      <c r="AS3772" s="13"/>
    </row>
    <row r="3773" ht="14.25" customHeight="1">
      <c r="A3773" s="13" t="s">
        <v>29</v>
      </c>
      <c r="B3773" s="13" t="s">
        <v>34</v>
      </c>
      <c r="C3773" s="13" t="s">
        <v>704</v>
      </c>
      <c r="D3773" s="13" t="s">
        <v>188</v>
      </c>
      <c r="F3773" s="13"/>
      <c r="G3773" s="13" t="s">
        <v>111</v>
      </c>
      <c r="H3773" s="13" t="s">
        <v>75</v>
      </c>
      <c r="I3773" s="13"/>
      <c r="J3773" s="13"/>
      <c r="K3773" s="15"/>
      <c r="L3773" s="15"/>
      <c r="M3773" s="16">
        <v>0.0</v>
      </c>
      <c r="N3773" s="16">
        <v>0.0</v>
      </c>
      <c r="O3773" s="17"/>
      <c r="P3773" s="17"/>
      <c r="Q3773" s="13">
        <f t="shared" si="4041"/>
        <v>0</v>
      </c>
      <c r="R3773" s="13"/>
      <c r="S3773" s="13"/>
      <c r="T3773" s="13">
        <f t="shared" ref="T3773:Y3773" si="4055">IF(ISBLANK(K3773)=TRUE,0,1)</f>
        <v>0</v>
      </c>
      <c r="U3773" s="13">
        <f t="shared" si="4055"/>
        <v>0</v>
      </c>
      <c r="V3773" s="13">
        <f t="shared" si="4055"/>
        <v>1</v>
      </c>
      <c r="W3773" s="13">
        <f t="shared" si="4055"/>
        <v>1</v>
      </c>
      <c r="X3773" s="13">
        <f t="shared" si="4055"/>
        <v>0</v>
      </c>
      <c r="Y3773" s="13">
        <f t="shared" si="4055"/>
        <v>0</v>
      </c>
      <c r="Z3773" s="13">
        <f t="shared" si="3023"/>
        <v>0</v>
      </c>
      <c r="AA3773" s="13"/>
      <c r="AB3773" s="13"/>
      <c r="AC3773" s="13"/>
      <c r="AD3773" s="13"/>
      <c r="AE3773" s="13"/>
      <c r="AF3773" s="13"/>
      <c r="AG3773" s="13"/>
      <c r="AH3773" s="13"/>
      <c r="AI3773" s="13"/>
      <c r="AJ3773" s="13"/>
      <c r="AK3773" s="13"/>
      <c r="AL3773" s="13"/>
      <c r="AM3773" s="13"/>
      <c r="AN3773" s="13"/>
      <c r="AO3773" s="13"/>
      <c r="AP3773" s="13"/>
      <c r="AQ3773" s="13"/>
      <c r="AR3773" s="13"/>
      <c r="AS3773" s="13"/>
    </row>
    <row r="3774" ht="14.25" customHeight="1">
      <c r="A3774" s="13" t="s">
        <v>29</v>
      </c>
      <c r="B3774" s="13" t="s">
        <v>34</v>
      </c>
      <c r="C3774" s="13" t="s">
        <v>704</v>
      </c>
      <c r="D3774" s="13" t="s">
        <v>189</v>
      </c>
      <c r="F3774" s="13"/>
      <c r="G3774" s="13" t="s">
        <v>111</v>
      </c>
      <c r="H3774" s="13" t="s">
        <v>75</v>
      </c>
      <c r="I3774" s="13"/>
      <c r="J3774" s="13"/>
      <c r="K3774" s="15"/>
      <c r="L3774" s="15"/>
      <c r="M3774" s="16">
        <v>0.0</v>
      </c>
      <c r="N3774" s="16">
        <v>0.0</v>
      </c>
      <c r="O3774" s="17"/>
      <c r="P3774" s="17"/>
      <c r="Q3774" s="13">
        <f t="shared" si="4041"/>
        <v>0</v>
      </c>
      <c r="R3774" s="13"/>
      <c r="S3774" s="13"/>
      <c r="T3774" s="13">
        <f t="shared" ref="T3774:Y3774" si="4056">IF(ISBLANK(K3774)=TRUE,0,1)</f>
        <v>0</v>
      </c>
      <c r="U3774" s="13">
        <f t="shared" si="4056"/>
        <v>0</v>
      </c>
      <c r="V3774" s="13">
        <f t="shared" si="4056"/>
        <v>1</v>
      </c>
      <c r="W3774" s="13">
        <f t="shared" si="4056"/>
        <v>1</v>
      </c>
      <c r="X3774" s="13">
        <f t="shared" si="4056"/>
        <v>0</v>
      </c>
      <c r="Y3774" s="13">
        <f t="shared" si="4056"/>
        <v>0</v>
      </c>
      <c r="Z3774" s="13">
        <f t="shared" si="3023"/>
        <v>0</v>
      </c>
      <c r="AA3774" s="13"/>
      <c r="AB3774" s="13"/>
      <c r="AC3774" s="13"/>
      <c r="AD3774" s="13"/>
      <c r="AE3774" s="13"/>
      <c r="AF3774" s="13"/>
      <c r="AG3774" s="13"/>
      <c r="AH3774" s="13"/>
      <c r="AI3774" s="13"/>
      <c r="AJ3774" s="13"/>
      <c r="AK3774" s="13"/>
      <c r="AL3774" s="13"/>
      <c r="AM3774" s="13"/>
      <c r="AN3774" s="13"/>
      <c r="AO3774" s="13"/>
      <c r="AP3774" s="13"/>
      <c r="AQ3774" s="13"/>
      <c r="AR3774" s="13"/>
      <c r="AS3774" s="13"/>
    </row>
    <row r="3775" ht="14.25" customHeight="1">
      <c r="A3775" s="13" t="s">
        <v>29</v>
      </c>
      <c r="B3775" s="13" t="s">
        <v>34</v>
      </c>
      <c r="C3775" s="13" t="s">
        <v>704</v>
      </c>
      <c r="D3775" s="13" t="s">
        <v>190</v>
      </c>
      <c r="F3775" s="13"/>
      <c r="G3775" s="13" t="s">
        <v>111</v>
      </c>
      <c r="H3775" s="13" t="s">
        <v>75</v>
      </c>
      <c r="I3775" s="13"/>
      <c r="J3775" s="13"/>
      <c r="K3775" s="15"/>
      <c r="L3775" s="15"/>
      <c r="M3775" s="16">
        <v>0.0</v>
      </c>
      <c r="N3775" s="16">
        <v>0.0</v>
      </c>
      <c r="O3775" s="17"/>
      <c r="P3775" s="17"/>
      <c r="Q3775" s="13">
        <f t="shared" si="4041"/>
        <v>0</v>
      </c>
      <c r="R3775" s="13"/>
      <c r="S3775" s="13"/>
      <c r="T3775" s="13">
        <f t="shared" ref="T3775:Y3775" si="4057">IF(ISBLANK(K3775)=TRUE,0,1)</f>
        <v>0</v>
      </c>
      <c r="U3775" s="13">
        <f t="shared" si="4057"/>
        <v>0</v>
      </c>
      <c r="V3775" s="13">
        <f t="shared" si="4057"/>
        <v>1</v>
      </c>
      <c r="W3775" s="13">
        <f t="shared" si="4057"/>
        <v>1</v>
      </c>
      <c r="X3775" s="13">
        <f t="shared" si="4057"/>
        <v>0</v>
      </c>
      <c r="Y3775" s="13">
        <f t="shared" si="4057"/>
        <v>0</v>
      </c>
      <c r="Z3775" s="13">
        <f t="shared" si="3023"/>
        <v>0</v>
      </c>
      <c r="AA3775" s="13"/>
      <c r="AB3775" s="13"/>
      <c r="AC3775" s="13"/>
      <c r="AD3775" s="13"/>
      <c r="AE3775" s="13"/>
      <c r="AF3775" s="13"/>
      <c r="AG3775" s="13"/>
      <c r="AH3775" s="13"/>
      <c r="AI3775" s="13"/>
      <c r="AJ3775" s="13"/>
      <c r="AK3775" s="13"/>
      <c r="AL3775" s="13"/>
      <c r="AM3775" s="13"/>
      <c r="AN3775" s="13"/>
      <c r="AO3775" s="13"/>
      <c r="AP3775" s="13"/>
      <c r="AQ3775" s="13"/>
      <c r="AR3775" s="13"/>
      <c r="AS3775" s="13"/>
    </row>
    <row r="3776" ht="14.25" customHeight="1">
      <c r="A3776" s="13" t="s">
        <v>29</v>
      </c>
      <c r="B3776" s="13" t="s">
        <v>34</v>
      </c>
      <c r="C3776" s="13" t="s">
        <v>704</v>
      </c>
      <c r="D3776" s="13" t="s">
        <v>191</v>
      </c>
      <c r="F3776" s="13"/>
      <c r="G3776" s="13" t="s">
        <v>111</v>
      </c>
      <c r="H3776" s="13" t="s">
        <v>75</v>
      </c>
      <c r="I3776" s="13"/>
      <c r="J3776" s="13"/>
      <c r="K3776" s="15"/>
      <c r="L3776" s="15"/>
      <c r="M3776" s="16">
        <v>0.0</v>
      </c>
      <c r="N3776" s="16">
        <v>0.0</v>
      </c>
      <c r="O3776" s="17"/>
      <c r="P3776" s="17"/>
      <c r="Q3776" s="13">
        <f t="shared" si="4041"/>
        <v>0</v>
      </c>
      <c r="R3776" s="13"/>
      <c r="S3776" s="13"/>
      <c r="T3776" s="13">
        <f t="shared" ref="T3776:Y3776" si="4058">IF(ISBLANK(K3776)=TRUE,0,1)</f>
        <v>0</v>
      </c>
      <c r="U3776" s="13">
        <f t="shared" si="4058"/>
        <v>0</v>
      </c>
      <c r="V3776" s="13">
        <f t="shared" si="4058"/>
        <v>1</v>
      </c>
      <c r="W3776" s="13">
        <f t="shared" si="4058"/>
        <v>1</v>
      </c>
      <c r="X3776" s="13">
        <f t="shared" si="4058"/>
        <v>0</v>
      </c>
      <c r="Y3776" s="13">
        <f t="shared" si="4058"/>
        <v>0</v>
      </c>
      <c r="Z3776" s="13">
        <f t="shared" si="3023"/>
        <v>0</v>
      </c>
      <c r="AA3776" s="13"/>
      <c r="AB3776" s="13"/>
      <c r="AC3776" s="13"/>
      <c r="AD3776" s="13"/>
      <c r="AE3776" s="13"/>
      <c r="AF3776" s="13"/>
      <c r="AG3776" s="13"/>
      <c r="AH3776" s="13"/>
      <c r="AI3776" s="13"/>
      <c r="AJ3776" s="13"/>
      <c r="AK3776" s="13"/>
      <c r="AL3776" s="13"/>
      <c r="AM3776" s="13"/>
      <c r="AN3776" s="13"/>
      <c r="AO3776" s="13"/>
      <c r="AP3776" s="13"/>
      <c r="AQ3776" s="13"/>
      <c r="AR3776" s="13"/>
      <c r="AS3776" s="13"/>
    </row>
    <row r="3777" ht="14.25" customHeight="1">
      <c r="A3777" s="13" t="s">
        <v>29</v>
      </c>
      <c r="B3777" s="13" t="s">
        <v>34</v>
      </c>
      <c r="C3777" s="13" t="s">
        <v>704</v>
      </c>
      <c r="D3777" s="13" t="s">
        <v>192</v>
      </c>
      <c r="F3777" s="13"/>
      <c r="G3777" s="13" t="s">
        <v>111</v>
      </c>
      <c r="H3777" s="13" t="s">
        <v>75</v>
      </c>
      <c r="I3777" s="13"/>
      <c r="J3777" s="13"/>
      <c r="K3777" s="15"/>
      <c r="L3777" s="15"/>
      <c r="M3777" s="16">
        <v>0.0</v>
      </c>
      <c r="N3777" s="16">
        <v>0.0</v>
      </c>
      <c r="O3777" s="17"/>
      <c r="P3777" s="17"/>
      <c r="Q3777" s="13">
        <f t="shared" si="4041"/>
        <v>0</v>
      </c>
      <c r="R3777" s="13"/>
      <c r="S3777" s="13"/>
      <c r="T3777" s="13">
        <f t="shared" ref="T3777:Y3777" si="4059">IF(ISBLANK(K3777)=TRUE,0,1)</f>
        <v>0</v>
      </c>
      <c r="U3777" s="13">
        <f t="shared" si="4059"/>
        <v>0</v>
      </c>
      <c r="V3777" s="13">
        <f t="shared" si="4059"/>
        <v>1</v>
      </c>
      <c r="W3777" s="13">
        <f t="shared" si="4059"/>
        <v>1</v>
      </c>
      <c r="X3777" s="13">
        <f t="shared" si="4059"/>
        <v>0</v>
      </c>
      <c r="Y3777" s="13">
        <f t="shared" si="4059"/>
        <v>0</v>
      </c>
      <c r="Z3777" s="13">
        <f t="shared" si="3023"/>
        <v>0</v>
      </c>
      <c r="AA3777" s="13"/>
      <c r="AB3777" s="13"/>
      <c r="AC3777" s="13"/>
      <c r="AD3777" s="13"/>
      <c r="AE3777" s="13"/>
      <c r="AF3777" s="13"/>
      <c r="AG3777" s="13"/>
      <c r="AH3777" s="13"/>
      <c r="AI3777" s="13"/>
      <c r="AJ3777" s="13"/>
      <c r="AK3777" s="13"/>
      <c r="AL3777" s="13"/>
      <c r="AM3777" s="13"/>
      <c r="AN3777" s="13"/>
      <c r="AO3777" s="13"/>
      <c r="AP3777" s="13"/>
      <c r="AQ3777" s="13"/>
      <c r="AR3777" s="13"/>
      <c r="AS3777" s="13"/>
    </row>
    <row r="3778" ht="14.25" customHeight="1">
      <c r="A3778" s="13" t="s">
        <v>29</v>
      </c>
      <c r="B3778" s="13" t="s">
        <v>34</v>
      </c>
      <c r="C3778" s="13" t="s">
        <v>704</v>
      </c>
      <c r="D3778" s="13" t="s">
        <v>193</v>
      </c>
      <c r="F3778" s="13"/>
      <c r="G3778" s="13" t="s">
        <v>111</v>
      </c>
      <c r="H3778" s="13" t="s">
        <v>75</v>
      </c>
      <c r="I3778" s="13"/>
      <c r="J3778" s="13"/>
      <c r="K3778" s="15"/>
      <c r="L3778" s="15"/>
      <c r="M3778" s="16">
        <v>0.0</v>
      </c>
      <c r="N3778" s="16">
        <v>0.0</v>
      </c>
      <c r="O3778" s="17"/>
      <c r="P3778" s="17"/>
      <c r="Q3778" s="13">
        <f t="shared" si="4041"/>
        <v>0</v>
      </c>
      <c r="R3778" s="13"/>
      <c r="S3778" s="13"/>
      <c r="T3778" s="13">
        <f t="shared" ref="T3778:Y3778" si="4060">IF(ISBLANK(K3778)=TRUE,0,1)</f>
        <v>0</v>
      </c>
      <c r="U3778" s="13">
        <f t="shared" si="4060"/>
        <v>0</v>
      </c>
      <c r="V3778" s="13">
        <f t="shared" si="4060"/>
        <v>1</v>
      </c>
      <c r="W3778" s="13">
        <f t="shared" si="4060"/>
        <v>1</v>
      </c>
      <c r="X3778" s="13">
        <f t="shared" si="4060"/>
        <v>0</v>
      </c>
      <c r="Y3778" s="13">
        <f t="shared" si="4060"/>
        <v>0</v>
      </c>
      <c r="Z3778" s="13">
        <f t="shared" si="3023"/>
        <v>0</v>
      </c>
      <c r="AA3778" s="13"/>
      <c r="AB3778" s="13"/>
      <c r="AC3778" s="13"/>
      <c r="AD3778" s="13"/>
      <c r="AE3778" s="13"/>
      <c r="AF3778" s="13"/>
      <c r="AG3778" s="13"/>
      <c r="AH3778" s="13"/>
      <c r="AI3778" s="13"/>
      <c r="AJ3778" s="13"/>
      <c r="AK3778" s="13"/>
      <c r="AL3778" s="13"/>
      <c r="AM3778" s="13"/>
      <c r="AN3778" s="13"/>
      <c r="AO3778" s="13"/>
      <c r="AP3778" s="13"/>
      <c r="AQ3778" s="13"/>
      <c r="AR3778" s="13"/>
      <c r="AS3778" s="13"/>
    </row>
    <row r="3779" ht="14.25" customHeight="1">
      <c r="A3779" s="13" t="s">
        <v>29</v>
      </c>
      <c r="B3779" s="13" t="s">
        <v>34</v>
      </c>
      <c r="C3779" s="13" t="s">
        <v>704</v>
      </c>
      <c r="D3779" s="13" t="s">
        <v>194</v>
      </c>
      <c r="F3779" s="13"/>
      <c r="G3779" s="13" t="s">
        <v>111</v>
      </c>
      <c r="H3779" s="13" t="s">
        <v>75</v>
      </c>
      <c r="I3779" s="13"/>
      <c r="J3779" s="13"/>
      <c r="K3779" s="15"/>
      <c r="L3779" s="15"/>
      <c r="M3779" s="16">
        <v>0.0</v>
      </c>
      <c r="N3779" s="16">
        <v>0.0</v>
      </c>
      <c r="O3779" s="17"/>
      <c r="P3779" s="17"/>
      <c r="Q3779" s="13">
        <f t="shared" si="4041"/>
        <v>0</v>
      </c>
      <c r="R3779" s="13"/>
      <c r="S3779" s="13"/>
      <c r="T3779" s="13">
        <f t="shared" ref="T3779:Y3779" si="4061">IF(ISBLANK(K3779)=TRUE,0,1)</f>
        <v>0</v>
      </c>
      <c r="U3779" s="13">
        <f t="shared" si="4061"/>
        <v>0</v>
      </c>
      <c r="V3779" s="13">
        <f t="shared" si="4061"/>
        <v>1</v>
      </c>
      <c r="W3779" s="13">
        <f t="shared" si="4061"/>
        <v>1</v>
      </c>
      <c r="X3779" s="13">
        <f t="shared" si="4061"/>
        <v>0</v>
      </c>
      <c r="Y3779" s="13">
        <f t="shared" si="4061"/>
        <v>0</v>
      </c>
      <c r="Z3779" s="13">
        <f t="shared" si="3023"/>
        <v>0</v>
      </c>
      <c r="AA3779" s="13"/>
      <c r="AB3779" s="13"/>
      <c r="AC3779" s="13"/>
      <c r="AD3779" s="13"/>
      <c r="AE3779" s="13"/>
      <c r="AF3779" s="13"/>
      <c r="AG3779" s="13"/>
      <c r="AH3779" s="13"/>
      <c r="AI3779" s="13"/>
      <c r="AJ3779" s="13"/>
      <c r="AK3779" s="13"/>
      <c r="AL3779" s="13"/>
      <c r="AM3779" s="13"/>
      <c r="AN3779" s="13"/>
      <c r="AO3779" s="13"/>
      <c r="AP3779" s="13"/>
      <c r="AQ3779" s="13"/>
      <c r="AR3779" s="13"/>
      <c r="AS3779" s="13"/>
    </row>
    <row r="3780" ht="14.25" customHeight="1">
      <c r="A3780" s="13" t="s">
        <v>29</v>
      </c>
      <c r="B3780" s="13" t="s">
        <v>34</v>
      </c>
      <c r="C3780" s="13" t="s">
        <v>704</v>
      </c>
      <c r="D3780" s="13" t="s">
        <v>195</v>
      </c>
      <c r="F3780" s="13"/>
      <c r="G3780" s="13" t="s">
        <v>111</v>
      </c>
      <c r="H3780" s="13" t="s">
        <v>75</v>
      </c>
      <c r="I3780" s="13"/>
      <c r="J3780" s="13"/>
      <c r="K3780" s="15"/>
      <c r="L3780" s="15"/>
      <c r="M3780" s="16">
        <v>0.0</v>
      </c>
      <c r="N3780" s="16">
        <v>0.0</v>
      </c>
      <c r="O3780" s="17"/>
      <c r="P3780" s="17"/>
      <c r="Q3780" s="13">
        <f t="shared" si="4041"/>
        <v>0</v>
      </c>
      <c r="R3780" s="13"/>
      <c r="S3780" s="13"/>
      <c r="T3780" s="13">
        <f t="shared" ref="T3780:Y3780" si="4062">IF(ISBLANK(K3780)=TRUE,0,1)</f>
        <v>0</v>
      </c>
      <c r="U3780" s="13">
        <f t="shared" si="4062"/>
        <v>0</v>
      </c>
      <c r="V3780" s="13">
        <f t="shared" si="4062"/>
        <v>1</v>
      </c>
      <c r="W3780" s="13">
        <f t="shared" si="4062"/>
        <v>1</v>
      </c>
      <c r="X3780" s="13">
        <f t="shared" si="4062"/>
        <v>0</v>
      </c>
      <c r="Y3780" s="13">
        <f t="shared" si="4062"/>
        <v>0</v>
      </c>
      <c r="Z3780" s="13">
        <f t="shared" si="3023"/>
        <v>0</v>
      </c>
      <c r="AA3780" s="13"/>
      <c r="AB3780" s="13"/>
      <c r="AC3780" s="13"/>
      <c r="AD3780" s="13"/>
      <c r="AE3780" s="13"/>
      <c r="AF3780" s="13"/>
      <c r="AG3780" s="13"/>
      <c r="AH3780" s="13"/>
      <c r="AI3780" s="13"/>
      <c r="AJ3780" s="13"/>
      <c r="AK3780" s="13"/>
      <c r="AL3780" s="13"/>
      <c r="AM3780" s="13"/>
      <c r="AN3780" s="13"/>
      <c r="AO3780" s="13"/>
      <c r="AP3780" s="13"/>
      <c r="AQ3780" s="13"/>
      <c r="AR3780" s="13"/>
      <c r="AS3780" s="13"/>
    </row>
    <row r="3781" ht="14.25" customHeight="1">
      <c r="A3781" s="13" t="s">
        <v>29</v>
      </c>
      <c r="B3781" s="13" t="s">
        <v>34</v>
      </c>
      <c r="C3781" s="13" t="s">
        <v>704</v>
      </c>
      <c r="D3781" s="13" t="s">
        <v>196</v>
      </c>
      <c r="F3781" s="13"/>
      <c r="G3781" s="13" t="s">
        <v>111</v>
      </c>
      <c r="H3781" s="13" t="s">
        <v>75</v>
      </c>
      <c r="I3781" s="13"/>
      <c r="J3781" s="13"/>
      <c r="K3781" s="15"/>
      <c r="L3781" s="15"/>
      <c r="M3781" s="16">
        <v>0.0</v>
      </c>
      <c r="N3781" s="16">
        <v>0.0</v>
      </c>
      <c r="O3781" s="17"/>
      <c r="P3781" s="17"/>
      <c r="Q3781" s="13">
        <f t="shared" si="4041"/>
        <v>0</v>
      </c>
      <c r="R3781" s="13"/>
      <c r="S3781" s="13"/>
      <c r="T3781" s="13">
        <f t="shared" ref="T3781:Y3781" si="4063">IF(ISBLANK(K3781)=TRUE,0,1)</f>
        <v>0</v>
      </c>
      <c r="U3781" s="13">
        <f t="shared" si="4063"/>
        <v>0</v>
      </c>
      <c r="V3781" s="13">
        <f t="shared" si="4063"/>
        <v>1</v>
      </c>
      <c r="W3781" s="13">
        <f t="shared" si="4063"/>
        <v>1</v>
      </c>
      <c r="X3781" s="13">
        <f t="shared" si="4063"/>
        <v>0</v>
      </c>
      <c r="Y3781" s="13">
        <f t="shared" si="4063"/>
        <v>0</v>
      </c>
      <c r="Z3781" s="13">
        <f t="shared" si="3023"/>
        <v>0</v>
      </c>
      <c r="AA3781" s="13"/>
      <c r="AB3781" s="13"/>
      <c r="AC3781" s="13"/>
      <c r="AD3781" s="13"/>
      <c r="AE3781" s="13"/>
      <c r="AF3781" s="13"/>
      <c r="AG3781" s="13"/>
      <c r="AH3781" s="13"/>
      <c r="AI3781" s="13"/>
      <c r="AJ3781" s="13"/>
      <c r="AK3781" s="13"/>
      <c r="AL3781" s="13"/>
      <c r="AM3781" s="13"/>
      <c r="AN3781" s="13"/>
      <c r="AO3781" s="13"/>
      <c r="AP3781" s="13"/>
      <c r="AQ3781" s="13"/>
      <c r="AR3781" s="13"/>
      <c r="AS3781" s="13"/>
    </row>
    <row r="3782" ht="14.25" customHeight="1">
      <c r="A3782" s="13" t="s">
        <v>29</v>
      </c>
      <c r="B3782" s="13" t="s">
        <v>34</v>
      </c>
      <c r="C3782" s="13" t="s">
        <v>704</v>
      </c>
      <c r="D3782" s="13" t="s">
        <v>197</v>
      </c>
      <c r="F3782" s="13"/>
      <c r="G3782" s="13" t="s">
        <v>111</v>
      </c>
      <c r="H3782" s="13" t="s">
        <v>75</v>
      </c>
      <c r="I3782" s="13"/>
      <c r="J3782" s="13"/>
      <c r="K3782" s="15"/>
      <c r="L3782" s="15"/>
      <c r="M3782" s="16">
        <v>0.0</v>
      </c>
      <c r="N3782" s="16">
        <v>0.0</v>
      </c>
      <c r="O3782" s="17"/>
      <c r="P3782" s="17"/>
      <c r="Q3782" s="13">
        <f t="shared" si="4041"/>
        <v>0</v>
      </c>
      <c r="R3782" s="13"/>
      <c r="S3782" s="13"/>
      <c r="T3782" s="13">
        <f t="shared" ref="T3782:Y3782" si="4064">IF(ISBLANK(K3782)=TRUE,0,1)</f>
        <v>0</v>
      </c>
      <c r="U3782" s="13">
        <f t="shared" si="4064"/>
        <v>0</v>
      </c>
      <c r="V3782" s="13">
        <f t="shared" si="4064"/>
        <v>1</v>
      </c>
      <c r="W3782" s="13">
        <f t="shared" si="4064"/>
        <v>1</v>
      </c>
      <c r="X3782" s="13">
        <f t="shared" si="4064"/>
        <v>0</v>
      </c>
      <c r="Y3782" s="13">
        <f t="shared" si="4064"/>
        <v>0</v>
      </c>
      <c r="Z3782" s="13">
        <f t="shared" si="3023"/>
        <v>0</v>
      </c>
      <c r="AA3782" s="13"/>
      <c r="AB3782" s="13"/>
      <c r="AC3782" s="13"/>
      <c r="AD3782" s="13"/>
      <c r="AE3782" s="13"/>
      <c r="AF3782" s="13"/>
      <c r="AG3782" s="13"/>
      <c r="AH3782" s="13"/>
      <c r="AI3782" s="13"/>
      <c r="AJ3782" s="13"/>
      <c r="AK3782" s="13"/>
      <c r="AL3782" s="13"/>
      <c r="AM3782" s="13"/>
      <c r="AN3782" s="13"/>
      <c r="AO3782" s="13"/>
      <c r="AP3782" s="13"/>
      <c r="AQ3782" s="13"/>
      <c r="AR3782" s="13"/>
      <c r="AS3782" s="13"/>
    </row>
    <row r="3783" ht="14.25" customHeight="1">
      <c r="A3783" s="13" t="s">
        <v>29</v>
      </c>
      <c r="B3783" s="13" t="s">
        <v>34</v>
      </c>
      <c r="C3783" s="13" t="s">
        <v>704</v>
      </c>
      <c r="D3783" s="13" t="s">
        <v>433</v>
      </c>
      <c r="F3783" s="13"/>
      <c r="G3783" s="13" t="s">
        <v>111</v>
      </c>
      <c r="H3783" s="13" t="s">
        <v>75</v>
      </c>
      <c r="I3783" s="13"/>
      <c r="J3783" s="13"/>
      <c r="K3783" s="15"/>
      <c r="L3783" s="15"/>
      <c r="M3783" s="16">
        <v>0.0</v>
      </c>
      <c r="N3783" s="16">
        <v>0.0</v>
      </c>
      <c r="O3783" s="17"/>
      <c r="P3783" s="17"/>
      <c r="Q3783" s="13">
        <f t="shared" si="4041"/>
        <v>0</v>
      </c>
      <c r="R3783" s="13"/>
      <c r="S3783" s="13"/>
      <c r="T3783" s="13">
        <f t="shared" ref="T3783:Y3783" si="4065">IF(ISBLANK(K3783)=TRUE,0,1)</f>
        <v>0</v>
      </c>
      <c r="U3783" s="13">
        <f t="shared" si="4065"/>
        <v>0</v>
      </c>
      <c r="V3783" s="13">
        <f t="shared" si="4065"/>
        <v>1</v>
      </c>
      <c r="W3783" s="13">
        <f t="shared" si="4065"/>
        <v>1</v>
      </c>
      <c r="X3783" s="13">
        <f t="shared" si="4065"/>
        <v>0</v>
      </c>
      <c r="Y3783" s="13">
        <f t="shared" si="4065"/>
        <v>0</v>
      </c>
      <c r="Z3783" s="13">
        <f t="shared" si="3023"/>
        <v>0</v>
      </c>
      <c r="AA3783" s="13"/>
      <c r="AB3783" s="13"/>
      <c r="AC3783" s="13"/>
      <c r="AD3783" s="13"/>
      <c r="AE3783" s="13"/>
      <c r="AF3783" s="13"/>
      <c r="AG3783" s="13"/>
      <c r="AH3783" s="13"/>
      <c r="AI3783" s="13"/>
      <c r="AJ3783" s="13"/>
      <c r="AK3783" s="13"/>
      <c r="AL3783" s="13"/>
      <c r="AM3783" s="13"/>
      <c r="AN3783" s="13"/>
      <c r="AO3783" s="13"/>
      <c r="AP3783" s="13"/>
      <c r="AQ3783" s="13"/>
      <c r="AR3783" s="13"/>
      <c r="AS3783" s="13"/>
    </row>
    <row r="3784" ht="14.25" customHeight="1">
      <c r="A3784" s="13" t="s">
        <v>29</v>
      </c>
      <c r="B3784" s="13" t="s">
        <v>34</v>
      </c>
      <c r="C3784" s="13" t="s">
        <v>704</v>
      </c>
      <c r="D3784" s="13" t="s">
        <v>434</v>
      </c>
      <c r="F3784" s="13"/>
      <c r="G3784" s="13" t="s">
        <v>111</v>
      </c>
      <c r="H3784" s="13" t="s">
        <v>75</v>
      </c>
      <c r="I3784" s="13"/>
      <c r="J3784" s="13"/>
      <c r="K3784" s="15"/>
      <c r="L3784" s="15"/>
      <c r="M3784" s="16">
        <v>0.0</v>
      </c>
      <c r="N3784" s="16">
        <v>0.0</v>
      </c>
      <c r="O3784" s="17"/>
      <c r="P3784" s="17"/>
      <c r="Q3784" s="13">
        <f t="shared" si="4041"/>
        <v>0</v>
      </c>
      <c r="R3784" s="13"/>
      <c r="S3784" s="13"/>
      <c r="T3784" s="13">
        <f t="shared" ref="T3784:Y3784" si="4066">IF(ISBLANK(K3784)=TRUE,0,1)</f>
        <v>0</v>
      </c>
      <c r="U3784" s="13">
        <f t="shared" si="4066"/>
        <v>0</v>
      </c>
      <c r="V3784" s="13">
        <f t="shared" si="4066"/>
        <v>1</v>
      </c>
      <c r="W3784" s="13">
        <f t="shared" si="4066"/>
        <v>1</v>
      </c>
      <c r="X3784" s="13">
        <f t="shared" si="4066"/>
        <v>0</v>
      </c>
      <c r="Y3784" s="13">
        <f t="shared" si="4066"/>
        <v>0</v>
      </c>
      <c r="Z3784" s="13">
        <f t="shared" si="3023"/>
        <v>0</v>
      </c>
      <c r="AA3784" s="13"/>
      <c r="AB3784" s="13"/>
      <c r="AC3784" s="13"/>
      <c r="AD3784" s="13"/>
      <c r="AE3784" s="13"/>
      <c r="AF3784" s="13"/>
      <c r="AG3784" s="13"/>
      <c r="AH3784" s="13"/>
      <c r="AI3784" s="13"/>
      <c r="AJ3784" s="13"/>
      <c r="AK3784" s="13"/>
      <c r="AL3784" s="13"/>
      <c r="AM3784" s="13"/>
      <c r="AN3784" s="13"/>
      <c r="AO3784" s="13"/>
      <c r="AP3784" s="13"/>
      <c r="AQ3784" s="13"/>
      <c r="AR3784" s="13"/>
      <c r="AS3784" s="13"/>
    </row>
    <row r="3785" ht="14.25" customHeight="1">
      <c r="A3785" s="13" t="s">
        <v>29</v>
      </c>
      <c r="B3785" s="13" t="s">
        <v>34</v>
      </c>
      <c r="C3785" s="13" t="s">
        <v>704</v>
      </c>
      <c r="D3785" s="13" t="s">
        <v>435</v>
      </c>
      <c r="F3785" s="13"/>
      <c r="G3785" s="13" t="s">
        <v>111</v>
      </c>
      <c r="H3785" s="13" t="s">
        <v>75</v>
      </c>
      <c r="I3785" s="13"/>
      <c r="J3785" s="13"/>
      <c r="K3785" s="15"/>
      <c r="L3785" s="15"/>
      <c r="M3785" s="16">
        <v>0.0</v>
      </c>
      <c r="N3785" s="16">
        <v>0.0</v>
      </c>
      <c r="O3785" s="17"/>
      <c r="P3785" s="17"/>
      <c r="Q3785" s="13">
        <f t="shared" si="4041"/>
        <v>0</v>
      </c>
      <c r="R3785" s="13"/>
      <c r="S3785" s="13"/>
      <c r="T3785" s="13">
        <f t="shared" ref="T3785:Y3785" si="4067">IF(ISBLANK(K3785)=TRUE,0,1)</f>
        <v>0</v>
      </c>
      <c r="U3785" s="13">
        <f t="shared" si="4067"/>
        <v>0</v>
      </c>
      <c r="V3785" s="13">
        <f t="shared" si="4067"/>
        <v>1</v>
      </c>
      <c r="W3785" s="13">
        <f t="shared" si="4067"/>
        <v>1</v>
      </c>
      <c r="X3785" s="13">
        <f t="shared" si="4067"/>
        <v>0</v>
      </c>
      <c r="Y3785" s="13">
        <f t="shared" si="4067"/>
        <v>0</v>
      </c>
      <c r="Z3785" s="13">
        <f t="shared" si="3023"/>
        <v>0</v>
      </c>
      <c r="AA3785" s="13"/>
      <c r="AB3785" s="13"/>
      <c r="AC3785" s="13"/>
      <c r="AD3785" s="13"/>
      <c r="AE3785" s="13"/>
      <c r="AF3785" s="13"/>
      <c r="AG3785" s="13"/>
      <c r="AH3785" s="13"/>
      <c r="AI3785" s="13"/>
      <c r="AJ3785" s="13"/>
      <c r="AK3785" s="13"/>
      <c r="AL3785" s="13"/>
      <c r="AM3785" s="13"/>
      <c r="AN3785" s="13"/>
      <c r="AO3785" s="13"/>
      <c r="AP3785" s="13"/>
      <c r="AQ3785" s="13"/>
      <c r="AR3785" s="13"/>
      <c r="AS3785" s="13"/>
    </row>
    <row r="3786" ht="14.25" customHeight="1">
      <c r="A3786" s="13" t="s">
        <v>29</v>
      </c>
      <c r="B3786" s="13" t="s">
        <v>34</v>
      </c>
      <c r="C3786" s="13" t="s">
        <v>704</v>
      </c>
      <c r="D3786" s="13" t="s">
        <v>436</v>
      </c>
      <c r="F3786" s="13"/>
      <c r="G3786" s="13" t="s">
        <v>111</v>
      </c>
      <c r="H3786" s="13" t="s">
        <v>107</v>
      </c>
      <c r="I3786" s="13"/>
      <c r="J3786" s="13"/>
      <c r="K3786" s="15"/>
      <c r="L3786" s="15"/>
      <c r="M3786" s="16">
        <v>0.0</v>
      </c>
      <c r="N3786" s="16">
        <v>0.0</v>
      </c>
      <c r="O3786" s="17"/>
      <c r="P3786" s="17"/>
      <c r="Q3786" s="13">
        <f t="shared" si="4041"/>
        <v>0</v>
      </c>
      <c r="R3786" s="13"/>
      <c r="S3786" s="13"/>
      <c r="T3786" s="13">
        <f t="shared" ref="T3786:Y3786" si="4068">IF(ISBLANK(K3786)=TRUE,0,1)</f>
        <v>0</v>
      </c>
      <c r="U3786" s="13">
        <f t="shared" si="4068"/>
        <v>0</v>
      </c>
      <c r="V3786" s="13">
        <f t="shared" si="4068"/>
        <v>1</v>
      </c>
      <c r="W3786" s="13">
        <f t="shared" si="4068"/>
        <v>1</v>
      </c>
      <c r="X3786" s="13">
        <f t="shared" si="4068"/>
        <v>0</v>
      </c>
      <c r="Y3786" s="13">
        <f t="shared" si="4068"/>
        <v>0</v>
      </c>
      <c r="Z3786" s="13">
        <f t="shared" si="3023"/>
        <v>0</v>
      </c>
      <c r="AA3786" s="13"/>
      <c r="AB3786" s="13"/>
      <c r="AC3786" s="13"/>
      <c r="AD3786" s="13"/>
      <c r="AE3786" s="13"/>
      <c r="AF3786" s="13"/>
      <c r="AG3786" s="13"/>
      <c r="AH3786" s="13"/>
      <c r="AI3786" s="13"/>
      <c r="AJ3786" s="13"/>
      <c r="AK3786" s="13"/>
      <c r="AL3786" s="13"/>
      <c r="AM3786" s="13"/>
      <c r="AN3786" s="13"/>
      <c r="AO3786" s="13"/>
      <c r="AP3786" s="13"/>
      <c r="AQ3786" s="13"/>
      <c r="AR3786" s="13"/>
      <c r="AS3786" s="13"/>
    </row>
    <row r="3787" ht="14.25" customHeight="1">
      <c r="A3787" s="13" t="s">
        <v>29</v>
      </c>
      <c r="B3787" s="13" t="s">
        <v>34</v>
      </c>
      <c r="C3787" s="13" t="s">
        <v>704</v>
      </c>
      <c r="D3787" s="13" t="s">
        <v>437</v>
      </c>
      <c r="F3787" s="13"/>
      <c r="G3787" s="13" t="s">
        <v>111</v>
      </c>
      <c r="H3787" s="13" t="s">
        <v>75</v>
      </c>
      <c r="I3787" s="13"/>
      <c r="J3787" s="13"/>
      <c r="K3787" s="15"/>
      <c r="L3787" s="15"/>
      <c r="M3787" s="16">
        <v>0.0</v>
      </c>
      <c r="N3787" s="16">
        <v>0.0</v>
      </c>
      <c r="O3787" s="17"/>
      <c r="P3787" s="17"/>
      <c r="Q3787" s="13">
        <f t="shared" si="4041"/>
        <v>0</v>
      </c>
      <c r="R3787" s="13"/>
      <c r="S3787" s="13"/>
      <c r="T3787" s="13">
        <f t="shared" ref="T3787:Y3787" si="4069">IF(ISBLANK(K3787)=TRUE,0,1)</f>
        <v>0</v>
      </c>
      <c r="U3787" s="13">
        <f t="shared" si="4069"/>
        <v>0</v>
      </c>
      <c r="V3787" s="13">
        <f t="shared" si="4069"/>
        <v>1</v>
      </c>
      <c r="W3787" s="13">
        <f t="shared" si="4069"/>
        <v>1</v>
      </c>
      <c r="X3787" s="13">
        <f t="shared" si="4069"/>
        <v>0</v>
      </c>
      <c r="Y3787" s="13">
        <f t="shared" si="4069"/>
        <v>0</v>
      </c>
      <c r="Z3787" s="13">
        <f t="shared" si="3023"/>
        <v>0</v>
      </c>
      <c r="AA3787" s="13"/>
      <c r="AB3787" s="13"/>
      <c r="AC3787" s="13"/>
      <c r="AD3787" s="13"/>
      <c r="AE3787" s="13"/>
      <c r="AF3787" s="13"/>
      <c r="AG3787" s="13"/>
      <c r="AH3787" s="13"/>
      <c r="AI3787" s="13"/>
      <c r="AJ3787" s="13"/>
      <c r="AK3787" s="13"/>
      <c r="AL3787" s="13"/>
      <c r="AM3787" s="13"/>
      <c r="AN3787" s="13"/>
      <c r="AO3787" s="13"/>
      <c r="AP3787" s="13"/>
      <c r="AQ3787" s="13"/>
      <c r="AR3787" s="13"/>
      <c r="AS3787" s="13"/>
    </row>
    <row r="3788" ht="14.25" customHeight="1">
      <c r="A3788" s="13" t="s">
        <v>29</v>
      </c>
      <c r="B3788" s="13" t="s">
        <v>34</v>
      </c>
      <c r="C3788" s="13" t="s">
        <v>704</v>
      </c>
      <c r="D3788" s="13" t="s">
        <v>440</v>
      </c>
      <c r="F3788" s="13"/>
      <c r="G3788" s="13" t="s">
        <v>111</v>
      </c>
      <c r="H3788" s="13" t="s">
        <v>75</v>
      </c>
      <c r="I3788" s="13"/>
      <c r="J3788" s="13"/>
      <c r="K3788" s="15"/>
      <c r="L3788" s="15"/>
      <c r="M3788" s="16">
        <v>0.0</v>
      </c>
      <c r="N3788" s="16">
        <v>0.0</v>
      </c>
      <c r="O3788" s="17"/>
      <c r="P3788" s="17"/>
      <c r="Q3788" s="13">
        <f t="shared" si="4041"/>
        <v>0</v>
      </c>
      <c r="R3788" s="13"/>
      <c r="S3788" s="13"/>
      <c r="T3788" s="13">
        <f t="shared" ref="T3788:Y3788" si="4070">IF(ISBLANK(K3788)=TRUE,0,1)</f>
        <v>0</v>
      </c>
      <c r="U3788" s="13">
        <f t="shared" si="4070"/>
        <v>0</v>
      </c>
      <c r="V3788" s="13">
        <f t="shared" si="4070"/>
        <v>1</v>
      </c>
      <c r="W3788" s="13">
        <f t="shared" si="4070"/>
        <v>1</v>
      </c>
      <c r="X3788" s="13">
        <f t="shared" si="4070"/>
        <v>0</v>
      </c>
      <c r="Y3788" s="13">
        <f t="shared" si="4070"/>
        <v>0</v>
      </c>
      <c r="Z3788" s="13">
        <f t="shared" si="3023"/>
        <v>0</v>
      </c>
      <c r="AA3788" s="13"/>
      <c r="AB3788" s="13"/>
      <c r="AC3788" s="13"/>
      <c r="AD3788" s="13"/>
      <c r="AE3788" s="13"/>
      <c r="AF3788" s="13"/>
      <c r="AG3788" s="13"/>
      <c r="AH3788" s="13"/>
      <c r="AI3788" s="13"/>
      <c r="AJ3788" s="13"/>
      <c r="AK3788" s="13"/>
      <c r="AL3788" s="13"/>
      <c r="AM3788" s="13"/>
      <c r="AN3788" s="13"/>
      <c r="AO3788" s="13"/>
      <c r="AP3788" s="13"/>
      <c r="AQ3788" s="13"/>
      <c r="AR3788" s="13"/>
      <c r="AS3788" s="13"/>
    </row>
    <row r="3789" ht="14.25" customHeight="1">
      <c r="A3789" s="13" t="s">
        <v>29</v>
      </c>
      <c r="B3789" s="13" t="s">
        <v>34</v>
      </c>
      <c r="C3789" s="13" t="s">
        <v>704</v>
      </c>
      <c r="D3789" s="13" t="s">
        <v>441</v>
      </c>
      <c r="F3789" s="13"/>
      <c r="G3789" s="13" t="s">
        <v>111</v>
      </c>
      <c r="H3789" s="13" t="s">
        <v>75</v>
      </c>
      <c r="I3789" s="13"/>
      <c r="J3789" s="13"/>
      <c r="K3789" s="15"/>
      <c r="L3789" s="15"/>
      <c r="M3789" s="16">
        <v>0.0</v>
      </c>
      <c r="N3789" s="16">
        <v>0.0</v>
      </c>
      <c r="O3789" s="17"/>
      <c r="P3789" s="17"/>
      <c r="Q3789" s="13">
        <f t="shared" si="4041"/>
        <v>0</v>
      </c>
      <c r="R3789" s="13"/>
      <c r="S3789" s="13"/>
      <c r="T3789" s="13">
        <f t="shared" ref="T3789:Y3789" si="4071">IF(ISBLANK(K3789)=TRUE,0,1)</f>
        <v>0</v>
      </c>
      <c r="U3789" s="13">
        <f t="shared" si="4071"/>
        <v>0</v>
      </c>
      <c r="V3789" s="13">
        <f t="shared" si="4071"/>
        <v>1</v>
      </c>
      <c r="W3789" s="13">
        <f t="shared" si="4071"/>
        <v>1</v>
      </c>
      <c r="X3789" s="13">
        <f t="shared" si="4071"/>
        <v>0</v>
      </c>
      <c r="Y3789" s="13">
        <f t="shared" si="4071"/>
        <v>0</v>
      </c>
      <c r="Z3789" s="13">
        <f t="shared" si="3023"/>
        <v>0</v>
      </c>
      <c r="AA3789" s="13"/>
      <c r="AB3789" s="13"/>
      <c r="AC3789" s="13"/>
      <c r="AD3789" s="13"/>
      <c r="AE3789" s="13"/>
      <c r="AF3789" s="13"/>
      <c r="AG3789" s="13"/>
      <c r="AH3789" s="13"/>
      <c r="AI3789" s="13"/>
      <c r="AJ3789" s="13"/>
      <c r="AK3789" s="13"/>
      <c r="AL3789" s="13"/>
      <c r="AM3789" s="13"/>
      <c r="AN3789" s="13"/>
      <c r="AO3789" s="13"/>
      <c r="AP3789" s="13"/>
      <c r="AQ3789" s="13"/>
      <c r="AR3789" s="13"/>
      <c r="AS3789" s="13"/>
    </row>
    <row r="3790" ht="14.25" customHeight="1">
      <c r="A3790" s="13" t="s">
        <v>29</v>
      </c>
      <c r="B3790" s="13" t="s">
        <v>34</v>
      </c>
      <c r="C3790" s="13" t="s">
        <v>704</v>
      </c>
      <c r="D3790" s="13" t="s">
        <v>551</v>
      </c>
      <c r="F3790" s="13"/>
      <c r="G3790" s="13" t="s">
        <v>111</v>
      </c>
      <c r="H3790" s="13" t="s">
        <v>75</v>
      </c>
      <c r="I3790" s="13"/>
      <c r="J3790" s="13"/>
      <c r="K3790" s="15"/>
      <c r="L3790" s="15"/>
      <c r="M3790" s="16">
        <v>0.0</v>
      </c>
      <c r="N3790" s="16">
        <v>0.0</v>
      </c>
      <c r="O3790" s="17"/>
      <c r="P3790" s="17"/>
      <c r="Q3790" s="13">
        <f t="shared" si="4041"/>
        <v>0</v>
      </c>
      <c r="R3790" s="13"/>
      <c r="S3790" s="13"/>
      <c r="T3790" s="13">
        <f t="shared" ref="T3790:Y3790" si="4072">IF(ISBLANK(K3790)=TRUE,0,1)</f>
        <v>0</v>
      </c>
      <c r="U3790" s="13">
        <f t="shared" si="4072"/>
        <v>0</v>
      </c>
      <c r="V3790" s="13">
        <f t="shared" si="4072"/>
        <v>1</v>
      </c>
      <c r="W3790" s="13">
        <f t="shared" si="4072"/>
        <v>1</v>
      </c>
      <c r="X3790" s="13">
        <f t="shared" si="4072"/>
        <v>0</v>
      </c>
      <c r="Y3790" s="13">
        <f t="shared" si="4072"/>
        <v>0</v>
      </c>
      <c r="Z3790" s="13">
        <f t="shared" si="3023"/>
        <v>0</v>
      </c>
      <c r="AA3790" s="13"/>
      <c r="AB3790" s="13"/>
      <c r="AC3790" s="13"/>
      <c r="AD3790" s="13"/>
      <c r="AE3790" s="13"/>
      <c r="AF3790" s="13"/>
      <c r="AG3790" s="13"/>
      <c r="AH3790" s="13"/>
      <c r="AI3790" s="13"/>
      <c r="AJ3790" s="13"/>
      <c r="AK3790" s="13"/>
      <c r="AL3790" s="13"/>
      <c r="AM3790" s="13"/>
      <c r="AN3790" s="13"/>
      <c r="AO3790" s="13"/>
      <c r="AP3790" s="13"/>
      <c r="AQ3790" s="13"/>
      <c r="AR3790" s="13"/>
      <c r="AS3790" s="13"/>
    </row>
    <row r="3791" ht="14.25" customHeight="1">
      <c r="A3791" s="13" t="s">
        <v>29</v>
      </c>
      <c r="B3791" s="13" t="s">
        <v>34</v>
      </c>
      <c r="C3791" s="13" t="s">
        <v>704</v>
      </c>
      <c r="D3791" s="13" t="s">
        <v>553</v>
      </c>
      <c r="F3791" s="13"/>
      <c r="G3791" s="13" t="s">
        <v>111</v>
      </c>
      <c r="H3791" s="13" t="s">
        <v>75</v>
      </c>
      <c r="I3791" s="13"/>
      <c r="J3791" s="13"/>
      <c r="K3791" s="15"/>
      <c r="L3791" s="15"/>
      <c r="M3791" s="16">
        <v>0.0</v>
      </c>
      <c r="N3791" s="16">
        <v>0.0</v>
      </c>
      <c r="O3791" s="17"/>
      <c r="P3791" s="17"/>
      <c r="Q3791" s="13">
        <f t="shared" si="4041"/>
        <v>0</v>
      </c>
      <c r="R3791" s="13"/>
      <c r="S3791" s="13"/>
      <c r="T3791" s="13">
        <f t="shared" ref="T3791:Y3791" si="4073">IF(ISBLANK(K3791)=TRUE,0,1)</f>
        <v>0</v>
      </c>
      <c r="U3791" s="13">
        <f t="shared" si="4073"/>
        <v>0</v>
      </c>
      <c r="V3791" s="13">
        <f t="shared" si="4073"/>
        <v>1</v>
      </c>
      <c r="W3791" s="13">
        <f t="shared" si="4073"/>
        <v>1</v>
      </c>
      <c r="X3791" s="13">
        <f t="shared" si="4073"/>
        <v>0</v>
      </c>
      <c r="Y3791" s="13">
        <f t="shared" si="4073"/>
        <v>0</v>
      </c>
      <c r="Z3791" s="13">
        <f t="shared" si="3023"/>
        <v>0</v>
      </c>
      <c r="AA3791" s="13"/>
      <c r="AB3791" s="13"/>
      <c r="AC3791" s="13"/>
      <c r="AD3791" s="13"/>
      <c r="AE3791" s="13"/>
      <c r="AF3791" s="13"/>
      <c r="AG3791" s="13"/>
      <c r="AH3791" s="13"/>
      <c r="AI3791" s="13"/>
      <c r="AJ3791" s="13"/>
      <c r="AK3791" s="13"/>
      <c r="AL3791" s="13"/>
      <c r="AM3791" s="13"/>
      <c r="AN3791" s="13"/>
      <c r="AO3791" s="13"/>
      <c r="AP3791" s="13"/>
      <c r="AQ3791" s="13"/>
      <c r="AR3791" s="13"/>
      <c r="AS3791" s="13"/>
    </row>
    <row r="3792" ht="14.25" customHeight="1">
      <c r="A3792" s="13" t="s">
        <v>29</v>
      </c>
      <c r="B3792" s="13" t="s">
        <v>34</v>
      </c>
      <c r="C3792" s="13" t="s">
        <v>704</v>
      </c>
      <c r="D3792" s="13" t="s">
        <v>554</v>
      </c>
      <c r="F3792" s="13"/>
      <c r="G3792" s="13" t="s">
        <v>111</v>
      </c>
      <c r="H3792" s="13" t="s">
        <v>75</v>
      </c>
      <c r="I3792" s="13"/>
      <c r="J3792" s="13"/>
      <c r="K3792" s="15"/>
      <c r="L3792" s="15"/>
      <c r="M3792" s="16">
        <v>0.0</v>
      </c>
      <c r="N3792" s="16">
        <v>0.0</v>
      </c>
      <c r="O3792" s="17"/>
      <c r="P3792" s="17"/>
      <c r="Q3792" s="13">
        <f t="shared" si="4041"/>
        <v>0</v>
      </c>
      <c r="R3792" s="13"/>
      <c r="S3792" s="13"/>
      <c r="T3792" s="13">
        <f t="shared" ref="T3792:Y3792" si="4074">IF(ISBLANK(K3792)=TRUE,0,1)</f>
        <v>0</v>
      </c>
      <c r="U3792" s="13">
        <f t="shared" si="4074"/>
        <v>0</v>
      </c>
      <c r="V3792" s="13">
        <f t="shared" si="4074"/>
        <v>1</v>
      </c>
      <c r="W3792" s="13">
        <f t="shared" si="4074"/>
        <v>1</v>
      </c>
      <c r="X3792" s="13">
        <f t="shared" si="4074"/>
        <v>0</v>
      </c>
      <c r="Y3792" s="13">
        <f t="shared" si="4074"/>
        <v>0</v>
      </c>
      <c r="Z3792" s="13">
        <f t="shared" si="3023"/>
        <v>0</v>
      </c>
      <c r="AA3792" s="13"/>
      <c r="AB3792" s="13"/>
      <c r="AC3792" s="13"/>
      <c r="AD3792" s="13"/>
      <c r="AE3792" s="13"/>
      <c r="AF3792" s="13"/>
      <c r="AG3792" s="13"/>
      <c r="AH3792" s="13"/>
      <c r="AI3792" s="13"/>
      <c r="AJ3792" s="13"/>
      <c r="AK3792" s="13"/>
      <c r="AL3792" s="13"/>
      <c r="AM3792" s="13"/>
      <c r="AN3792" s="13"/>
      <c r="AO3792" s="13"/>
      <c r="AP3792" s="13"/>
      <c r="AQ3792" s="13"/>
      <c r="AR3792" s="13"/>
      <c r="AS3792" s="13"/>
    </row>
    <row r="3793" ht="14.25" customHeight="1">
      <c r="A3793" s="13" t="s">
        <v>29</v>
      </c>
      <c r="B3793" s="13" t="s">
        <v>34</v>
      </c>
      <c r="C3793" s="13" t="s">
        <v>704</v>
      </c>
      <c r="D3793" s="13" t="s">
        <v>555</v>
      </c>
      <c r="F3793" s="13"/>
      <c r="G3793" s="13" t="s">
        <v>111</v>
      </c>
      <c r="H3793" s="13" t="s">
        <v>107</v>
      </c>
      <c r="I3793" s="13"/>
      <c r="J3793" s="13"/>
      <c r="K3793" s="15"/>
      <c r="L3793" s="15"/>
      <c r="M3793" s="16">
        <v>0.0</v>
      </c>
      <c r="N3793" s="16">
        <v>0.0</v>
      </c>
      <c r="O3793" s="17"/>
      <c r="P3793" s="17"/>
      <c r="Q3793" s="13">
        <f t="shared" si="4041"/>
        <v>0</v>
      </c>
      <c r="R3793" s="13"/>
      <c r="S3793" s="13"/>
      <c r="T3793" s="13">
        <f t="shared" ref="T3793:Y3793" si="4075">IF(ISBLANK(K3793)=TRUE,0,1)</f>
        <v>0</v>
      </c>
      <c r="U3793" s="13">
        <f t="shared" si="4075"/>
        <v>0</v>
      </c>
      <c r="V3793" s="13">
        <f t="shared" si="4075"/>
        <v>1</v>
      </c>
      <c r="W3793" s="13">
        <f t="shared" si="4075"/>
        <v>1</v>
      </c>
      <c r="X3793" s="13">
        <f t="shared" si="4075"/>
        <v>0</v>
      </c>
      <c r="Y3793" s="13">
        <f t="shared" si="4075"/>
        <v>0</v>
      </c>
      <c r="Z3793" s="13">
        <f t="shared" si="3023"/>
        <v>0</v>
      </c>
      <c r="AA3793" s="13"/>
      <c r="AB3793" s="13"/>
      <c r="AC3793" s="13"/>
      <c r="AD3793" s="13"/>
      <c r="AE3793" s="13"/>
      <c r="AF3793" s="13"/>
      <c r="AG3793" s="13"/>
      <c r="AH3793" s="13"/>
      <c r="AI3793" s="13"/>
      <c r="AJ3793" s="13"/>
      <c r="AK3793" s="13"/>
      <c r="AL3793" s="13"/>
      <c r="AM3793" s="13"/>
      <c r="AN3793" s="13"/>
      <c r="AO3793" s="13"/>
      <c r="AP3793" s="13"/>
      <c r="AQ3793" s="13"/>
      <c r="AR3793" s="13"/>
      <c r="AS3793" s="13"/>
    </row>
    <row r="3794" ht="14.25" customHeight="1">
      <c r="A3794" s="13" t="s">
        <v>29</v>
      </c>
      <c r="B3794" s="13" t="s">
        <v>34</v>
      </c>
      <c r="C3794" s="13" t="s">
        <v>704</v>
      </c>
      <c r="D3794" s="13" t="s">
        <v>168</v>
      </c>
      <c r="F3794" s="13"/>
      <c r="G3794" s="13" t="s">
        <v>111</v>
      </c>
      <c r="H3794" s="13" t="s">
        <v>107</v>
      </c>
      <c r="I3794" s="13"/>
      <c r="J3794" s="13"/>
      <c r="K3794" s="15"/>
      <c r="L3794" s="15"/>
      <c r="M3794" s="16">
        <v>0.0</v>
      </c>
      <c r="N3794" s="16">
        <v>0.0</v>
      </c>
      <c r="O3794" s="17"/>
      <c r="P3794" s="17"/>
      <c r="Q3794" s="13">
        <f t="shared" si="4041"/>
        <v>0</v>
      </c>
      <c r="R3794" s="13"/>
      <c r="S3794" s="13"/>
      <c r="T3794" s="13">
        <f t="shared" ref="T3794:Y3794" si="4076">IF(ISBLANK(K3794)=TRUE,0,1)</f>
        <v>0</v>
      </c>
      <c r="U3794" s="13">
        <f t="shared" si="4076"/>
        <v>0</v>
      </c>
      <c r="V3794" s="13">
        <f t="shared" si="4076"/>
        <v>1</v>
      </c>
      <c r="W3794" s="13">
        <f t="shared" si="4076"/>
        <v>1</v>
      </c>
      <c r="X3794" s="13">
        <f t="shared" si="4076"/>
        <v>0</v>
      </c>
      <c r="Y3794" s="13">
        <f t="shared" si="4076"/>
        <v>0</v>
      </c>
      <c r="Z3794" s="13">
        <f t="shared" si="3023"/>
        <v>0</v>
      </c>
      <c r="AA3794" s="13"/>
      <c r="AB3794" s="13"/>
      <c r="AC3794" s="13"/>
      <c r="AD3794" s="13"/>
      <c r="AE3794" s="13"/>
      <c r="AF3794" s="13"/>
      <c r="AG3794" s="13"/>
      <c r="AH3794" s="13"/>
      <c r="AI3794" s="13"/>
      <c r="AJ3794" s="13"/>
      <c r="AK3794" s="13"/>
      <c r="AL3794" s="13"/>
      <c r="AM3794" s="13"/>
      <c r="AN3794" s="13"/>
      <c r="AO3794" s="13"/>
      <c r="AP3794" s="13"/>
      <c r="AQ3794" s="13"/>
      <c r="AR3794" s="13"/>
      <c r="AS3794" s="13"/>
    </row>
    <row r="3795" ht="14.25" customHeight="1">
      <c r="A3795" s="13" t="s">
        <v>29</v>
      </c>
      <c r="B3795" s="13" t="s">
        <v>34</v>
      </c>
      <c r="C3795" s="13" t="s">
        <v>704</v>
      </c>
      <c r="D3795" s="13" t="s">
        <v>169</v>
      </c>
      <c r="F3795" s="13"/>
      <c r="G3795" s="13" t="s">
        <v>111</v>
      </c>
      <c r="H3795" s="13" t="s">
        <v>75</v>
      </c>
      <c r="I3795" s="13"/>
      <c r="J3795" s="13"/>
      <c r="K3795" s="15"/>
      <c r="L3795" s="15"/>
      <c r="M3795" s="16">
        <v>0.0</v>
      </c>
      <c r="N3795" s="16">
        <v>0.0</v>
      </c>
      <c r="O3795" s="17"/>
      <c r="P3795" s="17"/>
      <c r="Q3795" s="13">
        <f t="shared" si="4041"/>
        <v>0</v>
      </c>
      <c r="R3795" s="13"/>
      <c r="S3795" s="13"/>
      <c r="T3795" s="13">
        <f t="shared" ref="T3795:Y3795" si="4077">IF(ISBLANK(K3795)=TRUE,0,1)</f>
        <v>0</v>
      </c>
      <c r="U3795" s="13">
        <f t="shared" si="4077"/>
        <v>0</v>
      </c>
      <c r="V3795" s="13">
        <f t="shared" si="4077"/>
        <v>1</v>
      </c>
      <c r="W3795" s="13">
        <f t="shared" si="4077"/>
        <v>1</v>
      </c>
      <c r="X3795" s="13">
        <f t="shared" si="4077"/>
        <v>0</v>
      </c>
      <c r="Y3795" s="13">
        <f t="shared" si="4077"/>
        <v>0</v>
      </c>
      <c r="Z3795" s="13">
        <f t="shared" si="3023"/>
        <v>0</v>
      </c>
      <c r="AA3795" s="13"/>
      <c r="AB3795" s="13"/>
      <c r="AC3795" s="13"/>
      <c r="AD3795" s="13"/>
      <c r="AE3795" s="13"/>
      <c r="AF3795" s="13"/>
      <c r="AG3795" s="13"/>
      <c r="AH3795" s="13"/>
      <c r="AI3795" s="13"/>
      <c r="AJ3795" s="13"/>
      <c r="AK3795" s="13"/>
      <c r="AL3795" s="13"/>
      <c r="AM3795" s="13"/>
      <c r="AN3795" s="13"/>
      <c r="AO3795" s="13"/>
      <c r="AP3795" s="13"/>
      <c r="AQ3795" s="13"/>
      <c r="AR3795" s="13"/>
      <c r="AS3795" s="13"/>
    </row>
    <row r="3796" ht="14.25" customHeight="1">
      <c r="A3796" s="13" t="s">
        <v>29</v>
      </c>
      <c r="B3796" s="13" t="s">
        <v>34</v>
      </c>
      <c r="C3796" s="13" t="s">
        <v>704</v>
      </c>
      <c r="D3796" s="13" t="s">
        <v>170</v>
      </c>
      <c r="F3796" s="13"/>
      <c r="G3796" s="13" t="s">
        <v>111</v>
      </c>
      <c r="H3796" s="13" t="s">
        <v>75</v>
      </c>
      <c r="I3796" s="13"/>
      <c r="J3796" s="13"/>
      <c r="K3796" s="15"/>
      <c r="L3796" s="15"/>
      <c r="M3796" s="16">
        <v>0.0</v>
      </c>
      <c r="N3796" s="16">
        <v>0.0</v>
      </c>
      <c r="O3796" s="17"/>
      <c r="P3796" s="17"/>
      <c r="Q3796" s="13">
        <f t="shared" si="4041"/>
        <v>0</v>
      </c>
      <c r="R3796" s="13"/>
      <c r="S3796" s="13"/>
      <c r="T3796" s="13">
        <f t="shared" ref="T3796:Y3796" si="4078">IF(ISBLANK(K3796)=TRUE,0,1)</f>
        <v>0</v>
      </c>
      <c r="U3796" s="13">
        <f t="shared" si="4078"/>
        <v>0</v>
      </c>
      <c r="V3796" s="13">
        <f t="shared" si="4078"/>
        <v>1</v>
      </c>
      <c r="W3796" s="13">
        <f t="shared" si="4078"/>
        <v>1</v>
      </c>
      <c r="X3796" s="13">
        <f t="shared" si="4078"/>
        <v>0</v>
      </c>
      <c r="Y3796" s="13">
        <f t="shared" si="4078"/>
        <v>0</v>
      </c>
      <c r="Z3796" s="13">
        <f t="shared" si="3023"/>
        <v>0</v>
      </c>
      <c r="AA3796" s="13"/>
      <c r="AB3796" s="13"/>
      <c r="AC3796" s="13"/>
      <c r="AD3796" s="13"/>
      <c r="AE3796" s="13"/>
      <c r="AF3796" s="13"/>
      <c r="AG3796" s="13"/>
      <c r="AH3796" s="13"/>
      <c r="AI3796" s="13"/>
      <c r="AJ3796" s="13"/>
      <c r="AK3796" s="13"/>
      <c r="AL3796" s="13"/>
      <c r="AM3796" s="13"/>
      <c r="AN3796" s="13"/>
      <c r="AO3796" s="13"/>
      <c r="AP3796" s="13"/>
      <c r="AQ3796" s="13"/>
      <c r="AR3796" s="13"/>
      <c r="AS3796" s="13"/>
    </row>
    <row r="3797" ht="14.25" customHeight="1">
      <c r="A3797" s="13" t="s">
        <v>29</v>
      </c>
      <c r="B3797" s="13" t="s">
        <v>34</v>
      </c>
      <c r="C3797" s="13" t="s">
        <v>704</v>
      </c>
      <c r="D3797" s="13" t="s">
        <v>171</v>
      </c>
      <c r="F3797" s="13"/>
      <c r="G3797" s="13" t="s">
        <v>111</v>
      </c>
      <c r="H3797" s="13" t="s">
        <v>107</v>
      </c>
      <c r="I3797" s="13"/>
      <c r="J3797" s="13"/>
      <c r="K3797" s="15"/>
      <c r="L3797" s="15"/>
      <c r="M3797" s="16">
        <v>0.0</v>
      </c>
      <c r="N3797" s="16">
        <v>0.0</v>
      </c>
      <c r="O3797" s="17"/>
      <c r="P3797" s="17"/>
      <c r="Q3797" s="13">
        <f t="shared" si="4041"/>
        <v>0</v>
      </c>
      <c r="R3797" s="13"/>
      <c r="S3797" s="13"/>
      <c r="T3797" s="13">
        <f t="shared" ref="T3797:Y3797" si="4079">IF(ISBLANK(K3797)=TRUE,0,1)</f>
        <v>0</v>
      </c>
      <c r="U3797" s="13">
        <f t="shared" si="4079"/>
        <v>0</v>
      </c>
      <c r="V3797" s="13">
        <f t="shared" si="4079"/>
        <v>1</v>
      </c>
      <c r="W3797" s="13">
        <f t="shared" si="4079"/>
        <v>1</v>
      </c>
      <c r="X3797" s="13">
        <f t="shared" si="4079"/>
        <v>0</v>
      </c>
      <c r="Y3797" s="13">
        <f t="shared" si="4079"/>
        <v>0</v>
      </c>
      <c r="Z3797" s="13">
        <f t="shared" si="3023"/>
        <v>0</v>
      </c>
      <c r="AA3797" s="13"/>
      <c r="AB3797" s="13"/>
      <c r="AC3797" s="13"/>
      <c r="AD3797" s="13"/>
      <c r="AE3797" s="13"/>
      <c r="AF3797" s="13"/>
      <c r="AG3797" s="13"/>
      <c r="AH3797" s="13"/>
      <c r="AI3797" s="13"/>
      <c r="AJ3797" s="13"/>
      <c r="AK3797" s="13"/>
      <c r="AL3797" s="13"/>
      <c r="AM3797" s="13"/>
      <c r="AN3797" s="13"/>
      <c r="AO3797" s="13"/>
      <c r="AP3797" s="13"/>
      <c r="AQ3797" s="13"/>
      <c r="AR3797" s="13"/>
      <c r="AS3797" s="13"/>
    </row>
    <row r="3798" ht="14.25" customHeight="1">
      <c r="A3798" s="13" t="s">
        <v>29</v>
      </c>
      <c r="B3798" s="13" t="s">
        <v>34</v>
      </c>
      <c r="C3798" s="13" t="s">
        <v>704</v>
      </c>
      <c r="D3798" s="13" t="s">
        <v>172</v>
      </c>
      <c r="F3798" s="13"/>
      <c r="G3798" s="13" t="s">
        <v>111</v>
      </c>
      <c r="H3798" s="13" t="s">
        <v>75</v>
      </c>
      <c r="I3798" s="13"/>
      <c r="J3798" s="13"/>
      <c r="K3798" s="15"/>
      <c r="L3798" s="15"/>
      <c r="M3798" s="16">
        <v>0.0</v>
      </c>
      <c r="N3798" s="16">
        <v>0.0</v>
      </c>
      <c r="O3798" s="17"/>
      <c r="P3798" s="17"/>
      <c r="Q3798" s="13">
        <f t="shared" si="4041"/>
        <v>0</v>
      </c>
      <c r="R3798" s="13"/>
      <c r="S3798" s="13"/>
      <c r="T3798" s="13">
        <f t="shared" ref="T3798:Y3798" si="4080">IF(ISBLANK(K3798)=TRUE,0,1)</f>
        <v>0</v>
      </c>
      <c r="U3798" s="13">
        <f t="shared" si="4080"/>
        <v>0</v>
      </c>
      <c r="V3798" s="13">
        <f t="shared" si="4080"/>
        <v>1</v>
      </c>
      <c r="W3798" s="13">
        <f t="shared" si="4080"/>
        <v>1</v>
      </c>
      <c r="X3798" s="13">
        <f t="shared" si="4080"/>
        <v>0</v>
      </c>
      <c r="Y3798" s="13">
        <f t="shared" si="4080"/>
        <v>0</v>
      </c>
      <c r="Z3798" s="13">
        <f t="shared" si="3023"/>
        <v>0</v>
      </c>
      <c r="AA3798" s="13"/>
      <c r="AB3798" s="13"/>
      <c r="AC3798" s="13"/>
      <c r="AD3798" s="13"/>
      <c r="AE3798" s="13"/>
      <c r="AF3798" s="13"/>
      <c r="AG3798" s="13"/>
      <c r="AH3798" s="13"/>
      <c r="AI3798" s="13"/>
      <c r="AJ3798" s="13"/>
      <c r="AK3798" s="13"/>
      <c r="AL3798" s="13"/>
      <c r="AM3798" s="13"/>
      <c r="AN3798" s="13"/>
      <c r="AO3798" s="13"/>
      <c r="AP3798" s="13"/>
      <c r="AQ3798" s="13"/>
      <c r="AR3798" s="13"/>
      <c r="AS3798" s="13"/>
    </row>
    <row r="3799" ht="14.25" customHeight="1">
      <c r="A3799" s="13" t="s">
        <v>29</v>
      </c>
      <c r="B3799" s="13" t="s">
        <v>34</v>
      </c>
      <c r="C3799" s="13" t="s">
        <v>704</v>
      </c>
      <c r="D3799" s="13" t="s">
        <v>556</v>
      </c>
      <c r="F3799" s="13"/>
      <c r="G3799" s="13" t="s">
        <v>111</v>
      </c>
      <c r="H3799" s="13" t="s">
        <v>107</v>
      </c>
      <c r="I3799" s="13"/>
      <c r="J3799" s="13"/>
      <c r="K3799" s="15"/>
      <c r="L3799" s="15"/>
      <c r="M3799" s="16">
        <v>0.0</v>
      </c>
      <c r="N3799" s="16">
        <v>0.0</v>
      </c>
      <c r="O3799" s="17"/>
      <c r="P3799" s="17"/>
      <c r="Q3799" s="13">
        <f t="shared" si="4041"/>
        <v>0</v>
      </c>
      <c r="R3799" s="13"/>
      <c r="S3799" s="13"/>
      <c r="T3799" s="13">
        <f t="shared" ref="T3799:Y3799" si="4081">IF(ISBLANK(K3799)=TRUE,0,1)</f>
        <v>0</v>
      </c>
      <c r="U3799" s="13">
        <f t="shared" si="4081"/>
        <v>0</v>
      </c>
      <c r="V3799" s="13">
        <f t="shared" si="4081"/>
        <v>1</v>
      </c>
      <c r="W3799" s="13">
        <f t="shared" si="4081"/>
        <v>1</v>
      </c>
      <c r="X3799" s="13">
        <f t="shared" si="4081"/>
        <v>0</v>
      </c>
      <c r="Y3799" s="13">
        <f t="shared" si="4081"/>
        <v>0</v>
      </c>
      <c r="Z3799" s="13">
        <f t="shared" si="3023"/>
        <v>0</v>
      </c>
      <c r="AA3799" s="13"/>
      <c r="AB3799" s="13"/>
      <c r="AC3799" s="13"/>
      <c r="AD3799" s="13"/>
      <c r="AE3799" s="13"/>
      <c r="AF3799" s="13"/>
      <c r="AG3799" s="13"/>
      <c r="AH3799" s="13"/>
      <c r="AI3799" s="13"/>
      <c r="AJ3799" s="13"/>
      <c r="AK3799" s="13"/>
      <c r="AL3799" s="13"/>
      <c r="AM3799" s="13"/>
      <c r="AN3799" s="13"/>
      <c r="AO3799" s="13"/>
      <c r="AP3799" s="13"/>
      <c r="AQ3799" s="13"/>
      <c r="AR3799" s="13"/>
      <c r="AS3799" s="13"/>
    </row>
    <row r="3800" ht="14.25" customHeight="1">
      <c r="A3800" s="13" t="s">
        <v>29</v>
      </c>
      <c r="B3800" s="13" t="s">
        <v>34</v>
      </c>
      <c r="C3800" s="13" t="s">
        <v>704</v>
      </c>
      <c r="D3800" s="13" t="s">
        <v>557</v>
      </c>
      <c r="F3800" s="13"/>
      <c r="G3800" s="13" t="s">
        <v>111</v>
      </c>
      <c r="H3800" s="13" t="s">
        <v>107</v>
      </c>
      <c r="I3800" s="13"/>
      <c r="J3800" s="13"/>
      <c r="K3800" s="15"/>
      <c r="L3800" s="15"/>
      <c r="M3800" s="16">
        <v>0.0</v>
      </c>
      <c r="N3800" s="16">
        <v>0.0</v>
      </c>
      <c r="O3800" s="17"/>
      <c r="P3800" s="17"/>
      <c r="Q3800" s="13">
        <f t="shared" si="4041"/>
        <v>0</v>
      </c>
      <c r="R3800" s="13"/>
      <c r="S3800" s="13"/>
      <c r="T3800" s="13">
        <f t="shared" ref="T3800:Y3800" si="4082">IF(ISBLANK(K3800)=TRUE,0,1)</f>
        <v>0</v>
      </c>
      <c r="U3800" s="13">
        <f t="shared" si="4082"/>
        <v>0</v>
      </c>
      <c r="V3800" s="13">
        <f t="shared" si="4082"/>
        <v>1</v>
      </c>
      <c r="W3800" s="13">
        <f t="shared" si="4082"/>
        <v>1</v>
      </c>
      <c r="X3800" s="13">
        <f t="shared" si="4082"/>
        <v>0</v>
      </c>
      <c r="Y3800" s="13">
        <f t="shared" si="4082"/>
        <v>0</v>
      </c>
      <c r="Z3800" s="13">
        <f t="shared" si="3023"/>
        <v>0</v>
      </c>
      <c r="AA3800" s="13"/>
      <c r="AB3800" s="13"/>
      <c r="AC3800" s="13"/>
      <c r="AD3800" s="13"/>
      <c r="AE3800" s="13"/>
      <c r="AF3800" s="13"/>
      <c r="AG3800" s="13"/>
      <c r="AH3800" s="13"/>
      <c r="AI3800" s="13"/>
      <c r="AJ3800" s="13"/>
      <c r="AK3800" s="13"/>
      <c r="AL3800" s="13"/>
      <c r="AM3800" s="13"/>
      <c r="AN3800" s="13"/>
      <c r="AO3800" s="13"/>
      <c r="AP3800" s="13"/>
      <c r="AQ3800" s="13"/>
      <c r="AR3800" s="13"/>
      <c r="AS3800" s="13"/>
    </row>
    <row r="3801" ht="14.25" customHeight="1">
      <c r="A3801" s="13" t="s">
        <v>29</v>
      </c>
      <c r="B3801" s="13" t="s">
        <v>34</v>
      </c>
      <c r="C3801" s="13" t="s">
        <v>704</v>
      </c>
      <c r="D3801" s="13" t="s">
        <v>110</v>
      </c>
      <c r="F3801" s="13"/>
      <c r="G3801" s="13" t="s">
        <v>111</v>
      </c>
      <c r="H3801" s="13" t="s">
        <v>75</v>
      </c>
      <c r="I3801" s="13"/>
      <c r="J3801" s="13"/>
      <c r="K3801" s="15"/>
      <c r="L3801" s="15"/>
      <c r="M3801" s="16">
        <v>0.0</v>
      </c>
      <c r="N3801" s="16">
        <v>0.0</v>
      </c>
      <c r="O3801" s="17"/>
      <c r="P3801" s="17"/>
      <c r="Q3801" s="13">
        <f t="shared" si="4041"/>
        <v>0</v>
      </c>
      <c r="R3801" s="13"/>
      <c r="S3801" s="13"/>
      <c r="T3801" s="13">
        <f t="shared" ref="T3801:Y3801" si="4083">IF(ISBLANK(K3801)=TRUE,0,1)</f>
        <v>0</v>
      </c>
      <c r="U3801" s="13">
        <f t="shared" si="4083"/>
        <v>0</v>
      </c>
      <c r="V3801" s="13">
        <f t="shared" si="4083"/>
        <v>1</v>
      </c>
      <c r="W3801" s="13">
        <f t="shared" si="4083"/>
        <v>1</v>
      </c>
      <c r="X3801" s="13">
        <f t="shared" si="4083"/>
        <v>0</v>
      </c>
      <c r="Y3801" s="13">
        <f t="shared" si="4083"/>
        <v>0</v>
      </c>
      <c r="Z3801" s="13">
        <f t="shared" si="3023"/>
        <v>0</v>
      </c>
      <c r="AA3801" s="13"/>
      <c r="AB3801" s="13"/>
      <c r="AC3801" s="13"/>
      <c r="AD3801" s="13"/>
      <c r="AE3801" s="13"/>
      <c r="AF3801" s="13"/>
      <c r="AG3801" s="13"/>
      <c r="AH3801" s="13"/>
      <c r="AI3801" s="13"/>
      <c r="AJ3801" s="13"/>
      <c r="AK3801" s="13"/>
      <c r="AL3801" s="13"/>
      <c r="AM3801" s="13"/>
      <c r="AN3801" s="13"/>
      <c r="AO3801" s="13"/>
      <c r="AP3801" s="13"/>
      <c r="AQ3801" s="13"/>
      <c r="AR3801" s="13"/>
      <c r="AS3801" s="13"/>
    </row>
    <row r="3802" ht="14.25" customHeight="1">
      <c r="A3802" s="13" t="s">
        <v>29</v>
      </c>
      <c r="B3802" s="13" t="s">
        <v>34</v>
      </c>
      <c r="C3802" s="13" t="s">
        <v>704</v>
      </c>
      <c r="D3802" s="13" t="s">
        <v>113</v>
      </c>
      <c r="F3802" s="13"/>
      <c r="G3802" s="13" t="s">
        <v>111</v>
      </c>
      <c r="H3802" s="13" t="s">
        <v>75</v>
      </c>
      <c r="I3802" s="13"/>
      <c r="J3802" s="13"/>
      <c r="K3802" s="15"/>
      <c r="L3802" s="15"/>
      <c r="M3802" s="16">
        <v>0.0</v>
      </c>
      <c r="N3802" s="16">
        <v>0.0</v>
      </c>
      <c r="O3802" s="17"/>
      <c r="P3802" s="17"/>
      <c r="Q3802" s="13">
        <f t="shared" si="4041"/>
        <v>0</v>
      </c>
      <c r="R3802" s="13"/>
      <c r="S3802" s="13"/>
      <c r="T3802" s="13">
        <f t="shared" ref="T3802:Y3802" si="4084">IF(ISBLANK(K3802)=TRUE,0,1)</f>
        <v>0</v>
      </c>
      <c r="U3802" s="13">
        <f t="shared" si="4084"/>
        <v>0</v>
      </c>
      <c r="V3802" s="13">
        <f t="shared" si="4084"/>
        <v>1</v>
      </c>
      <c r="W3802" s="13">
        <f t="shared" si="4084"/>
        <v>1</v>
      </c>
      <c r="X3802" s="13">
        <f t="shared" si="4084"/>
        <v>0</v>
      </c>
      <c r="Y3802" s="13">
        <f t="shared" si="4084"/>
        <v>0</v>
      </c>
      <c r="Z3802" s="13">
        <f t="shared" si="3023"/>
        <v>0</v>
      </c>
      <c r="AA3802" s="13"/>
      <c r="AB3802" s="13"/>
      <c r="AC3802" s="13"/>
      <c r="AD3802" s="13"/>
      <c r="AE3802" s="13"/>
      <c r="AF3802" s="13"/>
      <c r="AG3802" s="13"/>
      <c r="AH3802" s="13"/>
      <c r="AI3802" s="13"/>
      <c r="AJ3802" s="13"/>
      <c r="AK3802" s="13"/>
      <c r="AL3802" s="13"/>
      <c r="AM3802" s="13"/>
      <c r="AN3802" s="13"/>
      <c r="AO3802" s="13"/>
      <c r="AP3802" s="13"/>
      <c r="AQ3802" s="13"/>
      <c r="AR3802" s="13"/>
      <c r="AS3802" s="13"/>
    </row>
    <row r="3803" ht="14.25" customHeight="1">
      <c r="A3803" s="13" t="s">
        <v>29</v>
      </c>
      <c r="B3803" s="13" t="s">
        <v>34</v>
      </c>
      <c r="C3803" s="13" t="s">
        <v>704</v>
      </c>
      <c r="D3803" s="13" t="s">
        <v>115</v>
      </c>
      <c r="F3803" s="13"/>
      <c r="G3803" s="13" t="s">
        <v>111</v>
      </c>
      <c r="H3803" s="13" t="s">
        <v>107</v>
      </c>
      <c r="I3803" s="13"/>
      <c r="J3803" s="13"/>
      <c r="K3803" s="15"/>
      <c r="L3803" s="15"/>
      <c r="M3803" s="16">
        <v>0.0</v>
      </c>
      <c r="N3803" s="16">
        <v>0.0</v>
      </c>
      <c r="O3803" s="17"/>
      <c r="P3803" s="17"/>
      <c r="Q3803" s="13">
        <f t="shared" si="4041"/>
        <v>0</v>
      </c>
      <c r="R3803" s="13"/>
      <c r="S3803" s="13"/>
      <c r="T3803" s="13">
        <f t="shared" ref="T3803:Y3803" si="4085">IF(ISBLANK(K3803)=TRUE,0,1)</f>
        <v>0</v>
      </c>
      <c r="U3803" s="13">
        <f t="shared" si="4085"/>
        <v>0</v>
      </c>
      <c r="V3803" s="13">
        <f t="shared" si="4085"/>
        <v>1</v>
      </c>
      <c r="W3803" s="13">
        <f t="shared" si="4085"/>
        <v>1</v>
      </c>
      <c r="X3803" s="13">
        <f t="shared" si="4085"/>
        <v>0</v>
      </c>
      <c r="Y3803" s="13">
        <f t="shared" si="4085"/>
        <v>0</v>
      </c>
      <c r="Z3803" s="13">
        <f t="shared" si="3023"/>
        <v>0</v>
      </c>
      <c r="AA3803" s="13"/>
      <c r="AB3803" s="13"/>
      <c r="AC3803" s="13"/>
      <c r="AD3803" s="13"/>
      <c r="AE3803" s="13"/>
      <c r="AF3803" s="13"/>
      <c r="AG3803" s="13"/>
      <c r="AH3803" s="13"/>
      <c r="AI3803" s="13"/>
      <c r="AJ3803" s="13"/>
      <c r="AK3803" s="13"/>
      <c r="AL3803" s="13"/>
      <c r="AM3803" s="13"/>
      <c r="AN3803" s="13"/>
      <c r="AO3803" s="13"/>
      <c r="AP3803" s="13"/>
      <c r="AQ3803" s="13"/>
      <c r="AR3803" s="13"/>
      <c r="AS3803" s="13"/>
    </row>
    <row r="3804" ht="14.25" customHeight="1">
      <c r="A3804" s="13" t="s">
        <v>29</v>
      </c>
      <c r="B3804" s="13" t="s">
        <v>34</v>
      </c>
      <c r="C3804" s="13" t="s">
        <v>704</v>
      </c>
      <c r="D3804" s="13" t="s">
        <v>117</v>
      </c>
      <c r="F3804" s="13"/>
      <c r="G3804" s="13" t="s">
        <v>111</v>
      </c>
      <c r="H3804" s="13" t="s">
        <v>75</v>
      </c>
      <c r="I3804" s="13"/>
      <c r="J3804" s="13"/>
      <c r="K3804" s="15"/>
      <c r="L3804" s="15"/>
      <c r="M3804" s="16">
        <v>0.0</v>
      </c>
      <c r="N3804" s="16">
        <v>0.0</v>
      </c>
      <c r="O3804" s="17"/>
      <c r="P3804" s="17"/>
      <c r="Q3804" s="13">
        <f t="shared" si="4041"/>
        <v>0</v>
      </c>
      <c r="R3804" s="13"/>
      <c r="S3804" s="13"/>
      <c r="T3804" s="13">
        <f t="shared" ref="T3804:Y3804" si="4086">IF(ISBLANK(K3804)=TRUE,0,1)</f>
        <v>0</v>
      </c>
      <c r="U3804" s="13">
        <f t="shared" si="4086"/>
        <v>0</v>
      </c>
      <c r="V3804" s="13">
        <f t="shared" si="4086"/>
        <v>1</v>
      </c>
      <c r="W3804" s="13">
        <f t="shared" si="4086"/>
        <v>1</v>
      </c>
      <c r="X3804" s="13">
        <f t="shared" si="4086"/>
        <v>0</v>
      </c>
      <c r="Y3804" s="13">
        <f t="shared" si="4086"/>
        <v>0</v>
      </c>
      <c r="Z3804" s="13">
        <f t="shared" si="3023"/>
        <v>0</v>
      </c>
      <c r="AA3804" s="13"/>
      <c r="AB3804" s="13"/>
      <c r="AC3804" s="13"/>
      <c r="AD3804" s="13"/>
      <c r="AE3804" s="13"/>
      <c r="AF3804" s="13"/>
      <c r="AG3804" s="13"/>
      <c r="AH3804" s="13"/>
      <c r="AI3804" s="13"/>
      <c r="AJ3804" s="13"/>
      <c r="AK3804" s="13"/>
      <c r="AL3804" s="13"/>
      <c r="AM3804" s="13"/>
      <c r="AN3804" s="13"/>
      <c r="AO3804" s="13"/>
      <c r="AP3804" s="13"/>
      <c r="AQ3804" s="13"/>
      <c r="AR3804" s="13"/>
      <c r="AS3804" s="13"/>
    </row>
    <row r="3805" ht="14.25" customHeight="1">
      <c r="A3805" s="13" t="s">
        <v>29</v>
      </c>
      <c r="B3805" s="13" t="s">
        <v>34</v>
      </c>
      <c r="C3805" s="13" t="s">
        <v>704</v>
      </c>
      <c r="D3805" s="13" t="s">
        <v>119</v>
      </c>
      <c r="F3805" s="13"/>
      <c r="G3805" s="13" t="s">
        <v>111</v>
      </c>
      <c r="H3805" s="13" t="s">
        <v>75</v>
      </c>
      <c r="I3805" s="13"/>
      <c r="J3805" s="13"/>
      <c r="K3805" s="15"/>
      <c r="L3805" s="15"/>
      <c r="M3805" s="16">
        <v>0.0</v>
      </c>
      <c r="N3805" s="16">
        <v>0.0</v>
      </c>
      <c r="O3805" s="17"/>
      <c r="P3805" s="17"/>
      <c r="Q3805" s="13">
        <f t="shared" si="4041"/>
        <v>0</v>
      </c>
      <c r="R3805" s="13"/>
      <c r="S3805" s="13"/>
      <c r="T3805" s="13">
        <f t="shared" ref="T3805:Y3805" si="4087">IF(ISBLANK(K3805)=TRUE,0,1)</f>
        <v>0</v>
      </c>
      <c r="U3805" s="13">
        <f t="shared" si="4087"/>
        <v>0</v>
      </c>
      <c r="V3805" s="13">
        <f t="shared" si="4087"/>
        <v>1</v>
      </c>
      <c r="W3805" s="13">
        <f t="shared" si="4087"/>
        <v>1</v>
      </c>
      <c r="X3805" s="13">
        <f t="shared" si="4087"/>
        <v>0</v>
      </c>
      <c r="Y3805" s="13">
        <f t="shared" si="4087"/>
        <v>0</v>
      </c>
      <c r="Z3805" s="13">
        <f t="shared" si="3023"/>
        <v>0</v>
      </c>
      <c r="AA3805" s="13"/>
      <c r="AB3805" s="13"/>
      <c r="AC3805" s="13"/>
      <c r="AD3805" s="13"/>
      <c r="AE3805" s="13"/>
      <c r="AF3805" s="13"/>
      <c r="AG3805" s="13"/>
      <c r="AH3805" s="13"/>
      <c r="AI3805" s="13"/>
      <c r="AJ3805" s="13"/>
      <c r="AK3805" s="13"/>
      <c r="AL3805" s="13"/>
      <c r="AM3805" s="13"/>
      <c r="AN3805" s="13"/>
      <c r="AO3805" s="13"/>
      <c r="AP3805" s="13"/>
      <c r="AQ3805" s="13"/>
      <c r="AR3805" s="13"/>
      <c r="AS3805" s="13"/>
    </row>
    <row r="3806" ht="14.25" customHeight="1">
      <c r="A3806" s="13" t="s">
        <v>29</v>
      </c>
      <c r="B3806" s="13" t="s">
        <v>34</v>
      </c>
      <c r="C3806" s="13" t="s">
        <v>704</v>
      </c>
      <c r="D3806" s="13" t="s">
        <v>120</v>
      </c>
      <c r="F3806" s="13"/>
      <c r="G3806" s="13" t="s">
        <v>111</v>
      </c>
      <c r="H3806" s="13" t="s">
        <v>107</v>
      </c>
      <c r="I3806" s="13"/>
      <c r="J3806" s="13"/>
      <c r="K3806" s="15"/>
      <c r="L3806" s="15"/>
      <c r="M3806" s="16">
        <v>0.0</v>
      </c>
      <c r="N3806" s="16">
        <v>0.0</v>
      </c>
      <c r="O3806" s="17"/>
      <c r="P3806" s="17"/>
      <c r="Q3806" s="13">
        <f t="shared" si="4041"/>
        <v>0</v>
      </c>
      <c r="R3806" s="13"/>
      <c r="S3806" s="13"/>
      <c r="T3806" s="13">
        <f t="shared" ref="T3806:Y3806" si="4088">IF(ISBLANK(K3806)=TRUE,0,1)</f>
        <v>0</v>
      </c>
      <c r="U3806" s="13">
        <f t="shared" si="4088"/>
        <v>0</v>
      </c>
      <c r="V3806" s="13">
        <f t="shared" si="4088"/>
        <v>1</v>
      </c>
      <c r="W3806" s="13">
        <f t="shared" si="4088"/>
        <v>1</v>
      </c>
      <c r="X3806" s="13">
        <f t="shared" si="4088"/>
        <v>0</v>
      </c>
      <c r="Y3806" s="13">
        <f t="shared" si="4088"/>
        <v>0</v>
      </c>
      <c r="Z3806" s="13">
        <f t="shared" si="3023"/>
        <v>0</v>
      </c>
      <c r="AA3806" s="13"/>
      <c r="AB3806" s="13"/>
      <c r="AC3806" s="13"/>
      <c r="AD3806" s="13"/>
      <c r="AE3806" s="13"/>
      <c r="AF3806" s="13"/>
      <c r="AG3806" s="13"/>
      <c r="AH3806" s="13"/>
      <c r="AI3806" s="13"/>
      <c r="AJ3806" s="13"/>
      <c r="AK3806" s="13"/>
      <c r="AL3806" s="13"/>
      <c r="AM3806" s="13"/>
      <c r="AN3806" s="13"/>
      <c r="AO3806" s="13"/>
      <c r="AP3806" s="13"/>
      <c r="AQ3806" s="13"/>
      <c r="AR3806" s="13"/>
      <c r="AS3806" s="13"/>
    </row>
    <row r="3807" ht="14.25" customHeight="1">
      <c r="A3807" s="13" t="s">
        <v>29</v>
      </c>
      <c r="B3807" s="13" t="s">
        <v>34</v>
      </c>
      <c r="C3807" s="13" t="s">
        <v>704</v>
      </c>
      <c r="D3807" s="13" t="s">
        <v>121</v>
      </c>
      <c r="F3807" s="13"/>
      <c r="G3807" s="13" t="s">
        <v>111</v>
      </c>
      <c r="H3807" s="13" t="s">
        <v>75</v>
      </c>
      <c r="I3807" s="13"/>
      <c r="J3807" s="13"/>
      <c r="K3807" s="15"/>
      <c r="L3807" s="15"/>
      <c r="M3807" s="16">
        <v>0.0</v>
      </c>
      <c r="N3807" s="16">
        <v>0.0</v>
      </c>
      <c r="O3807" s="17"/>
      <c r="P3807" s="17"/>
      <c r="Q3807" s="13">
        <f t="shared" si="4041"/>
        <v>0</v>
      </c>
      <c r="R3807" s="13"/>
      <c r="S3807" s="13"/>
      <c r="T3807" s="13">
        <f t="shared" ref="T3807:Y3807" si="4089">IF(ISBLANK(K3807)=TRUE,0,1)</f>
        <v>0</v>
      </c>
      <c r="U3807" s="13">
        <f t="shared" si="4089"/>
        <v>0</v>
      </c>
      <c r="V3807" s="13">
        <f t="shared" si="4089"/>
        <v>1</v>
      </c>
      <c r="W3807" s="13">
        <f t="shared" si="4089"/>
        <v>1</v>
      </c>
      <c r="X3807" s="13">
        <f t="shared" si="4089"/>
        <v>0</v>
      </c>
      <c r="Y3807" s="13">
        <f t="shared" si="4089"/>
        <v>0</v>
      </c>
      <c r="Z3807" s="13">
        <f t="shared" si="3023"/>
        <v>0</v>
      </c>
      <c r="AA3807" s="13"/>
      <c r="AB3807" s="13"/>
      <c r="AC3807" s="13"/>
      <c r="AD3807" s="13"/>
      <c r="AE3807" s="13"/>
      <c r="AF3807" s="13"/>
      <c r="AG3807" s="13"/>
      <c r="AH3807" s="13"/>
      <c r="AI3807" s="13"/>
      <c r="AJ3807" s="13"/>
      <c r="AK3807" s="13"/>
      <c r="AL3807" s="13"/>
      <c r="AM3807" s="13"/>
      <c r="AN3807" s="13"/>
      <c r="AO3807" s="13"/>
      <c r="AP3807" s="13"/>
      <c r="AQ3807" s="13"/>
      <c r="AR3807" s="13"/>
      <c r="AS3807" s="13"/>
    </row>
    <row r="3808" ht="14.25" customHeight="1">
      <c r="A3808" s="13" t="s">
        <v>29</v>
      </c>
      <c r="B3808" s="13" t="s">
        <v>34</v>
      </c>
      <c r="C3808" s="13" t="s">
        <v>704</v>
      </c>
      <c r="D3808" s="13" t="s">
        <v>122</v>
      </c>
      <c r="F3808" s="13"/>
      <c r="G3808" s="13" t="s">
        <v>111</v>
      </c>
      <c r="H3808" s="13" t="s">
        <v>75</v>
      </c>
      <c r="I3808" s="13"/>
      <c r="J3808" s="13"/>
      <c r="K3808" s="15"/>
      <c r="L3808" s="15"/>
      <c r="M3808" s="16">
        <v>0.0</v>
      </c>
      <c r="N3808" s="16">
        <v>0.0</v>
      </c>
      <c r="O3808" s="17"/>
      <c r="P3808" s="17"/>
      <c r="Q3808" s="13">
        <f t="shared" si="4041"/>
        <v>0</v>
      </c>
      <c r="R3808" s="13"/>
      <c r="S3808" s="13"/>
      <c r="T3808" s="13">
        <f t="shared" ref="T3808:Y3808" si="4090">IF(ISBLANK(K3808)=TRUE,0,1)</f>
        <v>0</v>
      </c>
      <c r="U3808" s="13">
        <f t="shared" si="4090"/>
        <v>0</v>
      </c>
      <c r="V3808" s="13">
        <f t="shared" si="4090"/>
        <v>1</v>
      </c>
      <c r="W3808" s="13">
        <f t="shared" si="4090"/>
        <v>1</v>
      </c>
      <c r="X3808" s="13">
        <f t="shared" si="4090"/>
        <v>0</v>
      </c>
      <c r="Y3808" s="13">
        <f t="shared" si="4090"/>
        <v>0</v>
      </c>
      <c r="Z3808" s="13">
        <f t="shared" si="3023"/>
        <v>0</v>
      </c>
      <c r="AA3808" s="13"/>
      <c r="AB3808" s="13"/>
      <c r="AC3808" s="13"/>
      <c r="AD3808" s="13"/>
      <c r="AE3808" s="13"/>
      <c r="AF3808" s="13"/>
      <c r="AG3808" s="13"/>
      <c r="AH3808" s="13"/>
      <c r="AI3808" s="13"/>
      <c r="AJ3808" s="13"/>
      <c r="AK3808" s="13"/>
      <c r="AL3808" s="13"/>
      <c r="AM3808" s="13"/>
      <c r="AN3808" s="13"/>
      <c r="AO3808" s="13"/>
      <c r="AP3808" s="13"/>
      <c r="AQ3808" s="13"/>
      <c r="AR3808" s="13"/>
      <c r="AS3808" s="13"/>
    </row>
    <row r="3809" ht="14.25" customHeight="1">
      <c r="A3809" s="13" t="s">
        <v>29</v>
      </c>
      <c r="B3809" s="13" t="s">
        <v>34</v>
      </c>
      <c r="C3809" s="13" t="s">
        <v>704</v>
      </c>
      <c r="D3809" s="13" t="s">
        <v>123</v>
      </c>
      <c r="F3809" s="13"/>
      <c r="G3809" s="13" t="s">
        <v>111</v>
      </c>
      <c r="H3809" s="13" t="s">
        <v>75</v>
      </c>
      <c r="I3809" s="13"/>
      <c r="J3809" s="13"/>
      <c r="K3809" s="15"/>
      <c r="L3809" s="15"/>
      <c r="M3809" s="16">
        <v>0.0</v>
      </c>
      <c r="N3809" s="16">
        <v>0.0</v>
      </c>
      <c r="O3809" s="17"/>
      <c r="P3809" s="17"/>
      <c r="Q3809" s="13">
        <f t="shared" si="4041"/>
        <v>0</v>
      </c>
      <c r="R3809" s="13"/>
      <c r="S3809" s="13"/>
      <c r="T3809" s="13">
        <f t="shared" ref="T3809:Y3809" si="4091">IF(ISBLANK(K3809)=TRUE,0,1)</f>
        <v>0</v>
      </c>
      <c r="U3809" s="13">
        <f t="shared" si="4091"/>
        <v>0</v>
      </c>
      <c r="V3809" s="13">
        <f t="shared" si="4091"/>
        <v>1</v>
      </c>
      <c r="W3809" s="13">
        <f t="shared" si="4091"/>
        <v>1</v>
      </c>
      <c r="X3809" s="13">
        <f t="shared" si="4091"/>
        <v>0</v>
      </c>
      <c r="Y3809" s="13">
        <f t="shared" si="4091"/>
        <v>0</v>
      </c>
      <c r="Z3809" s="13">
        <f t="shared" si="3023"/>
        <v>0</v>
      </c>
      <c r="AA3809" s="13"/>
      <c r="AB3809" s="13"/>
      <c r="AC3809" s="13"/>
      <c r="AD3809" s="13"/>
      <c r="AE3809" s="13"/>
      <c r="AF3809" s="13"/>
      <c r="AG3809" s="13"/>
      <c r="AH3809" s="13"/>
      <c r="AI3809" s="13"/>
      <c r="AJ3809" s="13"/>
      <c r="AK3809" s="13"/>
      <c r="AL3809" s="13"/>
      <c r="AM3809" s="13"/>
      <c r="AN3809" s="13"/>
      <c r="AO3809" s="13"/>
      <c r="AP3809" s="13"/>
      <c r="AQ3809" s="13"/>
      <c r="AR3809" s="13"/>
      <c r="AS3809" s="13"/>
    </row>
    <row r="3810" ht="14.25" customHeight="1">
      <c r="A3810" s="13" t="s">
        <v>29</v>
      </c>
      <c r="B3810" s="13" t="s">
        <v>34</v>
      </c>
      <c r="C3810" s="13" t="s">
        <v>704</v>
      </c>
      <c r="D3810" s="13" t="s">
        <v>124</v>
      </c>
      <c r="F3810" s="13"/>
      <c r="G3810" s="13" t="s">
        <v>111</v>
      </c>
      <c r="H3810" s="13" t="s">
        <v>107</v>
      </c>
      <c r="I3810" s="13"/>
      <c r="J3810" s="13"/>
      <c r="K3810" s="15"/>
      <c r="L3810" s="15"/>
      <c r="M3810" s="16">
        <v>0.0</v>
      </c>
      <c r="N3810" s="16">
        <v>0.0</v>
      </c>
      <c r="O3810" s="17"/>
      <c r="P3810" s="17"/>
      <c r="Q3810" s="13">
        <f t="shared" si="4041"/>
        <v>0</v>
      </c>
      <c r="R3810" s="13"/>
      <c r="S3810" s="13"/>
      <c r="T3810" s="13">
        <f t="shared" ref="T3810:Y3810" si="4092">IF(ISBLANK(K3810)=TRUE,0,1)</f>
        <v>0</v>
      </c>
      <c r="U3810" s="13">
        <f t="shared" si="4092"/>
        <v>0</v>
      </c>
      <c r="V3810" s="13">
        <f t="shared" si="4092"/>
        <v>1</v>
      </c>
      <c r="W3810" s="13">
        <f t="shared" si="4092"/>
        <v>1</v>
      </c>
      <c r="X3810" s="13">
        <f t="shared" si="4092"/>
        <v>0</v>
      </c>
      <c r="Y3810" s="13">
        <f t="shared" si="4092"/>
        <v>0</v>
      </c>
      <c r="Z3810" s="13">
        <f t="shared" si="3023"/>
        <v>0</v>
      </c>
      <c r="AA3810" s="13"/>
      <c r="AB3810" s="13"/>
      <c r="AC3810" s="13"/>
      <c r="AD3810" s="13"/>
      <c r="AE3810" s="13"/>
      <c r="AF3810" s="13"/>
      <c r="AG3810" s="13"/>
      <c r="AH3810" s="13"/>
      <c r="AI3810" s="13"/>
      <c r="AJ3810" s="13"/>
      <c r="AK3810" s="13"/>
      <c r="AL3810" s="13"/>
      <c r="AM3810" s="13"/>
      <c r="AN3810" s="13"/>
      <c r="AO3810" s="13"/>
      <c r="AP3810" s="13"/>
      <c r="AQ3810" s="13"/>
      <c r="AR3810" s="13"/>
      <c r="AS3810" s="13"/>
    </row>
    <row r="3811" ht="14.25" customHeight="1">
      <c r="A3811" s="13" t="s">
        <v>29</v>
      </c>
      <c r="B3811" s="13" t="s">
        <v>34</v>
      </c>
      <c r="C3811" s="13" t="s">
        <v>704</v>
      </c>
      <c r="D3811" s="13" t="s">
        <v>125</v>
      </c>
      <c r="F3811" s="13"/>
      <c r="G3811" s="13" t="s">
        <v>111</v>
      </c>
      <c r="H3811" s="13" t="s">
        <v>107</v>
      </c>
      <c r="I3811" s="13"/>
      <c r="J3811" s="13"/>
      <c r="K3811" s="15"/>
      <c r="L3811" s="15"/>
      <c r="M3811" s="16">
        <v>0.0</v>
      </c>
      <c r="N3811" s="16">
        <v>0.0</v>
      </c>
      <c r="O3811" s="17"/>
      <c r="P3811" s="17"/>
      <c r="Q3811" s="13">
        <f t="shared" si="4041"/>
        <v>0</v>
      </c>
      <c r="R3811" s="13"/>
      <c r="S3811" s="13"/>
      <c r="T3811" s="13">
        <f t="shared" ref="T3811:Y3811" si="4093">IF(ISBLANK(K3811)=TRUE,0,1)</f>
        <v>0</v>
      </c>
      <c r="U3811" s="13">
        <f t="shared" si="4093"/>
        <v>0</v>
      </c>
      <c r="V3811" s="13">
        <f t="shared" si="4093"/>
        <v>1</v>
      </c>
      <c r="W3811" s="13">
        <f t="shared" si="4093"/>
        <v>1</v>
      </c>
      <c r="X3811" s="13">
        <f t="shared" si="4093"/>
        <v>0</v>
      </c>
      <c r="Y3811" s="13">
        <f t="shared" si="4093"/>
        <v>0</v>
      </c>
      <c r="Z3811" s="13">
        <f t="shared" si="3023"/>
        <v>0</v>
      </c>
      <c r="AA3811" s="13"/>
      <c r="AB3811" s="13"/>
      <c r="AC3811" s="13"/>
      <c r="AD3811" s="13"/>
      <c r="AE3811" s="13"/>
      <c r="AF3811" s="13"/>
      <c r="AG3811" s="13"/>
      <c r="AH3811" s="13"/>
      <c r="AI3811" s="13"/>
      <c r="AJ3811" s="13"/>
      <c r="AK3811" s="13"/>
      <c r="AL3811" s="13"/>
      <c r="AM3811" s="13"/>
      <c r="AN3811" s="13"/>
      <c r="AO3811" s="13"/>
      <c r="AP3811" s="13"/>
      <c r="AQ3811" s="13"/>
      <c r="AR3811" s="13"/>
      <c r="AS3811" s="13"/>
    </row>
    <row r="3812" ht="14.25" customHeight="1">
      <c r="A3812" s="13" t="s">
        <v>29</v>
      </c>
      <c r="B3812" s="13" t="s">
        <v>34</v>
      </c>
      <c r="C3812" s="13" t="s">
        <v>704</v>
      </c>
      <c r="D3812" s="13" t="s">
        <v>126</v>
      </c>
      <c r="F3812" s="13"/>
      <c r="G3812" s="13" t="s">
        <v>111</v>
      </c>
      <c r="H3812" s="13" t="s">
        <v>75</v>
      </c>
      <c r="I3812" s="13"/>
      <c r="J3812" s="13"/>
      <c r="K3812" s="15"/>
      <c r="L3812" s="15"/>
      <c r="M3812" s="16">
        <v>0.0</v>
      </c>
      <c r="N3812" s="16">
        <v>0.0</v>
      </c>
      <c r="O3812" s="17"/>
      <c r="P3812" s="17"/>
      <c r="Q3812" s="13">
        <f t="shared" si="4041"/>
        <v>0</v>
      </c>
      <c r="R3812" s="13"/>
      <c r="S3812" s="13"/>
      <c r="T3812" s="13">
        <f t="shared" ref="T3812:Y3812" si="4094">IF(ISBLANK(K3812)=TRUE,0,1)</f>
        <v>0</v>
      </c>
      <c r="U3812" s="13">
        <f t="shared" si="4094"/>
        <v>0</v>
      </c>
      <c r="V3812" s="13">
        <f t="shared" si="4094"/>
        <v>1</v>
      </c>
      <c r="W3812" s="13">
        <f t="shared" si="4094"/>
        <v>1</v>
      </c>
      <c r="X3812" s="13">
        <f t="shared" si="4094"/>
        <v>0</v>
      </c>
      <c r="Y3812" s="13">
        <f t="shared" si="4094"/>
        <v>0</v>
      </c>
      <c r="Z3812" s="13">
        <f t="shared" si="3023"/>
        <v>0</v>
      </c>
      <c r="AA3812" s="13"/>
      <c r="AB3812" s="13"/>
      <c r="AC3812" s="13"/>
      <c r="AD3812" s="13"/>
      <c r="AE3812" s="13"/>
      <c r="AF3812" s="13"/>
      <c r="AG3812" s="13"/>
      <c r="AH3812" s="13"/>
      <c r="AI3812" s="13"/>
      <c r="AJ3812" s="13"/>
      <c r="AK3812" s="13"/>
      <c r="AL3812" s="13"/>
      <c r="AM3812" s="13"/>
      <c r="AN3812" s="13"/>
      <c r="AO3812" s="13"/>
      <c r="AP3812" s="13"/>
      <c r="AQ3812" s="13"/>
      <c r="AR3812" s="13"/>
      <c r="AS3812" s="13"/>
    </row>
    <row r="3813" ht="14.25" customHeight="1">
      <c r="A3813" s="13" t="s">
        <v>29</v>
      </c>
      <c r="B3813" s="13" t="s">
        <v>34</v>
      </c>
      <c r="C3813" s="13" t="s">
        <v>704</v>
      </c>
      <c r="D3813" s="13" t="s">
        <v>127</v>
      </c>
      <c r="F3813" s="13"/>
      <c r="G3813" s="13" t="s">
        <v>111</v>
      </c>
      <c r="H3813" s="13" t="s">
        <v>75</v>
      </c>
      <c r="I3813" s="13"/>
      <c r="J3813" s="13"/>
      <c r="K3813" s="15"/>
      <c r="L3813" s="15"/>
      <c r="M3813" s="16">
        <v>0.0</v>
      </c>
      <c r="N3813" s="16">
        <v>0.0</v>
      </c>
      <c r="O3813" s="17"/>
      <c r="P3813" s="17"/>
      <c r="Q3813" s="13">
        <f t="shared" si="4041"/>
        <v>0</v>
      </c>
      <c r="R3813" s="13"/>
      <c r="S3813" s="13"/>
      <c r="T3813" s="13">
        <f t="shared" ref="T3813:Y3813" si="4095">IF(ISBLANK(K3813)=TRUE,0,1)</f>
        <v>0</v>
      </c>
      <c r="U3813" s="13">
        <f t="shared" si="4095"/>
        <v>0</v>
      </c>
      <c r="V3813" s="13">
        <f t="shared" si="4095"/>
        <v>1</v>
      </c>
      <c r="W3813" s="13">
        <f t="shared" si="4095"/>
        <v>1</v>
      </c>
      <c r="X3813" s="13">
        <f t="shared" si="4095"/>
        <v>0</v>
      </c>
      <c r="Y3813" s="13">
        <f t="shared" si="4095"/>
        <v>0</v>
      </c>
      <c r="Z3813" s="13">
        <f t="shared" si="3023"/>
        <v>0</v>
      </c>
      <c r="AA3813" s="13"/>
      <c r="AB3813" s="13"/>
      <c r="AC3813" s="13"/>
      <c r="AD3813" s="13"/>
      <c r="AE3813" s="13"/>
      <c r="AF3813" s="13"/>
      <c r="AG3813" s="13"/>
      <c r="AH3813" s="13"/>
      <c r="AI3813" s="13"/>
      <c r="AJ3813" s="13"/>
      <c r="AK3813" s="13"/>
      <c r="AL3813" s="13"/>
      <c r="AM3813" s="13"/>
      <c r="AN3813" s="13"/>
      <c r="AO3813" s="13"/>
      <c r="AP3813" s="13"/>
      <c r="AQ3813" s="13"/>
      <c r="AR3813" s="13"/>
      <c r="AS3813" s="13"/>
    </row>
    <row r="3814" ht="14.25" customHeight="1">
      <c r="A3814" s="13" t="s">
        <v>29</v>
      </c>
      <c r="B3814" s="13" t="s">
        <v>34</v>
      </c>
      <c r="C3814" s="13" t="s">
        <v>704</v>
      </c>
      <c r="D3814" s="13" t="s">
        <v>128</v>
      </c>
      <c r="F3814" s="13"/>
      <c r="G3814" s="13" t="s">
        <v>111</v>
      </c>
      <c r="H3814" s="13" t="s">
        <v>75</v>
      </c>
      <c r="I3814" s="13"/>
      <c r="J3814" s="13"/>
      <c r="K3814" s="15"/>
      <c r="L3814" s="15"/>
      <c r="M3814" s="16">
        <v>0.0</v>
      </c>
      <c r="N3814" s="16">
        <v>0.0</v>
      </c>
      <c r="O3814" s="17"/>
      <c r="P3814" s="17"/>
      <c r="Q3814" s="13">
        <f t="shared" si="4041"/>
        <v>0</v>
      </c>
      <c r="R3814" s="13"/>
      <c r="S3814" s="13"/>
      <c r="T3814" s="13">
        <f t="shared" ref="T3814:Y3814" si="4096">IF(ISBLANK(K3814)=TRUE,0,1)</f>
        <v>0</v>
      </c>
      <c r="U3814" s="13">
        <f t="shared" si="4096"/>
        <v>0</v>
      </c>
      <c r="V3814" s="13">
        <f t="shared" si="4096"/>
        <v>1</v>
      </c>
      <c r="W3814" s="13">
        <f t="shared" si="4096"/>
        <v>1</v>
      </c>
      <c r="X3814" s="13">
        <f t="shared" si="4096"/>
        <v>0</v>
      </c>
      <c r="Y3814" s="13">
        <f t="shared" si="4096"/>
        <v>0</v>
      </c>
      <c r="Z3814" s="13">
        <f t="shared" si="3023"/>
        <v>0</v>
      </c>
      <c r="AA3814" s="13"/>
      <c r="AB3814" s="13"/>
      <c r="AC3814" s="13"/>
      <c r="AD3814" s="13"/>
      <c r="AE3814" s="13"/>
      <c r="AF3814" s="13"/>
      <c r="AG3814" s="13"/>
      <c r="AH3814" s="13"/>
      <c r="AI3814" s="13"/>
      <c r="AJ3814" s="13"/>
      <c r="AK3814" s="13"/>
      <c r="AL3814" s="13"/>
      <c r="AM3814" s="13"/>
      <c r="AN3814" s="13"/>
      <c r="AO3814" s="13"/>
      <c r="AP3814" s="13"/>
      <c r="AQ3814" s="13"/>
      <c r="AR3814" s="13"/>
      <c r="AS3814" s="13"/>
    </row>
    <row r="3815" ht="14.25" customHeight="1">
      <c r="A3815" s="13" t="s">
        <v>29</v>
      </c>
      <c r="B3815" s="13" t="s">
        <v>34</v>
      </c>
      <c r="C3815" s="13" t="s">
        <v>1972</v>
      </c>
      <c r="D3815" s="13"/>
      <c r="F3815" s="13"/>
      <c r="G3815" s="13" t="s">
        <v>74</v>
      </c>
      <c r="H3815" s="13" t="s">
        <v>75</v>
      </c>
      <c r="I3815" s="13"/>
      <c r="J3815" s="13"/>
      <c r="K3815" s="15"/>
      <c r="L3815" s="15"/>
      <c r="M3815" s="16"/>
      <c r="N3815" s="16"/>
      <c r="O3815" s="17"/>
      <c r="P3815" s="17"/>
      <c r="Q3815" s="13"/>
      <c r="R3815" s="14"/>
      <c r="S3815" s="13"/>
      <c r="T3815" s="13">
        <f t="shared" ref="T3815:Y3815" si="4097">IF(ISBLANK(K3815)=TRUE,0,1)</f>
        <v>0</v>
      </c>
      <c r="U3815" s="13">
        <f t="shared" si="4097"/>
        <v>0</v>
      </c>
      <c r="V3815" s="13">
        <f t="shared" si="4097"/>
        <v>0</v>
      </c>
      <c r="W3815" s="13">
        <f t="shared" si="4097"/>
        <v>0</v>
      </c>
      <c r="X3815" s="13">
        <f t="shared" si="4097"/>
        <v>0</v>
      </c>
      <c r="Y3815" s="13">
        <f t="shared" si="4097"/>
        <v>0</v>
      </c>
      <c r="Z3815" s="13" t="str">
        <f t="shared" si="3023"/>
        <v>NA</v>
      </c>
      <c r="AA3815" s="13"/>
      <c r="AB3815" s="13"/>
      <c r="AC3815" s="13"/>
      <c r="AD3815" s="13"/>
      <c r="AE3815" s="13"/>
      <c r="AF3815" s="13"/>
      <c r="AG3815" s="13"/>
      <c r="AH3815" s="13"/>
      <c r="AI3815" s="13"/>
      <c r="AJ3815" s="13"/>
      <c r="AK3815" s="13"/>
      <c r="AL3815" s="13"/>
      <c r="AM3815" s="13"/>
      <c r="AN3815" s="13"/>
      <c r="AO3815" s="13"/>
      <c r="AP3815" s="13"/>
      <c r="AQ3815" s="13"/>
      <c r="AR3815" s="13"/>
      <c r="AS3815" s="13"/>
    </row>
    <row r="3816" ht="14.25" customHeight="1">
      <c r="A3816" s="13" t="s">
        <v>29</v>
      </c>
      <c r="B3816" s="13" t="s">
        <v>34</v>
      </c>
      <c r="C3816" s="13" t="s">
        <v>1973</v>
      </c>
      <c r="D3816" s="13"/>
      <c r="F3816" s="13"/>
      <c r="G3816" s="13" t="s">
        <v>74</v>
      </c>
      <c r="H3816" s="13" t="s">
        <v>75</v>
      </c>
      <c r="I3816" s="13"/>
      <c r="J3816" s="13"/>
      <c r="K3816" s="15"/>
      <c r="L3816" s="15"/>
      <c r="M3816" s="16"/>
      <c r="N3816" s="16"/>
      <c r="O3816" s="17"/>
      <c r="P3816" s="17"/>
      <c r="Q3816" s="13"/>
      <c r="R3816" s="14"/>
      <c r="S3816" s="13"/>
      <c r="T3816" s="13">
        <f t="shared" ref="T3816:Y3816" si="4098">IF(ISBLANK(K3816)=TRUE,0,1)</f>
        <v>0</v>
      </c>
      <c r="U3816" s="13">
        <f t="shared" si="4098"/>
        <v>0</v>
      </c>
      <c r="V3816" s="13">
        <f t="shared" si="4098"/>
        <v>0</v>
      </c>
      <c r="W3816" s="13">
        <f t="shared" si="4098"/>
        <v>0</v>
      </c>
      <c r="X3816" s="13">
        <f t="shared" si="4098"/>
        <v>0</v>
      </c>
      <c r="Y3816" s="13">
        <f t="shared" si="4098"/>
        <v>0</v>
      </c>
      <c r="Z3816" s="13" t="str">
        <f t="shared" si="3023"/>
        <v>NA</v>
      </c>
      <c r="AA3816" s="13"/>
      <c r="AB3816" s="13"/>
      <c r="AC3816" s="13"/>
      <c r="AD3816" s="13"/>
      <c r="AE3816" s="13"/>
      <c r="AF3816" s="13"/>
      <c r="AG3816" s="13"/>
      <c r="AH3816" s="13"/>
      <c r="AI3816" s="13"/>
      <c r="AJ3816" s="13"/>
      <c r="AK3816" s="13"/>
      <c r="AL3816" s="13"/>
      <c r="AM3816" s="13"/>
      <c r="AN3816" s="13"/>
      <c r="AO3816" s="13"/>
      <c r="AP3816" s="13"/>
      <c r="AQ3816" s="13"/>
      <c r="AR3816" s="13"/>
      <c r="AS3816" s="13"/>
    </row>
    <row r="3817" ht="14.25" customHeight="1">
      <c r="A3817" s="13" t="s">
        <v>29</v>
      </c>
      <c r="B3817" s="13" t="s">
        <v>34</v>
      </c>
      <c r="C3817" s="13" t="s">
        <v>1974</v>
      </c>
      <c r="D3817" s="13"/>
      <c r="F3817" s="13"/>
      <c r="G3817" s="13" t="s">
        <v>74</v>
      </c>
      <c r="H3817" s="13" t="s">
        <v>75</v>
      </c>
      <c r="I3817" s="13"/>
      <c r="J3817" s="13"/>
      <c r="K3817" s="15"/>
      <c r="L3817" s="15"/>
      <c r="M3817" s="16"/>
      <c r="N3817" s="16"/>
      <c r="O3817" s="17"/>
      <c r="P3817" s="17"/>
      <c r="Q3817" s="13"/>
      <c r="R3817" s="14"/>
      <c r="S3817" s="13"/>
      <c r="T3817" s="13">
        <f t="shared" ref="T3817:Y3817" si="4099">IF(ISBLANK(K3817)=TRUE,0,1)</f>
        <v>0</v>
      </c>
      <c r="U3817" s="13">
        <f t="shared" si="4099"/>
        <v>0</v>
      </c>
      <c r="V3817" s="13">
        <f t="shared" si="4099"/>
        <v>0</v>
      </c>
      <c r="W3817" s="13">
        <f t="shared" si="4099"/>
        <v>0</v>
      </c>
      <c r="X3817" s="13">
        <f t="shared" si="4099"/>
        <v>0</v>
      </c>
      <c r="Y3817" s="13">
        <f t="shared" si="4099"/>
        <v>0</v>
      </c>
      <c r="Z3817" s="13" t="str">
        <f t="shared" si="3023"/>
        <v>NA</v>
      </c>
      <c r="AA3817" s="13"/>
      <c r="AB3817" s="13"/>
      <c r="AC3817" s="13"/>
      <c r="AD3817" s="13"/>
      <c r="AE3817" s="13"/>
      <c r="AF3817" s="13"/>
      <c r="AG3817" s="13"/>
      <c r="AH3817" s="13"/>
      <c r="AI3817" s="13"/>
      <c r="AJ3817" s="13"/>
      <c r="AK3817" s="13"/>
      <c r="AL3817" s="13"/>
      <c r="AM3817" s="13"/>
      <c r="AN3817" s="13"/>
      <c r="AO3817" s="13"/>
      <c r="AP3817" s="13"/>
      <c r="AQ3817" s="13"/>
      <c r="AR3817" s="13"/>
      <c r="AS3817" s="13"/>
    </row>
    <row r="3818" ht="14.25" customHeight="1">
      <c r="A3818" s="13" t="s">
        <v>29</v>
      </c>
      <c r="B3818" s="13" t="s">
        <v>34</v>
      </c>
      <c r="C3818" s="13" t="s">
        <v>717</v>
      </c>
      <c r="D3818" s="13"/>
      <c r="F3818" s="13"/>
      <c r="G3818" s="13" t="s">
        <v>74</v>
      </c>
      <c r="H3818" s="13" t="s">
        <v>75</v>
      </c>
      <c r="I3818" s="14">
        <v>44915.0</v>
      </c>
      <c r="J3818" s="14"/>
      <c r="K3818" s="15"/>
      <c r="L3818" s="15"/>
      <c r="M3818" s="16"/>
      <c r="N3818" s="16"/>
      <c r="O3818" s="17"/>
      <c r="P3818" s="17"/>
      <c r="Q3818" s="13">
        <f>K3817+L3817+M3817+N3817+O3817+P3817/6</f>
        <v>0</v>
      </c>
      <c r="R3818" s="13"/>
      <c r="S3818" s="13"/>
      <c r="T3818" s="13">
        <f t="shared" ref="T3818:Y3818" si="4100">IF(ISBLANK(K3818)=TRUE,0,1)</f>
        <v>0</v>
      </c>
      <c r="U3818" s="13">
        <f t="shared" si="4100"/>
        <v>0</v>
      </c>
      <c r="V3818" s="13">
        <f t="shared" si="4100"/>
        <v>0</v>
      </c>
      <c r="W3818" s="13">
        <f t="shared" si="4100"/>
        <v>0</v>
      </c>
      <c r="X3818" s="13">
        <f t="shared" si="4100"/>
        <v>0</v>
      </c>
      <c r="Y3818" s="13">
        <f t="shared" si="4100"/>
        <v>0</v>
      </c>
      <c r="Z3818" s="13" t="str">
        <f t="shared" si="3023"/>
        <v>NA</v>
      </c>
      <c r="AA3818" s="13"/>
      <c r="AB3818" s="13"/>
      <c r="AC3818" s="13"/>
      <c r="AD3818" s="13"/>
      <c r="AE3818" s="13"/>
      <c r="AF3818" s="13"/>
      <c r="AG3818" s="13"/>
      <c r="AH3818" s="13"/>
      <c r="AI3818" s="13"/>
      <c r="AJ3818" s="13"/>
      <c r="AK3818" s="13"/>
      <c r="AL3818" s="13"/>
      <c r="AM3818" s="13"/>
      <c r="AN3818" s="13"/>
      <c r="AO3818" s="13"/>
      <c r="AP3818" s="13"/>
      <c r="AQ3818" s="13"/>
      <c r="AR3818" s="13"/>
      <c r="AS3818" s="13"/>
    </row>
    <row r="3819" ht="14.25" customHeight="1">
      <c r="A3819" s="13" t="s">
        <v>36</v>
      </c>
      <c r="B3819" s="13" t="s">
        <v>37</v>
      </c>
      <c r="C3819" s="13" t="s">
        <v>611</v>
      </c>
      <c r="D3819" s="13" t="s">
        <v>193</v>
      </c>
      <c r="F3819" s="13"/>
      <c r="G3819" s="13" t="s">
        <v>111</v>
      </c>
      <c r="H3819" s="13" t="s">
        <v>75</v>
      </c>
      <c r="I3819" s="13"/>
      <c r="J3819" s="13"/>
      <c r="K3819" s="15">
        <v>0.0</v>
      </c>
      <c r="L3819" s="15">
        <v>0.0</v>
      </c>
      <c r="M3819" s="16"/>
      <c r="N3819" s="16"/>
      <c r="O3819" s="17"/>
      <c r="P3819" s="17"/>
      <c r="Q3819" s="13"/>
      <c r="R3819" s="13"/>
      <c r="S3819" s="13"/>
      <c r="T3819" s="13">
        <f t="shared" ref="T3819:Y3819" si="4101">IF(ISBLANK(K3819)=TRUE,0,1)</f>
        <v>1</v>
      </c>
      <c r="U3819" s="13">
        <f t="shared" si="4101"/>
        <v>1</v>
      </c>
      <c r="V3819" s="13">
        <f t="shared" si="4101"/>
        <v>0</v>
      </c>
      <c r="W3819" s="13">
        <f t="shared" si="4101"/>
        <v>0</v>
      </c>
      <c r="X3819" s="13">
        <f t="shared" si="4101"/>
        <v>0</v>
      </c>
      <c r="Y3819" s="13">
        <f t="shared" si="4101"/>
        <v>0</v>
      </c>
      <c r="Z3819" s="13">
        <f t="shared" si="3023"/>
        <v>0</v>
      </c>
      <c r="AA3819" s="13"/>
      <c r="AB3819" s="13"/>
      <c r="AC3819" s="13"/>
      <c r="AD3819" s="13"/>
      <c r="AE3819" s="13"/>
      <c r="AF3819" s="13"/>
      <c r="AG3819" s="13"/>
      <c r="AH3819" s="13"/>
      <c r="AI3819" s="13"/>
      <c r="AJ3819" s="13"/>
      <c r="AK3819" s="13"/>
      <c r="AL3819" s="13"/>
      <c r="AM3819" s="13"/>
      <c r="AN3819" s="13"/>
      <c r="AO3819" s="13"/>
      <c r="AP3819" s="13"/>
      <c r="AQ3819" s="13"/>
      <c r="AR3819" s="13"/>
      <c r="AS3819" s="13"/>
    </row>
    <row r="3820" ht="14.25" customHeight="1">
      <c r="A3820" s="13" t="s">
        <v>36</v>
      </c>
      <c r="B3820" s="13" t="s">
        <v>37</v>
      </c>
      <c r="C3820" s="13" t="s">
        <v>611</v>
      </c>
      <c r="D3820" s="13" t="s">
        <v>194</v>
      </c>
      <c r="F3820" s="13"/>
      <c r="G3820" s="13" t="s">
        <v>111</v>
      </c>
      <c r="H3820" s="13" t="s">
        <v>75</v>
      </c>
      <c r="I3820" s="13"/>
      <c r="J3820" s="13"/>
      <c r="K3820" s="15">
        <v>0.0</v>
      </c>
      <c r="L3820" s="15">
        <v>0.0</v>
      </c>
      <c r="M3820" s="16"/>
      <c r="N3820" s="16"/>
      <c r="O3820" s="17"/>
      <c r="P3820" s="17"/>
      <c r="Q3820" s="13"/>
      <c r="R3820" s="13"/>
      <c r="S3820" s="13"/>
      <c r="T3820" s="13">
        <f t="shared" ref="T3820:Y3820" si="4102">IF(ISBLANK(K3820)=TRUE,0,1)</f>
        <v>1</v>
      </c>
      <c r="U3820" s="13">
        <f t="shared" si="4102"/>
        <v>1</v>
      </c>
      <c r="V3820" s="13">
        <f t="shared" si="4102"/>
        <v>0</v>
      </c>
      <c r="W3820" s="13">
        <f t="shared" si="4102"/>
        <v>0</v>
      </c>
      <c r="X3820" s="13">
        <f t="shared" si="4102"/>
        <v>0</v>
      </c>
      <c r="Y3820" s="13">
        <f t="shared" si="4102"/>
        <v>0</v>
      </c>
      <c r="Z3820" s="13">
        <f t="shared" si="3023"/>
        <v>0</v>
      </c>
      <c r="AA3820" s="13"/>
      <c r="AB3820" s="13"/>
      <c r="AC3820" s="13"/>
      <c r="AD3820" s="13"/>
      <c r="AE3820" s="13"/>
      <c r="AF3820" s="13"/>
      <c r="AG3820" s="13"/>
      <c r="AH3820" s="13"/>
      <c r="AI3820" s="13"/>
      <c r="AJ3820" s="13"/>
      <c r="AK3820" s="13"/>
      <c r="AL3820" s="13"/>
      <c r="AM3820" s="13"/>
      <c r="AN3820" s="13"/>
      <c r="AO3820" s="13"/>
      <c r="AP3820" s="13"/>
      <c r="AQ3820" s="13"/>
      <c r="AR3820" s="13"/>
      <c r="AS3820" s="13"/>
    </row>
    <row r="3821" ht="14.25" customHeight="1">
      <c r="A3821" s="13" t="s">
        <v>36</v>
      </c>
      <c r="B3821" s="13" t="s">
        <v>37</v>
      </c>
      <c r="C3821" s="13" t="s">
        <v>611</v>
      </c>
      <c r="D3821" s="13" t="s">
        <v>195</v>
      </c>
      <c r="F3821" s="13"/>
      <c r="G3821" s="13" t="s">
        <v>111</v>
      </c>
      <c r="H3821" s="13" t="s">
        <v>75</v>
      </c>
      <c r="I3821" s="13"/>
      <c r="J3821" s="13"/>
      <c r="K3821" s="15">
        <v>0.0</v>
      </c>
      <c r="L3821" s="15">
        <v>0.0</v>
      </c>
      <c r="M3821" s="16"/>
      <c r="N3821" s="16"/>
      <c r="O3821" s="17"/>
      <c r="P3821" s="17"/>
      <c r="Q3821" s="13"/>
      <c r="R3821" s="13"/>
      <c r="S3821" s="13"/>
      <c r="T3821" s="13">
        <f t="shared" ref="T3821:Y3821" si="4103">IF(ISBLANK(K3821)=TRUE,0,1)</f>
        <v>1</v>
      </c>
      <c r="U3821" s="13">
        <f t="shared" si="4103"/>
        <v>1</v>
      </c>
      <c r="V3821" s="13">
        <f t="shared" si="4103"/>
        <v>0</v>
      </c>
      <c r="W3821" s="13">
        <f t="shared" si="4103"/>
        <v>0</v>
      </c>
      <c r="X3821" s="13">
        <f t="shared" si="4103"/>
        <v>0</v>
      </c>
      <c r="Y3821" s="13">
        <f t="shared" si="4103"/>
        <v>0</v>
      </c>
      <c r="Z3821" s="13">
        <f t="shared" si="3023"/>
        <v>0</v>
      </c>
      <c r="AA3821" s="13"/>
      <c r="AB3821" s="13"/>
      <c r="AC3821" s="13"/>
      <c r="AD3821" s="13"/>
      <c r="AE3821" s="13"/>
      <c r="AF3821" s="13"/>
      <c r="AG3821" s="13"/>
      <c r="AH3821" s="13"/>
      <c r="AI3821" s="13"/>
      <c r="AJ3821" s="13"/>
      <c r="AK3821" s="13"/>
      <c r="AL3821" s="13"/>
      <c r="AM3821" s="13"/>
      <c r="AN3821" s="13"/>
      <c r="AO3821" s="13"/>
      <c r="AP3821" s="13"/>
      <c r="AQ3821" s="13"/>
      <c r="AR3821" s="13"/>
      <c r="AS3821" s="13"/>
    </row>
    <row r="3822" ht="14.25" customHeight="1">
      <c r="A3822" s="13" t="s">
        <v>36</v>
      </c>
      <c r="B3822" s="13" t="s">
        <v>37</v>
      </c>
      <c r="C3822" s="13" t="s">
        <v>611</v>
      </c>
      <c r="D3822" s="13" t="s">
        <v>196</v>
      </c>
      <c r="F3822" s="13"/>
      <c r="G3822" s="13" t="s">
        <v>111</v>
      </c>
      <c r="H3822" s="13" t="s">
        <v>75</v>
      </c>
      <c r="I3822" s="13"/>
      <c r="J3822" s="13"/>
      <c r="K3822" s="15">
        <v>0.0</v>
      </c>
      <c r="L3822" s="15">
        <v>0.0</v>
      </c>
      <c r="M3822" s="16"/>
      <c r="N3822" s="16"/>
      <c r="O3822" s="17"/>
      <c r="P3822" s="17"/>
      <c r="Q3822" s="13"/>
      <c r="R3822" s="13"/>
      <c r="S3822" s="13"/>
      <c r="T3822" s="13">
        <f t="shared" ref="T3822:Y3822" si="4104">IF(ISBLANK(K3822)=TRUE,0,1)</f>
        <v>1</v>
      </c>
      <c r="U3822" s="13">
        <f t="shared" si="4104"/>
        <v>1</v>
      </c>
      <c r="V3822" s="13">
        <f t="shared" si="4104"/>
        <v>0</v>
      </c>
      <c r="W3822" s="13">
        <f t="shared" si="4104"/>
        <v>0</v>
      </c>
      <c r="X3822" s="13">
        <f t="shared" si="4104"/>
        <v>0</v>
      </c>
      <c r="Y3822" s="13">
        <f t="shared" si="4104"/>
        <v>0</v>
      </c>
      <c r="Z3822" s="13">
        <f t="shared" si="3023"/>
        <v>0</v>
      </c>
      <c r="AA3822" s="13"/>
      <c r="AB3822" s="13"/>
      <c r="AC3822" s="13"/>
      <c r="AD3822" s="13"/>
      <c r="AE3822" s="13"/>
      <c r="AF3822" s="13"/>
      <c r="AG3822" s="13"/>
      <c r="AH3822" s="13"/>
      <c r="AI3822" s="13"/>
      <c r="AJ3822" s="13"/>
      <c r="AK3822" s="13"/>
      <c r="AL3822" s="13"/>
      <c r="AM3822" s="13"/>
      <c r="AN3822" s="13"/>
      <c r="AO3822" s="13"/>
      <c r="AP3822" s="13"/>
      <c r="AQ3822" s="13"/>
      <c r="AR3822" s="13"/>
      <c r="AS3822" s="13"/>
    </row>
    <row r="3823" ht="14.25" customHeight="1">
      <c r="A3823" s="13" t="s">
        <v>36</v>
      </c>
      <c r="B3823" s="13" t="s">
        <v>37</v>
      </c>
      <c r="C3823" s="13" t="s">
        <v>611</v>
      </c>
      <c r="D3823" s="13" t="s">
        <v>197</v>
      </c>
      <c r="F3823" s="13"/>
      <c r="G3823" s="13" t="s">
        <v>111</v>
      </c>
      <c r="H3823" s="13" t="s">
        <v>75</v>
      </c>
      <c r="I3823" s="13"/>
      <c r="J3823" s="13"/>
      <c r="K3823" s="15">
        <v>0.0</v>
      </c>
      <c r="L3823" s="15">
        <v>0.0</v>
      </c>
      <c r="M3823" s="16"/>
      <c r="N3823" s="16"/>
      <c r="O3823" s="17"/>
      <c r="P3823" s="17"/>
      <c r="Q3823" s="13"/>
      <c r="R3823" s="13"/>
      <c r="S3823" s="13"/>
      <c r="T3823" s="13">
        <f t="shared" ref="T3823:Y3823" si="4105">IF(ISBLANK(K3823)=TRUE,0,1)</f>
        <v>1</v>
      </c>
      <c r="U3823" s="13">
        <f t="shared" si="4105"/>
        <v>1</v>
      </c>
      <c r="V3823" s="13">
        <f t="shared" si="4105"/>
        <v>0</v>
      </c>
      <c r="W3823" s="13">
        <f t="shared" si="4105"/>
        <v>0</v>
      </c>
      <c r="X3823" s="13">
        <f t="shared" si="4105"/>
        <v>0</v>
      </c>
      <c r="Y3823" s="13">
        <f t="shared" si="4105"/>
        <v>0</v>
      </c>
      <c r="Z3823" s="13">
        <f t="shared" si="3023"/>
        <v>0</v>
      </c>
      <c r="AA3823" s="13"/>
      <c r="AB3823" s="13"/>
      <c r="AC3823" s="13"/>
      <c r="AD3823" s="13"/>
      <c r="AE3823" s="13"/>
      <c r="AF3823" s="13"/>
      <c r="AG3823" s="13"/>
      <c r="AH3823" s="13"/>
      <c r="AI3823" s="13"/>
      <c r="AJ3823" s="13"/>
      <c r="AK3823" s="13"/>
      <c r="AL3823" s="13"/>
      <c r="AM3823" s="13"/>
      <c r="AN3823" s="13"/>
      <c r="AO3823" s="13"/>
      <c r="AP3823" s="13"/>
      <c r="AQ3823" s="13"/>
      <c r="AR3823" s="13"/>
      <c r="AS3823" s="13"/>
    </row>
    <row r="3824" ht="14.25" customHeight="1">
      <c r="A3824" s="13" t="s">
        <v>36</v>
      </c>
      <c r="B3824" s="13" t="s">
        <v>42</v>
      </c>
      <c r="C3824" s="13" t="s">
        <v>1732</v>
      </c>
      <c r="D3824" s="13"/>
      <c r="F3824" s="13"/>
      <c r="G3824" s="13" t="s">
        <v>111</v>
      </c>
      <c r="H3824" s="13" t="s">
        <v>75</v>
      </c>
      <c r="I3824" s="14">
        <v>44915.0</v>
      </c>
      <c r="J3824" s="14"/>
      <c r="K3824" s="15">
        <v>1.0</v>
      </c>
      <c r="L3824" s="15">
        <v>1.0</v>
      </c>
      <c r="M3824" s="16"/>
      <c r="N3824" s="16"/>
      <c r="O3824" s="17"/>
      <c r="P3824" s="17"/>
      <c r="Q3824" s="13">
        <f t="shared" ref="Q3824:Q3827" si="4107">K3823+L3823+M3823+N3823+O3823+P3823/6</f>
        <v>0</v>
      </c>
      <c r="R3824" s="13"/>
      <c r="S3824" s="13"/>
      <c r="T3824" s="13">
        <f t="shared" ref="T3824:Y3824" si="4106">IF(ISBLANK(K3824)=TRUE,0,1)</f>
        <v>1</v>
      </c>
      <c r="U3824" s="13">
        <f t="shared" si="4106"/>
        <v>1</v>
      </c>
      <c r="V3824" s="13">
        <f t="shared" si="4106"/>
        <v>0</v>
      </c>
      <c r="W3824" s="13">
        <f t="shared" si="4106"/>
        <v>0</v>
      </c>
      <c r="X3824" s="13">
        <f t="shared" si="4106"/>
        <v>0</v>
      </c>
      <c r="Y3824" s="13">
        <f t="shared" si="4106"/>
        <v>0</v>
      </c>
      <c r="Z3824" s="13">
        <f t="shared" si="3023"/>
        <v>1</v>
      </c>
      <c r="AA3824" s="13"/>
      <c r="AB3824" s="13"/>
      <c r="AC3824" s="13"/>
      <c r="AD3824" s="13"/>
      <c r="AE3824" s="13"/>
      <c r="AF3824" s="13"/>
      <c r="AG3824" s="13"/>
      <c r="AH3824" s="13"/>
      <c r="AI3824" s="13"/>
      <c r="AJ3824" s="13"/>
      <c r="AK3824" s="13"/>
      <c r="AL3824" s="13"/>
      <c r="AM3824" s="13"/>
      <c r="AN3824" s="13"/>
      <c r="AO3824" s="13"/>
      <c r="AP3824" s="13"/>
      <c r="AQ3824" s="13"/>
      <c r="AR3824" s="13"/>
      <c r="AS3824" s="13"/>
    </row>
    <row r="3825" ht="14.25" customHeight="1">
      <c r="A3825" s="13" t="s">
        <v>36</v>
      </c>
      <c r="B3825" s="13" t="s">
        <v>42</v>
      </c>
      <c r="C3825" s="13" t="s">
        <v>1733</v>
      </c>
      <c r="D3825" s="13"/>
      <c r="F3825" s="13"/>
      <c r="G3825" s="13" t="s">
        <v>74</v>
      </c>
      <c r="H3825" s="13" t="s">
        <v>75</v>
      </c>
      <c r="I3825" s="14">
        <v>44894.0</v>
      </c>
      <c r="J3825" s="14"/>
      <c r="K3825" s="15">
        <v>1.0</v>
      </c>
      <c r="L3825" s="15">
        <v>1.0</v>
      </c>
      <c r="M3825" s="16"/>
      <c r="N3825" s="16"/>
      <c r="O3825" s="17"/>
      <c r="P3825" s="17"/>
      <c r="Q3825" s="13">
        <f t="shared" si="4107"/>
        <v>2</v>
      </c>
      <c r="R3825" s="13"/>
      <c r="S3825" s="13"/>
      <c r="T3825" s="13">
        <f t="shared" ref="T3825:Y3825" si="4108">IF(ISBLANK(K3825)=TRUE,0,1)</f>
        <v>1</v>
      </c>
      <c r="U3825" s="13">
        <f t="shared" si="4108"/>
        <v>1</v>
      </c>
      <c r="V3825" s="13">
        <f t="shared" si="4108"/>
        <v>0</v>
      </c>
      <c r="W3825" s="13">
        <f t="shared" si="4108"/>
        <v>0</v>
      </c>
      <c r="X3825" s="13">
        <f t="shared" si="4108"/>
        <v>0</v>
      </c>
      <c r="Y3825" s="13">
        <f t="shared" si="4108"/>
        <v>0</v>
      </c>
      <c r="Z3825" s="13">
        <f t="shared" si="3023"/>
        <v>1</v>
      </c>
      <c r="AA3825" s="13"/>
      <c r="AB3825" s="13"/>
      <c r="AC3825" s="13"/>
      <c r="AD3825" s="13"/>
      <c r="AE3825" s="13"/>
      <c r="AF3825" s="13"/>
      <c r="AG3825" s="13"/>
      <c r="AH3825" s="13"/>
      <c r="AI3825" s="13"/>
      <c r="AJ3825" s="13"/>
      <c r="AK3825" s="13"/>
      <c r="AL3825" s="13"/>
      <c r="AM3825" s="13"/>
      <c r="AN3825" s="13"/>
      <c r="AO3825" s="13"/>
      <c r="AP3825" s="13"/>
      <c r="AQ3825" s="13"/>
      <c r="AR3825" s="13"/>
      <c r="AS3825" s="13"/>
    </row>
    <row r="3826" ht="14.25" customHeight="1">
      <c r="A3826" s="13" t="s">
        <v>36</v>
      </c>
      <c r="B3826" s="13" t="s">
        <v>42</v>
      </c>
      <c r="C3826" s="13" t="s">
        <v>1734</v>
      </c>
      <c r="D3826" s="13"/>
      <c r="F3826" s="13"/>
      <c r="G3826" s="13" t="s">
        <v>74</v>
      </c>
      <c r="H3826" s="13" t="s">
        <v>75</v>
      </c>
      <c r="I3826" s="14">
        <v>44894.0</v>
      </c>
      <c r="J3826" s="14"/>
      <c r="K3826" s="15">
        <v>1.0</v>
      </c>
      <c r="L3826" s="15">
        <v>1.0</v>
      </c>
      <c r="M3826" s="16"/>
      <c r="N3826" s="16"/>
      <c r="O3826" s="17"/>
      <c r="P3826" s="17"/>
      <c r="Q3826" s="13">
        <f t="shared" si="4107"/>
        <v>2</v>
      </c>
      <c r="R3826" s="13"/>
      <c r="S3826" s="13"/>
      <c r="T3826" s="13">
        <f t="shared" ref="T3826:Y3826" si="4109">IF(ISBLANK(K3826)=TRUE,0,1)</f>
        <v>1</v>
      </c>
      <c r="U3826" s="13">
        <f t="shared" si="4109"/>
        <v>1</v>
      </c>
      <c r="V3826" s="13">
        <f t="shared" si="4109"/>
        <v>0</v>
      </c>
      <c r="W3826" s="13">
        <f t="shared" si="4109"/>
        <v>0</v>
      </c>
      <c r="X3826" s="13">
        <f t="shared" si="4109"/>
        <v>0</v>
      </c>
      <c r="Y3826" s="13">
        <f t="shared" si="4109"/>
        <v>0</v>
      </c>
      <c r="Z3826" s="13">
        <f t="shared" si="3023"/>
        <v>1</v>
      </c>
      <c r="AA3826" s="13"/>
      <c r="AB3826" s="13"/>
      <c r="AC3826" s="13"/>
      <c r="AD3826" s="13"/>
      <c r="AE3826" s="13"/>
      <c r="AF3826" s="13"/>
      <c r="AG3826" s="13"/>
      <c r="AH3826" s="13"/>
      <c r="AI3826" s="13"/>
      <c r="AJ3826" s="13"/>
      <c r="AK3826" s="13"/>
      <c r="AL3826" s="13"/>
      <c r="AM3826" s="13"/>
      <c r="AN3826" s="13"/>
      <c r="AO3826" s="13"/>
      <c r="AP3826" s="13"/>
      <c r="AQ3826" s="13"/>
      <c r="AR3826" s="13"/>
      <c r="AS3826" s="13"/>
    </row>
    <row r="3827" ht="14.25" customHeight="1">
      <c r="A3827" s="13" t="s">
        <v>36</v>
      </c>
      <c r="B3827" s="13" t="s">
        <v>42</v>
      </c>
      <c r="C3827" s="13" t="s">
        <v>1735</v>
      </c>
      <c r="D3827" s="13"/>
      <c r="F3827" s="13"/>
      <c r="G3827" s="13" t="s">
        <v>74</v>
      </c>
      <c r="H3827" s="13" t="s">
        <v>75</v>
      </c>
      <c r="I3827" s="14">
        <v>44915.0</v>
      </c>
      <c r="J3827" s="14"/>
      <c r="K3827" s="15">
        <v>1.0</v>
      </c>
      <c r="L3827" s="15">
        <v>1.0</v>
      </c>
      <c r="M3827" s="16"/>
      <c r="N3827" s="16"/>
      <c r="O3827" s="17"/>
      <c r="P3827" s="17"/>
      <c r="Q3827" s="13">
        <f t="shared" si="4107"/>
        <v>2</v>
      </c>
      <c r="R3827" s="13"/>
      <c r="S3827" s="13"/>
      <c r="T3827" s="13">
        <f t="shared" ref="T3827:Y3827" si="4110">IF(ISBLANK(K3827)=TRUE,0,1)</f>
        <v>1</v>
      </c>
      <c r="U3827" s="13">
        <f t="shared" si="4110"/>
        <v>1</v>
      </c>
      <c r="V3827" s="13">
        <f t="shared" si="4110"/>
        <v>0</v>
      </c>
      <c r="W3827" s="13">
        <f t="shared" si="4110"/>
        <v>0</v>
      </c>
      <c r="X3827" s="13">
        <f t="shared" si="4110"/>
        <v>0</v>
      </c>
      <c r="Y3827" s="13">
        <f t="shared" si="4110"/>
        <v>0</v>
      </c>
      <c r="Z3827" s="13">
        <f t="shared" si="3023"/>
        <v>1</v>
      </c>
      <c r="AA3827" s="13"/>
      <c r="AB3827" s="13"/>
      <c r="AC3827" s="13"/>
      <c r="AD3827" s="13"/>
      <c r="AE3827" s="13"/>
      <c r="AF3827" s="13"/>
      <c r="AG3827" s="13"/>
      <c r="AH3827" s="13"/>
      <c r="AI3827" s="13"/>
      <c r="AJ3827" s="13"/>
      <c r="AK3827" s="13"/>
      <c r="AL3827" s="13"/>
      <c r="AM3827" s="13"/>
      <c r="AN3827" s="13"/>
      <c r="AO3827" s="13"/>
      <c r="AP3827" s="13"/>
      <c r="AQ3827" s="13"/>
      <c r="AR3827" s="13"/>
      <c r="AS3827" s="13"/>
    </row>
    <row r="3828" ht="14.25" customHeight="1">
      <c r="A3828" s="26" t="s">
        <v>46</v>
      </c>
      <c r="B3828" s="31" t="s">
        <v>53</v>
      </c>
      <c r="C3828" s="26" t="s">
        <v>748</v>
      </c>
      <c r="D3828" s="26" t="s">
        <v>181</v>
      </c>
      <c r="E3828" s="13"/>
      <c r="F3828" s="26"/>
      <c r="G3828" s="26" t="s">
        <v>111</v>
      </c>
      <c r="H3828" s="26" t="s">
        <v>107</v>
      </c>
      <c r="I3828" s="13"/>
      <c r="J3828" s="13"/>
      <c r="K3828" s="15">
        <v>1.0</v>
      </c>
      <c r="L3828" s="15">
        <v>1.0</v>
      </c>
      <c r="M3828" s="16"/>
      <c r="N3828" s="16"/>
      <c r="O3828" s="17"/>
      <c r="P3828" s="17"/>
      <c r="Q3828" s="13"/>
      <c r="R3828" s="13"/>
      <c r="S3828" s="13"/>
      <c r="T3828" s="13">
        <f t="shared" ref="T3828:Y3828" si="4111">IF(ISBLANK(K3828)=TRUE,0,1)</f>
        <v>1</v>
      </c>
      <c r="U3828" s="13">
        <f t="shared" si="4111"/>
        <v>1</v>
      </c>
      <c r="V3828" s="13">
        <f t="shared" si="4111"/>
        <v>0</v>
      </c>
      <c r="W3828" s="13">
        <f t="shared" si="4111"/>
        <v>0</v>
      </c>
      <c r="X3828" s="13">
        <f t="shared" si="4111"/>
        <v>0</v>
      </c>
      <c r="Y3828" s="13">
        <f t="shared" si="4111"/>
        <v>0</v>
      </c>
      <c r="Z3828" s="13">
        <f t="shared" si="3023"/>
        <v>1</v>
      </c>
      <c r="AA3828" s="13"/>
      <c r="AB3828" s="13"/>
      <c r="AC3828" s="13"/>
      <c r="AD3828" s="13"/>
      <c r="AE3828" s="13"/>
      <c r="AF3828" s="13"/>
      <c r="AG3828" s="13"/>
      <c r="AH3828" s="13"/>
      <c r="AI3828" s="13"/>
      <c r="AJ3828" s="13"/>
      <c r="AK3828" s="13"/>
      <c r="AL3828" s="13"/>
      <c r="AM3828" s="13"/>
      <c r="AN3828" s="13"/>
      <c r="AO3828" s="13"/>
      <c r="AP3828" s="13"/>
      <c r="AQ3828" s="13"/>
      <c r="AR3828" s="13"/>
      <c r="AS3828" s="13"/>
    </row>
    <row r="3829" ht="14.25" customHeight="1">
      <c r="A3829" s="13" t="s">
        <v>46</v>
      </c>
      <c r="B3829" s="13" t="s">
        <v>55</v>
      </c>
      <c r="C3829" s="13" t="s">
        <v>1902</v>
      </c>
      <c r="D3829" s="13" t="s">
        <v>174</v>
      </c>
      <c r="E3829" s="13"/>
      <c r="F3829" s="13"/>
      <c r="G3829" s="26" t="s">
        <v>74</v>
      </c>
      <c r="H3829" s="13" t="s">
        <v>75</v>
      </c>
      <c r="I3829" s="13"/>
      <c r="J3829" s="13"/>
      <c r="K3829" s="15">
        <v>1.0</v>
      </c>
      <c r="L3829" s="15">
        <v>1.0</v>
      </c>
      <c r="M3829" s="16"/>
      <c r="N3829" s="16"/>
      <c r="O3829" s="17"/>
      <c r="P3829" s="17"/>
      <c r="Q3829" s="13"/>
      <c r="R3829" s="13"/>
      <c r="S3829" s="13"/>
      <c r="T3829" s="13">
        <f t="shared" ref="T3829:Y3829" si="4112">IF(ISBLANK(K3829)=TRUE,0,1)</f>
        <v>1</v>
      </c>
      <c r="U3829" s="13">
        <f t="shared" si="4112"/>
        <v>1</v>
      </c>
      <c r="V3829" s="13">
        <f t="shared" si="4112"/>
        <v>0</v>
      </c>
      <c r="W3829" s="13">
        <f t="shared" si="4112"/>
        <v>0</v>
      </c>
      <c r="X3829" s="13">
        <f t="shared" si="4112"/>
        <v>0</v>
      </c>
      <c r="Y3829" s="13">
        <f t="shared" si="4112"/>
        <v>0</v>
      </c>
      <c r="Z3829" s="13">
        <f t="shared" si="3023"/>
        <v>1</v>
      </c>
      <c r="AA3829" s="13"/>
      <c r="AB3829" s="13"/>
      <c r="AC3829" s="13"/>
      <c r="AD3829" s="13"/>
      <c r="AE3829" s="13"/>
      <c r="AF3829" s="13"/>
      <c r="AG3829" s="13"/>
      <c r="AH3829" s="13"/>
      <c r="AI3829" s="13"/>
      <c r="AJ3829" s="13"/>
      <c r="AK3829" s="13"/>
      <c r="AL3829" s="13"/>
      <c r="AM3829" s="13"/>
      <c r="AN3829" s="13"/>
      <c r="AO3829" s="13"/>
      <c r="AP3829" s="13"/>
      <c r="AQ3829" s="13"/>
      <c r="AR3829" s="13"/>
      <c r="AS3829" s="13"/>
    </row>
    <row r="3830" ht="14.25" customHeight="1">
      <c r="A3830" s="13" t="s">
        <v>46</v>
      </c>
      <c r="B3830" s="13" t="s">
        <v>55</v>
      </c>
      <c r="C3830" s="13" t="s">
        <v>1902</v>
      </c>
      <c r="D3830" s="13" t="s">
        <v>175</v>
      </c>
      <c r="E3830" s="13"/>
      <c r="F3830" s="13"/>
      <c r="G3830" s="26" t="s">
        <v>74</v>
      </c>
      <c r="H3830" s="13" t="s">
        <v>75</v>
      </c>
      <c r="I3830" s="13"/>
      <c r="J3830" s="13"/>
      <c r="K3830" s="15">
        <v>1.0</v>
      </c>
      <c r="L3830" s="15">
        <v>1.0</v>
      </c>
      <c r="M3830" s="16"/>
      <c r="N3830" s="16"/>
      <c r="O3830" s="17"/>
      <c r="P3830" s="17"/>
      <c r="Q3830" s="13"/>
      <c r="R3830" s="13"/>
      <c r="S3830" s="13"/>
      <c r="T3830" s="13">
        <f t="shared" ref="T3830:Y3830" si="4113">IF(ISBLANK(K3830)=TRUE,0,1)</f>
        <v>1</v>
      </c>
      <c r="U3830" s="13">
        <f t="shared" si="4113"/>
        <v>1</v>
      </c>
      <c r="V3830" s="13">
        <f t="shared" si="4113"/>
        <v>0</v>
      </c>
      <c r="W3830" s="13">
        <f t="shared" si="4113"/>
        <v>0</v>
      </c>
      <c r="X3830" s="13">
        <f t="shared" si="4113"/>
        <v>0</v>
      </c>
      <c r="Y3830" s="13">
        <f t="shared" si="4113"/>
        <v>0</v>
      </c>
      <c r="Z3830" s="13">
        <f t="shared" si="3023"/>
        <v>1</v>
      </c>
      <c r="AA3830" s="13"/>
      <c r="AB3830" s="13"/>
      <c r="AC3830" s="13"/>
      <c r="AD3830" s="13"/>
      <c r="AE3830" s="13"/>
      <c r="AF3830" s="13"/>
      <c r="AG3830" s="13"/>
      <c r="AH3830" s="13"/>
      <c r="AI3830" s="13"/>
      <c r="AJ3830" s="13"/>
      <c r="AK3830" s="13"/>
      <c r="AL3830" s="13"/>
      <c r="AM3830" s="13"/>
      <c r="AN3830" s="13"/>
      <c r="AO3830" s="13"/>
      <c r="AP3830" s="13"/>
      <c r="AQ3830" s="13"/>
      <c r="AR3830" s="13"/>
      <c r="AS3830" s="13"/>
    </row>
    <row r="3831" ht="14.25" customHeight="1">
      <c r="A3831" s="13" t="s">
        <v>46</v>
      </c>
      <c r="B3831" s="13" t="s">
        <v>55</v>
      </c>
      <c r="C3831" s="13" t="s">
        <v>432</v>
      </c>
      <c r="D3831" s="26" t="s">
        <v>178</v>
      </c>
      <c r="E3831" s="13"/>
      <c r="F3831" s="13"/>
      <c r="G3831" s="26" t="s">
        <v>74</v>
      </c>
      <c r="H3831" s="13" t="s">
        <v>75</v>
      </c>
      <c r="I3831" s="13"/>
      <c r="J3831" s="13"/>
      <c r="K3831" s="15">
        <v>1.0</v>
      </c>
      <c r="L3831" s="15">
        <v>1.0</v>
      </c>
      <c r="M3831" s="16"/>
      <c r="N3831" s="16"/>
      <c r="O3831" s="17"/>
      <c r="P3831" s="17"/>
      <c r="Q3831" s="13"/>
      <c r="R3831" s="13"/>
      <c r="S3831" s="13"/>
      <c r="T3831" s="13">
        <f t="shared" ref="T3831:Y3831" si="4114">IF(ISBLANK(K3831)=TRUE,0,1)</f>
        <v>1</v>
      </c>
      <c r="U3831" s="13">
        <f t="shared" si="4114"/>
        <v>1</v>
      </c>
      <c r="V3831" s="13">
        <f t="shared" si="4114"/>
        <v>0</v>
      </c>
      <c r="W3831" s="13">
        <f t="shared" si="4114"/>
        <v>0</v>
      </c>
      <c r="X3831" s="13">
        <f t="shared" si="4114"/>
        <v>0</v>
      </c>
      <c r="Y3831" s="13">
        <f t="shared" si="4114"/>
        <v>0</v>
      </c>
      <c r="Z3831" s="13">
        <f t="shared" si="3023"/>
        <v>1</v>
      </c>
      <c r="AA3831" s="13"/>
      <c r="AB3831" s="13"/>
      <c r="AC3831" s="13"/>
      <c r="AD3831" s="13"/>
      <c r="AE3831" s="13"/>
      <c r="AF3831" s="13"/>
      <c r="AG3831" s="13"/>
      <c r="AH3831" s="13"/>
      <c r="AI3831" s="13"/>
      <c r="AJ3831" s="13"/>
      <c r="AK3831" s="13"/>
      <c r="AL3831" s="13"/>
      <c r="AM3831" s="13"/>
      <c r="AN3831" s="13"/>
      <c r="AO3831" s="13"/>
      <c r="AP3831" s="13"/>
      <c r="AQ3831" s="13"/>
      <c r="AR3831" s="13"/>
      <c r="AS3831" s="13"/>
    </row>
    <row r="3832" ht="14.25" customHeight="1">
      <c r="A3832" s="13" t="s">
        <v>46</v>
      </c>
      <c r="B3832" s="13" t="s">
        <v>55</v>
      </c>
      <c r="C3832" s="13" t="s">
        <v>432</v>
      </c>
      <c r="D3832" s="26" t="s">
        <v>179</v>
      </c>
      <c r="E3832" s="13"/>
      <c r="F3832" s="13"/>
      <c r="G3832" s="26" t="s">
        <v>74</v>
      </c>
      <c r="H3832" s="13" t="s">
        <v>75</v>
      </c>
      <c r="I3832" s="13"/>
      <c r="J3832" s="13"/>
      <c r="K3832" s="15">
        <v>1.0</v>
      </c>
      <c r="L3832" s="15">
        <v>1.0</v>
      </c>
      <c r="M3832" s="16"/>
      <c r="N3832" s="16"/>
      <c r="O3832" s="17"/>
      <c r="P3832" s="17"/>
      <c r="Q3832" s="13"/>
      <c r="R3832" s="13"/>
      <c r="S3832" s="13"/>
      <c r="T3832" s="13">
        <f t="shared" ref="T3832:Y3832" si="4115">IF(ISBLANK(K3832)=TRUE,0,1)</f>
        <v>1</v>
      </c>
      <c r="U3832" s="13">
        <f t="shared" si="4115"/>
        <v>1</v>
      </c>
      <c r="V3832" s="13">
        <f t="shared" si="4115"/>
        <v>0</v>
      </c>
      <c r="W3832" s="13">
        <f t="shared" si="4115"/>
        <v>0</v>
      </c>
      <c r="X3832" s="13">
        <f t="shared" si="4115"/>
        <v>0</v>
      </c>
      <c r="Y3832" s="13">
        <f t="shared" si="4115"/>
        <v>0</v>
      </c>
      <c r="Z3832" s="13">
        <f t="shared" si="3023"/>
        <v>1</v>
      </c>
      <c r="AA3832" s="13"/>
      <c r="AB3832" s="13"/>
      <c r="AC3832" s="13"/>
      <c r="AD3832" s="13"/>
      <c r="AE3832" s="13"/>
      <c r="AF3832" s="13"/>
      <c r="AG3832" s="13"/>
      <c r="AH3832" s="13"/>
      <c r="AI3832" s="13"/>
      <c r="AJ3832" s="13"/>
      <c r="AK3832" s="13"/>
      <c r="AL3832" s="13"/>
      <c r="AM3832" s="13"/>
      <c r="AN3832" s="13"/>
      <c r="AO3832" s="13"/>
      <c r="AP3832" s="13"/>
      <c r="AQ3832" s="13"/>
      <c r="AR3832" s="13"/>
      <c r="AS3832" s="13"/>
    </row>
    <row r="3833" ht="14.25" customHeight="1">
      <c r="A3833" s="13" t="s">
        <v>46</v>
      </c>
      <c r="B3833" s="13" t="s">
        <v>55</v>
      </c>
      <c r="C3833" s="13" t="s">
        <v>432</v>
      </c>
      <c r="D3833" s="26" t="s">
        <v>180</v>
      </c>
      <c r="E3833" s="13"/>
      <c r="F3833" s="13"/>
      <c r="G3833" s="26" t="s">
        <v>74</v>
      </c>
      <c r="H3833" s="13" t="s">
        <v>75</v>
      </c>
      <c r="I3833" s="13"/>
      <c r="J3833" s="13"/>
      <c r="K3833" s="15">
        <v>1.0</v>
      </c>
      <c r="L3833" s="15">
        <v>1.0</v>
      </c>
      <c r="M3833" s="16"/>
      <c r="N3833" s="16"/>
      <c r="O3833" s="17"/>
      <c r="P3833" s="17"/>
      <c r="Q3833" s="13"/>
      <c r="R3833" s="13"/>
      <c r="S3833" s="13"/>
      <c r="T3833" s="13">
        <f t="shared" ref="T3833:Y3833" si="4116">IF(ISBLANK(K3833)=TRUE,0,1)</f>
        <v>1</v>
      </c>
      <c r="U3833" s="13">
        <f t="shared" si="4116"/>
        <v>1</v>
      </c>
      <c r="V3833" s="13">
        <f t="shared" si="4116"/>
        <v>0</v>
      </c>
      <c r="W3833" s="13">
        <f t="shared" si="4116"/>
        <v>0</v>
      </c>
      <c r="X3833" s="13">
        <f t="shared" si="4116"/>
        <v>0</v>
      </c>
      <c r="Y3833" s="13">
        <f t="shared" si="4116"/>
        <v>0</v>
      </c>
      <c r="Z3833" s="13">
        <f t="shared" si="3023"/>
        <v>1</v>
      </c>
      <c r="AA3833" s="13"/>
      <c r="AB3833" s="13"/>
      <c r="AC3833" s="13"/>
      <c r="AD3833" s="13"/>
      <c r="AE3833" s="13"/>
      <c r="AF3833" s="13"/>
      <c r="AG3833" s="13"/>
      <c r="AH3833" s="13"/>
      <c r="AI3833" s="13"/>
      <c r="AJ3833" s="13"/>
      <c r="AK3833" s="13"/>
      <c r="AL3833" s="13"/>
      <c r="AM3833" s="13"/>
      <c r="AN3833" s="13"/>
      <c r="AO3833" s="13"/>
      <c r="AP3833" s="13"/>
      <c r="AQ3833" s="13"/>
      <c r="AR3833" s="13"/>
      <c r="AS3833" s="13"/>
    </row>
    <row r="3834" ht="14.25" customHeight="1">
      <c r="A3834" s="13" t="s">
        <v>46</v>
      </c>
      <c r="B3834" s="13" t="s">
        <v>55</v>
      </c>
      <c r="C3834" s="13" t="s">
        <v>432</v>
      </c>
      <c r="D3834" s="26" t="s">
        <v>181</v>
      </c>
      <c r="E3834" s="13"/>
      <c r="F3834" s="13"/>
      <c r="G3834" s="26" t="s">
        <v>74</v>
      </c>
      <c r="H3834" s="13" t="s">
        <v>75</v>
      </c>
      <c r="I3834" s="13"/>
      <c r="J3834" s="13"/>
      <c r="K3834" s="15">
        <v>1.0</v>
      </c>
      <c r="L3834" s="15">
        <v>1.0</v>
      </c>
      <c r="M3834" s="16"/>
      <c r="N3834" s="16"/>
      <c r="O3834" s="17"/>
      <c r="P3834" s="17"/>
      <c r="Q3834" s="13"/>
      <c r="R3834" s="13"/>
      <c r="S3834" s="13"/>
      <c r="T3834" s="13">
        <f t="shared" ref="T3834:Y3834" si="4117">IF(ISBLANK(K3834)=TRUE,0,1)</f>
        <v>1</v>
      </c>
      <c r="U3834" s="13">
        <f t="shared" si="4117"/>
        <v>1</v>
      </c>
      <c r="V3834" s="13">
        <f t="shared" si="4117"/>
        <v>0</v>
      </c>
      <c r="W3834" s="13">
        <f t="shared" si="4117"/>
        <v>0</v>
      </c>
      <c r="X3834" s="13">
        <f t="shared" si="4117"/>
        <v>0</v>
      </c>
      <c r="Y3834" s="13">
        <f t="shared" si="4117"/>
        <v>0</v>
      </c>
      <c r="Z3834" s="13">
        <f t="shared" si="3023"/>
        <v>1</v>
      </c>
      <c r="AA3834" s="13"/>
      <c r="AB3834" s="13"/>
      <c r="AC3834" s="13"/>
      <c r="AD3834" s="13"/>
      <c r="AE3834" s="13"/>
      <c r="AF3834" s="13"/>
      <c r="AG3834" s="13"/>
      <c r="AH3834" s="13"/>
      <c r="AI3834" s="13"/>
      <c r="AJ3834" s="13"/>
      <c r="AK3834" s="13"/>
      <c r="AL3834" s="13"/>
      <c r="AM3834" s="13"/>
      <c r="AN3834" s="13"/>
      <c r="AO3834" s="13"/>
      <c r="AP3834" s="13"/>
      <c r="AQ3834" s="13"/>
      <c r="AR3834" s="13"/>
      <c r="AS3834" s="13"/>
    </row>
    <row r="3835" ht="14.25" customHeight="1">
      <c r="A3835" s="13" t="s">
        <v>46</v>
      </c>
      <c r="B3835" s="13" t="s">
        <v>55</v>
      </c>
      <c r="C3835" s="13" t="s">
        <v>432</v>
      </c>
      <c r="D3835" s="26" t="s">
        <v>183</v>
      </c>
      <c r="E3835" s="13"/>
      <c r="F3835" s="13"/>
      <c r="G3835" s="26" t="s">
        <v>74</v>
      </c>
      <c r="H3835" s="13" t="s">
        <v>75</v>
      </c>
      <c r="I3835" s="13"/>
      <c r="J3835" s="13"/>
      <c r="K3835" s="15">
        <v>1.0</v>
      </c>
      <c r="L3835" s="15">
        <v>1.0</v>
      </c>
      <c r="M3835" s="16"/>
      <c r="N3835" s="16"/>
      <c r="O3835" s="17"/>
      <c r="P3835" s="17"/>
      <c r="Q3835" s="13"/>
      <c r="R3835" s="13"/>
      <c r="S3835" s="13"/>
      <c r="T3835" s="13">
        <f t="shared" ref="T3835:Y3835" si="4118">IF(ISBLANK(K3835)=TRUE,0,1)</f>
        <v>1</v>
      </c>
      <c r="U3835" s="13">
        <f t="shared" si="4118"/>
        <v>1</v>
      </c>
      <c r="V3835" s="13">
        <f t="shared" si="4118"/>
        <v>0</v>
      </c>
      <c r="W3835" s="13">
        <f t="shared" si="4118"/>
        <v>0</v>
      </c>
      <c r="X3835" s="13">
        <f t="shared" si="4118"/>
        <v>0</v>
      </c>
      <c r="Y3835" s="13">
        <f t="shared" si="4118"/>
        <v>0</v>
      </c>
      <c r="Z3835" s="13">
        <f t="shared" si="3023"/>
        <v>1</v>
      </c>
      <c r="AA3835" s="13"/>
      <c r="AB3835" s="13"/>
      <c r="AC3835" s="13"/>
      <c r="AD3835" s="13"/>
      <c r="AE3835" s="13"/>
      <c r="AF3835" s="13"/>
      <c r="AG3835" s="13"/>
      <c r="AH3835" s="13"/>
      <c r="AI3835" s="13"/>
      <c r="AJ3835" s="13"/>
      <c r="AK3835" s="13"/>
      <c r="AL3835" s="13"/>
      <c r="AM3835" s="13"/>
      <c r="AN3835" s="13"/>
      <c r="AO3835" s="13"/>
      <c r="AP3835" s="13"/>
      <c r="AQ3835" s="13"/>
      <c r="AR3835" s="13"/>
      <c r="AS3835" s="13"/>
    </row>
    <row r="3836" ht="14.25" customHeight="1">
      <c r="A3836" s="13" t="s">
        <v>46</v>
      </c>
      <c r="B3836" s="13" t="s">
        <v>55</v>
      </c>
      <c r="C3836" s="13" t="s">
        <v>432</v>
      </c>
      <c r="D3836" s="26" t="s">
        <v>184</v>
      </c>
      <c r="E3836" s="13"/>
      <c r="F3836" s="13"/>
      <c r="G3836" s="26" t="s">
        <v>74</v>
      </c>
      <c r="H3836" s="13" t="s">
        <v>75</v>
      </c>
      <c r="I3836" s="13"/>
      <c r="J3836" s="13"/>
      <c r="K3836" s="15">
        <v>1.0</v>
      </c>
      <c r="L3836" s="15">
        <v>1.0</v>
      </c>
      <c r="M3836" s="16"/>
      <c r="N3836" s="16"/>
      <c r="O3836" s="17"/>
      <c r="P3836" s="17"/>
      <c r="Q3836" s="13"/>
      <c r="R3836" s="13"/>
      <c r="S3836" s="13"/>
      <c r="T3836" s="13">
        <f t="shared" ref="T3836:Y3836" si="4119">IF(ISBLANK(K3836)=TRUE,0,1)</f>
        <v>1</v>
      </c>
      <c r="U3836" s="13">
        <f t="shared" si="4119"/>
        <v>1</v>
      </c>
      <c r="V3836" s="13">
        <f t="shared" si="4119"/>
        <v>0</v>
      </c>
      <c r="W3836" s="13">
        <f t="shared" si="4119"/>
        <v>0</v>
      </c>
      <c r="X3836" s="13">
        <f t="shared" si="4119"/>
        <v>0</v>
      </c>
      <c r="Y3836" s="13">
        <f t="shared" si="4119"/>
        <v>0</v>
      </c>
      <c r="Z3836" s="13">
        <f t="shared" si="3023"/>
        <v>1</v>
      </c>
      <c r="AA3836" s="13"/>
      <c r="AB3836" s="13"/>
      <c r="AC3836" s="13"/>
      <c r="AD3836" s="13"/>
      <c r="AE3836" s="13"/>
      <c r="AF3836" s="13"/>
      <c r="AG3836" s="13"/>
      <c r="AH3836" s="13"/>
      <c r="AI3836" s="13"/>
      <c r="AJ3836" s="13"/>
      <c r="AK3836" s="13"/>
      <c r="AL3836" s="13"/>
      <c r="AM3836" s="13"/>
      <c r="AN3836" s="13"/>
      <c r="AO3836" s="13"/>
      <c r="AP3836" s="13"/>
      <c r="AQ3836" s="13"/>
      <c r="AR3836" s="13"/>
      <c r="AS3836" s="13"/>
    </row>
    <row r="3837" ht="14.25" customHeight="1">
      <c r="A3837" s="13" t="s">
        <v>46</v>
      </c>
      <c r="B3837" s="13" t="s">
        <v>55</v>
      </c>
      <c r="C3837" s="13" t="s">
        <v>432</v>
      </c>
      <c r="D3837" s="26" t="s">
        <v>185</v>
      </c>
      <c r="E3837" s="13"/>
      <c r="F3837" s="13"/>
      <c r="G3837" s="26" t="s">
        <v>74</v>
      </c>
      <c r="H3837" s="13" t="s">
        <v>75</v>
      </c>
      <c r="I3837" s="13"/>
      <c r="J3837" s="13"/>
      <c r="K3837" s="15">
        <v>1.0</v>
      </c>
      <c r="L3837" s="15">
        <v>1.0</v>
      </c>
      <c r="M3837" s="16"/>
      <c r="N3837" s="16"/>
      <c r="O3837" s="17"/>
      <c r="P3837" s="17"/>
      <c r="Q3837" s="13"/>
      <c r="R3837" s="13"/>
      <c r="S3837" s="13"/>
      <c r="T3837" s="13">
        <f t="shared" ref="T3837:Y3837" si="4120">IF(ISBLANK(K3837)=TRUE,0,1)</f>
        <v>1</v>
      </c>
      <c r="U3837" s="13">
        <f t="shared" si="4120"/>
        <v>1</v>
      </c>
      <c r="V3837" s="13">
        <f t="shared" si="4120"/>
        <v>0</v>
      </c>
      <c r="W3837" s="13">
        <f t="shared" si="4120"/>
        <v>0</v>
      </c>
      <c r="X3837" s="13">
        <f t="shared" si="4120"/>
        <v>0</v>
      </c>
      <c r="Y3837" s="13">
        <f t="shared" si="4120"/>
        <v>0</v>
      </c>
      <c r="Z3837" s="13">
        <f t="shared" si="3023"/>
        <v>1</v>
      </c>
      <c r="AA3837" s="13"/>
      <c r="AB3837" s="13"/>
      <c r="AC3837" s="13"/>
      <c r="AD3837" s="13"/>
      <c r="AE3837" s="13"/>
      <c r="AF3837" s="13"/>
      <c r="AG3837" s="13"/>
      <c r="AH3837" s="13"/>
      <c r="AI3837" s="13"/>
      <c r="AJ3837" s="13"/>
      <c r="AK3837" s="13"/>
      <c r="AL3837" s="13"/>
      <c r="AM3837" s="13"/>
      <c r="AN3837" s="13"/>
      <c r="AO3837" s="13"/>
      <c r="AP3837" s="13"/>
      <c r="AQ3837" s="13"/>
      <c r="AR3837" s="13"/>
      <c r="AS3837" s="13"/>
    </row>
    <row r="3838" ht="14.25" customHeight="1">
      <c r="A3838" s="13" t="s">
        <v>46</v>
      </c>
      <c r="B3838" s="13" t="s">
        <v>55</v>
      </c>
      <c r="C3838" s="13" t="s">
        <v>432</v>
      </c>
      <c r="D3838" s="26" t="s">
        <v>187</v>
      </c>
      <c r="E3838" s="13"/>
      <c r="F3838" s="13"/>
      <c r="G3838" s="26" t="s">
        <v>74</v>
      </c>
      <c r="H3838" s="13" t="s">
        <v>75</v>
      </c>
      <c r="I3838" s="13"/>
      <c r="J3838" s="13"/>
      <c r="K3838" s="15">
        <v>1.0</v>
      </c>
      <c r="L3838" s="15">
        <v>1.0</v>
      </c>
      <c r="M3838" s="16"/>
      <c r="N3838" s="16"/>
      <c r="O3838" s="17"/>
      <c r="P3838" s="17"/>
      <c r="Q3838" s="13"/>
      <c r="R3838" s="13"/>
      <c r="S3838" s="13"/>
      <c r="T3838" s="13">
        <f t="shared" ref="T3838:Y3838" si="4121">IF(ISBLANK(K3838)=TRUE,0,1)</f>
        <v>1</v>
      </c>
      <c r="U3838" s="13">
        <f t="shared" si="4121"/>
        <v>1</v>
      </c>
      <c r="V3838" s="13">
        <f t="shared" si="4121"/>
        <v>0</v>
      </c>
      <c r="W3838" s="13">
        <f t="shared" si="4121"/>
        <v>0</v>
      </c>
      <c r="X3838" s="13">
        <f t="shared" si="4121"/>
        <v>0</v>
      </c>
      <c r="Y3838" s="13">
        <f t="shared" si="4121"/>
        <v>0</v>
      </c>
      <c r="Z3838" s="13">
        <f t="shared" si="3023"/>
        <v>1</v>
      </c>
      <c r="AA3838" s="13"/>
      <c r="AB3838" s="13"/>
      <c r="AC3838" s="13"/>
      <c r="AD3838" s="13"/>
      <c r="AE3838" s="13"/>
      <c r="AF3838" s="13"/>
      <c r="AG3838" s="13"/>
      <c r="AH3838" s="13"/>
      <c r="AI3838" s="13"/>
      <c r="AJ3838" s="13"/>
      <c r="AK3838" s="13"/>
      <c r="AL3838" s="13"/>
      <c r="AM3838" s="13"/>
      <c r="AN3838" s="13"/>
      <c r="AO3838" s="13"/>
      <c r="AP3838" s="13"/>
      <c r="AQ3838" s="13"/>
      <c r="AR3838" s="13"/>
      <c r="AS3838" s="13"/>
    </row>
    <row r="3839" ht="14.25" customHeight="1">
      <c r="A3839" s="13" t="s">
        <v>46</v>
      </c>
      <c r="B3839" s="13" t="s">
        <v>55</v>
      </c>
      <c r="C3839" s="13" t="s">
        <v>432</v>
      </c>
      <c r="D3839" s="26" t="s">
        <v>188</v>
      </c>
      <c r="E3839" s="13"/>
      <c r="F3839" s="13"/>
      <c r="G3839" s="26" t="s">
        <v>74</v>
      </c>
      <c r="H3839" s="13" t="s">
        <v>75</v>
      </c>
      <c r="I3839" s="13"/>
      <c r="J3839" s="13"/>
      <c r="K3839" s="15">
        <v>1.0</v>
      </c>
      <c r="L3839" s="15">
        <v>1.0</v>
      </c>
      <c r="M3839" s="16"/>
      <c r="N3839" s="16"/>
      <c r="O3839" s="17"/>
      <c r="P3839" s="17"/>
      <c r="Q3839" s="13"/>
      <c r="R3839" s="13"/>
      <c r="S3839" s="13"/>
      <c r="T3839" s="13">
        <f t="shared" ref="T3839:Y3839" si="4122">IF(ISBLANK(K3839)=TRUE,0,1)</f>
        <v>1</v>
      </c>
      <c r="U3839" s="13">
        <f t="shared" si="4122"/>
        <v>1</v>
      </c>
      <c r="V3839" s="13">
        <f t="shared" si="4122"/>
        <v>0</v>
      </c>
      <c r="W3839" s="13">
        <f t="shared" si="4122"/>
        <v>0</v>
      </c>
      <c r="X3839" s="13">
        <f t="shared" si="4122"/>
        <v>0</v>
      </c>
      <c r="Y3839" s="13">
        <f t="shared" si="4122"/>
        <v>0</v>
      </c>
      <c r="Z3839" s="13">
        <f t="shared" si="3023"/>
        <v>1</v>
      </c>
      <c r="AA3839" s="13"/>
      <c r="AB3839" s="13"/>
      <c r="AC3839" s="13"/>
      <c r="AD3839" s="13"/>
      <c r="AE3839" s="13"/>
      <c r="AF3839" s="13"/>
      <c r="AG3839" s="13"/>
      <c r="AH3839" s="13"/>
      <c r="AI3839" s="13"/>
      <c r="AJ3839" s="13"/>
      <c r="AK3839" s="13"/>
      <c r="AL3839" s="13"/>
      <c r="AM3839" s="13"/>
      <c r="AN3839" s="13"/>
      <c r="AO3839" s="13"/>
      <c r="AP3839" s="13"/>
      <c r="AQ3839" s="13"/>
      <c r="AR3839" s="13"/>
      <c r="AS3839" s="13"/>
    </row>
    <row r="3840" ht="14.25" customHeight="1">
      <c r="A3840" s="13" t="s">
        <v>46</v>
      </c>
      <c r="B3840" s="13" t="s">
        <v>55</v>
      </c>
      <c r="C3840" s="13" t="s">
        <v>432</v>
      </c>
      <c r="D3840" s="13" t="s">
        <v>191</v>
      </c>
      <c r="E3840" s="13"/>
      <c r="F3840" s="13"/>
      <c r="G3840" s="26" t="s">
        <v>74</v>
      </c>
      <c r="H3840" s="13" t="s">
        <v>75</v>
      </c>
      <c r="I3840" s="13"/>
      <c r="J3840" s="13"/>
      <c r="K3840" s="15">
        <v>1.0</v>
      </c>
      <c r="L3840" s="15">
        <v>1.0</v>
      </c>
      <c r="M3840" s="16"/>
      <c r="N3840" s="16"/>
      <c r="O3840" s="17"/>
      <c r="P3840" s="17"/>
      <c r="Q3840" s="13"/>
      <c r="R3840" s="13"/>
      <c r="S3840" s="13"/>
      <c r="T3840" s="13">
        <f t="shared" ref="T3840:Y3840" si="4123">IF(ISBLANK(K3840)=TRUE,0,1)</f>
        <v>1</v>
      </c>
      <c r="U3840" s="13">
        <f t="shared" si="4123"/>
        <v>1</v>
      </c>
      <c r="V3840" s="13">
        <f t="shared" si="4123"/>
        <v>0</v>
      </c>
      <c r="W3840" s="13">
        <f t="shared" si="4123"/>
        <v>0</v>
      </c>
      <c r="X3840" s="13">
        <f t="shared" si="4123"/>
        <v>0</v>
      </c>
      <c r="Y3840" s="13">
        <f t="shared" si="4123"/>
        <v>0</v>
      </c>
      <c r="Z3840" s="13">
        <f t="shared" si="3023"/>
        <v>1</v>
      </c>
      <c r="AA3840" s="13"/>
      <c r="AB3840" s="13"/>
      <c r="AC3840" s="13"/>
      <c r="AD3840" s="13"/>
      <c r="AE3840" s="13"/>
      <c r="AF3840" s="13"/>
      <c r="AG3840" s="13"/>
      <c r="AH3840" s="13"/>
      <c r="AI3840" s="13"/>
      <c r="AJ3840" s="13"/>
      <c r="AK3840" s="13"/>
      <c r="AL3840" s="13"/>
      <c r="AM3840" s="13"/>
      <c r="AN3840" s="13"/>
      <c r="AO3840" s="13"/>
      <c r="AP3840" s="13"/>
      <c r="AQ3840" s="13"/>
      <c r="AR3840" s="13"/>
      <c r="AS3840" s="13"/>
    </row>
    <row r="3841" ht="14.25" customHeight="1">
      <c r="A3841" s="13" t="s">
        <v>46</v>
      </c>
      <c r="B3841" s="13" t="s">
        <v>55</v>
      </c>
      <c r="C3841" s="13" t="s">
        <v>432</v>
      </c>
      <c r="D3841" s="26" t="s">
        <v>174</v>
      </c>
      <c r="E3841" s="13"/>
      <c r="F3841" s="13"/>
      <c r="G3841" s="26" t="s">
        <v>74</v>
      </c>
      <c r="H3841" s="13" t="s">
        <v>75</v>
      </c>
      <c r="I3841" s="13"/>
      <c r="J3841" s="13"/>
      <c r="K3841" s="15">
        <v>1.0</v>
      </c>
      <c r="L3841" s="15">
        <v>1.0</v>
      </c>
      <c r="M3841" s="16"/>
      <c r="N3841" s="16"/>
      <c r="O3841" s="17"/>
      <c r="P3841" s="17"/>
      <c r="Q3841" s="13"/>
      <c r="R3841" s="13"/>
      <c r="S3841" s="13"/>
      <c r="T3841" s="13">
        <f t="shared" ref="T3841:Y3841" si="4124">IF(ISBLANK(K3841)=TRUE,0,1)</f>
        <v>1</v>
      </c>
      <c r="U3841" s="13">
        <f t="shared" si="4124"/>
        <v>1</v>
      </c>
      <c r="V3841" s="13">
        <f t="shared" si="4124"/>
        <v>0</v>
      </c>
      <c r="W3841" s="13">
        <f t="shared" si="4124"/>
        <v>0</v>
      </c>
      <c r="X3841" s="13">
        <f t="shared" si="4124"/>
        <v>0</v>
      </c>
      <c r="Y3841" s="13">
        <f t="shared" si="4124"/>
        <v>0</v>
      </c>
      <c r="Z3841" s="13">
        <f t="shared" si="3023"/>
        <v>1</v>
      </c>
      <c r="AA3841" s="13"/>
      <c r="AB3841" s="13"/>
      <c r="AC3841" s="13"/>
      <c r="AD3841" s="13"/>
      <c r="AE3841" s="13"/>
      <c r="AF3841" s="13"/>
      <c r="AG3841" s="13"/>
      <c r="AH3841" s="13"/>
      <c r="AI3841" s="13"/>
      <c r="AJ3841" s="13"/>
      <c r="AK3841" s="13"/>
      <c r="AL3841" s="13"/>
      <c r="AM3841" s="13"/>
      <c r="AN3841" s="13"/>
      <c r="AO3841" s="13"/>
      <c r="AP3841" s="13"/>
      <c r="AQ3841" s="13"/>
      <c r="AR3841" s="13"/>
      <c r="AS3841" s="13"/>
    </row>
    <row r="3842" ht="14.25" customHeight="1">
      <c r="A3842" s="13" t="s">
        <v>46</v>
      </c>
      <c r="B3842" s="13" t="s">
        <v>55</v>
      </c>
      <c r="C3842" s="13" t="s">
        <v>432</v>
      </c>
      <c r="D3842" s="26" t="s">
        <v>177</v>
      </c>
      <c r="E3842" s="13"/>
      <c r="F3842" s="13"/>
      <c r="G3842" s="26" t="s">
        <v>74</v>
      </c>
      <c r="H3842" s="13" t="s">
        <v>75</v>
      </c>
      <c r="I3842" s="13"/>
      <c r="J3842" s="13"/>
      <c r="K3842" s="15">
        <v>1.0</v>
      </c>
      <c r="L3842" s="15">
        <v>1.0</v>
      </c>
      <c r="M3842" s="16"/>
      <c r="N3842" s="16"/>
      <c r="O3842" s="17"/>
      <c r="P3842" s="17"/>
      <c r="Q3842" s="13"/>
      <c r="R3842" s="13"/>
      <c r="S3842" s="13"/>
      <c r="T3842" s="13">
        <f t="shared" ref="T3842:Y3842" si="4125">IF(ISBLANK(K3842)=TRUE,0,1)</f>
        <v>1</v>
      </c>
      <c r="U3842" s="13">
        <f t="shared" si="4125"/>
        <v>1</v>
      </c>
      <c r="V3842" s="13">
        <f t="shared" si="4125"/>
        <v>0</v>
      </c>
      <c r="W3842" s="13">
        <f t="shared" si="4125"/>
        <v>0</v>
      </c>
      <c r="X3842" s="13">
        <f t="shared" si="4125"/>
        <v>0</v>
      </c>
      <c r="Y3842" s="13">
        <f t="shared" si="4125"/>
        <v>0</v>
      </c>
      <c r="Z3842" s="13">
        <f t="shared" si="3023"/>
        <v>1</v>
      </c>
      <c r="AA3842" s="13"/>
      <c r="AB3842" s="13"/>
      <c r="AC3842" s="13"/>
      <c r="AD3842" s="13"/>
      <c r="AE3842" s="13"/>
      <c r="AF3842" s="13"/>
      <c r="AG3842" s="13"/>
      <c r="AH3842" s="13"/>
      <c r="AI3842" s="13"/>
      <c r="AJ3842" s="13"/>
      <c r="AK3842" s="13"/>
      <c r="AL3842" s="13"/>
      <c r="AM3842" s="13"/>
      <c r="AN3842" s="13"/>
      <c r="AO3842" s="13"/>
      <c r="AP3842" s="13"/>
      <c r="AQ3842" s="13"/>
      <c r="AR3842" s="13"/>
      <c r="AS3842" s="13"/>
    </row>
    <row r="3843" ht="14.25" customHeight="1">
      <c r="A3843" s="13" t="s">
        <v>46</v>
      </c>
      <c r="B3843" s="13" t="s">
        <v>55</v>
      </c>
      <c r="C3843" s="13" t="s">
        <v>432</v>
      </c>
      <c r="D3843" s="26" t="s">
        <v>193</v>
      </c>
      <c r="E3843" s="13"/>
      <c r="F3843" s="13"/>
      <c r="G3843" s="26" t="s">
        <v>74</v>
      </c>
      <c r="H3843" s="13" t="s">
        <v>75</v>
      </c>
      <c r="I3843" s="13"/>
      <c r="J3843" s="13"/>
      <c r="K3843" s="15">
        <v>1.0</v>
      </c>
      <c r="L3843" s="15">
        <v>1.0</v>
      </c>
      <c r="M3843" s="16"/>
      <c r="N3843" s="16"/>
      <c r="O3843" s="17"/>
      <c r="P3843" s="17"/>
      <c r="Q3843" s="13"/>
      <c r="R3843" s="13"/>
      <c r="S3843" s="13"/>
      <c r="T3843" s="13">
        <f t="shared" ref="T3843:Y3843" si="4126">IF(ISBLANK(K3843)=TRUE,0,1)</f>
        <v>1</v>
      </c>
      <c r="U3843" s="13">
        <f t="shared" si="4126"/>
        <v>1</v>
      </c>
      <c r="V3843" s="13">
        <f t="shared" si="4126"/>
        <v>0</v>
      </c>
      <c r="W3843" s="13">
        <f t="shared" si="4126"/>
        <v>0</v>
      </c>
      <c r="X3843" s="13">
        <f t="shared" si="4126"/>
        <v>0</v>
      </c>
      <c r="Y3843" s="13">
        <f t="shared" si="4126"/>
        <v>0</v>
      </c>
      <c r="Z3843" s="13">
        <f t="shared" si="3023"/>
        <v>1</v>
      </c>
      <c r="AA3843" s="13"/>
      <c r="AB3843" s="13"/>
      <c r="AC3843" s="13"/>
      <c r="AD3843" s="13"/>
      <c r="AE3843" s="13"/>
      <c r="AF3843" s="13"/>
      <c r="AG3843" s="13"/>
      <c r="AH3843" s="13"/>
      <c r="AI3843" s="13"/>
      <c r="AJ3843" s="13"/>
      <c r="AK3843" s="13"/>
      <c r="AL3843" s="13"/>
      <c r="AM3843" s="13"/>
      <c r="AN3843" s="13"/>
      <c r="AO3843" s="13"/>
      <c r="AP3843" s="13"/>
      <c r="AQ3843" s="13"/>
      <c r="AR3843" s="13"/>
      <c r="AS3843" s="13"/>
    </row>
    <row r="3844" ht="14.25" customHeight="1">
      <c r="A3844" s="13" t="s">
        <v>46</v>
      </c>
      <c r="B3844" s="13" t="s">
        <v>55</v>
      </c>
      <c r="C3844" s="13" t="s">
        <v>432</v>
      </c>
      <c r="D3844" s="26" t="s">
        <v>194</v>
      </c>
      <c r="E3844" s="13"/>
      <c r="F3844" s="13"/>
      <c r="G3844" s="26" t="s">
        <v>74</v>
      </c>
      <c r="H3844" s="13" t="s">
        <v>75</v>
      </c>
      <c r="I3844" s="13"/>
      <c r="J3844" s="13"/>
      <c r="K3844" s="15">
        <v>1.0</v>
      </c>
      <c r="L3844" s="15">
        <v>1.0</v>
      </c>
      <c r="M3844" s="16"/>
      <c r="N3844" s="16"/>
      <c r="O3844" s="17"/>
      <c r="P3844" s="17"/>
      <c r="Q3844" s="13"/>
      <c r="R3844" s="13"/>
      <c r="S3844" s="13"/>
      <c r="T3844" s="13">
        <f t="shared" ref="T3844:Y3844" si="4127">IF(ISBLANK(K3844)=TRUE,0,1)</f>
        <v>1</v>
      </c>
      <c r="U3844" s="13">
        <f t="shared" si="4127"/>
        <v>1</v>
      </c>
      <c r="V3844" s="13">
        <f t="shared" si="4127"/>
        <v>0</v>
      </c>
      <c r="W3844" s="13">
        <f t="shared" si="4127"/>
        <v>0</v>
      </c>
      <c r="X3844" s="13">
        <f t="shared" si="4127"/>
        <v>0</v>
      </c>
      <c r="Y3844" s="13">
        <f t="shared" si="4127"/>
        <v>0</v>
      </c>
      <c r="Z3844" s="13">
        <f t="shared" si="3023"/>
        <v>1</v>
      </c>
      <c r="AA3844" s="13"/>
      <c r="AB3844" s="13"/>
      <c r="AC3844" s="13"/>
      <c r="AD3844" s="13"/>
      <c r="AE3844" s="13"/>
      <c r="AF3844" s="13"/>
      <c r="AG3844" s="13"/>
      <c r="AH3844" s="13"/>
      <c r="AI3844" s="13"/>
      <c r="AJ3844" s="13"/>
      <c r="AK3844" s="13"/>
      <c r="AL3844" s="13"/>
      <c r="AM3844" s="13"/>
      <c r="AN3844" s="13"/>
      <c r="AO3844" s="13"/>
      <c r="AP3844" s="13"/>
      <c r="AQ3844" s="13"/>
      <c r="AR3844" s="13"/>
      <c r="AS3844" s="13"/>
    </row>
    <row r="3845" ht="14.25" customHeight="1">
      <c r="A3845" s="13" t="s">
        <v>46</v>
      </c>
      <c r="B3845" s="13" t="s">
        <v>55</v>
      </c>
      <c r="C3845" s="13" t="s">
        <v>432</v>
      </c>
      <c r="D3845" s="26" t="s">
        <v>195</v>
      </c>
      <c r="E3845" s="13"/>
      <c r="F3845" s="13"/>
      <c r="G3845" s="26" t="s">
        <v>74</v>
      </c>
      <c r="H3845" s="13" t="s">
        <v>75</v>
      </c>
      <c r="I3845" s="13"/>
      <c r="J3845" s="13"/>
      <c r="K3845" s="15">
        <v>1.0</v>
      </c>
      <c r="L3845" s="15">
        <v>1.0</v>
      </c>
      <c r="M3845" s="16"/>
      <c r="N3845" s="16"/>
      <c r="O3845" s="17"/>
      <c r="P3845" s="17"/>
      <c r="Q3845" s="13"/>
      <c r="R3845" s="13"/>
      <c r="S3845" s="13"/>
      <c r="T3845" s="13">
        <f t="shared" ref="T3845:Y3845" si="4128">IF(ISBLANK(K3845)=TRUE,0,1)</f>
        <v>1</v>
      </c>
      <c r="U3845" s="13">
        <f t="shared" si="4128"/>
        <v>1</v>
      </c>
      <c r="V3845" s="13">
        <f t="shared" si="4128"/>
        <v>0</v>
      </c>
      <c r="W3845" s="13">
        <f t="shared" si="4128"/>
        <v>0</v>
      </c>
      <c r="X3845" s="13">
        <f t="shared" si="4128"/>
        <v>0</v>
      </c>
      <c r="Y3845" s="13">
        <f t="shared" si="4128"/>
        <v>0</v>
      </c>
      <c r="Z3845" s="13">
        <f t="shared" si="3023"/>
        <v>1</v>
      </c>
      <c r="AA3845" s="13"/>
      <c r="AB3845" s="13"/>
      <c r="AC3845" s="13"/>
      <c r="AD3845" s="13"/>
      <c r="AE3845" s="13"/>
      <c r="AF3845" s="13"/>
      <c r="AG3845" s="13"/>
      <c r="AH3845" s="13"/>
      <c r="AI3845" s="13"/>
      <c r="AJ3845" s="13"/>
      <c r="AK3845" s="13"/>
      <c r="AL3845" s="13"/>
      <c r="AM3845" s="13"/>
      <c r="AN3845" s="13"/>
      <c r="AO3845" s="13"/>
      <c r="AP3845" s="13"/>
      <c r="AQ3845" s="13"/>
      <c r="AR3845" s="13"/>
      <c r="AS3845" s="13"/>
    </row>
    <row r="3846" ht="14.25" customHeight="1">
      <c r="A3846" s="26" t="s">
        <v>46</v>
      </c>
      <c r="B3846" s="26" t="s">
        <v>55</v>
      </c>
      <c r="C3846" s="26" t="s">
        <v>438</v>
      </c>
      <c r="D3846" s="26" t="s">
        <v>177</v>
      </c>
      <c r="E3846" s="13"/>
      <c r="F3846" s="26"/>
      <c r="G3846" s="26" t="s">
        <v>74</v>
      </c>
      <c r="H3846" s="26" t="s">
        <v>75</v>
      </c>
      <c r="I3846" s="26"/>
      <c r="J3846" s="26"/>
      <c r="K3846" s="28">
        <v>1.0</v>
      </c>
      <c r="L3846" s="28">
        <v>1.0</v>
      </c>
      <c r="M3846" s="30"/>
      <c r="N3846" s="30"/>
      <c r="O3846" s="17"/>
      <c r="P3846" s="17"/>
      <c r="Q3846" s="13"/>
      <c r="R3846" s="13"/>
      <c r="S3846" s="13"/>
      <c r="T3846" s="13">
        <f t="shared" ref="T3846:Y3846" si="4129">IF(ISBLANK(K3846)=TRUE,0,1)</f>
        <v>1</v>
      </c>
      <c r="U3846" s="13">
        <f t="shared" si="4129"/>
        <v>1</v>
      </c>
      <c r="V3846" s="13">
        <f t="shared" si="4129"/>
        <v>0</v>
      </c>
      <c r="W3846" s="13">
        <f t="shared" si="4129"/>
        <v>0</v>
      </c>
      <c r="X3846" s="13">
        <f t="shared" si="4129"/>
        <v>0</v>
      </c>
      <c r="Y3846" s="13">
        <f t="shared" si="4129"/>
        <v>0</v>
      </c>
      <c r="Z3846" s="13">
        <f t="shared" si="3023"/>
        <v>1</v>
      </c>
      <c r="AA3846" s="13"/>
      <c r="AB3846" s="13"/>
      <c r="AC3846" s="13"/>
      <c r="AD3846" s="13"/>
      <c r="AE3846" s="13"/>
      <c r="AF3846" s="13"/>
      <c r="AG3846" s="13"/>
      <c r="AH3846" s="13"/>
      <c r="AI3846" s="13"/>
      <c r="AJ3846" s="13"/>
      <c r="AK3846" s="13"/>
      <c r="AL3846" s="13"/>
      <c r="AM3846" s="13"/>
      <c r="AN3846" s="13"/>
      <c r="AO3846" s="13"/>
      <c r="AP3846" s="13"/>
      <c r="AQ3846" s="13"/>
      <c r="AR3846" s="13"/>
      <c r="AS3846" s="13"/>
    </row>
    <row r="3847" ht="14.25" customHeight="1">
      <c r="A3847" s="26" t="s">
        <v>46</v>
      </c>
      <c r="B3847" s="26" t="s">
        <v>55</v>
      </c>
      <c r="C3847" s="26" t="s">
        <v>438</v>
      </c>
      <c r="D3847" s="26" t="s">
        <v>178</v>
      </c>
      <c r="E3847" s="13"/>
      <c r="F3847" s="26"/>
      <c r="G3847" s="26" t="s">
        <v>74</v>
      </c>
      <c r="H3847" s="26" t="s">
        <v>75</v>
      </c>
      <c r="I3847" s="26"/>
      <c r="J3847" s="26"/>
      <c r="K3847" s="28">
        <v>1.0</v>
      </c>
      <c r="L3847" s="28">
        <v>1.0</v>
      </c>
      <c r="M3847" s="30"/>
      <c r="N3847" s="30"/>
      <c r="O3847" s="17"/>
      <c r="P3847" s="17"/>
      <c r="Q3847" s="13"/>
      <c r="R3847" s="13"/>
      <c r="S3847" s="13"/>
      <c r="T3847" s="13">
        <f t="shared" ref="T3847:Y3847" si="4130">IF(ISBLANK(K3847)=TRUE,0,1)</f>
        <v>1</v>
      </c>
      <c r="U3847" s="13">
        <f t="shared" si="4130"/>
        <v>1</v>
      </c>
      <c r="V3847" s="13">
        <f t="shared" si="4130"/>
        <v>0</v>
      </c>
      <c r="W3847" s="13">
        <f t="shared" si="4130"/>
        <v>0</v>
      </c>
      <c r="X3847" s="13">
        <f t="shared" si="4130"/>
        <v>0</v>
      </c>
      <c r="Y3847" s="13">
        <f t="shared" si="4130"/>
        <v>0</v>
      </c>
      <c r="Z3847" s="13">
        <f t="shared" si="3023"/>
        <v>1</v>
      </c>
      <c r="AA3847" s="13"/>
      <c r="AB3847" s="13"/>
      <c r="AC3847" s="13"/>
      <c r="AD3847" s="13"/>
      <c r="AE3847" s="13"/>
      <c r="AF3847" s="13"/>
      <c r="AG3847" s="13"/>
      <c r="AH3847" s="13"/>
      <c r="AI3847" s="13"/>
      <c r="AJ3847" s="13"/>
      <c r="AK3847" s="13"/>
      <c r="AL3847" s="13"/>
      <c r="AM3847" s="13"/>
      <c r="AN3847" s="13"/>
      <c r="AO3847" s="13"/>
      <c r="AP3847" s="13"/>
      <c r="AQ3847" s="13"/>
      <c r="AR3847" s="13"/>
      <c r="AS3847" s="13"/>
    </row>
    <row r="3848" ht="14.25" customHeight="1">
      <c r="A3848" s="26" t="s">
        <v>46</v>
      </c>
      <c r="B3848" s="26" t="s">
        <v>55</v>
      </c>
      <c r="C3848" s="26" t="s">
        <v>438</v>
      </c>
      <c r="D3848" s="26" t="s">
        <v>179</v>
      </c>
      <c r="E3848" s="13"/>
      <c r="F3848" s="26"/>
      <c r="G3848" s="26" t="s">
        <v>74</v>
      </c>
      <c r="H3848" s="26" t="s">
        <v>75</v>
      </c>
      <c r="I3848" s="26"/>
      <c r="J3848" s="26"/>
      <c r="K3848" s="28">
        <v>1.0</v>
      </c>
      <c r="L3848" s="28">
        <v>1.0</v>
      </c>
      <c r="M3848" s="30"/>
      <c r="N3848" s="30"/>
      <c r="O3848" s="17"/>
      <c r="P3848" s="17"/>
      <c r="Q3848" s="13"/>
      <c r="R3848" s="13"/>
      <c r="S3848" s="13"/>
      <c r="T3848" s="13">
        <f t="shared" ref="T3848:Y3848" si="4131">IF(ISBLANK(K3848)=TRUE,0,1)</f>
        <v>1</v>
      </c>
      <c r="U3848" s="13">
        <f t="shared" si="4131"/>
        <v>1</v>
      </c>
      <c r="V3848" s="13">
        <f t="shared" si="4131"/>
        <v>0</v>
      </c>
      <c r="W3848" s="13">
        <f t="shared" si="4131"/>
        <v>0</v>
      </c>
      <c r="X3848" s="13">
        <f t="shared" si="4131"/>
        <v>0</v>
      </c>
      <c r="Y3848" s="13">
        <f t="shared" si="4131"/>
        <v>0</v>
      </c>
      <c r="Z3848" s="13">
        <f t="shared" si="3023"/>
        <v>1</v>
      </c>
      <c r="AA3848" s="13"/>
      <c r="AB3848" s="13"/>
      <c r="AC3848" s="13"/>
      <c r="AD3848" s="13"/>
      <c r="AE3848" s="13"/>
      <c r="AF3848" s="13"/>
      <c r="AG3848" s="13"/>
      <c r="AH3848" s="13"/>
      <c r="AI3848" s="13"/>
      <c r="AJ3848" s="13"/>
      <c r="AK3848" s="13"/>
      <c r="AL3848" s="13"/>
      <c r="AM3848" s="13"/>
      <c r="AN3848" s="13"/>
      <c r="AO3848" s="13"/>
      <c r="AP3848" s="13"/>
      <c r="AQ3848" s="13"/>
      <c r="AR3848" s="13"/>
      <c r="AS3848" s="13"/>
    </row>
    <row r="3849" ht="14.25" customHeight="1">
      <c r="A3849" s="26" t="s">
        <v>46</v>
      </c>
      <c r="B3849" s="26" t="s">
        <v>55</v>
      </c>
      <c r="C3849" s="26" t="s">
        <v>438</v>
      </c>
      <c r="D3849" s="26" t="s">
        <v>180</v>
      </c>
      <c r="E3849" s="13"/>
      <c r="F3849" s="26"/>
      <c r="G3849" s="26" t="s">
        <v>74</v>
      </c>
      <c r="H3849" s="26" t="s">
        <v>75</v>
      </c>
      <c r="I3849" s="26"/>
      <c r="J3849" s="26"/>
      <c r="K3849" s="28">
        <v>1.0</v>
      </c>
      <c r="L3849" s="28">
        <v>1.0</v>
      </c>
      <c r="M3849" s="30"/>
      <c r="N3849" s="30"/>
      <c r="O3849" s="17"/>
      <c r="P3849" s="17"/>
      <c r="Q3849" s="13"/>
      <c r="R3849" s="13"/>
      <c r="S3849" s="13"/>
      <c r="T3849" s="13">
        <f t="shared" ref="T3849:Y3849" si="4132">IF(ISBLANK(K3849)=TRUE,0,1)</f>
        <v>1</v>
      </c>
      <c r="U3849" s="13">
        <f t="shared" si="4132"/>
        <v>1</v>
      </c>
      <c r="V3849" s="13">
        <f t="shared" si="4132"/>
        <v>0</v>
      </c>
      <c r="W3849" s="13">
        <f t="shared" si="4132"/>
        <v>0</v>
      </c>
      <c r="X3849" s="13">
        <f t="shared" si="4132"/>
        <v>0</v>
      </c>
      <c r="Y3849" s="13">
        <f t="shared" si="4132"/>
        <v>0</v>
      </c>
      <c r="Z3849" s="13">
        <f t="shared" si="3023"/>
        <v>1</v>
      </c>
      <c r="AA3849" s="13"/>
      <c r="AB3849" s="13"/>
      <c r="AC3849" s="13"/>
      <c r="AD3849" s="13"/>
      <c r="AE3849" s="13"/>
      <c r="AF3849" s="13"/>
      <c r="AG3849" s="13"/>
      <c r="AH3849" s="13"/>
      <c r="AI3849" s="13"/>
      <c r="AJ3849" s="13"/>
      <c r="AK3849" s="13"/>
      <c r="AL3849" s="13"/>
      <c r="AM3849" s="13"/>
      <c r="AN3849" s="13"/>
      <c r="AO3849" s="13"/>
      <c r="AP3849" s="13"/>
      <c r="AQ3849" s="13"/>
      <c r="AR3849" s="13"/>
      <c r="AS3849" s="13"/>
    </row>
    <row r="3850" ht="14.25" customHeight="1">
      <c r="A3850" s="26" t="s">
        <v>46</v>
      </c>
      <c r="B3850" s="26" t="s">
        <v>55</v>
      </c>
      <c r="C3850" s="26" t="s">
        <v>438</v>
      </c>
      <c r="D3850" s="26" t="s">
        <v>181</v>
      </c>
      <c r="E3850" s="13"/>
      <c r="F3850" s="26"/>
      <c r="G3850" s="26" t="s">
        <v>74</v>
      </c>
      <c r="H3850" s="26" t="s">
        <v>75</v>
      </c>
      <c r="I3850" s="26"/>
      <c r="J3850" s="26"/>
      <c r="K3850" s="28">
        <v>1.0</v>
      </c>
      <c r="L3850" s="28">
        <v>1.0</v>
      </c>
      <c r="M3850" s="30"/>
      <c r="N3850" s="30"/>
      <c r="O3850" s="17"/>
      <c r="P3850" s="17"/>
      <c r="Q3850" s="13"/>
      <c r="R3850" s="13"/>
      <c r="S3850" s="13"/>
      <c r="T3850" s="13">
        <f t="shared" ref="T3850:Y3850" si="4133">IF(ISBLANK(K3850)=TRUE,0,1)</f>
        <v>1</v>
      </c>
      <c r="U3850" s="13">
        <f t="shared" si="4133"/>
        <v>1</v>
      </c>
      <c r="V3850" s="13">
        <f t="shared" si="4133"/>
        <v>0</v>
      </c>
      <c r="W3850" s="13">
        <f t="shared" si="4133"/>
        <v>0</v>
      </c>
      <c r="X3850" s="13">
        <f t="shared" si="4133"/>
        <v>0</v>
      </c>
      <c r="Y3850" s="13">
        <f t="shared" si="4133"/>
        <v>0</v>
      </c>
      <c r="Z3850" s="13">
        <f t="shared" si="3023"/>
        <v>1</v>
      </c>
      <c r="AA3850" s="13"/>
      <c r="AB3850" s="13"/>
      <c r="AC3850" s="13"/>
      <c r="AD3850" s="13"/>
      <c r="AE3850" s="13"/>
      <c r="AF3850" s="13"/>
      <c r="AG3850" s="13"/>
      <c r="AH3850" s="13"/>
      <c r="AI3850" s="13"/>
      <c r="AJ3850" s="13"/>
      <c r="AK3850" s="13"/>
      <c r="AL3850" s="13"/>
      <c r="AM3850" s="13"/>
      <c r="AN3850" s="13"/>
      <c r="AO3850" s="13"/>
      <c r="AP3850" s="13"/>
      <c r="AQ3850" s="13"/>
      <c r="AR3850" s="13"/>
      <c r="AS3850" s="13"/>
    </row>
    <row r="3851" ht="14.25" customHeight="1">
      <c r="A3851" s="26" t="s">
        <v>46</v>
      </c>
      <c r="B3851" s="26" t="s">
        <v>55</v>
      </c>
      <c r="C3851" s="26" t="s">
        <v>438</v>
      </c>
      <c r="D3851" s="26" t="s">
        <v>182</v>
      </c>
      <c r="E3851" s="13"/>
      <c r="F3851" s="26"/>
      <c r="G3851" s="26" t="s">
        <v>74</v>
      </c>
      <c r="H3851" s="26" t="s">
        <v>75</v>
      </c>
      <c r="I3851" s="26"/>
      <c r="J3851" s="26"/>
      <c r="K3851" s="28">
        <v>1.0</v>
      </c>
      <c r="L3851" s="28">
        <v>1.0</v>
      </c>
      <c r="M3851" s="30"/>
      <c r="N3851" s="30"/>
      <c r="O3851" s="17"/>
      <c r="P3851" s="17"/>
      <c r="Q3851" s="13"/>
      <c r="R3851" s="13"/>
      <c r="S3851" s="13"/>
      <c r="T3851" s="13">
        <f t="shared" ref="T3851:Y3851" si="4134">IF(ISBLANK(K3851)=TRUE,0,1)</f>
        <v>1</v>
      </c>
      <c r="U3851" s="13">
        <f t="shared" si="4134"/>
        <v>1</v>
      </c>
      <c r="V3851" s="13">
        <f t="shared" si="4134"/>
        <v>0</v>
      </c>
      <c r="W3851" s="13">
        <f t="shared" si="4134"/>
        <v>0</v>
      </c>
      <c r="X3851" s="13">
        <f t="shared" si="4134"/>
        <v>0</v>
      </c>
      <c r="Y3851" s="13">
        <f t="shared" si="4134"/>
        <v>0</v>
      </c>
      <c r="Z3851" s="13">
        <f t="shared" si="3023"/>
        <v>1</v>
      </c>
      <c r="AA3851" s="13"/>
      <c r="AB3851" s="13"/>
      <c r="AC3851" s="13"/>
      <c r="AD3851" s="13"/>
      <c r="AE3851" s="13"/>
      <c r="AF3851" s="13"/>
      <c r="AG3851" s="13"/>
      <c r="AH3851" s="13"/>
      <c r="AI3851" s="13"/>
      <c r="AJ3851" s="13"/>
      <c r="AK3851" s="13"/>
      <c r="AL3851" s="13"/>
      <c r="AM3851" s="13"/>
      <c r="AN3851" s="13"/>
      <c r="AO3851" s="13"/>
      <c r="AP3851" s="13"/>
      <c r="AQ3851" s="13"/>
      <c r="AR3851" s="13"/>
      <c r="AS3851" s="13"/>
    </row>
    <row r="3852" ht="14.25" customHeight="1">
      <c r="A3852" s="26" t="s">
        <v>46</v>
      </c>
      <c r="B3852" s="26" t="s">
        <v>55</v>
      </c>
      <c r="C3852" s="26" t="s">
        <v>438</v>
      </c>
      <c r="D3852" s="26" t="s">
        <v>183</v>
      </c>
      <c r="E3852" s="13"/>
      <c r="F3852" s="26"/>
      <c r="G3852" s="26" t="s">
        <v>74</v>
      </c>
      <c r="H3852" s="26" t="s">
        <v>75</v>
      </c>
      <c r="I3852" s="26"/>
      <c r="J3852" s="26"/>
      <c r="K3852" s="28">
        <v>1.0</v>
      </c>
      <c r="L3852" s="28">
        <v>1.0</v>
      </c>
      <c r="M3852" s="30"/>
      <c r="N3852" s="30"/>
      <c r="O3852" s="17"/>
      <c r="P3852" s="17"/>
      <c r="Q3852" s="13"/>
      <c r="R3852" s="13"/>
      <c r="S3852" s="13"/>
      <c r="T3852" s="13">
        <f t="shared" ref="T3852:Y3852" si="4135">IF(ISBLANK(K3852)=TRUE,0,1)</f>
        <v>1</v>
      </c>
      <c r="U3852" s="13">
        <f t="shared" si="4135"/>
        <v>1</v>
      </c>
      <c r="V3852" s="13">
        <f t="shared" si="4135"/>
        <v>0</v>
      </c>
      <c r="W3852" s="13">
        <f t="shared" si="4135"/>
        <v>0</v>
      </c>
      <c r="X3852" s="13">
        <f t="shared" si="4135"/>
        <v>0</v>
      </c>
      <c r="Y3852" s="13">
        <f t="shared" si="4135"/>
        <v>0</v>
      </c>
      <c r="Z3852" s="13">
        <f t="shared" si="3023"/>
        <v>1</v>
      </c>
      <c r="AA3852" s="13"/>
      <c r="AB3852" s="13"/>
      <c r="AC3852" s="13"/>
      <c r="AD3852" s="13"/>
      <c r="AE3852" s="13"/>
      <c r="AF3852" s="13"/>
      <c r="AG3852" s="13"/>
      <c r="AH3852" s="13"/>
      <c r="AI3852" s="13"/>
      <c r="AJ3852" s="13"/>
      <c r="AK3852" s="13"/>
      <c r="AL3852" s="13"/>
      <c r="AM3852" s="13"/>
      <c r="AN3852" s="13"/>
      <c r="AO3852" s="13"/>
      <c r="AP3852" s="13"/>
      <c r="AQ3852" s="13"/>
      <c r="AR3852" s="13"/>
      <c r="AS3852" s="13"/>
    </row>
    <row r="3853" ht="14.25" customHeight="1">
      <c r="A3853" s="26" t="s">
        <v>46</v>
      </c>
      <c r="B3853" s="26" t="s">
        <v>55</v>
      </c>
      <c r="C3853" s="26" t="s">
        <v>438</v>
      </c>
      <c r="D3853" s="26" t="s">
        <v>184</v>
      </c>
      <c r="E3853" s="13"/>
      <c r="F3853" s="26"/>
      <c r="G3853" s="26" t="s">
        <v>74</v>
      </c>
      <c r="H3853" s="26" t="s">
        <v>75</v>
      </c>
      <c r="I3853" s="26"/>
      <c r="J3853" s="26"/>
      <c r="K3853" s="28">
        <v>1.0</v>
      </c>
      <c r="L3853" s="28">
        <v>1.0</v>
      </c>
      <c r="M3853" s="30"/>
      <c r="N3853" s="30"/>
      <c r="O3853" s="17"/>
      <c r="P3853" s="17"/>
      <c r="Q3853" s="13"/>
      <c r="R3853" s="13"/>
      <c r="S3853" s="13"/>
      <c r="T3853" s="13">
        <f t="shared" ref="T3853:Y3853" si="4136">IF(ISBLANK(K3853)=TRUE,0,1)</f>
        <v>1</v>
      </c>
      <c r="U3853" s="13">
        <f t="shared" si="4136"/>
        <v>1</v>
      </c>
      <c r="V3853" s="13">
        <f t="shared" si="4136"/>
        <v>0</v>
      </c>
      <c r="W3853" s="13">
        <f t="shared" si="4136"/>
        <v>0</v>
      </c>
      <c r="X3853" s="13">
        <f t="shared" si="4136"/>
        <v>0</v>
      </c>
      <c r="Y3853" s="13">
        <f t="shared" si="4136"/>
        <v>0</v>
      </c>
      <c r="Z3853" s="13">
        <f t="shared" si="3023"/>
        <v>1</v>
      </c>
      <c r="AA3853" s="13"/>
      <c r="AB3853" s="13"/>
      <c r="AC3853" s="13"/>
      <c r="AD3853" s="13"/>
      <c r="AE3853" s="13"/>
      <c r="AF3853" s="13"/>
      <c r="AG3853" s="13"/>
      <c r="AH3853" s="13"/>
      <c r="AI3853" s="13"/>
      <c r="AJ3853" s="13"/>
      <c r="AK3853" s="13"/>
      <c r="AL3853" s="13"/>
      <c r="AM3853" s="13"/>
      <c r="AN3853" s="13"/>
      <c r="AO3853" s="13"/>
      <c r="AP3853" s="13"/>
      <c r="AQ3853" s="13"/>
      <c r="AR3853" s="13"/>
      <c r="AS3853" s="13"/>
    </row>
    <row r="3854" ht="14.25" customHeight="1">
      <c r="A3854" s="26" t="s">
        <v>46</v>
      </c>
      <c r="B3854" s="26" t="s">
        <v>55</v>
      </c>
      <c r="C3854" s="26" t="s">
        <v>438</v>
      </c>
      <c r="D3854" s="26" t="s">
        <v>185</v>
      </c>
      <c r="E3854" s="13"/>
      <c r="F3854" s="26"/>
      <c r="G3854" s="26" t="s">
        <v>74</v>
      </c>
      <c r="H3854" s="26" t="s">
        <v>75</v>
      </c>
      <c r="I3854" s="26"/>
      <c r="J3854" s="26"/>
      <c r="K3854" s="28">
        <v>1.0</v>
      </c>
      <c r="L3854" s="28">
        <v>1.0</v>
      </c>
      <c r="M3854" s="30"/>
      <c r="N3854" s="30"/>
      <c r="O3854" s="17"/>
      <c r="P3854" s="17"/>
      <c r="Q3854" s="13"/>
      <c r="R3854" s="13"/>
      <c r="S3854" s="13"/>
      <c r="T3854" s="13">
        <f t="shared" ref="T3854:Y3854" si="4137">IF(ISBLANK(K3854)=TRUE,0,1)</f>
        <v>1</v>
      </c>
      <c r="U3854" s="13">
        <f t="shared" si="4137"/>
        <v>1</v>
      </c>
      <c r="V3854" s="13">
        <f t="shared" si="4137"/>
        <v>0</v>
      </c>
      <c r="W3854" s="13">
        <f t="shared" si="4137"/>
        <v>0</v>
      </c>
      <c r="X3854" s="13">
        <f t="shared" si="4137"/>
        <v>0</v>
      </c>
      <c r="Y3854" s="13">
        <f t="shared" si="4137"/>
        <v>0</v>
      </c>
      <c r="Z3854" s="13">
        <f t="shared" si="3023"/>
        <v>1</v>
      </c>
      <c r="AA3854" s="13"/>
      <c r="AB3854" s="13"/>
      <c r="AC3854" s="13"/>
      <c r="AD3854" s="13"/>
      <c r="AE3854" s="13"/>
      <c r="AF3854" s="13"/>
      <c r="AG3854" s="13"/>
      <c r="AH3854" s="13"/>
      <c r="AI3854" s="13"/>
      <c r="AJ3854" s="13"/>
      <c r="AK3854" s="13"/>
      <c r="AL3854" s="13"/>
      <c r="AM3854" s="13"/>
      <c r="AN3854" s="13"/>
      <c r="AO3854" s="13"/>
      <c r="AP3854" s="13"/>
      <c r="AQ3854" s="13"/>
      <c r="AR3854" s="13"/>
      <c r="AS3854" s="13"/>
    </row>
    <row r="3855" ht="14.25" customHeight="1">
      <c r="A3855" s="26" t="s">
        <v>46</v>
      </c>
      <c r="B3855" s="26" t="s">
        <v>55</v>
      </c>
      <c r="C3855" s="26" t="s">
        <v>438</v>
      </c>
      <c r="D3855" s="26" t="s">
        <v>186</v>
      </c>
      <c r="E3855" s="13"/>
      <c r="F3855" s="26"/>
      <c r="G3855" s="26" t="s">
        <v>74</v>
      </c>
      <c r="H3855" s="26" t="s">
        <v>75</v>
      </c>
      <c r="I3855" s="26"/>
      <c r="J3855" s="26"/>
      <c r="K3855" s="28">
        <v>1.0</v>
      </c>
      <c r="L3855" s="28">
        <v>1.0</v>
      </c>
      <c r="M3855" s="30"/>
      <c r="N3855" s="30"/>
      <c r="O3855" s="17"/>
      <c r="P3855" s="17"/>
      <c r="Q3855" s="13"/>
      <c r="R3855" s="13"/>
      <c r="S3855" s="13"/>
      <c r="T3855" s="13">
        <f t="shared" ref="T3855:Y3855" si="4138">IF(ISBLANK(K3855)=TRUE,0,1)</f>
        <v>1</v>
      </c>
      <c r="U3855" s="13">
        <f t="shared" si="4138"/>
        <v>1</v>
      </c>
      <c r="V3855" s="13">
        <f t="shared" si="4138"/>
        <v>0</v>
      </c>
      <c r="W3855" s="13">
        <f t="shared" si="4138"/>
        <v>0</v>
      </c>
      <c r="X3855" s="13">
        <f t="shared" si="4138"/>
        <v>0</v>
      </c>
      <c r="Y3855" s="13">
        <f t="shared" si="4138"/>
        <v>0</v>
      </c>
      <c r="Z3855" s="13">
        <f t="shared" si="3023"/>
        <v>1</v>
      </c>
      <c r="AA3855" s="13"/>
      <c r="AB3855" s="13"/>
      <c r="AC3855" s="13"/>
      <c r="AD3855" s="13"/>
      <c r="AE3855" s="13"/>
      <c r="AF3855" s="13"/>
      <c r="AG3855" s="13"/>
      <c r="AH3855" s="13"/>
      <c r="AI3855" s="13"/>
      <c r="AJ3855" s="13"/>
      <c r="AK3855" s="13"/>
      <c r="AL3855" s="13"/>
      <c r="AM3855" s="13"/>
      <c r="AN3855" s="13"/>
      <c r="AO3855" s="13"/>
      <c r="AP3855" s="13"/>
      <c r="AQ3855" s="13"/>
      <c r="AR3855" s="13"/>
      <c r="AS3855" s="13"/>
    </row>
    <row r="3856" ht="14.25" customHeight="1">
      <c r="A3856" s="26" t="s">
        <v>46</v>
      </c>
      <c r="B3856" s="26" t="s">
        <v>55</v>
      </c>
      <c r="C3856" s="26" t="s">
        <v>438</v>
      </c>
      <c r="D3856" s="26" t="s">
        <v>188</v>
      </c>
      <c r="E3856" s="13"/>
      <c r="F3856" s="26"/>
      <c r="G3856" s="26" t="s">
        <v>74</v>
      </c>
      <c r="H3856" s="26" t="s">
        <v>75</v>
      </c>
      <c r="I3856" s="26"/>
      <c r="J3856" s="26"/>
      <c r="K3856" s="28">
        <v>1.0</v>
      </c>
      <c r="L3856" s="28">
        <v>1.0</v>
      </c>
      <c r="M3856" s="30"/>
      <c r="N3856" s="30"/>
      <c r="O3856" s="17"/>
      <c r="P3856" s="17"/>
      <c r="Q3856" s="13"/>
      <c r="R3856" s="13"/>
      <c r="S3856" s="13"/>
      <c r="T3856" s="13">
        <f t="shared" ref="T3856:Y3856" si="4139">IF(ISBLANK(K3856)=TRUE,0,1)</f>
        <v>1</v>
      </c>
      <c r="U3856" s="13">
        <f t="shared" si="4139"/>
        <v>1</v>
      </c>
      <c r="V3856" s="13">
        <f t="shared" si="4139"/>
        <v>0</v>
      </c>
      <c r="W3856" s="13">
        <f t="shared" si="4139"/>
        <v>0</v>
      </c>
      <c r="X3856" s="13">
        <f t="shared" si="4139"/>
        <v>0</v>
      </c>
      <c r="Y3856" s="13">
        <f t="shared" si="4139"/>
        <v>0</v>
      </c>
      <c r="Z3856" s="13">
        <f t="shared" si="3023"/>
        <v>1</v>
      </c>
      <c r="AA3856" s="13"/>
      <c r="AB3856" s="13"/>
      <c r="AC3856" s="13"/>
      <c r="AD3856" s="13"/>
      <c r="AE3856" s="13"/>
      <c r="AF3856" s="13"/>
      <c r="AG3856" s="13"/>
      <c r="AH3856" s="13"/>
      <c r="AI3856" s="13"/>
      <c r="AJ3856" s="13"/>
      <c r="AK3856" s="13"/>
      <c r="AL3856" s="13"/>
      <c r="AM3856" s="13"/>
      <c r="AN3856" s="13"/>
      <c r="AO3856" s="13"/>
      <c r="AP3856" s="13"/>
      <c r="AQ3856" s="13"/>
      <c r="AR3856" s="13"/>
      <c r="AS3856" s="13"/>
    </row>
    <row r="3857" ht="14.25" customHeight="1">
      <c r="A3857" s="26" t="s">
        <v>46</v>
      </c>
      <c r="B3857" s="26" t="s">
        <v>55</v>
      </c>
      <c r="C3857" s="26" t="s">
        <v>438</v>
      </c>
      <c r="D3857" s="26" t="s">
        <v>174</v>
      </c>
      <c r="E3857" s="13"/>
      <c r="F3857" s="26"/>
      <c r="G3857" s="26" t="s">
        <v>74</v>
      </c>
      <c r="H3857" s="26" t="s">
        <v>75</v>
      </c>
      <c r="I3857" s="26"/>
      <c r="J3857" s="26"/>
      <c r="K3857" s="28">
        <v>1.0</v>
      </c>
      <c r="L3857" s="28">
        <v>1.0</v>
      </c>
      <c r="M3857" s="30"/>
      <c r="N3857" s="30"/>
      <c r="O3857" s="17"/>
      <c r="P3857" s="17"/>
      <c r="Q3857" s="13"/>
      <c r="R3857" s="13"/>
      <c r="S3857" s="13"/>
      <c r="T3857" s="13">
        <f t="shared" ref="T3857:Y3857" si="4140">IF(ISBLANK(K3857)=TRUE,0,1)</f>
        <v>1</v>
      </c>
      <c r="U3857" s="13">
        <f t="shared" si="4140"/>
        <v>1</v>
      </c>
      <c r="V3857" s="13">
        <f t="shared" si="4140"/>
        <v>0</v>
      </c>
      <c r="W3857" s="13">
        <f t="shared" si="4140"/>
        <v>0</v>
      </c>
      <c r="X3857" s="13">
        <f t="shared" si="4140"/>
        <v>0</v>
      </c>
      <c r="Y3857" s="13">
        <f t="shared" si="4140"/>
        <v>0</v>
      </c>
      <c r="Z3857" s="13">
        <f t="shared" si="3023"/>
        <v>1</v>
      </c>
      <c r="AA3857" s="13"/>
      <c r="AB3857" s="13"/>
      <c r="AC3857" s="13"/>
      <c r="AD3857" s="13"/>
      <c r="AE3857" s="13"/>
      <c r="AF3857" s="13"/>
      <c r="AG3857" s="13"/>
      <c r="AH3857" s="13"/>
      <c r="AI3857" s="13"/>
      <c r="AJ3857" s="13"/>
      <c r="AK3857" s="13"/>
      <c r="AL3857" s="13"/>
      <c r="AM3857" s="13"/>
      <c r="AN3857" s="13"/>
      <c r="AO3857" s="13"/>
      <c r="AP3857" s="13"/>
      <c r="AQ3857" s="13"/>
      <c r="AR3857" s="13"/>
      <c r="AS3857" s="13"/>
    </row>
    <row r="3858" ht="14.25" customHeight="1">
      <c r="A3858" s="26" t="s">
        <v>46</v>
      </c>
      <c r="B3858" s="26" t="s">
        <v>55</v>
      </c>
      <c r="C3858" s="26" t="s">
        <v>438</v>
      </c>
      <c r="D3858" s="26" t="s">
        <v>175</v>
      </c>
      <c r="E3858" s="13"/>
      <c r="F3858" s="26"/>
      <c r="G3858" s="26" t="s">
        <v>74</v>
      </c>
      <c r="H3858" s="26" t="s">
        <v>75</v>
      </c>
      <c r="I3858" s="26"/>
      <c r="J3858" s="26"/>
      <c r="K3858" s="28">
        <v>1.0</v>
      </c>
      <c r="L3858" s="28">
        <v>1.0</v>
      </c>
      <c r="M3858" s="30"/>
      <c r="N3858" s="30"/>
      <c r="O3858" s="17"/>
      <c r="P3858" s="17"/>
      <c r="Q3858" s="13"/>
      <c r="R3858" s="13"/>
      <c r="S3858" s="13"/>
      <c r="T3858" s="13">
        <f t="shared" ref="T3858:Y3858" si="4141">IF(ISBLANK(K3858)=TRUE,0,1)</f>
        <v>1</v>
      </c>
      <c r="U3858" s="13">
        <f t="shared" si="4141"/>
        <v>1</v>
      </c>
      <c r="V3858" s="13">
        <f t="shared" si="4141"/>
        <v>0</v>
      </c>
      <c r="W3858" s="13">
        <f t="shared" si="4141"/>
        <v>0</v>
      </c>
      <c r="X3858" s="13">
        <f t="shared" si="4141"/>
        <v>0</v>
      </c>
      <c r="Y3858" s="13">
        <f t="shared" si="4141"/>
        <v>0</v>
      </c>
      <c r="Z3858" s="13">
        <f t="shared" si="3023"/>
        <v>1</v>
      </c>
      <c r="AA3858" s="13"/>
      <c r="AB3858" s="13"/>
      <c r="AC3858" s="13"/>
      <c r="AD3858" s="13"/>
      <c r="AE3858" s="13"/>
      <c r="AF3858" s="13"/>
      <c r="AG3858" s="13"/>
      <c r="AH3858" s="13"/>
      <c r="AI3858" s="13"/>
      <c r="AJ3858" s="13"/>
      <c r="AK3858" s="13"/>
      <c r="AL3858" s="13"/>
      <c r="AM3858" s="13"/>
      <c r="AN3858" s="13"/>
      <c r="AO3858" s="13"/>
      <c r="AP3858" s="13"/>
      <c r="AQ3858" s="13"/>
      <c r="AR3858" s="13"/>
      <c r="AS3858" s="13"/>
    </row>
    <row r="3859" ht="14.25" customHeight="1">
      <c r="A3859" s="26" t="s">
        <v>46</v>
      </c>
      <c r="B3859" s="26" t="s">
        <v>55</v>
      </c>
      <c r="C3859" s="26" t="s">
        <v>438</v>
      </c>
      <c r="D3859" s="26" t="s">
        <v>176</v>
      </c>
      <c r="E3859" s="13"/>
      <c r="F3859" s="26"/>
      <c r="G3859" s="26" t="s">
        <v>74</v>
      </c>
      <c r="H3859" s="26" t="s">
        <v>75</v>
      </c>
      <c r="I3859" s="26"/>
      <c r="J3859" s="26"/>
      <c r="K3859" s="28">
        <v>1.0</v>
      </c>
      <c r="L3859" s="28">
        <v>1.0</v>
      </c>
      <c r="M3859" s="30"/>
      <c r="N3859" s="30"/>
      <c r="O3859" s="17"/>
      <c r="P3859" s="17"/>
      <c r="Q3859" s="13"/>
      <c r="R3859" s="13"/>
      <c r="S3859" s="13"/>
      <c r="T3859" s="13">
        <f t="shared" ref="T3859:Y3859" si="4142">IF(ISBLANK(K3859)=TRUE,0,1)</f>
        <v>1</v>
      </c>
      <c r="U3859" s="13">
        <f t="shared" si="4142"/>
        <v>1</v>
      </c>
      <c r="V3859" s="13">
        <f t="shared" si="4142"/>
        <v>0</v>
      </c>
      <c r="W3859" s="13">
        <f t="shared" si="4142"/>
        <v>0</v>
      </c>
      <c r="X3859" s="13">
        <f t="shared" si="4142"/>
        <v>0</v>
      </c>
      <c r="Y3859" s="13">
        <f t="shared" si="4142"/>
        <v>0</v>
      </c>
      <c r="Z3859" s="13">
        <f t="shared" si="3023"/>
        <v>1</v>
      </c>
      <c r="AA3859" s="13"/>
      <c r="AB3859" s="13"/>
      <c r="AC3859" s="13"/>
      <c r="AD3859" s="13"/>
      <c r="AE3859" s="13"/>
      <c r="AF3859" s="13"/>
      <c r="AG3859" s="13"/>
      <c r="AH3859" s="13"/>
      <c r="AI3859" s="13"/>
      <c r="AJ3859" s="13"/>
      <c r="AK3859" s="13"/>
      <c r="AL3859" s="13"/>
      <c r="AM3859" s="13"/>
      <c r="AN3859" s="13"/>
      <c r="AO3859" s="13"/>
      <c r="AP3859" s="13"/>
      <c r="AQ3859" s="13"/>
      <c r="AR3859" s="13"/>
      <c r="AS3859" s="13"/>
    </row>
    <row r="3860" ht="14.25" customHeight="1">
      <c r="A3860" s="13" t="s">
        <v>46</v>
      </c>
      <c r="B3860" s="13" t="s">
        <v>55</v>
      </c>
      <c r="C3860" s="13" t="s">
        <v>439</v>
      </c>
      <c r="D3860" s="26" t="s">
        <v>174</v>
      </c>
      <c r="E3860" s="13"/>
      <c r="F3860" s="13"/>
      <c r="G3860" s="26" t="s">
        <v>74</v>
      </c>
      <c r="H3860" s="13" t="s">
        <v>75</v>
      </c>
      <c r="I3860" s="13"/>
      <c r="J3860" s="13"/>
      <c r="K3860" s="15">
        <v>1.0</v>
      </c>
      <c r="L3860" s="15">
        <v>1.0</v>
      </c>
      <c r="M3860" s="16"/>
      <c r="N3860" s="16"/>
      <c r="O3860" s="17"/>
      <c r="P3860" s="17"/>
      <c r="Q3860" s="13"/>
      <c r="R3860" s="13"/>
      <c r="S3860" s="13"/>
      <c r="T3860" s="13">
        <f t="shared" ref="T3860:Y3860" si="4143">IF(ISBLANK(K3860)=TRUE,0,1)</f>
        <v>1</v>
      </c>
      <c r="U3860" s="13">
        <f t="shared" si="4143"/>
        <v>1</v>
      </c>
      <c r="V3860" s="13">
        <f t="shared" si="4143"/>
        <v>0</v>
      </c>
      <c r="W3860" s="13">
        <f t="shared" si="4143"/>
        <v>0</v>
      </c>
      <c r="X3860" s="13">
        <f t="shared" si="4143"/>
        <v>0</v>
      </c>
      <c r="Y3860" s="13">
        <f t="shared" si="4143"/>
        <v>0</v>
      </c>
      <c r="Z3860" s="13">
        <f t="shared" si="3023"/>
        <v>1</v>
      </c>
      <c r="AA3860" s="13"/>
      <c r="AB3860" s="13"/>
      <c r="AC3860" s="13"/>
      <c r="AD3860" s="13"/>
      <c r="AE3860" s="13"/>
      <c r="AF3860" s="13"/>
      <c r="AG3860" s="13"/>
      <c r="AH3860" s="13"/>
      <c r="AI3860" s="13"/>
      <c r="AJ3860" s="13"/>
      <c r="AK3860" s="13"/>
      <c r="AL3860" s="13"/>
      <c r="AM3860" s="13"/>
      <c r="AN3860" s="13"/>
      <c r="AO3860" s="13"/>
      <c r="AP3860" s="13"/>
      <c r="AQ3860" s="13"/>
      <c r="AR3860" s="13"/>
      <c r="AS3860" s="13"/>
    </row>
    <row r="3861" ht="14.25" customHeight="1">
      <c r="A3861" s="13" t="s">
        <v>46</v>
      </c>
      <c r="B3861" s="13" t="s">
        <v>55</v>
      </c>
      <c r="C3861" s="13" t="s">
        <v>439</v>
      </c>
      <c r="D3861" s="26" t="s">
        <v>175</v>
      </c>
      <c r="E3861" s="13"/>
      <c r="F3861" s="13"/>
      <c r="G3861" s="26" t="s">
        <v>74</v>
      </c>
      <c r="H3861" s="13" t="s">
        <v>75</v>
      </c>
      <c r="I3861" s="13"/>
      <c r="J3861" s="13"/>
      <c r="K3861" s="15">
        <v>1.0</v>
      </c>
      <c r="L3861" s="15">
        <v>1.0</v>
      </c>
      <c r="M3861" s="16"/>
      <c r="N3861" s="16"/>
      <c r="O3861" s="17"/>
      <c r="P3861" s="17"/>
      <c r="Q3861" s="13"/>
      <c r="R3861" s="13"/>
      <c r="S3861" s="13"/>
      <c r="T3861" s="13">
        <f t="shared" ref="T3861:Y3861" si="4144">IF(ISBLANK(K3861)=TRUE,0,1)</f>
        <v>1</v>
      </c>
      <c r="U3861" s="13">
        <f t="shared" si="4144"/>
        <v>1</v>
      </c>
      <c r="V3861" s="13">
        <f t="shared" si="4144"/>
        <v>0</v>
      </c>
      <c r="W3861" s="13">
        <f t="shared" si="4144"/>
        <v>0</v>
      </c>
      <c r="X3861" s="13">
        <f t="shared" si="4144"/>
        <v>0</v>
      </c>
      <c r="Y3861" s="13">
        <f t="shared" si="4144"/>
        <v>0</v>
      </c>
      <c r="Z3861" s="13">
        <f t="shared" si="3023"/>
        <v>1</v>
      </c>
      <c r="AA3861" s="13"/>
      <c r="AB3861" s="13"/>
      <c r="AC3861" s="13"/>
      <c r="AD3861" s="13"/>
      <c r="AE3861" s="13"/>
      <c r="AF3861" s="13"/>
      <c r="AG3861" s="13"/>
      <c r="AH3861" s="13"/>
      <c r="AI3861" s="13"/>
      <c r="AJ3861" s="13"/>
      <c r="AK3861" s="13"/>
      <c r="AL3861" s="13"/>
      <c r="AM3861" s="13"/>
      <c r="AN3861" s="13"/>
      <c r="AO3861" s="13"/>
      <c r="AP3861" s="13"/>
      <c r="AQ3861" s="13"/>
      <c r="AR3861" s="13"/>
      <c r="AS3861" s="13"/>
    </row>
    <row r="3862" ht="14.25" customHeight="1">
      <c r="A3862" s="13" t="s">
        <v>46</v>
      </c>
      <c r="B3862" s="13" t="s">
        <v>55</v>
      </c>
      <c r="C3862" s="13" t="s">
        <v>439</v>
      </c>
      <c r="D3862" s="26" t="s">
        <v>176</v>
      </c>
      <c r="E3862" s="13"/>
      <c r="F3862" s="13"/>
      <c r="G3862" s="26" t="s">
        <v>74</v>
      </c>
      <c r="H3862" s="13" t="s">
        <v>75</v>
      </c>
      <c r="I3862" s="13"/>
      <c r="J3862" s="13"/>
      <c r="K3862" s="15">
        <v>1.0</v>
      </c>
      <c r="L3862" s="15">
        <v>1.0</v>
      </c>
      <c r="M3862" s="16"/>
      <c r="N3862" s="16"/>
      <c r="O3862" s="17"/>
      <c r="P3862" s="17"/>
      <c r="Q3862" s="13"/>
      <c r="R3862" s="13"/>
      <c r="S3862" s="13"/>
      <c r="T3862" s="13">
        <f t="shared" ref="T3862:Y3862" si="4145">IF(ISBLANK(K3862)=TRUE,0,1)</f>
        <v>1</v>
      </c>
      <c r="U3862" s="13">
        <f t="shared" si="4145"/>
        <v>1</v>
      </c>
      <c r="V3862" s="13">
        <f t="shared" si="4145"/>
        <v>0</v>
      </c>
      <c r="W3862" s="13">
        <f t="shared" si="4145"/>
        <v>0</v>
      </c>
      <c r="X3862" s="13">
        <f t="shared" si="4145"/>
        <v>0</v>
      </c>
      <c r="Y3862" s="13">
        <f t="shared" si="4145"/>
        <v>0</v>
      </c>
      <c r="Z3862" s="13">
        <f t="shared" si="3023"/>
        <v>1</v>
      </c>
      <c r="AA3862" s="13"/>
      <c r="AB3862" s="13"/>
      <c r="AC3862" s="13"/>
      <c r="AD3862" s="13"/>
      <c r="AE3862" s="13"/>
      <c r="AF3862" s="13"/>
      <c r="AG3862" s="13"/>
      <c r="AH3862" s="13"/>
      <c r="AI3862" s="13"/>
      <c r="AJ3862" s="13"/>
      <c r="AK3862" s="13"/>
      <c r="AL3862" s="13"/>
      <c r="AM3862" s="13"/>
      <c r="AN3862" s="13"/>
      <c r="AO3862" s="13"/>
      <c r="AP3862" s="13"/>
      <c r="AQ3862" s="13"/>
      <c r="AR3862" s="13"/>
      <c r="AS3862" s="13"/>
    </row>
    <row r="3863" ht="14.25" customHeight="1">
      <c r="A3863" s="13" t="s">
        <v>46</v>
      </c>
      <c r="B3863" s="13" t="s">
        <v>55</v>
      </c>
      <c r="C3863" s="13" t="s">
        <v>439</v>
      </c>
      <c r="D3863" s="26" t="s">
        <v>177</v>
      </c>
      <c r="E3863" s="13"/>
      <c r="F3863" s="13"/>
      <c r="G3863" s="26" t="s">
        <v>74</v>
      </c>
      <c r="H3863" s="13" t="s">
        <v>75</v>
      </c>
      <c r="I3863" s="13"/>
      <c r="J3863" s="13"/>
      <c r="K3863" s="15">
        <v>1.0</v>
      </c>
      <c r="L3863" s="15">
        <v>1.0</v>
      </c>
      <c r="M3863" s="16"/>
      <c r="N3863" s="16"/>
      <c r="O3863" s="17"/>
      <c r="P3863" s="17"/>
      <c r="Q3863" s="13"/>
      <c r="R3863" s="13"/>
      <c r="S3863" s="13"/>
      <c r="T3863" s="13">
        <f t="shared" ref="T3863:Y3863" si="4146">IF(ISBLANK(K3863)=TRUE,0,1)</f>
        <v>1</v>
      </c>
      <c r="U3863" s="13">
        <f t="shared" si="4146"/>
        <v>1</v>
      </c>
      <c r="V3863" s="13">
        <f t="shared" si="4146"/>
        <v>0</v>
      </c>
      <c r="W3863" s="13">
        <f t="shared" si="4146"/>
        <v>0</v>
      </c>
      <c r="X3863" s="13">
        <f t="shared" si="4146"/>
        <v>0</v>
      </c>
      <c r="Y3863" s="13">
        <f t="shared" si="4146"/>
        <v>0</v>
      </c>
      <c r="Z3863" s="13">
        <f t="shared" si="3023"/>
        <v>1</v>
      </c>
      <c r="AA3863" s="13"/>
      <c r="AB3863" s="13"/>
      <c r="AC3863" s="13"/>
      <c r="AD3863" s="13"/>
      <c r="AE3863" s="13"/>
      <c r="AF3863" s="13"/>
      <c r="AG3863" s="13"/>
      <c r="AH3863" s="13"/>
      <c r="AI3863" s="13"/>
      <c r="AJ3863" s="13"/>
      <c r="AK3863" s="13"/>
      <c r="AL3863" s="13"/>
      <c r="AM3863" s="13"/>
      <c r="AN3863" s="13"/>
      <c r="AO3863" s="13"/>
      <c r="AP3863" s="13"/>
      <c r="AQ3863" s="13"/>
      <c r="AR3863" s="13"/>
      <c r="AS3863" s="13"/>
    </row>
    <row r="3864" ht="14.25" customHeight="1">
      <c r="A3864" s="13" t="s">
        <v>46</v>
      </c>
      <c r="B3864" s="13" t="s">
        <v>55</v>
      </c>
      <c r="C3864" s="13" t="s">
        <v>439</v>
      </c>
      <c r="D3864" s="26" t="s">
        <v>178</v>
      </c>
      <c r="E3864" s="13"/>
      <c r="F3864" s="13"/>
      <c r="G3864" s="26" t="s">
        <v>74</v>
      </c>
      <c r="H3864" s="13" t="s">
        <v>75</v>
      </c>
      <c r="I3864" s="13"/>
      <c r="J3864" s="13"/>
      <c r="K3864" s="15">
        <v>1.0</v>
      </c>
      <c r="L3864" s="15">
        <v>1.0</v>
      </c>
      <c r="M3864" s="16"/>
      <c r="N3864" s="16"/>
      <c r="O3864" s="17"/>
      <c r="P3864" s="17"/>
      <c r="Q3864" s="13"/>
      <c r="R3864" s="13"/>
      <c r="S3864" s="13"/>
      <c r="T3864" s="13">
        <f t="shared" ref="T3864:Y3864" si="4147">IF(ISBLANK(K3864)=TRUE,0,1)</f>
        <v>1</v>
      </c>
      <c r="U3864" s="13">
        <f t="shared" si="4147"/>
        <v>1</v>
      </c>
      <c r="V3864" s="13">
        <f t="shared" si="4147"/>
        <v>0</v>
      </c>
      <c r="W3864" s="13">
        <f t="shared" si="4147"/>
        <v>0</v>
      </c>
      <c r="X3864" s="13">
        <f t="shared" si="4147"/>
        <v>0</v>
      </c>
      <c r="Y3864" s="13">
        <f t="shared" si="4147"/>
        <v>0</v>
      </c>
      <c r="Z3864" s="13">
        <f t="shared" si="3023"/>
        <v>1</v>
      </c>
      <c r="AA3864" s="13"/>
      <c r="AB3864" s="13"/>
      <c r="AC3864" s="13"/>
      <c r="AD3864" s="13"/>
      <c r="AE3864" s="13"/>
      <c r="AF3864" s="13"/>
      <c r="AG3864" s="13"/>
      <c r="AH3864" s="13"/>
      <c r="AI3864" s="13"/>
      <c r="AJ3864" s="13"/>
      <c r="AK3864" s="13"/>
      <c r="AL3864" s="13"/>
      <c r="AM3864" s="13"/>
      <c r="AN3864" s="13"/>
      <c r="AO3864" s="13"/>
      <c r="AP3864" s="13"/>
      <c r="AQ3864" s="13"/>
      <c r="AR3864" s="13"/>
      <c r="AS3864" s="13"/>
    </row>
    <row r="3865" ht="14.25" customHeight="1">
      <c r="A3865" s="13" t="s">
        <v>46</v>
      </c>
      <c r="B3865" s="13" t="s">
        <v>55</v>
      </c>
      <c r="C3865" s="13" t="s">
        <v>439</v>
      </c>
      <c r="D3865" s="26" t="s">
        <v>179</v>
      </c>
      <c r="E3865" s="13"/>
      <c r="F3865" s="13"/>
      <c r="G3865" s="26" t="s">
        <v>74</v>
      </c>
      <c r="H3865" s="13" t="s">
        <v>75</v>
      </c>
      <c r="I3865" s="13"/>
      <c r="J3865" s="13"/>
      <c r="K3865" s="15">
        <v>1.0</v>
      </c>
      <c r="L3865" s="15">
        <v>1.0</v>
      </c>
      <c r="M3865" s="16"/>
      <c r="N3865" s="16"/>
      <c r="O3865" s="17"/>
      <c r="P3865" s="17"/>
      <c r="Q3865" s="13"/>
      <c r="R3865" s="13"/>
      <c r="S3865" s="13"/>
      <c r="T3865" s="13">
        <f t="shared" ref="T3865:Y3865" si="4148">IF(ISBLANK(K3865)=TRUE,0,1)</f>
        <v>1</v>
      </c>
      <c r="U3865" s="13">
        <f t="shared" si="4148"/>
        <v>1</v>
      </c>
      <c r="V3865" s="13">
        <f t="shared" si="4148"/>
        <v>0</v>
      </c>
      <c r="W3865" s="13">
        <f t="shared" si="4148"/>
        <v>0</v>
      </c>
      <c r="X3865" s="13">
        <f t="shared" si="4148"/>
        <v>0</v>
      </c>
      <c r="Y3865" s="13">
        <f t="shared" si="4148"/>
        <v>0</v>
      </c>
      <c r="Z3865" s="13">
        <f t="shared" si="3023"/>
        <v>1</v>
      </c>
      <c r="AA3865" s="13"/>
      <c r="AB3865" s="13"/>
      <c r="AC3865" s="13"/>
      <c r="AD3865" s="13"/>
      <c r="AE3865" s="13"/>
      <c r="AF3865" s="13"/>
      <c r="AG3865" s="13"/>
      <c r="AH3865" s="13"/>
      <c r="AI3865" s="13"/>
      <c r="AJ3865" s="13"/>
      <c r="AK3865" s="13"/>
      <c r="AL3865" s="13"/>
      <c r="AM3865" s="13"/>
      <c r="AN3865" s="13"/>
      <c r="AO3865" s="13"/>
      <c r="AP3865" s="13"/>
      <c r="AQ3865" s="13"/>
      <c r="AR3865" s="13"/>
      <c r="AS3865" s="13"/>
    </row>
    <row r="3866" ht="14.25" customHeight="1">
      <c r="A3866" s="13" t="s">
        <v>46</v>
      </c>
      <c r="B3866" s="13" t="s">
        <v>55</v>
      </c>
      <c r="C3866" s="13" t="s">
        <v>439</v>
      </c>
      <c r="D3866" s="26" t="s">
        <v>180</v>
      </c>
      <c r="E3866" s="13"/>
      <c r="F3866" s="13"/>
      <c r="G3866" s="26" t="s">
        <v>74</v>
      </c>
      <c r="H3866" s="13" t="s">
        <v>75</v>
      </c>
      <c r="I3866" s="13"/>
      <c r="J3866" s="13"/>
      <c r="K3866" s="15">
        <v>1.0</v>
      </c>
      <c r="L3866" s="15">
        <v>1.0</v>
      </c>
      <c r="M3866" s="16"/>
      <c r="N3866" s="16"/>
      <c r="O3866" s="17"/>
      <c r="P3866" s="17"/>
      <c r="Q3866" s="13"/>
      <c r="R3866" s="13"/>
      <c r="S3866" s="13"/>
      <c r="T3866" s="13">
        <f t="shared" ref="T3866:Y3866" si="4149">IF(ISBLANK(K3866)=TRUE,0,1)</f>
        <v>1</v>
      </c>
      <c r="U3866" s="13">
        <f t="shared" si="4149"/>
        <v>1</v>
      </c>
      <c r="V3866" s="13">
        <f t="shared" si="4149"/>
        <v>0</v>
      </c>
      <c r="W3866" s="13">
        <f t="shared" si="4149"/>
        <v>0</v>
      </c>
      <c r="X3866" s="13">
        <f t="shared" si="4149"/>
        <v>0</v>
      </c>
      <c r="Y3866" s="13">
        <f t="shared" si="4149"/>
        <v>0</v>
      </c>
      <c r="Z3866" s="13">
        <f t="shared" si="3023"/>
        <v>1</v>
      </c>
      <c r="AA3866" s="13"/>
      <c r="AB3866" s="13"/>
      <c r="AC3866" s="13"/>
      <c r="AD3866" s="13"/>
      <c r="AE3866" s="13"/>
      <c r="AF3866" s="13"/>
      <c r="AG3866" s="13"/>
      <c r="AH3866" s="13"/>
      <c r="AI3866" s="13"/>
      <c r="AJ3866" s="13"/>
      <c r="AK3866" s="13"/>
      <c r="AL3866" s="13"/>
      <c r="AM3866" s="13"/>
      <c r="AN3866" s="13"/>
      <c r="AO3866" s="13"/>
      <c r="AP3866" s="13"/>
      <c r="AQ3866" s="13"/>
      <c r="AR3866" s="13"/>
      <c r="AS3866" s="13"/>
    </row>
    <row r="3867" ht="14.25" customHeight="1">
      <c r="A3867" s="13" t="s">
        <v>46</v>
      </c>
      <c r="B3867" s="13" t="s">
        <v>55</v>
      </c>
      <c r="C3867" s="13" t="s">
        <v>439</v>
      </c>
      <c r="D3867" s="26" t="s">
        <v>181</v>
      </c>
      <c r="E3867" s="13"/>
      <c r="F3867" s="13"/>
      <c r="G3867" s="26" t="s">
        <v>74</v>
      </c>
      <c r="H3867" s="13" t="s">
        <v>75</v>
      </c>
      <c r="I3867" s="13"/>
      <c r="J3867" s="13"/>
      <c r="K3867" s="15">
        <v>1.0</v>
      </c>
      <c r="L3867" s="15">
        <v>1.0</v>
      </c>
      <c r="M3867" s="16"/>
      <c r="N3867" s="16"/>
      <c r="O3867" s="17"/>
      <c r="P3867" s="17"/>
      <c r="Q3867" s="13"/>
      <c r="R3867" s="13"/>
      <c r="S3867" s="13"/>
      <c r="T3867" s="13">
        <f t="shared" ref="T3867:Y3867" si="4150">IF(ISBLANK(K3867)=TRUE,0,1)</f>
        <v>1</v>
      </c>
      <c r="U3867" s="13">
        <f t="shared" si="4150"/>
        <v>1</v>
      </c>
      <c r="V3867" s="13">
        <f t="shared" si="4150"/>
        <v>0</v>
      </c>
      <c r="W3867" s="13">
        <f t="shared" si="4150"/>
        <v>0</v>
      </c>
      <c r="X3867" s="13">
        <f t="shared" si="4150"/>
        <v>0</v>
      </c>
      <c r="Y3867" s="13">
        <f t="shared" si="4150"/>
        <v>0</v>
      </c>
      <c r="Z3867" s="13">
        <f t="shared" si="3023"/>
        <v>1</v>
      </c>
      <c r="AA3867" s="13"/>
      <c r="AB3867" s="13"/>
      <c r="AC3867" s="13"/>
      <c r="AD3867" s="13"/>
      <c r="AE3867" s="13"/>
      <c r="AF3867" s="13"/>
      <c r="AG3867" s="13"/>
      <c r="AH3867" s="13"/>
      <c r="AI3867" s="13"/>
      <c r="AJ3867" s="13"/>
      <c r="AK3867" s="13"/>
      <c r="AL3867" s="13"/>
      <c r="AM3867" s="13"/>
      <c r="AN3867" s="13"/>
      <c r="AO3867" s="13"/>
      <c r="AP3867" s="13"/>
      <c r="AQ3867" s="13"/>
      <c r="AR3867" s="13"/>
      <c r="AS3867" s="13"/>
    </row>
    <row r="3868" ht="14.25" customHeight="1">
      <c r="A3868" s="13" t="s">
        <v>46</v>
      </c>
      <c r="B3868" s="13" t="s">
        <v>55</v>
      </c>
      <c r="C3868" s="13" t="s">
        <v>439</v>
      </c>
      <c r="D3868" s="26" t="s">
        <v>182</v>
      </c>
      <c r="E3868" s="13"/>
      <c r="F3868" s="13"/>
      <c r="G3868" s="26" t="s">
        <v>74</v>
      </c>
      <c r="H3868" s="13" t="s">
        <v>75</v>
      </c>
      <c r="I3868" s="13"/>
      <c r="J3868" s="13"/>
      <c r="K3868" s="15">
        <v>1.0</v>
      </c>
      <c r="L3868" s="15">
        <v>1.0</v>
      </c>
      <c r="M3868" s="16"/>
      <c r="N3868" s="16"/>
      <c r="O3868" s="17"/>
      <c r="P3868" s="17"/>
      <c r="Q3868" s="13"/>
      <c r="R3868" s="13"/>
      <c r="S3868" s="13"/>
      <c r="T3868" s="13">
        <f t="shared" ref="T3868:Y3868" si="4151">IF(ISBLANK(K3868)=TRUE,0,1)</f>
        <v>1</v>
      </c>
      <c r="U3868" s="13">
        <f t="shared" si="4151"/>
        <v>1</v>
      </c>
      <c r="V3868" s="13">
        <f t="shared" si="4151"/>
        <v>0</v>
      </c>
      <c r="W3868" s="13">
        <f t="shared" si="4151"/>
        <v>0</v>
      </c>
      <c r="X3868" s="13">
        <f t="shared" si="4151"/>
        <v>0</v>
      </c>
      <c r="Y3868" s="13">
        <f t="shared" si="4151"/>
        <v>0</v>
      </c>
      <c r="Z3868" s="13">
        <f t="shared" si="3023"/>
        <v>1</v>
      </c>
      <c r="AA3868" s="13"/>
      <c r="AB3868" s="13"/>
      <c r="AC3868" s="13"/>
      <c r="AD3868" s="13"/>
      <c r="AE3868" s="13"/>
      <c r="AF3868" s="13"/>
      <c r="AG3868" s="13"/>
      <c r="AH3868" s="13"/>
      <c r="AI3868" s="13"/>
      <c r="AJ3868" s="13"/>
      <c r="AK3868" s="13"/>
      <c r="AL3868" s="13"/>
      <c r="AM3868" s="13"/>
      <c r="AN3868" s="13"/>
      <c r="AO3868" s="13"/>
      <c r="AP3868" s="13"/>
      <c r="AQ3868" s="13"/>
      <c r="AR3868" s="13"/>
      <c r="AS3868" s="13"/>
    </row>
    <row r="3869" ht="14.25" customHeight="1">
      <c r="A3869" s="13" t="s">
        <v>46</v>
      </c>
      <c r="B3869" s="13" t="s">
        <v>55</v>
      </c>
      <c r="C3869" s="13" t="s">
        <v>439</v>
      </c>
      <c r="D3869" s="26" t="s">
        <v>183</v>
      </c>
      <c r="E3869" s="13"/>
      <c r="F3869" s="13"/>
      <c r="G3869" s="26" t="s">
        <v>74</v>
      </c>
      <c r="H3869" s="13" t="s">
        <v>75</v>
      </c>
      <c r="I3869" s="13"/>
      <c r="J3869" s="13"/>
      <c r="K3869" s="15">
        <v>1.0</v>
      </c>
      <c r="L3869" s="15">
        <v>1.0</v>
      </c>
      <c r="M3869" s="16"/>
      <c r="N3869" s="16"/>
      <c r="O3869" s="17"/>
      <c r="P3869" s="17"/>
      <c r="Q3869" s="13"/>
      <c r="R3869" s="13"/>
      <c r="S3869" s="13"/>
      <c r="T3869" s="13">
        <f t="shared" ref="T3869:Y3869" si="4152">IF(ISBLANK(K3869)=TRUE,0,1)</f>
        <v>1</v>
      </c>
      <c r="U3869" s="13">
        <f t="shared" si="4152"/>
        <v>1</v>
      </c>
      <c r="V3869" s="13">
        <f t="shared" si="4152"/>
        <v>0</v>
      </c>
      <c r="W3869" s="13">
        <f t="shared" si="4152"/>
        <v>0</v>
      </c>
      <c r="X3869" s="13">
        <f t="shared" si="4152"/>
        <v>0</v>
      </c>
      <c r="Y3869" s="13">
        <f t="shared" si="4152"/>
        <v>0</v>
      </c>
      <c r="Z3869" s="13">
        <f t="shared" si="3023"/>
        <v>1</v>
      </c>
      <c r="AA3869" s="13"/>
      <c r="AB3869" s="13"/>
      <c r="AC3869" s="13"/>
      <c r="AD3869" s="13"/>
      <c r="AE3869" s="13"/>
      <c r="AF3869" s="13"/>
      <c r="AG3869" s="13"/>
      <c r="AH3869" s="13"/>
      <c r="AI3869" s="13"/>
      <c r="AJ3869" s="13"/>
      <c r="AK3869" s="13"/>
      <c r="AL3869" s="13"/>
      <c r="AM3869" s="13"/>
      <c r="AN3869" s="13"/>
      <c r="AO3869" s="13"/>
      <c r="AP3869" s="13"/>
      <c r="AQ3869" s="13"/>
      <c r="AR3869" s="13"/>
      <c r="AS3869" s="13"/>
    </row>
    <row r="3870" ht="14.25" customHeight="1">
      <c r="A3870" s="13" t="s">
        <v>46</v>
      </c>
      <c r="B3870" s="13" t="s">
        <v>55</v>
      </c>
      <c r="C3870" s="13" t="s">
        <v>439</v>
      </c>
      <c r="D3870" s="26" t="s">
        <v>184</v>
      </c>
      <c r="E3870" s="13"/>
      <c r="F3870" s="13"/>
      <c r="G3870" s="26" t="s">
        <v>74</v>
      </c>
      <c r="H3870" s="13" t="s">
        <v>75</v>
      </c>
      <c r="I3870" s="13"/>
      <c r="J3870" s="13"/>
      <c r="K3870" s="15">
        <v>1.0</v>
      </c>
      <c r="L3870" s="15">
        <v>1.0</v>
      </c>
      <c r="M3870" s="16"/>
      <c r="N3870" s="16"/>
      <c r="O3870" s="17"/>
      <c r="P3870" s="17"/>
      <c r="Q3870" s="13"/>
      <c r="R3870" s="13"/>
      <c r="S3870" s="13"/>
      <c r="T3870" s="13">
        <f t="shared" ref="T3870:Y3870" si="4153">IF(ISBLANK(K3870)=TRUE,0,1)</f>
        <v>1</v>
      </c>
      <c r="U3870" s="13">
        <f t="shared" si="4153"/>
        <v>1</v>
      </c>
      <c r="V3870" s="13">
        <f t="shared" si="4153"/>
        <v>0</v>
      </c>
      <c r="W3870" s="13">
        <f t="shared" si="4153"/>
        <v>0</v>
      </c>
      <c r="X3870" s="13">
        <f t="shared" si="4153"/>
        <v>0</v>
      </c>
      <c r="Y3870" s="13">
        <f t="shared" si="4153"/>
        <v>0</v>
      </c>
      <c r="Z3870" s="13">
        <f t="shared" si="3023"/>
        <v>1</v>
      </c>
      <c r="AA3870" s="13"/>
      <c r="AB3870" s="13"/>
      <c r="AC3870" s="13"/>
      <c r="AD3870" s="13"/>
      <c r="AE3870" s="13"/>
      <c r="AF3870" s="13"/>
      <c r="AG3870" s="13"/>
      <c r="AH3870" s="13"/>
      <c r="AI3870" s="13"/>
      <c r="AJ3870" s="13"/>
      <c r="AK3870" s="13"/>
      <c r="AL3870" s="13"/>
      <c r="AM3870" s="13"/>
      <c r="AN3870" s="13"/>
      <c r="AO3870" s="13"/>
      <c r="AP3870" s="13"/>
      <c r="AQ3870" s="13"/>
      <c r="AR3870" s="13"/>
      <c r="AS3870" s="13"/>
    </row>
    <row r="3871" ht="14.25" customHeight="1">
      <c r="A3871" s="13" t="s">
        <v>46</v>
      </c>
      <c r="B3871" s="13" t="s">
        <v>55</v>
      </c>
      <c r="C3871" s="13" t="s">
        <v>439</v>
      </c>
      <c r="D3871" s="26" t="s">
        <v>185</v>
      </c>
      <c r="E3871" s="13"/>
      <c r="F3871" s="13"/>
      <c r="G3871" s="26" t="s">
        <v>74</v>
      </c>
      <c r="H3871" s="13" t="s">
        <v>75</v>
      </c>
      <c r="I3871" s="13"/>
      <c r="J3871" s="13"/>
      <c r="K3871" s="15">
        <v>1.0</v>
      </c>
      <c r="L3871" s="15">
        <v>1.0</v>
      </c>
      <c r="M3871" s="16"/>
      <c r="N3871" s="16"/>
      <c r="O3871" s="17"/>
      <c r="P3871" s="17"/>
      <c r="Q3871" s="13"/>
      <c r="R3871" s="13"/>
      <c r="S3871" s="13"/>
      <c r="T3871" s="13">
        <f t="shared" ref="T3871:Y3871" si="4154">IF(ISBLANK(K3871)=TRUE,0,1)</f>
        <v>1</v>
      </c>
      <c r="U3871" s="13">
        <f t="shared" si="4154"/>
        <v>1</v>
      </c>
      <c r="V3871" s="13">
        <f t="shared" si="4154"/>
        <v>0</v>
      </c>
      <c r="W3871" s="13">
        <f t="shared" si="4154"/>
        <v>0</v>
      </c>
      <c r="X3871" s="13">
        <f t="shared" si="4154"/>
        <v>0</v>
      </c>
      <c r="Y3871" s="13">
        <f t="shared" si="4154"/>
        <v>0</v>
      </c>
      <c r="Z3871" s="13">
        <f t="shared" si="3023"/>
        <v>1</v>
      </c>
      <c r="AA3871" s="13"/>
      <c r="AB3871" s="13"/>
      <c r="AC3871" s="13"/>
      <c r="AD3871" s="13"/>
      <c r="AE3871" s="13"/>
      <c r="AF3871" s="13"/>
      <c r="AG3871" s="13"/>
      <c r="AH3871" s="13"/>
      <c r="AI3871" s="13"/>
      <c r="AJ3871" s="13"/>
      <c r="AK3871" s="13"/>
      <c r="AL3871" s="13"/>
      <c r="AM3871" s="13"/>
      <c r="AN3871" s="13"/>
      <c r="AO3871" s="13"/>
      <c r="AP3871" s="13"/>
      <c r="AQ3871" s="13"/>
      <c r="AR3871" s="13"/>
      <c r="AS3871" s="13"/>
    </row>
    <row r="3872" ht="14.25" customHeight="1">
      <c r="A3872" s="13" t="s">
        <v>46</v>
      </c>
      <c r="B3872" s="13" t="s">
        <v>55</v>
      </c>
      <c r="C3872" s="13" t="s">
        <v>439</v>
      </c>
      <c r="D3872" s="26" t="s">
        <v>186</v>
      </c>
      <c r="E3872" s="13"/>
      <c r="F3872" s="13"/>
      <c r="G3872" s="26" t="s">
        <v>74</v>
      </c>
      <c r="H3872" s="13" t="s">
        <v>75</v>
      </c>
      <c r="I3872" s="13"/>
      <c r="J3872" s="13"/>
      <c r="K3872" s="15">
        <v>1.0</v>
      </c>
      <c r="L3872" s="15">
        <v>1.0</v>
      </c>
      <c r="M3872" s="16"/>
      <c r="N3872" s="16"/>
      <c r="O3872" s="17"/>
      <c r="P3872" s="17"/>
      <c r="Q3872" s="13"/>
      <c r="R3872" s="13"/>
      <c r="S3872" s="13"/>
      <c r="T3872" s="13">
        <f t="shared" ref="T3872:Y3872" si="4155">IF(ISBLANK(K3872)=TRUE,0,1)</f>
        <v>1</v>
      </c>
      <c r="U3872" s="13">
        <f t="shared" si="4155"/>
        <v>1</v>
      </c>
      <c r="V3872" s="13">
        <f t="shared" si="4155"/>
        <v>0</v>
      </c>
      <c r="W3872" s="13">
        <f t="shared" si="4155"/>
        <v>0</v>
      </c>
      <c r="X3872" s="13">
        <f t="shared" si="4155"/>
        <v>0</v>
      </c>
      <c r="Y3872" s="13">
        <f t="shared" si="4155"/>
        <v>0</v>
      </c>
      <c r="Z3872" s="13">
        <f t="shared" si="3023"/>
        <v>1</v>
      </c>
      <c r="AA3872" s="13"/>
      <c r="AB3872" s="13"/>
      <c r="AC3872" s="13"/>
      <c r="AD3872" s="13"/>
      <c r="AE3872" s="13"/>
      <c r="AF3872" s="13"/>
      <c r="AG3872" s="13"/>
      <c r="AH3872" s="13"/>
      <c r="AI3872" s="13"/>
      <c r="AJ3872" s="13"/>
      <c r="AK3872" s="13"/>
      <c r="AL3872" s="13"/>
      <c r="AM3872" s="13"/>
      <c r="AN3872" s="13"/>
      <c r="AO3872" s="13"/>
      <c r="AP3872" s="13"/>
      <c r="AQ3872" s="13"/>
      <c r="AR3872" s="13"/>
      <c r="AS3872" s="13"/>
    </row>
    <row r="3873" ht="14.25" customHeight="1">
      <c r="A3873" s="13" t="s">
        <v>46</v>
      </c>
      <c r="B3873" s="13" t="s">
        <v>55</v>
      </c>
      <c r="C3873" s="13" t="s">
        <v>439</v>
      </c>
      <c r="D3873" s="26" t="s">
        <v>187</v>
      </c>
      <c r="E3873" s="13"/>
      <c r="F3873" s="13"/>
      <c r="G3873" s="26" t="s">
        <v>74</v>
      </c>
      <c r="H3873" s="13" t="s">
        <v>75</v>
      </c>
      <c r="I3873" s="13"/>
      <c r="J3873" s="13"/>
      <c r="K3873" s="15">
        <v>1.0</v>
      </c>
      <c r="L3873" s="15">
        <v>1.0</v>
      </c>
      <c r="M3873" s="16"/>
      <c r="N3873" s="16"/>
      <c r="O3873" s="17"/>
      <c r="P3873" s="17"/>
      <c r="Q3873" s="13"/>
      <c r="R3873" s="13"/>
      <c r="S3873" s="13"/>
      <c r="T3873" s="13">
        <f t="shared" ref="T3873:Y3873" si="4156">IF(ISBLANK(K3873)=TRUE,0,1)</f>
        <v>1</v>
      </c>
      <c r="U3873" s="13">
        <f t="shared" si="4156"/>
        <v>1</v>
      </c>
      <c r="V3873" s="13">
        <f t="shared" si="4156"/>
        <v>0</v>
      </c>
      <c r="W3873" s="13">
        <f t="shared" si="4156"/>
        <v>0</v>
      </c>
      <c r="X3873" s="13">
        <f t="shared" si="4156"/>
        <v>0</v>
      </c>
      <c r="Y3873" s="13">
        <f t="shared" si="4156"/>
        <v>0</v>
      </c>
      <c r="Z3873" s="13">
        <f t="shared" si="3023"/>
        <v>1</v>
      </c>
      <c r="AA3873" s="13"/>
      <c r="AB3873" s="13"/>
      <c r="AC3873" s="13"/>
      <c r="AD3873" s="13"/>
      <c r="AE3873" s="13"/>
      <c r="AF3873" s="13"/>
      <c r="AG3873" s="13"/>
      <c r="AH3873" s="13"/>
      <c r="AI3873" s="13"/>
      <c r="AJ3873" s="13"/>
      <c r="AK3873" s="13"/>
      <c r="AL3873" s="13"/>
      <c r="AM3873" s="13"/>
      <c r="AN3873" s="13"/>
      <c r="AO3873" s="13"/>
      <c r="AP3873" s="13"/>
      <c r="AQ3873" s="13"/>
      <c r="AR3873" s="13"/>
      <c r="AS3873" s="13"/>
    </row>
    <row r="3874" ht="14.25" customHeight="1">
      <c r="A3874" s="13" t="s">
        <v>46</v>
      </c>
      <c r="B3874" s="13" t="s">
        <v>55</v>
      </c>
      <c r="C3874" s="13" t="s">
        <v>439</v>
      </c>
      <c r="D3874" s="26" t="s">
        <v>188</v>
      </c>
      <c r="E3874" s="13"/>
      <c r="F3874" s="13"/>
      <c r="G3874" s="26" t="s">
        <v>74</v>
      </c>
      <c r="H3874" s="13" t="s">
        <v>75</v>
      </c>
      <c r="I3874" s="13"/>
      <c r="J3874" s="13"/>
      <c r="K3874" s="15">
        <v>1.0</v>
      </c>
      <c r="L3874" s="15">
        <v>1.0</v>
      </c>
      <c r="M3874" s="16"/>
      <c r="N3874" s="16"/>
      <c r="O3874" s="17"/>
      <c r="P3874" s="17"/>
      <c r="Q3874" s="13"/>
      <c r="R3874" s="13"/>
      <c r="S3874" s="13"/>
      <c r="T3874" s="13">
        <f t="shared" ref="T3874:Y3874" si="4157">IF(ISBLANK(K3874)=TRUE,0,1)</f>
        <v>1</v>
      </c>
      <c r="U3874" s="13">
        <f t="shared" si="4157"/>
        <v>1</v>
      </c>
      <c r="V3874" s="13">
        <f t="shared" si="4157"/>
        <v>0</v>
      </c>
      <c r="W3874" s="13">
        <f t="shared" si="4157"/>
        <v>0</v>
      </c>
      <c r="X3874" s="13">
        <f t="shared" si="4157"/>
        <v>0</v>
      </c>
      <c r="Y3874" s="13">
        <f t="shared" si="4157"/>
        <v>0</v>
      </c>
      <c r="Z3874" s="13">
        <f t="shared" si="3023"/>
        <v>1</v>
      </c>
      <c r="AA3874" s="13"/>
      <c r="AB3874" s="13"/>
      <c r="AC3874" s="13"/>
      <c r="AD3874" s="13"/>
      <c r="AE3874" s="13"/>
      <c r="AF3874" s="13"/>
      <c r="AG3874" s="13"/>
      <c r="AH3874" s="13"/>
      <c r="AI3874" s="13"/>
      <c r="AJ3874" s="13"/>
      <c r="AK3874" s="13"/>
      <c r="AL3874" s="13"/>
      <c r="AM3874" s="13"/>
      <c r="AN3874" s="13"/>
      <c r="AO3874" s="13"/>
      <c r="AP3874" s="13"/>
      <c r="AQ3874" s="13"/>
      <c r="AR3874" s="13"/>
      <c r="AS3874" s="13"/>
    </row>
    <row r="3875" ht="14.25" customHeight="1">
      <c r="A3875" s="26" t="s">
        <v>46</v>
      </c>
      <c r="B3875" s="31" t="s">
        <v>53</v>
      </c>
      <c r="C3875" s="13" t="s">
        <v>764</v>
      </c>
      <c r="D3875" s="26" t="s">
        <v>177</v>
      </c>
      <c r="E3875" s="13"/>
      <c r="F3875" s="13"/>
      <c r="G3875" s="26" t="s">
        <v>111</v>
      </c>
      <c r="H3875" s="26" t="s">
        <v>107</v>
      </c>
      <c r="I3875" s="13"/>
      <c r="J3875" s="13"/>
      <c r="K3875" s="15">
        <v>1.0</v>
      </c>
      <c r="L3875" s="15">
        <v>1.0</v>
      </c>
      <c r="M3875" s="16"/>
      <c r="N3875" s="16"/>
      <c r="O3875" s="17"/>
      <c r="P3875" s="17"/>
      <c r="Q3875" s="13"/>
      <c r="R3875" s="13"/>
      <c r="S3875" s="13"/>
      <c r="T3875" s="13">
        <f t="shared" ref="T3875:Y3875" si="4158">IF(ISBLANK(K3875)=TRUE,0,1)</f>
        <v>1</v>
      </c>
      <c r="U3875" s="13">
        <f t="shared" si="4158"/>
        <v>1</v>
      </c>
      <c r="V3875" s="13">
        <f t="shared" si="4158"/>
        <v>0</v>
      </c>
      <c r="W3875" s="13">
        <f t="shared" si="4158"/>
        <v>0</v>
      </c>
      <c r="X3875" s="13">
        <f t="shared" si="4158"/>
        <v>0</v>
      </c>
      <c r="Y3875" s="13">
        <f t="shared" si="4158"/>
        <v>0</v>
      </c>
      <c r="Z3875" s="13">
        <f t="shared" si="3023"/>
        <v>1</v>
      </c>
      <c r="AA3875" s="13"/>
      <c r="AB3875" s="13"/>
      <c r="AC3875" s="13"/>
      <c r="AD3875" s="13"/>
      <c r="AE3875" s="13"/>
      <c r="AF3875" s="13"/>
      <c r="AG3875" s="13"/>
      <c r="AH3875" s="13"/>
      <c r="AI3875" s="13"/>
      <c r="AJ3875" s="13"/>
      <c r="AK3875" s="13"/>
      <c r="AL3875" s="13"/>
      <c r="AM3875" s="13"/>
      <c r="AN3875" s="13"/>
      <c r="AO3875" s="13"/>
      <c r="AP3875" s="13"/>
      <c r="AQ3875" s="13"/>
      <c r="AR3875" s="13"/>
      <c r="AS3875" s="13"/>
    </row>
    <row r="3876" ht="14.25" customHeight="1">
      <c r="A3876" s="13" t="s">
        <v>46</v>
      </c>
      <c r="B3876" s="13" t="s">
        <v>55</v>
      </c>
      <c r="C3876" s="13" t="s">
        <v>442</v>
      </c>
      <c r="D3876" s="26" t="s">
        <v>180</v>
      </c>
      <c r="E3876" s="13"/>
      <c r="F3876" s="13"/>
      <c r="G3876" s="26" t="s">
        <v>74</v>
      </c>
      <c r="H3876" s="13" t="s">
        <v>75</v>
      </c>
      <c r="I3876" s="13"/>
      <c r="J3876" s="13"/>
      <c r="K3876" s="15">
        <v>1.0</v>
      </c>
      <c r="L3876" s="15">
        <v>1.0</v>
      </c>
      <c r="M3876" s="16"/>
      <c r="N3876" s="16"/>
      <c r="O3876" s="17"/>
      <c r="P3876" s="17"/>
      <c r="Q3876" s="13"/>
      <c r="R3876" s="13"/>
      <c r="S3876" s="13"/>
      <c r="T3876" s="13">
        <f t="shared" ref="T3876:Y3876" si="4159">IF(ISBLANK(K3876)=TRUE,0,1)</f>
        <v>1</v>
      </c>
      <c r="U3876" s="13">
        <f t="shared" si="4159"/>
        <v>1</v>
      </c>
      <c r="V3876" s="13">
        <f t="shared" si="4159"/>
        <v>0</v>
      </c>
      <c r="W3876" s="13">
        <f t="shared" si="4159"/>
        <v>0</v>
      </c>
      <c r="X3876" s="13">
        <f t="shared" si="4159"/>
        <v>0</v>
      </c>
      <c r="Y3876" s="13">
        <f t="shared" si="4159"/>
        <v>0</v>
      </c>
      <c r="Z3876" s="13">
        <f t="shared" si="3023"/>
        <v>1</v>
      </c>
      <c r="AA3876" s="13" t="s">
        <v>378</v>
      </c>
      <c r="AB3876" s="13"/>
      <c r="AC3876" s="13"/>
      <c r="AD3876" s="13"/>
      <c r="AE3876" s="13"/>
      <c r="AF3876" s="13"/>
      <c r="AG3876" s="13"/>
      <c r="AH3876" s="13"/>
      <c r="AI3876" s="13"/>
      <c r="AJ3876" s="13"/>
      <c r="AK3876" s="13"/>
      <c r="AL3876" s="13"/>
      <c r="AM3876" s="13"/>
      <c r="AN3876" s="13"/>
      <c r="AO3876" s="13"/>
      <c r="AP3876" s="13"/>
      <c r="AQ3876" s="13"/>
      <c r="AR3876" s="13"/>
      <c r="AS3876" s="13"/>
    </row>
    <row r="3877" ht="14.25" customHeight="1">
      <c r="A3877" s="13" t="s">
        <v>46</v>
      </c>
      <c r="B3877" s="13" t="s">
        <v>55</v>
      </c>
      <c r="C3877" s="13" t="s">
        <v>442</v>
      </c>
      <c r="D3877" s="26" t="s">
        <v>181</v>
      </c>
      <c r="E3877" s="13"/>
      <c r="F3877" s="13"/>
      <c r="G3877" s="26" t="s">
        <v>74</v>
      </c>
      <c r="H3877" s="13" t="s">
        <v>75</v>
      </c>
      <c r="I3877" s="13"/>
      <c r="J3877" s="13"/>
      <c r="K3877" s="15">
        <v>1.0</v>
      </c>
      <c r="L3877" s="15">
        <v>1.0</v>
      </c>
      <c r="M3877" s="16"/>
      <c r="N3877" s="16"/>
      <c r="O3877" s="17"/>
      <c r="P3877" s="17"/>
      <c r="Q3877" s="13"/>
      <c r="R3877" s="13"/>
      <c r="S3877" s="13"/>
      <c r="T3877" s="13">
        <f t="shared" ref="T3877:Y3877" si="4160">IF(ISBLANK(K3877)=TRUE,0,1)</f>
        <v>1</v>
      </c>
      <c r="U3877" s="13">
        <f t="shared" si="4160"/>
        <v>1</v>
      </c>
      <c r="V3877" s="13">
        <f t="shared" si="4160"/>
        <v>0</v>
      </c>
      <c r="W3877" s="13">
        <f t="shared" si="4160"/>
        <v>0</v>
      </c>
      <c r="X3877" s="13">
        <f t="shared" si="4160"/>
        <v>0</v>
      </c>
      <c r="Y3877" s="13">
        <f t="shared" si="4160"/>
        <v>0</v>
      </c>
      <c r="Z3877" s="13">
        <f t="shared" si="3023"/>
        <v>1</v>
      </c>
      <c r="AA3877" s="13" t="s">
        <v>378</v>
      </c>
      <c r="AB3877" s="13"/>
      <c r="AC3877" s="13"/>
      <c r="AD3877" s="13"/>
      <c r="AE3877" s="13"/>
      <c r="AF3877" s="13"/>
      <c r="AG3877" s="13"/>
      <c r="AH3877" s="13"/>
      <c r="AI3877" s="13"/>
      <c r="AJ3877" s="13"/>
      <c r="AK3877" s="13"/>
      <c r="AL3877" s="13"/>
      <c r="AM3877" s="13"/>
      <c r="AN3877" s="13"/>
      <c r="AO3877" s="13"/>
      <c r="AP3877" s="13"/>
      <c r="AQ3877" s="13"/>
      <c r="AR3877" s="13"/>
      <c r="AS3877" s="13"/>
    </row>
    <row r="3878" ht="14.25" customHeight="1">
      <c r="A3878" s="13" t="s">
        <v>46</v>
      </c>
      <c r="B3878" s="13" t="s">
        <v>55</v>
      </c>
      <c r="C3878" s="13" t="s">
        <v>442</v>
      </c>
      <c r="D3878" s="26" t="s">
        <v>182</v>
      </c>
      <c r="E3878" s="13"/>
      <c r="F3878" s="13"/>
      <c r="G3878" s="26" t="s">
        <v>74</v>
      </c>
      <c r="H3878" s="13" t="s">
        <v>75</v>
      </c>
      <c r="I3878" s="13"/>
      <c r="J3878" s="13"/>
      <c r="K3878" s="15">
        <v>1.0</v>
      </c>
      <c r="L3878" s="15">
        <v>1.0</v>
      </c>
      <c r="M3878" s="16"/>
      <c r="N3878" s="16"/>
      <c r="O3878" s="17"/>
      <c r="P3878" s="17"/>
      <c r="Q3878" s="13"/>
      <c r="R3878" s="13"/>
      <c r="S3878" s="13"/>
      <c r="T3878" s="13">
        <f t="shared" ref="T3878:Y3878" si="4161">IF(ISBLANK(K3878)=TRUE,0,1)</f>
        <v>1</v>
      </c>
      <c r="U3878" s="13">
        <f t="shared" si="4161"/>
        <v>1</v>
      </c>
      <c r="V3878" s="13">
        <f t="shared" si="4161"/>
        <v>0</v>
      </c>
      <c r="W3878" s="13">
        <f t="shared" si="4161"/>
        <v>0</v>
      </c>
      <c r="X3878" s="13">
        <f t="shared" si="4161"/>
        <v>0</v>
      </c>
      <c r="Y3878" s="13">
        <f t="shared" si="4161"/>
        <v>0</v>
      </c>
      <c r="Z3878" s="13">
        <f t="shared" si="3023"/>
        <v>1</v>
      </c>
      <c r="AA3878" s="13" t="s">
        <v>378</v>
      </c>
      <c r="AB3878" s="13"/>
      <c r="AC3878" s="13"/>
      <c r="AD3878" s="13"/>
      <c r="AE3878" s="13"/>
      <c r="AF3878" s="13"/>
      <c r="AG3878" s="13"/>
      <c r="AH3878" s="13"/>
      <c r="AI3878" s="13"/>
      <c r="AJ3878" s="13"/>
      <c r="AK3878" s="13"/>
      <c r="AL3878" s="13"/>
      <c r="AM3878" s="13"/>
      <c r="AN3878" s="13"/>
      <c r="AO3878" s="13"/>
      <c r="AP3878" s="13"/>
      <c r="AQ3878" s="13"/>
      <c r="AR3878" s="13"/>
      <c r="AS3878" s="13"/>
    </row>
    <row r="3879" ht="14.25" customHeight="1">
      <c r="A3879" s="13" t="s">
        <v>46</v>
      </c>
      <c r="B3879" s="13" t="s">
        <v>55</v>
      </c>
      <c r="C3879" s="13" t="s">
        <v>442</v>
      </c>
      <c r="D3879" s="26" t="s">
        <v>183</v>
      </c>
      <c r="E3879" s="13"/>
      <c r="F3879" s="13"/>
      <c r="G3879" s="26" t="s">
        <v>74</v>
      </c>
      <c r="H3879" s="13" t="s">
        <v>107</v>
      </c>
      <c r="I3879" s="13"/>
      <c r="J3879" s="13"/>
      <c r="K3879" s="15">
        <v>1.0</v>
      </c>
      <c r="L3879" s="15">
        <v>1.0</v>
      </c>
      <c r="M3879" s="16"/>
      <c r="N3879" s="16"/>
      <c r="O3879" s="17"/>
      <c r="P3879" s="17"/>
      <c r="Q3879" s="13"/>
      <c r="R3879" s="13"/>
      <c r="S3879" s="13"/>
      <c r="T3879" s="13">
        <f t="shared" ref="T3879:Y3879" si="4162">IF(ISBLANK(K3879)=TRUE,0,1)</f>
        <v>1</v>
      </c>
      <c r="U3879" s="13">
        <f t="shared" si="4162"/>
        <v>1</v>
      </c>
      <c r="V3879" s="13">
        <f t="shared" si="4162"/>
        <v>0</v>
      </c>
      <c r="W3879" s="13">
        <f t="shared" si="4162"/>
        <v>0</v>
      </c>
      <c r="X3879" s="13">
        <f t="shared" si="4162"/>
        <v>0</v>
      </c>
      <c r="Y3879" s="13">
        <f t="shared" si="4162"/>
        <v>0</v>
      </c>
      <c r="Z3879" s="13">
        <f t="shared" si="3023"/>
        <v>1</v>
      </c>
      <c r="AA3879" s="13" t="s">
        <v>378</v>
      </c>
      <c r="AB3879" s="13"/>
      <c r="AC3879" s="13"/>
      <c r="AD3879" s="13"/>
      <c r="AE3879" s="13"/>
      <c r="AF3879" s="13"/>
      <c r="AG3879" s="13"/>
      <c r="AH3879" s="13"/>
      <c r="AI3879" s="13"/>
      <c r="AJ3879" s="13"/>
      <c r="AK3879" s="13"/>
      <c r="AL3879" s="13"/>
      <c r="AM3879" s="13"/>
      <c r="AN3879" s="13"/>
      <c r="AO3879" s="13"/>
      <c r="AP3879" s="13"/>
      <c r="AQ3879" s="13"/>
      <c r="AR3879" s="13"/>
      <c r="AS3879" s="13"/>
    </row>
    <row r="3880" ht="14.25" customHeight="1">
      <c r="A3880" s="13" t="s">
        <v>46</v>
      </c>
      <c r="B3880" s="13" t="s">
        <v>55</v>
      </c>
      <c r="C3880" s="13" t="s">
        <v>442</v>
      </c>
      <c r="D3880" s="13" t="s">
        <v>184</v>
      </c>
      <c r="E3880" s="13" t="str">
        <f t="shared" ref="E3880:E3881" si="4164">CONCATENATE(B3880,",",C3880,",",D3880,",",Z3880)</f>
        <v>JLP,110-2A-21,AK,1</v>
      </c>
      <c r="F3880" s="13"/>
      <c r="G3880" s="26" t="s">
        <v>74</v>
      </c>
      <c r="H3880" s="13" t="s">
        <v>75</v>
      </c>
      <c r="I3880" s="13"/>
      <c r="J3880" s="13"/>
      <c r="K3880" s="15">
        <v>1.0</v>
      </c>
      <c r="L3880" s="15">
        <v>1.0</v>
      </c>
      <c r="M3880" s="16"/>
      <c r="N3880" s="16"/>
      <c r="O3880" s="17"/>
      <c r="P3880" s="17"/>
      <c r="Q3880" s="13"/>
      <c r="R3880" s="13"/>
      <c r="S3880" s="13"/>
      <c r="T3880" s="13">
        <f t="shared" ref="T3880:Y3880" si="4163">IF(ISBLANK(K3880)=TRUE,0,1)</f>
        <v>1</v>
      </c>
      <c r="U3880" s="13">
        <f t="shared" si="4163"/>
        <v>1</v>
      </c>
      <c r="V3880" s="13">
        <f t="shared" si="4163"/>
        <v>0</v>
      </c>
      <c r="W3880" s="13">
        <f t="shared" si="4163"/>
        <v>0</v>
      </c>
      <c r="X3880" s="13">
        <f t="shared" si="4163"/>
        <v>0</v>
      </c>
      <c r="Y3880" s="13">
        <f t="shared" si="4163"/>
        <v>0</v>
      </c>
      <c r="Z3880" s="13">
        <f t="shared" si="3023"/>
        <v>1</v>
      </c>
      <c r="AA3880" s="13" t="s">
        <v>378</v>
      </c>
      <c r="AB3880" s="13"/>
      <c r="AC3880" s="13"/>
      <c r="AD3880" s="13"/>
      <c r="AE3880" s="13"/>
      <c r="AF3880" s="13"/>
      <c r="AG3880" s="13"/>
      <c r="AH3880" s="13"/>
      <c r="AI3880" s="13"/>
      <c r="AJ3880" s="13"/>
      <c r="AK3880" s="13"/>
      <c r="AL3880" s="13"/>
      <c r="AM3880" s="13"/>
      <c r="AN3880" s="13"/>
      <c r="AO3880" s="13"/>
      <c r="AP3880" s="13"/>
      <c r="AQ3880" s="13"/>
      <c r="AR3880" s="13"/>
      <c r="AS3880" s="13"/>
    </row>
    <row r="3881" ht="14.25" customHeight="1">
      <c r="A3881" s="13" t="s">
        <v>46</v>
      </c>
      <c r="B3881" s="13" t="s">
        <v>55</v>
      </c>
      <c r="C3881" s="13" t="s">
        <v>442</v>
      </c>
      <c r="D3881" s="13" t="s">
        <v>185</v>
      </c>
      <c r="E3881" s="13" t="str">
        <f t="shared" si="4164"/>
        <v>JLP,110-2A-21,AL,1</v>
      </c>
      <c r="F3881" s="13"/>
      <c r="G3881" s="26" t="s">
        <v>74</v>
      </c>
      <c r="H3881" s="13" t="s">
        <v>75</v>
      </c>
      <c r="I3881" s="13"/>
      <c r="J3881" s="13"/>
      <c r="K3881" s="15">
        <v>1.0</v>
      </c>
      <c r="L3881" s="15">
        <v>1.0</v>
      </c>
      <c r="M3881" s="16"/>
      <c r="N3881" s="16"/>
      <c r="O3881" s="17"/>
      <c r="P3881" s="17"/>
      <c r="Q3881" s="13"/>
      <c r="R3881" s="13"/>
      <c r="S3881" s="13"/>
      <c r="T3881" s="13">
        <f t="shared" ref="T3881:Y3881" si="4165">IF(ISBLANK(K3881)=TRUE,0,1)</f>
        <v>1</v>
      </c>
      <c r="U3881" s="13">
        <f t="shared" si="4165"/>
        <v>1</v>
      </c>
      <c r="V3881" s="13">
        <f t="shared" si="4165"/>
        <v>0</v>
      </c>
      <c r="W3881" s="13">
        <f t="shared" si="4165"/>
        <v>0</v>
      </c>
      <c r="X3881" s="13">
        <f t="shared" si="4165"/>
        <v>0</v>
      </c>
      <c r="Y3881" s="13">
        <f t="shared" si="4165"/>
        <v>0</v>
      </c>
      <c r="Z3881" s="13">
        <f t="shared" si="3023"/>
        <v>1</v>
      </c>
      <c r="AA3881" s="13" t="s">
        <v>378</v>
      </c>
      <c r="AB3881" s="13"/>
      <c r="AC3881" s="13"/>
      <c r="AD3881" s="13"/>
      <c r="AE3881" s="13"/>
      <c r="AF3881" s="13"/>
      <c r="AG3881" s="13"/>
      <c r="AH3881" s="13"/>
      <c r="AI3881" s="13"/>
      <c r="AJ3881" s="13"/>
      <c r="AK3881" s="13"/>
      <c r="AL3881" s="13"/>
      <c r="AM3881" s="13"/>
      <c r="AN3881" s="13"/>
      <c r="AO3881" s="13"/>
      <c r="AP3881" s="13"/>
      <c r="AQ3881" s="13"/>
      <c r="AR3881" s="13"/>
      <c r="AS3881" s="13"/>
    </row>
    <row r="3882" ht="14.25" customHeight="1">
      <c r="A3882" s="13" t="s">
        <v>46</v>
      </c>
      <c r="B3882" s="13" t="s">
        <v>55</v>
      </c>
      <c r="C3882" s="13" t="s">
        <v>442</v>
      </c>
      <c r="D3882" s="13" t="s">
        <v>186</v>
      </c>
      <c r="E3882" s="13"/>
      <c r="F3882" s="13"/>
      <c r="G3882" s="26" t="s">
        <v>74</v>
      </c>
      <c r="H3882" s="13" t="s">
        <v>107</v>
      </c>
      <c r="I3882" s="13"/>
      <c r="J3882" s="13"/>
      <c r="K3882" s="15">
        <v>1.0</v>
      </c>
      <c r="L3882" s="15">
        <v>1.0</v>
      </c>
      <c r="M3882" s="16"/>
      <c r="N3882" s="16"/>
      <c r="O3882" s="17"/>
      <c r="P3882" s="17"/>
      <c r="Q3882" s="13"/>
      <c r="R3882" s="13"/>
      <c r="S3882" s="13"/>
      <c r="T3882" s="13">
        <f t="shared" ref="T3882:Y3882" si="4166">IF(ISBLANK(K3882)=TRUE,0,1)</f>
        <v>1</v>
      </c>
      <c r="U3882" s="13">
        <f t="shared" si="4166"/>
        <v>1</v>
      </c>
      <c r="V3882" s="13">
        <f t="shared" si="4166"/>
        <v>0</v>
      </c>
      <c r="W3882" s="13">
        <f t="shared" si="4166"/>
        <v>0</v>
      </c>
      <c r="X3882" s="13">
        <f t="shared" si="4166"/>
        <v>0</v>
      </c>
      <c r="Y3882" s="13">
        <f t="shared" si="4166"/>
        <v>0</v>
      </c>
      <c r="Z3882" s="13">
        <f t="shared" si="3023"/>
        <v>1</v>
      </c>
      <c r="AA3882" s="13" t="s">
        <v>378</v>
      </c>
      <c r="AB3882" s="13"/>
      <c r="AC3882" s="13"/>
      <c r="AD3882" s="13"/>
      <c r="AE3882" s="13"/>
      <c r="AF3882" s="13"/>
      <c r="AG3882" s="13"/>
      <c r="AH3882" s="13"/>
      <c r="AI3882" s="13"/>
      <c r="AJ3882" s="13"/>
      <c r="AK3882" s="13"/>
      <c r="AL3882" s="13"/>
      <c r="AM3882" s="13"/>
      <c r="AN3882" s="13"/>
      <c r="AO3882" s="13"/>
      <c r="AP3882" s="13"/>
      <c r="AQ3882" s="13"/>
      <c r="AR3882" s="13"/>
      <c r="AS3882" s="13"/>
    </row>
    <row r="3883" ht="14.25" customHeight="1">
      <c r="A3883" s="34" t="s">
        <v>46</v>
      </c>
      <c r="B3883" s="34" t="s">
        <v>55</v>
      </c>
      <c r="C3883" s="34" t="s">
        <v>442</v>
      </c>
      <c r="D3883" s="34" t="s">
        <v>195</v>
      </c>
      <c r="E3883" s="13"/>
      <c r="F3883" s="13"/>
      <c r="G3883" s="26" t="s">
        <v>74</v>
      </c>
      <c r="H3883" s="34" t="s">
        <v>75</v>
      </c>
      <c r="I3883" s="13"/>
      <c r="J3883" s="13"/>
      <c r="K3883" s="35">
        <v>1.0</v>
      </c>
      <c r="L3883" s="35">
        <v>1.0</v>
      </c>
      <c r="M3883" s="16"/>
      <c r="N3883" s="16"/>
      <c r="O3883" s="17"/>
      <c r="P3883" s="17"/>
      <c r="Q3883" s="13"/>
      <c r="R3883" s="13"/>
      <c r="S3883" s="13"/>
      <c r="T3883" s="13">
        <f t="shared" ref="T3883:X3883" si="4167">IF(ISBLANK(K3883)=TRUE,0,1)</f>
        <v>1</v>
      </c>
      <c r="U3883" s="13">
        <f t="shared" si="4167"/>
        <v>1</v>
      </c>
      <c r="V3883" s="13">
        <f t="shared" si="4167"/>
        <v>0</v>
      </c>
      <c r="W3883" s="13">
        <f t="shared" si="4167"/>
        <v>0</v>
      </c>
      <c r="X3883" s="13">
        <f t="shared" si="4167"/>
        <v>0</v>
      </c>
      <c r="Y3883" s="34">
        <v>0.0</v>
      </c>
      <c r="Z3883" s="13">
        <f t="shared" si="3023"/>
        <v>1</v>
      </c>
      <c r="AA3883" s="13" t="s">
        <v>378</v>
      </c>
      <c r="AB3883" s="13"/>
      <c r="AC3883" s="13"/>
      <c r="AD3883" s="13"/>
      <c r="AE3883" s="13"/>
      <c r="AF3883" s="13"/>
      <c r="AG3883" s="13"/>
      <c r="AH3883" s="13"/>
      <c r="AI3883" s="13"/>
      <c r="AJ3883" s="13"/>
      <c r="AK3883" s="13"/>
      <c r="AL3883" s="13"/>
      <c r="AM3883" s="13"/>
      <c r="AN3883" s="13"/>
      <c r="AO3883" s="13"/>
      <c r="AP3883" s="13"/>
      <c r="AQ3883" s="13"/>
      <c r="AR3883" s="13"/>
      <c r="AS3883" s="13"/>
    </row>
    <row r="3884" ht="14.25" customHeight="1">
      <c r="A3884" s="26" t="s">
        <v>46</v>
      </c>
      <c r="B3884" s="26" t="s">
        <v>55</v>
      </c>
      <c r="C3884" s="26" t="s">
        <v>443</v>
      </c>
      <c r="D3884" s="26" t="s">
        <v>174</v>
      </c>
      <c r="E3884" s="13"/>
      <c r="F3884" s="26"/>
      <c r="G3884" s="26" t="s">
        <v>74</v>
      </c>
      <c r="H3884" s="26" t="s">
        <v>75</v>
      </c>
      <c r="I3884" s="13"/>
      <c r="J3884" s="13"/>
      <c r="K3884" s="15">
        <v>1.0</v>
      </c>
      <c r="L3884" s="15">
        <v>1.0</v>
      </c>
      <c r="M3884" s="16"/>
      <c r="N3884" s="16"/>
      <c r="O3884" s="17"/>
      <c r="P3884" s="17"/>
      <c r="Q3884" s="13"/>
      <c r="R3884" s="13"/>
      <c r="S3884" s="13"/>
      <c r="T3884" s="13">
        <f t="shared" ref="T3884:Y3884" si="4168">IF(ISBLANK(K3884)=TRUE,0,1)</f>
        <v>1</v>
      </c>
      <c r="U3884" s="13">
        <f t="shared" si="4168"/>
        <v>1</v>
      </c>
      <c r="V3884" s="13">
        <f t="shared" si="4168"/>
        <v>0</v>
      </c>
      <c r="W3884" s="13">
        <f t="shared" si="4168"/>
        <v>0</v>
      </c>
      <c r="X3884" s="13">
        <f t="shared" si="4168"/>
        <v>0</v>
      </c>
      <c r="Y3884" s="13">
        <f t="shared" si="4168"/>
        <v>0</v>
      </c>
      <c r="Z3884" s="13">
        <f t="shared" si="3023"/>
        <v>1</v>
      </c>
      <c r="AA3884" s="13"/>
      <c r="AB3884" s="13"/>
      <c r="AC3884" s="13"/>
      <c r="AD3884" s="13"/>
      <c r="AE3884" s="13"/>
      <c r="AF3884" s="13"/>
      <c r="AG3884" s="13"/>
      <c r="AH3884" s="13"/>
      <c r="AI3884" s="13"/>
      <c r="AJ3884" s="13"/>
      <c r="AK3884" s="13"/>
      <c r="AL3884" s="13"/>
      <c r="AM3884" s="13"/>
      <c r="AN3884" s="13"/>
      <c r="AO3884" s="13"/>
      <c r="AP3884" s="13"/>
      <c r="AQ3884" s="13"/>
      <c r="AR3884" s="13"/>
      <c r="AS3884" s="13"/>
    </row>
    <row r="3885" ht="14.25" customHeight="1">
      <c r="A3885" s="26" t="s">
        <v>46</v>
      </c>
      <c r="B3885" s="26" t="s">
        <v>55</v>
      </c>
      <c r="C3885" s="26" t="s">
        <v>443</v>
      </c>
      <c r="D3885" s="26" t="s">
        <v>175</v>
      </c>
      <c r="E3885" s="13"/>
      <c r="F3885" s="26"/>
      <c r="G3885" s="26" t="s">
        <v>74</v>
      </c>
      <c r="H3885" s="26" t="s">
        <v>75</v>
      </c>
      <c r="I3885" s="13"/>
      <c r="J3885" s="13"/>
      <c r="K3885" s="15">
        <v>1.0</v>
      </c>
      <c r="L3885" s="15">
        <v>1.0</v>
      </c>
      <c r="M3885" s="16"/>
      <c r="N3885" s="16"/>
      <c r="O3885" s="17"/>
      <c r="P3885" s="17"/>
      <c r="Q3885" s="13"/>
      <c r="R3885" s="13"/>
      <c r="S3885" s="13"/>
      <c r="T3885" s="13">
        <f t="shared" ref="T3885:Y3885" si="4169">IF(ISBLANK(K3885)=TRUE,0,1)</f>
        <v>1</v>
      </c>
      <c r="U3885" s="13">
        <f t="shared" si="4169"/>
        <v>1</v>
      </c>
      <c r="V3885" s="13">
        <f t="shared" si="4169"/>
        <v>0</v>
      </c>
      <c r="W3885" s="13">
        <f t="shared" si="4169"/>
        <v>0</v>
      </c>
      <c r="X3885" s="13">
        <f t="shared" si="4169"/>
        <v>0</v>
      </c>
      <c r="Y3885" s="13">
        <f t="shared" si="4169"/>
        <v>0</v>
      </c>
      <c r="Z3885" s="13">
        <f t="shared" si="3023"/>
        <v>1</v>
      </c>
      <c r="AA3885" s="13"/>
      <c r="AB3885" s="13"/>
      <c r="AC3885" s="13"/>
      <c r="AD3885" s="13"/>
      <c r="AE3885" s="13"/>
      <c r="AF3885" s="13"/>
      <c r="AG3885" s="13"/>
      <c r="AH3885" s="13"/>
      <c r="AI3885" s="13"/>
      <c r="AJ3885" s="13"/>
      <c r="AK3885" s="13"/>
      <c r="AL3885" s="13"/>
      <c r="AM3885" s="13"/>
      <c r="AN3885" s="13"/>
      <c r="AO3885" s="13"/>
      <c r="AP3885" s="13"/>
      <c r="AQ3885" s="13"/>
      <c r="AR3885" s="13"/>
      <c r="AS3885" s="13"/>
    </row>
    <row r="3886" ht="14.25" customHeight="1">
      <c r="A3886" s="26" t="s">
        <v>46</v>
      </c>
      <c r="B3886" s="26" t="s">
        <v>55</v>
      </c>
      <c r="C3886" s="26" t="s">
        <v>443</v>
      </c>
      <c r="D3886" s="26" t="s">
        <v>176</v>
      </c>
      <c r="E3886" s="13"/>
      <c r="F3886" s="26"/>
      <c r="G3886" s="26" t="s">
        <v>74</v>
      </c>
      <c r="H3886" s="26" t="s">
        <v>75</v>
      </c>
      <c r="I3886" s="13"/>
      <c r="J3886" s="13"/>
      <c r="K3886" s="15">
        <v>1.0</v>
      </c>
      <c r="L3886" s="15">
        <v>1.0</v>
      </c>
      <c r="M3886" s="16"/>
      <c r="N3886" s="16"/>
      <c r="O3886" s="17"/>
      <c r="P3886" s="17"/>
      <c r="Q3886" s="13"/>
      <c r="R3886" s="13"/>
      <c r="S3886" s="13"/>
      <c r="T3886" s="13">
        <f t="shared" ref="T3886:Y3886" si="4170">IF(ISBLANK(K3886)=TRUE,0,1)</f>
        <v>1</v>
      </c>
      <c r="U3886" s="13">
        <f t="shared" si="4170"/>
        <v>1</v>
      </c>
      <c r="V3886" s="13">
        <f t="shared" si="4170"/>
        <v>0</v>
      </c>
      <c r="W3886" s="13">
        <f t="shared" si="4170"/>
        <v>0</v>
      </c>
      <c r="X3886" s="13">
        <f t="shared" si="4170"/>
        <v>0</v>
      </c>
      <c r="Y3886" s="13">
        <f t="shared" si="4170"/>
        <v>0</v>
      </c>
      <c r="Z3886" s="13">
        <f t="shared" si="3023"/>
        <v>1</v>
      </c>
      <c r="AA3886" s="13"/>
      <c r="AB3886" s="13"/>
      <c r="AC3886" s="13"/>
      <c r="AD3886" s="13"/>
      <c r="AE3886" s="13"/>
      <c r="AF3886" s="13"/>
      <c r="AG3886" s="13"/>
      <c r="AH3886" s="13"/>
      <c r="AI3886" s="13"/>
      <c r="AJ3886" s="13"/>
      <c r="AK3886" s="13"/>
      <c r="AL3886" s="13"/>
      <c r="AM3886" s="13"/>
      <c r="AN3886" s="13"/>
      <c r="AO3886" s="13"/>
      <c r="AP3886" s="13"/>
      <c r="AQ3886" s="13"/>
      <c r="AR3886" s="13"/>
      <c r="AS3886" s="13"/>
    </row>
    <row r="3887" ht="14.25" customHeight="1">
      <c r="A3887" s="26" t="s">
        <v>46</v>
      </c>
      <c r="B3887" s="26" t="s">
        <v>55</v>
      </c>
      <c r="C3887" s="26" t="s">
        <v>443</v>
      </c>
      <c r="D3887" s="26" t="s">
        <v>177</v>
      </c>
      <c r="E3887" s="13"/>
      <c r="F3887" s="26"/>
      <c r="G3887" s="26" t="s">
        <v>74</v>
      </c>
      <c r="H3887" s="26" t="s">
        <v>75</v>
      </c>
      <c r="I3887" s="13"/>
      <c r="J3887" s="13"/>
      <c r="K3887" s="15">
        <v>1.0</v>
      </c>
      <c r="L3887" s="15">
        <v>1.0</v>
      </c>
      <c r="M3887" s="16"/>
      <c r="N3887" s="16"/>
      <c r="O3887" s="17"/>
      <c r="P3887" s="17"/>
      <c r="Q3887" s="13"/>
      <c r="R3887" s="13"/>
      <c r="S3887" s="13"/>
      <c r="T3887" s="13">
        <f t="shared" ref="T3887:Y3887" si="4171">IF(ISBLANK(K3887)=TRUE,0,1)</f>
        <v>1</v>
      </c>
      <c r="U3887" s="13">
        <f t="shared" si="4171"/>
        <v>1</v>
      </c>
      <c r="V3887" s="13">
        <f t="shared" si="4171"/>
        <v>0</v>
      </c>
      <c r="W3887" s="13">
        <f t="shared" si="4171"/>
        <v>0</v>
      </c>
      <c r="X3887" s="13">
        <f t="shared" si="4171"/>
        <v>0</v>
      </c>
      <c r="Y3887" s="13">
        <f t="shared" si="4171"/>
        <v>0</v>
      </c>
      <c r="Z3887" s="13">
        <f t="shared" si="3023"/>
        <v>1</v>
      </c>
      <c r="AA3887" s="13"/>
      <c r="AB3887" s="13"/>
      <c r="AC3887" s="13"/>
      <c r="AD3887" s="13"/>
      <c r="AE3887" s="13"/>
      <c r="AF3887" s="13"/>
      <c r="AG3887" s="13"/>
      <c r="AH3887" s="13"/>
      <c r="AI3887" s="13"/>
      <c r="AJ3887" s="13"/>
      <c r="AK3887" s="13"/>
      <c r="AL3887" s="13"/>
      <c r="AM3887" s="13"/>
      <c r="AN3887" s="13"/>
      <c r="AO3887" s="13"/>
      <c r="AP3887" s="13"/>
      <c r="AQ3887" s="13"/>
      <c r="AR3887" s="13"/>
      <c r="AS3887" s="13"/>
    </row>
    <row r="3888" ht="14.25" customHeight="1">
      <c r="A3888" s="26" t="s">
        <v>46</v>
      </c>
      <c r="B3888" s="26" t="s">
        <v>55</v>
      </c>
      <c r="C3888" s="26" t="s">
        <v>443</v>
      </c>
      <c r="D3888" s="26" t="s">
        <v>178</v>
      </c>
      <c r="E3888" s="13"/>
      <c r="F3888" s="26"/>
      <c r="G3888" s="26" t="s">
        <v>74</v>
      </c>
      <c r="H3888" s="26" t="s">
        <v>75</v>
      </c>
      <c r="I3888" s="13"/>
      <c r="J3888" s="13"/>
      <c r="K3888" s="15">
        <v>1.0</v>
      </c>
      <c r="L3888" s="15">
        <v>1.0</v>
      </c>
      <c r="M3888" s="16"/>
      <c r="N3888" s="16"/>
      <c r="O3888" s="17"/>
      <c r="P3888" s="17"/>
      <c r="Q3888" s="13"/>
      <c r="R3888" s="13"/>
      <c r="S3888" s="13"/>
      <c r="T3888" s="13">
        <f t="shared" ref="T3888:Y3888" si="4172">IF(ISBLANK(K3888)=TRUE,0,1)</f>
        <v>1</v>
      </c>
      <c r="U3888" s="13">
        <f t="shared" si="4172"/>
        <v>1</v>
      </c>
      <c r="V3888" s="13">
        <f t="shared" si="4172"/>
        <v>0</v>
      </c>
      <c r="W3888" s="13">
        <f t="shared" si="4172"/>
        <v>0</v>
      </c>
      <c r="X3888" s="13">
        <f t="shared" si="4172"/>
        <v>0</v>
      </c>
      <c r="Y3888" s="13">
        <f t="shared" si="4172"/>
        <v>0</v>
      </c>
      <c r="Z3888" s="13">
        <f t="shared" si="3023"/>
        <v>1</v>
      </c>
      <c r="AA3888" s="13"/>
      <c r="AB3888" s="13"/>
      <c r="AC3888" s="13"/>
      <c r="AD3888" s="13"/>
      <c r="AE3888" s="13"/>
      <c r="AF3888" s="13"/>
      <c r="AG3888" s="13"/>
      <c r="AH3888" s="13"/>
      <c r="AI3888" s="13"/>
      <c r="AJ3888" s="13"/>
      <c r="AK3888" s="13"/>
      <c r="AL3888" s="13"/>
      <c r="AM3888" s="13"/>
      <c r="AN3888" s="13"/>
      <c r="AO3888" s="13"/>
      <c r="AP3888" s="13"/>
      <c r="AQ3888" s="13"/>
      <c r="AR3888" s="13"/>
      <c r="AS3888" s="13"/>
    </row>
    <row r="3889" ht="14.25" customHeight="1">
      <c r="A3889" s="26" t="s">
        <v>46</v>
      </c>
      <c r="B3889" s="26" t="s">
        <v>55</v>
      </c>
      <c r="C3889" s="26" t="s">
        <v>443</v>
      </c>
      <c r="D3889" s="26" t="s">
        <v>179</v>
      </c>
      <c r="E3889" s="13"/>
      <c r="F3889" s="26"/>
      <c r="G3889" s="26" t="s">
        <v>74</v>
      </c>
      <c r="H3889" s="26" t="s">
        <v>75</v>
      </c>
      <c r="I3889" s="13"/>
      <c r="J3889" s="13"/>
      <c r="K3889" s="15">
        <v>1.0</v>
      </c>
      <c r="L3889" s="15">
        <v>1.0</v>
      </c>
      <c r="M3889" s="16"/>
      <c r="N3889" s="16"/>
      <c r="O3889" s="17"/>
      <c r="P3889" s="17"/>
      <c r="Q3889" s="13"/>
      <c r="R3889" s="13"/>
      <c r="S3889" s="13"/>
      <c r="T3889" s="13">
        <f t="shared" ref="T3889:Y3889" si="4173">IF(ISBLANK(K3889)=TRUE,0,1)</f>
        <v>1</v>
      </c>
      <c r="U3889" s="13">
        <f t="shared" si="4173"/>
        <v>1</v>
      </c>
      <c r="V3889" s="13">
        <f t="shared" si="4173"/>
        <v>0</v>
      </c>
      <c r="W3889" s="13">
        <f t="shared" si="4173"/>
        <v>0</v>
      </c>
      <c r="X3889" s="13">
        <f t="shared" si="4173"/>
        <v>0</v>
      </c>
      <c r="Y3889" s="13">
        <f t="shared" si="4173"/>
        <v>0</v>
      </c>
      <c r="Z3889" s="13">
        <f t="shared" si="3023"/>
        <v>1</v>
      </c>
      <c r="AA3889" s="13"/>
      <c r="AB3889" s="13"/>
      <c r="AC3889" s="13"/>
      <c r="AD3889" s="13"/>
      <c r="AE3889" s="13"/>
      <c r="AF3889" s="13"/>
      <c r="AG3889" s="13"/>
      <c r="AH3889" s="13"/>
      <c r="AI3889" s="13"/>
      <c r="AJ3889" s="13"/>
      <c r="AK3889" s="13"/>
      <c r="AL3889" s="13"/>
      <c r="AM3889" s="13"/>
      <c r="AN3889" s="13"/>
      <c r="AO3889" s="13"/>
      <c r="AP3889" s="13"/>
      <c r="AQ3889" s="13"/>
      <c r="AR3889" s="13"/>
      <c r="AS3889" s="13"/>
    </row>
    <row r="3890" ht="14.25" customHeight="1">
      <c r="A3890" s="26" t="s">
        <v>46</v>
      </c>
      <c r="B3890" s="31" t="s">
        <v>53</v>
      </c>
      <c r="C3890" s="26" t="s">
        <v>766</v>
      </c>
      <c r="D3890" s="26" t="s">
        <v>191</v>
      </c>
      <c r="E3890" s="13"/>
      <c r="F3890" s="26"/>
      <c r="G3890" s="26" t="s">
        <v>111</v>
      </c>
      <c r="H3890" s="26" t="s">
        <v>107</v>
      </c>
      <c r="I3890" s="13"/>
      <c r="J3890" s="13"/>
      <c r="K3890" s="28">
        <v>1.0</v>
      </c>
      <c r="L3890" s="28">
        <v>1.0</v>
      </c>
      <c r="M3890" s="16"/>
      <c r="N3890" s="16"/>
      <c r="O3890" s="17"/>
      <c r="P3890" s="17"/>
      <c r="Q3890" s="13"/>
      <c r="R3890" s="13"/>
      <c r="S3890" s="13"/>
      <c r="T3890" s="13">
        <f t="shared" ref="T3890:Y3890" si="4174">IF(ISBLANK(K3890)=TRUE,0,1)</f>
        <v>1</v>
      </c>
      <c r="U3890" s="13">
        <f t="shared" si="4174"/>
        <v>1</v>
      </c>
      <c r="V3890" s="13">
        <f t="shared" si="4174"/>
        <v>0</v>
      </c>
      <c r="W3890" s="13">
        <f t="shared" si="4174"/>
        <v>0</v>
      </c>
      <c r="X3890" s="13">
        <f t="shared" si="4174"/>
        <v>0</v>
      </c>
      <c r="Y3890" s="13">
        <f t="shared" si="4174"/>
        <v>0</v>
      </c>
      <c r="Z3890" s="13">
        <f t="shared" si="3023"/>
        <v>1</v>
      </c>
      <c r="AA3890" s="13"/>
      <c r="AB3890" s="13"/>
      <c r="AC3890" s="13"/>
      <c r="AD3890" s="13"/>
      <c r="AE3890" s="13"/>
      <c r="AF3890" s="13"/>
      <c r="AG3890" s="13"/>
      <c r="AH3890" s="13"/>
      <c r="AI3890" s="13"/>
      <c r="AJ3890" s="13"/>
      <c r="AK3890" s="13"/>
      <c r="AL3890" s="13"/>
      <c r="AM3890" s="13"/>
      <c r="AN3890" s="13"/>
      <c r="AO3890" s="13"/>
      <c r="AP3890" s="13"/>
      <c r="AQ3890" s="13"/>
      <c r="AR3890" s="13"/>
      <c r="AS3890" s="13"/>
    </row>
    <row r="3891" ht="14.25" customHeight="1">
      <c r="A3891" s="13" t="s">
        <v>46</v>
      </c>
      <c r="B3891" s="13" t="s">
        <v>55</v>
      </c>
      <c r="C3891" s="13" t="s">
        <v>480</v>
      </c>
      <c r="D3891" s="26" t="s">
        <v>174</v>
      </c>
      <c r="E3891" s="13"/>
      <c r="F3891" s="13"/>
      <c r="G3891" s="26" t="s">
        <v>74</v>
      </c>
      <c r="H3891" s="13" t="s">
        <v>75</v>
      </c>
      <c r="I3891" s="13"/>
      <c r="J3891" s="13"/>
      <c r="K3891" s="15">
        <v>1.0</v>
      </c>
      <c r="L3891" s="15">
        <v>1.0</v>
      </c>
      <c r="M3891" s="16"/>
      <c r="N3891" s="16"/>
      <c r="O3891" s="17"/>
      <c r="P3891" s="17"/>
      <c r="Q3891" s="13"/>
      <c r="R3891" s="13"/>
      <c r="S3891" s="13"/>
      <c r="T3891" s="13">
        <f t="shared" ref="T3891:Y3891" si="4175">IF(ISBLANK(K3891)=TRUE,0,1)</f>
        <v>1</v>
      </c>
      <c r="U3891" s="13">
        <f t="shared" si="4175"/>
        <v>1</v>
      </c>
      <c r="V3891" s="13">
        <f t="shared" si="4175"/>
        <v>0</v>
      </c>
      <c r="W3891" s="13">
        <f t="shared" si="4175"/>
        <v>0</v>
      </c>
      <c r="X3891" s="13">
        <f t="shared" si="4175"/>
        <v>0</v>
      </c>
      <c r="Y3891" s="13">
        <f t="shared" si="4175"/>
        <v>0</v>
      </c>
      <c r="Z3891" s="13">
        <f t="shared" si="3023"/>
        <v>1</v>
      </c>
      <c r="AA3891" s="13"/>
      <c r="AB3891" s="13"/>
      <c r="AC3891" s="13"/>
      <c r="AD3891" s="13"/>
      <c r="AE3891" s="13"/>
      <c r="AF3891" s="13"/>
      <c r="AG3891" s="13"/>
      <c r="AH3891" s="13"/>
      <c r="AI3891" s="13"/>
      <c r="AJ3891" s="13"/>
      <c r="AK3891" s="13"/>
      <c r="AL3891" s="13"/>
      <c r="AM3891" s="13"/>
      <c r="AN3891" s="13"/>
      <c r="AO3891" s="13"/>
      <c r="AP3891" s="13"/>
      <c r="AQ3891" s="13"/>
      <c r="AR3891" s="13"/>
      <c r="AS3891" s="13"/>
    </row>
    <row r="3892" ht="14.25" customHeight="1">
      <c r="A3892" s="13" t="s">
        <v>46</v>
      </c>
      <c r="B3892" s="13" t="s">
        <v>55</v>
      </c>
      <c r="C3892" s="13" t="s">
        <v>480</v>
      </c>
      <c r="D3892" s="26" t="s">
        <v>175</v>
      </c>
      <c r="E3892" s="13"/>
      <c r="F3892" s="13"/>
      <c r="G3892" s="26" t="s">
        <v>74</v>
      </c>
      <c r="H3892" s="13" t="s">
        <v>75</v>
      </c>
      <c r="I3892" s="13"/>
      <c r="J3892" s="13"/>
      <c r="K3892" s="15">
        <v>1.0</v>
      </c>
      <c r="L3892" s="15">
        <v>1.0</v>
      </c>
      <c r="M3892" s="16"/>
      <c r="N3892" s="16"/>
      <c r="O3892" s="17"/>
      <c r="P3892" s="17"/>
      <c r="Q3892" s="13"/>
      <c r="R3892" s="13"/>
      <c r="S3892" s="13"/>
      <c r="T3892" s="13">
        <f t="shared" ref="T3892:Y3892" si="4176">IF(ISBLANK(K3892)=TRUE,0,1)</f>
        <v>1</v>
      </c>
      <c r="U3892" s="13">
        <f t="shared" si="4176"/>
        <v>1</v>
      </c>
      <c r="V3892" s="13">
        <f t="shared" si="4176"/>
        <v>0</v>
      </c>
      <c r="W3892" s="13">
        <f t="shared" si="4176"/>
        <v>0</v>
      </c>
      <c r="X3892" s="13">
        <f t="shared" si="4176"/>
        <v>0</v>
      </c>
      <c r="Y3892" s="13">
        <f t="shared" si="4176"/>
        <v>0</v>
      </c>
      <c r="Z3892" s="13">
        <f t="shared" si="3023"/>
        <v>1</v>
      </c>
      <c r="AA3892" s="13"/>
      <c r="AB3892" s="13"/>
      <c r="AC3892" s="13"/>
      <c r="AD3892" s="13"/>
      <c r="AE3892" s="13"/>
      <c r="AF3892" s="13"/>
      <c r="AG3892" s="13"/>
      <c r="AH3892" s="13"/>
      <c r="AI3892" s="13"/>
      <c r="AJ3892" s="13"/>
      <c r="AK3892" s="13"/>
      <c r="AL3892" s="13"/>
      <c r="AM3892" s="13"/>
      <c r="AN3892" s="13"/>
      <c r="AO3892" s="13"/>
      <c r="AP3892" s="13"/>
      <c r="AQ3892" s="13"/>
      <c r="AR3892" s="13"/>
      <c r="AS3892" s="13"/>
    </row>
    <row r="3893" ht="14.25" customHeight="1">
      <c r="A3893" s="13" t="s">
        <v>46</v>
      </c>
      <c r="B3893" s="13" t="s">
        <v>55</v>
      </c>
      <c r="C3893" s="13" t="s">
        <v>480</v>
      </c>
      <c r="D3893" s="26" t="s">
        <v>176</v>
      </c>
      <c r="E3893" s="13"/>
      <c r="F3893" s="13"/>
      <c r="G3893" s="26" t="s">
        <v>74</v>
      </c>
      <c r="H3893" s="13" t="s">
        <v>75</v>
      </c>
      <c r="I3893" s="13"/>
      <c r="J3893" s="13"/>
      <c r="K3893" s="15">
        <v>1.0</v>
      </c>
      <c r="L3893" s="15">
        <v>1.0</v>
      </c>
      <c r="M3893" s="16"/>
      <c r="N3893" s="16"/>
      <c r="O3893" s="17"/>
      <c r="P3893" s="17"/>
      <c r="Q3893" s="13"/>
      <c r="R3893" s="13"/>
      <c r="S3893" s="13"/>
      <c r="T3893" s="13">
        <f t="shared" ref="T3893:Y3893" si="4177">IF(ISBLANK(K3893)=TRUE,0,1)</f>
        <v>1</v>
      </c>
      <c r="U3893" s="13">
        <f t="shared" si="4177"/>
        <v>1</v>
      </c>
      <c r="V3893" s="13">
        <f t="shared" si="4177"/>
        <v>0</v>
      </c>
      <c r="W3893" s="13">
        <f t="shared" si="4177"/>
        <v>0</v>
      </c>
      <c r="X3893" s="13">
        <f t="shared" si="4177"/>
        <v>0</v>
      </c>
      <c r="Y3893" s="13">
        <f t="shared" si="4177"/>
        <v>0</v>
      </c>
      <c r="Z3893" s="13">
        <f t="shared" si="3023"/>
        <v>1</v>
      </c>
      <c r="AA3893" s="13"/>
      <c r="AB3893" s="13"/>
      <c r="AC3893" s="13"/>
      <c r="AD3893" s="13"/>
      <c r="AE3893" s="13"/>
      <c r="AF3893" s="13"/>
      <c r="AG3893" s="13"/>
      <c r="AH3893" s="13"/>
      <c r="AI3893" s="13"/>
      <c r="AJ3893" s="13"/>
      <c r="AK3893" s="13"/>
      <c r="AL3893" s="13"/>
      <c r="AM3893" s="13"/>
      <c r="AN3893" s="13"/>
      <c r="AO3893" s="13"/>
      <c r="AP3893" s="13"/>
      <c r="AQ3893" s="13"/>
      <c r="AR3893" s="13"/>
      <c r="AS3893" s="13"/>
    </row>
    <row r="3894" ht="14.25" customHeight="1">
      <c r="A3894" s="13" t="s">
        <v>46</v>
      </c>
      <c r="B3894" s="13" t="s">
        <v>55</v>
      </c>
      <c r="C3894" s="13" t="s">
        <v>480</v>
      </c>
      <c r="D3894" s="26" t="s">
        <v>177</v>
      </c>
      <c r="E3894" s="13"/>
      <c r="F3894" s="13"/>
      <c r="G3894" s="26" t="s">
        <v>74</v>
      </c>
      <c r="H3894" s="13" t="s">
        <v>75</v>
      </c>
      <c r="I3894" s="13"/>
      <c r="J3894" s="13"/>
      <c r="K3894" s="15">
        <v>1.0</v>
      </c>
      <c r="L3894" s="15">
        <v>1.0</v>
      </c>
      <c r="M3894" s="16"/>
      <c r="N3894" s="16"/>
      <c r="O3894" s="17"/>
      <c r="P3894" s="17"/>
      <c r="Q3894" s="13"/>
      <c r="R3894" s="13"/>
      <c r="S3894" s="13"/>
      <c r="T3894" s="13">
        <f t="shared" ref="T3894:Y3894" si="4178">IF(ISBLANK(K3894)=TRUE,0,1)</f>
        <v>1</v>
      </c>
      <c r="U3894" s="13">
        <f t="shared" si="4178"/>
        <v>1</v>
      </c>
      <c r="V3894" s="13">
        <f t="shared" si="4178"/>
        <v>0</v>
      </c>
      <c r="W3894" s="13">
        <f t="shared" si="4178"/>
        <v>0</v>
      </c>
      <c r="X3894" s="13">
        <f t="shared" si="4178"/>
        <v>0</v>
      </c>
      <c r="Y3894" s="13">
        <f t="shared" si="4178"/>
        <v>0</v>
      </c>
      <c r="Z3894" s="13">
        <f t="shared" si="3023"/>
        <v>1</v>
      </c>
      <c r="AA3894" s="13"/>
      <c r="AB3894" s="13"/>
      <c r="AC3894" s="13"/>
      <c r="AD3894" s="13"/>
      <c r="AE3894" s="13"/>
      <c r="AF3894" s="13"/>
      <c r="AG3894" s="13"/>
      <c r="AH3894" s="13"/>
      <c r="AI3894" s="13"/>
      <c r="AJ3894" s="13"/>
      <c r="AK3894" s="13"/>
      <c r="AL3894" s="13"/>
      <c r="AM3894" s="13"/>
      <c r="AN3894" s="13"/>
      <c r="AO3894" s="13"/>
      <c r="AP3894" s="13"/>
      <c r="AQ3894" s="13"/>
      <c r="AR3894" s="13"/>
      <c r="AS3894" s="13"/>
    </row>
    <row r="3895" ht="14.25" customHeight="1">
      <c r="A3895" s="13" t="s">
        <v>46</v>
      </c>
      <c r="B3895" s="13" t="s">
        <v>55</v>
      </c>
      <c r="C3895" s="13" t="s">
        <v>480</v>
      </c>
      <c r="D3895" s="26" t="s">
        <v>178</v>
      </c>
      <c r="E3895" s="13"/>
      <c r="F3895" s="13"/>
      <c r="G3895" s="26" t="s">
        <v>74</v>
      </c>
      <c r="H3895" s="13" t="s">
        <v>75</v>
      </c>
      <c r="I3895" s="13"/>
      <c r="J3895" s="13"/>
      <c r="K3895" s="15">
        <v>1.0</v>
      </c>
      <c r="L3895" s="15">
        <v>1.0</v>
      </c>
      <c r="M3895" s="16"/>
      <c r="N3895" s="16"/>
      <c r="O3895" s="17"/>
      <c r="P3895" s="17"/>
      <c r="Q3895" s="13"/>
      <c r="R3895" s="13"/>
      <c r="S3895" s="13"/>
      <c r="T3895" s="13">
        <f t="shared" ref="T3895:Y3895" si="4179">IF(ISBLANK(K3895)=TRUE,0,1)</f>
        <v>1</v>
      </c>
      <c r="U3895" s="13">
        <f t="shared" si="4179"/>
        <v>1</v>
      </c>
      <c r="V3895" s="13">
        <f t="shared" si="4179"/>
        <v>0</v>
      </c>
      <c r="W3895" s="13">
        <f t="shared" si="4179"/>
        <v>0</v>
      </c>
      <c r="X3895" s="13">
        <f t="shared" si="4179"/>
        <v>0</v>
      </c>
      <c r="Y3895" s="13">
        <f t="shared" si="4179"/>
        <v>0</v>
      </c>
      <c r="Z3895" s="13">
        <f t="shared" si="3023"/>
        <v>1</v>
      </c>
      <c r="AA3895" s="13"/>
      <c r="AB3895" s="13"/>
      <c r="AC3895" s="13"/>
      <c r="AD3895" s="13"/>
      <c r="AE3895" s="13"/>
      <c r="AF3895" s="13"/>
      <c r="AG3895" s="13"/>
      <c r="AH3895" s="13"/>
      <c r="AI3895" s="13"/>
      <c r="AJ3895" s="13"/>
      <c r="AK3895" s="13"/>
      <c r="AL3895" s="13"/>
      <c r="AM3895" s="13"/>
      <c r="AN3895" s="13"/>
      <c r="AO3895" s="13"/>
      <c r="AP3895" s="13"/>
      <c r="AQ3895" s="13"/>
      <c r="AR3895" s="13"/>
      <c r="AS3895" s="13"/>
    </row>
    <row r="3896" ht="14.25" customHeight="1">
      <c r="A3896" s="13" t="s">
        <v>46</v>
      </c>
      <c r="B3896" s="13" t="s">
        <v>55</v>
      </c>
      <c r="C3896" s="13" t="s">
        <v>480</v>
      </c>
      <c r="D3896" s="26" t="s">
        <v>179</v>
      </c>
      <c r="E3896" s="13"/>
      <c r="F3896" s="13"/>
      <c r="G3896" s="26" t="s">
        <v>74</v>
      </c>
      <c r="H3896" s="13" t="s">
        <v>75</v>
      </c>
      <c r="I3896" s="13"/>
      <c r="J3896" s="13"/>
      <c r="K3896" s="15">
        <v>1.0</v>
      </c>
      <c r="L3896" s="15">
        <v>1.0</v>
      </c>
      <c r="M3896" s="16"/>
      <c r="N3896" s="16"/>
      <c r="O3896" s="17"/>
      <c r="P3896" s="17"/>
      <c r="Q3896" s="13"/>
      <c r="R3896" s="13"/>
      <c r="S3896" s="13"/>
      <c r="T3896" s="13">
        <f t="shared" ref="T3896:Y3896" si="4180">IF(ISBLANK(K3896)=TRUE,0,1)</f>
        <v>1</v>
      </c>
      <c r="U3896" s="13">
        <f t="shared" si="4180"/>
        <v>1</v>
      </c>
      <c r="V3896" s="13">
        <f t="shared" si="4180"/>
        <v>0</v>
      </c>
      <c r="W3896" s="13">
        <f t="shared" si="4180"/>
        <v>0</v>
      </c>
      <c r="X3896" s="13">
        <f t="shared" si="4180"/>
        <v>0</v>
      </c>
      <c r="Y3896" s="13">
        <f t="shared" si="4180"/>
        <v>0</v>
      </c>
      <c r="Z3896" s="13">
        <f t="shared" si="3023"/>
        <v>1</v>
      </c>
      <c r="AA3896" s="13"/>
      <c r="AB3896" s="13"/>
      <c r="AC3896" s="13"/>
      <c r="AD3896" s="13"/>
      <c r="AE3896" s="13"/>
      <c r="AF3896" s="13"/>
      <c r="AG3896" s="13"/>
      <c r="AH3896" s="13"/>
      <c r="AI3896" s="13"/>
      <c r="AJ3896" s="13"/>
      <c r="AK3896" s="13"/>
      <c r="AL3896" s="13"/>
      <c r="AM3896" s="13"/>
      <c r="AN3896" s="13"/>
      <c r="AO3896" s="13"/>
      <c r="AP3896" s="13"/>
      <c r="AQ3896" s="13"/>
      <c r="AR3896" s="13"/>
      <c r="AS3896" s="13"/>
    </row>
    <row r="3897" ht="14.25" customHeight="1">
      <c r="A3897" s="13" t="s">
        <v>46</v>
      </c>
      <c r="B3897" s="13" t="s">
        <v>55</v>
      </c>
      <c r="C3897" s="13" t="s">
        <v>480</v>
      </c>
      <c r="D3897" s="26" t="s">
        <v>180</v>
      </c>
      <c r="E3897" s="13"/>
      <c r="F3897" s="13"/>
      <c r="G3897" s="26" t="s">
        <v>74</v>
      </c>
      <c r="H3897" s="13" t="s">
        <v>75</v>
      </c>
      <c r="I3897" s="13"/>
      <c r="J3897" s="13"/>
      <c r="K3897" s="15">
        <v>1.0</v>
      </c>
      <c r="L3897" s="15">
        <v>1.0</v>
      </c>
      <c r="M3897" s="16"/>
      <c r="N3897" s="16"/>
      <c r="O3897" s="17"/>
      <c r="P3897" s="17"/>
      <c r="Q3897" s="13"/>
      <c r="R3897" s="13"/>
      <c r="S3897" s="13"/>
      <c r="T3897" s="13">
        <f t="shared" ref="T3897:Y3897" si="4181">IF(ISBLANK(K3897)=TRUE,0,1)</f>
        <v>1</v>
      </c>
      <c r="U3897" s="13">
        <f t="shared" si="4181"/>
        <v>1</v>
      </c>
      <c r="V3897" s="13">
        <f t="shared" si="4181"/>
        <v>0</v>
      </c>
      <c r="W3897" s="13">
        <f t="shared" si="4181"/>
        <v>0</v>
      </c>
      <c r="X3897" s="13">
        <f t="shared" si="4181"/>
        <v>0</v>
      </c>
      <c r="Y3897" s="13">
        <f t="shared" si="4181"/>
        <v>0</v>
      </c>
      <c r="Z3897" s="13">
        <f t="shared" si="3023"/>
        <v>1</v>
      </c>
      <c r="AA3897" s="13"/>
      <c r="AB3897" s="13"/>
      <c r="AC3897" s="13"/>
      <c r="AD3897" s="13"/>
      <c r="AE3897" s="13"/>
      <c r="AF3897" s="13"/>
      <c r="AG3897" s="13"/>
      <c r="AH3897" s="13"/>
      <c r="AI3897" s="13"/>
      <c r="AJ3897" s="13"/>
      <c r="AK3897" s="13"/>
      <c r="AL3897" s="13"/>
      <c r="AM3897" s="13"/>
      <c r="AN3897" s="13"/>
      <c r="AO3897" s="13"/>
      <c r="AP3897" s="13"/>
      <c r="AQ3897" s="13"/>
      <c r="AR3897" s="13"/>
      <c r="AS3897" s="13"/>
    </row>
    <row r="3898" ht="14.25" customHeight="1">
      <c r="A3898" s="13" t="s">
        <v>46</v>
      </c>
      <c r="B3898" s="13" t="s">
        <v>55</v>
      </c>
      <c r="C3898" s="13" t="s">
        <v>480</v>
      </c>
      <c r="D3898" s="26" t="s">
        <v>181</v>
      </c>
      <c r="E3898" s="13"/>
      <c r="F3898" s="13"/>
      <c r="G3898" s="26" t="s">
        <v>74</v>
      </c>
      <c r="H3898" s="13" t="s">
        <v>75</v>
      </c>
      <c r="I3898" s="13"/>
      <c r="J3898" s="13"/>
      <c r="K3898" s="15">
        <v>1.0</v>
      </c>
      <c r="L3898" s="15">
        <v>1.0</v>
      </c>
      <c r="M3898" s="16"/>
      <c r="N3898" s="16"/>
      <c r="O3898" s="17"/>
      <c r="P3898" s="17"/>
      <c r="Q3898" s="13"/>
      <c r="R3898" s="13"/>
      <c r="S3898" s="13"/>
      <c r="T3898" s="13">
        <f t="shared" ref="T3898:Y3898" si="4182">IF(ISBLANK(K3898)=TRUE,0,1)</f>
        <v>1</v>
      </c>
      <c r="U3898" s="13">
        <f t="shared" si="4182"/>
        <v>1</v>
      </c>
      <c r="V3898" s="13">
        <f t="shared" si="4182"/>
        <v>0</v>
      </c>
      <c r="W3898" s="13">
        <f t="shared" si="4182"/>
        <v>0</v>
      </c>
      <c r="X3898" s="13">
        <f t="shared" si="4182"/>
        <v>0</v>
      </c>
      <c r="Y3898" s="13">
        <f t="shared" si="4182"/>
        <v>0</v>
      </c>
      <c r="Z3898" s="13">
        <f t="shared" si="3023"/>
        <v>1</v>
      </c>
      <c r="AA3898" s="13"/>
      <c r="AB3898" s="13"/>
      <c r="AC3898" s="13"/>
      <c r="AD3898" s="13"/>
      <c r="AE3898" s="13"/>
      <c r="AF3898" s="13"/>
      <c r="AG3898" s="13"/>
      <c r="AH3898" s="13"/>
      <c r="AI3898" s="13"/>
      <c r="AJ3898" s="13"/>
      <c r="AK3898" s="13"/>
      <c r="AL3898" s="13"/>
      <c r="AM3898" s="13"/>
      <c r="AN3898" s="13"/>
      <c r="AO3898" s="13"/>
      <c r="AP3898" s="13"/>
      <c r="AQ3898" s="13"/>
      <c r="AR3898" s="13"/>
      <c r="AS3898" s="13"/>
    </row>
    <row r="3899" ht="14.25" customHeight="1">
      <c r="A3899" s="13" t="s">
        <v>46</v>
      </c>
      <c r="B3899" s="13" t="s">
        <v>53</v>
      </c>
      <c r="C3899" s="13" t="s">
        <v>1975</v>
      </c>
      <c r="D3899" s="13"/>
      <c r="E3899" s="13"/>
      <c r="F3899" s="13"/>
      <c r="G3899" s="13" t="s">
        <v>111</v>
      </c>
      <c r="H3899" s="13" t="s">
        <v>75</v>
      </c>
      <c r="I3899" s="13"/>
      <c r="J3899" s="13"/>
      <c r="K3899" s="15"/>
      <c r="L3899" s="15"/>
      <c r="M3899" s="16"/>
      <c r="N3899" s="16"/>
      <c r="O3899" s="17">
        <v>0.0</v>
      </c>
      <c r="P3899" s="17">
        <v>0.0</v>
      </c>
      <c r="Q3899" s="13"/>
      <c r="R3899" s="29">
        <v>45007.0</v>
      </c>
      <c r="S3899" s="13"/>
      <c r="T3899" s="13">
        <f t="shared" ref="T3899:Y3899" si="4183">IF(ISBLANK(K3899)=TRUE,0,1)</f>
        <v>0</v>
      </c>
      <c r="U3899" s="13">
        <f t="shared" si="4183"/>
        <v>0</v>
      </c>
      <c r="V3899" s="13">
        <f t="shared" si="4183"/>
        <v>0</v>
      </c>
      <c r="W3899" s="13">
        <f t="shared" si="4183"/>
        <v>0</v>
      </c>
      <c r="X3899" s="13">
        <f t="shared" si="4183"/>
        <v>1</v>
      </c>
      <c r="Y3899" s="13">
        <f t="shared" si="4183"/>
        <v>1</v>
      </c>
      <c r="Z3899" s="13">
        <f t="shared" si="3023"/>
        <v>0</v>
      </c>
      <c r="AA3899" s="13"/>
      <c r="AB3899" s="13"/>
      <c r="AC3899" s="13"/>
      <c r="AD3899" s="13"/>
      <c r="AE3899" s="13"/>
      <c r="AF3899" s="13"/>
      <c r="AG3899" s="13"/>
      <c r="AH3899" s="13"/>
      <c r="AI3899" s="13"/>
      <c r="AJ3899" s="13"/>
      <c r="AK3899" s="13"/>
      <c r="AL3899" s="13"/>
      <c r="AM3899" s="13"/>
      <c r="AN3899" s="13"/>
      <c r="AO3899" s="13"/>
      <c r="AP3899" s="13"/>
      <c r="AQ3899" s="13"/>
      <c r="AR3899" s="13"/>
      <c r="AS3899" s="13"/>
    </row>
    <row r="3900" ht="14.25" customHeight="1">
      <c r="A3900" s="26" t="s">
        <v>46</v>
      </c>
      <c r="B3900" s="31" t="s">
        <v>53</v>
      </c>
      <c r="C3900" s="13" t="s">
        <v>768</v>
      </c>
      <c r="D3900" s="26" t="s">
        <v>180</v>
      </c>
      <c r="E3900" s="13"/>
      <c r="F3900" s="13"/>
      <c r="G3900" s="26" t="s">
        <v>111</v>
      </c>
      <c r="H3900" s="26" t="s">
        <v>107</v>
      </c>
      <c r="I3900" s="13"/>
      <c r="J3900" s="13"/>
      <c r="K3900" s="15">
        <v>1.0</v>
      </c>
      <c r="L3900" s="15">
        <v>1.0</v>
      </c>
      <c r="M3900" s="16"/>
      <c r="N3900" s="16"/>
      <c r="O3900" s="17"/>
      <c r="P3900" s="17"/>
      <c r="Q3900" s="13"/>
      <c r="R3900" s="13"/>
      <c r="S3900" s="13"/>
      <c r="T3900" s="13">
        <f t="shared" ref="T3900:Y3900" si="4184">IF(ISBLANK(K3900)=TRUE,0,1)</f>
        <v>1</v>
      </c>
      <c r="U3900" s="13">
        <f t="shared" si="4184"/>
        <v>1</v>
      </c>
      <c r="V3900" s="13">
        <f t="shared" si="4184"/>
        <v>0</v>
      </c>
      <c r="W3900" s="13">
        <f t="shared" si="4184"/>
        <v>0</v>
      </c>
      <c r="X3900" s="13">
        <f t="shared" si="4184"/>
        <v>0</v>
      </c>
      <c r="Y3900" s="13">
        <f t="shared" si="4184"/>
        <v>0</v>
      </c>
      <c r="Z3900" s="13">
        <f t="shared" si="3023"/>
        <v>1</v>
      </c>
      <c r="AA3900" s="13"/>
      <c r="AB3900" s="13"/>
      <c r="AC3900" s="13"/>
      <c r="AD3900" s="13"/>
      <c r="AE3900" s="13"/>
      <c r="AF3900" s="13"/>
      <c r="AG3900" s="13"/>
      <c r="AH3900" s="13"/>
      <c r="AI3900" s="13"/>
      <c r="AJ3900" s="13"/>
      <c r="AK3900" s="13"/>
      <c r="AL3900" s="13"/>
      <c r="AM3900" s="13"/>
      <c r="AN3900" s="13"/>
      <c r="AO3900" s="13"/>
      <c r="AP3900" s="13"/>
      <c r="AQ3900" s="13"/>
      <c r="AR3900" s="13"/>
      <c r="AS3900" s="13"/>
    </row>
    <row r="3901" ht="14.25" customHeight="1">
      <c r="A3901" s="26" t="s">
        <v>46</v>
      </c>
      <c r="B3901" s="31" t="s">
        <v>53</v>
      </c>
      <c r="C3901" s="13" t="s">
        <v>768</v>
      </c>
      <c r="D3901" s="26" t="s">
        <v>181</v>
      </c>
      <c r="E3901" s="13"/>
      <c r="F3901" s="13"/>
      <c r="G3901" s="26" t="s">
        <v>111</v>
      </c>
      <c r="H3901" s="26" t="s">
        <v>107</v>
      </c>
      <c r="I3901" s="13"/>
      <c r="J3901" s="13"/>
      <c r="K3901" s="15">
        <v>1.0</v>
      </c>
      <c r="L3901" s="15">
        <v>1.0</v>
      </c>
      <c r="M3901" s="16"/>
      <c r="N3901" s="16"/>
      <c r="O3901" s="17"/>
      <c r="P3901" s="17"/>
      <c r="Q3901" s="13"/>
      <c r="R3901" s="13"/>
      <c r="S3901" s="13"/>
      <c r="T3901" s="13">
        <f t="shared" ref="T3901:Y3901" si="4185">IF(ISBLANK(K3901)=TRUE,0,1)</f>
        <v>1</v>
      </c>
      <c r="U3901" s="13">
        <f t="shared" si="4185"/>
        <v>1</v>
      </c>
      <c r="V3901" s="13">
        <f t="shared" si="4185"/>
        <v>0</v>
      </c>
      <c r="W3901" s="13">
        <f t="shared" si="4185"/>
        <v>0</v>
      </c>
      <c r="X3901" s="13">
        <f t="shared" si="4185"/>
        <v>0</v>
      </c>
      <c r="Y3901" s="13">
        <f t="shared" si="4185"/>
        <v>0</v>
      </c>
      <c r="Z3901" s="13">
        <f t="shared" si="3023"/>
        <v>1</v>
      </c>
      <c r="AA3901" s="13"/>
      <c r="AB3901" s="13"/>
      <c r="AC3901" s="13"/>
      <c r="AD3901" s="13"/>
      <c r="AE3901" s="13"/>
      <c r="AF3901" s="13"/>
      <c r="AG3901" s="13"/>
      <c r="AH3901" s="13"/>
      <c r="AI3901" s="13"/>
      <c r="AJ3901" s="13"/>
      <c r="AK3901" s="13"/>
      <c r="AL3901" s="13"/>
      <c r="AM3901" s="13"/>
      <c r="AN3901" s="13"/>
      <c r="AO3901" s="13"/>
      <c r="AP3901" s="13"/>
      <c r="AQ3901" s="13"/>
      <c r="AR3901" s="13"/>
      <c r="AS3901" s="13"/>
    </row>
    <row r="3902" ht="14.25" customHeight="1">
      <c r="A3902" s="13" t="s">
        <v>46</v>
      </c>
      <c r="B3902" s="13" t="s">
        <v>53</v>
      </c>
      <c r="C3902" s="13" t="s">
        <v>1976</v>
      </c>
      <c r="D3902" s="13"/>
      <c r="E3902" s="13"/>
      <c r="F3902" s="13"/>
      <c r="G3902" s="13" t="s">
        <v>111</v>
      </c>
      <c r="H3902" s="13" t="s">
        <v>75</v>
      </c>
      <c r="I3902" s="13"/>
      <c r="J3902" s="13"/>
      <c r="K3902" s="15"/>
      <c r="L3902" s="15"/>
      <c r="M3902" s="16"/>
      <c r="N3902" s="16"/>
      <c r="O3902" s="17">
        <v>0.0</v>
      </c>
      <c r="P3902" s="17">
        <v>0.0</v>
      </c>
      <c r="Q3902" s="13"/>
      <c r="R3902" s="29">
        <v>45007.0</v>
      </c>
      <c r="S3902" s="13"/>
      <c r="T3902" s="13">
        <f t="shared" ref="T3902:Y3902" si="4186">IF(ISBLANK(K3902)=TRUE,0,1)</f>
        <v>0</v>
      </c>
      <c r="U3902" s="13">
        <f t="shared" si="4186"/>
        <v>0</v>
      </c>
      <c r="V3902" s="13">
        <f t="shared" si="4186"/>
        <v>0</v>
      </c>
      <c r="W3902" s="13">
        <f t="shared" si="4186"/>
        <v>0</v>
      </c>
      <c r="X3902" s="13">
        <f t="shared" si="4186"/>
        <v>1</v>
      </c>
      <c r="Y3902" s="13">
        <f t="shared" si="4186"/>
        <v>1</v>
      </c>
      <c r="Z3902" s="13">
        <f t="shared" si="3023"/>
        <v>0</v>
      </c>
      <c r="AA3902" s="13"/>
      <c r="AB3902" s="13"/>
      <c r="AC3902" s="13"/>
      <c r="AD3902" s="13"/>
      <c r="AE3902" s="13"/>
      <c r="AF3902" s="13"/>
      <c r="AG3902" s="13"/>
      <c r="AH3902" s="13"/>
      <c r="AI3902" s="13"/>
      <c r="AJ3902" s="13"/>
      <c r="AK3902" s="13"/>
      <c r="AL3902" s="13"/>
      <c r="AM3902" s="13"/>
      <c r="AN3902" s="13"/>
      <c r="AO3902" s="13"/>
      <c r="AP3902" s="13"/>
      <c r="AQ3902" s="13"/>
      <c r="AR3902" s="13"/>
      <c r="AS3902" s="13"/>
    </row>
    <row r="3903" ht="14.25" customHeight="1">
      <c r="A3903" s="13" t="s">
        <v>46</v>
      </c>
      <c r="B3903" s="13" t="s">
        <v>53</v>
      </c>
      <c r="C3903" s="13" t="s">
        <v>1977</v>
      </c>
      <c r="D3903" s="13"/>
      <c r="E3903" s="13"/>
      <c r="F3903" s="13"/>
      <c r="G3903" s="13" t="s">
        <v>111</v>
      </c>
      <c r="H3903" s="13" t="s">
        <v>75</v>
      </c>
      <c r="I3903" s="13"/>
      <c r="J3903" s="13"/>
      <c r="K3903" s="15"/>
      <c r="L3903" s="15"/>
      <c r="M3903" s="16"/>
      <c r="N3903" s="16"/>
      <c r="O3903" s="17">
        <v>0.0</v>
      </c>
      <c r="P3903" s="17">
        <v>0.0</v>
      </c>
      <c r="Q3903" s="13"/>
      <c r="R3903" s="29">
        <v>45007.0</v>
      </c>
      <c r="S3903" s="13"/>
      <c r="T3903" s="13">
        <f t="shared" ref="T3903:Y3903" si="4187">IF(ISBLANK(K3903)=TRUE,0,1)</f>
        <v>0</v>
      </c>
      <c r="U3903" s="13">
        <f t="shared" si="4187"/>
        <v>0</v>
      </c>
      <c r="V3903" s="13">
        <f t="shared" si="4187"/>
        <v>0</v>
      </c>
      <c r="W3903" s="13">
        <f t="shared" si="4187"/>
        <v>0</v>
      </c>
      <c r="X3903" s="13">
        <f t="shared" si="4187"/>
        <v>1</v>
      </c>
      <c r="Y3903" s="13">
        <f t="shared" si="4187"/>
        <v>1</v>
      </c>
      <c r="Z3903" s="13">
        <f t="shared" si="3023"/>
        <v>0</v>
      </c>
      <c r="AA3903" s="13"/>
      <c r="AB3903" s="13"/>
      <c r="AC3903" s="13"/>
      <c r="AD3903" s="13"/>
      <c r="AE3903" s="13"/>
      <c r="AF3903" s="13"/>
      <c r="AG3903" s="13"/>
      <c r="AH3903" s="13"/>
      <c r="AI3903" s="13"/>
      <c r="AJ3903" s="13"/>
      <c r="AK3903" s="13"/>
      <c r="AL3903" s="13"/>
      <c r="AM3903" s="13"/>
      <c r="AN3903" s="13"/>
      <c r="AO3903" s="13"/>
      <c r="AP3903" s="13"/>
      <c r="AQ3903" s="13"/>
      <c r="AR3903" s="13"/>
      <c r="AS3903" s="13"/>
    </row>
    <row r="3904" ht="14.25" customHeight="1">
      <c r="A3904" s="13" t="s">
        <v>46</v>
      </c>
      <c r="B3904" s="13" t="s">
        <v>53</v>
      </c>
      <c r="C3904" s="13" t="s">
        <v>1978</v>
      </c>
      <c r="D3904" s="13"/>
      <c r="E3904" s="13"/>
      <c r="F3904" s="13"/>
      <c r="G3904" s="13" t="s">
        <v>111</v>
      </c>
      <c r="H3904" s="13" t="s">
        <v>75</v>
      </c>
      <c r="I3904" s="13"/>
      <c r="J3904" s="13"/>
      <c r="K3904" s="15"/>
      <c r="L3904" s="15"/>
      <c r="M3904" s="16"/>
      <c r="N3904" s="16"/>
      <c r="O3904" s="17">
        <v>0.0</v>
      </c>
      <c r="P3904" s="17">
        <v>0.0</v>
      </c>
      <c r="Q3904" s="13"/>
      <c r="R3904" s="29">
        <v>45007.0</v>
      </c>
      <c r="S3904" s="13"/>
      <c r="T3904" s="13">
        <f t="shared" ref="T3904:Y3904" si="4188">IF(ISBLANK(K3904)=TRUE,0,1)</f>
        <v>0</v>
      </c>
      <c r="U3904" s="13">
        <f t="shared" si="4188"/>
        <v>0</v>
      </c>
      <c r="V3904" s="13">
        <f t="shared" si="4188"/>
        <v>0</v>
      </c>
      <c r="W3904" s="13">
        <f t="shared" si="4188"/>
        <v>0</v>
      </c>
      <c r="X3904" s="13">
        <f t="shared" si="4188"/>
        <v>1</v>
      </c>
      <c r="Y3904" s="13">
        <f t="shared" si="4188"/>
        <v>1</v>
      </c>
      <c r="Z3904" s="13">
        <f t="shared" si="3023"/>
        <v>0</v>
      </c>
      <c r="AA3904" s="13"/>
      <c r="AB3904" s="13"/>
      <c r="AC3904" s="13"/>
      <c r="AD3904" s="13"/>
      <c r="AE3904" s="13"/>
      <c r="AF3904" s="13"/>
      <c r="AG3904" s="13"/>
      <c r="AH3904" s="13"/>
      <c r="AI3904" s="13"/>
      <c r="AJ3904" s="13"/>
      <c r="AK3904" s="13"/>
      <c r="AL3904" s="13"/>
      <c r="AM3904" s="13"/>
      <c r="AN3904" s="13"/>
      <c r="AO3904" s="13"/>
      <c r="AP3904" s="13"/>
      <c r="AQ3904" s="13"/>
      <c r="AR3904" s="13"/>
      <c r="AS3904" s="13"/>
    </row>
    <row r="3905" ht="14.25" customHeight="1">
      <c r="A3905" s="13" t="s">
        <v>46</v>
      </c>
      <c r="B3905" s="13" t="s">
        <v>53</v>
      </c>
      <c r="C3905" s="13" t="s">
        <v>1979</v>
      </c>
      <c r="D3905" s="13"/>
      <c r="E3905" s="13"/>
      <c r="F3905" s="13"/>
      <c r="G3905" s="13" t="s">
        <v>111</v>
      </c>
      <c r="H3905" s="13" t="s">
        <v>75</v>
      </c>
      <c r="I3905" s="13"/>
      <c r="J3905" s="13"/>
      <c r="K3905" s="15"/>
      <c r="L3905" s="15"/>
      <c r="M3905" s="16"/>
      <c r="N3905" s="16"/>
      <c r="O3905" s="17">
        <v>0.0</v>
      </c>
      <c r="P3905" s="17">
        <v>0.0</v>
      </c>
      <c r="Q3905" s="13"/>
      <c r="R3905" s="29">
        <v>45007.0</v>
      </c>
      <c r="S3905" s="13"/>
      <c r="T3905" s="13">
        <f t="shared" ref="T3905:Y3905" si="4189">IF(ISBLANK(K3905)=TRUE,0,1)</f>
        <v>0</v>
      </c>
      <c r="U3905" s="13">
        <f t="shared" si="4189"/>
        <v>0</v>
      </c>
      <c r="V3905" s="13">
        <f t="shared" si="4189"/>
        <v>0</v>
      </c>
      <c r="W3905" s="13">
        <f t="shared" si="4189"/>
        <v>0</v>
      </c>
      <c r="X3905" s="13">
        <f t="shared" si="4189"/>
        <v>1</v>
      </c>
      <c r="Y3905" s="13">
        <f t="shared" si="4189"/>
        <v>1</v>
      </c>
      <c r="Z3905" s="13">
        <f t="shared" si="3023"/>
        <v>0</v>
      </c>
      <c r="AA3905" s="13"/>
      <c r="AB3905" s="13"/>
      <c r="AC3905" s="13"/>
      <c r="AD3905" s="13"/>
      <c r="AE3905" s="13"/>
      <c r="AF3905" s="13"/>
      <c r="AG3905" s="13"/>
      <c r="AH3905" s="13"/>
      <c r="AI3905" s="13"/>
      <c r="AJ3905" s="13"/>
      <c r="AK3905" s="13"/>
      <c r="AL3905" s="13"/>
      <c r="AM3905" s="13"/>
      <c r="AN3905" s="13"/>
      <c r="AO3905" s="13"/>
      <c r="AP3905" s="13"/>
      <c r="AQ3905" s="13"/>
      <c r="AR3905" s="13"/>
      <c r="AS3905" s="13"/>
    </row>
    <row r="3906" ht="14.25" customHeight="1">
      <c r="A3906" s="13" t="s">
        <v>46</v>
      </c>
      <c r="B3906" s="13" t="s">
        <v>53</v>
      </c>
      <c r="C3906" s="13" t="s">
        <v>1980</v>
      </c>
      <c r="D3906" s="13"/>
      <c r="E3906" s="13"/>
      <c r="F3906" s="13"/>
      <c r="G3906" s="13" t="s">
        <v>111</v>
      </c>
      <c r="H3906" s="13" t="s">
        <v>75</v>
      </c>
      <c r="I3906" s="13"/>
      <c r="J3906" s="13"/>
      <c r="K3906" s="15"/>
      <c r="L3906" s="15"/>
      <c r="M3906" s="16"/>
      <c r="N3906" s="16"/>
      <c r="O3906" s="17">
        <v>0.0</v>
      </c>
      <c r="P3906" s="17">
        <v>0.0</v>
      </c>
      <c r="Q3906" s="13"/>
      <c r="R3906" s="29">
        <v>45007.0</v>
      </c>
      <c r="S3906" s="13"/>
      <c r="T3906" s="13">
        <f t="shared" ref="T3906:Y3906" si="4190">IF(ISBLANK(K3906)=TRUE,0,1)</f>
        <v>0</v>
      </c>
      <c r="U3906" s="13">
        <f t="shared" si="4190"/>
        <v>0</v>
      </c>
      <c r="V3906" s="13">
        <f t="shared" si="4190"/>
        <v>0</v>
      </c>
      <c r="W3906" s="13">
        <f t="shared" si="4190"/>
        <v>0</v>
      </c>
      <c r="X3906" s="13">
        <f t="shared" si="4190"/>
        <v>1</v>
      </c>
      <c r="Y3906" s="13">
        <f t="shared" si="4190"/>
        <v>1</v>
      </c>
      <c r="Z3906" s="13">
        <f t="shared" si="3023"/>
        <v>0</v>
      </c>
      <c r="AA3906" s="13"/>
      <c r="AB3906" s="13"/>
      <c r="AC3906" s="13"/>
      <c r="AD3906" s="13"/>
      <c r="AE3906" s="13"/>
      <c r="AF3906" s="13"/>
      <c r="AG3906" s="13"/>
      <c r="AH3906" s="13"/>
      <c r="AI3906" s="13"/>
      <c r="AJ3906" s="13"/>
      <c r="AK3906" s="13"/>
      <c r="AL3906" s="13"/>
      <c r="AM3906" s="13"/>
      <c r="AN3906" s="13"/>
      <c r="AO3906" s="13"/>
      <c r="AP3906" s="13"/>
      <c r="AQ3906" s="13"/>
      <c r="AR3906" s="13"/>
      <c r="AS3906" s="13"/>
    </row>
    <row r="3907" ht="14.25" customHeight="1">
      <c r="A3907" s="13" t="s">
        <v>46</v>
      </c>
      <c r="B3907" s="13" t="s">
        <v>53</v>
      </c>
      <c r="C3907" s="13" t="s">
        <v>1981</v>
      </c>
      <c r="D3907" s="13"/>
      <c r="E3907" s="13"/>
      <c r="F3907" s="13"/>
      <c r="G3907" s="13" t="s">
        <v>111</v>
      </c>
      <c r="H3907" s="13" t="s">
        <v>75</v>
      </c>
      <c r="I3907" s="13"/>
      <c r="J3907" s="13"/>
      <c r="K3907" s="15"/>
      <c r="L3907" s="15"/>
      <c r="M3907" s="16"/>
      <c r="N3907" s="16"/>
      <c r="O3907" s="17">
        <v>0.0</v>
      </c>
      <c r="P3907" s="17">
        <v>0.0</v>
      </c>
      <c r="Q3907" s="13"/>
      <c r="R3907" s="29">
        <v>45007.0</v>
      </c>
      <c r="S3907" s="13"/>
      <c r="T3907" s="13">
        <f t="shared" ref="T3907:Y3907" si="4191">IF(ISBLANK(K3907)=TRUE,0,1)</f>
        <v>0</v>
      </c>
      <c r="U3907" s="13">
        <f t="shared" si="4191"/>
        <v>0</v>
      </c>
      <c r="V3907" s="13">
        <f t="shared" si="4191"/>
        <v>0</v>
      </c>
      <c r="W3907" s="13">
        <f t="shared" si="4191"/>
        <v>0</v>
      </c>
      <c r="X3907" s="13">
        <f t="shared" si="4191"/>
        <v>1</v>
      </c>
      <c r="Y3907" s="13">
        <f t="shared" si="4191"/>
        <v>1</v>
      </c>
      <c r="Z3907" s="13">
        <f t="shared" si="3023"/>
        <v>0</v>
      </c>
      <c r="AA3907" s="13"/>
      <c r="AB3907" s="13"/>
      <c r="AC3907" s="13"/>
      <c r="AD3907" s="13"/>
      <c r="AE3907" s="13"/>
      <c r="AF3907" s="13"/>
      <c r="AG3907" s="13"/>
      <c r="AH3907" s="13"/>
      <c r="AI3907" s="13"/>
      <c r="AJ3907" s="13"/>
      <c r="AK3907" s="13"/>
      <c r="AL3907" s="13"/>
      <c r="AM3907" s="13"/>
      <c r="AN3907" s="13"/>
      <c r="AO3907" s="13"/>
      <c r="AP3907" s="13"/>
      <c r="AQ3907" s="13"/>
      <c r="AR3907" s="13"/>
      <c r="AS3907" s="13"/>
    </row>
    <row r="3908" ht="14.25" customHeight="1">
      <c r="A3908" s="13" t="s">
        <v>46</v>
      </c>
      <c r="B3908" s="13" t="s">
        <v>53</v>
      </c>
      <c r="C3908" s="13" t="s">
        <v>1982</v>
      </c>
      <c r="D3908" s="13"/>
      <c r="E3908" s="13"/>
      <c r="F3908" s="13"/>
      <c r="G3908" s="13" t="s">
        <v>111</v>
      </c>
      <c r="H3908" s="13" t="s">
        <v>75</v>
      </c>
      <c r="I3908" s="13"/>
      <c r="J3908" s="13"/>
      <c r="K3908" s="15"/>
      <c r="L3908" s="15"/>
      <c r="M3908" s="16"/>
      <c r="N3908" s="16"/>
      <c r="O3908" s="17">
        <v>0.0</v>
      </c>
      <c r="P3908" s="17">
        <v>0.0</v>
      </c>
      <c r="Q3908" s="13"/>
      <c r="R3908" s="29">
        <v>45007.0</v>
      </c>
      <c r="S3908" s="13"/>
      <c r="T3908" s="13">
        <f t="shared" ref="T3908:Y3908" si="4192">IF(ISBLANK(K3908)=TRUE,0,1)</f>
        <v>0</v>
      </c>
      <c r="U3908" s="13">
        <f t="shared" si="4192"/>
        <v>0</v>
      </c>
      <c r="V3908" s="13">
        <f t="shared" si="4192"/>
        <v>0</v>
      </c>
      <c r="W3908" s="13">
        <f t="shared" si="4192"/>
        <v>0</v>
      </c>
      <c r="X3908" s="13">
        <f t="shared" si="4192"/>
        <v>1</v>
      </c>
      <c r="Y3908" s="13">
        <f t="shared" si="4192"/>
        <v>1</v>
      </c>
      <c r="Z3908" s="13">
        <f t="shared" si="3023"/>
        <v>0</v>
      </c>
      <c r="AA3908" s="13"/>
      <c r="AB3908" s="13"/>
      <c r="AC3908" s="13"/>
      <c r="AD3908" s="13"/>
      <c r="AE3908" s="13"/>
      <c r="AF3908" s="13"/>
      <c r="AG3908" s="13"/>
      <c r="AH3908" s="13"/>
      <c r="AI3908" s="13"/>
      <c r="AJ3908" s="13"/>
      <c r="AK3908" s="13"/>
      <c r="AL3908" s="13"/>
      <c r="AM3908" s="13"/>
      <c r="AN3908" s="13"/>
      <c r="AO3908" s="13"/>
      <c r="AP3908" s="13"/>
      <c r="AQ3908" s="13"/>
      <c r="AR3908" s="13"/>
      <c r="AS3908" s="13"/>
    </row>
    <row r="3909" ht="14.25" customHeight="1">
      <c r="A3909" s="13" t="s">
        <v>46</v>
      </c>
      <c r="B3909" s="13" t="s">
        <v>53</v>
      </c>
      <c r="C3909" s="13" t="s">
        <v>1983</v>
      </c>
      <c r="D3909" s="13"/>
      <c r="E3909" s="13"/>
      <c r="F3909" s="13"/>
      <c r="G3909" s="13" t="s">
        <v>111</v>
      </c>
      <c r="H3909" s="13" t="s">
        <v>75</v>
      </c>
      <c r="I3909" s="13"/>
      <c r="J3909" s="13"/>
      <c r="K3909" s="15"/>
      <c r="L3909" s="15"/>
      <c r="M3909" s="16"/>
      <c r="N3909" s="16"/>
      <c r="O3909" s="17">
        <v>0.0</v>
      </c>
      <c r="P3909" s="17">
        <v>0.0</v>
      </c>
      <c r="Q3909" s="13"/>
      <c r="R3909" s="29">
        <v>45007.0</v>
      </c>
      <c r="S3909" s="13"/>
      <c r="T3909" s="13">
        <f t="shared" ref="T3909:Y3909" si="4193">IF(ISBLANK(K3909)=TRUE,0,1)</f>
        <v>0</v>
      </c>
      <c r="U3909" s="13">
        <f t="shared" si="4193"/>
        <v>0</v>
      </c>
      <c r="V3909" s="13">
        <f t="shared" si="4193"/>
        <v>0</v>
      </c>
      <c r="W3909" s="13">
        <f t="shared" si="4193"/>
        <v>0</v>
      </c>
      <c r="X3909" s="13">
        <f t="shared" si="4193"/>
        <v>1</v>
      </c>
      <c r="Y3909" s="13">
        <f t="shared" si="4193"/>
        <v>1</v>
      </c>
      <c r="Z3909" s="13">
        <f t="shared" si="3023"/>
        <v>0</v>
      </c>
      <c r="AA3909" s="13"/>
      <c r="AB3909" s="13"/>
      <c r="AC3909" s="13"/>
      <c r="AD3909" s="13"/>
      <c r="AE3909" s="13"/>
      <c r="AF3909" s="13"/>
      <c r="AG3909" s="13"/>
      <c r="AH3909" s="13"/>
      <c r="AI3909" s="13"/>
      <c r="AJ3909" s="13"/>
      <c r="AK3909" s="13"/>
      <c r="AL3909" s="13"/>
      <c r="AM3909" s="13"/>
      <c r="AN3909" s="13"/>
      <c r="AO3909" s="13"/>
      <c r="AP3909" s="13"/>
      <c r="AQ3909" s="13"/>
      <c r="AR3909" s="13"/>
      <c r="AS3909" s="13"/>
    </row>
    <row r="3910" ht="14.25" customHeight="1">
      <c r="A3910" s="13" t="s">
        <v>46</v>
      </c>
      <c r="B3910" s="13" t="s">
        <v>53</v>
      </c>
      <c r="C3910" s="13" t="s">
        <v>1984</v>
      </c>
      <c r="D3910" s="13"/>
      <c r="E3910" s="13"/>
      <c r="F3910" s="13"/>
      <c r="G3910" s="13" t="s">
        <v>111</v>
      </c>
      <c r="H3910" s="13" t="s">
        <v>75</v>
      </c>
      <c r="I3910" s="13"/>
      <c r="J3910" s="13"/>
      <c r="K3910" s="15"/>
      <c r="L3910" s="15"/>
      <c r="M3910" s="16"/>
      <c r="N3910" s="16"/>
      <c r="O3910" s="17">
        <v>0.0</v>
      </c>
      <c r="P3910" s="17">
        <v>0.0</v>
      </c>
      <c r="Q3910" s="13"/>
      <c r="R3910" s="29">
        <v>45007.0</v>
      </c>
      <c r="S3910" s="13"/>
      <c r="T3910" s="13">
        <f t="shared" ref="T3910:Y3910" si="4194">IF(ISBLANK(K3910)=TRUE,0,1)</f>
        <v>0</v>
      </c>
      <c r="U3910" s="13">
        <f t="shared" si="4194"/>
        <v>0</v>
      </c>
      <c r="V3910" s="13">
        <f t="shared" si="4194"/>
        <v>0</v>
      </c>
      <c r="W3910" s="13">
        <f t="shared" si="4194"/>
        <v>0</v>
      </c>
      <c r="X3910" s="13">
        <f t="shared" si="4194"/>
        <v>1</v>
      </c>
      <c r="Y3910" s="13">
        <f t="shared" si="4194"/>
        <v>1</v>
      </c>
      <c r="Z3910" s="13">
        <f t="shared" si="3023"/>
        <v>0</v>
      </c>
      <c r="AA3910" s="13"/>
      <c r="AB3910" s="13"/>
      <c r="AC3910" s="13"/>
      <c r="AD3910" s="13"/>
      <c r="AE3910" s="13"/>
      <c r="AF3910" s="13"/>
      <c r="AG3910" s="13"/>
      <c r="AH3910" s="13"/>
      <c r="AI3910" s="13"/>
      <c r="AJ3910" s="13"/>
      <c r="AK3910" s="13"/>
      <c r="AL3910" s="13"/>
      <c r="AM3910" s="13"/>
      <c r="AN3910" s="13"/>
      <c r="AO3910" s="13"/>
      <c r="AP3910" s="13"/>
      <c r="AQ3910" s="13"/>
      <c r="AR3910" s="13"/>
      <c r="AS3910" s="13"/>
    </row>
    <row r="3911" ht="14.25" customHeight="1">
      <c r="A3911" s="13" t="s">
        <v>46</v>
      </c>
      <c r="B3911" s="13" t="s">
        <v>53</v>
      </c>
      <c r="C3911" s="13" t="s">
        <v>1985</v>
      </c>
      <c r="D3911" s="13"/>
      <c r="E3911" s="13"/>
      <c r="F3911" s="13"/>
      <c r="G3911" s="13" t="s">
        <v>111</v>
      </c>
      <c r="H3911" s="13" t="s">
        <v>75</v>
      </c>
      <c r="I3911" s="13"/>
      <c r="J3911" s="13"/>
      <c r="K3911" s="15"/>
      <c r="L3911" s="15"/>
      <c r="M3911" s="16"/>
      <c r="N3911" s="16"/>
      <c r="O3911" s="17">
        <v>0.0</v>
      </c>
      <c r="P3911" s="17">
        <v>0.0</v>
      </c>
      <c r="Q3911" s="13"/>
      <c r="R3911" s="29">
        <v>45007.0</v>
      </c>
      <c r="S3911" s="13"/>
      <c r="T3911" s="13">
        <f t="shared" ref="T3911:Y3911" si="4195">IF(ISBLANK(K3911)=TRUE,0,1)</f>
        <v>0</v>
      </c>
      <c r="U3911" s="13">
        <f t="shared" si="4195"/>
        <v>0</v>
      </c>
      <c r="V3911" s="13">
        <f t="shared" si="4195"/>
        <v>0</v>
      </c>
      <c r="W3911" s="13">
        <f t="shared" si="4195"/>
        <v>0</v>
      </c>
      <c r="X3911" s="13">
        <f t="shared" si="4195"/>
        <v>1</v>
      </c>
      <c r="Y3911" s="13">
        <f t="shared" si="4195"/>
        <v>1</v>
      </c>
      <c r="Z3911" s="13">
        <f t="shared" si="3023"/>
        <v>0</v>
      </c>
      <c r="AA3911" s="13"/>
      <c r="AB3911" s="13"/>
      <c r="AC3911" s="13"/>
      <c r="AD3911" s="13"/>
      <c r="AE3911" s="13"/>
      <c r="AF3911" s="13"/>
      <c r="AG3911" s="13"/>
      <c r="AH3911" s="13"/>
      <c r="AI3911" s="13"/>
      <c r="AJ3911" s="13"/>
      <c r="AK3911" s="13"/>
      <c r="AL3911" s="13"/>
      <c r="AM3911" s="13"/>
      <c r="AN3911" s="13"/>
      <c r="AO3911" s="13"/>
      <c r="AP3911" s="13"/>
      <c r="AQ3911" s="13"/>
      <c r="AR3911" s="13"/>
      <c r="AS3911" s="13"/>
    </row>
    <row r="3912" ht="14.25" customHeight="1">
      <c r="A3912" s="13" t="s">
        <v>46</v>
      </c>
      <c r="B3912" s="13" t="s">
        <v>53</v>
      </c>
      <c r="C3912" s="13" t="s">
        <v>1986</v>
      </c>
      <c r="D3912" s="13"/>
      <c r="E3912" s="13"/>
      <c r="F3912" s="13"/>
      <c r="G3912" s="13" t="s">
        <v>111</v>
      </c>
      <c r="H3912" s="13" t="s">
        <v>75</v>
      </c>
      <c r="I3912" s="13"/>
      <c r="J3912" s="13"/>
      <c r="K3912" s="15"/>
      <c r="L3912" s="15"/>
      <c r="M3912" s="16"/>
      <c r="N3912" s="16"/>
      <c r="O3912" s="17">
        <v>0.0</v>
      </c>
      <c r="P3912" s="17">
        <v>0.0</v>
      </c>
      <c r="Q3912" s="13"/>
      <c r="R3912" s="29">
        <v>45007.0</v>
      </c>
      <c r="S3912" s="13"/>
      <c r="T3912" s="13">
        <f t="shared" ref="T3912:Y3912" si="4196">IF(ISBLANK(K3912)=TRUE,0,1)</f>
        <v>0</v>
      </c>
      <c r="U3912" s="13">
        <f t="shared" si="4196"/>
        <v>0</v>
      </c>
      <c r="V3912" s="13">
        <f t="shared" si="4196"/>
        <v>0</v>
      </c>
      <c r="W3912" s="13">
        <f t="shared" si="4196"/>
        <v>0</v>
      </c>
      <c r="X3912" s="13">
        <f t="shared" si="4196"/>
        <v>1</v>
      </c>
      <c r="Y3912" s="13">
        <f t="shared" si="4196"/>
        <v>1</v>
      </c>
      <c r="Z3912" s="13">
        <f t="shared" si="3023"/>
        <v>0</v>
      </c>
      <c r="AA3912" s="13"/>
      <c r="AB3912" s="13"/>
      <c r="AC3912" s="13"/>
      <c r="AD3912" s="13"/>
      <c r="AE3912" s="13"/>
      <c r="AF3912" s="13"/>
      <c r="AG3912" s="13"/>
      <c r="AH3912" s="13"/>
      <c r="AI3912" s="13"/>
      <c r="AJ3912" s="13"/>
      <c r="AK3912" s="13"/>
      <c r="AL3912" s="13"/>
      <c r="AM3912" s="13"/>
      <c r="AN3912" s="13"/>
      <c r="AO3912" s="13"/>
      <c r="AP3912" s="13"/>
      <c r="AQ3912" s="13"/>
      <c r="AR3912" s="13"/>
      <c r="AS3912" s="13"/>
    </row>
    <row r="3913" ht="14.25" customHeight="1">
      <c r="A3913" s="13" t="s">
        <v>46</v>
      </c>
      <c r="B3913" s="13" t="s">
        <v>53</v>
      </c>
      <c r="C3913" s="13" t="s">
        <v>1987</v>
      </c>
      <c r="D3913" s="13"/>
      <c r="E3913" s="13"/>
      <c r="F3913" s="13"/>
      <c r="G3913" s="13" t="s">
        <v>111</v>
      </c>
      <c r="H3913" s="13" t="s">
        <v>75</v>
      </c>
      <c r="I3913" s="13"/>
      <c r="J3913" s="13"/>
      <c r="K3913" s="15"/>
      <c r="L3913" s="15"/>
      <c r="M3913" s="16"/>
      <c r="N3913" s="16"/>
      <c r="O3913" s="17">
        <v>0.0</v>
      </c>
      <c r="P3913" s="17">
        <v>0.0</v>
      </c>
      <c r="Q3913" s="13"/>
      <c r="R3913" s="29">
        <v>45007.0</v>
      </c>
      <c r="S3913" s="13"/>
      <c r="T3913" s="13">
        <f t="shared" ref="T3913:Y3913" si="4197">IF(ISBLANK(K3913)=TRUE,0,1)</f>
        <v>0</v>
      </c>
      <c r="U3913" s="13">
        <f t="shared" si="4197"/>
        <v>0</v>
      </c>
      <c r="V3913" s="13">
        <f t="shared" si="4197"/>
        <v>0</v>
      </c>
      <c r="W3913" s="13">
        <f t="shared" si="4197"/>
        <v>0</v>
      </c>
      <c r="X3913" s="13">
        <f t="shared" si="4197"/>
        <v>1</v>
      </c>
      <c r="Y3913" s="13">
        <f t="shared" si="4197"/>
        <v>1</v>
      </c>
      <c r="Z3913" s="13">
        <f t="shared" si="3023"/>
        <v>0</v>
      </c>
      <c r="AA3913" s="13"/>
      <c r="AB3913" s="13"/>
      <c r="AC3913" s="13"/>
      <c r="AD3913" s="13"/>
      <c r="AE3913" s="13"/>
      <c r="AF3913" s="13"/>
      <c r="AG3913" s="13"/>
      <c r="AH3913" s="13"/>
      <c r="AI3913" s="13"/>
      <c r="AJ3913" s="13"/>
      <c r="AK3913" s="13"/>
      <c r="AL3913" s="13"/>
      <c r="AM3913" s="13"/>
      <c r="AN3913" s="13"/>
      <c r="AO3913" s="13"/>
      <c r="AP3913" s="13"/>
      <c r="AQ3913" s="13"/>
      <c r="AR3913" s="13"/>
      <c r="AS3913" s="13"/>
    </row>
    <row r="3914" ht="14.25" customHeight="1">
      <c r="A3914" s="13" t="s">
        <v>46</v>
      </c>
      <c r="B3914" s="13" t="s">
        <v>53</v>
      </c>
      <c r="C3914" s="13" t="s">
        <v>1988</v>
      </c>
      <c r="D3914" s="13"/>
      <c r="E3914" s="13"/>
      <c r="F3914" s="13"/>
      <c r="G3914" s="13" t="s">
        <v>111</v>
      </c>
      <c r="H3914" s="13" t="s">
        <v>75</v>
      </c>
      <c r="I3914" s="13"/>
      <c r="J3914" s="13"/>
      <c r="K3914" s="15"/>
      <c r="L3914" s="15"/>
      <c r="M3914" s="16"/>
      <c r="N3914" s="16"/>
      <c r="O3914" s="17">
        <v>0.0</v>
      </c>
      <c r="P3914" s="17">
        <v>0.0</v>
      </c>
      <c r="Q3914" s="13"/>
      <c r="R3914" s="29">
        <v>45007.0</v>
      </c>
      <c r="S3914" s="13"/>
      <c r="T3914" s="13">
        <f t="shared" ref="T3914:Y3914" si="4198">IF(ISBLANK(K3914)=TRUE,0,1)</f>
        <v>0</v>
      </c>
      <c r="U3914" s="13">
        <f t="shared" si="4198"/>
        <v>0</v>
      </c>
      <c r="V3914" s="13">
        <f t="shared" si="4198"/>
        <v>0</v>
      </c>
      <c r="W3914" s="13">
        <f t="shared" si="4198"/>
        <v>0</v>
      </c>
      <c r="X3914" s="13">
        <f t="shared" si="4198"/>
        <v>1</v>
      </c>
      <c r="Y3914" s="13">
        <f t="shared" si="4198"/>
        <v>1</v>
      </c>
      <c r="Z3914" s="13">
        <f t="shared" si="3023"/>
        <v>0</v>
      </c>
      <c r="AA3914" s="13"/>
      <c r="AB3914" s="13"/>
      <c r="AC3914" s="13"/>
      <c r="AD3914" s="13"/>
      <c r="AE3914" s="13"/>
      <c r="AF3914" s="13"/>
      <c r="AG3914" s="13"/>
      <c r="AH3914" s="13"/>
      <c r="AI3914" s="13"/>
      <c r="AJ3914" s="13"/>
      <c r="AK3914" s="13"/>
      <c r="AL3914" s="13"/>
      <c r="AM3914" s="13"/>
      <c r="AN3914" s="13"/>
      <c r="AO3914" s="13"/>
      <c r="AP3914" s="13"/>
      <c r="AQ3914" s="13"/>
      <c r="AR3914" s="13"/>
      <c r="AS3914" s="13"/>
    </row>
    <row r="3915" ht="14.25" customHeight="1">
      <c r="A3915" s="13" t="s">
        <v>46</v>
      </c>
      <c r="B3915" s="13" t="s">
        <v>53</v>
      </c>
      <c r="C3915" s="13" t="s">
        <v>1989</v>
      </c>
      <c r="D3915" s="13"/>
      <c r="E3915" s="13"/>
      <c r="F3915" s="13"/>
      <c r="G3915" s="13" t="s">
        <v>111</v>
      </c>
      <c r="H3915" s="13" t="s">
        <v>75</v>
      </c>
      <c r="I3915" s="13"/>
      <c r="J3915" s="13"/>
      <c r="K3915" s="15"/>
      <c r="L3915" s="15"/>
      <c r="M3915" s="16"/>
      <c r="N3915" s="16"/>
      <c r="O3915" s="17">
        <v>0.0</v>
      </c>
      <c r="P3915" s="17">
        <v>0.0</v>
      </c>
      <c r="Q3915" s="13"/>
      <c r="R3915" s="29">
        <v>45007.0</v>
      </c>
      <c r="S3915" s="13"/>
      <c r="T3915" s="13">
        <f t="shared" ref="T3915:Y3915" si="4199">IF(ISBLANK(K3915)=TRUE,0,1)</f>
        <v>0</v>
      </c>
      <c r="U3915" s="13">
        <f t="shared" si="4199"/>
        <v>0</v>
      </c>
      <c r="V3915" s="13">
        <f t="shared" si="4199"/>
        <v>0</v>
      </c>
      <c r="W3915" s="13">
        <f t="shared" si="4199"/>
        <v>0</v>
      </c>
      <c r="X3915" s="13">
        <f t="shared" si="4199"/>
        <v>1</v>
      </c>
      <c r="Y3915" s="13">
        <f t="shared" si="4199"/>
        <v>1</v>
      </c>
      <c r="Z3915" s="13">
        <f t="shared" si="3023"/>
        <v>0</v>
      </c>
      <c r="AA3915" s="13"/>
      <c r="AB3915" s="13"/>
      <c r="AC3915" s="13"/>
      <c r="AD3915" s="13"/>
      <c r="AE3915" s="13"/>
      <c r="AF3915" s="13"/>
      <c r="AG3915" s="13"/>
      <c r="AH3915" s="13"/>
      <c r="AI3915" s="13"/>
      <c r="AJ3915" s="13"/>
      <c r="AK3915" s="13"/>
      <c r="AL3915" s="13"/>
      <c r="AM3915" s="13"/>
      <c r="AN3915" s="13"/>
      <c r="AO3915" s="13"/>
      <c r="AP3915" s="13"/>
      <c r="AQ3915" s="13"/>
      <c r="AR3915" s="13"/>
      <c r="AS3915" s="13"/>
    </row>
    <row r="3916" ht="14.25" customHeight="1">
      <c r="A3916" s="13" t="s">
        <v>46</v>
      </c>
      <c r="B3916" s="13" t="s">
        <v>53</v>
      </c>
      <c r="C3916" s="13" t="s">
        <v>1990</v>
      </c>
      <c r="D3916" s="13"/>
      <c r="E3916" s="13"/>
      <c r="F3916" s="13"/>
      <c r="G3916" s="13" t="s">
        <v>111</v>
      </c>
      <c r="H3916" s="13" t="s">
        <v>75</v>
      </c>
      <c r="I3916" s="13"/>
      <c r="J3916" s="13"/>
      <c r="K3916" s="15"/>
      <c r="L3916" s="15"/>
      <c r="M3916" s="16"/>
      <c r="N3916" s="16"/>
      <c r="O3916" s="17">
        <v>0.0</v>
      </c>
      <c r="P3916" s="17">
        <v>0.0</v>
      </c>
      <c r="Q3916" s="13"/>
      <c r="R3916" s="29">
        <v>45007.0</v>
      </c>
      <c r="S3916" s="13"/>
      <c r="T3916" s="13">
        <f t="shared" ref="T3916:Y3916" si="4200">IF(ISBLANK(K3916)=TRUE,0,1)</f>
        <v>0</v>
      </c>
      <c r="U3916" s="13">
        <f t="shared" si="4200"/>
        <v>0</v>
      </c>
      <c r="V3916" s="13">
        <f t="shared" si="4200"/>
        <v>0</v>
      </c>
      <c r="W3916" s="13">
        <f t="shared" si="4200"/>
        <v>0</v>
      </c>
      <c r="X3916" s="13">
        <f t="shared" si="4200"/>
        <v>1</v>
      </c>
      <c r="Y3916" s="13">
        <f t="shared" si="4200"/>
        <v>1</v>
      </c>
      <c r="Z3916" s="13">
        <f t="shared" si="3023"/>
        <v>0</v>
      </c>
      <c r="AA3916" s="13"/>
      <c r="AB3916" s="13"/>
      <c r="AC3916" s="13"/>
      <c r="AD3916" s="13"/>
      <c r="AE3916" s="13"/>
      <c r="AF3916" s="13"/>
      <c r="AG3916" s="13"/>
      <c r="AH3916" s="13"/>
      <c r="AI3916" s="13"/>
      <c r="AJ3916" s="13"/>
      <c r="AK3916" s="13"/>
      <c r="AL3916" s="13"/>
      <c r="AM3916" s="13"/>
      <c r="AN3916" s="13"/>
      <c r="AO3916" s="13"/>
      <c r="AP3916" s="13"/>
      <c r="AQ3916" s="13"/>
      <c r="AR3916" s="13"/>
      <c r="AS3916" s="13"/>
    </row>
    <row r="3917" ht="14.25" customHeight="1">
      <c r="A3917" s="13" t="s">
        <v>46</v>
      </c>
      <c r="B3917" s="13" t="s">
        <v>53</v>
      </c>
      <c r="C3917" s="13" t="s">
        <v>1991</v>
      </c>
      <c r="D3917" s="13"/>
      <c r="E3917" s="13"/>
      <c r="F3917" s="13"/>
      <c r="G3917" s="13" t="s">
        <v>111</v>
      </c>
      <c r="H3917" s="13" t="s">
        <v>75</v>
      </c>
      <c r="I3917" s="13"/>
      <c r="J3917" s="13"/>
      <c r="K3917" s="15"/>
      <c r="L3917" s="15"/>
      <c r="M3917" s="16"/>
      <c r="N3917" s="16"/>
      <c r="O3917" s="17">
        <v>0.0</v>
      </c>
      <c r="P3917" s="17">
        <v>0.0</v>
      </c>
      <c r="Q3917" s="13"/>
      <c r="R3917" s="29">
        <v>45007.0</v>
      </c>
      <c r="S3917" s="13"/>
      <c r="T3917" s="13">
        <f t="shared" ref="T3917:Y3917" si="4201">IF(ISBLANK(K3917)=TRUE,0,1)</f>
        <v>0</v>
      </c>
      <c r="U3917" s="13">
        <f t="shared" si="4201"/>
        <v>0</v>
      </c>
      <c r="V3917" s="13">
        <f t="shared" si="4201"/>
        <v>0</v>
      </c>
      <c r="W3917" s="13">
        <f t="shared" si="4201"/>
        <v>0</v>
      </c>
      <c r="X3917" s="13">
        <f t="shared" si="4201"/>
        <v>1</v>
      </c>
      <c r="Y3917" s="13">
        <f t="shared" si="4201"/>
        <v>1</v>
      </c>
      <c r="Z3917" s="13">
        <f t="shared" si="3023"/>
        <v>0</v>
      </c>
      <c r="AA3917" s="13"/>
      <c r="AB3917" s="13"/>
      <c r="AC3917" s="13"/>
      <c r="AD3917" s="13"/>
      <c r="AE3917" s="13"/>
      <c r="AF3917" s="13"/>
      <c r="AG3917" s="13"/>
      <c r="AH3917" s="13"/>
      <c r="AI3917" s="13"/>
      <c r="AJ3917" s="13"/>
      <c r="AK3917" s="13"/>
      <c r="AL3917" s="13"/>
      <c r="AM3917" s="13"/>
      <c r="AN3917" s="13"/>
      <c r="AO3917" s="13"/>
      <c r="AP3917" s="13"/>
      <c r="AQ3917" s="13"/>
      <c r="AR3917" s="13"/>
      <c r="AS3917" s="13"/>
    </row>
    <row r="3918" ht="14.25" customHeight="1">
      <c r="A3918" s="13" t="s">
        <v>36</v>
      </c>
      <c r="B3918" s="13" t="s">
        <v>42</v>
      </c>
      <c r="C3918" s="13" t="s">
        <v>1155</v>
      </c>
      <c r="D3918" s="13" t="s">
        <v>174</v>
      </c>
      <c r="F3918" s="13"/>
      <c r="G3918" s="13" t="s">
        <v>74</v>
      </c>
      <c r="H3918" s="13" t="s">
        <v>75</v>
      </c>
      <c r="I3918" s="13"/>
      <c r="J3918" s="13"/>
      <c r="K3918" s="15">
        <v>1.0</v>
      </c>
      <c r="L3918" s="15">
        <v>1.0</v>
      </c>
      <c r="M3918" s="16"/>
      <c r="N3918" s="16"/>
      <c r="O3918" s="17"/>
      <c r="P3918" s="17"/>
      <c r="Q3918" s="13">
        <f t="shared" ref="Q3918:Q3923" si="4203">K3917+L3917+M3917+N3917+O3917+P3917/6</f>
        <v>0</v>
      </c>
      <c r="R3918" s="13"/>
      <c r="S3918" s="13"/>
      <c r="T3918" s="13">
        <f t="shared" ref="T3918:Y3918" si="4202">IF(ISBLANK(K3918)=TRUE,0,1)</f>
        <v>1</v>
      </c>
      <c r="U3918" s="13">
        <f t="shared" si="4202"/>
        <v>1</v>
      </c>
      <c r="V3918" s="13">
        <f t="shared" si="4202"/>
        <v>0</v>
      </c>
      <c r="W3918" s="13">
        <f t="shared" si="4202"/>
        <v>0</v>
      </c>
      <c r="X3918" s="13">
        <f t="shared" si="4202"/>
        <v>0</v>
      </c>
      <c r="Y3918" s="13">
        <f t="shared" si="4202"/>
        <v>0</v>
      </c>
      <c r="Z3918" s="13">
        <f t="shared" si="3023"/>
        <v>1</v>
      </c>
      <c r="AA3918" s="13"/>
      <c r="AB3918" s="13"/>
      <c r="AC3918" s="13"/>
      <c r="AD3918" s="13"/>
      <c r="AE3918" s="13"/>
      <c r="AF3918" s="13"/>
      <c r="AG3918" s="13"/>
      <c r="AH3918" s="13"/>
      <c r="AI3918" s="13"/>
      <c r="AJ3918" s="13"/>
      <c r="AK3918" s="13"/>
      <c r="AL3918" s="13"/>
      <c r="AM3918" s="13"/>
      <c r="AN3918" s="13"/>
      <c r="AO3918" s="13"/>
      <c r="AP3918" s="13"/>
      <c r="AQ3918" s="13"/>
      <c r="AR3918" s="13"/>
      <c r="AS3918" s="13"/>
    </row>
    <row r="3919" ht="14.25" customHeight="1">
      <c r="A3919" s="13" t="s">
        <v>36</v>
      </c>
      <c r="B3919" s="13" t="s">
        <v>42</v>
      </c>
      <c r="C3919" s="13" t="s">
        <v>1155</v>
      </c>
      <c r="D3919" s="13" t="s">
        <v>175</v>
      </c>
      <c r="F3919" s="13"/>
      <c r="G3919" s="13" t="s">
        <v>74</v>
      </c>
      <c r="H3919" s="13" t="s">
        <v>75</v>
      </c>
      <c r="I3919" s="13"/>
      <c r="J3919" s="13"/>
      <c r="K3919" s="15">
        <v>1.0</v>
      </c>
      <c r="L3919" s="15">
        <v>1.0</v>
      </c>
      <c r="M3919" s="16"/>
      <c r="N3919" s="16"/>
      <c r="O3919" s="17"/>
      <c r="P3919" s="17"/>
      <c r="Q3919" s="13">
        <f t="shared" si="4203"/>
        <v>2</v>
      </c>
      <c r="R3919" s="13"/>
      <c r="S3919" s="13"/>
      <c r="T3919" s="13">
        <f t="shared" ref="T3919:Y3919" si="4204">IF(ISBLANK(K3919)=TRUE,0,1)</f>
        <v>1</v>
      </c>
      <c r="U3919" s="13">
        <f t="shared" si="4204"/>
        <v>1</v>
      </c>
      <c r="V3919" s="13">
        <f t="shared" si="4204"/>
        <v>0</v>
      </c>
      <c r="W3919" s="13">
        <f t="shared" si="4204"/>
        <v>0</v>
      </c>
      <c r="X3919" s="13">
        <f t="shared" si="4204"/>
        <v>0</v>
      </c>
      <c r="Y3919" s="13">
        <f t="shared" si="4204"/>
        <v>0</v>
      </c>
      <c r="Z3919" s="13">
        <f t="shared" si="3023"/>
        <v>1</v>
      </c>
      <c r="AA3919" s="13"/>
      <c r="AB3919" s="13"/>
      <c r="AC3919" s="13"/>
      <c r="AD3919" s="13"/>
      <c r="AE3919" s="13"/>
      <c r="AF3919" s="13"/>
      <c r="AG3919" s="13"/>
      <c r="AH3919" s="13"/>
      <c r="AI3919" s="13"/>
      <c r="AJ3919" s="13"/>
      <c r="AK3919" s="13"/>
      <c r="AL3919" s="13"/>
      <c r="AM3919" s="13"/>
      <c r="AN3919" s="13"/>
      <c r="AO3919" s="13"/>
      <c r="AP3919" s="13"/>
      <c r="AQ3919" s="13"/>
      <c r="AR3919" s="13"/>
      <c r="AS3919" s="13"/>
    </row>
    <row r="3920" ht="14.25" customHeight="1">
      <c r="A3920" s="13" t="s">
        <v>36</v>
      </c>
      <c r="B3920" s="13" t="s">
        <v>42</v>
      </c>
      <c r="C3920" s="13" t="s">
        <v>1155</v>
      </c>
      <c r="D3920" s="13" t="s">
        <v>176</v>
      </c>
      <c r="F3920" s="13"/>
      <c r="G3920" s="13" t="s">
        <v>74</v>
      </c>
      <c r="H3920" s="13" t="s">
        <v>75</v>
      </c>
      <c r="I3920" s="13"/>
      <c r="J3920" s="13"/>
      <c r="K3920" s="15">
        <v>1.0</v>
      </c>
      <c r="L3920" s="15">
        <v>1.0</v>
      </c>
      <c r="M3920" s="16"/>
      <c r="N3920" s="16"/>
      <c r="O3920" s="17"/>
      <c r="P3920" s="17"/>
      <c r="Q3920" s="13">
        <f t="shared" si="4203"/>
        <v>2</v>
      </c>
      <c r="R3920" s="13"/>
      <c r="S3920" s="13"/>
      <c r="T3920" s="13">
        <f t="shared" ref="T3920:Y3920" si="4205">IF(ISBLANK(K3920)=TRUE,0,1)</f>
        <v>1</v>
      </c>
      <c r="U3920" s="13">
        <f t="shared" si="4205"/>
        <v>1</v>
      </c>
      <c r="V3920" s="13">
        <f t="shared" si="4205"/>
        <v>0</v>
      </c>
      <c r="W3920" s="13">
        <f t="shared" si="4205"/>
        <v>0</v>
      </c>
      <c r="X3920" s="13">
        <f t="shared" si="4205"/>
        <v>0</v>
      </c>
      <c r="Y3920" s="13">
        <f t="shared" si="4205"/>
        <v>0</v>
      </c>
      <c r="Z3920" s="13">
        <f t="shared" si="3023"/>
        <v>1</v>
      </c>
      <c r="AA3920" s="13"/>
      <c r="AB3920" s="13"/>
      <c r="AC3920" s="13"/>
      <c r="AD3920" s="13"/>
      <c r="AE3920" s="13"/>
      <c r="AF3920" s="13"/>
      <c r="AG3920" s="13"/>
      <c r="AH3920" s="13"/>
      <c r="AI3920" s="13"/>
      <c r="AJ3920" s="13"/>
      <c r="AK3920" s="13"/>
      <c r="AL3920" s="13"/>
      <c r="AM3920" s="13"/>
      <c r="AN3920" s="13"/>
      <c r="AO3920" s="13"/>
      <c r="AP3920" s="13"/>
      <c r="AQ3920" s="13"/>
      <c r="AR3920" s="13"/>
      <c r="AS3920" s="13"/>
    </row>
    <row r="3921" ht="14.25" customHeight="1">
      <c r="A3921" s="13" t="s">
        <v>36</v>
      </c>
      <c r="B3921" s="13" t="s">
        <v>42</v>
      </c>
      <c r="C3921" s="13" t="s">
        <v>1155</v>
      </c>
      <c r="D3921" s="13" t="s">
        <v>177</v>
      </c>
      <c r="F3921" s="13"/>
      <c r="G3921" s="13" t="s">
        <v>74</v>
      </c>
      <c r="H3921" s="13" t="s">
        <v>75</v>
      </c>
      <c r="I3921" s="13"/>
      <c r="J3921" s="13"/>
      <c r="K3921" s="15">
        <v>1.0</v>
      </c>
      <c r="L3921" s="15">
        <v>1.0</v>
      </c>
      <c r="M3921" s="16"/>
      <c r="N3921" s="16"/>
      <c r="O3921" s="17"/>
      <c r="P3921" s="17"/>
      <c r="Q3921" s="13">
        <f t="shared" si="4203"/>
        <v>2</v>
      </c>
      <c r="R3921" s="13"/>
      <c r="S3921" s="13"/>
      <c r="T3921" s="13">
        <f t="shared" ref="T3921:Y3921" si="4206">IF(ISBLANK(K3921)=TRUE,0,1)</f>
        <v>1</v>
      </c>
      <c r="U3921" s="13">
        <f t="shared" si="4206"/>
        <v>1</v>
      </c>
      <c r="V3921" s="13">
        <f t="shared" si="4206"/>
        <v>0</v>
      </c>
      <c r="W3921" s="13">
        <f t="shared" si="4206"/>
        <v>0</v>
      </c>
      <c r="X3921" s="13">
        <f t="shared" si="4206"/>
        <v>0</v>
      </c>
      <c r="Y3921" s="13">
        <f t="shared" si="4206"/>
        <v>0</v>
      </c>
      <c r="Z3921" s="13">
        <f t="shared" si="3023"/>
        <v>1</v>
      </c>
      <c r="AA3921" s="13"/>
      <c r="AB3921" s="13"/>
      <c r="AC3921" s="13"/>
      <c r="AD3921" s="13"/>
      <c r="AE3921" s="13"/>
      <c r="AF3921" s="13"/>
      <c r="AG3921" s="13"/>
      <c r="AH3921" s="13"/>
      <c r="AI3921" s="13"/>
      <c r="AJ3921" s="13"/>
      <c r="AK3921" s="13"/>
      <c r="AL3921" s="13"/>
      <c r="AM3921" s="13"/>
      <c r="AN3921" s="13"/>
      <c r="AO3921" s="13"/>
      <c r="AP3921" s="13"/>
      <c r="AQ3921" s="13"/>
      <c r="AR3921" s="13"/>
      <c r="AS3921" s="13"/>
    </row>
    <row r="3922" ht="14.25" customHeight="1">
      <c r="A3922" s="13" t="s">
        <v>36</v>
      </c>
      <c r="B3922" s="13" t="s">
        <v>42</v>
      </c>
      <c r="C3922" s="13" t="s">
        <v>1155</v>
      </c>
      <c r="D3922" s="13" t="s">
        <v>178</v>
      </c>
      <c r="F3922" s="13"/>
      <c r="G3922" s="13" t="s">
        <v>74</v>
      </c>
      <c r="H3922" s="13" t="s">
        <v>75</v>
      </c>
      <c r="I3922" s="13"/>
      <c r="J3922" s="13"/>
      <c r="K3922" s="15">
        <v>1.0</v>
      </c>
      <c r="L3922" s="15">
        <v>1.0</v>
      </c>
      <c r="M3922" s="16"/>
      <c r="N3922" s="16"/>
      <c r="O3922" s="17"/>
      <c r="P3922" s="17"/>
      <c r="Q3922" s="13">
        <f t="shared" si="4203"/>
        <v>2</v>
      </c>
      <c r="R3922" s="13"/>
      <c r="S3922" s="13"/>
      <c r="T3922" s="13">
        <f t="shared" ref="T3922:Y3922" si="4207">IF(ISBLANK(K3922)=TRUE,0,1)</f>
        <v>1</v>
      </c>
      <c r="U3922" s="13">
        <f t="shared" si="4207"/>
        <v>1</v>
      </c>
      <c r="V3922" s="13">
        <f t="shared" si="4207"/>
        <v>0</v>
      </c>
      <c r="W3922" s="13">
        <f t="shared" si="4207"/>
        <v>0</v>
      </c>
      <c r="X3922" s="13">
        <f t="shared" si="4207"/>
        <v>0</v>
      </c>
      <c r="Y3922" s="13">
        <f t="shared" si="4207"/>
        <v>0</v>
      </c>
      <c r="Z3922" s="13">
        <f t="shared" si="3023"/>
        <v>1</v>
      </c>
      <c r="AA3922" s="13"/>
      <c r="AB3922" s="13"/>
      <c r="AC3922" s="13"/>
      <c r="AD3922" s="13"/>
      <c r="AE3922" s="13"/>
      <c r="AF3922" s="13"/>
      <c r="AG3922" s="13"/>
      <c r="AH3922" s="13"/>
      <c r="AI3922" s="13"/>
      <c r="AJ3922" s="13"/>
      <c r="AK3922" s="13"/>
      <c r="AL3922" s="13"/>
      <c r="AM3922" s="13"/>
      <c r="AN3922" s="13"/>
      <c r="AO3922" s="13"/>
      <c r="AP3922" s="13"/>
      <c r="AQ3922" s="13"/>
      <c r="AR3922" s="13"/>
      <c r="AS3922" s="13"/>
    </row>
    <row r="3923" ht="14.25" customHeight="1">
      <c r="A3923" s="13" t="s">
        <v>36</v>
      </c>
      <c r="B3923" s="13" t="s">
        <v>42</v>
      </c>
      <c r="C3923" s="13" t="s">
        <v>1155</v>
      </c>
      <c r="D3923" s="13" t="s">
        <v>179</v>
      </c>
      <c r="F3923" s="13"/>
      <c r="G3923" s="13" t="s">
        <v>74</v>
      </c>
      <c r="H3923" s="13" t="s">
        <v>75</v>
      </c>
      <c r="I3923" s="13"/>
      <c r="J3923" s="13"/>
      <c r="K3923" s="15">
        <v>1.0</v>
      </c>
      <c r="L3923" s="15">
        <v>1.0</v>
      </c>
      <c r="M3923" s="16"/>
      <c r="N3923" s="16"/>
      <c r="O3923" s="17"/>
      <c r="P3923" s="17"/>
      <c r="Q3923" s="13">
        <f t="shared" si="4203"/>
        <v>2</v>
      </c>
      <c r="R3923" s="13"/>
      <c r="S3923" s="13"/>
      <c r="T3923" s="13">
        <f t="shared" ref="T3923:Y3923" si="4208">IF(ISBLANK(K3923)=TRUE,0,1)</f>
        <v>1</v>
      </c>
      <c r="U3923" s="13">
        <f t="shared" si="4208"/>
        <v>1</v>
      </c>
      <c r="V3923" s="13">
        <f t="shared" si="4208"/>
        <v>0</v>
      </c>
      <c r="W3923" s="13">
        <f t="shared" si="4208"/>
        <v>0</v>
      </c>
      <c r="X3923" s="13">
        <f t="shared" si="4208"/>
        <v>0</v>
      </c>
      <c r="Y3923" s="13">
        <f t="shared" si="4208"/>
        <v>0</v>
      </c>
      <c r="Z3923" s="13">
        <f t="shared" si="3023"/>
        <v>1</v>
      </c>
      <c r="AA3923" s="13"/>
      <c r="AB3923" s="13"/>
      <c r="AC3923" s="13"/>
      <c r="AD3923" s="13"/>
      <c r="AE3923" s="13"/>
      <c r="AF3923" s="13"/>
      <c r="AG3923" s="13"/>
      <c r="AH3923" s="13"/>
      <c r="AI3923" s="13"/>
      <c r="AJ3923" s="13"/>
      <c r="AK3923" s="13"/>
      <c r="AL3923" s="13"/>
      <c r="AM3923" s="13"/>
      <c r="AN3923" s="13"/>
      <c r="AO3923" s="13"/>
      <c r="AP3923" s="13"/>
      <c r="AQ3923" s="13"/>
      <c r="AR3923" s="13"/>
      <c r="AS3923" s="13"/>
    </row>
    <row r="3924" ht="14.25" customHeight="1">
      <c r="A3924" s="13" t="s">
        <v>36</v>
      </c>
      <c r="B3924" s="13" t="s">
        <v>42</v>
      </c>
      <c r="C3924" s="13" t="s">
        <v>1992</v>
      </c>
      <c r="D3924" s="13"/>
      <c r="F3924" s="13"/>
      <c r="G3924" s="13" t="s">
        <v>74</v>
      </c>
      <c r="H3924" s="13" t="s">
        <v>75</v>
      </c>
      <c r="I3924" s="13"/>
      <c r="J3924" s="13"/>
      <c r="K3924" s="15">
        <v>0.0</v>
      </c>
      <c r="L3924" s="15">
        <v>0.0</v>
      </c>
      <c r="M3924" s="16"/>
      <c r="N3924" s="16"/>
      <c r="O3924" s="17">
        <v>0.0</v>
      </c>
      <c r="P3924" s="17">
        <v>0.0</v>
      </c>
      <c r="Q3924" s="13"/>
      <c r="R3924" s="14">
        <v>44973.0</v>
      </c>
      <c r="S3924" s="13"/>
      <c r="T3924" s="13">
        <f t="shared" ref="T3924:Y3924" si="4209">IF(ISBLANK(K3924)=TRUE,0,1)</f>
        <v>1</v>
      </c>
      <c r="U3924" s="13">
        <f t="shared" si="4209"/>
        <v>1</v>
      </c>
      <c r="V3924" s="13">
        <f t="shared" si="4209"/>
        <v>0</v>
      </c>
      <c r="W3924" s="13">
        <f t="shared" si="4209"/>
        <v>0</v>
      </c>
      <c r="X3924" s="13">
        <f t="shared" si="4209"/>
        <v>1</v>
      </c>
      <c r="Y3924" s="13">
        <f t="shared" si="4209"/>
        <v>1</v>
      </c>
      <c r="Z3924" s="13">
        <f t="shared" si="3023"/>
        <v>0</v>
      </c>
      <c r="AA3924" s="13" t="s">
        <v>561</v>
      </c>
      <c r="AB3924" s="13"/>
      <c r="AC3924" s="13"/>
      <c r="AD3924" s="13"/>
      <c r="AE3924" s="13"/>
      <c r="AF3924" s="13"/>
      <c r="AG3924" s="13"/>
      <c r="AH3924" s="13"/>
      <c r="AI3924" s="13"/>
      <c r="AJ3924" s="13"/>
      <c r="AK3924" s="13"/>
      <c r="AL3924" s="13"/>
      <c r="AM3924" s="13"/>
      <c r="AN3924" s="13"/>
      <c r="AO3924" s="13"/>
      <c r="AP3924" s="13"/>
      <c r="AQ3924" s="13"/>
      <c r="AR3924" s="13"/>
      <c r="AS3924" s="13"/>
    </row>
    <row r="3925" ht="14.25" customHeight="1">
      <c r="A3925" s="13" t="s">
        <v>36</v>
      </c>
      <c r="B3925" s="13" t="s">
        <v>42</v>
      </c>
      <c r="C3925" s="13" t="s">
        <v>1993</v>
      </c>
      <c r="D3925" s="13"/>
      <c r="F3925" s="13"/>
      <c r="G3925" s="13" t="s">
        <v>74</v>
      </c>
      <c r="H3925" s="13" t="s">
        <v>75</v>
      </c>
      <c r="I3925" s="13"/>
      <c r="J3925" s="13"/>
      <c r="K3925" s="15">
        <v>0.0</v>
      </c>
      <c r="L3925" s="15">
        <v>0.0</v>
      </c>
      <c r="M3925" s="16"/>
      <c r="N3925" s="16"/>
      <c r="O3925" s="17">
        <v>0.0</v>
      </c>
      <c r="P3925" s="17">
        <v>0.0</v>
      </c>
      <c r="Q3925" s="13"/>
      <c r="R3925" s="14">
        <v>44973.0</v>
      </c>
      <c r="S3925" s="13"/>
      <c r="T3925" s="13">
        <f t="shared" ref="T3925:Y3925" si="4210">IF(ISBLANK(K3925)=TRUE,0,1)</f>
        <v>1</v>
      </c>
      <c r="U3925" s="13">
        <f t="shared" si="4210"/>
        <v>1</v>
      </c>
      <c r="V3925" s="13">
        <f t="shared" si="4210"/>
        <v>0</v>
      </c>
      <c r="W3925" s="13">
        <f t="shared" si="4210"/>
        <v>0</v>
      </c>
      <c r="X3925" s="13">
        <f t="shared" si="4210"/>
        <v>1</v>
      </c>
      <c r="Y3925" s="13">
        <f t="shared" si="4210"/>
        <v>1</v>
      </c>
      <c r="Z3925" s="13">
        <f t="shared" si="3023"/>
        <v>0</v>
      </c>
      <c r="AA3925" s="13" t="s">
        <v>561</v>
      </c>
      <c r="AB3925" s="13"/>
      <c r="AC3925" s="13"/>
      <c r="AD3925" s="13"/>
      <c r="AE3925" s="13"/>
      <c r="AF3925" s="13"/>
      <c r="AG3925" s="13"/>
      <c r="AH3925" s="13"/>
      <c r="AI3925" s="13"/>
      <c r="AJ3925" s="13"/>
      <c r="AK3925" s="13"/>
      <c r="AL3925" s="13"/>
      <c r="AM3925" s="13"/>
      <c r="AN3925" s="13"/>
      <c r="AO3925" s="13"/>
      <c r="AP3925" s="13"/>
      <c r="AQ3925" s="13"/>
      <c r="AR3925" s="13"/>
      <c r="AS3925" s="13"/>
    </row>
    <row r="3926" ht="14.25" customHeight="1">
      <c r="A3926" s="13" t="s">
        <v>36</v>
      </c>
      <c r="B3926" s="13" t="s">
        <v>42</v>
      </c>
      <c r="C3926" s="13" t="s">
        <v>1994</v>
      </c>
      <c r="D3926" s="13"/>
      <c r="F3926" s="13"/>
      <c r="G3926" s="13" t="s">
        <v>74</v>
      </c>
      <c r="H3926" s="13" t="s">
        <v>75</v>
      </c>
      <c r="I3926" s="13"/>
      <c r="J3926" s="13"/>
      <c r="K3926" s="15">
        <v>0.0</v>
      </c>
      <c r="L3926" s="15">
        <v>0.0</v>
      </c>
      <c r="M3926" s="16"/>
      <c r="N3926" s="16"/>
      <c r="O3926" s="17">
        <v>0.0</v>
      </c>
      <c r="P3926" s="17">
        <v>0.0</v>
      </c>
      <c r="Q3926" s="13"/>
      <c r="R3926" s="14">
        <v>44973.0</v>
      </c>
      <c r="S3926" s="13"/>
      <c r="T3926" s="13">
        <f t="shared" ref="T3926:Y3926" si="4211">IF(ISBLANK(K3926)=TRUE,0,1)</f>
        <v>1</v>
      </c>
      <c r="U3926" s="13">
        <f t="shared" si="4211"/>
        <v>1</v>
      </c>
      <c r="V3926" s="13">
        <f t="shared" si="4211"/>
        <v>0</v>
      </c>
      <c r="W3926" s="13">
        <f t="shared" si="4211"/>
        <v>0</v>
      </c>
      <c r="X3926" s="13">
        <f t="shared" si="4211"/>
        <v>1</v>
      </c>
      <c r="Y3926" s="13">
        <f t="shared" si="4211"/>
        <v>1</v>
      </c>
      <c r="Z3926" s="13">
        <f t="shared" si="3023"/>
        <v>0</v>
      </c>
      <c r="AA3926" s="13" t="s">
        <v>561</v>
      </c>
      <c r="AB3926" s="13"/>
      <c r="AC3926" s="13"/>
      <c r="AD3926" s="13"/>
      <c r="AE3926" s="13"/>
      <c r="AF3926" s="13"/>
      <c r="AG3926" s="13"/>
      <c r="AH3926" s="13"/>
      <c r="AI3926" s="13"/>
      <c r="AJ3926" s="13"/>
      <c r="AK3926" s="13"/>
      <c r="AL3926" s="13"/>
      <c r="AM3926" s="13"/>
      <c r="AN3926" s="13"/>
      <c r="AO3926" s="13"/>
      <c r="AP3926" s="13"/>
      <c r="AQ3926" s="13"/>
      <c r="AR3926" s="13"/>
      <c r="AS3926" s="13"/>
    </row>
    <row r="3927" ht="14.25" customHeight="1">
      <c r="A3927" s="13" t="s">
        <v>36</v>
      </c>
      <c r="B3927" s="13" t="s">
        <v>42</v>
      </c>
      <c r="C3927" s="13" t="s">
        <v>1995</v>
      </c>
      <c r="D3927" s="13"/>
      <c r="F3927" s="13"/>
      <c r="G3927" s="13" t="s">
        <v>74</v>
      </c>
      <c r="H3927" s="13" t="s">
        <v>75</v>
      </c>
      <c r="I3927" s="13"/>
      <c r="J3927" s="13"/>
      <c r="K3927" s="15">
        <v>0.0</v>
      </c>
      <c r="L3927" s="15">
        <v>0.0</v>
      </c>
      <c r="M3927" s="16"/>
      <c r="N3927" s="16"/>
      <c r="O3927" s="17">
        <v>0.0</v>
      </c>
      <c r="P3927" s="17">
        <v>0.0</v>
      </c>
      <c r="Q3927" s="13"/>
      <c r="R3927" s="14">
        <v>44973.0</v>
      </c>
      <c r="S3927" s="13"/>
      <c r="T3927" s="13">
        <f t="shared" ref="T3927:Y3927" si="4212">IF(ISBLANK(K3927)=TRUE,0,1)</f>
        <v>1</v>
      </c>
      <c r="U3927" s="13">
        <f t="shared" si="4212"/>
        <v>1</v>
      </c>
      <c r="V3927" s="13">
        <f t="shared" si="4212"/>
        <v>0</v>
      </c>
      <c r="W3927" s="13">
        <f t="shared" si="4212"/>
        <v>0</v>
      </c>
      <c r="X3927" s="13">
        <f t="shared" si="4212"/>
        <v>1</v>
      </c>
      <c r="Y3927" s="13">
        <f t="shared" si="4212"/>
        <v>1</v>
      </c>
      <c r="Z3927" s="13">
        <f t="shared" si="3023"/>
        <v>0</v>
      </c>
      <c r="AA3927" s="13" t="s">
        <v>561</v>
      </c>
      <c r="AB3927" s="13"/>
      <c r="AC3927" s="13"/>
      <c r="AD3927" s="13"/>
      <c r="AE3927" s="13"/>
      <c r="AF3927" s="13"/>
      <c r="AG3927" s="13"/>
      <c r="AH3927" s="13"/>
      <c r="AI3927" s="13"/>
      <c r="AJ3927" s="13"/>
      <c r="AK3927" s="13"/>
      <c r="AL3927" s="13"/>
      <c r="AM3927" s="13"/>
      <c r="AN3927" s="13"/>
      <c r="AO3927" s="13"/>
      <c r="AP3927" s="13"/>
      <c r="AQ3927" s="13"/>
      <c r="AR3927" s="13"/>
      <c r="AS3927" s="13"/>
    </row>
    <row r="3928" ht="14.25" customHeight="1">
      <c r="A3928" s="13" t="s">
        <v>36</v>
      </c>
      <c r="B3928" s="13" t="s">
        <v>42</v>
      </c>
      <c r="C3928" s="13" t="s">
        <v>1996</v>
      </c>
      <c r="D3928" s="13"/>
      <c r="F3928" s="13"/>
      <c r="G3928" s="13" t="s">
        <v>111</v>
      </c>
      <c r="H3928" s="13" t="s">
        <v>75</v>
      </c>
      <c r="I3928" s="13"/>
      <c r="J3928" s="13"/>
      <c r="K3928" s="15"/>
      <c r="L3928" s="15"/>
      <c r="M3928" s="16"/>
      <c r="N3928" s="16"/>
      <c r="O3928" s="17">
        <v>0.0</v>
      </c>
      <c r="P3928" s="17">
        <v>0.0</v>
      </c>
      <c r="Q3928" s="13"/>
      <c r="R3928" s="14">
        <v>44973.0</v>
      </c>
      <c r="S3928" s="13"/>
      <c r="T3928" s="13">
        <f t="shared" ref="T3928:Y3928" si="4213">IF(ISBLANK(K3928)=TRUE,0,1)</f>
        <v>0</v>
      </c>
      <c r="U3928" s="13">
        <f t="shared" si="4213"/>
        <v>0</v>
      </c>
      <c r="V3928" s="13">
        <f t="shared" si="4213"/>
        <v>0</v>
      </c>
      <c r="W3928" s="13">
        <f t="shared" si="4213"/>
        <v>0</v>
      </c>
      <c r="X3928" s="13">
        <f t="shared" si="4213"/>
        <v>1</v>
      </c>
      <c r="Y3928" s="13">
        <f t="shared" si="4213"/>
        <v>1</v>
      </c>
      <c r="Z3928" s="13">
        <f t="shared" si="3023"/>
        <v>0</v>
      </c>
      <c r="AA3928" s="13"/>
      <c r="AB3928" s="13"/>
      <c r="AC3928" s="13"/>
      <c r="AD3928" s="13"/>
      <c r="AE3928" s="13"/>
      <c r="AF3928" s="13"/>
      <c r="AG3928" s="13"/>
      <c r="AH3928" s="13"/>
      <c r="AI3928" s="13"/>
      <c r="AJ3928" s="13"/>
      <c r="AK3928" s="13"/>
      <c r="AL3928" s="13"/>
      <c r="AM3928" s="13"/>
      <c r="AN3928" s="13"/>
      <c r="AO3928" s="13"/>
      <c r="AP3928" s="13"/>
      <c r="AQ3928" s="13"/>
      <c r="AR3928" s="13"/>
      <c r="AS3928" s="13"/>
    </row>
    <row r="3929" ht="14.25" customHeight="1">
      <c r="A3929" s="13" t="s">
        <v>36</v>
      </c>
      <c r="B3929" s="13" t="s">
        <v>42</v>
      </c>
      <c r="C3929" s="13" t="s">
        <v>1997</v>
      </c>
      <c r="D3929" s="13"/>
      <c r="F3929" s="13"/>
      <c r="G3929" s="13" t="s">
        <v>111</v>
      </c>
      <c r="H3929" s="13" t="s">
        <v>75</v>
      </c>
      <c r="I3929" s="13"/>
      <c r="J3929" s="13"/>
      <c r="K3929" s="15"/>
      <c r="L3929" s="15"/>
      <c r="M3929" s="16"/>
      <c r="N3929" s="16"/>
      <c r="O3929" s="17">
        <v>0.0</v>
      </c>
      <c r="P3929" s="17">
        <v>0.0</v>
      </c>
      <c r="Q3929" s="13"/>
      <c r="R3929" s="14">
        <v>44973.0</v>
      </c>
      <c r="S3929" s="13"/>
      <c r="T3929" s="13">
        <f t="shared" ref="T3929:Y3929" si="4214">IF(ISBLANK(K3929)=TRUE,0,1)</f>
        <v>0</v>
      </c>
      <c r="U3929" s="13">
        <f t="shared" si="4214"/>
        <v>0</v>
      </c>
      <c r="V3929" s="13">
        <f t="shared" si="4214"/>
        <v>0</v>
      </c>
      <c r="W3929" s="13">
        <f t="shared" si="4214"/>
        <v>0</v>
      </c>
      <c r="X3929" s="13">
        <f t="shared" si="4214"/>
        <v>1</v>
      </c>
      <c r="Y3929" s="13">
        <f t="shared" si="4214"/>
        <v>1</v>
      </c>
      <c r="Z3929" s="13">
        <f t="shared" si="3023"/>
        <v>0</v>
      </c>
      <c r="AA3929" s="13"/>
      <c r="AB3929" s="13"/>
      <c r="AC3929" s="13"/>
      <c r="AD3929" s="13"/>
      <c r="AE3929" s="13"/>
      <c r="AF3929" s="13"/>
      <c r="AG3929" s="13"/>
      <c r="AH3929" s="13"/>
      <c r="AI3929" s="13"/>
      <c r="AJ3929" s="13"/>
      <c r="AK3929" s="13"/>
      <c r="AL3929" s="13"/>
      <c r="AM3929" s="13"/>
      <c r="AN3929" s="13"/>
      <c r="AO3929" s="13"/>
      <c r="AP3929" s="13"/>
      <c r="AQ3929" s="13"/>
      <c r="AR3929" s="13"/>
      <c r="AS3929" s="13"/>
    </row>
    <row r="3930" ht="14.25" customHeight="1">
      <c r="A3930" s="13" t="s">
        <v>36</v>
      </c>
      <c r="B3930" s="13" t="s">
        <v>42</v>
      </c>
      <c r="C3930" s="13" t="s">
        <v>1998</v>
      </c>
      <c r="D3930" s="13"/>
      <c r="F3930" s="13"/>
      <c r="G3930" s="13" t="s">
        <v>111</v>
      </c>
      <c r="H3930" s="13" t="s">
        <v>75</v>
      </c>
      <c r="I3930" s="13"/>
      <c r="J3930" s="13"/>
      <c r="K3930" s="15"/>
      <c r="L3930" s="15"/>
      <c r="M3930" s="16"/>
      <c r="N3930" s="16"/>
      <c r="O3930" s="17">
        <v>0.0</v>
      </c>
      <c r="P3930" s="17">
        <v>0.0</v>
      </c>
      <c r="Q3930" s="13"/>
      <c r="R3930" s="14">
        <v>44973.0</v>
      </c>
      <c r="S3930" s="13"/>
      <c r="T3930" s="13">
        <f t="shared" ref="T3930:Y3930" si="4215">IF(ISBLANK(K3930)=TRUE,0,1)</f>
        <v>0</v>
      </c>
      <c r="U3930" s="13">
        <f t="shared" si="4215"/>
        <v>0</v>
      </c>
      <c r="V3930" s="13">
        <f t="shared" si="4215"/>
        <v>0</v>
      </c>
      <c r="W3930" s="13">
        <f t="shared" si="4215"/>
        <v>0</v>
      </c>
      <c r="X3930" s="13">
        <f t="shared" si="4215"/>
        <v>1</v>
      </c>
      <c r="Y3930" s="13">
        <f t="shared" si="4215"/>
        <v>1</v>
      </c>
      <c r="Z3930" s="13">
        <f t="shared" si="3023"/>
        <v>0</v>
      </c>
      <c r="AA3930" s="13"/>
      <c r="AB3930" s="13"/>
      <c r="AC3930" s="13"/>
      <c r="AD3930" s="13"/>
      <c r="AE3930" s="13"/>
      <c r="AF3930" s="13"/>
      <c r="AG3930" s="13"/>
      <c r="AH3930" s="13"/>
      <c r="AI3930" s="13"/>
      <c r="AJ3930" s="13"/>
      <c r="AK3930" s="13"/>
      <c r="AL3930" s="13"/>
      <c r="AM3930" s="13"/>
      <c r="AN3930" s="13"/>
      <c r="AO3930" s="13"/>
      <c r="AP3930" s="13"/>
      <c r="AQ3930" s="13"/>
      <c r="AR3930" s="13"/>
      <c r="AS3930" s="13"/>
    </row>
    <row r="3931" ht="14.25" customHeight="1">
      <c r="A3931" s="13" t="s">
        <v>36</v>
      </c>
      <c r="B3931" s="13" t="s">
        <v>42</v>
      </c>
      <c r="C3931" s="13" t="s">
        <v>1999</v>
      </c>
      <c r="D3931" s="13"/>
      <c r="F3931" s="13"/>
      <c r="G3931" s="13" t="s">
        <v>111</v>
      </c>
      <c r="H3931" s="13" t="s">
        <v>75</v>
      </c>
      <c r="I3931" s="13"/>
      <c r="J3931" s="13"/>
      <c r="K3931" s="15"/>
      <c r="L3931" s="15"/>
      <c r="M3931" s="16"/>
      <c r="N3931" s="16"/>
      <c r="O3931" s="17">
        <v>0.0</v>
      </c>
      <c r="P3931" s="17">
        <v>0.0</v>
      </c>
      <c r="Q3931" s="13"/>
      <c r="R3931" s="14">
        <v>44973.0</v>
      </c>
      <c r="S3931" s="13"/>
      <c r="T3931" s="13">
        <f t="shared" ref="T3931:Y3931" si="4216">IF(ISBLANK(K3931)=TRUE,0,1)</f>
        <v>0</v>
      </c>
      <c r="U3931" s="13">
        <f t="shared" si="4216"/>
        <v>0</v>
      </c>
      <c r="V3931" s="13">
        <f t="shared" si="4216"/>
        <v>0</v>
      </c>
      <c r="W3931" s="13">
        <f t="shared" si="4216"/>
        <v>0</v>
      </c>
      <c r="X3931" s="13">
        <f t="shared" si="4216"/>
        <v>1</v>
      </c>
      <c r="Y3931" s="13">
        <f t="shared" si="4216"/>
        <v>1</v>
      </c>
      <c r="Z3931" s="13">
        <f t="shared" si="3023"/>
        <v>0</v>
      </c>
      <c r="AA3931" s="13" t="s">
        <v>561</v>
      </c>
      <c r="AB3931" s="13"/>
      <c r="AC3931" s="13"/>
      <c r="AD3931" s="13"/>
      <c r="AE3931" s="13"/>
      <c r="AF3931" s="13"/>
      <c r="AG3931" s="13"/>
      <c r="AH3931" s="13"/>
      <c r="AI3931" s="13"/>
      <c r="AJ3931" s="13"/>
      <c r="AK3931" s="13"/>
      <c r="AL3931" s="13"/>
      <c r="AM3931" s="13"/>
      <c r="AN3931" s="13"/>
      <c r="AO3931" s="13"/>
      <c r="AP3931" s="13"/>
      <c r="AQ3931" s="13"/>
      <c r="AR3931" s="13"/>
      <c r="AS3931" s="13"/>
    </row>
    <row r="3932" ht="14.25" customHeight="1">
      <c r="A3932" s="13" t="s">
        <v>36</v>
      </c>
      <c r="B3932" s="13" t="s">
        <v>42</v>
      </c>
      <c r="C3932" s="13" t="s">
        <v>2000</v>
      </c>
      <c r="D3932" s="13"/>
      <c r="F3932" s="13"/>
      <c r="G3932" s="13" t="s">
        <v>111</v>
      </c>
      <c r="H3932" s="13" t="s">
        <v>75</v>
      </c>
      <c r="I3932" s="13"/>
      <c r="J3932" s="13"/>
      <c r="K3932" s="15">
        <v>0.0</v>
      </c>
      <c r="L3932" s="15">
        <v>0.0</v>
      </c>
      <c r="M3932" s="16"/>
      <c r="N3932" s="16"/>
      <c r="O3932" s="17">
        <v>0.0</v>
      </c>
      <c r="P3932" s="17">
        <v>0.0</v>
      </c>
      <c r="Q3932" s="13"/>
      <c r="R3932" s="14">
        <v>44973.0</v>
      </c>
      <c r="S3932" s="13"/>
      <c r="T3932" s="13">
        <f t="shared" ref="T3932:Y3932" si="4217">IF(ISBLANK(K3932)=TRUE,0,1)</f>
        <v>1</v>
      </c>
      <c r="U3932" s="13">
        <f t="shared" si="4217"/>
        <v>1</v>
      </c>
      <c r="V3932" s="13">
        <f t="shared" si="4217"/>
        <v>0</v>
      </c>
      <c r="W3932" s="13">
        <f t="shared" si="4217"/>
        <v>0</v>
      </c>
      <c r="X3932" s="13">
        <f t="shared" si="4217"/>
        <v>1</v>
      </c>
      <c r="Y3932" s="13">
        <f t="shared" si="4217"/>
        <v>1</v>
      </c>
      <c r="Z3932" s="13">
        <f t="shared" si="3023"/>
        <v>0</v>
      </c>
      <c r="AA3932" s="13" t="s">
        <v>561</v>
      </c>
      <c r="AB3932" s="13"/>
      <c r="AC3932" s="13"/>
      <c r="AD3932" s="13"/>
      <c r="AE3932" s="13"/>
      <c r="AF3932" s="13"/>
      <c r="AG3932" s="13"/>
      <c r="AH3932" s="13"/>
      <c r="AI3932" s="13"/>
      <c r="AJ3932" s="13"/>
      <c r="AK3932" s="13"/>
      <c r="AL3932" s="13"/>
      <c r="AM3932" s="13"/>
      <c r="AN3932" s="13"/>
      <c r="AO3932" s="13"/>
      <c r="AP3932" s="13"/>
      <c r="AQ3932" s="13"/>
      <c r="AR3932" s="13"/>
      <c r="AS3932" s="13"/>
    </row>
    <row r="3933" ht="14.25" customHeight="1">
      <c r="A3933" s="13" t="s">
        <v>36</v>
      </c>
      <c r="B3933" s="13" t="s">
        <v>42</v>
      </c>
      <c r="C3933" s="13" t="s">
        <v>2001</v>
      </c>
      <c r="D3933" s="13"/>
      <c r="F3933" s="13"/>
      <c r="G3933" s="13" t="s">
        <v>111</v>
      </c>
      <c r="H3933" s="13" t="s">
        <v>75</v>
      </c>
      <c r="I3933" s="13"/>
      <c r="J3933" s="13"/>
      <c r="K3933" s="15">
        <v>0.0</v>
      </c>
      <c r="L3933" s="15">
        <v>0.0</v>
      </c>
      <c r="M3933" s="16"/>
      <c r="N3933" s="16"/>
      <c r="O3933" s="17">
        <v>0.0</v>
      </c>
      <c r="P3933" s="17">
        <v>0.0</v>
      </c>
      <c r="Q3933" s="13"/>
      <c r="R3933" s="14">
        <v>44973.0</v>
      </c>
      <c r="S3933" s="13"/>
      <c r="T3933" s="13">
        <f t="shared" ref="T3933:Y3933" si="4218">IF(ISBLANK(K3933)=TRUE,0,1)</f>
        <v>1</v>
      </c>
      <c r="U3933" s="13">
        <f t="shared" si="4218"/>
        <v>1</v>
      </c>
      <c r="V3933" s="13">
        <f t="shared" si="4218"/>
        <v>0</v>
      </c>
      <c r="W3933" s="13">
        <f t="shared" si="4218"/>
        <v>0</v>
      </c>
      <c r="X3933" s="13">
        <f t="shared" si="4218"/>
        <v>1</v>
      </c>
      <c r="Y3933" s="13">
        <f t="shared" si="4218"/>
        <v>1</v>
      </c>
      <c r="Z3933" s="13">
        <f t="shared" si="3023"/>
        <v>0</v>
      </c>
      <c r="AA3933" s="13" t="s">
        <v>561</v>
      </c>
      <c r="AB3933" s="13"/>
      <c r="AC3933" s="13"/>
      <c r="AD3933" s="13"/>
      <c r="AE3933" s="13"/>
      <c r="AF3933" s="13"/>
      <c r="AG3933" s="13"/>
      <c r="AH3933" s="13"/>
      <c r="AI3933" s="13"/>
      <c r="AJ3933" s="13"/>
      <c r="AK3933" s="13"/>
      <c r="AL3933" s="13"/>
      <c r="AM3933" s="13"/>
      <c r="AN3933" s="13"/>
      <c r="AO3933" s="13"/>
      <c r="AP3933" s="13"/>
      <c r="AQ3933" s="13"/>
      <c r="AR3933" s="13"/>
      <c r="AS3933" s="13"/>
    </row>
    <row r="3934" ht="14.25" customHeight="1">
      <c r="A3934" s="13" t="s">
        <v>36</v>
      </c>
      <c r="B3934" s="13" t="s">
        <v>42</v>
      </c>
      <c r="C3934" s="13" t="s">
        <v>2002</v>
      </c>
      <c r="D3934" s="13"/>
      <c r="F3934" s="13"/>
      <c r="G3934" s="13" t="s">
        <v>111</v>
      </c>
      <c r="H3934" s="13" t="s">
        <v>75</v>
      </c>
      <c r="I3934" s="13"/>
      <c r="J3934" s="13"/>
      <c r="K3934" s="15">
        <v>0.0</v>
      </c>
      <c r="L3934" s="15">
        <v>0.0</v>
      </c>
      <c r="M3934" s="16"/>
      <c r="N3934" s="16"/>
      <c r="O3934" s="17">
        <v>0.0</v>
      </c>
      <c r="P3934" s="17">
        <v>0.0</v>
      </c>
      <c r="Q3934" s="13"/>
      <c r="R3934" s="14">
        <v>44973.0</v>
      </c>
      <c r="S3934" s="13"/>
      <c r="T3934" s="13">
        <f t="shared" ref="T3934:Y3934" si="4219">IF(ISBLANK(K3934)=TRUE,0,1)</f>
        <v>1</v>
      </c>
      <c r="U3934" s="13">
        <f t="shared" si="4219"/>
        <v>1</v>
      </c>
      <c r="V3934" s="13">
        <f t="shared" si="4219"/>
        <v>0</v>
      </c>
      <c r="W3934" s="13">
        <f t="shared" si="4219"/>
        <v>0</v>
      </c>
      <c r="X3934" s="13">
        <f t="shared" si="4219"/>
        <v>1</v>
      </c>
      <c r="Y3934" s="13">
        <f t="shared" si="4219"/>
        <v>1</v>
      </c>
      <c r="Z3934" s="13">
        <f t="shared" si="3023"/>
        <v>0</v>
      </c>
      <c r="AA3934" s="13" t="s">
        <v>561</v>
      </c>
      <c r="AB3934" s="13"/>
      <c r="AC3934" s="13"/>
      <c r="AD3934" s="13"/>
      <c r="AE3934" s="13"/>
      <c r="AF3934" s="13"/>
      <c r="AG3934" s="13"/>
      <c r="AH3934" s="13"/>
      <c r="AI3934" s="13"/>
      <c r="AJ3934" s="13"/>
      <c r="AK3934" s="13"/>
      <c r="AL3934" s="13"/>
      <c r="AM3934" s="13"/>
      <c r="AN3934" s="13"/>
      <c r="AO3934" s="13"/>
      <c r="AP3934" s="13"/>
      <c r="AQ3934" s="13"/>
      <c r="AR3934" s="13"/>
      <c r="AS3934" s="13"/>
    </row>
    <row r="3935" ht="14.25" customHeight="1">
      <c r="A3935" s="13" t="s">
        <v>36</v>
      </c>
      <c r="B3935" s="13" t="s">
        <v>42</v>
      </c>
      <c r="C3935" s="13" t="s">
        <v>2003</v>
      </c>
      <c r="D3935" s="13"/>
      <c r="F3935" s="13"/>
      <c r="G3935" s="13" t="s">
        <v>111</v>
      </c>
      <c r="H3935" s="13" t="s">
        <v>75</v>
      </c>
      <c r="I3935" s="13"/>
      <c r="J3935" s="13"/>
      <c r="K3935" s="15">
        <v>0.0</v>
      </c>
      <c r="L3935" s="15">
        <v>0.0</v>
      </c>
      <c r="M3935" s="16"/>
      <c r="N3935" s="16"/>
      <c r="O3935" s="17">
        <v>0.0</v>
      </c>
      <c r="P3935" s="17">
        <v>0.0</v>
      </c>
      <c r="Q3935" s="13"/>
      <c r="R3935" s="14">
        <v>44973.0</v>
      </c>
      <c r="S3935" s="13"/>
      <c r="T3935" s="13">
        <f t="shared" ref="T3935:Y3935" si="4220">IF(ISBLANK(K3935)=TRUE,0,1)</f>
        <v>1</v>
      </c>
      <c r="U3935" s="13">
        <f t="shared" si="4220"/>
        <v>1</v>
      </c>
      <c r="V3935" s="13">
        <f t="shared" si="4220"/>
        <v>0</v>
      </c>
      <c r="W3935" s="13">
        <f t="shared" si="4220"/>
        <v>0</v>
      </c>
      <c r="X3935" s="13">
        <f t="shared" si="4220"/>
        <v>1</v>
      </c>
      <c r="Y3935" s="13">
        <f t="shared" si="4220"/>
        <v>1</v>
      </c>
      <c r="Z3935" s="13">
        <f t="shared" si="3023"/>
        <v>0</v>
      </c>
      <c r="AA3935" s="13" t="s">
        <v>561</v>
      </c>
      <c r="AB3935" s="13"/>
      <c r="AC3935" s="13"/>
      <c r="AD3935" s="13"/>
      <c r="AE3935" s="13"/>
      <c r="AF3935" s="13"/>
      <c r="AG3935" s="13"/>
      <c r="AH3935" s="13"/>
      <c r="AI3935" s="13"/>
      <c r="AJ3935" s="13"/>
      <c r="AK3935" s="13"/>
      <c r="AL3935" s="13"/>
      <c r="AM3935" s="13"/>
      <c r="AN3935" s="13"/>
      <c r="AO3935" s="13"/>
      <c r="AP3935" s="13"/>
      <c r="AQ3935" s="13"/>
      <c r="AR3935" s="13"/>
      <c r="AS3935" s="13"/>
    </row>
    <row r="3936" ht="14.25" customHeight="1">
      <c r="A3936" s="13" t="s">
        <v>36</v>
      </c>
      <c r="B3936" s="13" t="s">
        <v>42</v>
      </c>
      <c r="C3936" s="13" t="s">
        <v>2004</v>
      </c>
      <c r="D3936" s="13"/>
      <c r="F3936" s="13"/>
      <c r="G3936" s="13" t="s">
        <v>111</v>
      </c>
      <c r="H3936" s="13" t="s">
        <v>75</v>
      </c>
      <c r="I3936" s="13"/>
      <c r="J3936" s="13"/>
      <c r="K3936" s="15">
        <v>0.0</v>
      </c>
      <c r="L3936" s="15">
        <v>0.0</v>
      </c>
      <c r="M3936" s="16"/>
      <c r="N3936" s="16"/>
      <c r="O3936" s="17">
        <v>0.0</v>
      </c>
      <c r="P3936" s="17">
        <v>0.0</v>
      </c>
      <c r="Q3936" s="13"/>
      <c r="R3936" s="14">
        <v>44973.0</v>
      </c>
      <c r="S3936" s="13"/>
      <c r="T3936" s="13">
        <f t="shared" ref="T3936:Y3936" si="4221">IF(ISBLANK(K3936)=TRUE,0,1)</f>
        <v>1</v>
      </c>
      <c r="U3936" s="13">
        <f t="shared" si="4221"/>
        <v>1</v>
      </c>
      <c r="V3936" s="13">
        <f t="shared" si="4221"/>
        <v>0</v>
      </c>
      <c r="W3936" s="13">
        <f t="shared" si="4221"/>
        <v>0</v>
      </c>
      <c r="X3936" s="13">
        <f t="shared" si="4221"/>
        <v>1</v>
      </c>
      <c r="Y3936" s="13">
        <f t="shared" si="4221"/>
        <v>1</v>
      </c>
      <c r="Z3936" s="13">
        <f t="shared" si="3023"/>
        <v>0</v>
      </c>
      <c r="AA3936" s="13" t="s">
        <v>561</v>
      </c>
      <c r="AB3936" s="13"/>
      <c r="AC3936" s="13"/>
      <c r="AD3936" s="13"/>
      <c r="AE3936" s="13"/>
      <c r="AF3936" s="13"/>
      <c r="AG3936" s="13"/>
      <c r="AH3936" s="13"/>
      <c r="AI3936" s="13"/>
      <c r="AJ3936" s="13"/>
      <c r="AK3936" s="13"/>
      <c r="AL3936" s="13"/>
      <c r="AM3936" s="13"/>
      <c r="AN3936" s="13"/>
      <c r="AO3936" s="13"/>
      <c r="AP3936" s="13"/>
      <c r="AQ3936" s="13"/>
      <c r="AR3936" s="13"/>
      <c r="AS3936" s="13"/>
    </row>
    <row r="3937" ht="14.25" customHeight="1">
      <c r="A3937" s="13" t="s">
        <v>46</v>
      </c>
      <c r="B3937" s="13" t="s">
        <v>53</v>
      </c>
      <c r="C3937" s="13" t="s">
        <v>2005</v>
      </c>
      <c r="D3937" s="13"/>
      <c r="E3937" s="13"/>
      <c r="F3937" s="13"/>
      <c r="G3937" s="13" t="s">
        <v>111</v>
      </c>
      <c r="H3937" s="13" t="s">
        <v>75</v>
      </c>
      <c r="I3937" s="13"/>
      <c r="J3937" s="13"/>
      <c r="K3937" s="15"/>
      <c r="L3937" s="15"/>
      <c r="M3937" s="16"/>
      <c r="N3937" s="16"/>
      <c r="O3937" s="17">
        <v>0.0</v>
      </c>
      <c r="P3937" s="17">
        <v>0.0</v>
      </c>
      <c r="Q3937" s="13"/>
      <c r="R3937" s="29">
        <v>45007.0</v>
      </c>
      <c r="S3937" s="13"/>
      <c r="T3937" s="13">
        <f t="shared" ref="T3937:Y3937" si="4222">IF(ISBLANK(K3937)=TRUE,0,1)</f>
        <v>0</v>
      </c>
      <c r="U3937" s="13">
        <f t="shared" si="4222"/>
        <v>0</v>
      </c>
      <c r="V3937" s="13">
        <f t="shared" si="4222"/>
        <v>0</v>
      </c>
      <c r="W3937" s="13">
        <f t="shared" si="4222"/>
        <v>0</v>
      </c>
      <c r="X3937" s="13">
        <f t="shared" si="4222"/>
        <v>1</v>
      </c>
      <c r="Y3937" s="13">
        <f t="shared" si="4222"/>
        <v>1</v>
      </c>
      <c r="Z3937" s="13">
        <f t="shared" si="3023"/>
        <v>0</v>
      </c>
      <c r="AA3937" s="13"/>
      <c r="AB3937" s="13"/>
      <c r="AC3937" s="13"/>
      <c r="AD3937" s="13"/>
      <c r="AE3937" s="13"/>
      <c r="AF3937" s="13"/>
      <c r="AG3937" s="13"/>
      <c r="AH3937" s="13"/>
      <c r="AI3937" s="13"/>
      <c r="AJ3937" s="13"/>
      <c r="AK3937" s="13"/>
      <c r="AL3937" s="13"/>
      <c r="AM3937" s="13"/>
      <c r="AN3937" s="13"/>
      <c r="AO3937" s="13"/>
      <c r="AP3937" s="13"/>
      <c r="AQ3937" s="13"/>
      <c r="AR3937" s="13"/>
      <c r="AS3937" s="13"/>
    </row>
    <row r="3938" ht="14.25" customHeight="1">
      <c r="A3938" s="13" t="s">
        <v>46</v>
      </c>
      <c r="B3938" s="13" t="s">
        <v>53</v>
      </c>
      <c r="C3938" s="13" t="s">
        <v>2006</v>
      </c>
      <c r="D3938" s="13"/>
      <c r="E3938" s="13"/>
      <c r="F3938" s="13"/>
      <c r="G3938" s="13" t="s">
        <v>111</v>
      </c>
      <c r="H3938" s="13" t="s">
        <v>75</v>
      </c>
      <c r="I3938" s="13"/>
      <c r="J3938" s="13"/>
      <c r="K3938" s="15"/>
      <c r="L3938" s="15"/>
      <c r="M3938" s="16"/>
      <c r="N3938" s="16"/>
      <c r="O3938" s="17">
        <v>0.0</v>
      </c>
      <c r="P3938" s="17">
        <v>0.0</v>
      </c>
      <c r="Q3938" s="13"/>
      <c r="R3938" s="29">
        <v>45007.0</v>
      </c>
      <c r="S3938" s="13"/>
      <c r="T3938" s="13">
        <f t="shared" ref="T3938:Y3938" si="4223">IF(ISBLANK(K3938)=TRUE,0,1)</f>
        <v>0</v>
      </c>
      <c r="U3938" s="13">
        <f t="shared" si="4223"/>
        <v>0</v>
      </c>
      <c r="V3938" s="13">
        <f t="shared" si="4223"/>
        <v>0</v>
      </c>
      <c r="W3938" s="13">
        <f t="shared" si="4223"/>
        <v>0</v>
      </c>
      <c r="X3938" s="13">
        <f t="shared" si="4223"/>
        <v>1</v>
      </c>
      <c r="Y3938" s="13">
        <f t="shared" si="4223"/>
        <v>1</v>
      </c>
      <c r="Z3938" s="13">
        <f t="shared" si="3023"/>
        <v>0</v>
      </c>
      <c r="AA3938" s="13"/>
      <c r="AB3938" s="13"/>
      <c r="AC3938" s="13"/>
      <c r="AD3938" s="13"/>
      <c r="AE3938" s="13"/>
      <c r="AF3938" s="13"/>
      <c r="AG3938" s="13"/>
      <c r="AH3938" s="13"/>
      <c r="AI3938" s="13"/>
      <c r="AJ3938" s="13"/>
      <c r="AK3938" s="13"/>
      <c r="AL3938" s="13"/>
      <c r="AM3938" s="13"/>
      <c r="AN3938" s="13"/>
      <c r="AO3938" s="13"/>
      <c r="AP3938" s="13"/>
      <c r="AQ3938" s="13"/>
      <c r="AR3938" s="13"/>
      <c r="AS3938" s="13"/>
    </row>
    <row r="3939" ht="14.25" customHeight="1">
      <c r="A3939" s="13" t="s">
        <v>46</v>
      </c>
      <c r="B3939" s="13" t="s">
        <v>53</v>
      </c>
      <c r="C3939" s="13" t="s">
        <v>2007</v>
      </c>
      <c r="D3939" s="13"/>
      <c r="E3939" s="13"/>
      <c r="F3939" s="13"/>
      <c r="G3939" s="13" t="s">
        <v>111</v>
      </c>
      <c r="H3939" s="13" t="s">
        <v>75</v>
      </c>
      <c r="I3939" s="13"/>
      <c r="J3939" s="13"/>
      <c r="K3939" s="15"/>
      <c r="L3939" s="15"/>
      <c r="M3939" s="16"/>
      <c r="N3939" s="16"/>
      <c r="O3939" s="17">
        <v>0.0</v>
      </c>
      <c r="P3939" s="17">
        <v>0.0</v>
      </c>
      <c r="Q3939" s="13"/>
      <c r="R3939" s="29">
        <v>45007.0</v>
      </c>
      <c r="S3939" s="13"/>
      <c r="T3939" s="13">
        <f t="shared" ref="T3939:Y3939" si="4224">IF(ISBLANK(K3939)=TRUE,0,1)</f>
        <v>0</v>
      </c>
      <c r="U3939" s="13">
        <f t="shared" si="4224"/>
        <v>0</v>
      </c>
      <c r="V3939" s="13">
        <f t="shared" si="4224"/>
        <v>0</v>
      </c>
      <c r="W3939" s="13">
        <f t="shared" si="4224"/>
        <v>0</v>
      </c>
      <c r="X3939" s="13">
        <f t="shared" si="4224"/>
        <v>1</v>
      </c>
      <c r="Y3939" s="13">
        <f t="shared" si="4224"/>
        <v>1</v>
      </c>
      <c r="Z3939" s="13">
        <f t="shared" si="3023"/>
        <v>0</v>
      </c>
      <c r="AA3939" s="13"/>
      <c r="AB3939" s="13"/>
      <c r="AC3939" s="13"/>
      <c r="AD3939" s="13"/>
      <c r="AE3939" s="13"/>
      <c r="AF3939" s="13"/>
      <c r="AG3939" s="13"/>
      <c r="AH3939" s="13"/>
      <c r="AI3939" s="13"/>
      <c r="AJ3939" s="13"/>
      <c r="AK3939" s="13"/>
      <c r="AL3939" s="13"/>
      <c r="AM3939" s="13"/>
      <c r="AN3939" s="13"/>
      <c r="AO3939" s="13"/>
      <c r="AP3939" s="13"/>
      <c r="AQ3939" s="13"/>
      <c r="AR3939" s="13"/>
      <c r="AS3939" s="13"/>
    </row>
    <row r="3940" ht="14.25" customHeight="1">
      <c r="A3940" s="13" t="s">
        <v>46</v>
      </c>
      <c r="B3940" s="13" t="s">
        <v>53</v>
      </c>
      <c r="C3940" s="13" t="s">
        <v>2008</v>
      </c>
      <c r="D3940" s="13"/>
      <c r="E3940" s="13"/>
      <c r="F3940" s="13"/>
      <c r="G3940" s="13" t="s">
        <v>111</v>
      </c>
      <c r="H3940" s="13" t="s">
        <v>75</v>
      </c>
      <c r="I3940" s="13"/>
      <c r="J3940" s="13"/>
      <c r="K3940" s="15"/>
      <c r="L3940" s="15"/>
      <c r="M3940" s="16"/>
      <c r="N3940" s="16"/>
      <c r="O3940" s="17">
        <v>0.0</v>
      </c>
      <c r="P3940" s="17">
        <v>0.0</v>
      </c>
      <c r="Q3940" s="13"/>
      <c r="R3940" s="29">
        <v>45007.0</v>
      </c>
      <c r="S3940" s="13"/>
      <c r="T3940" s="13">
        <f t="shared" ref="T3940:Y3940" si="4225">IF(ISBLANK(K3940)=TRUE,0,1)</f>
        <v>0</v>
      </c>
      <c r="U3940" s="13">
        <f t="shared" si="4225"/>
        <v>0</v>
      </c>
      <c r="V3940" s="13">
        <f t="shared" si="4225"/>
        <v>0</v>
      </c>
      <c r="W3940" s="13">
        <f t="shared" si="4225"/>
        <v>0</v>
      </c>
      <c r="X3940" s="13">
        <f t="shared" si="4225"/>
        <v>1</v>
      </c>
      <c r="Y3940" s="13">
        <f t="shared" si="4225"/>
        <v>1</v>
      </c>
      <c r="Z3940" s="13">
        <f t="shared" si="3023"/>
        <v>0</v>
      </c>
      <c r="AA3940" s="13"/>
      <c r="AB3940" s="13"/>
      <c r="AC3940" s="13"/>
      <c r="AD3940" s="13"/>
      <c r="AE3940" s="13"/>
      <c r="AF3940" s="13"/>
      <c r="AG3940" s="13"/>
      <c r="AH3940" s="13"/>
      <c r="AI3940" s="13"/>
      <c r="AJ3940" s="13"/>
      <c r="AK3940" s="13"/>
      <c r="AL3940" s="13"/>
      <c r="AM3940" s="13"/>
      <c r="AN3940" s="13"/>
      <c r="AO3940" s="13"/>
      <c r="AP3940" s="13"/>
      <c r="AQ3940" s="13"/>
      <c r="AR3940" s="13"/>
      <c r="AS3940" s="13"/>
    </row>
    <row r="3941" ht="14.25" customHeight="1">
      <c r="A3941" s="13" t="s">
        <v>46</v>
      </c>
      <c r="B3941" s="13" t="s">
        <v>53</v>
      </c>
      <c r="C3941" s="13" t="s">
        <v>2009</v>
      </c>
      <c r="D3941" s="13"/>
      <c r="E3941" s="13"/>
      <c r="F3941" s="13"/>
      <c r="G3941" s="13" t="s">
        <v>111</v>
      </c>
      <c r="H3941" s="13" t="s">
        <v>75</v>
      </c>
      <c r="I3941" s="13"/>
      <c r="J3941" s="13"/>
      <c r="K3941" s="15"/>
      <c r="L3941" s="15"/>
      <c r="M3941" s="16"/>
      <c r="N3941" s="16"/>
      <c r="O3941" s="17">
        <v>0.0</v>
      </c>
      <c r="P3941" s="17">
        <v>0.0</v>
      </c>
      <c r="Q3941" s="13"/>
      <c r="R3941" s="29">
        <v>45007.0</v>
      </c>
      <c r="S3941" s="13"/>
      <c r="T3941" s="13">
        <f t="shared" ref="T3941:Y3941" si="4226">IF(ISBLANK(K3941)=TRUE,0,1)</f>
        <v>0</v>
      </c>
      <c r="U3941" s="13">
        <f t="shared" si="4226"/>
        <v>0</v>
      </c>
      <c r="V3941" s="13">
        <f t="shared" si="4226"/>
        <v>0</v>
      </c>
      <c r="W3941" s="13">
        <f t="shared" si="4226"/>
        <v>0</v>
      </c>
      <c r="X3941" s="13">
        <f t="shared" si="4226"/>
        <v>1</v>
      </c>
      <c r="Y3941" s="13">
        <f t="shared" si="4226"/>
        <v>1</v>
      </c>
      <c r="Z3941" s="13">
        <f t="shared" si="3023"/>
        <v>0</v>
      </c>
      <c r="AA3941" s="13"/>
      <c r="AB3941" s="13"/>
      <c r="AC3941" s="13"/>
      <c r="AD3941" s="13"/>
      <c r="AE3941" s="13"/>
      <c r="AF3941" s="13"/>
      <c r="AG3941" s="13"/>
      <c r="AH3941" s="13"/>
      <c r="AI3941" s="13"/>
      <c r="AJ3941" s="13"/>
      <c r="AK3941" s="13"/>
      <c r="AL3941" s="13"/>
      <c r="AM3941" s="13"/>
      <c r="AN3941" s="13"/>
      <c r="AO3941" s="13"/>
      <c r="AP3941" s="13"/>
      <c r="AQ3941" s="13"/>
      <c r="AR3941" s="13"/>
      <c r="AS3941" s="13"/>
    </row>
    <row r="3942" ht="14.25" customHeight="1">
      <c r="A3942" s="13" t="s">
        <v>46</v>
      </c>
      <c r="B3942" s="13" t="s">
        <v>53</v>
      </c>
      <c r="C3942" s="13" t="s">
        <v>2010</v>
      </c>
      <c r="D3942" s="13"/>
      <c r="E3942" s="13"/>
      <c r="F3942" s="13"/>
      <c r="G3942" s="13" t="s">
        <v>111</v>
      </c>
      <c r="H3942" s="13" t="s">
        <v>75</v>
      </c>
      <c r="I3942" s="13"/>
      <c r="J3942" s="13"/>
      <c r="K3942" s="15"/>
      <c r="L3942" s="15"/>
      <c r="M3942" s="16"/>
      <c r="N3942" s="16"/>
      <c r="O3942" s="17">
        <v>0.0</v>
      </c>
      <c r="P3942" s="17">
        <v>0.0</v>
      </c>
      <c r="Q3942" s="13"/>
      <c r="R3942" s="29">
        <v>45007.0</v>
      </c>
      <c r="S3942" s="13"/>
      <c r="T3942" s="13">
        <f t="shared" ref="T3942:Y3942" si="4227">IF(ISBLANK(K3942)=TRUE,0,1)</f>
        <v>0</v>
      </c>
      <c r="U3942" s="13">
        <f t="shared" si="4227"/>
        <v>0</v>
      </c>
      <c r="V3942" s="13">
        <f t="shared" si="4227"/>
        <v>0</v>
      </c>
      <c r="W3942" s="13">
        <f t="shared" si="4227"/>
        <v>0</v>
      </c>
      <c r="X3942" s="13">
        <f t="shared" si="4227"/>
        <v>1</v>
      </c>
      <c r="Y3942" s="13">
        <f t="shared" si="4227"/>
        <v>1</v>
      </c>
      <c r="Z3942" s="13">
        <f t="shared" si="3023"/>
        <v>0</v>
      </c>
      <c r="AA3942" s="13"/>
      <c r="AB3942" s="13"/>
      <c r="AC3942" s="13"/>
      <c r="AD3942" s="13"/>
      <c r="AE3942" s="13"/>
      <c r="AF3942" s="13"/>
      <c r="AG3942" s="13"/>
      <c r="AH3942" s="13"/>
      <c r="AI3942" s="13"/>
      <c r="AJ3942" s="13"/>
      <c r="AK3942" s="13"/>
      <c r="AL3942" s="13"/>
      <c r="AM3942" s="13"/>
      <c r="AN3942" s="13"/>
      <c r="AO3942" s="13"/>
      <c r="AP3942" s="13"/>
      <c r="AQ3942" s="13"/>
      <c r="AR3942" s="13"/>
      <c r="AS3942" s="13"/>
    </row>
    <row r="3943" ht="14.25" customHeight="1">
      <c r="A3943" s="13" t="s">
        <v>46</v>
      </c>
      <c r="B3943" s="13" t="s">
        <v>53</v>
      </c>
      <c r="C3943" s="13" t="s">
        <v>2011</v>
      </c>
      <c r="D3943" s="13"/>
      <c r="E3943" s="13"/>
      <c r="F3943" s="13"/>
      <c r="G3943" s="13" t="s">
        <v>111</v>
      </c>
      <c r="H3943" s="13" t="s">
        <v>75</v>
      </c>
      <c r="I3943" s="13"/>
      <c r="J3943" s="13"/>
      <c r="K3943" s="15"/>
      <c r="L3943" s="15"/>
      <c r="M3943" s="16"/>
      <c r="N3943" s="16"/>
      <c r="O3943" s="17">
        <v>0.0</v>
      </c>
      <c r="P3943" s="17">
        <v>0.0</v>
      </c>
      <c r="Q3943" s="13"/>
      <c r="R3943" s="29">
        <v>45007.0</v>
      </c>
      <c r="S3943" s="13"/>
      <c r="T3943" s="13">
        <f t="shared" ref="T3943:Y3943" si="4228">IF(ISBLANK(K3943)=TRUE,0,1)</f>
        <v>0</v>
      </c>
      <c r="U3943" s="13">
        <f t="shared" si="4228"/>
        <v>0</v>
      </c>
      <c r="V3943" s="13">
        <f t="shared" si="4228"/>
        <v>0</v>
      </c>
      <c r="W3943" s="13">
        <f t="shared" si="4228"/>
        <v>0</v>
      </c>
      <c r="X3943" s="13">
        <f t="shared" si="4228"/>
        <v>1</v>
      </c>
      <c r="Y3943" s="13">
        <f t="shared" si="4228"/>
        <v>1</v>
      </c>
      <c r="Z3943" s="13">
        <f t="shared" si="3023"/>
        <v>0</v>
      </c>
      <c r="AA3943" s="13"/>
      <c r="AB3943" s="13"/>
      <c r="AC3943" s="13"/>
      <c r="AD3943" s="13"/>
      <c r="AE3943" s="13"/>
      <c r="AF3943" s="13"/>
      <c r="AG3943" s="13"/>
      <c r="AH3943" s="13"/>
      <c r="AI3943" s="13"/>
      <c r="AJ3943" s="13"/>
      <c r="AK3943" s="13"/>
      <c r="AL3943" s="13"/>
      <c r="AM3943" s="13"/>
      <c r="AN3943" s="13"/>
      <c r="AO3943" s="13"/>
      <c r="AP3943" s="13"/>
      <c r="AQ3943" s="13"/>
      <c r="AR3943" s="13"/>
      <c r="AS3943" s="13"/>
    </row>
    <row r="3944" ht="14.25" customHeight="1">
      <c r="A3944" s="13" t="s">
        <v>46</v>
      </c>
      <c r="B3944" s="13" t="s">
        <v>53</v>
      </c>
      <c r="C3944" s="13" t="s">
        <v>2012</v>
      </c>
      <c r="D3944" s="13"/>
      <c r="E3944" s="13"/>
      <c r="F3944" s="13"/>
      <c r="G3944" s="13" t="s">
        <v>111</v>
      </c>
      <c r="H3944" s="13" t="s">
        <v>75</v>
      </c>
      <c r="I3944" s="13"/>
      <c r="J3944" s="13"/>
      <c r="K3944" s="15"/>
      <c r="L3944" s="15"/>
      <c r="M3944" s="16"/>
      <c r="N3944" s="16"/>
      <c r="O3944" s="17">
        <v>0.0</v>
      </c>
      <c r="P3944" s="17">
        <v>0.0</v>
      </c>
      <c r="Q3944" s="13"/>
      <c r="R3944" s="29">
        <v>45007.0</v>
      </c>
      <c r="S3944" s="13"/>
      <c r="T3944" s="13">
        <f t="shared" ref="T3944:Y3944" si="4229">IF(ISBLANK(K3944)=TRUE,0,1)</f>
        <v>0</v>
      </c>
      <c r="U3944" s="13">
        <f t="shared" si="4229"/>
        <v>0</v>
      </c>
      <c r="V3944" s="13">
        <f t="shared" si="4229"/>
        <v>0</v>
      </c>
      <c r="W3944" s="13">
        <f t="shared" si="4229"/>
        <v>0</v>
      </c>
      <c r="X3944" s="13">
        <f t="shared" si="4229"/>
        <v>1</v>
      </c>
      <c r="Y3944" s="13">
        <f t="shared" si="4229"/>
        <v>1</v>
      </c>
      <c r="Z3944" s="13">
        <f t="shared" si="3023"/>
        <v>0</v>
      </c>
      <c r="AA3944" s="13"/>
      <c r="AB3944" s="13"/>
      <c r="AC3944" s="13"/>
      <c r="AD3944" s="13"/>
      <c r="AE3944" s="13"/>
      <c r="AF3944" s="13"/>
      <c r="AG3944" s="13"/>
      <c r="AH3944" s="13"/>
      <c r="AI3944" s="13"/>
      <c r="AJ3944" s="13"/>
      <c r="AK3944" s="13"/>
      <c r="AL3944" s="13"/>
      <c r="AM3944" s="13"/>
      <c r="AN3944" s="13"/>
      <c r="AO3944" s="13"/>
      <c r="AP3944" s="13"/>
      <c r="AQ3944" s="13"/>
      <c r="AR3944" s="13"/>
      <c r="AS3944" s="13"/>
    </row>
    <row r="3945" ht="14.25" customHeight="1">
      <c r="A3945" s="13" t="s">
        <v>46</v>
      </c>
      <c r="B3945" s="13" t="s">
        <v>53</v>
      </c>
      <c r="C3945" s="13" t="s">
        <v>2013</v>
      </c>
      <c r="D3945" s="13"/>
      <c r="E3945" s="13"/>
      <c r="F3945" s="13"/>
      <c r="G3945" s="13" t="s">
        <v>111</v>
      </c>
      <c r="H3945" s="13" t="s">
        <v>75</v>
      </c>
      <c r="I3945" s="13"/>
      <c r="J3945" s="13"/>
      <c r="K3945" s="15"/>
      <c r="L3945" s="15"/>
      <c r="M3945" s="16"/>
      <c r="N3945" s="16"/>
      <c r="O3945" s="17">
        <v>0.0</v>
      </c>
      <c r="P3945" s="17">
        <v>0.0</v>
      </c>
      <c r="Q3945" s="13"/>
      <c r="R3945" s="29">
        <v>45007.0</v>
      </c>
      <c r="S3945" s="13"/>
      <c r="T3945" s="13">
        <f t="shared" ref="T3945:Y3945" si="4230">IF(ISBLANK(K3945)=TRUE,0,1)</f>
        <v>0</v>
      </c>
      <c r="U3945" s="13">
        <f t="shared" si="4230"/>
        <v>0</v>
      </c>
      <c r="V3945" s="13">
        <f t="shared" si="4230"/>
        <v>0</v>
      </c>
      <c r="W3945" s="13">
        <f t="shared" si="4230"/>
        <v>0</v>
      </c>
      <c r="X3945" s="13">
        <f t="shared" si="4230"/>
        <v>1</v>
      </c>
      <c r="Y3945" s="13">
        <f t="shared" si="4230"/>
        <v>1</v>
      </c>
      <c r="Z3945" s="13">
        <f t="shared" si="3023"/>
        <v>0</v>
      </c>
      <c r="AA3945" s="13"/>
      <c r="AB3945" s="13"/>
      <c r="AC3945" s="13"/>
      <c r="AD3945" s="13"/>
      <c r="AE3945" s="13"/>
      <c r="AF3945" s="13"/>
      <c r="AG3945" s="13"/>
      <c r="AH3945" s="13"/>
      <c r="AI3945" s="13"/>
      <c r="AJ3945" s="13"/>
      <c r="AK3945" s="13"/>
      <c r="AL3945" s="13"/>
      <c r="AM3945" s="13"/>
      <c r="AN3945" s="13"/>
      <c r="AO3945" s="13"/>
      <c r="AP3945" s="13"/>
      <c r="AQ3945" s="13"/>
      <c r="AR3945" s="13"/>
      <c r="AS3945" s="13"/>
    </row>
    <row r="3946" ht="14.25" customHeight="1">
      <c r="A3946" s="13" t="s">
        <v>46</v>
      </c>
      <c r="B3946" s="13" t="s">
        <v>53</v>
      </c>
      <c r="C3946" s="13" t="s">
        <v>2014</v>
      </c>
      <c r="D3946" s="13"/>
      <c r="E3946" s="13"/>
      <c r="F3946" s="13"/>
      <c r="G3946" s="13" t="s">
        <v>111</v>
      </c>
      <c r="H3946" s="13" t="s">
        <v>75</v>
      </c>
      <c r="I3946" s="13"/>
      <c r="J3946" s="13"/>
      <c r="K3946" s="15"/>
      <c r="L3946" s="15"/>
      <c r="M3946" s="16"/>
      <c r="N3946" s="16"/>
      <c r="O3946" s="17">
        <v>0.0</v>
      </c>
      <c r="P3946" s="17">
        <v>0.0</v>
      </c>
      <c r="Q3946" s="13"/>
      <c r="R3946" s="29">
        <v>45007.0</v>
      </c>
      <c r="S3946" s="13"/>
      <c r="T3946" s="13">
        <f t="shared" ref="T3946:Y3946" si="4231">IF(ISBLANK(K3946)=TRUE,0,1)</f>
        <v>0</v>
      </c>
      <c r="U3946" s="13">
        <f t="shared" si="4231"/>
        <v>0</v>
      </c>
      <c r="V3946" s="13">
        <f t="shared" si="4231"/>
        <v>0</v>
      </c>
      <c r="W3946" s="13">
        <f t="shared" si="4231"/>
        <v>0</v>
      </c>
      <c r="X3946" s="13">
        <f t="shared" si="4231"/>
        <v>1</v>
      </c>
      <c r="Y3946" s="13">
        <f t="shared" si="4231"/>
        <v>1</v>
      </c>
      <c r="Z3946" s="13">
        <f t="shared" si="3023"/>
        <v>0</v>
      </c>
      <c r="AA3946" s="13"/>
      <c r="AB3946" s="13"/>
      <c r="AC3946" s="13"/>
      <c r="AD3946" s="13"/>
      <c r="AE3946" s="13"/>
      <c r="AF3946" s="13"/>
      <c r="AG3946" s="13"/>
      <c r="AH3946" s="13"/>
      <c r="AI3946" s="13"/>
      <c r="AJ3946" s="13"/>
      <c r="AK3946" s="13"/>
      <c r="AL3946" s="13"/>
      <c r="AM3946" s="13"/>
      <c r="AN3946" s="13"/>
      <c r="AO3946" s="13"/>
      <c r="AP3946" s="13"/>
      <c r="AQ3946" s="13"/>
      <c r="AR3946" s="13"/>
      <c r="AS3946" s="13"/>
    </row>
    <row r="3947" ht="14.25" customHeight="1">
      <c r="A3947" s="13" t="s">
        <v>46</v>
      </c>
      <c r="B3947" s="13" t="s">
        <v>53</v>
      </c>
      <c r="C3947" s="13" t="s">
        <v>2015</v>
      </c>
      <c r="D3947" s="13"/>
      <c r="E3947" s="13"/>
      <c r="F3947" s="13"/>
      <c r="G3947" s="13" t="s">
        <v>111</v>
      </c>
      <c r="H3947" s="13" t="s">
        <v>75</v>
      </c>
      <c r="I3947" s="13"/>
      <c r="J3947" s="13"/>
      <c r="K3947" s="15"/>
      <c r="L3947" s="15"/>
      <c r="M3947" s="16"/>
      <c r="N3947" s="16"/>
      <c r="O3947" s="17">
        <v>0.0</v>
      </c>
      <c r="P3947" s="17">
        <v>0.0</v>
      </c>
      <c r="Q3947" s="13"/>
      <c r="R3947" s="29">
        <v>45007.0</v>
      </c>
      <c r="S3947" s="13"/>
      <c r="T3947" s="13">
        <f t="shared" ref="T3947:Y3947" si="4232">IF(ISBLANK(K3947)=TRUE,0,1)</f>
        <v>0</v>
      </c>
      <c r="U3947" s="13">
        <f t="shared" si="4232"/>
        <v>0</v>
      </c>
      <c r="V3947" s="13">
        <f t="shared" si="4232"/>
        <v>0</v>
      </c>
      <c r="W3947" s="13">
        <f t="shared" si="4232"/>
        <v>0</v>
      </c>
      <c r="X3947" s="13">
        <f t="shared" si="4232"/>
        <v>1</v>
      </c>
      <c r="Y3947" s="13">
        <f t="shared" si="4232"/>
        <v>1</v>
      </c>
      <c r="Z3947" s="13">
        <f t="shared" si="3023"/>
        <v>0</v>
      </c>
      <c r="AA3947" s="13"/>
      <c r="AB3947" s="13"/>
      <c r="AC3947" s="13"/>
      <c r="AD3947" s="13"/>
      <c r="AE3947" s="13"/>
      <c r="AF3947" s="13"/>
      <c r="AG3947" s="13"/>
      <c r="AH3947" s="13"/>
      <c r="AI3947" s="13"/>
      <c r="AJ3947" s="13"/>
      <c r="AK3947" s="13"/>
      <c r="AL3947" s="13"/>
      <c r="AM3947" s="13"/>
      <c r="AN3947" s="13"/>
      <c r="AO3947" s="13"/>
      <c r="AP3947" s="13"/>
      <c r="AQ3947" s="13"/>
      <c r="AR3947" s="13"/>
      <c r="AS3947" s="13"/>
    </row>
    <row r="3948" ht="14.25" customHeight="1">
      <c r="A3948" s="13" t="s">
        <v>46</v>
      </c>
      <c r="B3948" s="13" t="s">
        <v>53</v>
      </c>
      <c r="C3948" s="13" t="s">
        <v>2016</v>
      </c>
      <c r="D3948" s="13"/>
      <c r="E3948" s="13"/>
      <c r="F3948" s="13"/>
      <c r="G3948" s="13" t="s">
        <v>111</v>
      </c>
      <c r="H3948" s="13" t="s">
        <v>75</v>
      </c>
      <c r="I3948" s="13"/>
      <c r="J3948" s="13"/>
      <c r="K3948" s="15"/>
      <c r="L3948" s="15"/>
      <c r="M3948" s="16"/>
      <c r="N3948" s="16"/>
      <c r="O3948" s="17">
        <v>0.0</v>
      </c>
      <c r="P3948" s="17">
        <v>0.0</v>
      </c>
      <c r="Q3948" s="13"/>
      <c r="R3948" s="29">
        <v>45007.0</v>
      </c>
      <c r="S3948" s="13"/>
      <c r="T3948" s="13">
        <f t="shared" ref="T3948:Y3948" si="4233">IF(ISBLANK(K3948)=TRUE,0,1)</f>
        <v>0</v>
      </c>
      <c r="U3948" s="13">
        <f t="shared" si="4233"/>
        <v>0</v>
      </c>
      <c r="V3948" s="13">
        <f t="shared" si="4233"/>
        <v>0</v>
      </c>
      <c r="W3948" s="13">
        <f t="shared" si="4233"/>
        <v>0</v>
      </c>
      <c r="X3948" s="13">
        <f t="shared" si="4233"/>
        <v>1</v>
      </c>
      <c r="Y3948" s="13">
        <f t="shared" si="4233"/>
        <v>1</v>
      </c>
      <c r="Z3948" s="13">
        <f t="shared" si="3023"/>
        <v>0</v>
      </c>
      <c r="AA3948" s="13"/>
      <c r="AB3948" s="13"/>
      <c r="AC3948" s="13"/>
      <c r="AD3948" s="13"/>
      <c r="AE3948" s="13"/>
      <c r="AF3948" s="13"/>
      <c r="AG3948" s="13"/>
      <c r="AH3948" s="13"/>
      <c r="AI3948" s="13"/>
      <c r="AJ3948" s="13"/>
      <c r="AK3948" s="13"/>
      <c r="AL3948" s="13"/>
      <c r="AM3948" s="13"/>
      <c r="AN3948" s="13"/>
      <c r="AO3948" s="13"/>
      <c r="AP3948" s="13"/>
      <c r="AQ3948" s="13"/>
      <c r="AR3948" s="13"/>
      <c r="AS3948" s="13"/>
    </row>
    <row r="3949" ht="14.25" customHeight="1">
      <c r="A3949" s="13" t="s">
        <v>46</v>
      </c>
      <c r="B3949" s="13" t="s">
        <v>53</v>
      </c>
      <c r="C3949" s="13" t="s">
        <v>2017</v>
      </c>
      <c r="D3949" s="13"/>
      <c r="E3949" s="13"/>
      <c r="F3949" s="13"/>
      <c r="G3949" s="13" t="s">
        <v>111</v>
      </c>
      <c r="H3949" s="13" t="s">
        <v>75</v>
      </c>
      <c r="I3949" s="13"/>
      <c r="J3949" s="13"/>
      <c r="K3949" s="15"/>
      <c r="L3949" s="15"/>
      <c r="M3949" s="16"/>
      <c r="N3949" s="16"/>
      <c r="O3949" s="17">
        <v>0.0</v>
      </c>
      <c r="P3949" s="17">
        <v>0.0</v>
      </c>
      <c r="Q3949" s="13"/>
      <c r="R3949" s="29">
        <v>45007.0</v>
      </c>
      <c r="S3949" s="13"/>
      <c r="T3949" s="13">
        <f t="shared" ref="T3949:Y3949" si="4234">IF(ISBLANK(K3949)=TRUE,0,1)</f>
        <v>0</v>
      </c>
      <c r="U3949" s="13">
        <f t="shared" si="4234"/>
        <v>0</v>
      </c>
      <c r="V3949" s="13">
        <f t="shared" si="4234"/>
        <v>0</v>
      </c>
      <c r="W3949" s="13">
        <f t="shared" si="4234"/>
        <v>0</v>
      </c>
      <c r="X3949" s="13">
        <f t="shared" si="4234"/>
        <v>1</v>
      </c>
      <c r="Y3949" s="13">
        <f t="shared" si="4234"/>
        <v>1</v>
      </c>
      <c r="Z3949" s="13">
        <f t="shared" si="3023"/>
        <v>0</v>
      </c>
      <c r="AA3949" s="13"/>
      <c r="AB3949" s="13"/>
      <c r="AC3949" s="13"/>
      <c r="AD3949" s="13"/>
      <c r="AE3949" s="13"/>
      <c r="AF3949" s="13"/>
      <c r="AG3949" s="13"/>
      <c r="AH3949" s="13"/>
      <c r="AI3949" s="13"/>
      <c r="AJ3949" s="13"/>
      <c r="AK3949" s="13"/>
      <c r="AL3949" s="13"/>
      <c r="AM3949" s="13"/>
      <c r="AN3949" s="13"/>
      <c r="AO3949" s="13"/>
      <c r="AP3949" s="13"/>
      <c r="AQ3949" s="13"/>
      <c r="AR3949" s="13"/>
      <c r="AS3949" s="13"/>
    </row>
    <row r="3950" ht="14.25" customHeight="1">
      <c r="A3950" s="13" t="s">
        <v>46</v>
      </c>
      <c r="B3950" s="13" t="s">
        <v>53</v>
      </c>
      <c r="C3950" s="13" t="s">
        <v>2018</v>
      </c>
      <c r="D3950" s="13"/>
      <c r="E3950" s="13"/>
      <c r="F3950" s="13"/>
      <c r="G3950" s="13" t="s">
        <v>111</v>
      </c>
      <c r="H3950" s="13" t="s">
        <v>75</v>
      </c>
      <c r="I3950" s="13"/>
      <c r="J3950" s="13"/>
      <c r="K3950" s="15"/>
      <c r="L3950" s="15"/>
      <c r="M3950" s="16"/>
      <c r="N3950" s="16"/>
      <c r="O3950" s="17">
        <v>0.0</v>
      </c>
      <c r="P3950" s="17">
        <v>0.0</v>
      </c>
      <c r="Q3950" s="13"/>
      <c r="R3950" s="29">
        <v>45007.0</v>
      </c>
      <c r="S3950" s="13"/>
      <c r="T3950" s="13">
        <f t="shared" ref="T3950:Y3950" si="4235">IF(ISBLANK(K3950)=TRUE,0,1)</f>
        <v>0</v>
      </c>
      <c r="U3950" s="13">
        <f t="shared" si="4235"/>
        <v>0</v>
      </c>
      <c r="V3950" s="13">
        <f t="shared" si="4235"/>
        <v>0</v>
      </c>
      <c r="W3950" s="13">
        <f t="shared" si="4235"/>
        <v>0</v>
      </c>
      <c r="X3950" s="13">
        <f t="shared" si="4235"/>
        <v>1</v>
      </c>
      <c r="Y3950" s="13">
        <f t="shared" si="4235"/>
        <v>1</v>
      </c>
      <c r="Z3950" s="13">
        <f t="shared" si="3023"/>
        <v>0</v>
      </c>
      <c r="AA3950" s="13"/>
      <c r="AB3950" s="13"/>
      <c r="AC3950" s="13"/>
      <c r="AD3950" s="13"/>
      <c r="AE3950" s="13"/>
      <c r="AF3950" s="13"/>
      <c r="AG3950" s="13"/>
      <c r="AH3950" s="13"/>
      <c r="AI3950" s="13"/>
      <c r="AJ3950" s="13"/>
      <c r="AK3950" s="13"/>
      <c r="AL3950" s="13"/>
      <c r="AM3950" s="13"/>
      <c r="AN3950" s="13"/>
      <c r="AO3950" s="13"/>
      <c r="AP3950" s="13"/>
      <c r="AQ3950" s="13"/>
      <c r="AR3950" s="13"/>
      <c r="AS3950" s="13"/>
    </row>
    <row r="3951" ht="14.25" customHeight="1">
      <c r="A3951" s="13" t="s">
        <v>46</v>
      </c>
      <c r="B3951" s="13" t="s">
        <v>53</v>
      </c>
      <c r="C3951" s="13" t="s">
        <v>2019</v>
      </c>
      <c r="D3951" s="13"/>
      <c r="E3951" s="13"/>
      <c r="F3951" s="13"/>
      <c r="G3951" s="13" t="s">
        <v>111</v>
      </c>
      <c r="H3951" s="13" t="s">
        <v>75</v>
      </c>
      <c r="I3951" s="13"/>
      <c r="J3951" s="13"/>
      <c r="K3951" s="15"/>
      <c r="L3951" s="15"/>
      <c r="M3951" s="16"/>
      <c r="N3951" s="16"/>
      <c r="O3951" s="17">
        <v>0.0</v>
      </c>
      <c r="P3951" s="17">
        <v>0.0</v>
      </c>
      <c r="Q3951" s="13"/>
      <c r="R3951" s="29">
        <v>45007.0</v>
      </c>
      <c r="S3951" s="13"/>
      <c r="T3951" s="13">
        <f t="shared" ref="T3951:Y3951" si="4236">IF(ISBLANK(K3951)=TRUE,0,1)</f>
        <v>0</v>
      </c>
      <c r="U3951" s="13">
        <f t="shared" si="4236"/>
        <v>0</v>
      </c>
      <c r="V3951" s="13">
        <f t="shared" si="4236"/>
        <v>0</v>
      </c>
      <c r="W3951" s="13">
        <f t="shared" si="4236"/>
        <v>0</v>
      </c>
      <c r="X3951" s="13">
        <f t="shared" si="4236"/>
        <v>1</v>
      </c>
      <c r="Y3951" s="13">
        <f t="shared" si="4236"/>
        <v>1</v>
      </c>
      <c r="Z3951" s="13">
        <f t="shared" si="3023"/>
        <v>0</v>
      </c>
      <c r="AA3951" s="13"/>
      <c r="AB3951" s="13"/>
      <c r="AC3951" s="13"/>
      <c r="AD3951" s="13"/>
      <c r="AE3951" s="13"/>
      <c r="AF3951" s="13"/>
      <c r="AG3951" s="13"/>
      <c r="AH3951" s="13"/>
      <c r="AI3951" s="13"/>
      <c r="AJ3951" s="13"/>
      <c r="AK3951" s="13"/>
      <c r="AL3951" s="13"/>
      <c r="AM3951" s="13"/>
      <c r="AN3951" s="13"/>
      <c r="AO3951" s="13"/>
      <c r="AP3951" s="13"/>
      <c r="AQ3951" s="13"/>
      <c r="AR3951" s="13"/>
      <c r="AS3951" s="13"/>
    </row>
    <row r="3952" ht="14.25" customHeight="1">
      <c r="A3952" s="13" t="s">
        <v>46</v>
      </c>
      <c r="B3952" s="13" t="s">
        <v>53</v>
      </c>
      <c r="C3952" s="13" t="s">
        <v>2020</v>
      </c>
      <c r="D3952" s="13"/>
      <c r="E3952" s="13"/>
      <c r="F3952" s="13"/>
      <c r="G3952" s="13" t="s">
        <v>74</v>
      </c>
      <c r="H3952" s="13" t="s">
        <v>75</v>
      </c>
      <c r="I3952" s="13"/>
      <c r="J3952" s="13"/>
      <c r="K3952" s="15"/>
      <c r="L3952" s="15"/>
      <c r="M3952" s="16"/>
      <c r="N3952" s="37"/>
      <c r="O3952" s="17">
        <v>0.0</v>
      </c>
      <c r="P3952" s="17">
        <v>0.0</v>
      </c>
      <c r="Q3952" s="13"/>
      <c r="R3952" s="29">
        <v>45007.0</v>
      </c>
      <c r="S3952" s="13"/>
      <c r="T3952" s="13">
        <f t="shared" ref="T3952:V3952" si="4237">IF(ISBLANK(K3952)=TRUE,0,1)</f>
        <v>0</v>
      </c>
      <c r="U3952" s="13">
        <f t="shared" si="4237"/>
        <v>0</v>
      </c>
      <c r="V3952" s="13">
        <f t="shared" si="4237"/>
        <v>0</v>
      </c>
      <c r="W3952" s="13">
        <f t="shared" ref="W3952:X3952" si="4238">IF(ISBLANK(O3952)=TRUE,0,1)</f>
        <v>1</v>
      </c>
      <c r="X3952" s="13">
        <f t="shared" si="4238"/>
        <v>1</v>
      </c>
      <c r="Y3952" s="13">
        <f t="shared" ref="Y3952:Y3961" si="4241">IF(ISBLANK(#REF!)=TRUE,0,1)</f>
        <v>1</v>
      </c>
      <c r="Z3952" s="13">
        <f t="shared" si="3023"/>
        <v>0</v>
      </c>
      <c r="AA3952" s="13"/>
      <c r="AB3952" s="13"/>
      <c r="AC3952" s="13"/>
      <c r="AD3952" s="13"/>
      <c r="AE3952" s="13"/>
      <c r="AF3952" s="13"/>
      <c r="AG3952" s="13"/>
      <c r="AH3952" s="13"/>
      <c r="AI3952" s="13"/>
      <c r="AJ3952" s="13"/>
      <c r="AK3952" s="13"/>
      <c r="AL3952" s="13"/>
      <c r="AM3952" s="13"/>
      <c r="AN3952" s="13"/>
      <c r="AO3952" s="13"/>
      <c r="AP3952" s="13"/>
      <c r="AQ3952" s="13"/>
      <c r="AR3952" s="13"/>
      <c r="AS3952" s="13"/>
    </row>
    <row r="3953" ht="14.25" customHeight="1">
      <c r="A3953" s="13" t="s">
        <v>46</v>
      </c>
      <c r="B3953" s="13" t="s">
        <v>53</v>
      </c>
      <c r="C3953" s="13" t="s">
        <v>2021</v>
      </c>
      <c r="D3953" s="13"/>
      <c r="E3953" s="13"/>
      <c r="F3953" s="13"/>
      <c r="G3953" s="13" t="s">
        <v>74</v>
      </c>
      <c r="H3953" s="13" t="s">
        <v>75</v>
      </c>
      <c r="I3953" s="13"/>
      <c r="J3953" s="13"/>
      <c r="K3953" s="15"/>
      <c r="L3953" s="15"/>
      <c r="M3953" s="16"/>
      <c r="N3953" s="37"/>
      <c r="O3953" s="17">
        <v>0.0</v>
      </c>
      <c r="P3953" s="17">
        <v>0.0</v>
      </c>
      <c r="Q3953" s="13"/>
      <c r="R3953" s="29">
        <v>45007.0</v>
      </c>
      <c r="S3953" s="13"/>
      <c r="T3953" s="13">
        <f t="shared" ref="T3953:V3953" si="4239">IF(ISBLANK(K3953)=TRUE,0,1)</f>
        <v>0</v>
      </c>
      <c r="U3953" s="13">
        <f t="shared" si="4239"/>
        <v>0</v>
      </c>
      <c r="V3953" s="13">
        <f t="shared" si="4239"/>
        <v>0</v>
      </c>
      <c r="W3953" s="13">
        <f t="shared" ref="W3953:X3953" si="4240">IF(ISBLANK(O3953)=TRUE,0,1)</f>
        <v>1</v>
      </c>
      <c r="X3953" s="13">
        <f t="shared" si="4240"/>
        <v>1</v>
      </c>
      <c r="Y3953" s="13">
        <f t="shared" si="4241"/>
        <v>1</v>
      </c>
      <c r="Z3953" s="13">
        <f t="shared" si="3023"/>
        <v>0</v>
      </c>
      <c r="AA3953" s="13"/>
      <c r="AB3953" s="13"/>
      <c r="AC3953" s="13"/>
      <c r="AD3953" s="13"/>
      <c r="AE3953" s="13"/>
      <c r="AF3953" s="13"/>
      <c r="AG3953" s="13"/>
      <c r="AH3953" s="13"/>
      <c r="AI3953" s="13"/>
      <c r="AJ3953" s="13"/>
      <c r="AK3953" s="13"/>
      <c r="AL3953" s="13"/>
      <c r="AM3953" s="13"/>
      <c r="AN3953" s="13"/>
      <c r="AO3953" s="13"/>
      <c r="AP3953" s="13"/>
      <c r="AQ3953" s="13"/>
      <c r="AR3953" s="13"/>
      <c r="AS3953" s="13"/>
    </row>
    <row r="3954" ht="14.25" customHeight="1">
      <c r="A3954" s="13" t="s">
        <v>46</v>
      </c>
      <c r="B3954" s="13" t="s">
        <v>53</v>
      </c>
      <c r="C3954" s="13" t="s">
        <v>2022</v>
      </c>
      <c r="D3954" s="13"/>
      <c r="E3954" s="13"/>
      <c r="F3954" s="13"/>
      <c r="G3954" s="13" t="s">
        <v>74</v>
      </c>
      <c r="H3954" s="13" t="s">
        <v>75</v>
      </c>
      <c r="I3954" s="13"/>
      <c r="J3954" s="13"/>
      <c r="K3954" s="15"/>
      <c r="L3954" s="15"/>
      <c r="M3954" s="16"/>
      <c r="N3954" s="37"/>
      <c r="O3954" s="17">
        <v>0.0</v>
      </c>
      <c r="P3954" s="17">
        <v>0.0</v>
      </c>
      <c r="Q3954" s="13"/>
      <c r="R3954" s="29">
        <v>45007.0</v>
      </c>
      <c r="S3954" s="13"/>
      <c r="T3954" s="13">
        <f t="shared" ref="T3954:V3954" si="4242">IF(ISBLANK(K3954)=TRUE,0,1)</f>
        <v>0</v>
      </c>
      <c r="U3954" s="13">
        <f t="shared" si="4242"/>
        <v>0</v>
      </c>
      <c r="V3954" s="13">
        <f t="shared" si="4242"/>
        <v>0</v>
      </c>
      <c r="W3954" s="13">
        <f t="shared" ref="W3954:X3954" si="4243">IF(ISBLANK(O3954)=TRUE,0,1)</f>
        <v>1</v>
      </c>
      <c r="X3954" s="13">
        <f t="shared" si="4243"/>
        <v>1</v>
      </c>
      <c r="Y3954" s="13">
        <f t="shared" si="4241"/>
        <v>1</v>
      </c>
      <c r="Z3954" s="13">
        <f t="shared" si="3023"/>
        <v>0</v>
      </c>
      <c r="AA3954" s="13"/>
      <c r="AB3954" s="13"/>
      <c r="AC3954" s="13"/>
      <c r="AD3954" s="13"/>
      <c r="AE3954" s="13"/>
      <c r="AF3954" s="13"/>
      <c r="AG3954" s="13"/>
      <c r="AH3954" s="13"/>
      <c r="AI3954" s="13"/>
      <c r="AJ3954" s="13"/>
      <c r="AK3954" s="13"/>
      <c r="AL3954" s="13"/>
      <c r="AM3954" s="13"/>
      <c r="AN3954" s="13"/>
      <c r="AO3954" s="13"/>
      <c r="AP3954" s="13"/>
      <c r="AQ3954" s="13"/>
      <c r="AR3954" s="13"/>
      <c r="AS3954" s="13"/>
    </row>
    <row r="3955" ht="14.25" customHeight="1">
      <c r="A3955" s="13" t="s">
        <v>46</v>
      </c>
      <c r="B3955" s="13" t="s">
        <v>53</v>
      </c>
      <c r="C3955" s="13" t="s">
        <v>2023</v>
      </c>
      <c r="D3955" s="13"/>
      <c r="E3955" s="13"/>
      <c r="F3955" s="13"/>
      <c r="G3955" s="13" t="s">
        <v>74</v>
      </c>
      <c r="H3955" s="13" t="s">
        <v>75</v>
      </c>
      <c r="I3955" s="13"/>
      <c r="J3955" s="13"/>
      <c r="K3955" s="15"/>
      <c r="L3955" s="15"/>
      <c r="M3955" s="16"/>
      <c r="N3955" s="37"/>
      <c r="O3955" s="17">
        <v>0.0</v>
      </c>
      <c r="P3955" s="17">
        <v>0.0</v>
      </c>
      <c r="Q3955" s="13"/>
      <c r="R3955" s="29">
        <v>45007.0</v>
      </c>
      <c r="S3955" s="13"/>
      <c r="T3955" s="13">
        <f t="shared" ref="T3955:V3955" si="4244">IF(ISBLANK(K3955)=TRUE,0,1)</f>
        <v>0</v>
      </c>
      <c r="U3955" s="13">
        <f t="shared" si="4244"/>
        <v>0</v>
      </c>
      <c r="V3955" s="13">
        <f t="shared" si="4244"/>
        <v>0</v>
      </c>
      <c r="W3955" s="13">
        <f t="shared" ref="W3955:X3955" si="4245">IF(ISBLANK(O3955)=TRUE,0,1)</f>
        <v>1</v>
      </c>
      <c r="X3955" s="13">
        <f t="shared" si="4245"/>
        <v>1</v>
      </c>
      <c r="Y3955" s="13">
        <f t="shared" si="4241"/>
        <v>1</v>
      </c>
      <c r="Z3955" s="13">
        <f t="shared" si="3023"/>
        <v>0</v>
      </c>
      <c r="AA3955" s="13"/>
      <c r="AB3955" s="13"/>
      <c r="AC3955" s="13"/>
      <c r="AD3955" s="13"/>
      <c r="AE3955" s="13"/>
      <c r="AF3955" s="13"/>
      <c r="AG3955" s="13"/>
      <c r="AH3955" s="13"/>
      <c r="AI3955" s="13"/>
      <c r="AJ3955" s="13"/>
      <c r="AK3955" s="13"/>
      <c r="AL3955" s="13"/>
      <c r="AM3955" s="13"/>
      <c r="AN3955" s="13"/>
      <c r="AO3955" s="13"/>
      <c r="AP3955" s="13"/>
      <c r="AQ3955" s="13"/>
      <c r="AR3955" s="13"/>
      <c r="AS3955" s="13"/>
    </row>
    <row r="3956" ht="14.25" customHeight="1">
      <c r="A3956" s="13" t="s">
        <v>46</v>
      </c>
      <c r="B3956" s="13" t="s">
        <v>53</v>
      </c>
      <c r="C3956" s="13" t="s">
        <v>2024</v>
      </c>
      <c r="D3956" s="13"/>
      <c r="E3956" s="13"/>
      <c r="F3956" s="13"/>
      <c r="G3956" s="13" t="s">
        <v>74</v>
      </c>
      <c r="H3956" s="13" t="s">
        <v>75</v>
      </c>
      <c r="I3956" s="13"/>
      <c r="J3956" s="13"/>
      <c r="K3956" s="15"/>
      <c r="L3956" s="15"/>
      <c r="M3956" s="16"/>
      <c r="N3956" s="37"/>
      <c r="O3956" s="17">
        <v>0.0</v>
      </c>
      <c r="P3956" s="17">
        <v>0.0</v>
      </c>
      <c r="Q3956" s="13"/>
      <c r="R3956" s="29">
        <v>45007.0</v>
      </c>
      <c r="S3956" s="13"/>
      <c r="T3956" s="13">
        <f t="shared" ref="T3956:V3956" si="4246">IF(ISBLANK(K3956)=TRUE,0,1)</f>
        <v>0</v>
      </c>
      <c r="U3956" s="13">
        <f t="shared" si="4246"/>
        <v>0</v>
      </c>
      <c r="V3956" s="13">
        <f t="shared" si="4246"/>
        <v>0</v>
      </c>
      <c r="W3956" s="13">
        <f t="shared" ref="W3956:X3956" si="4247">IF(ISBLANK(O3956)=TRUE,0,1)</f>
        <v>1</v>
      </c>
      <c r="X3956" s="13">
        <f t="shared" si="4247"/>
        <v>1</v>
      </c>
      <c r="Y3956" s="13">
        <f t="shared" si="4241"/>
        <v>1</v>
      </c>
      <c r="Z3956" s="13">
        <f t="shared" si="3023"/>
        <v>0</v>
      </c>
      <c r="AA3956" s="13"/>
      <c r="AB3956" s="13"/>
      <c r="AC3956" s="13"/>
      <c r="AD3956" s="13"/>
      <c r="AE3956" s="13"/>
      <c r="AF3956" s="13"/>
      <c r="AG3956" s="13"/>
      <c r="AH3956" s="13"/>
      <c r="AI3956" s="13"/>
      <c r="AJ3956" s="13"/>
      <c r="AK3956" s="13"/>
      <c r="AL3956" s="13"/>
      <c r="AM3956" s="13"/>
      <c r="AN3956" s="13"/>
      <c r="AO3956" s="13"/>
      <c r="AP3956" s="13"/>
      <c r="AQ3956" s="13"/>
      <c r="AR3956" s="13"/>
      <c r="AS3956" s="13"/>
    </row>
    <row r="3957" ht="14.25" customHeight="1">
      <c r="A3957" s="13" t="s">
        <v>46</v>
      </c>
      <c r="B3957" s="13" t="s">
        <v>53</v>
      </c>
      <c r="C3957" s="13" t="s">
        <v>2025</v>
      </c>
      <c r="D3957" s="13"/>
      <c r="E3957" s="13"/>
      <c r="F3957" s="13"/>
      <c r="G3957" s="13" t="s">
        <v>74</v>
      </c>
      <c r="H3957" s="13" t="s">
        <v>75</v>
      </c>
      <c r="I3957" s="13"/>
      <c r="J3957" s="13"/>
      <c r="K3957" s="15"/>
      <c r="L3957" s="15"/>
      <c r="M3957" s="16"/>
      <c r="N3957" s="37"/>
      <c r="O3957" s="17">
        <v>0.0</v>
      </c>
      <c r="P3957" s="17">
        <v>0.0</v>
      </c>
      <c r="Q3957" s="13"/>
      <c r="R3957" s="29">
        <v>45007.0</v>
      </c>
      <c r="S3957" s="13"/>
      <c r="T3957" s="13">
        <f t="shared" ref="T3957:V3957" si="4248">IF(ISBLANK(K3957)=TRUE,0,1)</f>
        <v>0</v>
      </c>
      <c r="U3957" s="13">
        <f t="shared" si="4248"/>
        <v>0</v>
      </c>
      <c r="V3957" s="13">
        <f t="shared" si="4248"/>
        <v>0</v>
      </c>
      <c r="W3957" s="13">
        <f t="shared" ref="W3957:X3957" si="4249">IF(ISBLANK(O3957)=TRUE,0,1)</f>
        <v>1</v>
      </c>
      <c r="X3957" s="13">
        <f t="shared" si="4249"/>
        <v>1</v>
      </c>
      <c r="Y3957" s="13">
        <f t="shared" si="4241"/>
        <v>1</v>
      </c>
      <c r="Z3957" s="13">
        <f t="shared" si="3023"/>
        <v>0</v>
      </c>
      <c r="AA3957" s="13"/>
      <c r="AB3957" s="13"/>
      <c r="AC3957" s="13"/>
      <c r="AD3957" s="13"/>
      <c r="AE3957" s="13"/>
      <c r="AF3957" s="13"/>
      <c r="AG3957" s="13"/>
      <c r="AH3957" s="13"/>
      <c r="AI3957" s="13"/>
      <c r="AJ3957" s="13"/>
      <c r="AK3957" s="13"/>
      <c r="AL3957" s="13"/>
      <c r="AM3957" s="13"/>
      <c r="AN3957" s="13"/>
      <c r="AO3957" s="13"/>
      <c r="AP3957" s="13"/>
      <c r="AQ3957" s="13"/>
      <c r="AR3957" s="13"/>
      <c r="AS3957" s="13"/>
    </row>
    <row r="3958" ht="14.25" customHeight="1">
      <c r="A3958" s="13" t="s">
        <v>46</v>
      </c>
      <c r="B3958" s="13" t="s">
        <v>53</v>
      </c>
      <c r="C3958" s="13" t="s">
        <v>2026</v>
      </c>
      <c r="D3958" s="13"/>
      <c r="E3958" s="13"/>
      <c r="F3958" s="13"/>
      <c r="G3958" s="13" t="s">
        <v>74</v>
      </c>
      <c r="H3958" s="13" t="s">
        <v>75</v>
      </c>
      <c r="I3958" s="13"/>
      <c r="J3958" s="13"/>
      <c r="K3958" s="15"/>
      <c r="L3958" s="15"/>
      <c r="M3958" s="16"/>
      <c r="N3958" s="37"/>
      <c r="O3958" s="17">
        <v>0.0</v>
      </c>
      <c r="P3958" s="17">
        <v>0.0</v>
      </c>
      <c r="Q3958" s="13"/>
      <c r="R3958" s="29">
        <v>45007.0</v>
      </c>
      <c r="S3958" s="13"/>
      <c r="T3958" s="13">
        <f t="shared" ref="T3958:V3958" si="4250">IF(ISBLANK(K3958)=TRUE,0,1)</f>
        <v>0</v>
      </c>
      <c r="U3958" s="13">
        <f t="shared" si="4250"/>
        <v>0</v>
      </c>
      <c r="V3958" s="13">
        <f t="shared" si="4250"/>
        <v>0</v>
      </c>
      <c r="W3958" s="13">
        <f t="shared" ref="W3958:X3958" si="4251">IF(ISBLANK(O3958)=TRUE,0,1)</f>
        <v>1</v>
      </c>
      <c r="X3958" s="13">
        <f t="shared" si="4251"/>
        <v>1</v>
      </c>
      <c r="Y3958" s="13">
        <f t="shared" si="4241"/>
        <v>1</v>
      </c>
      <c r="Z3958" s="13">
        <f t="shared" si="3023"/>
        <v>0</v>
      </c>
      <c r="AA3958" s="13"/>
      <c r="AB3958" s="13"/>
      <c r="AC3958" s="13"/>
      <c r="AD3958" s="13"/>
      <c r="AE3958" s="13"/>
      <c r="AF3958" s="13"/>
      <c r="AG3958" s="13"/>
      <c r="AH3958" s="13"/>
      <c r="AI3958" s="13"/>
      <c r="AJ3958" s="13"/>
      <c r="AK3958" s="13"/>
      <c r="AL3958" s="13"/>
      <c r="AM3958" s="13"/>
      <c r="AN3958" s="13"/>
      <c r="AO3958" s="13"/>
      <c r="AP3958" s="13"/>
      <c r="AQ3958" s="13"/>
      <c r="AR3958" s="13"/>
      <c r="AS3958" s="13"/>
    </row>
    <row r="3959" ht="14.25" customHeight="1">
      <c r="A3959" s="13" t="s">
        <v>46</v>
      </c>
      <c r="B3959" s="13" t="s">
        <v>53</v>
      </c>
      <c r="C3959" s="13" t="s">
        <v>2027</v>
      </c>
      <c r="D3959" s="13"/>
      <c r="E3959" s="13"/>
      <c r="F3959" s="13"/>
      <c r="G3959" s="13" t="s">
        <v>74</v>
      </c>
      <c r="H3959" s="13" t="s">
        <v>75</v>
      </c>
      <c r="I3959" s="13"/>
      <c r="J3959" s="13"/>
      <c r="K3959" s="15"/>
      <c r="L3959" s="15"/>
      <c r="M3959" s="16"/>
      <c r="N3959" s="37"/>
      <c r="O3959" s="17">
        <v>0.0</v>
      </c>
      <c r="P3959" s="17">
        <v>0.0</v>
      </c>
      <c r="Q3959" s="13"/>
      <c r="R3959" s="29">
        <v>45007.0</v>
      </c>
      <c r="S3959" s="13"/>
      <c r="T3959" s="13">
        <f t="shared" ref="T3959:V3959" si="4252">IF(ISBLANK(K3959)=TRUE,0,1)</f>
        <v>0</v>
      </c>
      <c r="U3959" s="13">
        <f t="shared" si="4252"/>
        <v>0</v>
      </c>
      <c r="V3959" s="13">
        <f t="shared" si="4252"/>
        <v>0</v>
      </c>
      <c r="W3959" s="13">
        <f t="shared" ref="W3959:X3959" si="4253">IF(ISBLANK(O3959)=TRUE,0,1)</f>
        <v>1</v>
      </c>
      <c r="X3959" s="13">
        <f t="shared" si="4253"/>
        <v>1</v>
      </c>
      <c r="Y3959" s="13">
        <f t="shared" si="4241"/>
        <v>1</v>
      </c>
      <c r="Z3959" s="13">
        <f t="shared" si="3023"/>
        <v>0</v>
      </c>
      <c r="AA3959" s="13"/>
      <c r="AB3959" s="13"/>
      <c r="AC3959" s="13"/>
      <c r="AD3959" s="13"/>
      <c r="AE3959" s="13"/>
      <c r="AF3959" s="13"/>
      <c r="AG3959" s="13"/>
      <c r="AH3959" s="13"/>
      <c r="AI3959" s="13"/>
      <c r="AJ3959" s="13"/>
      <c r="AK3959" s="13"/>
      <c r="AL3959" s="13"/>
      <c r="AM3959" s="13"/>
      <c r="AN3959" s="13"/>
      <c r="AO3959" s="13"/>
      <c r="AP3959" s="13"/>
      <c r="AQ3959" s="13"/>
      <c r="AR3959" s="13"/>
      <c r="AS3959" s="13"/>
    </row>
    <row r="3960" ht="14.25" customHeight="1">
      <c r="A3960" s="13" t="s">
        <v>46</v>
      </c>
      <c r="B3960" s="13" t="s">
        <v>53</v>
      </c>
      <c r="C3960" s="13" t="s">
        <v>2028</v>
      </c>
      <c r="D3960" s="13"/>
      <c r="E3960" s="13"/>
      <c r="F3960" s="13"/>
      <c r="G3960" s="13" t="s">
        <v>74</v>
      </c>
      <c r="H3960" s="13" t="s">
        <v>75</v>
      </c>
      <c r="I3960" s="13"/>
      <c r="J3960" s="13"/>
      <c r="K3960" s="15"/>
      <c r="L3960" s="15"/>
      <c r="M3960" s="16"/>
      <c r="N3960" s="37"/>
      <c r="O3960" s="17">
        <v>0.0</v>
      </c>
      <c r="P3960" s="17">
        <v>0.0</v>
      </c>
      <c r="Q3960" s="13"/>
      <c r="R3960" s="29">
        <v>45007.0</v>
      </c>
      <c r="S3960" s="13"/>
      <c r="T3960" s="13">
        <f t="shared" ref="T3960:V3960" si="4254">IF(ISBLANK(K3960)=TRUE,0,1)</f>
        <v>0</v>
      </c>
      <c r="U3960" s="13">
        <f t="shared" si="4254"/>
        <v>0</v>
      </c>
      <c r="V3960" s="13">
        <f t="shared" si="4254"/>
        <v>0</v>
      </c>
      <c r="W3960" s="13">
        <f t="shared" ref="W3960:X3960" si="4255">IF(ISBLANK(O3960)=TRUE,0,1)</f>
        <v>1</v>
      </c>
      <c r="X3960" s="13">
        <f t="shared" si="4255"/>
        <v>1</v>
      </c>
      <c r="Y3960" s="13">
        <f t="shared" si="4241"/>
        <v>1</v>
      </c>
      <c r="Z3960" s="13">
        <f t="shared" si="3023"/>
        <v>0</v>
      </c>
      <c r="AA3960" s="13"/>
      <c r="AB3960" s="13"/>
      <c r="AC3960" s="13"/>
      <c r="AD3960" s="13"/>
      <c r="AE3960" s="13"/>
      <c r="AF3960" s="13"/>
      <c r="AG3960" s="13"/>
      <c r="AH3960" s="13"/>
      <c r="AI3960" s="13"/>
      <c r="AJ3960" s="13"/>
      <c r="AK3960" s="13"/>
      <c r="AL3960" s="13"/>
      <c r="AM3960" s="13"/>
      <c r="AN3960" s="13"/>
      <c r="AO3960" s="13"/>
      <c r="AP3960" s="13"/>
      <c r="AQ3960" s="13"/>
      <c r="AR3960" s="13"/>
      <c r="AS3960" s="13"/>
    </row>
    <row r="3961" ht="14.25" customHeight="1">
      <c r="A3961" s="13" t="s">
        <v>46</v>
      </c>
      <c r="B3961" s="13" t="s">
        <v>53</v>
      </c>
      <c r="C3961" s="13" t="s">
        <v>2029</v>
      </c>
      <c r="D3961" s="13"/>
      <c r="E3961" s="13"/>
      <c r="F3961" s="13"/>
      <c r="G3961" s="13" t="s">
        <v>74</v>
      </c>
      <c r="H3961" s="13" t="s">
        <v>75</v>
      </c>
      <c r="I3961" s="13"/>
      <c r="J3961" s="13"/>
      <c r="K3961" s="15"/>
      <c r="L3961" s="15"/>
      <c r="M3961" s="16"/>
      <c r="N3961" s="37"/>
      <c r="O3961" s="17">
        <v>0.0</v>
      </c>
      <c r="P3961" s="17">
        <v>0.0</v>
      </c>
      <c r="Q3961" s="13"/>
      <c r="R3961" s="29">
        <v>45007.0</v>
      </c>
      <c r="S3961" s="13"/>
      <c r="T3961" s="13">
        <f t="shared" ref="T3961:V3961" si="4256">IF(ISBLANK(K3961)=TRUE,0,1)</f>
        <v>0</v>
      </c>
      <c r="U3961" s="13">
        <f t="shared" si="4256"/>
        <v>0</v>
      </c>
      <c r="V3961" s="13">
        <f t="shared" si="4256"/>
        <v>0</v>
      </c>
      <c r="W3961" s="13">
        <f t="shared" ref="W3961:X3961" si="4257">IF(ISBLANK(O3961)=TRUE,0,1)</f>
        <v>1</v>
      </c>
      <c r="X3961" s="13">
        <f t="shared" si="4257"/>
        <v>1</v>
      </c>
      <c r="Y3961" s="13">
        <f t="shared" si="4241"/>
        <v>1</v>
      </c>
      <c r="Z3961" s="13">
        <f t="shared" si="3023"/>
        <v>0</v>
      </c>
      <c r="AA3961" s="13"/>
      <c r="AB3961" s="13"/>
      <c r="AC3961" s="13"/>
      <c r="AD3961" s="13"/>
      <c r="AE3961" s="13"/>
      <c r="AF3961" s="13"/>
      <c r="AG3961" s="13"/>
      <c r="AH3961" s="13"/>
      <c r="AI3961" s="13"/>
      <c r="AJ3961" s="13"/>
      <c r="AK3961" s="13"/>
      <c r="AL3961" s="13"/>
      <c r="AM3961" s="13"/>
      <c r="AN3961" s="13"/>
      <c r="AO3961" s="13"/>
      <c r="AP3961" s="13"/>
      <c r="AQ3961" s="13"/>
      <c r="AR3961" s="13"/>
      <c r="AS3961" s="13"/>
    </row>
    <row r="3962" ht="14.25" customHeight="1">
      <c r="A3962" s="13" t="s">
        <v>36</v>
      </c>
      <c r="B3962" s="13" t="s">
        <v>42</v>
      </c>
      <c r="C3962" s="13" t="s">
        <v>2030</v>
      </c>
      <c r="D3962" s="13"/>
      <c r="F3962" s="13"/>
      <c r="G3962" s="13" t="s">
        <v>111</v>
      </c>
      <c r="H3962" s="13" t="s">
        <v>75</v>
      </c>
      <c r="I3962" s="13"/>
      <c r="J3962" s="13"/>
      <c r="K3962" s="15">
        <v>0.0</v>
      </c>
      <c r="L3962" s="15">
        <v>0.0</v>
      </c>
      <c r="M3962" s="16"/>
      <c r="N3962" s="16"/>
      <c r="O3962" s="17">
        <v>0.0</v>
      </c>
      <c r="P3962" s="17">
        <v>0.0</v>
      </c>
      <c r="Q3962" s="13"/>
      <c r="R3962" s="14">
        <v>44973.0</v>
      </c>
      <c r="S3962" s="13"/>
      <c r="T3962" s="13">
        <f t="shared" ref="T3962:Y3962" si="4258">IF(ISBLANK(K3962)=TRUE,0,1)</f>
        <v>1</v>
      </c>
      <c r="U3962" s="13">
        <f t="shared" si="4258"/>
        <v>1</v>
      </c>
      <c r="V3962" s="13">
        <f t="shared" si="4258"/>
        <v>0</v>
      </c>
      <c r="W3962" s="13">
        <f t="shared" si="4258"/>
        <v>0</v>
      </c>
      <c r="X3962" s="13">
        <f t="shared" si="4258"/>
        <v>1</v>
      </c>
      <c r="Y3962" s="13">
        <f t="shared" si="4258"/>
        <v>1</v>
      </c>
      <c r="Z3962" s="13">
        <f t="shared" si="3023"/>
        <v>0</v>
      </c>
      <c r="AA3962" s="13" t="s">
        <v>561</v>
      </c>
      <c r="AB3962" s="13"/>
      <c r="AC3962" s="13"/>
      <c r="AD3962" s="13"/>
      <c r="AE3962" s="13"/>
      <c r="AF3962" s="13"/>
      <c r="AG3962" s="13"/>
      <c r="AH3962" s="13"/>
      <c r="AI3962" s="13"/>
      <c r="AJ3962" s="13"/>
      <c r="AK3962" s="13"/>
      <c r="AL3962" s="13"/>
      <c r="AM3962" s="13"/>
      <c r="AN3962" s="13"/>
      <c r="AO3962" s="13"/>
      <c r="AP3962" s="13"/>
      <c r="AQ3962" s="13"/>
      <c r="AR3962" s="13"/>
      <c r="AS3962" s="13"/>
    </row>
    <row r="3963" ht="14.25" customHeight="1">
      <c r="A3963" s="13" t="s">
        <v>46</v>
      </c>
      <c r="B3963" s="13" t="s">
        <v>53</v>
      </c>
      <c r="C3963" s="13" t="s">
        <v>2031</v>
      </c>
      <c r="D3963" s="13"/>
      <c r="E3963" s="13"/>
      <c r="F3963" s="13"/>
      <c r="G3963" s="13" t="s">
        <v>74</v>
      </c>
      <c r="H3963" s="13" t="s">
        <v>75</v>
      </c>
      <c r="I3963" s="13"/>
      <c r="J3963" s="13"/>
      <c r="K3963" s="15"/>
      <c r="L3963" s="15"/>
      <c r="M3963" s="16"/>
      <c r="N3963" s="37"/>
      <c r="O3963" s="17">
        <v>0.0</v>
      </c>
      <c r="P3963" s="17">
        <v>0.0</v>
      </c>
      <c r="Q3963" s="13"/>
      <c r="R3963" s="29">
        <v>45007.0</v>
      </c>
      <c r="S3963" s="13"/>
      <c r="T3963" s="13">
        <f t="shared" ref="T3963:V3963" si="4259">IF(ISBLANK(K3963)=TRUE,0,1)</f>
        <v>0</v>
      </c>
      <c r="U3963" s="13">
        <f t="shared" si="4259"/>
        <v>0</v>
      </c>
      <c r="V3963" s="13">
        <f t="shared" si="4259"/>
        <v>0</v>
      </c>
      <c r="W3963" s="13">
        <f t="shared" ref="W3963:X3963" si="4260">IF(ISBLANK(O3963)=TRUE,0,1)</f>
        <v>1</v>
      </c>
      <c r="X3963" s="13">
        <f t="shared" si="4260"/>
        <v>1</v>
      </c>
      <c r="Y3963" s="13">
        <f t="shared" ref="Y3963:Y3980" si="4263">IF(ISBLANK(#REF!)=TRUE,0,1)</f>
        <v>1</v>
      </c>
      <c r="Z3963" s="13">
        <f t="shared" si="3023"/>
        <v>0</v>
      </c>
      <c r="AA3963" s="13"/>
      <c r="AB3963" s="13"/>
      <c r="AC3963" s="13"/>
      <c r="AD3963" s="13"/>
      <c r="AE3963" s="13"/>
      <c r="AF3963" s="13"/>
      <c r="AG3963" s="13"/>
      <c r="AH3963" s="13"/>
      <c r="AI3963" s="13"/>
      <c r="AJ3963" s="13"/>
      <c r="AK3963" s="13"/>
      <c r="AL3963" s="13"/>
      <c r="AM3963" s="13"/>
      <c r="AN3963" s="13"/>
      <c r="AO3963" s="13"/>
      <c r="AP3963" s="13"/>
      <c r="AQ3963" s="13"/>
      <c r="AR3963" s="13"/>
      <c r="AS3963" s="13"/>
    </row>
    <row r="3964" ht="14.25" customHeight="1">
      <c r="A3964" s="13" t="s">
        <v>46</v>
      </c>
      <c r="B3964" s="13" t="s">
        <v>53</v>
      </c>
      <c r="C3964" s="13" t="s">
        <v>2032</v>
      </c>
      <c r="D3964" s="13"/>
      <c r="E3964" s="13"/>
      <c r="F3964" s="13"/>
      <c r="G3964" s="13" t="s">
        <v>74</v>
      </c>
      <c r="H3964" s="13" t="s">
        <v>75</v>
      </c>
      <c r="I3964" s="13"/>
      <c r="J3964" s="13"/>
      <c r="K3964" s="15"/>
      <c r="L3964" s="15"/>
      <c r="M3964" s="16"/>
      <c r="N3964" s="37"/>
      <c r="O3964" s="17">
        <v>0.0</v>
      </c>
      <c r="P3964" s="17">
        <v>0.0</v>
      </c>
      <c r="Q3964" s="13"/>
      <c r="R3964" s="29">
        <v>45007.0</v>
      </c>
      <c r="S3964" s="13"/>
      <c r="T3964" s="13">
        <f t="shared" ref="T3964:V3964" si="4261">IF(ISBLANK(K3964)=TRUE,0,1)</f>
        <v>0</v>
      </c>
      <c r="U3964" s="13">
        <f t="shared" si="4261"/>
        <v>0</v>
      </c>
      <c r="V3964" s="13">
        <f t="shared" si="4261"/>
        <v>0</v>
      </c>
      <c r="W3964" s="13">
        <f t="shared" ref="W3964:X3964" si="4262">IF(ISBLANK(O3964)=TRUE,0,1)</f>
        <v>1</v>
      </c>
      <c r="X3964" s="13">
        <f t="shared" si="4262"/>
        <v>1</v>
      </c>
      <c r="Y3964" s="13">
        <f t="shared" si="4263"/>
        <v>1</v>
      </c>
      <c r="Z3964" s="13">
        <f t="shared" si="3023"/>
        <v>0</v>
      </c>
      <c r="AA3964" s="13"/>
      <c r="AB3964" s="13"/>
      <c r="AC3964" s="13"/>
      <c r="AD3964" s="13"/>
      <c r="AE3964" s="13"/>
      <c r="AF3964" s="13"/>
      <c r="AG3964" s="13"/>
      <c r="AH3964" s="13"/>
      <c r="AI3964" s="13"/>
      <c r="AJ3964" s="13"/>
      <c r="AK3964" s="13"/>
      <c r="AL3964" s="13"/>
      <c r="AM3964" s="13"/>
      <c r="AN3964" s="13"/>
      <c r="AO3964" s="13"/>
      <c r="AP3964" s="13"/>
      <c r="AQ3964" s="13"/>
      <c r="AR3964" s="13"/>
      <c r="AS3964" s="13"/>
    </row>
    <row r="3965" ht="14.25" customHeight="1">
      <c r="A3965" s="13" t="s">
        <v>46</v>
      </c>
      <c r="B3965" s="13" t="s">
        <v>53</v>
      </c>
      <c r="C3965" s="13" t="s">
        <v>2033</v>
      </c>
      <c r="D3965" s="13"/>
      <c r="E3965" s="13"/>
      <c r="F3965" s="13"/>
      <c r="G3965" s="13" t="s">
        <v>74</v>
      </c>
      <c r="H3965" s="13" t="s">
        <v>75</v>
      </c>
      <c r="I3965" s="13"/>
      <c r="J3965" s="13"/>
      <c r="K3965" s="15"/>
      <c r="L3965" s="15"/>
      <c r="M3965" s="16"/>
      <c r="N3965" s="37"/>
      <c r="O3965" s="17">
        <v>0.0</v>
      </c>
      <c r="P3965" s="17">
        <v>0.0</v>
      </c>
      <c r="Q3965" s="13"/>
      <c r="R3965" s="29">
        <v>45007.0</v>
      </c>
      <c r="S3965" s="13"/>
      <c r="T3965" s="13">
        <f t="shared" ref="T3965:V3965" si="4264">IF(ISBLANK(K3965)=TRUE,0,1)</f>
        <v>0</v>
      </c>
      <c r="U3965" s="13">
        <f t="shared" si="4264"/>
        <v>0</v>
      </c>
      <c r="V3965" s="13">
        <f t="shared" si="4264"/>
        <v>0</v>
      </c>
      <c r="W3965" s="13">
        <f t="shared" ref="W3965:X3965" si="4265">IF(ISBLANK(O3965)=TRUE,0,1)</f>
        <v>1</v>
      </c>
      <c r="X3965" s="13">
        <f t="shared" si="4265"/>
        <v>1</v>
      </c>
      <c r="Y3965" s="13">
        <f t="shared" si="4263"/>
        <v>1</v>
      </c>
      <c r="Z3965" s="13">
        <f t="shared" si="3023"/>
        <v>0</v>
      </c>
      <c r="AA3965" s="13"/>
      <c r="AB3965" s="13"/>
      <c r="AC3965" s="13"/>
      <c r="AD3965" s="13"/>
      <c r="AE3965" s="13"/>
      <c r="AF3965" s="13"/>
      <c r="AG3965" s="13"/>
      <c r="AH3965" s="13"/>
      <c r="AI3965" s="13"/>
      <c r="AJ3965" s="13"/>
      <c r="AK3965" s="13"/>
      <c r="AL3965" s="13"/>
      <c r="AM3965" s="13"/>
      <c r="AN3965" s="13"/>
      <c r="AO3965" s="13"/>
      <c r="AP3965" s="13"/>
      <c r="AQ3965" s="13"/>
      <c r="AR3965" s="13"/>
      <c r="AS3965" s="13"/>
    </row>
    <row r="3966" ht="14.25" customHeight="1">
      <c r="A3966" s="13" t="s">
        <v>46</v>
      </c>
      <c r="B3966" s="13" t="s">
        <v>53</v>
      </c>
      <c r="C3966" s="13" t="s">
        <v>2034</v>
      </c>
      <c r="D3966" s="13"/>
      <c r="E3966" s="13"/>
      <c r="F3966" s="13"/>
      <c r="G3966" s="13" t="s">
        <v>74</v>
      </c>
      <c r="H3966" s="13" t="s">
        <v>75</v>
      </c>
      <c r="I3966" s="13"/>
      <c r="J3966" s="13"/>
      <c r="K3966" s="15"/>
      <c r="L3966" s="15"/>
      <c r="M3966" s="16"/>
      <c r="N3966" s="37"/>
      <c r="O3966" s="17">
        <v>0.0</v>
      </c>
      <c r="P3966" s="17">
        <v>0.0</v>
      </c>
      <c r="Q3966" s="13"/>
      <c r="R3966" s="29">
        <v>45007.0</v>
      </c>
      <c r="S3966" s="13"/>
      <c r="T3966" s="13">
        <f t="shared" ref="T3966:V3966" si="4266">IF(ISBLANK(K3966)=TRUE,0,1)</f>
        <v>0</v>
      </c>
      <c r="U3966" s="13">
        <f t="shared" si="4266"/>
        <v>0</v>
      </c>
      <c r="V3966" s="13">
        <f t="shared" si="4266"/>
        <v>0</v>
      </c>
      <c r="W3966" s="13">
        <f t="shared" ref="W3966:X3966" si="4267">IF(ISBLANK(O3966)=TRUE,0,1)</f>
        <v>1</v>
      </c>
      <c r="X3966" s="13">
        <f t="shared" si="4267"/>
        <v>1</v>
      </c>
      <c r="Y3966" s="13">
        <f t="shared" si="4263"/>
        <v>1</v>
      </c>
      <c r="Z3966" s="13">
        <f t="shared" si="3023"/>
        <v>0</v>
      </c>
      <c r="AA3966" s="13"/>
      <c r="AB3966" s="13"/>
      <c r="AC3966" s="13"/>
      <c r="AD3966" s="13"/>
      <c r="AE3966" s="13"/>
      <c r="AF3966" s="13"/>
      <c r="AG3966" s="13"/>
      <c r="AH3966" s="13"/>
      <c r="AI3966" s="13"/>
      <c r="AJ3966" s="13"/>
      <c r="AK3966" s="13"/>
      <c r="AL3966" s="13"/>
      <c r="AM3966" s="13"/>
      <c r="AN3966" s="13"/>
      <c r="AO3966" s="13"/>
      <c r="AP3966" s="13"/>
      <c r="AQ3966" s="13"/>
      <c r="AR3966" s="13"/>
      <c r="AS3966" s="13"/>
    </row>
    <row r="3967" ht="14.25" customHeight="1">
      <c r="A3967" s="13" t="s">
        <v>46</v>
      </c>
      <c r="B3967" s="13" t="s">
        <v>53</v>
      </c>
      <c r="C3967" s="13" t="s">
        <v>2035</v>
      </c>
      <c r="D3967" s="13"/>
      <c r="E3967" s="13"/>
      <c r="F3967" s="13"/>
      <c r="G3967" s="13" t="s">
        <v>74</v>
      </c>
      <c r="H3967" s="13" t="s">
        <v>75</v>
      </c>
      <c r="I3967" s="13"/>
      <c r="J3967" s="13"/>
      <c r="K3967" s="15"/>
      <c r="L3967" s="15"/>
      <c r="M3967" s="16"/>
      <c r="N3967" s="37"/>
      <c r="O3967" s="17">
        <v>0.0</v>
      </c>
      <c r="P3967" s="17">
        <v>0.0</v>
      </c>
      <c r="Q3967" s="13"/>
      <c r="R3967" s="29">
        <v>45007.0</v>
      </c>
      <c r="S3967" s="13"/>
      <c r="T3967" s="13">
        <f t="shared" ref="T3967:V3967" si="4268">IF(ISBLANK(K3967)=TRUE,0,1)</f>
        <v>0</v>
      </c>
      <c r="U3967" s="13">
        <f t="shared" si="4268"/>
        <v>0</v>
      </c>
      <c r="V3967" s="13">
        <f t="shared" si="4268"/>
        <v>0</v>
      </c>
      <c r="W3967" s="13">
        <f t="shared" ref="W3967:X3967" si="4269">IF(ISBLANK(O3967)=TRUE,0,1)</f>
        <v>1</v>
      </c>
      <c r="X3967" s="13">
        <f t="shared" si="4269"/>
        <v>1</v>
      </c>
      <c r="Y3967" s="13">
        <f t="shared" si="4263"/>
        <v>1</v>
      </c>
      <c r="Z3967" s="13">
        <f t="shared" si="3023"/>
        <v>0</v>
      </c>
      <c r="AA3967" s="13"/>
      <c r="AB3967" s="13"/>
      <c r="AC3967" s="13"/>
      <c r="AD3967" s="13"/>
      <c r="AE3967" s="13"/>
      <c r="AF3967" s="13"/>
      <c r="AG3967" s="13"/>
      <c r="AH3967" s="13"/>
      <c r="AI3967" s="13"/>
      <c r="AJ3967" s="13"/>
      <c r="AK3967" s="13"/>
      <c r="AL3967" s="13"/>
      <c r="AM3967" s="13"/>
      <c r="AN3967" s="13"/>
      <c r="AO3967" s="13"/>
      <c r="AP3967" s="13"/>
      <c r="AQ3967" s="13"/>
      <c r="AR3967" s="13"/>
      <c r="AS3967" s="13"/>
    </row>
    <row r="3968" ht="14.25" customHeight="1">
      <c r="A3968" s="13" t="s">
        <v>46</v>
      </c>
      <c r="B3968" s="13" t="s">
        <v>53</v>
      </c>
      <c r="C3968" s="13" t="s">
        <v>2036</v>
      </c>
      <c r="D3968" s="13"/>
      <c r="E3968" s="13"/>
      <c r="F3968" s="13"/>
      <c r="G3968" s="13" t="s">
        <v>74</v>
      </c>
      <c r="H3968" s="13" t="s">
        <v>75</v>
      </c>
      <c r="I3968" s="13"/>
      <c r="J3968" s="13"/>
      <c r="K3968" s="15"/>
      <c r="L3968" s="15"/>
      <c r="M3968" s="16"/>
      <c r="N3968" s="37"/>
      <c r="O3968" s="17">
        <v>0.0</v>
      </c>
      <c r="P3968" s="17">
        <v>0.0</v>
      </c>
      <c r="Q3968" s="13"/>
      <c r="R3968" s="29">
        <v>45007.0</v>
      </c>
      <c r="S3968" s="13"/>
      <c r="T3968" s="13">
        <f t="shared" ref="T3968:V3968" si="4270">IF(ISBLANK(K3968)=TRUE,0,1)</f>
        <v>0</v>
      </c>
      <c r="U3968" s="13">
        <f t="shared" si="4270"/>
        <v>0</v>
      </c>
      <c r="V3968" s="13">
        <f t="shared" si="4270"/>
        <v>0</v>
      </c>
      <c r="W3968" s="13">
        <f t="shared" ref="W3968:X3968" si="4271">IF(ISBLANK(O3968)=TRUE,0,1)</f>
        <v>1</v>
      </c>
      <c r="X3968" s="13">
        <f t="shared" si="4271"/>
        <v>1</v>
      </c>
      <c r="Y3968" s="13">
        <f t="shared" si="4263"/>
        <v>1</v>
      </c>
      <c r="Z3968" s="13">
        <f t="shared" si="3023"/>
        <v>0</v>
      </c>
      <c r="AA3968" s="13"/>
      <c r="AB3968" s="13"/>
      <c r="AC3968" s="13"/>
      <c r="AD3968" s="13"/>
      <c r="AE3968" s="13"/>
      <c r="AF3968" s="13"/>
      <c r="AG3968" s="13"/>
      <c r="AH3968" s="13"/>
      <c r="AI3968" s="13"/>
      <c r="AJ3968" s="13"/>
      <c r="AK3968" s="13"/>
      <c r="AL3968" s="13"/>
      <c r="AM3968" s="13"/>
      <c r="AN3968" s="13"/>
      <c r="AO3968" s="13"/>
      <c r="AP3968" s="13"/>
      <c r="AQ3968" s="13"/>
      <c r="AR3968" s="13"/>
      <c r="AS3968" s="13"/>
    </row>
    <row r="3969" ht="14.25" customHeight="1">
      <c r="A3969" s="13" t="s">
        <v>46</v>
      </c>
      <c r="B3969" s="13" t="s">
        <v>53</v>
      </c>
      <c r="C3969" s="13" t="s">
        <v>2037</v>
      </c>
      <c r="D3969" s="13"/>
      <c r="E3969" s="13"/>
      <c r="F3969" s="13"/>
      <c r="G3969" s="13" t="s">
        <v>74</v>
      </c>
      <c r="H3969" s="13" t="s">
        <v>75</v>
      </c>
      <c r="I3969" s="13"/>
      <c r="J3969" s="13"/>
      <c r="K3969" s="15"/>
      <c r="L3969" s="15"/>
      <c r="M3969" s="16"/>
      <c r="N3969" s="37"/>
      <c r="O3969" s="17">
        <v>0.0</v>
      </c>
      <c r="P3969" s="17">
        <v>0.0</v>
      </c>
      <c r="Q3969" s="13"/>
      <c r="R3969" s="29">
        <v>45007.0</v>
      </c>
      <c r="S3969" s="13"/>
      <c r="T3969" s="13">
        <f t="shared" ref="T3969:V3969" si="4272">IF(ISBLANK(K3969)=TRUE,0,1)</f>
        <v>0</v>
      </c>
      <c r="U3969" s="13">
        <f t="shared" si="4272"/>
        <v>0</v>
      </c>
      <c r="V3969" s="13">
        <f t="shared" si="4272"/>
        <v>0</v>
      </c>
      <c r="W3969" s="13">
        <f t="shared" ref="W3969:X3969" si="4273">IF(ISBLANK(O3969)=TRUE,0,1)</f>
        <v>1</v>
      </c>
      <c r="X3969" s="13">
        <f t="shared" si="4273"/>
        <v>1</v>
      </c>
      <c r="Y3969" s="13">
        <f t="shared" si="4263"/>
        <v>1</v>
      </c>
      <c r="Z3969" s="13">
        <f t="shared" si="3023"/>
        <v>0</v>
      </c>
      <c r="AA3969" s="13"/>
      <c r="AB3969" s="13"/>
      <c r="AC3969" s="13"/>
      <c r="AD3969" s="13"/>
      <c r="AE3969" s="13"/>
      <c r="AF3969" s="13"/>
      <c r="AG3969" s="13"/>
      <c r="AH3969" s="13"/>
      <c r="AI3969" s="13"/>
      <c r="AJ3969" s="13"/>
      <c r="AK3969" s="13"/>
      <c r="AL3969" s="13"/>
      <c r="AM3969" s="13"/>
      <c r="AN3969" s="13"/>
      <c r="AO3969" s="13"/>
      <c r="AP3969" s="13"/>
      <c r="AQ3969" s="13"/>
      <c r="AR3969" s="13"/>
      <c r="AS3969" s="13"/>
    </row>
    <row r="3970" ht="14.25" customHeight="1">
      <c r="A3970" s="13" t="s">
        <v>46</v>
      </c>
      <c r="B3970" s="13" t="s">
        <v>53</v>
      </c>
      <c r="C3970" s="13" t="s">
        <v>2038</v>
      </c>
      <c r="D3970" s="13"/>
      <c r="E3970" s="13"/>
      <c r="F3970" s="13"/>
      <c r="G3970" s="13" t="s">
        <v>74</v>
      </c>
      <c r="H3970" s="13" t="s">
        <v>75</v>
      </c>
      <c r="I3970" s="13"/>
      <c r="J3970" s="13"/>
      <c r="K3970" s="15"/>
      <c r="L3970" s="15"/>
      <c r="M3970" s="16"/>
      <c r="N3970" s="37"/>
      <c r="O3970" s="17">
        <v>0.0</v>
      </c>
      <c r="P3970" s="17">
        <v>0.0</v>
      </c>
      <c r="Q3970" s="13"/>
      <c r="R3970" s="29">
        <v>45007.0</v>
      </c>
      <c r="S3970" s="13"/>
      <c r="T3970" s="13">
        <f t="shared" ref="T3970:V3970" si="4274">IF(ISBLANK(K3970)=TRUE,0,1)</f>
        <v>0</v>
      </c>
      <c r="U3970" s="13">
        <f t="shared" si="4274"/>
        <v>0</v>
      </c>
      <c r="V3970" s="13">
        <f t="shared" si="4274"/>
        <v>0</v>
      </c>
      <c r="W3970" s="13">
        <f t="shared" ref="W3970:X3970" si="4275">IF(ISBLANK(O3970)=TRUE,0,1)</f>
        <v>1</v>
      </c>
      <c r="X3970" s="13">
        <f t="shared" si="4275"/>
        <v>1</v>
      </c>
      <c r="Y3970" s="13">
        <f t="shared" si="4263"/>
        <v>1</v>
      </c>
      <c r="Z3970" s="13">
        <f t="shared" si="3023"/>
        <v>0</v>
      </c>
      <c r="AA3970" s="13"/>
      <c r="AB3970" s="13"/>
      <c r="AC3970" s="13"/>
      <c r="AD3970" s="13"/>
      <c r="AE3970" s="13"/>
      <c r="AF3970" s="13"/>
      <c r="AG3970" s="13"/>
      <c r="AH3970" s="13"/>
      <c r="AI3970" s="13"/>
      <c r="AJ3970" s="13"/>
      <c r="AK3970" s="13"/>
      <c r="AL3970" s="13"/>
      <c r="AM3970" s="13"/>
      <c r="AN3970" s="13"/>
      <c r="AO3970" s="13"/>
      <c r="AP3970" s="13"/>
      <c r="AQ3970" s="13"/>
      <c r="AR3970" s="13"/>
      <c r="AS3970" s="13"/>
    </row>
    <row r="3971" ht="14.25" customHeight="1">
      <c r="A3971" s="13" t="s">
        <v>46</v>
      </c>
      <c r="B3971" s="13" t="s">
        <v>53</v>
      </c>
      <c r="C3971" s="13" t="s">
        <v>2039</v>
      </c>
      <c r="D3971" s="13"/>
      <c r="E3971" s="13"/>
      <c r="F3971" s="13"/>
      <c r="G3971" s="13" t="s">
        <v>74</v>
      </c>
      <c r="H3971" s="13" t="s">
        <v>75</v>
      </c>
      <c r="I3971" s="13"/>
      <c r="J3971" s="13"/>
      <c r="K3971" s="15"/>
      <c r="L3971" s="15"/>
      <c r="M3971" s="16"/>
      <c r="N3971" s="37"/>
      <c r="O3971" s="17">
        <v>0.0</v>
      </c>
      <c r="P3971" s="17">
        <v>0.0</v>
      </c>
      <c r="Q3971" s="13"/>
      <c r="R3971" s="29">
        <v>45007.0</v>
      </c>
      <c r="S3971" s="13"/>
      <c r="T3971" s="13">
        <f t="shared" ref="T3971:V3971" si="4276">IF(ISBLANK(K3971)=TRUE,0,1)</f>
        <v>0</v>
      </c>
      <c r="U3971" s="13">
        <f t="shared" si="4276"/>
        <v>0</v>
      </c>
      <c r="V3971" s="13">
        <f t="shared" si="4276"/>
        <v>0</v>
      </c>
      <c r="W3971" s="13">
        <f t="shared" ref="W3971:X3971" si="4277">IF(ISBLANK(O3971)=TRUE,0,1)</f>
        <v>1</v>
      </c>
      <c r="X3971" s="13">
        <f t="shared" si="4277"/>
        <v>1</v>
      </c>
      <c r="Y3971" s="13">
        <f t="shared" si="4263"/>
        <v>1</v>
      </c>
      <c r="Z3971" s="13">
        <f t="shared" si="3023"/>
        <v>0</v>
      </c>
      <c r="AA3971" s="13"/>
      <c r="AB3971" s="13"/>
      <c r="AC3971" s="13"/>
      <c r="AD3971" s="13"/>
      <c r="AE3971" s="13"/>
      <c r="AF3971" s="13"/>
      <c r="AG3971" s="13"/>
      <c r="AH3971" s="13"/>
      <c r="AI3971" s="13"/>
      <c r="AJ3971" s="13"/>
      <c r="AK3971" s="13"/>
      <c r="AL3971" s="13"/>
      <c r="AM3971" s="13"/>
      <c r="AN3971" s="13"/>
      <c r="AO3971" s="13"/>
      <c r="AP3971" s="13"/>
      <c r="AQ3971" s="13"/>
      <c r="AR3971" s="13"/>
      <c r="AS3971" s="13"/>
    </row>
    <row r="3972" ht="14.25" customHeight="1">
      <c r="A3972" s="13" t="s">
        <v>46</v>
      </c>
      <c r="B3972" s="13" t="s">
        <v>53</v>
      </c>
      <c r="C3972" s="13" t="s">
        <v>2040</v>
      </c>
      <c r="D3972" s="13"/>
      <c r="E3972" s="13"/>
      <c r="F3972" s="13"/>
      <c r="G3972" s="13" t="s">
        <v>74</v>
      </c>
      <c r="H3972" s="13" t="s">
        <v>75</v>
      </c>
      <c r="I3972" s="13"/>
      <c r="J3972" s="13"/>
      <c r="K3972" s="15"/>
      <c r="L3972" s="15"/>
      <c r="M3972" s="16"/>
      <c r="N3972" s="37"/>
      <c r="O3972" s="17">
        <v>0.0</v>
      </c>
      <c r="P3972" s="17">
        <v>0.0</v>
      </c>
      <c r="Q3972" s="13"/>
      <c r="R3972" s="29">
        <v>45007.0</v>
      </c>
      <c r="S3972" s="13"/>
      <c r="T3972" s="13">
        <f t="shared" ref="T3972:V3972" si="4278">IF(ISBLANK(K3972)=TRUE,0,1)</f>
        <v>0</v>
      </c>
      <c r="U3972" s="13">
        <f t="shared" si="4278"/>
        <v>0</v>
      </c>
      <c r="V3972" s="13">
        <f t="shared" si="4278"/>
        <v>0</v>
      </c>
      <c r="W3972" s="13">
        <f t="shared" ref="W3972:X3972" si="4279">IF(ISBLANK(O3972)=TRUE,0,1)</f>
        <v>1</v>
      </c>
      <c r="X3972" s="13">
        <f t="shared" si="4279"/>
        <v>1</v>
      </c>
      <c r="Y3972" s="13">
        <f t="shared" si="4263"/>
        <v>1</v>
      </c>
      <c r="Z3972" s="13">
        <f t="shared" si="3023"/>
        <v>0</v>
      </c>
      <c r="AA3972" s="13"/>
      <c r="AB3972" s="13"/>
      <c r="AC3972" s="13"/>
      <c r="AD3972" s="13"/>
      <c r="AE3972" s="13"/>
      <c r="AF3972" s="13"/>
      <c r="AG3972" s="13"/>
      <c r="AH3972" s="13"/>
      <c r="AI3972" s="13"/>
      <c r="AJ3972" s="13"/>
      <c r="AK3972" s="13"/>
      <c r="AL3972" s="13"/>
      <c r="AM3972" s="13"/>
      <c r="AN3972" s="13"/>
      <c r="AO3972" s="13"/>
      <c r="AP3972" s="13"/>
      <c r="AQ3972" s="13"/>
      <c r="AR3972" s="13"/>
      <c r="AS3972" s="13"/>
    </row>
    <row r="3973" ht="14.25" customHeight="1">
      <c r="A3973" s="13" t="s">
        <v>46</v>
      </c>
      <c r="B3973" s="13" t="s">
        <v>53</v>
      </c>
      <c r="C3973" s="13" t="s">
        <v>2041</v>
      </c>
      <c r="D3973" s="13"/>
      <c r="E3973" s="13"/>
      <c r="F3973" s="13"/>
      <c r="G3973" s="13" t="s">
        <v>74</v>
      </c>
      <c r="H3973" s="13" t="s">
        <v>75</v>
      </c>
      <c r="I3973" s="13"/>
      <c r="J3973" s="13"/>
      <c r="K3973" s="15"/>
      <c r="L3973" s="15"/>
      <c r="M3973" s="16"/>
      <c r="N3973" s="37"/>
      <c r="O3973" s="17">
        <v>0.0</v>
      </c>
      <c r="P3973" s="17">
        <v>0.0</v>
      </c>
      <c r="Q3973" s="13"/>
      <c r="R3973" s="29">
        <v>45007.0</v>
      </c>
      <c r="S3973" s="13"/>
      <c r="T3973" s="13">
        <f t="shared" ref="T3973:V3973" si="4280">IF(ISBLANK(K3973)=TRUE,0,1)</f>
        <v>0</v>
      </c>
      <c r="U3973" s="13">
        <f t="shared" si="4280"/>
        <v>0</v>
      </c>
      <c r="V3973" s="13">
        <f t="shared" si="4280"/>
        <v>0</v>
      </c>
      <c r="W3973" s="13">
        <f t="shared" ref="W3973:X3973" si="4281">IF(ISBLANK(O3973)=TRUE,0,1)</f>
        <v>1</v>
      </c>
      <c r="X3973" s="13">
        <f t="shared" si="4281"/>
        <v>1</v>
      </c>
      <c r="Y3973" s="13">
        <f t="shared" si="4263"/>
        <v>1</v>
      </c>
      <c r="Z3973" s="13">
        <f t="shared" si="3023"/>
        <v>0</v>
      </c>
      <c r="AA3973" s="13"/>
      <c r="AB3973" s="13"/>
      <c r="AC3973" s="13"/>
      <c r="AD3973" s="13"/>
      <c r="AE3973" s="13"/>
      <c r="AF3973" s="13"/>
      <c r="AG3973" s="13"/>
      <c r="AH3973" s="13"/>
      <c r="AI3973" s="13"/>
      <c r="AJ3973" s="13"/>
      <c r="AK3973" s="13"/>
      <c r="AL3973" s="13"/>
      <c r="AM3973" s="13"/>
      <c r="AN3973" s="13"/>
      <c r="AO3973" s="13"/>
      <c r="AP3973" s="13"/>
      <c r="AQ3973" s="13"/>
      <c r="AR3973" s="13"/>
      <c r="AS3973" s="13"/>
    </row>
    <row r="3974" ht="14.25" customHeight="1">
      <c r="A3974" s="13" t="s">
        <v>46</v>
      </c>
      <c r="B3974" s="13" t="s">
        <v>53</v>
      </c>
      <c r="C3974" s="13" t="s">
        <v>2042</v>
      </c>
      <c r="D3974" s="13"/>
      <c r="E3974" s="13"/>
      <c r="F3974" s="13"/>
      <c r="G3974" s="13" t="s">
        <v>74</v>
      </c>
      <c r="H3974" s="13" t="s">
        <v>75</v>
      </c>
      <c r="I3974" s="13"/>
      <c r="J3974" s="13"/>
      <c r="K3974" s="15"/>
      <c r="L3974" s="15"/>
      <c r="M3974" s="16"/>
      <c r="N3974" s="37"/>
      <c r="O3974" s="17">
        <v>0.0</v>
      </c>
      <c r="P3974" s="17">
        <v>0.0</v>
      </c>
      <c r="Q3974" s="13"/>
      <c r="R3974" s="29">
        <v>45007.0</v>
      </c>
      <c r="S3974" s="13"/>
      <c r="T3974" s="13">
        <f t="shared" ref="T3974:V3974" si="4282">IF(ISBLANK(K3974)=TRUE,0,1)</f>
        <v>0</v>
      </c>
      <c r="U3974" s="13">
        <f t="shared" si="4282"/>
        <v>0</v>
      </c>
      <c r="V3974" s="13">
        <f t="shared" si="4282"/>
        <v>0</v>
      </c>
      <c r="W3974" s="13">
        <f t="shared" ref="W3974:X3974" si="4283">IF(ISBLANK(O3974)=TRUE,0,1)</f>
        <v>1</v>
      </c>
      <c r="X3974" s="13">
        <f t="shared" si="4283"/>
        <v>1</v>
      </c>
      <c r="Y3974" s="13">
        <f t="shared" si="4263"/>
        <v>1</v>
      </c>
      <c r="Z3974" s="13">
        <f t="shared" si="3023"/>
        <v>0</v>
      </c>
      <c r="AA3974" s="13"/>
      <c r="AB3974" s="13"/>
      <c r="AC3974" s="13"/>
      <c r="AD3974" s="13"/>
      <c r="AE3974" s="13"/>
      <c r="AF3974" s="13"/>
      <c r="AG3974" s="13"/>
      <c r="AH3974" s="13"/>
      <c r="AI3974" s="13"/>
      <c r="AJ3974" s="13"/>
      <c r="AK3974" s="13"/>
      <c r="AL3974" s="13"/>
      <c r="AM3974" s="13"/>
      <c r="AN3974" s="13"/>
      <c r="AO3974" s="13"/>
      <c r="AP3974" s="13"/>
      <c r="AQ3974" s="13"/>
      <c r="AR3974" s="13"/>
      <c r="AS3974" s="13"/>
    </row>
    <row r="3975" ht="14.25" customHeight="1">
      <c r="A3975" s="13" t="s">
        <v>46</v>
      </c>
      <c r="B3975" s="13" t="s">
        <v>53</v>
      </c>
      <c r="C3975" s="13" t="s">
        <v>2043</v>
      </c>
      <c r="D3975" s="13"/>
      <c r="E3975" s="13"/>
      <c r="F3975" s="13"/>
      <c r="G3975" s="13" t="s">
        <v>74</v>
      </c>
      <c r="H3975" s="13" t="s">
        <v>75</v>
      </c>
      <c r="I3975" s="13"/>
      <c r="J3975" s="13"/>
      <c r="K3975" s="15"/>
      <c r="L3975" s="15"/>
      <c r="M3975" s="16"/>
      <c r="N3975" s="37"/>
      <c r="O3975" s="17">
        <v>0.0</v>
      </c>
      <c r="P3975" s="17">
        <v>0.0</v>
      </c>
      <c r="Q3975" s="13"/>
      <c r="R3975" s="29">
        <v>45007.0</v>
      </c>
      <c r="S3975" s="13"/>
      <c r="T3975" s="13">
        <f t="shared" ref="T3975:V3975" si="4284">IF(ISBLANK(K3975)=TRUE,0,1)</f>
        <v>0</v>
      </c>
      <c r="U3975" s="13">
        <f t="shared" si="4284"/>
        <v>0</v>
      </c>
      <c r="V3975" s="13">
        <f t="shared" si="4284"/>
        <v>0</v>
      </c>
      <c r="W3975" s="13">
        <f t="shared" ref="W3975:X3975" si="4285">IF(ISBLANK(O3975)=TRUE,0,1)</f>
        <v>1</v>
      </c>
      <c r="X3975" s="13">
        <f t="shared" si="4285"/>
        <v>1</v>
      </c>
      <c r="Y3975" s="13">
        <f t="shared" si="4263"/>
        <v>1</v>
      </c>
      <c r="Z3975" s="13">
        <f t="shared" si="3023"/>
        <v>0</v>
      </c>
      <c r="AA3975" s="13"/>
      <c r="AB3975" s="13"/>
      <c r="AC3975" s="13"/>
      <c r="AD3975" s="13"/>
      <c r="AE3975" s="13"/>
      <c r="AF3975" s="13"/>
      <c r="AG3975" s="13"/>
      <c r="AH3975" s="13"/>
      <c r="AI3975" s="13"/>
      <c r="AJ3975" s="13"/>
      <c r="AK3975" s="13"/>
      <c r="AL3975" s="13"/>
      <c r="AM3975" s="13"/>
      <c r="AN3975" s="13"/>
      <c r="AO3975" s="13"/>
      <c r="AP3975" s="13"/>
      <c r="AQ3975" s="13"/>
      <c r="AR3975" s="13"/>
      <c r="AS3975" s="13"/>
    </row>
    <row r="3976" ht="14.25" customHeight="1">
      <c r="A3976" s="13" t="s">
        <v>46</v>
      </c>
      <c r="B3976" s="13" t="s">
        <v>53</v>
      </c>
      <c r="C3976" s="13" t="s">
        <v>2044</v>
      </c>
      <c r="D3976" s="13"/>
      <c r="E3976" s="13"/>
      <c r="F3976" s="13"/>
      <c r="G3976" s="13" t="s">
        <v>74</v>
      </c>
      <c r="H3976" s="13" t="s">
        <v>75</v>
      </c>
      <c r="I3976" s="13"/>
      <c r="J3976" s="13"/>
      <c r="K3976" s="15"/>
      <c r="L3976" s="15"/>
      <c r="M3976" s="16"/>
      <c r="N3976" s="37"/>
      <c r="O3976" s="17">
        <v>0.0</v>
      </c>
      <c r="P3976" s="17">
        <v>0.0</v>
      </c>
      <c r="Q3976" s="13"/>
      <c r="R3976" s="29">
        <v>45007.0</v>
      </c>
      <c r="S3976" s="13"/>
      <c r="T3976" s="13">
        <f t="shared" ref="T3976:V3976" si="4286">IF(ISBLANK(K3976)=TRUE,0,1)</f>
        <v>0</v>
      </c>
      <c r="U3976" s="13">
        <f t="shared" si="4286"/>
        <v>0</v>
      </c>
      <c r="V3976" s="13">
        <f t="shared" si="4286"/>
        <v>0</v>
      </c>
      <c r="W3976" s="13">
        <f t="shared" ref="W3976:X3976" si="4287">IF(ISBLANK(O3976)=TRUE,0,1)</f>
        <v>1</v>
      </c>
      <c r="X3976" s="13">
        <f t="shared" si="4287"/>
        <v>1</v>
      </c>
      <c r="Y3976" s="13">
        <f t="shared" si="4263"/>
        <v>1</v>
      </c>
      <c r="Z3976" s="13">
        <f t="shared" si="3023"/>
        <v>0</v>
      </c>
      <c r="AA3976" s="13"/>
      <c r="AB3976" s="13"/>
      <c r="AC3976" s="13"/>
      <c r="AD3976" s="13"/>
      <c r="AE3976" s="13"/>
      <c r="AF3976" s="13"/>
      <c r="AG3976" s="13"/>
      <c r="AH3976" s="13"/>
      <c r="AI3976" s="13"/>
      <c r="AJ3976" s="13"/>
      <c r="AK3976" s="13"/>
      <c r="AL3976" s="13"/>
      <c r="AM3976" s="13"/>
      <c r="AN3976" s="13"/>
      <c r="AO3976" s="13"/>
      <c r="AP3976" s="13"/>
      <c r="AQ3976" s="13"/>
      <c r="AR3976" s="13"/>
      <c r="AS3976" s="13"/>
    </row>
    <row r="3977" ht="14.25" customHeight="1">
      <c r="A3977" s="13" t="s">
        <v>46</v>
      </c>
      <c r="B3977" s="13" t="s">
        <v>53</v>
      </c>
      <c r="C3977" s="13" t="s">
        <v>2045</v>
      </c>
      <c r="D3977" s="13"/>
      <c r="E3977" s="13"/>
      <c r="F3977" s="13"/>
      <c r="G3977" s="13" t="s">
        <v>74</v>
      </c>
      <c r="H3977" s="13" t="s">
        <v>75</v>
      </c>
      <c r="I3977" s="13"/>
      <c r="J3977" s="13"/>
      <c r="K3977" s="15"/>
      <c r="L3977" s="15"/>
      <c r="M3977" s="16"/>
      <c r="N3977" s="37"/>
      <c r="O3977" s="17">
        <v>0.0</v>
      </c>
      <c r="P3977" s="17">
        <v>0.0</v>
      </c>
      <c r="Q3977" s="13"/>
      <c r="R3977" s="29">
        <v>45007.0</v>
      </c>
      <c r="S3977" s="13"/>
      <c r="T3977" s="13">
        <f t="shared" ref="T3977:V3977" si="4288">IF(ISBLANK(K3977)=TRUE,0,1)</f>
        <v>0</v>
      </c>
      <c r="U3977" s="13">
        <f t="shared" si="4288"/>
        <v>0</v>
      </c>
      <c r="V3977" s="13">
        <f t="shared" si="4288"/>
        <v>0</v>
      </c>
      <c r="W3977" s="13">
        <f t="shared" ref="W3977:X3977" si="4289">IF(ISBLANK(O3977)=TRUE,0,1)</f>
        <v>1</v>
      </c>
      <c r="X3977" s="13">
        <f t="shared" si="4289"/>
        <v>1</v>
      </c>
      <c r="Y3977" s="13">
        <f t="shared" si="4263"/>
        <v>1</v>
      </c>
      <c r="Z3977" s="13">
        <f t="shared" si="3023"/>
        <v>0</v>
      </c>
      <c r="AA3977" s="13"/>
      <c r="AB3977" s="13"/>
      <c r="AC3977" s="13"/>
      <c r="AD3977" s="13"/>
      <c r="AE3977" s="13"/>
      <c r="AF3977" s="13"/>
      <c r="AG3977" s="13"/>
      <c r="AH3977" s="13"/>
      <c r="AI3977" s="13"/>
      <c r="AJ3977" s="13"/>
      <c r="AK3977" s="13"/>
      <c r="AL3977" s="13"/>
      <c r="AM3977" s="13"/>
      <c r="AN3977" s="13"/>
      <c r="AO3977" s="13"/>
      <c r="AP3977" s="13"/>
      <c r="AQ3977" s="13"/>
      <c r="AR3977" s="13"/>
      <c r="AS3977" s="13"/>
    </row>
    <row r="3978" ht="14.25" customHeight="1">
      <c r="A3978" s="13" t="s">
        <v>46</v>
      </c>
      <c r="B3978" s="13" t="s">
        <v>53</v>
      </c>
      <c r="C3978" s="13" t="s">
        <v>2046</v>
      </c>
      <c r="D3978" s="13"/>
      <c r="E3978" s="13"/>
      <c r="F3978" s="13"/>
      <c r="G3978" s="13" t="s">
        <v>74</v>
      </c>
      <c r="H3978" s="13" t="s">
        <v>75</v>
      </c>
      <c r="I3978" s="13"/>
      <c r="J3978" s="13"/>
      <c r="K3978" s="15"/>
      <c r="L3978" s="15"/>
      <c r="M3978" s="16"/>
      <c r="N3978" s="37"/>
      <c r="O3978" s="17">
        <v>0.0</v>
      </c>
      <c r="P3978" s="17">
        <v>0.0</v>
      </c>
      <c r="Q3978" s="13"/>
      <c r="R3978" s="29">
        <v>45007.0</v>
      </c>
      <c r="S3978" s="13"/>
      <c r="T3978" s="13">
        <f t="shared" ref="T3978:V3978" si="4290">IF(ISBLANK(K3978)=TRUE,0,1)</f>
        <v>0</v>
      </c>
      <c r="U3978" s="13">
        <f t="shared" si="4290"/>
        <v>0</v>
      </c>
      <c r="V3978" s="13">
        <f t="shared" si="4290"/>
        <v>0</v>
      </c>
      <c r="W3978" s="13">
        <f t="shared" ref="W3978:X3978" si="4291">IF(ISBLANK(O3978)=TRUE,0,1)</f>
        <v>1</v>
      </c>
      <c r="X3978" s="13">
        <f t="shared" si="4291"/>
        <v>1</v>
      </c>
      <c r="Y3978" s="13">
        <f t="shared" si="4263"/>
        <v>1</v>
      </c>
      <c r="Z3978" s="13">
        <f t="shared" si="3023"/>
        <v>0</v>
      </c>
      <c r="AA3978" s="13"/>
      <c r="AB3978" s="13"/>
      <c r="AC3978" s="13"/>
      <c r="AD3978" s="13"/>
      <c r="AE3978" s="13"/>
      <c r="AF3978" s="13"/>
      <c r="AG3978" s="13"/>
      <c r="AH3978" s="13"/>
      <c r="AI3978" s="13"/>
      <c r="AJ3978" s="13"/>
      <c r="AK3978" s="13"/>
      <c r="AL3978" s="13"/>
      <c r="AM3978" s="13"/>
      <c r="AN3978" s="13"/>
      <c r="AO3978" s="13"/>
      <c r="AP3978" s="13"/>
      <c r="AQ3978" s="13"/>
      <c r="AR3978" s="13"/>
      <c r="AS3978" s="13"/>
    </row>
    <row r="3979" ht="14.25" customHeight="1">
      <c r="A3979" s="13" t="s">
        <v>46</v>
      </c>
      <c r="B3979" s="13" t="s">
        <v>53</v>
      </c>
      <c r="C3979" s="13" t="s">
        <v>2047</v>
      </c>
      <c r="D3979" s="13"/>
      <c r="E3979" s="13"/>
      <c r="F3979" s="13"/>
      <c r="G3979" s="13" t="s">
        <v>74</v>
      </c>
      <c r="H3979" s="13" t="s">
        <v>75</v>
      </c>
      <c r="I3979" s="13"/>
      <c r="J3979" s="13"/>
      <c r="K3979" s="15"/>
      <c r="L3979" s="15"/>
      <c r="M3979" s="16"/>
      <c r="N3979" s="37"/>
      <c r="O3979" s="17">
        <v>0.0</v>
      </c>
      <c r="P3979" s="17">
        <v>0.0</v>
      </c>
      <c r="Q3979" s="13"/>
      <c r="R3979" s="29">
        <v>45007.0</v>
      </c>
      <c r="S3979" s="13"/>
      <c r="T3979" s="13">
        <f t="shared" ref="T3979:V3979" si="4292">IF(ISBLANK(K3979)=TRUE,0,1)</f>
        <v>0</v>
      </c>
      <c r="U3979" s="13">
        <f t="shared" si="4292"/>
        <v>0</v>
      </c>
      <c r="V3979" s="13">
        <f t="shared" si="4292"/>
        <v>0</v>
      </c>
      <c r="W3979" s="13">
        <f t="shared" ref="W3979:X3979" si="4293">IF(ISBLANK(O3979)=TRUE,0,1)</f>
        <v>1</v>
      </c>
      <c r="X3979" s="13">
        <f t="shared" si="4293"/>
        <v>1</v>
      </c>
      <c r="Y3979" s="13">
        <f t="shared" si="4263"/>
        <v>1</v>
      </c>
      <c r="Z3979" s="13">
        <f t="shared" si="3023"/>
        <v>0</v>
      </c>
      <c r="AA3979" s="13"/>
      <c r="AB3979" s="13"/>
      <c r="AC3979" s="13"/>
      <c r="AD3979" s="13"/>
      <c r="AE3979" s="13"/>
      <c r="AF3979" s="13"/>
      <c r="AG3979" s="13"/>
      <c r="AH3979" s="13"/>
      <c r="AI3979" s="13"/>
      <c r="AJ3979" s="13"/>
      <c r="AK3979" s="13"/>
      <c r="AL3979" s="13"/>
      <c r="AM3979" s="13"/>
      <c r="AN3979" s="13"/>
      <c r="AO3979" s="13"/>
      <c r="AP3979" s="13"/>
      <c r="AQ3979" s="13"/>
      <c r="AR3979" s="13"/>
      <c r="AS3979" s="13"/>
    </row>
    <row r="3980" ht="14.25" customHeight="1">
      <c r="A3980" s="13" t="s">
        <v>46</v>
      </c>
      <c r="B3980" s="13" t="s">
        <v>53</v>
      </c>
      <c r="C3980" s="13" t="s">
        <v>2048</v>
      </c>
      <c r="D3980" s="13"/>
      <c r="E3980" s="13"/>
      <c r="F3980" s="13"/>
      <c r="G3980" s="13" t="s">
        <v>74</v>
      </c>
      <c r="H3980" s="13" t="s">
        <v>75</v>
      </c>
      <c r="I3980" s="13"/>
      <c r="J3980" s="13"/>
      <c r="K3980" s="15"/>
      <c r="L3980" s="15"/>
      <c r="M3980" s="16"/>
      <c r="N3980" s="37"/>
      <c r="O3980" s="17">
        <v>0.0</v>
      </c>
      <c r="P3980" s="17">
        <v>0.0</v>
      </c>
      <c r="Q3980" s="13"/>
      <c r="R3980" s="29">
        <v>45007.0</v>
      </c>
      <c r="S3980" s="13"/>
      <c r="T3980" s="13">
        <f t="shared" ref="T3980:V3980" si="4294">IF(ISBLANK(K3980)=TRUE,0,1)</f>
        <v>0</v>
      </c>
      <c r="U3980" s="13">
        <f t="shared" si="4294"/>
        <v>0</v>
      </c>
      <c r="V3980" s="13">
        <f t="shared" si="4294"/>
        <v>0</v>
      </c>
      <c r="W3980" s="13">
        <f t="shared" ref="W3980:X3980" si="4295">IF(ISBLANK(O3980)=TRUE,0,1)</f>
        <v>1</v>
      </c>
      <c r="X3980" s="13">
        <f t="shared" si="4295"/>
        <v>1</v>
      </c>
      <c r="Y3980" s="13">
        <f t="shared" si="4263"/>
        <v>1</v>
      </c>
      <c r="Z3980" s="13">
        <f t="shared" si="3023"/>
        <v>0</v>
      </c>
      <c r="AA3980" s="13"/>
      <c r="AB3980" s="13"/>
      <c r="AC3980" s="13"/>
      <c r="AD3980" s="13"/>
      <c r="AE3980" s="13"/>
      <c r="AF3980" s="13"/>
      <c r="AG3980" s="13"/>
      <c r="AH3980" s="13"/>
      <c r="AI3980" s="13"/>
      <c r="AJ3980" s="13"/>
      <c r="AK3980" s="13"/>
      <c r="AL3980" s="13"/>
      <c r="AM3980" s="13"/>
      <c r="AN3980" s="13"/>
      <c r="AO3980" s="13"/>
      <c r="AP3980" s="13"/>
      <c r="AQ3980" s="13"/>
      <c r="AR3980" s="13"/>
      <c r="AS3980" s="13"/>
    </row>
    <row r="3981" ht="14.25" customHeight="1">
      <c r="A3981" s="26" t="s">
        <v>46</v>
      </c>
      <c r="B3981" s="31" t="s">
        <v>53</v>
      </c>
      <c r="C3981" s="13">
        <v>79.0</v>
      </c>
      <c r="D3981" s="26" t="s">
        <v>174</v>
      </c>
      <c r="E3981" s="13"/>
      <c r="F3981" s="13"/>
      <c r="G3981" s="26" t="s">
        <v>74</v>
      </c>
      <c r="H3981" s="26" t="s">
        <v>75</v>
      </c>
      <c r="I3981" s="13"/>
      <c r="J3981" s="13"/>
      <c r="K3981" s="15">
        <v>0.0</v>
      </c>
      <c r="L3981" s="15">
        <v>0.0</v>
      </c>
      <c r="M3981" s="16"/>
      <c r="N3981" s="16"/>
      <c r="O3981" s="17"/>
      <c r="P3981" s="17"/>
      <c r="Q3981" s="13"/>
      <c r="R3981" s="13"/>
      <c r="S3981" s="13"/>
      <c r="T3981" s="13">
        <f t="shared" ref="T3981:Y3981" si="4296">IF(ISBLANK(K3981)=TRUE,0,1)</f>
        <v>1</v>
      </c>
      <c r="U3981" s="13">
        <f t="shared" si="4296"/>
        <v>1</v>
      </c>
      <c r="V3981" s="13">
        <f t="shared" si="4296"/>
        <v>0</v>
      </c>
      <c r="W3981" s="13">
        <f t="shared" si="4296"/>
        <v>0</v>
      </c>
      <c r="X3981" s="13">
        <f t="shared" si="4296"/>
        <v>0</v>
      </c>
      <c r="Y3981" s="13">
        <f t="shared" si="4296"/>
        <v>0</v>
      </c>
      <c r="Z3981" s="13">
        <f t="shared" si="3023"/>
        <v>0</v>
      </c>
      <c r="AA3981" s="13"/>
      <c r="AB3981" s="13"/>
      <c r="AC3981" s="13"/>
      <c r="AD3981" s="13"/>
      <c r="AE3981" s="13"/>
      <c r="AF3981" s="13"/>
      <c r="AG3981" s="13"/>
      <c r="AH3981" s="13"/>
      <c r="AI3981" s="13"/>
      <c r="AJ3981" s="13"/>
      <c r="AK3981" s="13"/>
      <c r="AL3981" s="13"/>
      <c r="AM3981" s="13"/>
      <c r="AN3981" s="13"/>
      <c r="AO3981" s="13"/>
      <c r="AP3981" s="13"/>
      <c r="AQ3981" s="13"/>
      <c r="AR3981" s="13"/>
      <c r="AS3981" s="13"/>
    </row>
    <row r="3982" ht="14.25" customHeight="1">
      <c r="A3982" s="26" t="s">
        <v>46</v>
      </c>
      <c r="B3982" s="31" t="s">
        <v>53</v>
      </c>
      <c r="C3982" s="13">
        <v>79.0</v>
      </c>
      <c r="D3982" s="26" t="s">
        <v>175</v>
      </c>
      <c r="E3982" s="13"/>
      <c r="F3982" s="13"/>
      <c r="G3982" s="26" t="s">
        <v>74</v>
      </c>
      <c r="H3982" s="26" t="s">
        <v>75</v>
      </c>
      <c r="I3982" s="13"/>
      <c r="J3982" s="13"/>
      <c r="K3982" s="15">
        <v>0.0</v>
      </c>
      <c r="L3982" s="15">
        <v>0.0</v>
      </c>
      <c r="M3982" s="16"/>
      <c r="N3982" s="16"/>
      <c r="O3982" s="17"/>
      <c r="P3982" s="17"/>
      <c r="Q3982" s="13"/>
      <c r="R3982" s="13"/>
      <c r="S3982" s="13"/>
      <c r="T3982" s="13">
        <f t="shared" ref="T3982:Y3982" si="4297">IF(ISBLANK(K3982)=TRUE,0,1)</f>
        <v>1</v>
      </c>
      <c r="U3982" s="13">
        <f t="shared" si="4297"/>
        <v>1</v>
      </c>
      <c r="V3982" s="13">
        <f t="shared" si="4297"/>
        <v>0</v>
      </c>
      <c r="W3982" s="13">
        <f t="shared" si="4297"/>
        <v>0</v>
      </c>
      <c r="X3982" s="13">
        <f t="shared" si="4297"/>
        <v>0</v>
      </c>
      <c r="Y3982" s="13">
        <f t="shared" si="4297"/>
        <v>0</v>
      </c>
      <c r="Z3982" s="13">
        <f t="shared" si="3023"/>
        <v>0</v>
      </c>
      <c r="AA3982" s="13"/>
      <c r="AB3982" s="13"/>
      <c r="AC3982" s="13"/>
      <c r="AD3982" s="13"/>
      <c r="AE3982" s="13"/>
      <c r="AF3982" s="13"/>
      <c r="AG3982" s="13"/>
      <c r="AH3982" s="13"/>
      <c r="AI3982" s="13"/>
      <c r="AJ3982" s="13"/>
      <c r="AK3982" s="13"/>
      <c r="AL3982" s="13"/>
      <c r="AM3982" s="13"/>
      <c r="AN3982" s="13"/>
      <c r="AO3982" s="13"/>
      <c r="AP3982" s="13"/>
      <c r="AQ3982" s="13"/>
      <c r="AR3982" s="13"/>
      <c r="AS3982" s="13"/>
    </row>
    <row r="3983" ht="14.25" customHeight="1">
      <c r="A3983" s="26" t="s">
        <v>46</v>
      </c>
      <c r="B3983" s="31" t="s">
        <v>53</v>
      </c>
      <c r="C3983" s="13">
        <v>79.0</v>
      </c>
      <c r="D3983" s="26" t="s">
        <v>176</v>
      </c>
      <c r="E3983" s="13"/>
      <c r="F3983" s="13"/>
      <c r="G3983" s="26" t="s">
        <v>74</v>
      </c>
      <c r="H3983" s="26" t="s">
        <v>75</v>
      </c>
      <c r="I3983" s="13"/>
      <c r="J3983" s="13"/>
      <c r="K3983" s="15">
        <v>0.0</v>
      </c>
      <c r="L3983" s="15">
        <v>0.0</v>
      </c>
      <c r="M3983" s="16"/>
      <c r="N3983" s="16"/>
      <c r="O3983" s="17"/>
      <c r="P3983" s="17"/>
      <c r="Q3983" s="13"/>
      <c r="R3983" s="13"/>
      <c r="S3983" s="13"/>
      <c r="T3983" s="13">
        <f t="shared" ref="T3983:Y3983" si="4298">IF(ISBLANK(K3983)=TRUE,0,1)</f>
        <v>1</v>
      </c>
      <c r="U3983" s="13">
        <f t="shared" si="4298"/>
        <v>1</v>
      </c>
      <c r="V3983" s="13">
        <f t="shared" si="4298"/>
        <v>0</v>
      </c>
      <c r="W3983" s="13">
        <f t="shared" si="4298"/>
        <v>0</v>
      </c>
      <c r="X3983" s="13">
        <f t="shared" si="4298"/>
        <v>0</v>
      </c>
      <c r="Y3983" s="13">
        <f t="shared" si="4298"/>
        <v>0</v>
      </c>
      <c r="Z3983" s="13">
        <f t="shared" si="3023"/>
        <v>0</v>
      </c>
      <c r="AA3983" s="13"/>
      <c r="AB3983" s="13"/>
      <c r="AC3983" s="13"/>
      <c r="AD3983" s="13"/>
      <c r="AE3983" s="13"/>
      <c r="AF3983" s="13"/>
      <c r="AG3983" s="13"/>
      <c r="AH3983" s="13"/>
      <c r="AI3983" s="13"/>
      <c r="AJ3983" s="13"/>
      <c r="AK3983" s="13"/>
      <c r="AL3983" s="13"/>
      <c r="AM3983" s="13"/>
      <c r="AN3983" s="13"/>
      <c r="AO3983" s="13"/>
      <c r="AP3983" s="13"/>
      <c r="AQ3983" s="13"/>
      <c r="AR3983" s="13"/>
      <c r="AS3983" s="13"/>
    </row>
    <row r="3984" ht="14.25" customHeight="1">
      <c r="A3984" s="26" t="s">
        <v>46</v>
      </c>
      <c r="B3984" s="31" t="s">
        <v>53</v>
      </c>
      <c r="C3984" s="13">
        <v>79.0</v>
      </c>
      <c r="D3984" s="26" t="s">
        <v>177</v>
      </c>
      <c r="E3984" s="13"/>
      <c r="F3984" s="13"/>
      <c r="G3984" s="26" t="s">
        <v>74</v>
      </c>
      <c r="H3984" s="26" t="s">
        <v>75</v>
      </c>
      <c r="I3984" s="13"/>
      <c r="J3984" s="13"/>
      <c r="K3984" s="15">
        <v>0.0</v>
      </c>
      <c r="L3984" s="15">
        <v>0.0</v>
      </c>
      <c r="M3984" s="16"/>
      <c r="N3984" s="16"/>
      <c r="O3984" s="17"/>
      <c r="P3984" s="17"/>
      <c r="Q3984" s="13"/>
      <c r="R3984" s="13"/>
      <c r="S3984" s="13"/>
      <c r="T3984" s="13">
        <f t="shared" ref="T3984:Y3984" si="4299">IF(ISBLANK(K3984)=TRUE,0,1)</f>
        <v>1</v>
      </c>
      <c r="U3984" s="13">
        <f t="shared" si="4299"/>
        <v>1</v>
      </c>
      <c r="V3984" s="13">
        <f t="shared" si="4299"/>
        <v>0</v>
      </c>
      <c r="W3984" s="13">
        <f t="shared" si="4299"/>
        <v>0</v>
      </c>
      <c r="X3984" s="13">
        <f t="shared" si="4299"/>
        <v>0</v>
      </c>
      <c r="Y3984" s="13">
        <f t="shared" si="4299"/>
        <v>0</v>
      </c>
      <c r="Z3984" s="13">
        <f t="shared" si="3023"/>
        <v>0</v>
      </c>
      <c r="AA3984" s="13"/>
      <c r="AB3984" s="13"/>
      <c r="AC3984" s="13"/>
      <c r="AD3984" s="13"/>
      <c r="AE3984" s="13"/>
      <c r="AF3984" s="13"/>
      <c r="AG3984" s="13"/>
      <c r="AH3984" s="13"/>
      <c r="AI3984" s="13"/>
      <c r="AJ3984" s="13"/>
      <c r="AK3984" s="13"/>
      <c r="AL3984" s="13"/>
      <c r="AM3984" s="13"/>
      <c r="AN3984" s="13"/>
      <c r="AO3984" s="13"/>
      <c r="AP3984" s="13"/>
      <c r="AQ3984" s="13"/>
      <c r="AR3984" s="13"/>
      <c r="AS3984" s="13"/>
    </row>
    <row r="3985" ht="14.25" customHeight="1">
      <c r="A3985" s="26" t="s">
        <v>46</v>
      </c>
      <c r="B3985" s="31" t="s">
        <v>53</v>
      </c>
      <c r="C3985" s="13">
        <v>79.0</v>
      </c>
      <c r="D3985" s="26" t="s">
        <v>178</v>
      </c>
      <c r="E3985" s="13"/>
      <c r="F3985" s="13"/>
      <c r="G3985" s="26" t="s">
        <v>74</v>
      </c>
      <c r="H3985" s="26" t="s">
        <v>75</v>
      </c>
      <c r="I3985" s="13"/>
      <c r="J3985" s="13"/>
      <c r="K3985" s="15">
        <v>0.0</v>
      </c>
      <c r="L3985" s="15">
        <v>0.0</v>
      </c>
      <c r="M3985" s="16"/>
      <c r="N3985" s="16"/>
      <c r="O3985" s="17"/>
      <c r="P3985" s="17"/>
      <c r="Q3985" s="13"/>
      <c r="R3985" s="13"/>
      <c r="S3985" s="13"/>
      <c r="T3985" s="13">
        <f t="shared" ref="T3985:Y3985" si="4300">IF(ISBLANK(K3985)=TRUE,0,1)</f>
        <v>1</v>
      </c>
      <c r="U3985" s="13">
        <f t="shared" si="4300"/>
        <v>1</v>
      </c>
      <c r="V3985" s="13">
        <f t="shared" si="4300"/>
        <v>0</v>
      </c>
      <c r="W3985" s="13">
        <f t="shared" si="4300"/>
        <v>0</v>
      </c>
      <c r="X3985" s="13">
        <f t="shared" si="4300"/>
        <v>0</v>
      </c>
      <c r="Y3985" s="13">
        <f t="shared" si="4300"/>
        <v>0</v>
      </c>
      <c r="Z3985" s="13">
        <f t="shared" si="3023"/>
        <v>0</v>
      </c>
      <c r="AA3985" s="13"/>
      <c r="AB3985" s="13"/>
      <c r="AC3985" s="13"/>
      <c r="AD3985" s="13"/>
      <c r="AE3985" s="13"/>
      <c r="AF3985" s="13"/>
      <c r="AG3985" s="13"/>
      <c r="AH3985" s="13"/>
      <c r="AI3985" s="13"/>
      <c r="AJ3985" s="13"/>
      <c r="AK3985" s="13"/>
      <c r="AL3985" s="13"/>
      <c r="AM3985" s="13"/>
      <c r="AN3985" s="13"/>
      <c r="AO3985" s="13"/>
      <c r="AP3985" s="13"/>
      <c r="AQ3985" s="13"/>
      <c r="AR3985" s="13"/>
      <c r="AS3985" s="13"/>
    </row>
    <row r="3986" ht="14.25" customHeight="1">
      <c r="A3986" s="26" t="s">
        <v>46</v>
      </c>
      <c r="B3986" s="31" t="s">
        <v>53</v>
      </c>
      <c r="C3986" s="13">
        <v>79.0</v>
      </c>
      <c r="D3986" s="26" t="s">
        <v>179</v>
      </c>
      <c r="E3986" s="13"/>
      <c r="F3986" s="13"/>
      <c r="G3986" s="26" t="s">
        <v>74</v>
      </c>
      <c r="H3986" s="26" t="s">
        <v>75</v>
      </c>
      <c r="I3986" s="13"/>
      <c r="J3986" s="13"/>
      <c r="K3986" s="15">
        <v>0.0</v>
      </c>
      <c r="L3986" s="15">
        <v>0.0</v>
      </c>
      <c r="M3986" s="16"/>
      <c r="N3986" s="16"/>
      <c r="O3986" s="17"/>
      <c r="P3986" s="17"/>
      <c r="Q3986" s="13"/>
      <c r="R3986" s="13"/>
      <c r="S3986" s="13"/>
      <c r="T3986" s="13">
        <f t="shared" ref="T3986:Y3986" si="4301">IF(ISBLANK(K3986)=TRUE,0,1)</f>
        <v>1</v>
      </c>
      <c r="U3986" s="13">
        <f t="shared" si="4301"/>
        <v>1</v>
      </c>
      <c r="V3986" s="13">
        <f t="shared" si="4301"/>
        <v>0</v>
      </c>
      <c r="W3986" s="13">
        <f t="shared" si="4301"/>
        <v>0</v>
      </c>
      <c r="X3986" s="13">
        <f t="shared" si="4301"/>
        <v>0</v>
      </c>
      <c r="Y3986" s="13">
        <f t="shared" si="4301"/>
        <v>0</v>
      </c>
      <c r="Z3986" s="13">
        <f t="shared" si="3023"/>
        <v>0</v>
      </c>
      <c r="AA3986" s="13"/>
      <c r="AB3986" s="13"/>
      <c r="AC3986" s="13"/>
      <c r="AD3986" s="13"/>
      <c r="AE3986" s="13"/>
      <c r="AF3986" s="13"/>
      <c r="AG3986" s="13"/>
      <c r="AH3986" s="13"/>
      <c r="AI3986" s="13"/>
      <c r="AJ3986" s="13"/>
      <c r="AK3986" s="13"/>
      <c r="AL3986" s="13"/>
      <c r="AM3986" s="13"/>
      <c r="AN3986" s="13"/>
      <c r="AO3986" s="13"/>
      <c r="AP3986" s="13"/>
      <c r="AQ3986" s="13"/>
      <c r="AR3986" s="13"/>
      <c r="AS3986" s="13"/>
    </row>
    <row r="3987" ht="14.25" customHeight="1">
      <c r="A3987" s="26" t="s">
        <v>46</v>
      </c>
      <c r="B3987" s="31" t="s">
        <v>53</v>
      </c>
      <c r="C3987" s="13">
        <v>79.0</v>
      </c>
      <c r="D3987" s="26" t="s">
        <v>180</v>
      </c>
      <c r="E3987" s="13"/>
      <c r="F3987" s="13"/>
      <c r="G3987" s="26" t="s">
        <v>74</v>
      </c>
      <c r="H3987" s="26" t="s">
        <v>75</v>
      </c>
      <c r="I3987" s="13"/>
      <c r="J3987" s="13"/>
      <c r="K3987" s="15">
        <v>0.0</v>
      </c>
      <c r="L3987" s="15">
        <v>0.0</v>
      </c>
      <c r="M3987" s="16"/>
      <c r="N3987" s="16"/>
      <c r="O3987" s="17"/>
      <c r="P3987" s="17"/>
      <c r="Q3987" s="13"/>
      <c r="R3987" s="13"/>
      <c r="S3987" s="13"/>
      <c r="T3987" s="13">
        <f t="shared" ref="T3987:Y3987" si="4302">IF(ISBLANK(K3987)=TRUE,0,1)</f>
        <v>1</v>
      </c>
      <c r="U3987" s="13">
        <f t="shared" si="4302"/>
        <v>1</v>
      </c>
      <c r="V3987" s="13">
        <f t="shared" si="4302"/>
        <v>0</v>
      </c>
      <c r="W3987" s="13">
        <f t="shared" si="4302"/>
        <v>0</v>
      </c>
      <c r="X3987" s="13">
        <f t="shared" si="4302"/>
        <v>0</v>
      </c>
      <c r="Y3987" s="13">
        <f t="shared" si="4302"/>
        <v>0</v>
      </c>
      <c r="Z3987" s="13">
        <f t="shared" si="3023"/>
        <v>0</v>
      </c>
      <c r="AA3987" s="13"/>
      <c r="AB3987" s="13"/>
      <c r="AC3987" s="13"/>
      <c r="AD3987" s="13"/>
      <c r="AE3987" s="13"/>
      <c r="AF3987" s="13"/>
      <c r="AG3987" s="13"/>
      <c r="AH3987" s="13"/>
      <c r="AI3987" s="13"/>
      <c r="AJ3987" s="13"/>
      <c r="AK3987" s="13"/>
      <c r="AL3987" s="13"/>
      <c r="AM3987" s="13"/>
      <c r="AN3987" s="13"/>
      <c r="AO3987" s="13"/>
      <c r="AP3987" s="13"/>
      <c r="AQ3987" s="13"/>
      <c r="AR3987" s="13"/>
      <c r="AS3987" s="13"/>
    </row>
    <row r="3988" ht="14.25" customHeight="1">
      <c r="A3988" s="26" t="s">
        <v>46</v>
      </c>
      <c r="B3988" s="31" t="s">
        <v>53</v>
      </c>
      <c r="C3988" s="13">
        <v>79.0</v>
      </c>
      <c r="D3988" s="26" t="s">
        <v>181</v>
      </c>
      <c r="E3988" s="13"/>
      <c r="F3988" s="13"/>
      <c r="G3988" s="26" t="s">
        <v>74</v>
      </c>
      <c r="H3988" s="26" t="s">
        <v>75</v>
      </c>
      <c r="I3988" s="13"/>
      <c r="J3988" s="13"/>
      <c r="K3988" s="15">
        <v>0.0</v>
      </c>
      <c r="L3988" s="15">
        <v>0.0</v>
      </c>
      <c r="M3988" s="16"/>
      <c r="N3988" s="16"/>
      <c r="O3988" s="17"/>
      <c r="P3988" s="17"/>
      <c r="Q3988" s="13"/>
      <c r="R3988" s="13"/>
      <c r="S3988" s="13"/>
      <c r="T3988" s="13">
        <f t="shared" ref="T3988:Y3988" si="4303">IF(ISBLANK(K3988)=TRUE,0,1)</f>
        <v>1</v>
      </c>
      <c r="U3988" s="13">
        <f t="shared" si="4303"/>
        <v>1</v>
      </c>
      <c r="V3988" s="13">
        <f t="shared" si="4303"/>
        <v>0</v>
      </c>
      <c r="W3988" s="13">
        <f t="shared" si="4303"/>
        <v>0</v>
      </c>
      <c r="X3988" s="13">
        <f t="shared" si="4303"/>
        <v>0</v>
      </c>
      <c r="Y3988" s="13">
        <f t="shared" si="4303"/>
        <v>0</v>
      </c>
      <c r="Z3988" s="13">
        <f t="shared" si="3023"/>
        <v>0</v>
      </c>
      <c r="AA3988" s="13"/>
      <c r="AB3988" s="13"/>
      <c r="AC3988" s="13"/>
      <c r="AD3988" s="13"/>
      <c r="AE3988" s="13"/>
      <c r="AF3988" s="13"/>
      <c r="AG3988" s="13"/>
      <c r="AH3988" s="13"/>
      <c r="AI3988" s="13"/>
      <c r="AJ3988" s="13"/>
      <c r="AK3988" s="13"/>
      <c r="AL3988" s="13"/>
      <c r="AM3988" s="13"/>
      <c r="AN3988" s="13"/>
      <c r="AO3988" s="13"/>
      <c r="AP3988" s="13"/>
      <c r="AQ3988" s="13"/>
      <c r="AR3988" s="13"/>
      <c r="AS3988" s="13"/>
    </row>
    <row r="3989" ht="14.25" customHeight="1">
      <c r="A3989" s="26" t="s">
        <v>46</v>
      </c>
      <c r="B3989" s="31" t="s">
        <v>53</v>
      </c>
      <c r="C3989" s="13">
        <v>79.0</v>
      </c>
      <c r="D3989" s="26" t="s">
        <v>182</v>
      </c>
      <c r="E3989" s="13"/>
      <c r="F3989" s="13"/>
      <c r="G3989" s="26" t="s">
        <v>74</v>
      </c>
      <c r="H3989" s="26" t="s">
        <v>75</v>
      </c>
      <c r="I3989" s="13"/>
      <c r="J3989" s="13"/>
      <c r="K3989" s="15">
        <v>0.0</v>
      </c>
      <c r="L3989" s="15">
        <v>0.0</v>
      </c>
      <c r="M3989" s="16"/>
      <c r="N3989" s="16"/>
      <c r="O3989" s="17"/>
      <c r="P3989" s="17"/>
      <c r="Q3989" s="13"/>
      <c r="R3989" s="13"/>
      <c r="S3989" s="13"/>
      <c r="T3989" s="13">
        <f t="shared" ref="T3989:Y3989" si="4304">IF(ISBLANK(K3989)=TRUE,0,1)</f>
        <v>1</v>
      </c>
      <c r="U3989" s="13">
        <f t="shared" si="4304"/>
        <v>1</v>
      </c>
      <c r="V3989" s="13">
        <f t="shared" si="4304"/>
        <v>0</v>
      </c>
      <c r="W3989" s="13">
        <f t="shared" si="4304"/>
        <v>0</v>
      </c>
      <c r="X3989" s="13">
        <f t="shared" si="4304"/>
        <v>0</v>
      </c>
      <c r="Y3989" s="13">
        <f t="shared" si="4304"/>
        <v>0</v>
      </c>
      <c r="Z3989" s="13">
        <f t="shared" si="3023"/>
        <v>0</v>
      </c>
      <c r="AA3989" s="13"/>
      <c r="AB3989" s="13"/>
      <c r="AC3989" s="13"/>
      <c r="AD3989" s="13"/>
      <c r="AE3989" s="13"/>
      <c r="AF3989" s="13"/>
      <c r="AG3989" s="13"/>
      <c r="AH3989" s="13"/>
      <c r="AI3989" s="13"/>
      <c r="AJ3989" s="13"/>
      <c r="AK3989" s="13"/>
      <c r="AL3989" s="13"/>
      <c r="AM3989" s="13"/>
      <c r="AN3989" s="13"/>
      <c r="AO3989" s="13"/>
      <c r="AP3989" s="13"/>
      <c r="AQ3989" s="13"/>
      <c r="AR3989" s="13"/>
      <c r="AS3989" s="13"/>
    </row>
    <row r="3990" ht="14.25" customHeight="1">
      <c r="A3990" s="26" t="s">
        <v>46</v>
      </c>
      <c r="B3990" s="31" t="s">
        <v>53</v>
      </c>
      <c r="C3990" s="13">
        <v>79.0</v>
      </c>
      <c r="D3990" s="26" t="s">
        <v>185</v>
      </c>
      <c r="E3990" s="13"/>
      <c r="F3990" s="13"/>
      <c r="G3990" s="26" t="s">
        <v>74</v>
      </c>
      <c r="H3990" s="26" t="s">
        <v>75</v>
      </c>
      <c r="I3990" s="13"/>
      <c r="J3990" s="13"/>
      <c r="K3990" s="15">
        <v>0.0</v>
      </c>
      <c r="L3990" s="15">
        <v>0.0</v>
      </c>
      <c r="M3990" s="16"/>
      <c r="N3990" s="16"/>
      <c r="O3990" s="17"/>
      <c r="P3990" s="17"/>
      <c r="Q3990" s="13"/>
      <c r="R3990" s="13"/>
      <c r="S3990" s="13"/>
      <c r="T3990" s="13">
        <f t="shared" ref="T3990:Y3990" si="4305">IF(ISBLANK(K3990)=TRUE,0,1)</f>
        <v>1</v>
      </c>
      <c r="U3990" s="13">
        <f t="shared" si="4305"/>
        <v>1</v>
      </c>
      <c r="V3990" s="13">
        <f t="shared" si="4305"/>
        <v>0</v>
      </c>
      <c r="W3990" s="13">
        <f t="shared" si="4305"/>
        <v>0</v>
      </c>
      <c r="X3990" s="13">
        <f t="shared" si="4305"/>
        <v>0</v>
      </c>
      <c r="Y3990" s="13">
        <f t="shared" si="4305"/>
        <v>0</v>
      </c>
      <c r="Z3990" s="13">
        <f t="shared" si="3023"/>
        <v>0</v>
      </c>
      <c r="AA3990" s="13"/>
      <c r="AB3990" s="13"/>
      <c r="AC3990" s="13"/>
      <c r="AD3990" s="13"/>
      <c r="AE3990" s="13"/>
      <c r="AF3990" s="13"/>
      <c r="AG3990" s="13"/>
      <c r="AH3990" s="13"/>
      <c r="AI3990" s="13"/>
      <c r="AJ3990" s="13"/>
      <c r="AK3990" s="13"/>
      <c r="AL3990" s="13"/>
      <c r="AM3990" s="13"/>
      <c r="AN3990" s="13"/>
      <c r="AO3990" s="13"/>
      <c r="AP3990" s="13"/>
      <c r="AQ3990" s="13"/>
      <c r="AR3990" s="13"/>
      <c r="AS3990" s="13"/>
    </row>
    <row r="3991" ht="14.25" customHeight="1">
      <c r="A3991" s="13" t="s">
        <v>46</v>
      </c>
      <c r="B3991" s="31" t="s">
        <v>53</v>
      </c>
      <c r="C3991" s="13" t="s">
        <v>2049</v>
      </c>
      <c r="D3991" s="13" t="s">
        <v>174</v>
      </c>
      <c r="E3991" s="13"/>
      <c r="F3991" s="13"/>
      <c r="G3991" s="13" t="s">
        <v>74</v>
      </c>
      <c r="H3991" s="13" t="s">
        <v>75</v>
      </c>
      <c r="I3991" s="13"/>
      <c r="J3991" s="13"/>
      <c r="K3991" s="15">
        <v>0.0</v>
      </c>
      <c r="L3991" s="15">
        <v>0.0</v>
      </c>
      <c r="M3991" s="16"/>
      <c r="N3991" s="16"/>
      <c r="O3991" s="17"/>
      <c r="P3991" s="17"/>
      <c r="Q3991" s="13"/>
      <c r="R3991" s="13"/>
      <c r="S3991" s="13"/>
      <c r="T3991" s="13">
        <f t="shared" ref="T3991:Y3991" si="4306">IF(ISBLANK(K3991)=TRUE,0,1)</f>
        <v>1</v>
      </c>
      <c r="U3991" s="13">
        <f t="shared" si="4306"/>
        <v>1</v>
      </c>
      <c r="V3991" s="13">
        <f t="shared" si="4306"/>
        <v>0</v>
      </c>
      <c r="W3991" s="13">
        <f t="shared" si="4306"/>
        <v>0</v>
      </c>
      <c r="X3991" s="13">
        <f t="shared" si="4306"/>
        <v>0</v>
      </c>
      <c r="Y3991" s="13">
        <f t="shared" si="4306"/>
        <v>0</v>
      </c>
      <c r="Z3991" s="13">
        <f t="shared" si="3023"/>
        <v>0</v>
      </c>
      <c r="AA3991" s="13"/>
      <c r="AB3991" s="13"/>
      <c r="AC3991" s="13"/>
      <c r="AD3991" s="13"/>
      <c r="AE3991" s="13"/>
      <c r="AF3991" s="13"/>
      <c r="AG3991" s="13"/>
      <c r="AH3991" s="13"/>
      <c r="AI3991" s="13"/>
      <c r="AJ3991" s="13"/>
      <c r="AK3991" s="13"/>
      <c r="AL3991" s="13"/>
      <c r="AM3991" s="13"/>
      <c r="AN3991" s="13"/>
      <c r="AO3991" s="13"/>
      <c r="AP3991" s="13"/>
      <c r="AQ3991" s="13"/>
      <c r="AR3991" s="13"/>
      <c r="AS3991" s="13"/>
    </row>
    <row r="3992" ht="14.25" customHeight="1">
      <c r="A3992" s="13" t="s">
        <v>46</v>
      </c>
      <c r="B3992" s="31" t="s">
        <v>53</v>
      </c>
      <c r="C3992" s="13" t="s">
        <v>2049</v>
      </c>
      <c r="D3992" s="13" t="s">
        <v>175</v>
      </c>
      <c r="E3992" s="13"/>
      <c r="F3992" s="13"/>
      <c r="G3992" s="13" t="s">
        <v>74</v>
      </c>
      <c r="H3992" s="13" t="s">
        <v>75</v>
      </c>
      <c r="I3992" s="13"/>
      <c r="J3992" s="13"/>
      <c r="K3992" s="15">
        <v>0.0</v>
      </c>
      <c r="L3992" s="15">
        <v>0.0</v>
      </c>
      <c r="M3992" s="16"/>
      <c r="N3992" s="16"/>
      <c r="O3992" s="17"/>
      <c r="P3992" s="17"/>
      <c r="Q3992" s="13"/>
      <c r="R3992" s="13"/>
      <c r="S3992" s="13"/>
      <c r="T3992" s="13">
        <f t="shared" ref="T3992:Y3992" si="4307">IF(ISBLANK(K3992)=TRUE,0,1)</f>
        <v>1</v>
      </c>
      <c r="U3992" s="13">
        <f t="shared" si="4307"/>
        <v>1</v>
      </c>
      <c r="V3992" s="13">
        <f t="shared" si="4307"/>
        <v>0</v>
      </c>
      <c r="W3992" s="13">
        <f t="shared" si="4307"/>
        <v>0</v>
      </c>
      <c r="X3992" s="13">
        <f t="shared" si="4307"/>
        <v>0</v>
      </c>
      <c r="Y3992" s="13">
        <f t="shared" si="4307"/>
        <v>0</v>
      </c>
      <c r="Z3992" s="13">
        <f t="shared" si="3023"/>
        <v>0</v>
      </c>
      <c r="AA3992" s="13" t="s">
        <v>561</v>
      </c>
      <c r="AB3992" s="13"/>
      <c r="AC3992" s="13"/>
      <c r="AD3992" s="13"/>
      <c r="AE3992" s="13"/>
      <c r="AF3992" s="13"/>
      <c r="AG3992" s="13"/>
      <c r="AH3992" s="13"/>
      <c r="AI3992" s="13"/>
      <c r="AJ3992" s="13"/>
      <c r="AK3992" s="13"/>
      <c r="AL3992" s="13"/>
      <c r="AM3992" s="13"/>
      <c r="AN3992" s="13"/>
      <c r="AO3992" s="13"/>
      <c r="AP3992" s="13"/>
      <c r="AQ3992" s="13"/>
      <c r="AR3992" s="13"/>
      <c r="AS3992" s="13"/>
    </row>
    <row r="3993" ht="14.25" customHeight="1">
      <c r="A3993" s="13" t="s">
        <v>46</v>
      </c>
      <c r="B3993" s="31" t="s">
        <v>53</v>
      </c>
      <c r="C3993" s="13" t="s">
        <v>2049</v>
      </c>
      <c r="D3993" s="13" t="s">
        <v>176</v>
      </c>
      <c r="E3993" s="13"/>
      <c r="F3993" s="13"/>
      <c r="G3993" s="13" t="s">
        <v>74</v>
      </c>
      <c r="H3993" s="13" t="s">
        <v>75</v>
      </c>
      <c r="I3993" s="13"/>
      <c r="J3993" s="13"/>
      <c r="K3993" s="15">
        <v>0.0</v>
      </c>
      <c r="L3993" s="15">
        <v>0.0</v>
      </c>
      <c r="M3993" s="16"/>
      <c r="N3993" s="16"/>
      <c r="O3993" s="17"/>
      <c r="P3993" s="17"/>
      <c r="Q3993" s="13"/>
      <c r="R3993" s="13"/>
      <c r="S3993" s="13"/>
      <c r="T3993" s="13">
        <f t="shared" ref="T3993:Y3993" si="4308">IF(ISBLANK(K3993)=TRUE,0,1)</f>
        <v>1</v>
      </c>
      <c r="U3993" s="13">
        <f t="shared" si="4308"/>
        <v>1</v>
      </c>
      <c r="V3993" s="13">
        <f t="shared" si="4308"/>
        <v>0</v>
      </c>
      <c r="W3993" s="13">
        <f t="shared" si="4308"/>
        <v>0</v>
      </c>
      <c r="X3993" s="13">
        <f t="shared" si="4308"/>
        <v>0</v>
      </c>
      <c r="Y3993" s="13">
        <f t="shared" si="4308"/>
        <v>0</v>
      </c>
      <c r="Z3993" s="13">
        <f t="shared" si="3023"/>
        <v>0</v>
      </c>
      <c r="AA3993" s="13"/>
      <c r="AB3993" s="13"/>
      <c r="AC3993" s="13"/>
      <c r="AD3993" s="13"/>
      <c r="AE3993" s="13"/>
      <c r="AF3993" s="13"/>
      <c r="AG3993" s="13"/>
      <c r="AH3993" s="13"/>
      <c r="AI3993" s="13"/>
      <c r="AJ3993" s="13"/>
      <c r="AK3993" s="13"/>
      <c r="AL3993" s="13"/>
      <c r="AM3993" s="13"/>
      <c r="AN3993" s="13"/>
      <c r="AO3993" s="13"/>
      <c r="AP3993" s="13"/>
      <c r="AQ3993" s="13"/>
      <c r="AR3993" s="13"/>
      <c r="AS3993" s="13"/>
    </row>
    <row r="3994" ht="14.25" customHeight="1">
      <c r="A3994" s="13" t="s">
        <v>46</v>
      </c>
      <c r="B3994" s="31" t="s">
        <v>53</v>
      </c>
      <c r="C3994" s="13" t="s">
        <v>2049</v>
      </c>
      <c r="D3994" s="13" t="s">
        <v>177</v>
      </c>
      <c r="E3994" s="13"/>
      <c r="F3994" s="13"/>
      <c r="G3994" s="13" t="s">
        <v>74</v>
      </c>
      <c r="H3994" s="13" t="s">
        <v>75</v>
      </c>
      <c r="I3994" s="13"/>
      <c r="J3994" s="13"/>
      <c r="K3994" s="15">
        <v>0.0</v>
      </c>
      <c r="L3994" s="15">
        <v>0.0</v>
      </c>
      <c r="M3994" s="16"/>
      <c r="N3994" s="16"/>
      <c r="O3994" s="17"/>
      <c r="P3994" s="17"/>
      <c r="Q3994" s="13"/>
      <c r="R3994" s="13"/>
      <c r="S3994" s="13"/>
      <c r="T3994" s="13">
        <f t="shared" ref="T3994:Y3994" si="4309">IF(ISBLANK(K3994)=TRUE,0,1)</f>
        <v>1</v>
      </c>
      <c r="U3994" s="13">
        <f t="shared" si="4309"/>
        <v>1</v>
      </c>
      <c r="V3994" s="13">
        <f t="shared" si="4309"/>
        <v>0</v>
      </c>
      <c r="W3994" s="13">
        <f t="shared" si="4309"/>
        <v>0</v>
      </c>
      <c r="X3994" s="13">
        <f t="shared" si="4309"/>
        <v>0</v>
      </c>
      <c r="Y3994" s="13">
        <f t="shared" si="4309"/>
        <v>0</v>
      </c>
      <c r="Z3994" s="13">
        <f t="shared" si="3023"/>
        <v>0</v>
      </c>
      <c r="AA3994" s="13"/>
      <c r="AB3994" s="13"/>
      <c r="AC3994" s="13"/>
      <c r="AD3994" s="13"/>
      <c r="AE3994" s="13"/>
      <c r="AF3994" s="13"/>
      <c r="AG3994" s="13"/>
      <c r="AH3994" s="13"/>
      <c r="AI3994" s="13"/>
      <c r="AJ3994" s="13"/>
      <c r="AK3994" s="13"/>
      <c r="AL3994" s="13"/>
      <c r="AM3994" s="13"/>
      <c r="AN3994" s="13"/>
      <c r="AO3994" s="13"/>
      <c r="AP3994" s="13"/>
      <c r="AQ3994" s="13"/>
      <c r="AR3994" s="13"/>
      <c r="AS3994" s="13"/>
    </row>
    <row r="3995" ht="14.25" customHeight="1">
      <c r="A3995" s="13" t="s">
        <v>46</v>
      </c>
      <c r="B3995" s="31" t="s">
        <v>53</v>
      </c>
      <c r="C3995" s="13" t="s">
        <v>2049</v>
      </c>
      <c r="D3995" s="13" t="s">
        <v>178</v>
      </c>
      <c r="E3995" s="13"/>
      <c r="F3995" s="13"/>
      <c r="G3995" s="13" t="s">
        <v>74</v>
      </c>
      <c r="H3995" s="13" t="s">
        <v>75</v>
      </c>
      <c r="I3995" s="13"/>
      <c r="J3995" s="13"/>
      <c r="K3995" s="15">
        <v>0.0</v>
      </c>
      <c r="L3995" s="15">
        <v>0.0</v>
      </c>
      <c r="M3995" s="16"/>
      <c r="N3995" s="16"/>
      <c r="O3995" s="17"/>
      <c r="P3995" s="17"/>
      <c r="Q3995" s="13"/>
      <c r="R3995" s="13"/>
      <c r="S3995" s="13"/>
      <c r="T3995" s="13">
        <f t="shared" ref="T3995:Y3995" si="4310">IF(ISBLANK(K3995)=TRUE,0,1)</f>
        <v>1</v>
      </c>
      <c r="U3995" s="13">
        <f t="shared" si="4310"/>
        <v>1</v>
      </c>
      <c r="V3995" s="13">
        <f t="shared" si="4310"/>
        <v>0</v>
      </c>
      <c r="W3995" s="13">
        <f t="shared" si="4310"/>
        <v>0</v>
      </c>
      <c r="X3995" s="13">
        <f t="shared" si="4310"/>
        <v>0</v>
      </c>
      <c r="Y3995" s="13">
        <f t="shared" si="4310"/>
        <v>0</v>
      </c>
      <c r="Z3995" s="13">
        <f t="shared" si="3023"/>
        <v>0</v>
      </c>
      <c r="AA3995" s="13"/>
      <c r="AB3995" s="13"/>
      <c r="AC3995" s="13"/>
      <c r="AD3995" s="13"/>
      <c r="AE3995" s="13"/>
      <c r="AF3995" s="13"/>
      <c r="AG3995" s="13"/>
      <c r="AH3995" s="13"/>
      <c r="AI3995" s="13"/>
      <c r="AJ3995" s="13"/>
      <c r="AK3995" s="13"/>
      <c r="AL3995" s="13"/>
      <c r="AM3995" s="13"/>
      <c r="AN3995" s="13"/>
      <c r="AO3995" s="13"/>
      <c r="AP3995" s="13"/>
      <c r="AQ3995" s="13"/>
      <c r="AR3995" s="13"/>
      <c r="AS3995" s="13"/>
    </row>
    <row r="3996" ht="14.25" customHeight="1">
      <c r="A3996" s="13" t="s">
        <v>46</v>
      </c>
      <c r="B3996" s="31" t="s">
        <v>53</v>
      </c>
      <c r="C3996" s="13" t="s">
        <v>2049</v>
      </c>
      <c r="D3996" s="13" t="s">
        <v>179</v>
      </c>
      <c r="E3996" s="13"/>
      <c r="F3996" s="13"/>
      <c r="G3996" s="13" t="s">
        <v>74</v>
      </c>
      <c r="H3996" s="13" t="s">
        <v>75</v>
      </c>
      <c r="I3996" s="13"/>
      <c r="J3996" s="13"/>
      <c r="K3996" s="15">
        <v>0.0</v>
      </c>
      <c r="L3996" s="15">
        <v>0.0</v>
      </c>
      <c r="M3996" s="16"/>
      <c r="N3996" s="16"/>
      <c r="O3996" s="17"/>
      <c r="P3996" s="17"/>
      <c r="Q3996" s="13"/>
      <c r="R3996" s="13"/>
      <c r="S3996" s="13"/>
      <c r="T3996" s="13">
        <f t="shared" ref="T3996:Y3996" si="4311">IF(ISBLANK(K3996)=TRUE,0,1)</f>
        <v>1</v>
      </c>
      <c r="U3996" s="13">
        <f t="shared" si="4311"/>
        <v>1</v>
      </c>
      <c r="V3996" s="13">
        <f t="shared" si="4311"/>
        <v>0</v>
      </c>
      <c r="W3996" s="13">
        <f t="shared" si="4311"/>
        <v>0</v>
      </c>
      <c r="X3996" s="13">
        <f t="shared" si="4311"/>
        <v>0</v>
      </c>
      <c r="Y3996" s="13">
        <f t="shared" si="4311"/>
        <v>0</v>
      </c>
      <c r="Z3996" s="13">
        <f t="shared" si="3023"/>
        <v>0</v>
      </c>
      <c r="AA3996" s="13" t="s">
        <v>561</v>
      </c>
      <c r="AB3996" s="13"/>
      <c r="AC3996" s="13"/>
      <c r="AD3996" s="13"/>
      <c r="AE3996" s="13"/>
      <c r="AF3996" s="13"/>
      <c r="AG3996" s="13"/>
      <c r="AH3996" s="13"/>
      <c r="AI3996" s="13"/>
      <c r="AJ3996" s="13"/>
      <c r="AK3996" s="13"/>
      <c r="AL3996" s="13"/>
      <c r="AM3996" s="13"/>
      <c r="AN3996" s="13"/>
      <c r="AO3996" s="13"/>
      <c r="AP3996" s="13"/>
      <c r="AQ3996" s="13"/>
      <c r="AR3996" s="13"/>
      <c r="AS3996" s="13"/>
    </row>
    <row r="3997" ht="14.25" customHeight="1">
      <c r="A3997" s="13" t="s">
        <v>46</v>
      </c>
      <c r="B3997" s="34" t="s">
        <v>53</v>
      </c>
      <c r="C3997" s="13" t="s">
        <v>2050</v>
      </c>
      <c r="D3997" s="13"/>
      <c r="E3997" s="13"/>
      <c r="F3997" s="13"/>
      <c r="G3997" s="13" t="s">
        <v>74</v>
      </c>
      <c r="H3997" s="13" t="s">
        <v>75</v>
      </c>
      <c r="I3997" s="13"/>
      <c r="J3997" s="13"/>
      <c r="K3997" s="15"/>
      <c r="L3997" s="15"/>
      <c r="M3997" s="16"/>
      <c r="N3997" s="16"/>
      <c r="O3997" s="17">
        <v>0.0</v>
      </c>
      <c r="P3997" s="17">
        <v>0.0</v>
      </c>
      <c r="Q3997" s="13"/>
      <c r="R3997" s="13">
        <v>0.0</v>
      </c>
      <c r="S3997" s="13"/>
      <c r="T3997" s="13">
        <f t="shared" ref="T3997:Y3997" si="4312">IF(ISBLANK(K3997)=TRUE,0,1)</f>
        <v>0</v>
      </c>
      <c r="U3997" s="13">
        <f t="shared" si="4312"/>
        <v>0</v>
      </c>
      <c r="V3997" s="13">
        <f t="shared" si="4312"/>
        <v>0</v>
      </c>
      <c r="W3997" s="13">
        <f t="shared" si="4312"/>
        <v>0</v>
      </c>
      <c r="X3997" s="13">
        <f t="shared" si="4312"/>
        <v>1</v>
      </c>
      <c r="Y3997" s="13">
        <f t="shared" si="4312"/>
        <v>1</v>
      </c>
      <c r="Z3997" s="13">
        <f t="shared" si="3023"/>
        <v>0</v>
      </c>
      <c r="AA3997" s="13"/>
      <c r="AB3997" s="13"/>
      <c r="AC3997" s="13"/>
      <c r="AD3997" s="13"/>
      <c r="AE3997" s="13"/>
      <c r="AF3997" s="13"/>
      <c r="AG3997" s="13"/>
      <c r="AH3997" s="13"/>
      <c r="AI3997" s="13"/>
      <c r="AJ3997" s="13"/>
      <c r="AK3997" s="13"/>
      <c r="AL3997" s="13"/>
      <c r="AM3997" s="13"/>
      <c r="AN3997" s="13"/>
      <c r="AO3997" s="13"/>
      <c r="AP3997" s="13"/>
      <c r="AQ3997" s="13"/>
      <c r="AR3997" s="13"/>
      <c r="AS3997" s="13"/>
    </row>
    <row r="3998" ht="14.25" customHeight="1">
      <c r="A3998" s="13" t="s">
        <v>46</v>
      </c>
      <c r="B3998" s="34" t="s">
        <v>53</v>
      </c>
      <c r="C3998" s="13" t="s">
        <v>2051</v>
      </c>
      <c r="D3998" s="13"/>
      <c r="E3998" s="13"/>
      <c r="F3998" s="13"/>
      <c r="G3998" s="13" t="s">
        <v>74</v>
      </c>
      <c r="H3998" s="13" t="s">
        <v>75</v>
      </c>
      <c r="I3998" s="13"/>
      <c r="J3998" s="13"/>
      <c r="K3998" s="15"/>
      <c r="L3998" s="15"/>
      <c r="M3998" s="16"/>
      <c r="N3998" s="16"/>
      <c r="O3998" s="17">
        <v>0.0</v>
      </c>
      <c r="P3998" s="17">
        <v>0.0</v>
      </c>
      <c r="Q3998" s="13"/>
      <c r="R3998" s="13">
        <v>0.0</v>
      </c>
      <c r="S3998" s="13"/>
      <c r="T3998" s="13">
        <f t="shared" ref="T3998:Y3998" si="4313">IF(ISBLANK(K3998)=TRUE,0,1)</f>
        <v>0</v>
      </c>
      <c r="U3998" s="13">
        <f t="shared" si="4313"/>
        <v>0</v>
      </c>
      <c r="V3998" s="13">
        <f t="shared" si="4313"/>
        <v>0</v>
      </c>
      <c r="W3998" s="13">
        <f t="shared" si="4313"/>
        <v>0</v>
      </c>
      <c r="X3998" s="13">
        <f t="shared" si="4313"/>
        <v>1</v>
      </c>
      <c r="Y3998" s="13">
        <f t="shared" si="4313"/>
        <v>1</v>
      </c>
      <c r="Z3998" s="13">
        <f t="shared" si="3023"/>
        <v>0</v>
      </c>
      <c r="AA3998" s="13"/>
      <c r="AB3998" s="13"/>
      <c r="AC3998" s="13"/>
      <c r="AD3998" s="13"/>
      <c r="AE3998" s="13"/>
      <c r="AF3998" s="13"/>
      <c r="AG3998" s="13"/>
      <c r="AH3998" s="13"/>
      <c r="AI3998" s="13"/>
      <c r="AJ3998" s="13"/>
      <c r="AK3998" s="13"/>
      <c r="AL3998" s="13"/>
      <c r="AM3998" s="13"/>
      <c r="AN3998" s="13"/>
      <c r="AO3998" s="13"/>
      <c r="AP3998" s="13"/>
      <c r="AQ3998" s="13"/>
      <c r="AR3998" s="13"/>
      <c r="AS3998" s="13"/>
    </row>
    <row r="3999" ht="14.25" customHeight="1">
      <c r="A3999" s="13" t="s">
        <v>46</v>
      </c>
      <c r="B3999" s="34" t="s">
        <v>53</v>
      </c>
      <c r="C3999" s="13" t="s">
        <v>2052</v>
      </c>
      <c r="D3999" s="13"/>
      <c r="E3999" s="13"/>
      <c r="F3999" s="13"/>
      <c r="G3999" s="13" t="s">
        <v>74</v>
      </c>
      <c r="H3999" s="13" t="s">
        <v>75</v>
      </c>
      <c r="I3999" s="13"/>
      <c r="J3999" s="13"/>
      <c r="K3999" s="15"/>
      <c r="L3999" s="15"/>
      <c r="M3999" s="16"/>
      <c r="N3999" s="16"/>
      <c r="O3999" s="17">
        <v>0.0</v>
      </c>
      <c r="P3999" s="17">
        <v>0.0</v>
      </c>
      <c r="Q3999" s="13"/>
      <c r="R3999" s="13">
        <v>0.0</v>
      </c>
      <c r="S3999" s="13"/>
      <c r="T3999" s="13">
        <f t="shared" ref="T3999:Y3999" si="4314">IF(ISBLANK(K3999)=TRUE,0,1)</f>
        <v>0</v>
      </c>
      <c r="U3999" s="13">
        <f t="shared" si="4314"/>
        <v>0</v>
      </c>
      <c r="V3999" s="13">
        <f t="shared" si="4314"/>
        <v>0</v>
      </c>
      <c r="W3999" s="13">
        <f t="shared" si="4314"/>
        <v>0</v>
      </c>
      <c r="X3999" s="13">
        <f t="shared" si="4314"/>
        <v>1</v>
      </c>
      <c r="Y3999" s="13">
        <f t="shared" si="4314"/>
        <v>1</v>
      </c>
      <c r="Z3999" s="13">
        <f t="shared" si="3023"/>
        <v>0</v>
      </c>
      <c r="AA3999" s="13"/>
      <c r="AB3999" s="13"/>
      <c r="AC3999" s="13"/>
      <c r="AD3999" s="13"/>
      <c r="AE3999" s="13"/>
      <c r="AF3999" s="13"/>
      <c r="AG3999" s="13"/>
      <c r="AH3999" s="13"/>
      <c r="AI3999" s="13"/>
      <c r="AJ3999" s="13"/>
      <c r="AK3999" s="13"/>
      <c r="AL3999" s="13"/>
      <c r="AM3999" s="13"/>
      <c r="AN3999" s="13"/>
      <c r="AO3999" s="13"/>
      <c r="AP3999" s="13"/>
      <c r="AQ3999" s="13"/>
      <c r="AR3999" s="13"/>
      <c r="AS3999" s="13"/>
    </row>
    <row r="4000" ht="14.25" customHeight="1">
      <c r="A4000" s="13" t="s">
        <v>46</v>
      </c>
      <c r="B4000" s="34" t="s">
        <v>53</v>
      </c>
      <c r="C4000" s="13" t="s">
        <v>2053</v>
      </c>
      <c r="D4000" s="13"/>
      <c r="E4000" s="13"/>
      <c r="F4000" s="13"/>
      <c r="G4000" s="13" t="s">
        <v>74</v>
      </c>
      <c r="H4000" s="13" t="s">
        <v>75</v>
      </c>
      <c r="I4000" s="13"/>
      <c r="J4000" s="13"/>
      <c r="K4000" s="15"/>
      <c r="L4000" s="15"/>
      <c r="M4000" s="16"/>
      <c r="N4000" s="16"/>
      <c r="O4000" s="17">
        <v>0.0</v>
      </c>
      <c r="P4000" s="17">
        <v>0.0</v>
      </c>
      <c r="Q4000" s="13"/>
      <c r="R4000" s="13">
        <v>0.0</v>
      </c>
      <c r="S4000" s="13"/>
      <c r="T4000" s="13">
        <f t="shared" ref="T4000:Y4000" si="4315">IF(ISBLANK(K4000)=TRUE,0,1)</f>
        <v>0</v>
      </c>
      <c r="U4000" s="13">
        <f t="shared" si="4315"/>
        <v>0</v>
      </c>
      <c r="V4000" s="13">
        <f t="shared" si="4315"/>
        <v>0</v>
      </c>
      <c r="W4000" s="13">
        <f t="shared" si="4315"/>
        <v>0</v>
      </c>
      <c r="X4000" s="13">
        <f t="shared" si="4315"/>
        <v>1</v>
      </c>
      <c r="Y4000" s="13">
        <f t="shared" si="4315"/>
        <v>1</v>
      </c>
      <c r="Z4000" s="13">
        <f t="shared" si="3023"/>
        <v>0</v>
      </c>
      <c r="AA4000" s="13"/>
      <c r="AB4000" s="13"/>
      <c r="AC4000" s="13"/>
      <c r="AD4000" s="13"/>
      <c r="AE4000" s="13"/>
      <c r="AF4000" s="13"/>
      <c r="AG4000" s="13"/>
      <c r="AH4000" s="13"/>
      <c r="AI4000" s="13"/>
      <c r="AJ4000" s="13"/>
      <c r="AK4000" s="13"/>
      <c r="AL4000" s="13"/>
      <c r="AM4000" s="13"/>
      <c r="AN4000" s="13"/>
      <c r="AO4000" s="13"/>
      <c r="AP4000" s="13"/>
      <c r="AQ4000" s="13"/>
      <c r="AR4000" s="13"/>
      <c r="AS4000" s="13"/>
    </row>
    <row r="4001" ht="14.25" customHeight="1">
      <c r="A4001" s="13" t="s">
        <v>46</v>
      </c>
      <c r="B4001" s="34" t="s">
        <v>53</v>
      </c>
      <c r="C4001" s="13" t="s">
        <v>2054</v>
      </c>
      <c r="D4001" s="13"/>
      <c r="E4001" s="13"/>
      <c r="F4001" s="13"/>
      <c r="G4001" s="13" t="s">
        <v>74</v>
      </c>
      <c r="H4001" s="13" t="s">
        <v>75</v>
      </c>
      <c r="I4001" s="13"/>
      <c r="J4001" s="13"/>
      <c r="K4001" s="15"/>
      <c r="L4001" s="15"/>
      <c r="M4001" s="16"/>
      <c r="N4001" s="16"/>
      <c r="O4001" s="17">
        <v>0.0</v>
      </c>
      <c r="P4001" s="17">
        <v>0.0</v>
      </c>
      <c r="Q4001" s="13"/>
      <c r="R4001" s="13">
        <v>0.0</v>
      </c>
      <c r="S4001" s="13"/>
      <c r="T4001" s="13">
        <f t="shared" ref="T4001:Y4001" si="4316">IF(ISBLANK(K4001)=TRUE,0,1)</f>
        <v>0</v>
      </c>
      <c r="U4001" s="13">
        <f t="shared" si="4316"/>
        <v>0</v>
      </c>
      <c r="V4001" s="13">
        <f t="shared" si="4316"/>
        <v>0</v>
      </c>
      <c r="W4001" s="13">
        <f t="shared" si="4316"/>
        <v>0</v>
      </c>
      <c r="X4001" s="13">
        <f t="shared" si="4316"/>
        <v>1</v>
      </c>
      <c r="Y4001" s="13">
        <f t="shared" si="4316"/>
        <v>1</v>
      </c>
      <c r="Z4001" s="13">
        <f t="shared" si="3023"/>
        <v>0</v>
      </c>
      <c r="AA4001" s="13"/>
      <c r="AB4001" s="13"/>
      <c r="AC4001" s="13"/>
      <c r="AD4001" s="13"/>
      <c r="AE4001" s="13"/>
      <c r="AF4001" s="13"/>
      <c r="AG4001" s="13"/>
      <c r="AH4001" s="13"/>
      <c r="AI4001" s="13"/>
      <c r="AJ4001" s="13"/>
      <c r="AK4001" s="13"/>
      <c r="AL4001" s="13"/>
      <c r="AM4001" s="13"/>
      <c r="AN4001" s="13"/>
      <c r="AO4001" s="13"/>
      <c r="AP4001" s="13"/>
      <c r="AQ4001" s="13"/>
      <c r="AR4001" s="13"/>
      <c r="AS4001" s="13"/>
    </row>
    <row r="4002" ht="14.25" customHeight="1">
      <c r="A4002" s="13" t="s">
        <v>46</v>
      </c>
      <c r="B4002" s="34" t="s">
        <v>53</v>
      </c>
      <c r="C4002" s="13" t="s">
        <v>2055</v>
      </c>
      <c r="D4002" s="13"/>
      <c r="E4002" s="13"/>
      <c r="F4002" s="13"/>
      <c r="G4002" s="13" t="s">
        <v>74</v>
      </c>
      <c r="H4002" s="13" t="s">
        <v>75</v>
      </c>
      <c r="I4002" s="13"/>
      <c r="J4002" s="13"/>
      <c r="K4002" s="15"/>
      <c r="L4002" s="15"/>
      <c r="M4002" s="16"/>
      <c r="N4002" s="16"/>
      <c r="O4002" s="17">
        <v>0.0</v>
      </c>
      <c r="P4002" s="17">
        <v>0.0</v>
      </c>
      <c r="Q4002" s="13"/>
      <c r="R4002" s="13">
        <v>0.0</v>
      </c>
      <c r="S4002" s="13"/>
      <c r="T4002" s="13">
        <f t="shared" ref="T4002:Y4002" si="4317">IF(ISBLANK(K4002)=TRUE,0,1)</f>
        <v>0</v>
      </c>
      <c r="U4002" s="13">
        <f t="shared" si="4317"/>
        <v>0</v>
      </c>
      <c r="V4002" s="13">
        <f t="shared" si="4317"/>
        <v>0</v>
      </c>
      <c r="W4002" s="13">
        <f t="shared" si="4317"/>
        <v>0</v>
      </c>
      <c r="X4002" s="13">
        <f t="shared" si="4317"/>
        <v>1</v>
      </c>
      <c r="Y4002" s="13">
        <f t="shared" si="4317"/>
        <v>1</v>
      </c>
      <c r="Z4002" s="13">
        <f t="shared" si="3023"/>
        <v>0</v>
      </c>
      <c r="AA4002" s="13"/>
      <c r="AB4002" s="13"/>
      <c r="AC4002" s="13"/>
      <c r="AD4002" s="13"/>
      <c r="AE4002" s="13"/>
      <c r="AF4002" s="13"/>
      <c r="AG4002" s="13"/>
      <c r="AH4002" s="13"/>
      <c r="AI4002" s="13"/>
      <c r="AJ4002" s="13"/>
      <c r="AK4002" s="13"/>
      <c r="AL4002" s="13"/>
      <c r="AM4002" s="13"/>
      <c r="AN4002" s="13"/>
      <c r="AO4002" s="13"/>
      <c r="AP4002" s="13"/>
      <c r="AQ4002" s="13"/>
      <c r="AR4002" s="13"/>
      <c r="AS4002" s="13"/>
    </row>
    <row r="4003" ht="14.25" customHeight="1">
      <c r="A4003" s="13" t="s">
        <v>46</v>
      </c>
      <c r="B4003" s="34" t="s">
        <v>53</v>
      </c>
      <c r="C4003" s="13" t="s">
        <v>2056</v>
      </c>
      <c r="D4003" s="13"/>
      <c r="E4003" s="13"/>
      <c r="F4003" s="13"/>
      <c r="G4003" s="13" t="s">
        <v>74</v>
      </c>
      <c r="H4003" s="13" t="s">
        <v>75</v>
      </c>
      <c r="I4003" s="13"/>
      <c r="J4003" s="13"/>
      <c r="K4003" s="15"/>
      <c r="L4003" s="15"/>
      <c r="M4003" s="16"/>
      <c r="N4003" s="16"/>
      <c r="O4003" s="17">
        <v>0.0</v>
      </c>
      <c r="P4003" s="17">
        <v>0.0</v>
      </c>
      <c r="Q4003" s="13"/>
      <c r="R4003" s="13">
        <v>0.0</v>
      </c>
      <c r="S4003" s="13"/>
      <c r="T4003" s="13">
        <f t="shared" ref="T4003:Y4003" si="4318">IF(ISBLANK(K4003)=TRUE,0,1)</f>
        <v>0</v>
      </c>
      <c r="U4003" s="13">
        <f t="shared" si="4318"/>
        <v>0</v>
      </c>
      <c r="V4003" s="13">
        <f t="shared" si="4318"/>
        <v>0</v>
      </c>
      <c r="W4003" s="13">
        <f t="shared" si="4318"/>
        <v>0</v>
      </c>
      <c r="X4003" s="13">
        <f t="shared" si="4318"/>
        <v>1</v>
      </c>
      <c r="Y4003" s="13">
        <f t="shared" si="4318"/>
        <v>1</v>
      </c>
      <c r="Z4003" s="13">
        <f t="shared" si="3023"/>
        <v>0</v>
      </c>
      <c r="AA4003" s="13"/>
      <c r="AB4003" s="13"/>
      <c r="AC4003" s="13"/>
      <c r="AD4003" s="13"/>
      <c r="AE4003" s="13"/>
      <c r="AF4003" s="13"/>
      <c r="AG4003" s="13"/>
      <c r="AH4003" s="13"/>
      <c r="AI4003" s="13"/>
      <c r="AJ4003" s="13"/>
      <c r="AK4003" s="13"/>
      <c r="AL4003" s="13"/>
      <c r="AM4003" s="13"/>
      <c r="AN4003" s="13"/>
      <c r="AO4003" s="13"/>
      <c r="AP4003" s="13"/>
      <c r="AQ4003" s="13"/>
      <c r="AR4003" s="13"/>
      <c r="AS4003" s="13"/>
    </row>
    <row r="4004" ht="14.25" customHeight="1">
      <c r="A4004" s="13" t="s">
        <v>46</v>
      </c>
      <c r="B4004" s="34" t="s">
        <v>53</v>
      </c>
      <c r="C4004" s="13" t="s">
        <v>2057</v>
      </c>
      <c r="D4004" s="13"/>
      <c r="E4004" s="13"/>
      <c r="F4004" s="13"/>
      <c r="G4004" s="13" t="s">
        <v>74</v>
      </c>
      <c r="H4004" s="13" t="s">
        <v>75</v>
      </c>
      <c r="I4004" s="13"/>
      <c r="J4004" s="13"/>
      <c r="K4004" s="15"/>
      <c r="L4004" s="15"/>
      <c r="M4004" s="16"/>
      <c r="N4004" s="16"/>
      <c r="O4004" s="17">
        <v>0.0</v>
      </c>
      <c r="P4004" s="17">
        <v>0.0</v>
      </c>
      <c r="Q4004" s="13"/>
      <c r="R4004" s="13">
        <v>0.0</v>
      </c>
      <c r="S4004" s="13"/>
      <c r="T4004" s="13">
        <f t="shared" ref="T4004:Y4004" si="4319">IF(ISBLANK(K4004)=TRUE,0,1)</f>
        <v>0</v>
      </c>
      <c r="U4004" s="13">
        <f t="shared" si="4319"/>
        <v>0</v>
      </c>
      <c r="V4004" s="13">
        <f t="shared" si="4319"/>
        <v>0</v>
      </c>
      <c r="W4004" s="13">
        <f t="shared" si="4319"/>
        <v>0</v>
      </c>
      <c r="X4004" s="13">
        <f t="shared" si="4319"/>
        <v>1</v>
      </c>
      <c r="Y4004" s="13">
        <f t="shared" si="4319"/>
        <v>1</v>
      </c>
      <c r="Z4004" s="13">
        <f t="shared" si="3023"/>
        <v>0</v>
      </c>
      <c r="AA4004" s="13"/>
      <c r="AB4004" s="13"/>
      <c r="AC4004" s="13"/>
      <c r="AD4004" s="13"/>
      <c r="AE4004" s="13"/>
      <c r="AF4004" s="13"/>
      <c r="AG4004" s="13"/>
      <c r="AH4004" s="13"/>
      <c r="AI4004" s="13"/>
      <c r="AJ4004" s="13"/>
      <c r="AK4004" s="13"/>
      <c r="AL4004" s="13"/>
      <c r="AM4004" s="13"/>
      <c r="AN4004" s="13"/>
      <c r="AO4004" s="13"/>
      <c r="AP4004" s="13"/>
      <c r="AQ4004" s="13"/>
      <c r="AR4004" s="13"/>
      <c r="AS4004" s="13"/>
    </row>
    <row r="4005" ht="14.25" customHeight="1">
      <c r="A4005" s="13" t="s">
        <v>46</v>
      </c>
      <c r="B4005" s="34" t="s">
        <v>53</v>
      </c>
      <c r="C4005" s="13" t="s">
        <v>2058</v>
      </c>
      <c r="D4005" s="13"/>
      <c r="E4005" s="13"/>
      <c r="F4005" s="13"/>
      <c r="G4005" s="13" t="s">
        <v>74</v>
      </c>
      <c r="H4005" s="13" t="s">
        <v>75</v>
      </c>
      <c r="I4005" s="13"/>
      <c r="J4005" s="13"/>
      <c r="K4005" s="15"/>
      <c r="L4005" s="15"/>
      <c r="M4005" s="16"/>
      <c r="N4005" s="16"/>
      <c r="O4005" s="17">
        <v>0.0</v>
      </c>
      <c r="P4005" s="17">
        <v>0.0</v>
      </c>
      <c r="Q4005" s="13"/>
      <c r="R4005" s="13">
        <v>0.0</v>
      </c>
      <c r="S4005" s="13"/>
      <c r="T4005" s="13">
        <f t="shared" ref="T4005:Y4005" si="4320">IF(ISBLANK(K4005)=TRUE,0,1)</f>
        <v>0</v>
      </c>
      <c r="U4005" s="13">
        <f t="shared" si="4320"/>
        <v>0</v>
      </c>
      <c r="V4005" s="13">
        <f t="shared" si="4320"/>
        <v>0</v>
      </c>
      <c r="W4005" s="13">
        <f t="shared" si="4320"/>
        <v>0</v>
      </c>
      <c r="X4005" s="13">
        <f t="shared" si="4320"/>
        <v>1</v>
      </c>
      <c r="Y4005" s="13">
        <f t="shared" si="4320"/>
        <v>1</v>
      </c>
      <c r="Z4005" s="13">
        <f t="shared" si="3023"/>
        <v>0</v>
      </c>
      <c r="AA4005" s="13"/>
      <c r="AB4005" s="13"/>
      <c r="AC4005" s="13"/>
      <c r="AD4005" s="13"/>
      <c r="AE4005" s="13"/>
      <c r="AF4005" s="13"/>
      <c r="AG4005" s="13"/>
      <c r="AH4005" s="13"/>
      <c r="AI4005" s="13"/>
      <c r="AJ4005" s="13"/>
      <c r="AK4005" s="13"/>
      <c r="AL4005" s="13"/>
      <c r="AM4005" s="13"/>
      <c r="AN4005" s="13"/>
      <c r="AO4005" s="13"/>
      <c r="AP4005" s="13"/>
      <c r="AQ4005" s="13"/>
      <c r="AR4005" s="13"/>
      <c r="AS4005" s="13"/>
    </row>
    <row r="4006" ht="14.25" customHeight="1">
      <c r="A4006" s="13" t="s">
        <v>46</v>
      </c>
      <c r="B4006" s="34" t="s">
        <v>53</v>
      </c>
      <c r="C4006" s="13" t="s">
        <v>2059</v>
      </c>
      <c r="D4006" s="13"/>
      <c r="E4006" s="13"/>
      <c r="F4006" s="13"/>
      <c r="G4006" s="13" t="s">
        <v>74</v>
      </c>
      <c r="H4006" s="13" t="s">
        <v>75</v>
      </c>
      <c r="I4006" s="13"/>
      <c r="J4006" s="13"/>
      <c r="K4006" s="15"/>
      <c r="L4006" s="15"/>
      <c r="M4006" s="16"/>
      <c r="N4006" s="16"/>
      <c r="O4006" s="17">
        <v>0.0</v>
      </c>
      <c r="P4006" s="17">
        <v>0.0</v>
      </c>
      <c r="Q4006" s="13"/>
      <c r="R4006" s="13">
        <v>0.0</v>
      </c>
      <c r="S4006" s="13"/>
      <c r="T4006" s="13">
        <f t="shared" ref="T4006:Y4006" si="4321">IF(ISBLANK(K4006)=TRUE,0,1)</f>
        <v>0</v>
      </c>
      <c r="U4006" s="13">
        <f t="shared" si="4321"/>
        <v>0</v>
      </c>
      <c r="V4006" s="13">
        <f t="shared" si="4321"/>
        <v>0</v>
      </c>
      <c r="W4006" s="13">
        <f t="shared" si="4321"/>
        <v>0</v>
      </c>
      <c r="X4006" s="13">
        <f t="shared" si="4321"/>
        <v>1</v>
      </c>
      <c r="Y4006" s="13">
        <f t="shared" si="4321"/>
        <v>1</v>
      </c>
      <c r="Z4006" s="13">
        <f t="shared" si="3023"/>
        <v>0</v>
      </c>
      <c r="AA4006" s="13"/>
      <c r="AB4006" s="13"/>
      <c r="AC4006" s="13"/>
      <c r="AD4006" s="13"/>
      <c r="AE4006" s="13"/>
      <c r="AF4006" s="13"/>
      <c r="AG4006" s="13"/>
      <c r="AH4006" s="13"/>
      <c r="AI4006" s="13"/>
      <c r="AJ4006" s="13"/>
      <c r="AK4006" s="13"/>
      <c r="AL4006" s="13"/>
      <c r="AM4006" s="13"/>
      <c r="AN4006" s="13"/>
      <c r="AO4006" s="13"/>
      <c r="AP4006" s="13"/>
      <c r="AQ4006" s="13"/>
      <c r="AR4006" s="13"/>
      <c r="AS4006" s="13"/>
    </row>
    <row r="4007" ht="14.25" customHeight="1">
      <c r="A4007" s="13" t="s">
        <v>46</v>
      </c>
      <c r="B4007" s="34" t="s">
        <v>53</v>
      </c>
      <c r="C4007" s="13" t="s">
        <v>2060</v>
      </c>
      <c r="D4007" s="13"/>
      <c r="E4007" s="13"/>
      <c r="F4007" s="13"/>
      <c r="G4007" s="13" t="s">
        <v>74</v>
      </c>
      <c r="H4007" s="13" t="s">
        <v>75</v>
      </c>
      <c r="I4007" s="13"/>
      <c r="J4007" s="13"/>
      <c r="K4007" s="15"/>
      <c r="L4007" s="15"/>
      <c r="M4007" s="16"/>
      <c r="N4007" s="16"/>
      <c r="O4007" s="17">
        <v>0.0</v>
      </c>
      <c r="P4007" s="17">
        <v>0.0</v>
      </c>
      <c r="Q4007" s="13"/>
      <c r="R4007" s="13">
        <v>0.0</v>
      </c>
      <c r="S4007" s="13"/>
      <c r="T4007" s="13">
        <f t="shared" ref="T4007:Y4007" si="4322">IF(ISBLANK(K4007)=TRUE,0,1)</f>
        <v>0</v>
      </c>
      <c r="U4007" s="13">
        <f t="shared" si="4322"/>
        <v>0</v>
      </c>
      <c r="V4007" s="13">
        <f t="shared" si="4322"/>
        <v>0</v>
      </c>
      <c r="W4007" s="13">
        <f t="shared" si="4322"/>
        <v>0</v>
      </c>
      <c r="X4007" s="13">
        <f t="shared" si="4322"/>
        <v>1</v>
      </c>
      <c r="Y4007" s="13">
        <f t="shared" si="4322"/>
        <v>1</v>
      </c>
      <c r="Z4007" s="13">
        <f t="shared" si="3023"/>
        <v>0</v>
      </c>
      <c r="AA4007" s="13"/>
      <c r="AB4007" s="13"/>
      <c r="AC4007" s="13"/>
      <c r="AD4007" s="13"/>
      <c r="AE4007" s="13"/>
      <c r="AF4007" s="13"/>
      <c r="AG4007" s="13"/>
      <c r="AH4007" s="13"/>
      <c r="AI4007" s="13"/>
      <c r="AJ4007" s="13"/>
      <c r="AK4007" s="13"/>
      <c r="AL4007" s="13"/>
      <c r="AM4007" s="13"/>
      <c r="AN4007" s="13"/>
      <c r="AO4007" s="13"/>
      <c r="AP4007" s="13"/>
      <c r="AQ4007" s="13"/>
      <c r="AR4007" s="13"/>
      <c r="AS4007" s="13"/>
    </row>
    <row r="4008" ht="14.25" customHeight="1">
      <c r="A4008" s="13" t="s">
        <v>46</v>
      </c>
      <c r="B4008" s="34" t="s">
        <v>53</v>
      </c>
      <c r="C4008" s="13" t="s">
        <v>2061</v>
      </c>
      <c r="D4008" s="13"/>
      <c r="E4008" s="13"/>
      <c r="F4008" s="13"/>
      <c r="G4008" s="13" t="s">
        <v>74</v>
      </c>
      <c r="H4008" s="13" t="s">
        <v>75</v>
      </c>
      <c r="I4008" s="13"/>
      <c r="J4008" s="13"/>
      <c r="K4008" s="15"/>
      <c r="L4008" s="15"/>
      <c r="M4008" s="16"/>
      <c r="N4008" s="16"/>
      <c r="O4008" s="17">
        <v>0.0</v>
      </c>
      <c r="P4008" s="17">
        <v>0.0</v>
      </c>
      <c r="Q4008" s="13"/>
      <c r="R4008" s="13">
        <v>0.0</v>
      </c>
      <c r="S4008" s="13"/>
      <c r="T4008" s="13">
        <f t="shared" ref="T4008:Y4008" si="4323">IF(ISBLANK(K4008)=TRUE,0,1)</f>
        <v>0</v>
      </c>
      <c r="U4008" s="13">
        <f t="shared" si="4323"/>
        <v>0</v>
      </c>
      <c r="V4008" s="13">
        <f t="shared" si="4323"/>
        <v>0</v>
      </c>
      <c r="W4008" s="13">
        <f t="shared" si="4323"/>
        <v>0</v>
      </c>
      <c r="X4008" s="13">
        <f t="shared" si="4323"/>
        <v>1</v>
      </c>
      <c r="Y4008" s="13">
        <f t="shared" si="4323"/>
        <v>1</v>
      </c>
      <c r="Z4008" s="13">
        <f t="shared" si="3023"/>
        <v>0</v>
      </c>
      <c r="AA4008" s="13"/>
      <c r="AB4008" s="13"/>
      <c r="AC4008" s="13"/>
      <c r="AD4008" s="13"/>
      <c r="AE4008" s="13"/>
      <c r="AF4008" s="13"/>
      <c r="AG4008" s="13"/>
      <c r="AH4008" s="13"/>
      <c r="AI4008" s="13"/>
      <c r="AJ4008" s="13"/>
      <c r="AK4008" s="13"/>
      <c r="AL4008" s="13"/>
      <c r="AM4008" s="13"/>
      <c r="AN4008" s="13"/>
      <c r="AO4008" s="13"/>
      <c r="AP4008" s="13"/>
      <c r="AQ4008" s="13"/>
      <c r="AR4008" s="13"/>
      <c r="AS4008" s="13"/>
    </row>
    <row r="4009" ht="14.25" customHeight="1">
      <c r="A4009" s="13" t="s">
        <v>46</v>
      </c>
      <c r="B4009" s="34" t="s">
        <v>53</v>
      </c>
      <c r="C4009" s="13" t="s">
        <v>2062</v>
      </c>
      <c r="D4009" s="13"/>
      <c r="E4009" s="13"/>
      <c r="F4009" s="13"/>
      <c r="G4009" s="13" t="s">
        <v>74</v>
      </c>
      <c r="H4009" s="13" t="s">
        <v>75</v>
      </c>
      <c r="I4009" s="13"/>
      <c r="J4009" s="13"/>
      <c r="K4009" s="15"/>
      <c r="L4009" s="15"/>
      <c r="M4009" s="16"/>
      <c r="N4009" s="16"/>
      <c r="O4009" s="17">
        <v>0.0</v>
      </c>
      <c r="P4009" s="17">
        <v>0.0</v>
      </c>
      <c r="Q4009" s="13"/>
      <c r="R4009" s="13">
        <v>0.0</v>
      </c>
      <c r="S4009" s="13"/>
      <c r="T4009" s="13">
        <f t="shared" ref="T4009:Y4009" si="4324">IF(ISBLANK(K4009)=TRUE,0,1)</f>
        <v>0</v>
      </c>
      <c r="U4009" s="13">
        <f t="shared" si="4324"/>
        <v>0</v>
      </c>
      <c r="V4009" s="13">
        <f t="shared" si="4324"/>
        <v>0</v>
      </c>
      <c r="W4009" s="13">
        <f t="shared" si="4324"/>
        <v>0</v>
      </c>
      <c r="X4009" s="13">
        <f t="shared" si="4324"/>
        <v>1</v>
      </c>
      <c r="Y4009" s="13">
        <f t="shared" si="4324"/>
        <v>1</v>
      </c>
      <c r="Z4009" s="13">
        <f t="shared" si="3023"/>
        <v>0</v>
      </c>
      <c r="AA4009" s="13"/>
      <c r="AB4009" s="13"/>
      <c r="AC4009" s="13"/>
      <c r="AD4009" s="13"/>
      <c r="AE4009" s="13"/>
      <c r="AF4009" s="13"/>
      <c r="AG4009" s="13"/>
      <c r="AH4009" s="13"/>
      <c r="AI4009" s="13"/>
      <c r="AJ4009" s="13"/>
      <c r="AK4009" s="13"/>
      <c r="AL4009" s="13"/>
      <c r="AM4009" s="13"/>
      <c r="AN4009" s="13"/>
      <c r="AO4009" s="13"/>
      <c r="AP4009" s="13"/>
      <c r="AQ4009" s="13"/>
      <c r="AR4009" s="13"/>
      <c r="AS4009" s="13"/>
    </row>
    <row r="4010" ht="14.25" customHeight="1">
      <c r="A4010" s="13" t="s">
        <v>46</v>
      </c>
      <c r="B4010" s="34" t="s">
        <v>53</v>
      </c>
      <c r="C4010" s="13" t="s">
        <v>2063</v>
      </c>
      <c r="D4010" s="13"/>
      <c r="E4010" s="13"/>
      <c r="F4010" s="13"/>
      <c r="G4010" s="13" t="s">
        <v>74</v>
      </c>
      <c r="H4010" s="13" t="s">
        <v>75</v>
      </c>
      <c r="I4010" s="13"/>
      <c r="J4010" s="13"/>
      <c r="K4010" s="15"/>
      <c r="L4010" s="15"/>
      <c r="M4010" s="16"/>
      <c r="N4010" s="16"/>
      <c r="O4010" s="17">
        <v>0.0</v>
      </c>
      <c r="P4010" s="17">
        <v>0.0</v>
      </c>
      <c r="Q4010" s="13"/>
      <c r="R4010" s="13">
        <v>0.0</v>
      </c>
      <c r="S4010" s="13"/>
      <c r="T4010" s="13">
        <f t="shared" ref="T4010:Y4010" si="4325">IF(ISBLANK(K4010)=TRUE,0,1)</f>
        <v>0</v>
      </c>
      <c r="U4010" s="13">
        <f t="shared" si="4325"/>
        <v>0</v>
      </c>
      <c r="V4010" s="13">
        <f t="shared" si="4325"/>
        <v>0</v>
      </c>
      <c r="W4010" s="13">
        <f t="shared" si="4325"/>
        <v>0</v>
      </c>
      <c r="X4010" s="13">
        <f t="shared" si="4325"/>
        <v>1</v>
      </c>
      <c r="Y4010" s="13">
        <f t="shared" si="4325"/>
        <v>1</v>
      </c>
      <c r="Z4010" s="13">
        <f t="shared" si="3023"/>
        <v>0</v>
      </c>
      <c r="AA4010" s="13"/>
      <c r="AB4010" s="13"/>
      <c r="AC4010" s="13"/>
      <c r="AD4010" s="13"/>
      <c r="AE4010" s="13"/>
      <c r="AF4010" s="13"/>
      <c r="AG4010" s="13"/>
      <c r="AH4010" s="13"/>
      <c r="AI4010" s="13"/>
      <c r="AJ4010" s="13"/>
      <c r="AK4010" s="13"/>
      <c r="AL4010" s="13"/>
      <c r="AM4010" s="13"/>
      <c r="AN4010" s="13"/>
      <c r="AO4010" s="13"/>
      <c r="AP4010" s="13"/>
      <c r="AQ4010" s="13"/>
      <c r="AR4010" s="13"/>
      <c r="AS4010" s="13"/>
    </row>
    <row r="4011" ht="14.25" customHeight="1">
      <c r="A4011" s="13" t="s">
        <v>46</v>
      </c>
      <c r="B4011" s="34" t="s">
        <v>53</v>
      </c>
      <c r="C4011" s="13" t="s">
        <v>2064</v>
      </c>
      <c r="D4011" s="13"/>
      <c r="E4011" s="13"/>
      <c r="F4011" s="13"/>
      <c r="G4011" s="13" t="s">
        <v>74</v>
      </c>
      <c r="H4011" s="13" t="s">
        <v>75</v>
      </c>
      <c r="I4011" s="13"/>
      <c r="J4011" s="13"/>
      <c r="K4011" s="15"/>
      <c r="L4011" s="15"/>
      <c r="M4011" s="16"/>
      <c r="N4011" s="16"/>
      <c r="O4011" s="17">
        <v>0.0</v>
      </c>
      <c r="P4011" s="17">
        <v>0.0</v>
      </c>
      <c r="Q4011" s="13"/>
      <c r="R4011" s="13">
        <v>0.0</v>
      </c>
      <c r="S4011" s="13"/>
      <c r="T4011" s="13">
        <f t="shared" ref="T4011:Y4011" si="4326">IF(ISBLANK(K4011)=TRUE,0,1)</f>
        <v>0</v>
      </c>
      <c r="U4011" s="13">
        <f t="shared" si="4326"/>
        <v>0</v>
      </c>
      <c r="V4011" s="13">
        <f t="shared" si="4326"/>
        <v>0</v>
      </c>
      <c r="W4011" s="13">
        <f t="shared" si="4326"/>
        <v>0</v>
      </c>
      <c r="X4011" s="13">
        <f t="shared" si="4326"/>
        <v>1</v>
      </c>
      <c r="Y4011" s="13">
        <f t="shared" si="4326"/>
        <v>1</v>
      </c>
      <c r="Z4011" s="13">
        <f t="shared" si="3023"/>
        <v>0</v>
      </c>
      <c r="AA4011" s="13"/>
      <c r="AB4011" s="13"/>
      <c r="AC4011" s="13"/>
      <c r="AD4011" s="13"/>
      <c r="AE4011" s="13"/>
      <c r="AF4011" s="13"/>
      <c r="AG4011" s="13"/>
      <c r="AH4011" s="13"/>
      <c r="AI4011" s="13"/>
      <c r="AJ4011" s="13"/>
      <c r="AK4011" s="13"/>
      <c r="AL4011" s="13"/>
      <c r="AM4011" s="13"/>
      <c r="AN4011" s="13"/>
      <c r="AO4011" s="13"/>
      <c r="AP4011" s="13"/>
      <c r="AQ4011" s="13"/>
      <c r="AR4011" s="13"/>
      <c r="AS4011" s="13"/>
    </row>
    <row r="4012" ht="14.25" customHeight="1">
      <c r="A4012" s="13" t="s">
        <v>46</v>
      </c>
      <c r="B4012" s="34" t="s">
        <v>53</v>
      </c>
      <c r="C4012" s="13" t="s">
        <v>2065</v>
      </c>
      <c r="D4012" s="13"/>
      <c r="E4012" s="13"/>
      <c r="F4012" s="13"/>
      <c r="G4012" s="13" t="s">
        <v>74</v>
      </c>
      <c r="H4012" s="13" t="s">
        <v>75</v>
      </c>
      <c r="I4012" s="14">
        <v>44907.0</v>
      </c>
      <c r="J4012" s="14"/>
      <c r="K4012" s="15"/>
      <c r="L4012" s="15"/>
      <c r="M4012" s="16"/>
      <c r="N4012" s="16"/>
      <c r="O4012" s="17">
        <v>0.0</v>
      </c>
      <c r="P4012" s="17">
        <v>0.0</v>
      </c>
      <c r="Q4012" s="13">
        <f t="shared" ref="Q4012:Q4018" si="4328">K4011+L4011+M4011+N4011+O4011+P4011/6</f>
        <v>0</v>
      </c>
      <c r="R4012" s="14">
        <v>44966.0</v>
      </c>
      <c r="S4012" s="13"/>
      <c r="T4012" s="13">
        <f t="shared" ref="T4012:Y4012" si="4327">IF(ISBLANK(K4012)=TRUE,0,1)</f>
        <v>0</v>
      </c>
      <c r="U4012" s="13">
        <f t="shared" si="4327"/>
        <v>0</v>
      </c>
      <c r="V4012" s="13">
        <f t="shared" si="4327"/>
        <v>0</v>
      </c>
      <c r="W4012" s="13">
        <f t="shared" si="4327"/>
        <v>0</v>
      </c>
      <c r="X4012" s="13">
        <f t="shared" si="4327"/>
        <v>1</v>
      </c>
      <c r="Y4012" s="13">
        <f t="shared" si="4327"/>
        <v>1</v>
      </c>
      <c r="Z4012" s="13">
        <f t="shared" si="3023"/>
        <v>0</v>
      </c>
      <c r="AA4012" s="13"/>
      <c r="AB4012" s="13"/>
      <c r="AC4012" s="13"/>
      <c r="AD4012" s="13"/>
      <c r="AE4012" s="13"/>
      <c r="AF4012" s="13"/>
      <c r="AG4012" s="13"/>
      <c r="AH4012" s="13"/>
      <c r="AI4012" s="13"/>
      <c r="AJ4012" s="13"/>
      <c r="AK4012" s="13"/>
      <c r="AL4012" s="13"/>
      <c r="AM4012" s="13"/>
      <c r="AN4012" s="13"/>
      <c r="AO4012" s="13"/>
      <c r="AP4012" s="13"/>
      <c r="AQ4012" s="13"/>
      <c r="AR4012" s="13"/>
      <c r="AS4012" s="13"/>
    </row>
    <row r="4013" ht="14.25" customHeight="1">
      <c r="A4013" s="13" t="s">
        <v>46</v>
      </c>
      <c r="B4013" s="34" t="s">
        <v>53</v>
      </c>
      <c r="C4013" s="13" t="s">
        <v>2066</v>
      </c>
      <c r="D4013" s="13"/>
      <c r="E4013" s="13"/>
      <c r="F4013" s="13"/>
      <c r="G4013" s="13" t="s">
        <v>74</v>
      </c>
      <c r="H4013" s="13" t="s">
        <v>75</v>
      </c>
      <c r="I4013" s="14">
        <v>44907.0</v>
      </c>
      <c r="J4013" s="14"/>
      <c r="K4013" s="15">
        <v>0.0</v>
      </c>
      <c r="L4013" s="15">
        <v>0.0</v>
      </c>
      <c r="M4013" s="16"/>
      <c r="N4013" s="16"/>
      <c r="O4013" s="17">
        <v>0.0</v>
      </c>
      <c r="P4013" s="17">
        <v>0.0</v>
      </c>
      <c r="Q4013" s="13">
        <f t="shared" si="4328"/>
        <v>0</v>
      </c>
      <c r="R4013" s="14">
        <v>44966.0</v>
      </c>
      <c r="S4013" s="13"/>
      <c r="T4013" s="13">
        <f t="shared" ref="T4013:Y4013" si="4329">IF(ISBLANK(K4013)=TRUE,0,1)</f>
        <v>1</v>
      </c>
      <c r="U4013" s="13">
        <f t="shared" si="4329"/>
        <v>1</v>
      </c>
      <c r="V4013" s="13">
        <f t="shared" si="4329"/>
        <v>0</v>
      </c>
      <c r="W4013" s="13">
        <f t="shared" si="4329"/>
        <v>0</v>
      </c>
      <c r="X4013" s="13">
        <f t="shared" si="4329"/>
        <v>1</v>
      </c>
      <c r="Y4013" s="13">
        <f t="shared" si="4329"/>
        <v>1</v>
      </c>
      <c r="Z4013" s="13">
        <f t="shared" si="3023"/>
        <v>0</v>
      </c>
      <c r="AA4013" s="13" t="s">
        <v>819</v>
      </c>
      <c r="AB4013" s="13"/>
      <c r="AC4013" s="13"/>
      <c r="AD4013" s="13"/>
      <c r="AE4013" s="13"/>
      <c r="AF4013" s="13"/>
      <c r="AG4013" s="13"/>
      <c r="AH4013" s="13"/>
      <c r="AI4013" s="13"/>
      <c r="AJ4013" s="13"/>
      <c r="AK4013" s="13"/>
      <c r="AL4013" s="13"/>
      <c r="AM4013" s="13"/>
      <c r="AN4013" s="13"/>
      <c r="AO4013" s="13"/>
      <c r="AP4013" s="13"/>
      <c r="AQ4013" s="13"/>
      <c r="AR4013" s="13"/>
      <c r="AS4013" s="13"/>
    </row>
    <row r="4014" ht="14.25" customHeight="1">
      <c r="A4014" s="13" t="s">
        <v>46</v>
      </c>
      <c r="B4014" s="34" t="s">
        <v>53</v>
      </c>
      <c r="C4014" s="13" t="s">
        <v>2067</v>
      </c>
      <c r="D4014" s="13"/>
      <c r="E4014" s="13"/>
      <c r="F4014" s="13"/>
      <c r="G4014" s="13" t="s">
        <v>74</v>
      </c>
      <c r="H4014" s="13" t="s">
        <v>75</v>
      </c>
      <c r="I4014" s="14">
        <v>44907.0</v>
      </c>
      <c r="J4014" s="14"/>
      <c r="K4014" s="15"/>
      <c r="L4014" s="15"/>
      <c r="M4014" s="16"/>
      <c r="N4014" s="16"/>
      <c r="O4014" s="17">
        <v>0.0</v>
      </c>
      <c r="P4014" s="17">
        <v>0.0</v>
      </c>
      <c r="Q4014" s="13">
        <f t="shared" si="4328"/>
        <v>0</v>
      </c>
      <c r="R4014" s="14">
        <v>44966.0</v>
      </c>
      <c r="S4014" s="13"/>
      <c r="T4014" s="13">
        <f t="shared" ref="T4014:Y4014" si="4330">IF(ISBLANK(K4014)=TRUE,0,1)</f>
        <v>0</v>
      </c>
      <c r="U4014" s="13">
        <f t="shared" si="4330"/>
        <v>0</v>
      </c>
      <c r="V4014" s="13">
        <f t="shared" si="4330"/>
        <v>0</v>
      </c>
      <c r="W4014" s="13">
        <f t="shared" si="4330"/>
        <v>0</v>
      </c>
      <c r="X4014" s="13">
        <f t="shared" si="4330"/>
        <v>1</v>
      </c>
      <c r="Y4014" s="13">
        <f t="shared" si="4330"/>
        <v>1</v>
      </c>
      <c r="Z4014" s="13">
        <f t="shared" si="3023"/>
        <v>0</v>
      </c>
      <c r="AA4014" s="13"/>
      <c r="AB4014" s="13"/>
      <c r="AC4014" s="13"/>
      <c r="AD4014" s="13"/>
      <c r="AE4014" s="13"/>
      <c r="AF4014" s="13"/>
      <c r="AG4014" s="13"/>
      <c r="AH4014" s="13"/>
      <c r="AI4014" s="13"/>
      <c r="AJ4014" s="13"/>
      <c r="AK4014" s="13"/>
      <c r="AL4014" s="13"/>
      <c r="AM4014" s="13"/>
      <c r="AN4014" s="13"/>
      <c r="AO4014" s="13"/>
      <c r="AP4014" s="13"/>
      <c r="AQ4014" s="13"/>
      <c r="AR4014" s="13"/>
      <c r="AS4014" s="13"/>
    </row>
    <row r="4015" ht="14.25" customHeight="1">
      <c r="A4015" s="13" t="s">
        <v>46</v>
      </c>
      <c r="B4015" s="34" t="s">
        <v>53</v>
      </c>
      <c r="C4015" s="13" t="s">
        <v>2068</v>
      </c>
      <c r="D4015" s="13"/>
      <c r="E4015" s="13"/>
      <c r="F4015" s="13"/>
      <c r="G4015" s="13" t="s">
        <v>74</v>
      </c>
      <c r="H4015" s="13" t="s">
        <v>75</v>
      </c>
      <c r="I4015" s="14">
        <v>44907.0</v>
      </c>
      <c r="J4015" s="14"/>
      <c r="K4015" s="15">
        <v>0.0</v>
      </c>
      <c r="L4015" s="15">
        <v>0.0</v>
      </c>
      <c r="M4015" s="16"/>
      <c r="N4015" s="16"/>
      <c r="O4015" s="17">
        <v>0.0</v>
      </c>
      <c r="P4015" s="17">
        <v>0.0</v>
      </c>
      <c r="Q4015" s="13">
        <f t="shared" si="4328"/>
        <v>0</v>
      </c>
      <c r="R4015" s="14">
        <v>44966.0</v>
      </c>
      <c r="S4015" s="13"/>
      <c r="T4015" s="13">
        <f t="shared" ref="T4015:Y4015" si="4331">IF(ISBLANK(K4015)=TRUE,0,1)</f>
        <v>1</v>
      </c>
      <c r="U4015" s="13">
        <f t="shared" si="4331"/>
        <v>1</v>
      </c>
      <c r="V4015" s="13">
        <f t="shared" si="4331"/>
        <v>0</v>
      </c>
      <c r="W4015" s="13">
        <f t="shared" si="4331"/>
        <v>0</v>
      </c>
      <c r="X4015" s="13">
        <f t="shared" si="4331"/>
        <v>1</v>
      </c>
      <c r="Y4015" s="13">
        <f t="shared" si="4331"/>
        <v>1</v>
      </c>
      <c r="Z4015" s="13">
        <f t="shared" si="3023"/>
        <v>0</v>
      </c>
      <c r="AA4015" s="13" t="s">
        <v>2069</v>
      </c>
      <c r="AB4015" s="13"/>
      <c r="AC4015" s="13"/>
      <c r="AD4015" s="13"/>
      <c r="AE4015" s="13"/>
      <c r="AF4015" s="13"/>
      <c r="AG4015" s="13"/>
      <c r="AH4015" s="13"/>
      <c r="AI4015" s="13"/>
      <c r="AJ4015" s="13"/>
      <c r="AK4015" s="13"/>
      <c r="AL4015" s="13"/>
      <c r="AM4015" s="13"/>
      <c r="AN4015" s="13"/>
      <c r="AO4015" s="13"/>
      <c r="AP4015" s="13"/>
      <c r="AQ4015" s="13"/>
      <c r="AR4015" s="13"/>
      <c r="AS4015" s="13"/>
    </row>
    <row r="4016" ht="14.25" customHeight="1">
      <c r="A4016" s="13" t="s">
        <v>46</v>
      </c>
      <c r="B4016" s="34" t="s">
        <v>53</v>
      </c>
      <c r="C4016" s="13" t="s">
        <v>2070</v>
      </c>
      <c r="D4016" s="13"/>
      <c r="E4016" s="13"/>
      <c r="F4016" s="13"/>
      <c r="G4016" s="13" t="s">
        <v>74</v>
      </c>
      <c r="H4016" s="13" t="s">
        <v>75</v>
      </c>
      <c r="I4016" s="14">
        <v>44907.0</v>
      </c>
      <c r="J4016" s="14"/>
      <c r="K4016" s="15"/>
      <c r="L4016" s="15"/>
      <c r="M4016" s="16"/>
      <c r="N4016" s="16"/>
      <c r="O4016" s="17">
        <v>0.0</v>
      </c>
      <c r="P4016" s="17">
        <v>0.0</v>
      </c>
      <c r="Q4016" s="13">
        <f t="shared" si="4328"/>
        <v>0</v>
      </c>
      <c r="R4016" s="14">
        <v>44966.0</v>
      </c>
      <c r="S4016" s="13"/>
      <c r="T4016" s="13">
        <f t="shared" ref="T4016:Y4016" si="4332">IF(ISBLANK(K4016)=TRUE,0,1)</f>
        <v>0</v>
      </c>
      <c r="U4016" s="13">
        <f t="shared" si="4332"/>
        <v>0</v>
      </c>
      <c r="V4016" s="13">
        <f t="shared" si="4332"/>
        <v>0</v>
      </c>
      <c r="W4016" s="13">
        <f t="shared" si="4332"/>
        <v>0</v>
      </c>
      <c r="X4016" s="13">
        <f t="shared" si="4332"/>
        <v>1</v>
      </c>
      <c r="Y4016" s="13">
        <f t="shared" si="4332"/>
        <v>1</v>
      </c>
      <c r="Z4016" s="13">
        <f t="shared" si="3023"/>
        <v>0</v>
      </c>
      <c r="AA4016" s="13"/>
      <c r="AB4016" s="13"/>
      <c r="AC4016" s="13"/>
      <c r="AD4016" s="13"/>
      <c r="AE4016" s="13"/>
      <c r="AF4016" s="13"/>
      <c r="AG4016" s="13"/>
      <c r="AH4016" s="13"/>
      <c r="AI4016" s="13"/>
      <c r="AJ4016" s="13"/>
      <c r="AK4016" s="13"/>
      <c r="AL4016" s="13"/>
      <c r="AM4016" s="13"/>
      <c r="AN4016" s="13"/>
      <c r="AO4016" s="13"/>
      <c r="AP4016" s="13"/>
      <c r="AQ4016" s="13"/>
      <c r="AR4016" s="13"/>
      <c r="AS4016" s="13"/>
    </row>
    <row r="4017" ht="14.25" customHeight="1">
      <c r="A4017" s="13" t="s">
        <v>46</v>
      </c>
      <c r="B4017" s="34" t="s">
        <v>53</v>
      </c>
      <c r="C4017" s="13" t="s">
        <v>2071</v>
      </c>
      <c r="D4017" s="13"/>
      <c r="E4017" s="13"/>
      <c r="F4017" s="13"/>
      <c r="G4017" s="13" t="s">
        <v>74</v>
      </c>
      <c r="H4017" s="13" t="s">
        <v>75</v>
      </c>
      <c r="I4017" s="14">
        <v>44907.0</v>
      </c>
      <c r="J4017" s="14"/>
      <c r="K4017" s="15">
        <v>0.0</v>
      </c>
      <c r="L4017" s="15">
        <v>0.0</v>
      </c>
      <c r="M4017" s="16"/>
      <c r="N4017" s="16"/>
      <c r="O4017" s="17">
        <v>0.0</v>
      </c>
      <c r="P4017" s="17">
        <v>0.0</v>
      </c>
      <c r="Q4017" s="13">
        <f t="shared" si="4328"/>
        <v>0</v>
      </c>
      <c r="R4017" s="14">
        <v>44966.0</v>
      </c>
      <c r="S4017" s="13"/>
      <c r="T4017" s="13">
        <f t="shared" ref="T4017:Y4017" si="4333">IF(ISBLANK(K4017)=TRUE,0,1)</f>
        <v>1</v>
      </c>
      <c r="U4017" s="13">
        <f t="shared" si="4333"/>
        <v>1</v>
      </c>
      <c r="V4017" s="13">
        <f t="shared" si="4333"/>
        <v>0</v>
      </c>
      <c r="W4017" s="13">
        <f t="shared" si="4333"/>
        <v>0</v>
      </c>
      <c r="X4017" s="13">
        <f t="shared" si="4333"/>
        <v>1</v>
      </c>
      <c r="Y4017" s="13">
        <f t="shared" si="4333"/>
        <v>1</v>
      </c>
      <c r="Z4017" s="13">
        <f t="shared" si="3023"/>
        <v>0</v>
      </c>
      <c r="AA4017" s="13" t="s">
        <v>819</v>
      </c>
      <c r="AB4017" s="13"/>
      <c r="AC4017" s="13"/>
      <c r="AD4017" s="13"/>
      <c r="AE4017" s="13"/>
      <c r="AF4017" s="13"/>
      <c r="AG4017" s="13"/>
      <c r="AH4017" s="13"/>
      <c r="AI4017" s="13"/>
      <c r="AJ4017" s="13"/>
      <c r="AK4017" s="13"/>
      <c r="AL4017" s="13"/>
      <c r="AM4017" s="13"/>
      <c r="AN4017" s="13"/>
      <c r="AO4017" s="13"/>
      <c r="AP4017" s="13"/>
      <c r="AQ4017" s="13"/>
      <c r="AR4017" s="13"/>
      <c r="AS4017" s="13"/>
    </row>
    <row r="4018" ht="14.25" customHeight="1">
      <c r="A4018" s="13" t="s">
        <v>46</v>
      </c>
      <c r="B4018" s="34" t="s">
        <v>53</v>
      </c>
      <c r="C4018" s="13" t="s">
        <v>2072</v>
      </c>
      <c r="D4018" s="13"/>
      <c r="E4018" s="13"/>
      <c r="F4018" s="13"/>
      <c r="G4018" s="13" t="s">
        <v>74</v>
      </c>
      <c r="H4018" s="13" t="s">
        <v>75</v>
      </c>
      <c r="I4018" s="14">
        <v>44907.0</v>
      </c>
      <c r="J4018" s="14"/>
      <c r="K4018" s="15">
        <v>0.0</v>
      </c>
      <c r="L4018" s="15">
        <v>0.0</v>
      </c>
      <c r="M4018" s="16"/>
      <c r="N4018" s="16"/>
      <c r="O4018" s="17">
        <v>0.0</v>
      </c>
      <c r="P4018" s="17">
        <v>0.0</v>
      </c>
      <c r="Q4018" s="13">
        <f t="shared" si="4328"/>
        <v>0</v>
      </c>
      <c r="R4018" s="14">
        <v>44966.0</v>
      </c>
      <c r="S4018" s="13"/>
      <c r="T4018" s="13">
        <f t="shared" ref="T4018:Y4018" si="4334">IF(ISBLANK(K4018)=TRUE,0,1)</f>
        <v>1</v>
      </c>
      <c r="U4018" s="13">
        <f t="shared" si="4334"/>
        <v>1</v>
      </c>
      <c r="V4018" s="13">
        <f t="shared" si="4334"/>
        <v>0</v>
      </c>
      <c r="W4018" s="13">
        <f t="shared" si="4334"/>
        <v>0</v>
      </c>
      <c r="X4018" s="13">
        <f t="shared" si="4334"/>
        <v>1</v>
      </c>
      <c r="Y4018" s="13">
        <f t="shared" si="4334"/>
        <v>1</v>
      </c>
      <c r="Z4018" s="13">
        <f t="shared" si="3023"/>
        <v>0</v>
      </c>
      <c r="AA4018" s="13" t="s">
        <v>846</v>
      </c>
      <c r="AB4018" s="13"/>
      <c r="AC4018" s="13"/>
      <c r="AD4018" s="13"/>
      <c r="AE4018" s="13"/>
      <c r="AF4018" s="13"/>
      <c r="AG4018" s="13"/>
      <c r="AH4018" s="13"/>
      <c r="AI4018" s="13"/>
      <c r="AJ4018" s="13"/>
      <c r="AK4018" s="13"/>
      <c r="AL4018" s="13"/>
      <c r="AM4018" s="13"/>
      <c r="AN4018" s="13"/>
      <c r="AO4018" s="13"/>
      <c r="AP4018" s="13"/>
      <c r="AQ4018" s="13"/>
      <c r="AR4018" s="13"/>
      <c r="AS4018" s="13"/>
    </row>
    <row r="4019" ht="14.25" customHeight="1">
      <c r="A4019" s="13" t="s">
        <v>46</v>
      </c>
      <c r="B4019" s="34" t="s">
        <v>53</v>
      </c>
      <c r="C4019" s="13" t="s">
        <v>823</v>
      </c>
      <c r="D4019" s="13" t="s">
        <v>174</v>
      </c>
      <c r="E4019" s="13"/>
      <c r="F4019" s="13"/>
      <c r="G4019" s="13" t="s">
        <v>74</v>
      </c>
      <c r="H4019" s="13" t="s">
        <v>75</v>
      </c>
      <c r="I4019" s="13"/>
      <c r="J4019" s="13"/>
      <c r="K4019" s="15"/>
      <c r="L4019" s="15"/>
      <c r="M4019" s="16"/>
      <c r="N4019" s="16"/>
      <c r="O4019" s="17">
        <v>0.0</v>
      </c>
      <c r="P4019" s="17">
        <v>0.0</v>
      </c>
      <c r="Q4019" s="13"/>
      <c r="R4019" s="14">
        <v>44973.0</v>
      </c>
      <c r="S4019" s="13"/>
      <c r="T4019" s="13">
        <f t="shared" ref="T4019:Y4019" si="4335">IF(ISBLANK(K4019)=TRUE,0,1)</f>
        <v>0</v>
      </c>
      <c r="U4019" s="13">
        <f t="shared" si="4335"/>
        <v>0</v>
      </c>
      <c r="V4019" s="13">
        <f t="shared" si="4335"/>
        <v>0</v>
      </c>
      <c r="W4019" s="13">
        <f t="shared" si="4335"/>
        <v>0</v>
      </c>
      <c r="X4019" s="13">
        <f t="shared" si="4335"/>
        <v>1</v>
      </c>
      <c r="Y4019" s="13">
        <f t="shared" si="4335"/>
        <v>1</v>
      </c>
      <c r="Z4019" s="13">
        <f t="shared" si="3023"/>
        <v>0</v>
      </c>
      <c r="AA4019" s="13"/>
      <c r="AB4019" s="13"/>
      <c r="AC4019" s="13"/>
      <c r="AD4019" s="13"/>
      <c r="AE4019" s="13"/>
      <c r="AF4019" s="13"/>
      <c r="AG4019" s="13"/>
      <c r="AH4019" s="13"/>
      <c r="AI4019" s="13"/>
      <c r="AJ4019" s="13"/>
      <c r="AK4019" s="13"/>
      <c r="AL4019" s="13"/>
      <c r="AM4019" s="13"/>
      <c r="AN4019" s="13"/>
      <c r="AO4019" s="13"/>
      <c r="AP4019" s="13"/>
      <c r="AQ4019" s="13"/>
      <c r="AR4019" s="13"/>
      <c r="AS4019" s="13"/>
    </row>
    <row r="4020" ht="14.25" customHeight="1">
      <c r="A4020" s="13" t="s">
        <v>46</v>
      </c>
      <c r="B4020" s="34" t="s">
        <v>53</v>
      </c>
      <c r="C4020" s="13" t="s">
        <v>2073</v>
      </c>
      <c r="D4020" s="13"/>
      <c r="E4020" s="13"/>
      <c r="F4020" s="13"/>
      <c r="G4020" s="13" t="s">
        <v>74</v>
      </c>
      <c r="H4020" s="13" t="s">
        <v>75</v>
      </c>
      <c r="I4020" s="14">
        <v>44907.0</v>
      </c>
      <c r="J4020" s="14"/>
      <c r="K4020" s="15">
        <v>0.0</v>
      </c>
      <c r="L4020" s="15">
        <v>0.0</v>
      </c>
      <c r="M4020" s="16"/>
      <c r="N4020" s="16"/>
      <c r="O4020" s="17">
        <v>0.0</v>
      </c>
      <c r="P4020" s="17">
        <v>0.0</v>
      </c>
      <c r="Q4020" s="13">
        <f>K4019+L4019+M4019+N4019+O4019+P4019/6</f>
        <v>0</v>
      </c>
      <c r="R4020" s="14">
        <v>44973.0</v>
      </c>
      <c r="S4020" s="13"/>
      <c r="T4020" s="13">
        <f t="shared" ref="T4020:Y4020" si="4336">IF(ISBLANK(K4020)=TRUE,0,1)</f>
        <v>1</v>
      </c>
      <c r="U4020" s="13">
        <f t="shared" si="4336"/>
        <v>1</v>
      </c>
      <c r="V4020" s="13">
        <f t="shared" si="4336"/>
        <v>0</v>
      </c>
      <c r="W4020" s="13">
        <f t="shared" si="4336"/>
        <v>0</v>
      </c>
      <c r="X4020" s="13">
        <f t="shared" si="4336"/>
        <v>1</v>
      </c>
      <c r="Y4020" s="13">
        <f t="shared" si="4336"/>
        <v>1</v>
      </c>
      <c r="Z4020" s="13">
        <f t="shared" si="3023"/>
        <v>0</v>
      </c>
      <c r="AA4020" s="13"/>
      <c r="AB4020" s="13"/>
      <c r="AC4020" s="13"/>
      <c r="AD4020" s="13"/>
      <c r="AE4020" s="13"/>
      <c r="AF4020" s="13"/>
      <c r="AG4020" s="13"/>
      <c r="AH4020" s="13"/>
      <c r="AI4020" s="13"/>
      <c r="AJ4020" s="13"/>
      <c r="AK4020" s="13"/>
      <c r="AL4020" s="13"/>
      <c r="AM4020" s="13"/>
      <c r="AN4020" s="13"/>
      <c r="AO4020" s="13"/>
      <c r="AP4020" s="13"/>
      <c r="AQ4020" s="13"/>
      <c r="AR4020" s="13"/>
      <c r="AS4020" s="13"/>
    </row>
    <row r="4021" ht="14.25" customHeight="1">
      <c r="A4021" s="13" t="s">
        <v>46</v>
      </c>
      <c r="B4021" s="34" t="s">
        <v>53</v>
      </c>
      <c r="C4021" s="13" t="s">
        <v>2073</v>
      </c>
      <c r="D4021" s="13" t="s">
        <v>174</v>
      </c>
      <c r="E4021" s="13"/>
      <c r="F4021" s="13"/>
      <c r="G4021" s="13" t="s">
        <v>74</v>
      </c>
      <c r="H4021" s="13" t="s">
        <v>75</v>
      </c>
      <c r="I4021" s="13"/>
      <c r="J4021" s="13"/>
      <c r="K4021" s="15">
        <v>0.0</v>
      </c>
      <c r="L4021" s="15">
        <v>0.0</v>
      </c>
      <c r="M4021" s="16"/>
      <c r="N4021" s="16"/>
      <c r="O4021" s="17">
        <v>0.0</v>
      </c>
      <c r="P4021" s="17">
        <v>0.0</v>
      </c>
      <c r="Q4021" s="13"/>
      <c r="R4021" s="14">
        <v>44973.0</v>
      </c>
      <c r="S4021" s="13"/>
      <c r="T4021" s="13">
        <f t="shared" ref="T4021:Y4021" si="4337">IF(ISBLANK(K4021)=TRUE,0,1)</f>
        <v>1</v>
      </c>
      <c r="U4021" s="13">
        <f t="shared" si="4337"/>
        <v>1</v>
      </c>
      <c r="V4021" s="13">
        <f t="shared" si="4337"/>
        <v>0</v>
      </c>
      <c r="W4021" s="13">
        <f t="shared" si="4337"/>
        <v>0</v>
      </c>
      <c r="X4021" s="13">
        <f t="shared" si="4337"/>
        <v>1</v>
      </c>
      <c r="Y4021" s="13">
        <f t="shared" si="4337"/>
        <v>1</v>
      </c>
      <c r="Z4021" s="13">
        <f t="shared" si="3023"/>
        <v>0</v>
      </c>
      <c r="AA4021" s="13" t="s">
        <v>846</v>
      </c>
      <c r="AB4021" s="13"/>
      <c r="AC4021" s="13"/>
      <c r="AD4021" s="13"/>
      <c r="AE4021" s="13"/>
      <c r="AF4021" s="13"/>
      <c r="AG4021" s="13"/>
      <c r="AH4021" s="13"/>
      <c r="AI4021" s="13"/>
      <c r="AJ4021" s="13"/>
      <c r="AK4021" s="13"/>
      <c r="AL4021" s="13"/>
      <c r="AM4021" s="13"/>
      <c r="AN4021" s="13"/>
      <c r="AO4021" s="13"/>
      <c r="AP4021" s="13"/>
      <c r="AQ4021" s="13"/>
      <c r="AR4021" s="13"/>
      <c r="AS4021" s="13"/>
    </row>
    <row r="4022" ht="14.25" customHeight="1">
      <c r="A4022" s="13" t="s">
        <v>46</v>
      </c>
      <c r="B4022" s="34" t="s">
        <v>53</v>
      </c>
      <c r="C4022" s="13" t="s">
        <v>2074</v>
      </c>
      <c r="D4022" s="13"/>
      <c r="E4022" s="13"/>
      <c r="F4022" s="13"/>
      <c r="G4022" s="13" t="s">
        <v>74</v>
      </c>
      <c r="H4022" s="13" t="s">
        <v>75</v>
      </c>
      <c r="I4022" s="14">
        <v>44907.0</v>
      </c>
      <c r="J4022" s="14"/>
      <c r="K4022" s="15"/>
      <c r="L4022" s="15"/>
      <c r="M4022" s="16"/>
      <c r="N4022" s="16"/>
      <c r="O4022" s="17">
        <v>0.0</v>
      </c>
      <c r="P4022" s="17">
        <v>0.0</v>
      </c>
      <c r="Q4022" s="13">
        <f t="shared" ref="Q4022:Q4023" si="4339">K4021+L4021+M4021+N4021+O4021+P4021/6</f>
        <v>0</v>
      </c>
      <c r="R4022" s="14">
        <v>44966.0</v>
      </c>
      <c r="S4022" s="13"/>
      <c r="T4022" s="13">
        <f t="shared" ref="T4022:Y4022" si="4338">IF(ISBLANK(K4022)=TRUE,0,1)</f>
        <v>0</v>
      </c>
      <c r="U4022" s="13">
        <f t="shared" si="4338"/>
        <v>0</v>
      </c>
      <c r="V4022" s="13">
        <f t="shared" si="4338"/>
        <v>0</v>
      </c>
      <c r="W4022" s="13">
        <f t="shared" si="4338"/>
        <v>0</v>
      </c>
      <c r="X4022" s="13">
        <f t="shared" si="4338"/>
        <v>1</v>
      </c>
      <c r="Y4022" s="13">
        <f t="shared" si="4338"/>
        <v>1</v>
      </c>
      <c r="Z4022" s="13">
        <f t="shared" si="3023"/>
        <v>0</v>
      </c>
      <c r="AA4022" s="13"/>
      <c r="AB4022" s="13"/>
      <c r="AC4022" s="13"/>
      <c r="AD4022" s="13"/>
      <c r="AE4022" s="13"/>
      <c r="AF4022" s="13"/>
      <c r="AG4022" s="13"/>
      <c r="AH4022" s="13"/>
      <c r="AI4022" s="13"/>
      <c r="AJ4022" s="13"/>
      <c r="AK4022" s="13"/>
      <c r="AL4022" s="13"/>
      <c r="AM4022" s="13"/>
      <c r="AN4022" s="13"/>
      <c r="AO4022" s="13"/>
      <c r="AP4022" s="13"/>
      <c r="AQ4022" s="13"/>
      <c r="AR4022" s="13"/>
      <c r="AS4022" s="13"/>
    </row>
    <row r="4023" ht="14.25" customHeight="1">
      <c r="A4023" s="13" t="s">
        <v>46</v>
      </c>
      <c r="B4023" s="34" t="s">
        <v>53</v>
      </c>
      <c r="C4023" s="13" t="s">
        <v>2075</v>
      </c>
      <c r="D4023" s="13"/>
      <c r="E4023" s="13"/>
      <c r="F4023" s="13"/>
      <c r="G4023" s="13" t="s">
        <v>74</v>
      </c>
      <c r="H4023" s="13" t="s">
        <v>75</v>
      </c>
      <c r="I4023" s="14">
        <v>44907.0</v>
      </c>
      <c r="J4023" s="14"/>
      <c r="K4023" s="15"/>
      <c r="L4023" s="15"/>
      <c r="M4023" s="16"/>
      <c r="N4023" s="16"/>
      <c r="O4023" s="17">
        <v>0.0</v>
      </c>
      <c r="P4023" s="17">
        <v>0.0</v>
      </c>
      <c r="Q4023" s="13">
        <f t="shared" si="4339"/>
        <v>0</v>
      </c>
      <c r="R4023" s="14">
        <v>44973.0</v>
      </c>
      <c r="S4023" s="13"/>
      <c r="T4023" s="13">
        <f t="shared" ref="T4023:Y4023" si="4340">IF(ISBLANK(K4023)=TRUE,0,1)</f>
        <v>0</v>
      </c>
      <c r="U4023" s="13">
        <f t="shared" si="4340"/>
        <v>0</v>
      </c>
      <c r="V4023" s="13">
        <f t="shared" si="4340"/>
        <v>0</v>
      </c>
      <c r="W4023" s="13">
        <f t="shared" si="4340"/>
        <v>0</v>
      </c>
      <c r="X4023" s="13">
        <f t="shared" si="4340"/>
        <v>1</v>
      </c>
      <c r="Y4023" s="13">
        <f t="shared" si="4340"/>
        <v>1</v>
      </c>
      <c r="Z4023" s="13">
        <f t="shared" si="3023"/>
        <v>0</v>
      </c>
      <c r="AA4023" s="13"/>
      <c r="AB4023" s="13"/>
      <c r="AC4023" s="13"/>
      <c r="AD4023" s="13"/>
      <c r="AE4023" s="13"/>
      <c r="AF4023" s="13"/>
      <c r="AG4023" s="13"/>
      <c r="AH4023" s="13"/>
      <c r="AI4023" s="13"/>
      <c r="AJ4023" s="13"/>
      <c r="AK4023" s="13"/>
      <c r="AL4023" s="13"/>
      <c r="AM4023" s="13"/>
      <c r="AN4023" s="13"/>
      <c r="AO4023" s="13"/>
      <c r="AP4023" s="13"/>
      <c r="AQ4023" s="13"/>
      <c r="AR4023" s="13"/>
      <c r="AS4023" s="13"/>
    </row>
    <row r="4024" ht="14.25" customHeight="1">
      <c r="A4024" s="13" t="s">
        <v>46</v>
      </c>
      <c r="B4024" s="34" t="s">
        <v>53</v>
      </c>
      <c r="C4024" s="13" t="s">
        <v>2075</v>
      </c>
      <c r="D4024" s="13" t="s">
        <v>174</v>
      </c>
      <c r="E4024" s="13"/>
      <c r="F4024" s="13"/>
      <c r="G4024" s="13" t="s">
        <v>74</v>
      </c>
      <c r="H4024" s="13" t="s">
        <v>75</v>
      </c>
      <c r="I4024" s="13"/>
      <c r="J4024" s="13"/>
      <c r="K4024" s="15"/>
      <c r="L4024" s="15"/>
      <c r="M4024" s="16"/>
      <c r="N4024" s="16"/>
      <c r="O4024" s="17">
        <v>0.0</v>
      </c>
      <c r="P4024" s="17">
        <v>0.0</v>
      </c>
      <c r="Q4024" s="13"/>
      <c r="R4024" s="14">
        <v>44973.0</v>
      </c>
      <c r="S4024" s="13"/>
      <c r="T4024" s="13">
        <f t="shared" ref="T4024:Y4024" si="4341">IF(ISBLANK(K4024)=TRUE,0,1)</f>
        <v>0</v>
      </c>
      <c r="U4024" s="13">
        <f t="shared" si="4341"/>
        <v>0</v>
      </c>
      <c r="V4024" s="13">
        <f t="shared" si="4341"/>
        <v>0</v>
      </c>
      <c r="W4024" s="13">
        <f t="shared" si="4341"/>
        <v>0</v>
      </c>
      <c r="X4024" s="13">
        <f t="shared" si="4341"/>
        <v>1</v>
      </c>
      <c r="Y4024" s="13">
        <f t="shared" si="4341"/>
        <v>1</v>
      </c>
      <c r="Z4024" s="13">
        <f t="shared" si="3023"/>
        <v>0</v>
      </c>
      <c r="AA4024" s="13"/>
      <c r="AB4024" s="13"/>
      <c r="AC4024" s="13"/>
      <c r="AD4024" s="13"/>
      <c r="AE4024" s="13"/>
      <c r="AF4024" s="13"/>
      <c r="AG4024" s="13"/>
      <c r="AH4024" s="13"/>
      <c r="AI4024" s="13"/>
      <c r="AJ4024" s="13"/>
      <c r="AK4024" s="13"/>
      <c r="AL4024" s="13"/>
      <c r="AM4024" s="13"/>
      <c r="AN4024" s="13"/>
      <c r="AO4024" s="13"/>
      <c r="AP4024" s="13"/>
      <c r="AQ4024" s="13"/>
      <c r="AR4024" s="13"/>
      <c r="AS4024" s="13"/>
    </row>
    <row r="4025" ht="14.25" customHeight="1">
      <c r="A4025" s="13" t="s">
        <v>46</v>
      </c>
      <c r="B4025" s="34" t="s">
        <v>53</v>
      </c>
      <c r="C4025" s="13" t="s">
        <v>2076</v>
      </c>
      <c r="D4025" s="13"/>
      <c r="E4025" s="13"/>
      <c r="F4025" s="13"/>
      <c r="G4025" s="13" t="s">
        <v>74</v>
      </c>
      <c r="H4025" s="13" t="s">
        <v>75</v>
      </c>
      <c r="I4025" s="14">
        <v>44907.0</v>
      </c>
      <c r="J4025" s="14"/>
      <c r="K4025" s="15"/>
      <c r="L4025" s="15"/>
      <c r="M4025" s="16"/>
      <c r="N4025" s="16"/>
      <c r="O4025" s="17">
        <v>0.0</v>
      </c>
      <c r="P4025" s="17">
        <v>0.0</v>
      </c>
      <c r="Q4025" s="13">
        <f t="shared" ref="Q4025:Q4026" si="4343">K4024+L4024+M4024+N4024+O4024+P4024/6</f>
        <v>0</v>
      </c>
      <c r="R4025" s="14">
        <v>44966.0</v>
      </c>
      <c r="S4025" s="13"/>
      <c r="T4025" s="13">
        <f t="shared" ref="T4025:Y4025" si="4342">IF(ISBLANK(K4025)=TRUE,0,1)</f>
        <v>0</v>
      </c>
      <c r="U4025" s="13">
        <f t="shared" si="4342"/>
        <v>0</v>
      </c>
      <c r="V4025" s="13">
        <f t="shared" si="4342"/>
        <v>0</v>
      </c>
      <c r="W4025" s="13">
        <f t="shared" si="4342"/>
        <v>0</v>
      </c>
      <c r="X4025" s="13">
        <f t="shared" si="4342"/>
        <v>1</v>
      </c>
      <c r="Y4025" s="13">
        <f t="shared" si="4342"/>
        <v>1</v>
      </c>
      <c r="Z4025" s="13">
        <f t="shared" si="3023"/>
        <v>0</v>
      </c>
      <c r="AA4025" s="13"/>
      <c r="AB4025" s="13"/>
      <c r="AC4025" s="13"/>
      <c r="AD4025" s="13"/>
      <c r="AE4025" s="13"/>
      <c r="AF4025" s="13"/>
      <c r="AG4025" s="13"/>
      <c r="AH4025" s="13"/>
      <c r="AI4025" s="13"/>
      <c r="AJ4025" s="13"/>
      <c r="AK4025" s="13"/>
      <c r="AL4025" s="13"/>
      <c r="AM4025" s="13"/>
      <c r="AN4025" s="13"/>
      <c r="AO4025" s="13"/>
      <c r="AP4025" s="13"/>
      <c r="AQ4025" s="13"/>
      <c r="AR4025" s="13"/>
      <c r="AS4025" s="13"/>
    </row>
    <row r="4026" ht="14.25" customHeight="1">
      <c r="A4026" s="13" t="s">
        <v>46</v>
      </c>
      <c r="B4026" s="34" t="s">
        <v>53</v>
      </c>
      <c r="C4026" s="13" t="s">
        <v>2077</v>
      </c>
      <c r="D4026" s="13"/>
      <c r="E4026" s="13"/>
      <c r="F4026" s="13"/>
      <c r="G4026" s="13" t="s">
        <v>74</v>
      </c>
      <c r="H4026" s="13" t="s">
        <v>75</v>
      </c>
      <c r="I4026" s="14">
        <v>44907.0</v>
      </c>
      <c r="J4026" s="14"/>
      <c r="K4026" s="15"/>
      <c r="L4026" s="15"/>
      <c r="M4026" s="16"/>
      <c r="N4026" s="16"/>
      <c r="O4026" s="17">
        <v>0.0</v>
      </c>
      <c r="P4026" s="17">
        <v>0.0</v>
      </c>
      <c r="Q4026" s="13">
        <f t="shared" si="4343"/>
        <v>0</v>
      </c>
      <c r="R4026" s="14">
        <v>44966.0</v>
      </c>
      <c r="S4026" s="13"/>
      <c r="T4026" s="13">
        <f t="shared" ref="T4026:Y4026" si="4344">IF(ISBLANK(K4026)=TRUE,0,1)</f>
        <v>0</v>
      </c>
      <c r="U4026" s="13">
        <f t="shared" si="4344"/>
        <v>0</v>
      </c>
      <c r="V4026" s="13">
        <f t="shared" si="4344"/>
        <v>0</v>
      </c>
      <c r="W4026" s="13">
        <f t="shared" si="4344"/>
        <v>0</v>
      </c>
      <c r="X4026" s="13">
        <f t="shared" si="4344"/>
        <v>1</v>
      </c>
      <c r="Y4026" s="13">
        <f t="shared" si="4344"/>
        <v>1</v>
      </c>
      <c r="Z4026" s="13">
        <f t="shared" si="3023"/>
        <v>0</v>
      </c>
      <c r="AA4026" s="13"/>
      <c r="AB4026" s="13"/>
      <c r="AC4026" s="13"/>
      <c r="AD4026" s="13"/>
      <c r="AE4026" s="13"/>
      <c r="AF4026" s="13"/>
      <c r="AG4026" s="13"/>
      <c r="AH4026" s="13"/>
      <c r="AI4026" s="13"/>
      <c r="AJ4026" s="13"/>
      <c r="AK4026" s="13"/>
      <c r="AL4026" s="13"/>
      <c r="AM4026" s="13"/>
      <c r="AN4026" s="13"/>
      <c r="AO4026" s="13"/>
      <c r="AP4026" s="13"/>
      <c r="AQ4026" s="13"/>
      <c r="AR4026" s="13"/>
      <c r="AS4026" s="13"/>
    </row>
    <row r="4027" ht="14.25" customHeight="1">
      <c r="A4027" s="13" t="s">
        <v>46</v>
      </c>
      <c r="B4027" s="34" t="s">
        <v>53</v>
      </c>
      <c r="C4027" s="13" t="s">
        <v>2078</v>
      </c>
      <c r="D4027" s="13"/>
      <c r="E4027" s="13"/>
      <c r="F4027" s="13"/>
      <c r="G4027" s="13" t="s">
        <v>74</v>
      </c>
      <c r="H4027" s="13" t="s">
        <v>75</v>
      </c>
      <c r="I4027" s="14">
        <v>44907.0</v>
      </c>
      <c r="J4027" s="14"/>
      <c r="K4027" s="15"/>
      <c r="L4027" s="15"/>
      <c r="M4027" s="16"/>
      <c r="N4027" s="16"/>
      <c r="O4027" s="17">
        <v>0.0</v>
      </c>
      <c r="P4027" s="17">
        <v>0.0</v>
      </c>
      <c r="Q4027" s="13">
        <f>K4024+L4024+M4024+N4024+O4024+P4024/6</f>
        <v>0</v>
      </c>
      <c r="R4027" s="14">
        <v>44966.0</v>
      </c>
      <c r="S4027" s="13"/>
      <c r="T4027" s="13">
        <f t="shared" ref="T4027:Y4027" si="4345">IF(ISBLANK(K4027)=TRUE,0,1)</f>
        <v>0</v>
      </c>
      <c r="U4027" s="13">
        <f t="shared" si="4345"/>
        <v>0</v>
      </c>
      <c r="V4027" s="13">
        <f t="shared" si="4345"/>
        <v>0</v>
      </c>
      <c r="W4027" s="13">
        <f t="shared" si="4345"/>
        <v>0</v>
      </c>
      <c r="X4027" s="13">
        <f t="shared" si="4345"/>
        <v>1</v>
      </c>
      <c r="Y4027" s="13">
        <f t="shared" si="4345"/>
        <v>1</v>
      </c>
      <c r="Z4027" s="13">
        <f t="shared" si="3023"/>
        <v>0</v>
      </c>
      <c r="AA4027" s="13"/>
      <c r="AB4027" s="13"/>
      <c r="AC4027" s="13"/>
      <c r="AD4027" s="13"/>
      <c r="AE4027" s="13"/>
      <c r="AF4027" s="13"/>
      <c r="AG4027" s="13"/>
      <c r="AH4027" s="13"/>
      <c r="AI4027" s="13"/>
      <c r="AJ4027" s="13"/>
      <c r="AK4027" s="13"/>
      <c r="AL4027" s="13"/>
      <c r="AM4027" s="13"/>
      <c r="AN4027" s="13"/>
      <c r="AO4027" s="13"/>
      <c r="AP4027" s="13"/>
      <c r="AQ4027" s="13"/>
      <c r="AR4027" s="13"/>
      <c r="AS4027" s="13"/>
    </row>
    <row r="4028" ht="14.25" customHeight="1">
      <c r="A4028" s="13" t="s">
        <v>46</v>
      </c>
      <c r="B4028" s="34" t="s">
        <v>53</v>
      </c>
      <c r="C4028" s="13" t="s">
        <v>2079</v>
      </c>
      <c r="D4028" s="13"/>
      <c r="E4028" s="13"/>
      <c r="F4028" s="13"/>
      <c r="G4028" s="13" t="s">
        <v>111</v>
      </c>
      <c r="H4028" s="13" t="s">
        <v>75</v>
      </c>
      <c r="I4028" s="14">
        <v>44907.0</v>
      </c>
      <c r="J4028" s="14"/>
      <c r="K4028" s="15"/>
      <c r="L4028" s="15"/>
      <c r="M4028" s="16"/>
      <c r="N4028" s="16"/>
      <c r="O4028" s="17">
        <v>0.0</v>
      </c>
      <c r="P4028" s="17">
        <v>0.0</v>
      </c>
      <c r="Q4028" s="13">
        <f t="shared" ref="Q4028:Q4049" si="4347">K4027+L4027+M4027+N4027+O4027+P4027/6</f>
        <v>0</v>
      </c>
      <c r="R4028" s="14">
        <v>44971.0</v>
      </c>
      <c r="S4028" s="13"/>
      <c r="T4028" s="13">
        <f t="shared" ref="T4028:Y4028" si="4346">IF(ISBLANK(K4028)=TRUE,0,1)</f>
        <v>0</v>
      </c>
      <c r="U4028" s="13">
        <f t="shared" si="4346"/>
        <v>0</v>
      </c>
      <c r="V4028" s="13">
        <f t="shared" si="4346"/>
        <v>0</v>
      </c>
      <c r="W4028" s="13">
        <f t="shared" si="4346"/>
        <v>0</v>
      </c>
      <c r="X4028" s="13">
        <f t="shared" si="4346"/>
        <v>1</v>
      </c>
      <c r="Y4028" s="13">
        <f t="shared" si="4346"/>
        <v>1</v>
      </c>
      <c r="Z4028" s="13">
        <f t="shared" si="3023"/>
        <v>0</v>
      </c>
      <c r="AA4028" s="13"/>
      <c r="AB4028" s="13"/>
      <c r="AC4028" s="13"/>
      <c r="AD4028" s="13"/>
      <c r="AE4028" s="13"/>
      <c r="AF4028" s="13"/>
      <c r="AG4028" s="13"/>
      <c r="AH4028" s="13"/>
      <c r="AI4028" s="13"/>
      <c r="AJ4028" s="13"/>
      <c r="AK4028" s="13"/>
      <c r="AL4028" s="13"/>
      <c r="AM4028" s="13"/>
      <c r="AN4028" s="13"/>
      <c r="AO4028" s="13"/>
      <c r="AP4028" s="13"/>
      <c r="AQ4028" s="13"/>
      <c r="AR4028" s="13"/>
      <c r="AS4028" s="13"/>
    </row>
    <row r="4029" ht="14.25" customHeight="1">
      <c r="A4029" s="13" t="s">
        <v>46</v>
      </c>
      <c r="B4029" s="34" t="s">
        <v>53</v>
      </c>
      <c r="C4029" s="13" t="s">
        <v>2080</v>
      </c>
      <c r="D4029" s="13"/>
      <c r="E4029" s="13"/>
      <c r="F4029" s="13"/>
      <c r="G4029" s="13" t="s">
        <v>111</v>
      </c>
      <c r="H4029" s="13" t="s">
        <v>75</v>
      </c>
      <c r="I4029" s="14">
        <v>44907.0</v>
      </c>
      <c r="J4029" s="14"/>
      <c r="K4029" s="15"/>
      <c r="L4029" s="15"/>
      <c r="M4029" s="16"/>
      <c r="N4029" s="16"/>
      <c r="O4029" s="17">
        <v>0.0</v>
      </c>
      <c r="P4029" s="17">
        <v>0.0</v>
      </c>
      <c r="Q4029" s="13">
        <f t="shared" si="4347"/>
        <v>0</v>
      </c>
      <c r="R4029" s="14">
        <v>44971.0</v>
      </c>
      <c r="S4029" s="13"/>
      <c r="T4029" s="13">
        <f t="shared" ref="T4029:Y4029" si="4348">IF(ISBLANK(K4029)=TRUE,0,1)</f>
        <v>0</v>
      </c>
      <c r="U4029" s="13">
        <f t="shared" si="4348"/>
        <v>0</v>
      </c>
      <c r="V4029" s="13">
        <f t="shared" si="4348"/>
        <v>0</v>
      </c>
      <c r="W4029" s="13">
        <f t="shared" si="4348"/>
        <v>0</v>
      </c>
      <c r="X4029" s="13">
        <f t="shared" si="4348"/>
        <v>1</v>
      </c>
      <c r="Y4029" s="13">
        <f t="shared" si="4348"/>
        <v>1</v>
      </c>
      <c r="Z4029" s="13">
        <f t="shared" si="3023"/>
        <v>0</v>
      </c>
      <c r="AA4029" s="13"/>
      <c r="AB4029" s="13"/>
      <c r="AC4029" s="13"/>
      <c r="AD4029" s="13"/>
      <c r="AE4029" s="13"/>
      <c r="AF4029" s="13"/>
      <c r="AG4029" s="13"/>
      <c r="AH4029" s="13"/>
      <c r="AI4029" s="13"/>
      <c r="AJ4029" s="13"/>
      <c r="AK4029" s="13"/>
      <c r="AL4029" s="13"/>
      <c r="AM4029" s="13"/>
      <c r="AN4029" s="13"/>
      <c r="AO4029" s="13"/>
      <c r="AP4029" s="13"/>
      <c r="AQ4029" s="13"/>
      <c r="AR4029" s="13"/>
      <c r="AS4029" s="13"/>
    </row>
    <row r="4030" ht="14.25" customHeight="1">
      <c r="A4030" s="13" t="s">
        <v>46</v>
      </c>
      <c r="B4030" s="34" t="s">
        <v>53</v>
      </c>
      <c r="C4030" s="13" t="s">
        <v>2081</v>
      </c>
      <c r="D4030" s="13"/>
      <c r="E4030" s="13"/>
      <c r="F4030" s="13"/>
      <c r="G4030" s="13" t="s">
        <v>111</v>
      </c>
      <c r="H4030" s="13" t="s">
        <v>75</v>
      </c>
      <c r="I4030" s="14">
        <v>44907.0</v>
      </c>
      <c r="J4030" s="14"/>
      <c r="K4030" s="15">
        <v>0.0</v>
      </c>
      <c r="L4030" s="15">
        <v>0.0</v>
      </c>
      <c r="M4030" s="16"/>
      <c r="N4030" s="16"/>
      <c r="O4030" s="17">
        <v>0.0</v>
      </c>
      <c r="P4030" s="17">
        <v>0.0</v>
      </c>
      <c r="Q4030" s="13">
        <f t="shared" si="4347"/>
        <v>0</v>
      </c>
      <c r="R4030" s="14">
        <v>44971.0</v>
      </c>
      <c r="S4030" s="13"/>
      <c r="T4030" s="13">
        <f t="shared" ref="T4030:Y4030" si="4349">IF(ISBLANK(K4030)=TRUE,0,1)</f>
        <v>1</v>
      </c>
      <c r="U4030" s="13">
        <f t="shared" si="4349"/>
        <v>1</v>
      </c>
      <c r="V4030" s="13">
        <f t="shared" si="4349"/>
        <v>0</v>
      </c>
      <c r="W4030" s="13">
        <f t="shared" si="4349"/>
        <v>0</v>
      </c>
      <c r="X4030" s="13">
        <f t="shared" si="4349"/>
        <v>1</v>
      </c>
      <c r="Y4030" s="13">
        <f t="shared" si="4349"/>
        <v>1</v>
      </c>
      <c r="Z4030" s="13">
        <f t="shared" si="3023"/>
        <v>0</v>
      </c>
      <c r="AA4030" s="13" t="s">
        <v>874</v>
      </c>
      <c r="AB4030" s="13"/>
      <c r="AC4030" s="13"/>
      <c r="AD4030" s="13"/>
      <c r="AE4030" s="13"/>
      <c r="AF4030" s="13"/>
      <c r="AG4030" s="13"/>
      <c r="AH4030" s="13"/>
      <c r="AI4030" s="13"/>
      <c r="AJ4030" s="13"/>
      <c r="AK4030" s="13"/>
      <c r="AL4030" s="13"/>
      <c r="AM4030" s="13"/>
      <c r="AN4030" s="13"/>
      <c r="AO4030" s="13"/>
      <c r="AP4030" s="13"/>
      <c r="AQ4030" s="13"/>
      <c r="AR4030" s="13"/>
      <c r="AS4030" s="13"/>
    </row>
    <row r="4031" ht="14.25" customHeight="1">
      <c r="A4031" s="13" t="s">
        <v>46</v>
      </c>
      <c r="B4031" s="34" t="s">
        <v>53</v>
      </c>
      <c r="C4031" s="13" t="s">
        <v>2082</v>
      </c>
      <c r="D4031" s="13"/>
      <c r="E4031" s="13"/>
      <c r="F4031" s="13"/>
      <c r="G4031" s="13" t="s">
        <v>111</v>
      </c>
      <c r="H4031" s="13" t="s">
        <v>75</v>
      </c>
      <c r="I4031" s="14">
        <v>44907.0</v>
      </c>
      <c r="J4031" s="14"/>
      <c r="K4031" s="15"/>
      <c r="L4031" s="15"/>
      <c r="M4031" s="16"/>
      <c r="N4031" s="16"/>
      <c r="O4031" s="17">
        <v>0.0</v>
      </c>
      <c r="P4031" s="17">
        <v>0.0</v>
      </c>
      <c r="Q4031" s="13">
        <f t="shared" si="4347"/>
        <v>0</v>
      </c>
      <c r="R4031" s="14">
        <v>44971.0</v>
      </c>
      <c r="S4031" s="13"/>
      <c r="T4031" s="13">
        <f t="shared" ref="T4031:Y4031" si="4350">IF(ISBLANK(K4031)=TRUE,0,1)</f>
        <v>0</v>
      </c>
      <c r="U4031" s="13">
        <f t="shared" si="4350"/>
        <v>0</v>
      </c>
      <c r="V4031" s="13">
        <f t="shared" si="4350"/>
        <v>0</v>
      </c>
      <c r="W4031" s="13">
        <f t="shared" si="4350"/>
        <v>0</v>
      </c>
      <c r="X4031" s="13">
        <f t="shared" si="4350"/>
        <v>1</v>
      </c>
      <c r="Y4031" s="13">
        <f t="shared" si="4350"/>
        <v>1</v>
      </c>
      <c r="Z4031" s="13">
        <f t="shared" si="3023"/>
        <v>0</v>
      </c>
      <c r="AA4031" s="13"/>
      <c r="AB4031" s="13"/>
      <c r="AC4031" s="13"/>
      <c r="AD4031" s="13"/>
      <c r="AE4031" s="13"/>
      <c r="AF4031" s="13"/>
      <c r="AG4031" s="13"/>
      <c r="AH4031" s="13"/>
      <c r="AI4031" s="13"/>
      <c r="AJ4031" s="13"/>
      <c r="AK4031" s="13"/>
      <c r="AL4031" s="13"/>
      <c r="AM4031" s="13"/>
      <c r="AN4031" s="13"/>
      <c r="AO4031" s="13"/>
      <c r="AP4031" s="13"/>
      <c r="AQ4031" s="13"/>
      <c r="AR4031" s="13"/>
      <c r="AS4031" s="13"/>
    </row>
    <row r="4032" ht="14.25" customHeight="1">
      <c r="A4032" s="13" t="s">
        <v>46</v>
      </c>
      <c r="B4032" s="34" t="s">
        <v>53</v>
      </c>
      <c r="C4032" s="13" t="s">
        <v>2083</v>
      </c>
      <c r="D4032" s="13"/>
      <c r="E4032" s="13"/>
      <c r="F4032" s="13"/>
      <c r="G4032" s="13" t="s">
        <v>111</v>
      </c>
      <c r="H4032" s="13" t="s">
        <v>75</v>
      </c>
      <c r="I4032" s="14">
        <v>44907.0</v>
      </c>
      <c r="J4032" s="14"/>
      <c r="K4032" s="15"/>
      <c r="L4032" s="15"/>
      <c r="M4032" s="16"/>
      <c r="N4032" s="16"/>
      <c r="O4032" s="17">
        <v>0.0</v>
      </c>
      <c r="P4032" s="17">
        <v>0.0</v>
      </c>
      <c r="Q4032" s="13">
        <f t="shared" si="4347"/>
        <v>0</v>
      </c>
      <c r="R4032" s="14">
        <v>44971.0</v>
      </c>
      <c r="S4032" s="13"/>
      <c r="T4032" s="13">
        <f t="shared" ref="T4032:Y4032" si="4351">IF(ISBLANK(K4032)=TRUE,0,1)</f>
        <v>0</v>
      </c>
      <c r="U4032" s="13">
        <f t="shared" si="4351"/>
        <v>0</v>
      </c>
      <c r="V4032" s="13">
        <f t="shared" si="4351"/>
        <v>0</v>
      </c>
      <c r="W4032" s="13">
        <f t="shared" si="4351"/>
        <v>0</v>
      </c>
      <c r="X4032" s="13">
        <f t="shared" si="4351"/>
        <v>1</v>
      </c>
      <c r="Y4032" s="13">
        <f t="shared" si="4351"/>
        <v>1</v>
      </c>
      <c r="Z4032" s="13">
        <f t="shared" si="3023"/>
        <v>0</v>
      </c>
      <c r="AA4032" s="13"/>
      <c r="AB4032" s="13"/>
      <c r="AC4032" s="13"/>
      <c r="AD4032" s="13"/>
      <c r="AE4032" s="13"/>
      <c r="AF4032" s="13"/>
      <c r="AG4032" s="13"/>
      <c r="AH4032" s="13"/>
      <c r="AI4032" s="13"/>
      <c r="AJ4032" s="13"/>
      <c r="AK4032" s="13"/>
      <c r="AL4032" s="13"/>
      <c r="AM4032" s="13"/>
      <c r="AN4032" s="13"/>
      <c r="AO4032" s="13"/>
      <c r="AP4032" s="13"/>
      <c r="AQ4032" s="13"/>
      <c r="AR4032" s="13"/>
      <c r="AS4032" s="13"/>
    </row>
    <row r="4033" ht="14.25" customHeight="1">
      <c r="A4033" s="13" t="s">
        <v>46</v>
      </c>
      <c r="B4033" s="34" t="s">
        <v>53</v>
      </c>
      <c r="C4033" s="13" t="s">
        <v>2084</v>
      </c>
      <c r="D4033" s="13"/>
      <c r="E4033" s="13"/>
      <c r="F4033" s="13"/>
      <c r="G4033" s="13" t="s">
        <v>111</v>
      </c>
      <c r="H4033" s="13" t="s">
        <v>75</v>
      </c>
      <c r="I4033" s="14">
        <v>44907.0</v>
      </c>
      <c r="J4033" s="14"/>
      <c r="K4033" s="15">
        <v>0.0</v>
      </c>
      <c r="L4033" s="15">
        <v>0.0</v>
      </c>
      <c r="M4033" s="16"/>
      <c r="N4033" s="16"/>
      <c r="O4033" s="17">
        <v>0.0</v>
      </c>
      <c r="P4033" s="17">
        <v>0.0</v>
      </c>
      <c r="Q4033" s="13">
        <f t="shared" si="4347"/>
        <v>0</v>
      </c>
      <c r="R4033" s="14">
        <v>44971.0</v>
      </c>
      <c r="S4033" s="13"/>
      <c r="T4033" s="13">
        <f t="shared" ref="T4033:Y4033" si="4352">IF(ISBLANK(K4033)=TRUE,0,1)</f>
        <v>1</v>
      </c>
      <c r="U4033" s="13">
        <f t="shared" si="4352"/>
        <v>1</v>
      </c>
      <c r="V4033" s="13">
        <f t="shared" si="4352"/>
        <v>0</v>
      </c>
      <c r="W4033" s="13">
        <f t="shared" si="4352"/>
        <v>0</v>
      </c>
      <c r="X4033" s="13">
        <f t="shared" si="4352"/>
        <v>1</v>
      </c>
      <c r="Y4033" s="13">
        <f t="shared" si="4352"/>
        <v>1</v>
      </c>
      <c r="Z4033" s="13">
        <f t="shared" si="3023"/>
        <v>0</v>
      </c>
      <c r="AA4033" s="13" t="s">
        <v>819</v>
      </c>
      <c r="AB4033" s="13"/>
      <c r="AC4033" s="13"/>
      <c r="AD4033" s="13"/>
      <c r="AE4033" s="13"/>
      <c r="AF4033" s="13"/>
      <c r="AG4033" s="13"/>
      <c r="AH4033" s="13"/>
      <c r="AI4033" s="13"/>
      <c r="AJ4033" s="13"/>
      <c r="AK4033" s="13"/>
      <c r="AL4033" s="13"/>
      <c r="AM4033" s="13"/>
      <c r="AN4033" s="13"/>
      <c r="AO4033" s="13"/>
      <c r="AP4033" s="13"/>
      <c r="AQ4033" s="13"/>
      <c r="AR4033" s="13"/>
      <c r="AS4033" s="13"/>
    </row>
    <row r="4034" ht="14.25" customHeight="1">
      <c r="A4034" s="13" t="s">
        <v>46</v>
      </c>
      <c r="B4034" s="34" t="s">
        <v>53</v>
      </c>
      <c r="C4034" s="13" t="s">
        <v>2085</v>
      </c>
      <c r="D4034" s="13"/>
      <c r="E4034" s="13"/>
      <c r="F4034" s="13"/>
      <c r="G4034" s="13" t="s">
        <v>111</v>
      </c>
      <c r="H4034" s="13" t="s">
        <v>75</v>
      </c>
      <c r="I4034" s="14">
        <v>44907.0</v>
      </c>
      <c r="J4034" s="14"/>
      <c r="K4034" s="15"/>
      <c r="L4034" s="15"/>
      <c r="M4034" s="16"/>
      <c r="N4034" s="16"/>
      <c r="O4034" s="17">
        <v>0.0</v>
      </c>
      <c r="P4034" s="17">
        <v>0.0</v>
      </c>
      <c r="Q4034" s="13">
        <f t="shared" si="4347"/>
        <v>0</v>
      </c>
      <c r="R4034" s="14">
        <v>44971.0</v>
      </c>
      <c r="S4034" s="13"/>
      <c r="T4034" s="13">
        <f t="shared" ref="T4034:Y4034" si="4353">IF(ISBLANK(K4034)=TRUE,0,1)</f>
        <v>0</v>
      </c>
      <c r="U4034" s="13">
        <f t="shared" si="4353"/>
        <v>0</v>
      </c>
      <c r="V4034" s="13">
        <f t="shared" si="4353"/>
        <v>0</v>
      </c>
      <c r="W4034" s="13">
        <f t="shared" si="4353"/>
        <v>0</v>
      </c>
      <c r="X4034" s="13">
        <f t="shared" si="4353"/>
        <v>1</v>
      </c>
      <c r="Y4034" s="13">
        <f t="shared" si="4353"/>
        <v>1</v>
      </c>
      <c r="Z4034" s="13">
        <f t="shared" si="3023"/>
        <v>0</v>
      </c>
      <c r="AA4034" s="13"/>
      <c r="AB4034" s="13"/>
      <c r="AC4034" s="13"/>
      <c r="AD4034" s="13"/>
      <c r="AE4034" s="13"/>
      <c r="AF4034" s="13"/>
      <c r="AG4034" s="13"/>
      <c r="AH4034" s="13"/>
      <c r="AI4034" s="13"/>
      <c r="AJ4034" s="13"/>
      <c r="AK4034" s="13"/>
      <c r="AL4034" s="13"/>
      <c r="AM4034" s="13"/>
      <c r="AN4034" s="13"/>
      <c r="AO4034" s="13"/>
      <c r="AP4034" s="13"/>
      <c r="AQ4034" s="13"/>
      <c r="AR4034" s="13"/>
      <c r="AS4034" s="13"/>
    </row>
    <row r="4035" ht="14.25" customHeight="1">
      <c r="A4035" s="13" t="s">
        <v>46</v>
      </c>
      <c r="B4035" s="34" t="s">
        <v>53</v>
      </c>
      <c r="C4035" s="13" t="s">
        <v>2086</v>
      </c>
      <c r="D4035" s="13"/>
      <c r="E4035" s="13"/>
      <c r="F4035" s="13"/>
      <c r="G4035" s="13" t="s">
        <v>111</v>
      </c>
      <c r="H4035" s="13" t="s">
        <v>75</v>
      </c>
      <c r="I4035" s="14">
        <v>44907.0</v>
      </c>
      <c r="J4035" s="14"/>
      <c r="K4035" s="15">
        <v>0.0</v>
      </c>
      <c r="L4035" s="15">
        <v>0.0</v>
      </c>
      <c r="M4035" s="16"/>
      <c r="N4035" s="16"/>
      <c r="O4035" s="17"/>
      <c r="P4035" s="17"/>
      <c r="Q4035" s="13">
        <f t="shared" si="4347"/>
        <v>0</v>
      </c>
      <c r="R4035" s="13"/>
      <c r="S4035" s="13"/>
      <c r="T4035" s="13">
        <f t="shared" ref="T4035:Y4035" si="4354">IF(ISBLANK(K4035)=TRUE,0,1)</f>
        <v>1</v>
      </c>
      <c r="U4035" s="13">
        <f t="shared" si="4354"/>
        <v>1</v>
      </c>
      <c r="V4035" s="13">
        <f t="shared" si="4354"/>
        <v>0</v>
      </c>
      <c r="W4035" s="13">
        <f t="shared" si="4354"/>
        <v>0</v>
      </c>
      <c r="X4035" s="13">
        <f t="shared" si="4354"/>
        <v>0</v>
      </c>
      <c r="Y4035" s="13">
        <f t="shared" si="4354"/>
        <v>0</v>
      </c>
      <c r="Z4035" s="13">
        <f t="shared" si="3023"/>
        <v>0</v>
      </c>
      <c r="AA4035" s="13" t="s">
        <v>846</v>
      </c>
      <c r="AB4035" s="13"/>
      <c r="AC4035" s="13"/>
      <c r="AD4035" s="13"/>
      <c r="AE4035" s="13"/>
      <c r="AF4035" s="13"/>
      <c r="AG4035" s="13"/>
      <c r="AH4035" s="13"/>
      <c r="AI4035" s="13"/>
      <c r="AJ4035" s="13"/>
      <c r="AK4035" s="13"/>
      <c r="AL4035" s="13"/>
      <c r="AM4035" s="13"/>
      <c r="AN4035" s="13"/>
      <c r="AO4035" s="13"/>
      <c r="AP4035" s="13"/>
      <c r="AQ4035" s="13"/>
      <c r="AR4035" s="13"/>
      <c r="AS4035" s="13"/>
    </row>
    <row r="4036" ht="14.25" customHeight="1">
      <c r="A4036" s="13" t="s">
        <v>46</v>
      </c>
      <c r="B4036" s="34" t="s">
        <v>53</v>
      </c>
      <c r="C4036" s="13" t="s">
        <v>2087</v>
      </c>
      <c r="D4036" s="13"/>
      <c r="E4036" s="13"/>
      <c r="F4036" s="13"/>
      <c r="G4036" s="13" t="s">
        <v>111</v>
      </c>
      <c r="H4036" s="13" t="s">
        <v>75</v>
      </c>
      <c r="I4036" s="14">
        <v>44907.0</v>
      </c>
      <c r="J4036" s="14"/>
      <c r="K4036" s="15">
        <v>0.0</v>
      </c>
      <c r="L4036" s="15">
        <v>0.0</v>
      </c>
      <c r="M4036" s="16"/>
      <c r="N4036" s="16"/>
      <c r="O4036" s="17">
        <v>0.0</v>
      </c>
      <c r="P4036" s="17">
        <v>0.0</v>
      </c>
      <c r="Q4036" s="13">
        <f t="shared" si="4347"/>
        <v>0</v>
      </c>
      <c r="R4036" s="14">
        <v>44971.0</v>
      </c>
      <c r="S4036" s="13"/>
      <c r="T4036" s="13">
        <f t="shared" ref="T4036:Y4036" si="4355">IF(ISBLANK(K4036)=TRUE,0,1)</f>
        <v>1</v>
      </c>
      <c r="U4036" s="13">
        <f t="shared" si="4355"/>
        <v>1</v>
      </c>
      <c r="V4036" s="13">
        <f t="shared" si="4355"/>
        <v>0</v>
      </c>
      <c r="W4036" s="13">
        <f t="shared" si="4355"/>
        <v>0</v>
      </c>
      <c r="X4036" s="13">
        <f t="shared" si="4355"/>
        <v>1</v>
      </c>
      <c r="Y4036" s="13">
        <f t="shared" si="4355"/>
        <v>1</v>
      </c>
      <c r="Z4036" s="13">
        <f t="shared" si="3023"/>
        <v>0</v>
      </c>
      <c r="AA4036" s="13" t="s">
        <v>874</v>
      </c>
      <c r="AB4036" s="13"/>
      <c r="AC4036" s="13"/>
      <c r="AD4036" s="13"/>
      <c r="AE4036" s="13"/>
      <c r="AF4036" s="13"/>
      <c r="AG4036" s="13"/>
      <c r="AH4036" s="13"/>
      <c r="AI4036" s="13"/>
      <c r="AJ4036" s="13"/>
      <c r="AK4036" s="13"/>
      <c r="AL4036" s="13"/>
      <c r="AM4036" s="13"/>
      <c r="AN4036" s="13"/>
      <c r="AO4036" s="13"/>
      <c r="AP4036" s="13"/>
      <c r="AQ4036" s="13"/>
      <c r="AR4036" s="13"/>
      <c r="AS4036" s="13"/>
    </row>
    <row r="4037" ht="14.25" customHeight="1">
      <c r="A4037" s="13" t="s">
        <v>46</v>
      </c>
      <c r="B4037" s="34" t="s">
        <v>53</v>
      </c>
      <c r="C4037" s="13" t="s">
        <v>2088</v>
      </c>
      <c r="D4037" s="13"/>
      <c r="E4037" s="13"/>
      <c r="F4037" s="13"/>
      <c r="G4037" s="13" t="s">
        <v>111</v>
      </c>
      <c r="H4037" s="13" t="s">
        <v>75</v>
      </c>
      <c r="I4037" s="14">
        <v>44908.0</v>
      </c>
      <c r="J4037" s="14"/>
      <c r="K4037" s="15"/>
      <c r="L4037" s="15"/>
      <c r="M4037" s="16"/>
      <c r="N4037" s="16"/>
      <c r="O4037" s="17">
        <v>0.0</v>
      </c>
      <c r="P4037" s="17">
        <v>0.0</v>
      </c>
      <c r="Q4037" s="13">
        <f t="shared" si="4347"/>
        <v>0</v>
      </c>
      <c r="R4037" s="14">
        <v>44971.0</v>
      </c>
      <c r="S4037" s="13"/>
      <c r="T4037" s="13">
        <f t="shared" ref="T4037:Y4037" si="4356">IF(ISBLANK(K4037)=TRUE,0,1)</f>
        <v>0</v>
      </c>
      <c r="U4037" s="13">
        <f t="shared" si="4356"/>
        <v>0</v>
      </c>
      <c r="V4037" s="13">
        <f t="shared" si="4356"/>
        <v>0</v>
      </c>
      <c r="W4037" s="13">
        <f t="shared" si="4356"/>
        <v>0</v>
      </c>
      <c r="X4037" s="13">
        <f t="shared" si="4356"/>
        <v>1</v>
      </c>
      <c r="Y4037" s="13">
        <f t="shared" si="4356"/>
        <v>1</v>
      </c>
      <c r="Z4037" s="13">
        <f t="shared" si="3023"/>
        <v>0</v>
      </c>
      <c r="AA4037" s="13"/>
      <c r="AB4037" s="13"/>
      <c r="AC4037" s="13"/>
      <c r="AD4037" s="13"/>
      <c r="AE4037" s="13"/>
      <c r="AF4037" s="13"/>
      <c r="AG4037" s="13"/>
      <c r="AH4037" s="13"/>
      <c r="AI4037" s="13"/>
      <c r="AJ4037" s="13"/>
      <c r="AK4037" s="13"/>
      <c r="AL4037" s="13"/>
      <c r="AM4037" s="13"/>
      <c r="AN4037" s="13"/>
      <c r="AO4037" s="13"/>
      <c r="AP4037" s="13"/>
      <c r="AQ4037" s="13"/>
      <c r="AR4037" s="13"/>
      <c r="AS4037" s="13"/>
    </row>
    <row r="4038" ht="14.25" customHeight="1">
      <c r="A4038" s="13" t="s">
        <v>46</v>
      </c>
      <c r="B4038" s="34" t="s">
        <v>53</v>
      </c>
      <c r="C4038" s="13" t="s">
        <v>2089</v>
      </c>
      <c r="D4038" s="13"/>
      <c r="E4038" s="13"/>
      <c r="F4038" s="13"/>
      <c r="G4038" s="13" t="s">
        <v>111</v>
      </c>
      <c r="H4038" s="13" t="s">
        <v>75</v>
      </c>
      <c r="I4038" s="14">
        <v>44908.0</v>
      </c>
      <c r="J4038" s="14"/>
      <c r="K4038" s="15"/>
      <c r="L4038" s="15"/>
      <c r="M4038" s="16"/>
      <c r="N4038" s="16"/>
      <c r="O4038" s="17">
        <v>0.0</v>
      </c>
      <c r="P4038" s="17">
        <v>0.0</v>
      </c>
      <c r="Q4038" s="13">
        <f t="shared" si="4347"/>
        <v>0</v>
      </c>
      <c r="R4038" s="14">
        <v>44971.0</v>
      </c>
      <c r="S4038" s="13"/>
      <c r="T4038" s="13">
        <f t="shared" ref="T4038:Y4038" si="4357">IF(ISBLANK(K4038)=TRUE,0,1)</f>
        <v>0</v>
      </c>
      <c r="U4038" s="13">
        <f t="shared" si="4357"/>
        <v>0</v>
      </c>
      <c r="V4038" s="13">
        <f t="shared" si="4357"/>
        <v>0</v>
      </c>
      <c r="W4038" s="13">
        <f t="shared" si="4357"/>
        <v>0</v>
      </c>
      <c r="X4038" s="13">
        <f t="shared" si="4357"/>
        <v>1</v>
      </c>
      <c r="Y4038" s="13">
        <f t="shared" si="4357"/>
        <v>1</v>
      </c>
      <c r="Z4038" s="13">
        <f t="shared" si="3023"/>
        <v>0</v>
      </c>
      <c r="AA4038" s="13"/>
      <c r="AB4038" s="13"/>
      <c r="AC4038" s="13"/>
      <c r="AD4038" s="13"/>
      <c r="AE4038" s="13"/>
      <c r="AF4038" s="13"/>
      <c r="AG4038" s="13"/>
      <c r="AH4038" s="13"/>
      <c r="AI4038" s="13"/>
      <c r="AJ4038" s="13"/>
      <c r="AK4038" s="13"/>
      <c r="AL4038" s="13"/>
      <c r="AM4038" s="13"/>
      <c r="AN4038" s="13"/>
      <c r="AO4038" s="13"/>
      <c r="AP4038" s="13"/>
      <c r="AQ4038" s="13"/>
      <c r="AR4038" s="13"/>
      <c r="AS4038" s="13"/>
    </row>
    <row r="4039" ht="14.25" customHeight="1">
      <c r="A4039" s="13" t="s">
        <v>46</v>
      </c>
      <c r="B4039" s="34" t="s">
        <v>53</v>
      </c>
      <c r="C4039" s="13" t="s">
        <v>2090</v>
      </c>
      <c r="D4039" s="13"/>
      <c r="E4039" s="13"/>
      <c r="F4039" s="13"/>
      <c r="G4039" s="13" t="s">
        <v>111</v>
      </c>
      <c r="H4039" s="13" t="s">
        <v>75</v>
      </c>
      <c r="I4039" s="14">
        <v>44908.0</v>
      </c>
      <c r="J4039" s="14"/>
      <c r="K4039" s="15">
        <v>0.0</v>
      </c>
      <c r="L4039" s="15">
        <v>0.0</v>
      </c>
      <c r="M4039" s="16"/>
      <c r="N4039" s="16"/>
      <c r="O4039" s="17">
        <v>0.0</v>
      </c>
      <c r="P4039" s="17">
        <v>0.0</v>
      </c>
      <c r="Q4039" s="13">
        <f t="shared" si="4347"/>
        <v>0</v>
      </c>
      <c r="R4039" s="14">
        <v>44971.0</v>
      </c>
      <c r="S4039" s="13"/>
      <c r="T4039" s="13">
        <f t="shared" ref="T4039:Y4039" si="4358">IF(ISBLANK(K4039)=TRUE,0,1)</f>
        <v>1</v>
      </c>
      <c r="U4039" s="13">
        <f t="shared" si="4358"/>
        <v>1</v>
      </c>
      <c r="V4039" s="13">
        <f t="shared" si="4358"/>
        <v>0</v>
      </c>
      <c r="W4039" s="13">
        <f t="shared" si="4358"/>
        <v>0</v>
      </c>
      <c r="X4039" s="13">
        <f t="shared" si="4358"/>
        <v>1</v>
      </c>
      <c r="Y4039" s="13">
        <f t="shared" si="4358"/>
        <v>1</v>
      </c>
      <c r="Z4039" s="13">
        <f t="shared" si="3023"/>
        <v>0</v>
      </c>
      <c r="AA4039" s="13" t="s">
        <v>874</v>
      </c>
      <c r="AB4039" s="13"/>
      <c r="AC4039" s="13"/>
      <c r="AD4039" s="13"/>
      <c r="AE4039" s="13"/>
      <c r="AF4039" s="13"/>
      <c r="AG4039" s="13"/>
      <c r="AH4039" s="13"/>
      <c r="AI4039" s="13"/>
      <c r="AJ4039" s="13"/>
      <c r="AK4039" s="13"/>
      <c r="AL4039" s="13"/>
      <c r="AM4039" s="13"/>
      <c r="AN4039" s="13"/>
      <c r="AO4039" s="13"/>
      <c r="AP4039" s="13"/>
      <c r="AQ4039" s="13"/>
      <c r="AR4039" s="13"/>
      <c r="AS4039" s="13"/>
    </row>
    <row r="4040" ht="14.25" customHeight="1">
      <c r="A4040" s="13" t="s">
        <v>46</v>
      </c>
      <c r="B4040" s="34" t="s">
        <v>53</v>
      </c>
      <c r="C4040" s="13" t="s">
        <v>2091</v>
      </c>
      <c r="D4040" s="13"/>
      <c r="E4040" s="13"/>
      <c r="F4040" s="13"/>
      <c r="G4040" s="13" t="s">
        <v>111</v>
      </c>
      <c r="H4040" s="13" t="s">
        <v>75</v>
      </c>
      <c r="I4040" s="14">
        <v>44908.0</v>
      </c>
      <c r="J4040" s="14"/>
      <c r="K4040" s="15">
        <v>0.0</v>
      </c>
      <c r="L4040" s="15">
        <v>0.0</v>
      </c>
      <c r="M4040" s="16"/>
      <c r="N4040" s="16"/>
      <c r="O4040" s="17">
        <v>0.0</v>
      </c>
      <c r="P4040" s="17">
        <v>0.0</v>
      </c>
      <c r="Q4040" s="13">
        <f t="shared" si="4347"/>
        <v>0</v>
      </c>
      <c r="R4040" s="14">
        <v>44971.0</v>
      </c>
      <c r="S4040" s="13"/>
      <c r="T4040" s="13">
        <f t="shared" ref="T4040:Y4040" si="4359">IF(ISBLANK(K4040)=TRUE,0,1)</f>
        <v>1</v>
      </c>
      <c r="U4040" s="13">
        <f t="shared" si="4359"/>
        <v>1</v>
      </c>
      <c r="V4040" s="13">
        <f t="shared" si="4359"/>
        <v>0</v>
      </c>
      <c r="W4040" s="13">
        <f t="shared" si="4359"/>
        <v>0</v>
      </c>
      <c r="X4040" s="13">
        <f t="shared" si="4359"/>
        <v>1</v>
      </c>
      <c r="Y4040" s="13">
        <f t="shared" si="4359"/>
        <v>1</v>
      </c>
      <c r="Z4040" s="13">
        <f t="shared" si="3023"/>
        <v>0</v>
      </c>
      <c r="AA4040" s="13" t="s">
        <v>874</v>
      </c>
      <c r="AB4040" s="13"/>
      <c r="AC4040" s="13"/>
      <c r="AD4040" s="13"/>
      <c r="AE4040" s="13"/>
      <c r="AF4040" s="13"/>
      <c r="AG4040" s="13"/>
      <c r="AH4040" s="13"/>
      <c r="AI4040" s="13"/>
      <c r="AJ4040" s="13"/>
      <c r="AK4040" s="13"/>
      <c r="AL4040" s="13"/>
      <c r="AM4040" s="13"/>
      <c r="AN4040" s="13"/>
      <c r="AO4040" s="13"/>
      <c r="AP4040" s="13"/>
      <c r="AQ4040" s="13"/>
      <c r="AR4040" s="13"/>
      <c r="AS4040" s="13"/>
    </row>
    <row r="4041" ht="14.25" customHeight="1">
      <c r="A4041" s="13" t="s">
        <v>46</v>
      </c>
      <c r="B4041" s="34" t="s">
        <v>53</v>
      </c>
      <c r="C4041" s="13" t="s">
        <v>2092</v>
      </c>
      <c r="D4041" s="13"/>
      <c r="E4041" s="13"/>
      <c r="F4041" s="13"/>
      <c r="G4041" s="13" t="s">
        <v>111</v>
      </c>
      <c r="H4041" s="13" t="s">
        <v>75</v>
      </c>
      <c r="I4041" s="14">
        <v>44908.0</v>
      </c>
      <c r="J4041" s="14"/>
      <c r="K4041" s="15">
        <v>0.0</v>
      </c>
      <c r="L4041" s="15">
        <v>0.0</v>
      </c>
      <c r="M4041" s="16"/>
      <c r="N4041" s="16"/>
      <c r="O4041" s="17"/>
      <c r="P4041" s="17"/>
      <c r="Q4041" s="13">
        <f t="shared" si="4347"/>
        <v>0</v>
      </c>
      <c r="R4041" s="13"/>
      <c r="S4041" s="13"/>
      <c r="T4041" s="13">
        <f t="shared" ref="T4041:Y4041" si="4360">IF(ISBLANK(K4041)=TRUE,0,1)</f>
        <v>1</v>
      </c>
      <c r="U4041" s="13">
        <f t="shared" si="4360"/>
        <v>1</v>
      </c>
      <c r="V4041" s="13">
        <f t="shared" si="4360"/>
        <v>0</v>
      </c>
      <c r="W4041" s="13">
        <f t="shared" si="4360"/>
        <v>0</v>
      </c>
      <c r="X4041" s="13">
        <f t="shared" si="4360"/>
        <v>0</v>
      </c>
      <c r="Y4041" s="13">
        <f t="shared" si="4360"/>
        <v>0</v>
      </c>
      <c r="Z4041" s="13">
        <f t="shared" si="3023"/>
        <v>0</v>
      </c>
      <c r="AA4041" s="13" t="s">
        <v>846</v>
      </c>
      <c r="AB4041" s="13"/>
      <c r="AC4041" s="13"/>
      <c r="AD4041" s="13"/>
      <c r="AE4041" s="13"/>
      <c r="AF4041" s="13"/>
      <c r="AG4041" s="13"/>
      <c r="AH4041" s="13"/>
      <c r="AI4041" s="13"/>
      <c r="AJ4041" s="13"/>
      <c r="AK4041" s="13"/>
      <c r="AL4041" s="13"/>
      <c r="AM4041" s="13"/>
      <c r="AN4041" s="13"/>
      <c r="AO4041" s="13"/>
      <c r="AP4041" s="13"/>
      <c r="AQ4041" s="13"/>
      <c r="AR4041" s="13"/>
      <c r="AS4041" s="13"/>
    </row>
    <row r="4042" ht="14.25" customHeight="1">
      <c r="A4042" s="13" t="s">
        <v>46</v>
      </c>
      <c r="B4042" s="34" t="s">
        <v>53</v>
      </c>
      <c r="C4042" s="13" t="s">
        <v>2093</v>
      </c>
      <c r="D4042" s="13"/>
      <c r="E4042" s="13"/>
      <c r="F4042" s="13"/>
      <c r="G4042" s="13" t="s">
        <v>111</v>
      </c>
      <c r="H4042" s="13" t="s">
        <v>75</v>
      </c>
      <c r="I4042" s="14">
        <v>44908.0</v>
      </c>
      <c r="J4042" s="14"/>
      <c r="K4042" s="15">
        <v>0.0</v>
      </c>
      <c r="L4042" s="15">
        <v>0.0</v>
      </c>
      <c r="M4042" s="16"/>
      <c r="N4042" s="16"/>
      <c r="O4042" s="17">
        <v>0.0</v>
      </c>
      <c r="P4042" s="17">
        <v>0.0</v>
      </c>
      <c r="Q4042" s="13">
        <f t="shared" si="4347"/>
        <v>0</v>
      </c>
      <c r="R4042" s="14">
        <v>44971.0</v>
      </c>
      <c r="S4042" s="13"/>
      <c r="T4042" s="13">
        <f t="shared" ref="T4042:Y4042" si="4361">IF(ISBLANK(K4042)=TRUE,0,1)</f>
        <v>1</v>
      </c>
      <c r="U4042" s="13">
        <f t="shared" si="4361"/>
        <v>1</v>
      </c>
      <c r="V4042" s="13">
        <f t="shared" si="4361"/>
        <v>0</v>
      </c>
      <c r="W4042" s="13">
        <f t="shared" si="4361"/>
        <v>0</v>
      </c>
      <c r="X4042" s="13">
        <f t="shared" si="4361"/>
        <v>1</v>
      </c>
      <c r="Y4042" s="13">
        <f t="shared" si="4361"/>
        <v>1</v>
      </c>
      <c r="Z4042" s="13">
        <f t="shared" si="3023"/>
        <v>0</v>
      </c>
      <c r="AA4042" s="13" t="s">
        <v>2094</v>
      </c>
      <c r="AB4042" s="13"/>
      <c r="AC4042" s="13"/>
      <c r="AD4042" s="13"/>
      <c r="AE4042" s="13"/>
      <c r="AF4042" s="13"/>
      <c r="AG4042" s="13"/>
      <c r="AH4042" s="13"/>
      <c r="AI4042" s="13"/>
      <c r="AJ4042" s="13"/>
      <c r="AK4042" s="13"/>
      <c r="AL4042" s="13"/>
      <c r="AM4042" s="13"/>
      <c r="AN4042" s="13"/>
      <c r="AO4042" s="13"/>
      <c r="AP4042" s="13"/>
      <c r="AQ4042" s="13"/>
      <c r="AR4042" s="13"/>
      <c r="AS4042" s="13"/>
    </row>
    <row r="4043" ht="14.25" customHeight="1">
      <c r="A4043" s="13" t="s">
        <v>46</v>
      </c>
      <c r="B4043" s="34" t="s">
        <v>53</v>
      </c>
      <c r="C4043" s="13" t="s">
        <v>2095</v>
      </c>
      <c r="D4043" s="13"/>
      <c r="E4043" s="13"/>
      <c r="F4043" s="13"/>
      <c r="G4043" s="13" t="s">
        <v>111</v>
      </c>
      <c r="H4043" s="13" t="s">
        <v>75</v>
      </c>
      <c r="I4043" s="14">
        <v>44908.0</v>
      </c>
      <c r="J4043" s="14"/>
      <c r="K4043" s="15">
        <v>0.0</v>
      </c>
      <c r="L4043" s="15">
        <v>0.0</v>
      </c>
      <c r="M4043" s="16"/>
      <c r="N4043" s="16"/>
      <c r="O4043" s="17">
        <v>0.0</v>
      </c>
      <c r="P4043" s="17">
        <v>0.0</v>
      </c>
      <c r="Q4043" s="13">
        <f t="shared" si="4347"/>
        <v>0</v>
      </c>
      <c r="R4043" s="14">
        <v>44971.0</v>
      </c>
      <c r="S4043" s="13"/>
      <c r="T4043" s="13">
        <f t="shared" ref="T4043:Y4043" si="4362">IF(ISBLANK(K4043)=TRUE,0,1)</f>
        <v>1</v>
      </c>
      <c r="U4043" s="13">
        <f t="shared" si="4362"/>
        <v>1</v>
      </c>
      <c r="V4043" s="13">
        <f t="shared" si="4362"/>
        <v>0</v>
      </c>
      <c r="W4043" s="13">
        <f t="shared" si="4362"/>
        <v>0</v>
      </c>
      <c r="X4043" s="13">
        <f t="shared" si="4362"/>
        <v>1</v>
      </c>
      <c r="Y4043" s="13">
        <f t="shared" si="4362"/>
        <v>1</v>
      </c>
      <c r="Z4043" s="13">
        <f t="shared" si="3023"/>
        <v>0</v>
      </c>
      <c r="AA4043" s="13" t="s">
        <v>874</v>
      </c>
      <c r="AB4043" s="13"/>
      <c r="AC4043" s="13"/>
      <c r="AD4043" s="13"/>
      <c r="AE4043" s="13"/>
      <c r="AF4043" s="13"/>
      <c r="AG4043" s="13"/>
      <c r="AH4043" s="13"/>
      <c r="AI4043" s="13"/>
      <c r="AJ4043" s="13"/>
      <c r="AK4043" s="13"/>
      <c r="AL4043" s="13"/>
      <c r="AM4043" s="13"/>
      <c r="AN4043" s="13"/>
      <c r="AO4043" s="13"/>
      <c r="AP4043" s="13"/>
      <c r="AQ4043" s="13"/>
      <c r="AR4043" s="13"/>
      <c r="AS4043" s="13"/>
    </row>
    <row r="4044" ht="14.25" customHeight="1">
      <c r="A4044" s="13" t="s">
        <v>46</v>
      </c>
      <c r="B4044" s="34" t="s">
        <v>53</v>
      </c>
      <c r="C4044" s="13" t="s">
        <v>2096</v>
      </c>
      <c r="D4044" s="13"/>
      <c r="E4044" s="13"/>
      <c r="F4044" s="13"/>
      <c r="G4044" s="13" t="s">
        <v>111</v>
      </c>
      <c r="H4044" s="13" t="s">
        <v>75</v>
      </c>
      <c r="I4044" s="14">
        <v>44908.0</v>
      </c>
      <c r="J4044" s="14"/>
      <c r="K4044" s="15"/>
      <c r="L4044" s="15"/>
      <c r="M4044" s="16"/>
      <c r="N4044" s="16"/>
      <c r="O4044" s="17">
        <v>0.0</v>
      </c>
      <c r="P4044" s="17">
        <v>0.0</v>
      </c>
      <c r="Q4044" s="13">
        <f t="shared" si="4347"/>
        <v>0</v>
      </c>
      <c r="R4044" s="14">
        <v>44966.0</v>
      </c>
      <c r="S4044" s="13"/>
      <c r="T4044" s="13">
        <f t="shared" ref="T4044:Y4044" si="4363">IF(ISBLANK(K4044)=TRUE,0,1)</f>
        <v>0</v>
      </c>
      <c r="U4044" s="13">
        <f t="shared" si="4363"/>
        <v>0</v>
      </c>
      <c r="V4044" s="13">
        <f t="shared" si="4363"/>
        <v>0</v>
      </c>
      <c r="W4044" s="13">
        <f t="shared" si="4363"/>
        <v>0</v>
      </c>
      <c r="X4044" s="13">
        <f t="shared" si="4363"/>
        <v>1</v>
      </c>
      <c r="Y4044" s="13">
        <f t="shared" si="4363"/>
        <v>1</v>
      </c>
      <c r="Z4044" s="13">
        <f t="shared" si="3023"/>
        <v>0</v>
      </c>
      <c r="AA4044" s="13"/>
      <c r="AB4044" s="13"/>
      <c r="AC4044" s="13"/>
      <c r="AD4044" s="13"/>
      <c r="AE4044" s="13"/>
      <c r="AF4044" s="13"/>
      <c r="AG4044" s="13"/>
      <c r="AH4044" s="13"/>
      <c r="AI4044" s="13"/>
      <c r="AJ4044" s="13"/>
      <c r="AK4044" s="13"/>
      <c r="AL4044" s="13"/>
      <c r="AM4044" s="13"/>
      <c r="AN4044" s="13"/>
      <c r="AO4044" s="13"/>
      <c r="AP4044" s="13"/>
      <c r="AQ4044" s="13"/>
      <c r="AR4044" s="13"/>
      <c r="AS4044" s="13"/>
    </row>
    <row r="4045" ht="14.25" customHeight="1">
      <c r="A4045" s="13" t="s">
        <v>46</v>
      </c>
      <c r="B4045" s="34" t="s">
        <v>53</v>
      </c>
      <c r="C4045" s="13" t="s">
        <v>2097</v>
      </c>
      <c r="D4045" s="13"/>
      <c r="E4045" s="13"/>
      <c r="F4045" s="13"/>
      <c r="G4045" s="13" t="s">
        <v>111</v>
      </c>
      <c r="H4045" s="13" t="s">
        <v>75</v>
      </c>
      <c r="I4045" s="14">
        <v>44908.0</v>
      </c>
      <c r="J4045" s="14"/>
      <c r="K4045" s="15"/>
      <c r="L4045" s="15"/>
      <c r="M4045" s="16"/>
      <c r="N4045" s="16"/>
      <c r="O4045" s="17">
        <v>0.0</v>
      </c>
      <c r="P4045" s="17">
        <v>0.0</v>
      </c>
      <c r="Q4045" s="13">
        <f t="shared" si="4347"/>
        <v>0</v>
      </c>
      <c r="R4045" s="14">
        <v>44966.0</v>
      </c>
      <c r="S4045" s="13"/>
      <c r="T4045" s="13">
        <f t="shared" ref="T4045:Y4045" si="4364">IF(ISBLANK(K4045)=TRUE,0,1)</f>
        <v>0</v>
      </c>
      <c r="U4045" s="13">
        <f t="shared" si="4364"/>
        <v>0</v>
      </c>
      <c r="V4045" s="13">
        <f t="shared" si="4364"/>
        <v>0</v>
      </c>
      <c r="W4045" s="13">
        <f t="shared" si="4364"/>
        <v>0</v>
      </c>
      <c r="X4045" s="13">
        <f t="shared" si="4364"/>
        <v>1</v>
      </c>
      <c r="Y4045" s="13">
        <f t="shared" si="4364"/>
        <v>1</v>
      </c>
      <c r="Z4045" s="13">
        <f t="shared" si="3023"/>
        <v>0</v>
      </c>
      <c r="AA4045" s="13"/>
      <c r="AB4045" s="13"/>
      <c r="AC4045" s="13"/>
      <c r="AD4045" s="13"/>
      <c r="AE4045" s="13"/>
      <c r="AF4045" s="13"/>
      <c r="AG4045" s="13"/>
      <c r="AH4045" s="13"/>
      <c r="AI4045" s="13"/>
      <c r="AJ4045" s="13"/>
      <c r="AK4045" s="13"/>
      <c r="AL4045" s="13"/>
      <c r="AM4045" s="13"/>
      <c r="AN4045" s="13"/>
      <c r="AO4045" s="13"/>
      <c r="AP4045" s="13"/>
      <c r="AQ4045" s="13"/>
      <c r="AR4045" s="13"/>
      <c r="AS4045" s="13"/>
    </row>
    <row r="4046" ht="14.25" customHeight="1">
      <c r="A4046" s="13" t="s">
        <v>46</v>
      </c>
      <c r="B4046" s="34" t="s">
        <v>53</v>
      </c>
      <c r="C4046" s="13" t="s">
        <v>2098</v>
      </c>
      <c r="D4046" s="13"/>
      <c r="E4046" s="13"/>
      <c r="F4046" s="13"/>
      <c r="G4046" s="13" t="s">
        <v>111</v>
      </c>
      <c r="H4046" s="13" t="s">
        <v>75</v>
      </c>
      <c r="I4046" s="14">
        <v>44908.0</v>
      </c>
      <c r="J4046" s="14"/>
      <c r="K4046" s="15"/>
      <c r="L4046" s="15"/>
      <c r="M4046" s="16"/>
      <c r="N4046" s="16"/>
      <c r="O4046" s="17">
        <v>0.0</v>
      </c>
      <c r="P4046" s="17">
        <v>0.0</v>
      </c>
      <c r="Q4046" s="13">
        <f t="shared" si="4347"/>
        <v>0</v>
      </c>
      <c r="R4046" s="14">
        <v>44966.0</v>
      </c>
      <c r="S4046" s="13"/>
      <c r="T4046" s="13">
        <f t="shared" ref="T4046:Y4046" si="4365">IF(ISBLANK(K4046)=TRUE,0,1)</f>
        <v>0</v>
      </c>
      <c r="U4046" s="13">
        <f t="shared" si="4365"/>
        <v>0</v>
      </c>
      <c r="V4046" s="13">
        <f t="shared" si="4365"/>
        <v>0</v>
      </c>
      <c r="W4046" s="13">
        <f t="shared" si="4365"/>
        <v>0</v>
      </c>
      <c r="X4046" s="13">
        <f t="shared" si="4365"/>
        <v>1</v>
      </c>
      <c r="Y4046" s="13">
        <f t="shared" si="4365"/>
        <v>1</v>
      </c>
      <c r="Z4046" s="13">
        <f t="shared" si="3023"/>
        <v>0</v>
      </c>
      <c r="AA4046" s="13"/>
      <c r="AB4046" s="13"/>
      <c r="AC4046" s="13"/>
      <c r="AD4046" s="13"/>
      <c r="AE4046" s="13"/>
      <c r="AF4046" s="13"/>
      <c r="AG4046" s="13"/>
      <c r="AH4046" s="13"/>
      <c r="AI4046" s="13"/>
      <c r="AJ4046" s="13"/>
      <c r="AK4046" s="13"/>
      <c r="AL4046" s="13"/>
      <c r="AM4046" s="13"/>
      <c r="AN4046" s="13"/>
      <c r="AO4046" s="13"/>
      <c r="AP4046" s="13"/>
      <c r="AQ4046" s="13"/>
      <c r="AR4046" s="13"/>
      <c r="AS4046" s="13"/>
    </row>
    <row r="4047" ht="14.25" customHeight="1">
      <c r="A4047" s="13" t="s">
        <v>46</v>
      </c>
      <c r="B4047" s="34" t="s">
        <v>53</v>
      </c>
      <c r="C4047" s="13" t="s">
        <v>2099</v>
      </c>
      <c r="D4047" s="13"/>
      <c r="E4047" s="13"/>
      <c r="F4047" s="13"/>
      <c r="G4047" s="13" t="s">
        <v>111</v>
      </c>
      <c r="H4047" s="13" t="s">
        <v>75</v>
      </c>
      <c r="I4047" s="14">
        <v>44907.0</v>
      </c>
      <c r="J4047" s="14"/>
      <c r="K4047" s="15"/>
      <c r="L4047" s="15"/>
      <c r="M4047" s="16"/>
      <c r="N4047" s="16"/>
      <c r="O4047" s="17">
        <v>0.0</v>
      </c>
      <c r="P4047" s="17">
        <v>0.0</v>
      </c>
      <c r="Q4047" s="13">
        <f t="shared" si="4347"/>
        <v>0</v>
      </c>
      <c r="R4047" s="14">
        <v>44971.0</v>
      </c>
      <c r="S4047" s="13"/>
      <c r="T4047" s="13">
        <f t="shared" ref="T4047:Y4047" si="4366">IF(ISBLANK(K4047)=TRUE,0,1)</f>
        <v>0</v>
      </c>
      <c r="U4047" s="13">
        <f t="shared" si="4366"/>
        <v>0</v>
      </c>
      <c r="V4047" s="13">
        <f t="shared" si="4366"/>
        <v>0</v>
      </c>
      <c r="W4047" s="13">
        <f t="shared" si="4366"/>
        <v>0</v>
      </c>
      <c r="X4047" s="13">
        <f t="shared" si="4366"/>
        <v>1</v>
      </c>
      <c r="Y4047" s="13">
        <f t="shared" si="4366"/>
        <v>1</v>
      </c>
      <c r="Z4047" s="13">
        <f t="shared" si="3023"/>
        <v>0</v>
      </c>
      <c r="AA4047" s="13"/>
      <c r="AB4047" s="13"/>
      <c r="AC4047" s="13"/>
      <c r="AD4047" s="13"/>
      <c r="AE4047" s="13"/>
      <c r="AF4047" s="13"/>
      <c r="AG4047" s="13"/>
      <c r="AH4047" s="13"/>
      <c r="AI4047" s="13"/>
      <c r="AJ4047" s="13"/>
      <c r="AK4047" s="13"/>
      <c r="AL4047" s="13"/>
      <c r="AM4047" s="13"/>
      <c r="AN4047" s="13"/>
      <c r="AO4047" s="13"/>
      <c r="AP4047" s="13"/>
      <c r="AQ4047" s="13"/>
      <c r="AR4047" s="13"/>
      <c r="AS4047" s="13"/>
    </row>
    <row r="4048" ht="14.25" customHeight="1">
      <c r="A4048" s="13" t="s">
        <v>46</v>
      </c>
      <c r="B4048" s="34" t="s">
        <v>53</v>
      </c>
      <c r="C4048" s="13" t="s">
        <v>2100</v>
      </c>
      <c r="D4048" s="13"/>
      <c r="E4048" s="13"/>
      <c r="F4048" s="13"/>
      <c r="G4048" s="13" t="s">
        <v>111</v>
      </c>
      <c r="H4048" s="13" t="s">
        <v>75</v>
      </c>
      <c r="I4048" s="14">
        <v>44907.0</v>
      </c>
      <c r="J4048" s="14"/>
      <c r="K4048" s="15"/>
      <c r="L4048" s="15"/>
      <c r="M4048" s="16"/>
      <c r="N4048" s="16"/>
      <c r="O4048" s="17">
        <v>0.0</v>
      </c>
      <c r="P4048" s="17">
        <v>0.0</v>
      </c>
      <c r="Q4048" s="13">
        <f t="shared" si="4347"/>
        <v>0</v>
      </c>
      <c r="R4048" s="14">
        <v>44971.0</v>
      </c>
      <c r="S4048" s="13"/>
      <c r="T4048" s="13">
        <f t="shared" ref="T4048:Y4048" si="4367">IF(ISBLANK(K4048)=TRUE,0,1)</f>
        <v>0</v>
      </c>
      <c r="U4048" s="13">
        <f t="shared" si="4367"/>
        <v>0</v>
      </c>
      <c r="V4048" s="13">
        <f t="shared" si="4367"/>
        <v>0</v>
      </c>
      <c r="W4048" s="13">
        <f t="shared" si="4367"/>
        <v>0</v>
      </c>
      <c r="X4048" s="13">
        <f t="shared" si="4367"/>
        <v>1</v>
      </c>
      <c r="Y4048" s="13">
        <f t="shared" si="4367"/>
        <v>1</v>
      </c>
      <c r="Z4048" s="13">
        <f t="shared" si="3023"/>
        <v>0</v>
      </c>
      <c r="AA4048" s="13"/>
      <c r="AB4048" s="13"/>
      <c r="AC4048" s="13"/>
      <c r="AD4048" s="13"/>
      <c r="AE4048" s="13"/>
      <c r="AF4048" s="13"/>
      <c r="AG4048" s="13"/>
      <c r="AH4048" s="13"/>
      <c r="AI4048" s="13"/>
      <c r="AJ4048" s="13"/>
      <c r="AK4048" s="13"/>
      <c r="AL4048" s="13"/>
      <c r="AM4048" s="13"/>
      <c r="AN4048" s="13"/>
      <c r="AO4048" s="13"/>
      <c r="AP4048" s="13"/>
      <c r="AQ4048" s="13"/>
      <c r="AR4048" s="13"/>
      <c r="AS4048" s="13"/>
    </row>
    <row r="4049" ht="14.25" customHeight="1">
      <c r="A4049" s="13" t="s">
        <v>46</v>
      </c>
      <c r="B4049" s="34" t="s">
        <v>53</v>
      </c>
      <c r="C4049" s="13" t="s">
        <v>2101</v>
      </c>
      <c r="D4049" s="13"/>
      <c r="E4049" s="13"/>
      <c r="F4049" s="13"/>
      <c r="G4049" s="13" t="s">
        <v>111</v>
      </c>
      <c r="H4049" s="13" t="s">
        <v>75</v>
      </c>
      <c r="I4049" s="14">
        <v>44908.0</v>
      </c>
      <c r="J4049" s="14"/>
      <c r="K4049" s="15"/>
      <c r="L4049" s="15"/>
      <c r="M4049" s="16"/>
      <c r="N4049" s="16"/>
      <c r="O4049" s="17">
        <v>0.0</v>
      </c>
      <c r="P4049" s="17">
        <v>0.0</v>
      </c>
      <c r="Q4049" s="13">
        <f t="shared" si="4347"/>
        <v>0</v>
      </c>
      <c r="R4049" s="14">
        <v>44966.0</v>
      </c>
      <c r="S4049" s="13"/>
      <c r="T4049" s="13">
        <f t="shared" ref="T4049:Y4049" si="4368">IF(ISBLANK(K4049)=TRUE,0,1)</f>
        <v>0</v>
      </c>
      <c r="U4049" s="13">
        <f t="shared" si="4368"/>
        <v>0</v>
      </c>
      <c r="V4049" s="13">
        <f t="shared" si="4368"/>
        <v>0</v>
      </c>
      <c r="W4049" s="13">
        <f t="shared" si="4368"/>
        <v>0</v>
      </c>
      <c r="X4049" s="13">
        <f t="shared" si="4368"/>
        <v>1</v>
      </c>
      <c r="Y4049" s="13">
        <f t="shared" si="4368"/>
        <v>1</v>
      </c>
      <c r="Z4049" s="13">
        <f t="shared" si="3023"/>
        <v>0</v>
      </c>
      <c r="AA4049" s="13"/>
      <c r="AB4049" s="13"/>
      <c r="AC4049" s="13"/>
      <c r="AD4049" s="13"/>
      <c r="AE4049" s="13"/>
      <c r="AF4049" s="13"/>
      <c r="AG4049" s="13"/>
      <c r="AH4049" s="13"/>
      <c r="AI4049" s="13"/>
      <c r="AJ4049" s="13"/>
      <c r="AK4049" s="13"/>
      <c r="AL4049" s="13"/>
      <c r="AM4049" s="13"/>
      <c r="AN4049" s="13"/>
      <c r="AO4049" s="13"/>
      <c r="AP4049" s="13"/>
      <c r="AQ4049" s="13"/>
      <c r="AR4049" s="13"/>
      <c r="AS4049" s="13"/>
    </row>
    <row r="4050" ht="14.25" customHeight="1">
      <c r="A4050" s="13" t="s">
        <v>46</v>
      </c>
      <c r="B4050" s="34" t="s">
        <v>53</v>
      </c>
      <c r="C4050" s="13">
        <v>98.0</v>
      </c>
      <c r="D4050" s="13" t="s">
        <v>174</v>
      </c>
      <c r="E4050" s="13"/>
      <c r="F4050" s="13"/>
      <c r="G4050" s="13" t="s">
        <v>74</v>
      </c>
      <c r="H4050" s="13" t="s">
        <v>75</v>
      </c>
      <c r="I4050" s="13"/>
      <c r="J4050" s="13"/>
      <c r="K4050" s="15">
        <v>1.0</v>
      </c>
      <c r="L4050" s="15">
        <v>1.0</v>
      </c>
      <c r="M4050" s="16"/>
      <c r="N4050" s="16"/>
      <c r="O4050" s="17"/>
      <c r="P4050" s="17"/>
      <c r="Q4050" s="13"/>
      <c r="R4050" s="13"/>
      <c r="S4050" s="13"/>
      <c r="T4050" s="13">
        <f t="shared" ref="T4050:Y4050" si="4369">IF(ISBLANK(K4050)=TRUE,0,1)</f>
        <v>1</v>
      </c>
      <c r="U4050" s="13">
        <f t="shared" si="4369"/>
        <v>1</v>
      </c>
      <c r="V4050" s="13">
        <f t="shared" si="4369"/>
        <v>0</v>
      </c>
      <c r="W4050" s="13">
        <f t="shared" si="4369"/>
        <v>0</v>
      </c>
      <c r="X4050" s="13">
        <f t="shared" si="4369"/>
        <v>0</v>
      </c>
      <c r="Y4050" s="13">
        <f t="shared" si="4369"/>
        <v>0</v>
      </c>
      <c r="Z4050" s="13">
        <f t="shared" si="3023"/>
        <v>1</v>
      </c>
      <c r="AA4050" s="13"/>
      <c r="AB4050" s="13"/>
      <c r="AC4050" s="13"/>
      <c r="AD4050" s="13"/>
      <c r="AE4050" s="13"/>
      <c r="AF4050" s="13"/>
      <c r="AG4050" s="13"/>
      <c r="AH4050" s="13"/>
      <c r="AI4050" s="13"/>
      <c r="AJ4050" s="13"/>
      <c r="AK4050" s="13"/>
      <c r="AL4050" s="13"/>
      <c r="AM4050" s="13"/>
      <c r="AN4050" s="13"/>
      <c r="AO4050" s="13"/>
      <c r="AP4050" s="13"/>
      <c r="AQ4050" s="13"/>
      <c r="AR4050" s="13"/>
      <c r="AS4050" s="13"/>
    </row>
    <row r="4051" ht="14.25" customHeight="1">
      <c r="A4051" s="13" t="s">
        <v>46</v>
      </c>
      <c r="B4051" s="34" t="s">
        <v>53</v>
      </c>
      <c r="C4051" s="13">
        <v>98.0</v>
      </c>
      <c r="D4051" s="13" t="s">
        <v>175</v>
      </c>
      <c r="E4051" s="13"/>
      <c r="F4051" s="13"/>
      <c r="G4051" s="13" t="s">
        <v>74</v>
      </c>
      <c r="H4051" s="13" t="s">
        <v>75</v>
      </c>
      <c r="I4051" s="13"/>
      <c r="J4051" s="13"/>
      <c r="K4051" s="15">
        <v>1.0</v>
      </c>
      <c r="L4051" s="15">
        <v>1.0</v>
      </c>
      <c r="M4051" s="16"/>
      <c r="N4051" s="16"/>
      <c r="O4051" s="17"/>
      <c r="P4051" s="17"/>
      <c r="Q4051" s="13"/>
      <c r="R4051" s="13"/>
      <c r="S4051" s="13"/>
      <c r="T4051" s="13">
        <f t="shared" ref="T4051:Y4051" si="4370">IF(ISBLANK(K4051)=TRUE,0,1)</f>
        <v>1</v>
      </c>
      <c r="U4051" s="13">
        <f t="shared" si="4370"/>
        <v>1</v>
      </c>
      <c r="V4051" s="13">
        <f t="shared" si="4370"/>
        <v>0</v>
      </c>
      <c r="W4051" s="13">
        <f t="shared" si="4370"/>
        <v>0</v>
      </c>
      <c r="X4051" s="13">
        <f t="shared" si="4370"/>
        <v>0</v>
      </c>
      <c r="Y4051" s="13">
        <f t="shared" si="4370"/>
        <v>0</v>
      </c>
      <c r="Z4051" s="13">
        <f t="shared" si="3023"/>
        <v>1</v>
      </c>
      <c r="AA4051" s="13"/>
      <c r="AB4051" s="13"/>
      <c r="AC4051" s="13"/>
      <c r="AD4051" s="13"/>
      <c r="AE4051" s="13"/>
      <c r="AF4051" s="13"/>
      <c r="AG4051" s="13"/>
      <c r="AH4051" s="13"/>
      <c r="AI4051" s="13"/>
      <c r="AJ4051" s="13"/>
      <c r="AK4051" s="13"/>
      <c r="AL4051" s="13"/>
      <c r="AM4051" s="13"/>
      <c r="AN4051" s="13"/>
      <c r="AO4051" s="13"/>
      <c r="AP4051" s="13"/>
      <c r="AQ4051" s="13"/>
      <c r="AR4051" s="13"/>
      <c r="AS4051" s="13"/>
    </row>
    <row r="4052" ht="14.25" customHeight="1">
      <c r="A4052" s="13" t="s">
        <v>46</v>
      </c>
      <c r="B4052" s="34" t="s">
        <v>53</v>
      </c>
      <c r="C4052" s="13">
        <v>98.0</v>
      </c>
      <c r="D4052" s="13" t="s">
        <v>176</v>
      </c>
      <c r="E4052" s="13"/>
      <c r="F4052" s="13"/>
      <c r="G4052" s="13" t="s">
        <v>74</v>
      </c>
      <c r="H4052" s="13" t="s">
        <v>75</v>
      </c>
      <c r="I4052" s="13"/>
      <c r="J4052" s="13"/>
      <c r="K4052" s="15">
        <v>1.0</v>
      </c>
      <c r="L4052" s="15">
        <v>1.0</v>
      </c>
      <c r="M4052" s="16"/>
      <c r="N4052" s="16"/>
      <c r="O4052" s="17"/>
      <c r="P4052" s="17"/>
      <c r="Q4052" s="13"/>
      <c r="R4052" s="13"/>
      <c r="S4052" s="13"/>
      <c r="T4052" s="13">
        <f t="shared" ref="T4052:Y4052" si="4371">IF(ISBLANK(K4052)=TRUE,0,1)</f>
        <v>1</v>
      </c>
      <c r="U4052" s="13">
        <f t="shared" si="4371"/>
        <v>1</v>
      </c>
      <c r="V4052" s="13">
        <f t="shared" si="4371"/>
        <v>0</v>
      </c>
      <c r="W4052" s="13">
        <f t="shared" si="4371"/>
        <v>0</v>
      </c>
      <c r="X4052" s="13">
        <f t="shared" si="4371"/>
        <v>0</v>
      </c>
      <c r="Y4052" s="13">
        <f t="shared" si="4371"/>
        <v>0</v>
      </c>
      <c r="Z4052" s="13">
        <f t="shared" si="3023"/>
        <v>1</v>
      </c>
      <c r="AA4052" s="13"/>
      <c r="AB4052" s="13"/>
      <c r="AC4052" s="13"/>
      <c r="AD4052" s="13"/>
      <c r="AE4052" s="13"/>
      <c r="AF4052" s="13"/>
      <c r="AG4052" s="13"/>
      <c r="AH4052" s="13"/>
      <c r="AI4052" s="13"/>
      <c r="AJ4052" s="13"/>
      <c r="AK4052" s="13"/>
      <c r="AL4052" s="13"/>
      <c r="AM4052" s="13"/>
      <c r="AN4052" s="13"/>
      <c r="AO4052" s="13"/>
      <c r="AP4052" s="13"/>
      <c r="AQ4052" s="13"/>
      <c r="AR4052" s="13"/>
      <c r="AS4052" s="13"/>
    </row>
    <row r="4053" ht="14.25" customHeight="1">
      <c r="A4053" s="13" t="s">
        <v>46</v>
      </c>
      <c r="B4053" s="34" t="s">
        <v>53</v>
      </c>
      <c r="C4053" s="13">
        <v>98.0</v>
      </c>
      <c r="D4053" s="13" t="s">
        <v>177</v>
      </c>
      <c r="E4053" s="13"/>
      <c r="F4053" s="13"/>
      <c r="G4053" s="13" t="s">
        <v>74</v>
      </c>
      <c r="H4053" s="13" t="s">
        <v>75</v>
      </c>
      <c r="I4053" s="13"/>
      <c r="J4053" s="13"/>
      <c r="K4053" s="15">
        <v>1.0</v>
      </c>
      <c r="L4053" s="15">
        <v>1.0</v>
      </c>
      <c r="M4053" s="16"/>
      <c r="N4053" s="16"/>
      <c r="O4053" s="17"/>
      <c r="P4053" s="17"/>
      <c r="Q4053" s="13"/>
      <c r="R4053" s="13"/>
      <c r="S4053" s="13"/>
      <c r="T4053" s="13">
        <f t="shared" ref="T4053:Y4053" si="4372">IF(ISBLANK(K4053)=TRUE,0,1)</f>
        <v>1</v>
      </c>
      <c r="U4053" s="13">
        <f t="shared" si="4372"/>
        <v>1</v>
      </c>
      <c r="V4053" s="13">
        <f t="shared" si="4372"/>
        <v>0</v>
      </c>
      <c r="W4053" s="13">
        <f t="shared" si="4372"/>
        <v>0</v>
      </c>
      <c r="X4053" s="13">
        <f t="shared" si="4372"/>
        <v>0</v>
      </c>
      <c r="Y4053" s="13">
        <f t="shared" si="4372"/>
        <v>0</v>
      </c>
      <c r="Z4053" s="13">
        <f t="shared" si="3023"/>
        <v>1</v>
      </c>
      <c r="AA4053" s="13"/>
      <c r="AB4053" s="13"/>
      <c r="AC4053" s="13"/>
      <c r="AD4053" s="13"/>
      <c r="AE4053" s="13"/>
      <c r="AF4053" s="13"/>
      <c r="AG4053" s="13"/>
      <c r="AH4053" s="13"/>
      <c r="AI4053" s="13"/>
      <c r="AJ4053" s="13"/>
      <c r="AK4053" s="13"/>
      <c r="AL4053" s="13"/>
      <c r="AM4053" s="13"/>
      <c r="AN4053" s="13"/>
      <c r="AO4053" s="13"/>
      <c r="AP4053" s="13"/>
      <c r="AQ4053" s="13"/>
      <c r="AR4053" s="13"/>
      <c r="AS4053" s="13"/>
    </row>
    <row r="4054" ht="14.25" customHeight="1">
      <c r="A4054" s="13" t="s">
        <v>46</v>
      </c>
      <c r="B4054" s="34" t="s">
        <v>53</v>
      </c>
      <c r="C4054" s="13">
        <v>98.0</v>
      </c>
      <c r="D4054" s="13" t="s">
        <v>178</v>
      </c>
      <c r="E4054" s="13"/>
      <c r="F4054" s="13"/>
      <c r="G4054" s="13" t="s">
        <v>74</v>
      </c>
      <c r="H4054" s="13" t="s">
        <v>75</v>
      </c>
      <c r="I4054" s="13"/>
      <c r="J4054" s="13"/>
      <c r="K4054" s="15">
        <v>1.0</v>
      </c>
      <c r="L4054" s="15">
        <v>1.0</v>
      </c>
      <c r="M4054" s="16"/>
      <c r="N4054" s="16"/>
      <c r="O4054" s="17"/>
      <c r="P4054" s="17"/>
      <c r="Q4054" s="13"/>
      <c r="R4054" s="13"/>
      <c r="S4054" s="13"/>
      <c r="T4054" s="13">
        <f t="shared" ref="T4054:Y4054" si="4373">IF(ISBLANK(K4054)=TRUE,0,1)</f>
        <v>1</v>
      </c>
      <c r="U4054" s="13">
        <f t="shared" si="4373"/>
        <v>1</v>
      </c>
      <c r="V4054" s="13">
        <f t="shared" si="4373"/>
        <v>0</v>
      </c>
      <c r="W4054" s="13">
        <f t="shared" si="4373"/>
        <v>0</v>
      </c>
      <c r="X4054" s="13">
        <f t="shared" si="4373"/>
        <v>0</v>
      </c>
      <c r="Y4054" s="13">
        <f t="shared" si="4373"/>
        <v>0</v>
      </c>
      <c r="Z4054" s="13">
        <f t="shared" si="3023"/>
        <v>1</v>
      </c>
      <c r="AA4054" s="13"/>
      <c r="AB4054" s="13"/>
      <c r="AC4054" s="13"/>
      <c r="AD4054" s="13"/>
      <c r="AE4054" s="13"/>
      <c r="AF4054" s="13"/>
      <c r="AG4054" s="13"/>
      <c r="AH4054" s="13"/>
      <c r="AI4054" s="13"/>
      <c r="AJ4054" s="13"/>
      <c r="AK4054" s="13"/>
      <c r="AL4054" s="13"/>
      <c r="AM4054" s="13"/>
      <c r="AN4054" s="13"/>
      <c r="AO4054" s="13"/>
      <c r="AP4054" s="13"/>
      <c r="AQ4054" s="13"/>
      <c r="AR4054" s="13"/>
      <c r="AS4054" s="13"/>
    </row>
    <row r="4055" ht="14.25" customHeight="1">
      <c r="A4055" s="13" t="s">
        <v>46</v>
      </c>
      <c r="B4055" s="34" t="s">
        <v>53</v>
      </c>
      <c r="C4055" s="13">
        <v>98.0</v>
      </c>
      <c r="D4055" s="13" t="s">
        <v>179</v>
      </c>
      <c r="E4055" s="13"/>
      <c r="F4055" s="13"/>
      <c r="G4055" s="13" t="s">
        <v>74</v>
      </c>
      <c r="H4055" s="13" t="s">
        <v>75</v>
      </c>
      <c r="I4055" s="13"/>
      <c r="J4055" s="13"/>
      <c r="K4055" s="15">
        <v>1.0</v>
      </c>
      <c r="L4055" s="15">
        <v>1.0</v>
      </c>
      <c r="M4055" s="16"/>
      <c r="N4055" s="16"/>
      <c r="O4055" s="17"/>
      <c r="P4055" s="17"/>
      <c r="Q4055" s="13"/>
      <c r="R4055" s="13"/>
      <c r="S4055" s="13"/>
      <c r="T4055" s="13">
        <f t="shared" ref="T4055:Y4055" si="4374">IF(ISBLANK(K4055)=TRUE,0,1)</f>
        <v>1</v>
      </c>
      <c r="U4055" s="13">
        <f t="shared" si="4374"/>
        <v>1</v>
      </c>
      <c r="V4055" s="13">
        <f t="shared" si="4374"/>
        <v>0</v>
      </c>
      <c r="W4055" s="13">
        <f t="shared" si="4374"/>
        <v>0</v>
      </c>
      <c r="X4055" s="13">
        <f t="shared" si="4374"/>
        <v>0</v>
      </c>
      <c r="Y4055" s="13">
        <f t="shared" si="4374"/>
        <v>0</v>
      </c>
      <c r="Z4055" s="13">
        <f t="shared" si="3023"/>
        <v>1</v>
      </c>
      <c r="AA4055" s="13"/>
      <c r="AB4055" s="13"/>
      <c r="AC4055" s="13"/>
      <c r="AD4055" s="13"/>
      <c r="AE4055" s="13"/>
      <c r="AF4055" s="13"/>
      <c r="AG4055" s="13"/>
      <c r="AH4055" s="13"/>
      <c r="AI4055" s="13"/>
      <c r="AJ4055" s="13"/>
      <c r="AK4055" s="13"/>
      <c r="AL4055" s="13"/>
      <c r="AM4055" s="13"/>
      <c r="AN4055" s="13"/>
      <c r="AO4055" s="13"/>
      <c r="AP4055" s="13"/>
      <c r="AQ4055" s="13"/>
      <c r="AR4055" s="13"/>
      <c r="AS4055" s="13"/>
    </row>
    <row r="4056" ht="14.25" customHeight="1">
      <c r="A4056" s="13" t="s">
        <v>46</v>
      </c>
      <c r="B4056" s="34" t="s">
        <v>53</v>
      </c>
      <c r="C4056" s="13">
        <v>98.0</v>
      </c>
      <c r="D4056" s="13" t="s">
        <v>180</v>
      </c>
      <c r="E4056" s="13"/>
      <c r="F4056" s="13"/>
      <c r="G4056" s="13" t="s">
        <v>74</v>
      </c>
      <c r="H4056" s="13" t="s">
        <v>75</v>
      </c>
      <c r="I4056" s="13"/>
      <c r="J4056" s="13"/>
      <c r="K4056" s="15">
        <v>1.0</v>
      </c>
      <c r="L4056" s="15">
        <v>1.0</v>
      </c>
      <c r="M4056" s="16"/>
      <c r="N4056" s="16"/>
      <c r="O4056" s="17"/>
      <c r="P4056" s="17"/>
      <c r="Q4056" s="13"/>
      <c r="R4056" s="13"/>
      <c r="S4056" s="13"/>
      <c r="T4056" s="13">
        <f t="shared" ref="T4056:Y4056" si="4375">IF(ISBLANK(K4056)=TRUE,0,1)</f>
        <v>1</v>
      </c>
      <c r="U4056" s="13">
        <f t="shared" si="4375"/>
        <v>1</v>
      </c>
      <c r="V4056" s="13">
        <f t="shared" si="4375"/>
        <v>0</v>
      </c>
      <c r="W4056" s="13">
        <f t="shared" si="4375"/>
        <v>0</v>
      </c>
      <c r="X4056" s="13">
        <f t="shared" si="4375"/>
        <v>0</v>
      </c>
      <c r="Y4056" s="13">
        <f t="shared" si="4375"/>
        <v>0</v>
      </c>
      <c r="Z4056" s="13">
        <f t="shared" si="3023"/>
        <v>1</v>
      </c>
      <c r="AA4056" s="13"/>
      <c r="AB4056" s="13"/>
      <c r="AC4056" s="13"/>
      <c r="AD4056" s="13"/>
      <c r="AE4056" s="13"/>
      <c r="AF4056" s="13"/>
      <c r="AG4056" s="13"/>
      <c r="AH4056" s="13"/>
      <c r="AI4056" s="13"/>
      <c r="AJ4056" s="13"/>
      <c r="AK4056" s="13"/>
      <c r="AL4056" s="13"/>
      <c r="AM4056" s="13"/>
      <c r="AN4056" s="13"/>
      <c r="AO4056" s="13"/>
      <c r="AP4056" s="13"/>
      <c r="AQ4056" s="13"/>
      <c r="AR4056" s="13"/>
      <c r="AS4056" s="13"/>
    </row>
    <row r="4057" ht="14.25" customHeight="1">
      <c r="A4057" s="13" t="s">
        <v>46</v>
      </c>
      <c r="B4057" s="34" t="s">
        <v>53</v>
      </c>
      <c r="C4057" s="13">
        <v>98.0</v>
      </c>
      <c r="D4057" s="13" t="s">
        <v>181</v>
      </c>
      <c r="E4057" s="13"/>
      <c r="F4057" s="13"/>
      <c r="G4057" s="13" t="s">
        <v>74</v>
      </c>
      <c r="H4057" s="13" t="s">
        <v>75</v>
      </c>
      <c r="I4057" s="13"/>
      <c r="J4057" s="13"/>
      <c r="K4057" s="15">
        <v>1.0</v>
      </c>
      <c r="L4057" s="15">
        <v>1.0</v>
      </c>
      <c r="M4057" s="16"/>
      <c r="N4057" s="16"/>
      <c r="O4057" s="17"/>
      <c r="P4057" s="17"/>
      <c r="Q4057" s="13"/>
      <c r="R4057" s="13"/>
      <c r="S4057" s="13"/>
      <c r="T4057" s="13">
        <f t="shared" ref="T4057:Y4057" si="4376">IF(ISBLANK(K4057)=TRUE,0,1)</f>
        <v>1</v>
      </c>
      <c r="U4057" s="13">
        <f t="shared" si="4376"/>
        <v>1</v>
      </c>
      <c r="V4057" s="13">
        <f t="shared" si="4376"/>
        <v>0</v>
      </c>
      <c r="W4057" s="13">
        <f t="shared" si="4376"/>
        <v>0</v>
      </c>
      <c r="X4057" s="13">
        <f t="shared" si="4376"/>
        <v>0</v>
      </c>
      <c r="Y4057" s="13">
        <f t="shared" si="4376"/>
        <v>0</v>
      </c>
      <c r="Z4057" s="13">
        <f t="shared" si="3023"/>
        <v>1</v>
      </c>
      <c r="AA4057" s="13"/>
      <c r="AB4057" s="13"/>
      <c r="AC4057" s="13"/>
      <c r="AD4057" s="13"/>
      <c r="AE4057" s="13"/>
      <c r="AF4057" s="13"/>
      <c r="AG4057" s="13"/>
      <c r="AH4057" s="13"/>
      <c r="AI4057" s="13"/>
      <c r="AJ4057" s="13"/>
      <c r="AK4057" s="13"/>
      <c r="AL4057" s="13"/>
      <c r="AM4057" s="13"/>
      <c r="AN4057" s="13"/>
      <c r="AO4057" s="13"/>
      <c r="AP4057" s="13"/>
      <c r="AQ4057" s="13"/>
      <c r="AR4057" s="13"/>
      <c r="AS4057" s="13"/>
    </row>
    <row r="4058" ht="14.25" customHeight="1">
      <c r="A4058" s="13" t="s">
        <v>46</v>
      </c>
      <c r="B4058" s="34" t="s">
        <v>53</v>
      </c>
      <c r="C4058" s="13">
        <v>98.0</v>
      </c>
      <c r="D4058" s="13" t="s">
        <v>182</v>
      </c>
      <c r="E4058" s="13"/>
      <c r="F4058" s="13"/>
      <c r="G4058" s="13" t="s">
        <v>74</v>
      </c>
      <c r="H4058" s="13" t="s">
        <v>75</v>
      </c>
      <c r="I4058" s="13"/>
      <c r="J4058" s="13"/>
      <c r="K4058" s="15">
        <v>1.0</v>
      </c>
      <c r="L4058" s="15">
        <v>1.0</v>
      </c>
      <c r="M4058" s="16"/>
      <c r="N4058" s="16"/>
      <c r="O4058" s="17"/>
      <c r="P4058" s="17"/>
      <c r="Q4058" s="13"/>
      <c r="R4058" s="13"/>
      <c r="S4058" s="13"/>
      <c r="T4058" s="13">
        <f t="shared" ref="T4058:Y4058" si="4377">IF(ISBLANK(K4058)=TRUE,0,1)</f>
        <v>1</v>
      </c>
      <c r="U4058" s="13">
        <f t="shared" si="4377"/>
        <v>1</v>
      </c>
      <c r="V4058" s="13">
        <f t="shared" si="4377"/>
        <v>0</v>
      </c>
      <c r="W4058" s="13">
        <f t="shared" si="4377"/>
        <v>0</v>
      </c>
      <c r="X4058" s="13">
        <f t="shared" si="4377"/>
        <v>0</v>
      </c>
      <c r="Y4058" s="13">
        <f t="shared" si="4377"/>
        <v>0</v>
      </c>
      <c r="Z4058" s="13">
        <f t="shared" si="3023"/>
        <v>1</v>
      </c>
      <c r="AA4058" s="13"/>
      <c r="AB4058" s="13"/>
      <c r="AC4058" s="13"/>
      <c r="AD4058" s="13"/>
      <c r="AE4058" s="13"/>
      <c r="AF4058" s="13"/>
      <c r="AG4058" s="13"/>
      <c r="AH4058" s="13"/>
      <c r="AI4058" s="13"/>
      <c r="AJ4058" s="13"/>
      <c r="AK4058" s="13"/>
      <c r="AL4058" s="13"/>
      <c r="AM4058" s="13"/>
      <c r="AN4058" s="13"/>
      <c r="AO4058" s="13"/>
      <c r="AP4058" s="13"/>
      <c r="AQ4058" s="13"/>
      <c r="AR4058" s="13"/>
      <c r="AS4058" s="13"/>
    </row>
    <row r="4059" ht="14.25" customHeight="1">
      <c r="A4059" s="13" t="s">
        <v>46</v>
      </c>
      <c r="B4059" s="34" t="s">
        <v>53</v>
      </c>
      <c r="C4059" s="13">
        <v>98.0</v>
      </c>
      <c r="D4059" s="13" t="s">
        <v>183</v>
      </c>
      <c r="E4059" s="13"/>
      <c r="F4059" s="13"/>
      <c r="G4059" s="13" t="s">
        <v>74</v>
      </c>
      <c r="H4059" s="13" t="s">
        <v>75</v>
      </c>
      <c r="I4059" s="13"/>
      <c r="J4059" s="13"/>
      <c r="K4059" s="15">
        <v>1.0</v>
      </c>
      <c r="L4059" s="15">
        <v>1.0</v>
      </c>
      <c r="M4059" s="16"/>
      <c r="N4059" s="16"/>
      <c r="O4059" s="17"/>
      <c r="P4059" s="17"/>
      <c r="Q4059" s="13"/>
      <c r="R4059" s="13"/>
      <c r="S4059" s="13"/>
      <c r="T4059" s="13">
        <f t="shared" ref="T4059:Y4059" si="4378">IF(ISBLANK(K4059)=TRUE,0,1)</f>
        <v>1</v>
      </c>
      <c r="U4059" s="13">
        <f t="shared" si="4378"/>
        <v>1</v>
      </c>
      <c r="V4059" s="13">
        <f t="shared" si="4378"/>
        <v>0</v>
      </c>
      <c r="W4059" s="13">
        <f t="shared" si="4378"/>
        <v>0</v>
      </c>
      <c r="X4059" s="13">
        <f t="shared" si="4378"/>
        <v>0</v>
      </c>
      <c r="Y4059" s="13">
        <f t="shared" si="4378"/>
        <v>0</v>
      </c>
      <c r="Z4059" s="13">
        <f t="shared" si="3023"/>
        <v>1</v>
      </c>
      <c r="AA4059" s="13"/>
      <c r="AB4059" s="13"/>
      <c r="AC4059" s="13"/>
      <c r="AD4059" s="13"/>
      <c r="AE4059" s="13"/>
      <c r="AF4059" s="13"/>
      <c r="AG4059" s="13"/>
      <c r="AH4059" s="13"/>
      <c r="AI4059" s="13"/>
      <c r="AJ4059" s="13"/>
      <c r="AK4059" s="13"/>
      <c r="AL4059" s="13"/>
      <c r="AM4059" s="13"/>
      <c r="AN4059" s="13"/>
      <c r="AO4059" s="13"/>
      <c r="AP4059" s="13"/>
      <c r="AQ4059" s="13"/>
      <c r="AR4059" s="13"/>
      <c r="AS4059" s="13"/>
    </row>
    <row r="4060" ht="14.25" customHeight="1">
      <c r="A4060" s="13" t="s">
        <v>46</v>
      </c>
      <c r="B4060" s="34" t="s">
        <v>53</v>
      </c>
      <c r="C4060" s="13">
        <v>98.0</v>
      </c>
      <c r="D4060" s="13" t="s">
        <v>184</v>
      </c>
      <c r="E4060" s="13"/>
      <c r="F4060" s="13"/>
      <c r="G4060" s="13" t="s">
        <v>74</v>
      </c>
      <c r="H4060" s="13" t="s">
        <v>75</v>
      </c>
      <c r="I4060" s="13"/>
      <c r="J4060" s="13"/>
      <c r="K4060" s="15">
        <v>1.0</v>
      </c>
      <c r="L4060" s="15">
        <v>1.0</v>
      </c>
      <c r="M4060" s="16"/>
      <c r="N4060" s="16"/>
      <c r="O4060" s="17"/>
      <c r="P4060" s="17"/>
      <c r="Q4060" s="13"/>
      <c r="R4060" s="13"/>
      <c r="S4060" s="13"/>
      <c r="T4060" s="13">
        <f t="shared" ref="T4060:Y4060" si="4379">IF(ISBLANK(K4060)=TRUE,0,1)</f>
        <v>1</v>
      </c>
      <c r="U4060" s="13">
        <f t="shared" si="4379"/>
        <v>1</v>
      </c>
      <c r="V4060" s="13">
        <f t="shared" si="4379"/>
        <v>0</v>
      </c>
      <c r="W4060" s="13">
        <f t="shared" si="4379"/>
        <v>0</v>
      </c>
      <c r="X4060" s="13">
        <f t="shared" si="4379"/>
        <v>0</v>
      </c>
      <c r="Y4060" s="13">
        <f t="shared" si="4379"/>
        <v>0</v>
      </c>
      <c r="Z4060" s="13">
        <f t="shared" si="3023"/>
        <v>1</v>
      </c>
      <c r="AA4060" s="13"/>
      <c r="AB4060" s="13"/>
      <c r="AC4060" s="13"/>
      <c r="AD4060" s="13"/>
      <c r="AE4060" s="13"/>
      <c r="AF4060" s="13"/>
      <c r="AG4060" s="13"/>
      <c r="AH4060" s="13"/>
      <c r="AI4060" s="13"/>
      <c r="AJ4060" s="13"/>
      <c r="AK4060" s="13"/>
      <c r="AL4060" s="13"/>
      <c r="AM4060" s="13"/>
      <c r="AN4060" s="13"/>
      <c r="AO4060" s="13"/>
      <c r="AP4060" s="13"/>
      <c r="AQ4060" s="13"/>
      <c r="AR4060" s="13"/>
      <c r="AS4060" s="13"/>
    </row>
    <row r="4061" ht="14.25" customHeight="1">
      <c r="A4061" s="13" t="s">
        <v>46</v>
      </c>
      <c r="B4061" s="34" t="s">
        <v>53</v>
      </c>
      <c r="C4061" s="13">
        <v>98.0</v>
      </c>
      <c r="D4061" s="13" t="s">
        <v>185</v>
      </c>
      <c r="E4061" s="13"/>
      <c r="F4061" s="13"/>
      <c r="G4061" s="13" t="s">
        <v>74</v>
      </c>
      <c r="H4061" s="13" t="s">
        <v>75</v>
      </c>
      <c r="I4061" s="13"/>
      <c r="J4061" s="13"/>
      <c r="K4061" s="15">
        <v>1.0</v>
      </c>
      <c r="L4061" s="15">
        <v>1.0</v>
      </c>
      <c r="M4061" s="16"/>
      <c r="N4061" s="16"/>
      <c r="O4061" s="17"/>
      <c r="P4061" s="17"/>
      <c r="Q4061" s="13"/>
      <c r="R4061" s="13"/>
      <c r="S4061" s="13"/>
      <c r="T4061" s="13">
        <f t="shared" ref="T4061:Y4061" si="4380">IF(ISBLANK(K4061)=TRUE,0,1)</f>
        <v>1</v>
      </c>
      <c r="U4061" s="13">
        <f t="shared" si="4380"/>
        <v>1</v>
      </c>
      <c r="V4061" s="13">
        <f t="shared" si="4380"/>
        <v>0</v>
      </c>
      <c r="W4061" s="13">
        <f t="shared" si="4380"/>
        <v>0</v>
      </c>
      <c r="X4061" s="13">
        <f t="shared" si="4380"/>
        <v>0</v>
      </c>
      <c r="Y4061" s="13">
        <f t="shared" si="4380"/>
        <v>0</v>
      </c>
      <c r="Z4061" s="13">
        <f t="shared" si="3023"/>
        <v>1</v>
      </c>
      <c r="AA4061" s="13"/>
      <c r="AB4061" s="13"/>
      <c r="AC4061" s="13"/>
      <c r="AD4061" s="13"/>
      <c r="AE4061" s="13"/>
      <c r="AF4061" s="13"/>
      <c r="AG4061" s="13"/>
      <c r="AH4061" s="13"/>
      <c r="AI4061" s="13"/>
      <c r="AJ4061" s="13"/>
      <c r="AK4061" s="13"/>
      <c r="AL4061" s="13"/>
      <c r="AM4061" s="13"/>
      <c r="AN4061" s="13"/>
      <c r="AO4061" s="13"/>
      <c r="AP4061" s="13"/>
      <c r="AQ4061" s="13"/>
      <c r="AR4061" s="13"/>
      <c r="AS4061" s="13"/>
    </row>
    <row r="4062" ht="14.25" customHeight="1">
      <c r="A4062" s="13" t="s">
        <v>46</v>
      </c>
      <c r="B4062" s="34" t="s">
        <v>53</v>
      </c>
      <c r="C4062" s="13">
        <v>98.0</v>
      </c>
      <c r="D4062" s="13" t="s">
        <v>186</v>
      </c>
      <c r="E4062" s="13"/>
      <c r="F4062" s="13"/>
      <c r="G4062" s="13" t="s">
        <v>74</v>
      </c>
      <c r="H4062" s="13" t="s">
        <v>75</v>
      </c>
      <c r="I4062" s="13"/>
      <c r="J4062" s="13"/>
      <c r="K4062" s="15">
        <v>1.0</v>
      </c>
      <c r="L4062" s="15">
        <v>1.0</v>
      </c>
      <c r="M4062" s="16"/>
      <c r="N4062" s="16"/>
      <c r="O4062" s="17"/>
      <c r="P4062" s="17"/>
      <c r="Q4062" s="13"/>
      <c r="R4062" s="13"/>
      <c r="S4062" s="13"/>
      <c r="T4062" s="13">
        <f t="shared" ref="T4062:Y4062" si="4381">IF(ISBLANK(K4062)=TRUE,0,1)</f>
        <v>1</v>
      </c>
      <c r="U4062" s="13">
        <f t="shared" si="4381"/>
        <v>1</v>
      </c>
      <c r="V4062" s="13">
        <f t="shared" si="4381"/>
        <v>0</v>
      </c>
      <c r="W4062" s="13">
        <f t="shared" si="4381"/>
        <v>0</v>
      </c>
      <c r="X4062" s="13">
        <f t="shared" si="4381"/>
        <v>0</v>
      </c>
      <c r="Y4062" s="13">
        <f t="shared" si="4381"/>
        <v>0</v>
      </c>
      <c r="Z4062" s="13">
        <f t="shared" si="3023"/>
        <v>1</v>
      </c>
      <c r="AA4062" s="13"/>
      <c r="AB4062" s="13"/>
      <c r="AC4062" s="13"/>
      <c r="AD4062" s="13"/>
      <c r="AE4062" s="13"/>
      <c r="AF4062" s="13"/>
      <c r="AG4062" s="13"/>
      <c r="AH4062" s="13"/>
      <c r="AI4062" s="13"/>
      <c r="AJ4062" s="13"/>
      <c r="AK4062" s="13"/>
      <c r="AL4062" s="13"/>
      <c r="AM4062" s="13"/>
      <c r="AN4062" s="13"/>
      <c r="AO4062" s="13"/>
      <c r="AP4062" s="13"/>
      <c r="AQ4062" s="13"/>
      <c r="AR4062" s="13"/>
      <c r="AS4062" s="13"/>
    </row>
    <row r="4063" ht="14.25" customHeight="1">
      <c r="A4063" s="13" t="s">
        <v>46</v>
      </c>
      <c r="B4063" s="34" t="s">
        <v>53</v>
      </c>
      <c r="C4063" s="13">
        <v>98.0</v>
      </c>
      <c r="D4063" s="13" t="s">
        <v>187</v>
      </c>
      <c r="E4063" s="13"/>
      <c r="F4063" s="13"/>
      <c r="G4063" s="13" t="s">
        <v>74</v>
      </c>
      <c r="H4063" s="13" t="s">
        <v>75</v>
      </c>
      <c r="I4063" s="13"/>
      <c r="J4063" s="13"/>
      <c r="K4063" s="15">
        <v>1.0</v>
      </c>
      <c r="L4063" s="15">
        <v>1.0</v>
      </c>
      <c r="M4063" s="16"/>
      <c r="N4063" s="16"/>
      <c r="O4063" s="17"/>
      <c r="P4063" s="17"/>
      <c r="Q4063" s="13"/>
      <c r="R4063" s="13"/>
      <c r="S4063" s="13"/>
      <c r="T4063" s="13">
        <f t="shared" ref="T4063:Y4063" si="4382">IF(ISBLANK(K4063)=TRUE,0,1)</f>
        <v>1</v>
      </c>
      <c r="U4063" s="13">
        <f t="shared" si="4382"/>
        <v>1</v>
      </c>
      <c r="V4063" s="13">
        <f t="shared" si="4382"/>
        <v>0</v>
      </c>
      <c r="W4063" s="13">
        <f t="shared" si="4382"/>
        <v>0</v>
      </c>
      <c r="X4063" s="13">
        <f t="shared" si="4382"/>
        <v>0</v>
      </c>
      <c r="Y4063" s="13">
        <f t="shared" si="4382"/>
        <v>0</v>
      </c>
      <c r="Z4063" s="13">
        <f t="shared" si="3023"/>
        <v>1</v>
      </c>
      <c r="AA4063" s="13"/>
      <c r="AB4063" s="13"/>
      <c r="AC4063" s="13"/>
      <c r="AD4063" s="13"/>
      <c r="AE4063" s="13"/>
      <c r="AF4063" s="13"/>
      <c r="AG4063" s="13"/>
      <c r="AH4063" s="13"/>
      <c r="AI4063" s="13"/>
      <c r="AJ4063" s="13"/>
      <c r="AK4063" s="13"/>
      <c r="AL4063" s="13"/>
      <c r="AM4063" s="13"/>
      <c r="AN4063" s="13"/>
      <c r="AO4063" s="13"/>
      <c r="AP4063" s="13"/>
      <c r="AQ4063" s="13"/>
      <c r="AR4063" s="13"/>
      <c r="AS4063" s="13"/>
    </row>
    <row r="4064" ht="14.25" customHeight="1">
      <c r="A4064" s="13" t="s">
        <v>46</v>
      </c>
      <c r="B4064" s="34" t="s">
        <v>53</v>
      </c>
      <c r="C4064" s="13">
        <v>98.0</v>
      </c>
      <c r="D4064" s="13" t="s">
        <v>188</v>
      </c>
      <c r="E4064" s="13"/>
      <c r="F4064" s="13"/>
      <c r="G4064" s="13" t="s">
        <v>74</v>
      </c>
      <c r="H4064" s="13" t="s">
        <v>75</v>
      </c>
      <c r="I4064" s="13"/>
      <c r="J4064" s="13"/>
      <c r="K4064" s="15">
        <v>1.0</v>
      </c>
      <c r="L4064" s="15">
        <v>1.0</v>
      </c>
      <c r="M4064" s="16"/>
      <c r="N4064" s="16"/>
      <c r="O4064" s="17"/>
      <c r="P4064" s="17"/>
      <c r="Q4064" s="13"/>
      <c r="R4064" s="13"/>
      <c r="S4064" s="13"/>
      <c r="T4064" s="13">
        <f t="shared" ref="T4064:Y4064" si="4383">IF(ISBLANK(K4064)=TRUE,0,1)</f>
        <v>1</v>
      </c>
      <c r="U4064" s="13">
        <f t="shared" si="4383"/>
        <v>1</v>
      </c>
      <c r="V4064" s="13">
        <f t="shared" si="4383"/>
        <v>0</v>
      </c>
      <c r="W4064" s="13">
        <f t="shared" si="4383"/>
        <v>0</v>
      </c>
      <c r="X4064" s="13">
        <f t="shared" si="4383"/>
        <v>0</v>
      </c>
      <c r="Y4064" s="13">
        <f t="shared" si="4383"/>
        <v>0</v>
      </c>
      <c r="Z4064" s="13">
        <f t="shared" si="3023"/>
        <v>1</v>
      </c>
      <c r="AA4064" s="13"/>
      <c r="AB4064" s="13"/>
      <c r="AC4064" s="13"/>
      <c r="AD4064" s="13"/>
      <c r="AE4064" s="13"/>
      <c r="AF4064" s="13"/>
      <c r="AG4064" s="13"/>
      <c r="AH4064" s="13"/>
      <c r="AI4064" s="13"/>
      <c r="AJ4064" s="13"/>
      <c r="AK4064" s="13"/>
      <c r="AL4064" s="13"/>
      <c r="AM4064" s="13"/>
      <c r="AN4064" s="13"/>
      <c r="AO4064" s="13"/>
      <c r="AP4064" s="13"/>
      <c r="AQ4064" s="13"/>
      <c r="AR4064" s="13"/>
      <c r="AS4064" s="13"/>
    </row>
    <row r="4065" ht="14.25" customHeight="1">
      <c r="A4065" s="13" t="s">
        <v>46</v>
      </c>
      <c r="B4065" s="34" t="s">
        <v>53</v>
      </c>
      <c r="C4065" s="13">
        <v>98.0</v>
      </c>
      <c r="D4065" s="13" t="s">
        <v>189</v>
      </c>
      <c r="E4065" s="13"/>
      <c r="F4065" s="13"/>
      <c r="G4065" s="13" t="s">
        <v>74</v>
      </c>
      <c r="H4065" s="13" t="s">
        <v>75</v>
      </c>
      <c r="I4065" s="13"/>
      <c r="J4065" s="13"/>
      <c r="K4065" s="15">
        <v>1.0</v>
      </c>
      <c r="L4065" s="15">
        <v>1.0</v>
      </c>
      <c r="M4065" s="16"/>
      <c r="N4065" s="16"/>
      <c r="O4065" s="17"/>
      <c r="P4065" s="17"/>
      <c r="Q4065" s="13"/>
      <c r="R4065" s="13"/>
      <c r="S4065" s="13"/>
      <c r="T4065" s="13">
        <f t="shared" ref="T4065:Y4065" si="4384">IF(ISBLANK(K4065)=TRUE,0,1)</f>
        <v>1</v>
      </c>
      <c r="U4065" s="13">
        <f t="shared" si="4384"/>
        <v>1</v>
      </c>
      <c r="V4065" s="13">
        <f t="shared" si="4384"/>
        <v>0</v>
      </c>
      <c r="W4065" s="13">
        <f t="shared" si="4384"/>
        <v>0</v>
      </c>
      <c r="X4065" s="13">
        <f t="shared" si="4384"/>
        <v>0</v>
      </c>
      <c r="Y4065" s="13">
        <f t="shared" si="4384"/>
        <v>0</v>
      </c>
      <c r="Z4065" s="13">
        <f t="shared" si="3023"/>
        <v>1</v>
      </c>
      <c r="AA4065" s="13"/>
      <c r="AB4065" s="13"/>
      <c r="AC4065" s="13"/>
      <c r="AD4065" s="13"/>
      <c r="AE4065" s="13"/>
      <c r="AF4065" s="13"/>
      <c r="AG4065" s="13"/>
      <c r="AH4065" s="13"/>
      <c r="AI4065" s="13"/>
      <c r="AJ4065" s="13"/>
      <c r="AK4065" s="13"/>
      <c r="AL4065" s="13"/>
      <c r="AM4065" s="13"/>
      <c r="AN4065" s="13"/>
      <c r="AO4065" s="13"/>
      <c r="AP4065" s="13"/>
      <c r="AQ4065" s="13"/>
      <c r="AR4065" s="13"/>
      <c r="AS4065" s="13"/>
    </row>
    <row r="4066" ht="14.25" customHeight="1">
      <c r="A4066" s="13" t="s">
        <v>46</v>
      </c>
      <c r="B4066" s="34" t="s">
        <v>53</v>
      </c>
      <c r="C4066" s="13">
        <v>98.0</v>
      </c>
      <c r="D4066" s="13" t="s">
        <v>190</v>
      </c>
      <c r="E4066" s="13"/>
      <c r="F4066" s="13"/>
      <c r="G4066" s="13" t="s">
        <v>74</v>
      </c>
      <c r="H4066" s="13" t="s">
        <v>75</v>
      </c>
      <c r="I4066" s="13"/>
      <c r="J4066" s="13"/>
      <c r="K4066" s="15">
        <v>1.0</v>
      </c>
      <c r="L4066" s="15">
        <v>1.0</v>
      </c>
      <c r="M4066" s="16"/>
      <c r="N4066" s="16"/>
      <c r="O4066" s="17"/>
      <c r="P4066" s="17"/>
      <c r="Q4066" s="13"/>
      <c r="R4066" s="13"/>
      <c r="S4066" s="13"/>
      <c r="T4066" s="13">
        <f t="shared" ref="T4066:Y4066" si="4385">IF(ISBLANK(K4066)=TRUE,0,1)</f>
        <v>1</v>
      </c>
      <c r="U4066" s="13">
        <f t="shared" si="4385"/>
        <v>1</v>
      </c>
      <c r="V4066" s="13">
        <f t="shared" si="4385"/>
        <v>0</v>
      </c>
      <c r="W4066" s="13">
        <f t="shared" si="4385"/>
        <v>0</v>
      </c>
      <c r="X4066" s="13">
        <f t="shared" si="4385"/>
        <v>0</v>
      </c>
      <c r="Y4066" s="13">
        <f t="shared" si="4385"/>
        <v>0</v>
      </c>
      <c r="Z4066" s="13">
        <f t="shared" si="3023"/>
        <v>1</v>
      </c>
      <c r="AA4066" s="13"/>
      <c r="AB4066" s="13"/>
      <c r="AC4066" s="13"/>
      <c r="AD4066" s="13"/>
      <c r="AE4066" s="13"/>
      <c r="AF4066" s="13"/>
      <c r="AG4066" s="13"/>
      <c r="AH4066" s="13"/>
      <c r="AI4066" s="13"/>
      <c r="AJ4066" s="13"/>
      <c r="AK4066" s="13"/>
      <c r="AL4066" s="13"/>
      <c r="AM4066" s="13"/>
      <c r="AN4066" s="13"/>
      <c r="AO4066" s="13"/>
      <c r="AP4066" s="13"/>
      <c r="AQ4066" s="13"/>
      <c r="AR4066" s="13"/>
      <c r="AS4066" s="13"/>
    </row>
    <row r="4067" ht="14.25" customHeight="1">
      <c r="A4067" s="13" t="s">
        <v>46</v>
      </c>
      <c r="B4067" s="34" t="s">
        <v>53</v>
      </c>
      <c r="C4067" s="13">
        <v>98.0</v>
      </c>
      <c r="D4067" s="13" t="s">
        <v>191</v>
      </c>
      <c r="E4067" s="13"/>
      <c r="F4067" s="13"/>
      <c r="G4067" s="13" t="s">
        <v>74</v>
      </c>
      <c r="H4067" s="13" t="s">
        <v>75</v>
      </c>
      <c r="I4067" s="13"/>
      <c r="J4067" s="13"/>
      <c r="K4067" s="15">
        <v>1.0</v>
      </c>
      <c r="L4067" s="15">
        <v>1.0</v>
      </c>
      <c r="M4067" s="16"/>
      <c r="N4067" s="16"/>
      <c r="O4067" s="17"/>
      <c r="P4067" s="17"/>
      <c r="Q4067" s="13"/>
      <c r="R4067" s="13"/>
      <c r="S4067" s="13"/>
      <c r="T4067" s="13">
        <f t="shared" ref="T4067:Y4067" si="4386">IF(ISBLANK(K4067)=TRUE,0,1)</f>
        <v>1</v>
      </c>
      <c r="U4067" s="13">
        <f t="shared" si="4386"/>
        <v>1</v>
      </c>
      <c r="V4067" s="13">
        <f t="shared" si="4386"/>
        <v>0</v>
      </c>
      <c r="W4067" s="13">
        <f t="shared" si="4386"/>
        <v>0</v>
      </c>
      <c r="X4067" s="13">
        <f t="shared" si="4386"/>
        <v>0</v>
      </c>
      <c r="Y4067" s="13">
        <f t="shared" si="4386"/>
        <v>0</v>
      </c>
      <c r="Z4067" s="13">
        <f t="shared" si="3023"/>
        <v>1</v>
      </c>
      <c r="AA4067" s="13"/>
      <c r="AB4067" s="13"/>
      <c r="AC4067" s="13"/>
      <c r="AD4067" s="13"/>
      <c r="AE4067" s="13"/>
      <c r="AF4067" s="13"/>
      <c r="AG4067" s="13"/>
      <c r="AH4067" s="13"/>
      <c r="AI4067" s="13"/>
      <c r="AJ4067" s="13"/>
      <c r="AK4067" s="13"/>
      <c r="AL4067" s="13"/>
      <c r="AM4067" s="13"/>
      <c r="AN4067" s="13"/>
      <c r="AO4067" s="13"/>
      <c r="AP4067" s="13"/>
      <c r="AQ4067" s="13"/>
      <c r="AR4067" s="13"/>
      <c r="AS4067" s="13"/>
    </row>
    <row r="4068" ht="14.25" customHeight="1">
      <c r="A4068" s="13" t="s">
        <v>46</v>
      </c>
      <c r="B4068" s="34" t="s">
        <v>53</v>
      </c>
      <c r="C4068" s="13">
        <v>98.0</v>
      </c>
      <c r="D4068" s="13" t="s">
        <v>192</v>
      </c>
      <c r="E4068" s="13"/>
      <c r="F4068" s="13"/>
      <c r="G4068" s="13" t="s">
        <v>74</v>
      </c>
      <c r="H4068" s="13" t="s">
        <v>75</v>
      </c>
      <c r="I4068" s="13"/>
      <c r="J4068" s="13"/>
      <c r="K4068" s="15">
        <v>1.0</v>
      </c>
      <c r="L4068" s="15">
        <v>1.0</v>
      </c>
      <c r="M4068" s="16"/>
      <c r="N4068" s="16"/>
      <c r="O4068" s="17"/>
      <c r="P4068" s="17"/>
      <c r="Q4068" s="13"/>
      <c r="R4068" s="13"/>
      <c r="S4068" s="13"/>
      <c r="T4068" s="13">
        <f t="shared" ref="T4068:Y4068" si="4387">IF(ISBLANK(K4068)=TRUE,0,1)</f>
        <v>1</v>
      </c>
      <c r="U4068" s="13">
        <f t="shared" si="4387"/>
        <v>1</v>
      </c>
      <c r="V4068" s="13">
        <f t="shared" si="4387"/>
        <v>0</v>
      </c>
      <c r="W4068" s="13">
        <f t="shared" si="4387"/>
        <v>0</v>
      </c>
      <c r="X4068" s="13">
        <f t="shared" si="4387"/>
        <v>0</v>
      </c>
      <c r="Y4068" s="13">
        <f t="shared" si="4387"/>
        <v>0</v>
      </c>
      <c r="Z4068" s="13">
        <f t="shared" si="3023"/>
        <v>1</v>
      </c>
      <c r="AA4068" s="13"/>
      <c r="AB4068" s="13"/>
      <c r="AC4068" s="13"/>
      <c r="AD4068" s="13"/>
      <c r="AE4068" s="13"/>
      <c r="AF4068" s="13"/>
      <c r="AG4068" s="13"/>
      <c r="AH4068" s="13"/>
      <c r="AI4068" s="13"/>
      <c r="AJ4068" s="13"/>
      <c r="AK4068" s="13"/>
      <c r="AL4068" s="13"/>
      <c r="AM4068" s="13"/>
      <c r="AN4068" s="13"/>
      <c r="AO4068" s="13"/>
      <c r="AP4068" s="13"/>
      <c r="AQ4068" s="13"/>
      <c r="AR4068" s="13"/>
      <c r="AS4068" s="13"/>
    </row>
    <row r="4069" ht="14.25" customHeight="1">
      <c r="A4069" s="13" t="s">
        <v>46</v>
      </c>
      <c r="B4069" s="34" t="s">
        <v>53</v>
      </c>
      <c r="C4069" s="13">
        <v>98.0</v>
      </c>
      <c r="D4069" s="13" t="s">
        <v>193</v>
      </c>
      <c r="E4069" s="13"/>
      <c r="F4069" s="13"/>
      <c r="G4069" s="13" t="s">
        <v>74</v>
      </c>
      <c r="H4069" s="13" t="s">
        <v>75</v>
      </c>
      <c r="I4069" s="13"/>
      <c r="J4069" s="13"/>
      <c r="K4069" s="15">
        <v>1.0</v>
      </c>
      <c r="L4069" s="15">
        <v>1.0</v>
      </c>
      <c r="M4069" s="16"/>
      <c r="N4069" s="16"/>
      <c r="O4069" s="17"/>
      <c r="P4069" s="17"/>
      <c r="Q4069" s="13"/>
      <c r="R4069" s="13"/>
      <c r="S4069" s="13"/>
      <c r="T4069" s="13">
        <f t="shared" ref="T4069:Y4069" si="4388">IF(ISBLANK(K4069)=TRUE,0,1)</f>
        <v>1</v>
      </c>
      <c r="U4069" s="13">
        <f t="shared" si="4388"/>
        <v>1</v>
      </c>
      <c r="V4069" s="13">
        <f t="shared" si="4388"/>
        <v>0</v>
      </c>
      <c r="W4069" s="13">
        <f t="shared" si="4388"/>
        <v>0</v>
      </c>
      <c r="X4069" s="13">
        <f t="shared" si="4388"/>
        <v>0</v>
      </c>
      <c r="Y4069" s="13">
        <f t="shared" si="4388"/>
        <v>0</v>
      </c>
      <c r="Z4069" s="13">
        <f t="shared" si="3023"/>
        <v>1</v>
      </c>
      <c r="AA4069" s="13"/>
      <c r="AB4069" s="13"/>
      <c r="AC4069" s="13"/>
      <c r="AD4069" s="13"/>
      <c r="AE4069" s="13"/>
      <c r="AF4069" s="13"/>
      <c r="AG4069" s="13"/>
      <c r="AH4069" s="13"/>
      <c r="AI4069" s="13"/>
      <c r="AJ4069" s="13"/>
      <c r="AK4069" s="13"/>
      <c r="AL4069" s="13"/>
      <c r="AM4069" s="13"/>
      <c r="AN4069" s="13"/>
      <c r="AO4069" s="13"/>
      <c r="AP4069" s="13"/>
      <c r="AQ4069" s="13"/>
      <c r="AR4069" s="13"/>
      <c r="AS4069" s="13"/>
    </row>
    <row r="4070" ht="14.25" customHeight="1">
      <c r="A4070" s="13" t="s">
        <v>46</v>
      </c>
      <c r="B4070" s="34" t="s">
        <v>53</v>
      </c>
      <c r="C4070" s="13">
        <v>98.0</v>
      </c>
      <c r="D4070" s="13" t="s">
        <v>194</v>
      </c>
      <c r="E4070" s="13"/>
      <c r="F4070" s="13"/>
      <c r="G4070" s="13" t="s">
        <v>74</v>
      </c>
      <c r="H4070" s="13" t="s">
        <v>75</v>
      </c>
      <c r="I4070" s="13"/>
      <c r="J4070" s="13"/>
      <c r="K4070" s="15">
        <v>1.0</v>
      </c>
      <c r="L4070" s="15">
        <v>1.0</v>
      </c>
      <c r="M4070" s="16"/>
      <c r="N4070" s="16"/>
      <c r="O4070" s="17"/>
      <c r="P4070" s="17"/>
      <c r="Q4070" s="13"/>
      <c r="R4070" s="13"/>
      <c r="S4070" s="13"/>
      <c r="T4070" s="13">
        <f t="shared" ref="T4070:Y4070" si="4389">IF(ISBLANK(K4070)=TRUE,0,1)</f>
        <v>1</v>
      </c>
      <c r="U4070" s="13">
        <f t="shared" si="4389"/>
        <v>1</v>
      </c>
      <c r="V4070" s="13">
        <f t="shared" si="4389"/>
        <v>0</v>
      </c>
      <c r="W4070" s="13">
        <f t="shared" si="4389"/>
        <v>0</v>
      </c>
      <c r="X4070" s="13">
        <f t="shared" si="4389"/>
        <v>0</v>
      </c>
      <c r="Y4070" s="13">
        <f t="shared" si="4389"/>
        <v>0</v>
      </c>
      <c r="Z4070" s="13">
        <f t="shared" si="3023"/>
        <v>1</v>
      </c>
      <c r="AA4070" s="13"/>
      <c r="AB4070" s="13"/>
      <c r="AC4070" s="13"/>
      <c r="AD4070" s="13"/>
      <c r="AE4070" s="13"/>
      <c r="AF4070" s="13"/>
      <c r="AG4070" s="13"/>
      <c r="AH4070" s="13"/>
      <c r="AI4070" s="13"/>
      <c r="AJ4070" s="13"/>
      <c r="AK4070" s="13"/>
      <c r="AL4070" s="13"/>
      <c r="AM4070" s="13"/>
      <c r="AN4070" s="13"/>
      <c r="AO4070" s="13"/>
      <c r="AP4070" s="13"/>
      <c r="AQ4070" s="13"/>
      <c r="AR4070" s="13"/>
      <c r="AS4070" s="13"/>
    </row>
    <row r="4071" ht="14.25" customHeight="1">
      <c r="A4071" s="13" t="s">
        <v>46</v>
      </c>
      <c r="B4071" s="34" t="s">
        <v>53</v>
      </c>
      <c r="C4071" s="13">
        <v>98.0</v>
      </c>
      <c r="D4071" s="13" t="s">
        <v>195</v>
      </c>
      <c r="E4071" s="13"/>
      <c r="F4071" s="13"/>
      <c r="G4071" s="13" t="s">
        <v>74</v>
      </c>
      <c r="H4071" s="13" t="s">
        <v>75</v>
      </c>
      <c r="I4071" s="13"/>
      <c r="J4071" s="13"/>
      <c r="K4071" s="15">
        <v>1.0</v>
      </c>
      <c r="L4071" s="15">
        <v>1.0</v>
      </c>
      <c r="M4071" s="16"/>
      <c r="N4071" s="16"/>
      <c r="O4071" s="17"/>
      <c r="P4071" s="17"/>
      <c r="Q4071" s="13"/>
      <c r="R4071" s="13"/>
      <c r="S4071" s="13"/>
      <c r="T4071" s="13">
        <f t="shared" ref="T4071:Y4071" si="4390">IF(ISBLANK(K4071)=TRUE,0,1)</f>
        <v>1</v>
      </c>
      <c r="U4071" s="13">
        <f t="shared" si="4390"/>
        <v>1</v>
      </c>
      <c r="V4071" s="13">
        <f t="shared" si="4390"/>
        <v>0</v>
      </c>
      <c r="W4071" s="13">
        <f t="shared" si="4390"/>
        <v>0</v>
      </c>
      <c r="X4071" s="13">
        <f t="shared" si="4390"/>
        <v>0</v>
      </c>
      <c r="Y4071" s="13">
        <f t="shared" si="4390"/>
        <v>0</v>
      </c>
      <c r="Z4071" s="13">
        <f t="shared" si="3023"/>
        <v>1</v>
      </c>
      <c r="AA4071" s="13"/>
      <c r="AB4071" s="13"/>
      <c r="AC4071" s="13"/>
      <c r="AD4071" s="13"/>
      <c r="AE4071" s="13"/>
      <c r="AF4071" s="13"/>
      <c r="AG4071" s="13"/>
      <c r="AH4071" s="13"/>
      <c r="AI4071" s="13"/>
      <c r="AJ4071" s="13"/>
      <c r="AK4071" s="13"/>
      <c r="AL4071" s="13"/>
      <c r="AM4071" s="13"/>
      <c r="AN4071" s="13"/>
      <c r="AO4071" s="13"/>
      <c r="AP4071" s="13"/>
      <c r="AQ4071" s="13"/>
      <c r="AR4071" s="13"/>
      <c r="AS4071" s="13"/>
    </row>
    <row r="4072" ht="14.25" customHeight="1">
      <c r="A4072" s="13" t="s">
        <v>46</v>
      </c>
      <c r="B4072" s="34" t="s">
        <v>53</v>
      </c>
      <c r="C4072" s="13">
        <v>98.0</v>
      </c>
      <c r="D4072" s="13" t="s">
        <v>196</v>
      </c>
      <c r="E4072" s="13"/>
      <c r="F4072" s="13"/>
      <c r="G4072" s="13" t="s">
        <v>74</v>
      </c>
      <c r="H4072" s="13" t="s">
        <v>75</v>
      </c>
      <c r="I4072" s="13"/>
      <c r="J4072" s="13"/>
      <c r="K4072" s="15">
        <v>1.0</v>
      </c>
      <c r="L4072" s="15">
        <v>1.0</v>
      </c>
      <c r="M4072" s="16"/>
      <c r="N4072" s="16"/>
      <c r="O4072" s="17"/>
      <c r="P4072" s="17"/>
      <c r="Q4072" s="13"/>
      <c r="R4072" s="13"/>
      <c r="S4072" s="13"/>
      <c r="T4072" s="13">
        <f t="shared" ref="T4072:Y4072" si="4391">IF(ISBLANK(K4072)=TRUE,0,1)</f>
        <v>1</v>
      </c>
      <c r="U4072" s="13">
        <f t="shared" si="4391"/>
        <v>1</v>
      </c>
      <c r="V4072" s="13">
        <f t="shared" si="4391"/>
        <v>0</v>
      </c>
      <c r="W4072" s="13">
        <f t="shared" si="4391"/>
        <v>0</v>
      </c>
      <c r="X4072" s="13">
        <f t="shared" si="4391"/>
        <v>0</v>
      </c>
      <c r="Y4072" s="13">
        <f t="shared" si="4391"/>
        <v>0</v>
      </c>
      <c r="Z4072" s="13">
        <f t="shared" si="3023"/>
        <v>1</v>
      </c>
      <c r="AA4072" s="13"/>
      <c r="AB4072" s="13"/>
      <c r="AC4072" s="13"/>
      <c r="AD4072" s="13"/>
      <c r="AE4072" s="13"/>
      <c r="AF4072" s="13"/>
      <c r="AG4072" s="13"/>
      <c r="AH4072" s="13"/>
      <c r="AI4072" s="13"/>
      <c r="AJ4072" s="13"/>
      <c r="AK4072" s="13"/>
      <c r="AL4072" s="13"/>
      <c r="AM4072" s="13"/>
      <c r="AN4072" s="13"/>
      <c r="AO4072" s="13"/>
      <c r="AP4072" s="13"/>
      <c r="AQ4072" s="13"/>
      <c r="AR4072" s="13"/>
      <c r="AS4072" s="13"/>
    </row>
    <row r="4073" ht="14.25" customHeight="1">
      <c r="A4073" s="13" t="s">
        <v>46</v>
      </c>
      <c r="B4073" s="34" t="s">
        <v>53</v>
      </c>
      <c r="C4073" s="13">
        <v>98.0</v>
      </c>
      <c r="D4073" s="13" t="s">
        <v>197</v>
      </c>
      <c r="E4073" s="13"/>
      <c r="F4073" s="13"/>
      <c r="G4073" s="13" t="s">
        <v>74</v>
      </c>
      <c r="H4073" s="13" t="s">
        <v>75</v>
      </c>
      <c r="I4073" s="13"/>
      <c r="J4073" s="13"/>
      <c r="K4073" s="15">
        <v>1.0</v>
      </c>
      <c r="L4073" s="15">
        <v>1.0</v>
      </c>
      <c r="M4073" s="16"/>
      <c r="N4073" s="16"/>
      <c r="O4073" s="17"/>
      <c r="P4073" s="17"/>
      <c r="Q4073" s="13"/>
      <c r="R4073" s="13"/>
      <c r="S4073" s="13"/>
      <c r="T4073" s="13">
        <f t="shared" ref="T4073:Y4073" si="4392">IF(ISBLANK(K4073)=TRUE,0,1)</f>
        <v>1</v>
      </c>
      <c r="U4073" s="13">
        <f t="shared" si="4392"/>
        <v>1</v>
      </c>
      <c r="V4073" s="13">
        <f t="shared" si="4392"/>
        <v>0</v>
      </c>
      <c r="W4073" s="13">
        <f t="shared" si="4392"/>
        <v>0</v>
      </c>
      <c r="X4073" s="13">
        <f t="shared" si="4392"/>
        <v>0</v>
      </c>
      <c r="Y4073" s="13">
        <f t="shared" si="4392"/>
        <v>0</v>
      </c>
      <c r="Z4073" s="13">
        <f t="shared" si="3023"/>
        <v>1</v>
      </c>
      <c r="AA4073" s="13"/>
      <c r="AB4073" s="13"/>
      <c r="AC4073" s="13"/>
      <c r="AD4073" s="13"/>
      <c r="AE4073" s="13"/>
      <c r="AF4073" s="13"/>
      <c r="AG4073" s="13"/>
      <c r="AH4073" s="13"/>
      <c r="AI4073" s="13"/>
      <c r="AJ4073" s="13"/>
      <c r="AK4073" s="13"/>
      <c r="AL4073" s="13"/>
      <c r="AM4073" s="13"/>
      <c r="AN4073" s="13"/>
      <c r="AO4073" s="13"/>
      <c r="AP4073" s="13"/>
      <c r="AQ4073" s="13"/>
      <c r="AR4073" s="13"/>
      <c r="AS4073" s="13"/>
    </row>
    <row r="4074" ht="14.25" customHeight="1">
      <c r="A4074" s="26" t="s">
        <v>46</v>
      </c>
      <c r="B4074" s="31" t="s">
        <v>53</v>
      </c>
      <c r="C4074" s="26">
        <v>101.0</v>
      </c>
      <c r="D4074" s="26" t="s">
        <v>174</v>
      </c>
      <c r="E4074" s="13"/>
      <c r="F4074" s="26"/>
      <c r="G4074" s="26" t="s">
        <v>74</v>
      </c>
      <c r="H4074" s="26" t="s">
        <v>75</v>
      </c>
      <c r="I4074" s="13"/>
      <c r="J4074" s="13"/>
      <c r="K4074" s="15">
        <v>1.0</v>
      </c>
      <c r="L4074" s="15">
        <v>1.0</v>
      </c>
      <c r="M4074" s="16"/>
      <c r="N4074" s="16"/>
      <c r="O4074" s="17"/>
      <c r="P4074" s="17"/>
      <c r="Q4074" s="13"/>
      <c r="R4074" s="13"/>
      <c r="S4074" s="13"/>
      <c r="T4074" s="13">
        <f t="shared" ref="T4074:Y4074" si="4393">IF(ISBLANK(K4074)=TRUE,0,1)</f>
        <v>1</v>
      </c>
      <c r="U4074" s="13">
        <f t="shared" si="4393"/>
        <v>1</v>
      </c>
      <c r="V4074" s="13">
        <f t="shared" si="4393"/>
        <v>0</v>
      </c>
      <c r="W4074" s="13">
        <f t="shared" si="4393"/>
        <v>0</v>
      </c>
      <c r="X4074" s="13">
        <f t="shared" si="4393"/>
        <v>0</v>
      </c>
      <c r="Y4074" s="13">
        <f t="shared" si="4393"/>
        <v>0</v>
      </c>
      <c r="Z4074" s="13">
        <f t="shared" si="3023"/>
        <v>1</v>
      </c>
      <c r="AA4074" s="13"/>
      <c r="AB4074" s="13"/>
      <c r="AC4074" s="13"/>
      <c r="AD4074" s="13"/>
      <c r="AE4074" s="13"/>
      <c r="AF4074" s="13"/>
      <c r="AG4074" s="13"/>
      <c r="AH4074" s="13"/>
      <c r="AI4074" s="13"/>
      <c r="AJ4074" s="13"/>
      <c r="AK4074" s="13"/>
      <c r="AL4074" s="13"/>
      <c r="AM4074" s="13"/>
      <c r="AN4074" s="13"/>
      <c r="AO4074" s="13"/>
      <c r="AP4074" s="13"/>
      <c r="AQ4074" s="13"/>
      <c r="AR4074" s="13"/>
      <c r="AS4074" s="13"/>
    </row>
    <row r="4075" ht="14.25" customHeight="1">
      <c r="A4075" s="26" t="s">
        <v>46</v>
      </c>
      <c r="B4075" s="31" t="s">
        <v>53</v>
      </c>
      <c r="C4075" s="26">
        <v>101.0</v>
      </c>
      <c r="D4075" s="26" t="s">
        <v>175</v>
      </c>
      <c r="E4075" s="13"/>
      <c r="F4075" s="26"/>
      <c r="G4075" s="26" t="s">
        <v>74</v>
      </c>
      <c r="H4075" s="26" t="s">
        <v>75</v>
      </c>
      <c r="I4075" s="13"/>
      <c r="J4075" s="13"/>
      <c r="K4075" s="15">
        <v>1.0</v>
      </c>
      <c r="L4075" s="15">
        <v>1.0</v>
      </c>
      <c r="M4075" s="16"/>
      <c r="N4075" s="16"/>
      <c r="O4075" s="17"/>
      <c r="P4075" s="17"/>
      <c r="Q4075" s="13"/>
      <c r="R4075" s="13"/>
      <c r="S4075" s="13"/>
      <c r="T4075" s="13">
        <f t="shared" ref="T4075:Y4075" si="4394">IF(ISBLANK(K4075)=TRUE,0,1)</f>
        <v>1</v>
      </c>
      <c r="U4075" s="13">
        <f t="shared" si="4394"/>
        <v>1</v>
      </c>
      <c r="V4075" s="13">
        <f t="shared" si="4394"/>
        <v>0</v>
      </c>
      <c r="W4075" s="13">
        <f t="shared" si="4394"/>
        <v>0</v>
      </c>
      <c r="X4075" s="13">
        <f t="shared" si="4394"/>
        <v>0</v>
      </c>
      <c r="Y4075" s="13">
        <f t="shared" si="4394"/>
        <v>0</v>
      </c>
      <c r="Z4075" s="13">
        <f t="shared" si="3023"/>
        <v>1</v>
      </c>
      <c r="AA4075" s="13"/>
      <c r="AB4075" s="13"/>
      <c r="AC4075" s="13"/>
      <c r="AD4075" s="13"/>
      <c r="AE4075" s="13"/>
      <c r="AF4075" s="13"/>
      <c r="AG4075" s="13"/>
      <c r="AH4075" s="13"/>
      <c r="AI4075" s="13"/>
      <c r="AJ4075" s="13"/>
      <c r="AK4075" s="13"/>
      <c r="AL4075" s="13"/>
      <c r="AM4075" s="13"/>
      <c r="AN4075" s="13"/>
      <c r="AO4075" s="13"/>
      <c r="AP4075" s="13"/>
      <c r="AQ4075" s="13"/>
      <c r="AR4075" s="13"/>
      <c r="AS4075" s="13"/>
    </row>
    <row r="4076" ht="14.25" customHeight="1">
      <c r="A4076" s="26" t="s">
        <v>46</v>
      </c>
      <c r="B4076" s="31" t="s">
        <v>53</v>
      </c>
      <c r="C4076" s="26">
        <v>101.0</v>
      </c>
      <c r="D4076" s="26" t="s">
        <v>176</v>
      </c>
      <c r="E4076" s="13"/>
      <c r="F4076" s="26"/>
      <c r="G4076" s="26" t="s">
        <v>74</v>
      </c>
      <c r="H4076" s="26" t="s">
        <v>75</v>
      </c>
      <c r="I4076" s="13"/>
      <c r="J4076" s="13"/>
      <c r="K4076" s="15">
        <v>1.0</v>
      </c>
      <c r="L4076" s="15">
        <v>1.0</v>
      </c>
      <c r="M4076" s="16"/>
      <c r="N4076" s="16"/>
      <c r="O4076" s="17"/>
      <c r="P4076" s="17"/>
      <c r="Q4076" s="13"/>
      <c r="R4076" s="13"/>
      <c r="S4076" s="13"/>
      <c r="T4076" s="13">
        <f t="shared" ref="T4076:Y4076" si="4395">IF(ISBLANK(K4076)=TRUE,0,1)</f>
        <v>1</v>
      </c>
      <c r="U4076" s="13">
        <f t="shared" si="4395"/>
        <v>1</v>
      </c>
      <c r="V4076" s="13">
        <f t="shared" si="4395"/>
        <v>0</v>
      </c>
      <c r="W4076" s="13">
        <f t="shared" si="4395"/>
        <v>0</v>
      </c>
      <c r="X4076" s="13">
        <f t="shared" si="4395"/>
        <v>0</v>
      </c>
      <c r="Y4076" s="13">
        <f t="shared" si="4395"/>
        <v>0</v>
      </c>
      <c r="Z4076" s="13">
        <f t="shared" si="3023"/>
        <v>1</v>
      </c>
      <c r="AA4076" s="13"/>
      <c r="AB4076" s="13"/>
      <c r="AC4076" s="13"/>
      <c r="AD4076" s="13"/>
      <c r="AE4076" s="13"/>
      <c r="AF4076" s="13"/>
      <c r="AG4076" s="13"/>
      <c r="AH4076" s="13"/>
      <c r="AI4076" s="13"/>
      <c r="AJ4076" s="13"/>
      <c r="AK4076" s="13"/>
      <c r="AL4076" s="13"/>
      <c r="AM4076" s="13"/>
      <c r="AN4076" s="13"/>
      <c r="AO4076" s="13"/>
      <c r="AP4076" s="13"/>
      <c r="AQ4076" s="13"/>
      <c r="AR4076" s="13"/>
      <c r="AS4076" s="13"/>
    </row>
    <row r="4077" ht="14.25" customHeight="1">
      <c r="A4077" s="26" t="s">
        <v>46</v>
      </c>
      <c r="B4077" s="31" t="s">
        <v>53</v>
      </c>
      <c r="C4077" s="26">
        <v>101.0</v>
      </c>
      <c r="D4077" s="26" t="s">
        <v>177</v>
      </c>
      <c r="E4077" s="13"/>
      <c r="F4077" s="26"/>
      <c r="G4077" s="26" t="s">
        <v>74</v>
      </c>
      <c r="H4077" s="26" t="s">
        <v>75</v>
      </c>
      <c r="I4077" s="13"/>
      <c r="J4077" s="13"/>
      <c r="K4077" s="15">
        <v>1.0</v>
      </c>
      <c r="L4077" s="15">
        <v>1.0</v>
      </c>
      <c r="M4077" s="16"/>
      <c r="N4077" s="16"/>
      <c r="O4077" s="17"/>
      <c r="P4077" s="17"/>
      <c r="Q4077" s="13"/>
      <c r="R4077" s="13"/>
      <c r="S4077" s="13"/>
      <c r="T4077" s="13">
        <f t="shared" ref="T4077:Y4077" si="4396">IF(ISBLANK(K4077)=TRUE,0,1)</f>
        <v>1</v>
      </c>
      <c r="U4077" s="13">
        <f t="shared" si="4396"/>
        <v>1</v>
      </c>
      <c r="V4077" s="13">
        <f t="shared" si="4396"/>
        <v>0</v>
      </c>
      <c r="W4077" s="13">
        <f t="shared" si="4396"/>
        <v>0</v>
      </c>
      <c r="X4077" s="13">
        <f t="shared" si="4396"/>
        <v>0</v>
      </c>
      <c r="Y4077" s="13">
        <f t="shared" si="4396"/>
        <v>0</v>
      </c>
      <c r="Z4077" s="13">
        <f t="shared" si="3023"/>
        <v>1</v>
      </c>
      <c r="AA4077" s="13"/>
      <c r="AB4077" s="13"/>
      <c r="AC4077" s="13"/>
      <c r="AD4077" s="13"/>
      <c r="AE4077" s="13"/>
      <c r="AF4077" s="13"/>
      <c r="AG4077" s="13"/>
      <c r="AH4077" s="13"/>
      <c r="AI4077" s="13"/>
      <c r="AJ4077" s="13"/>
      <c r="AK4077" s="13"/>
      <c r="AL4077" s="13"/>
      <c r="AM4077" s="13"/>
      <c r="AN4077" s="13"/>
      <c r="AO4077" s="13"/>
      <c r="AP4077" s="13"/>
      <c r="AQ4077" s="13"/>
      <c r="AR4077" s="13"/>
      <c r="AS4077" s="13"/>
    </row>
    <row r="4078" ht="14.25" customHeight="1">
      <c r="A4078" s="26" t="s">
        <v>46</v>
      </c>
      <c r="B4078" s="31" t="s">
        <v>53</v>
      </c>
      <c r="C4078" s="26">
        <v>101.0</v>
      </c>
      <c r="D4078" s="26" t="s">
        <v>178</v>
      </c>
      <c r="E4078" s="13"/>
      <c r="F4078" s="26"/>
      <c r="G4078" s="26" t="s">
        <v>74</v>
      </c>
      <c r="H4078" s="26" t="s">
        <v>75</v>
      </c>
      <c r="I4078" s="13"/>
      <c r="J4078" s="13"/>
      <c r="K4078" s="15">
        <v>1.0</v>
      </c>
      <c r="L4078" s="15">
        <v>1.0</v>
      </c>
      <c r="M4078" s="16"/>
      <c r="N4078" s="16"/>
      <c r="O4078" s="17"/>
      <c r="P4078" s="17"/>
      <c r="Q4078" s="13"/>
      <c r="R4078" s="13"/>
      <c r="S4078" s="13"/>
      <c r="T4078" s="13">
        <f t="shared" ref="T4078:Y4078" si="4397">IF(ISBLANK(K4078)=TRUE,0,1)</f>
        <v>1</v>
      </c>
      <c r="U4078" s="13">
        <f t="shared" si="4397"/>
        <v>1</v>
      </c>
      <c r="V4078" s="13">
        <f t="shared" si="4397"/>
        <v>0</v>
      </c>
      <c r="W4078" s="13">
        <f t="shared" si="4397"/>
        <v>0</v>
      </c>
      <c r="X4078" s="13">
        <f t="shared" si="4397"/>
        <v>0</v>
      </c>
      <c r="Y4078" s="13">
        <f t="shared" si="4397"/>
        <v>0</v>
      </c>
      <c r="Z4078" s="13">
        <f t="shared" si="3023"/>
        <v>1</v>
      </c>
      <c r="AA4078" s="13"/>
      <c r="AB4078" s="13"/>
      <c r="AC4078" s="13"/>
      <c r="AD4078" s="13"/>
      <c r="AE4078" s="13"/>
      <c r="AF4078" s="13"/>
      <c r="AG4078" s="13"/>
      <c r="AH4078" s="13"/>
      <c r="AI4078" s="13"/>
      <c r="AJ4078" s="13"/>
      <c r="AK4078" s="13"/>
      <c r="AL4078" s="13"/>
      <c r="AM4078" s="13"/>
      <c r="AN4078" s="13"/>
      <c r="AO4078" s="13"/>
      <c r="AP4078" s="13"/>
      <c r="AQ4078" s="13"/>
      <c r="AR4078" s="13"/>
      <c r="AS4078" s="13"/>
    </row>
    <row r="4079" ht="14.25" customHeight="1">
      <c r="A4079" s="26" t="s">
        <v>46</v>
      </c>
      <c r="B4079" s="31" t="s">
        <v>53</v>
      </c>
      <c r="C4079" s="26">
        <v>101.0</v>
      </c>
      <c r="D4079" s="26" t="s">
        <v>179</v>
      </c>
      <c r="E4079" s="13"/>
      <c r="F4079" s="26"/>
      <c r="G4079" s="26" t="s">
        <v>74</v>
      </c>
      <c r="H4079" s="26" t="s">
        <v>75</v>
      </c>
      <c r="I4079" s="13"/>
      <c r="J4079" s="13"/>
      <c r="K4079" s="15">
        <v>1.0</v>
      </c>
      <c r="L4079" s="15">
        <v>1.0</v>
      </c>
      <c r="M4079" s="16"/>
      <c r="N4079" s="16"/>
      <c r="O4079" s="17"/>
      <c r="P4079" s="17"/>
      <c r="Q4079" s="13"/>
      <c r="R4079" s="13"/>
      <c r="S4079" s="13"/>
      <c r="T4079" s="13">
        <f t="shared" ref="T4079:Y4079" si="4398">IF(ISBLANK(K4079)=TRUE,0,1)</f>
        <v>1</v>
      </c>
      <c r="U4079" s="13">
        <f t="shared" si="4398"/>
        <v>1</v>
      </c>
      <c r="V4079" s="13">
        <f t="shared" si="4398"/>
        <v>0</v>
      </c>
      <c r="W4079" s="13">
        <f t="shared" si="4398"/>
        <v>0</v>
      </c>
      <c r="X4079" s="13">
        <f t="shared" si="4398"/>
        <v>0</v>
      </c>
      <c r="Y4079" s="13">
        <f t="shared" si="4398"/>
        <v>0</v>
      </c>
      <c r="Z4079" s="13">
        <f t="shared" si="3023"/>
        <v>1</v>
      </c>
      <c r="AA4079" s="13"/>
      <c r="AB4079" s="13"/>
      <c r="AC4079" s="13"/>
      <c r="AD4079" s="13"/>
      <c r="AE4079" s="13"/>
      <c r="AF4079" s="13"/>
      <c r="AG4079" s="13"/>
      <c r="AH4079" s="13"/>
      <c r="AI4079" s="13"/>
      <c r="AJ4079" s="13"/>
      <c r="AK4079" s="13"/>
      <c r="AL4079" s="13"/>
      <c r="AM4079" s="13"/>
      <c r="AN4079" s="13"/>
      <c r="AO4079" s="13"/>
      <c r="AP4079" s="13"/>
      <c r="AQ4079" s="13"/>
      <c r="AR4079" s="13"/>
      <c r="AS4079" s="13"/>
    </row>
    <row r="4080" ht="14.25" customHeight="1">
      <c r="A4080" s="26" t="s">
        <v>46</v>
      </c>
      <c r="B4080" s="31" t="s">
        <v>53</v>
      </c>
      <c r="C4080" s="26">
        <v>101.0</v>
      </c>
      <c r="D4080" s="26" t="s">
        <v>180</v>
      </c>
      <c r="E4080" s="13"/>
      <c r="F4080" s="26"/>
      <c r="G4080" s="26" t="s">
        <v>74</v>
      </c>
      <c r="H4080" s="26" t="s">
        <v>75</v>
      </c>
      <c r="I4080" s="13"/>
      <c r="J4080" s="13"/>
      <c r="K4080" s="15">
        <v>1.0</v>
      </c>
      <c r="L4080" s="15">
        <v>1.0</v>
      </c>
      <c r="M4080" s="16"/>
      <c r="N4080" s="16"/>
      <c r="O4080" s="17"/>
      <c r="P4080" s="17"/>
      <c r="Q4080" s="13"/>
      <c r="R4080" s="13"/>
      <c r="S4080" s="13"/>
      <c r="T4080" s="13">
        <f t="shared" ref="T4080:Y4080" si="4399">IF(ISBLANK(K4080)=TRUE,0,1)</f>
        <v>1</v>
      </c>
      <c r="U4080" s="13">
        <f t="shared" si="4399"/>
        <v>1</v>
      </c>
      <c r="V4080" s="13">
        <f t="shared" si="4399"/>
        <v>0</v>
      </c>
      <c r="W4080" s="13">
        <f t="shared" si="4399"/>
        <v>0</v>
      </c>
      <c r="X4080" s="13">
        <f t="shared" si="4399"/>
        <v>0</v>
      </c>
      <c r="Y4080" s="13">
        <f t="shared" si="4399"/>
        <v>0</v>
      </c>
      <c r="Z4080" s="13">
        <f t="shared" si="3023"/>
        <v>1</v>
      </c>
      <c r="AA4080" s="13"/>
      <c r="AB4080" s="13"/>
      <c r="AC4080" s="13"/>
      <c r="AD4080" s="13"/>
      <c r="AE4080" s="13"/>
      <c r="AF4080" s="13"/>
      <c r="AG4080" s="13"/>
      <c r="AH4080" s="13"/>
      <c r="AI4080" s="13"/>
      <c r="AJ4080" s="13"/>
      <c r="AK4080" s="13"/>
      <c r="AL4080" s="13"/>
      <c r="AM4080" s="13"/>
      <c r="AN4080" s="13"/>
      <c r="AO4080" s="13"/>
      <c r="AP4080" s="13"/>
      <c r="AQ4080" s="13"/>
      <c r="AR4080" s="13"/>
      <c r="AS4080" s="13"/>
    </row>
    <row r="4081" ht="14.25" customHeight="1">
      <c r="A4081" s="26" t="s">
        <v>46</v>
      </c>
      <c r="B4081" s="31" t="s">
        <v>53</v>
      </c>
      <c r="C4081" s="26">
        <v>101.0</v>
      </c>
      <c r="D4081" s="26" t="s">
        <v>181</v>
      </c>
      <c r="E4081" s="13"/>
      <c r="F4081" s="26"/>
      <c r="G4081" s="26" t="s">
        <v>74</v>
      </c>
      <c r="H4081" s="26" t="s">
        <v>75</v>
      </c>
      <c r="I4081" s="13"/>
      <c r="J4081" s="13"/>
      <c r="K4081" s="15">
        <v>1.0</v>
      </c>
      <c r="L4081" s="15">
        <v>1.0</v>
      </c>
      <c r="M4081" s="16"/>
      <c r="N4081" s="16"/>
      <c r="O4081" s="17"/>
      <c r="P4081" s="17"/>
      <c r="Q4081" s="13"/>
      <c r="R4081" s="13"/>
      <c r="S4081" s="13"/>
      <c r="T4081" s="13">
        <f t="shared" ref="T4081:Y4081" si="4400">IF(ISBLANK(K4081)=TRUE,0,1)</f>
        <v>1</v>
      </c>
      <c r="U4081" s="13">
        <f t="shared" si="4400"/>
        <v>1</v>
      </c>
      <c r="V4081" s="13">
        <f t="shared" si="4400"/>
        <v>0</v>
      </c>
      <c r="W4081" s="13">
        <f t="shared" si="4400"/>
        <v>0</v>
      </c>
      <c r="X4081" s="13">
        <f t="shared" si="4400"/>
        <v>0</v>
      </c>
      <c r="Y4081" s="13">
        <f t="shared" si="4400"/>
        <v>0</v>
      </c>
      <c r="Z4081" s="13">
        <f t="shared" si="3023"/>
        <v>1</v>
      </c>
      <c r="AA4081" s="13"/>
      <c r="AB4081" s="13"/>
      <c r="AC4081" s="13"/>
      <c r="AD4081" s="13"/>
      <c r="AE4081" s="13"/>
      <c r="AF4081" s="13"/>
      <c r="AG4081" s="13"/>
      <c r="AH4081" s="13"/>
      <c r="AI4081" s="13"/>
      <c r="AJ4081" s="13"/>
      <c r="AK4081" s="13"/>
      <c r="AL4081" s="13"/>
      <c r="AM4081" s="13"/>
      <c r="AN4081" s="13"/>
      <c r="AO4081" s="13"/>
      <c r="AP4081" s="13"/>
      <c r="AQ4081" s="13"/>
      <c r="AR4081" s="13"/>
      <c r="AS4081" s="13"/>
    </row>
    <row r="4082" ht="14.25" customHeight="1">
      <c r="A4082" s="26" t="s">
        <v>46</v>
      </c>
      <c r="B4082" s="31" t="s">
        <v>53</v>
      </c>
      <c r="C4082" s="26">
        <v>101.0</v>
      </c>
      <c r="D4082" s="26" t="s">
        <v>182</v>
      </c>
      <c r="E4082" s="13"/>
      <c r="F4082" s="26"/>
      <c r="G4082" s="26" t="s">
        <v>74</v>
      </c>
      <c r="H4082" s="26" t="s">
        <v>75</v>
      </c>
      <c r="I4082" s="13"/>
      <c r="J4082" s="13"/>
      <c r="K4082" s="15">
        <v>1.0</v>
      </c>
      <c r="L4082" s="15">
        <v>1.0</v>
      </c>
      <c r="M4082" s="16"/>
      <c r="N4082" s="16"/>
      <c r="O4082" s="17"/>
      <c r="P4082" s="17"/>
      <c r="Q4082" s="13"/>
      <c r="R4082" s="13"/>
      <c r="S4082" s="13"/>
      <c r="T4082" s="13">
        <f t="shared" ref="T4082:Y4082" si="4401">IF(ISBLANK(K4082)=TRUE,0,1)</f>
        <v>1</v>
      </c>
      <c r="U4082" s="13">
        <f t="shared" si="4401"/>
        <v>1</v>
      </c>
      <c r="V4082" s="13">
        <f t="shared" si="4401"/>
        <v>0</v>
      </c>
      <c r="W4082" s="13">
        <f t="shared" si="4401"/>
        <v>0</v>
      </c>
      <c r="X4082" s="13">
        <f t="shared" si="4401"/>
        <v>0</v>
      </c>
      <c r="Y4082" s="13">
        <f t="shared" si="4401"/>
        <v>0</v>
      </c>
      <c r="Z4082" s="13">
        <f t="shared" si="3023"/>
        <v>1</v>
      </c>
      <c r="AA4082" s="13"/>
      <c r="AB4082" s="13"/>
      <c r="AC4082" s="13"/>
      <c r="AD4082" s="13"/>
      <c r="AE4082" s="13"/>
      <c r="AF4082" s="13"/>
      <c r="AG4082" s="13"/>
      <c r="AH4082" s="13"/>
      <c r="AI4082" s="13"/>
      <c r="AJ4082" s="13"/>
      <c r="AK4082" s="13"/>
      <c r="AL4082" s="13"/>
      <c r="AM4082" s="13"/>
      <c r="AN4082" s="13"/>
      <c r="AO4082" s="13"/>
      <c r="AP4082" s="13"/>
      <c r="AQ4082" s="13"/>
      <c r="AR4082" s="13"/>
      <c r="AS4082" s="13"/>
    </row>
    <row r="4083" ht="14.25" customHeight="1">
      <c r="A4083" s="26" t="s">
        <v>46</v>
      </c>
      <c r="B4083" s="31" t="s">
        <v>53</v>
      </c>
      <c r="C4083" s="26">
        <v>101.0</v>
      </c>
      <c r="D4083" s="26" t="s">
        <v>183</v>
      </c>
      <c r="E4083" s="13"/>
      <c r="F4083" s="26"/>
      <c r="G4083" s="26" t="s">
        <v>74</v>
      </c>
      <c r="H4083" s="26" t="s">
        <v>75</v>
      </c>
      <c r="I4083" s="13"/>
      <c r="J4083" s="13"/>
      <c r="K4083" s="15">
        <v>1.0</v>
      </c>
      <c r="L4083" s="15">
        <v>1.0</v>
      </c>
      <c r="M4083" s="16"/>
      <c r="N4083" s="16"/>
      <c r="O4083" s="17"/>
      <c r="P4083" s="17"/>
      <c r="Q4083" s="13"/>
      <c r="R4083" s="13"/>
      <c r="S4083" s="13"/>
      <c r="T4083" s="13">
        <f t="shared" ref="T4083:Y4083" si="4402">IF(ISBLANK(K4083)=TRUE,0,1)</f>
        <v>1</v>
      </c>
      <c r="U4083" s="13">
        <f t="shared" si="4402"/>
        <v>1</v>
      </c>
      <c r="V4083" s="13">
        <f t="shared" si="4402"/>
        <v>0</v>
      </c>
      <c r="W4083" s="13">
        <f t="shared" si="4402"/>
        <v>0</v>
      </c>
      <c r="X4083" s="13">
        <f t="shared" si="4402"/>
        <v>0</v>
      </c>
      <c r="Y4083" s="13">
        <f t="shared" si="4402"/>
        <v>0</v>
      </c>
      <c r="Z4083" s="13">
        <f t="shared" si="3023"/>
        <v>1</v>
      </c>
      <c r="AA4083" s="13"/>
      <c r="AB4083" s="13"/>
      <c r="AC4083" s="13"/>
      <c r="AD4083" s="13"/>
      <c r="AE4083" s="13"/>
      <c r="AF4083" s="13"/>
      <c r="AG4083" s="13"/>
      <c r="AH4083" s="13"/>
      <c r="AI4083" s="13"/>
      <c r="AJ4083" s="13"/>
      <c r="AK4083" s="13"/>
      <c r="AL4083" s="13"/>
      <c r="AM4083" s="13"/>
      <c r="AN4083" s="13"/>
      <c r="AO4083" s="13"/>
      <c r="AP4083" s="13"/>
      <c r="AQ4083" s="13"/>
      <c r="AR4083" s="13"/>
      <c r="AS4083" s="13"/>
    </row>
    <row r="4084" ht="14.25" customHeight="1">
      <c r="A4084" s="26" t="s">
        <v>46</v>
      </c>
      <c r="B4084" s="31" t="s">
        <v>53</v>
      </c>
      <c r="C4084" s="26">
        <v>101.0</v>
      </c>
      <c r="D4084" s="26" t="s">
        <v>184</v>
      </c>
      <c r="E4084" s="13"/>
      <c r="F4084" s="26"/>
      <c r="G4084" s="26" t="s">
        <v>74</v>
      </c>
      <c r="H4084" s="26" t="s">
        <v>75</v>
      </c>
      <c r="I4084" s="13"/>
      <c r="J4084" s="13"/>
      <c r="K4084" s="15">
        <v>1.0</v>
      </c>
      <c r="L4084" s="15">
        <v>1.0</v>
      </c>
      <c r="M4084" s="16"/>
      <c r="N4084" s="16"/>
      <c r="O4084" s="17"/>
      <c r="P4084" s="17"/>
      <c r="Q4084" s="13"/>
      <c r="R4084" s="13"/>
      <c r="S4084" s="13"/>
      <c r="T4084" s="13">
        <f t="shared" ref="T4084:Y4084" si="4403">IF(ISBLANK(K4084)=TRUE,0,1)</f>
        <v>1</v>
      </c>
      <c r="U4084" s="13">
        <f t="shared" si="4403"/>
        <v>1</v>
      </c>
      <c r="V4084" s="13">
        <f t="shared" si="4403"/>
        <v>0</v>
      </c>
      <c r="W4084" s="13">
        <f t="shared" si="4403"/>
        <v>0</v>
      </c>
      <c r="X4084" s="13">
        <f t="shared" si="4403"/>
        <v>0</v>
      </c>
      <c r="Y4084" s="13">
        <f t="shared" si="4403"/>
        <v>0</v>
      </c>
      <c r="Z4084" s="13">
        <f t="shared" si="3023"/>
        <v>1</v>
      </c>
      <c r="AA4084" s="13"/>
      <c r="AB4084" s="13"/>
      <c r="AC4084" s="13"/>
      <c r="AD4084" s="13"/>
      <c r="AE4084" s="13"/>
      <c r="AF4084" s="13"/>
      <c r="AG4084" s="13"/>
      <c r="AH4084" s="13"/>
      <c r="AI4084" s="13"/>
      <c r="AJ4084" s="13"/>
      <c r="AK4084" s="13"/>
      <c r="AL4084" s="13"/>
      <c r="AM4084" s="13"/>
      <c r="AN4084" s="13"/>
      <c r="AO4084" s="13"/>
      <c r="AP4084" s="13"/>
      <c r="AQ4084" s="13"/>
      <c r="AR4084" s="13"/>
      <c r="AS4084" s="13"/>
    </row>
    <row r="4085" ht="14.25" customHeight="1">
      <c r="A4085" s="26" t="s">
        <v>46</v>
      </c>
      <c r="B4085" s="31" t="s">
        <v>53</v>
      </c>
      <c r="C4085" s="26">
        <v>101.0</v>
      </c>
      <c r="D4085" s="26" t="s">
        <v>185</v>
      </c>
      <c r="E4085" s="13"/>
      <c r="F4085" s="26"/>
      <c r="G4085" s="26" t="s">
        <v>74</v>
      </c>
      <c r="H4085" s="26" t="s">
        <v>75</v>
      </c>
      <c r="I4085" s="13"/>
      <c r="J4085" s="13"/>
      <c r="K4085" s="15">
        <v>1.0</v>
      </c>
      <c r="L4085" s="15">
        <v>1.0</v>
      </c>
      <c r="M4085" s="16"/>
      <c r="N4085" s="16"/>
      <c r="O4085" s="17"/>
      <c r="P4085" s="17"/>
      <c r="Q4085" s="13"/>
      <c r="R4085" s="13"/>
      <c r="S4085" s="13"/>
      <c r="T4085" s="13">
        <f t="shared" ref="T4085:Y4085" si="4404">IF(ISBLANK(K4085)=TRUE,0,1)</f>
        <v>1</v>
      </c>
      <c r="U4085" s="13">
        <f t="shared" si="4404"/>
        <v>1</v>
      </c>
      <c r="V4085" s="13">
        <f t="shared" si="4404"/>
        <v>0</v>
      </c>
      <c r="W4085" s="13">
        <f t="shared" si="4404"/>
        <v>0</v>
      </c>
      <c r="X4085" s="13">
        <f t="shared" si="4404"/>
        <v>0</v>
      </c>
      <c r="Y4085" s="13">
        <f t="shared" si="4404"/>
        <v>0</v>
      </c>
      <c r="Z4085" s="13">
        <f t="shared" si="3023"/>
        <v>1</v>
      </c>
      <c r="AA4085" s="13"/>
      <c r="AB4085" s="13"/>
      <c r="AC4085" s="13"/>
      <c r="AD4085" s="13"/>
      <c r="AE4085" s="13"/>
      <c r="AF4085" s="13"/>
      <c r="AG4085" s="13"/>
      <c r="AH4085" s="13"/>
      <c r="AI4085" s="13"/>
      <c r="AJ4085" s="13"/>
      <c r="AK4085" s="13"/>
      <c r="AL4085" s="13"/>
      <c r="AM4085" s="13"/>
      <c r="AN4085" s="13"/>
      <c r="AO4085" s="13"/>
      <c r="AP4085" s="13"/>
      <c r="AQ4085" s="13"/>
      <c r="AR4085" s="13"/>
      <c r="AS4085" s="13"/>
    </row>
    <row r="4086" ht="14.25" customHeight="1">
      <c r="A4086" s="26" t="s">
        <v>46</v>
      </c>
      <c r="B4086" s="31" t="s">
        <v>53</v>
      </c>
      <c r="C4086" s="26">
        <v>101.0</v>
      </c>
      <c r="D4086" s="26" t="s">
        <v>186</v>
      </c>
      <c r="E4086" s="13"/>
      <c r="F4086" s="26"/>
      <c r="G4086" s="26" t="s">
        <v>74</v>
      </c>
      <c r="H4086" s="26" t="s">
        <v>75</v>
      </c>
      <c r="I4086" s="13"/>
      <c r="J4086" s="13"/>
      <c r="K4086" s="15">
        <v>1.0</v>
      </c>
      <c r="L4086" s="15">
        <v>1.0</v>
      </c>
      <c r="M4086" s="16"/>
      <c r="N4086" s="16"/>
      <c r="O4086" s="17"/>
      <c r="P4086" s="17"/>
      <c r="Q4086" s="13"/>
      <c r="R4086" s="13"/>
      <c r="S4086" s="13"/>
      <c r="T4086" s="13">
        <f t="shared" ref="T4086:Y4086" si="4405">IF(ISBLANK(K4086)=TRUE,0,1)</f>
        <v>1</v>
      </c>
      <c r="U4086" s="13">
        <f t="shared" si="4405"/>
        <v>1</v>
      </c>
      <c r="V4086" s="13">
        <f t="shared" si="4405"/>
        <v>0</v>
      </c>
      <c r="W4086" s="13">
        <f t="shared" si="4405"/>
        <v>0</v>
      </c>
      <c r="X4086" s="13">
        <f t="shared" si="4405"/>
        <v>0</v>
      </c>
      <c r="Y4086" s="13">
        <f t="shared" si="4405"/>
        <v>0</v>
      </c>
      <c r="Z4086" s="13">
        <f t="shared" si="3023"/>
        <v>1</v>
      </c>
      <c r="AA4086" s="13"/>
      <c r="AB4086" s="13"/>
      <c r="AC4086" s="13"/>
      <c r="AD4086" s="13"/>
      <c r="AE4086" s="13"/>
      <c r="AF4086" s="13"/>
      <c r="AG4086" s="13"/>
      <c r="AH4086" s="13"/>
      <c r="AI4086" s="13"/>
      <c r="AJ4086" s="13"/>
      <c r="AK4086" s="13"/>
      <c r="AL4086" s="13"/>
      <c r="AM4086" s="13"/>
      <c r="AN4086" s="13"/>
      <c r="AO4086" s="13"/>
      <c r="AP4086" s="13"/>
      <c r="AQ4086" s="13"/>
      <c r="AR4086" s="13"/>
      <c r="AS4086" s="13"/>
    </row>
    <row r="4087" ht="14.25" customHeight="1">
      <c r="A4087" s="26" t="s">
        <v>46</v>
      </c>
      <c r="B4087" s="31" t="s">
        <v>53</v>
      </c>
      <c r="C4087" s="26">
        <v>101.0</v>
      </c>
      <c r="D4087" s="26" t="s">
        <v>187</v>
      </c>
      <c r="E4087" s="13"/>
      <c r="F4087" s="26"/>
      <c r="G4087" s="26" t="s">
        <v>74</v>
      </c>
      <c r="H4087" s="26" t="s">
        <v>75</v>
      </c>
      <c r="I4087" s="13"/>
      <c r="J4087" s="13"/>
      <c r="K4087" s="15">
        <v>1.0</v>
      </c>
      <c r="L4087" s="15">
        <v>1.0</v>
      </c>
      <c r="M4087" s="16"/>
      <c r="N4087" s="16"/>
      <c r="O4087" s="17"/>
      <c r="P4087" s="17"/>
      <c r="Q4087" s="13"/>
      <c r="R4087" s="13"/>
      <c r="S4087" s="13"/>
      <c r="T4087" s="13">
        <f t="shared" ref="T4087:Y4087" si="4406">IF(ISBLANK(K4087)=TRUE,0,1)</f>
        <v>1</v>
      </c>
      <c r="U4087" s="13">
        <f t="shared" si="4406"/>
        <v>1</v>
      </c>
      <c r="V4087" s="13">
        <f t="shared" si="4406"/>
        <v>0</v>
      </c>
      <c r="W4087" s="13">
        <f t="shared" si="4406"/>
        <v>0</v>
      </c>
      <c r="X4087" s="13">
        <f t="shared" si="4406"/>
        <v>0</v>
      </c>
      <c r="Y4087" s="13">
        <f t="shared" si="4406"/>
        <v>0</v>
      </c>
      <c r="Z4087" s="13">
        <f t="shared" si="3023"/>
        <v>1</v>
      </c>
      <c r="AA4087" s="13"/>
      <c r="AB4087" s="13"/>
      <c r="AC4087" s="13"/>
      <c r="AD4087" s="13"/>
      <c r="AE4087" s="13"/>
      <c r="AF4087" s="13"/>
      <c r="AG4087" s="13"/>
      <c r="AH4087" s="13"/>
      <c r="AI4087" s="13"/>
      <c r="AJ4087" s="13"/>
      <c r="AK4087" s="13"/>
      <c r="AL4087" s="13"/>
      <c r="AM4087" s="13"/>
      <c r="AN4087" s="13"/>
      <c r="AO4087" s="13"/>
      <c r="AP4087" s="13"/>
      <c r="AQ4087" s="13"/>
      <c r="AR4087" s="13"/>
      <c r="AS4087" s="13"/>
    </row>
    <row r="4088" ht="14.25" customHeight="1">
      <c r="A4088" s="26" t="s">
        <v>46</v>
      </c>
      <c r="B4088" s="31" t="s">
        <v>53</v>
      </c>
      <c r="C4088" s="26">
        <v>101.0</v>
      </c>
      <c r="D4088" s="26" t="s">
        <v>188</v>
      </c>
      <c r="E4088" s="13"/>
      <c r="F4088" s="26"/>
      <c r="G4088" s="26" t="s">
        <v>74</v>
      </c>
      <c r="H4088" s="26" t="s">
        <v>75</v>
      </c>
      <c r="I4088" s="13"/>
      <c r="J4088" s="13"/>
      <c r="K4088" s="15">
        <v>1.0</v>
      </c>
      <c r="L4088" s="15">
        <v>1.0</v>
      </c>
      <c r="M4088" s="16"/>
      <c r="N4088" s="16"/>
      <c r="O4088" s="17"/>
      <c r="P4088" s="17"/>
      <c r="Q4088" s="13"/>
      <c r="R4088" s="13"/>
      <c r="S4088" s="13"/>
      <c r="T4088" s="13">
        <f t="shared" ref="T4088:Y4088" si="4407">IF(ISBLANK(K4088)=TRUE,0,1)</f>
        <v>1</v>
      </c>
      <c r="U4088" s="13">
        <f t="shared" si="4407"/>
        <v>1</v>
      </c>
      <c r="V4088" s="13">
        <f t="shared" si="4407"/>
        <v>0</v>
      </c>
      <c r="W4088" s="13">
        <f t="shared" si="4407"/>
        <v>0</v>
      </c>
      <c r="X4088" s="13">
        <f t="shared" si="4407"/>
        <v>0</v>
      </c>
      <c r="Y4088" s="13">
        <f t="shared" si="4407"/>
        <v>0</v>
      </c>
      <c r="Z4088" s="13">
        <f t="shared" si="3023"/>
        <v>1</v>
      </c>
      <c r="AA4088" s="13"/>
      <c r="AB4088" s="13"/>
      <c r="AC4088" s="13"/>
      <c r="AD4088" s="13"/>
      <c r="AE4088" s="13"/>
      <c r="AF4088" s="13"/>
      <c r="AG4088" s="13"/>
      <c r="AH4088" s="13"/>
      <c r="AI4088" s="13"/>
      <c r="AJ4088" s="13"/>
      <c r="AK4088" s="13"/>
      <c r="AL4088" s="13"/>
      <c r="AM4088" s="13"/>
      <c r="AN4088" s="13"/>
      <c r="AO4088" s="13"/>
      <c r="AP4088" s="13"/>
      <c r="AQ4088" s="13"/>
      <c r="AR4088" s="13"/>
      <c r="AS4088" s="13"/>
    </row>
    <row r="4089" ht="14.25" customHeight="1">
      <c r="A4089" s="26" t="s">
        <v>46</v>
      </c>
      <c r="B4089" s="31" t="s">
        <v>53</v>
      </c>
      <c r="C4089" s="26">
        <v>101.0</v>
      </c>
      <c r="D4089" s="26" t="s">
        <v>190</v>
      </c>
      <c r="E4089" s="13"/>
      <c r="F4089" s="26"/>
      <c r="G4089" s="26" t="s">
        <v>74</v>
      </c>
      <c r="H4089" s="26" t="s">
        <v>75</v>
      </c>
      <c r="I4089" s="13"/>
      <c r="J4089" s="13"/>
      <c r="K4089" s="15">
        <v>1.0</v>
      </c>
      <c r="L4089" s="15">
        <v>1.0</v>
      </c>
      <c r="M4089" s="16"/>
      <c r="N4089" s="16"/>
      <c r="O4089" s="17"/>
      <c r="P4089" s="17"/>
      <c r="Q4089" s="13"/>
      <c r="R4089" s="13"/>
      <c r="S4089" s="13"/>
      <c r="T4089" s="13">
        <f t="shared" ref="T4089:Y4089" si="4408">IF(ISBLANK(K4089)=TRUE,0,1)</f>
        <v>1</v>
      </c>
      <c r="U4089" s="13">
        <f t="shared" si="4408"/>
        <v>1</v>
      </c>
      <c r="V4089" s="13">
        <f t="shared" si="4408"/>
        <v>0</v>
      </c>
      <c r="W4089" s="13">
        <f t="shared" si="4408"/>
        <v>0</v>
      </c>
      <c r="X4089" s="13">
        <f t="shared" si="4408"/>
        <v>0</v>
      </c>
      <c r="Y4089" s="13">
        <f t="shared" si="4408"/>
        <v>0</v>
      </c>
      <c r="Z4089" s="13">
        <f t="shared" si="3023"/>
        <v>1</v>
      </c>
      <c r="AA4089" s="13"/>
      <c r="AB4089" s="13"/>
      <c r="AC4089" s="13"/>
      <c r="AD4089" s="13"/>
      <c r="AE4089" s="13"/>
      <c r="AF4089" s="13"/>
      <c r="AG4089" s="13"/>
      <c r="AH4089" s="13"/>
      <c r="AI4089" s="13"/>
      <c r="AJ4089" s="13"/>
      <c r="AK4089" s="13"/>
      <c r="AL4089" s="13"/>
      <c r="AM4089" s="13"/>
      <c r="AN4089" s="13"/>
      <c r="AO4089" s="13"/>
      <c r="AP4089" s="13"/>
      <c r="AQ4089" s="13"/>
      <c r="AR4089" s="13"/>
      <c r="AS4089" s="13"/>
    </row>
    <row r="4090" ht="14.25" customHeight="1">
      <c r="A4090" s="26" t="s">
        <v>46</v>
      </c>
      <c r="B4090" s="31" t="s">
        <v>53</v>
      </c>
      <c r="C4090" s="26">
        <v>101.0</v>
      </c>
      <c r="D4090" s="26" t="s">
        <v>191</v>
      </c>
      <c r="E4090" s="13"/>
      <c r="F4090" s="26"/>
      <c r="G4090" s="26" t="s">
        <v>74</v>
      </c>
      <c r="H4090" s="26" t="s">
        <v>75</v>
      </c>
      <c r="I4090" s="13"/>
      <c r="J4090" s="13"/>
      <c r="K4090" s="15">
        <v>1.0</v>
      </c>
      <c r="L4090" s="15">
        <v>1.0</v>
      </c>
      <c r="M4090" s="16"/>
      <c r="N4090" s="16"/>
      <c r="O4090" s="17"/>
      <c r="P4090" s="17"/>
      <c r="Q4090" s="13"/>
      <c r="R4090" s="13"/>
      <c r="S4090" s="13"/>
      <c r="T4090" s="13">
        <f t="shared" ref="T4090:Y4090" si="4409">IF(ISBLANK(K4090)=TRUE,0,1)</f>
        <v>1</v>
      </c>
      <c r="U4090" s="13">
        <f t="shared" si="4409"/>
        <v>1</v>
      </c>
      <c r="V4090" s="13">
        <f t="shared" si="4409"/>
        <v>0</v>
      </c>
      <c r="W4090" s="13">
        <f t="shared" si="4409"/>
        <v>0</v>
      </c>
      <c r="X4090" s="13">
        <f t="shared" si="4409"/>
        <v>0</v>
      </c>
      <c r="Y4090" s="13">
        <f t="shared" si="4409"/>
        <v>0</v>
      </c>
      <c r="Z4090" s="13">
        <f t="shared" si="3023"/>
        <v>1</v>
      </c>
      <c r="AA4090" s="13"/>
      <c r="AB4090" s="13"/>
      <c r="AC4090" s="13"/>
      <c r="AD4090" s="13"/>
      <c r="AE4090" s="13"/>
      <c r="AF4090" s="13"/>
      <c r="AG4090" s="13"/>
      <c r="AH4090" s="13"/>
      <c r="AI4090" s="13"/>
      <c r="AJ4090" s="13"/>
      <c r="AK4090" s="13"/>
      <c r="AL4090" s="13"/>
      <c r="AM4090" s="13"/>
      <c r="AN4090" s="13"/>
      <c r="AO4090" s="13"/>
      <c r="AP4090" s="13"/>
      <c r="AQ4090" s="13"/>
      <c r="AR4090" s="13"/>
      <c r="AS4090" s="13"/>
    </row>
    <row r="4091" ht="14.25" customHeight="1">
      <c r="A4091" s="26" t="s">
        <v>46</v>
      </c>
      <c r="B4091" s="31" t="s">
        <v>53</v>
      </c>
      <c r="C4091" s="26">
        <v>101.0</v>
      </c>
      <c r="D4091" s="26" t="s">
        <v>192</v>
      </c>
      <c r="E4091" s="13"/>
      <c r="F4091" s="26"/>
      <c r="G4091" s="26" t="s">
        <v>74</v>
      </c>
      <c r="H4091" s="26" t="s">
        <v>75</v>
      </c>
      <c r="I4091" s="13"/>
      <c r="J4091" s="13"/>
      <c r="K4091" s="15">
        <v>1.0</v>
      </c>
      <c r="L4091" s="15">
        <v>1.0</v>
      </c>
      <c r="M4091" s="16"/>
      <c r="N4091" s="16"/>
      <c r="O4091" s="17"/>
      <c r="P4091" s="17"/>
      <c r="Q4091" s="13"/>
      <c r="R4091" s="13"/>
      <c r="S4091" s="13"/>
      <c r="T4091" s="13">
        <f t="shared" ref="T4091:Y4091" si="4410">IF(ISBLANK(K4091)=TRUE,0,1)</f>
        <v>1</v>
      </c>
      <c r="U4091" s="13">
        <f t="shared" si="4410"/>
        <v>1</v>
      </c>
      <c r="V4091" s="13">
        <f t="shared" si="4410"/>
        <v>0</v>
      </c>
      <c r="W4091" s="13">
        <f t="shared" si="4410"/>
        <v>0</v>
      </c>
      <c r="X4091" s="13">
        <f t="shared" si="4410"/>
        <v>0</v>
      </c>
      <c r="Y4091" s="13">
        <f t="shared" si="4410"/>
        <v>0</v>
      </c>
      <c r="Z4091" s="13">
        <f t="shared" si="3023"/>
        <v>1</v>
      </c>
      <c r="AA4091" s="13"/>
      <c r="AB4091" s="13"/>
      <c r="AC4091" s="13"/>
      <c r="AD4091" s="13"/>
      <c r="AE4091" s="13"/>
      <c r="AF4091" s="13"/>
      <c r="AG4091" s="13"/>
      <c r="AH4091" s="13"/>
      <c r="AI4091" s="13"/>
      <c r="AJ4091" s="13"/>
      <c r="AK4091" s="13"/>
      <c r="AL4091" s="13"/>
      <c r="AM4091" s="13"/>
      <c r="AN4091" s="13"/>
      <c r="AO4091" s="13"/>
      <c r="AP4091" s="13"/>
      <c r="AQ4091" s="13"/>
      <c r="AR4091" s="13"/>
      <c r="AS4091" s="13"/>
    </row>
    <row r="4092" ht="14.25" customHeight="1">
      <c r="A4092" s="26" t="s">
        <v>46</v>
      </c>
      <c r="B4092" s="31" t="s">
        <v>53</v>
      </c>
      <c r="C4092" s="26">
        <v>101.0</v>
      </c>
      <c r="D4092" s="26" t="s">
        <v>193</v>
      </c>
      <c r="E4092" s="13"/>
      <c r="F4092" s="26"/>
      <c r="G4092" s="26" t="s">
        <v>74</v>
      </c>
      <c r="H4092" s="26" t="s">
        <v>75</v>
      </c>
      <c r="I4092" s="13"/>
      <c r="J4092" s="13"/>
      <c r="K4092" s="15">
        <v>1.0</v>
      </c>
      <c r="L4092" s="15">
        <v>1.0</v>
      </c>
      <c r="M4092" s="16"/>
      <c r="N4092" s="16"/>
      <c r="O4092" s="17"/>
      <c r="P4092" s="17"/>
      <c r="Q4092" s="13"/>
      <c r="R4092" s="13"/>
      <c r="S4092" s="13"/>
      <c r="T4092" s="13">
        <f t="shared" ref="T4092:Y4092" si="4411">IF(ISBLANK(K4092)=TRUE,0,1)</f>
        <v>1</v>
      </c>
      <c r="U4092" s="13">
        <f t="shared" si="4411"/>
        <v>1</v>
      </c>
      <c r="V4092" s="13">
        <f t="shared" si="4411"/>
        <v>0</v>
      </c>
      <c r="W4092" s="13">
        <f t="shared" si="4411"/>
        <v>0</v>
      </c>
      <c r="X4092" s="13">
        <f t="shared" si="4411"/>
        <v>0</v>
      </c>
      <c r="Y4092" s="13">
        <f t="shared" si="4411"/>
        <v>0</v>
      </c>
      <c r="Z4092" s="13">
        <f t="shared" si="3023"/>
        <v>1</v>
      </c>
      <c r="AA4092" s="13"/>
      <c r="AB4092" s="13"/>
      <c r="AC4092" s="13"/>
      <c r="AD4092" s="13"/>
      <c r="AE4092" s="13"/>
      <c r="AF4092" s="13"/>
      <c r="AG4092" s="13"/>
      <c r="AH4092" s="13"/>
      <c r="AI4092" s="13"/>
      <c r="AJ4092" s="13"/>
      <c r="AK4092" s="13"/>
      <c r="AL4092" s="13"/>
      <c r="AM4092" s="13"/>
      <c r="AN4092" s="13"/>
      <c r="AO4092" s="13"/>
      <c r="AP4092" s="13"/>
      <c r="AQ4092" s="13"/>
      <c r="AR4092" s="13"/>
      <c r="AS4092" s="13"/>
    </row>
    <row r="4093" ht="14.25" customHeight="1">
      <c r="A4093" s="26" t="s">
        <v>46</v>
      </c>
      <c r="B4093" s="31" t="s">
        <v>53</v>
      </c>
      <c r="C4093" s="26">
        <v>101.0</v>
      </c>
      <c r="D4093" s="26" t="s">
        <v>194</v>
      </c>
      <c r="E4093" s="13"/>
      <c r="F4093" s="26"/>
      <c r="G4093" s="26" t="s">
        <v>74</v>
      </c>
      <c r="H4093" s="26" t="s">
        <v>75</v>
      </c>
      <c r="I4093" s="13"/>
      <c r="J4093" s="13"/>
      <c r="K4093" s="15">
        <v>1.0</v>
      </c>
      <c r="L4093" s="15">
        <v>1.0</v>
      </c>
      <c r="M4093" s="16"/>
      <c r="N4093" s="16"/>
      <c r="O4093" s="17"/>
      <c r="P4093" s="17"/>
      <c r="Q4093" s="13"/>
      <c r="R4093" s="13"/>
      <c r="S4093" s="13"/>
      <c r="T4093" s="13">
        <f t="shared" ref="T4093:Y4093" si="4412">IF(ISBLANK(K4093)=TRUE,0,1)</f>
        <v>1</v>
      </c>
      <c r="U4093" s="13">
        <f t="shared" si="4412"/>
        <v>1</v>
      </c>
      <c r="V4093" s="13">
        <f t="shared" si="4412"/>
        <v>0</v>
      </c>
      <c r="W4093" s="13">
        <f t="shared" si="4412"/>
        <v>0</v>
      </c>
      <c r="X4093" s="13">
        <f t="shared" si="4412"/>
        <v>0</v>
      </c>
      <c r="Y4093" s="13">
        <f t="shared" si="4412"/>
        <v>0</v>
      </c>
      <c r="Z4093" s="13">
        <f t="shared" si="3023"/>
        <v>1</v>
      </c>
      <c r="AA4093" s="13"/>
      <c r="AB4093" s="13"/>
      <c r="AC4093" s="13"/>
      <c r="AD4093" s="13"/>
      <c r="AE4093" s="13"/>
      <c r="AF4093" s="13"/>
      <c r="AG4093" s="13"/>
      <c r="AH4093" s="13"/>
      <c r="AI4093" s="13"/>
      <c r="AJ4093" s="13"/>
      <c r="AK4093" s="13"/>
      <c r="AL4093" s="13"/>
      <c r="AM4093" s="13"/>
      <c r="AN4093" s="13"/>
      <c r="AO4093" s="13"/>
      <c r="AP4093" s="13"/>
      <c r="AQ4093" s="13"/>
      <c r="AR4093" s="13"/>
      <c r="AS4093" s="13"/>
    </row>
    <row r="4094" ht="14.25" customHeight="1">
      <c r="A4094" s="26" t="s">
        <v>46</v>
      </c>
      <c r="B4094" s="31" t="s">
        <v>53</v>
      </c>
      <c r="C4094" s="26">
        <v>101.0</v>
      </c>
      <c r="D4094" s="26" t="s">
        <v>195</v>
      </c>
      <c r="E4094" s="13"/>
      <c r="F4094" s="26"/>
      <c r="G4094" s="26" t="s">
        <v>74</v>
      </c>
      <c r="H4094" s="26" t="s">
        <v>75</v>
      </c>
      <c r="I4094" s="13"/>
      <c r="J4094" s="13"/>
      <c r="K4094" s="15">
        <v>1.0</v>
      </c>
      <c r="L4094" s="15">
        <v>1.0</v>
      </c>
      <c r="M4094" s="16"/>
      <c r="N4094" s="16"/>
      <c r="O4094" s="17"/>
      <c r="P4094" s="17"/>
      <c r="Q4094" s="13"/>
      <c r="R4094" s="13"/>
      <c r="S4094" s="13"/>
      <c r="T4094" s="13">
        <f t="shared" ref="T4094:Y4094" si="4413">IF(ISBLANK(K4094)=TRUE,0,1)</f>
        <v>1</v>
      </c>
      <c r="U4094" s="13">
        <f t="shared" si="4413"/>
        <v>1</v>
      </c>
      <c r="V4094" s="13">
        <f t="shared" si="4413"/>
        <v>0</v>
      </c>
      <c r="W4094" s="13">
        <f t="shared" si="4413"/>
        <v>0</v>
      </c>
      <c r="X4094" s="13">
        <f t="shared" si="4413"/>
        <v>0</v>
      </c>
      <c r="Y4094" s="13">
        <f t="shared" si="4413"/>
        <v>0</v>
      </c>
      <c r="Z4094" s="13">
        <f t="shared" si="3023"/>
        <v>1</v>
      </c>
      <c r="AA4094" s="13"/>
      <c r="AB4094" s="13"/>
      <c r="AC4094" s="13"/>
      <c r="AD4094" s="13"/>
      <c r="AE4094" s="13"/>
      <c r="AF4094" s="13"/>
      <c r="AG4094" s="13"/>
      <c r="AH4094" s="13"/>
      <c r="AI4094" s="13"/>
      <c r="AJ4094" s="13"/>
      <c r="AK4094" s="13"/>
      <c r="AL4094" s="13"/>
      <c r="AM4094" s="13"/>
      <c r="AN4094" s="13"/>
      <c r="AO4094" s="13"/>
      <c r="AP4094" s="13"/>
      <c r="AQ4094" s="13"/>
      <c r="AR4094" s="13"/>
      <c r="AS4094" s="13"/>
    </row>
    <row r="4095" ht="14.25" customHeight="1">
      <c r="A4095" s="26" t="s">
        <v>46</v>
      </c>
      <c r="B4095" s="31" t="s">
        <v>53</v>
      </c>
      <c r="C4095" s="26">
        <v>101.0</v>
      </c>
      <c r="D4095" s="26" t="s">
        <v>196</v>
      </c>
      <c r="E4095" s="13"/>
      <c r="F4095" s="26"/>
      <c r="G4095" s="26" t="s">
        <v>74</v>
      </c>
      <c r="H4095" s="26" t="s">
        <v>75</v>
      </c>
      <c r="I4095" s="13"/>
      <c r="J4095" s="13"/>
      <c r="K4095" s="15">
        <v>1.0</v>
      </c>
      <c r="L4095" s="15">
        <v>1.0</v>
      </c>
      <c r="M4095" s="16"/>
      <c r="N4095" s="16"/>
      <c r="O4095" s="17"/>
      <c r="P4095" s="17"/>
      <c r="Q4095" s="13"/>
      <c r="R4095" s="13"/>
      <c r="S4095" s="13"/>
      <c r="T4095" s="13">
        <f t="shared" ref="T4095:Y4095" si="4414">IF(ISBLANK(K4095)=TRUE,0,1)</f>
        <v>1</v>
      </c>
      <c r="U4095" s="13">
        <f t="shared" si="4414"/>
        <v>1</v>
      </c>
      <c r="V4095" s="13">
        <f t="shared" si="4414"/>
        <v>0</v>
      </c>
      <c r="W4095" s="13">
        <f t="shared" si="4414"/>
        <v>0</v>
      </c>
      <c r="X4095" s="13">
        <f t="shared" si="4414"/>
        <v>0</v>
      </c>
      <c r="Y4095" s="13">
        <f t="shared" si="4414"/>
        <v>0</v>
      </c>
      <c r="Z4095" s="13">
        <f t="shared" si="3023"/>
        <v>1</v>
      </c>
      <c r="AA4095" s="13"/>
      <c r="AB4095" s="13"/>
      <c r="AC4095" s="13"/>
      <c r="AD4095" s="13"/>
      <c r="AE4095" s="13"/>
      <c r="AF4095" s="13"/>
      <c r="AG4095" s="13"/>
      <c r="AH4095" s="13"/>
      <c r="AI4095" s="13"/>
      <c r="AJ4095" s="13"/>
      <c r="AK4095" s="13"/>
      <c r="AL4095" s="13"/>
      <c r="AM4095" s="13"/>
      <c r="AN4095" s="13"/>
      <c r="AO4095" s="13"/>
      <c r="AP4095" s="13"/>
      <c r="AQ4095" s="13"/>
      <c r="AR4095" s="13"/>
      <c r="AS4095" s="13"/>
    </row>
    <row r="4096" ht="14.25" customHeight="1">
      <c r="A4096" s="26" t="s">
        <v>46</v>
      </c>
      <c r="B4096" s="31" t="s">
        <v>53</v>
      </c>
      <c r="C4096" s="26">
        <v>101.0</v>
      </c>
      <c r="D4096" s="26" t="s">
        <v>197</v>
      </c>
      <c r="E4096" s="13"/>
      <c r="F4096" s="26"/>
      <c r="G4096" s="26" t="s">
        <v>74</v>
      </c>
      <c r="H4096" s="26" t="s">
        <v>75</v>
      </c>
      <c r="I4096" s="13"/>
      <c r="J4096" s="13"/>
      <c r="K4096" s="15">
        <v>1.0</v>
      </c>
      <c r="L4096" s="15">
        <v>1.0</v>
      </c>
      <c r="M4096" s="16"/>
      <c r="N4096" s="16"/>
      <c r="O4096" s="17"/>
      <c r="P4096" s="17"/>
      <c r="Q4096" s="13"/>
      <c r="R4096" s="13"/>
      <c r="S4096" s="13"/>
      <c r="T4096" s="13">
        <f t="shared" ref="T4096:Y4096" si="4415">IF(ISBLANK(K4096)=TRUE,0,1)</f>
        <v>1</v>
      </c>
      <c r="U4096" s="13">
        <f t="shared" si="4415"/>
        <v>1</v>
      </c>
      <c r="V4096" s="13">
        <f t="shared" si="4415"/>
        <v>0</v>
      </c>
      <c r="W4096" s="13">
        <f t="shared" si="4415"/>
        <v>0</v>
      </c>
      <c r="X4096" s="13">
        <f t="shared" si="4415"/>
        <v>0</v>
      </c>
      <c r="Y4096" s="13">
        <f t="shared" si="4415"/>
        <v>0</v>
      </c>
      <c r="Z4096" s="13">
        <f t="shared" si="3023"/>
        <v>1</v>
      </c>
      <c r="AA4096" s="13"/>
      <c r="AB4096" s="13"/>
      <c r="AC4096" s="13"/>
      <c r="AD4096" s="13"/>
      <c r="AE4096" s="13"/>
      <c r="AF4096" s="13"/>
      <c r="AG4096" s="13"/>
      <c r="AH4096" s="13"/>
      <c r="AI4096" s="13"/>
      <c r="AJ4096" s="13"/>
      <c r="AK4096" s="13"/>
      <c r="AL4096" s="13"/>
      <c r="AM4096" s="13"/>
      <c r="AN4096" s="13"/>
      <c r="AO4096" s="13"/>
      <c r="AP4096" s="13"/>
      <c r="AQ4096" s="13"/>
      <c r="AR4096" s="13"/>
      <c r="AS4096" s="13"/>
    </row>
    <row r="4097" ht="14.25" customHeight="1">
      <c r="A4097" s="26" t="s">
        <v>46</v>
      </c>
      <c r="B4097" s="31" t="s">
        <v>53</v>
      </c>
      <c r="C4097" s="26">
        <v>101.0</v>
      </c>
      <c r="D4097" s="26" t="s">
        <v>433</v>
      </c>
      <c r="E4097" s="13"/>
      <c r="F4097" s="26"/>
      <c r="G4097" s="26" t="s">
        <v>74</v>
      </c>
      <c r="H4097" s="26" t="s">
        <v>75</v>
      </c>
      <c r="I4097" s="13"/>
      <c r="J4097" s="13"/>
      <c r="K4097" s="15">
        <v>1.0</v>
      </c>
      <c r="L4097" s="15">
        <v>1.0</v>
      </c>
      <c r="M4097" s="16"/>
      <c r="N4097" s="16"/>
      <c r="O4097" s="17"/>
      <c r="P4097" s="17"/>
      <c r="Q4097" s="13"/>
      <c r="R4097" s="13"/>
      <c r="S4097" s="13"/>
      <c r="T4097" s="13">
        <f t="shared" ref="T4097:Y4097" si="4416">IF(ISBLANK(K4097)=TRUE,0,1)</f>
        <v>1</v>
      </c>
      <c r="U4097" s="13">
        <f t="shared" si="4416"/>
        <v>1</v>
      </c>
      <c r="V4097" s="13">
        <f t="shared" si="4416"/>
        <v>0</v>
      </c>
      <c r="W4097" s="13">
        <f t="shared" si="4416"/>
        <v>0</v>
      </c>
      <c r="X4097" s="13">
        <f t="shared" si="4416"/>
        <v>0</v>
      </c>
      <c r="Y4097" s="13">
        <f t="shared" si="4416"/>
        <v>0</v>
      </c>
      <c r="Z4097" s="13">
        <f t="shared" si="3023"/>
        <v>1</v>
      </c>
      <c r="AA4097" s="13"/>
      <c r="AB4097" s="13"/>
      <c r="AC4097" s="13"/>
      <c r="AD4097" s="13"/>
      <c r="AE4097" s="13"/>
      <c r="AF4097" s="13"/>
      <c r="AG4097" s="13"/>
      <c r="AH4097" s="13"/>
      <c r="AI4097" s="13"/>
      <c r="AJ4097" s="13"/>
      <c r="AK4097" s="13"/>
      <c r="AL4097" s="13"/>
      <c r="AM4097" s="13"/>
      <c r="AN4097" s="13"/>
      <c r="AO4097" s="13"/>
      <c r="AP4097" s="13"/>
      <c r="AQ4097" s="13"/>
      <c r="AR4097" s="13"/>
      <c r="AS4097" s="13"/>
    </row>
    <row r="4098" ht="14.25" customHeight="1">
      <c r="A4098" s="26" t="s">
        <v>46</v>
      </c>
      <c r="B4098" s="31" t="s">
        <v>53</v>
      </c>
      <c r="C4098" s="26">
        <v>101.0</v>
      </c>
      <c r="D4098" s="26" t="s">
        <v>434</v>
      </c>
      <c r="E4098" s="13"/>
      <c r="F4098" s="26"/>
      <c r="G4098" s="26" t="s">
        <v>74</v>
      </c>
      <c r="H4098" s="26" t="s">
        <v>75</v>
      </c>
      <c r="I4098" s="13"/>
      <c r="J4098" s="13"/>
      <c r="K4098" s="15">
        <v>1.0</v>
      </c>
      <c r="L4098" s="15">
        <v>1.0</v>
      </c>
      <c r="M4098" s="16"/>
      <c r="N4098" s="16"/>
      <c r="O4098" s="17"/>
      <c r="P4098" s="17"/>
      <c r="Q4098" s="13"/>
      <c r="R4098" s="13"/>
      <c r="S4098" s="13"/>
      <c r="T4098" s="13">
        <f t="shared" ref="T4098:Y4098" si="4417">IF(ISBLANK(K4098)=TRUE,0,1)</f>
        <v>1</v>
      </c>
      <c r="U4098" s="13">
        <f t="shared" si="4417"/>
        <v>1</v>
      </c>
      <c r="V4098" s="13">
        <f t="shared" si="4417"/>
        <v>0</v>
      </c>
      <c r="W4098" s="13">
        <f t="shared" si="4417"/>
        <v>0</v>
      </c>
      <c r="X4098" s="13">
        <f t="shared" si="4417"/>
        <v>0</v>
      </c>
      <c r="Y4098" s="13">
        <f t="shared" si="4417"/>
        <v>0</v>
      </c>
      <c r="Z4098" s="13">
        <f t="shared" si="3023"/>
        <v>1</v>
      </c>
      <c r="AA4098" s="13"/>
      <c r="AB4098" s="13"/>
      <c r="AC4098" s="13"/>
      <c r="AD4098" s="13"/>
      <c r="AE4098" s="13"/>
      <c r="AF4098" s="13"/>
      <c r="AG4098" s="13"/>
      <c r="AH4098" s="13"/>
      <c r="AI4098" s="13"/>
      <c r="AJ4098" s="13"/>
      <c r="AK4098" s="13"/>
      <c r="AL4098" s="13"/>
      <c r="AM4098" s="13"/>
      <c r="AN4098" s="13"/>
      <c r="AO4098" s="13"/>
      <c r="AP4098" s="13"/>
      <c r="AQ4098" s="13"/>
      <c r="AR4098" s="13"/>
      <c r="AS4098" s="13"/>
    </row>
    <row r="4099" ht="14.25" customHeight="1">
      <c r="A4099" s="26" t="s">
        <v>46</v>
      </c>
      <c r="B4099" s="31" t="s">
        <v>53</v>
      </c>
      <c r="C4099" s="26">
        <v>221.0</v>
      </c>
      <c r="D4099" s="26" t="s">
        <v>174</v>
      </c>
      <c r="E4099" s="13"/>
      <c r="F4099" s="26"/>
      <c r="G4099" s="26" t="s">
        <v>111</v>
      </c>
      <c r="H4099" s="26" t="s">
        <v>75</v>
      </c>
      <c r="I4099" s="13"/>
      <c r="J4099" s="13"/>
      <c r="K4099" s="15">
        <v>1.0</v>
      </c>
      <c r="L4099" s="15">
        <v>1.0</v>
      </c>
      <c r="M4099" s="16"/>
      <c r="N4099" s="16"/>
      <c r="O4099" s="17"/>
      <c r="P4099" s="17"/>
      <c r="Q4099" s="13"/>
      <c r="R4099" s="13"/>
      <c r="S4099" s="13"/>
      <c r="T4099" s="13">
        <f t="shared" ref="T4099:Y4099" si="4418">IF(ISBLANK(K4099)=TRUE,0,1)</f>
        <v>1</v>
      </c>
      <c r="U4099" s="13">
        <f t="shared" si="4418"/>
        <v>1</v>
      </c>
      <c r="V4099" s="13">
        <f t="shared" si="4418"/>
        <v>0</v>
      </c>
      <c r="W4099" s="13">
        <f t="shared" si="4418"/>
        <v>0</v>
      </c>
      <c r="X4099" s="13">
        <f t="shared" si="4418"/>
        <v>0</v>
      </c>
      <c r="Y4099" s="13">
        <f t="shared" si="4418"/>
        <v>0</v>
      </c>
      <c r="Z4099" s="13">
        <f t="shared" si="3023"/>
        <v>1</v>
      </c>
      <c r="AA4099" s="13"/>
      <c r="AB4099" s="13"/>
      <c r="AC4099" s="13"/>
      <c r="AD4099" s="13"/>
      <c r="AE4099" s="13"/>
      <c r="AF4099" s="13"/>
      <c r="AG4099" s="13"/>
      <c r="AH4099" s="13"/>
      <c r="AI4099" s="13"/>
      <c r="AJ4099" s="13"/>
      <c r="AK4099" s="13"/>
      <c r="AL4099" s="13"/>
      <c r="AM4099" s="13"/>
      <c r="AN4099" s="13"/>
      <c r="AO4099" s="13"/>
      <c r="AP4099" s="13"/>
      <c r="AQ4099" s="13"/>
      <c r="AR4099" s="13"/>
      <c r="AS4099" s="13"/>
    </row>
    <row r="4100" ht="14.25" customHeight="1">
      <c r="A4100" s="26" t="s">
        <v>46</v>
      </c>
      <c r="B4100" s="31" t="s">
        <v>53</v>
      </c>
      <c r="C4100" s="26">
        <v>221.0</v>
      </c>
      <c r="D4100" s="26" t="s">
        <v>175</v>
      </c>
      <c r="E4100" s="13"/>
      <c r="F4100" s="26"/>
      <c r="G4100" s="26" t="s">
        <v>111</v>
      </c>
      <c r="H4100" s="26" t="s">
        <v>75</v>
      </c>
      <c r="I4100" s="13"/>
      <c r="J4100" s="13"/>
      <c r="K4100" s="15">
        <v>1.0</v>
      </c>
      <c r="L4100" s="15">
        <v>1.0</v>
      </c>
      <c r="M4100" s="16"/>
      <c r="N4100" s="16"/>
      <c r="O4100" s="17"/>
      <c r="P4100" s="17"/>
      <c r="Q4100" s="13"/>
      <c r="R4100" s="13"/>
      <c r="S4100" s="13"/>
      <c r="T4100" s="13">
        <f t="shared" ref="T4100:Y4100" si="4419">IF(ISBLANK(K4100)=TRUE,0,1)</f>
        <v>1</v>
      </c>
      <c r="U4100" s="13">
        <f t="shared" si="4419"/>
        <v>1</v>
      </c>
      <c r="V4100" s="13">
        <f t="shared" si="4419"/>
        <v>0</v>
      </c>
      <c r="W4100" s="13">
        <f t="shared" si="4419"/>
        <v>0</v>
      </c>
      <c r="X4100" s="13">
        <f t="shared" si="4419"/>
        <v>0</v>
      </c>
      <c r="Y4100" s="13">
        <f t="shared" si="4419"/>
        <v>0</v>
      </c>
      <c r="Z4100" s="13">
        <f t="shared" si="3023"/>
        <v>1</v>
      </c>
      <c r="AA4100" s="13"/>
      <c r="AB4100" s="13"/>
      <c r="AC4100" s="13"/>
      <c r="AD4100" s="13"/>
      <c r="AE4100" s="13"/>
      <c r="AF4100" s="13"/>
      <c r="AG4100" s="13"/>
      <c r="AH4100" s="13"/>
      <c r="AI4100" s="13"/>
      <c r="AJ4100" s="13"/>
      <c r="AK4100" s="13"/>
      <c r="AL4100" s="13"/>
      <c r="AM4100" s="13"/>
      <c r="AN4100" s="13"/>
      <c r="AO4100" s="13"/>
      <c r="AP4100" s="13"/>
      <c r="AQ4100" s="13"/>
      <c r="AR4100" s="13"/>
      <c r="AS4100" s="13"/>
    </row>
    <row r="4101" ht="14.25" customHeight="1">
      <c r="A4101" s="26" t="s">
        <v>46</v>
      </c>
      <c r="B4101" s="31" t="s">
        <v>53</v>
      </c>
      <c r="C4101" s="26">
        <v>221.0</v>
      </c>
      <c r="D4101" s="26" t="s">
        <v>176</v>
      </c>
      <c r="E4101" s="13"/>
      <c r="F4101" s="26"/>
      <c r="G4101" s="26" t="s">
        <v>111</v>
      </c>
      <c r="H4101" s="26" t="s">
        <v>75</v>
      </c>
      <c r="I4101" s="13"/>
      <c r="J4101" s="13"/>
      <c r="K4101" s="15">
        <v>1.0</v>
      </c>
      <c r="L4101" s="15">
        <v>1.0</v>
      </c>
      <c r="M4101" s="16"/>
      <c r="N4101" s="16"/>
      <c r="O4101" s="17"/>
      <c r="P4101" s="17"/>
      <c r="Q4101" s="13"/>
      <c r="R4101" s="13"/>
      <c r="S4101" s="13"/>
      <c r="T4101" s="13">
        <f t="shared" ref="T4101:Y4101" si="4420">IF(ISBLANK(K4101)=TRUE,0,1)</f>
        <v>1</v>
      </c>
      <c r="U4101" s="13">
        <f t="shared" si="4420"/>
        <v>1</v>
      </c>
      <c r="V4101" s="13">
        <f t="shared" si="4420"/>
        <v>0</v>
      </c>
      <c r="W4101" s="13">
        <f t="shared" si="4420"/>
        <v>0</v>
      </c>
      <c r="X4101" s="13">
        <f t="shared" si="4420"/>
        <v>0</v>
      </c>
      <c r="Y4101" s="13">
        <f t="shared" si="4420"/>
        <v>0</v>
      </c>
      <c r="Z4101" s="13">
        <f t="shared" si="3023"/>
        <v>1</v>
      </c>
      <c r="AA4101" s="13"/>
      <c r="AB4101" s="13"/>
      <c r="AC4101" s="13"/>
      <c r="AD4101" s="13"/>
      <c r="AE4101" s="13"/>
      <c r="AF4101" s="13"/>
      <c r="AG4101" s="13"/>
      <c r="AH4101" s="13"/>
      <c r="AI4101" s="13"/>
      <c r="AJ4101" s="13"/>
      <c r="AK4101" s="13"/>
      <c r="AL4101" s="13"/>
      <c r="AM4101" s="13"/>
      <c r="AN4101" s="13"/>
      <c r="AO4101" s="13"/>
      <c r="AP4101" s="13"/>
      <c r="AQ4101" s="13"/>
      <c r="AR4101" s="13"/>
      <c r="AS4101" s="13"/>
    </row>
    <row r="4102" ht="14.25" customHeight="1">
      <c r="A4102" s="26" t="s">
        <v>46</v>
      </c>
      <c r="B4102" s="31" t="s">
        <v>53</v>
      </c>
      <c r="C4102" s="26">
        <v>221.0</v>
      </c>
      <c r="D4102" s="26" t="s">
        <v>177</v>
      </c>
      <c r="E4102" s="13"/>
      <c r="F4102" s="26"/>
      <c r="G4102" s="26" t="s">
        <v>111</v>
      </c>
      <c r="H4102" s="26" t="s">
        <v>75</v>
      </c>
      <c r="I4102" s="13"/>
      <c r="J4102" s="13"/>
      <c r="K4102" s="15">
        <v>1.0</v>
      </c>
      <c r="L4102" s="15">
        <v>1.0</v>
      </c>
      <c r="M4102" s="16"/>
      <c r="N4102" s="16"/>
      <c r="O4102" s="17"/>
      <c r="P4102" s="17"/>
      <c r="Q4102" s="13"/>
      <c r="R4102" s="13"/>
      <c r="S4102" s="13"/>
      <c r="T4102" s="13">
        <f t="shared" ref="T4102:Y4102" si="4421">IF(ISBLANK(K4102)=TRUE,0,1)</f>
        <v>1</v>
      </c>
      <c r="U4102" s="13">
        <f t="shared" si="4421"/>
        <v>1</v>
      </c>
      <c r="V4102" s="13">
        <f t="shared" si="4421"/>
        <v>0</v>
      </c>
      <c r="W4102" s="13">
        <f t="shared" si="4421"/>
        <v>0</v>
      </c>
      <c r="X4102" s="13">
        <f t="shared" si="4421"/>
        <v>0</v>
      </c>
      <c r="Y4102" s="13">
        <f t="shared" si="4421"/>
        <v>0</v>
      </c>
      <c r="Z4102" s="13">
        <f t="shared" si="3023"/>
        <v>1</v>
      </c>
      <c r="AA4102" s="13"/>
      <c r="AB4102" s="13"/>
      <c r="AC4102" s="13"/>
      <c r="AD4102" s="13"/>
      <c r="AE4102" s="13"/>
      <c r="AF4102" s="13"/>
      <c r="AG4102" s="13"/>
      <c r="AH4102" s="13"/>
      <c r="AI4102" s="13"/>
      <c r="AJ4102" s="13"/>
      <c r="AK4102" s="13"/>
      <c r="AL4102" s="13"/>
      <c r="AM4102" s="13"/>
      <c r="AN4102" s="13"/>
      <c r="AO4102" s="13"/>
      <c r="AP4102" s="13"/>
      <c r="AQ4102" s="13"/>
      <c r="AR4102" s="13"/>
      <c r="AS4102" s="13"/>
    </row>
    <row r="4103" ht="14.25" customHeight="1">
      <c r="A4103" s="26" t="s">
        <v>46</v>
      </c>
      <c r="B4103" s="31" t="s">
        <v>53</v>
      </c>
      <c r="C4103" s="26">
        <v>221.0</v>
      </c>
      <c r="D4103" s="26" t="s">
        <v>178</v>
      </c>
      <c r="E4103" s="13"/>
      <c r="F4103" s="26"/>
      <c r="G4103" s="26" t="s">
        <v>111</v>
      </c>
      <c r="H4103" s="26" t="s">
        <v>75</v>
      </c>
      <c r="I4103" s="13"/>
      <c r="J4103" s="13"/>
      <c r="K4103" s="15">
        <v>1.0</v>
      </c>
      <c r="L4103" s="15">
        <v>1.0</v>
      </c>
      <c r="M4103" s="16"/>
      <c r="N4103" s="16"/>
      <c r="O4103" s="17"/>
      <c r="P4103" s="17"/>
      <c r="Q4103" s="13"/>
      <c r="R4103" s="13"/>
      <c r="S4103" s="13"/>
      <c r="T4103" s="13">
        <f t="shared" ref="T4103:Y4103" si="4422">IF(ISBLANK(K4103)=TRUE,0,1)</f>
        <v>1</v>
      </c>
      <c r="U4103" s="13">
        <f t="shared" si="4422"/>
        <v>1</v>
      </c>
      <c r="V4103" s="13">
        <f t="shared" si="4422"/>
        <v>0</v>
      </c>
      <c r="W4103" s="13">
        <f t="shared" si="4422"/>
        <v>0</v>
      </c>
      <c r="X4103" s="13">
        <f t="shared" si="4422"/>
        <v>0</v>
      </c>
      <c r="Y4103" s="13">
        <f t="shared" si="4422"/>
        <v>0</v>
      </c>
      <c r="Z4103" s="13">
        <f t="shared" si="3023"/>
        <v>1</v>
      </c>
      <c r="AA4103" s="13"/>
      <c r="AB4103" s="13"/>
      <c r="AC4103" s="13"/>
      <c r="AD4103" s="13"/>
      <c r="AE4103" s="13"/>
      <c r="AF4103" s="13"/>
      <c r="AG4103" s="13"/>
      <c r="AH4103" s="13"/>
      <c r="AI4103" s="13"/>
      <c r="AJ4103" s="13"/>
      <c r="AK4103" s="13"/>
      <c r="AL4103" s="13"/>
      <c r="AM4103" s="13"/>
      <c r="AN4103" s="13"/>
      <c r="AO4103" s="13"/>
      <c r="AP4103" s="13"/>
      <c r="AQ4103" s="13"/>
      <c r="AR4103" s="13"/>
      <c r="AS4103" s="13"/>
    </row>
    <row r="4104" ht="14.25" customHeight="1">
      <c r="A4104" s="26" t="s">
        <v>46</v>
      </c>
      <c r="B4104" s="31" t="s">
        <v>53</v>
      </c>
      <c r="C4104" s="26">
        <v>221.0</v>
      </c>
      <c r="D4104" s="26" t="s">
        <v>179</v>
      </c>
      <c r="E4104" s="13"/>
      <c r="F4104" s="26"/>
      <c r="G4104" s="26" t="s">
        <v>111</v>
      </c>
      <c r="H4104" s="26" t="s">
        <v>75</v>
      </c>
      <c r="I4104" s="13"/>
      <c r="J4104" s="13"/>
      <c r="K4104" s="15">
        <v>1.0</v>
      </c>
      <c r="L4104" s="15">
        <v>1.0</v>
      </c>
      <c r="M4104" s="16"/>
      <c r="N4104" s="16"/>
      <c r="O4104" s="17"/>
      <c r="P4104" s="17"/>
      <c r="Q4104" s="13"/>
      <c r="R4104" s="13"/>
      <c r="S4104" s="13"/>
      <c r="T4104" s="13">
        <f t="shared" ref="T4104:Y4104" si="4423">IF(ISBLANK(K4104)=TRUE,0,1)</f>
        <v>1</v>
      </c>
      <c r="U4104" s="13">
        <f t="shared" si="4423"/>
        <v>1</v>
      </c>
      <c r="V4104" s="13">
        <f t="shared" si="4423"/>
        <v>0</v>
      </c>
      <c r="W4104" s="13">
        <f t="shared" si="4423"/>
        <v>0</v>
      </c>
      <c r="X4104" s="13">
        <f t="shared" si="4423"/>
        <v>0</v>
      </c>
      <c r="Y4104" s="13">
        <f t="shared" si="4423"/>
        <v>0</v>
      </c>
      <c r="Z4104" s="13">
        <f t="shared" si="3023"/>
        <v>1</v>
      </c>
      <c r="AA4104" s="13"/>
      <c r="AB4104" s="13"/>
      <c r="AC4104" s="13"/>
      <c r="AD4104" s="13"/>
      <c r="AE4104" s="13"/>
      <c r="AF4104" s="13"/>
      <c r="AG4104" s="13"/>
      <c r="AH4104" s="13"/>
      <c r="AI4104" s="13"/>
      <c r="AJ4104" s="13"/>
      <c r="AK4104" s="13"/>
      <c r="AL4104" s="13"/>
      <c r="AM4104" s="13"/>
      <c r="AN4104" s="13"/>
      <c r="AO4104" s="13"/>
      <c r="AP4104" s="13"/>
      <c r="AQ4104" s="13"/>
      <c r="AR4104" s="13"/>
      <c r="AS4104" s="13"/>
    </row>
    <row r="4105" ht="14.25" customHeight="1">
      <c r="A4105" s="26" t="s">
        <v>46</v>
      </c>
      <c r="B4105" s="31" t="s">
        <v>53</v>
      </c>
      <c r="C4105" s="26">
        <v>221.0</v>
      </c>
      <c r="D4105" s="26" t="s">
        <v>180</v>
      </c>
      <c r="E4105" s="13"/>
      <c r="F4105" s="26"/>
      <c r="G4105" s="26" t="s">
        <v>111</v>
      </c>
      <c r="H4105" s="26" t="s">
        <v>75</v>
      </c>
      <c r="I4105" s="13"/>
      <c r="J4105" s="13"/>
      <c r="K4105" s="15">
        <v>1.0</v>
      </c>
      <c r="L4105" s="15">
        <v>1.0</v>
      </c>
      <c r="M4105" s="16"/>
      <c r="N4105" s="16"/>
      <c r="O4105" s="17"/>
      <c r="P4105" s="17"/>
      <c r="Q4105" s="13"/>
      <c r="R4105" s="13"/>
      <c r="S4105" s="13"/>
      <c r="T4105" s="13">
        <f t="shared" ref="T4105:Y4105" si="4424">IF(ISBLANK(K4105)=TRUE,0,1)</f>
        <v>1</v>
      </c>
      <c r="U4105" s="13">
        <f t="shared" si="4424"/>
        <v>1</v>
      </c>
      <c r="V4105" s="13">
        <f t="shared" si="4424"/>
        <v>0</v>
      </c>
      <c r="W4105" s="13">
        <f t="shared" si="4424"/>
        <v>0</v>
      </c>
      <c r="X4105" s="13">
        <f t="shared" si="4424"/>
        <v>0</v>
      </c>
      <c r="Y4105" s="13">
        <f t="shared" si="4424"/>
        <v>0</v>
      </c>
      <c r="Z4105" s="13">
        <f t="shared" si="3023"/>
        <v>1</v>
      </c>
      <c r="AA4105" s="13"/>
      <c r="AB4105" s="13"/>
      <c r="AC4105" s="13"/>
      <c r="AD4105" s="13"/>
      <c r="AE4105" s="13"/>
      <c r="AF4105" s="13"/>
      <c r="AG4105" s="13"/>
      <c r="AH4105" s="13"/>
      <c r="AI4105" s="13"/>
      <c r="AJ4105" s="13"/>
      <c r="AK4105" s="13"/>
      <c r="AL4105" s="13"/>
      <c r="AM4105" s="13"/>
      <c r="AN4105" s="13"/>
      <c r="AO4105" s="13"/>
      <c r="AP4105" s="13"/>
      <c r="AQ4105" s="13"/>
      <c r="AR4105" s="13"/>
      <c r="AS4105" s="13"/>
    </row>
    <row r="4106" ht="14.25" customHeight="1">
      <c r="A4106" s="26" t="s">
        <v>46</v>
      </c>
      <c r="B4106" s="31" t="s">
        <v>53</v>
      </c>
      <c r="C4106" s="26">
        <v>221.0</v>
      </c>
      <c r="D4106" s="26" t="s">
        <v>181</v>
      </c>
      <c r="E4106" s="13"/>
      <c r="F4106" s="26"/>
      <c r="G4106" s="26" t="s">
        <v>111</v>
      </c>
      <c r="H4106" s="26" t="s">
        <v>75</v>
      </c>
      <c r="I4106" s="13"/>
      <c r="J4106" s="13"/>
      <c r="K4106" s="15">
        <v>1.0</v>
      </c>
      <c r="L4106" s="15">
        <v>1.0</v>
      </c>
      <c r="M4106" s="16"/>
      <c r="N4106" s="16"/>
      <c r="O4106" s="17"/>
      <c r="P4106" s="17"/>
      <c r="Q4106" s="13"/>
      <c r="R4106" s="13"/>
      <c r="S4106" s="13"/>
      <c r="T4106" s="13">
        <f t="shared" ref="T4106:Y4106" si="4425">IF(ISBLANK(K4106)=TRUE,0,1)</f>
        <v>1</v>
      </c>
      <c r="U4106" s="13">
        <f t="shared" si="4425"/>
        <v>1</v>
      </c>
      <c r="V4106" s="13">
        <f t="shared" si="4425"/>
        <v>0</v>
      </c>
      <c r="W4106" s="13">
        <f t="shared" si="4425"/>
        <v>0</v>
      </c>
      <c r="X4106" s="13">
        <f t="shared" si="4425"/>
        <v>0</v>
      </c>
      <c r="Y4106" s="13">
        <f t="shared" si="4425"/>
        <v>0</v>
      </c>
      <c r="Z4106" s="13">
        <f t="shared" si="3023"/>
        <v>1</v>
      </c>
      <c r="AA4106" s="13"/>
      <c r="AB4106" s="13"/>
      <c r="AC4106" s="13"/>
      <c r="AD4106" s="13"/>
      <c r="AE4106" s="13"/>
      <c r="AF4106" s="13"/>
      <c r="AG4106" s="13"/>
      <c r="AH4106" s="13"/>
      <c r="AI4106" s="13"/>
      <c r="AJ4106" s="13"/>
      <c r="AK4106" s="13"/>
      <c r="AL4106" s="13"/>
      <c r="AM4106" s="13"/>
      <c r="AN4106" s="13"/>
      <c r="AO4106" s="13"/>
      <c r="AP4106" s="13"/>
      <c r="AQ4106" s="13"/>
      <c r="AR4106" s="13"/>
      <c r="AS4106" s="13"/>
    </row>
    <row r="4107" ht="14.25" customHeight="1">
      <c r="A4107" s="26" t="s">
        <v>46</v>
      </c>
      <c r="B4107" s="31" t="s">
        <v>53</v>
      </c>
      <c r="C4107" s="26">
        <v>221.0</v>
      </c>
      <c r="D4107" s="26" t="s">
        <v>182</v>
      </c>
      <c r="E4107" s="13"/>
      <c r="F4107" s="26"/>
      <c r="G4107" s="26" t="s">
        <v>111</v>
      </c>
      <c r="H4107" s="26" t="s">
        <v>75</v>
      </c>
      <c r="I4107" s="13"/>
      <c r="J4107" s="13"/>
      <c r="K4107" s="15">
        <v>1.0</v>
      </c>
      <c r="L4107" s="15">
        <v>1.0</v>
      </c>
      <c r="M4107" s="16"/>
      <c r="N4107" s="16"/>
      <c r="O4107" s="17"/>
      <c r="P4107" s="17"/>
      <c r="Q4107" s="13"/>
      <c r="R4107" s="13"/>
      <c r="S4107" s="13"/>
      <c r="T4107" s="13">
        <f t="shared" ref="T4107:Y4107" si="4426">IF(ISBLANK(K4107)=TRUE,0,1)</f>
        <v>1</v>
      </c>
      <c r="U4107" s="13">
        <f t="shared" si="4426"/>
        <v>1</v>
      </c>
      <c r="V4107" s="13">
        <f t="shared" si="4426"/>
        <v>0</v>
      </c>
      <c r="W4107" s="13">
        <f t="shared" si="4426"/>
        <v>0</v>
      </c>
      <c r="X4107" s="13">
        <f t="shared" si="4426"/>
        <v>0</v>
      </c>
      <c r="Y4107" s="13">
        <f t="shared" si="4426"/>
        <v>0</v>
      </c>
      <c r="Z4107" s="13">
        <f t="shared" si="3023"/>
        <v>1</v>
      </c>
      <c r="AA4107" s="13"/>
      <c r="AB4107" s="13"/>
      <c r="AC4107" s="13"/>
      <c r="AD4107" s="13"/>
      <c r="AE4107" s="13"/>
      <c r="AF4107" s="13"/>
      <c r="AG4107" s="13"/>
      <c r="AH4107" s="13"/>
      <c r="AI4107" s="13"/>
      <c r="AJ4107" s="13"/>
      <c r="AK4107" s="13"/>
      <c r="AL4107" s="13"/>
      <c r="AM4107" s="13"/>
      <c r="AN4107" s="13"/>
      <c r="AO4107" s="13"/>
      <c r="AP4107" s="13"/>
      <c r="AQ4107" s="13"/>
      <c r="AR4107" s="13"/>
      <c r="AS4107" s="13"/>
    </row>
    <row r="4108" ht="14.25" customHeight="1">
      <c r="A4108" s="26" t="s">
        <v>46</v>
      </c>
      <c r="B4108" s="31" t="s">
        <v>53</v>
      </c>
      <c r="C4108" s="26">
        <v>221.0</v>
      </c>
      <c r="D4108" s="26" t="s">
        <v>183</v>
      </c>
      <c r="E4108" s="13"/>
      <c r="F4108" s="26"/>
      <c r="G4108" s="26" t="s">
        <v>111</v>
      </c>
      <c r="H4108" s="26" t="s">
        <v>75</v>
      </c>
      <c r="I4108" s="13"/>
      <c r="J4108" s="13"/>
      <c r="K4108" s="15">
        <v>1.0</v>
      </c>
      <c r="L4108" s="15">
        <v>1.0</v>
      </c>
      <c r="M4108" s="16"/>
      <c r="N4108" s="16"/>
      <c r="O4108" s="17"/>
      <c r="P4108" s="17"/>
      <c r="Q4108" s="13"/>
      <c r="R4108" s="13"/>
      <c r="S4108" s="13"/>
      <c r="T4108" s="13">
        <f t="shared" ref="T4108:Y4108" si="4427">IF(ISBLANK(K4108)=TRUE,0,1)</f>
        <v>1</v>
      </c>
      <c r="U4108" s="13">
        <f t="shared" si="4427"/>
        <v>1</v>
      </c>
      <c r="V4108" s="13">
        <f t="shared" si="4427"/>
        <v>0</v>
      </c>
      <c r="W4108" s="13">
        <f t="shared" si="4427"/>
        <v>0</v>
      </c>
      <c r="X4108" s="13">
        <f t="shared" si="4427"/>
        <v>0</v>
      </c>
      <c r="Y4108" s="13">
        <f t="shared" si="4427"/>
        <v>0</v>
      </c>
      <c r="Z4108" s="13">
        <f t="shared" si="3023"/>
        <v>1</v>
      </c>
      <c r="AA4108" s="13"/>
      <c r="AB4108" s="13"/>
      <c r="AC4108" s="13"/>
      <c r="AD4108" s="13"/>
      <c r="AE4108" s="13"/>
      <c r="AF4108" s="13"/>
      <c r="AG4108" s="13"/>
      <c r="AH4108" s="13"/>
      <c r="AI4108" s="13"/>
      <c r="AJ4108" s="13"/>
      <c r="AK4108" s="13"/>
      <c r="AL4108" s="13"/>
      <c r="AM4108" s="13"/>
      <c r="AN4108" s="13"/>
      <c r="AO4108" s="13"/>
      <c r="AP4108" s="13"/>
      <c r="AQ4108" s="13"/>
      <c r="AR4108" s="13"/>
      <c r="AS4108" s="13"/>
    </row>
    <row r="4109" ht="14.25" customHeight="1">
      <c r="A4109" s="26" t="s">
        <v>46</v>
      </c>
      <c r="B4109" s="31" t="s">
        <v>53</v>
      </c>
      <c r="C4109" s="26">
        <v>221.0</v>
      </c>
      <c r="D4109" s="26" t="s">
        <v>184</v>
      </c>
      <c r="E4109" s="13"/>
      <c r="F4109" s="26"/>
      <c r="G4109" s="26" t="s">
        <v>111</v>
      </c>
      <c r="H4109" s="26" t="s">
        <v>75</v>
      </c>
      <c r="I4109" s="13"/>
      <c r="J4109" s="13"/>
      <c r="K4109" s="15">
        <v>1.0</v>
      </c>
      <c r="L4109" s="15">
        <v>1.0</v>
      </c>
      <c r="M4109" s="16"/>
      <c r="N4109" s="16"/>
      <c r="O4109" s="17"/>
      <c r="P4109" s="17"/>
      <c r="Q4109" s="13"/>
      <c r="R4109" s="13"/>
      <c r="S4109" s="13"/>
      <c r="T4109" s="13">
        <f t="shared" ref="T4109:Y4109" si="4428">IF(ISBLANK(K4109)=TRUE,0,1)</f>
        <v>1</v>
      </c>
      <c r="U4109" s="13">
        <f t="shared" si="4428"/>
        <v>1</v>
      </c>
      <c r="V4109" s="13">
        <f t="shared" si="4428"/>
        <v>0</v>
      </c>
      <c r="W4109" s="13">
        <f t="shared" si="4428"/>
        <v>0</v>
      </c>
      <c r="X4109" s="13">
        <f t="shared" si="4428"/>
        <v>0</v>
      </c>
      <c r="Y4109" s="13">
        <f t="shared" si="4428"/>
        <v>0</v>
      </c>
      <c r="Z4109" s="13">
        <f t="shared" si="3023"/>
        <v>1</v>
      </c>
      <c r="AA4109" s="13"/>
      <c r="AB4109" s="13"/>
      <c r="AC4109" s="13"/>
      <c r="AD4109" s="13"/>
      <c r="AE4109" s="13"/>
      <c r="AF4109" s="13"/>
      <c r="AG4109" s="13"/>
      <c r="AH4109" s="13"/>
      <c r="AI4109" s="13"/>
      <c r="AJ4109" s="13"/>
      <c r="AK4109" s="13"/>
      <c r="AL4109" s="13"/>
      <c r="AM4109" s="13"/>
      <c r="AN4109" s="13"/>
      <c r="AO4109" s="13"/>
      <c r="AP4109" s="13"/>
      <c r="AQ4109" s="13"/>
      <c r="AR4109" s="13"/>
      <c r="AS4109" s="13"/>
    </row>
    <row r="4110" ht="14.25" customHeight="1">
      <c r="A4110" s="26" t="s">
        <v>46</v>
      </c>
      <c r="B4110" s="31" t="s">
        <v>53</v>
      </c>
      <c r="C4110" s="26">
        <v>221.0</v>
      </c>
      <c r="D4110" s="26" t="s">
        <v>185</v>
      </c>
      <c r="E4110" s="13"/>
      <c r="F4110" s="26"/>
      <c r="G4110" s="26" t="s">
        <v>111</v>
      </c>
      <c r="H4110" s="26" t="s">
        <v>75</v>
      </c>
      <c r="I4110" s="13"/>
      <c r="J4110" s="13"/>
      <c r="K4110" s="15">
        <v>1.0</v>
      </c>
      <c r="L4110" s="15">
        <v>1.0</v>
      </c>
      <c r="M4110" s="16"/>
      <c r="N4110" s="16"/>
      <c r="O4110" s="17"/>
      <c r="P4110" s="17"/>
      <c r="Q4110" s="13"/>
      <c r="R4110" s="13"/>
      <c r="S4110" s="13"/>
      <c r="T4110" s="13">
        <f t="shared" ref="T4110:Y4110" si="4429">IF(ISBLANK(K4110)=TRUE,0,1)</f>
        <v>1</v>
      </c>
      <c r="U4110" s="13">
        <f t="shared" si="4429"/>
        <v>1</v>
      </c>
      <c r="V4110" s="13">
        <f t="shared" si="4429"/>
        <v>0</v>
      </c>
      <c r="W4110" s="13">
        <f t="shared" si="4429"/>
        <v>0</v>
      </c>
      <c r="X4110" s="13">
        <f t="shared" si="4429"/>
        <v>0</v>
      </c>
      <c r="Y4110" s="13">
        <f t="shared" si="4429"/>
        <v>0</v>
      </c>
      <c r="Z4110" s="13">
        <f t="shared" si="3023"/>
        <v>1</v>
      </c>
      <c r="AA4110" s="13"/>
      <c r="AB4110" s="13"/>
      <c r="AC4110" s="13"/>
      <c r="AD4110" s="13"/>
      <c r="AE4110" s="13"/>
      <c r="AF4110" s="13"/>
      <c r="AG4110" s="13"/>
      <c r="AH4110" s="13"/>
      <c r="AI4110" s="13"/>
      <c r="AJ4110" s="13"/>
      <c r="AK4110" s="13"/>
      <c r="AL4110" s="13"/>
      <c r="AM4110" s="13"/>
      <c r="AN4110" s="13"/>
      <c r="AO4110" s="13"/>
      <c r="AP4110" s="13"/>
      <c r="AQ4110" s="13"/>
      <c r="AR4110" s="13"/>
      <c r="AS4110" s="13"/>
    </row>
    <row r="4111" ht="14.25" customHeight="1">
      <c r="A4111" s="26" t="s">
        <v>46</v>
      </c>
      <c r="B4111" s="31" t="s">
        <v>53</v>
      </c>
      <c r="C4111" s="26">
        <v>221.0</v>
      </c>
      <c r="D4111" s="26" t="s">
        <v>186</v>
      </c>
      <c r="E4111" s="13"/>
      <c r="F4111" s="26"/>
      <c r="G4111" s="26" t="s">
        <v>111</v>
      </c>
      <c r="H4111" s="26" t="s">
        <v>75</v>
      </c>
      <c r="I4111" s="13"/>
      <c r="J4111" s="13"/>
      <c r="K4111" s="15">
        <v>1.0</v>
      </c>
      <c r="L4111" s="15">
        <v>1.0</v>
      </c>
      <c r="M4111" s="16"/>
      <c r="N4111" s="16"/>
      <c r="O4111" s="17"/>
      <c r="P4111" s="17"/>
      <c r="Q4111" s="13"/>
      <c r="R4111" s="13"/>
      <c r="S4111" s="13"/>
      <c r="T4111" s="13">
        <f t="shared" ref="T4111:Y4111" si="4430">IF(ISBLANK(K4111)=TRUE,0,1)</f>
        <v>1</v>
      </c>
      <c r="U4111" s="13">
        <f t="shared" si="4430"/>
        <v>1</v>
      </c>
      <c r="V4111" s="13">
        <f t="shared" si="4430"/>
        <v>0</v>
      </c>
      <c r="W4111" s="13">
        <f t="shared" si="4430"/>
        <v>0</v>
      </c>
      <c r="X4111" s="13">
        <f t="shared" si="4430"/>
        <v>0</v>
      </c>
      <c r="Y4111" s="13">
        <f t="shared" si="4430"/>
        <v>0</v>
      </c>
      <c r="Z4111" s="13">
        <f t="shared" si="3023"/>
        <v>1</v>
      </c>
      <c r="AA4111" s="13"/>
      <c r="AB4111" s="13"/>
      <c r="AC4111" s="13"/>
      <c r="AD4111" s="13"/>
      <c r="AE4111" s="13"/>
      <c r="AF4111" s="13"/>
      <c r="AG4111" s="13"/>
      <c r="AH4111" s="13"/>
      <c r="AI4111" s="13"/>
      <c r="AJ4111" s="13"/>
      <c r="AK4111" s="13"/>
      <c r="AL4111" s="13"/>
      <c r="AM4111" s="13"/>
      <c r="AN4111" s="13"/>
      <c r="AO4111" s="13"/>
      <c r="AP4111" s="13"/>
      <c r="AQ4111" s="13"/>
      <c r="AR4111" s="13"/>
      <c r="AS4111" s="13"/>
    </row>
    <row r="4112" ht="14.25" customHeight="1">
      <c r="A4112" s="26" t="s">
        <v>46</v>
      </c>
      <c r="B4112" s="31" t="s">
        <v>53</v>
      </c>
      <c r="C4112" s="26">
        <v>221.0</v>
      </c>
      <c r="D4112" s="26" t="s">
        <v>187</v>
      </c>
      <c r="E4112" s="13"/>
      <c r="F4112" s="26"/>
      <c r="G4112" s="26" t="s">
        <v>111</v>
      </c>
      <c r="H4112" s="26" t="s">
        <v>75</v>
      </c>
      <c r="I4112" s="13"/>
      <c r="J4112" s="13"/>
      <c r="K4112" s="15">
        <v>1.0</v>
      </c>
      <c r="L4112" s="15">
        <v>1.0</v>
      </c>
      <c r="M4112" s="16"/>
      <c r="N4112" s="16"/>
      <c r="O4112" s="17"/>
      <c r="P4112" s="17"/>
      <c r="Q4112" s="13"/>
      <c r="R4112" s="13"/>
      <c r="S4112" s="13"/>
      <c r="T4112" s="13">
        <f t="shared" ref="T4112:Y4112" si="4431">IF(ISBLANK(K4112)=TRUE,0,1)</f>
        <v>1</v>
      </c>
      <c r="U4112" s="13">
        <f t="shared" si="4431"/>
        <v>1</v>
      </c>
      <c r="V4112" s="13">
        <f t="shared" si="4431"/>
        <v>0</v>
      </c>
      <c r="W4112" s="13">
        <f t="shared" si="4431"/>
        <v>0</v>
      </c>
      <c r="X4112" s="13">
        <f t="shared" si="4431"/>
        <v>0</v>
      </c>
      <c r="Y4112" s="13">
        <f t="shared" si="4431"/>
        <v>0</v>
      </c>
      <c r="Z4112" s="13">
        <f t="shared" si="3023"/>
        <v>1</v>
      </c>
      <c r="AA4112" s="13"/>
      <c r="AB4112" s="13"/>
      <c r="AC4112" s="13"/>
      <c r="AD4112" s="13"/>
      <c r="AE4112" s="13"/>
      <c r="AF4112" s="13"/>
      <c r="AG4112" s="13"/>
      <c r="AH4112" s="13"/>
      <c r="AI4112" s="13"/>
      <c r="AJ4112" s="13"/>
      <c r="AK4112" s="13"/>
      <c r="AL4112" s="13"/>
      <c r="AM4112" s="13"/>
      <c r="AN4112" s="13"/>
      <c r="AO4112" s="13"/>
      <c r="AP4112" s="13"/>
      <c r="AQ4112" s="13"/>
      <c r="AR4112" s="13"/>
      <c r="AS4112" s="13"/>
    </row>
    <row r="4113" ht="14.25" customHeight="1">
      <c r="A4113" s="26" t="s">
        <v>46</v>
      </c>
      <c r="B4113" s="31" t="s">
        <v>53</v>
      </c>
      <c r="C4113" s="26">
        <v>221.0</v>
      </c>
      <c r="D4113" s="26" t="s">
        <v>188</v>
      </c>
      <c r="E4113" s="13"/>
      <c r="F4113" s="26"/>
      <c r="G4113" s="26" t="s">
        <v>111</v>
      </c>
      <c r="H4113" s="26" t="s">
        <v>75</v>
      </c>
      <c r="I4113" s="13"/>
      <c r="J4113" s="13"/>
      <c r="K4113" s="15">
        <v>1.0</v>
      </c>
      <c r="L4113" s="15">
        <v>1.0</v>
      </c>
      <c r="M4113" s="16"/>
      <c r="N4113" s="16"/>
      <c r="O4113" s="17"/>
      <c r="P4113" s="17"/>
      <c r="Q4113" s="13"/>
      <c r="R4113" s="13"/>
      <c r="S4113" s="13"/>
      <c r="T4113" s="13">
        <f t="shared" ref="T4113:Y4113" si="4432">IF(ISBLANK(K4113)=TRUE,0,1)</f>
        <v>1</v>
      </c>
      <c r="U4113" s="13">
        <f t="shared" si="4432"/>
        <v>1</v>
      </c>
      <c r="V4113" s="13">
        <f t="shared" si="4432"/>
        <v>0</v>
      </c>
      <c r="W4113" s="13">
        <f t="shared" si="4432"/>
        <v>0</v>
      </c>
      <c r="X4113" s="13">
        <f t="shared" si="4432"/>
        <v>0</v>
      </c>
      <c r="Y4113" s="13">
        <f t="shared" si="4432"/>
        <v>0</v>
      </c>
      <c r="Z4113" s="13">
        <f t="shared" si="3023"/>
        <v>1</v>
      </c>
      <c r="AA4113" s="13"/>
      <c r="AB4113" s="13"/>
      <c r="AC4113" s="13"/>
      <c r="AD4113" s="13"/>
      <c r="AE4113" s="13"/>
      <c r="AF4113" s="13"/>
      <c r="AG4113" s="13"/>
      <c r="AH4113" s="13"/>
      <c r="AI4113" s="13"/>
      <c r="AJ4113" s="13"/>
      <c r="AK4113" s="13"/>
      <c r="AL4113" s="13"/>
      <c r="AM4113" s="13"/>
      <c r="AN4113" s="13"/>
      <c r="AO4113" s="13"/>
      <c r="AP4113" s="13"/>
      <c r="AQ4113" s="13"/>
      <c r="AR4113" s="13"/>
      <c r="AS4113" s="13"/>
    </row>
    <row r="4114" ht="14.25" customHeight="1">
      <c r="A4114" s="26" t="s">
        <v>46</v>
      </c>
      <c r="B4114" s="31" t="s">
        <v>53</v>
      </c>
      <c r="C4114" s="26">
        <v>221.0</v>
      </c>
      <c r="D4114" s="26" t="s">
        <v>189</v>
      </c>
      <c r="E4114" s="13"/>
      <c r="F4114" s="26"/>
      <c r="G4114" s="26" t="s">
        <v>111</v>
      </c>
      <c r="H4114" s="26" t="s">
        <v>75</v>
      </c>
      <c r="I4114" s="13"/>
      <c r="J4114" s="13"/>
      <c r="K4114" s="15">
        <v>1.0</v>
      </c>
      <c r="L4114" s="15">
        <v>1.0</v>
      </c>
      <c r="M4114" s="16"/>
      <c r="N4114" s="16"/>
      <c r="O4114" s="17"/>
      <c r="P4114" s="17"/>
      <c r="Q4114" s="13"/>
      <c r="R4114" s="13"/>
      <c r="S4114" s="13"/>
      <c r="T4114" s="13">
        <f t="shared" ref="T4114:Y4114" si="4433">IF(ISBLANK(K4114)=TRUE,0,1)</f>
        <v>1</v>
      </c>
      <c r="U4114" s="13">
        <f t="shared" si="4433"/>
        <v>1</v>
      </c>
      <c r="V4114" s="13">
        <f t="shared" si="4433"/>
        <v>0</v>
      </c>
      <c r="W4114" s="13">
        <f t="shared" si="4433"/>
        <v>0</v>
      </c>
      <c r="X4114" s="13">
        <f t="shared" si="4433"/>
        <v>0</v>
      </c>
      <c r="Y4114" s="13">
        <f t="shared" si="4433"/>
        <v>0</v>
      </c>
      <c r="Z4114" s="13">
        <f t="shared" si="3023"/>
        <v>1</v>
      </c>
      <c r="AA4114" s="13"/>
      <c r="AB4114" s="13"/>
      <c r="AC4114" s="13"/>
      <c r="AD4114" s="13"/>
      <c r="AE4114" s="13"/>
      <c r="AF4114" s="13"/>
      <c r="AG4114" s="13"/>
      <c r="AH4114" s="13"/>
      <c r="AI4114" s="13"/>
      <c r="AJ4114" s="13"/>
      <c r="AK4114" s="13"/>
      <c r="AL4114" s="13"/>
      <c r="AM4114" s="13"/>
      <c r="AN4114" s="13"/>
      <c r="AO4114" s="13"/>
      <c r="AP4114" s="13"/>
      <c r="AQ4114" s="13"/>
      <c r="AR4114" s="13"/>
      <c r="AS4114" s="13"/>
    </row>
    <row r="4115" ht="14.25" customHeight="1">
      <c r="A4115" s="26" t="s">
        <v>46</v>
      </c>
      <c r="B4115" s="31" t="s">
        <v>53</v>
      </c>
      <c r="C4115" s="26">
        <v>221.0</v>
      </c>
      <c r="D4115" s="26" t="s">
        <v>190</v>
      </c>
      <c r="E4115" s="13"/>
      <c r="F4115" s="26"/>
      <c r="G4115" s="26" t="s">
        <v>111</v>
      </c>
      <c r="H4115" s="26" t="s">
        <v>75</v>
      </c>
      <c r="I4115" s="13"/>
      <c r="J4115" s="13"/>
      <c r="K4115" s="15">
        <v>1.0</v>
      </c>
      <c r="L4115" s="15">
        <v>1.0</v>
      </c>
      <c r="M4115" s="16"/>
      <c r="N4115" s="16"/>
      <c r="O4115" s="17"/>
      <c r="P4115" s="17"/>
      <c r="Q4115" s="13"/>
      <c r="R4115" s="13"/>
      <c r="S4115" s="13"/>
      <c r="T4115" s="13">
        <f t="shared" ref="T4115:Y4115" si="4434">IF(ISBLANK(K4115)=TRUE,0,1)</f>
        <v>1</v>
      </c>
      <c r="U4115" s="13">
        <f t="shared" si="4434"/>
        <v>1</v>
      </c>
      <c r="V4115" s="13">
        <f t="shared" si="4434"/>
        <v>0</v>
      </c>
      <c r="W4115" s="13">
        <f t="shared" si="4434"/>
        <v>0</v>
      </c>
      <c r="X4115" s="13">
        <f t="shared" si="4434"/>
        <v>0</v>
      </c>
      <c r="Y4115" s="13">
        <f t="shared" si="4434"/>
        <v>0</v>
      </c>
      <c r="Z4115" s="13">
        <f t="shared" si="3023"/>
        <v>1</v>
      </c>
      <c r="AA4115" s="13"/>
      <c r="AB4115" s="13"/>
      <c r="AC4115" s="13"/>
      <c r="AD4115" s="13"/>
      <c r="AE4115" s="13"/>
      <c r="AF4115" s="13"/>
      <c r="AG4115" s="13"/>
      <c r="AH4115" s="13"/>
      <c r="AI4115" s="13"/>
      <c r="AJ4115" s="13"/>
      <c r="AK4115" s="13"/>
      <c r="AL4115" s="13"/>
      <c r="AM4115" s="13"/>
      <c r="AN4115" s="13"/>
      <c r="AO4115" s="13"/>
      <c r="AP4115" s="13"/>
      <c r="AQ4115" s="13"/>
      <c r="AR4115" s="13"/>
      <c r="AS4115" s="13"/>
    </row>
    <row r="4116" ht="14.25" customHeight="1">
      <c r="A4116" s="26" t="s">
        <v>46</v>
      </c>
      <c r="B4116" s="31" t="s">
        <v>53</v>
      </c>
      <c r="C4116" s="26">
        <v>221.0</v>
      </c>
      <c r="D4116" s="26" t="s">
        <v>191</v>
      </c>
      <c r="E4116" s="13"/>
      <c r="F4116" s="26"/>
      <c r="G4116" s="26" t="s">
        <v>111</v>
      </c>
      <c r="H4116" s="26" t="s">
        <v>75</v>
      </c>
      <c r="I4116" s="13"/>
      <c r="J4116" s="13"/>
      <c r="K4116" s="15">
        <v>1.0</v>
      </c>
      <c r="L4116" s="15">
        <v>1.0</v>
      </c>
      <c r="M4116" s="16"/>
      <c r="N4116" s="16"/>
      <c r="O4116" s="17"/>
      <c r="P4116" s="17"/>
      <c r="Q4116" s="13"/>
      <c r="R4116" s="13"/>
      <c r="S4116" s="13"/>
      <c r="T4116" s="13">
        <f t="shared" ref="T4116:Y4116" si="4435">IF(ISBLANK(K4116)=TRUE,0,1)</f>
        <v>1</v>
      </c>
      <c r="U4116" s="13">
        <f t="shared" si="4435"/>
        <v>1</v>
      </c>
      <c r="V4116" s="13">
        <f t="shared" si="4435"/>
        <v>0</v>
      </c>
      <c r="W4116" s="13">
        <f t="shared" si="4435"/>
        <v>0</v>
      </c>
      <c r="X4116" s="13">
        <f t="shared" si="4435"/>
        <v>0</v>
      </c>
      <c r="Y4116" s="13">
        <f t="shared" si="4435"/>
        <v>0</v>
      </c>
      <c r="Z4116" s="13">
        <f t="shared" si="3023"/>
        <v>1</v>
      </c>
      <c r="AA4116" s="13"/>
      <c r="AB4116" s="13"/>
      <c r="AC4116" s="13"/>
      <c r="AD4116" s="13"/>
      <c r="AE4116" s="13"/>
      <c r="AF4116" s="13"/>
      <c r="AG4116" s="13"/>
      <c r="AH4116" s="13"/>
      <c r="AI4116" s="13"/>
      <c r="AJ4116" s="13"/>
      <c r="AK4116" s="13"/>
      <c r="AL4116" s="13"/>
      <c r="AM4116" s="13"/>
      <c r="AN4116" s="13"/>
      <c r="AO4116" s="13"/>
      <c r="AP4116" s="13"/>
      <c r="AQ4116" s="13"/>
      <c r="AR4116" s="13"/>
      <c r="AS4116" s="13"/>
    </row>
    <row r="4117" ht="14.25" customHeight="1">
      <c r="A4117" s="26" t="s">
        <v>46</v>
      </c>
      <c r="B4117" s="31" t="s">
        <v>53</v>
      </c>
      <c r="C4117" s="26">
        <v>221.0</v>
      </c>
      <c r="D4117" s="26" t="s">
        <v>192</v>
      </c>
      <c r="E4117" s="13"/>
      <c r="F4117" s="26"/>
      <c r="G4117" s="26" t="s">
        <v>111</v>
      </c>
      <c r="H4117" s="26" t="s">
        <v>75</v>
      </c>
      <c r="I4117" s="13"/>
      <c r="J4117" s="13"/>
      <c r="K4117" s="15">
        <v>1.0</v>
      </c>
      <c r="L4117" s="15">
        <v>1.0</v>
      </c>
      <c r="M4117" s="16"/>
      <c r="N4117" s="16"/>
      <c r="O4117" s="17"/>
      <c r="P4117" s="17"/>
      <c r="Q4117" s="13"/>
      <c r="R4117" s="13"/>
      <c r="S4117" s="13"/>
      <c r="T4117" s="13">
        <f t="shared" ref="T4117:Y4117" si="4436">IF(ISBLANK(K4117)=TRUE,0,1)</f>
        <v>1</v>
      </c>
      <c r="U4117" s="13">
        <f t="shared" si="4436"/>
        <v>1</v>
      </c>
      <c r="V4117" s="13">
        <f t="shared" si="4436"/>
        <v>0</v>
      </c>
      <c r="W4117" s="13">
        <f t="shared" si="4436"/>
        <v>0</v>
      </c>
      <c r="X4117" s="13">
        <f t="shared" si="4436"/>
        <v>0</v>
      </c>
      <c r="Y4117" s="13">
        <f t="shared" si="4436"/>
        <v>0</v>
      </c>
      <c r="Z4117" s="13">
        <f t="shared" si="3023"/>
        <v>1</v>
      </c>
      <c r="AA4117" s="13"/>
      <c r="AB4117" s="13"/>
      <c r="AC4117" s="13"/>
      <c r="AD4117" s="13"/>
      <c r="AE4117" s="13"/>
      <c r="AF4117" s="13"/>
      <c r="AG4117" s="13"/>
      <c r="AH4117" s="13"/>
      <c r="AI4117" s="13"/>
      <c r="AJ4117" s="13"/>
      <c r="AK4117" s="13"/>
      <c r="AL4117" s="13"/>
      <c r="AM4117" s="13"/>
      <c r="AN4117" s="13"/>
      <c r="AO4117" s="13"/>
      <c r="AP4117" s="13"/>
      <c r="AQ4117" s="13"/>
      <c r="AR4117" s="13"/>
      <c r="AS4117" s="13"/>
    </row>
    <row r="4118" ht="14.25" customHeight="1">
      <c r="A4118" s="26" t="s">
        <v>46</v>
      </c>
      <c r="B4118" s="31" t="s">
        <v>53</v>
      </c>
      <c r="C4118" s="26">
        <v>221.0</v>
      </c>
      <c r="D4118" s="26" t="s">
        <v>193</v>
      </c>
      <c r="E4118" s="13"/>
      <c r="F4118" s="26"/>
      <c r="G4118" s="26" t="s">
        <v>111</v>
      </c>
      <c r="H4118" s="26" t="s">
        <v>75</v>
      </c>
      <c r="I4118" s="13"/>
      <c r="J4118" s="13"/>
      <c r="K4118" s="15">
        <v>1.0</v>
      </c>
      <c r="L4118" s="15">
        <v>1.0</v>
      </c>
      <c r="M4118" s="16"/>
      <c r="N4118" s="16"/>
      <c r="O4118" s="17"/>
      <c r="P4118" s="17"/>
      <c r="Q4118" s="13"/>
      <c r="R4118" s="13"/>
      <c r="S4118" s="13"/>
      <c r="T4118" s="13">
        <f t="shared" ref="T4118:Y4118" si="4437">IF(ISBLANK(K4118)=TRUE,0,1)</f>
        <v>1</v>
      </c>
      <c r="U4118" s="13">
        <f t="shared" si="4437"/>
        <v>1</v>
      </c>
      <c r="V4118" s="13">
        <f t="shared" si="4437"/>
        <v>0</v>
      </c>
      <c r="W4118" s="13">
        <f t="shared" si="4437"/>
        <v>0</v>
      </c>
      <c r="X4118" s="13">
        <f t="shared" si="4437"/>
        <v>0</v>
      </c>
      <c r="Y4118" s="13">
        <f t="shared" si="4437"/>
        <v>0</v>
      </c>
      <c r="Z4118" s="13">
        <f t="shared" si="3023"/>
        <v>1</v>
      </c>
      <c r="AA4118" s="13"/>
      <c r="AB4118" s="13"/>
      <c r="AC4118" s="13"/>
      <c r="AD4118" s="13"/>
      <c r="AE4118" s="13"/>
      <c r="AF4118" s="13"/>
      <c r="AG4118" s="13"/>
      <c r="AH4118" s="13"/>
      <c r="AI4118" s="13"/>
      <c r="AJ4118" s="13"/>
      <c r="AK4118" s="13"/>
      <c r="AL4118" s="13"/>
      <c r="AM4118" s="13"/>
      <c r="AN4118" s="13"/>
      <c r="AO4118" s="13"/>
      <c r="AP4118" s="13"/>
      <c r="AQ4118" s="13"/>
      <c r="AR4118" s="13"/>
      <c r="AS4118" s="13"/>
    </row>
    <row r="4119" ht="14.25" customHeight="1">
      <c r="A4119" s="26" t="s">
        <v>46</v>
      </c>
      <c r="B4119" s="31" t="s">
        <v>53</v>
      </c>
      <c r="C4119" s="26">
        <v>221.0</v>
      </c>
      <c r="D4119" s="26" t="s">
        <v>194</v>
      </c>
      <c r="E4119" s="13"/>
      <c r="F4119" s="26"/>
      <c r="G4119" s="26" t="s">
        <v>111</v>
      </c>
      <c r="H4119" s="26" t="s">
        <v>75</v>
      </c>
      <c r="I4119" s="13"/>
      <c r="J4119" s="13"/>
      <c r="K4119" s="15">
        <v>1.0</v>
      </c>
      <c r="L4119" s="15">
        <v>1.0</v>
      </c>
      <c r="M4119" s="16"/>
      <c r="N4119" s="16"/>
      <c r="O4119" s="17"/>
      <c r="P4119" s="17"/>
      <c r="Q4119" s="13"/>
      <c r="R4119" s="13"/>
      <c r="S4119" s="13"/>
      <c r="T4119" s="13">
        <f t="shared" ref="T4119:Y4119" si="4438">IF(ISBLANK(K4119)=TRUE,0,1)</f>
        <v>1</v>
      </c>
      <c r="U4119" s="13">
        <f t="shared" si="4438"/>
        <v>1</v>
      </c>
      <c r="V4119" s="13">
        <f t="shared" si="4438"/>
        <v>0</v>
      </c>
      <c r="W4119" s="13">
        <f t="shared" si="4438"/>
        <v>0</v>
      </c>
      <c r="X4119" s="13">
        <f t="shared" si="4438"/>
        <v>0</v>
      </c>
      <c r="Y4119" s="13">
        <f t="shared" si="4438"/>
        <v>0</v>
      </c>
      <c r="Z4119" s="13">
        <f t="shared" si="3023"/>
        <v>1</v>
      </c>
      <c r="AA4119" s="13"/>
      <c r="AB4119" s="13"/>
      <c r="AC4119" s="13"/>
      <c r="AD4119" s="13"/>
      <c r="AE4119" s="13"/>
      <c r="AF4119" s="13"/>
      <c r="AG4119" s="13"/>
      <c r="AH4119" s="13"/>
      <c r="AI4119" s="13"/>
      <c r="AJ4119" s="13"/>
      <c r="AK4119" s="13"/>
      <c r="AL4119" s="13"/>
      <c r="AM4119" s="13"/>
      <c r="AN4119" s="13"/>
      <c r="AO4119" s="13"/>
      <c r="AP4119" s="13"/>
      <c r="AQ4119" s="13"/>
      <c r="AR4119" s="13"/>
      <c r="AS4119" s="13"/>
    </row>
    <row r="4120" ht="14.25" customHeight="1">
      <c r="A4120" s="26" t="s">
        <v>46</v>
      </c>
      <c r="B4120" s="31" t="s">
        <v>53</v>
      </c>
      <c r="C4120" s="26">
        <v>221.0</v>
      </c>
      <c r="D4120" s="26" t="s">
        <v>195</v>
      </c>
      <c r="E4120" s="13"/>
      <c r="F4120" s="26"/>
      <c r="G4120" s="26" t="s">
        <v>111</v>
      </c>
      <c r="H4120" s="26" t="s">
        <v>75</v>
      </c>
      <c r="I4120" s="13"/>
      <c r="J4120" s="13"/>
      <c r="K4120" s="15">
        <v>1.0</v>
      </c>
      <c r="L4120" s="15">
        <v>1.0</v>
      </c>
      <c r="M4120" s="16"/>
      <c r="N4120" s="16"/>
      <c r="O4120" s="17"/>
      <c r="P4120" s="17"/>
      <c r="Q4120" s="13"/>
      <c r="R4120" s="13"/>
      <c r="S4120" s="13"/>
      <c r="T4120" s="13">
        <f t="shared" ref="T4120:Y4120" si="4439">IF(ISBLANK(K4120)=TRUE,0,1)</f>
        <v>1</v>
      </c>
      <c r="U4120" s="13">
        <f t="shared" si="4439"/>
        <v>1</v>
      </c>
      <c r="V4120" s="13">
        <f t="shared" si="4439"/>
        <v>0</v>
      </c>
      <c r="W4120" s="13">
        <f t="shared" si="4439"/>
        <v>0</v>
      </c>
      <c r="X4120" s="13">
        <f t="shared" si="4439"/>
        <v>0</v>
      </c>
      <c r="Y4120" s="13">
        <f t="shared" si="4439"/>
        <v>0</v>
      </c>
      <c r="Z4120" s="13">
        <f t="shared" si="3023"/>
        <v>1</v>
      </c>
      <c r="AA4120" s="13"/>
      <c r="AB4120" s="13"/>
      <c r="AC4120" s="13"/>
      <c r="AD4120" s="13"/>
      <c r="AE4120" s="13"/>
      <c r="AF4120" s="13"/>
      <c r="AG4120" s="13"/>
      <c r="AH4120" s="13"/>
      <c r="AI4120" s="13"/>
      <c r="AJ4120" s="13"/>
      <c r="AK4120" s="13"/>
      <c r="AL4120" s="13"/>
      <c r="AM4120" s="13"/>
      <c r="AN4120" s="13"/>
      <c r="AO4120" s="13"/>
      <c r="AP4120" s="13"/>
      <c r="AQ4120" s="13"/>
      <c r="AR4120" s="13"/>
      <c r="AS4120" s="13"/>
    </row>
    <row r="4121" ht="14.25" customHeight="1">
      <c r="A4121" s="26" t="s">
        <v>46</v>
      </c>
      <c r="B4121" s="31" t="s">
        <v>53</v>
      </c>
      <c r="C4121" s="26">
        <v>221.0</v>
      </c>
      <c r="D4121" s="26" t="s">
        <v>196</v>
      </c>
      <c r="E4121" s="13"/>
      <c r="F4121" s="26"/>
      <c r="G4121" s="26" t="s">
        <v>111</v>
      </c>
      <c r="H4121" s="26" t="s">
        <v>75</v>
      </c>
      <c r="I4121" s="13"/>
      <c r="J4121" s="13"/>
      <c r="K4121" s="15">
        <v>1.0</v>
      </c>
      <c r="L4121" s="15">
        <v>1.0</v>
      </c>
      <c r="M4121" s="16"/>
      <c r="N4121" s="16"/>
      <c r="O4121" s="17"/>
      <c r="P4121" s="17"/>
      <c r="Q4121" s="13"/>
      <c r="R4121" s="13"/>
      <c r="S4121" s="13"/>
      <c r="T4121" s="13">
        <f t="shared" ref="T4121:Y4121" si="4440">IF(ISBLANK(K4121)=TRUE,0,1)</f>
        <v>1</v>
      </c>
      <c r="U4121" s="13">
        <f t="shared" si="4440"/>
        <v>1</v>
      </c>
      <c r="V4121" s="13">
        <f t="shared" si="4440"/>
        <v>0</v>
      </c>
      <c r="W4121" s="13">
        <f t="shared" si="4440"/>
        <v>0</v>
      </c>
      <c r="X4121" s="13">
        <f t="shared" si="4440"/>
        <v>0</v>
      </c>
      <c r="Y4121" s="13">
        <f t="shared" si="4440"/>
        <v>0</v>
      </c>
      <c r="Z4121" s="13">
        <f t="shared" si="3023"/>
        <v>1</v>
      </c>
      <c r="AA4121" s="13"/>
      <c r="AB4121" s="13"/>
      <c r="AC4121" s="13"/>
      <c r="AD4121" s="13"/>
      <c r="AE4121" s="13"/>
      <c r="AF4121" s="13"/>
      <c r="AG4121" s="13"/>
      <c r="AH4121" s="13"/>
      <c r="AI4121" s="13"/>
      <c r="AJ4121" s="13"/>
      <c r="AK4121" s="13"/>
      <c r="AL4121" s="13"/>
      <c r="AM4121" s="13"/>
      <c r="AN4121" s="13"/>
      <c r="AO4121" s="13"/>
      <c r="AP4121" s="13"/>
      <c r="AQ4121" s="13"/>
      <c r="AR4121" s="13"/>
      <c r="AS4121" s="13"/>
    </row>
    <row r="4122" ht="14.25" customHeight="1">
      <c r="A4122" s="26" t="s">
        <v>46</v>
      </c>
      <c r="B4122" s="31" t="s">
        <v>53</v>
      </c>
      <c r="C4122" s="26">
        <v>221.0</v>
      </c>
      <c r="D4122" s="26" t="s">
        <v>197</v>
      </c>
      <c r="E4122" s="13"/>
      <c r="F4122" s="26"/>
      <c r="G4122" s="26" t="s">
        <v>111</v>
      </c>
      <c r="H4122" s="26" t="s">
        <v>75</v>
      </c>
      <c r="I4122" s="13"/>
      <c r="J4122" s="13"/>
      <c r="K4122" s="15">
        <v>1.0</v>
      </c>
      <c r="L4122" s="15">
        <v>1.0</v>
      </c>
      <c r="M4122" s="16"/>
      <c r="N4122" s="16"/>
      <c r="O4122" s="17"/>
      <c r="P4122" s="17"/>
      <c r="Q4122" s="13"/>
      <c r="R4122" s="13"/>
      <c r="S4122" s="13"/>
      <c r="T4122" s="13">
        <f t="shared" ref="T4122:Y4122" si="4441">IF(ISBLANK(K4122)=TRUE,0,1)</f>
        <v>1</v>
      </c>
      <c r="U4122" s="13">
        <f t="shared" si="4441"/>
        <v>1</v>
      </c>
      <c r="V4122" s="13">
        <f t="shared" si="4441"/>
        <v>0</v>
      </c>
      <c r="W4122" s="13">
        <f t="shared" si="4441"/>
        <v>0</v>
      </c>
      <c r="X4122" s="13">
        <f t="shared" si="4441"/>
        <v>0</v>
      </c>
      <c r="Y4122" s="13">
        <f t="shared" si="4441"/>
        <v>0</v>
      </c>
      <c r="Z4122" s="13">
        <f t="shared" si="3023"/>
        <v>1</v>
      </c>
      <c r="AA4122" s="13"/>
      <c r="AB4122" s="13"/>
      <c r="AC4122" s="13"/>
      <c r="AD4122" s="13"/>
      <c r="AE4122" s="13"/>
      <c r="AF4122" s="13"/>
      <c r="AG4122" s="13"/>
      <c r="AH4122" s="13"/>
      <c r="AI4122" s="13"/>
      <c r="AJ4122" s="13"/>
      <c r="AK4122" s="13"/>
      <c r="AL4122" s="13"/>
      <c r="AM4122" s="13"/>
      <c r="AN4122" s="13"/>
      <c r="AO4122" s="13"/>
      <c r="AP4122" s="13"/>
      <c r="AQ4122" s="13"/>
      <c r="AR4122" s="13"/>
      <c r="AS4122" s="13"/>
    </row>
    <row r="4123" ht="14.25" customHeight="1">
      <c r="A4123" s="26" t="s">
        <v>46</v>
      </c>
      <c r="B4123" s="31" t="s">
        <v>53</v>
      </c>
      <c r="C4123" s="26">
        <v>221.0</v>
      </c>
      <c r="D4123" s="26" t="s">
        <v>433</v>
      </c>
      <c r="E4123" s="13"/>
      <c r="F4123" s="26"/>
      <c r="G4123" s="26" t="s">
        <v>111</v>
      </c>
      <c r="H4123" s="26" t="s">
        <v>75</v>
      </c>
      <c r="I4123" s="13"/>
      <c r="J4123" s="13"/>
      <c r="K4123" s="15">
        <v>1.0</v>
      </c>
      <c r="L4123" s="15">
        <v>1.0</v>
      </c>
      <c r="M4123" s="16"/>
      <c r="N4123" s="16"/>
      <c r="O4123" s="17"/>
      <c r="P4123" s="17"/>
      <c r="Q4123" s="13"/>
      <c r="R4123" s="13"/>
      <c r="S4123" s="13"/>
      <c r="T4123" s="13">
        <f t="shared" ref="T4123:Y4123" si="4442">IF(ISBLANK(K4123)=TRUE,0,1)</f>
        <v>1</v>
      </c>
      <c r="U4123" s="13">
        <f t="shared" si="4442"/>
        <v>1</v>
      </c>
      <c r="V4123" s="13">
        <f t="shared" si="4442"/>
        <v>0</v>
      </c>
      <c r="W4123" s="13">
        <f t="shared" si="4442"/>
        <v>0</v>
      </c>
      <c r="X4123" s="13">
        <f t="shared" si="4442"/>
        <v>0</v>
      </c>
      <c r="Y4123" s="13">
        <f t="shared" si="4442"/>
        <v>0</v>
      </c>
      <c r="Z4123" s="13">
        <f t="shared" si="3023"/>
        <v>1</v>
      </c>
      <c r="AA4123" s="13"/>
      <c r="AB4123" s="13"/>
      <c r="AC4123" s="13"/>
      <c r="AD4123" s="13"/>
      <c r="AE4123" s="13"/>
      <c r="AF4123" s="13"/>
      <c r="AG4123" s="13"/>
      <c r="AH4123" s="13"/>
      <c r="AI4123" s="13"/>
      <c r="AJ4123" s="13"/>
      <c r="AK4123" s="13"/>
      <c r="AL4123" s="13"/>
      <c r="AM4123" s="13"/>
      <c r="AN4123" s="13"/>
      <c r="AO4123" s="13"/>
      <c r="AP4123" s="13"/>
      <c r="AQ4123" s="13"/>
      <c r="AR4123" s="13"/>
      <c r="AS4123" s="13"/>
    </row>
    <row r="4124" ht="14.25" customHeight="1">
      <c r="A4124" s="26" t="s">
        <v>46</v>
      </c>
      <c r="B4124" s="31" t="s">
        <v>53</v>
      </c>
      <c r="C4124" s="26">
        <v>221.0</v>
      </c>
      <c r="D4124" s="26" t="s">
        <v>434</v>
      </c>
      <c r="E4124" s="13"/>
      <c r="F4124" s="26"/>
      <c r="G4124" s="26" t="s">
        <v>111</v>
      </c>
      <c r="H4124" s="26" t="s">
        <v>75</v>
      </c>
      <c r="I4124" s="13"/>
      <c r="J4124" s="13"/>
      <c r="K4124" s="15">
        <v>1.0</v>
      </c>
      <c r="L4124" s="15">
        <v>1.0</v>
      </c>
      <c r="M4124" s="16"/>
      <c r="N4124" s="16"/>
      <c r="O4124" s="17"/>
      <c r="P4124" s="17"/>
      <c r="Q4124" s="13"/>
      <c r="R4124" s="13"/>
      <c r="S4124" s="13"/>
      <c r="T4124" s="13">
        <f t="shared" ref="T4124:Y4124" si="4443">IF(ISBLANK(K4124)=TRUE,0,1)</f>
        <v>1</v>
      </c>
      <c r="U4124" s="13">
        <f t="shared" si="4443"/>
        <v>1</v>
      </c>
      <c r="V4124" s="13">
        <f t="shared" si="4443"/>
        <v>0</v>
      </c>
      <c r="W4124" s="13">
        <f t="shared" si="4443"/>
        <v>0</v>
      </c>
      <c r="X4124" s="13">
        <f t="shared" si="4443"/>
        <v>0</v>
      </c>
      <c r="Y4124" s="13">
        <f t="shared" si="4443"/>
        <v>0</v>
      </c>
      <c r="Z4124" s="13">
        <f t="shared" si="3023"/>
        <v>1</v>
      </c>
      <c r="AA4124" s="13"/>
      <c r="AB4124" s="13"/>
      <c r="AC4124" s="13"/>
      <c r="AD4124" s="13"/>
      <c r="AE4124" s="13"/>
      <c r="AF4124" s="13"/>
      <c r="AG4124" s="13"/>
      <c r="AH4124" s="13"/>
      <c r="AI4124" s="13"/>
      <c r="AJ4124" s="13"/>
      <c r="AK4124" s="13"/>
      <c r="AL4124" s="13"/>
      <c r="AM4124" s="13"/>
      <c r="AN4124" s="13"/>
      <c r="AO4124" s="13"/>
      <c r="AP4124" s="13"/>
      <c r="AQ4124" s="13"/>
      <c r="AR4124" s="13"/>
      <c r="AS4124" s="13"/>
    </row>
    <row r="4125" ht="14.25" customHeight="1">
      <c r="A4125" s="26" t="s">
        <v>46</v>
      </c>
      <c r="B4125" s="31" t="s">
        <v>53</v>
      </c>
      <c r="C4125" s="26">
        <v>221.0</v>
      </c>
      <c r="D4125" s="26" t="s">
        <v>435</v>
      </c>
      <c r="E4125" s="13"/>
      <c r="F4125" s="26"/>
      <c r="G4125" s="26" t="s">
        <v>111</v>
      </c>
      <c r="H4125" s="26" t="s">
        <v>75</v>
      </c>
      <c r="I4125" s="13"/>
      <c r="J4125" s="13"/>
      <c r="K4125" s="15">
        <v>1.0</v>
      </c>
      <c r="L4125" s="15">
        <v>1.0</v>
      </c>
      <c r="M4125" s="16"/>
      <c r="N4125" s="16"/>
      <c r="O4125" s="17"/>
      <c r="P4125" s="17"/>
      <c r="Q4125" s="13"/>
      <c r="R4125" s="13"/>
      <c r="S4125" s="13"/>
      <c r="T4125" s="13">
        <f t="shared" ref="T4125:Y4125" si="4444">IF(ISBLANK(K4125)=TRUE,0,1)</f>
        <v>1</v>
      </c>
      <c r="U4125" s="13">
        <f t="shared" si="4444"/>
        <v>1</v>
      </c>
      <c r="V4125" s="13">
        <f t="shared" si="4444"/>
        <v>0</v>
      </c>
      <c r="W4125" s="13">
        <f t="shared" si="4444"/>
        <v>0</v>
      </c>
      <c r="X4125" s="13">
        <f t="shared" si="4444"/>
        <v>0</v>
      </c>
      <c r="Y4125" s="13">
        <f t="shared" si="4444"/>
        <v>0</v>
      </c>
      <c r="Z4125" s="13">
        <f t="shared" si="3023"/>
        <v>1</v>
      </c>
      <c r="AA4125" s="13"/>
      <c r="AB4125" s="13"/>
      <c r="AC4125" s="13"/>
      <c r="AD4125" s="13"/>
      <c r="AE4125" s="13"/>
      <c r="AF4125" s="13"/>
      <c r="AG4125" s="13"/>
      <c r="AH4125" s="13"/>
      <c r="AI4125" s="13"/>
      <c r="AJ4125" s="13"/>
      <c r="AK4125" s="13"/>
      <c r="AL4125" s="13"/>
      <c r="AM4125" s="13"/>
      <c r="AN4125" s="13"/>
      <c r="AO4125" s="13"/>
      <c r="AP4125" s="13"/>
      <c r="AQ4125" s="13"/>
      <c r="AR4125" s="13"/>
      <c r="AS4125" s="13"/>
    </row>
    <row r="4126" ht="14.25" customHeight="1">
      <c r="A4126" s="26" t="s">
        <v>46</v>
      </c>
      <c r="B4126" s="31" t="s">
        <v>53</v>
      </c>
      <c r="C4126" s="13">
        <v>225.0</v>
      </c>
      <c r="D4126" s="26" t="s">
        <v>174</v>
      </c>
      <c r="E4126" s="13"/>
      <c r="F4126" s="13"/>
      <c r="G4126" s="26" t="s">
        <v>111</v>
      </c>
      <c r="H4126" s="26" t="s">
        <v>75</v>
      </c>
      <c r="I4126" s="13"/>
      <c r="J4126" s="13"/>
      <c r="K4126" s="15">
        <v>1.0</v>
      </c>
      <c r="L4126" s="15">
        <v>1.0</v>
      </c>
      <c r="M4126" s="16"/>
      <c r="N4126" s="16"/>
      <c r="O4126" s="17"/>
      <c r="P4126" s="17"/>
      <c r="Q4126" s="13"/>
      <c r="R4126" s="13"/>
      <c r="S4126" s="13"/>
      <c r="T4126" s="13">
        <f t="shared" ref="T4126:Y4126" si="4445">IF(ISBLANK(K4126)=TRUE,0,1)</f>
        <v>1</v>
      </c>
      <c r="U4126" s="13">
        <f t="shared" si="4445"/>
        <v>1</v>
      </c>
      <c r="V4126" s="13">
        <f t="shared" si="4445"/>
        <v>0</v>
      </c>
      <c r="W4126" s="13">
        <f t="shared" si="4445"/>
        <v>0</v>
      </c>
      <c r="X4126" s="13">
        <f t="shared" si="4445"/>
        <v>0</v>
      </c>
      <c r="Y4126" s="13">
        <f t="shared" si="4445"/>
        <v>0</v>
      </c>
      <c r="Z4126" s="13">
        <f t="shared" si="3023"/>
        <v>1</v>
      </c>
      <c r="AA4126" s="13"/>
      <c r="AB4126" s="13"/>
      <c r="AC4126" s="13"/>
      <c r="AD4126" s="13"/>
      <c r="AE4126" s="13"/>
      <c r="AF4126" s="13"/>
      <c r="AG4126" s="13"/>
      <c r="AH4126" s="13"/>
      <c r="AI4126" s="13"/>
      <c r="AJ4126" s="13"/>
      <c r="AK4126" s="13"/>
      <c r="AL4126" s="13"/>
      <c r="AM4126" s="13"/>
      <c r="AN4126" s="13"/>
      <c r="AO4126" s="13"/>
      <c r="AP4126" s="13"/>
      <c r="AQ4126" s="13"/>
      <c r="AR4126" s="13"/>
      <c r="AS4126" s="13"/>
    </row>
    <row r="4127" ht="14.25" customHeight="1">
      <c r="A4127" s="26" t="s">
        <v>46</v>
      </c>
      <c r="B4127" s="31" t="s">
        <v>53</v>
      </c>
      <c r="C4127" s="13">
        <v>225.0</v>
      </c>
      <c r="D4127" s="26" t="s">
        <v>175</v>
      </c>
      <c r="E4127" s="13"/>
      <c r="F4127" s="13"/>
      <c r="G4127" s="26" t="s">
        <v>111</v>
      </c>
      <c r="H4127" s="26" t="s">
        <v>75</v>
      </c>
      <c r="I4127" s="13"/>
      <c r="J4127" s="13"/>
      <c r="K4127" s="15">
        <v>1.0</v>
      </c>
      <c r="L4127" s="15">
        <v>1.0</v>
      </c>
      <c r="M4127" s="16"/>
      <c r="N4127" s="16"/>
      <c r="O4127" s="17"/>
      <c r="P4127" s="17"/>
      <c r="Q4127" s="13"/>
      <c r="R4127" s="13"/>
      <c r="S4127" s="13"/>
      <c r="T4127" s="13">
        <f t="shared" ref="T4127:Y4127" si="4446">IF(ISBLANK(K4127)=TRUE,0,1)</f>
        <v>1</v>
      </c>
      <c r="U4127" s="13">
        <f t="shared" si="4446"/>
        <v>1</v>
      </c>
      <c r="V4127" s="13">
        <f t="shared" si="4446"/>
        <v>0</v>
      </c>
      <c r="W4127" s="13">
        <f t="shared" si="4446"/>
        <v>0</v>
      </c>
      <c r="X4127" s="13">
        <f t="shared" si="4446"/>
        <v>0</v>
      </c>
      <c r="Y4127" s="13">
        <f t="shared" si="4446"/>
        <v>0</v>
      </c>
      <c r="Z4127" s="13">
        <f t="shared" si="3023"/>
        <v>1</v>
      </c>
      <c r="AA4127" s="13"/>
      <c r="AB4127" s="13"/>
      <c r="AC4127" s="13"/>
      <c r="AD4127" s="13"/>
      <c r="AE4127" s="13"/>
      <c r="AF4127" s="13"/>
      <c r="AG4127" s="13"/>
      <c r="AH4127" s="13"/>
      <c r="AI4127" s="13"/>
      <c r="AJ4127" s="13"/>
      <c r="AK4127" s="13"/>
      <c r="AL4127" s="13"/>
      <c r="AM4127" s="13"/>
      <c r="AN4127" s="13"/>
      <c r="AO4127" s="13"/>
      <c r="AP4127" s="13"/>
      <c r="AQ4127" s="13"/>
      <c r="AR4127" s="13"/>
      <c r="AS4127" s="13"/>
    </row>
    <row r="4128" ht="14.25" customHeight="1">
      <c r="A4128" s="26" t="s">
        <v>46</v>
      </c>
      <c r="B4128" s="31" t="s">
        <v>53</v>
      </c>
      <c r="C4128" s="13">
        <v>225.0</v>
      </c>
      <c r="D4128" s="26" t="s">
        <v>176</v>
      </c>
      <c r="E4128" s="13"/>
      <c r="F4128" s="13"/>
      <c r="G4128" s="26" t="s">
        <v>111</v>
      </c>
      <c r="H4128" s="26" t="s">
        <v>75</v>
      </c>
      <c r="I4128" s="13"/>
      <c r="J4128" s="13"/>
      <c r="K4128" s="15">
        <v>1.0</v>
      </c>
      <c r="L4128" s="15">
        <v>1.0</v>
      </c>
      <c r="M4128" s="16"/>
      <c r="N4128" s="16"/>
      <c r="O4128" s="17"/>
      <c r="P4128" s="17"/>
      <c r="Q4128" s="13"/>
      <c r="R4128" s="13"/>
      <c r="S4128" s="13"/>
      <c r="T4128" s="13">
        <f t="shared" ref="T4128:Y4128" si="4447">IF(ISBLANK(K4128)=TRUE,0,1)</f>
        <v>1</v>
      </c>
      <c r="U4128" s="13">
        <f t="shared" si="4447"/>
        <v>1</v>
      </c>
      <c r="V4128" s="13">
        <f t="shared" si="4447"/>
        <v>0</v>
      </c>
      <c r="W4128" s="13">
        <f t="shared" si="4447"/>
        <v>0</v>
      </c>
      <c r="X4128" s="13">
        <f t="shared" si="4447"/>
        <v>0</v>
      </c>
      <c r="Y4128" s="13">
        <f t="shared" si="4447"/>
        <v>0</v>
      </c>
      <c r="Z4128" s="13">
        <f t="shared" si="3023"/>
        <v>1</v>
      </c>
      <c r="AA4128" s="13"/>
      <c r="AB4128" s="13"/>
      <c r="AC4128" s="13"/>
      <c r="AD4128" s="13"/>
      <c r="AE4128" s="13"/>
      <c r="AF4128" s="13"/>
      <c r="AG4128" s="13"/>
      <c r="AH4128" s="13"/>
      <c r="AI4128" s="13"/>
      <c r="AJ4128" s="13"/>
      <c r="AK4128" s="13"/>
      <c r="AL4128" s="13"/>
      <c r="AM4128" s="13"/>
      <c r="AN4128" s="13"/>
      <c r="AO4128" s="13"/>
      <c r="AP4128" s="13"/>
      <c r="AQ4128" s="13"/>
      <c r="AR4128" s="13"/>
      <c r="AS4128" s="13"/>
    </row>
    <row r="4129" ht="14.25" customHeight="1">
      <c r="A4129" s="26" t="s">
        <v>46</v>
      </c>
      <c r="B4129" s="31" t="s">
        <v>53</v>
      </c>
      <c r="C4129" s="13">
        <v>225.0</v>
      </c>
      <c r="D4129" s="26" t="s">
        <v>177</v>
      </c>
      <c r="E4129" s="13"/>
      <c r="F4129" s="13"/>
      <c r="G4129" s="26" t="s">
        <v>111</v>
      </c>
      <c r="H4129" s="26" t="s">
        <v>75</v>
      </c>
      <c r="I4129" s="13"/>
      <c r="J4129" s="13"/>
      <c r="K4129" s="15">
        <v>1.0</v>
      </c>
      <c r="L4129" s="15">
        <v>1.0</v>
      </c>
      <c r="M4129" s="16"/>
      <c r="N4129" s="16"/>
      <c r="O4129" s="17"/>
      <c r="P4129" s="17"/>
      <c r="Q4129" s="13"/>
      <c r="R4129" s="13"/>
      <c r="S4129" s="13"/>
      <c r="T4129" s="13">
        <f t="shared" ref="T4129:Y4129" si="4448">IF(ISBLANK(K4129)=TRUE,0,1)</f>
        <v>1</v>
      </c>
      <c r="U4129" s="13">
        <f t="shared" si="4448"/>
        <v>1</v>
      </c>
      <c r="V4129" s="13">
        <f t="shared" si="4448"/>
        <v>0</v>
      </c>
      <c r="W4129" s="13">
        <f t="shared" si="4448"/>
        <v>0</v>
      </c>
      <c r="X4129" s="13">
        <f t="shared" si="4448"/>
        <v>0</v>
      </c>
      <c r="Y4129" s="13">
        <f t="shared" si="4448"/>
        <v>0</v>
      </c>
      <c r="Z4129" s="13">
        <f t="shared" si="3023"/>
        <v>1</v>
      </c>
      <c r="AA4129" s="13"/>
      <c r="AB4129" s="13"/>
      <c r="AC4129" s="13"/>
      <c r="AD4129" s="13"/>
      <c r="AE4129" s="13"/>
      <c r="AF4129" s="13"/>
      <c r="AG4129" s="13"/>
      <c r="AH4129" s="13"/>
      <c r="AI4129" s="13"/>
      <c r="AJ4129" s="13"/>
      <c r="AK4129" s="13"/>
      <c r="AL4129" s="13"/>
      <c r="AM4129" s="13"/>
      <c r="AN4129" s="13"/>
      <c r="AO4129" s="13"/>
      <c r="AP4129" s="13"/>
      <c r="AQ4129" s="13"/>
      <c r="AR4129" s="13"/>
      <c r="AS4129" s="13"/>
    </row>
    <row r="4130" ht="14.25" customHeight="1">
      <c r="A4130" s="26" t="s">
        <v>46</v>
      </c>
      <c r="B4130" s="31" t="s">
        <v>53</v>
      </c>
      <c r="C4130" s="13">
        <v>225.0</v>
      </c>
      <c r="D4130" s="26" t="s">
        <v>178</v>
      </c>
      <c r="E4130" s="13"/>
      <c r="F4130" s="13"/>
      <c r="G4130" s="26" t="s">
        <v>111</v>
      </c>
      <c r="H4130" s="26" t="s">
        <v>75</v>
      </c>
      <c r="I4130" s="13"/>
      <c r="J4130" s="13"/>
      <c r="K4130" s="15">
        <v>1.0</v>
      </c>
      <c r="L4130" s="15">
        <v>1.0</v>
      </c>
      <c r="M4130" s="16"/>
      <c r="N4130" s="16"/>
      <c r="O4130" s="17"/>
      <c r="P4130" s="17"/>
      <c r="Q4130" s="13"/>
      <c r="R4130" s="13"/>
      <c r="S4130" s="13"/>
      <c r="T4130" s="13">
        <f t="shared" ref="T4130:Y4130" si="4449">IF(ISBLANK(K4130)=TRUE,0,1)</f>
        <v>1</v>
      </c>
      <c r="U4130" s="13">
        <f t="shared" si="4449"/>
        <v>1</v>
      </c>
      <c r="V4130" s="13">
        <f t="shared" si="4449"/>
        <v>0</v>
      </c>
      <c r="W4130" s="13">
        <f t="shared" si="4449"/>
        <v>0</v>
      </c>
      <c r="X4130" s="13">
        <f t="shared" si="4449"/>
        <v>0</v>
      </c>
      <c r="Y4130" s="13">
        <f t="shared" si="4449"/>
        <v>0</v>
      </c>
      <c r="Z4130" s="13">
        <f t="shared" si="3023"/>
        <v>1</v>
      </c>
      <c r="AA4130" s="13"/>
      <c r="AB4130" s="13"/>
      <c r="AC4130" s="13"/>
      <c r="AD4130" s="13"/>
      <c r="AE4130" s="13"/>
      <c r="AF4130" s="13"/>
      <c r="AG4130" s="13"/>
      <c r="AH4130" s="13"/>
      <c r="AI4130" s="13"/>
      <c r="AJ4130" s="13"/>
      <c r="AK4130" s="13"/>
      <c r="AL4130" s="13"/>
      <c r="AM4130" s="13"/>
      <c r="AN4130" s="13"/>
      <c r="AO4130" s="13"/>
      <c r="AP4130" s="13"/>
      <c r="AQ4130" s="13"/>
      <c r="AR4130" s="13"/>
      <c r="AS4130" s="13"/>
    </row>
    <row r="4131" ht="14.25" customHeight="1">
      <c r="A4131" s="26" t="s">
        <v>46</v>
      </c>
      <c r="B4131" s="31" t="s">
        <v>53</v>
      </c>
      <c r="C4131" s="13">
        <v>225.0</v>
      </c>
      <c r="D4131" s="26" t="s">
        <v>179</v>
      </c>
      <c r="E4131" s="13"/>
      <c r="F4131" s="13"/>
      <c r="G4131" s="26" t="s">
        <v>111</v>
      </c>
      <c r="H4131" s="26" t="s">
        <v>75</v>
      </c>
      <c r="I4131" s="13"/>
      <c r="J4131" s="13"/>
      <c r="K4131" s="15">
        <v>1.0</v>
      </c>
      <c r="L4131" s="15">
        <v>1.0</v>
      </c>
      <c r="M4131" s="16"/>
      <c r="N4131" s="16"/>
      <c r="O4131" s="17"/>
      <c r="P4131" s="17"/>
      <c r="Q4131" s="13"/>
      <c r="R4131" s="13"/>
      <c r="S4131" s="13"/>
      <c r="T4131" s="13">
        <f t="shared" ref="T4131:Y4131" si="4450">IF(ISBLANK(K4131)=TRUE,0,1)</f>
        <v>1</v>
      </c>
      <c r="U4131" s="13">
        <f t="shared" si="4450"/>
        <v>1</v>
      </c>
      <c r="V4131" s="13">
        <f t="shared" si="4450"/>
        <v>0</v>
      </c>
      <c r="W4131" s="13">
        <f t="shared" si="4450"/>
        <v>0</v>
      </c>
      <c r="X4131" s="13">
        <f t="shared" si="4450"/>
        <v>0</v>
      </c>
      <c r="Y4131" s="13">
        <f t="shared" si="4450"/>
        <v>0</v>
      </c>
      <c r="Z4131" s="13">
        <f t="shared" si="3023"/>
        <v>1</v>
      </c>
      <c r="AA4131" s="13"/>
      <c r="AB4131" s="13"/>
      <c r="AC4131" s="13"/>
      <c r="AD4131" s="13"/>
      <c r="AE4131" s="13"/>
      <c r="AF4131" s="13"/>
      <c r="AG4131" s="13"/>
      <c r="AH4131" s="13"/>
      <c r="AI4131" s="13"/>
      <c r="AJ4131" s="13"/>
      <c r="AK4131" s="13"/>
      <c r="AL4131" s="13"/>
      <c r="AM4131" s="13"/>
      <c r="AN4131" s="13"/>
      <c r="AO4131" s="13"/>
      <c r="AP4131" s="13"/>
      <c r="AQ4131" s="13"/>
      <c r="AR4131" s="13"/>
      <c r="AS4131" s="13"/>
    </row>
    <row r="4132" ht="14.25" customHeight="1">
      <c r="A4132" s="26" t="s">
        <v>46</v>
      </c>
      <c r="B4132" s="31" t="s">
        <v>53</v>
      </c>
      <c r="C4132" s="13">
        <v>225.0</v>
      </c>
      <c r="D4132" s="26" t="s">
        <v>180</v>
      </c>
      <c r="E4132" s="13"/>
      <c r="F4132" s="13"/>
      <c r="G4132" s="26" t="s">
        <v>111</v>
      </c>
      <c r="H4132" s="26" t="s">
        <v>75</v>
      </c>
      <c r="I4132" s="13"/>
      <c r="J4132" s="13"/>
      <c r="K4132" s="15">
        <v>1.0</v>
      </c>
      <c r="L4132" s="15">
        <v>1.0</v>
      </c>
      <c r="M4132" s="16"/>
      <c r="N4132" s="16"/>
      <c r="O4132" s="17"/>
      <c r="P4132" s="17"/>
      <c r="Q4132" s="13"/>
      <c r="R4132" s="13"/>
      <c r="S4132" s="13"/>
      <c r="T4132" s="13">
        <f t="shared" ref="T4132:Y4132" si="4451">IF(ISBLANK(K4132)=TRUE,0,1)</f>
        <v>1</v>
      </c>
      <c r="U4132" s="13">
        <f t="shared" si="4451"/>
        <v>1</v>
      </c>
      <c r="V4132" s="13">
        <f t="shared" si="4451"/>
        <v>0</v>
      </c>
      <c r="W4132" s="13">
        <f t="shared" si="4451"/>
        <v>0</v>
      </c>
      <c r="X4132" s="13">
        <f t="shared" si="4451"/>
        <v>0</v>
      </c>
      <c r="Y4132" s="13">
        <f t="shared" si="4451"/>
        <v>0</v>
      </c>
      <c r="Z4132" s="13">
        <f t="shared" si="3023"/>
        <v>1</v>
      </c>
      <c r="AA4132" s="13"/>
      <c r="AB4132" s="13"/>
      <c r="AC4132" s="13"/>
      <c r="AD4132" s="13"/>
      <c r="AE4132" s="13"/>
      <c r="AF4132" s="13"/>
      <c r="AG4132" s="13"/>
      <c r="AH4132" s="13"/>
      <c r="AI4132" s="13"/>
      <c r="AJ4132" s="13"/>
      <c r="AK4132" s="13"/>
      <c r="AL4132" s="13"/>
      <c r="AM4132" s="13"/>
      <c r="AN4132" s="13"/>
      <c r="AO4132" s="13"/>
      <c r="AP4132" s="13"/>
      <c r="AQ4132" s="13"/>
      <c r="AR4132" s="13"/>
      <c r="AS4132" s="13"/>
    </row>
    <row r="4133" ht="14.25" customHeight="1">
      <c r="A4133" s="26" t="s">
        <v>46</v>
      </c>
      <c r="B4133" s="31" t="s">
        <v>53</v>
      </c>
      <c r="C4133" s="13">
        <v>225.0</v>
      </c>
      <c r="D4133" s="26" t="s">
        <v>181</v>
      </c>
      <c r="E4133" s="13"/>
      <c r="F4133" s="13"/>
      <c r="G4133" s="26" t="s">
        <v>111</v>
      </c>
      <c r="H4133" s="26" t="s">
        <v>75</v>
      </c>
      <c r="I4133" s="13"/>
      <c r="J4133" s="13"/>
      <c r="K4133" s="15">
        <v>1.0</v>
      </c>
      <c r="L4133" s="15">
        <v>1.0</v>
      </c>
      <c r="M4133" s="16"/>
      <c r="N4133" s="16"/>
      <c r="O4133" s="17"/>
      <c r="P4133" s="17"/>
      <c r="Q4133" s="13"/>
      <c r="R4133" s="13"/>
      <c r="S4133" s="13"/>
      <c r="T4133" s="13">
        <f t="shared" ref="T4133:Y4133" si="4452">IF(ISBLANK(K4133)=TRUE,0,1)</f>
        <v>1</v>
      </c>
      <c r="U4133" s="13">
        <f t="shared" si="4452"/>
        <v>1</v>
      </c>
      <c r="V4133" s="13">
        <f t="shared" si="4452"/>
        <v>0</v>
      </c>
      <c r="W4133" s="13">
        <f t="shared" si="4452"/>
        <v>0</v>
      </c>
      <c r="X4133" s="13">
        <f t="shared" si="4452"/>
        <v>0</v>
      </c>
      <c r="Y4133" s="13">
        <f t="shared" si="4452"/>
        <v>0</v>
      </c>
      <c r="Z4133" s="13">
        <f t="shared" si="3023"/>
        <v>1</v>
      </c>
      <c r="AA4133" s="13"/>
      <c r="AB4133" s="13"/>
      <c r="AC4133" s="13"/>
      <c r="AD4133" s="13"/>
      <c r="AE4133" s="13"/>
      <c r="AF4133" s="13"/>
      <c r="AG4133" s="13"/>
      <c r="AH4133" s="13"/>
      <c r="AI4133" s="13"/>
      <c r="AJ4133" s="13"/>
      <c r="AK4133" s="13"/>
      <c r="AL4133" s="13"/>
      <c r="AM4133" s="13"/>
      <c r="AN4133" s="13"/>
      <c r="AO4133" s="13"/>
      <c r="AP4133" s="13"/>
      <c r="AQ4133" s="13"/>
      <c r="AR4133" s="13"/>
      <c r="AS4133" s="13"/>
    </row>
    <row r="4134" ht="14.25" customHeight="1">
      <c r="A4134" s="26" t="s">
        <v>46</v>
      </c>
      <c r="B4134" s="31" t="s">
        <v>53</v>
      </c>
      <c r="C4134" s="13">
        <v>225.0</v>
      </c>
      <c r="D4134" s="26" t="s">
        <v>182</v>
      </c>
      <c r="E4134" s="13"/>
      <c r="F4134" s="13"/>
      <c r="G4134" s="26" t="s">
        <v>111</v>
      </c>
      <c r="H4134" s="26" t="s">
        <v>75</v>
      </c>
      <c r="I4134" s="13"/>
      <c r="J4134" s="13"/>
      <c r="K4134" s="15">
        <v>1.0</v>
      </c>
      <c r="L4134" s="15">
        <v>1.0</v>
      </c>
      <c r="M4134" s="16"/>
      <c r="N4134" s="16"/>
      <c r="O4134" s="17"/>
      <c r="P4134" s="17"/>
      <c r="Q4134" s="13"/>
      <c r="R4134" s="13"/>
      <c r="S4134" s="13"/>
      <c r="T4134" s="13">
        <f t="shared" ref="T4134:Y4134" si="4453">IF(ISBLANK(K4134)=TRUE,0,1)</f>
        <v>1</v>
      </c>
      <c r="U4134" s="13">
        <f t="shared" si="4453"/>
        <v>1</v>
      </c>
      <c r="V4134" s="13">
        <f t="shared" si="4453"/>
        <v>0</v>
      </c>
      <c r="W4134" s="13">
        <f t="shared" si="4453"/>
        <v>0</v>
      </c>
      <c r="X4134" s="13">
        <f t="shared" si="4453"/>
        <v>0</v>
      </c>
      <c r="Y4134" s="13">
        <f t="shared" si="4453"/>
        <v>0</v>
      </c>
      <c r="Z4134" s="13">
        <f t="shared" si="3023"/>
        <v>1</v>
      </c>
      <c r="AA4134" s="13"/>
      <c r="AB4134" s="13"/>
      <c r="AC4134" s="13"/>
      <c r="AD4134" s="13"/>
      <c r="AE4134" s="13"/>
      <c r="AF4134" s="13"/>
      <c r="AG4134" s="13"/>
      <c r="AH4134" s="13"/>
      <c r="AI4134" s="13"/>
      <c r="AJ4134" s="13"/>
      <c r="AK4134" s="13"/>
      <c r="AL4134" s="13"/>
      <c r="AM4134" s="13"/>
      <c r="AN4134" s="13"/>
      <c r="AO4134" s="13"/>
      <c r="AP4134" s="13"/>
      <c r="AQ4134" s="13"/>
      <c r="AR4134" s="13"/>
      <c r="AS4134" s="13"/>
    </row>
    <row r="4135" ht="14.25" customHeight="1">
      <c r="A4135" s="26" t="s">
        <v>46</v>
      </c>
      <c r="B4135" s="31" t="s">
        <v>53</v>
      </c>
      <c r="C4135" s="13">
        <v>225.0</v>
      </c>
      <c r="D4135" s="26" t="s">
        <v>183</v>
      </c>
      <c r="E4135" s="13"/>
      <c r="F4135" s="13"/>
      <c r="G4135" s="26" t="s">
        <v>111</v>
      </c>
      <c r="H4135" s="26" t="s">
        <v>75</v>
      </c>
      <c r="I4135" s="13"/>
      <c r="J4135" s="13"/>
      <c r="K4135" s="15">
        <v>1.0</v>
      </c>
      <c r="L4135" s="15">
        <v>1.0</v>
      </c>
      <c r="M4135" s="16"/>
      <c r="N4135" s="16"/>
      <c r="O4135" s="17"/>
      <c r="P4135" s="17"/>
      <c r="Q4135" s="13"/>
      <c r="R4135" s="13"/>
      <c r="S4135" s="13"/>
      <c r="T4135" s="13">
        <f t="shared" ref="T4135:Y4135" si="4454">IF(ISBLANK(K4135)=TRUE,0,1)</f>
        <v>1</v>
      </c>
      <c r="U4135" s="13">
        <f t="shared" si="4454"/>
        <v>1</v>
      </c>
      <c r="V4135" s="13">
        <f t="shared" si="4454"/>
        <v>0</v>
      </c>
      <c r="W4135" s="13">
        <f t="shared" si="4454"/>
        <v>0</v>
      </c>
      <c r="X4135" s="13">
        <f t="shared" si="4454"/>
        <v>0</v>
      </c>
      <c r="Y4135" s="13">
        <f t="shared" si="4454"/>
        <v>0</v>
      </c>
      <c r="Z4135" s="13">
        <f t="shared" si="3023"/>
        <v>1</v>
      </c>
      <c r="AA4135" s="13"/>
      <c r="AB4135" s="13"/>
      <c r="AC4135" s="13"/>
      <c r="AD4135" s="13"/>
      <c r="AE4135" s="13"/>
      <c r="AF4135" s="13"/>
      <c r="AG4135" s="13"/>
      <c r="AH4135" s="13"/>
      <c r="AI4135" s="13"/>
      <c r="AJ4135" s="13"/>
      <c r="AK4135" s="13"/>
      <c r="AL4135" s="13"/>
      <c r="AM4135" s="13"/>
      <c r="AN4135" s="13"/>
      <c r="AO4135" s="13"/>
      <c r="AP4135" s="13"/>
      <c r="AQ4135" s="13"/>
      <c r="AR4135" s="13"/>
      <c r="AS4135" s="13"/>
    </row>
    <row r="4136" ht="14.25" customHeight="1">
      <c r="A4136" s="26" t="s">
        <v>46</v>
      </c>
      <c r="B4136" s="31" t="s">
        <v>53</v>
      </c>
      <c r="C4136" s="13">
        <v>225.0</v>
      </c>
      <c r="D4136" s="26" t="s">
        <v>184</v>
      </c>
      <c r="E4136" s="13"/>
      <c r="F4136" s="13"/>
      <c r="G4136" s="26" t="s">
        <v>111</v>
      </c>
      <c r="H4136" s="26" t="s">
        <v>75</v>
      </c>
      <c r="I4136" s="13"/>
      <c r="J4136" s="13"/>
      <c r="K4136" s="15">
        <v>1.0</v>
      </c>
      <c r="L4136" s="15">
        <v>1.0</v>
      </c>
      <c r="M4136" s="16"/>
      <c r="N4136" s="16"/>
      <c r="O4136" s="17"/>
      <c r="P4136" s="17"/>
      <c r="Q4136" s="13"/>
      <c r="R4136" s="13"/>
      <c r="S4136" s="13"/>
      <c r="T4136" s="13">
        <f t="shared" ref="T4136:Y4136" si="4455">IF(ISBLANK(K4136)=TRUE,0,1)</f>
        <v>1</v>
      </c>
      <c r="U4136" s="13">
        <f t="shared" si="4455"/>
        <v>1</v>
      </c>
      <c r="V4136" s="13">
        <f t="shared" si="4455"/>
        <v>0</v>
      </c>
      <c r="W4136" s="13">
        <f t="shared" si="4455"/>
        <v>0</v>
      </c>
      <c r="X4136" s="13">
        <f t="shared" si="4455"/>
        <v>0</v>
      </c>
      <c r="Y4136" s="13">
        <f t="shared" si="4455"/>
        <v>0</v>
      </c>
      <c r="Z4136" s="13">
        <f t="shared" si="3023"/>
        <v>1</v>
      </c>
      <c r="AA4136" s="13"/>
      <c r="AB4136" s="13"/>
      <c r="AC4136" s="13"/>
      <c r="AD4136" s="13"/>
      <c r="AE4136" s="13"/>
      <c r="AF4136" s="13"/>
      <c r="AG4136" s="13"/>
      <c r="AH4136" s="13"/>
      <c r="AI4136" s="13"/>
      <c r="AJ4136" s="13"/>
      <c r="AK4136" s="13"/>
      <c r="AL4136" s="13"/>
      <c r="AM4136" s="13"/>
      <c r="AN4136" s="13"/>
      <c r="AO4136" s="13"/>
      <c r="AP4136" s="13"/>
      <c r="AQ4136" s="13"/>
      <c r="AR4136" s="13"/>
      <c r="AS4136" s="13"/>
    </row>
    <row r="4137" ht="14.25" customHeight="1">
      <c r="A4137" s="26" t="s">
        <v>46</v>
      </c>
      <c r="B4137" s="31" t="s">
        <v>53</v>
      </c>
      <c r="C4137" s="13">
        <v>225.0</v>
      </c>
      <c r="D4137" s="26" t="s">
        <v>185</v>
      </c>
      <c r="E4137" s="13"/>
      <c r="F4137" s="13"/>
      <c r="G4137" s="26" t="s">
        <v>111</v>
      </c>
      <c r="H4137" s="26" t="s">
        <v>75</v>
      </c>
      <c r="I4137" s="13"/>
      <c r="J4137" s="13"/>
      <c r="K4137" s="15">
        <v>1.0</v>
      </c>
      <c r="L4137" s="15">
        <v>1.0</v>
      </c>
      <c r="M4137" s="16"/>
      <c r="N4137" s="16"/>
      <c r="O4137" s="17"/>
      <c r="P4137" s="17"/>
      <c r="Q4137" s="13"/>
      <c r="R4137" s="13"/>
      <c r="S4137" s="13"/>
      <c r="T4137" s="13">
        <f t="shared" ref="T4137:Y4137" si="4456">IF(ISBLANK(K4137)=TRUE,0,1)</f>
        <v>1</v>
      </c>
      <c r="U4137" s="13">
        <f t="shared" si="4456"/>
        <v>1</v>
      </c>
      <c r="V4137" s="13">
        <f t="shared" si="4456"/>
        <v>0</v>
      </c>
      <c r="W4137" s="13">
        <f t="shared" si="4456"/>
        <v>0</v>
      </c>
      <c r="X4137" s="13">
        <f t="shared" si="4456"/>
        <v>0</v>
      </c>
      <c r="Y4137" s="13">
        <f t="shared" si="4456"/>
        <v>0</v>
      </c>
      <c r="Z4137" s="13">
        <f t="shared" si="3023"/>
        <v>1</v>
      </c>
      <c r="AA4137" s="13"/>
      <c r="AB4137" s="13"/>
      <c r="AC4137" s="13"/>
      <c r="AD4137" s="13"/>
      <c r="AE4137" s="13"/>
      <c r="AF4137" s="13"/>
      <c r="AG4137" s="13"/>
      <c r="AH4137" s="13"/>
      <c r="AI4137" s="13"/>
      <c r="AJ4137" s="13"/>
      <c r="AK4137" s="13"/>
      <c r="AL4137" s="13"/>
      <c r="AM4137" s="13"/>
      <c r="AN4137" s="13"/>
      <c r="AO4137" s="13"/>
      <c r="AP4137" s="13"/>
      <c r="AQ4137" s="13"/>
      <c r="AR4137" s="13"/>
      <c r="AS4137" s="13"/>
    </row>
    <row r="4138" ht="14.25" customHeight="1">
      <c r="A4138" s="26" t="s">
        <v>46</v>
      </c>
      <c r="B4138" s="31" t="s">
        <v>53</v>
      </c>
      <c r="C4138" s="13">
        <v>225.0</v>
      </c>
      <c r="D4138" s="26" t="s">
        <v>186</v>
      </c>
      <c r="E4138" s="13"/>
      <c r="F4138" s="13"/>
      <c r="G4138" s="26" t="s">
        <v>111</v>
      </c>
      <c r="H4138" s="26" t="s">
        <v>75</v>
      </c>
      <c r="I4138" s="13"/>
      <c r="J4138" s="13"/>
      <c r="K4138" s="15">
        <v>1.0</v>
      </c>
      <c r="L4138" s="15">
        <v>1.0</v>
      </c>
      <c r="M4138" s="16"/>
      <c r="N4138" s="16"/>
      <c r="O4138" s="17"/>
      <c r="P4138" s="17"/>
      <c r="Q4138" s="13"/>
      <c r="R4138" s="13"/>
      <c r="S4138" s="13"/>
      <c r="T4138" s="13">
        <f t="shared" ref="T4138:Y4138" si="4457">IF(ISBLANK(K4138)=TRUE,0,1)</f>
        <v>1</v>
      </c>
      <c r="U4138" s="13">
        <f t="shared" si="4457"/>
        <v>1</v>
      </c>
      <c r="V4138" s="13">
        <f t="shared" si="4457"/>
        <v>0</v>
      </c>
      <c r="W4138" s="13">
        <f t="shared" si="4457"/>
        <v>0</v>
      </c>
      <c r="X4138" s="13">
        <f t="shared" si="4457"/>
        <v>0</v>
      </c>
      <c r="Y4138" s="13">
        <f t="shared" si="4457"/>
        <v>0</v>
      </c>
      <c r="Z4138" s="13">
        <f t="shared" si="3023"/>
        <v>1</v>
      </c>
      <c r="AA4138" s="13"/>
      <c r="AB4138" s="13"/>
      <c r="AC4138" s="13"/>
      <c r="AD4138" s="13"/>
      <c r="AE4138" s="13"/>
      <c r="AF4138" s="13"/>
      <c r="AG4138" s="13"/>
      <c r="AH4138" s="13"/>
      <c r="AI4138" s="13"/>
      <c r="AJ4138" s="13"/>
      <c r="AK4138" s="13"/>
      <c r="AL4138" s="13"/>
      <c r="AM4138" s="13"/>
      <c r="AN4138" s="13"/>
      <c r="AO4138" s="13"/>
      <c r="AP4138" s="13"/>
      <c r="AQ4138" s="13"/>
      <c r="AR4138" s="13"/>
      <c r="AS4138" s="13"/>
    </row>
    <row r="4139" ht="14.25" customHeight="1">
      <c r="A4139" s="26" t="s">
        <v>46</v>
      </c>
      <c r="B4139" s="31" t="s">
        <v>53</v>
      </c>
      <c r="C4139" s="13">
        <v>225.0</v>
      </c>
      <c r="D4139" s="26" t="s">
        <v>187</v>
      </c>
      <c r="E4139" s="13"/>
      <c r="F4139" s="13"/>
      <c r="G4139" s="26" t="s">
        <v>111</v>
      </c>
      <c r="H4139" s="26" t="s">
        <v>75</v>
      </c>
      <c r="I4139" s="13"/>
      <c r="J4139" s="13"/>
      <c r="K4139" s="15">
        <v>1.0</v>
      </c>
      <c r="L4139" s="15">
        <v>1.0</v>
      </c>
      <c r="M4139" s="16"/>
      <c r="N4139" s="16"/>
      <c r="O4139" s="17"/>
      <c r="P4139" s="17"/>
      <c r="Q4139" s="13"/>
      <c r="R4139" s="13"/>
      <c r="S4139" s="13"/>
      <c r="T4139" s="13">
        <f t="shared" ref="T4139:Y4139" si="4458">IF(ISBLANK(K4139)=TRUE,0,1)</f>
        <v>1</v>
      </c>
      <c r="U4139" s="13">
        <f t="shared" si="4458"/>
        <v>1</v>
      </c>
      <c r="V4139" s="13">
        <f t="shared" si="4458"/>
        <v>0</v>
      </c>
      <c r="W4139" s="13">
        <f t="shared" si="4458"/>
        <v>0</v>
      </c>
      <c r="X4139" s="13">
        <f t="shared" si="4458"/>
        <v>0</v>
      </c>
      <c r="Y4139" s="13">
        <f t="shared" si="4458"/>
        <v>0</v>
      </c>
      <c r="Z4139" s="13">
        <f t="shared" si="3023"/>
        <v>1</v>
      </c>
      <c r="AA4139" s="13"/>
      <c r="AB4139" s="13"/>
      <c r="AC4139" s="13"/>
      <c r="AD4139" s="13"/>
      <c r="AE4139" s="13"/>
      <c r="AF4139" s="13"/>
      <c r="AG4139" s="13"/>
      <c r="AH4139" s="13"/>
      <c r="AI4139" s="13"/>
      <c r="AJ4139" s="13"/>
      <c r="AK4139" s="13"/>
      <c r="AL4139" s="13"/>
      <c r="AM4139" s="13"/>
      <c r="AN4139" s="13"/>
      <c r="AO4139" s="13"/>
      <c r="AP4139" s="13"/>
      <c r="AQ4139" s="13"/>
      <c r="AR4139" s="13"/>
      <c r="AS4139" s="13"/>
    </row>
    <row r="4140" ht="14.25" customHeight="1">
      <c r="A4140" s="26" t="s">
        <v>46</v>
      </c>
      <c r="B4140" s="31" t="s">
        <v>53</v>
      </c>
      <c r="C4140" s="13">
        <v>225.0</v>
      </c>
      <c r="D4140" s="26" t="s">
        <v>188</v>
      </c>
      <c r="E4140" s="13"/>
      <c r="F4140" s="13"/>
      <c r="G4140" s="26" t="s">
        <v>111</v>
      </c>
      <c r="H4140" s="26" t="s">
        <v>75</v>
      </c>
      <c r="I4140" s="13"/>
      <c r="J4140" s="13"/>
      <c r="K4140" s="15">
        <v>1.0</v>
      </c>
      <c r="L4140" s="15">
        <v>1.0</v>
      </c>
      <c r="M4140" s="16"/>
      <c r="N4140" s="16"/>
      <c r="O4140" s="17"/>
      <c r="P4140" s="17"/>
      <c r="Q4140" s="13"/>
      <c r="R4140" s="13"/>
      <c r="S4140" s="13"/>
      <c r="T4140" s="13">
        <f t="shared" ref="T4140:Y4140" si="4459">IF(ISBLANK(K4140)=TRUE,0,1)</f>
        <v>1</v>
      </c>
      <c r="U4140" s="13">
        <f t="shared" si="4459"/>
        <v>1</v>
      </c>
      <c r="V4140" s="13">
        <f t="shared" si="4459"/>
        <v>0</v>
      </c>
      <c r="W4140" s="13">
        <f t="shared" si="4459"/>
        <v>0</v>
      </c>
      <c r="X4140" s="13">
        <f t="shared" si="4459"/>
        <v>0</v>
      </c>
      <c r="Y4140" s="13">
        <f t="shared" si="4459"/>
        <v>0</v>
      </c>
      <c r="Z4140" s="13">
        <f t="shared" si="3023"/>
        <v>1</v>
      </c>
      <c r="AA4140" s="13"/>
      <c r="AB4140" s="13"/>
      <c r="AC4140" s="13"/>
      <c r="AD4140" s="13"/>
      <c r="AE4140" s="13"/>
      <c r="AF4140" s="13"/>
      <c r="AG4140" s="13"/>
      <c r="AH4140" s="13"/>
      <c r="AI4140" s="13"/>
      <c r="AJ4140" s="13"/>
      <c r="AK4140" s="13"/>
      <c r="AL4140" s="13"/>
      <c r="AM4140" s="13"/>
      <c r="AN4140" s="13"/>
      <c r="AO4140" s="13"/>
      <c r="AP4140" s="13"/>
      <c r="AQ4140" s="13"/>
      <c r="AR4140" s="13"/>
      <c r="AS4140" s="13"/>
    </row>
    <row r="4141" ht="14.25" customHeight="1">
      <c r="A4141" s="26" t="s">
        <v>46</v>
      </c>
      <c r="B4141" s="31" t="s">
        <v>53</v>
      </c>
      <c r="C4141" s="13">
        <v>225.0</v>
      </c>
      <c r="D4141" s="26" t="s">
        <v>189</v>
      </c>
      <c r="E4141" s="13"/>
      <c r="F4141" s="13"/>
      <c r="G4141" s="26" t="s">
        <v>111</v>
      </c>
      <c r="H4141" s="26" t="s">
        <v>75</v>
      </c>
      <c r="I4141" s="13"/>
      <c r="J4141" s="13"/>
      <c r="K4141" s="15">
        <v>1.0</v>
      </c>
      <c r="L4141" s="15">
        <v>1.0</v>
      </c>
      <c r="M4141" s="16"/>
      <c r="N4141" s="16"/>
      <c r="O4141" s="17"/>
      <c r="P4141" s="17"/>
      <c r="Q4141" s="13"/>
      <c r="R4141" s="13"/>
      <c r="S4141" s="13"/>
      <c r="T4141" s="13">
        <f t="shared" ref="T4141:Y4141" si="4460">IF(ISBLANK(K4141)=TRUE,0,1)</f>
        <v>1</v>
      </c>
      <c r="U4141" s="13">
        <f t="shared" si="4460"/>
        <v>1</v>
      </c>
      <c r="V4141" s="13">
        <f t="shared" si="4460"/>
        <v>0</v>
      </c>
      <c r="W4141" s="13">
        <f t="shared" si="4460"/>
        <v>0</v>
      </c>
      <c r="X4141" s="13">
        <f t="shared" si="4460"/>
        <v>0</v>
      </c>
      <c r="Y4141" s="13">
        <f t="shared" si="4460"/>
        <v>0</v>
      </c>
      <c r="Z4141" s="13">
        <f t="shared" si="3023"/>
        <v>1</v>
      </c>
      <c r="AA4141" s="13"/>
      <c r="AB4141" s="13"/>
      <c r="AC4141" s="13"/>
      <c r="AD4141" s="13"/>
      <c r="AE4141" s="13"/>
      <c r="AF4141" s="13"/>
      <c r="AG4141" s="13"/>
      <c r="AH4141" s="13"/>
      <c r="AI4141" s="13"/>
      <c r="AJ4141" s="13"/>
      <c r="AK4141" s="13"/>
      <c r="AL4141" s="13"/>
      <c r="AM4141" s="13"/>
      <c r="AN4141" s="13"/>
      <c r="AO4141" s="13"/>
      <c r="AP4141" s="13"/>
      <c r="AQ4141" s="13"/>
      <c r="AR4141" s="13"/>
      <c r="AS4141" s="13"/>
    </row>
    <row r="4142" ht="14.25" customHeight="1">
      <c r="A4142" s="26" t="s">
        <v>46</v>
      </c>
      <c r="B4142" s="31" t="s">
        <v>53</v>
      </c>
      <c r="C4142" s="13">
        <v>225.0</v>
      </c>
      <c r="D4142" s="26" t="s">
        <v>190</v>
      </c>
      <c r="E4142" s="13"/>
      <c r="F4142" s="13"/>
      <c r="G4142" s="26" t="s">
        <v>111</v>
      </c>
      <c r="H4142" s="26" t="s">
        <v>75</v>
      </c>
      <c r="I4142" s="13"/>
      <c r="J4142" s="13"/>
      <c r="K4142" s="15">
        <v>1.0</v>
      </c>
      <c r="L4142" s="15">
        <v>1.0</v>
      </c>
      <c r="M4142" s="16"/>
      <c r="N4142" s="16"/>
      <c r="O4142" s="17"/>
      <c r="P4142" s="17"/>
      <c r="Q4142" s="13"/>
      <c r="R4142" s="13"/>
      <c r="S4142" s="13"/>
      <c r="T4142" s="13">
        <f t="shared" ref="T4142:Y4142" si="4461">IF(ISBLANK(K4142)=TRUE,0,1)</f>
        <v>1</v>
      </c>
      <c r="U4142" s="13">
        <f t="shared" si="4461"/>
        <v>1</v>
      </c>
      <c r="V4142" s="13">
        <f t="shared" si="4461"/>
        <v>0</v>
      </c>
      <c r="W4142" s="13">
        <f t="shared" si="4461"/>
        <v>0</v>
      </c>
      <c r="X4142" s="13">
        <f t="shared" si="4461"/>
        <v>0</v>
      </c>
      <c r="Y4142" s="13">
        <f t="shared" si="4461"/>
        <v>0</v>
      </c>
      <c r="Z4142" s="13">
        <f t="shared" si="3023"/>
        <v>1</v>
      </c>
      <c r="AA4142" s="13"/>
      <c r="AB4142" s="13"/>
      <c r="AC4142" s="13"/>
      <c r="AD4142" s="13"/>
      <c r="AE4142" s="13"/>
      <c r="AF4142" s="13"/>
      <c r="AG4142" s="13"/>
      <c r="AH4142" s="13"/>
      <c r="AI4142" s="13"/>
      <c r="AJ4142" s="13"/>
      <c r="AK4142" s="13"/>
      <c r="AL4142" s="13"/>
      <c r="AM4142" s="13"/>
      <c r="AN4142" s="13"/>
      <c r="AO4142" s="13"/>
      <c r="AP4142" s="13"/>
      <c r="AQ4142" s="13"/>
      <c r="AR4142" s="13"/>
      <c r="AS4142" s="13"/>
    </row>
    <row r="4143" ht="14.25" customHeight="1">
      <c r="A4143" s="26" t="s">
        <v>46</v>
      </c>
      <c r="B4143" s="31" t="s">
        <v>53</v>
      </c>
      <c r="C4143" s="13">
        <v>225.0</v>
      </c>
      <c r="D4143" s="26" t="s">
        <v>191</v>
      </c>
      <c r="E4143" s="13"/>
      <c r="F4143" s="13"/>
      <c r="G4143" s="26" t="s">
        <v>111</v>
      </c>
      <c r="H4143" s="26" t="s">
        <v>75</v>
      </c>
      <c r="I4143" s="13"/>
      <c r="J4143" s="13"/>
      <c r="K4143" s="15">
        <v>1.0</v>
      </c>
      <c r="L4143" s="15">
        <v>1.0</v>
      </c>
      <c r="M4143" s="16"/>
      <c r="N4143" s="16"/>
      <c r="O4143" s="17"/>
      <c r="P4143" s="17"/>
      <c r="Q4143" s="13"/>
      <c r="R4143" s="13"/>
      <c r="S4143" s="13"/>
      <c r="T4143" s="13">
        <f t="shared" ref="T4143:Y4143" si="4462">IF(ISBLANK(K4143)=TRUE,0,1)</f>
        <v>1</v>
      </c>
      <c r="U4143" s="13">
        <f t="shared" si="4462"/>
        <v>1</v>
      </c>
      <c r="V4143" s="13">
        <f t="shared" si="4462"/>
        <v>0</v>
      </c>
      <c r="W4143" s="13">
        <f t="shared" si="4462"/>
        <v>0</v>
      </c>
      <c r="X4143" s="13">
        <f t="shared" si="4462"/>
        <v>0</v>
      </c>
      <c r="Y4143" s="13">
        <f t="shared" si="4462"/>
        <v>0</v>
      </c>
      <c r="Z4143" s="13">
        <f t="shared" si="3023"/>
        <v>1</v>
      </c>
      <c r="AA4143" s="13"/>
      <c r="AB4143" s="13"/>
      <c r="AC4143" s="13"/>
      <c r="AD4143" s="13"/>
      <c r="AE4143" s="13"/>
      <c r="AF4143" s="13"/>
      <c r="AG4143" s="13"/>
      <c r="AH4143" s="13"/>
      <c r="AI4143" s="13"/>
      <c r="AJ4143" s="13"/>
      <c r="AK4143" s="13"/>
      <c r="AL4143" s="13"/>
      <c r="AM4143" s="13"/>
      <c r="AN4143" s="13"/>
      <c r="AO4143" s="13"/>
      <c r="AP4143" s="13"/>
      <c r="AQ4143" s="13"/>
      <c r="AR4143" s="13"/>
      <c r="AS4143" s="13"/>
    </row>
    <row r="4144" ht="14.25" customHeight="1">
      <c r="A4144" s="26" t="s">
        <v>46</v>
      </c>
      <c r="B4144" s="31" t="s">
        <v>53</v>
      </c>
      <c r="C4144" s="13">
        <v>225.0</v>
      </c>
      <c r="D4144" s="26" t="s">
        <v>192</v>
      </c>
      <c r="E4144" s="13"/>
      <c r="F4144" s="13"/>
      <c r="G4144" s="26" t="s">
        <v>111</v>
      </c>
      <c r="H4144" s="26" t="s">
        <v>75</v>
      </c>
      <c r="I4144" s="13"/>
      <c r="J4144" s="13"/>
      <c r="K4144" s="15">
        <v>1.0</v>
      </c>
      <c r="L4144" s="15">
        <v>1.0</v>
      </c>
      <c r="M4144" s="16"/>
      <c r="N4144" s="16"/>
      <c r="O4144" s="17"/>
      <c r="P4144" s="17"/>
      <c r="Q4144" s="13"/>
      <c r="R4144" s="13"/>
      <c r="S4144" s="13"/>
      <c r="T4144" s="13">
        <f t="shared" ref="T4144:Y4144" si="4463">IF(ISBLANK(K4144)=TRUE,0,1)</f>
        <v>1</v>
      </c>
      <c r="U4144" s="13">
        <f t="shared" si="4463"/>
        <v>1</v>
      </c>
      <c r="V4144" s="13">
        <f t="shared" si="4463"/>
        <v>0</v>
      </c>
      <c r="W4144" s="13">
        <f t="shared" si="4463"/>
        <v>0</v>
      </c>
      <c r="X4144" s="13">
        <f t="shared" si="4463"/>
        <v>0</v>
      </c>
      <c r="Y4144" s="13">
        <f t="shared" si="4463"/>
        <v>0</v>
      </c>
      <c r="Z4144" s="13">
        <f t="shared" si="3023"/>
        <v>1</v>
      </c>
      <c r="AA4144" s="13"/>
      <c r="AB4144" s="13"/>
      <c r="AC4144" s="13"/>
      <c r="AD4144" s="13"/>
      <c r="AE4144" s="13"/>
      <c r="AF4144" s="13"/>
      <c r="AG4144" s="13"/>
      <c r="AH4144" s="13"/>
      <c r="AI4144" s="13"/>
      <c r="AJ4144" s="13"/>
      <c r="AK4144" s="13"/>
      <c r="AL4144" s="13"/>
      <c r="AM4144" s="13"/>
      <c r="AN4144" s="13"/>
      <c r="AO4144" s="13"/>
      <c r="AP4144" s="13"/>
      <c r="AQ4144" s="13"/>
      <c r="AR4144" s="13"/>
      <c r="AS4144" s="13"/>
    </row>
    <row r="4145" ht="14.25" customHeight="1">
      <c r="A4145" s="26" t="s">
        <v>46</v>
      </c>
      <c r="B4145" s="31" t="s">
        <v>53</v>
      </c>
      <c r="C4145" s="13">
        <v>225.0</v>
      </c>
      <c r="D4145" s="26" t="s">
        <v>193</v>
      </c>
      <c r="E4145" s="13"/>
      <c r="F4145" s="13"/>
      <c r="G4145" s="26" t="s">
        <v>111</v>
      </c>
      <c r="H4145" s="26" t="s">
        <v>75</v>
      </c>
      <c r="I4145" s="13"/>
      <c r="J4145" s="13"/>
      <c r="K4145" s="15">
        <v>1.0</v>
      </c>
      <c r="L4145" s="15">
        <v>1.0</v>
      </c>
      <c r="M4145" s="16"/>
      <c r="N4145" s="16"/>
      <c r="O4145" s="17"/>
      <c r="P4145" s="17"/>
      <c r="Q4145" s="13"/>
      <c r="R4145" s="13"/>
      <c r="S4145" s="13"/>
      <c r="T4145" s="13">
        <f t="shared" ref="T4145:Y4145" si="4464">IF(ISBLANK(K4145)=TRUE,0,1)</f>
        <v>1</v>
      </c>
      <c r="U4145" s="13">
        <f t="shared" si="4464"/>
        <v>1</v>
      </c>
      <c r="V4145" s="13">
        <f t="shared" si="4464"/>
        <v>0</v>
      </c>
      <c r="W4145" s="13">
        <f t="shared" si="4464"/>
        <v>0</v>
      </c>
      <c r="X4145" s="13">
        <f t="shared" si="4464"/>
        <v>0</v>
      </c>
      <c r="Y4145" s="13">
        <f t="shared" si="4464"/>
        <v>0</v>
      </c>
      <c r="Z4145" s="13">
        <f t="shared" si="3023"/>
        <v>1</v>
      </c>
      <c r="AA4145" s="13"/>
      <c r="AB4145" s="13"/>
      <c r="AC4145" s="13"/>
      <c r="AD4145" s="13"/>
      <c r="AE4145" s="13"/>
      <c r="AF4145" s="13"/>
      <c r="AG4145" s="13"/>
      <c r="AH4145" s="13"/>
      <c r="AI4145" s="13"/>
      <c r="AJ4145" s="13"/>
      <c r="AK4145" s="13"/>
      <c r="AL4145" s="13"/>
      <c r="AM4145" s="13"/>
      <c r="AN4145" s="13"/>
      <c r="AO4145" s="13"/>
      <c r="AP4145" s="13"/>
      <c r="AQ4145" s="13"/>
      <c r="AR4145" s="13"/>
      <c r="AS4145" s="13"/>
    </row>
    <row r="4146" ht="14.25" customHeight="1">
      <c r="A4146" s="26" t="s">
        <v>46</v>
      </c>
      <c r="B4146" s="31" t="s">
        <v>53</v>
      </c>
      <c r="C4146" s="13">
        <v>225.0</v>
      </c>
      <c r="D4146" s="26" t="s">
        <v>194</v>
      </c>
      <c r="E4146" s="13"/>
      <c r="F4146" s="13"/>
      <c r="G4146" s="26" t="s">
        <v>111</v>
      </c>
      <c r="H4146" s="26" t="s">
        <v>75</v>
      </c>
      <c r="I4146" s="13"/>
      <c r="J4146" s="13"/>
      <c r="K4146" s="15">
        <v>1.0</v>
      </c>
      <c r="L4146" s="15">
        <v>1.0</v>
      </c>
      <c r="M4146" s="16"/>
      <c r="N4146" s="16"/>
      <c r="O4146" s="17"/>
      <c r="P4146" s="17"/>
      <c r="Q4146" s="13"/>
      <c r="R4146" s="13"/>
      <c r="S4146" s="13"/>
      <c r="T4146" s="13">
        <f t="shared" ref="T4146:Y4146" si="4465">IF(ISBLANK(K4146)=TRUE,0,1)</f>
        <v>1</v>
      </c>
      <c r="U4146" s="13">
        <f t="shared" si="4465"/>
        <v>1</v>
      </c>
      <c r="V4146" s="13">
        <f t="shared" si="4465"/>
        <v>0</v>
      </c>
      <c r="W4146" s="13">
        <f t="shared" si="4465"/>
        <v>0</v>
      </c>
      <c r="X4146" s="13">
        <f t="shared" si="4465"/>
        <v>0</v>
      </c>
      <c r="Y4146" s="13">
        <f t="shared" si="4465"/>
        <v>0</v>
      </c>
      <c r="Z4146" s="13">
        <f t="shared" si="3023"/>
        <v>1</v>
      </c>
      <c r="AA4146" s="13"/>
      <c r="AB4146" s="13"/>
      <c r="AC4146" s="13"/>
      <c r="AD4146" s="13"/>
      <c r="AE4146" s="13"/>
      <c r="AF4146" s="13"/>
      <c r="AG4146" s="13"/>
      <c r="AH4146" s="13"/>
      <c r="AI4146" s="13"/>
      <c r="AJ4146" s="13"/>
      <c r="AK4146" s="13"/>
      <c r="AL4146" s="13"/>
      <c r="AM4146" s="13"/>
      <c r="AN4146" s="13"/>
      <c r="AO4146" s="13"/>
      <c r="AP4146" s="13"/>
      <c r="AQ4146" s="13"/>
      <c r="AR4146" s="13"/>
      <c r="AS4146" s="13"/>
    </row>
    <row r="4147" ht="14.25" customHeight="1">
      <c r="A4147" s="26" t="s">
        <v>46</v>
      </c>
      <c r="B4147" s="31" t="s">
        <v>53</v>
      </c>
      <c r="C4147" s="13">
        <v>225.0</v>
      </c>
      <c r="D4147" s="26" t="s">
        <v>195</v>
      </c>
      <c r="E4147" s="13"/>
      <c r="F4147" s="13"/>
      <c r="G4147" s="26" t="s">
        <v>111</v>
      </c>
      <c r="H4147" s="26" t="s">
        <v>75</v>
      </c>
      <c r="I4147" s="13"/>
      <c r="J4147" s="13"/>
      <c r="K4147" s="15">
        <v>1.0</v>
      </c>
      <c r="L4147" s="15">
        <v>1.0</v>
      </c>
      <c r="M4147" s="16"/>
      <c r="N4147" s="16"/>
      <c r="O4147" s="17"/>
      <c r="P4147" s="17"/>
      <c r="Q4147" s="13"/>
      <c r="R4147" s="13"/>
      <c r="S4147" s="13"/>
      <c r="T4147" s="13">
        <f t="shared" ref="T4147:Y4147" si="4466">IF(ISBLANK(K4147)=TRUE,0,1)</f>
        <v>1</v>
      </c>
      <c r="U4147" s="13">
        <f t="shared" si="4466"/>
        <v>1</v>
      </c>
      <c r="V4147" s="13">
        <f t="shared" si="4466"/>
        <v>0</v>
      </c>
      <c r="W4147" s="13">
        <f t="shared" si="4466"/>
        <v>0</v>
      </c>
      <c r="X4147" s="13">
        <f t="shared" si="4466"/>
        <v>0</v>
      </c>
      <c r="Y4147" s="13">
        <f t="shared" si="4466"/>
        <v>0</v>
      </c>
      <c r="Z4147" s="13">
        <f t="shared" si="3023"/>
        <v>1</v>
      </c>
      <c r="AA4147" s="13"/>
      <c r="AB4147" s="13"/>
      <c r="AC4147" s="13"/>
      <c r="AD4147" s="13"/>
      <c r="AE4147" s="13"/>
      <c r="AF4147" s="13"/>
      <c r="AG4147" s="13"/>
      <c r="AH4147" s="13"/>
      <c r="AI4147" s="13"/>
      <c r="AJ4147" s="13"/>
      <c r="AK4147" s="13"/>
      <c r="AL4147" s="13"/>
      <c r="AM4147" s="13"/>
      <c r="AN4147" s="13"/>
      <c r="AO4147" s="13"/>
      <c r="AP4147" s="13"/>
      <c r="AQ4147" s="13"/>
      <c r="AR4147" s="13"/>
      <c r="AS4147" s="13"/>
    </row>
    <row r="4148" ht="14.25" customHeight="1">
      <c r="A4148" s="26" t="s">
        <v>46</v>
      </c>
      <c r="B4148" s="31" t="s">
        <v>53</v>
      </c>
      <c r="C4148" s="13">
        <v>225.0</v>
      </c>
      <c r="D4148" s="26" t="s">
        <v>196</v>
      </c>
      <c r="E4148" s="13"/>
      <c r="F4148" s="13"/>
      <c r="G4148" s="26" t="s">
        <v>111</v>
      </c>
      <c r="H4148" s="26" t="s">
        <v>75</v>
      </c>
      <c r="I4148" s="13"/>
      <c r="J4148" s="13"/>
      <c r="K4148" s="15">
        <v>1.0</v>
      </c>
      <c r="L4148" s="15">
        <v>1.0</v>
      </c>
      <c r="M4148" s="16"/>
      <c r="N4148" s="16"/>
      <c r="O4148" s="17"/>
      <c r="P4148" s="17"/>
      <c r="Q4148" s="13"/>
      <c r="R4148" s="13"/>
      <c r="S4148" s="13"/>
      <c r="T4148" s="13">
        <f t="shared" ref="T4148:Y4148" si="4467">IF(ISBLANK(K4148)=TRUE,0,1)</f>
        <v>1</v>
      </c>
      <c r="U4148" s="13">
        <f t="shared" si="4467"/>
        <v>1</v>
      </c>
      <c r="V4148" s="13">
        <f t="shared" si="4467"/>
        <v>0</v>
      </c>
      <c r="W4148" s="13">
        <f t="shared" si="4467"/>
        <v>0</v>
      </c>
      <c r="X4148" s="13">
        <f t="shared" si="4467"/>
        <v>0</v>
      </c>
      <c r="Y4148" s="13">
        <f t="shared" si="4467"/>
        <v>0</v>
      </c>
      <c r="Z4148" s="13">
        <f t="shared" si="3023"/>
        <v>1</v>
      </c>
      <c r="AA4148" s="13"/>
      <c r="AB4148" s="13"/>
      <c r="AC4148" s="13"/>
      <c r="AD4148" s="13"/>
      <c r="AE4148" s="13"/>
      <c r="AF4148" s="13"/>
      <c r="AG4148" s="13"/>
      <c r="AH4148" s="13"/>
      <c r="AI4148" s="13"/>
      <c r="AJ4148" s="13"/>
      <c r="AK4148" s="13"/>
      <c r="AL4148" s="13"/>
      <c r="AM4148" s="13"/>
      <c r="AN4148" s="13"/>
      <c r="AO4148" s="13"/>
      <c r="AP4148" s="13"/>
      <c r="AQ4148" s="13"/>
      <c r="AR4148" s="13"/>
      <c r="AS4148" s="13"/>
    </row>
    <row r="4149" ht="14.25" customHeight="1">
      <c r="A4149" s="26" t="s">
        <v>46</v>
      </c>
      <c r="B4149" s="31" t="s">
        <v>53</v>
      </c>
      <c r="C4149" s="13">
        <v>225.0</v>
      </c>
      <c r="D4149" s="26" t="s">
        <v>197</v>
      </c>
      <c r="E4149" s="13"/>
      <c r="F4149" s="13"/>
      <c r="G4149" s="26" t="s">
        <v>111</v>
      </c>
      <c r="H4149" s="26" t="s">
        <v>75</v>
      </c>
      <c r="I4149" s="13"/>
      <c r="J4149" s="13"/>
      <c r="K4149" s="15">
        <v>1.0</v>
      </c>
      <c r="L4149" s="15">
        <v>1.0</v>
      </c>
      <c r="M4149" s="16"/>
      <c r="N4149" s="16"/>
      <c r="O4149" s="17"/>
      <c r="P4149" s="17"/>
      <c r="Q4149" s="13"/>
      <c r="R4149" s="13"/>
      <c r="S4149" s="13"/>
      <c r="T4149" s="13">
        <f t="shared" ref="T4149:Y4149" si="4468">IF(ISBLANK(K4149)=TRUE,0,1)</f>
        <v>1</v>
      </c>
      <c r="U4149" s="13">
        <f t="shared" si="4468"/>
        <v>1</v>
      </c>
      <c r="V4149" s="13">
        <f t="shared" si="4468"/>
        <v>0</v>
      </c>
      <c r="W4149" s="13">
        <f t="shared" si="4468"/>
        <v>0</v>
      </c>
      <c r="X4149" s="13">
        <f t="shared" si="4468"/>
        <v>0</v>
      </c>
      <c r="Y4149" s="13">
        <f t="shared" si="4468"/>
        <v>0</v>
      </c>
      <c r="Z4149" s="13">
        <f t="shared" si="3023"/>
        <v>1</v>
      </c>
      <c r="AA4149" s="13"/>
      <c r="AB4149" s="13"/>
      <c r="AC4149" s="13"/>
      <c r="AD4149" s="13"/>
      <c r="AE4149" s="13"/>
      <c r="AF4149" s="13"/>
      <c r="AG4149" s="13"/>
      <c r="AH4149" s="13"/>
      <c r="AI4149" s="13"/>
      <c r="AJ4149" s="13"/>
      <c r="AK4149" s="13"/>
      <c r="AL4149" s="13"/>
      <c r="AM4149" s="13"/>
      <c r="AN4149" s="13"/>
      <c r="AO4149" s="13"/>
      <c r="AP4149" s="13"/>
      <c r="AQ4149" s="13"/>
      <c r="AR4149" s="13"/>
      <c r="AS4149" s="13"/>
    </row>
    <row r="4150" ht="14.25" customHeight="1">
      <c r="A4150" s="26" t="s">
        <v>46</v>
      </c>
      <c r="B4150" s="31" t="s">
        <v>53</v>
      </c>
      <c r="C4150" s="13">
        <v>225.0</v>
      </c>
      <c r="D4150" s="13" t="s">
        <v>433</v>
      </c>
      <c r="E4150" s="13"/>
      <c r="F4150" s="13"/>
      <c r="G4150" s="26" t="s">
        <v>111</v>
      </c>
      <c r="H4150" s="26" t="s">
        <v>75</v>
      </c>
      <c r="I4150" s="13"/>
      <c r="J4150" s="13"/>
      <c r="K4150" s="15">
        <v>1.0</v>
      </c>
      <c r="L4150" s="15">
        <v>1.0</v>
      </c>
      <c r="M4150" s="16"/>
      <c r="N4150" s="16"/>
      <c r="O4150" s="17"/>
      <c r="P4150" s="17"/>
      <c r="Q4150" s="13"/>
      <c r="R4150" s="13"/>
      <c r="S4150" s="13"/>
      <c r="T4150" s="13">
        <f t="shared" ref="T4150:Y4150" si="4469">IF(ISBLANK(K4150)=TRUE,0,1)</f>
        <v>1</v>
      </c>
      <c r="U4150" s="13">
        <f t="shared" si="4469"/>
        <v>1</v>
      </c>
      <c r="V4150" s="13">
        <f t="shared" si="4469"/>
        <v>0</v>
      </c>
      <c r="W4150" s="13">
        <f t="shared" si="4469"/>
        <v>0</v>
      </c>
      <c r="X4150" s="13">
        <f t="shared" si="4469"/>
        <v>0</v>
      </c>
      <c r="Y4150" s="13">
        <f t="shared" si="4469"/>
        <v>0</v>
      </c>
      <c r="Z4150" s="13">
        <f t="shared" si="3023"/>
        <v>1</v>
      </c>
      <c r="AA4150" s="13"/>
      <c r="AB4150" s="13"/>
      <c r="AC4150" s="13"/>
      <c r="AD4150" s="13"/>
      <c r="AE4150" s="13"/>
      <c r="AF4150" s="13"/>
      <c r="AG4150" s="13"/>
      <c r="AH4150" s="13"/>
      <c r="AI4150" s="13"/>
      <c r="AJ4150" s="13"/>
      <c r="AK4150" s="13"/>
      <c r="AL4150" s="13"/>
      <c r="AM4150" s="13"/>
      <c r="AN4150" s="13"/>
      <c r="AO4150" s="13"/>
      <c r="AP4150" s="13"/>
      <c r="AQ4150" s="13"/>
      <c r="AR4150" s="13"/>
      <c r="AS4150" s="13"/>
    </row>
    <row r="4151" ht="14.25" customHeight="1">
      <c r="A4151" s="26" t="s">
        <v>46</v>
      </c>
      <c r="B4151" s="31" t="s">
        <v>53</v>
      </c>
      <c r="C4151" s="13">
        <v>225.0</v>
      </c>
      <c r="D4151" s="13" t="s">
        <v>434</v>
      </c>
      <c r="E4151" s="13"/>
      <c r="F4151" s="13"/>
      <c r="G4151" s="26" t="s">
        <v>111</v>
      </c>
      <c r="H4151" s="26" t="s">
        <v>75</v>
      </c>
      <c r="I4151" s="13"/>
      <c r="J4151" s="13"/>
      <c r="K4151" s="15">
        <v>1.0</v>
      </c>
      <c r="L4151" s="15">
        <v>1.0</v>
      </c>
      <c r="M4151" s="16"/>
      <c r="N4151" s="16"/>
      <c r="O4151" s="17"/>
      <c r="P4151" s="17"/>
      <c r="Q4151" s="13"/>
      <c r="R4151" s="13"/>
      <c r="S4151" s="13"/>
      <c r="T4151" s="13">
        <f t="shared" ref="T4151:Y4151" si="4470">IF(ISBLANK(K4151)=TRUE,0,1)</f>
        <v>1</v>
      </c>
      <c r="U4151" s="13">
        <f t="shared" si="4470"/>
        <v>1</v>
      </c>
      <c r="V4151" s="13">
        <f t="shared" si="4470"/>
        <v>0</v>
      </c>
      <c r="W4151" s="13">
        <f t="shared" si="4470"/>
        <v>0</v>
      </c>
      <c r="X4151" s="13">
        <f t="shared" si="4470"/>
        <v>0</v>
      </c>
      <c r="Y4151" s="13">
        <f t="shared" si="4470"/>
        <v>0</v>
      </c>
      <c r="Z4151" s="13">
        <f t="shared" si="3023"/>
        <v>1</v>
      </c>
      <c r="AA4151" s="13"/>
      <c r="AB4151" s="13"/>
      <c r="AC4151" s="13"/>
      <c r="AD4151" s="13"/>
      <c r="AE4151" s="13"/>
      <c r="AF4151" s="13"/>
      <c r="AG4151" s="13"/>
      <c r="AH4151" s="13"/>
      <c r="AI4151" s="13"/>
      <c r="AJ4151" s="13"/>
      <c r="AK4151" s="13"/>
      <c r="AL4151" s="13"/>
      <c r="AM4151" s="13"/>
      <c r="AN4151" s="13"/>
      <c r="AO4151" s="13"/>
      <c r="AP4151" s="13"/>
      <c r="AQ4151" s="13"/>
      <c r="AR4151" s="13"/>
      <c r="AS4151" s="13"/>
    </row>
    <row r="4152" ht="14.25" customHeight="1">
      <c r="A4152" s="26" t="s">
        <v>46</v>
      </c>
      <c r="B4152" s="31" t="s">
        <v>53</v>
      </c>
      <c r="C4152" s="26">
        <v>226.0</v>
      </c>
      <c r="D4152" s="26" t="s">
        <v>174</v>
      </c>
      <c r="E4152" s="13"/>
      <c r="F4152" s="26"/>
      <c r="G4152" s="26" t="s">
        <v>74</v>
      </c>
      <c r="H4152" s="26" t="s">
        <v>75</v>
      </c>
      <c r="I4152" s="13"/>
      <c r="J4152" s="13"/>
      <c r="K4152" s="15">
        <v>1.0</v>
      </c>
      <c r="L4152" s="15">
        <v>1.0</v>
      </c>
      <c r="M4152" s="16"/>
      <c r="N4152" s="16"/>
      <c r="O4152" s="17"/>
      <c r="P4152" s="17"/>
      <c r="Q4152" s="13"/>
      <c r="R4152" s="13"/>
      <c r="S4152" s="13"/>
      <c r="T4152" s="13">
        <f t="shared" ref="T4152:Y4152" si="4471">IF(ISBLANK(K4152)=TRUE,0,1)</f>
        <v>1</v>
      </c>
      <c r="U4152" s="13">
        <f t="shared" si="4471"/>
        <v>1</v>
      </c>
      <c r="V4152" s="13">
        <f t="shared" si="4471"/>
        <v>0</v>
      </c>
      <c r="W4152" s="13">
        <f t="shared" si="4471"/>
        <v>0</v>
      </c>
      <c r="X4152" s="13">
        <f t="shared" si="4471"/>
        <v>0</v>
      </c>
      <c r="Y4152" s="13">
        <f t="shared" si="4471"/>
        <v>0</v>
      </c>
      <c r="Z4152" s="13">
        <f t="shared" si="3023"/>
        <v>1</v>
      </c>
      <c r="AA4152" s="13"/>
      <c r="AB4152" s="13"/>
      <c r="AC4152" s="13"/>
      <c r="AD4152" s="13"/>
      <c r="AE4152" s="13"/>
      <c r="AF4152" s="13"/>
      <c r="AG4152" s="13"/>
      <c r="AH4152" s="13"/>
      <c r="AI4152" s="13"/>
      <c r="AJ4152" s="13"/>
      <c r="AK4152" s="13"/>
      <c r="AL4152" s="13"/>
      <c r="AM4152" s="13"/>
      <c r="AN4152" s="13"/>
      <c r="AO4152" s="13"/>
      <c r="AP4152" s="13"/>
      <c r="AQ4152" s="13"/>
      <c r="AR4152" s="13"/>
      <c r="AS4152" s="13"/>
    </row>
    <row r="4153" ht="14.25" customHeight="1">
      <c r="A4153" s="26" t="s">
        <v>46</v>
      </c>
      <c r="B4153" s="31" t="s">
        <v>53</v>
      </c>
      <c r="C4153" s="26">
        <v>226.0</v>
      </c>
      <c r="D4153" s="26" t="s">
        <v>176</v>
      </c>
      <c r="E4153" s="13"/>
      <c r="F4153" s="26"/>
      <c r="G4153" s="26" t="s">
        <v>74</v>
      </c>
      <c r="H4153" s="26" t="s">
        <v>75</v>
      </c>
      <c r="I4153" s="13"/>
      <c r="J4153" s="13"/>
      <c r="K4153" s="15">
        <v>1.0</v>
      </c>
      <c r="L4153" s="15">
        <v>1.0</v>
      </c>
      <c r="M4153" s="16"/>
      <c r="N4153" s="16"/>
      <c r="O4153" s="17"/>
      <c r="P4153" s="17"/>
      <c r="Q4153" s="13"/>
      <c r="R4153" s="13"/>
      <c r="S4153" s="13"/>
      <c r="T4153" s="13">
        <f t="shared" ref="T4153:Y4153" si="4472">IF(ISBLANK(K4153)=TRUE,0,1)</f>
        <v>1</v>
      </c>
      <c r="U4153" s="13">
        <f t="shared" si="4472"/>
        <v>1</v>
      </c>
      <c r="V4153" s="13">
        <f t="shared" si="4472"/>
        <v>0</v>
      </c>
      <c r="W4153" s="13">
        <f t="shared" si="4472"/>
        <v>0</v>
      </c>
      <c r="X4153" s="13">
        <f t="shared" si="4472"/>
        <v>0</v>
      </c>
      <c r="Y4153" s="13">
        <f t="shared" si="4472"/>
        <v>0</v>
      </c>
      <c r="Z4153" s="13">
        <f t="shared" si="3023"/>
        <v>1</v>
      </c>
      <c r="AA4153" s="13"/>
      <c r="AB4153" s="13"/>
      <c r="AC4153" s="13"/>
      <c r="AD4153" s="13"/>
      <c r="AE4153" s="13"/>
      <c r="AF4153" s="13"/>
      <c r="AG4153" s="13"/>
      <c r="AH4153" s="13"/>
      <c r="AI4153" s="13"/>
      <c r="AJ4153" s="13"/>
      <c r="AK4153" s="13"/>
      <c r="AL4153" s="13"/>
      <c r="AM4153" s="13"/>
      <c r="AN4153" s="13"/>
      <c r="AO4153" s="13"/>
      <c r="AP4153" s="13"/>
      <c r="AQ4153" s="13"/>
      <c r="AR4153" s="13"/>
      <c r="AS4153" s="13"/>
    </row>
    <row r="4154" ht="14.25" customHeight="1">
      <c r="A4154" s="26" t="s">
        <v>46</v>
      </c>
      <c r="B4154" s="31" t="s">
        <v>53</v>
      </c>
      <c r="C4154" s="26">
        <v>226.0</v>
      </c>
      <c r="D4154" s="26" t="s">
        <v>177</v>
      </c>
      <c r="E4154" s="13"/>
      <c r="F4154" s="26"/>
      <c r="G4154" s="26" t="s">
        <v>74</v>
      </c>
      <c r="H4154" s="26" t="s">
        <v>75</v>
      </c>
      <c r="I4154" s="13"/>
      <c r="J4154" s="13"/>
      <c r="K4154" s="15">
        <v>1.0</v>
      </c>
      <c r="L4154" s="15">
        <v>1.0</v>
      </c>
      <c r="M4154" s="16"/>
      <c r="N4154" s="16"/>
      <c r="O4154" s="17"/>
      <c r="P4154" s="17"/>
      <c r="Q4154" s="13"/>
      <c r="R4154" s="13"/>
      <c r="S4154" s="13"/>
      <c r="T4154" s="13">
        <f t="shared" ref="T4154:Y4154" si="4473">IF(ISBLANK(K4154)=TRUE,0,1)</f>
        <v>1</v>
      </c>
      <c r="U4154" s="13">
        <f t="shared" si="4473"/>
        <v>1</v>
      </c>
      <c r="V4154" s="13">
        <f t="shared" si="4473"/>
        <v>0</v>
      </c>
      <c r="W4154" s="13">
        <f t="shared" si="4473"/>
        <v>0</v>
      </c>
      <c r="X4154" s="13">
        <f t="shared" si="4473"/>
        <v>0</v>
      </c>
      <c r="Y4154" s="13">
        <f t="shared" si="4473"/>
        <v>0</v>
      </c>
      <c r="Z4154" s="13">
        <f t="shared" si="3023"/>
        <v>1</v>
      </c>
      <c r="AA4154" s="13"/>
      <c r="AB4154" s="13"/>
      <c r="AC4154" s="13"/>
      <c r="AD4154" s="13"/>
      <c r="AE4154" s="13"/>
      <c r="AF4154" s="13"/>
      <c r="AG4154" s="13"/>
      <c r="AH4154" s="13"/>
      <c r="AI4154" s="13"/>
      <c r="AJ4154" s="13"/>
      <c r="AK4154" s="13"/>
      <c r="AL4154" s="13"/>
      <c r="AM4154" s="13"/>
      <c r="AN4154" s="13"/>
      <c r="AO4154" s="13"/>
      <c r="AP4154" s="13"/>
      <c r="AQ4154" s="13"/>
      <c r="AR4154" s="13"/>
      <c r="AS4154" s="13"/>
    </row>
    <row r="4155" ht="14.25" customHeight="1">
      <c r="A4155" s="26" t="s">
        <v>46</v>
      </c>
      <c r="B4155" s="31" t="s">
        <v>53</v>
      </c>
      <c r="C4155" s="26">
        <v>226.0</v>
      </c>
      <c r="D4155" s="26" t="s">
        <v>179</v>
      </c>
      <c r="E4155" s="13"/>
      <c r="F4155" s="26"/>
      <c r="G4155" s="26" t="s">
        <v>74</v>
      </c>
      <c r="H4155" s="26" t="s">
        <v>75</v>
      </c>
      <c r="I4155" s="13"/>
      <c r="J4155" s="13"/>
      <c r="K4155" s="15">
        <v>1.0</v>
      </c>
      <c r="L4155" s="15">
        <v>1.0</v>
      </c>
      <c r="M4155" s="16"/>
      <c r="N4155" s="16"/>
      <c r="O4155" s="17"/>
      <c r="P4155" s="17"/>
      <c r="Q4155" s="13"/>
      <c r="R4155" s="13"/>
      <c r="S4155" s="13"/>
      <c r="T4155" s="13">
        <f t="shared" ref="T4155:Y4155" si="4474">IF(ISBLANK(K4155)=TRUE,0,1)</f>
        <v>1</v>
      </c>
      <c r="U4155" s="13">
        <f t="shared" si="4474"/>
        <v>1</v>
      </c>
      <c r="V4155" s="13">
        <f t="shared" si="4474"/>
        <v>0</v>
      </c>
      <c r="W4155" s="13">
        <f t="shared" si="4474"/>
        <v>0</v>
      </c>
      <c r="X4155" s="13">
        <f t="shared" si="4474"/>
        <v>0</v>
      </c>
      <c r="Y4155" s="13">
        <f t="shared" si="4474"/>
        <v>0</v>
      </c>
      <c r="Z4155" s="13">
        <f t="shared" si="3023"/>
        <v>1</v>
      </c>
      <c r="AA4155" s="13"/>
      <c r="AB4155" s="13"/>
      <c r="AC4155" s="13"/>
      <c r="AD4155" s="13"/>
      <c r="AE4155" s="13"/>
      <c r="AF4155" s="13"/>
      <c r="AG4155" s="13"/>
      <c r="AH4155" s="13"/>
      <c r="AI4155" s="13"/>
      <c r="AJ4155" s="13"/>
      <c r="AK4155" s="13"/>
      <c r="AL4155" s="13"/>
      <c r="AM4155" s="13"/>
      <c r="AN4155" s="13"/>
      <c r="AO4155" s="13"/>
      <c r="AP4155" s="13"/>
      <c r="AQ4155" s="13"/>
      <c r="AR4155" s="13"/>
      <c r="AS4155" s="13"/>
    </row>
    <row r="4156" ht="14.25" customHeight="1">
      <c r="A4156" s="26" t="s">
        <v>46</v>
      </c>
      <c r="B4156" s="31" t="s">
        <v>53</v>
      </c>
      <c r="C4156" s="26">
        <v>226.0</v>
      </c>
      <c r="D4156" s="26" t="s">
        <v>180</v>
      </c>
      <c r="E4156" s="13"/>
      <c r="F4156" s="26"/>
      <c r="G4156" s="26" t="s">
        <v>74</v>
      </c>
      <c r="H4156" s="26" t="s">
        <v>75</v>
      </c>
      <c r="I4156" s="13"/>
      <c r="J4156" s="13"/>
      <c r="K4156" s="15">
        <v>1.0</v>
      </c>
      <c r="L4156" s="15">
        <v>1.0</v>
      </c>
      <c r="M4156" s="16"/>
      <c r="N4156" s="16"/>
      <c r="O4156" s="17"/>
      <c r="P4156" s="17"/>
      <c r="Q4156" s="13"/>
      <c r="R4156" s="13"/>
      <c r="S4156" s="13"/>
      <c r="T4156" s="13">
        <f t="shared" ref="T4156:Y4156" si="4475">IF(ISBLANK(K4156)=TRUE,0,1)</f>
        <v>1</v>
      </c>
      <c r="U4156" s="13">
        <f t="shared" si="4475"/>
        <v>1</v>
      </c>
      <c r="V4156" s="13">
        <f t="shared" si="4475"/>
        <v>0</v>
      </c>
      <c r="W4156" s="13">
        <f t="shared" si="4475"/>
        <v>0</v>
      </c>
      <c r="X4156" s="13">
        <f t="shared" si="4475"/>
        <v>0</v>
      </c>
      <c r="Y4156" s="13">
        <f t="shared" si="4475"/>
        <v>0</v>
      </c>
      <c r="Z4156" s="13">
        <f t="shared" si="3023"/>
        <v>1</v>
      </c>
      <c r="AA4156" s="13"/>
      <c r="AB4156" s="13"/>
      <c r="AC4156" s="13"/>
      <c r="AD4156" s="13"/>
      <c r="AE4156" s="13"/>
      <c r="AF4156" s="13"/>
      <c r="AG4156" s="13"/>
      <c r="AH4156" s="13"/>
      <c r="AI4156" s="13"/>
      <c r="AJ4156" s="13"/>
      <c r="AK4156" s="13"/>
      <c r="AL4156" s="13"/>
      <c r="AM4156" s="13"/>
      <c r="AN4156" s="13"/>
      <c r="AO4156" s="13"/>
      <c r="AP4156" s="13"/>
      <c r="AQ4156" s="13"/>
      <c r="AR4156" s="13"/>
      <c r="AS4156" s="13"/>
    </row>
    <row r="4157" ht="14.25" customHeight="1">
      <c r="A4157" s="26" t="s">
        <v>46</v>
      </c>
      <c r="B4157" s="31" t="s">
        <v>53</v>
      </c>
      <c r="C4157" s="26">
        <v>226.0</v>
      </c>
      <c r="D4157" s="26" t="s">
        <v>181</v>
      </c>
      <c r="E4157" s="13"/>
      <c r="F4157" s="26"/>
      <c r="G4157" s="26" t="s">
        <v>74</v>
      </c>
      <c r="H4157" s="26" t="s">
        <v>75</v>
      </c>
      <c r="I4157" s="13"/>
      <c r="J4157" s="13"/>
      <c r="K4157" s="15">
        <v>1.0</v>
      </c>
      <c r="L4157" s="15">
        <v>1.0</v>
      </c>
      <c r="M4157" s="16"/>
      <c r="N4157" s="16"/>
      <c r="O4157" s="17"/>
      <c r="P4157" s="17"/>
      <c r="Q4157" s="13"/>
      <c r="R4157" s="13"/>
      <c r="S4157" s="13"/>
      <c r="T4157" s="13">
        <f t="shared" ref="T4157:Y4157" si="4476">IF(ISBLANK(K4157)=TRUE,0,1)</f>
        <v>1</v>
      </c>
      <c r="U4157" s="13">
        <f t="shared" si="4476"/>
        <v>1</v>
      </c>
      <c r="V4157" s="13">
        <f t="shared" si="4476"/>
        <v>0</v>
      </c>
      <c r="W4157" s="13">
        <f t="shared" si="4476"/>
        <v>0</v>
      </c>
      <c r="X4157" s="13">
        <f t="shared" si="4476"/>
        <v>0</v>
      </c>
      <c r="Y4157" s="13">
        <f t="shared" si="4476"/>
        <v>0</v>
      </c>
      <c r="Z4157" s="13">
        <f t="shared" si="3023"/>
        <v>1</v>
      </c>
      <c r="AA4157" s="13"/>
      <c r="AB4157" s="13"/>
      <c r="AC4157" s="13"/>
      <c r="AD4157" s="13"/>
      <c r="AE4157" s="13"/>
      <c r="AF4157" s="13"/>
      <c r="AG4157" s="13"/>
      <c r="AH4157" s="13"/>
      <c r="AI4157" s="13"/>
      <c r="AJ4157" s="13"/>
      <c r="AK4157" s="13"/>
      <c r="AL4157" s="13"/>
      <c r="AM4157" s="13"/>
      <c r="AN4157" s="13"/>
      <c r="AO4157" s="13"/>
      <c r="AP4157" s="13"/>
      <c r="AQ4157" s="13"/>
      <c r="AR4157" s="13"/>
      <c r="AS4157" s="13"/>
    </row>
    <row r="4158" ht="14.25" customHeight="1">
      <c r="A4158" s="26" t="s">
        <v>46</v>
      </c>
      <c r="B4158" s="31" t="s">
        <v>53</v>
      </c>
      <c r="C4158" s="26">
        <v>226.0</v>
      </c>
      <c r="D4158" s="26" t="s">
        <v>182</v>
      </c>
      <c r="E4158" s="13"/>
      <c r="F4158" s="26"/>
      <c r="G4158" s="26" t="s">
        <v>74</v>
      </c>
      <c r="H4158" s="26" t="s">
        <v>75</v>
      </c>
      <c r="I4158" s="13"/>
      <c r="J4158" s="13"/>
      <c r="K4158" s="15">
        <v>1.0</v>
      </c>
      <c r="L4158" s="15">
        <v>1.0</v>
      </c>
      <c r="M4158" s="16"/>
      <c r="N4158" s="16"/>
      <c r="O4158" s="17"/>
      <c r="P4158" s="17"/>
      <c r="Q4158" s="13"/>
      <c r="R4158" s="13"/>
      <c r="S4158" s="13"/>
      <c r="T4158" s="13">
        <f t="shared" ref="T4158:Y4158" si="4477">IF(ISBLANK(K4158)=TRUE,0,1)</f>
        <v>1</v>
      </c>
      <c r="U4158" s="13">
        <f t="shared" si="4477"/>
        <v>1</v>
      </c>
      <c r="V4158" s="13">
        <f t="shared" si="4477"/>
        <v>0</v>
      </c>
      <c r="W4158" s="13">
        <f t="shared" si="4477"/>
        <v>0</v>
      </c>
      <c r="X4158" s="13">
        <f t="shared" si="4477"/>
        <v>0</v>
      </c>
      <c r="Y4158" s="13">
        <f t="shared" si="4477"/>
        <v>0</v>
      </c>
      <c r="Z4158" s="13">
        <f t="shared" si="3023"/>
        <v>1</v>
      </c>
      <c r="AA4158" s="13"/>
      <c r="AB4158" s="13"/>
      <c r="AC4158" s="13"/>
      <c r="AD4158" s="13"/>
      <c r="AE4158" s="13"/>
      <c r="AF4158" s="13"/>
      <c r="AG4158" s="13"/>
      <c r="AH4158" s="13"/>
      <c r="AI4158" s="13"/>
      <c r="AJ4158" s="13"/>
      <c r="AK4158" s="13"/>
      <c r="AL4158" s="13"/>
      <c r="AM4158" s="13"/>
      <c r="AN4158" s="13"/>
      <c r="AO4158" s="13"/>
      <c r="AP4158" s="13"/>
      <c r="AQ4158" s="13"/>
      <c r="AR4158" s="13"/>
      <c r="AS4158" s="13"/>
    </row>
    <row r="4159" ht="14.25" customHeight="1">
      <c r="A4159" s="26" t="s">
        <v>46</v>
      </c>
      <c r="B4159" s="31" t="s">
        <v>53</v>
      </c>
      <c r="C4159" s="26">
        <v>226.0</v>
      </c>
      <c r="D4159" s="26" t="s">
        <v>183</v>
      </c>
      <c r="E4159" s="13"/>
      <c r="F4159" s="26"/>
      <c r="G4159" s="26" t="s">
        <v>74</v>
      </c>
      <c r="H4159" s="26" t="s">
        <v>75</v>
      </c>
      <c r="I4159" s="13"/>
      <c r="J4159" s="13"/>
      <c r="K4159" s="15">
        <v>1.0</v>
      </c>
      <c r="L4159" s="15">
        <v>1.0</v>
      </c>
      <c r="M4159" s="16"/>
      <c r="N4159" s="16"/>
      <c r="O4159" s="17"/>
      <c r="P4159" s="17"/>
      <c r="Q4159" s="13"/>
      <c r="R4159" s="13"/>
      <c r="S4159" s="13"/>
      <c r="T4159" s="13">
        <f t="shared" ref="T4159:Y4159" si="4478">IF(ISBLANK(K4159)=TRUE,0,1)</f>
        <v>1</v>
      </c>
      <c r="U4159" s="13">
        <f t="shared" si="4478"/>
        <v>1</v>
      </c>
      <c r="V4159" s="13">
        <f t="shared" si="4478"/>
        <v>0</v>
      </c>
      <c r="W4159" s="13">
        <f t="shared" si="4478"/>
        <v>0</v>
      </c>
      <c r="X4159" s="13">
        <f t="shared" si="4478"/>
        <v>0</v>
      </c>
      <c r="Y4159" s="13">
        <f t="shared" si="4478"/>
        <v>0</v>
      </c>
      <c r="Z4159" s="13">
        <f t="shared" si="3023"/>
        <v>1</v>
      </c>
      <c r="AA4159" s="13"/>
      <c r="AB4159" s="13"/>
      <c r="AC4159" s="13"/>
      <c r="AD4159" s="13"/>
      <c r="AE4159" s="13"/>
      <c r="AF4159" s="13"/>
      <c r="AG4159" s="13"/>
      <c r="AH4159" s="13"/>
      <c r="AI4159" s="13"/>
      <c r="AJ4159" s="13"/>
      <c r="AK4159" s="13"/>
      <c r="AL4159" s="13"/>
      <c r="AM4159" s="13"/>
      <c r="AN4159" s="13"/>
      <c r="AO4159" s="13"/>
      <c r="AP4159" s="13"/>
      <c r="AQ4159" s="13"/>
      <c r="AR4159" s="13"/>
      <c r="AS4159" s="13"/>
    </row>
    <row r="4160" ht="14.25" customHeight="1">
      <c r="A4160" s="26" t="s">
        <v>46</v>
      </c>
      <c r="B4160" s="31" t="s">
        <v>53</v>
      </c>
      <c r="C4160" s="26">
        <v>226.0</v>
      </c>
      <c r="D4160" s="26" t="s">
        <v>184</v>
      </c>
      <c r="E4160" s="13"/>
      <c r="F4160" s="26"/>
      <c r="G4160" s="26" t="s">
        <v>74</v>
      </c>
      <c r="H4160" s="26" t="s">
        <v>75</v>
      </c>
      <c r="I4160" s="13"/>
      <c r="J4160" s="13"/>
      <c r="K4160" s="15">
        <v>1.0</v>
      </c>
      <c r="L4160" s="15">
        <v>1.0</v>
      </c>
      <c r="M4160" s="16"/>
      <c r="N4160" s="16"/>
      <c r="O4160" s="17"/>
      <c r="P4160" s="17"/>
      <c r="Q4160" s="13"/>
      <c r="R4160" s="13"/>
      <c r="S4160" s="13"/>
      <c r="T4160" s="13">
        <f t="shared" ref="T4160:Y4160" si="4479">IF(ISBLANK(K4160)=TRUE,0,1)</f>
        <v>1</v>
      </c>
      <c r="U4160" s="13">
        <f t="shared" si="4479"/>
        <v>1</v>
      </c>
      <c r="V4160" s="13">
        <f t="shared" si="4479"/>
        <v>0</v>
      </c>
      <c r="W4160" s="13">
        <f t="shared" si="4479"/>
        <v>0</v>
      </c>
      <c r="X4160" s="13">
        <f t="shared" si="4479"/>
        <v>0</v>
      </c>
      <c r="Y4160" s="13">
        <f t="shared" si="4479"/>
        <v>0</v>
      </c>
      <c r="Z4160" s="13">
        <f t="shared" si="3023"/>
        <v>1</v>
      </c>
      <c r="AA4160" s="13"/>
      <c r="AB4160" s="13"/>
      <c r="AC4160" s="13"/>
      <c r="AD4160" s="13"/>
      <c r="AE4160" s="13"/>
      <c r="AF4160" s="13"/>
      <c r="AG4160" s="13"/>
      <c r="AH4160" s="13"/>
      <c r="AI4160" s="13"/>
      <c r="AJ4160" s="13"/>
      <c r="AK4160" s="13"/>
      <c r="AL4160" s="13"/>
      <c r="AM4160" s="13"/>
      <c r="AN4160" s="13"/>
      <c r="AO4160" s="13"/>
      <c r="AP4160" s="13"/>
      <c r="AQ4160" s="13"/>
      <c r="AR4160" s="13"/>
      <c r="AS4160" s="13"/>
    </row>
    <row r="4161" ht="14.25" customHeight="1">
      <c r="A4161" s="26" t="s">
        <v>46</v>
      </c>
      <c r="B4161" s="31" t="s">
        <v>53</v>
      </c>
      <c r="C4161" s="26">
        <v>238.0</v>
      </c>
      <c r="D4161" s="26" t="s">
        <v>175</v>
      </c>
      <c r="E4161" s="13"/>
      <c r="F4161" s="26"/>
      <c r="G4161" s="26" t="s">
        <v>111</v>
      </c>
      <c r="H4161" s="26" t="s">
        <v>75</v>
      </c>
      <c r="I4161" s="13"/>
      <c r="J4161" s="13"/>
      <c r="K4161" s="15">
        <v>1.0</v>
      </c>
      <c r="L4161" s="15">
        <v>1.0</v>
      </c>
      <c r="M4161" s="16"/>
      <c r="N4161" s="16"/>
      <c r="O4161" s="17"/>
      <c r="P4161" s="17"/>
      <c r="Q4161" s="13"/>
      <c r="R4161" s="13"/>
      <c r="S4161" s="13"/>
      <c r="T4161" s="13">
        <f t="shared" ref="T4161:Y4161" si="4480">IF(ISBLANK(K4161)=TRUE,0,1)</f>
        <v>1</v>
      </c>
      <c r="U4161" s="13">
        <f t="shared" si="4480"/>
        <v>1</v>
      </c>
      <c r="V4161" s="13">
        <f t="shared" si="4480"/>
        <v>0</v>
      </c>
      <c r="W4161" s="13">
        <f t="shared" si="4480"/>
        <v>0</v>
      </c>
      <c r="X4161" s="13">
        <f t="shared" si="4480"/>
        <v>0</v>
      </c>
      <c r="Y4161" s="13">
        <f t="shared" si="4480"/>
        <v>0</v>
      </c>
      <c r="Z4161" s="13">
        <f t="shared" si="3023"/>
        <v>1</v>
      </c>
      <c r="AA4161" s="13"/>
      <c r="AB4161" s="13"/>
      <c r="AC4161" s="13"/>
      <c r="AD4161" s="13"/>
      <c r="AE4161" s="13"/>
      <c r="AF4161" s="13"/>
      <c r="AG4161" s="13"/>
      <c r="AH4161" s="13"/>
      <c r="AI4161" s="13"/>
      <c r="AJ4161" s="13"/>
      <c r="AK4161" s="13"/>
      <c r="AL4161" s="13"/>
      <c r="AM4161" s="13"/>
      <c r="AN4161" s="13"/>
      <c r="AO4161" s="13"/>
      <c r="AP4161" s="13"/>
      <c r="AQ4161" s="13"/>
      <c r="AR4161" s="13"/>
      <c r="AS4161" s="13"/>
    </row>
    <row r="4162" ht="14.25" customHeight="1">
      <c r="A4162" s="26" t="s">
        <v>46</v>
      </c>
      <c r="B4162" s="31" t="s">
        <v>53</v>
      </c>
      <c r="C4162" s="26">
        <v>238.0</v>
      </c>
      <c r="D4162" s="26" t="s">
        <v>176</v>
      </c>
      <c r="E4162" s="13"/>
      <c r="F4162" s="26"/>
      <c r="G4162" s="26" t="s">
        <v>111</v>
      </c>
      <c r="H4162" s="26" t="s">
        <v>75</v>
      </c>
      <c r="I4162" s="13"/>
      <c r="J4162" s="13"/>
      <c r="K4162" s="15">
        <v>1.0</v>
      </c>
      <c r="L4162" s="15">
        <v>1.0</v>
      </c>
      <c r="M4162" s="16"/>
      <c r="N4162" s="16"/>
      <c r="O4162" s="17"/>
      <c r="P4162" s="17"/>
      <c r="Q4162" s="13"/>
      <c r="R4162" s="13"/>
      <c r="S4162" s="13"/>
      <c r="T4162" s="13">
        <f t="shared" ref="T4162:Y4162" si="4481">IF(ISBLANK(K4162)=TRUE,0,1)</f>
        <v>1</v>
      </c>
      <c r="U4162" s="13">
        <f t="shared" si="4481"/>
        <v>1</v>
      </c>
      <c r="V4162" s="13">
        <f t="shared" si="4481"/>
        <v>0</v>
      </c>
      <c r="W4162" s="13">
        <f t="shared" si="4481"/>
        <v>0</v>
      </c>
      <c r="X4162" s="13">
        <f t="shared" si="4481"/>
        <v>0</v>
      </c>
      <c r="Y4162" s="13">
        <f t="shared" si="4481"/>
        <v>0</v>
      </c>
      <c r="Z4162" s="13">
        <f t="shared" si="3023"/>
        <v>1</v>
      </c>
      <c r="AA4162" s="13"/>
      <c r="AB4162" s="13"/>
      <c r="AC4162" s="13"/>
      <c r="AD4162" s="13"/>
      <c r="AE4162" s="13"/>
      <c r="AF4162" s="13"/>
      <c r="AG4162" s="13"/>
      <c r="AH4162" s="13"/>
      <c r="AI4162" s="13"/>
      <c r="AJ4162" s="13"/>
      <c r="AK4162" s="13"/>
      <c r="AL4162" s="13"/>
      <c r="AM4162" s="13"/>
      <c r="AN4162" s="13"/>
      <c r="AO4162" s="13"/>
      <c r="AP4162" s="13"/>
      <c r="AQ4162" s="13"/>
      <c r="AR4162" s="13"/>
      <c r="AS4162" s="13"/>
    </row>
    <row r="4163" ht="14.25" customHeight="1">
      <c r="A4163" s="26" t="s">
        <v>46</v>
      </c>
      <c r="B4163" s="31" t="s">
        <v>53</v>
      </c>
      <c r="C4163" s="26">
        <v>238.0</v>
      </c>
      <c r="D4163" s="26" t="s">
        <v>177</v>
      </c>
      <c r="E4163" s="13"/>
      <c r="F4163" s="26"/>
      <c r="G4163" s="26" t="s">
        <v>111</v>
      </c>
      <c r="H4163" s="26" t="s">
        <v>75</v>
      </c>
      <c r="I4163" s="13"/>
      <c r="J4163" s="13"/>
      <c r="K4163" s="15">
        <v>1.0</v>
      </c>
      <c r="L4163" s="15">
        <v>1.0</v>
      </c>
      <c r="M4163" s="16"/>
      <c r="N4163" s="16"/>
      <c r="O4163" s="17"/>
      <c r="P4163" s="17"/>
      <c r="Q4163" s="13"/>
      <c r="R4163" s="13"/>
      <c r="S4163" s="13"/>
      <c r="T4163" s="13">
        <f t="shared" ref="T4163:Y4163" si="4482">IF(ISBLANK(K4163)=TRUE,0,1)</f>
        <v>1</v>
      </c>
      <c r="U4163" s="13">
        <f t="shared" si="4482"/>
        <v>1</v>
      </c>
      <c r="V4163" s="13">
        <f t="shared" si="4482"/>
        <v>0</v>
      </c>
      <c r="W4163" s="13">
        <f t="shared" si="4482"/>
        <v>0</v>
      </c>
      <c r="X4163" s="13">
        <f t="shared" si="4482"/>
        <v>0</v>
      </c>
      <c r="Y4163" s="13">
        <f t="shared" si="4482"/>
        <v>0</v>
      </c>
      <c r="Z4163" s="13">
        <f t="shared" si="3023"/>
        <v>1</v>
      </c>
      <c r="AA4163" s="13"/>
      <c r="AB4163" s="13"/>
      <c r="AC4163" s="13"/>
      <c r="AD4163" s="13"/>
      <c r="AE4163" s="13"/>
      <c r="AF4163" s="13"/>
      <c r="AG4163" s="13"/>
      <c r="AH4163" s="13"/>
      <c r="AI4163" s="13"/>
      <c r="AJ4163" s="13"/>
      <c r="AK4163" s="13"/>
      <c r="AL4163" s="13"/>
      <c r="AM4163" s="13"/>
      <c r="AN4163" s="13"/>
      <c r="AO4163" s="13"/>
      <c r="AP4163" s="13"/>
      <c r="AQ4163" s="13"/>
      <c r="AR4163" s="13"/>
      <c r="AS4163" s="13"/>
    </row>
    <row r="4164" ht="14.25" customHeight="1">
      <c r="A4164" s="26" t="s">
        <v>46</v>
      </c>
      <c r="B4164" s="31" t="s">
        <v>53</v>
      </c>
      <c r="C4164" s="26">
        <v>238.0</v>
      </c>
      <c r="D4164" s="26" t="s">
        <v>178</v>
      </c>
      <c r="E4164" s="13"/>
      <c r="F4164" s="26"/>
      <c r="G4164" s="26" t="s">
        <v>111</v>
      </c>
      <c r="H4164" s="26" t="s">
        <v>75</v>
      </c>
      <c r="I4164" s="13"/>
      <c r="J4164" s="13"/>
      <c r="K4164" s="15">
        <v>1.0</v>
      </c>
      <c r="L4164" s="15">
        <v>1.0</v>
      </c>
      <c r="M4164" s="16"/>
      <c r="N4164" s="16"/>
      <c r="O4164" s="17"/>
      <c r="P4164" s="17"/>
      <c r="Q4164" s="13"/>
      <c r="R4164" s="13"/>
      <c r="S4164" s="13"/>
      <c r="T4164" s="13">
        <f t="shared" ref="T4164:Y4164" si="4483">IF(ISBLANK(K4164)=TRUE,0,1)</f>
        <v>1</v>
      </c>
      <c r="U4164" s="13">
        <f t="shared" si="4483"/>
        <v>1</v>
      </c>
      <c r="V4164" s="13">
        <f t="shared" si="4483"/>
        <v>0</v>
      </c>
      <c r="W4164" s="13">
        <f t="shared" si="4483"/>
        <v>0</v>
      </c>
      <c r="X4164" s="13">
        <f t="shared" si="4483"/>
        <v>0</v>
      </c>
      <c r="Y4164" s="13">
        <f t="shared" si="4483"/>
        <v>0</v>
      </c>
      <c r="Z4164" s="13">
        <f t="shared" si="3023"/>
        <v>1</v>
      </c>
      <c r="AA4164" s="13"/>
      <c r="AB4164" s="13"/>
      <c r="AC4164" s="13"/>
      <c r="AD4164" s="13"/>
      <c r="AE4164" s="13"/>
      <c r="AF4164" s="13"/>
      <c r="AG4164" s="13"/>
      <c r="AH4164" s="13"/>
      <c r="AI4164" s="13"/>
      <c r="AJ4164" s="13"/>
      <c r="AK4164" s="13"/>
      <c r="AL4164" s="13"/>
      <c r="AM4164" s="13"/>
      <c r="AN4164" s="13"/>
      <c r="AO4164" s="13"/>
      <c r="AP4164" s="13"/>
      <c r="AQ4164" s="13"/>
      <c r="AR4164" s="13"/>
      <c r="AS4164" s="13"/>
    </row>
    <row r="4165" ht="14.25" customHeight="1">
      <c r="A4165" s="26" t="s">
        <v>46</v>
      </c>
      <c r="B4165" s="31" t="s">
        <v>53</v>
      </c>
      <c r="C4165" s="26">
        <v>238.0</v>
      </c>
      <c r="D4165" s="26" t="s">
        <v>179</v>
      </c>
      <c r="E4165" s="13"/>
      <c r="F4165" s="26"/>
      <c r="G4165" s="26" t="s">
        <v>111</v>
      </c>
      <c r="H4165" s="26" t="s">
        <v>75</v>
      </c>
      <c r="I4165" s="13"/>
      <c r="J4165" s="13"/>
      <c r="K4165" s="15">
        <v>1.0</v>
      </c>
      <c r="L4165" s="15">
        <v>1.0</v>
      </c>
      <c r="M4165" s="16"/>
      <c r="N4165" s="16"/>
      <c r="O4165" s="17"/>
      <c r="P4165" s="17"/>
      <c r="Q4165" s="13"/>
      <c r="R4165" s="13"/>
      <c r="S4165" s="13"/>
      <c r="T4165" s="13">
        <f t="shared" ref="T4165:Y4165" si="4484">IF(ISBLANK(K4165)=TRUE,0,1)</f>
        <v>1</v>
      </c>
      <c r="U4165" s="13">
        <f t="shared" si="4484"/>
        <v>1</v>
      </c>
      <c r="V4165" s="13">
        <f t="shared" si="4484"/>
        <v>0</v>
      </c>
      <c r="W4165" s="13">
        <f t="shared" si="4484"/>
        <v>0</v>
      </c>
      <c r="X4165" s="13">
        <f t="shared" si="4484"/>
        <v>0</v>
      </c>
      <c r="Y4165" s="13">
        <f t="shared" si="4484"/>
        <v>0</v>
      </c>
      <c r="Z4165" s="13">
        <f t="shared" si="3023"/>
        <v>1</v>
      </c>
      <c r="AA4165" s="13"/>
      <c r="AB4165" s="13"/>
      <c r="AC4165" s="13"/>
      <c r="AD4165" s="13"/>
      <c r="AE4165" s="13"/>
      <c r="AF4165" s="13"/>
      <c r="AG4165" s="13"/>
      <c r="AH4165" s="13"/>
      <c r="AI4165" s="13"/>
      <c r="AJ4165" s="13"/>
      <c r="AK4165" s="13"/>
      <c r="AL4165" s="13"/>
      <c r="AM4165" s="13"/>
      <c r="AN4165" s="13"/>
      <c r="AO4165" s="13"/>
      <c r="AP4165" s="13"/>
      <c r="AQ4165" s="13"/>
      <c r="AR4165" s="13"/>
      <c r="AS4165" s="13"/>
    </row>
    <row r="4166" ht="14.25" customHeight="1">
      <c r="A4166" s="26" t="s">
        <v>46</v>
      </c>
      <c r="B4166" s="31" t="s">
        <v>53</v>
      </c>
      <c r="C4166" s="26">
        <v>238.0</v>
      </c>
      <c r="D4166" s="26" t="s">
        <v>180</v>
      </c>
      <c r="E4166" s="13"/>
      <c r="F4166" s="26"/>
      <c r="G4166" s="26" t="s">
        <v>111</v>
      </c>
      <c r="H4166" s="26" t="s">
        <v>75</v>
      </c>
      <c r="I4166" s="13"/>
      <c r="J4166" s="13"/>
      <c r="K4166" s="15">
        <v>1.0</v>
      </c>
      <c r="L4166" s="15">
        <v>1.0</v>
      </c>
      <c r="M4166" s="16"/>
      <c r="N4166" s="16"/>
      <c r="O4166" s="17"/>
      <c r="P4166" s="17"/>
      <c r="Q4166" s="13"/>
      <c r="R4166" s="13"/>
      <c r="S4166" s="13"/>
      <c r="T4166" s="13">
        <f t="shared" ref="T4166:Y4166" si="4485">IF(ISBLANK(K4166)=TRUE,0,1)</f>
        <v>1</v>
      </c>
      <c r="U4166" s="13">
        <f t="shared" si="4485"/>
        <v>1</v>
      </c>
      <c r="V4166" s="13">
        <f t="shared" si="4485"/>
        <v>0</v>
      </c>
      <c r="W4166" s="13">
        <f t="shared" si="4485"/>
        <v>0</v>
      </c>
      <c r="X4166" s="13">
        <f t="shared" si="4485"/>
        <v>0</v>
      </c>
      <c r="Y4166" s="13">
        <f t="shared" si="4485"/>
        <v>0</v>
      </c>
      <c r="Z4166" s="13">
        <f t="shared" si="3023"/>
        <v>1</v>
      </c>
      <c r="AA4166" s="13"/>
      <c r="AB4166" s="13"/>
      <c r="AC4166" s="13"/>
      <c r="AD4166" s="13"/>
      <c r="AE4166" s="13"/>
      <c r="AF4166" s="13"/>
      <c r="AG4166" s="13"/>
      <c r="AH4166" s="13"/>
      <c r="AI4166" s="13"/>
      <c r="AJ4166" s="13"/>
      <c r="AK4166" s="13"/>
      <c r="AL4166" s="13"/>
      <c r="AM4166" s="13"/>
      <c r="AN4166" s="13"/>
      <c r="AO4166" s="13"/>
      <c r="AP4166" s="13"/>
      <c r="AQ4166" s="13"/>
      <c r="AR4166" s="13"/>
      <c r="AS4166" s="13"/>
    </row>
    <row r="4167" ht="14.25" customHeight="1">
      <c r="A4167" s="26" t="s">
        <v>46</v>
      </c>
      <c r="B4167" s="31" t="s">
        <v>53</v>
      </c>
      <c r="C4167" s="26">
        <v>238.0</v>
      </c>
      <c r="D4167" s="26" t="s">
        <v>181</v>
      </c>
      <c r="E4167" s="13"/>
      <c r="F4167" s="26"/>
      <c r="G4167" s="26" t="s">
        <v>111</v>
      </c>
      <c r="H4167" s="26" t="s">
        <v>75</v>
      </c>
      <c r="I4167" s="13"/>
      <c r="J4167" s="13"/>
      <c r="K4167" s="15">
        <v>1.0</v>
      </c>
      <c r="L4167" s="15">
        <v>1.0</v>
      </c>
      <c r="M4167" s="16"/>
      <c r="N4167" s="16"/>
      <c r="O4167" s="17"/>
      <c r="P4167" s="17"/>
      <c r="Q4167" s="13"/>
      <c r="R4167" s="13"/>
      <c r="S4167" s="13"/>
      <c r="T4167" s="13">
        <f t="shared" ref="T4167:Y4167" si="4486">IF(ISBLANK(K4167)=TRUE,0,1)</f>
        <v>1</v>
      </c>
      <c r="U4167" s="13">
        <f t="shared" si="4486"/>
        <v>1</v>
      </c>
      <c r="V4167" s="13">
        <f t="shared" si="4486"/>
        <v>0</v>
      </c>
      <c r="W4167" s="13">
        <f t="shared" si="4486"/>
        <v>0</v>
      </c>
      <c r="X4167" s="13">
        <f t="shared" si="4486"/>
        <v>0</v>
      </c>
      <c r="Y4167" s="13">
        <f t="shared" si="4486"/>
        <v>0</v>
      </c>
      <c r="Z4167" s="13">
        <f t="shared" si="3023"/>
        <v>1</v>
      </c>
      <c r="AA4167" s="13"/>
      <c r="AB4167" s="13"/>
      <c r="AC4167" s="13"/>
      <c r="AD4167" s="13"/>
      <c r="AE4167" s="13"/>
      <c r="AF4167" s="13"/>
      <c r="AG4167" s="13"/>
      <c r="AH4167" s="13"/>
      <c r="AI4167" s="13"/>
      <c r="AJ4167" s="13"/>
      <c r="AK4167" s="13"/>
      <c r="AL4167" s="13"/>
      <c r="AM4167" s="13"/>
      <c r="AN4167" s="13"/>
      <c r="AO4167" s="13"/>
      <c r="AP4167" s="13"/>
      <c r="AQ4167" s="13"/>
      <c r="AR4167" s="13"/>
      <c r="AS4167" s="13"/>
    </row>
    <row r="4168" ht="14.25" customHeight="1">
      <c r="A4168" s="26" t="s">
        <v>46</v>
      </c>
      <c r="B4168" s="31" t="s">
        <v>53</v>
      </c>
      <c r="C4168" s="26">
        <v>238.0</v>
      </c>
      <c r="D4168" s="26" t="s">
        <v>182</v>
      </c>
      <c r="E4168" s="13"/>
      <c r="F4168" s="26"/>
      <c r="G4168" s="26" t="s">
        <v>111</v>
      </c>
      <c r="H4168" s="26" t="s">
        <v>75</v>
      </c>
      <c r="I4168" s="13"/>
      <c r="J4168" s="13"/>
      <c r="K4168" s="15">
        <v>1.0</v>
      </c>
      <c r="L4168" s="15">
        <v>1.0</v>
      </c>
      <c r="M4168" s="16"/>
      <c r="N4168" s="16"/>
      <c r="O4168" s="17"/>
      <c r="P4168" s="17"/>
      <c r="Q4168" s="13"/>
      <c r="R4168" s="13"/>
      <c r="S4168" s="13"/>
      <c r="T4168" s="13">
        <f t="shared" ref="T4168:Y4168" si="4487">IF(ISBLANK(K4168)=TRUE,0,1)</f>
        <v>1</v>
      </c>
      <c r="U4168" s="13">
        <f t="shared" si="4487"/>
        <v>1</v>
      </c>
      <c r="V4168" s="13">
        <f t="shared" si="4487"/>
        <v>0</v>
      </c>
      <c r="W4168" s="13">
        <f t="shared" si="4487"/>
        <v>0</v>
      </c>
      <c r="X4168" s="13">
        <f t="shared" si="4487"/>
        <v>0</v>
      </c>
      <c r="Y4168" s="13">
        <f t="shared" si="4487"/>
        <v>0</v>
      </c>
      <c r="Z4168" s="13">
        <f t="shared" si="3023"/>
        <v>1</v>
      </c>
      <c r="AA4168" s="13"/>
      <c r="AB4168" s="13"/>
      <c r="AC4168" s="13"/>
      <c r="AD4168" s="13"/>
      <c r="AE4168" s="13"/>
      <c r="AF4168" s="13"/>
      <c r="AG4168" s="13"/>
      <c r="AH4168" s="13"/>
      <c r="AI4168" s="13"/>
      <c r="AJ4168" s="13"/>
      <c r="AK4168" s="13"/>
      <c r="AL4168" s="13"/>
      <c r="AM4168" s="13"/>
      <c r="AN4168" s="13"/>
      <c r="AO4168" s="13"/>
      <c r="AP4168" s="13"/>
      <c r="AQ4168" s="13"/>
      <c r="AR4168" s="13"/>
      <c r="AS4168" s="13"/>
    </row>
    <row r="4169" ht="14.25" customHeight="1">
      <c r="A4169" s="26" t="s">
        <v>46</v>
      </c>
      <c r="B4169" s="31" t="s">
        <v>53</v>
      </c>
      <c r="C4169" s="26">
        <v>238.0</v>
      </c>
      <c r="D4169" s="26" t="s">
        <v>183</v>
      </c>
      <c r="E4169" s="13"/>
      <c r="F4169" s="26"/>
      <c r="G4169" s="26" t="s">
        <v>111</v>
      </c>
      <c r="H4169" s="26" t="s">
        <v>75</v>
      </c>
      <c r="I4169" s="13"/>
      <c r="J4169" s="13"/>
      <c r="K4169" s="15">
        <v>1.0</v>
      </c>
      <c r="L4169" s="15">
        <v>1.0</v>
      </c>
      <c r="M4169" s="16"/>
      <c r="N4169" s="16"/>
      <c r="O4169" s="17"/>
      <c r="P4169" s="17"/>
      <c r="Q4169" s="13"/>
      <c r="R4169" s="13"/>
      <c r="S4169" s="13"/>
      <c r="T4169" s="13">
        <f t="shared" ref="T4169:Y4169" si="4488">IF(ISBLANK(K4169)=TRUE,0,1)</f>
        <v>1</v>
      </c>
      <c r="U4169" s="13">
        <f t="shared" si="4488"/>
        <v>1</v>
      </c>
      <c r="V4169" s="13">
        <f t="shared" si="4488"/>
        <v>0</v>
      </c>
      <c r="W4169" s="13">
        <f t="shared" si="4488"/>
        <v>0</v>
      </c>
      <c r="X4169" s="13">
        <f t="shared" si="4488"/>
        <v>0</v>
      </c>
      <c r="Y4169" s="13">
        <f t="shared" si="4488"/>
        <v>0</v>
      </c>
      <c r="Z4169" s="13">
        <f t="shared" si="3023"/>
        <v>1</v>
      </c>
      <c r="AA4169" s="13"/>
      <c r="AB4169" s="13"/>
      <c r="AC4169" s="13"/>
      <c r="AD4169" s="13"/>
      <c r="AE4169" s="13"/>
      <c r="AF4169" s="13"/>
      <c r="AG4169" s="13"/>
      <c r="AH4169" s="13"/>
      <c r="AI4169" s="13"/>
      <c r="AJ4169" s="13"/>
      <c r="AK4169" s="13"/>
      <c r="AL4169" s="13"/>
      <c r="AM4169" s="13"/>
      <c r="AN4169" s="13"/>
      <c r="AO4169" s="13"/>
      <c r="AP4169" s="13"/>
      <c r="AQ4169" s="13"/>
      <c r="AR4169" s="13"/>
      <c r="AS4169" s="13"/>
    </row>
    <row r="4170" ht="14.25" customHeight="1">
      <c r="A4170" s="26" t="s">
        <v>46</v>
      </c>
      <c r="B4170" s="31" t="s">
        <v>53</v>
      </c>
      <c r="C4170" s="26">
        <v>238.0</v>
      </c>
      <c r="D4170" s="26" t="s">
        <v>184</v>
      </c>
      <c r="E4170" s="13"/>
      <c r="F4170" s="26"/>
      <c r="G4170" s="26" t="s">
        <v>111</v>
      </c>
      <c r="H4170" s="26" t="s">
        <v>75</v>
      </c>
      <c r="I4170" s="13"/>
      <c r="J4170" s="13"/>
      <c r="K4170" s="15">
        <v>1.0</v>
      </c>
      <c r="L4170" s="15">
        <v>1.0</v>
      </c>
      <c r="M4170" s="16"/>
      <c r="N4170" s="16"/>
      <c r="O4170" s="17"/>
      <c r="P4170" s="17"/>
      <c r="Q4170" s="13"/>
      <c r="R4170" s="13"/>
      <c r="S4170" s="13"/>
      <c r="T4170" s="13">
        <f t="shared" ref="T4170:Y4170" si="4489">IF(ISBLANK(K4170)=TRUE,0,1)</f>
        <v>1</v>
      </c>
      <c r="U4170" s="13">
        <f t="shared" si="4489"/>
        <v>1</v>
      </c>
      <c r="V4170" s="13">
        <f t="shared" si="4489"/>
        <v>0</v>
      </c>
      <c r="W4170" s="13">
        <f t="shared" si="4489"/>
        <v>0</v>
      </c>
      <c r="X4170" s="13">
        <f t="shared" si="4489"/>
        <v>0</v>
      </c>
      <c r="Y4170" s="13">
        <f t="shared" si="4489"/>
        <v>0</v>
      </c>
      <c r="Z4170" s="13">
        <f t="shared" si="3023"/>
        <v>1</v>
      </c>
      <c r="AA4170" s="13"/>
      <c r="AB4170" s="13"/>
      <c r="AC4170" s="13"/>
      <c r="AD4170" s="13"/>
      <c r="AE4170" s="13"/>
      <c r="AF4170" s="13"/>
      <c r="AG4170" s="13"/>
      <c r="AH4170" s="13"/>
      <c r="AI4170" s="13"/>
      <c r="AJ4170" s="13"/>
      <c r="AK4170" s="13"/>
      <c r="AL4170" s="13"/>
      <c r="AM4170" s="13"/>
      <c r="AN4170" s="13"/>
      <c r="AO4170" s="13"/>
      <c r="AP4170" s="13"/>
      <c r="AQ4170" s="13"/>
      <c r="AR4170" s="13"/>
      <c r="AS4170" s="13"/>
    </row>
    <row r="4171" ht="14.25" customHeight="1">
      <c r="A4171" s="13" t="s">
        <v>46</v>
      </c>
      <c r="B4171" s="13" t="s">
        <v>51</v>
      </c>
      <c r="C4171" s="13" t="s">
        <v>2102</v>
      </c>
      <c r="D4171" s="13"/>
      <c r="E4171" s="13"/>
      <c r="F4171" s="13"/>
      <c r="G4171" s="13" t="s">
        <v>74</v>
      </c>
      <c r="H4171" s="13" t="s">
        <v>75</v>
      </c>
      <c r="I4171" s="14">
        <v>44908.0</v>
      </c>
      <c r="J4171" s="14"/>
      <c r="K4171" s="15">
        <v>1.0</v>
      </c>
      <c r="L4171" s="15">
        <v>1.0</v>
      </c>
      <c r="M4171" s="16"/>
      <c r="N4171" s="16"/>
      <c r="O4171" s="17">
        <v>1.0</v>
      </c>
      <c r="P4171" s="17">
        <v>1.0</v>
      </c>
      <c r="Q4171" s="13">
        <f>K4170+L4170+M4170+N4170+O4170+P4170/6</f>
        <v>2</v>
      </c>
      <c r="R4171" s="14">
        <v>44966.0</v>
      </c>
      <c r="S4171" s="13"/>
      <c r="T4171" s="13">
        <f t="shared" ref="T4171:Y4171" si="4490">IF(ISBLANK(K4171)=TRUE,0,1)</f>
        <v>1</v>
      </c>
      <c r="U4171" s="13">
        <f t="shared" si="4490"/>
        <v>1</v>
      </c>
      <c r="V4171" s="13">
        <f t="shared" si="4490"/>
        <v>0</v>
      </c>
      <c r="W4171" s="13">
        <f t="shared" si="4490"/>
        <v>0</v>
      </c>
      <c r="X4171" s="13">
        <f t="shared" si="4490"/>
        <v>1</v>
      </c>
      <c r="Y4171" s="13">
        <f t="shared" si="4490"/>
        <v>1</v>
      </c>
      <c r="Z4171" s="13">
        <f t="shared" si="3023"/>
        <v>1</v>
      </c>
      <c r="AA4171" s="13"/>
      <c r="AB4171" s="13"/>
      <c r="AC4171" s="13"/>
      <c r="AD4171" s="13"/>
      <c r="AE4171" s="13"/>
      <c r="AF4171" s="13"/>
      <c r="AG4171" s="13"/>
      <c r="AH4171" s="13"/>
      <c r="AI4171" s="13"/>
      <c r="AJ4171" s="13"/>
      <c r="AK4171" s="13"/>
      <c r="AL4171" s="13"/>
      <c r="AM4171" s="13"/>
      <c r="AN4171" s="13"/>
      <c r="AO4171" s="13"/>
      <c r="AP4171" s="13"/>
      <c r="AQ4171" s="13"/>
      <c r="AR4171" s="13"/>
      <c r="AS4171" s="13"/>
    </row>
    <row r="4172" ht="14.25" customHeight="1">
      <c r="A4172" s="13" t="s">
        <v>46</v>
      </c>
      <c r="B4172" s="13" t="s">
        <v>51</v>
      </c>
      <c r="C4172" s="13" t="s">
        <v>2103</v>
      </c>
      <c r="D4172" s="13"/>
      <c r="E4172" s="13"/>
      <c r="F4172" s="13"/>
      <c r="G4172" s="13" t="s">
        <v>74</v>
      </c>
      <c r="H4172" s="13" t="s">
        <v>75</v>
      </c>
      <c r="I4172" s="14">
        <v>44908.0</v>
      </c>
      <c r="J4172" s="14"/>
      <c r="K4172" s="15">
        <v>1.0</v>
      </c>
      <c r="L4172" s="15">
        <v>1.0</v>
      </c>
      <c r="M4172" s="16"/>
      <c r="N4172" s="16"/>
      <c r="O4172" s="17">
        <v>1.0</v>
      </c>
      <c r="P4172" s="17">
        <v>1.0</v>
      </c>
      <c r="Q4172" s="13">
        <f>K4170+L4170+M4170+N4170+O4170+P4170/6</f>
        <v>2</v>
      </c>
      <c r="R4172" s="14">
        <v>44966.0</v>
      </c>
      <c r="S4172" s="13"/>
      <c r="T4172" s="13">
        <f t="shared" ref="T4172:Y4172" si="4491">IF(ISBLANK(K4172)=TRUE,0,1)</f>
        <v>1</v>
      </c>
      <c r="U4172" s="13">
        <f t="shared" si="4491"/>
        <v>1</v>
      </c>
      <c r="V4172" s="13">
        <f t="shared" si="4491"/>
        <v>0</v>
      </c>
      <c r="W4172" s="13">
        <f t="shared" si="4491"/>
        <v>0</v>
      </c>
      <c r="X4172" s="13">
        <f t="shared" si="4491"/>
        <v>1</v>
      </c>
      <c r="Y4172" s="13">
        <f t="shared" si="4491"/>
        <v>1</v>
      </c>
      <c r="Z4172" s="13">
        <f t="shared" si="3023"/>
        <v>1</v>
      </c>
      <c r="AA4172" s="13" t="s">
        <v>874</v>
      </c>
      <c r="AB4172" s="13"/>
      <c r="AC4172" s="13"/>
      <c r="AD4172" s="13"/>
      <c r="AE4172" s="13"/>
      <c r="AF4172" s="13"/>
      <c r="AG4172" s="13"/>
      <c r="AH4172" s="13"/>
      <c r="AI4172" s="13"/>
      <c r="AJ4172" s="13"/>
      <c r="AK4172" s="13"/>
      <c r="AL4172" s="13"/>
      <c r="AM4172" s="13"/>
      <c r="AN4172" s="13"/>
      <c r="AO4172" s="13"/>
      <c r="AP4172" s="13"/>
      <c r="AQ4172" s="13"/>
      <c r="AR4172" s="13"/>
      <c r="AS4172" s="13"/>
    </row>
    <row r="4173" ht="14.25" customHeight="1">
      <c r="A4173" s="13" t="s">
        <v>46</v>
      </c>
      <c r="B4173" s="13" t="s">
        <v>51</v>
      </c>
      <c r="C4173" s="13" t="s">
        <v>2104</v>
      </c>
      <c r="D4173" s="13"/>
      <c r="E4173" s="13"/>
      <c r="F4173" s="13"/>
      <c r="G4173" s="13" t="s">
        <v>74</v>
      </c>
      <c r="H4173" s="13" t="s">
        <v>75</v>
      </c>
      <c r="I4173" s="14">
        <v>44908.0</v>
      </c>
      <c r="J4173" s="14"/>
      <c r="K4173" s="15">
        <v>1.0</v>
      </c>
      <c r="L4173" s="15">
        <v>1.0</v>
      </c>
      <c r="M4173" s="16"/>
      <c r="N4173" s="16"/>
      <c r="O4173" s="17">
        <v>1.0</v>
      </c>
      <c r="P4173" s="17">
        <v>1.0</v>
      </c>
      <c r="Q4173" s="13">
        <f t="shared" ref="Q4173:Q4174" si="4493">K4172+L4172+M4172+N4172+O4172+P4172/6</f>
        <v>3.166666667</v>
      </c>
      <c r="R4173" s="14">
        <v>44966.0</v>
      </c>
      <c r="S4173" s="13"/>
      <c r="T4173" s="13">
        <f t="shared" ref="T4173:Y4173" si="4492">IF(ISBLANK(K4173)=TRUE,0,1)</f>
        <v>1</v>
      </c>
      <c r="U4173" s="13">
        <f t="shared" si="4492"/>
        <v>1</v>
      </c>
      <c r="V4173" s="13">
        <f t="shared" si="4492"/>
        <v>0</v>
      </c>
      <c r="W4173" s="13">
        <f t="shared" si="4492"/>
        <v>0</v>
      </c>
      <c r="X4173" s="13">
        <f t="shared" si="4492"/>
        <v>1</v>
      </c>
      <c r="Y4173" s="13">
        <f t="shared" si="4492"/>
        <v>1</v>
      </c>
      <c r="Z4173" s="13">
        <f t="shared" si="3023"/>
        <v>1</v>
      </c>
      <c r="AA4173" s="13"/>
      <c r="AB4173" s="13"/>
      <c r="AC4173" s="13"/>
      <c r="AD4173" s="13"/>
      <c r="AE4173" s="13"/>
      <c r="AF4173" s="13"/>
      <c r="AG4173" s="13"/>
      <c r="AH4173" s="13"/>
      <c r="AI4173" s="13"/>
      <c r="AJ4173" s="13"/>
      <c r="AK4173" s="13"/>
      <c r="AL4173" s="13"/>
      <c r="AM4173" s="13"/>
      <c r="AN4173" s="13"/>
      <c r="AO4173" s="13"/>
      <c r="AP4173" s="13"/>
      <c r="AQ4173" s="13"/>
      <c r="AR4173" s="13"/>
      <c r="AS4173" s="13"/>
    </row>
    <row r="4174" ht="14.25" customHeight="1">
      <c r="A4174" s="13" t="s">
        <v>46</v>
      </c>
      <c r="B4174" s="13" t="s">
        <v>51</v>
      </c>
      <c r="C4174" s="13" t="s">
        <v>2105</v>
      </c>
      <c r="D4174" s="13"/>
      <c r="E4174" s="13"/>
      <c r="F4174" s="13"/>
      <c r="G4174" s="13" t="s">
        <v>74</v>
      </c>
      <c r="H4174" s="13" t="s">
        <v>75</v>
      </c>
      <c r="I4174" s="14">
        <v>44908.0</v>
      </c>
      <c r="J4174" s="14"/>
      <c r="K4174" s="15">
        <v>1.0</v>
      </c>
      <c r="L4174" s="15">
        <v>1.0</v>
      </c>
      <c r="M4174" s="16"/>
      <c r="N4174" s="16"/>
      <c r="O4174" s="17">
        <v>1.0</v>
      </c>
      <c r="P4174" s="17">
        <v>1.0</v>
      </c>
      <c r="Q4174" s="13">
        <f t="shared" si="4493"/>
        <v>3.166666667</v>
      </c>
      <c r="R4174" s="14">
        <v>44966.0</v>
      </c>
      <c r="S4174" s="13"/>
      <c r="T4174" s="13">
        <f t="shared" ref="T4174:Y4174" si="4494">IF(ISBLANK(K4174)=TRUE,0,1)</f>
        <v>1</v>
      </c>
      <c r="U4174" s="13">
        <f t="shared" si="4494"/>
        <v>1</v>
      </c>
      <c r="V4174" s="13">
        <f t="shared" si="4494"/>
        <v>0</v>
      </c>
      <c r="W4174" s="13">
        <f t="shared" si="4494"/>
        <v>0</v>
      </c>
      <c r="X4174" s="13">
        <f t="shared" si="4494"/>
        <v>1</v>
      </c>
      <c r="Y4174" s="13">
        <f t="shared" si="4494"/>
        <v>1</v>
      </c>
      <c r="Z4174" s="13">
        <f t="shared" si="3023"/>
        <v>1</v>
      </c>
      <c r="AA4174" s="13"/>
      <c r="AB4174" s="13"/>
      <c r="AC4174" s="13"/>
      <c r="AD4174" s="13"/>
      <c r="AE4174" s="13"/>
      <c r="AF4174" s="13"/>
      <c r="AG4174" s="13"/>
      <c r="AH4174" s="13"/>
      <c r="AI4174" s="13"/>
      <c r="AJ4174" s="13"/>
      <c r="AK4174" s="13"/>
      <c r="AL4174" s="13"/>
      <c r="AM4174" s="13"/>
      <c r="AN4174" s="13"/>
      <c r="AO4174" s="13"/>
      <c r="AP4174" s="13"/>
      <c r="AQ4174" s="13"/>
      <c r="AR4174" s="13"/>
      <c r="AS4174" s="13"/>
    </row>
    <row r="4175" ht="14.25" customHeight="1">
      <c r="A4175" s="13" t="s">
        <v>46</v>
      </c>
      <c r="B4175" s="13" t="s">
        <v>51</v>
      </c>
      <c r="C4175" s="13" t="s">
        <v>2106</v>
      </c>
      <c r="D4175" s="13"/>
      <c r="E4175" s="13"/>
      <c r="F4175" s="13"/>
      <c r="G4175" s="13" t="s">
        <v>74</v>
      </c>
      <c r="H4175" s="13" t="s">
        <v>75</v>
      </c>
      <c r="I4175" s="14">
        <v>44908.0</v>
      </c>
      <c r="J4175" s="14"/>
      <c r="K4175" s="15">
        <v>1.0</v>
      </c>
      <c r="L4175" s="15">
        <v>1.0</v>
      </c>
      <c r="M4175" s="16"/>
      <c r="N4175" s="16"/>
      <c r="O4175" s="17">
        <v>1.0</v>
      </c>
      <c r="P4175" s="17">
        <v>1.0</v>
      </c>
      <c r="Q4175" s="13">
        <f t="shared" ref="Q4175:Q4177" si="4496">K4173+L4173+M4173+N4173+O4173+P4173/6</f>
        <v>3.166666667</v>
      </c>
      <c r="R4175" s="14">
        <v>44966.0</v>
      </c>
      <c r="S4175" s="13"/>
      <c r="T4175" s="13">
        <f t="shared" ref="T4175:Y4175" si="4495">IF(ISBLANK(K4175)=TRUE,0,1)</f>
        <v>1</v>
      </c>
      <c r="U4175" s="13">
        <f t="shared" si="4495"/>
        <v>1</v>
      </c>
      <c r="V4175" s="13">
        <f t="shared" si="4495"/>
        <v>0</v>
      </c>
      <c r="W4175" s="13">
        <f t="shared" si="4495"/>
        <v>0</v>
      </c>
      <c r="X4175" s="13">
        <f t="shared" si="4495"/>
        <v>1</v>
      </c>
      <c r="Y4175" s="13">
        <f t="shared" si="4495"/>
        <v>1</v>
      </c>
      <c r="Z4175" s="13">
        <f t="shared" si="3023"/>
        <v>1</v>
      </c>
      <c r="AA4175" s="13"/>
      <c r="AB4175" s="13"/>
      <c r="AC4175" s="13"/>
      <c r="AD4175" s="13"/>
      <c r="AE4175" s="13"/>
      <c r="AF4175" s="13"/>
      <c r="AG4175" s="13"/>
      <c r="AH4175" s="13"/>
      <c r="AI4175" s="13"/>
      <c r="AJ4175" s="13"/>
      <c r="AK4175" s="13"/>
      <c r="AL4175" s="13"/>
      <c r="AM4175" s="13"/>
      <c r="AN4175" s="13"/>
      <c r="AO4175" s="13"/>
      <c r="AP4175" s="13"/>
      <c r="AQ4175" s="13"/>
      <c r="AR4175" s="13"/>
      <c r="AS4175" s="13"/>
    </row>
    <row r="4176" ht="14.25" customHeight="1">
      <c r="A4176" s="13" t="s">
        <v>46</v>
      </c>
      <c r="B4176" s="13" t="s">
        <v>51</v>
      </c>
      <c r="C4176" s="13" t="s">
        <v>2106</v>
      </c>
      <c r="D4176" s="13" t="s">
        <v>174</v>
      </c>
      <c r="E4176" s="13"/>
      <c r="F4176" s="13"/>
      <c r="G4176" s="13" t="s">
        <v>74</v>
      </c>
      <c r="H4176" s="13" t="s">
        <v>75</v>
      </c>
      <c r="I4176" s="14">
        <v>44908.0</v>
      </c>
      <c r="J4176" s="14"/>
      <c r="K4176" s="15">
        <v>1.0</v>
      </c>
      <c r="L4176" s="15">
        <v>1.0</v>
      </c>
      <c r="M4176" s="16"/>
      <c r="N4176" s="16"/>
      <c r="O4176" s="17">
        <v>1.0</v>
      </c>
      <c r="P4176" s="17">
        <v>1.0</v>
      </c>
      <c r="Q4176" s="13">
        <f t="shared" si="4496"/>
        <v>3.166666667</v>
      </c>
      <c r="R4176" s="14">
        <v>44966.0</v>
      </c>
      <c r="S4176" s="13"/>
      <c r="T4176" s="13">
        <f t="shared" ref="T4176:Y4176" si="4497">IF(ISBLANK(K4176)=TRUE,0,1)</f>
        <v>1</v>
      </c>
      <c r="U4176" s="13">
        <f t="shared" si="4497"/>
        <v>1</v>
      </c>
      <c r="V4176" s="13">
        <f t="shared" si="4497"/>
        <v>0</v>
      </c>
      <c r="W4176" s="13">
        <f t="shared" si="4497"/>
        <v>0</v>
      </c>
      <c r="X4176" s="13">
        <f t="shared" si="4497"/>
        <v>1</v>
      </c>
      <c r="Y4176" s="13">
        <f t="shared" si="4497"/>
        <v>1</v>
      </c>
      <c r="Z4176" s="13">
        <f t="shared" si="3023"/>
        <v>1</v>
      </c>
      <c r="AA4176" s="13"/>
      <c r="AB4176" s="13"/>
      <c r="AC4176" s="13"/>
      <c r="AD4176" s="13"/>
      <c r="AE4176" s="13"/>
      <c r="AF4176" s="13"/>
      <c r="AG4176" s="13"/>
      <c r="AH4176" s="13"/>
      <c r="AI4176" s="13"/>
      <c r="AJ4176" s="13"/>
      <c r="AK4176" s="13"/>
      <c r="AL4176" s="13"/>
      <c r="AM4176" s="13"/>
      <c r="AN4176" s="13"/>
      <c r="AO4176" s="13"/>
      <c r="AP4176" s="13"/>
      <c r="AQ4176" s="13"/>
      <c r="AR4176" s="13"/>
      <c r="AS4176" s="13"/>
    </row>
    <row r="4177" ht="14.25" customHeight="1">
      <c r="A4177" s="13" t="s">
        <v>46</v>
      </c>
      <c r="B4177" s="13" t="s">
        <v>51</v>
      </c>
      <c r="C4177" s="13" t="s">
        <v>2107</v>
      </c>
      <c r="D4177" s="13"/>
      <c r="E4177" s="13"/>
      <c r="F4177" s="13"/>
      <c r="G4177" s="13" t="s">
        <v>74</v>
      </c>
      <c r="H4177" s="13" t="s">
        <v>75</v>
      </c>
      <c r="I4177" s="14">
        <v>44908.0</v>
      </c>
      <c r="J4177" s="14"/>
      <c r="K4177" s="15"/>
      <c r="L4177" s="15"/>
      <c r="M4177" s="16"/>
      <c r="N4177" s="16"/>
      <c r="O4177" s="17">
        <v>1.0</v>
      </c>
      <c r="P4177" s="17">
        <v>1.0</v>
      </c>
      <c r="Q4177" s="13">
        <f t="shared" si="4496"/>
        <v>3.166666667</v>
      </c>
      <c r="R4177" s="14">
        <v>44966.0</v>
      </c>
      <c r="S4177" s="13"/>
      <c r="T4177" s="13">
        <f t="shared" ref="T4177:Y4177" si="4498">IF(ISBLANK(K4177)=TRUE,0,1)</f>
        <v>0</v>
      </c>
      <c r="U4177" s="13">
        <f t="shared" si="4498"/>
        <v>0</v>
      </c>
      <c r="V4177" s="13">
        <f t="shared" si="4498"/>
        <v>0</v>
      </c>
      <c r="W4177" s="13">
        <f t="shared" si="4498"/>
        <v>0</v>
      </c>
      <c r="X4177" s="13">
        <f t="shared" si="4498"/>
        <v>1</v>
      </c>
      <c r="Y4177" s="13">
        <f t="shared" si="4498"/>
        <v>1</v>
      </c>
      <c r="Z4177" s="13">
        <f t="shared" si="3023"/>
        <v>1</v>
      </c>
      <c r="AA4177" s="13"/>
      <c r="AB4177" s="13"/>
      <c r="AC4177" s="13"/>
      <c r="AD4177" s="13"/>
      <c r="AE4177" s="13"/>
      <c r="AF4177" s="13"/>
      <c r="AG4177" s="13"/>
      <c r="AH4177" s="13"/>
      <c r="AI4177" s="13"/>
      <c r="AJ4177" s="13"/>
      <c r="AK4177" s="13"/>
      <c r="AL4177" s="13"/>
      <c r="AM4177" s="13"/>
      <c r="AN4177" s="13"/>
      <c r="AO4177" s="13"/>
      <c r="AP4177" s="13"/>
      <c r="AQ4177" s="13"/>
      <c r="AR4177" s="13"/>
      <c r="AS4177" s="13"/>
    </row>
    <row r="4178" ht="14.25" customHeight="1">
      <c r="A4178" s="13" t="s">
        <v>46</v>
      </c>
      <c r="B4178" s="13" t="s">
        <v>51</v>
      </c>
      <c r="C4178" s="13" t="s">
        <v>2108</v>
      </c>
      <c r="D4178" s="13"/>
      <c r="E4178" s="13"/>
      <c r="F4178" s="13"/>
      <c r="G4178" s="13" t="s">
        <v>74</v>
      </c>
      <c r="H4178" s="13" t="s">
        <v>75</v>
      </c>
      <c r="I4178" s="14">
        <v>44908.0</v>
      </c>
      <c r="J4178" s="14"/>
      <c r="K4178" s="15"/>
      <c r="L4178" s="15"/>
      <c r="M4178" s="16"/>
      <c r="N4178" s="16"/>
      <c r="O4178" s="17">
        <v>1.0</v>
      </c>
      <c r="P4178" s="17">
        <v>1.0</v>
      </c>
      <c r="Q4178" s="13">
        <f t="shared" ref="Q4178:Q4179" si="4500">K4177+L4177+M4177+N4177+O4177+P4177/6</f>
        <v>1.166666667</v>
      </c>
      <c r="R4178" s="14">
        <v>44966.0</v>
      </c>
      <c r="S4178" s="13"/>
      <c r="T4178" s="13">
        <f t="shared" ref="T4178:Y4178" si="4499">IF(ISBLANK(K4178)=TRUE,0,1)</f>
        <v>0</v>
      </c>
      <c r="U4178" s="13">
        <f t="shared" si="4499"/>
        <v>0</v>
      </c>
      <c r="V4178" s="13">
        <f t="shared" si="4499"/>
        <v>0</v>
      </c>
      <c r="W4178" s="13">
        <f t="shared" si="4499"/>
        <v>0</v>
      </c>
      <c r="X4178" s="13">
        <f t="shared" si="4499"/>
        <v>1</v>
      </c>
      <c r="Y4178" s="13">
        <f t="shared" si="4499"/>
        <v>1</v>
      </c>
      <c r="Z4178" s="13">
        <f t="shared" si="3023"/>
        <v>1</v>
      </c>
      <c r="AA4178" s="13"/>
      <c r="AB4178" s="13"/>
      <c r="AC4178" s="13"/>
      <c r="AD4178" s="13"/>
      <c r="AE4178" s="13"/>
      <c r="AF4178" s="13"/>
      <c r="AG4178" s="13"/>
      <c r="AH4178" s="13"/>
      <c r="AI4178" s="13"/>
      <c r="AJ4178" s="13"/>
      <c r="AK4178" s="13"/>
      <c r="AL4178" s="13"/>
      <c r="AM4178" s="13"/>
      <c r="AN4178" s="13"/>
      <c r="AO4178" s="13"/>
      <c r="AP4178" s="13"/>
      <c r="AQ4178" s="13"/>
      <c r="AR4178" s="13"/>
      <c r="AS4178" s="13"/>
    </row>
    <row r="4179" ht="14.25" customHeight="1">
      <c r="A4179" s="13" t="s">
        <v>46</v>
      </c>
      <c r="B4179" s="13" t="s">
        <v>51</v>
      </c>
      <c r="C4179" s="13" t="s">
        <v>2108</v>
      </c>
      <c r="D4179" s="13" t="s">
        <v>174</v>
      </c>
      <c r="E4179" s="13"/>
      <c r="F4179" s="13"/>
      <c r="G4179" s="13" t="s">
        <v>74</v>
      </c>
      <c r="H4179" s="13" t="s">
        <v>75</v>
      </c>
      <c r="I4179" s="14">
        <v>44909.0</v>
      </c>
      <c r="J4179" s="14"/>
      <c r="K4179" s="15"/>
      <c r="L4179" s="15"/>
      <c r="M4179" s="16"/>
      <c r="N4179" s="16"/>
      <c r="O4179" s="17">
        <v>1.0</v>
      </c>
      <c r="P4179" s="17">
        <v>1.0</v>
      </c>
      <c r="Q4179" s="13">
        <f t="shared" si="4500"/>
        <v>1.166666667</v>
      </c>
      <c r="R4179" s="14">
        <v>44967.0</v>
      </c>
      <c r="S4179" s="13"/>
      <c r="T4179" s="13">
        <f t="shared" ref="T4179:Y4179" si="4501">IF(ISBLANK(K4179)=TRUE,0,1)</f>
        <v>0</v>
      </c>
      <c r="U4179" s="13">
        <f t="shared" si="4501"/>
        <v>0</v>
      </c>
      <c r="V4179" s="13">
        <f t="shared" si="4501"/>
        <v>0</v>
      </c>
      <c r="W4179" s="13">
        <f t="shared" si="4501"/>
        <v>0</v>
      </c>
      <c r="X4179" s="13">
        <f t="shared" si="4501"/>
        <v>1</v>
      </c>
      <c r="Y4179" s="13">
        <f t="shared" si="4501"/>
        <v>1</v>
      </c>
      <c r="Z4179" s="13">
        <f t="shared" si="3023"/>
        <v>1</v>
      </c>
      <c r="AA4179" s="13"/>
      <c r="AB4179" s="13"/>
      <c r="AC4179" s="13"/>
      <c r="AD4179" s="13"/>
      <c r="AE4179" s="13"/>
      <c r="AF4179" s="13"/>
      <c r="AG4179" s="13"/>
      <c r="AH4179" s="13"/>
      <c r="AI4179" s="13"/>
      <c r="AJ4179" s="13"/>
      <c r="AK4179" s="13"/>
      <c r="AL4179" s="13"/>
      <c r="AM4179" s="13"/>
      <c r="AN4179" s="13"/>
      <c r="AO4179" s="13"/>
      <c r="AP4179" s="13"/>
      <c r="AQ4179" s="13"/>
      <c r="AR4179" s="13"/>
      <c r="AS4179" s="13"/>
    </row>
    <row r="4180" ht="14.25" customHeight="1">
      <c r="A4180" s="13" t="s">
        <v>46</v>
      </c>
      <c r="B4180" s="13" t="s">
        <v>51</v>
      </c>
      <c r="C4180" s="13" t="s">
        <v>2109</v>
      </c>
      <c r="D4180" s="13"/>
      <c r="E4180" s="13"/>
      <c r="F4180" s="13"/>
      <c r="G4180" s="13" t="s">
        <v>74</v>
      </c>
      <c r="H4180" s="13" t="s">
        <v>75</v>
      </c>
      <c r="I4180" s="14">
        <v>44908.0</v>
      </c>
      <c r="J4180" s="14"/>
      <c r="K4180" s="15">
        <v>1.0</v>
      </c>
      <c r="L4180" s="15">
        <v>1.0</v>
      </c>
      <c r="M4180" s="16"/>
      <c r="N4180" s="16"/>
      <c r="O4180" s="17">
        <v>1.0</v>
      </c>
      <c r="P4180" s="17">
        <v>1.0</v>
      </c>
      <c r="Q4180" s="13">
        <f>K4178+L4178+M4178+N4178+O4178+P4178/6</f>
        <v>1.166666667</v>
      </c>
      <c r="R4180" s="14">
        <v>44966.0</v>
      </c>
      <c r="S4180" s="13"/>
      <c r="T4180" s="13">
        <f t="shared" ref="T4180:Y4180" si="4502">IF(ISBLANK(K4180)=TRUE,0,1)</f>
        <v>1</v>
      </c>
      <c r="U4180" s="13">
        <f t="shared" si="4502"/>
        <v>1</v>
      </c>
      <c r="V4180" s="13">
        <f t="shared" si="4502"/>
        <v>0</v>
      </c>
      <c r="W4180" s="13">
        <f t="shared" si="4502"/>
        <v>0</v>
      </c>
      <c r="X4180" s="13">
        <f t="shared" si="4502"/>
        <v>1</v>
      </c>
      <c r="Y4180" s="13">
        <f t="shared" si="4502"/>
        <v>1</v>
      </c>
      <c r="Z4180" s="13">
        <f t="shared" si="3023"/>
        <v>1</v>
      </c>
      <c r="AA4180" s="13"/>
      <c r="AB4180" s="13"/>
      <c r="AC4180" s="13"/>
      <c r="AD4180" s="13"/>
      <c r="AE4180" s="13"/>
      <c r="AF4180" s="13"/>
      <c r="AG4180" s="13"/>
      <c r="AH4180" s="13"/>
      <c r="AI4180" s="13"/>
      <c r="AJ4180" s="13"/>
      <c r="AK4180" s="13"/>
      <c r="AL4180" s="13"/>
      <c r="AM4180" s="13"/>
      <c r="AN4180" s="13"/>
      <c r="AO4180" s="13"/>
      <c r="AP4180" s="13"/>
      <c r="AQ4180" s="13"/>
      <c r="AR4180" s="13"/>
      <c r="AS4180" s="13"/>
    </row>
    <row r="4181" ht="14.25" customHeight="1">
      <c r="A4181" s="13" t="s">
        <v>46</v>
      </c>
      <c r="B4181" s="13" t="s">
        <v>51</v>
      </c>
      <c r="C4181" s="13" t="s">
        <v>2109</v>
      </c>
      <c r="D4181" s="13" t="s">
        <v>174</v>
      </c>
      <c r="E4181" s="13"/>
      <c r="F4181" s="13"/>
      <c r="G4181" s="13" t="s">
        <v>74</v>
      </c>
      <c r="H4181" s="13" t="s">
        <v>75</v>
      </c>
      <c r="I4181" s="14">
        <v>44908.0</v>
      </c>
      <c r="J4181" s="14"/>
      <c r="K4181" s="15">
        <v>1.0</v>
      </c>
      <c r="L4181" s="15">
        <v>1.0</v>
      </c>
      <c r="M4181" s="16"/>
      <c r="N4181" s="16"/>
      <c r="O4181" s="17">
        <v>1.0</v>
      </c>
      <c r="P4181" s="17">
        <v>1.0</v>
      </c>
      <c r="Q4181" s="13">
        <f t="shared" ref="Q4181:Q4183" si="4504">K4180+L4180+M4180+N4180+O4180+P4180/6</f>
        <v>3.166666667</v>
      </c>
      <c r="R4181" s="14">
        <v>44966.0</v>
      </c>
      <c r="S4181" s="13"/>
      <c r="T4181" s="13">
        <f t="shared" ref="T4181:Y4181" si="4503">IF(ISBLANK(K4181)=TRUE,0,1)</f>
        <v>1</v>
      </c>
      <c r="U4181" s="13">
        <f t="shared" si="4503"/>
        <v>1</v>
      </c>
      <c r="V4181" s="13">
        <f t="shared" si="4503"/>
        <v>0</v>
      </c>
      <c r="W4181" s="13">
        <f t="shared" si="4503"/>
        <v>0</v>
      </c>
      <c r="X4181" s="13">
        <f t="shared" si="4503"/>
        <v>1</v>
      </c>
      <c r="Y4181" s="13">
        <f t="shared" si="4503"/>
        <v>1</v>
      </c>
      <c r="Z4181" s="13">
        <f t="shared" si="3023"/>
        <v>1</v>
      </c>
      <c r="AA4181" s="13"/>
      <c r="AB4181" s="13"/>
      <c r="AC4181" s="13"/>
      <c r="AD4181" s="13"/>
      <c r="AE4181" s="13"/>
      <c r="AF4181" s="13"/>
      <c r="AG4181" s="13"/>
      <c r="AH4181" s="13"/>
      <c r="AI4181" s="13"/>
      <c r="AJ4181" s="13"/>
      <c r="AK4181" s="13"/>
      <c r="AL4181" s="13"/>
      <c r="AM4181" s="13"/>
      <c r="AN4181" s="13"/>
      <c r="AO4181" s="13"/>
      <c r="AP4181" s="13"/>
      <c r="AQ4181" s="13"/>
      <c r="AR4181" s="13"/>
      <c r="AS4181" s="13"/>
    </row>
    <row r="4182" ht="14.25" customHeight="1">
      <c r="A4182" s="13" t="s">
        <v>46</v>
      </c>
      <c r="B4182" s="13" t="s">
        <v>51</v>
      </c>
      <c r="C4182" s="13" t="s">
        <v>2110</v>
      </c>
      <c r="D4182" s="13"/>
      <c r="E4182" s="13"/>
      <c r="F4182" s="13"/>
      <c r="G4182" s="13" t="s">
        <v>74</v>
      </c>
      <c r="H4182" s="13" t="s">
        <v>75</v>
      </c>
      <c r="I4182" s="14">
        <v>44908.0</v>
      </c>
      <c r="J4182" s="14"/>
      <c r="K4182" s="15">
        <v>1.0</v>
      </c>
      <c r="L4182" s="15">
        <v>1.0</v>
      </c>
      <c r="M4182" s="16"/>
      <c r="N4182" s="16"/>
      <c r="O4182" s="17">
        <v>1.0</v>
      </c>
      <c r="P4182" s="17">
        <v>1.0</v>
      </c>
      <c r="Q4182" s="13">
        <f t="shared" si="4504"/>
        <v>3.166666667</v>
      </c>
      <c r="R4182" s="14">
        <v>44966.0</v>
      </c>
      <c r="S4182" s="13"/>
      <c r="T4182" s="13">
        <f t="shared" ref="T4182:Y4182" si="4505">IF(ISBLANK(K4182)=TRUE,0,1)</f>
        <v>1</v>
      </c>
      <c r="U4182" s="13">
        <f t="shared" si="4505"/>
        <v>1</v>
      </c>
      <c r="V4182" s="13">
        <f t="shared" si="4505"/>
        <v>0</v>
      </c>
      <c r="W4182" s="13">
        <f t="shared" si="4505"/>
        <v>0</v>
      </c>
      <c r="X4182" s="13">
        <f t="shared" si="4505"/>
        <v>1</v>
      </c>
      <c r="Y4182" s="13">
        <f t="shared" si="4505"/>
        <v>1</v>
      </c>
      <c r="Z4182" s="13">
        <f t="shared" si="3023"/>
        <v>1</v>
      </c>
      <c r="AA4182" s="13"/>
      <c r="AB4182" s="13"/>
      <c r="AC4182" s="13"/>
      <c r="AD4182" s="13"/>
      <c r="AE4182" s="13"/>
      <c r="AF4182" s="13"/>
      <c r="AG4182" s="13"/>
      <c r="AH4182" s="13"/>
      <c r="AI4182" s="13"/>
      <c r="AJ4182" s="13"/>
      <c r="AK4182" s="13"/>
      <c r="AL4182" s="13"/>
      <c r="AM4182" s="13"/>
      <c r="AN4182" s="13"/>
      <c r="AO4182" s="13"/>
      <c r="AP4182" s="13"/>
      <c r="AQ4182" s="13"/>
      <c r="AR4182" s="13"/>
      <c r="AS4182" s="13"/>
    </row>
    <row r="4183" ht="14.25" customHeight="1">
      <c r="A4183" s="13" t="s">
        <v>46</v>
      </c>
      <c r="B4183" s="13" t="s">
        <v>51</v>
      </c>
      <c r="C4183" s="13" t="s">
        <v>2110</v>
      </c>
      <c r="D4183" s="13" t="s">
        <v>174</v>
      </c>
      <c r="E4183" s="13"/>
      <c r="F4183" s="13"/>
      <c r="G4183" s="13" t="s">
        <v>74</v>
      </c>
      <c r="H4183" s="13" t="s">
        <v>75</v>
      </c>
      <c r="I4183" s="14">
        <v>44908.0</v>
      </c>
      <c r="J4183" s="14"/>
      <c r="K4183" s="15">
        <v>1.0</v>
      </c>
      <c r="L4183" s="15">
        <v>1.0</v>
      </c>
      <c r="M4183" s="16"/>
      <c r="N4183" s="16"/>
      <c r="O4183" s="17">
        <v>1.0</v>
      </c>
      <c r="P4183" s="17">
        <v>1.0</v>
      </c>
      <c r="Q4183" s="13">
        <f t="shared" si="4504"/>
        <v>3.166666667</v>
      </c>
      <c r="R4183" s="14">
        <v>44966.0</v>
      </c>
      <c r="S4183" s="13"/>
      <c r="T4183" s="13">
        <f t="shared" ref="T4183:Y4183" si="4506">IF(ISBLANK(K4183)=TRUE,0,1)</f>
        <v>1</v>
      </c>
      <c r="U4183" s="13">
        <f t="shared" si="4506"/>
        <v>1</v>
      </c>
      <c r="V4183" s="13">
        <f t="shared" si="4506"/>
        <v>0</v>
      </c>
      <c r="W4183" s="13">
        <f t="shared" si="4506"/>
        <v>0</v>
      </c>
      <c r="X4183" s="13">
        <f t="shared" si="4506"/>
        <v>1</v>
      </c>
      <c r="Y4183" s="13">
        <f t="shared" si="4506"/>
        <v>1</v>
      </c>
      <c r="Z4183" s="13">
        <f t="shared" si="3023"/>
        <v>1</v>
      </c>
      <c r="AA4183" s="13"/>
      <c r="AB4183" s="13"/>
      <c r="AC4183" s="13"/>
      <c r="AD4183" s="13"/>
      <c r="AE4183" s="13"/>
      <c r="AF4183" s="13"/>
      <c r="AG4183" s="13"/>
      <c r="AH4183" s="13"/>
      <c r="AI4183" s="13"/>
      <c r="AJ4183" s="13"/>
      <c r="AK4183" s="13"/>
      <c r="AL4183" s="13"/>
      <c r="AM4183" s="13"/>
      <c r="AN4183" s="13"/>
      <c r="AO4183" s="13"/>
      <c r="AP4183" s="13"/>
      <c r="AQ4183" s="13"/>
      <c r="AR4183" s="13"/>
      <c r="AS4183" s="13"/>
    </row>
    <row r="4184" ht="14.25" customHeight="1">
      <c r="A4184" s="13" t="s">
        <v>46</v>
      </c>
      <c r="B4184" s="13" t="s">
        <v>51</v>
      </c>
      <c r="C4184" s="13" t="s">
        <v>2111</v>
      </c>
      <c r="D4184" s="13"/>
      <c r="E4184" s="13"/>
      <c r="F4184" s="13"/>
      <c r="G4184" s="13" t="s">
        <v>74</v>
      </c>
      <c r="H4184" s="13" t="s">
        <v>75</v>
      </c>
      <c r="I4184" s="14">
        <v>44917.0</v>
      </c>
      <c r="J4184" s="14"/>
      <c r="K4184" s="15"/>
      <c r="L4184" s="15"/>
      <c r="M4184" s="16"/>
      <c r="N4184" s="16"/>
      <c r="O4184" s="17">
        <v>1.0</v>
      </c>
      <c r="P4184" s="17">
        <v>1.0</v>
      </c>
      <c r="Q4184" s="13">
        <f>K4182+L4182+M4182+N4182+O4182+P4182/6</f>
        <v>3.166666667</v>
      </c>
      <c r="R4184" s="14">
        <v>44966.0</v>
      </c>
      <c r="S4184" s="13"/>
      <c r="T4184" s="13">
        <f t="shared" ref="T4184:Y4184" si="4507">IF(ISBLANK(K4184)=TRUE,0,1)</f>
        <v>0</v>
      </c>
      <c r="U4184" s="13">
        <f t="shared" si="4507"/>
        <v>0</v>
      </c>
      <c r="V4184" s="13">
        <f t="shared" si="4507"/>
        <v>0</v>
      </c>
      <c r="W4184" s="13">
        <f t="shared" si="4507"/>
        <v>0</v>
      </c>
      <c r="X4184" s="13">
        <f t="shared" si="4507"/>
        <v>1</v>
      </c>
      <c r="Y4184" s="13">
        <f t="shared" si="4507"/>
        <v>1</v>
      </c>
      <c r="Z4184" s="13">
        <f t="shared" si="3023"/>
        <v>1</v>
      </c>
      <c r="AA4184" s="13"/>
      <c r="AB4184" s="13"/>
      <c r="AC4184" s="13"/>
      <c r="AD4184" s="13"/>
      <c r="AE4184" s="13"/>
      <c r="AF4184" s="13"/>
      <c r="AG4184" s="13"/>
      <c r="AH4184" s="13"/>
      <c r="AI4184" s="13"/>
      <c r="AJ4184" s="13"/>
      <c r="AK4184" s="13"/>
      <c r="AL4184" s="13"/>
      <c r="AM4184" s="13"/>
      <c r="AN4184" s="13"/>
      <c r="AO4184" s="13"/>
      <c r="AP4184" s="13"/>
      <c r="AQ4184" s="13"/>
      <c r="AR4184" s="13"/>
      <c r="AS4184" s="13"/>
    </row>
    <row r="4185" ht="14.25" customHeight="1">
      <c r="A4185" s="13" t="s">
        <v>46</v>
      </c>
      <c r="B4185" s="13" t="s">
        <v>51</v>
      </c>
      <c r="C4185" s="13" t="s">
        <v>2112</v>
      </c>
      <c r="D4185" s="13"/>
      <c r="E4185" s="13"/>
      <c r="F4185" s="13"/>
      <c r="G4185" s="13" t="s">
        <v>74</v>
      </c>
      <c r="H4185" s="13" t="s">
        <v>75</v>
      </c>
      <c r="I4185" s="14">
        <v>44917.0</v>
      </c>
      <c r="J4185" s="14"/>
      <c r="K4185" s="15">
        <v>1.0</v>
      </c>
      <c r="L4185" s="15">
        <v>1.0</v>
      </c>
      <c r="M4185" s="16"/>
      <c r="N4185" s="16"/>
      <c r="O4185" s="17">
        <v>1.0</v>
      </c>
      <c r="P4185" s="17">
        <v>1.0</v>
      </c>
      <c r="Q4185" s="13">
        <f t="shared" ref="Q4185:Q4195" si="4509">K4184+L4184+M4184+N4184+O4184+P4184/6</f>
        <v>1.166666667</v>
      </c>
      <c r="R4185" s="14">
        <v>44966.0</v>
      </c>
      <c r="S4185" s="13"/>
      <c r="T4185" s="13">
        <f t="shared" ref="T4185:Y4185" si="4508">IF(ISBLANK(K4185)=TRUE,0,1)</f>
        <v>1</v>
      </c>
      <c r="U4185" s="13">
        <f t="shared" si="4508"/>
        <v>1</v>
      </c>
      <c r="V4185" s="13">
        <f t="shared" si="4508"/>
        <v>0</v>
      </c>
      <c r="W4185" s="13">
        <f t="shared" si="4508"/>
        <v>0</v>
      </c>
      <c r="X4185" s="13">
        <f t="shared" si="4508"/>
        <v>1</v>
      </c>
      <c r="Y4185" s="13">
        <f t="shared" si="4508"/>
        <v>1</v>
      </c>
      <c r="Z4185" s="13">
        <f t="shared" si="3023"/>
        <v>1</v>
      </c>
      <c r="AA4185" s="13" t="s">
        <v>874</v>
      </c>
      <c r="AB4185" s="13"/>
      <c r="AC4185" s="13"/>
      <c r="AD4185" s="13"/>
      <c r="AE4185" s="13"/>
      <c r="AF4185" s="13"/>
      <c r="AG4185" s="13"/>
      <c r="AH4185" s="13"/>
      <c r="AI4185" s="13"/>
      <c r="AJ4185" s="13"/>
      <c r="AK4185" s="13"/>
      <c r="AL4185" s="13"/>
      <c r="AM4185" s="13"/>
      <c r="AN4185" s="13"/>
      <c r="AO4185" s="13"/>
      <c r="AP4185" s="13"/>
      <c r="AQ4185" s="13"/>
      <c r="AR4185" s="13"/>
      <c r="AS4185" s="13"/>
    </row>
    <row r="4186" ht="14.25" customHeight="1">
      <c r="A4186" s="13" t="s">
        <v>46</v>
      </c>
      <c r="B4186" s="13" t="s">
        <v>51</v>
      </c>
      <c r="C4186" s="13" t="s">
        <v>2113</v>
      </c>
      <c r="D4186" s="13"/>
      <c r="E4186" s="13"/>
      <c r="F4186" s="13"/>
      <c r="G4186" s="13" t="s">
        <v>74</v>
      </c>
      <c r="H4186" s="13" t="s">
        <v>75</v>
      </c>
      <c r="I4186" s="14">
        <v>44917.0</v>
      </c>
      <c r="J4186" s="14"/>
      <c r="K4186" s="15"/>
      <c r="L4186" s="15"/>
      <c r="M4186" s="16"/>
      <c r="N4186" s="16"/>
      <c r="O4186" s="17">
        <v>1.0</v>
      </c>
      <c r="P4186" s="17">
        <v>1.0</v>
      </c>
      <c r="Q4186" s="13">
        <f t="shared" si="4509"/>
        <v>3.166666667</v>
      </c>
      <c r="R4186" s="14">
        <v>44966.0</v>
      </c>
      <c r="S4186" s="13"/>
      <c r="T4186" s="13">
        <f t="shared" ref="T4186:Y4186" si="4510">IF(ISBLANK(K4186)=TRUE,0,1)</f>
        <v>0</v>
      </c>
      <c r="U4186" s="13">
        <f t="shared" si="4510"/>
        <v>0</v>
      </c>
      <c r="V4186" s="13">
        <f t="shared" si="4510"/>
        <v>0</v>
      </c>
      <c r="W4186" s="13">
        <f t="shared" si="4510"/>
        <v>0</v>
      </c>
      <c r="X4186" s="13">
        <f t="shared" si="4510"/>
        <v>1</v>
      </c>
      <c r="Y4186" s="13">
        <f t="shared" si="4510"/>
        <v>1</v>
      </c>
      <c r="Z4186" s="13">
        <f t="shared" si="3023"/>
        <v>1</v>
      </c>
      <c r="AA4186" s="13"/>
      <c r="AB4186" s="13"/>
      <c r="AC4186" s="13"/>
      <c r="AD4186" s="13"/>
      <c r="AE4186" s="13"/>
      <c r="AF4186" s="13"/>
      <c r="AG4186" s="13"/>
      <c r="AH4186" s="13"/>
      <c r="AI4186" s="13"/>
      <c r="AJ4186" s="13"/>
      <c r="AK4186" s="13"/>
      <c r="AL4186" s="13"/>
      <c r="AM4186" s="13"/>
      <c r="AN4186" s="13"/>
      <c r="AO4186" s="13"/>
      <c r="AP4186" s="13"/>
      <c r="AQ4186" s="13"/>
      <c r="AR4186" s="13"/>
      <c r="AS4186" s="13"/>
    </row>
    <row r="4187" ht="14.25" customHeight="1">
      <c r="A4187" s="13" t="s">
        <v>46</v>
      </c>
      <c r="B4187" s="13" t="s">
        <v>51</v>
      </c>
      <c r="C4187" s="13" t="s">
        <v>2114</v>
      </c>
      <c r="D4187" s="13"/>
      <c r="E4187" s="13"/>
      <c r="F4187" s="13"/>
      <c r="G4187" s="13" t="s">
        <v>74</v>
      </c>
      <c r="H4187" s="13" t="s">
        <v>75</v>
      </c>
      <c r="I4187" s="14">
        <v>44917.0</v>
      </c>
      <c r="J4187" s="14"/>
      <c r="K4187" s="15"/>
      <c r="L4187" s="15"/>
      <c r="M4187" s="16"/>
      <c r="N4187" s="16"/>
      <c r="O4187" s="17">
        <v>1.0</v>
      </c>
      <c r="P4187" s="17">
        <v>1.0</v>
      </c>
      <c r="Q4187" s="13">
        <f t="shared" si="4509"/>
        <v>1.166666667</v>
      </c>
      <c r="R4187" s="14">
        <v>44966.0</v>
      </c>
      <c r="S4187" s="13"/>
      <c r="T4187" s="13">
        <f t="shared" ref="T4187:Y4187" si="4511">IF(ISBLANK(K4187)=TRUE,0,1)</f>
        <v>0</v>
      </c>
      <c r="U4187" s="13">
        <f t="shared" si="4511"/>
        <v>0</v>
      </c>
      <c r="V4187" s="13">
        <f t="shared" si="4511"/>
        <v>0</v>
      </c>
      <c r="W4187" s="13">
        <f t="shared" si="4511"/>
        <v>0</v>
      </c>
      <c r="X4187" s="13">
        <f t="shared" si="4511"/>
        <v>1</v>
      </c>
      <c r="Y4187" s="13">
        <f t="shared" si="4511"/>
        <v>1</v>
      </c>
      <c r="Z4187" s="13">
        <f t="shared" si="3023"/>
        <v>1</v>
      </c>
      <c r="AA4187" s="13"/>
      <c r="AB4187" s="13"/>
      <c r="AC4187" s="13"/>
      <c r="AD4187" s="13"/>
      <c r="AE4187" s="13"/>
      <c r="AF4187" s="13"/>
      <c r="AG4187" s="13"/>
      <c r="AH4187" s="13"/>
      <c r="AI4187" s="13"/>
      <c r="AJ4187" s="13"/>
      <c r="AK4187" s="13"/>
      <c r="AL4187" s="13"/>
      <c r="AM4187" s="13"/>
      <c r="AN4187" s="13"/>
      <c r="AO4187" s="13"/>
      <c r="AP4187" s="13"/>
      <c r="AQ4187" s="13"/>
      <c r="AR4187" s="13"/>
      <c r="AS4187" s="13"/>
    </row>
    <row r="4188" ht="14.25" customHeight="1">
      <c r="A4188" s="13" t="s">
        <v>46</v>
      </c>
      <c r="B4188" s="13" t="s">
        <v>51</v>
      </c>
      <c r="C4188" s="13" t="s">
        <v>2115</v>
      </c>
      <c r="D4188" s="13"/>
      <c r="E4188" s="13"/>
      <c r="F4188" s="13"/>
      <c r="G4188" s="13" t="s">
        <v>74</v>
      </c>
      <c r="H4188" s="13" t="s">
        <v>75</v>
      </c>
      <c r="I4188" s="14">
        <v>44917.0</v>
      </c>
      <c r="J4188" s="14"/>
      <c r="K4188" s="15"/>
      <c r="L4188" s="15"/>
      <c r="M4188" s="16"/>
      <c r="N4188" s="16"/>
      <c r="O4188" s="17">
        <v>1.0</v>
      </c>
      <c r="P4188" s="17">
        <v>1.0</v>
      </c>
      <c r="Q4188" s="13">
        <f t="shared" si="4509"/>
        <v>1.166666667</v>
      </c>
      <c r="R4188" s="14">
        <v>44966.0</v>
      </c>
      <c r="S4188" s="13"/>
      <c r="T4188" s="13">
        <f t="shared" ref="T4188:Y4188" si="4512">IF(ISBLANK(K4188)=TRUE,0,1)</f>
        <v>0</v>
      </c>
      <c r="U4188" s="13">
        <f t="shared" si="4512"/>
        <v>0</v>
      </c>
      <c r="V4188" s="13">
        <f t="shared" si="4512"/>
        <v>0</v>
      </c>
      <c r="W4188" s="13">
        <f t="shared" si="4512"/>
        <v>0</v>
      </c>
      <c r="X4188" s="13">
        <f t="shared" si="4512"/>
        <v>1</v>
      </c>
      <c r="Y4188" s="13">
        <f t="shared" si="4512"/>
        <v>1</v>
      </c>
      <c r="Z4188" s="13">
        <f t="shared" si="3023"/>
        <v>1</v>
      </c>
      <c r="AA4188" s="13"/>
      <c r="AB4188" s="13"/>
      <c r="AC4188" s="13"/>
      <c r="AD4188" s="13"/>
      <c r="AE4188" s="13"/>
      <c r="AF4188" s="13"/>
      <c r="AG4188" s="13"/>
      <c r="AH4188" s="13"/>
      <c r="AI4188" s="13"/>
      <c r="AJ4188" s="13"/>
      <c r="AK4188" s="13"/>
      <c r="AL4188" s="13"/>
      <c r="AM4188" s="13"/>
      <c r="AN4188" s="13"/>
      <c r="AO4188" s="13"/>
      <c r="AP4188" s="13"/>
      <c r="AQ4188" s="13"/>
      <c r="AR4188" s="13"/>
      <c r="AS4188" s="13"/>
    </row>
    <row r="4189" ht="14.25" customHeight="1">
      <c r="A4189" s="13" t="s">
        <v>46</v>
      </c>
      <c r="B4189" s="13" t="s">
        <v>51</v>
      </c>
      <c r="C4189" s="13" t="s">
        <v>2116</v>
      </c>
      <c r="D4189" s="13"/>
      <c r="E4189" s="13"/>
      <c r="F4189" s="13"/>
      <c r="G4189" s="13" t="s">
        <v>74</v>
      </c>
      <c r="H4189" s="13" t="s">
        <v>75</v>
      </c>
      <c r="I4189" s="14">
        <v>44917.0</v>
      </c>
      <c r="J4189" s="14"/>
      <c r="K4189" s="15"/>
      <c r="L4189" s="15"/>
      <c r="M4189" s="16"/>
      <c r="N4189" s="16"/>
      <c r="O4189" s="17">
        <v>1.0</v>
      </c>
      <c r="P4189" s="17">
        <v>1.0</v>
      </c>
      <c r="Q4189" s="13">
        <f t="shared" si="4509"/>
        <v>1.166666667</v>
      </c>
      <c r="R4189" s="14">
        <v>44966.0</v>
      </c>
      <c r="S4189" s="13"/>
      <c r="T4189" s="13">
        <f t="shared" ref="T4189:Y4189" si="4513">IF(ISBLANK(K4189)=TRUE,0,1)</f>
        <v>0</v>
      </c>
      <c r="U4189" s="13">
        <f t="shared" si="4513"/>
        <v>0</v>
      </c>
      <c r="V4189" s="13">
        <f t="shared" si="4513"/>
        <v>0</v>
      </c>
      <c r="W4189" s="13">
        <f t="shared" si="4513"/>
        <v>0</v>
      </c>
      <c r="X4189" s="13">
        <f t="shared" si="4513"/>
        <v>1</v>
      </c>
      <c r="Y4189" s="13">
        <f t="shared" si="4513"/>
        <v>1</v>
      </c>
      <c r="Z4189" s="13">
        <f t="shared" si="3023"/>
        <v>1</v>
      </c>
      <c r="AA4189" s="13"/>
      <c r="AB4189" s="13"/>
      <c r="AC4189" s="13"/>
      <c r="AD4189" s="13"/>
      <c r="AE4189" s="13"/>
      <c r="AF4189" s="13"/>
      <c r="AG4189" s="13"/>
      <c r="AH4189" s="13"/>
      <c r="AI4189" s="13"/>
      <c r="AJ4189" s="13"/>
      <c r="AK4189" s="13"/>
      <c r="AL4189" s="13"/>
      <c r="AM4189" s="13"/>
      <c r="AN4189" s="13"/>
      <c r="AO4189" s="13"/>
      <c r="AP4189" s="13"/>
      <c r="AQ4189" s="13"/>
      <c r="AR4189" s="13"/>
      <c r="AS4189" s="13"/>
    </row>
    <row r="4190" ht="14.25" customHeight="1">
      <c r="A4190" s="13" t="s">
        <v>46</v>
      </c>
      <c r="B4190" s="13" t="s">
        <v>51</v>
      </c>
      <c r="C4190" s="13" t="s">
        <v>2117</v>
      </c>
      <c r="D4190" s="13"/>
      <c r="E4190" s="13"/>
      <c r="F4190" s="13"/>
      <c r="G4190" s="13" t="s">
        <v>74</v>
      </c>
      <c r="H4190" s="13" t="s">
        <v>75</v>
      </c>
      <c r="I4190" s="14">
        <v>44917.0</v>
      </c>
      <c r="J4190" s="14"/>
      <c r="K4190" s="15"/>
      <c r="L4190" s="15"/>
      <c r="M4190" s="16"/>
      <c r="N4190" s="16"/>
      <c r="O4190" s="17">
        <v>1.0</v>
      </c>
      <c r="P4190" s="17">
        <v>1.0</v>
      </c>
      <c r="Q4190" s="13">
        <f t="shared" si="4509"/>
        <v>1.166666667</v>
      </c>
      <c r="R4190" s="14">
        <v>44966.0</v>
      </c>
      <c r="S4190" s="13"/>
      <c r="T4190" s="13">
        <f t="shared" ref="T4190:Y4190" si="4514">IF(ISBLANK(K4190)=TRUE,0,1)</f>
        <v>0</v>
      </c>
      <c r="U4190" s="13">
        <f t="shared" si="4514"/>
        <v>0</v>
      </c>
      <c r="V4190" s="13">
        <f t="shared" si="4514"/>
        <v>0</v>
      </c>
      <c r="W4190" s="13">
        <f t="shared" si="4514"/>
        <v>0</v>
      </c>
      <c r="X4190" s="13">
        <f t="shared" si="4514"/>
        <v>1</v>
      </c>
      <c r="Y4190" s="13">
        <f t="shared" si="4514"/>
        <v>1</v>
      </c>
      <c r="Z4190" s="13">
        <f t="shared" si="3023"/>
        <v>1</v>
      </c>
      <c r="AA4190" s="13"/>
      <c r="AB4190" s="13"/>
      <c r="AC4190" s="13"/>
      <c r="AD4190" s="13"/>
      <c r="AE4190" s="13"/>
      <c r="AF4190" s="13"/>
      <c r="AG4190" s="13"/>
      <c r="AH4190" s="13"/>
      <c r="AI4190" s="13"/>
      <c r="AJ4190" s="13"/>
      <c r="AK4190" s="13"/>
      <c r="AL4190" s="13"/>
      <c r="AM4190" s="13"/>
      <c r="AN4190" s="13"/>
      <c r="AO4190" s="13"/>
      <c r="AP4190" s="13"/>
      <c r="AQ4190" s="13"/>
      <c r="AR4190" s="13"/>
      <c r="AS4190" s="13"/>
    </row>
    <row r="4191" ht="14.25" customHeight="1">
      <c r="A4191" s="13" t="s">
        <v>46</v>
      </c>
      <c r="B4191" s="13" t="s">
        <v>51</v>
      </c>
      <c r="C4191" s="13" t="s">
        <v>2118</v>
      </c>
      <c r="D4191" s="13"/>
      <c r="E4191" s="13"/>
      <c r="F4191" s="13"/>
      <c r="G4191" s="13" t="s">
        <v>74</v>
      </c>
      <c r="H4191" s="13" t="s">
        <v>75</v>
      </c>
      <c r="I4191" s="14">
        <v>44917.0</v>
      </c>
      <c r="J4191" s="14"/>
      <c r="K4191" s="15"/>
      <c r="L4191" s="15"/>
      <c r="M4191" s="16"/>
      <c r="N4191" s="16"/>
      <c r="O4191" s="17">
        <v>1.0</v>
      </c>
      <c r="P4191" s="17">
        <v>1.0</v>
      </c>
      <c r="Q4191" s="13">
        <f t="shared" si="4509"/>
        <v>1.166666667</v>
      </c>
      <c r="R4191" s="14">
        <v>44966.0</v>
      </c>
      <c r="S4191" s="13"/>
      <c r="T4191" s="13">
        <f t="shared" ref="T4191:Y4191" si="4515">IF(ISBLANK(K4191)=TRUE,0,1)</f>
        <v>0</v>
      </c>
      <c r="U4191" s="13">
        <f t="shared" si="4515"/>
        <v>0</v>
      </c>
      <c r="V4191" s="13">
        <f t="shared" si="4515"/>
        <v>0</v>
      </c>
      <c r="W4191" s="13">
        <f t="shared" si="4515"/>
        <v>0</v>
      </c>
      <c r="X4191" s="13">
        <f t="shared" si="4515"/>
        <v>1</v>
      </c>
      <c r="Y4191" s="13">
        <f t="shared" si="4515"/>
        <v>1</v>
      </c>
      <c r="Z4191" s="13">
        <f t="shared" si="3023"/>
        <v>1</v>
      </c>
      <c r="AA4191" s="13"/>
      <c r="AB4191" s="13"/>
      <c r="AC4191" s="13"/>
      <c r="AD4191" s="13"/>
      <c r="AE4191" s="13"/>
      <c r="AF4191" s="13"/>
      <c r="AG4191" s="13"/>
      <c r="AH4191" s="13"/>
      <c r="AI4191" s="13"/>
      <c r="AJ4191" s="13"/>
      <c r="AK4191" s="13"/>
      <c r="AL4191" s="13"/>
      <c r="AM4191" s="13"/>
      <c r="AN4191" s="13"/>
      <c r="AO4191" s="13"/>
      <c r="AP4191" s="13"/>
      <c r="AQ4191" s="13"/>
      <c r="AR4191" s="13"/>
      <c r="AS4191" s="13"/>
    </row>
    <row r="4192" ht="14.25" customHeight="1">
      <c r="A4192" s="13" t="s">
        <v>46</v>
      </c>
      <c r="B4192" s="13" t="s">
        <v>51</v>
      </c>
      <c r="C4192" s="13" t="s">
        <v>2119</v>
      </c>
      <c r="D4192" s="13"/>
      <c r="E4192" s="13"/>
      <c r="F4192" s="13"/>
      <c r="G4192" s="13" t="s">
        <v>74</v>
      </c>
      <c r="H4192" s="13" t="s">
        <v>75</v>
      </c>
      <c r="I4192" s="14">
        <v>44917.0</v>
      </c>
      <c r="J4192" s="14"/>
      <c r="K4192" s="15"/>
      <c r="L4192" s="15"/>
      <c r="M4192" s="16"/>
      <c r="N4192" s="16"/>
      <c r="O4192" s="17">
        <v>1.0</v>
      </c>
      <c r="P4192" s="17">
        <v>1.0</v>
      </c>
      <c r="Q4192" s="13">
        <f t="shared" si="4509"/>
        <v>1.166666667</v>
      </c>
      <c r="R4192" s="14">
        <v>44966.0</v>
      </c>
      <c r="S4192" s="13"/>
      <c r="T4192" s="13">
        <f t="shared" ref="T4192:Y4192" si="4516">IF(ISBLANK(K4192)=TRUE,0,1)</f>
        <v>0</v>
      </c>
      <c r="U4192" s="13">
        <f t="shared" si="4516"/>
        <v>0</v>
      </c>
      <c r="V4192" s="13">
        <f t="shared" si="4516"/>
        <v>0</v>
      </c>
      <c r="W4192" s="13">
        <f t="shared" si="4516"/>
        <v>0</v>
      </c>
      <c r="X4192" s="13">
        <f t="shared" si="4516"/>
        <v>1</v>
      </c>
      <c r="Y4192" s="13">
        <f t="shared" si="4516"/>
        <v>1</v>
      </c>
      <c r="Z4192" s="13">
        <f t="shared" si="3023"/>
        <v>1</v>
      </c>
      <c r="AA4192" s="13"/>
      <c r="AB4192" s="13"/>
      <c r="AC4192" s="13"/>
      <c r="AD4192" s="13"/>
      <c r="AE4192" s="13"/>
      <c r="AF4192" s="13"/>
      <c r="AG4192" s="13"/>
      <c r="AH4192" s="13"/>
      <c r="AI4192" s="13"/>
      <c r="AJ4192" s="13"/>
      <c r="AK4192" s="13"/>
      <c r="AL4192" s="13"/>
      <c r="AM4192" s="13"/>
      <c r="AN4192" s="13"/>
      <c r="AO4192" s="13"/>
      <c r="AP4192" s="13"/>
      <c r="AQ4192" s="13"/>
      <c r="AR4192" s="13"/>
      <c r="AS4192" s="13"/>
    </row>
    <row r="4193" ht="14.25" customHeight="1">
      <c r="A4193" s="13" t="s">
        <v>46</v>
      </c>
      <c r="B4193" s="13" t="s">
        <v>51</v>
      </c>
      <c r="C4193" s="13" t="s">
        <v>2120</v>
      </c>
      <c r="D4193" s="13"/>
      <c r="E4193" s="13"/>
      <c r="F4193" s="13"/>
      <c r="G4193" s="13" t="s">
        <v>74</v>
      </c>
      <c r="H4193" s="13" t="s">
        <v>75</v>
      </c>
      <c r="I4193" s="14">
        <v>44917.0</v>
      </c>
      <c r="J4193" s="14"/>
      <c r="K4193" s="15"/>
      <c r="L4193" s="15"/>
      <c r="M4193" s="16"/>
      <c r="N4193" s="16"/>
      <c r="O4193" s="17">
        <v>1.0</v>
      </c>
      <c r="P4193" s="17">
        <v>1.0</v>
      </c>
      <c r="Q4193" s="13">
        <f t="shared" si="4509"/>
        <v>1.166666667</v>
      </c>
      <c r="R4193" s="14">
        <v>44966.0</v>
      </c>
      <c r="S4193" s="13"/>
      <c r="T4193" s="13">
        <f t="shared" ref="T4193:Y4193" si="4517">IF(ISBLANK(K4193)=TRUE,0,1)</f>
        <v>0</v>
      </c>
      <c r="U4193" s="13">
        <f t="shared" si="4517"/>
        <v>0</v>
      </c>
      <c r="V4193" s="13">
        <f t="shared" si="4517"/>
        <v>0</v>
      </c>
      <c r="W4193" s="13">
        <f t="shared" si="4517"/>
        <v>0</v>
      </c>
      <c r="X4193" s="13">
        <f t="shared" si="4517"/>
        <v>1</v>
      </c>
      <c r="Y4193" s="13">
        <f t="shared" si="4517"/>
        <v>1</v>
      </c>
      <c r="Z4193" s="13">
        <f t="shared" si="3023"/>
        <v>1</v>
      </c>
      <c r="AA4193" s="13"/>
      <c r="AB4193" s="13"/>
      <c r="AC4193" s="13"/>
      <c r="AD4193" s="13"/>
      <c r="AE4193" s="13"/>
      <c r="AF4193" s="13"/>
      <c r="AG4193" s="13"/>
      <c r="AH4193" s="13"/>
      <c r="AI4193" s="13"/>
      <c r="AJ4193" s="13"/>
      <c r="AK4193" s="13"/>
      <c r="AL4193" s="13"/>
      <c r="AM4193" s="13"/>
      <c r="AN4193" s="13"/>
      <c r="AO4193" s="13"/>
      <c r="AP4193" s="13"/>
      <c r="AQ4193" s="13"/>
      <c r="AR4193" s="13"/>
      <c r="AS4193" s="13"/>
    </row>
    <row r="4194" ht="14.25" customHeight="1">
      <c r="A4194" s="13" t="s">
        <v>46</v>
      </c>
      <c r="B4194" s="13" t="s">
        <v>51</v>
      </c>
      <c r="C4194" s="13" t="s">
        <v>1074</v>
      </c>
      <c r="D4194" s="13"/>
      <c r="E4194" s="13"/>
      <c r="F4194" s="13"/>
      <c r="G4194" s="13" t="s">
        <v>74</v>
      </c>
      <c r="H4194" s="13" t="s">
        <v>75</v>
      </c>
      <c r="I4194" s="14">
        <v>44908.0</v>
      </c>
      <c r="J4194" s="14"/>
      <c r="K4194" s="15">
        <v>1.0</v>
      </c>
      <c r="L4194" s="15">
        <v>1.0</v>
      </c>
      <c r="M4194" s="16"/>
      <c r="N4194" s="16"/>
      <c r="O4194" s="17">
        <v>1.0</v>
      </c>
      <c r="P4194" s="17">
        <v>1.0</v>
      </c>
      <c r="Q4194" s="13">
        <f t="shared" si="4509"/>
        <v>1.166666667</v>
      </c>
      <c r="R4194" s="14">
        <v>44966.0</v>
      </c>
      <c r="S4194" s="13"/>
      <c r="T4194" s="13">
        <f t="shared" ref="T4194:Y4194" si="4518">IF(ISBLANK(K4194)=TRUE,0,1)</f>
        <v>1</v>
      </c>
      <c r="U4194" s="13">
        <f t="shared" si="4518"/>
        <v>1</v>
      </c>
      <c r="V4194" s="13">
        <f t="shared" si="4518"/>
        <v>0</v>
      </c>
      <c r="W4194" s="13">
        <f t="shared" si="4518"/>
        <v>0</v>
      </c>
      <c r="X4194" s="13">
        <f t="shared" si="4518"/>
        <v>1</v>
      </c>
      <c r="Y4194" s="13">
        <f t="shared" si="4518"/>
        <v>1</v>
      </c>
      <c r="Z4194" s="13">
        <f t="shared" si="3023"/>
        <v>1</v>
      </c>
      <c r="AA4194" s="13"/>
      <c r="AB4194" s="13"/>
      <c r="AC4194" s="13"/>
      <c r="AD4194" s="13"/>
      <c r="AE4194" s="13"/>
      <c r="AF4194" s="13"/>
      <c r="AG4194" s="13"/>
      <c r="AH4194" s="13"/>
      <c r="AI4194" s="13"/>
      <c r="AJ4194" s="13"/>
      <c r="AK4194" s="13"/>
      <c r="AL4194" s="13"/>
      <c r="AM4194" s="13"/>
      <c r="AN4194" s="13"/>
      <c r="AO4194" s="13"/>
      <c r="AP4194" s="13"/>
      <c r="AQ4194" s="13"/>
      <c r="AR4194" s="13"/>
      <c r="AS4194" s="13"/>
    </row>
    <row r="4195" ht="14.25" customHeight="1">
      <c r="A4195" s="13" t="s">
        <v>46</v>
      </c>
      <c r="B4195" s="13" t="s">
        <v>51</v>
      </c>
      <c r="C4195" s="13" t="s">
        <v>1074</v>
      </c>
      <c r="D4195" s="13" t="s">
        <v>174</v>
      </c>
      <c r="E4195" s="13"/>
      <c r="F4195" s="13"/>
      <c r="G4195" s="13" t="s">
        <v>74</v>
      </c>
      <c r="H4195" s="13" t="s">
        <v>75</v>
      </c>
      <c r="I4195" s="14">
        <v>44908.0</v>
      </c>
      <c r="J4195" s="14"/>
      <c r="K4195" s="15">
        <v>1.0</v>
      </c>
      <c r="L4195" s="15">
        <v>1.0</v>
      </c>
      <c r="M4195" s="16"/>
      <c r="N4195" s="16"/>
      <c r="O4195" s="17">
        <v>1.0</v>
      </c>
      <c r="P4195" s="17">
        <v>1.0</v>
      </c>
      <c r="Q4195" s="13">
        <f t="shared" si="4509"/>
        <v>3.166666667</v>
      </c>
      <c r="R4195" s="14">
        <v>44966.0</v>
      </c>
      <c r="S4195" s="13"/>
      <c r="T4195" s="13">
        <f t="shared" ref="T4195:Y4195" si="4519">IF(ISBLANK(K4195)=TRUE,0,1)</f>
        <v>1</v>
      </c>
      <c r="U4195" s="13">
        <f t="shared" si="4519"/>
        <v>1</v>
      </c>
      <c r="V4195" s="13">
        <f t="shared" si="4519"/>
        <v>0</v>
      </c>
      <c r="W4195" s="13">
        <f t="shared" si="4519"/>
        <v>0</v>
      </c>
      <c r="X4195" s="13">
        <f t="shared" si="4519"/>
        <v>1</v>
      </c>
      <c r="Y4195" s="13">
        <f t="shared" si="4519"/>
        <v>1</v>
      </c>
      <c r="Z4195" s="13">
        <f t="shared" si="3023"/>
        <v>1</v>
      </c>
      <c r="AA4195" s="13"/>
      <c r="AB4195" s="13"/>
      <c r="AC4195" s="13"/>
      <c r="AD4195" s="13"/>
      <c r="AE4195" s="13"/>
      <c r="AF4195" s="13"/>
      <c r="AG4195" s="13"/>
      <c r="AH4195" s="13"/>
      <c r="AI4195" s="13"/>
      <c r="AJ4195" s="13"/>
      <c r="AK4195" s="13"/>
      <c r="AL4195" s="13"/>
      <c r="AM4195" s="13"/>
      <c r="AN4195" s="13"/>
      <c r="AO4195" s="13"/>
      <c r="AP4195" s="13"/>
      <c r="AQ4195" s="13"/>
      <c r="AR4195" s="13"/>
      <c r="AS4195" s="13"/>
    </row>
    <row r="4196" ht="14.25" customHeight="1">
      <c r="A4196" s="13" t="s">
        <v>46</v>
      </c>
      <c r="B4196" s="13" t="s">
        <v>51</v>
      </c>
      <c r="C4196" s="13" t="s">
        <v>2121</v>
      </c>
      <c r="D4196" s="13"/>
      <c r="E4196" s="13"/>
      <c r="F4196" s="13"/>
      <c r="G4196" s="13" t="s">
        <v>74</v>
      </c>
      <c r="H4196" s="13" t="s">
        <v>75</v>
      </c>
      <c r="I4196" s="14">
        <v>44917.0</v>
      </c>
      <c r="J4196" s="14"/>
      <c r="K4196" s="15">
        <v>1.0</v>
      </c>
      <c r="L4196" s="15">
        <v>1.0</v>
      </c>
      <c r="M4196" s="16"/>
      <c r="N4196" s="16"/>
      <c r="O4196" s="17">
        <v>1.0</v>
      </c>
      <c r="P4196" s="17">
        <v>1.0</v>
      </c>
      <c r="Q4196" s="13">
        <f>K4192+L4192+M4192+N4192+O4192+P4192/6</f>
        <v>1.166666667</v>
      </c>
      <c r="R4196" s="14">
        <v>44966.0</v>
      </c>
      <c r="S4196" s="13"/>
      <c r="T4196" s="13">
        <f t="shared" ref="T4196:Y4196" si="4520">IF(ISBLANK(K4196)=TRUE,0,1)</f>
        <v>1</v>
      </c>
      <c r="U4196" s="13">
        <f t="shared" si="4520"/>
        <v>1</v>
      </c>
      <c r="V4196" s="13">
        <f t="shared" si="4520"/>
        <v>0</v>
      </c>
      <c r="W4196" s="13">
        <f t="shared" si="4520"/>
        <v>0</v>
      </c>
      <c r="X4196" s="13">
        <f t="shared" si="4520"/>
        <v>1</v>
      </c>
      <c r="Y4196" s="13">
        <f t="shared" si="4520"/>
        <v>1</v>
      </c>
      <c r="Z4196" s="13">
        <f t="shared" si="3023"/>
        <v>1</v>
      </c>
      <c r="AA4196" s="13" t="s">
        <v>819</v>
      </c>
      <c r="AB4196" s="13"/>
      <c r="AC4196" s="13"/>
      <c r="AD4196" s="13"/>
      <c r="AE4196" s="13"/>
      <c r="AF4196" s="13"/>
      <c r="AG4196" s="13"/>
      <c r="AH4196" s="13"/>
      <c r="AI4196" s="13"/>
      <c r="AJ4196" s="13"/>
      <c r="AK4196" s="13"/>
      <c r="AL4196" s="13"/>
      <c r="AM4196" s="13"/>
      <c r="AN4196" s="13"/>
      <c r="AO4196" s="13"/>
      <c r="AP4196" s="13"/>
      <c r="AQ4196" s="13"/>
      <c r="AR4196" s="13"/>
      <c r="AS4196" s="13"/>
    </row>
    <row r="4197" ht="14.25" customHeight="1">
      <c r="A4197" s="13" t="s">
        <v>46</v>
      </c>
      <c r="B4197" s="13" t="s">
        <v>51</v>
      </c>
      <c r="C4197" s="13" t="s">
        <v>2122</v>
      </c>
      <c r="D4197" s="13"/>
      <c r="E4197" s="13"/>
      <c r="F4197" s="13"/>
      <c r="G4197" s="13" t="s">
        <v>74</v>
      </c>
      <c r="H4197" s="13" t="s">
        <v>75</v>
      </c>
      <c r="I4197" s="14">
        <v>44917.0</v>
      </c>
      <c r="J4197" s="14"/>
      <c r="K4197" s="15">
        <v>1.0</v>
      </c>
      <c r="L4197" s="15">
        <v>1.0</v>
      </c>
      <c r="M4197" s="16"/>
      <c r="N4197" s="16"/>
      <c r="O4197" s="17">
        <v>1.0</v>
      </c>
      <c r="P4197" s="17">
        <v>1.0</v>
      </c>
      <c r="Q4197" s="13">
        <f t="shared" ref="Q4197:Q4200" si="4522">K4196+L4196+M4196+N4196+O4196+P4196/6</f>
        <v>3.166666667</v>
      </c>
      <c r="R4197" s="14">
        <v>44966.0</v>
      </c>
      <c r="S4197" s="13"/>
      <c r="T4197" s="13">
        <f t="shared" ref="T4197:Y4197" si="4521">IF(ISBLANK(K4197)=TRUE,0,1)</f>
        <v>1</v>
      </c>
      <c r="U4197" s="13">
        <f t="shared" si="4521"/>
        <v>1</v>
      </c>
      <c r="V4197" s="13">
        <f t="shared" si="4521"/>
        <v>0</v>
      </c>
      <c r="W4197" s="13">
        <f t="shared" si="4521"/>
        <v>0</v>
      </c>
      <c r="X4197" s="13">
        <f t="shared" si="4521"/>
        <v>1</v>
      </c>
      <c r="Y4197" s="13">
        <f t="shared" si="4521"/>
        <v>1</v>
      </c>
      <c r="Z4197" s="13">
        <f t="shared" si="3023"/>
        <v>1</v>
      </c>
      <c r="AA4197" s="13" t="s">
        <v>874</v>
      </c>
      <c r="AB4197" s="13"/>
      <c r="AC4197" s="13"/>
      <c r="AD4197" s="13"/>
      <c r="AE4197" s="13"/>
      <c r="AF4197" s="13"/>
      <c r="AG4197" s="13"/>
      <c r="AH4197" s="13"/>
      <c r="AI4197" s="13"/>
      <c r="AJ4197" s="13"/>
      <c r="AK4197" s="13"/>
      <c r="AL4197" s="13"/>
      <c r="AM4197" s="13"/>
      <c r="AN4197" s="13"/>
      <c r="AO4197" s="13"/>
      <c r="AP4197" s="13"/>
      <c r="AQ4197" s="13"/>
      <c r="AR4197" s="13"/>
      <c r="AS4197" s="13"/>
    </row>
    <row r="4198" ht="14.25" customHeight="1">
      <c r="A4198" s="13" t="s">
        <v>46</v>
      </c>
      <c r="B4198" s="13" t="s">
        <v>51</v>
      </c>
      <c r="C4198" s="13" t="s">
        <v>2123</v>
      </c>
      <c r="D4198" s="13"/>
      <c r="E4198" s="13"/>
      <c r="F4198" s="13"/>
      <c r="G4198" s="13" t="s">
        <v>111</v>
      </c>
      <c r="H4198" s="13" t="s">
        <v>75</v>
      </c>
      <c r="I4198" s="14">
        <v>44908.0</v>
      </c>
      <c r="J4198" s="14"/>
      <c r="K4198" s="15"/>
      <c r="L4198" s="15"/>
      <c r="M4198" s="16"/>
      <c r="N4198" s="16"/>
      <c r="O4198" s="17">
        <v>1.0</v>
      </c>
      <c r="P4198" s="17">
        <v>1.0</v>
      </c>
      <c r="Q4198" s="13">
        <f t="shared" si="4522"/>
        <v>3.166666667</v>
      </c>
      <c r="R4198" s="14">
        <v>44966.0</v>
      </c>
      <c r="S4198" s="13"/>
      <c r="T4198" s="13">
        <f t="shared" ref="T4198:Y4198" si="4523">IF(ISBLANK(K4198)=TRUE,0,1)</f>
        <v>0</v>
      </c>
      <c r="U4198" s="13">
        <f t="shared" si="4523"/>
        <v>0</v>
      </c>
      <c r="V4198" s="13">
        <f t="shared" si="4523"/>
        <v>0</v>
      </c>
      <c r="W4198" s="13">
        <f t="shared" si="4523"/>
        <v>0</v>
      </c>
      <c r="X4198" s="13">
        <f t="shared" si="4523"/>
        <v>1</v>
      </c>
      <c r="Y4198" s="13">
        <f t="shared" si="4523"/>
        <v>1</v>
      </c>
      <c r="Z4198" s="13">
        <f t="shared" si="3023"/>
        <v>1</v>
      </c>
      <c r="AA4198" s="13"/>
      <c r="AB4198" s="13"/>
      <c r="AC4198" s="13"/>
      <c r="AD4198" s="13"/>
      <c r="AE4198" s="13"/>
      <c r="AF4198" s="13"/>
      <c r="AG4198" s="13"/>
      <c r="AH4198" s="13"/>
      <c r="AI4198" s="13"/>
      <c r="AJ4198" s="13"/>
      <c r="AK4198" s="13"/>
      <c r="AL4198" s="13"/>
      <c r="AM4198" s="13"/>
      <c r="AN4198" s="13"/>
      <c r="AO4198" s="13"/>
      <c r="AP4198" s="13"/>
      <c r="AQ4198" s="13"/>
      <c r="AR4198" s="13"/>
      <c r="AS4198" s="13"/>
    </row>
    <row r="4199" ht="14.25" customHeight="1">
      <c r="A4199" s="13" t="s">
        <v>46</v>
      </c>
      <c r="B4199" s="13" t="s">
        <v>51</v>
      </c>
      <c r="C4199" s="13" t="s">
        <v>2124</v>
      </c>
      <c r="D4199" s="13"/>
      <c r="E4199" s="13"/>
      <c r="F4199" s="13"/>
      <c r="G4199" s="13" t="s">
        <v>111</v>
      </c>
      <c r="H4199" s="13" t="s">
        <v>75</v>
      </c>
      <c r="I4199" s="14">
        <v>44908.0</v>
      </c>
      <c r="J4199" s="14"/>
      <c r="K4199" s="15"/>
      <c r="L4199" s="15"/>
      <c r="M4199" s="16"/>
      <c r="N4199" s="16"/>
      <c r="O4199" s="17">
        <v>1.0</v>
      </c>
      <c r="P4199" s="17">
        <v>1.0</v>
      </c>
      <c r="Q4199" s="13">
        <f t="shared" si="4522"/>
        <v>1.166666667</v>
      </c>
      <c r="R4199" s="14">
        <v>44966.0</v>
      </c>
      <c r="S4199" s="13"/>
      <c r="T4199" s="13">
        <f t="shared" ref="T4199:Y4199" si="4524">IF(ISBLANK(K4199)=TRUE,0,1)</f>
        <v>0</v>
      </c>
      <c r="U4199" s="13">
        <f t="shared" si="4524"/>
        <v>0</v>
      </c>
      <c r="V4199" s="13">
        <f t="shared" si="4524"/>
        <v>0</v>
      </c>
      <c r="W4199" s="13">
        <f t="shared" si="4524"/>
        <v>0</v>
      </c>
      <c r="X4199" s="13">
        <f t="shared" si="4524"/>
        <v>1</v>
      </c>
      <c r="Y4199" s="13">
        <f t="shared" si="4524"/>
        <v>1</v>
      </c>
      <c r="Z4199" s="13">
        <f t="shared" si="3023"/>
        <v>1</v>
      </c>
      <c r="AA4199" s="13"/>
      <c r="AB4199" s="13"/>
      <c r="AC4199" s="13"/>
      <c r="AD4199" s="13"/>
      <c r="AE4199" s="13"/>
      <c r="AF4199" s="13"/>
      <c r="AG4199" s="13"/>
      <c r="AH4199" s="13"/>
      <c r="AI4199" s="13"/>
      <c r="AJ4199" s="13"/>
      <c r="AK4199" s="13"/>
      <c r="AL4199" s="13"/>
      <c r="AM4199" s="13"/>
      <c r="AN4199" s="13"/>
      <c r="AO4199" s="13"/>
      <c r="AP4199" s="13"/>
      <c r="AQ4199" s="13"/>
      <c r="AR4199" s="13"/>
      <c r="AS4199" s="13"/>
    </row>
    <row r="4200" ht="14.25" customHeight="1">
      <c r="A4200" s="13" t="s">
        <v>46</v>
      </c>
      <c r="B4200" s="13" t="s">
        <v>51</v>
      </c>
      <c r="C4200" s="13" t="s">
        <v>1096</v>
      </c>
      <c r="D4200" s="13"/>
      <c r="F4200" s="13"/>
      <c r="G4200" s="13" t="s">
        <v>111</v>
      </c>
      <c r="H4200" s="13" t="s">
        <v>75</v>
      </c>
      <c r="I4200" s="14">
        <v>44908.0</v>
      </c>
      <c r="J4200" s="14"/>
      <c r="K4200" s="15">
        <v>1.0</v>
      </c>
      <c r="L4200" s="15">
        <v>1.0</v>
      </c>
      <c r="M4200" s="16"/>
      <c r="N4200" s="16"/>
      <c r="O4200" s="17">
        <v>1.0</v>
      </c>
      <c r="P4200" s="17">
        <v>1.0</v>
      </c>
      <c r="Q4200" s="13">
        <f t="shared" si="4522"/>
        <v>1.166666667</v>
      </c>
      <c r="R4200" s="14">
        <v>44966.0</v>
      </c>
      <c r="S4200" s="13"/>
      <c r="T4200" s="13">
        <f t="shared" ref="T4200:Y4200" si="4525">IF(ISBLANK(K4200)=TRUE,0,1)</f>
        <v>1</v>
      </c>
      <c r="U4200" s="13">
        <f t="shared" si="4525"/>
        <v>1</v>
      </c>
      <c r="V4200" s="13">
        <f t="shared" si="4525"/>
        <v>0</v>
      </c>
      <c r="W4200" s="13">
        <f t="shared" si="4525"/>
        <v>0</v>
      </c>
      <c r="X4200" s="13">
        <f t="shared" si="4525"/>
        <v>1</v>
      </c>
      <c r="Y4200" s="13">
        <f t="shared" si="4525"/>
        <v>1</v>
      </c>
      <c r="Z4200" s="13">
        <f t="shared" si="3023"/>
        <v>1</v>
      </c>
      <c r="AA4200" s="13" t="s">
        <v>874</v>
      </c>
      <c r="AB4200" s="13"/>
      <c r="AC4200" s="13"/>
      <c r="AD4200" s="13"/>
      <c r="AE4200" s="13"/>
      <c r="AF4200" s="13"/>
      <c r="AG4200" s="13"/>
      <c r="AH4200" s="13"/>
      <c r="AI4200" s="13"/>
      <c r="AJ4200" s="13"/>
      <c r="AK4200" s="13"/>
      <c r="AL4200" s="13"/>
      <c r="AM4200" s="13"/>
      <c r="AN4200" s="13"/>
      <c r="AO4200" s="13"/>
      <c r="AP4200" s="13"/>
      <c r="AQ4200" s="13"/>
      <c r="AR4200" s="13"/>
      <c r="AS4200" s="13"/>
    </row>
    <row r="4201" ht="14.25" customHeight="1">
      <c r="A4201" s="13" t="s">
        <v>46</v>
      </c>
      <c r="B4201" s="13" t="s">
        <v>51</v>
      </c>
      <c r="C4201" s="13" t="s">
        <v>2125</v>
      </c>
      <c r="D4201" s="13"/>
      <c r="E4201" s="13"/>
      <c r="F4201" s="13"/>
      <c r="G4201" s="13" t="s">
        <v>111</v>
      </c>
      <c r="H4201" s="13" t="s">
        <v>75</v>
      </c>
      <c r="I4201" s="14">
        <v>44908.0</v>
      </c>
      <c r="J4201" s="14"/>
      <c r="K4201" s="15">
        <v>1.0</v>
      </c>
      <c r="L4201" s="15">
        <v>1.0</v>
      </c>
      <c r="M4201" s="16"/>
      <c r="N4201" s="16"/>
      <c r="O4201" s="17">
        <v>1.0</v>
      </c>
      <c r="P4201" s="17">
        <v>1.0</v>
      </c>
      <c r="Q4201" s="13">
        <f>K4199+L4199+M4199+N4199+O4199+P4199/6</f>
        <v>1.166666667</v>
      </c>
      <c r="R4201" s="14">
        <v>44966.0</v>
      </c>
      <c r="S4201" s="13"/>
      <c r="T4201" s="13">
        <f t="shared" ref="T4201:Y4201" si="4526">IF(ISBLANK(K4201)=TRUE,0,1)</f>
        <v>1</v>
      </c>
      <c r="U4201" s="13">
        <f t="shared" si="4526"/>
        <v>1</v>
      </c>
      <c r="V4201" s="13">
        <f t="shared" si="4526"/>
        <v>0</v>
      </c>
      <c r="W4201" s="13">
        <f t="shared" si="4526"/>
        <v>0</v>
      </c>
      <c r="X4201" s="13">
        <f t="shared" si="4526"/>
        <v>1</v>
      </c>
      <c r="Y4201" s="13">
        <f t="shared" si="4526"/>
        <v>1</v>
      </c>
      <c r="Z4201" s="13">
        <f t="shared" si="3023"/>
        <v>1</v>
      </c>
      <c r="AA4201" s="13" t="s">
        <v>874</v>
      </c>
      <c r="AB4201" s="13"/>
      <c r="AC4201" s="13"/>
      <c r="AD4201" s="13"/>
      <c r="AE4201" s="13"/>
      <c r="AF4201" s="13"/>
      <c r="AG4201" s="13"/>
      <c r="AH4201" s="13"/>
      <c r="AI4201" s="13"/>
      <c r="AJ4201" s="13"/>
      <c r="AK4201" s="13"/>
      <c r="AL4201" s="13"/>
      <c r="AM4201" s="13"/>
      <c r="AN4201" s="13"/>
      <c r="AO4201" s="13"/>
      <c r="AP4201" s="13"/>
      <c r="AQ4201" s="13"/>
      <c r="AR4201" s="13"/>
      <c r="AS4201" s="13"/>
    </row>
    <row r="4202" ht="14.25" customHeight="1">
      <c r="A4202" s="13" t="s">
        <v>46</v>
      </c>
      <c r="B4202" s="13" t="s">
        <v>51</v>
      </c>
      <c r="C4202" s="13" t="s">
        <v>1097</v>
      </c>
      <c r="D4202" s="13"/>
      <c r="E4202" s="13"/>
      <c r="F4202" s="13"/>
      <c r="G4202" s="13" t="s">
        <v>111</v>
      </c>
      <c r="H4202" s="13" t="s">
        <v>75</v>
      </c>
      <c r="I4202" s="14">
        <v>44908.0</v>
      </c>
      <c r="J4202" s="14"/>
      <c r="K4202" s="15"/>
      <c r="L4202" s="15"/>
      <c r="M4202" s="16"/>
      <c r="N4202" s="16"/>
      <c r="O4202" s="17">
        <v>1.0</v>
      </c>
      <c r="P4202" s="17">
        <v>1.0</v>
      </c>
      <c r="Q4202" s="13">
        <f>K4201+L4201+M4201+N4201+O4201+P4201/6</f>
        <v>3.166666667</v>
      </c>
      <c r="R4202" s="14">
        <v>44966.0</v>
      </c>
      <c r="S4202" s="13"/>
      <c r="T4202" s="13">
        <f t="shared" ref="T4202:Y4202" si="4527">IF(ISBLANK(K4202)=TRUE,0,1)</f>
        <v>0</v>
      </c>
      <c r="U4202" s="13">
        <f t="shared" si="4527"/>
        <v>0</v>
      </c>
      <c r="V4202" s="13">
        <f t="shared" si="4527"/>
        <v>0</v>
      </c>
      <c r="W4202" s="13">
        <f t="shared" si="4527"/>
        <v>0</v>
      </c>
      <c r="X4202" s="13">
        <f t="shared" si="4527"/>
        <v>1</v>
      </c>
      <c r="Y4202" s="13">
        <f t="shared" si="4527"/>
        <v>1</v>
      </c>
      <c r="Z4202" s="13">
        <f t="shared" si="3023"/>
        <v>1</v>
      </c>
      <c r="AA4202" s="13"/>
      <c r="AB4202" s="13"/>
      <c r="AC4202" s="13"/>
      <c r="AD4202" s="13"/>
      <c r="AE4202" s="13"/>
      <c r="AF4202" s="13"/>
      <c r="AG4202" s="13"/>
      <c r="AH4202" s="13"/>
      <c r="AI4202" s="13"/>
      <c r="AJ4202" s="13"/>
      <c r="AK4202" s="13"/>
      <c r="AL4202" s="13"/>
      <c r="AM4202" s="13"/>
      <c r="AN4202" s="13"/>
      <c r="AO4202" s="13"/>
      <c r="AP4202" s="13"/>
      <c r="AQ4202" s="13"/>
      <c r="AR4202" s="13"/>
      <c r="AS4202" s="13"/>
    </row>
    <row r="4203" ht="14.25" customHeight="1">
      <c r="A4203" s="13" t="s">
        <v>46</v>
      </c>
      <c r="B4203" s="13" t="s">
        <v>51</v>
      </c>
      <c r="C4203" s="13" t="s">
        <v>1098</v>
      </c>
      <c r="D4203" s="13"/>
      <c r="E4203" s="13"/>
      <c r="F4203" s="13"/>
      <c r="G4203" s="13" t="s">
        <v>111</v>
      </c>
      <c r="H4203" s="13" t="s">
        <v>75</v>
      </c>
      <c r="I4203" s="14">
        <v>44908.0</v>
      </c>
      <c r="J4203" s="14"/>
      <c r="K4203" s="15"/>
      <c r="L4203" s="15"/>
      <c r="M4203" s="16"/>
      <c r="N4203" s="16"/>
      <c r="O4203" s="17">
        <v>1.0</v>
      </c>
      <c r="P4203" s="17">
        <v>1.0</v>
      </c>
      <c r="Q4203" s="13">
        <f>K4201+L4201+M4201+N4201+O4201+P4201/6</f>
        <v>3.166666667</v>
      </c>
      <c r="R4203" s="14">
        <v>44966.0</v>
      </c>
      <c r="S4203" s="13"/>
      <c r="T4203" s="13">
        <f t="shared" ref="T4203:Y4203" si="4528">IF(ISBLANK(K4203)=TRUE,0,1)</f>
        <v>0</v>
      </c>
      <c r="U4203" s="13">
        <f t="shared" si="4528"/>
        <v>0</v>
      </c>
      <c r="V4203" s="13">
        <f t="shared" si="4528"/>
        <v>0</v>
      </c>
      <c r="W4203" s="13">
        <f t="shared" si="4528"/>
        <v>0</v>
      </c>
      <c r="X4203" s="13">
        <f t="shared" si="4528"/>
        <v>1</v>
      </c>
      <c r="Y4203" s="13">
        <f t="shared" si="4528"/>
        <v>1</v>
      </c>
      <c r="Z4203" s="13">
        <f t="shared" si="3023"/>
        <v>1</v>
      </c>
      <c r="AA4203" s="13"/>
      <c r="AB4203" s="13"/>
      <c r="AC4203" s="13"/>
      <c r="AD4203" s="13"/>
      <c r="AE4203" s="13"/>
      <c r="AF4203" s="13"/>
      <c r="AG4203" s="13"/>
      <c r="AH4203" s="13"/>
      <c r="AI4203" s="13"/>
      <c r="AJ4203" s="13"/>
      <c r="AK4203" s="13"/>
      <c r="AL4203" s="13"/>
      <c r="AM4203" s="13"/>
      <c r="AN4203" s="13"/>
      <c r="AO4203" s="13"/>
      <c r="AP4203" s="13"/>
      <c r="AQ4203" s="13"/>
      <c r="AR4203" s="13"/>
      <c r="AS4203" s="13"/>
    </row>
    <row r="4204" ht="14.25" customHeight="1">
      <c r="A4204" s="13" t="s">
        <v>46</v>
      </c>
      <c r="B4204" s="13" t="s">
        <v>51</v>
      </c>
      <c r="C4204" s="13" t="s">
        <v>1101</v>
      </c>
      <c r="D4204" s="13"/>
      <c r="E4204" s="13"/>
      <c r="F4204" s="13"/>
      <c r="G4204" s="13" t="s">
        <v>111</v>
      </c>
      <c r="H4204" s="13" t="s">
        <v>75</v>
      </c>
      <c r="I4204" s="14">
        <v>44908.0</v>
      </c>
      <c r="J4204" s="14"/>
      <c r="K4204" s="15">
        <v>1.0</v>
      </c>
      <c r="L4204" s="15">
        <v>1.0</v>
      </c>
      <c r="M4204" s="16"/>
      <c r="N4204" s="16"/>
      <c r="O4204" s="17">
        <v>1.0</v>
      </c>
      <c r="P4204" s="17">
        <v>1.0</v>
      </c>
      <c r="Q4204" s="13">
        <f>K4203+L4203+M4203+N4203+O4203+P4203/6</f>
        <v>1.166666667</v>
      </c>
      <c r="R4204" s="14">
        <v>44966.0</v>
      </c>
      <c r="S4204" s="13"/>
      <c r="T4204" s="13">
        <f t="shared" ref="T4204:Y4204" si="4529">IF(ISBLANK(K4204)=TRUE,0,1)</f>
        <v>1</v>
      </c>
      <c r="U4204" s="13">
        <f t="shared" si="4529"/>
        <v>1</v>
      </c>
      <c r="V4204" s="13">
        <f t="shared" si="4529"/>
        <v>0</v>
      </c>
      <c r="W4204" s="13">
        <f t="shared" si="4529"/>
        <v>0</v>
      </c>
      <c r="X4204" s="13">
        <f t="shared" si="4529"/>
        <v>1</v>
      </c>
      <c r="Y4204" s="13">
        <f t="shared" si="4529"/>
        <v>1</v>
      </c>
      <c r="Z4204" s="13">
        <f t="shared" si="3023"/>
        <v>1</v>
      </c>
      <c r="AA4204" s="13"/>
      <c r="AB4204" s="13"/>
      <c r="AC4204" s="13"/>
      <c r="AD4204" s="13"/>
      <c r="AE4204" s="13"/>
      <c r="AF4204" s="13"/>
      <c r="AG4204" s="13"/>
      <c r="AH4204" s="13"/>
      <c r="AI4204" s="13"/>
      <c r="AJ4204" s="13"/>
      <c r="AK4204" s="13"/>
      <c r="AL4204" s="13"/>
      <c r="AM4204" s="13"/>
      <c r="AN4204" s="13"/>
      <c r="AO4204" s="13"/>
      <c r="AP4204" s="13"/>
      <c r="AQ4204" s="13"/>
      <c r="AR4204" s="13"/>
      <c r="AS4204" s="13"/>
    </row>
    <row r="4205" ht="14.25" customHeight="1">
      <c r="A4205" s="13" t="s">
        <v>46</v>
      </c>
      <c r="B4205" s="13" t="s">
        <v>51</v>
      </c>
      <c r="C4205" s="13" t="s">
        <v>1103</v>
      </c>
      <c r="D4205" s="13"/>
      <c r="E4205" s="13"/>
      <c r="F4205" s="13"/>
      <c r="G4205" s="13" t="s">
        <v>111</v>
      </c>
      <c r="H4205" s="13" t="s">
        <v>75</v>
      </c>
      <c r="I4205" s="14">
        <v>44908.0</v>
      </c>
      <c r="J4205" s="14"/>
      <c r="K4205" s="15">
        <v>1.0</v>
      </c>
      <c r="L4205" s="15">
        <v>1.0</v>
      </c>
      <c r="M4205" s="16"/>
      <c r="N4205" s="16"/>
      <c r="O4205" s="17">
        <v>1.0</v>
      </c>
      <c r="P4205" s="17">
        <v>1.0</v>
      </c>
      <c r="Q4205" s="13">
        <f t="shared" ref="Q4205:Q4207" si="4531">K4203+L4203+M4203+N4203+O4203+P4203/6</f>
        <v>1.166666667</v>
      </c>
      <c r="R4205" s="14">
        <v>44966.0</v>
      </c>
      <c r="S4205" s="13"/>
      <c r="T4205" s="13">
        <f t="shared" ref="T4205:Y4205" si="4530">IF(ISBLANK(K4205)=TRUE,0,1)</f>
        <v>1</v>
      </c>
      <c r="U4205" s="13">
        <f t="shared" si="4530"/>
        <v>1</v>
      </c>
      <c r="V4205" s="13">
        <f t="shared" si="4530"/>
        <v>0</v>
      </c>
      <c r="W4205" s="13">
        <f t="shared" si="4530"/>
        <v>0</v>
      </c>
      <c r="X4205" s="13">
        <f t="shared" si="4530"/>
        <v>1</v>
      </c>
      <c r="Y4205" s="13">
        <f t="shared" si="4530"/>
        <v>1</v>
      </c>
      <c r="Z4205" s="13">
        <f t="shared" si="3023"/>
        <v>1</v>
      </c>
      <c r="AA4205" s="13" t="s">
        <v>1071</v>
      </c>
      <c r="AB4205" s="13"/>
      <c r="AC4205" s="13"/>
      <c r="AD4205" s="13"/>
      <c r="AE4205" s="13"/>
      <c r="AF4205" s="13"/>
      <c r="AG4205" s="13"/>
      <c r="AH4205" s="13"/>
      <c r="AI4205" s="13"/>
      <c r="AJ4205" s="13"/>
      <c r="AK4205" s="13"/>
      <c r="AL4205" s="13"/>
      <c r="AM4205" s="13"/>
      <c r="AN4205" s="13"/>
      <c r="AO4205" s="13"/>
      <c r="AP4205" s="13"/>
      <c r="AQ4205" s="13"/>
      <c r="AR4205" s="13"/>
      <c r="AS4205" s="13"/>
    </row>
    <row r="4206" ht="14.25" customHeight="1">
      <c r="A4206" s="13" t="s">
        <v>46</v>
      </c>
      <c r="B4206" s="13" t="s">
        <v>51</v>
      </c>
      <c r="C4206" s="13" t="s">
        <v>1104</v>
      </c>
      <c r="D4206" s="13"/>
      <c r="E4206" s="13"/>
      <c r="F4206" s="13"/>
      <c r="G4206" s="13" t="s">
        <v>111</v>
      </c>
      <c r="H4206" s="13" t="s">
        <v>75</v>
      </c>
      <c r="I4206" s="14">
        <v>44908.0</v>
      </c>
      <c r="J4206" s="14"/>
      <c r="K4206" s="15">
        <v>1.0</v>
      </c>
      <c r="L4206" s="15">
        <v>1.0</v>
      </c>
      <c r="M4206" s="16"/>
      <c r="N4206" s="16"/>
      <c r="O4206" s="17">
        <v>1.0</v>
      </c>
      <c r="P4206" s="17">
        <v>1.0</v>
      </c>
      <c r="Q4206" s="13">
        <f t="shared" si="4531"/>
        <v>3.166666667</v>
      </c>
      <c r="R4206" s="14">
        <v>44966.0</v>
      </c>
      <c r="S4206" s="13"/>
      <c r="T4206" s="13">
        <f t="shared" ref="T4206:Y4206" si="4532">IF(ISBLANK(K4206)=TRUE,0,1)</f>
        <v>1</v>
      </c>
      <c r="U4206" s="13">
        <f t="shared" si="4532"/>
        <v>1</v>
      </c>
      <c r="V4206" s="13">
        <f t="shared" si="4532"/>
        <v>0</v>
      </c>
      <c r="W4206" s="13">
        <f t="shared" si="4532"/>
        <v>0</v>
      </c>
      <c r="X4206" s="13">
        <f t="shared" si="4532"/>
        <v>1</v>
      </c>
      <c r="Y4206" s="13">
        <f t="shared" si="4532"/>
        <v>1</v>
      </c>
      <c r="Z4206" s="13">
        <f t="shared" si="3023"/>
        <v>1</v>
      </c>
      <c r="AA4206" s="13"/>
      <c r="AB4206" s="13"/>
      <c r="AC4206" s="13"/>
      <c r="AD4206" s="13"/>
      <c r="AE4206" s="13"/>
      <c r="AF4206" s="13"/>
      <c r="AG4206" s="13"/>
      <c r="AH4206" s="13"/>
      <c r="AI4206" s="13"/>
      <c r="AJ4206" s="13"/>
      <c r="AK4206" s="13"/>
      <c r="AL4206" s="13"/>
      <c r="AM4206" s="13"/>
      <c r="AN4206" s="13"/>
      <c r="AO4206" s="13"/>
      <c r="AP4206" s="13"/>
      <c r="AQ4206" s="13"/>
      <c r="AR4206" s="13"/>
      <c r="AS4206" s="13"/>
    </row>
    <row r="4207" ht="14.25" customHeight="1">
      <c r="A4207" s="13" t="s">
        <v>46</v>
      </c>
      <c r="B4207" s="13" t="s">
        <v>51</v>
      </c>
      <c r="C4207" s="13" t="s">
        <v>2126</v>
      </c>
      <c r="D4207" s="13"/>
      <c r="E4207" s="13"/>
      <c r="F4207" s="13"/>
      <c r="G4207" s="13" t="s">
        <v>111</v>
      </c>
      <c r="H4207" s="13" t="s">
        <v>75</v>
      </c>
      <c r="I4207" s="14">
        <v>44908.0</v>
      </c>
      <c r="J4207" s="14"/>
      <c r="K4207" s="15">
        <v>1.0</v>
      </c>
      <c r="L4207" s="15">
        <v>1.0</v>
      </c>
      <c r="M4207" s="16"/>
      <c r="N4207" s="16"/>
      <c r="O4207" s="17">
        <v>1.0</v>
      </c>
      <c r="P4207" s="17">
        <v>1.0</v>
      </c>
      <c r="Q4207" s="13">
        <f t="shared" si="4531"/>
        <v>3.166666667</v>
      </c>
      <c r="R4207" s="14">
        <v>44966.0</v>
      </c>
      <c r="S4207" s="13"/>
      <c r="T4207" s="13">
        <f t="shared" ref="T4207:Y4207" si="4533">IF(ISBLANK(K4207)=TRUE,0,1)</f>
        <v>1</v>
      </c>
      <c r="U4207" s="13">
        <f t="shared" si="4533"/>
        <v>1</v>
      </c>
      <c r="V4207" s="13">
        <f t="shared" si="4533"/>
        <v>0</v>
      </c>
      <c r="W4207" s="13">
        <f t="shared" si="4533"/>
        <v>0</v>
      </c>
      <c r="X4207" s="13">
        <f t="shared" si="4533"/>
        <v>1</v>
      </c>
      <c r="Y4207" s="13">
        <f t="shared" si="4533"/>
        <v>1</v>
      </c>
      <c r="Z4207" s="13">
        <f t="shared" si="3023"/>
        <v>1</v>
      </c>
      <c r="AA4207" s="13"/>
      <c r="AB4207" s="13"/>
      <c r="AC4207" s="13"/>
      <c r="AD4207" s="13"/>
      <c r="AE4207" s="13"/>
      <c r="AF4207" s="13"/>
      <c r="AG4207" s="13"/>
      <c r="AH4207" s="13"/>
      <c r="AI4207" s="13"/>
      <c r="AJ4207" s="13"/>
      <c r="AK4207" s="13"/>
      <c r="AL4207" s="13"/>
      <c r="AM4207" s="13"/>
      <c r="AN4207" s="13"/>
      <c r="AO4207" s="13"/>
      <c r="AP4207" s="13"/>
      <c r="AQ4207" s="13"/>
      <c r="AR4207" s="13"/>
      <c r="AS4207" s="13"/>
    </row>
    <row r="4208" ht="14.25" customHeight="1">
      <c r="A4208" s="13" t="s">
        <v>46</v>
      </c>
      <c r="B4208" s="13" t="s">
        <v>51</v>
      </c>
      <c r="C4208" s="13" t="s">
        <v>1105</v>
      </c>
      <c r="D4208" s="13"/>
      <c r="E4208" s="13"/>
      <c r="F4208" s="13"/>
      <c r="G4208" s="13" t="s">
        <v>111</v>
      </c>
      <c r="H4208" s="13" t="s">
        <v>75</v>
      </c>
      <c r="I4208" s="14">
        <v>44908.0</v>
      </c>
      <c r="J4208" s="14"/>
      <c r="K4208" s="15">
        <v>1.0</v>
      </c>
      <c r="L4208" s="15">
        <v>1.0</v>
      </c>
      <c r="M4208" s="16"/>
      <c r="N4208" s="16"/>
      <c r="O4208" s="17">
        <v>1.0</v>
      </c>
      <c r="P4208" s="17">
        <v>1.0</v>
      </c>
      <c r="Q4208" s="13">
        <f t="shared" ref="Q4208:Q4210" si="4535">K4207+L4207+M4207+N4207+O4207+P4207/6</f>
        <v>3.166666667</v>
      </c>
      <c r="R4208" s="14">
        <v>44966.0</v>
      </c>
      <c r="S4208" s="13"/>
      <c r="T4208" s="13">
        <f t="shared" ref="T4208:Y4208" si="4534">IF(ISBLANK(K4208)=TRUE,0,1)</f>
        <v>1</v>
      </c>
      <c r="U4208" s="13">
        <f t="shared" si="4534"/>
        <v>1</v>
      </c>
      <c r="V4208" s="13">
        <f t="shared" si="4534"/>
        <v>0</v>
      </c>
      <c r="W4208" s="13">
        <f t="shared" si="4534"/>
        <v>0</v>
      </c>
      <c r="X4208" s="13">
        <f t="shared" si="4534"/>
        <v>1</v>
      </c>
      <c r="Y4208" s="13">
        <f t="shared" si="4534"/>
        <v>1</v>
      </c>
      <c r="Z4208" s="13">
        <f t="shared" si="3023"/>
        <v>1</v>
      </c>
      <c r="AA4208" s="13"/>
      <c r="AB4208" s="13"/>
      <c r="AC4208" s="13"/>
      <c r="AD4208" s="13"/>
      <c r="AE4208" s="13"/>
      <c r="AF4208" s="13"/>
      <c r="AG4208" s="13"/>
      <c r="AH4208" s="13"/>
      <c r="AI4208" s="13"/>
      <c r="AJ4208" s="13"/>
      <c r="AK4208" s="13"/>
      <c r="AL4208" s="13"/>
      <c r="AM4208" s="13"/>
      <c r="AN4208" s="13"/>
      <c r="AO4208" s="13"/>
      <c r="AP4208" s="13"/>
      <c r="AQ4208" s="13"/>
      <c r="AR4208" s="13"/>
      <c r="AS4208" s="13"/>
    </row>
    <row r="4209" ht="14.25" customHeight="1">
      <c r="A4209" s="13" t="s">
        <v>46</v>
      </c>
      <c r="B4209" s="13" t="s">
        <v>51</v>
      </c>
      <c r="C4209" s="13" t="s">
        <v>1106</v>
      </c>
      <c r="D4209" s="13"/>
      <c r="E4209" s="13"/>
      <c r="F4209" s="13"/>
      <c r="G4209" s="13" t="s">
        <v>111</v>
      </c>
      <c r="H4209" s="13" t="s">
        <v>75</v>
      </c>
      <c r="I4209" s="14">
        <v>44908.0</v>
      </c>
      <c r="J4209" s="14"/>
      <c r="K4209" s="15">
        <v>1.0</v>
      </c>
      <c r="L4209" s="15">
        <v>1.0</v>
      </c>
      <c r="M4209" s="16"/>
      <c r="N4209" s="16"/>
      <c r="O4209" s="17"/>
      <c r="P4209" s="17"/>
      <c r="Q4209" s="13">
        <f t="shared" si="4535"/>
        <v>3.166666667</v>
      </c>
      <c r="R4209" s="13"/>
      <c r="S4209" s="13"/>
      <c r="T4209" s="13">
        <f t="shared" ref="T4209:Y4209" si="4536">IF(ISBLANK(K4209)=TRUE,0,1)</f>
        <v>1</v>
      </c>
      <c r="U4209" s="13">
        <f t="shared" si="4536"/>
        <v>1</v>
      </c>
      <c r="V4209" s="13">
        <f t="shared" si="4536"/>
        <v>0</v>
      </c>
      <c r="W4209" s="13">
        <f t="shared" si="4536"/>
        <v>0</v>
      </c>
      <c r="X4209" s="13">
        <f t="shared" si="4536"/>
        <v>0</v>
      </c>
      <c r="Y4209" s="13">
        <f t="shared" si="4536"/>
        <v>0</v>
      </c>
      <c r="Z4209" s="13">
        <f t="shared" si="3023"/>
        <v>1</v>
      </c>
      <c r="AA4209" s="13"/>
      <c r="AB4209" s="13"/>
      <c r="AC4209" s="13"/>
      <c r="AD4209" s="13"/>
      <c r="AE4209" s="13"/>
      <c r="AF4209" s="13"/>
      <c r="AG4209" s="13"/>
      <c r="AH4209" s="13"/>
      <c r="AI4209" s="13"/>
      <c r="AJ4209" s="13"/>
      <c r="AK4209" s="13"/>
      <c r="AL4209" s="13"/>
      <c r="AM4209" s="13"/>
      <c r="AN4209" s="13"/>
      <c r="AO4209" s="13"/>
      <c r="AP4209" s="13"/>
      <c r="AQ4209" s="13"/>
      <c r="AR4209" s="13"/>
      <c r="AS4209" s="13"/>
    </row>
    <row r="4210" ht="14.25" customHeight="1">
      <c r="A4210" s="13" t="s">
        <v>46</v>
      </c>
      <c r="B4210" s="13" t="s">
        <v>51</v>
      </c>
      <c r="C4210" s="13" t="s">
        <v>2127</v>
      </c>
      <c r="D4210" s="13"/>
      <c r="E4210" s="13"/>
      <c r="F4210" s="13"/>
      <c r="G4210" s="13" t="s">
        <v>111</v>
      </c>
      <c r="H4210" s="13" t="s">
        <v>75</v>
      </c>
      <c r="I4210" s="14">
        <v>44908.0</v>
      </c>
      <c r="J4210" s="14"/>
      <c r="K4210" s="15">
        <v>1.0</v>
      </c>
      <c r="L4210" s="15">
        <v>1.0</v>
      </c>
      <c r="M4210" s="16"/>
      <c r="N4210" s="16"/>
      <c r="O4210" s="17"/>
      <c r="P4210" s="17"/>
      <c r="Q4210" s="13">
        <f t="shared" si="4535"/>
        <v>2</v>
      </c>
      <c r="R4210" s="13"/>
      <c r="S4210" s="13"/>
      <c r="T4210" s="13">
        <f t="shared" ref="T4210:Y4210" si="4537">IF(ISBLANK(K4210)=TRUE,0,1)</f>
        <v>1</v>
      </c>
      <c r="U4210" s="13">
        <f t="shared" si="4537"/>
        <v>1</v>
      </c>
      <c r="V4210" s="13">
        <f t="shared" si="4537"/>
        <v>0</v>
      </c>
      <c r="W4210" s="13">
        <f t="shared" si="4537"/>
        <v>0</v>
      </c>
      <c r="X4210" s="13">
        <f t="shared" si="4537"/>
        <v>0</v>
      </c>
      <c r="Y4210" s="13">
        <f t="shared" si="4537"/>
        <v>0</v>
      </c>
      <c r="Z4210" s="13">
        <f t="shared" si="3023"/>
        <v>1</v>
      </c>
      <c r="AA4210" s="13"/>
      <c r="AB4210" s="13"/>
      <c r="AC4210" s="13"/>
      <c r="AD4210" s="13"/>
      <c r="AE4210" s="13"/>
      <c r="AF4210" s="13"/>
      <c r="AG4210" s="13"/>
      <c r="AH4210" s="13"/>
      <c r="AI4210" s="13"/>
      <c r="AJ4210" s="13"/>
      <c r="AK4210" s="13"/>
      <c r="AL4210" s="13"/>
      <c r="AM4210" s="13"/>
      <c r="AN4210" s="13"/>
      <c r="AO4210" s="13"/>
      <c r="AP4210" s="13"/>
      <c r="AQ4210" s="13"/>
      <c r="AR4210" s="13"/>
      <c r="AS4210" s="13"/>
    </row>
    <row r="4211" ht="14.25" customHeight="1">
      <c r="A4211" s="13" t="s">
        <v>46</v>
      </c>
      <c r="B4211" s="13" t="s">
        <v>51</v>
      </c>
      <c r="C4211" s="13" t="s">
        <v>2127</v>
      </c>
      <c r="D4211" s="13" t="s">
        <v>174</v>
      </c>
      <c r="E4211" s="13"/>
      <c r="F4211" s="13"/>
      <c r="G4211" s="13" t="s">
        <v>111</v>
      </c>
      <c r="H4211" s="13" t="s">
        <v>75</v>
      </c>
      <c r="I4211" s="14"/>
      <c r="J4211" s="14"/>
      <c r="K4211" s="15">
        <v>1.0</v>
      </c>
      <c r="L4211" s="15">
        <v>1.0</v>
      </c>
      <c r="M4211" s="16"/>
      <c r="N4211" s="16"/>
      <c r="O4211" s="17"/>
      <c r="P4211" s="17"/>
      <c r="Q4211" s="13"/>
      <c r="R4211" s="13"/>
      <c r="S4211" s="13"/>
      <c r="T4211" s="13"/>
      <c r="U4211" s="13"/>
      <c r="V4211" s="13"/>
      <c r="W4211" s="13"/>
      <c r="X4211" s="13"/>
      <c r="Y4211" s="13"/>
      <c r="Z4211" s="13">
        <v>1.0</v>
      </c>
      <c r="AA4211" s="13"/>
      <c r="AB4211" s="13"/>
      <c r="AC4211" s="13"/>
      <c r="AD4211" s="13"/>
      <c r="AE4211" s="13"/>
      <c r="AF4211" s="13"/>
      <c r="AG4211" s="13"/>
      <c r="AH4211" s="13"/>
      <c r="AI4211" s="13"/>
      <c r="AJ4211" s="13"/>
      <c r="AK4211" s="13"/>
      <c r="AL4211" s="13"/>
      <c r="AM4211" s="13"/>
      <c r="AN4211" s="13"/>
      <c r="AO4211" s="13"/>
      <c r="AP4211" s="13"/>
      <c r="AQ4211" s="13"/>
      <c r="AR4211" s="13"/>
      <c r="AS4211" s="13"/>
    </row>
    <row r="4212" ht="14.25" customHeight="1">
      <c r="A4212" s="13" t="s">
        <v>46</v>
      </c>
      <c r="B4212" s="13" t="s">
        <v>47</v>
      </c>
      <c r="C4212" s="13" t="s">
        <v>2128</v>
      </c>
      <c r="D4212" s="13"/>
      <c r="E4212" s="13"/>
      <c r="F4212" s="13"/>
      <c r="G4212" s="13" t="s">
        <v>74</v>
      </c>
      <c r="H4212" s="13" t="s">
        <v>75</v>
      </c>
      <c r="I4212" s="13"/>
      <c r="J4212" s="13"/>
      <c r="K4212" s="15">
        <v>0.0</v>
      </c>
      <c r="L4212" s="15">
        <v>0.0</v>
      </c>
      <c r="M4212" s="16"/>
      <c r="N4212" s="16"/>
      <c r="O4212" s="17"/>
      <c r="P4212" s="17"/>
      <c r="Q4212" s="13">
        <f t="shared" ref="Q4212:Q4214" si="4539">K4211+L4211+M4211+N4211+O4211+P4211/6</f>
        <v>2</v>
      </c>
      <c r="R4212" s="13"/>
      <c r="S4212" s="13"/>
      <c r="T4212" s="13">
        <f t="shared" ref="T4212:Y4212" si="4538">IF(ISBLANK(K4212)=TRUE,0,1)</f>
        <v>1</v>
      </c>
      <c r="U4212" s="13">
        <f t="shared" si="4538"/>
        <v>1</v>
      </c>
      <c r="V4212" s="13">
        <f t="shared" si="4538"/>
        <v>0</v>
      </c>
      <c r="W4212" s="13">
        <f t="shared" si="4538"/>
        <v>0</v>
      </c>
      <c r="X4212" s="13">
        <f t="shared" si="4538"/>
        <v>0</v>
      </c>
      <c r="Y4212" s="13">
        <f t="shared" si="4538"/>
        <v>0</v>
      </c>
      <c r="Z4212" s="13">
        <f t="shared" ref="Z4212:Z4442" si="4541">IF(SUM(T4212:Y4212)=0,"NA",AVERAGE(K4212:P4212))</f>
        <v>0</v>
      </c>
      <c r="AA4212" s="13" t="s">
        <v>378</v>
      </c>
      <c r="AB4212" s="13"/>
      <c r="AC4212" s="13"/>
      <c r="AD4212" s="13"/>
      <c r="AE4212" s="13"/>
      <c r="AF4212" s="13"/>
      <c r="AG4212" s="13"/>
      <c r="AH4212" s="13"/>
      <c r="AI4212" s="13"/>
      <c r="AJ4212" s="13"/>
      <c r="AK4212" s="13"/>
      <c r="AL4212" s="13"/>
      <c r="AM4212" s="13"/>
      <c r="AN4212" s="13"/>
      <c r="AO4212" s="13"/>
      <c r="AP4212" s="13"/>
      <c r="AQ4212" s="13"/>
      <c r="AR4212" s="13"/>
      <c r="AS4212" s="13"/>
    </row>
    <row r="4213" ht="14.25" customHeight="1">
      <c r="A4213" s="13" t="s">
        <v>46</v>
      </c>
      <c r="B4213" s="13" t="s">
        <v>47</v>
      </c>
      <c r="C4213" s="13" t="s">
        <v>2129</v>
      </c>
      <c r="D4213" s="13"/>
      <c r="E4213" s="13"/>
      <c r="F4213" s="13"/>
      <c r="G4213" s="13" t="s">
        <v>74</v>
      </c>
      <c r="H4213" s="13" t="s">
        <v>75</v>
      </c>
      <c r="I4213" s="13"/>
      <c r="J4213" s="13"/>
      <c r="K4213" s="15">
        <v>0.0</v>
      </c>
      <c r="L4213" s="15">
        <v>0.0</v>
      </c>
      <c r="M4213" s="16"/>
      <c r="N4213" s="16"/>
      <c r="O4213" s="17"/>
      <c r="P4213" s="17"/>
      <c r="Q4213" s="13">
        <f t="shared" si="4539"/>
        <v>0</v>
      </c>
      <c r="R4213" s="13"/>
      <c r="S4213" s="13"/>
      <c r="T4213" s="13">
        <f t="shared" ref="T4213:Y4213" si="4540">IF(ISBLANK(K4213)=TRUE,0,1)</f>
        <v>1</v>
      </c>
      <c r="U4213" s="13">
        <f t="shared" si="4540"/>
        <v>1</v>
      </c>
      <c r="V4213" s="13">
        <f t="shared" si="4540"/>
        <v>0</v>
      </c>
      <c r="W4213" s="13">
        <f t="shared" si="4540"/>
        <v>0</v>
      </c>
      <c r="X4213" s="13">
        <f t="shared" si="4540"/>
        <v>0</v>
      </c>
      <c r="Y4213" s="13">
        <f t="shared" si="4540"/>
        <v>0</v>
      </c>
      <c r="Z4213" s="13">
        <f t="shared" si="4541"/>
        <v>0</v>
      </c>
      <c r="AA4213" s="13" t="s">
        <v>378</v>
      </c>
      <c r="AB4213" s="13"/>
      <c r="AC4213" s="13"/>
      <c r="AD4213" s="13"/>
      <c r="AE4213" s="13"/>
      <c r="AF4213" s="13"/>
      <c r="AG4213" s="13"/>
      <c r="AH4213" s="13"/>
      <c r="AI4213" s="13"/>
      <c r="AJ4213" s="13"/>
      <c r="AK4213" s="13"/>
      <c r="AL4213" s="13"/>
      <c r="AM4213" s="13"/>
      <c r="AN4213" s="13"/>
      <c r="AO4213" s="13"/>
      <c r="AP4213" s="13"/>
      <c r="AQ4213" s="13"/>
      <c r="AR4213" s="13"/>
      <c r="AS4213" s="13"/>
    </row>
    <row r="4214" ht="14.25" customHeight="1">
      <c r="A4214" s="13" t="s">
        <v>46</v>
      </c>
      <c r="B4214" s="13" t="s">
        <v>51</v>
      </c>
      <c r="C4214" s="13" t="s">
        <v>1109</v>
      </c>
      <c r="D4214" s="13"/>
      <c r="E4214" s="13"/>
      <c r="F4214" s="13"/>
      <c r="G4214" s="13" t="s">
        <v>111</v>
      </c>
      <c r="H4214" s="13" t="s">
        <v>75</v>
      </c>
      <c r="I4214" s="14">
        <v>44908.0</v>
      </c>
      <c r="J4214" s="14"/>
      <c r="K4214" s="15">
        <v>1.0</v>
      </c>
      <c r="L4214" s="15">
        <v>1.0</v>
      </c>
      <c r="M4214" s="16"/>
      <c r="N4214" s="16"/>
      <c r="O4214" s="17">
        <v>1.0</v>
      </c>
      <c r="P4214" s="17">
        <v>1.0</v>
      </c>
      <c r="Q4214" s="13">
        <f t="shared" si="4539"/>
        <v>0</v>
      </c>
      <c r="R4214" s="13"/>
      <c r="S4214" s="13"/>
      <c r="T4214" s="13">
        <f t="shared" ref="T4214:Y4214" si="4542">IF(ISBLANK(K4214)=TRUE,0,1)</f>
        <v>1</v>
      </c>
      <c r="U4214" s="13">
        <f t="shared" si="4542"/>
        <v>1</v>
      </c>
      <c r="V4214" s="13">
        <f t="shared" si="4542"/>
        <v>0</v>
      </c>
      <c r="W4214" s="13">
        <f t="shared" si="4542"/>
        <v>0</v>
      </c>
      <c r="X4214" s="13">
        <f t="shared" si="4542"/>
        <v>1</v>
      </c>
      <c r="Y4214" s="13">
        <f t="shared" si="4542"/>
        <v>1</v>
      </c>
      <c r="Z4214" s="13">
        <f t="shared" si="4541"/>
        <v>1</v>
      </c>
      <c r="AA4214" s="13"/>
      <c r="AB4214" s="13"/>
      <c r="AC4214" s="13"/>
      <c r="AD4214" s="13"/>
      <c r="AE4214" s="13"/>
      <c r="AF4214" s="13"/>
      <c r="AG4214" s="13"/>
      <c r="AH4214" s="13"/>
      <c r="AI4214" s="13"/>
      <c r="AJ4214" s="13"/>
      <c r="AK4214" s="13"/>
      <c r="AL4214" s="13"/>
      <c r="AM4214" s="13"/>
      <c r="AN4214" s="13"/>
      <c r="AO4214" s="13"/>
      <c r="AP4214" s="13"/>
      <c r="AQ4214" s="13"/>
      <c r="AR4214" s="13"/>
      <c r="AS4214" s="13"/>
    </row>
    <row r="4215" ht="14.25" customHeight="1">
      <c r="A4215" s="13" t="s">
        <v>46</v>
      </c>
      <c r="B4215" s="13" t="s">
        <v>51</v>
      </c>
      <c r="C4215" s="13" t="s">
        <v>2130</v>
      </c>
      <c r="D4215" s="13"/>
      <c r="E4215" s="13"/>
      <c r="F4215" s="13"/>
      <c r="G4215" s="13" t="s">
        <v>111</v>
      </c>
      <c r="H4215" s="13" t="s">
        <v>75</v>
      </c>
      <c r="I4215" s="14">
        <v>44908.0</v>
      </c>
      <c r="J4215" s="14"/>
      <c r="K4215" s="15">
        <v>1.0</v>
      </c>
      <c r="L4215" s="15">
        <v>1.0</v>
      </c>
      <c r="M4215" s="16"/>
      <c r="N4215" s="16"/>
      <c r="O4215" s="17">
        <v>1.0</v>
      </c>
      <c r="P4215" s="17">
        <v>1.0</v>
      </c>
      <c r="Q4215" s="13">
        <f>K4213+L4213+M4213+N4213+O4213+P4213/6</f>
        <v>0</v>
      </c>
      <c r="R4215" s="14">
        <v>44966.0</v>
      </c>
      <c r="S4215" s="13"/>
      <c r="T4215" s="13">
        <f t="shared" ref="T4215:Y4215" si="4543">IF(ISBLANK(K4215)=TRUE,0,1)</f>
        <v>1</v>
      </c>
      <c r="U4215" s="13">
        <f t="shared" si="4543"/>
        <v>1</v>
      </c>
      <c r="V4215" s="13">
        <f t="shared" si="4543"/>
        <v>0</v>
      </c>
      <c r="W4215" s="13">
        <f t="shared" si="4543"/>
        <v>0</v>
      </c>
      <c r="X4215" s="13">
        <f t="shared" si="4543"/>
        <v>1</v>
      </c>
      <c r="Y4215" s="13">
        <f t="shared" si="4543"/>
        <v>1</v>
      </c>
      <c r="Z4215" s="13">
        <f t="shared" si="4541"/>
        <v>1</v>
      </c>
      <c r="AA4215" s="13"/>
      <c r="AB4215" s="13"/>
      <c r="AC4215" s="13"/>
      <c r="AD4215" s="13"/>
      <c r="AE4215" s="13"/>
      <c r="AF4215" s="13"/>
      <c r="AG4215" s="13"/>
      <c r="AH4215" s="13"/>
      <c r="AI4215" s="13"/>
      <c r="AJ4215" s="13"/>
      <c r="AK4215" s="13"/>
      <c r="AL4215" s="13"/>
      <c r="AM4215" s="13"/>
      <c r="AN4215" s="13"/>
      <c r="AO4215" s="13"/>
      <c r="AP4215" s="13"/>
      <c r="AQ4215" s="13"/>
      <c r="AR4215" s="13"/>
      <c r="AS4215" s="13"/>
    </row>
    <row r="4216" ht="14.25" customHeight="1">
      <c r="A4216" s="42" t="s">
        <v>46</v>
      </c>
      <c r="B4216" s="42" t="s">
        <v>51</v>
      </c>
      <c r="C4216" s="42" t="s">
        <v>2130</v>
      </c>
      <c r="D4216" s="43" t="s">
        <v>174</v>
      </c>
      <c r="E4216" s="13"/>
      <c r="F4216" s="13"/>
      <c r="G4216" s="13" t="s">
        <v>111</v>
      </c>
      <c r="H4216" s="13" t="s">
        <v>75</v>
      </c>
      <c r="I4216" s="14">
        <v>44908.0</v>
      </c>
      <c r="J4216" s="14"/>
      <c r="K4216" s="15">
        <v>1.0</v>
      </c>
      <c r="L4216" s="15">
        <v>1.0</v>
      </c>
      <c r="M4216" s="16"/>
      <c r="N4216" s="16"/>
      <c r="O4216" s="17"/>
      <c r="P4216" s="17"/>
      <c r="Q4216" s="13"/>
      <c r="R4216" s="14"/>
      <c r="S4216" s="13"/>
      <c r="T4216" s="13">
        <f t="shared" ref="T4216:Y4216" si="4544">IF(ISBLANK(K4216)=TRUE,0,1)</f>
        <v>1</v>
      </c>
      <c r="U4216" s="13">
        <f t="shared" si="4544"/>
        <v>1</v>
      </c>
      <c r="V4216" s="13">
        <f t="shared" si="4544"/>
        <v>0</v>
      </c>
      <c r="W4216" s="13">
        <f t="shared" si="4544"/>
        <v>0</v>
      </c>
      <c r="X4216" s="13">
        <f t="shared" si="4544"/>
        <v>0</v>
      </c>
      <c r="Y4216" s="13">
        <f t="shared" si="4544"/>
        <v>0</v>
      </c>
      <c r="Z4216" s="13">
        <f t="shared" si="4541"/>
        <v>1</v>
      </c>
      <c r="AA4216" s="13"/>
      <c r="AB4216" s="13"/>
      <c r="AC4216" s="13"/>
      <c r="AD4216" s="13"/>
      <c r="AE4216" s="13"/>
      <c r="AF4216" s="13"/>
      <c r="AG4216" s="13"/>
      <c r="AH4216" s="13"/>
      <c r="AI4216" s="13"/>
      <c r="AJ4216" s="13"/>
      <c r="AK4216" s="13"/>
      <c r="AL4216" s="13"/>
      <c r="AM4216" s="13"/>
      <c r="AN4216" s="13"/>
      <c r="AO4216" s="13"/>
      <c r="AP4216" s="13"/>
      <c r="AQ4216" s="13"/>
      <c r="AR4216" s="13"/>
      <c r="AS4216" s="13"/>
    </row>
    <row r="4217" ht="14.25" customHeight="1">
      <c r="A4217" s="42" t="s">
        <v>46</v>
      </c>
      <c r="B4217" s="42" t="s">
        <v>51</v>
      </c>
      <c r="C4217" s="42" t="s">
        <v>2130</v>
      </c>
      <c r="D4217" s="43" t="s">
        <v>175</v>
      </c>
      <c r="E4217" s="13"/>
      <c r="F4217" s="13"/>
      <c r="G4217" s="13" t="s">
        <v>111</v>
      </c>
      <c r="H4217" s="13" t="s">
        <v>75</v>
      </c>
      <c r="I4217" s="14">
        <v>44908.0</v>
      </c>
      <c r="J4217" s="14"/>
      <c r="K4217" s="15">
        <v>1.0</v>
      </c>
      <c r="L4217" s="15">
        <v>1.0</v>
      </c>
      <c r="M4217" s="16"/>
      <c r="N4217" s="16"/>
      <c r="O4217" s="17"/>
      <c r="P4217" s="17"/>
      <c r="Q4217" s="13"/>
      <c r="R4217" s="14"/>
      <c r="S4217" s="13"/>
      <c r="T4217" s="13">
        <f t="shared" ref="T4217:Y4217" si="4545">IF(ISBLANK(K4217)=TRUE,0,1)</f>
        <v>1</v>
      </c>
      <c r="U4217" s="13">
        <f t="shared" si="4545"/>
        <v>1</v>
      </c>
      <c r="V4217" s="13">
        <f t="shared" si="4545"/>
        <v>0</v>
      </c>
      <c r="W4217" s="13">
        <f t="shared" si="4545"/>
        <v>0</v>
      </c>
      <c r="X4217" s="13">
        <f t="shared" si="4545"/>
        <v>0</v>
      </c>
      <c r="Y4217" s="13">
        <f t="shared" si="4545"/>
        <v>0</v>
      </c>
      <c r="Z4217" s="13">
        <f t="shared" si="4541"/>
        <v>1</v>
      </c>
      <c r="AA4217" s="13"/>
      <c r="AB4217" s="13"/>
      <c r="AC4217" s="13"/>
      <c r="AD4217" s="13"/>
      <c r="AE4217" s="13"/>
      <c r="AF4217" s="13"/>
      <c r="AG4217" s="13"/>
      <c r="AH4217" s="13"/>
      <c r="AI4217" s="13"/>
      <c r="AJ4217" s="13"/>
      <c r="AK4217" s="13"/>
      <c r="AL4217" s="13"/>
      <c r="AM4217" s="13"/>
      <c r="AN4217" s="13"/>
      <c r="AO4217" s="13"/>
      <c r="AP4217" s="13"/>
      <c r="AQ4217" s="13"/>
      <c r="AR4217" s="13"/>
      <c r="AS4217" s="13"/>
    </row>
    <row r="4218" ht="14.25" customHeight="1">
      <c r="A4218" s="13" t="s">
        <v>46</v>
      </c>
      <c r="B4218" s="13" t="s">
        <v>51</v>
      </c>
      <c r="C4218" s="13" t="s">
        <v>2131</v>
      </c>
      <c r="D4218" s="13"/>
      <c r="E4218" s="13"/>
      <c r="F4218" s="13"/>
      <c r="G4218" s="13" t="s">
        <v>111</v>
      </c>
      <c r="H4218" s="13" t="s">
        <v>75</v>
      </c>
      <c r="I4218" s="14">
        <v>44908.0</v>
      </c>
      <c r="J4218" s="14"/>
      <c r="K4218" s="15">
        <v>1.0</v>
      </c>
      <c r="L4218" s="15">
        <v>1.0</v>
      </c>
      <c r="M4218" s="16"/>
      <c r="N4218" s="16"/>
      <c r="O4218" s="17">
        <v>1.0</v>
      </c>
      <c r="P4218" s="17">
        <v>1.0</v>
      </c>
      <c r="Q4218" s="13">
        <f>K4215+L4215+M4215+N4215+O4215+P4215/6</f>
        <v>3.166666667</v>
      </c>
      <c r="R4218" s="14">
        <v>44966.0</v>
      </c>
      <c r="S4218" s="13"/>
      <c r="T4218" s="13">
        <f t="shared" ref="T4218:Y4218" si="4546">IF(ISBLANK(K4218)=TRUE,0,1)</f>
        <v>1</v>
      </c>
      <c r="U4218" s="13">
        <f t="shared" si="4546"/>
        <v>1</v>
      </c>
      <c r="V4218" s="13">
        <f t="shared" si="4546"/>
        <v>0</v>
      </c>
      <c r="W4218" s="13">
        <f t="shared" si="4546"/>
        <v>0</v>
      </c>
      <c r="X4218" s="13">
        <f t="shared" si="4546"/>
        <v>1</v>
      </c>
      <c r="Y4218" s="13">
        <f t="shared" si="4546"/>
        <v>1</v>
      </c>
      <c r="Z4218" s="13">
        <f t="shared" si="4541"/>
        <v>1</v>
      </c>
      <c r="AA4218" s="13"/>
      <c r="AB4218" s="13"/>
      <c r="AC4218" s="13"/>
      <c r="AD4218" s="13"/>
      <c r="AE4218" s="13"/>
      <c r="AF4218" s="13"/>
      <c r="AG4218" s="13"/>
      <c r="AH4218" s="13"/>
      <c r="AI4218" s="13"/>
      <c r="AJ4218" s="13"/>
      <c r="AK4218" s="13"/>
      <c r="AL4218" s="13"/>
      <c r="AM4218" s="13"/>
      <c r="AN4218" s="13"/>
      <c r="AO4218" s="13"/>
      <c r="AP4218" s="13"/>
      <c r="AQ4218" s="13"/>
      <c r="AR4218" s="13"/>
      <c r="AS4218" s="13"/>
    </row>
    <row r="4219" ht="14.25" customHeight="1">
      <c r="A4219" s="13" t="s">
        <v>46</v>
      </c>
      <c r="B4219" s="13" t="s">
        <v>51</v>
      </c>
      <c r="C4219" s="13" t="s">
        <v>2132</v>
      </c>
      <c r="D4219" s="13"/>
      <c r="E4219" s="13"/>
      <c r="F4219" s="13"/>
      <c r="G4219" s="13" t="s">
        <v>111</v>
      </c>
      <c r="H4219" s="13" t="s">
        <v>75</v>
      </c>
      <c r="I4219" s="14">
        <v>44908.0</v>
      </c>
      <c r="J4219" s="14"/>
      <c r="K4219" s="15">
        <v>1.0</v>
      </c>
      <c r="L4219" s="15">
        <v>1.0</v>
      </c>
      <c r="M4219" s="16"/>
      <c r="N4219" s="16"/>
      <c r="O4219" s="17">
        <v>1.0</v>
      </c>
      <c r="P4219" s="17">
        <v>1.0</v>
      </c>
      <c r="Q4219" s="13">
        <f t="shared" ref="Q4219:Q4223" si="4548">K4218+L4218+M4218+N4218+O4218+P4218/6</f>
        <v>3.166666667</v>
      </c>
      <c r="R4219" s="14">
        <v>44966.0</v>
      </c>
      <c r="S4219" s="13"/>
      <c r="T4219" s="13">
        <f t="shared" ref="T4219:Y4219" si="4547">IF(ISBLANK(K4219)=TRUE,0,1)</f>
        <v>1</v>
      </c>
      <c r="U4219" s="13">
        <f t="shared" si="4547"/>
        <v>1</v>
      </c>
      <c r="V4219" s="13">
        <f t="shared" si="4547"/>
        <v>0</v>
      </c>
      <c r="W4219" s="13">
        <f t="shared" si="4547"/>
        <v>0</v>
      </c>
      <c r="X4219" s="13">
        <f t="shared" si="4547"/>
        <v>1</v>
      </c>
      <c r="Y4219" s="13">
        <f t="shared" si="4547"/>
        <v>1</v>
      </c>
      <c r="Z4219" s="13">
        <f t="shared" si="4541"/>
        <v>1</v>
      </c>
      <c r="AA4219" s="13"/>
      <c r="AB4219" s="13"/>
      <c r="AC4219" s="13"/>
      <c r="AD4219" s="13"/>
      <c r="AE4219" s="13"/>
      <c r="AF4219" s="13"/>
      <c r="AG4219" s="13"/>
      <c r="AH4219" s="13"/>
      <c r="AI4219" s="13"/>
      <c r="AJ4219" s="13"/>
      <c r="AK4219" s="13"/>
      <c r="AL4219" s="13"/>
      <c r="AM4219" s="13"/>
      <c r="AN4219" s="13"/>
      <c r="AO4219" s="13"/>
      <c r="AP4219" s="13"/>
      <c r="AQ4219" s="13"/>
      <c r="AR4219" s="13"/>
      <c r="AS4219" s="13"/>
    </row>
    <row r="4220" ht="14.25" customHeight="1">
      <c r="A4220" s="13" t="s">
        <v>46</v>
      </c>
      <c r="B4220" s="13" t="s">
        <v>51</v>
      </c>
      <c r="C4220" s="13" t="s">
        <v>2133</v>
      </c>
      <c r="D4220" s="13"/>
      <c r="E4220" s="13"/>
      <c r="F4220" s="13"/>
      <c r="G4220" s="13" t="s">
        <v>111</v>
      </c>
      <c r="H4220" s="13" t="s">
        <v>75</v>
      </c>
      <c r="I4220" s="14">
        <v>44917.0</v>
      </c>
      <c r="J4220" s="14"/>
      <c r="K4220" s="15">
        <v>1.0</v>
      </c>
      <c r="L4220" s="15">
        <v>1.0</v>
      </c>
      <c r="M4220" s="16"/>
      <c r="N4220" s="16"/>
      <c r="O4220" s="17">
        <v>1.0</v>
      </c>
      <c r="P4220" s="17">
        <v>1.0</v>
      </c>
      <c r="Q4220" s="13">
        <f t="shared" si="4548"/>
        <v>3.166666667</v>
      </c>
      <c r="R4220" s="14">
        <v>44966.0</v>
      </c>
      <c r="S4220" s="13"/>
      <c r="T4220" s="13">
        <f t="shared" ref="T4220:Y4220" si="4549">IF(ISBLANK(K4220)=TRUE,0,1)</f>
        <v>1</v>
      </c>
      <c r="U4220" s="13">
        <f t="shared" si="4549"/>
        <v>1</v>
      </c>
      <c r="V4220" s="13">
        <f t="shared" si="4549"/>
        <v>0</v>
      </c>
      <c r="W4220" s="13">
        <f t="shared" si="4549"/>
        <v>0</v>
      </c>
      <c r="X4220" s="13">
        <f t="shared" si="4549"/>
        <v>1</v>
      </c>
      <c r="Y4220" s="13">
        <f t="shared" si="4549"/>
        <v>1</v>
      </c>
      <c r="Z4220" s="13">
        <f t="shared" si="4541"/>
        <v>1</v>
      </c>
      <c r="AA4220" s="13" t="s">
        <v>819</v>
      </c>
      <c r="AB4220" s="13"/>
      <c r="AC4220" s="13"/>
      <c r="AD4220" s="13"/>
      <c r="AE4220" s="13"/>
      <c r="AF4220" s="13"/>
      <c r="AG4220" s="13"/>
      <c r="AH4220" s="13"/>
      <c r="AI4220" s="13"/>
      <c r="AJ4220" s="13"/>
      <c r="AK4220" s="13"/>
      <c r="AL4220" s="13"/>
      <c r="AM4220" s="13"/>
      <c r="AN4220" s="13"/>
      <c r="AO4220" s="13"/>
      <c r="AP4220" s="13"/>
      <c r="AQ4220" s="13"/>
      <c r="AR4220" s="13"/>
      <c r="AS4220" s="13"/>
    </row>
    <row r="4221" ht="14.25" customHeight="1">
      <c r="A4221" s="13" t="s">
        <v>46</v>
      </c>
      <c r="B4221" s="13" t="s">
        <v>51</v>
      </c>
      <c r="C4221" s="13" t="s">
        <v>2134</v>
      </c>
      <c r="D4221" s="13"/>
      <c r="E4221" s="13"/>
      <c r="F4221" s="13"/>
      <c r="G4221" s="13" t="s">
        <v>111</v>
      </c>
      <c r="H4221" s="13" t="s">
        <v>75</v>
      </c>
      <c r="I4221" s="14">
        <v>44917.0</v>
      </c>
      <c r="J4221" s="14"/>
      <c r="K4221" s="15">
        <v>1.0</v>
      </c>
      <c r="L4221" s="15">
        <v>1.0</v>
      </c>
      <c r="M4221" s="16"/>
      <c r="N4221" s="16"/>
      <c r="O4221" s="17">
        <v>1.0</v>
      </c>
      <c r="P4221" s="17">
        <v>1.0</v>
      </c>
      <c r="Q4221" s="13">
        <f t="shared" si="4548"/>
        <v>3.166666667</v>
      </c>
      <c r="R4221" s="14">
        <v>44966.0</v>
      </c>
      <c r="S4221" s="13"/>
      <c r="T4221" s="13">
        <f t="shared" ref="T4221:Y4221" si="4550">IF(ISBLANK(K4221)=TRUE,0,1)</f>
        <v>1</v>
      </c>
      <c r="U4221" s="13">
        <f t="shared" si="4550"/>
        <v>1</v>
      </c>
      <c r="V4221" s="13">
        <f t="shared" si="4550"/>
        <v>0</v>
      </c>
      <c r="W4221" s="13">
        <f t="shared" si="4550"/>
        <v>0</v>
      </c>
      <c r="X4221" s="13">
        <f t="shared" si="4550"/>
        <v>1</v>
      </c>
      <c r="Y4221" s="13">
        <f t="shared" si="4550"/>
        <v>1</v>
      </c>
      <c r="Z4221" s="13">
        <f t="shared" si="4541"/>
        <v>1</v>
      </c>
      <c r="AA4221" s="13" t="s">
        <v>819</v>
      </c>
      <c r="AB4221" s="13"/>
      <c r="AC4221" s="13"/>
      <c r="AD4221" s="13"/>
      <c r="AE4221" s="13"/>
      <c r="AF4221" s="13"/>
      <c r="AG4221" s="13"/>
      <c r="AH4221" s="13"/>
      <c r="AI4221" s="13"/>
      <c r="AJ4221" s="13"/>
      <c r="AK4221" s="13"/>
      <c r="AL4221" s="13"/>
      <c r="AM4221" s="13"/>
      <c r="AN4221" s="13"/>
      <c r="AO4221" s="13"/>
      <c r="AP4221" s="13"/>
      <c r="AQ4221" s="13"/>
      <c r="AR4221" s="13"/>
      <c r="AS4221" s="13"/>
    </row>
    <row r="4222" ht="14.25" customHeight="1">
      <c r="A4222" s="13" t="s">
        <v>46</v>
      </c>
      <c r="B4222" s="13" t="s">
        <v>51</v>
      </c>
      <c r="C4222" s="13" t="s">
        <v>2135</v>
      </c>
      <c r="D4222" s="13"/>
      <c r="E4222" s="13"/>
      <c r="F4222" s="13"/>
      <c r="G4222" s="13" t="s">
        <v>111</v>
      </c>
      <c r="H4222" s="13" t="s">
        <v>75</v>
      </c>
      <c r="I4222" s="14">
        <v>44917.0</v>
      </c>
      <c r="J4222" s="14"/>
      <c r="K4222" s="15">
        <v>1.0</v>
      </c>
      <c r="L4222" s="15">
        <v>1.0</v>
      </c>
      <c r="M4222" s="16"/>
      <c r="N4222" s="16"/>
      <c r="O4222" s="17">
        <v>1.0</v>
      </c>
      <c r="P4222" s="17">
        <v>1.0</v>
      </c>
      <c r="Q4222" s="13">
        <f t="shared" si="4548"/>
        <v>3.166666667</v>
      </c>
      <c r="R4222" s="14">
        <v>44966.0</v>
      </c>
      <c r="S4222" s="13"/>
      <c r="T4222" s="13">
        <f t="shared" ref="T4222:Y4222" si="4551">IF(ISBLANK(K4222)=TRUE,0,1)</f>
        <v>1</v>
      </c>
      <c r="U4222" s="13">
        <f t="shared" si="4551"/>
        <v>1</v>
      </c>
      <c r="V4222" s="13">
        <f t="shared" si="4551"/>
        <v>0</v>
      </c>
      <c r="W4222" s="13">
        <f t="shared" si="4551"/>
        <v>0</v>
      </c>
      <c r="X4222" s="13">
        <f t="shared" si="4551"/>
        <v>1</v>
      </c>
      <c r="Y4222" s="13">
        <f t="shared" si="4551"/>
        <v>1</v>
      </c>
      <c r="Z4222" s="13">
        <f t="shared" si="4541"/>
        <v>1</v>
      </c>
      <c r="AA4222" s="13" t="s">
        <v>874</v>
      </c>
      <c r="AB4222" s="13"/>
      <c r="AC4222" s="13"/>
      <c r="AD4222" s="13"/>
      <c r="AE4222" s="13"/>
      <c r="AF4222" s="13"/>
      <c r="AG4222" s="13"/>
      <c r="AH4222" s="13"/>
      <c r="AI4222" s="13"/>
      <c r="AJ4222" s="13"/>
      <c r="AK4222" s="13"/>
      <c r="AL4222" s="13"/>
      <c r="AM4222" s="13"/>
      <c r="AN4222" s="13"/>
      <c r="AO4222" s="13"/>
      <c r="AP4222" s="13"/>
      <c r="AQ4222" s="13"/>
      <c r="AR4222" s="13"/>
      <c r="AS4222" s="13"/>
    </row>
    <row r="4223" ht="14.25" customHeight="1">
      <c r="A4223" s="13" t="s">
        <v>46</v>
      </c>
      <c r="B4223" s="13" t="s">
        <v>51</v>
      </c>
      <c r="C4223" s="13" t="s">
        <v>2136</v>
      </c>
      <c r="D4223" s="13"/>
      <c r="E4223" s="13"/>
      <c r="F4223" s="13"/>
      <c r="G4223" s="13" t="s">
        <v>111</v>
      </c>
      <c r="H4223" s="13" t="s">
        <v>75</v>
      </c>
      <c r="I4223" s="14">
        <v>44917.0</v>
      </c>
      <c r="J4223" s="14"/>
      <c r="K4223" s="15">
        <v>1.0</v>
      </c>
      <c r="L4223" s="15">
        <v>1.0</v>
      </c>
      <c r="M4223" s="16"/>
      <c r="N4223" s="16"/>
      <c r="O4223" s="17">
        <v>1.0</v>
      </c>
      <c r="P4223" s="17">
        <v>1.0</v>
      </c>
      <c r="Q4223" s="13">
        <f t="shared" si="4548"/>
        <v>3.166666667</v>
      </c>
      <c r="R4223" s="14">
        <v>44966.0</v>
      </c>
      <c r="S4223" s="13"/>
      <c r="T4223" s="13">
        <f t="shared" ref="T4223:Y4223" si="4552">IF(ISBLANK(K4223)=TRUE,0,1)</f>
        <v>1</v>
      </c>
      <c r="U4223" s="13">
        <f t="shared" si="4552"/>
        <v>1</v>
      </c>
      <c r="V4223" s="13">
        <f t="shared" si="4552"/>
        <v>0</v>
      </c>
      <c r="W4223" s="13">
        <f t="shared" si="4552"/>
        <v>0</v>
      </c>
      <c r="X4223" s="13">
        <f t="shared" si="4552"/>
        <v>1</v>
      </c>
      <c r="Y4223" s="13">
        <f t="shared" si="4552"/>
        <v>1</v>
      </c>
      <c r="Z4223" s="13">
        <f t="shared" si="4541"/>
        <v>1</v>
      </c>
      <c r="AA4223" s="13" t="s">
        <v>819</v>
      </c>
      <c r="AB4223" s="13"/>
      <c r="AC4223" s="13"/>
      <c r="AD4223" s="13"/>
      <c r="AE4223" s="13"/>
      <c r="AF4223" s="13"/>
      <c r="AG4223" s="13"/>
      <c r="AH4223" s="13"/>
      <c r="AI4223" s="13"/>
      <c r="AJ4223" s="13"/>
      <c r="AK4223" s="13"/>
      <c r="AL4223" s="13"/>
      <c r="AM4223" s="13"/>
      <c r="AN4223" s="13"/>
      <c r="AO4223" s="13"/>
      <c r="AP4223" s="13"/>
      <c r="AQ4223" s="13"/>
      <c r="AR4223" s="13"/>
      <c r="AS4223" s="13"/>
    </row>
    <row r="4224" ht="14.25" customHeight="1">
      <c r="A4224" s="13" t="s">
        <v>46</v>
      </c>
      <c r="B4224" s="13" t="s">
        <v>51</v>
      </c>
      <c r="C4224" s="13" t="s">
        <v>1125</v>
      </c>
      <c r="D4224" s="13"/>
      <c r="E4224" s="13"/>
      <c r="F4224" s="13"/>
      <c r="G4224" s="13" t="s">
        <v>111</v>
      </c>
      <c r="H4224" s="13" t="s">
        <v>75</v>
      </c>
      <c r="I4224" s="14">
        <v>44908.0</v>
      </c>
      <c r="J4224" s="14"/>
      <c r="K4224" s="15">
        <v>1.0</v>
      </c>
      <c r="L4224" s="15">
        <v>1.0</v>
      </c>
      <c r="M4224" s="16"/>
      <c r="N4224" s="16"/>
      <c r="O4224" s="17"/>
      <c r="P4224" s="17"/>
      <c r="Q4224" s="13">
        <f>K4220+L4220+M4220+N4220+O4220+P4220/6</f>
        <v>3.166666667</v>
      </c>
      <c r="R4224" s="14"/>
      <c r="S4224" s="13"/>
      <c r="T4224" s="13">
        <f t="shared" ref="T4224:Y4224" si="4553">IF(ISBLANK(K4224)=TRUE,0,1)</f>
        <v>1</v>
      </c>
      <c r="U4224" s="13">
        <f t="shared" si="4553"/>
        <v>1</v>
      </c>
      <c r="V4224" s="13">
        <f t="shared" si="4553"/>
        <v>0</v>
      </c>
      <c r="W4224" s="13">
        <f t="shared" si="4553"/>
        <v>0</v>
      </c>
      <c r="X4224" s="13">
        <f t="shared" si="4553"/>
        <v>0</v>
      </c>
      <c r="Y4224" s="13">
        <f t="shared" si="4553"/>
        <v>0</v>
      </c>
      <c r="Z4224" s="13">
        <f t="shared" si="4541"/>
        <v>1</v>
      </c>
      <c r="AA4224" s="13"/>
      <c r="AB4224" s="13"/>
      <c r="AC4224" s="13"/>
      <c r="AD4224" s="13"/>
      <c r="AE4224" s="13"/>
      <c r="AF4224" s="13"/>
      <c r="AG4224" s="13"/>
      <c r="AH4224" s="13"/>
      <c r="AI4224" s="13"/>
      <c r="AJ4224" s="13"/>
      <c r="AK4224" s="13"/>
      <c r="AL4224" s="13"/>
      <c r="AM4224" s="13"/>
      <c r="AN4224" s="13"/>
      <c r="AO4224" s="13"/>
      <c r="AP4224" s="13"/>
      <c r="AQ4224" s="13"/>
      <c r="AR4224" s="13"/>
      <c r="AS4224" s="13"/>
    </row>
    <row r="4225" ht="14.25" customHeight="1">
      <c r="A4225" s="13" t="s">
        <v>36</v>
      </c>
      <c r="B4225" s="13" t="s">
        <v>42</v>
      </c>
      <c r="C4225" s="13" t="s">
        <v>2137</v>
      </c>
      <c r="D4225" s="13"/>
      <c r="F4225" s="13"/>
      <c r="G4225" s="13" t="s">
        <v>74</v>
      </c>
      <c r="H4225" s="13" t="s">
        <v>75</v>
      </c>
      <c r="I4225" s="13"/>
      <c r="J4225" s="13"/>
      <c r="K4225" s="15">
        <v>1.0</v>
      </c>
      <c r="L4225" s="15">
        <v>1.0</v>
      </c>
      <c r="M4225" s="16"/>
      <c r="N4225" s="16"/>
      <c r="O4225" s="17"/>
      <c r="P4225" s="17"/>
      <c r="Q4225" s="13">
        <f t="shared" ref="Q4225:Q4227" si="4555">K4224+L4224+M4224+N4224+O4224+P4224/6</f>
        <v>2</v>
      </c>
      <c r="R4225" s="13"/>
      <c r="S4225" s="13"/>
      <c r="T4225" s="13">
        <f t="shared" ref="T4225:Y4225" si="4554">IF(ISBLANK(K4225)=TRUE,0,1)</f>
        <v>1</v>
      </c>
      <c r="U4225" s="13">
        <f t="shared" si="4554"/>
        <v>1</v>
      </c>
      <c r="V4225" s="13">
        <f t="shared" si="4554"/>
        <v>0</v>
      </c>
      <c r="W4225" s="13">
        <f t="shared" si="4554"/>
        <v>0</v>
      </c>
      <c r="X4225" s="13">
        <f t="shared" si="4554"/>
        <v>0</v>
      </c>
      <c r="Y4225" s="13">
        <f t="shared" si="4554"/>
        <v>0</v>
      </c>
      <c r="Z4225" s="13">
        <f t="shared" si="4541"/>
        <v>1</v>
      </c>
      <c r="AA4225" s="13"/>
      <c r="AB4225" s="13"/>
      <c r="AC4225" s="13"/>
      <c r="AD4225" s="13"/>
      <c r="AE4225" s="13"/>
      <c r="AF4225" s="13"/>
      <c r="AG4225" s="13"/>
      <c r="AH4225" s="13"/>
      <c r="AI4225" s="13"/>
      <c r="AJ4225" s="13"/>
      <c r="AK4225" s="13"/>
      <c r="AL4225" s="13"/>
      <c r="AM4225" s="13"/>
      <c r="AN4225" s="13"/>
      <c r="AO4225" s="13"/>
      <c r="AP4225" s="13"/>
      <c r="AQ4225" s="13"/>
      <c r="AR4225" s="13"/>
      <c r="AS4225" s="13"/>
    </row>
    <row r="4226" ht="14.25" customHeight="1">
      <c r="A4226" s="13" t="s">
        <v>36</v>
      </c>
      <c r="B4226" s="13" t="s">
        <v>41</v>
      </c>
      <c r="C4226" s="13" t="s">
        <v>2138</v>
      </c>
      <c r="D4226" s="13"/>
      <c r="F4226" s="13"/>
      <c r="G4226" s="13" t="s">
        <v>111</v>
      </c>
      <c r="H4226" s="13" t="s">
        <v>75</v>
      </c>
      <c r="I4226" s="13"/>
      <c r="J4226" s="13"/>
      <c r="K4226" s="15">
        <v>0.0</v>
      </c>
      <c r="L4226" s="15">
        <v>0.0</v>
      </c>
      <c r="M4226" s="16"/>
      <c r="N4226" s="16"/>
      <c r="O4226" s="17"/>
      <c r="P4226" s="17"/>
      <c r="Q4226" s="13">
        <f t="shared" si="4555"/>
        <v>2</v>
      </c>
      <c r="R4226" s="13"/>
      <c r="S4226" s="13"/>
      <c r="T4226" s="13">
        <f t="shared" ref="T4226:Y4226" si="4556">IF(ISBLANK(K4226)=TRUE,0,1)</f>
        <v>1</v>
      </c>
      <c r="U4226" s="13">
        <f t="shared" si="4556"/>
        <v>1</v>
      </c>
      <c r="V4226" s="13">
        <f t="shared" si="4556"/>
        <v>0</v>
      </c>
      <c r="W4226" s="13">
        <f t="shared" si="4556"/>
        <v>0</v>
      </c>
      <c r="X4226" s="13">
        <f t="shared" si="4556"/>
        <v>0</v>
      </c>
      <c r="Y4226" s="13">
        <f t="shared" si="4556"/>
        <v>0</v>
      </c>
      <c r="Z4226" s="13">
        <f t="shared" si="4541"/>
        <v>0</v>
      </c>
      <c r="AA4226" s="13"/>
      <c r="AB4226" s="13"/>
      <c r="AC4226" s="13"/>
      <c r="AD4226" s="13"/>
      <c r="AE4226" s="13"/>
      <c r="AF4226" s="13"/>
      <c r="AG4226" s="13"/>
      <c r="AH4226" s="13"/>
      <c r="AI4226" s="13"/>
      <c r="AJ4226" s="13"/>
      <c r="AK4226" s="13"/>
      <c r="AL4226" s="13"/>
      <c r="AM4226" s="13"/>
      <c r="AN4226" s="13"/>
      <c r="AO4226" s="13"/>
      <c r="AP4226" s="13"/>
      <c r="AQ4226" s="13"/>
      <c r="AR4226" s="13"/>
      <c r="AS4226" s="13"/>
    </row>
    <row r="4227" ht="14.25" customHeight="1">
      <c r="A4227" s="13" t="s">
        <v>46</v>
      </c>
      <c r="B4227" s="13" t="s">
        <v>47</v>
      </c>
      <c r="C4227" s="13" t="s">
        <v>376</v>
      </c>
      <c r="D4227" s="13"/>
      <c r="E4227" s="13"/>
      <c r="F4227" s="13"/>
      <c r="G4227" s="13" t="s">
        <v>74</v>
      </c>
      <c r="H4227" s="13" t="s">
        <v>75</v>
      </c>
      <c r="I4227" s="13"/>
      <c r="J4227" s="13"/>
      <c r="K4227" s="15">
        <v>1.0</v>
      </c>
      <c r="L4227" s="15">
        <v>1.0</v>
      </c>
      <c r="M4227" s="16"/>
      <c r="N4227" s="16"/>
      <c r="O4227" s="17"/>
      <c r="P4227" s="17"/>
      <c r="Q4227" s="13">
        <f t="shared" si="4555"/>
        <v>0</v>
      </c>
      <c r="R4227" s="13"/>
      <c r="S4227" s="13"/>
      <c r="T4227" s="13">
        <f t="shared" ref="T4227:Y4227" si="4557">IF(ISBLANK(K4227)=TRUE,0,1)</f>
        <v>1</v>
      </c>
      <c r="U4227" s="13">
        <f t="shared" si="4557"/>
        <v>1</v>
      </c>
      <c r="V4227" s="13">
        <f t="shared" si="4557"/>
        <v>0</v>
      </c>
      <c r="W4227" s="13">
        <f t="shared" si="4557"/>
        <v>0</v>
      </c>
      <c r="X4227" s="13">
        <f t="shared" si="4557"/>
        <v>0</v>
      </c>
      <c r="Y4227" s="13">
        <f t="shared" si="4557"/>
        <v>0</v>
      </c>
      <c r="Z4227" s="13">
        <f t="shared" si="4541"/>
        <v>1</v>
      </c>
      <c r="AA4227" s="13" t="s">
        <v>483</v>
      </c>
      <c r="AB4227" s="13"/>
      <c r="AC4227" s="13"/>
      <c r="AD4227" s="13"/>
      <c r="AE4227" s="13"/>
      <c r="AF4227" s="13"/>
      <c r="AG4227" s="13"/>
      <c r="AH4227" s="13"/>
      <c r="AI4227" s="13"/>
      <c r="AJ4227" s="13"/>
      <c r="AK4227" s="13"/>
      <c r="AL4227" s="13"/>
      <c r="AM4227" s="13"/>
      <c r="AN4227" s="13"/>
      <c r="AO4227" s="13"/>
      <c r="AP4227" s="13"/>
      <c r="AQ4227" s="13"/>
      <c r="AR4227" s="13"/>
      <c r="AS4227" s="13"/>
    </row>
    <row r="4228" ht="14.25" customHeight="1">
      <c r="A4228" s="13" t="s">
        <v>46</v>
      </c>
      <c r="B4228" s="13" t="s">
        <v>47</v>
      </c>
      <c r="C4228" s="13" t="s">
        <v>2139</v>
      </c>
      <c r="D4228" s="13"/>
      <c r="E4228" s="13"/>
      <c r="F4228" s="13"/>
      <c r="G4228" s="13" t="s">
        <v>74</v>
      </c>
      <c r="H4228" s="13" t="s">
        <v>75</v>
      </c>
      <c r="I4228" s="13"/>
      <c r="J4228" s="13"/>
      <c r="K4228" s="15">
        <v>1.0</v>
      </c>
      <c r="L4228" s="15">
        <v>1.0</v>
      </c>
      <c r="M4228" s="16"/>
      <c r="N4228" s="16"/>
      <c r="O4228" s="17"/>
      <c r="P4228" s="17"/>
      <c r="Q4228" s="13">
        <f>K4226+L4226+M4226+N4226+O4226+P4226/6</f>
        <v>0</v>
      </c>
      <c r="R4228" s="13"/>
      <c r="S4228" s="13"/>
      <c r="T4228" s="13">
        <f t="shared" ref="T4228:Y4228" si="4558">IF(ISBLANK(K4228)=TRUE,0,1)</f>
        <v>1</v>
      </c>
      <c r="U4228" s="13">
        <f t="shared" si="4558"/>
        <v>1</v>
      </c>
      <c r="V4228" s="13">
        <f t="shared" si="4558"/>
        <v>0</v>
      </c>
      <c r="W4228" s="13">
        <f t="shared" si="4558"/>
        <v>0</v>
      </c>
      <c r="X4228" s="13">
        <f t="shared" si="4558"/>
        <v>0</v>
      </c>
      <c r="Y4228" s="13">
        <f t="shared" si="4558"/>
        <v>0</v>
      </c>
      <c r="Z4228" s="13">
        <f t="shared" si="4541"/>
        <v>1</v>
      </c>
      <c r="AA4228" s="13" t="s">
        <v>483</v>
      </c>
      <c r="AB4228" s="13"/>
      <c r="AC4228" s="13"/>
      <c r="AD4228" s="13"/>
      <c r="AE4228" s="13"/>
      <c r="AF4228" s="13"/>
      <c r="AG4228" s="13"/>
      <c r="AH4228" s="13"/>
      <c r="AI4228" s="13"/>
      <c r="AJ4228" s="13"/>
      <c r="AK4228" s="13"/>
      <c r="AL4228" s="13"/>
      <c r="AM4228" s="13"/>
      <c r="AN4228" s="13"/>
      <c r="AO4228" s="13"/>
      <c r="AP4228" s="13"/>
      <c r="AQ4228" s="13"/>
      <c r="AR4228" s="13"/>
      <c r="AS4228" s="13"/>
    </row>
    <row r="4229" ht="14.25" customHeight="1">
      <c r="A4229" s="13" t="s">
        <v>46</v>
      </c>
      <c r="B4229" s="13" t="s">
        <v>47</v>
      </c>
      <c r="C4229" s="13" t="s">
        <v>2140</v>
      </c>
      <c r="D4229" s="13"/>
      <c r="E4229" s="13"/>
      <c r="F4229" s="13"/>
      <c r="G4229" s="13" t="s">
        <v>74</v>
      </c>
      <c r="H4229" s="13" t="s">
        <v>75</v>
      </c>
      <c r="I4229" s="13"/>
      <c r="J4229" s="13"/>
      <c r="K4229" s="15">
        <v>1.0</v>
      </c>
      <c r="L4229" s="15">
        <v>1.0</v>
      </c>
      <c r="M4229" s="16"/>
      <c r="N4229" s="16"/>
      <c r="O4229" s="17"/>
      <c r="P4229" s="17"/>
      <c r="Q4229" s="13">
        <f t="shared" ref="Q4229:Q4233" si="4560">K4228+L4228+M4228+N4228+O4228+P4228/6</f>
        <v>2</v>
      </c>
      <c r="R4229" s="13"/>
      <c r="S4229" s="13"/>
      <c r="T4229" s="13">
        <f t="shared" ref="T4229:Y4229" si="4559">IF(ISBLANK(K4229)=TRUE,0,1)</f>
        <v>1</v>
      </c>
      <c r="U4229" s="13">
        <f t="shared" si="4559"/>
        <v>1</v>
      </c>
      <c r="V4229" s="13">
        <f t="shared" si="4559"/>
        <v>0</v>
      </c>
      <c r="W4229" s="13">
        <f t="shared" si="4559"/>
        <v>0</v>
      </c>
      <c r="X4229" s="13">
        <f t="shared" si="4559"/>
        <v>0</v>
      </c>
      <c r="Y4229" s="13">
        <f t="shared" si="4559"/>
        <v>0</v>
      </c>
      <c r="Z4229" s="13">
        <f t="shared" si="4541"/>
        <v>1</v>
      </c>
      <c r="AA4229" s="13"/>
      <c r="AB4229" s="13"/>
      <c r="AC4229" s="13"/>
      <c r="AD4229" s="13"/>
      <c r="AE4229" s="13"/>
      <c r="AF4229" s="13"/>
      <c r="AG4229" s="13"/>
      <c r="AH4229" s="13"/>
      <c r="AI4229" s="13"/>
      <c r="AJ4229" s="13"/>
      <c r="AK4229" s="13"/>
      <c r="AL4229" s="13"/>
      <c r="AM4229" s="13"/>
      <c r="AN4229" s="13"/>
      <c r="AO4229" s="13"/>
      <c r="AP4229" s="13"/>
      <c r="AQ4229" s="13"/>
      <c r="AR4229" s="13"/>
      <c r="AS4229" s="13"/>
    </row>
    <row r="4230" ht="14.25" customHeight="1">
      <c r="A4230" s="13" t="s">
        <v>46</v>
      </c>
      <c r="B4230" s="13" t="s">
        <v>47</v>
      </c>
      <c r="C4230" s="13" t="s">
        <v>2141</v>
      </c>
      <c r="D4230" s="13"/>
      <c r="E4230" s="13"/>
      <c r="F4230" s="13"/>
      <c r="G4230" s="13" t="s">
        <v>74</v>
      </c>
      <c r="H4230" s="13" t="s">
        <v>75</v>
      </c>
      <c r="I4230" s="13"/>
      <c r="J4230" s="13"/>
      <c r="K4230" s="15">
        <v>1.0</v>
      </c>
      <c r="L4230" s="15">
        <v>1.0</v>
      </c>
      <c r="M4230" s="16"/>
      <c r="N4230" s="16"/>
      <c r="O4230" s="17"/>
      <c r="P4230" s="17"/>
      <c r="Q4230" s="13">
        <f t="shared" si="4560"/>
        <v>2</v>
      </c>
      <c r="R4230" s="13"/>
      <c r="S4230" s="13"/>
      <c r="T4230" s="13">
        <f t="shared" ref="T4230:Y4230" si="4561">IF(ISBLANK(K4230)=TRUE,0,1)</f>
        <v>1</v>
      </c>
      <c r="U4230" s="13">
        <f t="shared" si="4561"/>
        <v>1</v>
      </c>
      <c r="V4230" s="13">
        <f t="shared" si="4561"/>
        <v>0</v>
      </c>
      <c r="W4230" s="13">
        <f t="shared" si="4561"/>
        <v>0</v>
      </c>
      <c r="X4230" s="13">
        <f t="shared" si="4561"/>
        <v>0</v>
      </c>
      <c r="Y4230" s="13">
        <f t="shared" si="4561"/>
        <v>0</v>
      </c>
      <c r="Z4230" s="13">
        <f t="shared" si="4541"/>
        <v>1</v>
      </c>
      <c r="AA4230" s="13" t="s">
        <v>483</v>
      </c>
      <c r="AB4230" s="13"/>
      <c r="AC4230" s="13"/>
      <c r="AD4230" s="13"/>
      <c r="AE4230" s="13"/>
      <c r="AF4230" s="13"/>
      <c r="AG4230" s="13"/>
      <c r="AH4230" s="13"/>
      <c r="AI4230" s="13"/>
      <c r="AJ4230" s="13"/>
      <c r="AK4230" s="13"/>
      <c r="AL4230" s="13"/>
      <c r="AM4230" s="13"/>
      <c r="AN4230" s="13"/>
      <c r="AO4230" s="13"/>
      <c r="AP4230" s="13"/>
      <c r="AQ4230" s="13"/>
      <c r="AR4230" s="13"/>
      <c r="AS4230" s="13"/>
    </row>
    <row r="4231" ht="14.25" customHeight="1">
      <c r="A4231" s="13" t="s">
        <v>46</v>
      </c>
      <c r="B4231" s="13" t="s">
        <v>47</v>
      </c>
      <c r="C4231" s="13" t="s">
        <v>2142</v>
      </c>
      <c r="D4231" s="13"/>
      <c r="E4231" s="13"/>
      <c r="F4231" s="13"/>
      <c r="G4231" s="13" t="s">
        <v>74</v>
      </c>
      <c r="H4231" s="13" t="s">
        <v>75</v>
      </c>
      <c r="I4231" s="13"/>
      <c r="J4231" s="13"/>
      <c r="K4231" s="15">
        <v>1.0</v>
      </c>
      <c r="L4231" s="15">
        <v>1.0</v>
      </c>
      <c r="M4231" s="16"/>
      <c r="N4231" s="16"/>
      <c r="O4231" s="17"/>
      <c r="P4231" s="17"/>
      <c r="Q4231" s="13">
        <f t="shared" si="4560"/>
        <v>2</v>
      </c>
      <c r="R4231" s="13"/>
      <c r="S4231" s="13"/>
      <c r="T4231" s="13">
        <f t="shared" ref="T4231:Y4231" si="4562">IF(ISBLANK(K4231)=TRUE,0,1)</f>
        <v>1</v>
      </c>
      <c r="U4231" s="13">
        <f t="shared" si="4562"/>
        <v>1</v>
      </c>
      <c r="V4231" s="13">
        <f t="shared" si="4562"/>
        <v>0</v>
      </c>
      <c r="W4231" s="13">
        <f t="shared" si="4562"/>
        <v>0</v>
      </c>
      <c r="X4231" s="13">
        <f t="shared" si="4562"/>
        <v>0</v>
      </c>
      <c r="Y4231" s="13">
        <f t="shared" si="4562"/>
        <v>0</v>
      </c>
      <c r="Z4231" s="13">
        <f t="shared" si="4541"/>
        <v>1</v>
      </c>
      <c r="AA4231" s="13" t="s">
        <v>483</v>
      </c>
      <c r="AB4231" s="13"/>
      <c r="AC4231" s="13"/>
      <c r="AD4231" s="13"/>
      <c r="AE4231" s="13"/>
      <c r="AF4231" s="13"/>
      <c r="AG4231" s="13"/>
      <c r="AH4231" s="13"/>
      <c r="AI4231" s="13"/>
      <c r="AJ4231" s="13"/>
      <c r="AK4231" s="13"/>
      <c r="AL4231" s="13"/>
      <c r="AM4231" s="13"/>
      <c r="AN4231" s="13"/>
      <c r="AO4231" s="13"/>
      <c r="AP4231" s="13"/>
      <c r="AQ4231" s="13"/>
      <c r="AR4231" s="13"/>
      <c r="AS4231" s="13"/>
    </row>
    <row r="4232" ht="14.25" customHeight="1">
      <c r="A4232" s="13" t="s">
        <v>46</v>
      </c>
      <c r="B4232" s="13" t="s">
        <v>47</v>
      </c>
      <c r="C4232" s="13" t="s">
        <v>2143</v>
      </c>
      <c r="D4232" s="13"/>
      <c r="E4232" s="13"/>
      <c r="F4232" s="13"/>
      <c r="G4232" s="13" t="s">
        <v>74</v>
      </c>
      <c r="H4232" s="13" t="s">
        <v>75</v>
      </c>
      <c r="I4232" s="13"/>
      <c r="J4232" s="13"/>
      <c r="K4232" s="15">
        <v>1.0</v>
      </c>
      <c r="L4232" s="15">
        <v>1.0</v>
      </c>
      <c r="M4232" s="16"/>
      <c r="N4232" s="16"/>
      <c r="O4232" s="17"/>
      <c r="P4232" s="17"/>
      <c r="Q4232" s="13">
        <f t="shared" si="4560"/>
        <v>2</v>
      </c>
      <c r="R4232" s="13"/>
      <c r="S4232" s="13"/>
      <c r="T4232" s="13">
        <f t="shared" ref="T4232:Y4232" si="4563">IF(ISBLANK(K4232)=TRUE,0,1)</f>
        <v>1</v>
      </c>
      <c r="U4232" s="13">
        <f t="shared" si="4563"/>
        <v>1</v>
      </c>
      <c r="V4232" s="13">
        <f t="shared" si="4563"/>
        <v>0</v>
      </c>
      <c r="W4232" s="13">
        <f t="shared" si="4563"/>
        <v>0</v>
      </c>
      <c r="X4232" s="13">
        <f t="shared" si="4563"/>
        <v>0</v>
      </c>
      <c r="Y4232" s="13">
        <f t="shared" si="4563"/>
        <v>0</v>
      </c>
      <c r="Z4232" s="13">
        <f t="shared" si="4541"/>
        <v>1</v>
      </c>
      <c r="AA4232" s="13" t="s">
        <v>483</v>
      </c>
      <c r="AB4232" s="13"/>
      <c r="AC4232" s="13"/>
      <c r="AD4232" s="13"/>
      <c r="AE4232" s="13"/>
      <c r="AF4232" s="13"/>
      <c r="AG4232" s="13"/>
      <c r="AH4232" s="13"/>
      <c r="AI4232" s="13"/>
      <c r="AJ4232" s="13"/>
      <c r="AK4232" s="13"/>
      <c r="AL4232" s="13"/>
      <c r="AM4232" s="13"/>
      <c r="AN4232" s="13"/>
      <c r="AO4232" s="13"/>
      <c r="AP4232" s="13"/>
      <c r="AQ4232" s="13"/>
      <c r="AR4232" s="13"/>
      <c r="AS4232" s="13"/>
    </row>
    <row r="4233" ht="14.25" customHeight="1">
      <c r="A4233" s="13" t="s">
        <v>46</v>
      </c>
      <c r="B4233" s="13" t="s">
        <v>47</v>
      </c>
      <c r="C4233" s="13" t="s">
        <v>414</v>
      </c>
      <c r="D4233" s="13"/>
      <c r="E4233" s="13"/>
      <c r="F4233" s="13"/>
      <c r="G4233" s="13" t="s">
        <v>111</v>
      </c>
      <c r="H4233" s="13" t="s">
        <v>75</v>
      </c>
      <c r="I4233" s="13"/>
      <c r="J4233" s="13"/>
      <c r="K4233" s="15"/>
      <c r="L4233" s="15"/>
      <c r="M4233" s="16"/>
      <c r="N4233" s="16"/>
      <c r="O4233" s="17"/>
      <c r="P4233" s="17"/>
      <c r="Q4233" s="13">
        <f t="shared" si="4560"/>
        <v>2</v>
      </c>
      <c r="R4233" s="14">
        <v>44973.0</v>
      </c>
      <c r="S4233" s="13"/>
      <c r="T4233" s="13">
        <f t="shared" ref="T4233:Y4233" si="4564">IF(ISBLANK(K4233)=TRUE,0,1)</f>
        <v>0</v>
      </c>
      <c r="U4233" s="13">
        <f t="shared" si="4564"/>
        <v>0</v>
      </c>
      <c r="V4233" s="13">
        <f t="shared" si="4564"/>
        <v>0</v>
      </c>
      <c r="W4233" s="13">
        <f t="shared" si="4564"/>
        <v>0</v>
      </c>
      <c r="X4233" s="13">
        <f t="shared" si="4564"/>
        <v>0</v>
      </c>
      <c r="Y4233" s="13">
        <f t="shared" si="4564"/>
        <v>0</v>
      </c>
      <c r="Z4233" s="13" t="str">
        <f t="shared" si="4541"/>
        <v>NA</v>
      </c>
      <c r="AA4233" s="13"/>
      <c r="AB4233" s="13"/>
      <c r="AC4233" s="13"/>
      <c r="AD4233" s="13"/>
      <c r="AE4233" s="13"/>
      <c r="AF4233" s="13"/>
      <c r="AG4233" s="13"/>
      <c r="AH4233" s="13"/>
      <c r="AI4233" s="13"/>
      <c r="AJ4233" s="13"/>
      <c r="AK4233" s="13"/>
      <c r="AL4233" s="13"/>
      <c r="AM4233" s="13"/>
      <c r="AN4233" s="13"/>
      <c r="AO4233" s="13"/>
      <c r="AP4233" s="13"/>
      <c r="AQ4233" s="13"/>
      <c r="AR4233" s="13"/>
      <c r="AS4233" s="13"/>
    </row>
    <row r="4234" ht="14.25" customHeight="1">
      <c r="A4234" s="13" t="s">
        <v>46</v>
      </c>
      <c r="B4234" s="13" t="s">
        <v>47</v>
      </c>
      <c r="C4234" s="13" t="s">
        <v>2144</v>
      </c>
      <c r="D4234" s="13"/>
      <c r="E4234" s="13"/>
      <c r="F4234" s="13"/>
      <c r="G4234" s="13" t="s">
        <v>74</v>
      </c>
      <c r="H4234" s="13" t="s">
        <v>75</v>
      </c>
      <c r="I4234" s="13"/>
      <c r="J4234" s="13"/>
      <c r="K4234" s="15">
        <v>1.0</v>
      </c>
      <c r="L4234" s="15">
        <v>1.0</v>
      </c>
      <c r="M4234" s="16"/>
      <c r="N4234" s="16"/>
      <c r="O4234" s="17"/>
      <c r="P4234" s="17"/>
      <c r="Q4234" s="13">
        <f>K4232+L4232+M4232+N4232+O4232+P4232/6</f>
        <v>2</v>
      </c>
      <c r="R4234" s="13"/>
      <c r="S4234" s="13"/>
      <c r="T4234" s="13">
        <f t="shared" ref="T4234:Y4234" si="4565">IF(ISBLANK(K4234)=TRUE,0,1)</f>
        <v>1</v>
      </c>
      <c r="U4234" s="13">
        <f t="shared" si="4565"/>
        <v>1</v>
      </c>
      <c r="V4234" s="13">
        <f t="shared" si="4565"/>
        <v>0</v>
      </c>
      <c r="W4234" s="13">
        <f t="shared" si="4565"/>
        <v>0</v>
      </c>
      <c r="X4234" s="13">
        <f t="shared" si="4565"/>
        <v>0</v>
      </c>
      <c r="Y4234" s="13">
        <f t="shared" si="4565"/>
        <v>0</v>
      </c>
      <c r="Z4234" s="13">
        <f t="shared" si="4541"/>
        <v>1</v>
      </c>
      <c r="AA4234" s="13" t="s">
        <v>483</v>
      </c>
      <c r="AB4234" s="13"/>
      <c r="AC4234" s="13"/>
      <c r="AD4234" s="13"/>
      <c r="AE4234" s="13"/>
      <c r="AF4234" s="13"/>
      <c r="AG4234" s="13"/>
      <c r="AH4234" s="13"/>
      <c r="AI4234" s="13"/>
      <c r="AJ4234" s="13"/>
      <c r="AK4234" s="13"/>
      <c r="AL4234" s="13"/>
      <c r="AM4234" s="13"/>
      <c r="AN4234" s="13"/>
      <c r="AO4234" s="13"/>
      <c r="AP4234" s="13"/>
      <c r="AQ4234" s="13"/>
      <c r="AR4234" s="13"/>
      <c r="AS4234" s="13"/>
    </row>
    <row r="4235" ht="14.25" customHeight="1">
      <c r="A4235" s="13" t="s">
        <v>46</v>
      </c>
      <c r="B4235" s="13" t="s">
        <v>47</v>
      </c>
      <c r="C4235" s="13" t="s">
        <v>2145</v>
      </c>
      <c r="D4235" s="13"/>
      <c r="E4235" s="13"/>
      <c r="F4235" s="13"/>
      <c r="G4235" s="13" t="s">
        <v>74</v>
      </c>
      <c r="H4235" s="13" t="s">
        <v>75</v>
      </c>
      <c r="I4235" s="13"/>
      <c r="J4235" s="13"/>
      <c r="K4235" s="15">
        <v>1.0</v>
      </c>
      <c r="L4235" s="15">
        <v>1.0</v>
      </c>
      <c r="M4235" s="16"/>
      <c r="N4235" s="16"/>
      <c r="O4235" s="17"/>
      <c r="P4235" s="17"/>
      <c r="Q4235" s="13">
        <f t="shared" ref="Q4235:Q4241" si="4567">K4234+L4234+M4234+N4234+O4234+P4234/6</f>
        <v>2</v>
      </c>
      <c r="R4235" s="13"/>
      <c r="S4235" s="13"/>
      <c r="T4235" s="13">
        <f t="shared" ref="T4235:Y4235" si="4566">IF(ISBLANK(K4235)=TRUE,0,1)</f>
        <v>1</v>
      </c>
      <c r="U4235" s="13">
        <f t="shared" si="4566"/>
        <v>1</v>
      </c>
      <c r="V4235" s="13">
        <f t="shared" si="4566"/>
        <v>0</v>
      </c>
      <c r="W4235" s="13">
        <f t="shared" si="4566"/>
        <v>0</v>
      </c>
      <c r="X4235" s="13">
        <f t="shared" si="4566"/>
        <v>0</v>
      </c>
      <c r="Y4235" s="13">
        <f t="shared" si="4566"/>
        <v>0</v>
      </c>
      <c r="Z4235" s="13">
        <f t="shared" si="4541"/>
        <v>1</v>
      </c>
      <c r="AA4235" s="13"/>
      <c r="AB4235" s="13"/>
      <c r="AC4235" s="13"/>
      <c r="AD4235" s="13"/>
      <c r="AE4235" s="13"/>
      <c r="AF4235" s="13"/>
      <c r="AG4235" s="13"/>
      <c r="AH4235" s="13"/>
      <c r="AI4235" s="13"/>
      <c r="AJ4235" s="13"/>
      <c r="AK4235" s="13"/>
      <c r="AL4235" s="13"/>
      <c r="AM4235" s="13"/>
      <c r="AN4235" s="13"/>
      <c r="AO4235" s="13"/>
      <c r="AP4235" s="13"/>
      <c r="AQ4235" s="13"/>
      <c r="AR4235" s="13"/>
      <c r="AS4235" s="13"/>
    </row>
    <row r="4236" ht="14.25" customHeight="1">
      <c r="A4236" s="13" t="s">
        <v>46</v>
      </c>
      <c r="B4236" s="13" t="s">
        <v>47</v>
      </c>
      <c r="C4236" s="13" t="s">
        <v>2146</v>
      </c>
      <c r="D4236" s="13"/>
      <c r="E4236" s="13"/>
      <c r="F4236" s="13"/>
      <c r="G4236" s="13" t="s">
        <v>74</v>
      </c>
      <c r="H4236" s="13" t="s">
        <v>75</v>
      </c>
      <c r="I4236" s="13"/>
      <c r="J4236" s="13"/>
      <c r="K4236" s="15">
        <v>1.0</v>
      </c>
      <c r="L4236" s="15">
        <v>1.0</v>
      </c>
      <c r="M4236" s="16"/>
      <c r="N4236" s="16"/>
      <c r="O4236" s="17"/>
      <c r="P4236" s="17"/>
      <c r="Q4236" s="13">
        <f t="shared" si="4567"/>
        <v>2</v>
      </c>
      <c r="R4236" s="13"/>
      <c r="S4236" s="13"/>
      <c r="T4236" s="13">
        <f t="shared" ref="T4236:Y4236" si="4568">IF(ISBLANK(K4236)=TRUE,0,1)</f>
        <v>1</v>
      </c>
      <c r="U4236" s="13">
        <f t="shared" si="4568"/>
        <v>1</v>
      </c>
      <c r="V4236" s="13">
        <f t="shared" si="4568"/>
        <v>0</v>
      </c>
      <c r="W4236" s="13">
        <f t="shared" si="4568"/>
        <v>0</v>
      </c>
      <c r="X4236" s="13">
        <f t="shared" si="4568"/>
        <v>0</v>
      </c>
      <c r="Y4236" s="13">
        <f t="shared" si="4568"/>
        <v>0</v>
      </c>
      <c r="Z4236" s="13">
        <f t="shared" si="4541"/>
        <v>1</v>
      </c>
      <c r="AA4236" s="13" t="s">
        <v>483</v>
      </c>
      <c r="AB4236" s="13"/>
      <c r="AC4236" s="13"/>
      <c r="AD4236" s="13"/>
      <c r="AE4236" s="13"/>
      <c r="AF4236" s="13"/>
      <c r="AG4236" s="13"/>
      <c r="AH4236" s="13"/>
      <c r="AI4236" s="13"/>
      <c r="AJ4236" s="13"/>
      <c r="AK4236" s="13"/>
      <c r="AL4236" s="13"/>
      <c r="AM4236" s="13"/>
      <c r="AN4236" s="13"/>
      <c r="AO4236" s="13"/>
      <c r="AP4236" s="13"/>
      <c r="AQ4236" s="13"/>
      <c r="AR4236" s="13"/>
      <c r="AS4236" s="13"/>
    </row>
    <row r="4237" ht="14.25" customHeight="1">
      <c r="A4237" s="13" t="s">
        <v>46</v>
      </c>
      <c r="B4237" s="13" t="s">
        <v>47</v>
      </c>
      <c r="C4237" s="13" t="s">
        <v>2147</v>
      </c>
      <c r="D4237" s="13"/>
      <c r="E4237" s="13"/>
      <c r="F4237" s="13"/>
      <c r="G4237" s="13" t="s">
        <v>74</v>
      </c>
      <c r="H4237" s="13" t="s">
        <v>75</v>
      </c>
      <c r="I4237" s="13"/>
      <c r="J4237" s="13"/>
      <c r="K4237" s="15">
        <v>1.0</v>
      </c>
      <c r="L4237" s="15">
        <v>1.0</v>
      </c>
      <c r="M4237" s="16"/>
      <c r="N4237" s="16"/>
      <c r="O4237" s="17"/>
      <c r="P4237" s="17"/>
      <c r="Q4237" s="13">
        <f t="shared" si="4567"/>
        <v>2</v>
      </c>
      <c r="R4237" s="13"/>
      <c r="S4237" s="13"/>
      <c r="T4237" s="13">
        <f t="shared" ref="T4237:Y4237" si="4569">IF(ISBLANK(K4237)=TRUE,0,1)</f>
        <v>1</v>
      </c>
      <c r="U4237" s="13">
        <f t="shared" si="4569"/>
        <v>1</v>
      </c>
      <c r="V4237" s="13">
        <f t="shared" si="4569"/>
        <v>0</v>
      </c>
      <c r="W4237" s="13">
        <f t="shared" si="4569"/>
        <v>0</v>
      </c>
      <c r="X4237" s="13">
        <f t="shared" si="4569"/>
        <v>0</v>
      </c>
      <c r="Y4237" s="13">
        <f t="shared" si="4569"/>
        <v>0</v>
      </c>
      <c r="Z4237" s="13">
        <f t="shared" si="4541"/>
        <v>1</v>
      </c>
      <c r="AA4237" s="13" t="s">
        <v>483</v>
      </c>
      <c r="AB4237" s="13"/>
      <c r="AC4237" s="13"/>
      <c r="AD4237" s="13"/>
      <c r="AE4237" s="13"/>
      <c r="AF4237" s="13"/>
      <c r="AG4237" s="13"/>
      <c r="AH4237" s="13"/>
      <c r="AI4237" s="13"/>
      <c r="AJ4237" s="13"/>
      <c r="AK4237" s="13"/>
      <c r="AL4237" s="13"/>
      <c r="AM4237" s="13"/>
      <c r="AN4237" s="13"/>
      <c r="AO4237" s="13"/>
      <c r="AP4237" s="13"/>
      <c r="AQ4237" s="13"/>
      <c r="AR4237" s="13"/>
      <c r="AS4237" s="13"/>
    </row>
    <row r="4238" ht="14.25" customHeight="1">
      <c r="A4238" s="13" t="s">
        <v>46</v>
      </c>
      <c r="B4238" s="13" t="s">
        <v>47</v>
      </c>
      <c r="C4238" s="13" t="s">
        <v>395</v>
      </c>
      <c r="D4238" s="13"/>
      <c r="E4238" s="13"/>
      <c r="F4238" s="13"/>
      <c r="G4238" s="13" t="s">
        <v>74</v>
      </c>
      <c r="H4238" s="13" t="s">
        <v>75</v>
      </c>
      <c r="I4238" s="13"/>
      <c r="J4238" s="13"/>
      <c r="K4238" s="15">
        <v>1.0</v>
      </c>
      <c r="L4238" s="15">
        <v>1.0</v>
      </c>
      <c r="M4238" s="16"/>
      <c r="N4238" s="16"/>
      <c r="O4238" s="17"/>
      <c r="P4238" s="17"/>
      <c r="Q4238" s="13">
        <f t="shared" si="4567"/>
        <v>2</v>
      </c>
      <c r="R4238" s="13"/>
      <c r="S4238" s="13"/>
      <c r="T4238" s="13">
        <f t="shared" ref="T4238:Y4238" si="4570">IF(ISBLANK(K4238)=TRUE,0,1)</f>
        <v>1</v>
      </c>
      <c r="U4238" s="13">
        <f t="shared" si="4570"/>
        <v>1</v>
      </c>
      <c r="V4238" s="13">
        <f t="shared" si="4570"/>
        <v>0</v>
      </c>
      <c r="W4238" s="13">
        <f t="shared" si="4570"/>
        <v>0</v>
      </c>
      <c r="X4238" s="13">
        <f t="shared" si="4570"/>
        <v>0</v>
      </c>
      <c r="Y4238" s="13">
        <f t="shared" si="4570"/>
        <v>0</v>
      </c>
      <c r="Z4238" s="13">
        <f t="shared" si="4541"/>
        <v>1</v>
      </c>
      <c r="AA4238" s="13" t="s">
        <v>483</v>
      </c>
      <c r="AB4238" s="13"/>
      <c r="AC4238" s="13"/>
      <c r="AD4238" s="13"/>
      <c r="AE4238" s="13"/>
      <c r="AF4238" s="13"/>
      <c r="AG4238" s="13"/>
      <c r="AH4238" s="13"/>
      <c r="AI4238" s="13"/>
      <c r="AJ4238" s="13"/>
      <c r="AK4238" s="13"/>
      <c r="AL4238" s="13"/>
      <c r="AM4238" s="13"/>
      <c r="AN4238" s="13"/>
      <c r="AO4238" s="13"/>
      <c r="AP4238" s="13"/>
      <c r="AQ4238" s="13"/>
      <c r="AR4238" s="13"/>
      <c r="AS4238" s="13"/>
    </row>
    <row r="4239" ht="14.25" customHeight="1">
      <c r="A4239" s="13" t="s">
        <v>36</v>
      </c>
      <c r="B4239" s="13" t="s">
        <v>42</v>
      </c>
      <c r="C4239" s="13" t="s">
        <v>2148</v>
      </c>
      <c r="D4239" s="13"/>
      <c r="F4239" s="13"/>
      <c r="G4239" s="13" t="s">
        <v>74</v>
      </c>
      <c r="H4239" s="13" t="s">
        <v>75</v>
      </c>
      <c r="I4239" s="13"/>
      <c r="J4239" s="13"/>
      <c r="K4239" s="15">
        <v>1.0</v>
      </c>
      <c r="L4239" s="15">
        <v>1.0</v>
      </c>
      <c r="M4239" s="16"/>
      <c r="N4239" s="16"/>
      <c r="O4239" s="17"/>
      <c r="P4239" s="17"/>
      <c r="Q4239" s="13">
        <f t="shared" si="4567"/>
        <v>2</v>
      </c>
      <c r="R4239" s="13"/>
      <c r="S4239" s="13"/>
      <c r="T4239" s="13">
        <f t="shared" ref="T4239:Y4239" si="4571">IF(ISBLANK(K4239)=TRUE,0,1)</f>
        <v>1</v>
      </c>
      <c r="U4239" s="13">
        <f t="shared" si="4571"/>
        <v>1</v>
      </c>
      <c r="V4239" s="13">
        <f t="shared" si="4571"/>
        <v>0</v>
      </c>
      <c r="W4239" s="13">
        <f t="shared" si="4571"/>
        <v>0</v>
      </c>
      <c r="X4239" s="13">
        <f t="shared" si="4571"/>
        <v>0</v>
      </c>
      <c r="Y4239" s="13">
        <f t="shared" si="4571"/>
        <v>0</v>
      </c>
      <c r="Z4239" s="13">
        <f t="shared" si="4541"/>
        <v>1</v>
      </c>
      <c r="AA4239" s="13" t="s">
        <v>561</v>
      </c>
      <c r="AB4239" s="13"/>
      <c r="AC4239" s="13"/>
      <c r="AD4239" s="13"/>
      <c r="AE4239" s="13"/>
      <c r="AF4239" s="13"/>
      <c r="AG4239" s="13"/>
      <c r="AH4239" s="13"/>
      <c r="AI4239" s="13"/>
      <c r="AJ4239" s="13"/>
      <c r="AK4239" s="13"/>
      <c r="AL4239" s="13"/>
      <c r="AM4239" s="13"/>
      <c r="AN4239" s="13"/>
      <c r="AO4239" s="13"/>
      <c r="AP4239" s="13"/>
      <c r="AQ4239" s="13"/>
      <c r="AR4239" s="13"/>
      <c r="AS4239" s="13"/>
    </row>
    <row r="4240" ht="14.25" customHeight="1">
      <c r="A4240" s="13" t="s">
        <v>36</v>
      </c>
      <c r="B4240" s="13" t="s">
        <v>42</v>
      </c>
      <c r="C4240" s="13" t="s">
        <v>2149</v>
      </c>
      <c r="D4240" s="13"/>
      <c r="F4240" s="13"/>
      <c r="G4240" s="13" t="s">
        <v>74</v>
      </c>
      <c r="H4240" s="13" t="s">
        <v>75</v>
      </c>
      <c r="I4240" s="13"/>
      <c r="J4240" s="13"/>
      <c r="K4240" s="15">
        <v>1.0</v>
      </c>
      <c r="L4240" s="15">
        <v>1.0</v>
      </c>
      <c r="M4240" s="16"/>
      <c r="N4240" s="16"/>
      <c r="O4240" s="17"/>
      <c r="P4240" s="17"/>
      <c r="Q4240" s="13">
        <f t="shared" si="4567"/>
        <v>2</v>
      </c>
      <c r="R4240" s="13"/>
      <c r="S4240" s="13"/>
      <c r="T4240" s="13">
        <f t="shared" ref="T4240:Y4240" si="4572">IF(ISBLANK(K4240)=TRUE,0,1)</f>
        <v>1</v>
      </c>
      <c r="U4240" s="13">
        <f t="shared" si="4572"/>
        <v>1</v>
      </c>
      <c r="V4240" s="13">
        <f t="shared" si="4572"/>
        <v>0</v>
      </c>
      <c r="W4240" s="13">
        <f t="shared" si="4572"/>
        <v>0</v>
      </c>
      <c r="X4240" s="13">
        <f t="shared" si="4572"/>
        <v>0</v>
      </c>
      <c r="Y4240" s="13">
        <f t="shared" si="4572"/>
        <v>0</v>
      </c>
      <c r="Z4240" s="13">
        <f t="shared" si="4541"/>
        <v>1</v>
      </c>
      <c r="AA4240" s="13" t="s">
        <v>561</v>
      </c>
      <c r="AB4240" s="13"/>
      <c r="AC4240" s="13"/>
      <c r="AD4240" s="13"/>
      <c r="AE4240" s="13"/>
      <c r="AF4240" s="13"/>
      <c r="AG4240" s="13"/>
      <c r="AH4240" s="13"/>
      <c r="AI4240" s="13"/>
      <c r="AJ4240" s="13"/>
      <c r="AK4240" s="13"/>
      <c r="AL4240" s="13"/>
      <c r="AM4240" s="13"/>
      <c r="AN4240" s="13"/>
      <c r="AO4240" s="13"/>
      <c r="AP4240" s="13"/>
      <c r="AQ4240" s="13"/>
      <c r="AR4240" s="13"/>
      <c r="AS4240" s="13"/>
    </row>
    <row r="4241" ht="14.25" customHeight="1">
      <c r="A4241" s="13" t="s">
        <v>36</v>
      </c>
      <c r="B4241" s="13" t="s">
        <v>42</v>
      </c>
      <c r="C4241" s="13" t="s">
        <v>2150</v>
      </c>
      <c r="D4241" s="13"/>
      <c r="F4241" s="13"/>
      <c r="G4241" s="13" t="s">
        <v>74</v>
      </c>
      <c r="H4241" s="13" t="s">
        <v>75</v>
      </c>
      <c r="I4241" s="13"/>
      <c r="J4241" s="13"/>
      <c r="K4241" s="15">
        <v>1.0</v>
      </c>
      <c r="L4241" s="15">
        <v>1.0</v>
      </c>
      <c r="M4241" s="16"/>
      <c r="N4241" s="16"/>
      <c r="O4241" s="17"/>
      <c r="P4241" s="17"/>
      <c r="Q4241" s="13">
        <f t="shared" si="4567"/>
        <v>2</v>
      </c>
      <c r="R4241" s="13"/>
      <c r="S4241" s="13"/>
      <c r="T4241" s="13">
        <f t="shared" ref="T4241:Y4241" si="4573">IF(ISBLANK(K4241)=TRUE,0,1)</f>
        <v>1</v>
      </c>
      <c r="U4241" s="13">
        <f t="shared" si="4573"/>
        <v>1</v>
      </c>
      <c r="V4241" s="13">
        <f t="shared" si="4573"/>
        <v>0</v>
      </c>
      <c r="W4241" s="13">
        <f t="shared" si="4573"/>
        <v>0</v>
      </c>
      <c r="X4241" s="13">
        <f t="shared" si="4573"/>
        <v>0</v>
      </c>
      <c r="Y4241" s="13">
        <f t="shared" si="4573"/>
        <v>0</v>
      </c>
      <c r="Z4241" s="13">
        <f t="shared" si="4541"/>
        <v>1</v>
      </c>
      <c r="AA4241" s="13"/>
      <c r="AB4241" s="13"/>
      <c r="AC4241" s="13"/>
      <c r="AD4241" s="13"/>
      <c r="AE4241" s="13"/>
      <c r="AF4241" s="13"/>
      <c r="AG4241" s="13"/>
      <c r="AH4241" s="13"/>
      <c r="AI4241" s="13"/>
      <c r="AJ4241" s="13"/>
      <c r="AK4241" s="13"/>
      <c r="AL4241" s="13"/>
      <c r="AM4241" s="13"/>
      <c r="AN4241" s="13"/>
      <c r="AO4241" s="13"/>
      <c r="AP4241" s="13"/>
      <c r="AQ4241" s="13"/>
      <c r="AR4241" s="13"/>
      <c r="AS4241" s="13"/>
    </row>
    <row r="4242" ht="14.25" customHeight="1">
      <c r="A4242" s="26" t="s">
        <v>46</v>
      </c>
      <c r="B4242" s="31" t="s">
        <v>53</v>
      </c>
      <c r="C4242" s="26">
        <v>238.0</v>
      </c>
      <c r="D4242" s="26" t="s">
        <v>185</v>
      </c>
      <c r="E4242" s="13"/>
      <c r="F4242" s="26"/>
      <c r="G4242" s="26" t="s">
        <v>111</v>
      </c>
      <c r="H4242" s="26" t="s">
        <v>75</v>
      </c>
      <c r="I4242" s="13"/>
      <c r="J4242" s="13"/>
      <c r="K4242" s="15">
        <v>1.0</v>
      </c>
      <c r="L4242" s="15">
        <v>1.0</v>
      </c>
      <c r="M4242" s="16"/>
      <c r="N4242" s="16"/>
      <c r="O4242" s="17"/>
      <c r="P4242" s="17"/>
      <c r="Q4242" s="13"/>
      <c r="R4242" s="13"/>
      <c r="S4242" s="13"/>
      <c r="T4242" s="13">
        <f t="shared" ref="T4242:Y4242" si="4574">IF(ISBLANK(K4242)=TRUE,0,1)</f>
        <v>1</v>
      </c>
      <c r="U4242" s="13">
        <f t="shared" si="4574"/>
        <v>1</v>
      </c>
      <c r="V4242" s="13">
        <f t="shared" si="4574"/>
        <v>0</v>
      </c>
      <c r="W4242" s="13">
        <f t="shared" si="4574"/>
        <v>0</v>
      </c>
      <c r="X4242" s="13">
        <f t="shared" si="4574"/>
        <v>0</v>
      </c>
      <c r="Y4242" s="13">
        <f t="shared" si="4574"/>
        <v>0</v>
      </c>
      <c r="Z4242" s="13">
        <f t="shared" si="4541"/>
        <v>1</v>
      </c>
      <c r="AA4242" s="13"/>
      <c r="AB4242" s="13"/>
      <c r="AC4242" s="13"/>
      <c r="AD4242" s="13"/>
      <c r="AE4242" s="13"/>
      <c r="AF4242" s="13"/>
      <c r="AG4242" s="13"/>
      <c r="AH4242" s="13"/>
      <c r="AI4242" s="13"/>
      <c r="AJ4242" s="13"/>
      <c r="AK4242" s="13"/>
      <c r="AL4242" s="13"/>
      <c r="AM4242" s="13"/>
      <c r="AN4242" s="13"/>
      <c r="AO4242" s="13"/>
      <c r="AP4242" s="13"/>
      <c r="AQ4242" s="13"/>
      <c r="AR4242" s="13"/>
      <c r="AS4242" s="13"/>
    </row>
    <row r="4243" ht="14.25" customHeight="1">
      <c r="A4243" s="26" t="s">
        <v>46</v>
      </c>
      <c r="B4243" s="31" t="s">
        <v>53</v>
      </c>
      <c r="C4243" s="26">
        <v>238.0</v>
      </c>
      <c r="D4243" s="26" t="s">
        <v>186</v>
      </c>
      <c r="E4243" s="13"/>
      <c r="F4243" s="26"/>
      <c r="G4243" s="26" t="s">
        <v>111</v>
      </c>
      <c r="H4243" s="26" t="s">
        <v>75</v>
      </c>
      <c r="I4243" s="13"/>
      <c r="J4243" s="13"/>
      <c r="K4243" s="15">
        <v>1.0</v>
      </c>
      <c r="L4243" s="15">
        <v>1.0</v>
      </c>
      <c r="M4243" s="16"/>
      <c r="N4243" s="16"/>
      <c r="O4243" s="17"/>
      <c r="P4243" s="17"/>
      <c r="Q4243" s="13"/>
      <c r="R4243" s="13"/>
      <c r="S4243" s="13"/>
      <c r="T4243" s="13">
        <f t="shared" ref="T4243:Y4243" si="4575">IF(ISBLANK(K4243)=TRUE,0,1)</f>
        <v>1</v>
      </c>
      <c r="U4243" s="13">
        <f t="shared" si="4575"/>
        <v>1</v>
      </c>
      <c r="V4243" s="13">
        <f t="shared" si="4575"/>
        <v>0</v>
      </c>
      <c r="W4243" s="13">
        <f t="shared" si="4575"/>
        <v>0</v>
      </c>
      <c r="X4243" s="13">
        <f t="shared" si="4575"/>
        <v>0</v>
      </c>
      <c r="Y4243" s="13">
        <f t="shared" si="4575"/>
        <v>0</v>
      </c>
      <c r="Z4243" s="13">
        <f t="shared" si="4541"/>
        <v>1</v>
      </c>
      <c r="AA4243" s="13"/>
      <c r="AB4243" s="13"/>
      <c r="AC4243" s="13"/>
      <c r="AD4243" s="13"/>
      <c r="AE4243" s="13"/>
      <c r="AF4243" s="13"/>
      <c r="AG4243" s="13"/>
      <c r="AH4243" s="13"/>
      <c r="AI4243" s="13"/>
      <c r="AJ4243" s="13"/>
      <c r="AK4243" s="13"/>
      <c r="AL4243" s="13"/>
      <c r="AM4243" s="13"/>
      <c r="AN4243" s="13"/>
      <c r="AO4243" s="13"/>
      <c r="AP4243" s="13"/>
      <c r="AQ4243" s="13"/>
      <c r="AR4243" s="13"/>
      <c r="AS4243" s="13"/>
    </row>
    <row r="4244" ht="14.25" customHeight="1">
      <c r="A4244" s="26" t="s">
        <v>46</v>
      </c>
      <c r="B4244" s="31" t="s">
        <v>53</v>
      </c>
      <c r="C4244" s="26">
        <v>238.0</v>
      </c>
      <c r="D4244" s="26" t="s">
        <v>187</v>
      </c>
      <c r="E4244" s="13"/>
      <c r="F4244" s="26"/>
      <c r="G4244" s="26" t="s">
        <v>111</v>
      </c>
      <c r="H4244" s="26" t="s">
        <v>75</v>
      </c>
      <c r="I4244" s="13"/>
      <c r="J4244" s="13"/>
      <c r="K4244" s="15">
        <v>1.0</v>
      </c>
      <c r="L4244" s="15">
        <v>1.0</v>
      </c>
      <c r="M4244" s="16"/>
      <c r="N4244" s="16"/>
      <c r="O4244" s="17"/>
      <c r="P4244" s="17"/>
      <c r="Q4244" s="13"/>
      <c r="R4244" s="13"/>
      <c r="S4244" s="13"/>
      <c r="T4244" s="13">
        <f t="shared" ref="T4244:Y4244" si="4576">IF(ISBLANK(K4244)=TRUE,0,1)</f>
        <v>1</v>
      </c>
      <c r="U4244" s="13">
        <f t="shared" si="4576"/>
        <v>1</v>
      </c>
      <c r="V4244" s="13">
        <f t="shared" si="4576"/>
        <v>0</v>
      </c>
      <c r="W4244" s="13">
        <f t="shared" si="4576"/>
        <v>0</v>
      </c>
      <c r="X4244" s="13">
        <f t="shared" si="4576"/>
        <v>0</v>
      </c>
      <c r="Y4244" s="13">
        <f t="shared" si="4576"/>
        <v>0</v>
      </c>
      <c r="Z4244" s="13">
        <f t="shared" si="4541"/>
        <v>1</v>
      </c>
      <c r="AA4244" s="13"/>
      <c r="AB4244" s="13"/>
      <c r="AC4244" s="13"/>
      <c r="AD4244" s="13"/>
      <c r="AE4244" s="13"/>
      <c r="AF4244" s="13"/>
      <c r="AG4244" s="13"/>
      <c r="AH4244" s="13"/>
      <c r="AI4244" s="13"/>
      <c r="AJ4244" s="13"/>
      <c r="AK4244" s="13"/>
      <c r="AL4244" s="13"/>
      <c r="AM4244" s="13"/>
      <c r="AN4244" s="13"/>
      <c r="AO4244" s="13"/>
      <c r="AP4244" s="13"/>
      <c r="AQ4244" s="13"/>
      <c r="AR4244" s="13"/>
      <c r="AS4244" s="13"/>
    </row>
    <row r="4245" ht="14.25" customHeight="1">
      <c r="A4245" s="26" t="s">
        <v>46</v>
      </c>
      <c r="B4245" s="31" t="s">
        <v>53</v>
      </c>
      <c r="C4245" s="26">
        <v>238.0</v>
      </c>
      <c r="D4245" s="26" t="s">
        <v>188</v>
      </c>
      <c r="E4245" s="13"/>
      <c r="F4245" s="26"/>
      <c r="G4245" s="26" t="s">
        <v>111</v>
      </c>
      <c r="H4245" s="26" t="s">
        <v>75</v>
      </c>
      <c r="I4245" s="13"/>
      <c r="J4245" s="13"/>
      <c r="K4245" s="15">
        <v>1.0</v>
      </c>
      <c r="L4245" s="15">
        <v>1.0</v>
      </c>
      <c r="M4245" s="16"/>
      <c r="N4245" s="16"/>
      <c r="O4245" s="17"/>
      <c r="P4245" s="17"/>
      <c r="Q4245" s="13"/>
      <c r="R4245" s="13"/>
      <c r="S4245" s="13"/>
      <c r="T4245" s="13">
        <f t="shared" ref="T4245:Y4245" si="4577">IF(ISBLANK(K4245)=TRUE,0,1)</f>
        <v>1</v>
      </c>
      <c r="U4245" s="13">
        <f t="shared" si="4577"/>
        <v>1</v>
      </c>
      <c r="V4245" s="13">
        <f t="shared" si="4577"/>
        <v>0</v>
      </c>
      <c r="W4245" s="13">
        <f t="shared" si="4577"/>
        <v>0</v>
      </c>
      <c r="X4245" s="13">
        <f t="shared" si="4577"/>
        <v>0</v>
      </c>
      <c r="Y4245" s="13">
        <f t="shared" si="4577"/>
        <v>0</v>
      </c>
      <c r="Z4245" s="13">
        <f t="shared" si="4541"/>
        <v>1</v>
      </c>
      <c r="AA4245" s="13"/>
      <c r="AB4245" s="13"/>
      <c r="AC4245" s="13"/>
      <c r="AD4245" s="13"/>
      <c r="AE4245" s="13"/>
      <c r="AF4245" s="13"/>
      <c r="AG4245" s="13"/>
      <c r="AH4245" s="13"/>
      <c r="AI4245" s="13"/>
      <c r="AJ4245" s="13"/>
      <c r="AK4245" s="13"/>
      <c r="AL4245" s="13"/>
      <c r="AM4245" s="13"/>
      <c r="AN4245" s="13"/>
      <c r="AO4245" s="13"/>
      <c r="AP4245" s="13"/>
      <c r="AQ4245" s="13"/>
      <c r="AR4245" s="13"/>
      <c r="AS4245" s="13"/>
    </row>
    <row r="4246" ht="14.25" customHeight="1">
      <c r="A4246" s="26" t="s">
        <v>46</v>
      </c>
      <c r="B4246" s="31" t="s">
        <v>53</v>
      </c>
      <c r="C4246" s="26">
        <v>238.0</v>
      </c>
      <c r="D4246" s="26" t="s">
        <v>189</v>
      </c>
      <c r="E4246" s="13"/>
      <c r="F4246" s="26"/>
      <c r="G4246" s="26" t="s">
        <v>111</v>
      </c>
      <c r="H4246" s="26" t="s">
        <v>75</v>
      </c>
      <c r="I4246" s="13"/>
      <c r="J4246" s="13"/>
      <c r="K4246" s="15">
        <v>1.0</v>
      </c>
      <c r="L4246" s="15">
        <v>1.0</v>
      </c>
      <c r="M4246" s="16"/>
      <c r="N4246" s="16"/>
      <c r="O4246" s="17"/>
      <c r="P4246" s="17"/>
      <c r="Q4246" s="13"/>
      <c r="R4246" s="13"/>
      <c r="S4246" s="13"/>
      <c r="T4246" s="13">
        <f t="shared" ref="T4246:Y4246" si="4578">IF(ISBLANK(K4246)=TRUE,0,1)</f>
        <v>1</v>
      </c>
      <c r="U4246" s="13">
        <f t="shared" si="4578"/>
        <v>1</v>
      </c>
      <c r="V4246" s="13">
        <f t="shared" si="4578"/>
        <v>0</v>
      </c>
      <c r="W4246" s="13">
        <f t="shared" si="4578"/>
        <v>0</v>
      </c>
      <c r="X4246" s="13">
        <f t="shared" si="4578"/>
        <v>0</v>
      </c>
      <c r="Y4246" s="13">
        <f t="shared" si="4578"/>
        <v>0</v>
      </c>
      <c r="Z4246" s="13">
        <f t="shared" si="4541"/>
        <v>1</v>
      </c>
      <c r="AA4246" s="13"/>
      <c r="AB4246" s="13"/>
      <c r="AC4246" s="13"/>
      <c r="AD4246" s="13"/>
      <c r="AE4246" s="13"/>
      <c r="AF4246" s="13"/>
      <c r="AG4246" s="13"/>
      <c r="AH4246" s="13"/>
      <c r="AI4246" s="13"/>
      <c r="AJ4246" s="13"/>
      <c r="AK4246" s="13"/>
      <c r="AL4246" s="13"/>
      <c r="AM4246" s="13"/>
      <c r="AN4246" s="13"/>
      <c r="AO4246" s="13"/>
      <c r="AP4246" s="13"/>
      <c r="AQ4246" s="13"/>
      <c r="AR4246" s="13"/>
      <c r="AS4246" s="13"/>
    </row>
    <row r="4247" ht="14.25" customHeight="1">
      <c r="A4247" s="26" t="s">
        <v>46</v>
      </c>
      <c r="B4247" s="31" t="s">
        <v>53</v>
      </c>
      <c r="C4247" s="26">
        <v>238.0</v>
      </c>
      <c r="D4247" s="26" t="s">
        <v>190</v>
      </c>
      <c r="E4247" s="13"/>
      <c r="F4247" s="26"/>
      <c r="G4247" s="26" t="s">
        <v>111</v>
      </c>
      <c r="H4247" s="26" t="s">
        <v>75</v>
      </c>
      <c r="I4247" s="13"/>
      <c r="J4247" s="13"/>
      <c r="K4247" s="15">
        <v>1.0</v>
      </c>
      <c r="L4247" s="15">
        <v>1.0</v>
      </c>
      <c r="M4247" s="16"/>
      <c r="N4247" s="16"/>
      <c r="O4247" s="17"/>
      <c r="P4247" s="17"/>
      <c r="Q4247" s="13"/>
      <c r="R4247" s="13"/>
      <c r="S4247" s="13"/>
      <c r="T4247" s="13">
        <f t="shared" ref="T4247:Y4247" si="4579">IF(ISBLANK(K4247)=TRUE,0,1)</f>
        <v>1</v>
      </c>
      <c r="U4247" s="13">
        <f t="shared" si="4579"/>
        <v>1</v>
      </c>
      <c r="V4247" s="13">
        <f t="shared" si="4579"/>
        <v>0</v>
      </c>
      <c r="W4247" s="13">
        <f t="shared" si="4579"/>
        <v>0</v>
      </c>
      <c r="X4247" s="13">
        <f t="shared" si="4579"/>
        <v>0</v>
      </c>
      <c r="Y4247" s="13">
        <f t="shared" si="4579"/>
        <v>0</v>
      </c>
      <c r="Z4247" s="13">
        <f t="shared" si="4541"/>
        <v>1</v>
      </c>
      <c r="AA4247" s="13"/>
      <c r="AB4247" s="13"/>
      <c r="AC4247" s="13"/>
      <c r="AD4247" s="13"/>
      <c r="AE4247" s="13"/>
      <c r="AF4247" s="13"/>
      <c r="AG4247" s="13"/>
      <c r="AH4247" s="13"/>
      <c r="AI4247" s="13"/>
      <c r="AJ4247" s="13"/>
      <c r="AK4247" s="13"/>
      <c r="AL4247" s="13"/>
      <c r="AM4247" s="13"/>
      <c r="AN4247" s="13"/>
      <c r="AO4247" s="13"/>
      <c r="AP4247" s="13"/>
      <c r="AQ4247" s="13"/>
      <c r="AR4247" s="13"/>
      <c r="AS4247" s="13"/>
    </row>
    <row r="4248" ht="14.25" customHeight="1">
      <c r="A4248" s="26" t="s">
        <v>46</v>
      </c>
      <c r="B4248" s="31" t="s">
        <v>53</v>
      </c>
      <c r="C4248" s="26">
        <v>238.0</v>
      </c>
      <c r="D4248" s="26" t="s">
        <v>191</v>
      </c>
      <c r="E4248" s="13"/>
      <c r="F4248" s="26"/>
      <c r="G4248" s="26" t="s">
        <v>111</v>
      </c>
      <c r="H4248" s="26" t="s">
        <v>75</v>
      </c>
      <c r="I4248" s="13"/>
      <c r="J4248" s="13"/>
      <c r="K4248" s="15">
        <v>1.0</v>
      </c>
      <c r="L4248" s="15">
        <v>1.0</v>
      </c>
      <c r="M4248" s="16"/>
      <c r="N4248" s="16"/>
      <c r="O4248" s="17"/>
      <c r="P4248" s="17"/>
      <c r="Q4248" s="13"/>
      <c r="R4248" s="13"/>
      <c r="S4248" s="13"/>
      <c r="T4248" s="13">
        <f t="shared" ref="T4248:Y4248" si="4580">IF(ISBLANK(K4248)=TRUE,0,1)</f>
        <v>1</v>
      </c>
      <c r="U4248" s="13">
        <f t="shared" si="4580"/>
        <v>1</v>
      </c>
      <c r="V4248" s="13">
        <f t="shared" si="4580"/>
        <v>0</v>
      </c>
      <c r="W4248" s="13">
        <f t="shared" si="4580"/>
        <v>0</v>
      </c>
      <c r="X4248" s="13">
        <f t="shared" si="4580"/>
        <v>0</v>
      </c>
      <c r="Y4248" s="13">
        <f t="shared" si="4580"/>
        <v>0</v>
      </c>
      <c r="Z4248" s="13">
        <f t="shared" si="4541"/>
        <v>1</v>
      </c>
      <c r="AA4248" s="13"/>
      <c r="AB4248" s="13"/>
      <c r="AC4248" s="13"/>
      <c r="AD4248" s="13"/>
      <c r="AE4248" s="13"/>
      <c r="AF4248" s="13"/>
      <c r="AG4248" s="13"/>
      <c r="AH4248" s="13"/>
      <c r="AI4248" s="13"/>
      <c r="AJ4248" s="13"/>
      <c r="AK4248" s="13"/>
      <c r="AL4248" s="13"/>
      <c r="AM4248" s="13"/>
      <c r="AN4248" s="13"/>
      <c r="AO4248" s="13"/>
      <c r="AP4248" s="13"/>
      <c r="AQ4248" s="13"/>
      <c r="AR4248" s="13"/>
      <c r="AS4248" s="13"/>
    </row>
    <row r="4249" ht="14.25" customHeight="1">
      <c r="A4249" s="26" t="s">
        <v>46</v>
      </c>
      <c r="B4249" s="31" t="s">
        <v>53</v>
      </c>
      <c r="C4249" s="26">
        <v>238.0</v>
      </c>
      <c r="D4249" s="26" t="s">
        <v>192</v>
      </c>
      <c r="E4249" s="13"/>
      <c r="F4249" s="26"/>
      <c r="G4249" s="26" t="s">
        <v>111</v>
      </c>
      <c r="H4249" s="26" t="s">
        <v>75</v>
      </c>
      <c r="I4249" s="13"/>
      <c r="J4249" s="13"/>
      <c r="K4249" s="15">
        <v>1.0</v>
      </c>
      <c r="L4249" s="15">
        <v>1.0</v>
      </c>
      <c r="M4249" s="16"/>
      <c r="N4249" s="16"/>
      <c r="O4249" s="17"/>
      <c r="P4249" s="17"/>
      <c r="Q4249" s="13"/>
      <c r="R4249" s="13"/>
      <c r="S4249" s="13"/>
      <c r="T4249" s="13">
        <f t="shared" ref="T4249:Y4249" si="4581">IF(ISBLANK(K4249)=TRUE,0,1)</f>
        <v>1</v>
      </c>
      <c r="U4249" s="13">
        <f t="shared" si="4581"/>
        <v>1</v>
      </c>
      <c r="V4249" s="13">
        <f t="shared" si="4581"/>
        <v>0</v>
      </c>
      <c r="W4249" s="13">
        <f t="shared" si="4581"/>
        <v>0</v>
      </c>
      <c r="X4249" s="13">
        <f t="shared" si="4581"/>
        <v>0</v>
      </c>
      <c r="Y4249" s="13">
        <f t="shared" si="4581"/>
        <v>0</v>
      </c>
      <c r="Z4249" s="13">
        <f t="shared" si="4541"/>
        <v>1</v>
      </c>
      <c r="AA4249" s="13"/>
      <c r="AB4249" s="13"/>
      <c r="AC4249" s="13"/>
      <c r="AD4249" s="13"/>
      <c r="AE4249" s="13"/>
      <c r="AF4249" s="13"/>
      <c r="AG4249" s="13"/>
      <c r="AH4249" s="13"/>
      <c r="AI4249" s="13"/>
      <c r="AJ4249" s="13"/>
      <c r="AK4249" s="13"/>
      <c r="AL4249" s="13"/>
      <c r="AM4249" s="13"/>
      <c r="AN4249" s="13"/>
      <c r="AO4249" s="13"/>
      <c r="AP4249" s="13"/>
      <c r="AQ4249" s="13"/>
      <c r="AR4249" s="13"/>
      <c r="AS4249" s="13"/>
    </row>
    <row r="4250" ht="14.25" customHeight="1">
      <c r="A4250" s="26" t="s">
        <v>46</v>
      </c>
      <c r="B4250" s="31" t="s">
        <v>53</v>
      </c>
      <c r="C4250" s="26">
        <v>238.0</v>
      </c>
      <c r="D4250" s="26" t="s">
        <v>193</v>
      </c>
      <c r="E4250" s="13"/>
      <c r="F4250" s="26"/>
      <c r="G4250" s="26" t="s">
        <v>111</v>
      </c>
      <c r="H4250" s="26" t="s">
        <v>75</v>
      </c>
      <c r="I4250" s="13"/>
      <c r="J4250" s="13"/>
      <c r="K4250" s="15">
        <v>1.0</v>
      </c>
      <c r="L4250" s="15">
        <v>1.0</v>
      </c>
      <c r="M4250" s="16"/>
      <c r="N4250" s="16"/>
      <c r="O4250" s="17"/>
      <c r="P4250" s="17"/>
      <c r="Q4250" s="13"/>
      <c r="R4250" s="13"/>
      <c r="S4250" s="13"/>
      <c r="T4250" s="13">
        <f t="shared" ref="T4250:Y4250" si="4582">IF(ISBLANK(K4250)=TRUE,0,1)</f>
        <v>1</v>
      </c>
      <c r="U4250" s="13">
        <f t="shared" si="4582"/>
        <v>1</v>
      </c>
      <c r="V4250" s="13">
        <f t="shared" si="4582"/>
        <v>0</v>
      </c>
      <c r="W4250" s="13">
        <f t="shared" si="4582"/>
        <v>0</v>
      </c>
      <c r="X4250" s="13">
        <f t="shared" si="4582"/>
        <v>0</v>
      </c>
      <c r="Y4250" s="13">
        <f t="shared" si="4582"/>
        <v>0</v>
      </c>
      <c r="Z4250" s="13">
        <f t="shared" si="4541"/>
        <v>1</v>
      </c>
      <c r="AA4250" s="13"/>
      <c r="AB4250" s="13"/>
      <c r="AC4250" s="13"/>
      <c r="AD4250" s="13"/>
      <c r="AE4250" s="13"/>
      <c r="AF4250" s="13"/>
      <c r="AG4250" s="13"/>
      <c r="AH4250" s="13"/>
      <c r="AI4250" s="13"/>
      <c r="AJ4250" s="13"/>
      <c r="AK4250" s="13"/>
      <c r="AL4250" s="13"/>
      <c r="AM4250" s="13"/>
      <c r="AN4250" s="13"/>
      <c r="AO4250" s="13"/>
      <c r="AP4250" s="13"/>
      <c r="AQ4250" s="13"/>
      <c r="AR4250" s="13"/>
      <c r="AS4250" s="13"/>
    </row>
    <row r="4251" ht="14.25" customHeight="1">
      <c r="A4251" s="26" t="s">
        <v>46</v>
      </c>
      <c r="B4251" s="31" t="s">
        <v>53</v>
      </c>
      <c r="C4251" s="26">
        <v>239.0</v>
      </c>
      <c r="D4251" s="26" t="s">
        <v>175</v>
      </c>
      <c r="E4251" s="13"/>
      <c r="F4251" s="26"/>
      <c r="G4251" s="26" t="s">
        <v>111</v>
      </c>
      <c r="H4251" s="26" t="s">
        <v>75</v>
      </c>
      <c r="I4251" s="13"/>
      <c r="J4251" s="13"/>
      <c r="K4251" s="15">
        <v>1.0</v>
      </c>
      <c r="L4251" s="15">
        <v>1.0</v>
      </c>
      <c r="M4251" s="16"/>
      <c r="N4251" s="16"/>
      <c r="O4251" s="17"/>
      <c r="P4251" s="17"/>
      <c r="Q4251" s="13"/>
      <c r="R4251" s="13"/>
      <c r="S4251" s="13"/>
      <c r="T4251" s="13">
        <f t="shared" ref="T4251:Y4251" si="4583">IF(ISBLANK(K4251)=TRUE,0,1)</f>
        <v>1</v>
      </c>
      <c r="U4251" s="13">
        <f t="shared" si="4583"/>
        <v>1</v>
      </c>
      <c r="V4251" s="13">
        <f t="shared" si="4583"/>
        <v>0</v>
      </c>
      <c r="W4251" s="13">
        <f t="shared" si="4583"/>
        <v>0</v>
      </c>
      <c r="X4251" s="13">
        <f t="shared" si="4583"/>
        <v>0</v>
      </c>
      <c r="Y4251" s="13">
        <f t="shared" si="4583"/>
        <v>0</v>
      </c>
      <c r="Z4251" s="13">
        <f t="shared" si="4541"/>
        <v>1</v>
      </c>
      <c r="AA4251" s="13"/>
      <c r="AB4251" s="13"/>
      <c r="AC4251" s="13"/>
      <c r="AD4251" s="13"/>
      <c r="AE4251" s="13"/>
      <c r="AF4251" s="13"/>
      <c r="AG4251" s="13"/>
      <c r="AH4251" s="13"/>
      <c r="AI4251" s="13"/>
      <c r="AJ4251" s="13"/>
      <c r="AK4251" s="13"/>
      <c r="AL4251" s="13"/>
      <c r="AM4251" s="13"/>
      <c r="AN4251" s="13"/>
      <c r="AO4251" s="13"/>
      <c r="AP4251" s="13"/>
      <c r="AQ4251" s="13"/>
      <c r="AR4251" s="13"/>
      <c r="AS4251" s="13"/>
    </row>
    <row r="4252" ht="14.25" customHeight="1">
      <c r="A4252" s="26" t="s">
        <v>46</v>
      </c>
      <c r="B4252" s="31" t="s">
        <v>53</v>
      </c>
      <c r="C4252" s="26">
        <v>239.0</v>
      </c>
      <c r="D4252" s="26" t="s">
        <v>176</v>
      </c>
      <c r="E4252" s="13"/>
      <c r="F4252" s="26"/>
      <c r="G4252" s="26" t="s">
        <v>111</v>
      </c>
      <c r="H4252" s="26" t="s">
        <v>75</v>
      </c>
      <c r="I4252" s="13"/>
      <c r="J4252" s="13"/>
      <c r="K4252" s="15">
        <v>1.0</v>
      </c>
      <c r="L4252" s="15">
        <v>1.0</v>
      </c>
      <c r="M4252" s="16"/>
      <c r="N4252" s="16"/>
      <c r="O4252" s="17"/>
      <c r="P4252" s="17"/>
      <c r="Q4252" s="13"/>
      <c r="R4252" s="13"/>
      <c r="S4252" s="13"/>
      <c r="T4252" s="13">
        <f t="shared" ref="T4252:Y4252" si="4584">IF(ISBLANK(K4252)=TRUE,0,1)</f>
        <v>1</v>
      </c>
      <c r="U4252" s="13">
        <f t="shared" si="4584"/>
        <v>1</v>
      </c>
      <c r="V4252" s="13">
        <f t="shared" si="4584"/>
        <v>0</v>
      </c>
      <c r="W4252" s="13">
        <f t="shared" si="4584"/>
        <v>0</v>
      </c>
      <c r="X4252" s="13">
        <f t="shared" si="4584"/>
        <v>0</v>
      </c>
      <c r="Y4252" s="13">
        <f t="shared" si="4584"/>
        <v>0</v>
      </c>
      <c r="Z4252" s="13">
        <f t="shared" si="4541"/>
        <v>1</v>
      </c>
      <c r="AA4252" s="13"/>
      <c r="AB4252" s="13"/>
      <c r="AC4252" s="13"/>
      <c r="AD4252" s="13"/>
      <c r="AE4252" s="13"/>
      <c r="AF4252" s="13"/>
      <c r="AG4252" s="13"/>
      <c r="AH4252" s="13"/>
      <c r="AI4252" s="13"/>
      <c r="AJ4252" s="13"/>
      <c r="AK4252" s="13"/>
      <c r="AL4252" s="13"/>
      <c r="AM4252" s="13"/>
      <c r="AN4252" s="13"/>
      <c r="AO4252" s="13"/>
      <c r="AP4252" s="13"/>
      <c r="AQ4252" s="13"/>
      <c r="AR4252" s="13"/>
      <c r="AS4252" s="13"/>
    </row>
    <row r="4253" ht="14.25" customHeight="1">
      <c r="A4253" s="26" t="s">
        <v>46</v>
      </c>
      <c r="B4253" s="31" t="s">
        <v>53</v>
      </c>
      <c r="C4253" s="26">
        <v>239.0</v>
      </c>
      <c r="D4253" s="26" t="s">
        <v>177</v>
      </c>
      <c r="E4253" s="13"/>
      <c r="F4253" s="26"/>
      <c r="G4253" s="26" t="s">
        <v>111</v>
      </c>
      <c r="H4253" s="26" t="s">
        <v>75</v>
      </c>
      <c r="I4253" s="13"/>
      <c r="J4253" s="13"/>
      <c r="K4253" s="15">
        <v>1.0</v>
      </c>
      <c r="L4253" s="15">
        <v>1.0</v>
      </c>
      <c r="M4253" s="16"/>
      <c r="N4253" s="16"/>
      <c r="O4253" s="17"/>
      <c r="P4253" s="17"/>
      <c r="Q4253" s="13"/>
      <c r="R4253" s="13"/>
      <c r="S4253" s="13"/>
      <c r="T4253" s="13">
        <f t="shared" ref="T4253:Y4253" si="4585">IF(ISBLANK(K4253)=TRUE,0,1)</f>
        <v>1</v>
      </c>
      <c r="U4253" s="13">
        <f t="shared" si="4585"/>
        <v>1</v>
      </c>
      <c r="V4253" s="13">
        <f t="shared" si="4585"/>
        <v>0</v>
      </c>
      <c r="W4253" s="13">
        <f t="shared" si="4585"/>
        <v>0</v>
      </c>
      <c r="X4253" s="13">
        <f t="shared" si="4585"/>
        <v>0</v>
      </c>
      <c r="Y4253" s="13">
        <f t="shared" si="4585"/>
        <v>0</v>
      </c>
      <c r="Z4253" s="13">
        <f t="shared" si="4541"/>
        <v>1</v>
      </c>
      <c r="AA4253" s="13"/>
      <c r="AB4253" s="13"/>
      <c r="AC4253" s="13"/>
      <c r="AD4253" s="13"/>
      <c r="AE4253" s="13"/>
      <c r="AF4253" s="13"/>
      <c r="AG4253" s="13"/>
      <c r="AH4253" s="13"/>
      <c r="AI4253" s="13"/>
      <c r="AJ4253" s="13"/>
      <c r="AK4253" s="13"/>
      <c r="AL4253" s="13"/>
      <c r="AM4253" s="13"/>
      <c r="AN4253" s="13"/>
      <c r="AO4253" s="13"/>
      <c r="AP4253" s="13"/>
      <c r="AQ4253" s="13"/>
      <c r="AR4253" s="13"/>
      <c r="AS4253" s="13"/>
    </row>
    <row r="4254" ht="14.25" customHeight="1">
      <c r="A4254" s="26" t="s">
        <v>46</v>
      </c>
      <c r="B4254" s="31" t="s">
        <v>53</v>
      </c>
      <c r="C4254" s="26">
        <v>239.0</v>
      </c>
      <c r="D4254" s="26" t="s">
        <v>178</v>
      </c>
      <c r="E4254" s="13"/>
      <c r="F4254" s="26"/>
      <c r="G4254" s="26" t="s">
        <v>111</v>
      </c>
      <c r="H4254" s="26" t="s">
        <v>75</v>
      </c>
      <c r="I4254" s="13"/>
      <c r="J4254" s="13"/>
      <c r="K4254" s="15">
        <v>1.0</v>
      </c>
      <c r="L4254" s="15">
        <v>1.0</v>
      </c>
      <c r="M4254" s="16"/>
      <c r="N4254" s="16"/>
      <c r="O4254" s="17"/>
      <c r="P4254" s="17"/>
      <c r="Q4254" s="13"/>
      <c r="R4254" s="13"/>
      <c r="S4254" s="13"/>
      <c r="T4254" s="13">
        <f t="shared" ref="T4254:Y4254" si="4586">IF(ISBLANK(K4254)=TRUE,0,1)</f>
        <v>1</v>
      </c>
      <c r="U4254" s="13">
        <f t="shared" si="4586"/>
        <v>1</v>
      </c>
      <c r="V4254" s="13">
        <f t="shared" si="4586"/>
        <v>0</v>
      </c>
      <c r="W4254" s="13">
        <f t="shared" si="4586"/>
        <v>0</v>
      </c>
      <c r="X4254" s="13">
        <f t="shared" si="4586"/>
        <v>0</v>
      </c>
      <c r="Y4254" s="13">
        <f t="shared" si="4586"/>
        <v>0</v>
      </c>
      <c r="Z4254" s="13">
        <f t="shared" si="4541"/>
        <v>1</v>
      </c>
      <c r="AA4254" s="13"/>
      <c r="AB4254" s="13"/>
      <c r="AC4254" s="13"/>
      <c r="AD4254" s="13"/>
      <c r="AE4254" s="13"/>
      <c r="AF4254" s="13"/>
      <c r="AG4254" s="13"/>
      <c r="AH4254" s="13"/>
      <c r="AI4254" s="13"/>
      <c r="AJ4254" s="13"/>
      <c r="AK4254" s="13"/>
      <c r="AL4254" s="13"/>
      <c r="AM4254" s="13"/>
      <c r="AN4254" s="13"/>
      <c r="AO4254" s="13"/>
      <c r="AP4254" s="13"/>
      <c r="AQ4254" s="13"/>
      <c r="AR4254" s="13"/>
      <c r="AS4254" s="13"/>
    </row>
    <row r="4255" ht="14.25" customHeight="1">
      <c r="A4255" s="26" t="s">
        <v>46</v>
      </c>
      <c r="B4255" s="31" t="s">
        <v>53</v>
      </c>
      <c r="C4255" s="26">
        <v>239.0</v>
      </c>
      <c r="D4255" s="26" t="s">
        <v>179</v>
      </c>
      <c r="E4255" s="13"/>
      <c r="F4255" s="26"/>
      <c r="G4255" s="26" t="s">
        <v>111</v>
      </c>
      <c r="H4255" s="26" t="s">
        <v>75</v>
      </c>
      <c r="I4255" s="13"/>
      <c r="J4255" s="13"/>
      <c r="K4255" s="15">
        <v>1.0</v>
      </c>
      <c r="L4255" s="15">
        <v>1.0</v>
      </c>
      <c r="M4255" s="16"/>
      <c r="N4255" s="16"/>
      <c r="O4255" s="17"/>
      <c r="P4255" s="17"/>
      <c r="Q4255" s="13"/>
      <c r="R4255" s="13"/>
      <c r="S4255" s="13"/>
      <c r="T4255" s="13">
        <f t="shared" ref="T4255:Y4255" si="4587">IF(ISBLANK(K4255)=TRUE,0,1)</f>
        <v>1</v>
      </c>
      <c r="U4255" s="13">
        <f t="shared" si="4587"/>
        <v>1</v>
      </c>
      <c r="V4255" s="13">
        <f t="shared" si="4587"/>
        <v>0</v>
      </c>
      <c r="W4255" s="13">
        <f t="shared" si="4587"/>
        <v>0</v>
      </c>
      <c r="X4255" s="13">
        <f t="shared" si="4587"/>
        <v>0</v>
      </c>
      <c r="Y4255" s="13">
        <f t="shared" si="4587"/>
        <v>0</v>
      </c>
      <c r="Z4255" s="13">
        <f t="shared" si="4541"/>
        <v>1</v>
      </c>
      <c r="AA4255" s="13"/>
      <c r="AB4255" s="13"/>
      <c r="AC4255" s="13"/>
      <c r="AD4255" s="13"/>
      <c r="AE4255" s="13"/>
      <c r="AF4255" s="13"/>
      <c r="AG4255" s="13"/>
      <c r="AH4255" s="13"/>
      <c r="AI4255" s="13"/>
      <c r="AJ4255" s="13"/>
      <c r="AK4255" s="13"/>
      <c r="AL4255" s="13"/>
      <c r="AM4255" s="13"/>
      <c r="AN4255" s="13"/>
      <c r="AO4255" s="13"/>
      <c r="AP4255" s="13"/>
      <c r="AQ4255" s="13"/>
      <c r="AR4255" s="13"/>
      <c r="AS4255" s="13"/>
    </row>
    <row r="4256" ht="14.25" customHeight="1">
      <c r="A4256" s="26" t="s">
        <v>46</v>
      </c>
      <c r="B4256" s="31" t="s">
        <v>53</v>
      </c>
      <c r="C4256" s="26">
        <v>239.0</v>
      </c>
      <c r="D4256" s="26" t="s">
        <v>180</v>
      </c>
      <c r="E4256" s="13"/>
      <c r="F4256" s="26"/>
      <c r="G4256" s="26" t="s">
        <v>111</v>
      </c>
      <c r="H4256" s="26" t="s">
        <v>75</v>
      </c>
      <c r="I4256" s="13"/>
      <c r="J4256" s="13"/>
      <c r="K4256" s="15">
        <v>1.0</v>
      </c>
      <c r="L4256" s="15">
        <v>1.0</v>
      </c>
      <c r="M4256" s="16"/>
      <c r="N4256" s="16"/>
      <c r="O4256" s="17"/>
      <c r="P4256" s="17"/>
      <c r="Q4256" s="13"/>
      <c r="R4256" s="13"/>
      <c r="S4256" s="13"/>
      <c r="T4256" s="13">
        <f t="shared" ref="T4256:Y4256" si="4588">IF(ISBLANK(K4256)=TRUE,0,1)</f>
        <v>1</v>
      </c>
      <c r="U4256" s="13">
        <f t="shared" si="4588"/>
        <v>1</v>
      </c>
      <c r="V4256" s="13">
        <f t="shared" si="4588"/>
        <v>0</v>
      </c>
      <c r="W4256" s="13">
        <f t="shared" si="4588"/>
        <v>0</v>
      </c>
      <c r="X4256" s="13">
        <f t="shared" si="4588"/>
        <v>0</v>
      </c>
      <c r="Y4256" s="13">
        <f t="shared" si="4588"/>
        <v>0</v>
      </c>
      <c r="Z4256" s="13">
        <f t="shared" si="4541"/>
        <v>1</v>
      </c>
      <c r="AA4256" s="13"/>
      <c r="AB4256" s="13"/>
      <c r="AC4256" s="13"/>
      <c r="AD4256" s="13"/>
      <c r="AE4256" s="13"/>
      <c r="AF4256" s="13"/>
      <c r="AG4256" s="13"/>
      <c r="AH4256" s="13"/>
      <c r="AI4256" s="13"/>
      <c r="AJ4256" s="13"/>
      <c r="AK4256" s="13"/>
      <c r="AL4256" s="13"/>
      <c r="AM4256" s="13"/>
      <c r="AN4256" s="13"/>
      <c r="AO4256" s="13"/>
      <c r="AP4256" s="13"/>
      <c r="AQ4256" s="13"/>
      <c r="AR4256" s="13"/>
      <c r="AS4256" s="13"/>
    </row>
    <row r="4257" ht="14.25" customHeight="1">
      <c r="A4257" s="26" t="s">
        <v>46</v>
      </c>
      <c r="B4257" s="31" t="s">
        <v>53</v>
      </c>
      <c r="C4257" s="26">
        <v>239.0</v>
      </c>
      <c r="D4257" s="26" t="s">
        <v>181</v>
      </c>
      <c r="E4257" s="13"/>
      <c r="F4257" s="26"/>
      <c r="G4257" s="26" t="s">
        <v>111</v>
      </c>
      <c r="H4257" s="26" t="s">
        <v>75</v>
      </c>
      <c r="I4257" s="13"/>
      <c r="J4257" s="13"/>
      <c r="K4257" s="15">
        <v>1.0</v>
      </c>
      <c r="L4257" s="15">
        <v>1.0</v>
      </c>
      <c r="M4257" s="16"/>
      <c r="N4257" s="16"/>
      <c r="O4257" s="17"/>
      <c r="P4257" s="17"/>
      <c r="Q4257" s="13"/>
      <c r="R4257" s="13"/>
      <c r="S4257" s="13"/>
      <c r="T4257" s="13">
        <f t="shared" ref="T4257:Y4257" si="4589">IF(ISBLANK(K4257)=TRUE,0,1)</f>
        <v>1</v>
      </c>
      <c r="U4257" s="13">
        <f t="shared" si="4589"/>
        <v>1</v>
      </c>
      <c r="V4257" s="13">
        <f t="shared" si="4589"/>
        <v>0</v>
      </c>
      <c r="W4257" s="13">
        <f t="shared" si="4589"/>
        <v>0</v>
      </c>
      <c r="X4257" s="13">
        <f t="shared" si="4589"/>
        <v>0</v>
      </c>
      <c r="Y4257" s="13">
        <f t="shared" si="4589"/>
        <v>0</v>
      </c>
      <c r="Z4257" s="13">
        <f t="shared" si="4541"/>
        <v>1</v>
      </c>
      <c r="AA4257" s="13"/>
      <c r="AB4257" s="13"/>
      <c r="AC4257" s="13"/>
      <c r="AD4257" s="13"/>
      <c r="AE4257" s="13"/>
      <c r="AF4257" s="13"/>
      <c r="AG4257" s="13"/>
      <c r="AH4257" s="13"/>
      <c r="AI4257" s="13"/>
      <c r="AJ4257" s="13"/>
      <c r="AK4257" s="13"/>
      <c r="AL4257" s="13"/>
      <c r="AM4257" s="13"/>
      <c r="AN4257" s="13"/>
      <c r="AO4257" s="13"/>
      <c r="AP4257" s="13"/>
      <c r="AQ4257" s="13"/>
      <c r="AR4257" s="13"/>
      <c r="AS4257" s="13"/>
    </row>
    <row r="4258" ht="14.25" customHeight="1">
      <c r="A4258" s="26" t="s">
        <v>46</v>
      </c>
      <c r="B4258" s="31" t="s">
        <v>53</v>
      </c>
      <c r="C4258" s="26">
        <v>239.0</v>
      </c>
      <c r="D4258" s="26" t="s">
        <v>182</v>
      </c>
      <c r="E4258" s="13"/>
      <c r="F4258" s="26"/>
      <c r="G4258" s="26" t="s">
        <v>111</v>
      </c>
      <c r="H4258" s="26" t="s">
        <v>75</v>
      </c>
      <c r="I4258" s="13"/>
      <c r="J4258" s="13"/>
      <c r="K4258" s="15">
        <v>1.0</v>
      </c>
      <c r="L4258" s="15">
        <v>1.0</v>
      </c>
      <c r="M4258" s="16"/>
      <c r="N4258" s="16"/>
      <c r="O4258" s="17"/>
      <c r="P4258" s="17"/>
      <c r="Q4258" s="13"/>
      <c r="R4258" s="13"/>
      <c r="S4258" s="13"/>
      <c r="T4258" s="13">
        <f t="shared" ref="T4258:Y4258" si="4590">IF(ISBLANK(K4258)=TRUE,0,1)</f>
        <v>1</v>
      </c>
      <c r="U4258" s="13">
        <f t="shared" si="4590"/>
        <v>1</v>
      </c>
      <c r="V4258" s="13">
        <f t="shared" si="4590"/>
        <v>0</v>
      </c>
      <c r="W4258" s="13">
        <f t="shared" si="4590"/>
        <v>0</v>
      </c>
      <c r="X4258" s="13">
        <f t="shared" si="4590"/>
        <v>0</v>
      </c>
      <c r="Y4258" s="13">
        <f t="shared" si="4590"/>
        <v>0</v>
      </c>
      <c r="Z4258" s="13">
        <f t="shared" si="4541"/>
        <v>1</v>
      </c>
      <c r="AA4258" s="13"/>
      <c r="AB4258" s="13"/>
      <c r="AC4258" s="13"/>
      <c r="AD4258" s="13"/>
      <c r="AE4258" s="13"/>
      <c r="AF4258" s="13"/>
      <c r="AG4258" s="13"/>
      <c r="AH4258" s="13"/>
      <c r="AI4258" s="13"/>
      <c r="AJ4258" s="13"/>
      <c r="AK4258" s="13"/>
      <c r="AL4258" s="13"/>
      <c r="AM4258" s="13"/>
      <c r="AN4258" s="13"/>
      <c r="AO4258" s="13"/>
      <c r="AP4258" s="13"/>
      <c r="AQ4258" s="13"/>
      <c r="AR4258" s="13"/>
      <c r="AS4258" s="13"/>
    </row>
    <row r="4259" ht="14.25" customHeight="1">
      <c r="A4259" s="26" t="s">
        <v>46</v>
      </c>
      <c r="B4259" s="31" t="s">
        <v>53</v>
      </c>
      <c r="C4259" s="26">
        <v>239.0</v>
      </c>
      <c r="D4259" s="26" t="s">
        <v>183</v>
      </c>
      <c r="E4259" s="13"/>
      <c r="F4259" s="26"/>
      <c r="G4259" s="26" t="s">
        <v>111</v>
      </c>
      <c r="H4259" s="26" t="s">
        <v>75</v>
      </c>
      <c r="I4259" s="13"/>
      <c r="J4259" s="13"/>
      <c r="K4259" s="15">
        <v>1.0</v>
      </c>
      <c r="L4259" s="15">
        <v>1.0</v>
      </c>
      <c r="M4259" s="16"/>
      <c r="N4259" s="16"/>
      <c r="O4259" s="17"/>
      <c r="P4259" s="17"/>
      <c r="Q4259" s="13"/>
      <c r="R4259" s="13"/>
      <c r="S4259" s="13"/>
      <c r="T4259" s="13">
        <f t="shared" ref="T4259:Y4259" si="4591">IF(ISBLANK(K4259)=TRUE,0,1)</f>
        <v>1</v>
      </c>
      <c r="U4259" s="13">
        <f t="shared" si="4591"/>
        <v>1</v>
      </c>
      <c r="V4259" s="13">
        <f t="shared" si="4591"/>
        <v>0</v>
      </c>
      <c r="W4259" s="13">
        <f t="shared" si="4591"/>
        <v>0</v>
      </c>
      <c r="X4259" s="13">
        <f t="shared" si="4591"/>
        <v>0</v>
      </c>
      <c r="Y4259" s="13">
        <f t="shared" si="4591"/>
        <v>0</v>
      </c>
      <c r="Z4259" s="13">
        <f t="shared" si="4541"/>
        <v>1</v>
      </c>
      <c r="AA4259" s="13"/>
      <c r="AB4259" s="13"/>
      <c r="AC4259" s="13"/>
      <c r="AD4259" s="13"/>
      <c r="AE4259" s="13"/>
      <c r="AF4259" s="13"/>
      <c r="AG4259" s="13"/>
      <c r="AH4259" s="13"/>
      <c r="AI4259" s="13"/>
      <c r="AJ4259" s="13"/>
      <c r="AK4259" s="13"/>
      <c r="AL4259" s="13"/>
      <c r="AM4259" s="13"/>
      <c r="AN4259" s="13"/>
      <c r="AO4259" s="13"/>
      <c r="AP4259" s="13"/>
      <c r="AQ4259" s="13"/>
      <c r="AR4259" s="13"/>
      <c r="AS4259" s="13"/>
    </row>
    <row r="4260" ht="14.25" customHeight="1">
      <c r="A4260" s="26" t="s">
        <v>46</v>
      </c>
      <c r="B4260" s="31" t="s">
        <v>53</v>
      </c>
      <c r="C4260" s="26">
        <v>239.0</v>
      </c>
      <c r="D4260" s="26" t="s">
        <v>184</v>
      </c>
      <c r="E4260" s="13"/>
      <c r="F4260" s="26"/>
      <c r="G4260" s="26" t="s">
        <v>111</v>
      </c>
      <c r="H4260" s="26" t="s">
        <v>75</v>
      </c>
      <c r="I4260" s="13"/>
      <c r="J4260" s="13"/>
      <c r="K4260" s="15">
        <v>1.0</v>
      </c>
      <c r="L4260" s="15">
        <v>1.0</v>
      </c>
      <c r="M4260" s="16"/>
      <c r="N4260" s="16"/>
      <c r="O4260" s="17"/>
      <c r="P4260" s="17"/>
      <c r="Q4260" s="13"/>
      <c r="R4260" s="13"/>
      <c r="S4260" s="13"/>
      <c r="T4260" s="13">
        <f t="shared" ref="T4260:Y4260" si="4592">IF(ISBLANK(K4260)=TRUE,0,1)</f>
        <v>1</v>
      </c>
      <c r="U4260" s="13">
        <f t="shared" si="4592"/>
        <v>1</v>
      </c>
      <c r="V4260" s="13">
        <f t="shared" si="4592"/>
        <v>0</v>
      </c>
      <c r="W4260" s="13">
        <f t="shared" si="4592"/>
        <v>0</v>
      </c>
      <c r="X4260" s="13">
        <f t="shared" si="4592"/>
        <v>0</v>
      </c>
      <c r="Y4260" s="13">
        <f t="shared" si="4592"/>
        <v>0</v>
      </c>
      <c r="Z4260" s="13">
        <f t="shared" si="4541"/>
        <v>1</v>
      </c>
      <c r="AA4260" s="13"/>
      <c r="AB4260" s="13"/>
      <c r="AC4260" s="13"/>
      <c r="AD4260" s="13"/>
      <c r="AE4260" s="13"/>
      <c r="AF4260" s="13"/>
      <c r="AG4260" s="13"/>
      <c r="AH4260" s="13"/>
      <c r="AI4260" s="13"/>
      <c r="AJ4260" s="13"/>
      <c r="AK4260" s="13"/>
      <c r="AL4260" s="13"/>
      <c r="AM4260" s="13"/>
      <c r="AN4260" s="13"/>
      <c r="AO4260" s="13"/>
      <c r="AP4260" s="13"/>
      <c r="AQ4260" s="13"/>
      <c r="AR4260" s="13"/>
      <c r="AS4260" s="13"/>
    </row>
    <row r="4261" ht="14.25" customHeight="1">
      <c r="A4261" s="26" t="s">
        <v>46</v>
      </c>
      <c r="B4261" s="31" t="s">
        <v>53</v>
      </c>
      <c r="C4261" s="26">
        <v>239.0</v>
      </c>
      <c r="D4261" s="26" t="s">
        <v>185</v>
      </c>
      <c r="E4261" s="13"/>
      <c r="F4261" s="26"/>
      <c r="G4261" s="26" t="s">
        <v>111</v>
      </c>
      <c r="H4261" s="26" t="s">
        <v>75</v>
      </c>
      <c r="I4261" s="13"/>
      <c r="J4261" s="13"/>
      <c r="K4261" s="15">
        <v>1.0</v>
      </c>
      <c r="L4261" s="15">
        <v>1.0</v>
      </c>
      <c r="M4261" s="16"/>
      <c r="N4261" s="16"/>
      <c r="O4261" s="17"/>
      <c r="P4261" s="17"/>
      <c r="Q4261" s="13"/>
      <c r="R4261" s="13"/>
      <c r="S4261" s="13"/>
      <c r="T4261" s="13">
        <f t="shared" ref="T4261:Y4261" si="4593">IF(ISBLANK(K4261)=TRUE,0,1)</f>
        <v>1</v>
      </c>
      <c r="U4261" s="13">
        <f t="shared" si="4593"/>
        <v>1</v>
      </c>
      <c r="V4261" s="13">
        <f t="shared" si="4593"/>
        <v>0</v>
      </c>
      <c r="W4261" s="13">
        <f t="shared" si="4593"/>
        <v>0</v>
      </c>
      <c r="X4261" s="13">
        <f t="shared" si="4593"/>
        <v>0</v>
      </c>
      <c r="Y4261" s="13">
        <f t="shared" si="4593"/>
        <v>0</v>
      </c>
      <c r="Z4261" s="13">
        <f t="shared" si="4541"/>
        <v>1</v>
      </c>
      <c r="AA4261" s="13"/>
      <c r="AB4261" s="13"/>
      <c r="AC4261" s="13"/>
      <c r="AD4261" s="13"/>
      <c r="AE4261" s="13"/>
      <c r="AF4261" s="13"/>
      <c r="AG4261" s="13"/>
      <c r="AH4261" s="13"/>
      <c r="AI4261" s="13"/>
      <c r="AJ4261" s="13"/>
      <c r="AK4261" s="13"/>
      <c r="AL4261" s="13"/>
      <c r="AM4261" s="13"/>
      <c r="AN4261" s="13"/>
      <c r="AO4261" s="13"/>
      <c r="AP4261" s="13"/>
      <c r="AQ4261" s="13"/>
      <c r="AR4261" s="13"/>
      <c r="AS4261" s="13"/>
    </row>
    <row r="4262" ht="14.25" customHeight="1">
      <c r="A4262" s="26" t="s">
        <v>46</v>
      </c>
      <c r="B4262" s="31" t="s">
        <v>53</v>
      </c>
      <c r="C4262" s="26">
        <v>239.0</v>
      </c>
      <c r="D4262" s="26" t="s">
        <v>186</v>
      </c>
      <c r="E4262" s="13"/>
      <c r="F4262" s="26"/>
      <c r="G4262" s="26" t="s">
        <v>111</v>
      </c>
      <c r="H4262" s="26" t="s">
        <v>75</v>
      </c>
      <c r="I4262" s="13"/>
      <c r="J4262" s="13"/>
      <c r="K4262" s="15">
        <v>1.0</v>
      </c>
      <c r="L4262" s="15">
        <v>1.0</v>
      </c>
      <c r="M4262" s="16"/>
      <c r="N4262" s="16"/>
      <c r="O4262" s="17"/>
      <c r="P4262" s="17"/>
      <c r="Q4262" s="13"/>
      <c r="R4262" s="13"/>
      <c r="S4262" s="13"/>
      <c r="T4262" s="13">
        <f t="shared" ref="T4262:Y4262" si="4594">IF(ISBLANK(K4262)=TRUE,0,1)</f>
        <v>1</v>
      </c>
      <c r="U4262" s="13">
        <f t="shared" si="4594"/>
        <v>1</v>
      </c>
      <c r="V4262" s="13">
        <f t="shared" si="4594"/>
        <v>0</v>
      </c>
      <c r="W4262" s="13">
        <f t="shared" si="4594"/>
        <v>0</v>
      </c>
      <c r="X4262" s="13">
        <f t="shared" si="4594"/>
        <v>0</v>
      </c>
      <c r="Y4262" s="13">
        <f t="shared" si="4594"/>
        <v>0</v>
      </c>
      <c r="Z4262" s="13">
        <f t="shared" si="4541"/>
        <v>1</v>
      </c>
      <c r="AA4262" s="13"/>
      <c r="AB4262" s="13"/>
      <c r="AC4262" s="13"/>
      <c r="AD4262" s="13"/>
      <c r="AE4262" s="13"/>
      <c r="AF4262" s="13"/>
      <c r="AG4262" s="13"/>
      <c r="AH4262" s="13"/>
      <c r="AI4262" s="13"/>
      <c r="AJ4262" s="13"/>
      <c r="AK4262" s="13"/>
      <c r="AL4262" s="13"/>
      <c r="AM4262" s="13"/>
      <c r="AN4262" s="13"/>
      <c r="AO4262" s="13"/>
      <c r="AP4262" s="13"/>
      <c r="AQ4262" s="13"/>
      <c r="AR4262" s="13"/>
      <c r="AS4262" s="13"/>
    </row>
    <row r="4263" ht="14.25" customHeight="1">
      <c r="A4263" s="26" t="s">
        <v>46</v>
      </c>
      <c r="B4263" s="31" t="s">
        <v>53</v>
      </c>
      <c r="C4263" s="26">
        <v>239.0</v>
      </c>
      <c r="D4263" s="26" t="s">
        <v>187</v>
      </c>
      <c r="E4263" s="13"/>
      <c r="F4263" s="26"/>
      <c r="G4263" s="26" t="s">
        <v>111</v>
      </c>
      <c r="H4263" s="26" t="s">
        <v>75</v>
      </c>
      <c r="I4263" s="13"/>
      <c r="J4263" s="13"/>
      <c r="K4263" s="15">
        <v>1.0</v>
      </c>
      <c r="L4263" s="15">
        <v>1.0</v>
      </c>
      <c r="M4263" s="16"/>
      <c r="N4263" s="16"/>
      <c r="O4263" s="17"/>
      <c r="P4263" s="17"/>
      <c r="Q4263" s="13"/>
      <c r="R4263" s="13"/>
      <c r="S4263" s="13"/>
      <c r="T4263" s="13">
        <f t="shared" ref="T4263:Y4263" si="4595">IF(ISBLANK(K4263)=TRUE,0,1)</f>
        <v>1</v>
      </c>
      <c r="U4263" s="13">
        <f t="shared" si="4595"/>
        <v>1</v>
      </c>
      <c r="V4263" s="13">
        <f t="shared" si="4595"/>
        <v>0</v>
      </c>
      <c r="W4263" s="13">
        <f t="shared" si="4595"/>
        <v>0</v>
      </c>
      <c r="X4263" s="13">
        <f t="shared" si="4595"/>
        <v>0</v>
      </c>
      <c r="Y4263" s="13">
        <f t="shared" si="4595"/>
        <v>0</v>
      </c>
      <c r="Z4263" s="13">
        <f t="shared" si="4541"/>
        <v>1</v>
      </c>
      <c r="AA4263" s="13"/>
      <c r="AB4263" s="13"/>
      <c r="AC4263" s="13"/>
      <c r="AD4263" s="13"/>
      <c r="AE4263" s="13"/>
      <c r="AF4263" s="13"/>
      <c r="AG4263" s="13"/>
      <c r="AH4263" s="13"/>
      <c r="AI4263" s="13"/>
      <c r="AJ4263" s="13"/>
      <c r="AK4263" s="13"/>
      <c r="AL4263" s="13"/>
      <c r="AM4263" s="13"/>
      <c r="AN4263" s="13"/>
      <c r="AO4263" s="13"/>
      <c r="AP4263" s="13"/>
      <c r="AQ4263" s="13"/>
      <c r="AR4263" s="13"/>
      <c r="AS4263" s="13"/>
    </row>
    <row r="4264" ht="14.25" customHeight="1">
      <c r="A4264" s="26" t="s">
        <v>46</v>
      </c>
      <c r="B4264" s="31" t="s">
        <v>53</v>
      </c>
      <c r="C4264" s="26">
        <v>239.0</v>
      </c>
      <c r="D4264" s="26" t="s">
        <v>188</v>
      </c>
      <c r="E4264" s="13"/>
      <c r="F4264" s="26"/>
      <c r="G4264" s="26" t="s">
        <v>111</v>
      </c>
      <c r="H4264" s="26" t="s">
        <v>75</v>
      </c>
      <c r="I4264" s="13"/>
      <c r="J4264" s="13"/>
      <c r="K4264" s="15">
        <v>1.0</v>
      </c>
      <c r="L4264" s="15">
        <v>1.0</v>
      </c>
      <c r="M4264" s="16"/>
      <c r="N4264" s="16"/>
      <c r="O4264" s="17"/>
      <c r="P4264" s="17"/>
      <c r="Q4264" s="13"/>
      <c r="R4264" s="13"/>
      <c r="S4264" s="13"/>
      <c r="T4264" s="13">
        <f t="shared" ref="T4264:Y4264" si="4596">IF(ISBLANK(K4264)=TRUE,0,1)</f>
        <v>1</v>
      </c>
      <c r="U4264" s="13">
        <f t="shared" si="4596"/>
        <v>1</v>
      </c>
      <c r="V4264" s="13">
        <f t="shared" si="4596"/>
        <v>0</v>
      </c>
      <c r="W4264" s="13">
        <f t="shared" si="4596"/>
        <v>0</v>
      </c>
      <c r="X4264" s="13">
        <f t="shared" si="4596"/>
        <v>0</v>
      </c>
      <c r="Y4264" s="13">
        <f t="shared" si="4596"/>
        <v>0</v>
      </c>
      <c r="Z4264" s="13">
        <f t="shared" si="4541"/>
        <v>1</v>
      </c>
      <c r="AA4264" s="13"/>
      <c r="AB4264" s="13"/>
      <c r="AC4264" s="13"/>
      <c r="AD4264" s="13"/>
      <c r="AE4264" s="13"/>
      <c r="AF4264" s="13"/>
      <c r="AG4264" s="13"/>
      <c r="AH4264" s="13"/>
      <c r="AI4264" s="13"/>
      <c r="AJ4264" s="13"/>
      <c r="AK4264" s="13"/>
      <c r="AL4264" s="13"/>
      <c r="AM4264" s="13"/>
      <c r="AN4264" s="13"/>
      <c r="AO4264" s="13"/>
      <c r="AP4264" s="13"/>
      <c r="AQ4264" s="13"/>
      <c r="AR4264" s="13"/>
      <c r="AS4264" s="13"/>
    </row>
    <row r="4265" ht="14.25" customHeight="1">
      <c r="A4265" s="26" t="s">
        <v>46</v>
      </c>
      <c r="B4265" s="31" t="s">
        <v>53</v>
      </c>
      <c r="C4265" s="26">
        <v>239.0</v>
      </c>
      <c r="D4265" s="26" t="s">
        <v>189</v>
      </c>
      <c r="E4265" s="13"/>
      <c r="F4265" s="26"/>
      <c r="G4265" s="26" t="s">
        <v>111</v>
      </c>
      <c r="H4265" s="26" t="s">
        <v>75</v>
      </c>
      <c r="I4265" s="13"/>
      <c r="J4265" s="13"/>
      <c r="K4265" s="15">
        <v>1.0</v>
      </c>
      <c r="L4265" s="15">
        <v>1.0</v>
      </c>
      <c r="M4265" s="16"/>
      <c r="N4265" s="16"/>
      <c r="O4265" s="17"/>
      <c r="P4265" s="17"/>
      <c r="Q4265" s="13"/>
      <c r="R4265" s="13"/>
      <c r="S4265" s="13"/>
      <c r="T4265" s="13">
        <f t="shared" ref="T4265:Y4265" si="4597">IF(ISBLANK(K4265)=TRUE,0,1)</f>
        <v>1</v>
      </c>
      <c r="U4265" s="13">
        <f t="shared" si="4597"/>
        <v>1</v>
      </c>
      <c r="V4265" s="13">
        <f t="shared" si="4597"/>
        <v>0</v>
      </c>
      <c r="W4265" s="13">
        <f t="shared" si="4597"/>
        <v>0</v>
      </c>
      <c r="X4265" s="13">
        <f t="shared" si="4597"/>
        <v>0</v>
      </c>
      <c r="Y4265" s="13">
        <f t="shared" si="4597"/>
        <v>0</v>
      </c>
      <c r="Z4265" s="13">
        <f t="shared" si="4541"/>
        <v>1</v>
      </c>
      <c r="AA4265" s="13"/>
      <c r="AB4265" s="13"/>
      <c r="AC4265" s="13"/>
      <c r="AD4265" s="13"/>
      <c r="AE4265" s="13"/>
      <c r="AF4265" s="13"/>
      <c r="AG4265" s="13"/>
      <c r="AH4265" s="13"/>
      <c r="AI4265" s="13"/>
      <c r="AJ4265" s="13"/>
      <c r="AK4265" s="13"/>
      <c r="AL4265" s="13"/>
      <c r="AM4265" s="13"/>
      <c r="AN4265" s="13"/>
      <c r="AO4265" s="13"/>
      <c r="AP4265" s="13"/>
      <c r="AQ4265" s="13"/>
      <c r="AR4265" s="13"/>
      <c r="AS4265" s="13"/>
    </row>
    <row r="4266" ht="14.25" customHeight="1">
      <c r="A4266" s="26" t="s">
        <v>46</v>
      </c>
      <c r="B4266" s="31" t="s">
        <v>53</v>
      </c>
      <c r="C4266" s="26">
        <v>239.0</v>
      </c>
      <c r="D4266" s="26" t="s">
        <v>190</v>
      </c>
      <c r="E4266" s="13"/>
      <c r="F4266" s="26"/>
      <c r="G4266" s="26" t="s">
        <v>111</v>
      </c>
      <c r="H4266" s="26" t="s">
        <v>75</v>
      </c>
      <c r="I4266" s="13"/>
      <c r="J4266" s="13"/>
      <c r="K4266" s="15">
        <v>1.0</v>
      </c>
      <c r="L4266" s="15">
        <v>1.0</v>
      </c>
      <c r="M4266" s="16"/>
      <c r="N4266" s="16"/>
      <c r="O4266" s="17"/>
      <c r="P4266" s="17"/>
      <c r="Q4266" s="13"/>
      <c r="R4266" s="13"/>
      <c r="S4266" s="13"/>
      <c r="T4266" s="13">
        <f t="shared" ref="T4266:Y4266" si="4598">IF(ISBLANK(K4266)=TRUE,0,1)</f>
        <v>1</v>
      </c>
      <c r="U4266" s="13">
        <f t="shared" si="4598"/>
        <v>1</v>
      </c>
      <c r="V4266" s="13">
        <f t="shared" si="4598"/>
        <v>0</v>
      </c>
      <c r="W4266" s="13">
        <f t="shared" si="4598"/>
        <v>0</v>
      </c>
      <c r="X4266" s="13">
        <f t="shared" si="4598"/>
        <v>0</v>
      </c>
      <c r="Y4266" s="13">
        <f t="shared" si="4598"/>
        <v>0</v>
      </c>
      <c r="Z4266" s="13">
        <f t="shared" si="4541"/>
        <v>1</v>
      </c>
      <c r="AA4266" s="13"/>
      <c r="AB4266" s="13"/>
      <c r="AC4266" s="13"/>
      <c r="AD4266" s="13"/>
      <c r="AE4266" s="13"/>
      <c r="AF4266" s="13"/>
      <c r="AG4266" s="13"/>
      <c r="AH4266" s="13"/>
      <c r="AI4266" s="13"/>
      <c r="AJ4266" s="13"/>
      <c r="AK4266" s="13"/>
      <c r="AL4266" s="13"/>
      <c r="AM4266" s="13"/>
      <c r="AN4266" s="13"/>
      <c r="AO4266" s="13"/>
      <c r="AP4266" s="13"/>
      <c r="AQ4266" s="13"/>
      <c r="AR4266" s="13"/>
      <c r="AS4266" s="13"/>
    </row>
    <row r="4267" ht="14.25" customHeight="1">
      <c r="A4267" s="26" t="s">
        <v>46</v>
      </c>
      <c r="B4267" s="31" t="s">
        <v>53</v>
      </c>
      <c r="C4267" s="26">
        <v>239.0</v>
      </c>
      <c r="D4267" s="26" t="s">
        <v>191</v>
      </c>
      <c r="E4267" s="13"/>
      <c r="F4267" s="26"/>
      <c r="G4267" s="26" t="s">
        <v>111</v>
      </c>
      <c r="H4267" s="26" t="s">
        <v>75</v>
      </c>
      <c r="I4267" s="13"/>
      <c r="J4267" s="13"/>
      <c r="K4267" s="15">
        <v>1.0</v>
      </c>
      <c r="L4267" s="15">
        <v>1.0</v>
      </c>
      <c r="M4267" s="16"/>
      <c r="N4267" s="16"/>
      <c r="O4267" s="17"/>
      <c r="P4267" s="17"/>
      <c r="Q4267" s="13"/>
      <c r="R4267" s="13"/>
      <c r="S4267" s="13"/>
      <c r="T4267" s="13">
        <f t="shared" ref="T4267:Y4267" si="4599">IF(ISBLANK(K4267)=TRUE,0,1)</f>
        <v>1</v>
      </c>
      <c r="U4267" s="13">
        <f t="shared" si="4599"/>
        <v>1</v>
      </c>
      <c r="V4267" s="13">
        <f t="shared" si="4599"/>
        <v>0</v>
      </c>
      <c r="W4267" s="13">
        <f t="shared" si="4599"/>
        <v>0</v>
      </c>
      <c r="X4267" s="13">
        <f t="shared" si="4599"/>
        <v>0</v>
      </c>
      <c r="Y4267" s="13">
        <f t="shared" si="4599"/>
        <v>0</v>
      </c>
      <c r="Z4267" s="13">
        <f t="shared" si="4541"/>
        <v>1</v>
      </c>
      <c r="AA4267" s="13"/>
      <c r="AB4267" s="13"/>
      <c r="AC4267" s="13"/>
      <c r="AD4267" s="13"/>
      <c r="AE4267" s="13"/>
      <c r="AF4267" s="13"/>
      <c r="AG4267" s="13"/>
      <c r="AH4267" s="13"/>
      <c r="AI4267" s="13"/>
      <c r="AJ4267" s="13"/>
      <c r="AK4267" s="13"/>
      <c r="AL4267" s="13"/>
      <c r="AM4267" s="13"/>
      <c r="AN4267" s="13"/>
      <c r="AO4267" s="13"/>
      <c r="AP4267" s="13"/>
      <c r="AQ4267" s="13"/>
      <c r="AR4267" s="13"/>
      <c r="AS4267" s="13"/>
    </row>
    <row r="4268" ht="14.25" customHeight="1">
      <c r="A4268" s="26" t="s">
        <v>46</v>
      </c>
      <c r="B4268" s="31" t="s">
        <v>53</v>
      </c>
      <c r="C4268" s="26">
        <v>239.0</v>
      </c>
      <c r="D4268" s="26" t="s">
        <v>192</v>
      </c>
      <c r="E4268" s="13"/>
      <c r="F4268" s="26"/>
      <c r="G4268" s="26" t="s">
        <v>111</v>
      </c>
      <c r="H4268" s="26" t="s">
        <v>75</v>
      </c>
      <c r="I4268" s="13"/>
      <c r="J4268" s="13"/>
      <c r="K4268" s="15">
        <v>1.0</v>
      </c>
      <c r="L4268" s="15">
        <v>1.0</v>
      </c>
      <c r="M4268" s="16"/>
      <c r="N4268" s="16"/>
      <c r="O4268" s="17"/>
      <c r="P4268" s="17"/>
      <c r="Q4268" s="13"/>
      <c r="R4268" s="13"/>
      <c r="S4268" s="13"/>
      <c r="T4268" s="13">
        <f t="shared" ref="T4268:Y4268" si="4600">IF(ISBLANK(K4268)=TRUE,0,1)</f>
        <v>1</v>
      </c>
      <c r="U4268" s="13">
        <f t="shared" si="4600"/>
        <v>1</v>
      </c>
      <c r="V4268" s="13">
        <f t="shared" si="4600"/>
        <v>0</v>
      </c>
      <c r="W4268" s="13">
        <f t="shared" si="4600"/>
        <v>0</v>
      </c>
      <c r="X4268" s="13">
        <f t="shared" si="4600"/>
        <v>0</v>
      </c>
      <c r="Y4268" s="13">
        <f t="shared" si="4600"/>
        <v>0</v>
      </c>
      <c r="Z4268" s="13">
        <f t="shared" si="4541"/>
        <v>1</v>
      </c>
      <c r="AA4268" s="13"/>
      <c r="AB4268" s="13"/>
      <c r="AC4268" s="13"/>
      <c r="AD4268" s="13"/>
      <c r="AE4268" s="13"/>
      <c r="AF4268" s="13"/>
      <c r="AG4268" s="13"/>
      <c r="AH4268" s="13"/>
      <c r="AI4268" s="13"/>
      <c r="AJ4268" s="13"/>
      <c r="AK4268" s="13"/>
      <c r="AL4268" s="13"/>
      <c r="AM4268" s="13"/>
      <c r="AN4268" s="13"/>
      <c r="AO4268" s="13"/>
      <c r="AP4268" s="13"/>
      <c r="AQ4268" s="13"/>
      <c r="AR4268" s="13"/>
      <c r="AS4268" s="13"/>
    </row>
    <row r="4269" ht="14.25" customHeight="1">
      <c r="A4269" s="26" t="s">
        <v>46</v>
      </c>
      <c r="B4269" s="31" t="s">
        <v>53</v>
      </c>
      <c r="C4269" s="26">
        <v>239.0</v>
      </c>
      <c r="D4269" s="26" t="s">
        <v>193</v>
      </c>
      <c r="E4269" s="13"/>
      <c r="F4269" s="26"/>
      <c r="G4269" s="26" t="s">
        <v>111</v>
      </c>
      <c r="H4269" s="26" t="s">
        <v>75</v>
      </c>
      <c r="I4269" s="13"/>
      <c r="J4269" s="13"/>
      <c r="K4269" s="15">
        <v>1.0</v>
      </c>
      <c r="L4269" s="15">
        <v>1.0</v>
      </c>
      <c r="M4269" s="16"/>
      <c r="N4269" s="16"/>
      <c r="O4269" s="17"/>
      <c r="P4269" s="17"/>
      <c r="Q4269" s="13"/>
      <c r="R4269" s="13"/>
      <c r="S4269" s="13"/>
      <c r="T4269" s="13">
        <f t="shared" ref="T4269:Y4269" si="4601">IF(ISBLANK(K4269)=TRUE,0,1)</f>
        <v>1</v>
      </c>
      <c r="U4269" s="13">
        <f t="shared" si="4601"/>
        <v>1</v>
      </c>
      <c r="V4269" s="13">
        <f t="shared" si="4601"/>
        <v>0</v>
      </c>
      <c r="W4269" s="13">
        <f t="shared" si="4601"/>
        <v>0</v>
      </c>
      <c r="X4269" s="13">
        <f t="shared" si="4601"/>
        <v>0</v>
      </c>
      <c r="Y4269" s="13">
        <f t="shared" si="4601"/>
        <v>0</v>
      </c>
      <c r="Z4269" s="13">
        <f t="shared" si="4541"/>
        <v>1</v>
      </c>
      <c r="AA4269" s="13"/>
      <c r="AB4269" s="13"/>
      <c r="AC4269" s="13"/>
      <c r="AD4269" s="13"/>
      <c r="AE4269" s="13"/>
      <c r="AF4269" s="13"/>
      <c r="AG4269" s="13"/>
      <c r="AH4269" s="13"/>
      <c r="AI4269" s="13"/>
      <c r="AJ4269" s="13"/>
      <c r="AK4269" s="13"/>
      <c r="AL4269" s="13"/>
      <c r="AM4269" s="13"/>
      <c r="AN4269" s="13"/>
      <c r="AO4269" s="13"/>
      <c r="AP4269" s="13"/>
      <c r="AQ4269" s="13"/>
      <c r="AR4269" s="13"/>
      <c r="AS4269" s="13"/>
    </row>
    <row r="4270" ht="14.25" customHeight="1">
      <c r="A4270" s="26" t="s">
        <v>46</v>
      </c>
      <c r="B4270" s="31" t="s">
        <v>53</v>
      </c>
      <c r="C4270" s="26">
        <v>239.0</v>
      </c>
      <c r="D4270" s="26" t="s">
        <v>194</v>
      </c>
      <c r="E4270" s="13"/>
      <c r="F4270" s="26"/>
      <c r="G4270" s="26" t="s">
        <v>111</v>
      </c>
      <c r="H4270" s="26" t="s">
        <v>75</v>
      </c>
      <c r="I4270" s="13"/>
      <c r="J4270" s="13"/>
      <c r="K4270" s="15">
        <v>1.0</v>
      </c>
      <c r="L4270" s="15">
        <v>1.0</v>
      </c>
      <c r="M4270" s="16"/>
      <c r="N4270" s="16"/>
      <c r="O4270" s="17"/>
      <c r="P4270" s="17"/>
      <c r="Q4270" s="13"/>
      <c r="R4270" s="13"/>
      <c r="S4270" s="13"/>
      <c r="T4270" s="13">
        <f t="shared" ref="T4270:Y4270" si="4602">IF(ISBLANK(K4270)=TRUE,0,1)</f>
        <v>1</v>
      </c>
      <c r="U4270" s="13">
        <f t="shared" si="4602"/>
        <v>1</v>
      </c>
      <c r="V4270" s="13">
        <f t="shared" si="4602"/>
        <v>0</v>
      </c>
      <c r="W4270" s="13">
        <f t="shared" si="4602"/>
        <v>0</v>
      </c>
      <c r="X4270" s="13">
        <f t="shared" si="4602"/>
        <v>0</v>
      </c>
      <c r="Y4270" s="13">
        <f t="shared" si="4602"/>
        <v>0</v>
      </c>
      <c r="Z4270" s="13">
        <f t="shared" si="4541"/>
        <v>1</v>
      </c>
      <c r="AA4270" s="13"/>
      <c r="AB4270" s="13"/>
      <c r="AC4270" s="13"/>
      <c r="AD4270" s="13"/>
      <c r="AE4270" s="13"/>
      <c r="AF4270" s="13"/>
      <c r="AG4270" s="13"/>
      <c r="AH4270" s="13"/>
      <c r="AI4270" s="13"/>
      <c r="AJ4270" s="13"/>
      <c r="AK4270" s="13"/>
      <c r="AL4270" s="13"/>
      <c r="AM4270" s="13"/>
      <c r="AN4270" s="13"/>
      <c r="AO4270" s="13"/>
      <c r="AP4270" s="13"/>
      <c r="AQ4270" s="13"/>
      <c r="AR4270" s="13"/>
      <c r="AS4270" s="13"/>
    </row>
    <row r="4271" ht="14.25" customHeight="1">
      <c r="A4271" s="26" t="s">
        <v>46</v>
      </c>
      <c r="B4271" s="31" t="s">
        <v>53</v>
      </c>
      <c r="C4271" s="26">
        <v>239.0</v>
      </c>
      <c r="D4271" s="26" t="s">
        <v>195</v>
      </c>
      <c r="E4271" s="13"/>
      <c r="F4271" s="26"/>
      <c r="G4271" s="26" t="s">
        <v>111</v>
      </c>
      <c r="H4271" s="26" t="s">
        <v>75</v>
      </c>
      <c r="I4271" s="13"/>
      <c r="J4271" s="13"/>
      <c r="K4271" s="15">
        <v>1.0</v>
      </c>
      <c r="L4271" s="15">
        <v>1.0</v>
      </c>
      <c r="M4271" s="16"/>
      <c r="N4271" s="16"/>
      <c r="O4271" s="17"/>
      <c r="P4271" s="17"/>
      <c r="Q4271" s="13"/>
      <c r="R4271" s="13"/>
      <c r="S4271" s="13"/>
      <c r="T4271" s="13">
        <f t="shared" ref="T4271:Y4271" si="4603">IF(ISBLANK(K4271)=TRUE,0,1)</f>
        <v>1</v>
      </c>
      <c r="U4271" s="13">
        <f t="shared" si="4603"/>
        <v>1</v>
      </c>
      <c r="V4271" s="13">
        <f t="shared" si="4603"/>
        <v>0</v>
      </c>
      <c r="W4271" s="13">
        <f t="shared" si="4603"/>
        <v>0</v>
      </c>
      <c r="X4271" s="13">
        <f t="shared" si="4603"/>
        <v>0</v>
      </c>
      <c r="Y4271" s="13">
        <f t="shared" si="4603"/>
        <v>0</v>
      </c>
      <c r="Z4271" s="13">
        <f t="shared" si="4541"/>
        <v>1</v>
      </c>
      <c r="AA4271" s="13"/>
      <c r="AB4271" s="13"/>
      <c r="AC4271" s="13"/>
      <c r="AD4271" s="13"/>
      <c r="AE4271" s="13"/>
      <c r="AF4271" s="13"/>
      <c r="AG4271" s="13"/>
      <c r="AH4271" s="13"/>
      <c r="AI4271" s="13"/>
      <c r="AJ4271" s="13"/>
      <c r="AK4271" s="13"/>
      <c r="AL4271" s="13"/>
      <c r="AM4271" s="13"/>
      <c r="AN4271" s="13"/>
      <c r="AO4271" s="13"/>
      <c r="AP4271" s="13"/>
      <c r="AQ4271" s="13"/>
      <c r="AR4271" s="13"/>
      <c r="AS4271" s="13"/>
    </row>
    <row r="4272" ht="14.25" customHeight="1">
      <c r="A4272" s="26" t="s">
        <v>46</v>
      </c>
      <c r="B4272" s="31" t="s">
        <v>53</v>
      </c>
      <c r="C4272" s="26">
        <v>239.0</v>
      </c>
      <c r="D4272" s="26" t="s">
        <v>196</v>
      </c>
      <c r="E4272" s="13"/>
      <c r="F4272" s="26"/>
      <c r="G4272" s="26" t="s">
        <v>111</v>
      </c>
      <c r="H4272" s="26" t="s">
        <v>75</v>
      </c>
      <c r="I4272" s="13"/>
      <c r="J4272" s="13"/>
      <c r="K4272" s="15">
        <v>1.0</v>
      </c>
      <c r="L4272" s="15">
        <v>1.0</v>
      </c>
      <c r="M4272" s="16"/>
      <c r="N4272" s="16"/>
      <c r="O4272" s="17"/>
      <c r="P4272" s="17"/>
      <c r="Q4272" s="13"/>
      <c r="R4272" s="13"/>
      <c r="S4272" s="13"/>
      <c r="T4272" s="13">
        <f t="shared" ref="T4272:Y4272" si="4604">IF(ISBLANK(K4272)=TRUE,0,1)</f>
        <v>1</v>
      </c>
      <c r="U4272" s="13">
        <f t="shared" si="4604"/>
        <v>1</v>
      </c>
      <c r="V4272" s="13">
        <f t="shared" si="4604"/>
        <v>0</v>
      </c>
      <c r="W4272" s="13">
        <f t="shared" si="4604"/>
        <v>0</v>
      </c>
      <c r="X4272" s="13">
        <f t="shared" si="4604"/>
        <v>0</v>
      </c>
      <c r="Y4272" s="13">
        <f t="shared" si="4604"/>
        <v>0</v>
      </c>
      <c r="Z4272" s="13">
        <f t="shared" si="4541"/>
        <v>1</v>
      </c>
      <c r="AA4272" s="13"/>
      <c r="AB4272" s="13"/>
      <c r="AC4272" s="13"/>
      <c r="AD4272" s="13"/>
      <c r="AE4272" s="13"/>
      <c r="AF4272" s="13"/>
      <c r="AG4272" s="13"/>
      <c r="AH4272" s="13"/>
      <c r="AI4272" s="13"/>
      <c r="AJ4272" s="13"/>
      <c r="AK4272" s="13"/>
      <c r="AL4272" s="13"/>
      <c r="AM4272" s="13"/>
      <c r="AN4272" s="13"/>
      <c r="AO4272" s="13"/>
      <c r="AP4272" s="13"/>
      <c r="AQ4272" s="13"/>
      <c r="AR4272" s="13"/>
      <c r="AS4272" s="13"/>
    </row>
    <row r="4273" ht="14.25" customHeight="1">
      <c r="A4273" s="26" t="s">
        <v>46</v>
      </c>
      <c r="B4273" s="31" t="s">
        <v>53</v>
      </c>
      <c r="C4273" s="26">
        <v>239.0</v>
      </c>
      <c r="D4273" s="26" t="s">
        <v>197</v>
      </c>
      <c r="E4273" s="13"/>
      <c r="F4273" s="26"/>
      <c r="G4273" s="26" t="s">
        <v>111</v>
      </c>
      <c r="H4273" s="26" t="s">
        <v>75</v>
      </c>
      <c r="I4273" s="13"/>
      <c r="J4273" s="13"/>
      <c r="K4273" s="15">
        <v>1.0</v>
      </c>
      <c r="L4273" s="15">
        <v>1.0</v>
      </c>
      <c r="M4273" s="16"/>
      <c r="N4273" s="16"/>
      <c r="O4273" s="17"/>
      <c r="P4273" s="17"/>
      <c r="Q4273" s="13"/>
      <c r="R4273" s="13"/>
      <c r="S4273" s="13"/>
      <c r="T4273" s="13">
        <f t="shared" ref="T4273:Y4273" si="4605">IF(ISBLANK(K4273)=TRUE,0,1)</f>
        <v>1</v>
      </c>
      <c r="U4273" s="13">
        <f t="shared" si="4605"/>
        <v>1</v>
      </c>
      <c r="V4273" s="13">
        <f t="shared" si="4605"/>
        <v>0</v>
      </c>
      <c r="W4273" s="13">
        <f t="shared" si="4605"/>
        <v>0</v>
      </c>
      <c r="X4273" s="13">
        <f t="shared" si="4605"/>
        <v>0</v>
      </c>
      <c r="Y4273" s="13">
        <f t="shared" si="4605"/>
        <v>0</v>
      </c>
      <c r="Z4273" s="13">
        <f t="shared" si="4541"/>
        <v>1</v>
      </c>
      <c r="AA4273" s="13"/>
      <c r="AB4273" s="13"/>
      <c r="AC4273" s="13"/>
      <c r="AD4273" s="13"/>
      <c r="AE4273" s="13"/>
      <c r="AF4273" s="13"/>
      <c r="AG4273" s="13"/>
      <c r="AH4273" s="13"/>
      <c r="AI4273" s="13"/>
      <c r="AJ4273" s="13"/>
      <c r="AK4273" s="13"/>
      <c r="AL4273" s="13"/>
      <c r="AM4273" s="13"/>
      <c r="AN4273" s="13"/>
      <c r="AO4273" s="13"/>
      <c r="AP4273" s="13"/>
      <c r="AQ4273" s="13"/>
      <c r="AR4273" s="13"/>
      <c r="AS4273" s="13"/>
    </row>
    <row r="4274" ht="14.25" customHeight="1">
      <c r="A4274" s="26" t="s">
        <v>46</v>
      </c>
      <c r="B4274" s="31" t="s">
        <v>53</v>
      </c>
      <c r="C4274" s="26" t="s">
        <v>748</v>
      </c>
      <c r="D4274" s="26" t="s">
        <v>174</v>
      </c>
      <c r="E4274" s="13"/>
      <c r="F4274" s="26"/>
      <c r="G4274" s="26" t="s">
        <v>111</v>
      </c>
      <c r="H4274" s="26" t="s">
        <v>75</v>
      </c>
      <c r="I4274" s="13"/>
      <c r="J4274" s="13"/>
      <c r="K4274" s="15">
        <v>1.0</v>
      </c>
      <c r="L4274" s="15">
        <v>1.0</v>
      </c>
      <c r="M4274" s="16"/>
      <c r="N4274" s="16"/>
      <c r="O4274" s="17"/>
      <c r="P4274" s="17"/>
      <c r="Q4274" s="13"/>
      <c r="R4274" s="13"/>
      <c r="S4274" s="13"/>
      <c r="T4274" s="13">
        <f t="shared" ref="T4274:Y4274" si="4606">IF(ISBLANK(K4274)=TRUE,0,1)</f>
        <v>1</v>
      </c>
      <c r="U4274" s="13">
        <f t="shared" si="4606"/>
        <v>1</v>
      </c>
      <c r="V4274" s="13">
        <f t="shared" si="4606"/>
        <v>0</v>
      </c>
      <c r="W4274" s="13">
        <f t="shared" si="4606"/>
        <v>0</v>
      </c>
      <c r="X4274" s="13">
        <f t="shared" si="4606"/>
        <v>0</v>
      </c>
      <c r="Y4274" s="13">
        <f t="shared" si="4606"/>
        <v>0</v>
      </c>
      <c r="Z4274" s="13">
        <f t="shared" si="4541"/>
        <v>1</v>
      </c>
      <c r="AA4274" s="13"/>
      <c r="AB4274" s="13"/>
      <c r="AC4274" s="13"/>
      <c r="AD4274" s="13"/>
      <c r="AE4274" s="13"/>
      <c r="AF4274" s="13"/>
      <c r="AG4274" s="13"/>
      <c r="AH4274" s="13"/>
      <c r="AI4274" s="13"/>
      <c r="AJ4274" s="13"/>
      <c r="AK4274" s="13"/>
      <c r="AL4274" s="13"/>
      <c r="AM4274" s="13"/>
      <c r="AN4274" s="13"/>
      <c r="AO4274" s="13"/>
      <c r="AP4274" s="13"/>
      <c r="AQ4274" s="13"/>
      <c r="AR4274" s="13"/>
      <c r="AS4274" s="13"/>
    </row>
    <row r="4275" ht="14.25" customHeight="1">
      <c r="A4275" s="26" t="s">
        <v>46</v>
      </c>
      <c r="B4275" s="31" t="s">
        <v>53</v>
      </c>
      <c r="C4275" s="26" t="s">
        <v>748</v>
      </c>
      <c r="D4275" s="26" t="s">
        <v>175</v>
      </c>
      <c r="E4275" s="13"/>
      <c r="F4275" s="26"/>
      <c r="G4275" s="26" t="s">
        <v>111</v>
      </c>
      <c r="H4275" s="26" t="s">
        <v>75</v>
      </c>
      <c r="I4275" s="13"/>
      <c r="J4275" s="13"/>
      <c r="K4275" s="15">
        <v>1.0</v>
      </c>
      <c r="L4275" s="15">
        <v>1.0</v>
      </c>
      <c r="M4275" s="16"/>
      <c r="N4275" s="16"/>
      <c r="O4275" s="17"/>
      <c r="P4275" s="17"/>
      <c r="Q4275" s="13"/>
      <c r="R4275" s="13"/>
      <c r="S4275" s="13"/>
      <c r="T4275" s="13">
        <f t="shared" ref="T4275:Y4275" si="4607">IF(ISBLANK(K4275)=TRUE,0,1)</f>
        <v>1</v>
      </c>
      <c r="U4275" s="13">
        <f t="shared" si="4607"/>
        <v>1</v>
      </c>
      <c r="V4275" s="13">
        <f t="shared" si="4607"/>
        <v>0</v>
      </c>
      <c r="W4275" s="13">
        <f t="shared" si="4607"/>
        <v>0</v>
      </c>
      <c r="X4275" s="13">
        <f t="shared" si="4607"/>
        <v>0</v>
      </c>
      <c r="Y4275" s="13">
        <f t="shared" si="4607"/>
        <v>0</v>
      </c>
      <c r="Z4275" s="13">
        <f t="shared" si="4541"/>
        <v>1</v>
      </c>
      <c r="AA4275" s="13"/>
      <c r="AB4275" s="13"/>
      <c r="AC4275" s="13"/>
      <c r="AD4275" s="13"/>
      <c r="AE4275" s="13"/>
      <c r="AF4275" s="13"/>
      <c r="AG4275" s="13"/>
      <c r="AH4275" s="13"/>
      <c r="AI4275" s="13"/>
      <c r="AJ4275" s="13"/>
      <c r="AK4275" s="13"/>
      <c r="AL4275" s="13"/>
      <c r="AM4275" s="13"/>
      <c r="AN4275" s="13"/>
      <c r="AO4275" s="13"/>
      <c r="AP4275" s="13"/>
      <c r="AQ4275" s="13"/>
      <c r="AR4275" s="13"/>
      <c r="AS4275" s="13"/>
    </row>
    <row r="4276" ht="14.25" customHeight="1">
      <c r="A4276" s="26" t="s">
        <v>46</v>
      </c>
      <c r="B4276" s="31" t="s">
        <v>53</v>
      </c>
      <c r="C4276" s="26" t="s">
        <v>748</v>
      </c>
      <c r="D4276" s="26" t="s">
        <v>176</v>
      </c>
      <c r="E4276" s="13"/>
      <c r="F4276" s="26"/>
      <c r="G4276" s="26" t="s">
        <v>111</v>
      </c>
      <c r="H4276" s="26" t="s">
        <v>75</v>
      </c>
      <c r="I4276" s="13"/>
      <c r="J4276" s="13"/>
      <c r="K4276" s="15">
        <v>1.0</v>
      </c>
      <c r="L4276" s="15">
        <v>1.0</v>
      </c>
      <c r="M4276" s="16"/>
      <c r="N4276" s="16"/>
      <c r="O4276" s="17"/>
      <c r="P4276" s="17"/>
      <c r="Q4276" s="13"/>
      <c r="R4276" s="13"/>
      <c r="S4276" s="13"/>
      <c r="T4276" s="13">
        <f t="shared" ref="T4276:Y4276" si="4608">IF(ISBLANK(K4276)=TRUE,0,1)</f>
        <v>1</v>
      </c>
      <c r="U4276" s="13">
        <f t="shared" si="4608"/>
        <v>1</v>
      </c>
      <c r="V4276" s="13">
        <f t="shared" si="4608"/>
        <v>0</v>
      </c>
      <c r="W4276" s="13">
        <f t="shared" si="4608"/>
        <v>0</v>
      </c>
      <c r="X4276" s="13">
        <f t="shared" si="4608"/>
        <v>0</v>
      </c>
      <c r="Y4276" s="13">
        <f t="shared" si="4608"/>
        <v>0</v>
      </c>
      <c r="Z4276" s="13">
        <f t="shared" si="4541"/>
        <v>1</v>
      </c>
      <c r="AA4276" s="13"/>
      <c r="AB4276" s="13"/>
      <c r="AC4276" s="13"/>
      <c r="AD4276" s="13"/>
      <c r="AE4276" s="13"/>
      <c r="AF4276" s="13"/>
      <c r="AG4276" s="13"/>
      <c r="AH4276" s="13"/>
      <c r="AI4276" s="13"/>
      <c r="AJ4276" s="13"/>
      <c r="AK4276" s="13"/>
      <c r="AL4276" s="13"/>
      <c r="AM4276" s="13"/>
      <c r="AN4276" s="13"/>
      <c r="AO4276" s="13"/>
      <c r="AP4276" s="13"/>
      <c r="AQ4276" s="13"/>
      <c r="AR4276" s="13"/>
      <c r="AS4276" s="13"/>
    </row>
    <row r="4277" ht="14.25" customHeight="1">
      <c r="A4277" s="26" t="s">
        <v>46</v>
      </c>
      <c r="B4277" s="31" t="s">
        <v>53</v>
      </c>
      <c r="C4277" s="26" t="s">
        <v>748</v>
      </c>
      <c r="D4277" s="26" t="s">
        <v>177</v>
      </c>
      <c r="E4277" s="13"/>
      <c r="F4277" s="26"/>
      <c r="G4277" s="26" t="s">
        <v>111</v>
      </c>
      <c r="H4277" s="26" t="s">
        <v>75</v>
      </c>
      <c r="I4277" s="13"/>
      <c r="J4277" s="13"/>
      <c r="K4277" s="15">
        <v>1.0</v>
      </c>
      <c r="L4277" s="15">
        <v>1.0</v>
      </c>
      <c r="M4277" s="16"/>
      <c r="N4277" s="16"/>
      <c r="O4277" s="17"/>
      <c r="P4277" s="17"/>
      <c r="Q4277" s="13"/>
      <c r="R4277" s="13"/>
      <c r="S4277" s="13"/>
      <c r="T4277" s="13">
        <f t="shared" ref="T4277:Y4277" si="4609">IF(ISBLANK(K4277)=TRUE,0,1)</f>
        <v>1</v>
      </c>
      <c r="U4277" s="13">
        <f t="shared" si="4609"/>
        <v>1</v>
      </c>
      <c r="V4277" s="13">
        <f t="shared" si="4609"/>
        <v>0</v>
      </c>
      <c r="W4277" s="13">
        <f t="shared" si="4609"/>
        <v>0</v>
      </c>
      <c r="X4277" s="13">
        <f t="shared" si="4609"/>
        <v>0</v>
      </c>
      <c r="Y4277" s="13">
        <f t="shared" si="4609"/>
        <v>0</v>
      </c>
      <c r="Z4277" s="13">
        <f t="shared" si="4541"/>
        <v>1</v>
      </c>
      <c r="AA4277" s="13"/>
      <c r="AB4277" s="13"/>
      <c r="AC4277" s="13"/>
      <c r="AD4277" s="13"/>
      <c r="AE4277" s="13"/>
      <c r="AF4277" s="13"/>
      <c r="AG4277" s="13"/>
      <c r="AH4277" s="13"/>
      <c r="AI4277" s="13"/>
      <c r="AJ4277" s="13"/>
      <c r="AK4277" s="13"/>
      <c r="AL4277" s="13"/>
      <c r="AM4277" s="13"/>
      <c r="AN4277" s="13"/>
      <c r="AO4277" s="13"/>
      <c r="AP4277" s="13"/>
      <c r="AQ4277" s="13"/>
      <c r="AR4277" s="13"/>
      <c r="AS4277" s="13"/>
    </row>
    <row r="4278" ht="14.25" customHeight="1">
      <c r="A4278" s="26" t="s">
        <v>46</v>
      </c>
      <c r="B4278" s="31" t="s">
        <v>53</v>
      </c>
      <c r="C4278" s="26" t="s">
        <v>748</v>
      </c>
      <c r="D4278" s="26" t="s">
        <v>178</v>
      </c>
      <c r="E4278" s="13"/>
      <c r="F4278" s="26"/>
      <c r="G4278" s="26" t="s">
        <v>111</v>
      </c>
      <c r="H4278" s="26" t="s">
        <v>75</v>
      </c>
      <c r="I4278" s="13"/>
      <c r="J4278" s="13"/>
      <c r="K4278" s="15">
        <v>1.0</v>
      </c>
      <c r="L4278" s="15">
        <v>1.0</v>
      </c>
      <c r="M4278" s="16"/>
      <c r="N4278" s="16"/>
      <c r="O4278" s="17"/>
      <c r="P4278" s="17"/>
      <c r="Q4278" s="13"/>
      <c r="R4278" s="13"/>
      <c r="S4278" s="13"/>
      <c r="T4278" s="13">
        <f t="shared" ref="T4278:Y4278" si="4610">IF(ISBLANK(K4278)=TRUE,0,1)</f>
        <v>1</v>
      </c>
      <c r="U4278" s="13">
        <f t="shared" si="4610"/>
        <v>1</v>
      </c>
      <c r="V4278" s="13">
        <f t="shared" si="4610"/>
        <v>0</v>
      </c>
      <c r="W4278" s="13">
        <f t="shared" si="4610"/>
        <v>0</v>
      </c>
      <c r="X4278" s="13">
        <f t="shared" si="4610"/>
        <v>0</v>
      </c>
      <c r="Y4278" s="13">
        <f t="shared" si="4610"/>
        <v>0</v>
      </c>
      <c r="Z4278" s="13">
        <f t="shared" si="4541"/>
        <v>1</v>
      </c>
      <c r="AA4278" s="13"/>
      <c r="AB4278" s="13"/>
      <c r="AC4278" s="13"/>
      <c r="AD4278" s="13"/>
      <c r="AE4278" s="13"/>
      <c r="AF4278" s="13"/>
      <c r="AG4278" s="13"/>
      <c r="AH4278" s="13"/>
      <c r="AI4278" s="13"/>
      <c r="AJ4278" s="13"/>
      <c r="AK4278" s="13"/>
      <c r="AL4278" s="13"/>
      <c r="AM4278" s="13"/>
      <c r="AN4278" s="13"/>
      <c r="AO4278" s="13"/>
      <c r="AP4278" s="13"/>
      <c r="AQ4278" s="13"/>
      <c r="AR4278" s="13"/>
      <c r="AS4278" s="13"/>
    </row>
    <row r="4279" ht="14.25" customHeight="1">
      <c r="A4279" s="26" t="s">
        <v>46</v>
      </c>
      <c r="B4279" s="31" t="s">
        <v>53</v>
      </c>
      <c r="C4279" s="26" t="s">
        <v>748</v>
      </c>
      <c r="D4279" s="26" t="s">
        <v>179</v>
      </c>
      <c r="E4279" s="13"/>
      <c r="F4279" s="26"/>
      <c r="G4279" s="26" t="s">
        <v>111</v>
      </c>
      <c r="H4279" s="26" t="s">
        <v>75</v>
      </c>
      <c r="I4279" s="13"/>
      <c r="J4279" s="13"/>
      <c r="K4279" s="15">
        <v>1.0</v>
      </c>
      <c r="L4279" s="15">
        <v>1.0</v>
      </c>
      <c r="M4279" s="16"/>
      <c r="N4279" s="16"/>
      <c r="O4279" s="17"/>
      <c r="P4279" s="17"/>
      <c r="Q4279" s="13"/>
      <c r="R4279" s="13"/>
      <c r="S4279" s="13"/>
      <c r="T4279" s="13">
        <f t="shared" ref="T4279:Y4279" si="4611">IF(ISBLANK(K4279)=TRUE,0,1)</f>
        <v>1</v>
      </c>
      <c r="U4279" s="13">
        <f t="shared" si="4611"/>
        <v>1</v>
      </c>
      <c r="V4279" s="13">
        <f t="shared" si="4611"/>
        <v>0</v>
      </c>
      <c r="W4279" s="13">
        <f t="shared" si="4611"/>
        <v>0</v>
      </c>
      <c r="X4279" s="13">
        <f t="shared" si="4611"/>
        <v>0</v>
      </c>
      <c r="Y4279" s="13">
        <f t="shared" si="4611"/>
        <v>0</v>
      </c>
      <c r="Z4279" s="13">
        <f t="shared" si="4541"/>
        <v>1</v>
      </c>
      <c r="AA4279" s="13"/>
      <c r="AB4279" s="13"/>
      <c r="AC4279" s="13"/>
      <c r="AD4279" s="13"/>
      <c r="AE4279" s="13"/>
      <c r="AF4279" s="13"/>
      <c r="AG4279" s="13"/>
      <c r="AH4279" s="13"/>
      <c r="AI4279" s="13"/>
      <c r="AJ4279" s="13"/>
      <c r="AK4279" s="13"/>
      <c r="AL4279" s="13"/>
      <c r="AM4279" s="13"/>
      <c r="AN4279" s="13"/>
      <c r="AO4279" s="13"/>
      <c r="AP4279" s="13"/>
      <c r="AQ4279" s="13"/>
      <c r="AR4279" s="13"/>
      <c r="AS4279" s="13"/>
    </row>
    <row r="4280" ht="14.25" customHeight="1">
      <c r="A4280" s="26" t="s">
        <v>46</v>
      </c>
      <c r="B4280" s="31" t="s">
        <v>53</v>
      </c>
      <c r="C4280" s="26" t="s">
        <v>748</v>
      </c>
      <c r="D4280" s="26" t="s">
        <v>180</v>
      </c>
      <c r="E4280" s="13"/>
      <c r="F4280" s="26"/>
      <c r="G4280" s="26" t="s">
        <v>111</v>
      </c>
      <c r="H4280" s="26" t="s">
        <v>75</v>
      </c>
      <c r="I4280" s="13"/>
      <c r="J4280" s="13"/>
      <c r="K4280" s="15">
        <v>1.0</v>
      </c>
      <c r="L4280" s="15">
        <v>1.0</v>
      </c>
      <c r="M4280" s="16"/>
      <c r="N4280" s="16"/>
      <c r="O4280" s="17"/>
      <c r="P4280" s="17"/>
      <c r="Q4280" s="13"/>
      <c r="R4280" s="13"/>
      <c r="S4280" s="13"/>
      <c r="T4280" s="13">
        <f t="shared" ref="T4280:Y4280" si="4612">IF(ISBLANK(K4280)=TRUE,0,1)</f>
        <v>1</v>
      </c>
      <c r="U4280" s="13">
        <f t="shared" si="4612"/>
        <v>1</v>
      </c>
      <c r="V4280" s="13">
        <f t="shared" si="4612"/>
        <v>0</v>
      </c>
      <c r="W4280" s="13">
        <f t="shared" si="4612"/>
        <v>0</v>
      </c>
      <c r="X4280" s="13">
        <f t="shared" si="4612"/>
        <v>0</v>
      </c>
      <c r="Y4280" s="13">
        <f t="shared" si="4612"/>
        <v>0</v>
      </c>
      <c r="Z4280" s="13">
        <f t="shared" si="4541"/>
        <v>1</v>
      </c>
      <c r="AA4280" s="13"/>
      <c r="AB4280" s="13"/>
      <c r="AC4280" s="13"/>
      <c r="AD4280" s="13"/>
      <c r="AE4280" s="13"/>
      <c r="AF4280" s="13"/>
      <c r="AG4280" s="13"/>
      <c r="AH4280" s="13"/>
      <c r="AI4280" s="13"/>
      <c r="AJ4280" s="13"/>
      <c r="AK4280" s="13"/>
      <c r="AL4280" s="13"/>
      <c r="AM4280" s="13"/>
      <c r="AN4280" s="13"/>
      <c r="AO4280" s="13"/>
      <c r="AP4280" s="13"/>
      <c r="AQ4280" s="13"/>
      <c r="AR4280" s="13"/>
      <c r="AS4280" s="13"/>
    </row>
    <row r="4281" ht="14.25" customHeight="1">
      <c r="A4281" s="26" t="s">
        <v>46</v>
      </c>
      <c r="B4281" s="31" t="s">
        <v>53</v>
      </c>
      <c r="C4281" s="26" t="s">
        <v>748</v>
      </c>
      <c r="D4281" s="26" t="s">
        <v>182</v>
      </c>
      <c r="E4281" s="13"/>
      <c r="F4281" s="26"/>
      <c r="G4281" s="26" t="s">
        <v>111</v>
      </c>
      <c r="H4281" s="26" t="s">
        <v>75</v>
      </c>
      <c r="I4281" s="13"/>
      <c r="J4281" s="13"/>
      <c r="K4281" s="15">
        <v>1.0</v>
      </c>
      <c r="L4281" s="15">
        <v>1.0</v>
      </c>
      <c r="M4281" s="16"/>
      <c r="N4281" s="16"/>
      <c r="O4281" s="17"/>
      <c r="P4281" s="17"/>
      <c r="Q4281" s="13"/>
      <c r="R4281" s="13"/>
      <c r="S4281" s="13"/>
      <c r="T4281" s="13">
        <f t="shared" ref="T4281:Y4281" si="4613">IF(ISBLANK(K4281)=TRUE,0,1)</f>
        <v>1</v>
      </c>
      <c r="U4281" s="13">
        <f t="shared" si="4613"/>
        <v>1</v>
      </c>
      <c r="V4281" s="13">
        <f t="shared" si="4613"/>
        <v>0</v>
      </c>
      <c r="W4281" s="13">
        <f t="shared" si="4613"/>
        <v>0</v>
      </c>
      <c r="X4281" s="13">
        <f t="shared" si="4613"/>
        <v>0</v>
      </c>
      <c r="Y4281" s="13">
        <f t="shared" si="4613"/>
        <v>0</v>
      </c>
      <c r="Z4281" s="13">
        <f t="shared" si="4541"/>
        <v>1</v>
      </c>
      <c r="AA4281" s="13"/>
      <c r="AB4281" s="13"/>
      <c r="AC4281" s="13"/>
      <c r="AD4281" s="13"/>
      <c r="AE4281" s="13"/>
      <c r="AF4281" s="13"/>
      <c r="AG4281" s="13"/>
      <c r="AH4281" s="13"/>
      <c r="AI4281" s="13"/>
      <c r="AJ4281" s="13"/>
      <c r="AK4281" s="13"/>
      <c r="AL4281" s="13"/>
      <c r="AM4281" s="13"/>
      <c r="AN4281" s="13"/>
      <c r="AO4281" s="13"/>
      <c r="AP4281" s="13"/>
      <c r="AQ4281" s="13"/>
      <c r="AR4281" s="13"/>
      <c r="AS4281" s="13"/>
    </row>
    <row r="4282" ht="14.25" customHeight="1">
      <c r="A4282" s="26" t="s">
        <v>46</v>
      </c>
      <c r="B4282" s="31" t="s">
        <v>53</v>
      </c>
      <c r="C4282" s="26" t="s">
        <v>748</v>
      </c>
      <c r="D4282" s="26" t="s">
        <v>183</v>
      </c>
      <c r="E4282" s="13"/>
      <c r="F4282" s="26"/>
      <c r="G4282" s="26" t="s">
        <v>111</v>
      </c>
      <c r="H4282" s="26" t="s">
        <v>75</v>
      </c>
      <c r="I4282" s="13"/>
      <c r="J4282" s="13"/>
      <c r="K4282" s="15">
        <v>1.0</v>
      </c>
      <c r="L4282" s="15">
        <v>1.0</v>
      </c>
      <c r="M4282" s="16"/>
      <c r="N4282" s="16"/>
      <c r="O4282" s="17"/>
      <c r="P4282" s="17"/>
      <c r="Q4282" s="13"/>
      <c r="R4282" s="13"/>
      <c r="S4282" s="13"/>
      <c r="T4282" s="13">
        <f t="shared" ref="T4282:Y4282" si="4614">IF(ISBLANK(K4282)=TRUE,0,1)</f>
        <v>1</v>
      </c>
      <c r="U4282" s="13">
        <f t="shared" si="4614"/>
        <v>1</v>
      </c>
      <c r="V4282" s="13">
        <f t="shared" si="4614"/>
        <v>0</v>
      </c>
      <c r="W4282" s="13">
        <f t="shared" si="4614"/>
        <v>0</v>
      </c>
      <c r="X4282" s="13">
        <f t="shared" si="4614"/>
        <v>0</v>
      </c>
      <c r="Y4282" s="13">
        <f t="shared" si="4614"/>
        <v>0</v>
      </c>
      <c r="Z4282" s="13">
        <f t="shared" si="4541"/>
        <v>1</v>
      </c>
      <c r="AA4282" s="13"/>
      <c r="AB4282" s="13"/>
      <c r="AC4282" s="13"/>
      <c r="AD4282" s="13"/>
      <c r="AE4282" s="13"/>
      <c r="AF4282" s="13"/>
      <c r="AG4282" s="13"/>
      <c r="AH4282" s="13"/>
      <c r="AI4282" s="13"/>
      <c r="AJ4282" s="13"/>
      <c r="AK4282" s="13"/>
      <c r="AL4282" s="13"/>
      <c r="AM4282" s="13"/>
      <c r="AN4282" s="13"/>
      <c r="AO4282" s="13"/>
      <c r="AP4282" s="13"/>
      <c r="AQ4282" s="13"/>
      <c r="AR4282" s="13"/>
      <c r="AS4282" s="13"/>
    </row>
    <row r="4283" ht="14.25" customHeight="1">
      <c r="A4283" s="26" t="s">
        <v>46</v>
      </c>
      <c r="B4283" s="31" t="s">
        <v>53</v>
      </c>
      <c r="C4283" s="26" t="s">
        <v>748</v>
      </c>
      <c r="D4283" s="26" t="s">
        <v>184</v>
      </c>
      <c r="E4283" s="13"/>
      <c r="F4283" s="26"/>
      <c r="G4283" s="26" t="s">
        <v>111</v>
      </c>
      <c r="H4283" s="26" t="s">
        <v>75</v>
      </c>
      <c r="I4283" s="13"/>
      <c r="J4283" s="13"/>
      <c r="K4283" s="15">
        <v>1.0</v>
      </c>
      <c r="L4283" s="15">
        <v>1.0</v>
      </c>
      <c r="M4283" s="16"/>
      <c r="N4283" s="16"/>
      <c r="O4283" s="17"/>
      <c r="P4283" s="17"/>
      <c r="Q4283" s="13"/>
      <c r="R4283" s="13"/>
      <c r="S4283" s="13"/>
      <c r="T4283" s="13">
        <f t="shared" ref="T4283:Y4283" si="4615">IF(ISBLANK(K4283)=TRUE,0,1)</f>
        <v>1</v>
      </c>
      <c r="U4283" s="13">
        <f t="shared" si="4615"/>
        <v>1</v>
      </c>
      <c r="V4283" s="13">
        <f t="shared" si="4615"/>
        <v>0</v>
      </c>
      <c r="W4283" s="13">
        <f t="shared" si="4615"/>
        <v>0</v>
      </c>
      <c r="X4283" s="13">
        <f t="shared" si="4615"/>
        <v>0</v>
      </c>
      <c r="Y4283" s="13">
        <f t="shared" si="4615"/>
        <v>0</v>
      </c>
      <c r="Z4283" s="13">
        <f t="shared" si="4541"/>
        <v>1</v>
      </c>
      <c r="AA4283" s="13"/>
      <c r="AB4283" s="13"/>
      <c r="AC4283" s="13"/>
      <c r="AD4283" s="13"/>
      <c r="AE4283" s="13"/>
      <c r="AF4283" s="13"/>
      <c r="AG4283" s="13"/>
      <c r="AH4283" s="13"/>
      <c r="AI4283" s="13"/>
      <c r="AJ4283" s="13"/>
      <c r="AK4283" s="13"/>
      <c r="AL4283" s="13"/>
      <c r="AM4283" s="13"/>
      <c r="AN4283" s="13"/>
      <c r="AO4283" s="13"/>
      <c r="AP4283" s="13"/>
      <c r="AQ4283" s="13"/>
      <c r="AR4283" s="13"/>
      <c r="AS4283" s="13"/>
    </row>
    <row r="4284" ht="14.25" customHeight="1">
      <c r="A4284" s="26" t="s">
        <v>46</v>
      </c>
      <c r="B4284" s="31" t="s">
        <v>53</v>
      </c>
      <c r="C4284" s="26" t="s">
        <v>748</v>
      </c>
      <c r="D4284" s="26" t="s">
        <v>185</v>
      </c>
      <c r="E4284" s="13"/>
      <c r="F4284" s="26"/>
      <c r="G4284" s="26" t="s">
        <v>111</v>
      </c>
      <c r="H4284" s="26" t="s">
        <v>75</v>
      </c>
      <c r="I4284" s="13"/>
      <c r="J4284" s="13"/>
      <c r="K4284" s="15">
        <v>1.0</v>
      </c>
      <c r="L4284" s="15">
        <v>1.0</v>
      </c>
      <c r="M4284" s="16"/>
      <c r="N4284" s="16"/>
      <c r="O4284" s="17"/>
      <c r="P4284" s="17"/>
      <c r="Q4284" s="13"/>
      <c r="R4284" s="13"/>
      <c r="S4284" s="13"/>
      <c r="T4284" s="13">
        <f t="shared" ref="T4284:Y4284" si="4616">IF(ISBLANK(K4284)=TRUE,0,1)</f>
        <v>1</v>
      </c>
      <c r="U4284" s="13">
        <f t="shared" si="4616"/>
        <v>1</v>
      </c>
      <c r="V4284" s="13">
        <f t="shared" si="4616"/>
        <v>0</v>
      </c>
      <c r="W4284" s="13">
        <f t="shared" si="4616"/>
        <v>0</v>
      </c>
      <c r="X4284" s="13">
        <f t="shared" si="4616"/>
        <v>0</v>
      </c>
      <c r="Y4284" s="13">
        <f t="shared" si="4616"/>
        <v>0</v>
      </c>
      <c r="Z4284" s="13">
        <f t="shared" si="4541"/>
        <v>1</v>
      </c>
      <c r="AA4284" s="13"/>
      <c r="AB4284" s="13"/>
      <c r="AC4284" s="13"/>
      <c r="AD4284" s="13"/>
      <c r="AE4284" s="13"/>
      <c r="AF4284" s="13"/>
      <c r="AG4284" s="13"/>
      <c r="AH4284" s="13"/>
      <c r="AI4284" s="13"/>
      <c r="AJ4284" s="13"/>
      <c r="AK4284" s="13"/>
      <c r="AL4284" s="13"/>
      <c r="AM4284" s="13"/>
      <c r="AN4284" s="13"/>
      <c r="AO4284" s="13"/>
      <c r="AP4284" s="13"/>
      <c r="AQ4284" s="13"/>
      <c r="AR4284" s="13"/>
      <c r="AS4284" s="13"/>
    </row>
    <row r="4285" ht="14.25" customHeight="1">
      <c r="A4285" s="26" t="s">
        <v>46</v>
      </c>
      <c r="B4285" s="31" t="s">
        <v>53</v>
      </c>
      <c r="C4285" s="26" t="s">
        <v>748</v>
      </c>
      <c r="D4285" s="26" t="s">
        <v>186</v>
      </c>
      <c r="E4285" s="13"/>
      <c r="F4285" s="26"/>
      <c r="G4285" s="26" t="s">
        <v>111</v>
      </c>
      <c r="H4285" s="26" t="s">
        <v>75</v>
      </c>
      <c r="I4285" s="13"/>
      <c r="J4285" s="13"/>
      <c r="K4285" s="15">
        <v>1.0</v>
      </c>
      <c r="L4285" s="15">
        <v>1.0</v>
      </c>
      <c r="M4285" s="16"/>
      <c r="N4285" s="16"/>
      <c r="O4285" s="17"/>
      <c r="P4285" s="17"/>
      <c r="Q4285" s="13"/>
      <c r="R4285" s="13"/>
      <c r="S4285" s="13"/>
      <c r="T4285" s="13">
        <f t="shared" ref="T4285:Y4285" si="4617">IF(ISBLANK(K4285)=TRUE,0,1)</f>
        <v>1</v>
      </c>
      <c r="U4285" s="13">
        <f t="shared" si="4617"/>
        <v>1</v>
      </c>
      <c r="V4285" s="13">
        <f t="shared" si="4617"/>
        <v>0</v>
      </c>
      <c r="W4285" s="13">
        <f t="shared" si="4617"/>
        <v>0</v>
      </c>
      <c r="X4285" s="13">
        <f t="shared" si="4617"/>
        <v>0</v>
      </c>
      <c r="Y4285" s="13">
        <f t="shared" si="4617"/>
        <v>0</v>
      </c>
      <c r="Z4285" s="13">
        <f t="shared" si="4541"/>
        <v>1</v>
      </c>
      <c r="AA4285" s="13"/>
      <c r="AB4285" s="13"/>
      <c r="AC4285" s="13"/>
      <c r="AD4285" s="13"/>
      <c r="AE4285" s="13"/>
      <c r="AF4285" s="13"/>
      <c r="AG4285" s="13"/>
      <c r="AH4285" s="13"/>
      <c r="AI4285" s="13"/>
      <c r="AJ4285" s="13"/>
      <c r="AK4285" s="13"/>
      <c r="AL4285" s="13"/>
      <c r="AM4285" s="13"/>
      <c r="AN4285" s="13"/>
      <c r="AO4285" s="13"/>
      <c r="AP4285" s="13"/>
      <c r="AQ4285" s="13"/>
      <c r="AR4285" s="13"/>
      <c r="AS4285" s="13"/>
    </row>
    <row r="4286" ht="14.25" customHeight="1">
      <c r="A4286" s="26" t="s">
        <v>46</v>
      </c>
      <c r="B4286" s="31" t="s">
        <v>53</v>
      </c>
      <c r="C4286" s="26" t="s">
        <v>748</v>
      </c>
      <c r="D4286" s="26" t="s">
        <v>187</v>
      </c>
      <c r="E4286" s="13"/>
      <c r="F4286" s="26"/>
      <c r="G4286" s="26" t="s">
        <v>111</v>
      </c>
      <c r="H4286" s="26" t="s">
        <v>75</v>
      </c>
      <c r="I4286" s="13"/>
      <c r="J4286" s="13"/>
      <c r="K4286" s="15">
        <v>1.0</v>
      </c>
      <c r="L4286" s="15">
        <v>1.0</v>
      </c>
      <c r="M4286" s="16"/>
      <c r="N4286" s="16"/>
      <c r="O4286" s="17"/>
      <c r="P4286" s="17"/>
      <c r="Q4286" s="13"/>
      <c r="R4286" s="13"/>
      <c r="S4286" s="13"/>
      <c r="T4286" s="13">
        <f t="shared" ref="T4286:Y4286" si="4618">IF(ISBLANK(K4286)=TRUE,0,1)</f>
        <v>1</v>
      </c>
      <c r="U4286" s="13">
        <f t="shared" si="4618"/>
        <v>1</v>
      </c>
      <c r="V4286" s="13">
        <f t="shared" si="4618"/>
        <v>0</v>
      </c>
      <c r="W4286" s="13">
        <f t="shared" si="4618"/>
        <v>0</v>
      </c>
      <c r="X4286" s="13">
        <f t="shared" si="4618"/>
        <v>0</v>
      </c>
      <c r="Y4286" s="13">
        <f t="shared" si="4618"/>
        <v>0</v>
      </c>
      <c r="Z4286" s="13">
        <f t="shared" si="4541"/>
        <v>1</v>
      </c>
      <c r="AA4286" s="13"/>
      <c r="AB4286" s="13"/>
      <c r="AC4286" s="13"/>
      <c r="AD4286" s="13"/>
      <c r="AE4286" s="13"/>
      <c r="AF4286" s="13"/>
      <c r="AG4286" s="13"/>
      <c r="AH4286" s="13"/>
      <c r="AI4286" s="13"/>
      <c r="AJ4286" s="13"/>
      <c r="AK4286" s="13"/>
      <c r="AL4286" s="13"/>
      <c r="AM4286" s="13"/>
      <c r="AN4286" s="13"/>
      <c r="AO4286" s="13"/>
      <c r="AP4286" s="13"/>
      <c r="AQ4286" s="13"/>
      <c r="AR4286" s="13"/>
      <c r="AS4286" s="13"/>
    </row>
    <row r="4287" ht="14.25" customHeight="1">
      <c r="A4287" s="26" t="s">
        <v>46</v>
      </c>
      <c r="B4287" s="31" t="s">
        <v>53</v>
      </c>
      <c r="C4287" s="26" t="s">
        <v>748</v>
      </c>
      <c r="D4287" s="26" t="s">
        <v>188</v>
      </c>
      <c r="E4287" s="13"/>
      <c r="F4287" s="26"/>
      <c r="G4287" s="26" t="s">
        <v>111</v>
      </c>
      <c r="H4287" s="26" t="s">
        <v>75</v>
      </c>
      <c r="I4287" s="13"/>
      <c r="J4287" s="13"/>
      <c r="K4287" s="15">
        <v>1.0</v>
      </c>
      <c r="L4287" s="15">
        <v>1.0</v>
      </c>
      <c r="M4287" s="16"/>
      <c r="N4287" s="16"/>
      <c r="O4287" s="17"/>
      <c r="P4287" s="17"/>
      <c r="Q4287" s="13"/>
      <c r="R4287" s="13"/>
      <c r="S4287" s="13"/>
      <c r="T4287" s="13">
        <f t="shared" ref="T4287:Y4287" si="4619">IF(ISBLANK(K4287)=TRUE,0,1)</f>
        <v>1</v>
      </c>
      <c r="U4287" s="13">
        <f t="shared" si="4619"/>
        <v>1</v>
      </c>
      <c r="V4287" s="13">
        <f t="shared" si="4619"/>
        <v>0</v>
      </c>
      <c r="W4287" s="13">
        <f t="shared" si="4619"/>
        <v>0</v>
      </c>
      <c r="X4287" s="13">
        <f t="shared" si="4619"/>
        <v>0</v>
      </c>
      <c r="Y4287" s="13">
        <f t="shared" si="4619"/>
        <v>0</v>
      </c>
      <c r="Z4287" s="13">
        <f t="shared" si="4541"/>
        <v>1</v>
      </c>
      <c r="AA4287" s="13"/>
      <c r="AB4287" s="13"/>
      <c r="AC4287" s="13"/>
      <c r="AD4287" s="13"/>
      <c r="AE4287" s="13"/>
      <c r="AF4287" s="13"/>
      <c r="AG4287" s="13"/>
      <c r="AH4287" s="13"/>
      <c r="AI4287" s="13"/>
      <c r="AJ4287" s="13"/>
      <c r="AK4287" s="13"/>
      <c r="AL4287" s="13"/>
      <c r="AM4287" s="13"/>
      <c r="AN4287" s="13"/>
      <c r="AO4287" s="13"/>
      <c r="AP4287" s="13"/>
      <c r="AQ4287" s="13"/>
      <c r="AR4287" s="13"/>
      <c r="AS4287" s="13"/>
    </row>
    <row r="4288" ht="14.25" customHeight="1">
      <c r="A4288" s="26" t="s">
        <v>46</v>
      </c>
      <c r="B4288" s="31" t="s">
        <v>53</v>
      </c>
      <c r="C4288" s="26" t="s">
        <v>748</v>
      </c>
      <c r="D4288" s="26" t="s">
        <v>190</v>
      </c>
      <c r="E4288" s="13"/>
      <c r="F4288" s="26"/>
      <c r="G4288" s="26" t="s">
        <v>111</v>
      </c>
      <c r="H4288" s="26" t="s">
        <v>75</v>
      </c>
      <c r="I4288" s="13"/>
      <c r="J4288" s="13"/>
      <c r="K4288" s="15">
        <v>1.0</v>
      </c>
      <c r="L4288" s="15">
        <v>1.0</v>
      </c>
      <c r="M4288" s="16"/>
      <c r="N4288" s="16"/>
      <c r="O4288" s="17"/>
      <c r="P4288" s="17"/>
      <c r="Q4288" s="13"/>
      <c r="R4288" s="13"/>
      <c r="S4288" s="13"/>
      <c r="T4288" s="13">
        <f t="shared" ref="T4288:Y4288" si="4620">IF(ISBLANK(K4288)=TRUE,0,1)</f>
        <v>1</v>
      </c>
      <c r="U4288" s="13">
        <f t="shared" si="4620"/>
        <v>1</v>
      </c>
      <c r="V4288" s="13">
        <f t="shared" si="4620"/>
        <v>0</v>
      </c>
      <c r="W4288" s="13">
        <f t="shared" si="4620"/>
        <v>0</v>
      </c>
      <c r="X4288" s="13">
        <f t="shared" si="4620"/>
        <v>0</v>
      </c>
      <c r="Y4288" s="13">
        <f t="shared" si="4620"/>
        <v>0</v>
      </c>
      <c r="Z4288" s="13">
        <f t="shared" si="4541"/>
        <v>1</v>
      </c>
      <c r="AA4288" s="13"/>
      <c r="AB4288" s="13"/>
      <c r="AC4288" s="13"/>
      <c r="AD4288" s="13"/>
      <c r="AE4288" s="13"/>
      <c r="AF4288" s="13"/>
      <c r="AG4288" s="13"/>
      <c r="AH4288" s="13"/>
      <c r="AI4288" s="13"/>
      <c r="AJ4288" s="13"/>
      <c r="AK4288" s="13"/>
      <c r="AL4288" s="13"/>
      <c r="AM4288" s="13"/>
      <c r="AN4288" s="13"/>
      <c r="AO4288" s="13"/>
      <c r="AP4288" s="13"/>
      <c r="AQ4288" s="13"/>
      <c r="AR4288" s="13"/>
      <c r="AS4288" s="13"/>
    </row>
    <row r="4289" ht="14.25" customHeight="1">
      <c r="A4289" s="26" t="s">
        <v>46</v>
      </c>
      <c r="B4289" s="31" t="s">
        <v>53</v>
      </c>
      <c r="C4289" s="26" t="s">
        <v>748</v>
      </c>
      <c r="D4289" s="26" t="s">
        <v>191</v>
      </c>
      <c r="E4289" s="13"/>
      <c r="F4289" s="26"/>
      <c r="G4289" s="26" t="s">
        <v>111</v>
      </c>
      <c r="H4289" s="26" t="s">
        <v>75</v>
      </c>
      <c r="I4289" s="13"/>
      <c r="J4289" s="13"/>
      <c r="K4289" s="15">
        <v>1.0</v>
      </c>
      <c r="L4289" s="15">
        <v>1.0</v>
      </c>
      <c r="M4289" s="16"/>
      <c r="N4289" s="16"/>
      <c r="O4289" s="17"/>
      <c r="P4289" s="17"/>
      <c r="Q4289" s="13"/>
      <c r="R4289" s="13"/>
      <c r="S4289" s="13"/>
      <c r="T4289" s="13">
        <f t="shared" ref="T4289:Y4289" si="4621">IF(ISBLANK(K4289)=TRUE,0,1)</f>
        <v>1</v>
      </c>
      <c r="U4289" s="13">
        <f t="shared" si="4621"/>
        <v>1</v>
      </c>
      <c r="V4289" s="13">
        <f t="shared" si="4621"/>
        <v>0</v>
      </c>
      <c r="W4289" s="13">
        <f t="shared" si="4621"/>
        <v>0</v>
      </c>
      <c r="X4289" s="13">
        <f t="shared" si="4621"/>
        <v>0</v>
      </c>
      <c r="Y4289" s="13">
        <f t="shared" si="4621"/>
        <v>0</v>
      </c>
      <c r="Z4289" s="13">
        <f t="shared" si="4541"/>
        <v>1</v>
      </c>
      <c r="AA4289" s="13"/>
      <c r="AB4289" s="13"/>
      <c r="AC4289" s="13"/>
      <c r="AD4289" s="13"/>
      <c r="AE4289" s="13"/>
      <c r="AF4289" s="13"/>
      <c r="AG4289" s="13"/>
      <c r="AH4289" s="13"/>
      <c r="AI4289" s="13"/>
      <c r="AJ4289" s="13"/>
      <c r="AK4289" s="13"/>
      <c r="AL4289" s="13"/>
      <c r="AM4289" s="13"/>
      <c r="AN4289" s="13"/>
      <c r="AO4289" s="13"/>
      <c r="AP4289" s="13"/>
      <c r="AQ4289" s="13"/>
      <c r="AR4289" s="13"/>
      <c r="AS4289" s="13"/>
    </row>
    <row r="4290" ht="14.25" customHeight="1">
      <c r="A4290" s="26" t="s">
        <v>46</v>
      </c>
      <c r="B4290" s="31" t="s">
        <v>53</v>
      </c>
      <c r="C4290" s="26" t="s">
        <v>748</v>
      </c>
      <c r="D4290" s="26" t="s">
        <v>192</v>
      </c>
      <c r="E4290" s="13"/>
      <c r="F4290" s="26"/>
      <c r="G4290" s="26" t="s">
        <v>111</v>
      </c>
      <c r="H4290" s="26" t="s">
        <v>75</v>
      </c>
      <c r="I4290" s="13"/>
      <c r="J4290" s="13"/>
      <c r="K4290" s="15">
        <v>1.0</v>
      </c>
      <c r="L4290" s="15">
        <v>1.0</v>
      </c>
      <c r="M4290" s="16"/>
      <c r="N4290" s="16"/>
      <c r="O4290" s="17"/>
      <c r="P4290" s="17"/>
      <c r="Q4290" s="13"/>
      <c r="R4290" s="13"/>
      <c r="S4290" s="13"/>
      <c r="T4290" s="13">
        <f t="shared" ref="T4290:Y4290" si="4622">IF(ISBLANK(K4290)=TRUE,0,1)</f>
        <v>1</v>
      </c>
      <c r="U4290" s="13">
        <f t="shared" si="4622"/>
        <v>1</v>
      </c>
      <c r="V4290" s="13">
        <f t="shared" si="4622"/>
        <v>0</v>
      </c>
      <c r="W4290" s="13">
        <f t="shared" si="4622"/>
        <v>0</v>
      </c>
      <c r="X4290" s="13">
        <f t="shared" si="4622"/>
        <v>0</v>
      </c>
      <c r="Y4290" s="13">
        <f t="shared" si="4622"/>
        <v>0</v>
      </c>
      <c r="Z4290" s="13">
        <f t="shared" si="4541"/>
        <v>1</v>
      </c>
      <c r="AA4290" s="13"/>
      <c r="AB4290" s="13"/>
      <c r="AC4290" s="13"/>
      <c r="AD4290" s="13"/>
      <c r="AE4290" s="13"/>
      <c r="AF4290" s="13"/>
      <c r="AG4290" s="13"/>
      <c r="AH4290" s="13"/>
      <c r="AI4290" s="13"/>
      <c r="AJ4290" s="13"/>
      <c r="AK4290" s="13"/>
      <c r="AL4290" s="13"/>
      <c r="AM4290" s="13"/>
      <c r="AN4290" s="13"/>
      <c r="AO4290" s="13"/>
      <c r="AP4290" s="13"/>
      <c r="AQ4290" s="13"/>
      <c r="AR4290" s="13"/>
      <c r="AS4290" s="13"/>
    </row>
    <row r="4291" ht="14.25" customHeight="1">
      <c r="A4291" s="26" t="s">
        <v>46</v>
      </c>
      <c r="B4291" s="31" t="s">
        <v>53</v>
      </c>
      <c r="C4291" s="26" t="s">
        <v>748</v>
      </c>
      <c r="D4291" s="26" t="s">
        <v>194</v>
      </c>
      <c r="E4291" s="13"/>
      <c r="F4291" s="26"/>
      <c r="G4291" s="26" t="s">
        <v>111</v>
      </c>
      <c r="H4291" s="26" t="s">
        <v>75</v>
      </c>
      <c r="I4291" s="13"/>
      <c r="J4291" s="13"/>
      <c r="K4291" s="15">
        <v>1.0</v>
      </c>
      <c r="L4291" s="15">
        <v>1.0</v>
      </c>
      <c r="M4291" s="16"/>
      <c r="N4291" s="16"/>
      <c r="O4291" s="17"/>
      <c r="P4291" s="17"/>
      <c r="Q4291" s="13"/>
      <c r="R4291" s="13"/>
      <c r="S4291" s="13"/>
      <c r="T4291" s="13">
        <f t="shared" ref="T4291:Y4291" si="4623">IF(ISBLANK(K4291)=TRUE,0,1)</f>
        <v>1</v>
      </c>
      <c r="U4291" s="13">
        <f t="shared" si="4623"/>
        <v>1</v>
      </c>
      <c r="V4291" s="13">
        <f t="shared" si="4623"/>
        <v>0</v>
      </c>
      <c r="W4291" s="13">
        <f t="shared" si="4623"/>
        <v>0</v>
      </c>
      <c r="X4291" s="13">
        <f t="shared" si="4623"/>
        <v>0</v>
      </c>
      <c r="Y4291" s="13">
        <f t="shared" si="4623"/>
        <v>0</v>
      </c>
      <c r="Z4291" s="13">
        <f t="shared" si="4541"/>
        <v>1</v>
      </c>
      <c r="AA4291" s="13"/>
      <c r="AB4291" s="13"/>
      <c r="AC4291" s="13"/>
      <c r="AD4291" s="13"/>
      <c r="AE4291" s="13"/>
      <c r="AF4291" s="13"/>
      <c r="AG4291" s="13"/>
      <c r="AH4291" s="13"/>
      <c r="AI4291" s="13"/>
      <c r="AJ4291" s="13"/>
      <c r="AK4291" s="13"/>
      <c r="AL4291" s="13"/>
      <c r="AM4291" s="13"/>
      <c r="AN4291" s="13"/>
      <c r="AO4291" s="13"/>
      <c r="AP4291" s="13"/>
      <c r="AQ4291" s="13"/>
      <c r="AR4291" s="13"/>
      <c r="AS4291" s="13"/>
    </row>
    <row r="4292" ht="14.25" customHeight="1">
      <c r="A4292" s="26" t="s">
        <v>46</v>
      </c>
      <c r="B4292" s="31" t="s">
        <v>53</v>
      </c>
      <c r="C4292" s="26" t="s">
        <v>762</v>
      </c>
      <c r="D4292" s="26" t="s">
        <v>174</v>
      </c>
      <c r="E4292" s="13"/>
      <c r="F4292" s="26"/>
      <c r="G4292" s="26" t="s">
        <v>111</v>
      </c>
      <c r="H4292" s="26" t="s">
        <v>75</v>
      </c>
      <c r="I4292" s="13"/>
      <c r="J4292" s="13"/>
      <c r="K4292" s="15">
        <v>1.0</v>
      </c>
      <c r="L4292" s="15">
        <v>1.0</v>
      </c>
      <c r="M4292" s="16"/>
      <c r="N4292" s="16"/>
      <c r="O4292" s="17"/>
      <c r="P4292" s="17"/>
      <c r="Q4292" s="13"/>
      <c r="R4292" s="13"/>
      <c r="S4292" s="13"/>
      <c r="T4292" s="13">
        <f t="shared" ref="T4292:Y4292" si="4624">IF(ISBLANK(K4292)=TRUE,0,1)</f>
        <v>1</v>
      </c>
      <c r="U4292" s="13">
        <f t="shared" si="4624"/>
        <v>1</v>
      </c>
      <c r="V4292" s="13">
        <f t="shared" si="4624"/>
        <v>0</v>
      </c>
      <c r="W4292" s="13">
        <f t="shared" si="4624"/>
        <v>0</v>
      </c>
      <c r="X4292" s="13">
        <f t="shared" si="4624"/>
        <v>0</v>
      </c>
      <c r="Y4292" s="13">
        <f t="shared" si="4624"/>
        <v>0</v>
      </c>
      <c r="Z4292" s="13">
        <f t="shared" si="4541"/>
        <v>1</v>
      </c>
      <c r="AA4292" s="13"/>
      <c r="AB4292" s="13"/>
      <c r="AC4292" s="13"/>
      <c r="AD4292" s="13"/>
      <c r="AE4292" s="13"/>
      <c r="AF4292" s="13"/>
      <c r="AG4292" s="13"/>
      <c r="AH4292" s="13"/>
      <c r="AI4292" s="13"/>
      <c r="AJ4292" s="13"/>
      <c r="AK4292" s="13"/>
      <c r="AL4292" s="13"/>
      <c r="AM4292" s="13"/>
      <c r="AN4292" s="13"/>
      <c r="AO4292" s="13"/>
      <c r="AP4292" s="13"/>
      <c r="AQ4292" s="13"/>
      <c r="AR4292" s="13"/>
      <c r="AS4292" s="13"/>
    </row>
    <row r="4293" ht="14.25" customHeight="1">
      <c r="A4293" s="26" t="s">
        <v>46</v>
      </c>
      <c r="B4293" s="31" t="s">
        <v>53</v>
      </c>
      <c r="C4293" s="26" t="s">
        <v>762</v>
      </c>
      <c r="D4293" s="26" t="s">
        <v>175</v>
      </c>
      <c r="E4293" s="13"/>
      <c r="F4293" s="26"/>
      <c r="G4293" s="26" t="s">
        <v>111</v>
      </c>
      <c r="H4293" s="26" t="s">
        <v>75</v>
      </c>
      <c r="I4293" s="13"/>
      <c r="J4293" s="13"/>
      <c r="K4293" s="15">
        <v>1.0</v>
      </c>
      <c r="L4293" s="15">
        <v>1.0</v>
      </c>
      <c r="M4293" s="16"/>
      <c r="N4293" s="16"/>
      <c r="O4293" s="17"/>
      <c r="P4293" s="17"/>
      <c r="Q4293" s="13"/>
      <c r="R4293" s="13"/>
      <c r="S4293" s="13"/>
      <c r="T4293" s="13">
        <f t="shared" ref="T4293:Y4293" si="4625">IF(ISBLANK(K4293)=TRUE,0,1)</f>
        <v>1</v>
      </c>
      <c r="U4293" s="13">
        <f t="shared" si="4625"/>
        <v>1</v>
      </c>
      <c r="V4293" s="13">
        <f t="shared" si="4625"/>
        <v>0</v>
      </c>
      <c r="W4293" s="13">
        <f t="shared" si="4625"/>
        <v>0</v>
      </c>
      <c r="X4293" s="13">
        <f t="shared" si="4625"/>
        <v>0</v>
      </c>
      <c r="Y4293" s="13">
        <f t="shared" si="4625"/>
        <v>0</v>
      </c>
      <c r="Z4293" s="13">
        <f t="shared" si="4541"/>
        <v>1</v>
      </c>
      <c r="AA4293" s="13"/>
      <c r="AB4293" s="13"/>
      <c r="AC4293" s="13"/>
      <c r="AD4293" s="13"/>
      <c r="AE4293" s="13"/>
      <c r="AF4293" s="13"/>
      <c r="AG4293" s="13"/>
      <c r="AH4293" s="13"/>
      <c r="AI4293" s="13"/>
      <c r="AJ4293" s="13"/>
      <c r="AK4293" s="13"/>
      <c r="AL4293" s="13"/>
      <c r="AM4293" s="13"/>
      <c r="AN4293" s="13"/>
      <c r="AO4293" s="13"/>
      <c r="AP4293" s="13"/>
      <c r="AQ4293" s="13"/>
      <c r="AR4293" s="13"/>
      <c r="AS4293" s="13"/>
    </row>
    <row r="4294" ht="14.25" customHeight="1">
      <c r="A4294" s="26" t="s">
        <v>46</v>
      </c>
      <c r="B4294" s="31" t="s">
        <v>53</v>
      </c>
      <c r="C4294" s="26" t="s">
        <v>762</v>
      </c>
      <c r="D4294" s="26" t="s">
        <v>176</v>
      </c>
      <c r="E4294" s="13"/>
      <c r="F4294" s="26"/>
      <c r="G4294" s="26" t="s">
        <v>111</v>
      </c>
      <c r="H4294" s="26" t="s">
        <v>75</v>
      </c>
      <c r="I4294" s="13"/>
      <c r="J4294" s="13"/>
      <c r="K4294" s="15">
        <v>1.0</v>
      </c>
      <c r="L4294" s="15">
        <v>1.0</v>
      </c>
      <c r="M4294" s="16"/>
      <c r="N4294" s="16"/>
      <c r="O4294" s="17"/>
      <c r="P4294" s="17"/>
      <c r="Q4294" s="13"/>
      <c r="R4294" s="13"/>
      <c r="S4294" s="13"/>
      <c r="T4294" s="13">
        <f t="shared" ref="T4294:Y4294" si="4626">IF(ISBLANK(K4294)=TRUE,0,1)</f>
        <v>1</v>
      </c>
      <c r="U4294" s="13">
        <f t="shared" si="4626"/>
        <v>1</v>
      </c>
      <c r="V4294" s="13">
        <f t="shared" si="4626"/>
        <v>0</v>
      </c>
      <c r="W4294" s="13">
        <f t="shared" si="4626"/>
        <v>0</v>
      </c>
      <c r="X4294" s="13">
        <f t="shared" si="4626"/>
        <v>0</v>
      </c>
      <c r="Y4294" s="13">
        <f t="shared" si="4626"/>
        <v>0</v>
      </c>
      <c r="Z4294" s="13">
        <f t="shared" si="4541"/>
        <v>1</v>
      </c>
      <c r="AA4294" s="13"/>
      <c r="AB4294" s="13"/>
      <c r="AC4294" s="13"/>
      <c r="AD4294" s="13"/>
      <c r="AE4294" s="13"/>
      <c r="AF4294" s="13"/>
      <c r="AG4294" s="13"/>
      <c r="AH4294" s="13"/>
      <c r="AI4294" s="13"/>
      <c r="AJ4294" s="13"/>
      <c r="AK4294" s="13"/>
      <c r="AL4294" s="13"/>
      <c r="AM4294" s="13"/>
      <c r="AN4294" s="13"/>
      <c r="AO4294" s="13"/>
      <c r="AP4294" s="13"/>
      <c r="AQ4294" s="13"/>
      <c r="AR4294" s="13"/>
      <c r="AS4294" s="13"/>
    </row>
    <row r="4295" ht="14.25" customHeight="1">
      <c r="A4295" s="26" t="s">
        <v>46</v>
      </c>
      <c r="B4295" s="31" t="s">
        <v>53</v>
      </c>
      <c r="C4295" s="26" t="s">
        <v>762</v>
      </c>
      <c r="D4295" s="26" t="s">
        <v>177</v>
      </c>
      <c r="E4295" s="13"/>
      <c r="F4295" s="26"/>
      <c r="G4295" s="26" t="s">
        <v>111</v>
      </c>
      <c r="H4295" s="26" t="s">
        <v>75</v>
      </c>
      <c r="I4295" s="13"/>
      <c r="J4295" s="13"/>
      <c r="K4295" s="15">
        <v>1.0</v>
      </c>
      <c r="L4295" s="15">
        <v>1.0</v>
      </c>
      <c r="M4295" s="16"/>
      <c r="N4295" s="16"/>
      <c r="O4295" s="17"/>
      <c r="P4295" s="17"/>
      <c r="Q4295" s="13"/>
      <c r="R4295" s="13"/>
      <c r="S4295" s="13"/>
      <c r="T4295" s="13">
        <f t="shared" ref="T4295:Y4295" si="4627">IF(ISBLANK(K4295)=TRUE,0,1)</f>
        <v>1</v>
      </c>
      <c r="U4295" s="13">
        <f t="shared" si="4627"/>
        <v>1</v>
      </c>
      <c r="V4295" s="13">
        <f t="shared" si="4627"/>
        <v>0</v>
      </c>
      <c r="W4295" s="13">
        <f t="shared" si="4627"/>
        <v>0</v>
      </c>
      <c r="X4295" s="13">
        <f t="shared" si="4627"/>
        <v>0</v>
      </c>
      <c r="Y4295" s="13">
        <f t="shared" si="4627"/>
        <v>0</v>
      </c>
      <c r="Z4295" s="13">
        <f t="shared" si="4541"/>
        <v>1</v>
      </c>
      <c r="AA4295" s="13"/>
      <c r="AB4295" s="13"/>
      <c r="AC4295" s="13"/>
      <c r="AD4295" s="13"/>
      <c r="AE4295" s="13"/>
      <c r="AF4295" s="13"/>
      <c r="AG4295" s="13"/>
      <c r="AH4295" s="13"/>
      <c r="AI4295" s="13"/>
      <c r="AJ4295" s="13"/>
      <c r="AK4295" s="13"/>
      <c r="AL4295" s="13"/>
      <c r="AM4295" s="13"/>
      <c r="AN4295" s="13"/>
      <c r="AO4295" s="13"/>
      <c r="AP4295" s="13"/>
      <c r="AQ4295" s="13"/>
      <c r="AR4295" s="13"/>
      <c r="AS4295" s="13"/>
    </row>
    <row r="4296" ht="14.25" customHeight="1">
      <c r="A4296" s="26" t="s">
        <v>46</v>
      </c>
      <c r="B4296" s="31" t="s">
        <v>53</v>
      </c>
      <c r="C4296" s="26" t="s">
        <v>762</v>
      </c>
      <c r="D4296" s="26" t="s">
        <v>178</v>
      </c>
      <c r="E4296" s="13"/>
      <c r="F4296" s="26"/>
      <c r="G4296" s="26" t="s">
        <v>111</v>
      </c>
      <c r="H4296" s="26" t="s">
        <v>75</v>
      </c>
      <c r="I4296" s="13"/>
      <c r="J4296" s="13"/>
      <c r="K4296" s="15">
        <v>1.0</v>
      </c>
      <c r="L4296" s="15">
        <v>1.0</v>
      </c>
      <c r="M4296" s="16"/>
      <c r="N4296" s="16"/>
      <c r="O4296" s="17"/>
      <c r="P4296" s="17"/>
      <c r="Q4296" s="13"/>
      <c r="R4296" s="13"/>
      <c r="S4296" s="13"/>
      <c r="T4296" s="13">
        <f t="shared" ref="T4296:Y4296" si="4628">IF(ISBLANK(K4296)=TRUE,0,1)</f>
        <v>1</v>
      </c>
      <c r="U4296" s="13">
        <f t="shared" si="4628"/>
        <v>1</v>
      </c>
      <c r="V4296" s="13">
        <f t="shared" si="4628"/>
        <v>0</v>
      </c>
      <c r="W4296" s="13">
        <f t="shared" si="4628"/>
        <v>0</v>
      </c>
      <c r="X4296" s="13">
        <f t="shared" si="4628"/>
        <v>0</v>
      </c>
      <c r="Y4296" s="13">
        <f t="shared" si="4628"/>
        <v>0</v>
      </c>
      <c r="Z4296" s="13">
        <f t="shared" si="4541"/>
        <v>1</v>
      </c>
      <c r="AA4296" s="13"/>
      <c r="AB4296" s="13"/>
      <c r="AC4296" s="13"/>
      <c r="AD4296" s="13"/>
      <c r="AE4296" s="13"/>
      <c r="AF4296" s="13"/>
      <c r="AG4296" s="13"/>
      <c r="AH4296" s="13"/>
      <c r="AI4296" s="13"/>
      <c r="AJ4296" s="13"/>
      <c r="AK4296" s="13"/>
      <c r="AL4296" s="13"/>
      <c r="AM4296" s="13"/>
      <c r="AN4296" s="13"/>
      <c r="AO4296" s="13"/>
      <c r="AP4296" s="13"/>
      <c r="AQ4296" s="13"/>
      <c r="AR4296" s="13"/>
      <c r="AS4296" s="13"/>
    </row>
    <row r="4297" ht="14.25" customHeight="1">
      <c r="A4297" s="26" t="s">
        <v>46</v>
      </c>
      <c r="B4297" s="31" t="s">
        <v>53</v>
      </c>
      <c r="C4297" s="26" t="s">
        <v>762</v>
      </c>
      <c r="D4297" s="26" t="s">
        <v>179</v>
      </c>
      <c r="E4297" s="13"/>
      <c r="F4297" s="26"/>
      <c r="G4297" s="26" t="s">
        <v>111</v>
      </c>
      <c r="H4297" s="26" t="s">
        <v>75</v>
      </c>
      <c r="I4297" s="13"/>
      <c r="J4297" s="13"/>
      <c r="K4297" s="15">
        <v>1.0</v>
      </c>
      <c r="L4297" s="15">
        <v>1.0</v>
      </c>
      <c r="M4297" s="16"/>
      <c r="N4297" s="16"/>
      <c r="O4297" s="17"/>
      <c r="P4297" s="17"/>
      <c r="Q4297" s="13"/>
      <c r="R4297" s="13"/>
      <c r="S4297" s="13"/>
      <c r="T4297" s="13">
        <f t="shared" ref="T4297:Y4297" si="4629">IF(ISBLANK(K4297)=TRUE,0,1)</f>
        <v>1</v>
      </c>
      <c r="U4297" s="13">
        <f t="shared" si="4629"/>
        <v>1</v>
      </c>
      <c r="V4297" s="13">
        <f t="shared" si="4629"/>
        <v>0</v>
      </c>
      <c r="W4297" s="13">
        <f t="shared" si="4629"/>
        <v>0</v>
      </c>
      <c r="X4297" s="13">
        <f t="shared" si="4629"/>
        <v>0</v>
      </c>
      <c r="Y4297" s="13">
        <f t="shared" si="4629"/>
        <v>0</v>
      </c>
      <c r="Z4297" s="13">
        <f t="shared" si="4541"/>
        <v>1</v>
      </c>
      <c r="AA4297" s="13"/>
      <c r="AB4297" s="13"/>
      <c r="AC4297" s="13"/>
      <c r="AD4297" s="13"/>
      <c r="AE4297" s="13"/>
      <c r="AF4297" s="13"/>
      <c r="AG4297" s="13"/>
      <c r="AH4297" s="13"/>
      <c r="AI4297" s="13"/>
      <c r="AJ4297" s="13"/>
      <c r="AK4297" s="13"/>
      <c r="AL4297" s="13"/>
      <c r="AM4297" s="13"/>
      <c r="AN4297" s="13"/>
      <c r="AO4297" s="13"/>
      <c r="AP4297" s="13"/>
      <c r="AQ4297" s="13"/>
      <c r="AR4297" s="13"/>
      <c r="AS4297" s="13"/>
    </row>
    <row r="4298" ht="14.25" customHeight="1">
      <c r="A4298" s="26" t="s">
        <v>46</v>
      </c>
      <c r="B4298" s="31" t="s">
        <v>53</v>
      </c>
      <c r="C4298" s="26" t="s">
        <v>762</v>
      </c>
      <c r="D4298" s="26" t="s">
        <v>180</v>
      </c>
      <c r="E4298" s="13"/>
      <c r="F4298" s="26"/>
      <c r="G4298" s="26" t="s">
        <v>111</v>
      </c>
      <c r="H4298" s="26" t="s">
        <v>75</v>
      </c>
      <c r="I4298" s="13"/>
      <c r="J4298" s="13"/>
      <c r="K4298" s="15">
        <v>1.0</v>
      </c>
      <c r="L4298" s="15">
        <v>1.0</v>
      </c>
      <c r="M4298" s="16"/>
      <c r="N4298" s="16"/>
      <c r="O4298" s="17"/>
      <c r="P4298" s="17"/>
      <c r="Q4298" s="13"/>
      <c r="R4298" s="13"/>
      <c r="S4298" s="13"/>
      <c r="T4298" s="13">
        <f t="shared" ref="T4298:Y4298" si="4630">IF(ISBLANK(K4298)=TRUE,0,1)</f>
        <v>1</v>
      </c>
      <c r="U4298" s="13">
        <f t="shared" si="4630"/>
        <v>1</v>
      </c>
      <c r="V4298" s="13">
        <f t="shared" si="4630"/>
        <v>0</v>
      </c>
      <c r="W4298" s="13">
        <f t="shared" si="4630"/>
        <v>0</v>
      </c>
      <c r="X4298" s="13">
        <f t="shared" si="4630"/>
        <v>0</v>
      </c>
      <c r="Y4298" s="13">
        <f t="shared" si="4630"/>
        <v>0</v>
      </c>
      <c r="Z4298" s="13">
        <f t="shared" si="4541"/>
        <v>1</v>
      </c>
      <c r="AA4298" s="13"/>
      <c r="AB4298" s="13"/>
      <c r="AC4298" s="13"/>
      <c r="AD4298" s="13"/>
      <c r="AE4298" s="13"/>
      <c r="AF4298" s="13"/>
      <c r="AG4298" s="13"/>
      <c r="AH4298" s="13"/>
      <c r="AI4298" s="13"/>
      <c r="AJ4298" s="13"/>
      <c r="AK4298" s="13"/>
      <c r="AL4298" s="13"/>
      <c r="AM4298" s="13"/>
      <c r="AN4298" s="13"/>
      <c r="AO4298" s="13"/>
      <c r="AP4298" s="13"/>
      <c r="AQ4298" s="13"/>
      <c r="AR4298" s="13"/>
      <c r="AS4298" s="13"/>
    </row>
    <row r="4299" ht="14.25" customHeight="1">
      <c r="A4299" s="26" t="s">
        <v>46</v>
      </c>
      <c r="B4299" s="31" t="s">
        <v>53</v>
      </c>
      <c r="C4299" s="26" t="s">
        <v>762</v>
      </c>
      <c r="D4299" s="26" t="s">
        <v>181</v>
      </c>
      <c r="E4299" s="13"/>
      <c r="F4299" s="26"/>
      <c r="G4299" s="26" t="s">
        <v>111</v>
      </c>
      <c r="H4299" s="26" t="s">
        <v>75</v>
      </c>
      <c r="I4299" s="13"/>
      <c r="J4299" s="13"/>
      <c r="K4299" s="15">
        <v>1.0</v>
      </c>
      <c r="L4299" s="15">
        <v>1.0</v>
      </c>
      <c r="M4299" s="16"/>
      <c r="N4299" s="16"/>
      <c r="O4299" s="17"/>
      <c r="P4299" s="17"/>
      <c r="Q4299" s="13"/>
      <c r="R4299" s="13"/>
      <c r="S4299" s="13"/>
      <c r="T4299" s="13">
        <f t="shared" ref="T4299:Y4299" si="4631">IF(ISBLANK(K4299)=TRUE,0,1)</f>
        <v>1</v>
      </c>
      <c r="U4299" s="13">
        <f t="shared" si="4631"/>
        <v>1</v>
      </c>
      <c r="V4299" s="13">
        <f t="shared" si="4631"/>
        <v>0</v>
      </c>
      <c r="W4299" s="13">
        <f t="shared" si="4631"/>
        <v>0</v>
      </c>
      <c r="X4299" s="13">
        <f t="shared" si="4631"/>
        <v>0</v>
      </c>
      <c r="Y4299" s="13">
        <f t="shared" si="4631"/>
        <v>0</v>
      </c>
      <c r="Z4299" s="13">
        <f t="shared" si="4541"/>
        <v>1</v>
      </c>
      <c r="AA4299" s="13"/>
      <c r="AB4299" s="13"/>
      <c r="AC4299" s="13"/>
      <c r="AD4299" s="13"/>
      <c r="AE4299" s="13"/>
      <c r="AF4299" s="13"/>
      <c r="AG4299" s="13"/>
      <c r="AH4299" s="13"/>
      <c r="AI4299" s="13"/>
      <c r="AJ4299" s="13"/>
      <c r="AK4299" s="13"/>
      <c r="AL4299" s="13"/>
      <c r="AM4299" s="13"/>
      <c r="AN4299" s="13"/>
      <c r="AO4299" s="13"/>
      <c r="AP4299" s="13"/>
      <c r="AQ4299" s="13"/>
      <c r="AR4299" s="13"/>
      <c r="AS4299" s="13"/>
    </row>
    <row r="4300" ht="14.25" customHeight="1">
      <c r="A4300" s="26" t="s">
        <v>46</v>
      </c>
      <c r="B4300" s="31" t="s">
        <v>53</v>
      </c>
      <c r="C4300" s="26" t="s">
        <v>762</v>
      </c>
      <c r="D4300" s="26" t="s">
        <v>182</v>
      </c>
      <c r="E4300" s="13"/>
      <c r="F4300" s="26"/>
      <c r="G4300" s="26" t="s">
        <v>111</v>
      </c>
      <c r="H4300" s="26" t="s">
        <v>75</v>
      </c>
      <c r="I4300" s="13"/>
      <c r="J4300" s="13"/>
      <c r="K4300" s="15">
        <v>1.0</v>
      </c>
      <c r="L4300" s="15">
        <v>1.0</v>
      </c>
      <c r="M4300" s="16"/>
      <c r="N4300" s="16"/>
      <c r="O4300" s="17"/>
      <c r="P4300" s="17"/>
      <c r="Q4300" s="13"/>
      <c r="R4300" s="13"/>
      <c r="S4300" s="13"/>
      <c r="T4300" s="13">
        <f t="shared" ref="T4300:Y4300" si="4632">IF(ISBLANK(K4300)=TRUE,0,1)</f>
        <v>1</v>
      </c>
      <c r="U4300" s="13">
        <f t="shared" si="4632"/>
        <v>1</v>
      </c>
      <c r="V4300" s="13">
        <f t="shared" si="4632"/>
        <v>0</v>
      </c>
      <c r="W4300" s="13">
        <f t="shared" si="4632"/>
        <v>0</v>
      </c>
      <c r="X4300" s="13">
        <f t="shared" si="4632"/>
        <v>0</v>
      </c>
      <c r="Y4300" s="13">
        <f t="shared" si="4632"/>
        <v>0</v>
      </c>
      <c r="Z4300" s="13">
        <f t="shared" si="4541"/>
        <v>1</v>
      </c>
      <c r="AA4300" s="13"/>
      <c r="AB4300" s="13"/>
      <c r="AC4300" s="13"/>
      <c r="AD4300" s="13"/>
      <c r="AE4300" s="13"/>
      <c r="AF4300" s="13"/>
      <c r="AG4300" s="13"/>
      <c r="AH4300" s="13"/>
      <c r="AI4300" s="13"/>
      <c r="AJ4300" s="13"/>
      <c r="AK4300" s="13"/>
      <c r="AL4300" s="13"/>
      <c r="AM4300" s="13"/>
      <c r="AN4300" s="13"/>
      <c r="AO4300" s="13"/>
      <c r="AP4300" s="13"/>
      <c r="AQ4300" s="13"/>
      <c r="AR4300" s="13"/>
      <c r="AS4300" s="13"/>
    </row>
    <row r="4301" ht="14.25" customHeight="1">
      <c r="A4301" s="26" t="s">
        <v>46</v>
      </c>
      <c r="B4301" s="31" t="s">
        <v>53</v>
      </c>
      <c r="C4301" s="26" t="s">
        <v>762</v>
      </c>
      <c r="D4301" s="26" t="s">
        <v>183</v>
      </c>
      <c r="E4301" s="13"/>
      <c r="F4301" s="26"/>
      <c r="G4301" s="26" t="s">
        <v>111</v>
      </c>
      <c r="H4301" s="26" t="s">
        <v>75</v>
      </c>
      <c r="I4301" s="13"/>
      <c r="J4301" s="13"/>
      <c r="K4301" s="15">
        <v>1.0</v>
      </c>
      <c r="L4301" s="15">
        <v>1.0</v>
      </c>
      <c r="M4301" s="16"/>
      <c r="N4301" s="16"/>
      <c r="O4301" s="17"/>
      <c r="P4301" s="17"/>
      <c r="Q4301" s="13"/>
      <c r="R4301" s="13"/>
      <c r="S4301" s="13"/>
      <c r="T4301" s="13">
        <f t="shared" ref="T4301:Y4301" si="4633">IF(ISBLANK(K4301)=TRUE,0,1)</f>
        <v>1</v>
      </c>
      <c r="U4301" s="13">
        <f t="shared" si="4633"/>
        <v>1</v>
      </c>
      <c r="V4301" s="13">
        <f t="shared" si="4633"/>
        <v>0</v>
      </c>
      <c r="W4301" s="13">
        <f t="shared" si="4633"/>
        <v>0</v>
      </c>
      <c r="X4301" s="13">
        <f t="shared" si="4633"/>
        <v>0</v>
      </c>
      <c r="Y4301" s="13">
        <f t="shared" si="4633"/>
        <v>0</v>
      </c>
      <c r="Z4301" s="13">
        <f t="shared" si="4541"/>
        <v>1</v>
      </c>
      <c r="AA4301" s="13"/>
      <c r="AB4301" s="13"/>
      <c r="AC4301" s="13"/>
      <c r="AD4301" s="13"/>
      <c r="AE4301" s="13"/>
      <c r="AF4301" s="13"/>
      <c r="AG4301" s="13"/>
      <c r="AH4301" s="13"/>
      <c r="AI4301" s="13"/>
      <c r="AJ4301" s="13"/>
      <c r="AK4301" s="13"/>
      <c r="AL4301" s="13"/>
      <c r="AM4301" s="13"/>
      <c r="AN4301" s="13"/>
      <c r="AO4301" s="13"/>
      <c r="AP4301" s="13"/>
      <c r="AQ4301" s="13"/>
      <c r="AR4301" s="13"/>
      <c r="AS4301" s="13"/>
    </row>
    <row r="4302" ht="14.25" customHeight="1">
      <c r="A4302" s="26" t="s">
        <v>46</v>
      </c>
      <c r="B4302" s="31" t="s">
        <v>53</v>
      </c>
      <c r="C4302" s="26" t="s">
        <v>762</v>
      </c>
      <c r="D4302" s="26" t="s">
        <v>184</v>
      </c>
      <c r="E4302" s="13"/>
      <c r="F4302" s="26"/>
      <c r="G4302" s="26" t="s">
        <v>111</v>
      </c>
      <c r="H4302" s="26" t="s">
        <v>75</v>
      </c>
      <c r="I4302" s="13"/>
      <c r="J4302" s="13"/>
      <c r="K4302" s="15">
        <v>1.0</v>
      </c>
      <c r="L4302" s="15">
        <v>1.0</v>
      </c>
      <c r="M4302" s="16"/>
      <c r="N4302" s="16"/>
      <c r="O4302" s="17"/>
      <c r="P4302" s="17"/>
      <c r="Q4302" s="13"/>
      <c r="R4302" s="13"/>
      <c r="S4302" s="13"/>
      <c r="T4302" s="13">
        <f t="shared" ref="T4302:Y4302" si="4634">IF(ISBLANK(K4302)=TRUE,0,1)</f>
        <v>1</v>
      </c>
      <c r="U4302" s="13">
        <f t="shared" si="4634"/>
        <v>1</v>
      </c>
      <c r="V4302" s="13">
        <f t="shared" si="4634"/>
        <v>0</v>
      </c>
      <c r="W4302" s="13">
        <f t="shared" si="4634"/>
        <v>0</v>
      </c>
      <c r="X4302" s="13">
        <f t="shared" si="4634"/>
        <v>0</v>
      </c>
      <c r="Y4302" s="13">
        <f t="shared" si="4634"/>
        <v>0</v>
      </c>
      <c r="Z4302" s="13">
        <f t="shared" si="4541"/>
        <v>1</v>
      </c>
      <c r="AA4302" s="13"/>
      <c r="AB4302" s="13"/>
      <c r="AC4302" s="13"/>
      <c r="AD4302" s="13"/>
      <c r="AE4302" s="13"/>
      <c r="AF4302" s="13"/>
      <c r="AG4302" s="13"/>
      <c r="AH4302" s="13"/>
      <c r="AI4302" s="13"/>
      <c r="AJ4302" s="13"/>
      <c r="AK4302" s="13"/>
      <c r="AL4302" s="13"/>
      <c r="AM4302" s="13"/>
      <c r="AN4302" s="13"/>
      <c r="AO4302" s="13"/>
      <c r="AP4302" s="13"/>
      <c r="AQ4302" s="13"/>
      <c r="AR4302" s="13"/>
      <c r="AS4302" s="13"/>
    </row>
    <row r="4303" ht="14.25" customHeight="1">
      <c r="A4303" s="26" t="s">
        <v>46</v>
      </c>
      <c r="B4303" s="31" t="s">
        <v>53</v>
      </c>
      <c r="C4303" s="26" t="s">
        <v>762</v>
      </c>
      <c r="D4303" s="26" t="s">
        <v>185</v>
      </c>
      <c r="E4303" s="13"/>
      <c r="F4303" s="26"/>
      <c r="G4303" s="26" t="s">
        <v>111</v>
      </c>
      <c r="H4303" s="26" t="s">
        <v>75</v>
      </c>
      <c r="I4303" s="13"/>
      <c r="J4303" s="13"/>
      <c r="K4303" s="15">
        <v>1.0</v>
      </c>
      <c r="L4303" s="15">
        <v>1.0</v>
      </c>
      <c r="M4303" s="16"/>
      <c r="N4303" s="16"/>
      <c r="O4303" s="17"/>
      <c r="P4303" s="17"/>
      <c r="Q4303" s="13"/>
      <c r="R4303" s="13"/>
      <c r="S4303" s="13"/>
      <c r="T4303" s="13">
        <f t="shared" ref="T4303:Y4303" si="4635">IF(ISBLANK(K4303)=TRUE,0,1)</f>
        <v>1</v>
      </c>
      <c r="U4303" s="13">
        <f t="shared" si="4635"/>
        <v>1</v>
      </c>
      <c r="V4303" s="13">
        <f t="shared" si="4635"/>
        <v>0</v>
      </c>
      <c r="W4303" s="13">
        <f t="shared" si="4635"/>
        <v>0</v>
      </c>
      <c r="X4303" s="13">
        <f t="shared" si="4635"/>
        <v>0</v>
      </c>
      <c r="Y4303" s="13">
        <f t="shared" si="4635"/>
        <v>0</v>
      </c>
      <c r="Z4303" s="13">
        <f t="shared" si="4541"/>
        <v>1</v>
      </c>
      <c r="AA4303" s="13"/>
      <c r="AB4303" s="13"/>
      <c r="AC4303" s="13"/>
      <c r="AD4303" s="13"/>
      <c r="AE4303" s="13"/>
      <c r="AF4303" s="13"/>
      <c r="AG4303" s="13"/>
      <c r="AH4303" s="13"/>
      <c r="AI4303" s="13"/>
      <c r="AJ4303" s="13"/>
      <c r="AK4303" s="13"/>
      <c r="AL4303" s="13"/>
      <c r="AM4303" s="13"/>
      <c r="AN4303" s="13"/>
      <c r="AO4303" s="13"/>
      <c r="AP4303" s="13"/>
      <c r="AQ4303" s="13"/>
      <c r="AR4303" s="13"/>
      <c r="AS4303" s="13"/>
    </row>
    <row r="4304" ht="14.25" customHeight="1">
      <c r="A4304" s="26" t="s">
        <v>46</v>
      </c>
      <c r="B4304" s="31" t="s">
        <v>53</v>
      </c>
      <c r="C4304" s="26" t="s">
        <v>762</v>
      </c>
      <c r="D4304" s="26" t="s">
        <v>186</v>
      </c>
      <c r="E4304" s="13"/>
      <c r="F4304" s="26"/>
      <c r="G4304" s="26" t="s">
        <v>111</v>
      </c>
      <c r="H4304" s="26" t="s">
        <v>75</v>
      </c>
      <c r="I4304" s="13"/>
      <c r="J4304" s="13"/>
      <c r="K4304" s="15">
        <v>1.0</v>
      </c>
      <c r="L4304" s="15">
        <v>1.0</v>
      </c>
      <c r="M4304" s="16"/>
      <c r="N4304" s="16"/>
      <c r="O4304" s="17"/>
      <c r="P4304" s="17"/>
      <c r="Q4304" s="13"/>
      <c r="R4304" s="13"/>
      <c r="S4304" s="13"/>
      <c r="T4304" s="13">
        <f t="shared" ref="T4304:Y4304" si="4636">IF(ISBLANK(K4304)=TRUE,0,1)</f>
        <v>1</v>
      </c>
      <c r="U4304" s="13">
        <f t="shared" si="4636"/>
        <v>1</v>
      </c>
      <c r="V4304" s="13">
        <f t="shared" si="4636"/>
        <v>0</v>
      </c>
      <c r="W4304" s="13">
        <f t="shared" si="4636"/>
        <v>0</v>
      </c>
      <c r="X4304" s="13">
        <f t="shared" si="4636"/>
        <v>0</v>
      </c>
      <c r="Y4304" s="13">
        <f t="shared" si="4636"/>
        <v>0</v>
      </c>
      <c r="Z4304" s="13">
        <f t="shared" si="4541"/>
        <v>1</v>
      </c>
      <c r="AA4304" s="13"/>
      <c r="AB4304" s="13"/>
      <c r="AC4304" s="13"/>
      <c r="AD4304" s="13"/>
      <c r="AE4304" s="13"/>
      <c r="AF4304" s="13"/>
      <c r="AG4304" s="13"/>
      <c r="AH4304" s="13"/>
      <c r="AI4304" s="13"/>
      <c r="AJ4304" s="13"/>
      <c r="AK4304" s="13"/>
      <c r="AL4304" s="13"/>
      <c r="AM4304" s="13"/>
      <c r="AN4304" s="13"/>
      <c r="AO4304" s="13"/>
      <c r="AP4304" s="13"/>
      <c r="AQ4304" s="13"/>
      <c r="AR4304" s="13"/>
      <c r="AS4304" s="13"/>
    </row>
    <row r="4305" ht="14.25" customHeight="1">
      <c r="A4305" s="26" t="s">
        <v>46</v>
      </c>
      <c r="B4305" s="31" t="s">
        <v>53</v>
      </c>
      <c r="C4305" s="26" t="s">
        <v>762</v>
      </c>
      <c r="D4305" s="26" t="s">
        <v>187</v>
      </c>
      <c r="E4305" s="13"/>
      <c r="F4305" s="26"/>
      <c r="G4305" s="26" t="s">
        <v>111</v>
      </c>
      <c r="H4305" s="26" t="s">
        <v>75</v>
      </c>
      <c r="I4305" s="13"/>
      <c r="J4305" s="13"/>
      <c r="K4305" s="15">
        <v>1.0</v>
      </c>
      <c r="L4305" s="15">
        <v>1.0</v>
      </c>
      <c r="M4305" s="16"/>
      <c r="N4305" s="16"/>
      <c r="O4305" s="17"/>
      <c r="P4305" s="17"/>
      <c r="Q4305" s="13"/>
      <c r="R4305" s="13"/>
      <c r="S4305" s="13"/>
      <c r="T4305" s="13">
        <f t="shared" ref="T4305:Y4305" si="4637">IF(ISBLANK(K4305)=TRUE,0,1)</f>
        <v>1</v>
      </c>
      <c r="U4305" s="13">
        <f t="shared" si="4637"/>
        <v>1</v>
      </c>
      <c r="V4305" s="13">
        <f t="shared" si="4637"/>
        <v>0</v>
      </c>
      <c r="W4305" s="13">
        <f t="shared" si="4637"/>
        <v>0</v>
      </c>
      <c r="X4305" s="13">
        <f t="shared" si="4637"/>
        <v>0</v>
      </c>
      <c r="Y4305" s="13">
        <f t="shared" si="4637"/>
        <v>0</v>
      </c>
      <c r="Z4305" s="13">
        <f t="shared" si="4541"/>
        <v>1</v>
      </c>
      <c r="AA4305" s="13"/>
      <c r="AB4305" s="13"/>
      <c r="AC4305" s="13"/>
      <c r="AD4305" s="13"/>
      <c r="AE4305" s="13"/>
      <c r="AF4305" s="13"/>
      <c r="AG4305" s="13"/>
      <c r="AH4305" s="13"/>
      <c r="AI4305" s="13"/>
      <c r="AJ4305" s="13"/>
      <c r="AK4305" s="13"/>
      <c r="AL4305" s="13"/>
      <c r="AM4305" s="13"/>
      <c r="AN4305" s="13"/>
      <c r="AO4305" s="13"/>
      <c r="AP4305" s="13"/>
      <c r="AQ4305" s="13"/>
      <c r="AR4305" s="13"/>
      <c r="AS4305" s="13"/>
    </row>
    <row r="4306" ht="14.25" customHeight="1">
      <c r="A4306" s="26" t="s">
        <v>46</v>
      </c>
      <c r="B4306" s="31" t="s">
        <v>53</v>
      </c>
      <c r="C4306" s="26" t="s">
        <v>762</v>
      </c>
      <c r="D4306" s="26" t="s">
        <v>188</v>
      </c>
      <c r="E4306" s="13"/>
      <c r="F4306" s="26"/>
      <c r="G4306" s="26" t="s">
        <v>111</v>
      </c>
      <c r="H4306" s="26" t="s">
        <v>75</v>
      </c>
      <c r="I4306" s="13"/>
      <c r="J4306" s="13"/>
      <c r="K4306" s="15">
        <v>1.0</v>
      </c>
      <c r="L4306" s="15">
        <v>1.0</v>
      </c>
      <c r="M4306" s="16"/>
      <c r="N4306" s="16"/>
      <c r="O4306" s="17"/>
      <c r="P4306" s="17"/>
      <c r="Q4306" s="13"/>
      <c r="R4306" s="13"/>
      <c r="S4306" s="13"/>
      <c r="T4306" s="13">
        <f t="shared" ref="T4306:Y4306" si="4638">IF(ISBLANK(K4306)=TRUE,0,1)</f>
        <v>1</v>
      </c>
      <c r="U4306" s="13">
        <f t="shared" si="4638"/>
        <v>1</v>
      </c>
      <c r="V4306" s="13">
        <f t="shared" si="4638"/>
        <v>0</v>
      </c>
      <c r="W4306" s="13">
        <f t="shared" si="4638"/>
        <v>0</v>
      </c>
      <c r="X4306" s="13">
        <f t="shared" si="4638"/>
        <v>0</v>
      </c>
      <c r="Y4306" s="13">
        <f t="shared" si="4638"/>
        <v>0</v>
      </c>
      <c r="Z4306" s="13">
        <f t="shared" si="4541"/>
        <v>1</v>
      </c>
      <c r="AA4306" s="13"/>
      <c r="AB4306" s="13"/>
      <c r="AC4306" s="13"/>
      <c r="AD4306" s="13"/>
      <c r="AE4306" s="13"/>
      <c r="AF4306" s="13"/>
      <c r="AG4306" s="13"/>
      <c r="AH4306" s="13"/>
      <c r="AI4306" s="13"/>
      <c r="AJ4306" s="13"/>
      <c r="AK4306" s="13"/>
      <c r="AL4306" s="13"/>
      <c r="AM4306" s="13"/>
      <c r="AN4306" s="13"/>
      <c r="AO4306" s="13"/>
      <c r="AP4306" s="13"/>
      <c r="AQ4306" s="13"/>
      <c r="AR4306" s="13"/>
      <c r="AS4306" s="13"/>
    </row>
    <row r="4307" ht="14.25" customHeight="1">
      <c r="A4307" s="26" t="s">
        <v>46</v>
      </c>
      <c r="B4307" s="31" t="s">
        <v>53</v>
      </c>
      <c r="C4307" s="26" t="s">
        <v>763</v>
      </c>
      <c r="D4307" s="26" t="s">
        <v>174</v>
      </c>
      <c r="E4307" s="13"/>
      <c r="F4307" s="26"/>
      <c r="G4307" s="26" t="s">
        <v>74</v>
      </c>
      <c r="H4307" s="26" t="s">
        <v>75</v>
      </c>
      <c r="I4307" s="26"/>
      <c r="J4307" s="26"/>
      <c r="K4307" s="28">
        <v>1.0</v>
      </c>
      <c r="L4307" s="28">
        <v>1.0</v>
      </c>
      <c r="M4307" s="30"/>
      <c r="N4307" s="30"/>
      <c r="O4307" s="17"/>
      <c r="P4307" s="17"/>
      <c r="Q4307" s="13"/>
      <c r="R4307" s="13"/>
      <c r="S4307" s="13"/>
      <c r="T4307" s="13">
        <f t="shared" ref="T4307:Y4307" si="4639">IF(ISBLANK(K4307)=TRUE,0,1)</f>
        <v>1</v>
      </c>
      <c r="U4307" s="13">
        <f t="shared" si="4639"/>
        <v>1</v>
      </c>
      <c r="V4307" s="13">
        <f t="shared" si="4639"/>
        <v>0</v>
      </c>
      <c r="W4307" s="13">
        <f t="shared" si="4639"/>
        <v>0</v>
      </c>
      <c r="X4307" s="13">
        <f t="shared" si="4639"/>
        <v>0</v>
      </c>
      <c r="Y4307" s="13">
        <f t="shared" si="4639"/>
        <v>0</v>
      </c>
      <c r="Z4307" s="13">
        <f t="shared" si="4541"/>
        <v>1</v>
      </c>
      <c r="AA4307" s="13"/>
      <c r="AB4307" s="13"/>
      <c r="AC4307" s="13"/>
      <c r="AD4307" s="13"/>
      <c r="AE4307" s="13"/>
      <c r="AF4307" s="13"/>
      <c r="AG4307" s="13"/>
      <c r="AH4307" s="13"/>
      <c r="AI4307" s="13"/>
      <c r="AJ4307" s="13"/>
      <c r="AK4307" s="13"/>
      <c r="AL4307" s="13"/>
      <c r="AM4307" s="13"/>
      <c r="AN4307" s="13"/>
      <c r="AO4307" s="13"/>
      <c r="AP4307" s="13"/>
      <c r="AQ4307" s="13"/>
      <c r="AR4307" s="13"/>
      <c r="AS4307" s="13"/>
    </row>
    <row r="4308" ht="14.25" customHeight="1">
      <c r="A4308" s="26" t="s">
        <v>46</v>
      </c>
      <c r="B4308" s="31" t="s">
        <v>53</v>
      </c>
      <c r="C4308" s="26" t="s">
        <v>763</v>
      </c>
      <c r="D4308" s="26" t="s">
        <v>175</v>
      </c>
      <c r="E4308" s="13"/>
      <c r="F4308" s="26"/>
      <c r="G4308" s="26" t="s">
        <v>74</v>
      </c>
      <c r="H4308" s="26" t="s">
        <v>75</v>
      </c>
      <c r="I4308" s="26"/>
      <c r="J4308" s="26"/>
      <c r="K4308" s="28">
        <v>1.0</v>
      </c>
      <c r="L4308" s="28">
        <v>1.0</v>
      </c>
      <c r="M4308" s="30"/>
      <c r="N4308" s="30"/>
      <c r="O4308" s="17"/>
      <c r="P4308" s="17"/>
      <c r="Q4308" s="13"/>
      <c r="R4308" s="13"/>
      <c r="S4308" s="13"/>
      <c r="T4308" s="13">
        <f t="shared" ref="T4308:Y4308" si="4640">IF(ISBLANK(K4308)=TRUE,0,1)</f>
        <v>1</v>
      </c>
      <c r="U4308" s="13">
        <f t="shared" si="4640"/>
        <v>1</v>
      </c>
      <c r="V4308" s="13">
        <f t="shared" si="4640"/>
        <v>0</v>
      </c>
      <c r="W4308" s="13">
        <f t="shared" si="4640"/>
        <v>0</v>
      </c>
      <c r="X4308" s="13">
        <f t="shared" si="4640"/>
        <v>0</v>
      </c>
      <c r="Y4308" s="13">
        <f t="shared" si="4640"/>
        <v>0</v>
      </c>
      <c r="Z4308" s="13">
        <f t="shared" si="4541"/>
        <v>1</v>
      </c>
      <c r="AA4308" s="13"/>
      <c r="AB4308" s="13"/>
      <c r="AC4308" s="13"/>
      <c r="AD4308" s="13"/>
      <c r="AE4308" s="13"/>
      <c r="AF4308" s="13"/>
      <c r="AG4308" s="13"/>
      <c r="AH4308" s="13"/>
      <c r="AI4308" s="13"/>
      <c r="AJ4308" s="13"/>
      <c r="AK4308" s="13"/>
      <c r="AL4308" s="13"/>
      <c r="AM4308" s="13"/>
      <c r="AN4308" s="13"/>
      <c r="AO4308" s="13"/>
      <c r="AP4308" s="13"/>
      <c r="AQ4308" s="13"/>
      <c r="AR4308" s="13"/>
      <c r="AS4308" s="13"/>
    </row>
    <row r="4309" ht="14.25" customHeight="1">
      <c r="A4309" s="26" t="s">
        <v>46</v>
      </c>
      <c r="B4309" s="31" t="s">
        <v>53</v>
      </c>
      <c r="C4309" s="26" t="s">
        <v>763</v>
      </c>
      <c r="D4309" s="26" t="s">
        <v>176</v>
      </c>
      <c r="E4309" s="13"/>
      <c r="F4309" s="26"/>
      <c r="G4309" s="26" t="s">
        <v>74</v>
      </c>
      <c r="H4309" s="26" t="s">
        <v>75</v>
      </c>
      <c r="I4309" s="26"/>
      <c r="J4309" s="26"/>
      <c r="K4309" s="28">
        <v>1.0</v>
      </c>
      <c r="L4309" s="28">
        <v>1.0</v>
      </c>
      <c r="M4309" s="30"/>
      <c r="N4309" s="30"/>
      <c r="O4309" s="17"/>
      <c r="P4309" s="17"/>
      <c r="Q4309" s="13"/>
      <c r="R4309" s="13"/>
      <c r="S4309" s="13"/>
      <c r="T4309" s="13">
        <f t="shared" ref="T4309:Y4309" si="4641">IF(ISBLANK(K4309)=TRUE,0,1)</f>
        <v>1</v>
      </c>
      <c r="U4309" s="13">
        <f t="shared" si="4641"/>
        <v>1</v>
      </c>
      <c r="V4309" s="13">
        <f t="shared" si="4641"/>
        <v>0</v>
      </c>
      <c r="W4309" s="13">
        <f t="shared" si="4641"/>
        <v>0</v>
      </c>
      <c r="X4309" s="13">
        <f t="shared" si="4641"/>
        <v>0</v>
      </c>
      <c r="Y4309" s="13">
        <f t="shared" si="4641"/>
        <v>0</v>
      </c>
      <c r="Z4309" s="13">
        <f t="shared" si="4541"/>
        <v>1</v>
      </c>
      <c r="AA4309" s="13"/>
      <c r="AB4309" s="13"/>
      <c r="AC4309" s="13"/>
      <c r="AD4309" s="13"/>
      <c r="AE4309" s="13"/>
      <c r="AF4309" s="13"/>
      <c r="AG4309" s="13"/>
      <c r="AH4309" s="13"/>
      <c r="AI4309" s="13"/>
      <c r="AJ4309" s="13"/>
      <c r="AK4309" s="13"/>
      <c r="AL4309" s="13"/>
      <c r="AM4309" s="13"/>
      <c r="AN4309" s="13"/>
      <c r="AO4309" s="13"/>
      <c r="AP4309" s="13"/>
      <c r="AQ4309" s="13"/>
      <c r="AR4309" s="13"/>
      <c r="AS4309" s="13"/>
    </row>
    <row r="4310" ht="14.25" customHeight="1">
      <c r="A4310" s="26" t="s">
        <v>46</v>
      </c>
      <c r="B4310" s="31" t="s">
        <v>53</v>
      </c>
      <c r="C4310" s="26" t="s">
        <v>763</v>
      </c>
      <c r="D4310" s="26" t="s">
        <v>177</v>
      </c>
      <c r="E4310" s="13"/>
      <c r="F4310" s="26"/>
      <c r="G4310" s="26" t="s">
        <v>74</v>
      </c>
      <c r="H4310" s="26" t="s">
        <v>75</v>
      </c>
      <c r="I4310" s="26"/>
      <c r="J4310" s="26"/>
      <c r="K4310" s="28">
        <v>1.0</v>
      </c>
      <c r="L4310" s="28">
        <v>1.0</v>
      </c>
      <c r="M4310" s="30"/>
      <c r="N4310" s="30"/>
      <c r="O4310" s="17"/>
      <c r="P4310" s="17"/>
      <c r="Q4310" s="13"/>
      <c r="R4310" s="13"/>
      <c r="S4310" s="13"/>
      <c r="T4310" s="13">
        <f t="shared" ref="T4310:Y4310" si="4642">IF(ISBLANK(K4310)=TRUE,0,1)</f>
        <v>1</v>
      </c>
      <c r="U4310" s="13">
        <f t="shared" si="4642"/>
        <v>1</v>
      </c>
      <c r="V4310" s="13">
        <f t="shared" si="4642"/>
        <v>0</v>
      </c>
      <c r="W4310" s="13">
        <f t="shared" si="4642"/>
        <v>0</v>
      </c>
      <c r="X4310" s="13">
        <f t="shared" si="4642"/>
        <v>0</v>
      </c>
      <c r="Y4310" s="13">
        <f t="shared" si="4642"/>
        <v>0</v>
      </c>
      <c r="Z4310" s="13">
        <f t="shared" si="4541"/>
        <v>1</v>
      </c>
      <c r="AA4310" s="13"/>
      <c r="AB4310" s="13"/>
      <c r="AC4310" s="13"/>
      <c r="AD4310" s="13"/>
      <c r="AE4310" s="13"/>
      <c r="AF4310" s="13"/>
      <c r="AG4310" s="13"/>
      <c r="AH4310" s="13"/>
      <c r="AI4310" s="13"/>
      <c r="AJ4310" s="13"/>
      <c r="AK4310" s="13"/>
      <c r="AL4310" s="13"/>
      <c r="AM4310" s="13"/>
      <c r="AN4310" s="13"/>
      <c r="AO4310" s="13"/>
      <c r="AP4310" s="13"/>
      <c r="AQ4310" s="13"/>
      <c r="AR4310" s="13"/>
      <c r="AS4310" s="13"/>
    </row>
    <row r="4311" ht="14.25" customHeight="1">
      <c r="A4311" s="26" t="s">
        <v>46</v>
      </c>
      <c r="B4311" s="31" t="s">
        <v>53</v>
      </c>
      <c r="C4311" s="26" t="s">
        <v>763</v>
      </c>
      <c r="D4311" s="26" t="s">
        <v>178</v>
      </c>
      <c r="E4311" s="13"/>
      <c r="F4311" s="26"/>
      <c r="G4311" s="26" t="s">
        <v>74</v>
      </c>
      <c r="H4311" s="26" t="s">
        <v>75</v>
      </c>
      <c r="I4311" s="26"/>
      <c r="J4311" s="26"/>
      <c r="K4311" s="28">
        <v>1.0</v>
      </c>
      <c r="L4311" s="28">
        <v>1.0</v>
      </c>
      <c r="M4311" s="30"/>
      <c r="N4311" s="30"/>
      <c r="O4311" s="17"/>
      <c r="P4311" s="17"/>
      <c r="Q4311" s="13"/>
      <c r="R4311" s="13"/>
      <c r="S4311" s="13"/>
      <c r="T4311" s="13">
        <f t="shared" ref="T4311:Y4311" si="4643">IF(ISBLANK(K4311)=TRUE,0,1)</f>
        <v>1</v>
      </c>
      <c r="U4311" s="13">
        <f t="shared" si="4643"/>
        <v>1</v>
      </c>
      <c r="V4311" s="13">
        <f t="shared" si="4643"/>
        <v>0</v>
      </c>
      <c r="W4311" s="13">
        <f t="shared" si="4643"/>
        <v>0</v>
      </c>
      <c r="X4311" s="13">
        <f t="shared" si="4643"/>
        <v>0</v>
      </c>
      <c r="Y4311" s="13">
        <f t="shared" si="4643"/>
        <v>0</v>
      </c>
      <c r="Z4311" s="13">
        <f t="shared" si="4541"/>
        <v>1</v>
      </c>
      <c r="AA4311" s="13"/>
      <c r="AB4311" s="13"/>
      <c r="AC4311" s="13"/>
      <c r="AD4311" s="13"/>
      <c r="AE4311" s="13"/>
      <c r="AF4311" s="13"/>
      <c r="AG4311" s="13"/>
      <c r="AH4311" s="13"/>
      <c r="AI4311" s="13"/>
      <c r="AJ4311" s="13"/>
      <c r="AK4311" s="13"/>
      <c r="AL4311" s="13"/>
      <c r="AM4311" s="13"/>
      <c r="AN4311" s="13"/>
      <c r="AO4311" s="13"/>
      <c r="AP4311" s="13"/>
      <c r="AQ4311" s="13"/>
      <c r="AR4311" s="13"/>
      <c r="AS4311" s="13"/>
    </row>
    <row r="4312" ht="14.25" customHeight="1">
      <c r="A4312" s="26" t="s">
        <v>46</v>
      </c>
      <c r="B4312" s="31" t="s">
        <v>53</v>
      </c>
      <c r="C4312" s="26" t="s">
        <v>763</v>
      </c>
      <c r="D4312" s="26" t="s">
        <v>179</v>
      </c>
      <c r="E4312" s="13"/>
      <c r="F4312" s="26"/>
      <c r="G4312" s="26" t="s">
        <v>74</v>
      </c>
      <c r="H4312" s="26" t="s">
        <v>75</v>
      </c>
      <c r="I4312" s="26"/>
      <c r="J4312" s="26"/>
      <c r="K4312" s="28">
        <v>1.0</v>
      </c>
      <c r="L4312" s="28">
        <v>1.0</v>
      </c>
      <c r="M4312" s="30"/>
      <c r="N4312" s="30"/>
      <c r="O4312" s="17"/>
      <c r="P4312" s="17"/>
      <c r="Q4312" s="13"/>
      <c r="R4312" s="13"/>
      <c r="S4312" s="13"/>
      <c r="T4312" s="13">
        <f t="shared" ref="T4312:Y4312" si="4644">IF(ISBLANK(K4312)=TRUE,0,1)</f>
        <v>1</v>
      </c>
      <c r="U4312" s="13">
        <f t="shared" si="4644"/>
        <v>1</v>
      </c>
      <c r="V4312" s="13">
        <f t="shared" si="4644"/>
        <v>0</v>
      </c>
      <c r="W4312" s="13">
        <f t="shared" si="4644"/>
        <v>0</v>
      </c>
      <c r="X4312" s="13">
        <f t="shared" si="4644"/>
        <v>0</v>
      </c>
      <c r="Y4312" s="13">
        <f t="shared" si="4644"/>
        <v>0</v>
      </c>
      <c r="Z4312" s="13">
        <f t="shared" si="4541"/>
        <v>1</v>
      </c>
      <c r="AA4312" s="13"/>
      <c r="AB4312" s="13"/>
      <c r="AC4312" s="13"/>
      <c r="AD4312" s="13"/>
      <c r="AE4312" s="13"/>
      <c r="AF4312" s="13"/>
      <c r="AG4312" s="13"/>
      <c r="AH4312" s="13"/>
      <c r="AI4312" s="13"/>
      <c r="AJ4312" s="13"/>
      <c r="AK4312" s="13"/>
      <c r="AL4312" s="13"/>
      <c r="AM4312" s="13"/>
      <c r="AN4312" s="13"/>
      <c r="AO4312" s="13"/>
      <c r="AP4312" s="13"/>
      <c r="AQ4312" s="13"/>
      <c r="AR4312" s="13"/>
      <c r="AS4312" s="13"/>
    </row>
    <row r="4313" ht="14.25" customHeight="1">
      <c r="A4313" s="26" t="s">
        <v>46</v>
      </c>
      <c r="B4313" s="31" t="s">
        <v>53</v>
      </c>
      <c r="C4313" s="26" t="s">
        <v>763</v>
      </c>
      <c r="D4313" s="26" t="s">
        <v>180</v>
      </c>
      <c r="E4313" s="13"/>
      <c r="F4313" s="26"/>
      <c r="G4313" s="26" t="s">
        <v>74</v>
      </c>
      <c r="H4313" s="26" t="s">
        <v>75</v>
      </c>
      <c r="I4313" s="26"/>
      <c r="J4313" s="26"/>
      <c r="K4313" s="28">
        <v>1.0</v>
      </c>
      <c r="L4313" s="28">
        <v>1.0</v>
      </c>
      <c r="M4313" s="30"/>
      <c r="N4313" s="30"/>
      <c r="O4313" s="17"/>
      <c r="P4313" s="17"/>
      <c r="Q4313" s="13"/>
      <c r="R4313" s="13"/>
      <c r="S4313" s="13"/>
      <c r="T4313" s="13">
        <f t="shared" ref="T4313:Y4313" si="4645">IF(ISBLANK(K4313)=TRUE,0,1)</f>
        <v>1</v>
      </c>
      <c r="U4313" s="13">
        <f t="shared" si="4645"/>
        <v>1</v>
      </c>
      <c r="V4313" s="13">
        <f t="shared" si="4645"/>
        <v>0</v>
      </c>
      <c r="W4313" s="13">
        <f t="shared" si="4645"/>
        <v>0</v>
      </c>
      <c r="X4313" s="13">
        <f t="shared" si="4645"/>
        <v>0</v>
      </c>
      <c r="Y4313" s="13">
        <f t="shared" si="4645"/>
        <v>0</v>
      </c>
      <c r="Z4313" s="13">
        <f t="shared" si="4541"/>
        <v>1</v>
      </c>
      <c r="AA4313" s="13"/>
      <c r="AB4313" s="13"/>
      <c r="AC4313" s="13"/>
      <c r="AD4313" s="13"/>
      <c r="AE4313" s="13"/>
      <c r="AF4313" s="13"/>
      <c r="AG4313" s="13"/>
      <c r="AH4313" s="13"/>
      <c r="AI4313" s="13"/>
      <c r="AJ4313" s="13"/>
      <c r="AK4313" s="13"/>
      <c r="AL4313" s="13"/>
      <c r="AM4313" s="13"/>
      <c r="AN4313" s="13"/>
      <c r="AO4313" s="13"/>
      <c r="AP4313" s="13"/>
      <c r="AQ4313" s="13"/>
      <c r="AR4313" s="13"/>
      <c r="AS4313" s="13"/>
    </row>
    <row r="4314" ht="14.25" customHeight="1">
      <c r="A4314" s="26" t="s">
        <v>46</v>
      </c>
      <c r="B4314" s="31" t="s">
        <v>53</v>
      </c>
      <c r="C4314" s="26" t="s">
        <v>763</v>
      </c>
      <c r="D4314" s="26" t="s">
        <v>181</v>
      </c>
      <c r="E4314" s="13"/>
      <c r="F4314" s="26"/>
      <c r="G4314" s="26" t="s">
        <v>74</v>
      </c>
      <c r="H4314" s="26" t="s">
        <v>75</v>
      </c>
      <c r="I4314" s="26"/>
      <c r="J4314" s="26"/>
      <c r="K4314" s="28">
        <v>1.0</v>
      </c>
      <c r="L4314" s="28">
        <v>1.0</v>
      </c>
      <c r="M4314" s="30"/>
      <c r="N4314" s="30"/>
      <c r="O4314" s="17"/>
      <c r="P4314" s="17"/>
      <c r="Q4314" s="13"/>
      <c r="R4314" s="13"/>
      <c r="S4314" s="13"/>
      <c r="T4314" s="13">
        <f t="shared" ref="T4314:Y4314" si="4646">IF(ISBLANK(K4314)=TRUE,0,1)</f>
        <v>1</v>
      </c>
      <c r="U4314" s="13">
        <f t="shared" si="4646"/>
        <v>1</v>
      </c>
      <c r="V4314" s="13">
        <f t="shared" si="4646"/>
        <v>0</v>
      </c>
      <c r="W4314" s="13">
        <f t="shared" si="4646"/>
        <v>0</v>
      </c>
      <c r="X4314" s="13">
        <f t="shared" si="4646"/>
        <v>0</v>
      </c>
      <c r="Y4314" s="13">
        <f t="shared" si="4646"/>
        <v>0</v>
      </c>
      <c r="Z4314" s="13">
        <f t="shared" si="4541"/>
        <v>1</v>
      </c>
      <c r="AA4314" s="13"/>
      <c r="AB4314" s="13"/>
      <c r="AC4314" s="13"/>
      <c r="AD4314" s="13"/>
      <c r="AE4314" s="13"/>
      <c r="AF4314" s="13"/>
      <c r="AG4314" s="13"/>
      <c r="AH4314" s="13"/>
      <c r="AI4314" s="13"/>
      <c r="AJ4314" s="13"/>
      <c r="AK4314" s="13"/>
      <c r="AL4314" s="13"/>
      <c r="AM4314" s="13"/>
      <c r="AN4314" s="13"/>
      <c r="AO4314" s="13"/>
      <c r="AP4314" s="13"/>
      <c r="AQ4314" s="13"/>
      <c r="AR4314" s="13"/>
      <c r="AS4314" s="13"/>
    </row>
    <row r="4315" ht="14.25" customHeight="1">
      <c r="A4315" s="26" t="s">
        <v>46</v>
      </c>
      <c r="B4315" s="31" t="s">
        <v>53</v>
      </c>
      <c r="C4315" s="26" t="s">
        <v>763</v>
      </c>
      <c r="D4315" s="26" t="s">
        <v>182</v>
      </c>
      <c r="E4315" s="13"/>
      <c r="F4315" s="26"/>
      <c r="G4315" s="26" t="s">
        <v>74</v>
      </c>
      <c r="H4315" s="26" t="s">
        <v>75</v>
      </c>
      <c r="I4315" s="26"/>
      <c r="J4315" s="26"/>
      <c r="K4315" s="28">
        <v>1.0</v>
      </c>
      <c r="L4315" s="28">
        <v>1.0</v>
      </c>
      <c r="M4315" s="30"/>
      <c r="N4315" s="30"/>
      <c r="O4315" s="17"/>
      <c r="P4315" s="17"/>
      <c r="Q4315" s="13"/>
      <c r="R4315" s="13"/>
      <c r="S4315" s="13"/>
      <c r="T4315" s="13">
        <f t="shared" ref="T4315:Y4315" si="4647">IF(ISBLANK(K4315)=TRUE,0,1)</f>
        <v>1</v>
      </c>
      <c r="U4315" s="13">
        <f t="shared" si="4647"/>
        <v>1</v>
      </c>
      <c r="V4315" s="13">
        <f t="shared" si="4647"/>
        <v>0</v>
      </c>
      <c r="W4315" s="13">
        <f t="shared" si="4647"/>
        <v>0</v>
      </c>
      <c r="X4315" s="13">
        <f t="shared" si="4647"/>
        <v>0</v>
      </c>
      <c r="Y4315" s="13">
        <f t="shared" si="4647"/>
        <v>0</v>
      </c>
      <c r="Z4315" s="13">
        <f t="shared" si="4541"/>
        <v>1</v>
      </c>
      <c r="AA4315" s="13"/>
      <c r="AB4315" s="13"/>
      <c r="AC4315" s="13"/>
      <c r="AD4315" s="13"/>
      <c r="AE4315" s="13"/>
      <c r="AF4315" s="13"/>
      <c r="AG4315" s="13"/>
      <c r="AH4315" s="13"/>
      <c r="AI4315" s="13"/>
      <c r="AJ4315" s="13"/>
      <c r="AK4315" s="13"/>
      <c r="AL4315" s="13"/>
      <c r="AM4315" s="13"/>
      <c r="AN4315" s="13"/>
      <c r="AO4315" s="13"/>
      <c r="AP4315" s="13"/>
      <c r="AQ4315" s="13"/>
      <c r="AR4315" s="13"/>
      <c r="AS4315" s="13"/>
    </row>
    <row r="4316" ht="14.25" customHeight="1">
      <c r="A4316" s="26" t="s">
        <v>46</v>
      </c>
      <c r="B4316" s="31" t="s">
        <v>53</v>
      </c>
      <c r="C4316" s="26" t="s">
        <v>763</v>
      </c>
      <c r="D4316" s="26" t="s">
        <v>183</v>
      </c>
      <c r="E4316" s="13"/>
      <c r="F4316" s="26"/>
      <c r="G4316" s="26" t="s">
        <v>74</v>
      </c>
      <c r="H4316" s="26" t="s">
        <v>75</v>
      </c>
      <c r="I4316" s="26"/>
      <c r="J4316" s="26"/>
      <c r="K4316" s="28">
        <v>1.0</v>
      </c>
      <c r="L4316" s="28">
        <v>1.0</v>
      </c>
      <c r="M4316" s="30"/>
      <c r="N4316" s="30"/>
      <c r="O4316" s="17"/>
      <c r="P4316" s="17"/>
      <c r="Q4316" s="13"/>
      <c r="R4316" s="13"/>
      <c r="S4316" s="13"/>
      <c r="T4316" s="13">
        <f t="shared" ref="T4316:Y4316" si="4648">IF(ISBLANK(K4316)=TRUE,0,1)</f>
        <v>1</v>
      </c>
      <c r="U4316" s="13">
        <f t="shared" si="4648"/>
        <v>1</v>
      </c>
      <c r="V4316" s="13">
        <f t="shared" si="4648"/>
        <v>0</v>
      </c>
      <c r="W4316" s="13">
        <f t="shared" si="4648"/>
        <v>0</v>
      </c>
      <c r="X4316" s="13">
        <f t="shared" si="4648"/>
        <v>0</v>
      </c>
      <c r="Y4316" s="13">
        <f t="shared" si="4648"/>
        <v>0</v>
      </c>
      <c r="Z4316" s="13">
        <f t="shared" si="4541"/>
        <v>1</v>
      </c>
      <c r="AA4316" s="13"/>
      <c r="AB4316" s="13"/>
      <c r="AC4316" s="13"/>
      <c r="AD4316" s="13"/>
      <c r="AE4316" s="13"/>
      <c r="AF4316" s="13"/>
      <c r="AG4316" s="13"/>
      <c r="AH4316" s="13"/>
      <c r="AI4316" s="13"/>
      <c r="AJ4316" s="13"/>
      <c r="AK4316" s="13"/>
      <c r="AL4316" s="13"/>
      <c r="AM4316" s="13"/>
      <c r="AN4316" s="13"/>
      <c r="AO4316" s="13"/>
      <c r="AP4316" s="13"/>
      <c r="AQ4316" s="13"/>
      <c r="AR4316" s="13"/>
      <c r="AS4316" s="13"/>
    </row>
    <row r="4317" ht="14.25" customHeight="1">
      <c r="A4317" s="26" t="s">
        <v>46</v>
      </c>
      <c r="B4317" s="31" t="s">
        <v>53</v>
      </c>
      <c r="C4317" s="26" t="s">
        <v>763</v>
      </c>
      <c r="D4317" s="26" t="s">
        <v>187</v>
      </c>
      <c r="E4317" s="13"/>
      <c r="F4317" s="26"/>
      <c r="G4317" s="26" t="s">
        <v>74</v>
      </c>
      <c r="H4317" s="26" t="s">
        <v>75</v>
      </c>
      <c r="I4317" s="26"/>
      <c r="J4317" s="26"/>
      <c r="K4317" s="28">
        <v>1.0</v>
      </c>
      <c r="L4317" s="28">
        <v>1.0</v>
      </c>
      <c r="M4317" s="30"/>
      <c r="N4317" s="30"/>
      <c r="O4317" s="17"/>
      <c r="P4317" s="17"/>
      <c r="Q4317" s="13"/>
      <c r="R4317" s="13"/>
      <c r="S4317" s="13"/>
      <c r="T4317" s="13">
        <f t="shared" ref="T4317:Y4317" si="4649">IF(ISBLANK(K4317)=TRUE,0,1)</f>
        <v>1</v>
      </c>
      <c r="U4317" s="13">
        <f t="shared" si="4649"/>
        <v>1</v>
      </c>
      <c r="V4317" s="13">
        <f t="shared" si="4649"/>
        <v>0</v>
      </c>
      <c r="W4317" s="13">
        <f t="shared" si="4649"/>
        <v>0</v>
      </c>
      <c r="X4317" s="13">
        <f t="shared" si="4649"/>
        <v>0</v>
      </c>
      <c r="Y4317" s="13">
        <f t="shared" si="4649"/>
        <v>0</v>
      </c>
      <c r="Z4317" s="13">
        <f t="shared" si="4541"/>
        <v>1</v>
      </c>
      <c r="AA4317" s="13"/>
      <c r="AB4317" s="13"/>
      <c r="AC4317" s="13"/>
      <c r="AD4317" s="13"/>
      <c r="AE4317" s="13"/>
      <c r="AF4317" s="13"/>
      <c r="AG4317" s="13"/>
      <c r="AH4317" s="13"/>
      <c r="AI4317" s="13"/>
      <c r="AJ4317" s="13"/>
      <c r="AK4317" s="13"/>
      <c r="AL4317" s="13"/>
      <c r="AM4317" s="13"/>
      <c r="AN4317" s="13"/>
      <c r="AO4317" s="13"/>
      <c r="AP4317" s="13"/>
      <c r="AQ4317" s="13"/>
      <c r="AR4317" s="13"/>
      <c r="AS4317" s="13"/>
    </row>
    <row r="4318" ht="14.25" customHeight="1">
      <c r="A4318" s="26" t="s">
        <v>46</v>
      </c>
      <c r="B4318" s="31" t="s">
        <v>53</v>
      </c>
      <c r="C4318" s="26" t="s">
        <v>763</v>
      </c>
      <c r="D4318" s="26" t="s">
        <v>188</v>
      </c>
      <c r="E4318" s="13"/>
      <c r="F4318" s="26"/>
      <c r="G4318" s="26" t="s">
        <v>74</v>
      </c>
      <c r="H4318" s="26" t="s">
        <v>75</v>
      </c>
      <c r="I4318" s="26"/>
      <c r="J4318" s="26"/>
      <c r="K4318" s="28">
        <v>1.0</v>
      </c>
      <c r="L4318" s="28">
        <v>1.0</v>
      </c>
      <c r="M4318" s="30"/>
      <c r="N4318" s="30"/>
      <c r="O4318" s="17"/>
      <c r="P4318" s="17"/>
      <c r="Q4318" s="13"/>
      <c r="R4318" s="13"/>
      <c r="S4318" s="13"/>
      <c r="T4318" s="13">
        <f t="shared" ref="T4318:Y4318" si="4650">IF(ISBLANK(K4318)=TRUE,0,1)</f>
        <v>1</v>
      </c>
      <c r="U4318" s="13">
        <f t="shared" si="4650"/>
        <v>1</v>
      </c>
      <c r="V4318" s="13">
        <f t="shared" si="4650"/>
        <v>0</v>
      </c>
      <c r="W4318" s="13">
        <f t="shared" si="4650"/>
        <v>0</v>
      </c>
      <c r="X4318" s="13">
        <f t="shared" si="4650"/>
        <v>0</v>
      </c>
      <c r="Y4318" s="13">
        <f t="shared" si="4650"/>
        <v>0</v>
      </c>
      <c r="Z4318" s="13">
        <f t="shared" si="4541"/>
        <v>1</v>
      </c>
      <c r="AA4318" s="13"/>
      <c r="AB4318" s="13"/>
      <c r="AC4318" s="13"/>
      <c r="AD4318" s="13"/>
      <c r="AE4318" s="13"/>
      <c r="AF4318" s="13"/>
      <c r="AG4318" s="13"/>
      <c r="AH4318" s="13"/>
      <c r="AI4318" s="13"/>
      <c r="AJ4318" s="13"/>
      <c r="AK4318" s="13"/>
      <c r="AL4318" s="13"/>
      <c r="AM4318" s="13"/>
      <c r="AN4318" s="13"/>
      <c r="AO4318" s="13"/>
      <c r="AP4318" s="13"/>
      <c r="AQ4318" s="13"/>
      <c r="AR4318" s="13"/>
      <c r="AS4318" s="13"/>
    </row>
    <row r="4319" ht="14.25" customHeight="1">
      <c r="A4319" s="26" t="s">
        <v>46</v>
      </c>
      <c r="B4319" s="31" t="s">
        <v>53</v>
      </c>
      <c r="C4319" s="26" t="s">
        <v>763</v>
      </c>
      <c r="D4319" s="26" t="s">
        <v>191</v>
      </c>
      <c r="E4319" s="13"/>
      <c r="F4319" s="26"/>
      <c r="G4319" s="26" t="s">
        <v>74</v>
      </c>
      <c r="H4319" s="26" t="s">
        <v>75</v>
      </c>
      <c r="I4319" s="26"/>
      <c r="J4319" s="26"/>
      <c r="K4319" s="28">
        <v>1.0</v>
      </c>
      <c r="L4319" s="28">
        <v>1.0</v>
      </c>
      <c r="M4319" s="30"/>
      <c r="N4319" s="30"/>
      <c r="O4319" s="17"/>
      <c r="P4319" s="17"/>
      <c r="Q4319" s="13"/>
      <c r="R4319" s="13"/>
      <c r="S4319" s="13"/>
      <c r="T4319" s="13">
        <f t="shared" ref="T4319:Y4319" si="4651">IF(ISBLANK(K4319)=TRUE,0,1)</f>
        <v>1</v>
      </c>
      <c r="U4319" s="13">
        <f t="shared" si="4651"/>
        <v>1</v>
      </c>
      <c r="V4319" s="13">
        <f t="shared" si="4651"/>
        <v>0</v>
      </c>
      <c r="W4319" s="13">
        <f t="shared" si="4651"/>
        <v>0</v>
      </c>
      <c r="X4319" s="13">
        <f t="shared" si="4651"/>
        <v>0</v>
      </c>
      <c r="Y4319" s="13">
        <f t="shared" si="4651"/>
        <v>0</v>
      </c>
      <c r="Z4319" s="13">
        <f t="shared" si="4541"/>
        <v>1</v>
      </c>
      <c r="AA4319" s="13"/>
      <c r="AB4319" s="13"/>
      <c r="AC4319" s="13"/>
      <c r="AD4319" s="13"/>
      <c r="AE4319" s="13"/>
      <c r="AF4319" s="13"/>
      <c r="AG4319" s="13"/>
      <c r="AH4319" s="13"/>
      <c r="AI4319" s="13"/>
      <c r="AJ4319" s="13"/>
      <c r="AK4319" s="13"/>
      <c r="AL4319" s="13"/>
      <c r="AM4319" s="13"/>
      <c r="AN4319" s="13"/>
      <c r="AO4319" s="13"/>
      <c r="AP4319" s="13"/>
      <c r="AQ4319" s="13"/>
      <c r="AR4319" s="13"/>
      <c r="AS4319" s="13"/>
    </row>
    <row r="4320" ht="14.25" customHeight="1">
      <c r="A4320" s="26" t="s">
        <v>46</v>
      </c>
      <c r="B4320" s="31" t="s">
        <v>53</v>
      </c>
      <c r="C4320" s="26" t="s">
        <v>763</v>
      </c>
      <c r="D4320" s="26" t="s">
        <v>192</v>
      </c>
      <c r="E4320" s="13"/>
      <c r="F4320" s="26"/>
      <c r="G4320" s="26" t="s">
        <v>74</v>
      </c>
      <c r="H4320" s="26" t="s">
        <v>75</v>
      </c>
      <c r="I4320" s="26"/>
      <c r="J4320" s="26"/>
      <c r="K4320" s="28">
        <v>1.0</v>
      </c>
      <c r="L4320" s="28">
        <v>1.0</v>
      </c>
      <c r="M4320" s="30"/>
      <c r="N4320" s="30"/>
      <c r="O4320" s="17"/>
      <c r="P4320" s="17"/>
      <c r="Q4320" s="13"/>
      <c r="R4320" s="13"/>
      <c r="S4320" s="13"/>
      <c r="T4320" s="13">
        <f t="shared" ref="T4320:Y4320" si="4652">IF(ISBLANK(K4320)=TRUE,0,1)</f>
        <v>1</v>
      </c>
      <c r="U4320" s="13">
        <f t="shared" si="4652"/>
        <v>1</v>
      </c>
      <c r="V4320" s="13">
        <f t="shared" si="4652"/>
        <v>0</v>
      </c>
      <c r="W4320" s="13">
        <f t="shared" si="4652"/>
        <v>0</v>
      </c>
      <c r="X4320" s="13">
        <f t="shared" si="4652"/>
        <v>0</v>
      </c>
      <c r="Y4320" s="13">
        <f t="shared" si="4652"/>
        <v>0</v>
      </c>
      <c r="Z4320" s="13">
        <f t="shared" si="4541"/>
        <v>1</v>
      </c>
      <c r="AA4320" s="13"/>
      <c r="AB4320" s="13"/>
      <c r="AC4320" s="13"/>
      <c r="AD4320" s="13"/>
      <c r="AE4320" s="13"/>
      <c r="AF4320" s="13"/>
      <c r="AG4320" s="13"/>
      <c r="AH4320" s="13"/>
      <c r="AI4320" s="13"/>
      <c r="AJ4320" s="13"/>
      <c r="AK4320" s="13"/>
      <c r="AL4320" s="13"/>
      <c r="AM4320" s="13"/>
      <c r="AN4320" s="13"/>
      <c r="AO4320" s="13"/>
      <c r="AP4320" s="13"/>
      <c r="AQ4320" s="13"/>
      <c r="AR4320" s="13"/>
      <c r="AS4320" s="13"/>
    </row>
    <row r="4321" ht="14.25" customHeight="1">
      <c r="A4321" s="26" t="s">
        <v>46</v>
      </c>
      <c r="B4321" s="31" t="s">
        <v>53</v>
      </c>
      <c r="C4321" s="26" t="s">
        <v>763</v>
      </c>
      <c r="D4321" s="26" t="s">
        <v>193</v>
      </c>
      <c r="E4321" s="13"/>
      <c r="F4321" s="26"/>
      <c r="G4321" s="26" t="s">
        <v>74</v>
      </c>
      <c r="H4321" s="26" t="s">
        <v>75</v>
      </c>
      <c r="I4321" s="26"/>
      <c r="J4321" s="26"/>
      <c r="K4321" s="28">
        <v>1.0</v>
      </c>
      <c r="L4321" s="28">
        <v>1.0</v>
      </c>
      <c r="M4321" s="30"/>
      <c r="N4321" s="30"/>
      <c r="O4321" s="17"/>
      <c r="P4321" s="17"/>
      <c r="Q4321" s="13"/>
      <c r="R4321" s="13"/>
      <c r="S4321" s="13"/>
      <c r="T4321" s="13">
        <f t="shared" ref="T4321:Y4321" si="4653">IF(ISBLANK(K4321)=TRUE,0,1)</f>
        <v>1</v>
      </c>
      <c r="U4321" s="13">
        <f t="shared" si="4653"/>
        <v>1</v>
      </c>
      <c r="V4321" s="13">
        <f t="shared" si="4653"/>
        <v>0</v>
      </c>
      <c r="W4321" s="13">
        <f t="shared" si="4653"/>
        <v>0</v>
      </c>
      <c r="X4321" s="13">
        <f t="shared" si="4653"/>
        <v>0</v>
      </c>
      <c r="Y4321" s="13">
        <f t="shared" si="4653"/>
        <v>0</v>
      </c>
      <c r="Z4321" s="13">
        <f t="shared" si="4541"/>
        <v>1</v>
      </c>
      <c r="AA4321" s="13"/>
      <c r="AB4321" s="13"/>
      <c r="AC4321" s="13"/>
      <c r="AD4321" s="13"/>
      <c r="AE4321" s="13"/>
      <c r="AF4321" s="13"/>
      <c r="AG4321" s="13"/>
      <c r="AH4321" s="13"/>
      <c r="AI4321" s="13"/>
      <c r="AJ4321" s="13"/>
      <c r="AK4321" s="13"/>
      <c r="AL4321" s="13"/>
      <c r="AM4321" s="13"/>
      <c r="AN4321" s="13"/>
      <c r="AO4321" s="13"/>
      <c r="AP4321" s="13"/>
      <c r="AQ4321" s="13"/>
      <c r="AR4321" s="13"/>
      <c r="AS4321" s="13"/>
    </row>
    <row r="4322" ht="14.25" customHeight="1">
      <c r="A4322" s="26" t="s">
        <v>46</v>
      </c>
      <c r="B4322" s="31" t="s">
        <v>53</v>
      </c>
      <c r="C4322" s="13" t="s">
        <v>764</v>
      </c>
      <c r="D4322" s="26" t="s">
        <v>174</v>
      </c>
      <c r="E4322" s="13"/>
      <c r="F4322" s="13"/>
      <c r="G4322" s="26" t="s">
        <v>111</v>
      </c>
      <c r="H4322" s="26" t="s">
        <v>75</v>
      </c>
      <c r="I4322" s="13"/>
      <c r="J4322" s="13"/>
      <c r="K4322" s="15">
        <v>1.0</v>
      </c>
      <c r="L4322" s="15">
        <v>1.0</v>
      </c>
      <c r="M4322" s="16"/>
      <c r="N4322" s="16"/>
      <c r="O4322" s="17"/>
      <c r="P4322" s="17"/>
      <c r="Q4322" s="13"/>
      <c r="R4322" s="13"/>
      <c r="S4322" s="13"/>
      <c r="T4322" s="13">
        <f t="shared" ref="T4322:Y4322" si="4654">IF(ISBLANK(K4322)=TRUE,0,1)</f>
        <v>1</v>
      </c>
      <c r="U4322" s="13">
        <f t="shared" si="4654"/>
        <v>1</v>
      </c>
      <c r="V4322" s="13">
        <f t="shared" si="4654"/>
        <v>0</v>
      </c>
      <c r="W4322" s="13">
        <f t="shared" si="4654"/>
        <v>0</v>
      </c>
      <c r="X4322" s="13">
        <f t="shared" si="4654"/>
        <v>0</v>
      </c>
      <c r="Y4322" s="13">
        <f t="shared" si="4654"/>
        <v>0</v>
      </c>
      <c r="Z4322" s="13">
        <f t="shared" si="4541"/>
        <v>1</v>
      </c>
      <c r="AA4322" s="13"/>
      <c r="AB4322" s="13"/>
      <c r="AC4322" s="13"/>
      <c r="AD4322" s="13"/>
      <c r="AE4322" s="13"/>
      <c r="AF4322" s="13"/>
      <c r="AG4322" s="13"/>
      <c r="AH4322" s="13"/>
      <c r="AI4322" s="13"/>
      <c r="AJ4322" s="13"/>
      <c r="AK4322" s="13"/>
      <c r="AL4322" s="13"/>
      <c r="AM4322" s="13"/>
      <c r="AN4322" s="13"/>
      <c r="AO4322" s="13"/>
      <c r="AP4322" s="13"/>
      <c r="AQ4322" s="13"/>
      <c r="AR4322" s="13"/>
      <c r="AS4322" s="13"/>
    </row>
    <row r="4323" ht="14.25" customHeight="1">
      <c r="A4323" s="26" t="s">
        <v>46</v>
      </c>
      <c r="B4323" s="31" t="s">
        <v>53</v>
      </c>
      <c r="C4323" s="13" t="s">
        <v>764</v>
      </c>
      <c r="D4323" s="26" t="s">
        <v>175</v>
      </c>
      <c r="E4323" s="13"/>
      <c r="F4323" s="13"/>
      <c r="G4323" s="26" t="s">
        <v>111</v>
      </c>
      <c r="H4323" s="26" t="s">
        <v>75</v>
      </c>
      <c r="I4323" s="13"/>
      <c r="J4323" s="13"/>
      <c r="K4323" s="15">
        <v>1.0</v>
      </c>
      <c r="L4323" s="15">
        <v>1.0</v>
      </c>
      <c r="M4323" s="16"/>
      <c r="N4323" s="16"/>
      <c r="O4323" s="17"/>
      <c r="P4323" s="17"/>
      <c r="Q4323" s="13"/>
      <c r="R4323" s="13"/>
      <c r="S4323" s="13"/>
      <c r="T4323" s="13">
        <f t="shared" ref="T4323:Y4323" si="4655">IF(ISBLANK(K4323)=TRUE,0,1)</f>
        <v>1</v>
      </c>
      <c r="U4323" s="13">
        <f t="shared" si="4655"/>
        <v>1</v>
      </c>
      <c r="V4323" s="13">
        <f t="shared" si="4655"/>
        <v>0</v>
      </c>
      <c r="W4323" s="13">
        <f t="shared" si="4655"/>
        <v>0</v>
      </c>
      <c r="X4323" s="13">
        <f t="shared" si="4655"/>
        <v>0</v>
      </c>
      <c r="Y4323" s="13">
        <f t="shared" si="4655"/>
        <v>0</v>
      </c>
      <c r="Z4323" s="13">
        <f t="shared" si="4541"/>
        <v>1</v>
      </c>
      <c r="AA4323" s="13"/>
      <c r="AB4323" s="13"/>
      <c r="AC4323" s="13"/>
      <c r="AD4323" s="13"/>
      <c r="AE4323" s="13"/>
      <c r="AF4323" s="13"/>
      <c r="AG4323" s="13"/>
      <c r="AH4323" s="13"/>
      <c r="AI4323" s="13"/>
      <c r="AJ4323" s="13"/>
      <c r="AK4323" s="13"/>
      <c r="AL4323" s="13"/>
      <c r="AM4323" s="13"/>
      <c r="AN4323" s="13"/>
      <c r="AO4323" s="13"/>
      <c r="AP4323" s="13"/>
      <c r="AQ4323" s="13"/>
      <c r="AR4323" s="13"/>
      <c r="AS4323" s="13"/>
    </row>
    <row r="4324" ht="14.25" customHeight="1">
      <c r="A4324" s="26" t="s">
        <v>46</v>
      </c>
      <c r="B4324" s="31" t="s">
        <v>53</v>
      </c>
      <c r="C4324" s="13" t="s">
        <v>764</v>
      </c>
      <c r="D4324" s="26" t="s">
        <v>176</v>
      </c>
      <c r="E4324" s="13"/>
      <c r="F4324" s="13"/>
      <c r="G4324" s="26" t="s">
        <v>111</v>
      </c>
      <c r="H4324" s="26" t="s">
        <v>75</v>
      </c>
      <c r="I4324" s="13"/>
      <c r="J4324" s="13"/>
      <c r="K4324" s="15">
        <v>1.0</v>
      </c>
      <c r="L4324" s="15">
        <v>1.0</v>
      </c>
      <c r="M4324" s="16"/>
      <c r="N4324" s="16"/>
      <c r="O4324" s="17"/>
      <c r="P4324" s="17"/>
      <c r="Q4324" s="13"/>
      <c r="R4324" s="13"/>
      <c r="S4324" s="13"/>
      <c r="T4324" s="13">
        <f t="shared" ref="T4324:Y4324" si="4656">IF(ISBLANK(K4324)=TRUE,0,1)</f>
        <v>1</v>
      </c>
      <c r="U4324" s="13">
        <f t="shared" si="4656"/>
        <v>1</v>
      </c>
      <c r="V4324" s="13">
        <f t="shared" si="4656"/>
        <v>0</v>
      </c>
      <c r="W4324" s="13">
        <f t="shared" si="4656"/>
        <v>0</v>
      </c>
      <c r="X4324" s="13">
        <f t="shared" si="4656"/>
        <v>0</v>
      </c>
      <c r="Y4324" s="13">
        <f t="shared" si="4656"/>
        <v>0</v>
      </c>
      <c r="Z4324" s="13">
        <f t="shared" si="4541"/>
        <v>1</v>
      </c>
      <c r="AA4324" s="13"/>
      <c r="AB4324" s="13"/>
      <c r="AC4324" s="13"/>
      <c r="AD4324" s="13"/>
      <c r="AE4324" s="13"/>
      <c r="AF4324" s="13"/>
      <c r="AG4324" s="13"/>
      <c r="AH4324" s="13"/>
      <c r="AI4324" s="13"/>
      <c r="AJ4324" s="13"/>
      <c r="AK4324" s="13"/>
      <c r="AL4324" s="13"/>
      <c r="AM4324" s="13"/>
      <c r="AN4324" s="13"/>
      <c r="AO4324" s="13"/>
      <c r="AP4324" s="13"/>
      <c r="AQ4324" s="13"/>
      <c r="AR4324" s="13"/>
      <c r="AS4324" s="13"/>
    </row>
    <row r="4325" ht="14.25" customHeight="1">
      <c r="A4325" s="26" t="s">
        <v>46</v>
      </c>
      <c r="B4325" s="31" t="s">
        <v>53</v>
      </c>
      <c r="C4325" s="13" t="s">
        <v>764</v>
      </c>
      <c r="D4325" s="26" t="s">
        <v>179</v>
      </c>
      <c r="E4325" s="13"/>
      <c r="F4325" s="13"/>
      <c r="G4325" s="26" t="s">
        <v>111</v>
      </c>
      <c r="H4325" s="26" t="s">
        <v>75</v>
      </c>
      <c r="I4325" s="13"/>
      <c r="J4325" s="13"/>
      <c r="K4325" s="15">
        <v>1.0</v>
      </c>
      <c r="L4325" s="15">
        <v>1.0</v>
      </c>
      <c r="M4325" s="16"/>
      <c r="N4325" s="16"/>
      <c r="O4325" s="17"/>
      <c r="P4325" s="17"/>
      <c r="Q4325" s="13"/>
      <c r="R4325" s="13"/>
      <c r="S4325" s="13"/>
      <c r="T4325" s="13">
        <f t="shared" ref="T4325:Y4325" si="4657">IF(ISBLANK(K4325)=TRUE,0,1)</f>
        <v>1</v>
      </c>
      <c r="U4325" s="13">
        <f t="shared" si="4657"/>
        <v>1</v>
      </c>
      <c r="V4325" s="13">
        <f t="shared" si="4657"/>
        <v>0</v>
      </c>
      <c r="W4325" s="13">
        <f t="shared" si="4657"/>
        <v>0</v>
      </c>
      <c r="X4325" s="13">
        <f t="shared" si="4657"/>
        <v>0</v>
      </c>
      <c r="Y4325" s="13">
        <f t="shared" si="4657"/>
        <v>0</v>
      </c>
      <c r="Z4325" s="13">
        <f t="shared" si="4541"/>
        <v>1</v>
      </c>
      <c r="AA4325" s="13"/>
      <c r="AB4325" s="13"/>
      <c r="AC4325" s="13"/>
      <c r="AD4325" s="13"/>
      <c r="AE4325" s="13"/>
      <c r="AF4325" s="13"/>
      <c r="AG4325" s="13"/>
      <c r="AH4325" s="13"/>
      <c r="AI4325" s="13"/>
      <c r="AJ4325" s="13"/>
      <c r="AK4325" s="13"/>
      <c r="AL4325" s="13"/>
      <c r="AM4325" s="13"/>
      <c r="AN4325" s="13"/>
      <c r="AO4325" s="13"/>
      <c r="AP4325" s="13"/>
      <c r="AQ4325" s="13"/>
      <c r="AR4325" s="13"/>
      <c r="AS4325" s="13"/>
    </row>
    <row r="4326" ht="14.25" customHeight="1">
      <c r="A4326" s="26" t="s">
        <v>46</v>
      </c>
      <c r="B4326" s="31" t="s">
        <v>53</v>
      </c>
      <c r="C4326" s="26" t="s">
        <v>765</v>
      </c>
      <c r="D4326" s="26" t="s">
        <v>174</v>
      </c>
      <c r="E4326" s="13"/>
      <c r="F4326" s="26"/>
      <c r="G4326" s="26" t="s">
        <v>111</v>
      </c>
      <c r="H4326" s="26" t="s">
        <v>75</v>
      </c>
      <c r="I4326" s="13"/>
      <c r="J4326" s="13"/>
      <c r="K4326" s="28">
        <v>1.0</v>
      </c>
      <c r="L4326" s="28">
        <v>1.0</v>
      </c>
      <c r="M4326" s="16"/>
      <c r="N4326" s="16"/>
      <c r="O4326" s="17"/>
      <c r="P4326" s="17"/>
      <c r="Q4326" s="13"/>
      <c r="R4326" s="13"/>
      <c r="S4326" s="13"/>
      <c r="T4326" s="13">
        <f t="shared" ref="T4326:Y4326" si="4658">IF(ISBLANK(K4326)=TRUE,0,1)</f>
        <v>1</v>
      </c>
      <c r="U4326" s="13">
        <f t="shared" si="4658"/>
        <v>1</v>
      </c>
      <c r="V4326" s="13">
        <f t="shared" si="4658"/>
        <v>0</v>
      </c>
      <c r="W4326" s="13">
        <f t="shared" si="4658"/>
        <v>0</v>
      </c>
      <c r="X4326" s="13">
        <f t="shared" si="4658"/>
        <v>0</v>
      </c>
      <c r="Y4326" s="13">
        <f t="shared" si="4658"/>
        <v>0</v>
      </c>
      <c r="Z4326" s="13">
        <f t="shared" si="4541"/>
        <v>1</v>
      </c>
      <c r="AA4326" s="13"/>
      <c r="AB4326" s="13"/>
      <c r="AC4326" s="13"/>
      <c r="AD4326" s="13"/>
      <c r="AE4326" s="13"/>
      <c r="AF4326" s="13"/>
      <c r="AG4326" s="13"/>
      <c r="AH4326" s="13"/>
      <c r="AI4326" s="13"/>
      <c r="AJ4326" s="13"/>
      <c r="AK4326" s="13"/>
      <c r="AL4326" s="13"/>
      <c r="AM4326" s="13"/>
      <c r="AN4326" s="13"/>
      <c r="AO4326" s="13"/>
      <c r="AP4326" s="13"/>
      <c r="AQ4326" s="13"/>
      <c r="AR4326" s="13"/>
      <c r="AS4326" s="13"/>
    </row>
    <row r="4327" ht="14.25" customHeight="1">
      <c r="A4327" s="26" t="s">
        <v>46</v>
      </c>
      <c r="B4327" s="31" t="s">
        <v>53</v>
      </c>
      <c r="C4327" s="26" t="s">
        <v>765</v>
      </c>
      <c r="D4327" s="26" t="s">
        <v>175</v>
      </c>
      <c r="E4327" s="13"/>
      <c r="F4327" s="26"/>
      <c r="G4327" s="26" t="s">
        <v>111</v>
      </c>
      <c r="H4327" s="26" t="s">
        <v>75</v>
      </c>
      <c r="I4327" s="13"/>
      <c r="J4327" s="13"/>
      <c r="K4327" s="28">
        <v>1.0</v>
      </c>
      <c r="L4327" s="28">
        <v>1.0</v>
      </c>
      <c r="M4327" s="16"/>
      <c r="N4327" s="16"/>
      <c r="O4327" s="17"/>
      <c r="P4327" s="17"/>
      <c r="Q4327" s="13"/>
      <c r="R4327" s="13"/>
      <c r="S4327" s="13"/>
      <c r="T4327" s="13">
        <f t="shared" ref="T4327:Y4327" si="4659">IF(ISBLANK(K4327)=TRUE,0,1)</f>
        <v>1</v>
      </c>
      <c r="U4327" s="13">
        <f t="shared" si="4659"/>
        <v>1</v>
      </c>
      <c r="V4327" s="13">
        <f t="shared" si="4659"/>
        <v>0</v>
      </c>
      <c r="W4327" s="13">
        <f t="shared" si="4659"/>
        <v>0</v>
      </c>
      <c r="X4327" s="13">
        <f t="shared" si="4659"/>
        <v>0</v>
      </c>
      <c r="Y4327" s="13">
        <f t="shared" si="4659"/>
        <v>0</v>
      </c>
      <c r="Z4327" s="13">
        <f t="shared" si="4541"/>
        <v>1</v>
      </c>
      <c r="AA4327" s="13"/>
      <c r="AB4327" s="13"/>
      <c r="AC4327" s="13"/>
      <c r="AD4327" s="13"/>
      <c r="AE4327" s="13"/>
      <c r="AF4327" s="13"/>
      <c r="AG4327" s="13"/>
      <c r="AH4327" s="13"/>
      <c r="AI4327" s="13"/>
      <c r="AJ4327" s="13"/>
      <c r="AK4327" s="13"/>
      <c r="AL4327" s="13"/>
      <c r="AM4327" s="13"/>
      <c r="AN4327" s="13"/>
      <c r="AO4327" s="13"/>
      <c r="AP4327" s="13"/>
      <c r="AQ4327" s="13"/>
      <c r="AR4327" s="13"/>
      <c r="AS4327" s="13"/>
    </row>
    <row r="4328" ht="14.25" customHeight="1">
      <c r="A4328" s="26" t="s">
        <v>46</v>
      </c>
      <c r="B4328" s="31" t="s">
        <v>53</v>
      </c>
      <c r="C4328" s="26" t="s">
        <v>765</v>
      </c>
      <c r="D4328" s="26" t="s">
        <v>176</v>
      </c>
      <c r="E4328" s="13"/>
      <c r="F4328" s="26"/>
      <c r="G4328" s="26" t="s">
        <v>111</v>
      </c>
      <c r="H4328" s="26" t="s">
        <v>75</v>
      </c>
      <c r="I4328" s="13"/>
      <c r="J4328" s="13"/>
      <c r="K4328" s="28">
        <v>1.0</v>
      </c>
      <c r="L4328" s="28">
        <v>1.0</v>
      </c>
      <c r="M4328" s="16"/>
      <c r="N4328" s="16"/>
      <c r="O4328" s="17"/>
      <c r="P4328" s="17"/>
      <c r="Q4328" s="13"/>
      <c r="R4328" s="13"/>
      <c r="S4328" s="13"/>
      <c r="T4328" s="13">
        <f t="shared" ref="T4328:Y4328" si="4660">IF(ISBLANK(K4328)=TRUE,0,1)</f>
        <v>1</v>
      </c>
      <c r="U4328" s="13">
        <f t="shared" si="4660"/>
        <v>1</v>
      </c>
      <c r="V4328" s="13">
        <f t="shared" si="4660"/>
        <v>0</v>
      </c>
      <c r="W4328" s="13">
        <f t="shared" si="4660"/>
        <v>0</v>
      </c>
      <c r="X4328" s="13">
        <f t="shared" si="4660"/>
        <v>0</v>
      </c>
      <c r="Y4328" s="13">
        <f t="shared" si="4660"/>
        <v>0</v>
      </c>
      <c r="Z4328" s="13">
        <f t="shared" si="4541"/>
        <v>1</v>
      </c>
      <c r="AA4328" s="13"/>
      <c r="AB4328" s="13"/>
      <c r="AC4328" s="13"/>
      <c r="AD4328" s="13"/>
      <c r="AE4328" s="13"/>
      <c r="AF4328" s="13"/>
      <c r="AG4328" s="13"/>
      <c r="AH4328" s="13"/>
      <c r="AI4328" s="13"/>
      <c r="AJ4328" s="13"/>
      <c r="AK4328" s="13"/>
      <c r="AL4328" s="13"/>
      <c r="AM4328" s="13"/>
      <c r="AN4328" s="13"/>
      <c r="AO4328" s="13"/>
      <c r="AP4328" s="13"/>
      <c r="AQ4328" s="13"/>
      <c r="AR4328" s="13"/>
      <c r="AS4328" s="13"/>
    </row>
    <row r="4329" ht="14.25" customHeight="1">
      <c r="A4329" s="26" t="s">
        <v>46</v>
      </c>
      <c r="B4329" s="31" t="s">
        <v>53</v>
      </c>
      <c r="C4329" s="26" t="s">
        <v>765</v>
      </c>
      <c r="D4329" s="26" t="s">
        <v>177</v>
      </c>
      <c r="E4329" s="13"/>
      <c r="F4329" s="26"/>
      <c r="G4329" s="26" t="s">
        <v>111</v>
      </c>
      <c r="H4329" s="26" t="s">
        <v>75</v>
      </c>
      <c r="I4329" s="13"/>
      <c r="J4329" s="13"/>
      <c r="K4329" s="28">
        <v>1.0</v>
      </c>
      <c r="L4329" s="28">
        <v>1.0</v>
      </c>
      <c r="M4329" s="16"/>
      <c r="N4329" s="16"/>
      <c r="O4329" s="17"/>
      <c r="P4329" s="17"/>
      <c r="Q4329" s="13"/>
      <c r="R4329" s="13"/>
      <c r="S4329" s="13"/>
      <c r="T4329" s="13">
        <f t="shared" ref="T4329:Y4329" si="4661">IF(ISBLANK(K4329)=TRUE,0,1)</f>
        <v>1</v>
      </c>
      <c r="U4329" s="13">
        <f t="shared" si="4661"/>
        <v>1</v>
      </c>
      <c r="V4329" s="13">
        <f t="shared" si="4661"/>
        <v>0</v>
      </c>
      <c r="W4329" s="13">
        <f t="shared" si="4661"/>
        <v>0</v>
      </c>
      <c r="X4329" s="13">
        <f t="shared" si="4661"/>
        <v>0</v>
      </c>
      <c r="Y4329" s="13">
        <f t="shared" si="4661"/>
        <v>0</v>
      </c>
      <c r="Z4329" s="13">
        <f t="shared" si="4541"/>
        <v>1</v>
      </c>
      <c r="AA4329" s="13"/>
      <c r="AB4329" s="13"/>
      <c r="AC4329" s="13"/>
      <c r="AD4329" s="13"/>
      <c r="AE4329" s="13"/>
      <c r="AF4329" s="13"/>
      <c r="AG4329" s="13"/>
      <c r="AH4329" s="13"/>
      <c r="AI4329" s="13"/>
      <c r="AJ4329" s="13"/>
      <c r="AK4329" s="13"/>
      <c r="AL4329" s="13"/>
      <c r="AM4329" s="13"/>
      <c r="AN4329" s="13"/>
      <c r="AO4329" s="13"/>
      <c r="AP4329" s="13"/>
      <c r="AQ4329" s="13"/>
      <c r="AR4329" s="13"/>
      <c r="AS4329" s="13"/>
    </row>
    <row r="4330" ht="14.25" customHeight="1">
      <c r="A4330" s="26" t="s">
        <v>46</v>
      </c>
      <c r="B4330" s="31" t="s">
        <v>53</v>
      </c>
      <c r="C4330" s="26" t="s">
        <v>766</v>
      </c>
      <c r="D4330" s="26" t="s">
        <v>174</v>
      </c>
      <c r="E4330" s="13"/>
      <c r="F4330" s="26"/>
      <c r="G4330" s="26" t="s">
        <v>111</v>
      </c>
      <c r="H4330" s="26" t="s">
        <v>75</v>
      </c>
      <c r="I4330" s="13"/>
      <c r="J4330" s="13"/>
      <c r="K4330" s="28">
        <v>1.0</v>
      </c>
      <c r="L4330" s="28">
        <v>1.0</v>
      </c>
      <c r="M4330" s="16"/>
      <c r="N4330" s="16"/>
      <c r="O4330" s="17"/>
      <c r="P4330" s="17"/>
      <c r="Q4330" s="13"/>
      <c r="R4330" s="13"/>
      <c r="S4330" s="13"/>
      <c r="T4330" s="13">
        <f t="shared" ref="T4330:Y4330" si="4662">IF(ISBLANK(K4330)=TRUE,0,1)</f>
        <v>1</v>
      </c>
      <c r="U4330" s="13">
        <f t="shared" si="4662"/>
        <v>1</v>
      </c>
      <c r="V4330" s="13">
        <f t="shared" si="4662"/>
        <v>0</v>
      </c>
      <c r="W4330" s="13">
        <f t="shared" si="4662"/>
        <v>0</v>
      </c>
      <c r="X4330" s="13">
        <f t="shared" si="4662"/>
        <v>0</v>
      </c>
      <c r="Y4330" s="13">
        <f t="shared" si="4662"/>
        <v>0</v>
      </c>
      <c r="Z4330" s="13">
        <f t="shared" si="4541"/>
        <v>1</v>
      </c>
      <c r="AA4330" s="13"/>
      <c r="AB4330" s="13"/>
      <c r="AC4330" s="13"/>
      <c r="AD4330" s="13"/>
      <c r="AE4330" s="13"/>
      <c r="AF4330" s="13"/>
      <c r="AG4330" s="13"/>
      <c r="AH4330" s="13"/>
      <c r="AI4330" s="13"/>
      <c r="AJ4330" s="13"/>
      <c r="AK4330" s="13"/>
      <c r="AL4330" s="13"/>
      <c r="AM4330" s="13"/>
      <c r="AN4330" s="13"/>
      <c r="AO4330" s="13"/>
      <c r="AP4330" s="13"/>
      <c r="AQ4330" s="13"/>
      <c r="AR4330" s="13"/>
      <c r="AS4330" s="13"/>
    </row>
    <row r="4331" ht="14.25" customHeight="1">
      <c r="A4331" s="26" t="s">
        <v>46</v>
      </c>
      <c r="B4331" s="31" t="s">
        <v>53</v>
      </c>
      <c r="C4331" s="26" t="s">
        <v>766</v>
      </c>
      <c r="D4331" s="26" t="s">
        <v>175</v>
      </c>
      <c r="E4331" s="13"/>
      <c r="F4331" s="26"/>
      <c r="G4331" s="26" t="s">
        <v>111</v>
      </c>
      <c r="H4331" s="26" t="s">
        <v>75</v>
      </c>
      <c r="I4331" s="13"/>
      <c r="J4331" s="13"/>
      <c r="K4331" s="28">
        <v>1.0</v>
      </c>
      <c r="L4331" s="28">
        <v>1.0</v>
      </c>
      <c r="M4331" s="16"/>
      <c r="N4331" s="16"/>
      <c r="O4331" s="17"/>
      <c r="P4331" s="17"/>
      <c r="Q4331" s="13"/>
      <c r="R4331" s="13"/>
      <c r="S4331" s="13"/>
      <c r="T4331" s="13">
        <f t="shared" ref="T4331:Y4331" si="4663">IF(ISBLANK(K4331)=TRUE,0,1)</f>
        <v>1</v>
      </c>
      <c r="U4331" s="13">
        <f t="shared" si="4663"/>
        <v>1</v>
      </c>
      <c r="V4331" s="13">
        <f t="shared" si="4663"/>
        <v>0</v>
      </c>
      <c r="W4331" s="13">
        <f t="shared" si="4663"/>
        <v>0</v>
      </c>
      <c r="X4331" s="13">
        <f t="shared" si="4663"/>
        <v>0</v>
      </c>
      <c r="Y4331" s="13">
        <f t="shared" si="4663"/>
        <v>0</v>
      </c>
      <c r="Z4331" s="13">
        <f t="shared" si="4541"/>
        <v>1</v>
      </c>
      <c r="AA4331" s="13"/>
      <c r="AB4331" s="13"/>
      <c r="AC4331" s="13"/>
      <c r="AD4331" s="13"/>
      <c r="AE4331" s="13"/>
      <c r="AF4331" s="13"/>
      <c r="AG4331" s="13"/>
      <c r="AH4331" s="13"/>
      <c r="AI4331" s="13"/>
      <c r="AJ4331" s="13"/>
      <c r="AK4331" s="13"/>
      <c r="AL4331" s="13"/>
      <c r="AM4331" s="13"/>
      <c r="AN4331" s="13"/>
      <c r="AO4331" s="13"/>
      <c r="AP4331" s="13"/>
      <c r="AQ4331" s="13"/>
      <c r="AR4331" s="13"/>
      <c r="AS4331" s="13"/>
    </row>
    <row r="4332" ht="14.25" customHeight="1">
      <c r="A4332" s="26" t="s">
        <v>46</v>
      </c>
      <c r="B4332" s="31" t="s">
        <v>53</v>
      </c>
      <c r="C4332" s="26" t="s">
        <v>766</v>
      </c>
      <c r="D4332" s="26" t="s">
        <v>176</v>
      </c>
      <c r="E4332" s="13"/>
      <c r="F4332" s="26"/>
      <c r="G4332" s="26" t="s">
        <v>111</v>
      </c>
      <c r="H4332" s="26" t="s">
        <v>75</v>
      </c>
      <c r="I4332" s="13"/>
      <c r="J4332" s="13"/>
      <c r="K4332" s="28">
        <v>1.0</v>
      </c>
      <c r="L4332" s="28">
        <v>1.0</v>
      </c>
      <c r="M4332" s="16"/>
      <c r="N4332" s="16"/>
      <c r="O4332" s="17"/>
      <c r="P4332" s="17"/>
      <c r="Q4332" s="13"/>
      <c r="R4332" s="13"/>
      <c r="S4332" s="13"/>
      <c r="T4332" s="13">
        <f t="shared" ref="T4332:Y4332" si="4664">IF(ISBLANK(K4332)=TRUE,0,1)</f>
        <v>1</v>
      </c>
      <c r="U4332" s="13">
        <f t="shared" si="4664"/>
        <v>1</v>
      </c>
      <c r="V4332" s="13">
        <f t="shared" si="4664"/>
        <v>0</v>
      </c>
      <c r="W4332" s="13">
        <f t="shared" si="4664"/>
        <v>0</v>
      </c>
      <c r="X4332" s="13">
        <f t="shared" si="4664"/>
        <v>0</v>
      </c>
      <c r="Y4332" s="13">
        <f t="shared" si="4664"/>
        <v>0</v>
      </c>
      <c r="Z4332" s="13">
        <f t="shared" si="4541"/>
        <v>1</v>
      </c>
      <c r="AA4332" s="13"/>
      <c r="AB4332" s="13"/>
      <c r="AC4332" s="13"/>
      <c r="AD4332" s="13"/>
      <c r="AE4332" s="13"/>
      <c r="AF4332" s="13"/>
      <c r="AG4332" s="13"/>
      <c r="AH4332" s="13"/>
      <c r="AI4332" s="13"/>
      <c r="AJ4332" s="13"/>
      <c r="AK4332" s="13"/>
      <c r="AL4332" s="13"/>
      <c r="AM4332" s="13"/>
      <c r="AN4332" s="13"/>
      <c r="AO4332" s="13"/>
      <c r="AP4332" s="13"/>
      <c r="AQ4332" s="13"/>
      <c r="AR4332" s="13"/>
      <c r="AS4332" s="13"/>
    </row>
    <row r="4333" ht="14.25" customHeight="1">
      <c r="A4333" s="26" t="s">
        <v>46</v>
      </c>
      <c r="B4333" s="31" t="s">
        <v>53</v>
      </c>
      <c r="C4333" s="26" t="s">
        <v>766</v>
      </c>
      <c r="D4333" s="26" t="s">
        <v>178</v>
      </c>
      <c r="E4333" s="13"/>
      <c r="F4333" s="26"/>
      <c r="G4333" s="26" t="s">
        <v>111</v>
      </c>
      <c r="H4333" s="26" t="s">
        <v>75</v>
      </c>
      <c r="I4333" s="13"/>
      <c r="J4333" s="13"/>
      <c r="K4333" s="28">
        <v>1.0</v>
      </c>
      <c r="L4333" s="28">
        <v>1.0</v>
      </c>
      <c r="M4333" s="16"/>
      <c r="N4333" s="16"/>
      <c r="O4333" s="17"/>
      <c r="P4333" s="17"/>
      <c r="Q4333" s="13"/>
      <c r="R4333" s="13"/>
      <c r="S4333" s="13"/>
      <c r="T4333" s="13">
        <f t="shared" ref="T4333:Y4333" si="4665">IF(ISBLANK(K4333)=TRUE,0,1)</f>
        <v>1</v>
      </c>
      <c r="U4333" s="13">
        <f t="shared" si="4665"/>
        <v>1</v>
      </c>
      <c r="V4333" s="13">
        <f t="shared" si="4665"/>
        <v>0</v>
      </c>
      <c r="W4333" s="13">
        <f t="shared" si="4665"/>
        <v>0</v>
      </c>
      <c r="X4333" s="13">
        <f t="shared" si="4665"/>
        <v>0</v>
      </c>
      <c r="Y4333" s="13">
        <f t="shared" si="4665"/>
        <v>0</v>
      </c>
      <c r="Z4333" s="13">
        <f t="shared" si="4541"/>
        <v>1</v>
      </c>
      <c r="AA4333" s="13"/>
      <c r="AB4333" s="13"/>
      <c r="AC4333" s="13"/>
      <c r="AD4333" s="13"/>
      <c r="AE4333" s="13"/>
      <c r="AF4333" s="13"/>
      <c r="AG4333" s="13"/>
      <c r="AH4333" s="13"/>
      <c r="AI4333" s="13"/>
      <c r="AJ4333" s="13"/>
      <c r="AK4333" s="13"/>
      <c r="AL4333" s="13"/>
      <c r="AM4333" s="13"/>
      <c r="AN4333" s="13"/>
      <c r="AO4333" s="13"/>
      <c r="AP4333" s="13"/>
      <c r="AQ4333" s="13"/>
      <c r="AR4333" s="13"/>
      <c r="AS4333" s="13"/>
    </row>
    <row r="4334" ht="14.25" customHeight="1">
      <c r="A4334" s="26" t="s">
        <v>46</v>
      </c>
      <c r="B4334" s="31" t="s">
        <v>53</v>
      </c>
      <c r="C4334" s="26" t="s">
        <v>766</v>
      </c>
      <c r="D4334" s="26" t="s">
        <v>190</v>
      </c>
      <c r="E4334" s="13"/>
      <c r="F4334" s="26"/>
      <c r="G4334" s="26" t="s">
        <v>111</v>
      </c>
      <c r="H4334" s="26" t="s">
        <v>75</v>
      </c>
      <c r="I4334" s="13"/>
      <c r="J4334" s="13"/>
      <c r="K4334" s="28">
        <v>1.0</v>
      </c>
      <c r="L4334" s="28">
        <v>1.0</v>
      </c>
      <c r="M4334" s="16"/>
      <c r="N4334" s="16"/>
      <c r="O4334" s="17"/>
      <c r="P4334" s="17"/>
      <c r="Q4334" s="13"/>
      <c r="R4334" s="13"/>
      <c r="S4334" s="13"/>
      <c r="T4334" s="13">
        <f t="shared" ref="T4334:Y4334" si="4666">IF(ISBLANK(K4334)=TRUE,0,1)</f>
        <v>1</v>
      </c>
      <c r="U4334" s="13">
        <f t="shared" si="4666"/>
        <v>1</v>
      </c>
      <c r="V4334" s="13">
        <f t="shared" si="4666"/>
        <v>0</v>
      </c>
      <c r="W4334" s="13">
        <f t="shared" si="4666"/>
        <v>0</v>
      </c>
      <c r="X4334" s="13">
        <f t="shared" si="4666"/>
        <v>0</v>
      </c>
      <c r="Y4334" s="13">
        <f t="shared" si="4666"/>
        <v>0</v>
      </c>
      <c r="Z4334" s="13">
        <f t="shared" si="4541"/>
        <v>1</v>
      </c>
      <c r="AA4334" s="13"/>
      <c r="AB4334" s="13"/>
      <c r="AC4334" s="13"/>
      <c r="AD4334" s="13"/>
      <c r="AE4334" s="13"/>
      <c r="AF4334" s="13"/>
      <c r="AG4334" s="13"/>
      <c r="AH4334" s="13"/>
      <c r="AI4334" s="13"/>
      <c r="AJ4334" s="13"/>
      <c r="AK4334" s="13"/>
      <c r="AL4334" s="13"/>
      <c r="AM4334" s="13"/>
      <c r="AN4334" s="13"/>
      <c r="AO4334" s="13"/>
      <c r="AP4334" s="13"/>
      <c r="AQ4334" s="13"/>
      <c r="AR4334" s="13"/>
      <c r="AS4334" s="13"/>
    </row>
    <row r="4335" ht="14.25" customHeight="1">
      <c r="A4335" s="26" t="s">
        <v>46</v>
      </c>
      <c r="B4335" s="31" t="s">
        <v>53</v>
      </c>
      <c r="C4335" s="26" t="s">
        <v>766</v>
      </c>
      <c r="D4335" s="26" t="s">
        <v>192</v>
      </c>
      <c r="E4335" s="13"/>
      <c r="F4335" s="26"/>
      <c r="G4335" s="26" t="s">
        <v>111</v>
      </c>
      <c r="H4335" s="26" t="s">
        <v>75</v>
      </c>
      <c r="I4335" s="13"/>
      <c r="J4335" s="13"/>
      <c r="K4335" s="28">
        <v>1.0</v>
      </c>
      <c r="L4335" s="28">
        <v>1.0</v>
      </c>
      <c r="M4335" s="16"/>
      <c r="N4335" s="16"/>
      <c r="O4335" s="17"/>
      <c r="P4335" s="17"/>
      <c r="Q4335" s="13"/>
      <c r="R4335" s="13"/>
      <c r="S4335" s="13"/>
      <c r="T4335" s="13">
        <f t="shared" ref="T4335:Y4335" si="4667">IF(ISBLANK(K4335)=TRUE,0,1)</f>
        <v>1</v>
      </c>
      <c r="U4335" s="13">
        <f t="shared" si="4667"/>
        <v>1</v>
      </c>
      <c r="V4335" s="13">
        <f t="shared" si="4667"/>
        <v>0</v>
      </c>
      <c r="W4335" s="13">
        <f t="shared" si="4667"/>
        <v>0</v>
      </c>
      <c r="X4335" s="13">
        <f t="shared" si="4667"/>
        <v>0</v>
      </c>
      <c r="Y4335" s="13">
        <f t="shared" si="4667"/>
        <v>0</v>
      </c>
      <c r="Z4335" s="13">
        <f t="shared" si="4541"/>
        <v>1</v>
      </c>
      <c r="AA4335" s="13"/>
      <c r="AB4335" s="13"/>
      <c r="AC4335" s="13"/>
      <c r="AD4335" s="13"/>
      <c r="AE4335" s="13"/>
      <c r="AF4335" s="13"/>
      <c r="AG4335" s="13"/>
      <c r="AH4335" s="13"/>
      <c r="AI4335" s="13"/>
      <c r="AJ4335" s="13"/>
      <c r="AK4335" s="13"/>
      <c r="AL4335" s="13"/>
      <c r="AM4335" s="13"/>
      <c r="AN4335" s="13"/>
      <c r="AO4335" s="13"/>
      <c r="AP4335" s="13"/>
      <c r="AQ4335" s="13"/>
      <c r="AR4335" s="13"/>
      <c r="AS4335" s="13"/>
    </row>
    <row r="4336" ht="14.25" customHeight="1">
      <c r="A4336" s="26" t="s">
        <v>46</v>
      </c>
      <c r="B4336" s="31" t="s">
        <v>53</v>
      </c>
      <c r="C4336" s="26" t="s">
        <v>766</v>
      </c>
      <c r="D4336" s="26" t="s">
        <v>193</v>
      </c>
      <c r="E4336" s="13"/>
      <c r="F4336" s="26"/>
      <c r="G4336" s="26" t="s">
        <v>111</v>
      </c>
      <c r="H4336" s="26" t="s">
        <v>75</v>
      </c>
      <c r="I4336" s="13"/>
      <c r="J4336" s="13"/>
      <c r="K4336" s="28">
        <v>1.0</v>
      </c>
      <c r="L4336" s="28">
        <v>1.0</v>
      </c>
      <c r="M4336" s="16"/>
      <c r="N4336" s="16"/>
      <c r="O4336" s="17"/>
      <c r="P4336" s="17"/>
      <c r="Q4336" s="13"/>
      <c r="R4336" s="13"/>
      <c r="S4336" s="13"/>
      <c r="T4336" s="13">
        <f t="shared" ref="T4336:Y4336" si="4668">IF(ISBLANK(K4336)=TRUE,0,1)</f>
        <v>1</v>
      </c>
      <c r="U4336" s="13">
        <f t="shared" si="4668"/>
        <v>1</v>
      </c>
      <c r="V4336" s="13">
        <f t="shared" si="4668"/>
        <v>0</v>
      </c>
      <c r="W4336" s="13">
        <f t="shared" si="4668"/>
        <v>0</v>
      </c>
      <c r="X4336" s="13">
        <f t="shared" si="4668"/>
        <v>0</v>
      </c>
      <c r="Y4336" s="13">
        <f t="shared" si="4668"/>
        <v>0</v>
      </c>
      <c r="Z4336" s="13">
        <f t="shared" si="4541"/>
        <v>1</v>
      </c>
      <c r="AA4336" s="13"/>
      <c r="AB4336" s="13"/>
      <c r="AC4336" s="13"/>
      <c r="AD4336" s="13"/>
      <c r="AE4336" s="13"/>
      <c r="AF4336" s="13"/>
      <c r="AG4336" s="13"/>
      <c r="AH4336" s="13"/>
      <c r="AI4336" s="13"/>
      <c r="AJ4336" s="13"/>
      <c r="AK4336" s="13"/>
      <c r="AL4336" s="13"/>
      <c r="AM4336" s="13"/>
      <c r="AN4336" s="13"/>
      <c r="AO4336" s="13"/>
      <c r="AP4336" s="13"/>
      <c r="AQ4336" s="13"/>
      <c r="AR4336" s="13"/>
      <c r="AS4336" s="13"/>
    </row>
    <row r="4337" ht="14.25" customHeight="1">
      <c r="A4337" s="26" t="s">
        <v>46</v>
      </c>
      <c r="B4337" s="31" t="s">
        <v>53</v>
      </c>
      <c r="C4337" s="26" t="s">
        <v>766</v>
      </c>
      <c r="D4337" s="26" t="s">
        <v>194</v>
      </c>
      <c r="E4337" s="13"/>
      <c r="F4337" s="26"/>
      <c r="G4337" s="26" t="s">
        <v>111</v>
      </c>
      <c r="H4337" s="26" t="s">
        <v>75</v>
      </c>
      <c r="I4337" s="13"/>
      <c r="J4337" s="13"/>
      <c r="K4337" s="28">
        <v>1.0</v>
      </c>
      <c r="L4337" s="28">
        <v>1.0</v>
      </c>
      <c r="M4337" s="16"/>
      <c r="N4337" s="16"/>
      <c r="O4337" s="17"/>
      <c r="P4337" s="17"/>
      <c r="Q4337" s="13"/>
      <c r="R4337" s="13"/>
      <c r="S4337" s="13"/>
      <c r="T4337" s="13">
        <f t="shared" ref="T4337:Y4337" si="4669">IF(ISBLANK(K4337)=TRUE,0,1)</f>
        <v>1</v>
      </c>
      <c r="U4337" s="13">
        <f t="shared" si="4669"/>
        <v>1</v>
      </c>
      <c r="V4337" s="13">
        <f t="shared" si="4669"/>
        <v>0</v>
      </c>
      <c r="W4337" s="13">
        <f t="shared" si="4669"/>
        <v>0</v>
      </c>
      <c r="X4337" s="13">
        <f t="shared" si="4669"/>
        <v>0</v>
      </c>
      <c r="Y4337" s="13">
        <f t="shared" si="4669"/>
        <v>0</v>
      </c>
      <c r="Z4337" s="13">
        <f t="shared" si="4541"/>
        <v>1</v>
      </c>
      <c r="AA4337" s="13"/>
      <c r="AB4337" s="13"/>
      <c r="AC4337" s="13"/>
      <c r="AD4337" s="13"/>
      <c r="AE4337" s="13"/>
      <c r="AF4337" s="13"/>
      <c r="AG4337" s="13"/>
      <c r="AH4337" s="13"/>
      <c r="AI4337" s="13"/>
      <c r="AJ4337" s="13"/>
      <c r="AK4337" s="13"/>
      <c r="AL4337" s="13"/>
      <c r="AM4337" s="13"/>
      <c r="AN4337" s="13"/>
      <c r="AO4337" s="13"/>
      <c r="AP4337" s="13"/>
      <c r="AQ4337" s="13"/>
      <c r="AR4337" s="13"/>
      <c r="AS4337" s="13"/>
    </row>
    <row r="4338" ht="14.25" customHeight="1">
      <c r="A4338" s="26" t="s">
        <v>46</v>
      </c>
      <c r="B4338" s="31" t="s">
        <v>53</v>
      </c>
      <c r="C4338" s="26" t="s">
        <v>766</v>
      </c>
      <c r="D4338" s="26" t="s">
        <v>195</v>
      </c>
      <c r="E4338" s="13"/>
      <c r="F4338" s="26"/>
      <c r="G4338" s="26" t="s">
        <v>111</v>
      </c>
      <c r="H4338" s="26" t="s">
        <v>75</v>
      </c>
      <c r="I4338" s="13"/>
      <c r="J4338" s="13"/>
      <c r="K4338" s="28">
        <v>1.0</v>
      </c>
      <c r="L4338" s="28">
        <v>1.0</v>
      </c>
      <c r="M4338" s="16"/>
      <c r="N4338" s="16"/>
      <c r="O4338" s="17"/>
      <c r="P4338" s="17"/>
      <c r="Q4338" s="13"/>
      <c r="R4338" s="13"/>
      <c r="S4338" s="13"/>
      <c r="T4338" s="13">
        <f t="shared" ref="T4338:Y4338" si="4670">IF(ISBLANK(K4338)=TRUE,0,1)</f>
        <v>1</v>
      </c>
      <c r="U4338" s="13">
        <f t="shared" si="4670"/>
        <v>1</v>
      </c>
      <c r="V4338" s="13">
        <f t="shared" si="4670"/>
        <v>0</v>
      </c>
      <c r="W4338" s="13">
        <f t="shared" si="4670"/>
        <v>0</v>
      </c>
      <c r="X4338" s="13">
        <f t="shared" si="4670"/>
        <v>0</v>
      </c>
      <c r="Y4338" s="13">
        <f t="shared" si="4670"/>
        <v>0</v>
      </c>
      <c r="Z4338" s="13">
        <f t="shared" si="4541"/>
        <v>1</v>
      </c>
      <c r="AA4338" s="13"/>
      <c r="AB4338" s="13"/>
      <c r="AC4338" s="13"/>
      <c r="AD4338" s="13"/>
      <c r="AE4338" s="13"/>
      <c r="AF4338" s="13"/>
      <c r="AG4338" s="13"/>
      <c r="AH4338" s="13"/>
      <c r="AI4338" s="13"/>
      <c r="AJ4338" s="13"/>
      <c r="AK4338" s="13"/>
      <c r="AL4338" s="13"/>
      <c r="AM4338" s="13"/>
      <c r="AN4338" s="13"/>
      <c r="AO4338" s="13"/>
      <c r="AP4338" s="13"/>
      <c r="AQ4338" s="13"/>
      <c r="AR4338" s="13"/>
      <c r="AS4338" s="13"/>
    </row>
    <row r="4339" ht="14.25" customHeight="1">
      <c r="A4339" s="26" t="s">
        <v>46</v>
      </c>
      <c r="B4339" s="31" t="s">
        <v>53</v>
      </c>
      <c r="C4339" s="26" t="s">
        <v>767</v>
      </c>
      <c r="D4339" s="26" t="s">
        <v>174</v>
      </c>
      <c r="E4339" s="13"/>
      <c r="F4339" s="26"/>
      <c r="G4339" s="26" t="s">
        <v>111</v>
      </c>
      <c r="H4339" s="26" t="s">
        <v>75</v>
      </c>
      <c r="I4339" s="26"/>
      <c r="J4339" s="26"/>
      <c r="K4339" s="28">
        <v>1.0</v>
      </c>
      <c r="L4339" s="28">
        <v>1.0</v>
      </c>
      <c r="M4339" s="30"/>
      <c r="N4339" s="30"/>
      <c r="O4339" s="17"/>
      <c r="P4339" s="17"/>
      <c r="Q4339" s="13"/>
      <c r="R4339" s="13"/>
      <c r="S4339" s="13"/>
      <c r="T4339" s="13">
        <f t="shared" ref="T4339:Y4339" si="4671">IF(ISBLANK(K4339)=TRUE,0,1)</f>
        <v>1</v>
      </c>
      <c r="U4339" s="13">
        <f t="shared" si="4671"/>
        <v>1</v>
      </c>
      <c r="V4339" s="13">
        <f t="shared" si="4671"/>
        <v>0</v>
      </c>
      <c r="W4339" s="13">
        <f t="shared" si="4671"/>
        <v>0</v>
      </c>
      <c r="X4339" s="13">
        <f t="shared" si="4671"/>
        <v>0</v>
      </c>
      <c r="Y4339" s="13">
        <f t="shared" si="4671"/>
        <v>0</v>
      </c>
      <c r="Z4339" s="13">
        <f t="shared" si="4541"/>
        <v>1</v>
      </c>
      <c r="AA4339" s="13"/>
      <c r="AB4339" s="13"/>
      <c r="AC4339" s="13"/>
      <c r="AD4339" s="13"/>
      <c r="AE4339" s="13"/>
      <c r="AF4339" s="13"/>
      <c r="AG4339" s="13"/>
      <c r="AH4339" s="13"/>
      <c r="AI4339" s="13"/>
      <c r="AJ4339" s="13"/>
      <c r="AK4339" s="13"/>
      <c r="AL4339" s="13"/>
      <c r="AM4339" s="13"/>
      <c r="AN4339" s="13"/>
      <c r="AO4339" s="13"/>
      <c r="AP4339" s="13"/>
      <c r="AQ4339" s="13"/>
      <c r="AR4339" s="13"/>
      <c r="AS4339" s="13"/>
    </row>
    <row r="4340" ht="14.25" customHeight="1">
      <c r="A4340" s="26" t="s">
        <v>46</v>
      </c>
      <c r="B4340" s="31" t="s">
        <v>53</v>
      </c>
      <c r="C4340" s="26" t="s">
        <v>767</v>
      </c>
      <c r="D4340" s="26" t="s">
        <v>175</v>
      </c>
      <c r="E4340" s="13"/>
      <c r="F4340" s="26"/>
      <c r="G4340" s="26" t="s">
        <v>111</v>
      </c>
      <c r="H4340" s="26" t="s">
        <v>75</v>
      </c>
      <c r="I4340" s="13"/>
      <c r="J4340" s="13"/>
      <c r="K4340" s="28">
        <v>1.0</v>
      </c>
      <c r="L4340" s="28">
        <v>1.0</v>
      </c>
      <c r="M4340" s="16"/>
      <c r="N4340" s="16"/>
      <c r="O4340" s="17"/>
      <c r="P4340" s="17"/>
      <c r="Q4340" s="13"/>
      <c r="R4340" s="13"/>
      <c r="S4340" s="13"/>
      <c r="T4340" s="13">
        <f t="shared" ref="T4340:Y4340" si="4672">IF(ISBLANK(K4340)=TRUE,0,1)</f>
        <v>1</v>
      </c>
      <c r="U4340" s="13">
        <f t="shared" si="4672"/>
        <v>1</v>
      </c>
      <c r="V4340" s="13">
        <f t="shared" si="4672"/>
        <v>0</v>
      </c>
      <c r="W4340" s="13">
        <f t="shared" si="4672"/>
        <v>0</v>
      </c>
      <c r="X4340" s="13">
        <f t="shared" si="4672"/>
        <v>0</v>
      </c>
      <c r="Y4340" s="13">
        <f t="shared" si="4672"/>
        <v>0</v>
      </c>
      <c r="Z4340" s="13">
        <f t="shared" si="4541"/>
        <v>1</v>
      </c>
      <c r="AA4340" s="13"/>
      <c r="AB4340" s="13"/>
      <c r="AC4340" s="13"/>
      <c r="AD4340" s="13"/>
      <c r="AE4340" s="13"/>
      <c r="AF4340" s="13"/>
      <c r="AG4340" s="13"/>
      <c r="AH4340" s="13"/>
      <c r="AI4340" s="13"/>
      <c r="AJ4340" s="13"/>
      <c r="AK4340" s="13"/>
      <c r="AL4340" s="13"/>
      <c r="AM4340" s="13"/>
      <c r="AN4340" s="13"/>
      <c r="AO4340" s="13"/>
      <c r="AP4340" s="13"/>
      <c r="AQ4340" s="13"/>
      <c r="AR4340" s="13"/>
      <c r="AS4340" s="13"/>
    </row>
    <row r="4341" ht="14.25" customHeight="1">
      <c r="A4341" s="26" t="s">
        <v>46</v>
      </c>
      <c r="B4341" s="31" t="s">
        <v>53</v>
      </c>
      <c r="C4341" s="26" t="s">
        <v>767</v>
      </c>
      <c r="D4341" s="26" t="s">
        <v>176</v>
      </c>
      <c r="E4341" s="13"/>
      <c r="F4341" s="26"/>
      <c r="G4341" s="26" t="s">
        <v>111</v>
      </c>
      <c r="H4341" s="26" t="s">
        <v>75</v>
      </c>
      <c r="I4341" s="13"/>
      <c r="J4341" s="13"/>
      <c r="K4341" s="28">
        <v>1.0</v>
      </c>
      <c r="L4341" s="28">
        <v>1.0</v>
      </c>
      <c r="M4341" s="16"/>
      <c r="N4341" s="16"/>
      <c r="O4341" s="17"/>
      <c r="P4341" s="17"/>
      <c r="Q4341" s="13"/>
      <c r="R4341" s="13"/>
      <c r="S4341" s="13"/>
      <c r="T4341" s="13">
        <f t="shared" ref="T4341:Y4341" si="4673">IF(ISBLANK(K4341)=TRUE,0,1)</f>
        <v>1</v>
      </c>
      <c r="U4341" s="13">
        <f t="shared" si="4673"/>
        <v>1</v>
      </c>
      <c r="V4341" s="13">
        <f t="shared" si="4673"/>
        <v>0</v>
      </c>
      <c r="W4341" s="13">
        <f t="shared" si="4673"/>
        <v>0</v>
      </c>
      <c r="X4341" s="13">
        <f t="shared" si="4673"/>
        <v>0</v>
      </c>
      <c r="Y4341" s="13">
        <f t="shared" si="4673"/>
        <v>0</v>
      </c>
      <c r="Z4341" s="13">
        <f t="shared" si="4541"/>
        <v>1</v>
      </c>
      <c r="AA4341" s="13"/>
      <c r="AB4341" s="13"/>
      <c r="AC4341" s="13"/>
      <c r="AD4341" s="13"/>
      <c r="AE4341" s="13"/>
      <c r="AF4341" s="13"/>
      <c r="AG4341" s="13"/>
      <c r="AH4341" s="13"/>
      <c r="AI4341" s="13"/>
      <c r="AJ4341" s="13"/>
      <c r="AK4341" s="13"/>
      <c r="AL4341" s="13"/>
      <c r="AM4341" s="13"/>
      <c r="AN4341" s="13"/>
      <c r="AO4341" s="13"/>
      <c r="AP4341" s="13"/>
      <c r="AQ4341" s="13"/>
      <c r="AR4341" s="13"/>
      <c r="AS4341" s="13"/>
    </row>
    <row r="4342" ht="14.25" customHeight="1">
      <c r="A4342" s="26" t="s">
        <v>46</v>
      </c>
      <c r="B4342" s="31" t="s">
        <v>53</v>
      </c>
      <c r="C4342" s="26" t="s">
        <v>767</v>
      </c>
      <c r="D4342" s="26" t="s">
        <v>177</v>
      </c>
      <c r="E4342" s="13"/>
      <c r="F4342" s="26"/>
      <c r="G4342" s="26" t="s">
        <v>111</v>
      </c>
      <c r="H4342" s="26" t="s">
        <v>75</v>
      </c>
      <c r="I4342" s="13"/>
      <c r="J4342" s="13"/>
      <c r="K4342" s="28">
        <v>1.0</v>
      </c>
      <c r="L4342" s="28">
        <v>1.0</v>
      </c>
      <c r="M4342" s="16"/>
      <c r="N4342" s="16"/>
      <c r="O4342" s="17"/>
      <c r="P4342" s="17"/>
      <c r="Q4342" s="13"/>
      <c r="R4342" s="13"/>
      <c r="S4342" s="13"/>
      <c r="T4342" s="13">
        <f t="shared" ref="T4342:Y4342" si="4674">IF(ISBLANK(K4342)=TRUE,0,1)</f>
        <v>1</v>
      </c>
      <c r="U4342" s="13">
        <f t="shared" si="4674"/>
        <v>1</v>
      </c>
      <c r="V4342" s="13">
        <f t="shared" si="4674"/>
        <v>0</v>
      </c>
      <c r="W4342" s="13">
        <f t="shared" si="4674"/>
        <v>0</v>
      </c>
      <c r="X4342" s="13">
        <f t="shared" si="4674"/>
        <v>0</v>
      </c>
      <c r="Y4342" s="13">
        <f t="shared" si="4674"/>
        <v>0</v>
      </c>
      <c r="Z4342" s="13">
        <f t="shared" si="4541"/>
        <v>1</v>
      </c>
      <c r="AA4342" s="13"/>
      <c r="AB4342" s="13"/>
      <c r="AC4342" s="13"/>
      <c r="AD4342" s="13"/>
      <c r="AE4342" s="13"/>
      <c r="AF4342" s="13"/>
      <c r="AG4342" s="13"/>
      <c r="AH4342" s="13"/>
      <c r="AI4342" s="13"/>
      <c r="AJ4342" s="13"/>
      <c r="AK4342" s="13"/>
      <c r="AL4342" s="13"/>
      <c r="AM4342" s="13"/>
      <c r="AN4342" s="13"/>
      <c r="AO4342" s="13"/>
      <c r="AP4342" s="13"/>
      <c r="AQ4342" s="13"/>
      <c r="AR4342" s="13"/>
      <c r="AS4342" s="13"/>
    </row>
    <row r="4343" ht="14.25" customHeight="1">
      <c r="A4343" s="26" t="s">
        <v>46</v>
      </c>
      <c r="B4343" s="31" t="s">
        <v>53</v>
      </c>
      <c r="C4343" s="26" t="s">
        <v>767</v>
      </c>
      <c r="D4343" s="26" t="s">
        <v>178</v>
      </c>
      <c r="E4343" s="13"/>
      <c r="F4343" s="26"/>
      <c r="G4343" s="26" t="s">
        <v>111</v>
      </c>
      <c r="H4343" s="26" t="s">
        <v>75</v>
      </c>
      <c r="I4343" s="13"/>
      <c r="J4343" s="13"/>
      <c r="K4343" s="28">
        <v>1.0</v>
      </c>
      <c r="L4343" s="28">
        <v>1.0</v>
      </c>
      <c r="M4343" s="16"/>
      <c r="N4343" s="16"/>
      <c r="O4343" s="17"/>
      <c r="P4343" s="17"/>
      <c r="Q4343" s="13"/>
      <c r="R4343" s="13"/>
      <c r="S4343" s="13"/>
      <c r="T4343" s="13">
        <f t="shared" ref="T4343:Y4343" si="4675">IF(ISBLANK(K4343)=TRUE,0,1)</f>
        <v>1</v>
      </c>
      <c r="U4343" s="13">
        <f t="shared" si="4675"/>
        <v>1</v>
      </c>
      <c r="V4343" s="13">
        <f t="shared" si="4675"/>
        <v>0</v>
      </c>
      <c r="W4343" s="13">
        <f t="shared" si="4675"/>
        <v>0</v>
      </c>
      <c r="X4343" s="13">
        <f t="shared" si="4675"/>
        <v>0</v>
      </c>
      <c r="Y4343" s="13">
        <f t="shared" si="4675"/>
        <v>0</v>
      </c>
      <c r="Z4343" s="13">
        <f t="shared" si="4541"/>
        <v>1</v>
      </c>
      <c r="AA4343" s="13"/>
      <c r="AB4343" s="13"/>
      <c r="AC4343" s="13"/>
      <c r="AD4343" s="13"/>
      <c r="AE4343" s="13"/>
      <c r="AF4343" s="13"/>
      <c r="AG4343" s="13"/>
      <c r="AH4343" s="13"/>
      <c r="AI4343" s="13"/>
      <c r="AJ4343" s="13"/>
      <c r="AK4343" s="13"/>
      <c r="AL4343" s="13"/>
      <c r="AM4343" s="13"/>
      <c r="AN4343" s="13"/>
      <c r="AO4343" s="13"/>
      <c r="AP4343" s="13"/>
      <c r="AQ4343" s="13"/>
      <c r="AR4343" s="13"/>
      <c r="AS4343" s="13"/>
    </row>
    <row r="4344" ht="14.25" customHeight="1">
      <c r="A4344" s="26" t="s">
        <v>46</v>
      </c>
      <c r="B4344" s="31" t="s">
        <v>53</v>
      </c>
      <c r="C4344" s="26" t="s">
        <v>767</v>
      </c>
      <c r="D4344" s="26" t="s">
        <v>179</v>
      </c>
      <c r="E4344" s="13"/>
      <c r="F4344" s="26"/>
      <c r="G4344" s="26" t="s">
        <v>111</v>
      </c>
      <c r="H4344" s="26" t="s">
        <v>75</v>
      </c>
      <c r="I4344" s="13"/>
      <c r="J4344" s="13"/>
      <c r="K4344" s="28">
        <v>1.0</v>
      </c>
      <c r="L4344" s="28">
        <v>1.0</v>
      </c>
      <c r="M4344" s="16"/>
      <c r="N4344" s="16"/>
      <c r="O4344" s="17"/>
      <c r="P4344" s="17"/>
      <c r="Q4344" s="13"/>
      <c r="R4344" s="13"/>
      <c r="S4344" s="13"/>
      <c r="T4344" s="13">
        <f t="shared" ref="T4344:Y4344" si="4676">IF(ISBLANK(K4344)=TRUE,0,1)</f>
        <v>1</v>
      </c>
      <c r="U4344" s="13">
        <f t="shared" si="4676"/>
        <v>1</v>
      </c>
      <c r="V4344" s="13">
        <f t="shared" si="4676"/>
        <v>0</v>
      </c>
      <c r="W4344" s="13">
        <f t="shared" si="4676"/>
        <v>0</v>
      </c>
      <c r="X4344" s="13">
        <f t="shared" si="4676"/>
        <v>0</v>
      </c>
      <c r="Y4344" s="13">
        <f t="shared" si="4676"/>
        <v>0</v>
      </c>
      <c r="Z4344" s="13">
        <f t="shared" si="4541"/>
        <v>1</v>
      </c>
      <c r="AA4344" s="13"/>
      <c r="AB4344" s="13"/>
      <c r="AC4344" s="13"/>
      <c r="AD4344" s="13"/>
      <c r="AE4344" s="13"/>
      <c r="AF4344" s="13"/>
      <c r="AG4344" s="13"/>
      <c r="AH4344" s="13"/>
      <c r="AI4344" s="13"/>
      <c r="AJ4344" s="13"/>
      <c r="AK4344" s="13"/>
      <c r="AL4344" s="13"/>
      <c r="AM4344" s="13"/>
      <c r="AN4344" s="13"/>
      <c r="AO4344" s="13"/>
      <c r="AP4344" s="13"/>
      <c r="AQ4344" s="13"/>
      <c r="AR4344" s="13"/>
      <c r="AS4344" s="13"/>
    </row>
    <row r="4345" ht="14.25" customHeight="1">
      <c r="A4345" s="26" t="s">
        <v>46</v>
      </c>
      <c r="B4345" s="31" t="s">
        <v>53</v>
      </c>
      <c r="C4345" s="26" t="s">
        <v>767</v>
      </c>
      <c r="D4345" s="26" t="s">
        <v>180</v>
      </c>
      <c r="E4345" s="13"/>
      <c r="F4345" s="26"/>
      <c r="G4345" s="26" t="s">
        <v>111</v>
      </c>
      <c r="H4345" s="26" t="s">
        <v>75</v>
      </c>
      <c r="I4345" s="13"/>
      <c r="J4345" s="13"/>
      <c r="K4345" s="28">
        <v>1.0</v>
      </c>
      <c r="L4345" s="28">
        <v>1.0</v>
      </c>
      <c r="M4345" s="16"/>
      <c r="N4345" s="16"/>
      <c r="O4345" s="17"/>
      <c r="P4345" s="17"/>
      <c r="Q4345" s="13"/>
      <c r="R4345" s="13"/>
      <c r="S4345" s="13"/>
      <c r="T4345" s="13">
        <f t="shared" ref="T4345:Y4345" si="4677">IF(ISBLANK(K4345)=TRUE,0,1)</f>
        <v>1</v>
      </c>
      <c r="U4345" s="13">
        <f t="shared" si="4677"/>
        <v>1</v>
      </c>
      <c r="V4345" s="13">
        <f t="shared" si="4677"/>
        <v>0</v>
      </c>
      <c r="W4345" s="13">
        <f t="shared" si="4677"/>
        <v>0</v>
      </c>
      <c r="X4345" s="13">
        <f t="shared" si="4677"/>
        <v>0</v>
      </c>
      <c r="Y4345" s="13">
        <f t="shared" si="4677"/>
        <v>0</v>
      </c>
      <c r="Z4345" s="13">
        <f t="shared" si="4541"/>
        <v>1</v>
      </c>
      <c r="AA4345" s="13"/>
      <c r="AB4345" s="13"/>
      <c r="AC4345" s="13"/>
      <c r="AD4345" s="13"/>
      <c r="AE4345" s="13"/>
      <c r="AF4345" s="13"/>
      <c r="AG4345" s="13"/>
      <c r="AH4345" s="13"/>
      <c r="AI4345" s="13"/>
      <c r="AJ4345" s="13"/>
      <c r="AK4345" s="13"/>
      <c r="AL4345" s="13"/>
      <c r="AM4345" s="13"/>
      <c r="AN4345" s="13"/>
      <c r="AO4345" s="13"/>
      <c r="AP4345" s="13"/>
      <c r="AQ4345" s="13"/>
      <c r="AR4345" s="13"/>
      <c r="AS4345" s="13"/>
    </row>
    <row r="4346" ht="14.25" customHeight="1">
      <c r="A4346" s="26" t="s">
        <v>46</v>
      </c>
      <c r="B4346" s="31" t="s">
        <v>53</v>
      </c>
      <c r="C4346" s="13" t="s">
        <v>768</v>
      </c>
      <c r="D4346" s="26" t="s">
        <v>174</v>
      </c>
      <c r="E4346" s="13"/>
      <c r="F4346" s="13"/>
      <c r="G4346" s="26" t="s">
        <v>111</v>
      </c>
      <c r="H4346" s="26" t="s">
        <v>75</v>
      </c>
      <c r="I4346" s="13"/>
      <c r="J4346" s="13"/>
      <c r="K4346" s="15">
        <v>1.0</v>
      </c>
      <c r="L4346" s="15">
        <v>1.0</v>
      </c>
      <c r="M4346" s="16"/>
      <c r="N4346" s="16"/>
      <c r="O4346" s="17"/>
      <c r="P4346" s="17"/>
      <c r="Q4346" s="13"/>
      <c r="R4346" s="13"/>
      <c r="S4346" s="13"/>
      <c r="T4346" s="13">
        <f t="shared" ref="T4346:Y4346" si="4678">IF(ISBLANK(K4346)=TRUE,0,1)</f>
        <v>1</v>
      </c>
      <c r="U4346" s="13">
        <f t="shared" si="4678"/>
        <v>1</v>
      </c>
      <c r="V4346" s="13">
        <f t="shared" si="4678"/>
        <v>0</v>
      </c>
      <c r="W4346" s="13">
        <f t="shared" si="4678"/>
        <v>0</v>
      </c>
      <c r="X4346" s="13">
        <f t="shared" si="4678"/>
        <v>0</v>
      </c>
      <c r="Y4346" s="13">
        <f t="shared" si="4678"/>
        <v>0</v>
      </c>
      <c r="Z4346" s="13">
        <f t="shared" si="4541"/>
        <v>1</v>
      </c>
      <c r="AA4346" s="13"/>
      <c r="AB4346" s="13"/>
      <c r="AC4346" s="13"/>
      <c r="AD4346" s="13"/>
      <c r="AE4346" s="13"/>
      <c r="AF4346" s="13"/>
      <c r="AG4346" s="13"/>
      <c r="AH4346" s="13"/>
      <c r="AI4346" s="13"/>
      <c r="AJ4346" s="13"/>
      <c r="AK4346" s="13"/>
      <c r="AL4346" s="13"/>
      <c r="AM4346" s="13"/>
      <c r="AN4346" s="13"/>
      <c r="AO4346" s="13"/>
      <c r="AP4346" s="13"/>
      <c r="AQ4346" s="13"/>
      <c r="AR4346" s="13"/>
      <c r="AS4346" s="13"/>
    </row>
    <row r="4347" ht="14.25" customHeight="1">
      <c r="A4347" s="26" t="s">
        <v>46</v>
      </c>
      <c r="B4347" s="31" t="s">
        <v>53</v>
      </c>
      <c r="C4347" s="13" t="s">
        <v>768</v>
      </c>
      <c r="D4347" s="26" t="s">
        <v>175</v>
      </c>
      <c r="E4347" s="13"/>
      <c r="F4347" s="13"/>
      <c r="G4347" s="26" t="s">
        <v>111</v>
      </c>
      <c r="H4347" s="26" t="s">
        <v>75</v>
      </c>
      <c r="I4347" s="13"/>
      <c r="J4347" s="13"/>
      <c r="K4347" s="15">
        <v>1.0</v>
      </c>
      <c r="L4347" s="15">
        <v>1.0</v>
      </c>
      <c r="M4347" s="16"/>
      <c r="N4347" s="16"/>
      <c r="O4347" s="17"/>
      <c r="P4347" s="17"/>
      <c r="Q4347" s="13"/>
      <c r="R4347" s="13"/>
      <c r="S4347" s="13"/>
      <c r="T4347" s="13">
        <f t="shared" ref="T4347:Y4347" si="4679">IF(ISBLANK(K4347)=TRUE,0,1)</f>
        <v>1</v>
      </c>
      <c r="U4347" s="13">
        <f t="shared" si="4679"/>
        <v>1</v>
      </c>
      <c r="V4347" s="13">
        <f t="shared" si="4679"/>
        <v>0</v>
      </c>
      <c r="W4347" s="13">
        <f t="shared" si="4679"/>
        <v>0</v>
      </c>
      <c r="X4347" s="13">
        <f t="shared" si="4679"/>
        <v>0</v>
      </c>
      <c r="Y4347" s="13">
        <f t="shared" si="4679"/>
        <v>0</v>
      </c>
      <c r="Z4347" s="13">
        <f t="shared" si="4541"/>
        <v>1</v>
      </c>
      <c r="AA4347" s="13"/>
      <c r="AB4347" s="13"/>
      <c r="AC4347" s="13"/>
      <c r="AD4347" s="13"/>
      <c r="AE4347" s="13"/>
      <c r="AF4347" s="13"/>
      <c r="AG4347" s="13"/>
      <c r="AH4347" s="13"/>
      <c r="AI4347" s="13"/>
      <c r="AJ4347" s="13"/>
      <c r="AK4347" s="13"/>
      <c r="AL4347" s="13"/>
      <c r="AM4347" s="13"/>
      <c r="AN4347" s="13"/>
      <c r="AO4347" s="13"/>
      <c r="AP4347" s="13"/>
      <c r="AQ4347" s="13"/>
      <c r="AR4347" s="13"/>
      <c r="AS4347" s="13"/>
    </row>
    <row r="4348" ht="14.25" customHeight="1">
      <c r="A4348" s="26" t="s">
        <v>46</v>
      </c>
      <c r="B4348" s="31" t="s">
        <v>53</v>
      </c>
      <c r="C4348" s="13" t="s">
        <v>768</v>
      </c>
      <c r="D4348" s="26" t="s">
        <v>176</v>
      </c>
      <c r="E4348" s="13"/>
      <c r="F4348" s="13"/>
      <c r="G4348" s="26" t="s">
        <v>111</v>
      </c>
      <c r="H4348" s="26" t="s">
        <v>75</v>
      </c>
      <c r="I4348" s="13"/>
      <c r="J4348" s="13"/>
      <c r="K4348" s="15">
        <v>1.0</v>
      </c>
      <c r="L4348" s="15">
        <v>1.0</v>
      </c>
      <c r="M4348" s="16"/>
      <c r="N4348" s="16"/>
      <c r="O4348" s="17"/>
      <c r="P4348" s="17"/>
      <c r="Q4348" s="13"/>
      <c r="R4348" s="13"/>
      <c r="S4348" s="13"/>
      <c r="T4348" s="13">
        <f t="shared" ref="T4348:Y4348" si="4680">IF(ISBLANK(K4348)=TRUE,0,1)</f>
        <v>1</v>
      </c>
      <c r="U4348" s="13">
        <f t="shared" si="4680"/>
        <v>1</v>
      </c>
      <c r="V4348" s="13">
        <f t="shared" si="4680"/>
        <v>0</v>
      </c>
      <c r="W4348" s="13">
        <f t="shared" si="4680"/>
        <v>0</v>
      </c>
      <c r="X4348" s="13">
        <f t="shared" si="4680"/>
        <v>0</v>
      </c>
      <c r="Y4348" s="13">
        <f t="shared" si="4680"/>
        <v>0</v>
      </c>
      <c r="Z4348" s="13">
        <f t="shared" si="4541"/>
        <v>1</v>
      </c>
      <c r="AA4348" s="13"/>
      <c r="AB4348" s="13"/>
      <c r="AC4348" s="13"/>
      <c r="AD4348" s="13"/>
      <c r="AE4348" s="13"/>
      <c r="AF4348" s="13"/>
      <c r="AG4348" s="13"/>
      <c r="AH4348" s="13"/>
      <c r="AI4348" s="13"/>
      <c r="AJ4348" s="13"/>
      <c r="AK4348" s="13"/>
      <c r="AL4348" s="13"/>
      <c r="AM4348" s="13"/>
      <c r="AN4348" s="13"/>
      <c r="AO4348" s="13"/>
      <c r="AP4348" s="13"/>
      <c r="AQ4348" s="13"/>
      <c r="AR4348" s="13"/>
      <c r="AS4348" s="13"/>
    </row>
    <row r="4349" ht="14.25" customHeight="1">
      <c r="A4349" s="26" t="s">
        <v>46</v>
      </c>
      <c r="B4349" s="31" t="s">
        <v>53</v>
      </c>
      <c r="C4349" s="13" t="s">
        <v>768</v>
      </c>
      <c r="D4349" s="26" t="s">
        <v>179</v>
      </c>
      <c r="E4349" s="13"/>
      <c r="F4349" s="13"/>
      <c r="G4349" s="26" t="s">
        <v>111</v>
      </c>
      <c r="H4349" s="26" t="s">
        <v>75</v>
      </c>
      <c r="I4349" s="13"/>
      <c r="J4349" s="13"/>
      <c r="K4349" s="15">
        <v>1.0</v>
      </c>
      <c r="L4349" s="15">
        <v>1.0</v>
      </c>
      <c r="M4349" s="16"/>
      <c r="N4349" s="16"/>
      <c r="O4349" s="17"/>
      <c r="P4349" s="17"/>
      <c r="Q4349" s="13"/>
      <c r="R4349" s="13"/>
      <c r="S4349" s="13"/>
      <c r="T4349" s="13">
        <f t="shared" ref="T4349:Y4349" si="4681">IF(ISBLANK(K4349)=TRUE,0,1)</f>
        <v>1</v>
      </c>
      <c r="U4349" s="13">
        <f t="shared" si="4681"/>
        <v>1</v>
      </c>
      <c r="V4349" s="13">
        <f t="shared" si="4681"/>
        <v>0</v>
      </c>
      <c r="W4349" s="13">
        <f t="shared" si="4681"/>
        <v>0</v>
      </c>
      <c r="X4349" s="13">
        <f t="shared" si="4681"/>
        <v>0</v>
      </c>
      <c r="Y4349" s="13">
        <f t="shared" si="4681"/>
        <v>0</v>
      </c>
      <c r="Z4349" s="13">
        <f t="shared" si="4541"/>
        <v>1</v>
      </c>
      <c r="AA4349" s="13"/>
      <c r="AB4349" s="13"/>
      <c r="AC4349" s="13"/>
      <c r="AD4349" s="13"/>
      <c r="AE4349" s="13"/>
      <c r="AF4349" s="13"/>
      <c r="AG4349" s="13"/>
      <c r="AH4349" s="13"/>
      <c r="AI4349" s="13"/>
      <c r="AJ4349" s="13"/>
      <c r="AK4349" s="13"/>
      <c r="AL4349" s="13"/>
      <c r="AM4349" s="13"/>
      <c r="AN4349" s="13"/>
      <c r="AO4349" s="13"/>
      <c r="AP4349" s="13"/>
      <c r="AQ4349" s="13"/>
      <c r="AR4349" s="13"/>
      <c r="AS4349" s="13"/>
    </row>
    <row r="4350" ht="14.25" customHeight="1">
      <c r="A4350" s="31" t="s">
        <v>46</v>
      </c>
      <c r="B4350" s="31" t="s">
        <v>53</v>
      </c>
      <c r="C4350" s="34" t="s">
        <v>768</v>
      </c>
      <c r="D4350" s="31" t="s">
        <v>191</v>
      </c>
      <c r="E4350" s="13"/>
      <c r="F4350" s="13"/>
      <c r="G4350" s="26" t="s">
        <v>111</v>
      </c>
      <c r="H4350" s="26" t="s">
        <v>75</v>
      </c>
      <c r="I4350" s="13"/>
      <c r="J4350" s="13"/>
      <c r="K4350" s="15">
        <v>1.0</v>
      </c>
      <c r="L4350" s="15">
        <v>1.0</v>
      </c>
      <c r="M4350" s="16"/>
      <c r="N4350" s="16"/>
      <c r="O4350" s="17"/>
      <c r="P4350" s="17"/>
      <c r="Q4350" s="13"/>
      <c r="R4350" s="13"/>
      <c r="S4350" s="13"/>
      <c r="T4350" s="13">
        <f t="shared" ref="T4350:Y4350" si="4682">IF(ISBLANK(K4350)=TRUE,0,1)</f>
        <v>1</v>
      </c>
      <c r="U4350" s="13">
        <f t="shared" si="4682"/>
        <v>1</v>
      </c>
      <c r="V4350" s="13">
        <f t="shared" si="4682"/>
        <v>0</v>
      </c>
      <c r="W4350" s="13">
        <f t="shared" si="4682"/>
        <v>0</v>
      </c>
      <c r="X4350" s="13">
        <f t="shared" si="4682"/>
        <v>0</v>
      </c>
      <c r="Y4350" s="13">
        <f t="shared" si="4682"/>
        <v>0</v>
      </c>
      <c r="Z4350" s="13">
        <f t="shared" si="4541"/>
        <v>1</v>
      </c>
      <c r="AA4350" s="13"/>
      <c r="AB4350" s="13"/>
      <c r="AC4350" s="13"/>
      <c r="AD4350" s="13"/>
      <c r="AE4350" s="13"/>
      <c r="AF4350" s="13"/>
      <c r="AG4350" s="13"/>
      <c r="AH4350" s="13"/>
      <c r="AI4350" s="13"/>
      <c r="AJ4350" s="13"/>
      <c r="AK4350" s="13"/>
      <c r="AL4350" s="13"/>
      <c r="AM4350" s="13"/>
      <c r="AN4350" s="13"/>
      <c r="AO4350" s="13"/>
      <c r="AP4350" s="13"/>
      <c r="AQ4350" s="13"/>
      <c r="AR4350" s="13"/>
      <c r="AS4350" s="13"/>
    </row>
    <row r="4351" ht="14.25" customHeight="1">
      <c r="A4351" s="31" t="s">
        <v>46</v>
      </c>
      <c r="B4351" s="31" t="s">
        <v>53</v>
      </c>
      <c r="C4351" s="34" t="s">
        <v>768</v>
      </c>
      <c r="D4351" s="31" t="s">
        <v>192</v>
      </c>
      <c r="E4351" s="13"/>
      <c r="F4351" s="13"/>
      <c r="G4351" s="26" t="s">
        <v>111</v>
      </c>
      <c r="H4351" s="26" t="s">
        <v>75</v>
      </c>
      <c r="I4351" s="13"/>
      <c r="J4351" s="13"/>
      <c r="K4351" s="15">
        <v>1.0</v>
      </c>
      <c r="L4351" s="15">
        <v>1.0</v>
      </c>
      <c r="M4351" s="16"/>
      <c r="N4351" s="16"/>
      <c r="O4351" s="17"/>
      <c r="P4351" s="17"/>
      <c r="Q4351" s="13"/>
      <c r="R4351" s="13"/>
      <c r="S4351" s="13"/>
      <c r="T4351" s="13">
        <f t="shared" ref="T4351:Y4351" si="4683">IF(ISBLANK(K4351)=TRUE,0,1)</f>
        <v>1</v>
      </c>
      <c r="U4351" s="13">
        <f t="shared" si="4683"/>
        <v>1</v>
      </c>
      <c r="V4351" s="13">
        <f t="shared" si="4683"/>
        <v>0</v>
      </c>
      <c r="W4351" s="13">
        <f t="shared" si="4683"/>
        <v>0</v>
      </c>
      <c r="X4351" s="13">
        <f t="shared" si="4683"/>
        <v>0</v>
      </c>
      <c r="Y4351" s="13">
        <f t="shared" si="4683"/>
        <v>0</v>
      </c>
      <c r="Z4351" s="13">
        <f t="shared" si="4541"/>
        <v>1</v>
      </c>
      <c r="AA4351" s="13"/>
      <c r="AB4351" s="13"/>
      <c r="AC4351" s="13"/>
      <c r="AD4351" s="13"/>
      <c r="AE4351" s="13"/>
      <c r="AF4351" s="13"/>
      <c r="AG4351" s="13"/>
      <c r="AH4351" s="13"/>
      <c r="AI4351" s="13"/>
      <c r="AJ4351" s="13"/>
      <c r="AK4351" s="13"/>
      <c r="AL4351" s="13"/>
      <c r="AM4351" s="13"/>
      <c r="AN4351" s="13"/>
      <c r="AO4351" s="13"/>
      <c r="AP4351" s="13"/>
      <c r="AQ4351" s="13"/>
      <c r="AR4351" s="13"/>
      <c r="AS4351" s="13"/>
    </row>
    <row r="4352" ht="14.25" customHeight="1">
      <c r="A4352" s="13" t="s">
        <v>46</v>
      </c>
      <c r="B4352" s="34" t="s">
        <v>53</v>
      </c>
      <c r="C4352" s="13" t="s">
        <v>815</v>
      </c>
      <c r="D4352" s="13"/>
      <c r="E4352" s="13"/>
      <c r="F4352" s="13"/>
      <c r="G4352" s="13" t="s">
        <v>74</v>
      </c>
      <c r="H4352" s="13" t="s">
        <v>75</v>
      </c>
      <c r="I4352" s="14">
        <v>44907.0</v>
      </c>
      <c r="J4352" s="14"/>
      <c r="K4352" s="15"/>
      <c r="L4352" s="15"/>
      <c r="M4352" s="16"/>
      <c r="N4352" s="16"/>
      <c r="O4352" s="17">
        <v>1.0</v>
      </c>
      <c r="P4352" s="17">
        <v>1.0</v>
      </c>
      <c r="Q4352" s="13">
        <f>K4349+L4349+M4349+N4349+O4349+P4349/6</f>
        <v>2</v>
      </c>
      <c r="R4352" s="14">
        <v>44973.0</v>
      </c>
      <c r="S4352" s="13"/>
      <c r="T4352" s="13">
        <f t="shared" ref="T4352:Y4352" si="4684">IF(ISBLANK(K4352)=TRUE,0,1)</f>
        <v>0</v>
      </c>
      <c r="U4352" s="13">
        <f t="shared" si="4684"/>
        <v>0</v>
      </c>
      <c r="V4352" s="13">
        <f t="shared" si="4684"/>
        <v>0</v>
      </c>
      <c r="W4352" s="13">
        <f t="shared" si="4684"/>
        <v>0</v>
      </c>
      <c r="X4352" s="13">
        <f t="shared" si="4684"/>
        <v>1</v>
      </c>
      <c r="Y4352" s="13">
        <f t="shared" si="4684"/>
        <v>1</v>
      </c>
      <c r="Z4352" s="13">
        <f t="shared" si="4541"/>
        <v>1</v>
      </c>
      <c r="AA4352" s="13"/>
      <c r="AB4352" s="13"/>
      <c r="AC4352" s="13"/>
      <c r="AD4352" s="13"/>
      <c r="AE4352" s="13"/>
      <c r="AF4352" s="13"/>
      <c r="AG4352" s="13"/>
      <c r="AH4352" s="13"/>
      <c r="AI4352" s="13"/>
      <c r="AJ4352" s="13"/>
      <c r="AK4352" s="13"/>
      <c r="AL4352" s="13"/>
      <c r="AM4352" s="13"/>
      <c r="AN4352" s="13"/>
      <c r="AO4352" s="13"/>
      <c r="AP4352" s="13"/>
      <c r="AQ4352" s="13"/>
      <c r="AR4352" s="13"/>
      <c r="AS4352" s="13"/>
    </row>
    <row r="4353" ht="14.25" customHeight="1">
      <c r="A4353" s="13" t="s">
        <v>46</v>
      </c>
      <c r="B4353" s="34" t="s">
        <v>53</v>
      </c>
      <c r="C4353" s="13" t="s">
        <v>816</v>
      </c>
      <c r="D4353" s="13"/>
      <c r="E4353" s="13"/>
      <c r="F4353" s="13"/>
      <c r="G4353" s="13" t="s">
        <v>74</v>
      </c>
      <c r="H4353" s="13" t="s">
        <v>75</v>
      </c>
      <c r="I4353" s="14">
        <v>44907.0</v>
      </c>
      <c r="J4353" s="14"/>
      <c r="K4353" s="15"/>
      <c r="L4353" s="15"/>
      <c r="M4353" s="16"/>
      <c r="N4353" s="16"/>
      <c r="O4353" s="17">
        <v>1.0</v>
      </c>
      <c r="P4353" s="17">
        <v>1.0</v>
      </c>
      <c r="Q4353" s="13">
        <f t="shared" ref="Q4353:Q4356" si="4686">K4352+L4352+M4352+N4352+O4352+P4352/6</f>
        <v>1.166666667</v>
      </c>
      <c r="R4353" s="14">
        <v>44973.0</v>
      </c>
      <c r="S4353" s="13"/>
      <c r="T4353" s="13">
        <f t="shared" ref="T4353:Y4353" si="4685">IF(ISBLANK(K4353)=TRUE,0,1)</f>
        <v>0</v>
      </c>
      <c r="U4353" s="13">
        <f t="shared" si="4685"/>
        <v>0</v>
      </c>
      <c r="V4353" s="13">
        <f t="shared" si="4685"/>
        <v>0</v>
      </c>
      <c r="W4353" s="13">
        <f t="shared" si="4685"/>
        <v>0</v>
      </c>
      <c r="X4353" s="13">
        <f t="shared" si="4685"/>
        <v>1</v>
      </c>
      <c r="Y4353" s="13">
        <f t="shared" si="4685"/>
        <v>1</v>
      </c>
      <c r="Z4353" s="13">
        <f t="shared" si="4541"/>
        <v>1</v>
      </c>
      <c r="AA4353" s="13"/>
      <c r="AB4353" s="13"/>
      <c r="AC4353" s="13"/>
      <c r="AD4353" s="13"/>
      <c r="AE4353" s="13"/>
      <c r="AF4353" s="13"/>
      <c r="AG4353" s="13"/>
      <c r="AH4353" s="13"/>
      <c r="AI4353" s="13"/>
      <c r="AJ4353" s="13"/>
      <c r="AK4353" s="13"/>
      <c r="AL4353" s="13"/>
      <c r="AM4353" s="13"/>
      <c r="AN4353" s="13"/>
      <c r="AO4353" s="13"/>
      <c r="AP4353" s="13"/>
      <c r="AQ4353" s="13"/>
      <c r="AR4353" s="13"/>
      <c r="AS4353" s="13"/>
    </row>
    <row r="4354" ht="14.25" customHeight="1">
      <c r="A4354" s="13" t="s">
        <v>46</v>
      </c>
      <c r="B4354" s="34" t="s">
        <v>53</v>
      </c>
      <c r="C4354" s="13" t="s">
        <v>2151</v>
      </c>
      <c r="D4354" s="13"/>
      <c r="E4354" s="13"/>
      <c r="F4354" s="13"/>
      <c r="G4354" s="13" t="s">
        <v>74</v>
      </c>
      <c r="H4354" s="13" t="s">
        <v>75</v>
      </c>
      <c r="I4354" s="14">
        <v>44907.0</v>
      </c>
      <c r="J4354" s="14"/>
      <c r="K4354" s="15">
        <v>1.0</v>
      </c>
      <c r="L4354" s="15">
        <v>1.0</v>
      </c>
      <c r="M4354" s="16"/>
      <c r="N4354" s="16"/>
      <c r="O4354" s="17">
        <v>1.0</v>
      </c>
      <c r="P4354" s="17">
        <v>1.0</v>
      </c>
      <c r="Q4354" s="13">
        <f t="shared" si="4686"/>
        <v>1.166666667</v>
      </c>
      <c r="R4354" s="14">
        <v>44966.0</v>
      </c>
      <c r="S4354" s="13"/>
      <c r="T4354" s="13">
        <f t="shared" ref="T4354:Y4354" si="4687">IF(ISBLANK(K4354)=TRUE,0,1)</f>
        <v>1</v>
      </c>
      <c r="U4354" s="13">
        <f t="shared" si="4687"/>
        <v>1</v>
      </c>
      <c r="V4354" s="13">
        <f t="shared" si="4687"/>
        <v>0</v>
      </c>
      <c r="W4354" s="13">
        <f t="shared" si="4687"/>
        <v>0</v>
      </c>
      <c r="X4354" s="13">
        <f t="shared" si="4687"/>
        <v>1</v>
      </c>
      <c r="Y4354" s="13">
        <f t="shared" si="4687"/>
        <v>1</v>
      </c>
      <c r="Z4354" s="13">
        <f t="shared" si="4541"/>
        <v>1</v>
      </c>
      <c r="AA4354" s="13" t="s">
        <v>874</v>
      </c>
      <c r="AB4354" s="13"/>
      <c r="AC4354" s="13"/>
      <c r="AD4354" s="13"/>
      <c r="AE4354" s="13"/>
      <c r="AF4354" s="13"/>
      <c r="AG4354" s="13"/>
      <c r="AH4354" s="13"/>
      <c r="AI4354" s="13"/>
      <c r="AJ4354" s="13"/>
      <c r="AK4354" s="13"/>
      <c r="AL4354" s="13"/>
      <c r="AM4354" s="13"/>
      <c r="AN4354" s="13"/>
      <c r="AO4354" s="13"/>
      <c r="AP4354" s="13"/>
      <c r="AQ4354" s="13"/>
      <c r="AR4354" s="13"/>
      <c r="AS4354" s="13"/>
    </row>
    <row r="4355" ht="14.25" customHeight="1">
      <c r="A4355" s="13" t="s">
        <v>46</v>
      </c>
      <c r="B4355" s="34" t="s">
        <v>53</v>
      </c>
      <c r="C4355" s="13" t="s">
        <v>2152</v>
      </c>
      <c r="D4355" s="13"/>
      <c r="E4355" s="13"/>
      <c r="F4355" s="13"/>
      <c r="G4355" s="13" t="s">
        <v>74</v>
      </c>
      <c r="H4355" s="13" t="s">
        <v>75</v>
      </c>
      <c r="I4355" s="14">
        <v>44907.0</v>
      </c>
      <c r="J4355" s="14"/>
      <c r="K4355" s="15"/>
      <c r="L4355" s="15"/>
      <c r="M4355" s="16"/>
      <c r="N4355" s="16"/>
      <c r="O4355" s="17">
        <v>1.0</v>
      </c>
      <c r="P4355" s="17">
        <v>1.0</v>
      </c>
      <c r="Q4355" s="13">
        <f t="shared" si="4686"/>
        <v>3.166666667</v>
      </c>
      <c r="R4355" s="14">
        <v>44966.0</v>
      </c>
      <c r="S4355" s="13"/>
      <c r="T4355" s="13">
        <f t="shared" ref="T4355:Y4355" si="4688">IF(ISBLANK(K4355)=TRUE,0,1)</f>
        <v>0</v>
      </c>
      <c r="U4355" s="13">
        <f t="shared" si="4688"/>
        <v>0</v>
      </c>
      <c r="V4355" s="13">
        <f t="shared" si="4688"/>
        <v>0</v>
      </c>
      <c r="W4355" s="13">
        <f t="shared" si="4688"/>
        <v>0</v>
      </c>
      <c r="X4355" s="13">
        <f t="shared" si="4688"/>
        <v>1</v>
      </c>
      <c r="Y4355" s="13">
        <f t="shared" si="4688"/>
        <v>1</v>
      </c>
      <c r="Z4355" s="13">
        <f t="shared" si="4541"/>
        <v>1</v>
      </c>
      <c r="AA4355" s="13"/>
      <c r="AB4355" s="13"/>
      <c r="AC4355" s="13"/>
      <c r="AD4355" s="13"/>
      <c r="AE4355" s="13"/>
      <c r="AF4355" s="13"/>
      <c r="AG4355" s="13"/>
      <c r="AH4355" s="13"/>
      <c r="AI4355" s="13"/>
      <c r="AJ4355" s="13"/>
      <c r="AK4355" s="13"/>
      <c r="AL4355" s="13"/>
      <c r="AM4355" s="13"/>
      <c r="AN4355" s="13"/>
      <c r="AO4355" s="13"/>
      <c r="AP4355" s="13"/>
      <c r="AQ4355" s="13"/>
      <c r="AR4355" s="13"/>
      <c r="AS4355" s="13"/>
    </row>
    <row r="4356" ht="14.25" customHeight="1">
      <c r="A4356" s="13" t="s">
        <v>46</v>
      </c>
      <c r="B4356" s="34" t="s">
        <v>53</v>
      </c>
      <c r="C4356" s="13" t="s">
        <v>2153</v>
      </c>
      <c r="D4356" s="13"/>
      <c r="E4356" s="13"/>
      <c r="F4356" s="13"/>
      <c r="G4356" s="13" t="s">
        <v>74</v>
      </c>
      <c r="H4356" s="13" t="s">
        <v>75</v>
      </c>
      <c r="I4356" s="14">
        <v>44907.0</v>
      </c>
      <c r="J4356" s="14"/>
      <c r="K4356" s="15"/>
      <c r="L4356" s="15"/>
      <c r="M4356" s="16"/>
      <c r="N4356" s="16"/>
      <c r="O4356" s="17">
        <v>1.0</v>
      </c>
      <c r="P4356" s="17">
        <v>1.0</v>
      </c>
      <c r="Q4356" s="13">
        <f t="shared" si="4686"/>
        <v>1.166666667</v>
      </c>
      <c r="R4356" s="14">
        <v>44966.0</v>
      </c>
      <c r="S4356" s="13"/>
      <c r="T4356" s="13">
        <f t="shared" ref="T4356:Y4356" si="4689">IF(ISBLANK(K4356)=TRUE,0,1)</f>
        <v>0</v>
      </c>
      <c r="U4356" s="13">
        <f t="shared" si="4689"/>
        <v>0</v>
      </c>
      <c r="V4356" s="13">
        <f t="shared" si="4689"/>
        <v>0</v>
      </c>
      <c r="W4356" s="13">
        <f t="shared" si="4689"/>
        <v>0</v>
      </c>
      <c r="X4356" s="13">
        <f t="shared" si="4689"/>
        <v>1</v>
      </c>
      <c r="Y4356" s="13">
        <f t="shared" si="4689"/>
        <v>1</v>
      </c>
      <c r="Z4356" s="13">
        <f t="shared" si="4541"/>
        <v>1</v>
      </c>
      <c r="AA4356" s="13"/>
      <c r="AB4356" s="13"/>
      <c r="AC4356" s="13"/>
      <c r="AD4356" s="13"/>
      <c r="AE4356" s="13"/>
      <c r="AF4356" s="13"/>
      <c r="AG4356" s="13"/>
      <c r="AH4356" s="13"/>
      <c r="AI4356" s="13"/>
      <c r="AJ4356" s="13"/>
      <c r="AK4356" s="13"/>
      <c r="AL4356" s="13"/>
      <c r="AM4356" s="13"/>
      <c r="AN4356" s="13"/>
      <c r="AO4356" s="13"/>
      <c r="AP4356" s="13"/>
      <c r="AQ4356" s="13"/>
      <c r="AR4356" s="13"/>
      <c r="AS4356" s="13"/>
    </row>
    <row r="4357" ht="14.25" customHeight="1">
      <c r="A4357" s="13" t="s">
        <v>46</v>
      </c>
      <c r="B4357" s="34" t="s">
        <v>53</v>
      </c>
      <c r="C4357" s="13" t="s">
        <v>817</v>
      </c>
      <c r="D4357" s="13" t="s">
        <v>174</v>
      </c>
      <c r="E4357" s="13"/>
      <c r="F4357" s="13"/>
      <c r="G4357" s="13" t="s">
        <v>74</v>
      </c>
      <c r="H4357" s="13" t="s">
        <v>75</v>
      </c>
      <c r="I4357" s="13"/>
      <c r="J4357" s="13"/>
      <c r="K4357" s="15"/>
      <c r="L4357" s="15"/>
      <c r="M4357" s="16"/>
      <c r="N4357" s="16"/>
      <c r="O4357" s="17">
        <v>1.0</v>
      </c>
      <c r="P4357" s="17">
        <v>1.0</v>
      </c>
      <c r="Q4357" s="13"/>
      <c r="R4357" s="14">
        <v>44966.0</v>
      </c>
      <c r="S4357" s="13"/>
      <c r="T4357" s="13">
        <f t="shared" ref="T4357:Y4357" si="4690">IF(ISBLANK(K4357)=TRUE,0,1)</f>
        <v>0</v>
      </c>
      <c r="U4357" s="13">
        <f t="shared" si="4690"/>
        <v>0</v>
      </c>
      <c r="V4357" s="13">
        <f t="shared" si="4690"/>
        <v>0</v>
      </c>
      <c r="W4357" s="13">
        <f t="shared" si="4690"/>
        <v>0</v>
      </c>
      <c r="X4357" s="13">
        <f t="shared" si="4690"/>
        <v>1</v>
      </c>
      <c r="Y4357" s="13">
        <f t="shared" si="4690"/>
        <v>1</v>
      </c>
      <c r="Z4357" s="13">
        <f t="shared" si="4541"/>
        <v>1</v>
      </c>
      <c r="AA4357" s="13"/>
      <c r="AB4357" s="13"/>
      <c r="AC4357" s="13"/>
      <c r="AD4357" s="13"/>
      <c r="AE4357" s="13"/>
      <c r="AF4357" s="13"/>
      <c r="AG4357" s="13"/>
      <c r="AH4357" s="13"/>
      <c r="AI4357" s="13"/>
      <c r="AJ4357" s="13"/>
      <c r="AK4357" s="13"/>
      <c r="AL4357" s="13"/>
      <c r="AM4357" s="13"/>
      <c r="AN4357" s="13"/>
      <c r="AO4357" s="13"/>
      <c r="AP4357" s="13"/>
      <c r="AQ4357" s="13"/>
      <c r="AR4357" s="13"/>
      <c r="AS4357" s="13"/>
    </row>
    <row r="4358" ht="14.25" customHeight="1">
      <c r="A4358" s="13" t="s">
        <v>46</v>
      </c>
      <c r="B4358" s="34" t="s">
        <v>53</v>
      </c>
      <c r="C4358" s="13" t="s">
        <v>2154</v>
      </c>
      <c r="D4358" s="13"/>
      <c r="E4358" s="13"/>
      <c r="F4358" s="13"/>
      <c r="G4358" s="13" t="s">
        <v>74</v>
      </c>
      <c r="H4358" s="13" t="s">
        <v>75</v>
      </c>
      <c r="I4358" s="14">
        <v>44907.0</v>
      </c>
      <c r="J4358" s="14"/>
      <c r="K4358" s="15"/>
      <c r="L4358" s="15"/>
      <c r="M4358" s="16"/>
      <c r="N4358" s="16"/>
      <c r="O4358" s="17">
        <v>1.0</v>
      </c>
      <c r="P4358" s="17">
        <v>1.0</v>
      </c>
      <c r="Q4358" s="13">
        <f>K4357+L4357+M4357+N4357+O4357+P4357/6</f>
        <v>1.166666667</v>
      </c>
      <c r="R4358" s="14">
        <v>44973.0</v>
      </c>
      <c r="S4358" s="13"/>
      <c r="T4358" s="13">
        <f t="shared" ref="T4358:Y4358" si="4691">IF(ISBLANK(K4358)=TRUE,0,1)</f>
        <v>0</v>
      </c>
      <c r="U4358" s="13">
        <f t="shared" si="4691"/>
        <v>0</v>
      </c>
      <c r="V4358" s="13">
        <f t="shared" si="4691"/>
        <v>0</v>
      </c>
      <c r="W4358" s="13">
        <f t="shared" si="4691"/>
        <v>0</v>
      </c>
      <c r="X4358" s="13">
        <f t="shared" si="4691"/>
        <v>1</v>
      </c>
      <c r="Y4358" s="13">
        <f t="shared" si="4691"/>
        <v>1</v>
      </c>
      <c r="Z4358" s="13">
        <f t="shared" si="4541"/>
        <v>1</v>
      </c>
      <c r="AA4358" s="13"/>
      <c r="AB4358" s="13"/>
      <c r="AC4358" s="13"/>
      <c r="AD4358" s="13"/>
      <c r="AE4358" s="13"/>
      <c r="AF4358" s="13"/>
      <c r="AG4358" s="13"/>
      <c r="AH4358" s="13"/>
      <c r="AI4358" s="13"/>
      <c r="AJ4358" s="13"/>
      <c r="AK4358" s="13"/>
      <c r="AL4358" s="13"/>
      <c r="AM4358" s="13"/>
      <c r="AN4358" s="13"/>
      <c r="AO4358" s="13"/>
      <c r="AP4358" s="13"/>
      <c r="AQ4358" s="13"/>
      <c r="AR4358" s="13"/>
      <c r="AS4358" s="13"/>
    </row>
    <row r="4359" ht="14.25" customHeight="1">
      <c r="A4359" s="13" t="s">
        <v>46</v>
      </c>
      <c r="B4359" s="34" t="s">
        <v>53</v>
      </c>
      <c r="C4359" s="13" t="s">
        <v>2154</v>
      </c>
      <c r="D4359" s="13" t="s">
        <v>174</v>
      </c>
      <c r="E4359" s="13"/>
      <c r="F4359" s="13"/>
      <c r="G4359" s="13" t="s">
        <v>74</v>
      </c>
      <c r="H4359" s="13" t="s">
        <v>75</v>
      </c>
      <c r="I4359" s="13"/>
      <c r="J4359" s="13"/>
      <c r="K4359" s="15"/>
      <c r="L4359" s="15"/>
      <c r="M4359" s="16"/>
      <c r="N4359" s="16"/>
      <c r="O4359" s="17">
        <v>1.0</v>
      </c>
      <c r="P4359" s="17">
        <v>1.0</v>
      </c>
      <c r="Q4359" s="13"/>
      <c r="R4359" s="14">
        <v>44973.0</v>
      </c>
      <c r="S4359" s="13"/>
      <c r="T4359" s="13">
        <f t="shared" ref="T4359:Y4359" si="4692">IF(ISBLANK(K4359)=TRUE,0,1)</f>
        <v>0</v>
      </c>
      <c r="U4359" s="13">
        <f t="shared" si="4692"/>
        <v>0</v>
      </c>
      <c r="V4359" s="13">
        <f t="shared" si="4692"/>
        <v>0</v>
      </c>
      <c r="W4359" s="13">
        <f t="shared" si="4692"/>
        <v>0</v>
      </c>
      <c r="X4359" s="13">
        <f t="shared" si="4692"/>
        <v>1</v>
      </c>
      <c r="Y4359" s="13">
        <f t="shared" si="4692"/>
        <v>1</v>
      </c>
      <c r="Z4359" s="13">
        <f t="shared" si="4541"/>
        <v>1</v>
      </c>
      <c r="AA4359" s="13"/>
      <c r="AB4359" s="13"/>
      <c r="AC4359" s="13"/>
      <c r="AD4359" s="13"/>
      <c r="AE4359" s="13"/>
      <c r="AF4359" s="13"/>
      <c r="AG4359" s="13"/>
      <c r="AH4359" s="13"/>
      <c r="AI4359" s="13"/>
      <c r="AJ4359" s="13"/>
      <c r="AK4359" s="13"/>
      <c r="AL4359" s="13"/>
      <c r="AM4359" s="13"/>
      <c r="AN4359" s="13"/>
      <c r="AO4359" s="13"/>
      <c r="AP4359" s="13"/>
      <c r="AQ4359" s="13"/>
      <c r="AR4359" s="13"/>
      <c r="AS4359" s="13"/>
    </row>
    <row r="4360" ht="14.25" customHeight="1">
      <c r="A4360" s="13" t="s">
        <v>46</v>
      </c>
      <c r="B4360" s="34" t="s">
        <v>53</v>
      </c>
      <c r="C4360" s="13" t="s">
        <v>2155</v>
      </c>
      <c r="D4360" s="13"/>
      <c r="E4360" s="13"/>
      <c r="F4360" s="13"/>
      <c r="G4360" s="13" t="s">
        <v>74</v>
      </c>
      <c r="H4360" s="13" t="s">
        <v>75</v>
      </c>
      <c r="I4360" s="14">
        <v>44907.0</v>
      </c>
      <c r="J4360" s="14"/>
      <c r="K4360" s="15"/>
      <c r="L4360" s="15"/>
      <c r="M4360" s="16"/>
      <c r="N4360" s="16"/>
      <c r="O4360" s="17">
        <v>1.0</v>
      </c>
      <c r="P4360" s="17">
        <v>1.0</v>
      </c>
      <c r="Q4360" s="13">
        <f t="shared" ref="Q4360:Q4365" si="4694">K4359+L4359+M4359+N4359+O4359+P4359/6</f>
        <v>1.166666667</v>
      </c>
      <c r="R4360" s="14">
        <v>44966.0</v>
      </c>
      <c r="S4360" s="13"/>
      <c r="T4360" s="13">
        <f t="shared" ref="T4360:Y4360" si="4693">IF(ISBLANK(K4360)=TRUE,0,1)</f>
        <v>0</v>
      </c>
      <c r="U4360" s="13">
        <f t="shared" si="4693"/>
        <v>0</v>
      </c>
      <c r="V4360" s="13">
        <f t="shared" si="4693"/>
        <v>0</v>
      </c>
      <c r="W4360" s="13">
        <f t="shared" si="4693"/>
        <v>0</v>
      </c>
      <c r="X4360" s="13">
        <f t="shared" si="4693"/>
        <v>1</v>
      </c>
      <c r="Y4360" s="13">
        <f t="shared" si="4693"/>
        <v>1</v>
      </c>
      <c r="Z4360" s="13">
        <f t="shared" si="4541"/>
        <v>1</v>
      </c>
      <c r="AA4360" s="13"/>
      <c r="AB4360" s="13"/>
      <c r="AC4360" s="13"/>
      <c r="AD4360" s="13"/>
      <c r="AE4360" s="13"/>
      <c r="AF4360" s="13"/>
      <c r="AG4360" s="13"/>
      <c r="AH4360" s="13"/>
      <c r="AI4360" s="13"/>
      <c r="AJ4360" s="13"/>
      <c r="AK4360" s="13"/>
      <c r="AL4360" s="13"/>
      <c r="AM4360" s="13"/>
      <c r="AN4360" s="13"/>
      <c r="AO4360" s="13"/>
      <c r="AP4360" s="13"/>
      <c r="AQ4360" s="13"/>
      <c r="AR4360" s="13"/>
      <c r="AS4360" s="13"/>
    </row>
    <row r="4361" ht="14.25" customHeight="1">
      <c r="A4361" s="13" t="s">
        <v>46</v>
      </c>
      <c r="B4361" s="34" t="s">
        <v>53</v>
      </c>
      <c r="C4361" s="13" t="s">
        <v>2156</v>
      </c>
      <c r="D4361" s="13"/>
      <c r="E4361" s="13"/>
      <c r="F4361" s="13"/>
      <c r="G4361" s="13" t="s">
        <v>111</v>
      </c>
      <c r="H4361" s="13" t="s">
        <v>75</v>
      </c>
      <c r="I4361" s="14">
        <v>44907.0</v>
      </c>
      <c r="J4361" s="14"/>
      <c r="K4361" s="15"/>
      <c r="L4361" s="15"/>
      <c r="M4361" s="16"/>
      <c r="N4361" s="16"/>
      <c r="O4361" s="17">
        <v>1.0</v>
      </c>
      <c r="P4361" s="17">
        <v>1.0</v>
      </c>
      <c r="Q4361" s="13">
        <f t="shared" si="4694"/>
        <v>1.166666667</v>
      </c>
      <c r="R4361" s="14">
        <v>44971.0</v>
      </c>
      <c r="S4361" s="13"/>
      <c r="T4361" s="13">
        <f t="shared" ref="T4361:Y4361" si="4695">IF(ISBLANK(K4361)=TRUE,0,1)</f>
        <v>0</v>
      </c>
      <c r="U4361" s="13">
        <f t="shared" si="4695"/>
        <v>0</v>
      </c>
      <c r="V4361" s="13">
        <f t="shared" si="4695"/>
        <v>0</v>
      </c>
      <c r="W4361" s="13">
        <f t="shared" si="4695"/>
        <v>0</v>
      </c>
      <c r="X4361" s="13">
        <f t="shared" si="4695"/>
        <v>1</v>
      </c>
      <c r="Y4361" s="13">
        <f t="shared" si="4695"/>
        <v>1</v>
      </c>
      <c r="Z4361" s="13">
        <f t="shared" si="4541"/>
        <v>1</v>
      </c>
      <c r="AA4361" s="13"/>
      <c r="AB4361" s="13"/>
      <c r="AC4361" s="13"/>
      <c r="AD4361" s="13"/>
      <c r="AE4361" s="13"/>
      <c r="AF4361" s="13"/>
      <c r="AG4361" s="13"/>
      <c r="AH4361" s="13"/>
      <c r="AI4361" s="13"/>
      <c r="AJ4361" s="13"/>
      <c r="AK4361" s="13"/>
      <c r="AL4361" s="13"/>
      <c r="AM4361" s="13"/>
      <c r="AN4361" s="13"/>
      <c r="AO4361" s="13"/>
      <c r="AP4361" s="13"/>
      <c r="AQ4361" s="13"/>
      <c r="AR4361" s="13"/>
      <c r="AS4361" s="13"/>
    </row>
    <row r="4362" ht="14.25" customHeight="1">
      <c r="A4362" s="13" t="s">
        <v>46</v>
      </c>
      <c r="B4362" s="34" t="s">
        <v>53</v>
      </c>
      <c r="C4362" s="13" t="s">
        <v>2157</v>
      </c>
      <c r="D4362" s="13"/>
      <c r="E4362" s="13"/>
      <c r="F4362" s="13"/>
      <c r="G4362" s="13" t="s">
        <v>111</v>
      </c>
      <c r="H4362" s="13" t="s">
        <v>75</v>
      </c>
      <c r="I4362" s="14">
        <v>44907.0</v>
      </c>
      <c r="J4362" s="14"/>
      <c r="K4362" s="15">
        <v>1.0</v>
      </c>
      <c r="L4362" s="15">
        <v>1.0</v>
      </c>
      <c r="M4362" s="16"/>
      <c r="N4362" s="16"/>
      <c r="O4362" s="17">
        <v>1.0</v>
      </c>
      <c r="P4362" s="17">
        <v>1.0</v>
      </c>
      <c r="Q4362" s="13">
        <f t="shared" si="4694"/>
        <v>1.166666667</v>
      </c>
      <c r="R4362" s="14">
        <v>44971.0</v>
      </c>
      <c r="S4362" s="13"/>
      <c r="T4362" s="13">
        <f t="shared" ref="T4362:Y4362" si="4696">IF(ISBLANK(K4362)=TRUE,0,1)</f>
        <v>1</v>
      </c>
      <c r="U4362" s="13">
        <f t="shared" si="4696"/>
        <v>1</v>
      </c>
      <c r="V4362" s="13">
        <f t="shared" si="4696"/>
        <v>0</v>
      </c>
      <c r="W4362" s="13">
        <f t="shared" si="4696"/>
        <v>0</v>
      </c>
      <c r="X4362" s="13">
        <f t="shared" si="4696"/>
        <v>1</v>
      </c>
      <c r="Y4362" s="13">
        <f t="shared" si="4696"/>
        <v>1</v>
      </c>
      <c r="Z4362" s="13">
        <f t="shared" si="4541"/>
        <v>1</v>
      </c>
      <c r="AA4362" s="13" t="s">
        <v>874</v>
      </c>
      <c r="AB4362" s="13"/>
      <c r="AC4362" s="13"/>
      <c r="AD4362" s="13"/>
      <c r="AE4362" s="13"/>
      <c r="AF4362" s="13"/>
      <c r="AG4362" s="13"/>
      <c r="AH4362" s="13"/>
      <c r="AI4362" s="13"/>
      <c r="AJ4362" s="13"/>
      <c r="AK4362" s="13"/>
      <c r="AL4362" s="13"/>
      <c r="AM4362" s="13"/>
      <c r="AN4362" s="13"/>
      <c r="AO4362" s="13"/>
      <c r="AP4362" s="13"/>
      <c r="AQ4362" s="13"/>
      <c r="AR4362" s="13"/>
      <c r="AS4362" s="13"/>
    </row>
    <row r="4363" ht="14.25" customHeight="1">
      <c r="A4363" s="13" t="s">
        <v>46</v>
      </c>
      <c r="B4363" s="34" t="s">
        <v>53</v>
      </c>
      <c r="C4363" s="13" t="s">
        <v>2158</v>
      </c>
      <c r="D4363" s="13"/>
      <c r="E4363" s="13"/>
      <c r="F4363" s="13"/>
      <c r="G4363" s="13" t="s">
        <v>111</v>
      </c>
      <c r="H4363" s="13" t="s">
        <v>75</v>
      </c>
      <c r="I4363" s="14">
        <v>44907.0</v>
      </c>
      <c r="J4363" s="14"/>
      <c r="K4363" s="15"/>
      <c r="L4363" s="15"/>
      <c r="M4363" s="16"/>
      <c r="N4363" s="16"/>
      <c r="O4363" s="17">
        <v>1.0</v>
      </c>
      <c r="P4363" s="17">
        <v>1.0</v>
      </c>
      <c r="Q4363" s="13">
        <f t="shared" si="4694"/>
        <v>3.166666667</v>
      </c>
      <c r="R4363" s="14">
        <v>44971.0</v>
      </c>
      <c r="S4363" s="13"/>
      <c r="T4363" s="13">
        <f t="shared" ref="T4363:Y4363" si="4697">IF(ISBLANK(K4363)=TRUE,0,1)</f>
        <v>0</v>
      </c>
      <c r="U4363" s="13">
        <f t="shared" si="4697"/>
        <v>0</v>
      </c>
      <c r="V4363" s="13">
        <f t="shared" si="4697"/>
        <v>0</v>
      </c>
      <c r="W4363" s="13">
        <f t="shared" si="4697"/>
        <v>0</v>
      </c>
      <c r="X4363" s="13">
        <f t="shared" si="4697"/>
        <v>1</v>
      </c>
      <c r="Y4363" s="13">
        <f t="shared" si="4697"/>
        <v>1</v>
      </c>
      <c r="Z4363" s="13">
        <f t="shared" si="4541"/>
        <v>1</v>
      </c>
      <c r="AA4363" s="13"/>
      <c r="AB4363" s="13"/>
      <c r="AC4363" s="13"/>
      <c r="AD4363" s="13"/>
      <c r="AE4363" s="13"/>
      <c r="AF4363" s="13"/>
      <c r="AG4363" s="13"/>
      <c r="AH4363" s="13"/>
      <c r="AI4363" s="13"/>
      <c r="AJ4363" s="13"/>
      <c r="AK4363" s="13"/>
      <c r="AL4363" s="13"/>
      <c r="AM4363" s="13"/>
      <c r="AN4363" s="13"/>
      <c r="AO4363" s="13"/>
      <c r="AP4363" s="13"/>
      <c r="AQ4363" s="13"/>
      <c r="AR4363" s="13"/>
      <c r="AS4363" s="13"/>
    </row>
    <row r="4364" ht="14.25" customHeight="1">
      <c r="A4364" s="13" t="s">
        <v>46</v>
      </c>
      <c r="B4364" s="34" t="s">
        <v>53</v>
      </c>
      <c r="C4364" s="13" t="s">
        <v>2159</v>
      </c>
      <c r="D4364" s="13"/>
      <c r="E4364" s="13"/>
      <c r="F4364" s="13"/>
      <c r="G4364" s="13" t="s">
        <v>111</v>
      </c>
      <c r="H4364" s="13" t="s">
        <v>75</v>
      </c>
      <c r="I4364" s="14">
        <v>44907.0</v>
      </c>
      <c r="J4364" s="14"/>
      <c r="K4364" s="15"/>
      <c r="L4364" s="15"/>
      <c r="M4364" s="16"/>
      <c r="N4364" s="16"/>
      <c r="O4364" s="17">
        <v>1.0</v>
      </c>
      <c r="P4364" s="17">
        <v>1.0</v>
      </c>
      <c r="Q4364" s="13">
        <f t="shared" si="4694"/>
        <v>1.166666667</v>
      </c>
      <c r="R4364" s="14">
        <v>44971.0</v>
      </c>
      <c r="S4364" s="13"/>
      <c r="T4364" s="13">
        <f t="shared" ref="T4364:Y4364" si="4698">IF(ISBLANK(K4364)=TRUE,0,1)</f>
        <v>0</v>
      </c>
      <c r="U4364" s="13">
        <f t="shared" si="4698"/>
        <v>0</v>
      </c>
      <c r="V4364" s="13">
        <f t="shared" si="4698"/>
        <v>0</v>
      </c>
      <c r="W4364" s="13">
        <f t="shared" si="4698"/>
        <v>0</v>
      </c>
      <c r="X4364" s="13">
        <f t="shared" si="4698"/>
        <v>1</v>
      </c>
      <c r="Y4364" s="13">
        <f t="shared" si="4698"/>
        <v>1</v>
      </c>
      <c r="Z4364" s="13">
        <f t="shared" si="4541"/>
        <v>1</v>
      </c>
      <c r="AA4364" s="13"/>
      <c r="AB4364" s="13"/>
      <c r="AC4364" s="13"/>
      <c r="AD4364" s="13"/>
      <c r="AE4364" s="13"/>
      <c r="AF4364" s="13"/>
      <c r="AG4364" s="13"/>
      <c r="AH4364" s="13"/>
      <c r="AI4364" s="13"/>
      <c r="AJ4364" s="13"/>
      <c r="AK4364" s="13"/>
      <c r="AL4364" s="13"/>
      <c r="AM4364" s="13"/>
      <c r="AN4364" s="13"/>
      <c r="AO4364" s="13"/>
      <c r="AP4364" s="13"/>
      <c r="AQ4364" s="13"/>
      <c r="AR4364" s="13"/>
      <c r="AS4364" s="13"/>
    </row>
    <row r="4365" ht="14.25" customHeight="1">
      <c r="A4365" s="13" t="s">
        <v>46</v>
      </c>
      <c r="B4365" s="34" t="s">
        <v>53</v>
      </c>
      <c r="C4365" s="13" t="s">
        <v>2160</v>
      </c>
      <c r="D4365" s="13"/>
      <c r="E4365" s="13"/>
      <c r="F4365" s="13"/>
      <c r="G4365" s="13" t="s">
        <v>111</v>
      </c>
      <c r="H4365" s="13" t="s">
        <v>75</v>
      </c>
      <c r="I4365" s="14">
        <v>44908.0</v>
      </c>
      <c r="J4365" s="14"/>
      <c r="K4365" s="15"/>
      <c r="L4365" s="15"/>
      <c r="M4365" s="16"/>
      <c r="N4365" s="16"/>
      <c r="O4365" s="17">
        <v>1.0</v>
      </c>
      <c r="P4365" s="17">
        <v>1.0</v>
      </c>
      <c r="Q4365" s="13">
        <f t="shared" si="4694"/>
        <v>1.166666667</v>
      </c>
      <c r="R4365" s="14">
        <v>44971.0</v>
      </c>
      <c r="S4365" s="13"/>
      <c r="T4365" s="13">
        <f t="shared" ref="T4365:Y4365" si="4699">IF(ISBLANK(K4365)=TRUE,0,1)</f>
        <v>0</v>
      </c>
      <c r="U4365" s="13">
        <f t="shared" si="4699"/>
        <v>0</v>
      </c>
      <c r="V4365" s="13">
        <f t="shared" si="4699"/>
        <v>0</v>
      </c>
      <c r="W4365" s="13">
        <f t="shared" si="4699"/>
        <v>0</v>
      </c>
      <c r="X4365" s="13">
        <f t="shared" si="4699"/>
        <v>1</v>
      </c>
      <c r="Y4365" s="13">
        <f t="shared" si="4699"/>
        <v>1</v>
      </c>
      <c r="Z4365" s="13">
        <f t="shared" si="4541"/>
        <v>1</v>
      </c>
      <c r="AA4365" s="13"/>
      <c r="AB4365" s="13"/>
      <c r="AC4365" s="13"/>
      <c r="AD4365" s="13"/>
      <c r="AE4365" s="13"/>
      <c r="AF4365" s="13"/>
      <c r="AG4365" s="13"/>
      <c r="AH4365" s="13"/>
      <c r="AI4365" s="13"/>
      <c r="AJ4365" s="13"/>
      <c r="AK4365" s="13"/>
      <c r="AL4365" s="13"/>
      <c r="AM4365" s="13"/>
      <c r="AN4365" s="13"/>
      <c r="AO4365" s="13"/>
      <c r="AP4365" s="13"/>
      <c r="AQ4365" s="13"/>
      <c r="AR4365" s="13"/>
      <c r="AS4365" s="13"/>
    </row>
    <row r="4366" ht="14.25" customHeight="1">
      <c r="A4366" s="13" t="s">
        <v>46</v>
      </c>
      <c r="B4366" s="13" t="s">
        <v>53</v>
      </c>
      <c r="C4366" s="13">
        <v>100.0</v>
      </c>
      <c r="D4366" s="13" t="s">
        <v>174</v>
      </c>
      <c r="E4366" s="13"/>
      <c r="F4366" s="13"/>
      <c r="G4366" s="13" t="s">
        <v>74</v>
      </c>
      <c r="H4366" s="13" t="s">
        <v>75</v>
      </c>
      <c r="I4366" s="13"/>
      <c r="J4366" s="13"/>
      <c r="K4366" s="15">
        <v>0.0</v>
      </c>
      <c r="L4366" s="15">
        <v>0.0</v>
      </c>
      <c r="M4366" s="16"/>
      <c r="N4366" s="16"/>
      <c r="O4366" s="17"/>
      <c r="P4366" s="17"/>
      <c r="Q4366" s="13"/>
      <c r="R4366" s="13"/>
      <c r="S4366" s="13"/>
      <c r="T4366" s="13">
        <f t="shared" ref="T4366:Y4366" si="4700">IF(ISBLANK(K4366)=TRUE,0,1)</f>
        <v>1</v>
      </c>
      <c r="U4366" s="13">
        <f t="shared" si="4700"/>
        <v>1</v>
      </c>
      <c r="V4366" s="13">
        <f t="shared" si="4700"/>
        <v>0</v>
      </c>
      <c r="W4366" s="13">
        <f t="shared" si="4700"/>
        <v>0</v>
      </c>
      <c r="X4366" s="13">
        <f t="shared" si="4700"/>
        <v>0</v>
      </c>
      <c r="Y4366" s="13">
        <f t="shared" si="4700"/>
        <v>0</v>
      </c>
      <c r="Z4366" s="13">
        <f t="shared" si="4541"/>
        <v>0</v>
      </c>
      <c r="AA4366" s="13"/>
      <c r="AB4366" s="13"/>
      <c r="AC4366" s="13"/>
      <c r="AD4366" s="13"/>
      <c r="AE4366" s="13"/>
      <c r="AF4366" s="13"/>
      <c r="AG4366" s="13"/>
      <c r="AH4366" s="13"/>
      <c r="AI4366" s="13"/>
      <c r="AJ4366" s="13"/>
      <c r="AK4366" s="13"/>
      <c r="AL4366" s="13"/>
      <c r="AM4366" s="13"/>
      <c r="AN4366" s="13"/>
      <c r="AO4366" s="13"/>
      <c r="AP4366" s="13"/>
      <c r="AQ4366" s="13"/>
      <c r="AR4366" s="13"/>
      <c r="AS4366" s="13"/>
    </row>
    <row r="4367" ht="14.25" customHeight="1">
      <c r="A4367" s="13" t="s">
        <v>46</v>
      </c>
      <c r="B4367" s="13" t="s">
        <v>53</v>
      </c>
      <c r="C4367" s="13">
        <v>100.0</v>
      </c>
      <c r="D4367" s="13" t="s">
        <v>175</v>
      </c>
      <c r="E4367" s="13"/>
      <c r="F4367" s="13"/>
      <c r="G4367" s="13" t="s">
        <v>74</v>
      </c>
      <c r="H4367" s="13" t="s">
        <v>75</v>
      </c>
      <c r="I4367" s="13"/>
      <c r="J4367" s="13"/>
      <c r="K4367" s="15">
        <v>0.0</v>
      </c>
      <c r="L4367" s="15">
        <v>0.0</v>
      </c>
      <c r="M4367" s="16"/>
      <c r="N4367" s="16"/>
      <c r="O4367" s="17"/>
      <c r="P4367" s="17"/>
      <c r="Q4367" s="13"/>
      <c r="R4367" s="13"/>
      <c r="S4367" s="13"/>
      <c r="T4367" s="13">
        <f t="shared" ref="T4367:Y4367" si="4701">IF(ISBLANK(K4367)=TRUE,0,1)</f>
        <v>1</v>
      </c>
      <c r="U4367" s="13">
        <f t="shared" si="4701"/>
        <v>1</v>
      </c>
      <c r="V4367" s="13">
        <f t="shared" si="4701"/>
        <v>0</v>
      </c>
      <c r="W4367" s="13">
        <f t="shared" si="4701"/>
        <v>0</v>
      </c>
      <c r="X4367" s="13">
        <f t="shared" si="4701"/>
        <v>0</v>
      </c>
      <c r="Y4367" s="13">
        <f t="shared" si="4701"/>
        <v>0</v>
      </c>
      <c r="Z4367" s="13">
        <f t="shared" si="4541"/>
        <v>0</v>
      </c>
      <c r="AA4367" s="13"/>
      <c r="AB4367" s="13"/>
      <c r="AC4367" s="13"/>
      <c r="AD4367" s="13"/>
      <c r="AE4367" s="13"/>
      <c r="AF4367" s="13"/>
      <c r="AG4367" s="13"/>
      <c r="AH4367" s="13"/>
      <c r="AI4367" s="13"/>
      <c r="AJ4367" s="13"/>
      <c r="AK4367" s="13"/>
      <c r="AL4367" s="13"/>
      <c r="AM4367" s="13"/>
      <c r="AN4367" s="13"/>
      <c r="AO4367" s="13"/>
      <c r="AP4367" s="13"/>
      <c r="AQ4367" s="13"/>
      <c r="AR4367" s="13"/>
      <c r="AS4367" s="13"/>
    </row>
    <row r="4368" ht="14.25" customHeight="1">
      <c r="A4368" s="13" t="s">
        <v>46</v>
      </c>
      <c r="B4368" s="13" t="s">
        <v>53</v>
      </c>
      <c r="C4368" s="13">
        <v>100.0</v>
      </c>
      <c r="D4368" s="13" t="s">
        <v>176</v>
      </c>
      <c r="E4368" s="13"/>
      <c r="F4368" s="13"/>
      <c r="G4368" s="13" t="s">
        <v>74</v>
      </c>
      <c r="H4368" s="13" t="s">
        <v>75</v>
      </c>
      <c r="I4368" s="13"/>
      <c r="J4368" s="13"/>
      <c r="K4368" s="15">
        <v>0.0</v>
      </c>
      <c r="L4368" s="15">
        <v>0.0</v>
      </c>
      <c r="M4368" s="16"/>
      <c r="N4368" s="16"/>
      <c r="O4368" s="17"/>
      <c r="P4368" s="17"/>
      <c r="Q4368" s="13"/>
      <c r="R4368" s="13"/>
      <c r="S4368" s="13"/>
      <c r="T4368" s="13">
        <f t="shared" ref="T4368:Y4368" si="4702">IF(ISBLANK(K4368)=TRUE,0,1)</f>
        <v>1</v>
      </c>
      <c r="U4368" s="13">
        <f t="shared" si="4702"/>
        <v>1</v>
      </c>
      <c r="V4368" s="13">
        <f t="shared" si="4702"/>
        <v>0</v>
      </c>
      <c r="W4368" s="13">
        <f t="shared" si="4702"/>
        <v>0</v>
      </c>
      <c r="X4368" s="13">
        <f t="shared" si="4702"/>
        <v>0</v>
      </c>
      <c r="Y4368" s="13">
        <f t="shared" si="4702"/>
        <v>0</v>
      </c>
      <c r="Z4368" s="13">
        <f t="shared" si="4541"/>
        <v>0</v>
      </c>
      <c r="AA4368" s="13"/>
      <c r="AB4368" s="13"/>
      <c r="AC4368" s="13"/>
      <c r="AD4368" s="13"/>
      <c r="AE4368" s="13"/>
      <c r="AF4368" s="13"/>
      <c r="AG4368" s="13"/>
      <c r="AH4368" s="13"/>
      <c r="AI4368" s="13"/>
      <c r="AJ4368" s="13"/>
      <c r="AK4368" s="13"/>
      <c r="AL4368" s="13"/>
      <c r="AM4368" s="13"/>
      <c r="AN4368" s="13"/>
      <c r="AO4368" s="13"/>
      <c r="AP4368" s="13"/>
      <c r="AQ4368" s="13"/>
      <c r="AR4368" s="13"/>
      <c r="AS4368" s="13"/>
    </row>
    <row r="4369" ht="14.25" customHeight="1">
      <c r="A4369" s="13" t="s">
        <v>46</v>
      </c>
      <c r="B4369" s="13" t="s">
        <v>53</v>
      </c>
      <c r="C4369" s="13">
        <v>100.0</v>
      </c>
      <c r="D4369" s="13" t="s">
        <v>177</v>
      </c>
      <c r="E4369" s="13"/>
      <c r="F4369" s="13"/>
      <c r="G4369" s="13" t="s">
        <v>74</v>
      </c>
      <c r="H4369" s="13" t="s">
        <v>75</v>
      </c>
      <c r="I4369" s="13"/>
      <c r="J4369" s="13"/>
      <c r="K4369" s="15">
        <v>0.0</v>
      </c>
      <c r="L4369" s="15">
        <v>0.0</v>
      </c>
      <c r="M4369" s="16"/>
      <c r="N4369" s="16"/>
      <c r="O4369" s="17"/>
      <c r="P4369" s="17"/>
      <c r="Q4369" s="13"/>
      <c r="R4369" s="13"/>
      <c r="S4369" s="13"/>
      <c r="T4369" s="13">
        <f t="shared" ref="T4369:Y4369" si="4703">IF(ISBLANK(K4369)=TRUE,0,1)</f>
        <v>1</v>
      </c>
      <c r="U4369" s="13">
        <f t="shared" si="4703"/>
        <v>1</v>
      </c>
      <c r="V4369" s="13">
        <f t="shared" si="4703"/>
        <v>0</v>
      </c>
      <c r="W4369" s="13">
        <f t="shared" si="4703"/>
        <v>0</v>
      </c>
      <c r="X4369" s="13">
        <f t="shared" si="4703"/>
        <v>0</v>
      </c>
      <c r="Y4369" s="13">
        <f t="shared" si="4703"/>
        <v>0</v>
      </c>
      <c r="Z4369" s="13">
        <f t="shared" si="4541"/>
        <v>0</v>
      </c>
      <c r="AA4369" s="13"/>
      <c r="AB4369" s="13"/>
      <c r="AC4369" s="13"/>
      <c r="AD4369" s="13"/>
      <c r="AE4369" s="13"/>
      <c r="AF4369" s="13"/>
      <c r="AG4369" s="13"/>
      <c r="AH4369" s="13"/>
      <c r="AI4369" s="13"/>
      <c r="AJ4369" s="13"/>
      <c r="AK4369" s="13"/>
      <c r="AL4369" s="13"/>
      <c r="AM4369" s="13"/>
      <c r="AN4369" s="13"/>
      <c r="AO4369" s="13"/>
      <c r="AP4369" s="13"/>
      <c r="AQ4369" s="13"/>
      <c r="AR4369" s="13"/>
      <c r="AS4369" s="13"/>
    </row>
    <row r="4370" ht="14.25" customHeight="1">
      <c r="A4370" s="13" t="s">
        <v>46</v>
      </c>
      <c r="B4370" s="13" t="s">
        <v>53</v>
      </c>
      <c r="C4370" s="13">
        <v>100.0</v>
      </c>
      <c r="D4370" s="13" t="s">
        <v>178</v>
      </c>
      <c r="E4370" s="13"/>
      <c r="F4370" s="13"/>
      <c r="G4370" s="13" t="s">
        <v>74</v>
      </c>
      <c r="H4370" s="13" t="s">
        <v>75</v>
      </c>
      <c r="I4370" s="13"/>
      <c r="J4370" s="13"/>
      <c r="K4370" s="15">
        <v>0.0</v>
      </c>
      <c r="L4370" s="15">
        <v>0.0</v>
      </c>
      <c r="M4370" s="16"/>
      <c r="N4370" s="16"/>
      <c r="O4370" s="17"/>
      <c r="P4370" s="17"/>
      <c r="Q4370" s="13"/>
      <c r="R4370" s="13"/>
      <c r="S4370" s="13"/>
      <c r="T4370" s="13">
        <f t="shared" ref="T4370:Y4370" si="4704">IF(ISBLANK(K4370)=TRUE,0,1)</f>
        <v>1</v>
      </c>
      <c r="U4370" s="13">
        <f t="shared" si="4704"/>
        <v>1</v>
      </c>
      <c r="V4370" s="13">
        <f t="shared" si="4704"/>
        <v>0</v>
      </c>
      <c r="W4370" s="13">
        <f t="shared" si="4704"/>
        <v>0</v>
      </c>
      <c r="X4370" s="13">
        <f t="shared" si="4704"/>
        <v>0</v>
      </c>
      <c r="Y4370" s="13">
        <f t="shared" si="4704"/>
        <v>0</v>
      </c>
      <c r="Z4370" s="13">
        <f t="shared" si="4541"/>
        <v>0</v>
      </c>
      <c r="AA4370" s="13"/>
      <c r="AB4370" s="13"/>
      <c r="AC4370" s="13"/>
      <c r="AD4370" s="13"/>
      <c r="AE4370" s="13"/>
      <c r="AF4370" s="13"/>
      <c r="AG4370" s="13"/>
      <c r="AH4370" s="13"/>
      <c r="AI4370" s="13"/>
      <c r="AJ4370" s="13"/>
      <c r="AK4370" s="13"/>
      <c r="AL4370" s="13"/>
      <c r="AM4370" s="13"/>
      <c r="AN4370" s="13"/>
      <c r="AO4370" s="13"/>
      <c r="AP4370" s="13"/>
      <c r="AQ4370" s="13"/>
      <c r="AR4370" s="13"/>
      <c r="AS4370" s="13"/>
    </row>
    <row r="4371" ht="14.25" customHeight="1">
      <c r="A4371" s="13" t="s">
        <v>46</v>
      </c>
      <c r="B4371" s="13" t="s">
        <v>53</v>
      </c>
      <c r="C4371" s="13">
        <v>100.0</v>
      </c>
      <c r="D4371" s="13" t="s">
        <v>179</v>
      </c>
      <c r="E4371" s="13"/>
      <c r="F4371" s="13"/>
      <c r="G4371" s="13" t="s">
        <v>74</v>
      </c>
      <c r="H4371" s="13" t="s">
        <v>75</v>
      </c>
      <c r="I4371" s="13"/>
      <c r="J4371" s="13"/>
      <c r="K4371" s="15">
        <v>0.0</v>
      </c>
      <c r="L4371" s="15">
        <v>0.0</v>
      </c>
      <c r="M4371" s="16"/>
      <c r="N4371" s="16"/>
      <c r="O4371" s="17"/>
      <c r="P4371" s="17"/>
      <c r="Q4371" s="13"/>
      <c r="R4371" s="13"/>
      <c r="S4371" s="13"/>
      <c r="T4371" s="13">
        <f t="shared" ref="T4371:Y4371" si="4705">IF(ISBLANK(K4371)=TRUE,0,1)</f>
        <v>1</v>
      </c>
      <c r="U4371" s="13">
        <f t="shared" si="4705"/>
        <v>1</v>
      </c>
      <c r="V4371" s="13">
        <f t="shared" si="4705"/>
        <v>0</v>
      </c>
      <c r="W4371" s="13">
        <f t="shared" si="4705"/>
        <v>0</v>
      </c>
      <c r="X4371" s="13">
        <f t="shared" si="4705"/>
        <v>0</v>
      </c>
      <c r="Y4371" s="13">
        <f t="shared" si="4705"/>
        <v>0</v>
      </c>
      <c r="Z4371" s="13">
        <f t="shared" si="4541"/>
        <v>0</v>
      </c>
      <c r="AA4371" s="13"/>
      <c r="AB4371" s="13"/>
      <c r="AC4371" s="13"/>
      <c r="AD4371" s="13"/>
      <c r="AE4371" s="13"/>
      <c r="AF4371" s="13"/>
      <c r="AG4371" s="13"/>
      <c r="AH4371" s="13"/>
      <c r="AI4371" s="13"/>
      <c r="AJ4371" s="13"/>
      <c r="AK4371" s="13"/>
      <c r="AL4371" s="13"/>
      <c r="AM4371" s="13"/>
      <c r="AN4371" s="13"/>
      <c r="AO4371" s="13"/>
      <c r="AP4371" s="13"/>
      <c r="AQ4371" s="13"/>
      <c r="AR4371" s="13"/>
      <c r="AS4371" s="13"/>
    </row>
    <row r="4372" ht="14.25" customHeight="1">
      <c r="A4372" s="13" t="s">
        <v>46</v>
      </c>
      <c r="B4372" s="13" t="s">
        <v>53</v>
      </c>
      <c r="C4372" s="13">
        <v>100.0</v>
      </c>
      <c r="D4372" s="13" t="s">
        <v>180</v>
      </c>
      <c r="E4372" s="13"/>
      <c r="F4372" s="13"/>
      <c r="G4372" s="13" t="s">
        <v>74</v>
      </c>
      <c r="H4372" s="13" t="s">
        <v>75</v>
      </c>
      <c r="I4372" s="13"/>
      <c r="J4372" s="13"/>
      <c r="K4372" s="15">
        <v>0.0</v>
      </c>
      <c r="L4372" s="15">
        <v>0.0</v>
      </c>
      <c r="M4372" s="16"/>
      <c r="N4372" s="16"/>
      <c r="O4372" s="17"/>
      <c r="P4372" s="17"/>
      <c r="Q4372" s="13"/>
      <c r="R4372" s="13"/>
      <c r="S4372" s="13"/>
      <c r="T4372" s="13">
        <f t="shared" ref="T4372:Y4372" si="4706">IF(ISBLANK(K4372)=TRUE,0,1)</f>
        <v>1</v>
      </c>
      <c r="U4372" s="13">
        <f t="shared" si="4706"/>
        <v>1</v>
      </c>
      <c r="V4372" s="13">
        <f t="shared" si="4706"/>
        <v>0</v>
      </c>
      <c r="W4372" s="13">
        <f t="shared" si="4706"/>
        <v>0</v>
      </c>
      <c r="X4372" s="13">
        <f t="shared" si="4706"/>
        <v>0</v>
      </c>
      <c r="Y4372" s="13">
        <f t="shared" si="4706"/>
        <v>0</v>
      </c>
      <c r="Z4372" s="13">
        <f t="shared" si="4541"/>
        <v>0</v>
      </c>
      <c r="AA4372" s="13"/>
      <c r="AB4372" s="13"/>
      <c r="AC4372" s="13"/>
      <c r="AD4372" s="13"/>
      <c r="AE4372" s="13"/>
      <c r="AF4372" s="13"/>
      <c r="AG4372" s="13"/>
      <c r="AH4372" s="13"/>
      <c r="AI4372" s="13"/>
      <c r="AJ4372" s="13"/>
      <c r="AK4372" s="13"/>
      <c r="AL4372" s="13"/>
      <c r="AM4372" s="13"/>
      <c r="AN4372" s="13"/>
      <c r="AO4372" s="13"/>
      <c r="AP4372" s="13"/>
      <c r="AQ4372" s="13"/>
      <c r="AR4372" s="13"/>
      <c r="AS4372" s="13"/>
    </row>
    <row r="4373" ht="14.25" customHeight="1">
      <c r="A4373" s="13" t="s">
        <v>46</v>
      </c>
      <c r="B4373" s="13" t="s">
        <v>53</v>
      </c>
      <c r="C4373" s="13">
        <v>100.0</v>
      </c>
      <c r="D4373" s="13" t="s">
        <v>181</v>
      </c>
      <c r="E4373" s="13"/>
      <c r="F4373" s="13"/>
      <c r="G4373" s="13" t="s">
        <v>74</v>
      </c>
      <c r="H4373" s="13" t="s">
        <v>75</v>
      </c>
      <c r="I4373" s="13"/>
      <c r="J4373" s="13"/>
      <c r="K4373" s="15">
        <v>0.0</v>
      </c>
      <c r="L4373" s="15">
        <v>0.0</v>
      </c>
      <c r="M4373" s="16"/>
      <c r="N4373" s="16"/>
      <c r="O4373" s="17"/>
      <c r="P4373" s="17"/>
      <c r="Q4373" s="13"/>
      <c r="R4373" s="13"/>
      <c r="S4373" s="13"/>
      <c r="T4373" s="13">
        <f t="shared" ref="T4373:Y4373" si="4707">IF(ISBLANK(K4373)=TRUE,0,1)</f>
        <v>1</v>
      </c>
      <c r="U4373" s="13">
        <f t="shared" si="4707"/>
        <v>1</v>
      </c>
      <c r="V4373" s="13">
        <f t="shared" si="4707"/>
        <v>0</v>
      </c>
      <c r="W4373" s="13">
        <f t="shared" si="4707"/>
        <v>0</v>
      </c>
      <c r="X4373" s="13">
        <f t="shared" si="4707"/>
        <v>0</v>
      </c>
      <c r="Y4373" s="13">
        <f t="shared" si="4707"/>
        <v>0</v>
      </c>
      <c r="Z4373" s="13">
        <f t="shared" si="4541"/>
        <v>0</v>
      </c>
      <c r="AA4373" s="13"/>
      <c r="AB4373" s="13"/>
      <c r="AC4373" s="13"/>
      <c r="AD4373" s="13"/>
      <c r="AE4373" s="13"/>
      <c r="AF4373" s="13"/>
      <c r="AG4373" s="13"/>
      <c r="AH4373" s="13"/>
      <c r="AI4373" s="13"/>
      <c r="AJ4373" s="13"/>
      <c r="AK4373" s="13"/>
      <c r="AL4373" s="13"/>
      <c r="AM4373" s="13"/>
      <c r="AN4373" s="13"/>
      <c r="AO4373" s="13"/>
      <c r="AP4373" s="13"/>
      <c r="AQ4373" s="13"/>
      <c r="AR4373" s="13"/>
      <c r="AS4373" s="13"/>
    </row>
    <row r="4374" ht="14.25" customHeight="1">
      <c r="A4374" s="13" t="s">
        <v>46</v>
      </c>
      <c r="B4374" s="13" t="s">
        <v>53</v>
      </c>
      <c r="C4374" s="13">
        <v>100.0</v>
      </c>
      <c r="D4374" s="13" t="s">
        <v>182</v>
      </c>
      <c r="E4374" s="13"/>
      <c r="F4374" s="13"/>
      <c r="G4374" s="13" t="s">
        <v>74</v>
      </c>
      <c r="H4374" s="13" t="s">
        <v>75</v>
      </c>
      <c r="I4374" s="13"/>
      <c r="J4374" s="13"/>
      <c r="K4374" s="15">
        <v>0.0</v>
      </c>
      <c r="L4374" s="15">
        <v>0.0</v>
      </c>
      <c r="M4374" s="16"/>
      <c r="N4374" s="16"/>
      <c r="O4374" s="17"/>
      <c r="P4374" s="17"/>
      <c r="Q4374" s="13"/>
      <c r="R4374" s="13"/>
      <c r="S4374" s="13"/>
      <c r="T4374" s="13">
        <f t="shared" ref="T4374:Y4374" si="4708">IF(ISBLANK(K4374)=TRUE,0,1)</f>
        <v>1</v>
      </c>
      <c r="U4374" s="13">
        <f t="shared" si="4708"/>
        <v>1</v>
      </c>
      <c r="V4374" s="13">
        <f t="shared" si="4708"/>
        <v>0</v>
      </c>
      <c r="W4374" s="13">
        <f t="shared" si="4708"/>
        <v>0</v>
      </c>
      <c r="X4374" s="13">
        <f t="shared" si="4708"/>
        <v>0</v>
      </c>
      <c r="Y4374" s="13">
        <f t="shared" si="4708"/>
        <v>0</v>
      </c>
      <c r="Z4374" s="13">
        <f t="shared" si="4541"/>
        <v>0</v>
      </c>
      <c r="AA4374" s="13"/>
      <c r="AB4374" s="13"/>
      <c r="AC4374" s="13"/>
      <c r="AD4374" s="13"/>
      <c r="AE4374" s="13"/>
      <c r="AF4374" s="13"/>
      <c r="AG4374" s="13"/>
      <c r="AH4374" s="13"/>
      <c r="AI4374" s="13"/>
      <c r="AJ4374" s="13"/>
      <c r="AK4374" s="13"/>
      <c r="AL4374" s="13"/>
      <c r="AM4374" s="13"/>
      <c r="AN4374" s="13"/>
      <c r="AO4374" s="13"/>
      <c r="AP4374" s="13"/>
      <c r="AQ4374" s="13"/>
      <c r="AR4374" s="13"/>
      <c r="AS4374" s="13"/>
    </row>
    <row r="4375" ht="14.25" customHeight="1">
      <c r="A4375" s="13" t="s">
        <v>46</v>
      </c>
      <c r="B4375" s="13" t="s">
        <v>53</v>
      </c>
      <c r="C4375" s="13">
        <v>100.0</v>
      </c>
      <c r="D4375" s="13" t="s">
        <v>183</v>
      </c>
      <c r="E4375" s="13"/>
      <c r="F4375" s="13"/>
      <c r="G4375" s="13" t="s">
        <v>74</v>
      </c>
      <c r="H4375" s="13" t="s">
        <v>75</v>
      </c>
      <c r="I4375" s="13"/>
      <c r="J4375" s="13"/>
      <c r="K4375" s="15">
        <v>0.0</v>
      </c>
      <c r="L4375" s="15">
        <v>0.0</v>
      </c>
      <c r="M4375" s="16"/>
      <c r="N4375" s="16"/>
      <c r="O4375" s="17"/>
      <c r="P4375" s="17"/>
      <c r="Q4375" s="13"/>
      <c r="R4375" s="13"/>
      <c r="S4375" s="13"/>
      <c r="T4375" s="13">
        <f t="shared" ref="T4375:Y4375" si="4709">IF(ISBLANK(K4375)=TRUE,0,1)</f>
        <v>1</v>
      </c>
      <c r="U4375" s="13">
        <f t="shared" si="4709"/>
        <v>1</v>
      </c>
      <c r="V4375" s="13">
        <f t="shared" si="4709"/>
        <v>0</v>
      </c>
      <c r="W4375" s="13">
        <f t="shared" si="4709"/>
        <v>0</v>
      </c>
      <c r="X4375" s="13">
        <f t="shared" si="4709"/>
        <v>0</v>
      </c>
      <c r="Y4375" s="13">
        <f t="shared" si="4709"/>
        <v>0</v>
      </c>
      <c r="Z4375" s="13">
        <f t="shared" si="4541"/>
        <v>0</v>
      </c>
      <c r="AA4375" s="13"/>
      <c r="AB4375" s="13"/>
      <c r="AC4375" s="13"/>
      <c r="AD4375" s="13"/>
      <c r="AE4375" s="13"/>
      <c r="AF4375" s="13"/>
      <c r="AG4375" s="13"/>
      <c r="AH4375" s="13"/>
      <c r="AI4375" s="13"/>
      <c r="AJ4375" s="13"/>
      <c r="AK4375" s="13"/>
      <c r="AL4375" s="13"/>
      <c r="AM4375" s="13"/>
      <c r="AN4375" s="13"/>
      <c r="AO4375" s="13"/>
      <c r="AP4375" s="13"/>
      <c r="AQ4375" s="13"/>
      <c r="AR4375" s="13"/>
      <c r="AS4375" s="13"/>
    </row>
    <row r="4376" ht="14.25" customHeight="1">
      <c r="A4376" s="13" t="s">
        <v>46</v>
      </c>
      <c r="B4376" s="13" t="s">
        <v>53</v>
      </c>
      <c r="C4376" s="13">
        <v>100.0</v>
      </c>
      <c r="D4376" s="13" t="s">
        <v>184</v>
      </c>
      <c r="E4376" s="13"/>
      <c r="F4376" s="13"/>
      <c r="G4376" s="13" t="s">
        <v>74</v>
      </c>
      <c r="H4376" s="13" t="s">
        <v>75</v>
      </c>
      <c r="I4376" s="13"/>
      <c r="J4376" s="13"/>
      <c r="K4376" s="15">
        <v>0.0</v>
      </c>
      <c r="L4376" s="15">
        <v>0.0</v>
      </c>
      <c r="M4376" s="16"/>
      <c r="N4376" s="16"/>
      <c r="O4376" s="17"/>
      <c r="P4376" s="17"/>
      <c r="Q4376" s="13"/>
      <c r="R4376" s="13"/>
      <c r="S4376" s="13"/>
      <c r="T4376" s="13">
        <f t="shared" ref="T4376:Y4376" si="4710">IF(ISBLANK(K4376)=TRUE,0,1)</f>
        <v>1</v>
      </c>
      <c r="U4376" s="13">
        <f t="shared" si="4710"/>
        <v>1</v>
      </c>
      <c r="V4376" s="13">
        <f t="shared" si="4710"/>
        <v>0</v>
      </c>
      <c r="W4376" s="13">
        <f t="shared" si="4710"/>
        <v>0</v>
      </c>
      <c r="X4376" s="13">
        <f t="shared" si="4710"/>
        <v>0</v>
      </c>
      <c r="Y4376" s="13">
        <f t="shared" si="4710"/>
        <v>0</v>
      </c>
      <c r="Z4376" s="13">
        <f t="shared" si="4541"/>
        <v>0</v>
      </c>
      <c r="AA4376" s="13"/>
      <c r="AB4376" s="13"/>
      <c r="AC4376" s="13"/>
      <c r="AD4376" s="13"/>
      <c r="AE4376" s="13"/>
      <c r="AF4376" s="13"/>
      <c r="AG4376" s="13"/>
      <c r="AH4376" s="13"/>
      <c r="AI4376" s="13"/>
      <c r="AJ4376" s="13"/>
      <c r="AK4376" s="13"/>
      <c r="AL4376" s="13"/>
      <c r="AM4376" s="13"/>
      <c r="AN4376" s="13"/>
      <c r="AO4376" s="13"/>
      <c r="AP4376" s="13"/>
      <c r="AQ4376" s="13"/>
      <c r="AR4376" s="13"/>
      <c r="AS4376" s="13"/>
    </row>
    <row r="4377" ht="14.25" customHeight="1">
      <c r="A4377" s="13" t="s">
        <v>46</v>
      </c>
      <c r="B4377" s="13" t="s">
        <v>53</v>
      </c>
      <c r="C4377" s="13">
        <v>100.0</v>
      </c>
      <c r="D4377" s="13" t="s">
        <v>185</v>
      </c>
      <c r="E4377" s="13"/>
      <c r="F4377" s="13"/>
      <c r="G4377" s="13" t="s">
        <v>74</v>
      </c>
      <c r="H4377" s="13" t="s">
        <v>75</v>
      </c>
      <c r="I4377" s="13"/>
      <c r="J4377" s="13"/>
      <c r="K4377" s="15">
        <v>0.0</v>
      </c>
      <c r="L4377" s="15">
        <v>0.0</v>
      </c>
      <c r="M4377" s="16"/>
      <c r="N4377" s="16"/>
      <c r="O4377" s="17"/>
      <c r="P4377" s="17"/>
      <c r="Q4377" s="13"/>
      <c r="R4377" s="13"/>
      <c r="S4377" s="13"/>
      <c r="T4377" s="13">
        <f t="shared" ref="T4377:Y4377" si="4711">IF(ISBLANK(K4377)=TRUE,0,1)</f>
        <v>1</v>
      </c>
      <c r="U4377" s="13">
        <f t="shared" si="4711"/>
        <v>1</v>
      </c>
      <c r="V4377" s="13">
        <f t="shared" si="4711"/>
        <v>0</v>
      </c>
      <c r="W4377" s="13">
        <f t="shared" si="4711"/>
        <v>0</v>
      </c>
      <c r="X4377" s="13">
        <f t="shared" si="4711"/>
        <v>0</v>
      </c>
      <c r="Y4377" s="13">
        <f t="shared" si="4711"/>
        <v>0</v>
      </c>
      <c r="Z4377" s="13">
        <f t="shared" si="4541"/>
        <v>0</v>
      </c>
      <c r="AA4377" s="13"/>
      <c r="AB4377" s="13"/>
      <c r="AC4377" s="13"/>
      <c r="AD4377" s="13"/>
      <c r="AE4377" s="13"/>
      <c r="AF4377" s="13"/>
      <c r="AG4377" s="13"/>
      <c r="AH4377" s="13"/>
      <c r="AI4377" s="13"/>
      <c r="AJ4377" s="13"/>
      <c r="AK4377" s="13"/>
      <c r="AL4377" s="13"/>
      <c r="AM4377" s="13"/>
      <c r="AN4377" s="13"/>
      <c r="AO4377" s="13"/>
      <c r="AP4377" s="13"/>
      <c r="AQ4377" s="13"/>
      <c r="AR4377" s="13"/>
      <c r="AS4377" s="13"/>
    </row>
    <row r="4378" ht="14.25" customHeight="1">
      <c r="A4378" s="13" t="s">
        <v>46</v>
      </c>
      <c r="B4378" s="13" t="s">
        <v>53</v>
      </c>
      <c r="C4378" s="13">
        <v>100.0</v>
      </c>
      <c r="D4378" s="13" t="s">
        <v>186</v>
      </c>
      <c r="E4378" s="13"/>
      <c r="F4378" s="13"/>
      <c r="G4378" s="13" t="s">
        <v>74</v>
      </c>
      <c r="H4378" s="13" t="s">
        <v>75</v>
      </c>
      <c r="I4378" s="13"/>
      <c r="J4378" s="13"/>
      <c r="K4378" s="15">
        <v>0.0</v>
      </c>
      <c r="L4378" s="15">
        <v>0.0</v>
      </c>
      <c r="M4378" s="16"/>
      <c r="N4378" s="16"/>
      <c r="O4378" s="17"/>
      <c r="P4378" s="17"/>
      <c r="Q4378" s="13"/>
      <c r="R4378" s="13"/>
      <c r="S4378" s="13"/>
      <c r="T4378" s="13">
        <f t="shared" ref="T4378:Y4378" si="4712">IF(ISBLANK(K4378)=TRUE,0,1)</f>
        <v>1</v>
      </c>
      <c r="U4378" s="13">
        <f t="shared" si="4712"/>
        <v>1</v>
      </c>
      <c r="V4378" s="13">
        <f t="shared" si="4712"/>
        <v>0</v>
      </c>
      <c r="W4378" s="13">
        <f t="shared" si="4712"/>
        <v>0</v>
      </c>
      <c r="X4378" s="13">
        <f t="shared" si="4712"/>
        <v>0</v>
      </c>
      <c r="Y4378" s="13">
        <f t="shared" si="4712"/>
        <v>0</v>
      </c>
      <c r="Z4378" s="13">
        <f t="shared" si="4541"/>
        <v>0</v>
      </c>
      <c r="AA4378" s="13"/>
      <c r="AB4378" s="13"/>
      <c r="AC4378" s="13"/>
      <c r="AD4378" s="13"/>
      <c r="AE4378" s="13"/>
      <c r="AF4378" s="13"/>
      <c r="AG4378" s="13"/>
      <c r="AH4378" s="13"/>
      <c r="AI4378" s="13"/>
      <c r="AJ4378" s="13"/>
      <c r="AK4378" s="13"/>
      <c r="AL4378" s="13"/>
      <c r="AM4378" s="13"/>
      <c r="AN4378" s="13"/>
      <c r="AO4378" s="13"/>
      <c r="AP4378" s="13"/>
      <c r="AQ4378" s="13"/>
      <c r="AR4378" s="13"/>
      <c r="AS4378" s="13"/>
    </row>
    <row r="4379" ht="14.25" customHeight="1">
      <c r="A4379" s="13" t="s">
        <v>46</v>
      </c>
      <c r="B4379" s="13" t="s">
        <v>53</v>
      </c>
      <c r="C4379" s="13">
        <v>100.0</v>
      </c>
      <c r="D4379" s="13" t="s">
        <v>187</v>
      </c>
      <c r="E4379" s="13"/>
      <c r="F4379" s="13"/>
      <c r="G4379" s="13" t="s">
        <v>74</v>
      </c>
      <c r="H4379" s="13" t="s">
        <v>75</v>
      </c>
      <c r="I4379" s="13"/>
      <c r="J4379" s="13"/>
      <c r="K4379" s="15">
        <v>0.0</v>
      </c>
      <c r="L4379" s="15">
        <v>0.0</v>
      </c>
      <c r="M4379" s="16"/>
      <c r="N4379" s="16"/>
      <c r="O4379" s="17"/>
      <c r="P4379" s="17"/>
      <c r="Q4379" s="13"/>
      <c r="R4379" s="13"/>
      <c r="S4379" s="13"/>
      <c r="T4379" s="13">
        <f t="shared" ref="T4379:Y4379" si="4713">IF(ISBLANK(K4379)=TRUE,0,1)</f>
        <v>1</v>
      </c>
      <c r="U4379" s="13">
        <f t="shared" si="4713"/>
        <v>1</v>
      </c>
      <c r="V4379" s="13">
        <f t="shared" si="4713"/>
        <v>0</v>
      </c>
      <c r="W4379" s="13">
        <f t="shared" si="4713"/>
        <v>0</v>
      </c>
      <c r="X4379" s="13">
        <f t="shared" si="4713"/>
        <v>0</v>
      </c>
      <c r="Y4379" s="13">
        <f t="shared" si="4713"/>
        <v>0</v>
      </c>
      <c r="Z4379" s="13">
        <f t="shared" si="4541"/>
        <v>0</v>
      </c>
      <c r="AA4379" s="13"/>
      <c r="AB4379" s="13"/>
      <c r="AC4379" s="13"/>
      <c r="AD4379" s="13"/>
      <c r="AE4379" s="13"/>
      <c r="AF4379" s="13"/>
      <c r="AG4379" s="13"/>
      <c r="AH4379" s="13"/>
      <c r="AI4379" s="13"/>
      <c r="AJ4379" s="13"/>
      <c r="AK4379" s="13"/>
      <c r="AL4379" s="13"/>
      <c r="AM4379" s="13"/>
      <c r="AN4379" s="13"/>
      <c r="AO4379" s="13"/>
      <c r="AP4379" s="13"/>
      <c r="AQ4379" s="13"/>
      <c r="AR4379" s="13"/>
      <c r="AS4379" s="13"/>
    </row>
    <row r="4380" ht="14.25" customHeight="1">
      <c r="A4380" s="13" t="s">
        <v>46</v>
      </c>
      <c r="B4380" s="13" t="s">
        <v>53</v>
      </c>
      <c r="C4380" s="13" t="s">
        <v>1743</v>
      </c>
      <c r="D4380" s="13" t="s">
        <v>174</v>
      </c>
      <c r="E4380" s="13"/>
      <c r="F4380" s="13"/>
      <c r="G4380" s="13" t="s">
        <v>74</v>
      </c>
      <c r="H4380" s="13" t="s">
        <v>75</v>
      </c>
      <c r="I4380" s="13"/>
      <c r="J4380" s="13"/>
      <c r="K4380" s="15">
        <v>0.0</v>
      </c>
      <c r="L4380" s="15">
        <v>0.0</v>
      </c>
      <c r="M4380" s="16"/>
      <c r="N4380" s="16"/>
      <c r="O4380" s="17"/>
      <c r="P4380" s="17"/>
      <c r="Q4380" s="13"/>
      <c r="R4380" s="13"/>
      <c r="S4380" s="13"/>
      <c r="T4380" s="13">
        <f t="shared" ref="T4380:Y4380" si="4714">IF(ISBLANK(K4380)=TRUE,0,1)</f>
        <v>1</v>
      </c>
      <c r="U4380" s="13">
        <f t="shared" si="4714"/>
        <v>1</v>
      </c>
      <c r="V4380" s="13">
        <f t="shared" si="4714"/>
        <v>0</v>
      </c>
      <c r="W4380" s="13">
        <f t="shared" si="4714"/>
        <v>0</v>
      </c>
      <c r="X4380" s="13">
        <f t="shared" si="4714"/>
        <v>0</v>
      </c>
      <c r="Y4380" s="13">
        <f t="shared" si="4714"/>
        <v>0</v>
      </c>
      <c r="Z4380" s="13">
        <f t="shared" si="4541"/>
        <v>0</v>
      </c>
      <c r="AA4380" s="13"/>
      <c r="AB4380" s="13"/>
      <c r="AC4380" s="13"/>
      <c r="AD4380" s="13"/>
      <c r="AE4380" s="13"/>
      <c r="AF4380" s="13"/>
      <c r="AG4380" s="13"/>
      <c r="AH4380" s="13"/>
      <c r="AI4380" s="13"/>
      <c r="AJ4380" s="13"/>
      <c r="AK4380" s="13"/>
      <c r="AL4380" s="13"/>
      <c r="AM4380" s="13"/>
      <c r="AN4380" s="13"/>
      <c r="AO4380" s="13"/>
      <c r="AP4380" s="13"/>
      <c r="AQ4380" s="13"/>
      <c r="AR4380" s="13"/>
      <c r="AS4380" s="13"/>
    </row>
    <row r="4381" ht="14.25" customHeight="1">
      <c r="A4381" s="13" t="s">
        <v>46</v>
      </c>
      <c r="B4381" s="13" t="s">
        <v>53</v>
      </c>
      <c r="C4381" s="13" t="s">
        <v>1743</v>
      </c>
      <c r="D4381" s="13" t="s">
        <v>175</v>
      </c>
      <c r="E4381" s="13"/>
      <c r="F4381" s="13"/>
      <c r="G4381" s="13" t="s">
        <v>74</v>
      </c>
      <c r="H4381" s="13" t="s">
        <v>75</v>
      </c>
      <c r="I4381" s="13"/>
      <c r="J4381" s="13"/>
      <c r="K4381" s="15">
        <v>0.0</v>
      </c>
      <c r="L4381" s="15">
        <v>0.0</v>
      </c>
      <c r="M4381" s="16"/>
      <c r="N4381" s="16"/>
      <c r="O4381" s="17"/>
      <c r="P4381" s="17"/>
      <c r="Q4381" s="13"/>
      <c r="R4381" s="13"/>
      <c r="S4381" s="13"/>
      <c r="T4381" s="13">
        <f t="shared" ref="T4381:Y4381" si="4715">IF(ISBLANK(K4381)=TRUE,0,1)</f>
        <v>1</v>
      </c>
      <c r="U4381" s="13">
        <f t="shared" si="4715"/>
        <v>1</v>
      </c>
      <c r="V4381" s="13">
        <f t="shared" si="4715"/>
        <v>0</v>
      </c>
      <c r="W4381" s="13">
        <f t="shared" si="4715"/>
        <v>0</v>
      </c>
      <c r="X4381" s="13">
        <f t="shared" si="4715"/>
        <v>0</v>
      </c>
      <c r="Y4381" s="13">
        <f t="shared" si="4715"/>
        <v>0</v>
      </c>
      <c r="Z4381" s="13">
        <f t="shared" si="4541"/>
        <v>0</v>
      </c>
      <c r="AA4381" s="13"/>
      <c r="AB4381" s="13"/>
      <c r="AC4381" s="13"/>
      <c r="AD4381" s="13"/>
      <c r="AE4381" s="13"/>
      <c r="AF4381" s="13"/>
      <c r="AG4381" s="13"/>
      <c r="AH4381" s="13"/>
      <c r="AI4381" s="13"/>
      <c r="AJ4381" s="13"/>
      <c r="AK4381" s="13"/>
      <c r="AL4381" s="13"/>
      <c r="AM4381" s="13"/>
      <c r="AN4381" s="13"/>
      <c r="AO4381" s="13"/>
      <c r="AP4381" s="13"/>
      <c r="AQ4381" s="13"/>
      <c r="AR4381" s="13"/>
      <c r="AS4381" s="13"/>
    </row>
    <row r="4382" ht="14.25" customHeight="1">
      <c r="A4382" s="13" t="s">
        <v>46</v>
      </c>
      <c r="B4382" s="13" t="s">
        <v>53</v>
      </c>
      <c r="C4382" s="13" t="s">
        <v>1743</v>
      </c>
      <c r="D4382" s="13" t="s">
        <v>176</v>
      </c>
      <c r="E4382" s="13"/>
      <c r="F4382" s="13"/>
      <c r="G4382" s="13" t="s">
        <v>74</v>
      </c>
      <c r="H4382" s="13" t="s">
        <v>75</v>
      </c>
      <c r="I4382" s="13"/>
      <c r="J4382" s="13"/>
      <c r="K4382" s="15">
        <v>0.0</v>
      </c>
      <c r="L4382" s="15">
        <v>0.0</v>
      </c>
      <c r="M4382" s="16"/>
      <c r="N4382" s="16"/>
      <c r="O4382" s="17"/>
      <c r="P4382" s="17"/>
      <c r="Q4382" s="13"/>
      <c r="R4382" s="13"/>
      <c r="S4382" s="13"/>
      <c r="T4382" s="13">
        <f t="shared" ref="T4382:Y4382" si="4716">IF(ISBLANK(K4382)=TRUE,0,1)</f>
        <v>1</v>
      </c>
      <c r="U4382" s="13">
        <f t="shared" si="4716"/>
        <v>1</v>
      </c>
      <c r="V4382" s="13">
        <f t="shared" si="4716"/>
        <v>0</v>
      </c>
      <c r="W4382" s="13">
        <f t="shared" si="4716"/>
        <v>0</v>
      </c>
      <c r="X4382" s="13">
        <f t="shared" si="4716"/>
        <v>0</v>
      </c>
      <c r="Y4382" s="13">
        <f t="shared" si="4716"/>
        <v>0</v>
      </c>
      <c r="Z4382" s="13">
        <f t="shared" si="4541"/>
        <v>0</v>
      </c>
      <c r="AA4382" s="13"/>
      <c r="AB4382" s="13"/>
      <c r="AC4382" s="13"/>
      <c r="AD4382" s="13"/>
      <c r="AE4382" s="13"/>
      <c r="AF4382" s="13"/>
      <c r="AG4382" s="13"/>
      <c r="AH4382" s="13"/>
      <c r="AI4382" s="13"/>
      <c r="AJ4382" s="13"/>
      <c r="AK4382" s="13"/>
      <c r="AL4382" s="13"/>
      <c r="AM4382" s="13"/>
      <c r="AN4382" s="13"/>
      <c r="AO4382" s="13"/>
      <c r="AP4382" s="13"/>
      <c r="AQ4382" s="13"/>
      <c r="AR4382" s="13"/>
      <c r="AS4382" s="13"/>
    </row>
    <row r="4383" ht="14.25" customHeight="1">
      <c r="A4383" s="13" t="s">
        <v>46</v>
      </c>
      <c r="B4383" s="13" t="s">
        <v>53</v>
      </c>
      <c r="C4383" s="13" t="s">
        <v>1743</v>
      </c>
      <c r="D4383" s="13" t="s">
        <v>177</v>
      </c>
      <c r="E4383" s="13"/>
      <c r="F4383" s="13"/>
      <c r="G4383" s="13" t="s">
        <v>74</v>
      </c>
      <c r="H4383" s="13" t="s">
        <v>75</v>
      </c>
      <c r="I4383" s="13"/>
      <c r="J4383" s="13"/>
      <c r="K4383" s="15">
        <v>0.0</v>
      </c>
      <c r="L4383" s="15">
        <v>0.0</v>
      </c>
      <c r="M4383" s="16"/>
      <c r="N4383" s="16"/>
      <c r="O4383" s="17"/>
      <c r="P4383" s="17"/>
      <c r="Q4383" s="13"/>
      <c r="R4383" s="13"/>
      <c r="S4383" s="13"/>
      <c r="T4383" s="13">
        <f t="shared" ref="T4383:Y4383" si="4717">IF(ISBLANK(K4383)=TRUE,0,1)</f>
        <v>1</v>
      </c>
      <c r="U4383" s="13">
        <f t="shared" si="4717"/>
        <v>1</v>
      </c>
      <c r="V4383" s="13">
        <f t="shared" si="4717"/>
        <v>0</v>
      </c>
      <c r="W4383" s="13">
        <f t="shared" si="4717"/>
        <v>0</v>
      </c>
      <c r="X4383" s="13">
        <f t="shared" si="4717"/>
        <v>0</v>
      </c>
      <c r="Y4383" s="13">
        <f t="shared" si="4717"/>
        <v>0</v>
      </c>
      <c r="Z4383" s="13">
        <f t="shared" si="4541"/>
        <v>0</v>
      </c>
      <c r="AA4383" s="13"/>
      <c r="AB4383" s="13"/>
      <c r="AC4383" s="13"/>
      <c r="AD4383" s="13"/>
      <c r="AE4383" s="13"/>
      <c r="AF4383" s="13"/>
      <c r="AG4383" s="13"/>
      <c r="AH4383" s="13"/>
      <c r="AI4383" s="13"/>
      <c r="AJ4383" s="13"/>
      <c r="AK4383" s="13"/>
      <c r="AL4383" s="13"/>
      <c r="AM4383" s="13"/>
      <c r="AN4383" s="13"/>
      <c r="AO4383" s="13"/>
      <c r="AP4383" s="13"/>
      <c r="AQ4383" s="13"/>
      <c r="AR4383" s="13"/>
      <c r="AS4383" s="13"/>
    </row>
    <row r="4384" ht="14.25" customHeight="1">
      <c r="A4384" s="13" t="s">
        <v>46</v>
      </c>
      <c r="B4384" s="13" t="s">
        <v>53</v>
      </c>
      <c r="C4384" s="13" t="s">
        <v>1743</v>
      </c>
      <c r="D4384" s="13" t="s">
        <v>178</v>
      </c>
      <c r="E4384" s="13"/>
      <c r="F4384" s="13"/>
      <c r="G4384" s="13" t="s">
        <v>74</v>
      </c>
      <c r="H4384" s="13" t="s">
        <v>75</v>
      </c>
      <c r="I4384" s="13"/>
      <c r="J4384" s="13"/>
      <c r="K4384" s="15">
        <v>0.0</v>
      </c>
      <c r="L4384" s="15">
        <v>0.0</v>
      </c>
      <c r="M4384" s="16"/>
      <c r="N4384" s="16"/>
      <c r="O4384" s="17"/>
      <c r="P4384" s="17"/>
      <c r="Q4384" s="13"/>
      <c r="R4384" s="13"/>
      <c r="S4384" s="13"/>
      <c r="T4384" s="13">
        <f t="shared" ref="T4384:Y4384" si="4718">IF(ISBLANK(K4384)=TRUE,0,1)</f>
        <v>1</v>
      </c>
      <c r="U4384" s="13">
        <f t="shared" si="4718"/>
        <v>1</v>
      </c>
      <c r="V4384" s="13">
        <f t="shared" si="4718"/>
        <v>0</v>
      </c>
      <c r="W4384" s="13">
        <f t="shared" si="4718"/>
        <v>0</v>
      </c>
      <c r="X4384" s="13">
        <f t="shared" si="4718"/>
        <v>0</v>
      </c>
      <c r="Y4384" s="13">
        <f t="shared" si="4718"/>
        <v>0</v>
      </c>
      <c r="Z4384" s="13">
        <f t="shared" si="4541"/>
        <v>0</v>
      </c>
      <c r="AA4384" s="13"/>
      <c r="AB4384" s="13"/>
      <c r="AC4384" s="13"/>
      <c r="AD4384" s="13"/>
      <c r="AE4384" s="13"/>
      <c r="AF4384" s="13"/>
      <c r="AG4384" s="13"/>
      <c r="AH4384" s="13"/>
      <c r="AI4384" s="13"/>
      <c r="AJ4384" s="13"/>
      <c r="AK4384" s="13"/>
      <c r="AL4384" s="13"/>
      <c r="AM4384" s="13"/>
      <c r="AN4384" s="13"/>
      <c r="AO4384" s="13"/>
      <c r="AP4384" s="13"/>
      <c r="AQ4384" s="13"/>
      <c r="AR4384" s="13"/>
      <c r="AS4384" s="13"/>
    </row>
    <row r="4385" ht="14.25" customHeight="1">
      <c r="A4385" s="13" t="s">
        <v>46</v>
      </c>
      <c r="B4385" s="13" t="s">
        <v>53</v>
      </c>
      <c r="C4385" s="13" t="s">
        <v>1743</v>
      </c>
      <c r="D4385" s="13" t="s">
        <v>179</v>
      </c>
      <c r="E4385" s="13"/>
      <c r="F4385" s="13"/>
      <c r="G4385" s="13" t="s">
        <v>74</v>
      </c>
      <c r="H4385" s="13" t="s">
        <v>75</v>
      </c>
      <c r="I4385" s="13"/>
      <c r="J4385" s="13"/>
      <c r="K4385" s="15">
        <v>0.0</v>
      </c>
      <c r="L4385" s="15">
        <v>0.0</v>
      </c>
      <c r="M4385" s="16"/>
      <c r="N4385" s="16"/>
      <c r="O4385" s="17"/>
      <c r="P4385" s="17"/>
      <c r="Q4385" s="13"/>
      <c r="R4385" s="13"/>
      <c r="S4385" s="13"/>
      <c r="T4385" s="13">
        <f t="shared" ref="T4385:Y4385" si="4719">IF(ISBLANK(K4385)=TRUE,0,1)</f>
        <v>1</v>
      </c>
      <c r="U4385" s="13">
        <f t="shared" si="4719"/>
        <v>1</v>
      </c>
      <c r="V4385" s="13">
        <f t="shared" si="4719"/>
        <v>0</v>
      </c>
      <c r="W4385" s="13">
        <f t="shared" si="4719"/>
        <v>0</v>
      </c>
      <c r="X4385" s="13">
        <f t="shared" si="4719"/>
        <v>0</v>
      </c>
      <c r="Y4385" s="13">
        <f t="shared" si="4719"/>
        <v>0</v>
      </c>
      <c r="Z4385" s="13">
        <f t="shared" si="4541"/>
        <v>0</v>
      </c>
      <c r="AA4385" s="13"/>
      <c r="AB4385" s="13"/>
      <c r="AC4385" s="13"/>
      <c r="AD4385" s="13"/>
      <c r="AE4385" s="13"/>
      <c r="AF4385" s="13"/>
      <c r="AG4385" s="13"/>
      <c r="AH4385" s="13"/>
      <c r="AI4385" s="13"/>
      <c r="AJ4385" s="13"/>
      <c r="AK4385" s="13"/>
      <c r="AL4385" s="13"/>
      <c r="AM4385" s="13"/>
      <c r="AN4385" s="13"/>
      <c r="AO4385" s="13"/>
      <c r="AP4385" s="13"/>
      <c r="AQ4385" s="13"/>
      <c r="AR4385" s="13"/>
      <c r="AS4385" s="13"/>
    </row>
    <row r="4386" ht="14.25" customHeight="1">
      <c r="A4386" s="13" t="s">
        <v>46</v>
      </c>
      <c r="B4386" s="13" t="s">
        <v>53</v>
      </c>
      <c r="C4386" s="13" t="s">
        <v>1743</v>
      </c>
      <c r="D4386" s="13" t="s">
        <v>180</v>
      </c>
      <c r="E4386" s="13"/>
      <c r="F4386" s="13"/>
      <c r="G4386" s="13" t="s">
        <v>74</v>
      </c>
      <c r="H4386" s="13" t="s">
        <v>75</v>
      </c>
      <c r="I4386" s="13"/>
      <c r="J4386" s="13"/>
      <c r="K4386" s="15">
        <v>0.0</v>
      </c>
      <c r="L4386" s="15">
        <v>0.0</v>
      </c>
      <c r="M4386" s="16"/>
      <c r="N4386" s="16"/>
      <c r="O4386" s="17"/>
      <c r="P4386" s="17"/>
      <c r="Q4386" s="13"/>
      <c r="R4386" s="13"/>
      <c r="S4386" s="13"/>
      <c r="T4386" s="13">
        <f t="shared" ref="T4386:Y4386" si="4720">IF(ISBLANK(K4386)=TRUE,0,1)</f>
        <v>1</v>
      </c>
      <c r="U4386" s="13">
        <f t="shared" si="4720"/>
        <v>1</v>
      </c>
      <c r="V4386" s="13">
        <f t="shared" si="4720"/>
        <v>0</v>
      </c>
      <c r="W4386" s="13">
        <f t="shared" si="4720"/>
        <v>0</v>
      </c>
      <c r="X4386" s="13">
        <f t="shared" si="4720"/>
        <v>0</v>
      </c>
      <c r="Y4386" s="13">
        <f t="shared" si="4720"/>
        <v>0</v>
      </c>
      <c r="Z4386" s="13">
        <f t="shared" si="4541"/>
        <v>0</v>
      </c>
      <c r="AA4386" s="13"/>
      <c r="AB4386" s="13"/>
      <c r="AC4386" s="13"/>
      <c r="AD4386" s="13"/>
      <c r="AE4386" s="13"/>
      <c r="AF4386" s="13"/>
      <c r="AG4386" s="13"/>
      <c r="AH4386" s="13"/>
      <c r="AI4386" s="13"/>
      <c r="AJ4386" s="13"/>
      <c r="AK4386" s="13"/>
      <c r="AL4386" s="13"/>
      <c r="AM4386" s="13"/>
      <c r="AN4386" s="13"/>
      <c r="AO4386" s="13"/>
      <c r="AP4386" s="13"/>
      <c r="AQ4386" s="13"/>
      <c r="AR4386" s="13"/>
      <c r="AS4386" s="13"/>
    </row>
    <row r="4387" ht="14.25" customHeight="1">
      <c r="A4387" s="13" t="s">
        <v>46</v>
      </c>
      <c r="B4387" s="13" t="s">
        <v>53</v>
      </c>
      <c r="C4387" s="13" t="s">
        <v>1743</v>
      </c>
      <c r="D4387" s="13" t="s">
        <v>181</v>
      </c>
      <c r="E4387" s="13"/>
      <c r="F4387" s="13"/>
      <c r="G4387" s="13" t="s">
        <v>74</v>
      </c>
      <c r="H4387" s="13" t="s">
        <v>75</v>
      </c>
      <c r="I4387" s="13"/>
      <c r="J4387" s="13"/>
      <c r="K4387" s="15">
        <v>0.0</v>
      </c>
      <c r="L4387" s="15">
        <v>0.0</v>
      </c>
      <c r="M4387" s="16"/>
      <c r="N4387" s="16"/>
      <c r="O4387" s="17"/>
      <c r="P4387" s="17"/>
      <c r="Q4387" s="13"/>
      <c r="R4387" s="13"/>
      <c r="S4387" s="13"/>
      <c r="T4387" s="13">
        <f t="shared" ref="T4387:Y4387" si="4721">IF(ISBLANK(K4387)=TRUE,0,1)</f>
        <v>1</v>
      </c>
      <c r="U4387" s="13">
        <f t="shared" si="4721"/>
        <v>1</v>
      </c>
      <c r="V4387" s="13">
        <f t="shared" si="4721"/>
        <v>0</v>
      </c>
      <c r="W4387" s="13">
        <f t="shared" si="4721"/>
        <v>0</v>
      </c>
      <c r="X4387" s="13">
        <f t="shared" si="4721"/>
        <v>0</v>
      </c>
      <c r="Y4387" s="13">
        <f t="shared" si="4721"/>
        <v>0</v>
      </c>
      <c r="Z4387" s="13">
        <f t="shared" si="4541"/>
        <v>0</v>
      </c>
      <c r="AA4387" s="13"/>
      <c r="AB4387" s="13"/>
      <c r="AC4387" s="13"/>
      <c r="AD4387" s="13"/>
      <c r="AE4387" s="13"/>
      <c r="AF4387" s="13"/>
      <c r="AG4387" s="13"/>
      <c r="AH4387" s="13"/>
      <c r="AI4387" s="13"/>
      <c r="AJ4387" s="13"/>
      <c r="AK4387" s="13"/>
      <c r="AL4387" s="13"/>
      <c r="AM4387" s="13"/>
      <c r="AN4387" s="13"/>
      <c r="AO4387" s="13"/>
      <c r="AP4387" s="13"/>
      <c r="AQ4387" s="13"/>
      <c r="AR4387" s="13"/>
      <c r="AS4387" s="13"/>
    </row>
    <row r="4388" ht="14.25" customHeight="1">
      <c r="A4388" s="13" t="s">
        <v>46</v>
      </c>
      <c r="B4388" s="13" t="s">
        <v>53</v>
      </c>
      <c r="C4388" s="13" t="s">
        <v>1743</v>
      </c>
      <c r="D4388" s="13" t="s">
        <v>182</v>
      </c>
      <c r="E4388" s="13"/>
      <c r="F4388" s="13"/>
      <c r="G4388" s="13" t="s">
        <v>74</v>
      </c>
      <c r="H4388" s="13" t="s">
        <v>75</v>
      </c>
      <c r="I4388" s="13"/>
      <c r="J4388" s="13"/>
      <c r="K4388" s="15">
        <v>0.0</v>
      </c>
      <c r="L4388" s="15">
        <v>0.0</v>
      </c>
      <c r="M4388" s="16"/>
      <c r="N4388" s="16"/>
      <c r="O4388" s="17"/>
      <c r="P4388" s="17"/>
      <c r="Q4388" s="13"/>
      <c r="R4388" s="13"/>
      <c r="S4388" s="13"/>
      <c r="T4388" s="13">
        <f t="shared" ref="T4388:Y4388" si="4722">IF(ISBLANK(K4388)=TRUE,0,1)</f>
        <v>1</v>
      </c>
      <c r="U4388" s="13">
        <f t="shared" si="4722"/>
        <v>1</v>
      </c>
      <c r="V4388" s="13">
        <f t="shared" si="4722"/>
        <v>0</v>
      </c>
      <c r="W4388" s="13">
        <f t="shared" si="4722"/>
        <v>0</v>
      </c>
      <c r="X4388" s="13">
        <f t="shared" si="4722"/>
        <v>0</v>
      </c>
      <c r="Y4388" s="13">
        <f t="shared" si="4722"/>
        <v>0</v>
      </c>
      <c r="Z4388" s="13">
        <f t="shared" si="4541"/>
        <v>0</v>
      </c>
      <c r="AA4388" s="13"/>
      <c r="AB4388" s="13"/>
      <c r="AC4388" s="13"/>
      <c r="AD4388" s="13"/>
      <c r="AE4388" s="13"/>
      <c r="AF4388" s="13"/>
      <c r="AG4388" s="13"/>
      <c r="AH4388" s="13"/>
      <c r="AI4388" s="13"/>
      <c r="AJ4388" s="13"/>
      <c r="AK4388" s="13"/>
      <c r="AL4388" s="13"/>
      <c r="AM4388" s="13"/>
      <c r="AN4388" s="13"/>
      <c r="AO4388" s="13"/>
      <c r="AP4388" s="13"/>
      <c r="AQ4388" s="13"/>
      <c r="AR4388" s="13"/>
      <c r="AS4388" s="13"/>
    </row>
    <row r="4389" ht="14.25" customHeight="1">
      <c r="A4389" s="13" t="s">
        <v>46</v>
      </c>
      <c r="B4389" s="13" t="s">
        <v>53</v>
      </c>
      <c r="C4389" s="13" t="s">
        <v>1743</v>
      </c>
      <c r="D4389" s="13" t="s">
        <v>183</v>
      </c>
      <c r="E4389" s="13"/>
      <c r="F4389" s="13"/>
      <c r="G4389" s="13" t="s">
        <v>74</v>
      </c>
      <c r="H4389" s="13" t="s">
        <v>75</v>
      </c>
      <c r="I4389" s="13"/>
      <c r="J4389" s="13"/>
      <c r="K4389" s="15">
        <v>0.0</v>
      </c>
      <c r="L4389" s="15">
        <v>0.0</v>
      </c>
      <c r="M4389" s="16"/>
      <c r="N4389" s="16"/>
      <c r="O4389" s="17"/>
      <c r="P4389" s="17"/>
      <c r="Q4389" s="13"/>
      <c r="R4389" s="13"/>
      <c r="S4389" s="13"/>
      <c r="T4389" s="13">
        <f t="shared" ref="T4389:Y4389" si="4723">IF(ISBLANK(K4389)=TRUE,0,1)</f>
        <v>1</v>
      </c>
      <c r="U4389" s="13">
        <f t="shared" si="4723"/>
        <v>1</v>
      </c>
      <c r="V4389" s="13">
        <f t="shared" si="4723"/>
        <v>0</v>
      </c>
      <c r="W4389" s="13">
        <f t="shared" si="4723"/>
        <v>0</v>
      </c>
      <c r="X4389" s="13">
        <f t="shared" si="4723"/>
        <v>0</v>
      </c>
      <c r="Y4389" s="13">
        <f t="shared" si="4723"/>
        <v>0</v>
      </c>
      <c r="Z4389" s="13">
        <f t="shared" si="4541"/>
        <v>0</v>
      </c>
      <c r="AA4389" s="13"/>
      <c r="AB4389" s="13"/>
      <c r="AC4389" s="13"/>
      <c r="AD4389" s="13"/>
      <c r="AE4389" s="13"/>
      <c r="AF4389" s="13"/>
      <c r="AG4389" s="13"/>
      <c r="AH4389" s="13"/>
      <c r="AI4389" s="13"/>
      <c r="AJ4389" s="13"/>
      <c r="AK4389" s="13"/>
      <c r="AL4389" s="13"/>
      <c r="AM4389" s="13"/>
      <c r="AN4389" s="13"/>
      <c r="AO4389" s="13"/>
      <c r="AP4389" s="13"/>
      <c r="AQ4389" s="13"/>
      <c r="AR4389" s="13"/>
      <c r="AS4389" s="13"/>
    </row>
    <row r="4390" ht="14.25" customHeight="1">
      <c r="A4390" s="13" t="s">
        <v>46</v>
      </c>
      <c r="B4390" s="13" t="s">
        <v>53</v>
      </c>
      <c r="C4390" s="13" t="s">
        <v>1743</v>
      </c>
      <c r="D4390" s="13" t="s">
        <v>184</v>
      </c>
      <c r="E4390" s="13"/>
      <c r="F4390" s="13"/>
      <c r="G4390" s="13" t="s">
        <v>74</v>
      </c>
      <c r="H4390" s="13" t="s">
        <v>75</v>
      </c>
      <c r="I4390" s="13"/>
      <c r="J4390" s="13"/>
      <c r="K4390" s="15">
        <v>0.0</v>
      </c>
      <c r="L4390" s="15">
        <v>0.0</v>
      </c>
      <c r="M4390" s="16"/>
      <c r="N4390" s="16"/>
      <c r="O4390" s="17"/>
      <c r="P4390" s="17"/>
      <c r="Q4390" s="13"/>
      <c r="R4390" s="13"/>
      <c r="S4390" s="13"/>
      <c r="T4390" s="13">
        <f t="shared" ref="T4390:Y4390" si="4724">IF(ISBLANK(K4390)=TRUE,0,1)</f>
        <v>1</v>
      </c>
      <c r="U4390" s="13">
        <f t="shared" si="4724"/>
        <v>1</v>
      </c>
      <c r="V4390" s="13">
        <f t="shared" si="4724"/>
        <v>0</v>
      </c>
      <c r="W4390" s="13">
        <f t="shared" si="4724"/>
        <v>0</v>
      </c>
      <c r="X4390" s="13">
        <f t="shared" si="4724"/>
        <v>0</v>
      </c>
      <c r="Y4390" s="13">
        <f t="shared" si="4724"/>
        <v>0</v>
      </c>
      <c r="Z4390" s="13">
        <f t="shared" si="4541"/>
        <v>0</v>
      </c>
      <c r="AA4390" s="13"/>
      <c r="AB4390" s="13"/>
      <c r="AC4390" s="13"/>
      <c r="AD4390" s="13"/>
      <c r="AE4390" s="13"/>
      <c r="AF4390" s="13"/>
      <c r="AG4390" s="13"/>
      <c r="AH4390" s="13"/>
      <c r="AI4390" s="13"/>
      <c r="AJ4390" s="13"/>
      <c r="AK4390" s="13"/>
      <c r="AL4390" s="13"/>
      <c r="AM4390" s="13"/>
      <c r="AN4390" s="13"/>
      <c r="AO4390" s="13"/>
      <c r="AP4390" s="13"/>
      <c r="AQ4390" s="13"/>
      <c r="AR4390" s="13"/>
      <c r="AS4390" s="13"/>
    </row>
    <row r="4391" ht="14.25" customHeight="1">
      <c r="A4391" s="13" t="s">
        <v>46</v>
      </c>
      <c r="B4391" s="13" t="s">
        <v>53</v>
      </c>
      <c r="C4391" s="13">
        <v>63.0</v>
      </c>
      <c r="D4391" s="13" t="s">
        <v>174</v>
      </c>
      <c r="E4391" s="13"/>
      <c r="F4391" s="13"/>
      <c r="G4391" s="13" t="s">
        <v>74</v>
      </c>
      <c r="H4391" s="13" t="s">
        <v>75</v>
      </c>
      <c r="I4391" s="13"/>
      <c r="J4391" s="13"/>
      <c r="K4391" s="15">
        <v>0.0</v>
      </c>
      <c r="L4391" s="15">
        <v>0.0</v>
      </c>
      <c r="M4391" s="16"/>
      <c r="N4391" s="16"/>
      <c r="O4391" s="17"/>
      <c r="P4391" s="17"/>
      <c r="Q4391" s="13"/>
      <c r="R4391" s="13"/>
      <c r="S4391" s="13"/>
      <c r="T4391" s="13">
        <f t="shared" ref="T4391:Y4391" si="4725">IF(ISBLANK(K4391)=TRUE,0,1)</f>
        <v>1</v>
      </c>
      <c r="U4391" s="13">
        <f t="shared" si="4725"/>
        <v>1</v>
      </c>
      <c r="V4391" s="13">
        <f t="shared" si="4725"/>
        <v>0</v>
      </c>
      <c r="W4391" s="13">
        <f t="shared" si="4725"/>
        <v>0</v>
      </c>
      <c r="X4391" s="13">
        <f t="shared" si="4725"/>
        <v>0</v>
      </c>
      <c r="Y4391" s="13">
        <f t="shared" si="4725"/>
        <v>0</v>
      </c>
      <c r="Z4391" s="13">
        <f t="shared" si="4541"/>
        <v>0</v>
      </c>
      <c r="AA4391" s="13"/>
      <c r="AB4391" s="13"/>
      <c r="AC4391" s="13"/>
      <c r="AD4391" s="13"/>
      <c r="AE4391" s="13"/>
      <c r="AF4391" s="13"/>
      <c r="AG4391" s="13"/>
      <c r="AH4391" s="13"/>
      <c r="AI4391" s="13"/>
      <c r="AJ4391" s="13"/>
      <c r="AK4391" s="13"/>
      <c r="AL4391" s="13"/>
      <c r="AM4391" s="13"/>
      <c r="AN4391" s="13"/>
      <c r="AO4391" s="13"/>
      <c r="AP4391" s="13"/>
      <c r="AQ4391" s="13"/>
      <c r="AR4391" s="13"/>
      <c r="AS4391" s="13"/>
    </row>
    <row r="4392" ht="14.25" customHeight="1">
      <c r="A4392" s="13" t="s">
        <v>46</v>
      </c>
      <c r="B4392" s="13" t="s">
        <v>53</v>
      </c>
      <c r="C4392" s="13">
        <v>63.0</v>
      </c>
      <c r="D4392" s="13" t="s">
        <v>175</v>
      </c>
      <c r="E4392" s="13"/>
      <c r="F4392" s="13"/>
      <c r="G4392" s="13" t="s">
        <v>74</v>
      </c>
      <c r="H4392" s="13" t="s">
        <v>75</v>
      </c>
      <c r="I4392" s="13"/>
      <c r="J4392" s="13"/>
      <c r="K4392" s="15">
        <v>0.0</v>
      </c>
      <c r="L4392" s="15">
        <v>0.0</v>
      </c>
      <c r="M4392" s="16"/>
      <c r="N4392" s="16"/>
      <c r="O4392" s="17"/>
      <c r="P4392" s="17"/>
      <c r="Q4392" s="13"/>
      <c r="R4392" s="13"/>
      <c r="S4392" s="13"/>
      <c r="T4392" s="13">
        <f t="shared" ref="T4392:Y4392" si="4726">IF(ISBLANK(K4392)=TRUE,0,1)</f>
        <v>1</v>
      </c>
      <c r="U4392" s="13">
        <f t="shared" si="4726"/>
        <v>1</v>
      </c>
      <c r="V4392" s="13">
        <f t="shared" si="4726"/>
        <v>0</v>
      </c>
      <c r="W4392" s="13">
        <f t="shared" si="4726"/>
        <v>0</v>
      </c>
      <c r="X4392" s="13">
        <f t="shared" si="4726"/>
        <v>0</v>
      </c>
      <c r="Y4392" s="13">
        <f t="shared" si="4726"/>
        <v>0</v>
      </c>
      <c r="Z4392" s="13">
        <f t="shared" si="4541"/>
        <v>0</v>
      </c>
      <c r="AA4392" s="13"/>
      <c r="AB4392" s="13"/>
      <c r="AC4392" s="13"/>
      <c r="AD4392" s="13"/>
      <c r="AE4392" s="13"/>
      <c r="AF4392" s="13"/>
      <c r="AG4392" s="13"/>
      <c r="AH4392" s="13"/>
      <c r="AI4392" s="13"/>
      <c r="AJ4392" s="13"/>
      <c r="AK4392" s="13"/>
      <c r="AL4392" s="13"/>
      <c r="AM4392" s="13"/>
      <c r="AN4392" s="13"/>
      <c r="AO4392" s="13"/>
      <c r="AP4392" s="13"/>
      <c r="AQ4392" s="13"/>
      <c r="AR4392" s="13"/>
      <c r="AS4392" s="13"/>
    </row>
    <row r="4393" ht="14.25" customHeight="1">
      <c r="A4393" s="13" t="s">
        <v>46</v>
      </c>
      <c r="B4393" s="13" t="s">
        <v>53</v>
      </c>
      <c r="C4393" s="13">
        <v>63.0</v>
      </c>
      <c r="D4393" s="13" t="s">
        <v>176</v>
      </c>
      <c r="E4393" s="13"/>
      <c r="F4393" s="13"/>
      <c r="G4393" s="13" t="s">
        <v>74</v>
      </c>
      <c r="H4393" s="13" t="s">
        <v>75</v>
      </c>
      <c r="I4393" s="13"/>
      <c r="J4393" s="13"/>
      <c r="K4393" s="15">
        <v>0.0</v>
      </c>
      <c r="L4393" s="15">
        <v>0.0</v>
      </c>
      <c r="M4393" s="16"/>
      <c r="N4393" s="16"/>
      <c r="O4393" s="17"/>
      <c r="P4393" s="17"/>
      <c r="Q4393" s="13"/>
      <c r="R4393" s="13"/>
      <c r="S4393" s="13"/>
      <c r="T4393" s="13">
        <f t="shared" ref="T4393:Y4393" si="4727">IF(ISBLANK(K4393)=TRUE,0,1)</f>
        <v>1</v>
      </c>
      <c r="U4393" s="13">
        <f t="shared" si="4727"/>
        <v>1</v>
      </c>
      <c r="V4393" s="13">
        <f t="shared" si="4727"/>
        <v>0</v>
      </c>
      <c r="W4393" s="13">
        <f t="shared" si="4727"/>
        <v>0</v>
      </c>
      <c r="X4393" s="13">
        <f t="shared" si="4727"/>
        <v>0</v>
      </c>
      <c r="Y4393" s="13">
        <f t="shared" si="4727"/>
        <v>0</v>
      </c>
      <c r="Z4393" s="13">
        <f t="shared" si="4541"/>
        <v>0</v>
      </c>
      <c r="AA4393" s="13"/>
      <c r="AB4393" s="13"/>
      <c r="AC4393" s="13"/>
      <c r="AD4393" s="13"/>
      <c r="AE4393" s="13"/>
      <c r="AF4393" s="13"/>
      <c r="AG4393" s="13"/>
      <c r="AH4393" s="13"/>
      <c r="AI4393" s="13"/>
      <c r="AJ4393" s="13"/>
      <c r="AK4393" s="13"/>
      <c r="AL4393" s="13"/>
      <c r="AM4393" s="13"/>
      <c r="AN4393" s="13"/>
      <c r="AO4393" s="13"/>
      <c r="AP4393" s="13"/>
      <c r="AQ4393" s="13"/>
      <c r="AR4393" s="13"/>
      <c r="AS4393" s="13"/>
    </row>
    <row r="4394" ht="14.25" customHeight="1">
      <c r="A4394" s="13" t="s">
        <v>46</v>
      </c>
      <c r="B4394" s="13" t="s">
        <v>53</v>
      </c>
      <c r="C4394" s="13">
        <v>63.0</v>
      </c>
      <c r="D4394" s="13" t="s">
        <v>177</v>
      </c>
      <c r="E4394" s="13"/>
      <c r="F4394" s="13"/>
      <c r="G4394" s="13" t="s">
        <v>74</v>
      </c>
      <c r="H4394" s="13" t="s">
        <v>75</v>
      </c>
      <c r="I4394" s="13"/>
      <c r="J4394" s="13"/>
      <c r="K4394" s="15">
        <v>0.0</v>
      </c>
      <c r="L4394" s="15">
        <v>0.0</v>
      </c>
      <c r="M4394" s="16"/>
      <c r="N4394" s="16"/>
      <c r="O4394" s="17"/>
      <c r="P4394" s="17"/>
      <c r="Q4394" s="13"/>
      <c r="R4394" s="13"/>
      <c r="S4394" s="13"/>
      <c r="T4394" s="13">
        <f t="shared" ref="T4394:Y4394" si="4728">IF(ISBLANK(K4394)=TRUE,0,1)</f>
        <v>1</v>
      </c>
      <c r="U4394" s="13">
        <f t="shared" si="4728"/>
        <v>1</v>
      </c>
      <c r="V4394" s="13">
        <f t="shared" si="4728"/>
        <v>0</v>
      </c>
      <c r="W4394" s="13">
        <f t="shared" si="4728"/>
        <v>0</v>
      </c>
      <c r="X4394" s="13">
        <f t="shared" si="4728"/>
        <v>0</v>
      </c>
      <c r="Y4394" s="13">
        <f t="shared" si="4728"/>
        <v>0</v>
      </c>
      <c r="Z4394" s="13">
        <f t="shared" si="4541"/>
        <v>0</v>
      </c>
      <c r="AA4394" s="13"/>
      <c r="AB4394" s="13"/>
      <c r="AC4394" s="13"/>
      <c r="AD4394" s="13"/>
      <c r="AE4394" s="13"/>
      <c r="AF4394" s="13"/>
      <c r="AG4394" s="13"/>
      <c r="AH4394" s="13"/>
      <c r="AI4394" s="13"/>
      <c r="AJ4394" s="13"/>
      <c r="AK4394" s="13"/>
      <c r="AL4394" s="13"/>
      <c r="AM4394" s="13"/>
      <c r="AN4394" s="13"/>
      <c r="AO4394" s="13"/>
      <c r="AP4394" s="13"/>
      <c r="AQ4394" s="13"/>
      <c r="AR4394" s="13"/>
      <c r="AS4394" s="13"/>
    </row>
    <row r="4395" ht="14.25" customHeight="1">
      <c r="A4395" s="13" t="s">
        <v>46</v>
      </c>
      <c r="B4395" s="13" t="s">
        <v>53</v>
      </c>
      <c r="C4395" s="13">
        <v>63.0</v>
      </c>
      <c r="D4395" s="13" t="s">
        <v>178</v>
      </c>
      <c r="E4395" s="13"/>
      <c r="F4395" s="13"/>
      <c r="G4395" s="13" t="s">
        <v>74</v>
      </c>
      <c r="H4395" s="13" t="s">
        <v>75</v>
      </c>
      <c r="I4395" s="13"/>
      <c r="J4395" s="13"/>
      <c r="K4395" s="15">
        <v>0.0</v>
      </c>
      <c r="L4395" s="15">
        <v>0.0</v>
      </c>
      <c r="M4395" s="16"/>
      <c r="N4395" s="16"/>
      <c r="O4395" s="17"/>
      <c r="P4395" s="17"/>
      <c r="Q4395" s="13"/>
      <c r="R4395" s="13"/>
      <c r="S4395" s="13"/>
      <c r="T4395" s="13">
        <f t="shared" ref="T4395:Y4395" si="4729">IF(ISBLANK(K4395)=TRUE,0,1)</f>
        <v>1</v>
      </c>
      <c r="U4395" s="13">
        <f t="shared" si="4729"/>
        <v>1</v>
      </c>
      <c r="V4395" s="13">
        <f t="shared" si="4729"/>
        <v>0</v>
      </c>
      <c r="W4395" s="13">
        <f t="shared" si="4729"/>
        <v>0</v>
      </c>
      <c r="X4395" s="13">
        <f t="shared" si="4729"/>
        <v>0</v>
      </c>
      <c r="Y4395" s="13">
        <f t="shared" si="4729"/>
        <v>0</v>
      </c>
      <c r="Z4395" s="13">
        <f t="shared" si="4541"/>
        <v>0</v>
      </c>
      <c r="AA4395" s="13"/>
      <c r="AB4395" s="13"/>
      <c r="AC4395" s="13"/>
      <c r="AD4395" s="13"/>
      <c r="AE4395" s="13"/>
      <c r="AF4395" s="13"/>
      <c r="AG4395" s="13"/>
      <c r="AH4395" s="13"/>
      <c r="AI4395" s="13"/>
      <c r="AJ4395" s="13"/>
      <c r="AK4395" s="13"/>
      <c r="AL4395" s="13"/>
      <c r="AM4395" s="13"/>
      <c r="AN4395" s="13"/>
      <c r="AO4395" s="13"/>
      <c r="AP4395" s="13"/>
      <c r="AQ4395" s="13"/>
      <c r="AR4395" s="13"/>
      <c r="AS4395" s="13"/>
    </row>
    <row r="4396" ht="14.25" customHeight="1">
      <c r="A4396" s="13" t="s">
        <v>46</v>
      </c>
      <c r="B4396" s="13" t="s">
        <v>53</v>
      </c>
      <c r="C4396" s="13">
        <v>63.0</v>
      </c>
      <c r="D4396" s="13" t="s">
        <v>179</v>
      </c>
      <c r="E4396" s="13"/>
      <c r="F4396" s="13"/>
      <c r="G4396" s="13" t="s">
        <v>74</v>
      </c>
      <c r="H4396" s="13" t="s">
        <v>75</v>
      </c>
      <c r="I4396" s="13"/>
      <c r="J4396" s="13"/>
      <c r="K4396" s="15">
        <v>0.0</v>
      </c>
      <c r="L4396" s="15">
        <v>0.0</v>
      </c>
      <c r="M4396" s="16"/>
      <c r="N4396" s="16"/>
      <c r="O4396" s="17"/>
      <c r="P4396" s="17"/>
      <c r="Q4396" s="13"/>
      <c r="R4396" s="13"/>
      <c r="S4396" s="13"/>
      <c r="T4396" s="13">
        <f t="shared" ref="T4396:Y4396" si="4730">IF(ISBLANK(K4396)=TRUE,0,1)</f>
        <v>1</v>
      </c>
      <c r="U4396" s="13">
        <f t="shared" si="4730"/>
        <v>1</v>
      </c>
      <c r="V4396" s="13">
        <f t="shared" si="4730"/>
        <v>0</v>
      </c>
      <c r="W4396" s="13">
        <f t="shared" si="4730"/>
        <v>0</v>
      </c>
      <c r="X4396" s="13">
        <f t="shared" si="4730"/>
        <v>0</v>
      </c>
      <c r="Y4396" s="13">
        <f t="shared" si="4730"/>
        <v>0</v>
      </c>
      <c r="Z4396" s="13">
        <f t="shared" si="4541"/>
        <v>0</v>
      </c>
      <c r="AA4396" s="13"/>
      <c r="AB4396" s="13"/>
      <c r="AC4396" s="13"/>
      <c r="AD4396" s="13"/>
      <c r="AE4396" s="13"/>
      <c r="AF4396" s="13"/>
      <c r="AG4396" s="13"/>
      <c r="AH4396" s="13"/>
      <c r="AI4396" s="13"/>
      <c r="AJ4396" s="13"/>
      <c r="AK4396" s="13"/>
      <c r="AL4396" s="13"/>
      <c r="AM4396" s="13"/>
      <c r="AN4396" s="13"/>
      <c r="AO4396" s="13"/>
      <c r="AP4396" s="13"/>
      <c r="AQ4396" s="13"/>
      <c r="AR4396" s="13"/>
      <c r="AS4396" s="13"/>
    </row>
    <row r="4397" ht="14.25" customHeight="1">
      <c r="A4397" s="13" t="s">
        <v>46</v>
      </c>
      <c r="B4397" s="13" t="s">
        <v>53</v>
      </c>
      <c r="C4397" s="13">
        <v>63.0</v>
      </c>
      <c r="D4397" s="13" t="s">
        <v>180</v>
      </c>
      <c r="E4397" s="13"/>
      <c r="F4397" s="13"/>
      <c r="G4397" s="13" t="s">
        <v>74</v>
      </c>
      <c r="H4397" s="13" t="s">
        <v>75</v>
      </c>
      <c r="I4397" s="13"/>
      <c r="J4397" s="13"/>
      <c r="K4397" s="15">
        <v>0.0</v>
      </c>
      <c r="L4397" s="15">
        <v>0.0</v>
      </c>
      <c r="M4397" s="16"/>
      <c r="N4397" s="16"/>
      <c r="O4397" s="17"/>
      <c r="P4397" s="17"/>
      <c r="Q4397" s="13"/>
      <c r="R4397" s="13"/>
      <c r="S4397" s="13"/>
      <c r="T4397" s="13">
        <f t="shared" ref="T4397:Y4397" si="4731">IF(ISBLANK(K4397)=TRUE,0,1)</f>
        <v>1</v>
      </c>
      <c r="U4397" s="13">
        <f t="shared" si="4731"/>
        <v>1</v>
      </c>
      <c r="V4397" s="13">
        <f t="shared" si="4731"/>
        <v>0</v>
      </c>
      <c r="W4397" s="13">
        <f t="shared" si="4731"/>
        <v>0</v>
      </c>
      <c r="X4397" s="13">
        <f t="shared" si="4731"/>
        <v>0</v>
      </c>
      <c r="Y4397" s="13">
        <f t="shared" si="4731"/>
        <v>0</v>
      </c>
      <c r="Z4397" s="13">
        <f t="shared" si="4541"/>
        <v>0</v>
      </c>
      <c r="AA4397" s="13"/>
      <c r="AB4397" s="13"/>
      <c r="AC4397" s="13"/>
      <c r="AD4397" s="13"/>
      <c r="AE4397" s="13"/>
      <c r="AF4397" s="13"/>
      <c r="AG4397" s="13"/>
      <c r="AH4397" s="13"/>
      <c r="AI4397" s="13"/>
      <c r="AJ4397" s="13"/>
      <c r="AK4397" s="13"/>
      <c r="AL4397" s="13"/>
      <c r="AM4397" s="13"/>
      <c r="AN4397" s="13"/>
      <c r="AO4397" s="13"/>
      <c r="AP4397" s="13"/>
      <c r="AQ4397" s="13"/>
      <c r="AR4397" s="13"/>
      <c r="AS4397" s="13"/>
    </row>
    <row r="4398" ht="14.25" customHeight="1">
      <c r="A4398" s="13" t="s">
        <v>46</v>
      </c>
      <c r="B4398" s="13" t="s">
        <v>53</v>
      </c>
      <c r="C4398" s="13">
        <v>63.0</v>
      </c>
      <c r="D4398" s="13" t="s">
        <v>181</v>
      </c>
      <c r="E4398" s="13"/>
      <c r="F4398" s="13"/>
      <c r="G4398" s="13" t="s">
        <v>74</v>
      </c>
      <c r="H4398" s="13" t="s">
        <v>75</v>
      </c>
      <c r="I4398" s="13"/>
      <c r="J4398" s="13"/>
      <c r="K4398" s="15">
        <v>0.0</v>
      </c>
      <c r="L4398" s="15">
        <v>0.0</v>
      </c>
      <c r="M4398" s="16"/>
      <c r="N4398" s="16"/>
      <c r="O4398" s="17"/>
      <c r="P4398" s="17"/>
      <c r="Q4398" s="13"/>
      <c r="R4398" s="13"/>
      <c r="S4398" s="13"/>
      <c r="T4398" s="13">
        <f t="shared" ref="T4398:Y4398" si="4732">IF(ISBLANK(K4398)=TRUE,0,1)</f>
        <v>1</v>
      </c>
      <c r="U4398" s="13">
        <f t="shared" si="4732"/>
        <v>1</v>
      </c>
      <c r="V4398" s="13">
        <f t="shared" si="4732"/>
        <v>0</v>
      </c>
      <c r="W4398" s="13">
        <f t="shared" si="4732"/>
        <v>0</v>
      </c>
      <c r="X4398" s="13">
        <f t="shared" si="4732"/>
        <v>0</v>
      </c>
      <c r="Y4398" s="13">
        <f t="shared" si="4732"/>
        <v>0</v>
      </c>
      <c r="Z4398" s="13">
        <f t="shared" si="4541"/>
        <v>0</v>
      </c>
      <c r="AA4398" s="13"/>
      <c r="AB4398" s="13"/>
      <c r="AC4398" s="13"/>
      <c r="AD4398" s="13"/>
      <c r="AE4398" s="13"/>
      <c r="AF4398" s="13"/>
      <c r="AG4398" s="13"/>
      <c r="AH4398" s="13"/>
      <c r="AI4398" s="13"/>
      <c r="AJ4398" s="13"/>
      <c r="AK4398" s="13"/>
      <c r="AL4398" s="13"/>
      <c r="AM4398" s="13"/>
      <c r="AN4398" s="13"/>
      <c r="AO4398" s="13"/>
      <c r="AP4398" s="13"/>
      <c r="AQ4398" s="13"/>
      <c r="AR4398" s="13"/>
      <c r="AS4398" s="13"/>
    </row>
    <row r="4399" ht="14.25" customHeight="1">
      <c r="A4399" s="13" t="s">
        <v>46</v>
      </c>
      <c r="B4399" s="13" t="s">
        <v>53</v>
      </c>
      <c r="C4399" s="13">
        <v>63.0</v>
      </c>
      <c r="D4399" s="13" t="s">
        <v>182</v>
      </c>
      <c r="E4399" s="13"/>
      <c r="F4399" s="13"/>
      <c r="G4399" s="13" t="s">
        <v>74</v>
      </c>
      <c r="H4399" s="13" t="s">
        <v>75</v>
      </c>
      <c r="I4399" s="13"/>
      <c r="J4399" s="13"/>
      <c r="K4399" s="15">
        <v>0.0</v>
      </c>
      <c r="L4399" s="15">
        <v>0.0</v>
      </c>
      <c r="M4399" s="16"/>
      <c r="N4399" s="16"/>
      <c r="O4399" s="17"/>
      <c r="P4399" s="17"/>
      <c r="Q4399" s="13"/>
      <c r="R4399" s="13"/>
      <c r="S4399" s="13"/>
      <c r="T4399" s="13">
        <f t="shared" ref="T4399:Y4399" si="4733">IF(ISBLANK(K4399)=TRUE,0,1)</f>
        <v>1</v>
      </c>
      <c r="U4399" s="13">
        <f t="shared" si="4733"/>
        <v>1</v>
      </c>
      <c r="V4399" s="13">
        <f t="shared" si="4733"/>
        <v>0</v>
      </c>
      <c r="W4399" s="13">
        <f t="shared" si="4733"/>
        <v>0</v>
      </c>
      <c r="X4399" s="13">
        <f t="shared" si="4733"/>
        <v>0</v>
      </c>
      <c r="Y4399" s="13">
        <f t="shared" si="4733"/>
        <v>0</v>
      </c>
      <c r="Z4399" s="13">
        <f t="shared" si="4541"/>
        <v>0</v>
      </c>
      <c r="AA4399" s="13"/>
      <c r="AB4399" s="13"/>
      <c r="AC4399" s="13"/>
      <c r="AD4399" s="13"/>
      <c r="AE4399" s="13"/>
      <c r="AF4399" s="13"/>
      <c r="AG4399" s="13"/>
      <c r="AH4399" s="13"/>
      <c r="AI4399" s="13"/>
      <c r="AJ4399" s="13"/>
      <c r="AK4399" s="13"/>
      <c r="AL4399" s="13"/>
      <c r="AM4399" s="13"/>
      <c r="AN4399" s="13"/>
      <c r="AO4399" s="13"/>
      <c r="AP4399" s="13"/>
      <c r="AQ4399" s="13"/>
      <c r="AR4399" s="13"/>
      <c r="AS4399" s="13"/>
    </row>
    <row r="4400" ht="14.25" customHeight="1">
      <c r="A4400" s="13" t="s">
        <v>46</v>
      </c>
      <c r="B4400" s="13" t="s">
        <v>53</v>
      </c>
      <c r="C4400" s="13">
        <v>63.0</v>
      </c>
      <c r="D4400" s="13" t="s">
        <v>183</v>
      </c>
      <c r="E4400" s="13"/>
      <c r="F4400" s="13"/>
      <c r="G4400" s="13" t="s">
        <v>74</v>
      </c>
      <c r="H4400" s="13" t="s">
        <v>75</v>
      </c>
      <c r="I4400" s="13"/>
      <c r="J4400" s="13"/>
      <c r="K4400" s="15">
        <v>0.0</v>
      </c>
      <c r="L4400" s="15">
        <v>0.0</v>
      </c>
      <c r="M4400" s="16"/>
      <c r="N4400" s="16"/>
      <c r="O4400" s="17"/>
      <c r="P4400" s="17"/>
      <c r="Q4400" s="13"/>
      <c r="R4400" s="13"/>
      <c r="S4400" s="13"/>
      <c r="T4400" s="13">
        <f t="shared" ref="T4400:Y4400" si="4734">IF(ISBLANK(K4400)=TRUE,0,1)</f>
        <v>1</v>
      </c>
      <c r="U4400" s="13">
        <f t="shared" si="4734"/>
        <v>1</v>
      </c>
      <c r="V4400" s="13">
        <f t="shared" si="4734"/>
        <v>0</v>
      </c>
      <c r="W4400" s="13">
        <f t="shared" si="4734"/>
        <v>0</v>
      </c>
      <c r="X4400" s="13">
        <f t="shared" si="4734"/>
        <v>0</v>
      </c>
      <c r="Y4400" s="13">
        <f t="shared" si="4734"/>
        <v>0</v>
      </c>
      <c r="Z4400" s="13">
        <f t="shared" si="4541"/>
        <v>0</v>
      </c>
      <c r="AA4400" s="13"/>
      <c r="AB4400" s="13"/>
      <c r="AC4400" s="13"/>
      <c r="AD4400" s="13"/>
      <c r="AE4400" s="13"/>
      <c r="AF4400" s="13"/>
      <c r="AG4400" s="13"/>
      <c r="AH4400" s="13"/>
      <c r="AI4400" s="13"/>
      <c r="AJ4400" s="13"/>
      <c r="AK4400" s="13"/>
      <c r="AL4400" s="13"/>
      <c r="AM4400" s="13"/>
      <c r="AN4400" s="13"/>
      <c r="AO4400" s="13"/>
      <c r="AP4400" s="13"/>
      <c r="AQ4400" s="13"/>
      <c r="AR4400" s="13"/>
      <c r="AS4400" s="13"/>
    </row>
    <row r="4401" ht="14.25" customHeight="1">
      <c r="A4401" s="13" t="s">
        <v>46</v>
      </c>
      <c r="B4401" s="13" t="s">
        <v>53</v>
      </c>
      <c r="C4401" s="13">
        <v>103.0</v>
      </c>
      <c r="D4401" s="13" t="s">
        <v>174</v>
      </c>
      <c r="E4401" s="13"/>
      <c r="F4401" s="13"/>
      <c r="G4401" s="13" t="s">
        <v>74</v>
      </c>
      <c r="H4401" s="13" t="s">
        <v>75</v>
      </c>
      <c r="I4401" s="13"/>
      <c r="J4401" s="13"/>
      <c r="K4401" s="15">
        <v>0.0</v>
      </c>
      <c r="L4401" s="15">
        <v>0.0</v>
      </c>
      <c r="M4401" s="16"/>
      <c r="N4401" s="16"/>
      <c r="O4401" s="17"/>
      <c r="P4401" s="17"/>
      <c r="Q4401" s="13"/>
      <c r="R4401" s="13"/>
      <c r="S4401" s="13"/>
      <c r="T4401" s="13">
        <f t="shared" ref="T4401:Y4401" si="4735">IF(ISBLANK(K4401)=TRUE,0,1)</f>
        <v>1</v>
      </c>
      <c r="U4401" s="13">
        <f t="shared" si="4735"/>
        <v>1</v>
      </c>
      <c r="V4401" s="13">
        <f t="shared" si="4735"/>
        <v>0</v>
      </c>
      <c r="W4401" s="13">
        <f t="shared" si="4735"/>
        <v>0</v>
      </c>
      <c r="X4401" s="13">
        <f t="shared" si="4735"/>
        <v>0</v>
      </c>
      <c r="Y4401" s="13">
        <f t="shared" si="4735"/>
        <v>0</v>
      </c>
      <c r="Z4401" s="13">
        <f t="shared" si="4541"/>
        <v>0</v>
      </c>
      <c r="AA4401" s="13"/>
      <c r="AB4401" s="13"/>
      <c r="AC4401" s="13"/>
      <c r="AD4401" s="13"/>
      <c r="AE4401" s="13"/>
      <c r="AF4401" s="13"/>
      <c r="AG4401" s="13"/>
      <c r="AH4401" s="13"/>
      <c r="AI4401" s="13"/>
      <c r="AJ4401" s="13"/>
      <c r="AK4401" s="13"/>
      <c r="AL4401" s="13"/>
      <c r="AM4401" s="13"/>
      <c r="AN4401" s="13"/>
      <c r="AO4401" s="13"/>
      <c r="AP4401" s="13"/>
      <c r="AQ4401" s="13"/>
      <c r="AR4401" s="13"/>
      <c r="AS4401" s="13"/>
    </row>
    <row r="4402" ht="14.25" customHeight="1">
      <c r="A4402" s="13" t="s">
        <v>46</v>
      </c>
      <c r="B4402" s="13" t="s">
        <v>53</v>
      </c>
      <c r="C4402" s="13">
        <v>103.0</v>
      </c>
      <c r="D4402" s="13" t="s">
        <v>175</v>
      </c>
      <c r="E4402" s="13"/>
      <c r="F4402" s="13"/>
      <c r="G4402" s="13" t="s">
        <v>74</v>
      </c>
      <c r="H4402" s="13" t="s">
        <v>75</v>
      </c>
      <c r="I4402" s="13"/>
      <c r="J4402" s="13"/>
      <c r="K4402" s="15">
        <v>0.0</v>
      </c>
      <c r="L4402" s="15">
        <v>0.0</v>
      </c>
      <c r="M4402" s="16"/>
      <c r="N4402" s="16"/>
      <c r="O4402" s="17"/>
      <c r="P4402" s="17"/>
      <c r="Q4402" s="13"/>
      <c r="R4402" s="13"/>
      <c r="S4402" s="13"/>
      <c r="T4402" s="13">
        <f t="shared" ref="T4402:Y4402" si="4736">IF(ISBLANK(K4402)=TRUE,0,1)</f>
        <v>1</v>
      </c>
      <c r="U4402" s="13">
        <f t="shared" si="4736"/>
        <v>1</v>
      </c>
      <c r="V4402" s="13">
        <f t="shared" si="4736"/>
        <v>0</v>
      </c>
      <c r="W4402" s="13">
        <f t="shared" si="4736"/>
        <v>0</v>
      </c>
      <c r="X4402" s="13">
        <f t="shared" si="4736"/>
        <v>0</v>
      </c>
      <c r="Y4402" s="13">
        <f t="shared" si="4736"/>
        <v>0</v>
      </c>
      <c r="Z4402" s="13">
        <f t="shared" si="4541"/>
        <v>0</v>
      </c>
      <c r="AA4402" s="13"/>
      <c r="AB4402" s="13"/>
      <c r="AC4402" s="13"/>
      <c r="AD4402" s="13"/>
      <c r="AE4402" s="13"/>
      <c r="AF4402" s="13"/>
      <c r="AG4402" s="13"/>
      <c r="AH4402" s="13"/>
      <c r="AI4402" s="13"/>
      <c r="AJ4402" s="13"/>
      <c r="AK4402" s="13"/>
      <c r="AL4402" s="13"/>
      <c r="AM4402" s="13"/>
      <c r="AN4402" s="13"/>
      <c r="AO4402" s="13"/>
      <c r="AP4402" s="13"/>
      <c r="AQ4402" s="13"/>
      <c r="AR4402" s="13"/>
      <c r="AS4402" s="13"/>
    </row>
    <row r="4403" ht="14.25" customHeight="1">
      <c r="A4403" s="13" t="s">
        <v>46</v>
      </c>
      <c r="B4403" s="13" t="s">
        <v>53</v>
      </c>
      <c r="C4403" s="13">
        <v>103.0</v>
      </c>
      <c r="D4403" s="13" t="s">
        <v>176</v>
      </c>
      <c r="E4403" s="13"/>
      <c r="F4403" s="13"/>
      <c r="G4403" s="13" t="s">
        <v>74</v>
      </c>
      <c r="H4403" s="13" t="s">
        <v>75</v>
      </c>
      <c r="I4403" s="13"/>
      <c r="J4403" s="13"/>
      <c r="K4403" s="15">
        <v>0.0</v>
      </c>
      <c r="L4403" s="15">
        <v>0.0</v>
      </c>
      <c r="M4403" s="16"/>
      <c r="N4403" s="16"/>
      <c r="O4403" s="17"/>
      <c r="P4403" s="17"/>
      <c r="Q4403" s="13"/>
      <c r="R4403" s="13"/>
      <c r="S4403" s="13"/>
      <c r="T4403" s="13">
        <f t="shared" ref="T4403:Y4403" si="4737">IF(ISBLANK(K4403)=TRUE,0,1)</f>
        <v>1</v>
      </c>
      <c r="U4403" s="13">
        <f t="shared" si="4737"/>
        <v>1</v>
      </c>
      <c r="V4403" s="13">
        <f t="shared" si="4737"/>
        <v>0</v>
      </c>
      <c r="W4403" s="13">
        <f t="shared" si="4737"/>
        <v>0</v>
      </c>
      <c r="X4403" s="13">
        <f t="shared" si="4737"/>
        <v>0</v>
      </c>
      <c r="Y4403" s="13">
        <f t="shared" si="4737"/>
        <v>0</v>
      </c>
      <c r="Z4403" s="13">
        <f t="shared" si="4541"/>
        <v>0</v>
      </c>
      <c r="AA4403" s="13"/>
      <c r="AB4403" s="13"/>
      <c r="AC4403" s="13"/>
      <c r="AD4403" s="13"/>
      <c r="AE4403" s="13"/>
      <c r="AF4403" s="13"/>
      <c r="AG4403" s="13"/>
      <c r="AH4403" s="13"/>
      <c r="AI4403" s="13"/>
      <c r="AJ4403" s="13"/>
      <c r="AK4403" s="13"/>
      <c r="AL4403" s="13"/>
      <c r="AM4403" s="13"/>
      <c r="AN4403" s="13"/>
      <c r="AO4403" s="13"/>
      <c r="AP4403" s="13"/>
      <c r="AQ4403" s="13"/>
      <c r="AR4403" s="13"/>
      <c r="AS4403" s="13"/>
    </row>
    <row r="4404" ht="14.25" customHeight="1">
      <c r="A4404" s="13" t="s">
        <v>46</v>
      </c>
      <c r="B4404" s="13" t="s">
        <v>53</v>
      </c>
      <c r="C4404" s="13">
        <v>103.0</v>
      </c>
      <c r="D4404" s="13" t="s">
        <v>177</v>
      </c>
      <c r="E4404" s="13"/>
      <c r="F4404" s="13"/>
      <c r="G4404" s="13" t="s">
        <v>74</v>
      </c>
      <c r="H4404" s="13" t="s">
        <v>75</v>
      </c>
      <c r="I4404" s="13"/>
      <c r="J4404" s="13"/>
      <c r="K4404" s="15">
        <v>0.0</v>
      </c>
      <c r="L4404" s="15">
        <v>0.0</v>
      </c>
      <c r="M4404" s="16"/>
      <c r="N4404" s="16"/>
      <c r="O4404" s="17"/>
      <c r="P4404" s="17"/>
      <c r="Q4404" s="13"/>
      <c r="R4404" s="13"/>
      <c r="S4404" s="13"/>
      <c r="T4404" s="13">
        <f t="shared" ref="T4404:Y4404" si="4738">IF(ISBLANK(K4404)=TRUE,0,1)</f>
        <v>1</v>
      </c>
      <c r="U4404" s="13">
        <f t="shared" si="4738"/>
        <v>1</v>
      </c>
      <c r="V4404" s="13">
        <f t="shared" si="4738"/>
        <v>0</v>
      </c>
      <c r="W4404" s="13">
        <f t="shared" si="4738"/>
        <v>0</v>
      </c>
      <c r="X4404" s="13">
        <f t="shared" si="4738"/>
        <v>0</v>
      </c>
      <c r="Y4404" s="13">
        <f t="shared" si="4738"/>
        <v>0</v>
      </c>
      <c r="Z4404" s="13">
        <f t="shared" si="4541"/>
        <v>0</v>
      </c>
      <c r="AA4404" s="13"/>
      <c r="AB4404" s="13"/>
      <c r="AC4404" s="13"/>
      <c r="AD4404" s="13"/>
      <c r="AE4404" s="13"/>
      <c r="AF4404" s="13"/>
      <c r="AG4404" s="13"/>
      <c r="AH4404" s="13"/>
      <c r="AI4404" s="13"/>
      <c r="AJ4404" s="13"/>
      <c r="AK4404" s="13"/>
      <c r="AL4404" s="13"/>
      <c r="AM4404" s="13"/>
      <c r="AN4404" s="13"/>
      <c r="AO4404" s="13"/>
      <c r="AP4404" s="13"/>
      <c r="AQ4404" s="13"/>
      <c r="AR4404" s="13"/>
      <c r="AS4404" s="13"/>
    </row>
    <row r="4405" ht="14.25" customHeight="1">
      <c r="A4405" s="13" t="s">
        <v>46</v>
      </c>
      <c r="B4405" s="13" t="s">
        <v>53</v>
      </c>
      <c r="C4405" s="13">
        <v>103.0</v>
      </c>
      <c r="D4405" s="13" t="s">
        <v>178</v>
      </c>
      <c r="E4405" s="13"/>
      <c r="F4405" s="13"/>
      <c r="G4405" s="13" t="s">
        <v>74</v>
      </c>
      <c r="H4405" s="13" t="s">
        <v>75</v>
      </c>
      <c r="I4405" s="13"/>
      <c r="J4405" s="13"/>
      <c r="K4405" s="15">
        <v>0.0</v>
      </c>
      <c r="L4405" s="15">
        <v>0.0</v>
      </c>
      <c r="M4405" s="16"/>
      <c r="N4405" s="16"/>
      <c r="O4405" s="17"/>
      <c r="P4405" s="17"/>
      <c r="Q4405" s="13"/>
      <c r="R4405" s="13"/>
      <c r="S4405" s="13"/>
      <c r="T4405" s="13">
        <f t="shared" ref="T4405:Y4405" si="4739">IF(ISBLANK(K4405)=TRUE,0,1)</f>
        <v>1</v>
      </c>
      <c r="U4405" s="13">
        <f t="shared" si="4739"/>
        <v>1</v>
      </c>
      <c r="V4405" s="13">
        <f t="shared" si="4739"/>
        <v>0</v>
      </c>
      <c r="W4405" s="13">
        <f t="shared" si="4739"/>
        <v>0</v>
      </c>
      <c r="X4405" s="13">
        <f t="shared" si="4739"/>
        <v>0</v>
      </c>
      <c r="Y4405" s="13">
        <f t="shared" si="4739"/>
        <v>0</v>
      </c>
      <c r="Z4405" s="13">
        <f t="shared" si="4541"/>
        <v>0</v>
      </c>
      <c r="AA4405" s="13"/>
      <c r="AB4405" s="13"/>
      <c r="AC4405" s="13"/>
      <c r="AD4405" s="13"/>
      <c r="AE4405" s="13"/>
      <c r="AF4405" s="13"/>
      <c r="AG4405" s="13"/>
      <c r="AH4405" s="13"/>
      <c r="AI4405" s="13"/>
      <c r="AJ4405" s="13"/>
      <c r="AK4405" s="13"/>
      <c r="AL4405" s="13"/>
      <c r="AM4405" s="13"/>
      <c r="AN4405" s="13"/>
      <c r="AO4405" s="13"/>
      <c r="AP4405" s="13"/>
      <c r="AQ4405" s="13"/>
      <c r="AR4405" s="13"/>
      <c r="AS4405" s="13"/>
    </row>
    <row r="4406" ht="14.25" customHeight="1">
      <c r="A4406" s="13" t="s">
        <v>46</v>
      </c>
      <c r="B4406" s="13" t="s">
        <v>53</v>
      </c>
      <c r="C4406" s="13">
        <v>103.0</v>
      </c>
      <c r="D4406" s="13" t="s">
        <v>179</v>
      </c>
      <c r="E4406" s="13"/>
      <c r="F4406" s="13"/>
      <c r="G4406" s="13" t="s">
        <v>74</v>
      </c>
      <c r="H4406" s="13" t="s">
        <v>75</v>
      </c>
      <c r="I4406" s="13"/>
      <c r="J4406" s="13"/>
      <c r="K4406" s="15">
        <v>0.0</v>
      </c>
      <c r="L4406" s="15">
        <v>0.0</v>
      </c>
      <c r="M4406" s="16"/>
      <c r="N4406" s="16"/>
      <c r="O4406" s="17"/>
      <c r="P4406" s="17"/>
      <c r="Q4406" s="13"/>
      <c r="R4406" s="13"/>
      <c r="S4406" s="13"/>
      <c r="T4406" s="13">
        <f t="shared" ref="T4406:Y4406" si="4740">IF(ISBLANK(K4406)=TRUE,0,1)</f>
        <v>1</v>
      </c>
      <c r="U4406" s="13">
        <f t="shared" si="4740"/>
        <v>1</v>
      </c>
      <c r="V4406" s="13">
        <f t="shared" si="4740"/>
        <v>0</v>
      </c>
      <c r="W4406" s="13">
        <f t="shared" si="4740"/>
        <v>0</v>
      </c>
      <c r="X4406" s="13">
        <f t="shared" si="4740"/>
        <v>0</v>
      </c>
      <c r="Y4406" s="13">
        <f t="shared" si="4740"/>
        <v>0</v>
      </c>
      <c r="Z4406" s="13">
        <f t="shared" si="4541"/>
        <v>0</v>
      </c>
      <c r="AA4406" s="13"/>
      <c r="AB4406" s="13"/>
      <c r="AC4406" s="13"/>
      <c r="AD4406" s="13"/>
      <c r="AE4406" s="13"/>
      <c r="AF4406" s="13"/>
      <c r="AG4406" s="13"/>
      <c r="AH4406" s="13"/>
      <c r="AI4406" s="13"/>
      <c r="AJ4406" s="13"/>
      <c r="AK4406" s="13"/>
      <c r="AL4406" s="13"/>
      <c r="AM4406" s="13"/>
      <c r="AN4406" s="13"/>
      <c r="AO4406" s="13"/>
      <c r="AP4406" s="13"/>
      <c r="AQ4406" s="13"/>
      <c r="AR4406" s="13"/>
      <c r="AS4406" s="13"/>
    </row>
    <row r="4407" ht="14.25" customHeight="1">
      <c r="A4407" s="13" t="s">
        <v>46</v>
      </c>
      <c r="B4407" s="13" t="s">
        <v>53</v>
      </c>
      <c r="C4407" s="13">
        <v>103.0</v>
      </c>
      <c r="D4407" s="13" t="s">
        <v>180</v>
      </c>
      <c r="E4407" s="13"/>
      <c r="F4407" s="13"/>
      <c r="G4407" s="13" t="s">
        <v>74</v>
      </c>
      <c r="H4407" s="13" t="s">
        <v>75</v>
      </c>
      <c r="I4407" s="13"/>
      <c r="J4407" s="13"/>
      <c r="K4407" s="15">
        <v>0.0</v>
      </c>
      <c r="L4407" s="15">
        <v>0.0</v>
      </c>
      <c r="M4407" s="16"/>
      <c r="N4407" s="16"/>
      <c r="O4407" s="17"/>
      <c r="P4407" s="17"/>
      <c r="Q4407" s="13"/>
      <c r="R4407" s="13"/>
      <c r="S4407" s="13"/>
      <c r="T4407" s="13">
        <f t="shared" ref="T4407:Y4407" si="4741">IF(ISBLANK(K4407)=TRUE,0,1)</f>
        <v>1</v>
      </c>
      <c r="U4407" s="13">
        <f t="shared" si="4741"/>
        <v>1</v>
      </c>
      <c r="V4407" s="13">
        <f t="shared" si="4741"/>
        <v>0</v>
      </c>
      <c r="W4407" s="13">
        <f t="shared" si="4741"/>
        <v>0</v>
      </c>
      <c r="X4407" s="13">
        <f t="shared" si="4741"/>
        <v>0</v>
      </c>
      <c r="Y4407" s="13">
        <f t="shared" si="4741"/>
        <v>0</v>
      </c>
      <c r="Z4407" s="13">
        <f t="shared" si="4541"/>
        <v>0</v>
      </c>
      <c r="AA4407" s="13"/>
      <c r="AB4407" s="13"/>
      <c r="AC4407" s="13"/>
      <c r="AD4407" s="13"/>
      <c r="AE4407" s="13"/>
      <c r="AF4407" s="13"/>
      <c r="AG4407" s="13"/>
      <c r="AH4407" s="13"/>
      <c r="AI4407" s="13"/>
      <c r="AJ4407" s="13"/>
      <c r="AK4407" s="13"/>
      <c r="AL4407" s="13"/>
      <c r="AM4407" s="13"/>
      <c r="AN4407" s="13"/>
      <c r="AO4407" s="13"/>
      <c r="AP4407" s="13"/>
      <c r="AQ4407" s="13"/>
      <c r="AR4407" s="13"/>
      <c r="AS4407" s="13"/>
    </row>
    <row r="4408" ht="14.25" customHeight="1">
      <c r="A4408" s="13" t="s">
        <v>46</v>
      </c>
      <c r="B4408" s="13" t="s">
        <v>53</v>
      </c>
      <c r="C4408" s="13">
        <v>103.0</v>
      </c>
      <c r="D4408" s="13" t="s">
        <v>181</v>
      </c>
      <c r="E4408" s="13"/>
      <c r="F4408" s="13"/>
      <c r="G4408" s="13" t="s">
        <v>74</v>
      </c>
      <c r="H4408" s="13" t="s">
        <v>75</v>
      </c>
      <c r="I4408" s="13"/>
      <c r="J4408" s="13"/>
      <c r="K4408" s="15">
        <v>0.0</v>
      </c>
      <c r="L4408" s="15">
        <v>0.0</v>
      </c>
      <c r="M4408" s="16"/>
      <c r="N4408" s="16"/>
      <c r="O4408" s="17"/>
      <c r="P4408" s="17"/>
      <c r="Q4408" s="13"/>
      <c r="R4408" s="13"/>
      <c r="S4408" s="13"/>
      <c r="T4408" s="13">
        <f t="shared" ref="T4408:Y4408" si="4742">IF(ISBLANK(K4408)=TRUE,0,1)</f>
        <v>1</v>
      </c>
      <c r="U4408" s="13">
        <f t="shared" si="4742"/>
        <v>1</v>
      </c>
      <c r="V4408" s="13">
        <f t="shared" si="4742"/>
        <v>0</v>
      </c>
      <c r="W4408" s="13">
        <f t="shared" si="4742"/>
        <v>0</v>
      </c>
      <c r="X4408" s="13">
        <f t="shared" si="4742"/>
        <v>0</v>
      </c>
      <c r="Y4408" s="13">
        <f t="shared" si="4742"/>
        <v>0</v>
      </c>
      <c r="Z4408" s="13">
        <f t="shared" si="4541"/>
        <v>0</v>
      </c>
      <c r="AA4408" s="13"/>
      <c r="AB4408" s="13"/>
      <c r="AC4408" s="13"/>
      <c r="AD4408" s="13"/>
      <c r="AE4408" s="13"/>
      <c r="AF4408" s="13"/>
      <c r="AG4408" s="13"/>
      <c r="AH4408" s="13"/>
      <c r="AI4408" s="13"/>
      <c r="AJ4408" s="13"/>
      <c r="AK4408" s="13"/>
      <c r="AL4408" s="13"/>
      <c r="AM4408" s="13"/>
      <c r="AN4408" s="13"/>
      <c r="AO4408" s="13"/>
      <c r="AP4408" s="13"/>
      <c r="AQ4408" s="13"/>
      <c r="AR4408" s="13"/>
      <c r="AS4408" s="13"/>
    </row>
    <row r="4409" ht="14.25" customHeight="1">
      <c r="A4409" s="13" t="s">
        <v>46</v>
      </c>
      <c r="B4409" s="13" t="s">
        <v>53</v>
      </c>
      <c r="C4409" s="13">
        <v>103.0</v>
      </c>
      <c r="D4409" s="13" t="s">
        <v>182</v>
      </c>
      <c r="E4409" s="13"/>
      <c r="F4409" s="13"/>
      <c r="G4409" s="13" t="s">
        <v>74</v>
      </c>
      <c r="H4409" s="13" t="s">
        <v>75</v>
      </c>
      <c r="I4409" s="13"/>
      <c r="J4409" s="13"/>
      <c r="K4409" s="15">
        <v>0.0</v>
      </c>
      <c r="L4409" s="15">
        <v>0.0</v>
      </c>
      <c r="M4409" s="16"/>
      <c r="N4409" s="16"/>
      <c r="O4409" s="17"/>
      <c r="P4409" s="17"/>
      <c r="Q4409" s="13"/>
      <c r="R4409" s="13"/>
      <c r="S4409" s="13"/>
      <c r="T4409" s="13">
        <f t="shared" ref="T4409:Y4409" si="4743">IF(ISBLANK(K4409)=TRUE,0,1)</f>
        <v>1</v>
      </c>
      <c r="U4409" s="13">
        <f t="shared" si="4743"/>
        <v>1</v>
      </c>
      <c r="V4409" s="13">
        <f t="shared" si="4743"/>
        <v>0</v>
      </c>
      <c r="W4409" s="13">
        <f t="shared" si="4743"/>
        <v>0</v>
      </c>
      <c r="X4409" s="13">
        <f t="shared" si="4743"/>
        <v>0</v>
      </c>
      <c r="Y4409" s="13">
        <f t="shared" si="4743"/>
        <v>0</v>
      </c>
      <c r="Z4409" s="13">
        <f t="shared" si="4541"/>
        <v>0</v>
      </c>
      <c r="AA4409" s="13"/>
      <c r="AB4409" s="13"/>
      <c r="AC4409" s="13"/>
      <c r="AD4409" s="13"/>
      <c r="AE4409" s="13"/>
      <c r="AF4409" s="13"/>
      <c r="AG4409" s="13"/>
      <c r="AH4409" s="13"/>
      <c r="AI4409" s="13"/>
      <c r="AJ4409" s="13"/>
      <c r="AK4409" s="13"/>
      <c r="AL4409" s="13"/>
      <c r="AM4409" s="13"/>
      <c r="AN4409" s="13"/>
      <c r="AO4409" s="13"/>
      <c r="AP4409" s="13"/>
      <c r="AQ4409" s="13"/>
      <c r="AR4409" s="13"/>
      <c r="AS4409" s="13"/>
    </row>
    <row r="4410" ht="14.25" customHeight="1">
      <c r="A4410" s="13" t="s">
        <v>46</v>
      </c>
      <c r="B4410" s="13" t="s">
        <v>53</v>
      </c>
      <c r="C4410" s="13">
        <v>103.0</v>
      </c>
      <c r="D4410" s="13" t="s">
        <v>183</v>
      </c>
      <c r="E4410" s="13"/>
      <c r="F4410" s="13"/>
      <c r="G4410" s="13" t="s">
        <v>74</v>
      </c>
      <c r="H4410" s="13" t="s">
        <v>75</v>
      </c>
      <c r="I4410" s="13"/>
      <c r="J4410" s="13"/>
      <c r="K4410" s="15">
        <v>0.0</v>
      </c>
      <c r="L4410" s="15">
        <v>0.0</v>
      </c>
      <c r="M4410" s="16"/>
      <c r="N4410" s="16"/>
      <c r="O4410" s="17"/>
      <c r="P4410" s="17"/>
      <c r="Q4410" s="13"/>
      <c r="R4410" s="13"/>
      <c r="S4410" s="13"/>
      <c r="T4410" s="13">
        <f t="shared" ref="T4410:Y4410" si="4744">IF(ISBLANK(K4410)=TRUE,0,1)</f>
        <v>1</v>
      </c>
      <c r="U4410" s="13">
        <f t="shared" si="4744"/>
        <v>1</v>
      </c>
      <c r="V4410" s="13">
        <f t="shared" si="4744"/>
        <v>0</v>
      </c>
      <c r="W4410" s="13">
        <f t="shared" si="4744"/>
        <v>0</v>
      </c>
      <c r="X4410" s="13">
        <f t="shared" si="4744"/>
        <v>0</v>
      </c>
      <c r="Y4410" s="13">
        <f t="shared" si="4744"/>
        <v>0</v>
      </c>
      <c r="Z4410" s="13">
        <f t="shared" si="4541"/>
        <v>0</v>
      </c>
      <c r="AA4410" s="13"/>
      <c r="AB4410" s="13"/>
      <c r="AC4410" s="13"/>
      <c r="AD4410" s="13"/>
      <c r="AE4410" s="13"/>
      <c r="AF4410" s="13"/>
      <c r="AG4410" s="13"/>
      <c r="AH4410" s="13"/>
      <c r="AI4410" s="13"/>
      <c r="AJ4410" s="13"/>
      <c r="AK4410" s="13"/>
      <c r="AL4410" s="13"/>
      <c r="AM4410" s="13"/>
      <c r="AN4410" s="13"/>
      <c r="AO4410" s="13"/>
      <c r="AP4410" s="13"/>
      <c r="AQ4410" s="13"/>
      <c r="AR4410" s="13"/>
      <c r="AS4410" s="13"/>
    </row>
    <row r="4411" ht="14.25" customHeight="1">
      <c r="A4411" s="13" t="s">
        <v>46</v>
      </c>
      <c r="B4411" s="13" t="s">
        <v>53</v>
      </c>
      <c r="C4411" s="13">
        <v>80.0</v>
      </c>
      <c r="D4411" s="13" t="s">
        <v>174</v>
      </c>
      <c r="E4411" s="13"/>
      <c r="F4411" s="13"/>
      <c r="G4411" s="13" t="s">
        <v>74</v>
      </c>
      <c r="H4411" s="13" t="s">
        <v>75</v>
      </c>
      <c r="I4411" s="13"/>
      <c r="J4411" s="13"/>
      <c r="K4411" s="15">
        <v>0.0</v>
      </c>
      <c r="L4411" s="15">
        <v>0.0</v>
      </c>
      <c r="M4411" s="16"/>
      <c r="N4411" s="16"/>
      <c r="O4411" s="17"/>
      <c r="P4411" s="17"/>
      <c r="Q4411" s="13"/>
      <c r="R4411" s="13"/>
      <c r="S4411" s="13"/>
      <c r="T4411" s="13">
        <f t="shared" ref="T4411:Y4411" si="4745">IF(ISBLANK(K4411)=TRUE,0,1)</f>
        <v>1</v>
      </c>
      <c r="U4411" s="13">
        <f t="shared" si="4745"/>
        <v>1</v>
      </c>
      <c r="V4411" s="13">
        <f t="shared" si="4745"/>
        <v>0</v>
      </c>
      <c r="W4411" s="13">
        <f t="shared" si="4745"/>
        <v>0</v>
      </c>
      <c r="X4411" s="13">
        <f t="shared" si="4745"/>
        <v>0</v>
      </c>
      <c r="Y4411" s="13">
        <f t="shared" si="4745"/>
        <v>0</v>
      </c>
      <c r="Z4411" s="13">
        <f t="shared" si="4541"/>
        <v>0</v>
      </c>
      <c r="AA4411" s="13"/>
      <c r="AB4411" s="13"/>
      <c r="AC4411" s="13"/>
      <c r="AD4411" s="13"/>
      <c r="AE4411" s="13"/>
      <c r="AF4411" s="13"/>
      <c r="AG4411" s="13"/>
      <c r="AH4411" s="13"/>
      <c r="AI4411" s="13"/>
      <c r="AJ4411" s="13"/>
      <c r="AK4411" s="13"/>
      <c r="AL4411" s="13"/>
      <c r="AM4411" s="13"/>
      <c r="AN4411" s="13"/>
      <c r="AO4411" s="13"/>
      <c r="AP4411" s="13"/>
      <c r="AQ4411" s="13"/>
      <c r="AR4411" s="13"/>
      <c r="AS4411" s="13"/>
    </row>
    <row r="4412" ht="14.25" customHeight="1">
      <c r="A4412" s="13" t="s">
        <v>46</v>
      </c>
      <c r="B4412" s="13" t="s">
        <v>53</v>
      </c>
      <c r="C4412" s="13">
        <v>80.0</v>
      </c>
      <c r="D4412" s="13" t="s">
        <v>175</v>
      </c>
      <c r="E4412" s="13"/>
      <c r="F4412" s="13"/>
      <c r="G4412" s="13" t="s">
        <v>74</v>
      </c>
      <c r="H4412" s="13" t="s">
        <v>75</v>
      </c>
      <c r="I4412" s="13"/>
      <c r="J4412" s="13"/>
      <c r="K4412" s="15">
        <v>0.0</v>
      </c>
      <c r="L4412" s="15">
        <v>0.0</v>
      </c>
      <c r="M4412" s="16"/>
      <c r="N4412" s="16"/>
      <c r="O4412" s="17"/>
      <c r="P4412" s="17"/>
      <c r="Q4412" s="13"/>
      <c r="R4412" s="13"/>
      <c r="S4412" s="13"/>
      <c r="T4412" s="13">
        <f t="shared" ref="T4412:Y4412" si="4746">IF(ISBLANK(K4412)=TRUE,0,1)</f>
        <v>1</v>
      </c>
      <c r="U4412" s="13">
        <f t="shared" si="4746"/>
        <v>1</v>
      </c>
      <c r="V4412" s="13">
        <f t="shared" si="4746"/>
        <v>0</v>
      </c>
      <c r="W4412" s="13">
        <f t="shared" si="4746"/>
        <v>0</v>
      </c>
      <c r="X4412" s="13">
        <f t="shared" si="4746"/>
        <v>0</v>
      </c>
      <c r="Y4412" s="13">
        <f t="shared" si="4746"/>
        <v>0</v>
      </c>
      <c r="Z4412" s="13">
        <f t="shared" si="4541"/>
        <v>0</v>
      </c>
      <c r="AA4412" s="13"/>
      <c r="AB4412" s="13"/>
      <c r="AC4412" s="13"/>
      <c r="AD4412" s="13"/>
      <c r="AE4412" s="13"/>
      <c r="AF4412" s="13"/>
      <c r="AG4412" s="13"/>
      <c r="AH4412" s="13"/>
      <c r="AI4412" s="13"/>
      <c r="AJ4412" s="13"/>
      <c r="AK4412" s="13"/>
      <c r="AL4412" s="13"/>
      <c r="AM4412" s="13"/>
      <c r="AN4412" s="13"/>
      <c r="AO4412" s="13"/>
      <c r="AP4412" s="13"/>
      <c r="AQ4412" s="13"/>
      <c r="AR4412" s="13"/>
      <c r="AS4412" s="13"/>
    </row>
    <row r="4413" ht="14.25" customHeight="1">
      <c r="A4413" s="13" t="s">
        <v>46</v>
      </c>
      <c r="B4413" s="13" t="s">
        <v>53</v>
      </c>
      <c r="C4413" s="13">
        <v>80.0</v>
      </c>
      <c r="D4413" s="13" t="s">
        <v>176</v>
      </c>
      <c r="E4413" s="13"/>
      <c r="F4413" s="13"/>
      <c r="G4413" s="13" t="s">
        <v>74</v>
      </c>
      <c r="H4413" s="13" t="s">
        <v>75</v>
      </c>
      <c r="I4413" s="13"/>
      <c r="J4413" s="13"/>
      <c r="K4413" s="15">
        <v>0.0</v>
      </c>
      <c r="L4413" s="15">
        <v>0.0</v>
      </c>
      <c r="M4413" s="16"/>
      <c r="N4413" s="16"/>
      <c r="O4413" s="17"/>
      <c r="P4413" s="17"/>
      <c r="Q4413" s="13"/>
      <c r="R4413" s="13"/>
      <c r="S4413" s="13"/>
      <c r="T4413" s="13">
        <f t="shared" ref="T4413:Y4413" si="4747">IF(ISBLANK(K4413)=TRUE,0,1)</f>
        <v>1</v>
      </c>
      <c r="U4413" s="13">
        <f t="shared" si="4747"/>
        <v>1</v>
      </c>
      <c r="V4413" s="13">
        <f t="shared" si="4747"/>
        <v>0</v>
      </c>
      <c r="W4413" s="13">
        <f t="shared" si="4747"/>
        <v>0</v>
      </c>
      <c r="X4413" s="13">
        <f t="shared" si="4747"/>
        <v>0</v>
      </c>
      <c r="Y4413" s="13">
        <f t="shared" si="4747"/>
        <v>0</v>
      </c>
      <c r="Z4413" s="13">
        <f t="shared" si="4541"/>
        <v>0</v>
      </c>
      <c r="AA4413" s="13"/>
      <c r="AB4413" s="13"/>
      <c r="AC4413" s="13"/>
      <c r="AD4413" s="13"/>
      <c r="AE4413" s="13"/>
      <c r="AF4413" s="13"/>
      <c r="AG4413" s="13"/>
      <c r="AH4413" s="13"/>
      <c r="AI4413" s="13"/>
      <c r="AJ4413" s="13"/>
      <c r="AK4413" s="13"/>
      <c r="AL4413" s="13"/>
      <c r="AM4413" s="13"/>
      <c r="AN4413" s="13"/>
      <c r="AO4413" s="13"/>
      <c r="AP4413" s="13"/>
      <c r="AQ4413" s="13"/>
      <c r="AR4413" s="13"/>
      <c r="AS4413" s="13"/>
    </row>
    <row r="4414" ht="14.25" customHeight="1">
      <c r="A4414" s="13" t="s">
        <v>46</v>
      </c>
      <c r="B4414" s="13" t="s">
        <v>53</v>
      </c>
      <c r="C4414" s="13">
        <v>80.0</v>
      </c>
      <c r="D4414" s="13" t="s">
        <v>177</v>
      </c>
      <c r="E4414" s="13"/>
      <c r="F4414" s="13"/>
      <c r="G4414" s="13" t="s">
        <v>74</v>
      </c>
      <c r="H4414" s="13" t="s">
        <v>75</v>
      </c>
      <c r="I4414" s="13"/>
      <c r="J4414" s="13"/>
      <c r="K4414" s="15">
        <v>0.0</v>
      </c>
      <c r="L4414" s="15">
        <v>0.0</v>
      </c>
      <c r="M4414" s="16"/>
      <c r="N4414" s="16"/>
      <c r="O4414" s="17"/>
      <c r="P4414" s="17"/>
      <c r="Q4414" s="13"/>
      <c r="R4414" s="13"/>
      <c r="S4414" s="13"/>
      <c r="T4414" s="13">
        <f t="shared" ref="T4414:Y4414" si="4748">IF(ISBLANK(K4414)=TRUE,0,1)</f>
        <v>1</v>
      </c>
      <c r="U4414" s="13">
        <f t="shared" si="4748"/>
        <v>1</v>
      </c>
      <c r="V4414" s="13">
        <f t="shared" si="4748"/>
        <v>0</v>
      </c>
      <c r="W4414" s="13">
        <f t="shared" si="4748"/>
        <v>0</v>
      </c>
      <c r="X4414" s="13">
        <f t="shared" si="4748"/>
        <v>0</v>
      </c>
      <c r="Y4414" s="13">
        <f t="shared" si="4748"/>
        <v>0</v>
      </c>
      <c r="Z4414" s="13">
        <f t="shared" si="4541"/>
        <v>0</v>
      </c>
      <c r="AA4414" s="13"/>
      <c r="AB4414" s="13"/>
      <c r="AC4414" s="13"/>
      <c r="AD4414" s="13"/>
      <c r="AE4414" s="13"/>
      <c r="AF4414" s="13"/>
      <c r="AG4414" s="13"/>
      <c r="AH4414" s="13"/>
      <c r="AI4414" s="13"/>
      <c r="AJ4414" s="13"/>
      <c r="AK4414" s="13"/>
      <c r="AL4414" s="13"/>
      <c r="AM4414" s="13"/>
      <c r="AN4414" s="13"/>
      <c r="AO4414" s="13"/>
      <c r="AP4414" s="13"/>
      <c r="AQ4414" s="13"/>
      <c r="AR4414" s="13"/>
      <c r="AS4414" s="13"/>
    </row>
    <row r="4415" ht="14.25" customHeight="1">
      <c r="A4415" s="13" t="s">
        <v>46</v>
      </c>
      <c r="B4415" s="13" t="s">
        <v>53</v>
      </c>
      <c r="C4415" s="13">
        <v>80.0</v>
      </c>
      <c r="D4415" s="13" t="s">
        <v>178</v>
      </c>
      <c r="E4415" s="13"/>
      <c r="F4415" s="13"/>
      <c r="G4415" s="13" t="s">
        <v>74</v>
      </c>
      <c r="H4415" s="13" t="s">
        <v>75</v>
      </c>
      <c r="I4415" s="13"/>
      <c r="J4415" s="13"/>
      <c r="K4415" s="15">
        <v>0.0</v>
      </c>
      <c r="L4415" s="15">
        <v>0.0</v>
      </c>
      <c r="M4415" s="16"/>
      <c r="N4415" s="16"/>
      <c r="O4415" s="17"/>
      <c r="P4415" s="17"/>
      <c r="Q4415" s="13"/>
      <c r="R4415" s="13"/>
      <c r="S4415" s="13"/>
      <c r="T4415" s="13">
        <f t="shared" ref="T4415:Y4415" si="4749">IF(ISBLANK(K4415)=TRUE,0,1)</f>
        <v>1</v>
      </c>
      <c r="U4415" s="13">
        <f t="shared" si="4749"/>
        <v>1</v>
      </c>
      <c r="V4415" s="13">
        <f t="shared" si="4749"/>
        <v>0</v>
      </c>
      <c r="W4415" s="13">
        <f t="shared" si="4749"/>
        <v>0</v>
      </c>
      <c r="X4415" s="13">
        <f t="shared" si="4749"/>
        <v>0</v>
      </c>
      <c r="Y4415" s="13">
        <f t="shared" si="4749"/>
        <v>0</v>
      </c>
      <c r="Z4415" s="13">
        <f t="shared" si="4541"/>
        <v>0</v>
      </c>
      <c r="AA4415" s="13"/>
      <c r="AB4415" s="13"/>
      <c r="AC4415" s="13"/>
      <c r="AD4415" s="13"/>
      <c r="AE4415" s="13"/>
      <c r="AF4415" s="13"/>
      <c r="AG4415" s="13"/>
      <c r="AH4415" s="13"/>
      <c r="AI4415" s="13"/>
      <c r="AJ4415" s="13"/>
      <c r="AK4415" s="13"/>
      <c r="AL4415" s="13"/>
      <c r="AM4415" s="13"/>
      <c r="AN4415" s="13"/>
      <c r="AO4415" s="13"/>
      <c r="AP4415" s="13"/>
      <c r="AQ4415" s="13"/>
      <c r="AR4415" s="13"/>
      <c r="AS4415" s="13"/>
    </row>
    <row r="4416" ht="14.25" customHeight="1">
      <c r="A4416" s="13" t="s">
        <v>46</v>
      </c>
      <c r="B4416" s="13" t="s">
        <v>53</v>
      </c>
      <c r="C4416" s="13">
        <v>80.0</v>
      </c>
      <c r="D4416" s="13" t="s">
        <v>179</v>
      </c>
      <c r="E4416" s="13"/>
      <c r="F4416" s="13"/>
      <c r="G4416" s="13" t="s">
        <v>74</v>
      </c>
      <c r="H4416" s="13" t="s">
        <v>75</v>
      </c>
      <c r="I4416" s="13"/>
      <c r="J4416" s="13"/>
      <c r="K4416" s="15">
        <v>0.0</v>
      </c>
      <c r="L4416" s="15">
        <v>0.0</v>
      </c>
      <c r="M4416" s="16"/>
      <c r="N4416" s="16"/>
      <c r="O4416" s="17"/>
      <c r="P4416" s="17"/>
      <c r="Q4416" s="13"/>
      <c r="R4416" s="13"/>
      <c r="S4416" s="13"/>
      <c r="T4416" s="13">
        <f t="shared" ref="T4416:Y4416" si="4750">IF(ISBLANK(K4416)=TRUE,0,1)</f>
        <v>1</v>
      </c>
      <c r="U4416" s="13">
        <f t="shared" si="4750"/>
        <v>1</v>
      </c>
      <c r="V4416" s="13">
        <f t="shared" si="4750"/>
        <v>0</v>
      </c>
      <c r="W4416" s="13">
        <f t="shared" si="4750"/>
        <v>0</v>
      </c>
      <c r="X4416" s="13">
        <f t="shared" si="4750"/>
        <v>0</v>
      </c>
      <c r="Y4416" s="13">
        <f t="shared" si="4750"/>
        <v>0</v>
      </c>
      <c r="Z4416" s="13">
        <f t="shared" si="4541"/>
        <v>0</v>
      </c>
      <c r="AA4416" s="13"/>
      <c r="AB4416" s="13"/>
      <c r="AC4416" s="13"/>
      <c r="AD4416" s="13"/>
      <c r="AE4416" s="13"/>
      <c r="AF4416" s="13"/>
      <c r="AG4416" s="13"/>
      <c r="AH4416" s="13"/>
      <c r="AI4416" s="13"/>
      <c r="AJ4416" s="13"/>
      <c r="AK4416" s="13"/>
      <c r="AL4416" s="13"/>
      <c r="AM4416" s="13"/>
      <c r="AN4416" s="13"/>
      <c r="AO4416" s="13"/>
      <c r="AP4416" s="13"/>
      <c r="AQ4416" s="13"/>
      <c r="AR4416" s="13"/>
      <c r="AS4416" s="13"/>
    </row>
    <row r="4417" ht="14.25" customHeight="1">
      <c r="A4417" s="13" t="s">
        <v>46</v>
      </c>
      <c r="B4417" s="13" t="s">
        <v>53</v>
      </c>
      <c r="C4417" s="13">
        <v>80.0</v>
      </c>
      <c r="D4417" s="13" t="s">
        <v>180</v>
      </c>
      <c r="E4417" s="13"/>
      <c r="F4417" s="13"/>
      <c r="G4417" s="13" t="s">
        <v>74</v>
      </c>
      <c r="H4417" s="13" t="s">
        <v>75</v>
      </c>
      <c r="I4417" s="13"/>
      <c r="J4417" s="13"/>
      <c r="K4417" s="15">
        <v>0.0</v>
      </c>
      <c r="L4417" s="15">
        <v>0.0</v>
      </c>
      <c r="M4417" s="16"/>
      <c r="N4417" s="16"/>
      <c r="O4417" s="17"/>
      <c r="P4417" s="17"/>
      <c r="Q4417" s="13"/>
      <c r="R4417" s="13"/>
      <c r="S4417" s="13"/>
      <c r="T4417" s="13">
        <f t="shared" ref="T4417:Y4417" si="4751">IF(ISBLANK(K4417)=TRUE,0,1)</f>
        <v>1</v>
      </c>
      <c r="U4417" s="13">
        <f t="shared" si="4751"/>
        <v>1</v>
      </c>
      <c r="V4417" s="13">
        <f t="shared" si="4751"/>
        <v>0</v>
      </c>
      <c r="W4417" s="13">
        <f t="shared" si="4751"/>
        <v>0</v>
      </c>
      <c r="X4417" s="13">
        <f t="shared" si="4751"/>
        <v>0</v>
      </c>
      <c r="Y4417" s="13">
        <f t="shared" si="4751"/>
        <v>0</v>
      </c>
      <c r="Z4417" s="13">
        <f t="shared" si="4541"/>
        <v>0</v>
      </c>
      <c r="AA4417" s="13"/>
      <c r="AB4417" s="13"/>
      <c r="AC4417" s="13"/>
      <c r="AD4417" s="13"/>
      <c r="AE4417" s="13"/>
      <c r="AF4417" s="13"/>
      <c r="AG4417" s="13"/>
      <c r="AH4417" s="13"/>
      <c r="AI4417" s="13"/>
      <c r="AJ4417" s="13"/>
      <c r="AK4417" s="13"/>
      <c r="AL4417" s="13"/>
      <c r="AM4417" s="13"/>
      <c r="AN4417" s="13"/>
      <c r="AO4417" s="13"/>
      <c r="AP4417" s="13"/>
      <c r="AQ4417" s="13"/>
      <c r="AR4417" s="13"/>
      <c r="AS4417" s="13"/>
    </row>
    <row r="4418" ht="14.25" customHeight="1">
      <c r="A4418" s="13" t="s">
        <v>46</v>
      </c>
      <c r="B4418" s="13" t="s">
        <v>53</v>
      </c>
      <c r="C4418" s="13">
        <v>80.0</v>
      </c>
      <c r="D4418" s="13" t="s">
        <v>181</v>
      </c>
      <c r="E4418" s="13"/>
      <c r="F4418" s="13"/>
      <c r="G4418" s="13" t="s">
        <v>74</v>
      </c>
      <c r="H4418" s="13" t="s">
        <v>75</v>
      </c>
      <c r="I4418" s="13"/>
      <c r="J4418" s="13"/>
      <c r="K4418" s="15">
        <v>0.0</v>
      </c>
      <c r="L4418" s="15">
        <v>0.0</v>
      </c>
      <c r="M4418" s="16"/>
      <c r="N4418" s="16"/>
      <c r="O4418" s="17"/>
      <c r="P4418" s="17"/>
      <c r="Q4418" s="13"/>
      <c r="R4418" s="13"/>
      <c r="S4418" s="13"/>
      <c r="T4418" s="13">
        <f t="shared" ref="T4418:Y4418" si="4752">IF(ISBLANK(K4418)=TRUE,0,1)</f>
        <v>1</v>
      </c>
      <c r="U4418" s="13">
        <f t="shared" si="4752"/>
        <v>1</v>
      </c>
      <c r="V4418" s="13">
        <f t="shared" si="4752"/>
        <v>0</v>
      </c>
      <c r="W4418" s="13">
        <f t="shared" si="4752"/>
        <v>0</v>
      </c>
      <c r="X4418" s="13">
        <f t="shared" si="4752"/>
        <v>0</v>
      </c>
      <c r="Y4418" s="13">
        <f t="shared" si="4752"/>
        <v>0</v>
      </c>
      <c r="Z4418" s="13">
        <f t="shared" si="4541"/>
        <v>0</v>
      </c>
      <c r="AA4418" s="13"/>
      <c r="AB4418" s="13"/>
      <c r="AC4418" s="13"/>
      <c r="AD4418" s="13"/>
      <c r="AE4418" s="13"/>
      <c r="AF4418" s="13"/>
      <c r="AG4418" s="13"/>
      <c r="AH4418" s="13"/>
      <c r="AI4418" s="13"/>
      <c r="AJ4418" s="13"/>
      <c r="AK4418" s="13"/>
      <c r="AL4418" s="13"/>
      <c r="AM4418" s="13"/>
      <c r="AN4418" s="13"/>
      <c r="AO4418" s="13"/>
      <c r="AP4418" s="13"/>
      <c r="AQ4418" s="13"/>
      <c r="AR4418" s="13"/>
      <c r="AS4418" s="13"/>
    </row>
    <row r="4419" ht="14.25" customHeight="1">
      <c r="A4419" s="13" t="s">
        <v>46</v>
      </c>
      <c r="B4419" s="13" t="s">
        <v>53</v>
      </c>
      <c r="C4419" s="13">
        <v>80.0</v>
      </c>
      <c r="D4419" s="13" t="s">
        <v>182</v>
      </c>
      <c r="E4419" s="13"/>
      <c r="F4419" s="13"/>
      <c r="G4419" s="13" t="s">
        <v>74</v>
      </c>
      <c r="H4419" s="13" t="s">
        <v>75</v>
      </c>
      <c r="I4419" s="13"/>
      <c r="J4419" s="13"/>
      <c r="K4419" s="15">
        <v>0.0</v>
      </c>
      <c r="L4419" s="15">
        <v>0.0</v>
      </c>
      <c r="M4419" s="16"/>
      <c r="N4419" s="16"/>
      <c r="O4419" s="17"/>
      <c r="P4419" s="17"/>
      <c r="Q4419" s="13"/>
      <c r="R4419" s="13"/>
      <c r="S4419" s="13"/>
      <c r="T4419" s="13">
        <f t="shared" ref="T4419:Y4419" si="4753">IF(ISBLANK(K4419)=TRUE,0,1)</f>
        <v>1</v>
      </c>
      <c r="U4419" s="13">
        <f t="shared" si="4753"/>
        <v>1</v>
      </c>
      <c r="V4419" s="13">
        <f t="shared" si="4753"/>
        <v>0</v>
      </c>
      <c r="W4419" s="13">
        <f t="shared" si="4753"/>
        <v>0</v>
      </c>
      <c r="X4419" s="13">
        <f t="shared" si="4753"/>
        <v>0</v>
      </c>
      <c r="Y4419" s="13">
        <f t="shared" si="4753"/>
        <v>0</v>
      </c>
      <c r="Z4419" s="13">
        <f t="shared" si="4541"/>
        <v>0</v>
      </c>
      <c r="AA4419" s="13"/>
      <c r="AB4419" s="13"/>
      <c r="AC4419" s="13"/>
      <c r="AD4419" s="13"/>
      <c r="AE4419" s="13"/>
      <c r="AF4419" s="13"/>
      <c r="AG4419" s="13"/>
      <c r="AH4419" s="13"/>
      <c r="AI4419" s="13"/>
      <c r="AJ4419" s="13"/>
      <c r="AK4419" s="13"/>
      <c r="AL4419" s="13"/>
      <c r="AM4419" s="13"/>
      <c r="AN4419" s="13"/>
      <c r="AO4419" s="13"/>
      <c r="AP4419" s="13"/>
      <c r="AQ4419" s="13"/>
      <c r="AR4419" s="13"/>
      <c r="AS4419" s="13"/>
    </row>
    <row r="4420" ht="14.25" customHeight="1">
      <c r="A4420" s="13" t="s">
        <v>46</v>
      </c>
      <c r="B4420" s="13" t="s">
        <v>53</v>
      </c>
      <c r="C4420" s="13">
        <v>80.0</v>
      </c>
      <c r="D4420" s="13" t="s">
        <v>183</v>
      </c>
      <c r="E4420" s="13"/>
      <c r="F4420" s="13"/>
      <c r="G4420" s="13" t="s">
        <v>74</v>
      </c>
      <c r="H4420" s="13" t="s">
        <v>75</v>
      </c>
      <c r="I4420" s="13"/>
      <c r="J4420" s="13"/>
      <c r="K4420" s="15">
        <v>0.0</v>
      </c>
      <c r="L4420" s="15">
        <v>0.0</v>
      </c>
      <c r="M4420" s="16"/>
      <c r="N4420" s="16"/>
      <c r="O4420" s="17"/>
      <c r="P4420" s="17"/>
      <c r="Q4420" s="13"/>
      <c r="R4420" s="13"/>
      <c r="S4420" s="13"/>
      <c r="T4420" s="13">
        <f t="shared" ref="T4420:Y4420" si="4754">IF(ISBLANK(K4420)=TRUE,0,1)</f>
        <v>1</v>
      </c>
      <c r="U4420" s="13">
        <f t="shared" si="4754"/>
        <v>1</v>
      </c>
      <c r="V4420" s="13">
        <f t="shared" si="4754"/>
        <v>0</v>
      </c>
      <c r="W4420" s="13">
        <f t="shared" si="4754"/>
        <v>0</v>
      </c>
      <c r="X4420" s="13">
        <f t="shared" si="4754"/>
        <v>0</v>
      </c>
      <c r="Y4420" s="13">
        <f t="shared" si="4754"/>
        <v>0</v>
      </c>
      <c r="Z4420" s="13">
        <f t="shared" si="4541"/>
        <v>0</v>
      </c>
      <c r="AA4420" s="13"/>
      <c r="AB4420" s="13"/>
      <c r="AC4420" s="13"/>
      <c r="AD4420" s="13"/>
      <c r="AE4420" s="13"/>
      <c r="AF4420" s="13"/>
      <c r="AG4420" s="13"/>
      <c r="AH4420" s="13"/>
      <c r="AI4420" s="13"/>
      <c r="AJ4420" s="13"/>
      <c r="AK4420" s="13"/>
      <c r="AL4420" s="13"/>
      <c r="AM4420" s="13"/>
      <c r="AN4420" s="13"/>
      <c r="AO4420" s="13"/>
      <c r="AP4420" s="13"/>
      <c r="AQ4420" s="13"/>
      <c r="AR4420" s="13"/>
      <c r="AS4420" s="13"/>
    </row>
    <row r="4421" ht="14.25" customHeight="1">
      <c r="A4421" s="13" t="s">
        <v>46</v>
      </c>
      <c r="B4421" s="13" t="s">
        <v>53</v>
      </c>
      <c r="C4421" s="13">
        <v>80.0</v>
      </c>
      <c r="D4421" s="13" t="s">
        <v>184</v>
      </c>
      <c r="E4421" s="13"/>
      <c r="F4421" s="13"/>
      <c r="G4421" s="13" t="s">
        <v>74</v>
      </c>
      <c r="H4421" s="13" t="s">
        <v>75</v>
      </c>
      <c r="I4421" s="13"/>
      <c r="J4421" s="13"/>
      <c r="K4421" s="15">
        <v>0.0</v>
      </c>
      <c r="L4421" s="15">
        <v>0.0</v>
      </c>
      <c r="M4421" s="16"/>
      <c r="N4421" s="16"/>
      <c r="O4421" s="17"/>
      <c r="P4421" s="17"/>
      <c r="Q4421" s="13"/>
      <c r="R4421" s="13"/>
      <c r="S4421" s="13"/>
      <c r="T4421" s="13">
        <f t="shared" ref="T4421:Y4421" si="4755">IF(ISBLANK(K4421)=TRUE,0,1)</f>
        <v>1</v>
      </c>
      <c r="U4421" s="13">
        <f t="shared" si="4755"/>
        <v>1</v>
      </c>
      <c r="V4421" s="13">
        <f t="shared" si="4755"/>
        <v>0</v>
      </c>
      <c r="W4421" s="13">
        <f t="shared" si="4755"/>
        <v>0</v>
      </c>
      <c r="X4421" s="13">
        <f t="shared" si="4755"/>
        <v>0</v>
      </c>
      <c r="Y4421" s="13">
        <f t="shared" si="4755"/>
        <v>0</v>
      </c>
      <c r="Z4421" s="13">
        <f t="shared" si="4541"/>
        <v>0</v>
      </c>
      <c r="AA4421" s="13"/>
      <c r="AB4421" s="13"/>
      <c r="AC4421" s="13"/>
      <c r="AD4421" s="13"/>
      <c r="AE4421" s="13"/>
      <c r="AF4421" s="13"/>
      <c r="AG4421" s="13"/>
      <c r="AH4421" s="13"/>
      <c r="AI4421" s="13"/>
      <c r="AJ4421" s="13"/>
      <c r="AK4421" s="13"/>
      <c r="AL4421" s="13"/>
      <c r="AM4421" s="13"/>
      <c r="AN4421" s="13"/>
      <c r="AO4421" s="13"/>
      <c r="AP4421" s="13"/>
      <c r="AQ4421" s="13"/>
      <c r="AR4421" s="13"/>
      <c r="AS4421" s="13"/>
    </row>
    <row r="4422" ht="14.25" customHeight="1">
      <c r="A4422" s="13" t="s">
        <v>46</v>
      </c>
      <c r="B4422" s="13" t="s">
        <v>53</v>
      </c>
      <c r="C4422" s="13">
        <v>80.0</v>
      </c>
      <c r="D4422" s="13" t="s">
        <v>185</v>
      </c>
      <c r="E4422" s="13"/>
      <c r="F4422" s="13"/>
      <c r="G4422" s="13" t="s">
        <v>74</v>
      </c>
      <c r="H4422" s="13" t="s">
        <v>75</v>
      </c>
      <c r="I4422" s="13"/>
      <c r="J4422" s="13"/>
      <c r="K4422" s="15">
        <v>0.0</v>
      </c>
      <c r="L4422" s="15">
        <v>0.0</v>
      </c>
      <c r="M4422" s="16"/>
      <c r="N4422" s="16"/>
      <c r="O4422" s="17"/>
      <c r="P4422" s="17"/>
      <c r="Q4422" s="13"/>
      <c r="R4422" s="13"/>
      <c r="S4422" s="13"/>
      <c r="T4422" s="13">
        <f t="shared" ref="T4422:Y4422" si="4756">IF(ISBLANK(K4422)=TRUE,0,1)</f>
        <v>1</v>
      </c>
      <c r="U4422" s="13">
        <f t="shared" si="4756"/>
        <v>1</v>
      </c>
      <c r="V4422" s="13">
        <f t="shared" si="4756"/>
        <v>0</v>
      </c>
      <c r="W4422" s="13">
        <f t="shared" si="4756"/>
        <v>0</v>
      </c>
      <c r="X4422" s="13">
        <f t="shared" si="4756"/>
        <v>0</v>
      </c>
      <c r="Y4422" s="13">
        <f t="shared" si="4756"/>
        <v>0</v>
      </c>
      <c r="Z4422" s="13">
        <f t="shared" si="4541"/>
        <v>0</v>
      </c>
      <c r="AA4422" s="13"/>
      <c r="AB4422" s="13"/>
      <c r="AC4422" s="13"/>
      <c r="AD4422" s="13"/>
      <c r="AE4422" s="13"/>
      <c r="AF4422" s="13"/>
      <c r="AG4422" s="13"/>
      <c r="AH4422" s="13"/>
      <c r="AI4422" s="13"/>
      <c r="AJ4422" s="13"/>
      <c r="AK4422" s="13"/>
      <c r="AL4422" s="13"/>
      <c r="AM4422" s="13"/>
      <c r="AN4422" s="13"/>
      <c r="AO4422" s="13"/>
      <c r="AP4422" s="13"/>
      <c r="AQ4422" s="13"/>
      <c r="AR4422" s="13"/>
      <c r="AS4422" s="13"/>
    </row>
    <row r="4423" ht="14.25" customHeight="1">
      <c r="A4423" s="13" t="s">
        <v>46</v>
      </c>
      <c r="B4423" s="13" t="s">
        <v>53</v>
      </c>
      <c r="C4423" s="13">
        <v>143.0</v>
      </c>
      <c r="D4423" s="13" t="s">
        <v>174</v>
      </c>
      <c r="E4423" s="13"/>
      <c r="F4423" s="13"/>
      <c r="G4423" s="13" t="s">
        <v>74</v>
      </c>
      <c r="H4423" s="13" t="s">
        <v>75</v>
      </c>
      <c r="I4423" s="13"/>
      <c r="J4423" s="13"/>
      <c r="K4423" s="15">
        <v>0.0</v>
      </c>
      <c r="L4423" s="15">
        <v>0.0</v>
      </c>
      <c r="M4423" s="16"/>
      <c r="N4423" s="16"/>
      <c r="O4423" s="17"/>
      <c r="P4423" s="17"/>
      <c r="Q4423" s="13"/>
      <c r="R4423" s="13"/>
      <c r="S4423" s="13"/>
      <c r="T4423" s="13">
        <f t="shared" ref="T4423:Y4423" si="4757">IF(ISBLANK(K4423)=TRUE,0,1)</f>
        <v>1</v>
      </c>
      <c r="U4423" s="13">
        <f t="shared" si="4757"/>
        <v>1</v>
      </c>
      <c r="V4423" s="13">
        <f t="shared" si="4757"/>
        <v>0</v>
      </c>
      <c r="W4423" s="13">
        <f t="shared" si="4757"/>
        <v>0</v>
      </c>
      <c r="X4423" s="13">
        <f t="shared" si="4757"/>
        <v>0</v>
      </c>
      <c r="Y4423" s="13">
        <f t="shared" si="4757"/>
        <v>0</v>
      </c>
      <c r="Z4423" s="13">
        <f t="shared" si="4541"/>
        <v>0</v>
      </c>
      <c r="AA4423" s="13" t="s">
        <v>2161</v>
      </c>
      <c r="AB4423" s="13"/>
      <c r="AC4423" s="13"/>
      <c r="AD4423" s="13"/>
      <c r="AE4423" s="13"/>
      <c r="AF4423" s="13"/>
      <c r="AG4423" s="13"/>
      <c r="AH4423" s="13"/>
      <c r="AI4423" s="13"/>
      <c r="AJ4423" s="13"/>
      <c r="AK4423" s="13"/>
      <c r="AL4423" s="13"/>
      <c r="AM4423" s="13"/>
      <c r="AN4423" s="13"/>
      <c r="AO4423" s="13"/>
      <c r="AP4423" s="13"/>
      <c r="AQ4423" s="13"/>
      <c r="AR4423" s="13"/>
      <c r="AS4423" s="13"/>
    </row>
    <row r="4424" ht="14.25" customHeight="1">
      <c r="A4424" s="13" t="s">
        <v>46</v>
      </c>
      <c r="B4424" s="13" t="s">
        <v>53</v>
      </c>
      <c r="C4424" s="13">
        <v>143.0</v>
      </c>
      <c r="D4424" s="13" t="s">
        <v>175</v>
      </c>
      <c r="E4424" s="13"/>
      <c r="F4424" s="13"/>
      <c r="G4424" s="13" t="s">
        <v>74</v>
      </c>
      <c r="H4424" s="13" t="s">
        <v>75</v>
      </c>
      <c r="I4424" s="13"/>
      <c r="J4424" s="13"/>
      <c r="K4424" s="15">
        <v>0.0</v>
      </c>
      <c r="L4424" s="15">
        <v>0.0</v>
      </c>
      <c r="M4424" s="16"/>
      <c r="N4424" s="16"/>
      <c r="O4424" s="17"/>
      <c r="P4424" s="17"/>
      <c r="Q4424" s="13"/>
      <c r="R4424" s="13"/>
      <c r="S4424" s="13"/>
      <c r="T4424" s="13">
        <f t="shared" ref="T4424:Y4424" si="4758">IF(ISBLANK(K4424)=TRUE,0,1)</f>
        <v>1</v>
      </c>
      <c r="U4424" s="13">
        <f t="shared" si="4758"/>
        <v>1</v>
      </c>
      <c r="V4424" s="13">
        <f t="shared" si="4758"/>
        <v>0</v>
      </c>
      <c r="W4424" s="13">
        <f t="shared" si="4758"/>
        <v>0</v>
      </c>
      <c r="X4424" s="13">
        <f t="shared" si="4758"/>
        <v>0</v>
      </c>
      <c r="Y4424" s="13">
        <f t="shared" si="4758"/>
        <v>0</v>
      </c>
      <c r="Z4424" s="13">
        <f t="shared" si="4541"/>
        <v>0</v>
      </c>
      <c r="AA4424" s="13" t="s">
        <v>2161</v>
      </c>
      <c r="AB4424" s="13"/>
      <c r="AC4424" s="13"/>
      <c r="AD4424" s="13"/>
      <c r="AE4424" s="13"/>
      <c r="AF4424" s="13"/>
      <c r="AG4424" s="13"/>
      <c r="AH4424" s="13"/>
      <c r="AI4424" s="13"/>
      <c r="AJ4424" s="13"/>
      <c r="AK4424" s="13"/>
      <c r="AL4424" s="13"/>
      <c r="AM4424" s="13"/>
      <c r="AN4424" s="13"/>
      <c r="AO4424" s="13"/>
      <c r="AP4424" s="13"/>
      <c r="AQ4424" s="13"/>
      <c r="AR4424" s="13"/>
      <c r="AS4424" s="13"/>
    </row>
    <row r="4425" ht="14.25" customHeight="1">
      <c r="A4425" s="13" t="s">
        <v>46</v>
      </c>
      <c r="B4425" s="13" t="s">
        <v>53</v>
      </c>
      <c r="C4425" s="13">
        <v>143.0</v>
      </c>
      <c r="D4425" s="13" t="s">
        <v>176</v>
      </c>
      <c r="E4425" s="13"/>
      <c r="F4425" s="13"/>
      <c r="G4425" s="13" t="s">
        <v>74</v>
      </c>
      <c r="H4425" s="13" t="s">
        <v>75</v>
      </c>
      <c r="I4425" s="13"/>
      <c r="J4425" s="13"/>
      <c r="K4425" s="15">
        <v>0.0</v>
      </c>
      <c r="L4425" s="15">
        <v>0.0</v>
      </c>
      <c r="M4425" s="16"/>
      <c r="N4425" s="16"/>
      <c r="O4425" s="17"/>
      <c r="P4425" s="17"/>
      <c r="Q4425" s="13"/>
      <c r="R4425" s="13"/>
      <c r="S4425" s="13"/>
      <c r="T4425" s="13">
        <f t="shared" ref="T4425:Y4425" si="4759">IF(ISBLANK(K4425)=TRUE,0,1)</f>
        <v>1</v>
      </c>
      <c r="U4425" s="13">
        <f t="shared" si="4759"/>
        <v>1</v>
      </c>
      <c r="V4425" s="13">
        <f t="shared" si="4759"/>
        <v>0</v>
      </c>
      <c r="W4425" s="13">
        <f t="shared" si="4759"/>
        <v>0</v>
      </c>
      <c r="X4425" s="13">
        <f t="shared" si="4759"/>
        <v>0</v>
      </c>
      <c r="Y4425" s="13">
        <f t="shared" si="4759"/>
        <v>0</v>
      </c>
      <c r="Z4425" s="13">
        <f t="shared" si="4541"/>
        <v>0</v>
      </c>
      <c r="AA4425" s="13" t="s">
        <v>2161</v>
      </c>
      <c r="AB4425" s="13"/>
      <c r="AC4425" s="13"/>
      <c r="AD4425" s="13"/>
      <c r="AE4425" s="13"/>
      <c r="AF4425" s="13"/>
      <c r="AG4425" s="13"/>
      <c r="AH4425" s="13"/>
      <c r="AI4425" s="13"/>
      <c r="AJ4425" s="13"/>
      <c r="AK4425" s="13"/>
      <c r="AL4425" s="13"/>
      <c r="AM4425" s="13"/>
      <c r="AN4425" s="13"/>
      <c r="AO4425" s="13"/>
      <c r="AP4425" s="13"/>
      <c r="AQ4425" s="13"/>
      <c r="AR4425" s="13"/>
      <c r="AS4425" s="13"/>
    </row>
    <row r="4426" ht="14.25" customHeight="1">
      <c r="A4426" s="13" t="s">
        <v>46</v>
      </c>
      <c r="B4426" s="13" t="s">
        <v>53</v>
      </c>
      <c r="C4426" s="13">
        <v>143.0</v>
      </c>
      <c r="D4426" s="13" t="s">
        <v>177</v>
      </c>
      <c r="E4426" s="13"/>
      <c r="F4426" s="13"/>
      <c r="G4426" s="13" t="s">
        <v>74</v>
      </c>
      <c r="H4426" s="13" t="s">
        <v>75</v>
      </c>
      <c r="I4426" s="13"/>
      <c r="J4426" s="13"/>
      <c r="K4426" s="15">
        <v>0.0</v>
      </c>
      <c r="L4426" s="15">
        <v>0.0</v>
      </c>
      <c r="M4426" s="16"/>
      <c r="N4426" s="16"/>
      <c r="O4426" s="17"/>
      <c r="P4426" s="17"/>
      <c r="Q4426" s="13"/>
      <c r="R4426" s="13"/>
      <c r="S4426" s="13"/>
      <c r="T4426" s="13">
        <f t="shared" ref="T4426:Y4426" si="4760">IF(ISBLANK(K4426)=TRUE,0,1)</f>
        <v>1</v>
      </c>
      <c r="U4426" s="13">
        <f t="shared" si="4760"/>
        <v>1</v>
      </c>
      <c r="V4426" s="13">
        <f t="shared" si="4760"/>
        <v>0</v>
      </c>
      <c r="W4426" s="13">
        <f t="shared" si="4760"/>
        <v>0</v>
      </c>
      <c r="X4426" s="13">
        <f t="shared" si="4760"/>
        <v>0</v>
      </c>
      <c r="Y4426" s="13">
        <f t="shared" si="4760"/>
        <v>0</v>
      </c>
      <c r="Z4426" s="13">
        <f t="shared" si="4541"/>
        <v>0</v>
      </c>
      <c r="AA4426" s="13" t="s">
        <v>2161</v>
      </c>
      <c r="AB4426" s="13"/>
      <c r="AC4426" s="13"/>
      <c r="AD4426" s="13"/>
      <c r="AE4426" s="13"/>
      <c r="AF4426" s="13"/>
      <c r="AG4426" s="13"/>
      <c r="AH4426" s="13"/>
      <c r="AI4426" s="13"/>
      <c r="AJ4426" s="13"/>
      <c r="AK4426" s="13"/>
      <c r="AL4426" s="13"/>
      <c r="AM4426" s="13"/>
      <c r="AN4426" s="13"/>
      <c r="AO4426" s="13"/>
      <c r="AP4426" s="13"/>
      <c r="AQ4426" s="13"/>
      <c r="AR4426" s="13"/>
      <c r="AS4426" s="13"/>
    </row>
    <row r="4427" ht="14.25" customHeight="1">
      <c r="A4427" s="13" t="s">
        <v>46</v>
      </c>
      <c r="B4427" s="13" t="s">
        <v>53</v>
      </c>
      <c r="C4427" s="13">
        <v>143.0</v>
      </c>
      <c r="D4427" s="13" t="s">
        <v>178</v>
      </c>
      <c r="E4427" s="13"/>
      <c r="F4427" s="13"/>
      <c r="G4427" s="13" t="s">
        <v>74</v>
      </c>
      <c r="H4427" s="13" t="s">
        <v>75</v>
      </c>
      <c r="I4427" s="13"/>
      <c r="J4427" s="13"/>
      <c r="K4427" s="15">
        <v>0.0</v>
      </c>
      <c r="L4427" s="15">
        <v>0.0</v>
      </c>
      <c r="M4427" s="16"/>
      <c r="N4427" s="16"/>
      <c r="O4427" s="17"/>
      <c r="P4427" s="17"/>
      <c r="Q4427" s="13"/>
      <c r="R4427" s="13"/>
      <c r="S4427" s="13"/>
      <c r="T4427" s="13">
        <f t="shared" ref="T4427:Y4427" si="4761">IF(ISBLANK(K4427)=TRUE,0,1)</f>
        <v>1</v>
      </c>
      <c r="U4427" s="13">
        <f t="shared" si="4761"/>
        <v>1</v>
      </c>
      <c r="V4427" s="13">
        <f t="shared" si="4761"/>
        <v>0</v>
      </c>
      <c r="W4427" s="13">
        <f t="shared" si="4761"/>
        <v>0</v>
      </c>
      <c r="X4427" s="13">
        <f t="shared" si="4761"/>
        <v>0</v>
      </c>
      <c r="Y4427" s="13">
        <f t="shared" si="4761"/>
        <v>0</v>
      </c>
      <c r="Z4427" s="13">
        <f t="shared" si="4541"/>
        <v>0</v>
      </c>
      <c r="AA4427" s="13" t="s">
        <v>2161</v>
      </c>
      <c r="AB4427" s="13"/>
      <c r="AC4427" s="13"/>
      <c r="AD4427" s="13"/>
      <c r="AE4427" s="13"/>
      <c r="AF4427" s="13"/>
      <c r="AG4427" s="13"/>
      <c r="AH4427" s="13"/>
      <c r="AI4427" s="13"/>
      <c r="AJ4427" s="13"/>
      <c r="AK4427" s="13"/>
      <c r="AL4427" s="13"/>
      <c r="AM4427" s="13"/>
      <c r="AN4427" s="13"/>
      <c r="AO4427" s="13"/>
      <c r="AP4427" s="13"/>
      <c r="AQ4427" s="13"/>
      <c r="AR4427" s="13"/>
      <c r="AS4427" s="13"/>
    </row>
    <row r="4428" ht="14.25" customHeight="1">
      <c r="A4428" s="13" t="s">
        <v>46</v>
      </c>
      <c r="B4428" s="13" t="s">
        <v>53</v>
      </c>
      <c r="C4428" s="13">
        <v>143.0</v>
      </c>
      <c r="D4428" s="13" t="s">
        <v>179</v>
      </c>
      <c r="E4428" s="13"/>
      <c r="F4428" s="13"/>
      <c r="G4428" s="13" t="s">
        <v>74</v>
      </c>
      <c r="H4428" s="13" t="s">
        <v>75</v>
      </c>
      <c r="I4428" s="13"/>
      <c r="J4428" s="13"/>
      <c r="K4428" s="15">
        <v>0.0</v>
      </c>
      <c r="L4428" s="15">
        <v>0.0</v>
      </c>
      <c r="M4428" s="16"/>
      <c r="N4428" s="16"/>
      <c r="O4428" s="17"/>
      <c r="P4428" s="17"/>
      <c r="Q4428" s="13"/>
      <c r="R4428" s="13"/>
      <c r="S4428" s="13"/>
      <c r="T4428" s="13">
        <f t="shared" ref="T4428:Y4428" si="4762">IF(ISBLANK(K4428)=TRUE,0,1)</f>
        <v>1</v>
      </c>
      <c r="U4428" s="13">
        <f t="shared" si="4762"/>
        <v>1</v>
      </c>
      <c r="V4428" s="13">
        <f t="shared" si="4762"/>
        <v>0</v>
      </c>
      <c r="W4428" s="13">
        <f t="shared" si="4762"/>
        <v>0</v>
      </c>
      <c r="X4428" s="13">
        <f t="shared" si="4762"/>
        <v>0</v>
      </c>
      <c r="Y4428" s="13">
        <f t="shared" si="4762"/>
        <v>0</v>
      </c>
      <c r="Z4428" s="13">
        <f t="shared" si="4541"/>
        <v>0</v>
      </c>
      <c r="AA4428" s="13" t="s">
        <v>2161</v>
      </c>
      <c r="AB4428" s="13"/>
      <c r="AC4428" s="13"/>
      <c r="AD4428" s="13"/>
      <c r="AE4428" s="13"/>
      <c r="AF4428" s="13"/>
      <c r="AG4428" s="13"/>
      <c r="AH4428" s="13"/>
      <c r="AI4428" s="13"/>
      <c r="AJ4428" s="13"/>
      <c r="AK4428" s="13"/>
      <c r="AL4428" s="13"/>
      <c r="AM4428" s="13"/>
      <c r="AN4428" s="13"/>
      <c r="AO4428" s="13"/>
      <c r="AP4428" s="13"/>
      <c r="AQ4428" s="13"/>
      <c r="AR4428" s="13"/>
      <c r="AS4428" s="13"/>
    </row>
    <row r="4429" ht="14.25" customHeight="1">
      <c r="A4429" s="13" t="s">
        <v>46</v>
      </c>
      <c r="B4429" s="13" t="s">
        <v>53</v>
      </c>
      <c r="C4429" s="13">
        <v>143.0</v>
      </c>
      <c r="D4429" s="13" t="s">
        <v>180</v>
      </c>
      <c r="E4429" s="13"/>
      <c r="F4429" s="13"/>
      <c r="G4429" s="13" t="s">
        <v>74</v>
      </c>
      <c r="H4429" s="13" t="s">
        <v>75</v>
      </c>
      <c r="I4429" s="13"/>
      <c r="J4429" s="13"/>
      <c r="K4429" s="15">
        <v>0.0</v>
      </c>
      <c r="L4429" s="15">
        <v>0.0</v>
      </c>
      <c r="M4429" s="16"/>
      <c r="N4429" s="16"/>
      <c r="O4429" s="17"/>
      <c r="P4429" s="17"/>
      <c r="Q4429" s="13"/>
      <c r="R4429" s="13"/>
      <c r="S4429" s="13"/>
      <c r="T4429" s="13">
        <f t="shared" ref="T4429:Y4429" si="4763">IF(ISBLANK(K4429)=TRUE,0,1)</f>
        <v>1</v>
      </c>
      <c r="U4429" s="13">
        <f t="shared" si="4763"/>
        <v>1</v>
      </c>
      <c r="V4429" s="13">
        <f t="shared" si="4763"/>
        <v>0</v>
      </c>
      <c r="W4429" s="13">
        <f t="shared" si="4763"/>
        <v>0</v>
      </c>
      <c r="X4429" s="13">
        <f t="shared" si="4763"/>
        <v>0</v>
      </c>
      <c r="Y4429" s="13">
        <f t="shared" si="4763"/>
        <v>0</v>
      </c>
      <c r="Z4429" s="13">
        <f t="shared" si="4541"/>
        <v>0</v>
      </c>
      <c r="AA4429" s="13" t="s">
        <v>2161</v>
      </c>
      <c r="AB4429" s="13"/>
      <c r="AC4429" s="13"/>
      <c r="AD4429" s="13"/>
      <c r="AE4429" s="13"/>
      <c r="AF4429" s="13"/>
      <c r="AG4429" s="13"/>
      <c r="AH4429" s="13"/>
      <c r="AI4429" s="13"/>
      <c r="AJ4429" s="13"/>
      <c r="AK4429" s="13"/>
      <c r="AL4429" s="13"/>
      <c r="AM4429" s="13"/>
      <c r="AN4429" s="13"/>
      <c r="AO4429" s="13"/>
      <c r="AP4429" s="13"/>
      <c r="AQ4429" s="13"/>
      <c r="AR4429" s="13"/>
      <c r="AS4429" s="13"/>
    </row>
    <row r="4430" ht="14.25" customHeight="1">
      <c r="A4430" s="13" t="s">
        <v>46</v>
      </c>
      <c r="B4430" s="13" t="s">
        <v>53</v>
      </c>
      <c r="C4430" s="13">
        <v>143.0</v>
      </c>
      <c r="D4430" s="13" t="s">
        <v>181</v>
      </c>
      <c r="E4430" s="13"/>
      <c r="F4430" s="13"/>
      <c r="G4430" s="13" t="s">
        <v>74</v>
      </c>
      <c r="H4430" s="13" t="s">
        <v>75</v>
      </c>
      <c r="I4430" s="13"/>
      <c r="J4430" s="13"/>
      <c r="K4430" s="15">
        <v>0.0</v>
      </c>
      <c r="L4430" s="15">
        <v>0.0</v>
      </c>
      <c r="M4430" s="16"/>
      <c r="N4430" s="16"/>
      <c r="O4430" s="17"/>
      <c r="P4430" s="17"/>
      <c r="Q4430" s="13"/>
      <c r="R4430" s="13"/>
      <c r="S4430" s="13"/>
      <c r="T4430" s="13">
        <f t="shared" ref="T4430:Y4430" si="4764">IF(ISBLANK(K4430)=TRUE,0,1)</f>
        <v>1</v>
      </c>
      <c r="U4430" s="13">
        <f t="shared" si="4764"/>
        <v>1</v>
      </c>
      <c r="V4430" s="13">
        <f t="shared" si="4764"/>
        <v>0</v>
      </c>
      <c r="W4430" s="13">
        <f t="shared" si="4764"/>
        <v>0</v>
      </c>
      <c r="X4430" s="13">
        <f t="shared" si="4764"/>
        <v>0</v>
      </c>
      <c r="Y4430" s="13">
        <f t="shared" si="4764"/>
        <v>0</v>
      </c>
      <c r="Z4430" s="13">
        <f t="shared" si="4541"/>
        <v>0</v>
      </c>
      <c r="AA4430" s="13" t="s">
        <v>2161</v>
      </c>
      <c r="AB4430" s="13"/>
      <c r="AC4430" s="13"/>
      <c r="AD4430" s="13"/>
      <c r="AE4430" s="13"/>
      <c r="AF4430" s="13"/>
      <c r="AG4430" s="13"/>
      <c r="AH4430" s="13"/>
      <c r="AI4430" s="13"/>
      <c r="AJ4430" s="13"/>
      <c r="AK4430" s="13"/>
      <c r="AL4430" s="13"/>
      <c r="AM4430" s="13"/>
      <c r="AN4430" s="13"/>
      <c r="AO4430" s="13"/>
      <c r="AP4430" s="13"/>
      <c r="AQ4430" s="13"/>
      <c r="AR4430" s="13"/>
      <c r="AS4430" s="13"/>
    </row>
    <row r="4431" ht="14.25" customHeight="1">
      <c r="A4431" s="13" t="s">
        <v>46</v>
      </c>
      <c r="B4431" s="13" t="s">
        <v>53</v>
      </c>
      <c r="C4431" s="13">
        <v>143.0</v>
      </c>
      <c r="D4431" s="13" t="s">
        <v>182</v>
      </c>
      <c r="E4431" s="13"/>
      <c r="F4431" s="13"/>
      <c r="G4431" s="13" t="s">
        <v>74</v>
      </c>
      <c r="H4431" s="13" t="s">
        <v>75</v>
      </c>
      <c r="I4431" s="13"/>
      <c r="J4431" s="13"/>
      <c r="K4431" s="15">
        <v>0.0</v>
      </c>
      <c r="L4431" s="15">
        <v>0.0</v>
      </c>
      <c r="M4431" s="16"/>
      <c r="N4431" s="16"/>
      <c r="O4431" s="17"/>
      <c r="P4431" s="17"/>
      <c r="Q4431" s="13"/>
      <c r="R4431" s="13"/>
      <c r="S4431" s="13"/>
      <c r="T4431" s="13">
        <f t="shared" ref="T4431:Y4431" si="4765">IF(ISBLANK(K4431)=TRUE,0,1)</f>
        <v>1</v>
      </c>
      <c r="U4431" s="13">
        <f t="shared" si="4765"/>
        <v>1</v>
      </c>
      <c r="V4431" s="13">
        <f t="shared" si="4765"/>
        <v>0</v>
      </c>
      <c r="W4431" s="13">
        <f t="shared" si="4765"/>
        <v>0</v>
      </c>
      <c r="X4431" s="13">
        <f t="shared" si="4765"/>
        <v>0</v>
      </c>
      <c r="Y4431" s="13">
        <f t="shared" si="4765"/>
        <v>0</v>
      </c>
      <c r="Z4431" s="13">
        <f t="shared" si="4541"/>
        <v>0</v>
      </c>
      <c r="AA4431" s="13" t="s">
        <v>2161</v>
      </c>
      <c r="AB4431" s="13"/>
      <c r="AC4431" s="13"/>
      <c r="AD4431" s="13"/>
      <c r="AE4431" s="13"/>
      <c r="AF4431" s="13"/>
      <c r="AG4431" s="13"/>
      <c r="AH4431" s="13"/>
      <c r="AI4431" s="13"/>
      <c r="AJ4431" s="13"/>
      <c r="AK4431" s="13"/>
      <c r="AL4431" s="13"/>
      <c r="AM4431" s="13"/>
      <c r="AN4431" s="13"/>
      <c r="AO4431" s="13"/>
      <c r="AP4431" s="13"/>
      <c r="AQ4431" s="13"/>
      <c r="AR4431" s="13"/>
      <c r="AS4431" s="13"/>
    </row>
    <row r="4432" ht="14.25" customHeight="1">
      <c r="A4432" s="13" t="s">
        <v>46</v>
      </c>
      <c r="B4432" s="13" t="s">
        <v>53</v>
      </c>
      <c r="C4432" s="13">
        <v>143.0</v>
      </c>
      <c r="D4432" s="13" t="s">
        <v>183</v>
      </c>
      <c r="E4432" s="13"/>
      <c r="F4432" s="13"/>
      <c r="G4432" s="13" t="s">
        <v>74</v>
      </c>
      <c r="H4432" s="13" t="s">
        <v>75</v>
      </c>
      <c r="I4432" s="13"/>
      <c r="J4432" s="13"/>
      <c r="K4432" s="15">
        <v>0.0</v>
      </c>
      <c r="L4432" s="15">
        <v>0.0</v>
      </c>
      <c r="M4432" s="16"/>
      <c r="N4432" s="16"/>
      <c r="O4432" s="17"/>
      <c r="P4432" s="17"/>
      <c r="Q4432" s="13"/>
      <c r="R4432" s="13"/>
      <c r="S4432" s="13"/>
      <c r="T4432" s="13">
        <f t="shared" ref="T4432:Y4432" si="4766">IF(ISBLANK(K4432)=TRUE,0,1)</f>
        <v>1</v>
      </c>
      <c r="U4432" s="13">
        <f t="shared" si="4766"/>
        <v>1</v>
      </c>
      <c r="V4432" s="13">
        <f t="shared" si="4766"/>
        <v>0</v>
      </c>
      <c r="W4432" s="13">
        <f t="shared" si="4766"/>
        <v>0</v>
      </c>
      <c r="X4432" s="13">
        <f t="shared" si="4766"/>
        <v>0</v>
      </c>
      <c r="Y4432" s="13">
        <f t="shared" si="4766"/>
        <v>0</v>
      </c>
      <c r="Z4432" s="13">
        <f t="shared" si="4541"/>
        <v>0</v>
      </c>
      <c r="AA4432" s="13" t="s">
        <v>2161</v>
      </c>
      <c r="AB4432" s="13"/>
      <c r="AC4432" s="13"/>
      <c r="AD4432" s="13"/>
      <c r="AE4432" s="13"/>
      <c r="AF4432" s="13"/>
      <c r="AG4432" s="13"/>
      <c r="AH4432" s="13"/>
      <c r="AI4432" s="13"/>
      <c r="AJ4432" s="13"/>
      <c r="AK4432" s="13"/>
      <c r="AL4432" s="13"/>
      <c r="AM4432" s="13"/>
      <c r="AN4432" s="13"/>
      <c r="AO4432" s="13"/>
      <c r="AP4432" s="13"/>
      <c r="AQ4432" s="13"/>
      <c r="AR4432" s="13"/>
      <c r="AS4432" s="13"/>
    </row>
    <row r="4433" ht="14.25" customHeight="1">
      <c r="A4433" s="13" t="s">
        <v>46</v>
      </c>
      <c r="B4433" s="13" t="s">
        <v>53</v>
      </c>
      <c r="C4433" s="13">
        <v>106.0</v>
      </c>
      <c r="D4433" s="13" t="s">
        <v>174</v>
      </c>
      <c r="E4433" s="13"/>
      <c r="F4433" s="13"/>
      <c r="G4433" s="13" t="s">
        <v>74</v>
      </c>
      <c r="H4433" s="13" t="s">
        <v>75</v>
      </c>
      <c r="I4433" s="13"/>
      <c r="J4433" s="13"/>
      <c r="K4433" s="15">
        <v>0.0</v>
      </c>
      <c r="L4433" s="15">
        <v>0.0</v>
      </c>
      <c r="M4433" s="16"/>
      <c r="N4433" s="16"/>
      <c r="O4433" s="17"/>
      <c r="P4433" s="17"/>
      <c r="Q4433" s="13"/>
      <c r="R4433" s="13"/>
      <c r="S4433" s="13"/>
      <c r="T4433" s="13">
        <f t="shared" ref="T4433:Y4433" si="4767">IF(ISBLANK(K4433)=TRUE,0,1)</f>
        <v>1</v>
      </c>
      <c r="U4433" s="13">
        <f t="shared" si="4767"/>
        <v>1</v>
      </c>
      <c r="V4433" s="13">
        <f t="shared" si="4767"/>
        <v>0</v>
      </c>
      <c r="W4433" s="13">
        <f t="shared" si="4767"/>
        <v>0</v>
      </c>
      <c r="X4433" s="13">
        <f t="shared" si="4767"/>
        <v>0</v>
      </c>
      <c r="Y4433" s="13">
        <f t="shared" si="4767"/>
        <v>0</v>
      </c>
      <c r="Z4433" s="13">
        <f t="shared" si="4541"/>
        <v>0</v>
      </c>
      <c r="AA4433" s="13" t="s">
        <v>2161</v>
      </c>
      <c r="AB4433" s="13"/>
      <c r="AC4433" s="13"/>
      <c r="AD4433" s="13"/>
      <c r="AE4433" s="13"/>
      <c r="AF4433" s="13"/>
      <c r="AG4433" s="13"/>
      <c r="AH4433" s="13"/>
      <c r="AI4433" s="13"/>
      <c r="AJ4433" s="13"/>
      <c r="AK4433" s="13"/>
      <c r="AL4433" s="13"/>
      <c r="AM4433" s="13"/>
      <c r="AN4433" s="13"/>
      <c r="AO4433" s="13"/>
      <c r="AP4433" s="13"/>
      <c r="AQ4433" s="13"/>
      <c r="AR4433" s="13"/>
      <c r="AS4433" s="13"/>
    </row>
    <row r="4434" ht="14.25" customHeight="1">
      <c r="A4434" s="13" t="s">
        <v>46</v>
      </c>
      <c r="B4434" s="13" t="s">
        <v>53</v>
      </c>
      <c r="C4434" s="13">
        <v>106.0</v>
      </c>
      <c r="D4434" s="13" t="s">
        <v>175</v>
      </c>
      <c r="E4434" s="13"/>
      <c r="F4434" s="13"/>
      <c r="G4434" s="13" t="s">
        <v>74</v>
      </c>
      <c r="H4434" s="13" t="s">
        <v>75</v>
      </c>
      <c r="I4434" s="13"/>
      <c r="J4434" s="13"/>
      <c r="K4434" s="15">
        <v>0.0</v>
      </c>
      <c r="L4434" s="15">
        <v>0.0</v>
      </c>
      <c r="M4434" s="16"/>
      <c r="N4434" s="16"/>
      <c r="O4434" s="17"/>
      <c r="P4434" s="17"/>
      <c r="Q4434" s="13"/>
      <c r="R4434" s="13"/>
      <c r="S4434" s="13"/>
      <c r="T4434" s="13">
        <f t="shared" ref="T4434:Y4434" si="4768">IF(ISBLANK(K4434)=TRUE,0,1)</f>
        <v>1</v>
      </c>
      <c r="U4434" s="13">
        <f t="shared" si="4768"/>
        <v>1</v>
      </c>
      <c r="V4434" s="13">
        <f t="shared" si="4768"/>
        <v>0</v>
      </c>
      <c r="W4434" s="13">
        <f t="shared" si="4768"/>
        <v>0</v>
      </c>
      <c r="X4434" s="13">
        <f t="shared" si="4768"/>
        <v>0</v>
      </c>
      <c r="Y4434" s="13">
        <f t="shared" si="4768"/>
        <v>0</v>
      </c>
      <c r="Z4434" s="13">
        <f t="shared" si="4541"/>
        <v>0</v>
      </c>
      <c r="AA4434" s="13" t="s">
        <v>2161</v>
      </c>
      <c r="AB4434" s="13"/>
      <c r="AC4434" s="13"/>
      <c r="AD4434" s="13"/>
      <c r="AE4434" s="13"/>
      <c r="AF4434" s="13"/>
      <c r="AG4434" s="13"/>
      <c r="AH4434" s="13"/>
      <c r="AI4434" s="13"/>
      <c r="AJ4434" s="13"/>
      <c r="AK4434" s="13"/>
      <c r="AL4434" s="13"/>
      <c r="AM4434" s="13"/>
      <c r="AN4434" s="13"/>
      <c r="AO4434" s="13"/>
      <c r="AP4434" s="13"/>
      <c r="AQ4434" s="13"/>
      <c r="AR4434" s="13"/>
      <c r="AS4434" s="13"/>
    </row>
    <row r="4435" ht="14.25" customHeight="1">
      <c r="A4435" s="13" t="s">
        <v>46</v>
      </c>
      <c r="B4435" s="13" t="s">
        <v>53</v>
      </c>
      <c r="C4435" s="13">
        <v>106.0</v>
      </c>
      <c r="D4435" s="13" t="s">
        <v>176</v>
      </c>
      <c r="E4435" s="13"/>
      <c r="F4435" s="13"/>
      <c r="G4435" s="13" t="s">
        <v>74</v>
      </c>
      <c r="H4435" s="13" t="s">
        <v>75</v>
      </c>
      <c r="I4435" s="13"/>
      <c r="J4435" s="13"/>
      <c r="K4435" s="15">
        <v>0.0</v>
      </c>
      <c r="L4435" s="15">
        <v>0.0</v>
      </c>
      <c r="M4435" s="16"/>
      <c r="N4435" s="16"/>
      <c r="O4435" s="17"/>
      <c r="P4435" s="17"/>
      <c r="Q4435" s="13"/>
      <c r="R4435" s="13"/>
      <c r="S4435" s="13"/>
      <c r="T4435" s="13">
        <f t="shared" ref="T4435:Y4435" si="4769">IF(ISBLANK(K4435)=TRUE,0,1)</f>
        <v>1</v>
      </c>
      <c r="U4435" s="13">
        <f t="shared" si="4769"/>
        <v>1</v>
      </c>
      <c r="V4435" s="13">
        <f t="shared" si="4769"/>
        <v>0</v>
      </c>
      <c r="W4435" s="13">
        <f t="shared" si="4769"/>
        <v>0</v>
      </c>
      <c r="X4435" s="13">
        <f t="shared" si="4769"/>
        <v>0</v>
      </c>
      <c r="Y4435" s="13">
        <f t="shared" si="4769"/>
        <v>0</v>
      </c>
      <c r="Z4435" s="13">
        <f t="shared" si="4541"/>
        <v>0</v>
      </c>
      <c r="AA4435" s="13" t="s">
        <v>2161</v>
      </c>
      <c r="AB4435" s="13"/>
      <c r="AC4435" s="13"/>
      <c r="AD4435" s="13"/>
      <c r="AE4435" s="13"/>
      <c r="AF4435" s="13"/>
      <c r="AG4435" s="13"/>
      <c r="AH4435" s="13"/>
      <c r="AI4435" s="13"/>
      <c r="AJ4435" s="13"/>
      <c r="AK4435" s="13"/>
      <c r="AL4435" s="13"/>
      <c r="AM4435" s="13"/>
      <c r="AN4435" s="13"/>
      <c r="AO4435" s="13"/>
      <c r="AP4435" s="13"/>
      <c r="AQ4435" s="13"/>
      <c r="AR4435" s="13"/>
      <c r="AS4435" s="13"/>
    </row>
    <row r="4436" ht="14.25" customHeight="1">
      <c r="A4436" s="13" t="s">
        <v>46</v>
      </c>
      <c r="B4436" s="13" t="s">
        <v>53</v>
      </c>
      <c r="C4436" s="13">
        <v>106.0</v>
      </c>
      <c r="D4436" s="13" t="s">
        <v>177</v>
      </c>
      <c r="E4436" s="13"/>
      <c r="F4436" s="13"/>
      <c r="G4436" s="13" t="s">
        <v>74</v>
      </c>
      <c r="H4436" s="13" t="s">
        <v>75</v>
      </c>
      <c r="I4436" s="13"/>
      <c r="J4436" s="13"/>
      <c r="K4436" s="15">
        <v>0.0</v>
      </c>
      <c r="L4436" s="15">
        <v>0.0</v>
      </c>
      <c r="M4436" s="16"/>
      <c r="N4436" s="16"/>
      <c r="O4436" s="17"/>
      <c r="P4436" s="17"/>
      <c r="Q4436" s="13"/>
      <c r="R4436" s="13"/>
      <c r="S4436" s="13"/>
      <c r="T4436" s="13">
        <f t="shared" ref="T4436:Y4436" si="4770">IF(ISBLANK(K4436)=TRUE,0,1)</f>
        <v>1</v>
      </c>
      <c r="U4436" s="13">
        <f t="shared" si="4770"/>
        <v>1</v>
      </c>
      <c r="V4436" s="13">
        <f t="shared" si="4770"/>
        <v>0</v>
      </c>
      <c r="W4436" s="13">
        <f t="shared" si="4770"/>
        <v>0</v>
      </c>
      <c r="X4436" s="13">
        <f t="shared" si="4770"/>
        <v>0</v>
      </c>
      <c r="Y4436" s="13">
        <f t="shared" si="4770"/>
        <v>0</v>
      </c>
      <c r="Z4436" s="13">
        <f t="shared" si="4541"/>
        <v>0</v>
      </c>
      <c r="AA4436" s="13" t="s">
        <v>2161</v>
      </c>
      <c r="AB4436" s="13"/>
      <c r="AC4436" s="13"/>
      <c r="AD4436" s="13"/>
      <c r="AE4436" s="13"/>
      <c r="AF4436" s="13"/>
      <c r="AG4436" s="13"/>
      <c r="AH4436" s="13"/>
      <c r="AI4436" s="13"/>
      <c r="AJ4436" s="13"/>
      <c r="AK4436" s="13"/>
      <c r="AL4436" s="13"/>
      <c r="AM4436" s="13"/>
      <c r="AN4436" s="13"/>
      <c r="AO4436" s="13"/>
      <c r="AP4436" s="13"/>
      <c r="AQ4436" s="13"/>
      <c r="AR4436" s="13"/>
      <c r="AS4436" s="13"/>
    </row>
    <row r="4437" ht="14.25" customHeight="1">
      <c r="A4437" s="13" t="s">
        <v>46</v>
      </c>
      <c r="B4437" s="13" t="s">
        <v>53</v>
      </c>
      <c r="C4437" s="13">
        <v>106.0</v>
      </c>
      <c r="D4437" s="34" t="s">
        <v>178</v>
      </c>
      <c r="E4437" s="13"/>
      <c r="F4437" s="13"/>
      <c r="G4437" s="13" t="s">
        <v>74</v>
      </c>
      <c r="H4437" s="13" t="s">
        <v>75</v>
      </c>
      <c r="I4437" s="13"/>
      <c r="J4437" s="13"/>
      <c r="K4437" s="15">
        <v>0.0</v>
      </c>
      <c r="L4437" s="15">
        <v>0.0</v>
      </c>
      <c r="M4437" s="16"/>
      <c r="N4437" s="16"/>
      <c r="O4437" s="17"/>
      <c r="P4437" s="17"/>
      <c r="Q4437" s="13"/>
      <c r="R4437" s="13"/>
      <c r="S4437" s="13"/>
      <c r="T4437" s="13">
        <f t="shared" ref="T4437:Y4437" si="4771">IF(ISBLANK(K4437)=TRUE,0,1)</f>
        <v>1</v>
      </c>
      <c r="U4437" s="13">
        <f t="shared" si="4771"/>
        <v>1</v>
      </c>
      <c r="V4437" s="13">
        <f t="shared" si="4771"/>
        <v>0</v>
      </c>
      <c r="W4437" s="13">
        <f t="shared" si="4771"/>
        <v>0</v>
      </c>
      <c r="X4437" s="13">
        <f t="shared" si="4771"/>
        <v>0</v>
      </c>
      <c r="Y4437" s="13">
        <f t="shared" si="4771"/>
        <v>0</v>
      </c>
      <c r="Z4437" s="13">
        <f t="shared" si="4541"/>
        <v>0</v>
      </c>
      <c r="AA4437" s="13" t="s">
        <v>2161</v>
      </c>
      <c r="AB4437" s="13"/>
      <c r="AC4437" s="13"/>
      <c r="AD4437" s="13"/>
      <c r="AE4437" s="13"/>
      <c r="AF4437" s="13"/>
      <c r="AG4437" s="13"/>
      <c r="AH4437" s="13"/>
      <c r="AI4437" s="13"/>
      <c r="AJ4437" s="13"/>
      <c r="AK4437" s="13"/>
      <c r="AL4437" s="13"/>
      <c r="AM4437" s="13"/>
      <c r="AN4437" s="13"/>
      <c r="AO4437" s="13"/>
      <c r="AP4437" s="13"/>
      <c r="AQ4437" s="13"/>
      <c r="AR4437" s="13"/>
      <c r="AS4437" s="13"/>
    </row>
    <row r="4438" ht="14.25" customHeight="1">
      <c r="A4438" s="13" t="s">
        <v>46</v>
      </c>
      <c r="B4438" s="13" t="s">
        <v>53</v>
      </c>
      <c r="C4438" s="13">
        <v>106.0</v>
      </c>
      <c r="D4438" s="13" t="s">
        <v>179</v>
      </c>
      <c r="E4438" s="13"/>
      <c r="F4438" s="13"/>
      <c r="G4438" s="13" t="s">
        <v>74</v>
      </c>
      <c r="H4438" s="13" t="s">
        <v>75</v>
      </c>
      <c r="I4438" s="13"/>
      <c r="J4438" s="13"/>
      <c r="K4438" s="15">
        <v>0.0</v>
      </c>
      <c r="L4438" s="15">
        <v>0.0</v>
      </c>
      <c r="M4438" s="16"/>
      <c r="N4438" s="16"/>
      <c r="O4438" s="17"/>
      <c r="P4438" s="17"/>
      <c r="Q4438" s="13"/>
      <c r="R4438" s="13"/>
      <c r="S4438" s="13"/>
      <c r="T4438" s="13">
        <f t="shared" ref="T4438:Y4438" si="4772">IF(ISBLANK(K4438)=TRUE,0,1)</f>
        <v>1</v>
      </c>
      <c r="U4438" s="13">
        <f t="shared" si="4772"/>
        <v>1</v>
      </c>
      <c r="V4438" s="13">
        <f t="shared" si="4772"/>
        <v>0</v>
      </c>
      <c r="W4438" s="13">
        <f t="shared" si="4772"/>
        <v>0</v>
      </c>
      <c r="X4438" s="13">
        <f t="shared" si="4772"/>
        <v>0</v>
      </c>
      <c r="Y4438" s="13">
        <f t="shared" si="4772"/>
        <v>0</v>
      </c>
      <c r="Z4438" s="13">
        <f t="shared" si="4541"/>
        <v>0</v>
      </c>
      <c r="AA4438" s="13" t="s">
        <v>2161</v>
      </c>
      <c r="AB4438" s="13"/>
      <c r="AC4438" s="13"/>
      <c r="AD4438" s="13"/>
      <c r="AE4438" s="13"/>
      <c r="AF4438" s="13"/>
      <c r="AG4438" s="13"/>
      <c r="AH4438" s="13"/>
      <c r="AI4438" s="13"/>
      <c r="AJ4438" s="13"/>
      <c r="AK4438" s="13"/>
      <c r="AL4438" s="13"/>
      <c r="AM4438" s="13"/>
      <c r="AN4438" s="13"/>
      <c r="AO4438" s="13"/>
      <c r="AP4438" s="13"/>
      <c r="AQ4438" s="13"/>
      <c r="AR4438" s="13"/>
      <c r="AS4438" s="13"/>
    </row>
    <row r="4439" ht="14.25" customHeight="1">
      <c r="A4439" s="13" t="s">
        <v>46</v>
      </c>
      <c r="B4439" s="13" t="s">
        <v>53</v>
      </c>
      <c r="C4439" s="13">
        <v>106.0</v>
      </c>
      <c r="D4439" s="13" t="s">
        <v>180</v>
      </c>
      <c r="E4439" s="13"/>
      <c r="F4439" s="13"/>
      <c r="G4439" s="13" t="s">
        <v>74</v>
      </c>
      <c r="H4439" s="13" t="s">
        <v>75</v>
      </c>
      <c r="I4439" s="13"/>
      <c r="J4439" s="13"/>
      <c r="K4439" s="15">
        <v>0.0</v>
      </c>
      <c r="L4439" s="15">
        <v>0.0</v>
      </c>
      <c r="M4439" s="16"/>
      <c r="N4439" s="16"/>
      <c r="O4439" s="17"/>
      <c r="P4439" s="17"/>
      <c r="Q4439" s="13"/>
      <c r="R4439" s="13"/>
      <c r="S4439" s="13"/>
      <c r="T4439" s="13">
        <f t="shared" ref="T4439:Y4439" si="4773">IF(ISBLANK(K4439)=TRUE,0,1)</f>
        <v>1</v>
      </c>
      <c r="U4439" s="13">
        <f t="shared" si="4773"/>
        <v>1</v>
      </c>
      <c r="V4439" s="13">
        <f t="shared" si="4773"/>
        <v>0</v>
      </c>
      <c r="W4439" s="13">
        <f t="shared" si="4773"/>
        <v>0</v>
      </c>
      <c r="X4439" s="13">
        <f t="shared" si="4773"/>
        <v>0</v>
      </c>
      <c r="Y4439" s="13">
        <f t="shared" si="4773"/>
        <v>0</v>
      </c>
      <c r="Z4439" s="13">
        <f t="shared" si="4541"/>
        <v>0</v>
      </c>
      <c r="AA4439" s="13" t="s">
        <v>2161</v>
      </c>
      <c r="AB4439" s="13"/>
      <c r="AC4439" s="13"/>
      <c r="AD4439" s="13"/>
      <c r="AE4439" s="13"/>
      <c r="AF4439" s="13"/>
      <c r="AG4439" s="13"/>
      <c r="AH4439" s="13"/>
      <c r="AI4439" s="13"/>
      <c r="AJ4439" s="13"/>
      <c r="AK4439" s="13"/>
      <c r="AL4439" s="13"/>
      <c r="AM4439" s="13"/>
      <c r="AN4439" s="13"/>
      <c r="AO4439" s="13"/>
      <c r="AP4439" s="13"/>
      <c r="AQ4439" s="13"/>
      <c r="AR4439" s="13"/>
      <c r="AS4439" s="13"/>
    </row>
    <row r="4440" ht="14.25" customHeight="1">
      <c r="A4440" s="13" t="s">
        <v>29</v>
      </c>
      <c r="B4440" s="13" t="s">
        <v>34</v>
      </c>
      <c r="C4440" s="13" t="s">
        <v>2162</v>
      </c>
      <c r="D4440" s="13"/>
      <c r="E4440" s="13" t="str">
        <f t="shared" ref="E4440:E4442" si="4775">CONCATENATE(B4440,",",C4440,",",D4440,",",Z4440)</f>
        <v>LPEF,28-1-1,,0</v>
      </c>
      <c r="F4440" s="13"/>
      <c r="G4440" s="13" t="s">
        <v>74</v>
      </c>
      <c r="H4440" s="13" t="s">
        <v>75</v>
      </c>
      <c r="I4440" s="13"/>
      <c r="J4440" s="13"/>
      <c r="K4440" s="15">
        <v>0.0</v>
      </c>
      <c r="L4440" s="15">
        <v>0.0</v>
      </c>
      <c r="M4440" s="16"/>
      <c r="N4440" s="16"/>
      <c r="O4440" s="17"/>
      <c r="P4440" s="17"/>
      <c r="Q4440" s="13"/>
      <c r="R4440" s="13"/>
      <c r="S4440" s="13"/>
      <c r="T4440" s="13">
        <f t="shared" ref="T4440:Y4440" si="4774">IF(ISBLANK(K4440)=TRUE,0,1)</f>
        <v>1</v>
      </c>
      <c r="U4440" s="13">
        <f t="shared" si="4774"/>
        <v>1</v>
      </c>
      <c r="V4440" s="13">
        <f t="shared" si="4774"/>
        <v>0</v>
      </c>
      <c r="W4440" s="13">
        <f t="shared" si="4774"/>
        <v>0</v>
      </c>
      <c r="X4440" s="13">
        <f t="shared" si="4774"/>
        <v>0</v>
      </c>
      <c r="Y4440" s="13">
        <f t="shared" si="4774"/>
        <v>0</v>
      </c>
      <c r="Z4440" s="13">
        <f t="shared" si="4541"/>
        <v>0</v>
      </c>
      <c r="AA4440" s="13" t="s">
        <v>2163</v>
      </c>
      <c r="AB4440" s="13"/>
      <c r="AC4440" s="13"/>
      <c r="AD4440" s="13"/>
      <c r="AE4440" s="13"/>
      <c r="AF4440" s="13"/>
      <c r="AG4440" s="13"/>
      <c r="AH4440" s="13"/>
      <c r="AI4440" s="13"/>
      <c r="AJ4440" s="13"/>
      <c r="AK4440" s="13"/>
      <c r="AL4440" s="13"/>
      <c r="AM4440" s="13"/>
      <c r="AN4440" s="13"/>
      <c r="AO4440" s="13"/>
      <c r="AP4440" s="13"/>
      <c r="AQ4440" s="13"/>
      <c r="AR4440" s="13"/>
      <c r="AS4440" s="13"/>
    </row>
    <row r="4441" ht="14.25" customHeight="1">
      <c r="A4441" s="13" t="s">
        <v>29</v>
      </c>
      <c r="B4441" s="13" t="s">
        <v>34</v>
      </c>
      <c r="C4441" s="13" t="s">
        <v>2164</v>
      </c>
      <c r="D4441" s="13"/>
      <c r="E4441" s="13" t="str">
        <f t="shared" si="4775"/>
        <v>LPEF,28-1-2,,0</v>
      </c>
      <c r="F4441" s="13"/>
      <c r="G4441" s="13" t="s">
        <v>74</v>
      </c>
      <c r="H4441" s="13" t="s">
        <v>75</v>
      </c>
      <c r="I4441" s="13"/>
      <c r="J4441" s="13"/>
      <c r="K4441" s="15">
        <v>0.0</v>
      </c>
      <c r="L4441" s="15">
        <v>0.0</v>
      </c>
      <c r="M4441" s="16"/>
      <c r="N4441" s="16"/>
      <c r="O4441" s="17"/>
      <c r="P4441" s="17"/>
      <c r="Q4441" s="13"/>
      <c r="R4441" s="13"/>
      <c r="S4441" s="13"/>
      <c r="T4441" s="13">
        <f t="shared" ref="T4441:Y4441" si="4776">IF(ISBLANK(K4441)=TRUE,0,1)</f>
        <v>1</v>
      </c>
      <c r="U4441" s="13">
        <f t="shared" si="4776"/>
        <v>1</v>
      </c>
      <c r="V4441" s="13">
        <f t="shared" si="4776"/>
        <v>0</v>
      </c>
      <c r="W4441" s="13">
        <f t="shared" si="4776"/>
        <v>0</v>
      </c>
      <c r="X4441" s="13">
        <f t="shared" si="4776"/>
        <v>0</v>
      </c>
      <c r="Y4441" s="13">
        <f t="shared" si="4776"/>
        <v>0</v>
      </c>
      <c r="Z4441" s="13">
        <f t="shared" si="4541"/>
        <v>0</v>
      </c>
      <c r="AA4441" s="13" t="s">
        <v>2163</v>
      </c>
      <c r="AB4441" s="13"/>
      <c r="AC4441" s="13"/>
      <c r="AD4441" s="13"/>
      <c r="AE4441" s="13"/>
      <c r="AF4441" s="13"/>
      <c r="AG4441" s="13"/>
      <c r="AH4441" s="13"/>
      <c r="AI4441" s="13"/>
      <c r="AJ4441" s="13"/>
      <c r="AK4441" s="13"/>
      <c r="AL4441" s="13"/>
      <c r="AM4441" s="13"/>
      <c r="AN4441" s="13"/>
      <c r="AO4441" s="13"/>
      <c r="AP4441" s="13"/>
      <c r="AQ4441" s="13"/>
      <c r="AR4441" s="13"/>
      <c r="AS4441" s="13"/>
    </row>
    <row r="4442" ht="14.25" customHeight="1">
      <c r="A4442" s="13" t="s">
        <v>29</v>
      </c>
      <c r="B4442" s="13" t="s">
        <v>34</v>
      </c>
      <c r="C4442" s="13" t="s">
        <v>2165</v>
      </c>
      <c r="D4442" s="13"/>
      <c r="E4442" s="13" t="str">
        <f t="shared" si="4775"/>
        <v>LPEF,28-1-3,,0</v>
      </c>
      <c r="F4442" s="13"/>
      <c r="G4442" s="13" t="s">
        <v>74</v>
      </c>
      <c r="H4442" s="13" t="s">
        <v>75</v>
      </c>
      <c r="I4442" s="13"/>
      <c r="J4442" s="13"/>
      <c r="K4442" s="15">
        <v>0.0</v>
      </c>
      <c r="L4442" s="15">
        <v>0.0</v>
      </c>
      <c r="M4442" s="16"/>
      <c r="N4442" s="16"/>
      <c r="O4442" s="17"/>
      <c r="P4442" s="17"/>
      <c r="Q4442" s="13"/>
      <c r="R4442" s="13"/>
      <c r="S4442" s="13"/>
      <c r="T4442" s="13">
        <f t="shared" ref="T4442:Y4442" si="4777">IF(ISBLANK(K4442)=TRUE,0,1)</f>
        <v>1</v>
      </c>
      <c r="U4442" s="13">
        <f t="shared" si="4777"/>
        <v>1</v>
      </c>
      <c r="V4442" s="13">
        <f t="shared" si="4777"/>
        <v>0</v>
      </c>
      <c r="W4442" s="13">
        <f t="shared" si="4777"/>
        <v>0</v>
      </c>
      <c r="X4442" s="13">
        <f t="shared" si="4777"/>
        <v>0</v>
      </c>
      <c r="Y4442" s="13">
        <f t="shared" si="4777"/>
        <v>0</v>
      </c>
      <c r="Z4442" s="13">
        <f t="shared" si="4541"/>
        <v>0</v>
      </c>
      <c r="AA4442" s="13" t="s">
        <v>2163</v>
      </c>
      <c r="AB4442" s="13"/>
      <c r="AC4442" s="13"/>
      <c r="AD4442" s="13"/>
      <c r="AE4442" s="13"/>
      <c r="AF4442" s="13"/>
      <c r="AG4442" s="13"/>
      <c r="AH4442" s="13"/>
      <c r="AI4442" s="13"/>
      <c r="AJ4442" s="13"/>
      <c r="AK4442" s="13"/>
      <c r="AL4442" s="13"/>
      <c r="AM4442" s="13"/>
      <c r="AN4442" s="13"/>
      <c r="AO4442" s="13"/>
      <c r="AP4442" s="13"/>
      <c r="AQ4442" s="13"/>
      <c r="AR4442" s="13"/>
      <c r="AS4442" s="13"/>
    </row>
    <row r="4443" ht="14.25" customHeight="1">
      <c r="A4443" s="13"/>
      <c r="B4443" s="13"/>
      <c r="C4443" s="13"/>
      <c r="D4443" s="13"/>
      <c r="E4443" s="13"/>
      <c r="F4443" s="13"/>
      <c r="G4443" s="13"/>
      <c r="H4443" s="13"/>
      <c r="I4443" s="13"/>
      <c r="J4443" s="13"/>
      <c r="K4443" s="15"/>
      <c r="L4443" s="15"/>
      <c r="M4443" s="16"/>
      <c r="N4443" s="16"/>
      <c r="O4443" s="17"/>
      <c r="P4443" s="17"/>
      <c r="Q4443" s="13"/>
      <c r="R4443" s="13"/>
      <c r="S4443" s="13"/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3"/>
      <c r="AD4443" s="13"/>
      <c r="AE4443" s="13"/>
      <c r="AF4443" s="13"/>
      <c r="AG4443" s="13"/>
      <c r="AH4443" s="13"/>
      <c r="AI4443" s="13"/>
      <c r="AJ4443" s="13"/>
      <c r="AK4443" s="13"/>
      <c r="AL4443" s="13"/>
      <c r="AM4443" s="13"/>
      <c r="AN4443" s="13"/>
      <c r="AO4443" s="13"/>
      <c r="AP4443" s="13"/>
      <c r="AQ4443" s="13"/>
      <c r="AR4443" s="13"/>
      <c r="AS4443" s="13"/>
    </row>
    <row r="4444" ht="14.25" customHeight="1">
      <c r="A4444" s="13"/>
      <c r="B4444" s="13"/>
      <c r="C4444" s="13"/>
      <c r="D4444" s="13"/>
      <c r="E4444" s="13"/>
      <c r="F4444" s="13"/>
      <c r="G4444" s="13"/>
      <c r="H4444" s="13"/>
      <c r="I4444" s="13"/>
      <c r="J4444" s="13"/>
      <c r="K4444" s="15"/>
      <c r="L4444" s="15"/>
      <c r="M4444" s="16"/>
      <c r="N4444" s="16"/>
      <c r="O4444" s="17"/>
      <c r="P4444" s="17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  <c r="AG4444" s="13"/>
      <c r="AH4444" s="13"/>
      <c r="AI4444" s="13"/>
      <c r="AJ4444" s="13"/>
      <c r="AK4444" s="13"/>
      <c r="AL4444" s="13"/>
      <c r="AM4444" s="13"/>
      <c r="AN4444" s="13"/>
      <c r="AO4444" s="13"/>
      <c r="AP4444" s="13"/>
      <c r="AQ4444" s="13"/>
      <c r="AR4444" s="13"/>
      <c r="AS4444" s="13"/>
    </row>
    <row r="4445" ht="14.25" customHeight="1">
      <c r="A4445" s="13"/>
      <c r="B4445" s="13"/>
      <c r="C4445" s="13"/>
      <c r="D4445" s="13"/>
      <c r="E4445" s="13"/>
      <c r="F4445" s="13"/>
      <c r="G4445" s="13"/>
      <c r="H4445" s="13"/>
      <c r="I4445" s="13"/>
      <c r="J4445" s="13"/>
      <c r="K4445" s="15"/>
      <c r="L4445" s="15"/>
      <c r="M4445" s="16"/>
      <c r="N4445" s="16"/>
      <c r="O4445" s="17"/>
      <c r="P4445" s="17"/>
      <c r="Q4445" s="13"/>
      <c r="R4445" s="13"/>
      <c r="S4445" s="13"/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3"/>
      <c r="AD4445" s="13"/>
      <c r="AE4445" s="13"/>
      <c r="AF4445" s="13"/>
      <c r="AG4445" s="13"/>
      <c r="AH4445" s="13"/>
      <c r="AI4445" s="13"/>
      <c r="AJ4445" s="13"/>
      <c r="AK4445" s="13"/>
      <c r="AL4445" s="13"/>
      <c r="AM4445" s="13"/>
      <c r="AN4445" s="13"/>
      <c r="AO4445" s="13"/>
      <c r="AP4445" s="13"/>
      <c r="AQ4445" s="13"/>
      <c r="AR4445" s="13"/>
      <c r="AS4445" s="13"/>
    </row>
    <row r="4446" ht="14.25" customHeight="1">
      <c r="A4446" s="13"/>
      <c r="B4446" s="13"/>
      <c r="C4446" s="13"/>
      <c r="D4446" s="13"/>
      <c r="E4446" s="13"/>
      <c r="F4446" s="13"/>
      <c r="G4446" s="13"/>
      <c r="H4446" s="13"/>
      <c r="I4446" s="13"/>
      <c r="J4446" s="13"/>
      <c r="K4446" s="15"/>
      <c r="L4446" s="15"/>
      <c r="M4446" s="16"/>
      <c r="N4446" s="16"/>
      <c r="O4446" s="17"/>
      <c r="P4446" s="17"/>
      <c r="Q4446" s="13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  <c r="AG4446" s="13"/>
      <c r="AH4446" s="13"/>
      <c r="AI4446" s="13"/>
      <c r="AJ4446" s="13"/>
      <c r="AK4446" s="13"/>
      <c r="AL4446" s="13"/>
      <c r="AM4446" s="13"/>
      <c r="AN4446" s="13"/>
      <c r="AO4446" s="13"/>
      <c r="AP4446" s="13"/>
      <c r="AQ4446" s="13"/>
      <c r="AR4446" s="13"/>
      <c r="AS4446" s="13"/>
    </row>
    <row r="4447" ht="14.25" customHeight="1">
      <c r="A4447" s="13"/>
      <c r="B4447" s="13"/>
      <c r="C4447" s="13"/>
      <c r="D4447" s="13"/>
      <c r="E4447" s="13"/>
      <c r="F4447" s="13"/>
      <c r="G4447" s="13"/>
      <c r="H4447" s="13"/>
      <c r="I4447" s="13"/>
      <c r="J4447" s="13"/>
      <c r="K4447" s="15"/>
      <c r="L4447" s="15"/>
      <c r="M4447" s="16"/>
      <c r="N4447" s="16"/>
      <c r="O4447" s="17"/>
      <c r="P4447" s="17"/>
      <c r="Q4447" s="13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  <c r="AG4447" s="13"/>
      <c r="AH4447" s="13"/>
      <c r="AI4447" s="13"/>
      <c r="AJ4447" s="13"/>
      <c r="AK4447" s="13"/>
      <c r="AL4447" s="13"/>
      <c r="AM4447" s="13"/>
      <c r="AN4447" s="13"/>
      <c r="AO4447" s="13"/>
      <c r="AP4447" s="13"/>
      <c r="AQ4447" s="13"/>
      <c r="AR4447" s="13"/>
      <c r="AS4447" s="13"/>
    </row>
    <row r="4448" ht="14.25" customHeight="1">
      <c r="A4448" s="13"/>
      <c r="B4448" s="13"/>
      <c r="C4448" s="13"/>
      <c r="D4448" s="13"/>
      <c r="E4448" s="13"/>
      <c r="F4448" s="13"/>
      <c r="G4448" s="13"/>
      <c r="H4448" s="13"/>
      <c r="I4448" s="13"/>
      <c r="J4448" s="13"/>
      <c r="K4448" s="15"/>
      <c r="L4448" s="15"/>
      <c r="M4448" s="16"/>
      <c r="N4448" s="16"/>
      <c r="O4448" s="17"/>
      <c r="P4448" s="17"/>
      <c r="Q4448" s="13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  <c r="AG4448" s="13"/>
      <c r="AH4448" s="13"/>
      <c r="AI4448" s="13"/>
      <c r="AJ4448" s="13"/>
      <c r="AK4448" s="13"/>
      <c r="AL4448" s="13"/>
      <c r="AM4448" s="13"/>
      <c r="AN4448" s="13"/>
      <c r="AO4448" s="13"/>
      <c r="AP4448" s="13"/>
      <c r="AQ4448" s="13"/>
      <c r="AR4448" s="13"/>
      <c r="AS4448" s="13"/>
    </row>
    <row r="4449" ht="14.25" customHeight="1">
      <c r="A4449" s="13"/>
      <c r="B4449" s="13"/>
      <c r="C4449" s="13"/>
      <c r="D4449" s="13"/>
      <c r="E4449" s="13"/>
      <c r="F4449" s="13"/>
      <c r="G4449" s="13"/>
      <c r="H4449" s="13"/>
      <c r="I4449" s="13"/>
      <c r="J4449" s="13"/>
      <c r="K4449" s="15"/>
      <c r="L4449" s="15"/>
      <c r="M4449" s="16"/>
      <c r="N4449" s="16"/>
      <c r="O4449" s="17"/>
      <c r="P4449" s="17"/>
      <c r="Q4449" s="13"/>
      <c r="R4449" s="13"/>
      <c r="S4449" s="13"/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F4449" s="13"/>
      <c r="AG4449" s="13"/>
      <c r="AH4449" s="13"/>
      <c r="AI4449" s="13"/>
      <c r="AJ4449" s="13"/>
      <c r="AK4449" s="13"/>
      <c r="AL4449" s="13"/>
      <c r="AM4449" s="13"/>
      <c r="AN4449" s="13"/>
      <c r="AO4449" s="13"/>
      <c r="AP4449" s="13"/>
      <c r="AQ4449" s="13"/>
      <c r="AR4449" s="13"/>
      <c r="AS4449" s="13"/>
    </row>
    <row r="4450" ht="14.25" customHeight="1">
      <c r="A4450" s="13"/>
      <c r="B4450" s="13"/>
      <c r="C4450" s="13"/>
      <c r="D4450" s="13"/>
      <c r="E4450" s="13"/>
      <c r="F4450" s="13"/>
      <c r="G4450" s="13"/>
      <c r="H4450" s="13"/>
      <c r="I4450" s="13"/>
      <c r="J4450" s="13"/>
      <c r="K4450" s="15"/>
      <c r="L4450" s="15"/>
      <c r="M4450" s="16"/>
      <c r="N4450" s="16"/>
      <c r="O4450" s="17"/>
      <c r="P4450" s="17"/>
      <c r="Q4450" s="13"/>
      <c r="R4450" s="13"/>
      <c r="S4450" s="13"/>
      <c r="T4450" s="13"/>
      <c r="U4450" s="13"/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13"/>
      <c r="AG4450" s="13"/>
      <c r="AH4450" s="13"/>
      <c r="AI4450" s="13"/>
      <c r="AJ4450" s="13"/>
      <c r="AK4450" s="13"/>
      <c r="AL4450" s="13"/>
      <c r="AM4450" s="13"/>
      <c r="AN4450" s="13"/>
      <c r="AO4450" s="13"/>
      <c r="AP4450" s="13"/>
      <c r="AQ4450" s="13"/>
      <c r="AR4450" s="13"/>
      <c r="AS4450" s="13"/>
    </row>
    <row r="4451" ht="14.25" customHeight="1">
      <c r="A4451" s="13"/>
      <c r="B4451" s="13"/>
      <c r="C4451" s="13"/>
      <c r="D4451" s="13"/>
      <c r="E4451" s="13"/>
      <c r="F4451" s="13"/>
      <c r="G4451" s="13"/>
      <c r="H4451" s="13"/>
      <c r="I4451" s="13"/>
      <c r="J4451" s="13"/>
      <c r="K4451" s="15"/>
      <c r="L4451" s="15"/>
      <c r="M4451" s="16"/>
      <c r="N4451" s="16"/>
      <c r="O4451" s="17"/>
      <c r="P4451" s="17"/>
      <c r="Q4451" s="13"/>
      <c r="R4451" s="13"/>
      <c r="S4451" s="13"/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  <c r="AG4451" s="13"/>
      <c r="AH4451" s="13"/>
      <c r="AI4451" s="13"/>
      <c r="AJ4451" s="13"/>
      <c r="AK4451" s="13"/>
      <c r="AL4451" s="13"/>
      <c r="AM4451" s="13"/>
      <c r="AN4451" s="13"/>
      <c r="AO4451" s="13"/>
      <c r="AP4451" s="13"/>
      <c r="AQ4451" s="13"/>
      <c r="AR4451" s="13"/>
      <c r="AS4451" s="13"/>
    </row>
    <row r="4452" ht="14.25" customHeight="1">
      <c r="A4452" s="13"/>
      <c r="B4452" s="13"/>
      <c r="C4452" s="13"/>
      <c r="D4452" s="13"/>
      <c r="E4452" s="13"/>
      <c r="F4452" s="13"/>
      <c r="G4452" s="13"/>
      <c r="H4452" s="13"/>
      <c r="I4452" s="13"/>
      <c r="J4452" s="13"/>
      <c r="K4452" s="15"/>
      <c r="L4452" s="15"/>
      <c r="M4452" s="16"/>
      <c r="N4452" s="16"/>
      <c r="O4452" s="17"/>
      <c r="P4452" s="17"/>
      <c r="Q4452" s="13"/>
      <c r="R4452" s="13"/>
      <c r="S4452" s="13"/>
      <c r="T4452" s="13"/>
      <c r="U4452" s="13"/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  <c r="AG4452" s="13"/>
      <c r="AH4452" s="13"/>
      <c r="AI4452" s="13"/>
      <c r="AJ4452" s="13"/>
      <c r="AK4452" s="13"/>
      <c r="AL4452" s="13"/>
      <c r="AM4452" s="13"/>
      <c r="AN4452" s="13"/>
      <c r="AO4452" s="13"/>
      <c r="AP4452" s="13"/>
      <c r="AQ4452" s="13"/>
      <c r="AR4452" s="13"/>
      <c r="AS4452" s="13"/>
    </row>
    <row r="4453" ht="14.25" customHeight="1">
      <c r="A4453" s="13"/>
      <c r="B4453" s="13"/>
      <c r="C4453" s="13"/>
      <c r="D4453" s="13"/>
      <c r="E4453" s="13"/>
      <c r="F4453" s="13"/>
      <c r="G4453" s="13"/>
      <c r="H4453" s="13"/>
      <c r="I4453" s="13"/>
      <c r="J4453" s="13"/>
      <c r="K4453" s="15"/>
      <c r="L4453" s="15"/>
      <c r="M4453" s="16"/>
      <c r="N4453" s="16"/>
      <c r="O4453" s="17"/>
      <c r="P4453" s="17"/>
      <c r="Q4453" s="13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  <c r="AG4453" s="13"/>
      <c r="AH4453" s="13"/>
      <c r="AI4453" s="13"/>
      <c r="AJ4453" s="13"/>
      <c r="AK4453" s="13"/>
      <c r="AL4453" s="13"/>
      <c r="AM4453" s="13"/>
      <c r="AN4453" s="13"/>
      <c r="AO4453" s="13"/>
      <c r="AP4453" s="13"/>
      <c r="AQ4453" s="13"/>
      <c r="AR4453" s="13"/>
      <c r="AS4453" s="13"/>
    </row>
    <row r="4454" ht="14.25" customHeight="1">
      <c r="A4454" s="13"/>
      <c r="B4454" s="13"/>
      <c r="C4454" s="13"/>
      <c r="D4454" s="13"/>
      <c r="E4454" s="13"/>
      <c r="F4454" s="13"/>
      <c r="G4454" s="13"/>
      <c r="H4454" s="13"/>
      <c r="I4454" s="13"/>
      <c r="J4454" s="13"/>
      <c r="K4454" s="15"/>
      <c r="L4454" s="15"/>
      <c r="M4454" s="16"/>
      <c r="N4454" s="16"/>
      <c r="O4454" s="17"/>
      <c r="P4454" s="17"/>
      <c r="Q4454" s="13"/>
      <c r="R4454" s="13"/>
      <c r="S4454" s="13"/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  <c r="AG4454" s="13"/>
      <c r="AH4454" s="13"/>
      <c r="AI4454" s="13"/>
      <c r="AJ4454" s="13"/>
      <c r="AK4454" s="13"/>
      <c r="AL4454" s="13"/>
      <c r="AM4454" s="13"/>
      <c r="AN4454" s="13"/>
      <c r="AO4454" s="13"/>
      <c r="AP4454" s="13"/>
      <c r="AQ4454" s="13"/>
      <c r="AR4454" s="13"/>
      <c r="AS4454" s="13"/>
    </row>
    <row r="4455" ht="14.25" customHeight="1">
      <c r="A4455" s="13"/>
      <c r="B4455" s="13"/>
      <c r="C4455" s="13"/>
      <c r="D4455" s="13"/>
      <c r="E4455" s="13"/>
      <c r="F4455" s="13"/>
      <c r="G4455" s="13"/>
      <c r="H4455" s="13"/>
      <c r="I4455" s="13"/>
      <c r="J4455" s="13"/>
      <c r="K4455" s="15"/>
      <c r="L4455" s="15"/>
      <c r="M4455" s="16"/>
      <c r="N4455" s="16"/>
      <c r="O4455" s="17"/>
      <c r="P4455" s="17"/>
      <c r="Q4455" s="13"/>
      <c r="R4455" s="13"/>
      <c r="S4455" s="13"/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  <c r="AG4455" s="13"/>
      <c r="AH4455" s="13"/>
      <c r="AI4455" s="13"/>
      <c r="AJ4455" s="13"/>
      <c r="AK4455" s="13"/>
      <c r="AL4455" s="13"/>
      <c r="AM4455" s="13"/>
      <c r="AN4455" s="13"/>
      <c r="AO4455" s="13"/>
      <c r="AP4455" s="13"/>
      <c r="AQ4455" s="13"/>
      <c r="AR4455" s="13"/>
      <c r="AS4455" s="13"/>
    </row>
    <row r="4456" ht="14.25" customHeight="1">
      <c r="A4456" s="13"/>
      <c r="B4456" s="13"/>
      <c r="C4456" s="13"/>
      <c r="D4456" s="13"/>
      <c r="E4456" s="13"/>
      <c r="F4456" s="13"/>
      <c r="G4456" s="13"/>
      <c r="H4456" s="13"/>
      <c r="I4456" s="13"/>
      <c r="J4456" s="13"/>
      <c r="K4456" s="15"/>
      <c r="L4456" s="15"/>
      <c r="M4456" s="16"/>
      <c r="N4456" s="16"/>
      <c r="O4456" s="17"/>
      <c r="P4456" s="17"/>
      <c r="Q4456" s="13"/>
      <c r="R4456" s="13"/>
      <c r="S4456" s="13"/>
      <c r="T4456" s="13"/>
      <c r="U4456" s="13"/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  <c r="AG4456" s="13"/>
      <c r="AH4456" s="13"/>
      <c r="AI4456" s="13"/>
      <c r="AJ4456" s="13"/>
      <c r="AK4456" s="13"/>
      <c r="AL4456" s="13"/>
      <c r="AM4456" s="13"/>
      <c r="AN4456" s="13"/>
      <c r="AO4456" s="13"/>
      <c r="AP4456" s="13"/>
      <c r="AQ4456" s="13"/>
      <c r="AR4456" s="13"/>
      <c r="AS4456" s="13"/>
    </row>
    <row r="4457" ht="14.25" customHeight="1">
      <c r="A4457" s="13"/>
      <c r="B4457" s="13"/>
      <c r="C4457" s="13"/>
      <c r="D4457" s="13"/>
      <c r="E4457" s="13"/>
      <c r="F4457" s="13"/>
      <c r="G4457" s="13"/>
      <c r="H4457" s="13"/>
      <c r="I4457" s="13"/>
      <c r="J4457" s="13"/>
      <c r="K4457" s="15"/>
      <c r="L4457" s="15"/>
      <c r="M4457" s="16"/>
      <c r="N4457" s="16"/>
      <c r="O4457" s="17"/>
      <c r="P4457" s="17"/>
      <c r="Q4457" s="13"/>
      <c r="R4457" s="13"/>
      <c r="S4457" s="13"/>
      <c r="T4457" s="13"/>
      <c r="U4457" s="13"/>
      <c r="V4457" s="13"/>
      <c r="W4457" s="13"/>
      <c r="X4457" s="13"/>
      <c r="Y4457" s="13"/>
      <c r="Z4457" s="13"/>
      <c r="AA4457" s="13"/>
      <c r="AB4457" s="13"/>
      <c r="AC4457" s="13"/>
      <c r="AD4457" s="13"/>
      <c r="AE4457" s="13"/>
      <c r="AF4457" s="13"/>
      <c r="AG4457" s="13"/>
      <c r="AH4457" s="13"/>
      <c r="AI4457" s="13"/>
      <c r="AJ4457" s="13"/>
      <c r="AK4457" s="13"/>
      <c r="AL4457" s="13"/>
      <c r="AM4457" s="13"/>
      <c r="AN4457" s="13"/>
      <c r="AO4457" s="13"/>
      <c r="AP4457" s="13"/>
      <c r="AQ4457" s="13"/>
      <c r="AR4457" s="13"/>
      <c r="AS4457" s="13"/>
    </row>
    <row r="4458" ht="14.25" customHeight="1">
      <c r="A4458" s="13"/>
      <c r="B4458" s="13"/>
      <c r="C4458" s="13"/>
      <c r="D4458" s="13"/>
      <c r="E4458" s="13"/>
      <c r="F4458" s="13"/>
      <c r="G4458" s="13"/>
      <c r="H4458" s="13"/>
      <c r="I4458" s="13"/>
      <c r="J4458" s="13"/>
      <c r="K4458" s="15"/>
      <c r="L4458" s="15"/>
      <c r="M4458" s="16"/>
      <c r="N4458" s="16"/>
      <c r="O4458" s="17"/>
      <c r="P4458" s="17"/>
      <c r="Q4458" s="13"/>
      <c r="R4458" s="13"/>
      <c r="S4458" s="13"/>
      <c r="T4458" s="13"/>
      <c r="U4458" s="13"/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  <c r="AG4458" s="13"/>
      <c r="AH4458" s="13"/>
      <c r="AI4458" s="13"/>
      <c r="AJ4458" s="13"/>
      <c r="AK4458" s="13"/>
      <c r="AL4458" s="13"/>
      <c r="AM4458" s="13"/>
      <c r="AN4458" s="13"/>
      <c r="AO4458" s="13"/>
      <c r="AP4458" s="13"/>
      <c r="AQ4458" s="13"/>
      <c r="AR4458" s="13"/>
      <c r="AS4458" s="13"/>
    </row>
    <row r="4459" ht="14.25" customHeight="1">
      <c r="A4459" s="13"/>
      <c r="B4459" s="13"/>
      <c r="C4459" s="13"/>
      <c r="D4459" s="13"/>
      <c r="E4459" s="13"/>
      <c r="F4459" s="13"/>
      <c r="G4459" s="13"/>
      <c r="H4459" s="13"/>
      <c r="I4459" s="13"/>
      <c r="J4459" s="13"/>
      <c r="K4459" s="15"/>
      <c r="L4459" s="15"/>
      <c r="M4459" s="16"/>
      <c r="N4459" s="16"/>
      <c r="O4459" s="17"/>
      <c r="P4459" s="17"/>
      <c r="Q4459" s="13"/>
      <c r="R4459" s="13"/>
      <c r="S4459" s="13"/>
      <c r="T4459" s="13"/>
      <c r="U4459" s="13"/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  <c r="AG4459" s="13"/>
      <c r="AH4459" s="13"/>
      <c r="AI4459" s="13"/>
      <c r="AJ4459" s="13"/>
      <c r="AK4459" s="13"/>
      <c r="AL4459" s="13"/>
      <c r="AM4459" s="13"/>
      <c r="AN4459" s="13"/>
      <c r="AO4459" s="13"/>
      <c r="AP4459" s="13"/>
      <c r="AQ4459" s="13"/>
      <c r="AR4459" s="13"/>
      <c r="AS4459" s="13"/>
    </row>
    <row r="4460" ht="14.25" customHeight="1">
      <c r="A4460" s="13"/>
      <c r="B4460" s="13"/>
      <c r="C4460" s="13"/>
      <c r="D4460" s="13"/>
      <c r="E4460" s="13"/>
      <c r="F4460" s="13"/>
      <c r="G4460" s="13"/>
      <c r="H4460" s="13"/>
      <c r="I4460" s="13"/>
      <c r="J4460" s="13"/>
      <c r="K4460" s="15"/>
      <c r="L4460" s="15"/>
      <c r="M4460" s="16"/>
      <c r="N4460" s="16"/>
      <c r="O4460" s="17"/>
      <c r="P4460" s="17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  <c r="AG4460" s="13"/>
      <c r="AH4460" s="13"/>
      <c r="AI4460" s="13"/>
      <c r="AJ4460" s="13"/>
      <c r="AK4460" s="13"/>
      <c r="AL4460" s="13"/>
      <c r="AM4460" s="13"/>
      <c r="AN4460" s="13"/>
      <c r="AO4460" s="13"/>
      <c r="AP4460" s="13"/>
      <c r="AQ4460" s="13"/>
      <c r="AR4460" s="13"/>
      <c r="AS4460" s="13"/>
    </row>
    <row r="4461" ht="14.25" customHeight="1">
      <c r="A4461" s="13"/>
      <c r="B4461" s="13"/>
      <c r="C4461" s="13"/>
      <c r="D4461" s="13"/>
      <c r="E4461" s="13"/>
      <c r="F4461" s="13"/>
      <c r="G4461" s="13"/>
      <c r="H4461" s="13"/>
      <c r="I4461" s="13"/>
      <c r="J4461" s="13"/>
      <c r="K4461" s="15"/>
      <c r="L4461" s="15"/>
      <c r="M4461" s="16"/>
      <c r="N4461" s="16"/>
      <c r="O4461" s="17"/>
      <c r="P4461" s="17"/>
      <c r="Q4461" s="13"/>
      <c r="R4461" s="13"/>
      <c r="S4461" s="13"/>
      <c r="T4461" s="13"/>
      <c r="U4461" s="13"/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  <c r="AG4461" s="13"/>
      <c r="AH4461" s="13"/>
      <c r="AI4461" s="13"/>
      <c r="AJ4461" s="13"/>
      <c r="AK4461" s="13"/>
      <c r="AL4461" s="13"/>
      <c r="AM4461" s="13"/>
      <c r="AN4461" s="13"/>
      <c r="AO4461" s="13"/>
      <c r="AP4461" s="13"/>
      <c r="AQ4461" s="13"/>
      <c r="AR4461" s="13"/>
      <c r="AS4461" s="13"/>
    </row>
    <row r="4462" ht="14.25" customHeight="1">
      <c r="A4462" s="13"/>
      <c r="B4462" s="13"/>
      <c r="C4462" s="13"/>
      <c r="D4462" s="13"/>
      <c r="E4462" s="13"/>
      <c r="F4462" s="13"/>
      <c r="G4462" s="13"/>
      <c r="H4462" s="13"/>
      <c r="I4462" s="13"/>
      <c r="J4462" s="13"/>
      <c r="K4462" s="15"/>
      <c r="L4462" s="15"/>
      <c r="M4462" s="16"/>
      <c r="N4462" s="16"/>
      <c r="O4462" s="17"/>
      <c r="P4462" s="17"/>
      <c r="Q4462" s="13"/>
      <c r="R4462" s="13"/>
      <c r="S4462" s="13"/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  <c r="AG4462" s="13"/>
      <c r="AH4462" s="13"/>
      <c r="AI4462" s="13"/>
      <c r="AJ4462" s="13"/>
      <c r="AK4462" s="13"/>
      <c r="AL4462" s="13"/>
      <c r="AM4462" s="13"/>
      <c r="AN4462" s="13"/>
      <c r="AO4462" s="13"/>
      <c r="AP4462" s="13"/>
      <c r="AQ4462" s="13"/>
      <c r="AR4462" s="13"/>
      <c r="AS4462" s="13"/>
    </row>
    <row r="4463" ht="14.25" customHeight="1">
      <c r="A4463" s="13"/>
      <c r="B4463" s="13"/>
      <c r="C4463" s="13"/>
      <c r="D4463" s="13"/>
      <c r="E4463" s="13"/>
      <c r="F4463" s="13"/>
      <c r="G4463" s="13"/>
      <c r="H4463" s="13"/>
      <c r="I4463" s="13"/>
      <c r="J4463" s="13"/>
      <c r="K4463" s="15"/>
      <c r="L4463" s="15"/>
      <c r="M4463" s="16"/>
      <c r="N4463" s="16"/>
      <c r="O4463" s="17"/>
      <c r="P4463" s="17"/>
      <c r="Q4463" s="13"/>
      <c r="R4463" s="13"/>
      <c r="S4463" s="13"/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  <c r="AG4463" s="13"/>
      <c r="AH4463" s="13"/>
      <c r="AI4463" s="13"/>
      <c r="AJ4463" s="13"/>
      <c r="AK4463" s="13"/>
      <c r="AL4463" s="13"/>
      <c r="AM4463" s="13"/>
      <c r="AN4463" s="13"/>
      <c r="AO4463" s="13"/>
      <c r="AP4463" s="13"/>
      <c r="AQ4463" s="13"/>
      <c r="AR4463" s="13"/>
      <c r="AS4463" s="13"/>
    </row>
    <row r="4464" ht="14.25" customHeight="1">
      <c r="A4464" s="13"/>
      <c r="B4464" s="13"/>
      <c r="C4464" s="13"/>
      <c r="D4464" s="13"/>
      <c r="E4464" s="13"/>
      <c r="F4464" s="13"/>
      <c r="G4464" s="13"/>
      <c r="H4464" s="13"/>
      <c r="I4464" s="13"/>
      <c r="J4464" s="13"/>
      <c r="K4464" s="15"/>
      <c r="L4464" s="15"/>
      <c r="M4464" s="16"/>
      <c r="N4464" s="16"/>
      <c r="O4464" s="17"/>
      <c r="P4464" s="17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  <c r="AG4464" s="13"/>
      <c r="AH4464" s="13"/>
      <c r="AI4464" s="13"/>
      <c r="AJ4464" s="13"/>
      <c r="AK4464" s="13"/>
      <c r="AL4464" s="13"/>
      <c r="AM4464" s="13"/>
      <c r="AN4464" s="13"/>
      <c r="AO4464" s="13"/>
      <c r="AP4464" s="13"/>
      <c r="AQ4464" s="13"/>
      <c r="AR4464" s="13"/>
      <c r="AS4464" s="13"/>
    </row>
    <row r="4465" ht="14.25" customHeight="1">
      <c r="A4465" s="13"/>
      <c r="B4465" s="13"/>
      <c r="C4465" s="13"/>
      <c r="D4465" s="13"/>
      <c r="E4465" s="13"/>
      <c r="F4465" s="13"/>
      <c r="G4465" s="13"/>
      <c r="H4465" s="13"/>
      <c r="I4465" s="13"/>
      <c r="J4465" s="13"/>
      <c r="K4465" s="15"/>
      <c r="L4465" s="15"/>
      <c r="M4465" s="16"/>
      <c r="N4465" s="16"/>
      <c r="O4465" s="17"/>
      <c r="P4465" s="17"/>
      <c r="Q4465" s="13"/>
      <c r="R4465" s="13"/>
      <c r="S4465" s="13"/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  <c r="AG4465" s="13"/>
      <c r="AH4465" s="13"/>
      <c r="AI4465" s="13"/>
      <c r="AJ4465" s="13"/>
      <c r="AK4465" s="13"/>
      <c r="AL4465" s="13"/>
      <c r="AM4465" s="13"/>
      <c r="AN4465" s="13"/>
      <c r="AO4465" s="13"/>
      <c r="AP4465" s="13"/>
      <c r="AQ4465" s="13"/>
      <c r="AR4465" s="13"/>
      <c r="AS4465" s="13"/>
    </row>
    <row r="4466" ht="14.25" customHeight="1">
      <c r="A4466" s="13"/>
      <c r="B4466" s="13"/>
      <c r="C4466" s="13"/>
      <c r="D4466" s="13"/>
      <c r="E4466" s="13"/>
      <c r="F4466" s="13"/>
      <c r="G4466" s="13"/>
      <c r="H4466" s="13"/>
      <c r="I4466" s="13"/>
      <c r="J4466" s="13"/>
      <c r="K4466" s="15"/>
      <c r="L4466" s="15"/>
      <c r="M4466" s="16"/>
      <c r="N4466" s="16"/>
      <c r="O4466" s="17"/>
      <c r="P4466" s="17"/>
      <c r="Q4466" s="13"/>
      <c r="R4466" s="13"/>
      <c r="S4466" s="13"/>
      <c r="T4466" s="13"/>
      <c r="U4466" s="13"/>
      <c r="V4466" s="13"/>
      <c r="W4466" s="13"/>
      <c r="X4466" s="13"/>
      <c r="Y4466" s="13"/>
      <c r="Z4466" s="13"/>
      <c r="AA4466" s="13"/>
      <c r="AB4466" s="13"/>
      <c r="AC4466" s="13"/>
      <c r="AD4466" s="13"/>
      <c r="AE4466" s="13"/>
      <c r="AF4466" s="13"/>
      <c r="AG4466" s="13"/>
      <c r="AH4466" s="13"/>
      <c r="AI4466" s="13"/>
      <c r="AJ4466" s="13"/>
      <c r="AK4466" s="13"/>
      <c r="AL4466" s="13"/>
      <c r="AM4466" s="13"/>
      <c r="AN4466" s="13"/>
      <c r="AO4466" s="13"/>
      <c r="AP4466" s="13"/>
      <c r="AQ4466" s="13"/>
      <c r="AR4466" s="13"/>
      <c r="AS4466" s="13"/>
    </row>
    <row r="4467" ht="14.25" customHeight="1">
      <c r="A4467" s="13"/>
      <c r="B4467" s="13"/>
      <c r="C4467" s="13"/>
      <c r="D4467" s="13"/>
      <c r="E4467" s="13"/>
      <c r="F4467" s="13"/>
      <c r="G4467" s="13"/>
      <c r="H4467" s="13"/>
      <c r="I4467" s="13"/>
      <c r="J4467" s="13"/>
      <c r="K4467" s="15"/>
      <c r="L4467" s="15"/>
      <c r="M4467" s="16"/>
      <c r="N4467" s="16"/>
      <c r="O4467" s="17"/>
      <c r="P4467" s="17"/>
      <c r="Q4467" s="13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  <c r="AG4467" s="13"/>
      <c r="AH4467" s="13"/>
      <c r="AI4467" s="13"/>
      <c r="AJ4467" s="13"/>
      <c r="AK4467" s="13"/>
      <c r="AL4467" s="13"/>
      <c r="AM4467" s="13"/>
      <c r="AN4467" s="13"/>
      <c r="AO4467" s="13"/>
      <c r="AP4467" s="13"/>
      <c r="AQ4467" s="13"/>
      <c r="AR4467" s="13"/>
      <c r="AS4467" s="13"/>
    </row>
    <row r="4468" ht="14.25" customHeight="1">
      <c r="A4468" s="13"/>
      <c r="B4468" s="13"/>
      <c r="C4468" s="13"/>
      <c r="D4468" s="13"/>
      <c r="E4468" s="13"/>
      <c r="F4468" s="13"/>
      <c r="G4468" s="13"/>
      <c r="H4468" s="13"/>
      <c r="I4468" s="13"/>
      <c r="J4468" s="13"/>
      <c r="K4468" s="15"/>
      <c r="L4468" s="15"/>
      <c r="M4468" s="16"/>
      <c r="N4468" s="16"/>
      <c r="O4468" s="17"/>
      <c r="P4468" s="17"/>
      <c r="Q4468" s="13"/>
      <c r="R4468" s="13"/>
      <c r="S4468" s="13"/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  <c r="AG4468" s="13"/>
      <c r="AH4468" s="13"/>
      <c r="AI4468" s="13"/>
      <c r="AJ4468" s="13"/>
      <c r="AK4468" s="13"/>
      <c r="AL4468" s="13"/>
      <c r="AM4468" s="13"/>
      <c r="AN4468" s="13"/>
      <c r="AO4468" s="13"/>
      <c r="AP4468" s="13"/>
      <c r="AQ4468" s="13"/>
      <c r="AR4468" s="13"/>
      <c r="AS4468" s="13"/>
    </row>
    <row r="4469" ht="14.25" customHeight="1">
      <c r="A4469" s="13"/>
      <c r="B4469" s="13"/>
      <c r="C4469" s="13"/>
      <c r="D4469" s="13"/>
      <c r="E4469" s="13"/>
      <c r="F4469" s="13"/>
      <c r="G4469" s="13"/>
      <c r="H4469" s="13"/>
      <c r="I4469" s="13"/>
      <c r="J4469" s="13"/>
      <c r="K4469" s="15"/>
      <c r="L4469" s="15"/>
      <c r="M4469" s="16"/>
      <c r="N4469" s="16"/>
      <c r="O4469" s="17"/>
      <c r="P4469" s="17"/>
      <c r="Q4469" s="13"/>
      <c r="R4469" s="13"/>
      <c r="S4469" s="13"/>
      <c r="T4469" s="13"/>
      <c r="U4469" s="13"/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  <c r="AG4469" s="13"/>
      <c r="AH4469" s="13"/>
      <c r="AI4469" s="13"/>
      <c r="AJ4469" s="13"/>
      <c r="AK4469" s="13"/>
      <c r="AL4469" s="13"/>
      <c r="AM4469" s="13"/>
      <c r="AN4469" s="13"/>
      <c r="AO4469" s="13"/>
      <c r="AP4469" s="13"/>
      <c r="AQ4469" s="13"/>
      <c r="AR4469" s="13"/>
      <c r="AS4469" s="13"/>
    </row>
    <row r="4470" ht="14.25" customHeight="1">
      <c r="A4470" s="13"/>
      <c r="B4470" s="13"/>
      <c r="C4470" s="13"/>
      <c r="D4470" s="13"/>
      <c r="E4470" s="13"/>
      <c r="F4470" s="13"/>
      <c r="G4470" s="13"/>
      <c r="H4470" s="13"/>
      <c r="I4470" s="13"/>
      <c r="J4470" s="13"/>
      <c r="K4470" s="15"/>
      <c r="L4470" s="15"/>
      <c r="M4470" s="16"/>
      <c r="N4470" s="16"/>
      <c r="O4470" s="17"/>
      <c r="P4470" s="17"/>
      <c r="Q4470" s="13"/>
      <c r="R4470" s="13"/>
      <c r="S4470" s="13"/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3"/>
      <c r="AD4470" s="13"/>
      <c r="AE4470" s="13"/>
      <c r="AF4470" s="13"/>
      <c r="AG4470" s="13"/>
      <c r="AH4470" s="13"/>
      <c r="AI4470" s="13"/>
      <c r="AJ4470" s="13"/>
      <c r="AK4470" s="13"/>
      <c r="AL4470" s="13"/>
      <c r="AM4470" s="13"/>
      <c r="AN4470" s="13"/>
      <c r="AO4470" s="13"/>
      <c r="AP4470" s="13"/>
      <c r="AQ4470" s="13"/>
      <c r="AR4470" s="13"/>
      <c r="AS4470" s="13"/>
    </row>
    <row r="4471" ht="14.25" customHeight="1">
      <c r="A4471" s="13"/>
      <c r="B4471" s="13"/>
      <c r="C4471" s="13"/>
      <c r="D4471" s="13"/>
      <c r="E4471" s="13"/>
      <c r="F4471" s="13"/>
      <c r="G4471" s="13"/>
      <c r="H4471" s="13"/>
      <c r="I4471" s="13"/>
      <c r="J4471" s="13"/>
      <c r="K4471" s="15"/>
      <c r="L4471" s="15"/>
      <c r="M4471" s="16"/>
      <c r="N4471" s="16"/>
      <c r="O4471" s="17"/>
      <c r="P4471" s="17"/>
      <c r="Q4471" s="13"/>
      <c r="R4471" s="13"/>
      <c r="S4471" s="13"/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  <c r="AG4471" s="13"/>
      <c r="AH4471" s="13"/>
      <c r="AI4471" s="13"/>
      <c r="AJ4471" s="13"/>
      <c r="AK4471" s="13"/>
      <c r="AL4471" s="13"/>
      <c r="AM4471" s="13"/>
      <c r="AN4471" s="13"/>
      <c r="AO4471" s="13"/>
      <c r="AP4471" s="13"/>
      <c r="AQ4471" s="13"/>
      <c r="AR4471" s="13"/>
      <c r="AS4471" s="13"/>
    </row>
    <row r="4472" ht="14.25" customHeight="1">
      <c r="A4472" s="13"/>
      <c r="B4472" s="13"/>
      <c r="C4472" s="13"/>
      <c r="D4472" s="13"/>
      <c r="E4472" s="13"/>
      <c r="F4472" s="13"/>
      <c r="G4472" s="13"/>
      <c r="H4472" s="13"/>
      <c r="I4472" s="13"/>
      <c r="J4472" s="13"/>
      <c r="K4472" s="15"/>
      <c r="L4472" s="15"/>
      <c r="M4472" s="16"/>
      <c r="N4472" s="16"/>
      <c r="O4472" s="17"/>
      <c r="P4472" s="17"/>
      <c r="Q4472" s="13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3"/>
      <c r="AD4472" s="13"/>
      <c r="AE4472" s="13"/>
      <c r="AF4472" s="13"/>
      <c r="AG4472" s="13"/>
      <c r="AH4472" s="13"/>
      <c r="AI4472" s="13"/>
      <c r="AJ4472" s="13"/>
      <c r="AK4472" s="13"/>
      <c r="AL4472" s="13"/>
      <c r="AM4472" s="13"/>
      <c r="AN4472" s="13"/>
      <c r="AO4472" s="13"/>
      <c r="AP4472" s="13"/>
      <c r="AQ4472" s="13"/>
      <c r="AR4472" s="13"/>
      <c r="AS4472" s="13"/>
    </row>
    <row r="4473" ht="14.25" customHeight="1">
      <c r="A4473" s="13"/>
      <c r="B4473" s="13"/>
      <c r="C4473" s="13"/>
      <c r="D4473" s="13"/>
      <c r="E4473" s="13"/>
      <c r="F4473" s="13"/>
      <c r="G4473" s="13"/>
      <c r="H4473" s="13"/>
      <c r="I4473" s="13"/>
      <c r="J4473" s="13"/>
      <c r="K4473" s="15"/>
      <c r="L4473" s="15"/>
      <c r="M4473" s="16"/>
      <c r="N4473" s="16"/>
      <c r="O4473" s="17"/>
      <c r="P4473" s="17"/>
      <c r="Q4473" s="13"/>
      <c r="R4473" s="13"/>
      <c r="S4473" s="13"/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  <c r="AG4473" s="13"/>
      <c r="AH4473" s="13"/>
      <c r="AI4473" s="13"/>
      <c r="AJ4473" s="13"/>
      <c r="AK4473" s="13"/>
      <c r="AL4473" s="13"/>
      <c r="AM4473" s="13"/>
      <c r="AN4473" s="13"/>
      <c r="AO4473" s="13"/>
      <c r="AP4473" s="13"/>
      <c r="AQ4473" s="13"/>
      <c r="AR4473" s="13"/>
      <c r="AS4473" s="13"/>
    </row>
    <row r="4474" ht="14.25" customHeight="1">
      <c r="A4474" s="13"/>
      <c r="B4474" s="13"/>
      <c r="C4474" s="13"/>
      <c r="D4474" s="13"/>
      <c r="E4474" s="13"/>
      <c r="F4474" s="13"/>
      <c r="G4474" s="13"/>
      <c r="H4474" s="13"/>
      <c r="I4474" s="13"/>
      <c r="J4474" s="13"/>
      <c r="K4474" s="15"/>
      <c r="L4474" s="15"/>
      <c r="M4474" s="16"/>
      <c r="N4474" s="16"/>
      <c r="O4474" s="17"/>
      <c r="P4474" s="17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  <c r="AG4474" s="13"/>
      <c r="AH4474" s="13"/>
      <c r="AI4474" s="13"/>
      <c r="AJ4474" s="13"/>
      <c r="AK4474" s="13"/>
      <c r="AL4474" s="13"/>
      <c r="AM4474" s="13"/>
      <c r="AN4474" s="13"/>
      <c r="AO4474" s="13"/>
      <c r="AP4474" s="13"/>
      <c r="AQ4474" s="13"/>
      <c r="AR4474" s="13"/>
      <c r="AS4474" s="13"/>
    </row>
    <row r="4475" ht="14.25" customHeight="1">
      <c r="A4475" s="13"/>
      <c r="B4475" s="13"/>
      <c r="C4475" s="13"/>
      <c r="D4475" s="13"/>
      <c r="E4475" s="13"/>
      <c r="F4475" s="13"/>
      <c r="G4475" s="13"/>
      <c r="H4475" s="13"/>
      <c r="I4475" s="13"/>
      <c r="J4475" s="13"/>
      <c r="K4475" s="15"/>
      <c r="L4475" s="15"/>
      <c r="M4475" s="16"/>
      <c r="N4475" s="16"/>
      <c r="O4475" s="17"/>
      <c r="P4475" s="17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  <c r="AG4475" s="13"/>
      <c r="AH4475" s="13"/>
      <c r="AI4475" s="13"/>
      <c r="AJ4475" s="13"/>
      <c r="AK4475" s="13"/>
      <c r="AL4475" s="13"/>
      <c r="AM4475" s="13"/>
      <c r="AN4475" s="13"/>
      <c r="AO4475" s="13"/>
      <c r="AP4475" s="13"/>
      <c r="AQ4475" s="13"/>
      <c r="AR4475" s="13"/>
      <c r="AS4475" s="13"/>
    </row>
    <row r="4476" ht="14.25" customHeight="1">
      <c r="A4476" s="13"/>
      <c r="B4476" s="13"/>
      <c r="C4476" s="13"/>
      <c r="D4476" s="13"/>
      <c r="E4476" s="13"/>
      <c r="F4476" s="13"/>
      <c r="G4476" s="13"/>
      <c r="H4476" s="13"/>
      <c r="I4476" s="13"/>
      <c r="J4476" s="13"/>
      <c r="K4476" s="15"/>
      <c r="L4476" s="15"/>
      <c r="M4476" s="16"/>
      <c r="N4476" s="16"/>
      <c r="O4476" s="17"/>
      <c r="P4476" s="17"/>
      <c r="Q4476" s="13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3"/>
      <c r="AD4476" s="13"/>
      <c r="AE4476" s="13"/>
      <c r="AF4476" s="13"/>
      <c r="AG4476" s="13"/>
      <c r="AH4476" s="13"/>
      <c r="AI4476" s="13"/>
      <c r="AJ4476" s="13"/>
      <c r="AK4476" s="13"/>
      <c r="AL4476" s="13"/>
      <c r="AM4476" s="13"/>
      <c r="AN4476" s="13"/>
      <c r="AO4476" s="13"/>
      <c r="AP4476" s="13"/>
      <c r="AQ4476" s="13"/>
      <c r="AR4476" s="13"/>
      <c r="AS4476" s="13"/>
    </row>
    <row r="4477" ht="14.25" customHeight="1">
      <c r="A4477" s="13"/>
      <c r="B4477" s="13"/>
      <c r="C4477" s="13"/>
      <c r="D4477" s="13"/>
      <c r="E4477" s="13"/>
      <c r="F4477" s="13"/>
      <c r="G4477" s="13"/>
      <c r="H4477" s="13"/>
      <c r="I4477" s="13"/>
      <c r="J4477" s="13"/>
      <c r="K4477" s="15"/>
      <c r="L4477" s="15"/>
      <c r="M4477" s="16"/>
      <c r="N4477" s="16"/>
      <c r="O4477" s="17"/>
      <c r="P4477" s="17"/>
      <c r="Q4477" s="13"/>
      <c r="R4477" s="13"/>
      <c r="S4477" s="13"/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  <c r="AG4477" s="13"/>
      <c r="AH4477" s="13"/>
      <c r="AI4477" s="13"/>
      <c r="AJ4477" s="13"/>
      <c r="AK4477" s="13"/>
      <c r="AL4477" s="13"/>
      <c r="AM4477" s="13"/>
      <c r="AN4477" s="13"/>
      <c r="AO4477" s="13"/>
      <c r="AP4477" s="13"/>
      <c r="AQ4477" s="13"/>
      <c r="AR4477" s="13"/>
      <c r="AS4477" s="13"/>
    </row>
    <row r="4478" ht="14.25" customHeight="1">
      <c r="A4478" s="13"/>
      <c r="B4478" s="13"/>
      <c r="C4478" s="13"/>
      <c r="D4478" s="13"/>
      <c r="E4478" s="13"/>
      <c r="F4478" s="13"/>
      <c r="G4478" s="13"/>
      <c r="H4478" s="13"/>
      <c r="I4478" s="13"/>
      <c r="J4478" s="13"/>
      <c r="K4478" s="15"/>
      <c r="L4478" s="15"/>
      <c r="M4478" s="16"/>
      <c r="N4478" s="16"/>
      <c r="O4478" s="17"/>
      <c r="P4478" s="17"/>
      <c r="Q4478" s="13"/>
      <c r="R4478" s="13"/>
      <c r="S4478" s="13"/>
      <c r="T4478" s="13"/>
      <c r="U4478" s="13"/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  <c r="AG4478" s="13"/>
      <c r="AH4478" s="13"/>
      <c r="AI4478" s="13"/>
      <c r="AJ4478" s="13"/>
      <c r="AK4478" s="13"/>
      <c r="AL4478" s="13"/>
      <c r="AM4478" s="13"/>
      <c r="AN4478" s="13"/>
      <c r="AO4478" s="13"/>
      <c r="AP4478" s="13"/>
      <c r="AQ4478" s="13"/>
      <c r="AR4478" s="13"/>
      <c r="AS4478" s="13"/>
    </row>
    <row r="4479" ht="14.25" customHeight="1">
      <c r="A4479" s="13"/>
      <c r="B4479" s="13"/>
      <c r="C4479" s="13"/>
      <c r="D4479" s="13"/>
      <c r="E4479" s="13"/>
      <c r="F4479" s="13"/>
      <c r="G4479" s="13"/>
      <c r="H4479" s="13"/>
      <c r="I4479" s="13"/>
      <c r="J4479" s="13"/>
      <c r="K4479" s="15"/>
      <c r="L4479" s="15"/>
      <c r="M4479" s="16"/>
      <c r="N4479" s="16"/>
      <c r="O4479" s="17"/>
      <c r="P4479" s="17"/>
      <c r="Q4479" s="13"/>
      <c r="R4479" s="13"/>
      <c r="S4479" s="13"/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3"/>
      <c r="AD4479" s="13"/>
      <c r="AE4479" s="13"/>
      <c r="AF4479" s="13"/>
      <c r="AG4479" s="13"/>
      <c r="AH4479" s="13"/>
      <c r="AI4479" s="13"/>
      <c r="AJ4479" s="13"/>
      <c r="AK4479" s="13"/>
      <c r="AL4479" s="13"/>
      <c r="AM4479" s="13"/>
      <c r="AN4479" s="13"/>
      <c r="AO4479" s="13"/>
      <c r="AP4479" s="13"/>
      <c r="AQ4479" s="13"/>
      <c r="AR4479" s="13"/>
      <c r="AS4479" s="13"/>
    </row>
    <row r="4480" ht="14.25" customHeight="1">
      <c r="A4480" s="13"/>
      <c r="B4480" s="13"/>
      <c r="C4480" s="13"/>
      <c r="D4480" s="13"/>
      <c r="E4480" s="13"/>
      <c r="F4480" s="13"/>
      <c r="G4480" s="13"/>
      <c r="H4480" s="13"/>
      <c r="I4480" s="13"/>
      <c r="J4480" s="13"/>
      <c r="K4480" s="15"/>
      <c r="L4480" s="15"/>
      <c r="M4480" s="16"/>
      <c r="N4480" s="16"/>
      <c r="O4480" s="17"/>
      <c r="P4480" s="17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  <c r="AG4480" s="13"/>
      <c r="AH4480" s="13"/>
      <c r="AI4480" s="13"/>
      <c r="AJ4480" s="13"/>
      <c r="AK4480" s="13"/>
      <c r="AL4480" s="13"/>
      <c r="AM4480" s="13"/>
      <c r="AN4480" s="13"/>
      <c r="AO4480" s="13"/>
      <c r="AP4480" s="13"/>
      <c r="AQ4480" s="13"/>
      <c r="AR4480" s="13"/>
      <c r="AS4480" s="13"/>
    </row>
    <row r="4481" ht="14.25" customHeight="1">
      <c r="A4481" s="13"/>
      <c r="B4481" s="13"/>
      <c r="C4481" s="13"/>
      <c r="D4481" s="13"/>
      <c r="E4481" s="13"/>
      <c r="F4481" s="13"/>
      <c r="G4481" s="13"/>
      <c r="H4481" s="13"/>
      <c r="I4481" s="13"/>
      <c r="J4481" s="13"/>
      <c r="K4481" s="15"/>
      <c r="L4481" s="15"/>
      <c r="M4481" s="16"/>
      <c r="N4481" s="16"/>
      <c r="O4481" s="17"/>
      <c r="P4481" s="17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  <c r="AG4481" s="13"/>
      <c r="AH4481" s="13"/>
      <c r="AI4481" s="13"/>
      <c r="AJ4481" s="13"/>
      <c r="AK4481" s="13"/>
      <c r="AL4481" s="13"/>
      <c r="AM4481" s="13"/>
      <c r="AN4481" s="13"/>
      <c r="AO4481" s="13"/>
      <c r="AP4481" s="13"/>
      <c r="AQ4481" s="13"/>
      <c r="AR4481" s="13"/>
      <c r="AS4481" s="13"/>
    </row>
    <row r="4482" ht="14.25" customHeight="1">
      <c r="A4482" s="13"/>
      <c r="B4482" s="13"/>
      <c r="C4482" s="13"/>
      <c r="D4482" s="13"/>
      <c r="E4482" s="13"/>
      <c r="F4482" s="13"/>
      <c r="G4482" s="13"/>
      <c r="H4482" s="13"/>
      <c r="I4482" s="13"/>
      <c r="J4482" s="13"/>
      <c r="K4482" s="15"/>
      <c r="L4482" s="15"/>
      <c r="M4482" s="16"/>
      <c r="N4482" s="16"/>
      <c r="O4482" s="17"/>
      <c r="P4482" s="17"/>
      <c r="Q4482" s="13"/>
      <c r="R4482" s="13"/>
      <c r="S4482" s="13"/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  <c r="AG4482" s="13"/>
      <c r="AH4482" s="13"/>
      <c r="AI4482" s="13"/>
      <c r="AJ4482" s="13"/>
      <c r="AK4482" s="13"/>
      <c r="AL4482" s="13"/>
      <c r="AM4482" s="13"/>
      <c r="AN4482" s="13"/>
      <c r="AO4482" s="13"/>
      <c r="AP4482" s="13"/>
      <c r="AQ4482" s="13"/>
      <c r="AR4482" s="13"/>
      <c r="AS4482" s="13"/>
    </row>
    <row r="4483" ht="14.25" customHeight="1">
      <c r="A4483" s="13"/>
      <c r="B4483" s="13"/>
      <c r="C4483" s="13"/>
      <c r="D4483" s="13"/>
      <c r="E4483" s="13"/>
      <c r="F4483" s="13"/>
      <c r="G4483" s="13"/>
      <c r="H4483" s="13"/>
      <c r="I4483" s="13"/>
      <c r="J4483" s="13"/>
      <c r="K4483" s="15"/>
      <c r="L4483" s="15"/>
      <c r="M4483" s="16"/>
      <c r="N4483" s="16"/>
      <c r="O4483" s="17"/>
      <c r="P4483" s="17"/>
      <c r="Q4483" s="13"/>
      <c r="R4483" s="13"/>
      <c r="S4483" s="13"/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  <c r="AG4483" s="13"/>
      <c r="AH4483" s="13"/>
      <c r="AI4483" s="13"/>
      <c r="AJ4483" s="13"/>
      <c r="AK4483" s="13"/>
      <c r="AL4483" s="13"/>
      <c r="AM4483" s="13"/>
      <c r="AN4483" s="13"/>
      <c r="AO4483" s="13"/>
      <c r="AP4483" s="13"/>
      <c r="AQ4483" s="13"/>
      <c r="AR4483" s="13"/>
      <c r="AS4483" s="13"/>
    </row>
    <row r="4484" ht="14.25" customHeight="1">
      <c r="A4484" s="13"/>
      <c r="B4484" s="13"/>
      <c r="C4484" s="13"/>
      <c r="D4484" s="13"/>
      <c r="E4484" s="13"/>
      <c r="F4484" s="13"/>
      <c r="G4484" s="13"/>
      <c r="H4484" s="13"/>
      <c r="I4484" s="13"/>
      <c r="J4484" s="13"/>
      <c r="K4484" s="15"/>
      <c r="L4484" s="15"/>
      <c r="M4484" s="16"/>
      <c r="N4484" s="16"/>
      <c r="O4484" s="17"/>
      <c r="P4484" s="17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  <c r="AG4484" s="13"/>
      <c r="AH4484" s="13"/>
      <c r="AI4484" s="13"/>
      <c r="AJ4484" s="13"/>
      <c r="AK4484" s="13"/>
      <c r="AL4484" s="13"/>
      <c r="AM4484" s="13"/>
      <c r="AN4484" s="13"/>
      <c r="AO4484" s="13"/>
      <c r="AP4484" s="13"/>
      <c r="AQ4484" s="13"/>
      <c r="AR4484" s="13"/>
      <c r="AS4484" s="13"/>
    </row>
    <row r="4485" ht="14.25" customHeight="1">
      <c r="A4485" s="13"/>
      <c r="B4485" s="13"/>
      <c r="C4485" s="13"/>
      <c r="D4485" s="13"/>
      <c r="E4485" s="13"/>
      <c r="F4485" s="13"/>
      <c r="G4485" s="13"/>
      <c r="H4485" s="13"/>
      <c r="I4485" s="13"/>
      <c r="J4485" s="13"/>
      <c r="K4485" s="15"/>
      <c r="L4485" s="15"/>
      <c r="M4485" s="16"/>
      <c r="N4485" s="16"/>
      <c r="O4485" s="17"/>
      <c r="P4485" s="17"/>
      <c r="Q4485" s="13"/>
      <c r="R4485" s="13"/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  <c r="AG4485" s="13"/>
      <c r="AH4485" s="13"/>
      <c r="AI4485" s="13"/>
      <c r="AJ4485" s="13"/>
      <c r="AK4485" s="13"/>
      <c r="AL4485" s="13"/>
      <c r="AM4485" s="13"/>
      <c r="AN4485" s="13"/>
      <c r="AO4485" s="13"/>
      <c r="AP4485" s="13"/>
      <c r="AQ4485" s="13"/>
      <c r="AR4485" s="13"/>
      <c r="AS4485" s="13"/>
    </row>
    <row r="4486" ht="14.25" customHeight="1">
      <c r="A4486" s="13"/>
      <c r="B4486" s="13"/>
      <c r="C4486" s="13"/>
      <c r="D4486" s="13"/>
      <c r="E4486" s="13"/>
      <c r="F4486" s="13"/>
      <c r="G4486" s="13"/>
      <c r="H4486" s="13"/>
      <c r="I4486" s="13"/>
      <c r="J4486" s="13"/>
      <c r="K4486" s="15"/>
      <c r="L4486" s="15"/>
      <c r="M4486" s="16"/>
      <c r="N4486" s="16"/>
      <c r="O4486" s="17"/>
      <c r="P4486" s="17"/>
      <c r="Q4486" s="13"/>
      <c r="R4486" s="13"/>
      <c r="S4486" s="13"/>
      <c r="T4486" s="13"/>
      <c r="U4486" s="13"/>
      <c r="V4486" s="13"/>
      <c r="W4486" s="13"/>
      <c r="X4486" s="13"/>
      <c r="Y4486" s="13"/>
      <c r="Z4486" s="13"/>
      <c r="AA4486" s="13"/>
      <c r="AB4486" s="13"/>
      <c r="AC4486" s="13"/>
      <c r="AD4486" s="13"/>
      <c r="AE4486" s="13"/>
      <c r="AF4486" s="13"/>
      <c r="AG4486" s="13"/>
      <c r="AH4486" s="13"/>
      <c r="AI4486" s="13"/>
      <c r="AJ4486" s="13"/>
      <c r="AK4486" s="13"/>
      <c r="AL4486" s="13"/>
      <c r="AM4486" s="13"/>
      <c r="AN4486" s="13"/>
      <c r="AO4486" s="13"/>
      <c r="AP4486" s="13"/>
      <c r="AQ4486" s="13"/>
      <c r="AR4486" s="13"/>
      <c r="AS4486" s="13"/>
    </row>
    <row r="4487" ht="14.25" customHeight="1">
      <c r="A4487" s="13"/>
      <c r="B4487" s="13"/>
      <c r="C4487" s="13"/>
      <c r="D4487" s="13"/>
      <c r="E4487" s="13"/>
      <c r="F4487" s="13"/>
      <c r="G4487" s="13"/>
      <c r="H4487" s="13"/>
      <c r="I4487" s="13"/>
      <c r="J4487" s="13"/>
      <c r="K4487" s="15"/>
      <c r="L4487" s="15"/>
      <c r="M4487" s="16"/>
      <c r="N4487" s="16"/>
      <c r="O4487" s="17"/>
      <c r="P4487" s="17"/>
      <c r="Q4487" s="13"/>
      <c r="R4487" s="13"/>
      <c r="S4487" s="13"/>
      <c r="T4487" s="13"/>
      <c r="U4487" s="13"/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  <c r="AG4487" s="13"/>
      <c r="AH4487" s="13"/>
      <c r="AI4487" s="13"/>
      <c r="AJ4487" s="13"/>
      <c r="AK4487" s="13"/>
      <c r="AL4487" s="13"/>
      <c r="AM4487" s="13"/>
      <c r="AN4487" s="13"/>
      <c r="AO4487" s="13"/>
      <c r="AP4487" s="13"/>
      <c r="AQ4487" s="13"/>
      <c r="AR4487" s="13"/>
      <c r="AS4487" s="13"/>
    </row>
    <row r="4488" ht="14.25" customHeight="1">
      <c r="A4488" s="13"/>
      <c r="B4488" s="13"/>
      <c r="C4488" s="13"/>
      <c r="D4488" s="13"/>
      <c r="E4488" s="13"/>
      <c r="F4488" s="13"/>
      <c r="G4488" s="13"/>
      <c r="H4488" s="13"/>
      <c r="I4488" s="13"/>
      <c r="J4488" s="13"/>
      <c r="K4488" s="15"/>
      <c r="L4488" s="15"/>
      <c r="M4488" s="16"/>
      <c r="N4488" s="16"/>
      <c r="O4488" s="17"/>
      <c r="P4488" s="17"/>
      <c r="Q4488" s="13"/>
      <c r="R4488" s="13"/>
      <c r="S4488" s="13"/>
      <c r="T4488" s="13"/>
      <c r="U4488" s="13"/>
      <c r="V4488" s="13"/>
      <c r="W4488" s="13"/>
      <c r="X4488" s="13"/>
      <c r="Y4488" s="13"/>
      <c r="Z4488" s="13"/>
      <c r="AA4488" s="13"/>
      <c r="AB4488" s="13"/>
      <c r="AC4488" s="13"/>
      <c r="AD4488" s="13"/>
      <c r="AE4488" s="13"/>
      <c r="AF4488" s="13"/>
      <c r="AG4488" s="13"/>
      <c r="AH4488" s="13"/>
      <c r="AI4488" s="13"/>
      <c r="AJ4488" s="13"/>
      <c r="AK4488" s="13"/>
      <c r="AL4488" s="13"/>
      <c r="AM4488" s="13"/>
      <c r="AN4488" s="13"/>
      <c r="AO4488" s="13"/>
      <c r="AP4488" s="13"/>
      <c r="AQ4488" s="13"/>
      <c r="AR4488" s="13"/>
      <c r="AS4488" s="13"/>
    </row>
    <row r="4489" ht="14.25" customHeight="1">
      <c r="A4489" s="13"/>
      <c r="B4489" s="13"/>
      <c r="C4489" s="13"/>
      <c r="D4489" s="13"/>
      <c r="E4489" s="13"/>
      <c r="F4489" s="13"/>
      <c r="G4489" s="13"/>
      <c r="H4489" s="13"/>
      <c r="I4489" s="13"/>
      <c r="J4489" s="13"/>
      <c r="K4489" s="15"/>
      <c r="L4489" s="15"/>
      <c r="M4489" s="16"/>
      <c r="N4489" s="16"/>
      <c r="O4489" s="17"/>
      <c r="P4489" s="17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  <c r="AG4489" s="13"/>
      <c r="AH4489" s="13"/>
      <c r="AI4489" s="13"/>
      <c r="AJ4489" s="13"/>
      <c r="AK4489" s="13"/>
      <c r="AL4489" s="13"/>
      <c r="AM4489" s="13"/>
      <c r="AN4489" s="13"/>
      <c r="AO4489" s="13"/>
      <c r="AP4489" s="13"/>
      <c r="AQ4489" s="13"/>
      <c r="AR4489" s="13"/>
      <c r="AS4489" s="13"/>
    </row>
    <row r="4490" ht="14.25" customHeight="1">
      <c r="A4490" s="13"/>
      <c r="B4490" s="13"/>
      <c r="C4490" s="13"/>
      <c r="D4490" s="13"/>
      <c r="E4490" s="13"/>
      <c r="F4490" s="13"/>
      <c r="G4490" s="13"/>
      <c r="H4490" s="13"/>
      <c r="I4490" s="13"/>
      <c r="J4490" s="13"/>
      <c r="K4490" s="15"/>
      <c r="L4490" s="15"/>
      <c r="M4490" s="16"/>
      <c r="N4490" s="16"/>
      <c r="O4490" s="17"/>
      <c r="P4490" s="17"/>
      <c r="Q4490" s="13"/>
      <c r="R4490" s="13"/>
      <c r="S4490" s="13"/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  <c r="AG4490" s="13"/>
      <c r="AH4490" s="13"/>
      <c r="AI4490" s="13"/>
      <c r="AJ4490" s="13"/>
      <c r="AK4490" s="13"/>
      <c r="AL4490" s="13"/>
      <c r="AM4490" s="13"/>
      <c r="AN4490" s="13"/>
      <c r="AO4490" s="13"/>
      <c r="AP4490" s="13"/>
      <c r="AQ4490" s="13"/>
      <c r="AR4490" s="13"/>
      <c r="AS4490" s="13"/>
    </row>
    <row r="4491" ht="14.25" customHeight="1">
      <c r="A4491" s="13"/>
      <c r="B4491" s="13"/>
      <c r="C4491" s="13"/>
      <c r="D4491" s="13"/>
      <c r="E4491" s="13"/>
      <c r="F4491" s="13"/>
      <c r="G4491" s="13"/>
      <c r="H4491" s="13"/>
      <c r="I4491" s="13"/>
      <c r="J4491" s="13"/>
      <c r="K4491" s="15"/>
      <c r="L4491" s="15"/>
      <c r="M4491" s="16"/>
      <c r="N4491" s="16"/>
      <c r="O4491" s="17"/>
      <c r="P4491" s="17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  <c r="AG4491" s="13"/>
      <c r="AH4491" s="13"/>
      <c r="AI4491" s="13"/>
      <c r="AJ4491" s="13"/>
      <c r="AK4491" s="13"/>
      <c r="AL4491" s="13"/>
      <c r="AM4491" s="13"/>
      <c r="AN4491" s="13"/>
      <c r="AO4491" s="13"/>
      <c r="AP4491" s="13"/>
      <c r="AQ4491" s="13"/>
      <c r="AR4491" s="13"/>
      <c r="AS4491" s="13"/>
    </row>
    <row r="4492" ht="14.25" customHeight="1">
      <c r="A4492" s="13"/>
      <c r="B4492" s="13"/>
      <c r="C4492" s="13"/>
      <c r="D4492" s="13"/>
      <c r="E4492" s="13"/>
      <c r="F4492" s="13"/>
      <c r="G4492" s="13"/>
      <c r="H4492" s="13"/>
      <c r="I4492" s="13"/>
      <c r="J4492" s="13"/>
      <c r="K4492" s="15"/>
      <c r="L4492" s="15"/>
      <c r="M4492" s="16"/>
      <c r="N4492" s="16"/>
      <c r="O4492" s="17"/>
      <c r="P4492" s="17"/>
      <c r="Q4492" s="13"/>
      <c r="R4492" s="13"/>
      <c r="S4492" s="13"/>
      <c r="T4492" s="13"/>
      <c r="U4492" s="13"/>
      <c r="V4492" s="13"/>
      <c r="W4492" s="13"/>
      <c r="X4492" s="13"/>
      <c r="Y4492" s="13"/>
      <c r="Z4492" s="13"/>
      <c r="AA4492" s="13"/>
      <c r="AB4492" s="13"/>
      <c r="AC4492" s="13"/>
      <c r="AD4492" s="13"/>
      <c r="AE4492" s="13"/>
      <c r="AF4492" s="13"/>
      <c r="AG4492" s="13"/>
      <c r="AH4492" s="13"/>
      <c r="AI4492" s="13"/>
      <c r="AJ4492" s="13"/>
      <c r="AK4492" s="13"/>
      <c r="AL4492" s="13"/>
      <c r="AM4492" s="13"/>
      <c r="AN4492" s="13"/>
      <c r="AO4492" s="13"/>
      <c r="AP4492" s="13"/>
      <c r="AQ4492" s="13"/>
      <c r="AR4492" s="13"/>
      <c r="AS4492" s="13"/>
    </row>
    <row r="4493" ht="14.25" customHeight="1">
      <c r="A4493" s="13"/>
      <c r="B4493" s="13"/>
      <c r="C4493" s="13"/>
      <c r="D4493" s="13"/>
      <c r="E4493" s="13"/>
      <c r="F4493" s="13"/>
      <c r="G4493" s="13"/>
      <c r="H4493" s="13"/>
      <c r="I4493" s="13"/>
      <c r="J4493" s="13"/>
      <c r="K4493" s="15"/>
      <c r="L4493" s="15"/>
      <c r="M4493" s="16"/>
      <c r="N4493" s="16"/>
      <c r="O4493" s="17"/>
      <c r="P4493" s="17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  <c r="AG4493" s="13"/>
      <c r="AH4493" s="13"/>
      <c r="AI4493" s="13"/>
      <c r="AJ4493" s="13"/>
      <c r="AK4493" s="13"/>
      <c r="AL4493" s="13"/>
      <c r="AM4493" s="13"/>
      <c r="AN4493" s="13"/>
      <c r="AO4493" s="13"/>
      <c r="AP4493" s="13"/>
      <c r="AQ4493" s="13"/>
      <c r="AR4493" s="13"/>
      <c r="AS4493" s="13"/>
    </row>
    <row r="4494" ht="14.25" customHeight="1">
      <c r="A4494" s="13"/>
      <c r="B4494" s="13"/>
      <c r="C4494" s="13"/>
      <c r="D4494" s="13"/>
      <c r="E4494" s="13"/>
      <c r="F4494" s="13"/>
      <c r="G4494" s="13"/>
      <c r="H4494" s="13"/>
      <c r="I4494" s="13"/>
      <c r="J4494" s="13"/>
      <c r="K4494" s="15"/>
      <c r="L4494" s="15"/>
      <c r="M4494" s="16"/>
      <c r="N4494" s="16"/>
      <c r="O4494" s="17"/>
      <c r="P4494" s="17"/>
      <c r="Q4494" s="13"/>
      <c r="R4494" s="13"/>
      <c r="S4494" s="13"/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  <c r="AG4494" s="13"/>
      <c r="AH4494" s="13"/>
      <c r="AI4494" s="13"/>
      <c r="AJ4494" s="13"/>
      <c r="AK4494" s="13"/>
      <c r="AL4494" s="13"/>
      <c r="AM4494" s="13"/>
      <c r="AN4494" s="13"/>
      <c r="AO4494" s="13"/>
      <c r="AP4494" s="13"/>
      <c r="AQ4494" s="13"/>
      <c r="AR4494" s="13"/>
      <c r="AS4494" s="13"/>
    </row>
    <row r="4495" ht="14.25" customHeight="1">
      <c r="A4495" s="13"/>
      <c r="B4495" s="13"/>
      <c r="C4495" s="13"/>
      <c r="D4495" s="13"/>
      <c r="E4495" s="13"/>
      <c r="F4495" s="13"/>
      <c r="G4495" s="13"/>
      <c r="H4495" s="13"/>
      <c r="I4495" s="13"/>
      <c r="J4495" s="13"/>
      <c r="K4495" s="15"/>
      <c r="L4495" s="15"/>
      <c r="M4495" s="16"/>
      <c r="N4495" s="16"/>
      <c r="O4495" s="17"/>
      <c r="P4495" s="17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  <c r="AG4495" s="13"/>
      <c r="AH4495" s="13"/>
      <c r="AI4495" s="13"/>
      <c r="AJ4495" s="13"/>
      <c r="AK4495" s="13"/>
      <c r="AL4495" s="13"/>
      <c r="AM4495" s="13"/>
      <c r="AN4495" s="13"/>
      <c r="AO4495" s="13"/>
      <c r="AP4495" s="13"/>
      <c r="AQ4495" s="13"/>
      <c r="AR4495" s="13"/>
      <c r="AS4495" s="13"/>
    </row>
    <row r="4496" ht="14.25" customHeight="1">
      <c r="A4496" s="13"/>
      <c r="B4496" s="13"/>
      <c r="C4496" s="13"/>
      <c r="D4496" s="13"/>
      <c r="E4496" s="13"/>
      <c r="F4496" s="13"/>
      <c r="G4496" s="13"/>
      <c r="H4496" s="13"/>
      <c r="I4496" s="13"/>
      <c r="J4496" s="13"/>
      <c r="K4496" s="15"/>
      <c r="L4496" s="15"/>
      <c r="M4496" s="16"/>
      <c r="N4496" s="16"/>
      <c r="O4496" s="17"/>
      <c r="P4496" s="17"/>
      <c r="Q4496" s="13"/>
      <c r="R4496" s="13"/>
      <c r="S4496" s="13"/>
      <c r="T4496" s="13"/>
      <c r="U4496" s="13"/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  <c r="AG4496" s="13"/>
      <c r="AH4496" s="13"/>
      <c r="AI4496" s="13"/>
      <c r="AJ4496" s="13"/>
      <c r="AK4496" s="13"/>
      <c r="AL4496" s="13"/>
      <c r="AM4496" s="13"/>
      <c r="AN4496" s="13"/>
      <c r="AO4496" s="13"/>
      <c r="AP4496" s="13"/>
      <c r="AQ4496" s="13"/>
      <c r="AR4496" s="13"/>
      <c r="AS4496" s="13"/>
    </row>
    <row r="4497" ht="14.25" customHeight="1">
      <c r="A4497" s="13"/>
      <c r="B4497" s="13"/>
      <c r="C4497" s="13"/>
      <c r="D4497" s="13"/>
      <c r="E4497" s="13"/>
      <c r="F4497" s="13"/>
      <c r="G4497" s="13"/>
      <c r="H4497" s="13"/>
      <c r="I4497" s="13"/>
      <c r="J4497" s="13"/>
      <c r="K4497" s="15"/>
      <c r="L4497" s="15"/>
      <c r="M4497" s="16"/>
      <c r="N4497" s="16"/>
      <c r="O4497" s="17"/>
      <c r="P4497" s="17"/>
      <c r="Q4497" s="13"/>
      <c r="R4497" s="13"/>
      <c r="S4497" s="13"/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  <c r="AG4497" s="13"/>
      <c r="AH4497" s="13"/>
      <c r="AI4497" s="13"/>
      <c r="AJ4497" s="13"/>
      <c r="AK4497" s="13"/>
      <c r="AL4497" s="13"/>
      <c r="AM4497" s="13"/>
      <c r="AN4497" s="13"/>
      <c r="AO4497" s="13"/>
      <c r="AP4497" s="13"/>
      <c r="AQ4497" s="13"/>
      <c r="AR4497" s="13"/>
      <c r="AS4497" s="13"/>
    </row>
    <row r="4498" ht="14.25" customHeight="1">
      <c r="A4498" s="13"/>
      <c r="B4498" s="13"/>
      <c r="C4498" s="13"/>
      <c r="D4498" s="13"/>
      <c r="E4498" s="13"/>
      <c r="F4498" s="13"/>
      <c r="G4498" s="13"/>
      <c r="H4498" s="13"/>
      <c r="I4498" s="13"/>
      <c r="J4498" s="13"/>
      <c r="K4498" s="15"/>
      <c r="L4498" s="15"/>
      <c r="M4498" s="16"/>
      <c r="N4498" s="16"/>
      <c r="O4498" s="17"/>
      <c r="P4498" s="17"/>
      <c r="Q4498" s="13"/>
      <c r="R4498" s="13"/>
      <c r="S4498" s="13"/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3"/>
      <c r="AD4498" s="13"/>
      <c r="AE4498" s="13"/>
      <c r="AF4498" s="13"/>
      <c r="AG4498" s="13"/>
      <c r="AH4498" s="13"/>
      <c r="AI4498" s="13"/>
      <c r="AJ4498" s="13"/>
      <c r="AK4498" s="13"/>
      <c r="AL4498" s="13"/>
      <c r="AM4498" s="13"/>
      <c r="AN4498" s="13"/>
      <c r="AO4498" s="13"/>
      <c r="AP4498" s="13"/>
      <c r="AQ4498" s="13"/>
      <c r="AR4498" s="13"/>
      <c r="AS4498" s="13"/>
    </row>
    <row r="4499" ht="14.25" customHeight="1">
      <c r="A4499" s="13"/>
      <c r="B4499" s="13"/>
      <c r="C4499" s="13"/>
      <c r="D4499" s="13"/>
      <c r="E4499" s="13"/>
      <c r="F4499" s="13"/>
      <c r="G4499" s="13"/>
      <c r="H4499" s="13"/>
      <c r="I4499" s="13"/>
      <c r="J4499" s="13"/>
      <c r="K4499" s="15"/>
      <c r="L4499" s="15"/>
      <c r="M4499" s="16"/>
      <c r="N4499" s="16"/>
      <c r="O4499" s="17"/>
      <c r="P4499" s="17"/>
      <c r="Q4499" s="13"/>
      <c r="R4499" s="13"/>
      <c r="S4499" s="13"/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  <c r="AG4499" s="13"/>
      <c r="AH4499" s="13"/>
      <c r="AI4499" s="13"/>
      <c r="AJ4499" s="13"/>
      <c r="AK4499" s="13"/>
      <c r="AL4499" s="13"/>
      <c r="AM4499" s="13"/>
      <c r="AN4499" s="13"/>
      <c r="AO4499" s="13"/>
      <c r="AP4499" s="13"/>
      <c r="AQ4499" s="13"/>
      <c r="AR4499" s="13"/>
      <c r="AS4499" s="13"/>
    </row>
    <row r="4500" ht="14.25" customHeight="1">
      <c r="A4500" s="13"/>
      <c r="B4500" s="13"/>
      <c r="C4500" s="13"/>
      <c r="D4500" s="13"/>
      <c r="E4500" s="13"/>
      <c r="F4500" s="13"/>
      <c r="G4500" s="13"/>
      <c r="H4500" s="13"/>
      <c r="I4500" s="13"/>
      <c r="J4500" s="13"/>
      <c r="K4500" s="15"/>
      <c r="L4500" s="15"/>
      <c r="M4500" s="16"/>
      <c r="N4500" s="16"/>
      <c r="O4500" s="17"/>
      <c r="P4500" s="17"/>
      <c r="Q4500" s="13"/>
      <c r="R4500" s="13"/>
      <c r="S4500" s="13"/>
      <c r="T4500" s="13"/>
      <c r="U4500" s="13"/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  <c r="AG4500" s="13"/>
      <c r="AH4500" s="13"/>
      <c r="AI4500" s="13"/>
      <c r="AJ4500" s="13"/>
      <c r="AK4500" s="13"/>
      <c r="AL4500" s="13"/>
      <c r="AM4500" s="13"/>
      <c r="AN4500" s="13"/>
      <c r="AO4500" s="13"/>
      <c r="AP4500" s="13"/>
      <c r="AQ4500" s="13"/>
      <c r="AR4500" s="13"/>
      <c r="AS4500" s="13"/>
    </row>
    <row r="4501" ht="14.25" customHeight="1">
      <c r="A4501" s="13"/>
      <c r="B4501" s="13"/>
      <c r="C4501" s="13"/>
      <c r="D4501" s="13"/>
      <c r="E4501" s="13"/>
      <c r="F4501" s="13"/>
      <c r="G4501" s="13"/>
      <c r="H4501" s="13"/>
      <c r="I4501" s="13"/>
      <c r="J4501" s="13"/>
      <c r="K4501" s="15"/>
      <c r="L4501" s="15"/>
      <c r="M4501" s="16"/>
      <c r="N4501" s="16"/>
      <c r="O4501" s="17"/>
      <c r="P4501" s="17"/>
      <c r="Q4501" s="13"/>
      <c r="R4501" s="13"/>
      <c r="S4501" s="13"/>
      <c r="T4501" s="13"/>
      <c r="U4501" s="13"/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  <c r="AG4501" s="13"/>
      <c r="AH4501" s="13"/>
      <c r="AI4501" s="13"/>
      <c r="AJ4501" s="13"/>
      <c r="AK4501" s="13"/>
      <c r="AL4501" s="13"/>
      <c r="AM4501" s="13"/>
      <c r="AN4501" s="13"/>
      <c r="AO4501" s="13"/>
      <c r="AP4501" s="13"/>
      <c r="AQ4501" s="13"/>
      <c r="AR4501" s="13"/>
      <c r="AS4501" s="13"/>
    </row>
    <row r="4502" ht="14.25" customHeight="1">
      <c r="A4502" s="13"/>
      <c r="B4502" s="13"/>
      <c r="C4502" s="13"/>
      <c r="D4502" s="13"/>
      <c r="E4502" s="13"/>
      <c r="F4502" s="13"/>
      <c r="G4502" s="13"/>
      <c r="H4502" s="13"/>
      <c r="I4502" s="13"/>
      <c r="J4502" s="13"/>
      <c r="K4502" s="15"/>
      <c r="L4502" s="15"/>
      <c r="M4502" s="16"/>
      <c r="N4502" s="16"/>
      <c r="O4502" s="17"/>
      <c r="P4502" s="17"/>
      <c r="Q4502" s="13"/>
      <c r="R4502" s="13"/>
      <c r="S4502" s="13"/>
      <c r="T4502" s="13"/>
      <c r="U4502" s="13"/>
      <c r="V4502" s="13"/>
      <c r="W4502" s="13"/>
      <c r="X4502" s="13"/>
      <c r="Y4502" s="13"/>
      <c r="Z4502" s="13"/>
      <c r="AA4502" s="13"/>
      <c r="AB4502" s="13"/>
      <c r="AC4502" s="13"/>
      <c r="AD4502" s="13"/>
      <c r="AE4502" s="13"/>
      <c r="AF4502" s="13"/>
      <c r="AG4502" s="13"/>
      <c r="AH4502" s="13"/>
      <c r="AI4502" s="13"/>
      <c r="AJ4502" s="13"/>
      <c r="AK4502" s="13"/>
      <c r="AL4502" s="13"/>
      <c r="AM4502" s="13"/>
      <c r="AN4502" s="13"/>
      <c r="AO4502" s="13"/>
      <c r="AP4502" s="13"/>
      <c r="AQ4502" s="13"/>
      <c r="AR4502" s="13"/>
      <c r="AS4502" s="13"/>
    </row>
    <row r="4503" ht="14.25" customHeight="1">
      <c r="A4503" s="13"/>
      <c r="B4503" s="13"/>
      <c r="C4503" s="13"/>
      <c r="D4503" s="13"/>
      <c r="E4503" s="13"/>
      <c r="F4503" s="13"/>
      <c r="G4503" s="13"/>
      <c r="H4503" s="13"/>
      <c r="I4503" s="13"/>
      <c r="J4503" s="13"/>
      <c r="K4503" s="15"/>
      <c r="L4503" s="15"/>
      <c r="M4503" s="16"/>
      <c r="N4503" s="16"/>
      <c r="O4503" s="17"/>
      <c r="P4503" s="17"/>
      <c r="Q4503" s="13"/>
      <c r="R4503" s="13"/>
      <c r="S4503" s="13"/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3"/>
      <c r="AD4503" s="13"/>
      <c r="AE4503" s="13"/>
      <c r="AF4503" s="13"/>
      <c r="AG4503" s="13"/>
      <c r="AH4503" s="13"/>
      <c r="AI4503" s="13"/>
      <c r="AJ4503" s="13"/>
      <c r="AK4503" s="13"/>
      <c r="AL4503" s="13"/>
      <c r="AM4503" s="13"/>
      <c r="AN4503" s="13"/>
      <c r="AO4503" s="13"/>
      <c r="AP4503" s="13"/>
      <c r="AQ4503" s="13"/>
      <c r="AR4503" s="13"/>
      <c r="AS4503" s="13"/>
    </row>
    <row r="4504" ht="14.25" customHeight="1">
      <c r="A4504" s="13"/>
      <c r="B4504" s="13"/>
      <c r="C4504" s="13"/>
      <c r="D4504" s="13"/>
      <c r="E4504" s="13"/>
      <c r="F4504" s="13"/>
      <c r="G4504" s="13"/>
      <c r="H4504" s="13"/>
      <c r="I4504" s="13"/>
      <c r="J4504" s="13"/>
      <c r="K4504" s="15"/>
      <c r="L4504" s="15"/>
      <c r="M4504" s="16"/>
      <c r="N4504" s="16"/>
      <c r="O4504" s="17"/>
      <c r="P4504" s="17"/>
      <c r="Q4504" s="13"/>
      <c r="R4504" s="13"/>
      <c r="S4504" s="13"/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  <c r="AG4504" s="13"/>
      <c r="AH4504" s="13"/>
      <c r="AI4504" s="13"/>
      <c r="AJ4504" s="13"/>
      <c r="AK4504" s="13"/>
      <c r="AL4504" s="13"/>
      <c r="AM4504" s="13"/>
      <c r="AN4504" s="13"/>
      <c r="AO4504" s="13"/>
      <c r="AP4504" s="13"/>
      <c r="AQ4504" s="13"/>
      <c r="AR4504" s="13"/>
      <c r="AS4504" s="13"/>
    </row>
    <row r="4505" ht="14.25" customHeight="1">
      <c r="A4505" s="13"/>
      <c r="B4505" s="13"/>
      <c r="C4505" s="13"/>
      <c r="D4505" s="13"/>
      <c r="E4505" s="13"/>
      <c r="F4505" s="13"/>
      <c r="G4505" s="13"/>
      <c r="H4505" s="13"/>
      <c r="I4505" s="13"/>
      <c r="J4505" s="13"/>
      <c r="K4505" s="15"/>
      <c r="L4505" s="15"/>
      <c r="M4505" s="16"/>
      <c r="N4505" s="16"/>
      <c r="O4505" s="17"/>
      <c r="P4505" s="17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/>
      <c r="AE4505" s="13"/>
      <c r="AF4505" s="13"/>
      <c r="AG4505" s="13"/>
      <c r="AH4505" s="13"/>
      <c r="AI4505" s="13"/>
      <c r="AJ4505" s="13"/>
      <c r="AK4505" s="13"/>
      <c r="AL4505" s="13"/>
      <c r="AM4505" s="13"/>
      <c r="AN4505" s="13"/>
      <c r="AO4505" s="13"/>
      <c r="AP4505" s="13"/>
      <c r="AQ4505" s="13"/>
      <c r="AR4505" s="13"/>
      <c r="AS4505" s="13"/>
    </row>
    <row r="4506" ht="14.25" customHeight="1">
      <c r="A4506" s="13"/>
      <c r="B4506" s="13"/>
      <c r="C4506" s="13"/>
      <c r="D4506" s="13"/>
      <c r="E4506" s="13"/>
      <c r="F4506" s="13"/>
      <c r="G4506" s="13"/>
      <c r="H4506" s="13"/>
      <c r="I4506" s="13"/>
      <c r="J4506" s="13"/>
      <c r="K4506" s="15"/>
      <c r="L4506" s="15"/>
      <c r="M4506" s="16"/>
      <c r="N4506" s="16"/>
      <c r="O4506" s="17"/>
      <c r="P4506" s="17"/>
      <c r="Q4506" s="13"/>
      <c r="R4506" s="13"/>
      <c r="S4506" s="13"/>
      <c r="T4506" s="13"/>
      <c r="U4506" s="13"/>
      <c r="V4506" s="13"/>
      <c r="W4506" s="13"/>
      <c r="X4506" s="13"/>
      <c r="Y4506" s="13"/>
      <c r="Z4506" s="13"/>
      <c r="AA4506" s="13"/>
      <c r="AB4506" s="13"/>
      <c r="AC4506" s="13"/>
      <c r="AD4506" s="13"/>
      <c r="AE4506" s="13"/>
      <c r="AF4506" s="13"/>
      <c r="AG4506" s="13"/>
      <c r="AH4506" s="13"/>
      <c r="AI4506" s="13"/>
      <c r="AJ4506" s="13"/>
      <c r="AK4506" s="13"/>
      <c r="AL4506" s="13"/>
      <c r="AM4506" s="13"/>
      <c r="AN4506" s="13"/>
      <c r="AO4506" s="13"/>
      <c r="AP4506" s="13"/>
      <c r="AQ4506" s="13"/>
      <c r="AR4506" s="13"/>
      <c r="AS4506" s="13"/>
    </row>
    <row r="4507" ht="14.25" customHeight="1">
      <c r="A4507" s="13"/>
      <c r="B4507" s="13"/>
      <c r="C4507" s="13"/>
      <c r="D4507" s="13"/>
      <c r="E4507" s="13"/>
      <c r="F4507" s="13"/>
      <c r="G4507" s="13"/>
      <c r="H4507" s="13"/>
      <c r="I4507" s="13"/>
      <c r="J4507" s="13"/>
      <c r="K4507" s="15"/>
      <c r="L4507" s="15"/>
      <c r="M4507" s="16"/>
      <c r="N4507" s="16"/>
      <c r="O4507" s="17"/>
      <c r="P4507" s="17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/>
      <c r="AF4507" s="13"/>
      <c r="AG4507" s="13"/>
      <c r="AH4507" s="13"/>
      <c r="AI4507" s="13"/>
      <c r="AJ4507" s="13"/>
      <c r="AK4507" s="13"/>
      <c r="AL4507" s="13"/>
      <c r="AM4507" s="13"/>
      <c r="AN4507" s="13"/>
      <c r="AO4507" s="13"/>
      <c r="AP4507" s="13"/>
      <c r="AQ4507" s="13"/>
      <c r="AR4507" s="13"/>
      <c r="AS4507" s="13"/>
    </row>
    <row r="4508" ht="14.25" customHeight="1">
      <c r="A4508" s="13"/>
      <c r="B4508" s="13"/>
      <c r="C4508" s="13"/>
      <c r="D4508" s="13"/>
      <c r="E4508" s="13"/>
      <c r="F4508" s="13"/>
      <c r="G4508" s="13"/>
      <c r="H4508" s="13"/>
      <c r="I4508" s="13"/>
      <c r="J4508" s="13"/>
      <c r="K4508" s="15"/>
      <c r="L4508" s="15"/>
      <c r="M4508" s="16"/>
      <c r="N4508" s="16"/>
      <c r="O4508" s="17"/>
      <c r="P4508" s="17"/>
      <c r="Q4508" s="13"/>
      <c r="R4508" s="13"/>
      <c r="S4508" s="13"/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  <c r="AG4508" s="13"/>
      <c r="AH4508" s="13"/>
      <c r="AI4508" s="13"/>
      <c r="AJ4508" s="13"/>
      <c r="AK4508" s="13"/>
      <c r="AL4508" s="13"/>
      <c r="AM4508" s="13"/>
      <c r="AN4508" s="13"/>
      <c r="AO4508" s="13"/>
      <c r="AP4508" s="13"/>
      <c r="AQ4508" s="13"/>
      <c r="AR4508" s="13"/>
      <c r="AS4508" s="13"/>
    </row>
    <row r="4509" ht="14.25" customHeight="1">
      <c r="A4509" s="13"/>
      <c r="B4509" s="13"/>
      <c r="C4509" s="13"/>
      <c r="D4509" s="13"/>
      <c r="E4509" s="13"/>
      <c r="F4509" s="13"/>
      <c r="G4509" s="13"/>
      <c r="H4509" s="13"/>
      <c r="I4509" s="13"/>
      <c r="J4509" s="13"/>
      <c r="K4509" s="15"/>
      <c r="L4509" s="15"/>
      <c r="M4509" s="16"/>
      <c r="N4509" s="16"/>
      <c r="O4509" s="17"/>
      <c r="P4509" s="17"/>
      <c r="Q4509" s="13"/>
      <c r="R4509" s="13"/>
      <c r="S4509" s="13"/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  <c r="AG4509" s="13"/>
      <c r="AH4509" s="13"/>
      <c r="AI4509" s="13"/>
      <c r="AJ4509" s="13"/>
      <c r="AK4509" s="13"/>
      <c r="AL4509" s="13"/>
      <c r="AM4509" s="13"/>
      <c r="AN4509" s="13"/>
      <c r="AO4509" s="13"/>
      <c r="AP4509" s="13"/>
      <c r="AQ4509" s="13"/>
      <c r="AR4509" s="13"/>
      <c r="AS4509" s="13"/>
    </row>
    <row r="4510" ht="14.25" customHeight="1">
      <c r="A4510" s="13"/>
      <c r="B4510" s="13"/>
      <c r="C4510" s="13"/>
      <c r="D4510" s="13"/>
      <c r="E4510" s="13"/>
      <c r="F4510" s="13"/>
      <c r="G4510" s="13"/>
      <c r="H4510" s="13"/>
      <c r="I4510" s="13"/>
      <c r="J4510" s="13"/>
      <c r="K4510" s="15"/>
      <c r="L4510" s="15"/>
      <c r="M4510" s="16"/>
      <c r="N4510" s="16"/>
      <c r="O4510" s="17"/>
      <c r="P4510" s="17"/>
      <c r="Q4510" s="13"/>
      <c r="R4510" s="13"/>
      <c r="S4510" s="13"/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  <c r="AG4510" s="13"/>
      <c r="AH4510" s="13"/>
      <c r="AI4510" s="13"/>
      <c r="AJ4510" s="13"/>
      <c r="AK4510" s="13"/>
      <c r="AL4510" s="13"/>
      <c r="AM4510" s="13"/>
      <c r="AN4510" s="13"/>
      <c r="AO4510" s="13"/>
      <c r="AP4510" s="13"/>
      <c r="AQ4510" s="13"/>
      <c r="AR4510" s="13"/>
      <c r="AS4510" s="13"/>
    </row>
    <row r="4511" ht="14.25" customHeight="1">
      <c r="A4511" s="13"/>
      <c r="B4511" s="13"/>
      <c r="C4511" s="13"/>
      <c r="D4511" s="13"/>
      <c r="E4511" s="13"/>
      <c r="F4511" s="13"/>
      <c r="G4511" s="13"/>
      <c r="H4511" s="13"/>
      <c r="I4511" s="13"/>
      <c r="J4511" s="13"/>
      <c r="K4511" s="15"/>
      <c r="L4511" s="15"/>
      <c r="M4511" s="16"/>
      <c r="N4511" s="16"/>
      <c r="O4511" s="17"/>
      <c r="P4511" s="17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  <c r="AG4511" s="13"/>
      <c r="AH4511" s="13"/>
      <c r="AI4511" s="13"/>
      <c r="AJ4511" s="13"/>
      <c r="AK4511" s="13"/>
      <c r="AL4511" s="13"/>
      <c r="AM4511" s="13"/>
      <c r="AN4511" s="13"/>
      <c r="AO4511" s="13"/>
      <c r="AP4511" s="13"/>
      <c r="AQ4511" s="13"/>
      <c r="AR4511" s="13"/>
      <c r="AS4511" s="13"/>
    </row>
    <row r="4512" ht="14.25" customHeight="1">
      <c r="A4512" s="13"/>
      <c r="B4512" s="13"/>
      <c r="C4512" s="13"/>
      <c r="D4512" s="13"/>
      <c r="E4512" s="13"/>
      <c r="F4512" s="13"/>
      <c r="G4512" s="13"/>
      <c r="H4512" s="13"/>
      <c r="I4512" s="13"/>
      <c r="J4512" s="13"/>
      <c r="K4512" s="15"/>
      <c r="L4512" s="15"/>
      <c r="M4512" s="16"/>
      <c r="N4512" s="16"/>
      <c r="O4512" s="17"/>
      <c r="P4512" s="17"/>
      <c r="Q4512" s="13"/>
      <c r="R4512" s="13"/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  <c r="AG4512" s="13"/>
      <c r="AH4512" s="13"/>
      <c r="AI4512" s="13"/>
      <c r="AJ4512" s="13"/>
      <c r="AK4512" s="13"/>
      <c r="AL4512" s="13"/>
      <c r="AM4512" s="13"/>
      <c r="AN4512" s="13"/>
      <c r="AO4512" s="13"/>
      <c r="AP4512" s="13"/>
      <c r="AQ4512" s="13"/>
      <c r="AR4512" s="13"/>
      <c r="AS4512" s="13"/>
    </row>
    <row r="4513" ht="14.25" customHeight="1">
      <c r="A4513" s="13"/>
      <c r="B4513" s="13"/>
      <c r="C4513" s="13"/>
      <c r="D4513" s="13"/>
      <c r="E4513" s="13"/>
      <c r="F4513" s="13"/>
      <c r="G4513" s="13"/>
      <c r="H4513" s="13"/>
      <c r="I4513" s="13"/>
      <c r="J4513" s="13"/>
      <c r="K4513" s="15"/>
      <c r="L4513" s="15"/>
      <c r="M4513" s="16"/>
      <c r="N4513" s="16"/>
      <c r="O4513" s="17"/>
      <c r="P4513" s="17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  <c r="AG4513" s="13"/>
      <c r="AH4513" s="13"/>
      <c r="AI4513" s="13"/>
      <c r="AJ4513" s="13"/>
      <c r="AK4513" s="13"/>
      <c r="AL4513" s="13"/>
      <c r="AM4513" s="13"/>
      <c r="AN4513" s="13"/>
      <c r="AO4513" s="13"/>
      <c r="AP4513" s="13"/>
      <c r="AQ4513" s="13"/>
      <c r="AR4513" s="13"/>
      <c r="AS4513" s="13"/>
    </row>
    <row r="4514" ht="14.25" customHeight="1">
      <c r="A4514" s="13"/>
      <c r="B4514" s="13"/>
      <c r="C4514" s="13"/>
      <c r="D4514" s="13"/>
      <c r="E4514" s="13"/>
      <c r="F4514" s="13"/>
      <c r="G4514" s="13"/>
      <c r="H4514" s="13"/>
      <c r="I4514" s="13"/>
      <c r="J4514" s="13"/>
      <c r="K4514" s="15"/>
      <c r="L4514" s="15"/>
      <c r="M4514" s="16"/>
      <c r="N4514" s="16"/>
      <c r="O4514" s="17"/>
      <c r="P4514" s="17"/>
      <c r="Q4514" s="13"/>
      <c r="R4514" s="13"/>
      <c r="S4514" s="13"/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  <c r="AG4514" s="13"/>
      <c r="AH4514" s="13"/>
      <c r="AI4514" s="13"/>
      <c r="AJ4514" s="13"/>
      <c r="AK4514" s="13"/>
      <c r="AL4514" s="13"/>
      <c r="AM4514" s="13"/>
      <c r="AN4514" s="13"/>
      <c r="AO4514" s="13"/>
      <c r="AP4514" s="13"/>
      <c r="AQ4514" s="13"/>
      <c r="AR4514" s="13"/>
      <c r="AS4514" s="13"/>
    </row>
    <row r="4515" ht="14.25" customHeight="1">
      <c r="A4515" s="13"/>
      <c r="B4515" s="13"/>
      <c r="C4515" s="13"/>
      <c r="D4515" s="13"/>
      <c r="E4515" s="13"/>
      <c r="F4515" s="13"/>
      <c r="G4515" s="13"/>
      <c r="H4515" s="13"/>
      <c r="I4515" s="13"/>
      <c r="J4515" s="13"/>
      <c r="K4515" s="15"/>
      <c r="L4515" s="15"/>
      <c r="M4515" s="16"/>
      <c r="N4515" s="16"/>
      <c r="O4515" s="17"/>
      <c r="P4515" s="17"/>
      <c r="Q4515" s="13"/>
      <c r="R4515" s="13"/>
      <c r="S4515" s="13"/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  <c r="AG4515" s="13"/>
      <c r="AH4515" s="13"/>
      <c r="AI4515" s="13"/>
      <c r="AJ4515" s="13"/>
      <c r="AK4515" s="13"/>
      <c r="AL4515" s="13"/>
      <c r="AM4515" s="13"/>
      <c r="AN4515" s="13"/>
      <c r="AO4515" s="13"/>
      <c r="AP4515" s="13"/>
      <c r="AQ4515" s="13"/>
      <c r="AR4515" s="13"/>
      <c r="AS4515" s="13"/>
    </row>
    <row r="4516" ht="14.25" customHeight="1">
      <c r="A4516" s="13"/>
      <c r="B4516" s="13"/>
      <c r="C4516" s="13"/>
      <c r="D4516" s="13"/>
      <c r="E4516" s="13"/>
      <c r="F4516" s="13"/>
      <c r="G4516" s="13"/>
      <c r="H4516" s="13"/>
      <c r="I4516" s="13"/>
      <c r="J4516" s="13"/>
      <c r="K4516" s="15"/>
      <c r="L4516" s="15"/>
      <c r="M4516" s="16"/>
      <c r="N4516" s="16"/>
      <c r="O4516" s="17"/>
      <c r="P4516" s="17"/>
      <c r="Q4516" s="13"/>
      <c r="R4516" s="13"/>
      <c r="S4516" s="13"/>
      <c r="T4516" s="13"/>
      <c r="U4516" s="13"/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  <c r="AG4516" s="13"/>
      <c r="AH4516" s="13"/>
      <c r="AI4516" s="13"/>
      <c r="AJ4516" s="13"/>
      <c r="AK4516" s="13"/>
      <c r="AL4516" s="13"/>
      <c r="AM4516" s="13"/>
      <c r="AN4516" s="13"/>
      <c r="AO4516" s="13"/>
      <c r="AP4516" s="13"/>
      <c r="AQ4516" s="13"/>
      <c r="AR4516" s="13"/>
      <c r="AS4516" s="13"/>
    </row>
    <row r="4517" ht="14.25" customHeight="1">
      <c r="A4517" s="13"/>
      <c r="B4517" s="13"/>
      <c r="C4517" s="13"/>
      <c r="D4517" s="13"/>
      <c r="E4517" s="13"/>
      <c r="F4517" s="13"/>
      <c r="G4517" s="13"/>
      <c r="H4517" s="13"/>
      <c r="I4517" s="13"/>
      <c r="J4517" s="13"/>
      <c r="K4517" s="15"/>
      <c r="L4517" s="15"/>
      <c r="M4517" s="16"/>
      <c r="N4517" s="16"/>
      <c r="O4517" s="17"/>
      <c r="P4517" s="17"/>
      <c r="Q4517" s="13"/>
      <c r="R4517" s="13"/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  <c r="AG4517" s="13"/>
      <c r="AH4517" s="13"/>
      <c r="AI4517" s="13"/>
      <c r="AJ4517" s="13"/>
      <c r="AK4517" s="13"/>
      <c r="AL4517" s="13"/>
      <c r="AM4517" s="13"/>
      <c r="AN4517" s="13"/>
      <c r="AO4517" s="13"/>
      <c r="AP4517" s="13"/>
      <c r="AQ4517" s="13"/>
      <c r="AR4517" s="13"/>
      <c r="AS4517" s="13"/>
    </row>
    <row r="4518" ht="14.25" customHeight="1">
      <c r="A4518" s="13"/>
      <c r="B4518" s="13"/>
      <c r="C4518" s="13"/>
      <c r="D4518" s="13"/>
      <c r="E4518" s="13"/>
      <c r="F4518" s="13"/>
      <c r="G4518" s="13"/>
      <c r="H4518" s="13"/>
      <c r="I4518" s="13"/>
      <c r="J4518" s="13"/>
      <c r="K4518" s="15"/>
      <c r="L4518" s="15"/>
      <c r="M4518" s="16"/>
      <c r="N4518" s="16"/>
      <c r="O4518" s="17"/>
      <c r="P4518" s="17"/>
      <c r="Q4518" s="13"/>
      <c r="R4518" s="13"/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/>
      <c r="AE4518" s="13"/>
      <c r="AF4518" s="13"/>
      <c r="AG4518" s="13"/>
      <c r="AH4518" s="13"/>
      <c r="AI4518" s="13"/>
      <c r="AJ4518" s="13"/>
      <c r="AK4518" s="13"/>
      <c r="AL4518" s="13"/>
      <c r="AM4518" s="13"/>
      <c r="AN4518" s="13"/>
      <c r="AO4518" s="13"/>
      <c r="AP4518" s="13"/>
      <c r="AQ4518" s="13"/>
      <c r="AR4518" s="13"/>
      <c r="AS4518" s="13"/>
    </row>
    <row r="4519" ht="14.25" customHeight="1">
      <c r="A4519" s="13"/>
      <c r="B4519" s="13"/>
      <c r="C4519" s="13"/>
      <c r="D4519" s="13"/>
      <c r="E4519" s="13"/>
      <c r="F4519" s="13"/>
      <c r="G4519" s="13"/>
      <c r="H4519" s="13"/>
      <c r="I4519" s="13"/>
      <c r="J4519" s="13"/>
      <c r="K4519" s="15"/>
      <c r="L4519" s="15"/>
      <c r="M4519" s="16"/>
      <c r="N4519" s="16"/>
      <c r="O4519" s="17"/>
      <c r="P4519" s="17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  <c r="AG4519" s="13"/>
      <c r="AH4519" s="13"/>
      <c r="AI4519" s="13"/>
      <c r="AJ4519" s="13"/>
      <c r="AK4519" s="13"/>
      <c r="AL4519" s="13"/>
      <c r="AM4519" s="13"/>
      <c r="AN4519" s="13"/>
      <c r="AO4519" s="13"/>
      <c r="AP4519" s="13"/>
      <c r="AQ4519" s="13"/>
      <c r="AR4519" s="13"/>
      <c r="AS4519" s="13"/>
    </row>
    <row r="4520" ht="14.25" customHeight="1">
      <c r="A4520" s="13"/>
      <c r="B4520" s="13"/>
      <c r="C4520" s="13"/>
      <c r="D4520" s="13"/>
      <c r="E4520" s="13"/>
      <c r="F4520" s="13"/>
      <c r="G4520" s="13"/>
      <c r="H4520" s="13"/>
      <c r="I4520" s="13"/>
      <c r="J4520" s="13"/>
      <c r="K4520" s="15"/>
      <c r="L4520" s="15"/>
      <c r="M4520" s="16"/>
      <c r="N4520" s="16"/>
      <c r="O4520" s="17"/>
      <c r="P4520" s="17"/>
      <c r="Q4520" s="13"/>
      <c r="R4520" s="13"/>
      <c r="S4520" s="13"/>
      <c r="T4520" s="13"/>
      <c r="U4520" s="13"/>
      <c r="V4520" s="13"/>
      <c r="W4520" s="13"/>
      <c r="X4520" s="13"/>
      <c r="Y4520" s="13"/>
      <c r="Z4520" s="13"/>
      <c r="AA4520" s="13"/>
      <c r="AB4520" s="13"/>
      <c r="AC4520" s="13"/>
      <c r="AD4520" s="13"/>
      <c r="AE4520" s="13"/>
      <c r="AF4520" s="13"/>
      <c r="AG4520" s="13"/>
      <c r="AH4520" s="13"/>
      <c r="AI4520" s="13"/>
      <c r="AJ4520" s="13"/>
      <c r="AK4520" s="13"/>
      <c r="AL4520" s="13"/>
      <c r="AM4520" s="13"/>
      <c r="AN4520" s="13"/>
      <c r="AO4520" s="13"/>
      <c r="AP4520" s="13"/>
      <c r="AQ4520" s="13"/>
      <c r="AR4520" s="13"/>
      <c r="AS4520" s="13"/>
    </row>
    <row r="4521" ht="14.25" customHeight="1">
      <c r="A4521" s="13"/>
      <c r="B4521" s="13"/>
      <c r="C4521" s="13"/>
      <c r="D4521" s="13"/>
      <c r="E4521" s="13"/>
      <c r="F4521" s="13"/>
      <c r="G4521" s="13"/>
      <c r="H4521" s="13"/>
      <c r="I4521" s="13"/>
      <c r="J4521" s="13"/>
      <c r="K4521" s="15"/>
      <c r="L4521" s="15"/>
      <c r="M4521" s="16"/>
      <c r="N4521" s="16"/>
      <c r="O4521" s="17"/>
      <c r="P4521" s="17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  <c r="AG4521" s="13"/>
      <c r="AH4521" s="13"/>
      <c r="AI4521" s="13"/>
      <c r="AJ4521" s="13"/>
      <c r="AK4521" s="13"/>
      <c r="AL4521" s="13"/>
      <c r="AM4521" s="13"/>
      <c r="AN4521" s="13"/>
      <c r="AO4521" s="13"/>
      <c r="AP4521" s="13"/>
      <c r="AQ4521" s="13"/>
      <c r="AR4521" s="13"/>
      <c r="AS4521" s="13"/>
    </row>
    <row r="4522" ht="14.25" customHeight="1">
      <c r="A4522" s="13"/>
      <c r="B4522" s="13"/>
      <c r="C4522" s="13"/>
      <c r="D4522" s="13"/>
      <c r="E4522" s="13"/>
      <c r="F4522" s="13"/>
      <c r="G4522" s="13"/>
      <c r="H4522" s="13"/>
      <c r="I4522" s="13"/>
      <c r="J4522" s="13"/>
      <c r="K4522" s="15"/>
      <c r="L4522" s="15"/>
      <c r="M4522" s="16"/>
      <c r="N4522" s="16"/>
      <c r="O4522" s="17"/>
      <c r="P4522" s="17"/>
      <c r="Q4522" s="13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  <c r="AG4522" s="13"/>
      <c r="AH4522" s="13"/>
      <c r="AI4522" s="13"/>
      <c r="AJ4522" s="13"/>
      <c r="AK4522" s="13"/>
      <c r="AL4522" s="13"/>
      <c r="AM4522" s="13"/>
      <c r="AN4522" s="13"/>
      <c r="AO4522" s="13"/>
      <c r="AP4522" s="13"/>
      <c r="AQ4522" s="13"/>
      <c r="AR4522" s="13"/>
      <c r="AS4522" s="13"/>
    </row>
    <row r="4523" ht="14.25" customHeight="1">
      <c r="A4523" s="13"/>
      <c r="B4523" s="13"/>
      <c r="C4523" s="13"/>
      <c r="D4523" s="13"/>
      <c r="E4523" s="13"/>
      <c r="F4523" s="13"/>
      <c r="G4523" s="13"/>
      <c r="H4523" s="13"/>
      <c r="I4523" s="13"/>
      <c r="J4523" s="13"/>
      <c r="K4523" s="15"/>
      <c r="L4523" s="15"/>
      <c r="M4523" s="16"/>
      <c r="N4523" s="16"/>
      <c r="O4523" s="17"/>
      <c r="P4523" s="17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  <c r="AG4523" s="13"/>
      <c r="AH4523" s="13"/>
      <c r="AI4523" s="13"/>
      <c r="AJ4523" s="13"/>
      <c r="AK4523" s="13"/>
      <c r="AL4523" s="13"/>
      <c r="AM4523" s="13"/>
      <c r="AN4523" s="13"/>
      <c r="AO4523" s="13"/>
      <c r="AP4523" s="13"/>
      <c r="AQ4523" s="13"/>
      <c r="AR4523" s="13"/>
      <c r="AS4523" s="13"/>
    </row>
    <row r="4524" ht="14.25" customHeight="1">
      <c r="A4524" s="13"/>
      <c r="B4524" s="13"/>
      <c r="C4524" s="13"/>
      <c r="D4524" s="13"/>
      <c r="E4524" s="13"/>
      <c r="F4524" s="13"/>
      <c r="G4524" s="13"/>
      <c r="H4524" s="13"/>
      <c r="I4524" s="13"/>
      <c r="J4524" s="13"/>
      <c r="K4524" s="15"/>
      <c r="L4524" s="15"/>
      <c r="M4524" s="16"/>
      <c r="N4524" s="16"/>
      <c r="O4524" s="17"/>
      <c r="P4524" s="17"/>
      <c r="Q4524" s="13"/>
      <c r="R4524" s="13"/>
      <c r="S4524" s="13"/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  <c r="AG4524" s="13"/>
      <c r="AH4524" s="13"/>
      <c r="AI4524" s="13"/>
      <c r="AJ4524" s="13"/>
      <c r="AK4524" s="13"/>
      <c r="AL4524" s="13"/>
      <c r="AM4524" s="13"/>
      <c r="AN4524" s="13"/>
      <c r="AO4524" s="13"/>
      <c r="AP4524" s="13"/>
      <c r="AQ4524" s="13"/>
      <c r="AR4524" s="13"/>
      <c r="AS4524" s="13"/>
    </row>
    <row r="4525" ht="14.25" customHeight="1">
      <c r="A4525" s="13"/>
      <c r="B4525" s="13"/>
      <c r="C4525" s="13"/>
      <c r="D4525" s="13"/>
      <c r="E4525" s="13"/>
      <c r="F4525" s="13"/>
      <c r="G4525" s="13"/>
      <c r="H4525" s="13"/>
      <c r="I4525" s="13"/>
      <c r="J4525" s="13"/>
      <c r="K4525" s="15"/>
      <c r="L4525" s="15"/>
      <c r="M4525" s="16"/>
      <c r="N4525" s="16"/>
      <c r="O4525" s="17"/>
      <c r="P4525" s="17"/>
      <c r="Q4525" s="13"/>
      <c r="R4525" s="13"/>
      <c r="S4525" s="13"/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  <c r="AG4525" s="13"/>
      <c r="AH4525" s="13"/>
      <c r="AI4525" s="13"/>
      <c r="AJ4525" s="13"/>
      <c r="AK4525" s="13"/>
      <c r="AL4525" s="13"/>
      <c r="AM4525" s="13"/>
      <c r="AN4525" s="13"/>
      <c r="AO4525" s="13"/>
      <c r="AP4525" s="13"/>
      <c r="AQ4525" s="13"/>
      <c r="AR4525" s="13"/>
      <c r="AS4525" s="13"/>
    </row>
    <row r="4526" ht="14.25" customHeight="1">
      <c r="A4526" s="13"/>
      <c r="B4526" s="13"/>
      <c r="C4526" s="13"/>
      <c r="D4526" s="13"/>
      <c r="E4526" s="13"/>
      <c r="F4526" s="13"/>
      <c r="G4526" s="13"/>
      <c r="H4526" s="13"/>
      <c r="I4526" s="13"/>
      <c r="J4526" s="13"/>
      <c r="K4526" s="15"/>
      <c r="L4526" s="15"/>
      <c r="M4526" s="16"/>
      <c r="N4526" s="16"/>
      <c r="O4526" s="17"/>
      <c r="P4526" s="17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3"/>
      <c r="AD4526" s="13"/>
      <c r="AE4526" s="13"/>
      <c r="AF4526" s="13"/>
      <c r="AG4526" s="13"/>
      <c r="AH4526" s="13"/>
      <c r="AI4526" s="13"/>
      <c r="AJ4526" s="13"/>
      <c r="AK4526" s="13"/>
      <c r="AL4526" s="13"/>
      <c r="AM4526" s="13"/>
      <c r="AN4526" s="13"/>
      <c r="AO4526" s="13"/>
      <c r="AP4526" s="13"/>
      <c r="AQ4526" s="13"/>
      <c r="AR4526" s="13"/>
      <c r="AS4526" s="13"/>
    </row>
    <row r="4527" ht="14.25" customHeight="1">
      <c r="A4527" s="13"/>
      <c r="B4527" s="13"/>
      <c r="C4527" s="13"/>
      <c r="D4527" s="13"/>
      <c r="E4527" s="13"/>
      <c r="F4527" s="13"/>
      <c r="G4527" s="13"/>
      <c r="H4527" s="13"/>
      <c r="I4527" s="13"/>
      <c r="J4527" s="13"/>
      <c r="K4527" s="15"/>
      <c r="L4527" s="15"/>
      <c r="M4527" s="16"/>
      <c r="N4527" s="16"/>
      <c r="O4527" s="17"/>
      <c r="P4527" s="17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  <c r="AG4527" s="13"/>
      <c r="AH4527" s="13"/>
      <c r="AI4527" s="13"/>
      <c r="AJ4527" s="13"/>
      <c r="AK4527" s="13"/>
      <c r="AL4527" s="13"/>
      <c r="AM4527" s="13"/>
      <c r="AN4527" s="13"/>
      <c r="AO4527" s="13"/>
      <c r="AP4527" s="13"/>
      <c r="AQ4527" s="13"/>
      <c r="AR4527" s="13"/>
      <c r="AS4527" s="13"/>
    </row>
    <row r="4528" ht="14.25" customHeight="1">
      <c r="A4528" s="13"/>
      <c r="B4528" s="13"/>
      <c r="C4528" s="13"/>
      <c r="D4528" s="13"/>
      <c r="E4528" s="13"/>
      <c r="F4528" s="13"/>
      <c r="G4528" s="13"/>
      <c r="H4528" s="13"/>
      <c r="I4528" s="13"/>
      <c r="J4528" s="13"/>
      <c r="K4528" s="15"/>
      <c r="L4528" s="15"/>
      <c r="M4528" s="16"/>
      <c r="N4528" s="16"/>
      <c r="O4528" s="17"/>
      <c r="P4528" s="17"/>
      <c r="Q4528" s="13"/>
      <c r="R4528" s="13"/>
      <c r="S4528" s="13"/>
      <c r="T4528" s="13"/>
      <c r="U4528" s="13"/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  <c r="AG4528" s="13"/>
      <c r="AH4528" s="13"/>
      <c r="AI4528" s="13"/>
      <c r="AJ4528" s="13"/>
      <c r="AK4528" s="13"/>
      <c r="AL4528" s="13"/>
      <c r="AM4528" s="13"/>
      <c r="AN4528" s="13"/>
      <c r="AO4528" s="13"/>
      <c r="AP4528" s="13"/>
      <c r="AQ4528" s="13"/>
      <c r="AR4528" s="13"/>
      <c r="AS4528" s="13"/>
    </row>
    <row r="4529" ht="14.25" customHeight="1">
      <c r="A4529" s="13"/>
      <c r="B4529" s="13"/>
      <c r="C4529" s="13"/>
      <c r="D4529" s="13"/>
      <c r="E4529" s="13"/>
      <c r="F4529" s="13"/>
      <c r="G4529" s="13"/>
      <c r="H4529" s="13"/>
      <c r="I4529" s="13"/>
      <c r="J4529" s="13"/>
      <c r="K4529" s="15"/>
      <c r="L4529" s="15"/>
      <c r="M4529" s="16"/>
      <c r="N4529" s="16"/>
      <c r="O4529" s="17"/>
      <c r="P4529" s="17"/>
      <c r="Q4529" s="13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  <c r="AG4529" s="13"/>
      <c r="AH4529" s="13"/>
      <c r="AI4529" s="13"/>
      <c r="AJ4529" s="13"/>
      <c r="AK4529" s="13"/>
      <c r="AL4529" s="13"/>
      <c r="AM4529" s="13"/>
      <c r="AN4529" s="13"/>
      <c r="AO4529" s="13"/>
      <c r="AP4529" s="13"/>
      <c r="AQ4529" s="13"/>
      <c r="AR4529" s="13"/>
      <c r="AS4529" s="13"/>
    </row>
    <row r="4530" ht="14.25" customHeight="1">
      <c r="A4530" s="13"/>
      <c r="B4530" s="13"/>
      <c r="C4530" s="13"/>
      <c r="D4530" s="13"/>
      <c r="E4530" s="13"/>
      <c r="F4530" s="13"/>
      <c r="G4530" s="13"/>
      <c r="H4530" s="13"/>
      <c r="I4530" s="13"/>
      <c r="J4530" s="13"/>
      <c r="K4530" s="15"/>
      <c r="L4530" s="15"/>
      <c r="M4530" s="16"/>
      <c r="N4530" s="16"/>
      <c r="O4530" s="17"/>
      <c r="P4530" s="17"/>
      <c r="Q4530" s="13"/>
      <c r="R4530" s="13"/>
      <c r="S4530" s="13"/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  <c r="AG4530" s="13"/>
      <c r="AH4530" s="13"/>
      <c r="AI4530" s="13"/>
      <c r="AJ4530" s="13"/>
      <c r="AK4530" s="13"/>
      <c r="AL4530" s="13"/>
      <c r="AM4530" s="13"/>
      <c r="AN4530" s="13"/>
      <c r="AO4530" s="13"/>
      <c r="AP4530" s="13"/>
      <c r="AQ4530" s="13"/>
      <c r="AR4530" s="13"/>
      <c r="AS4530" s="13"/>
    </row>
    <row r="4531" ht="14.25" customHeight="1">
      <c r="A4531" s="13"/>
      <c r="B4531" s="13"/>
      <c r="C4531" s="13"/>
      <c r="D4531" s="13"/>
      <c r="E4531" s="13"/>
      <c r="F4531" s="13"/>
      <c r="G4531" s="13"/>
      <c r="H4531" s="13"/>
      <c r="I4531" s="13"/>
      <c r="J4531" s="13"/>
      <c r="K4531" s="15"/>
      <c r="L4531" s="15"/>
      <c r="M4531" s="16"/>
      <c r="N4531" s="16"/>
      <c r="O4531" s="17"/>
      <c r="P4531" s="17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  <c r="AG4531" s="13"/>
      <c r="AH4531" s="13"/>
      <c r="AI4531" s="13"/>
      <c r="AJ4531" s="13"/>
      <c r="AK4531" s="13"/>
      <c r="AL4531" s="13"/>
      <c r="AM4531" s="13"/>
      <c r="AN4531" s="13"/>
      <c r="AO4531" s="13"/>
      <c r="AP4531" s="13"/>
      <c r="AQ4531" s="13"/>
      <c r="AR4531" s="13"/>
      <c r="AS4531" s="13"/>
    </row>
    <row r="4532" ht="14.25" customHeight="1">
      <c r="A4532" s="13"/>
      <c r="B4532" s="13"/>
      <c r="C4532" s="13"/>
      <c r="D4532" s="13"/>
      <c r="E4532" s="13"/>
      <c r="F4532" s="13"/>
      <c r="G4532" s="13"/>
      <c r="H4532" s="13"/>
      <c r="I4532" s="13"/>
      <c r="J4532" s="13"/>
      <c r="K4532" s="15"/>
      <c r="L4532" s="15"/>
      <c r="M4532" s="16"/>
      <c r="N4532" s="16"/>
      <c r="O4532" s="17"/>
      <c r="P4532" s="17"/>
      <c r="Q4532" s="13"/>
      <c r="R4532" s="13"/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  <c r="AG4532" s="13"/>
      <c r="AH4532" s="13"/>
      <c r="AI4532" s="13"/>
      <c r="AJ4532" s="13"/>
      <c r="AK4532" s="13"/>
      <c r="AL4532" s="13"/>
      <c r="AM4532" s="13"/>
      <c r="AN4532" s="13"/>
      <c r="AO4532" s="13"/>
      <c r="AP4532" s="13"/>
      <c r="AQ4532" s="13"/>
      <c r="AR4532" s="13"/>
      <c r="AS4532" s="13"/>
    </row>
    <row r="4533" ht="14.25" customHeight="1">
      <c r="A4533" s="13"/>
      <c r="B4533" s="13"/>
      <c r="C4533" s="13"/>
      <c r="D4533" s="13"/>
      <c r="E4533" s="13"/>
      <c r="F4533" s="13"/>
      <c r="G4533" s="13"/>
      <c r="H4533" s="13"/>
      <c r="I4533" s="13"/>
      <c r="J4533" s="13"/>
      <c r="K4533" s="15"/>
      <c r="L4533" s="15"/>
      <c r="M4533" s="16"/>
      <c r="N4533" s="16"/>
      <c r="O4533" s="17"/>
      <c r="P4533" s="17"/>
      <c r="Q4533" s="13"/>
      <c r="R4533" s="13"/>
      <c r="S4533" s="13"/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  <c r="AG4533" s="13"/>
      <c r="AH4533" s="13"/>
      <c r="AI4533" s="13"/>
      <c r="AJ4533" s="13"/>
      <c r="AK4533" s="13"/>
      <c r="AL4533" s="13"/>
      <c r="AM4533" s="13"/>
      <c r="AN4533" s="13"/>
      <c r="AO4533" s="13"/>
      <c r="AP4533" s="13"/>
      <c r="AQ4533" s="13"/>
      <c r="AR4533" s="13"/>
      <c r="AS4533" s="13"/>
    </row>
    <row r="4534" ht="14.25" customHeight="1">
      <c r="A4534" s="13"/>
      <c r="B4534" s="13"/>
      <c r="C4534" s="13"/>
      <c r="D4534" s="13"/>
      <c r="E4534" s="13"/>
      <c r="F4534" s="13"/>
      <c r="G4534" s="13"/>
      <c r="H4534" s="13"/>
      <c r="I4534" s="13"/>
      <c r="J4534" s="13"/>
      <c r="K4534" s="15"/>
      <c r="L4534" s="15"/>
      <c r="M4534" s="16"/>
      <c r="N4534" s="16"/>
      <c r="O4534" s="17"/>
      <c r="P4534" s="17"/>
      <c r="Q4534" s="13"/>
      <c r="R4534" s="13"/>
      <c r="S4534" s="13"/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  <c r="AG4534" s="13"/>
      <c r="AH4534" s="13"/>
      <c r="AI4534" s="13"/>
      <c r="AJ4534" s="13"/>
      <c r="AK4534" s="13"/>
      <c r="AL4534" s="13"/>
      <c r="AM4534" s="13"/>
      <c r="AN4534" s="13"/>
      <c r="AO4534" s="13"/>
      <c r="AP4534" s="13"/>
      <c r="AQ4534" s="13"/>
      <c r="AR4534" s="13"/>
      <c r="AS4534" s="13"/>
    </row>
    <row r="4535" ht="14.25" customHeight="1">
      <c r="A4535" s="13"/>
      <c r="B4535" s="13"/>
      <c r="C4535" s="13"/>
      <c r="D4535" s="13"/>
      <c r="E4535" s="13"/>
      <c r="F4535" s="13"/>
      <c r="G4535" s="13"/>
      <c r="H4535" s="13"/>
      <c r="I4535" s="13"/>
      <c r="J4535" s="13"/>
      <c r="K4535" s="15"/>
      <c r="L4535" s="15"/>
      <c r="M4535" s="16"/>
      <c r="N4535" s="16"/>
      <c r="O4535" s="17"/>
      <c r="P4535" s="17"/>
      <c r="Q4535" s="13"/>
      <c r="R4535" s="13"/>
      <c r="S4535" s="13"/>
      <c r="T4535" s="13"/>
      <c r="U4535" s="13"/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  <c r="AG4535" s="13"/>
      <c r="AH4535" s="13"/>
      <c r="AI4535" s="13"/>
      <c r="AJ4535" s="13"/>
      <c r="AK4535" s="13"/>
      <c r="AL4535" s="13"/>
      <c r="AM4535" s="13"/>
      <c r="AN4535" s="13"/>
      <c r="AO4535" s="13"/>
      <c r="AP4535" s="13"/>
      <c r="AQ4535" s="13"/>
      <c r="AR4535" s="13"/>
      <c r="AS4535" s="13"/>
    </row>
    <row r="4536" ht="14.25" customHeight="1">
      <c r="A4536" s="13"/>
      <c r="B4536" s="13"/>
      <c r="C4536" s="13"/>
      <c r="D4536" s="13"/>
      <c r="E4536" s="13"/>
      <c r="F4536" s="13"/>
      <c r="G4536" s="13"/>
      <c r="H4536" s="13"/>
      <c r="I4536" s="13"/>
      <c r="J4536" s="13"/>
      <c r="K4536" s="15"/>
      <c r="L4536" s="15"/>
      <c r="M4536" s="16"/>
      <c r="N4536" s="16"/>
      <c r="O4536" s="17"/>
      <c r="P4536" s="17"/>
      <c r="Q4536" s="13"/>
      <c r="R4536" s="13"/>
      <c r="S4536" s="13"/>
      <c r="T4536" s="13"/>
      <c r="U4536" s="13"/>
      <c r="V4536" s="13"/>
      <c r="W4536" s="13"/>
      <c r="X4536" s="13"/>
      <c r="Y4536" s="13"/>
      <c r="Z4536" s="13"/>
      <c r="AA4536" s="13"/>
      <c r="AB4536" s="13"/>
      <c r="AC4536" s="13"/>
      <c r="AD4536" s="13"/>
      <c r="AE4536" s="13"/>
      <c r="AF4536" s="13"/>
      <c r="AG4536" s="13"/>
      <c r="AH4536" s="13"/>
      <c r="AI4536" s="13"/>
      <c r="AJ4536" s="13"/>
      <c r="AK4536" s="13"/>
      <c r="AL4536" s="13"/>
      <c r="AM4536" s="13"/>
      <c r="AN4536" s="13"/>
      <c r="AO4536" s="13"/>
      <c r="AP4536" s="13"/>
      <c r="AQ4536" s="13"/>
      <c r="AR4536" s="13"/>
      <c r="AS4536" s="13"/>
    </row>
    <row r="4537" ht="14.25" customHeight="1">
      <c r="A4537" s="13"/>
      <c r="B4537" s="13"/>
      <c r="C4537" s="13"/>
      <c r="D4537" s="13"/>
      <c r="E4537" s="13"/>
      <c r="F4537" s="13"/>
      <c r="G4537" s="13"/>
      <c r="H4537" s="13"/>
      <c r="I4537" s="13"/>
      <c r="J4537" s="13"/>
      <c r="K4537" s="15"/>
      <c r="L4537" s="15"/>
      <c r="M4537" s="16"/>
      <c r="N4537" s="16"/>
      <c r="O4537" s="17"/>
      <c r="P4537" s="17"/>
      <c r="Q4537" s="13"/>
      <c r="R4537" s="13"/>
      <c r="S4537" s="13"/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3"/>
      <c r="AD4537" s="13"/>
      <c r="AE4537" s="13"/>
      <c r="AF4537" s="13"/>
      <c r="AG4537" s="13"/>
      <c r="AH4537" s="13"/>
      <c r="AI4537" s="13"/>
      <c r="AJ4537" s="13"/>
      <c r="AK4537" s="13"/>
      <c r="AL4537" s="13"/>
      <c r="AM4537" s="13"/>
      <c r="AN4537" s="13"/>
      <c r="AO4537" s="13"/>
      <c r="AP4537" s="13"/>
      <c r="AQ4537" s="13"/>
      <c r="AR4537" s="13"/>
      <c r="AS4537" s="13"/>
    </row>
    <row r="4538" ht="14.25" customHeight="1">
      <c r="A4538" s="13"/>
      <c r="B4538" s="13"/>
      <c r="C4538" s="13"/>
      <c r="D4538" s="13"/>
      <c r="E4538" s="13"/>
      <c r="F4538" s="13"/>
      <c r="G4538" s="13"/>
      <c r="H4538" s="13"/>
      <c r="I4538" s="13"/>
      <c r="J4538" s="13"/>
      <c r="K4538" s="15"/>
      <c r="L4538" s="15"/>
      <c r="M4538" s="16"/>
      <c r="N4538" s="16"/>
      <c r="O4538" s="17"/>
      <c r="P4538" s="17"/>
      <c r="Q4538" s="13"/>
      <c r="R4538" s="13"/>
      <c r="S4538" s="13"/>
      <c r="T4538" s="13"/>
      <c r="U4538" s="13"/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  <c r="AG4538" s="13"/>
      <c r="AH4538" s="13"/>
      <c r="AI4538" s="13"/>
      <c r="AJ4538" s="13"/>
      <c r="AK4538" s="13"/>
      <c r="AL4538" s="13"/>
      <c r="AM4538" s="13"/>
      <c r="AN4538" s="13"/>
      <c r="AO4538" s="13"/>
      <c r="AP4538" s="13"/>
      <c r="AQ4538" s="13"/>
      <c r="AR4538" s="13"/>
      <c r="AS4538" s="13"/>
    </row>
    <row r="4539" ht="14.25" customHeight="1">
      <c r="A4539" s="13"/>
      <c r="B4539" s="13"/>
      <c r="C4539" s="13"/>
      <c r="D4539" s="13"/>
      <c r="E4539" s="13"/>
      <c r="F4539" s="13"/>
      <c r="G4539" s="13"/>
      <c r="H4539" s="13"/>
      <c r="I4539" s="13"/>
      <c r="J4539" s="13"/>
      <c r="K4539" s="15"/>
      <c r="L4539" s="15"/>
      <c r="M4539" s="16"/>
      <c r="N4539" s="16"/>
      <c r="O4539" s="17"/>
      <c r="P4539" s="17"/>
      <c r="Q4539" s="13"/>
      <c r="R4539" s="13"/>
      <c r="S4539" s="13"/>
      <c r="T4539" s="13"/>
      <c r="U4539" s="13"/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  <c r="AG4539" s="13"/>
      <c r="AH4539" s="13"/>
      <c r="AI4539" s="13"/>
      <c r="AJ4539" s="13"/>
      <c r="AK4539" s="13"/>
      <c r="AL4539" s="13"/>
      <c r="AM4539" s="13"/>
      <c r="AN4539" s="13"/>
      <c r="AO4539" s="13"/>
      <c r="AP4539" s="13"/>
      <c r="AQ4539" s="13"/>
      <c r="AR4539" s="13"/>
      <c r="AS4539" s="13"/>
    </row>
    <row r="4540" ht="14.25" customHeight="1">
      <c r="A4540" s="13"/>
      <c r="B4540" s="13"/>
      <c r="C4540" s="13"/>
      <c r="D4540" s="13"/>
      <c r="E4540" s="13"/>
      <c r="F4540" s="13"/>
      <c r="G4540" s="13"/>
      <c r="H4540" s="13"/>
      <c r="I4540" s="13"/>
      <c r="J4540" s="13"/>
      <c r="K4540" s="15"/>
      <c r="L4540" s="15"/>
      <c r="M4540" s="16"/>
      <c r="N4540" s="16"/>
      <c r="O4540" s="17"/>
      <c r="P4540" s="17"/>
      <c r="Q4540" s="13"/>
      <c r="R4540" s="13"/>
      <c r="S4540" s="13"/>
      <c r="T4540" s="13"/>
      <c r="U4540" s="13"/>
      <c r="V4540" s="13"/>
      <c r="W4540" s="13"/>
      <c r="X4540" s="13"/>
      <c r="Y4540" s="13"/>
      <c r="Z4540" s="13"/>
      <c r="AA4540" s="13"/>
      <c r="AB4540" s="13"/>
      <c r="AC4540" s="13"/>
      <c r="AD4540" s="13"/>
      <c r="AE4540" s="13"/>
      <c r="AF4540" s="13"/>
      <c r="AG4540" s="13"/>
      <c r="AH4540" s="13"/>
      <c r="AI4540" s="13"/>
      <c r="AJ4540" s="13"/>
      <c r="AK4540" s="13"/>
      <c r="AL4540" s="13"/>
      <c r="AM4540" s="13"/>
      <c r="AN4540" s="13"/>
      <c r="AO4540" s="13"/>
      <c r="AP4540" s="13"/>
      <c r="AQ4540" s="13"/>
      <c r="AR4540" s="13"/>
      <c r="AS4540" s="13"/>
    </row>
    <row r="4541" ht="14.25" customHeight="1">
      <c r="A4541" s="13"/>
      <c r="B4541" s="13"/>
      <c r="C4541" s="13"/>
      <c r="D4541" s="13"/>
      <c r="E4541" s="13"/>
      <c r="F4541" s="13"/>
      <c r="G4541" s="13"/>
      <c r="H4541" s="13"/>
      <c r="I4541" s="13"/>
      <c r="J4541" s="13"/>
      <c r="K4541" s="15"/>
      <c r="L4541" s="15"/>
      <c r="M4541" s="16"/>
      <c r="N4541" s="16"/>
      <c r="O4541" s="17"/>
      <c r="P4541" s="17"/>
      <c r="Q4541" s="13"/>
      <c r="R4541" s="13"/>
      <c r="S4541" s="13"/>
      <c r="T4541" s="13"/>
      <c r="U4541" s="13"/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  <c r="AG4541" s="13"/>
      <c r="AH4541" s="13"/>
      <c r="AI4541" s="13"/>
      <c r="AJ4541" s="13"/>
      <c r="AK4541" s="13"/>
      <c r="AL4541" s="13"/>
      <c r="AM4541" s="13"/>
      <c r="AN4541" s="13"/>
      <c r="AO4541" s="13"/>
      <c r="AP4541" s="13"/>
      <c r="AQ4541" s="13"/>
      <c r="AR4541" s="13"/>
      <c r="AS4541" s="13"/>
    </row>
    <row r="4542" ht="14.25" customHeight="1">
      <c r="A4542" s="13"/>
      <c r="B4542" s="13"/>
      <c r="C4542" s="13"/>
      <c r="D4542" s="13"/>
      <c r="E4542" s="13"/>
      <c r="F4542" s="13"/>
      <c r="G4542" s="13"/>
      <c r="H4542" s="13"/>
      <c r="I4542" s="13"/>
      <c r="J4542" s="13"/>
      <c r="K4542" s="15"/>
      <c r="L4542" s="15"/>
      <c r="M4542" s="16"/>
      <c r="N4542" s="16"/>
      <c r="O4542" s="17"/>
      <c r="P4542" s="17"/>
      <c r="Q4542" s="13"/>
      <c r="R4542" s="13"/>
      <c r="S4542" s="13"/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3"/>
      <c r="AD4542" s="13"/>
      <c r="AE4542" s="13"/>
      <c r="AF4542" s="13"/>
      <c r="AG4542" s="13"/>
      <c r="AH4542" s="13"/>
      <c r="AI4542" s="13"/>
      <c r="AJ4542" s="13"/>
      <c r="AK4542" s="13"/>
      <c r="AL4542" s="13"/>
      <c r="AM4542" s="13"/>
      <c r="AN4542" s="13"/>
      <c r="AO4542" s="13"/>
      <c r="AP4542" s="13"/>
      <c r="AQ4542" s="13"/>
      <c r="AR4542" s="13"/>
      <c r="AS4542" s="13"/>
    </row>
    <row r="4543" ht="14.25" customHeight="1">
      <c r="A4543" s="13"/>
      <c r="B4543" s="13"/>
      <c r="C4543" s="13"/>
      <c r="D4543" s="13"/>
      <c r="E4543" s="13"/>
      <c r="F4543" s="13"/>
      <c r="G4543" s="13"/>
      <c r="H4543" s="13"/>
      <c r="I4543" s="13"/>
      <c r="J4543" s="13"/>
      <c r="K4543" s="15"/>
      <c r="L4543" s="15"/>
      <c r="M4543" s="16"/>
      <c r="N4543" s="16"/>
      <c r="O4543" s="17"/>
      <c r="P4543" s="17"/>
      <c r="Q4543" s="13"/>
      <c r="R4543" s="13"/>
      <c r="S4543" s="13"/>
      <c r="T4543" s="13"/>
      <c r="U4543" s="13"/>
      <c r="V4543" s="13"/>
      <c r="W4543" s="13"/>
      <c r="X4543" s="13"/>
      <c r="Y4543" s="13"/>
      <c r="Z4543" s="13"/>
      <c r="AA4543" s="13"/>
      <c r="AB4543" s="13"/>
      <c r="AC4543" s="13"/>
      <c r="AD4543" s="13"/>
      <c r="AE4543" s="13"/>
      <c r="AF4543" s="13"/>
      <c r="AG4543" s="13"/>
      <c r="AH4543" s="13"/>
      <c r="AI4543" s="13"/>
      <c r="AJ4543" s="13"/>
      <c r="AK4543" s="13"/>
      <c r="AL4543" s="13"/>
      <c r="AM4543" s="13"/>
      <c r="AN4543" s="13"/>
      <c r="AO4543" s="13"/>
      <c r="AP4543" s="13"/>
      <c r="AQ4543" s="13"/>
      <c r="AR4543" s="13"/>
      <c r="AS4543" s="13"/>
    </row>
    <row r="4544" ht="14.25" customHeight="1">
      <c r="A4544" s="13"/>
      <c r="B4544" s="13"/>
      <c r="C4544" s="13"/>
      <c r="D4544" s="13"/>
      <c r="E4544" s="13"/>
      <c r="F4544" s="13"/>
      <c r="G4544" s="13"/>
      <c r="H4544" s="13"/>
      <c r="I4544" s="13"/>
      <c r="J4544" s="13"/>
      <c r="K4544" s="15"/>
      <c r="L4544" s="15"/>
      <c r="M4544" s="16"/>
      <c r="N4544" s="16"/>
      <c r="O4544" s="17"/>
      <c r="P4544" s="17"/>
      <c r="Q4544" s="13"/>
      <c r="R4544" s="13"/>
      <c r="S4544" s="13"/>
      <c r="T4544" s="13"/>
      <c r="U4544" s="13"/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  <c r="AG4544" s="13"/>
      <c r="AH4544" s="13"/>
      <c r="AI4544" s="13"/>
      <c r="AJ4544" s="13"/>
      <c r="AK4544" s="13"/>
      <c r="AL4544" s="13"/>
      <c r="AM4544" s="13"/>
      <c r="AN4544" s="13"/>
      <c r="AO4544" s="13"/>
      <c r="AP4544" s="13"/>
      <c r="AQ4544" s="13"/>
      <c r="AR4544" s="13"/>
      <c r="AS4544" s="13"/>
    </row>
    <row r="4545" ht="14.25" customHeight="1">
      <c r="A4545" s="13"/>
      <c r="B4545" s="13"/>
      <c r="C4545" s="13"/>
      <c r="D4545" s="13"/>
      <c r="E4545" s="13"/>
      <c r="F4545" s="13"/>
      <c r="G4545" s="13"/>
      <c r="H4545" s="13"/>
      <c r="I4545" s="13"/>
      <c r="J4545" s="13"/>
      <c r="K4545" s="15"/>
      <c r="L4545" s="15"/>
      <c r="M4545" s="16"/>
      <c r="N4545" s="16"/>
      <c r="O4545" s="17"/>
      <c r="P4545" s="17"/>
      <c r="Q4545" s="13"/>
      <c r="R4545" s="13"/>
      <c r="S4545" s="13"/>
      <c r="T4545" s="13"/>
      <c r="U4545" s="13"/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  <c r="AG4545" s="13"/>
      <c r="AH4545" s="13"/>
      <c r="AI4545" s="13"/>
      <c r="AJ4545" s="13"/>
      <c r="AK4545" s="13"/>
      <c r="AL4545" s="13"/>
      <c r="AM4545" s="13"/>
      <c r="AN4545" s="13"/>
      <c r="AO4545" s="13"/>
      <c r="AP4545" s="13"/>
      <c r="AQ4545" s="13"/>
      <c r="AR4545" s="13"/>
      <c r="AS4545" s="13"/>
    </row>
    <row r="4546" ht="14.25" customHeight="1">
      <c r="A4546" s="13"/>
      <c r="B4546" s="13"/>
      <c r="C4546" s="13"/>
      <c r="D4546" s="13"/>
      <c r="E4546" s="13"/>
      <c r="F4546" s="13"/>
      <c r="G4546" s="13"/>
      <c r="H4546" s="13"/>
      <c r="I4546" s="13"/>
      <c r="J4546" s="13"/>
      <c r="K4546" s="15"/>
      <c r="L4546" s="15"/>
      <c r="M4546" s="16"/>
      <c r="N4546" s="16"/>
      <c r="O4546" s="17"/>
      <c r="P4546" s="17"/>
      <c r="Q4546" s="13"/>
      <c r="R4546" s="13"/>
      <c r="S4546" s="13"/>
      <c r="T4546" s="13"/>
      <c r="U4546" s="13"/>
      <c r="V4546" s="13"/>
      <c r="W4546" s="13"/>
      <c r="X4546" s="13"/>
      <c r="Y4546" s="13"/>
      <c r="Z4546" s="13"/>
      <c r="AA4546" s="13"/>
      <c r="AB4546" s="13"/>
      <c r="AC4546" s="13"/>
      <c r="AD4546" s="13"/>
      <c r="AE4546" s="13"/>
      <c r="AF4546" s="13"/>
      <c r="AG4546" s="13"/>
      <c r="AH4546" s="13"/>
      <c r="AI4546" s="13"/>
      <c r="AJ4546" s="13"/>
      <c r="AK4546" s="13"/>
      <c r="AL4546" s="13"/>
      <c r="AM4546" s="13"/>
      <c r="AN4546" s="13"/>
      <c r="AO4546" s="13"/>
      <c r="AP4546" s="13"/>
      <c r="AQ4546" s="13"/>
      <c r="AR4546" s="13"/>
      <c r="AS4546" s="13"/>
    </row>
    <row r="4547" ht="14.25" customHeight="1">
      <c r="A4547" s="13"/>
      <c r="B4547" s="13"/>
      <c r="C4547" s="13"/>
      <c r="D4547" s="13"/>
      <c r="E4547" s="13"/>
      <c r="F4547" s="13"/>
      <c r="G4547" s="13"/>
      <c r="H4547" s="13"/>
      <c r="I4547" s="13"/>
      <c r="J4547" s="13"/>
      <c r="K4547" s="15"/>
      <c r="L4547" s="15"/>
      <c r="M4547" s="16"/>
      <c r="N4547" s="16"/>
      <c r="O4547" s="17"/>
      <c r="P4547" s="17"/>
      <c r="Q4547" s="13"/>
      <c r="R4547" s="13"/>
      <c r="S4547" s="13"/>
      <c r="T4547" s="13"/>
      <c r="U4547" s="13"/>
      <c r="V4547" s="13"/>
      <c r="W4547" s="13"/>
      <c r="X4547" s="13"/>
      <c r="Y4547" s="13"/>
      <c r="Z4547" s="13"/>
      <c r="AA4547" s="13"/>
      <c r="AB4547" s="13"/>
      <c r="AC4547" s="13"/>
      <c r="AD4547" s="13"/>
      <c r="AE4547" s="13"/>
      <c r="AF4547" s="13"/>
      <c r="AG4547" s="13"/>
      <c r="AH4547" s="13"/>
      <c r="AI4547" s="13"/>
      <c r="AJ4547" s="13"/>
      <c r="AK4547" s="13"/>
      <c r="AL4547" s="13"/>
      <c r="AM4547" s="13"/>
      <c r="AN4547" s="13"/>
      <c r="AO4547" s="13"/>
      <c r="AP4547" s="13"/>
      <c r="AQ4547" s="13"/>
      <c r="AR4547" s="13"/>
      <c r="AS4547" s="13"/>
    </row>
    <row r="4548" ht="14.25" customHeight="1">
      <c r="A4548" s="13"/>
      <c r="B4548" s="13"/>
      <c r="C4548" s="13"/>
      <c r="D4548" s="13"/>
      <c r="E4548" s="13"/>
      <c r="F4548" s="13"/>
      <c r="G4548" s="13"/>
      <c r="H4548" s="13"/>
      <c r="I4548" s="13"/>
      <c r="J4548" s="13"/>
      <c r="K4548" s="15"/>
      <c r="L4548" s="15"/>
      <c r="M4548" s="16"/>
      <c r="N4548" s="16"/>
      <c r="O4548" s="17"/>
      <c r="P4548" s="17"/>
      <c r="Q4548" s="13"/>
      <c r="R4548" s="13"/>
      <c r="S4548" s="13"/>
      <c r="T4548" s="13"/>
      <c r="U4548" s="13"/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  <c r="AG4548" s="13"/>
      <c r="AH4548" s="13"/>
      <c r="AI4548" s="13"/>
      <c r="AJ4548" s="13"/>
      <c r="AK4548" s="13"/>
      <c r="AL4548" s="13"/>
      <c r="AM4548" s="13"/>
      <c r="AN4548" s="13"/>
      <c r="AO4548" s="13"/>
      <c r="AP4548" s="13"/>
      <c r="AQ4548" s="13"/>
      <c r="AR4548" s="13"/>
      <c r="AS4548" s="13"/>
    </row>
    <row r="4549" ht="14.25" customHeight="1">
      <c r="A4549" s="13"/>
      <c r="B4549" s="13"/>
      <c r="C4549" s="13"/>
      <c r="D4549" s="13"/>
      <c r="E4549" s="13"/>
      <c r="F4549" s="13"/>
      <c r="G4549" s="13"/>
      <c r="H4549" s="13"/>
      <c r="I4549" s="13"/>
      <c r="J4549" s="13"/>
      <c r="K4549" s="15"/>
      <c r="L4549" s="15"/>
      <c r="M4549" s="16"/>
      <c r="N4549" s="16"/>
      <c r="O4549" s="17"/>
      <c r="P4549" s="17"/>
      <c r="Q4549" s="13"/>
      <c r="R4549" s="13"/>
      <c r="S4549" s="13"/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  <c r="AG4549" s="13"/>
      <c r="AH4549" s="13"/>
      <c r="AI4549" s="13"/>
      <c r="AJ4549" s="13"/>
      <c r="AK4549" s="13"/>
      <c r="AL4549" s="13"/>
      <c r="AM4549" s="13"/>
      <c r="AN4549" s="13"/>
      <c r="AO4549" s="13"/>
      <c r="AP4549" s="13"/>
      <c r="AQ4549" s="13"/>
      <c r="AR4549" s="13"/>
      <c r="AS4549" s="13"/>
    </row>
    <row r="4550" ht="14.25" customHeight="1">
      <c r="A4550" s="13"/>
      <c r="B4550" s="13"/>
      <c r="C4550" s="13"/>
      <c r="D4550" s="13"/>
      <c r="E4550" s="13"/>
      <c r="F4550" s="13"/>
      <c r="G4550" s="13"/>
      <c r="H4550" s="13"/>
      <c r="I4550" s="13"/>
      <c r="J4550" s="13"/>
      <c r="K4550" s="15"/>
      <c r="L4550" s="15"/>
      <c r="M4550" s="16"/>
      <c r="N4550" s="16"/>
      <c r="O4550" s="17"/>
      <c r="P4550" s="17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3"/>
      <c r="AD4550" s="13"/>
      <c r="AE4550" s="13"/>
      <c r="AF4550" s="13"/>
      <c r="AG4550" s="13"/>
      <c r="AH4550" s="13"/>
      <c r="AI4550" s="13"/>
      <c r="AJ4550" s="13"/>
      <c r="AK4550" s="13"/>
      <c r="AL4550" s="13"/>
      <c r="AM4550" s="13"/>
      <c r="AN4550" s="13"/>
      <c r="AO4550" s="13"/>
      <c r="AP4550" s="13"/>
      <c r="AQ4550" s="13"/>
      <c r="AR4550" s="13"/>
      <c r="AS4550" s="13"/>
    </row>
    <row r="4551" ht="14.25" customHeight="1">
      <c r="A4551" s="13"/>
      <c r="B4551" s="13"/>
      <c r="C4551" s="13"/>
      <c r="D4551" s="13"/>
      <c r="E4551" s="13"/>
      <c r="F4551" s="13"/>
      <c r="G4551" s="13"/>
      <c r="H4551" s="13"/>
      <c r="I4551" s="13"/>
      <c r="J4551" s="13"/>
      <c r="K4551" s="15"/>
      <c r="L4551" s="15"/>
      <c r="M4551" s="16"/>
      <c r="N4551" s="16"/>
      <c r="O4551" s="17"/>
      <c r="P4551" s="17"/>
      <c r="Q4551" s="13"/>
      <c r="R4551" s="13"/>
      <c r="S4551" s="13"/>
      <c r="T4551" s="13"/>
      <c r="U4551" s="13"/>
      <c r="V4551" s="13"/>
      <c r="W4551" s="13"/>
      <c r="X4551" s="13"/>
      <c r="Y4551" s="13"/>
      <c r="Z4551" s="13"/>
      <c r="AA4551" s="13"/>
      <c r="AB4551" s="13"/>
      <c r="AC4551" s="13"/>
      <c r="AD4551" s="13"/>
      <c r="AE4551" s="13"/>
      <c r="AF4551" s="13"/>
      <c r="AG4551" s="13"/>
      <c r="AH4551" s="13"/>
      <c r="AI4551" s="13"/>
      <c r="AJ4551" s="13"/>
      <c r="AK4551" s="13"/>
      <c r="AL4551" s="13"/>
      <c r="AM4551" s="13"/>
      <c r="AN4551" s="13"/>
      <c r="AO4551" s="13"/>
      <c r="AP4551" s="13"/>
      <c r="AQ4551" s="13"/>
      <c r="AR4551" s="13"/>
      <c r="AS4551" s="13"/>
    </row>
    <row r="4552" ht="14.25" customHeight="1">
      <c r="A4552" s="13"/>
      <c r="B4552" s="13"/>
      <c r="C4552" s="13"/>
      <c r="D4552" s="13"/>
      <c r="E4552" s="13"/>
      <c r="F4552" s="13"/>
      <c r="G4552" s="13"/>
      <c r="H4552" s="13"/>
      <c r="I4552" s="13"/>
      <c r="J4552" s="13"/>
      <c r="K4552" s="15"/>
      <c r="L4552" s="15"/>
      <c r="M4552" s="16"/>
      <c r="N4552" s="16"/>
      <c r="O4552" s="17"/>
      <c r="P4552" s="17"/>
      <c r="Q4552" s="13"/>
      <c r="R4552" s="13"/>
      <c r="S4552" s="13"/>
      <c r="T4552" s="13"/>
      <c r="U4552" s="13"/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  <c r="AG4552" s="13"/>
      <c r="AH4552" s="13"/>
      <c r="AI4552" s="13"/>
      <c r="AJ4552" s="13"/>
      <c r="AK4552" s="13"/>
      <c r="AL4552" s="13"/>
      <c r="AM4552" s="13"/>
      <c r="AN4552" s="13"/>
      <c r="AO4552" s="13"/>
      <c r="AP4552" s="13"/>
      <c r="AQ4552" s="13"/>
      <c r="AR4552" s="13"/>
      <c r="AS4552" s="13"/>
    </row>
    <row r="4553" ht="14.25" customHeight="1">
      <c r="A4553" s="13"/>
      <c r="B4553" s="13"/>
      <c r="C4553" s="13"/>
      <c r="D4553" s="13"/>
      <c r="E4553" s="13"/>
      <c r="F4553" s="13"/>
      <c r="G4553" s="13"/>
      <c r="H4553" s="13"/>
      <c r="I4553" s="13"/>
      <c r="J4553" s="13"/>
      <c r="K4553" s="15"/>
      <c r="L4553" s="15"/>
      <c r="M4553" s="16"/>
      <c r="N4553" s="16"/>
      <c r="O4553" s="17"/>
      <c r="P4553" s="17"/>
      <c r="Q4553" s="13"/>
      <c r="R4553" s="13"/>
      <c r="S4553" s="13"/>
      <c r="T4553" s="13"/>
      <c r="U4553" s="13"/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  <c r="AG4553" s="13"/>
      <c r="AH4553" s="13"/>
      <c r="AI4553" s="13"/>
      <c r="AJ4553" s="13"/>
      <c r="AK4553" s="13"/>
      <c r="AL4553" s="13"/>
      <c r="AM4553" s="13"/>
      <c r="AN4553" s="13"/>
      <c r="AO4553" s="13"/>
      <c r="AP4553" s="13"/>
      <c r="AQ4553" s="13"/>
      <c r="AR4553" s="13"/>
      <c r="AS4553" s="13"/>
    </row>
    <row r="4554" ht="14.25" customHeight="1">
      <c r="A4554" s="13"/>
      <c r="B4554" s="13"/>
      <c r="C4554" s="13"/>
      <c r="D4554" s="13"/>
      <c r="E4554" s="13"/>
      <c r="F4554" s="13"/>
      <c r="G4554" s="13"/>
      <c r="H4554" s="13"/>
      <c r="I4554" s="13"/>
      <c r="J4554" s="13"/>
      <c r="K4554" s="15"/>
      <c r="L4554" s="15"/>
      <c r="M4554" s="16"/>
      <c r="N4554" s="16"/>
      <c r="O4554" s="17"/>
      <c r="P4554" s="17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  <c r="AG4554" s="13"/>
      <c r="AH4554" s="13"/>
      <c r="AI4554" s="13"/>
      <c r="AJ4554" s="13"/>
      <c r="AK4554" s="13"/>
      <c r="AL4554" s="13"/>
      <c r="AM4554" s="13"/>
      <c r="AN4554" s="13"/>
      <c r="AO4554" s="13"/>
      <c r="AP4554" s="13"/>
      <c r="AQ4554" s="13"/>
      <c r="AR4554" s="13"/>
      <c r="AS4554" s="13"/>
    </row>
    <row r="4555" ht="14.25" customHeight="1">
      <c r="A4555" s="13"/>
      <c r="B4555" s="13"/>
      <c r="C4555" s="13"/>
      <c r="D4555" s="13"/>
      <c r="E4555" s="13"/>
      <c r="F4555" s="13"/>
      <c r="G4555" s="13"/>
      <c r="H4555" s="13"/>
      <c r="I4555" s="13"/>
      <c r="J4555" s="13"/>
      <c r="K4555" s="15"/>
      <c r="L4555" s="15"/>
      <c r="M4555" s="16"/>
      <c r="N4555" s="16"/>
      <c r="O4555" s="17"/>
      <c r="P4555" s="17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  <c r="AG4555" s="13"/>
      <c r="AH4555" s="13"/>
      <c r="AI4555" s="13"/>
      <c r="AJ4555" s="13"/>
      <c r="AK4555" s="13"/>
      <c r="AL4555" s="13"/>
      <c r="AM4555" s="13"/>
      <c r="AN4555" s="13"/>
      <c r="AO4555" s="13"/>
      <c r="AP4555" s="13"/>
      <c r="AQ4555" s="13"/>
      <c r="AR4555" s="13"/>
      <c r="AS4555" s="13"/>
    </row>
    <row r="4556" ht="14.25" customHeight="1">
      <c r="A4556" s="13"/>
      <c r="B4556" s="13"/>
      <c r="C4556" s="13"/>
      <c r="D4556" s="13"/>
      <c r="E4556" s="13"/>
      <c r="F4556" s="13"/>
      <c r="G4556" s="13"/>
      <c r="H4556" s="13"/>
      <c r="I4556" s="13"/>
      <c r="J4556" s="13"/>
      <c r="K4556" s="15"/>
      <c r="L4556" s="15"/>
      <c r="M4556" s="16"/>
      <c r="N4556" s="16"/>
      <c r="O4556" s="17"/>
      <c r="P4556" s="17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3"/>
      <c r="AD4556" s="13"/>
      <c r="AE4556" s="13"/>
      <c r="AF4556" s="13"/>
      <c r="AG4556" s="13"/>
      <c r="AH4556" s="13"/>
      <c r="AI4556" s="13"/>
      <c r="AJ4556" s="13"/>
      <c r="AK4556" s="13"/>
      <c r="AL4556" s="13"/>
      <c r="AM4556" s="13"/>
      <c r="AN4556" s="13"/>
      <c r="AO4556" s="13"/>
      <c r="AP4556" s="13"/>
      <c r="AQ4556" s="13"/>
      <c r="AR4556" s="13"/>
      <c r="AS4556" s="13"/>
    </row>
    <row r="4557" ht="14.25" customHeight="1">
      <c r="A4557" s="13"/>
      <c r="B4557" s="13"/>
      <c r="C4557" s="13"/>
      <c r="D4557" s="13"/>
      <c r="E4557" s="13"/>
      <c r="F4557" s="13"/>
      <c r="G4557" s="13"/>
      <c r="H4557" s="13"/>
      <c r="I4557" s="13"/>
      <c r="J4557" s="13"/>
      <c r="K4557" s="15"/>
      <c r="L4557" s="15"/>
      <c r="M4557" s="16"/>
      <c r="N4557" s="16"/>
      <c r="O4557" s="17"/>
      <c r="P4557" s="17"/>
      <c r="Q4557" s="13"/>
      <c r="R4557" s="13"/>
      <c r="S4557" s="13"/>
      <c r="T4557" s="13"/>
      <c r="U4557" s="13"/>
      <c r="V4557" s="13"/>
      <c r="W4557" s="13"/>
      <c r="X4557" s="13"/>
      <c r="Y4557" s="13"/>
      <c r="Z4557" s="13"/>
      <c r="AA4557" s="13"/>
      <c r="AB4557" s="13"/>
      <c r="AC4557" s="13"/>
      <c r="AD4557" s="13"/>
      <c r="AE4557" s="13"/>
      <c r="AF4557" s="13"/>
      <c r="AG4557" s="13"/>
      <c r="AH4557" s="13"/>
      <c r="AI4557" s="13"/>
      <c r="AJ4557" s="13"/>
      <c r="AK4557" s="13"/>
      <c r="AL4557" s="13"/>
      <c r="AM4557" s="13"/>
      <c r="AN4557" s="13"/>
      <c r="AO4557" s="13"/>
      <c r="AP4557" s="13"/>
      <c r="AQ4557" s="13"/>
      <c r="AR4557" s="13"/>
      <c r="AS4557" s="13"/>
    </row>
    <row r="4558" ht="14.25" customHeight="1">
      <c r="A4558" s="13"/>
      <c r="B4558" s="13"/>
      <c r="C4558" s="13"/>
      <c r="D4558" s="13"/>
      <c r="E4558" s="13"/>
      <c r="F4558" s="13"/>
      <c r="G4558" s="13"/>
      <c r="H4558" s="13"/>
      <c r="I4558" s="13"/>
      <c r="J4558" s="13"/>
      <c r="K4558" s="15"/>
      <c r="L4558" s="15"/>
      <c r="M4558" s="16"/>
      <c r="N4558" s="16"/>
      <c r="O4558" s="17"/>
      <c r="P4558" s="17"/>
      <c r="Q4558" s="13"/>
      <c r="R4558" s="13"/>
      <c r="S4558" s="13"/>
      <c r="T4558" s="13"/>
      <c r="U4558" s="13"/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  <c r="AG4558" s="13"/>
      <c r="AH4558" s="13"/>
      <c r="AI4558" s="13"/>
      <c r="AJ4558" s="13"/>
      <c r="AK4558" s="13"/>
      <c r="AL4558" s="13"/>
      <c r="AM4558" s="13"/>
      <c r="AN4558" s="13"/>
      <c r="AO4558" s="13"/>
      <c r="AP4558" s="13"/>
      <c r="AQ4558" s="13"/>
      <c r="AR4558" s="13"/>
      <c r="AS4558" s="13"/>
    </row>
    <row r="4559" ht="14.25" customHeight="1">
      <c r="A4559" s="13"/>
      <c r="B4559" s="13"/>
      <c r="C4559" s="13"/>
      <c r="D4559" s="13"/>
      <c r="E4559" s="13"/>
      <c r="F4559" s="13"/>
      <c r="G4559" s="13"/>
      <c r="H4559" s="13"/>
      <c r="I4559" s="13"/>
      <c r="J4559" s="13"/>
      <c r="K4559" s="15"/>
      <c r="L4559" s="15"/>
      <c r="M4559" s="16"/>
      <c r="N4559" s="16"/>
      <c r="O4559" s="17"/>
      <c r="P4559" s="17"/>
      <c r="Q4559" s="13"/>
      <c r="R4559" s="13"/>
      <c r="S4559" s="13"/>
      <c r="T4559" s="13"/>
      <c r="U4559" s="13"/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  <c r="AG4559" s="13"/>
      <c r="AH4559" s="13"/>
      <c r="AI4559" s="13"/>
      <c r="AJ4559" s="13"/>
      <c r="AK4559" s="13"/>
      <c r="AL4559" s="13"/>
      <c r="AM4559" s="13"/>
      <c r="AN4559" s="13"/>
      <c r="AO4559" s="13"/>
      <c r="AP4559" s="13"/>
      <c r="AQ4559" s="13"/>
      <c r="AR4559" s="13"/>
      <c r="AS4559" s="13"/>
    </row>
    <row r="4560" ht="14.25" customHeight="1">
      <c r="A4560" s="13"/>
      <c r="B4560" s="13"/>
      <c r="C4560" s="13"/>
      <c r="D4560" s="13"/>
      <c r="E4560" s="13"/>
      <c r="F4560" s="13"/>
      <c r="G4560" s="13"/>
      <c r="H4560" s="13"/>
      <c r="I4560" s="13"/>
      <c r="J4560" s="13"/>
      <c r="K4560" s="15"/>
      <c r="L4560" s="15"/>
      <c r="M4560" s="16"/>
      <c r="N4560" s="16"/>
      <c r="O4560" s="17"/>
      <c r="P4560" s="17"/>
      <c r="Q4560" s="13"/>
      <c r="R4560" s="13"/>
      <c r="S4560" s="13"/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  <c r="AG4560" s="13"/>
      <c r="AH4560" s="13"/>
      <c r="AI4560" s="13"/>
      <c r="AJ4560" s="13"/>
      <c r="AK4560" s="13"/>
      <c r="AL4560" s="13"/>
      <c r="AM4560" s="13"/>
      <c r="AN4560" s="13"/>
      <c r="AO4560" s="13"/>
      <c r="AP4560" s="13"/>
      <c r="AQ4560" s="13"/>
      <c r="AR4560" s="13"/>
      <c r="AS4560" s="13"/>
    </row>
    <row r="4561" ht="14.25" customHeight="1">
      <c r="A4561" s="13"/>
      <c r="B4561" s="13"/>
      <c r="C4561" s="13"/>
      <c r="D4561" s="13"/>
      <c r="E4561" s="13"/>
      <c r="F4561" s="13"/>
      <c r="G4561" s="13"/>
      <c r="H4561" s="13"/>
      <c r="I4561" s="13"/>
      <c r="J4561" s="13"/>
      <c r="K4561" s="15"/>
      <c r="L4561" s="15"/>
      <c r="M4561" s="16"/>
      <c r="N4561" s="16"/>
      <c r="O4561" s="17"/>
      <c r="P4561" s="17"/>
      <c r="Q4561" s="13"/>
      <c r="R4561" s="13"/>
      <c r="S4561" s="13"/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3"/>
      <c r="AD4561" s="13"/>
      <c r="AE4561" s="13"/>
      <c r="AF4561" s="13"/>
      <c r="AG4561" s="13"/>
      <c r="AH4561" s="13"/>
      <c r="AI4561" s="13"/>
      <c r="AJ4561" s="13"/>
      <c r="AK4561" s="13"/>
      <c r="AL4561" s="13"/>
      <c r="AM4561" s="13"/>
      <c r="AN4561" s="13"/>
      <c r="AO4561" s="13"/>
      <c r="AP4561" s="13"/>
      <c r="AQ4561" s="13"/>
      <c r="AR4561" s="13"/>
      <c r="AS4561" s="13"/>
    </row>
    <row r="4562" ht="14.25" customHeight="1">
      <c r="A4562" s="13"/>
      <c r="B4562" s="13"/>
      <c r="C4562" s="13"/>
      <c r="D4562" s="13"/>
      <c r="E4562" s="13"/>
      <c r="F4562" s="13"/>
      <c r="G4562" s="13"/>
      <c r="H4562" s="13"/>
      <c r="I4562" s="13"/>
      <c r="J4562" s="13"/>
      <c r="K4562" s="15"/>
      <c r="L4562" s="15"/>
      <c r="M4562" s="16"/>
      <c r="N4562" s="16"/>
      <c r="O4562" s="17"/>
      <c r="P4562" s="17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  <c r="AG4562" s="13"/>
      <c r="AH4562" s="13"/>
      <c r="AI4562" s="13"/>
      <c r="AJ4562" s="13"/>
      <c r="AK4562" s="13"/>
      <c r="AL4562" s="13"/>
      <c r="AM4562" s="13"/>
      <c r="AN4562" s="13"/>
      <c r="AO4562" s="13"/>
      <c r="AP4562" s="13"/>
      <c r="AQ4562" s="13"/>
      <c r="AR4562" s="13"/>
      <c r="AS4562" s="13"/>
    </row>
    <row r="4563" ht="14.25" customHeight="1">
      <c r="A4563" s="13"/>
      <c r="B4563" s="13"/>
      <c r="C4563" s="13"/>
      <c r="D4563" s="13"/>
      <c r="E4563" s="13"/>
      <c r="F4563" s="13"/>
      <c r="G4563" s="13"/>
      <c r="H4563" s="13"/>
      <c r="I4563" s="13"/>
      <c r="J4563" s="13"/>
      <c r="K4563" s="15"/>
      <c r="L4563" s="15"/>
      <c r="M4563" s="16"/>
      <c r="N4563" s="16"/>
      <c r="O4563" s="17"/>
      <c r="P4563" s="17"/>
      <c r="Q4563" s="13"/>
      <c r="R4563" s="13"/>
      <c r="S4563" s="13"/>
      <c r="T4563" s="13"/>
      <c r="U4563" s="13"/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  <c r="AG4563" s="13"/>
      <c r="AH4563" s="13"/>
      <c r="AI4563" s="13"/>
      <c r="AJ4563" s="13"/>
      <c r="AK4563" s="13"/>
      <c r="AL4563" s="13"/>
      <c r="AM4563" s="13"/>
      <c r="AN4563" s="13"/>
      <c r="AO4563" s="13"/>
      <c r="AP4563" s="13"/>
      <c r="AQ4563" s="13"/>
      <c r="AR4563" s="13"/>
      <c r="AS4563" s="13"/>
    </row>
    <row r="4564" ht="14.25" customHeight="1">
      <c r="A4564" s="13"/>
      <c r="B4564" s="13"/>
      <c r="C4564" s="13"/>
      <c r="D4564" s="13"/>
      <c r="E4564" s="13"/>
      <c r="F4564" s="13"/>
      <c r="G4564" s="13"/>
      <c r="H4564" s="13"/>
      <c r="I4564" s="13"/>
      <c r="J4564" s="13"/>
      <c r="K4564" s="15"/>
      <c r="L4564" s="15"/>
      <c r="M4564" s="16"/>
      <c r="N4564" s="16"/>
      <c r="O4564" s="17"/>
      <c r="P4564" s="17"/>
      <c r="Q4564" s="13"/>
      <c r="R4564" s="13"/>
      <c r="S4564" s="13"/>
      <c r="T4564" s="13"/>
      <c r="U4564" s="13"/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  <c r="AG4564" s="13"/>
      <c r="AH4564" s="13"/>
      <c r="AI4564" s="13"/>
      <c r="AJ4564" s="13"/>
      <c r="AK4564" s="13"/>
      <c r="AL4564" s="13"/>
      <c r="AM4564" s="13"/>
      <c r="AN4564" s="13"/>
      <c r="AO4564" s="13"/>
      <c r="AP4564" s="13"/>
      <c r="AQ4564" s="13"/>
      <c r="AR4564" s="13"/>
      <c r="AS4564" s="13"/>
    </row>
    <row r="4565" ht="14.25" customHeight="1">
      <c r="A4565" s="13"/>
      <c r="B4565" s="13"/>
      <c r="C4565" s="13"/>
      <c r="D4565" s="13"/>
      <c r="E4565" s="13"/>
      <c r="F4565" s="13"/>
      <c r="G4565" s="13"/>
      <c r="H4565" s="13"/>
      <c r="I4565" s="13"/>
      <c r="J4565" s="13"/>
      <c r="K4565" s="15"/>
      <c r="L4565" s="15"/>
      <c r="M4565" s="16"/>
      <c r="N4565" s="16"/>
      <c r="O4565" s="17"/>
      <c r="P4565" s="17"/>
      <c r="Q4565" s="13"/>
      <c r="R4565" s="13"/>
      <c r="S4565" s="13"/>
      <c r="T4565" s="13"/>
      <c r="U4565" s="13"/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  <c r="AG4565" s="13"/>
      <c r="AH4565" s="13"/>
      <c r="AI4565" s="13"/>
      <c r="AJ4565" s="13"/>
      <c r="AK4565" s="13"/>
      <c r="AL4565" s="13"/>
      <c r="AM4565" s="13"/>
      <c r="AN4565" s="13"/>
      <c r="AO4565" s="13"/>
      <c r="AP4565" s="13"/>
      <c r="AQ4565" s="13"/>
      <c r="AR4565" s="13"/>
      <c r="AS4565" s="13"/>
    </row>
    <row r="4566" ht="14.25" customHeight="1">
      <c r="A4566" s="13"/>
      <c r="B4566" s="13"/>
      <c r="C4566" s="13"/>
      <c r="D4566" s="13"/>
      <c r="E4566" s="13"/>
      <c r="F4566" s="13"/>
      <c r="G4566" s="13"/>
      <c r="H4566" s="13"/>
      <c r="I4566" s="13"/>
      <c r="J4566" s="13"/>
      <c r="K4566" s="15"/>
      <c r="L4566" s="15"/>
      <c r="M4566" s="16"/>
      <c r="N4566" s="16"/>
      <c r="O4566" s="17"/>
      <c r="P4566" s="17"/>
      <c r="Q4566" s="13"/>
      <c r="R4566" s="13"/>
      <c r="S4566" s="13"/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  <c r="AG4566" s="13"/>
      <c r="AH4566" s="13"/>
      <c r="AI4566" s="13"/>
      <c r="AJ4566" s="13"/>
      <c r="AK4566" s="13"/>
      <c r="AL4566" s="13"/>
      <c r="AM4566" s="13"/>
      <c r="AN4566" s="13"/>
      <c r="AO4566" s="13"/>
      <c r="AP4566" s="13"/>
      <c r="AQ4566" s="13"/>
      <c r="AR4566" s="13"/>
      <c r="AS4566" s="13"/>
    </row>
    <row r="4567" ht="14.25" customHeight="1">
      <c r="A4567" s="13"/>
      <c r="B4567" s="13"/>
      <c r="C4567" s="13"/>
      <c r="D4567" s="13"/>
      <c r="E4567" s="13"/>
      <c r="F4567" s="13"/>
      <c r="G4567" s="13"/>
      <c r="H4567" s="13"/>
      <c r="I4567" s="13"/>
      <c r="J4567" s="13"/>
      <c r="K4567" s="15"/>
      <c r="L4567" s="15"/>
      <c r="M4567" s="16"/>
      <c r="N4567" s="16"/>
      <c r="O4567" s="17"/>
      <c r="P4567" s="17"/>
      <c r="Q4567" s="13"/>
      <c r="R4567" s="13"/>
      <c r="S4567" s="13"/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  <c r="AG4567" s="13"/>
      <c r="AH4567" s="13"/>
      <c r="AI4567" s="13"/>
      <c r="AJ4567" s="13"/>
      <c r="AK4567" s="13"/>
      <c r="AL4567" s="13"/>
      <c r="AM4567" s="13"/>
      <c r="AN4567" s="13"/>
      <c r="AO4567" s="13"/>
      <c r="AP4567" s="13"/>
      <c r="AQ4567" s="13"/>
      <c r="AR4567" s="13"/>
      <c r="AS4567" s="13"/>
    </row>
    <row r="4568" ht="14.25" customHeight="1">
      <c r="A4568" s="13"/>
      <c r="B4568" s="13"/>
      <c r="C4568" s="13"/>
      <c r="D4568" s="13"/>
      <c r="E4568" s="13"/>
      <c r="F4568" s="13"/>
      <c r="G4568" s="13"/>
      <c r="H4568" s="13"/>
      <c r="I4568" s="13"/>
      <c r="J4568" s="13"/>
      <c r="K4568" s="15"/>
      <c r="L4568" s="15"/>
      <c r="M4568" s="16"/>
      <c r="N4568" s="16"/>
      <c r="O4568" s="17"/>
      <c r="P4568" s="17"/>
      <c r="Q4568" s="13"/>
      <c r="R4568" s="13"/>
      <c r="S4568" s="13"/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  <c r="AG4568" s="13"/>
      <c r="AH4568" s="13"/>
      <c r="AI4568" s="13"/>
      <c r="AJ4568" s="13"/>
      <c r="AK4568" s="13"/>
      <c r="AL4568" s="13"/>
      <c r="AM4568" s="13"/>
      <c r="AN4568" s="13"/>
      <c r="AO4568" s="13"/>
      <c r="AP4568" s="13"/>
      <c r="AQ4568" s="13"/>
      <c r="AR4568" s="13"/>
      <c r="AS4568" s="13"/>
    </row>
    <row r="4569" ht="14.25" customHeight="1">
      <c r="A4569" s="13"/>
      <c r="B4569" s="13"/>
      <c r="C4569" s="13"/>
      <c r="D4569" s="13"/>
      <c r="E4569" s="13"/>
      <c r="F4569" s="13"/>
      <c r="G4569" s="13"/>
      <c r="H4569" s="13"/>
      <c r="I4569" s="13"/>
      <c r="J4569" s="13"/>
      <c r="K4569" s="15"/>
      <c r="L4569" s="15"/>
      <c r="M4569" s="16"/>
      <c r="N4569" s="16"/>
      <c r="O4569" s="17"/>
      <c r="P4569" s="17"/>
      <c r="Q4569" s="13"/>
      <c r="R4569" s="13"/>
      <c r="S4569" s="13"/>
      <c r="T4569" s="13"/>
      <c r="U4569" s="13"/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  <c r="AG4569" s="13"/>
      <c r="AH4569" s="13"/>
      <c r="AI4569" s="13"/>
      <c r="AJ4569" s="13"/>
      <c r="AK4569" s="13"/>
      <c r="AL4569" s="13"/>
      <c r="AM4569" s="13"/>
      <c r="AN4569" s="13"/>
      <c r="AO4569" s="13"/>
      <c r="AP4569" s="13"/>
      <c r="AQ4569" s="13"/>
      <c r="AR4569" s="13"/>
      <c r="AS4569" s="13"/>
    </row>
    <row r="4570" ht="14.25" customHeight="1">
      <c r="A4570" s="13"/>
      <c r="B4570" s="13"/>
      <c r="C4570" s="13"/>
      <c r="D4570" s="13"/>
      <c r="E4570" s="13"/>
      <c r="F4570" s="13"/>
      <c r="G4570" s="13"/>
      <c r="H4570" s="13"/>
      <c r="I4570" s="13"/>
      <c r="J4570" s="13"/>
      <c r="K4570" s="15"/>
      <c r="L4570" s="15"/>
      <c r="M4570" s="16"/>
      <c r="N4570" s="16"/>
      <c r="O4570" s="17"/>
      <c r="P4570" s="17"/>
      <c r="Q4570" s="13"/>
      <c r="R4570" s="13"/>
      <c r="S4570" s="13"/>
      <c r="T4570" s="13"/>
      <c r="U4570" s="13"/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  <c r="AG4570" s="13"/>
      <c r="AH4570" s="13"/>
      <c r="AI4570" s="13"/>
      <c r="AJ4570" s="13"/>
      <c r="AK4570" s="13"/>
      <c r="AL4570" s="13"/>
      <c r="AM4570" s="13"/>
      <c r="AN4570" s="13"/>
      <c r="AO4570" s="13"/>
      <c r="AP4570" s="13"/>
      <c r="AQ4570" s="13"/>
      <c r="AR4570" s="13"/>
      <c r="AS4570" s="13"/>
    </row>
    <row r="4571" ht="14.25" customHeight="1">
      <c r="A4571" s="13"/>
      <c r="B4571" s="13"/>
      <c r="C4571" s="13"/>
      <c r="D4571" s="13"/>
      <c r="E4571" s="13"/>
      <c r="F4571" s="13"/>
      <c r="G4571" s="13"/>
      <c r="H4571" s="13"/>
      <c r="I4571" s="13"/>
      <c r="J4571" s="13"/>
      <c r="K4571" s="15"/>
      <c r="L4571" s="15"/>
      <c r="M4571" s="16"/>
      <c r="N4571" s="16"/>
      <c r="O4571" s="17"/>
      <c r="P4571" s="17"/>
      <c r="Q4571" s="13"/>
      <c r="R4571" s="13"/>
      <c r="S4571" s="13"/>
      <c r="T4571" s="13"/>
      <c r="U4571" s="13"/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  <c r="AG4571" s="13"/>
      <c r="AH4571" s="13"/>
      <c r="AI4571" s="13"/>
      <c r="AJ4571" s="13"/>
      <c r="AK4571" s="13"/>
      <c r="AL4571" s="13"/>
      <c r="AM4571" s="13"/>
      <c r="AN4571" s="13"/>
      <c r="AO4571" s="13"/>
      <c r="AP4571" s="13"/>
      <c r="AQ4571" s="13"/>
      <c r="AR4571" s="13"/>
      <c r="AS4571" s="13"/>
    </row>
    <row r="4572" ht="14.25" customHeight="1">
      <c r="A4572" s="13"/>
      <c r="B4572" s="13"/>
      <c r="C4572" s="13"/>
      <c r="D4572" s="13"/>
      <c r="E4572" s="13"/>
      <c r="F4572" s="13"/>
      <c r="G4572" s="13"/>
      <c r="H4572" s="13"/>
      <c r="I4572" s="13"/>
      <c r="J4572" s="13"/>
      <c r="K4572" s="15"/>
      <c r="L4572" s="15"/>
      <c r="M4572" s="16"/>
      <c r="N4572" s="16"/>
      <c r="O4572" s="17"/>
      <c r="P4572" s="17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  <c r="AG4572" s="13"/>
      <c r="AH4572" s="13"/>
      <c r="AI4572" s="13"/>
      <c r="AJ4572" s="13"/>
      <c r="AK4572" s="13"/>
      <c r="AL4572" s="13"/>
      <c r="AM4572" s="13"/>
      <c r="AN4572" s="13"/>
      <c r="AO4572" s="13"/>
      <c r="AP4572" s="13"/>
      <c r="AQ4572" s="13"/>
      <c r="AR4572" s="13"/>
      <c r="AS4572" s="13"/>
    </row>
    <row r="4573" ht="14.25" customHeight="1">
      <c r="A4573" s="13"/>
      <c r="B4573" s="13"/>
      <c r="C4573" s="13"/>
      <c r="D4573" s="13"/>
      <c r="E4573" s="13"/>
      <c r="F4573" s="13"/>
      <c r="G4573" s="13"/>
      <c r="H4573" s="13"/>
      <c r="I4573" s="13"/>
      <c r="J4573" s="13"/>
      <c r="K4573" s="15"/>
      <c r="L4573" s="15"/>
      <c r="M4573" s="16"/>
      <c r="N4573" s="16"/>
      <c r="O4573" s="17"/>
      <c r="P4573" s="17"/>
      <c r="Q4573" s="13"/>
      <c r="R4573" s="13"/>
      <c r="S4573" s="13"/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  <c r="AG4573" s="13"/>
      <c r="AH4573" s="13"/>
      <c r="AI4573" s="13"/>
      <c r="AJ4573" s="13"/>
      <c r="AK4573" s="13"/>
      <c r="AL4573" s="13"/>
      <c r="AM4573" s="13"/>
      <c r="AN4573" s="13"/>
      <c r="AO4573" s="13"/>
      <c r="AP4573" s="13"/>
      <c r="AQ4573" s="13"/>
      <c r="AR4573" s="13"/>
      <c r="AS4573" s="13"/>
    </row>
    <row r="4574" ht="14.25" customHeight="1">
      <c r="A4574" s="13"/>
      <c r="B4574" s="13"/>
      <c r="C4574" s="13"/>
      <c r="D4574" s="13"/>
      <c r="E4574" s="13"/>
      <c r="F4574" s="13"/>
      <c r="G4574" s="13"/>
      <c r="H4574" s="13"/>
      <c r="I4574" s="13"/>
      <c r="J4574" s="13"/>
      <c r="K4574" s="15"/>
      <c r="L4574" s="15"/>
      <c r="M4574" s="16"/>
      <c r="N4574" s="16"/>
      <c r="O4574" s="17"/>
      <c r="P4574" s="17"/>
      <c r="Q4574" s="13"/>
      <c r="R4574" s="13"/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  <c r="AG4574" s="13"/>
      <c r="AH4574" s="13"/>
      <c r="AI4574" s="13"/>
      <c r="AJ4574" s="13"/>
      <c r="AK4574" s="13"/>
      <c r="AL4574" s="13"/>
      <c r="AM4574" s="13"/>
      <c r="AN4574" s="13"/>
      <c r="AO4574" s="13"/>
      <c r="AP4574" s="13"/>
      <c r="AQ4574" s="13"/>
      <c r="AR4574" s="13"/>
      <c r="AS4574" s="13"/>
    </row>
    <row r="4575" ht="14.25" customHeight="1">
      <c r="A4575" s="13"/>
      <c r="B4575" s="13"/>
      <c r="C4575" s="13"/>
      <c r="D4575" s="13"/>
      <c r="E4575" s="13"/>
      <c r="F4575" s="13"/>
      <c r="G4575" s="13"/>
      <c r="H4575" s="13"/>
      <c r="I4575" s="13"/>
      <c r="J4575" s="13"/>
      <c r="K4575" s="15"/>
      <c r="L4575" s="15"/>
      <c r="M4575" s="16"/>
      <c r="N4575" s="16"/>
      <c r="O4575" s="17"/>
      <c r="P4575" s="17"/>
      <c r="Q4575" s="13"/>
      <c r="R4575" s="13"/>
      <c r="S4575" s="13"/>
      <c r="T4575" s="13"/>
      <c r="U4575" s="13"/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  <c r="AG4575" s="13"/>
      <c r="AH4575" s="13"/>
      <c r="AI4575" s="13"/>
      <c r="AJ4575" s="13"/>
      <c r="AK4575" s="13"/>
      <c r="AL4575" s="13"/>
      <c r="AM4575" s="13"/>
      <c r="AN4575" s="13"/>
      <c r="AO4575" s="13"/>
      <c r="AP4575" s="13"/>
      <c r="AQ4575" s="13"/>
      <c r="AR4575" s="13"/>
      <c r="AS4575" s="13"/>
    </row>
    <row r="4576" ht="14.25" customHeight="1">
      <c r="A4576" s="13"/>
      <c r="B4576" s="13"/>
      <c r="C4576" s="13"/>
      <c r="D4576" s="13"/>
      <c r="E4576" s="13"/>
      <c r="F4576" s="13"/>
      <c r="G4576" s="13"/>
      <c r="H4576" s="13"/>
      <c r="I4576" s="13"/>
      <c r="J4576" s="13"/>
      <c r="K4576" s="15"/>
      <c r="L4576" s="15"/>
      <c r="M4576" s="16"/>
      <c r="N4576" s="16"/>
      <c r="O4576" s="17"/>
      <c r="P4576" s="17"/>
      <c r="Q4576" s="13"/>
      <c r="R4576" s="13"/>
      <c r="S4576" s="13"/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  <c r="AG4576" s="13"/>
      <c r="AH4576" s="13"/>
      <c r="AI4576" s="13"/>
      <c r="AJ4576" s="13"/>
      <c r="AK4576" s="13"/>
      <c r="AL4576" s="13"/>
      <c r="AM4576" s="13"/>
      <c r="AN4576" s="13"/>
      <c r="AO4576" s="13"/>
      <c r="AP4576" s="13"/>
      <c r="AQ4576" s="13"/>
      <c r="AR4576" s="13"/>
      <c r="AS4576" s="13"/>
    </row>
    <row r="4577" ht="14.25" customHeight="1">
      <c r="A4577" s="13"/>
      <c r="B4577" s="13"/>
      <c r="C4577" s="13"/>
      <c r="D4577" s="13"/>
      <c r="E4577" s="13"/>
      <c r="F4577" s="13"/>
      <c r="G4577" s="13"/>
      <c r="H4577" s="13"/>
      <c r="I4577" s="13"/>
      <c r="J4577" s="13"/>
      <c r="K4577" s="15"/>
      <c r="L4577" s="15"/>
      <c r="M4577" s="16"/>
      <c r="N4577" s="16"/>
      <c r="O4577" s="17"/>
      <c r="P4577" s="17"/>
      <c r="Q4577" s="13"/>
      <c r="R4577" s="13"/>
      <c r="S4577" s="13"/>
      <c r="T4577" s="13"/>
      <c r="U4577" s="13"/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  <c r="AG4577" s="13"/>
      <c r="AH4577" s="13"/>
      <c r="AI4577" s="13"/>
      <c r="AJ4577" s="13"/>
      <c r="AK4577" s="13"/>
      <c r="AL4577" s="13"/>
      <c r="AM4577" s="13"/>
      <c r="AN4577" s="13"/>
      <c r="AO4577" s="13"/>
      <c r="AP4577" s="13"/>
      <c r="AQ4577" s="13"/>
      <c r="AR4577" s="13"/>
      <c r="AS4577" s="13"/>
    </row>
    <row r="4578" ht="14.25" customHeight="1">
      <c r="A4578" s="13"/>
      <c r="B4578" s="13"/>
      <c r="C4578" s="13"/>
      <c r="D4578" s="13"/>
      <c r="E4578" s="13"/>
      <c r="F4578" s="13"/>
      <c r="G4578" s="13"/>
      <c r="H4578" s="13"/>
      <c r="I4578" s="13"/>
      <c r="J4578" s="13"/>
      <c r="K4578" s="15"/>
      <c r="L4578" s="15"/>
      <c r="M4578" s="16"/>
      <c r="N4578" s="16"/>
      <c r="O4578" s="17"/>
      <c r="P4578" s="17"/>
      <c r="Q4578" s="13"/>
      <c r="R4578" s="13"/>
      <c r="S4578" s="13"/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3"/>
      <c r="AD4578" s="13"/>
      <c r="AE4578" s="13"/>
      <c r="AF4578" s="13"/>
      <c r="AG4578" s="13"/>
      <c r="AH4578" s="13"/>
      <c r="AI4578" s="13"/>
      <c r="AJ4578" s="13"/>
      <c r="AK4578" s="13"/>
      <c r="AL4578" s="13"/>
      <c r="AM4578" s="13"/>
      <c r="AN4578" s="13"/>
      <c r="AO4578" s="13"/>
      <c r="AP4578" s="13"/>
      <c r="AQ4578" s="13"/>
      <c r="AR4578" s="13"/>
      <c r="AS4578" s="13"/>
    </row>
    <row r="4579" ht="14.25" customHeight="1">
      <c r="A4579" s="13"/>
      <c r="B4579" s="13"/>
      <c r="C4579" s="13"/>
      <c r="D4579" s="13"/>
      <c r="E4579" s="13"/>
      <c r="F4579" s="13"/>
      <c r="G4579" s="13"/>
      <c r="H4579" s="13"/>
      <c r="I4579" s="13"/>
      <c r="J4579" s="13"/>
      <c r="K4579" s="15"/>
      <c r="L4579" s="15"/>
      <c r="M4579" s="16"/>
      <c r="N4579" s="16"/>
      <c r="O4579" s="17"/>
      <c r="P4579" s="17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  <c r="AG4579" s="13"/>
      <c r="AH4579" s="13"/>
      <c r="AI4579" s="13"/>
      <c r="AJ4579" s="13"/>
      <c r="AK4579" s="13"/>
      <c r="AL4579" s="13"/>
      <c r="AM4579" s="13"/>
      <c r="AN4579" s="13"/>
      <c r="AO4579" s="13"/>
      <c r="AP4579" s="13"/>
      <c r="AQ4579" s="13"/>
      <c r="AR4579" s="13"/>
      <c r="AS4579" s="13"/>
    </row>
    <row r="4580" ht="14.25" customHeight="1">
      <c r="A4580" s="13"/>
      <c r="B4580" s="13"/>
      <c r="C4580" s="13"/>
      <c r="D4580" s="13"/>
      <c r="E4580" s="13"/>
      <c r="F4580" s="13"/>
      <c r="G4580" s="13"/>
      <c r="H4580" s="13"/>
      <c r="I4580" s="13"/>
      <c r="J4580" s="13"/>
      <c r="K4580" s="15"/>
      <c r="L4580" s="15"/>
      <c r="M4580" s="16"/>
      <c r="N4580" s="16"/>
      <c r="O4580" s="17"/>
      <c r="P4580" s="17"/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  <c r="AG4580" s="13"/>
      <c r="AH4580" s="13"/>
      <c r="AI4580" s="13"/>
      <c r="AJ4580" s="13"/>
      <c r="AK4580" s="13"/>
      <c r="AL4580" s="13"/>
      <c r="AM4580" s="13"/>
      <c r="AN4580" s="13"/>
      <c r="AO4580" s="13"/>
      <c r="AP4580" s="13"/>
      <c r="AQ4580" s="13"/>
      <c r="AR4580" s="13"/>
      <c r="AS4580" s="13"/>
    </row>
    <row r="4581" ht="14.25" customHeight="1">
      <c r="A4581" s="13"/>
      <c r="B4581" s="13"/>
      <c r="C4581" s="13"/>
      <c r="D4581" s="13"/>
      <c r="E4581" s="13"/>
      <c r="F4581" s="13"/>
      <c r="G4581" s="13"/>
      <c r="H4581" s="13"/>
      <c r="I4581" s="13"/>
      <c r="J4581" s="13"/>
      <c r="K4581" s="15"/>
      <c r="L4581" s="15"/>
      <c r="M4581" s="16"/>
      <c r="N4581" s="16"/>
      <c r="O4581" s="17"/>
      <c r="P4581" s="17"/>
      <c r="Q4581" s="13"/>
      <c r="R4581" s="13"/>
      <c r="S4581" s="13"/>
      <c r="T4581" s="13"/>
      <c r="U4581" s="13"/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  <c r="AG4581" s="13"/>
      <c r="AH4581" s="13"/>
      <c r="AI4581" s="13"/>
      <c r="AJ4581" s="13"/>
      <c r="AK4581" s="13"/>
      <c r="AL4581" s="13"/>
      <c r="AM4581" s="13"/>
      <c r="AN4581" s="13"/>
      <c r="AO4581" s="13"/>
      <c r="AP4581" s="13"/>
      <c r="AQ4581" s="13"/>
      <c r="AR4581" s="13"/>
      <c r="AS4581" s="13"/>
    </row>
    <row r="4582" ht="14.25" customHeight="1">
      <c r="A4582" s="13"/>
      <c r="B4582" s="13"/>
      <c r="C4582" s="13"/>
      <c r="D4582" s="13"/>
      <c r="E4582" s="13"/>
      <c r="F4582" s="13"/>
      <c r="G4582" s="13"/>
      <c r="H4582" s="13"/>
      <c r="I4582" s="13"/>
      <c r="J4582" s="13"/>
      <c r="K4582" s="15"/>
      <c r="L4582" s="15"/>
      <c r="M4582" s="16"/>
      <c r="N4582" s="16"/>
      <c r="O4582" s="17"/>
      <c r="P4582" s="17"/>
      <c r="Q4582" s="13"/>
      <c r="R4582" s="13"/>
      <c r="S4582" s="13"/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  <c r="AG4582" s="13"/>
      <c r="AH4582" s="13"/>
      <c r="AI4582" s="13"/>
      <c r="AJ4582" s="13"/>
      <c r="AK4582" s="13"/>
      <c r="AL4582" s="13"/>
      <c r="AM4582" s="13"/>
      <c r="AN4582" s="13"/>
      <c r="AO4582" s="13"/>
      <c r="AP4582" s="13"/>
      <c r="AQ4582" s="13"/>
      <c r="AR4582" s="13"/>
      <c r="AS4582" s="13"/>
    </row>
    <row r="4583" ht="14.25" customHeight="1">
      <c r="A4583" s="13"/>
      <c r="B4583" s="13"/>
      <c r="C4583" s="13"/>
      <c r="D4583" s="13"/>
      <c r="E4583" s="13"/>
      <c r="F4583" s="13"/>
      <c r="G4583" s="13"/>
      <c r="H4583" s="13"/>
      <c r="I4583" s="13"/>
      <c r="J4583" s="13"/>
      <c r="K4583" s="15"/>
      <c r="L4583" s="15"/>
      <c r="M4583" s="16"/>
      <c r="N4583" s="16"/>
      <c r="O4583" s="17"/>
      <c r="P4583" s="17"/>
      <c r="Q4583" s="13"/>
      <c r="R4583" s="13"/>
      <c r="S4583" s="13"/>
      <c r="T4583" s="13"/>
      <c r="U4583" s="13"/>
      <c r="V4583" s="13"/>
      <c r="W4583" s="13"/>
      <c r="X4583" s="13"/>
      <c r="Y4583" s="13"/>
      <c r="Z4583" s="13"/>
      <c r="AA4583" s="13"/>
      <c r="AB4583" s="13"/>
      <c r="AC4583" s="13"/>
      <c r="AD4583" s="13"/>
      <c r="AE4583" s="13"/>
      <c r="AF4583" s="13"/>
      <c r="AG4583" s="13"/>
      <c r="AH4583" s="13"/>
      <c r="AI4583" s="13"/>
      <c r="AJ4583" s="13"/>
      <c r="AK4583" s="13"/>
      <c r="AL4583" s="13"/>
      <c r="AM4583" s="13"/>
      <c r="AN4583" s="13"/>
      <c r="AO4583" s="13"/>
      <c r="AP4583" s="13"/>
      <c r="AQ4583" s="13"/>
      <c r="AR4583" s="13"/>
      <c r="AS4583" s="13"/>
    </row>
    <row r="4584" ht="14.25" customHeight="1">
      <c r="A4584" s="13"/>
      <c r="B4584" s="13"/>
      <c r="C4584" s="13"/>
      <c r="D4584" s="13"/>
      <c r="E4584" s="13"/>
      <c r="F4584" s="13"/>
      <c r="G4584" s="13"/>
      <c r="H4584" s="13"/>
      <c r="I4584" s="13"/>
      <c r="J4584" s="13"/>
      <c r="K4584" s="15"/>
      <c r="L4584" s="15"/>
      <c r="M4584" s="16"/>
      <c r="N4584" s="16"/>
      <c r="O4584" s="17"/>
      <c r="P4584" s="17"/>
      <c r="Q4584" s="13"/>
      <c r="R4584" s="13"/>
      <c r="S4584" s="13"/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  <c r="AG4584" s="13"/>
      <c r="AH4584" s="13"/>
      <c r="AI4584" s="13"/>
      <c r="AJ4584" s="13"/>
      <c r="AK4584" s="13"/>
      <c r="AL4584" s="13"/>
      <c r="AM4584" s="13"/>
      <c r="AN4584" s="13"/>
      <c r="AO4584" s="13"/>
      <c r="AP4584" s="13"/>
      <c r="AQ4584" s="13"/>
      <c r="AR4584" s="13"/>
      <c r="AS4584" s="13"/>
    </row>
    <row r="4585" ht="14.25" customHeight="1">
      <c r="A4585" s="13"/>
      <c r="B4585" s="13"/>
      <c r="C4585" s="13"/>
      <c r="D4585" s="13"/>
      <c r="E4585" s="13"/>
      <c r="F4585" s="13"/>
      <c r="G4585" s="13"/>
      <c r="H4585" s="13"/>
      <c r="I4585" s="13"/>
      <c r="J4585" s="13"/>
      <c r="K4585" s="15"/>
      <c r="L4585" s="15"/>
      <c r="M4585" s="16"/>
      <c r="N4585" s="16"/>
      <c r="O4585" s="17"/>
      <c r="P4585" s="17"/>
      <c r="Q4585" s="13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  <c r="AG4585" s="13"/>
      <c r="AH4585" s="13"/>
      <c r="AI4585" s="13"/>
      <c r="AJ4585" s="13"/>
      <c r="AK4585" s="13"/>
      <c r="AL4585" s="13"/>
      <c r="AM4585" s="13"/>
      <c r="AN4585" s="13"/>
      <c r="AO4585" s="13"/>
      <c r="AP4585" s="13"/>
      <c r="AQ4585" s="13"/>
      <c r="AR4585" s="13"/>
      <c r="AS4585" s="13"/>
    </row>
    <row r="4586" ht="14.25" customHeight="1">
      <c r="A4586" s="13"/>
      <c r="B4586" s="13"/>
      <c r="C4586" s="13"/>
      <c r="D4586" s="13"/>
      <c r="E4586" s="13"/>
      <c r="F4586" s="13"/>
      <c r="G4586" s="13"/>
      <c r="H4586" s="13"/>
      <c r="I4586" s="13"/>
      <c r="J4586" s="13"/>
      <c r="K4586" s="15"/>
      <c r="L4586" s="15"/>
      <c r="M4586" s="16"/>
      <c r="N4586" s="16"/>
      <c r="O4586" s="17"/>
      <c r="P4586" s="17"/>
      <c r="Q4586" s="13"/>
      <c r="R4586" s="13"/>
      <c r="S4586" s="13"/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3"/>
      <c r="AD4586" s="13"/>
      <c r="AE4586" s="13"/>
      <c r="AF4586" s="13"/>
      <c r="AG4586" s="13"/>
      <c r="AH4586" s="13"/>
      <c r="AI4586" s="13"/>
      <c r="AJ4586" s="13"/>
      <c r="AK4586" s="13"/>
      <c r="AL4586" s="13"/>
      <c r="AM4586" s="13"/>
      <c r="AN4586" s="13"/>
      <c r="AO4586" s="13"/>
      <c r="AP4586" s="13"/>
      <c r="AQ4586" s="13"/>
      <c r="AR4586" s="13"/>
      <c r="AS4586" s="13"/>
    </row>
    <row r="4587" ht="14.25" customHeight="1">
      <c r="A4587" s="13"/>
      <c r="B4587" s="13"/>
      <c r="C4587" s="13"/>
      <c r="D4587" s="13"/>
      <c r="E4587" s="13"/>
      <c r="F4587" s="13"/>
      <c r="G4587" s="13"/>
      <c r="H4587" s="13"/>
      <c r="I4587" s="13"/>
      <c r="J4587" s="13"/>
      <c r="K4587" s="15"/>
      <c r="L4587" s="15"/>
      <c r="M4587" s="16"/>
      <c r="N4587" s="16"/>
      <c r="O4587" s="17"/>
      <c r="P4587" s="17"/>
      <c r="Q4587" s="13"/>
      <c r="R4587" s="13"/>
      <c r="S4587" s="13"/>
      <c r="T4587" s="13"/>
      <c r="U4587" s="13"/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  <c r="AG4587" s="13"/>
      <c r="AH4587" s="13"/>
      <c r="AI4587" s="13"/>
      <c r="AJ4587" s="13"/>
      <c r="AK4587" s="13"/>
      <c r="AL4587" s="13"/>
      <c r="AM4587" s="13"/>
      <c r="AN4587" s="13"/>
      <c r="AO4587" s="13"/>
      <c r="AP4587" s="13"/>
      <c r="AQ4587" s="13"/>
      <c r="AR4587" s="13"/>
      <c r="AS4587" s="13"/>
    </row>
    <row r="4588" ht="14.25" customHeight="1">
      <c r="A4588" s="13"/>
      <c r="B4588" s="13"/>
      <c r="C4588" s="13"/>
      <c r="D4588" s="13"/>
      <c r="E4588" s="13"/>
      <c r="F4588" s="13"/>
      <c r="G4588" s="13"/>
      <c r="H4588" s="13"/>
      <c r="I4588" s="13"/>
      <c r="J4588" s="13"/>
      <c r="K4588" s="15"/>
      <c r="L4588" s="15"/>
      <c r="M4588" s="16"/>
      <c r="N4588" s="16"/>
      <c r="O4588" s="17"/>
      <c r="P4588" s="17"/>
      <c r="Q4588" s="13"/>
      <c r="R4588" s="13"/>
      <c r="S4588" s="13"/>
      <c r="T4588" s="13"/>
      <c r="U4588" s="13"/>
      <c r="V4588" s="13"/>
      <c r="W4588" s="13"/>
      <c r="X4588" s="13"/>
      <c r="Y4588" s="13"/>
      <c r="Z4588" s="13"/>
      <c r="AA4588" s="13"/>
      <c r="AB4588" s="13"/>
      <c r="AC4588" s="13"/>
      <c r="AD4588" s="13"/>
      <c r="AE4588" s="13"/>
      <c r="AF4588" s="13"/>
      <c r="AG4588" s="13"/>
      <c r="AH4588" s="13"/>
      <c r="AI4588" s="13"/>
      <c r="AJ4588" s="13"/>
      <c r="AK4588" s="13"/>
      <c r="AL4588" s="13"/>
      <c r="AM4588" s="13"/>
      <c r="AN4588" s="13"/>
      <c r="AO4588" s="13"/>
      <c r="AP4588" s="13"/>
      <c r="AQ4588" s="13"/>
      <c r="AR4588" s="13"/>
      <c r="AS4588" s="13"/>
    </row>
    <row r="4589" ht="14.25" customHeight="1">
      <c r="A4589" s="13"/>
      <c r="B4589" s="13"/>
      <c r="C4589" s="13"/>
      <c r="D4589" s="13"/>
      <c r="E4589" s="13"/>
      <c r="F4589" s="13"/>
      <c r="G4589" s="13"/>
      <c r="H4589" s="13"/>
      <c r="I4589" s="13"/>
      <c r="J4589" s="13"/>
      <c r="K4589" s="15"/>
      <c r="L4589" s="15"/>
      <c r="M4589" s="16"/>
      <c r="N4589" s="16"/>
      <c r="O4589" s="17"/>
      <c r="P4589" s="17"/>
      <c r="Q4589" s="13"/>
      <c r="R4589" s="13"/>
      <c r="S4589" s="13"/>
      <c r="T4589" s="13"/>
      <c r="U4589" s="13"/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  <c r="AG4589" s="13"/>
      <c r="AH4589" s="13"/>
      <c r="AI4589" s="13"/>
      <c r="AJ4589" s="13"/>
      <c r="AK4589" s="13"/>
      <c r="AL4589" s="13"/>
      <c r="AM4589" s="13"/>
      <c r="AN4589" s="13"/>
      <c r="AO4589" s="13"/>
      <c r="AP4589" s="13"/>
      <c r="AQ4589" s="13"/>
      <c r="AR4589" s="13"/>
      <c r="AS4589" s="13"/>
    </row>
    <row r="4590" ht="14.25" customHeight="1">
      <c r="A4590" s="13"/>
      <c r="B4590" s="13"/>
      <c r="C4590" s="13"/>
      <c r="D4590" s="13"/>
      <c r="E4590" s="13"/>
      <c r="F4590" s="13"/>
      <c r="G4590" s="13"/>
      <c r="H4590" s="13"/>
      <c r="I4590" s="13"/>
      <c r="J4590" s="13"/>
      <c r="K4590" s="15"/>
      <c r="L4590" s="15"/>
      <c r="M4590" s="16"/>
      <c r="N4590" s="16"/>
      <c r="O4590" s="17"/>
      <c r="P4590" s="17"/>
      <c r="Q4590" s="13"/>
      <c r="R4590" s="13"/>
      <c r="S4590" s="13"/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  <c r="AG4590" s="13"/>
      <c r="AH4590" s="13"/>
      <c r="AI4590" s="13"/>
      <c r="AJ4590" s="13"/>
      <c r="AK4590" s="13"/>
      <c r="AL4590" s="13"/>
      <c r="AM4590" s="13"/>
      <c r="AN4590" s="13"/>
      <c r="AO4590" s="13"/>
      <c r="AP4590" s="13"/>
      <c r="AQ4590" s="13"/>
      <c r="AR4590" s="13"/>
      <c r="AS4590" s="13"/>
    </row>
    <row r="4591" ht="14.25" customHeight="1">
      <c r="A4591" s="13"/>
      <c r="B4591" s="13"/>
      <c r="C4591" s="13"/>
      <c r="D4591" s="13"/>
      <c r="E4591" s="13"/>
      <c r="F4591" s="13"/>
      <c r="G4591" s="13"/>
      <c r="H4591" s="13"/>
      <c r="I4591" s="13"/>
      <c r="J4591" s="13"/>
      <c r="K4591" s="15"/>
      <c r="L4591" s="15"/>
      <c r="M4591" s="16"/>
      <c r="N4591" s="16"/>
      <c r="O4591" s="17"/>
      <c r="P4591" s="17"/>
      <c r="Q4591" s="13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3"/>
      <c r="AD4591" s="13"/>
      <c r="AE4591" s="13"/>
      <c r="AF4591" s="13"/>
      <c r="AG4591" s="13"/>
      <c r="AH4591" s="13"/>
      <c r="AI4591" s="13"/>
      <c r="AJ4591" s="13"/>
      <c r="AK4591" s="13"/>
      <c r="AL4591" s="13"/>
      <c r="AM4591" s="13"/>
      <c r="AN4591" s="13"/>
      <c r="AO4591" s="13"/>
      <c r="AP4591" s="13"/>
      <c r="AQ4591" s="13"/>
      <c r="AR4591" s="13"/>
      <c r="AS4591" s="13"/>
    </row>
    <row r="4592" ht="14.25" customHeight="1">
      <c r="A4592" s="13"/>
      <c r="B4592" s="13"/>
      <c r="C4592" s="13"/>
      <c r="D4592" s="13"/>
      <c r="E4592" s="13"/>
      <c r="F4592" s="13"/>
      <c r="G4592" s="13"/>
      <c r="H4592" s="13"/>
      <c r="I4592" s="13"/>
      <c r="J4592" s="13"/>
      <c r="K4592" s="15"/>
      <c r="L4592" s="15"/>
      <c r="M4592" s="16"/>
      <c r="N4592" s="16"/>
      <c r="O4592" s="17"/>
      <c r="P4592" s="17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F4592" s="13"/>
      <c r="AG4592" s="13"/>
      <c r="AH4592" s="13"/>
      <c r="AI4592" s="13"/>
      <c r="AJ4592" s="13"/>
      <c r="AK4592" s="13"/>
      <c r="AL4592" s="13"/>
      <c r="AM4592" s="13"/>
      <c r="AN4592" s="13"/>
      <c r="AO4592" s="13"/>
      <c r="AP4592" s="13"/>
      <c r="AQ4592" s="13"/>
      <c r="AR4592" s="13"/>
      <c r="AS4592" s="13"/>
    </row>
    <row r="4593" ht="14.25" customHeight="1">
      <c r="A4593" s="13"/>
      <c r="B4593" s="13"/>
      <c r="C4593" s="13"/>
      <c r="D4593" s="13"/>
      <c r="E4593" s="13"/>
      <c r="F4593" s="13"/>
      <c r="G4593" s="13"/>
      <c r="H4593" s="13"/>
      <c r="I4593" s="13"/>
      <c r="J4593" s="13"/>
      <c r="K4593" s="15"/>
      <c r="L4593" s="15"/>
      <c r="M4593" s="16"/>
      <c r="N4593" s="16"/>
      <c r="O4593" s="17"/>
      <c r="P4593" s="17"/>
      <c r="Q4593" s="13"/>
      <c r="R4593" s="13"/>
      <c r="S4593" s="13"/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F4593" s="13"/>
      <c r="AG4593" s="13"/>
      <c r="AH4593" s="13"/>
      <c r="AI4593" s="13"/>
      <c r="AJ4593" s="13"/>
      <c r="AK4593" s="13"/>
      <c r="AL4593" s="13"/>
      <c r="AM4593" s="13"/>
      <c r="AN4593" s="13"/>
      <c r="AO4593" s="13"/>
      <c r="AP4593" s="13"/>
      <c r="AQ4593" s="13"/>
      <c r="AR4593" s="13"/>
      <c r="AS4593" s="13"/>
    </row>
    <row r="4594" ht="14.25" customHeight="1">
      <c r="A4594" s="13"/>
      <c r="B4594" s="13"/>
      <c r="C4594" s="13"/>
      <c r="D4594" s="13"/>
      <c r="E4594" s="13"/>
      <c r="F4594" s="13"/>
      <c r="G4594" s="13"/>
      <c r="H4594" s="13"/>
      <c r="I4594" s="13"/>
      <c r="J4594" s="13"/>
      <c r="K4594" s="15"/>
      <c r="L4594" s="15"/>
      <c r="M4594" s="16"/>
      <c r="N4594" s="16"/>
      <c r="O4594" s="17"/>
      <c r="P4594" s="17"/>
      <c r="Q4594" s="13"/>
      <c r="R4594" s="13"/>
      <c r="S4594" s="13"/>
      <c r="T4594" s="13"/>
      <c r="U4594" s="13"/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  <c r="AG4594" s="13"/>
      <c r="AH4594" s="13"/>
      <c r="AI4594" s="13"/>
      <c r="AJ4594" s="13"/>
      <c r="AK4594" s="13"/>
      <c r="AL4594" s="13"/>
      <c r="AM4594" s="13"/>
      <c r="AN4594" s="13"/>
      <c r="AO4594" s="13"/>
      <c r="AP4594" s="13"/>
      <c r="AQ4594" s="13"/>
      <c r="AR4594" s="13"/>
      <c r="AS4594" s="13"/>
    </row>
    <row r="4595" ht="14.25" customHeight="1">
      <c r="A4595" s="13"/>
      <c r="B4595" s="13"/>
      <c r="C4595" s="13"/>
      <c r="D4595" s="13"/>
      <c r="E4595" s="13"/>
      <c r="F4595" s="13"/>
      <c r="G4595" s="13"/>
      <c r="H4595" s="13"/>
      <c r="I4595" s="13"/>
      <c r="J4595" s="13"/>
      <c r="K4595" s="15"/>
      <c r="L4595" s="15"/>
      <c r="M4595" s="16"/>
      <c r="N4595" s="16"/>
      <c r="O4595" s="17"/>
      <c r="P4595" s="17"/>
      <c r="Q4595" s="13"/>
      <c r="R4595" s="13"/>
      <c r="S4595" s="13"/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/>
      <c r="AE4595" s="13"/>
      <c r="AF4595" s="13"/>
      <c r="AG4595" s="13"/>
      <c r="AH4595" s="13"/>
      <c r="AI4595" s="13"/>
      <c r="AJ4595" s="13"/>
      <c r="AK4595" s="13"/>
      <c r="AL4595" s="13"/>
      <c r="AM4595" s="13"/>
      <c r="AN4595" s="13"/>
      <c r="AO4595" s="13"/>
      <c r="AP4595" s="13"/>
      <c r="AQ4595" s="13"/>
      <c r="AR4595" s="13"/>
      <c r="AS4595" s="13"/>
    </row>
    <row r="4596" ht="14.25" customHeight="1">
      <c r="A4596" s="13"/>
      <c r="B4596" s="13"/>
      <c r="C4596" s="13"/>
      <c r="D4596" s="13"/>
      <c r="E4596" s="13"/>
      <c r="F4596" s="13"/>
      <c r="G4596" s="13"/>
      <c r="H4596" s="13"/>
      <c r="I4596" s="13"/>
      <c r="J4596" s="13"/>
      <c r="K4596" s="15"/>
      <c r="L4596" s="15"/>
      <c r="M4596" s="16"/>
      <c r="N4596" s="16"/>
      <c r="O4596" s="17"/>
      <c r="P4596" s="17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3"/>
      <c r="AD4596" s="13"/>
      <c r="AE4596" s="13"/>
      <c r="AF4596" s="13"/>
      <c r="AG4596" s="13"/>
      <c r="AH4596" s="13"/>
      <c r="AI4596" s="13"/>
      <c r="AJ4596" s="13"/>
      <c r="AK4596" s="13"/>
      <c r="AL4596" s="13"/>
      <c r="AM4596" s="13"/>
      <c r="AN4596" s="13"/>
      <c r="AO4596" s="13"/>
      <c r="AP4596" s="13"/>
      <c r="AQ4596" s="13"/>
      <c r="AR4596" s="13"/>
      <c r="AS4596" s="13"/>
    </row>
    <row r="4597" ht="14.25" customHeight="1">
      <c r="A4597" s="13"/>
      <c r="B4597" s="13"/>
      <c r="C4597" s="13"/>
      <c r="D4597" s="13"/>
      <c r="E4597" s="13"/>
      <c r="F4597" s="13"/>
      <c r="G4597" s="13"/>
      <c r="H4597" s="13"/>
      <c r="I4597" s="13"/>
      <c r="J4597" s="13"/>
      <c r="K4597" s="15"/>
      <c r="L4597" s="15"/>
      <c r="M4597" s="16"/>
      <c r="N4597" s="16"/>
      <c r="O4597" s="17"/>
      <c r="P4597" s="17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F4597" s="13"/>
      <c r="AG4597" s="13"/>
      <c r="AH4597" s="13"/>
      <c r="AI4597" s="13"/>
      <c r="AJ4597" s="13"/>
      <c r="AK4597" s="13"/>
      <c r="AL4597" s="13"/>
      <c r="AM4597" s="13"/>
      <c r="AN4597" s="13"/>
      <c r="AO4597" s="13"/>
      <c r="AP4597" s="13"/>
      <c r="AQ4597" s="13"/>
      <c r="AR4597" s="13"/>
      <c r="AS4597" s="13"/>
    </row>
    <row r="4598" ht="14.25" customHeight="1">
      <c r="A4598" s="13"/>
      <c r="B4598" s="13"/>
      <c r="C4598" s="13"/>
      <c r="D4598" s="13"/>
      <c r="E4598" s="13"/>
      <c r="F4598" s="13"/>
      <c r="G4598" s="13"/>
      <c r="H4598" s="13"/>
      <c r="I4598" s="13"/>
      <c r="J4598" s="13"/>
      <c r="K4598" s="15"/>
      <c r="L4598" s="15"/>
      <c r="M4598" s="16"/>
      <c r="N4598" s="16"/>
      <c r="O4598" s="17"/>
      <c r="P4598" s="17"/>
      <c r="Q4598" s="13"/>
      <c r="R4598" s="13"/>
      <c r="S4598" s="13"/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  <c r="AG4598" s="13"/>
      <c r="AH4598" s="13"/>
      <c r="AI4598" s="13"/>
      <c r="AJ4598" s="13"/>
      <c r="AK4598" s="13"/>
      <c r="AL4598" s="13"/>
      <c r="AM4598" s="13"/>
      <c r="AN4598" s="13"/>
      <c r="AO4598" s="13"/>
      <c r="AP4598" s="13"/>
      <c r="AQ4598" s="13"/>
      <c r="AR4598" s="13"/>
      <c r="AS4598" s="13"/>
    </row>
    <row r="4599" ht="14.25" customHeight="1">
      <c r="A4599" s="13"/>
      <c r="B4599" s="13"/>
      <c r="C4599" s="13"/>
      <c r="D4599" s="13"/>
      <c r="E4599" s="13"/>
      <c r="F4599" s="13"/>
      <c r="G4599" s="13"/>
      <c r="H4599" s="13"/>
      <c r="I4599" s="13"/>
      <c r="J4599" s="13"/>
      <c r="K4599" s="15"/>
      <c r="L4599" s="15"/>
      <c r="M4599" s="16"/>
      <c r="N4599" s="16"/>
      <c r="O4599" s="17"/>
      <c r="P4599" s="17"/>
      <c r="Q4599" s="13"/>
      <c r="R4599" s="13"/>
      <c r="S4599" s="13"/>
      <c r="T4599" s="13"/>
      <c r="U4599" s="13"/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  <c r="AG4599" s="13"/>
      <c r="AH4599" s="13"/>
      <c r="AI4599" s="13"/>
      <c r="AJ4599" s="13"/>
      <c r="AK4599" s="13"/>
      <c r="AL4599" s="13"/>
      <c r="AM4599" s="13"/>
      <c r="AN4599" s="13"/>
      <c r="AO4599" s="13"/>
      <c r="AP4599" s="13"/>
      <c r="AQ4599" s="13"/>
      <c r="AR4599" s="13"/>
      <c r="AS4599" s="13"/>
    </row>
    <row r="4600" ht="14.25" customHeight="1">
      <c r="A4600" s="13"/>
      <c r="B4600" s="13"/>
      <c r="C4600" s="13"/>
      <c r="D4600" s="13"/>
      <c r="E4600" s="13"/>
      <c r="F4600" s="13"/>
      <c r="G4600" s="13"/>
      <c r="H4600" s="13"/>
      <c r="I4600" s="13"/>
      <c r="J4600" s="13"/>
      <c r="K4600" s="15"/>
      <c r="L4600" s="15"/>
      <c r="M4600" s="16"/>
      <c r="N4600" s="16"/>
      <c r="O4600" s="17"/>
      <c r="P4600" s="17"/>
      <c r="Q4600" s="13"/>
      <c r="R4600" s="13"/>
      <c r="S4600" s="13"/>
      <c r="T4600" s="13"/>
      <c r="U4600" s="13"/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  <c r="AG4600" s="13"/>
      <c r="AH4600" s="13"/>
      <c r="AI4600" s="13"/>
      <c r="AJ4600" s="13"/>
      <c r="AK4600" s="13"/>
      <c r="AL4600" s="13"/>
      <c r="AM4600" s="13"/>
      <c r="AN4600" s="13"/>
      <c r="AO4600" s="13"/>
      <c r="AP4600" s="13"/>
      <c r="AQ4600" s="13"/>
      <c r="AR4600" s="13"/>
      <c r="AS4600" s="13"/>
    </row>
    <row r="4601" ht="14.25" customHeight="1">
      <c r="A4601" s="13"/>
      <c r="B4601" s="13"/>
      <c r="C4601" s="13"/>
      <c r="D4601" s="13"/>
      <c r="E4601" s="13"/>
      <c r="F4601" s="13"/>
      <c r="G4601" s="13"/>
      <c r="H4601" s="13"/>
      <c r="I4601" s="13"/>
      <c r="J4601" s="13"/>
      <c r="K4601" s="15"/>
      <c r="L4601" s="15"/>
      <c r="M4601" s="16"/>
      <c r="N4601" s="16"/>
      <c r="O4601" s="17"/>
      <c r="P4601" s="17"/>
      <c r="Q4601" s="13"/>
      <c r="R4601" s="13"/>
      <c r="S4601" s="13"/>
      <c r="T4601" s="13"/>
      <c r="U4601" s="13"/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  <c r="AG4601" s="13"/>
      <c r="AH4601" s="13"/>
      <c r="AI4601" s="13"/>
      <c r="AJ4601" s="13"/>
      <c r="AK4601" s="13"/>
      <c r="AL4601" s="13"/>
      <c r="AM4601" s="13"/>
      <c r="AN4601" s="13"/>
      <c r="AO4601" s="13"/>
      <c r="AP4601" s="13"/>
      <c r="AQ4601" s="13"/>
      <c r="AR4601" s="13"/>
      <c r="AS4601" s="13"/>
    </row>
    <row r="4602" ht="14.25" customHeight="1">
      <c r="A4602" s="13"/>
      <c r="B4602" s="13"/>
      <c r="C4602" s="13"/>
      <c r="D4602" s="13"/>
      <c r="E4602" s="13"/>
      <c r="F4602" s="13"/>
      <c r="G4602" s="13"/>
      <c r="H4602" s="13"/>
      <c r="I4602" s="13"/>
      <c r="J4602" s="13"/>
      <c r="K4602" s="15"/>
      <c r="L4602" s="15"/>
      <c r="M4602" s="16"/>
      <c r="N4602" s="16"/>
      <c r="O4602" s="17"/>
      <c r="P4602" s="17"/>
      <c r="Q4602" s="13"/>
      <c r="R4602" s="13"/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  <c r="AG4602" s="13"/>
      <c r="AH4602" s="13"/>
      <c r="AI4602" s="13"/>
      <c r="AJ4602" s="13"/>
      <c r="AK4602" s="13"/>
      <c r="AL4602" s="13"/>
      <c r="AM4602" s="13"/>
      <c r="AN4602" s="13"/>
      <c r="AO4602" s="13"/>
      <c r="AP4602" s="13"/>
      <c r="AQ4602" s="13"/>
      <c r="AR4602" s="13"/>
      <c r="AS4602" s="13"/>
    </row>
    <row r="4603" ht="14.25" customHeight="1">
      <c r="A4603" s="13"/>
      <c r="B4603" s="13"/>
      <c r="C4603" s="13"/>
      <c r="D4603" s="13"/>
      <c r="E4603" s="13"/>
      <c r="F4603" s="13"/>
      <c r="G4603" s="13"/>
      <c r="H4603" s="13"/>
      <c r="I4603" s="13"/>
      <c r="J4603" s="13"/>
      <c r="K4603" s="15"/>
      <c r="L4603" s="15"/>
      <c r="M4603" s="16"/>
      <c r="N4603" s="16"/>
      <c r="O4603" s="17"/>
      <c r="P4603" s="17"/>
      <c r="Q4603" s="13"/>
      <c r="R4603" s="13"/>
      <c r="S4603" s="13"/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  <c r="AG4603" s="13"/>
      <c r="AH4603" s="13"/>
      <c r="AI4603" s="13"/>
      <c r="AJ4603" s="13"/>
      <c r="AK4603" s="13"/>
      <c r="AL4603" s="13"/>
      <c r="AM4603" s="13"/>
      <c r="AN4603" s="13"/>
      <c r="AO4603" s="13"/>
      <c r="AP4603" s="13"/>
      <c r="AQ4603" s="13"/>
      <c r="AR4603" s="13"/>
      <c r="AS4603" s="13"/>
    </row>
    <row r="4604" ht="14.25" customHeight="1">
      <c r="A4604" s="13"/>
      <c r="B4604" s="13"/>
      <c r="C4604" s="13"/>
      <c r="D4604" s="13"/>
      <c r="E4604" s="13"/>
      <c r="F4604" s="13"/>
      <c r="G4604" s="13"/>
      <c r="H4604" s="13"/>
      <c r="I4604" s="13"/>
      <c r="J4604" s="13"/>
      <c r="K4604" s="15"/>
      <c r="L4604" s="15"/>
      <c r="M4604" s="16"/>
      <c r="N4604" s="16"/>
      <c r="O4604" s="17"/>
      <c r="P4604" s="17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  <c r="AG4604" s="13"/>
      <c r="AH4604" s="13"/>
      <c r="AI4604" s="13"/>
      <c r="AJ4604" s="13"/>
      <c r="AK4604" s="13"/>
      <c r="AL4604" s="13"/>
      <c r="AM4604" s="13"/>
      <c r="AN4604" s="13"/>
      <c r="AO4604" s="13"/>
      <c r="AP4604" s="13"/>
      <c r="AQ4604" s="13"/>
      <c r="AR4604" s="13"/>
      <c r="AS4604" s="13"/>
    </row>
    <row r="4605" ht="14.25" customHeight="1">
      <c r="A4605" s="13"/>
      <c r="B4605" s="13"/>
      <c r="C4605" s="13"/>
      <c r="D4605" s="13"/>
      <c r="E4605" s="13"/>
      <c r="F4605" s="13"/>
      <c r="G4605" s="13"/>
      <c r="H4605" s="13"/>
      <c r="I4605" s="13"/>
      <c r="J4605" s="13"/>
      <c r="K4605" s="15"/>
      <c r="L4605" s="15"/>
      <c r="M4605" s="16"/>
      <c r="N4605" s="16"/>
      <c r="O4605" s="17"/>
      <c r="P4605" s="17"/>
      <c r="Q4605" s="13"/>
      <c r="R4605" s="13"/>
      <c r="S4605" s="13"/>
      <c r="T4605" s="13"/>
      <c r="U4605" s="13"/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  <c r="AG4605" s="13"/>
      <c r="AH4605" s="13"/>
      <c r="AI4605" s="13"/>
      <c r="AJ4605" s="13"/>
      <c r="AK4605" s="13"/>
      <c r="AL4605" s="13"/>
      <c r="AM4605" s="13"/>
      <c r="AN4605" s="13"/>
      <c r="AO4605" s="13"/>
      <c r="AP4605" s="13"/>
      <c r="AQ4605" s="13"/>
      <c r="AR4605" s="13"/>
      <c r="AS4605" s="13"/>
    </row>
    <row r="4606" ht="14.25" customHeight="1">
      <c r="A4606" s="13"/>
      <c r="B4606" s="13"/>
      <c r="C4606" s="13"/>
      <c r="D4606" s="13"/>
      <c r="E4606" s="13"/>
      <c r="F4606" s="13"/>
      <c r="G4606" s="13"/>
      <c r="H4606" s="13"/>
      <c r="I4606" s="13"/>
      <c r="J4606" s="13"/>
      <c r="K4606" s="15"/>
      <c r="L4606" s="15"/>
      <c r="M4606" s="16"/>
      <c r="N4606" s="16"/>
      <c r="O4606" s="17"/>
      <c r="P4606" s="17"/>
      <c r="Q4606" s="13"/>
      <c r="R4606" s="13"/>
      <c r="S4606" s="13"/>
      <c r="T4606" s="13"/>
      <c r="U4606" s="13"/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  <c r="AG4606" s="13"/>
      <c r="AH4606" s="13"/>
      <c r="AI4606" s="13"/>
      <c r="AJ4606" s="13"/>
      <c r="AK4606" s="13"/>
      <c r="AL4606" s="13"/>
      <c r="AM4606" s="13"/>
      <c r="AN4606" s="13"/>
      <c r="AO4606" s="13"/>
      <c r="AP4606" s="13"/>
      <c r="AQ4606" s="13"/>
      <c r="AR4606" s="13"/>
      <c r="AS4606" s="13"/>
    </row>
    <row r="4607" ht="14.25" customHeight="1">
      <c r="A4607" s="13"/>
      <c r="B4607" s="13"/>
      <c r="C4607" s="13"/>
      <c r="D4607" s="13"/>
      <c r="E4607" s="13"/>
      <c r="F4607" s="13"/>
      <c r="G4607" s="13"/>
      <c r="H4607" s="13"/>
      <c r="I4607" s="13"/>
      <c r="J4607" s="13"/>
      <c r="K4607" s="15"/>
      <c r="L4607" s="15"/>
      <c r="M4607" s="16"/>
      <c r="N4607" s="16"/>
      <c r="O4607" s="17"/>
      <c r="P4607" s="17"/>
      <c r="Q4607" s="13"/>
      <c r="R4607" s="13"/>
      <c r="S4607" s="13"/>
      <c r="T4607" s="13"/>
      <c r="U4607" s="13"/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  <c r="AG4607" s="13"/>
      <c r="AH4607" s="13"/>
      <c r="AI4607" s="13"/>
      <c r="AJ4607" s="13"/>
      <c r="AK4607" s="13"/>
      <c r="AL4607" s="13"/>
      <c r="AM4607" s="13"/>
      <c r="AN4607" s="13"/>
      <c r="AO4607" s="13"/>
      <c r="AP4607" s="13"/>
      <c r="AQ4607" s="13"/>
      <c r="AR4607" s="13"/>
      <c r="AS4607" s="13"/>
    </row>
    <row r="4608" ht="14.25" customHeight="1">
      <c r="A4608" s="13"/>
      <c r="B4608" s="13"/>
      <c r="C4608" s="13"/>
      <c r="D4608" s="13"/>
      <c r="E4608" s="13"/>
      <c r="F4608" s="13"/>
      <c r="G4608" s="13"/>
      <c r="H4608" s="13"/>
      <c r="I4608" s="13"/>
      <c r="J4608" s="13"/>
      <c r="K4608" s="15"/>
      <c r="L4608" s="15"/>
      <c r="M4608" s="16"/>
      <c r="N4608" s="16"/>
      <c r="O4608" s="17"/>
      <c r="P4608" s="17"/>
      <c r="Q4608" s="13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  <c r="AG4608" s="13"/>
      <c r="AH4608" s="13"/>
      <c r="AI4608" s="13"/>
      <c r="AJ4608" s="13"/>
      <c r="AK4608" s="13"/>
      <c r="AL4608" s="13"/>
      <c r="AM4608" s="13"/>
      <c r="AN4608" s="13"/>
      <c r="AO4608" s="13"/>
      <c r="AP4608" s="13"/>
      <c r="AQ4608" s="13"/>
      <c r="AR4608" s="13"/>
      <c r="AS4608" s="13"/>
    </row>
    <row r="4609" ht="14.25" customHeight="1">
      <c r="A4609" s="13"/>
      <c r="B4609" s="13"/>
      <c r="C4609" s="13"/>
      <c r="D4609" s="13"/>
      <c r="E4609" s="13"/>
      <c r="F4609" s="13"/>
      <c r="G4609" s="13"/>
      <c r="H4609" s="13"/>
      <c r="I4609" s="13"/>
      <c r="J4609" s="13"/>
      <c r="K4609" s="15"/>
      <c r="L4609" s="15"/>
      <c r="M4609" s="16"/>
      <c r="N4609" s="16"/>
      <c r="O4609" s="17"/>
      <c r="P4609" s="17"/>
      <c r="Q4609" s="13"/>
      <c r="R4609" s="13"/>
      <c r="S4609" s="13"/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  <c r="AG4609" s="13"/>
      <c r="AH4609" s="13"/>
      <c r="AI4609" s="13"/>
      <c r="AJ4609" s="13"/>
      <c r="AK4609" s="13"/>
      <c r="AL4609" s="13"/>
      <c r="AM4609" s="13"/>
      <c r="AN4609" s="13"/>
      <c r="AO4609" s="13"/>
      <c r="AP4609" s="13"/>
      <c r="AQ4609" s="13"/>
      <c r="AR4609" s="13"/>
      <c r="AS4609" s="13"/>
    </row>
    <row r="4610" ht="14.25" customHeight="1">
      <c r="A4610" s="13"/>
      <c r="B4610" s="13"/>
      <c r="C4610" s="13"/>
      <c r="D4610" s="13"/>
      <c r="E4610" s="13"/>
      <c r="F4610" s="13"/>
      <c r="G4610" s="13"/>
      <c r="H4610" s="13"/>
      <c r="I4610" s="13"/>
      <c r="J4610" s="13"/>
      <c r="K4610" s="15"/>
      <c r="L4610" s="15"/>
      <c r="M4610" s="16"/>
      <c r="N4610" s="16"/>
      <c r="O4610" s="17"/>
      <c r="P4610" s="17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  <c r="AG4610" s="13"/>
      <c r="AH4610" s="13"/>
      <c r="AI4610" s="13"/>
      <c r="AJ4610" s="13"/>
      <c r="AK4610" s="13"/>
      <c r="AL4610" s="13"/>
      <c r="AM4610" s="13"/>
      <c r="AN4610" s="13"/>
      <c r="AO4610" s="13"/>
      <c r="AP4610" s="13"/>
      <c r="AQ4610" s="13"/>
      <c r="AR4610" s="13"/>
      <c r="AS4610" s="13"/>
    </row>
    <row r="4611" ht="14.25" customHeight="1">
      <c r="A4611" s="13"/>
      <c r="B4611" s="13"/>
      <c r="C4611" s="13"/>
      <c r="D4611" s="13"/>
      <c r="E4611" s="13"/>
      <c r="F4611" s="13"/>
      <c r="G4611" s="13"/>
      <c r="H4611" s="13"/>
      <c r="I4611" s="13"/>
      <c r="J4611" s="13"/>
      <c r="K4611" s="15"/>
      <c r="L4611" s="15"/>
      <c r="M4611" s="16"/>
      <c r="N4611" s="16"/>
      <c r="O4611" s="17"/>
      <c r="P4611" s="17"/>
      <c r="Q4611" s="13"/>
      <c r="R4611" s="13"/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  <c r="AG4611" s="13"/>
      <c r="AH4611" s="13"/>
      <c r="AI4611" s="13"/>
      <c r="AJ4611" s="13"/>
      <c r="AK4611" s="13"/>
      <c r="AL4611" s="13"/>
      <c r="AM4611" s="13"/>
      <c r="AN4611" s="13"/>
      <c r="AO4611" s="13"/>
      <c r="AP4611" s="13"/>
      <c r="AQ4611" s="13"/>
      <c r="AR4611" s="13"/>
      <c r="AS4611" s="13"/>
    </row>
    <row r="4612" ht="14.25" customHeight="1">
      <c r="A4612" s="13"/>
      <c r="B4612" s="13"/>
      <c r="C4612" s="13"/>
      <c r="D4612" s="13"/>
      <c r="E4612" s="13"/>
      <c r="F4612" s="13"/>
      <c r="G4612" s="13"/>
      <c r="H4612" s="13"/>
      <c r="I4612" s="13"/>
      <c r="J4612" s="13"/>
      <c r="K4612" s="15"/>
      <c r="L4612" s="15"/>
      <c r="M4612" s="16"/>
      <c r="N4612" s="16"/>
      <c r="O4612" s="17"/>
      <c r="P4612" s="17"/>
      <c r="Q4612" s="13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  <c r="AG4612" s="13"/>
      <c r="AH4612" s="13"/>
      <c r="AI4612" s="13"/>
      <c r="AJ4612" s="13"/>
      <c r="AK4612" s="13"/>
      <c r="AL4612" s="13"/>
      <c r="AM4612" s="13"/>
      <c r="AN4612" s="13"/>
      <c r="AO4612" s="13"/>
      <c r="AP4612" s="13"/>
      <c r="AQ4612" s="13"/>
      <c r="AR4612" s="13"/>
      <c r="AS4612" s="13"/>
    </row>
    <row r="4613" ht="14.25" customHeight="1">
      <c r="A4613" s="13"/>
      <c r="B4613" s="13"/>
      <c r="C4613" s="13"/>
      <c r="D4613" s="13"/>
      <c r="E4613" s="13"/>
      <c r="F4613" s="13"/>
      <c r="G4613" s="13"/>
      <c r="H4613" s="13"/>
      <c r="I4613" s="13"/>
      <c r="J4613" s="13"/>
      <c r="K4613" s="15"/>
      <c r="L4613" s="15"/>
      <c r="M4613" s="16"/>
      <c r="N4613" s="16"/>
      <c r="O4613" s="17"/>
      <c r="P4613" s="17"/>
      <c r="Q4613" s="13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  <c r="AG4613" s="13"/>
      <c r="AH4613" s="13"/>
      <c r="AI4613" s="13"/>
      <c r="AJ4613" s="13"/>
      <c r="AK4613" s="13"/>
      <c r="AL4613" s="13"/>
      <c r="AM4613" s="13"/>
      <c r="AN4613" s="13"/>
      <c r="AO4613" s="13"/>
      <c r="AP4613" s="13"/>
      <c r="AQ4613" s="13"/>
      <c r="AR4613" s="13"/>
      <c r="AS4613" s="13"/>
    </row>
    <row r="4614" ht="14.25" customHeight="1">
      <c r="A4614" s="13"/>
      <c r="B4614" s="13"/>
      <c r="C4614" s="13"/>
      <c r="D4614" s="13"/>
      <c r="E4614" s="13"/>
      <c r="F4614" s="13"/>
      <c r="G4614" s="13"/>
      <c r="H4614" s="13"/>
      <c r="I4614" s="13"/>
      <c r="J4614" s="13"/>
      <c r="K4614" s="15"/>
      <c r="L4614" s="15"/>
      <c r="M4614" s="16"/>
      <c r="N4614" s="16"/>
      <c r="O4614" s="17"/>
      <c r="P4614" s="17"/>
      <c r="Q4614" s="13"/>
      <c r="R4614" s="13"/>
      <c r="S4614" s="13"/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  <c r="AG4614" s="13"/>
      <c r="AH4614" s="13"/>
      <c r="AI4614" s="13"/>
      <c r="AJ4614" s="13"/>
      <c r="AK4614" s="13"/>
      <c r="AL4614" s="13"/>
      <c r="AM4614" s="13"/>
      <c r="AN4614" s="13"/>
      <c r="AO4614" s="13"/>
      <c r="AP4614" s="13"/>
      <c r="AQ4614" s="13"/>
      <c r="AR4614" s="13"/>
      <c r="AS4614" s="13"/>
    </row>
    <row r="4615" ht="14.25" customHeight="1">
      <c r="A4615" s="13"/>
      <c r="B4615" s="13"/>
      <c r="C4615" s="13"/>
      <c r="D4615" s="13"/>
      <c r="E4615" s="13"/>
      <c r="F4615" s="13"/>
      <c r="G4615" s="13"/>
      <c r="H4615" s="13"/>
      <c r="I4615" s="13"/>
      <c r="J4615" s="13"/>
      <c r="K4615" s="15"/>
      <c r="L4615" s="15"/>
      <c r="M4615" s="16"/>
      <c r="N4615" s="16"/>
      <c r="O4615" s="17"/>
      <c r="P4615" s="17"/>
      <c r="Q4615" s="13"/>
      <c r="R4615" s="13"/>
      <c r="S4615" s="13"/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13"/>
      <c r="AG4615" s="13"/>
      <c r="AH4615" s="13"/>
      <c r="AI4615" s="13"/>
      <c r="AJ4615" s="13"/>
      <c r="AK4615" s="13"/>
      <c r="AL4615" s="13"/>
      <c r="AM4615" s="13"/>
      <c r="AN4615" s="13"/>
      <c r="AO4615" s="13"/>
      <c r="AP4615" s="13"/>
      <c r="AQ4615" s="13"/>
      <c r="AR4615" s="13"/>
      <c r="AS4615" s="13"/>
    </row>
    <row r="4616" ht="14.25" customHeight="1">
      <c r="A4616" s="13"/>
      <c r="B4616" s="13"/>
      <c r="C4616" s="13"/>
      <c r="D4616" s="13"/>
      <c r="E4616" s="13"/>
      <c r="F4616" s="13"/>
      <c r="G4616" s="13"/>
      <c r="H4616" s="13"/>
      <c r="I4616" s="13"/>
      <c r="J4616" s="13"/>
      <c r="K4616" s="15"/>
      <c r="L4616" s="15"/>
      <c r="M4616" s="16"/>
      <c r="N4616" s="16"/>
      <c r="O4616" s="17"/>
      <c r="P4616" s="17"/>
      <c r="Q4616" s="13"/>
      <c r="R4616" s="13"/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  <c r="AG4616" s="13"/>
      <c r="AH4616" s="13"/>
      <c r="AI4616" s="13"/>
      <c r="AJ4616" s="13"/>
      <c r="AK4616" s="13"/>
      <c r="AL4616" s="13"/>
      <c r="AM4616" s="13"/>
      <c r="AN4616" s="13"/>
      <c r="AO4616" s="13"/>
      <c r="AP4616" s="13"/>
      <c r="AQ4616" s="13"/>
      <c r="AR4616" s="13"/>
      <c r="AS4616" s="13"/>
    </row>
    <row r="4617" ht="14.25" customHeight="1">
      <c r="A4617" s="13"/>
      <c r="B4617" s="13"/>
      <c r="C4617" s="13"/>
      <c r="D4617" s="13"/>
      <c r="E4617" s="13"/>
      <c r="F4617" s="13"/>
      <c r="G4617" s="13"/>
      <c r="H4617" s="13"/>
      <c r="I4617" s="13"/>
      <c r="J4617" s="13"/>
      <c r="K4617" s="15"/>
      <c r="L4617" s="15"/>
      <c r="M4617" s="16"/>
      <c r="N4617" s="16"/>
      <c r="O4617" s="17"/>
      <c r="P4617" s="17"/>
      <c r="Q4617" s="13"/>
      <c r="R4617" s="13"/>
      <c r="S4617" s="13"/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F4617" s="13"/>
      <c r="AG4617" s="13"/>
      <c r="AH4617" s="13"/>
      <c r="AI4617" s="13"/>
      <c r="AJ4617" s="13"/>
      <c r="AK4617" s="13"/>
      <c r="AL4617" s="13"/>
      <c r="AM4617" s="13"/>
      <c r="AN4617" s="13"/>
      <c r="AO4617" s="13"/>
      <c r="AP4617" s="13"/>
      <c r="AQ4617" s="13"/>
      <c r="AR4617" s="13"/>
      <c r="AS4617" s="13"/>
    </row>
    <row r="4618" ht="14.25" customHeight="1">
      <c r="A4618" s="13"/>
      <c r="B4618" s="13"/>
      <c r="C4618" s="13"/>
      <c r="D4618" s="13"/>
      <c r="E4618" s="13"/>
      <c r="F4618" s="13"/>
      <c r="G4618" s="13"/>
      <c r="H4618" s="13"/>
      <c r="I4618" s="13"/>
      <c r="J4618" s="13"/>
      <c r="K4618" s="15"/>
      <c r="L4618" s="15"/>
      <c r="M4618" s="16"/>
      <c r="N4618" s="16"/>
      <c r="O4618" s="17"/>
      <c r="P4618" s="17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  <c r="AG4618" s="13"/>
      <c r="AH4618" s="13"/>
      <c r="AI4618" s="13"/>
      <c r="AJ4618" s="13"/>
      <c r="AK4618" s="13"/>
      <c r="AL4618" s="13"/>
      <c r="AM4618" s="13"/>
      <c r="AN4618" s="13"/>
      <c r="AO4618" s="13"/>
      <c r="AP4618" s="13"/>
      <c r="AQ4618" s="13"/>
      <c r="AR4618" s="13"/>
      <c r="AS4618" s="13"/>
    </row>
    <row r="4619" ht="14.25" customHeight="1">
      <c r="A4619" s="13"/>
      <c r="B4619" s="13"/>
      <c r="C4619" s="13"/>
      <c r="D4619" s="13"/>
      <c r="E4619" s="13"/>
      <c r="F4619" s="13"/>
      <c r="G4619" s="13"/>
      <c r="H4619" s="13"/>
      <c r="I4619" s="13"/>
      <c r="J4619" s="13"/>
      <c r="K4619" s="15"/>
      <c r="L4619" s="15"/>
      <c r="M4619" s="16"/>
      <c r="N4619" s="16"/>
      <c r="O4619" s="17"/>
      <c r="P4619" s="17"/>
      <c r="Q4619" s="13"/>
      <c r="R4619" s="13"/>
      <c r="S4619" s="13"/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  <c r="AG4619" s="13"/>
      <c r="AH4619" s="13"/>
      <c r="AI4619" s="13"/>
      <c r="AJ4619" s="13"/>
      <c r="AK4619" s="13"/>
      <c r="AL4619" s="13"/>
      <c r="AM4619" s="13"/>
      <c r="AN4619" s="13"/>
      <c r="AO4619" s="13"/>
      <c r="AP4619" s="13"/>
      <c r="AQ4619" s="13"/>
      <c r="AR4619" s="13"/>
      <c r="AS4619" s="13"/>
    </row>
    <row r="4620" ht="14.25" customHeight="1">
      <c r="A4620" s="13"/>
      <c r="B4620" s="13"/>
      <c r="C4620" s="13"/>
      <c r="D4620" s="13"/>
      <c r="E4620" s="13"/>
      <c r="F4620" s="13"/>
      <c r="G4620" s="13"/>
      <c r="H4620" s="13"/>
      <c r="I4620" s="13"/>
      <c r="J4620" s="13"/>
      <c r="K4620" s="15"/>
      <c r="L4620" s="15"/>
      <c r="M4620" s="16"/>
      <c r="N4620" s="16"/>
      <c r="O4620" s="17"/>
      <c r="P4620" s="17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  <c r="AG4620" s="13"/>
      <c r="AH4620" s="13"/>
      <c r="AI4620" s="13"/>
      <c r="AJ4620" s="13"/>
      <c r="AK4620" s="13"/>
      <c r="AL4620" s="13"/>
      <c r="AM4620" s="13"/>
      <c r="AN4620" s="13"/>
      <c r="AO4620" s="13"/>
      <c r="AP4620" s="13"/>
      <c r="AQ4620" s="13"/>
      <c r="AR4620" s="13"/>
      <c r="AS4620" s="13"/>
    </row>
    <row r="4621" ht="14.25" customHeight="1">
      <c r="A4621" s="13"/>
      <c r="B4621" s="13"/>
      <c r="C4621" s="13"/>
      <c r="D4621" s="13"/>
      <c r="E4621" s="13"/>
      <c r="F4621" s="13"/>
      <c r="G4621" s="13"/>
      <c r="H4621" s="13"/>
      <c r="I4621" s="13"/>
      <c r="J4621" s="13"/>
      <c r="K4621" s="15"/>
      <c r="L4621" s="15"/>
      <c r="M4621" s="16"/>
      <c r="N4621" s="16"/>
      <c r="O4621" s="17"/>
      <c r="P4621" s="17"/>
      <c r="Q4621" s="13"/>
      <c r="R4621" s="13"/>
      <c r="S4621" s="13"/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  <c r="AG4621" s="13"/>
      <c r="AH4621" s="13"/>
      <c r="AI4621" s="13"/>
      <c r="AJ4621" s="13"/>
      <c r="AK4621" s="13"/>
      <c r="AL4621" s="13"/>
      <c r="AM4621" s="13"/>
      <c r="AN4621" s="13"/>
      <c r="AO4621" s="13"/>
      <c r="AP4621" s="13"/>
      <c r="AQ4621" s="13"/>
      <c r="AR4621" s="13"/>
      <c r="AS4621" s="13"/>
    </row>
    <row r="4622" ht="14.25" customHeight="1">
      <c r="A4622" s="13"/>
      <c r="B4622" s="13"/>
      <c r="C4622" s="13"/>
      <c r="D4622" s="13"/>
      <c r="E4622" s="13"/>
      <c r="F4622" s="13"/>
      <c r="G4622" s="13"/>
      <c r="H4622" s="13"/>
      <c r="I4622" s="13"/>
      <c r="J4622" s="13"/>
      <c r="K4622" s="15"/>
      <c r="L4622" s="15"/>
      <c r="M4622" s="16"/>
      <c r="N4622" s="16"/>
      <c r="O4622" s="17"/>
      <c r="P4622" s="17"/>
      <c r="Q4622" s="13"/>
      <c r="R4622" s="13"/>
      <c r="S4622" s="13"/>
      <c r="T4622" s="13"/>
      <c r="U4622" s="13"/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  <c r="AG4622" s="13"/>
      <c r="AH4622" s="13"/>
      <c r="AI4622" s="13"/>
      <c r="AJ4622" s="13"/>
      <c r="AK4622" s="13"/>
      <c r="AL4622" s="13"/>
      <c r="AM4622" s="13"/>
      <c r="AN4622" s="13"/>
      <c r="AO4622" s="13"/>
      <c r="AP4622" s="13"/>
      <c r="AQ4622" s="13"/>
      <c r="AR4622" s="13"/>
      <c r="AS4622" s="13"/>
    </row>
    <row r="4623" ht="14.25" customHeight="1">
      <c r="A4623" s="13"/>
      <c r="B4623" s="13"/>
      <c r="C4623" s="13"/>
      <c r="D4623" s="13"/>
      <c r="E4623" s="13"/>
      <c r="F4623" s="13"/>
      <c r="G4623" s="13"/>
      <c r="H4623" s="13"/>
      <c r="I4623" s="13"/>
      <c r="J4623" s="13"/>
      <c r="K4623" s="15"/>
      <c r="L4623" s="15"/>
      <c r="M4623" s="16"/>
      <c r="N4623" s="16"/>
      <c r="O4623" s="17"/>
      <c r="P4623" s="17"/>
      <c r="Q4623" s="13"/>
      <c r="R4623" s="13"/>
      <c r="S4623" s="13"/>
      <c r="T4623" s="13"/>
      <c r="U4623" s="13"/>
      <c r="V4623" s="13"/>
      <c r="W4623" s="13"/>
      <c r="X4623" s="13"/>
      <c r="Y4623" s="13"/>
      <c r="Z4623" s="13"/>
      <c r="AA4623" s="13"/>
      <c r="AB4623" s="13"/>
      <c r="AC4623" s="13"/>
      <c r="AD4623" s="13"/>
      <c r="AE4623" s="13"/>
      <c r="AF4623" s="13"/>
      <c r="AG4623" s="13"/>
      <c r="AH4623" s="13"/>
      <c r="AI4623" s="13"/>
      <c r="AJ4623" s="13"/>
      <c r="AK4623" s="13"/>
      <c r="AL4623" s="13"/>
      <c r="AM4623" s="13"/>
      <c r="AN4623" s="13"/>
      <c r="AO4623" s="13"/>
      <c r="AP4623" s="13"/>
      <c r="AQ4623" s="13"/>
      <c r="AR4623" s="13"/>
      <c r="AS4623" s="13"/>
    </row>
    <row r="4624" ht="14.25" customHeight="1">
      <c r="A4624" s="13"/>
      <c r="B4624" s="13"/>
      <c r="C4624" s="13"/>
      <c r="D4624" s="13"/>
      <c r="E4624" s="13"/>
      <c r="F4624" s="13"/>
      <c r="G4624" s="13"/>
      <c r="H4624" s="13"/>
      <c r="I4624" s="13"/>
      <c r="J4624" s="13"/>
      <c r="K4624" s="15"/>
      <c r="L4624" s="15"/>
      <c r="M4624" s="16"/>
      <c r="N4624" s="16"/>
      <c r="O4624" s="17"/>
      <c r="P4624" s="17"/>
      <c r="Q4624" s="13"/>
      <c r="R4624" s="13"/>
      <c r="S4624" s="13"/>
      <c r="T4624" s="13"/>
      <c r="U4624" s="13"/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  <c r="AG4624" s="13"/>
      <c r="AH4624" s="13"/>
      <c r="AI4624" s="13"/>
      <c r="AJ4624" s="13"/>
      <c r="AK4624" s="13"/>
      <c r="AL4624" s="13"/>
      <c r="AM4624" s="13"/>
      <c r="AN4624" s="13"/>
      <c r="AO4624" s="13"/>
      <c r="AP4624" s="13"/>
      <c r="AQ4624" s="13"/>
      <c r="AR4624" s="13"/>
      <c r="AS4624" s="13"/>
    </row>
    <row r="4625" ht="14.25" customHeight="1">
      <c r="A4625" s="13"/>
      <c r="B4625" s="13"/>
      <c r="C4625" s="13"/>
      <c r="D4625" s="13"/>
      <c r="E4625" s="13"/>
      <c r="F4625" s="13"/>
      <c r="G4625" s="13"/>
      <c r="H4625" s="13"/>
      <c r="I4625" s="13"/>
      <c r="J4625" s="13"/>
      <c r="K4625" s="15"/>
      <c r="L4625" s="15"/>
      <c r="M4625" s="16"/>
      <c r="N4625" s="16"/>
      <c r="O4625" s="17"/>
      <c r="P4625" s="17"/>
      <c r="Q4625" s="13"/>
      <c r="R4625" s="13"/>
      <c r="S4625" s="13"/>
      <c r="T4625" s="13"/>
      <c r="U4625" s="13"/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  <c r="AG4625" s="13"/>
      <c r="AH4625" s="13"/>
      <c r="AI4625" s="13"/>
      <c r="AJ4625" s="13"/>
      <c r="AK4625" s="13"/>
      <c r="AL4625" s="13"/>
      <c r="AM4625" s="13"/>
      <c r="AN4625" s="13"/>
      <c r="AO4625" s="13"/>
      <c r="AP4625" s="13"/>
      <c r="AQ4625" s="13"/>
      <c r="AR4625" s="13"/>
      <c r="AS4625" s="13"/>
    </row>
    <row r="4626" ht="14.25" customHeight="1">
      <c r="A4626" s="13"/>
      <c r="B4626" s="13"/>
      <c r="C4626" s="13"/>
      <c r="D4626" s="13"/>
      <c r="E4626" s="13"/>
      <c r="F4626" s="13"/>
      <c r="G4626" s="13"/>
      <c r="H4626" s="13"/>
      <c r="I4626" s="13"/>
      <c r="J4626" s="13"/>
      <c r="K4626" s="15"/>
      <c r="L4626" s="15"/>
      <c r="M4626" s="16"/>
      <c r="N4626" s="16"/>
      <c r="O4626" s="17"/>
      <c r="P4626" s="17"/>
      <c r="Q4626" s="13"/>
      <c r="R4626" s="13"/>
      <c r="S4626" s="13"/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  <c r="AG4626" s="13"/>
      <c r="AH4626" s="13"/>
      <c r="AI4626" s="13"/>
      <c r="AJ4626" s="13"/>
      <c r="AK4626" s="13"/>
      <c r="AL4626" s="13"/>
      <c r="AM4626" s="13"/>
      <c r="AN4626" s="13"/>
      <c r="AO4626" s="13"/>
      <c r="AP4626" s="13"/>
      <c r="AQ4626" s="13"/>
      <c r="AR4626" s="13"/>
      <c r="AS4626" s="13"/>
    </row>
    <row r="4627" ht="14.25" customHeight="1">
      <c r="A4627" s="13"/>
      <c r="B4627" s="13"/>
      <c r="C4627" s="13"/>
      <c r="D4627" s="13"/>
      <c r="E4627" s="13"/>
      <c r="F4627" s="13"/>
      <c r="G4627" s="13"/>
      <c r="H4627" s="13"/>
      <c r="I4627" s="13"/>
      <c r="J4627" s="13"/>
      <c r="K4627" s="15"/>
      <c r="L4627" s="15"/>
      <c r="M4627" s="16"/>
      <c r="N4627" s="16"/>
      <c r="O4627" s="17"/>
      <c r="P4627" s="17"/>
      <c r="Q4627" s="13"/>
      <c r="R4627" s="13"/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  <c r="AG4627" s="13"/>
      <c r="AH4627" s="13"/>
      <c r="AI4627" s="13"/>
      <c r="AJ4627" s="13"/>
      <c r="AK4627" s="13"/>
      <c r="AL4627" s="13"/>
      <c r="AM4627" s="13"/>
      <c r="AN4627" s="13"/>
      <c r="AO4627" s="13"/>
      <c r="AP4627" s="13"/>
      <c r="AQ4627" s="13"/>
      <c r="AR4627" s="13"/>
      <c r="AS4627" s="13"/>
    </row>
    <row r="4628" ht="14.25" customHeight="1">
      <c r="A4628" s="13"/>
      <c r="B4628" s="13"/>
      <c r="C4628" s="13"/>
      <c r="D4628" s="13"/>
      <c r="E4628" s="13"/>
      <c r="F4628" s="13"/>
      <c r="G4628" s="13"/>
      <c r="H4628" s="13"/>
      <c r="I4628" s="13"/>
      <c r="J4628" s="13"/>
      <c r="K4628" s="15"/>
      <c r="L4628" s="15"/>
      <c r="M4628" s="16"/>
      <c r="N4628" s="16"/>
      <c r="O4628" s="17"/>
      <c r="P4628" s="17"/>
      <c r="Q4628" s="13"/>
      <c r="R4628" s="13"/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  <c r="AG4628" s="13"/>
      <c r="AH4628" s="13"/>
      <c r="AI4628" s="13"/>
      <c r="AJ4628" s="13"/>
      <c r="AK4628" s="13"/>
      <c r="AL4628" s="13"/>
      <c r="AM4628" s="13"/>
      <c r="AN4628" s="13"/>
      <c r="AO4628" s="13"/>
      <c r="AP4628" s="13"/>
      <c r="AQ4628" s="13"/>
      <c r="AR4628" s="13"/>
      <c r="AS4628" s="13"/>
    </row>
    <row r="4629" ht="14.25" customHeight="1">
      <c r="A4629" s="13"/>
      <c r="B4629" s="13"/>
      <c r="C4629" s="13"/>
      <c r="D4629" s="13"/>
      <c r="E4629" s="13"/>
      <c r="F4629" s="13"/>
      <c r="G4629" s="13"/>
      <c r="H4629" s="13"/>
      <c r="I4629" s="13"/>
      <c r="J4629" s="13"/>
      <c r="K4629" s="15"/>
      <c r="L4629" s="15"/>
      <c r="M4629" s="16"/>
      <c r="N4629" s="16"/>
      <c r="O4629" s="17"/>
      <c r="P4629" s="17"/>
      <c r="Q4629" s="13"/>
      <c r="R4629" s="13"/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  <c r="AG4629" s="13"/>
      <c r="AH4629" s="13"/>
      <c r="AI4629" s="13"/>
      <c r="AJ4629" s="13"/>
      <c r="AK4629" s="13"/>
      <c r="AL4629" s="13"/>
      <c r="AM4629" s="13"/>
      <c r="AN4629" s="13"/>
      <c r="AO4629" s="13"/>
      <c r="AP4629" s="13"/>
      <c r="AQ4629" s="13"/>
      <c r="AR4629" s="13"/>
      <c r="AS4629" s="13"/>
    </row>
    <row r="4630" ht="14.25" customHeight="1">
      <c r="A4630" s="13"/>
      <c r="B4630" s="13"/>
      <c r="C4630" s="13"/>
      <c r="D4630" s="13"/>
      <c r="E4630" s="13"/>
      <c r="F4630" s="13"/>
      <c r="G4630" s="13"/>
      <c r="H4630" s="13"/>
      <c r="I4630" s="13"/>
      <c r="J4630" s="13"/>
      <c r="K4630" s="15"/>
      <c r="L4630" s="15"/>
      <c r="M4630" s="16"/>
      <c r="N4630" s="16"/>
      <c r="O4630" s="17"/>
      <c r="P4630" s="17"/>
      <c r="Q4630" s="13"/>
      <c r="R4630" s="13"/>
      <c r="S4630" s="13"/>
      <c r="T4630" s="13"/>
      <c r="U4630" s="13"/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  <c r="AG4630" s="13"/>
      <c r="AH4630" s="13"/>
      <c r="AI4630" s="13"/>
      <c r="AJ4630" s="13"/>
      <c r="AK4630" s="13"/>
      <c r="AL4630" s="13"/>
      <c r="AM4630" s="13"/>
      <c r="AN4630" s="13"/>
      <c r="AO4630" s="13"/>
      <c r="AP4630" s="13"/>
      <c r="AQ4630" s="13"/>
      <c r="AR4630" s="13"/>
      <c r="AS4630" s="13"/>
    </row>
    <row r="4631" ht="14.25" customHeight="1">
      <c r="A4631" s="13"/>
      <c r="B4631" s="13"/>
      <c r="C4631" s="13"/>
      <c r="D4631" s="13"/>
      <c r="E4631" s="13"/>
      <c r="F4631" s="13"/>
      <c r="G4631" s="13"/>
      <c r="H4631" s="13"/>
      <c r="I4631" s="13"/>
      <c r="J4631" s="13"/>
      <c r="K4631" s="15"/>
      <c r="L4631" s="15"/>
      <c r="M4631" s="16"/>
      <c r="N4631" s="16"/>
      <c r="O4631" s="17"/>
      <c r="P4631" s="17"/>
      <c r="Q4631" s="13"/>
      <c r="R4631" s="13"/>
      <c r="S4631" s="13"/>
      <c r="T4631" s="13"/>
      <c r="U4631" s="13"/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  <c r="AG4631" s="13"/>
      <c r="AH4631" s="13"/>
      <c r="AI4631" s="13"/>
      <c r="AJ4631" s="13"/>
      <c r="AK4631" s="13"/>
      <c r="AL4631" s="13"/>
      <c r="AM4631" s="13"/>
      <c r="AN4631" s="13"/>
      <c r="AO4631" s="13"/>
      <c r="AP4631" s="13"/>
      <c r="AQ4631" s="13"/>
      <c r="AR4631" s="13"/>
      <c r="AS4631" s="13"/>
    </row>
    <row r="4632" ht="14.25" customHeight="1">
      <c r="A4632" s="13"/>
      <c r="B4632" s="13"/>
      <c r="C4632" s="13"/>
      <c r="D4632" s="13"/>
      <c r="E4632" s="13"/>
      <c r="F4632" s="13"/>
      <c r="G4632" s="13"/>
      <c r="H4632" s="13"/>
      <c r="I4632" s="13"/>
      <c r="J4632" s="13"/>
      <c r="K4632" s="15"/>
      <c r="L4632" s="15"/>
      <c r="M4632" s="16"/>
      <c r="N4632" s="16"/>
      <c r="O4632" s="17"/>
      <c r="P4632" s="17"/>
      <c r="Q4632" s="13"/>
      <c r="R4632" s="13"/>
      <c r="S4632" s="13"/>
      <c r="T4632" s="13"/>
      <c r="U4632" s="13"/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  <c r="AG4632" s="13"/>
      <c r="AH4632" s="13"/>
      <c r="AI4632" s="13"/>
      <c r="AJ4632" s="13"/>
      <c r="AK4632" s="13"/>
      <c r="AL4632" s="13"/>
      <c r="AM4632" s="13"/>
      <c r="AN4632" s="13"/>
      <c r="AO4632" s="13"/>
      <c r="AP4632" s="13"/>
      <c r="AQ4632" s="13"/>
      <c r="AR4632" s="13"/>
      <c r="AS4632" s="13"/>
    </row>
    <row r="4633" ht="14.25" customHeight="1">
      <c r="A4633" s="13"/>
      <c r="B4633" s="13"/>
      <c r="C4633" s="13"/>
      <c r="D4633" s="13"/>
      <c r="E4633" s="13"/>
      <c r="F4633" s="13"/>
      <c r="G4633" s="13"/>
      <c r="H4633" s="13"/>
      <c r="I4633" s="13"/>
      <c r="J4633" s="13"/>
      <c r="K4633" s="15"/>
      <c r="L4633" s="15"/>
      <c r="M4633" s="16"/>
      <c r="N4633" s="16"/>
      <c r="O4633" s="17"/>
      <c r="P4633" s="17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  <c r="AG4633" s="13"/>
      <c r="AH4633" s="13"/>
      <c r="AI4633" s="13"/>
      <c r="AJ4633" s="13"/>
      <c r="AK4633" s="13"/>
      <c r="AL4633" s="13"/>
      <c r="AM4633" s="13"/>
      <c r="AN4633" s="13"/>
      <c r="AO4633" s="13"/>
      <c r="AP4633" s="13"/>
      <c r="AQ4633" s="13"/>
      <c r="AR4633" s="13"/>
      <c r="AS4633" s="13"/>
    </row>
    <row r="4634" ht="14.25" customHeight="1">
      <c r="A4634" s="13"/>
      <c r="B4634" s="13"/>
      <c r="C4634" s="13"/>
      <c r="D4634" s="13"/>
      <c r="E4634" s="13"/>
      <c r="F4634" s="13"/>
      <c r="G4634" s="13"/>
      <c r="H4634" s="13"/>
      <c r="I4634" s="13"/>
      <c r="J4634" s="13"/>
      <c r="K4634" s="15"/>
      <c r="L4634" s="15"/>
      <c r="M4634" s="16"/>
      <c r="N4634" s="16"/>
      <c r="O4634" s="17"/>
      <c r="P4634" s="17"/>
      <c r="Q4634" s="13"/>
      <c r="R4634" s="13"/>
      <c r="S4634" s="13"/>
      <c r="T4634" s="13"/>
      <c r="U4634" s="13"/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  <c r="AG4634" s="13"/>
      <c r="AH4634" s="13"/>
      <c r="AI4634" s="13"/>
      <c r="AJ4634" s="13"/>
      <c r="AK4634" s="13"/>
      <c r="AL4634" s="13"/>
      <c r="AM4634" s="13"/>
      <c r="AN4634" s="13"/>
      <c r="AO4634" s="13"/>
      <c r="AP4634" s="13"/>
      <c r="AQ4634" s="13"/>
      <c r="AR4634" s="13"/>
      <c r="AS4634" s="13"/>
    </row>
    <row r="4635" ht="14.25" customHeight="1">
      <c r="A4635" s="13"/>
      <c r="B4635" s="13"/>
      <c r="C4635" s="13"/>
      <c r="D4635" s="13"/>
      <c r="E4635" s="13"/>
      <c r="F4635" s="13"/>
      <c r="G4635" s="13"/>
      <c r="H4635" s="13"/>
      <c r="I4635" s="13"/>
      <c r="J4635" s="13"/>
      <c r="K4635" s="15"/>
      <c r="L4635" s="15"/>
      <c r="M4635" s="16"/>
      <c r="N4635" s="16"/>
      <c r="O4635" s="17"/>
      <c r="P4635" s="17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  <c r="AG4635" s="13"/>
      <c r="AH4635" s="13"/>
      <c r="AI4635" s="13"/>
      <c r="AJ4635" s="13"/>
      <c r="AK4635" s="13"/>
      <c r="AL4635" s="13"/>
      <c r="AM4635" s="13"/>
      <c r="AN4635" s="13"/>
      <c r="AO4635" s="13"/>
      <c r="AP4635" s="13"/>
      <c r="AQ4635" s="13"/>
      <c r="AR4635" s="13"/>
      <c r="AS4635" s="13"/>
    </row>
    <row r="4636" ht="14.25" customHeight="1">
      <c r="A4636" s="13"/>
      <c r="B4636" s="13"/>
      <c r="C4636" s="13"/>
      <c r="D4636" s="13"/>
      <c r="E4636" s="13"/>
      <c r="F4636" s="13"/>
      <c r="G4636" s="13"/>
      <c r="H4636" s="13"/>
      <c r="I4636" s="13"/>
      <c r="J4636" s="13"/>
      <c r="K4636" s="15"/>
      <c r="L4636" s="15"/>
      <c r="M4636" s="16"/>
      <c r="N4636" s="16"/>
      <c r="O4636" s="17"/>
      <c r="P4636" s="17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  <c r="AG4636" s="13"/>
      <c r="AH4636" s="13"/>
      <c r="AI4636" s="13"/>
      <c r="AJ4636" s="13"/>
      <c r="AK4636" s="13"/>
      <c r="AL4636" s="13"/>
      <c r="AM4636" s="13"/>
      <c r="AN4636" s="13"/>
      <c r="AO4636" s="13"/>
      <c r="AP4636" s="13"/>
      <c r="AQ4636" s="13"/>
      <c r="AR4636" s="13"/>
      <c r="AS4636" s="13"/>
    </row>
    <row r="4637" ht="14.25" customHeight="1">
      <c r="A4637" s="13"/>
      <c r="B4637" s="13"/>
      <c r="C4637" s="13"/>
      <c r="D4637" s="13"/>
      <c r="E4637" s="13"/>
      <c r="F4637" s="13"/>
      <c r="G4637" s="13"/>
      <c r="H4637" s="13"/>
      <c r="I4637" s="13"/>
      <c r="J4637" s="13"/>
      <c r="K4637" s="15"/>
      <c r="L4637" s="15"/>
      <c r="M4637" s="16"/>
      <c r="N4637" s="16"/>
      <c r="O4637" s="17"/>
      <c r="P4637" s="17"/>
      <c r="Q4637" s="13"/>
      <c r="R4637" s="13"/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  <c r="AG4637" s="13"/>
      <c r="AH4637" s="13"/>
      <c r="AI4637" s="13"/>
      <c r="AJ4637" s="13"/>
      <c r="AK4637" s="13"/>
      <c r="AL4637" s="13"/>
      <c r="AM4637" s="13"/>
      <c r="AN4637" s="13"/>
      <c r="AO4637" s="13"/>
      <c r="AP4637" s="13"/>
      <c r="AQ4637" s="13"/>
      <c r="AR4637" s="13"/>
      <c r="AS4637" s="13"/>
    </row>
    <row r="4638" ht="14.25" customHeight="1">
      <c r="A4638" s="13"/>
      <c r="B4638" s="13"/>
      <c r="C4638" s="13"/>
      <c r="D4638" s="13"/>
      <c r="E4638" s="13"/>
      <c r="F4638" s="13"/>
      <c r="G4638" s="13"/>
      <c r="H4638" s="13"/>
      <c r="I4638" s="13"/>
      <c r="J4638" s="13"/>
      <c r="K4638" s="15"/>
      <c r="L4638" s="15"/>
      <c r="M4638" s="16"/>
      <c r="N4638" s="16"/>
      <c r="O4638" s="17"/>
      <c r="P4638" s="17"/>
      <c r="Q4638" s="13"/>
      <c r="R4638" s="13"/>
      <c r="S4638" s="13"/>
      <c r="T4638" s="13"/>
      <c r="U4638" s="13"/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F4638" s="13"/>
      <c r="AG4638" s="13"/>
      <c r="AH4638" s="13"/>
      <c r="AI4638" s="13"/>
      <c r="AJ4638" s="13"/>
      <c r="AK4638" s="13"/>
      <c r="AL4638" s="13"/>
      <c r="AM4638" s="13"/>
      <c r="AN4638" s="13"/>
      <c r="AO4638" s="13"/>
      <c r="AP4638" s="13"/>
      <c r="AQ4638" s="13"/>
      <c r="AR4638" s="13"/>
      <c r="AS4638" s="13"/>
    </row>
    <row r="4639" ht="14.25" customHeight="1">
      <c r="A4639" s="13"/>
      <c r="B4639" s="13"/>
      <c r="C4639" s="13"/>
      <c r="D4639" s="13"/>
      <c r="E4639" s="13"/>
      <c r="F4639" s="13"/>
      <c r="G4639" s="13"/>
      <c r="H4639" s="13"/>
      <c r="I4639" s="13"/>
      <c r="J4639" s="13"/>
      <c r="K4639" s="15"/>
      <c r="L4639" s="15"/>
      <c r="M4639" s="16"/>
      <c r="N4639" s="16"/>
      <c r="O4639" s="17"/>
      <c r="P4639" s="17"/>
      <c r="Q4639" s="13"/>
      <c r="R4639" s="13"/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  <c r="AG4639" s="13"/>
      <c r="AH4639" s="13"/>
      <c r="AI4639" s="13"/>
      <c r="AJ4639" s="13"/>
      <c r="AK4639" s="13"/>
      <c r="AL4639" s="13"/>
      <c r="AM4639" s="13"/>
      <c r="AN4639" s="13"/>
      <c r="AO4639" s="13"/>
      <c r="AP4639" s="13"/>
      <c r="AQ4639" s="13"/>
      <c r="AR4639" s="13"/>
      <c r="AS4639" s="13"/>
    </row>
    <row r="4640" ht="14.25" customHeight="1">
      <c r="A4640" s="13"/>
      <c r="B4640" s="13"/>
      <c r="C4640" s="13"/>
      <c r="D4640" s="13"/>
      <c r="E4640" s="13"/>
      <c r="F4640" s="13"/>
      <c r="G4640" s="13"/>
      <c r="H4640" s="13"/>
      <c r="I4640" s="13"/>
      <c r="J4640" s="13"/>
      <c r="K4640" s="15"/>
      <c r="L4640" s="15"/>
      <c r="M4640" s="16"/>
      <c r="N4640" s="16"/>
      <c r="O4640" s="17"/>
      <c r="P4640" s="17"/>
      <c r="Q4640" s="13"/>
      <c r="R4640" s="13"/>
      <c r="S4640" s="13"/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  <c r="AG4640" s="13"/>
      <c r="AH4640" s="13"/>
      <c r="AI4640" s="13"/>
      <c r="AJ4640" s="13"/>
      <c r="AK4640" s="13"/>
      <c r="AL4640" s="13"/>
      <c r="AM4640" s="13"/>
      <c r="AN4640" s="13"/>
      <c r="AO4640" s="13"/>
      <c r="AP4640" s="13"/>
      <c r="AQ4640" s="13"/>
      <c r="AR4640" s="13"/>
      <c r="AS4640" s="13"/>
    </row>
    <row r="4641" ht="14.25" customHeight="1">
      <c r="A4641" s="13"/>
      <c r="B4641" s="13"/>
      <c r="C4641" s="13"/>
      <c r="D4641" s="13"/>
      <c r="E4641" s="13"/>
      <c r="F4641" s="13"/>
      <c r="G4641" s="13"/>
      <c r="H4641" s="13"/>
      <c r="I4641" s="13"/>
      <c r="J4641" s="13"/>
      <c r="K4641" s="15"/>
      <c r="L4641" s="15"/>
      <c r="M4641" s="16"/>
      <c r="N4641" s="16"/>
      <c r="O4641" s="17"/>
      <c r="P4641" s="17"/>
      <c r="Q4641" s="13"/>
      <c r="R4641" s="13"/>
      <c r="S4641" s="13"/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  <c r="AG4641" s="13"/>
      <c r="AH4641" s="13"/>
      <c r="AI4641" s="13"/>
      <c r="AJ4641" s="13"/>
      <c r="AK4641" s="13"/>
      <c r="AL4641" s="13"/>
      <c r="AM4641" s="13"/>
      <c r="AN4641" s="13"/>
      <c r="AO4641" s="13"/>
      <c r="AP4641" s="13"/>
      <c r="AQ4641" s="13"/>
      <c r="AR4641" s="13"/>
      <c r="AS4641" s="13"/>
    </row>
    <row r="4642" ht="14.25" customHeight="1">
      <c r="A4642" s="13"/>
      <c r="B4642" s="13"/>
      <c r="C4642" s="13"/>
      <c r="D4642" s="13"/>
      <c r="E4642" s="13"/>
      <c r="F4642" s="13"/>
      <c r="G4642" s="13"/>
      <c r="H4642" s="13"/>
      <c r="I4642" s="13"/>
      <c r="J4642" s="13"/>
      <c r="K4642" s="15"/>
      <c r="L4642" s="15"/>
      <c r="M4642" s="16"/>
      <c r="N4642" s="16"/>
      <c r="O4642" s="17"/>
      <c r="P4642" s="17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  <c r="AG4642" s="13"/>
      <c r="AH4642" s="13"/>
      <c r="AI4642" s="13"/>
      <c r="AJ4642" s="13"/>
      <c r="AK4642" s="13"/>
      <c r="AL4642" s="13"/>
      <c r="AM4642" s="13"/>
      <c r="AN4642" s="13"/>
      <c r="AO4642" s="13"/>
      <c r="AP4642" s="13"/>
      <c r="AQ4642" s="13"/>
      <c r="AR4642" s="13"/>
      <c r="AS4642" s="13"/>
    </row>
    <row r="4643" ht="14.25" customHeight="1">
      <c r="A4643" s="13"/>
      <c r="B4643" s="13"/>
      <c r="C4643" s="13"/>
      <c r="D4643" s="13"/>
      <c r="E4643" s="13"/>
      <c r="F4643" s="13"/>
      <c r="G4643" s="13"/>
      <c r="H4643" s="13"/>
      <c r="I4643" s="13"/>
      <c r="J4643" s="13"/>
      <c r="K4643" s="15"/>
      <c r="L4643" s="15"/>
      <c r="M4643" s="16"/>
      <c r="N4643" s="16"/>
      <c r="O4643" s="17"/>
      <c r="P4643" s="17"/>
      <c r="Q4643" s="13"/>
      <c r="R4643" s="13"/>
      <c r="S4643" s="13"/>
      <c r="T4643" s="13"/>
      <c r="U4643" s="13"/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  <c r="AG4643" s="13"/>
      <c r="AH4643" s="13"/>
      <c r="AI4643" s="13"/>
      <c r="AJ4643" s="13"/>
      <c r="AK4643" s="13"/>
      <c r="AL4643" s="13"/>
      <c r="AM4643" s="13"/>
      <c r="AN4643" s="13"/>
      <c r="AO4643" s="13"/>
      <c r="AP4643" s="13"/>
      <c r="AQ4643" s="13"/>
      <c r="AR4643" s="13"/>
      <c r="AS4643" s="13"/>
    </row>
    <row r="4644" ht="14.25" customHeight="1">
      <c r="A4644" s="13"/>
      <c r="B4644" s="13"/>
      <c r="C4644" s="13"/>
      <c r="D4644" s="13"/>
      <c r="E4644" s="13"/>
      <c r="F4644" s="13"/>
      <c r="G4644" s="13"/>
      <c r="H4644" s="13"/>
      <c r="I4644" s="13"/>
      <c r="J4644" s="13"/>
      <c r="K4644" s="15"/>
      <c r="L4644" s="15"/>
      <c r="M4644" s="16"/>
      <c r="N4644" s="16"/>
      <c r="O4644" s="17"/>
      <c r="P4644" s="17"/>
      <c r="Q4644" s="13"/>
      <c r="R4644" s="13"/>
      <c r="S4644" s="13"/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  <c r="AG4644" s="13"/>
      <c r="AH4644" s="13"/>
      <c r="AI4644" s="13"/>
      <c r="AJ4644" s="13"/>
      <c r="AK4644" s="13"/>
      <c r="AL4644" s="13"/>
      <c r="AM4644" s="13"/>
      <c r="AN4644" s="13"/>
      <c r="AO4644" s="13"/>
      <c r="AP4644" s="13"/>
      <c r="AQ4644" s="13"/>
      <c r="AR4644" s="13"/>
      <c r="AS4644" s="13"/>
    </row>
    <row r="4645" ht="14.25" customHeight="1">
      <c r="A4645" s="13"/>
      <c r="B4645" s="13"/>
      <c r="C4645" s="13"/>
      <c r="D4645" s="13"/>
      <c r="E4645" s="13"/>
      <c r="F4645" s="13"/>
      <c r="G4645" s="13"/>
      <c r="H4645" s="13"/>
      <c r="I4645" s="13"/>
      <c r="J4645" s="13"/>
      <c r="K4645" s="15"/>
      <c r="L4645" s="15"/>
      <c r="M4645" s="16"/>
      <c r="N4645" s="16"/>
      <c r="O4645" s="17"/>
      <c r="P4645" s="17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  <c r="AG4645" s="13"/>
      <c r="AH4645" s="13"/>
      <c r="AI4645" s="13"/>
      <c r="AJ4645" s="13"/>
      <c r="AK4645" s="13"/>
      <c r="AL4645" s="13"/>
      <c r="AM4645" s="13"/>
      <c r="AN4645" s="13"/>
      <c r="AO4645" s="13"/>
      <c r="AP4645" s="13"/>
      <c r="AQ4645" s="13"/>
      <c r="AR4645" s="13"/>
      <c r="AS4645" s="13"/>
    </row>
    <row r="4646" ht="14.25" customHeight="1">
      <c r="A4646" s="13"/>
      <c r="B4646" s="13"/>
      <c r="C4646" s="13"/>
      <c r="D4646" s="13"/>
      <c r="E4646" s="13"/>
      <c r="F4646" s="13"/>
      <c r="G4646" s="13"/>
      <c r="H4646" s="13"/>
      <c r="I4646" s="13"/>
      <c r="J4646" s="13"/>
      <c r="K4646" s="15"/>
      <c r="L4646" s="15"/>
      <c r="M4646" s="16"/>
      <c r="N4646" s="16"/>
      <c r="O4646" s="17"/>
      <c r="P4646" s="17"/>
      <c r="Q4646" s="13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  <c r="AG4646" s="13"/>
      <c r="AH4646" s="13"/>
      <c r="AI4646" s="13"/>
      <c r="AJ4646" s="13"/>
      <c r="AK4646" s="13"/>
      <c r="AL4646" s="13"/>
      <c r="AM4646" s="13"/>
      <c r="AN4646" s="13"/>
      <c r="AO4646" s="13"/>
      <c r="AP4646" s="13"/>
      <c r="AQ4646" s="13"/>
      <c r="AR4646" s="13"/>
      <c r="AS4646" s="13"/>
    </row>
    <row r="4647" ht="14.25" customHeight="1">
      <c r="A4647" s="13"/>
      <c r="B4647" s="13"/>
      <c r="C4647" s="13"/>
      <c r="D4647" s="13"/>
      <c r="E4647" s="13"/>
      <c r="F4647" s="13"/>
      <c r="G4647" s="13"/>
      <c r="H4647" s="13"/>
      <c r="I4647" s="13"/>
      <c r="J4647" s="13"/>
      <c r="K4647" s="15"/>
      <c r="L4647" s="15"/>
      <c r="M4647" s="16"/>
      <c r="N4647" s="16"/>
      <c r="O4647" s="17"/>
      <c r="P4647" s="17"/>
      <c r="Q4647" s="13"/>
      <c r="R4647" s="13"/>
      <c r="S4647" s="13"/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  <c r="AG4647" s="13"/>
      <c r="AH4647" s="13"/>
      <c r="AI4647" s="13"/>
      <c r="AJ4647" s="13"/>
      <c r="AK4647" s="13"/>
      <c r="AL4647" s="13"/>
      <c r="AM4647" s="13"/>
      <c r="AN4647" s="13"/>
      <c r="AO4647" s="13"/>
      <c r="AP4647" s="13"/>
      <c r="AQ4647" s="13"/>
      <c r="AR4647" s="13"/>
      <c r="AS4647" s="13"/>
    </row>
    <row r="4648" ht="14.25" customHeight="1">
      <c r="A4648" s="13"/>
      <c r="B4648" s="13"/>
      <c r="C4648" s="13"/>
      <c r="D4648" s="13"/>
      <c r="E4648" s="13"/>
      <c r="F4648" s="13"/>
      <c r="G4648" s="13"/>
      <c r="H4648" s="13"/>
      <c r="I4648" s="13"/>
      <c r="J4648" s="13"/>
      <c r="K4648" s="15"/>
      <c r="L4648" s="15"/>
      <c r="M4648" s="16"/>
      <c r="N4648" s="16"/>
      <c r="O4648" s="17"/>
      <c r="P4648" s="17"/>
      <c r="Q4648" s="13"/>
      <c r="R4648" s="13"/>
      <c r="S4648" s="13"/>
      <c r="T4648" s="13"/>
      <c r="U4648" s="13"/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  <c r="AG4648" s="13"/>
      <c r="AH4648" s="13"/>
      <c r="AI4648" s="13"/>
      <c r="AJ4648" s="13"/>
      <c r="AK4648" s="13"/>
      <c r="AL4648" s="13"/>
      <c r="AM4648" s="13"/>
      <c r="AN4648" s="13"/>
      <c r="AO4648" s="13"/>
      <c r="AP4648" s="13"/>
      <c r="AQ4648" s="13"/>
      <c r="AR4648" s="13"/>
      <c r="AS4648" s="13"/>
    </row>
    <row r="4649" ht="14.25" customHeight="1">
      <c r="A4649" s="13"/>
      <c r="B4649" s="13"/>
      <c r="C4649" s="13"/>
      <c r="D4649" s="13"/>
      <c r="E4649" s="13"/>
      <c r="F4649" s="13"/>
      <c r="G4649" s="13"/>
      <c r="H4649" s="13"/>
      <c r="I4649" s="13"/>
      <c r="J4649" s="13"/>
      <c r="K4649" s="15"/>
      <c r="L4649" s="15"/>
      <c r="M4649" s="16"/>
      <c r="N4649" s="16"/>
      <c r="O4649" s="17"/>
      <c r="P4649" s="17"/>
      <c r="Q4649" s="13"/>
      <c r="R4649" s="13"/>
      <c r="S4649" s="13"/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  <c r="AG4649" s="13"/>
      <c r="AH4649" s="13"/>
      <c r="AI4649" s="13"/>
      <c r="AJ4649" s="13"/>
      <c r="AK4649" s="13"/>
      <c r="AL4649" s="13"/>
      <c r="AM4649" s="13"/>
      <c r="AN4649" s="13"/>
      <c r="AO4649" s="13"/>
      <c r="AP4649" s="13"/>
      <c r="AQ4649" s="13"/>
      <c r="AR4649" s="13"/>
      <c r="AS4649" s="13"/>
    </row>
    <row r="4650" ht="14.25" customHeight="1">
      <c r="A4650" s="13"/>
      <c r="B4650" s="13"/>
      <c r="C4650" s="13"/>
      <c r="D4650" s="13"/>
      <c r="E4650" s="13"/>
      <c r="F4650" s="13"/>
      <c r="G4650" s="13"/>
      <c r="H4650" s="13"/>
      <c r="I4650" s="13"/>
      <c r="J4650" s="13"/>
      <c r="K4650" s="15"/>
      <c r="L4650" s="15"/>
      <c r="M4650" s="16"/>
      <c r="N4650" s="16"/>
      <c r="O4650" s="17"/>
      <c r="P4650" s="17"/>
      <c r="Q4650" s="13"/>
      <c r="R4650" s="13"/>
      <c r="S4650" s="13"/>
      <c r="T4650" s="13"/>
      <c r="U4650" s="13"/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  <c r="AG4650" s="13"/>
      <c r="AH4650" s="13"/>
      <c r="AI4650" s="13"/>
      <c r="AJ4650" s="13"/>
      <c r="AK4650" s="13"/>
      <c r="AL4650" s="13"/>
      <c r="AM4650" s="13"/>
      <c r="AN4650" s="13"/>
      <c r="AO4650" s="13"/>
      <c r="AP4650" s="13"/>
      <c r="AQ4650" s="13"/>
      <c r="AR4650" s="13"/>
      <c r="AS4650" s="13"/>
    </row>
    <row r="4651" ht="14.25" customHeight="1">
      <c r="A4651" s="13"/>
      <c r="B4651" s="13"/>
      <c r="C4651" s="13"/>
      <c r="D4651" s="13"/>
      <c r="E4651" s="13"/>
      <c r="F4651" s="13"/>
      <c r="G4651" s="13"/>
      <c r="H4651" s="13"/>
      <c r="I4651" s="13"/>
      <c r="J4651" s="13"/>
      <c r="K4651" s="15"/>
      <c r="L4651" s="15"/>
      <c r="M4651" s="16"/>
      <c r="N4651" s="16"/>
      <c r="O4651" s="17"/>
      <c r="P4651" s="17"/>
      <c r="Q4651" s="13"/>
      <c r="R4651" s="13"/>
      <c r="S4651" s="13"/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  <c r="AG4651" s="13"/>
      <c r="AH4651" s="13"/>
      <c r="AI4651" s="13"/>
      <c r="AJ4651" s="13"/>
      <c r="AK4651" s="13"/>
      <c r="AL4651" s="13"/>
      <c r="AM4651" s="13"/>
      <c r="AN4651" s="13"/>
      <c r="AO4651" s="13"/>
      <c r="AP4651" s="13"/>
      <c r="AQ4651" s="13"/>
      <c r="AR4651" s="13"/>
      <c r="AS4651" s="13"/>
    </row>
    <row r="4652" ht="14.25" customHeight="1">
      <c r="A4652" s="13"/>
      <c r="B4652" s="13"/>
      <c r="C4652" s="13"/>
      <c r="D4652" s="13"/>
      <c r="E4652" s="13"/>
      <c r="F4652" s="13"/>
      <c r="G4652" s="13"/>
      <c r="H4652" s="13"/>
      <c r="I4652" s="13"/>
      <c r="J4652" s="13"/>
      <c r="K4652" s="15"/>
      <c r="L4652" s="15"/>
      <c r="M4652" s="16"/>
      <c r="N4652" s="16"/>
      <c r="O4652" s="17"/>
      <c r="P4652" s="17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  <c r="AG4652" s="13"/>
      <c r="AH4652" s="13"/>
      <c r="AI4652" s="13"/>
      <c r="AJ4652" s="13"/>
      <c r="AK4652" s="13"/>
      <c r="AL4652" s="13"/>
      <c r="AM4652" s="13"/>
      <c r="AN4652" s="13"/>
      <c r="AO4652" s="13"/>
      <c r="AP4652" s="13"/>
      <c r="AQ4652" s="13"/>
      <c r="AR4652" s="13"/>
      <c r="AS4652" s="13"/>
    </row>
    <row r="4653" ht="14.25" customHeight="1">
      <c r="A4653" s="13"/>
      <c r="B4653" s="13"/>
      <c r="C4653" s="13"/>
      <c r="D4653" s="13"/>
      <c r="E4653" s="13"/>
      <c r="F4653" s="13"/>
      <c r="G4653" s="13"/>
      <c r="H4653" s="13"/>
      <c r="I4653" s="13"/>
      <c r="J4653" s="13"/>
      <c r="K4653" s="15"/>
      <c r="L4653" s="15"/>
      <c r="M4653" s="16"/>
      <c r="N4653" s="16"/>
      <c r="O4653" s="17"/>
      <c r="P4653" s="17"/>
      <c r="Q4653" s="13"/>
      <c r="R4653" s="13"/>
      <c r="S4653" s="13"/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3"/>
      <c r="AD4653" s="13"/>
      <c r="AE4653" s="13"/>
      <c r="AF4653" s="13"/>
      <c r="AG4653" s="13"/>
      <c r="AH4653" s="13"/>
      <c r="AI4653" s="13"/>
      <c r="AJ4653" s="13"/>
      <c r="AK4653" s="13"/>
      <c r="AL4653" s="13"/>
      <c r="AM4653" s="13"/>
      <c r="AN4653" s="13"/>
      <c r="AO4653" s="13"/>
      <c r="AP4653" s="13"/>
      <c r="AQ4653" s="13"/>
      <c r="AR4653" s="13"/>
      <c r="AS4653" s="13"/>
    </row>
    <row r="4654" ht="14.25" customHeight="1">
      <c r="A4654" s="13"/>
      <c r="B4654" s="13"/>
      <c r="C4654" s="13"/>
      <c r="D4654" s="13"/>
      <c r="E4654" s="13"/>
      <c r="F4654" s="13"/>
      <c r="G4654" s="13"/>
      <c r="H4654" s="13"/>
      <c r="I4654" s="13"/>
      <c r="J4654" s="13"/>
      <c r="K4654" s="15"/>
      <c r="L4654" s="15"/>
      <c r="M4654" s="16"/>
      <c r="N4654" s="16"/>
      <c r="O4654" s="17"/>
      <c r="P4654" s="17"/>
      <c r="Q4654" s="13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  <c r="AG4654" s="13"/>
      <c r="AH4654" s="13"/>
      <c r="AI4654" s="13"/>
      <c r="AJ4654" s="13"/>
      <c r="AK4654" s="13"/>
      <c r="AL4654" s="13"/>
      <c r="AM4654" s="13"/>
      <c r="AN4654" s="13"/>
      <c r="AO4654" s="13"/>
      <c r="AP4654" s="13"/>
      <c r="AQ4654" s="13"/>
      <c r="AR4654" s="13"/>
      <c r="AS4654" s="13"/>
    </row>
    <row r="4655" ht="14.25" customHeight="1">
      <c r="A4655" s="13"/>
      <c r="B4655" s="13"/>
      <c r="C4655" s="13"/>
      <c r="D4655" s="13"/>
      <c r="E4655" s="13"/>
      <c r="F4655" s="13"/>
      <c r="G4655" s="13"/>
      <c r="H4655" s="13"/>
      <c r="I4655" s="13"/>
      <c r="J4655" s="13"/>
      <c r="K4655" s="15"/>
      <c r="L4655" s="15"/>
      <c r="M4655" s="16"/>
      <c r="N4655" s="16"/>
      <c r="O4655" s="17"/>
      <c r="P4655" s="17"/>
      <c r="Q4655" s="13"/>
      <c r="R4655" s="13"/>
      <c r="S4655" s="13"/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  <c r="AG4655" s="13"/>
      <c r="AH4655" s="13"/>
      <c r="AI4655" s="13"/>
      <c r="AJ4655" s="13"/>
      <c r="AK4655" s="13"/>
      <c r="AL4655" s="13"/>
      <c r="AM4655" s="13"/>
      <c r="AN4655" s="13"/>
      <c r="AO4655" s="13"/>
      <c r="AP4655" s="13"/>
      <c r="AQ4655" s="13"/>
      <c r="AR4655" s="13"/>
      <c r="AS4655" s="13"/>
    </row>
    <row r="4656" ht="14.25" customHeight="1">
      <c r="A4656" s="13"/>
      <c r="B4656" s="13"/>
      <c r="C4656" s="13"/>
      <c r="D4656" s="13"/>
      <c r="E4656" s="13"/>
      <c r="F4656" s="13"/>
      <c r="G4656" s="13"/>
      <c r="H4656" s="13"/>
      <c r="I4656" s="13"/>
      <c r="J4656" s="13"/>
      <c r="K4656" s="15"/>
      <c r="L4656" s="15"/>
      <c r="M4656" s="16"/>
      <c r="N4656" s="16"/>
      <c r="O4656" s="17"/>
      <c r="P4656" s="17"/>
      <c r="Q4656" s="13"/>
      <c r="R4656" s="13"/>
      <c r="S4656" s="13"/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  <c r="AG4656" s="13"/>
      <c r="AH4656" s="13"/>
      <c r="AI4656" s="13"/>
      <c r="AJ4656" s="13"/>
      <c r="AK4656" s="13"/>
      <c r="AL4656" s="13"/>
      <c r="AM4656" s="13"/>
      <c r="AN4656" s="13"/>
      <c r="AO4656" s="13"/>
      <c r="AP4656" s="13"/>
      <c r="AQ4656" s="13"/>
      <c r="AR4656" s="13"/>
      <c r="AS4656" s="13"/>
    </row>
    <row r="4657" ht="14.25" customHeight="1">
      <c r="A4657" s="13"/>
      <c r="B4657" s="13"/>
      <c r="C4657" s="13"/>
      <c r="D4657" s="13"/>
      <c r="E4657" s="13"/>
      <c r="F4657" s="13"/>
      <c r="G4657" s="13"/>
      <c r="H4657" s="13"/>
      <c r="I4657" s="13"/>
      <c r="J4657" s="13"/>
      <c r="K4657" s="15"/>
      <c r="L4657" s="15"/>
      <c r="M4657" s="16"/>
      <c r="N4657" s="16"/>
      <c r="O4657" s="17"/>
      <c r="P4657" s="17"/>
      <c r="Q4657" s="13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  <c r="AG4657" s="13"/>
      <c r="AH4657" s="13"/>
      <c r="AI4657" s="13"/>
      <c r="AJ4657" s="13"/>
      <c r="AK4657" s="13"/>
      <c r="AL4657" s="13"/>
      <c r="AM4657" s="13"/>
      <c r="AN4657" s="13"/>
      <c r="AO4657" s="13"/>
      <c r="AP4657" s="13"/>
      <c r="AQ4657" s="13"/>
      <c r="AR4657" s="13"/>
      <c r="AS4657" s="13"/>
    </row>
    <row r="4658" ht="14.25" customHeight="1">
      <c r="A4658" s="13"/>
      <c r="B4658" s="13"/>
      <c r="C4658" s="13"/>
      <c r="D4658" s="13"/>
      <c r="E4658" s="13"/>
      <c r="F4658" s="13"/>
      <c r="G4658" s="13"/>
      <c r="H4658" s="13"/>
      <c r="I4658" s="13"/>
      <c r="J4658" s="13"/>
      <c r="K4658" s="15"/>
      <c r="L4658" s="15"/>
      <c r="M4658" s="16"/>
      <c r="N4658" s="16"/>
      <c r="O4658" s="17"/>
      <c r="P4658" s="17"/>
      <c r="Q4658" s="13"/>
      <c r="R4658" s="13"/>
      <c r="S4658" s="13"/>
      <c r="T4658" s="13"/>
      <c r="U4658" s="13"/>
      <c r="V4658" s="13"/>
      <c r="W4658" s="13"/>
      <c r="X4658" s="13"/>
      <c r="Y4658" s="13"/>
      <c r="Z4658" s="13"/>
      <c r="AA4658" s="13"/>
      <c r="AB4658" s="13"/>
      <c r="AC4658" s="13"/>
      <c r="AD4658" s="13"/>
      <c r="AE4658" s="13"/>
      <c r="AF4658" s="13"/>
      <c r="AG4658" s="13"/>
      <c r="AH4658" s="13"/>
      <c r="AI4658" s="13"/>
      <c r="AJ4658" s="13"/>
      <c r="AK4658" s="13"/>
      <c r="AL4658" s="13"/>
      <c r="AM4658" s="13"/>
      <c r="AN4658" s="13"/>
      <c r="AO4658" s="13"/>
      <c r="AP4658" s="13"/>
      <c r="AQ4658" s="13"/>
      <c r="AR4658" s="13"/>
      <c r="AS4658" s="13"/>
    </row>
    <row r="4659" ht="14.25" customHeight="1">
      <c r="A4659" s="13"/>
      <c r="B4659" s="13"/>
      <c r="C4659" s="13"/>
      <c r="D4659" s="13"/>
      <c r="E4659" s="13"/>
      <c r="F4659" s="13"/>
      <c r="G4659" s="13"/>
      <c r="H4659" s="13"/>
      <c r="I4659" s="13"/>
      <c r="J4659" s="13"/>
      <c r="K4659" s="15"/>
      <c r="L4659" s="15"/>
      <c r="M4659" s="16"/>
      <c r="N4659" s="16"/>
      <c r="O4659" s="17"/>
      <c r="P4659" s="17"/>
      <c r="Q4659" s="13"/>
      <c r="R4659" s="13"/>
      <c r="S4659" s="13"/>
      <c r="T4659" s="13"/>
      <c r="U4659" s="13"/>
      <c r="V4659" s="13"/>
      <c r="W4659" s="13"/>
      <c r="X4659" s="13"/>
      <c r="Y4659" s="13"/>
      <c r="Z4659" s="13"/>
      <c r="AA4659" s="13"/>
      <c r="AB4659" s="13"/>
      <c r="AC4659" s="13"/>
      <c r="AD4659" s="13"/>
      <c r="AE4659" s="13"/>
      <c r="AF4659" s="13"/>
      <c r="AG4659" s="13"/>
      <c r="AH4659" s="13"/>
      <c r="AI4659" s="13"/>
      <c r="AJ4659" s="13"/>
      <c r="AK4659" s="13"/>
      <c r="AL4659" s="13"/>
      <c r="AM4659" s="13"/>
      <c r="AN4659" s="13"/>
      <c r="AO4659" s="13"/>
      <c r="AP4659" s="13"/>
      <c r="AQ4659" s="13"/>
      <c r="AR4659" s="13"/>
      <c r="AS4659" s="13"/>
    </row>
    <row r="4660" ht="14.25" customHeight="1">
      <c r="A4660" s="13"/>
      <c r="B4660" s="13"/>
      <c r="C4660" s="13"/>
      <c r="D4660" s="13"/>
      <c r="E4660" s="13"/>
      <c r="F4660" s="13"/>
      <c r="G4660" s="13"/>
      <c r="H4660" s="13"/>
      <c r="I4660" s="13"/>
      <c r="J4660" s="13"/>
      <c r="K4660" s="15"/>
      <c r="L4660" s="15"/>
      <c r="M4660" s="16"/>
      <c r="N4660" s="16"/>
      <c r="O4660" s="17"/>
      <c r="P4660" s="17"/>
      <c r="Q4660" s="13"/>
      <c r="R4660" s="13"/>
      <c r="S4660" s="13"/>
      <c r="T4660" s="13"/>
      <c r="U4660" s="13"/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  <c r="AG4660" s="13"/>
      <c r="AH4660" s="13"/>
      <c r="AI4660" s="13"/>
      <c r="AJ4660" s="13"/>
      <c r="AK4660" s="13"/>
      <c r="AL4660" s="13"/>
      <c r="AM4660" s="13"/>
      <c r="AN4660" s="13"/>
      <c r="AO4660" s="13"/>
      <c r="AP4660" s="13"/>
      <c r="AQ4660" s="13"/>
      <c r="AR4660" s="13"/>
      <c r="AS4660" s="13"/>
    </row>
    <row r="4661" ht="14.25" customHeight="1">
      <c r="A4661" s="13"/>
      <c r="B4661" s="13"/>
      <c r="C4661" s="13"/>
      <c r="D4661" s="13"/>
      <c r="E4661" s="13"/>
      <c r="F4661" s="13"/>
      <c r="G4661" s="13"/>
      <c r="H4661" s="13"/>
      <c r="I4661" s="13"/>
      <c r="J4661" s="13"/>
      <c r="K4661" s="15"/>
      <c r="L4661" s="15"/>
      <c r="M4661" s="16"/>
      <c r="N4661" s="16"/>
      <c r="O4661" s="17"/>
      <c r="P4661" s="17"/>
      <c r="Q4661" s="13"/>
      <c r="R4661" s="13"/>
      <c r="S4661" s="13"/>
      <c r="T4661" s="13"/>
      <c r="U4661" s="13"/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  <c r="AG4661" s="13"/>
      <c r="AH4661" s="13"/>
      <c r="AI4661" s="13"/>
      <c r="AJ4661" s="13"/>
      <c r="AK4661" s="13"/>
      <c r="AL4661" s="13"/>
      <c r="AM4661" s="13"/>
      <c r="AN4661" s="13"/>
      <c r="AO4661" s="13"/>
      <c r="AP4661" s="13"/>
      <c r="AQ4661" s="13"/>
      <c r="AR4661" s="13"/>
      <c r="AS4661" s="13"/>
    </row>
    <row r="4662" ht="14.25" customHeight="1">
      <c r="A4662" s="13"/>
      <c r="B4662" s="13"/>
      <c r="C4662" s="13"/>
      <c r="D4662" s="13"/>
      <c r="E4662" s="13"/>
      <c r="F4662" s="13"/>
      <c r="G4662" s="13"/>
      <c r="H4662" s="13"/>
      <c r="I4662" s="13"/>
      <c r="J4662" s="13"/>
      <c r="K4662" s="15"/>
      <c r="L4662" s="15"/>
      <c r="M4662" s="16"/>
      <c r="N4662" s="16"/>
      <c r="O4662" s="17"/>
      <c r="P4662" s="17"/>
      <c r="Q4662" s="13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  <c r="AG4662" s="13"/>
      <c r="AH4662" s="13"/>
      <c r="AI4662" s="13"/>
      <c r="AJ4662" s="13"/>
      <c r="AK4662" s="13"/>
      <c r="AL4662" s="13"/>
      <c r="AM4662" s="13"/>
      <c r="AN4662" s="13"/>
      <c r="AO4662" s="13"/>
      <c r="AP4662" s="13"/>
      <c r="AQ4662" s="13"/>
      <c r="AR4662" s="13"/>
      <c r="AS4662" s="13"/>
    </row>
    <row r="4663" ht="14.25" customHeight="1">
      <c r="A4663" s="13"/>
      <c r="B4663" s="13"/>
      <c r="C4663" s="13"/>
      <c r="D4663" s="13"/>
      <c r="E4663" s="13"/>
      <c r="F4663" s="13"/>
      <c r="G4663" s="13"/>
      <c r="H4663" s="13"/>
      <c r="I4663" s="13"/>
      <c r="J4663" s="13"/>
      <c r="K4663" s="15"/>
      <c r="L4663" s="15"/>
      <c r="M4663" s="16"/>
      <c r="N4663" s="16"/>
      <c r="O4663" s="17"/>
      <c r="P4663" s="17"/>
      <c r="Q4663" s="13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  <c r="AG4663" s="13"/>
      <c r="AH4663" s="13"/>
      <c r="AI4663" s="13"/>
      <c r="AJ4663" s="13"/>
      <c r="AK4663" s="13"/>
      <c r="AL4663" s="13"/>
      <c r="AM4663" s="13"/>
      <c r="AN4663" s="13"/>
      <c r="AO4663" s="13"/>
      <c r="AP4663" s="13"/>
      <c r="AQ4663" s="13"/>
      <c r="AR4663" s="13"/>
      <c r="AS4663" s="13"/>
    </row>
    <row r="4664" ht="14.25" customHeight="1">
      <c r="A4664" s="13"/>
      <c r="B4664" s="13"/>
      <c r="C4664" s="13"/>
      <c r="D4664" s="13"/>
      <c r="E4664" s="13"/>
      <c r="F4664" s="13"/>
      <c r="G4664" s="13"/>
      <c r="H4664" s="13"/>
      <c r="I4664" s="13"/>
      <c r="J4664" s="13"/>
      <c r="K4664" s="15"/>
      <c r="L4664" s="15"/>
      <c r="M4664" s="16"/>
      <c r="N4664" s="16"/>
      <c r="O4664" s="17"/>
      <c r="P4664" s="17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  <c r="AG4664" s="13"/>
      <c r="AH4664" s="13"/>
      <c r="AI4664" s="13"/>
      <c r="AJ4664" s="13"/>
      <c r="AK4664" s="13"/>
      <c r="AL4664" s="13"/>
      <c r="AM4664" s="13"/>
      <c r="AN4664" s="13"/>
      <c r="AO4664" s="13"/>
      <c r="AP4664" s="13"/>
      <c r="AQ4664" s="13"/>
      <c r="AR4664" s="13"/>
      <c r="AS4664" s="13"/>
    </row>
    <row r="4665" ht="14.25" customHeight="1">
      <c r="A4665" s="13"/>
      <c r="B4665" s="13"/>
      <c r="C4665" s="13"/>
      <c r="D4665" s="13"/>
      <c r="E4665" s="13"/>
      <c r="F4665" s="13"/>
      <c r="G4665" s="13"/>
      <c r="H4665" s="13"/>
      <c r="I4665" s="13"/>
      <c r="J4665" s="13"/>
      <c r="K4665" s="15"/>
      <c r="L4665" s="15"/>
      <c r="M4665" s="16"/>
      <c r="N4665" s="16"/>
      <c r="O4665" s="17"/>
      <c r="P4665" s="17"/>
      <c r="Q4665" s="13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  <c r="AG4665" s="13"/>
      <c r="AH4665" s="13"/>
      <c r="AI4665" s="13"/>
      <c r="AJ4665" s="13"/>
      <c r="AK4665" s="13"/>
      <c r="AL4665" s="13"/>
      <c r="AM4665" s="13"/>
      <c r="AN4665" s="13"/>
      <c r="AO4665" s="13"/>
      <c r="AP4665" s="13"/>
      <c r="AQ4665" s="13"/>
      <c r="AR4665" s="13"/>
      <c r="AS4665" s="13"/>
    </row>
    <row r="4666" ht="14.25" customHeight="1">
      <c r="A4666" s="13"/>
      <c r="B4666" s="13"/>
      <c r="C4666" s="13"/>
      <c r="D4666" s="13"/>
      <c r="E4666" s="13"/>
      <c r="F4666" s="13"/>
      <c r="G4666" s="13"/>
      <c r="H4666" s="13"/>
      <c r="I4666" s="13"/>
      <c r="J4666" s="13"/>
      <c r="K4666" s="15"/>
      <c r="L4666" s="15"/>
      <c r="M4666" s="16"/>
      <c r="N4666" s="16"/>
      <c r="O4666" s="17"/>
      <c r="P4666" s="17"/>
      <c r="Q4666" s="13"/>
      <c r="R4666" s="13"/>
      <c r="S4666" s="13"/>
      <c r="T4666" s="13"/>
      <c r="U4666" s="13"/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  <c r="AG4666" s="13"/>
      <c r="AH4666" s="13"/>
      <c r="AI4666" s="13"/>
      <c r="AJ4666" s="13"/>
      <c r="AK4666" s="13"/>
      <c r="AL4666" s="13"/>
      <c r="AM4666" s="13"/>
      <c r="AN4666" s="13"/>
      <c r="AO4666" s="13"/>
      <c r="AP4666" s="13"/>
      <c r="AQ4666" s="13"/>
      <c r="AR4666" s="13"/>
      <c r="AS4666" s="13"/>
    </row>
    <row r="4667" ht="14.25" customHeight="1">
      <c r="A4667" s="13"/>
      <c r="B4667" s="13"/>
      <c r="C4667" s="13"/>
      <c r="D4667" s="13"/>
      <c r="E4667" s="13"/>
      <c r="F4667" s="13"/>
      <c r="G4667" s="13"/>
      <c r="H4667" s="13"/>
      <c r="I4667" s="13"/>
      <c r="J4667" s="13"/>
      <c r="K4667" s="15"/>
      <c r="L4667" s="15"/>
      <c r="M4667" s="16"/>
      <c r="N4667" s="16"/>
      <c r="O4667" s="17"/>
      <c r="P4667" s="17"/>
      <c r="Q4667" s="13"/>
      <c r="R4667" s="13"/>
      <c r="S4667" s="13"/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  <c r="AG4667" s="13"/>
      <c r="AH4667" s="13"/>
      <c r="AI4667" s="13"/>
      <c r="AJ4667" s="13"/>
      <c r="AK4667" s="13"/>
      <c r="AL4667" s="13"/>
      <c r="AM4667" s="13"/>
      <c r="AN4667" s="13"/>
      <c r="AO4667" s="13"/>
      <c r="AP4667" s="13"/>
      <c r="AQ4667" s="13"/>
      <c r="AR4667" s="13"/>
      <c r="AS4667" s="13"/>
    </row>
    <row r="4668" ht="14.25" customHeight="1">
      <c r="A4668" s="13"/>
      <c r="B4668" s="13"/>
      <c r="C4668" s="13"/>
      <c r="D4668" s="13"/>
      <c r="E4668" s="13"/>
      <c r="F4668" s="13"/>
      <c r="G4668" s="13"/>
      <c r="H4668" s="13"/>
      <c r="I4668" s="13"/>
      <c r="J4668" s="13"/>
      <c r="K4668" s="15"/>
      <c r="L4668" s="15"/>
      <c r="M4668" s="16"/>
      <c r="N4668" s="16"/>
      <c r="O4668" s="17"/>
      <c r="P4668" s="17"/>
      <c r="Q4668" s="13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3"/>
      <c r="AD4668" s="13"/>
      <c r="AE4668" s="13"/>
      <c r="AF4668" s="13"/>
      <c r="AG4668" s="13"/>
      <c r="AH4668" s="13"/>
      <c r="AI4668" s="13"/>
      <c r="AJ4668" s="13"/>
      <c r="AK4668" s="13"/>
      <c r="AL4668" s="13"/>
      <c r="AM4668" s="13"/>
      <c r="AN4668" s="13"/>
      <c r="AO4668" s="13"/>
      <c r="AP4668" s="13"/>
      <c r="AQ4668" s="13"/>
      <c r="AR4668" s="13"/>
      <c r="AS4668" s="13"/>
    </row>
    <row r="4669" ht="14.25" customHeight="1">
      <c r="A4669" s="13"/>
      <c r="B4669" s="13"/>
      <c r="C4669" s="13"/>
      <c r="D4669" s="13"/>
      <c r="E4669" s="13"/>
      <c r="F4669" s="13"/>
      <c r="G4669" s="13"/>
      <c r="H4669" s="13"/>
      <c r="I4669" s="13"/>
      <c r="J4669" s="13"/>
      <c r="K4669" s="15"/>
      <c r="L4669" s="15"/>
      <c r="M4669" s="16"/>
      <c r="N4669" s="16"/>
      <c r="O4669" s="17"/>
      <c r="P4669" s="17"/>
      <c r="Q4669" s="13"/>
      <c r="R4669" s="13"/>
      <c r="S4669" s="13"/>
      <c r="T4669" s="13"/>
      <c r="U4669" s="13"/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  <c r="AG4669" s="13"/>
      <c r="AH4669" s="13"/>
      <c r="AI4669" s="13"/>
      <c r="AJ4669" s="13"/>
      <c r="AK4669" s="13"/>
      <c r="AL4669" s="13"/>
      <c r="AM4669" s="13"/>
      <c r="AN4669" s="13"/>
      <c r="AO4669" s="13"/>
      <c r="AP4669" s="13"/>
      <c r="AQ4669" s="13"/>
      <c r="AR4669" s="13"/>
      <c r="AS4669" s="13"/>
    </row>
    <row r="4670" ht="14.25" customHeight="1">
      <c r="A4670" s="13"/>
      <c r="B4670" s="13"/>
      <c r="C4670" s="13"/>
      <c r="D4670" s="13"/>
      <c r="E4670" s="13"/>
      <c r="F4670" s="13"/>
      <c r="G4670" s="13"/>
      <c r="H4670" s="13"/>
      <c r="I4670" s="13"/>
      <c r="J4670" s="13"/>
      <c r="K4670" s="15"/>
      <c r="L4670" s="15"/>
      <c r="M4670" s="16"/>
      <c r="N4670" s="16"/>
      <c r="O4670" s="17"/>
      <c r="P4670" s="17"/>
      <c r="Q4670" s="13"/>
      <c r="R4670" s="13"/>
      <c r="S4670" s="13"/>
      <c r="T4670" s="13"/>
      <c r="U4670" s="13"/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  <c r="AG4670" s="13"/>
      <c r="AH4670" s="13"/>
      <c r="AI4670" s="13"/>
      <c r="AJ4670" s="13"/>
      <c r="AK4670" s="13"/>
      <c r="AL4670" s="13"/>
      <c r="AM4670" s="13"/>
      <c r="AN4670" s="13"/>
      <c r="AO4670" s="13"/>
      <c r="AP4670" s="13"/>
      <c r="AQ4670" s="13"/>
      <c r="AR4670" s="13"/>
      <c r="AS4670" s="13"/>
    </row>
    <row r="4671" ht="14.25" customHeight="1">
      <c r="A4671" s="13"/>
      <c r="B4671" s="13"/>
      <c r="C4671" s="13"/>
      <c r="D4671" s="13"/>
      <c r="E4671" s="13"/>
      <c r="F4671" s="13"/>
      <c r="G4671" s="13"/>
      <c r="H4671" s="13"/>
      <c r="I4671" s="13"/>
      <c r="J4671" s="13"/>
      <c r="K4671" s="15"/>
      <c r="L4671" s="15"/>
      <c r="M4671" s="16"/>
      <c r="N4671" s="16"/>
      <c r="O4671" s="17"/>
      <c r="P4671" s="17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  <c r="AG4671" s="13"/>
      <c r="AH4671" s="13"/>
      <c r="AI4671" s="13"/>
      <c r="AJ4671" s="13"/>
      <c r="AK4671" s="13"/>
      <c r="AL4671" s="13"/>
      <c r="AM4671" s="13"/>
      <c r="AN4671" s="13"/>
      <c r="AO4671" s="13"/>
      <c r="AP4671" s="13"/>
      <c r="AQ4671" s="13"/>
      <c r="AR4671" s="13"/>
      <c r="AS4671" s="13"/>
    </row>
    <row r="4672" ht="14.25" customHeight="1">
      <c r="A4672" s="13"/>
      <c r="B4672" s="13"/>
      <c r="C4672" s="13"/>
      <c r="D4672" s="13"/>
      <c r="E4672" s="13"/>
      <c r="F4672" s="13"/>
      <c r="G4672" s="13"/>
      <c r="H4672" s="13"/>
      <c r="I4672" s="13"/>
      <c r="J4672" s="13"/>
      <c r="K4672" s="15"/>
      <c r="L4672" s="15"/>
      <c r="M4672" s="16"/>
      <c r="N4672" s="16"/>
      <c r="O4672" s="17"/>
      <c r="P4672" s="17"/>
      <c r="Q4672" s="13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  <c r="AG4672" s="13"/>
      <c r="AH4672" s="13"/>
      <c r="AI4672" s="13"/>
      <c r="AJ4672" s="13"/>
      <c r="AK4672" s="13"/>
      <c r="AL4672" s="13"/>
      <c r="AM4672" s="13"/>
      <c r="AN4672" s="13"/>
      <c r="AO4672" s="13"/>
      <c r="AP4672" s="13"/>
      <c r="AQ4672" s="13"/>
      <c r="AR4672" s="13"/>
      <c r="AS4672" s="13"/>
    </row>
    <row r="4673" ht="14.25" customHeight="1">
      <c r="A4673" s="13"/>
      <c r="B4673" s="13"/>
      <c r="C4673" s="13"/>
      <c r="D4673" s="13"/>
      <c r="E4673" s="13"/>
      <c r="F4673" s="13"/>
      <c r="G4673" s="13"/>
      <c r="H4673" s="13"/>
      <c r="I4673" s="13"/>
      <c r="J4673" s="13"/>
      <c r="K4673" s="15"/>
      <c r="L4673" s="15"/>
      <c r="M4673" s="16"/>
      <c r="N4673" s="16"/>
      <c r="O4673" s="17"/>
      <c r="P4673" s="17"/>
      <c r="Q4673" s="13"/>
      <c r="R4673" s="13"/>
      <c r="S4673" s="13"/>
      <c r="T4673" s="13"/>
      <c r="U4673" s="13"/>
      <c r="V4673" s="13"/>
      <c r="W4673" s="13"/>
      <c r="X4673" s="13"/>
      <c r="Y4673" s="13"/>
      <c r="Z4673" s="13"/>
      <c r="AA4673" s="13"/>
      <c r="AB4673" s="13"/>
      <c r="AC4673" s="13"/>
      <c r="AD4673" s="13"/>
      <c r="AE4673" s="13"/>
      <c r="AF4673" s="13"/>
      <c r="AG4673" s="13"/>
      <c r="AH4673" s="13"/>
      <c r="AI4673" s="13"/>
      <c r="AJ4673" s="13"/>
      <c r="AK4673" s="13"/>
      <c r="AL4673" s="13"/>
      <c r="AM4673" s="13"/>
      <c r="AN4673" s="13"/>
      <c r="AO4673" s="13"/>
      <c r="AP4673" s="13"/>
      <c r="AQ4673" s="13"/>
      <c r="AR4673" s="13"/>
      <c r="AS4673" s="13"/>
    </row>
    <row r="4674" ht="14.25" customHeight="1">
      <c r="A4674" s="13"/>
      <c r="B4674" s="13"/>
      <c r="C4674" s="13"/>
      <c r="D4674" s="13"/>
      <c r="E4674" s="13"/>
      <c r="F4674" s="13"/>
      <c r="G4674" s="13"/>
      <c r="H4674" s="13"/>
      <c r="I4674" s="13"/>
      <c r="J4674" s="13"/>
      <c r="K4674" s="15"/>
      <c r="L4674" s="15"/>
      <c r="M4674" s="16"/>
      <c r="N4674" s="16"/>
      <c r="O4674" s="17"/>
      <c r="P4674" s="17"/>
      <c r="Q4674" s="13"/>
      <c r="R4674" s="13"/>
      <c r="S4674" s="13"/>
      <c r="T4674" s="13"/>
      <c r="U4674" s="13"/>
      <c r="V4674" s="13"/>
      <c r="W4674" s="13"/>
      <c r="X4674" s="13"/>
      <c r="Y4674" s="13"/>
      <c r="Z4674" s="13"/>
      <c r="AA4674" s="13"/>
      <c r="AB4674" s="13"/>
      <c r="AC4674" s="13"/>
      <c r="AD4674" s="13"/>
      <c r="AE4674" s="13"/>
      <c r="AF4674" s="13"/>
      <c r="AG4674" s="13"/>
      <c r="AH4674" s="13"/>
      <c r="AI4674" s="13"/>
      <c r="AJ4674" s="13"/>
      <c r="AK4674" s="13"/>
      <c r="AL4674" s="13"/>
      <c r="AM4674" s="13"/>
      <c r="AN4674" s="13"/>
      <c r="AO4674" s="13"/>
      <c r="AP4674" s="13"/>
      <c r="AQ4674" s="13"/>
      <c r="AR4674" s="13"/>
      <c r="AS4674" s="13"/>
    </row>
    <row r="4675" ht="14.25" customHeight="1">
      <c r="A4675" s="13"/>
      <c r="B4675" s="13"/>
      <c r="C4675" s="13"/>
      <c r="D4675" s="13"/>
      <c r="E4675" s="13"/>
      <c r="F4675" s="13"/>
      <c r="G4675" s="13"/>
      <c r="H4675" s="13"/>
      <c r="I4675" s="13"/>
      <c r="J4675" s="13"/>
      <c r="K4675" s="15"/>
      <c r="L4675" s="15"/>
      <c r="M4675" s="16"/>
      <c r="N4675" s="16"/>
      <c r="O4675" s="17"/>
      <c r="P4675" s="17"/>
      <c r="Q4675" s="13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  <c r="AG4675" s="13"/>
      <c r="AH4675" s="13"/>
      <c r="AI4675" s="13"/>
      <c r="AJ4675" s="13"/>
      <c r="AK4675" s="13"/>
      <c r="AL4675" s="13"/>
      <c r="AM4675" s="13"/>
      <c r="AN4675" s="13"/>
      <c r="AO4675" s="13"/>
      <c r="AP4675" s="13"/>
      <c r="AQ4675" s="13"/>
      <c r="AR4675" s="13"/>
      <c r="AS4675" s="13"/>
    </row>
    <row r="4676" ht="14.25" customHeight="1">
      <c r="A4676" s="13"/>
      <c r="B4676" s="13"/>
      <c r="C4676" s="13"/>
      <c r="D4676" s="13"/>
      <c r="E4676" s="13"/>
      <c r="F4676" s="13"/>
      <c r="G4676" s="13"/>
      <c r="H4676" s="13"/>
      <c r="I4676" s="13"/>
      <c r="J4676" s="13"/>
      <c r="K4676" s="15"/>
      <c r="L4676" s="15"/>
      <c r="M4676" s="16"/>
      <c r="N4676" s="16"/>
      <c r="O4676" s="17"/>
      <c r="P4676" s="17"/>
      <c r="Q4676" s="13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3"/>
      <c r="AD4676" s="13"/>
      <c r="AE4676" s="13"/>
      <c r="AF4676" s="13"/>
      <c r="AG4676" s="13"/>
      <c r="AH4676" s="13"/>
      <c r="AI4676" s="13"/>
      <c r="AJ4676" s="13"/>
      <c r="AK4676" s="13"/>
      <c r="AL4676" s="13"/>
      <c r="AM4676" s="13"/>
      <c r="AN4676" s="13"/>
      <c r="AO4676" s="13"/>
      <c r="AP4676" s="13"/>
      <c r="AQ4676" s="13"/>
      <c r="AR4676" s="13"/>
      <c r="AS4676" s="13"/>
    </row>
    <row r="4677" ht="14.25" customHeight="1">
      <c r="A4677" s="13"/>
      <c r="B4677" s="13"/>
      <c r="C4677" s="13"/>
      <c r="D4677" s="13"/>
      <c r="E4677" s="13"/>
      <c r="F4677" s="13"/>
      <c r="G4677" s="13"/>
      <c r="H4677" s="13"/>
      <c r="I4677" s="13"/>
      <c r="J4677" s="13"/>
      <c r="K4677" s="15"/>
      <c r="L4677" s="15"/>
      <c r="M4677" s="16"/>
      <c r="N4677" s="16"/>
      <c r="O4677" s="17"/>
      <c r="P4677" s="17"/>
      <c r="Q4677" s="13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  <c r="AG4677" s="13"/>
      <c r="AH4677" s="13"/>
      <c r="AI4677" s="13"/>
      <c r="AJ4677" s="13"/>
      <c r="AK4677" s="13"/>
      <c r="AL4677" s="13"/>
      <c r="AM4677" s="13"/>
      <c r="AN4677" s="13"/>
      <c r="AO4677" s="13"/>
      <c r="AP4677" s="13"/>
      <c r="AQ4677" s="13"/>
      <c r="AR4677" s="13"/>
      <c r="AS4677" s="13"/>
    </row>
    <row r="4678" ht="14.25" customHeight="1">
      <c r="A4678" s="13"/>
      <c r="B4678" s="13"/>
      <c r="C4678" s="13"/>
      <c r="D4678" s="13"/>
      <c r="E4678" s="13"/>
      <c r="F4678" s="13"/>
      <c r="G4678" s="13"/>
      <c r="H4678" s="13"/>
      <c r="I4678" s="13"/>
      <c r="J4678" s="13"/>
      <c r="K4678" s="15"/>
      <c r="L4678" s="15"/>
      <c r="M4678" s="16"/>
      <c r="N4678" s="16"/>
      <c r="O4678" s="17"/>
      <c r="P4678" s="17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3"/>
      <c r="AD4678" s="13"/>
      <c r="AE4678" s="13"/>
      <c r="AF4678" s="13"/>
      <c r="AG4678" s="13"/>
      <c r="AH4678" s="13"/>
      <c r="AI4678" s="13"/>
      <c r="AJ4678" s="13"/>
      <c r="AK4678" s="13"/>
      <c r="AL4678" s="13"/>
      <c r="AM4678" s="13"/>
      <c r="AN4678" s="13"/>
      <c r="AO4678" s="13"/>
      <c r="AP4678" s="13"/>
      <c r="AQ4678" s="13"/>
      <c r="AR4678" s="13"/>
      <c r="AS4678" s="13"/>
    </row>
    <row r="4679" ht="14.25" customHeight="1">
      <c r="A4679" s="13"/>
      <c r="B4679" s="13"/>
      <c r="C4679" s="13"/>
      <c r="D4679" s="13"/>
      <c r="E4679" s="13"/>
      <c r="F4679" s="13"/>
      <c r="G4679" s="13"/>
      <c r="H4679" s="13"/>
      <c r="I4679" s="13"/>
      <c r="J4679" s="13"/>
      <c r="K4679" s="15"/>
      <c r="L4679" s="15"/>
      <c r="M4679" s="16"/>
      <c r="N4679" s="16"/>
      <c r="O4679" s="17"/>
      <c r="P4679" s="17"/>
      <c r="Q4679" s="13"/>
      <c r="R4679" s="13"/>
      <c r="S4679" s="13"/>
      <c r="T4679" s="13"/>
      <c r="U4679" s="13"/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  <c r="AG4679" s="13"/>
      <c r="AH4679" s="13"/>
      <c r="AI4679" s="13"/>
      <c r="AJ4679" s="13"/>
      <c r="AK4679" s="13"/>
      <c r="AL4679" s="13"/>
      <c r="AM4679" s="13"/>
      <c r="AN4679" s="13"/>
      <c r="AO4679" s="13"/>
      <c r="AP4679" s="13"/>
      <c r="AQ4679" s="13"/>
      <c r="AR4679" s="13"/>
      <c r="AS4679" s="13"/>
    </row>
    <row r="4680" ht="14.25" customHeight="1">
      <c r="A4680" s="13"/>
      <c r="B4680" s="13"/>
      <c r="C4680" s="13"/>
      <c r="D4680" s="13"/>
      <c r="E4680" s="13"/>
      <c r="F4680" s="13"/>
      <c r="G4680" s="13"/>
      <c r="H4680" s="13"/>
      <c r="I4680" s="13"/>
      <c r="J4680" s="13"/>
      <c r="K4680" s="15"/>
      <c r="L4680" s="15"/>
      <c r="M4680" s="16"/>
      <c r="N4680" s="16"/>
      <c r="O4680" s="17"/>
      <c r="P4680" s="17"/>
      <c r="Q4680" s="13"/>
      <c r="R4680" s="13"/>
      <c r="S4680" s="13"/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  <c r="AG4680" s="13"/>
      <c r="AH4680" s="13"/>
      <c r="AI4680" s="13"/>
      <c r="AJ4680" s="13"/>
      <c r="AK4680" s="13"/>
      <c r="AL4680" s="13"/>
      <c r="AM4680" s="13"/>
      <c r="AN4680" s="13"/>
      <c r="AO4680" s="13"/>
      <c r="AP4680" s="13"/>
      <c r="AQ4680" s="13"/>
      <c r="AR4680" s="13"/>
      <c r="AS4680" s="13"/>
    </row>
    <row r="4681" ht="14.25" customHeight="1">
      <c r="A4681" s="13"/>
      <c r="B4681" s="13"/>
      <c r="C4681" s="13"/>
      <c r="D4681" s="13"/>
      <c r="E4681" s="13"/>
      <c r="F4681" s="13"/>
      <c r="G4681" s="13"/>
      <c r="H4681" s="13"/>
      <c r="I4681" s="13"/>
      <c r="J4681" s="13"/>
      <c r="K4681" s="15"/>
      <c r="L4681" s="15"/>
      <c r="M4681" s="16"/>
      <c r="N4681" s="16"/>
      <c r="O4681" s="17"/>
      <c r="P4681" s="17"/>
      <c r="Q4681" s="13"/>
      <c r="R4681" s="13"/>
      <c r="S4681" s="13"/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  <c r="AG4681" s="13"/>
      <c r="AH4681" s="13"/>
      <c r="AI4681" s="13"/>
      <c r="AJ4681" s="13"/>
      <c r="AK4681" s="13"/>
      <c r="AL4681" s="13"/>
      <c r="AM4681" s="13"/>
      <c r="AN4681" s="13"/>
      <c r="AO4681" s="13"/>
      <c r="AP4681" s="13"/>
      <c r="AQ4681" s="13"/>
      <c r="AR4681" s="13"/>
      <c r="AS4681" s="13"/>
    </row>
    <row r="4682" ht="14.25" customHeight="1">
      <c r="A4682" s="13"/>
      <c r="B4682" s="13"/>
      <c r="C4682" s="13"/>
      <c r="D4682" s="13"/>
      <c r="E4682" s="13"/>
      <c r="F4682" s="13"/>
      <c r="G4682" s="13"/>
      <c r="H4682" s="13"/>
      <c r="I4682" s="13"/>
      <c r="J4682" s="13"/>
      <c r="K4682" s="15"/>
      <c r="L4682" s="15"/>
      <c r="M4682" s="16"/>
      <c r="N4682" s="16"/>
      <c r="O4682" s="17"/>
      <c r="P4682" s="17"/>
      <c r="Q4682" s="13"/>
      <c r="R4682" s="13"/>
      <c r="S4682" s="13"/>
      <c r="T4682" s="13"/>
      <c r="U4682" s="13"/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  <c r="AG4682" s="13"/>
      <c r="AH4682" s="13"/>
      <c r="AI4682" s="13"/>
      <c r="AJ4682" s="13"/>
      <c r="AK4682" s="13"/>
      <c r="AL4682" s="13"/>
      <c r="AM4682" s="13"/>
      <c r="AN4682" s="13"/>
      <c r="AO4682" s="13"/>
      <c r="AP4682" s="13"/>
      <c r="AQ4682" s="13"/>
      <c r="AR4682" s="13"/>
      <c r="AS4682" s="13"/>
    </row>
    <row r="4683" ht="14.25" customHeight="1">
      <c r="A4683" s="13"/>
      <c r="B4683" s="13"/>
      <c r="C4683" s="13"/>
      <c r="D4683" s="13"/>
      <c r="E4683" s="13"/>
      <c r="F4683" s="13"/>
      <c r="G4683" s="13"/>
      <c r="H4683" s="13"/>
      <c r="I4683" s="13"/>
      <c r="J4683" s="13"/>
      <c r="K4683" s="15"/>
      <c r="L4683" s="15"/>
      <c r="M4683" s="16"/>
      <c r="N4683" s="16"/>
      <c r="O4683" s="17"/>
      <c r="P4683" s="17"/>
      <c r="Q4683" s="13"/>
      <c r="R4683" s="13"/>
      <c r="S4683" s="13"/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3"/>
      <c r="AD4683" s="13"/>
      <c r="AE4683" s="13"/>
      <c r="AF4683" s="13"/>
      <c r="AG4683" s="13"/>
      <c r="AH4683" s="13"/>
      <c r="AI4683" s="13"/>
      <c r="AJ4683" s="13"/>
      <c r="AK4683" s="13"/>
      <c r="AL4683" s="13"/>
      <c r="AM4683" s="13"/>
      <c r="AN4683" s="13"/>
      <c r="AO4683" s="13"/>
      <c r="AP4683" s="13"/>
      <c r="AQ4683" s="13"/>
      <c r="AR4683" s="13"/>
      <c r="AS4683" s="13"/>
    </row>
    <row r="4684" ht="14.25" customHeight="1">
      <c r="A4684" s="13"/>
      <c r="B4684" s="13"/>
      <c r="C4684" s="13"/>
      <c r="D4684" s="13"/>
      <c r="E4684" s="13"/>
      <c r="F4684" s="13"/>
      <c r="G4684" s="13"/>
      <c r="H4684" s="13"/>
      <c r="I4684" s="13"/>
      <c r="J4684" s="13"/>
      <c r="K4684" s="15"/>
      <c r="L4684" s="15"/>
      <c r="M4684" s="16"/>
      <c r="N4684" s="16"/>
      <c r="O4684" s="17"/>
      <c r="P4684" s="17"/>
      <c r="Q4684" s="13"/>
      <c r="R4684" s="13"/>
      <c r="S4684" s="13"/>
      <c r="T4684" s="13"/>
      <c r="U4684" s="13"/>
      <c r="V4684" s="13"/>
      <c r="W4684" s="13"/>
      <c r="X4684" s="13"/>
      <c r="Y4684" s="13"/>
      <c r="Z4684" s="13"/>
      <c r="AA4684" s="13"/>
      <c r="AB4684" s="13"/>
      <c r="AC4684" s="13"/>
      <c r="AD4684" s="13"/>
      <c r="AE4684" s="13"/>
      <c r="AF4684" s="13"/>
      <c r="AG4684" s="13"/>
      <c r="AH4684" s="13"/>
      <c r="AI4684" s="13"/>
      <c r="AJ4684" s="13"/>
      <c r="AK4684" s="13"/>
      <c r="AL4684" s="13"/>
      <c r="AM4684" s="13"/>
      <c r="AN4684" s="13"/>
      <c r="AO4684" s="13"/>
      <c r="AP4684" s="13"/>
      <c r="AQ4684" s="13"/>
      <c r="AR4684" s="13"/>
      <c r="AS4684" s="13"/>
    </row>
    <row r="4685" ht="14.25" customHeight="1">
      <c r="A4685" s="13"/>
      <c r="B4685" s="13"/>
      <c r="C4685" s="13"/>
      <c r="D4685" s="13"/>
      <c r="E4685" s="13"/>
      <c r="F4685" s="13"/>
      <c r="G4685" s="13"/>
      <c r="H4685" s="13"/>
      <c r="I4685" s="13"/>
      <c r="J4685" s="13"/>
      <c r="K4685" s="15"/>
      <c r="L4685" s="15"/>
      <c r="M4685" s="16"/>
      <c r="N4685" s="16"/>
      <c r="O4685" s="17"/>
      <c r="P4685" s="17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  <c r="AG4685" s="13"/>
      <c r="AH4685" s="13"/>
      <c r="AI4685" s="13"/>
      <c r="AJ4685" s="13"/>
      <c r="AK4685" s="13"/>
      <c r="AL4685" s="13"/>
      <c r="AM4685" s="13"/>
      <c r="AN4685" s="13"/>
      <c r="AO4685" s="13"/>
      <c r="AP4685" s="13"/>
      <c r="AQ4685" s="13"/>
      <c r="AR4685" s="13"/>
      <c r="AS4685" s="13"/>
    </row>
    <row r="4686" ht="14.25" customHeight="1">
      <c r="A4686" s="13"/>
      <c r="B4686" s="13"/>
      <c r="C4686" s="13"/>
      <c r="D4686" s="13"/>
      <c r="E4686" s="13"/>
      <c r="F4686" s="13"/>
      <c r="G4686" s="13"/>
      <c r="H4686" s="13"/>
      <c r="I4686" s="13"/>
      <c r="J4686" s="13"/>
      <c r="K4686" s="15"/>
      <c r="L4686" s="15"/>
      <c r="M4686" s="16"/>
      <c r="N4686" s="16"/>
      <c r="O4686" s="17"/>
      <c r="P4686" s="17"/>
      <c r="Q4686" s="13"/>
      <c r="R4686" s="13"/>
      <c r="S4686" s="13"/>
      <c r="T4686" s="13"/>
      <c r="U4686" s="13"/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  <c r="AG4686" s="13"/>
      <c r="AH4686" s="13"/>
      <c r="AI4686" s="13"/>
      <c r="AJ4686" s="13"/>
      <c r="AK4686" s="13"/>
      <c r="AL4686" s="13"/>
      <c r="AM4686" s="13"/>
      <c r="AN4686" s="13"/>
      <c r="AO4686" s="13"/>
      <c r="AP4686" s="13"/>
      <c r="AQ4686" s="13"/>
      <c r="AR4686" s="13"/>
      <c r="AS4686" s="13"/>
    </row>
    <row r="4687" ht="14.25" customHeight="1">
      <c r="A4687" s="13"/>
      <c r="B4687" s="13"/>
      <c r="C4687" s="13"/>
      <c r="D4687" s="13"/>
      <c r="E4687" s="13"/>
      <c r="F4687" s="13"/>
      <c r="G4687" s="13"/>
      <c r="H4687" s="13"/>
      <c r="I4687" s="13"/>
      <c r="J4687" s="13"/>
      <c r="K4687" s="15"/>
      <c r="L4687" s="15"/>
      <c r="M4687" s="16"/>
      <c r="N4687" s="16"/>
      <c r="O4687" s="17"/>
      <c r="P4687" s="17"/>
      <c r="Q4687" s="13"/>
      <c r="R4687" s="13"/>
      <c r="S4687" s="13"/>
      <c r="T4687" s="13"/>
      <c r="U4687" s="13"/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  <c r="AG4687" s="13"/>
      <c r="AH4687" s="13"/>
      <c r="AI4687" s="13"/>
      <c r="AJ4687" s="13"/>
      <c r="AK4687" s="13"/>
      <c r="AL4687" s="13"/>
      <c r="AM4687" s="13"/>
      <c r="AN4687" s="13"/>
      <c r="AO4687" s="13"/>
      <c r="AP4687" s="13"/>
      <c r="AQ4687" s="13"/>
      <c r="AR4687" s="13"/>
      <c r="AS4687" s="13"/>
    </row>
    <row r="4688" ht="14.25" customHeight="1">
      <c r="A4688" s="13"/>
      <c r="B4688" s="13"/>
      <c r="C4688" s="13"/>
      <c r="D4688" s="13"/>
      <c r="E4688" s="13"/>
      <c r="F4688" s="13"/>
      <c r="G4688" s="13"/>
      <c r="H4688" s="13"/>
      <c r="I4688" s="13"/>
      <c r="J4688" s="13"/>
      <c r="K4688" s="15"/>
      <c r="L4688" s="15"/>
      <c r="M4688" s="16"/>
      <c r="N4688" s="16"/>
      <c r="O4688" s="17"/>
      <c r="P4688" s="17"/>
      <c r="Q4688" s="13"/>
      <c r="R4688" s="13"/>
      <c r="S4688" s="13"/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  <c r="AG4688" s="13"/>
      <c r="AH4688" s="13"/>
      <c r="AI4688" s="13"/>
      <c r="AJ4688" s="13"/>
      <c r="AK4688" s="13"/>
      <c r="AL4688" s="13"/>
      <c r="AM4688" s="13"/>
      <c r="AN4688" s="13"/>
      <c r="AO4688" s="13"/>
      <c r="AP4688" s="13"/>
      <c r="AQ4688" s="13"/>
      <c r="AR4688" s="13"/>
      <c r="AS4688" s="13"/>
    </row>
    <row r="4689" ht="14.25" customHeight="1">
      <c r="A4689" s="13"/>
      <c r="B4689" s="13"/>
      <c r="C4689" s="13"/>
      <c r="D4689" s="13"/>
      <c r="E4689" s="13"/>
      <c r="F4689" s="13"/>
      <c r="G4689" s="13"/>
      <c r="H4689" s="13"/>
      <c r="I4689" s="13"/>
      <c r="J4689" s="13"/>
      <c r="K4689" s="15"/>
      <c r="L4689" s="15"/>
      <c r="M4689" s="16"/>
      <c r="N4689" s="16"/>
      <c r="O4689" s="17"/>
      <c r="P4689" s="17"/>
      <c r="Q4689" s="13"/>
      <c r="R4689" s="13"/>
      <c r="S4689" s="13"/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  <c r="AG4689" s="13"/>
      <c r="AH4689" s="13"/>
      <c r="AI4689" s="13"/>
      <c r="AJ4689" s="13"/>
      <c r="AK4689" s="13"/>
      <c r="AL4689" s="13"/>
      <c r="AM4689" s="13"/>
      <c r="AN4689" s="13"/>
      <c r="AO4689" s="13"/>
      <c r="AP4689" s="13"/>
      <c r="AQ4689" s="13"/>
      <c r="AR4689" s="13"/>
      <c r="AS4689" s="13"/>
    </row>
    <row r="4690" ht="14.25" customHeight="1">
      <c r="A4690" s="13"/>
      <c r="B4690" s="13"/>
      <c r="C4690" s="13"/>
      <c r="D4690" s="13"/>
      <c r="E4690" s="13"/>
      <c r="F4690" s="13"/>
      <c r="G4690" s="13"/>
      <c r="H4690" s="13"/>
      <c r="I4690" s="13"/>
      <c r="J4690" s="13"/>
      <c r="K4690" s="15"/>
      <c r="L4690" s="15"/>
      <c r="M4690" s="16"/>
      <c r="N4690" s="16"/>
      <c r="O4690" s="17"/>
      <c r="P4690" s="17"/>
      <c r="Q4690" s="13"/>
      <c r="R4690" s="13"/>
      <c r="S4690" s="13"/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  <c r="AG4690" s="13"/>
      <c r="AH4690" s="13"/>
      <c r="AI4690" s="13"/>
      <c r="AJ4690" s="13"/>
      <c r="AK4690" s="13"/>
      <c r="AL4690" s="13"/>
      <c r="AM4690" s="13"/>
      <c r="AN4690" s="13"/>
      <c r="AO4690" s="13"/>
      <c r="AP4690" s="13"/>
      <c r="AQ4690" s="13"/>
      <c r="AR4690" s="13"/>
      <c r="AS4690" s="13"/>
    </row>
    <row r="4691" ht="14.25" customHeight="1">
      <c r="A4691" s="13"/>
      <c r="B4691" s="13"/>
      <c r="C4691" s="13"/>
      <c r="D4691" s="13"/>
      <c r="E4691" s="13"/>
      <c r="F4691" s="13"/>
      <c r="G4691" s="13"/>
      <c r="H4691" s="13"/>
      <c r="I4691" s="13"/>
      <c r="J4691" s="13"/>
      <c r="K4691" s="15"/>
      <c r="L4691" s="15"/>
      <c r="M4691" s="16"/>
      <c r="N4691" s="16"/>
      <c r="O4691" s="17"/>
      <c r="P4691" s="17"/>
      <c r="Q4691" s="13"/>
      <c r="R4691" s="13"/>
      <c r="S4691" s="13"/>
      <c r="T4691" s="13"/>
      <c r="U4691" s="13"/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  <c r="AG4691" s="13"/>
      <c r="AH4691" s="13"/>
      <c r="AI4691" s="13"/>
      <c r="AJ4691" s="13"/>
      <c r="AK4691" s="13"/>
      <c r="AL4691" s="13"/>
      <c r="AM4691" s="13"/>
      <c r="AN4691" s="13"/>
      <c r="AO4691" s="13"/>
      <c r="AP4691" s="13"/>
      <c r="AQ4691" s="13"/>
      <c r="AR4691" s="13"/>
      <c r="AS4691" s="13"/>
    </row>
    <row r="4692" ht="14.25" customHeight="1">
      <c r="A4692" s="13"/>
      <c r="B4692" s="13"/>
      <c r="C4692" s="13"/>
      <c r="D4692" s="13"/>
      <c r="E4692" s="13"/>
      <c r="F4692" s="13"/>
      <c r="G4692" s="13"/>
      <c r="H4692" s="13"/>
      <c r="I4692" s="13"/>
      <c r="J4692" s="13"/>
      <c r="K4692" s="15"/>
      <c r="L4692" s="15"/>
      <c r="M4692" s="16"/>
      <c r="N4692" s="16"/>
      <c r="O4692" s="17"/>
      <c r="P4692" s="17"/>
      <c r="Q4692" s="13"/>
      <c r="R4692" s="13"/>
      <c r="S4692" s="13"/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  <c r="AG4692" s="13"/>
      <c r="AH4692" s="13"/>
      <c r="AI4692" s="13"/>
      <c r="AJ4692" s="13"/>
      <c r="AK4692" s="13"/>
      <c r="AL4692" s="13"/>
      <c r="AM4692" s="13"/>
      <c r="AN4692" s="13"/>
      <c r="AO4692" s="13"/>
      <c r="AP4692" s="13"/>
      <c r="AQ4692" s="13"/>
      <c r="AR4692" s="13"/>
      <c r="AS4692" s="13"/>
    </row>
    <row r="4693" ht="14.25" customHeight="1">
      <c r="A4693" s="13"/>
      <c r="B4693" s="13"/>
      <c r="C4693" s="13"/>
      <c r="D4693" s="13"/>
      <c r="E4693" s="13"/>
      <c r="F4693" s="13"/>
      <c r="G4693" s="13"/>
      <c r="H4693" s="13"/>
      <c r="I4693" s="13"/>
      <c r="J4693" s="13"/>
      <c r="K4693" s="15"/>
      <c r="L4693" s="15"/>
      <c r="M4693" s="16"/>
      <c r="N4693" s="16"/>
      <c r="O4693" s="17"/>
      <c r="P4693" s="17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  <c r="AG4693" s="13"/>
      <c r="AH4693" s="13"/>
      <c r="AI4693" s="13"/>
      <c r="AJ4693" s="13"/>
      <c r="AK4693" s="13"/>
      <c r="AL4693" s="13"/>
      <c r="AM4693" s="13"/>
      <c r="AN4693" s="13"/>
      <c r="AO4693" s="13"/>
      <c r="AP4693" s="13"/>
      <c r="AQ4693" s="13"/>
      <c r="AR4693" s="13"/>
      <c r="AS4693" s="13"/>
    </row>
    <row r="4694" ht="14.25" customHeight="1">
      <c r="A4694" s="13"/>
      <c r="B4694" s="13"/>
      <c r="C4694" s="13"/>
      <c r="D4694" s="13"/>
      <c r="E4694" s="13"/>
      <c r="F4694" s="13"/>
      <c r="G4694" s="13"/>
      <c r="H4694" s="13"/>
      <c r="I4694" s="13"/>
      <c r="J4694" s="13"/>
      <c r="K4694" s="15"/>
      <c r="L4694" s="15"/>
      <c r="M4694" s="16"/>
      <c r="N4694" s="16"/>
      <c r="O4694" s="17"/>
      <c r="P4694" s="17"/>
      <c r="Q4694" s="13"/>
      <c r="R4694" s="13"/>
      <c r="S4694" s="13"/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  <c r="AG4694" s="13"/>
      <c r="AH4694" s="13"/>
      <c r="AI4694" s="13"/>
      <c r="AJ4694" s="13"/>
      <c r="AK4694" s="13"/>
      <c r="AL4694" s="13"/>
      <c r="AM4694" s="13"/>
      <c r="AN4694" s="13"/>
      <c r="AO4694" s="13"/>
      <c r="AP4694" s="13"/>
      <c r="AQ4694" s="13"/>
      <c r="AR4694" s="13"/>
      <c r="AS4694" s="13"/>
    </row>
    <row r="4695" ht="14.25" customHeight="1">
      <c r="A4695" s="13"/>
      <c r="B4695" s="13"/>
      <c r="C4695" s="13"/>
      <c r="D4695" s="13"/>
      <c r="E4695" s="13"/>
      <c r="F4695" s="13"/>
      <c r="G4695" s="13"/>
      <c r="H4695" s="13"/>
      <c r="I4695" s="13"/>
      <c r="J4695" s="13"/>
      <c r="K4695" s="15"/>
      <c r="L4695" s="15"/>
      <c r="M4695" s="16"/>
      <c r="N4695" s="16"/>
      <c r="O4695" s="17"/>
      <c r="P4695" s="17"/>
      <c r="Q4695" s="13"/>
      <c r="R4695" s="13"/>
      <c r="S4695" s="13"/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  <c r="AG4695" s="13"/>
      <c r="AH4695" s="13"/>
      <c r="AI4695" s="13"/>
      <c r="AJ4695" s="13"/>
      <c r="AK4695" s="13"/>
      <c r="AL4695" s="13"/>
      <c r="AM4695" s="13"/>
      <c r="AN4695" s="13"/>
      <c r="AO4695" s="13"/>
      <c r="AP4695" s="13"/>
      <c r="AQ4695" s="13"/>
      <c r="AR4695" s="13"/>
      <c r="AS4695" s="13"/>
    </row>
    <row r="4696" ht="14.25" customHeight="1">
      <c r="A4696" s="13"/>
      <c r="B4696" s="13"/>
      <c r="C4696" s="13"/>
      <c r="D4696" s="13"/>
      <c r="E4696" s="13"/>
      <c r="F4696" s="13"/>
      <c r="G4696" s="13"/>
      <c r="H4696" s="13"/>
      <c r="I4696" s="13"/>
      <c r="J4696" s="13"/>
      <c r="K4696" s="15"/>
      <c r="L4696" s="15"/>
      <c r="M4696" s="16"/>
      <c r="N4696" s="16"/>
      <c r="O4696" s="17"/>
      <c r="P4696" s="17"/>
      <c r="Q4696" s="13"/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/>
      <c r="AH4696" s="13"/>
      <c r="AI4696" s="13"/>
      <c r="AJ4696" s="13"/>
      <c r="AK4696" s="13"/>
      <c r="AL4696" s="13"/>
      <c r="AM4696" s="13"/>
      <c r="AN4696" s="13"/>
      <c r="AO4696" s="13"/>
      <c r="AP4696" s="13"/>
      <c r="AQ4696" s="13"/>
      <c r="AR4696" s="13"/>
      <c r="AS4696" s="13"/>
    </row>
    <row r="4697" ht="14.25" customHeight="1">
      <c r="A4697" s="13"/>
      <c r="B4697" s="13"/>
      <c r="C4697" s="13"/>
      <c r="D4697" s="13"/>
      <c r="E4697" s="13"/>
      <c r="F4697" s="13"/>
      <c r="G4697" s="13"/>
      <c r="H4697" s="13"/>
      <c r="I4697" s="13"/>
      <c r="J4697" s="13"/>
      <c r="K4697" s="15"/>
      <c r="L4697" s="15"/>
      <c r="M4697" s="16"/>
      <c r="N4697" s="16"/>
      <c r="O4697" s="17"/>
      <c r="P4697" s="17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  <c r="AG4697" s="13"/>
      <c r="AH4697" s="13"/>
      <c r="AI4697" s="13"/>
      <c r="AJ4697" s="13"/>
      <c r="AK4697" s="13"/>
      <c r="AL4697" s="13"/>
      <c r="AM4697" s="13"/>
      <c r="AN4697" s="13"/>
      <c r="AO4697" s="13"/>
      <c r="AP4697" s="13"/>
      <c r="AQ4697" s="13"/>
      <c r="AR4697" s="13"/>
      <c r="AS4697" s="13"/>
    </row>
    <row r="4698" ht="14.25" customHeight="1">
      <c r="A4698" s="13"/>
      <c r="B4698" s="13"/>
      <c r="C4698" s="13"/>
      <c r="D4698" s="13"/>
      <c r="E4698" s="13"/>
      <c r="F4698" s="13"/>
      <c r="G4698" s="13"/>
      <c r="H4698" s="13"/>
      <c r="I4698" s="13"/>
      <c r="J4698" s="13"/>
      <c r="K4698" s="15"/>
      <c r="L4698" s="15"/>
      <c r="M4698" s="16"/>
      <c r="N4698" s="16"/>
      <c r="O4698" s="17"/>
      <c r="P4698" s="17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  <c r="AG4698" s="13"/>
      <c r="AH4698" s="13"/>
      <c r="AI4698" s="13"/>
      <c r="AJ4698" s="13"/>
      <c r="AK4698" s="13"/>
      <c r="AL4698" s="13"/>
      <c r="AM4698" s="13"/>
      <c r="AN4698" s="13"/>
      <c r="AO4698" s="13"/>
      <c r="AP4698" s="13"/>
      <c r="AQ4698" s="13"/>
      <c r="AR4698" s="13"/>
      <c r="AS4698" s="13"/>
    </row>
    <row r="4699" ht="14.25" customHeight="1">
      <c r="A4699" s="13"/>
      <c r="B4699" s="13"/>
      <c r="C4699" s="13"/>
      <c r="D4699" s="13"/>
      <c r="E4699" s="13"/>
      <c r="F4699" s="13"/>
      <c r="G4699" s="13"/>
      <c r="H4699" s="13"/>
      <c r="I4699" s="13"/>
      <c r="J4699" s="13"/>
      <c r="K4699" s="15"/>
      <c r="L4699" s="15"/>
      <c r="M4699" s="16"/>
      <c r="N4699" s="16"/>
      <c r="O4699" s="17"/>
      <c r="P4699" s="17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  <c r="AG4699" s="13"/>
      <c r="AH4699" s="13"/>
      <c r="AI4699" s="13"/>
      <c r="AJ4699" s="13"/>
      <c r="AK4699" s="13"/>
      <c r="AL4699" s="13"/>
      <c r="AM4699" s="13"/>
      <c r="AN4699" s="13"/>
      <c r="AO4699" s="13"/>
      <c r="AP4699" s="13"/>
      <c r="AQ4699" s="13"/>
      <c r="AR4699" s="13"/>
      <c r="AS4699" s="13"/>
    </row>
    <row r="4700" ht="14.25" customHeight="1">
      <c r="A4700" s="13"/>
      <c r="B4700" s="13"/>
      <c r="C4700" s="13"/>
      <c r="D4700" s="13"/>
      <c r="E4700" s="13"/>
      <c r="F4700" s="13"/>
      <c r="G4700" s="13"/>
      <c r="H4700" s="13"/>
      <c r="I4700" s="13"/>
      <c r="J4700" s="13"/>
      <c r="K4700" s="15"/>
      <c r="L4700" s="15"/>
      <c r="M4700" s="16"/>
      <c r="N4700" s="16"/>
      <c r="O4700" s="17"/>
      <c r="P4700" s="17"/>
      <c r="Q4700" s="13"/>
      <c r="R4700" s="13"/>
      <c r="S4700" s="13"/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  <c r="AG4700" s="13"/>
      <c r="AH4700" s="13"/>
      <c r="AI4700" s="13"/>
      <c r="AJ4700" s="13"/>
      <c r="AK4700" s="13"/>
      <c r="AL4700" s="13"/>
      <c r="AM4700" s="13"/>
      <c r="AN4700" s="13"/>
      <c r="AO4700" s="13"/>
      <c r="AP4700" s="13"/>
      <c r="AQ4700" s="13"/>
      <c r="AR4700" s="13"/>
      <c r="AS4700" s="13"/>
    </row>
    <row r="4701" ht="14.25" customHeight="1">
      <c r="A4701" s="13"/>
      <c r="B4701" s="13"/>
      <c r="C4701" s="13"/>
      <c r="D4701" s="13"/>
      <c r="E4701" s="13"/>
      <c r="F4701" s="13"/>
      <c r="G4701" s="13"/>
      <c r="H4701" s="13"/>
      <c r="I4701" s="13"/>
      <c r="J4701" s="13"/>
      <c r="K4701" s="15"/>
      <c r="L4701" s="15"/>
      <c r="M4701" s="16"/>
      <c r="N4701" s="16"/>
      <c r="O4701" s="17"/>
      <c r="P4701" s="17"/>
      <c r="Q4701" s="13"/>
      <c r="R4701" s="13"/>
      <c r="S4701" s="13"/>
      <c r="T4701" s="13"/>
      <c r="U4701" s="13"/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  <c r="AG4701" s="13"/>
      <c r="AH4701" s="13"/>
      <c r="AI4701" s="13"/>
      <c r="AJ4701" s="13"/>
      <c r="AK4701" s="13"/>
      <c r="AL4701" s="13"/>
      <c r="AM4701" s="13"/>
      <c r="AN4701" s="13"/>
      <c r="AO4701" s="13"/>
      <c r="AP4701" s="13"/>
      <c r="AQ4701" s="13"/>
      <c r="AR4701" s="13"/>
      <c r="AS4701" s="13"/>
    </row>
    <row r="4702" ht="14.25" customHeight="1">
      <c r="A4702" s="13"/>
      <c r="B4702" s="13"/>
      <c r="C4702" s="13"/>
      <c r="D4702" s="13"/>
      <c r="E4702" s="13"/>
      <c r="F4702" s="13"/>
      <c r="G4702" s="13"/>
      <c r="H4702" s="13"/>
      <c r="I4702" s="13"/>
      <c r="J4702" s="13"/>
      <c r="K4702" s="15"/>
      <c r="L4702" s="15"/>
      <c r="M4702" s="16"/>
      <c r="N4702" s="16"/>
      <c r="O4702" s="17"/>
      <c r="P4702" s="17"/>
      <c r="Q4702" s="13"/>
      <c r="R4702" s="13"/>
      <c r="S4702" s="13"/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  <c r="AG4702" s="13"/>
      <c r="AH4702" s="13"/>
      <c r="AI4702" s="13"/>
      <c r="AJ4702" s="13"/>
      <c r="AK4702" s="13"/>
      <c r="AL4702" s="13"/>
      <c r="AM4702" s="13"/>
      <c r="AN4702" s="13"/>
      <c r="AO4702" s="13"/>
      <c r="AP4702" s="13"/>
      <c r="AQ4702" s="13"/>
      <c r="AR4702" s="13"/>
      <c r="AS4702" s="13"/>
    </row>
    <row r="4703" ht="14.25" customHeight="1">
      <c r="A4703" s="13"/>
      <c r="B4703" s="13"/>
      <c r="C4703" s="13"/>
      <c r="D4703" s="13"/>
      <c r="E4703" s="13"/>
      <c r="F4703" s="13"/>
      <c r="G4703" s="13"/>
      <c r="H4703" s="13"/>
      <c r="I4703" s="13"/>
      <c r="J4703" s="13"/>
      <c r="K4703" s="15"/>
      <c r="L4703" s="15"/>
      <c r="M4703" s="16"/>
      <c r="N4703" s="16"/>
      <c r="O4703" s="17"/>
      <c r="P4703" s="17"/>
      <c r="Q4703" s="13"/>
      <c r="R4703" s="13"/>
      <c r="S4703" s="13"/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  <c r="AG4703" s="13"/>
      <c r="AH4703" s="13"/>
      <c r="AI4703" s="13"/>
      <c r="AJ4703" s="13"/>
      <c r="AK4703" s="13"/>
      <c r="AL4703" s="13"/>
      <c r="AM4703" s="13"/>
      <c r="AN4703" s="13"/>
      <c r="AO4703" s="13"/>
      <c r="AP4703" s="13"/>
      <c r="AQ4703" s="13"/>
      <c r="AR4703" s="13"/>
      <c r="AS4703" s="13"/>
    </row>
    <row r="4704" ht="14.25" customHeight="1">
      <c r="A4704" s="13"/>
      <c r="B4704" s="13"/>
      <c r="C4704" s="13"/>
      <c r="D4704" s="13"/>
      <c r="E4704" s="13"/>
      <c r="F4704" s="13"/>
      <c r="G4704" s="13"/>
      <c r="H4704" s="13"/>
      <c r="I4704" s="13"/>
      <c r="J4704" s="13"/>
      <c r="K4704" s="15"/>
      <c r="L4704" s="15"/>
      <c r="M4704" s="16"/>
      <c r="N4704" s="16"/>
      <c r="O4704" s="17"/>
      <c r="P4704" s="17"/>
      <c r="Q4704" s="13"/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  <c r="AG4704" s="13"/>
      <c r="AH4704" s="13"/>
      <c r="AI4704" s="13"/>
      <c r="AJ4704" s="13"/>
      <c r="AK4704" s="13"/>
      <c r="AL4704" s="13"/>
      <c r="AM4704" s="13"/>
      <c r="AN4704" s="13"/>
      <c r="AO4704" s="13"/>
      <c r="AP4704" s="13"/>
      <c r="AQ4704" s="13"/>
      <c r="AR4704" s="13"/>
      <c r="AS4704" s="13"/>
    </row>
    <row r="4705" ht="14.25" customHeight="1">
      <c r="A4705" s="13"/>
      <c r="B4705" s="13"/>
      <c r="C4705" s="13"/>
      <c r="D4705" s="13"/>
      <c r="E4705" s="13"/>
      <c r="F4705" s="13"/>
      <c r="G4705" s="13"/>
      <c r="H4705" s="13"/>
      <c r="I4705" s="13"/>
      <c r="J4705" s="13"/>
      <c r="K4705" s="15"/>
      <c r="L4705" s="15"/>
      <c r="M4705" s="16"/>
      <c r="N4705" s="16"/>
      <c r="O4705" s="17"/>
      <c r="P4705" s="17"/>
      <c r="Q4705" s="13"/>
      <c r="R4705" s="13"/>
      <c r="S4705" s="13"/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  <c r="AG4705" s="13"/>
      <c r="AH4705" s="13"/>
      <c r="AI4705" s="13"/>
      <c r="AJ4705" s="13"/>
      <c r="AK4705" s="13"/>
      <c r="AL4705" s="13"/>
      <c r="AM4705" s="13"/>
      <c r="AN4705" s="13"/>
      <c r="AO4705" s="13"/>
      <c r="AP4705" s="13"/>
      <c r="AQ4705" s="13"/>
      <c r="AR4705" s="13"/>
      <c r="AS4705" s="13"/>
    </row>
    <row r="4706" ht="14.25" customHeight="1">
      <c r="A4706" s="13"/>
      <c r="B4706" s="13"/>
      <c r="C4706" s="13"/>
      <c r="D4706" s="13"/>
      <c r="E4706" s="13"/>
      <c r="F4706" s="13"/>
      <c r="G4706" s="13"/>
      <c r="H4706" s="13"/>
      <c r="I4706" s="13"/>
      <c r="J4706" s="13"/>
      <c r="K4706" s="15"/>
      <c r="L4706" s="15"/>
      <c r="M4706" s="16"/>
      <c r="N4706" s="16"/>
      <c r="O4706" s="17"/>
      <c r="P4706" s="17"/>
      <c r="Q4706" s="13"/>
      <c r="R4706" s="13"/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  <c r="AG4706" s="13"/>
      <c r="AH4706" s="13"/>
      <c r="AI4706" s="13"/>
      <c r="AJ4706" s="13"/>
      <c r="AK4706" s="13"/>
      <c r="AL4706" s="13"/>
      <c r="AM4706" s="13"/>
      <c r="AN4706" s="13"/>
      <c r="AO4706" s="13"/>
      <c r="AP4706" s="13"/>
      <c r="AQ4706" s="13"/>
      <c r="AR4706" s="13"/>
      <c r="AS4706" s="13"/>
    </row>
    <row r="4707" ht="14.25" customHeight="1">
      <c r="A4707" s="13"/>
      <c r="B4707" s="13"/>
      <c r="C4707" s="13"/>
      <c r="D4707" s="13"/>
      <c r="E4707" s="13"/>
      <c r="F4707" s="13"/>
      <c r="G4707" s="13"/>
      <c r="H4707" s="13"/>
      <c r="I4707" s="13"/>
      <c r="J4707" s="13"/>
      <c r="K4707" s="15"/>
      <c r="L4707" s="15"/>
      <c r="M4707" s="16"/>
      <c r="N4707" s="16"/>
      <c r="O4707" s="17"/>
      <c r="P4707" s="17"/>
      <c r="Q4707" s="13"/>
      <c r="R4707" s="13"/>
      <c r="S4707" s="13"/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  <c r="AG4707" s="13"/>
      <c r="AH4707" s="13"/>
      <c r="AI4707" s="13"/>
      <c r="AJ4707" s="13"/>
      <c r="AK4707" s="13"/>
      <c r="AL4707" s="13"/>
      <c r="AM4707" s="13"/>
      <c r="AN4707" s="13"/>
      <c r="AO4707" s="13"/>
      <c r="AP4707" s="13"/>
      <c r="AQ4707" s="13"/>
      <c r="AR4707" s="13"/>
      <c r="AS4707" s="13"/>
    </row>
    <row r="4708" ht="14.25" customHeight="1">
      <c r="A4708" s="13"/>
      <c r="B4708" s="13"/>
      <c r="C4708" s="13"/>
      <c r="D4708" s="13"/>
      <c r="E4708" s="13"/>
      <c r="F4708" s="13"/>
      <c r="G4708" s="13"/>
      <c r="H4708" s="13"/>
      <c r="I4708" s="13"/>
      <c r="J4708" s="13"/>
      <c r="K4708" s="15"/>
      <c r="L4708" s="15"/>
      <c r="M4708" s="16"/>
      <c r="N4708" s="16"/>
      <c r="O4708" s="17"/>
      <c r="P4708" s="17"/>
      <c r="Q4708" s="13"/>
      <c r="R4708" s="13"/>
      <c r="S4708" s="13"/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  <c r="AG4708" s="13"/>
      <c r="AH4708" s="13"/>
      <c r="AI4708" s="13"/>
      <c r="AJ4708" s="13"/>
      <c r="AK4708" s="13"/>
      <c r="AL4708" s="13"/>
      <c r="AM4708" s="13"/>
      <c r="AN4708" s="13"/>
      <c r="AO4708" s="13"/>
      <c r="AP4708" s="13"/>
      <c r="AQ4708" s="13"/>
      <c r="AR4708" s="13"/>
      <c r="AS4708" s="13"/>
    </row>
    <row r="4709" ht="14.25" customHeight="1">
      <c r="A4709" s="13"/>
      <c r="B4709" s="13"/>
      <c r="C4709" s="13"/>
      <c r="D4709" s="13"/>
      <c r="E4709" s="13"/>
      <c r="F4709" s="13"/>
      <c r="G4709" s="13"/>
      <c r="H4709" s="13"/>
      <c r="I4709" s="13"/>
      <c r="J4709" s="13"/>
      <c r="K4709" s="15"/>
      <c r="L4709" s="15"/>
      <c r="M4709" s="16"/>
      <c r="N4709" s="16"/>
      <c r="O4709" s="17"/>
      <c r="P4709" s="17"/>
      <c r="Q4709" s="13"/>
      <c r="R4709" s="13"/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  <c r="AG4709" s="13"/>
      <c r="AH4709" s="13"/>
      <c r="AI4709" s="13"/>
      <c r="AJ4709" s="13"/>
      <c r="AK4709" s="13"/>
      <c r="AL4709" s="13"/>
      <c r="AM4709" s="13"/>
      <c r="AN4709" s="13"/>
      <c r="AO4709" s="13"/>
      <c r="AP4709" s="13"/>
      <c r="AQ4709" s="13"/>
      <c r="AR4709" s="13"/>
      <c r="AS4709" s="13"/>
    </row>
    <row r="4710" ht="14.25" customHeight="1">
      <c r="A4710" s="13"/>
      <c r="B4710" s="13"/>
      <c r="C4710" s="13"/>
      <c r="D4710" s="13"/>
      <c r="E4710" s="13"/>
      <c r="F4710" s="13"/>
      <c r="G4710" s="13"/>
      <c r="H4710" s="13"/>
      <c r="I4710" s="13"/>
      <c r="J4710" s="13"/>
      <c r="K4710" s="15"/>
      <c r="L4710" s="15"/>
      <c r="M4710" s="16"/>
      <c r="N4710" s="16"/>
      <c r="O4710" s="17"/>
      <c r="P4710" s="17"/>
      <c r="Q4710" s="13"/>
      <c r="R4710" s="13"/>
      <c r="S4710" s="13"/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3"/>
      <c r="AD4710" s="13"/>
      <c r="AE4710" s="13"/>
      <c r="AF4710" s="13"/>
      <c r="AG4710" s="13"/>
      <c r="AH4710" s="13"/>
      <c r="AI4710" s="13"/>
      <c r="AJ4710" s="13"/>
      <c r="AK4710" s="13"/>
      <c r="AL4710" s="13"/>
      <c r="AM4710" s="13"/>
      <c r="AN4710" s="13"/>
      <c r="AO4710" s="13"/>
      <c r="AP4710" s="13"/>
      <c r="AQ4710" s="13"/>
      <c r="AR4710" s="13"/>
      <c r="AS4710" s="13"/>
    </row>
    <row r="4711" ht="14.25" customHeight="1">
      <c r="A4711" s="13"/>
      <c r="B4711" s="13"/>
      <c r="C4711" s="13"/>
      <c r="D4711" s="13"/>
      <c r="E4711" s="13"/>
      <c r="F4711" s="13"/>
      <c r="G4711" s="13"/>
      <c r="H4711" s="13"/>
      <c r="I4711" s="13"/>
      <c r="J4711" s="13"/>
      <c r="K4711" s="15"/>
      <c r="L4711" s="15"/>
      <c r="M4711" s="16"/>
      <c r="N4711" s="16"/>
      <c r="O4711" s="17"/>
      <c r="P4711" s="17"/>
      <c r="Q4711" s="13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3"/>
      <c r="AD4711" s="13"/>
      <c r="AE4711" s="13"/>
      <c r="AF4711" s="13"/>
      <c r="AG4711" s="13"/>
      <c r="AH4711" s="13"/>
      <c r="AI4711" s="13"/>
      <c r="AJ4711" s="13"/>
      <c r="AK4711" s="13"/>
      <c r="AL4711" s="13"/>
      <c r="AM4711" s="13"/>
      <c r="AN4711" s="13"/>
      <c r="AO4711" s="13"/>
      <c r="AP4711" s="13"/>
      <c r="AQ4711" s="13"/>
      <c r="AR4711" s="13"/>
      <c r="AS4711" s="13"/>
    </row>
    <row r="4712" ht="14.25" customHeight="1">
      <c r="A4712" s="13"/>
      <c r="B4712" s="13"/>
      <c r="C4712" s="13"/>
      <c r="D4712" s="13"/>
      <c r="E4712" s="13"/>
      <c r="F4712" s="13"/>
      <c r="G4712" s="13"/>
      <c r="H4712" s="13"/>
      <c r="I4712" s="13"/>
      <c r="J4712" s="13"/>
      <c r="K4712" s="15"/>
      <c r="L4712" s="15"/>
      <c r="M4712" s="16"/>
      <c r="N4712" s="16"/>
      <c r="O4712" s="17"/>
      <c r="P4712" s="17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  <c r="AG4712" s="13"/>
      <c r="AH4712" s="13"/>
      <c r="AI4712" s="13"/>
      <c r="AJ4712" s="13"/>
      <c r="AK4712" s="13"/>
      <c r="AL4712" s="13"/>
      <c r="AM4712" s="13"/>
      <c r="AN4712" s="13"/>
      <c r="AO4712" s="13"/>
      <c r="AP4712" s="13"/>
      <c r="AQ4712" s="13"/>
      <c r="AR4712" s="13"/>
      <c r="AS4712" s="13"/>
    </row>
    <row r="4713" ht="14.25" customHeight="1">
      <c r="A4713" s="13"/>
      <c r="B4713" s="13"/>
      <c r="C4713" s="13"/>
      <c r="D4713" s="13"/>
      <c r="E4713" s="13"/>
      <c r="F4713" s="13"/>
      <c r="G4713" s="13"/>
      <c r="H4713" s="13"/>
      <c r="I4713" s="13"/>
      <c r="J4713" s="13"/>
      <c r="K4713" s="15"/>
      <c r="L4713" s="15"/>
      <c r="M4713" s="16"/>
      <c r="N4713" s="16"/>
      <c r="O4713" s="17"/>
      <c r="P4713" s="17"/>
      <c r="Q4713" s="13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  <c r="AG4713" s="13"/>
      <c r="AH4713" s="13"/>
      <c r="AI4713" s="13"/>
      <c r="AJ4713" s="13"/>
      <c r="AK4713" s="13"/>
      <c r="AL4713" s="13"/>
      <c r="AM4713" s="13"/>
      <c r="AN4713" s="13"/>
      <c r="AO4713" s="13"/>
      <c r="AP4713" s="13"/>
      <c r="AQ4713" s="13"/>
      <c r="AR4713" s="13"/>
      <c r="AS4713" s="13"/>
    </row>
    <row r="4714" ht="14.25" customHeight="1">
      <c r="A4714" s="13"/>
      <c r="B4714" s="13"/>
      <c r="C4714" s="13"/>
      <c r="D4714" s="13"/>
      <c r="E4714" s="13"/>
      <c r="F4714" s="13"/>
      <c r="G4714" s="13"/>
      <c r="H4714" s="13"/>
      <c r="I4714" s="13"/>
      <c r="J4714" s="13"/>
      <c r="K4714" s="15"/>
      <c r="L4714" s="15"/>
      <c r="M4714" s="16"/>
      <c r="N4714" s="16"/>
      <c r="O4714" s="17"/>
      <c r="P4714" s="17"/>
      <c r="Q4714" s="13"/>
      <c r="R4714" s="13"/>
      <c r="S4714" s="13"/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  <c r="AG4714" s="13"/>
      <c r="AH4714" s="13"/>
      <c r="AI4714" s="13"/>
      <c r="AJ4714" s="13"/>
      <c r="AK4714" s="13"/>
      <c r="AL4714" s="13"/>
      <c r="AM4714" s="13"/>
      <c r="AN4714" s="13"/>
      <c r="AO4714" s="13"/>
      <c r="AP4714" s="13"/>
      <c r="AQ4714" s="13"/>
      <c r="AR4714" s="13"/>
      <c r="AS4714" s="13"/>
    </row>
    <row r="4715" ht="14.25" customHeight="1">
      <c r="A4715" s="13"/>
      <c r="B4715" s="13"/>
      <c r="C4715" s="13"/>
      <c r="D4715" s="13"/>
      <c r="E4715" s="13"/>
      <c r="F4715" s="13"/>
      <c r="G4715" s="13"/>
      <c r="H4715" s="13"/>
      <c r="I4715" s="13"/>
      <c r="J4715" s="13"/>
      <c r="K4715" s="15"/>
      <c r="L4715" s="15"/>
      <c r="M4715" s="16"/>
      <c r="N4715" s="16"/>
      <c r="O4715" s="17"/>
      <c r="P4715" s="17"/>
      <c r="Q4715" s="13"/>
      <c r="R4715" s="13"/>
      <c r="S4715" s="13"/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  <c r="AG4715" s="13"/>
      <c r="AH4715" s="13"/>
      <c r="AI4715" s="13"/>
      <c r="AJ4715" s="13"/>
      <c r="AK4715" s="13"/>
      <c r="AL4715" s="13"/>
      <c r="AM4715" s="13"/>
      <c r="AN4715" s="13"/>
      <c r="AO4715" s="13"/>
      <c r="AP4715" s="13"/>
      <c r="AQ4715" s="13"/>
      <c r="AR4715" s="13"/>
      <c r="AS4715" s="13"/>
    </row>
    <row r="4716" ht="14.25" customHeight="1">
      <c r="A4716" s="13"/>
      <c r="B4716" s="13"/>
      <c r="C4716" s="13"/>
      <c r="D4716" s="13"/>
      <c r="E4716" s="13"/>
      <c r="F4716" s="13"/>
      <c r="G4716" s="13"/>
      <c r="H4716" s="13"/>
      <c r="I4716" s="13"/>
      <c r="J4716" s="13"/>
      <c r="K4716" s="15"/>
      <c r="L4716" s="15"/>
      <c r="M4716" s="16"/>
      <c r="N4716" s="16"/>
      <c r="O4716" s="17"/>
      <c r="P4716" s="17"/>
      <c r="Q4716" s="13"/>
      <c r="R4716" s="13"/>
      <c r="S4716" s="13"/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3"/>
      <c r="AD4716" s="13"/>
      <c r="AE4716" s="13"/>
      <c r="AF4716" s="13"/>
      <c r="AG4716" s="13"/>
      <c r="AH4716" s="13"/>
      <c r="AI4716" s="13"/>
      <c r="AJ4716" s="13"/>
      <c r="AK4716" s="13"/>
      <c r="AL4716" s="13"/>
      <c r="AM4716" s="13"/>
      <c r="AN4716" s="13"/>
      <c r="AO4716" s="13"/>
      <c r="AP4716" s="13"/>
      <c r="AQ4716" s="13"/>
      <c r="AR4716" s="13"/>
      <c r="AS4716" s="13"/>
    </row>
    <row r="4717" ht="14.25" customHeight="1">
      <c r="A4717" s="13"/>
      <c r="B4717" s="13"/>
      <c r="C4717" s="13"/>
      <c r="D4717" s="13"/>
      <c r="E4717" s="13"/>
      <c r="F4717" s="13"/>
      <c r="G4717" s="13"/>
      <c r="H4717" s="13"/>
      <c r="I4717" s="13"/>
      <c r="J4717" s="13"/>
      <c r="K4717" s="15"/>
      <c r="L4717" s="15"/>
      <c r="M4717" s="16"/>
      <c r="N4717" s="16"/>
      <c r="O4717" s="17"/>
      <c r="P4717" s="17"/>
      <c r="Q4717" s="13"/>
      <c r="R4717" s="13"/>
      <c r="S4717" s="13"/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  <c r="AG4717" s="13"/>
      <c r="AH4717" s="13"/>
      <c r="AI4717" s="13"/>
      <c r="AJ4717" s="13"/>
      <c r="AK4717" s="13"/>
      <c r="AL4717" s="13"/>
      <c r="AM4717" s="13"/>
      <c r="AN4717" s="13"/>
      <c r="AO4717" s="13"/>
      <c r="AP4717" s="13"/>
      <c r="AQ4717" s="13"/>
      <c r="AR4717" s="13"/>
      <c r="AS4717" s="13"/>
    </row>
    <row r="4718" ht="14.25" customHeight="1">
      <c r="A4718" s="13"/>
      <c r="B4718" s="13"/>
      <c r="C4718" s="13"/>
      <c r="D4718" s="13"/>
      <c r="E4718" s="13"/>
      <c r="F4718" s="13"/>
      <c r="G4718" s="13"/>
      <c r="H4718" s="13"/>
      <c r="I4718" s="13"/>
      <c r="J4718" s="13"/>
      <c r="K4718" s="15"/>
      <c r="L4718" s="15"/>
      <c r="M4718" s="16"/>
      <c r="N4718" s="16"/>
      <c r="O4718" s="17"/>
      <c r="P4718" s="17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  <c r="AG4718" s="13"/>
      <c r="AH4718" s="13"/>
      <c r="AI4718" s="13"/>
      <c r="AJ4718" s="13"/>
      <c r="AK4718" s="13"/>
      <c r="AL4718" s="13"/>
      <c r="AM4718" s="13"/>
      <c r="AN4718" s="13"/>
      <c r="AO4718" s="13"/>
      <c r="AP4718" s="13"/>
      <c r="AQ4718" s="13"/>
      <c r="AR4718" s="13"/>
      <c r="AS4718" s="13"/>
    </row>
    <row r="4719" ht="14.25" customHeight="1">
      <c r="A4719" s="13"/>
      <c r="B4719" s="13"/>
      <c r="C4719" s="13"/>
      <c r="D4719" s="13"/>
      <c r="E4719" s="13"/>
      <c r="F4719" s="13"/>
      <c r="G4719" s="13"/>
      <c r="H4719" s="13"/>
      <c r="I4719" s="13"/>
      <c r="J4719" s="13"/>
      <c r="K4719" s="15"/>
      <c r="L4719" s="15"/>
      <c r="M4719" s="16"/>
      <c r="N4719" s="16"/>
      <c r="O4719" s="17"/>
      <c r="P4719" s="17"/>
      <c r="Q4719" s="13"/>
      <c r="R4719" s="13"/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  <c r="AG4719" s="13"/>
      <c r="AH4719" s="13"/>
      <c r="AI4719" s="13"/>
      <c r="AJ4719" s="13"/>
      <c r="AK4719" s="13"/>
      <c r="AL4719" s="13"/>
      <c r="AM4719" s="13"/>
      <c r="AN4719" s="13"/>
      <c r="AO4719" s="13"/>
      <c r="AP4719" s="13"/>
      <c r="AQ4719" s="13"/>
      <c r="AR4719" s="13"/>
      <c r="AS4719" s="13"/>
    </row>
    <row r="4720" ht="14.25" customHeight="1">
      <c r="A4720" s="13"/>
      <c r="B4720" s="13"/>
      <c r="C4720" s="13"/>
      <c r="D4720" s="13"/>
      <c r="E4720" s="13"/>
      <c r="F4720" s="13"/>
      <c r="G4720" s="13"/>
      <c r="H4720" s="13"/>
      <c r="I4720" s="13"/>
      <c r="J4720" s="13"/>
      <c r="K4720" s="15"/>
      <c r="L4720" s="15"/>
      <c r="M4720" s="16"/>
      <c r="N4720" s="16"/>
      <c r="O4720" s="17"/>
      <c r="P4720" s="17"/>
      <c r="Q4720" s="13"/>
      <c r="R4720" s="13"/>
      <c r="S4720" s="13"/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  <c r="AG4720" s="13"/>
      <c r="AH4720" s="13"/>
      <c r="AI4720" s="13"/>
      <c r="AJ4720" s="13"/>
      <c r="AK4720" s="13"/>
      <c r="AL4720" s="13"/>
      <c r="AM4720" s="13"/>
      <c r="AN4720" s="13"/>
      <c r="AO4720" s="13"/>
      <c r="AP4720" s="13"/>
      <c r="AQ4720" s="13"/>
      <c r="AR4720" s="13"/>
      <c r="AS4720" s="13"/>
    </row>
    <row r="4721" ht="14.25" customHeight="1">
      <c r="A4721" s="13"/>
      <c r="B4721" s="13"/>
      <c r="C4721" s="13"/>
      <c r="D4721" s="13"/>
      <c r="E4721" s="13"/>
      <c r="F4721" s="13"/>
      <c r="G4721" s="13"/>
      <c r="H4721" s="13"/>
      <c r="I4721" s="13"/>
      <c r="J4721" s="13"/>
      <c r="K4721" s="15"/>
      <c r="L4721" s="15"/>
      <c r="M4721" s="16"/>
      <c r="N4721" s="16"/>
      <c r="O4721" s="17"/>
      <c r="P4721" s="17"/>
      <c r="Q4721" s="13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  <c r="AG4721" s="13"/>
      <c r="AH4721" s="13"/>
      <c r="AI4721" s="13"/>
      <c r="AJ4721" s="13"/>
      <c r="AK4721" s="13"/>
      <c r="AL4721" s="13"/>
      <c r="AM4721" s="13"/>
      <c r="AN4721" s="13"/>
      <c r="AO4721" s="13"/>
      <c r="AP4721" s="13"/>
      <c r="AQ4721" s="13"/>
      <c r="AR4721" s="13"/>
      <c r="AS4721" s="13"/>
    </row>
    <row r="4722" ht="14.25" customHeight="1">
      <c r="A4722" s="13"/>
      <c r="B4722" s="13"/>
      <c r="C4722" s="13"/>
      <c r="D4722" s="13"/>
      <c r="E4722" s="13"/>
      <c r="F4722" s="13"/>
      <c r="G4722" s="13"/>
      <c r="H4722" s="13"/>
      <c r="I4722" s="13"/>
      <c r="J4722" s="13"/>
      <c r="K4722" s="15"/>
      <c r="L4722" s="15"/>
      <c r="M4722" s="16"/>
      <c r="N4722" s="16"/>
      <c r="O4722" s="17"/>
      <c r="P4722" s="17"/>
      <c r="Q4722" s="13"/>
      <c r="R4722" s="13"/>
      <c r="S4722" s="13"/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3"/>
      <c r="AD4722" s="13"/>
      <c r="AE4722" s="13"/>
      <c r="AF4722" s="13"/>
      <c r="AG4722" s="13"/>
      <c r="AH4722" s="13"/>
      <c r="AI4722" s="13"/>
      <c r="AJ4722" s="13"/>
      <c r="AK4722" s="13"/>
      <c r="AL4722" s="13"/>
      <c r="AM4722" s="13"/>
      <c r="AN4722" s="13"/>
      <c r="AO4722" s="13"/>
      <c r="AP4722" s="13"/>
      <c r="AQ4722" s="13"/>
      <c r="AR4722" s="13"/>
      <c r="AS4722" s="13"/>
    </row>
    <row r="4723" ht="14.25" customHeight="1">
      <c r="A4723" s="13"/>
      <c r="B4723" s="13"/>
      <c r="C4723" s="13"/>
      <c r="D4723" s="13"/>
      <c r="E4723" s="13"/>
      <c r="F4723" s="13"/>
      <c r="G4723" s="13"/>
      <c r="H4723" s="13"/>
      <c r="I4723" s="13"/>
      <c r="J4723" s="13"/>
      <c r="K4723" s="15"/>
      <c r="L4723" s="15"/>
      <c r="M4723" s="16"/>
      <c r="N4723" s="16"/>
      <c r="O4723" s="17"/>
      <c r="P4723" s="17"/>
      <c r="Q4723" s="13"/>
      <c r="R4723" s="13"/>
      <c r="S4723" s="13"/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  <c r="AG4723" s="13"/>
      <c r="AH4723" s="13"/>
      <c r="AI4723" s="13"/>
      <c r="AJ4723" s="13"/>
      <c r="AK4723" s="13"/>
      <c r="AL4723" s="13"/>
      <c r="AM4723" s="13"/>
      <c r="AN4723" s="13"/>
      <c r="AO4723" s="13"/>
      <c r="AP4723" s="13"/>
      <c r="AQ4723" s="13"/>
      <c r="AR4723" s="13"/>
      <c r="AS4723" s="13"/>
    </row>
    <row r="4724" ht="14.25" customHeight="1">
      <c r="A4724" s="13"/>
      <c r="B4724" s="13"/>
      <c r="C4724" s="13"/>
      <c r="D4724" s="13"/>
      <c r="E4724" s="13"/>
      <c r="F4724" s="13"/>
      <c r="G4724" s="13"/>
      <c r="H4724" s="13"/>
      <c r="I4724" s="13"/>
      <c r="J4724" s="13"/>
      <c r="K4724" s="15"/>
      <c r="L4724" s="15"/>
      <c r="M4724" s="16"/>
      <c r="N4724" s="16"/>
      <c r="O4724" s="17"/>
      <c r="P4724" s="17"/>
      <c r="Q4724" s="13"/>
      <c r="R4724" s="13"/>
      <c r="S4724" s="13"/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  <c r="AG4724" s="13"/>
      <c r="AH4724" s="13"/>
      <c r="AI4724" s="13"/>
      <c r="AJ4724" s="13"/>
      <c r="AK4724" s="13"/>
      <c r="AL4724" s="13"/>
      <c r="AM4724" s="13"/>
      <c r="AN4724" s="13"/>
      <c r="AO4724" s="13"/>
      <c r="AP4724" s="13"/>
      <c r="AQ4724" s="13"/>
      <c r="AR4724" s="13"/>
      <c r="AS4724" s="13"/>
    </row>
    <row r="4725" ht="14.25" customHeight="1">
      <c r="A4725" s="13"/>
      <c r="B4725" s="13"/>
      <c r="C4725" s="13"/>
      <c r="D4725" s="13"/>
      <c r="E4725" s="13"/>
      <c r="F4725" s="13"/>
      <c r="G4725" s="13"/>
      <c r="H4725" s="13"/>
      <c r="I4725" s="13"/>
      <c r="J4725" s="13"/>
      <c r="K4725" s="15"/>
      <c r="L4725" s="15"/>
      <c r="M4725" s="16"/>
      <c r="N4725" s="16"/>
      <c r="O4725" s="17"/>
      <c r="P4725" s="17"/>
      <c r="Q4725" s="13"/>
      <c r="R4725" s="13"/>
      <c r="S4725" s="13"/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  <c r="AG4725" s="13"/>
      <c r="AH4725" s="13"/>
      <c r="AI4725" s="13"/>
      <c r="AJ4725" s="13"/>
      <c r="AK4725" s="13"/>
      <c r="AL4725" s="13"/>
      <c r="AM4725" s="13"/>
      <c r="AN4725" s="13"/>
      <c r="AO4725" s="13"/>
      <c r="AP4725" s="13"/>
      <c r="AQ4725" s="13"/>
      <c r="AR4725" s="13"/>
      <c r="AS4725" s="13"/>
    </row>
    <row r="4726" ht="14.25" customHeight="1">
      <c r="A4726" s="13"/>
      <c r="B4726" s="13"/>
      <c r="C4726" s="13"/>
      <c r="D4726" s="13"/>
      <c r="E4726" s="13"/>
      <c r="F4726" s="13"/>
      <c r="G4726" s="13"/>
      <c r="H4726" s="13"/>
      <c r="I4726" s="13"/>
      <c r="J4726" s="13"/>
      <c r="K4726" s="15"/>
      <c r="L4726" s="15"/>
      <c r="M4726" s="16"/>
      <c r="N4726" s="16"/>
      <c r="O4726" s="17"/>
      <c r="P4726" s="17"/>
      <c r="Q4726" s="13"/>
      <c r="R4726" s="13"/>
      <c r="S4726" s="13"/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3"/>
      <c r="AD4726" s="13"/>
      <c r="AE4726" s="13"/>
      <c r="AF4726" s="13"/>
      <c r="AG4726" s="13"/>
      <c r="AH4726" s="13"/>
      <c r="AI4726" s="13"/>
      <c r="AJ4726" s="13"/>
      <c r="AK4726" s="13"/>
      <c r="AL4726" s="13"/>
      <c r="AM4726" s="13"/>
      <c r="AN4726" s="13"/>
      <c r="AO4726" s="13"/>
      <c r="AP4726" s="13"/>
      <c r="AQ4726" s="13"/>
      <c r="AR4726" s="13"/>
      <c r="AS4726" s="13"/>
    </row>
    <row r="4727" ht="14.25" customHeight="1">
      <c r="A4727" s="13"/>
      <c r="B4727" s="13"/>
      <c r="C4727" s="13"/>
      <c r="D4727" s="13"/>
      <c r="E4727" s="13"/>
      <c r="F4727" s="13"/>
      <c r="G4727" s="13"/>
      <c r="H4727" s="13"/>
      <c r="I4727" s="13"/>
      <c r="J4727" s="13"/>
      <c r="K4727" s="15"/>
      <c r="L4727" s="15"/>
      <c r="M4727" s="16"/>
      <c r="N4727" s="16"/>
      <c r="O4727" s="17"/>
      <c r="P4727" s="17"/>
      <c r="Q4727" s="13"/>
      <c r="R4727" s="13"/>
      <c r="S4727" s="13"/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  <c r="AG4727" s="13"/>
      <c r="AH4727" s="13"/>
      <c r="AI4727" s="13"/>
      <c r="AJ4727" s="13"/>
      <c r="AK4727" s="13"/>
      <c r="AL4727" s="13"/>
      <c r="AM4727" s="13"/>
      <c r="AN4727" s="13"/>
      <c r="AO4727" s="13"/>
      <c r="AP4727" s="13"/>
      <c r="AQ4727" s="13"/>
      <c r="AR4727" s="13"/>
      <c r="AS4727" s="13"/>
    </row>
    <row r="4728" ht="14.25" customHeight="1">
      <c r="A4728" s="13"/>
      <c r="B4728" s="13"/>
      <c r="C4728" s="13"/>
      <c r="D4728" s="13"/>
      <c r="E4728" s="13"/>
      <c r="F4728" s="13"/>
      <c r="G4728" s="13"/>
      <c r="H4728" s="13"/>
      <c r="I4728" s="13"/>
      <c r="J4728" s="13"/>
      <c r="K4728" s="15"/>
      <c r="L4728" s="15"/>
      <c r="M4728" s="16"/>
      <c r="N4728" s="16"/>
      <c r="O4728" s="17"/>
      <c r="P4728" s="17"/>
      <c r="Q4728" s="13"/>
      <c r="R4728" s="13"/>
      <c r="S4728" s="13"/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  <c r="AG4728" s="13"/>
      <c r="AH4728" s="13"/>
      <c r="AI4728" s="13"/>
      <c r="AJ4728" s="13"/>
      <c r="AK4728" s="13"/>
      <c r="AL4728" s="13"/>
      <c r="AM4728" s="13"/>
      <c r="AN4728" s="13"/>
      <c r="AO4728" s="13"/>
      <c r="AP4728" s="13"/>
      <c r="AQ4728" s="13"/>
      <c r="AR4728" s="13"/>
      <c r="AS4728" s="13"/>
    </row>
    <row r="4729" ht="14.25" customHeight="1">
      <c r="A4729" s="13"/>
      <c r="B4729" s="13"/>
      <c r="C4729" s="13"/>
      <c r="D4729" s="13"/>
      <c r="E4729" s="13"/>
      <c r="F4729" s="13"/>
      <c r="G4729" s="13"/>
      <c r="H4729" s="13"/>
      <c r="I4729" s="13"/>
      <c r="J4729" s="13"/>
      <c r="K4729" s="15"/>
      <c r="L4729" s="15"/>
      <c r="M4729" s="16"/>
      <c r="N4729" s="16"/>
      <c r="O4729" s="17"/>
      <c r="P4729" s="17"/>
      <c r="Q4729" s="13"/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  <c r="AG4729" s="13"/>
      <c r="AH4729" s="13"/>
      <c r="AI4729" s="13"/>
      <c r="AJ4729" s="13"/>
      <c r="AK4729" s="13"/>
      <c r="AL4729" s="13"/>
      <c r="AM4729" s="13"/>
      <c r="AN4729" s="13"/>
      <c r="AO4729" s="13"/>
      <c r="AP4729" s="13"/>
      <c r="AQ4729" s="13"/>
      <c r="AR4729" s="13"/>
      <c r="AS4729" s="13"/>
    </row>
    <row r="4730" ht="14.25" customHeight="1">
      <c r="A4730" s="13"/>
      <c r="B4730" s="13"/>
      <c r="C4730" s="13"/>
      <c r="D4730" s="13"/>
      <c r="E4730" s="13"/>
      <c r="F4730" s="13"/>
      <c r="G4730" s="13"/>
      <c r="H4730" s="13"/>
      <c r="I4730" s="13"/>
      <c r="J4730" s="13"/>
      <c r="K4730" s="15"/>
      <c r="L4730" s="15"/>
      <c r="M4730" s="16"/>
      <c r="N4730" s="16"/>
      <c r="O4730" s="17"/>
      <c r="P4730" s="17"/>
      <c r="Q4730" s="13"/>
      <c r="R4730" s="13"/>
      <c r="S4730" s="13"/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3"/>
      <c r="AD4730" s="13"/>
      <c r="AE4730" s="13"/>
      <c r="AF4730" s="13"/>
      <c r="AG4730" s="13"/>
      <c r="AH4730" s="13"/>
      <c r="AI4730" s="13"/>
      <c r="AJ4730" s="13"/>
      <c r="AK4730" s="13"/>
      <c r="AL4730" s="13"/>
      <c r="AM4730" s="13"/>
      <c r="AN4730" s="13"/>
      <c r="AO4730" s="13"/>
      <c r="AP4730" s="13"/>
      <c r="AQ4730" s="13"/>
      <c r="AR4730" s="13"/>
      <c r="AS4730" s="13"/>
    </row>
    <row r="4731" ht="14.25" customHeight="1">
      <c r="A4731" s="13"/>
      <c r="B4731" s="13"/>
      <c r="C4731" s="13"/>
      <c r="D4731" s="13"/>
      <c r="E4731" s="13"/>
      <c r="F4731" s="13"/>
      <c r="G4731" s="13"/>
      <c r="H4731" s="13"/>
      <c r="I4731" s="13"/>
      <c r="J4731" s="13"/>
      <c r="K4731" s="15"/>
      <c r="L4731" s="15"/>
      <c r="M4731" s="16"/>
      <c r="N4731" s="16"/>
      <c r="O4731" s="17"/>
      <c r="P4731" s="17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  <c r="AG4731" s="13"/>
      <c r="AH4731" s="13"/>
      <c r="AI4731" s="13"/>
      <c r="AJ4731" s="13"/>
      <c r="AK4731" s="13"/>
      <c r="AL4731" s="13"/>
      <c r="AM4731" s="13"/>
      <c r="AN4731" s="13"/>
      <c r="AO4731" s="13"/>
      <c r="AP4731" s="13"/>
      <c r="AQ4731" s="13"/>
      <c r="AR4731" s="13"/>
      <c r="AS4731" s="13"/>
    </row>
    <row r="4732" ht="14.25" customHeight="1">
      <c r="A4732" s="13"/>
      <c r="B4732" s="13"/>
      <c r="C4732" s="13"/>
      <c r="D4732" s="13"/>
      <c r="E4732" s="13"/>
      <c r="F4732" s="13"/>
      <c r="G4732" s="13"/>
      <c r="H4732" s="13"/>
      <c r="I4732" s="13"/>
      <c r="J4732" s="13"/>
      <c r="K4732" s="15"/>
      <c r="L4732" s="15"/>
      <c r="M4732" s="16"/>
      <c r="N4732" s="16"/>
      <c r="O4732" s="17"/>
      <c r="P4732" s="17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3"/>
      <c r="AD4732" s="13"/>
      <c r="AE4732" s="13"/>
      <c r="AF4732" s="13"/>
      <c r="AG4732" s="13"/>
      <c r="AH4732" s="13"/>
      <c r="AI4732" s="13"/>
      <c r="AJ4732" s="13"/>
      <c r="AK4732" s="13"/>
      <c r="AL4732" s="13"/>
      <c r="AM4732" s="13"/>
      <c r="AN4732" s="13"/>
      <c r="AO4732" s="13"/>
      <c r="AP4732" s="13"/>
      <c r="AQ4732" s="13"/>
      <c r="AR4732" s="13"/>
      <c r="AS4732" s="13"/>
    </row>
    <row r="4733" ht="14.25" customHeight="1">
      <c r="A4733" s="13"/>
      <c r="B4733" s="13"/>
      <c r="C4733" s="13"/>
      <c r="D4733" s="13"/>
      <c r="E4733" s="13"/>
      <c r="F4733" s="13"/>
      <c r="G4733" s="13"/>
      <c r="H4733" s="13"/>
      <c r="I4733" s="13"/>
      <c r="J4733" s="13"/>
      <c r="K4733" s="15"/>
      <c r="L4733" s="15"/>
      <c r="M4733" s="16"/>
      <c r="N4733" s="16"/>
      <c r="O4733" s="17"/>
      <c r="P4733" s="17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  <c r="AG4733" s="13"/>
      <c r="AH4733" s="13"/>
      <c r="AI4733" s="13"/>
      <c r="AJ4733" s="13"/>
      <c r="AK4733" s="13"/>
      <c r="AL4733" s="13"/>
      <c r="AM4733" s="13"/>
      <c r="AN4733" s="13"/>
      <c r="AO4733" s="13"/>
      <c r="AP4733" s="13"/>
      <c r="AQ4733" s="13"/>
      <c r="AR4733" s="13"/>
      <c r="AS4733" s="13"/>
    </row>
    <row r="4734" ht="14.25" customHeight="1">
      <c r="A4734" s="13"/>
      <c r="B4734" s="13"/>
      <c r="C4734" s="13"/>
      <c r="D4734" s="13"/>
      <c r="E4734" s="13"/>
      <c r="F4734" s="13"/>
      <c r="G4734" s="13"/>
      <c r="H4734" s="13"/>
      <c r="I4734" s="13"/>
      <c r="J4734" s="13"/>
      <c r="K4734" s="15"/>
      <c r="L4734" s="15"/>
      <c r="M4734" s="16"/>
      <c r="N4734" s="16"/>
      <c r="O4734" s="17"/>
      <c r="P4734" s="17"/>
      <c r="Q4734" s="13"/>
      <c r="R4734" s="13"/>
      <c r="S4734" s="13"/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  <c r="AG4734" s="13"/>
      <c r="AH4734" s="13"/>
      <c r="AI4734" s="13"/>
      <c r="AJ4734" s="13"/>
      <c r="AK4734" s="13"/>
      <c r="AL4734" s="13"/>
      <c r="AM4734" s="13"/>
      <c r="AN4734" s="13"/>
      <c r="AO4734" s="13"/>
      <c r="AP4734" s="13"/>
      <c r="AQ4734" s="13"/>
      <c r="AR4734" s="13"/>
      <c r="AS4734" s="13"/>
    </row>
    <row r="4735" ht="14.25" customHeight="1">
      <c r="A4735" s="13"/>
      <c r="B4735" s="13"/>
      <c r="C4735" s="13"/>
      <c r="D4735" s="13"/>
      <c r="E4735" s="13"/>
      <c r="F4735" s="13"/>
      <c r="G4735" s="13"/>
      <c r="H4735" s="13"/>
      <c r="I4735" s="13"/>
      <c r="J4735" s="13"/>
      <c r="K4735" s="15"/>
      <c r="L4735" s="15"/>
      <c r="M4735" s="16"/>
      <c r="N4735" s="16"/>
      <c r="O4735" s="17"/>
      <c r="P4735" s="17"/>
      <c r="Q4735" s="13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  <c r="AG4735" s="13"/>
      <c r="AH4735" s="13"/>
      <c r="AI4735" s="13"/>
      <c r="AJ4735" s="13"/>
      <c r="AK4735" s="13"/>
      <c r="AL4735" s="13"/>
      <c r="AM4735" s="13"/>
      <c r="AN4735" s="13"/>
      <c r="AO4735" s="13"/>
      <c r="AP4735" s="13"/>
      <c r="AQ4735" s="13"/>
      <c r="AR4735" s="13"/>
      <c r="AS4735" s="13"/>
    </row>
    <row r="4736" ht="14.25" customHeight="1">
      <c r="A4736" s="13"/>
      <c r="B4736" s="13"/>
      <c r="C4736" s="13"/>
      <c r="D4736" s="13"/>
      <c r="E4736" s="13"/>
      <c r="F4736" s="13"/>
      <c r="G4736" s="13"/>
      <c r="H4736" s="13"/>
      <c r="I4736" s="13"/>
      <c r="J4736" s="13"/>
      <c r="K4736" s="15"/>
      <c r="L4736" s="15"/>
      <c r="M4736" s="16"/>
      <c r="N4736" s="16"/>
      <c r="O4736" s="17"/>
      <c r="P4736" s="17"/>
      <c r="Q4736" s="13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  <c r="AG4736" s="13"/>
      <c r="AH4736" s="13"/>
      <c r="AI4736" s="13"/>
      <c r="AJ4736" s="13"/>
      <c r="AK4736" s="13"/>
      <c r="AL4736" s="13"/>
      <c r="AM4736" s="13"/>
      <c r="AN4736" s="13"/>
      <c r="AO4736" s="13"/>
      <c r="AP4736" s="13"/>
      <c r="AQ4736" s="13"/>
      <c r="AR4736" s="13"/>
      <c r="AS4736" s="13"/>
    </row>
    <row r="4737" ht="14.25" customHeight="1">
      <c r="A4737" s="13"/>
      <c r="B4737" s="13"/>
      <c r="C4737" s="13"/>
      <c r="D4737" s="13"/>
      <c r="E4737" s="13"/>
      <c r="F4737" s="13"/>
      <c r="G4737" s="13"/>
      <c r="H4737" s="13"/>
      <c r="I4737" s="13"/>
      <c r="J4737" s="13"/>
      <c r="K4737" s="15"/>
      <c r="L4737" s="15"/>
      <c r="M4737" s="16"/>
      <c r="N4737" s="16"/>
      <c r="O4737" s="17"/>
      <c r="P4737" s="17"/>
      <c r="Q4737" s="13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3"/>
      <c r="AD4737" s="13"/>
      <c r="AE4737" s="13"/>
      <c r="AF4737" s="13"/>
      <c r="AG4737" s="13"/>
      <c r="AH4737" s="13"/>
      <c r="AI4737" s="13"/>
      <c r="AJ4737" s="13"/>
      <c r="AK4737" s="13"/>
      <c r="AL4737" s="13"/>
      <c r="AM4737" s="13"/>
      <c r="AN4737" s="13"/>
      <c r="AO4737" s="13"/>
      <c r="AP4737" s="13"/>
      <c r="AQ4737" s="13"/>
      <c r="AR4737" s="13"/>
      <c r="AS4737" s="13"/>
    </row>
    <row r="4738" ht="14.25" customHeight="1">
      <c r="A4738" s="13"/>
      <c r="B4738" s="13"/>
      <c r="C4738" s="13"/>
      <c r="D4738" s="13"/>
      <c r="E4738" s="13"/>
      <c r="F4738" s="13"/>
      <c r="G4738" s="13"/>
      <c r="H4738" s="13"/>
      <c r="I4738" s="13"/>
      <c r="J4738" s="13"/>
      <c r="K4738" s="15"/>
      <c r="L4738" s="15"/>
      <c r="M4738" s="16"/>
      <c r="N4738" s="16"/>
      <c r="O4738" s="17"/>
      <c r="P4738" s="17"/>
      <c r="Q4738" s="13"/>
      <c r="R4738" s="13"/>
      <c r="S4738" s="13"/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  <c r="AG4738" s="13"/>
      <c r="AH4738" s="13"/>
      <c r="AI4738" s="13"/>
      <c r="AJ4738" s="13"/>
      <c r="AK4738" s="13"/>
      <c r="AL4738" s="13"/>
      <c r="AM4738" s="13"/>
      <c r="AN4738" s="13"/>
      <c r="AO4738" s="13"/>
      <c r="AP4738" s="13"/>
      <c r="AQ4738" s="13"/>
      <c r="AR4738" s="13"/>
      <c r="AS4738" s="13"/>
    </row>
    <row r="4739" ht="14.25" customHeight="1">
      <c r="A4739" s="13"/>
      <c r="B4739" s="13"/>
      <c r="C4739" s="13"/>
      <c r="D4739" s="13"/>
      <c r="E4739" s="13"/>
      <c r="F4739" s="13"/>
      <c r="G4739" s="13"/>
      <c r="H4739" s="13"/>
      <c r="I4739" s="13"/>
      <c r="J4739" s="13"/>
      <c r="K4739" s="15"/>
      <c r="L4739" s="15"/>
      <c r="M4739" s="16"/>
      <c r="N4739" s="16"/>
      <c r="O4739" s="17"/>
      <c r="P4739" s="17"/>
      <c r="Q4739" s="13"/>
      <c r="R4739" s="13"/>
      <c r="S4739" s="13"/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3"/>
      <c r="AD4739" s="13"/>
      <c r="AE4739" s="13"/>
      <c r="AF4739" s="13"/>
      <c r="AG4739" s="13"/>
      <c r="AH4739" s="13"/>
      <c r="AI4739" s="13"/>
      <c r="AJ4739" s="13"/>
      <c r="AK4739" s="13"/>
      <c r="AL4739" s="13"/>
      <c r="AM4739" s="13"/>
      <c r="AN4739" s="13"/>
      <c r="AO4739" s="13"/>
      <c r="AP4739" s="13"/>
      <c r="AQ4739" s="13"/>
      <c r="AR4739" s="13"/>
      <c r="AS4739" s="13"/>
    </row>
    <row r="4740" ht="14.25" customHeight="1">
      <c r="A4740" s="13"/>
      <c r="B4740" s="13"/>
      <c r="C4740" s="13"/>
      <c r="D4740" s="13"/>
      <c r="E4740" s="13"/>
      <c r="F4740" s="13"/>
      <c r="G4740" s="13"/>
      <c r="H4740" s="13"/>
      <c r="I4740" s="13"/>
      <c r="J4740" s="13"/>
      <c r="K4740" s="15"/>
      <c r="L4740" s="15"/>
      <c r="M4740" s="16"/>
      <c r="N4740" s="16"/>
      <c r="O4740" s="17"/>
      <c r="P4740" s="17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  <c r="AG4740" s="13"/>
      <c r="AH4740" s="13"/>
      <c r="AI4740" s="13"/>
      <c r="AJ4740" s="13"/>
      <c r="AK4740" s="13"/>
      <c r="AL4740" s="13"/>
      <c r="AM4740" s="13"/>
      <c r="AN4740" s="13"/>
      <c r="AO4740" s="13"/>
      <c r="AP4740" s="13"/>
      <c r="AQ4740" s="13"/>
      <c r="AR4740" s="13"/>
      <c r="AS4740" s="13"/>
    </row>
    <row r="4741" ht="14.25" customHeight="1">
      <c r="A4741" s="13"/>
      <c r="B4741" s="13"/>
      <c r="C4741" s="13"/>
      <c r="D4741" s="13"/>
      <c r="E4741" s="13"/>
      <c r="F4741" s="13"/>
      <c r="G4741" s="13"/>
      <c r="H4741" s="13"/>
      <c r="I4741" s="13"/>
      <c r="J4741" s="13"/>
      <c r="K4741" s="15"/>
      <c r="L4741" s="15"/>
      <c r="M4741" s="16"/>
      <c r="N4741" s="16"/>
      <c r="O4741" s="17"/>
      <c r="P4741" s="17"/>
      <c r="Q4741" s="13"/>
      <c r="R4741" s="13"/>
      <c r="S4741" s="13"/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  <c r="AG4741" s="13"/>
      <c r="AH4741" s="13"/>
      <c r="AI4741" s="13"/>
      <c r="AJ4741" s="13"/>
      <c r="AK4741" s="13"/>
      <c r="AL4741" s="13"/>
      <c r="AM4741" s="13"/>
      <c r="AN4741" s="13"/>
      <c r="AO4741" s="13"/>
      <c r="AP4741" s="13"/>
      <c r="AQ4741" s="13"/>
      <c r="AR4741" s="13"/>
      <c r="AS4741" s="13"/>
    </row>
    <row r="4742" ht="14.25" customHeight="1">
      <c r="A4742" s="13"/>
      <c r="B4742" s="13"/>
      <c r="C4742" s="13"/>
      <c r="D4742" s="13"/>
      <c r="E4742" s="13"/>
      <c r="F4742" s="13"/>
      <c r="G4742" s="13"/>
      <c r="H4742" s="13"/>
      <c r="I4742" s="13"/>
      <c r="J4742" s="13"/>
      <c r="K4742" s="15"/>
      <c r="L4742" s="15"/>
      <c r="M4742" s="16"/>
      <c r="N4742" s="16"/>
      <c r="O4742" s="17"/>
      <c r="P4742" s="17"/>
      <c r="Q4742" s="13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  <c r="AG4742" s="13"/>
      <c r="AH4742" s="13"/>
      <c r="AI4742" s="13"/>
      <c r="AJ4742" s="13"/>
      <c r="AK4742" s="13"/>
      <c r="AL4742" s="13"/>
      <c r="AM4742" s="13"/>
      <c r="AN4742" s="13"/>
      <c r="AO4742" s="13"/>
      <c r="AP4742" s="13"/>
      <c r="AQ4742" s="13"/>
      <c r="AR4742" s="13"/>
      <c r="AS4742" s="13"/>
    </row>
    <row r="4743" ht="14.25" customHeight="1">
      <c r="A4743" s="13"/>
      <c r="B4743" s="13"/>
      <c r="C4743" s="13"/>
      <c r="D4743" s="13"/>
      <c r="E4743" s="13"/>
      <c r="F4743" s="13"/>
      <c r="G4743" s="13"/>
      <c r="H4743" s="13"/>
      <c r="I4743" s="13"/>
      <c r="J4743" s="13"/>
      <c r="K4743" s="15"/>
      <c r="L4743" s="15"/>
      <c r="M4743" s="16"/>
      <c r="N4743" s="16"/>
      <c r="O4743" s="17"/>
      <c r="P4743" s="17"/>
      <c r="Q4743" s="13"/>
      <c r="R4743" s="13"/>
      <c r="S4743" s="13"/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  <c r="AG4743" s="13"/>
      <c r="AH4743" s="13"/>
      <c r="AI4743" s="13"/>
      <c r="AJ4743" s="13"/>
      <c r="AK4743" s="13"/>
      <c r="AL4743" s="13"/>
      <c r="AM4743" s="13"/>
      <c r="AN4743" s="13"/>
      <c r="AO4743" s="13"/>
      <c r="AP4743" s="13"/>
      <c r="AQ4743" s="13"/>
      <c r="AR4743" s="13"/>
      <c r="AS4743" s="13"/>
    </row>
    <row r="4744" ht="14.25" customHeight="1">
      <c r="A4744" s="13"/>
      <c r="B4744" s="13"/>
      <c r="C4744" s="13"/>
      <c r="D4744" s="13"/>
      <c r="E4744" s="13"/>
      <c r="F4744" s="13"/>
      <c r="G4744" s="13"/>
      <c r="H4744" s="13"/>
      <c r="I4744" s="13"/>
      <c r="J4744" s="13"/>
      <c r="K4744" s="15"/>
      <c r="L4744" s="15"/>
      <c r="M4744" s="16"/>
      <c r="N4744" s="16"/>
      <c r="O4744" s="17"/>
      <c r="P4744" s="17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3"/>
      <c r="AD4744" s="13"/>
      <c r="AE4744" s="13"/>
      <c r="AF4744" s="13"/>
      <c r="AG4744" s="13"/>
      <c r="AH4744" s="13"/>
      <c r="AI4744" s="13"/>
      <c r="AJ4744" s="13"/>
      <c r="AK4744" s="13"/>
      <c r="AL4744" s="13"/>
      <c r="AM4744" s="13"/>
      <c r="AN4744" s="13"/>
      <c r="AO4744" s="13"/>
      <c r="AP4744" s="13"/>
      <c r="AQ4744" s="13"/>
      <c r="AR4744" s="13"/>
      <c r="AS4744" s="13"/>
    </row>
    <row r="4745" ht="14.25" customHeight="1">
      <c r="A4745" s="13"/>
      <c r="B4745" s="13"/>
      <c r="C4745" s="13"/>
      <c r="D4745" s="13"/>
      <c r="E4745" s="13"/>
      <c r="F4745" s="13"/>
      <c r="G4745" s="13"/>
      <c r="H4745" s="13"/>
      <c r="I4745" s="13"/>
      <c r="J4745" s="13"/>
      <c r="K4745" s="15"/>
      <c r="L4745" s="15"/>
      <c r="M4745" s="16"/>
      <c r="N4745" s="16"/>
      <c r="O4745" s="17"/>
      <c r="P4745" s="17"/>
      <c r="Q4745" s="13"/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  <c r="AG4745" s="13"/>
      <c r="AH4745" s="13"/>
      <c r="AI4745" s="13"/>
      <c r="AJ4745" s="13"/>
      <c r="AK4745" s="13"/>
      <c r="AL4745" s="13"/>
      <c r="AM4745" s="13"/>
      <c r="AN4745" s="13"/>
      <c r="AO4745" s="13"/>
      <c r="AP4745" s="13"/>
      <c r="AQ4745" s="13"/>
      <c r="AR4745" s="13"/>
      <c r="AS4745" s="13"/>
    </row>
    <row r="4746" ht="14.25" customHeight="1">
      <c r="A4746" s="13"/>
      <c r="B4746" s="13"/>
      <c r="C4746" s="13"/>
      <c r="D4746" s="13"/>
      <c r="E4746" s="13"/>
      <c r="F4746" s="13"/>
      <c r="G4746" s="13"/>
      <c r="H4746" s="13"/>
      <c r="I4746" s="13"/>
      <c r="J4746" s="13"/>
      <c r="K4746" s="15"/>
      <c r="L4746" s="15"/>
      <c r="M4746" s="16"/>
      <c r="N4746" s="16"/>
      <c r="O4746" s="17"/>
      <c r="P4746" s="17"/>
      <c r="Q4746" s="13"/>
      <c r="R4746" s="13"/>
      <c r="S4746" s="13"/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  <c r="AG4746" s="13"/>
      <c r="AH4746" s="13"/>
      <c r="AI4746" s="13"/>
      <c r="AJ4746" s="13"/>
      <c r="AK4746" s="13"/>
      <c r="AL4746" s="13"/>
      <c r="AM4746" s="13"/>
      <c r="AN4746" s="13"/>
      <c r="AO4746" s="13"/>
      <c r="AP4746" s="13"/>
      <c r="AQ4746" s="13"/>
      <c r="AR4746" s="13"/>
      <c r="AS4746" s="13"/>
    </row>
    <row r="4747" ht="14.25" customHeight="1">
      <c r="A4747" s="13"/>
      <c r="B4747" s="13"/>
      <c r="C4747" s="13"/>
      <c r="D4747" s="13"/>
      <c r="E4747" s="13"/>
      <c r="F4747" s="13"/>
      <c r="G4747" s="13"/>
      <c r="H4747" s="13"/>
      <c r="I4747" s="13"/>
      <c r="J4747" s="13"/>
      <c r="K4747" s="15"/>
      <c r="L4747" s="15"/>
      <c r="M4747" s="16"/>
      <c r="N4747" s="16"/>
      <c r="O4747" s="17"/>
      <c r="P4747" s="17"/>
      <c r="Q4747" s="13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3"/>
      <c r="AD4747" s="13"/>
      <c r="AE4747" s="13"/>
      <c r="AF4747" s="13"/>
      <c r="AG4747" s="13"/>
      <c r="AH4747" s="13"/>
      <c r="AI4747" s="13"/>
      <c r="AJ4747" s="13"/>
      <c r="AK4747" s="13"/>
      <c r="AL4747" s="13"/>
      <c r="AM4747" s="13"/>
      <c r="AN4747" s="13"/>
      <c r="AO4747" s="13"/>
      <c r="AP4747" s="13"/>
      <c r="AQ4747" s="13"/>
      <c r="AR4747" s="13"/>
      <c r="AS4747" s="13"/>
    </row>
    <row r="4748" ht="14.25" customHeight="1">
      <c r="A4748" s="13"/>
      <c r="B4748" s="13"/>
      <c r="C4748" s="13"/>
      <c r="D4748" s="13"/>
      <c r="E4748" s="13"/>
      <c r="F4748" s="13"/>
      <c r="G4748" s="13"/>
      <c r="H4748" s="13"/>
      <c r="I4748" s="13"/>
      <c r="J4748" s="13"/>
      <c r="K4748" s="15"/>
      <c r="L4748" s="15"/>
      <c r="M4748" s="16"/>
      <c r="N4748" s="16"/>
      <c r="O4748" s="17"/>
      <c r="P4748" s="17"/>
      <c r="Q4748" s="13"/>
      <c r="R4748" s="13"/>
      <c r="S4748" s="13"/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  <c r="AG4748" s="13"/>
      <c r="AH4748" s="13"/>
      <c r="AI4748" s="13"/>
      <c r="AJ4748" s="13"/>
      <c r="AK4748" s="13"/>
      <c r="AL4748" s="13"/>
      <c r="AM4748" s="13"/>
      <c r="AN4748" s="13"/>
      <c r="AO4748" s="13"/>
      <c r="AP4748" s="13"/>
      <c r="AQ4748" s="13"/>
      <c r="AR4748" s="13"/>
      <c r="AS4748" s="13"/>
    </row>
    <row r="4749" ht="14.25" customHeight="1">
      <c r="A4749" s="13"/>
      <c r="B4749" s="13"/>
      <c r="C4749" s="13"/>
      <c r="D4749" s="13"/>
      <c r="E4749" s="13"/>
      <c r="F4749" s="13"/>
      <c r="G4749" s="13"/>
      <c r="H4749" s="13"/>
      <c r="I4749" s="13"/>
      <c r="J4749" s="13"/>
      <c r="K4749" s="15"/>
      <c r="L4749" s="15"/>
      <c r="M4749" s="16"/>
      <c r="N4749" s="16"/>
      <c r="O4749" s="17"/>
      <c r="P4749" s="17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  <c r="AG4749" s="13"/>
      <c r="AH4749" s="13"/>
      <c r="AI4749" s="13"/>
      <c r="AJ4749" s="13"/>
      <c r="AK4749" s="13"/>
      <c r="AL4749" s="13"/>
      <c r="AM4749" s="13"/>
      <c r="AN4749" s="13"/>
      <c r="AO4749" s="13"/>
      <c r="AP4749" s="13"/>
      <c r="AQ4749" s="13"/>
      <c r="AR4749" s="13"/>
      <c r="AS4749" s="13"/>
    </row>
    <row r="4750" ht="14.25" customHeight="1">
      <c r="A4750" s="13"/>
      <c r="B4750" s="13"/>
      <c r="C4750" s="13"/>
      <c r="D4750" s="13"/>
      <c r="E4750" s="13"/>
      <c r="F4750" s="13"/>
      <c r="G4750" s="13"/>
      <c r="H4750" s="13"/>
      <c r="I4750" s="13"/>
      <c r="J4750" s="13"/>
      <c r="K4750" s="15"/>
      <c r="L4750" s="15"/>
      <c r="M4750" s="16"/>
      <c r="N4750" s="16"/>
      <c r="O4750" s="17"/>
      <c r="P4750" s="17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  <c r="AG4750" s="13"/>
      <c r="AH4750" s="13"/>
      <c r="AI4750" s="13"/>
      <c r="AJ4750" s="13"/>
      <c r="AK4750" s="13"/>
      <c r="AL4750" s="13"/>
      <c r="AM4750" s="13"/>
      <c r="AN4750" s="13"/>
      <c r="AO4750" s="13"/>
      <c r="AP4750" s="13"/>
      <c r="AQ4750" s="13"/>
      <c r="AR4750" s="13"/>
      <c r="AS4750" s="13"/>
    </row>
    <row r="4751" ht="14.25" customHeight="1">
      <c r="A4751" s="13"/>
      <c r="B4751" s="13"/>
      <c r="C4751" s="13"/>
      <c r="D4751" s="13"/>
      <c r="E4751" s="13"/>
      <c r="F4751" s="13"/>
      <c r="G4751" s="13"/>
      <c r="H4751" s="13"/>
      <c r="I4751" s="13"/>
      <c r="J4751" s="13"/>
      <c r="K4751" s="15"/>
      <c r="L4751" s="15"/>
      <c r="M4751" s="16"/>
      <c r="N4751" s="16"/>
      <c r="O4751" s="17"/>
      <c r="P4751" s="17"/>
      <c r="Q4751" s="13"/>
      <c r="R4751" s="13"/>
      <c r="S4751" s="13"/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3"/>
      <c r="AD4751" s="13"/>
      <c r="AE4751" s="13"/>
      <c r="AF4751" s="13"/>
      <c r="AG4751" s="13"/>
      <c r="AH4751" s="13"/>
      <c r="AI4751" s="13"/>
      <c r="AJ4751" s="13"/>
      <c r="AK4751" s="13"/>
      <c r="AL4751" s="13"/>
      <c r="AM4751" s="13"/>
      <c r="AN4751" s="13"/>
      <c r="AO4751" s="13"/>
      <c r="AP4751" s="13"/>
      <c r="AQ4751" s="13"/>
      <c r="AR4751" s="13"/>
      <c r="AS4751" s="13"/>
    </row>
    <row r="4752" ht="14.25" customHeight="1">
      <c r="A4752" s="13"/>
      <c r="B4752" s="13"/>
      <c r="C4752" s="13"/>
      <c r="D4752" s="13"/>
      <c r="E4752" s="13"/>
      <c r="F4752" s="13"/>
      <c r="G4752" s="13"/>
      <c r="H4752" s="13"/>
      <c r="I4752" s="13"/>
      <c r="J4752" s="13"/>
      <c r="K4752" s="15"/>
      <c r="L4752" s="15"/>
      <c r="M4752" s="16"/>
      <c r="N4752" s="16"/>
      <c r="O4752" s="17"/>
      <c r="P4752" s="17"/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  <c r="AG4752" s="13"/>
      <c r="AH4752" s="13"/>
      <c r="AI4752" s="13"/>
      <c r="AJ4752" s="13"/>
      <c r="AK4752" s="13"/>
      <c r="AL4752" s="13"/>
      <c r="AM4752" s="13"/>
      <c r="AN4752" s="13"/>
      <c r="AO4752" s="13"/>
      <c r="AP4752" s="13"/>
      <c r="AQ4752" s="13"/>
      <c r="AR4752" s="13"/>
      <c r="AS4752" s="13"/>
    </row>
    <row r="4753" ht="14.25" customHeight="1">
      <c r="A4753" s="13"/>
      <c r="B4753" s="13"/>
      <c r="C4753" s="13"/>
      <c r="D4753" s="13"/>
      <c r="E4753" s="13"/>
      <c r="F4753" s="13"/>
      <c r="G4753" s="13"/>
      <c r="H4753" s="13"/>
      <c r="I4753" s="13"/>
      <c r="J4753" s="13"/>
      <c r="K4753" s="15"/>
      <c r="L4753" s="15"/>
      <c r="M4753" s="16"/>
      <c r="N4753" s="16"/>
      <c r="O4753" s="17"/>
      <c r="P4753" s="17"/>
      <c r="Q4753" s="13"/>
      <c r="R4753" s="13"/>
      <c r="S4753" s="13"/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  <c r="AG4753" s="13"/>
      <c r="AH4753" s="13"/>
      <c r="AI4753" s="13"/>
      <c r="AJ4753" s="13"/>
      <c r="AK4753" s="13"/>
      <c r="AL4753" s="13"/>
      <c r="AM4753" s="13"/>
      <c r="AN4753" s="13"/>
      <c r="AO4753" s="13"/>
      <c r="AP4753" s="13"/>
      <c r="AQ4753" s="13"/>
      <c r="AR4753" s="13"/>
      <c r="AS4753" s="13"/>
    </row>
    <row r="4754" ht="14.25" customHeight="1">
      <c r="A4754" s="13"/>
      <c r="B4754" s="13"/>
      <c r="C4754" s="13"/>
      <c r="D4754" s="13"/>
      <c r="E4754" s="13"/>
      <c r="F4754" s="13"/>
      <c r="G4754" s="13"/>
      <c r="H4754" s="13"/>
      <c r="I4754" s="13"/>
      <c r="J4754" s="13"/>
      <c r="K4754" s="15"/>
      <c r="L4754" s="15"/>
      <c r="M4754" s="16"/>
      <c r="N4754" s="16"/>
      <c r="O4754" s="17"/>
      <c r="P4754" s="17"/>
      <c r="Q4754" s="13"/>
      <c r="R4754" s="13"/>
      <c r="S4754" s="13"/>
      <c r="T4754" s="13"/>
      <c r="U4754" s="13"/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  <c r="AG4754" s="13"/>
      <c r="AH4754" s="13"/>
      <c r="AI4754" s="13"/>
      <c r="AJ4754" s="13"/>
      <c r="AK4754" s="13"/>
      <c r="AL4754" s="13"/>
      <c r="AM4754" s="13"/>
      <c r="AN4754" s="13"/>
      <c r="AO4754" s="13"/>
      <c r="AP4754" s="13"/>
      <c r="AQ4754" s="13"/>
      <c r="AR4754" s="13"/>
      <c r="AS4754" s="13"/>
    </row>
    <row r="4755" ht="14.25" customHeight="1">
      <c r="A4755" s="13"/>
      <c r="B4755" s="13"/>
      <c r="C4755" s="13"/>
      <c r="D4755" s="13"/>
      <c r="E4755" s="13"/>
      <c r="F4755" s="13"/>
      <c r="G4755" s="13"/>
      <c r="H4755" s="13"/>
      <c r="I4755" s="13"/>
      <c r="J4755" s="13"/>
      <c r="K4755" s="15"/>
      <c r="L4755" s="15"/>
      <c r="M4755" s="16"/>
      <c r="N4755" s="16"/>
      <c r="O4755" s="17"/>
      <c r="P4755" s="17"/>
      <c r="Q4755" s="13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  <c r="AG4755" s="13"/>
      <c r="AH4755" s="13"/>
      <c r="AI4755" s="13"/>
      <c r="AJ4755" s="13"/>
      <c r="AK4755" s="13"/>
      <c r="AL4755" s="13"/>
      <c r="AM4755" s="13"/>
      <c r="AN4755" s="13"/>
      <c r="AO4755" s="13"/>
      <c r="AP4755" s="13"/>
      <c r="AQ4755" s="13"/>
      <c r="AR4755" s="13"/>
      <c r="AS4755" s="13"/>
    </row>
    <row r="4756" ht="14.25" customHeight="1">
      <c r="A4756" s="13"/>
      <c r="B4756" s="13"/>
      <c r="C4756" s="13"/>
      <c r="D4756" s="13"/>
      <c r="E4756" s="13"/>
      <c r="F4756" s="13"/>
      <c r="G4756" s="13"/>
      <c r="H4756" s="13"/>
      <c r="I4756" s="13"/>
      <c r="J4756" s="13"/>
      <c r="K4756" s="15"/>
      <c r="L4756" s="15"/>
      <c r="M4756" s="16"/>
      <c r="N4756" s="16"/>
      <c r="O4756" s="17"/>
      <c r="P4756" s="17"/>
      <c r="Q4756" s="13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  <c r="AG4756" s="13"/>
      <c r="AH4756" s="13"/>
      <c r="AI4756" s="13"/>
      <c r="AJ4756" s="13"/>
      <c r="AK4756" s="13"/>
      <c r="AL4756" s="13"/>
      <c r="AM4756" s="13"/>
      <c r="AN4756" s="13"/>
      <c r="AO4756" s="13"/>
      <c r="AP4756" s="13"/>
      <c r="AQ4756" s="13"/>
      <c r="AR4756" s="13"/>
      <c r="AS4756" s="13"/>
    </row>
    <row r="4757" ht="14.25" customHeight="1">
      <c r="A4757" s="13"/>
      <c r="B4757" s="13"/>
      <c r="C4757" s="13"/>
      <c r="D4757" s="13"/>
      <c r="E4757" s="13"/>
      <c r="F4757" s="13"/>
      <c r="G4757" s="13"/>
      <c r="H4757" s="13"/>
      <c r="I4757" s="13"/>
      <c r="J4757" s="13"/>
      <c r="K4757" s="15"/>
      <c r="L4757" s="15"/>
      <c r="M4757" s="16"/>
      <c r="N4757" s="16"/>
      <c r="O4757" s="17"/>
      <c r="P4757" s="17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/>
      <c r="AE4757" s="13"/>
      <c r="AF4757" s="13"/>
      <c r="AG4757" s="13"/>
      <c r="AH4757" s="13"/>
      <c r="AI4757" s="13"/>
      <c r="AJ4757" s="13"/>
      <c r="AK4757" s="13"/>
      <c r="AL4757" s="13"/>
      <c r="AM4757" s="13"/>
      <c r="AN4757" s="13"/>
      <c r="AO4757" s="13"/>
      <c r="AP4757" s="13"/>
      <c r="AQ4757" s="13"/>
      <c r="AR4757" s="13"/>
      <c r="AS4757" s="13"/>
    </row>
    <row r="4758" ht="14.25" customHeight="1">
      <c r="A4758" s="13"/>
      <c r="B4758" s="13"/>
      <c r="C4758" s="13"/>
      <c r="D4758" s="13"/>
      <c r="E4758" s="13"/>
      <c r="F4758" s="13"/>
      <c r="G4758" s="13"/>
      <c r="H4758" s="13"/>
      <c r="I4758" s="13"/>
      <c r="J4758" s="13"/>
      <c r="K4758" s="15"/>
      <c r="L4758" s="15"/>
      <c r="M4758" s="16"/>
      <c r="N4758" s="16"/>
      <c r="O4758" s="17"/>
      <c r="P4758" s="17"/>
      <c r="Q4758" s="13"/>
      <c r="R4758" s="13"/>
      <c r="S4758" s="13"/>
      <c r="T4758" s="13"/>
      <c r="U4758" s="13"/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F4758" s="13"/>
      <c r="AG4758" s="13"/>
      <c r="AH4758" s="13"/>
      <c r="AI4758" s="13"/>
      <c r="AJ4758" s="13"/>
      <c r="AK4758" s="13"/>
      <c r="AL4758" s="13"/>
      <c r="AM4758" s="13"/>
      <c r="AN4758" s="13"/>
      <c r="AO4758" s="13"/>
      <c r="AP4758" s="13"/>
      <c r="AQ4758" s="13"/>
      <c r="AR4758" s="13"/>
      <c r="AS4758" s="13"/>
    </row>
    <row r="4759" ht="14.25" customHeight="1">
      <c r="A4759" s="13"/>
      <c r="B4759" s="13"/>
      <c r="C4759" s="13"/>
      <c r="D4759" s="13"/>
      <c r="E4759" s="13"/>
      <c r="F4759" s="13"/>
      <c r="G4759" s="13"/>
      <c r="H4759" s="13"/>
      <c r="I4759" s="13"/>
      <c r="J4759" s="13"/>
      <c r="K4759" s="15"/>
      <c r="L4759" s="15"/>
      <c r="M4759" s="16"/>
      <c r="N4759" s="16"/>
      <c r="O4759" s="17"/>
      <c r="P4759" s="17"/>
      <c r="Q4759" s="13"/>
      <c r="R4759" s="13"/>
      <c r="S4759" s="13"/>
      <c r="T4759" s="13"/>
      <c r="U4759" s="13"/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F4759" s="13"/>
      <c r="AG4759" s="13"/>
      <c r="AH4759" s="13"/>
      <c r="AI4759" s="13"/>
      <c r="AJ4759" s="13"/>
      <c r="AK4759" s="13"/>
      <c r="AL4759" s="13"/>
      <c r="AM4759" s="13"/>
      <c r="AN4759" s="13"/>
      <c r="AO4759" s="13"/>
      <c r="AP4759" s="13"/>
      <c r="AQ4759" s="13"/>
      <c r="AR4759" s="13"/>
      <c r="AS4759" s="13"/>
    </row>
    <row r="4760" ht="14.25" customHeight="1">
      <c r="A4760" s="13"/>
      <c r="B4760" s="13"/>
      <c r="C4760" s="13"/>
      <c r="D4760" s="13"/>
      <c r="E4760" s="13"/>
      <c r="F4760" s="13"/>
      <c r="G4760" s="13"/>
      <c r="H4760" s="13"/>
      <c r="I4760" s="13"/>
      <c r="J4760" s="13"/>
      <c r="K4760" s="15"/>
      <c r="L4760" s="15"/>
      <c r="M4760" s="16"/>
      <c r="N4760" s="16"/>
      <c r="O4760" s="17"/>
      <c r="P4760" s="17"/>
      <c r="Q4760" s="13"/>
      <c r="R4760" s="13"/>
      <c r="S4760" s="13"/>
      <c r="T4760" s="13"/>
      <c r="U4760" s="13"/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F4760" s="13"/>
      <c r="AG4760" s="13"/>
      <c r="AH4760" s="13"/>
      <c r="AI4760" s="13"/>
      <c r="AJ4760" s="13"/>
      <c r="AK4760" s="13"/>
      <c r="AL4760" s="13"/>
      <c r="AM4760" s="13"/>
      <c r="AN4760" s="13"/>
      <c r="AO4760" s="13"/>
      <c r="AP4760" s="13"/>
      <c r="AQ4760" s="13"/>
      <c r="AR4760" s="13"/>
      <c r="AS4760" s="13"/>
    </row>
    <row r="4761" ht="14.25" customHeight="1">
      <c r="A4761" s="13"/>
      <c r="B4761" s="13"/>
      <c r="C4761" s="13"/>
      <c r="D4761" s="13"/>
      <c r="E4761" s="13"/>
      <c r="F4761" s="13"/>
      <c r="G4761" s="13"/>
      <c r="H4761" s="13"/>
      <c r="I4761" s="13"/>
      <c r="J4761" s="13"/>
      <c r="K4761" s="15"/>
      <c r="L4761" s="15"/>
      <c r="M4761" s="16"/>
      <c r="N4761" s="16"/>
      <c r="O4761" s="17"/>
      <c r="P4761" s="17"/>
      <c r="Q4761" s="13"/>
      <c r="R4761" s="13"/>
      <c r="S4761" s="13"/>
      <c r="T4761" s="13"/>
      <c r="U4761" s="13"/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  <c r="AG4761" s="13"/>
      <c r="AH4761" s="13"/>
      <c r="AI4761" s="13"/>
      <c r="AJ4761" s="13"/>
      <c r="AK4761" s="13"/>
      <c r="AL4761" s="13"/>
      <c r="AM4761" s="13"/>
      <c r="AN4761" s="13"/>
      <c r="AO4761" s="13"/>
      <c r="AP4761" s="13"/>
      <c r="AQ4761" s="13"/>
      <c r="AR4761" s="13"/>
      <c r="AS4761" s="13"/>
    </row>
    <row r="4762" ht="14.25" customHeight="1">
      <c r="A4762" s="13"/>
      <c r="B4762" s="13"/>
      <c r="C4762" s="13"/>
      <c r="D4762" s="13"/>
      <c r="E4762" s="13"/>
      <c r="F4762" s="13"/>
      <c r="G4762" s="13"/>
      <c r="H4762" s="13"/>
      <c r="I4762" s="13"/>
      <c r="J4762" s="13"/>
      <c r="K4762" s="15"/>
      <c r="L4762" s="15"/>
      <c r="M4762" s="16"/>
      <c r="N4762" s="16"/>
      <c r="O4762" s="17"/>
      <c r="P4762" s="17"/>
      <c r="Q4762" s="13"/>
      <c r="R4762" s="13"/>
      <c r="S4762" s="13"/>
      <c r="T4762" s="13"/>
      <c r="U4762" s="13"/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F4762" s="13"/>
      <c r="AG4762" s="13"/>
      <c r="AH4762" s="13"/>
      <c r="AI4762" s="13"/>
      <c r="AJ4762" s="13"/>
      <c r="AK4762" s="13"/>
      <c r="AL4762" s="13"/>
      <c r="AM4762" s="13"/>
      <c r="AN4762" s="13"/>
      <c r="AO4762" s="13"/>
      <c r="AP4762" s="13"/>
      <c r="AQ4762" s="13"/>
      <c r="AR4762" s="13"/>
      <c r="AS4762" s="13"/>
    </row>
    <row r="4763" ht="14.25" customHeight="1">
      <c r="A4763" s="13"/>
      <c r="B4763" s="13"/>
      <c r="C4763" s="13"/>
      <c r="D4763" s="13"/>
      <c r="E4763" s="13"/>
      <c r="F4763" s="13"/>
      <c r="G4763" s="13"/>
      <c r="H4763" s="13"/>
      <c r="I4763" s="13"/>
      <c r="J4763" s="13"/>
      <c r="K4763" s="15"/>
      <c r="L4763" s="15"/>
      <c r="M4763" s="16"/>
      <c r="N4763" s="16"/>
      <c r="O4763" s="17"/>
      <c r="P4763" s="17"/>
      <c r="Q4763" s="13"/>
      <c r="R4763" s="13"/>
      <c r="S4763" s="13"/>
      <c r="T4763" s="13"/>
      <c r="U4763" s="13"/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F4763" s="13"/>
      <c r="AG4763" s="13"/>
      <c r="AH4763" s="13"/>
      <c r="AI4763" s="13"/>
      <c r="AJ4763" s="13"/>
      <c r="AK4763" s="13"/>
      <c r="AL4763" s="13"/>
      <c r="AM4763" s="13"/>
      <c r="AN4763" s="13"/>
      <c r="AO4763" s="13"/>
      <c r="AP4763" s="13"/>
      <c r="AQ4763" s="13"/>
      <c r="AR4763" s="13"/>
      <c r="AS4763" s="13"/>
    </row>
    <row r="4764" ht="14.25" customHeight="1">
      <c r="A4764" s="13"/>
      <c r="B4764" s="13"/>
      <c r="C4764" s="13"/>
      <c r="D4764" s="13"/>
      <c r="E4764" s="13"/>
      <c r="F4764" s="13"/>
      <c r="G4764" s="13"/>
      <c r="H4764" s="13"/>
      <c r="I4764" s="13"/>
      <c r="J4764" s="13"/>
      <c r="K4764" s="15"/>
      <c r="L4764" s="15"/>
      <c r="M4764" s="16"/>
      <c r="N4764" s="16"/>
      <c r="O4764" s="17"/>
      <c r="P4764" s="17"/>
      <c r="Q4764" s="13"/>
      <c r="R4764" s="13"/>
      <c r="S4764" s="13"/>
      <c r="T4764" s="13"/>
      <c r="U4764" s="13"/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F4764" s="13"/>
      <c r="AG4764" s="13"/>
      <c r="AH4764" s="13"/>
      <c r="AI4764" s="13"/>
      <c r="AJ4764" s="13"/>
      <c r="AK4764" s="13"/>
      <c r="AL4764" s="13"/>
      <c r="AM4764" s="13"/>
      <c r="AN4764" s="13"/>
      <c r="AO4764" s="13"/>
      <c r="AP4764" s="13"/>
      <c r="AQ4764" s="13"/>
      <c r="AR4764" s="13"/>
      <c r="AS4764" s="13"/>
    </row>
    <row r="4765" ht="14.25" customHeight="1">
      <c r="A4765" s="13"/>
      <c r="B4765" s="13"/>
      <c r="C4765" s="13"/>
      <c r="D4765" s="13"/>
      <c r="E4765" s="13"/>
      <c r="F4765" s="13"/>
      <c r="G4765" s="13"/>
      <c r="H4765" s="13"/>
      <c r="I4765" s="13"/>
      <c r="J4765" s="13"/>
      <c r="K4765" s="15"/>
      <c r="L4765" s="15"/>
      <c r="M4765" s="16"/>
      <c r="N4765" s="16"/>
      <c r="O4765" s="17"/>
      <c r="P4765" s="17"/>
      <c r="Q4765" s="13"/>
      <c r="R4765" s="13"/>
      <c r="S4765" s="13"/>
      <c r="T4765" s="13"/>
      <c r="U4765" s="13"/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  <c r="AG4765" s="13"/>
      <c r="AH4765" s="13"/>
      <c r="AI4765" s="13"/>
      <c r="AJ4765" s="13"/>
      <c r="AK4765" s="13"/>
      <c r="AL4765" s="13"/>
      <c r="AM4765" s="13"/>
      <c r="AN4765" s="13"/>
      <c r="AO4765" s="13"/>
      <c r="AP4765" s="13"/>
      <c r="AQ4765" s="13"/>
      <c r="AR4765" s="13"/>
      <c r="AS4765" s="13"/>
    </row>
    <row r="4766" ht="14.25" customHeight="1">
      <c r="A4766" s="13"/>
      <c r="B4766" s="13"/>
      <c r="C4766" s="13"/>
      <c r="D4766" s="13"/>
      <c r="E4766" s="13"/>
      <c r="F4766" s="13"/>
      <c r="G4766" s="13"/>
      <c r="H4766" s="13"/>
      <c r="I4766" s="13"/>
      <c r="J4766" s="13"/>
      <c r="K4766" s="15"/>
      <c r="L4766" s="15"/>
      <c r="M4766" s="16"/>
      <c r="N4766" s="16"/>
      <c r="O4766" s="17"/>
      <c r="P4766" s="17"/>
      <c r="Q4766" s="13"/>
      <c r="R4766" s="13"/>
      <c r="S4766" s="13"/>
      <c r="T4766" s="13"/>
      <c r="U4766" s="13"/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  <c r="AG4766" s="13"/>
      <c r="AH4766" s="13"/>
      <c r="AI4766" s="13"/>
      <c r="AJ4766" s="13"/>
      <c r="AK4766" s="13"/>
      <c r="AL4766" s="13"/>
      <c r="AM4766" s="13"/>
      <c r="AN4766" s="13"/>
      <c r="AO4766" s="13"/>
      <c r="AP4766" s="13"/>
      <c r="AQ4766" s="13"/>
      <c r="AR4766" s="13"/>
      <c r="AS4766" s="13"/>
    </row>
    <row r="4767" ht="14.25" customHeight="1">
      <c r="A4767" s="13"/>
      <c r="B4767" s="13"/>
      <c r="C4767" s="13"/>
      <c r="D4767" s="13"/>
      <c r="E4767" s="13"/>
      <c r="F4767" s="13"/>
      <c r="G4767" s="13"/>
      <c r="H4767" s="13"/>
      <c r="I4767" s="13"/>
      <c r="J4767" s="13"/>
      <c r="K4767" s="15"/>
      <c r="L4767" s="15"/>
      <c r="M4767" s="16"/>
      <c r="N4767" s="16"/>
      <c r="O4767" s="17"/>
      <c r="P4767" s="17"/>
      <c r="Q4767" s="13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  <c r="AG4767" s="13"/>
      <c r="AH4767" s="13"/>
      <c r="AI4767" s="13"/>
      <c r="AJ4767" s="13"/>
      <c r="AK4767" s="13"/>
      <c r="AL4767" s="13"/>
      <c r="AM4767" s="13"/>
      <c r="AN4767" s="13"/>
      <c r="AO4767" s="13"/>
      <c r="AP4767" s="13"/>
      <c r="AQ4767" s="13"/>
      <c r="AR4767" s="13"/>
      <c r="AS4767" s="13"/>
    </row>
    <row r="4768" ht="14.25" customHeight="1">
      <c r="A4768" s="13"/>
      <c r="B4768" s="13"/>
      <c r="C4768" s="13"/>
      <c r="D4768" s="13"/>
      <c r="E4768" s="13"/>
      <c r="F4768" s="13"/>
      <c r="G4768" s="13"/>
      <c r="H4768" s="13"/>
      <c r="I4768" s="13"/>
      <c r="J4768" s="13"/>
      <c r="K4768" s="15"/>
      <c r="L4768" s="15"/>
      <c r="M4768" s="16"/>
      <c r="N4768" s="16"/>
      <c r="O4768" s="17"/>
      <c r="P4768" s="17"/>
      <c r="Q4768" s="13"/>
      <c r="R4768" s="13"/>
      <c r="S4768" s="13"/>
      <c r="T4768" s="13"/>
      <c r="U4768" s="13"/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  <c r="AG4768" s="13"/>
      <c r="AH4768" s="13"/>
      <c r="AI4768" s="13"/>
      <c r="AJ4768" s="13"/>
      <c r="AK4768" s="13"/>
      <c r="AL4768" s="13"/>
      <c r="AM4768" s="13"/>
      <c r="AN4768" s="13"/>
      <c r="AO4768" s="13"/>
      <c r="AP4768" s="13"/>
      <c r="AQ4768" s="13"/>
      <c r="AR4768" s="13"/>
      <c r="AS4768" s="13"/>
    </row>
    <row r="4769" ht="14.25" customHeight="1">
      <c r="A4769" s="13"/>
      <c r="B4769" s="13"/>
      <c r="C4769" s="13"/>
      <c r="D4769" s="13"/>
      <c r="E4769" s="13"/>
      <c r="F4769" s="13"/>
      <c r="G4769" s="13"/>
      <c r="H4769" s="13"/>
      <c r="I4769" s="13"/>
      <c r="J4769" s="13"/>
      <c r="K4769" s="15"/>
      <c r="L4769" s="15"/>
      <c r="M4769" s="16"/>
      <c r="N4769" s="16"/>
      <c r="O4769" s="17"/>
      <c r="P4769" s="17"/>
      <c r="Q4769" s="13"/>
      <c r="R4769" s="13"/>
      <c r="S4769" s="13"/>
      <c r="T4769" s="13"/>
      <c r="U4769" s="13"/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  <c r="AG4769" s="13"/>
      <c r="AH4769" s="13"/>
      <c r="AI4769" s="13"/>
      <c r="AJ4769" s="13"/>
      <c r="AK4769" s="13"/>
      <c r="AL4769" s="13"/>
      <c r="AM4769" s="13"/>
      <c r="AN4769" s="13"/>
      <c r="AO4769" s="13"/>
      <c r="AP4769" s="13"/>
      <c r="AQ4769" s="13"/>
      <c r="AR4769" s="13"/>
      <c r="AS4769" s="13"/>
    </row>
    <row r="4770" ht="14.25" customHeight="1">
      <c r="A4770" s="13"/>
      <c r="B4770" s="13"/>
      <c r="C4770" s="13"/>
      <c r="D4770" s="13"/>
      <c r="E4770" s="13"/>
      <c r="F4770" s="13"/>
      <c r="G4770" s="13"/>
      <c r="H4770" s="13"/>
      <c r="I4770" s="13"/>
      <c r="J4770" s="13"/>
      <c r="K4770" s="15"/>
      <c r="L4770" s="15"/>
      <c r="M4770" s="16"/>
      <c r="N4770" s="16"/>
      <c r="O4770" s="17"/>
      <c r="P4770" s="17"/>
      <c r="Q4770" s="13"/>
      <c r="R4770" s="13"/>
      <c r="S4770" s="13"/>
      <c r="T4770" s="13"/>
      <c r="U4770" s="13"/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  <c r="AG4770" s="13"/>
      <c r="AH4770" s="13"/>
      <c r="AI4770" s="13"/>
      <c r="AJ4770" s="13"/>
      <c r="AK4770" s="13"/>
      <c r="AL4770" s="13"/>
      <c r="AM4770" s="13"/>
      <c r="AN4770" s="13"/>
      <c r="AO4770" s="13"/>
      <c r="AP4770" s="13"/>
      <c r="AQ4770" s="13"/>
      <c r="AR4770" s="13"/>
      <c r="AS4770" s="13"/>
    </row>
    <row r="4771" ht="14.25" customHeight="1">
      <c r="A4771" s="13"/>
      <c r="B4771" s="13"/>
      <c r="C4771" s="13"/>
      <c r="D4771" s="13"/>
      <c r="E4771" s="13"/>
      <c r="F4771" s="13"/>
      <c r="G4771" s="13"/>
      <c r="H4771" s="13"/>
      <c r="I4771" s="13"/>
      <c r="J4771" s="13"/>
      <c r="K4771" s="15"/>
      <c r="L4771" s="15"/>
      <c r="M4771" s="16"/>
      <c r="N4771" s="16"/>
      <c r="O4771" s="17"/>
      <c r="P4771" s="17"/>
      <c r="Q4771" s="13"/>
      <c r="R4771" s="13"/>
      <c r="S4771" s="13"/>
      <c r="T4771" s="13"/>
      <c r="U4771" s="13"/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  <c r="AG4771" s="13"/>
      <c r="AH4771" s="13"/>
      <c r="AI4771" s="13"/>
      <c r="AJ4771" s="13"/>
      <c r="AK4771" s="13"/>
      <c r="AL4771" s="13"/>
      <c r="AM4771" s="13"/>
      <c r="AN4771" s="13"/>
      <c r="AO4771" s="13"/>
      <c r="AP4771" s="13"/>
      <c r="AQ4771" s="13"/>
      <c r="AR4771" s="13"/>
      <c r="AS4771" s="13"/>
    </row>
    <row r="4772" ht="14.25" customHeight="1">
      <c r="A4772" s="13"/>
      <c r="B4772" s="13"/>
      <c r="C4772" s="13"/>
      <c r="D4772" s="13"/>
      <c r="E4772" s="13"/>
      <c r="F4772" s="13"/>
      <c r="G4772" s="13"/>
      <c r="H4772" s="13"/>
      <c r="I4772" s="13"/>
      <c r="J4772" s="13"/>
      <c r="K4772" s="15"/>
      <c r="L4772" s="15"/>
      <c r="M4772" s="16"/>
      <c r="N4772" s="16"/>
      <c r="O4772" s="17"/>
      <c r="P4772" s="17"/>
      <c r="Q4772" s="13"/>
      <c r="R4772" s="13"/>
      <c r="S4772" s="13"/>
      <c r="T4772" s="13"/>
      <c r="U4772" s="13"/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  <c r="AG4772" s="13"/>
      <c r="AH4772" s="13"/>
      <c r="AI4772" s="13"/>
      <c r="AJ4772" s="13"/>
      <c r="AK4772" s="13"/>
      <c r="AL4772" s="13"/>
      <c r="AM4772" s="13"/>
      <c r="AN4772" s="13"/>
      <c r="AO4772" s="13"/>
      <c r="AP4772" s="13"/>
      <c r="AQ4772" s="13"/>
      <c r="AR4772" s="13"/>
      <c r="AS4772" s="13"/>
    </row>
    <row r="4773" ht="14.25" customHeight="1">
      <c r="A4773" s="13"/>
      <c r="B4773" s="13"/>
      <c r="C4773" s="13"/>
      <c r="D4773" s="13"/>
      <c r="E4773" s="13"/>
      <c r="F4773" s="13"/>
      <c r="G4773" s="13"/>
      <c r="H4773" s="13"/>
      <c r="I4773" s="13"/>
      <c r="J4773" s="13"/>
      <c r="K4773" s="15"/>
      <c r="L4773" s="15"/>
      <c r="M4773" s="16"/>
      <c r="N4773" s="16"/>
      <c r="O4773" s="17"/>
      <c r="P4773" s="17"/>
      <c r="Q4773" s="13"/>
      <c r="R4773" s="13"/>
      <c r="S4773" s="13"/>
      <c r="T4773" s="13"/>
      <c r="U4773" s="13"/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  <c r="AG4773" s="13"/>
      <c r="AH4773" s="13"/>
      <c r="AI4773" s="13"/>
      <c r="AJ4773" s="13"/>
      <c r="AK4773" s="13"/>
      <c r="AL4773" s="13"/>
      <c r="AM4773" s="13"/>
      <c r="AN4773" s="13"/>
      <c r="AO4773" s="13"/>
      <c r="AP4773" s="13"/>
      <c r="AQ4773" s="13"/>
      <c r="AR4773" s="13"/>
      <c r="AS4773" s="13"/>
    </row>
    <row r="4774" ht="14.25" customHeight="1">
      <c r="A4774" s="13"/>
      <c r="B4774" s="13"/>
      <c r="C4774" s="13"/>
      <c r="D4774" s="13"/>
      <c r="E4774" s="13"/>
      <c r="F4774" s="13"/>
      <c r="G4774" s="13"/>
      <c r="H4774" s="13"/>
      <c r="I4774" s="13"/>
      <c r="J4774" s="13"/>
      <c r="K4774" s="15"/>
      <c r="L4774" s="15"/>
      <c r="M4774" s="16"/>
      <c r="N4774" s="16"/>
      <c r="O4774" s="17"/>
      <c r="P4774" s="17"/>
      <c r="Q4774" s="13"/>
      <c r="R4774" s="13"/>
      <c r="S4774" s="13"/>
      <c r="T4774" s="13"/>
      <c r="U4774" s="13"/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  <c r="AG4774" s="13"/>
      <c r="AH4774" s="13"/>
      <c r="AI4774" s="13"/>
      <c r="AJ4774" s="13"/>
      <c r="AK4774" s="13"/>
      <c r="AL4774" s="13"/>
      <c r="AM4774" s="13"/>
      <c r="AN4774" s="13"/>
      <c r="AO4774" s="13"/>
      <c r="AP4774" s="13"/>
      <c r="AQ4774" s="13"/>
      <c r="AR4774" s="13"/>
      <c r="AS4774" s="13"/>
    </row>
    <row r="4775" ht="14.25" customHeight="1">
      <c r="A4775" s="13"/>
      <c r="B4775" s="13"/>
      <c r="C4775" s="13"/>
      <c r="D4775" s="13"/>
      <c r="E4775" s="13"/>
      <c r="F4775" s="13"/>
      <c r="G4775" s="13"/>
      <c r="H4775" s="13"/>
      <c r="I4775" s="13"/>
      <c r="J4775" s="13"/>
      <c r="K4775" s="15"/>
      <c r="L4775" s="15"/>
      <c r="M4775" s="16"/>
      <c r="N4775" s="16"/>
      <c r="O4775" s="17"/>
      <c r="P4775" s="17"/>
      <c r="Q4775" s="13"/>
      <c r="R4775" s="13"/>
      <c r="S4775" s="13"/>
      <c r="T4775" s="13"/>
      <c r="U4775" s="13"/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  <c r="AG4775" s="13"/>
      <c r="AH4775" s="13"/>
      <c r="AI4775" s="13"/>
      <c r="AJ4775" s="13"/>
      <c r="AK4775" s="13"/>
      <c r="AL4775" s="13"/>
      <c r="AM4775" s="13"/>
      <c r="AN4775" s="13"/>
      <c r="AO4775" s="13"/>
      <c r="AP4775" s="13"/>
      <c r="AQ4775" s="13"/>
      <c r="AR4775" s="13"/>
      <c r="AS4775" s="13"/>
    </row>
    <row r="4776" ht="14.25" customHeight="1">
      <c r="A4776" s="13"/>
      <c r="B4776" s="13"/>
      <c r="C4776" s="13"/>
      <c r="D4776" s="13"/>
      <c r="E4776" s="13"/>
      <c r="F4776" s="13"/>
      <c r="G4776" s="13"/>
      <c r="H4776" s="13"/>
      <c r="I4776" s="13"/>
      <c r="J4776" s="13"/>
      <c r="K4776" s="15"/>
      <c r="L4776" s="15"/>
      <c r="M4776" s="16"/>
      <c r="N4776" s="16"/>
      <c r="O4776" s="17"/>
      <c r="P4776" s="17"/>
      <c r="Q4776" s="13"/>
      <c r="R4776" s="13"/>
      <c r="S4776" s="13"/>
      <c r="T4776" s="13"/>
      <c r="U4776" s="13"/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  <c r="AG4776" s="13"/>
      <c r="AH4776" s="13"/>
      <c r="AI4776" s="13"/>
      <c r="AJ4776" s="13"/>
      <c r="AK4776" s="13"/>
      <c r="AL4776" s="13"/>
      <c r="AM4776" s="13"/>
      <c r="AN4776" s="13"/>
      <c r="AO4776" s="13"/>
      <c r="AP4776" s="13"/>
      <c r="AQ4776" s="13"/>
      <c r="AR4776" s="13"/>
      <c r="AS4776" s="13"/>
    </row>
    <row r="4777" ht="14.25" customHeight="1">
      <c r="A4777" s="13"/>
      <c r="B4777" s="13"/>
      <c r="C4777" s="13"/>
      <c r="D4777" s="13"/>
      <c r="E4777" s="13"/>
      <c r="F4777" s="13"/>
      <c r="G4777" s="13"/>
      <c r="H4777" s="13"/>
      <c r="I4777" s="13"/>
      <c r="J4777" s="13"/>
      <c r="K4777" s="15"/>
      <c r="L4777" s="15"/>
      <c r="M4777" s="16"/>
      <c r="N4777" s="16"/>
      <c r="O4777" s="17"/>
      <c r="P4777" s="17"/>
      <c r="Q4777" s="13"/>
      <c r="R4777" s="13"/>
      <c r="S4777" s="13"/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  <c r="AG4777" s="13"/>
      <c r="AH4777" s="13"/>
      <c r="AI4777" s="13"/>
      <c r="AJ4777" s="13"/>
      <c r="AK4777" s="13"/>
      <c r="AL4777" s="13"/>
      <c r="AM4777" s="13"/>
      <c r="AN4777" s="13"/>
      <c r="AO4777" s="13"/>
      <c r="AP4777" s="13"/>
      <c r="AQ4777" s="13"/>
      <c r="AR4777" s="13"/>
      <c r="AS4777" s="13"/>
    </row>
    <row r="4778" ht="14.25" customHeight="1">
      <c r="A4778" s="13"/>
      <c r="B4778" s="13"/>
      <c r="C4778" s="13"/>
      <c r="D4778" s="13"/>
      <c r="E4778" s="13"/>
      <c r="F4778" s="13"/>
      <c r="G4778" s="13"/>
      <c r="H4778" s="13"/>
      <c r="I4778" s="13"/>
      <c r="J4778" s="13"/>
      <c r="K4778" s="15"/>
      <c r="L4778" s="15"/>
      <c r="M4778" s="16"/>
      <c r="N4778" s="16"/>
      <c r="O4778" s="17"/>
      <c r="P4778" s="17"/>
      <c r="Q4778" s="13"/>
      <c r="R4778" s="13"/>
      <c r="S4778" s="13"/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  <c r="AG4778" s="13"/>
      <c r="AH4778" s="13"/>
      <c r="AI4778" s="13"/>
      <c r="AJ4778" s="13"/>
      <c r="AK4778" s="13"/>
      <c r="AL4778" s="13"/>
      <c r="AM4778" s="13"/>
      <c r="AN4778" s="13"/>
      <c r="AO4778" s="13"/>
      <c r="AP4778" s="13"/>
      <c r="AQ4778" s="13"/>
      <c r="AR4778" s="13"/>
      <c r="AS4778" s="13"/>
    </row>
    <row r="4779" ht="14.25" customHeight="1">
      <c r="A4779" s="13"/>
      <c r="B4779" s="13"/>
      <c r="C4779" s="13"/>
      <c r="D4779" s="13"/>
      <c r="E4779" s="13"/>
      <c r="F4779" s="13"/>
      <c r="G4779" s="13"/>
      <c r="H4779" s="13"/>
      <c r="I4779" s="13"/>
      <c r="J4779" s="13"/>
      <c r="K4779" s="15"/>
      <c r="L4779" s="15"/>
      <c r="M4779" s="16"/>
      <c r="N4779" s="16"/>
      <c r="O4779" s="17"/>
      <c r="P4779" s="17"/>
      <c r="Q4779" s="13"/>
      <c r="R4779" s="13"/>
      <c r="S4779" s="13"/>
      <c r="T4779" s="13"/>
      <c r="U4779" s="13"/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  <c r="AG4779" s="13"/>
      <c r="AH4779" s="13"/>
      <c r="AI4779" s="13"/>
      <c r="AJ4779" s="13"/>
      <c r="AK4779" s="13"/>
      <c r="AL4779" s="13"/>
      <c r="AM4779" s="13"/>
      <c r="AN4779" s="13"/>
      <c r="AO4779" s="13"/>
      <c r="AP4779" s="13"/>
      <c r="AQ4779" s="13"/>
      <c r="AR4779" s="13"/>
      <c r="AS4779" s="13"/>
    </row>
    <row r="4780" ht="14.25" customHeight="1">
      <c r="A4780" s="13"/>
      <c r="B4780" s="13"/>
      <c r="C4780" s="13"/>
      <c r="D4780" s="13"/>
      <c r="E4780" s="13"/>
      <c r="F4780" s="13"/>
      <c r="G4780" s="13"/>
      <c r="H4780" s="13"/>
      <c r="I4780" s="13"/>
      <c r="J4780" s="13"/>
      <c r="K4780" s="15"/>
      <c r="L4780" s="15"/>
      <c r="M4780" s="16"/>
      <c r="N4780" s="16"/>
      <c r="O4780" s="17"/>
      <c r="P4780" s="17"/>
      <c r="Q4780" s="13"/>
      <c r="R4780" s="13"/>
      <c r="S4780" s="13"/>
      <c r="T4780" s="13"/>
      <c r="U4780" s="13"/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  <c r="AG4780" s="13"/>
      <c r="AH4780" s="13"/>
      <c r="AI4780" s="13"/>
      <c r="AJ4780" s="13"/>
      <c r="AK4780" s="13"/>
      <c r="AL4780" s="13"/>
      <c r="AM4780" s="13"/>
      <c r="AN4780" s="13"/>
      <c r="AO4780" s="13"/>
      <c r="AP4780" s="13"/>
      <c r="AQ4780" s="13"/>
      <c r="AR4780" s="13"/>
      <c r="AS4780" s="13"/>
    </row>
    <row r="4781" ht="14.25" customHeight="1">
      <c r="A4781" s="13"/>
      <c r="B4781" s="13"/>
      <c r="C4781" s="13"/>
      <c r="D4781" s="13"/>
      <c r="E4781" s="13"/>
      <c r="F4781" s="13"/>
      <c r="G4781" s="13"/>
      <c r="H4781" s="13"/>
      <c r="I4781" s="13"/>
      <c r="J4781" s="13"/>
      <c r="K4781" s="15"/>
      <c r="L4781" s="15"/>
      <c r="M4781" s="16"/>
      <c r="N4781" s="16"/>
      <c r="O4781" s="17"/>
      <c r="P4781" s="17"/>
      <c r="Q4781" s="13"/>
      <c r="R4781" s="13"/>
      <c r="S4781" s="13"/>
      <c r="T4781" s="13"/>
      <c r="U4781" s="13"/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  <c r="AG4781" s="13"/>
      <c r="AH4781" s="13"/>
      <c r="AI4781" s="13"/>
      <c r="AJ4781" s="13"/>
      <c r="AK4781" s="13"/>
      <c r="AL4781" s="13"/>
      <c r="AM4781" s="13"/>
      <c r="AN4781" s="13"/>
      <c r="AO4781" s="13"/>
      <c r="AP4781" s="13"/>
      <c r="AQ4781" s="13"/>
      <c r="AR4781" s="13"/>
      <c r="AS4781" s="13"/>
    </row>
    <row r="4782" ht="14.25" customHeight="1">
      <c r="A4782" s="13"/>
      <c r="B4782" s="13"/>
      <c r="C4782" s="13"/>
      <c r="D4782" s="13"/>
      <c r="E4782" s="13"/>
      <c r="F4782" s="13"/>
      <c r="G4782" s="13"/>
      <c r="H4782" s="13"/>
      <c r="I4782" s="13"/>
      <c r="J4782" s="13"/>
      <c r="K4782" s="15"/>
      <c r="L4782" s="15"/>
      <c r="M4782" s="16"/>
      <c r="N4782" s="16"/>
      <c r="O4782" s="17"/>
      <c r="P4782" s="17"/>
      <c r="Q4782" s="13"/>
      <c r="R4782" s="13"/>
      <c r="S4782" s="13"/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  <c r="AG4782" s="13"/>
      <c r="AH4782" s="13"/>
      <c r="AI4782" s="13"/>
      <c r="AJ4782" s="13"/>
      <c r="AK4782" s="13"/>
      <c r="AL4782" s="13"/>
      <c r="AM4782" s="13"/>
      <c r="AN4782" s="13"/>
      <c r="AO4782" s="13"/>
      <c r="AP4782" s="13"/>
      <c r="AQ4782" s="13"/>
      <c r="AR4782" s="13"/>
      <c r="AS4782" s="13"/>
    </row>
    <row r="4783" ht="14.25" customHeight="1">
      <c r="A4783" s="13"/>
      <c r="B4783" s="13"/>
      <c r="C4783" s="13"/>
      <c r="D4783" s="13"/>
      <c r="E4783" s="13"/>
      <c r="F4783" s="13"/>
      <c r="G4783" s="13"/>
      <c r="H4783" s="13"/>
      <c r="I4783" s="13"/>
      <c r="J4783" s="13"/>
      <c r="K4783" s="15"/>
      <c r="L4783" s="15"/>
      <c r="M4783" s="16"/>
      <c r="N4783" s="16"/>
      <c r="O4783" s="17"/>
      <c r="P4783" s="17"/>
      <c r="Q4783" s="13"/>
      <c r="R4783" s="13"/>
      <c r="S4783" s="13"/>
      <c r="T4783" s="13"/>
      <c r="U4783" s="13"/>
      <c r="V4783" s="13"/>
      <c r="W4783" s="13"/>
      <c r="X4783" s="13"/>
      <c r="Y4783" s="13"/>
      <c r="Z4783" s="13"/>
      <c r="AA4783" s="13"/>
      <c r="AB4783" s="13"/>
      <c r="AC4783" s="13"/>
      <c r="AD4783" s="13"/>
      <c r="AE4783" s="13"/>
      <c r="AF4783" s="13"/>
      <c r="AG4783" s="13"/>
      <c r="AH4783" s="13"/>
      <c r="AI4783" s="13"/>
      <c r="AJ4783" s="13"/>
      <c r="AK4783" s="13"/>
      <c r="AL4783" s="13"/>
      <c r="AM4783" s="13"/>
      <c r="AN4783" s="13"/>
      <c r="AO4783" s="13"/>
      <c r="AP4783" s="13"/>
      <c r="AQ4783" s="13"/>
      <c r="AR4783" s="13"/>
      <c r="AS4783" s="13"/>
    </row>
    <row r="4784" ht="14.25" customHeight="1">
      <c r="A4784" s="13"/>
      <c r="B4784" s="13"/>
      <c r="C4784" s="13"/>
      <c r="D4784" s="13"/>
      <c r="E4784" s="13"/>
      <c r="F4784" s="13"/>
      <c r="G4784" s="13"/>
      <c r="H4784" s="13"/>
      <c r="I4784" s="13"/>
      <c r="J4784" s="13"/>
      <c r="K4784" s="15"/>
      <c r="L4784" s="15"/>
      <c r="M4784" s="16"/>
      <c r="N4784" s="16"/>
      <c r="O4784" s="17"/>
      <c r="P4784" s="17"/>
      <c r="Q4784" s="13"/>
      <c r="R4784" s="13"/>
      <c r="S4784" s="13"/>
      <c r="T4784" s="13"/>
      <c r="U4784" s="13"/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  <c r="AG4784" s="13"/>
      <c r="AH4784" s="13"/>
      <c r="AI4784" s="13"/>
      <c r="AJ4784" s="13"/>
      <c r="AK4784" s="13"/>
      <c r="AL4784" s="13"/>
      <c r="AM4784" s="13"/>
      <c r="AN4784" s="13"/>
      <c r="AO4784" s="13"/>
      <c r="AP4784" s="13"/>
      <c r="AQ4784" s="13"/>
      <c r="AR4784" s="13"/>
      <c r="AS4784" s="13"/>
    </row>
    <row r="4785" ht="14.25" customHeight="1">
      <c r="A4785" s="13"/>
      <c r="B4785" s="13"/>
      <c r="C4785" s="13"/>
      <c r="D4785" s="13"/>
      <c r="E4785" s="13"/>
      <c r="F4785" s="13"/>
      <c r="G4785" s="13"/>
      <c r="H4785" s="13"/>
      <c r="I4785" s="13"/>
      <c r="J4785" s="13"/>
      <c r="K4785" s="15"/>
      <c r="L4785" s="15"/>
      <c r="M4785" s="16"/>
      <c r="N4785" s="16"/>
      <c r="O4785" s="17"/>
      <c r="P4785" s="17"/>
      <c r="Q4785" s="13"/>
      <c r="R4785" s="13"/>
      <c r="S4785" s="13"/>
      <c r="T4785" s="13"/>
      <c r="U4785" s="13"/>
      <c r="V4785" s="13"/>
      <c r="W4785" s="13"/>
      <c r="X4785" s="13"/>
      <c r="Y4785" s="13"/>
      <c r="Z4785" s="13"/>
      <c r="AA4785" s="13"/>
      <c r="AB4785" s="13"/>
      <c r="AC4785" s="13"/>
      <c r="AD4785" s="13"/>
      <c r="AE4785" s="13"/>
      <c r="AF4785" s="13"/>
      <c r="AG4785" s="13"/>
      <c r="AH4785" s="13"/>
      <c r="AI4785" s="13"/>
      <c r="AJ4785" s="13"/>
      <c r="AK4785" s="13"/>
      <c r="AL4785" s="13"/>
      <c r="AM4785" s="13"/>
      <c r="AN4785" s="13"/>
      <c r="AO4785" s="13"/>
      <c r="AP4785" s="13"/>
      <c r="AQ4785" s="13"/>
      <c r="AR4785" s="13"/>
      <c r="AS4785" s="13"/>
    </row>
    <row r="4786" ht="14.25" customHeight="1">
      <c r="A4786" s="13"/>
      <c r="B4786" s="13"/>
      <c r="C4786" s="13"/>
      <c r="D4786" s="13"/>
      <c r="E4786" s="13"/>
      <c r="F4786" s="13"/>
      <c r="G4786" s="13"/>
      <c r="H4786" s="13"/>
      <c r="I4786" s="13"/>
      <c r="J4786" s="13"/>
      <c r="K4786" s="15"/>
      <c r="L4786" s="15"/>
      <c r="M4786" s="16"/>
      <c r="N4786" s="16"/>
      <c r="O4786" s="17"/>
      <c r="P4786" s="17"/>
      <c r="Q4786" s="13"/>
      <c r="R4786" s="13"/>
      <c r="S4786" s="13"/>
      <c r="T4786" s="13"/>
      <c r="U4786" s="13"/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  <c r="AG4786" s="13"/>
      <c r="AH4786" s="13"/>
      <c r="AI4786" s="13"/>
      <c r="AJ4786" s="13"/>
      <c r="AK4786" s="13"/>
      <c r="AL4786" s="13"/>
      <c r="AM4786" s="13"/>
      <c r="AN4786" s="13"/>
      <c r="AO4786" s="13"/>
      <c r="AP4786" s="13"/>
      <c r="AQ4786" s="13"/>
      <c r="AR4786" s="13"/>
      <c r="AS4786" s="13"/>
    </row>
    <row r="4787" ht="14.25" customHeight="1">
      <c r="A4787" s="13"/>
      <c r="B4787" s="13"/>
      <c r="C4787" s="13"/>
      <c r="D4787" s="13"/>
      <c r="E4787" s="13"/>
      <c r="F4787" s="13"/>
      <c r="G4787" s="13"/>
      <c r="H4787" s="13"/>
      <c r="I4787" s="13"/>
      <c r="J4787" s="13"/>
      <c r="K4787" s="15"/>
      <c r="L4787" s="15"/>
      <c r="M4787" s="16"/>
      <c r="N4787" s="16"/>
      <c r="O4787" s="17"/>
      <c r="P4787" s="17"/>
      <c r="Q4787" s="13"/>
      <c r="R4787" s="13"/>
      <c r="S4787" s="13"/>
      <c r="T4787" s="13"/>
      <c r="U4787" s="13"/>
      <c r="V4787" s="13"/>
      <c r="W4787" s="13"/>
      <c r="X4787" s="13"/>
      <c r="Y4787" s="13"/>
      <c r="Z4787" s="13"/>
      <c r="AA4787" s="13"/>
      <c r="AB4787" s="13"/>
      <c r="AC4787" s="13"/>
      <c r="AD4787" s="13"/>
      <c r="AE4787" s="13"/>
      <c r="AF4787" s="13"/>
      <c r="AG4787" s="13"/>
      <c r="AH4787" s="13"/>
      <c r="AI4787" s="13"/>
      <c r="AJ4787" s="13"/>
      <c r="AK4787" s="13"/>
      <c r="AL4787" s="13"/>
      <c r="AM4787" s="13"/>
      <c r="AN4787" s="13"/>
      <c r="AO4787" s="13"/>
      <c r="AP4787" s="13"/>
      <c r="AQ4787" s="13"/>
      <c r="AR4787" s="13"/>
      <c r="AS4787" s="13"/>
    </row>
    <row r="4788" ht="14.25" customHeight="1">
      <c r="A4788" s="13"/>
      <c r="B4788" s="13"/>
      <c r="C4788" s="13"/>
      <c r="D4788" s="13"/>
      <c r="E4788" s="13"/>
      <c r="F4788" s="13"/>
      <c r="G4788" s="13"/>
      <c r="H4788" s="13"/>
      <c r="I4788" s="13"/>
      <c r="J4788" s="13"/>
      <c r="K4788" s="15"/>
      <c r="L4788" s="15"/>
      <c r="M4788" s="16"/>
      <c r="N4788" s="16"/>
      <c r="O4788" s="17"/>
      <c r="P4788" s="17"/>
      <c r="Q4788" s="13"/>
      <c r="R4788" s="13"/>
      <c r="S4788" s="13"/>
      <c r="T4788" s="13"/>
      <c r="U4788" s="13"/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  <c r="AG4788" s="13"/>
      <c r="AH4788" s="13"/>
      <c r="AI4788" s="13"/>
      <c r="AJ4788" s="13"/>
      <c r="AK4788" s="13"/>
      <c r="AL4788" s="13"/>
      <c r="AM4788" s="13"/>
      <c r="AN4788" s="13"/>
      <c r="AO4788" s="13"/>
      <c r="AP4788" s="13"/>
      <c r="AQ4788" s="13"/>
      <c r="AR4788" s="13"/>
      <c r="AS4788" s="13"/>
    </row>
    <row r="4789" ht="14.25" customHeight="1">
      <c r="A4789" s="13"/>
      <c r="B4789" s="13"/>
      <c r="C4789" s="13"/>
      <c r="D4789" s="13"/>
      <c r="E4789" s="13"/>
      <c r="F4789" s="13"/>
      <c r="G4789" s="13"/>
      <c r="H4789" s="13"/>
      <c r="I4789" s="13"/>
      <c r="J4789" s="13"/>
      <c r="K4789" s="15"/>
      <c r="L4789" s="15"/>
      <c r="M4789" s="16"/>
      <c r="N4789" s="16"/>
      <c r="O4789" s="17"/>
      <c r="P4789" s="17"/>
      <c r="Q4789" s="13"/>
      <c r="R4789" s="13"/>
      <c r="S4789" s="13"/>
      <c r="T4789" s="13"/>
      <c r="U4789" s="13"/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  <c r="AG4789" s="13"/>
      <c r="AH4789" s="13"/>
      <c r="AI4789" s="13"/>
      <c r="AJ4789" s="13"/>
      <c r="AK4789" s="13"/>
      <c r="AL4789" s="13"/>
      <c r="AM4789" s="13"/>
      <c r="AN4789" s="13"/>
      <c r="AO4789" s="13"/>
      <c r="AP4789" s="13"/>
      <c r="AQ4789" s="13"/>
      <c r="AR4789" s="13"/>
      <c r="AS4789" s="13"/>
    </row>
    <row r="4790" ht="14.25" customHeight="1">
      <c r="A4790" s="13"/>
      <c r="B4790" s="13"/>
      <c r="C4790" s="13"/>
      <c r="D4790" s="13"/>
      <c r="E4790" s="13"/>
      <c r="F4790" s="13"/>
      <c r="G4790" s="13"/>
      <c r="H4790" s="13"/>
      <c r="I4790" s="13"/>
      <c r="J4790" s="13"/>
      <c r="K4790" s="15"/>
      <c r="L4790" s="15"/>
      <c r="M4790" s="16"/>
      <c r="N4790" s="16"/>
      <c r="O4790" s="17"/>
      <c r="P4790" s="17"/>
      <c r="Q4790" s="13"/>
      <c r="R4790" s="13"/>
      <c r="S4790" s="13"/>
      <c r="T4790" s="13"/>
      <c r="U4790" s="13"/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  <c r="AG4790" s="13"/>
      <c r="AH4790" s="13"/>
      <c r="AI4790" s="13"/>
      <c r="AJ4790" s="13"/>
      <c r="AK4790" s="13"/>
      <c r="AL4790" s="13"/>
      <c r="AM4790" s="13"/>
      <c r="AN4790" s="13"/>
      <c r="AO4790" s="13"/>
      <c r="AP4790" s="13"/>
      <c r="AQ4790" s="13"/>
      <c r="AR4790" s="13"/>
      <c r="AS4790" s="13"/>
    </row>
    <row r="4791" ht="14.25" customHeight="1">
      <c r="A4791" s="13"/>
      <c r="B4791" s="13"/>
      <c r="C4791" s="13"/>
      <c r="D4791" s="13"/>
      <c r="E4791" s="13"/>
      <c r="F4791" s="13"/>
      <c r="G4791" s="13"/>
      <c r="H4791" s="13"/>
      <c r="I4791" s="13"/>
      <c r="J4791" s="13"/>
      <c r="K4791" s="15"/>
      <c r="L4791" s="15"/>
      <c r="M4791" s="16"/>
      <c r="N4791" s="16"/>
      <c r="O4791" s="17"/>
      <c r="P4791" s="17"/>
      <c r="Q4791" s="13"/>
      <c r="R4791" s="13"/>
      <c r="S4791" s="13"/>
      <c r="T4791" s="13"/>
      <c r="U4791" s="13"/>
      <c r="V4791" s="13"/>
      <c r="W4791" s="13"/>
      <c r="X4791" s="13"/>
      <c r="Y4791" s="13"/>
      <c r="Z4791" s="13"/>
      <c r="AA4791" s="13"/>
      <c r="AB4791" s="13"/>
      <c r="AC4791" s="13"/>
      <c r="AD4791" s="13"/>
      <c r="AE4791" s="13"/>
      <c r="AF4791" s="13"/>
      <c r="AG4791" s="13"/>
      <c r="AH4791" s="13"/>
      <c r="AI4791" s="13"/>
      <c r="AJ4791" s="13"/>
      <c r="AK4791" s="13"/>
      <c r="AL4791" s="13"/>
      <c r="AM4791" s="13"/>
      <c r="AN4791" s="13"/>
      <c r="AO4791" s="13"/>
      <c r="AP4791" s="13"/>
      <c r="AQ4791" s="13"/>
      <c r="AR4791" s="13"/>
      <c r="AS4791" s="13"/>
    </row>
    <row r="4792" ht="14.25" customHeight="1">
      <c r="A4792" s="13"/>
      <c r="B4792" s="13"/>
      <c r="C4792" s="13"/>
      <c r="D4792" s="13"/>
      <c r="E4792" s="13"/>
      <c r="F4792" s="13"/>
      <c r="G4792" s="13"/>
      <c r="H4792" s="13"/>
      <c r="I4792" s="13"/>
      <c r="J4792" s="13"/>
      <c r="K4792" s="15"/>
      <c r="L4792" s="15"/>
      <c r="M4792" s="16"/>
      <c r="N4792" s="16"/>
      <c r="O4792" s="17"/>
      <c r="P4792" s="17"/>
      <c r="Q4792" s="13"/>
      <c r="R4792" s="13"/>
      <c r="S4792" s="13"/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  <c r="AG4792" s="13"/>
      <c r="AH4792" s="13"/>
      <c r="AI4792" s="13"/>
      <c r="AJ4792" s="13"/>
      <c r="AK4792" s="13"/>
      <c r="AL4792" s="13"/>
      <c r="AM4792" s="13"/>
      <c r="AN4792" s="13"/>
      <c r="AO4792" s="13"/>
      <c r="AP4792" s="13"/>
      <c r="AQ4792" s="13"/>
      <c r="AR4792" s="13"/>
      <c r="AS4792" s="13"/>
    </row>
    <row r="4793" ht="14.25" customHeight="1">
      <c r="A4793" s="13"/>
      <c r="B4793" s="13"/>
      <c r="C4793" s="13"/>
      <c r="D4793" s="13"/>
      <c r="E4793" s="13"/>
      <c r="F4793" s="13"/>
      <c r="G4793" s="13"/>
      <c r="H4793" s="13"/>
      <c r="I4793" s="13"/>
      <c r="J4793" s="13"/>
      <c r="K4793" s="15"/>
      <c r="L4793" s="15"/>
      <c r="M4793" s="16"/>
      <c r="N4793" s="16"/>
      <c r="O4793" s="17"/>
      <c r="P4793" s="17"/>
      <c r="Q4793" s="13"/>
      <c r="R4793" s="13"/>
      <c r="S4793" s="13"/>
      <c r="T4793" s="13"/>
      <c r="U4793" s="13"/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  <c r="AG4793" s="13"/>
      <c r="AH4793" s="13"/>
      <c r="AI4793" s="13"/>
      <c r="AJ4793" s="13"/>
      <c r="AK4793" s="13"/>
      <c r="AL4793" s="13"/>
      <c r="AM4793" s="13"/>
      <c r="AN4793" s="13"/>
      <c r="AO4793" s="13"/>
      <c r="AP4793" s="13"/>
      <c r="AQ4793" s="13"/>
      <c r="AR4793" s="13"/>
      <c r="AS4793" s="13"/>
    </row>
    <row r="4794" ht="14.25" customHeight="1">
      <c r="A4794" s="13"/>
      <c r="B4794" s="13"/>
      <c r="C4794" s="13"/>
      <c r="D4794" s="13"/>
      <c r="E4794" s="13"/>
      <c r="F4794" s="13"/>
      <c r="G4794" s="13"/>
      <c r="H4794" s="13"/>
      <c r="I4794" s="13"/>
      <c r="J4794" s="13"/>
      <c r="K4794" s="15"/>
      <c r="L4794" s="15"/>
      <c r="M4794" s="16"/>
      <c r="N4794" s="16"/>
      <c r="O4794" s="17"/>
      <c r="P4794" s="17"/>
      <c r="Q4794" s="13"/>
      <c r="R4794" s="13"/>
      <c r="S4794" s="13"/>
      <c r="T4794" s="13"/>
      <c r="U4794" s="13"/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  <c r="AG4794" s="13"/>
      <c r="AH4794" s="13"/>
      <c r="AI4794" s="13"/>
      <c r="AJ4794" s="13"/>
      <c r="AK4794" s="13"/>
      <c r="AL4794" s="13"/>
      <c r="AM4794" s="13"/>
      <c r="AN4794" s="13"/>
      <c r="AO4794" s="13"/>
      <c r="AP4794" s="13"/>
      <c r="AQ4794" s="13"/>
      <c r="AR4794" s="13"/>
      <c r="AS4794" s="13"/>
    </row>
    <row r="4795" ht="14.25" customHeight="1">
      <c r="A4795" s="13"/>
      <c r="B4795" s="13"/>
      <c r="C4795" s="13"/>
      <c r="D4795" s="13"/>
      <c r="E4795" s="13"/>
      <c r="F4795" s="13"/>
      <c r="G4795" s="13"/>
      <c r="H4795" s="13"/>
      <c r="I4795" s="13"/>
      <c r="J4795" s="13"/>
      <c r="K4795" s="15"/>
      <c r="L4795" s="15"/>
      <c r="M4795" s="16"/>
      <c r="N4795" s="16"/>
      <c r="O4795" s="17"/>
      <c r="P4795" s="17"/>
      <c r="Q4795" s="13"/>
      <c r="R4795" s="13"/>
      <c r="S4795" s="13"/>
      <c r="T4795" s="13"/>
      <c r="U4795" s="13"/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  <c r="AG4795" s="13"/>
      <c r="AH4795" s="13"/>
      <c r="AI4795" s="13"/>
      <c r="AJ4795" s="13"/>
      <c r="AK4795" s="13"/>
      <c r="AL4795" s="13"/>
      <c r="AM4795" s="13"/>
      <c r="AN4795" s="13"/>
      <c r="AO4795" s="13"/>
      <c r="AP4795" s="13"/>
      <c r="AQ4795" s="13"/>
      <c r="AR4795" s="13"/>
      <c r="AS4795" s="13"/>
    </row>
    <row r="4796" ht="14.25" customHeight="1">
      <c r="A4796" s="13"/>
      <c r="B4796" s="13"/>
      <c r="C4796" s="13"/>
      <c r="D4796" s="13"/>
      <c r="E4796" s="13"/>
      <c r="F4796" s="13"/>
      <c r="G4796" s="13"/>
      <c r="H4796" s="13"/>
      <c r="I4796" s="13"/>
      <c r="J4796" s="13"/>
      <c r="K4796" s="15"/>
      <c r="L4796" s="15"/>
      <c r="M4796" s="16"/>
      <c r="N4796" s="16"/>
      <c r="O4796" s="17"/>
      <c r="P4796" s="17"/>
      <c r="Q4796" s="13"/>
      <c r="R4796" s="13"/>
      <c r="S4796" s="13"/>
      <c r="T4796" s="13"/>
      <c r="U4796" s="13"/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  <c r="AG4796" s="13"/>
      <c r="AH4796" s="13"/>
      <c r="AI4796" s="13"/>
      <c r="AJ4796" s="13"/>
      <c r="AK4796" s="13"/>
      <c r="AL4796" s="13"/>
      <c r="AM4796" s="13"/>
      <c r="AN4796" s="13"/>
      <c r="AO4796" s="13"/>
      <c r="AP4796" s="13"/>
      <c r="AQ4796" s="13"/>
      <c r="AR4796" s="13"/>
      <c r="AS4796" s="13"/>
    </row>
    <row r="4797" ht="14.25" customHeight="1">
      <c r="A4797" s="13"/>
      <c r="B4797" s="13"/>
      <c r="C4797" s="13"/>
      <c r="D4797" s="13"/>
      <c r="E4797" s="13"/>
      <c r="F4797" s="13"/>
      <c r="G4797" s="13"/>
      <c r="H4797" s="13"/>
      <c r="I4797" s="13"/>
      <c r="J4797" s="13"/>
      <c r="K4797" s="15"/>
      <c r="L4797" s="15"/>
      <c r="M4797" s="16"/>
      <c r="N4797" s="16"/>
      <c r="O4797" s="17"/>
      <c r="P4797" s="17"/>
      <c r="Q4797" s="13"/>
      <c r="R4797" s="13"/>
      <c r="S4797" s="13"/>
      <c r="T4797" s="13"/>
      <c r="U4797" s="13"/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  <c r="AG4797" s="13"/>
      <c r="AH4797" s="13"/>
      <c r="AI4797" s="13"/>
      <c r="AJ4797" s="13"/>
      <c r="AK4797" s="13"/>
      <c r="AL4797" s="13"/>
      <c r="AM4797" s="13"/>
      <c r="AN4797" s="13"/>
      <c r="AO4797" s="13"/>
      <c r="AP4797" s="13"/>
      <c r="AQ4797" s="13"/>
      <c r="AR4797" s="13"/>
      <c r="AS4797" s="13"/>
    </row>
    <row r="4798" ht="14.25" customHeight="1">
      <c r="A4798" s="13"/>
      <c r="B4798" s="13"/>
      <c r="C4798" s="13"/>
      <c r="D4798" s="13"/>
      <c r="E4798" s="13"/>
      <c r="F4798" s="13"/>
      <c r="G4798" s="13"/>
      <c r="H4798" s="13"/>
      <c r="I4798" s="13"/>
      <c r="J4798" s="13"/>
      <c r="K4798" s="15"/>
      <c r="L4798" s="15"/>
      <c r="M4798" s="16"/>
      <c r="N4798" s="16"/>
      <c r="O4798" s="17"/>
      <c r="P4798" s="17"/>
      <c r="Q4798" s="13"/>
      <c r="R4798" s="13"/>
      <c r="S4798" s="13"/>
      <c r="T4798" s="13"/>
      <c r="U4798" s="13"/>
      <c r="V4798" s="13"/>
      <c r="W4798" s="13"/>
      <c r="X4798" s="13"/>
      <c r="Y4798" s="13"/>
      <c r="Z4798" s="13"/>
      <c r="AA4798" s="13"/>
      <c r="AB4798" s="13"/>
      <c r="AC4798" s="13"/>
      <c r="AD4798" s="13"/>
      <c r="AE4798" s="13"/>
      <c r="AF4798" s="13"/>
      <c r="AG4798" s="13"/>
      <c r="AH4798" s="13"/>
      <c r="AI4798" s="13"/>
      <c r="AJ4798" s="13"/>
      <c r="AK4798" s="13"/>
      <c r="AL4798" s="13"/>
      <c r="AM4798" s="13"/>
      <c r="AN4798" s="13"/>
      <c r="AO4798" s="13"/>
      <c r="AP4798" s="13"/>
      <c r="AQ4798" s="13"/>
      <c r="AR4798" s="13"/>
      <c r="AS4798" s="13"/>
    </row>
    <row r="4799" ht="14.25" customHeight="1">
      <c r="A4799" s="13"/>
      <c r="B4799" s="13"/>
      <c r="C4799" s="13"/>
      <c r="D4799" s="13"/>
      <c r="E4799" s="13"/>
      <c r="F4799" s="13"/>
      <c r="G4799" s="13"/>
      <c r="H4799" s="13"/>
      <c r="I4799" s="13"/>
      <c r="J4799" s="13"/>
      <c r="K4799" s="15"/>
      <c r="L4799" s="15"/>
      <c r="M4799" s="16"/>
      <c r="N4799" s="16"/>
      <c r="O4799" s="17"/>
      <c r="P4799" s="17"/>
      <c r="Q4799" s="13"/>
      <c r="R4799" s="13"/>
      <c r="S4799" s="13"/>
      <c r="T4799" s="13"/>
      <c r="U4799" s="13"/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F4799" s="13"/>
      <c r="AG4799" s="13"/>
      <c r="AH4799" s="13"/>
      <c r="AI4799" s="13"/>
      <c r="AJ4799" s="13"/>
      <c r="AK4799" s="13"/>
      <c r="AL4799" s="13"/>
      <c r="AM4799" s="13"/>
      <c r="AN4799" s="13"/>
      <c r="AO4799" s="13"/>
      <c r="AP4799" s="13"/>
      <c r="AQ4799" s="13"/>
      <c r="AR4799" s="13"/>
      <c r="AS4799" s="13"/>
    </row>
    <row r="4800" ht="14.25" customHeight="1">
      <c r="A4800" s="13"/>
      <c r="B4800" s="13"/>
      <c r="C4800" s="13"/>
      <c r="D4800" s="13"/>
      <c r="E4800" s="13"/>
      <c r="F4800" s="13"/>
      <c r="G4800" s="13"/>
      <c r="H4800" s="13"/>
      <c r="I4800" s="13"/>
      <c r="J4800" s="13"/>
      <c r="K4800" s="15"/>
      <c r="L4800" s="15"/>
      <c r="M4800" s="16"/>
      <c r="N4800" s="16"/>
      <c r="O4800" s="17"/>
      <c r="P4800" s="17"/>
      <c r="Q4800" s="13"/>
      <c r="R4800" s="13"/>
      <c r="S4800" s="13"/>
      <c r="T4800" s="13"/>
      <c r="U4800" s="13"/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F4800" s="13"/>
      <c r="AG4800" s="13"/>
      <c r="AH4800" s="13"/>
      <c r="AI4800" s="13"/>
      <c r="AJ4800" s="13"/>
      <c r="AK4800" s="13"/>
      <c r="AL4800" s="13"/>
      <c r="AM4800" s="13"/>
      <c r="AN4800" s="13"/>
      <c r="AO4800" s="13"/>
      <c r="AP4800" s="13"/>
      <c r="AQ4800" s="13"/>
      <c r="AR4800" s="13"/>
      <c r="AS4800" s="13"/>
    </row>
    <row r="4801" ht="14.25" customHeight="1">
      <c r="A4801" s="13"/>
      <c r="B4801" s="13"/>
      <c r="C4801" s="13"/>
      <c r="D4801" s="13"/>
      <c r="E4801" s="13"/>
      <c r="F4801" s="13"/>
      <c r="G4801" s="13"/>
      <c r="H4801" s="13"/>
      <c r="I4801" s="13"/>
      <c r="J4801" s="13"/>
      <c r="K4801" s="15"/>
      <c r="L4801" s="15"/>
      <c r="M4801" s="16"/>
      <c r="N4801" s="16"/>
      <c r="O4801" s="17"/>
      <c r="P4801" s="17"/>
      <c r="Q4801" s="13"/>
      <c r="R4801" s="13"/>
      <c r="S4801" s="13"/>
      <c r="T4801" s="13"/>
      <c r="U4801" s="13"/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F4801" s="13"/>
      <c r="AG4801" s="13"/>
      <c r="AH4801" s="13"/>
      <c r="AI4801" s="13"/>
      <c r="AJ4801" s="13"/>
      <c r="AK4801" s="13"/>
      <c r="AL4801" s="13"/>
      <c r="AM4801" s="13"/>
      <c r="AN4801" s="13"/>
      <c r="AO4801" s="13"/>
      <c r="AP4801" s="13"/>
      <c r="AQ4801" s="13"/>
      <c r="AR4801" s="13"/>
      <c r="AS4801" s="13"/>
    </row>
    <row r="4802" ht="14.25" customHeight="1">
      <c r="A4802" s="13"/>
      <c r="B4802" s="13"/>
      <c r="C4802" s="13"/>
      <c r="D4802" s="13"/>
      <c r="E4802" s="13"/>
      <c r="F4802" s="13"/>
      <c r="G4802" s="13"/>
      <c r="H4802" s="13"/>
      <c r="I4802" s="13"/>
      <c r="J4802" s="13"/>
      <c r="K4802" s="15"/>
      <c r="L4802" s="15"/>
      <c r="M4802" s="16"/>
      <c r="N4802" s="16"/>
      <c r="O4802" s="17"/>
      <c r="P4802" s="17"/>
      <c r="Q4802" s="13"/>
      <c r="R4802" s="13"/>
      <c r="S4802" s="13"/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F4802" s="13"/>
      <c r="AG4802" s="13"/>
      <c r="AH4802" s="13"/>
      <c r="AI4802" s="13"/>
      <c r="AJ4802" s="13"/>
      <c r="AK4802" s="13"/>
      <c r="AL4802" s="13"/>
      <c r="AM4802" s="13"/>
      <c r="AN4802" s="13"/>
      <c r="AO4802" s="13"/>
      <c r="AP4802" s="13"/>
      <c r="AQ4802" s="13"/>
      <c r="AR4802" s="13"/>
      <c r="AS4802" s="13"/>
    </row>
    <row r="4803" ht="14.25" customHeight="1">
      <c r="A4803" s="13"/>
      <c r="B4803" s="13"/>
      <c r="C4803" s="13"/>
      <c r="D4803" s="13"/>
      <c r="E4803" s="13"/>
      <c r="F4803" s="13"/>
      <c r="G4803" s="13"/>
      <c r="H4803" s="13"/>
      <c r="I4803" s="13"/>
      <c r="J4803" s="13"/>
      <c r="K4803" s="15"/>
      <c r="L4803" s="15"/>
      <c r="M4803" s="16"/>
      <c r="N4803" s="16"/>
      <c r="O4803" s="17"/>
      <c r="P4803" s="17"/>
      <c r="Q4803" s="13"/>
      <c r="R4803" s="13"/>
      <c r="S4803" s="13"/>
      <c r="T4803" s="13"/>
      <c r="U4803" s="13"/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  <c r="AG4803" s="13"/>
      <c r="AH4803" s="13"/>
      <c r="AI4803" s="13"/>
      <c r="AJ4803" s="13"/>
      <c r="AK4803" s="13"/>
      <c r="AL4803" s="13"/>
      <c r="AM4803" s="13"/>
      <c r="AN4803" s="13"/>
      <c r="AO4803" s="13"/>
      <c r="AP4803" s="13"/>
      <c r="AQ4803" s="13"/>
      <c r="AR4803" s="13"/>
      <c r="AS4803" s="13"/>
    </row>
    <row r="4804" ht="14.25" customHeight="1">
      <c r="A4804" s="13"/>
      <c r="B4804" s="13"/>
      <c r="C4804" s="13"/>
      <c r="D4804" s="13"/>
      <c r="E4804" s="13"/>
      <c r="F4804" s="13"/>
      <c r="G4804" s="13"/>
      <c r="H4804" s="13"/>
      <c r="I4804" s="13"/>
      <c r="J4804" s="13"/>
      <c r="K4804" s="15"/>
      <c r="L4804" s="15"/>
      <c r="M4804" s="16"/>
      <c r="N4804" s="16"/>
      <c r="O4804" s="17"/>
      <c r="P4804" s="17"/>
      <c r="Q4804" s="13"/>
      <c r="R4804" s="13"/>
      <c r="S4804" s="13"/>
      <c r="T4804" s="13"/>
      <c r="U4804" s="13"/>
      <c r="V4804" s="13"/>
      <c r="W4804" s="13"/>
      <c r="X4804" s="13"/>
      <c r="Y4804" s="13"/>
      <c r="Z4804" s="13"/>
      <c r="AA4804" s="13"/>
      <c r="AB4804" s="13"/>
      <c r="AC4804" s="13"/>
      <c r="AD4804" s="13"/>
      <c r="AE4804" s="13"/>
      <c r="AF4804" s="13"/>
      <c r="AG4804" s="13"/>
      <c r="AH4804" s="13"/>
      <c r="AI4804" s="13"/>
      <c r="AJ4804" s="13"/>
      <c r="AK4804" s="13"/>
      <c r="AL4804" s="13"/>
      <c r="AM4804" s="13"/>
      <c r="AN4804" s="13"/>
      <c r="AO4804" s="13"/>
      <c r="AP4804" s="13"/>
      <c r="AQ4804" s="13"/>
      <c r="AR4804" s="13"/>
      <c r="AS4804" s="13"/>
    </row>
    <row r="4805" ht="14.25" customHeight="1">
      <c r="A4805" s="13"/>
      <c r="B4805" s="13"/>
      <c r="C4805" s="13"/>
      <c r="D4805" s="13"/>
      <c r="E4805" s="13"/>
      <c r="F4805" s="13"/>
      <c r="G4805" s="13"/>
      <c r="H4805" s="13"/>
      <c r="I4805" s="13"/>
      <c r="J4805" s="13"/>
      <c r="K4805" s="15"/>
      <c r="L4805" s="15"/>
      <c r="M4805" s="16"/>
      <c r="N4805" s="16"/>
      <c r="O4805" s="17"/>
      <c r="P4805" s="17"/>
      <c r="Q4805" s="13"/>
      <c r="R4805" s="13"/>
      <c r="S4805" s="13"/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/>
      <c r="AF4805" s="13"/>
      <c r="AG4805" s="13"/>
      <c r="AH4805" s="13"/>
      <c r="AI4805" s="13"/>
      <c r="AJ4805" s="13"/>
      <c r="AK4805" s="13"/>
      <c r="AL4805" s="13"/>
      <c r="AM4805" s="13"/>
      <c r="AN4805" s="13"/>
      <c r="AO4805" s="13"/>
      <c r="AP4805" s="13"/>
      <c r="AQ4805" s="13"/>
      <c r="AR4805" s="13"/>
      <c r="AS4805" s="13"/>
    </row>
    <row r="4806" ht="14.25" customHeight="1">
      <c r="A4806" s="13"/>
      <c r="B4806" s="13"/>
      <c r="C4806" s="13"/>
      <c r="D4806" s="13"/>
      <c r="E4806" s="13"/>
      <c r="F4806" s="13"/>
      <c r="G4806" s="13"/>
      <c r="H4806" s="13"/>
      <c r="I4806" s="13"/>
      <c r="J4806" s="13"/>
      <c r="K4806" s="15"/>
      <c r="L4806" s="15"/>
      <c r="M4806" s="16"/>
      <c r="N4806" s="16"/>
      <c r="O4806" s="17"/>
      <c r="P4806" s="17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  <c r="AG4806" s="13"/>
      <c r="AH4806" s="13"/>
      <c r="AI4806" s="13"/>
      <c r="AJ4806" s="13"/>
      <c r="AK4806" s="13"/>
      <c r="AL4806" s="13"/>
      <c r="AM4806" s="13"/>
      <c r="AN4806" s="13"/>
      <c r="AO4806" s="13"/>
      <c r="AP4806" s="13"/>
      <c r="AQ4806" s="13"/>
      <c r="AR4806" s="13"/>
      <c r="AS4806" s="13"/>
    </row>
    <row r="4807" ht="14.25" customHeight="1">
      <c r="A4807" s="13"/>
      <c r="B4807" s="13"/>
      <c r="C4807" s="13"/>
      <c r="D4807" s="13"/>
      <c r="E4807" s="13"/>
      <c r="F4807" s="13"/>
      <c r="G4807" s="13"/>
      <c r="H4807" s="13"/>
      <c r="I4807" s="13"/>
      <c r="J4807" s="13"/>
      <c r="K4807" s="15"/>
      <c r="L4807" s="15"/>
      <c r="M4807" s="16"/>
      <c r="N4807" s="16"/>
      <c r="O4807" s="17"/>
      <c r="P4807" s="17"/>
      <c r="Q4807" s="13"/>
      <c r="R4807" s="13"/>
      <c r="S4807" s="13"/>
      <c r="T4807" s="13"/>
      <c r="U4807" s="13"/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  <c r="AG4807" s="13"/>
      <c r="AH4807" s="13"/>
      <c r="AI4807" s="13"/>
      <c r="AJ4807" s="13"/>
      <c r="AK4807" s="13"/>
      <c r="AL4807" s="13"/>
      <c r="AM4807" s="13"/>
      <c r="AN4807" s="13"/>
      <c r="AO4807" s="13"/>
      <c r="AP4807" s="13"/>
      <c r="AQ4807" s="13"/>
      <c r="AR4807" s="13"/>
      <c r="AS4807" s="13"/>
    </row>
    <row r="4808" ht="14.25" customHeight="1">
      <c r="A4808" s="13"/>
      <c r="B4808" s="13"/>
      <c r="C4808" s="13"/>
      <c r="D4808" s="13"/>
      <c r="E4808" s="13"/>
      <c r="F4808" s="13"/>
      <c r="G4808" s="13"/>
      <c r="H4808" s="13"/>
      <c r="I4808" s="13"/>
      <c r="J4808" s="13"/>
      <c r="K4808" s="15"/>
      <c r="L4808" s="15"/>
      <c r="M4808" s="16"/>
      <c r="N4808" s="16"/>
      <c r="O4808" s="17"/>
      <c r="P4808" s="17"/>
      <c r="Q4808" s="13"/>
      <c r="R4808" s="13"/>
      <c r="S4808" s="13"/>
      <c r="T4808" s="13"/>
      <c r="U4808" s="13"/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F4808" s="13"/>
      <c r="AG4808" s="13"/>
      <c r="AH4808" s="13"/>
      <c r="AI4808" s="13"/>
      <c r="AJ4808" s="13"/>
      <c r="AK4808" s="13"/>
      <c r="AL4808" s="13"/>
      <c r="AM4808" s="13"/>
      <c r="AN4808" s="13"/>
      <c r="AO4808" s="13"/>
      <c r="AP4808" s="13"/>
      <c r="AQ4808" s="13"/>
      <c r="AR4808" s="13"/>
      <c r="AS4808" s="13"/>
    </row>
    <row r="4809" ht="14.25" customHeight="1">
      <c r="A4809" s="13"/>
      <c r="B4809" s="13"/>
      <c r="C4809" s="13"/>
      <c r="D4809" s="13"/>
      <c r="E4809" s="13"/>
      <c r="F4809" s="13"/>
      <c r="G4809" s="13"/>
      <c r="H4809" s="13"/>
      <c r="I4809" s="13"/>
      <c r="J4809" s="13"/>
      <c r="K4809" s="15"/>
      <c r="L4809" s="15"/>
      <c r="M4809" s="16"/>
      <c r="N4809" s="16"/>
      <c r="O4809" s="17"/>
      <c r="P4809" s="17"/>
      <c r="Q4809" s="13"/>
      <c r="R4809" s="13"/>
      <c r="S4809" s="13"/>
      <c r="T4809" s="13"/>
      <c r="U4809" s="13"/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F4809" s="13"/>
      <c r="AG4809" s="13"/>
      <c r="AH4809" s="13"/>
      <c r="AI4809" s="13"/>
      <c r="AJ4809" s="13"/>
      <c r="AK4809" s="13"/>
      <c r="AL4809" s="13"/>
      <c r="AM4809" s="13"/>
      <c r="AN4809" s="13"/>
      <c r="AO4809" s="13"/>
      <c r="AP4809" s="13"/>
      <c r="AQ4809" s="13"/>
      <c r="AR4809" s="13"/>
      <c r="AS4809" s="13"/>
    </row>
    <row r="4810" ht="14.25" customHeight="1">
      <c r="A4810" s="13"/>
      <c r="B4810" s="13"/>
      <c r="C4810" s="13"/>
      <c r="D4810" s="13"/>
      <c r="E4810" s="13"/>
      <c r="F4810" s="13"/>
      <c r="G4810" s="13"/>
      <c r="H4810" s="13"/>
      <c r="I4810" s="13"/>
      <c r="J4810" s="13"/>
      <c r="K4810" s="15"/>
      <c r="L4810" s="15"/>
      <c r="M4810" s="16"/>
      <c r="N4810" s="16"/>
      <c r="O4810" s="17"/>
      <c r="P4810" s="17"/>
      <c r="Q4810" s="13"/>
      <c r="R4810" s="13"/>
      <c r="S4810" s="13"/>
      <c r="T4810" s="13"/>
      <c r="U4810" s="13"/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F4810" s="13"/>
      <c r="AG4810" s="13"/>
      <c r="AH4810" s="13"/>
      <c r="AI4810" s="13"/>
      <c r="AJ4810" s="13"/>
      <c r="AK4810" s="13"/>
      <c r="AL4810" s="13"/>
      <c r="AM4810" s="13"/>
      <c r="AN4810" s="13"/>
      <c r="AO4810" s="13"/>
      <c r="AP4810" s="13"/>
      <c r="AQ4810" s="13"/>
      <c r="AR4810" s="13"/>
      <c r="AS4810" s="13"/>
    </row>
    <row r="4811" ht="14.25" customHeight="1">
      <c r="A4811" s="13"/>
      <c r="B4811" s="13"/>
      <c r="C4811" s="13"/>
      <c r="D4811" s="13"/>
      <c r="E4811" s="13"/>
      <c r="F4811" s="13"/>
      <c r="G4811" s="13"/>
      <c r="H4811" s="13"/>
      <c r="I4811" s="13"/>
      <c r="J4811" s="13"/>
      <c r="K4811" s="15"/>
      <c r="L4811" s="15"/>
      <c r="M4811" s="16"/>
      <c r="N4811" s="16"/>
      <c r="O4811" s="17"/>
      <c r="P4811" s="17"/>
      <c r="Q4811" s="13"/>
      <c r="R4811" s="13"/>
      <c r="S4811" s="13"/>
      <c r="T4811" s="13"/>
      <c r="U4811" s="13"/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F4811" s="13"/>
      <c r="AG4811" s="13"/>
      <c r="AH4811" s="13"/>
      <c r="AI4811" s="13"/>
      <c r="AJ4811" s="13"/>
      <c r="AK4811" s="13"/>
      <c r="AL4811" s="13"/>
      <c r="AM4811" s="13"/>
      <c r="AN4811" s="13"/>
      <c r="AO4811" s="13"/>
      <c r="AP4811" s="13"/>
      <c r="AQ4811" s="13"/>
      <c r="AR4811" s="13"/>
      <c r="AS4811" s="13"/>
    </row>
    <row r="4812" ht="14.25" customHeight="1">
      <c r="A4812" s="13"/>
      <c r="B4812" s="13"/>
      <c r="C4812" s="13"/>
      <c r="D4812" s="13"/>
      <c r="E4812" s="13"/>
      <c r="F4812" s="13"/>
      <c r="G4812" s="13"/>
      <c r="H4812" s="13"/>
      <c r="I4812" s="13"/>
      <c r="J4812" s="13"/>
      <c r="K4812" s="15"/>
      <c r="L4812" s="15"/>
      <c r="M4812" s="16"/>
      <c r="N4812" s="16"/>
      <c r="O4812" s="17"/>
      <c r="P4812" s="17"/>
      <c r="Q4812" s="13"/>
      <c r="R4812" s="13"/>
      <c r="S4812" s="13"/>
      <c r="T4812" s="13"/>
      <c r="U4812" s="13"/>
      <c r="V4812" s="13"/>
      <c r="W4812" s="13"/>
      <c r="X4812" s="13"/>
      <c r="Y4812" s="13"/>
      <c r="Z4812" s="13"/>
      <c r="AA4812" s="13"/>
      <c r="AB4812" s="13"/>
      <c r="AC4812" s="13"/>
      <c r="AD4812" s="13"/>
      <c r="AE4812" s="13"/>
      <c r="AF4812" s="13"/>
      <c r="AG4812" s="13"/>
      <c r="AH4812" s="13"/>
      <c r="AI4812" s="13"/>
      <c r="AJ4812" s="13"/>
      <c r="AK4812" s="13"/>
      <c r="AL4812" s="13"/>
      <c r="AM4812" s="13"/>
      <c r="AN4812" s="13"/>
      <c r="AO4812" s="13"/>
      <c r="AP4812" s="13"/>
      <c r="AQ4812" s="13"/>
      <c r="AR4812" s="13"/>
      <c r="AS4812" s="13"/>
    </row>
    <row r="4813" ht="14.25" customHeight="1">
      <c r="A4813" s="13"/>
      <c r="B4813" s="13"/>
      <c r="C4813" s="13"/>
      <c r="D4813" s="13"/>
      <c r="E4813" s="13"/>
      <c r="F4813" s="13"/>
      <c r="G4813" s="13"/>
      <c r="H4813" s="13"/>
      <c r="I4813" s="13"/>
      <c r="J4813" s="13"/>
      <c r="K4813" s="15"/>
      <c r="L4813" s="15"/>
      <c r="M4813" s="16"/>
      <c r="N4813" s="16"/>
      <c r="O4813" s="17"/>
      <c r="P4813" s="17"/>
      <c r="Q4813" s="13"/>
      <c r="R4813" s="13"/>
      <c r="S4813" s="13"/>
      <c r="T4813" s="13"/>
      <c r="U4813" s="13"/>
      <c r="V4813" s="13"/>
      <c r="W4813" s="13"/>
      <c r="X4813" s="13"/>
      <c r="Y4813" s="13"/>
      <c r="Z4813" s="13"/>
      <c r="AA4813" s="13"/>
      <c r="AB4813" s="13"/>
      <c r="AC4813" s="13"/>
      <c r="AD4813" s="13"/>
      <c r="AE4813" s="13"/>
      <c r="AF4813" s="13"/>
      <c r="AG4813" s="13"/>
      <c r="AH4813" s="13"/>
      <c r="AI4813" s="13"/>
      <c r="AJ4813" s="13"/>
      <c r="AK4813" s="13"/>
      <c r="AL4813" s="13"/>
      <c r="AM4813" s="13"/>
      <c r="AN4813" s="13"/>
      <c r="AO4813" s="13"/>
      <c r="AP4813" s="13"/>
      <c r="AQ4813" s="13"/>
      <c r="AR4813" s="13"/>
      <c r="AS4813" s="13"/>
    </row>
    <row r="4814" ht="14.25" customHeight="1">
      <c r="A4814" s="13"/>
      <c r="B4814" s="13"/>
      <c r="C4814" s="13"/>
      <c r="D4814" s="13"/>
      <c r="E4814" s="13"/>
      <c r="F4814" s="13"/>
      <c r="G4814" s="13"/>
      <c r="H4814" s="13"/>
      <c r="I4814" s="13"/>
      <c r="J4814" s="13"/>
      <c r="K4814" s="15"/>
      <c r="L4814" s="15"/>
      <c r="M4814" s="16"/>
      <c r="N4814" s="16"/>
      <c r="O4814" s="17"/>
      <c r="P4814" s="17"/>
      <c r="Q4814" s="13"/>
      <c r="R4814" s="13"/>
      <c r="S4814" s="13"/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  <c r="AG4814" s="13"/>
      <c r="AH4814" s="13"/>
      <c r="AI4814" s="13"/>
      <c r="AJ4814" s="13"/>
      <c r="AK4814" s="13"/>
      <c r="AL4814" s="13"/>
      <c r="AM4814" s="13"/>
      <c r="AN4814" s="13"/>
      <c r="AO4814" s="13"/>
      <c r="AP4814" s="13"/>
      <c r="AQ4814" s="13"/>
      <c r="AR4814" s="13"/>
      <c r="AS4814" s="13"/>
    </row>
    <row r="4815" ht="14.25" customHeight="1">
      <c r="A4815" s="13"/>
      <c r="B4815" s="13"/>
      <c r="C4815" s="13"/>
      <c r="D4815" s="13"/>
      <c r="E4815" s="13"/>
      <c r="F4815" s="13"/>
      <c r="G4815" s="13"/>
      <c r="H4815" s="13"/>
      <c r="I4815" s="13"/>
      <c r="J4815" s="13"/>
      <c r="K4815" s="15"/>
      <c r="L4815" s="15"/>
      <c r="M4815" s="16"/>
      <c r="N4815" s="16"/>
      <c r="O4815" s="17"/>
      <c r="P4815" s="17"/>
      <c r="Q4815" s="13"/>
      <c r="R4815" s="13"/>
      <c r="S4815" s="13"/>
      <c r="T4815" s="13"/>
      <c r="U4815" s="13"/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  <c r="AG4815" s="13"/>
      <c r="AH4815" s="13"/>
      <c r="AI4815" s="13"/>
      <c r="AJ4815" s="13"/>
      <c r="AK4815" s="13"/>
      <c r="AL4815" s="13"/>
      <c r="AM4815" s="13"/>
      <c r="AN4815" s="13"/>
      <c r="AO4815" s="13"/>
      <c r="AP4815" s="13"/>
      <c r="AQ4815" s="13"/>
      <c r="AR4815" s="13"/>
      <c r="AS4815" s="13"/>
    </row>
    <row r="4816" ht="14.25" customHeight="1">
      <c r="A4816" s="13"/>
      <c r="B4816" s="13"/>
      <c r="C4816" s="13"/>
      <c r="D4816" s="13"/>
      <c r="E4816" s="13"/>
      <c r="F4816" s="13"/>
      <c r="G4816" s="13"/>
      <c r="H4816" s="13"/>
      <c r="I4816" s="13"/>
      <c r="J4816" s="13"/>
      <c r="K4816" s="15"/>
      <c r="L4816" s="15"/>
      <c r="M4816" s="16"/>
      <c r="N4816" s="16"/>
      <c r="O4816" s="17"/>
      <c r="P4816" s="17"/>
      <c r="Q4816" s="13"/>
      <c r="R4816" s="13"/>
      <c r="S4816" s="13"/>
      <c r="T4816" s="13"/>
      <c r="U4816" s="13"/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  <c r="AG4816" s="13"/>
      <c r="AH4816" s="13"/>
      <c r="AI4816" s="13"/>
      <c r="AJ4816" s="13"/>
      <c r="AK4816" s="13"/>
      <c r="AL4816" s="13"/>
      <c r="AM4816" s="13"/>
      <c r="AN4816" s="13"/>
      <c r="AO4816" s="13"/>
      <c r="AP4816" s="13"/>
      <c r="AQ4816" s="13"/>
      <c r="AR4816" s="13"/>
      <c r="AS4816" s="13"/>
    </row>
    <row r="4817" ht="14.25" customHeight="1">
      <c r="A4817" s="13"/>
      <c r="B4817" s="13"/>
      <c r="C4817" s="13"/>
      <c r="D4817" s="13"/>
      <c r="E4817" s="13"/>
      <c r="F4817" s="13"/>
      <c r="G4817" s="13"/>
      <c r="H4817" s="13"/>
      <c r="I4817" s="13"/>
      <c r="J4817" s="13"/>
      <c r="K4817" s="15"/>
      <c r="L4817" s="15"/>
      <c r="M4817" s="16"/>
      <c r="N4817" s="16"/>
      <c r="O4817" s="17"/>
      <c r="P4817" s="17"/>
      <c r="Q4817" s="13"/>
      <c r="R4817" s="13"/>
      <c r="S4817" s="13"/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/>
      <c r="AE4817" s="13"/>
      <c r="AF4817" s="13"/>
      <c r="AG4817" s="13"/>
      <c r="AH4817" s="13"/>
      <c r="AI4817" s="13"/>
      <c r="AJ4817" s="13"/>
      <c r="AK4817" s="13"/>
      <c r="AL4817" s="13"/>
      <c r="AM4817" s="13"/>
      <c r="AN4817" s="13"/>
      <c r="AO4817" s="13"/>
      <c r="AP4817" s="13"/>
      <c r="AQ4817" s="13"/>
      <c r="AR4817" s="13"/>
      <c r="AS4817" s="13"/>
    </row>
    <row r="4818" ht="14.25" customHeight="1">
      <c r="A4818" s="13"/>
      <c r="B4818" s="13"/>
      <c r="C4818" s="13"/>
      <c r="D4818" s="13"/>
      <c r="E4818" s="13"/>
      <c r="F4818" s="13"/>
      <c r="G4818" s="13"/>
      <c r="H4818" s="13"/>
      <c r="I4818" s="13"/>
      <c r="J4818" s="13"/>
      <c r="K4818" s="15"/>
      <c r="L4818" s="15"/>
      <c r="M4818" s="16"/>
      <c r="N4818" s="16"/>
      <c r="O4818" s="17"/>
      <c r="P4818" s="17"/>
      <c r="Q4818" s="13"/>
      <c r="R4818" s="13"/>
      <c r="S4818" s="13"/>
      <c r="T4818" s="13"/>
      <c r="U4818" s="13"/>
      <c r="V4818" s="13"/>
      <c r="W4818" s="13"/>
      <c r="X4818" s="13"/>
      <c r="Y4818" s="13"/>
      <c r="Z4818" s="13"/>
      <c r="AA4818" s="13"/>
      <c r="AB4818" s="13"/>
      <c r="AC4818" s="13"/>
      <c r="AD4818" s="13"/>
      <c r="AE4818" s="13"/>
      <c r="AF4818" s="13"/>
      <c r="AG4818" s="13"/>
      <c r="AH4818" s="13"/>
      <c r="AI4818" s="13"/>
      <c r="AJ4818" s="13"/>
      <c r="AK4818" s="13"/>
      <c r="AL4818" s="13"/>
      <c r="AM4818" s="13"/>
      <c r="AN4818" s="13"/>
      <c r="AO4818" s="13"/>
      <c r="AP4818" s="13"/>
      <c r="AQ4818" s="13"/>
      <c r="AR4818" s="13"/>
      <c r="AS4818" s="13"/>
    </row>
    <row r="4819" ht="14.25" customHeight="1">
      <c r="A4819" s="13"/>
      <c r="B4819" s="13"/>
      <c r="C4819" s="13"/>
      <c r="D4819" s="13"/>
      <c r="E4819" s="13"/>
      <c r="F4819" s="13"/>
      <c r="G4819" s="13"/>
      <c r="H4819" s="13"/>
      <c r="I4819" s="13"/>
      <c r="J4819" s="13"/>
      <c r="K4819" s="15"/>
      <c r="L4819" s="15"/>
      <c r="M4819" s="16"/>
      <c r="N4819" s="16"/>
      <c r="O4819" s="17"/>
      <c r="P4819" s="17"/>
      <c r="Q4819" s="13"/>
      <c r="R4819" s="13"/>
      <c r="S4819" s="13"/>
      <c r="T4819" s="13"/>
      <c r="U4819" s="13"/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  <c r="AG4819" s="13"/>
      <c r="AH4819" s="13"/>
      <c r="AI4819" s="13"/>
      <c r="AJ4819" s="13"/>
      <c r="AK4819" s="13"/>
      <c r="AL4819" s="13"/>
      <c r="AM4819" s="13"/>
      <c r="AN4819" s="13"/>
      <c r="AO4819" s="13"/>
      <c r="AP4819" s="13"/>
      <c r="AQ4819" s="13"/>
      <c r="AR4819" s="13"/>
      <c r="AS4819" s="13"/>
    </row>
    <row r="4820" ht="14.25" customHeight="1">
      <c r="A4820" s="13"/>
      <c r="B4820" s="13"/>
      <c r="C4820" s="13"/>
      <c r="D4820" s="13"/>
      <c r="E4820" s="13"/>
      <c r="F4820" s="13"/>
      <c r="G4820" s="13"/>
      <c r="H4820" s="13"/>
      <c r="I4820" s="13"/>
      <c r="J4820" s="13"/>
      <c r="K4820" s="15"/>
      <c r="L4820" s="15"/>
      <c r="M4820" s="16"/>
      <c r="N4820" s="16"/>
      <c r="O4820" s="17"/>
      <c r="P4820" s="17"/>
      <c r="Q4820" s="13"/>
      <c r="R4820" s="13"/>
      <c r="S4820" s="13"/>
      <c r="T4820" s="13"/>
      <c r="U4820" s="13"/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  <c r="AG4820" s="13"/>
      <c r="AH4820" s="13"/>
      <c r="AI4820" s="13"/>
      <c r="AJ4820" s="13"/>
      <c r="AK4820" s="13"/>
      <c r="AL4820" s="13"/>
      <c r="AM4820" s="13"/>
      <c r="AN4820" s="13"/>
      <c r="AO4820" s="13"/>
      <c r="AP4820" s="13"/>
      <c r="AQ4820" s="13"/>
      <c r="AR4820" s="13"/>
      <c r="AS4820" s="13"/>
    </row>
    <row r="4821" ht="14.25" customHeight="1">
      <c r="A4821" s="13"/>
      <c r="B4821" s="13"/>
      <c r="C4821" s="13"/>
      <c r="D4821" s="13"/>
      <c r="E4821" s="13"/>
      <c r="F4821" s="13"/>
      <c r="G4821" s="13"/>
      <c r="H4821" s="13"/>
      <c r="I4821" s="13"/>
      <c r="J4821" s="13"/>
      <c r="K4821" s="15"/>
      <c r="L4821" s="15"/>
      <c r="M4821" s="16"/>
      <c r="N4821" s="16"/>
      <c r="O4821" s="17"/>
      <c r="P4821" s="17"/>
      <c r="Q4821" s="13"/>
      <c r="R4821" s="13"/>
      <c r="S4821" s="13"/>
      <c r="T4821" s="13"/>
      <c r="U4821" s="13"/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  <c r="AG4821" s="13"/>
      <c r="AH4821" s="13"/>
      <c r="AI4821" s="13"/>
      <c r="AJ4821" s="13"/>
      <c r="AK4821" s="13"/>
      <c r="AL4821" s="13"/>
      <c r="AM4821" s="13"/>
      <c r="AN4821" s="13"/>
      <c r="AO4821" s="13"/>
      <c r="AP4821" s="13"/>
      <c r="AQ4821" s="13"/>
      <c r="AR4821" s="13"/>
      <c r="AS4821" s="13"/>
    </row>
    <row r="4822" ht="14.25" customHeight="1">
      <c r="A4822" s="13"/>
      <c r="B4822" s="13"/>
      <c r="C4822" s="13"/>
      <c r="D4822" s="13"/>
      <c r="E4822" s="13"/>
      <c r="F4822" s="13"/>
      <c r="G4822" s="13"/>
      <c r="H4822" s="13"/>
      <c r="I4822" s="13"/>
      <c r="J4822" s="13"/>
      <c r="K4822" s="15"/>
      <c r="L4822" s="15"/>
      <c r="M4822" s="16"/>
      <c r="N4822" s="16"/>
      <c r="O4822" s="17"/>
      <c r="P4822" s="17"/>
      <c r="Q4822" s="13"/>
      <c r="R4822" s="13"/>
      <c r="S4822" s="13"/>
      <c r="T4822" s="13"/>
      <c r="U4822" s="13"/>
      <c r="V4822" s="13"/>
      <c r="W4822" s="13"/>
      <c r="X4822" s="13"/>
      <c r="Y4822" s="13"/>
      <c r="Z4822" s="13"/>
      <c r="AA4822" s="13"/>
      <c r="AB4822" s="13"/>
      <c r="AC4822" s="13"/>
      <c r="AD4822" s="13"/>
      <c r="AE4822" s="13"/>
      <c r="AF4822" s="13"/>
      <c r="AG4822" s="13"/>
      <c r="AH4822" s="13"/>
      <c r="AI4822" s="13"/>
      <c r="AJ4822" s="13"/>
      <c r="AK4822" s="13"/>
      <c r="AL4822" s="13"/>
      <c r="AM4822" s="13"/>
      <c r="AN4822" s="13"/>
      <c r="AO4822" s="13"/>
      <c r="AP4822" s="13"/>
      <c r="AQ4822" s="13"/>
      <c r="AR4822" s="13"/>
      <c r="AS4822" s="13"/>
    </row>
    <row r="4823" ht="14.25" customHeight="1">
      <c r="A4823" s="13"/>
      <c r="B4823" s="13"/>
      <c r="C4823" s="13"/>
      <c r="D4823" s="13"/>
      <c r="E4823" s="13"/>
      <c r="F4823" s="13"/>
      <c r="G4823" s="13"/>
      <c r="H4823" s="13"/>
      <c r="I4823" s="13"/>
      <c r="J4823" s="13"/>
      <c r="K4823" s="15"/>
      <c r="L4823" s="15"/>
      <c r="M4823" s="16"/>
      <c r="N4823" s="16"/>
      <c r="O4823" s="17"/>
      <c r="P4823" s="17"/>
      <c r="Q4823" s="13"/>
      <c r="R4823" s="13"/>
      <c r="S4823" s="13"/>
      <c r="T4823" s="13"/>
      <c r="U4823" s="13"/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  <c r="AG4823" s="13"/>
      <c r="AH4823" s="13"/>
      <c r="AI4823" s="13"/>
      <c r="AJ4823" s="13"/>
      <c r="AK4823" s="13"/>
      <c r="AL4823" s="13"/>
      <c r="AM4823" s="13"/>
      <c r="AN4823" s="13"/>
      <c r="AO4823" s="13"/>
      <c r="AP4823" s="13"/>
      <c r="AQ4823" s="13"/>
      <c r="AR4823" s="13"/>
      <c r="AS4823" s="13"/>
    </row>
    <row r="4824" ht="14.25" customHeight="1">
      <c r="A4824" s="13"/>
      <c r="B4824" s="13"/>
      <c r="C4824" s="13"/>
      <c r="D4824" s="13"/>
      <c r="E4824" s="13"/>
      <c r="F4824" s="13"/>
      <c r="G4824" s="13"/>
      <c r="H4824" s="13"/>
      <c r="I4824" s="13"/>
      <c r="J4824" s="13"/>
      <c r="K4824" s="15"/>
      <c r="L4824" s="15"/>
      <c r="M4824" s="16"/>
      <c r="N4824" s="16"/>
      <c r="O4824" s="17"/>
      <c r="P4824" s="17"/>
      <c r="Q4824" s="13"/>
      <c r="R4824" s="13"/>
      <c r="S4824" s="13"/>
      <c r="T4824" s="13"/>
      <c r="U4824" s="13"/>
      <c r="V4824" s="13"/>
      <c r="W4824" s="13"/>
      <c r="X4824" s="13"/>
      <c r="Y4824" s="13"/>
      <c r="Z4824" s="13"/>
      <c r="AA4824" s="13"/>
      <c r="AB4824" s="13"/>
      <c r="AC4824" s="13"/>
      <c r="AD4824" s="13"/>
      <c r="AE4824" s="13"/>
      <c r="AF4824" s="13"/>
      <c r="AG4824" s="13"/>
      <c r="AH4824" s="13"/>
      <c r="AI4824" s="13"/>
      <c r="AJ4824" s="13"/>
      <c r="AK4824" s="13"/>
      <c r="AL4824" s="13"/>
      <c r="AM4824" s="13"/>
      <c r="AN4824" s="13"/>
      <c r="AO4824" s="13"/>
      <c r="AP4824" s="13"/>
      <c r="AQ4824" s="13"/>
      <c r="AR4824" s="13"/>
      <c r="AS4824" s="13"/>
    </row>
    <row r="4825" ht="14.25" customHeight="1">
      <c r="A4825" s="13"/>
      <c r="B4825" s="13"/>
      <c r="C4825" s="13"/>
      <c r="D4825" s="13"/>
      <c r="E4825" s="13"/>
      <c r="F4825" s="13"/>
      <c r="G4825" s="13"/>
      <c r="H4825" s="13"/>
      <c r="I4825" s="13"/>
      <c r="J4825" s="13"/>
      <c r="K4825" s="15"/>
      <c r="L4825" s="15"/>
      <c r="M4825" s="16"/>
      <c r="N4825" s="16"/>
      <c r="O4825" s="17"/>
      <c r="P4825" s="17"/>
      <c r="Q4825" s="13"/>
      <c r="R4825" s="13"/>
      <c r="S4825" s="13"/>
      <c r="T4825" s="13"/>
      <c r="U4825" s="13"/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  <c r="AG4825" s="13"/>
      <c r="AH4825" s="13"/>
      <c r="AI4825" s="13"/>
      <c r="AJ4825" s="13"/>
      <c r="AK4825" s="13"/>
      <c r="AL4825" s="13"/>
      <c r="AM4825" s="13"/>
      <c r="AN4825" s="13"/>
      <c r="AO4825" s="13"/>
      <c r="AP4825" s="13"/>
      <c r="AQ4825" s="13"/>
      <c r="AR4825" s="13"/>
      <c r="AS4825" s="13"/>
    </row>
    <row r="4826" ht="14.25" customHeight="1">
      <c r="A4826" s="13"/>
      <c r="B4826" s="13"/>
      <c r="C4826" s="13"/>
      <c r="D4826" s="13"/>
      <c r="E4826" s="13"/>
      <c r="F4826" s="13"/>
      <c r="G4826" s="13"/>
      <c r="H4826" s="13"/>
      <c r="I4826" s="13"/>
      <c r="J4826" s="13"/>
      <c r="K4826" s="15"/>
      <c r="L4826" s="15"/>
      <c r="M4826" s="16"/>
      <c r="N4826" s="16"/>
      <c r="O4826" s="17"/>
      <c r="P4826" s="17"/>
      <c r="Q4826" s="13"/>
      <c r="R4826" s="13"/>
      <c r="S4826" s="13"/>
      <c r="T4826" s="13"/>
      <c r="U4826" s="13"/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  <c r="AG4826" s="13"/>
      <c r="AH4826" s="13"/>
      <c r="AI4826" s="13"/>
      <c r="AJ4826" s="13"/>
      <c r="AK4826" s="13"/>
      <c r="AL4826" s="13"/>
      <c r="AM4826" s="13"/>
      <c r="AN4826" s="13"/>
      <c r="AO4826" s="13"/>
      <c r="AP4826" s="13"/>
      <c r="AQ4826" s="13"/>
      <c r="AR4826" s="13"/>
      <c r="AS4826" s="13"/>
    </row>
    <row r="4827" ht="14.25" customHeight="1">
      <c r="A4827" s="13"/>
      <c r="B4827" s="13"/>
      <c r="C4827" s="13"/>
      <c r="D4827" s="13"/>
      <c r="E4827" s="13"/>
      <c r="F4827" s="13"/>
      <c r="G4827" s="13"/>
      <c r="H4827" s="13"/>
      <c r="I4827" s="13"/>
      <c r="J4827" s="13"/>
      <c r="K4827" s="15"/>
      <c r="L4827" s="15"/>
      <c r="M4827" s="16"/>
      <c r="N4827" s="16"/>
      <c r="O4827" s="17"/>
      <c r="P4827" s="17"/>
      <c r="Q4827" s="13"/>
      <c r="R4827" s="13"/>
      <c r="S4827" s="13"/>
      <c r="T4827" s="13"/>
      <c r="U4827" s="13"/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  <c r="AG4827" s="13"/>
      <c r="AH4827" s="13"/>
      <c r="AI4827" s="13"/>
      <c r="AJ4827" s="13"/>
      <c r="AK4827" s="13"/>
      <c r="AL4827" s="13"/>
      <c r="AM4827" s="13"/>
      <c r="AN4827" s="13"/>
      <c r="AO4827" s="13"/>
      <c r="AP4827" s="13"/>
      <c r="AQ4827" s="13"/>
      <c r="AR4827" s="13"/>
      <c r="AS4827" s="13"/>
    </row>
    <row r="4828" ht="14.25" customHeight="1">
      <c r="A4828" s="13"/>
      <c r="B4828" s="13"/>
      <c r="C4828" s="13"/>
      <c r="D4828" s="13"/>
      <c r="E4828" s="13"/>
      <c r="F4828" s="13"/>
      <c r="G4828" s="13"/>
      <c r="H4828" s="13"/>
      <c r="I4828" s="13"/>
      <c r="J4828" s="13"/>
      <c r="K4828" s="15"/>
      <c r="L4828" s="15"/>
      <c r="M4828" s="16"/>
      <c r="N4828" s="16"/>
      <c r="O4828" s="17"/>
      <c r="P4828" s="17"/>
      <c r="Q4828" s="13"/>
      <c r="R4828" s="13"/>
      <c r="S4828" s="13"/>
      <c r="T4828" s="13"/>
      <c r="U4828" s="13"/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  <c r="AG4828" s="13"/>
      <c r="AH4828" s="13"/>
      <c r="AI4828" s="13"/>
      <c r="AJ4828" s="13"/>
      <c r="AK4828" s="13"/>
      <c r="AL4828" s="13"/>
      <c r="AM4828" s="13"/>
      <c r="AN4828" s="13"/>
      <c r="AO4828" s="13"/>
      <c r="AP4828" s="13"/>
      <c r="AQ4828" s="13"/>
      <c r="AR4828" s="13"/>
      <c r="AS4828" s="13"/>
    </row>
    <row r="4829" ht="14.25" customHeight="1">
      <c r="A4829" s="13"/>
      <c r="B4829" s="13"/>
      <c r="C4829" s="13"/>
      <c r="D4829" s="13"/>
      <c r="E4829" s="13"/>
      <c r="F4829" s="13"/>
      <c r="G4829" s="13"/>
      <c r="H4829" s="13"/>
      <c r="I4829" s="13"/>
      <c r="J4829" s="13"/>
      <c r="K4829" s="15"/>
      <c r="L4829" s="15"/>
      <c r="M4829" s="16"/>
      <c r="N4829" s="16"/>
      <c r="O4829" s="17"/>
      <c r="P4829" s="17"/>
      <c r="Q4829" s="13"/>
      <c r="R4829" s="13"/>
      <c r="S4829" s="13"/>
      <c r="T4829" s="13"/>
      <c r="U4829" s="13"/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  <c r="AG4829" s="13"/>
      <c r="AH4829" s="13"/>
      <c r="AI4829" s="13"/>
      <c r="AJ4829" s="13"/>
      <c r="AK4829" s="13"/>
      <c r="AL4829" s="13"/>
      <c r="AM4829" s="13"/>
      <c r="AN4829" s="13"/>
      <c r="AO4829" s="13"/>
      <c r="AP4829" s="13"/>
      <c r="AQ4829" s="13"/>
      <c r="AR4829" s="13"/>
      <c r="AS4829" s="13"/>
    </row>
    <row r="4830" ht="14.25" customHeight="1">
      <c r="A4830" s="13"/>
      <c r="B4830" s="13"/>
      <c r="C4830" s="13"/>
      <c r="D4830" s="13"/>
      <c r="E4830" s="13"/>
      <c r="F4830" s="13"/>
      <c r="G4830" s="13"/>
      <c r="H4830" s="13"/>
      <c r="I4830" s="13"/>
      <c r="J4830" s="13"/>
      <c r="K4830" s="15"/>
      <c r="L4830" s="15"/>
      <c r="M4830" s="16"/>
      <c r="N4830" s="16"/>
      <c r="O4830" s="17"/>
      <c r="P4830" s="17"/>
      <c r="Q4830" s="13"/>
      <c r="R4830" s="13"/>
      <c r="S4830" s="13"/>
      <c r="T4830" s="13"/>
      <c r="U4830" s="13"/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  <c r="AG4830" s="13"/>
      <c r="AH4830" s="13"/>
      <c r="AI4830" s="13"/>
      <c r="AJ4830" s="13"/>
      <c r="AK4830" s="13"/>
      <c r="AL4830" s="13"/>
      <c r="AM4830" s="13"/>
      <c r="AN4830" s="13"/>
      <c r="AO4830" s="13"/>
      <c r="AP4830" s="13"/>
      <c r="AQ4830" s="13"/>
      <c r="AR4830" s="13"/>
      <c r="AS4830" s="13"/>
    </row>
    <row r="4831" ht="14.25" customHeight="1">
      <c r="A4831" s="13"/>
      <c r="B4831" s="13"/>
      <c r="C4831" s="13"/>
      <c r="D4831" s="13"/>
      <c r="E4831" s="13"/>
      <c r="F4831" s="13"/>
      <c r="G4831" s="13"/>
      <c r="H4831" s="13"/>
      <c r="I4831" s="13"/>
      <c r="J4831" s="13"/>
      <c r="K4831" s="15"/>
      <c r="L4831" s="15"/>
      <c r="M4831" s="16"/>
      <c r="N4831" s="16"/>
      <c r="O4831" s="17"/>
      <c r="P4831" s="17"/>
      <c r="Q4831" s="13"/>
      <c r="R4831" s="13"/>
      <c r="S4831" s="13"/>
      <c r="T4831" s="13"/>
      <c r="U4831" s="13"/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  <c r="AG4831" s="13"/>
      <c r="AH4831" s="13"/>
      <c r="AI4831" s="13"/>
      <c r="AJ4831" s="13"/>
      <c r="AK4831" s="13"/>
      <c r="AL4831" s="13"/>
      <c r="AM4831" s="13"/>
      <c r="AN4831" s="13"/>
      <c r="AO4831" s="13"/>
      <c r="AP4831" s="13"/>
      <c r="AQ4831" s="13"/>
      <c r="AR4831" s="13"/>
      <c r="AS4831" s="13"/>
    </row>
    <row r="4832" ht="14.25" customHeight="1">
      <c r="A4832" s="13"/>
      <c r="B4832" s="13"/>
      <c r="C4832" s="13"/>
      <c r="D4832" s="13"/>
      <c r="E4832" s="13"/>
      <c r="F4832" s="13"/>
      <c r="G4832" s="13"/>
      <c r="H4832" s="13"/>
      <c r="I4832" s="13"/>
      <c r="J4832" s="13"/>
      <c r="K4832" s="15"/>
      <c r="L4832" s="15"/>
      <c r="M4832" s="16"/>
      <c r="N4832" s="16"/>
      <c r="O4832" s="17"/>
      <c r="P4832" s="17"/>
      <c r="Q4832" s="13"/>
      <c r="R4832" s="13"/>
      <c r="S4832" s="13"/>
      <c r="T4832" s="13"/>
      <c r="U4832" s="13"/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  <c r="AG4832" s="13"/>
      <c r="AH4832" s="13"/>
      <c r="AI4832" s="13"/>
      <c r="AJ4832" s="13"/>
      <c r="AK4832" s="13"/>
      <c r="AL4832" s="13"/>
      <c r="AM4832" s="13"/>
      <c r="AN4832" s="13"/>
      <c r="AO4832" s="13"/>
      <c r="AP4832" s="13"/>
      <c r="AQ4832" s="13"/>
      <c r="AR4832" s="13"/>
      <c r="AS4832" s="13"/>
    </row>
    <row r="4833" ht="14.25" customHeight="1">
      <c r="A4833" s="13"/>
      <c r="B4833" s="13"/>
      <c r="C4833" s="13"/>
      <c r="D4833" s="13"/>
      <c r="E4833" s="13"/>
      <c r="F4833" s="13"/>
      <c r="G4833" s="13"/>
      <c r="H4833" s="13"/>
      <c r="I4833" s="13"/>
      <c r="J4833" s="13"/>
      <c r="K4833" s="15"/>
      <c r="L4833" s="15"/>
      <c r="M4833" s="16"/>
      <c r="N4833" s="16"/>
      <c r="O4833" s="17"/>
      <c r="P4833" s="17"/>
      <c r="Q4833" s="13"/>
      <c r="R4833" s="13"/>
      <c r="S4833" s="13"/>
      <c r="T4833" s="13"/>
      <c r="U4833" s="13"/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  <c r="AG4833" s="13"/>
      <c r="AH4833" s="13"/>
      <c r="AI4833" s="13"/>
      <c r="AJ4833" s="13"/>
      <c r="AK4833" s="13"/>
      <c r="AL4833" s="13"/>
      <c r="AM4833" s="13"/>
      <c r="AN4833" s="13"/>
      <c r="AO4833" s="13"/>
      <c r="AP4833" s="13"/>
      <c r="AQ4833" s="13"/>
      <c r="AR4833" s="13"/>
      <c r="AS4833" s="13"/>
    </row>
    <row r="4834" ht="14.25" customHeight="1">
      <c r="A4834" s="13"/>
      <c r="B4834" s="13"/>
      <c r="C4834" s="13"/>
      <c r="D4834" s="13"/>
      <c r="E4834" s="13"/>
      <c r="F4834" s="13"/>
      <c r="G4834" s="13"/>
      <c r="H4834" s="13"/>
      <c r="I4834" s="13"/>
      <c r="J4834" s="13"/>
      <c r="K4834" s="15"/>
      <c r="L4834" s="15"/>
      <c r="M4834" s="16"/>
      <c r="N4834" s="16"/>
      <c r="O4834" s="17"/>
      <c r="P4834" s="17"/>
      <c r="Q4834" s="13"/>
      <c r="R4834" s="13"/>
      <c r="S4834" s="13"/>
      <c r="T4834" s="13"/>
      <c r="U4834" s="13"/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  <c r="AG4834" s="13"/>
      <c r="AH4834" s="13"/>
      <c r="AI4834" s="13"/>
      <c r="AJ4834" s="13"/>
      <c r="AK4834" s="13"/>
      <c r="AL4834" s="13"/>
      <c r="AM4834" s="13"/>
      <c r="AN4834" s="13"/>
      <c r="AO4834" s="13"/>
      <c r="AP4834" s="13"/>
      <c r="AQ4834" s="13"/>
      <c r="AR4834" s="13"/>
      <c r="AS4834" s="13"/>
    </row>
    <row r="4835" ht="14.25" customHeight="1">
      <c r="A4835" s="13"/>
      <c r="B4835" s="13"/>
      <c r="C4835" s="13"/>
      <c r="D4835" s="13"/>
      <c r="E4835" s="13"/>
      <c r="F4835" s="13"/>
      <c r="G4835" s="13"/>
      <c r="H4835" s="13"/>
      <c r="I4835" s="13"/>
      <c r="J4835" s="13"/>
      <c r="K4835" s="15"/>
      <c r="L4835" s="15"/>
      <c r="M4835" s="16"/>
      <c r="N4835" s="16"/>
      <c r="O4835" s="17"/>
      <c r="P4835" s="17"/>
      <c r="Q4835" s="13"/>
      <c r="R4835" s="13"/>
      <c r="S4835" s="13"/>
      <c r="T4835" s="13"/>
      <c r="U4835" s="13"/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  <c r="AG4835" s="13"/>
      <c r="AH4835" s="13"/>
      <c r="AI4835" s="13"/>
      <c r="AJ4835" s="13"/>
      <c r="AK4835" s="13"/>
      <c r="AL4835" s="13"/>
      <c r="AM4835" s="13"/>
      <c r="AN4835" s="13"/>
      <c r="AO4835" s="13"/>
      <c r="AP4835" s="13"/>
      <c r="AQ4835" s="13"/>
      <c r="AR4835" s="13"/>
      <c r="AS4835" s="13"/>
    </row>
    <row r="4836" ht="14.25" customHeight="1">
      <c r="A4836" s="13"/>
      <c r="B4836" s="13"/>
      <c r="C4836" s="13"/>
      <c r="D4836" s="13"/>
      <c r="E4836" s="13"/>
      <c r="F4836" s="13"/>
      <c r="G4836" s="13"/>
      <c r="H4836" s="13"/>
      <c r="I4836" s="13"/>
      <c r="J4836" s="13"/>
      <c r="K4836" s="15"/>
      <c r="L4836" s="15"/>
      <c r="M4836" s="16"/>
      <c r="N4836" s="16"/>
      <c r="O4836" s="17"/>
      <c r="P4836" s="17"/>
      <c r="Q4836" s="13"/>
      <c r="R4836" s="13"/>
      <c r="S4836" s="13"/>
      <c r="T4836" s="13"/>
      <c r="U4836" s="13"/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  <c r="AG4836" s="13"/>
      <c r="AH4836" s="13"/>
      <c r="AI4836" s="13"/>
      <c r="AJ4836" s="13"/>
      <c r="AK4836" s="13"/>
      <c r="AL4836" s="13"/>
      <c r="AM4836" s="13"/>
      <c r="AN4836" s="13"/>
      <c r="AO4836" s="13"/>
      <c r="AP4836" s="13"/>
      <c r="AQ4836" s="13"/>
      <c r="AR4836" s="13"/>
      <c r="AS4836" s="13"/>
    </row>
    <row r="4837" ht="14.25" customHeight="1">
      <c r="A4837" s="13"/>
      <c r="B4837" s="13"/>
      <c r="C4837" s="13"/>
      <c r="D4837" s="13"/>
      <c r="E4837" s="13"/>
      <c r="F4837" s="13"/>
      <c r="G4837" s="13"/>
      <c r="H4837" s="13"/>
      <c r="I4837" s="13"/>
      <c r="J4837" s="13"/>
      <c r="K4837" s="15"/>
      <c r="L4837" s="15"/>
      <c r="M4837" s="16"/>
      <c r="N4837" s="16"/>
      <c r="O4837" s="17"/>
      <c r="P4837" s="17"/>
      <c r="Q4837" s="13"/>
      <c r="R4837" s="13"/>
      <c r="S4837" s="13"/>
      <c r="T4837" s="13"/>
      <c r="U4837" s="13"/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  <c r="AG4837" s="13"/>
      <c r="AH4837" s="13"/>
      <c r="AI4837" s="13"/>
      <c r="AJ4837" s="13"/>
      <c r="AK4837" s="13"/>
      <c r="AL4837" s="13"/>
      <c r="AM4837" s="13"/>
      <c r="AN4837" s="13"/>
      <c r="AO4837" s="13"/>
      <c r="AP4837" s="13"/>
      <c r="AQ4837" s="13"/>
      <c r="AR4837" s="13"/>
      <c r="AS4837" s="13"/>
    </row>
    <row r="4838" ht="14.25" customHeight="1">
      <c r="A4838" s="13"/>
      <c r="B4838" s="13"/>
      <c r="C4838" s="13"/>
      <c r="D4838" s="13"/>
      <c r="E4838" s="13"/>
      <c r="F4838" s="13"/>
      <c r="G4838" s="13"/>
      <c r="H4838" s="13"/>
      <c r="I4838" s="13"/>
      <c r="J4838" s="13"/>
      <c r="K4838" s="15"/>
      <c r="L4838" s="15"/>
      <c r="M4838" s="16"/>
      <c r="N4838" s="16"/>
      <c r="O4838" s="17"/>
      <c r="P4838" s="17"/>
      <c r="Q4838" s="13"/>
      <c r="R4838" s="13"/>
      <c r="S4838" s="13"/>
      <c r="T4838" s="13"/>
      <c r="U4838" s="13"/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  <c r="AG4838" s="13"/>
      <c r="AH4838" s="13"/>
      <c r="AI4838" s="13"/>
      <c r="AJ4838" s="13"/>
      <c r="AK4838" s="13"/>
      <c r="AL4838" s="13"/>
      <c r="AM4838" s="13"/>
      <c r="AN4838" s="13"/>
      <c r="AO4838" s="13"/>
      <c r="AP4838" s="13"/>
      <c r="AQ4838" s="13"/>
      <c r="AR4838" s="13"/>
      <c r="AS4838" s="13"/>
    </row>
    <row r="4839" ht="14.25" customHeight="1">
      <c r="A4839" s="13"/>
      <c r="B4839" s="13"/>
      <c r="C4839" s="13"/>
      <c r="D4839" s="13"/>
      <c r="E4839" s="13"/>
      <c r="F4839" s="13"/>
      <c r="G4839" s="13"/>
      <c r="H4839" s="13"/>
      <c r="I4839" s="13"/>
      <c r="J4839" s="13"/>
      <c r="K4839" s="15"/>
      <c r="L4839" s="15"/>
      <c r="M4839" s="16"/>
      <c r="N4839" s="16"/>
      <c r="O4839" s="17"/>
      <c r="P4839" s="17"/>
      <c r="Q4839" s="13"/>
      <c r="R4839" s="13"/>
      <c r="S4839" s="13"/>
      <c r="T4839" s="13"/>
      <c r="U4839" s="13"/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  <c r="AG4839" s="13"/>
      <c r="AH4839" s="13"/>
      <c r="AI4839" s="13"/>
      <c r="AJ4839" s="13"/>
      <c r="AK4839" s="13"/>
      <c r="AL4839" s="13"/>
      <c r="AM4839" s="13"/>
      <c r="AN4839" s="13"/>
      <c r="AO4839" s="13"/>
      <c r="AP4839" s="13"/>
      <c r="AQ4839" s="13"/>
      <c r="AR4839" s="13"/>
      <c r="AS4839" s="13"/>
    </row>
    <row r="4840" ht="14.25" customHeight="1">
      <c r="A4840" s="13"/>
      <c r="B4840" s="13"/>
      <c r="C4840" s="13"/>
      <c r="D4840" s="13"/>
      <c r="E4840" s="13"/>
      <c r="F4840" s="13"/>
      <c r="G4840" s="13"/>
      <c r="H4840" s="13"/>
      <c r="I4840" s="13"/>
      <c r="J4840" s="13"/>
      <c r="K4840" s="15"/>
      <c r="L4840" s="15"/>
      <c r="M4840" s="16"/>
      <c r="N4840" s="16"/>
      <c r="O4840" s="17"/>
      <c r="P4840" s="17"/>
      <c r="Q4840" s="13"/>
      <c r="R4840" s="13"/>
      <c r="S4840" s="13"/>
      <c r="T4840" s="13"/>
      <c r="U4840" s="13"/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  <c r="AG4840" s="13"/>
      <c r="AH4840" s="13"/>
      <c r="AI4840" s="13"/>
      <c r="AJ4840" s="13"/>
      <c r="AK4840" s="13"/>
      <c r="AL4840" s="13"/>
      <c r="AM4840" s="13"/>
      <c r="AN4840" s="13"/>
      <c r="AO4840" s="13"/>
      <c r="AP4840" s="13"/>
      <c r="AQ4840" s="13"/>
      <c r="AR4840" s="13"/>
      <c r="AS4840" s="13"/>
    </row>
    <row r="4841" ht="14.25" customHeight="1">
      <c r="A4841" s="13"/>
      <c r="B4841" s="13"/>
      <c r="C4841" s="13"/>
      <c r="D4841" s="13"/>
      <c r="E4841" s="13"/>
      <c r="F4841" s="13"/>
      <c r="G4841" s="13"/>
      <c r="H4841" s="13"/>
      <c r="I4841" s="13"/>
      <c r="J4841" s="13"/>
      <c r="K4841" s="15"/>
      <c r="L4841" s="15"/>
      <c r="M4841" s="16"/>
      <c r="N4841" s="16"/>
      <c r="O4841" s="17"/>
      <c r="P4841" s="17"/>
      <c r="Q4841" s="13"/>
      <c r="R4841" s="13"/>
      <c r="S4841" s="13"/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  <c r="AG4841" s="13"/>
      <c r="AH4841" s="13"/>
      <c r="AI4841" s="13"/>
      <c r="AJ4841" s="13"/>
      <c r="AK4841" s="13"/>
      <c r="AL4841" s="13"/>
      <c r="AM4841" s="13"/>
      <c r="AN4841" s="13"/>
      <c r="AO4841" s="13"/>
      <c r="AP4841" s="13"/>
      <c r="AQ4841" s="13"/>
      <c r="AR4841" s="13"/>
      <c r="AS4841" s="13"/>
    </row>
    <row r="4842" ht="14.25" customHeight="1">
      <c r="A4842" s="13"/>
      <c r="B4842" s="13"/>
      <c r="C4842" s="13"/>
      <c r="D4842" s="13"/>
      <c r="E4842" s="13"/>
      <c r="F4842" s="13"/>
      <c r="G4842" s="13"/>
      <c r="H4842" s="13"/>
      <c r="I4842" s="13"/>
      <c r="J4842" s="13"/>
      <c r="K4842" s="15"/>
      <c r="L4842" s="15"/>
      <c r="M4842" s="16"/>
      <c r="N4842" s="16"/>
      <c r="O4842" s="17"/>
      <c r="P4842" s="17"/>
      <c r="Q4842" s="13"/>
      <c r="R4842" s="13"/>
      <c r="S4842" s="13"/>
      <c r="T4842" s="13"/>
      <c r="U4842" s="13"/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  <c r="AG4842" s="13"/>
      <c r="AH4842" s="13"/>
      <c r="AI4842" s="13"/>
      <c r="AJ4842" s="13"/>
      <c r="AK4842" s="13"/>
      <c r="AL4842" s="13"/>
      <c r="AM4842" s="13"/>
      <c r="AN4842" s="13"/>
      <c r="AO4842" s="13"/>
      <c r="AP4842" s="13"/>
      <c r="AQ4842" s="13"/>
      <c r="AR4842" s="13"/>
      <c r="AS4842" s="13"/>
    </row>
    <row r="4843" ht="14.25" customHeight="1">
      <c r="A4843" s="13"/>
      <c r="B4843" s="13"/>
      <c r="C4843" s="13"/>
      <c r="D4843" s="13"/>
      <c r="E4843" s="13"/>
      <c r="F4843" s="13"/>
      <c r="G4843" s="13"/>
      <c r="H4843" s="13"/>
      <c r="I4843" s="13"/>
      <c r="J4843" s="13"/>
      <c r="K4843" s="15"/>
      <c r="L4843" s="15"/>
      <c r="M4843" s="16"/>
      <c r="N4843" s="16"/>
      <c r="O4843" s="17"/>
      <c r="P4843" s="17"/>
      <c r="Q4843" s="13"/>
      <c r="R4843" s="13"/>
      <c r="S4843" s="13"/>
      <c r="T4843" s="13"/>
      <c r="U4843" s="13"/>
      <c r="V4843" s="13"/>
      <c r="W4843" s="13"/>
      <c r="X4843" s="13"/>
      <c r="Y4843" s="13"/>
      <c r="Z4843" s="13"/>
      <c r="AA4843" s="13"/>
      <c r="AB4843" s="13"/>
      <c r="AC4843" s="13"/>
      <c r="AD4843" s="13"/>
      <c r="AE4843" s="13"/>
      <c r="AF4843" s="13"/>
      <c r="AG4843" s="13"/>
      <c r="AH4843" s="13"/>
      <c r="AI4843" s="13"/>
      <c r="AJ4843" s="13"/>
      <c r="AK4843" s="13"/>
      <c r="AL4843" s="13"/>
      <c r="AM4843" s="13"/>
      <c r="AN4843" s="13"/>
      <c r="AO4843" s="13"/>
      <c r="AP4843" s="13"/>
      <c r="AQ4843" s="13"/>
      <c r="AR4843" s="13"/>
      <c r="AS4843" s="13"/>
    </row>
    <row r="4844" ht="14.25" customHeight="1">
      <c r="A4844" s="13"/>
      <c r="B4844" s="13"/>
      <c r="C4844" s="13"/>
      <c r="D4844" s="13"/>
      <c r="E4844" s="13"/>
      <c r="F4844" s="13"/>
      <c r="G4844" s="13"/>
      <c r="H4844" s="13"/>
      <c r="I4844" s="13"/>
      <c r="J4844" s="13"/>
      <c r="K4844" s="15"/>
      <c r="L4844" s="15"/>
      <c r="M4844" s="16"/>
      <c r="N4844" s="16"/>
      <c r="O4844" s="17"/>
      <c r="P4844" s="17"/>
      <c r="Q4844" s="13"/>
      <c r="R4844" s="13"/>
      <c r="S4844" s="13"/>
      <c r="T4844" s="13"/>
      <c r="U4844" s="13"/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  <c r="AG4844" s="13"/>
      <c r="AH4844" s="13"/>
      <c r="AI4844" s="13"/>
      <c r="AJ4844" s="13"/>
      <c r="AK4844" s="13"/>
      <c r="AL4844" s="13"/>
      <c r="AM4844" s="13"/>
      <c r="AN4844" s="13"/>
      <c r="AO4844" s="13"/>
      <c r="AP4844" s="13"/>
      <c r="AQ4844" s="13"/>
      <c r="AR4844" s="13"/>
      <c r="AS4844" s="13"/>
    </row>
    <row r="4845" ht="14.25" customHeight="1">
      <c r="A4845" s="13"/>
      <c r="B4845" s="13"/>
      <c r="C4845" s="13"/>
      <c r="D4845" s="13"/>
      <c r="E4845" s="13"/>
      <c r="F4845" s="13"/>
      <c r="G4845" s="13"/>
      <c r="H4845" s="13"/>
      <c r="I4845" s="13"/>
      <c r="J4845" s="13"/>
      <c r="K4845" s="15"/>
      <c r="L4845" s="15"/>
      <c r="M4845" s="16"/>
      <c r="N4845" s="16"/>
      <c r="O4845" s="17"/>
      <c r="P4845" s="17"/>
      <c r="Q4845" s="13"/>
      <c r="R4845" s="13"/>
      <c r="S4845" s="13"/>
      <c r="T4845" s="13"/>
      <c r="U4845" s="13"/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  <c r="AG4845" s="13"/>
      <c r="AH4845" s="13"/>
      <c r="AI4845" s="13"/>
      <c r="AJ4845" s="13"/>
      <c r="AK4845" s="13"/>
      <c r="AL4845" s="13"/>
      <c r="AM4845" s="13"/>
      <c r="AN4845" s="13"/>
      <c r="AO4845" s="13"/>
      <c r="AP4845" s="13"/>
      <c r="AQ4845" s="13"/>
      <c r="AR4845" s="13"/>
      <c r="AS4845" s="13"/>
    </row>
    <row r="4846" ht="14.25" customHeight="1">
      <c r="A4846" s="13"/>
      <c r="B4846" s="13"/>
      <c r="C4846" s="13"/>
      <c r="D4846" s="13"/>
      <c r="E4846" s="13"/>
      <c r="F4846" s="13"/>
      <c r="G4846" s="13"/>
      <c r="H4846" s="13"/>
      <c r="I4846" s="13"/>
      <c r="J4846" s="13"/>
      <c r="K4846" s="15"/>
      <c r="L4846" s="15"/>
      <c r="M4846" s="16"/>
      <c r="N4846" s="16"/>
      <c r="O4846" s="17"/>
      <c r="P4846" s="17"/>
      <c r="Q4846" s="13"/>
      <c r="R4846" s="13"/>
      <c r="S4846" s="13"/>
      <c r="T4846" s="13"/>
      <c r="U4846" s="13"/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  <c r="AG4846" s="13"/>
      <c r="AH4846" s="13"/>
      <c r="AI4846" s="13"/>
      <c r="AJ4846" s="13"/>
      <c r="AK4846" s="13"/>
      <c r="AL4846" s="13"/>
      <c r="AM4846" s="13"/>
      <c r="AN4846" s="13"/>
      <c r="AO4846" s="13"/>
      <c r="AP4846" s="13"/>
      <c r="AQ4846" s="13"/>
      <c r="AR4846" s="13"/>
      <c r="AS4846" s="13"/>
    </row>
    <row r="4847" ht="14.25" customHeight="1">
      <c r="A4847" s="13"/>
      <c r="B4847" s="13"/>
      <c r="C4847" s="13"/>
      <c r="D4847" s="13"/>
      <c r="E4847" s="13"/>
      <c r="F4847" s="13"/>
      <c r="G4847" s="13"/>
      <c r="H4847" s="13"/>
      <c r="I4847" s="13"/>
      <c r="J4847" s="13"/>
      <c r="K4847" s="15"/>
      <c r="L4847" s="15"/>
      <c r="M4847" s="16"/>
      <c r="N4847" s="16"/>
      <c r="O4847" s="17"/>
      <c r="P4847" s="17"/>
      <c r="Q4847" s="13"/>
      <c r="R4847" s="13"/>
      <c r="S4847" s="13"/>
      <c r="T4847" s="13"/>
      <c r="U4847" s="13"/>
      <c r="V4847" s="13"/>
      <c r="W4847" s="13"/>
      <c r="X4847" s="13"/>
      <c r="Y4847" s="13"/>
      <c r="Z4847" s="13"/>
      <c r="AA4847" s="13"/>
      <c r="AB4847" s="13"/>
      <c r="AC4847" s="13"/>
      <c r="AD4847" s="13"/>
      <c r="AE4847" s="13"/>
      <c r="AF4847" s="13"/>
      <c r="AG4847" s="13"/>
      <c r="AH4847" s="13"/>
      <c r="AI4847" s="13"/>
      <c r="AJ4847" s="13"/>
      <c r="AK4847" s="13"/>
      <c r="AL4847" s="13"/>
      <c r="AM4847" s="13"/>
      <c r="AN4847" s="13"/>
      <c r="AO4847" s="13"/>
      <c r="AP4847" s="13"/>
      <c r="AQ4847" s="13"/>
      <c r="AR4847" s="13"/>
      <c r="AS4847" s="13"/>
    </row>
    <row r="4848" ht="14.25" customHeight="1">
      <c r="A4848" s="13"/>
      <c r="B4848" s="13"/>
      <c r="C4848" s="13"/>
      <c r="D4848" s="13"/>
      <c r="E4848" s="13"/>
      <c r="F4848" s="13"/>
      <c r="G4848" s="13"/>
      <c r="H4848" s="13"/>
      <c r="I4848" s="13"/>
      <c r="J4848" s="13"/>
      <c r="K4848" s="15"/>
      <c r="L4848" s="15"/>
      <c r="M4848" s="16"/>
      <c r="N4848" s="16"/>
      <c r="O4848" s="17"/>
      <c r="P4848" s="17"/>
      <c r="Q4848" s="13"/>
      <c r="R4848" s="13"/>
      <c r="S4848" s="13"/>
      <c r="T4848" s="13"/>
      <c r="U4848" s="13"/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  <c r="AG4848" s="13"/>
      <c r="AH4848" s="13"/>
      <c r="AI4848" s="13"/>
      <c r="AJ4848" s="13"/>
      <c r="AK4848" s="13"/>
      <c r="AL4848" s="13"/>
      <c r="AM4848" s="13"/>
      <c r="AN4848" s="13"/>
      <c r="AO4848" s="13"/>
      <c r="AP4848" s="13"/>
      <c r="AQ4848" s="13"/>
      <c r="AR4848" s="13"/>
      <c r="AS4848" s="13"/>
    </row>
    <row r="4849" ht="14.25" customHeight="1">
      <c r="A4849" s="13"/>
      <c r="B4849" s="13"/>
      <c r="C4849" s="13"/>
      <c r="D4849" s="13"/>
      <c r="E4849" s="13"/>
      <c r="F4849" s="13"/>
      <c r="G4849" s="13"/>
      <c r="H4849" s="13"/>
      <c r="I4849" s="13"/>
      <c r="J4849" s="13"/>
      <c r="K4849" s="15"/>
      <c r="L4849" s="15"/>
      <c r="M4849" s="16"/>
      <c r="N4849" s="16"/>
      <c r="O4849" s="17"/>
      <c r="P4849" s="17"/>
      <c r="Q4849" s="13"/>
      <c r="R4849" s="13"/>
      <c r="S4849" s="13"/>
      <c r="T4849" s="13"/>
      <c r="U4849" s="13"/>
      <c r="V4849" s="13"/>
      <c r="W4849" s="13"/>
      <c r="X4849" s="13"/>
      <c r="Y4849" s="13"/>
      <c r="Z4849" s="13"/>
      <c r="AA4849" s="13"/>
      <c r="AB4849" s="13"/>
      <c r="AC4849" s="13"/>
      <c r="AD4849" s="13"/>
      <c r="AE4849" s="13"/>
      <c r="AF4849" s="13"/>
      <c r="AG4849" s="13"/>
      <c r="AH4849" s="13"/>
      <c r="AI4849" s="13"/>
      <c r="AJ4849" s="13"/>
      <c r="AK4849" s="13"/>
      <c r="AL4849" s="13"/>
      <c r="AM4849" s="13"/>
      <c r="AN4849" s="13"/>
      <c r="AO4849" s="13"/>
      <c r="AP4849" s="13"/>
      <c r="AQ4849" s="13"/>
      <c r="AR4849" s="13"/>
      <c r="AS4849" s="13"/>
    </row>
    <row r="4850" ht="14.25" customHeight="1">
      <c r="A4850" s="13"/>
      <c r="B4850" s="13"/>
      <c r="C4850" s="13"/>
      <c r="D4850" s="13"/>
      <c r="E4850" s="13"/>
      <c r="F4850" s="13"/>
      <c r="G4850" s="13"/>
      <c r="H4850" s="13"/>
      <c r="I4850" s="13"/>
      <c r="J4850" s="13"/>
      <c r="K4850" s="15"/>
      <c r="L4850" s="15"/>
      <c r="M4850" s="16"/>
      <c r="N4850" s="16"/>
      <c r="O4850" s="17"/>
      <c r="P4850" s="17"/>
      <c r="Q4850" s="13"/>
      <c r="R4850" s="13"/>
      <c r="S4850" s="13"/>
      <c r="T4850" s="13"/>
      <c r="U4850" s="13"/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  <c r="AG4850" s="13"/>
      <c r="AH4850" s="13"/>
      <c r="AI4850" s="13"/>
      <c r="AJ4850" s="13"/>
      <c r="AK4850" s="13"/>
      <c r="AL4850" s="13"/>
      <c r="AM4850" s="13"/>
      <c r="AN4850" s="13"/>
      <c r="AO4850" s="13"/>
      <c r="AP4850" s="13"/>
      <c r="AQ4850" s="13"/>
      <c r="AR4850" s="13"/>
      <c r="AS4850" s="13"/>
    </row>
    <row r="4851" ht="14.25" customHeight="1">
      <c r="A4851" s="13"/>
      <c r="B4851" s="13"/>
      <c r="C4851" s="13"/>
      <c r="D4851" s="13"/>
      <c r="E4851" s="13"/>
      <c r="F4851" s="13"/>
      <c r="G4851" s="13"/>
      <c r="H4851" s="13"/>
      <c r="I4851" s="13"/>
      <c r="J4851" s="13"/>
      <c r="K4851" s="15"/>
      <c r="L4851" s="15"/>
      <c r="M4851" s="16"/>
      <c r="N4851" s="16"/>
      <c r="O4851" s="17"/>
      <c r="P4851" s="17"/>
      <c r="Q4851" s="13"/>
      <c r="R4851" s="13"/>
      <c r="S4851" s="13"/>
      <c r="T4851" s="13"/>
      <c r="U4851" s="13"/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  <c r="AG4851" s="13"/>
      <c r="AH4851" s="13"/>
      <c r="AI4851" s="13"/>
      <c r="AJ4851" s="13"/>
      <c r="AK4851" s="13"/>
      <c r="AL4851" s="13"/>
      <c r="AM4851" s="13"/>
      <c r="AN4851" s="13"/>
      <c r="AO4851" s="13"/>
      <c r="AP4851" s="13"/>
      <c r="AQ4851" s="13"/>
      <c r="AR4851" s="13"/>
      <c r="AS4851" s="13"/>
    </row>
    <row r="4852" ht="14.25" customHeight="1">
      <c r="A4852" s="13"/>
      <c r="B4852" s="13"/>
      <c r="C4852" s="13"/>
      <c r="D4852" s="13"/>
      <c r="E4852" s="13"/>
      <c r="F4852" s="13"/>
      <c r="G4852" s="13"/>
      <c r="H4852" s="13"/>
      <c r="I4852" s="13"/>
      <c r="J4852" s="13"/>
      <c r="K4852" s="15"/>
      <c r="L4852" s="15"/>
      <c r="M4852" s="16"/>
      <c r="N4852" s="16"/>
      <c r="O4852" s="17"/>
      <c r="P4852" s="17"/>
      <c r="Q4852" s="13"/>
      <c r="R4852" s="13"/>
      <c r="S4852" s="13"/>
      <c r="T4852" s="13"/>
      <c r="U4852" s="13"/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  <c r="AG4852" s="13"/>
      <c r="AH4852" s="13"/>
      <c r="AI4852" s="13"/>
      <c r="AJ4852" s="13"/>
      <c r="AK4852" s="13"/>
      <c r="AL4852" s="13"/>
      <c r="AM4852" s="13"/>
      <c r="AN4852" s="13"/>
      <c r="AO4852" s="13"/>
      <c r="AP4852" s="13"/>
      <c r="AQ4852" s="13"/>
      <c r="AR4852" s="13"/>
      <c r="AS4852" s="13"/>
    </row>
    <row r="4853" ht="14.25" customHeight="1">
      <c r="A4853" s="13"/>
      <c r="B4853" s="13"/>
      <c r="C4853" s="13"/>
      <c r="D4853" s="13"/>
      <c r="E4853" s="13"/>
      <c r="F4853" s="13"/>
      <c r="G4853" s="13"/>
      <c r="H4853" s="13"/>
      <c r="I4853" s="13"/>
      <c r="J4853" s="13"/>
      <c r="K4853" s="15"/>
      <c r="L4853" s="15"/>
      <c r="M4853" s="16"/>
      <c r="N4853" s="16"/>
      <c r="O4853" s="17"/>
      <c r="P4853" s="17"/>
      <c r="Q4853" s="13"/>
      <c r="R4853" s="13"/>
      <c r="S4853" s="13"/>
      <c r="T4853" s="13"/>
      <c r="U4853" s="13"/>
      <c r="V4853" s="13"/>
      <c r="W4853" s="13"/>
      <c r="X4853" s="13"/>
      <c r="Y4853" s="13"/>
      <c r="Z4853" s="13"/>
      <c r="AA4853" s="13"/>
      <c r="AB4853" s="13"/>
      <c r="AC4853" s="13"/>
      <c r="AD4853" s="13"/>
      <c r="AE4853" s="13"/>
      <c r="AF4853" s="13"/>
      <c r="AG4853" s="13"/>
      <c r="AH4853" s="13"/>
      <c r="AI4853" s="13"/>
      <c r="AJ4853" s="13"/>
      <c r="AK4853" s="13"/>
      <c r="AL4853" s="13"/>
      <c r="AM4853" s="13"/>
      <c r="AN4853" s="13"/>
      <c r="AO4853" s="13"/>
      <c r="AP4853" s="13"/>
      <c r="AQ4853" s="13"/>
      <c r="AR4853" s="13"/>
      <c r="AS4853" s="13"/>
    </row>
    <row r="4854" ht="14.25" customHeight="1">
      <c r="A4854" s="13"/>
      <c r="B4854" s="13"/>
      <c r="C4854" s="13"/>
      <c r="D4854" s="13"/>
      <c r="E4854" s="13"/>
      <c r="F4854" s="13"/>
      <c r="G4854" s="13"/>
      <c r="H4854" s="13"/>
      <c r="I4854" s="13"/>
      <c r="J4854" s="13"/>
      <c r="K4854" s="15"/>
      <c r="L4854" s="15"/>
      <c r="M4854" s="16"/>
      <c r="N4854" s="16"/>
      <c r="O4854" s="17"/>
      <c r="P4854" s="17"/>
      <c r="Q4854" s="13"/>
      <c r="R4854" s="13"/>
      <c r="S4854" s="13"/>
      <c r="T4854" s="13"/>
      <c r="U4854" s="13"/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  <c r="AG4854" s="13"/>
      <c r="AH4854" s="13"/>
      <c r="AI4854" s="13"/>
      <c r="AJ4854" s="13"/>
      <c r="AK4854" s="13"/>
      <c r="AL4854" s="13"/>
      <c r="AM4854" s="13"/>
      <c r="AN4854" s="13"/>
      <c r="AO4854" s="13"/>
      <c r="AP4854" s="13"/>
      <c r="AQ4854" s="13"/>
      <c r="AR4854" s="13"/>
      <c r="AS4854" s="13"/>
    </row>
    <row r="4855" ht="14.25" customHeight="1">
      <c r="A4855" s="13"/>
      <c r="B4855" s="13"/>
      <c r="C4855" s="13"/>
      <c r="D4855" s="13"/>
      <c r="E4855" s="13"/>
      <c r="F4855" s="13"/>
      <c r="G4855" s="13"/>
      <c r="H4855" s="13"/>
      <c r="I4855" s="13"/>
      <c r="J4855" s="13"/>
      <c r="K4855" s="15"/>
      <c r="L4855" s="15"/>
      <c r="M4855" s="16"/>
      <c r="N4855" s="16"/>
      <c r="O4855" s="17"/>
      <c r="P4855" s="17"/>
      <c r="Q4855" s="13"/>
      <c r="R4855" s="13"/>
      <c r="S4855" s="13"/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  <c r="AG4855" s="13"/>
      <c r="AH4855" s="13"/>
      <c r="AI4855" s="13"/>
      <c r="AJ4855" s="13"/>
      <c r="AK4855" s="13"/>
      <c r="AL4855" s="13"/>
      <c r="AM4855" s="13"/>
      <c r="AN4855" s="13"/>
      <c r="AO4855" s="13"/>
      <c r="AP4855" s="13"/>
      <c r="AQ4855" s="13"/>
      <c r="AR4855" s="13"/>
      <c r="AS4855" s="13"/>
    </row>
    <row r="4856" ht="14.25" customHeight="1">
      <c r="A4856" s="13"/>
      <c r="B4856" s="13"/>
      <c r="C4856" s="13"/>
      <c r="D4856" s="13"/>
      <c r="E4856" s="13"/>
      <c r="F4856" s="13"/>
      <c r="G4856" s="13"/>
      <c r="H4856" s="13"/>
      <c r="I4856" s="13"/>
      <c r="J4856" s="13"/>
      <c r="K4856" s="15"/>
      <c r="L4856" s="15"/>
      <c r="M4856" s="16"/>
      <c r="N4856" s="16"/>
      <c r="O4856" s="17"/>
      <c r="P4856" s="17"/>
      <c r="Q4856" s="13"/>
      <c r="R4856" s="13"/>
      <c r="S4856" s="13"/>
      <c r="T4856" s="13"/>
      <c r="U4856" s="13"/>
      <c r="V4856" s="13"/>
      <c r="W4856" s="13"/>
      <c r="X4856" s="13"/>
      <c r="Y4856" s="13"/>
      <c r="Z4856" s="13"/>
      <c r="AA4856" s="13"/>
      <c r="AB4856" s="13"/>
      <c r="AC4856" s="13"/>
      <c r="AD4856" s="13"/>
      <c r="AE4856" s="13"/>
      <c r="AF4856" s="13"/>
      <c r="AG4856" s="13"/>
      <c r="AH4856" s="13"/>
      <c r="AI4856" s="13"/>
      <c r="AJ4856" s="13"/>
      <c r="AK4856" s="13"/>
      <c r="AL4856" s="13"/>
      <c r="AM4856" s="13"/>
      <c r="AN4856" s="13"/>
      <c r="AO4856" s="13"/>
      <c r="AP4856" s="13"/>
      <c r="AQ4856" s="13"/>
      <c r="AR4856" s="13"/>
      <c r="AS4856" s="13"/>
    </row>
    <row r="4857" ht="14.25" customHeight="1">
      <c r="A4857" s="13"/>
      <c r="B4857" s="13"/>
      <c r="C4857" s="13"/>
      <c r="D4857" s="13"/>
      <c r="E4857" s="13"/>
      <c r="F4857" s="13"/>
      <c r="G4857" s="13"/>
      <c r="H4857" s="13"/>
      <c r="I4857" s="13"/>
      <c r="J4857" s="13"/>
      <c r="K4857" s="15"/>
      <c r="L4857" s="15"/>
      <c r="M4857" s="16"/>
      <c r="N4857" s="16"/>
      <c r="O4857" s="17"/>
      <c r="P4857" s="17"/>
      <c r="Q4857" s="13"/>
      <c r="R4857" s="13"/>
      <c r="S4857" s="13"/>
      <c r="T4857" s="13"/>
      <c r="U4857" s="13"/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  <c r="AG4857" s="13"/>
      <c r="AH4857" s="13"/>
      <c r="AI4857" s="13"/>
      <c r="AJ4857" s="13"/>
      <c r="AK4857" s="13"/>
      <c r="AL4857" s="13"/>
      <c r="AM4857" s="13"/>
      <c r="AN4857" s="13"/>
      <c r="AO4857" s="13"/>
      <c r="AP4857" s="13"/>
      <c r="AQ4857" s="13"/>
      <c r="AR4857" s="13"/>
      <c r="AS4857" s="13"/>
    </row>
    <row r="4858" ht="14.25" customHeight="1">
      <c r="A4858" s="13"/>
      <c r="B4858" s="13"/>
      <c r="C4858" s="13"/>
      <c r="D4858" s="13"/>
      <c r="E4858" s="13"/>
      <c r="F4858" s="13"/>
      <c r="G4858" s="13"/>
      <c r="H4858" s="13"/>
      <c r="I4858" s="13"/>
      <c r="J4858" s="13"/>
      <c r="K4858" s="15"/>
      <c r="L4858" s="15"/>
      <c r="M4858" s="16"/>
      <c r="N4858" s="16"/>
      <c r="O4858" s="17"/>
      <c r="P4858" s="17"/>
      <c r="Q4858" s="13"/>
      <c r="R4858" s="13"/>
      <c r="S4858" s="13"/>
      <c r="T4858" s="13"/>
      <c r="U4858" s="13"/>
      <c r="V4858" s="13"/>
      <c r="W4858" s="13"/>
      <c r="X4858" s="13"/>
      <c r="Y4858" s="13"/>
      <c r="Z4858" s="13"/>
      <c r="AA4858" s="13"/>
      <c r="AB4858" s="13"/>
      <c r="AC4858" s="13"/>
      <c r="AD4858" s="13"/>
      <c r="AE4858" s="13"/>
      <c r="AF4858" s="13"/>
      <c r="AG4858" s="13"/>
      <c r="AH4858" s="13"/>
      <c r="AI4858" s="13"/>
      <c r="AJ4858" s="13"/>
      <c r="AK4858" s="13"/>
      <c r="AL4858" s="13"/>
      <c r="AM4858" s="13"/>
      <c r="AN4858" s="13"/>
      <c r="AO4858" s="13"/>
      <c r="AP4858" s="13"/>
      <c r="AQ4858" s="13"/>
      <c r="AR4858" s="13"/>
      <c r="AS4858" s="13"/>
    </row>
    <row r="4859" ht="14.25" customHeight="1">
      <c r="A4859" s="13"/>
      <c r="B4859" s="13"/>
      <c r="C4859" s="13"/>
      <c r="D4859" s="13"/>
      <c r="E4859" s="13"/>
      <c r="F4859" s="13"/>
      <c r="G4859" s="13"/>
      <c r="H4859" s="13"/>
      <c r="I4859" s="13"/>
      <c r="J4859" s="13"/>
      <c r="K4859" s="15"/>
      <c r="L4859" s="15"/>
      <c r="M4859" s="16"/>
      <c r="N4859" s="16"/>
      <c r="O4859" s="17"/>
      <c r="P4859" s="17"/>
      <c r="Q4859" s="13"/>
      <c r="R4859" s="13"/>
      <c r="S4859" s="13"/>
      <c r="T4859" s="13"/>
      <c r="U4859" s="13"/>
      <c r="V4859" s="13"/>
      <c r="W4859" s="13"/>
      <c r="X4859" s="13"/>
      <c r="Y4859" s="13"/>
      <c r="Z4859" s="13"/>
      <c r="AA4859" s="13"/>
      <c r="AB4859" s="13"/>
      <c r="AC4859" s="13"/>
      <c r="AD4859" s="13"/>
      <c r="AE4859" s="13"/>
      <c r="AF4859" s="13"/>
      <c r="AG4859" s="13"/>
      <c r="AH4859" s="13"/>
      <c r="AI4859" s="13"/>
      <c r="AJ4859" s="13"/>
      <c r="AK4859" s="13"/>
      <c r="AL4859" s="13"/>
      <c r="AM4859" s="13"/>
      <c r="AN4859" s="13"/>
      <c r="AO4859" s="13"/>
      <c r="AP4859" s="13"/>
      <c r="AQ4859" s="13"/>
      <c r="AR4859" s="13"/>
      <c r="AS4859" s="13"/>
    </row>
    <row r="4860" ht="14.25" customHeight="1">
      <c r="A4860" s="13"/>
      <c r="B4860" s="13"/>
      <c r="C4860" s="13"/>
      <c r="D4860" s="13"/>
      <c r="E4860" s="13"/>
      <c r="F4860" s="13"/>
      <c r="G4860" s="13"/>
      <c r="H4860" s="13"/>
      <c r="I4860" s="13"/>
      <c r="J4860" s="13"/>
      <c r="K4860" s="15"/>
      <c r="L4860" s="15"/>
      <c r="M4860" s="16"/>
      <c r="N4860" s="16"/>
      <c r="O4860" s="17"/>
      <c r="P4860" s="17"/>
      <c r="Q4860" s="13"/>
      <c r="R4860" s="13"/>
      <c r="S4860" s="13"/>
      <c r="T4860" s="13"/>
      <c r="U4860" s="13"/>
      <c r="V4860" s="13"/>
      <c r="W4860" s="13"/>
      <c r="X4860" s="13"/>
      <c r="Y4860" s="13"/>
      <c r="Z4860" s="13"/>
      <c r="AA4860" s="13"/>
      <c r="AB4860" s="13"/>
      <c r="AC4860" s="13"/>
      <c r="AD4860" s="13"/>
      <c r="AE4860" s="13"/>
      <c r="AF4860" s="13"/>
      <c r="AG4860" s="13"/>
      <c r="AH4860" s="13"/>
      <c r="AI4860" s="13"/>
      <c r="AJ4860" s="13"/>
      <c r="AK4860" s="13"/>
      <c r="AL4860" s="13"/>
      <c r="AM4860" s="13"/>
      <c r="AN4860" s="13"/>
      <c r="AO4860" s="13"/>
      <c r="AP4860" s="13"/>
      <c r="AQ4860" s="13"/>
      <c r="AR4860" s="13"/>
      <c r="AS4860" s="13"/>
    </row>
    <row r="4861" ht="14.25" customHeight="1">
      <c r="A4861" s="13"/>
      <c r="B4861" s="13"/>
      <c r="C4861" s="13"/>
      <c r="D4861" s="13"/>
      <c r="E4861" s="13"/>
      <c r="F4861" s="13"/>
      <c r="G4861" s="13"/>
      <c r="H4861" s="13"/>
      <c r="I4861" s="13"/>
      <c r="J4861" s="13"/>
      <c r="K4861" s="15"/>
      <c r="L4861" s="15"/>
      <c r="M4861" s="16"/>
      <c r="N4861" s="16"/>
      <c r="O4861" s="17"/>
      <c r="P4861" s="17"/>
      <c r="Q4861" s="13"/>
      <c r="R4861" s="13"/>
      <c r="S4861" s="13"/>
      <c r="T4861" s="13"/>
      <c r="U4861" s="13"/>
      <c r="V4861" s="13"/>
      <c r="W4861" s="13"/>
      <c r="X4861" s="13"/>
      <c r="Y4861" s="13"/>
      <c r="Z4861" s="13"/>
      <c r="AA4861" s="13"/>
      <c r="AB4861" s="13"/>
      <c r="AC4861" s="13"/>
      <c r="AD4861" s="13"/>
      <c r="AE4861" s="13"/>
      <c r="AF4861" s="13"/>
      <c r="AG4861" s="13"/>
      <c r="AH4861" s="13"/>
      <c r="AI4861" s="13"/>
      <c r="AJ4861" s="13"/>
      <c r="AK4861" s="13"/>
      <c r="AL4861" s="13"/>
      <c r="AM4861" s="13"/>
      <c r="AN4861" s="13"/>
      <c r="AO4861" s="13"/>
      <c r="AP4861" s="13"/>
      <c r="AQ4861" s="13"/>
      <c r="AR4861" s="13"/>
      <c r="AS4861" s="13"/>
    </row>
    <row r="4862" ht="14.25" customHeight="1">
      <c r="A4862" s="13"/>
      <c r="B4862" s="13"/>
      <c r="C4862" s="13"/>
      <c r="D4862" s="13"/>
      <c r="E4862" s="13"/>
      <c r="F4862" s="13"/>
      <c r="G4862" s="13"/>
      <c r="H4862" s="13"/>
      <c r="I4862" s="13"/>
      <c r="J4862" s="13"/>
      <c r="K4862" s="15"/>
      <c r="L4862" s="15"/>
      <c r="M4862" s="16"/>
      <c r="N4862" s="16"/>
      <c r="O4862" s="17"/>
      <c r="P4862" s="17"/>
      <c r="Q4862" s="13"/>
      <c r="R4862" s="13"/>
      <c r="S4862" s="13"/>
      <c r="T4862" s="13"/>
      <c r="U4862" s="13"/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  <c r="AG4862" s="13"/>
      <c r="AH4862" s="13"/>
      <c r="AI4862" s="13"/>
      <c r="AJ4862" s="13"/>
      <c r="AK4862" s="13"/>
      <c r="AL4862" s="13"/>
      <c r="AM4862" s="13"/>
      <c r="AN4862" s="13"/>
      <c r="AO4862" s="13"/>
      <c r="AP4862" s="13"/>
      <c r="AQ4862" s="13"/>
      <c r="AR4862" s="13"/>
      <c r="AS4862" s="13"/>
    </row>
    <row r="4863" ht="14.25" customHeight="1">
      <c r="A4863" s="13"/>
      <c r="B4863" s="13"/>
      <c r="C4863" s="13"/>
      <c r="D4863" s="13"/>
      <c r="E4863" s="13"/>
      <c r="F4863" s="13"/>
      <c r="G4863" s="13"/>
      <c r="H4863" s="13"/>
      <c r="I4863" s="13"/>
      <c r="J4863" s="13"/>
      <c r="K4863" s="15"/>
      <c r="L4863" s="15"/>
      <c r="M4863" s="16"/>
      <c r="N4863" s="16"/>
      <c r="O4863" s="17"/>
      <c r="P4863" s="17"/>
      <c r="Q4863" s="13"/>
      <c r="R4863" s="13"/>
      <c r="S4863" s="13"/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  <c r="AG4863" s="13"/>
      <c r="AH4863" s="13"/>
      <c r="AI4863" s="13"/>
      <c r="AJ4863" s="13"/>
      <c r="AK4863" s="13"/>
      <c r="AL4863" s="13"/>
      <c r="AM4863" s="13"/>
      <c r="AN4863" s="13"/>
      <c r="AO4863" s="13"/>
      <c r="AP4863" s="13"/>
      <c r="AQ4863" s="13"/>
      <c r="AR4863" s="13"/>
      <c r="AS4863" s="13"/>
    </row>
    <row r="4864" ht="14.25" customHeight="1">
      <c r="A4864" s="13"/>
      <c r="B4864" s="13"/>
      <c r="C4864" s="13"/>
      <c r="D4864" s="13"/>
      <c r="E4864" s="13"/>
      <c r="F4864" s="13"/>
      <c r="G4864" s="13"/>
      <c r="H4864" s="13"/>
      <c r="I4864" s="13"/>
      <c r="J4864" s="13"/>
      <c r="K4864" s="15"/>
      <c r="L4864" s="15"/>
      <c r="M4864" s="16"/>
      <c r="N4864" s="16"/>
      <c r="O4864" s="17"/>
      <c r="P4864" s="17"/>
      <c r="Q4864" s="13"/>
      <c r="R4864" s="13"/>
      <c r="S4864" s="13"/>
      <c r="T4864" s="13"/>
      <c r="U4864" s="13"/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  <c r="AG4864" s="13"/>
      <c r="AH4864" s="13"/>
      <c r="AI4864" s="13"/>
      <c r="AJ4864" s="13"/>
      <c r="AK4864" s="13"/>
      <c r="AL4864" s="13"/>
      <c r="AM4864" s="13"/>
      <c r="AN4864" s="13"/>
      <c r="AO4864" s="13"/>
      <c r="AP4864" s="13"/>
      <c r="AQ4864" s="13"/>
      <c r="AR4864" s="13"/>
      <c r="AS4864" s="13"/>
    </row>
    <row r="4865" ht="14.25" customHeight="1">
      <c r="A4865" s="13"/>
      <c r="B4865" s="13"/>
      <c r="C4865" s="13"/>
      <c r="D4865" s="13"/>
      <c r="E4865" s="13"/>
      <c r="F4865" s="13"/>
      <c r="G4865" s="13"/>
      <c r="H4865" s="13"/>
      <c r="I4865" s="13"/>
      <c r="J4865" s="13"/>
      <c r="K4865" s="15"/>
      <c r="L4865" s="15"/>
      <c r="M4865" s="16"/>
      <c r="N4865" s="16"/>
      <c r="O4865" s="17"/>
      <c r="P4865" s="17"/>
      <c r="Q4865" s="13"/>
      <c r="R4865" s="13"/>
      <c r="S4865" s="13"/>
      <c r="T4865" s="13"/>
      <c r="U4865" s="13"/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  <c r="AG4865" s="13"/>
      <c r="AH4865" s="13"/>
      <c r="AI4865" s="13"/>
      <c r="AJ4865" s="13"/>
      <c r="AK4865" s="13"/>
      <c r="AL4865" s="13"/>
      <c r="AM4865" s="13"/>
      <c r="AN4865" s="13"/>
      <c r="AO4865" s="13"/>
      <c r="AP4865" s="13"/>
      <c r="AQ4865" s="13"/>
      <c r="AR4865" s="13"/>
      <c r="AS4865" s="13"/>
    </row>
    <row r="4866" ht="14.25" customHeight="1">
      <c r="A4866" s="13"/>
      <c r="B4866" s="13"/>
      <c r="C4866" s="13"/>
      <c r="D4866" s="13"/>
      <c r="E4866" s="13"/>
      <c r="F4866" s="13"/>
      <c r="G4866" s="13"/>
      <c r="H4866" s="13"/>
      <c r="I4866" s="13"/>
      <c r="J4866" s="13"/>
      <c r="K4866" s="15"/>
      <c r="L4866" s="15"/>
      <c r="M4866" s="16"/>
      <c r="N4866" s="16"/>
      <c r="O4866" s="17"/>
      <c r="P4866" s="17"/>
      <c r="Q4866" s="13"/>
      <c r="R4866" s="13"/>
      <c r="S4866" s="13"/>
      <c r="T4866" s="13"/>
      <c r="U4866" s="13"/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  <c r="AG4866" s="13"/>
      <c r="AH4866" s="13"/>
      <c r="AI4866" s="13"/>
      <c r="AJ4866" s="13"/>
      <c r="AK4866" s="13"/>
      <c r="AL4866" s="13"/>
      <c r="AM4866" s="13"/>
      <c r="AN4866" s="13"/>
      <c r="AO4866" s="13"/>
      <c r="AP4866" s="13"/>
      <c r="AQ4866" s="13"/>
      <c r="AR4866" s="13"/>
      <c r="AS4866" s="13"/>
    </row>
    <row r="4867" ht="14.25" customHeight="1">
      <c r="A4867" s="13"/>
      <c r="B4867" s="13"/>
      <c r="C4867" s="13"/>
      <c r="D4867" s="13"/>
      <c r="E4867" s="13"/>
      <c r="F4867" s="13"/>
      <c r="G4867" s="13"/>
      <c r="H4867" s="13"/>
      <c r="I4867" s="13"/>
      <c r="J4867" s="13"/>
      <c r="K4867" s="15"/>
      <c r="L4867" s="15"/>
      <c r="M4867" s="16"/>
      <c r="N4867" s="16"/>
      <c r="O4867" s="17"/>
      <c r="P4867" s="17"/>
      <c r="Q4867" s="13"/>
      <c r="R4867" s="13"/>
      <c r="S4867" s="13"/>
      <c r="T4867" s="13"/>
      <c r="U4867" s="13"/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  <c r="AG4867" s="13"/>
      <c r="AH4867" s="13"/>
      <c r="AI4867" s="13"/>
      <c r="AJ4867" s="13"/>
      <c r="AK4867" s="13"/>
      <c r="AL4867" s="13"/>
      <c r="AM4867" s="13"/>
      <c r="AN4867" s="13"/>
      <c r="AO4867" s="13"/>
      <c r="AP4867" s="13"/>
      <c r="AQ4867" s="13"/>
      <c r="AR4867" s="13"/>
      <c r="AS4867" s="13"/>
    </row>
    <row r="4868" ht="14.25" customHeight="1">
      <c r="A4868" s="13"/>
      <c r="B4868" s="13"/>
      <c r="C4868" s="13"/>
      <c r="D4868" s="13"/>
      <c r="E4868" s="13"/>
      <c r="F4868" s="13"/>
      <c r="G4868" s="13"/>
      <c r="H4868" s="13"/>
      <c r="I4868" s="13"/>
      <c r="J4868" s="13"/>
      <c r="K4868" s="15"/>
      <c r="L4868" s="15"/>
      <c r="M4868" s="16"/>
      <c r="N4868" s="16"/>
      <c r="O4868" s="17"/>
      <c r="P4868" s="17"/>
      <c r="Q4868" s="13"/>
      <c r="R4868" s="13"/>
      <c r="S4868" s="13"/>
      <c r="T4868" s="13"/>
      <c r="U4868" s="13"/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  <c r="AG4868" s="13"/>
      <c r="AH4868" s="13"/>
      <c r="AI4868" s="13"/>
      <c r="AJ4868" s="13"/>
      <c r="AK4868" s="13"/>
      <c r="AL4868" s="13"/>
      <c r="AM4868" s="13"/>
      <c r="AN4868" s="13"/>
      <c r="AO4868" s="13"/>
      <c r="AP4868" s="13"/>
      <c r="AQ4868" s="13"/>
      <c r="AR4868" s="13"/>
      <c r="AS4868" s="13"/>
    </row>
    <row r="4869" ht="14.25" customHeight="1">
      <c r="A4869" s="13"/>
      <c r="B4869" s="13"/>
      <c r="C4869" s="13"/>
      <c r="D4869" s="13"/>
      <c r="E4869" s="13"/>
      <c r="F4869" s="13"/>
      <c r="G4869" s="13"/>
      <c r="H4869" s="13"/>
      <c r="I4869" s="13"/>
      <c r="J4869" s="13"/>
      <c r="K4869" s="15"/>
      <c r="L4869" s="15"/>
      <c r="M4869" s="16"/>
      <c r="N4869" s="16"/>
      <c r="O4869" s="17"/>
      <c r="P4869" s="17"/>
      <c r="Q4869" s="13"/>
      <c r="R4869" s="13"/>
      <c r="S4869" s="13"/>
      <c r="T4869" s="13"/>
      <c r="U4869" s="13"/>
      <c r="V4869" s="13"/>
      <c r="W4869" s="13"/>
      <c r="X4869" s="13"/>
      <c r="Y4869" s="13"/>
      <c r="Z4869" s="13"/>
      <c r="AA4869" s="13"/>
      <c r="AB4869" s="13"/>
      <c r="AC4869" s="13"/>
      <c r="AD4869" s="13"/>
      <c r="AE4869" s="13"/>
      <c r="AF4869" s="13"/>
      <c r="AG4869" s="13"/>
      <c r="AH4869" s="13"/>
      <c r="AI4869" s="13"/>
      <c r="AJ4869" s="13"/>
      <c r="AK4869" s="13"/>
      <c r="AL4869" s="13"/>
      <c r="AM4869" s="13"/>
      <c r="AN4869" s="13"/>
      <c r="AO4869" s="13"/>
      <c r="AP4869" s="13"/>
      <c r="AQ4869" s="13"/>
      <c r="AR4869" s="13"/>
      <c r="AS4869" s="13"/>
    </row>
    <row r="4870" ht="14.25" customHeight="1">
      <c r="A4870" s="13"/>
      <c r="B4870" s="13"/>
      <c r="C4870" s="13"/>
      <c r="D4870" s="13"/>
      <c r="E4870" s="13"/>
      <c r="F4870" s="13"/>
      <c r="G4870" s="13"/>
      <c r="H4870" s="13"/>
      <c r="I4870" s="13"/>
      <c r="J4870" s="13"/>
      <c r="K4870" s="15"/>
      <c r="L4870" s="15"/>
      <c r="M4870" s="16"/>
      <c r="N4870" s="16"/>
      <c r="O4870" s="17"/>
      <c r="P4870" s="17"/>
      <c r="Q4870" s="13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  <c r="AG4870" s="13"/>
      <c r="AH4870" s="13"/>
      <c r="AI4870" s="13"/>
      <c r="AJ4870" s="13"/>
      <c r="AK4870" s="13"/>
      <c r="AL4870" s="13"/>
      <c r="AM4870" s="13"/>
      <c r="AN4870" s="13"/>
      <c r="AO4870" s="13"/>
      <c r="AP4870" s="13"/>
      <c r="AQ4870" s="13"/>
      <c r="AR4870" s="13"/>
      <c r="AS4870" s="13"/>
    </row>
    <row r="4871" ht="14.25" customHeight="1">
      <c r="A4871" s="13"/>
      <c r="B4871" s="13"/>
      <c r="C4871" s="13"/>
      <c r="D4871" s="13"/>
      <c r="E4871" s="13"/>
      <c r="F4871" s="13"/>
      <c r="G4871" s="13"/>
      <c r="H4871" s="13"/>
      <c r="I4871" s="13"/>
      <c r="J4871" s="13"/>
      <c r="K4871" s="15"/>
      <c r="L4871" s="15"/>
      <c r="M4871" s="16"/>
      <c r="N4871" s="16"/>
      <c r="O4871" s="17"/>
      <c r="P4871" s="17"/>
      <c r="Q4871" s="13"/>
      <c r="R4871" s="13"/>
      <c r="S4871" s="13"/>
      <c r="T4871" s="13"/>
      <c r="U4871" s="13"/>
      <c r="V4871" s="13"/>
      <c r="W4871" s="13"/>
      <c r="X4871" s="13"/>
      <c r="Y4871" s="13"/>
      <c r="Z4871" s="13"/>
      <c r="AA4871" s="13"/>
      <c r="AB4871" s="13"/>
      <c r="AC4871" s="13"/>
      <c r="AD4871" s="13"/>
      <c r="AE4871" s="13"/>
      <c r="AF4871" s="13"/>
      <c r="AG4871" s="13"/>
      <c r="AH4871" s="13"/>
      <c r="AI4871" s="13"/>
      <c r="AJ4871" s="13"/>
      <c r="AK4871" s="13"/>
      <c r="AL4871" s="13"/>
      <c r="AM4871" s="13"/>
      <c r="AN4871" s="13"/>
      <c r="AO4871" s="13"/>
      <c r="AP4871" s="13"/>
      <c r="AQ4871" s="13"/>
      <c r="AR4871" s="13"/>
      <c r="AS4871" s="13"/>
    </row>
    <row r="4872" ht="14.25" customHeight="1">
      <c r="A4872" s="13"/>
      <c r="B4872" s="13"/>
      <c r="C4872" s="13"/>
      <c r="D4872" s="13"/>
      <c r="E4872" s="13"/>
      <c r="F4872" s="13"/>
      <c r="G4872" s="13"/>
      <c r="H4872" s="13"/>
      <c r="I4872" s="13"/>
      <c r="J4872" s="13"/>
      <c r="K4872" s="15"/>
      <c r="L4872" s="15"/>
      <c r="M4872" s="16"/>
      <c r="N4872" s="16"/>
      <c r="O4872" s="17"/>
      <c r="P4872" s="17"/>
      <c r="Q4872" s="13"/>
      <c r="R4872" s="13"/>
      <c r="S4872" s="13"/>
      <c r="T4872" s="13"/>
      <c r="U4872" s="13"/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  <c r="AG4872" s="13"/>
      <c r="AH4872" s="13"/>
      <c r="AI4872" s="13"/>
      <c r="AJ4872" s="13"/>
      <c r="AK4872" s="13"/>
      <c r="AL4872" s="13"/>
      <c r="AM4872" s="13"/>
      <c r="AN4872" s="13"/>
      <c r="AO4872" s="13"/>
      <c r="AP4872" s="13"/>
      <c r="AQ4872" s="13"/>
      <c r="AR4872" s="13"/>
      <c r="AS4872" s="13"/>
    </row>
    <row r="4873" ht="14.25" customHeight="1">
      <c r="A4873" s="13"/>
      <c r="B4873" s="13"/>
      <c r="C4873" s="13"/>
      <c r="D4873" s="13"/>
      <c r="E4873" s="13"/>
      <c r="F4873" s="13"/>
      <c r="G4873" s="13"/>
      <c r="H4873" s="13"/>
      <c r="I4873" s="13"/>
      <c r="J4873" s="13"/>
      <c r="K4873" s="15"/>
      <c r="L4873" s="15"/>
      <c r="M4873" s="16"/>
      <c r="N4873" s="16"/>
      <c r="O4873" s="17"/>
      <c r="P4873" s="17"/>
      <c r="Q4873" s="13"/>
      <c r="R4873" s="13"/>
      <c r="S4873" s="13"/>
      <c r="T4873" s="13"/>
      <c r="U4873" s="13"/>
      <c r="V4873" s="13"/>
      <c r="W4873" s="13"/>
      <c r="X4873" s="13"/>
      <c r="Y4873" s="13"/>
      <c r="Z4873" s="13"/>
      <c r="AA4873" s="13"/>
      <c r="AB4873" s="13"/>
      <c r="AC4873" s="13"/>
      <c r="AD4873" s="13"/>
      <c r="AE4873" s="13"/>
      <c r="AF4873" s="13"/>
      <c r="AG4873" s="13"/>
      <c r="AH4873" s="13"/>
      <c r="AI4873" s="13"/>
      <c r="AJ4873" s="13"/>
      <c r="AK4873" s="13"/>
      <c r="AL4873" s="13"/>
      <c r="AM4873" s="13"/>
      <c r="AN4873" s="13"/>
      <c r="AO4873" s="13"/>
      <c r="AP4873" s="13"/>
      <c r="AQ4873" s="13"/>
      <c r="AR4873" s="13"/>
      <c r="AS4873" s="13"/>
    </row>
    <row r="4874" ht="14.25" customHeight="1">
      <c r="A4874" s="13"/>
      <c r="B4874" s="13"/>
      <c r="C4874" s="13"/>
      <c r="D4874" s="13"/>
      <c r="E4874" s="13"/>
      <c r="F4874" s="13"/>
      <c r="G4874" s="13"/>
      <c r="H4874" s="13"/>
      <c r="I4874" s="13"/>
      <c r="J4874" s="13"/>
      <c r="K4874" s="15"/>
      <c r="L4874" s="15"/>
      <c r="M4874" s="16"/>
      <c r="N4874" s="16"/>
      <c r="O4874" s="17"/>
      <c r="P4874" s="17"/>
      <c r="Q4874" s="13"/>
      <c r="R4874" s="13"/>
      <c r="S4874" s="13"/>
      <c r="T4874" s="13"/>
      <c r="U4874" s="13"/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  <c r="AG4874" s="13"/>
      <c r="AH4874" s="13"/>
      <c r="AI4874" s="13"/>
      <c r="AJ4874" s="13"/>
      <c r="AK4874" s="13"/>
      <c r="AL4874" s="13"/>
      <c r="AM4874" s="13"/>
      <c r="AN4874" s="13"/>
      <c r="AO4874" s="13"/>
      <c r="AP4874" s="13"/>
      <c r="AQ4874" s="13"/>
      <c r="AR4874" s="13"/>
      <c r="AS4874" s="13"/>
    </row>
    <row r="4875" ht="14.25" customHeight="1">
      <c r="A4875" s="13"/>
      <c r="B4875" s="13"/>
      <c r="C4875" s="13"/>
      <c r="D4875" s="13"/>
      <c r="E4875" s="13"/>
      <c r="F4875" s="13"/>
      <c r="G4875" s="13"/>
      <c r="H4875" s="13"/>
      <c r="I4875" s="13"/>
      <c r="J4875" s="13"/>
      <c r="K4875" s="15"/>
      <c r="L4875" s="15"/>
      <c r="M4875" s="16"/>
      <c r="N4875" s="16"/>
      <c r="O4875" s="17"/>
      <c r="P4875" s="17"/>
      <c r="Q4875" s="13"/>
      <c r="R4875" s="13"/>
      <c r="S4875" s="13"/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  <c r="AG4875" s="13"/>
      <c r="AH4875" s="13"/>
      <c r="AI4875" s="13"/>
      <c r="AJ4875" s="13"/>
      <c r="AK4875" s="13"/>
      <c r="AL4875" s="13"/>
      <c r="AM4875" s="13"/>
      <c r="AN4875" s="13"/>
      <c r="AO4875" s="13"/>
      <c r="AP4875" s="13"/>
      <c r="AQ4875" s="13"/>
      <c r="AR4875" s="13"/>
      <c r="AS4875" s="13"/>
    </row>
    <row r="4876" ht="14.25" customHeight="1">
      <c r="A4876" s="13"/>
      <c r="B4876" s="13"/>
      <c r="C4876" s="13"/>
      <c r="D4876" s="13"/>
      <c r="E4876" s="13"/>
      <c r="F4876" s="13"/>
      <c r="G4876" s="13"/>
      <c r="H4876" s="13"/>
      <c r="I4876" s="13"/>
      <c r="J4876" s="13"/>
      <c r="K4876" s="15"/>
      <c r="L4876" s="15"/>
      <c r="M4876" s="16"/>
      <c r="N4876" s="16"/>
      <c r="O4876" s="17"/>
      <c r="P4876" s="17"/>
      <c r="Q4876" s="13"/>
      <c r="R4876" s="13"/>
      <c r="S4876" s="13"/>
      <c r="T4876" s="13"/>
      <c r="U4876" s="13"/>
      <c r="V4876" s="13"/>
      <c r="W4876" s="13"/>
      <c r="X4876" s="13"/>
      <c r="Y4876" s="13"/>
      <c r="Z4876" s="13"/>
      <c r="AA4876" s="13"/>
      <c r="AB4876" s="13"/>
      <c r="AC4876" s="13"/>
      <c r="AD4876" s="13"/>
      <c r="AE4876" s="13"/>
      <c r="AF4876" s="13"/>
      <c r="AG4876" s="13"/>
      <c r="AH4876" s="13"/>
      <c r="AI4876" s="13"/>
      <c r="AJ4876" s="13"/>
      <c r="AK4876" s="13"/>
      <c r="AL4876" s="13"/>
      <c r="AM4876" s="13"/>
      <c r="AN4876" s="13"/>
      <c r="AO4876" s="13"/>
      <c r="AP4876" s="13"/>
      <c r="AQ4876" s="13"/>
      <c r="AR4876" s="13"/>
      <c r="AS4876" s="13"/>
    </row>
    <row r="4877" ht="14.25" customHeight="1">
      <c r="A4877" s="13"/>
      <c r="B4877" s="13"/>
      <c r="C4877" s="13"/>
      <c r="D4877" s="13"/>
      <c r="E4877" s="13"/>
      <c r="F4877" s="13"/>
      <c r="G4877" s="13"/>
      <c r="H4877" s="13"/>
      <c r="I4877" s="13"/>
      <c r="J4877" s="13"/>
      <c r="K4877" s="15"/>
      <c r="L4877" s="15"/>
      <c r="M4877" s="16"/>
      <c r="N4877" s="16"/>
      <c r="O4877" s="17"/>
      <c r="P4877" s="17"/>
      <c r="Q4877" s="13"/>
      <c r="R4877" s="13"/>
      <c r="S4877" s="13"/>
      <c r="T4877" s="13"/>
      <c r="U4877" s="13"/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  <c r="AG4877" s="13"/>
      <c r="AH4877" s="13"/>
      <c r="AI4877" s="13"/>
      <c r="AJ4877" s="13"/>
      <c r="AK4877" s="13"/>
      <c r="AL4877" s="13"/>
      <c r="AM4877" s="13"/>
      <c r="AN4877" s="13"/>
      <c r="AO4877" s="13"/>
      <c r="AP4877" s="13"/>
      <c r="AQ4877" s="13"/>
      <c r="AR4877" s="13"/>
      <c r="AS4877" s="13"/>
    </row>
    <row r="4878" ht="14.25" customHeight="1">
      <c r="A4878" s="13"/>
      <c r="B4878" s="13"/>
      <c r="C4878" s="13"/>
      <c r="D4878" s="13"/>
      <c r="E4878" s="13"/>
      <c r="F4878" s="13"/>
      <c r="G4878" s="13"/>
      <c r="H4878" s="13"/>
      <c r="I4878" s="13"/>
      <c r="J4878" s="13"/>
      <c r="K4878" s="15"/>
      <c r="L4878" s="15"/>
      <c r="M4878" s="16"/>
      <c r="N4878" s="16"/>
      <c r="O4878" s="17"/>
      <c r="P4878" s="17"/>
      <c r="Q4878" s="13"/>
      <c r="R4878" s="13"/>
      <c r="S4878" s="13"/>
      <c r="T4878" s="13"/>
      <c r="U4878" s="13"/>
      <c r="V4878" s="13"/>
      <c r="W4878" s="13"/>
      <c r="X4878" s="13"/>
      <c r="Y4878" s="13"/>
      <c r="Z4878" s="13"/>
      <c r="AA4878" s="13"/>
      <c r="AB4878" s="13"/>
      <c r="AC4878" s="13"/>
      <c r="AD4878" s="13"/>
      <c r="AE4878" s="13"/>
      <c r="AF4878" s="13"/>
      <c r="AG4878" s="13"/>
      <c r="AH4878" s="13"/>
      <c r="AI4878" s="13"/>
      <c r="AJ4878" s="13"/>
      <c r="AK4878" s="13"/>
      <c r="AL4878" s="13"/>
      <c r="AM4878" s="13"/>
      <c r="AN4878" s="13"/>
      <c r="AO4878" s="13"/>
      <c r="AP4878" s="13"/>
      <c r="AQ4878" s="13"/>
      <c r="AR4878" s="13"/>
      <c r="AS4878" s="13"/>
    </row>
    <row r="4879" ht="14.25" customHeight="1">
      <c r="A4879" s="13"/>
      <c r="B4879" s="13"/>
      <c r="C4879" s="13"/>
      <c r="D4879" s="13"/>
      <c r="E4879" s="13"/>
      <c r="F4879" s="13"/>
      <c r="G4879" s="13"/>
      <c r="H4879" s="13"/>
      <c r="I4879" s="13"/>
      <c r="J4879" s="13"/>
      <c r="K4879" s="15"/>
      <c r="L4879" s="15"/>
      <c r="M4879" s="16"/>
      <c r="N4879" s="16"/>
      <c r="O4879" s="17"/>
      <c r="P4879" s="17"/>
      <c r="Q4879" s="13"/>
      <c r="R4879" s="13"/>
      <c r="S4879" s="13"/>
      <c r="T4879" s="13"/>
      <c r="U4879" s="13"/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  <c r="AG4879" s="13"/>
      <c r="AH4879" s="13"/>
      <c r="AI4879" s="13"/>
      <c r="AJ4879" s="13"/>
      <c r="AK4879" s="13"/>
      <c r="AL4879" s="13"/>
      <c r="AM4879" s="13"/>
      <c r="AN4879" s="13"/>
      <c r="AO4879" s="13"/>
      <c r="AP4879" s="13"/>
      <c r="AQ4879" s="13"/>
      <c r="AR4879" s="13"/>
      <c r="AS4879" s="13"/>
    </row>
    <row r="4880" ht="14.25" customHeight="1">
      <c r="A4880" s="13"/>
      <c r="B4880" s="13"/>
      <c r="C4880" s="13"/>
      <c r="D4880" s="13"/>
      <c r="E4880" s="13"/>
      <c r="F4880" s="13"/>
      <c r="G4880" s="13"/>
      <c r="H4880" s="13"/>
      <c r="I4880" s="13"/>
      <c r="J4880" s="13"/>
      <c r="K4880" s="15"/>
      <c r="L4880" s="15"/>
      <c r="M4880" s="16"/>
      <c r="N4880" s="16"/>
      <c r="O4880" s="17"/>
      <c r="P4880" s="17"/>
      <c r="Q4880" s="13"/>
      <c r="R4880" s="13"/>
      <c r="S4880" s="13"/>
      <c r="T4880" s="13"/>
      <c r="U4880" s="13"/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  <c r="AG4880" s="13"/>
      <c r="AH4880" s="13"/>
      <c r="AI4880" s="13"/>
      <c r="AJ4880" s="13"/>
      <c r="AK4880" s="13"/>
      <c r="AL4880" s="13"/>
      <c r="AM4880" s="13"/>
      <c r="AN4880" s="13"/>
      <c r="AO4880" s="13"/>
      <c r="AP4880" s="13"/>
      <c r="AQ4880" s="13"/>
      <c r="AR4880" s="13"/>
      <c r="AS4880" s="13"/>
    </row>
    <row r="4881" ht="14.25" customHeight="1">
      <c r="A4881" s="13"/>
      <c r="B4881" s="13"/>
      <c r="C4881" s="13"/>
      <c r="D4881" s="13"/>
      <c r="E4881" s="13"/>
      <c r="F4881" s="13"/>
      <c r="G4881" s="13"/>
      <c r="H4881" s="13"/>
      <c r="I4881" s="13"/>
      <c r="J4881" s="13"/>
      <c r="K4881" s="15"/>
      <c r="L4881" s="15"/>
      <c r="M4881" s="16"/>
      <c r="N4881" s="16"/>
      <c r="O4881" s="17"/>
      <c r="P4881" s="17"/>
      <c r="Q4881" s="13"/>
      <c r="R4881" s="13"/>
      <c r="S4881" s="13"/>
      <c r="T4881" s="13"/>
      <c r="U4881" s="13"/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  <c r="AG4881" s="13"/>
      <c r="AH4881" s="13"/>
      <c r="AI4881" s="13"/>
      <c r="AJ4881" s="13"/>
      <c r="AK4881" s="13"/>
      <c r="AL4881" s="13"/>
      <c r="AM4881" s="13"/>
      <c r="AN4881" s="13"/>
      <c r="AO4881" s="13"/>
      <c r="AP4881" s="13"/>
      <c r="AQ4881" s="13"/>
      <c r="AR4881" s="13"/>
      <c r="AS4881" s="13"/>
    </row>
    <row r="4882" ht="14.25" customHeight="1">
      <c r="A4882" s="13"/>
      <c r="B4882" s="13"/>
      <c r="C4882" s="13"/>
      <c r="D4882" s="13"/>
      <c r="E4882" s="13"/>
      <c r="F4882" s="13"/>
      <c r="G4882" s="13"/>
      <c r="H4882" s="13"/>
      <c r="I4882" s="13"/>
      <c r="J4882" s="13"/>
      <c r="K4882" s="15"/>
      <c r="L4882" s="15"/>
      <c r="M4882" s="16"/>
      <c r="N4882" s="16"/>
      <c r="O4882" s="17"/>
      <c r="P4882" s="17"/>
      <c r="Q4882" s="13"/>
      <c r="R4882" s="13"/>
      <c r="S4882" s="13"/>
      <c r="T4882" s="13"/>
      <c r="U4882" s="13"/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  <c r="AG4882" s="13"/>
      <c r="AH4882" s="13"/>
      <c r="AI4882" s="13"/>
      <c r="AJ4882" s="13"/>
      <c r="AK4882" s="13"/>
      <c r="AL4882" s="13"/>
      <c r="AM4882" s="13"/>
      <c r="AN4882" s="13"/>
      <c r="AO4882" s="13"/>
      <c r="AP4882" s="13"/>
      <c r="AQ4882" s="13"/>
      <c r="AR4882" s="13"/>
      <c r="AS4882" s="13"/>
    </row>
    <row r="4883" ht="14.25" customHeight="1">
      <c r="A4883" s="13"/>
      <c r="B4883" s="13"/>
      <c r="C4883" s="13"/>
      <c r="D4883" s="13"/>
      <c r="E4883" s="13"/>
      <c r="F4883" s="13"/>
      <c r="G4883" s="13"/>
      <c r="H4883" s="13"/>
      <c r="I4883" s="13"/>
      <c r="J4883" s="13"/>
      <c r="K4883" s="15"/>
      <c r="L4883" s="15"/>
      <c r="M4883" s="16"/>
      <c r="N4883" s="16"/>
      <c r="O4883" s="17"/>
      <c r="P4883" s="17"/>
      <c r="Q4883" s="13"/>
      <c r="R4883" s="13"/>
      <c r="S4883" s="13"/>
      <c r="T4883" s="13"/>
      <c r="U4883" s="13"/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  <c r="AG4883" s="13"/>
      <c r="AH4883" s="13"/>
      <c r="AI4883" s="13"/>
      <c r="AJ4883" s="13"/>
      <c r="AK4883" s="13"/>
      <c r="AL4883" s="13"/>
      <c r="AM4883" s="13"/>
      <c r="AN4883" s="13"/>
      <c r="AO4883" s="13"/>
      <c r="AP4883" s="13"/>
      <c r="AQ4883" s="13"/>
      <c r="AR4883" s="13"/>
      <c r="AS4883" s="13"/>
    </row>
    <row r="4884" ht="14.25" customHeight="1">
      <c r="A4884" s="13"/>
      <c r="B4884" s="13"/>
      <c r="C4884" s="13"/>
      <c r="D4884" s="13"/>
      <c r="E4884" s="13"/>
      <c r="F4884" s="13"/>
      <c r="G4884" s="13"/>
      <c r="H4884" s="13"/>
      <c r="I4884" s="13"/>
      <c r="J4884" s="13"/>
      <c r="K4884" s="15"/>
      <c r="L4884" s="15"/>
      <c r="M4884" s="16"/>
      <c r="N4884" s="16"/>
      <c r="O4884" s="17"/>
      <c r="P4884" s="17"/>
      <c r="Q4884" s="13"/>
      <c r="R4884" s="13"/>
      <c r="S4884" s="13"/>
      <c r="T4884" s="13"/>
      <c r="U4884" s="13"/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  <c r="AG4884" s="13"/>
      <c r="AH4884" s="13"/>
      <c r="AI4884" s="13"/>
      <c r="AJ4884" s="13"/>
      <c r="AK4884" s="13"/>
      <c r="AL4884" s="13"/>
      <c r="AM4884" s="13"/>
      <c r="AN4884" s="13"/>
      <c r="AO4884" s="13"/>
      <c r="AP4884" s="13"/>
      <c r="AQ4884" s="13"/>
      <c r="AR4884" s="13"/>
      <c r="AS4884" s="13"/>
    </row>
    <row r="4885" ht="14.25" customHeight="1">
      <c r="A4885" s="13"/>
      <c r="B4885" s="13"/>
      <c r="C4885" s="13"/>
      <c r="D4885" s="13"/>
      <c r="E4885" s="13"/>
      <c r="F4885" s="13"/>
      <c r="G4885" s="13"/>
      <c r="H4885" s="13"/>
      <c r="I4885" s="13"/>
      <c r="J4885" s="13"/>
      <c r="K4885" s="15"/>
      <c r="L4885" s="15"/>
      <c r="M4885" s="16"/>
      <c r="N4885" s="16"/>
      <c r="O4885" s="17"/>
      <c r="P4885" s="17"/>
      <c r="Q4885" s="13"/>
      <c r="R4885" s="13"/>
      <c r="S4885" s="13"/>
      <c r="T4885" s="13"/>
      <c r="U4885" s="13"/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  <c r="AG4885" s="13"/>
      <c r="AH4885" s="13"/>
      <c r="AI4885" s="13"/>
      <c r="AJ4885" s="13"/>
      <c r="AK4885" s="13"/>
      <c r="AL4885" s="13"/>
      <c r="AM4885" s="13"/>
      <c r="AN4885" s="13"/>
      <c r="AO4885" s="13"/>
      <c r="AP4885" s="13"/>
      <c r="AQ4885" s="13"/>
      <c r="AR4885" s="13"/>
      <c r="AS4885" s="13"/>
    </row>
    <row r="4886" ht="14.25" customHeight="1">
      <c r="A4886" s="13"/>
      <c r="B4886" s="13"/>
      <c r="C4886" s="13"/>
      <c r="D4886" s="13"/>
      <c r="E4886" s="13"/>
      <c r="F4886" s="13"/>
      <c r="G4886" s="13"/>
      <c r="H4886" s="13"/>
      <c r="I4886" s="13"/>
      <c r="J4886" s="13"/>
      <c r="K4886" s="15"/>
      <c r="L4886" s="15"/>
      <c r="M4886" s="16"/>
      <c r="N4886" s="16"/>
      <c r="O4886" s="17"/>
      <c r="P4886" s="17"/>
      <c r="Q4886" s="13"/>
      <c r="R4886" s="13"/>
      <c r="S4886" s="13"/>
      <c r="T4886" s="13"/>
      <c r="U4886" s="13"/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  <c r="AG4886" s="13"/>
      <c r="AH4886" s="13"/>
      <c r="AI4886" s="13"/>
      <c r="AJ4886" s="13"/>
      <c r="AK4886" s="13"/>
      <c r="AL4886" s="13"/>
      <c r="AM4886" s="13"/>
      <c r="AN4886" s="13"/>
      <c r="AO4886" s="13"/>
      <c r="AP4886" s="13"/>
      <c r="AQ4886" s="13"/>
      <c r="AR4886" s="13"/>
      <c r="AS4886" s="13"/>
    </row>
    <row r="4887" ht="14.25" customHeight="1">
      <c r="A4887" s="13"/>
      <c r="B4887" s="13"/>
      <c r="C4887" s="13"/>
      <c r="D4887" s="13"/>
      <c r="E4887" s="13"/>
      <c r="F4887" s="13"/>
      <c r="G4887" s="13"/>
      <c r="H4887" s="13"/>
      <c r="I4887" s="13"/>
      <c r="J4887" s="13"/>
      <c r="K4887" s="15"/>
      <c r="L4887" s="15"/>
      <c r="M4887" s="16"/>
      <c r="N4887" s="16"/>
      <c r="O4887" s="17"/>
      <c r="P4887" s="17"/>
      <c r="Q4887" s="13"/>
      <c r="R4887" s="13"/>
      <c r="S4887" s="13"/>
      <c r="T4887" s="13"/>
      <c r="U4887" s="13"/>
      <c r="V4887" s="13"/>
      <c r="W4887" s="13"/>
      <c r="X4887" s="13"/>
      <c r="Y4887" s="13"/>
      <c r="Z4887" s="13"/>
      <c r="AA4887" s="13"/>
      <c r="AB4887" s="13"/>
      <c r="AC4887" s="13"/>
      <c r="AD4887" s="13"/>
      <c r="AE4887" s="13"/>
      <c r="AF4887" s="13"/>
      <c r="AG4887" s="13"/>
      <c r="AH4887" s="13"/>
      <c r="AI4887" s="13"/>
      <c r="AJ4887" s="13"/>
      <c r="AK4887" s="13"/>
      <c r="AL4887" s="13"/>
      <c r="AM4887" s="13"/>
      <c r="AN4887" s="13"/>
      <c r="AO4887" s="13"/>
      <c r="AP4887" s="13"/>
      <c r="AQ4887" s="13"/>
      <c r="AR4887" s="13"/>
      <c r="AS4887" s="13"/>
    </row>
    <row r="4888" ht="14.25" customHeight="1">
      <c r="A4888" s="13"/>
      <c r="B4888" s="13"/>
      <c r="C4888" s="13"/>
      <c r="D4888" s="13"/>
      <c r="E4888" s="13"/>
      <c r="F4888" s="13"/>
      <c r="G4888" s="13"/>
      <c r="H4888" s="13"/>
      <c r="I4888" s="13"/>
      <c r="J4888" s="13"/>
      <c r="K4888" s="15"/>
      <c r="L4888" s="15"/>
      <c r="M4888" s="16"/>
      <c r="N4888" s="16"/>
      <c r="O4888" s="17"/>
      <c r="P4888" s="17"/>
      <c r="Q4888" s="13"/>
      <c r="R4888" s="13"/>
      <c r="S4888" s="13"/>
      <c r="T4888" s="13"/>
      <c r="U4888" s="13"/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  <c r="AG4888" s="13"/>
      <c r="AH4888" s="13"/>
      <c r="AI4888" s="13"/>
      <c r="AJ4888" s="13"/>
      <c r="AK4888" s="13"/>
      <c r="AL4888" s="13"/>
      <c r="AM4888" s="13"/>
      <c r="AN4888" s="13"/>
      <c r="AO4888" s="13"/>
      <c r="AP4888" s="13"/>
      <c r="AQ4888" s="13"/>
      <c r="AR4888" s="13"/>
      <c r="AS4888" s="13"/>
    </row>
    <row r="4889" ht="14.25" customHeight="1">
      <c r="A4889" s="13"/>
      <c r="B4889" s="13"/>
      <c r="C4889" s="13"/>
      <c r="D4889" s="13"/>
      <c r="E4889" s="13"/>
      <c r="F4889" s="13"/>
      <c r="G4889" s="13"/>
      <c r="H4889" s="13"/>
      <c r="I4889" s="13"/>
      <c r="J4889" s="13"/>
      <c r="K4889" s="15"/>
      <c r="L4889" s="15"/>
      <c r="M4889" s="16"/>
      <c r="N4889" s="16"/>
      <c r="O4889" s="17"/>
      <c r="P4889" s="17"/>
      <c r="Q4889" s="13"/>
      <c r="R4889" s="13"/>
      <c r="S4889" s="13"/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  <c r="AG4889" s="13"/>
      <c r="AH4889" s="13"/>
      <c r="AI4889" s="13"/>
      <c r="AJ4889" s="13"/>
      <c r="AK4889" s="13"/>
      <c r="AL4889" s="13"/>
      <c r="AM4889" s="13"/>
      <c r="AN4889" s="13"/>
      <c r="AO4889" s="13"/>
      <c r="AP4889" s="13"/>
      <c r="AQ4889" s="13"/>
      <c r="AR4889" s="13"/>
      <c r="AS4889" s="13"/>
    </row>
    <row r="4890" ht="14.25" customHeight="1">
      <c r="A4890" s="13"/>
      <c r="B4890" s="13"/>
      <c r="C4890" s="13"/>
      <c r="D4890" s="13"/>
      <c r="E4890" s="13"/>
      <c r="F4890" s="13"/>
      <c r="G4890" s="13"/>
      <c r="H4890" s="13"/>
      <c r="I4890" s="13"/>
      <c r="J4890" s="13"/>
      <c r="K4890" s="15"/>
      <c r="L4890" s="15"/>
      <c r="M4890" s="16"/>
      <c r="N4890" s="16"/>
      <c r="O4890" s="17"/>
      <c r="P4890" s="17"/>
      <c r="Q4890" s="13"/>
      <c r="R4890" s="13"/>
      <c r="S4890" s="13"/>
      <c r="T4890" s="13"/>
      <c r="U4890" s="13"/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  <c r="AG4890" s="13"/>
      <c r="AH4890" s="13"/>
      <c r="AI4890" s="13"/>
      <c r="AJ4890" s="13"/>
      <c r="AK4890" s="13"/>
      <c r="AL4890" s="13"/>
      <c r="AM4890" s="13"/>
      <c r="AN4890" s="13"/>
      <c r="AO4890" s="13"/>
      <c r="AP4890" s="13"/>
      <c r="AQ4890" s="13"/>
      <c r="AR4890" s="13"/>
      <c r="AS4890" s="13"/>
    </row>
    <row r="4891" ht="14.25" customHeight="1">
      <c r="A4891" s="13"/>
      <c r="B4891" s="13"/>
      <c r="C4891" s="13"/>
      <c r="D4891" s="13"/>
      <c r="E4891" s="13"/>
      <c r="F4891" s="13"/>
      <c r="G4891" s="13"/>
      <c r="H4891" s="13"/>
      <c r="I4891" s="13"/>
      <c r="J4891" s="13"/>
      <c r="K4891" s="15"/>
      <c r="L4891" s="15"/>
      <c r="M4891" s="16"/>
      <c r="N4891" s="16"/>
      <c r="O4891" s="17"/>
      <c r="P4891" s="17"/>
      <c r="Q4891" s="13"/>
      <c r="R4891" s="13"/>
      <c r="S4891" s="13"/>
      <c r="T4891" s="13"/>
      <c r="U4891" s="13"/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  <c r="AG4891" s="13"/>
      <c r="AH4891" s="13"/>
      <c r="AI4891" s="13"/>
      <c r="AJ4891" s="13"/>
      <c r="AK4891" s="13"/>
      <c r="AL4891" s="13"/>
      <c r="AM4891" s="13"/>
      <c r="AN4891" s="13"/>
      <c r="AO4891" s="13"/>
      <c r="AP4891" s="13"/>
      <c r="AQ4891" s="13"/>
      <c r="AR4891" s="13"/>
      <c r="AS4891" s="13"/>
    </row>
    <row r="4892" ht="14.25" customHeight="1">
      <c r="A4892" s="13"/>
      <c r="B4892" s="13"/>
      <c r="C4892" s="13"/>
      <c r="D4892" s="13"/>
      <c r="E4892" s="13"/>
      <c r="F4892" s="13"/>
      <c r="G4892" s="13"/>
      <c r="H4892" s="13"/>
      <c r="I4892" s="13"/>
      <c r="J4892" s="13"/>
      <c r="K4892" s="15"/>
      <c r="L4892" s="15"/>
      <c r="M4892" s="16"/>
      <c r="N4892" s="16"/>
      <c r="O4892" s="17"/>
      <c r="P4892" s="17"/>
      <c r="Q4892" s="13"/>
      <c r="R4892" s="13"/>
      <c r="S4892" s="13"/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  <c r="AG4892" s="13"/>
      <c r="AH4892" s="13"/>
      <c r="AI4892" s="13"/>
      <c r="AJ4892" s="13"/>
      <c r="AK4892" s="13"/>
      <c r="AL4892" s="13"/>
      <c r="AM4892" s="13"/>
      <c r="AN4892" s="13"/>
      <c r="AO4892" s="13"/>
      <c r="AP4892" s="13"/>
      <c r="AQ4892" s="13"/>
      <c r="AR4892" s="13"/>
      <c r="AS4892" s="13"/>
    </row>
    <row r="4893" ht="14.25" customHeight="1">
      <c r="A4893" s="13"/>
      <c r="B4893" s="13"/>
      <c r="C4893" s="13"/>
      <c r="D4893" s="13"/>
      <c r="E4893" s="13"/>
      <c r="F4893" s="13"/>
      <c r="G4893" s="13"/>
      <c r="H4893" s="13"/>
      <c r="I4893" s="13"/>
      <c r="J4893" s="13"/>
      <c r="K4893" s="15"/>
      <c r="L4893" s="15"/>
      <c r="M4893" s="16"/>
      <c r="N4893" s="16"/>
      <c r="O4893" s="17"/>
      <c r="P4893" s="17"/>
      <c r="Q4893" s="13"/>
      <c r="R4893" s="13"/>
      <c r="S4893" s="13"/>
      <c r="T4893" s="13"/>
      <c r="U4893" s="13"/>
      <c r="V4893" s="13"/>
      <c r="W4893" s="13"/>
      <c r="X4893" s="13"/>
      <c r="Y4893" s="13"/>
      <c r="Z4893" s="13"/>
      <c r="AA4893" s="13"/>
      <c r="AB4893" s="13"/>
      <c r="AC4893" s="13"/>
      <c r="AD4893" s="13"/>
      <c r="AE4893" s="13"/>
      <c r="AF4893" s="13"/>
      <c r="AG4893" s="13"/>
      <c r="AH4893" s="13"/>
      <c r="AI4893" s="13"/>
      <c r="AJ4893" s="13"/>
      <c r="AK4893" s="13"/>
      <c r="AL4893" s="13"/>
      <c r="AM4893" s="13"/>
      <c r="AN4893" s="13"/>
      <c r="AO4893" s="13"/>
      <c r="AP4893" s="13"/>
      <c r="AQ4893" s="13"/>
      <c r="AR4893" s="13"/>
      <c r="AS4893" s="13"/>
    </row>
    <row r="4894" ht="14.25" customHeight="1">
      <c r="A4894" s="13"/>
      <c r="B4894" s="13"/>
      <c r="C4894" s="13"/>
      <c r="D4894" s="13"/>
      <c r="E4894" s="13"/>
      <c r="F4894" s="13"/>
      <c r="G4894" s="13"/>
      <c r="H4894" s="13"/>
      <c r="I4894" s="13"/>
      <c r="J4894" s="13"/>
      <c r="K4894" s="15"/>
      <c r="L4894" s="15"/>
      <c r="M4894" s="16"/>
      <c r="N4894" s="16"/>
      <c r="O4894" s="17"/>
      <c r="P4894" s="17"/>
      <c r="Q4894" s="13"/>
      <c r="R4894" s="13"/>
      <c r="S4894" s="13"/>
      <c r="T4894" s="13"/>
      <c r="U4894" s="13"/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  <c r="AG4894" s="13"/>
      <c r="AH4894" s="13"/>
      <c r="AI4894" s="13"/>
      <c r="AJ4894" s="13"/>
      <c r="AK4894" s="13"/>
      <c r="AL4894" s="13"/>
      <c r="AM4894" s="13"/>
      <c r="AN4894" s="13"/>
      <c r="AO4894" s="13"/>
      <c r="AP4894" s="13"/>
      <c r="AQ4894" s="13"/>
      <c r="AR4894" s="13"/>
      <c r="AS4894" s="13"/>
    </row>
    <row r="4895" ht="14.25" customHeight="1">
      <c r="A4895" s="13"/>
      <c r="B4895" s="13"/>
      <c r="C4895" s="13"/>
      <c r="D4895" s="13"/>
      <c r="E4895" s="13"/>
      <c r="F4895" s="13"/>
      <c r="G4895" s="13"/>
      <c r="H4895" s="13"/>
      <c r="I4895" s="13"/>
      <c r="J4895" s="13"/>
      <c r="K4895" s="15"/>
      <c r="L4895" s="15"/>
      <c r="M4895" s="16"/>
      <c r="N4895" s="16"/>
      <c r="O4895" s="17"/>
      <c r="P4895" s="17"/>
      <c r="Q4895" s="13"/>
      <c r="R4895" s="13"/>
      <c r="S4895" s="13"/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  <c r="AG4895" s="13"/>
      <c r="AH4895" s="13"/>
      <c r="AI4895" s="13"/>
      <c r="AJ4895" s="13"/>
      <c r="AK4895" s="13"/>
      <c r="AL4895" s="13"/>
      <c r="AM4895" s="13"/>
      <c r="AN4895" s="13"/>
      <c r="AO4895" s="13"/>
      <c r="AP4895" s="13"/>
      <c r="AQ4895" s="13"/>
      <c r="AR4895" s="13"/>
      <c r="AS4895" s="13"/>
    </row>
    <row r="4896" ht="14.25" customHeight="1">
      <c r="A4896" s="13"/>
      <c r="B4896" s="13"/>
      <c r="C4896" s="13"/>
      <c r="D4896" s="13"/>
      <c r="E4896" s="13"/>
      <c r="F4896" s="13"/>
      <c r="G4896" s="13"/>
      <c r="H4896" s="13"/>
      <c r="I4896" s="13"/>
      <c r="J4896" s="13"/>
      <c r="K4896" s="15"/>
      <c r="L4896" s="15"/>
      <c r="M4896" s="16"/>
      <c r="N4896" s="16"/>
      <c r="O4896" s="17"/>
      <c r="P4896" s="17"/>
      <c r="Q4896" s="13"/>
      <c r="R4896" s="13"/>
      <c r="S4896" s="13"/>
      <c r="T4896" s="13"/>
      <c r="U4896" s="13"/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  <c r="AG4896" s="13"/>
      <c r="AH4896" s="13"/>
      <c r="AI4896" s="13"/>
      <c r="AJ4896" s="13"/>
      <c r="AK4896" s="13"/>
      <c r="AL4896" s="13"/>
      <c r="AM4896" s="13"/>
      <c r="AN4896" s="13"/>
      <c r="AO4896" s="13"/>
      <c r="AP4896" s="13"/>
      <c r="AQ4896" s="13"/>
      <c r="AR4896" s="13"/>
      <c r="AS4896" s="13"/>
    </row>
    <row r="4897" ht="14.25" customHeight="1">
      <c r="A4897" s="13"/>
      <c r="B4897" s="13"/>
      <c r="C4897" s="13"/>
      <c r="D4897" s="13"/>
      <c r="E4897" s="13"/>
      <c r="F4897" s="13"/>
      <c r="G4897" s="13"/>
      <c r="H4897" s="13"/>
      <c r="I4897" s="13"/>
      <c r="J4897" s="13"/>
      <c r="K4897" s="15"/>
      <c r="L4897" s="15"/>
      <c r="M4897" s="16"/>
      <c r="N4897" s="16"/>
      <c r="O4897" s="17"/>
      <c r="P4897" s="17"/>
      <c r="Q4897" s="13"/>
      <c r="R4897" s="13"/>
      <c r="S4897" s="13"/>
      <c r="T4897" s="13"/>
      <c r="U4897" s="13"/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  <c r="AG4897" s="13"/>
      <c r="AH4897" s="13"/>
      <c r="AI4897" s="13"/>
      <c r="AJ4897" s="13"/>
      <c r="AK4897" s="13"/>
      <c r="AL4897" s="13"/>
      <c r="AM4897" s="13"/>
      <c r="AN4897" s="13"/>
      <c r="AO4897" s="13"/>
      <c r="AP4897" s="13"/>
      <c r="AQ4897" s="13"/>
      <c r="AR4897" s="13"/>
      <c r="AS4897" s="13"/>
    </row>
    <row r="4898" ht="14.25" customHeight="1">
      <c r="A4898" s="13"/>
      <c r="B4898" s="13"/>
      <c r="C4898" s="13"/>
      <c r="D4898" s="13"/>
      <c r="E4898" s="13"/>
      <c r="F4898" s="13"/>
      <c r="G4898" s="13"/>
      <c r="H4898" s="13"/>
      <c r="I4898" s="13"/>
      <c r="J4898" s="13"/>
      <c r="K4898" s="15"/>
      <c r="L4898" s="15"/>
      <c r="M4898" s="16"/>
      <c r="N4898" s="16"/>
      <c r="O4898" s="17"/>
      <c r="P4898" s="17"/>
      <c r="Q4898" s="13"/>
      <c r="R4898" s="13"/>
      <c r="S4898" s="13"/>
      <c r="T4898" s="13"/>
      <c r="U4898" s="13"/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  <c r="AG4898" s="13"/>
      <c r="AH4898" s="13"/>
      <c r="AI4898" s="13"/>
      <c r="AJ4898" s="13"/>
      <c r="AK4898" s="13"/>
      <c r="AL4898" s="13"/>
      <c r="AM4898" s="13"/>
      <c r="AN4898" s="13"/>
      <c r="AO4898" s="13"/>
      <c r="AP4898" s="13"/>
      <c r="AQ4898" s="13"/>
      <c r="AR4898" s="13"/>
      <c r="AS4898" s="13"/>
    </row>
    <row r="4899" ht="14.25" customHeight="1">
      <c r="A4899" s="13"/>
      <c r="B4899" s="13"/>
      <c r="C4899" s="13"/>
      <c r="D4899" s="13"/>
      <c r="E4899" s="13"/>
      <c r="F4899" s="13"/>
      <c r="G4899" s="13"/>
      <c r="H4899" s="13"/>
      <c r="I4899" s="13"/>
      <c r="J4899" s="13"/>
      <c r="K4899" s="15"/>
      <c r="L4899" s="15"/>
      <c r="M4899" s="16"/>
      <c r="N4899" s="16"/>
      <c r="O4899" s="17"/>
      <c r="P4899" s="17"/>
      <c r="Q4899" s="13"/>
      <c r="R4899" s="13"/>
      <c r="S4899" s="13"/>
      <c r="T4899" s="13"/>
      <c r="U4899" s="13"/>
      <c r="V4899" s="13"/>
      <c r="W4899" s="13"/>
      <c r="X4899" s="13"/>
      <c r="Y4899" s="13"/>
      <c r="Z4899" s="13"/>
      <c r="AA4899" s="13"/>
      <c r="AB4899" s="13"/>
      <c r="AC4899" s="13"/>
      <c r="AD4899" s="13"/>
      <c r="AE4899" s="13"/>
      <c r="AF4899" s="13"/>
      <c r="AG4899" s="13"/>
      <c r="AH4899" s="13"/>
      <c r="AI4899" s="13"/>
      <c r="AJ4899" s="13"/>
      <c r="AK4899" s="13"/>
      <c r="AL4899" s="13"/>
      <c r="AM4899" s="13"/>
      <c r="AN4899" s="13"/>
      <c r="AO4899" s="13"/>
      <c r="AP4899" s="13"/>
      <c r="AQ4899" s="13"/>
      <c r="AR4899" s="13"/>
      <c r="AS4899" s="13"/>
    </row>
    <row r="4900" ht="14.25" customHeight="1">
      <c r="A4900" s="13"/>
      <c r="B4900" s="13"/>
      <c r="C4900" s="13"/>
      <c r="D4900" s="13"/>
      <c r="E4900" s="13"/>
      <c r="F4900" s="13"/>
      <c r="G4900" s="13"/>
      <c r="H4900" s="13"/>
      <c r="I4900" s="13"/>
      <c r="J4900" s="13"/>
      <c r="K4900" s="15"/>
      <c r="L4900" s="15"/>
      <c r="M4900" s="16"/>
      <c r="N4900" s="16"/>
      <c r="O4900" s="17"/>
      <c r="P4900" s="17"/>
      <c r="Q4900" s="13"/>
      <c r="R4900" s="13"/>
      <c r="S4900" s="13"/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  <c r="AG4900" s="13"/>
      <c r="AH4900" s="13"/>
      <c r="AI4900" s="13"/>
      <c r="AJ4900" s="13"/>
      <c r="AK4900" s="13"/>
      <c r="AL4900" s="13"/>
      <c r="AM4900" s="13"/>
      <c r="AN4900" s="13"/>
      <c r="AO4900" s="13"/>
      <c r="AP4900" s="13"/>
      <c r="AQ4900" s="13"/>
      <c r="AR4900" s="13"/>
      <c r="AS4900" s="13"/>
    </row>
    <row r="4901" ht="14.25" customHeight="1">
      <c r="A4901" s="13"/>
      <c r="B4901" s="13"/>
      <c r="C4901" s="13"/>
      <c r="D4901" s="13"/>
      <c r="E4901" s="13"/>
      <c r="F4901" s="13"/>
      <c r="G4901" s="13"/>
      <c r="H4901" s="13"/>
      <c r="I4901" s="13"/>
      <c r="J4901" s="13"/>
      <c r="K4901" s="15"/>
      <c r="L4901" s="15"/>
      <c r="M4901" s="16"/>
      <c r="N4901" s="16"/>
      <c r="O4901" s="17"/>
      <c r="P4901" s="17"/>
      <c r="Q4901" s="13"/>
      <c r="R4901" s="13"/>
      <c r="S4901" s="13"/>
      <c r="T4901" s="13"/>
      <c r="U4901" s="13"/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  <c r="AG4901" s="13"/>
      <c r="AH4901" s="13"/>
      <c r="AI4901" s="13"/>
      <c r="AJ4901" s="13"/>
      <c r="AK4901" s="13"/>
      <c r="AL4901" s="13"/>
      <c r="AM4901" s="13"/>
      <c r="AN4901" s="13"/>
      <c r="AO4901" s="13"/>
      <c r="AP4901" s="13"/>
      <c r="AQ4901" s="13"/>
      <c r="AR4901" s="13"/>
      <c r="AS4901" s="13"/>
    </row>
    <row r="4902" ht="14.25" customHeight="1">
      <c r="A4902" s="13"/>
      <c r="B4902" s="13"/>
      <c r="C4902" s="13"/>
      <c r="D4902" s="13"/>
      <c r="E4902" s="13"/>
      <c r="F4902" s="13"/>
      <c r="G4902" s="13"/>
      <c r="H4902" s="13"/>
      <c r="I4902" s="13"/>
      <c r="J4902" s="13"/>
      <c r="K4902" s="15"/>
      <c r="L4902" s="15"/>
      <c r="M4902" s="16"/>
      <c r="N4902" s="16"/>
      <c r="O4902" s="17"/>
      <c r="P4902" s="17"/>
      <c r="Q4902" s="13"/>
      <c r="R4902" s="13"/>
      <c r="S4902" s="13"/>
      <c r="T4902" s="13"/>
      <c r="U4902" s="13"/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  <c r="AG4902" s="13"/>
      <c r="AH4902" s="13"/>
      <c r="AI4902" s="13"/>
      <c r="AJ4902" s="13"/>
      <c r="AK4902" s="13"/>
      <c r="AL4902" s="13"/>
      <c r="AM4902" s="13"/>
      <c r="AN4902" s="13"/>
      <c r="AO4902" s="13"/>
      <c r="AP4902" s="13"/>
      <c r="AQ4902" s="13"/>
      <c r="AR4902" s="13"/>
      <c r="AS4902" s="13"/>
    </row>
    <row r="4903" ht="14.25" customHeight="1">
      <c r="A4903" s="13"/>
      <c r="B4903" s="13"/>
      <c r="C4903" s="13"/>
      <c r="D4903" s="13"/>
      <c r="E4903" s="13"/>
      <c r="F4903" s="13"/>
      <c r="G4903" s="13"/>
      <c r="H4903" s="13"/>
      <c r="I4903" s="13"/>
      <c r="J4903" s="13"/>
      <c r="K4903" s="15"/>
      <c r="L4903" s="15"/>
      <c r="M4903" s="16"/>
      <c r="N4903" s="16"/>
      <c r="O4903" s="17"/>
      <c r="P4903" s="17"/>
      <c r="Q4903" s="13"/>
      <c r="R4903" s="13"/>
      <c r="S4903" s="13"/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  <c r="AG4903" s="13"/>
      <c r="AH4903" s="13"/>
      <c r="AI4903" s="13"/>
      <c r="AJ4903" s="13"/>
      <c r="AK4903" s="13"/>
      <c r="AL4903" s="13"/>
      <c r="AM4903" s="13"/>
      <c r="AN4903" s="13"/>
      <c r="AO4903" s="13"/>
      <c r="AP4903" s="13"/>
      <c r="AQ4903" s="13"/>
      <c r="AR4903" s="13"/>
      <c r="AS4903" s="13"/>
    </row>
    <row r="4904" ht="14.25" customHeight="1">
      <c r="A4904" s="13"/>
      <c r="B4904" s="13"/>
      <c r="C4904" s="13"/>
      <c r="D4904" s="13"/>
      <c r="E4904" s="13"/>
      <c r="F4904" s="13"/>
      <c r="G4904" s="13"/>
      <c r="H4904" s="13"/>
      <c r="I4904" s="13"/>
      <c r="J4904" s="13"/>
      <c r="K4904" s="15"/>
      <c r="L4904" s="15"/>
      <c r="M4904" s="16"/>
      <c r="N4904" s="16"/>
      <c r="O4904" s="17"/>
      <c r="P4904" s="17"/>
      <c r="Q4904" s="13"/>
      <c r="R4904" s="13"/>
      <c r="S4904" s="13"/>
      <c r="T4904" s="13"/>
      <c r="U4904" s="13"/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  <c r="AG4904" s="13"/>
      <c r="AH4904" s="13"/>
      <c r="AI4904" s="13"/>
      <c r="AJ4904" s="13"/>
      <c r="AK4904" s="13"/>
      <c r="AL4904" s="13"/>
      <c r="AM4904" s="13"/>
      <c r="AN4904" s="13"/>
      <c r="AO4904" s="13"/>
      <c r="AP4904" s="13"/>
      <c r="AQ4904" s="13"/>
      <c r="AR4904" s="13"/>
      <c r="AS4904" s="13"/>
    </row>
    <row r="4905" ht="14.25" customHeight="1">
      <c r="A4905" s="13"/>
      <c r="B4905" s="13"/>
      <c r="C4905" s="13"/>
      <c r="D4905" s="13"/>
      <c r="E4905" s="13"/>
      <c r="F4905" s="13"/>
      <c r="G4905" s="13"/>
      <c r="H4905" s="13"/>
      <c r="I4905" s="13"/>
      <c r="J4905" s="13"/>
      <c r="K4905" s="15"/>
      <c r="L4905" s="15"/>
      <c r="M4905" s="16"/>
      <c r="N4905" s="16"/>
      <c r="O4905" s="17"/>
      <c r="P4905" s="17"/>
      <c r="Q4905" s="13"/>
      <c r="R4905" s="13"/>
      <c r="S4905" s="13"/>
      <c r="T4905" s="13"/>
      <c r="U4905" s="13"/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  <c r="AG4905" s="13"/>
      <c r="AH4905" s="13"/>
      <c r="AI4905" s="13"/>
      <c r="AJ4905" s="13"/>
      <c r="AK4905" s="13"/>
      <c r="AL4905" s="13"/>
      <c r="AM4905" s="13"/>
      <c r="AN4905" s="13"/>
      <c r="AO4905" s="13"/>
      <c r="AP4905" s="13"/>
      <c r="AQ4905" s="13"/>
      <c r="AR4905" s="13"/>
      <c r="AS4905" s="13"/>
    </row>
    <row r="4906" ht="14.25" customHeight="1">
      <c r="A4906" s="13"/>
      <c r="B4906" s="13"/>
      <c r="C4906" s="13"/>
      <c r="D4906" s="13"/>
      <c r="E4906" s="13"/>
      <c r="F4906" s="13"/>
      <c r="G4906" s="13"/>
      <c r="H4906" s="13"/>
      <c r="I4906" s="13"/>
      <c r="J4906" s="13"/>
      <c r="K4906" s="15"/>
      <c r="L4906" s="15"/>
      <c r="M4906" s="16"/>
      <c r="N4906" s="16"/>
      <c r="O4906" s="17"/>
      <c r="P4906" s="17"/>
      <c r="Q4906" s="13"/>
      <c r="R4906" s="13"/>
      <c r="S4906" s="13"/>
      <c r="T4906" s="13"/>
      <c r="U4906" s="13"/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  <c r="AG4906" s="13"/>
      <c r="AH4906" s="13"/>
      <c r="AI4906" s="13"/>
      <c r="AJ4906" s="13"/>
      <c r="AK4906" s="13"/>
      <c r="AL4906" s="13"/>
      <c r="AM4906" s="13"/>
      <c r="AN4906" s="13"/>
      <c r="AO4906" s="13"/>
      <c r="AP4906" s="13"/>
      <c r="AQ4906" s="13"/>
      <c r="AR4906" s="13"/>
      <c r="AS4906" s="13"/>
    </row>
    <row r="4907" ht="14.25" customHeight="1">
      <c r="A4907" s="13"/>
      <c r="B4907" s="13"/>
      <c r="C4907" s="13"/>
      <c r="D4907" s="13"/>
      <c r="E4907" s="13"/>
      <c r="F4907" s="13"/>
      <c r="G4907" s="13"/>
      <c r="H4907" s="13"/>
      <c r="I4907" s="13"/>
      <c r="J4907" s="13"/>
      <c r="K4907" s="15"/>
      <c r="L4907" s="15"/>
      <c r="M4907" s="16"/>
      <c r="N4907" s="16"/>
      <c r="O4907" s="17"/>
      <c r="P4907" s="17"/>
      <c r="Q4907" s="13"/>
      <c r="R4907" s="13"/>
      <c r="S4907" s="13"/>
      <c r="T4907" s="13"/>
      <c r="U4907" s="13"/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  <c r="AG4907" s="13"/>
      <c r="AH4907" s="13"/>
      <c r="AI4907" s="13"/>
      <c r="AJ4907" s="13"/>
      <c r="AK4907" s="13"/>
      <c r="AL4907" s="13"/>
      <c r="AM4907" s="13"/>
      <c r="AN4907" s="13"/>
      <c r="AO4907" s="13"/>
      <c r="AP4907" s="13"/>
      <c r="AQ4907" s="13"/>
      <c r="AR4907" s="13"/>
      <c r="AS4907" s="13"/>
    </row>
    <row r="4908" ht="14.25" customHeight="1">
      <c r="A4908" s="13"/>
      <c r="B4908" s="13"/>
      <c r="C4908" s="13"/>
      <c r="D4908" s="13"/>
      <c r="E4908" s="13"/>
      <c r="F4908" s="13"/>
      <c r="G4908" s="13"/>
      <c r="H4908" s="13"/>
      <c r="I4908" s="13"/>
      <c r="J4908" s="13"/>
      <c r="K4908" s="15"/>
      <c r="L4908" s="15"/>
      <c r="M4908" s="16"/>
      <c r="N4908" s="16"/>
      <c r="O4908" s="17"/>
      <c r="P4908" s="17"/>
      <c r="Q4908" s="13"/>
      <c r="R4908" s="13"/>
      <c r="S4908" s="13"/>
      <c r="T4908" s="13"/>
      <c r="U4908" s="13"/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  <c r="AG4908" s="13"/>
      <c r="AH4908" s="13"/>
      <c r="AI4908" s="13"/>
      <c r="AJ4908" s="13"/>
      <c r="AK4908" s="13"/>
      <c r="AL4908" s="13"/>
      <c r="AM4908" s="13"/>
      <c r="AN4908" s="13"/>
      <c r="AO4908" s="13"/>
      <c r="AP4908" s="13"/>
      <c r="AQ4908" s="13"/>
      <c r="AR4908" s="13"/>
      <c r="AS4908" s="13"/>
    </row>
    <row r="4909" ht="14.25" customHeight="1">
      <c r="A4909" s="13"/>
      <c r="B4909" s="13"/>
      <c r="C4909" s="13"/>
      <c r="D4909" s="13"/>
      <c r="E4909" s="13"/>
      <c r="F4909" s="13"/>
      <c r="G4909" s="13"/>
      <c r="H4909" s="13"/>
      <c r="I4909" s="13"/>
      <c r="J4909" s="13"/>
      <c r="K4909" s="15"/>
      <c r="L4909" s="15"/>
      <c r="M4909" s="16"/>
      <c r="N4909" s="16"/>
      <c r="O4909" s="17"/>
      <c r="P4909" s="17"/>
      <c r="Q4909" s="13"/>
      <c r="R4909" s="13"/>
      <c r="S4909" s="13"/>
      <c r="T4909" s="13"/>
      <c r="U4909" s="13"/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  <c r="AG4909" s="13"/>
      <c r="AH4909" s="13"/>
      <c r="AI4909" s="13"/>
      <c r="AJ4909" s="13"/>
      <c r="AK4909" s="13"/>
      <c r="AL4909" s="13"/>
      <c r="AM4909" s="13"/>
      <c r="AN4909" s="13"/>
      <c r="AO4909" s="13"/>
      <c r="AP4909" s="13"/>
      <c r="AQ4909" s="13"/>
      <c r="AR4909" s="13"/>
      <c r="AS4909" s="13"/>
    </row>
    <row r="4910" ht="14.25" customHeight="1">
      <c r="A4910" s="13"/>
      <c r="B4910" s="13"/>
      <c r="C4910" s="13"/>
      <c r="D4910" s="13"/>
      <c r="E4910" s="13"/>
      <c r="F4910" s="13"/>
      <c r="G4910" s="13"/>
      <c r="H4910" s="13"/>
      <c r="I4910" s="13"/>
      <c r="J4910" s="13"/>
      <c r="K4910" s="15"/>
      <c r="L4910" s="15"/>
      <c r="M4910" s="16"/>
      <c r="N4910" s="16"/>
      <c r="O4910" s="17"/>
      <c r="P4910" s="17"/>
      <c r="Q4910" s="13"/>
      <c r="R4910" s="13"/>
      <c r="S4910" s="13"/>
      <c r="T4910" s="13"/>
      <c r="U4910" s="13"/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  <c r="AG4910" s="13"/>
      <c r="AH4910" s="13"/>
      <c r="AI4910" s="13"/>
      <c r="AJ4910" s="13"/>
      <c r="AK4910" s="13"/>
      <c r="AL4910" s="13"/>
      <c r="AM4910" s="13"/>
      <c r="AN4910" s="13"/>
      <c r="AO4910" s="13"/>
      <c r="AP4910" s="13"/>
      <c r="AQ4910" s="13"/>
      <c r="AR4910" s="13"/>
      <c r="AS4910" s="13"/>
    </row>
    <row r="4911" ht="14.25" customHeight="1">
      <c r="A4911" s="13"/>
      <c r="B4911" s="13"/>
      <c r="C4911" s="13"/>
      <c r="D4911" s="13"/>
      <c r="E4911" s="13"/>
      <c r="F4911" s="13"/>
      <c r="G4911" s="13"/>
      <c r="H4911" s="13"/>
      <c r="I4911" s="13"/>
      <c r="J4911" s="13"/>
      <c r="K4911" s="15"/>
      <c r="L4911" s="15"/>
      <c r="M4911" s="16"/>
      <c r="N4911" s="16"/>
      <c r="O4911" s="17"/>
      <c r="P4911" s="17"/>
      <c r="Q4911" s="13"/>
      <c r="R4911" s="13"/>
      <c r="S4911" s="13"/>
      <c r="T4911" s="13"/>
      <c r="U4911" s="13"/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  <c r="AG4911" s="13"/>
      <c r="AH4911" s="13"/>
      <c r="AI4911" s="13"/>
      <c r="AJ4911" s="13"/>
      <c r="AK4911" s="13"/>
      <c r="AL4911" s="13"/>
      <c r="AM4911" s="13"/>
      <c r="AN4911" s="13"/>
      <c r="AO4911" s="13"/>
      <c r="AP4911" s="13"/>
      <c r="AQ4911" s="13"/>
      <c r="AR4911" s="13"/>
      <c r="AS4911" s="13"/>
    </row>
    <row r="4912" ht="14.25" customHeight="1">
      <c r="A4912" s="13"/>
      <c r="B4912" s="13"/>
      <c r="C4912" s="13"/>
      <c r="D4912" s="13"/>
      <c r="E4912" s="13"/>
      <c r="F4912" s="13"/>
      <c r="G4912" s="13"/>
      <c r="H4912" s="13"/>
      <c r="I4912" s="13"/>
      <c r="J4912" s="13"/>
      <c r="K4912" s="15"/>
      <c r="L4912" s="15"/>
      <c r="M4912" s="16"/>
      <c r="N4912" s="16"/>
      <c r="O4912" s="17"/>
      <c r="P4912" s="17"/>
      <c r="Q4912" s="13"/>
      <c r="R4912" s="13"/>
      <c r="S4912" s="13"/>
      <c r="T4912" s="13"/>
      <c r="U4912" s="13"/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  <c r="AG4912" s="13"/>
      <c r="AH4912" s="13"/>
      <c r="AI4912" s="13"/>
      <c r="AJ4912" s="13"/>
      <c r="AK4912" s="13"/>
      <c r="AL4912" s="13"/>
      <c r="AM4912" s="13"/>
      <c r="AN4912" s="13"/>
      <c r="AO4912" s="13"/>
      <c r="AP4912" s="13"/>
      <c r="AQ4912" s="13"/>
      <c r="AR4912" s="13"/>
      <c r="AS4912" s="13"/>
    </row>
    <row r="4913" ht="14.25" customHeight="1">
      <c r="A4913" s="13"/>
      <c r="B4913" s="13"/>
      <c r="C4913" s="13"/>
      <c r="D4913" s="13"/>
      <c r="E4913" s="13"/>
      <c r="F4913" s="13"/>
      <c r="G4913" s="13"/>
      <c r="H4913" s="13"/>
      <c r="I4913" s="13"/>
      <c r="J4913" s="13"/>
      <c r="K4913" s="15"/>
      <c r="L4913" s="15"/>
      <c r="M4913" s="16"/>
      <c r="N4913" s="16"/>
      <c r="O4913" s="17"/>
      <c r="P4913" s="17"/>
      <c r="Q4913" s="13"/>
      <c r="R4913" s="13"/>
      <c r="S4913" s="13"/>
      <c r="T4913" s="13"/>
      <c r="U4913" s="13"/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  <c r="AG4913" s="13"/>
      <c r="AH4913" s="13"/>
      <c r="AI4913" s="13"/>
      <c r="AJ4913" s="13"/>
      <c r="AK4913" s="13"/>
      <c r="AL4913" s="13"/>
      <c r="AM4913" s="13"/>
      <c r="AN4913" s="13"/>
      <c r="AO4913" s="13"/>
      <c r="AP4913" s="13"/>
      <c r="AQ4913" s="13"/>
      <c r="AR4913" s="13"/>
      <c r="AS4913" s="13"/>
    </row>
    <row r="4914" ht="14.25" customHeight="1">
      <c r="A4914" s="13"/>
      <c r="B4914" s="13"/>
      <c r="C4914" s="13"/>
      <c r="D4914" s="13"/>
      <c r="E4914" s="13"/>
      <c r="F4914" s="13"/>
      <c r="G4914" s="13"/>
      <c r="H4914" s="13"/>
      <c r="I4914" s="13"/>
      <c r="J4914" s="13"/>
      <c r="K4914" s="15"/>
      <c r="L4914" s="15"/>
      <c r="M4914" s="16"/>
      <c r="N4914" s="16"/>
      <c r="O4914" s="17"/>
      <c r="P4914" s="17"/>
      <c r="Q4914" s="13"/>
      <c r="R4914" s="13"/>
      <c r="S4914" s="13"/>
      <c r="T4914" s="13"/>
      <c r="U4914" s="13"/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  <c r="AG4914" s="13"/>
      <c r="AH4914" s="13"/>
      <c r="AI4914" s="13"/>
      <c r="AJ4914" s="13"/>
      <c r="AK4914" s="13"/>
      <c r="AL4914" s="13"/>
      <c r="AM4914" s="13"/>
      <c r="AN4914" s="13"/>
      <c r="AO4914" s="13"/>
      <c r="AP4914" s="13"/>
      <c r="AQ4914" s="13"/>
      <c r="AR4914" s="13"/>
      <c r="AS4914" s="13"/>
    </row>
    <row r="4915" ht="14.25" customHeight="1">
      <c r="A4915" s="13"/>
      <c r="B4915" s="13"/>
      <c r="C4915" s="13"/>
      <c r="D4915" s="13"/>
      <c r="E4915" s="13"/>
      <c r="F4915" s="13"/>
      <c r="G4915" s="13"/>
      <c r="H4915" s="13"/>
      <c r="I4915" s="13"/>
      <c r="J4915" s="13"/>
      <c r="K4915" s="15"/>
      <c r="L4915" s="15"/>
      <c r="M4915" s="16"/>
      <c r="N4915" s="16"/>
      <c r="O4915" s="17"/>
      <c r="P4915" s="17"/>
      <c r="Q4915" s="13"/>
      <c r="R4915" s="13"/>
      <c r="S4915" s="13"/>
      <c r="T4915" s="13"/>
      <c r="U4915" s="13"/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  <c r="AG4915" s="13"/>
      <c r="AH4915" s="13"/>
      <c r="AI4915" s="13"/>
      <c r="AJ4915" s="13"/>
      <c r="AK4915" s="13"/>
      <c r="AL4915" s="13"/>
      <c r="AM4915" s="13"/>
      <c r="AN4915" s="13"/>
      <c r="AO4915" s="13"/>
      <c r="AP4915" s="13"/>
      <c r="AQ4915" s="13"/>
      <c r="AR4915" s="13"/>
      <c r="AS4915" s="13"/>
    </row>
    <row r="4916" ht="14.25" customHeight="1">
      <c r="A4916" s="13"/>
      <c r="B4916" s="13"/>
      <c r="C4916" s="13"/>
      <c r="D4916" s="13"/>
      <c r="E4916" s="13"/>
      <c r="F4916" s="13"/>
      <c r="G4916" s="13"/>
      <c r="H4916" s="13"/>
      <c r="I4916" s="13"/>
      <c r="J4916" s="13"/>
      <c r="K4916" s="15"/>
      <c r="L4916" s="15"/>
      <c r="M4916" s="16"/>
      <c r="N4916" s="16"/>
      <c r="O4916" s="17"/>
      <c r="P4916" s="17"/>
      <c r="Q4916" s="13"/>
      <c r="R4916" s="13"/>
      <c r="S4916" s="13"/>
      <c r="T4916" s="13"/>
      <c r="U4916" s="13"/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  <c r="AG4916" s="13"/>
      <c r="AH4916" s="13"/>
      <c r="AI4916" s="13"/>
      <c r="AJ4916" s="13"/>
      <c r="AK4916" s="13"/>
      <c r="AL4916" s="13"/>
      <c r="AM4916" s="13"/>
      <c r="AN4916" s="13"/>
      <c r="AO4916" s="13"/>
      <c r="AP4916" s="13"/>
      <c r="AQ4916" s="13"/>
      <c r="AR4916" s="13"/>
      <c r="AS4916" s="13"/>
    </row>
    <row r="4917" ht="14.25" customHeight="1">
      <c r="A4917" s="13"/>
      <c r="B4917" s="13"/>
      <c r="C4917" s="13"/>
      <c r="D4917" s="13"/>
      <c r="E4917" s="13"/>
      <c r="F4917" s="13"/>
      <c r="G4917" s="13"/>
      <c r="H4917" s="13"/>
      <c r="I4917" s="13"/>
      <c r="J4917" s="13"/>
      <c r="K4917" s="15"/>
      <c r="L4917" s="15"/>
      <c r="M4917" s="16"/>
      <c r="N4917" s="16"/>
      <c r="O4917" s="17"/>
      <c r="P4917" s="17"/>
      <c r="Q4917" s="13"/>
      <c r="R4917" s="13"/>
      <c r="S4917" s="13"/>
      <c r="T4917" s="13"/>
      <c r="U4917" s="13"/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  <c r="AG4917" s="13"/>
      <c r="AH4917" s="13"/>
      <c r="AI4917" s="13"/>
      <c r="AJ4917" s="13"/>
      <c r="AK4917" s="13"/>
      <c r="AL4917" s="13"/>
      <c r="AM4917" s="13"/>
      <c r="AN4917" s="13"/>
      <c r="AO4917" s="13"/>
      <c r="AP4917" s="13"/>
      <c r="AQ4917" s="13"/>
      <c r="AR4917" s="13"/>
      <c r="AS4917" s="13"/>
    </row>
    <row r="4918" ht="14.25" customHeight="1">
      <c r="A4918" s="13"/>
      <c r="B4918" s="13"/>
      <c r="C4918" s="13"/>
      <c r="D4918" s="13"/>
      <c r="E4918" s="13"/>
      <c r="F4918" s="13"/>
      <c r="G4918" s="13"/>
      <c r="H4918" s="13"/>
      <c r="I4918" s="13"/>
      <c r="J4918" s="13"/>
      <c r="K4918" s="15"/>
      <c r="L4918" s="15"/>
      <c r="M4918" s="16"/>
      <c r="N4918" s="16"/>
      <c r="O4918" s="17"/>
      <c r="P4918" s="17"/>
      <c r="Q4918" s="13"/>
      <c r="R4918" s="13"/>
      <c r="S4918" s="13"/>
      <c r="T4918" s="13"/>
      <c r="U4918" s="13"/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  <c r="AG4918" s="13"/>
      <c r="AH4918" s="13"/>
      <c r="AI4918" s="13"/>
      <c r="AJ4918" s="13"/>
      <c r="AK4918" s="13"/>
      <c r="AL4918" s="13"/>
      <c r="AM4918" s="13"/>
      <c r="AN4918" s="13"/>
      <c r="AO4918" s="13"/>
      <c r="AP4918" s="13"/>
      <c r="AQ4918" s="13"/>
      <c r="AR4918" s="13"/>
      <c r="AS4918" s="13"/>
    </row>
    <row r="4919" ht="14.25" customHeight="1">
      <c r="A4919" s="13"/>
      <c r="B4919" s="13"/>
      <c r="C4919" s="13"/>
      <c r="D4919" s="13"/>
      <c r="E4919" s="13"/>
      <c r="F4919" s="13"/>
      <c r="G4919" s="13"/>
      <c r="H4919" s="13"/>
      <c r="I4919" s="13"/>
      <c r="J4919" s="13"/>
      <c r="K4919" s="15"/>
      <c r="L4919" s="15"/>
      <c r="M4919" s="16"/>
      <c r="N4919" s="16"/>
      <c r="O4919" s="17"/>
      <c r="P4919" s="17"/>
      <c r="Q4919" s="13"/>
      <c r="R4919" s="13"/>
      <c r="S4919" s="13"/>
      <c r="T4919" s="13"/>
      <c r="U4919" s="13"/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  <c r="AG4919" s="13"/>
      <c r="AH4919" s="13"/>
      <c r="AI4919" s="13"/>
      <c r="AJ4919" s="13"/>
      <c r="AK4919" s="13"/>
      <c r="AL4919" s="13"/>
      <c r="AM4919" s="13"/>
      <c r="AN4919" s="13"/>
      <c r="AO4919" s="13"/>
      <c r="AP4919" s="13"/>
      <c r="AQ4919" s="13"/>
      <c r="AR4919" s="13"/>
      <c r="AS4919" s="13"/>
    </row>
    <row r="4920" ht="14.25" customHeight="1">
      <c r="A4920" s="13"/>
      <c r="B4920" s="13"/>
      <c r="C4920" s="13"/>
      <c r="D4920" s="13"/>
      <c r="E4920" s="13"/>
      <c r="F4920" s="13"/>
      <c r="G4920" s="13"/>
      <c r="H4920" s="13"/>
      <c r="I4920" s="13"/>
      <c r="J4920" s="13"/>
      <c r="K4920" s="15"/>
      <c r="L4920" s="15"/>
      <c r="M4920" s="16"/>
      <c r="N4920" s="16"/>
      <c r="O4920" s="17"/>
      <c r="P4920" s="17"/>
      <c r="Q4920" s="13"/>
      <c r="R4920" s="13"/>
      <c r="S4920" s="13"/>
      <c r="T4920" s="13"/>
      <c r="U4920" s="13"/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  <c r="AG4920" s="13"/>
      <c r="AH4920" s="13"/>
      <c r="AI4920" s="13"/>
      <c r="AJ4920" s="13"/>
      <c r="AK4920" s="13"/>
      <c r="AL4920" s="13"/>
      <c r="AM4920" s="13"/>
      <c r="AN4920" s="13"/>
      <c r="AO4920" s="13"/>
      <c r="AP4920" s="13"/>
      <c r="AQ4920" s="13"/>
      <c r="AR4920" s="13"/>
      <c r="AS4920" s="13"/>
    </row>
    <row r="4921" ht="14.25" customHeight="1">
      <c r="A4921" s="13"/>
      <c r="B4921" s="13"/>
      <c r="C4921" s="13"/>
      <c r="D4921" s="13"/>
      <c r="E4921" s="13"/>
      <c r="F4921" s="13"/>
      <c r="G4921" s="13"/>
      <c r="H4921" s="13"/>
      <c r="I4921" s="13"/>
      <c r="J4921" s="13"/>
      <c r="K4921" s="15"/>
      <c r="L4921" s="15"/>
      <c r="M4921" s="16"/>
      <c r="N4921" s="16"/>
      <c r="O4921" s="17"/>
      <c r="P4921" s="17"/>
      <c r="Q4921" s="13"/>
      <c r="R4921" s="13"/>
      <c r="S4921" s="13"/>
      <c r="T4921" s="13"/>
      <c r="U4921" s="13"/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  <c r="AG4921" s="13"/>
      <c r="AH4921" s="13"/>
      <c r="AI4921" s="13"/>
      <c r="AJ4921" s="13"/>
      <c r="AK4921" s="13"/>
      <c r="AL4921" s="13"/>
      <c r="AM4921" s="13"/>
      <c r="AN4921" s="13"/>
      <c r="AO4921" s="13"/>
      <c r="AP4921" s="13"/>
      <c r="AQ4921" s="13"/>
      <c r="AR4921" s="13"/>
      <c r="AS4921" s="13"/>
    </row>
    <row r="4922" ht="14.25" customHeight="1">
      <c r="A4922" s="13"/>
      <c r="B4922" s="13"/>
      <c r="C4922" s="13"/>
      <c r="D4922" s="13"/>
      <c r="E4922" s="13"/>
      <c r="F4922" s="13"/>
      <c r="G4922" s="13"/>
      <c r="H4922" s="13"/>
      <c r="I4922" s="13"/>
      <c r="J4922" s="13"/>
      <c r="K4922" s="15"/>
      <c r="L4922" s="15"/>
      <c r="M4922" s="16"/>
      <c r="N4922" s="16"/>
      <c r="O4922" s="17"/>
      <c r="P4922" s="17"/>
      <c r="Q4922" s="13"/>
      <c r="R4922" s="13"/>
      <c r="S4922" s="13"/>
      <c r="T4922" s="13"/>
      <c r="U4922" s="13"/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  <c r="AG4922" s="13"/>
      <c r="AH4922" s="13"/>
      <c r="AI4922" s="13"/>
      <c r="AJ4922" s="13"/>
      <c r="AK4922" s="13"/>
      <c r="AL4922" s="13"/>
      <c r="AM4922" s="13"/>
      <c r="AN4922" s="13"/>
      <c r="AO4922" s="13"/>
      <c r="AP4922" s="13"/>
      <c r="AQ4922" s="13"/>
      <c r="AR4922" s="13"/>
      <c r="AS4922" s="13"/>
    </row>
    <row r="4923" ht="14.25" customHeight="1">
      <c r="A4923" s="13"/>
      <c r="B4923" s="13"/>
      <c r="C4923" s="13"/>
      <c r="D4923" s="13"/>
      <c r="E4923" s="13"/>
      <c r="F4923" s="13"/>
      <c r="G4923" s="13"/>
      <c r="H4923" s="13"/>
      <c r="I4923" s="13"/>
      <c r="J4923" s="13"/>
      <c r="K4923" s="15"/>
      <c r="L4923" s="15"/>
      <c r="M4923" s="16"/>
      <c r="N4923" s="16"/>
      <c r="O4923" s="17"/>
      <c r="P4923" s="17"/>
      <c r="Q4923" s="13"/>
      <c r="R4923" s="13"/>
      <c r="S4923" s="13"/>
      <c r="T4923" s="13"/>
      <c r="U4923" s="13"/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  <c r="AG4923" s="13"/>
      <c r="AH4923" s="13"/>
      <c r="AI4923" s="13"/>
      <c r="AJ4923" s="13"/>
      <c r="AK4923" s="13"/>
      <c r="AL4923" s="13"/>
      <c r="AM4923" s="13"/>
      <c r="AN4923" s="13"/>
      <c r="AO4923" s="13"/>
      <c r="AP4923" s="13"/>
      <c r="AQ4923" s="13"/>
      <c r="AR4923" s="13"/>
      <c r="AS4923" s="13"/>
    </row>
    <row r="4924" ht="14.25" customHeight="1">
      <c r="A4924" s="13"/>
      <c r="B4924" s="13"/>
      <c r="C4924" s="13"/>
      <c r="D4924" s="13"/>
      <c r="E4924" s="13"/>
      <c r="F4924" s="13"/>
      <c r="G4924" s="13"/>
      <c r="H4924" s="13"/>
      <c r="I4924" s="13"/>
      <c r="J4924" s="13"/>
      <c r="K4924" s="15"/>
      <c r="L4924" s="15"/>
      <c r="M4924" s="16"/>
      <c r="N4924" s="16"/>
      <c r="O4924" s="17"/>
      <c r="P4924" s="17"/>
      <c r="Q4924" s="13"/>
      <c r="R4924" s="13"/>
      <c r="S4924" s="13"/>
      <c r="T4924" s="13"/>
      <c r="U4924" s="13"/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  <c r="AG4924" s="13"/>
      <c r="AH4924" s="13"/>
      <c r="AI4924" s="13"/>
      <c r="AJ4924" s="13"/>
      <c r="AK4924" s="13"/>
      <c r="AL4924" s="13"/>
      <c r="AM4924" s="13"/>
      <c r="AN4924" s="13"/>
      <c r="AO4924" s="13"/>
      <c r="AP4924" s="13"/>
      <c r="AQ4924" s="13"/>
      <c r="AR4924" s="13"/>
      <c r="AS4924" s="13"/>
    </row>
    <row r="4925" ht="14.25" customHeight="1">
      <c r="A4925" s="13"/>
      <c r="B4925" s="13"/>
      <c r="C4925" s="13"/>
      <c r="D4925" s="13"/>
      <c r="E4925" s="13"/>
      <c r="F4925" s="13"/>
      <c r="G4925" s="13"/>
      <c r="H4925" s="13"/>
      <c r="I4925" s="13"/>
      <c r="J4925" s="13"/>
      <c r="K4925" s="15"/>
      <c r="L4925" s="15"/>
      <c r="M4925" s="16"/>
      <c r="N4925" s="16"/>
      <c r="O4925" s="17"/>
      <c r="P4925" s="17"/>
      <c r="Q4925" s="13"/>
      <c r="R4925" s="13"/>
      <c r="S4925" s="13"/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F4925" s="13"/>
      <c r="AG4925" s="13"/>
      <c r="AH4925" s="13"/>
      <c r="AI4925" s="13"/>
      <c r="AJ4925" s="13"/>
      <c r="AK4925" s="13"/>
      <c r="AL4925" s="13"/>
      <c r="AM4925" s="13"/>
      <c r="AN4925" s="13"/>
      <c r="AO4925" s="13"/>
      <c r="AP4925" s="13"/>
      <c r="AQ4925" s="13"/>
      <c r="AR4925" s="13"/>
      <c r="AS4925" s="13"/>
    </row>
    <row r="4926" ht="14.25" customHeight="1">
      <c r="A4926" s="13"/>
      <c r="B4926" s="13"/>
      <c r="C4926" s="13"/>
      <c r="D4926" s="13"/>
      <c r="E4926" s="13"/>
      <c r="F4926" s="13"/>
      <c r="G4926" s="13"/>
      <c r="H4926" s="13"/>
      <c r="I4926" s="13"/>
      <c r="J4926" s="13"/>
      <c r="K4926" s="15"/>
      <c r="L4926" s="15"/>
      <c r="M4926" s="16"/>
      <c r="N4926" s="16"/>
      <c r="O4926" s="17"/>
      <c r="P4926" s="17"/>
      <c r="Q4926" s="13"/>
      <c r="R4926" s="13"/>
      <c r="S4926" s="13"/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  <c r="AG4926" s="13"/>
      <c r="AH4926" s="13"/>
      <c r="AI4926" s="13"/>
      <c r="AJ4926" s="13"/>
      <c r="AK4926" s="13"/>
      <c r="AL4926" s="13"/>
      <c r="AM4926" s="13"/>
      <c r="AN4926" s="13"/>
      <c r="AO4926" s="13"/>
      <c r="AP4926" s="13"/>
      <c r="AQ4926" s="13"/>
      <c r="AR4926" s="13"/>
      <c r="AS4926" s="13"/>
    </row>
    <row r="4927" ht="14.25" customHeight="1">
      <c r="A4927" s="13"/>
      <c r="B4927" s="13"/>
      <c r="C4927" s="13"/>
      <c r="D4927" s="13"/>
      <c r="E4927" s="13"/>
      <c r="F4927" s="13"/>
      <c r="G4927" s="13"/>
      <c r="H4927" s="13"/>
      <c r="I4927" s="13"/>
      <c r="J4927" s="13"/>
      <c r="K4927" s="15"/>
      <c r="L4927" s="15"/>
      <c r="M4927" s="16"/>
      <c r="N4927" s="16"/>
      <c r="O4927" s="17"/>
      <c r="P4927" s="17"/>
      <c r="Q4927" s="13"/>
      <c r="R4927" s="13"/>
      <c r="S4927" s="13"/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  <c r="AG4927" s="13"/>
      <c r="AH4927" s="13"/>
      <c r="AI4927" s="13"/>
      <c r="AJ4927" s="13"/>
      <c r="AK4927" s="13"/>
      <c r="AL4927" s="13"/>
      <c r="AM4927" s="13"/>
      <c r="AN4927" s="13"/>
      <c r="AO4927" s="13"/>
      <c r="AP4927" s="13"/>
      <c r="AQ4927" s="13"/>
      <c r="AR4927" s="13"/>
      <c r="AS4927" s="13"/>
    </row>
    <row r="4928" ht="14.25" customHeight="1">
      <c r="A4928" s="13"/>
      <c r="B4928" s="13"/>
      <c r="C4928" s="13"/>
      <c r="D4928" s="13"/>
      <c r="E4928" s="13"/>
      <c r="F4928" s="13"/>
      <c r="G4928" s="13"/>
      <c r="H4928" s="13"/>
      <c r="I4928" s="13"/>
      <c r="J4928" s="13"/>
      <c r="K4928" s="15"/>
      <c r="L4928" s="15"/>
      <c r="M4928" s="16"/>
      <c r="N4928" s="16"/>
      <c r="O4928" s="17"/>
      <c r="P4928" s="17"/>
      <c r="Q4928" s="13"/>
      <c r="R4928" s="13"/>
      <c r="S4928" s="13"/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  <c r="AG4928" s="13"/>
      <c r="AH4928" s="13"/>
      <c r="AI4928" s="13"/>
      <c r="AJ4928" s="13"/>
      <c r="AK4928" s="13"/>
      <c r="AL4928" s="13"/>
      <c r="AM4928" s="13"/>
      <c r="AN4928" s="13"/>
      <c r="AO4928" s="13"/>
      <c r="AP4928" s="13"/>
      <c r="AQ4928" s="13"/>
      <c r="AR4928" s="13"/>
      <c r="AS4928" s="13"/>
    </row>
    <row r="4929" ht="14.25" customHeight="1">
      <c r="A4929" s="13"/>
      <c r="B4929" s="13"/>
      <c r="C4929" s="13"/>
      <c r="D4929" s="13"/>
      <c r="E4929" s="13"/>
      <c r="F4929" s="13"/>
      <c r="G4929" s="13"/>
      <c r="H4929" s="13"/>
      <c r="I4929" s="13"/>
      <c r="J4929" s="13"/>
      <c r="K4929" s="15"/>
      <c r="L4929" s="15"/>
      <c r="M4929" s="16"/>
      <c r="N4929" s="16"/>
      <c r="O4929" s="17"/>
      <c r="P4929" s="17"/>
      <c r="Q4929" s="13"/>
      <c r="R4929" s="13"/>
      <c r="S4929" s="13"/>
      <c r="T4929" s="13"/>
      <c r="U4929" s="13"/>
      <c r="V4929" s="13"/>
      <c r="W4929" s="13"/>
      <c r="X4929" s="13"/>
      <c r="Y4929" s="13"/>
      <c r="Z4929" s="13"/>
      <c r="AA4929" s="13"/>
      <c r="AB4929" s="13"/>
      <c r="AC4929" s="13"/>
      <c r="AD4929" s="13"/>
      <c r="AE4929" s="13"/>
      <c r="AF4929" s="13"/>
      <c r="AG4929" s="13"/>
      <c r="AH4929" s="13"/>
      <c r="AI4929" s="13"/>
      <c r="AJ4929" s="13"/>
      <c r="AK4929" s="13"/>
      <c r="AL4929" s="13"/>
      <c r="AM4929" s="13"/>
      <c r="AN4929" s="13"/>
      <c r="AO4929" s="13"/>
      <c r="AP4929" s="13"/>
      <c r="AQ4929" s="13"/>
      <c r="AR4929" s="13"/>
      <c r="AS4929" s="13"/>
    </row>
    <row r="4930" ht="14.25" customHeight="1">
      <c r="A4930" s="13"/>
      <c r="B4930" s="13"/>
      <c r="C4930" s="13"/>
      <c r="D4930" s="13"/>
      <c r="E4930" s="13"/>
      <c r="F4930" s="13"/>
      <c r="G4930" s="13"/>
      <c r="H4930" s="13"/>
      <c r="I4930" s="13"/>
      <c r="J4930" s="13"/>
      <c r="K4930" s="15"/>
      <c r="L4930" s="15"/>
      <c r="M4930" s="16"/>
      <c r="N4930" s="16"/>
      <c r="O4930" s="17"/>
      <c r="P4930" s="17"/>
      <c r="Q4930" s="13"/>
      <c r="R4930" s="13"/>
      <c r="S4930" s="13"/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  <c r="AG4930" s="13"/>
      <c r="AH4930" s="13"/>
      <c r="AI4930" s="13"/>
      <c r="AJ4930" s="13"/>
      <c r="AK4930" s="13"/>
      <c r="AL4930" s="13"/>
      <c r="AM4930" s="13"/>
      <c r="AN4930" s="13"/>
      <c r="AO4930" s="13"/>
      <c r="AP4930" s="13"/>
      <c r="AQ4930" s="13"/>
      <c r="AR4930" s="13"/>
      <c r="AS4930" s="13"/>
    </row>
    <row r="4931" ht="14.25" customHeight="1">
      <c r="A4931" s="13"/>
      <c r="B4931" s="13"/>
      <c r="C4931" s="13"/>
      <c r="D4931" s="13"/>
      <c r="E4931" s="13"/>
      <c r="F4931" s="13"/>
      <c r="G4931" s="13"/>
      <c r="H4931" s="13"/>
      <c r="I4931" s="13"/>
      <c r="J4931" s="13"/>
      <c r="K4931" s="15"/>
      <c r="L4931" s="15"/>
      <c r="M4931" s="16"/>
      <c r="N4931" s="16"/>
      <c r="O4931" s="17"/>
      <c r="P4931" s="17"/>
      <c r="Q4931" s="13"/>
      <c r="R4931" s="13"/>
      <c r="S4931" s="13"/>
      <c r="T4931" s="13"/>
      <c r="U4931" s="13"/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  <c r="AG4931" s="13"/>
      <c r="AH4931" s="13"/>
      <c r="AI4931" s="13"/>
      <c r="AJ4931" s="13"/>
      <c r="AK4931" s="13"/>
      <c r="AL4931" s="13"/>
      <c r="AM4931" s="13"/>
      <c r="AN4931" s="13"/>
      <c r="AO4931" s="13"/>
      <c r="AP4931" s="13"/>
      <c r="AQ4931" s="13"/>
      <c r="AR4931" s="13"/>
      <c r="AS4931" s="13"/>
    </row>
    <row r="4932" ht="14.25" customHeight="1">
      <c r="A4932" s="13"/>
      <c r="B4932" s="13"/>
      <c r="C4932" s="13"/>
      <c r="D4932" s="13"/>
      <c r="E4932" s="13"/>
      <c r="F4932" s="13"/>
      <c r="G4932" s="13"/>
      <c r="H4932" s="13"/>
      <c r="I4932" s="13"/>
      <c r="J4932" s="13"/>
      <c r="K4932" s="15"/>
      <c r="L4932" s="15"/>
      <c r="M4932" s="16"/>
      <c r="N4932" s="16"/>
      <c r="O4932" s="17"/>
      <c r="P4932" s="17"/>
      <c r="Q4932" s="13"/>
      <c r="R4932" s="13"/>
      <c r="S4932" s="13"/>
      <c r="T4932" s="13"/>
      <c r="U4932" s="13"/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  <c r="AG4932" s="13"/>
      <c r="AH4932" s="13"/>
      <c r="AI4932" s="13"/>
      <c r="AJ4932" s="13"/>
      <c r="AK4932" s="13"/>
      <c r="AL4932" s="13"/>
      <c r="AM4932" s="13"/>
      <c r="AN4932" s="13"/>
      <c r="AO4932" s="13"/>
      <c r="AP4932" s="13"/>
      <c r="AQ4932" s="13"/>
      <c r="AR4932" s="13"/>
      <c r="AS4932" s="13"/>
    </row>
    <row r="4933" ht="14.25" customHeight="1">
      <c r="A4933" s="13"/>
      <c r="B4933" s="13"/>
      <c r="C4933" s="13"/>
      <c r="D4933" s="13"/>
      <c r="E4933" s="13"/>
      <c r="F4933" s="13"/>
      <c r="G4933" s="13"/>
      <c r="H4933" s="13"/>
      <c r="I4933" s="13"/>
      <c r="J4933" s="13"/>
      <c r="K4933" s="15"/>
      <c r="L4933" s="15"/>
      <c r="M4933" s="16"/>
      <c r="N4933" s="16"/>
      <c r="O4933" s="17"/>
      <c r="P4933" s="17"/>
      <c r="Q4933" s="13"/>
      <c r="R4933" s="13"/>
      <c r="S4933" s="13"/>
      <c r="T4933" s="13"/>
      <c r="U4933" s="13"/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  <c r="AG4933" s="13"/>
      <c r="AH4933" s="13"/>
      <c r="AI4933" s="13"/>
      <c r="AJ4933" s="13"/>
      <c r="AK4933" s="13"/>
      <c r="AL4933" s="13"/>
      <c r="AM4933" s="13"/>
      <c r="AN4933" s="13"/>
      <c r="AO4933" s="13"/>
      <c r="AP4933" s="13"/>
      <c r="AQ4933" s="13"/>
      <c r="AR4933" s="13"/>
      <c r="AS4933" s="13"/>
    </row>
    <row r="4934" ht="14.25" customHeight="1">
      <c r="A4934" s="13"/>
      <c r="B4934" s="13"/>
      <c r="C4934" s="13"/>
      <c r="D4934" s="13"/>
      <c r="E4934" s="13"/>
      <c r="F4934" s="13"/>
      <c r="G4934" s="13"/>
      <c r="H4934" s="13"/>
      <c r="I4934" s="13"/>
      <c r="J4934" s="13"/>
      <c r="K4934" s="15"/>
      <c r="L4934" s="15"/>
      <c r="M4934" s="16"/>
      <c r="N4934" s="16"/>
      <c r="O4934" s="17"/>
      <c r="P4934" s="17"/>
      <c r="Q4934" s="13"/>
      <c r="R4934" s="13"/>
      <c r="S4934" s="13"/>
      <c r="T4934" s="13"/>
      <c r="U4934" s="13"/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  <c r="AG4934" s="13"/>
      <c r="AH4934" s="13"/>
      <c r="AI4934" s="13"/>
      <c r="AJ4934" s="13"/>
      <c r="AK4934" s="13"/>
      <c r="AL4934" s="13"/>
      <c r="AM4934" s="13"/>
      <c r="AN4934" s="13"/>
      <c r="AO4934" s="13"/>
      <c r="AP4934" s="13"/>
      <c r="AQ4934" s="13"/>
      <c r="AR4934" s="13"/>
      <c r="AS4934" s="13"/>
    </row>
    <row r="4935" ht="14.25" customHeight="1">
      <c r="A4935" s="13"/>
      <c r="B4935" s="13"/>
      <c r="C4935" s="13"/>
      <c r="D4935" s="13"/>
      <c r="E4935" s="13"/>
      <c r="F4935" s="13"/>
      <c r="G4935" s="13"/>
      <c r="H4935" s="13"/>
      <c r="I4935" s="13"/>
      <c r="J4935" s="13"/>
      <c r="K4935" s="15"/>
      <c r="L4935" s="15"/>
      <c r="M4935" s="16"/>
      <c r="N4935" s="16"/>
      <c r="O4935" s="17"/>
      <c r="P4935" s="17"/>
      <c r="Q4935" s="13"/>
      <c r="R4935" s="13"/>
      <c r="S4935" s="13"/>
      <c r="T4935" s="13"/>
      <c r="U4935" s="13"/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  <c r="AG4935" s="13"/>
      <c r="AH4935" s="13"/>
      <c r="AI4935" s="13"/>
      <c r="AJ4935" s="13"/>
      <c r="AK4935" s="13"/>
      <c r="AL4935" s="13"/>
      <c r="AM4935" s="13"/>
      <c r="AN4935" s="13"/>
      <c r="AO4935" s="13"/>
      <c r="AP4935" s="13"/>
      <c r="AQ4935" s="13"/>
      <c r="AR4935" s="13"/>
      <c r="AS4935" s="13"/>
    </row>
    <row r="4936" ht="14.25" customHeight="1">
      <c r="A4936" s="13"/>
      <c r="B4936" s="13"/>
      <c r="C4936" s="13"/>
      <c r="D4936" s="13"/>
      <c r="E4936" s="13"/>
      <c r="F4936" s="13"/>
      <c r="G4936" s="13"/>
      <c r="H4936" s="13"/>
      <c r="I4936" s="13"/>
      <c r="J4936" s="13"/>
      <c r="K4936" s="15"/>
      <c r="L4936" s="15"/>
      <c r="M4936" s="16"/>
      <c r="N4936" s="16"/>
      <c r="O4936" s="17"/>
      <c r="P4936" s="17"/>
      <c r="Q4936" s="13"/>
      <c r="R4936" s="13"/>
      <c r="S4936" s="13"/>
      <c r="T4936" s="13"/>
      <c r="U4936" s="13"/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  <c r="AG4936" s="13"/>
      <c r="AH4936" s="13"/>
      <c r="AI4936" s="13"/>
      <c r="AJ4936" s="13"/>
      <c r="AK4936" s="13"/>
      <c r="AL4936" s="13"/>
      <c r="AM4936" s="13"/>
      <c r="AN4936" s="13"/>
      <c r="AO4936" s="13"/>
      <c r="AP4936" s="13"/>
      <c r="AQ4936" s="13"/>
      <c r="AR4936" s="13"/>
      <c r="AS4936" s="13"/>
    </row>
    <row r="4937" ht="14.25" customHeight="1">
      <c r="A4937" s="13"/>
      <c r="B4937" s="13"/>
      <c r="C4937" s="13"/>
      <c r="D4937" s="13"/>
      <c r="E4937" s="13"/>
      <c r="F4937" s="13"/>
      <c r="G4937" s="13"/>
      <c r="H4937" s="13"/>
      <c r="I4937" s="13"/>
      <c r="J4937" s="13"/>
      <c r="K4937" s="15"/>
      <c r="L4937" s="15"/>
      <c r="M4937" s="16"/>
      <c r="N4937" s="16"/>
      <c r="O4937" s="17"/>
      <c r="P4937" s="17"/>
      <c r="Q4937" s="13"/>
      <c r="R4937" s="13"/>
      <c r="S4937" s="13"/>
      <c r="T4937" s="13"/>
      <c r="U4937" s="13"/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  <c r="AG4937" s="13"/>
      <c r="AH4937" s="13"/>
      <c r="AI4937" s="13"/>
      <c r="AJ4937" s="13"/>
      <c r="AK4937" s="13"/>
      <c r="AL4937" s="13"/>
      <c r="AM4937" s="13"/>
      <c r="AN4937" s="13"/>
      <c r="AO4937" s="13"/>
      <c r="AP4937" s="13"/>
      <c r="AQ4937" s="13"/>
      <c r="AR4937" s="13"/>
      <c r="AS4937" s="13"/>
    </row>
    <row r="4938" ht="14.25" customHeight="1">
      <c r="A4938" s="13"/>
      <c r="B4938" s="13"/>
      <c r="C4938" s="13"/>
      <c r="D4938" s="13"/>
      <c r="E4938" s="13"/>
      <c r="F4938" s="13"/>
      <c r="G4938" s="13"/>
      <c r="H4938" s="13"/>
      <c r="I4938" s="13"/>
      <c r="J4938" s="13"/>
      <c r="K4938" s="15"/>
      <c r="L4938" s="15"/>
      <c r="M4938" s="16"/>
      <c r="N4938" s="16"/>
      <c r="O4938" s="17"/>
      <c r="P4938" s="17"/>
      <c r="Q4938" s="13"/>
      <c r="R4938" s="13"/>
      <c r="S4938" s="13"/>
      <c r="T4938" s="13"/>
      <c r="U4938" s="13"/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  <c r="AG4938" s="13"/>
      <c r="AH4938" s="13"/>
      <c r="AI4938" s="13"/>
      <c r="AJ4938" s="13"/>
      <c r="AK4938" s="13"/>
      <c r="AL4938" s="13"/>
      <c r="AM4938" s="13"/>
      <c r="AN4938" s="13"/>
      <c r="AO4938" s="13"/>
      <c r="AP4938" s="13"/>
      <c r="AQ4938" s="13"/>
      <c r="AR4938" s="13"/>
      <c r="AS4938" s="13"/>
    </row>
    <row r="4939" ht="14.25" customHeight="1">
      <c r="A4939" s="13"/>
      <c r="B4939" s="13"/>
      <c r="C4939" s="13"/>
      <c r="D4939" s="13"/>
      <c r="E4939" s="13"/>
      <c r="F4939" s="13"/>
      <c r="G4939" s="13"/>
      <c r="H4939" s="13"/>
      <c r="I4939" s="13"/>
      <c r="J4939" s="13"/>
      <c r="K4939" s="15"/>
      <c r="L4939" s="15"/>
      <c r="M4939" s="16"/>
      <c r="N4939" s="16"/>
      <c r="O4939" s="17"/>
      <c r="P4939" s="17"/>
      <c r="Q4939" s="13"/>
      <c r="R4939" s="13"/>
      <c r="S4939" s="13"/>
      <c r="T4939" s="13"/>
      <c r="U4939" s="13"/>
      <c r="V4939" s="13"/>
      <c r="W4939" s="13"/>
      <c r="X4939" s="13"/>
      <c r="Y4939" s="13"/>
      <c r="Z4939" s="13"/>
      <c r="AA4939" s="13"/>
      <c r="AB4939" s="13"/>
      <c r="AC4939" s="13"/>
      <c r="AD4939" s="13"/>
      <c r="AE4939" s="13"/>
      <c r="AF4939" s="13"/>
      <c r="AG4939" s="13"/>
      <c r="AH4939" s="13"/>
      <c r="AI4939" s="13"/>
      <c r="AJ4939" s="13"/>
      <c r="AK4939" s="13"/>
      <c r="AL4939" s="13"/>
      <c r="AM4939" s="13"/>
      <c r="AN4939" s="13"/>
      <c r="AO4939" s="13"/>
      <c r="AP4939" s="13"/>
      <c r="AQ4939" s="13"/>
      <c r="AR4939" s="13"/>
      <c r="AS4939" s="13"/>
    </row>
    <row r="4940" ht="14.25" customHeight="1">
      <c r="A4940" s="13"/>
      <c r="B4940" s="13"/>
      <c r="C4940" s="13"/>
      <c r="D4940" s="13"/>
      <c r="E4940" s="13"/>
      <c r="F4940" s="13"/>
      <c r="G4940" s="13"/>
      <c r="H4940" s="13"/>
      <c r="I4940" s="13"/>
      <c r="J4940" s="13"/>
      <c r="K4940" s="15"/>
      <c r="L4940" s="15"/>
      <c r="M4940" s="16"/>
      <c r="N4940" s="16"/>
      <c r="O4940" s="17"/>
      <c r="P4940" s="17"/>
      <c r="Q4940" s="13"/>
      <c r="R4940" s="13"/>
      <c r="S4940" s="13"/>
      <c r="T4940" s="13"/>
      <c r="U4940" s="13"/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  <c r="AG4940" s="13"/>
      <c r="AH4940" s="13"/>
      <c r="AI4940" s="13"/>
      <c r="AJ4940" s="13"/>
      <c r="AK4940" s="13"/>
      <c r="AL4940" s="13"/>
      <c r="AM4940" s="13"/>
      <c r="AN4940" s="13"/>
      <c r="AO4940" s="13"/>
      <c r="AP4940" s="13"/>
      <c r="AQ4940" s="13"/>
      <c r="AR4940" s="13"/>
      <c r="AS4940" s="13"/>
    </row>
    <row r="4941" ht="14.25" customHeight="1">
      <c r="A4941" s="13"/>
      <c r="B4941" s="13"/>
      <c r="C4941" s="13"/>
      <c r="D4941" s="13"/>
      <c r="E4941" s="13"/>
      <c r="F4941" s="13"/>
      <c r="G4941" s="13"/>
      <c r="H4941" s="13"/>
      <c r="I4941" s="13"/>
      <c r="J4941" s="13"/>
      <c r="K4941" s="15"/>
      <c r="L4941" s="15"/>
      <c r="M4941" s="16"/>
      <c r="N4941" s="16"/>
      <c r="O4941" s="17"/>
      <c r="P4941" s="17"/>
      <c r="Q4941" s="13"/>
      <c r="R4941" s="13"/>
      <c r="S4941" s="13"/>
      <c r="T4941" s="13"/>
      <c r="U4941" s="13"/>
      <c r="V4941" s="13"/>
      <c r="W4941" s="13"/>
      <c r="X4941" s="13"/>
      <c r="Y4941" s="13"/>
      <c r="Z4941" s="13"/>
      <c r="AA4941" s="13"/>
      <c r="AB4941" s="13"/>
      <c r="AC4941" s="13"/>
      <c r="AD4941" s="13"/>
      <c r="AE4941" s="13"/>
      <c r="AF4941" s="13"/>
      <c r="AG4941" s="13"/>
      <c r="AH4941" s="13"/>
      <c r="AI4941" s="13"/>
      <c r="AJ4941" s="13"/>
      <c r="AK4941" s="13"/>
      <c r="AL4941" s="13"/>
      <c r="AM4941" s="13"/>
      <c r="AN4941" s="13"/>
      <c r="AO4941" s="13"/>
      <c r="AP4941" s="13"/>
      <c r="AQ4941" s="13"/>
      <c r="AR4941" s="13"/>
      <c r="AS4941" s="13"/>
    </row>
    <row r="4942" ht="14.25" customHeight="1">
      <c r="A4942" s="13"/>
      <c r="B4942" s="13"/>
      <c r="C4942" s="13"/>
      <c r="D4942" s="13"/>
      <c r="E4942" s="13"/>
      <c r="F4942" s="13"/>
      <c r="G4942" s="13"/>
      <c r="H4942" s="13"/>
      <c r="I4942" s="13"/>
      <c r="J4942" s="13"/>
      <c r="K4942" s="15"/>
      <c r="L4942" s="15"/>
      <c r="M4942" s="16"/>
      <c r="N4942" s="16"/>
      <c r="O4942" s="17"/>
      <c r="P4942" s="17"/>
      <c r="Q4942" s="13"/>
      <c r="R4942" s="13"/>
      <c r="S4942" s="13"/>
      <c r="T4942" s="13"/>
      <c r="U4942" s="13"/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  <c r="AG4942" s="13"/>
      <c r="AH4942" s="13"/>
      <c r="AI4942" s="13"/>
      <c r="AJ4942" s="13"/>
      <c r="AK4942" s="13"/>
      <c r="AL4942" s="13"/>
      <c r="AM4942" s="13"/>
      <c r="AN4942" s="13"/>
      <c r="AO4942" s="13"/>
      <c r="AP4942" s="13"/>
      <c r="AQ4942" s="13"/>
      <c r="AR4942" s="13"/>
      <c r="AS4942" s="13"/>
    </row>
    <row r="4943" ht="14.25" customHeight="1">
      <c r="A4943" s="13"/>
      <c r="B4943" s="13"/>
      <c r="C4943" s="13"/>
      <c r="D4943" s="13"/>
      <c r="E4943" s="13"/>
      <c r="F4943" s="13"/>
      <c r="G4943" s="13"/>
      <c r="H4943" s="13"/>
      <c r="I4943" s="13"/>
      <c r="J4943" s="13"/>
      <c r="K4943" s="15"/>
      <c r="L4943" s="15"/>
      <c r="M4943" s="16"/>
      <c r="N4943" s="16"/>
      <c r="O4943" s="17"/>
      <c r="P4943" s="17"/>
      <c r="Q4943" s="13"/>
      <c r="R4943" s="13"/>
      <c r="S4943" s="13"/>
      <c r="T4943" s="13"/>
      <c r="U4943" s="13"/>
      <c r="V4943" s="13"/>
      <c r="W4943" s="13"/>
      <c r="X4943" s="13"/>
      <c r="Y4943" s="13"/>
      <c r="Z4943" s="13"/>
      <c r="AA4943" s="13"/>
      <c r="AB4943" s="13"/>
      <c r="AC4943" s="13"/>
      <c r="AD4943" s="13"/>
      <c r="AE4943" s="13"/>
      <c r="AF4943" s="13"/>
      <c r="AG4943" s="13"/>
      <c r="AH4943" s="13"/>
      <c r="AI4943" s="13"/>
      <c r="AJ4943" s="13"/>
      <c r="AK4943" s="13"/>
      <c r="AL4943" s="13"/>
      <c r="AM4943" s="13"/>
      <c r="AN4943" s="13"/>
      <c r="AO4943" s="13"/>
      <c r="AP4943" s="13"/>
      <c r="AQ4943" s="13"/>
      <c r="AR4943" s="13"/>
      <c r="AS4943" s="13"/>
    </row>
    <row r="4944" ht="14.25" customHeight="1">
      <c r="A4944" s="13"/>
      <c r="B4944" s="13"/>
      <c r="C4944" s="13"/>
      <c r="D4944" s="13"/>
      <c r="E4944" s="13"/>
      <c r="F4944" s="13"/>
      <c r="G4944" s="13"/>
      <c r="H4944" s="13"/>
      <c r="I4944" s="13"/>
      <c r="J4944" s="13"/>
      <c r="K4944" s="15"/>
      <c r="L4944" s="15"/>
      <c r="M4944" s="16"/>
      <c r="N4944" s="16"/>
      <c r="O4944" s="17"/>
      <c r="P4944" s="17"/>
      <c r="Q4944" s="13"/>
      <c r="R4944" s="13"/>
      <c r="S4944" s="13"/>
      <c r="T4944" s="13"/>
      <c r="U4944" s="13"/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  <c r="AG4944" s="13"/>
      <c r="AH4944" s="13"/>
      <c r="AI4944" s="13"/>
      <c r="AJ4944" s="13"/>
      <c r="AK4944" s="13"/>
      <c r="AL4944" s="13"/>
      <c r="AM4944" s="13"/>
      <c r="AN4944" s="13"/>
      <c r="AO4944" s="13"/>
      <c r="AP4944" s="13"/>
      <c r="AQ4944" s="13"/>
      <c r="AR4944" s="13"/>
      <c r="AS4944" s="13"/>
    </row>
    <row r="4945" ht="14.25" customHeight="1">
      <c r="A4945" s="13"/>
      <c r="B4945" s="13"/>
      <c r="C4945" s="13"/>
      <c r="D4945" s="13"/>
      <c r="E4945" s="13"/>
      <c r="F4945" s="13"/>
      <c r="G4945" s="13"/>
      <c r="H4945" s="13"/>
      <c r="I4945" s="13"/>
      <c r="J4945" s="13"/>
      <c r="K4945" s="15"/>
      <c r="L4945" s="15"/>
      <c r="M4945" s="16"/>
      <c r="N4945" s="16"/>
      <c r="O4945" s="17"/>
      <c r="P4945" s="17"/>
      <c r="Q4945" s="13"/>
      <c r="R4945" s="13"/>
      <c r="S4945" s="13"/>
      <c r="T4945" s="13"/>
      <c r="U4945" s="13"/>
      <c r="V4945" s="13"/>
      <c r="W4945" s="13"/>
      <c r="X4945" s="13"/>
      <c r="Y4945" s="13"/>
      <c r="Z4945" s="13"/>
      <c r="AA4945" s="13"/>
      <c r="AB4945" s="13"/>
      <c r="AC4945" s="13"/>
      <c r="AD4945" s="13"/>
      <c r="AE4945" s="13"/>
      <c r="AF4945" s="13"/>
      <c r="AG4945" s="13"/>
      <c r="AH4945" s="13"/>
      <c r="AI4945" s="13"/>
      <c r="AJ4945" s="13"/>
      <c r="AK4945" s="13"/>
      <c r="AL4945" s="13"/>
      <c r="AM4945" s="13"/>
      <c r="AN4945" s="13"/>
      <c r="AO4945" s="13"/>
      <c r="AP4945" s="13"/>
      <c r="AQ4945" s="13"/>
      <c r="AR4945" s="13"/>
      <c r="AS4945" s="13"/>
    </row>
    <row r="4946" ht="14.25" customHeight="1">
      <c r="A4946" s="13"/>
      <c r="B4946" s="13"/>
      <c r="C4946" s="13"/>
      <c r="D4946" s="13"/>
      <c r="E4946" s="13"/>
      <c r="F4946" s="13"/>
      <c r="G4946" s="13"/>
      <c r="H4946" s="13"/>
      <c r="I4946" s="13"/>
      <c r="J4946" s="13"/>
      <c r="K4946" s="15"/>
      <c r="L4946" s="15"/>
      <c r="M4946" s="16"/>
      <c r="N4946" s="16"/>
      <c r="O4946" s="17"/>
      <c r="P4946" s="17"/>
      <c r="Q4946" s="13"/>
      <c r="R4946" s="13"/>
      <c r="S4946" s="13"/>
      <c r="T4946" s="13"/>
      <c r="U4946" s="13"/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  <c r="AG4946" s="13"/>
      <c r="AH4946" s="13"/>
      <c r="AI4946" s="13"/>
      <c r="AJ4946" s="13"/>
      <c r="AK4946" s="13"/>
      <c r="AL4946" s="13"/>
      <c r="AM4946" s="13"/>
      <c r="AN4946" s="13"/>
      <c r="AO4946" s="13"/>
      <c r="AP4946" s="13"/>
      <c r="AQ4946" s="13"/>
      <c r="AR4946" s="13"/>
      <c r="AS4946" s="13"/>
    </row>
    <row r="4947" ht="14.25" customHeight="1">
      <c r="A4947" s="13"/>
      <c r="B4947" s="13"/>
      <c r="C4947" s="13"/>
      <c r="D4947" s="13"/>
      <c r="E4947" s="13"/>
      <c r="F4947" s="13"/>
      <c r="G4947" s="13"/>
      <c r="H4947" s="13"/>
      <c r="I4947" s="13"/>
      <c r="J4947" s="13"/>
      <c r="K4947" s="15"/>
      <c r="L4947" s="15"/>
      <c r="M4947" s="16"/>
      <c r="N4947" s="16"/>
      <c r="O4947" s="17"/>
      <c r="P4947" s="17"/>
      <c r="Q4947" s="13"/>
      <c r="R4947" s="13"/>
      <c r="S4947" s="13"/>
      <c r="T4947" s="13"/>
      <c r="U4947" s="13"/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  <c r="AG4947" s="13"/>
      <c r="AH4947" s="13"/>
      <c r="AI4947" s="13"/>
      <c r="AJ4947" s="13"/>
      <c r="AK4947" s="13"/>
      <c r="AL4947" s="13"/>
      <c r="AM4947" s="13"/>
      <c r="AN4947" s="13"/>
      <c r="AO4947" s="13"/>
      <c r="AP4947" s="13"/>
      <c r="AQ4947" s="13"/>
      <c r="AR4947" s="13"/>
      <c r="AS4947" s="13"/>
    </row>
    <row r="4948" ht="14.25" customHeight="1">
      <c r="A4948" s="13"/>
      <c r="B4948" s="13"/>
      <c r="C4948" s="13"/>
      <c r="D4948" s="13"/>
      <c r="E4948" s="13"/>
      <c r="F4948" s="13"/>
      <c r="G4948" s="13"/>
      <c r="H4948" s="13"/>
      <c r="I4948" s="13"/>
      <c r="J4948" s="13"/>
      <c r="K4948" s="15"/>
      <c r="L4948" s="15"/>
      <c r="M4948" s="16"/>
      <c r="N4948" s="16"/>
      <c r="O4948" s="17"/>
      <c r="P4948" s="17"/>
      <c r="Q4948" s="13"/>
      <c r="R4948" s="13"/>
      <c r="S4948" s="13"/>
      <c r="T4948" s="13"/>
      <c r="U4948" s="13"/>
      <c r="V4948" s="13"/>
      <c r="W4948" s="13"/>
      <c r="X4948" s="13"/>
      <c r="Y4948" s="13"/>
      <c r="Z4948" s="13"/>
      <c r="AA4948" s="13"/>
      <c r="AB4948" s="13"/>
      <c r="AC4948" s="13"/>
      <c r="AD4948" s="13"/>
      <c r="AE4948" s="13"/>
      <c r="AF4948" s="13"/>
      <c r="AG4948" s="13"/>
      <c r="AH4948" s="13"/>
      <c r="AI4948" s="13"/>
      <c r="AJ4948" s="13"/>
      <c r="AK4948" s="13"/>
      <c r="AL4948" s="13"/>
      <c r="AM4948" s="13"/>
      <c r="AN4948" s="13"/>
      <c r="AO4948" s="13"/>
      <c r="AP4948" s="13"/>
      <c r="AQ4948" s="13"/>
      <c r="AR4948" s="13"/>
      <c r="AS4948" s="13"/>
    </row>
    <row r="4949" ht="14.25" customHeight="1">
      <c r="A4949" s="13"/>
      <c r="B4949" s="13"/>
      <c r="C4949" s="13"/>
      <c r="D4949" s="13"/>
      <c r="E4949" s="13"/>
      <c r="F4949" s="13"/>
      <c r="G4949" s="13"/>
      <c r="H4949" s="13"/>
      <c r="I4949" s="13"/>
      <c r="J4949" s="13"/>
      <c r="K4949" s="15"/>
      <c r="L4949" s="15"/>
      <c r="M4949" s="16"/>
      <c r="N4949" s="16"/>
      <c r="O4949" s="17"/>
      <c r="P4949" s="17"/>
      <c r="Q4949" s="13"/>
      <c r="R4949" s="13"/>
      <c r="S4949" s="13"/>
      <c r="T4949" s="13"/>
      <c r="U4949" s="13"/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  <c r="AG4949" s="13"/>
      <c r="AH4949" s="13"/>
      <c r="AI4949" s="13"/>
      <c r="AJ4949" s="13"/>
      <c r="AK4949" s="13"/>
      <c r="AL4949" s="13"/>
      <c r="AM4949" s="13"/>
      <c r="AN4949" s="13"/>
      <c r="AO4949" s="13"/>
      <c r="AP4949" s="13"/>
      <c r="AQ4949" s="13"/>
      <c r="AR4949" s="13"/>
      <c r="AS4949" s="13"/>
    </row>
    <row r="4950" ht="14.25" customHeight="1">
      <c r="A4950" s="13"/>
      <c r="B4950" s="13"/>
      <c r="C4950" s="13"/>
      <c r="D4950" s="13"/>
      <c r="E4950" s="13"/>
      <c r="F4950" s="13"/>
      <c r="G4950" s="13"/>
      <c r="H4950" s="13"/>
      <c r="I4950" s="13"/>
      <c r="J4950" s="13"/>
      <c r="K4950" s="15"/>
      <c r="L4950" s="15"/>
      <c r="M4950" s="16"/>
      <c r="N4950" s="16"/>
      <c r="O4950" s="17"/>
      <c r="P4950" s="17"/>
      <c r="Q4950" s="13"/>
      <c r="R4950" s="13"/>
      <c r="S4950" s="13"/>
      <c r="T4950" s="13"/>
      <c r="U4950" s="13"/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  <c r="AG4950" s="13"/>
      <c r="AH4950" s="13"/>
      <c r="AI4950" s="13"/>
      <c r="AJ4950" s="13"/>
      <c r="AK4950" s="13"/>
      <c r="AL4950" s="13"/>
      <c r="AM4950" s="13"/>
      <c r="AN4950" s="13"/>
      <c r="AO4950" s="13"/>
      <c r="AP4950" s="13"/>
      <c r="AQ4950" s="13"/>
      <c r="AR4950" s="13"/>
      <c r="AS4950" s="13"/>
    </row>
    <row r="4951" ht="14.25" customHeight="1">
      <c r="A4951" s="13"/>
      <c r="B4951" s="13"/>
      <c r="C4951" s="13"/>
      <c r="D4951" s="13"/>
      <c r="E4951" s="13"/>
      <c r="F4951" s="13"/>
      <c r="G4951" s="13"/>
      <c r="H4951" s="13"/>
      <c r="I4951" s="13"/>
      <c r="J4951" s="13"/>
      <c r="K4951" s="15"/>
      <c r="L4951" s="15"/>
      <c r="M4951" s="16"/>
      <c r="N4951" s="16"/>
      <c r="O4951" s="17"/>
      <c r="P4951" s="17"/>
      <c r="Q4951" s="13"/>
      <c r="R4951" s="13"/>
      <c r="S4951" s="13"/>
      <c r="T4951" s="13"/>
      <c r="U4951" s="13"/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  <c r="AG4951" s="13"/>
      <c r="AH4951" s="13"/>
      <c r="AI4951" s="13"/>
      <c r="AJ4951" s="13"/>
      <c r="AK4951" s="13"/>
      <c r="AL4951" s="13"/>
      <c r="AM4951" s="13"/>
      <c r="AN4951" s="13"/>
      <c r="AO4951" s="13"/>
      <c r="AP4951" s="13"/>
      <c r="AQ4951" s="13"/>
      <c r="AR4951" s="13"/>
      <c r="AS4951" s="13"/>
    </row>
    <row r="4952" ht="14.25" customHeight="1">
      <c r="A4952" s="13"/>
      <c r="B4952" s="13"/>
      <c r="C4952" s="13"/>
      <c r="D4952" s="13"/>
      <c r="E4952" s="13"/>
      <c r="F4952" s="13"/>
      <c r="G4952" s="13"/>
      <c r="H4952" s="13"/>
      <c r="I4952" s="13"/>
      <c r="J4952" s="13"/>
      <c r="K4952" s="15"/>
      <c r="L4952" s="15"/>
      <c r="M4952" s="16"/>
      <c r="N4952" s="16"/>
      <c r="O4952" s="17"/>
      <c r="P4952" s="17"/>
      <c r="Q4952" s="13"/>
      <c r="R4952" s="13"/>
      <c r="S4952" s="13"/>
      <c r="T4952" s="13"/>
      <c r="U4952" s="13"/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  <c r="AG4952" s="13"/>
      <c r="AH4952" s="13"/>
      <c r="AI4952" s="13"/>
      <c r="AJ4952" s="13"/>
      <c r="AK4952" s="13"/>
      <c r="AL4952" s="13"/>
      <c r="AM4952" s="13"/>
      <c r="AN4952" s="13"/>
      <c r="AO4952" s="13"/>
      <c r="AP4952" s="13"/>
      <c r="AQ4952" s="13"/>
      <c r="AR4952" s="13"/>
      <c r="AS4952" s="13"/>
    </row>
    <row r="4953" ht="14.25" customHeight="1">
      <c r="A4953" s="13"/>
      <c r="B4953" s="13"/>
      <c r="C4953" s="13"/>
      <c r="D4953" s="13"/>
      <c r="E4953" s="13"/>
      <c r="F4953" s="13"/>
      <c r="G4953" s="13"/>
      <c r="H4953" s="13"/>
      <c r="I4953" s="13"/>
      <c r="J4953" s="13"/>
      <c r="K4953" s="15"/>
      <c r="L4953" s="15"/>
      <c r="M4953" s="16"/>
      <c r="N4953" s="16"/>
      <c r="O4953" s="17"/>
      <c r="P4953" s="17"/>
      <c r="Q4953" s="13"/>
      <c r="R4953" s="13"/>
      <c r="S4953" s="13"/>
      <c r="T4953" s="13"/>
      <c r="U4953" s="13"/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  <c r="AG4953" s="13"/>
      <c r="AH4953" s="13"/>
      <c r="AI4953" s="13"/>
      <c r="AJ4953" s="13"/>
      <c r="AK4953" s="13"/>
      <c r="AL4953" s="13"/>
      <c r="AM4953" s="13"/>
      <c r="AN4953" s="13"/>
      <c r="AO4953" s="13"/>
      <c r="AP4953" s="13"/>
      <c r="AQ4953" s="13"/>
      <c r="AR4953" s="13"/>
      <c r="AS4953" s="13"/>
    </row>
    <row r="4954" ht="14.25" customHeight="1">
      <c r="A4954" s="13"/>
      <c r="B4954" s="13"/>
      <c r="C4954" s="13"/>
      <c r="D4954" s="13"/>
      <c r="E4954" s="13"/>
      <c r="F4954" s="13"/>
      <c r="G4954" s="13"/>
      <c r="H4954" s="13"/>
      <c r="I4954" s="13"/>
      <c r="J4954" s="13"/>
      <c r="K4954" s="15"/>
      <c r="L4954" s="15"/>
      <c r="M4954" s="16"/>
      <c r="N4954" s="16"/>
      <c r="O4954" s="17"/>
      <c r="P4954" s="17"/>
      <c r="Q4954" s="13"/>
      <c r="R4954" s="13"/>
      <c r="S4954" s="13"/>
      <c r="T4954" s="13"/>
      <c r="U4954" s="13"/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  <c r="AG4954" s="13"/>
      <c r="AH4954" s="13"/>
      <c r="AI4954" s="13"/>
      <c r="AJ4954" s="13"/>
      <c r="AK4954" s="13"/>
      <c r="AL4954" s="13"/>
      <c r="AM4954" s="13"/>
      <c r="AN4954" s="13"/>
      <c r="AO4954" s="13"/>
      <c r="AP4954" s="13"/>
      <c r="AQ4954" s="13"/>
      <c r="AR4954" s="13"/>
      <c r="AS4954" s="13"/>
    </row>
    <row r="4955" ht="14.25" customHeight="1">
      <c r="A4955" s="13"/>
      <c r="B4955" s="13"/>
      <c r="C4955" s="13"/>
      <c r="D4955" s="13"/>
      <c r="E4955" s="13"/>
      <c r="F4955" s="13"/>
      <c r="G4955" s="13"/>
      <c r="H4955" s="13"/>
      <c r="I4955" s="13"/>
      <c r="J4955" s="13"/>
      <c r="K4955" s="15"/>
      <c r="L4955" s="15"/>
      <c r="M4955" s="16"/>
      <c r="N4955" s="16"/>
      <c r="O4955" s="17"/>
      <c r="P4955" s="17"/>
      <c r="Q4955" s="13"/>
      <c r="R4955" s="13"/>
      <c r="S4955" s="13"/>
      <c r="T4955" s="13"/>
      <c r="U4955" s="13"/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  <c r="AG4955" s="13"/>
      <c r="AH4955" s="13"/>
      <c r="AI4955" s="13"/>
      <c r="AJ4955" s="13"/>
      <c r="AK4955" s="13"/>
      <c r="AL4955" s="13"/>
      <c r="AM4955" s="13"/>
      <c r="AN4955" s="13"/>
      <c r="AO4955" s="13"/>
      <c r="AP4955" s="13"/>
      <c r="AQ4955" s="13"/>
      <c r="AR4955" s="13"/>
      <c r="AS4955" s="13"/>
    </row>
    <row r="4956" ht="14.25" customHeight="1">
      <c r="A4956" s="13"/>
      <c r="B4956" s="13"/>
      <c r="C4956" s="13"/>
      <c r="D4956" s="13"/>
      <c r="E4956" s="13"/>
      <c r="F4956" s="13"/>
      <c r="G4956" s="13"/>
      <c r="H4956" s="13"/>
      <c r="I4956" s="13"/>
      <c r="J4956" s="13"/>
      <c r="K4956" s="15"/>
      <c r="L4956" s="15"/>
      <c r="M4956" s="16"/>
      <c r="N4956" s="16"/>
      <c r="O4956" s="17"/>
      <c r="P4956" s="17"/>
      <c r="Q4956" s="13"/>
      <c r="R4956" s="13"/>
      <c r="S4956" s="13"/>
      <c r="T4956" s="13"/>
      <c r="U4956" s="13"/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  <c r="AG4956" s="13"/>
      <c r="AH4956" s="13"/>
      <c r="AI4956" s="13"/>
      <c r="AJ4956" s="13"/>
      <c r="AK4956" s="13"/>
      <c r="AL4956" s="13"/>
      <c r="AM4956" s="13"/>
      <c r="AN4956" s="13"/>
      <c r="AO4956" s="13"/>
      <c r="AP4956" s="13"/>
      <c r="AQ4956" s="13"/>
      <c r="AR4956" s="13"/>
      <c r="AS4956" s="13"/>
    </row>
    <row r="4957" ht="14.25" customHeight="1">
      <c r="A4957" s="13"/>
      <c r="B4957" s="13"/>
      <c r="C4957" s="13"/>
      <c r="D4957" s="13"/>
      <c r="E4957" s="13"/>
      <c r="F4957" s="13"/>
      <c r="G4957" s="13"/>
      <c r="H4957" s="13"/>
      <c r="I4957" s="13"/>
      <c r="J4957" s="13"/>
      <c r="K4957" s="15"/>
      <c r="L4957" s="15"/>
      <c r="M4957" s="16"/>
      <c r="N4957" s="16"/>
      <c r="O4957" s="17"/>
      <c r="P4957" s="17"/>
      <c r="Q4957" s="13"/>
      <c r="R4957" s="13"/>
      <c r="S4957" s="13"/>
      <c r="T4957" s="13"/>
      <c r="U4957" s="13"/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  <c r="AG4957" s="13"/>
      <c r="AH4957" s="13"/>
      <c r="AI4957" s="13"/>
      <c r="AJ4957" s="13"/>
      <c r="AK4957" s="13"/>
      <c r="AL4957" s="13"/>
      <c r="AM4957" s="13"/>
      <c r="AN4957" s="13"/>
      <c r="AO4957" s="13"/>
      <c r="AP4957" s="13"/>
      <c r="AQ4957" s="13"/>
      <c r="AR4957" s="13"/>
      <c r="AS4957" s="13"/>
    </row>
    <row r="4958" ht="14.25" customHeight="1">
      <c r="A4958" s="13"/>
      <c r="B4958" s="13"/>
      <c r="C4958" s="13"/>
      <c r="D4958" s="13"/>
      <c r="E4958" s="13"/>
      <c r="F4958" s="13"/>
      <c r="G4958" s="13"/>
      <c r="H4958" s="13"/>
      <c r="I4958" s="13"/>
      <c r="J4958" s="13"/>
      <c r="K4958" s="15"/>
      <c r="L4958" s="15"/>
      <c r="M4958" s="16"/>
      <c r="N4958" s="16"/>
      <c r="O4958" s="17"/>
      <c r="P4958" s="17"/>
      <c r="Q4958" s="13"/>
      <c r="R4958" s="13"/>
      <c r="S4958" s="13"/>
      <c r="T4958" s="13"/>
      <c r="U4958" s="13"/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  <c r="AG4958" s="13"/>
      <c r="AH4958" s="13"/>
      <c r="AI4958" s="13"/>
      <c r="AJ4958" s="13"/>
      <c r="AK4958" s="13"/>
      <c r="AL4958" s="13"/>
      <c r="AM4958" s="13"/>
      <c r="AN4958" s="13"/>
      <c r="AO4958" s="13"/>
      <c r="AP4958" s="13"/>
      <c r="AQ4958" s="13"/>
      <c r="AR4958" s="13"/>
      <c r="AS4958" s="13"/>
    </row>
    <row r="4959" ht="14.25" customHeight="1">
      <c r="A4959" s="13"/>
      <c r="B4959" s="13"/>
      <c r="C4959" s="13"/>
      <c r="D4959" s="13"/>
      <c r="E4959" s="13"/>
      <c r="F4959" s="13"/>
      <c r="G4959" s="13"/>
      <c r="H4959" s="13"/>
      <c r="I4959" s="13"/>
      <c r="J4959" s="13"/>
      <c r="K4959" s="15"/>
      <c r="L4959" s="15"/>
      <c r="M4959" s="16"/>
      <c r="N4959" s="16"/>
      <c r="O4959" s="17"/>
      <c r="P4959" s="17"/>
      <c r="Q4959" s="13"/>
      <c r="R4959" s="13"/>
      <c r="S4959" s="13"/>
      <c r="T4959" s="13"/>
      <c r="U4959" s="13"/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  <c r="AG4959" s="13"/>
      <c r="AH4959" s="13"/>
      <c r="AI4959" s="13"/>
      <c r="AJ4959" s="13"/>
      <c r="AK4959" s="13"/>
      <c r="AL4959" s="13"/>
      <c r="AM4959" s="13"/>
      <c r="AN4959" s="13"/>
      <c r="AO4959" s="13"/>
      <c r="AP4959" s="13"/>
      <c r="AQ4959" s="13"/>
      <c r="AR4959" s="13"/>
      <c r="AS4959" s="13"/>
    </row>
    <row r="4960" ht="14.25" customHeight="1">
      <c r="A4960" s="13"/>
      <c r="B4960" s="13"/>
      <c r="C4960" s="13"/>
      <c r="D4960" s="13"/>
      <c r="E4960" s="13"/>
      <c r="F4960" s="13"/>
      <c r="G4960" s="13"/>
      <c r="H4960" s="13"/>
      <c r="I4960" s="13"/>
      <c r="J4960" s="13"/>
      <c r="K4960" s="15"/>
      <c r="L4960" s="15"/>
      <c r="M4960" s="16"/>
      <c r="N4960" s="16"/>
      <c r="O4960" s="17"/>
      <c r="P4960" s="17"/>
      <c r="Q4960" s="13"/>
      <c r="R4960" s="13"/>
      <c r="S4960" s="13"/>
      <c r="T4960" s="13"/>
      <c r="U4960" s="13"/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  <c r="AG4960" s="13"/>
      <c r="AH4960" s="13"/>
      <c r="AI4960" s="13"/>
      <c r="AJ4960" s="13"/>
      <c r="AK4960" s="13"/>
      <c r="AL4960" s="13"/>
      <c r="AM4960" s="13"/>
      <c r="AN4960" s="13"/>
      <c r="AO4960" s="13"/>
      <c r="AP4960" s="13"/>
      <c r="AQ4960" s="13"/>
      <c r="AR4960" s="13"/>
      <c r="AS4960" s="13"/>
    </row>
    <row r="4961" ht="14.25" customHeight="1">
      <c r="A4961" s="13"/>
      <c r="B4961" s="13"/>
      <c r="C4961" s="13"/>
      <c r="D4961" s="13"/>
      <c r="E4961" s="13"/>
      <c r="F4961" s="13"/>
      <c r="G4961" s="13"/>
      <c r="H4961" s="13"/>
      <c r="I4961" s="13"/>
      <c r="J4961" s="13"/>
      <c r="K4961" s="15"/>
      <c r="L4961" s="15"/>
      <c r="M4961" s="16"/>
      <c r="N4961" s="16"/>
      <c r="O4961" s="17"/>
      <c r="P4961" s="17"/>
      <c r="Q4961" s="13"/>
      <c r="R4961" s="13"/>
      <c r="S4961" s="13"/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  <c r="AG4961" s="13"/>
      <c r="AH4961" s="13"/>
      <c r="AI4961" s="13"/>
      <c r="AJ4961" s="13"/>
      <c r="AK4961" s="13"/>
      <c r="AL4961" s="13"/>
      <c r="AM4961" s="13"/>
      <c r="AN4961" s="13"/>
      <c r="AO4961" s="13"/>
      <c r="AP4961" s="13"/>
      <c r="AQ4961" s="13"/>
      <c r="AR4961" s="13"/>
      <c r="AS4961" s="13"/>
    </row>
    <row r="4962" ht="14.25" customHeight="1">
      <c r="A4962" s="13"/>
      <c r="B4962" s="13"/>
      <c r="C4962" s="13"/>
      <c r="D4962" s="13"/>
      <c r="E4962" s="13"/>
      <c r="F4962" s="13"/>
      <c r="G4962" s="13"/>
      <c r="H4962" s="13"/>
      <c r="I4962" s="13"/>
      <c r="J4962" s="13"/>
      <c r="K4962" s="15"/>
      <c r="L4962" s="15"/>
      <c r="M4962" s="16"/>
      <c r="N4962" s="16"/>
      <c r="O4962" s="17"/>
      <c r="P4962" s="17"/>
      <c r="Q4962" s="13"/>
      <c r="R4962" s="13"/>
      <c r="S4962" s="13"/>
      <c r="T4962" s="13"/>
      <c r="U4962" s="13"/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F4962" s="13"/>
      <c r="AG4962" s="13"/>
      <c r="AH4962" s="13"/>
      <c r="AI4962" s="13"/>
      <c r="AJ4962" s="13"/>
      <c r="AK4962" s="13"/>
      <c r="AL4962" s="13"/>
      <c r="AM4962" s="13"/>
      <c r="AN4962" s="13"/>
      <c r="AO4962" s="13"/>
      <c r="AP4962" s="13"/>
      <c r="AQ4962" s="13"/>
      <c r="AR4962" s="13"/>
      <c r="AS4962" s="13"/>
    </row>
    <row r="4963" ht="14.25" customHeight="1">
      <c r="A4963" s="13"/>
      <c r="B4963" s="13"/>
      <c r="C4963" s="13"/>
      <c r="D4963" s="13"/>
      <c r="E4963" s="13"/>
      <c r="F4963" s="13"/>
      <c r="G4963" s="13"/>
      <c r="H4963" s="13"/>
      <c r="I4963" s="13"/>
      <c r="J4963" s="13"/>
      <c r="K4963" s="15"/>
      <c r="L4963" s="15"/>
      <c r="M4963" s="16"/>
      <c r="N4963" s="16"/>
      <c r="O4963" s="17"/>
      <c r="P4963" s="17"/>
      <c r="Q4963" s="13"/>
      <c r="R4963" s="13"/>
      <c r="S4963" s="13"/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/>
      <c r="AH4963" s="13"/>
      <c r="AI4963" s="13"/>
      <c r="AJ4963" s="13"/>
      <c r="AK4963" s="13"/>
      <c r="AL4963" s="13"/>
      <c r="AM4963" s="13"/>
      <c r="AN4963" s="13"/>
      <c r="AO4963" s="13"/>
      <c r="AP4963" s="13"/>
      <c r="AQ4963" s="13"/>
      <c r="AR4963" s="13"/>
      <c r="AS4963" s="13"/>
    </row>
    <row r="4964" ht="14.25" customHeight="1">
      <c r="A4964" s="13"/>
      <c r="B4964" s="13"/>
      <c r="C4964" s="13"/>
      <c r="D4964" s="13"/>
      <c r="E4964" s="13"/>
      <c r="F4964" s="13"/>
      <c r="G4964" s="13"/>
      <c r="H4964" s="13"/>
      <c r="I4964" s="13"/>
      <c r="J4964" s="13"/>
      <c r="K4964" s="15"/>
      <c r="L4964" s="15"/>
      <c r="M4964" s="16"/>
      <c r="N4964" s="16"/>
      <c r="O4964" s="17"/>
      <c r="P4964" s="17"/>
      <c r="Q4964" s="13"/>
      <c r="R4964" s="13"/>
      <c r="S4964" s="13"/>
      <c r="T4964" s="13"/>
      <c r="U4964" s="13"/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F4964" s="13"/>
      <c r="AG4964" s="13"/>
      <c r="AH4964" s="13"/>
      <c r="AI4964" s="13"/>
      <c r="AJ4964" s="13"/>
      <c r="AK4964" s="13"/>
      <c r="AL4964" s="13"/>
      <c r="AM4964" s="13"/>
      <c r="AN4964" s="13"/>
      <c r="AO4964" s="13"/>
      <c r="AP4964" s="13"/>
      <c r="AQ4964" s="13"/>
      <c r="AR4964" s="13"/>
      <c r="AS4964" s="13"/>
    </row>
    <row r="4965" ht="14.25" customHeight="1">
      <c r="A4965" s="13"/>
      <c r="B4965" s="13"/>
      <c r="C4965" s="13"/>
      <c r="D4965" s="13"/>
      <c r="E4965" s="13"/>
      <c r="F4965" s="13"/>
      <c r="G4965" s="13"/>
      <c r="H4965" s="13"/>
      <c r="I4965" s="13"/>
      <c r="J4965" s="13"/>
      <c r="K4965" s="15"/>
      <c r="L4965" s="15"/>
      <c r="M4965" s="16"/>
      <c r="N4965" s="16"/>
      <c r="O4965" s="17"/>
      <c r="P4965" s="17"/>
      <c r="Q4965" s="13"/>
      <c r="R4965" s="13"/>
      <c r="S4965" s="13"/>
      <c r="T4965" s="13"/>
      <c r="U4965" s="13"/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F4965" s="13"/>
      <c r="AG4965" s="13"/>
      <c r="AH4965" s="13"/>
      <c r="AI4965" s="13"/>
      <c r="AJ4965" s="13"/>
      <c r="AK4965" s="13"/>
      <c r="AL4965" s="13"/>
      <c r="AM4965" s="13"/>
      <c r="AN4965" s="13"/>
      <c r="AO4965" s="13"/>
      <c r="AP4965" s="13"/>
      <c r="AQ4965" s="13"/>
      <c r="AR4965" s="13"/>
      <c r="AS4965" s="13"/>
    </row>
    <row r="4966" ht="14.25" customHeight="1">
      <c r="A4966" s="13"/>
      <c r="B4966" s="13"/>
      <c r="C4966" s="13"/>
      <c r="D4966" s="13"/>
      <c r="E4966" s="13"/>
      <c r="F4966" s="13"/>
      <c r="G4966" s="13"/>
      <c r="H4966" s="13"/>
      <c r="I4966" s="13"/>
      <c r="J4966" s="13"/>
      <c r="K4966" s="15"/>
      <c r="L4966" s="15"/>
      <c r="M4966" s="16"/>
      <c r="N4966" s="16"/>
      <c r="O4966" s="17"/>
      <c r="P4966" s="17"/>
      <c r="Q4966" s="13"/>
      <c r="R4966" s="13"/>
      <c r="S4966" s="13"/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  <c r="AG4966" s="13"/>
      <c r="AH4966" s="13"/>
      <c r="AI4966" s="13"/>
      <c r="AJ4966" s="13"/>
      <c r="AK4966" s="13"/>
      <c r="AL4966" s="13"/>
      <c r="AM4966" s="13"/>
      <c r="AN4966" s="13"/>
      <c r="AO4966" s="13"/>
      <c r="AP4966" s="13"/>
      <c r="AQ4966" s="13"/>
      <c r="AR4966" s="13"/>
      <c r="AS4966" s="13"/>
    </row>
    <row r="4967" ht="14.25" customHeight="1">
      <c r="A4967" s="13"/>
      <c r="B4967" s="13"/>
      <c r="C4967" s="13"/>
      <c r="D4967" s="13"/>
      <c r="E4967" s="13"/>
      <c r="F4967" s="13"/>
      <c r="G4967" s="13"/>
      <c r="H4967" s="13"/>
      <c r="I4967" s="13"/>
      <c r="J4967" s="13"/>
      <c r="K4967" s="15"/>
      <c r="L4967" s="15"/>
      <c r="M4967" s="16"/>
      <c r="N4967" s="16"/>
      <c r="O4967" s="17"/>
      <c r="P4967" s="17"/>
      <c r="Q4967" s="13"/>
      <c r="R4967" s="13"/>
      <c r="S4967" s="13"/>
      <c r="T4967" s="13"/>
      <c r="U4967" s="13"/>
      <c r="V4967" s="13"/>
      <c r="W4967" s="13"/>
      <c r="X4967" s="13"/>
      <c r="Y4967" s="13"/>
      <c r="Z4967" s="13"/>
      <c r="AA4967" s="13"/>
      <c r="AB4967" s="13"/>
      <c r="AC4967" s="13"/>
      <c r="AD4967" s="13"/>
      <c r="AE4967" s="13"/>
      <c r="AF4967" s="13"/>
      <c r="AG4967" s="13"/>
      <c r="AH4967" s="13"/>
      <c r="AI4967" s="13"/>
      <c r="AJ4967" s="13"/>
      <c r="AK4967" s="13"/>
      <c r="AL4967" s="13"/>
      <c r="AM4967" s="13"/>
      <c r="AN4967" s="13"/>
      <c r="AO4967" s="13"/>
      <c r="AP4967" s="13"/>
      <c r="AQ4967" s="13"/>
      <c r="AR4967" s="13"/>
      <c r="AS4967" s="13"/>
    </row>
    <row r="4968" ht="14.25" customHeight="1">
      <c r="A4968" s="13"/>
      <c r="B4968" s="13"/>
      <c r="C4968" s="13"/>
      <c r="D4968" s="13"/>
      <c r="E4968" s="13"/>
      <c r="F4968" s="13"/>
      <c r="G4968" s="13"/>
      <c r="H4968" s="13"/>
      <c r="I4968" s="13"/>
      <c r="J4968" s="13"/>
      <c r="K4968" s="15"/>
      <c r="L4968" s="15"/>
      <c r="M4968" s="16"/>
      <c r="N4968" s="16"/>
      <c r="O4968" s="17"/>
      <c r="P4968" s="17"/>
      <c r="Q4968" s="13"/>
      <c r="R4968" s="13"/>
      <c r="S4968" s="13"/>
      <c r="T4968" s="13"/>
      <c r="U4968" s="13"/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  <c r="AG4968" s="13"/>
      <c r="AH4968" s="13"/>
      <c r="AI4968" s="13"/>
      <c r="AJ4968" s="13"/>
      <c r="AK4968" s="13"/>
      <c r="AL4968" s="13"/>
      <c r="AM4968" s="13"/>
      <c r="AN4968" s="13"/>
      <c r="AO4968" s="13"/>
      <c r="AP4968" s="13"/>
      <c r="AQ4968" s="13"/>
      <c r="AR4968" s="13"/>
      <c r="AS4968" s="13"/>
    </row>
    <row r="4969" ht="14.25" customHeight="1">
      <c r="A4969" s="13"/>
      <c r="B4969" s="13"/>
      <c r="C4969" s="13"/>
      <c r="D4969" s="13"/>
      <c r="E4969" s="13"/>
      <c r="F4969" s="13"/>
      <c r="G4969" s="13"/>
      <c r="H4969" s="13"/>
      <c r="I4969" s="13"/>
      <c r="J4969" s="13"/>
      <c r="K4969" s="15"/>
      <c r="L4969" s="15"/>
      <c r="M4969" s="16"/>
      <c r="N4969" s="16"/>
      <c r="O4969" s="17"/>
      <c r="P4969" s="17"/>
      <c r="Q4969" s="13"/>
      <c r="R4969" s="13"/>
      <c r="S4969" s="13"/>
      <c r="T4969" s="13"/>
      <c r="U4969" s="13"/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  <c r="AG4969" s="13"/>
      <c r="AH4969" s="13"/>
      <c r="AI4969" s="13"/>
      <c r="AJ4969" s="13"/>
      <c r="AK4969" s="13"/>
      <c r="AL4969" s="13"/>
      <c r="AM4969" s="13"/>
      <c r="AN4969" s="13"/>
      <c r="AO4969" s="13"/>
      <c r="AP4969" s="13"/>
      <c r="AQ4969" s="13"/>
      <c r="AR4969" s="13"/>
      <c r="AS4969" s="13"/>
    </row>
    <row r="4970" ht="14.25" customHeight="1">
      <c r="A4970" s="13"/>
      <c r="B4970" s="13"/>
      <c r="C4970" s="13"/>
      <c r="D4970" s="13"/>
      <c r="E4970" s="13"/>
      <c r="F4970" s="13"/>
      <c r="G4970" s="13"/>
      <c r="H4970" s="13"/>
      <c r="I4970" s="13"/>
      <c r="J4970" s="13"/>
      <c r="K4970" s="15"/>
      <c r="L4970" s="15"/>
      <c r="M4970" s="16"/>
      <c r="N4970" s="16"/>
      <c r="O4970" s="17"/>
      <c r="P4970" s="17"/>
      <c r="Q4970" s="13"/>
      <c r="R4970" s="13"/>
      <c r="S4970" s="13"/>
      <c r="T4970" s="13"/>
      <c r="U4970" s="13"/>
      <c r="V4970" s="13"/>
      <c r="W4970" s="13"/>
      <c r="X4970" s="13"/>
      <c r="Y4970" s="13"/>
      <c r="Z4970" s="13"/>
      <c r="AA4970" s="13"/>
      <c r="AB4970" s="13"/>
      <c r="AC4970" s="13"/>
      <c r="AD4970" s="13"/>
      <c r="AE4970" s="13"/>
      <c r="AF4970" s="13"/>
      <c r="AG4970" s="13"/>
      <c r="AH4970" s="13"/>
      <c r="AI4970" s="13"/>
      <c r="AJ4970" s="13"/>
      <c r="AK4970" s="13"/>
      <c r="AL4970" s="13"/>
      <c r="AM4970" s="13"/>
      <c r="AN4970" s="13"/>
      <c r="AO4970" s="13"/>
      <c r="AP4970" s="13"/>
      <c r="AQ4970" s="13"/>
      <c r="AR4970" s="13"/>
      <c r="AS4970" s="13"/>
    </row>
    <row r="4971" ht="14.25" customHeight="1">
      <c r="A4971" s="13"/>
      <c r="B4971" s="13"/>
      <c r="C4971" s="13"/>
      <c r="D4971" s="13"/>
      <c r="E4971" s="13"/>
      <c r="F4971" s="13"/>
      <c r="G4971" s="13"/>
      <c r="H4971" s="13"/>
      <c r="I4971" s="13"/>
      <c r="J4971" s="13"/>
      <c r="K4971" s="15"/>
      <c r="L4971" s="15"/>
      <c r="M4971" s="16"/>
      <c r="N4971" s="16"/>
      <c r="O4971" s="17"/>
      <c r="P4971" s="17"/>
      <c r="Q4971" s="13"/>
      <c r="R4971" s="13"/>
      <c r="S4971" s="13"/>
      <c r="T4971" s="13"/>
      <c r="U4971" s="13"/>
      <c r="V4971" s="13"/>
      <c r="W4971" s="13"/>
      <c r="X4971" s="13"/>
      <c r="Y4971" s="13"/>
      <c r="Z4971" s="13"/>
      <c r="AA4971" s="13"/>
      <c r="AB4971" s="13"/>
      <c r="AC4971" s="13"/>
      <c r="AD4971" s="13"/>
      <c r="AE4971" s="13"/>
      <c r="AF4971" s="13"/>
      <c r="AG4971" s="13"/>
      <c r="AH4971" s="13"/>
      <c r="AI4971" s="13"/>
      <c r="AJ4971" s="13"/>
      <c r="AK4971" s="13"/>
      <c r="AL4971" s="13"/>
      <c r="AM4971" s="13"/>
      <c r="AN4971" s="13"/>
      <c r="AO4971" s="13"/>
      <c r="AP4971" s="13"/>
      <c r="AQ4971" s="13"/>
      <c r="AR4971" s="13"/>
      <c r="AS4971" s="13"/>
    </row>
    <row r="4972" ht="14.25" customHeight="1">
      <c r="A4972" s="13"/>
      <c r="B4972" s="13"/>
      <c r="C4972" s="13"/>
      <c r="D4972" s="13"/>
      <c r="E4972" s="13"/>
      <c r="F4972" s="13"/>
      <c r="G4972" s="13"/>
      <c r="H4972" s="13"/>
      <c r="I4972" s="13"/>
      <c r="J4972" s="13"/>
      <c r="K4972" s="15"/>
      <c r="L4972" s="15"/>
      <c r="M4972" s="16"/>
      <c r="N4972" s="16"/>
      <c r="O4972" s="17"/>
      <c r="P4972" s="17"/>
      <c r="Q4972" s="13"/>
      <c r="R4972" s="13"/>
      <c r="S4972" s="13"/>
      <c r="T4972" s="13"/>
      <c r="U4972" s="13"/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F4972" s="13"/>
      <c r="AG4972" s="13"/>
      <c r="AH4972" s="13"/>
      <c r="AI4972" s="13"/>
      <c r="AJ4972" s="13"/>
      <c r="AK4972" s="13"/>
      <c r="AL4972" s="13"/>
      <c r="AM4972" s="13"/>
      <c r="AN4972" s="13"/>
      <c r="AO4972" s="13"/>
      <c r="AP4972" s="13"/>
      <c r="AQ4972" s="13"/>
      <c r="AR4972" s="13"/>
      <c r="AS4972" s="13"/>
    </row>
    <row r="4973" ht="14.25" customHeight="1">
      <c r="A4973" s="13"/>
      <c r="B4973" s="13"/>
      <c r="C4973" s="13"/>
      <c r="D4973" s="13"/>
      <c r="E4973" s="13"/>
      <c r="F4973" s="13"/>
      <c r="G4973" s="13"/>
      <c r="H4973" s="13"/>
      <c r="I4973" s="13"/>
      <c r="J4973" s="13"/>
      <c r="K4973" s="15"/>
      <c r="L4973" s="15"/>
      <c r="M4973" s="16"/>
      <c r="N4973" s="16"/>
      <c r="O4973" s="17"/>
      <c r="P4973" s="17"/>
      <c r="Q4973" s="13"/>
      <c r="R4973" s="13"/>
      <c r="S4973" s="13"/>
      <c r="T4973" s="13"/>
      <c r="U4973" s="13"/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13"/>
      <c r="AG4973" s="13"/>
      <c r="AH4973" s="13"/>
      <c r="AI4973" s="13"/>
      <c r="AJ4973" s="13"/>
      <c r="AK4973" s="13"/>
      <c r="AL4973" s="13"/>
      <c r="AM4973" s="13"/>
      <c r="AN4973" s="13"/>
      <c r="AO4973" s="13"/>
      <c r="AP4973" s="13"/>
      <c r="AQ4973" s="13"/>
      <c r="AR4973" s="13"/>
      <c r="AS4973" s="13"/>
    </row>
    <row r="4974" ht="14.25" customHeight="1">
      <c r="A4974" s="13"/>
      <c r="B4974" s="13"/>
      <c r="C4974" s="13"/>
      <c r="D4974" s="13"/>
      <c r="E4974" s="13"/>
      <c r="F4974" s="13"/>
      <c r="G4974" s="13"/>
      <c r="H4974" s="13"/>
      <c r="I4974" s="13"/>
      <c r="J4974" s="13"/>
      <c r="K4974" s="15"/>
      <c r="L4974" s="15"/>
      <c r="M4974" s="16"/>
      <c r="N4974" s="16"/>
      <c r="O4974" s="17"/>
      <c r="P4974" s="17"/>
      <c r="Q4974" s="13"/>
      <c r="R4974" s="13"/>
      <c r="S4974" s="13"/>
      <c r="T4974" s="13"/>
      <c r="U4974" s="13"/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  <c r="AG4974" s="13"/>
      <c r="AH4974" s="13"/>
      <c r="AI4974" s="13"/>
      <c r="AJ4974" s="13"/>
      <c r="AK4974" s="13"/>
      <c r="AL4974" s="13"/>
      <c r="AM4974" s="13"/>
      <c r="AN4974" s="13"/>
      <c r="AO4974" s="13"/>
      <c r="AP4974" s="13"/>
      <c r="AQ4974" s="13"/>
      <c r="AR4974" s="13"/>
      <c r="AS4974" s="13"/>
    </row>
    <row r="4975" ht="14.25" customHeight="1">
      <c r="A4975" s="13"/>
      <c r="B4975" s="13"/>
      <c r="C4975" s="13"/>
      <c r="D4975" s="13"/>
      <c r="E4975" s="13"/>
      <c r="F4975" s="13"/>
      <c r="G4975" s="13"/>
      <c r="H4975" s="13"/>
      <c r="I4975" s="13"/>
      <c r="J4975" s="13"/>
      <c r="K4975" s="15"/>
      <c r="L4975" s="15"/>
      <c r="M4975" s="16"/>
      <c r="N4975" s="16"/>
      <c r="O4975" s="17"/>
      <c r="P4975" s="17"/>
      <c r="Q4975" s="13"/>
      <c r="R4975" s="13"/>
      <c r="S4975" s="13"/>
      <c r="T4975" s="13"/>
      <c r="U4975" s="13"/>
      <c r="V4975" s="13"/>
      <c r="W4975" s="13"/>
      <c r="X4975" s="13"/>
      <c r="Y4975" s="13"/>
      <c r="Z4975" s="13"/>
      <c r="AA4975" s="13"/>
      <c r="AB4975" s="13"/>
      <c r="AC4975" s="13"/>
      <c r="AD4975" s="13"/>
      <c r="AE4975" s="13"/>
      <c r="AF4975" s="13"/>
      <c r="AG4975" s="13"/>
      <c r="AH4975" s="13"/>
      <c r="AI4975" s="13"/>
      <c r="AJ4975" s="13"/>
      <c r="AK4975" s="13"/>
      <c r="AL4975" s="13"/>
      <c r="AM4975" s="13"/>
      <c r="AN4975" s="13"/>
      <c r="AO4975" s="13"/>
      <c r="AP4975" s="13"/>
      <c r="AQ4975" s="13"/>
      <c r="AR4975" s="13"/>
      <c r="AS4975" s="13"/>
    </row>
    <row r="4976" ht="14.25" customHeight="1">
      <c r="A4976" s="13"/>
      <c r="B4976" s="13"/>
      <c r="C4976" s="13"/>
      <c r="D4976" s="13"/>
      <c r="E4976" s="13"/>
      <c r="F4976" s="13"/>
      <c r="G4976" s="13"/>
      <c r="H4976" s="13"/>
      <c r="I4976" s="13"/>
      <c r="J4976" s="13"/>
      <c r="K4976" s="15"/>
      <c r="L4976" s="15"/>
      <c r="M4976" s="16"/>
      <c r="N4976" s="16"/>
      <c r="O4976" s="17"/>
      <c r="P4976" s="17"/>
      <c r="Q4976" s="13"/>
      <c r="R4976" s="13"/>
      <c r="S4976" s="13"/>
      <c r="T4976" s="13"/>
      <c r="U4976" s="13"/>
      <c r="V4976" s="13"/>
      <c r="W4976" s="13"/>
      <c r="X4976" s="13"/>
      <c r="Y4976" s="13"/>
      <c r="Z4976" s="13"/>
      <c r="AA4976" s="13"/>
      <c r="AB4976" s="13"/>
      <c r="AC4976" s="13"/>
      <c r="AD4976" s="13"/>
      <c r="AE4976" s="13"/>
      <c r="AF4976" s="13"/>
      <c r="AG4976" s="13"/>
      <c r="AH4976" s="13"/>
      <c r="AI4976" s="13"/>
      <c r="AJ4976" s="13"/>
      <c r="AK4976" s="13"/>
      <c r="AL4976" s="13"/>
      <c r="AM4976" s="13"/>
      <c r="AN4976" s="13"/>
      <c r="AO4976" s="13"/>
      <c r="AP4976" s="13"/>
      <c r="AQ4976" s="13"/>
      <c r="AR4976" s="13"/>
      <c r="AS4976" s="13"/>
    </row>
    <row r="4977" ht="14.25" customHeight="1">
      <c r="A4977" s="13"/>
      <c r="B4977" s="13"/>
      <c r="C4977" s="13"/>
      <c r="D4977" s="13"/>
      <c r="E4977" s="13"/>
      <c r="F4977" s="13"/>
      <c r="G4977" s="13"/>
      <c r="H4977" s="13"/>
      <c r="I4977" s="13"/>
      <c r="J4977" s="13"/>
      <c r="K4977" s="15"/>
      <c r="L4977" s="15"/>
      <c r="M4977" s="16"/>
      <c r="N4977" s="16"/>
      <c r="O4977" s="17"/>
      <c r="P4977" s="17"/>
      <c r="Q4977" s="13"/>
      <c r="R4977" s="13"/>
      <c r="S4977" s="13"/>
      <c r="T4977" s="13"/>
      <c r="U4977" s="13"/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13"/>
      <c r="AG4977" s="13"/>
      <c r="AH4977" s="13"/>
      <c r="AI4977" s="13"/>
      <c r="AJ4977" s="13"/>
      <c r="AK4977" s="13"/>
      <c r="AL4977" s="13"/>
      <c r="AM4977" s="13"/>
      <c r="AN4977" s="13"/>
      <c r="AO4977" s="13"/>
      <c r="AP4977" s="13"/>
      <c r="AQ4977" s="13"/>
      <c r="AR4977" s="13"/>
      <c r="AS4977" s="13"/>
    </row>
    <row r="4978" ht="14.25" customHeight="1">
      <c r="A4978" s="13"/>
      <c r="B4978" s="13"/>
      <c r="C4978" s="13"/>
      <c r="D4978" s="13"/>
      <c r="E4978" s="13"/>
      <c r="F4978" s="13"/>
      <c r="G4978" s="13"/>
      <c r="H4978" s="13"/>
      <c r="I4978" s="13"/>
      <c r="J4978" s="13"/>
      <c r="K4978" s="15"/>
      <c r="L4978" s="15"/>
      <c r="M4978" s="16"/>
      <c r="N4978" s="16"/>
      <c r="O4978" s="17"/>
      <c r="P4978" s="17"/>
      <c r="Q4978" s="13"/>
      <c r="R4978" s="13"/>
      <c r="S4978" s="13"/>
      <c r="T4978" s="13"/>
      <c r="U4978" s="13"/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  <c r="AG4978" s="13"/>
      <c r="AH4978" s="13"/>
      <c r="AI4978" s="13"/>
      <c r="AJ4978" s="13"/>
      <c r="AK4978" s="13"/>
      <c r="AL4978" s="13"/>
      <c r="AM4978" s="13"/>
      <c r="AN4978" s="13"/>
      <c r="AO4978" s="13"/>
      <c r="AP4978" s="13"/>
      <c r="AQ4978" s="13"/>
      <c r="AR4978" s="13"/>
      <c r="AS4978" s="13"/>
    </row>
    <row r="4979" ht="14.25" customHeight="1">
      <c r="A4979" s="13"/>
      <c r="B4979" s="13"/>
      <c r="C4979" s="13"/>
      <c r="D4979" s="13"/>
      <c r="E4979" s="13"/>
      <c r="F4979" s="13"/>
      <c r="G4979" s="13"/>
      <c r="H4979" s="13"/>
      <c r="I4979" s="13"/>
      <c r="J4979" s="13"/>
      <c r="K4979" s="15"/>
      <c r="L4979" s="15"/>
      <c r="M4979" s="16"/>
      <c r="N4979" s="16"/>
      <c r="O4979" s="17"/>
      <c r="P4979" s="17"/>
      <c r="Q4979" s="13"/>
      <c r="R4979" s="13"/>
      <c r="S4979" s="13"/>
      <c r="T4979" s="13"/>
      <c r="U4979" s="13"/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13"/>
      <c r="AG4979" s="13"/>
      <c r="AH4979" s="13"/>
      <c r="AI4979" s="13"/>
      <c r="AJ4979" s="13"/>
      <c r="AK4979" s="13"/>
      <c r="AL4979" s="13"/>
      <c r="AM4979" s="13"/>
      <c r="AN4979" s="13"/>
      <c r="AO4979" s="13"/>
      <c r="AP4979" s="13"/>
      <c r="AQ4979" s="13"/>
      <c r="AR4979" s="13"/>
      <c r="AS4979" s="13"/>
    </row>
    <row r="4980" ht="14.25" customHeight="1">
      <c r="A4980" s="13"/>
      <c r="B4980" s="13"/>
      <c r="C4980" s="13"/>
      <c r="D4980" s="13"/>
      <c r="E4980" s="13"/>
      <c r="F4980" s="13"/>
      <c r="G4980" s="13"/>
      <c r="H4980" s="13"/>
      <c r="I4980" s="13"/>
      <c r="J4980" s="13"/>
      <c r="K4980" s="15"/>
      <c r="L4980" s="15"/>
      <c r="M4980" s="16"/>
      <c r="N4980" s="16"/>
      <c r="O4980" s="17"/>
      <c r="P4980" s="17"/>
      <c r="Q4980" s="13"/>
      <c r="R4980" s="13"/>
      <c r="S4980" s="13"/>
      <c r="T4980" s="13"/>
      <c r="U4980" s="13"/>
      <c r="V4980" s="13"/>
      <c r="W4980" s="13"/>
      <c r="X4980" s="13"/>
      <c r="Y4980" s="13"/>
      <c r="Z4980" s="13"/>
      <c r="AA4980" s="13"/>
      <c r="AB4980" s="13"/>
      <c r="AC4980" s="13"/>
      <c r="AD4980" s="13"/>
      <c r="AE4980" s="13"/>
      <c r="AF4980" s="13"/>
      <c r="AG4980" s="13"/>
      <c r="AH4980" s="13"/>
      <c r="AI4980" s="13"/>
      <c r="AJ4980" s="13"/>
      <c r="AK4980" s="13"/>
      <c r="AL4980" s="13"/>
      <c r="AM4980" s="13"/>
      <c r="AN4980" s="13"/>
      <c r="AO4980" s="13"/>
      <c r="AP4980" s="13"/>
      <c r="AQ4980" s="13"/>
      <c r="AR4980" s="13"/>
      <c r="AS4980" s="13"/>
    </row>
    <row r="4981" ht="14.25" customHeight="1">
      <c r="A4981" s="13"/>
      <c r="B4981" s="13"/>
      <c r="C4981" s="13"/>
      <c r="D4981" s="13"/>
      <c r="E4981" s="13"/>
      <c r="F4981" s="13"/>
      <c r="G4981" s="13"/>
      <c r="H4981" s="13"/>
      <c r="I4981" s="13"/>
      <c r="J4981" s="13"/>
      <c r="K4981" s="15"/>
      <c r="L4981" s="15"/>
      <c r="M4981" s="16"/>
      <c r="N4981" s="16"/>
      <c r="O4981" s="17"/>
      <c r="P4981" s="17"/>
      <c r="Q4981" s="13"/>
      <c r="R4981" s="13"/>
      <c r="S4981" s="13"/>
      <c r="T4981" s="13"/>
      <c r="U4981" s="13"/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13"/>
      <c r="AG4981" s="13"/>
      <c r="AH4981" s="13"/>
      <c r="AI4981" s="13"/>
      <c r="AJ4981" s="13"/>
      <c r="AK4981" s="13"/>
      <c r="AL4981" s="13"/>
      <c r="AM4981" s="13"/>
      <c r="AN4981" s="13"/>
      <c r="AO4981" s="13"/>
      <c r="AP4981" s="13"/>
      <c r="AQ4981" s="13"/>
      <c r="AR4981" s="13"/>
      <c r="AS4981" s="13"/>
    </row>
    <row r="4982" ht="14.25" customHeight="1">
      <c r="A4982" s="13"/>
      <c r="B4982" s="13"/>
      <c r="C4982" s="13"/>
      <c r="D4982" s="13"/>
      <c r="E4982" s="13"/>
      <c r="F4982" s="13"/>
      <c r="G4982" s="13"/>
      <c r="H4982" s="13"/>
      <c r="I4982" s="13"/>
      <c r="J4982" s="13"/>
      <c r="K4982" s="15"/>
      <c r="L4982" s="15"/>
      <c r="M4982" s="16"/>
      <c r="N4982" s="16"/>
      <c r="O4982" s="17"/>
      <c r="P4982" s="17"/>
      <c r="Q4982" s="13"/>
      <c r="R4982" s="13"/>
      <c r="S4982" s="13"/>
      <c r="T4982" s="13"/>
      <c r="U4982" s="13"/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  <c r="AG4982" s="13"/>
      <c r="AH4982" s="13"/>
      <c r="AI4982" s="13"/>
      <c r="AJ4982" s="13"/>
      <c r="AK4982" s="13"/>
      <c r="AL4982" s="13"/>
      <c r="AM4982" s="13"/>
      <c r="AN4982" s="13"/>
      <c r="AO4982" s="13"/>
      <c r="AP4982" s="13"/>
      <c r="AQ4982" s="13"/>
      <c r="AR4982" s="13"/>
      <c r="AS4982" s="13"/>
    </row>
    <row r="4983" ht="14.25" customHeight="1">
      <c r="A4983" s="13"/>
      <c r="B4983" s="13"/>
      <c r="C4983" s="13"/>
      <c r="D4983" s="13"/>
      <c r="E4983" s="13"/>
      <c r="F4983" s="13"/>
      <c r="G4983" s="13"/>
      <c r="H4983" s="13"/>
      <c r="I4983" s="13"/>
      <c r="J4983" s="13"/>
      <c r="K4983" s="15"/>
      <c r="L4983" s="15"/>
      <c r="M4983" s="16"/>
      <c r="N4983" s="16"/>
      <c r="O4983" s="17"/>
      <c r="P4983" s="17"/>
      <c r="Q4983" s="13"/>
      <c r="R4983" s="13"/>
      <c r="S4983" s="13"/>
      <c r="T4983" s="13"/>
      <c r="U4983" s="13"/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13"/>
      <c r="AG4983" s="13"/>
      <c r="AH4983" s="13"/>
      <c r="AI4983" s="13"/>
      <c r="AJ4983" s="13"/>
      <c r="AK4983" s="13"/>
      <c r="AL4983" s="13"/>
      <c r="AM4983" s="13"/>
      <c r="AN4983" s="13"/>
      <c r="AO4983" s="13"/>
      <c r="AP4983" s="13"/>
      <c r="AQ4983" s="13"/>
      <c r="AR4983" s="13"/>
      <c r="AS4983" s="13"/>
    </row>
    <row r="4984" ht="14.25" customHeight="1">
      <c r="A4984" s="13"/>
      <c r="B4984" s="13"/>
      <c r="C4984" s="13"/>
      <c r="D4984" s="13"/>
      <c r="E4984" s="13"/>
      <c r="F4984" s="13"/>
      <c r="G4984" s="13"/>
      <c r="H4984" s="13"/>
      <c r="I4984" s="13"/>
      <c r="J4984" s="13"/>
      <c r="K4984" s="15"/>
      <c r="L4984" s="15"/>
      <c r="M4984" s="16"/>
      <c r="N4984" s="16"/>
      <c r="O4984" s="17"/>
      <c r="P4984" s="17"/>
      <c r="Q4984" s="13"/>
      <c r="R4984" s="13"/>
      <c r="S4984" s="13"/>
      <c r="T4984" s="13"/>
      <c r="U4984" s="13"/>
      <c r="V4984" s="13"/>
      <c r="W4984" s="13"/>
      <c r="X4984" s="13"/>
      <c r="Y4984" s="13"/>
      <c r="Z4984" s="13"/>
      <c r="AA4984" s="13"/>
      <c r="AB4984" s="13"/>
      <c r="AC4984" s="13"/>
      <c r="AD4984" s="13"/>
      <c r="AE4984" s="13"/>
      <c r="AF4984" s="13"/>
      <c r="AG4984" s="13"/>
      <c r="AH4984" s="13"/>
      <c r="AI4984" s="13"/>
      <c r="AJ4984" s="13"/>
      <c r="AK4984" s="13"/>
      <c r="AL4984" s="13"/>
      <c r="AM4984" s="13"/>
      <c r="AN4984" s="13"/>
      <c r="AO4984" s="13"/>
      <c r="AP4984" s="13"/>
      <c r="AQ4984" s="13"/>
      <c r="AR4984" s="13"/>
      <c r="AS4984" s="13"/>
    </row>
    <row r="4985" ht="14.25" customHeight="1">
      <c r="A4985" s="13"/>
      <c r="B4985" s="13"/>
      <c r="C4985" s="13"/>
      <c r="D4985" s="13"/>
      <c r="E4985" s="13"/>
      <c r="F4985" s="13"/>
      <c r="G4985" s="13"/>
      <c r="H4985" s="13"/>
      <c r="I4985" s="13"/>
      <c r="J4985" s="13"/>
      <c r="K4985" s="15"/>
      <c r="L4985" s="15"/>
      <c r="M4985" s="16"/>
      <c r="N4985" s="16"/>
      <c r="O4985" s="17"/>
      <c r="P4985" s="17"/>
      <c r="Q4985" s="13"/>
      <c r="R4985" s="13"/>
      <c r="S4985" s="13"/>
      <c r="T4985" s="13"/>
      <c r="U4985" s="13"/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13"/>
      <c r="AG4985" s="13"/>
      <c r="AH4985" s="13"/>
      <c r="AI4985" s="13"/>
      <c r="AJ4985" s="13"/>
      <c r="AK4985" s="13"/>
      <c r="AL4985" s="13"/>
      <c r="AM4985" s="13"/>
      <c r="AN4985" s="13"/>
      <c r="AO4985" s="13"/>
      <c r="AP4985" s="13"/>
      <c r="AQ4985" s="13"/>
      <c r="AR4985" s="13"/>
      <c r="AS4985" s="13"/>
    </row>
    <row r="4986" ht="14.25" customHeight="1">
      <c r="A4986" s="13"/>
      <c r="B4986" s="13"/>
      <c r="C4986" s="13"/>
      <c r="D4986" s="13"/>
      <c r="E4986" s="13"/>
      <c r="F4986" s="13"/>
      <c r="G4986" s="13"/>
      <c r="H4986" s="13"/>
      <c r="I4986" s="13"/>
      <c r="J4986" s="13"/>
      <c r="K4986" s="15"/>
      <c r="L4986" s="15"/>
      <c r="M4986" s="16"/>
      <c r="N4986" s="16"/>
      <c r="O4986" s="17"/>
      <c r="P4986" s="17"/>
      <c r="Q4986" s="13"/>
      <c r="R4986" s="13"/>
      <c r="S4986" s="13"/>
      <c r="T4986" s="13"/>
      <c r="U4986" s="13"/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13"/>
      <c r="AG4986" s="13"/>
      <c r="AH4986" s="13"/>
      <c r="AI4986" s="13"/>
      <c r="AJ4986" s="13"/>
      <c r="AK4986" s="13"/>
      <c r="AL4986" s="13"/>
      <c r="AM4986" s="13"/>
      <c r="AN4986" s="13"/>
      <c r="AO4986" s="13"/>
      <c r="AP4986" s="13"/>
      <c r="AQ4986" s="13"/>
      <c r="AR4986" s="13"/>
      <c r="AS4986" s="13"/>
    </row>
    <row r="4987" ht="14.25" customHeight="1">
      <c r="A4987" s="13"/>
      <c r="B4987" s="13"/>
      <c r="C4987" s="13"/>
      <c r="D4987" s="13"/>
      <c r="E4987" s="13"/>
      <c r="F4987" s="13"/>
      <c r="G4987" s="13"/>
      <c r="H4987" s="13"/>
      <c r="I4987" s="13"/>
      <c r="J4987" s="13"/>
      <c r="K4987" s="15"/>
      <c r="L4987" s="15"/>
      <c r="M4987" s="16"/>
      <c r="N4987" s="16"/>
      <c r="O4987" s="17"/>
      <c r="P4987" s="17"/>
      <c r="Q4987" s="13"/>
      <c r="R4987" s="13"/>
      <c r="S4987" s="13"/>
      <c r="T4987" s="13"/>
      <c r="U4987" s="13"/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13"/>
      <c r="AG4987" s="13"/>
      <c r="AH4987" s="13"/>
      <c r="AI4987" s="13"/>
      <c r="AJ4987" s="13"/>
      <c r="AK4987" s="13"/>
      <c r="AL4987" s="13"/>
      <c r="AM4987" s="13"/>
      <c r="AN4987" s="13"/>
      <c r="AO4987" s="13"/>
      <c r="AP4987" s="13"/>
      <c r="AQ4987" s="13"/>
      <c r="AR4987" s="13"/>
      <c r="AS4987" s="13"/>
    </row>
    <row r="4988" ht="14.25" customHeight="1">
      <c r="A4988" s="13"/>
      <c r="B4988" s="13"/>
      <c r="C4988" s="13"/>
      <c r="D4988" s="13"/>
      <c r="E4988" s="13"/>
      <c r="F4988" s="13"/>
      <c r="G4988" s="13"/>
      <c r="H4988" s="13"/>
      <c r="I4988" s="13"/>
      <c r="J4988" s="13"/>
      <c r="K4988" s="15"/>
      <c r="L4988" s="15"/>
      <c r="M4988" s="16"/>
      <c r="N4988" s="16"/>
      <c r="O4988" s="17"/>
      <c r="P4988" s="17"/>
      <c r="Q4988" s="13"/>
      <c r="R4988" s="13"/>
      <c r="S4988" s="13"/>
      <c r="T4988" s="13"/>
      <c r="U4988" s="13"/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13"/>
      <c r="AG4988" s="13"/>
      <c r="AH4988" s="13"/>
      <c r="AI4988" s="13"/>
      <c r="AJ4988" s="13"/>
      <c r="AK4988" s="13"/>
      <c r="AL4988" s="13"/>
      <c r="AM4988" s="13"/>
      <c r="AN4988" s="13"/>
      <c r="AO4988" s="13"/>
      <c r="AP4988" s="13"/>
      <c r="AQ4988" s="13"/>
      <c r="AR4988" s="13"/>
      <c r="AS4988" s="13"/>
    </row>
    <row r="4989" ht="14.25" customHeight="1">
      <c r="A4989" s="13"/>
      <c r="B4989" s="13"/>
      <c r="C4989" s="13"/>
      <c r="D4989" s="13"/>
      <c r="E4989" s="13"/>
      <c r="F4989" s="13"/>
      <c r="G4989" s="13"/>
      <c r="H4989" s="13"/>
      <c r="I4989" s="13"/>
      <c r="J4989" s="13"/>
      <c r="K4989" s="15"/>
      <c r="L4989" s="15"/>
      <c r="M4989" s="16"/>
      <c r="N4989" s="16"/>
      <c r="O4989" s="17"/>
      <c r="P4989" s="17"/>
      <c r="Q4989" s="13"/>
      <c r="R4989" s="13"/>
      <c r="S4989" s="13"/>
      <c r="T4989" s="13"/>
      <c r="U4989" s="13"/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  <c r="AG4989" s="13"/>
      <c r="AH4989" s="13"/>
      <c r="AI4989" s="13"/>
      <c r="AJ4989" s="13"/>
      <c r="AK4989" s="13"/>
      <c r="AL4989" s="13"/>
      <c r="AM4989" s="13"/>
      <c r="AN4989" s="13"/>
      <c r="AO4989" s="13"/>
      <c r="AP4989" s="13"/>
      <c r="AQ4989" s="13"/>
      <c r="AR4989" s="13"/>
      <c r="AS4989" s="13"/>
    </row>
    <row r="4990" ht="14.25" customHeight="1">
      <c r="A4990" s="13"/>
      <c r="B4990" s="13"/>
      <c r="C4990" s="13"/>
      <c r="D4990" s="13"/>
      <c r="E4990" s="13"/>
      <c r="F4990" s="13"/>
      <c r="G4990" s="13"/>
      <c r="H4990" s="13"/>
      <c r="I4990" s="13"/>
      <c r="J4990" s="13"/>
      <c r="K4990" s="15"/>
      <c r="L4990" s="15"/>
      <c r="M4990" s="16"/>
      <c r="N4990" s="16"/>
      <c r="O4990" s="17"/>
      <c r="P4990" s="17"/>
      <c r="Q4990" s="13"/>
      <c r="R4990" s="13"/>
      <c r="S4990" s="13"/>
      <c r="T4990" s="13"/>
      <c r="U4990" s="13"/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13"/>
      <c r="AG4990" s="13"/>
      <c r="AH4990" s="13"/>
      <c r="AI4990" s="13"/>
      <c r="AJ4990" s="13"/>
      <c r="AK4990" s="13"/>
      <c r="AL4990" s="13"/>
      <c r="AM4990" s="13"/>
      <c r="AN4990" s="13"/>
      <c r="AO4990" s="13"/>
      <c r="AP4990" s="13"/>
      <c r="AQ4990" s="13"/>
      <c r="AR4990" s="13"/>
      <c r="AS4990" s="13"/>
    </row>
    <row r="4991" ht="14.25" customHeight="1">
      <c r="A4991" s="13"/>
      <c r="B4991" s="13"/>
      <c r="C4991" s="13"/>
      <c r="D4991" s="13"/>
      <c r="E4991" s="13"/>
      <c r="F4991" s="13"/>
      <c r="G4991" s="13"/>
      <c r="H4991" s="13"/>
      <c r="I4991" s="13"/>
      <c r="J4991" s="13"/>
      <c r="K4991" s="15"/>
      <c r="L4991" s="15"/>
      <c r="M4991" s="16"/>
      <c r="N4991" s="16"/>
      <c r="O4991" s="17"/>
      <c r="P4991" s="17"/>
      <c r="Q4991" s="13"/>
      <c r="R4991" s="13"/>
      <c r="S4991" s="13"/>
      <c r="T4991" s="13"/>
      <c r="U4991" s="13"/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13"/>
      <c r="AG4991" s="13"/>
      <c r="AH4991" s="13"/>
      <c r="AI4991" s="13"/>
      <c r="AJ4991" s="13"/>
      <c r="AK4991" s="13"/>
      <c r="AL4991" s="13"/>
      <c r="AM4991" s="13"/>
      <c r="AN4991" s="13"/>
      <c r="AO4991" s="13"/>
      <c r="AP4991" s="13"/>
      <c r="AQ4991" s="13"/>
      <c r="AR4991" s="13"/>
      <c r="AS4991" s="13"/>
    </row>
    <row r="4992" ht="14.25" customHeight="1">
      <c r="A4992" s="13"/>
      <c r="B4992" s="13"/>
      <c r="C4992" s="13"/>
      <c r="D4992" s="13"/>
      <c r="E4992" s="13"/>
      <c r="F4992" s="13"/>
      <c r="G4992" s="13"/>
      <c r="H4992" s="13"/>
      <c r="I4992" s="13"/>
      <c r="J4992" s="13"/>
      <c r="K4992" s="15"/>
      <c r="L4992" s="15"/>
      <c r="M4992" s="16"/>
      <c r="N4992" s="16"/>
      <c r="O4992" s="17"/>
      <c r="P4992" s="17"/>
      <c r="Q4992" s="13"/>
      <c r="R4992" s="13"/>
      <c r="S4992" s="13"/>
      <c r="T4992" s="13"/>
      <c r="U4992" s="13"/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  <c r="AG4992" s="13"/>
      <c r="AH4992" s="13"/>
      <c r="AI4992" s="13"/>
      <c r="AJ4992" s="13"/>
      <c r="AK4992" s="13"/>
      <c r="AL4992" s="13"/>
      <c r="AM4992" s="13"/>
      <c r="AN4992" s="13"/>
      <c r="AO4992" s="13"/>
      <c r="AP4992" s="13"/>
      <c r="AQ4992" s="13"/>
      <c r="AR4992" s="13"/>
      <c r="AS4992" s="13"/>
    </row>
    <row r="4993" ht="14.25" customHeight="1">
      <c r="A4993" s="13"/>
      <c r="B4993" s="13"/>
      <c r="C4993" s="13"/>
      <c r="D4993" s="13"/>
      <c r="E4993" s="13"/>
      <c r="F4993" s="13"/>
      <c r="G4993" s="13"/>
      <c r="H4993" s="13"/>
      <c r="I4993" s="13"/>
      <c r="J4993" s="13"/>
      <c r="K4993" s="15"/>
      <c r="L4993" s="15"/>
      <c r="M4993" s="16"/>
      <c r="N4993" s="16"/>
      <c r="O4993" s="17"/>
      <c r="P4993" s="17"/>
      <c r="Q4993" s="13"/>
      <c r="R4993" s="13"/>
      <c r="S4993" s="13"/>
      <c r="T4993" s="13"/>
      <c r="U4993" s="13"/>
      <c r="V4993" s="13"/>
      <c r="W4993" s="13"/>
      <c r="X4993" s="13"/>
      <c r="Y4993" s="13"/>
      <c r="Z4993" s="13"/>
      <c r="AA4993" s="13"/>
      <c r="AB4993" s="13"/>
      <c r="AC4993" s="13"/>
      <c r="AD4993" s="13"/>
      <c r="AE4993" s="13"/>
      <c r="AF4993" s="13"/>
      <c r="AG4993" s="13"/>
      <c r="AH4993" s="13"/>
      <c r="AI4993" s="13"/>
      <c r="AJ4993" s="13"/>
      <c r="AK4993" s="13"/>
      <c r="AL4993" s="13"/>
      <c r="AM4993" s="13"/>
      <c r="AN4993" s="13"/>
      <c r="AO4993" s="13"/>
      <c r="AP4993" s="13"/>
      <c r="AQ4993" s="13"/>
      <c r="AR4993" s="13"/>
      <c r="AS4993" s="13"/>
    </row>
    <row r="4994" ht="14.25" customHeight="1">
      <c r="A4994" s="13"/>
      <c r="B4994" s="13"/>
      <c r="C4994" s="13"/>
      <c r="D4994" s="13"/>
      <c r="E4994" s="13"/>
      <c r="F4994" s="13"/>
      <c r="G4994" s="13"/>
      <c r="H4994" s="13"/>
      <c r="I4994" s="13"/>
      <c r="J4994" s="13"/>
      <c r="K4994" s="15"/>
      <c r="L4994" s="15"/>
      <c r="M4994" s="16"/>
      <c r="N4994" s="16"/>
      <c r="O4994" s="17"/>
      <c r="P4994" s="17"/>
      <c r="Q4994" s="13"/>
      <c r="R4994" s="13"/>
      <c r="S4994" s="13"/>
      <c r="T4994" s="13"/>
      <c r="U4994" s="13"/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13"/>
      <c r="AG4994" s="13"/>
      <c r="AH4994" s="13"/>
      <c r="AI4994" s="13"/>
      <c r="AJ4994" s="13"/>
      <c r="AK4994" s="13"/>
      <c r="AL4994" s="13"/>
      <c r="AM4994" s="13"/>
      <c r="AN4994" s="13"/>
      <c r="AO4994" s="13"/>
      <c r="AP4994" s="13"/>
      <c r="AQ4994" s="13"/>
      <c r="AR4994" s="13"/>
      <c r="AS4994" s="13"/>
    </row>
    <row r="4995" ht="14.25" customHeight="1">
      <c r="A4995" s="13"/>
      <c r="B4995" s="13"/>
      <c r="C4995" s="13"/>
      <c r="D4995" s="13"/>
      <c r="E4995" s="13"/>
      <c r="F4995" s="13"/>
      <c r="G4995" s="13"/>
      <c r="H4995" s="13"/>
      <c r="I4995" s="13"/>
      <c r="J4995" s="13"/>
      <c r="K4995" s="15"/>
      <c r="L4995" s="15"/>
      <c r="M4995" s="16"/>
      <c r="N4995" s="16"/>
      <c r="O4995" s="17"/>
      <c r="P4995" s="17"/>
      <c r="Q4995" s="13"/>
      <c r="R4995" s="13"/>
      <c r="S4995" s="13"/>
      <c r="T4995" s="13"/>
      <c r="U4995" s="13"/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  <c r="AG4995" s="13"/>
      <c r="AH4995" s="13"/>
      <c r="AI4995" s="13"/>
      <c r="AJ4995" s="13"/>
      <c r="AK4995" s="13"/>
      <c r="AL4995" s="13"/>
      <c r="AM4995" s="13"/>
      <c r="AN4995" s="13"/>
      <c r="AO4995" s="13"/>
      <c r="AP4995" s="13"/>
      <c r="AQ4995" s="13"/>
      <c r="AR4995" s="13"/>
      <c r="AS4995" s="13"/>
    </row>
    <row r="4996" ht="14.25" customHeight="1">
      <c r="A4996" s="13"/>
      <c r="B4996" s="13"/>
      <c r="C4996" s="13"/>
      <c r="D4996" s="13"/>
      <c r="E4996" s="13"/>
      <c r="F4996" s="13"/>
      <c r="G4996" s="13"/>
      <c r="H4996" s="13"/>
      <c r="I4996" s="13"/>
      <c r="J4996" s="13"/>
      <c r="K4996" s="15"/>
      <c r="L4996" s="15"/>
      <c r="M4996" s="16"/>
      <c r="N4996" s="16"/>
      <c r="O4996" s="17"/>
      <c r="P4996" s="17"/>
      <c r="Q4996" s="13"/>
      <c r="R4996" s="13"/>
      <c r="S4996" s="13"/>
      <c r="T4996" s="13"/>
      <c r="U4996" s="13"/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  <c r="AG4996" s="13"/>
      <c r="AH4996" s="13"/>
      <c r="AI4996" s="13"/>
      <c r="AJ4996" s="13"/>
      <c r="AK4996" s="13"/>
      <c r="AL4996" s="13"/>
      <c r="AM4996" s="13"/>
      <c r="AN4996" s="13"/>
      <c r="AO4996" s="13"/>
      <c r="AP4996" s="13"/>
      <c r="AQ4996" s="13"/>
      <c r="AR4996" s="13"/>
      <c r="AS4996" s="13"/>
    </row>
    <row r="4997" ht="14.25" customHeight="1">
      <c r="A4997" s="13"/>
      <c r="B4997" s="13"/>
      <c r="C4997" s="13"/>
      <c r="D4997" s="13"/>
      <c r="E4997" s="13"/>
      <c r="F4997" s="13"/>
      <c r="G4997" s="13"/>
      <c r="H4997" s="13"/>
      <c r="I4997" s="13"/>
      <c r="J4997" s="13"/>
      <c r="K4997" s="15"/>
      <c r="L4997" s="15"/>
      <c r="M4997" s="16"/>
      <c r="N4997" s="16"/>
      <c r="O4997" s="17"/>
      <c r="P4997" s="17"/>
      <c r="Q4997" s="13"/>
      <c r="R4997" s="13"/>
      <c r="S4997" s="13"/>
      <c r="T4997" s="13"/>
      <c r="U4997" s="13"/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  <c r="AG4997" s="13"/>
      <c r="AH4997" s="13"/>
      <c r="AI4997" s="13"/>
      <c r="AJ4997" s="13"/>
      <c r="AK4997" s="13"/>
      <c r="AL4997" s="13"/>
      <c r="AM4997" s="13"/>
      <c r="AN4997" s="13"/>
      <c r="AO4997" s="13"/>
      <c r="AP4997" s="13"/>
      <c r="AQ4997" s="13"/>
      <c r="AR4997" s="13"/>
      <c r="AS4997" s="13"/>
    </row>
    <row r="4998" ht="14.25" customHeight="1">
      <c r="A4998" s="13"/>
      <c r="B4998" s="13"/>
      <c r="C4998" s="13"/>
      <c r="D4998" s="13"/>
      <c r="E4998" s="13"/>
      <c r="F4998" s="13"/>
      <c r="G4998" s="13"/>
      <c r="H4998" s="13"/>
      <c r="I4998" s="13"/>
      <c r="J4998" s="13"/>
      <c r="K4998" s="15"/>
      <c r="L4998" s="15"/>
      <c r="M4998" s="16"/>
      <c r="N4998" s="16"/>
      <c r="O4998" s="17"/>
      <c r="P4998" s="17"/>
      <c r="Q4998" s="13"/>
      <c r="R4998" s="13"/>
      <c r="S4998" s="13"/>
      <c r="T4998" s="13"/>
      <c r="U4998" s="13"/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  <c r="AG4998" s="13"/>
      <c r="AH4998" s="13"/>
      <c r="AI4998" s="13"/>
      <c r="AJ4998" s="13"/>
      <c r="AK4998" s="13"/>
      <c r="AL4998" s="13"/>
      <c r="AM4998" s="13"/>
      <c r="AN4998" s="13"/>
      <c r="AO4998" s="13"/>
      <c r="AP4998" s="13"/>
      <c r="AQ4998" s="13"/>
      <c r="AR4998" s="13"/>
      <c r="AS4998" s="13"/>
    </row>
    <row r="4999" ht="14.25" customHeight="1">
      <c r="A4999" s="13"/>
      <c r="B4999" s="13"/>
      <c r="C4999" s="13"/>
      <c r="D4999" s="13"/>
      <c r="E4999" s="13"/>
      <c r="F4999" s="13"/>
      <c r="G4999" s="13"/>
      <c r="H4999" s="13"/>
      <c r="I4999" s="13"/>
      <c r="J4999" s="13"/>
      <c r="K4999" s="15"/>
      <c r="L4999" s="15"/>
      <c r="M4999" s="16"/>
      <c r="N4999" s="16"/>
      <c r="O4999" s="17"/>
      <c r="P4999" s="17"/>
      <c r="Q4999" s="13"/>
      <c r="R4999" s="13"/>
      <c r="S4999" s="13"/>
      <c r="T4999" s="13"/>
      <c r="U4999" s="13"/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13"/>
      <c r="AG4999" s="13"/>
      <c r="AH4999" s="13"/>
      <c r="AI4999" s="13"/>
      <c r="AJ4999" s="13"/>
      <c r="AK4999" s="13"/>
      <c r="AL4999" s="13"/>
      <c r="AM4999" s="13"/>
      <c r="AN4999" s="13"/>
      <c r="AO4999" s="13"/>
      <c r="AP4999" s="13"/>
      <c r="AQ4999" s="13"/>
      <c r="AR4999" s="13"/>
      <c r="AS4999" s="13"/>
    </row>
    <row r="5000" ht="14.25" customHeight="1">
      <c r="A5000" s="13"/>
      <c r="B5000" s="13"/>
      <c r="C5000" s="13"/>
      <c r="D5000" s="13"/>
      <c r="E5000" s="13"/>
      <c r="F5000" s="13"/>
      <c r="G5000" s="13"/>
      <c r="H5000" s="13"/>
      <c r="I5000" s="13"/>
      <c r="J5000" s="13"/>
      <c r="K5000" s="15"/>
      <c r="L5000" s="15"/>
      <c r="M5000" s="16"/>
      <c r="N5000" s="16"/>
      <c r="O5000" s="17"/>
      <c r="P5000" s="17"/>
      <c r="Q5000" s="13"/>
      <c r="R5000" s="13"/>
      <c r="S5000" s="13"/>
      <c r="T5000" s="13"/>
      <c r="U5000" s="13"/>
      <c r="V5000" s="13"/>
      <c r="W5000" s="13"/>
      <c r="X5000" s="13"/>
      <c r="Y5000" s="13"/>
      <c r="Z5000" s="13"/>
      <c r="AA5000" s="13"/>
      <c r="AB5000" s="13"/>
      <c r="AC5000" s="13"/>
      <c r="AD5000" s="13"/>
      <c r="AE5000" s="13"/>
      <c r="AF5000" s="13"/>
      <c r="AG5000" s="13"/>
      <c r="AH5000" s="13"/>
      <c r="AI5000" s="13"/>
      <c r="AJ5000" s="13"/>
      <c r="AK5000" s="13"/>
      <c r="AL5000" s="13"/>
      <c r="AM5000" s="13"/>
      <c r="AN5000" s="13"/>
      <c r="AO5000" s="13"/>
      <c r="AP5000" s="13"/>
      <c r="AQ5000" s="13"/>
      <c r="AR5000" s="13"/>
      <c r="AS5000" s="13"/>
    </row>
    <row r="5001" ht="14.25" customHeight="1">
      <c r="A5001" s="13"/>
      <c r="B5001" s="13"/>
      <c r="C5001" s="13"/>
      <c r="D5001" s="13"/>
      <c r="E5001" s="13"/>
      <c r="F5001" s="13"/>
      <c r="G5001" s="13"/>
      <c r="H5001" s="13"/>
      <c r="I5001" s="13"/>
      <c r="J5001" s="13"/>
      <c r="K5001" s="15"/>
      <c r="L5001" s="15"/>
      <c r="M5001" s="16"/>
      <c r="N5001" s="16"/>
      <c r="O5001" s="17"/>
      <c r="P5001" s="17"/>
      <c r="Q5001" s="13"/>
      <c r="R5001" s="13"/>
      <c r="S5001" s="13"/>
      <c r="T5001" s="13"/>
      <c r="U5001" s="13"/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  <c r="AG5001" s="13"/>
      <c r="AH5001" s="13"/>
      <c r="AI5001" s="13"/>
      <c r="AJ5001" s="13"/>
      <c r="AK5001" s="13"/>
      <c r="AL5001" s="13"/>
      <c r="AM5001" s="13"/>
      <c r="AN5001" s="13"/>
      <c r="AO5001" s="13"/>
      <c r="AP5001" s="13"/>
      <c r="AQ5001" s="13"/>
      <c r="AR5001" s="13"/>
      <c r="AS5001" s="13"/>
    </row>
    <row r="5002" ht="14.25" customHeight="1">
      <c r="A5002" s="13"/>
      <c r="B5002" s="13"/>
      <c r="C5002" s="13"/>
      <c r="D5002" s="13"/>
      <c r="E5002" s="13"/>
      <c r="F5002" s="13"/>
      <c r="G5002" s="13"/>
      <c r="H5002" s="13"/>
      <c r="I5002" s="13"/>
      <c r="J5002" s="13"/>
      <c r="K5002" s="15"/>
      <c r="L5002" s="15"/>
      <c r="M5002" s="16"/>
      <c r="N5002" s="16"/>
      <c r="O5002" s="17"/>
      <c r="P5002" s="17"/>
      <c r="Q5002" s="13"/>
      <c r="R5002" s="13"/>
      <c r="S5002" s="13"/>
      <c r="T5002" s="13"/>
      <c r="U5002" s="13"/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13"/>
      <c r="AG5002" s="13"/>
      <c r="AH5002" s="13"/>
      <c r="AI5002" s="13"/>
      <c r="AJ5002" s="13"/>
      <c r="AK5002" s="13"/>
      <c r="AL5002" s="13"/>
      <c r="AM5002" s="13"/>
      <c r="AN5002" s="13"/>
      <c r="AO5002" s="13"/>
      <c r="AP5002" s="13"/>
      <c r="AQ5002" s="13"/>
      <c r="AR5002" s="13"/>
      <c r="AS5002" s="13"/>
    </row>
    <row r="5003" ht="14.25" customHeight="1">
      <c r="A5003" s="13"/>
      <c r="B5003" s="13"/>
      <c r="C5003" s="13"/>
      <c r="D5003" s="13"/>
      <c r="E5003" s="13"/>
      <c r="F5003" s="13"/>
      <c r="G5003" s="13"/>
      <c r="H5003" s="13"/>
      <c r="I5003" s="13"/>
      <c r="J5003" s="13"/>
      <c r="K5003" s="15"/>
      <c r="L5003" s="15"/>
      <c r="M5003" s="16"/>
      <c r="N5003" s="16"/>
      <c r="O5003" s="17"/>
      <c r="P5003" s="17"/>
      <c r="Q5003" s="13"/>
      <c r="R5003" s="13"/>
      <c r="S5003" s="13"/>
      <c r="T5003" s="13"/>
      <c r="U5003" s="13"/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13"/>
      <c r="AG5003" s="13"/>
      <c r="AH5003" s="13"/>
      <c r="AI5003" s="13"/>
      <c r="AJ5003" s="13"/>
      <c r="AK5003" s="13"/>
      <c r="AL5003" s="13"/>
      <c r="AM5003" s="13"/>
      <c r="AN5003" s="13"/>
      <c r="AO5003" s="13"/>
      <c r="AP5003" s="13"/>
      <c r="AQ5003" s="13"/>
      <c r="AR5003" s="13"/>
      <c r="AS5003" s="13"/>
    </row>
    <row r="5004" ht="14.25" customHeight="1">
      <c r="A5004" s="13"/>
      <c r="B5004" s="13"/>
      <c r="C5004" s="13"/>
      <c r="D5004" s="13"/>
      <c r="E5004" s="13"/>
      <c r="F5004" s="13"/>
      <c r="G5004" s="13"/>
      <c r="H5004" s="13"/>
      <c r="I5004" s="13"/>
      <c r="J5004" s="13"/>
      <c r="K5004" s="15"/>
      <c r="L5004" s="15"/>
      <c r="M5004" s="16"/>
      <c r="N5004" s="16"/>
      <c r="O5004" s="17"/>
      <c r="P5004" s="17"/>
      <c r="Q5004" s="13"/>
      <c r="R5004" s="13"/>
      <c r="S5004" s="13"/>
      <c r="T5004" s="13"/>
      <c r="U5004" s="13"/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13"/>
      <c r="AG5004" s="13"/>
      <c r="AH5004" s="13"/>
      <c r="AI5004" s="13"/>
      <c r="AJ5004" s="13"/>
      <c r="AK5004" s="13"/>
      <c r="AL5004" s="13"/>
      <c r="AM5004" s="13"/>
      <c r="AN5004" s="13"/>
      <c r="AO5004" s="13"/>
      <c r="AP5004" s="13"/>
      <c r="AQ5004" s="13"/>
      <c r="AR5004" s="13"/>
      <c r="AS5004" s="13"/>
    </row>
    <row r="5005" ht="14.25" customHeight="1">
      <c r="A5005" s="13"/>
      <c r="B5005" s="13"/>
      <c r="C5005" s="13"/>
      <c r="D5005" s="13"/>
      <c r="E5005" s="13"/>
      <c r="F5005" s="13"/>
      <c r="G5005" s="13"/>
      <c r="H5005" s="13"/>
      <c r="I5005" s="13"/>
      <c r="J5005" s="13"/>
      <c r="K5005" s="15"/>
      <c r="L5005" s="15"/>
      <c r="M5005" s="16"/>
      <c r="N5005" s="16"/>
      <c r="O5005" s="17"/>
      <c r="P5005" s="17"/>
      <c r="Q5005" s="13"/>
      <c r="R5005" s="13"/>
      <c r="S5005" s="13"/>
      <c r="T5005" s="13"/>
      <c r="U5005" s="13"/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13"/>
      <c r="AG5005" s="13"/>
      <c r="AH5005" s="13"/>
      <c r="AI5005" s="13"/>
      <c r="AJ5005" s="13"/>
      <c r="AK5005" s="13"/>
      <c r="AL5005" s="13"/>
      <c r="AM5005" s="13"/>
      <c r="AN5005" s="13"/>
      <c r="AO5005" s="13"/>
      <c r="AP5005" s="13"/>
      <c r="AQ5005" s="13"/>
      <c r="AR5005" s="13"/>
      <c r="AS5005" s="13"/>
    </row>
    <row r="5006" ht="14.25" customHeight="1">
      <c r="A5006" s="13"/>
      <c r="B5006" s="13"/>
      <c r="C5006" s="13"/>
      <c r="D5006" s="13"/>
      <c r="E5006" s="13"/>
      <c r="F5006" s="13"/>
      <c r="G5006" s="13"/>
      <c r="H5006" s="13"/>
      <c r="I5006" s="13"/>
      <c r="J5006" s="13"/>
      <c r="K5006" s="15"/>
      <c r="L5006" s="15"/>
      <c r="M5006" s="16"/>
      <c r="N5006" s="16"/>
      <c r="O5006" s="17"/>
      <c r="P5006" s="17"/>
      <c r="Q5006" s="13"/>
      <c r="R5006" s="13"/>
      <c r="S5006" s="13"/>
      <c r="T5006" s="13"/>
      <c r="U5006" s="13"/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13"/>
      <c r="AG5006" s="13"/>
      <c r="AH5006" s="13"/>
      <c r="AI5006" s="13"/>
      <c r="AJ5006" s="13"/>
      <c r="AK5006" s="13"/>
      <c r="AL5006" s="13"/>
      <c r="AM5006" s="13"/>
      <c r="AN5006" s="13"/>
      <c r="AO5006" s="13"/>
      <c r="AP5006" s="13"/>
      <c r="AQ5006" s="13"/>
      <c r="AR5006" s="13"/>
      <c r="AS5006" s="13"/>
    </row>
    <row r="5007" ht="14.25" customHeight="1">
      <c r="A5007" s="13"/>
      <c r="B5007" s="13"/>
      <c r="C5007" s="13"/>
      <c r="D5007" s="13"/>
      <c r="E5007" s="13"/>
      <c r="F5007" s="13"/>
      <c r="G5007" s="13"/>
      <c r="H5007" s="13"/>
      <c r="I5007" s="13"/>
      <c r="J5007" s="13"/>
      <c r="K5007" s="15"/>
      <c r="L5007" s="15"/>
      <c r="M5007" s="16"/>
      <c r="N5007" s="16"/>
      <c r="O5007" s="17"/>
      <c r="P5007" s="17"/>
      <c r="Q5007" s="13"/>
      <c r="R5007" s="13"/>
      <c r="S5007" s="13"/>
      <c r="T5007" s="13"/>
      <c r="U5007" s="13"/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13"/>
      <c r="AG5007" s="13"/>
      <c r="AH5007" s="13"/>
      <c r="AI5007" s="13"/>
      <c r="AJ5007" s="13"/>
      <c r="AK5007" s="13"/>
      <c r="AL5007" s="13"/>
      <c r="AM5007" s="13"/>
      <c r="AN5007" s="13"/>
      <c r="AO5007" s="13"/>
      <c r="AP5007" s="13"/>
      <c r="AQ5007" s="13"/>
      <c r="AR5007" s="13"/>
      <c r="AS5007" s="13"/>
    </row>
    <row r="5008" ht="14.25" customHeight="1">
      <c r="A5008" s="13"/>
      <c r="B5008" s="13"/>
      <c r="C5008" s="13"/>
      <c r="D5008" s="13"/>
      <c r="E5008" s="13"/>
      <c r="F5008" s="13"/>
      <c r="G5008" s="13"/>
      <c r="H5008" s="13"/>
      <c r="I5008" s="13"/>
      <c r="J5008" s="13"/>
      <c r="K5008" s="15"/>
      <c r="L5008" s="15"/>
      <c r="M5008" s="16"/>
      <c r="N5008" s="16"/>
      <c r="O5008" s="17"/>
      <c r="P5008" s="17"/>
      <c r="Q5008" s="13"/>
      <c r="R5008" s="13"/>
      <c r="S5008" s="13"/>
      <c r="T5008" s="13"/>
      <c r="U5008" s="13"/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13"/>
      <c r="AG5008" s="13"/>
      <c r="AH5008" s="13"/>
      <c r="AI5008" s="13"/>
      <c r="AJ5008" s="13"/>
      <c r="AK5008" s="13"/>
      <c r="AL5008" s="13"/>
      <c r="AM5008" s="13"/>
      <c r="AN5008" s="13"/>
      <c r="AO5008" s="13"/>
      <c r="AP5008" s="13"/>
      <c r="AQ5008" s="13"/>
      <c r="AR5008" s="13"/>
      <c r="AS5008" s="13"/>
    </row>
    <row r="5009" ht="14.25" customHeight="1">
      <c r="A5009" s="13"/>
      <c r="B5009" s="13"/>
      <c r="C5009" s="13"/>
      <c r="D5009" s="13"/>
      <c r="E5009" s="13"/>
      <c r="F5009" s="13"/>
      <c r="G5009" s="13"/>
      <c r="H5009" s="13"/>
      <c r="I5009" s="13"/>
      <c r="J5009" s="13"/>
      <c r="K5009" s="15"/>
      <c r="L5009" s="15"/>
      <c r="M5009" s="16"/>
      <c r="N5009" s="16"/>
      <c r="O5009" s="17"/>
      <c r="P5009" s="17"/>
      <c r="Q5009" s="13"/>
      <c r="R5009" s="13"/>
      <c r="S5009" s="13"/>
      <c r="T5009" s="13"/>
      <c r="U5009" s="13"/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  <c r="AG5009" s="13"/>
      <c r="AH5009" s="13"/>
      <c r="AI5009" s="13"/>
      <c r="AJ5009" s="13"/>
      <c r="AK5009" s="13"/>
      <c r="AL5009" s="13"/>
      <c r="AM5009" s="13"/>
      <c r="AN5009" s="13"/>
      <c r="AO5009" s="13"/>
      <c r="AP5009" s="13"/>
      <c r="AQ5009" s="13"/>
      <c r="AR5009" s="13"/>
      <c r="AS5009" s="13"/>
    </row>
    <row r="5010" ht="14.25" customHeight="1">
      <c r="A5010" s="13"/>
      <c r="B5010" s="13"/>
      <c r="C5010" s="13"/>
      <c r="D5010" s="13"/>
      <c r="E5010" s="13"/>
      <c r="F5010" s="13"/>
      <c r="G5010" s="13"/>
      <c r="H5010" s="13"/>
      <c r="I5010" s="13"/>
      <c r="J5010" s="13"/>
      <c r="K5010" s="15"/>
      <c r="L5010" s="15"/>
      <c r="M5010" s="16"/>
      <c r="N5010" s="16"/>
      <c r="O5010" s="17"/>
      <c r="P5010" s="17"/>
      <c r="Q5010" s="13"/>
      <c r="R5010" s="13"/>
      <c r="S5010" s="13"/>
      <c r="T5010" s="13"/>
      <c r="U5010" s="13"/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13"/>
      <c r="AG5010" s="13"/>
      <c r="AH5010" s="13"/>
      <c r="AI5010" s="13"/>
      <c r="AJ5010" s="13"/>
      <c r="AK5010" s="13"/>
      <c r="AL5010" s="13"/>
      <c r="AM5010" s="13"/>
      <c r="AN5010" s="13"/>
      <c r="AO5010" s="13"/>
      <c r="AP5010" s="13"/>
      <c r="AQ5010" s="13"/>
      <c r="AR5010" s="13"/>
      <c r="AS5010" s="13"/>
    </row>
    <row r="5011" ht="14.25" customHeight="1">
      <c r="A5011" s="13"/>
      <c r="B5011" s="13"/>
      <c r="C5011" s="13"/>
      <c r="D5011" s="13"/>
      <c r="E5011" s="13"/>
      <c r="F5011" s="13"/>
      <c r="G5011" s="13"/>
      <c r="H5011" s="13"/>
      <c r="I5011" s="13"/>
      <c r="J5011" s="13"/>
      <c r="K5011" s="15"/>
      <c r="L5011" s="15"/>
      <c r="M5011" s="16"/>
      <c r="N5011" s="16"/>
      <c r="O5011" s="17"/>
      <c r="P5011" s="17"/>
      <c r="Q5011" s="13"/>
      <c r="R5011" s="13"/>
      <c r="S5011" s="13"/>
      <c r="T5011" s="13"/>
      <c r="U5011" s="13"/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  <c r="AG5011" s="13"/>
      <c r="AH5011" s="13"/>
      <c r="AI5011" s="13"/>
      <c r="AJ5011" s="13"/>
      <c r="AK5011" s="13"/>
      <c r="AL5011" s="13"/>
      <c r="AM5011" s="13"/>
      <c r="AN5011" s="13"/>
      <c r="AO5011" s="13"/>
      <c r="AP5011" s="13"/>
      <c r="AQ5011" s="13"/>
      <c r="AR5011" s="13"/>
      <c r="AS5011" s="13"/>
    </row>
    <row r="5012" ht="14.25" customHeight="1">
      <c r="A5012" s="13"/>
      <c r="B5012" s="13"/>
      <c r="C5012" s="13"/>
      <c r="D5012" s="13"/>
      <c r="E5012" s="13"/>
      <c r="F5012" s="13"/>
      <c r="G5012" s="13"/>
      <c r="H5012" s="13"/>
      <c r="I5012" s="13"/>
      <c r="J5012" s="13"/>
      <c r="K5012" s="15"/>
      <c r="L5012" s="15"/>
      <c r="M5012" s="16"/>
      <c r="N5012" s="16"/>
      <c r="O5012" s="17"/>
      <c r="P5012" s="17"/>
      <c r="Q5012" s="13"/>
      <c r="R5012" s="13"/>
      <c r="S5012" s="13"/>
      <c r="T5012" s="13"/>
      <c r="U5012" s="13"/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  <c r="AG5012" s="13"/>
      <c r="AH5012" s="13"/>
      <c r="AI5012" s="13"/>
      <c r="AJ5012" s="13"/>
      <c r="AK5012" s="13"/>
      <c r="AL5012" s="13"/>
      <c r="AM5012" s="13"/>
      <c r="AN5012" s="13"/>
      <c r="AO5012" s="13"/>
      <c r="AP5012" s="13"/>
      <c r="AQ5012" s="13"/>
      <c r="AR5012" s="13"/>
      <c r="AS5012" s="13"/>
    </row>
    <row r="5013" ht="14.25" customHeight="1">
      <c r="A5013" s="13"/>
      <c r="B5013" s="13"/>
      <c r="C5013" s="13"/>
      <c r="D5013" s="13"/>
      <c r="E5013" s="13"/>
      <c r="F5013" s="13"/>
      <c r="G5013" s="13"/>
      <c r="H5013" s="13"/>
      <c r="I5013" s="13"/>
      <c r="J5013" s="13"/>
      <c r="K5013" s="15"/>
      <c r="L5013" s="15"/>
      <c r="M5013" s="16"/>
      <c r="N5013" s="16"/>
      <c r="O5013" s="17"/>
      <c r="P5013" s="17"/>
      <c r="Q5013" s="13"/>
      <c r="R5013" s="13"/>
      <c r="S5013" s="13"/>
      <c r="T5013" s="13"/>
      <c r="U5013" s="13"/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  <c r="AG5013" s="13"/>
      <c r="AH5013" s="13"/>
      <c r="AI5013" s="13"/>
      <c r="AJ5013" s="13"/>
      <c r="AK5013" s="13"/>
      <c r="AL5013" s="13"/>
      <c r="AM5013" s="13"/>
      <c r="AN5013" s="13"/>
      <c r="AO5013" s="13"/>
      <c r="AP5013" s="13"/>
      <c r="AQ5013" s="13"/>
      <c r="AR5013" s="13"/>
      <c r="AS5013" s="13"/>
    </row>
    <row r="5014" ht="14.25" customHeight="1">
      <c r="A5014" s="13"/>
      <c r="B5014" s="13"/>
      <c r="C5014" s="13"/>
      <c r="D5014" s="13"/>
      <c r="E5014" s="13"/>
      <c r="F5014" s="13"/>
      <c r="G5014" s="13"/>
      <c r="H5014" s="13"/>
      <c r="I5014" s="13"/>
      <c r="J5014" s="13"/>
      <c r="K5014" s="15"/>
      <c r="L5014" s="15"/>
      <c r="M5014" s="16"/>
      <c r="N5014" s="16"/>
      <c r="O5014" s="17"/>
      <c r="P5014" s="17"/>
      <c r="Q5014" s="13"/>
      <c r="R5014" s="13"/>
      <c r="S5014" s="13"/>
      <c r="T5014" s="13"/>
      <c r="U5014" s="13"/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  <c r="AG5014" s="13"/>
      <c r="AH5014" s="13"/>
      <c r="AI5014" s="13"/>
      <c r="AJ5014" s="13"/>
      <c r="AK5014" s="13"/>
      <c r="AL5014" s="13"/>
      <c r="AM5014" s="13"/>
      <c r="AN5014" s="13"/>
      <c r="AO5014" s="13"/>
      <c r="AP5014" s="13"/>
      <c r="AQ5014" s="13"/>
      <c r="AR5014" s="13"/>
      <c r="AS5014" s="13"/>
    </row>
    <row r="5015" ht="14.25" customHeight="1">
      <c r="A5015" s="13"/>
      <c r="B5015" s="13"/>
      <c r="C5015" s="13"/>
      <c r="D5015" s="13"/>
      <c r="E5015" s="13"/>
      <c r="F5015" s="13"/>
      <c r="G5015" s="13"/>
      <c r="H5015" s="13"/>
      <c r="I5015" s="13"/>
      <c r="J5015" s="13"/>
      <c r="K5015" s="15"/>
      <c r="L5015" s="15"/>
      <c r="M5015" s="16"/>
      <c r="N5015" s="16"/>
      <c r="O5015" s="17"/>
      <c r="P5015" s="17"/>
      <c r="Q5015" s="13"/>
      <c r="R5015" s="13"/>
      <c r="S5015" s="13"/>
      <c r="T5015" s="13"/>
      <c r="U5015" s="13"/>
      <c r="V5015" s="13"/>
      <c r="W5015" s="13"/>
      <c r="X5015" s="13"/>
      <c r="Y5015" s="13"/>
      <c r="Z5015" s="13"/>
      <c r="AA5015" s="13"/>
      <c r="AB5015" s="13"/>
      <c r="AC5015" s="13"/>
      <c r="AD5015" s="13"/>
      <c r="AE5015" s="13"/>
      <c r="AF5015" s="13"/>
      <c r="AG5015" s="13"/>
      <c r="AH5015" s="13"/>
      <c r="AI5015" s="13"/>
      <c r="AJ5015" s="13"/>
      <c r="AK5015" s="13"/>
      <c r="AL5015" s="13"/>
      <c r="AM5015" s="13"/>
      <c r="AN5015" s="13"/>
      <c r="AO5015" s="13"/>
      <c r="AP5015" s="13"/>
      <c r="AQ5015" s="13"/>
      <c r="AR5015" s="13"/>
      <c r="AS5015" s="13"/>
    </row>
    <row r="5016" ht="14.25" customHeight="1">
      <c r="A5016" s="13"/>
      <c r="B5016" s="13"/>
      <c r="C5016" s="13"/>
      <c r="D5016" s="13"/>
      <c r="E5016" s="13"/>
      <c r="F5016" s="13"/>
      <c r="G5016" s="13"/>
      <c r="H5016" s="13"/>
      <c r="I5016" s="13"/>
      <c r="J5016" s="13"/>
      <c r="K5016" s="15"/>
      <c r="L5016" s="15"/>
      <c r="M5016" s="16"/>
      <c r="N5016" s="16"/>
      <c r="O5016" s="17"/>
      <c r="P5016" s="17"/>
      <c r="Q5016" s="13"/>
      <c r="R5016" s="13"/>
      <c r="S5016" s="13"/>
      <c r="T5016" s="13"/>
      <c r="U5016" s="13"/>
      <c r="V5016" s="13"/>
      <c r="W5016" s="13"/>
      <c r="X5016" s="13"/>
      <c r="Y5016" s="13"/>
      <c r="Z5016" s="13"/>
      <c r="AA5016" s="13"/>
      <c r="AB5016" s="13"/>
      <c r="AC5016" s="13"/>
      <c r="AD5016" s="13"/>
      <c r="AE5016" s="13"/>
      <c r="AF5016" s="13"/>
      <c r="AG5016" s="13"/>
      <c r="AH5016" s="13"/>
      <c r="AI5016" s="13"/>
      <c r="AJ5016" s="13"/>
      <c r="AK5016" s="13"/>
      <c r="AL5016" s="13"/>
      <c r="AM5016" s="13"/>
      <c r="AN5016" s="13"/>
      <c r="AO5016" s="13"/>
      <c r="AP5016" s="13"/>
      <c r="AQ5016" s="13"/>
      <c r="AR5016" s="13"/>
      <c r="AS5016" s="13"/>
    </row>
    <row r="5017" ht="14.25" customHeight="1">
      <c r="A5017" s="13"/>
      <c r="B5017" s="13"/>
      <c r="C5017" s="13"/>
      <c r="D5017" s="13"/>
      <c r="E5017" s="13"/>
      <c r="F5017" s="13"/>
      <c r="G5017" s="13"/>
      <c r="H5017" s="13"/>
      <c r="I5017" s="13"/>
      <c r="J5017" s="13"/>
      <c r="K5017" s="15"/>
      <c r="L5017" s="15"/>
      <c r="M5017" s="16"/>
      <c r="N5017" s="16"/>
      <c r="O5017" s="17"/>
      <c r="P5017" s="17"/>
      <c r="Q5017" s="13"/>
      <c r="R5017" s="13"/>
      <c r="S5017" s="13"/>
      <c r="T5017" s="13"/>
      <c r="U5017" s="13"/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  <c r="AG5017" s="13"/>
      <c r="AH5017" s="13"/>
      <c r="AI5017" s="13"/>
      <c r="AJ5017" s="13"/>
      <c r="AK5017" s="13"/>
      <c r="AL5017" s="13"/>
      <c r="AM5017" s="13"/>
      <c r="AN5017" s="13"/>
      <c r="AO5017" s="13"/>
      <c r="AP5017" s="13"/>
      <c r="AQ5017" s="13"/>
      <c r="AR5017" s="13"/>
      <c r="AS5017" s="13"/>
    </row>
    <row r="5018" ht="14.25" customHeight="1">
      <c r="A5018" s="13"/>
      <c r="B5018" s="13"/>
      <c r="C5018" s="13"/>
      <c r="D5018" s="13"/>
      <c r="E5018" s="13"/>
      <c r="F5018" s="13"/>
      <c r="G5018" s="13"/>
      <c r="H5018" s="13"/>
      <c r="I5018" s="13"/>
      <c r="J5018" s="13"/>
      <c r="K5018" s="15"/>
      <c r="L5018" s="15"/>
      <c r="M5018" s="16"/>
      <c r="N5018" s="16"/>
      <c r="O5018" s="17"/>
      <c r="P5018" s="17"/>
      <c r="Q5018" s="13"/>
      <c r="R5018" s="13"/>
      <c r="S5018" s="13"/>
      <c r="T5018" s="13"/>
      <c r="U5018" s="13"/>
      <c r="V5018" s="13"/>
      <c r="W5018" s="13"/>
      <c r="X5018" s="13"/>
      <c r="Y5018" s="13"/>
      <c r="Z5018" s="13"/>
      <c r="AA5018" s="13"/>
      <c r="AB5018" s="13"/>
      <c r="AC5018" s="13"/>
      <c r="AD5018" s="13"/>
      <c r="AE5018" s="13"/>
      <c r="AF5018" s="13"/>
      <c r="AG5018" s="13"/>
      <c r="AH5018" s="13"/>
      <c r="AI5018" s="13"/>
      <c r="AJ5018" s="13"/>
      <c r="AK5018" s="13"/>
      <c r="AL5018" s="13"/>
      <c r="AM5018" s="13"/>
      <c r="AN5018" s="13"/>
      <c r="AO5018" s="13"/>
      <c r="AP5018" s="13"/>
      <c r="AQ5018" s="13"/>
      <c r="AR5018" s="13"/>
      <c r="AS5018" s="13"/>
    </row>
    <row r="5019" ht="14.25" customHeight="1">
      <c r="A5019" s="13"/>
      <c r="B5019" s="13"/>
      <c r="C5019" s="13"/>
      <c r="D5019" s="13"/>
      <c r="E5019" s="13"/>
      <c r="F5019" s="13"/>
      <c r="G5019" s="13"/>
      <c r="H5019" s="13"/>
      <c r="I5019" s="13"/>
      <c r="J5019" s="13"/>
      <c r="K5019" s="15"/>
      <c r="L5019" s="15"/>
      <c r="M5019" s="16"/>
      <c r="N5019" s="16"/>
      <c r="O5019" s="17"/>
      <c r="P5019" s="17"/>
      <c r="Q5019" s="13"/>
      <c r="R5019" s="13"/>
      <c r="S5019" s="13"/>
      <c r="T5019" s="13"/>
      <c r="U5019" s="13"/>
      <c r="V5019" s="13"/>
      <c r="W5019" s="13"/>
      <c r="X5019" s="13"/>
      <c r="Y5019" s="13"/>
      <c r="Z5019" s="13"/>
      <c r="AA5019" s="13"/>
      <c r="AB5019" s="13"/>
      <c r="AC5019" s="13"/>
      <c r="AD5019" s="13"/>
      <c r="AE5019" s="13"/>
      <c r="AF5019" s="13"/>
      <c r="AG5019" s="13"/>
      <c r="AH5019" s="13"/>
      <c r="AI5019" s="13"/>
      <c r="AJ5019" s="13"/>
      <c r="AK5019" s="13"/>
      <c r="AL5019" s="13"/>
      <c r="AM5019" s="13"/>
      <c r="AN5019" s="13"/>
      <c r="AO5019" s="13"/>
      <c r="AP5019" s="13"/>
      <c r="AQ5019" s="13"/>
      <c r="AR5019" s="13"/>
      <c r="AS5019" s="13"/>
    </row>
    <row r="5020" ht="14.25" customHeight="1">
      <c r="A5020" s="13"/>
      <c r="B5020" s="13"/>
      <c r="C5020" s="13"/>
      <c r="D5020" s="13"/>
      <c r="E5020" s="13"/>
      <c r="F5020" s="13"/>
      <c r="G5020" s="13"/>
      <c r="H5020" s="13"/>
      <c r="I5020" s="13"/>
      <c r="J5020" s="13"/>
      <c r="K5020" s="15"/>
      <c r="L5020" s="15"/>
      <c r="M5020" s="16"/>
      <c r="N5020" s="16"/>
      <c r="O5020" s="17"/>
      <c r="P5020" s="17"/>
      <c r="Q5020" s="13"/>
      <c r="R5020" s="13"/>
      <c r="S5020" s="13"/>
      <c r="T5020" s="13"/>
      <c r="U5020" s="13"/>
      <c r="V5020" s="13"/>
      <c r="W5020" s="13"/>
      <c r="X5020" s="13"/>
      <c r="Y5020" s="13"/>
      <c r="Z5020" s="13"/>
      <c r="AA5020" s="13"/>
      <c r="AB5020" s="13"/>
      <c r="AC5020" s="13"/>
      <c r="AD5020" s="13"/>
      <c r="AE5020" s="13"/>
      <c r="AF5020" s="13"/>
      <c r="AG5020" s="13"/>
      <c r="AH5020" s="13"/>
      <c r="AI5020" s="13"/>
      <c r="AJ5020" s="13"/>
      <c r="AK5020" s="13"/>
      <c r="AL5020" s="13"/>
      <c r="AM5020" s="13"/>
      <c r="AN5020" s="13"/>
      <c r="AO5020" s="13"/>
      <c r="AP5020" s="13"/>
      <c r="AQ5020" s="13"/>
      <c r="AR5020" s="13"/>
      <c r="AS5020" s="13"/>
    </row>
    <row r="5021" ht="14.25" customHeight="1">
      <c r="A5021" s="13"/>
      <c r="B5021" s="13"/>
      <c r="C5021" s="13"/>
      <c r="D5021" s="13"/>
      <c r="E5021" s="13"/>
      <c r="F5021" s="13"/>
      <c r="G5021" s="13"/>
      <c r="H5021" s="13"/>
      <c r="I5021" s="13"/>
      <c r="J5021" s="13"/>
      <c r="K5021" s="15"/>
      <c r="L5021" s="15"/>
      <c r="M5021" s="16"/>
      <c r="N5021" s="16"/>
      <c r="O5021" s="17"/>
      <c r="P5021" s="17"/>
      <c r="Q5021" s="13"/>
      <c r="R5021" s="13"/>
      <c r="S5021" s="13"/>
      <c r="T5021" s="13"/>
      <c r="U5021" s="13"/>
      <c r="V5021" s="13"/>
      <c r="W5021" s="13"/>
      <c r="X5021" s="13"/>
      <c r="Y5021" s="13"/>
      <c r="Z5021" s="13"/>
      <c r="AA5021" s="13"/>
      <c r="AB5021" s="13"/>
      <c r="AC5021" s="13"/>
      <c r="AD5021" s="13"/>
      <c r="AE5021" s="13"/>
      <c r="AF5021" s="13"/>
      <c r="AG5021" s="13"/>
      <c r="AH5021" s="13"/>
      <c r="AI5021" s="13"/>
      <c r="AJ5021" s="13"/>
      <c r="AK5021" s="13"/>
      <c r="AL5021" s="13"/>
      <c r="AM5021" s="13"/>
      <c r="AN5021" s="13"/>
      <c r="AO5021" s="13"/>
      <c r="AP5021" s="13"/>
      <c r="AQ5021" s="13"/>
      <c r="AR5021" s="13"/>
      <c r="AS5021" s="13"/>
    </row>
    <row r="5022" ht="14.25" customHeight="1">
      <c r="A5022" s="13"/>
      <c r="B5022" s="13"/>
      <c r="C5022" s="13"/>
      <c r="D5022" s="13"/>
      <c r="E5022" s="13"/>
      <c r="F5022" s="13"/>
      <c r="G5022" s="13"/>
      <c r="H5022" s="13"/>
      <c r="I5022" s="13"/>
      <c r="J5022" s="13"/>
      <c r="K5022" s="15"/>
      <c r="L5022" s="15"/>
      <c r="M5022" s="16"/>
      <c r="N5022" s="16"/>
      <c r="O5022" s="17"/>
      <c r="P5022" s="17"/>
      <c r="Q5022" s="13"/>
      <c r="R5022" s="13"/>
      <c r="S5022" s="13"/>
      <c r="T5022" s="13"/>
      <c r="U5022" s="13"/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13"/>
      <c r="AG5022" s="13"/>
      <c r="AH5022" s="13"/>
      <c r="AI5022" s="13"/>
      <c r="AJ5022" s="13"/>
      <c r="AK5022" s="13"/>
      <c r="AL5022" s="13"/>
      <c r="AM5022" s="13"/>
      <c r="AN5022" s="13"/>
      <c r="AO5022" s="13"/>
      <c r="AP5022" s="13"/>
      <c r="AQ5022" s="13"/>
      <c r="AR5022" s="13"/>
      <c r="AS5022" s="13"/>
    </row>
    <row r="5023" ht="14.25" customHeight="1">
      <c r="A5023" s="13"/>
      <c r="B5023" s="13"/>
      <c r="C5023" s="13"/>
      <c r="D5023" s="13"/>
      <c r="E5023" s="13"/>
      <c r="F5023" s="13"/>
      <c r="G5023" s="13"/>
      <c r="H5023" s="13"/>
      <c r="I5023" s="13"/>
      <c r="J5023" s="13"/>
      <c r="K5023" s="15"/>
      <c r="L5023" s="15"/>
      <c r="M5023" s="16"/>
      <c r="N5023" s="16"/>
      <c r="O5023" s="17"/>
      <c r="P5023" s="17"/>
      <c r="Q5023" s="13"/>
      <c r="R5023" s="13"/>
      <c r="S5023" s="13"/>
      <c r="T5023" s="13"/>
      <c r="U5023" s="13"/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13"/>
      <c r="AG5023" s="13"/>
      <c r="AH5023" s="13"/>
      <c r="AI5023" s="13"/>
      <c r="AJ5023" s="13"/>
      <c r="AK5023" s="13"/>
      <c r="AL5023" s="13"/>
      <c r="AM5023" s="13"/>
      <c r="AN5023" s="13"/>
      <c r="AO5023" s="13"/>
      <c r="AP5023" s="13"/>
      <c r="AQ5023" s="13"/>
      <c r="AR5023" s="13"/>
      <c r="AS5023" s="13"/>
    </row>
    <row r="5024" ht="14.25" customHeight="1">
      <c r="A5024" s="13"/>
      <c r="B5024" s="13"/>
      <c r="C5024" s="13"/>
      <c r="D5024" s="13"/>
      <c r="E5024" s="13"/>
      <c r="F5024" s="13"/>
      <c r="G5024" s="13"/>
      <c r="H5024" s="13"/>
      <c r="I5024" s="13"/>
      <c r="J5024" s="13"/>
      <c r="K5024" s="15"/>
      <c r="L5024" s="15"/>
      <c r="M5024" s="16"/>
      <c r="N5024" s="16"/>
      <c r="O5024" s="17"/>
      <c r="P5024" s="17"/>
      <c r="Q5024" s="13"/>
      <c r="R5024" s="13"/>
      <c r="S5024" s="13"/>
      <c r="T5024" s="13"/>
      <c r="U5024" s="13"/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  <c r="AG5024" s="13"/>
      <c r="AH5024" s="13"/>
      <c r="AI5024" s="13"/>
      <c r="AJ5024" s="13"/>
      <c r="AK5024" s="13"/>
      <c r="AL5024" s="13"/>
      <c r="AM5024" s="13"/>
      <c r="AN5024" s="13"/>
      <c r="AO5024" s="13"/>
      <c r="AP5024" s="13"/>
      <c r="AQ5024" s="13"/>
      <c r="AR5024" s="13"/>
      <c r="AS5024" s="13"/>
    </row>
    <row r="5025" ht="14.25" customHeight="1">
      <c r="A5025" s="13"/>
      <c r="B5025" s="13"/>
      <c r="C5025" s="13"/>
      <c r="D5025" s="13"/>
      <c r="E5025" s="13"/>
      <c r="F5025" s="13"/>
      <c r="G5025" s="13"/>
      <c r="H5025" s="13"/>
      <c r="I5025" s="13"/>
      <c r="J5025" s="13"/>
      <c r="K5025" s="15"/>
      <c r="L5025" s="15"/>
      <c r="M5025" s="16"/>
      <c r="N5025" s="16"/>
      <c r="O5025" s="17"/>
      <c r="P5025" s="17"/>
      <c r="Q5025" s="13"/>
      <c r="R5025" s="13"/>
      <c r="S5025" s="13"/>
      <c r="T5025" s="13"/>
      <c r="U5025" s="13"/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13"/>
      <c r="AG5025" s="13"/>
      <c r="AH5025" s="13"/>
      <c r="AI5025" s="13"/>
      <c r="AJ5025" s="13"/>
      <c r="AK5025" s="13"/>
      <c r="AL5025" s="13"/>
      <c r="AM5025" s="13"/>
      <c r="AN5025" s="13"/>
      <c r="AO5025" s="13"/>
      <c r="AP5025" s="13"/>
      <c r="AQ5025" s="13"/>
      <c r="AR5025" s="13"/>
      <c r="AS5025" s="13"/>
    </row>
    <row r="5026" ht="14.25" customHeight="1">
      <c r="A5026" s="13"/>
      <c r="B5026" s="13"/>
      <c r="C5026" s="13"/>
      <c r="D5026" s="13"/>
      <c r="E5026" s="13"/>
      <c r="F5026" s="13"/>
      <c r="G5026" s="13"/>
      <c r="H5026" s="13"/>
      <c r="I5026" s="13"/>
      <c r="J5026" s="13"/>
      <c r="K5026" s="15"/>
      <c r="L5026" s="15"/>
      <c r="M5026" s="16"/>
      <c r="N5026" s="16"/>
      <c r="O5026" s="17"/>
      <c r="P5026" s="17"/>
      <c r="Q5026" s="13"/>
      <c r="R5026" s="13"/>
      <c r="S5026" s="13"/>
      <c r="T5026" s="13"/>
      <c r="U5026" s="13"/>
      <c r="V5026" s="13"/>
      <c r="W5026" s="13"/>
      <c r="X5026" s="13"/>
      <c r="Y5026" s="13"/>
      <c r="Z5026" s="13"/>
      <c r="AA5026" s="13"/>
      <c r="AB5026" s="13"/>
      <c r="AC5026" s="13"/>
      <c r="AD5026" s="13"/>
      <c r="AE5026" s="13"/>
      <c r="AF5026" s="13"/>
      <c r="AG5026" s="13"/>
      <c r="AH5026" s="13"/>
      <c r="AI5026" s="13"/>
      <c r="AJ5026" s="13"/>
      <c r="AK5026" s="13"/>
      <c r="AL5026" s="13"/>
      <c r="AM5026" s="13"/>
      <c r="AN5026" s="13"/>
      <c r="AO5026" s="13"/>
      <c r="AP5026" s="13"/>
      <c r="AQ5026" s="13"/>
      <c r="AR5026" s="13"/>
      <c r="AS5026" s="13"/>
    </row>
    <row r="5027" ht="14.25" customHeight="1">
      <c r="A5027" s="13"/>
      <c r="B5027" s="13"/>
      <c r="C5027" s="13"/>
      <c r="D5027" s="13"/>
      <c r="E5027" s="13"/>
      <c r="F5027" s="13"/>
      <c r="G5027" s="13"/>
      <c r="H5027" s="13"/>
      <c r="I5027" s="13"/>
      <c r="J5027" s="13"/>
      <c r="K5027" s="15"/>
      <c r="L5027" s="15"/>
      <c r="M5027" s="16"/>
      <c r="N5027" s="16"/>
      <c r="O5027" s="17"/>
      <c r="P5027" s="17"/>
      <c r="Q5027" s="13"/>
      <c r="R5027" s="13"/>
      <c r="S5027" s="13"/>
      <c r="T5027" s="13"/>
      <c r="U5027" s="13"/>
      <c r="V5027" s="13"/>
      <c r="W5027" s="13"/>
      <c r="X5027" s="13"/>
      <c r="Y5027" s="13"/>
      <c r="Z5027" s="13"/>
      <c r="AA5027" s="13"/>
      <c r="AB5027" s="13"/>
      <c r="AC5027" s="13"/>
      <c r="AD5027" s="13"/>
      <c r="AE5027" s="13"/>
      <c r="AF5027" s="13"/>
      <c r="AG5027" s="13"/>
      <c r="AH5027" s="13"/>
      <c r="AI5027" s="13"/>
      <c r="AJ5027" s="13"/>
      <c r="AK5027" s="13"/>
      <c r="AL5027" s="13"/>
      <c r="AM5027" s="13"/>
      <c r="AN5027" s="13"/>
      <c r="AO5027" s="13"/>
      <c r="AP5027" s="13"/>
      <c r="AQ5027" s="13"/>
      <c r="AR5027" s="13"/>
      <c r="AS5027" s="13"/>
    </row>
    <row r="5028" ht="14.25" customHeight="1">
      <c r="A5028" s="13"/>
      <c r="B5028" s="13"/>
      <c r="C5028" s="13"/>
      <c r="D5028" s="13"/>
      <c r="E5028" s="13"/>
      <c r="F5028" s="13"/>
      <c r="G5028" s="13"/>
      <c r="H5028" s="13"/>
      <c r="I5028" s="13"/>
      <c r="J5028" s="13"/>
      <c r="K5028" s="15"/>
      <c r="L5028" s="15"/>
      <c r="M5028" s="16"/>
      <c r="N5028" s="16"/>
      <c r="O5028" s="17"/>
      <c r="P5028" s="17"/>
      <c r="Q5028" s="13"/>
      <c r="R5028" s="13"/>
      <c r="S5028" s="13"/>
      <c r="T5028" s="13"/>
      <c r="U5028" s="13"/>
      <c r="V5028" s="13"/>
      <c r="W5028" s="13"/>
      <c r="X5028" s="13"/>
      <c r="Y5028" s="13"/>
      <c r="Z5028" s="13"/>
      <c r="AA5028" s="13"/>
      <c r="AB5028" s="13"/>
      <c r="AC5028" s="13"/>
      <c r="AD5028" s="13"/>
      <c r="AE5028" s="13"/>
      <c r="AF5028" s="13"/>
      <c r="AG5028" s="13"/>
      <c r="AH5028" s="13"/>
      <c r="AI5028" s="13"/>
      <c r="AJ5028" s="13"/>
      <c r="AK5028" s="13"/>
      <c r="AL5028" s="13"/>
      <c r="AM5028" s="13"/>
      <c r="AN5028" s="13"/>
      <c r="AO5028" s="13"/>
      <c r="AP5028" s="13"/>
      <c r="AQ5028" s="13"/>
      <c r="AR5028" s="13"/>
      <c r="AS5028" s="13"/>
    </row>
    <row r="5029" ht="14.25" customHeight="1">
      <c r="A5029" s="13"/>
      <c r="B5029" s="13"/>
      <c r="C5029" s="13"/>
      <c r="D5029" s="13"/>
      <c r="E5029" s="13"/>
      <c r="F5029" s="13"/>
      <c r="G5029" s="13"/>
      <c r="H5029" s="13"/>
      <c r="I5029" s="13"/>
      <c r="J5029" s="13"/>
      <c r="K5029" s="15"/>
      <c r="L5029" s="15"/>
      <c r="M5029" s="16"/>
      <c r="N5029" s="16"/>
      <c r="O5029" s="17"/>
      <c r="P5029" s="17"/>
      <c r="Q5029" s="13"/>
      <c r="R5029" s="13"/>
      <c r="S5029" s="13"/>
      <c r="T5029" s="13"/>
      <c r="U5029" s="13"/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13"/>
      <c r="AG5029" s="13"/>
      <c r="AH5029" s="13"/>
      <c r="AI5029" s="13"/>
      <c r="AJ5029" s="13"/>
      <c r="AK5029" s="13"/>
      <c r="AL5029" s="13"/>
      <c r="AM5029" s="13"/>
      <c r="AN5029" s="13"/>
      <c r="AO5029" s="13"/>
      <c r="AP5029" s="13"/>
      <c r="AQ5029" s="13"/>
      <c r="AR5029" s="13"/>
      <c r="AS5029" s="13"/>
    </row>
    <row r="5030" ht="14.25" customHeight="1">
      <c r="A5030" s="13"/>
      <c r="B5030" s="13"/>
      <c r="C5030" s="13"/>
      <c r="D5030" s="13"/>
      <c r="E5030" s="13"/>
      <c r="F5030" s="13"/>
      <c r="G5030" s="13"/>
      <c r="H5030" s="13"/>
      <c r="I5030" s="13"/>
      <c r="J5030" s="13"/>
      <c r="K5030" s="15"/>
      <c r="L5030" s="15"/>
      <c r="M5030" s="16"/>
      <c r="N5030" s="16"/>
      <c r="O5030" s="17"/>
      <c r="P5030" s="17"/>
      <c r="Q5030" s="13"/>
      <c r="R5030" s="13"/>
      <c r="S5030" s="13"/>
      <c r="T5030" s="13"/>
      <c r="U5030" s="13"/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13"/>
      <c r="AG5030" s="13"/>
      <c r="AH5030" s="13"/>
      <c r="AI5030" s="13"/>
      <c r="AJ5030" s="13"/>
      <c r="AK5030" s="13"/>
      <c r="AL5030" s="13"/>
      <c r="AM5030" s="13"/>
      <c r="AN5030" s="13"/>
      <c r="AO5030" s="13"/>
      <c r="AP5030" s="13"/>
      <c r="AQ5030" s="13"/>
      <c r="AR5030" s="13"/>
      <c r="AS5030" s="13"/>
    </row>
    <row r="5031" ht="14.25" customHeight="1">
      <c r="A5031" s="13"/>
      <c r="B5031" s="13"/>
      <c r="C5031" s="13"/>
      <c r="D5031" s="13"/>
      <c r="E5031" s="13"/>
      <c r="F5031" s="13"/>
      <c r="G5031" s="13"/>
      <c r="H5031" s="13"/>
      <c r="I5031" s="13"/>
      <c r="J5031" s="13"/>
      <c r="K5031" s="15"/>
      <c r="L5031" s="15"/>
      <c r="M5031" s="16"/>
      <c r="N5031" s="16"/>
      <c r="O5031" s="17"/>
      <c r="P5031" s="17"/>
      <c r="Q5031" s="13"/>
      <c r="R5031" s="13"/>
      <c r="S5031" s="13"/>
      <c r="T5031" s="13"/>
      <c r="U5031" s="13"/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13"/>
      <c r="AG5031" s="13"/>
      <c r="AH5031" s="13"/>
      <c r="AI5031" s="13"/>
      <c r="AJ5031" s="13"/>
      <c r="AK5031" s="13"/>
      <c r="AL5031" s="13"/>
      <c r="AM5031" s="13"/>
      <c r="AN5031" s="13"/>
      <c r="AO5031" s="13"/>
      <c r="AP5031" s="13"/>
      <c r="AQ5031" s="13"/>
      <c r="AR5031" s="13"/>
      <c r="AS5031" s="13"/>
    </row>
    <row r="5032" ht="14.25" customHeight="1">
      <c r="A5032" s="13"/>
      <c r="B5032" s="13"/>
      <c r="C5032" s="13"/>
      <c r="D5032" s="13"/>
      <c r="E5032" s="13"/>
      <c r="F5032" s="13"/>
      <c r="G5032" s="13"/>
      <c r="H5032" s="13"/>
      <c r="I5032" s="13"/>
      <c r="J5032" s="13"/>
      <c r="K5032" s="15"/>
      <c r="L5032" s="15"/>
      <c r="M5032" s="16"/>
      <c r="N5032" s="16"/>
      <c r="O5032" s="17"/>
      <c r="P5032" s="17"/>
      <c r="Q5032" s="13"/>
      <c r="R5032" s="13"/>
      <c r="S5032" s="13"/>
      <c r="T5032" s="13"/>
      <c r="U5032" s="13"/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13"/>
      <c r="AG5032" s="13"/>
      <c r="AH5032" s="13"/>
      <c r="AI5032" s="13"/>
      <c r="AJ5032" s="13"/>
      <c r="AK5032" s="13"/>
      <c r="AL5032" s="13"/>
      <c r="AM5032" s="13"/>
      <c r="AN5032" s="13"/>
      <c r="AO5032" s="13"/>
      <c r="AP5032" s="13"/>
      <c r="AQ5032" s="13"/>
      <c r="AR5032" s="13"/>
      <c r="AS5032" s="13"/>
    </row>
    <row r="5033" ht="14.25" customHeight="1">
      <c r="A5033" s="13"/>
      <c r="B5033" s="13"/>
      <c r="C5033" s="13"/>
      <c r="D5033" s="13"/>
      <c r="E5033" s="13"/>
      <c r="F5033" s="13"/>
      <c r="G5033" s="13"/>
      <c r="H5033" s="13"/>
      <c r="I5033" s="13"/>
      <c r="J5033" s="13"/>
      <c r="K5033" s="15"/>
      <c r="L5033" s="15"/>
      <c r="M5033" s="16"/>
      <c r="N5033" s="16"/>
      <c r="O5033" s="17"/>
      <c r="P5033" s="17"/>
      <c r="Q5033" s="13"/>
      <c r="R5033" s="13"/>
      <c r="S5033" s="13"/>
      <c r="T5033" s="13"/>
      <c r="U5033" s="13"/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13"/>
      <c r="AG5033" s="13"/>
      <c r="AH5033" s="13"/>
      <c r="AI5033" s="13"/>
      <c r="AJ5033" s="13"/>
      <c r="AK5033" s="13"/>
      <c r="AL5033" s="13"/>
      <c r="AM5033" s="13"/>
      <c r="AN5033" s="13"/>
      <c r="AO5033" s="13"/>
      <c r="AP5033" s="13"/>
      <c r="AQ5033" s="13"/>
      <c r="AR5033" s="13"/>
      <c r="AS5033" s="13"/>
    </row>
    <row r="5034" ht="14.25" customHeight="1">
      <c r="A5034" s="13"/>
      <c r="B5034" s="13"/>
      <c r="C5034" s="13"/>
      <c r="D5034" s="13"/>
      <c r="E5034" s="13"/>
      <c r="F5034" s="13"/>
      <c r="G5034" s="13"/>
      <c r="H5034" s="13"/>
      <c r="I5034" s="13"/>
      <c r="J5034" s="13"/>
      <c r="K5034" s="15"/>
      <c r="L5034" s="15"/>
      <c r="M5034" s="16"/>
      <c r="N5034" s="16"/>
      <c r="O5034" s="17"/>
      <c r="P5034" s="17"/>
      <c r="Q5034" s="13"/>
      <c r="R5034" s="13"/>
      <c r="S5034" s="13"/>
      <c r="T5034" s="13"/>
      <c r="U5034" s="13"/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13"/>
      <c r="AG5034" s="13"/>
      <c r="AH5034" s="13"/>
      <c r="AI5034" s="13"/>
      <c r="AJ5034" s="13"/>
      <c r="AK5034" s="13"/>
      <c r="AL5034" s="13"/>
      <c r="AM5034" s="13"/>
      <c r="AN5034" s="13"/>
      <c r="AO5034" s="13"/>
      <c r="AP5034" s="13"/>
      <c r="AQ5034" s="13"/>
      <c r="AR5034" s="13"/>
      <c r="AS5034" s="13"/>
    </row>
    <row r="5035" ht="14.25" customHeight="1">
      <c r="A5035" s="13"/>
      <c r="B5035" s="13"/>
      <c r="C5035" s="13"/>
      <c r="D5035" s="13"/>
      <c r="E5035" s="13"/>
      <c r="F5035" s="13"/>
      <c r="G5035" s="13"/>
      <c r="H5035" s="13"/>
      <c r="I5035" s="13"/>
      <c r="J5035" s="13"/>
      <c r="K5035" s="15"/>
      <c r="L5035" s="15"/>
      <c r="M5035" s="16"/>
      <c r="N5035" s="16"/>
      <c r="O5035" s="17"/>
      <c r="P5035" s="17"/>
      <c r="Q5035" s="13"/>
      <c r="R5035" s="13"/>
      <c r="S5035" s="13"/>
      <c r="T5035" s="13"/>
      <c r="U5035" s="13"/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13"/>
      <c r="AG5035" s="13"/>
      <c r="AH5035" s="13"/>
      <c r="AI5035" s="13"/>
      <c r="AJ5035" s="13"/>
      <c r="AK5035" s="13"/>
      <c r="AL5035" s="13"/>
      <c r="AM5035" s="13"/>
      <c r="AN5035" s="13"/>
      <c r="AO5035" s="13"/>
      <c r="AP5035" s="13"/>
      <c r="AQ5035" s="13"/>
      <c r="AR5035" s="13"/>
      <c r="AS5035" s="13"/>
    </row>
    <row r="5036" ht="14.25" customHeight="1">
      <c r="A5036" s="13"/>
      <c r="B5036" s="13"/>
      <c r="C5036" s="13"/>
      <c r="D5036" s="13"/>
      <c r="E5036" s="13"/>
      <c r="F5036" s="13"/>
      <c r="G5036" s="13"/>
      <c r="H5036" s="13"/>
      <c r="I5036" s="13"/>
      <c r="J5036" s="13"/>
      <c r="K5036" s="15"/>
      <c r="L5036" s="15"/>
      <c r="M5036" s="16"/>
      <c r="N5036" s="16"/>
      <c r="O5036" s="17"/>
      <c r="P5036" s="17"/>
      <c r="Q5036" s="13"/>
      <c r="R5036" s="13"/>
      <c r="S5036" s="13"/>
      <c r="T5036" s="13"/>
      <c r="U5036" s="13"/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13"/>
      <c r="AG5036" s="13"/>
      <c r="AH5036" s="13"/>
      <c r="AI5036" s="13"/>
      <c r="AJ5036" s="13"/>
      <c r="AK5036" s="13"/>
      <c r="AL5036" s="13"/>
      <c r="AM5036" s="13"/>
      <c r="AN5036" s="13"/>
      <c r="AO5036" s="13"/>
      <c r="AP5036" s="13"/>
      <c r="AQ5036" s="13"/>
      <c r="AR5036" s="13"/>
      <c r="AS5036" s="13"/>
    </row>
    <row r="5037" ht="14.25" customHeight="1">
      <c r="A5037" s="13"/>
      <c r="B5037" s="13"/>
      <c r="C5037" s="13"/>
      <c r="D5037" s="13"/>
      <c r="E5037" s="13"/>
      <c r="F5037" s="13"/>
      <c r="G5037" s="13"/>
      <c r="H5037" s="13"/>
      <c r="I5037" s="13"/>
      <c r="J5037" s="13"/>
      <c r="K5037" s="15"/>
      <c r="L5037" s="15"/>
      <c r="M5037" s="16"/>
      <c r="N5037" s="16"/>
      <c r="O5037" s="17"/>
      <c r="P5037" s="17"/>
      <c r="Q5037" s="13"/>
      <c r="R5037" s="13"/>
      <c r="S5037" s="13"/>
      <c r="T5037" s="13"/>
      <c r="U5037" s="13"/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13"/>
      <c r="AG5037" s="13"/>
      <c r="AH5037" s="13"/>
      <c r="AI5037" s="13"/>
      <c r="AJ5037" s="13"/>
      <c r="AK5037" s="13"/>
      <c r="AL5037" s="13"/>
      <c r="AM5037" s="13"/>
      <c r="AN5037" s="13"/>
      <c r="AO5037" s="13"/>
      <c r="AP5037" s="13"/>
      <c r="AQ5037" s="13"/>
      <c r="AR5037" s="13"/>
      <c r="AS5037" s="13"/>
    </row>
    <row r="5038" ht="14.25" customHeight="1">
      <c r="A5038" s="13"/>
      <c r="B5038" s="13"/>
      <c r="C5038" s="13"/>
      <c r="D5038" s="13"/>
      <c r="E5038" s="13"/>
      <c r="F5038" s="13"/>
      <c r="G5038" s="13"/>
      <c r="H5038" s="13"/>
      <c r="I5038" s="13"/>
      <c r="J5038" s="13"/>
      <c r="K5038" s="15"/>
      <c r="L5038" s="15"/>
      <c r="M5038" s="16"/>
      <c r="N5038" s="16"/>
      <c r="O5038" s="17"/>
      <c r="P5038" s="17"/>
      <c r="Q5038" s="13"/>
      <c r="R5038" s="13"/>
      <c r="S5038" s="13"/>
      <c r="T5038" s="13"/>
      <c r="U5038" s="13"/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13"/>
      <c r="AG5038" s="13"/>
      <c r="AH5038" s="13"/>
      <c r="AI5038" s="13"/>
      <c r="AJ5038" s="13"/>
      <c r="AK5038" s="13"/>
      <c r="AL5038" s="13"/>
      <c r="AM5038" s="13"/>
      <c r="AN5038" s="13"/>
      <c r="AO5038" s="13"/>
      <c r="AP5038" s="13"/>
      <c r="AQ5038" s="13"/>
      <c r="AR5038" s="13"/>
      <c r="AS5038" s="13"/>
    </row>
    <row r="5039" ht="14.25" customHeight="1">
      <c r="A5039" s="13"/>
      <c r="B5039" s="13"/>
      <c r="C5039" s="13"/>
      <c r="D5039" s="13"/>
      <c r="E5039" s="13"/>
      <c r="F5039" s="13"/>
      <c r="G5039" s="13"/>
      <c r="H5039" s="13"/>
      <c r="I5039" s="13"/>
      <c r="J5039" s="13"/>
      <c r="K5039" s="15"/>
      <c r="L5039" s="15"/>
      <c r="M5039" s="16"/>
      <c r="N5039" s="16"/>
      <c r="O5039" s="17"/>
      <c r="P5039" s="17"/>
      <c r="Q5039" s="13"/>
      <c r="R5039" s="13"/>
      <c r="S5039" s="13"/>
      <c r="T5039" s="13"/>
      <c r="U5039" s="13"/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  <c r="AG5039" s="13"/>
      <c r="AH5039" s="13"/>
      <c r="AI5039" s="13"/>
      <c r="AJ5039" s="13"/>
      <c r="AK5039" s="13"/>
      <c r="AL5039" s="13"/>
      <c r="AM5039" s="13"/>
      <c r="AN5039" s="13"/>
      <c r="AO5039" s="13"/>
      <c r="AP5039" s="13"/>
      <c r="AQ5039" s="13"/>
      <c r="AR5039" s="13"/>
      <c r="AS5039" s="13"/>
    </row>
    <row r="5040" ht="14.25" customHeight="1">
      <c r="A5040" s="13"/>
      <c r="B5040" s="13"/>
      <c r="C5040" s="13"/>
      <c r="D5040" s="13"/>
      <c r="E5040" s="13"/>
      <c r="F5040" s="13"/>
      <c r="G5040" s="13"/>
      <c r="H5040" s="13"/>
      <c r="I5040" s="13"/>
      <c r="J5040" s="13"/>
      <c r="K5040" s="15"/>
      <c r="L5040" s="15"/>
      <c r="M5040" s="16"/>
      <c r="N5040" s="16"/>
      <c r="O5040" s="17"/>
      <c r="P5040" s="17"/>
      <c r="Q5040" s="13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  <c r="AG5040" s="13"/>
      <c r="AH5040" s="13"/>
      <c r="AI5040" s="13"/>
      <c r="AJ5040" s="13"/>
      <c r="AK5040" s="13"/>
      <c r="AL5040" s="13"/>
      <c r="AM5040" s="13"/>
      <c r="AN5040" s="13"/>
      <c r="AO5040" s="13"/>
      <c r="AP5040" s="13"/>
      <c r="AQ5040" s="13"/>
      <c r="AR5040" s="13"/>
      <c r="AS5040" s="13"/>
    </row>
    <row r="5041" ht="14.25" customHeight="1">
      <c r="A5041" s="13"/>
      <c r="B5041" s="13"/>
      <c r="C5041" s="13"/>
      <c r="D5041" s="13"/>
      <c r="E5041" s="13"/>
      <c r="F5041" s="13"/>
      <c r="G5041" s="13"/>
      <c r="H5041" s="13"/>
      <c r="I5041" s="13"/>
      <c r="J5041" s="13"/>
      <c r="K5041" s="15"/>
      <c r="L5041" s="15"/>
      <c r="M5041" s="16"/>
      <c r="N5041" s="16"/>
      <c r="O5041" s="17"/>
      <c r="P5041" s="17"/>
      <c r="Q5041" s="13"/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  <c r="AB5041" s="13"/>
      <c r="AC5041" s="13"/>
      <c r="AD5041" s="13"/>
      <c r="AE5041" s="13"/>
      <c r="AF5041" s="13"/>
      <c r="AG5041" s="13"/>
      <c r="AH5041" s="13"/>
      <c r="AI5041" s="13"/>
      <c r="AJ5041" s="13"/>
      <c r="AK5041" s="13"/>
      <c r="AL5041" s="13"/>
      <c r="AM5041" s="13"/>
      <c r="AN5041" s="13"/>
      <c r="AO5041" s="13"/>
      <c r="AP5041" s="13"/>
      <c r="AQ5041" s="13"/>
      <c r="AR5041" s="13"/>
      <c r="AS5041" s="13"/>
    </row>
    <row r="5042" ht="14.25" customHeight="1">
      <c r="A5042" s="13"/>
      <c r="B5042" s="13"/>
      <c r="C5042" s="13"/>
      <c r="D5042" s="13"/>
      <c r="E5042" s="13"/>
      <c r="F5042" s="13"/>
      <c r="G5042" s="13"/>
      <c r="H5042" s="13"/>
      <c r="I5042" s="13"/>
      <c r="J5042" s="13"/>
      <c r="K5042" s="15"/>
      <c r="L5042" s="15"/>
      <c r="M5042" s="16"/>
      <c r="N5042" s="16"/>
      <c r="O5042" s="17"/>
      <c r="P5042" s="17"/>
      <c r="Q5042" s="13"/>
      <c r="R5042" s="13"/>
      <c r="S5042" s="13"/>
      <c r="T5042" s="13"/>
      <c r="U5042" s="13"/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  <c r="AG5042" s="13"/>
      <c r="AH5042" s="13"/>
      <c r="AI5042" s="13"/>
      <c r="AJ5042" s="13"/>
      <c r="AK5042" s="13"/>
      <c r="AL5042" s="13"/>
      <c r="AM5042" s="13"/>
      <c r="AN5042" s="13"/>
      <c r="AO5042" s="13"/>
      <c r="AP5042" s="13"/>
      <c r="AQ5042" s="13"/>
      <c r="AR5042" s="13"/>
      <c r="AS5042" s="13"/>
    </row>
    <row r="5043" ht="14.25" customHeight="1">
      <c r="A5043" s="13"/>
      <c r="B5043" s="13"/>
      <c r="C5043" s="13"/>
      <c r="D5043" s="13"/>
      <c r="E5043" s="13"/>
      <c r="F5043" s="13"/>
      <c r="G5043" s="13"/>
      <c r="H5043" s="13"/>
      <c r="I5043" s="13"/>
      <c r="J5043" s="13"/>
      <c r="K5043" s="15"/>
      <c r="L5043" s="15"/>
      <c r="M5043" s="16"/>
      <c r="N5043" s="16"/>
      <c r="O5043" s="17"/>
      <c r="P5043" s="17"/>
      <c r="Q5043" s="13"/>
      <c r="R5043" s="13"/>
      <c r="S5043" s="13"/>
      <c r="T5043" s="13"/>
      <c r="U5043" s="13"/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13"/>
      <c r="AG5043" s="13"/>
      <c r="AH5043" s="13"/>
      <c r="AI5043" s="13"/>
      <c r="AJ5043" s="13"/>
      <c r="AK5043" s="13"/>
      <c r="AL5043" s="13"/>
      <c r="AM5043" s="13"/>
      <c r="AN5043" s="13"/>
      <c r="AO5043" s="13"/>
      <c r="AP5043" s="13"/>
      <c r="AQ5043" s="13"/>
      <c r="AR5043" s="13"/>
      <c r="AS5043" s="13"/>
    </row>
    <row r="5044" ht="14.25" customHeight="1">
      <c r="A5044" s="13"/>
      <c r="B5044" s="13"/>
      <c r="C5044" s="13"/>
      <c r="D5044" s="13"/>
      <c r="E5044" s="13"/>
      <c r="F5044" s="13"/>
      <c r="G5044" s="13"/>
      <c r="H5044" s="13"/>
      <c r="I5044" s="13"/>
      <c r="J5044" s="13"/>
      <c r="K5044" s="15"/>
      <c r="L5044" s="15"/>
      <c r="M5044" s="16"/>
      <c r="N5044" s="16"/>
      <c r="O5044" s="17"/>
      <c r="P5044" s="17"/>
      <c r="Q5044" s="13"/>
      <c r="R5044" s="13"/>
      <c r="S5044" s="13"/>
      <c r="T5044" s="13"/>
      <c r="U5044" s="13"/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13"/>
      <c r="AG5044" s="13"/>
      <c r="AH5044" s="13"/>
      <c r="AI5044" s="13"/>
      <c r="AJ5044" s="13"/>
      <c r="AK5044" s="13"/>
      <c r="AL5044" s="13"/>
      <c r="AM5044" s="13"/>
      <c r="AN5044" s="13"/>
      <c r="AO5044" s="13"/>
      <c r="AP5044" s="13"/>
      <c r="AQ5044" s="13"/>
      <c r="AR5044" s="13"/>
      <c r="AS5044" s="13"/>
    </row>
    <row r="5045" ht="14.25" customHeight="1">
      <c r="A5045" s="13"/>
      <c r="B5045" s="13"/>
      <c r="C5045" s="13"/>
      <c r="D5045" s="13"/>
      <c r="E5045" s="13"/>
      <c r="F5045" s="13"/>
      <c r="G5045" s="13"/>
      <c r="H5045" s="13"/>
      <c r="I5045" s="13"/>
      <c r="J5045" s="13"/>
      <c r="K5045" s="15"/>
      <c r="L5045" s="15"/>
      <c r="M5045" s="16"/>
      <c r="N5045" s="16"/>
      <c r="O5045" s="17"/>
      <c r="P5045" s="17"/>
      <c r="Q5045" s="13"/>
      <c r="R5045" s="13"/>
      <c r="S5045" s="13"/>
      <c r="T5045" s="13"/>
      <c r="U5045" s="13"/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13"/>
      <c r="AG5045" s="13"/>
      <c r="AH5045" s="13"/>
      <c r="AI5045" s="13"/>
      <c r="AJ5045" s="13"/>
      <c r="AK5045" s="13"/>
      <c r="AL5045" s="13"/>
      <c r="AM5045" s="13"/>
      <c r="AN5045" s="13"/>
      <c r="AO5045" s="13"/>
      <c r="AP5045" s="13"/>
      <c r="AQ5045" s="13"/>
      <c r="AR5045" s="13"/>
      <c r="AS5045" s="13"/>
    </row>
    <row r="5046" ht="14.25" customHeight="1">
      <c r="A5046" s="13"/>
      <c r="B5046" s="13"/>
      <c r="C5046" s="13"/>
      <c r="D5046" s="13"/>
      <c r="E5046" s="13"/>
      <c r="F5046" s="13"/>
      <c r="G5046" s="13"/>
      <c r="H5046" s="13"/>
      <c r="I5046" s="13"/>
      <c r="J5046" s="13"/>
      <c r="K5046" s="15"/>
      <c r="L5046" s="15"/>
      <c r="M5046" s="16"/>
      <c r="N5046" s="16"/>
      <c r="O5046" s="17"/>
      <c r="P5046" s="17"/>
      <c r="Q5046" s="13"/>
      <c r="R5046" s="13"/>
      <c r="S5046" s="13"/>
      <c r="T5046" s="13"/>
      <c r="U5046" s="13"/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13"/>
      <c r="AG5046" s="13"/>
      <c r="AH5046" s="13"/>
      <c r="AI5046" s="13"/>
      <c r="AJ5046" s="13"/>
      <c r="AK5046" s="13"/>
      <c r="AL5046" s="13"/>
      <c r="AM5046" s="13"/>
      <c r="AN5046" s="13"/>
      <c r="AO5046" s="13"/>
      <c r="AP5046" s="13"/>
      <c r="AQ5046" s="13"/>
      <c r="AR5046" s="13"/>
      <c r="AS5046" s="13"/>
    </row>
    <row r="5047" ht="14.25" customHeight="1">
      <c r="A5047" s="13"/>
      <c r="B5047" s="13"/>
      <c r="C5047" s="13"/>
      <c r="D5047" s="13"/>
      <c r="E5047" s="13"/>
      <c r="F5047" s="13"/>
      <c r="G5047" s="13"/>
      <c r="H5047" s="13"/>
      <c r="I5047" s="13"/>
      <c r="J5047" s="13"/>
      <c r="K5047" s="15"/>
      <c r="L5047" s="15"/>
      <c r="M5047" s="16"/>
      <c r="N5047" s="16"/>
      <c r="O5047" s="17"/>
      <c r="P5047" s="17"/>
      <c r="Q5047" s="13"/>
      <c r="R5047" s="13"/>
      <c r="S5047" s="13"/>
      <c r="T5047" s="13"/>
      <c r="U5047" s="13"/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13"/>
      <c r="AG5047" s="13"/>
      <c r="AH5047" s="13"/>
      <c r="AI5047" s="13"/>
      <c r="AJ5047" s="13"/>
      <c r="AK5047" s="13"/>
      <c r="AL5047" s="13"/>
      <c r="AM5047" s="13"/>
      <c r="AN5047" s="13"/>
      <c r="AO5047" s="13"/>
      <c r="AP5047" s="13"/>
      <c r="AQ5047" s="13"/>
      <c r="AR5047" s="13"/>
      <c r="AS5047" s="13"/>
    </row>
    <row r="5048" ht="14.25" customHeight="1">
      <c r="A5048" s="13"/>
      <c r="B5048" s="13"/>
      <c r="C5048" s="13"/>
      <c r="D5048" s="13"/>
      <c r="E5048" s="13"/>
      <c r="F5048" s="13"/>
      <c r="G5048" s="13"/>
      <c r="H5048" s="13"/>
      <c r="I5048" s="13"/>
      <c r="J5048" s="13"/>
      <c r="K5048" s="15"/>
      <c r="L5048" s="15"/>
      <c r="M5048" s="16"/>
      <c r="N5048" s="16"/>
      <c r="O5048" s="17"/>
      <c r="P5048" s="17"/>
      <c r="Q5048" s="13"/>
      <c r="R5048" s="13"/>
      <c r="S5048" s="13"/>
      <c r="T5048" s="13"/>
      <c r="U5048" s="13"/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13"/>
      <c r="AG5048" s="13"/>
      <c r="AH5048" s="13"/>
      <c r="AI5048" s="13"/>
      <c r="AJ5048" s="13"/>
      <c r="AK5048" s="13"/>
      <c r="AL5048" s="13"/>
      <c r="AM5048" s="13"/>
      <c r="AN5048" s="13"/>
      <c r="AO5048" s="13"/>
      <c r="AP5048" s="13"/>
      <c r="AQ5048" s="13"/>
      <c r="AR5048" s="13"/>
      <c r="AS5048" s="13"/>
    </row>
    <row r="5049" ht="14.25" customHeight="1">
      <c r="A5049" s="13"/>
      <c r="B5049" s="13"/>
      <c r="C5049" s="13"/>
      <c r="D5049" s="13"/>
      <c r="E5049" s="13"/>
      <c r="F5049" s="13"/>
      <c r="G5049" s="13"/>
      <c r="H5049" s="13"/>
      <c r="I5049" s="13"/>
      <c r="J5049" s="13"/>
      <c r="K5049" s="15"/>
      <c r="L5049" s="15"/>
      <c r="M5049" s="16"/>
      <c r="N5049" s="16"/>
      <c r="O5049" s="17"/>
      <c r="P5049" s="17"/>
      <c r="Q5049" s="13"/>
      <c r="R5049" s="13"/>
      <c r="S5049" s="13"/>
      <c r="T5049" s="13"/>
      <c r="U5049" s="13"/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13"/>
      <c r="AG5049" s="13"/>
      <c r="AH5049" s="13"/>
      <c r="AI5049" s="13"/>
      <c r="AJ5049" s="13"/>
      <c r="AK5049" s="13"/>
      <c r="AL5049" s="13"/>
      <c r="AM5049" s="13"/>
      <c r="AN5049" s="13"/>
      <c r="AO5049" s="13"/>
      <c r="AP5049" s="13"/>
      <c r="AQ5049" s="13"/>
      <c r="AR5049" s="13"/>
      <c r="AS5049" s="13"/>
    </row>
    <row r="5050" ht="14.25" customHeight="1">
      <c r="A5050" s="13"/>
      <c r="B5050" s="13"/>
      <c r="C5050" s="13"/>
      <c r="D5050" s="13"/>
      <c r="E5050" s="13"/>
      <c r="F5050" s="13"/>
      <c r="G5050" s="13"/>
      <c r="H5050" s="13"/>
      <c r="I5050" s="13"/>
      <c r="J5050" s="13"/>
      <c r="K5050" s="15"/>
      <c r="L5050" s="15"/>
      <c r="M5050" s="16"/>
      <c r="N5050" s="16"/>
      <c r="O5050" s="17"/>
      <c r="P5050" s="17"/>
      <c r="Q5050" s="13"/>
      <c r="R5050" s="13"/>
      <c r="S5050" s="13"/>
      <c r="T5050" s="13"/>
      <c r="U5050" s="13"/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13"/>
      <c r="AG5050" s="13"/>
      <c r="AH5050" s="13"/>
      <c r="AI5050" s="13"/>
      <c r="AJ5050" s="13"/>
      <c r="AK5050" s="13"/>
      <c r="AL5050" s="13"/>
      <c r="AM5050" s="13"/>
      <c r="AN5050" s="13"/>
      <c r="AO5050" s="13"/>
      <c r="AP5050" s="13"/>
      <c r="AQ5050" s="13"/>
      <c r="AR5050" s="13"/>
      <c r="AS5050" s="13"/>
    </row>
    <row r="5051" ht="14.25" customHeight="1">
      <c r="A5051" s="13"/>
      <c r="B5051" s="13"/>
      <c r="C5051" s="13"/>
      <c r="D5051" s="13"/>
      <c r="E5051" s="13"/>
      <c r="F5051" s="13"/>
      <c r="G5051" s="13"/>
      <c r="H5051" s="13"/>
      <c r="I5051" s="13"/>
      <c r="J5051" s="13"/>
      <c r="K5051" s="15"/>
      <c r="L5051" s="15"/>
      <c r="M5051" s="16"/>
      <c r="N5051" s="16"/>
      <c r="O5051" s="17"/>
      <c r="P5051" s="17"/>
      <c r="Q5051" s="13"/>
      <c r="R5051" s="13"/>
      <c r="S5051" s="13"/>
      <c r="T5051" s="13"/>
      <c r="U5051" s="13"/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13"/>
      <c r="AG5051" s="13"/>
      <c r="AH5051" s="13"/>
      <c r="AI5051" s="13"/>
      <c r="AJ5051" s="13"/>
      <c r="AK5051" s="13"/>
      <c r="AL5051" s="13"/>
      <c r="AM5051" s="13"/>
      <c r="AN5051" s="13"/>
      <c r="AO5051" s="13"/>
      <c r="AP5051" s="13"/>
      <c r="AQ5051" s="13"/>
      <c r="AR5051" s="13"/>
      <c r="AS5051" s="13"/>
    </row>
    <row r="5052" ht="14.25" customHeight="1">
      <c r="A5052" s="13"/>
      <c r="B5052" s="13"/>
      <c r="C5052" s="13"/>
      <c r="D5052" s="13"/>
      <c r="E5052" s="13"/>
      <c r="F5052" s="13"/>
      <c r="G5052" s="13"/>
      <c r="H5052" s="13"/>
      <c r="I5052" s="13"/>
      <c r="J5052" s="13"/>
      <c r="K5052" s="15"/>
      <c r="L5052" s="15"/>
      <c r="M5052" s="16"/>
      <c r="N5052" s="16"/>
      <c r="O5052" s="17"/>
      <c r="P5052" s="17"/>
      <c r="Q5052" s="13"/>
      <c r="R5052" s="13"/>
      <c r="S5052" s="13"/>
      <c r="T5052" s="13"/>
      <c r="U5052" s="13"/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13"/>
      <c r="AG5052" s="13"/>
      <c r="AH5052" s="13"/>
      <c r="AI5052" s="13"/>
      <c r="AJ5052" s="13"/>
      <c r="AK5052" s="13"/>
      <c r="AL5052" s="13"/>
      <c r="AM5052" s="13"/>
      <c r="AN5052" s="13"/>
      <c r="AO5052" s="13"/>
      <c r="AP5052" s="13"/>
      <c r="AQ5052" s="13"/>
      <c r="AR5052" s="13"/>
      <c r="AS5052" s="13"/>
    </row>
    <row r="5053" ht="14.25" customHeight="1">
      <c r="A5053" s="13"/>
      <c r="B5053" s="13"/>
      <c r="C5053" s="13"/>
      <c r="D5053" s="13"/>
      <c r="E5053" s="13"/>
      <c r="F5053" s="13"/>
      <c r="G5053" s="13"/>
      <c r="H5053" s="13"/>
      <c r="I5053" s="13"/>
      <c r="J5053" s="13"/>
      <c r="K5053" s="15"/>
      <c r="L5053" s="15"/>
      <c r="M5053" s="16"/>
      <c r="N5053" s="16"/>
      <c r="O5053" s="17"/>
      <c r="P5053" s="17"/>
      <c r="Q5053" s="13"/>
      <c r="R5053" s="13"/>
      <c r="S5053" s="13"/>
      <c r="T5053" s="13"/>
      <c r="U5053" s="13"/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  <c r="AG5053" s="13"/>
      <c r="AH5053" s="13"/>
      <c r="AI5053" s="13"/>
      <c r="AJ5053" s="13"/>
      <c r="AK5053" s="13"/>
      <c r="AL5053" s="13"/>
      <c r="AM5053" s="13"/>
      <c r="AN5053" s="13"/>
      <c r="AO5053" s="13"/>
      <c r="AP5053" s="13"/>
      <c r="AQ5053" s="13"/>
      <c r="AR5053" s="13"/>
      <c r="AS5053" s="13"/>
    </row>
    <row r="5054" ht="14.25" customHeight="1">
      <c r="A5054" s="13"/>
      <c r="B5054" s="13"/>
      <c r="C5054" s="13"/>
      <c r="D5054" s="13"/>
      <c r="E5054" s="13"/>
      <c r="F5054" s="13"/>
      <c r="G5054" s="13"/>
      <c r="H5054" s="13"/>
      <c r="I5054" s="13"/>
      <c r="J5054" s="13"/>
      <c r="K5054" s="15"/>
      <c r="L5054" s="15"/>
      <c r="M5054" s="16"/>
      <c r="N5054" s="16"/>
      <c r="O5054" s="17"/>
      <c r="P5054" s="17"/>
      <c r="Q5054" s="13"/>
      <c r="R5054" s="13"/>
      <c r="S5054" s="13"/>
      <c r="T5054" s="13"/>
      <c r="U5054" s="13"/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13"/>
      <c r="AG5054" s="13"/>
      <c r="AH5054" s="13"/>
      <c r="AI5054" s="13"/>
      <c r="AJ5054" s="13"/>
      <c r="AK5054" s="13"/>
      <c r="AL5054" s="13"/>
      <c r="AM5054" s="13"/>
      <c r="AN5054" s="13"/>
      <c r="AO5054" s="13"/>
      <c r="AP5054" s="13"/>
      <c r="AQ5054" s="13"/>
      <c r="AR5054" s="13"/>
      <c r="AS5054" s="13"/>
    </row>
    <row r="5055" ht="14.25" customHeight="1">
      <c r="A5055" s="13"/>
      <c r="B5055" s="13"/>
      <c r="C5055" s="13"/>
      <c r="D5055" s="13"/>
      <c r="E5055" s="13"/>
      <c r="F5055" s="13"/>
      <c r="G5055" s="13"/>
      <c r="H5055" s="13"/>
      <c r="I5055" s="13"/>
      <c r="J5055" s="13"/>
      <c r="K5055" s="15"/>
      <c r="L5055" s="15"/>
      <c r="M5055" s="16"/>
      <c r="N5055" s="16"/>
      <c r="O5055" s="17"/>
      <c r="P5055" s="17"/>
      <c r="Q5055" s="13"/>
      <c r="R5055" s="13"/>
      <c r="S5055" s="13"/>
      <c r="T5055" s="13"/>
      <c r="U5055" s="13"/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13"/>
      <c r="AG5055" s="13"/>
      <c r="AH5055" s="13"/>
      <c r="AI5055" s="13"/>
      <c r="AJ5055" s="13"/>
      <c r="AK5055" s="13"/>
      <c r="AL5055" s="13"/>
      <c r="AM5055" s="13"/>
      <c r="AN5055" s="13"/>
      <c r="AO5055" s="13"/>
      <c r="AP5055" s="13"/>
      <c r="AQ5055" s="13"/>
      <c r="AR5055" s="13"/>
      <c r="AS5055" s="13"/>
    </row>
    <row r="5056" ht="14.25" customHeight="1">
      <c r="A5056" s="13"/>
      <c r="B5056" s="13"/>
      <c r="C5056" s="13"/>
      <c r="D5056" s="13"/>
      <c r="E5056" s="13"/>
      <c r="F5056" s="13"/>
      <c r="G5056" s="13"/>
      <c r="H5056" s="13"/>
      <c r="I5056" s="13"/>
      <c r="J5056" s="13"/>
      <c r="K5056" s="15"/>
      <c r="L5056" s="15"/>
      <c r="M5056" s="16"/>
      <c r="N5056" s="16"/>
      <c r="O5056" s="17"/>
      <c r="P5056" s="17"/>
      <c r="Q5056" s="13"/>
      <c r="R5056" s="13"/>
      <c r="S5056" s="13"/>
      <c r="T5056" s="13"/>
      <c r="U5056" s="13"/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13"/>
      <c r="AG5056" s="13"/>
      <c r="AH5056" s="13"/>
      <c r="AI5056" s="13"/>
      <c r="AJ5056" s="13"/>
      <c r="AK5056" s="13"/>
      <c r="AL5056" s="13"/>
      <c r="AM5056" s="13"/>
      <c r="AN5056" s="13"/>
      <c r="AO5056" s="13"/>
      <c r="AP5056" s="13"/>
      <c r="AQ5056" s="13"/>
      <c r="AR5056" s="13"/>
      <c r="AS5056" s="13"/>
    </row>
    <row r="5057" ht="14.25" customHeight="1">
      <c r="A5057" s="13"/>
      <c r="B5057" s="13"/>
      <c r="C5057" s="13"/>
      <c r="D5057" s="13"/>
      <c r="E5057" s="13"/>
      <c r="F5057" s="13"/>
      <c r="G5057" s="13"/>
      <c r="H5057" s="13"/>
      <c r="I5057" s="13"/>
      <c r="J5057" s="13"/>
      <c r="K5057" s="15"/>
      <c r="L5057" s="15"/>
      <c r="M5057" s="16"/>
      <c r="N5057" s="16"/>
      <c r="O5057" s="17"/>
      <c r="P5057" s="17"/>
      <c r="Q5057" s="13"/>
      <c r="R5057" s="13"/>
      <c r="S5057" s="13"/>
      <c r="T5057" s="13"/>
      <c r="U5057" s="13"/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13"/>
      <c r="AG5057" s="13"/>
      <c r="AH5057" s="13"/>
      <c r="AI5057" s="13"/>
      <c r="AJ5057" s="13"/>
      <c r="AK5057" s="13"/>
      <c r="AL5057" s="13"/>
      <c r="AM5057" s="13"/>
      <c r="AN5057" s="13"/>
      <c r="AO5057" s="13"/>
      <c r="AP5057" s="13"/>
      <c r="AQ5057" s="13"/>
      <c r="AR5057" s="13"/>
      <c r="AS5057" s="13"/>
    </row>
    <row r="5058" ht="14.25" customHeight="1">
      <c r="A5058" s="13"/>
      <c r="B5058" s="13"/>
      <c r="C5058" s="13"/>
      <c r="D5058" s="13"/>
      <c r="E5058" s="13"/>
      <c r="F5058" s="13"/>
      <c r="G5058" s="13"/>
      <c r="H5058" s="13"/>
      <c r="I5058" s="13"/>
      <c r="J5058" s="13"/>
      <c r="K5058" s="15"/>
      <c r="L5058" s="15"/>
      <c r="M5058" s="16"/>
      <c r="N5058" s="16"/>
      <c r="O5058" s="17"/>
      <c r="P5058" s="17"/>
      <c r="Q5058" s="13"/>
      <c r="R5058" s="13"/>
      <c r="S5058" s="13"/>
      <c r="T5058" s="13"/>
      <c r="U5058" s="13"/>
      <c r="V5058" s="13"/>
      <c r="W5058" s="13"/>
      <c r="X5058" s="13"/>
      <c r="Y5058" s="13"/>
      <c r="Z5058" s="13"/>
      <c r="AA5058" s="13"/>
      <c r="AB5058" s="13"/>
      <c r="AC5058" s="13"/>
      <c r="AD5058" s="13"/>
      <c r="AE5058" s="13"/>
      <c r="AF5058" s="13"/>
      <c r="AG5058" s="13"/>
      <c r="AH5058" s="13"/>
      <c r="AI5058" s="13"/>
      <c r="AJ5058" s="13"/>
      <c r="AK5058" s="13"/>
      <c r="AL5058" s="13"/>
      <c r="AM5058" s="13"/>
      <c r="AN5058" s="13"/>
      <c r="AO5058" s="13"/>
      <c r="AP5058" s="13"/>
      <c r="AQ5058" s="13"/>
      <c r="AR5058" s="13"/>
      <c r="AS5058" s="13"/>
    </row>
    <row r="5059" ht="14.25" customHeight="1">
      <c r="A5059" s="13"/>
      <c r="B5059" s="13"/>
      <c r="C5059" s="13"/>
      <c r="D5059" s="13"/>
      <c r="E5059" s="13"/>
      <c r="F5059" s="13"/>
      <c r="G5059" s="13"/>
      <c r="H5059" s="13"/>
      <c r="I5059" s="13"/>
      <c r="J5059" s="13"/>
      <c r="K5059" s="15"/>
      <c r="L5059" s="15"/>
      <c r="M5059" s="16"/>
      <c r="N5059" s="16"/>
      <c r="O5059" s="17"/>
      <c r="P5059" s="17"/>
      <c r="Q5059" s="13"/>
      <c r="R5059" s="13"/>
      <c r="S5059" s="13"/>
      <c r="T5059" s="13"/>
      <c r="U5059" s="13"/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F5059" s="13"/>
      <c r="AG5059" s="13"/>
      <c r="AH5059" s="13"/>
      <c r="AI5059" s="13"/>
      <c r="AJ5059" s="13"/>
      <c r="AK5059" s="13"/>
      <c r="AL5059" s="13"/>
      <c r="AM5059" s="13"/>
      <c r="AN5059" s="13"/>
      <c r="AO5059" s="13"/>
      <c r="AP5059" s="13"/>
      <c r="AQ5059" s="13"/>
      <c r="AR5059" s="13"/>
      <c r="AS5059" s="13"/>
    </row>
    <row r="5060" ht="14.25" customHeight="1">
      <c r="A5060" s="13"/>
      <c r="B5060" s="13"/>
      <c r="C5060" s="13"/>
      <c r="D5060" s="13"/>
      <c r="E5060" s="13"/>
      <c r="F5060" s="13"/>
      <c r="G5060" s="13"/>
      <c r="H5060" s="13"/>
      <c r="I5060" s="13"/>
      <c r="J5060" s="13"/>
      <c r="K5060" s="15"/>
      <c r="L5060" s="15"/>
      <c r="M5060" s="16"/>
      <c r="N5060" s="16"/>
      <c r="O5060" s="17"/>
      <c r="P5060" s="17"/>
      <c r="Q5060" s="13"/>
      <c r="R5060" s="13"/>
      <c r="S5060" s="13"/>
      <c r="T5060" s="13"/>
      <c r="U5060" s="13"/>
      <c r="V5060" s="13"/>
      <c r="W5060" s="13"/>
      <c r="X5060" s="13"/>
      <c r="Y5060" s="13"/>
      <c r="Z5060" s="13"/>
      <c r="AA5060" s="13"/>
      <c r="AB5060" s="13"/>
      <c r="AC5060" s="13"/>
      <c r="AD5060" s="13"/>
      <c r="AE5060" s="13"/>
      <c r="AF5060" s="13"/>
      <c r="AG5060" s="13"/>
      <c r="AH5060" s="13"/>
      <c r="AI5060" s="13"/>
      <c r="AJ5060" s="13"/>
      <c r="AK5060" s="13"/>
      <c r="AL5060" s="13"/>
      <c r="AM5060" s="13"/>
      <c r="AN5060" s="13"/>
      <c r="AO5060" s="13"/>
      <c r="AP5060" s="13"/>
      <c r="AQ5060" s="13"/>
      <c r="AR5060" s="13"/>
      <c r="AS5060" s="13"/>
    </row>
    <row r="5061" ht="14.25" customHeight="1">
      <c r="A5061" s="13"/>
      <c r="B5061" s="13"/>
      <c r="C5061" s="13"/>
      <c r="D5061" s="13"/>
      <c r="E5061" s="13"/>
      <c r="F5061" s="13"/>
      <c r="G5061" s="13"/>
      <c r="H5061" s="13"/>
      <c r="I5061" s="13"/>
      <c r="J5061" s="13"/>
      <c r="K5061" s="15"/>
      <c r="L5061" s="15"/>
      <c r="M5061" s="16"/>
      <c r="N5061" s="16"/>
      <c r="O5061" s="17"/>
      <c r="P5061" s="17"/>
      <c r="Q5061" s="13"/>
      <c r="R5061" s="13"/>
      <c r="S5061" s="13"/>
      <c r="T5061" s="13"/>
      <c r="U5061" s="13"/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F5061" s="13"/>
      <c r="AG5061" s="13"/>
      <c r="AH5061" s="13"/>
      <c r="AI5061" s="13"/>
      <c r="AJ5061" s="13"/>
      <c r="AK5061" s="13"/>
      <c r="AL5061" s="13"/>
      <c r="AM5061" s="13"/>
      <c r="AN5061" s="13"/>
      <c r="AO5061" s="13"/>
      <c r="AP5061" s="13"/>
      <c r="AQ5061" s="13"/>
      <c r="AR5061" s="13"/>
      <c r="AS5061" s="13"/>
    </row>
    <row r="5062" ht="14.25" customHeight="1">
      <c r="A5062" s="13"/>
      <c r="B5062" s="13"/>
      <c r="C5062" s="13"/>
      <c r="D5062" s="13"/>
      <c r="E5062" s="13"/>
      <c r="F5062" s="13"/>
      <c r="G5062" s="13"/>
      <c r="H5062" s="13"/>
      <c r="I5062" s="13"/>
      <c r="J5062" s="13"/>
      <c r="K5062" s="15"/>
      <c r="L5062" s="15"/>
      <c r="M5062" s="16"/>
      <c r="N5062" s="16"/>
      <c r="O5062" s="17"/>
      <c r="P5062" s="17"/>
      <c r="Q5062" s="13"/>
      <c r="R5062" s="13"/>
      <c r="S5062" s="13"/>
      <c r="T5062" s="13"/>
      <c r="U5062" s="13"/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F5062" s="13"/>
      <c r="AG5062" s="13"/>
      <c r="AH5062" s="13"/>
      <c r="AI5062" s="13"/>
      <c r="AJ5062" s="13"/>
      <c r="AK5062" s="13"/>
      <c r="AL5062" s="13"/>
      <c r="AM5062" s="13"/>
      <c r="AN5062" s="13"/>
      <c r="AO5062" s="13"/>
      <c r="AP5062" s="13"/>
      <c r="AQ5062" s="13"/>
      <c r="AR5062" s="13"/>
      <c r="AS5062" s="13"/>
    </row>
    <row r="5063" ht="14.25" customHeight="1">
      <c r="A5063" s="13"/>
      <c r="B5063" s="13"/>
      <c r="C5063" s="13"/>
      <c r="D5063" s="13"/>
      <c r="E5063" s="13"/>
      <c r="F5063" s="13"/>
      <c r="G5063" s="13"/>
      <c r="H5063" s="13"/>
      <c r="I5063" s="13"/>
      <c r="J5063" s="13"/>
      <c r="K5063" s="15"/>
      <c r="L5063" s="15"/>
      <c r="M5063" s="16"/>
      <c r="N5063" s="16"/>
      <c r="O5063" s="17"/>
      <c r="P5063" s="17"/>
      <c r="Q5063" s="13"/>
      <c r="R5063" s="13"/>
      <c r="S5063" s="13"/>
      <c r="T5063" s="13"/>
      <c r="U5063" s="13"/>
      <c r="V5063" s="13"/>
      <c r="W5063" s="13"/>
      <c r="X5063" s="13"/>
      <c r="Y5063" s="13"/>
      <c r="Z5063" s="13"/>
      <c r="AA5063" s="13"/>
      <c r="AB5063" s="13"/>
      <c r="AC5063" s="13"/>
      <c r="AD5063" s="13"/>
      <c r="AE5063" s="13"/>
      <c r="AF5063" s="13"/>
      <c r="AG5063" s="13"/>
      <c r="AH5063" s="13"/>
      <c r="AI5063" s="13"/>
      <c r="AJ5063" s="13"/>
      <c r="AK5063" s="13"/>
      <c r="AL5063" s="13"/>
      <c r="AM5063" s="13"/>
      <c r="AN5063" s="13"/>
      <c r="AO5063" s="13"/>
      <c r="AP5063" s="13"/>
      <c r="AQ5063" s="13"/>
      <c r="AR5063" s="13"/>
      <c r="AS5063" s="13"/>
    </row>
    <row r="5064" ht="14.25" customHeight="1">
      <c r="A5064" s="13"/>
      <c r="B5064" s="13"/>
      <c r="C5064" s="13"/>
      <c r="D5064" s="13"/>
      <c r="E5064" s="13"/>
      <c r="F5064" s="13"/>
      <c r="G5064" s="13"/>
      <c r="H5064" s="13"/>
      <c r="I5064" s="13"/>
      <c r="J5064" s="13"/>
      <c r="K5064" s="15"/>
      <c r="L5064" s="15"/>
      <c r="M5064" s="16"/>
      <c r="N5064" s="16"/>
      <c r="O5064" s="17"/>
      <c r="P5064" s="17"/>
      <c r="Q5064" s="13"/>
      <c r="R5064" s="13"/>
      <c r="S5064" s="13"/>
      <c r="T5064" s="13"/>
      <c r="U5064" s="13"/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13"/>
      <c r="AG5064" s="13"/>
      <c r="AH5064" s="13"/>
      <c r="AI5064" s="13"/>
      <c r="AJ5064" s="13"/>
      <c r="AK5064" s="13"/>
      <c r="AL5064" s="13"/>
      <c r="AM5064" s="13"/>
      <c r="AN5064" s="13"/>
      <c r="AO5064" s="13"/>
      <c r="AP5064" s="13"/>
      <c r="AQ5064" s="13"/>
      <c r="AR5064" s="13"/>
      <c r="AS5064" s="13"/>
    </row>
    <row r="5065" ht="14.25" customHeight="1">
      <c r="A5065" s="13"/>
      <c r="B5065" s="13"/>
      <c r="C5065" s="13"/>
      <c r="D5065" s="13"/>
      <c r="E5065" s="13"/>
      <c r="F5065" s="13"/>
      <c r="G5065" s="13"/>
      <c r="H5065" s="13"/>
      <c r="I5065" s="13"/>
      <c r="J5065" s="13"/>
      <c r="K5065" s="15"/>
      <c r="L5065" s="15"/>
      <c r="M5065" s="16"/>
      <c r="N5065" s="16"/>
      <c r="O5065" s="17"/>
      <c r="P5065" s="17"/>
      <c r="Q5065" s="13"/>
      <c r="R5065" s="13"/>
      <c r="S5065" s="13"/>
      <c r="T5065" s="13"/>
      <c r="U5065" s="13"/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13"/>
      <c r="AG5065" s="13"/>
      <c r="AH5065" s="13"/>
      <c r="AI5065" s="13"/>
      <c r="AJ5065" s="13"/>
      <c r="AK5065" s="13"/>
      <c r="AL5065" s="13"/>
      <c r="AM5065" s="13"/>
      <c r="AN5065" s="13"/>
      <c r="AO5065" s="13"/>
      <c r="AP5065" s="13"/>
      <c r="AQ5065" s="13"/>
      <c r="AR5065" s="13"/>
      <c r="AS5065" s="13"/>
    </row>
    <row r="5066" ht="14.25" customHeight="1">
      <c r="A5066" s="13"/>
      <c r="B5066" s="13"/>
      <c r="C5066" s="13"/>
      <c r="D5066" s="13"/>
      <c r="E5066" s="13"/>
      <c r="F5066" s="13"/>
      <c r="G5066" s="13"/>
      <c r="H5066" s="13"/>
      <c r="I5066" s="13"/>
      <c r="J5066" s="13"/>
      <c r="K5066" s="15"/>
      <c r="L5066" s="15"/>
      <c r="M5066" s="16"/>
      <c r="N5066" s="16"/>
      <c r="O5066" s="17"/>
      <c r="P5066" s="17"/>
      <c r="Q5066" s="13"/>
      <c r="R5066" s="13"/>
      <c r="S5066" s="13"/>
      <c r="T5066" s="13"/>
      <c r="U5066" s="13"/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13"/>
      <c r="AG5066" s="13"/>
      <c r="AH5066" s="13"/>
      <c r="AI5066" s="13"/>
      <c r="AJ5066" s="13"/>
      <c r="AK5066" s="13"/>
      <c r="AL5066" s="13"/>
      <c r="AM5066" s="13"/>
      <c r="AN5066" s="13"/>
      <c r="AO5066" s="13"/>
      <c r="AP5066" s="13"/>
      <c r="AQ5066" s="13"/>
      <c r="AR5066" s="13"/>
      <c r="AS5066" s="13"/>
    </row>
    <row r="5067" ht="14.25" customHeight="1">
      <c r="A5067" s="13"/>
      <c r="B5067" s="13"/>
      <c r="C5067" s="13"/>
      <c r="D5067" s="13"/>
      <c r="E5067" s="13"/>
      <c r="F5067" s="13"/>
      <c r="G5067" s="13"/>
      <c r="H5067" s="13"/>
      <c r="I5067" s="13"/>
      <c r="J5067" s="13"/>
      <c r="K5067" s="15"/>
      <c r="L5067" s="15"/>
      <c r="M5067" s="16"/>
      <c r="N5067" s="16"/>
      <c r="O5067" s="17"/>
      <c r="P5067" s="17"/>
      <c r="Q5067" s="13"/>
      <c r="R5067" s="13"/>
      <c r="S5067" s="13"/>
      <c r="T5067" s="13"/>
      <c r="U5067" s="13"/>
      <c r="V5067" s="13"/>
      <c r="W5067" s="13"/>
      <c r="X5067" s="13"/>
      <c r="Y5067" s="13"/>
      <c r="Z5067" s="13"/>
      <c r="AA5067" s="13"/>
      <c r="AB5067" s="13"/>
      <c r="AC5067" s="13"/>
      <c r="AD5067" s="13"/>
      <c r="AE5067" s="13"/>
      <c r="AF5067" s="13"/>
      <c r="AG5067" s="13"/>
      <c r="AH5067" s="13"/>
      <c r="AI5067" s="13"/>
      <c r="AJ5067" s="13"/>
      <c r="AK5067" s="13"/>
      <c r="AL5067" s="13"/>
      <c r="AM5067" s="13"/>
      <c r="AN5067" s="13"/>
      <c r="AO5067" s="13"/>
      <c r="AP5067" s="13"/>
      <c r="AQ5067" s="13"/>
      <c r="AR5067" s="13"/>
      <c r="AS5067" s="13"/>
    </row>
    <row r="5068" ht="14.25" customHeight="1">
      <c r="A5068" s="13"/>
      <c r="B5068" s="13"/>
      <c r="C5068" s="13"/>
      <c r="D5068" s="13"/>
      <c r="E5068" s="13"/>
      <c r="F5068" s="13"/>
      <c r="G5068" s="13"/>
      <c r="H5068" s="13"/>
      <c r="I5068" s="13"/>
      <c r="J5068" s="13"/>
      <c r="K5068" s="15"/>
      <c r="L5068" s="15"/>
      <c r="M5068" s="16"/>
      <c r="N5068" s="16"/>
      <c r="O5068" s="17"/>
      <c r="P5068" s="17"/>
      <c r="Q5068" s="13"/>
      <c r="R5068" s="13"/>
      <c r="S5068" s="13"/>
      <c r="T5068" s="13"/>
      <c r="U5068" s="13"/>
      <c r="V5068" s="13"/>
      <c r="W5068" s="13"/>
      <c r="X5068" s="13"/>
      <c r="Y5068" s="13"/>
      <c r="Z5068" s="13"/>
      <c r="AA5068" s="13"/>
      <c r="AB5068" s="13"/>
      <c r="AC5068" s="13"/>
      <c r="AD5068" s="13"/>
      <c r="AE5068" s="13"/>
      <c r="AF5068" s="13"/>
      <c r="AG5068" s="13"/>
      <c r="AH5068" s="13"/>
      <c r="AI5068" s="13"/>
      <c r="AJ5068" s="13"/>
      <c r="AK5068" s="13"/>
      <c r="AL5068" s="13"/>
      <c r="AM5068" s="13"/>
      <c r="AN5068" s="13"/>
      <c r="AO5068" s="13"/>
      <c r="AP5068" s="13"/>
      <c r="AQ5068" s="13"/>
      <c r="AR5068" s="13"/>
      <c r="AS5068" s="13"/>
    </row>
    <row r="5069" ht="14.25" customHeight="1">
      <c r="A5069" s="13"/>
      <c r="B5069" s="13"/>
      <c r="C5069" s="13"/>
      <c r="D5069" s="13"/>
      <c r="E5069" s="13"/>
      <c r="F5069" s="13"/>
      <c r="G5069" s="13"/>
      <c r="H5069" s="13"/>
      <c r="I5069" s="13"/>
      <c r="J5069" s="13"/>
      <c r="K5069" s="15"/>
      <c r="L5069" s="15"/>
      <c r="M5069" s="16"/>
      <c r="N5069" s="16"/>
      <c r="O5069" s="17"/>
      <c r="P5069" s="17"/>
      <c r="Q5069" s="13"/>
      <c r="R5069" s="13"/>
      <c r="S5069" s="13"/>
      <c r="T5069" s="13"/>
      <c r="U5069" s="13"/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13"/>
      <c r="AG5069" s="13"/>
      <c r="AH5069" s="13"/>
      <c r="AI5069" s="13"/>
      <c r="AJ5069" s="13"/>
      <c r="AK5069" s="13"/>
      <c r="AL5069" s="13"/>
      <c r="AM5069" s="13"/>
      <c r="AN5069" s="13"/>
      <c r="AO5069" s="13"/>
      <c r="AP5069" s="13"/>
      <c r="AQ5069" s="13"/>
      <c r="AR5069" s="13"/>
      <c r="AS5069" s="13"/>
    </row>
    <row r="5070" ht="14.25" customHeight="1">
      <c r="A5070" s="13"/>
      <c r="B5070" s="13"/>
      <c r="C5070" s="13"/>
      <c r="D5070" s="13"/>
      <c r="E5070" s="13"/>
      <c r="F5070" s="13"/>
      <c r="G5070" s="13"/>
      <c r="H5070" s="13"/>
      <c r="I5070" s="13"/>
      <c r="J5070" s="13"/>
      <c r="K5070" s="15"/>
      <c r="L5070" s="15"/>
      <c r="M5070" s="16"/>
      <c r="N5070" s="16"/>
      <c r="O5070" s="17"/>
      <c r="P5070" s="17"/>
      <c r="Q5070" s="13"/>
      <c r="R5070" s="13"/>
      <c r="S5070" s="13"/>
      <c r="T5070" s="13"/>
      <c r="U5070" s="13"/>
      <c r="V5070" s="13"/>
      <c r="W5070" s="13"/>
      <c r="X5070" s="13"/>
      <c r="Y5070" s="13"/>
      <c r="Z5070" s="13"/>
      <c r="AA5070" s="13"/>
      <c r="AB5070" s="13"/>
      <c r="AC5070" s="13"/>
      <c r="AD5070" s="13"/>
      <c r="AE5070" s="13"/>
      <c r="AF5070" s="13"/>
      <c r="AG5070" s="13"/>
      <c r="AH5070" s="13"/>
      <c r="AI5070" s="13"/>
      <c r="AJ5070" s="13"/>
      <c r="AK5070" s="13"/>
      <c r="AL5070" s="13"/>
      <c r="AM5070" s="13"/>
      <c r="AN5070" s="13"/>
      <c r="AO5070" s="13"/>
      <c r="AP5070" s="13"/>
      <c r="AQ5070" s="13"/>
      <c r="AR5070" s="13"/>
      <c r="AS5070" s="13"/>
    </row>
    <row r="5071" ht="14.25" customHeight="1">
      <c r="A5071" s="13"/>
      <c r="B5071" s="13"/>
      <c r="C5071" s="13"/>
      <c r="D5071" s="13"/>
      <c r="E5071" s="13"/>
      <c r="F5071" s="13"/>
      <c r="G5071" s="13"/>
      <c r="H5071" s="13"/>
      <c r="I5071" s="13"/>
      <c r="J5071" s="13"/>
      <c r="K5071" s="15"/>
      <c r="L5071" s="15"/>
      <c r="M5071" s="16"/>
      <c r="N5071" s="16"/>
      <c r="O5071" s="17"/>
      <c r="P5071" s="17"/>
      <c r="Q5071" s="13"/>
      <c r="R5071" s="13"/>
      <c r="S5071" s="13"/>
      <c r="T5071" s="13"/>
      <c r="U5071" s="13"/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13"/>
      <c r="AG5071" s="13"/>
      <c r="AH5071" s="13"/>
      <c r="AI5071" s="13"/>
      <c r="AJ5071" s="13"/>
      <c r="AK5071" s="13"/>
      <c r="AL5071" s="13"/>
      <c r="AM5071" s="13"/>
      <c r="AN5071" s="13"/>
      <c r="AO5071" s="13"/>
      <c r="AP5071" s="13"/>
      <c r="AQ5071" s="13"/>
      <c r="AR5071" s="13"/>
      <c r="AS5071" s="13"/>
    </row>
    <row r="5072" ht="14.25" customHeight="1">
      <c r="A5072" s="13"/>
      <c r="B5072" s="13"/>
      <c r="C5072" s="13"/>
      <c r="D5072" s="13"/>
      <c r="E5072" s="13"/>
      <c r="F5072" s="13"/>
      <c r="G5072" s="13"/>
      <c r="H5072" s="13"/>
      <c r="I5072" s="13"/>
      <c r="J5072" s="13"/>
      <c r="K5072" s="15"/>
      <c r="L5072" s="15"/>
      <c r="M5072" s="16"/>
      <c r="N5072" s="16"/>
      <c r="O5072" s="17"/>
      <c r="P5072" s="17"/>
      <c r="Q5072" s="13"/>
      <c r="R5072" s="13"/>
      <c r="S5072" s="13"/>
      <c r="T5072" s="13"/>
      <c r="U5072" s="13"/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13"/>
      <c r="AG5072" s="13"/>
      <c r="AH5072" s="13"/>
      <c r="AI5072" s="13"/>
      <c r="AJ5072" s="13"/>
      <c r="AK5072" s="13"/>
      <c r="AL5072" s="13"/>
      <c r="AM5072" s="13"/>
      <c r="AN5072" s="13"/>
      <c r="AO5072" s="13"/>
      <c r="AP5072" s="13"/>
      <c r="AQ5072" s="13"/>
      <c r="AR5072" s="13"/>
      <c r="AS5072" s="13"/>
    </row>
    <row r="5073" ht="14.25" customHeight="1">
      <c r="A5073" s="13"/>
      <c r="B5073" s="13"/>
      <c r="C5073" s="13"/>
      <c r="D5073" s="13"/>
      <c r="E5073" s="13"/>
      <c r="F5073" s="13"/>
      <c r="G5073" s="13"/>
      <c r="H5073" s="13"/>
      <c r="I5073" s="13"/>
      <c r="J5073" s="13"/>
      <c r="K5073" s="15"/>
      <c r="L5073" s="15"/>
      <c r="M5073" s="16"/>
      <c r="N5073" s="16"/>
      <c r="O5073" s="17"/>
      <c r="P5073" s="17"/>
      <c r="Q5073" s="13"/>
      <c r="R5073" s="13"/>
      <c r="S5073" s="13"/>
      <c r="T5073" s="13"/>
      <c r="U5073" s="13"/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13"/>
      <c r="AG5073" s="13"/>
      <c r="AH5073" s="13"/>
      <c r="AI5073" s="13"/>
      <c r="AJ5073" s="13"/>
      <c r="AK5073" s="13"/>
      <c r="AL5073" s="13"/>
      <c r="AM5073" s="13"/>
      <c r="AN5073" s="13"/>
      <c r="AO5073" s="13"/>
      <c r="AP5073" s="13"/>
      <c r="AQ5073" s="13"/>
      <c r="AR5073" s="13"/>
      <c r="AS5073" s="13"/>
    </row>
    <row r="5074" ht="14.25" customHeight="1">
      <c r="A5074" s="13"/>
      <c r="B5074" s="13"/>
      <c r="C5074" s="13"/>
      <c r="D5074" s="13"/>
      <c r="E5074" s="13"/>
      <c r="F5074" s="13"/>
      <c r="G5074" s="13"/>
      <c r="H5074" s="13"/>
      <c r="I5074" s="13"/>
      <c r="J5074" s="13"/>
      <c r="K5074" s="15"/>
      <c r="L5074" s="15"/>
      <c r="M5074" s="16"/>
      <c r="N5074" s="16"/>
      <c r="O5074" s="17"/>
      <c r="P5074" s="17"/>
      <c r="Q5074" s="13"/>
      <c r="R5074" s="13"/>
      <c r="S5074" s="13"/>
      <c r="T5074" s="13"/>
      <c r="U5074" s="13"/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13"/>
      <c r="AG5074" s="13"/>
      <c r="AH5074" s="13"/>
      <c r="AI5074" s="13"/>
      <c r="AJ5074" s="13"/>
      <c r="AK5074" s="13"/>
      <c r="AL5074" s="13"/>
      <c r="AM5074" s="13"/>
      <c r="AN5074" s="13"/>
      <c r="AO5074" s="13"/>
      <c r="AP5074" s="13"/>
      <c r="AQ5074" s="13"/>
      <c r="AR5074" s="13"/>
      <c r="AS5074" s="13"/>
    </row>
    <row r="5075" ht="14.25" customHeight="1">
      <c r="A5075" s="13"/>
      <c r="B5075" s="13"/>
      <c r="C5075" s="13"/>
      <c r="D5075" s="13"/>
      <c r="E5075" s="13"/>
      <c r="F5075" s="13"/>
      <c r="G5075" s="13"/>
      <c r="H5075" s="13"/>
      <c r="I5075" s="13"/>
      <c r="J5075" s="13"/>
      <c r="K5075" s="15"/>
      <c r="L5075" s="15"/>
      <c r="M5075" s="16"/>
      <c r="N5075" s="16"/>
      <c r="O5075" s="17"/>
      <c r="P5075" s="17"/>
      <c r="Q5075" s="13"/>
      <c r="R5075" s="13"/>
      <c r="S5075" s="13"/>
      <c r="T5075" s="13"/>
      <c r="U5075" s="13"/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13"/>
      <c r="AG5075" s="13"/>
      <c r="AH5075" s="13"/>
      <c r="AI5075" s="13"/>
      <c r="AJ5075" s="13"/>
      <c r="AK5075" s="13"/>
      <c r="AL5075" s="13"/>
      <c r="AM5075" s="13"/>
      <c r="AN5075" s="13"/>
      <c r="AO5075" s="13"/>
      <c r="AP5075" s="13"/>
      <c r="AQ5075" s="13"/>
      <c r="AR5075" s="13"/>
      <c r="AS5075" s="13"/>
    </row>
    <row r="5076" ht="14.25" customHeight="1">
      <c r="A5076" s="13"/>
      <c r="B5076" s="13"/>
      <c r="C5076" s="13"/>
      <c r="D5076" s="13"/>
      <c r="E5076" s="13"/>
      <c r="F5076" s="13"/>
      <c r="G5076" s="13"/>
      <c r="H5076" s="13"/>
      <c r="I5076" s="13"/>
      <c r="J5076" s="13"/>
      <c r="K5076" s="15"/>
      <c r="L5076" s="15"/>
      <c r="M5076" s="16"/>
      <c r="N5076" s="16"/>
      <c r="O5076" s="17"/>
      <c r="P5076" s="17"/>
      <c r="Q5076" s="13"/>
      <c r="R5076" s="13"/>
      <c r="S5076" s="13"/>
      <c r="T5076" s="13"/>
      <c r="U5076" s="13"/>
      <c r="V5076" s="13"/>
      <c r="W5076" s="13"/>
      <c r="X5076" s="13"/>
      <c r="Y5076" s="13"/>
      <c r="Z5076" s="13"/>
      <c r="AA5076" s="13"/>
      <c r="AB5076" s="13"/>
      <c r="AC5076" s="13"/>
      <c r="AD5076" s="13"/>
      <c r="AE5076" s="13"/>
      <c r="AF5076" s="13"/>
      <c r="AG5076" s="13"/>
      <c r="AH5076" s="13"/>
      <c r="AI5076" s="13"/>
      <c r="AJ5076" s="13"/>
      <c r="AK5076" s="13"/>
      <c r="AL5076" s="13"/>
      <c r="AM5076" s="13"/>
      <c r="AN5076" s="13"/>
      <c r="AO5076" s="13"/>
      <c r="AP5076" s="13"/>
      <c r="AQ5076" s="13"/>
      <c r="AR5076" s="13"/>
      <c r="AS5076" s="13"/>
    </row>
    <row r="5077" ht="14.25" customHeight="1">
      <c r="A5077" s="13"/>
      <c r="B5077" s="13"/>
      <c r="C5077" s="13"/>
      <c r="D5077" s="13"/>
      <c r="E5077" s="13"/>
      <c r="F5077" s="13"/>
      <c r="G5077" s="13"/>
      <c r="H5077" s="13"/>
      <c r="I5077" s="13"/>
      <c r="J5077" s="13"/>
      <c r="K5077" s="15"/>
      <c r="L5077" s="15"/>
      <c r="M5077" s="16"/>
      <c r="N5077" s="16"/>
      <c r="O5077" s="17"/>
      <c r="P5077" s="17"/>
      <c r="Q5077" s="13"/>
      <c r="R5077" s="13"/>
      <c r="S5077" s="13"/>
      <c r="T5077" s="13"/>
      <c r="U5077" s="13"/>
      <c r="V5077" s="13"/>
      <c r="W5077" s="13"/>
      <c r="X5077" s="13"/>
      <c r="Y5077" s="13"/>
      <c r="Z5077" s="13"/>
      <c r="AA5077" s="13"/>
      <c r="AB5077" s="13"/>
      <c r="AC5077" s="13"/>
      <c r="AD5077" s="13"/>
      <c r="AE5077" s="13"/>
      <c r="AF5077" s="13"/>
      <c r="AG5077" s="13"/>
      <c r="AH5077" s="13"/>
      <c r="AI5077" s="13"/>
      <c r="AJ5077" s="13"/>
      <c r="AK5077" s="13"/>
      <c r="AL5077" s="13"/>
      <c r="AM5077" s="13"/>
      <c r="AN5077" s="13"/>
      <c r="AO5077" s="13"/>
      <c r="AP5077" s="13"/>
      <c r="AQ5077" s="13"/>
      <c r="AR5077" s="13"/>
      <c r="AS5077" s="13"/>
    </row>
    <row r="5078" ht="14.25" customHeight="1">
      <c r="A5078" s="13"/>
      <c r="B5078" s="13"/>
      <c r="C5078" s="13"/>
      <c r="D5078" s="13"/>
      <c r="E5078" s="13"/>
      <c r="F5078" s="13"/>
      <c r="G5078" s="13"/>
      <c r="H5078" s="13"/>
      <c r="I5078" s="13"/>
      <c r="J5078" s="13"/>
      <c r="K5078" s="15"/>
      <c r="L5078" s="15"/>
      <c r="M5078" s="16"/>
      <c r="N5078" s="16"/>
      <c r="O5078" s="17"/>
      <c r="P5078" s="17"/>
      <c r="Q5078" s="13"/>
      <c r="R5078" s="13"/>
      <c r="S5078" s="13"/>
      <c r="T5078" s="13"/>
      <c r="U5078" s="13"/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13"/>
      <c r="AG5078" s="13"/>
      <c r="AH5078" s="13"/>
      <c r="AI5078" s="13"/>
      <c r="AJ5078" s="13"/>
      <c r="AK5078" s="13"/>
      <c r="AL5078" s="13"/>
      <c r="AM5078" s="13"/>
      <c r="AN5078" s="13"/>
      <c r="AO5078" s="13"/>
      <c r="AP5078" s="13"/>
      <c r="AQ5078" s="13"/>
      <c r="AR5078" s="13"/>
      <c r="AS5078" s="13"/>
    </row>
    <row r="5079" ht="14.25" customHeight="1">
      <c r="A5079" s="13"/>
      <c r="B5079" s="13"/>
      <c r="C5079" s="13"/>
      <c r="D5079" s="13"/>
      <c r="E5079" s="13"/>
      <c r="F5079" s="13"/>
      <c r="G5079" s="13"/>
      <c r="H5079" s="13"/>
      <c r="I5079" s="13"/>
      <c r="J5079" s="13"/>
      <c r="K5079" s="15"/>
      <c r="L5079" s="15"/>
      <c r="M5079" s="16"/>
      <c r="N5079" s="16"/>
      <c r="O5079" s="17"/>
      <c r="P5079" s="17"/>
      <c r="Q5079" s="13"/>
      <c r="R5079" s="13"/>
      <c r="S5079" s="13"/>
      <c r="T5079" s="13"/>
      <c r="U5079" s="13"/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13"/>
      <c r="AG5079" s="13"/>
      <c r="AH5079" s="13"/>
      <c r="AI5079" s="13"/>
      <c r="AJ5079" s="13"/>
      <c r="AK5079" s="13"/>
      <c r="AL5079" s="13"/>
      <c r="AM5079" s="13"/>
      <c r="AN5079" s="13"/>
      <c r="AO5079" s="13"/>
      <c r="AP5079" s="13"/>
      <c r="AQ5079" s="13"/>
      <c r="AR5079" s="13"/>
      <c r="AS5079" s="13"/>
    </row>
    <row r="5080" ht="14.25" customHeight="1">
      <c r="A5080" s="13"/>
      <c r="B5080" s="13"/>
      <c r="C5080" s="13"/>
      <c r="D5080" s="13"/>
      <c r="E5080" s="13"/>
      <c r="F5080" s="13"/>
      <c r="G5080" s="13"/>
      <c r="H5080" s="13"/>
      <c r="I5080" s="13"/>
      <c r="J5080" s="13"/>
      <c r="K5080" s="15"/>
      <c r="L5080" s="15"/>
      <c r="M5080" s="16"/>
      <c r="N5080" s="16"/>
      <c r="O5080" s="17"/>
      <c r="P5080" s="17"/>
      <c r="Q5080" s="13"/>
      <c r="R5080" s="13"/>
      <c r="S5080" s="13"/>
      <c r="T5080" s="13"/>
      <c r="U5080" s="13"/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13"/>
      <c r="AG5080" s="13"/>
      <c r="AH5080" s="13"/>
      <c r="AI5080" s="13"/>
      <c r="AJ5080" s="13"/>
      <c r="AK5080" s="13"/>
      <c r="AL5080" s="13"/>
      <c r="AM5080" s="13"/>
      <c r="AN5080" s="13"/>
      <c r="AO5080" s="13"/>
      <c r="AP5080" s="13"/>
      <c r="AQ5080" s="13"/>
      <c r="AR5080" s="13"/>
      <c r="AS5080" s="13"/>
    </row>
    <row r="5081" ht="14.25" customHeight="1">
      <c r="A5081" s="13"/>
      <c r="B5081" s="13"/>
      <c r="C5081" s="13"/>
      <c r="D5081" s="13"/>
      <c r="E5081" s="13"/>
      <c r="F5081" s="13"/>
      <c r="G5081" s="13"/>
      <c r="H5081" s="13"/>
      <c r="I5081" s="13"/>
      <c r="J5081" s="13"/>
      <c r="K5081" s="15"/>
      <c r="L5081" s="15"/>
      <c r="M5081" s="16"/>
      <c r="N5081" s="16"/>
      <c r="O5081" s="17"/>
      <c r="P5081" s="17"/>
      <c r="Q5081" s="13"/>
      <c r="R5081" s="13"/>
      <c r="S5081" s="13"/>
      <c r="T5081" s="13"/>
      <c r="U5081" s="13"/>
      <c r="V5081" s="13"/>
      <c r="W5081" s="13"/>
      <c r="X5081" s="13"/>
      <c r="Y5081" s="13"/>
      <c r="Z5081" s="13"/>
      <c r="AA5081" s="13"/>
      <c r="AB5081" s="13"/>
      <c r="AC5081" s="13"/>
      <c r="AD5081" s="13"/>
      <c r="AE5081" s="13"/>
      <c r="AF5081" s="13"/>
      <c r="AG5081" s="13"/>
      <c r="AH5081" s="13"/>
      <c r="AI5081" s="13"/>
      <c r="AJ5081" s="13"/>
      <c r="AK5081" s="13"/>
      <c r="AL5081" s="13"/>
      <c r="AM5081" s="13"/>
      <c r="AN5081" s="13"/>
      <c r="AO5081" s="13"/>
      <c r="AP5081" s="13"/>
      <c r="AQ5081" s="13"/>
      <c r="AR5081" s="13"/>
      <c r="AS5081" s="13"/>
    </row>
    <row r="5082" ht="14.25" customHeight="1">
      <c r="A5082" s="13"/>
      <c r="B5082" s="13"/>
      <c r="C5082" s="13"/>
      <c r="D5082" s="13"/>
      <c r="E5082" s="13"/>
      <c r="F5082" s="13"/>
      <c r="G5082" s="13"/>
      <c r="H5082" s="13"/>
      <c r="I5082" s="13"/>
      <c r="J5082" s="13"/>
      <c r="K5082" s="15"/>
      <c r="L5082" s="15"/>
      <c r="M5082" s="16"/>
      <c r="N5082" s="16"/>
      <c r="O5082" s="17"/>
      <c r="P5082" s="17"/>
      <c r="Q5082" s="13"/>
      <c r="R5082" s="13"/>
      <c r="S5082" s="13"/>
      <c r="T5082" s="13"/>
      <c r="U5082" s="13"/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13"/>
      <c r="AG5082" s="13"/>
      <c r="AH5082" s="13"/>
      <c r="AI5082" s="13"/>
      <c r="AJ5082" s="13"/>
      <c r="AK5082" s="13"/>
      <c r="AL5082" s="13"/>
      <c r="AM5082" s="13"/>
      <c r="AN5082" s="13"/>
      <c r="AO5082" s="13"/>
      <c r="AP5082" s="13"/>
      <c r="AQ5082" s="13"/>
      <c r="AR5082" s="13"/>
      <c r="AS5082" s="13"/>
    </row>
    <row r="5083" ht="14.25" customHeight="1">
      <c r="A5083" s="13"/>
      <c r="B5083" s="13"/>
      <c r="C5083" s="13"/>
      <c r="D5083" s="13"/>
      <c r="E5083" s="13"/>
      <c r="F5083" s="13"/>
      <c r="G5083" s="13"/>
      <c r="H5083" s="13"/>
      <c r="I5083" s="13"/>
      <c r="J5083" s="13"/>
      <c r="K5083" s="15"/>
      <c r="L5083" s="15"/>
      <c r="M5083" s="16"/>
      <c r="N5083" s="16"/>
      <c r="O5083" s="17"/>
      <c r="P5083" s="17"/>
      <c r="Q5083" s="13"/>
      <c r="R5083" s="13"/>
      <c r="S5083" s="13"/>
      <c r="T5083" s="13"/>
      <c r="U5083" s="13"/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13"/>
      <c r="AG5083" s="13"/>
      <c r="AH5083" s="13"/>
      <c r="AI5083" s="13"/>
      <c r="AJ5083" s="13"/>
      <c r="AK5083" s="13"/>
      <c r="AL5083" s="13"/>
      <c r="AM5083" s="13"/>
      <c r="AN5083" s="13"/>
      <c r="AO5083" s="13"/>
      <c r="AP5083" s="13"/>
      <c r="AQ5083" s="13"/>
      <c r="AR5083" s="13"/>
      <c r="AS5083" s="13"/>
    </row>
    <row r="5084" ht="14.25" customHeight="1">
      <c r="A5084" s="13"/>
      <c r="B5084" s="13"/>
      <c r="C5084" s="13"/>
      <c r="D5084" s="13"/>
      <c r="E5084" s="13"/>
      <c r="F5084" s="13"/>
      <c r="G5084" s="13"/>
      <c r="H5084" s="13"/>
      <c r="I5084" s="13"/>
      <c r="J5084" s="13"/>
      <c r="K5084" s="15"/>
      <c r="L5084" s="15"/>
      <c r="M5084" s="16"/>
      <c r="N5084" s="16"/>
      <c r="O5084" s="17"/>
      <c r="P5084" s="17"/>
      <c r="Q5084" s="13"/>
      <c r="R5084" s="13"/>
      <c r="S5084" s="13"/>
      <c r="T5084" s="13"/>
      <c r="U5084" s="13"/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13"/>
      <c r="AG5084" s="13"/>
      <c r="AH5084" s="13"/>
      <c r="AI5084" s="13"/>
      <c r="AJ5084" s="13"/>
      <c r="AK5084" s="13"/>
      <c r="AL5084" s="13"/>
      <c r="AM5084" s="13"/>
      <c r="AN5084" s="13"/>
      <c r="AO5084" s="13"/>
      <c r="AP5084" s="13"/>
      <c r="AQ5084" s="13"/>
      <c r="AR5084" s="13"/>
      <c r="AS5084" s="13"/>
    </row>
    <row r="5085" ht="14.25" customHeight="1">
      <c r="A5085" s="13"/>
      <c r="B5085" s="13"/>
      <c r="C5085" s="13"/>
      <c r="D5085" s="13"/>
      <c r="E5085" s="13"/>
      <c r="F5085" s="13"/>
      <c r="G5085" s="13"/>
      <c r="H5085" s="13"/>
      <c r="I5085" s="13"/>
      <c r="J5085" s="13"/>
      <c r="K5085" s="15"/>
      <c r="L5085" s="15"/>
      <c r="M5085" s="16"/>
      <c r="N5085" s="16"/>
      <c r="O5085" s="17"/>
      <c r="P5085" s="17"/>
      <c r="Q5085" s="13"/>
      <c r="R5085" s="13"/>
      <c r="S5085" s="13"/>
      <c r="T5085" s="13"/>
      <c r="U5085" s="13"/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  <c r="AG5085" s="13"/>
      <c r="AH5085" s="13"/>
      <c r="AI5085" s="13"/>
      <c r="AJ5085" s="13"/>
      <c r="AK5085" s="13"/>
      <c r="AL5085" s="13"/>
      <c r="AM5085" s="13"/>
      <c r="AN5085" s="13"/>
      <c r="AO5085" s="13"/>
      <c r="AP5085" s="13"/>
      <c r="AQ5085" s="13"/>
      <c r="AR5085" s="13"/>
      <c r="AS5085" s="13"/>
    </row>
    <row r="5086" ht="14.25" customHeight="1">
      <c r="A5086" s="13"/>
      <c r="B5086" s="13"/>
      <c r="C5086" s="13"/>
      <c r="D5086" s="13"/>
      <c r="E5086" s="13"/>
      <c r="F5086" s="13"/>
      <c r="G5086" s="13"/>
      <c r="H5086" s="13"/>
      <c r="I5086" s="13"/>
      <c r="J5086" s="13"/>
      <c r="K5086" s="15"/>
      <c r="L5086" s="15"/>
      <c r="M5086" s="16"/>
      <c r="N5086" s="16"/>
      <c r="O5086" s="17"/>
      <c r="P5086" s="17"/>
      <c r="Q5086" s="13"/>
      <c r="R5086" s="13"/>
      <c r="S5086" s="13"/>
      <c r="T5086" s="13"/>
      <c r="U5086" s="13"/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13"/>
      <c r="AG5086" s="13"/>
      <c r="AH5086" s="13"/>
      <c r="AI5086" s="13"/>
      <c r="AJ5086" s="13"/>
      <c r="AK5086" s="13"/>
      <c r="AL5086" s="13"/>
      <c r="AM5086" s="13"/>
      <c r="AN5086" s="13"/>
      <c r="AO5086" s="13"/>
      <c r="AP5086" s="13"/>
      <c r="AQ5086" s="13"/>
      <c r="AR5086" s="13"/>
      <c r="AS5086" s="13"/>
    </row>
    <row r="5087" ht="14.25" customHeight="1">
      <c r="A5087" s="13"/>
      <c r="B5087" s="13"/>
      <c r="C5087" s="13"/>
      <c r="D5087" s="13"/>
      <c r="E5087" s="13"/>
      <c r="F5087" s="13"/>
      <c r="G5087" s="13"/>
      <c r="H5087" s="13"/>
      <c r="I5087" s="13"/>
      <c r="J5087" s="13"/>
      <c r="K5087" s="15"/>
      <c r="L5087" s="15"/>
      <c r="M5087" s="16"/>
      <c r="N5087" s="16"/>
      <c r="O5087" s="17"/>
      <c r="P5087" s="17"/>
      <c r="Q5087" s="13"/>
      <c r="R5087" s="13"/>
      <c r="S5087" s="13"/>
      <c r="T5087" s="13"/>
      <c r="U5087" s="13"/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F5087" s="13"/>
      <c r="AG5087" s="13"/>
      <c r="AH5087" s="13"/>
      <c r="AI5087" s="13"/>
      <c r="AJ5087" s="13"/>
      <c r="AK5087" s="13"/>
      <c r="AL5087" s="13"/>
      <c r="AM5087" s="13"/>
      <c r="AN5087" s="13"/>
      <c r="AO5087" s="13"/>
      <c r="AP5087" s="13"/>
      <c r="AQ5087" s="13"/>
      <c r="AR5087" s="13"/>
      <c r="AS5087" s="13"/>
    </row>
    <row r="5088" ht="14.25" customHeight="1">
      <c r="A5088" s="13"/>
      <c r="B5088" s="13"/>
      <c r="C5088" s="13"/>
      <c r="D5088" s="13"/>
      <c r="E5088" s="13"/>
      <c r="F5088" s="13"/>
      <c r="G5088" s="13"/>
      <c r="H5088" s="13"/>
      <c r="I5088" s="13"/>
      <c r="J5088" s="13"/>
      <c r="K5088" s="15"/>
      <c r="L5088" s="15"/>
      <c r="M5088" s="16"/>
      <c r="N5088" s="16"/>
      <c r="O5088" s="17"/>
      <c r="P5088" s="17"/>
      <c r="Q5088" s="13"/>
      <c r="R5088" s="13"/>
      <c r="S5088" s="13"/>
      <c r="T5088" s="13"/>
      <c r="U5088" s="13"/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13"/>
      <c r="AG5088" s="13"/>
      <c r="AH5088" s="13"/>
      <c r="AI5088" s="13"/>
      <c r="AJ5088" s="13"/>
      <c r="AK5088" s="13"/>
      <c r="AL5088" s="13"/>
      <c r="AM5088" s="13"/>
      <c r="AN5088" s="13"/>
      <c r="AO5088" s="13"/>
      <c r="AP5088" s="13"/>
      <c r="AQ5088" s="13"/>
      <c r="AR5088" s="13"/>
      <c r="AS5088" s="13"/>
    </row>
    <row r="5089" ht="14.25" customHeight="1">
      <c r="A5089" s="13"/>
      <c r="B5089" s="13"/>
      <c r="C5089" s="13"/>
      <c r="D5089" s="13"/>
      <c r="E5089" s="13"/>
      <c r="F5089" s="13"/>
      <c r="G5089" s="13"/>
      <c r="H5089" s="13"/>
      <c r="I5089" s="13"/>
      <c r="J5089" s="13"/>
      <c r="K5089" s="15"/>
      <c r="L5089" s="15"/>
      <c r="M5089" s="16"/>
      <c r="N5089" s="16"/>
      <c r="O5089" s="17"/>
      <c r="P5089" s="17"/>
      <c r="Q5089" s="13"/>
      <c r="R5089" s="13"/>
      <c r="S5089" s="13"/>
      <c r="T5089" s="13"/>
      <c r="U5089" s="13"/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F5089" s="13"/>
      <c r="AG5089" s="13"/>
      <c r="AH5089" s="13"/>
      <c r="AI5089" s="13"/>
      <c r="AJ5089" s="13"/>
      <c r="AK5089" s="13"/>
      <c r="AL5089" s="13"/>
      <c r="AM5089" s="13"/>
      <c r="AN5089" s="13"/>
      <c r="AO5089" s="13"/>
      <c r="AP5089" s="13"/>
      <c r="AQ5089" s="13"/>
      <c r="AR5089" s="13"/>
      <c r="AS5089" s="13"/>
    </row>
    <row r="5090" ht="14.25" customHeight="1">
      <c r="A5090" s="13"/>
      <c r="B5090" s="13"/>
      <c r="C5090" s="13"/>
      <c r="D5090" s="13"/>
      <c r="E5090" s="13"/>
      <c r="F5090" s="13"/>
      <c r="G5090" s="13"/>
      <c r="H5090" s="13"/>
      <c r="I5090" s="13"/>
      <c r="J5090" s="13"/>
      <c r="K5090" s="15"/>
      <c r="L5090" s="15"/>
      <c r="M5090" s="16"/>
      <c r="N5090" s="16"/>
      <c r="O5090" s="17"/>
      <c r="P5090" s="17"/>
      <c r="Q5090" s="13"/>
      <c r="R5090" s="13"/>
      <c r="S5090" s="13"/>
      <c r="T5090" s="13"/>
      <c r="U5090" s="13"/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13"/>
      <c r="AG5090" s="13"/>
      <c r="AH5090" s="13"/>
      <c r="AI5090" s="13"/>
      <c r="AJ5090" s="13"/>
      <c r="AK5090" s="13"/>
      <c r="AL5090" s="13"/>
      <c r="AM5090" s="13"/>
      <c r="AN5090" s="13"/>
      <c r="AO5090" s="13"/>
      <c r="AP5090" s="13"/>
      <c r="AQ5090" s="13"/>
      <c r="AR5090" s="13"/>
      <c r="AS5090" s="13"/>
    </row>
    <row r="5091" ht="14.25" customHeight="1">
      <c r="A5091" s="13"/>
      <c r="B5091" s="13"/>
      <c r="C5091" s="13"/>
      <c r="D5091" s="13"/>
      <c r="E5091" s="13"/>
      <c r="F5091" s="13"/>
      <c r="G5091" s="13"/>
      <c r="H5091" s="13"/>
      <c r="I5091" s="13"/>
      <c r="J5091" s="13"/>
      <c r="K5091" s="15"/>
      <c r="L5091" s="15"/>
      <c r="M5091" s="16"/>
      <c r="N5091" s="16"/>
      <c r="O5091" s="17"/>
      <c r="P5091" s="17"/>
      <c r="Q5091" s="13"/>
      <c r="R5091" s="13"/>
      <c r="S5091" s="13"/>
      <c r="T5091" s="13"/>
      <c r="U5091" s="13"/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F5091" s="13"/>
      <c r="AG5091" s="13"/>
      <c r="AH5091" s="13"/>
      <c r="AI5091" s="13"/>
      <c r="AJ5091" s="13"/>
      <c r="AK5091" s="13"/>
      <c r="AL5091" s="13"/>
      <c r="AM5091" s="13"/>
      <c r="AN5091" s="13"/>
      <c r="AO5091" s="13"/>
      <c r="AP5091" s="13"/>
      <c r="AQ5091" s="13"/>
      <c r="AR5091" s="13"/>
      <c r="AS5091" s="13"/>
    </row>
    <row r="5092" ht="14.25" customHeight="1">
      <c r="A5092" s="13"/>
      <c r="B5092" s="13"/>
      <c r="C5092" s="13"/>
      <c r="D5092" s="13"/>
      <c r="E5092" s="13"/>
      <c r="F5092" s="13"/>
      <c r="G5092" s="13"/>
      <c r="H5092" s="13"/>
      <c r="I5092" s="13"/>
      <c r="J5092" s="13"/>
      <c r="K5092" s="15"/>
      <c r="L5092" s="15"/>
      <c r="M5092" s="16"/>
      <c r="N5092" s="16"/>
      <c r="O5092" s="17"/>
      <c r="P5092" s="17"/>
      <c r="Q5092" s="13"/>
      <c r="R5092" s="13"/>
      <c r="S5092" s="13"/>
      <c r="T5092" s="13"/>
      <c r="U5092" s="13"/>
      <c r="V5092" s="13"/>
      <c r="W5092" s="13"/>
      <c r="X5092" s="13"/>
      <c r="Y5092" s="13"/>
      <c r="Z5092" s="13"/>
      <c r="AA5092" s="13"/>
      <c r="AB5092" s="13"/>
      <c r="AC5092" s="13"/>
      <c r="AD5092" s="13"/>
      <c r="AE5092" s="13"/>
      <c r="AF5092" s="13"/>
      <c r="AG5092" s="13"/>
      <c r="AH5092" s="13"/>
      <c r="AI5092" s="13"/>
      <c r="AJ5092" s="13"/>
      <c r="AK5092" s="13"/>
      <c r="AL5092" s="13"/>
      <c r="AM5092" s="13"/>
      <c r="AN5092" s="13"/>
      <c r="AO5092" s="13"/>
      <c r="AP5092" s="13"/>
      <c r="AQ5092" s="13"/>
      <c r="AR5092" s="13"/>
      <c r="AS5092" s="13"/>
    </row>
    <row r="5093" ht="14.25" customHeight="1">
      <c r="A5093" s="13"/>
      <c r="B5093" s="13"/>
      <c r="C5093" s="13"/>
      <c r="D5093" s="13"/>
      <c r="E5093" s="13"/>
      <c r="F5093" s="13"/>
      <c r="G5093" s="13"/>
      <c r="H5093" s="13"/>
      <c r="I5093" s="13"/>
      <c r="J5093" s="13"/>
      <c r="K5093" s="15"/>
      <c r="L5093" s="15"/>
      <c r="M5093" s="16"/>
      <c r="N5093" s="16"/>
      <c r="O5093" s="17"/>
      <c r="P5093" s="17"/>
      <c r="Q5093" s="13"/>
      <c r="R5093" s="13"/>
      <c r="S5093" s="13"/>
      <c r="T5093" s="13"/>
      <c r="U5093" s="13"/>
      <c r="V5093" s="13"/>
      <c r="W5093" s="13"/>
      <c r="X5093" s="13"/>
      <c r="Y5093" s="13"/>
      <c r="Z5093" s="13"/>
      <c r="AA5093" s="13"/>
      <c r="AB5093" s="13"/>
      <c r="AC5093" s="13"/>
      <c r="AD5093" s="13"/>
      <c r="AE5093" s="13"/>
      <c r="AF5093" s="13"/>
      <c r="AG5093" s="13"/>
      <c r="AH5093" s="13"/>
      <c r="AI5093" s="13"/>
      <c r="AJ5093" s="13"/>
      <c r="AK5093" s="13"/>
      <c r="AL5093" s="13"/>
      <c r="AM5093" s="13"/>
      <c r="AN5093" s="13"/>
      <c r="AO5093" s="13"/>
      <c r="AP5093" s="13"/>
      <c r="AQ5093" s="13"/>
      <c r="AR5093" s="13"/>
      <c r="AS5093" s="13"/>
    </row>
    <row r="5094" ht="14.25" customHeight="1">
      <c r="A5094" s="13"/>
      <c r="B5094" s="13"/>
      <c r="C5094" s="13"/>
      <c r="D5094" s="13"/>
      <c r="E5094" s="13"/>
      <c r="F5094" s="13"/>
      <c r="G5094" s="13"/>
      <c r="H5094" s="13"/>
      <c r="I5094" s="13"/>
      <c r="J5094" s="13"/>
      <c r="K5094" s="15"/>
      <c r="L5094" s="15"/>
      <c r="M5094" s="16"/>
      <c r="N5094" s="16"/>
      <c r="O5094" s="17"/>
      <c r="P5094" s="17"/>
      <c r="Q5094" s="13"/>
      <c r="R5094" s="13"/>
      <c r="S5094" s="13"/>
      <c r="T5094" s="13"/>
      <c r="U5094" s="13"/>
      <c r="V5094" s="13"/>
      <c r="W5094" s="13"/>
      <c r="X5094" s="13"/>
      <c r="Y5094" s="13"/>
      <c r="Z5094" s="13"/>
      <c r="AA5094" s="13"/>
      <c r="AB5094" s="13"/>
      <c r="AC5094" s="13"/>
      <c r="AD5094" s="13"/>
      <c r="AE5094" s="13"/>
      <c r="AF5094" s="13"/>
      <c r="AG5094" s="13"/>
      <c r="AH5094" s="13"/>
      <c r="AI5094" s="13"/>
      <c r="AJ5094" s="13"/>
      <c r="AK5094" s="13"/>
      <c r="AL5094" s="13"/>
      <c r="AM5094" s="13"/>
      <c r="AN5094" s="13"/>
      <c r="AO5094" s="13"/>
      <c r="AP5094" s="13"/>
      <c r="AQ5094" s="13"/>
      <c r="AR5094" s="13"/>
      <c r="AS5094" s="13"/>
    </row>
    <row r="5095" ht="14.25" customHeight="1">
      <c r="A5095" s="13"/>
      <c r="B5095" s="13"/>
      <c r="C5095" s="13"/>
      <c r="D5095" s="13"/>
      <c r="E5095" s="13"/>
      <c r="F5095" s="13"/>
      <c r="G5095" s="13"/>
      <c r="H5095" s="13"/>
      <c r="I5095" s="13"/>
      <c r="J5095" s="13"/>
      <c r="K5095" s="15"/>
      <c r="L5095" s="15"/>
      <c r="M5095" s="16"/>
      <c r="N5095" s="16"/>
      <c r="O5095" s="17"/>
      <c r="P5095" s="17"/>
      <c r="Q5095" s="13"/>
      <c r="R5095" s="13"/>
      <c r="S5095" s="13"/>
      <c r="T5095" s="13"/>
      <c r="U5095" s="13"/>
      <c r="V5095" s="13"/>
      <c r="W5095" s="13"/>
      <c r="X5095" s="13"/>
      <c r="Y5095" s="13"/>
      <c r="Z5095" s="13"/>
      <c r="AA5095" s="13"/>
      <c r="AB5095" s="13"/>
      <c r="AC5095" s="13"/>
      <c r="AD5095" s="13"/>
      <c r="AE5095" s="13"/>
      <c r="AF5095" s="13"/>
      <c r="AG5095" s="13"/>
      <c r="AH5095" s="13"/>
      <c r="AI5095" s="13"/>
      <c r="AJ5095" s="13"/>
      <c r="AK5095" s="13"/>
      <c r="AL5095" s="13"/>
      <c r="AM5095" s="13"/>
      <c r="AN5095" s="13"/>
      <c r="AO5095" s="13"/>
      <c r="AP5095" s="13"/>
      <c r="AQ5095" s="13"/>
      <c r="AR5095" s="13"/>
      <c r="AS5095" s="13"/>
    </row>
    <row r="5096" ht="14.25" customHeight="1">
      <c r="A5096" s="13"/>
      <c r="B5096" s="13"/>
      <c r="C5096" s="13"/>
      <c r="D5096" s="13"/>
      <c r="E5096" s="13"/>
      <c r="F5096" s="13"/>
      <c r="G5096" s="13"/>
      <c r="H5096" s="13"/>
      <c r="I5096" s="13"/>
      <c r="J5096" s="13"/>
      <c r="K5096" s="15"/>
      <c r="L5096" s="15"/>
      <c r="M5096" s="16"/>
      <c r="N5096" s="16"/>
      <c r="O5096" s="17"/>
      <c r="P5096" s="17"/>
      <c r="Q5096" s="13"/>
      <c r="R5096" s="13"/>
      <c r="S5096" s="13"/>
      <c r="T5096" s="13"/>
      <c r="U5096" s="13"/>
      <c r="V5096" s="13"/>
      <c r="W5096" s="13"/>
      <c r="X5096" s="13"/>
      <c r="Y5096" s="13"/>
      <c r="Z5096" s="13"/>
      <c r="AA5096" s="13"/>
      <c r="AB5096" s="13"/>
      <c r="AC5096" s="13"/>
      <c r="AD5096" s="13"/>
      <c r="AE5096" s="13"/>
      <c r="AF5096" s="13"/>
      <c r="AG5096" s="13"/>
      <c r="AH5096" s="13"/>
      <c r="AI5096" s="13"/>
      <c r="AJ5096" s="13"/>
      <c r="AK5096" s="13"/>
      <c r="AL5096" s="13"/>
      <c r="AM5096" s="13"/>
      <c r="AN5096" s="13"/>
      <c r="AO5096" s="13"/>
      <c r="AP5096" s="13"/>
      <c r="AQ5096" s="13"/>
      <c r="AR5096" s="13"/>
      <c r="AS5096" s="13"/>
    </row>
    <row r="5097" ht="14.25" customHeight="1">
      <c r="A5097" s="13"/>
      <c r="B5097" s="13"/>
      <c r="C5097" s="13"/>
      <c r="D5097" s="13"/>
      <c r="E5097" s="13"/>
      <c r="F5097" s="13"/>
      <c r="G5097" s="13"/>
      <c r="H5097" s="13"/>
      <c r="I5097" s="13"/>
      <c r="J5097" s="13"/>
      <c r="K5097" s="15"/>
      <c r="L5097" s="15"/>
      <c r="M5097" s="16"/>
      <c r="N5097" s="16"/>
      <c r="O5097" s="17"/>
      <c r="P5097" s="17"/>
      <c r="Q5097" s="13"/>
      <c r="R5097" s="13"/>
      <c r="S5097" s="13"/>
      <c r="T5097" s="13"/>
      <c r="U5097" s="13"/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13"/>
      <c r="AG5097" s="13"/>
      <c r="AH5097" s="13"/>
      <c r="AI5097" s="13"/>
      <c r="AJ5097" s="13"/>
      <c r="AK5097" s="13"/>
      <c r="AL5097" s="13"/>
      <c r="AM5097" s="13"/>
      <c r="AN5097" s="13"/>
      <c r="AO5097" s="13"/>
      <c r="AP5097" s="13"/>
      <c r="AQ5097" s="13"/>
      <c r="AR5097" s="13"/>
      <c r="AS5097" s="13"/>
    </row>
    <row r="5098" ht="14.25" customHeight="1">
      <c r="A5098" s="13"/>
      <c r="B5098" s="13"/>
      <c r="C5098" s="13"/>
      <c r="D5098" s="13"/>
      <c r="E5098" s="13"/>
      <c r="F5098" s="13"/>
      <c r="G5098" s="13"/>
      <c r="H5098" s="13"/>
      <c r="I5098" s="13"/>
      <c r="J5098" s="13"/>
      <c r="K5098" s="15"/>
      <c r="L5098" s="15"/>
      <c r="M5098" s="16"/>
      <c r="N5098" s="16"/>
      <c r="O5098" s="17"/>
      <c r="P5098" s="17"/>
      <c r="Q5098" s="13"/>
      <c r="R5098" s="13"/>
      <c r="S5098" s="13"/>
      <c r="T5098" s="13"/>
      <c r="U5098" s="13"/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13"/>
      <c r="AG5098" s="13"/>
      <c r="AH5098" s="13"/>
      <c r="AI5098" s="13"/>
      <c r="AJ5098" s="13"/>
      <c r="AK5098" s="13"/>
      <c r="AL5098" s="13"/>
      <c r="AM5098" s="13"/>
      <c r="AN5098" s="13"/>
      <c r="AO5098" s="13"/>
      <c r="AP5098" s="13"/>
      <c r="AQ5098" s="13"/>
      <c r="AR5098" s="13"/>
      <c r="AS5098" s="13"/>
    </row>
    <row r="5099" ht="14.25" customHeight="1">
      <c r="A5099" s="13"/>
      <c r="B5099" s="13"/>
      <c r="C5099" s="13"/>
      <c r="D5099" s="13"/>
      <c r="E5099" s="13"/>
      <c r="F5099" s="13"/>
      <c r="G5099" s="13"/>
      <c r="H5099" s="13"/>
      <c r="I5099" s="13"/>
      <c r="J5099" s="13"/>
      <c r="K5099" s="15"/>
      <c r="L5099" s="15"/>
      <c r="M5099" s="16"/>
      <c r="N5099" s="16"/>
      <c r="O5099" s="17"/>
      <c r="P5099" s="17"/>
      <c r="Q5099" s="13"/>
      <c r="R5099" s="13"/>
      <c r="S5099" s="13"/>
      <c r="T5099" s="13"/>
      <c r="U5099" s="13"/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13"/>
      <c r="AG5099" s="13"/>
      <c r="AH5099" s="13"/>
      <c r="AI5099" s="13"/>
      <c r="AJ5099" s="13"/>
      <c r="AK5099" s="13"/>
      <c r="AL5099" s="13"/>
      <c r="AM5099" s="13"/>
      <c r="AN5099" s="13"/>
      <c r="AO5099" s="13"/>
      <c r="AP5099" s="13"/>
      <c r="AQ5099" s="13"/>
      <c r="AR5099" s="13"/>
      <c r="AS5099" s="13"/>
    </row>
    <row r="5100" ht="14.25" customHeight="1">
      <c r="A5100" s="13"/>
      <c r="B5100" s="13"/>
      <c r="C5100" s="13"/>
      <c r="D5100" s="13"/>
      <c r="E5100" s="13"/>
      <c r="F5100" s="13"/>
      <c r="G5100" s="13"/>
      <c r="H5100" s="13"/>
      <c r="I5100" s="13"/>
      <c r="J5100" s="13"/>
      <c r="K5100" s="15"/>
      <c r="L5100" s="15"/>
      <c r="M5100" s="16"/>
      <c r="N5100" s="16"/>
      <c r="O5100" s="17"/>
      <c r="P5100" s="17"/>
      <c r="Q5100" s="13"/>
      <c r="R5100" s="13"/>
      <c r="S5100" s="13"/>
      <c r="T5100" s="13"/>
      <c r="U5100" s="13"/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13"/>
      <c r="AG5100" s="13"/>
      <c r="AH5100" s="13"/>
      <c r="AI5100" s="13"/>
      <c r="AJ5100" s="13"/>
      <c r="AK5100" s="13"/>
      <c r="AL5100" s="13"/>
      <c r="AM5100" s="13"/>
      <c r="AN5100" s="13"/>
      <c r="AO5100" s="13"/>
      <c r="AP5100" s="13"/>
      <c r="AQ5100" s="13"/>
      <c r="AR5100" s="13"/>
      <c r="AS5100" s="13"/>
    </row>
    <row r="5101" ht="14.25" customHeight="1">
      <c r="A5101" s="13"/>
      <c r="B5101" s="13"/>
      <c r="C5101" s="13"/>
      <c r="D5101" s="13"/>
      <c r="E5101" s="13"/>
      <c r="F5101" s="13"/>
      <c r="G5101" s="13"/>
      <c r="H5101" s="13"/>
      <c r="I5101" s="13"/>
      <c r="J5101" s="13"/>
      <c r="K5101" s="15"/>
      <c r="L5101" s="15"/>
      <c r="M5101" s="16"/>
      <c r="N5101" s="16"/>
      <c r="O5101" s="17"/>
      <c r="P5101" s="17"/>
      <c r="Q5101" s="13"/>
      <c r="R5101" s="13"/>
      <c r="S5101" s="13"/>
      <c r="T5101" s="13"/>
      <c r="U5101" s="13"/>
      <c r="V5101" s="13"/>
      <c r="W5101" s="13"/>
      <c r="X5101" s="13"/>
      <c r="Y5101" s="13"/>
      <c r="Z5101" s="13"/>
      <c r="AA5101" s="13"/>
      <c r="AB5101" s="13"/>
      <c r="AC5101" s="13"/>
      <c r="AD5101" s="13"/>
      <c r="AE5101" s="13"/>
      <c r="AF5101" s="13"/>
      <c r="AG5101" s="13"/>
      <c r="AH5101" s="13"/>
      <c r="AI5101" s="13"/>
      <c r="AJ5101" s="13"/>
      <c r="AK5101" s="13"/>
      <c r="AL5101" s="13"/>
      <c r="AM5101" s="13"/>
      <c r="AN5101" s="13"/>
      <c r="AO5101" s="13"/>
      <c r="AP5101" s="13"/>
      <c r="AQ5101" s="13"/>
      <c r="AR5101" s="13"/>
      <c r="AS5101" s="13"/>
    </row>
    <row r="5102" ht="14.25" customHeight="1">
      <c r="A5102" s="13"/>
      <c r="B5102" s="13"/>
      <c r="C5102" s="13"/>
      <c r="D5102" s="13"/>
      <c r="E5102" s="13"/>
      <c r="F5102" s="13"/>
      <c r="G5102" s="13"/>
      <c r="H5102" s="13"/>
      <c r="I5102" s="13"/>
      <c r="J5102" s="13"/>
      <c r="K5102" s="15"/>
      <c r="L5102" s="15"/>
      <c r="M5102" s="16"/>
      <c r="N5102" s="16"/>
      <c r="O5102" s="17"/>
      <c r="P5102" s="17"/>
      <c r="Q5102" s="13"/>
      <c r="R5102" s="13"/>
      <c r="S5102" s="13"/>
      <c r="T5102" s="13"/>
      <c r="U5102" s="13"/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13"/>
      <c r="AG5102" s="13"/>
      <c r="AH5102" s="13"/>
      <c r="AI5102" s="13"/>
      <c r="AJ5102" s="13"/>
      <c r="AK5102" s="13"/>
      <c r="AL5102" s="13"/>
      <c r="AM5102" s="13"/>
      <c r="AN5102" s="13"/>
      <c r="AO5102" s="13"/>
      <c r="AP5102" s="13"/>
      <c r="AQ5102" s="13"/>
      <c r="AR5102" s="13"/>
      <c r="AS5102" s="13"/>
    </row>
    <row r="5103" ht="14.25" customHeight="1">
      <c r="A5103" s="13"/>
      <c r="B5103" s="13"/>
      <c r="C5103" s="13"/>
      <c r="D5103" s="13"/>
      <c r="E5103" s="13"/>
      <c r="F5103" s="13"/>
      <c r="G5103" s="13"/>
      <c r="H5103" s="13"/>
      <c r="I5103" s="13"/>
      <c r="J5103" s="13"/>
      <c r="K5103" s="15"/>
      <c r="L5103" s="15"/>
      <c r="M5103" s="16"/>
      <c r="N5103" s="16"/>
      <c r="O5103" s="17"/>
      <c r="P5103" s="17"/>
      <c r="Q5103" s="13"/>
      <c r="R5103" s="13"/>
      <c r="S5103" s="13"/>
      <c r="T5103" s="13"/>
      <c r="U5103" s="13"/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13"/>
      <c r="AG5103" s="13"/>
      <c r="AH5103" s="13"/>
      <c r="AI5103" s="13"/>
      <c r="AJ5103" s="13"/>
      <c r="AK5103" s="13"/>
      <c r="AL5103" s="13"/>
      <c r="AM5103" s="13"/>
      <c r="AN5103" s="13"/>
      <c r="AO5103" s="13"/>
      <c r="AP5103" s="13"/>
      <c r="AQ5103" s="13"/>
      <c r="AR5103" s="13"/>
      <c r="AS5103" s="13"/>
    </row>
    <row r="5104" ht="14.25" customHeight="1">
      <c r="A5104" s="13"/>
      <c r="B5104" s="13"/>
      <c r="C5104" s="13"/>
      <c r="D5104" s="13"/>
      <c r="E5104" s="13"/>
      <c r="F5104" s="13"/>
      <c r="G5104" s="13"/>
      <c r="H5104" s="13"/>
      <c r="I5104" s="13"/>
      <c r="J5104" s="13"/>
      <c r="K5104" s="15"/>
      <c r="L5104" s="15"/>
      <c r="M5104" s="16"/>
      <c r="N5104" s="16"/>
      <c r="O5104" s="17"/>
      <c r="P5104" s="17"/>
      <c r="Q5104" s="13"/>
      <c r="R5104" s="13"/>
      <c r="S5104" s="13"/>
      <c r="T5104" s="13"/>
      <c r="U5104" s="13"/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13"/>
      <c r="AG5104" s="13"/>
      <c r="AH5104" s="13"/>
      <c r="AI5104" s="13"/>
      <c r="AJ5104" s="13"/>
      <c r="AK5104" s="13"/>
      <c r="AL5104" s="13"/>
      <c r="AM5104" s="13"/>
      <c r="AN5104" s="13"/>
      <c r="AO5104" s="13"/>
      <c r="AP5104" s="13"/>
      <c r="AQ5104" s="13"/>
      <c r="AR5104" s="13"/>
      <c r="AS5104" s="13"/>
    </row>
    <row r="5105" ht="14.25" customHeight="1">
      <c r="A5105" s="13"/>
      <c r="B5105" s="13"/>
      <c r="C5105" s="13"/>
      <c r="D5105" s="13"/>
      <c r="E5105" s="13"/>
      <c r="F5105" s="13"/>
      <c r="G5105" s="13"/>
      <c r="H5105" s="13"/>
      <c r="I5105" s="13"/>
      <c r="J5105" s="13"/>
      <c r="K5105" s="15"/>
      <c r="L5105" s="15"/>
      <c r="M5105" s="16"/>
      <c r="N5105" s="16"/>
      <c r="O5105" s="17"/>
      <c r="P5105" s="17"/>
      <c r="Q5105" s="13"/>
      <c r="R5105" s="13"/>
      <c r="S5105" s="13"/>
      <c r="T5105" s="13"/>
      <c r="U5105" s="13"/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13"/>
      <c r="AG5105" s="13"/>
      <c r="AH5105" s="13"/>
      <c r="AI5105" s="13"/>
      <c r="AJ5105" s="13"/>
      <c r="AK5105" s="13"/>
      <c r="AL5105" s="13"/>
      <c r="AM5105" s="13"/>
      <c r="AN5105" s="13"/>
      <c r="AO5105" s="13"/>
      <c r="AP5105" s="13"/>
      <c r="AQ5105" s="13"/>
      <c r="AR5105" s="13"/>
      <c r="AS5105" s="13"/>
    </row>
    <row r="5106" ht="14.25" customHeight="1">
      <c r="A5106" s="13"/>
      <c r="B5106" s="13"/>
      <c r="C5106" s="13"/>
      <c r="D5106" s="13"/>
      <c r="E5106" s="13"/>
      <c r="F5106" s="13"/>
      <c r="G5106" s="13"/>
      <c r="H5106" s="13"/>
      <c r="I5106" s="13"/>
      <c r="J5106" s="13"/>
      <c r="K5106" s="15"/>
      <c r="L5106" s="15"/>
      <c r="M5106" s="16"/>
      <c r="N5106" s="16"/>
      <c r="O5106" s="17"/>
      <c r="P5106" s="17"/>
      <c r="Q5106" s="13"/>
      <c r="R5106" s="13"/>
      <c r="S5106" s="13"/>
      <c r="T5106" s="13"/>
      <c r="U5106" s="13"/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13"/>
      <c r="AG5106" s="13"/>
      <c r="AH5106" s="13"/>
      <c r="AI5106" s="13"/>
      <c r="AJ5106" s="13"/>
      <c r="AK5106" s="13"/>
      <c r="AL5106" s="13"/>
      <c r="AM5106" s="13"/>
      <c r="AN5106" s="13"/>
      <c r="AO5106" s="13"/>
      <c r="AP5106" s="13"/>
      <c r="AQ5106" s="13"/>
      <c r="AR5106" s="13"/>
      <c r="AS5106" s="13"/>
    </row>
    <row r="5107" ht="14.25" customHeight="1">
      <c r="A5107" s="13"/>
      <c r="B5107" s="13"/>
      <c r="C5107" s="13"/>
      <c r="D5107" s="13"/>
      <c r="E5107" s="13"/>
      <c r="F5107" s="13"/>
      <c r="G5107" s="13"/>
      <c r="H5107" s="13"/>
      <c r="I5107" s="13"/>
      <c r="J5107" s="13"/>
      <c r="K5107" s="15"/>
      <c r="L5107" s="15"/>
      <c r="M5107" s="16"/>
      <c r="N5107" s="16"/>
      <c r="O5107" s="17"/>
      <c r="P5107" s="17"/>
      <c r="Q5107" s="13"/>
      <c r="R5107" s="13"/>
      <c r="S5107" s="13"/>
      <c r="T5107" s="13"/>
      <c r="U5107" s="13"/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13"/>
      <c r="AG5107" s="13"/>
      <c r="AH5107" s="13"/>
      <c r="AI5107" s="13"/>
      <c r="AJ5107" s="13"/>
      <c r="AK5107" s="13"/>
      <c r="AL5107" s="13"/>
      <c r="AM5107" s="13"/>
      <c r="AN5107" s="13"/>
      <c r="AO5107" s="13"/>
      <c r="AP5107" s="13"/>
      <c r="AQ5107" s="13"/>
      <c r="AR5107" s="13"/>
      <c r="AS5107" s="13"/>
    </row>
    <row r="5108" ht="14.25" customHeight="1">
      <c r="A5108" s="13"/>
      <c r="B5108" s="13"/>
      <c r="C5108" s="13"/>
      <c r="D5108" s="13"/>
      <c r="E5108" s="13"/>
      <c r="F5108" s="13"/>
      <c r="G5108" s="13"/>
      <c r="H5108" s="13"/>
      <c r="I5108" s="13"/>
      <c r="J5108" s="13"/>
      <c r="K5108" s="15"/>
      <c r="L5108" s="15"/>
      <c r="M5108" s="16"/>
      <c r="N5108" s="16"/>
      <c r="O5108" s="17"/>
      <c r="P5108" s="17"/>
      <c r="Q5108" s="13"/>
      <c r="R5108" s="13"/>
      <c r="S5108" s="13"/>
      <c r="T5108" s="13"/>
      <c r="U5108" s="13"/>
      <c r="V5108" s="13"/>
      <c r="W5108" s="13"/>
      <c r="X5108" s="13"/>
      <c r="Y5108" s="13"/>
      <c r="Z5108" s="13"/>
      <c r="AA5108" s="13"/>
      <c r="AB5108" s="13"/>
      <c r="AC5108" s="13"/>
      <c r="AD5108" s="13"/>
      <c r="AE5108" s="13"/>
      <c r="AF5108" s="13"/>
      <c r="AG5108" s="13"/>
      <c r="AH5108" s="13"/>
      <c r="AI5108" s="13"/>
      <c r="AJ5108" s="13"/>
      <c r="AK5108" s="13"/>
      <c r="AL5108" s="13"/>
      <c r="AM5108" s="13"/>
      <c r="AN5108" s="13"/>
      <c r="AO5108" s="13"/>
      <c r="AP5108" s="13"/>
      <c r="AQ5108" s="13"/>
      <c r="AR5108" s="13"/>
      <c r="AS5108" s="13"/>
    </row>
    <row r="5109" ht="14.25" customHeight="1">
      <c r="A5109" s="13"/>
      <c r="B5109" s="13"/>
      <c r="C5109" s="13"/>
      <c r="D5109" s="13"/>
      <c r="E5109" s="13"/>
      <c r="F5109" s="13"/>
      <c r="G5109" s="13"/>
      <c r="H5109" s="13"/>
      <c r="I5109" s="13"/>
      <c r="J5109" s="13"/>
      <c r="K5109" s="15"/>
      <c r="L5109" s="15"/>
      <c r="M5109" s="16"/>
      <c r="N5109" s="16"/>
      <c r="O5109" s="17"/>
      <c r="P5109" s="17"/>
      <c r="Q5109" s="13"/>
      <c r="R5109" s="13"/>
      <c r="S5109" s="13"/>
      <c r="T5109" s="13"/>
      <c r="U5109" s="13"/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13"/>
      <c r="AG5109" s="13"/>
      <c r="AH5109" s="13"/>
      <c r="AI5109" s="13"/>
      <c r="AJ5109" s="13"/>
      <c r="AK5109" s="13"/>
      <c r="AL5109" s="13"/>
      <c r="AM5109" s="13"/>
      <c r="AN5109" s="13"/>
      <c r="AO5109" s="13"/>
      <c r="AP5109" s="13"/>
      <c r="AQ5109" s="13"/>
      <c r="AR5109" s="13"/>
      <c r="AS5109" s="13"/>
    </row>
    <row r="5110" ht="14.25" customHeight="1">
      <c r="A5110" s="13"/>
      <c r="B5110" s="13"/>
      <c r="C5110" s="13"/>
      <c r="D5110" s="13"/>
      <c r="E5110" s="13"/>
      <c r="F5110" s="13"/>
      <c r="G5110" s="13"/>
      <c r="H5110" s="13"/>
      <c r="I5110" s="13"/>
      <c r="J5110" s="13"/>
      <c r="K5110" s="15"/>
      <c r="L5110" s="15"/>
      <c r="M5110" s="16"/>
      <c r="N5110" s="16"/>
      <c r="O5110" s="17"/>
      <c r="P5110" s="17"/>
      <c r="Q5110" s="13"/>
      <c r="R5110" s="13"/>
      <c r="S5110" s="13"/>
      <c r="T5110" s="13"/>
      <c r="U5110" s="13"/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13"/>
      <c r="AG5110" s="13"/>
      <c r="AH5110" s="13"/>
      <c r="AI5110" s="13"/>
      <c r="AJ5110" s="13"/>
      <c r="AK5110" s="13"/>
      <c r="AL5110" s="13"/>
      <c r="AM5110" s="13"/>
      <c r="AN5110" s="13"/>
      <c r="AO5110" s="13"/>
      <c r="AP5110" s="13"/>
      <c r="AQ5110" s="13"/>
      <c r="AR5110" s="13"/>
      <c r="AS5110" s="13"/>
    </row>
    <row r="5111" ht="14.25" customHeight="1">
      <c r="A5111" s="13"/>
      <c r="B5111" s="13"/>
      <c r="C5111" s="13"/>
      <c r="D5111" s="13"/>
      <c r="E5111" s="13"/>
      <c r="F5111" s="13"/>
      <c r="G5111" s="13"/>
      <c r="H5111" s="13"/>
      <c r="I5111" s="13"/>
      <c r="J5111" s="13"/>
      <c r="K5111" s="15"/>
      <c r="L5111" s="15"/>
      <c r="M5111" s="16"/>
      <c r="N5111" s="16"/>
      <c r="O5111" s="17"/>
      <c r="P5111" s="17"/>
      <c r="Q5111" s="13"/>
      <c r="R5111" s="13"/>
      <c r="S5111" s="13"/>
      <c r="T5111" s="13"/>
      <c r="U5111" s="13"/>
      <c r="V5111" s="13"/>
      <c r="W5111" s="13"/>
      <c r="X5111" s="13"/>
      <c r="Y5111" s="13"/>
      <c r="Z5111" s="13"/>
      <c r="AA5111" s="13"/>
      <c r="AB5111" s="13"/>
      <c r="AC5111" s="13"/>
      <c r="AD5111" s="13"/>
      <c r="AE5111" s="13"/>
      <c r="AF5111" s="13"/>
      <c r="AG5111" s="13"/>
      <c r="AH5111" s="13"/>
      <c r="AI5111" s="13"/>
      <c r="AJ5111" s="13"/>
      <c r="AK5111" s="13"/>
      <c r="AL5111" s="13"/>
      <c r="AM5111" s="13"/>
      <c r="AN5111" s="13"/>
      <c r="AO5111" s="13"/>
      <c r="AP5111" s="13"/>
      <c r="AQ5111" s="13"/>
      <c r="AR5111" s="13"/>
      <c r="AS5111" s="13"/>
    </row>
    <row r="5112" ht="14.25" customHeight="1">
      <c r="A5112" s="13"/>
      <c r="B5112" s="13"/>
      <c r="C5112" s="13"/>
      <c r="D5112" s="13"/>
      <c r="E5112" s="13"/>
      <c r="F5112" s="13"/>
      <c r="G5112" s="13"/>
      <c r="H5112" s="13"/>
      <c r="I5112" s="13"/>
      <c r="J5112" s="13"/>
      <c r="K5112" s="15"/>
      <c r="L5112" s="15"/>
      <c r="M5112" s="16"/>
      <c r="N5112" s="16"/>
      <c r="O5112" s="17"/>
      <c r="P5112" s="17"/>
      <c r="Q5112" s="13"/>
      <c r="R5112" s="13"/>
      <c r="S5112" s="13"/>
      <c r="T5112" s="13"/>
      <c r="U5112" s="13"/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F5112" s="13"/>
      <c r="AG5112" s="13"/>
      <c r="AH5112" s="13"/>
      <c r="AI5112" s="13"/>
      <c r="AJ5112" s="13"/>
      <c r="AK5112" s="13"/>
      <c r="AL5112" s="13"/>
      <c r="AM5112" s="13"/>
      <c r="AN5112" s="13"/>
      <c r="AO5112" s="13"/>
      <c r="AP5112" s="13"/>
      <c r="AQ5112" s="13"/>
      <c r="AR5112" s="13"/>
      <c r="AS5112" s="13"/>
    </row>
    <row r="5113" ht="14.25" customHeight="1">
      <c r="A5113" s="13"/>
      <c r="B5113" s="13"/>
      <c r="C5113" s="13"/>
      <c r="D5113" s="13"/>
      <c r="E5113" s="13"/>
      <c r="F5113" s="13"/>
      <c r="G5113" s="13"/>
      <c r="H5113" s="13"/>
      <c r="I5113" s="13"/>
      <c r="J5113" s="13"/>
      <c r="K5113" s="15"/>
      <c r="L5113" s="15"/>
      <c r="M5113" s="16"/>
      <c r="N5113" s="16"/>
      <c r="O5113" s="17"/>
      <c r="P5113" s="17"/>
      <c r="Q5113" s="13"/>
      <c r="R5113" s="13"/>
      <c r="S5113" s="13"/>
      <c r="T5113" s="13"/>
      <c r="U5113" s="13"/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F5113" s="13"/>
      <c r="AG5113" s="13"/>
      <c r="AH5113" s="13"/>
      <c r="AI5113" s="13"/>
      <c r="AJ5113" s="13"/>
      <c r="AK5113" s="13"/>
      <c r="AL5113" s="13"/>
      <c r="AM5113" s="13"/>
      <c r="AN5113" s="13"/>
      <c r="AO5113" s="13"/>
      <c r="AP5113" s="13"/>
      <c r="AQ5113" s="13"/>
      <c r="AR5113" s="13"/>
      <c r="AS5113" s="13"/>
    </row>
    <row r="5114" ht="14.25" customHeight="1">
      <c r="A5114" s="13"/>
      <c r="B5114" s="13"/>
      <c r="C5114" s="13"/>
      <c r="D5114" s="13"/>
      <c r="E5114" s="13"/>
      <c r="F5114" s="13"/>
      <c r="G5114" s="13"/>
      <c r="H5114" s="13"/>
      <c r="I5114" s="13"/>
      <c r="J5114" s="13"/>
      <c r="K5114" s="15"/>
      <c r="L5114" s="15"/>
      <c r="M5114" s="16"/>
      <c r="N5114" s="16"/>
      <c r="O5114" s="17"/>
      <c r="P5114" s="17"/>
      <c r="Q5114" s="13"/>
      <c r="R5114" s="13"/>
      <c r="S5114" s="13"/>
      <c r="T5114" s="13"/>
      <c r="U5114" s="13"/>
      <c r="V5114" s="13"/>
      <c r="W5114" s="13"/>
      <c r="X5114" s="13"/>
      <c r="Y5114" s="13"/>
      <c r="Z5114" s="13"/>
      <c r="AA5114" s="13"/>
      <c r="AB5114" s="13"/>
      <c r="AC5114" s="13"/>
      <c r="AD5114" s="13"/>
      <c r="AE5114" s="13"/>
      <c r="AF5114" s="13"/>
      <c r="AG5114" s="13"/>
      <c r="AH5114" s="13"/>
      <c r="AI5114" s="13"/>
      <c r="AJ5114" s="13"/>
      <c r="AK5114" s="13"/>
      <c r="AL5114" s="13"/>
      <c r="AM5114" s="13"/>
      <c r="AN5114" s="13"/>
      <c r="AO5114" s="13"/>
      <c r="AP5114" s="13"/>
      <c r="AQ5114" s="13"/>
      <c r="AR5114" s="13"/>
      <c r="AS5114" s="13"/>
    </row>
    <row r="5115" ht="14.25" customHeight="1">
      <c r="A5115" s="13"/>
      <c r="B5115" s="13"/>
      <c r="C5115" s="13"/>
      <c r="D5115" s="13"/>
      <c r="E5115" s="13"/>
      <c r="F5115" s="13"/>
      <c r="G5115" s="13"/>
      <c r="H5115" s="13"/>
      <c r="I5115" s="13"/>
      <c r="J5115" s="13"/>
      <c r="K5115" s="15"/>
      <c r="L5115" s="15"/>
      <c r="M5115" s="16"/>
      <c r="N5115" s="16"/>
      <c r="O5115" s="17"/>
      <c r="P5115" s="17"/>
      <c r="Q5115" s="13"/>
      <c r="R5115" s="13"/>
      <c r="S5115" s="13"/>
      <c r="T5115" s="13"/>
      <c r="U5115" s="13"/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13"/>
      <c r="AG5115" s="13"/>
      <c r="AH5115" s="13"/>
      <c r="AI5115" s="13"/>
      <c r="AJ5115" s="13"/>
      <c r="AK5115" s="13"/>
      <c r="AL5115" s="13"/>
      <c r="AM5115" s="13"/>
      <c r="AN5115" s="13"/>
      <c r="AO5115" s="13"/>
      <c r="AP5115" s="13"/>
      <c r="AQ5115" s="13"/>
      <c r="AR5115" s="13"/>
      <c r="AS5115" s="13"/>
    </row>
    <row r="5116" ht="14.25" customHeight="1">
      <c r="A5116" s="13"/>
      <c r="B5116" s="13"/>
      <c r="C5116" s="13"/>
      <c r="D5116" s="13"/>
      <c r="E5116" s="13"/>
      <c r="F5116" s="13"/>
      <c r="G5116" s="13"/>
      <c r="H5116" s="13"/>
      <c r="I5116" s="13"/>
      <c r="J5116" s="13"/>
      <c r="K5116" s="15"/>
      <c r="L5116" s="15"/>
      <c r="M5116" s="16"/>
      <c r="N5116" s="16"/>
      <c r="O5116" s="17"/>
      <c r="P5116" s="17"/>
      <c r="Q5116" s="13"/>
      <c r="R5116" s="13"/>
      <c r="S5116" s="13"/>
      <c r="T5116" s="13"/>
      <c r="U5116" s="13"/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F5116" s="13"/>
      <c r="AG5116" s="13"/>
      <c r="AH5116" s="13"/>
      <c r="AI5116" s="13"/>
      <c r="AJ5116" s="13"/>
      <c r="AK5116" s="13"/>
      <c r="AL5116" s="13"/>
      <c r="AM5116" s="13"/>
      <c r="AN5116" s="13"/>
      <c r="AO5116" s="13"/>
      <c r="AP5116" s="13"/>
      <c r="AQ5116" s="13"/>
      <c r="AR5116" s="13"/>
      <c r="AS5116" s="13"/>
    </row>
    <row r="5117" ht="14.25" customHeight="1">
      <c r="A5117" s="13"/>
      <c r="B5117" s="13"/>
      <c r="C5117" s="13"/>
      <c r="D5117" s="13"/>
      <c r="E5117" s="13"/>
      <c r="F5117" s="13"/>
      <c r="G5117" s="13"/>
      <c r="H5117" s="13"/>
      <c r="I5117" s="13"/>
      <c r="J5117" s="13"/>
      <c r="K5117" s="15"/>
      <c r="L5117" s="15"/>
      <c r="M5117" s="16"/>
      <c r="N5117" s="16"/>
      <c r="O5117" s="17"/>
      <c r="P5117" s="17"/>
      <c r="Q5117" s="13"/>
      <c r="R5117" s="13"/>
      <c r="S5117" s="13"/>
      <c r="T5117" s="13"/>
      <c r="U5117" s="13"/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  <c r="AG5117" s="13"/>
      <c r="AH5117" s="13"/>
      <c r="AI5117" s="13"/>
      <c r="AJ5117" s="13"/>
      <c r="AK5117" s="13"/>
      <c r="AL5117" s="13"/>
      <c r="AM5117" s="13"/>
      <c r="AN5117" s="13"/>
      <c r="AO5117" s="13"/>
      <c r="AP5117" s="13"/>
      <c r="AQ5117" s="13"/>
      <c r="AR5117" s="13"/>
      <c r="AS5117" s="13"/>
    </row>
    <row r="5118" ht="14.25" customHeight="1">
      <c r="A5118" s="13"/>
      <c r="B5118" s="13"/>
      <c r="C5118" s="13"/>
      <c r="D5118" s="13"/>
      <c r="E5118" s="13"/>
      <c r="F5118" s="13"/>
      <c r="G5118" s="13"/>
      <c r="H5118" s="13"/>
      <c r="I5118" s="13"/>
      <c r="J5118" s="13"/>
      <c r="K5118" s="15"/>
      <c r="L5118" s="15"/>
      <c r="M5118" s="16"/>
      <c r="N5118" s="16"/>
      <c r="O5118" s="17"/>
      <c r="P5118" s="17"/>
      <c r="Q5118" s="13"/>
      <c r="R5118" s="13"/>
      <c r="S5118" s="13"/>
      <c r="T5118" s="13"/>
      <c r="U5118" s="13"/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13"/>
      <c r="AG5118" s="13"/>
      <c r="AH5118" s="13"/>
      <c r="AI5118" s="13"/>
      <c r="AJ5118" s="13"/>
      <c r="AK5118" s="13"/>
      <c r="AL5118" s="13"/>
      <c r="AM5118" s="13"/>
      <c r="AN5118" s="13"/>
      <c r="AO5118" s="13"/>
      <c r="AP5118" s="13"/>
      <c r="AQ5118" s="13"/>
      <c r="AR5118" s="13"/>
      <c r="AS5118" s="13"/>
    </row>
    <row r="5119" ht="14.25" customHeight="1">
      <c r="A5119" s="13"/>
      <c r="B5119" s="13"/>
      <c r="C5119" s="13"/>
      <c r="D5119" s="13"/>
      <c r="E5119" s="13"/>
      <c r="F5119" s="13"/>
      <c r="G5119" s="13"/>
      <c r="H5119" s="13"/>
      <c r="I5119" s="13"/>
      <c r="J5119" s="13"/>
      <c r="K5119" s="15"/>
      <c r="L5119" s="15"/>
      <c r="M5119" s="16"/>
      <c r="N5119" s="16"/>
      <c r="O5119" s="17"/>
      <c r="P5119" s="17"/>
      <c r="Q5119" s="13"/>
      <c r="R5119" s="13"/>
      <c r="S5119" s="13"/>
      <c r="T5119" s="13"/>
      <c r="U5119" s="13"/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13"/>
      <c r="AG5119" s="13"/>
      <c r="AH5119" s="13"/>
      <c r="AI5119" s="13"/>
      <c r="AJ5119" s="13"/>
      <c r="AK5119" s="13"/>
      <c r="AL5119" s="13"/>
      <c r="AM5119" s="13"/>
      <c r="AN5119" s="13"/>
      <c r="AO5119" s="13"/>
      <c r="AP5119" s="13"/>
      <c r="AQ5119" s="13"/>
      <c r="AR5119" s="13"/>
      <c r="AS5119" s="13"/>
    </row>
    <row r="5120" ht="14.25" customHeight="1">
      <c r="A5120" s="13"/>
      <c r="B5120" s="13"/>
      <c r="C5120" s="13"/>
      <c r="D5120" s="13"/>
      <c r="E5120" s="13"/>
      <c r="F5120" s="13"/>
      <c r="G5120" s="13"/>
      <c r="H5120" s="13"/>
      <c r="I5120" s="13"/>
      <c r="J5120" s="13"/>
      <c r="K5120" s="15"/>
      <c r="L5120" s="15"/>
      <c r="M5120" s="16"/>
      <c r="N5120" s="16"/>
      <c r="O5120" s="17"/>
      <c r="P5120" s="17"/>
      <c r="Q5120" s="13"/>
      <c r="R5120" s="13"/>
      <c r="S5120" s="13"/>
      <c r="T5120" s="13"/>
      <c r="U5120" s="13"/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13"/>
      <c r="AG5120" s="13"/>
      <c r="AH5120" s="13"/>
      <c r="AI5120" s="13"/>
      <c r="AJ5120" s="13"/>
      <c r="AK5120" s="13"/>
      <c r="AL5120" s="13"/>
      <c r="AM5120" s="13"/>
      <c r="AN5120" s="13"/>
      <c r="AO5120" s="13"/>
      <c r="AP5120" s="13"/>
      <c r="AQ5120" s="13"/>
      <c r="AR5120" s="13"/>
      <c r="AS5120" s="13"/>
    </row>
    <row r="5121" ht="14.25" customHeight="1">
      <c r="A5121" s="13"/>
      <c r="B5121" s="13"/>
      <c r="C5121" s="13"/>
      <c r="D5121" s="13"/>
      <c r="E5121" s="13"/>
      <c r="F5121" s="13"/>
      <c r="G5121" s="13"/>
      <c r="H5121" s="13"/>
      <c r="I5121" s="13"/>
      <c r="J5121" s="13"/>
      <c r="K5121" s="15"/>
      <c r="L5121" s="15"/>
      <c r="M5121" s="16"/>
      <c r="N5121" s="16"/>
      <c r="O5121" s="17"/>
      <c r="P5121" s="17"/>
      <c r="Q5121" s="13"/>
      <c r="R5121" s="13"/>
      <c r="S5121" s="13"/>
      <c r="T5121" s="13"/>
      <c r="U5121" s="13"/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13"/>
      <c r="AG5121" s="13"/>
      <c r="AH5121" s="13"/>
      <c r="AI5121" s="13"/>
      <c r="AJ5121" s="13"/>
      <c r="AK5121" s="13"/>
      <c r="AL5121" s="13"/>
      <c r="AM5121" s="13"/>
      <c r="AN5121" s="13"/>
      <c r="AO5121" s="13"/>
      <c r="AP5121" s="13"/>
      <c r="AQ5121" s="13"/>
      <c r="AR5121" s="13"/>
      <c r="AS5121" s="13"/>
    </row>
    <row r="5122" ht="14.25" customHeight="1">
      <c r="A5122" s="13"/>
      <c r="B5122" s="13"/>
      <c r="C5122" s="13"/>
      <c r="D5122" s="13"/>
      <c r="E5122" s="13"/>
      <c r="F5122" s="13"/>
      <c r="G5122" s="13"/>
      <c r="H5122" s="13"/>
      <c r="I5122" s="13"/>
      <c r="J5122" s="13"/>
      <c r="K5122" s="15"/>
      <c r="L5122" s="15"/>
      <c r="M5122" s="16"/>
      <c r="N5122" s="16"/>
      <c r="O5122" s="17"/>
      <c r="P5122" s="17"/>
      <c r="Q5122" s="13"/>
      <c r="R5122" s="13"/>
      <c r="S5122" s="13"/>
      <c r="T5122" s="13"/>
      <c r="U5122" s="13"/>
      <c r="V5122" s="13"/>
      <c r="W5122" s="13"/>
      <c r="X5122" s="13"/>
      <c r="Y5122" s="13"/>
      <c r="Z5122" s="13"/>
      <c r="AA5122" s="13"/>
      <c r="AB5122" s="13"/>
      <c r="AC5122" s="13"/>
      <c r="AD5122" s="13"/>
      <c r="AE5122" s="13"/>
      <c r="AF5122" s="13"/>
      <c r="AG5122" s="13"/>
      <c r="AH5122" s="13"/>
      <c r="AI5122" s="13"/>
      <c r="AJ5122" s="13"/>
      <c r="AK5122" s="13"/>
      <c r="AL5122" s="13"/>
      <c r="AM5122" s="13"/>
      <c r="AN5122" s="13"/>
      <c r="AO5122" s="13"/>
      <c r="AP5122" s="13"/>
      <c r="AQ5122" s="13"/>
      <c r="AR5122" s="13"/>
      <c r="AS5122" s="13"/>
    </row>
    <row r="5123" ht="14.25" customHeight="1">
      <c r="A5123" s="13"/>
      <c r="B5123" s="13"/>
      <c r="C5123" s="13"/>
      <c r="D5123" s="13"/>
      <c r="E5123" s="13"/>
      <c r="F5123" s="13"/>
      <c r="G5123" s="13"/>
      <c r="H5123" s="13"/>
      <c r="I5123" s="13"/>
      <c r="J5123" s="13"/>
      <c r="K5123" s="15"/>
      <c r="L5123" s="15"/>
      <c r="M5123" s="16"/>
      <c r="N5123" s="16"/>
      <c r="O5123" s="17"/>
      <c r="P5123" s="17"/>
      <c r="Q5123" s="13"/>
      <c r="R5123" s="13"/>
      <c r="S5123" s="13"/>
      <c r="T5123" s="13"/>
      <c r="U5123" s="13"/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13"/>
      <c r="AG5123" s="13"/>
      <c r="AH5123" s="13"/>
      <c r="AI5123" s="13"/>
      <c r="AJ5123" s="13"/>
      <c r="AK5123" s="13"/>
      <c r="AL5123" s="13"/>
      <c r="AM5123" s="13"/>
      <c r="AN5123" s="13"/>
      <c r="AO5123" s="13"/>
      <c r="AP5123" s="13"/>
      <c r="AQ5123" s="13"/>
      <c r="AR5123" s="13"/>
      <c r="AS5123" s="13"/>
    </row>
    <row r="5124" ht="14.25" customHeight="1">
      <c r="A5124" s="13"/>
      <c r="B5124" s="13"/>
      <c r="C5124" s="13"/>
      <c r="D5124" s="13"/>
      <c r="E5124" s="13"/>
      <c r="F5124" s="13"/>
      <c r="G5124" s="13"/>
      <c r="H5124" s="13"/>
      <c r="I5124" s="13"/>
      <c r="J5124" s="13"/>
      <c r="K5124" s="15"/>
      <c r="L5124" s="15"/>
      <c r="M5124" s="16"/>
      <c r="N5124" s="16"/>
      <c r="O5124" s="17"/>
      <c r="P5124" s="17"/>
      <c r="Q5124" s="13"/>
      <c r="R5124" s="13"/>
      <c r="S5124" s="13"/>
      <c r="T5124" s="13"/>
      <c r="U5124" s="13"/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13"/>
      <c r="AG5124" s="13"/>
      <c r="AH5124" s="13"/>
      <c r="AI5124" s="13"/>
      <c r="AJ5124" s="13"/>
      <c r="AK5124" s="13"/>
      <c r="AL5124" s="13"/>
      <c r="AM5124" s="13"/>
      <c r="AN5124" s="13"/>
      <c r="AO5124" s="13"/>
      <c r="AP5124" s="13"/>
      <c r="AQ5124" s="13"/>
      <c r="AR5124" s="13"/>
      <c r="AS5124" s="13"/>
    </row>
    <row r="5125" ht="14.25" customHeight="1">
      <c r="A5125" s="13"/>
      <c r="B5125" s="13"/>
      <c r="C5125" s="13"/>
      <c r="D5125" s="13"/>
      <c r="E5125" s="13"/>
      <c r="F5125" s="13"/>
      <c r="G5125" s="13"/>
      <c r="H5125" s="13"/>
      <c r="I5125" s="13"/>
      <c r="J5125" s="13"/>
      <c r="K5125" s="15"/>
      <c r="L5125" s="15"/>
      <c r="M5125" s="16"/>
      <c r="N5125" s="16"/>
      <c r="O5125" s="17"/>
      <c r="P5125" s="17"/>
      <c r="Q5125" s="13"/>
      <c r="R5125" s="13"/>
      <c r="S5125" s="13"/>
      <c r="T5125" s="13"/>
      <c r="U5125" s="13"/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13"/>
      <c r="AG5125" s="13"/>
      <c r="AH5125" s="13"/>
      <c r="AI5125" s="13"/>
      <c r="AJ5125" s="13"/>
      <c r="AK5125" s="13"/>
      <c r="AL5125" s="13"/>
      <c r="AM5125" s="13"/>
      <c r="AN5125" s="13"/>
      <c r="AO5125" s="13"/>
      <c r="AP5125" s="13"/>
      <c r="AQ5125" s="13"/>
      <c r="AR5125" s="13"/>
      <c r="AS5125" s="13"/>
    </row>
    <row r="5126" ht="14.25" customHeight="1">
      <c r="A5126" s="13"/>
      <c r="B5126" s="13"/>
      <c r="C5126" s="13"/>
      <c r="D5126" s="13"/>
      <c r="E5126" s="13"/>
      <c r="F5126" s="13"/>
      <c r="G5126" s="13"/>
      <c r="H5126" s="13"/>
      <c r="I5126" s="13"/>
      <c r="J5126" s="13"/>
      <c r="K5126" s="15"/>
      <c r="L5126" s="15"/>
      <c r="M5126" s="16"/>
      <c r="N5126" s="16"/>
      <c r="O5126" s="17"/>
      <c r="P5126" s="17"/>
      <c r="Q5126" s="13"/>
      <c r="R5126" s="13"/>
      <c r="S5126" s="13"/>
      <c r="T5126" s="13"/>
      <c r="U5126" s="13"/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F5126" s="13"/>
      <c r="AG5126" s="13"/>
      <c r="AH5126" s="13"/>
      <c r="AI5126" s="13"/>
      <c r="AJ5126" s="13"/>
      <c r="AK5126" s="13"/>
      <c r="AL5126" s="13"/>
      <c r="AM5126" s="13"/>
      <c r="AN5126" s="13"/>
      <c r="AO5126" s="13"/>
      <c r="AP5126" s="13"/>
      <c r="AQ5126" s="13"/>
      <c r="AR5126" s="13"/>
      <c r="AS5126" s="13"/>
    </row>
    <row r="5127" ht="14.25" customHeight="1">
      <c r="A5127" s="13"/>
      <c r="B5127" s="13"/>
      <c r="C5127" s="13"/>
      <c r="D5127" s="13"/>
      <c r="E5127" s="13"/>
      <c r="F5127" s="13"/>
      <c r="G5127" s="13"/>
      <c r="H5127" s="13"/>
      <c r="I5127" s="13"/>
      <c r="J5127" s="13"/>
      <c r="K5127" s="15"/>
      <c r="L5127" s="15"/>
      <c r="M5127" s="16"/>
      <c r="N5127" s="16"/>
      <c r="O5127" s="17"/>
      <c r="P5127" s="17"/>
      <c r="Q5127" s="13"/>
      <c r="R5127" s="13"/>
      <c r="S5127" s="13"/>
      <c r="T5127" s="13"/>
      <c r="U5127" s="13"/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F5127" s="13"/>
      <c r="AG5127" s="13"/>
      <c r="AH5127" s="13"/>
      <c r="AI5127" s="13"/>
      <c r="AJ5127" s="13"/>
      <c r="AK5127" s="13"/>
      <c r="AL5127" s="13"/>
      <c r="AM5127" s="13"/>
      <c r="AN5127" s="13"/>
      <c r="AO5127" s="13"/>
      <c r="AP5127" s="13"/>
      <c r="AQ5127" s="13"/>
      <c r="AR5127" s="13"/>
      <c r="AS5127" s="13"/>
    </row>
    <row r="5128" ht="14.25" customHeight="1">
      <c r="A5128" s="13"/>
      <c r="B5128" s="13"/>
      <c r="C5128" s="13"/>
      <c r="D5128" s="13"/>
      <c r="E5128" s="13"/>
      <c r="F5128" s="13"/>
      <c r="G5128" s="13"/>
      <c r="H5128" s="13"/>
      <c r="I5128" s="13"/>
      <c r="J5128" s="13"/>
      <c r="K5128" s="15"/>
      <c r="L5128" s="15"/>
      <c r="M5128" s="16"/>
      <c r="N5128" s="16"/>
      <c r="O5128" s="17"/>
      <c r="P5128" s="17"/>
      <c r="Q5128" s="13"/>
      <c r="R5128" s="13"/>
      <c r="S5128" s="13"/>
      <c r="T5128" s="13"/>
      <c r="U5128" s="13"/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13"/>
      <c r="AG5128" s="13"/>
      <c r="AH5128" s="13"/>
      <c r="AI5128" s="13"/>
      <c r="AJ5128" s="13"/>
      <c r="AK5128" s="13"/>
      <c r="AL5128" s="13"/>
      <c r="AM5128" s="13"/>
      <c r="AN5128" s="13"/>
      <c r="AO5128" s="13"/>
      <c r="AP5128" s="13"/>
      <c r="AQ5128" s="13"/>
      <c r="AR5128" s="13"/>
      <c r="AS5128" s="13"/>
    </row>
    <row r="5129" ht="14.25" customHeight="1">
      <c r="A5129" s="13"/>
      <c r="B5129" s="13"/>
      <c r="C5129" s="13"/>
      <c r="D5129" s="13"/>
      <c r="E5129" s="13"/>
      <c r="F5129" s="13"/>
      <c r="G5129" s="13"/>
      <c r="H5129" s="13"/>
      <c r="I5129" s="13"/>
      <c r="J5129" s="13"/>
      <c r="K5129" s="15"/>
      <c r="L5129" s="15"/>
      <c r="M5129" s="16"/>
      <c r="N5129" s="16"/>
      <c r="O5129" s="17"/>
      <c r="P5129" s="17"/>
      <c r="Q5129" s="13"/>
      <c r="R5129" s="13"/>
      <c r="S5129" s="13"/>
      <c r="T5129" s="13"/>
      <c r="U5129" s="13"/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13"/>
      <c r="AG5129" s="13"/>
      <c r="AH5129" s="13"/>
      <c r="AI5129" s="13"/>
      <c r="AJ5129" s="13"/>
      <c r="AK5129" s="13"/>
      <c r="AL5129" s="13"/>
      <c r="AM5129" s="13"/>
      <c r="AN5129" s="13"/>
      <c r="AO5129" s="13"/>
      <c r="AP5129" s="13"/>
      <c r="AQ5129" s="13"/>
      <c r="AR5129" s="13"/>
      <c r="AS5129" s="13"/>
    </row>
    <row r="5130" ht="14.25" customHeight="1">
      <c r="A5130" s="13"/>
      <c r="B5130" s="13"/>
      <c r="C5130" s="13"/>
      <c r="D5130" s="13"/>
      <c r="E5130" s="13"/>
      <c r="F5130" s="13"/>
      <c r="G5130" s="13"/>
      <c r="H5130" s="13"/>
      <c r="I5130" s="13"/>
      <c r="J5130" s="13"/>
      <c r="K5130" s="15"/>
      <c r="L5130" s="15"/>
      <c r="M5130" s="16"/>
      <c r="N5130" s="16"/>
      <c r="O5130" s="17"/>
      <c r="P5130" s="17"/>
      <c r="Q5130" s="13"/>
      <c r="R5130" s="13"/>
      <c r="S5130" s="13"/>
      <c r="T5130" s="13"/>
      <c r="U5130" s="13"/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13"/>
      <c r="AG5130" s="13"/>
      <c r="AH5130" s="13"/>
      <c r="AI5130" s="13"/>
      <c r="AJ5130" s="13"/>
      <c r="AK5130" s="13"/>
      <c r="AL5130" s="13"/>
      <c r="AM5130" s="13"/>
      <c r="AN5130" s="13"/>
      <c r="AO5130" s="13"/>
      <c r="AP5130" s="13"/>
      <c r="AQ5130" s="13"/>
      <c r="AR5130" s="13"/>
      <c r="AS5130" s="13"/>
    </row>
    <row r="5131" ht="14.25" customHeight="1">
      <c r="A5131" s="13"/>
      <c r="B5131" s="13"/>
      <c r="C5131" s="13"/>
      <c r="D5131" s="13"/>
      <c r="E5131" s="13"/>
      <c r="F5131" s="13"/>
      <c r="G5131" s="13"/>
      <c r="H5131" s="13"/>
      <c r="I5131" s="13"/>
      <c r="J5131" s="13"/>
      <c r="K5131" s="15"/>
      <c r="L5131" s="15"/>
      <c r="M5131" s="16"/>
      <c r="N5131" s="16"/>
      <c r="O5131" s="17"/>
      <c r="P5131" s="17"/>
      <c r="Q5131" s="13"/>
      <c r="R5131" s="13"/>
      <c r="S5131" s="13"/>
      <c r="T5131" s="13"/>
      <c r="U5131" s="13"/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13"/>
      <c r="AG5131" s="13"/>
      <c r="AH5131" s="13"/>
      <c r="AI5131" s="13"/>
      <c r="AJ5131" s="13"/>
      <c r="AK5131" s="13"/>
      <c r="AL5131" s="13"/>
      <c r="AM5131" s="13"/>
      <c r="AN5131" s="13"/>
      <c r="AO5131" s="13"/>
      <c r="AP5131" s="13"/>
      <c r="AQ5131" s="13"/>
      <c r="AR5131" s="13"/>
      <c r="AS5131" s="13"/>
    </row>
    <row r="5132" ht="14.25" customHeight="1">
      <c r="A5132" s="13"/>
      <c r="B5132" s="13"/>
      <c r="C5132" s="13"/>
      <c r="D5132" s="13"/>
      <c r="E5132" s="13"/>
      <c r="F5132" s="13"/>
      <c r="G5132" s="13"/>
      <c r="H5132" s="13"/>
      <c r="I5132" s="13"/>
      <c r="J5132" s="13"/>
      <c r="K5132" s="15"/>
      <c r="L5132" s="15"/>
      <c r="M5132" s="16"/>
      <c r="N5132" s="16"/>
      <c r="O5132" s="17"/>
      <c r="P5132" s="17"/>
      <c r="Q5132" s="13"/>
      <c r="R5132" s="13"/>
      <c r="S5132" s="13"/>
      <c r="T5132" s="13"/>
      <c r="U5132" s="13"/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F5132" s="13"/>
      <c r="AG5132" s="13"/>
      <c r="AH5132" s="13"/>
      <c r="AI5132" s="13"/>
      <c r="AJ5132" s="13"/>
      <c r="AK5132" s="13"/>
      <c r="AL5132" s="13"/>
      <c r="AM5132" s="13"/>
      <c r="AN5132" s="13"/>
      <c r="AO5132" s="13"/>
      <c r="AP5132" s="13"/>
      <c r="AQ5132" s="13"/>
      <c r="AR5132" s="13"/>
      <c r="AS5132" s="13"/>
    </row>
    <row r="5133" ht="14.25" customHeight="1">
      <c r="A5133" s="13"/>
      <c r="B5133" s="13"/>
      <c r="C5133" s="13"/>
      <c r="D5133" s="13"/>
      <c r="E5133" s="13"/>
      <c r="F5133" s="13"/>
      <c r="G5133" s="13"/>
      <c r="H5133" s="13"/>
      <c r="I5133" s="13"/>
      <c r="J5133" s="13"/>
      <c r="K5133" s="15"/>
      <c r="L5133" s="15"/>
      <c r="M5133" s="16"/>
      <c r="N5133" s="16"/>
      <c r="O5133" s="17"/>
      <c r="P5133" s="17"/>
      <c r="Q5133" s="13"/>
      <c r="R5133" s="13"/>
      <c r="S5133" s="13"/>
      <c r="T5133" s="13"/>
      <c r="U5133" s="13"/>
      <c r="V5133" s="13"/>
      <c r="W5133" s="13"/>
      <c r="X5133" s="13"/>
      <c r="Y5133" s="13"/>
      <c r="Z5133" s="13"/>
      <c r="AA5133" s="13"/>
      <c r="AB5133" s="13"/>
      <c r="AC5133" s="13"/>
      <c r="AD5133" s="13"/>
      <c r="AE5133" s="13"/>
      <c r="AF5133" s="13"/>
      <c r="AG5133" s="13"/>
      <c r="AH5133" s="13"/>
      <c r="AI5133" s="13"/>
      <c r="AJ5133" s="13"/>
      <c r="AK5133" s="13"/>
      <c r="AL5133" s="13"/>
      <c r="AM5133" s="13"/>
      <c r="AN5133" s="13"/>
      <c r="AO5133" s="13"/>
      <c r="AP5133" s="13"/>
      <c r="AQ5133" s="13"/>
      <c r="AR5133" s="13"/>
      <c r="AS5133" s="13"/>
    </row>
    <row r="5134" ht="14.25" customHeight="1">
      <c r="A5134" s="13"/>
      <c r="B5134" s="13"/>
      <c r="C5134" s="13"/>
      <c r="D5134" s="13"/>
      <c r="E5134" s="13"/>
      <c r="F5134" s="13"/>
      <c r="G5134" s="13"/>
      <c r="H5134" s="13"/>
      <c r="I5134" s="13"/>
      <c r="J5134" s="13"/>
      <c r="K5134" s="15"/>
      <c r="L5134" s="15"/>
      <c r="M5134" s="16"/>
      <c r="N5134" s="16"/>
      <c r="O5134" s="17"/>
      <c r="P5134" s="17"/>
      <c r="Q5134" s="13"/>
      <c r="R5134" s="13"/>
      <c r="S5134" s="13"/>
      <c r="T5134" s="13"/>
      <c r="U5134" s="13"/>
      <c r="V5134" s="13"/>
      <c r="W5134" s="13"/>
      <c r="X5134" s="13"/>
      <c r="Y5134" s="13"/>
      <c r="Z5134" s="13"/>
      <c r="AA5134" s="13"/>
      <c r="AB5134" s="13"/>
      <c r="AC5134" s="13"/>
      <c r="AD5134" s="13"/>
      <c r="AE5134" s="13"/>
      <c r="AF5134" s="13"/>
      <c r="AG5134" s="13"/>
      <c r="AH5134" s="13"/>
      <c r="AI5134" s="13"/>
      <c r="AJ5134" s="13"/>
      <c r="AK5134" s="13"/>
      <c r="AL5134" s="13"/>
      <c r="AM5134" s="13"/>
      <c r="AN5134" s="13"/>
      <c r="AO5134" s="13"/>
      <c r="AP5134" s="13"/>
      <c r="AQ5134" s="13"/>
      <c r="AR5134" s="13"/>
      <c r="AS5134" s="13"/>
    </row>
    <row r="5135" ht="14.25" customHeight="1">
      <c r="A5135" s="13"/>
      <c r="B5135" s="13"/>
      <c r="C5135" s="13"/>
      <c r="D5135" s="13"/>
      <c r="E5135" s="13"/>
      <c r="F5135" s="13"/>
      <c r="G5135" s="13"/>
      <c r="H5135" s="13"/>
      <c r="I5135" s="13"/>
      <c r="J5135" s="13"/>
      <c r="K5135" s="15"/>
      <c r="L5135" s="15"/>
      <c r="M5135" s="16"/>
      <c r="N5135" s="16"/>
      <c r="O5135" s="17"/>
      <c r="P5135" s="17"/>
      <c r="Q5135" s="13"/>
      <c r="R5135" s="13"/>
      <c r="S5135" s="13"/>
      <c r="T5135" s="13"/>
      <c r="U5135" s="13"/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13"/>
      <c r="AG5135" s="13"/>
      <c r="AH5135" s="13"/>
      <c r="AI5135" s="13"/>
      <c r="AJ5135" s="13"/>
      <c r="AK5135" s="13"/>
      <c r="AL5135" s="13"/>
      <c r="AM5135" s="13"/>
      <c r="AN5135" s="13"/>
      <c r="AO5135" s="13"/>
      <c r="AP5135" s="13"/>
      <c r="AQ5135" s="13"/>
      <c r="AR5135" s="13"/>
      <c r="AS5135" s="13"/>
    </row>
    <row r="5136" ht="14.25" customHeight="1">
      <c r="A5136" s="13"/>
      <c r="B5136" s="13"/>
      <c r="C5136" s="13"/>
      <c r="D5136" s="13"/>
      <c r="E5136" s="13"/>
      <c r="F5136" s="13"/>
      <c r="G5136" s="13"/>
      <c r="H5136" s="13"/>
      <c r="I5136" s="13"/>
      <c r="J5136" s="13"/>
      <c r="K5136" s="15"/>
      <c r="L5136" s="15"/>
      <c r="M5136" s="16"/>
      <c r="N5136" s="16"/>
      <c r="O5136" s="17"/>
      <c r="P5136" s="17"/>
      <c r="Q5136" s="13"/>
      <c r="R5136" s="13"/>
      <c r="S5136" s="13"/>
      <c r="T5136" s="13"/>
      <c r="U5136" s="13"/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13"/>
      <c r="AG5136" s="13"/>
      <c r="AH5136" s="13"/>
      <c r="AI5136" s="13"/>
      <c r="AJ5136" s="13"/>
      <c r="AK5136" s="13"/>
      <c r="AL5136" s="13"/>
      <c r="AM5136" s="13"/>
      <c r="AN5136" s="13"/>
      <c r="AO5136" s="13"/>
      <c r="AP5136" s="13"/>
      <c r="AQ5136" s="13"/>
      <c r="AR5136" s="13"/>
      <c r="AS5136" s="13"/>
    </row>
    <row r="5137" ht="14.25" customHeight="1">
      <c r="A5137" s="13"/>
      <c r="B5137" s="13"/>
      <c r="C5137" s="13"/>
      <c r="D5137" s="13"/>
      <c r="E5137" s="13"/>
      <c r="F5137" s="13"/>
      <c r="G5137" s="13"/>
      <c r="H5137" s="13"/>
      <c r="I5137" s="13"/>
      <c r="J5137" s="13"/>
      <c r="K5137" s="15"/>
      <c r="L5137" s="15"/>
      <c r="M5137" s="16"/>
      <c r="N5137" s="16"/>
      <c r="O5137" s="17"/>
      <c r="P5137" s="17"/>
      <c r="Q5137" s="13"/>
      <c r="R5137" s="13"/>
      <c r="S5137" s="13"/>
      <c r="T5137" s="13"/>
      <c r="U5137" s="13"/>
      <c r="V5137" s="13"/>
      <c r="W5137" s="13"/>
      <c r="X5137" s="13"/>
      <c r="Y5137" s="13"/>
      <c r="Z5137" s="13"/>
      <c r="AA5137" s="13"/>
      <c r="AB5137" s="13"/>
      <c r="AC5137" s="13"/>
      <c r="AD5137" s="13"/>
      <c r="AE5137" s="13"/>
      <c r="AF5137" s="13"/>
      <c r="AG5137" s="13"/>
      <c r="AH5137" s="13"/>
      <c r="AI5137" s="13"/>
      <c r="AJ5137" s="13"/>
      <c r="AK5137" s="13"/>
      <c r="AL5137" s="13"/>
      <c r="AM5137" s="13"/>
      <c r="AN5137" s="13"/>
      <c r="AO5137" s="13"/>
      <c r="AP5137" s="13"/>
      <c r="AQ5137" s="13"/>
      <c r="AR5137" s="13"/>
      <c r="AS5137" s="13"/>
    </row>
    <row r="5138" ht="14.25" customHeight="1">
      <c r="A5138" s="13"/>
      <c r="B5138" s="13"/>
      <c r="C5138" s="13"/>
      <c r="D5138" s="13"/>
      <c r="E5138" s="13"/>
      <c r="F5138" s="13"/>
      <c r="G5138" s="13"/>
      <c r="H5138" s="13"/>
      <c r="I5138" s="13"/>
      <c r="J5138" s="13"/>
      <c r="K5138" s="15"/>
      <c r="L5138" s="15"/>
      <c r="M5138" s="16"/>
      <c r="N5138" s="16"/>
      <c r="O5138" s="17"/>
      <c r="P5138" s="17"/>
      <c r="Q5138" s="13"/>
      <c r="R5138" s="13"/>
      <c r="S5138" s="13"/>
      <c r="T5138" s="13"/>
      <c r="U5138" s="13"/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13"/>
      <c r="AG5138" s="13"/>
      <c r="AH5138" s="13"/>
      <c r="AI5138" s="13"/>
      <c r="AJ5138" s="13"/>
      <c r="AK5138" s="13"/>
      <c r="AL5138" s="13"/>
      <c r="AM5138" s="13"/>
      <c r="AN5138" s="13"/>
      <c r="AO5138" s="13"/>
      <c r="AP5138" s="13"/>
      <c r="AQ5138" s="13"/>
      <c r="AR5138" s="13"/>
      <c r="AS5138" s="13"/>
    </row>
    <row r="5139" ht="14.25" customHeight="1">
      <c r="A5139" s="13"/>
      <c r="B5139" s="13"/>
      <c r="C5139" s="13"/>
      <c r="D5139" s="13"/>
      <c r="E5139" s="13"/>
      <c r="F5139" s="13"/>
      <c r="G5139" s="13"/>
      <c r="H5139" s="13"/>
      <c r="I5139" s="13"/>
      <c r="J5139" s="13"/>
      <c r="K5139" s="15"/>
      <c r="L5139" s="15"/>
      <c r="M5139" s="16"/>
      <c r="N5139" s="16"/>
      <c r="O5139" s="17"/>
      <c r="P5139" s="17"/>
      <c r="Q5139" s="13"/>
      <c r="R5139" s="13"/>
      <c r="S5139" s="13"/>
      <c r="T5139" s="13"/>
      <c r="U5139" s="13"/>
      <c r="V5139" s="13"/>
      <c r="W5139" s="13"/>
      <c r="X5139" s="13"/>
      <c r="Y5139" s="13"/>
      <c r="Z5139" s="13"/>
      <c r="AA5139" s="13"/>
      <c r="AB5139" s="13"/>
      <c r="AC5139" s="13"/>
      <c r="AD5139" s="13"/>
      <c r="AE5139" s="13"/>
      <c r="AF5139" s="13"/>
      <c r="AG5139" s="13"/>
      <c r="AH5139" s="13"/>
      <c r="AI5139" s="13"/>
      <c r="AJ5139" s="13"/>
      <c r="AK5139" s="13"/>
      <c r="AL5139" s="13"/>
      <c r="AM5139" s="13"/>
      <c r="AN5139" s="13"/>
      <c r="AO5139" s="13"/>
      <c r="AP5139" s="13"/>
      <c r="AQ5139" s="13"/>
      <c r="AR5139" s="13"/>
      <c r="AS5139" s="13"/>
    </row>
    <row r="5140" ht="14.25" customHeight="1">
      <c r="A5140" s="13"/>
      <c r="B5140" s="13"/>
      <c r="C5140" s="13"/>
      <c r="D5140" s="13"/>
      <c r="E5140" s="13"/>
      <c r="F5140" s="13"/>
      <c r="G5140" s="13"/>
      <c r="H5140" s="13"/>
      <c r="I5140" s="13"/>
      <c r="J5140" s="13"/>
      <c r="K5140" s="15"/>
      <c r="L5140" s="15"/>
      <c r="M5140" s="16"/>
      <c r="N5140" s="16"/>
      <c r="O5140" s="17"/>
      <c r="P5140" s="17"/>
      <c r="Q5140" s="13"/>
      <c r="R5140" s="13"/>
      <c r="S5140" s="13"/>
      <c r="T5140" s="13"/>
      <c r="U5140" s="13"/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13"/>
      <c r="AG5140" s="13"/>
      <c r="AH5140" s="13"/>
      <c r="AI5140" s="13"/>
      <c r="AJ5140" s="13"/>
      <c r="AK5140" s="13"/>
      <c r="AL5140" s="13"/>
      <c r="AM5140" s="13"/>
      <c r="AN5140" s="13"/>
      <c r="AO5140" s="13"/>
      <c r="AP5140" s="13"/>
      <c r="AQ5140" s="13"/>
      <c r="AR5140" s="13"/>
      <c r="AS5140" s="13"/>
    </row>
    <row r="5141" ht="14.25" customHeight="1">
      <c r="A5141" s="13"/>
      <c r="B5141" s="13"/>
      <c r="C5141" s="13"/>
      <c r="D5141" s="13"/>
      <c r="E5141" s="13"/>
      <c r="F5141" s="13"/>
      <c r="G5141" s="13"/>
      <c r="H5141" s="13"/>
      <c r="I5141" s="13"/>
      <c r="J5141" s="13"/>
      <c r="K5141" s="15"/>
      <c r="L5141" s="15"/>
      <c r="M5141" s="16"/>
      <c r="N5141" s="16"/>
      <c r="O5141" s="17"/>
      <c r="P5141" s="17"/>
      <c r="Q5141" s="13"/>
      <c r="R5141" s="13"/>
      <c r="S5141" s="13"/>
      <c r="T5141" s="13"/>
      <c r="U5141" s="13"/>
      <c r="V5141" s="13"/>
      <c r="W5141" s="13"/>
      <c r="X5141" s="13"/>
      <c r="Y5141" s="13"/>
      <c r="Z5141" s="13"/>
      <c r="AA5141" s="13"/>
      <c r="AB5141" s="13"/>
      <c r="AC5141" s="13"/>
      <c r="AD5141" s="13"/>
      <c r="AE5141" s="13"/>
      <c r="AF5141" s="13"/>
      <c r="AG5141" s="13"/>
      <c r="AH5141" s="13"/>
      <c r="AI5141" s="13"/>
      <c r="AJ5141" s="13"/>
      <c r="AK5141" s="13"/>
      <c r="AL5141" s="13"/>
      <c r="AM5141" s="13"/>
      <c r="AN5141" s="13"/>
      <c r="AO5141" s="13"/>
      <c r="AP5141" s="13"/>
      <c r="AQ5141" s="13"/>
      <c r="AR5141" s="13"/>
      <c r="AS5141" s="13"/>
    </row>
    <row r="5142" ht="14.25" customHeight="1">
      <c r="A5142" s="13"/>
      <c r="B5142" s="13"/>
      <c r="C5142" s="13"/>
      <c r="D5142" s="13"/>
      <c r="E5142" s="13"/>
      <c r="F5142" s="13"/>
      <c r="G5142" s="13"/>
      <c r="H5142" s="13"/>
      <c r="I5142" s="13"/>
      <c r="J5142" s="13"/>
      <c r="K5142" s="15"/>
      <c r="L5142" s="15"/>
      <c r="M5142" s="16"/>
      <c r="N5142" s="16"/>
      <c r="O5142" s="17"/>
      <c r="P5142" s="17"/>
      <c r="Q5142" s="13"/>
      <c r="R5142" s="13"/>
      <c r="S5142" s="13"/>
      <c r="T5142" s="13"/>
      <c r="U5142" s="13"/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F5142" s="13"/>
      <c r="AG5142" s="13"/>
      <c r="AH5142" s="13"/>
      <c r="AI5142" s="13"/>
      <c r="AJ5142" s="13"/>
      <c r="AK5142" s="13"/>
      <c r="AL5142" s="13"/>
      <c r="AM5142" s="13"/>
      <c r="AN5142" s="13"/>
      <c r="AO5142" s="13"/>
      <c r="AP5142" s="13"/>
      <c r="AQ5142" s="13"/>
      <c r="AR5142" s="13"/>
      <c r="AS5142" s="13"/>
    </row>
    <row r="5143" ht="14.25" customHeight="1">
      <c r="A5143" s="13"/>
      <c r="B5143" s="13"/>
      <c r="C5143" s="13"/>
      <c r="D5143" s="13"/>
      <c r="E5143" s="13"/>
      <c r="F5143" s="13"/>
      <c r="G5143" s="13"/>
      <c r="H5143" s="13"/>
      <c r="I5143" s="13"/>
      <c r="J5143" s="13"/>
      <c r="K5143" s="15"/>
      <c r="L5143" s="15"/>
      <c r="M5143" s="16"/>
      <c r="N5143" s="16"/>
      <c r="O5143" s="17"/>
      <c r="P5143" s="17"/>
      <c r="Q5143" s="13"/>
      <c r="R5143" s="13"/>
      <c r="S5143" s="13"/>
      <c r="T5143" s="13"/>
      <c r="U5143" s="13"/>
      <c r="V5143" s="13"/>
      <c r="W5143" s="13"/>
      <c r="X5143" s="13"/>
      <c r="Y5143" s="13"/>
      <c r="Z5143" s="13"/>
      <c r="AA5143" s="13"/>
      <c r="AB5143" s="13"/>
      <c r="AC5143" s="13"/>
      <c r="AD5143" s="13"/>
      <c r="AE5143" s="13"/>
      <c r="AF5143" s="13"/>
      <c r="AG5143" s="13"/>
      <c r="AH5143" s="13"/>
      <c r="AI5143" s="13"/>
      <c r="AJ5143" s="13"/>
      <c r="AK5143" s="13"/>
      <c r="AL5143" s="13"/>
      <c r="AM5143" s="13"/>
      <c r="AN5143" s="13"/>
      <c r="AO5143" s="13"/>
      <c r="AP5143" s="13"/>
      <c r="AQ5143" s="13"/>
      <c r="AR5143" s="13"/>
      <c r="AS5143" s="13"/>
    </row>
    <row r="5144" ht="14.25" customHeight="1">
      <c r="A5144" s="13"/>
      <c r="B5144" s="13"/>
      <c r="C5144" s="13"/>
      <c r="D5144" s="13"/>
      <c r="E5144" s="13"/>
      <c r="F5144" s="13"/>
      <c r="G5144" s="13"/>
      <c r="H5144" s="13"/>
      <c r="I5144" s="13"/>
      <c r="J5144" s="13"/>
      <c r="K5144" s="15"/>
      <c r="L5144" s="15"/>
      <c r="M5144" s="16"/>
      <c r="N5144" s="16"/>
      <c r="O5144" s="17"/>
      <c r="P5144" s="17"/>
      <c r="Q5144" s="13"/>
      <c r="R5144" s="13"/>
      <c r="S5144" s="13"/>
      <c r="T5144" s="13"/>
      <c r="U5144" s="13"/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F5144" s="13"/>
      <c r="AG5144" s="13"/>
      <c r="AH5144" s="13"/>
      <c r="AI5144" s="13"/>
      <c r="AJ5144" s="13"/>
      <c r="AK5144" s="13"/>
      <c r="AL5144" s="13"/>
      <c r="AM5144" s="13"/>
      <c r="AN5144" s="13"/>
      <c r="AO5144" s="13"/>
      <c r="AP5144" s="13"/>
      <c r="AQ5144" s="13"/>
      <c r="AR5144" s="13"/>
      <c r="AS5144" s="13"/>
    </row>
    <row r="5145" ht="14.25" customHeight="1">
      <c r="A5145" s="13"/>
      <c r="B5145" s="13"/>
      <c r="C5145" s="13"/>
      <c r="D5145" s="13"/>
      <c r="E5145" s="13"/>
      <c r="F5145" s="13"/>
      <c r="G5145" s="13"/>
      <c r="H5145" s="13"/>
      <c r="I5145" s="13"/>
      <c r="J5145" s="13"/>
      <c r="K5145" s="15"/>
      <c r="L5145" s="15"/>
      <c r="M5145" s="16"/>
      <c r="N5145" s="16"/>
      <c r="O5145" s="17"/>
      <c r="P5145" s="17"/>
      <c r="Q5145" s="13"/>
      <c r="R5145" s="13"/>
      <c r="S5145" s="13"/>
      <c r="T5145" s="13"/>
      <c r="U5145" s="13"/>
      <c r="V5145" s="13"/>
      <c r="W5145" s="13"/>
      <c r="X5145" s="13"/>
      <c r="Y5145" s="13"/>
      <c r="Z5145" s="13"/>
      <c r="AA5145" s="13"/>
      <c r="AB5145" s="13"/>
      <c r="AC5145" s="13"/>
      <c r="AD5145" s="13"/>
      <c r="AE5145" s="13"/>
      <c r="AF5145" s="13"/>
      <c r="AG5145" s="13"/>
      <c r="AH5145" s="13"/>
      <c r="AI5145" s="13"/>
      <c r="AJ5145" s="13"/>
      <c r="AK5145" s="13"/>
      <c r="AL5145" s="13"/>
      <c r="AM5145" s="13"/>
      <c r="AN5145" s="13"/>
      <c r="AO5145" s="13"/>
      <c r="AP5145" s="13"/>
      <c r="AQ5145" s="13"/>
      <c r="AR5145" s="13"/>
      <c r="AS5145" s="13"/>
    </row>
    <row r="5146" ht="14.25" customHeight="1">
      <c r="A5146" s="13"/>
      <c r="B5146" s="13"/>
      <c r="C5146" s="13"/>
      <c r="D5146" s="13"/>
      <c r="E5146" s="13"/>
      <c r="F5146" s="13"/>
      <c r="G5146" s="13"/>
      <c r="H5146" s="13"/>
      <c r="I5146" s="13"/>
      <c r="J5146" s="13"/>
      <c r="K5146" s="15"/>
      <c r="L5146" s="15"/>
      <c r="M5146" s="16"/>
      <c r="N5146" s="16"/>
      <c r="O5146" s="17"/>
      <c r="P5146" s="17"/>
      <c r="Q5146" s="13"/>
      <c r="R5146" s="13"/>
      <c r="S5146" s="13"/>
      <c r="T5146" s="13"/>
      <c r="U5146" s="13"/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F5146" s="13"/>
      <c r="AG5146" s="13"/>
      <c r="AH5146" s="13"/>
      <c r="AI5146" s="13"/>
      <c r="AJ5146" s="13"/>
      <c r="AK5146" s="13"/>
      <c r="AL5146" s="13"/>
      <c r="AM5146" s="13"/>
      <c r="AN5146" s="13"/>
      <c r="AO5146" s="13"/>
      <c r="AP5146" s="13"/>
      <c r="AQ5146" s="13"/>
      <c r="AR5146" s="13"/>
      <c r="AS5146" s="13"/>
    </row>
    <row r="5147" ht="14.25" customHeight="1">
      <c r="A5147" s="13"/>
      <c r="B5147" s="13"/>
      <c r="C5147" s="13"/>
      <c r="D5147" s="13"/>
      <c r="E5147" s="13"/>
      <c r="F5147" s="13"/>
      <c r="G5147" s="13"/>
      <c r="H5147" s="13"/>
      <c r="I5147" s="13"/>
      <c r="J5147" s="13"/>
      <c r="K5147" s="15"/>
      <c r="L5147" s="15"/>
      <c r="M5147" s="16"/>
      <c r="N5147" s="16"/>
      <c r="O5147" s="17"/>
      <c r="P5147" s="17"/>
      <c r="Q5147" s="13"/>
      <c r="R5147" s="13"/>
      <c r="S5147" s="13"/>
      <c r="T5147" s="13"/>
      <c r="U5147" s="13"/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F5147" s="13"/>
      <c r="AG5147" s="13"/>
      <c r="AH5147" s="13"/>
      <c r="AI5147" s="13"/>
      <c r="AJ5147" s="13"/>
      <c r="AK5147" s="13"/>
      <c r="AL5147" s="13"/>
      <c r="AM5147" s="13"/>
      <c r="AN5147" s="13"/>
      <c r="AO5147" s="13"/>
      <c r="AP5147" s="13"/>
      <c r="AQ5147" s="13"/>
      <c r="AR5147" s="13"/>
      <c r="AS5147" s="13"/>
    </row>
    <row r="5148" ht="14.25" customHeight="1">
      <c r="A5148" s="13"/>
      <c r="B5148" s="13"/>
      <c r="C5148" s="13"/>
      <c r="D5148" s="13"/>
      <c r="E5148" s="13"/>
      <c r="F5148" s="13"/>
      <c r="G5148" s="13"/>
      <c r="H5148" s="13"/>
      <c r="I5148" s="13"/>
      <c r="J5148" s="13"/>
      <c r="K5148" s="15"/>
      <c r="L5148" s="15"/>
      <c r="M5148" s="16"/>
      <c r="N5148" s="16"/>
      <c r="O5148" s="17"/>
      <c r="P5148" s="17"/>
      <c r="Q5148" s="13"/>
      <c r="R5148" s="13"/>
      <c r="S5148" s="13"/>
      <c r="T5148" s="13"/>
      <c r="U5148" s="13"/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F5148" s="13"/>
      <c r="AG5148" s="13"/>
      <c r="AH5148" s="13"/>
      <c r="AI5148" s="13"/>
      <c r="AJ5148" s="13"/>
      <c r="AK5148" s="13"/>
      <c r="AL5148" s="13"/>
      <c r="AM5148" s="13"/>
      <c r="AN5148" s="13"/>
      <c r="AO5148" s="13"/>
      <c r="AP5148" s="13"/>
      <c r="AQ5148" s="13"/>
      <c r="AR5148" s="13"/>
      <c r="AS5148" s="13"/>
    </row>
    <row r="5149" ht="14.25" customHeight="1">
      <c r="A5149" s="13"/>
      <c r="B5149" s="13"/>
      <c r="C5149" s="13"/>
      <c r="D5149" s="13"/>
      <c r="E5149" s="13"/>
      <c r="F5149" s="13"/>
      <c r="G5149" s="13"/>
      <c r="H5149" s="13"/>
      <c r="I5149" s="13"/>
      <c r="J5149" s="13"/>
      <c r="K5149" s="15"/>
      <c r="L5149" s="15"/>
      <c r="M5149" s="16"/>
      <c r="N5149" s="16"/>
      <c r="O5149" s="17"/>
      <c r="P5149" s="17"/>
      <c r="Q5149" s="13"/>
      <c r="R5149" s="13"/>
      <c r="S5149" s="13"/>
      <c r="T5149" s="13"/>
      <c r="U5149" s="13"/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F5149" s="13"/>
      <c r="AG5149" s="13"/>
      <c r="AH5149" s="13"/>
      <c r="AI5149" s="13"/>
      <c r="AJ5149" s="13"/>
      <c r="AK5149" s="13"/>
      <c r="AL5149" s="13"/>
      <c r="AM5149" s="13"/>
      <c r="AN5149" s="13"/>
      <c r="AO5149" s="13"/>
      <c r="AP5149" s="13"/>
      <c r="AQ5149" s="13"/>
      <c r="AR5149" s="13"/>
      <c r="AS5149" s="13"/>
    </row>
    <row r="5150" ht="14.25" customHeight="1">
      <c r="A5150" s="13"/>
      <c r="B5150" s="13"/>
      <c r="C5150" s="13"/>
      <c r="D5150" s="13"/>
      <c r="E5150" s="13"/>
      <c r="F5150" s="13"/>
      <c r="G5150" s="13"/>
      <c r="H5150" s="13"/>
      <c r="I5150" s="13"/>
      <c r="J5150" s="13"/>
      <c r="K5150" s="15"/>
      <c r="L5150" s="15"/>
      <c r="M5150" s="16"/>
      <c r="N5150" s="16"/>
      <c r="O5150" s="17"/>
      <c r="P5150" s="17"/>
      <c r="Q5150" s="13"/>
      <c r="R5150" s="13"/>
      <c r="S5150" s="13"/>
      <c r="T5150" s="13"/>
      <c r="U5150" s="13"/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F5150" s="13"/>
      <c r="AG5150" s="13"/>
      <c r="AH5150" s="13"/>
      <c r="AI5150" s="13"/>
      <c r="AJ5150" s="13"/>
      <c r="AK5150" s="13"/>
      <c r="AL5150" s="13"/>
      <c r="AM5150" s="13"/>
      <c r="AN5150" s="13"/>
      <c r="AO5150" s="13"/>
      <c r="AP5150" s="13"/>
      <c r="AQ5150" s="13"/>
      <c r="AR5150" s="13"/>
      <c r="AS5150" s="13"/>
    </row>
    <row r="5151" ht="14.25" customHeight="1">
      <c r="A5151" s="13"/>
      <c r="B5151" s="13"/>
      <c r="C5151" s="13"/>
      <c r="D5151" s="13"/>
      <c r="E5151" s="13"/>
      <c r="F5151" s="13"/>
      <c r="G5151" s="13"/>
      <c r="H5151" s="13"/>
      <c r="I5151" s="13"/>
      <c r="J5151" s="13"/>
      <c r="K5151" s="15"/>
      <c r="L5151" s="15"/>
      <c r="M5151" s="16"/>
      <c r="N5151" s="16"/>
      <c r="O5151" s="17"/>
      <c r="P5151" s="17"/>
      <c r="Q5151" s="13"/>
      <c r="R5151" s="13"/>
      <c r="S5151" s="13"/>
      <c r="T5151" s="13"/>
      <c r="U5151" s="13"/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F5151" s="13"/>
      <c r="AG5151" s="13"/>
      <c r="AH5151" s="13"/>
      <c r="AI5151" s="13"/>
      <c r="AJ5151" s="13"/>
      <c r="AK5151" s="13"/>
      <c r="AL5151" s="13"/>
      <c r="AM5151" s="13"/>
      <c r="AN5151" s="13"/>
      <c r="AO5151" s="13"/>
      <c r="AP5151" s="13"/>
      <c r="AQ5151" s="13"/>
      <c r="AR5151" s="13"/>
      <c r="AS5151" s="13"/>
    </row>
    <row r="5152" ht="14.25" customHeight="1">
      <c r="A5152" s="13"/>
      <c r="B5152" s="13"/>
      <c r="C5152" s="13"/>
      <c r="D5152" s="13"/>
      <c r="E5152" s="13"/>
      <c r="F5152" s="13"/>
      <c r="G5152" s="13"/>
      <c r="H5152" s="13"/>
      <c r="I5152" s="13"/>
      <c r="J5152" s="13"/>
      <c r="K5152" s="15"/>
      <c r="L5152" s="15"/>
      <c r="M5152" s="16"/>
      <c r="N5152" s="16"/>
      <c r="O5152" s="17"/>
      <c r="P5152" s="17"/>
      <c r="Q5152" s="13"/>
      <c r="R5152" s="13"/>
      <c r="S5152" s="13"/>
      <c r="T5152" s="13"/>
      <c r="U5152" s="13"/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13"/>
      <c r="AG5152" s="13"/>
      <c r="AH5152" s="13"/>
      <c r="AI5152" s="13"/>
      <c r="AJ5152" s="13"/>
      <c r="AK5152" s="13"/>
      <c r="AL5152" s="13"/>
      <c r="AM5152" s="13"/>
      <c r="AN5152" s="13"/>
      <c r="AO5152" s="13"/>
      <c r="AP5152" s="13"/>
      <c r="AQ5152" s="13"/>
      <c r="AR5152" s="13"/>
      <c r="AS5152" s="13"/>
    </row>
    <row r="5153" ht="14.25" customHeight="1">
      <c r="A5153" s="13"/>
      <c r="B5153" s="13"/>
      <c r="C5153" s="13"/>
      <c r="D5153" s="13"/>
      <c r="E5153" s="13"/>
      <c r="F5153" s="13"/>
      <c r="G5153" s="13"/>
      <c r="H5153" s="13"/>
      <c r="I5153" s="13"/>
      <c r="J5153" s="13"/>
      <c r="K5153" s="15"/>
      <c r="L5153" s="15"/>
      <c r="M5153" s="16"/>
      <c r="N5153" s="16"/>
      <c r="O5153" s="17"/>
      <c r="P5153" s="17"/>
      <c r="Q5153" s="13"/>
      <c r="R5153" s="13"/>
      <c r="S5153" s="13"/>
      <c r="T5153" s="13"/>
      <c r="U5153" s="13"/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  <c r="AG5153" s="13"/>
      <c r="AH5153" s="13"/>
      <c r="AI5153" s="13"/>
      <c r="AJ5153" s="13"/>
      <c r="AK5153" s="13"/>
      <c r="AL5153" s="13"/>
      <c r="AM5153" s="13"/>
      <c r="AN5153" s="13"/>
      <c r="AO5153" s="13"/>
      <c r="AP5153" s="13"/>
      <c r="AQ5153" s="13"/>
      <c r="AR5153" s="13"/>
      <c r="AS5153" s="13"/>
    </row>
    <row r="5154" ht="14.25" customHeight="1">
      <c r="A5154" s="13"/>
      <c r="B5154" s="13"/>
      <c r="C5154" s="13"/>
      <c r="D5154" s="13"/>
      <c r="E5154" s="13"/>
      <c r="F5154" s="13"/>
      <c r="G5154" s="13"/>
      <c r="H5154" s="13"/>
      <c r="I5154" s="13"/>
      <c r="J5154" s="13"/>
      <c r="K5154" s="15"/>
      <c r="L5154" s="15"/>
      <c r="M5154" s="16"/>
      <c r="N5154" s="16"/>
      <c r="O5154" s="17"/>
      <c r="P5154" s="17"/>
      <c r="Q5154" s="13"/>
      <c r="R5154" s="13"/>
      <c r="S5154" s="13"/>
      <c r="T5154" s="13"/>
      <c r="U5154" s="13"/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  <c r="AG5154" s="13"/>
      <c r="AH5154" s="13"/>
      <c r="AI5154" s="13"/>
      <c r="AJ5154" s="13"/>
      <c r="AK5154" s="13"/>
      <c r="AL5154" s="13"/>
      <c r="AM5154" s="13"/>
      <c r="AN5154" s="13"/>
      <c r="AO5154" s="13"/>
      <c r="AP5154" s="13"/>
      <c r="AQ5154" s="13"/>
      <c r="AR5154" s="13"/>
      <c r="AS5154" s="13"/>
    </row>
    <row r="5155" ht="14.25" customHeight="1">
      <c r="A5155" s="13"/>
      <c r="B5155" s="13"/>
      <c r="C5155" s="13"/>
      <c r="D5155" s="13"/>
      <c r="E5155" s="13"/>
      <c r="F5155" s="13"/>
      <c r="G5155" s="13"/>
      <c r="H5155" s="13"/>
      <c r="I5155" s="13"/>
      <c r="J5155" s="13"/>
      <c r="K5155" s="15"/>
      <c r="L5155" s="15"/>
      <c r="M5155" s="16"/>
      <c r="N5155" s="16"/>
      <c r="O5155" s="17"/>
      <c r="P5155" s="17"/>
      <c r="Q5155" s="13"/>
      <c r="R5155" s="13"/>
      <c r="S5155" s="13"/>
      <c r="T5155" s="13"/>
      <c r="U5155" s="13"/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F5155" s="13"/>
      <c r="AG5155" s="13"/>
      <c r="AH5155" s="13"/>
      <c r="AI5155" s="13"/>
      <c r="AJ5155" s="13"/>
      <c r="AK5155" s="13"/>
      <c r="AL5155" s="13"/>
      <c r="AM5155" s="13"/>
      <c r="AN5155" s="13"/>
      <c r="AO5155" s="13"/>
      <c r="AP5155" s="13"/>
      <c r="AQ5155" s="13"/>
      <c r="AR5155" s="13"/>
      <c r="AS5155" s="13"/>
    </row>
    <row r="5156" ht="14.25" customHeight="1">
      <c r="A5156" s="13"/>
      <c r="B5156" s="13"/>
      <c r="C5156" s="13"/>
      <c r="D5156" s="13"/>
      <c r="E5156" s="13"/>
      <c r="F5156" s="13"/>
      <c r="G5156" s="13"/>
      <c r="H5156" s="13"/>
      <c r="I5156" s="13"/>
      <c r="J5156" s="13"/>
      <c r="K5156" s="15"/>
      <c r="L5156" s="15"/>
      <c r="M5156" s="16"/>
      <c r="N5156" s="16"/>
      <c r="O5156" s="17"/>
      <c r="P5156" s="17"/>
      <c r="Q5156" s="13"/>
      <c r="R5156" s="13"/>
      <c r="S5156" s="13"/>
      <c r="T5156" s="13"/>
      <c r="U5156" s="13"/>
      <c r="V5156" s="13"/>
      <c r="W5156" s="13"/>
      <c r="X5156" s="13"/>
      <c r="Y5156" s="13"/>
      <c r="Z5156" s="13"/>
      <c r="AA5156" s="13"/>
      <c r="AB5156" s="13"/>
      <c r="AC5156" s="13"/>
      <c r="AD5156" s="13"/>
      <c r="AE5156" s="13"/>
      <c r="AF5156" s="13"/>
      <c r="AG5156" s="13"/>
      <c r="AH5156" s="13"/>
      <c r="AI5156" s="13"/>
      <c r="AJ5156" s="13"/>
      <c r="AK5156" s="13"/>
      <c r="AL5156" s="13"/>
      <c r="AM5156" s="13"/>
      <c r="AN5156" s="13"/>
      <c r="AO5156" s="13"/>
      <c r="AP5156" s="13"/>
      <c r="AQ5156" s="13"/>
      <c r="AR5156" s="13"/>
      <c r="AS5156" s="13"/>
    </row>
    <row r="5157" ht="14.25" customHeight="1">
      <c r="A5157" s="13"/>
      <c r="B5157" s="13"/>
      <c r="C5157" s="13"/>
      <c r="D5157" s="13"/>
      <c r="E5157" s="13"/>
      <c r="F5157" s="13"/>
      <c r="G5157" s="13"/>
      <c r="H5157" s="13"/>
      <c r="I5157" s="13"/>
      <c r="J5157" s="13"/>
      <c r="K5157" s="15"/>
      <c r="L5157" s="15"/>
      <c r="M5157" s="16"/>
      <c r="N5157" s="16"/>
      <c r="O5157" s="17"/>
      <c r="P5157" s="17"/>
      <c r="Q5157" s="13"/>
      <c r="R5157" s="13"/>
      <c r="S5157" s="13"/>
      <c r="T5157" s="13"/>
      <c r="U5157" s="13"/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F5157" s="13"/>
      <c r="AG5157" s="13"/>
      <c r="AH5157" s="13"/>
      <c r="AI5157" s="13"/>
      <c r="AJ5157" s="13"/>
      <c r="AK5157" s="13"/>
      <c r="AL5157" s="13"/>
      <c r="AM5157" s="13"/>
      <c r="AN5157" s="13"/>
      <c r="AO5157" s="13"/>
      <c r="AP5157" s="13"/>
      <c r="AQ5157" s="13"/>
      <c r="AR5157" s="13"/>
      <c r="AS5157" s="13"/>
    </row>
    <row r="5158" ht="14.25" customHeight="1">
      <c r="A5158" s="13"/>
      <c r="B5158" s="13"/>
      <c r="C5158" s="13"/>
      <c r="D5158" s="13"/>
      <c r="E5158" s="13"/>
      <c r="F5158" s="13"/>
      <c r="G5158" s="13"/>
      <c r="H5158" s="13"/>
      <c r="I5158" s="13"/>
      <c r="J5158" s="13"/>
      <c r="K5158" s="15"/>
      <c r="L5158" s="15"/>
      <c r="M5158" s="16"/>
      <c r="N5158" s="16"/>
      <c r="O5158" s="17"/>
      <c r="P5158" s="17"/>
      <c r="Q5158" s="13"/>
      <c r="R5158" s="13"/>
      <c r="S5158" s="13"/>
      <c r="T5158" s="13"/>
      <c r="U5158" s="13"/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F5158" s="13"/>
      <c r="AG5158" s="13"/>
      <c r="AH5158" s="13"/>
      <c r="AI5158" s="13"/>
      <c r="AJ5158" s="13"/>
      <c r="AK5158" s="13"/>
      <c r="AL5158" s="13"/>
      <c r="AM5158" s="13"/>
      <c r="AN5158" s="13"/>
      <c r="AO5158" s="13"/>
      <c r="AP5158" s="13"/>
      <c r="AQ5158" s="13"/>
      <c r="AR5158" s="13"/>
      <c r="AS5158" s="13"/>
    </row>
    <row r="5159" ht="14.25" customHeight="1">
      <c r="A5159" s="13"/>
      <c r="B5159" s="13"/>
      <c r="C5159" s="13"/>
      <c r="D5159" s="13"/>
      <c r="E5159" s="13"/>
      <c r="F5159" s="13"/>
      <c r="G5159" s="13"/>
      <c r="H5159" s="13"/>
      <c r="I5159" s="13"/>
      <c r="J5159" s="13"/>
      <c r="K5159" s="15"/>
      <c r="L5159" s="15"/>
      <c r="M5159" s="16"/>
      <c r="N5159" s="16"/>
      <c r="O5159" s="17"/>
      <c r="P5159" s="17"/>
      <c r="Q5159" s="13"/>
      <c r="R5159" s="13"/>
      <c r="S5159" s="13"/>
      <c r="T5159" s="13"/>
      <c r="U5159" s="13"/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F5159" s="13"/>
      <c r="AG5159" s="13"/>
      <c r="AH5159" s="13"/>
      <c r="AI5159" s="13"/>
      <c r="AJ5159" s="13"/>
      <c r="AK5159" s="13"/>
      <c r="AL5159" s="13"/>
      <c r="AM5159" s="13"/>
      <c r="AN5159" s="13"/>
      <c r="AO5159" s="13"/>
      <c r="AP5159" s="13"/>
      <c r="AQ5159" s="13"/>
      <c r="AR5159" s="13"/>
      <c r="AS5159" s="13"/>
    </row>
    <row r="5160" ht="14.25" customHeight="1">
      <c r="A5160" s="13"/>
      <c r="B5160" s="13"/>
      <c r="C5160" s="13"/>
      <c r="D5160" s="13"/>
      <c r="E5160" s="13"/>
      <c r="F5160" s="13"/>
      <c r="G5160" s="13"/>
      <c r="H5160" s="13"/>
      <c r="I5160" s="13"/>
      <c r="J5160" s="13"/>
      <c r="K5160" s="15"/>
      <c r="L5160" s="15"/>
      <c r="M5160" s="16"/>
      <c r="N5160" s="16"/>
      <c r="O5160" s="17"/>
      <c r="P5160" s="17"/>
      <c r="Q5160" s="13"/>
      <c r="R5160" s="13"/>
      <c r="S5160" s="13"/>
      <c r="T5160" s="13"/>
      <c r="U5160" s="13"/>
      <c r="V5160" s="13"/>
      <c r="W5160" s="13"/>
      <c r="X5160" s="13"/>
      <c r="Y5160" s="13"/>
      <c r="Z5160" s="13"/>
      <c r="AA5160" s="13"/>
      <c r="AB5160" s="13"/>
      <c r="AC5160" s="13"/>
      <c r="AD5160" s="13"/>
      <c r="AE5160" s="13"/>
      <c r="AF5160" s="13"/>
      <c r="AG5160" s="13"/>
      <c r="AH5160" s="13"/>
      <c r="AI5160" s="13"/>
      <c r="AJ5160" s="13"/>
      <c r="AK5160" s="13"/>
      <c r="AL5160" s="13"/>
      <c r="AM5160" s="13"/>
      <c r="AN5160" s="13"/>
      <c r="AO5160" s="13"/>
      <c r="AP5160" s="13"/>
      <c r="AQ5160" s="13"/>
      <c r="AR5160" s="13"/>
      <c r="AS5160" s="13"/>
    </row>
    <row r="5161" ht="14.25" customHeight="1">
      <c r="A5161" s="13"/>
      <c r="B5161" s="13"/>
      <c r="C5161" s="13"/>
      <c r="D5161" s="13"/>
      <c r="E5161" s="13"/>
      <c r="F5161" s="13"/>
      <c r="G5161" s="13"/>
      <c r="H5161" s="13"/>
      <c r="I5161" s="13"/>
      <c r="J5161" s="13"/>
      <c r="K5161" s="15"/>
      <c r="L5161" s="15"/>
      <c r="M5161" s="16"/>
      <c r="N5161" s="16"/>
      <c r="O5161" s="17"/>
      <c r="P5161" s="17"/>
      <c r="Q5161" s="13"/>
      <c r="R5161" s="13"/>
      <c r="S5161" s="13"/>
      <c r="T5161" s="13"/>
      <c r="U5161" s="13"/>
      <c r="V5161" s="13"/>
      <c r="W5161" s="13"/>
      <c r="X5161" s="13"/>
      <c r="Y5161" s="13"/>
      <c r="Z5161" s="13"/>
      <c r="AA5161" s="13"/>
      <c r="AB5161" s="13"/>
      <c r="AC5161" s="13"/>
      <c r="AD5161" s="13"/>
      <c r="AE5161" s="13"/>
      <c r="AF5161" s="13"/>
      <c r="AG5161" s="13"/>
      <c r="AH5161" s="13"/>
      <c r="AI5161" s="13"/>
      <c r="AJ5161" s="13"/>
      <c r="AK5161" s="13"/>
      <c r="AL5161" s="13"/>
      <c r="AM5161" s="13"/>
      <c r="AN5161" s="13"/>
      <c r="AO5161" s="13"/>
      <c r="AP5161" s="13"/>
      <c r="AQ5161" s="13"/>
      <c r="AR5161" s="13"/>
      <c r="AS5161" s="13"/>
    </row>
    <row r="5162" ht="14.25" customHeight="1">
      <c r="A5162" s="13"/>
      <c r="B5162" s="13"/>
      <c r="C5162" s="13"/>
      <c r="D5162" s="13"/>
      <c r="E5162" s="13"/>
      <c r="F5162" s="13"/>
      <c r="G5162" s="13"/>
      <c r="H5162" s="13"/>
      <c r="I5162" s="13"/>
      <c r="J5162" s="13"/>
      <c r="K5162" s="15"/>
      <c r="L5162" s="15"/>
      <c r="M5162" s="16"/>
      <c r="N5162" s="16"/>
      <c r="O5162" s="17"/>
      <c r="P5162" s="17"/>
      <c r="Q5162" s="13"/>
      <c r="R5162" s="13"/>
      <c r="S5162" s="13"/>
      <c r="T5162" s="13"/>
      <c r="U5162" s="13"/>
      <c r="V5162" s="13"/>
      <c r="W5162" s="13"/>
      <c r="X5162" s="13"/>
      <c r="Y5162" s="13"/>
      <c r="Z5162" s="13"/>
      <c r="AA5162" s="13"/>
      <c r="AB5162" s="13"/>
      <c r="AC5162" s="13"/>
      <c r="AD5162" s="13"/>
      <c r="AE5162" s="13"/>
      <c r="AF5162" s="13"/>
      <c r="AG5162" s="13"/>
      <c r="AH5162" s="13"/>
      <c r="AI5162" s="13"/>
      <c r="AJ5162" s="13"/>
      <c r="AK5162" s="13"/>
      <c r="AL5162" s="13"/>
      <c r="AM5162" s="13"/>
      <c r="AN5162" s="13"/>
      <c r="AO5162" s="13"/>
      <c r="AP5162" s="13"/>
      <c r="AQ5162" s="13"/>
      <c r="AR5162" s="13"/>
      <c r="AS5162" s="13"/>
    </row>
    <row r="5163" ht="14.25" customHeight="1">
      <c r="A5163" s="13"/>
      <c r="B5163" s="13"/>
      <c r="C5163" s="13"/>
      <c r="D5163" s="13"/>
      <c r="E5163" s="13"/>
      <c r="F5163" s="13"/>
      <c r="G5163" s="13"/>
      <c r="H5163" s="13"/>
      <c r="I5163" s="13"/>
      <c r="J5163" s="13"/>
      <c r="K5163" s="15"/>
      <c r="L5163" s="15"/>
      <c r="M5163" s="16"/>
      <c r="N5163" s="16"/>
      <c r="O5163" s="17"/>
      <c r="P5163" s="17"/>
      <c r="Q5163" s="13"/>
      <c r="R5163" s="13"/>
      <c r="S5163" s="13"/>
      <c r="T5163" s="13"/>
      <c r="U5163" s="13"/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F5163" s="13"/>
      <c r="AG5163" s="13"/>
      <c r="AH5163" s="13"/>
      <c r="AI5163" s="13"/>
      <c r="AJ5163" s="13"/>
      <c r="AK5163" s="13"/>
      <c r="AL5163" s="13"/>
      <c r="AM5163" s="13"/>
      <c r="AN5163" s="13"/>
      <c r="AO5163" s="13"/>
      <c r="AP5163" s="13"/>
      <c r="AQ5163" s="13"/>
      <c r="AR5163" s="13"/>
      <c r="AS5163" s="13"/>
    </row>
    <row r="5164" ht="14.25" customHeight="1">
      <c r="A5164" s="13"/>
      <c r="B5164" s="13"/>
      <c r="C5164" s="13"/>
      <c r="D5164" s="13"/>
      <c r="E5164" s="13"/>
      <c r="F5164" s="13"/>
      <c r="G5164" s="13"/>
      <c r="H5164" s="13"/>
      <c r="I5164" s="13"/>
      <c r="J5164" s="13"/>
      <c r="K5164" s="15"/>
      <c r="L5164" s="15"/>
      <c r="M5164" s="16"/>
      <c r="N5164" s="16"/>
      <c r="O5164" s="17"/>
      <c r="P5164" s="17"/>
      <c r="Q5164" s="13"/>
      <c r="R5164" s="13"/>
      <c r="S5164" s="13"/>
      <c r="T5164" s="13"/>
      <c r="U5164" s="13"/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F5164" s="13"/>
      <c r="AG5164" s="13"/>
      <c r="AH5164" s="13"/>
      <c r="AI5164" s="13"/>
      <c r="AJ5164" s="13"/>
      <c r="AK5164" s="13"/>
      <c r="AL5164" s="13"/>
      <c r="AM5164" s="13"/>
      <c r="AN5164" s="13"/>
      <c r="AO5164" s="13"/>
      <c r="AP5164" s="13"/>
      <c r="AQ5164" s="13"/>
      <c r="AR5164" s="13"/>
      <c r="AS5164" s="13"/>
    </row>
    <row r="5165" ht="14.25" customHeight="1">
      <c r="A5165" s="13"/>
      <c r="B5165" s="13"/>
      <c r="C5165" s="13"/>
      <c r="D5165" s="13"/>
      <c r="E5165" s="13"/>
      <c r="F5165" s="13"/>
      <c r="G5165" s="13"/>
      <c r="H5165" s="13"/>
      <c r="I5165" s="13"/>
      <c r="J5165" s="13"/>
      <c r="K5165" s="15"/>
      <c r="L5165" s="15"/>
      <c r="M5165" s="16"/>
      <c r="N5165" s="16"/>
      <c r="O5165" s="17"/>
      <c r="P5165" s="17"/>
      <c r="Q5165" s="13"/>
      <c r="R5165" s="13"/>
      <c r="S5165" s="13"/>
      <c r="T5165" s="13"/>
      <c r="U5165" s="13"/>
      <c r="V5165" s="13"/>
      <c r="W5165" s="13"/>
      <c r="X5165" s="13"/>
      <c r="Y5165" s="13"/>
      <c r="Z5165" s="13"/>
      <c r="AA5165" s="13"/>
      <c r="AB5165" s="13"/>
      <c r="AC5165" s="13"/>
      <c r="AD5165" s="13"/>
      <c r="AE5165" s="13"/>
      <c r="AF5165" s="13"/>
      <c r="AG5165" s="13"/>
      <c r="AH5165" s="13"/>
      <c r="AI5165" s="13"/>
      <c r="AJ5165" s="13"/>
      <c r="AK5165" s="13"/>
      <c r="AL5165" s="13"/>
      <c r="AM5165" s="13"/>
      <c r="AN5165" s="13"/>
      <c r="AO5165" s="13"/>
      <c r="AP5165" s="13"/>
      <c r="AQ5165" s="13"/>
      <c r="AR5165" s="13"/>
      <c r="AS5165" s="13"/>
    </row>
    <row r="5166" ht="14.25" customHeight="1">
      <c r="A5166" s="13"/>
      <c r="B5166" s="13"/>
      <c r="C5166" s="13"/>
      <c r="D5166" s="13"/>
      <c r="E5166" s="13"/>
      <c r="F5166" s="13"/>
      <c r="G5166" s="13"/>
      <c r="H5166" s="13"/>
      <c r="I5166" s="13"/>
      <c r="J5166" s="13"/>
      <c r="K5166" s="15"/>
      <c r="L5166" s="15"/>
      <c r="M5166" s="16"/>
      <c r="N5166" s="16"/>
      <c r="O5166" s="17"/>
      <c r="P5166" s="17"/>
      <c r="Q5166" s="13"/>
      <c r="R5166" s="13"/>
      <c r="S5166" s="13"/>
      <c r="T5166" s="13"/>
      <c r="U5166" s="13"/>
      <c r="V5166" s="13"/>
      <c r="W5166" s="13"/>
      <c r="X5166" s="13"/>
      <c r="Y5166" s="13"/>
      <c r="Z5166" s="13"/>
      <c r="AA5166" s="13"/>
      <c r="AB5166" s="13"/>
      <c r="AC5166" s="13"/>
      <c r="AD5166" s="13"/>
      <c r="AE5166" s="13"/>
      <c r="AF5166" s="13"/>
      <c r="AG5166" s="13"/>
      <c r="AH5166" s="13"/>
      <c r="AI5166" s="13"/>
      <c r="AJ5166" s="13"/>
      <c r="AK5166" s="13"/>
      <c r="AL5166" s="13"/>
      <c r="AM5166" s="13"/>
      <c r="AN5166" s="13"/>
      <c r="AO5166" s="13"/>
      <c r="AP5166" s="13"/>
      <c r="AQ5166" s="13"/>
      <c r="AR5166" s="13"/>
      <c r="AS5166" s="13"/>
    </row>
    <row r="5167" ht="14.25" customHeight="1">
      <c r="A5167" s="13"/>
      <c r="B5167" s="13"/>
      <c r="C5167" s="13"/>
      <c r="D5167" s="13"/>
      <c r="E5167" s="13"/>
      <c r="F5167" s="13"/>
      <c r="G5167" s="13"/>
      <c r="H5167" s="13"/>
      <c r="I5167" s="13"/>
      <c r="J5167" s="13"/>
      <c r="K5167" s="15"/>
      <c r="L5167" s="15"/>
      <c r="M5167" s="16"/>
      <c r="N5167" s="16"/>
      <c r="O5167" s="17"/>
      <c r="P5167" s="17"/>
      <c r="Q5167" s="13"/>
      <c r="R5167" s="13"/>
      <c r="S5167" s="13"/>
      <c r="T5167" s="13"/>
      <c r="U5167" s="13"/>
      <c r="V5167" s="13"/>
      <c r="W5167" s="13"/>
      <c r="X5167" s="13"/>
      <c r="Y5167" s="13"/>
      <c r="Z5167" s="13"/>
      <c r="AA5167" s="13"/>
      <c r="AB5167" s="13"/>
      <c r="AC5167" s="13"/>
      <c r="AD5167" s="13"/>
      <c r="AE5167" s="13"/>
      <c r="AF5167" s="13"/>
      <c r="AG5167" s="13"/>
      <c r="AH5167" s="13"/>
      <c r="AI5167" s="13"/>
      <c r="AJ5167" s="13"/>
      <c r="AK5167" s="13"/>
      <c r="AL5167" s="13"/>
      <c r="AM5167" s="13"/>
      <c r="AN5167" s="13"/>
      <c r="AO5167" s="13"/>
      <c r="AP5167" s="13"/>
      <c r="AQ5167" s="13"/>
      <c r="AR5167" s="13"/>
      <c r="AS5167" s="13"/>
    </row>
    <row r="5168" ht="14.25" customHeight="1">
      <c r="A5168" s="13"/>
      <c r="B5168" s="13"/>
      <c r="C5168" s="13"/>
      <c r="D5168" s="13"/>
      <c r="E5168" s="13"/>
      <c r="F5168" s="13"/>
      <c r="G5168" s="13"/>
      <c r="H5168" s="13"/>
      <c r="I5168" s="13"/>
      <c r="J5168" s="13"/>
      <c r="K5168" s="15"/>
      <c r="L5168" s="15"/>
      <c r="M5168" s="16"/>
      <c r="N5168" s="16"/>
      <c r="O5168" s="17"/>
      <c r="P5168" s="17"/>
      <c r="Q5168" s="13"/>
      <c r="R5168" s="13"/>
      <c r="S5168" s="13"/>
      <c r="T5168" s="13"/>
      <c r="U5168" s="13"/>
      <c r="V5168" s="13"/>
      <c r="W5168" s="13"/>
      <c r="X5168" s="13"/>
      <c r="Y5168" s="13"/>
      <c r="Z5168" s="13"/>
      <c r="AA5168" s="13"/>
      <c r="AB5168" s="13"/>
      <c r="AC5168" s="13"/>
      <c r="AD5168" s="13"/>
      <c r="AE5168" s="13"/>
      <c r="AF5168" s="13"/>
      <c r="AG5168" s="13"/>
      <c r="AH5168" s="13"/>
      <c r="AI5168" s="13"/>
      <c r="AJ5168" s="13"/>
      <c r="AK5168" s="13"/>
      <c r="AL5168" s="13"/>
      <c r="AM5168" s="13"/>
      <c r="AN5168" s="13"/>
      <c r="AO5168" s="13"/>
      <c r="AP5168" s="13"/>
      <c r="AQ5168" s="13"/>
      <c r="AR5168" s="13"/>
      <c r="AS5168" s="13"/>
    </row>
    <row r="5169" ht="14.25" customHeight="1">
      <c r="A5169" s="13"/>
      <c r="B5169" s="13"/>
      <c r="C5169" s="13"/>
      <c r="D5169" s="13"/>
      <c r="E5169" s="13"/>
      <c r="F5169" s="13"/>
      <c r="G5169" s="13"/>
      <c r="H5169" s="13"/>
      <c r="I5169" s="13"/>
      <c r="J5169" s="13"/>
      <c r="K5169" s="15"/>
      <c r="L5169" s="15"/>
      <c r="M5169" s="16"/>
      <c r="N5169" s="16"/>
      <c r="O5169" s="17"/>
      <c r="P5169" s="17"/>
      <c r="Q5169" s="13"/>
      <c r="R5169" s="13"/>
      <c r="S5169" s="13"/>
      <c r="T5169" s="13"/>
      <c r="U5169" s="13"/>
      <c r="V5169" s="13"/>
      <c r="W5169" s="13"/>
      <c r="X5169" s="13"/>
      <c r="Y5169" s="13"/>
      <c r="Z5169" s="13"/>
      <c r="AA5169" s="13"/>
      <c r="AB5169" s="13"/>
      <c r="AC5169" s="13"/>
      <c r="AD5169" s="13"/>
      <c r="AE5169" s="13"/>
      <c r="AF5169" s="13"/>
      <c r="AG5169" s="13"/>
      <c r="AH5169" s="13"/>
      <c r="AI5169" s="13"/>
      <c r="AJ5169" s="13"/>
      <c r="AK5169" s="13"/>
      <c r="AL5169" s="13"/>
      <c r="AM5169" s="13"/>
      <c r="AN5169" s="13"/>
      <c r="AO5169" s="13"/>
      <c r="AP5169" s="13"/>
      <c r="AQ5169" s="13"/>
      <c r="AR5169" s="13"/>
      <c r="AS5169" s="13"/>
    </row>
    <row r="5170" ht="14.25" customHeight="1">
      <c r="A5170" s="13"/>
      <c r="B5170" s="13"/>
      <c r="C5170" s="13"/>
      <c r="D5170" s="13"/>
      <c r="E5170" s="13"/>
      <c r="F5170" s="13"/>
      <c r="G5170" s="13"/>
      <c r="H5170" s="13"/>
      <c r="I5170" s="13"/>
      <c r="J5170" s="13"/>
      <c r="K5170" s="15"/>
      <c r="L5170" s="15"/>
      <c r="M5170" s="16"/>
      <c r="N5170" s="16"/>
      <c r="O5170" s="17"/>
      <c r="P5170" s="17"/>
      <c r="Q5170" s="13"/>
      <c r="R5170" s="13"/>
      <c r="S5170" s="13"/>
      <c r="T5170" s="13"/>
      <c r="U5170" s="13"/>
      <c r="V5170" s="13"/>
      <c r="W5170" s="13"/>
      <c r="X5170" s="13"/>
      <c r="Y5170" s="13"/>
      <c r="Z5170" s="13"/>
      <c r="AA5170" s="13"/>
      <c r="AB5170" s="13"/>
      <c r="AC5170" s="13"/>
      <c r="AD5170" s="13"/>
      <c r="AE5170" s="13"/>
      <c r="AF5170" s="13"/>
      <c r="AG5170" s="13"/>
      <c r="AH5170" s="13"/>
      <c r="AI5170" s="13"/>
      <c r="AJ5170" s="13"/>
      <c r="AK5170" s="13"/>
      <c r="AL5170" s="13"/>
      <c r="AM5170" s="13"/>
      <c r="AN5170" s="13"/>
      <c r="AO5170" s="13"/>
      <c r="AP5170" s="13"/>
      <c r="AQ5170" s="13"/>
      <c r="AR5170" s="13"/>
      <c r="AS5170" s="13"/>
    </row>
    <row r="5171" ht="14.25" customHeight="1">
      <c r="A5171" s="13"/>
      <c r="B5171" s="13"/>
      <c r="C5171" s="13"/>
      <c r="D5171" s="13"/>
      <c r="E5171" s="13"/>
      <c r="F5171" s="13"/>
      <c r="G5171" s="13"/>
      <c r="H5171" s="13"/>
      <c r="I5171" s="13"/>
      <c r="J5171" s="13"/>
      <c r="K5171" s="15"/>
      <c r="L5171" s="15"/>
      <c r="M5171" s="16"/>
      <c r="N5171" s="16"/>
      <c r="O5171" s="17"/>
      <c r="P5171" s="17"/>
      <c r="Q5171" s="13"/>
      <c r="R5171" s="13"/>
      <c r="S5171" s="13"/>
      <c r="T5171" s="13"/>
      <c r="U5171" s="13"/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F5171" s="13"/>
      <c r="AG5171" s="13"/>
      <c r="AH5171" s="13"/>
      <c r="AI5171" s="13"/>
      <c r="AJ5171" s="13"/>
      <c r="AK5171" s="13"/>
      <c r="AL5171" s="13"/>
      <c r="AM5171" s="13"/>
      <c r="AN5171" s="13"/>
      <c r="AO5171" s="13"/>
      <c r="AP5171" s="13"/>
      <c r="AQ5171" s="13"/>
      <c r="AR5171" s="13"/>
      <c r="AS5171" s="13"/>
    </row>
    <row r="5172" ht="14.25" customHeight="1">
      <c r="A5172" s="13"/>
      <c r="B5172" s="13"/>
      <c r="C5172" s="13"/>
      <c r="D5172" s="13"/>
      <c r="E5172" s="13"/>
      <c r="F5172" s="13"/>
      <c r="G5172" s="13"/>
      <c r="H5172" s="13"/>
      <c r="I5172" s="13"/>
      <c r="J5172" s="13"/>
      <c r="K5172" s="15"/>
      <c r="L5172" s="15"/>
      <c r="M5172" s="16"/>
      <c r="N5172" s="16"/>
      <c r="O5172" s="17"/>
      <c r="P5172" s="17"/>
      <c r="Q5172" s="13"/>
      <c r="R5172" s="13"/>
      <c r="S5172" s="13"/>
      <c r="T5172" s="13"/>
      <c r="U5172" s="13"/>
      <c r="V5172" s="13"/>
      <c r="W5172" s="13"/>
      <c r="X5172" s="13"/>
      <c r="Y5172" s="13"/>
      <c r="Z5172" s="13"/>
      <c r="AA5172" s="13"/>
      <c r="AB5172" s="13"/>
      <c r="AC5172" s="13"/>
      <c r="AD5172" s="13"/>
      <c r="AE5172" s="13"/>
      <c r="AF5172" s="13"/>
      <c r="AG5172" s="13"/>
      <c r="AH5172" s="13"/>
      <c r="AI5172" s="13"/>
      <c r="AJ5172" s="13"/>
      <c r="AK5172" s="13"/>
      <c r="AL5172" s="13"/>
      <c r="AM5172" s="13"/>
      <c r="AN5172" s="13"/>
      <c r="AO5172" s="13"/>
      <c r="AP5172" s="13"/>
      <c r="AQ5172" s="13"/>
      <c r="AR5172" s="13"/>
      <c r="AS5172" s="13"/>
    </row>
    <row r="5173" ht="14.25" customHeight="1">
      <c r="A5173" s="13"/>
      <c r="B5173" s="13"/>
      <c r="C5173" s="13"/>
      <c r="D5173" s="13"/>
      <c r="E5173" s="13"/>
      <c r="F5173" s="13"/>
      <c r="G5173" s="13"/>
      <c r="H5173" s="13"/>
      <c r="I5173" s="13"/>
      <c r="J5173" s="13"/>
      <c r="K5173" s="15"/>
      <c r="L5173" s="15"/>
      <c r="M5173" s="16"/>
      <c r="N5173" s="16"/>
      <c r="O5173" s="17"/>
      <c r="P5173" s="17"/>
      <c r="Q5173" s="13"/>
      <c r="R5173" s="13"/>
      <c r="S5173" s="13"/>
      <c r="T5173" s="13"/>
      <c r="U5173" s="13"/>
      <c r="V5173" s="13"/>
      <c r="W5173" s="13"/>
      <c r="X5173" s="13"/>
      <c r="Y5173" s="13"/>
      <c r="Z5173" s="13"/>
      <c r="AA5173" s="13"/>
      <c r="AB5173" s="13"/>
      <c r="AC5173" s="13"/>
      <c r="AD5173" s="13"/>
      <c r="AE5173" s="13"/>
      <c r="AF5173" s="13"/>
      <c r="AG5173" s="13"/>
      <c r="AH5173" s="13"/>
      <c r="AI5173" s="13"/>
      <c r="AJ5173" s="13"/>
      <c r="AK5173" s="13"/>
      <c r="AL5173" s="13"/>
      <c r="AM5173" s="13"/>
      <c r="AN5173" s="13"/>
      <c r="AO5173" s="13"/>
      <c r="AP5173" s="13"/>
      <c r="AQ5173" s="13"/>
      <c r="AR5173" s="13"/>
      <c r="AS5173" s="13"/>
    </row>
    <row r="5174" ht="14.25" customHeight="1">
      <c r="A5174" s="13"/>
      <c r="B5174" s="13"/>
      <c r="C5174" s="13"/>
      <c r="D5174" s="13"/>
      <c r="E5174" s="13"/>
      <c r="F5174" s="13"/>
      <c r="G5174" s="13"/>
      <c r="H5174" s="13"/>
      <c r="I5174" s="13"/>
      <c r="J5174" s="13"/>
      <c r="K5174" s="15"/>
      <c r="L5174" s="15"/>
      <c r="M5174" s="16"/>
      <c r="N5174" s="16"/>
      <c r="O5174" s="17"/>
      <c r="P5174" s="17"/>
      <c r="Q5174" s="13"/>
      <c r="R5174" s="13"/>
      <c r="S5174" s="13"/>
      <c r="T5174" s="13"/>
      <c r="U5174" s="13"/>
      <c r="V5174" s="13"/>
      <c r="W5174" s="13"/>
      <c r="X5174" s="13"/>
      <c r="Y5174" s="13"/>
      <c r="Z5174" s="13"/>
      <c r="AA5174" s="13"/>
      <c r="AB5174" s="13"/>
      <c r="AC5174" s="13"/>
      <c r="AD5174" s="13"/>
      <c r="AE5174" s="13"/>
      <c r="AF5174" s="13"/>
      <c r="AG5174" s="13"/>
      <c r="AH5174" s="13"/>
      <c r="AI5174" s="13"/>
      <c r="AJ5174" s="13"/>
      <c r="AK5174" s="13"/>
      <c r="AL5174" s="13"/>
      <c r="AM5174" s="13"/>
      <c r="AN5174" s="13"/>
      <c r="AO5174" s="13"/>
      <c r="AP5174" s="13"/>
      <c r="AQ5174" s="13"/>
      <c r="AR5174" s="13"/>
      <c r="AS5174" s="13"/>
    </row>
    <row r="5175" ht="14.25" customHeight="1">
      <c r="A5175" s="13"/>
      <c r="B5175" s="13"/>
      <c r="C5175" s="13"/>
      <c r="D5175" s="13"/>
      <c r="E5175" s="13"/>
      <c r="F5175" s="13"/>
      <c r="G5175" s="13"/>
      <c r="H5175" s="13"/>
      <c r="I5175" s="13"/>
      <c r="J5175" s="13"/>
      <c r="K5175" s="15"/>
      <c r="L5175" s="15"/>
      <c r="M5175" s="16"/>
      <c r="N5175" s="16"/>
      <c r="O5175" s="17"/>
      <c r="P5175" s="17"/>
      <c r="Q5175" s="13"/>
      <c r="R5175" s="13"/>
      <c r="S5175" s="13"/>
      <c r="T5175" s="13"/>
      <c r="U5175" s="13"/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F5175" s="13"/>
      <c r="AG5175" s="13"/>
      <c r="AH5175" s="13"/>
      <c r="AI5175" s="13"/>
      <c r="AJ5175" s="13"/>
      <c r="AK5175" s="13"/>
      <c r="AL5175" s="13"/>
      <c r="AM5175" s="13"/>
      <c r="AN5175" s="13"/>
      <c r="AO5175" s="13"/>
      <c r="AP5175" s="13"/>
      <c r="AQ5175" s="13"/>
      <c r="AR5175" s="13"/>
      <c r="AS5175" s="13"/>
    </row>
    <row r="5176" ht="14.25" customHeight="1">
      <c r="A5176" s="13"/>
      <c r="B5176" s="13"/>
      <c r="C5176" s="13"/>
      <c r="D5176" s="13"/>
      <c r="E5176" s="13"/>
      <c r="F5176" s="13"/>
      <c r="G5176" s="13"/>
      <c r="H5176" s="13"/>
      <c r="I5176" s="13"/>
      <c r="J5176" s="13"/>
      <c r="K5176" s="15"/>
      <c r="L5176" s="15"/>
      <c r="M5176" s="16"/>
      <c r="N5176" s="16"/>
      <c r="O5176" s="17"/>
      <c r="P5176" s="17"/>
      <c r="Q5176" s="13"/>
      <c r="R5176" s="13"/>
      <c r="S5176" s="13"/>
      <c r="T5176" s="13"/>
      <c r="U5176" s="13"/>
      <c r="V5176" s="13"/>
      <c r="W5176" s="13"/>
      <c r="X5176" s="13"/>
      <c r="Y5176" s="13"/>
      <c r="Z5176" s="13"/>
      <c r="AA5176" s="13"/>
      <c r="AB5176" s="13"/>
      <c r="AC5176" s="13"/>
      <c r="AD5176" s="13"/>
      <c r="AE5176" s="13"/>
      <c r="AF5176" s="13"/>
      <c r="AG5176" s="13"/>
      <c r="AH5176" s="13"/>
      <c r="AI5176" s="13"/>
      <c r="AJ5176" s="13"/>
      <c r="AK5176" s="13"/>
      <c r="AL5176" s="13"/>
      <c r="AM5176" s="13"/>
      <c r="AN5176" s="13"/>
      <c r="AO5176" s="13"/>
      <c r="AP5176" s="13"/>
      <c r="AQ5176" s="13"/>
      <c r="AR5176" s="13"/>
      <c r="AS5176" s="13"/>
    </row>
    <row r="5177" ht="14.25" customHeight="1">
      <c r="A5177" s="13"/>
      <c r="B5177" s="13"/>
      <c r="C5177" s="13"/>
      <c r="D5177" s="13"/>
      <c r="E5177" s="13"/>
      <c r="F5177" s="13"/>
      <c r="G5177" s="13"/>
      <c r="H5177" s="13"/>
      <c r="I5177" s="13"/>
      <c r="J5177" s="13"/>
      <c r="K5177" s="15"/>
      <c r="L5177" s="15"/>
      <c r="M5177" s="16"/>
      <c r="N5177" s="16"/>
      <c r="O5177" s="17"/>
      <c r="P5177" s="17"/>
      <c r="Q5177" s="13"/>
      <c r="R5177" s="13"/>
      <c r="S5177" s="13"/>
      <c r="T5177" s="13"/>
      <c r="U5177" s="13"/>
      <c r="V5177" s="13"/>
      <c r="W5177" s="13"/>
      <c r="X5177" s="13"/>
      <c r="Y5177" s="13"/>
      <c r="Z5177" s="13"/>
      <c r="AA5177" s="13"/>
      <c r="AB5177" s="13"/>
      <c r="AC5177" s="13"/>
      <c r="AD5177" s="13"/>
      <c r="AE5177" s="13"/>
      <c r="AF5177" s="13"/>
      <c r="AG5177" s="13"/>
      <c r="AH5177" s="13"/>
      <c r="AI5177" s="13"/>
      <c r="AJ5177" s="13"/>
      <c r="AK5177" s="13"/>
      <c r="AL5177" s="13"/>
      <c r="AM5177" s="13"/>
      <c r="AN5177" s="13"/>
      <c r="AO5177" s="13"/>
      <c r="AP5177" s="13"/>
      <c r="AQ5177" s="13"/>
      <c r="AR5177" s="13"/>
      <c r="AS5177" s="13"/>
    </row>
    <row r="5178" ht="14.25" customHeight="1">
      <c r="A5178" s="13"/>
      <c r="B5178" s="13"/>
      <c r="C5178" s="13"/>
      <c r="D5178" s="13"/>
      <c r="E5178" s="13"/>
      <c r="F5178" s="13"/>
      <c r="G5178" s="13"/>
      <c r="H5178" s="13"/>
      <c r="I5178" s="13"/>
      <c r="J5178" s="13"/>
      <c r="K5178" s="15"/>
      <c r="L5178" s="15"/>
      <c r="M5178" s="16"/>
      <c r="N5178" s="16"/>
      <c r="O5178" s="17"/>
      <c r="P5178" s="17"/>
      <c r="Q5178" s="13"/>
      <c r="R5178" s="13"/>
      <c r="S5178" s="13"/>
      <c r="T5178" s="13"/>
      <c r="U5178" s="13"/>
      <c r="V5178" s="13"/>
      <c r="W5178" s="13"/>
      <c r="X5178" s="13"/>
      <c r="Y5178" s="13"/>
      <c r="Z5178" s="13"/>
      <c r="AA5178" s="13"/>
      <c r="AB5178" s="13"/>
      <c r="AC5178" s="13"/>
      <c r="AD5178" s="13"/>
      <c r="AE5178" s="13"/>
      <c r="AF5178" s="13"/>
      <c r="AG5178" s="13"/>
      <c r="AH5178" s="13"/>
      <c r="AI5178" s="13"/>
      <c r="AJ5178" s="13"/>
      <c r="AK5178" s="13"/>
      <c r="AL5178" s="13"/>
      <c r="AM5178" s="13"/>
      <c r="AN5178" s="13"/>
      <c r="AO5178" s="13"/>
      <c r="AP5178" s="13"/>
      <c r="AQ5178" s="13"/>
      <c r="AR5178" s="13"/>
      <c r="AS5178" s="13"/>
    </row>
    <row r="5179" ht="14.25" customHeight="1">
      <c r="A5179" s="13"/>
      <c r="B5179" s="13"/>
      <c r="C5179" s="13"/>
      <c r="D5179" s="13"/>
      <c r="E5179" s="13"/>
      <c r="F5179" s="13"/>
      <c r="G5179" s="13"/>
      <c r="H5179" s="13"/>
      <c r="I5179" s="13"/>
      <c r="J5179" s="13"/>
      <c r="K5179" s="15"/>
      <c r="L5179" s="15"/>
      <c r="M5179" s="16"/>
      <c r="N5179" s="16"/>
      <c r="O5179" s="17"/>
      <c r="P5179" s="17"/>
      <c r="Q5179" s="13"/>
      <c r="R5179" s="13"/>
      <c r="S5179" s="13"/>
      <c r="T5179" s="13"/>
      <c r="U5179" s="13"/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F5179" s="13"/>
      <c r="AG5179" s="13"/>
      <c r="AH5179" s="13"/>
      <c r="AI5179" s="13"/>
      <c r="AJ5179" s="13"/>
      <c r="AK5179" s="13"/>
      <c r="AL5179" s="13"/>
      <c r="AM5179" s="13"/>
      <c r="AN5179" s="13"/>
      <c r="AO5179" s="13"/>
      <c r="AP5179" s="13"/>
      <c r="AQ5179" s="13"/>
      <c r="AR5179" s="13"/>
      <c r="AS5179" s="13"/>
    </row>
    <row r="5180" ht="14.25" customHeight="1">
      <c r="A5180" s="13"/>
      <c r="B5180" s="13"/>
      <c r="C5180" s="13"/>
      <c r="D5180" s="13"/>
      <c r="E5180" s="13"/>
      <c r="F5180" s="13"/>
      <c r="G5180" s="13"/>
      <c r="H5180" s="13"/>
      <c r="I5180" s="13"/>
      <c r="J5180" s="13"/>
      <c r="K5180" s="15"/>
      <c r="L5180" s="15"/>
      <c r="M5180" s="16"/>
      <c r="N5180" s="16"/>
      <c r="O5180" s="17"/>
      <c r="P5180" s="17"/>
      <c r="Q5180" s="13"/>
      <c r="R5180" s="13"/>
      <c r="S5180" s="13"/>
      <c r="T5180" s="13"/>
      <c r="U5180" s="13"/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F5180" s="13"/>
      <c r="AG5180" s="13"/>
      <c r="AH5180" s="13"/>
      <c r="AI5180" s="13"/>
      <c r="AJ5180" s="13"/>
      <c r="AK5180" s="13"/>
      <c r="AL5180" s="13"/>
      <c r="AM5180" s="13"/>
      <c r="AN5180" s="13"/>
      <c r="AO5180" s="13"/>
      <c r="AP5180" s="13"/>
      <c r="AQ5180" s="13"/>
      <c r="AR5180" s="13"/>
      <c r="AS5180" s="13"/>
    </row>
    <row r="5181" ht="14.25" customHeight="1">
      <c r="A5181" s="13"/>
      <c r="B5181" s="13"/>
      <c r="C5181" s="13"/>
      <c r="D5181" s="13"/>
      <c r="E5181" s="13"/>
      <c r="F5181" s="13"/>
      <c r="G5181" s="13"/>
      <c r="H5181" s="13"/>
      <c r="I5181" s="13"/>
      <c r="J5181" s="13"/>
      <c r="K5181" s="15"/>
      <c r="L5181" s="15"/>
      <c r="M5181" s="16"/>
      <c r="N5181" s="16"/>
      <c r="O5181" s="17"/>
      <c r="P5181" s="17"/>
      <c r="Q5181" s="13"/>
      <c r="R5181" s="13"/>
      <c r="S5181" s="13"/>
      <c r="T5181" s="13"/>
      <c r="U5181" s="13"/>
      <c r="V5181" s="13"/>
      <c r="W5181" s="13"/>
      <c r="X5181" s="13"/>
      <c r="Y5181" s="13"/>
      <c r="Z5181" s="13"/>
      <c r="AA5181" s="13"/>
      <c r="AB5181" s="13"/>
      <c r="AC5181" s="13"/>
      <c r="AD5181" s="13"/>
      <c r="AE5181" s="13"/>
      <c r="AF5181" s="13"/>
      <c r="AG5181" s="13"/>
      <c r="AH5181" s="13"/>
      <c r="AI5181" s="13"/>
      <c r="AJ5181" s="13"/>
      <c r="AK5181" s="13"/>
      <c r="AL5181" s="13"/>
      <c r="AM5181" s="13"/>
      <c r="AN5181" s="13"/>
      <c r="AO5181" s="13"/>
      <c r="AP5181" s="13"/>
      <c r="AQ5181" s="13"/>
      <c r="AR5181" s="13"/>
      <c r="AS5181" s="13"/>
    </row>
    <row r="5182" ht="14.25" customHeight="1">
      <c r="A5182" s="13"/>
      <c r="B5182" s="13"/>
      <c r="C5182" s="13"/>
      <c r="D5182" s="13"/>
      <c r="E5182" s="13"/>
      <c r="F5182" s="13"/>
      <c r="G5182" s="13"/>
      <c r="H5182" s="13"/>
      <c r="I5182" s="13"/>
      <c r="J5182" s="13"/>
      <c r="K5182" s="15"/>
      <c r="L5182" s="15"/>
      <c r="M5182" s="16"/>
      <c r="N5182" s="16"/>
      <c r="O5182" s="17"/>
      <c r="P5182" s="17"/>
      <c r="Q5182" s="13"/>
      <c r="R5182" s="13"/>
      <c r="S5182" s="13"/>
      <c r="T5182" s="13"/>
      <c r="U5182" s="13"/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F5182" s="13"/>
      <c r="AG5182" s="13"/>
      <c r="AH5182" s="13"/>
      <c r="AI5182" s="13"/>
      <c r="AJ5182" s="13"/>
      <c r="AK5182" s="13"/>
      <c r="AL5182" s="13"/>
      <c r="AM5182" s="13"/>
      <c r="AN5182" s="13"/>
      <c r="AO5182" s="13"/>
      <c r="AP5182" s="13"/>
      <c r="AQ5182" s="13"/>
      <c r="AR5182" s="13"/>
      <c r="AS5182" s="13"/>
    </row>
    <row r="5183" ht="14.25" customHeight="1">
      <c r="A5183" s="13"/>
      <c r="B5183" s="13"/>
      <c r="C5183" s="13"/>
      <c r="D5183" s="13"/>
      <c r="E5183" s="13"/>
      <c r="F5183" s="13"/>
      <c r="G5183" s="13"/>
      <c r="H5183" s="13"/>
      <c r="I5183" s="13"/>
      <c r="J5183" s="13"/>
      <c r="K5183" s="15"/>
      <c r="L5183" s="15"/>
      <c r="M5183" s="16"/>
      <c r="N5183" s="16"/>
      <c r="O5183" s="17"/>
      <c r="P5183" s="17"/>
      <c r="Q5183" s="13"/>
      <c r="R5183" s="13"/>
      <c r="S5183" s="13"/>
      <c r="T5183" s="13"/>
      <c r="U5183" s="13"/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13"/>
      <c r="AG5183" s="13"/>
      <c r="AH5183" s="13"/>
      <c r="AI5183" s="13"/>
      <c r="AJ5183" s="13"/>
      <c r="AK5183" s="13"/>
      <c r="AL5183" s="13"/>
      <c r="AM5183" s="13"/>
      <c r="AN5183" s="13"/>
      <c r="AO5183" s="13"/>
      <c r="AP5183" s="13"/>
      <c r="AQ5183" s="13"/>
      <c r="AR5183" s="13"/>
      <c r="AS5183" s="13"/>
    </row>
    <row r="5184" ht="14.25" customHeight="1">
      <c r="A5184" s="13"/>
      <c r="B5184" s="13"/>
      <c r="C5184" s="13"/>
      <c r="D5184" s="13"/>
      <c r="E5184" s="13"/>
      <c r="F5184" s="13"/>
      <c r="G5184" s="13"/>
      <c r="H5184" s="13"/>
      <c r="I5184" s="13"/>
      <c r="J5184" s="13"/>
      <c r="K5184" s="15"/>
      <c r="L5184" s="15"/>
      <c r="M5184" s="16"/>
      <c r="N5184" s="16"/>
      <c r="O5184" s="17"/>
      <c r="P5184" s="17"/>
      <c r="Q5184" s="13"/>
      <c r="R5184" s="13"/>
      <c r="S5184" s="13"/>
      <c r="T5184" s="13"/>
      <c r="U5184" s="13"/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13"/>
      <c r="AG5184" s="13"/>
      <c r="AH5184" s="13"/>
      <c r="AI5184" s="13"/>
      <c r="AJ5184" s="13"/>
      <c r="AK5184" s="13"/>
      <c r="AL5184" s="13"/>
      <c r="AM5184" s="13"/>
      <c r="AN5184" s="13"/>
      <c r="AO5184" s="13"/>
      <c r="AP5184" s="13"/>
      <c r="AQ5184" s="13"/>
      <c r="AR5184" s="13"/>
      <c r="AS5184" s="13"/>
    </row>
    <row r="5185" ht="14.25" customHeight="1">
      <c r="A5185" s="13"/>
      <c r="B5185" s="13"/>
      <c r="C5185" s="13"/>
      <c r="D5185" s="13"/>
      <c r="E5185" s="13"/>
      <c r="F5185" s="13"/>
      <c r="G5185" s="13"/>
      <c r="H5185" s="13"/>
      <c r="I5185" s="13"/>
      <c r="J5185" s="13"/>
      <c r="K5185" s="15"/>
      <c r="L5185" s="15"/>
      <c r="M5185" s="16"/>
      <c r="N5185" s="16"/>
      <c r="O5185" s="17"/>
      <c r="P5185" s="17"/>
      <c r="Q5185" s="13"/>
      <c r="R5185" s="13"/>
      <c r="S5185" s="13"/>
      <c r="T5185" s="13"/>
      <c r="U5185" s="13"/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13"/>
      <c r="AG5185" s="13"/>
      <c r="AH5185" s="13"/>
      <c r="AI5185" s="13"/>
      <c r="AJ5185" s="13"/>
      <c r="AK5185" s="13"/>
      <c r="AL5185" s="13"/>
      <c r="AM5185" s="13"/>
      <c r="AN5185" s="13"/>
      <c r="AO5185" s="13"/>
      <c r="AP5185" s="13"/>
      <c r="AQ5185" s="13"/>
      <c r="AR5185" s="13"/>
      <c r="AS5185" s="13"/>
    </row>
    <row r="5186" ht="14.25" customHeight="1">
      <c r="A5186" s="13"/>
      <c r="B5186" s="13"/>
      <c r="C5186" s="13"/>
      <c r="D5186" s="13"/>
      <c r="E5186" s="13"/>
      <c r="F5186" s="13"/>
      <c r="G5186" s="13"/>
      <c r="H5186" s="13"/>
      <c r="I5186" s="13"/>
      <c r="J5186" s="13"/>
      <c r="K5186" s="15"/>
      <c r="L5186" s="15"/>
      <c r="M5186" s="16"/>
      <c r="N5186" s="16"/>
      <c r="O5186" s="17"/>
      <c r="P5186" s="17"/>
      <c r="Q5186" s="13"/>
      <c r="R5186" s="13"/>
      <c r="S5186" s="13"/>
      <c r="T5186" s="13"/>
      <c r="U5186" s="13"/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13"/>
      <c r="AG5186" s="13"/>
      <c r="AH5186" s="13"/>
      <c r="AI5186" s="13"/>
      <c r="AJ5186" s="13"/>
      <c r="AK5186" s="13"/>
      <c r="AL5186" s="13"/>
      <c r="AM5186" s="13"/>
      <c r="AN5186" s="13"/>
      <c r="AO5186" s="13"/>
      <c r="AP5186" s="13"/>
      <c r="AQ5186" s="13"/>
      <c r="AR5186" s="13"/>
      <c r="AS5186" s="13"/>
    </row>
    <row r="5187" ht="14.25" customHeight="1">
      <c r="A5187" s="13"/>
      <c r="B5187" s="13"/>
      <c r="C5187" s="13"/>
      <c r="D5187" s="13"/>
      <c r="E5187" s="13"/>
      <c r="F5187" s="13"/>
      <c r="G5187" s="13"/>
      <c r="H5187" s="13"/>
      <c r="I5187" s="13"/>
      <c r="J5187" s="13"/>
      <c r="K5187" s="15"/>
      <c r="L5187" s="15"/>
      <c r="M5187" s="16"/>
      <c r="N5187" s="16"/>
      <c r="O5187" s="17"/>
      <c r="P5187" s="17"/>
      <c r="Q5187" s="13"/>
      <c r="R5187" s="13"/>
      <c r="S5187" s="13"/>
      <c r="T5187" s="13"/>
      <c r="U5187" s="13"/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13"/>
      <c r="AG5187" s="13"/>
      <c r="AH5187" s="13"/>
      <c r="AI5187" s="13"/>
      <c r="AJ5187" s="13"/>
      <c r="AK5187" s="13"/>
      <c r="AL5187" s="13"/>
      <c r="AM5187" s="13"/>
      <c r="AN5187" s="13"/>
      <c r="AO5187" s="13"/>
      <c r="AP5187" s="13"/>
      <c r="AQ5187" s="13"/>
      <c r="AR5187" s="13"/>
      <c r="AS5187" s="13"/>
    </row>
    <row r="5188" ht="14.25" customHeight="1">
      <c r="A5188" s="13"/>
      <c r="B5188" s="13"/>
      <c r="C5188" s="13"/>
      <c r="D5188" s="13"/>
      <c r="E5188" s="13"/>
      <c r="F5188" s="13"/>
      <c r="G5188" s="13"/>
      <c r="H5188" s="13"/>
      <c r="I5188" s="13"/>
      <c r="J5188" s="13"/>
      <c r="K5188" s="15"/>
      <c r="L5188" s="15"/>
      <c r="M5188" s="16"/>
      <c r="N5188" s="16"/>
      <c r="O5188" s="17"/>
      <c r="P5188" s="17"/>
      <c r="Q5188" s="13"/>
      <c r="R5188" s="13"/>
      <c r="S5188" s="13"/>
      <c r="T5188" s="13"/>
      <c r="U5188" s="13"/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F5188" s="13"/>
      <c r="AG5188" s="13"/>
      <c r="AH5188" s="13"/>
      <c r="AI5188" s="13"/>
      <c r="AJ5188" s="13"/>
      <c r="AK5188" s="13"/>
      <c r="AL5188" s="13"/>
      <c r="AM5188" s="13"/>
      <c r="AN5188" s="13"/>
      <c r="AO5188" s="13"/>
      <c r="AP5188" s="13"/>
      <c r="AQ5188" s="13"/>
      <c r="AR5188" s="13"/>
      <c r="AS5188" s="13"/>
    </row>
    <row r="5189" ht="14.25" customHeight="1">
      <c r="A5189" s="13"/>
      <c r="B5189" s="13"/>
      <c r="C5189" s="13"/>
      <c r="D5189" s="13"/>
      <c r="E5189" s="13"/>
      <c r="F5189" s="13"/>
      <c r="G5189" s="13"/>
      <c r="H5189" s="13"/>
      <c r="I5189" s="13"/>
      <c r="J5189" s="13"/>
      <c r="K5189" s="15"/>
      <c r="L5189" s="15"/>
      <c r="M5189" s="16"/>
      <c r="N5189" s="16"/>
      <c r="O5189" s="17"/>
      <c r="P5189" s="17"/>
      <c r="Q5189" s="13"/>
      <c r="R5189" s="13"/>
      <c r="S5189" s="13"/>
      <c r="T5189" s="13"/>
      <c r="U5189" s="13"/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F5189" s="13"/>
      <c r="AG5189" s="13"/>
      <c r="AH5189" s="13"/>
      <c r="AI5189" s="13"/>
      <c r="AJ5189" s="13"/>
      <c r="AK5189" s="13"/>
      <c r="AL5189" s="13"/>
      <c r="AM5189" s="13"/>
      <c r="AN5189" s="13"/>
      <c r="AO5189" s="13"/>
      <c r="AP5189" s="13"/>
      <c r="AQ5189" s="13"/>
      <c r="AR5189" s="13"/>
      <c r="AS5189" s="13"/>
    </row>
    <row r="5190" ht="14.25" customHeight="1">
      <c r="A5190" s="13"/>
      <c r="B5190" s="13"/>
      <c r="C5190" s="13"/>
      <c r="D5190" s="13"/>
      <c r="E5190" s="13"/>
      <c r="F5190" s="13"/>
      <c r="G5190" s="13"/>
      <c r="H5190" s="13"/>
      <c r="I5190" s="13"/>
      <c r="J5190" s="13"/>
      <c r="K5190" s="15"/>
      <c r="L5190" s="15"/>
      <c r="M5190" s="16"/>
      <c r="N5190" s="16"/>
      <c r="O5190" s="17"/>
      <c r="P5190" s="17"/>
      <c r="Q5190" s="13"/>
      <c r="R5190" s="13"/>
      <c r="S5190" s="13"/>
      <c r="T5190" s="13"/>
      <c r="U5190" s="13"/>
      <c r="V5190" s="13"/>
      <c r="W5190" s="13"/>
      <c r="X5190" s="13"/>
      <c r="Y5190" s="13"/>
      <c r="Z5190" s="13"/>
      <c r="AA5190" s="13"/>
      <c r="AB5190" s="13"/>
      <c r="AC5190" s="13"/>
      <c r="AD5190" s="13"/>
      <c r="AE5190" s="13"/>
      <c r="AF5190" s="13"/>
      <c r="AG5190" s="13"/>
      <c r="AH5190" s="13"/>
      <c r="AI5190" s="13"/>
      <c r="AJ5190" s="13"/>
      <c r="AK5190" s="13"/>
      <c r="AL5190" s="13"/>
      <c r="AM5190" s="13"/>
      <c r="AN5190" s="13"/>
      <c r="AO5190" s="13"/>
      <c r="AP5190" s="13"/>
      <c r="AQ5190" s="13"/>
      <c r="AR5190" s="13"/>
      <c r="AS5190" s="13"/>
    </row>
    <row r="5191" ht="14.25" customHeight="1">
      <c r="A5191" s="13"/>
      <c r="B5191" s="13"/>
      <c r="C5191" s="13"/>
      <c r="D5191" s="13"/>
      <c r="E5191" s="13"/>
      <c r="F5191" s="13"/>
      <c r="G5191" s="13"/>
      <c r="H5191" s="13"/>
      <c r="I5191" s="13"/>
      <c r="J5191" s="13"/>
      <c r="K5191" s="15"/>
      <c r="L5191" s="15"/>
      <c r="M5191" s="16"/>
      <c r="N5191" s="16"/>
      <c r="O5191" s="17"/>
      <c r="P5191" s="17"/>
      <c r="Q5191" s="13"/>
      <c r="R5191" s="13"/>
      <c r="S5191" s="13"/>
      <c r="T5191" s="13"/>
      <c r="U5191" s="13"/>
      <c r="V5191" s="13"/>
      <c r="W5191" s="13"/>
      <c r="X5191" s="13"/>
      <c r="Y5191" s="13"/>
      <c r="Z5191" s="13"/>
      <c r="AA5191" s="13"/>
      <c r="AB5191" s="13"/>
      <c r="AC5191" s="13"/>
      <c r="AD5191" s="13"/>
      <c r="AE5191" s="13"/>
      <c r="AF5191" s="13"/>
      <c r="AG5191" s="13"/>
      <c r="AH5191" s="13"/>
      <c r="AI5191" s="13"/>
      <c r="AJ5191" s="13"/>
      <c r="AK5191" s="13"/>
      <c r="AL5191" s="13"/>
      <c r="AM5191" s="13"/>
      <c r="AN5191" s="13"/>
      <c r="AO5191" s="13"/>
      <c r="AP5191" s="13"/>
      <c r="AQ5191" s="13"/>
      <c r="AR5191" s="13"/>
      <c r="AS5191" s="13"/>
    </row>
    <row r="5192" ht="14.25" customHeight="1">
      <c r="A5192" s="13"/>
      <c r="B5192" s="13"/>
      <c r="C5192" s="13"/>
      <c r="D5192" s="13"/>
      <c r="E5192" s="13"/>
      <c r="F5192" s="13"/>
      <c r="G5192" s="13"/>
      <c r="H5192" s="13"/>
      <c r="I5192" s="13"/>
      <c r="J5192" s="13"/>
      <c r="K5192" s="15"/>
      <c r="L5192" s="15"/>
      <c r="M5192" s="16"/>
      <c r="N5192" s="16"/>
      <c r="O5192" s="17"/>
      <c r="P5192" s="17"/>
      <c r="Q5192" s="13"/>
      <c r="R5192" s="13"/>
      <c r="S5192" s="13"/>
      <c r="T5192" s="13"/>
      <c r="U5192" s="13"/>
      <c r="V5192" s="13"/>
      <c r="W5192" s="13"/>
      <c r="X5192" s="13"/>
      <c r="Y5192" s="13"/>
      <c r="Z5192" s="13"/>
      <c r="AA5192" s="13"/>
      <c r="AB5192" s="13"/>
      <c r="AC5192" s="13"/>
      <c r="AD5192" s="13"/>
      <c r="AE5192" s="13"/>
      <c r="AF5192" s="13"/>
      <c r="AG5192" s="13"/>
      <c r="AH5192" s="13"/>
      <c r="AI5192" s="13"/>
      <c r="AJ5192" s="13"/>
      <c r="AK5192" s="13"/>
      <c r="AL5192" s="13"/>
      <c r="AM5192" s="13"/>
      <c r="AN5192" s="13"/>
      <c r="AO5192" s="13"/>
      <c r="AP5192" s="13"/>
      <c r="AQ5192" s="13"/>
      <c r="AR5192" s="13"/>
      <c r="AS5192" s="13"/>
    </row>
    <row r="5193" ht="14.25" customHeight="1">
      <c r="A5193" s="13"/>
      <c r="B5193" s="13"/>
      <c r="C5193" s="13"/>
      <c r="D5193" s="13"/>
      <c r="E5193" s="13"/>
      <c r="F5193" s="13"/>
      <c r="G5193" s="13"/>
      <c r="H5193" s="13"/>
      <c r="I5193" s="13"/>
      <c r="J5193" s="13"/>
      <c r="K5193" s="15"/>
      <c r="L5193" s="15"/>
      <c r="M5193" s="16"/>
      <c r="N5193" s="16"/>
      <c r="O5193" s="17"/>
      <c r="P5193" s="17"/>
      <c r="Q5193" s="13"/>
      <c r="R5193" s="13"/>
      <c r="S5193" s="13"/>
      <c r="T5193" s="13"/>
      <c r="U5193" s="13"/>
      <c r="V5193" s="13"/>
      <c r="W5193" s="13"/>
      <c r="X5193" s="13"/>
      <c r="Y5193" s="13"/>
      <c r="Z5193" s="13"/>
      <c r="AA5193" s="13"/>
      <c r="AB5193" s="13"/>
      <c r="AC5193" s="13"/>
      <c r="AD5193" s="13"/>
      <c r="AE5193" s="13"/>
      <c r="AF5193" s="13"/>
      <c r="AG5193" s="13"/>
      <c r="AH5193" s="13"/>
      <c r="AI5193" s="13"/>
      <c r="AJ5193" s="13"/>
      <c r="AK5193" s="13"/>
      <c r="AL5193" s="13"/>
      <c r="AM5193" s="13"/>
      <c r="AN5193" s="13"/>
      <c r="AO5193" s="13"/>
      <c r="AP5193" s="13"/>
      <c r="AQ5193" s="13"/>
      <c r="AR5193" s="13"/>
      <c r="AS5193" s="13"/>
    </row>
    <row r="5194" ht="14.25" customHeight="1">
      <c r="A5194" s="13"/>
      <c r="B5194" s="13"/>
      <c r="C5194" s="13"/>
      <c r="D5194" s="13"/>
      <c r="E5194" s="13"/>
      <c r="F5194" s="13"/>
      <c r="G5194" s="13"/>
      <c r="H5194" s="13"/>
      <c r="I5194" s="13"/>
      <c r="J5194" s="13"/>
      <c r="K5194" s="15"/>
      <c r="L5194" s="15"/>
      <c r="M5194" s="16"/>
      <c r="N5194" s="16"/>
      <c r="O5194" s="17"/>
      <c r="P5194" s="17"/>
      <c r="Q5194" s="13"/>
      <c r="R5194" s="13"/>
      <c r="S5194" s="13"/>
      <c r="T5194" s="13"/>
      <c r="U5194" s="13"/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F5194" s="13"/>
      <c r="AG5194" s="13"/>
      <c r="AH5194" s="13"/>
      <c r="AI5194" s="13"/>
      <c r="AJ5194" s="13"/>
      <c r="AK5194" s="13"/>
      <c r="AL5194" s="13"/>
      <c r="AM5194" s="13"/>
      <c r="AN5194" s="13"/>
      <c r="AO5194" s="13"/>
      <c r="AP5194" s="13"/>
      <c r="AQ5194" s="13"/>
      <c r="AR5194" s="13"/>
      <c r="AS5194" s="13"/>
    </row>
    <row r="5195" ht="14.25" customHeight="1">
      <c r="A5195" s="13"/>
      <c r="B5195" s="13"/>
      <c r="C5195" s="13"/>
      <c r="D5195" s="13"/>
      <c r="E5195" s="13"/>
      <c r="F5195" s="13"/>
      <c r="G5195" s="13"/>
      <c r="H5195" s="13"/>
      <c r="I5195" s="13"/>
      <c r="J5195" s="13"/>
      <c r="K5195" s="15"/>
      <c r="L5195" s="15"/>
      <c r="M5195" s="16"/>
      <c r="N5195" s="16"/>
      <c r="O5195" s="17"/>
      <c r="P5195" s="17"/>
      <c r="Q5195" s="13"/>
      <c r="R5195" s="13"/>
      <c r="S5195" s="13"/>
      <c r="T5195" s="13"/>
      <c r="U5195" s="13"/>
      <c r="V5195" s="13"/>
      <c r="W5195" s="13"/>
      <c r="X5195" s="13"/>
      <c r="Y5195" s="13"/>
      <c r="Z5195" s="13"/>
      <c r="AA5195" s="13"/>
      <c r="AB5195" s="13"/>
      <c r="AC5195" s="13"/>
      <c r="AD5195" s="13"/>
      <c r="AE5195" s="13"/>
      <c r="AF5195" s="13"/>
      <c r="AG5195" s="13"/>
      <c r="AH5195" s="13"/>
      <c r="AI5195" s="13"/>
      <c r="AJ5195" s="13"/>
      <c r="AK5195" s="13"/>
      <c r="AL5195" s="13"/>
      <c r="AM5195" s="13"/>
      <c r="AN5195" s="13"/>
      <c r="AO5195" s="13"/>
      <c r="AP5195" s="13"/>
      <c r="AQ5195" s="13"/>
      <c r="AR5195" s="13"/>
      <c r="AS5195" s="13"/>
    </row>
    <row r="5196" ht="14.25" customHeight="1">
      <c r="A5196" s="13"/>
      <c r="B5196" s="13"/>
      <c r="C5196" s="13"/>
      <c r="D5196" s="13"/>
      <c r="E5196" s="13"/>
      <c r="F5196" s="13"/>
      <c r="G5196" s="13"/>
      <c r="H5196" s="13"/>
      <c r="I5196" s="13"/>
      <c r="J5196" s="13"/>
      <c r="K5196" s="15"/>
      <c r="L5196" s="15"/>
      <c r="M5196" s="16"/>
      <c r="N5196" s="16"/>
      <c r="O5196" s="17"/>
      <c r="P5196" s="17"/>
      <c r="Q5196" s="13"/>
      <c r="R5196" s="13"/>
      <c r="S5196" s="13"/>
      <c r="T5196" s="13"/>
      <c r="U5196" s="13"/>
      <c r="V5196" s="13"/>
      <c r="W5196" s="13"/>
      <c r="X5196" s="13"/>
      <c r="Y5196" s="13"/>
      <c r="Z5196" s="13"/>
      <c r="AA5196" s="13"/>
      <c r="AB5196" s="13"/>
      <c r="AC5196" s="13"/>
      <c r="AD5196" s="13"/>
      <c r="AE5196" s="13"/>
      <c r="AF5196" s="13"/>
      <c r="AG5196" s="13"/>
      <c r="AH5196" s="13"/>
      <c r="AI5196" s="13"/>
      <c r="AJ5196" s="13"/>
      <c r="AK5196" s="13"/>
      <c r="AL5196" s="13"/>
      <c r="AM5196" s="13"/>
      <c r="AN5196" s="13"/>
      <c r="AO5196" s="13"/>
      <c r="AP5196" s="13"/>
      <c r="AQ5196" s="13"/>
      <c r="AR5196" s="13"/>
      <c r="AS5196" s="13"/>
    </row>
    <row r="5197" ht="14.25" customHeight="1">
      <c r="A5197" s="13"/>
      <c r="B5197" s="13"/>
      <c r="C5197" s="13"/>
      <c r="D5197" s="13"/>
      <c r="E5197" s="13"/>
      <c r="F5197" s="13"/>
      <c r="G5197" s="13"/>
      <c r="H5197" s="13"/>
      <c r="I5197" s="13"/>
      <c r="J5197" s="13"/>
      <c r="K5197" s="15"/>
      <c r="L5197" s="15"/>
      <c r="M5197" s="16"/>
      <c r="N5197" s="16"/>
      <c r="O5197" s="17"/>
      <c r="P5197" s="17"/>
      <c r="Q5197" s="13"/>
      <c r="R5197" s="13"/>
      <c r="S5197" s="13"/>
      <c r="T5197" s="13"/>
      <c r="U5197" s="13"/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F5197" s="13"/>
      <c r="AG5197" s="13"/>
      <c r="AH5197" s="13"/>
      <c r="AI5197" s="13"/>
      <c r="AJ5197" s="13"/>
      <c r="AK5197" s="13"/>
      <c r="AL5197" s="13"/>
      <c r="AM5197" s="13"/>
      <c r="AN5197" s="13"/>
      <c r="AO5197" s="13"/>
      <c r="AP5197" s="13"/>
      <c r="AQ5197" s="13"/>
      <c r="AR5197" s="13"/>
      <c r="AS5197" s="13"/>
    </row>
    <row r="5198" ht="14.25" customHeight="1">
      <c r="A5198" s="13"/>
      <c r="B5198" s="13"/>
      <c r="C5198" s="13"/>
      <c r="D5198" s="13"/>
      <c r="E5198" s="13"/>
      <c r="F5198" s="13"/>
      <c r="G5198" s="13"/>
      <c r="H5198" s="13"/>
      <c r="I5198" s="13"/>
      <c r="J5198" s="13"/>
      <c r="K5198" s="15"/>
      <c r="L5198" s="15"/>
      <c r="M5198" s="16"/>
      <c r="N5198" s="16"/>
      <c r="O5198" s="17"/>
      <c r="P5198" s="17"/>
      <c r="Q5198" s="13"/>
      <c r="R5198" s="13"/>
      <c r="S5198" s="13"/>
      <c r="T5198" s="13"/>
      <c r="U5198" s="13"/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F5198" s="13"/>
      <c r="AG5198" s="13"/>
      <c r="AH5198" s="13"/>
      <c r="AI5198" s="13"/>
      <c r="AJ5198" s="13"/>
      <c r="AK5198" s="13"/>
      <c r="AL5198" s="13"/>
      <c r="AM5198" s="13"/>
      <c r="AN5198" s="13"/>
      <c r="AO5198" s="13"/>
      <c r="AP5198" s="13"/>
      <c r="AQ5198" s="13"/>
      <c r="AR5198" s="13"/>
      <c r="AS5198" s="13"/>
    </row>
    <row r="5199" ht="14.25" customHeight="1">
      <c r="A5199" s="13"/>
      <c r="B5199" s="13"/>
      <c r="C5199" s="13"/>
      <c r="D5199" s="13"/>
      <c r="E5199" s="13"/>
      <c r="F5199" s="13"/>
      <c r="G5199" s="13"/>
      <c r="H5199" s="13"/>
      <c r="I5199" s="13"/>
      <c r="J5199" s="13"/>
      <c r="K5199" s="15"/>
      <c r="L5199" s="15"/>
      <c r="M5199" s="16"/>
      <c r="N5199" s="16"/>
      <c r="O5199" s="17"/>
      <c r="P5199" s="17"/>
      <c r="Q5199" s="13"/>
      <c r="R5199" s="13"/>
      <c r="S5199" s="13"/>
      <c r="T5199" s="13"/>
      <c r="U5199" s="13"/>
      <c r="V5199" s="13"/>
      <c r="W5199" s="13"/>
      <c r="X5199" s="13"/>
      <c r="Y5199" s="13"/>
      <c r="Z5199" s="13"/>
      <c r="AA5199" s="13"/>
      <c r="AB5199" s="13"/>
      <c r="AC5199" s="13"/>
      <c r="AD5199" s="13"/>
      <c r="AE5199" s="13"/>
      <c r="AF5199" s="13"/>
      <c r="AG5199" s="13"/>
      <c r="AH5199" s="13"/>
      <c r="AI5199" s="13"/>
      <c r="AJ5199" s="13"/>
      <c r="AK5199" s="13"/>
      <c r="AL5199" s="13"/>
      <c r="AM5199" s="13"/>
      <c r="AN5199" s="13"/>
      <c r="AO5199" s="13"/>
      <c r="AP5199" s="13"/>
      <c r="AQ5199" s="13"/>
      <c r="AR5199" s="13"/>
      <c r="AS5199" s="13"/>
    </row>
    <row r="5200" ht="14.25" customHeight="1">
      <c r="A5200" s="13"/>
      <c r="B5200" s="13"/>
      <c r="C5200" s="13"/>
      <c r="D5200" s="13"/>
      <c r="E5200" s="13"/>
      <c r="F5200" s="13"/>
      <c r="G5200" s="13"/>
      <c r="H5200" s="13"/>
      <c r="I5200" s="13"/>
      <c r="J5200" s="13"/>
      <c r="K5200" s="15"/>
      <c r="L5200" s="15"/>
      <c r="M5200" s="16"/>
      <c r="N5200" s="16"/>
      <c r="O5200" s="17"/>
      <c r="P5200" s="17"/>
      <c r="Q5200" s="13"/>
      <c r="R5200" s="13"/>
      <c r="S5200" s="13"/>
      <c r="T5200" s="13"/>
      <c r="U5200" s="13"/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F5200" s="13"/>
      <c r="AG5200" s="13"/>
      <c r="AH5200" s="13"/>
      <c r="AI5200" s="13"/>
      <c r="AJ5200" s="13"/>
      <c r="AK5200" s="13"/>
      <c r="AL5200" s="13"/>
      <c r="AM5200" s="13"/>
      <c r="AN5200" s="13"/>
      <c r="AO5200" s="13"/>
      <c r="AP5200" s="13"/>
      <c r="AQ5200" s="13"/>
      <c r="AR5200" s="13"/>
      <c r="AS5200" s="13"/>
    </row>
    <row r="5201" ht="14.25" customHeight="1">
      <c r="A5201" s="13"/>
      <c r="B5201" s="13"/>
      <c r="C5201" s="13"/>
      <c r="D5201" s="13"/>
      <c r="E5201" s="13"/>
      <c r="F5201" s="13"/>
      <c r="G5201" s="13"/>
      <c r="H5201" s="13"/>
      <c r="I5201" s="13"/>
      <c r="J5201" s="13"/>
      <c r="K5201" s="15"/>
      <c r="L5201" s="15"/>
      <c r="M5201" s="16"/>
      <c r="N5201" s="16"/>
      <c r="O5201" s="17"/>
      <c r="P5201" s="17"/>
      <c r="Q5201" s="13"/>
      <c r="R5201" s="13"/>
      <c r="S5201" s="13"/>
      <c r="T5201" s="13"/>
      <c r="U5201" s="13"/>
      <c r="V5201" s="13"/>
      <c r="W5201" s="13"/>
      <c r="X5201" s="13"/>
      <c r="Y5201" s="13"/>
      <c r="Z5201" s="13"/>
      <c r="AA5201" s="13"/>
      <c r="AB5201" s="13"/>
      <c r="AC5201" s="13"/>
      <c r="AD5201" s="13"/>
      <c r="AE5201" s="13"/>
      <c r="AF5201" s="13"/>
      <c r="AG5201" s="13"/>
      <c r="AH5201" s="13"/>
      <c r="AI5201" s="13"/>
      <c r="AJ5201" s="13"/>
      <c r="AK5201" s="13"/>
      <c r="AL5201" s="13"/>
      <c r="AM5201" s="13"/>
      <c r="AN5201" s="13"/>
      <c r="AO5201" s="13"/>
      <c r="AP5201" s="13"/>
      <c r="AQ5201" s="13"/>
      <c r="AR5201" s="13"/>
      <c r="AS5201" s="13"/>
    </row>
    <row r="5202" ht="14.25" customHeight="1">
      <c r="A5202" s="13"/>
      <c r="B5202" s="13"/>
      <c r="C5202" s="13"/>
      <c r="D5202" s="13"/>
      <c r="E5202" s="13"/>
      <c r="F5202" s="13"/>
      <c r="G5202" s="13"/>
      <c r="H5202" s="13"/>
      <c r="I5202" s="13"/>
      <c r="J5202" s="13"/>
      <c r="K5202" s="15"/>
      <c r="L5202" s="15"/>
      <c r="M5202" s="16"/>
      <c r="N5202" s="16"/>
      <c r="O5202" s="17"/>
      <c r="P5202" s="17"/>
      <c r="Q5202" s="13"/>
      <c r="R5202" s="13"/>
      <c r="S5202" s="13"/>
      <c r="T5202" s="13"/>
      <c r="U5202" s="13"/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F5202" s="13"/>
      <c r="AG5202" s="13"/>
      <c r="AH5202" s="13"/>
      <c r="AI5202" s="13"/>
      <c r="AJ5202" s="13"/>
      <c r="AK5202" s="13"/>
      <c r="AL5202" s="13"/>
      <c r="AM5202" s="13"/>
      <c r="AN5202" s="13"/>
      <c r="AO5202" s="13"/>
      <c r="AP5202" s="13"/>
      <c r="AQ5202" s="13"/>
      <c r="AR5202" s="13"/>
      <c r="AS5202" s="13"/>
    </row>
    <row r="5203" ht="14.25" customHeight="1">
      <c r="A5203" s="13"/>
      <c r="B5203" s="13"/>
      <c r="C5203" s="13"/>
      <c r="D5203" s="13"/>
      <c r="E5203" s="13"/>
      <c r="F5203" s="13"/>
      <c r="G5203" s="13"/>
      <c r="H5203" s="13"/>
      <c r="I5203" s="13"/>
      <c r="J5203" s="13"/>
      <c r="K5203" s="15"/>
      <c r="L5203" s="15"/>
      <c r="M5203" s="16"/>
      <c r="N5203" s="16"/>
      <c r="O5203" s="17"/>
      <c r="P5203" s="17"/>
      <c r="Q5203" s="13"/>
      <c r="R5203" s="13"/>
      <c r="S5203" s="13"/>
      <c r="T5203" s="13"/>
      <c r="U5203" s="13"/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F5203" s="13"/>
      <c r="AG5203" s="13"/>
      <c r="AH5203" s="13"/>
      <c r="AI5203" s="13"/>
      <c r="AJ5203" s="13"/>
      <c r="AK5203" s="13"/>
      <c r="AL5203" s="13"/>
      <c r="AM5203" s="13"/>
      <c r="AN5203" s="13"/>
      <c r="AO5203" s="13"/>
      <c r="AP5203" s="13"/>
      <c r="AQ5203" s="13"/>
      <c r="AR5203" s="13"/>
      <c r="AS5203" s="13"/>
    </row>
    <row r="5204" ht="14.25" customHeight="1">
      <c r="A5204" s="13"/>
      <c r="B5204" s="13"/>
      <c r="C5204" s="13"/>
      <c r="D5204" s="13"/>
      <c r="E5204" s="13"/>
      <c r="F5204" s="13"/>
      <c r="G5204" s="13"/>
      <c r="H5204" s="13"/>
      <c r="I5204" s="13"/>
      <c r="J5204" s="13"/>
      <c r="K5204" s="15"/>
      <c r="L5204" s="15"/>
      <c r="M5204" s="16"/>
      <c r="N5204" s="16"/>
      <c r="O5204" s="17"/>
      <c r="P5204" s="17"/>
      <c r="Q5204" s="13"/>
      <c r="R5204" s="13"/>
      <c r="S5204" s="13"/>
      <c r="T5204" s="13"/>
      <c r="U5204" s="13"/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13"/>
      <c r="AG5204" s="13"/>
      <c r="AH5204" s="13"/>
      <c r="AI5204" s="13"/>
      <c r="AJ5204" s="13"/>
      <c r="AK5204" s="13"/>
      <c r="AL5204" s="13"/>
      <c r="AM5204" s="13"/>
      <c r="AN5204" s="13"/>
      <c r="AO5204" s="13"/>
      <c r="AP5204" s="13"/>
      <c r="AQ5204" s="13"/>
      <c r="AR5204" s="13"/>
      <c r="AS5204" s="13"/>
    </row>
    <row r="5205" ht="14.25" customHeight="1">
      <c r="A5205" s="13"/>
      <c r="B5205" s="13"/>
      <c r="C5205" s="13"/>
      <c r="D5205" s="13"/>
      <c r="E5205" s="13"/>
      <c r="F5205" s="13"/>
      <c r="G5205" s="13"/>
      <c r="H5205" s="13"/>
      <c r="I5205" s="13"/>
      <c r="J5205" s="13"/>
      <c r="K5205" s="15"/>
      <c r="L5205" s="15"/>
      <c r="M5205" s="16"/>
      <c r="N5205" s="16"/>
      <c r="O5205" s="17"/>
      <c r="P5205" s="17"/>
      <c r="Q5205" s="13"/>
      <c r="R5205" s="13"/>
      <c r="S5205" s="13"/>
      <c r="T5205" s="13"/>
      <c r="U5205" s="13"/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F5205" s="13"/>
      <c r="AG5205" s="13"/>
      <c r="AH5205" s="13"/>
      <c r="AI5205" s="13"/>
      <c r="AJ5205" s="13"/>
      <c r="AK5205" s="13"/>
      <c r="AL5205" s="13"/>
      <c r="AM5205" s="13"/>
      <c r="AN5205" s="13"/>
      <c r="AO5205" s="13"/>
      <c r="AP5205" s="13"/>
      <c r="AQ5205" s="13"/>
      <c r="AR5205" s="13"/>
      <c r="AS5205" s="13"/>
    </row>
    <row r="5206" ht="14.25" customHeight="1">
      <c r="A5206" s="13"/>
      <c r="B5206" s="13"/>
      <c r="C5206" s="13"/>
      <c r="D5206" s="13"/>
      <c r="E5206" s="13"/>
      <c r="F5206" s="13"/>
      <c r="G5206" s="13"/>
      <c r="H5206" s="13"/>
      <c r="I5206" s="13"/>
      <c r="J5206" s="13"/>
      <c r="K5206" s="15"/>
      <c r="L5206" s="15"/>
      <c r="M5206" s="16"/>
      <c r="N5206" s="16"/>
      <c r="O5206" s="17"/>
      <c r="P5206" s="17"/>
      <c r="Q5206" s="13"/>
      <c r="R5206" s="13"/>
      <c r="S5206" s="13"/>
      <c r="T5206" s="13"/>
      <c r="U5206" s="13"/>
      <c r="V5206" s="13"/>
      <c r="W5206" s="13"/>
      <c r="X5206" s="13"/>
      <c r="Y5206" s="13"/>
      <c r="Z5206" s="13"/>
      <c r="AA5206" s="13"/>
      <c r="AB5206" s="13"/>
      <c r="AC5206" s="13"/>
      <c r="AD5206" s="13"/>
      <c r="AE5206" s="13"/>
      <c r="AF5206" s="13"/>
      <c r="AG5206" s="13"/>
      <c r="AH5206" s="13"/>
      <c r="AI5206" s="13"/>
      <c r="AJ5206" s="13"/>
      <c r="AK5206" s="13"/>
      <c r="AL5206" s="13"/>
      <c r="AM5206" s="13"/>
      <c r="AN5206" s="13"/>
      <c r="AO5206" s="13"/>
      <c r="AP5206" s="13"/>
      <c r="AQ5206" s="13"/>
      <c r="AR5206" s="13"/>
      <c r="AS5206" s="13"/>
    </row>
    <row r="5207" ht="14.25" customHeight="1">
      <c r="A5207" s="13"/>
      <c r="B5207" s="13"/>
      <c r="C5207" s="13"/>
      <c r="D5207" s="13"/>
      <c r="E5207" s="13"/>
      <c r="F5207" s="13"/>
      <c r="G5207" s="13"/>
      <c r="H5207" s="13"/>
      <c r="I5207" s="13"/>
      <c r="J5207" s="13"/>
      <c r="K5207" s="15"/>
      <c r="L5207" s="15"/>
      <c r="M5207" s="16"/>
      <c r="N5207" s="16"/>
      <c r="O5207" s="17"/>
      <c r="P5207" s="17"/>
      <c r="Q5207" s="13"/>
      <c r="R5207" s="13"/>
      <c r="S5207" s="13"/>
      <c r="T5207" s="13"/>
      <c r="U5207" s="13"/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F5207" s="13"/>
      <c r="AG5207" s="13"/>
      <c r="AH5207" s="13"/>
      <c r="AI5207" s="13"/>
      <c r="AJ5207" s="13"/>
      <c r="AK5207" s="13"/>
      <c r="AL5207" s="13"/>
      <c r="AM5207" s="13"/>
      <c r="AN5207" s="13"/>
      <c r="AO5207" s="13"/>
      <c r="AP5207" s="13"/>
      <c r="AQ5207" s="13"/>
      <c r="AR5207" s="13"/>
      <c r="AS5207" s="13"/>
    </row>
    <row r="5208" ht="14.25" customHeight="1">
      <c r="A5208" s="13"/>
      <c r="B5208" s="13"/>
      <c r="C5208" s="13"/>
      <c r="D5208" s="13"/>
      <c r="E5208" s="13"/>
      <c r="F5208" s="13"/>
      <c r="G5208" s="13"/>
      <c r="H5208" s="13"/>
      <c r="I5208" s="13"/>
      <c r="J5208" s="13"/>
      <c r="K5208" s="15"/>
      <c r="L5208" s="15"/>
      <c r="M5208" s="16"/>
      <c r="N5208" s="16"/>
      <c r="O5208" s="17"/>
      <c r="P5208" s="17"/>
      <c r="Q5208" s="13"/>
      <c r="R5208" s="13"/>
      <c r="S5208" s="13"/>
      <c r="T5208" s="13"/>
      <c r="U5208" s="13"/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13"/>
      <c r="AG5208" s="13"/>
      <c r="AH5208" s="13"/>
      <c r="AI5208" s="13"/>
      <c r="AJ5208" s="13"/>
      <c r="AK5208" s="13"/>
      <c r="AL5208" s="13"/>
      <c r="AM5208" s="13"/>
      <c r="AN5208" s="13"/>
      <c r="AO5208" s="13"/>
      <c r="AP5208" s="13"/>
      <c r="AQ5208" s="13"/>
      <c r="AR5208" s="13"/>
      <c r="AS5208" s="13"/>
    </row>
    <row r="5209" ht="14.25" customHeight="1">
      <c r="A5209" s="13"/>
      <c r="B5209" s="13"/>
      <c r="C5209" s="13"/>
      <c r="D5209" s="13"/>
      <c r="E5209" s="13"/>
      <c r="F5209" s="13"/>
      <c r="G5209" s="13"/>
      <c r="H5209" s="13"/>
      <c r="I5209" s="13"/>
      <c r="J5209" s="13"/>
      <c r="K5209" s="15"/>
      <c r="L5209" s="15"/>
      <c r="M5209" s="16"/>
      <c r="N5209" s="16"/>
      <c r="O5209" s="17"/>
      <c r="P5209" s="17"/>
      <c r="Q5209" s="13"/>
      <c r="R5209" s="13"/>
      <c r="S5209" s="13"/>
      <c r="T5209" s="13"/>
      <c r="U5209" s="13"/>
      <c r="V5209" s="13"/>
      <c r="W5209" s="13"/>
      <c r="X5209" s="13"/>
      <c r="Y5209" s="13"/>
      <c r="Z5209" s="13"/>
      <c r="AA5209" s="13"/>
      <c r="AB5209" s="13"/>
      <c r="AC5209" s="13"/>
      <c r="AD5209" s="13"/>
      <c r="AE5209" s="13"/>
      <c r="AF5209" s="13"/>
      <c r="AG5209" s="13"/>
      <c r="AH5209" s="13"/>
      <c r="AI5209" s="13"/>
      <c r="AJ5209" s="13"/>
      <c r="AK5209" s="13"/>
      <c r="AL5209" s="13"/>
      <c r="AM5209" s="13"/>
      <c r="AN5209" s="13"/>
      <c r="AO5209" s="13"/>
      <c r="AP5209" s="13"/>
      <c r="AQ5209" s="13"/>
      <c r="AR5209" s="13"/>
      <c r="AS5209" s="13"/>
    </row>
    <row r="5210" ht="14.25" customHeight="1">
      <c r="A5210" s="13"/>
      <c r="B5210" s="13"/>
      <c r="C5210" s="13"/>
      <c r="D5210" s="13"/>
      <c r="E5210" s="13"/>
      <c r="F5210" s="13"/>
      <c r="G5210" s="13"/>
      <c r="H5210" s="13"/>
      <c r="I5210" s="13"/>
      <c r="J5210" s="13"/>
      <c r="K5210" s="15"/>
      <c r="L5210" s="15"/>
      <c r="M5210" s="16"/>
      <c r="N5210" s="16"/>
      <c r="O5210" s="17"/>
      <c r="P5210" s="17"/>
      <c r="Q5210" s="13"/>
      <c r="R5210" s="13"/>
      <c r="S5210" s="13"/>
      <c r="T5210" s="13"/>
      <c r="U5210" s="13"/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F5210" s="13"/>
      <c r="AG5210" s="13"/>
      <c r="AH5210" s="13"/>
      <c r="AI5210" s="13"/>
      <c r="AJ5210" s="13"/>
      <c r="AK5210" s="13"/>
      <c r="AL5210" s="13"/>
      <c r="AM5210" s="13"/>
      <c r="AN5210" s="13"/>
      <c r="AO5210" s="13"/>
      <c r="AP5210" s="13"/>
      <c r="AQ5210" s="13"/>
      <c r="AR5210" s="13"/>
      <c r="AS5210" s="13"/>
    </row>
    <row r="5211" ht="14.25" customHeight="1">
      <c r="A5211" s="13"/>
      <c r="B5211" s="13"/>
      <c r="C5211" s="13"/>
      <c r="D5211" s="13"/>
      <c r="E5211" s="13"/>
      <c r="F5211" s="13"/>
      <c r="G5211" s="13"/>
      <c r="H5211" s="13"/>
      <c r="I5211" s="13"/>
      <c r="J5211" s="13"/>
      <c r="K5211" s="15"/>
      <c r="L5211" s="15"/>
      <c r="M5211" s="16"/>
      <c r="N5211" s="16"/>
      <c r="O5211" s="17"/>
      <c r="P5211" s="17"/>
      <c r="Q5211" s="13"/>
      <c r="R5211" s="13"/>
      <c r="S5211" s="13"/>
      <c r="T5211" s="13"/>
      <c r="U5211" s="13"/>
      <c r="V5211" s="13"/>
      <c r="W5211" s="13"/>
      <c r="X5211" s="13"/>
      <c r="Y5211" s="13"/>
      <c r="Z5211" s="13"/>
      <c r="AA5211" s="13"/>
      <c r="AB5211" s="13"/>
      <c r="AC5211" s="13"/>
      <c r="AD5211" s="13"/>
      <c r="AE5211" s="13"/>
      <c r="AF5211" s="13"/>
      <c r="AG5211" s="13"/>
      <c r="AH5211" s="13"/>
      <c r="AI5211" s="13"/>
      <c r="AJ5211" s="13"/>
      <c r="AK5211" s="13"/>
      <c r="AL5211" s="13"/>
      <c r="AM5211" s="13"/>
      <c r="AN5211" s="13"/>
      <c r="AO5211" s="13"/>
      <c r="AP5211" s="13"/>
      <c r="AQ5211" s="13"/>
      <c r="AR5211" s="13"/>
      <c r="AS5211" s="13"/>
    </row>
    <row r="5212" ht="14.25" customHeight="1">
      <c r="A5212" s="13"/>
      <c r="B5212" s="13"/>
      <c r="C5212" s="13"/>
      <c r="D5212" s="13"/>
      <c r="E5212" s="13"/>
      <c r="F5212" s="13"/>
      <c r="G5212" s="13"/>
      <c r="H5212" s="13"/>
      <c r="I5212" s="13"/>
      <c r="J5212" s="13"/>
      <c r="K5212" s="15"/>
      <c r="L5212" s="15"/>
      <c r="M5212" s="16"/>
      <c r="N5212" s="16"/>
      <c r="O5212" s="17"/>
      <c r="P5212" s="17"/>
      <c r="Q5212" s="13"/>
      <c r="R5212" s="13"/>
      <c r="S5212" s="13"/>
      <c r="T5212" s="13"/>
      <c r="U5212" s="13"/>
      <c r="V5212" s="13"/>
      <c r="W5212" s="13"/>
      <c r="X5212" s="13"/>
      <c r="Y5212" s="13"/>
      <c r="Z5212" s="13"/>
      <c r="AA5212" s="13"/>
      <c r="AB5212" s="13"/>
      <c r="AC5212" s="13"/>
      <c r="AD5212" s="13"/>
      <c r="AE5212" s="13"/>
      <c r="AF5212" s="13"/>
      <c r="AG5212" s="13"/>
      <c r="AH5212" s="13"/>
      <c r="AI5212" s="13"/>
      <c r="AJ5212" s="13"/>
      <c r="AK5212" s="13"/>
      <c r="AL5212" s="13"/>
      <c r="AM5212" s="13"/>
      <c r="AN5212" s="13"/>
      <c r="AO5212" s="13"/>
      <c r="AP5212" s="13"/>
      <c r="AQ5212" s="13"/>
      <c r="AR5212" s="13"/>
      <c r="AS5212" s="13"/>
    </row>
    <row r="5213" ht="14.25" customHeight="1">
      <c r="A5213" s="13"/>
      <c r="B5213" s="13"/>
      <c r="C5213" s="13"/>
      <c r="D5213" s="13"/>
      <c r="E5213" s="13"/>
      <c r="F5213" s="13"/>
      <c r="G5213" s="13"/>
      <c r="H5213" s="13"/>
      <c r="I5213" s="13"/>
      <c r="J5213" s="13"/>
      <c r="K5213" s="15"/>
      <c r="L5213" s="15"/>
      <c r="M5213" s="16"/>
      <c r="N5213" s="16"/>
      <c r="O5213" s="17"/>
      <c r="P5213" s="17"/>
      <c r="Q5213" s="13"/>
      <c r="R5213" s="13"/>
      <c r="S5213" s="13"/>
      <c r="T5213" s="13"/>
      <c r="U5213" s="13"/>
      <c r="V5213" s="13"/>
      <c r="W5213" s="13"/>
      <c r="X5213" s="13"/>
      <c r="Y5213" s="13"/>
      <c r="Z5213" s="13"/>
      <c r="AA5213" s="13"/>
      <c r="AB5213" s="13"/>
      <c r="AC5213" s="13"/>
      <c r="AD5213" s="13"/>
      <c r="AE5213" s="13"/>
      <c r="AF5213" s="13"/>
      <c r="AG5213" s="13"/>
      <c r="AH5213" s="13"/>
      <c r="AI5213" s="13"/>
      <c r="AJ5213" s="13"/>
      <c r="AK5213" s="13"/>
      <c r="AL5213" s="13"/>
      <c r="AM5213" s="13"/>
      <c r="AN5213" s="13"/>
      <c r="AO5213" s="13"/>
      <c r="AP5213" s="13"/>
      <c r="AQ5213" s="13"/>
      <c r="AR5213" s="13"/>
      <c r="AS5213" s="13"/>
    </row>
    <row r="5214" ht="14.25" customHeight="1">
      <c r="A5214" s="13"/>
      <c r="B5214" s="13"/>
      <c r="C5214" s="13"/>
      <c r="D5214" s="13"/>
      <c r="E5214" s="13"/>
      <c r="F5214" s="13"/>
      <c r="G5214" s="13"/>
      <c r="H5214" s="13"/>
      <c r="I5214" s="13"/>
      <c r="J5214" s="13"/>
      <c r="K5214" s="15"/>
      <c r="L5214" s="15"/>
      <c r="M5214" s="16"/>
      <c r="N5214" s="16"/>
      <c r="O5214" s="17"/>
      <c r="P5214" s="17"/>
      <c r="Q5214" s="13"/>
      <c r="R5214" s="13"/>
      <c r="S5214" s="13"/>
      <c r="T5214" s="13"/>
      <c r="U5214" s="13"/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F5214" s="13"/>
      <c r="AG5214" s="13"/>
      <c r="AH5214" s="13"/>
      <c r="AI5214" s="13"/>
      <c r="AJ5214" s="13"/>
      <c r="AK5214" s="13"/>
      <c r="AL5214" s="13"/>
      <c r="AM5214" s="13"/>
      <c r="AN5214" s="13"/>
      <c r="AO5214" s="13"/>
      <c r="AP5214" s="13"/>
      <c r="AQ5214" s="13"/>
      <c r="AR5214" s="13"/>
      <c r="AS5214" s="13"/>
    </row>
    <row r="5215" ht="14.25" customHeight="1">
      <c r="A5215" s="13"/>
      <c r="B5215" s="13"/>
      <c r="C5215" s="13"/>
      <c r="D5215" s="13"/>
      <c r="E5215" s="13"/>
      <c r="F5215" s="13"/>
      <c r="G5215" s="13"/>
      <c r="H5215" s="13"/>
      <c r="I5215" s="13"/>
      <c r="J5215" s="13"/>
      <c r="K5215" s="15"/>
      <c r="L5215" s="15"/>
      <c r="M5215" s="16"/>
      <c r="N5215" s="16"/>
      <c r="O5215" s="17"/>
      <c r="P5215" s="17"/>
      <c r="Q5215" s="13"/>
      <c r="R5215" s="13"/>
      <c r="S5215" s="13"/>
      <c r="T5215" s="13"/>
      <c r="U5215" s="13"/>
      <c r="V5215" s="13"/>
      <c r="W5215" s="13"/>
      <c r="X5215" s="13"/>
      <c r="Y5215" s="13"/>
      <c r="Z5215" s="13"/>
      <c r="AA5215" s="13"/>
      <c r="AB5215" s="13"/>
      <c r="AC5215" s="13"/>
      <c r="AD5215" s="13"/>
      <c r="AE5215" s="13"/>
      <c r="AF5215" s="13"/>
      <c r="AG5215" s="13"/>
      <c r="AH5215" s="13"/>
      <c r="AI5215" s="13"/>
      <c r="AJ5215" s="13"/>
      <c r="AK5215" s="13"/>
      <c r="AL5215" s="13"/>
      <c r="AM5215" s="13"/>
      <c r="AN5215" s="13"/>
      <c r="AO5215" s="13"/>
      <c r="AP5215" s="13"/>
      <c r="AQ5215" s="13"/>
      <c r="AR5215" s="13"/>
      <c r="AS5215" s="13"/>
    </row>
    <row r="5216" ht="14.25" customHeight="1">
      <c r="A5216" s="13"/>
      <c r="B5216" s="13"/>
      <c r="C5216" s="13"/>
      <c r="D5216" s="13"/>
      <c r="E5216" s="13"/>
      <c r="F5216" s="13"/>
      <c r="G5216" s="13"/>
      <c r="H5216" s="13"/>
      <c r="I5216" s="13"/>
      <c r="J5216" s="13"/>
      <c r="K5216" s="15"/>
      <c r="L5216" s="15"/>
      <c r="M5216" s="16"/>
      <c r="N5216" s="16"/>
      <c r="O5216" s="17"/>
      <c r="P5216" s="17"/>
      <c r="Q5216" s="13"/>
      <c r="R5216" s="13"/>
      <c r="S5216" s="13"/>
      <c r="T5216" s="13"/>
      <c r="U5216" s="13"/>
      <c r="V5216" s="13"/>
      <c r="W5216" s="13"/>
      <c r="X5216" s="13"/>
      <c r="Y5216" s="13"/>
      <c r="Z5216" s="13"/>
      <c r="AA5216" s="13"/>
      <c r="AB5216" s="13"/>
      <c r="AC5216" s="13"/>
      <c r="AD5216" s="13"/>
      <c r="AE5216" s="13"/>
      <c r="AF5216" s="13"/>
      <c r="AG5216" s="13"/>
      <c r="AH5216" s="13"/>
      <c r="AI5216" s="13"/>
      <c r="AJ5216" s="13"/>
      <c r="AK5216" s="13"/>
      <c r="AL5216" s="13"/>
      <c r="AM5216" s="13"/>
      <c r="AN5216" s="13"/>
      <c r="AO5216" s="13"/>
      <c r="AP5216" s="13"/>
      <c r="AQ5216" s="13"/>
      <c r="AR5216" s="13"/>
      <c r="AS5216" s="13"/>
    </row>
    <row r="5217" ht="14.25" customHeight="1">
      <c r="A5217" s="13"/>
      <c r="B5217" s="13"/>
      <c r="C5217" s="13"/>
      <c r="D5217" s="13"/>
      <c r="E5217" s="13"/>
      <c r="F5217" s="13"/>
      <c r="G5217" s="13"/>
      <c r="H5217" s="13"/>
      <c r="I5217" s="13"/>
      <c r="J5217" s="13"/>
      <c r="K5217" s="15"/>
      <c r="L5217" s="15"/>
      <c r="M5217" s="16"/>
      <c r="N5217" s="16"/>
      <c r="O5217" s="17"/>
      <c r="P5217" s="17"/>
      <c r="Q5217" s="13"/>
      <c r="R5217" s="13"/>
      <c r="S5217" s="13"/>
      <c r="T5217" s="13"/>
      <c r="U5217" s="13"/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F5217" s="13"/>
      <c r="AG5217" s="13"/>
      <c r="AH5217" s="13"/>
      <c r="AI5217" s="13"/>
      <c r="AJ5217" s="13"/>
      <c r="AK5217" s="13"/>
      <c r="AL5217" s="13"/>
      <c r="AM5217" s="13"/>
      <c r="AN5217" s="13"/>
      <c r="AO5217" s="13"/>
      <c r="AP5217" s="13"/>
      <c r="AQ5217" s="13"/>
      <c r="AR5217" s="13"/>
      <c r="AS5217" s="13"/>
    </row>
    <row r="5218" ht="14.25" customHeight="1">
      <c r="A5218" s="13"/>
      <c r="B5218" s="13"/>
      <c r="C5218" s="13"/>
      <c r="D5218" s="13"/>
      <c r="E5218" s="13"/>
      <c r="F5218" s="13"/>
      <c r="G5218" s="13"/>
      <c r="H5218" s="13"/>
      <c r="I5218" s="13"/>
      <c r="J5218" s="13"/>
      <c r="K5218" s="15"/>
      <c r="L5218" s="15"/>
      <c r="M5218" s="16"/>
      <c r="N5218" s="16"/>
      <c r="O5218" s="17"/>
      <c r="P5218" s="17"/>
      <c r="Q5218" s="13"/>
      <c r="R5218" s="13"/>
      <c r="S5218" s="13"/>
      <c r="T5218" s="13"/>
      <c r="U5218" s="13"/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F5218" s="13"/>
      <c r="AG5218" s="13"/>
      <c r="AH5218" s="13"/>
      <c r="AI5218" s="13"/>
      <c r="AJ5218" s="13"/>
      <c r="AK5218" s="13"/>
      <c r="AL5218" s="13"/>
      <c r="AM5218" s="13"/>
      <c r="AN5218" s="13"/>
      <c r="AO5218" s="13"/>
      <c r="AP5218" s="13"/>
      <c r="AQ5218" s="13"/>
      <c r="AR5218" s="13"/>
      <c r="AS5218" s="13"/>
    </row>
    <row r="5219" ht="14.25" customHeight="1">
      <c r="A5219" s="13"/>
      <c r="B5219" s="13"/>
      <c r="C5219" s="13"/>
      <c r="D5219" s="13"/>
      <c r="E5219" s="13"/>
      <c r="F5219" s="13"/>
      <c r="G5219" s="13"/>
      <c r="H5219" s="13"/>
      <c r="I5219" s="13"/>
      <c r="J5219" s="13"/>
      <c r="K5219" s="15"/>
      <c r="L5219" s="15"/>
      <c r="M5219" s="16"/>
      <c r="N5219" s="16"/>
      <c r="O5219" s="17"/>
      <c r="P5219" s="17"/>
      <c r="Q5219" s="13"/>
      <c r="R5219" s="13"/>
      <c r="S5219" s="13"/>
      <c r="T5219" s="13"/>
      <c r="U5219" s="13"/>
      <c r="V5219" s="13"/>
      <c r="W5219" s="13"/>
      <c r="X5219" s="13"/>
      <c r="Y5219" s="13"/>
      <c r="Z5219" s="13"/>
      <c r="AA5219" s="13"/>
      <c r="AB5219" s="13"/>
      <c r="AC5219" s="13"/>
      <c r="AD5219" s="13"/>
      <c r="AE5219" s="13"/>
      <c r="AF5219" s="13"/>
      <c r="AG5219" s="13"/>
      <c r="AH5219" s="13"/>
      <c r="AI5219" s="13"/>
      <c r="AJ5219" s="13"/>
      <c r="AK5219" s="13"/>
      <c r="AL5219" s="13"/>
      <c r="AM5219" s="13"/>
      <c r="AN5219" s="13"/>
      <c r="AO5219" s="13"/>
      <c r="AP5219" s="13"/>
      <c r="AQ5219" s="13"/>
      <c r="AR5219" s="13"/>
      <c r="AS5219" s="13"/>
    </row>
    <row r="5220" ht="14.25" customHeight="1">
      <c r="A5220" s="13"/>
      <c r="B5220" s="13"/>
      <c r="C5220" s="13"/>
      <c r="D5220" s="13"/>
      <c r="E5220" s="13"/>
      <c r="F5220" s="13"/>
      <c r="G5220" s="13"/>
      <c r="H5220" s="13"/>
      <c r="I5220" s="13"/>
      <c r="J5220" s="13"/>
      <c r="K5220" s="15"/>
      <c r="L5220" s="15"/>
      <c r="M5220" s="16"/>
      <c r="N5220" s="16"/>
      <c r="O5220" s="17"/>
      <c r="P5220" s="17"/>
      <c r="Q5220" s="13"/>
      <c r="R5220" s="13"/>
      <c r="S5220" s="13"/>
      <c r="T5220" s="13"/>
      <c r="U5220" s="13"/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F5220" s="13"/>
      <c r="AG5220" s="13"/>
      <c r="AH5220" s="13"/>
      <c r="AI5220" s="13"/>
      <c r="AJ5220" s="13"/>
      <c r="AK5220" s="13"/>
      <c r="AL5220" s="13"/>
      <c r="AM5220" s="13"/>
      <c r="AN5220" s="13"/>
      <c r="AO5220" s="13"/>
      <c r="AP5220" s="13"/>
      <c r="AQ5220" s="13"/>
      <c r="AR5220" s="13"/>
      <c r="AS5220" s="13"/>
    </row>
    <row r="5221" ht="14.25" customHeight="1">
      <c r="A5221" s="13"/>
      <c r="B5221" s="13"/>
      <c r="C5221" s="13"/>
      <c r="D5221" s="13"/>
      <c r="E5221" s="13"/>
      <c r="F5221" s="13"/>
      <c r="G5221" s="13"/>
      <c r="H5221" s="13"/>
      <c r="I5221" s="13"/>
      <c r="J5221" s="13"/>
      <c r="K5221" s="15"/>
      <c r="L5221" s="15"/>
      <c r="M5221" s="16"/>
      <c r="N5221" s="16"/>
      <c r="O5221" s="17"/>
      <c r="P5221" s="17"/>
      <c r="Q5221" s="13"/>
      <c r="R5221" s="13"/>
      <c r="S5221" s="13"/>
      <c r="T5221" s="13"/>
      <c r="U5221" s="13"/>
      <c r="V5221" s="13"/>
      <c r="W5221" s="13"/>
      <c r="X5221" s="13"/>
      <c r="Y5221" s="13"/>
      <c r="Z5221" s="13"/>
      <c r="AA5221" s="13"/>
      <c r="AB5221" s="13"/>
      <c r="AC5221" s="13"/>
      <c r="AD5221" s="13"/>
      <c r="AE5221" s="13"/>
      <c r="AF5221" s="13"/>
      <c r="AG5221" s="13"/>
      <c r="AH5221" s="13"/>
      <c r="AI5221" s="13"/>
      <c r="AJ5221" s="13"/>
      <c r="AK5221" s="13"/>
      <c r="AL5221" s="13"/>
      <c r="AM5221" s="13"/>
      <c r="AN5221" s="13"/>
      <c r="AO5221" s="13"/>
      <c r="AP5221" s="13"/>
      <c r="AQ5221" s="13"/>
      <c r="AR5221" s="13"/>
      <c r="AS5221" s="13"/>
    </row>
    <row r="5222" ht="14.25" customHeight="1">
      <c r="A5222" s="13"/>
      <c r="B5222" s="13"/>
      <c r="C5222" s="13"/>
      <c r="D5222" s="13"/>
      <c r="E5222" s="13"/>
      <c r="F5222" s="13"/>
      <c r="G5222" s="13"/>
      <c r="H5222" s="13"/>
      <c r="I5222" s="13"/>
      <c r="J5222" s="13"/>
      <c r="K5222" s="15"/>
      <c r="L5222" s="15"/>
      <c r="M5222" s="16"/>
      <c r="N5222" s="16"/>
      <c r="O5222" s="17"/>
      <c r="P5222" s="17"/>
      <c r="Q5222" s="13"/>
      <c r="R5222" s="13"/>
      <c r="S5222" s="13"/>
      <c r="T5222" s="13"/>
      <c r="U5222" s="13"/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F5222" s="13"/>
      <c r="AG5222" s="13"/>
      <c r="AH5222" s="13"/>
      <c r="AI5222" s="13"/>
      <c r="AJ5222" s="13"/>
      <c r="AK5222" s="13"/>
      <c r="AL5222" s="13"/>
      <c r="AM5222" s="13"/>
      <c r="AN5222" s="13"/>
      <c r="AO5222" s="13"/>
      <c r="AP5222" s="13"/>
      <c r="AQ5222" s="13"/>
      <c r="AR5222" s="13"/>
      <c r="AS5222" s="13"/>
    </row>
    <row r="5223" ht="14.25" customHeight="1">
      <c r="A5223" s="13"/>
      <c r="B5223" s="13"/>
      <c r="C5223" s="13"/>
      <c r="D5223" s="13"/>
      <c r="E5223" s="13"/>
      <c r="F5223" s="13"/>
      <c r="G5223" s="13"/>
      <c r="H5223" s="13"/>
      <c r="I5223" s="13"/>
      <c r="J5223" s="13"/>
      <c r="K5223" s="15"/>
      <c r="L5223" s="15"/>
      <c r="M5223" s="16"/>
      <c r="N5223" s="16"/>
      <c r="O5223" s="17"/>
      <c r="P5223" s="17"/>
      <c r="Q5223" s="13"/>
      <c r="R5223" s="13"/>
      <c r="S5223" s="13"/>
      <c r="T5223" s="13"/>
      <c r="U5223" s="13"/>
      <c r="V5223" s="13"/>
      <c r="W5223" s="13"/>
      <c r="X5223" s="13"/>
      <c r="Y5223" s="13"/>
      <c r="Z5223" s="13"/>
      <c r="AA5223" s="13"/>
      <c r="AB5223" s="13"/>
      <c r="AC5223" s="13"/>
      <c r="AD5223" s="13"/>
      <c r="AE5223" s="13"/>
      <c r="AF5223" s="13"/>
      <c r="AG5223" s="13"/>
      <c r="AH5223" s="13"/>
      <c r="AI5223" s="13"/>
      <c r="AJ5223" s="13"/>
      <c r="AK5223" s="13"/>
      <c r="AL5223" s="13"/>
      <c r="AM5223" s="13"/>
      <c r="AN5223" s="13"/>
      <c r="AO5223" s="13"/>
      <c r="AP5223" s="13"/>
      <c r="AQ5223" s="13"/>
      <c r="AR5223" s="13"/>
      <c r="AS5223" s="13"/>
    </row>
    <row r="5224" ht="14.25" customHeight="1">
      <c r="A5224" s="13"/>
      <c r="B5224" s="13"/>
      <c r="C5224" s="13"/>
      <c r="D5224" s="13"/>
      <c r="E5224" s="13"/>
      <c r="F5224" s="13"/>
      <c r="G5224" s="13"/>
      <c r="H5224" s="13"/>
      <c r="I5224" s="13"/>
      <c r="J5224" s="13"/>
      <c r="K5224" s="15"/>
      <c r="L5224" s="15"/>
      <c r="M5224" s="16"/>
      <c r="N5224" s="16"/>
      <c r="O5224" s="17"/>
      <c r="P5224" s="17"/>
      <c r="Q5224" s="13"/>
      <c r="R5224" s="13"/>
      <c r="S5224" s="13"/>
      <c r="T5224" s="13"/>
      <c r="U5224" s="13"/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F5224" s="13"/>
      <c r="AG5224" s="13"/>
      <c r="AH5224" s="13"/>
      <c r="AI5224" s="13"/>
      <c r="AJ5224" s="13"/>
      <c r="AK5224" s="13"/>
      <c r="AL5224" s="13"/>
      <c r="AM5224" s="13"/>
      <c r="AN5224" s="13"/>
      <c r="AO5224" s="13"/>
      <c r="AP5224" s="13"/>
      <c r="AQ5224" s="13"/>
      <c r="AR5224" s="13"/>
      <c r="AS5224" s="13"/>
    </row>
    <row r="5225" ht="14.25" customHeight="1">
      <c r="A5225" s="13"/>
      <c r="B5225" s="13"/>
      <c r="C5225" s="13"/>
      <c r="D5225" s="13"/>
      <c r="E5225" s="13"/>
      <c r="F5225" s="13"/>
      <c r="G5225" s="13"/>
      <c r="H5225" s="13"/>
      <c r="I5225" s="13"/>
      <c r="J5225" s="13"/>
      <c r="K5225" s="15"/>
      <c r="L5225" s="15"/>
      <c r="M5225" s="16"/>
      <c r="N5225" s="16"/>
      <c r="O5225" s="17"/>
      <c r="P5225" s="17"/>
      <c r="Q5225" s="13"/>
      <c r="R5225" s="13"/>
      <c r="S5225" s="13"/>
      <c r="T5225" s="13"/>
      <c r="U5225" s="13"/>
      <c r="V5225" s="13"/>
      <c r="W5225" s="13"/>
      <c r="X5225" s="13"/>
      <c r="Y5225" s="13"/>
      <c r="Z5225" s="13"/>
      <c r="AA5225" s="13"/>
      <c r="AB5225" s="13"/>
      <c r="AC5225" s="13"/>
      <c r="AD5225" s="13"/>
      <c r="AE5225" s="13"/>
      <c r="AF5225" s="13"/>
      <c r="AG5225" s="13"/>
      <c r="AH5225" s="13"/>
      <c r="AI5225" s="13"/>
      <c r="AJ5225" s="13"/>
      <c r="AK5225" s="13"/>
      <c r="AL5225" s="13"/>
      <c r="AM5225" s="13"/>
      <c r="AN5225" s="13"/>
      <c r="AO5225" s="13"/>
      <c r="AP5225" s="13"/>
      <c r="AQ5225" s="13"/>
      <c r="AR5225" s="13"/>
      <c r="AS5225" s="13"/>
    </row>
    <row r="5226" ht="14.25" customHeight="1">
      <c r="A5226" s="13"/>
      <c r="B5226" s="13"/>
      <c r="C5226" s="13"/>
      <c r="D5226" s="13"/>
      <c r="E5226" s="13"/>
      <c r="F5226" s="13"/>
      <c r="G5226" s="13"/>
      <c r="H5226" s="13"/>
      <c r="I5226" s="13"/>
      <c r="J5226" s="13"/>
      <c r="K5226" s="15"/>
      <c r="L5226" s="15"/>
      <c r="M5226" s="16"/>
      <c r="N5226" s="16"/>
      <c r="O5226" s="17"/>
      <c r="P5226" s="17"/>
      <c r="Q5226" s="13"/>
      <c r="R5226" s="13"/>
      <c r="S5226" s="13"/>
      <c r="T5226" s="13"/>
      <c r="U5226" s="13"/>
      <c r="V5226" s="13"/>
      <c r="W5226" s="13"/>
      <c r="X5226" s="13"/>
      <c r="Y5226" s="13"/>
      <c r="Z5226" s="13"/>
      <c r="AA5226" s="13"/>
      <c r="AB5226" s="13"/>
      <c r="AC5226" s="13"/>
      <c r="AD5226" s="13"/>
      <c r="AE5226" s="13"/>
      <c r="AF5226" s="13"/>
      <c r="AG5226" s="13"/>
      <c r="AH5226" s="13"/>
      <c r="AI5226" s="13"/>
      <c r="AJ5226" s="13"/>
      <c r="AK5226" s="13"/>
      <c r="AL5226" s="13"/>
      <c r="AM5226" s="13"/>
      <c r="AN5226" s="13"/>
      <c r="AO5226" s="13"/>
      <c r="AP5226" s="13"/>
      <c r="AQ5226" s="13"/>
      <c r="AR5226" s="13"/>
      <c r="AS5226" s="13"/>
    </row>
    <row r="5227" ht="14.25" customHeight="1">
      <c r="A5227" s="13"/>
      <c r="B5227" s="13"/>
      <c r="C5227" s="13"/>
      <c r="D5227" s="13"/>
      <c r="E5227" s="13"/>
      <c r="F5227" s="13"/>
      <c r="G5227" s="13"/>
      <c r="H5227" s="13"/>
      <c r="I5227" s="13"/>
      <c r="J5227" s="13"/>
      <c r="K5227" s="15"/>
      <c r="L5227" s="15"/>
      <c r="M5227" s="16"/>
      <c r="N5227" s="16"/>
      <c r="O5227" s="17"/>
      <c r="P5227" s="17"/>
      <c r="Q5227" s="13"/>
      <c r="R5227" s="13"/>
      <c r="S5227" s="13"/>
      <c r="T5227" s="13"/>
      <c r="U5227" s="13"/>
      <c r="V5227" s="13"/>
      <c r="W5227" s="13"/>
      <c r="X5227" s="13"/>
      <c r="Y5227" s="13"/>
      <c r="Z5227" s="13"/>
      <c r="AA5227" s="13"/>
      <c r="AB5227" s="13"/>
      <c r="AC5227" s="13"/>
      <c r="AD5227" s="13"/>
      <c r="AE5227" s="13"/>
      <c r="AF5227" s="13"/>
      <c r="AG5227" s="13"/>
      <c r="AH5227" s="13"/>
      <c r="AI5227" s="13"/>
      <c r="AJ5227" s="13"/>
      <c r="AK5227" s="13"/>
      <c r="AL5227" s="13"/>
      <c r="AM5227" s="13"/>
      <c r="AN5227" s="13"/>
      <c r="AO5227" s="13"/>
      <c r="AP5227" s="13"/>
      <c r="AQ5227" s="13"/>
      <c r="AR5227" s="13"/>
      <c r="AS5227" s="13"/>
    </row>
    <row r="5228" ht="14.25" customHeight="1">
      <c r="A5228" s="13"/>
      <c r="B5228" s="13"/>
      <c r="C5228" s="13"/>
      <c r="D5228" s="13"/>
      <c r="E5228" s="13"/>
      <c r="F5228" s="13"/>
      <c r="G5228" s="13"/>
      <c r="H5228" s="13"/>
      <c r="I5228" s="13"/>
      <c r="J5228" s="13"/>
      <c r="K5228" s="15"/>
      <c r="L5228" s="15"/>
      <c r="M5228" s="16"/>
      <c r="N5228" s="16"/>
      <c r="O5228" s="17"/>
      <c r="P5228" s="17"/>
      <c r="Q5228" s="13"/>
      <c r="R5228" s="13"/>
      <c r="S5228" s="13"/>
      <c r="T5228" s="13"/>
      <c r="U5228" s="13"/>
      <c r="V5228" s="13"/>
      <c r="W5228" s="13"/>
      <c r="X5228" s="13"/>
      <c r="Y5228" s="13"/>
      <c r="Z5228" s="13"/>
      <c r="AA5228" s="13"/>
      <c r="AB5228" s="13"/>
      <c r="AC5228" s="13"/>
      <c r="AD5228" s="13"/>
      <c r="AE5228" s="13"/>
      <c r="AF5228" s="13"/>
      <c r="AG5228" s="13"/>
      <c r="AH5228" s="13"/>
      <c r="AI5228" s="13"/>
      <c r="AJ5228" s="13"/>
      <c r="AK5228" s="13"/>
      <c r="AL5228" s="13"/>
      <c r="AM5228" s="13"/>
      <c r="AN5228" s="13"/>
      <c r="AO5228" s="13"/>
      <c r="AP5228" s="13"/>
      <c r="AQ5228" s="13"/>
      <c r="AR5228" s="13"/>
      <c r="AS5228" s="13"/>
    </row>
    <row r="5229" ht="14.25" customHeight="1">
      <c r="A5229" s="13"/>
      <c r="B5229" s="13"/>
      <c r="C5229" s="13"/>
      <c r="D5229" s="13"/>
      <c r="E5229" s="13"/>
      <c r="F5229" s="13"/>
      <c r="G5229" s="13"/>
      <c r="H5229" s="13"/>
      <c r="I5229" s="13"/>
      <c r="J5229" s="13"/>
      <c r="K5229" s="15"/>
      <c r="L5229" s="15"/>
      <c r="M5229" s="16"/>
      <c r="N5229" s="16"/>
      <c r="O5229" s="17"/>
      <c r="P5229" s="17"/>
      <c r="Q5229" s="13"/>
      <c r="R5229" s="13"/>
      <c r="S5229" s="13"/>
      <c r="T5229" s="13"/>
      <c r="U5229" s="13"/>
      <c r="V5229" s="13"/>
      <c r="W5229" s="13"/>
      <c r="X5229" s="13"/>
      <c r="Y5229" s="13"/>
      <c r="Z5229" s="13"/>
      <c r="AA5229" s="13"/>
      <c r="AB5229" s="13"/>
      <c r="AC5229" s="13"/>
      <c r="AD5229" s="13"/>
      <c r="AE5229" s="13"/>
      <c r="AF5229" s="13"/>
      <c r="AG5229" s="13"/>
      <c r="AH5229" s="13"/>
      <c r="AI5229" s="13"/>
      <c r="AJ5229" s="13"/>
      <c r="AK5229" s="13"/>
      <c r="AL5229" s="13"/>
      <c r="AM5229" s="13"/>
      <c r="AN5229" s="13"/>
      <c r="AO5229" s="13"/>
      <c r="AP5229" s="13"/>
      <c r="AQ5229" s="13"/>
      <c r="AR5229" s="13"/>
      <c r="AS5229" s="13"/>
    </row>
    <row r="5230" ht="14.25" customHeight="1">
      <c r="A5230" s="13"/>
      <c r="B5230" s="13"/>
      <c r="C5230" s="13"/>
      <c r="D5230" s="13"/>
      <c r="E5230" s="13"/>
      <c r="F5230" s="13"/>
      <c r="G5230" s="13"/>
      <c r="H5230" s="13"/>
      <c r="I5230" s="13"/>
      <c r="J5230" s="13"/>
      <c r="K5230" s="15"/>
      <c r="L5230" s="15"/>
      <c r="M5230" s="16"/>
      <c r="N5230" s="16"/>
      <c r="O5230" s="17"/>
      <c r="P5230" s="17"/>
      <c r="Q5230" s="13"/>
      <c r="R5230" s="13"/>
      <c r="S5230" s="13"/>
      <c r="T5230" s="13"/>
      <c r="U5230" s="13"/>
      <c r="V5230" s="13"/>
      <c r="W5230" s="13"/>
      <c r="X5230" s="13"/>
      <c r="Y5230" s="13"/>
      <c r="Z5230" s="13"/>
      <c r="AA5230" s="13"/>
      <c r="AB5230" s="13"/>
      <c r="AC5230" s="13"/>
      <c r="AD5230" s="13"/>
      <c r="AE5230" s="13"/>
      <c r="AF5230" s="13"/>
      <c r="AG5230" s="13"/>
      <c r="AH5230" s="13"/>
      <c r="AI5230" s="13"/>
      <c r="AJ5230" s="13"/>
      <c r="AK5230" s="13"/>
      <c r="AL5230" s="13"/>
      <c r="AM5230" s="13"/>
      <c r="AN5230" s="13"/>
      <c r="AO5230" s="13"/>
      <c r="AP5230" s="13"/>
      <c r="AQ5230" s="13"/>
      <c r="AR5230" s="13"/>
      <c r="AS5230" s="13"/>
    </row>
    <row r="5231" ht="14.25" customHeight="1">
      <c r="A5231" s="13"/>
      <c r="B5231" s="13"/>
      <c r="C5231" s="13"/>
      <c r="D5231" s="13"/>
      <c r="E5231" s="13"/>
      <c r="F5231" s="13"/>
      <c r="G5231" s="13"/>
      <c r="H5231" s="13"/>
      <c r="I5231" s="13"/>
      <c r="J5231" s="13"/>
      <c r="K5231" s="15"/>
      <c r="L5231" s="15"/>
      <c r="M5231" s="16"/>
      <c r="N5231" s="16"/>
      <c r="O5231" s="17"/>
      <c r="P5231" s="17"/>
      <c r="Q5231" s="13"/>
      <c r="R5231" s="13"/>
      <c r="S5231" s="13"/>
      <c r="T5231" s="13"/>
      <c r="U5231" s="13"/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F5231" s="13"/>
      <c r="AG5231" s="13"/>
      <c r="AH5231" s="13"/>
      <c r="AI5231" s="13"/>
      <c r="AJ5231" s="13"/>
      <c r="AK5231" s="13"/>
      <c r="AL5231" s="13"/>
      <c r="AM5231" s="13"/>
      <c r="AN5231" s="13"/>
      <c r="AO5231" s="13"/>
      <c r="AP5231" s="13"/>
      <c r="AQ5231" s="13"/>
      <c r="AR5231" s="13"/>
      <c r="AS5231" s="13"/>
    </row>
    <row r="5232" ht="14.25" customHeight="1">
      <c r="A5232" s="13"/>
      <c r="B5232" s="13"/>
      <c r="C5232" s="13"/>
      <c r="D5232" s="13"/>
      <c r="E5232" s="13"/>
      <c r="F5232" s="13"/>
      <c r="G5232" s="13"/>
      <c r="H5232" s="13"/>
      <c r="I5232" s="13"/>
      <c r="J5232" s="13"/>
      <c r="K5232" s="15"/>
      <c r="L5232" s="15"/>
      <c r="M5232" s="16"/>
      <c r="N5232" s="16"/>
      <c r="O5232" s="17"/>
      <c r="P5232" s="17"/>
      <c r="Q5232" s="13"/>
      <c r="R5232" s="13"/>
      <c r="S5232" s="13"/>
      <c r="T5232" s="13"/>
      <c r="U5232" s="13"/>
      <c r="V5232" s="13"/>
      <c r="W5232" s="13"/>
      <c r="X5232" s="13"/>
      <c r="Y5232" s="13"/>
      <c r="Z5232" s="13"/>
      <c r="AA5232" s="13"/>
      <c r="AB5232" s="13"/>
      <c r="AC5232" s="13"/>
      <c r="AD5232" s="13"/>
      <c r="AE5232" s="13"/>
      <c r="AF5232" s="13"/>
      <c r="AG5232" s="13"/>
      <c r="AH5232" s="13"/>
      <c r="AI5232" s="13"/>
      <c r="AJ5232" s="13"/>
      <c r="AK5232" s="13"/>
      <c r="AL5232" s="13"/>
      <c r="AM5232" s="13"/>
      <c r="AN5232" s="13"/>
      <c r="AO5232" s="13"/>
      <c r="AP5232" s="13"/>
      <c r="AQ5232" s="13"/>
      <c r="AR5232" s="13"/>
      <c r="AS5232" s="13"/>
    </row>
    <row r="5233" ht="14.25" customHeight="1">
      <c r="A5233" s="13"/>
      <c r="B5233" s="13"/>
      <c r="C5233" s="13"/>
      <c r="D5233" s="13"/>
      <c r="E5233" s="13"/>
      <c r="F5233" s="13"/>
      <c r="G5233" s="13"/>
      <c r="H5233" s="13"/>
      <c r="I5233" s="13"/>
      <c r="J5233" s="13"/>
      <c r="K5233" s="15"/>
      <c r="L5233" s="15"/>
      <c r="M5233" s="16"/>
      <c r="N5233" s="16"/>
      <c r="O5233" s="17"/>
      <c r="P5233" s="17"/>
      <c r="Q5233" s="13"/>
      <c r="R5233" s="13"/>
      <c r="S5233" s="13"/>
      <c r="T5233" s="13"/>
      <c r="U5233" s="13"/>
      <c r="V5233" s="13"/>
      <c r="W5233" s="13"/>
      <c r="X5233" s="13"/>
      <c r="Y5233" s="13"/>
      <c r="Z5233" s="13"/>
      <c r="AA5233" s="13"/>
      <c r="AB5233" s="13"/>
      <c r="AC5233" s="13"/>
      <c r="AD5233" s="13"/>
      <c r="AE5233" s="13"/>
      <c r="AF5233" s="13"/>
      <c r="AG5233" s="13"/>
      <c r="AH5233" s="13"/>
      <c r="AI5233" s="13"/>
      <c r="AJ5233" s="13"/>
      <c r="AK5233" s="13"/>
      <c r="AL5233" s="13"/>
      <c r="AM5233" s="13"/>
      <c r="AN5233" s="13"/>
      <c r="AO5233" s="13"/>
      <c r="AP5233" s="13"/>
      <c r="AQ5233" s="13"/>
      <c r="AR5233" s="13"/>
      <c r="AS5233" s="13"/>
    </row>
    <row r="5234" ht="14.25" customHeight="1">
      <c r="A5234" s="13"/>
      <c r="B5234" s="13"/>
      <c r="C5234" s="13"/>
      <c r="D5234" s="13"/>
      <c r="E5234" s="13"/>
      <c r="F5234" s="13"/>
      <c r="G5234" s="13"/>
      <c r="H5234" s="13"/>
      <c r="I5234" s="13"/>
      <c r="J5234" s="13"/>
      <c r="K5234" s="15"/>
      <c r="L5234" s="15"/>
      <c r="M5234" s="16"/>
      <c r="N5234" s="16"/>
      <c r="O5234" s="17"/>
      <c r="P5234" s="17"/>
      <c r="Q5234" s="13"/>
      <c r="R5234" s="13"/>
      <c r="S5234" s="13"/>
      <c r="T5234" s="13"/>
      <c r="U5234" s="13"/>
      <c r="V5234" s="13"/>
      <c r="W5234" s="13"/>
      <c r="X5234" s="13"/>
      <c r="Y5234" s="13"/>
      <c r="Z5234" s="13"/>
      <c r="AA5234" s="13"/>
      <c r="AB5234" s="13"/>
      <c r="AC5234" s="13"/>
      <c r="AD5234" s="13"/>
      <c r="AE5234" s="13"/>
      <c r="AF5234" s="13"/>
      <c r="AG5234" s="13"/>
      <c r="AH5234" s="13"/>
      <c r="AI5234" s="13"/>
      <c r="AJ5234" s="13"/>
      <c r="AK5234" s="13"/>
      <c r="AL5234" s="13"/>
      <c r="AM5234" s="13"/>
      <c r="AN5234" s="13"/>
      <c r="AO5234" s="13"/>
      <c r="AP5234" s="13"/>
      <c r="AQ5234" s="13"/>
      <c r="AR5234" s="13"/>
      <c r="AS5234" s="13"/>
    </row>
    <row r="5235" ht="14.25" customHeight="1">
      <c r="A5235" s="13"/>
      <c r="B5235" s="13"/>
      <c r="C5235" s="13"/>
      <c r="D5235" s="13"/>
      <c r="E5235" s="13"/>
      <c r="F5235" s="13"/>
      <c r="G5235" s="13"/>
      <c r="H5235" s="13"/>
      <c r="I5235" s="13"/>
      <c r="J5235" s="13"/>
      <c r="K5235" s="15"/>
      <c r="L5235" s="15"/>
      <c r="M5235" s="16"/>
      <c r="N5235" s="16"/>
      <c r="O5235" s="17"/>
      <c r="P5235" s="17"/>
      <c r="Q5235" s="13"/>
      <c r="R5235" s="13"/>
      <c r="S5235" s="13"/>
      <c r="T5235" s="13"/>
      <c r="U5235" s="13"/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13"/>
      <c r="AG5235" s="13"/>
      <c r="AH5235" s="13"/>
      <c r="AI5235" s="13"/>
      <c r="AJ5235" s="13"/>
      <c r="AK5235" s="13"/>
      <c r="AL5235" s="13"/>
      <c r="AM5235" s="13"/>
      <c r="AN5235" s="13"/>
      <c r="AO5235" s="13"/>
      <c r="AP5235" s="13"/>
      <c r="AQ5235" s="13"/>
      <c r="AR5235" s="13"/>
      <c r="AS5235" s="13"/>
    </row>
    <row r="5236" ht="14.25" customHeight="1">
      <c r="A5236" s="13"/>
      <c r="B5236" s="13"/>
      <c r="C5236" s="13"/>
      <c r="D5236" s="13"/>
      <c r="E5236" s="13"/>
      <c r="F5236" s="13"/>
      <c r="G5236" s="13"/>
      <c r="H5236" s="13"/>
      <c r="I5236" s="13"/>
      <c r="J5236" s="13"/>
      <c r="K5236" s="15"/>
      <c r="L5236" s="15"/>
      <c r="M5236" s="16"/>
      <c r="N5236" s="16"/>
      <c r="O5236" s="17"/>
      <c r="P5236" s="17"/>
      <c r="Q5236" s="13"/>
      <c r="R5236" s="13"/>
      <c r="S5236" s="13"/>
      <c r="T5236" s="13"/>
      <c r="U5236" s="13"/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F5236" s="13"/>
      <c r="AG5236" s="13"/>
      <c r="AH5236" s="13"/>
      <c r="AI5236" s="13"/>
      <c r="AJ5236" s="13"/>
      <c r="AK5236" s="13"/>
      <c r="AL5236" s="13"/>
      <c r="AM5236" s="13"/>
      <c r="AN5236" s="13"/>
      <c r="AO5236" s="13"/>
      <c r="AP5236" s="13"/>
      <c r="AQ5236" s="13"/>
      <c r="AR5236" s="13"/>
      <c r="AS5236" s="13"/>
    </row>
    <row r="5237" ht="14.25" customHeight="1">
      <c r="A5237" s="13"/>
      <c r="B5237" s="13"/>
      <c r="C5237" s="13"/>
      <c r="D5237" s="13"/>
      <c r="E5237" s="13"/>
      <c r="F5237" s="13"/>
      <c r="G5237" s="13"/>
      <c r="H5237" s="13"/>
      <c r="I5237" s="13"/>
      <c r="J5237" s="13"/>
      <c r="K5237" s="15"/>
      <c r="L5237" s="15"/>
      <c r="M5237" s="16"/>
      <c r="N5237" s="16"/>
      <c r="O5237" s="17"/>
      <c r="P5237" s="17"/>
      <c r="Q5237" s="13"/>
      <c r="R5237" s="13"/>
      <c r="S5237" s="13"/>
      <c r="T5237" s="13"/>
      <c r="U5237" s="13"/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F5237" s="13"/>
      <c r="AG5237" s="13"/>
      <c r="AH5237" s="13"/>
      <c r="AI5237" s="13"/>
      <c r="AJ5237" s="13"/>
      <c r="AK5237" s="13"/>
      <c r="AL5237" s="13"/>
      <c r="AM5237" s="13"/>
      <c r="AN5237" s="13"/>
      <c r="AO5237" s="13"/>
      <c r="AP5237" s="13"/>
      <c r="AQ5237" s="13"/>
      <c r="AR5237" s="13"/>
      <c r="AS5237" s="13"/>
    </row>
    <row r="5238" ht="14.25" customHeight="1">
      <c r="A5238" s="13"/>
      <c r="B5238" s="13"/>
      <c r="C5238" s="13"/>
      <c r="D5238" s="13"/>
      <c r="E5238" s="13"/>
      <c r="F5238" s="13"/>
      <c r="G5238" s="13"/>
      <c r="H5238" s="13"/>
      <c r="I5238" s="13"/>
      <c r="J5238" s="13"/>
      <c r="K5238" s="15"/>
      <c r="L5238" s="15"/>
      <c r="M5238" s="16"/>
      <c r="N5238" s="16"/>
      <c r="O5238" s="17"/>
      <c r="P5238" s="17"/>
      <c r="Q5238" s="13"/>
      <c r="R5238" s="13"/>
      <c r="S5238" s="13"/>
      <c r="T5238" s="13"/>
      <c r="U5238" s="13"/>
      <c r="V5238" s="13"/>
      <c r="W5238" s="13"/>
      <c r="X5238" s="13"/>
      <c r="Y5238" s="13"/>
      <c r="Z5238" s="13"/>
      <c r="AA5238" s="13"/>
      <c r="AB5238" s="13"/>
      <c r="AC5238" s="13"/>
      <c r="AD5238" s="13"/>
      <c r="AE5238" s="13"/>
      <c r="AF5238" s="13"/>
      <c r="AG5238" s="13"/>
      <c r="AH5238" s="13"/>
      <c r="AI5238" s="13"/>
      <c r="AJ5238" s="13"/>
      <c r="AK5238" s="13"/>
      <c r="AL5238" s="13"/>
      <c r="AM5238" s="13"/>
      <c r="AN5238" s="13"/>
      <c r="AO5238" s="13"/>
      <c r="AP5238" s="13"/>
      <c r="AQ5238" s="13"/>
      <c r="AR5238" s="13"/>
      <c r="AS5238" s="13"/>
    </row>
    <row r="5239" ht="14.25" customHeight="1">
      <c r="A5239" s="13"/>
      <c r="B5239" s="13"/>
      <c r="C5239" s="13"/>
      <c r="D5239" s="13"/>
      <c r="E5239" s="13"/>
      <c r="F5239" s="13"/>
      <c r="G5239" s="13"/>
      <c r="H5239" s="13"/>
      <c r="I5239" s="13"/>
      <c r="J5239" s="13"/>
      <c r="K5239" s="15"/>
      <c r="L5239" s="15"/>
      <c r="M5239" s="16"/>
      <c r="N5239" s="16"/>
      <c r="O5239" s="17"/>
      <c r="P5239" s="17"/>
      <c r="Q5239" s="13"/>
      <c r="R5239" s="13"/>
      <c r="S5239" s="13"/>
      <c r="T5239" s="13"/>
      <c r="U5239" s="13"/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  <c r="AG5239" s="13"/>
      <c r="AH5239" s="13"/>
      <c r="AI5239" s="13"/>
      <c r="AJ5239" s="13"/>
      <c r="AK5239" s="13"/>
      <c r="AL5239" s="13"/>
      <c r="AM5239" s="13"/>
      <c r="AN5239" s="13"/>
      <c r="AO5239" s="13"/>
      <c r="AP5239" s="13"/>
      <c r="AQ5239" s="13"/>
      <c r="AR5239" s="13"/>
      <c r="AS5239" s="13"/>
    </row>
    <row r="5240" ht="14.25" customHeight="1">
      <c r="A5240" s="13"/>
      <c r="B5240" s="13"/>
      <c r="C5240" s="13"/>
      <c r="D5240" s="13"/>
      <c r="E5240" s="13"/>
      <c r="F5240" s="13"/>
      <c r="G5240" s="13"/>
      <c r="H5240" s="13"/>
      <c r="I5240" s="13"/>
      <c r="J5240" s="13"/>
      <c r="K5240" s="15"/>
      <c r="L5240" s="15"/>
      <c r="M5240" s="16"/>
      <c r="N5240" s="16"/>
      <c r="O5240" s="17"/>
      <c r="P5240" s="17"/>
      <c r="Q5240" s="13"/>
      <c r="R5240" s="13"/>
      <c r="S5240" s="13"/>
      <c r="T5240" s="13"/>
      <c r="U5240" s="13"/>
      <c r="V5240" s="13"/>
      <c r="W5240" s="13"/>
      <c r="X5240" s="13"/>
      <c r="Y5240" s="13"/>
      <c r="Z5240" s="13"/>
      <c r="AA5240" s="13"/>
      <c r="AB5240" s="13"/>
      <c r="AC5240" s="13"/>
      <c r="AD5240" s="13"/>
      <c r="AE5240" s="13"/>
      <c r="AF5240" s="13"/>
      <c r="AG5240" s="13"/>
      <c r="AH5240" s="13"/>
      <c r="AI5240" s="13"/>
      <c r="AJ5240" s="13"/>
      <c r="AK5240" s="13"/>
      <c r="AL5240" s="13"/>
      <c r="AM5240" s="13"/>
      <c r="AN5240" s="13"/>
      <c r="AO5240" s="13"/>
      <c r="AP5240" s="13"/>
      <c r="AQ5240" s="13"/>
      <c r="AR5240" s="13"/>
      <c r="AS5240" s="13"/>
    </row>
    <row r="5241" ht="14.25" customHeight="1">
      <c r="A5241" s="13"/>
      <c r="B5241" s="13"/>
      <c r="C5241" s="13"/>
      <c r="D5241" s="13"/>
      <c r="E5241" s="13"/>
      <c r="F5241" s="13"/>
      <c r="G5241" s="13"/>
      <c r="H5241" s="13"/>
      <c r="I5241" s="13"/>
      <c r="J5241" s="13"/>
      <c r="K5241" s="15"/>
      <c r="L5241" s="15"/>
      <c r="M5241" s="16"/>
      <c r="N5241" s="16"/>
      <c r="O5241" s="17"/>
      <c r="P5241" s="17"/>
      <c r="Q5241" s="13"/>
      <c r="R5241" s="13"/>
      <c r="S5241" s="13"/>
      <c r="T5241" s="13"/>
      <c r="U5241" s="13"/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F5241" s="13"/>
      <c r="AG5241" s="13"/>
      <c r="AH5241" s="13"/>
      <c r="AI5241" s="13"/>
      <c r="AJ5241" s="13"/>
      <c r="AK5241" s="13"/>
      <c r="AL5241" s="13"/>
      <c r="AM5241" s="13"/>
      <c r="AN5241" s="13"/>
      <c r="AO5241" s="13"/>
      <c r="AP5241" s="13"/>
      <c r="AQ5241" s="13"/>
      <c r="AR5241" s="13"/>
      <c r="AS5241" s="13"/>
    </row>
    <row r="5242" ht="14.25" customHeight="1">
      <c r="A5242" s="13"/>
      <c r="B5242" s="13"/>
      <c r="C5242" s="13"/>
      <c r="D5242" s="13"/>
      <c r="E5242" s="13"/>
      <c r="F5242" s="13"/>
      <c r="G5242" s="13"/>
      <c r="H5242" s="13"/>
      <c r="I5242" s="13"/>
      <c r="J5242" s="13"/>
      <c r="K5242" s="15"/>
      <c r="L5242" s="15"/>
      <c r="M5242" s="16"/>
      <c r="N5242" s="16"/>
      <c r="O5242" s="17"/>
      <c r="P5242" s="17"/>
      <c r="Q5242" s="13"/>
      <c r="R5242" s="13"/>
      <c r="S5242" s="13"/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3"/>
      <c r="AG5242" s="13"/>
      <c r="AH5242" s="13"/>
      <c r="AI5242" s="13"/>
      <c r="AJ5242" s="13"/>
      <c r="AK5242" s="13"/>
      <c r="AL5242" s="13"/>
      <c r="AM5242" s="13"/>
      <c r="AN5242" s="13"/>
      <c r="AO5242" s="13"/>
      <c r="AP5242" s="13"/>
      <c r="AQ5242" s="13"/>
      <c r="AR5242" s="13"/>
      <c r="AS5242" s="13"/>
    </row>
    <row r="5243" ht="14.25" customHeight="1">
      <c r="A5243" s="13"/>
      <c r="B5243" s="13"/>
      <c r="C5243" s="13"/>
      <c r="D5243" s="13"/>
      <c r="E5243" s="13"/>
      <c r="F5243" s="13"/>
      <c r="G5243" s="13"/>
      <c r="H5243" s="13"/>
      <c r="I5243" s="13"/>
      <c r="J5243" s="13"/>
      <c r="K5243" s="15"/>
      <c r="L5243" s="15"/>
      <c r="M5243" s="16"/>
      <c r="N5243" s="16"/>
      <c r="O5243" s="17"/>
      <c r="P5243" s="17"/>
      <c r="Q5243" s="13"/>
      <c r="R5243" s="13"/>
      <c r="S5243" s="13"/>
      <c r="T5243" s="13"/>
      <c r="U5243" s="13"/>
      <c r="V5243" s="13"/>
      <c r="W5243" s="13"/>
      <c r="X5243" s="13"/>
      <c r="Y5243" s="13"/>
      <c r="Z5243" s="13"/>
      <c r="AA5243" s="13"/>
      <c r="AB5243" s="13"/>
      <c r="AC5243" s="13"/>
      <c r="AD5243" s="13"/>
      <c r="AE5243" s="13"/>
      <c r="AF5243" s="13"/>
      <c r="AG5243" s="13"/>
      <c r="AH5243" s="13"/>
      <c r="AI5243" s="13"/>
      <c r="AJ5243" s="13"/>
      <c r="AK5243" s="13"/>
      <c r="AL5243" s="13"/>
      <c r="AM5243" s="13"/>
      <c r="AN5243" s="13"/>
      <c r="AO5243" s="13"/>
      <c r="AP5243" s="13"/>
      <c r="AQ5243" s="13"/>
      <c r="AR5243" s="13"/>
      <c r="AS5243" s="13"/>
    </row>
    <row r="5244" ht="14.25" customHeight="1">
      <c r="A5244" s="13"/>
      <c r="B5244" s="13"/>
      <c r="C5244" s="13"/>
      <c r="D5244" s="13"/>
      <c r="E5244" s="13"/>
      <c r="F5244" s="13"/>
      <c r="G5244" s="13"/>
      <c r="H5244" s="13"/>
      <c r="I5244" s="13"/>
      <c r="J5244" s="13"/>
      <c r="K5244" s="15"/>
      <c r="L5244" s="15"/>
      <c r="M5244" s="16"/>
      <c r="N5244" s="16"/>
      <c r="O5244" s="17"/>
      <c r="P5244" s="17"/>
      <c r="Q5244" s="13"/>
      <c r="R5244" s="13"/>
      <c r="S5244" s="13"/>
      <c r="T5244" s="13"/>
      <c r="U5244" s="13"/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F5244" s="13"/>
      <c r="AG5244" s="13"/>
      <c r="AH5244" s="13"/>
      <c r="AI5244" s="13"/>
      <c r="AJ5244" s="13"/>
      <c r="AK5244" s="13"/>
      <c r="AL5244" s="13"/>
      <c r="AM5244" s="13"/>
      <c r="AN5244" s="13"/>
      <c r="AO5244" s="13"/>
      <c r="AP5244" s="13"/>
      <c r="AQ5244" s="13"/>
      <c r="AR5244" s="13"/>
      <c r="AS5244" s="13"/>
    </row>
    <row r="5245" ht="14.25" customHeight="1">
      <c r="A5245" s="13"/>
      <c r="B5245" s="13"/>
      <c r="C5245" s="13"/>
      <c r="D5245" s="13"/>
      <c r="E5245" s="13"/>
      <c r="F5245" s="13"/>
      <c r="G5245" s="13"/>
      <c r="H5245" s="13"/>
      <c r="I5245" s="13"/>
      <c r="J5245" s="13"/>
      <c r="K5245" s="15"/>
      <c r="L5245" s="15"/>
      <c r="M5245" s="16"/>
      <c r="N5245" s="16"/>
      <c r="O5245" s="17"/>
      <c r="P5245" s="17"/>
      <c r="Q5245" s="13"/>
      <c r="R5245" s="13"/>
      <c r="S5245" s="13"/>
      <c r="T5245" s="13"/>
      <c r="U5245" s="13"/>
      <c r="V5245" s="13"/>
      <c r="W5245" s="13"/>
      <c r="X5245" s="13"/>
      <c r="Y5245" s="13"/>
      <c r="Z5245" s="13"/>
      <c r="AA5245" s="13"/>
      <c r="AB5245" s="13"/>
      <c r="AC5245" s="13"/>
      <c r="AD5245" s="13"/>
      <c r="AE5245" s="13"/>
      <c r="AF5245" s="13"/>
      <c r="AG5245" s="13"/>
      <c r="AH5245" s="13"/>
      <c r="AI5245" s="13"/>
      <c r="AJ5245" s="13"/>
      <c r="AK5245" s="13"/>
      <c r="AL5245" s="13"/>
      <c r="AM5245" s="13"/>
      <c r="AN5245" s="13"/>
      <c r="AO5245" s="13"/>
      <c r="AP5245" s="13"/>
      <c r="AQ5245" s="13"/>
      <c r="AR5245" s="13"/>
      <c r="AS5245" s="13"/>
    </row>
    <row r="5246" ht="14.25" customHeight="1">
      <c r="A5246" s="13"/>
      <c r="B5246" s="13"/>
      <c r="C5246" s="13"/>
      <c r="D5246" s="13"/>
      <c r="E5246" s="13"/>
      <c r="F5246" s="13"/>
      <c r="G5246" s="13"/>
      <c r="H5246" s="13"/>
      <c r="I5246" s="13"/>
      <c r="J5246" s="13"/>
      <c r="K5246" s="15"/>
      <c r="L5246" s="15"/>
      <c r="M5246" s="16"/>
      <c r="N5246" s="16"/>
      <c r="O5246" s="17"/>
      <c r="P5246" s="17"/>
      <c r="Q5246" s="13"/>
      <c r="R5246" s="13"/>
      <c r="S5246" s="13"/>
      <c r="T5246" s="13"/>
      <c r="U5246" s="13"/>
      <c r="V5246" s="13"/>
      <c r="W5246" s="13"/>
      <c r="X5246" s="13"/>
      <c r="Y5246" s="13"/>
      <c r="Z5246" s="13"/>
      <c r="AA5246" s="13"/>
      <c r="AB5246" s="13"/>
      <c r="AC5246" s="13"/>
      <c r="AD5246" s="13"/>
      <c r="AE5246" s="13"/>
      <c r="AF5246" s="13"/>
      <c r="AG5246" s="13"/>
      <c r="AH5246" s="13"/>
      <c r="AI5246" s="13"/>
      <c r="AJ5246" s="13"/>
      <c r="AK5246" s="13"/>
      <c r="AL5246" s="13"/>
      <c r="AM5246" s="13"/>
      <c r="AN5246" s="13"/>
      <c r="AO5246" s="13"/>
      <c r="AP5246" s="13"/>
      <c r="AQ5246" s="13"/>
      <c r="AR5246" s="13"/>
      <c r="AS5246" s="13"/>
    </row>
    <row r="5247" ht="14.25" customHeight="1">
      <c r="A5247" s="13"/>
      <c r="B5247" s="13"/>
      <c r="C5247" s="13"/>
      <c r="D5247" s="13"/>
      <c r="E5247" s="13"/>
      <c r="F5247" s="13"/>
      <c r="G5247" s="13"/>
      <c r="H5247" s="13"/>
      <c r="I5247" s="13"/>
      <c r="J5247" s="13"/>
      <c r="K5247" s="15"/>
      <c r="L5247" s="15"/>
      <c r="M5247" s="16"/>
      <c r="N5247" s="16"/>
      <c r="O5247" s="17"/>
      <c r="P5247" s="17"/>
      <c r="Q5247" s="13"/>
      <c r="R5247" s="13"/>
      <c r="S5247" s="13"/>
      <c r="T5247" s="13"/>
      <c r="U5247" s="13"/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F5247" s="13"/>
      <c r="AG5247" s="13"/>
      <c r="AH5247" s="13"/>
      <c r="AI5247" s="13"/>
      <c r="AJ5247" s="13"/>
      <c r="AK5247" s="13"/>
      <c r="AL5247" s="13"/>
      <c r="AM5247" s="13"/>
      <c r="AN5247" s="13"/>
      <c r="AO5247" s="13"/>
      <c r="AP5247" s="13"/>
      <c r="AQ5247" s="13"/>
      <c r="AR5247" s="13"/>
      <c r="AS5247" s="13"/>
    </row>
    <row r="5248" ht="14.25" customHeight="1">
      <c r="A5248" s="13"/>
      <c r="B5248" s="13"/>
      <c r="C5248" s="13"/>
      <c r="D5248" s="13"/>
      <c r="E5248" s="13"/>
      <c r="F5248" s="13"/>
      <c r="G5248" s="13"/>
      <c r="H5248" s="13"/>
      <c r="I5248" s="13"/>
      <c r="J5248" s="13"/>
      <c r="K5248" s="15"/>
      <c r="L5248" s="15"/>
      <c r="M5248" s="16"/>
      <c r="N5248" s="16"/>
      <c r="O5248" s="17"/>
      <c r="P5248" s="17"/>
      <c r="Q5248" s="13"/>
      <c r="R5248" s="13"/>
      <c r="S5248" s="13"/>
      <c r="T5248" s="13"/>
      <c r="U5248" s="13"/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13"/>
      <c r="AF5248" s="13"/>
      <c r="AG5248" s="13"/>
      <c r="AH5248" s="13"/>
      <c r="AI5248" s="13"/>
      <c r="AJ5248" s="13"/>
      <c r="AK5248" s="13"/>
      <c r="AL5248" s="13"/>
      <c r="AM5248" s="13"/>
      <c r="AN5248" s="13"/>
      <c r="AO5248" s="13"/>
      <c r="AP5248" s="13"/>
      <c r="AQ5248" s="13"/>
      <c r="AR5248" s="13"/>
      <c r="AS5248" s="13"/>
    </row>
    <row r="5249" ht="14.25" customHeight="1">
      <c r="A5249" s="13"/>
      <c r="B5249" s="13"/>
      <c r="C5249" s="13"/>
      <c r="D5249" s="13"/>
      <c r="E5249" s="13"/>
      <c r="F5249" s="13"/>
      <c r="G5249" s="13"/>
      <c r="H5249" s="13"/>
      <c r="I5249" s="13"/>
      <c r="J5249" s="13"/>
      <c r="K5249" s="15"/>
      <c r="L5249" s="15"/>
      <c r="M5249" s="16"/>
      <c r="N5249" s="16"/>
      <c r="O5249" s="17"/>
      <c r="P5249" s="17"/>
      <c r="Q5249" s="13"/>
      <c r="R5249" s="13"/>
      <c r="S5249" s="13"/>
      <c r="T5249" s="13"/>
      <c r="U5249" s="13"/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13"/>
      <c r="AF5249" s="13"/>
      <c r="AG5249" s="13"/>
      <c r="AH5249" s="13"/>
      <c r="AI5249" s="13"/>
      <c r="AJ5249" s="13"/>
      <c r="AK5249" s="13"/>
      <c r="AL5249" s="13"/>
      <c r="AM5249" s="13"/>
      <c r="AN5249" s="13"/>
      <c r="AO5249" s="13"/>
      <c r="AP5249" s="13"/>
      <c r="AQ5249" s="13"/>
      <c r="AR5249" s="13"/>
      <c r="AS5249" s="13"/>
    </row>
    <row r="5250" ht="14.25" customHeight="1">
      <c r="A5250" s="13"/>
      <c r="B5250" s="13"/>
      <c r="C5250" s="13"/>
      <c r="D5250" s="13"/>
      <c r="E5250" s="13"/>
      <c r="F5250" s="13"/>
      <c r="G5250" s="13"/>
      <c r="H5250" s="13"/>
      <c r="I5250" s="13"/>
      <c r="J5250" s="13"/>
      <c r="K5250" s="15"/>
      <c r="L5250" s="15"/>
      <c r="M5250" s="16"/>
      <c r="N5250" s="16"/>
      <c r="O5250" s="17"/>
      <c r="P5250" s="17"/>
      <c r="Q5250" s="13"/>
      <c r="R5250" s="13"/>
      <c r="S5250" s="13"/>
      <c r="T5250" s="13"/>
      <c r="U5250" s="13"/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13"/>
      <c r="AF5250" s="13"/>
      <c r="AG5250" s="13"/>
      <c r="AH5250" s="13"/>
      <c r="AI5250" s="13"/>
      <c r="AJ5250" s="13"/>
      <c r="AK5250" s="13"/>
      <c r="AL5250" s="13"/>
      <c r="AM5250" s="13"/>
      <c r="AN5250" s="13"/>
      <c r="AO5250" s="13"/>
      <c r="AP5250" s="13"/>
      <c r="AQ5250" s="13"/>
      <c r="AR5250" s="13"/>
      <c r="AS5250" s="13"/>
    </row>
    <row r="5251" ht="14.25" customHeight="1">
      <c r="A5251" s="13"/>
      <c r="B5251" s="13"/>
      <c r="C5251" s="13"/>
      <c r="D5251" s="13"/>
      <c r="E5251" s="13"/>
      <c r="F5251" s="13"/>
      <c r="G5251" s="13"/>
      <c r="H5251" s="13"/>
      <c r="I5251" s="13"/>
      <c r="J5251" s="13"/>
      <c r="K5251" s="15"/>
      <c r="L5251" s="15"/>
      <c r="M5251" s="16"/>
      <c r="N5251" s="16"/>
      <c r="O5251" s="17"/>
      <c r="P5251" s="17"/>
      <c r="Q5251" s="13"/>
      <c r="R5251" s="13"/>
      <c r="S5251" s="13"/>
      <c r="T5251" s="13"/>
      <c r="U5251" s="13"/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13"/>
      <c r="AF5251" s="13"/>
      <c r="AG5251" s="13"/>
      <c r="AH5251" s="13"/>
      <c r="AI5251" s="13"/>
      <c r="AJ5251" s="13"/>
      <c r="AK5251" s="13"/>
      <c r="AL5251" s="13"/>
      <c r="AM5251" s="13"/>
      <c r="AN5251" s="13"/>
      <c r="AO5251" s="13"/>
      <c r="AP5251" s="13"/>
      <c r="AQ5251" s="13"/>
      <c r="AR5251" s="13"/>
      <c r="AS5251" s="13"/>
    </row>
    <row r="5252" ht="14.25" customHeight="1">
      <c r="A5252" s="13"/>
      <c r="B5252" s="13"/>
      <c r="C5252" s="13"/>
      <c r="D5252" s="13"/>
      <c r="E5252" s="13"/>
      <c r="F5252" s="13"/>
      <c r="G5252" s="13"/>
      <c r="H5252" s="13"/>
      <c r="I5252" s="13"/>
      <c r="J5252" s="13"/>
      <c r="K5252" s="15"/>
      <c r="L5252" s="15"/>
      <c r="M5252" s="16"/>
      <c r="N5252" s="16"/>
      <c r="O5252" s="17"/>
      <c r="P5252" s="17"/>
      <c r="Q5252" s="13"/>
      <c r="R5252" s="13"/>
      <c r="S5252" s="13"/>
      <c r="T5252" s="13"/>
      <c r="U5252" s="13"/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13"/>
      <c r="AF5252" s="13"/>
      <c r="AG5252" s="13"/>
      <c r="AH5252" s="13"/>
      <c r="AI5252" s="13"/>
      <c r="AJ5252" s="13"/>
      <c r="AK5252" s="13"/>
      <c r="AL5252" s="13"/>
      <c r="AM5252" s="13"/>
      <c r="AN5252" s="13"/>
      <c r="AO5252" s="13"/>
      <c r="AP5252" s="13"/>
      <c r="AQ5252" s="13"/>
      <c r="AR5252" s="13"/>
      <c r="AS5252" s="13"/>
    </row>
    <row r="5253" ht="14.25" customHeight="1">
      <c r="A5253" s="13"/>
      <c r="B5253" s="13"/>
      <c r="C5253" s="13"/>
      <c r="D5253" s="13"/>
      <c r="E5253" s="13"/>
      <c r="F5253" s="13"/>
      <c r="G5253" s="13"/>
      <c r="H5253" s="13"/>
      <c r="I5253" s="13"/>
      <c r="J5253" s="13"/>
      <c r="K5253" s="15"/>
      <c r="L5253" s="15"/>
      <c r="M5253" s="16"/>
      <c r="N5253" s="16"/>
      <c r="O5253" s="17"/>
      <c r="P5253" s="17"/>
      <c r="Q5253" s="13"/>
      <c r="R5253" s="13"/>
      <c r="S5253" s="13"/>
      <c r="T5253" s="13"/>
      <c r="U5253" s="13"/>
      <c r="V5253" s="13"/>
      <c r="W5253" s="13"/>
      <c r="X5253" s="13"/>
      <c r="Y5253" s="13"/>
      <c r="Z5253" s="13"/>
      <c r="AA5253" s="13"/>
      <c r="AB5253" s="13"/>
      <c r="AC5253" s="13"/>
      <c r="AD5253" s="13"/>
      <c r="AE5253" s="13"/>
      <c r="AF5253" s="13"/>
      <c r="AG5253" s="13"/>
      <c r="AH5253" s="13"/>
      <c r="AI5253" s="13"/>
      <c r="AJ5253" s="13"/>
      <c r="AK5253" s="13"/>
      <c r="AL5253" s="13"/>
      <c r="AM5253" s="13"/>
      <c r="AN5253" s="13"/>
      <c r="AO5253" s="13"/>
      <c r="AP5253" s="13"/>
      <c r="AQ5253" s="13"/>
      <c r="AR5253" s="13"/>
      <c r="AS5253" s="13"/>
    </row>
    <row r="5254" ht="14.25" customHeight="1">
      <c r="A5254" s="13"/>
      <c r="B5254" s="13"/>
      <c r="C5254" s="13"/>
      <c r="D5254" s="13"/>
      <c r="E5254" s="13"/>
      <c r="F5254" s="13"/>
      <c r="G5254" s="13"/>
      <c r="H5254" s="13"/>
      <c r="I5254" s="13"/>
      <c r="J5254" s="13"/>
      <c r="K5254" s="15"/>
      <c r="L5254" s="15"/>
      <c r="M5254" s="16"/>
      <c r="N5254" s="16"/>
      <c r="O5254" s="17"/>
      <c r="P5254" s="17"/>
      <c r="Q5254" s="13"/>
      <c r="R5254" s="13"/>
      <c r="S5254" s="13"/>
      <c r="T5254" s="13"/>
      <c r="U5254" s="13"/>
      <c r="V5254" s="13"/>
      <c r="W5254" s="13"/>
      <c r="X5254" s="13"/>
      <c r="Y5254" s="13"/>
      <c r="Z5254" s="13"/>
      <c r="AA5254" s="13"/>
      <c r="AB5254" s="13"/>
      <c r="AC5254" s="13"/>
      <c r="AD5254" s="13"/>
      <c r="AE5254" s="13"/>
      <c r="AF5254" s="13"/>
      <c r="AG5254" s="13"/>
      <c r="AH5254" s="13"/>
      <c r="AI5254" s="13"/>
      <c r="AJ5254" s="13"/>
      <c r="AK5254" s="13"/>
      <c r="AL5254" s="13"/>
      <c r="AM5254" s="13"/>
      <c r="AN5254" s="13"/>
      <c r="AO5254" s="13"/>
      <c r="AP5254" s="13"/>
      <c r="AQ5254" s="13"/>
      <c r="AR5254" s="13"/>
      <c r="AS5254" s="13"/>
    </row>
    <row r="5255" ht="14.25" customHeight="1">
      <c r="A5255" s="13"/>
      <c r="B5255" s="13"/>
      <c r="C5255" s="13"/>
      <c r="D5255" s="13"/>
      <c r="E5255" s="13"/>
      <c r="F5255" s="13"/>
      <c r="G5255" s="13"/>
      <c r="H5255" s="13"/>
      <c r="I5255" s="13"/>
      <c r="J5255" s="13"/>
      <c r="K5255" s="15"/>
      <c r="L5255" s="15"/>
      <c r="M5255" s="16"/>
      <c r="N5255" s="16"/>
      <c r="O5255" s="17"/>
      <c r="P5255" s="17"/>
      <c r="Q5255" s="13"/>
      <c r="R5255" s="13"/>
      <c r="S5255" s="13"/>
      <c r="T5255" s="13"/>
      <c r="U5255" s="13"/>
      <c r="V5255" s="13"/>
      <c r="W5255" s="13"/>
      <c r="X5255" s="13"/>
      <c r="Y5255" s="13"/>
      <c r="Z5255" s="13"/>
      <c r="AA5255" s="13"/>
      <c r="AB5255" s="13"/>
      <c r="AC5255" s="13"/>
      <c r="AD5255" s="13"/>
      <c r="AE5255" s="13"/>
      <c r="AF5255" s="13"/>
      <c r="AG5255" s="13"/>
      <c r="AH5255" s="13"/>
      <c r="AI5255" s="13"/>
      <c r="AJ5255" s="13"/>
      <c r="AK5255" s="13"/>
      <c r="AL5255" s="13"/>
      <c r="AM5255" s="13"/>
      <c r="AN5255" s="13"/>
      <c r="AO5255" s="13"/>
      <c r="AP5255" s="13"/>
      <c r="AQ5255" s="13"/>
      <c r="AR5255" s="13"/>
      <c r="AS5255" s="13"/>
    </row>
    <row r="5256" ht="14.25" customHeight="1">
      <c r="A5256" s="13"/>
      <c r="B5256" s="13"/>
      <c r="C5256" s="13"/>
      <c r="D5256" s="13"/>
      <c r="E5256" s="13"/>
      <c r="F5256" s="13"/>
      <c r="G5256" s="13"/>
      <c r="H5256" s="13"/>
      <c r="I5256" s="13"/>
      <c r="J5256" s="13"/>
      <c r="K5256" s="15"/>
      <c r="L5256" s="15"/>
      <c r="M5256" s="16"/>
      <c r="N5256" s="16"/>
      <c r="O5256" s="17"/>
      <c r="P5256" s="17"/>
      <c r="Q5256" s="13"/>
      <c r="R5256" s="13"/>
      <c r="S5256" s="13"/>
      <c r="T5256" s="13"/>
      <c r="U5256" s="13"/>
      <c r="V5256" s="13"/>
      <c r="W5256" s="13"/>
      <c r="X5256" s="13"/>
      <c r="Y5256" s="13"/>
      <c r="Z5256" s="13"/>
      <c r="AA5256" s="13"/>
      <c r="AB5256" s="13"/>
      <c r="AC5256" s="13"/>
      <c r="AD5256" s="13"/>
      <c r="AE5256" s="13"/>
      <c r="AF5256" s="13"/>
      <c r="AG5256" s="13"/>
      <c r="AH5256" s="13"/>
      <c r="AI5256" s="13"/>
      <c r="AJ5256" s="13"/>
      <c r="AK5256" s="13"/>
      <c r="AL5256" s="13"/>
      <c r="AM5256" s="13"/>
      <c r="AN5256" s="13"/>
      <c r="AO5256" s="13"/>
      <c r="AP5256" s="13"/>
      <c r="AQ5256" s="13"/>
      <c r="AR5256" s="13"/>
      <c r="AS5256" s="13"/>
    </row>
    <row r="5257" ht="14.25" customHeight="1">
      <c r="A5257" s="13"/>
      <c r="B5257" s="13"/>
      <c r="C5257" s="13"/>
      <c r="D5257" s="13"/>
      <c r="E5257" s="13"/>
      <c r="F5257" s="13"/>
      <c r="G5257" s="13"/>
      <c r="H5257" s="13"/>
      <c r="I5257" s="13"/>
      <c r="J5257" s="13"/>
      <c r="K5257" s="15"/>
      <c r="L5257" s="15"/>
      <c r="M5257" s="16"/>
      <c r="N5257" s="16"/>
      <c r="O5257" s="17"/>
      <c r="P5257" s="17"/>
      <c r="Q5257" s="13"/>
      <c r="R5257" s="13"/>
      <c r="S5257" s="13"/>
      <c r="T5257" s="13"/>
      <c r="U5257" s="13"/>
      <c r="V5257" s="13"/>
      <c r="W5257" s="13"/>
      <c r="X5257" s="13"/>
      <c r="Y5257" s="13"/>
      <c r="Z5257" s="13"/>
      <c r="AA5257" s="13"/>
      <c r="AB5257" s="13"/>
      <c r="AC5257" s="13"/>
      <c r="AD5257" s="13"/>
      <c r="AE5257" s="13"/>
      <c r="AF5257" s="13"/>
      <c r="AG5257" s="13"/>
      <c r="AH5257" s="13"/>
      <c r="AI5257" s="13"/>
      <c r="AJ5257" s="13"/>
      <c r="AK5257" s="13"/>
      <c r="AL5257" s="13"/>
      <c r="AM5257" s="13"/>
      <c r="AN5257" s="13"/>
      <c r="AO5257" s="13"/>
      <c r="AP5257" s="13"/>
      <c r="AQ5257" s="13"/>
      <c r="AR5257" s="13"/>
      <c r="AS5257" s="13"/>
    </row>
    <row r="5258" ht="14.25" customHeight="1">
      <c r="A5258" s="13"/>
      <c r="B5258" s="13"/>
      <c r="C5258" s="13"/>
      <c r="D5258" s="13"/>
      <c r="E5258" s="13"/>
      <c r="F5258" s="13"/>
      <c r="G5258" s="13"/>
      <c r="H5258" s="13"/>
      <c r="I5258" s="13"/>
      <c r="J5258" s="13"/>
      <c r="K5258" s="15"/>
      <c r="L5258" s="15"/>
      <c r="M5258" s="16"/>
      <c r="N5258" s="16"/>
      <c r="O5258" s="17"/>
      <c r="P5258" s="17"/>
      <c r="Q5258" s="13"/>
      <c r="R5258" s="13"/>
      <c r="S5258" s="13"/>
      <c r="T5258" s="13"/>
      <c r="U5258" s="13"/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F5258" s="13"/>
      <c r="AG5258" s="13"/>
      <c r="AH5258" s="13"/>
      <c r="AI5258" s="13"/>
      <c r="AJ5258" s="13"/>
      <c r="AK5258" s="13"/>
      <c r="AL5258" s="13"/>
      <c r="AM5258" s="13"/>
      <c r="AN5258" s="13"/>
      <c r="AO5258" s="13"/>
      <c r="AP5258" s="13"/>
      <c r="AQ5258" s="13"/>
      <c r="AR5258" s="13"/>
      <c r="AS5258" s="13"/>
    </row>
    <row r="5259" ht="14.25" customHeight="1">
      <c r="A5259" s="13"/>
      <c r="B5259" s="13"/>
      <c r="C5259" s="13"/>
      <c r="D5259" s="13"/>
      <c r="E5259" s="13"/>
      <c r="F5259" s="13"/>
      <c r="G5259" s="13"/>
      <c r="H5259" s="13"/>
      <c r="I5259" s="13"/>
      <c r="J5259" s="13"/>
      <c r="K5259" s="15"/>
      <c r="L5259" s="15"/>
      <c r="M5259" s="16"/>
      <c r="N5259" s="16"/>
      <c r="O5259" s="17"/>
      <c r="P5259" s="17"/>
      <c r="Q5259" s="13"/>
      <c r="R5259" s="13"/>
      <c r="S5259" s="13"/>
      <c r="T5259" s="13"/>
      <c r="U5259" s="13"/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13"/>
      <c r="AG5259" s="13"/>
      <c r="AH5259" s="13"/>
      <c r="AI5259" s="13"/>
      <c r="AJ5259" s="13"/>
      <c r="AK5259" s="13"/>
      <c r="AL5259" s="13"/>
      <c r="AM5259" s="13"/>
      <c r="AN5259" s="13"/>
      <c r="AO5259" s="13"/>
      <c r="AP5259" s="13"/>
      <c r="AQ5259" s="13"/>
      <c r="AR5259" s="13"/>
      <c r="AS5259" s="13"/>
    </row>
    <row r="5260" ht="14.25" customHeight="1">
      <c r="A5260" s="13"/>
      <c r="B5260" s="13"/>
      <c r="C5260" s="13"/>
      <c r="D5260" s="13"/>
      <c r="E5260" s="13"/>
      <c r="F5260" s="13"/>
      <c r="G5260" s="13"/>
      <c r="H5260" s="13"/>
      <c r="I5260" s="13"/>
      <c r="J5260" s="13"/>
      <c r="K5260" s="15"/>
      <c r="L5260" s="15"/>
      <c r="M5260" s="16"/>
      <c r="N5260" s="16"/>
      <c r="O5260" s="17"/>
      <c r="P5260" s="17"/>
      <c r="Q5260" s="13"/>
      <c r="R5260" s="13"/>
      <c r="S5260" s="13"/>
      <c r="T5260" s="13"/>
      <c r="U5260" s="13"/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F5260" s="13"/>
      <c r="AG5260" s="13"/>
      <c r="AH5260" s="13"/>
      <c r="AI5260" s="13"/>
      <c r="AJ5260" s="13"/>
      <c r="AK5260" s="13"/>
      <c r="AL5260" s="13"/>
      <c r="AM5260" s="13"/>
      <c r="AN5260" s="13"/>
      <c r="AO5260" s="13"/>
      <c r="AP5260" s="13"/>
      <c r="AQ5260" s="13"/>
      <c r="AR5260" s="13"/>
      <c r="AS5260" s="13"/>
    </row>
    <row r="5261" ht="14.25" customHeight="1">
      <c r="A5261" s="13"/>
      <c r="B5261" s="13"/>
      <c r="C5261" s="13"/>
      <c r="D5261" s="13"/>
      <c r="E5261" s="13"/>
      <c r="F5261" s="13"/>
      <c r="G5261" s="13"/>
      <c r="H5261" s="13"/>
      <c r="I5261" s="13"/>
      <c r="J5261" s="13"/>
      <c r="K5261" s="15"/>
      <c r="L5261" s="15"/>
      <c r="M5261" s="16"/>
      <c r="N5261" s="16"/>
      <c r="O5261" s="17"/>
      <c r="P5261" s="17"/>
      <c r="Q5261" s="13"/>
      <c r="R5261" s="13"/>
      <c r="S5261" s="13"/>
      <c r="T5261" s="13"/>
      <c r="U5261" s="13"/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13"/>
      <c r="AG5261" s="13"/>
      <c r="AH5261" s="13"/>
      <c r="AI5261" s="13"/>
      <c r="AJ5261" s="13"/>
      <c r="AK5261" s="13"/>
      <c r="AL5261" s="13"/>
      <c r="AM5261" s="13"/>
      <c r="AN5261" s="13"/>
      <c r="AO5261" s="13"/>
      <c r="AP5261" s="13"/>
      <c r="AQ5261" s="13"/>
      <c r="AR5261" s="13"/>
      <c r="AS5261" s="13"/>
    </row>
    <row r="5262" ht="14.25" customHeight="1">
      <c r="A5262" s="13"/>
      <c r="B5262" s="13"/>
      <c r="C5262" s="13"/>
      <c r="D5262" s="13"/>
      <c r="E5262" s="13"/>
      <c r="F5262" s="13"/>
      <c r="G5262" s="13"/>
      <c r="H5262" s="13"/>
      <c r="I5262" s="13"/>
      <c r="J5262" s="13"/>
      <c r="K5262" s="15"/>
      <c r="L5262" s="15"/>
      <c r="M5262" s="16"/>
      <c r="N5262" s="16"/>
      <c r="O5262" s="17"/>
      <c r="P5262" s="17"/>
      <c r="Q5262" s="13"/>
      <c r="R5262" s="13"/>
      <c r="S5262" s="13"/>
      <c r="T5262" s="13"/>
      <c r="U5262" s="13"/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F5262" s="13"/>
      <c r="AG5262" s="13"/>
      <c r="AH5262" s="13"/>
      <c r="AI5262" s="13"/>
      <c r="AJ5262" s="13"/>
      <c r="AK5262" s="13"/>
      <c r="AL5262" s="13"/>
      <c r="AM5262" s="13"/>
      <c r="AN5262" s="13"/>
      <c r="AO5262" s="13"/>
      <c r="AP5262" s="13"/>
      <c r="AQ5262" s="13"/>
      <c r="AR5262" s="13"/>
      <c r="AS5262" s="13"/>
    </row>
    <row r="5263" ht="14.25" customHeight="1">
      <c r="A5263" s="13"/>
      <c r="B5263" s="13"/>
      <c r="C5263" s="13"/>
      <c r="D5263" s="13"/>
      <c r="E5263" s="13"/>
      <c r="F5263" s="13"/>
      <c r="G5263" s="13"/>
      <c r="H5263" s="13"/>
      <c r="I5263" s="13"/>
      <c r="J5263" s="13"/>
      <c r="K5263" s="15"/>
      <c r="L5263" s="15"/>
      <c r="M5263" s="16"/>
      <c r="N5263" s="16"/>
      <c r="O5263" s="17"/>
      <c r="P5263" s="17"/>
      <c r="Q5263" s="13"/>
      <c r="R5263" s="13"/>
      <c r="S5263" s="13"/>
      <c r="T5263" s="13"/>
      <c r="U5263" s="13"/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F5263" s="13"/>
      <c r="AG5263" s="13"/>
      <c r="AH5263" s="13"/>
      <c r="AI5263" s="13"/>
      <c r="AJ5263" s="13"/>
      <c r="AK5263" s="13"/>
      <c r="AL5263" s="13"/>
      <c r="AM5263" s="13"/>
      <c r="AN5263" s="13"/>
      <c r="AO5263" s="13"/>
      <c r="AP5263" s="13"/>
      <c r="AQ5263" s="13"/>
      <c r="AR5263" s="13"/>
      <c r="AS5263" s="13"/>
    </row>
    <row r="5264" ht="14.25" customHeight="1">
      <c r="A5264" s="13"/>
      <c r="B5264" s="13"/>
      <c r="C5264" s="13"/>
      <c r="D5264" s="13"/>
      <c r="E5264" s="13"/>
      <c r="F5264" s="13"/>
      <c r="G5264" s="13"/>
      <c r="H5264" s="13"/>
      <c r="I5264" s="13"/>
      <c r="J5264" s="13"/>
      <c r="K5264" s="15"/>
      <c r="L5264" s="15"/>
      <c r="M5264" s="16"/>
      <c r="N5264" s="16"/>
      <c r="O5264" s="17"/>
      <c r="P5264" s="17"/>
      <c r="Q5264" s="13"/>
      <c r="R5264" s="13"/>
      <c r="S5264" s="13"/>
      <c r="T5264" s="13"/>
      <c r="U5264" s="13"/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13"/>
      <c r="AG5264" s="13"/>
      <c r="AH5264" s="13"/>
      <c r="AI5264" s="13"/>
      <c r="AJ5264" s="13"/>
      <c r="AK5264" s="13"/>
      <c r="AL5264" s="13"/>
      <c r="AM5264" s="13"/>
      <c r="AN5264" s="13"/>
      <c r="AO5264" s="13"/>
      <c r="AP5264" s="13"/>
      <c r="AQ5264" s="13"/>
      <c r="AR5264" s="13"/>
      <c r="AS5264" s="13"/>
    </row>
    <row r="5265" ht="14.25" customHeight="1">
      <c r="A5265" s="13"/>
      <c r="B5265" s="13"/>
      <c r="C5265" s="13"/>
      <c r="D5265" s="13"/>
      <c r="E5265" s="13"/>
      <c r="F5265" s="13"/>
      <c r="G5265" s="13"/>
      <c r="H5265" s="13"/>
      <c r="I5265" s="13"/>
      <c r="J5265" s="13"/>
      <c r="K5265" s="15"/>
      <c r="L5265" s="15"/>
      <c r="M5265" s="16"/>
      <c r="N5265" s="16"/>
      <c r="O5265" s="17"/>
      <c r="P5265" s="17"/>
      <c r="Q5265" s="13"/>
      <c r="R5265" s="13"/>
      <c r="S5265" s="13"/>
      <c r="T5265" s="13"/>
      <c r="U5265" s="13"/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F5265" s="13"/>
      <c r="AG5265" s="13"/>
      <c r="AH5265" s="13"/>
      <c r="AI5265" s="13"/>
      <c r="AJ5265" s="13"/>
      <c r="AK5265" s="13"/>
      <c r="AL5265" s="13"/>
      <c r="AM5265" s="13"/>
      <c r="AN5265" s="13"/>
      <c r="AO5265" s="13"/>
      <c r="AP5265" s="13"/>
      <c r="AQ5265" s="13"/>
      <c r="AR5265" s="13"/>
      <c r="AS5265" s="13"/>
    </row>
    <row r="5266" ht="14.25" customHeight="1">
      <c r="A5266" s="13"/>
      <c r="B5266" s="13"/>
      <c r="C5266" s="13"/>
      <c r="D5266" s="13"/>
      <c r="E5266" s="13"/>
      <c r="F5266" s="13"/>
      <c r="G5266" s="13"/>
      <c r="H5266" s="13"/>
      <c r="I5266" s="13"/>
      <c r="J5266" s="13"/>
      <c r="K5266" s="15"/>
      <c r="L5266" s="15"/>
      <c r="M5266" s="16"/>
      <c r="N5266" s="16"/>
      <c r="O5266" s="17"/>
      <c r="P5266" s="17"/>
      <c r="Q5266" s="13"/>
      <c r="R5266" s="13"/>
      <c r="S5266" s="13"/>
      <c r="T5266" s="13"/>
      <c r="U5266" s="13"/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F5266" s="13"/>
      <c r="AG5266" s="13"/>
      <c r="AH5266" s="13"/>
      <c r="AI5266" s="13"/>
      <c r="AJ5266" s="13"/>
      <c r="AK5266" s="13"/>
      <c r="AL5266" s="13"/>
      <c r="AM5266" s="13"/>
      <c r="AN5266" s="13"/>
      <c r="AO5266" s="13"/>
      <c r="AP5266" s="13"/>
      <c r="AQ5266" s="13"/>
      <c r="AR5266" s="13"/>
      <c r="AS5266" s="13"/>
    </row>
    <row r="5267" ht="14.25" customHeight="1">
      <c r="A5267" s="13"/>
      <c r="B5267" s="13"/>
      <c r="C5267" s="13"/>
      <c r="D5267" s="13"/>
      <c r="E5267" s="13"/>
      <c r="F5267" s="13"/>
      <c r="G5267" s="13"/>
      <c r="H5267" s="13"/>
      <c r="I5267" s="13"/>
      <c r="J5267" s="13"/>
      <c r="K5267" s="15"/>
      <c r="L5267" s="15"/>
      <c r="M5267" s="16"/>
      <c r="N5267" s="16"/>
      <c r="O5267" s="17"/>
      <c r="P5267" s="17"/>
      <c r="Q5267" s="13"/>
      <c r="R5267" s="13"/>
      <c r="S5267" s="13"/>
      <c r="T5267" s="13"/>
      <c r="U5267" s="13"/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13"/>
      <c r="AG5267" s="13"/>
      <c r="AH5267" s="13"/>
      <c r="AI5267" s="13"/>
      <c r="AJ5267" s="13"/>
      <c r="AK5267" s="13"/>
      <c r="AL5267" s="13"/>
      <c r="AM5267" s="13"/>
      <c r="AN5267" s="13"/>
      <c r="AO5267" s="13"/>
      <c r="AP5267" s="13"/>
      <c r="AQ5267" s="13"/>
      <c r="AR5267" s="13"/>
      <c r="AS5267" s="13"/>
    </row>
    <row r="5268" ht="14.25" customHeight="1">
      <c r="A5268" s="13"/>
      <c r="B5268" s="13"/>
      <c r="C5268" s="13"/>
      <c r="D5268" s="13"/>
      <c r="E5268" s="13"/>
      <c r="F5268" s="13"/>
      <c r="G5268" s="13"/>
      <c r="H5268" s="13"/>
      <c r="I5268" s="13"/>
      <c r="J5268" s="13"/>
      <c r="K5268" s="15"/>
      <c r="L5268" s="15"/>
      <c r="M5268" s="16"/>
      <c r="N5268" s="16"/>
      <c r="O5268" s="17"/>
      <c r="P5268" s="17"/>
      <c r="Q5268" s="13"/>
      <c r="R5268" s="13"/>
      <c r="S5268" s="13"/>
      <c r="T5268" s="13"/>
      <c r="U5268" s="13"/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F5268" s="13"/>
      <c r="AG5268" s="13"/>
      <c r="AH5268" s="13"/>
      <c r="AI5268" s="13"/>
      <c r="AJ5268" s="13"/>
      <c r="AK5268" s="13"/>
      <c r="AL5268" s="13"/>
      <c r="AM5268" s="13"/>
      <c r="AN5268" s="13"/>
      <c r="AO5268" s="13"/>
      <c r="AP5268" s="13"/>
      <c r="AQ5268" s="13"/>
      <c r="AR5268" s="13"/>
      <c r="AS5268" s="13"/>
    </row>
    <row r="5269" ht="14.25" customHeight="1">
      <c r="A5269" s="13"/>
      <c r="B5269" s="13"/>
      <c r="C5269" s="13"/>
      <c r="D5269" s="13"/>
      <c r="E5269" s="13"/>
      <c r="F5269" s="13"/>
      <c r="G5269" s="13"/>
      <c r="H5269" s="13"/>
      <c r="I5269" s="13"/>
      <c r="J5269" s="13"/>
      <c r="K5269" s="15"/>
      <c r="L5269" s="15"/>
      <c r="M5269" s="16"/>
      <c r="N5269" s="16"/>
      <c r="O5269" s="17"/>
      <c r="P5269" s="17"/>
      <c r="Q5269" s="13"/>
      <c r="R5269" s="13"/>
      <c r="S5269" s="13"/>
      <c r="T5269" s="13"/>
      <c r="U5269" s="13"/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  <c r="AG5269" s="13"/>
      <c r="AH5269" s="13"/>
      <c r="AI5269" s="13"/>
      <c r="AJ5269" s="13"/>
      <c r="AK5269" s="13"/>
      <c r="AL5269" s="13"/>
      <c r="AM5269" s="13"/>
      <c r="AN5269" s="13"/>
      <c r="AO5269" s="13"/>
      <c r="AP5269" s="13"/>
      <c r="AQ5269" s="13"/>
      <c r="AR5269" s="13"/>
      <c r="AS5269" s="13"/>
    </row>
    <row r="5270" ht="14.25" customHeight="1">
      <c r="A5270" s="13"/>
      <c r="B5270" s="13"/>
      <c r="C5270" s="13"/>
      <c r="D5270" s="13"/>
      <c r="E5270" s="13"/>
      <c r="F5270" s="13"/>
      <c r="G5270" s="13"/>
      <c r="H5270" s="13"/>
      <c r="I5270" s="13"/>
      <c r="J5270" s="13"/>
      <c r="K5270" s="15"/>
      <c r="L5270" s="15"/>
      <c r="M5270" s="16"/>
      <c r="N5270" s="16"/>
      <c r="O5270" s="17"/>
      <c r="P5270" s="17"/>
      <c r="Q5270" s="13"/>
      <c r="R5270" s="13"/>
      <c r="S5270" s="13"/>
      <c r="T5270" s="13"/>
      <c r="U5270" s="13"/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F5270" s="13"/>
      <c r="AG5270" s="13"/>
      <c r="AH5270" s="13"/>
      <c r="AI5270" s="13"/>
      <c r="AJ5270" s="13"/>
      <c r="AK5270" s="13"/>
      <c r="AL5270" s="13"/>
      <c r="AM5270" s="13"/>
      <c r="AN5270" s="13"/>
      <c r="AO5270" s="13"/>
      <c r="AP5270" s="13"/>
      <c r="AQ5270" s="13"/>
      <c r="AR5270" s="13"/>
      <c r="AS5270" s="13"/>
    </row>
    <row r="5271" ht="14.25" customHeight="1">
      <c r="A5271" s="13"/>
      <c r="B5271" s="13"/>
      <c r="C5271" s="13"/>
      <c r="D5271" s="13"/>
      <c r="E5271" s="13"/>
      <c r="F5271" s="13"/>
      <c r="G5271" s="13"/>
      <c r="H5271" s="13"/>
      <c r="I5271" s="13"/>
      <c r="J5271" s="13"/>
      <c r="K5271" s="15"/>
      <c r="L5271" s="15"/>
      <c r="M5271" s="16"/>
      <c r="N5271" s="16"/>
      <c r="O5271" s="17"/>
      <c r="P5271" s="17"/>
      <c r="Q5271" s="13"/>
      <c r="R5271" s="13"/>
      <c r="S5271" s="13"/>
      <c r="T5271" s="13"/>
      <c r="U5271" s="13"/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F5271" s="13"/>
      <c r="AG5271" s="13"/>
      <c r="AH5271" s="13"/>
      <c r="AI5271" s="13"/>
      <c r="AJ5271" s="13"/>
      <c r="AK5271" s="13"/>
      <c r="AL5271" s="13"/>
      <c r="AM5271" s="13"/>
      <c r="AN5271" s="13"/>
      <c r="AO5271" s="13"/>
      <c r="AP5271" s="13"/>
      <c r="AQ5271" s="13"/>
      <c r="AR5271" s="13"/>
      <c r="AS5271" s="13"/>
    </row>
    <row r="5272" ht="14.25" customHeight="1">
      <c r="A5272" s="13"/>
      <c r="B5272" s="13"/>
      <c r="C5272" s="13"/>
      <c r="D5272" s="13"/>
      <c r="E5272" s="13"/>
      <c r="F5272" s="13"/>
      <c r="G5272" s="13"/>
      <c r="H5272" s="13"/>
      <c r="I5272" s="13"/>
      <c r="J5272" s="13"/>
      <c r="K5272" s="15"/>
      <c r="L5272" s="15"/>
      <c r="M5272" s="16"/>
      <c r="N5272" s="16"/>
      <c r="O5272" s="17"/>
      <c r="P5272" s="17"/>
      <c r="Q5272" s="13"/>
      <c r="R5272" s="13"/>
      <c r="S5272" s="13"/>
      <c r="T5272" s="13"/>
      <c r="U5272" s="13"/>
      <c r="V5272" s="13"/>
      <c r="W5272" s="13"/>
      <c r="X5272" s="13"/>
      <c r="Y5272" s="13"/>
      <c r="Z5272" s="13"/>
      <c r="AA5272" s="13"/>
      <c r="AB5272" s="13"/>
      <c r="AC5272" s="13"/>
      <c r="AD5272" s="13"/>
      <c r="AE5272" s="13"/>
      <c r="AF5272" s="13"/>
      <c r="AG5272" s="13"/>
      <c r="AH5272" s="13"/>
      <c r="AI5272" s="13"/>
      <c r="AJ5272" s="13"/>
      <c r="AK5272" s="13"/>
      <c r="AL5272" s="13"/>
      <c r="AM5272" s="13"/>
      <c r="AN5272" s="13"/>
      <c r="AO5272" s="13"/>
      <c r="AP5272" s="13"/>
      <c r="AQ5272" s="13"/>
      <c r="AR5272" s="13"/>
      <c r="AS5272" s="13"/>
    </row>
    <row r="5273" ht="14.25" customHeight="1">
      <c r="A5273" s="13"/>
      <c r="B5273" s="13"/>
      <c r="C5273" s="13"/>
      <c r="D5273" s="13"/>
      <c r="E5273" s="13"/>
      <c r="F5273" s="13"/>
      <c r="G5273" s="13"/>
      <c r="H5273" s="13"/>
      <c r="I5273" s="13"/>
      <c r="J5273" s="13"/>
      <c r="K5273" s="15"/>
      <c r="L5273" s="15"/>
      <c r="M5273" s="16"/>
      <c r="N5273" s="16"/>
      <c r="O5273" s="17"/>
      <c r="P5273" s="17"/>
      <c r="Q5273" s="13"/>
      <c r="R5273" s="13"/>
      <c r="S5273" s="13"/>
      <c r="T5273" s="13"/>
      <c r="U5273" s="13"/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F5273" s="13"/>
      <c r="AG5273" s="13"/>
      <c r="AH5273" s="13"/>
      <c r="AI5273" s="13"/>
      <c r="AJ5273" s="13"/>
      <c r="AK5273" s="13"/>
      <c r="AL5273" s="13"/>
      <c r="AM5273" s="13"/>
      <c r="AN5273" s="13"/>
      <c r="AO5273" s="13"/>
      <c r="AP5273" s="13"/>
      <c r="AQ5273" s="13"/>
      <c r="AR5273" s="13"/>
      <c r="AS5273" s="13"/>
    </row>
    <row r="5274" ht="14.25" customHeight="1">
      <c r="A5274" s="13"/>
      <c r="B5274" s="13"/>
      <c r="C5274" s="13"/>
      <c r="D5274" s="13"/>
      <c r="E5274" s="13"/>
      <c r="F5274" s="13"/>
      <c r="G5274" s="13"/>
      <c r="H5274" s="13"/>
      <c r="I5274" s="13"/>
      <c r="J5274" s="13"/>
      <c r="K5274" s="15"/>
      <c r="L5274" s="15"/>
      <c r="M5274" s="16"/>
      <c r="N5274" s="16"/>
      <c r="O5274" s="17"/>
      <c r="P5274" s="17"/>
      <c r="Q5274" s="13"/>
      <c r="R5274" s="13"/>
      <c r="S5274" s="13"/>
      <c r="T5274" s="13"/>
      <c r="U5274" s="13"/>
      <c r="V5274" s="13"/>
      <c r="W5274" s="13"/>
      <c r="X5274" s="13"/>
      <c r="Y5274" s="13"/>
      <c r="Z5274" s="13"/>
      <c r="AA5274" s="13"/>
      <c r="AB5274" s="13"/>
      <c r="AC5274" s="13"/>
      <c r="AD5274" s="13"/>
      <c r="AE5274" s="13"/>
      <c r="AF5274" s="13"/>
      <c r="AG5274" s="13"/>
      <c r="AH5274" s="13"/>
      <c r="AI5274" s="13"/>
      <c r="AJ5274" s="13"/>
      <c r="AK5274" s="13"/>
      <c r="AL5274" s="13"/>
      <c r="AM5274" s="13"/>
      <c r="AN5274" s="13"/>
      <c r="AO5274" s="13"/>
      <c r="AP5274" s="13"/>
      <c r="AQ5274" s="13"/>
      <c r="AR5274" s="13"/>
      <c r="AS5274" s="13"/>
    </row>
    <row r="5275" ht="14.25" customHeight="1">
      <c r="A5275" s="13"/>
      <c r="B5275" s="13"/>
      <c r="C5275" s="13"/>
      <c r="D5275" s="13"/>
      <c r="E5275" s="13"/>
      <c r="F5275" s="13"/>
      <c r="G5275" s="13"/>
      <c r="H5275" s="13"/>
      <c r="I5275" s="13"/>
      <c r="J5275" s="13"/>
      <c r="K5275" s="15"/>
      <c r="L5275" s="15"/>
      <c r="M5275" s="16"/>
      <c r="N5275" s="16"/>
      <c r="O5275" s="17"/>
      <c r="P5275" s="17"/>
      <c r="Q5275" s="13"/>
      <c r="R5275" s="13"/>
      <c r="S5275" s="13"/>
      <c r="T5275" s="13"/>
      <c r="U5275" s="13"/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  <c r="AG5275" s="13"/>
      <c r="AH5275" s="13"/>
      <c r="AI5275" s="13"/>
      <c r="AJ5275" s="13"/>
      <c r="AK5275" s="13"/>
      <c r="AL5275" s="13"/>
      <c r="AM5275" s="13"/>
      <c r="AN5275" s="13"/>
      <c r="AO5275" s="13"/>
      <c r="AP5275" s="13"/>
      <c r="AQ5275" s="13"/>
      <c r="AR5275" s="13"/>
      <c r="AS5275" s="13"/>
    </row>
    <row r="5276" ht="14.25" customHeight="1">
      <c r="A5276" s="13"/>
      <c r="B5276" s="13"/>
      <c r="C5276" s="13"/>
      <c r="D5276" s="13"/>
      <c r="E5276" s="13"/>
      <c r="F5276" s="13"/>
      <c r="G5276" s="13"/>
      <c r="H5276" s="13"/>
      <c r="I5276" s="13"/>
      <c r="J5276" s="13"/>
      <c r="K5276" s="15"/>
      <c r="L5276" s="15"/>
      <c r="M5276" s="16"/>
      <c r="N5276" s="16"/>
      <c r="O5276" s="17"/>
      <c r="P5276" s="17"/>
      <c r="Q5276" s="13"/>
      <c r="R5276" s="13"/>
      <c r="S5276" s="13"/>
      <c r="T5276" s="13"/>
      <c r="U5276" s="13"/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  <c r="AG5276" s="13"/>
      <c r="AH5276" s="13"/>
      <c r="AI5276" s="13"/>
      <c r="AJ5276" s="13"/>
      <c r="AK5276" s="13"/>
      <c r="AL5276" s="13"/>
      <c r="AM5276" s="13"/>
      <c r="AN5276" s="13"/>
      <c r="AO5276" s="13"/>
      <c r="AP5276" s="13"/>
      <c r="AQ5276" s="13"/>
      <c r="AR5276" s="13"/>
      <c r="AS5276" s="13"/>
    </row>
    <row r="5277" ht="14.25" customHeight="1">
      <c r="A5277" s="13"/>
      <c r="B5277" s="13"/>
      <c r="C5277" s="13"/>
      <c r="D5277" s="13"/>
      <c r="E5277" s="13"/>
      <c r="F5277" s="13"/>
      <c r="G5277" s="13"/>
      <c r="H5277" s="13"/>
      <c r="I5277" s="13"/>
      <c r="J5277" s="13"/>
      <c r="K5277" s="15"/>
      <c r="L5277" s="15"/>
      <c r="M5277" s="16"/>
      <c r="N5277" s="16"/>
      <c r="O5277" s="17"/>
      <c r="P5277" s="17"/>
      <c r="Q5277" s="13"/>
      <c r="R5277" s="13"/>
      <c r="S5277" s="13"/>
      <c r="T5277" s="13"/>
      <c r="U5277" s="13"/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  <c r="AG5277" s="13"/>
      <c r="AH5277" s="13"/>
      <c r="AI5277" s="13"/>
      <c r="AJ5277" s="13"/>
      <c r="AK5277" s="13"/>
      <c r="AL5277" s="13"/>
      <c r="AM5277" s="13"/>
      <c r="AN5277" s="13"/>
      <c r="AO5277" s="13"/>
      <c r="AP5277" s="13"/>
      <c r="AQ5277" s="13"/>
      <c r="AR5277" s="13"/>
      <c r="AS5277" s="13"/>
    </row>
    <row r="5278" ht="14.25" customHeight="1">
      <c r="A5278" s="13"/>
      <c r="B5278" s="13"/>
      <c r="C5278" s="13"/>
      <c r="D5278" s="13"/>
      <c r="E5278" s="13"/>
      <c r="F5278" s="13"/>
      <c r="G5278" s="13"/>
      <c r="H5278" s="13"/>
      <c r="I5278" s="13"/>
      <c r="J5278" s="13"/>
      <c r="K5278" s="15"/>
      <c r="L5278" s="15"/>
      <c r="M5278" s="16"/>
      <c r="N5278" s="16"/>
      <c r="O5278" s="17"/>
      <c r="P5278" s="17"/>
      <c r="Q5278" s="13"/>
      <c r="R5278" s="13"/>
      <c r="S5278" s="13"/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  <c r="AG5278" s="13"/>
      <c r="AH5278" s="13"/>
      <c r="AI5278" s="13"/>
      <c r="AJ5278" s="13"/>
      <c r="AK5278" s="13"/>
      <c r="AL5278" s="13"/>
      <c r="AM5278" s="13"/>
      <c r="AN5278" s="13"/>
      <c r="AO5278" s="13"/>
      <c r="AP5278" s="13"/>
      <c r="AQ5278" s="13"/>
      <c r="AR5278" s="13"/>
      <c r="AS5278" s="13"/>
    </row>
    <row r="5279" ht="14.25" customHeight="1">
      <c r="A5279" s="13"/>
      <c r="B5279" s="13"/>
      <c r="C5279" s="13"/>
      <c r="D5279" s="13"/>
      <c r="E5279" s="13"/>
      <c r="F5279" s="13"/>
      <c r="G5279" s="13"/>
      <c r="H5279" s="13"/>
      <c r="I5279" s="13"/>
      <c r="J5279" s="13"/>
      <c r="K5279" s="15"/>
      <c r="L5279" s="15"/>
      <c r="M5279" s="16"/>
      <c r="N5279" s="16"/>
      <c r="O5279" s="17"/>
      <c r="P5279" s="17"/>
      <c r="Q5279" s="13"/>
      <c r="R5279" s="13"/>
      <c r="S5279" s="13"/>
      <c r="T5279" s="13"/>
      <c r="U5279" s="13"/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  <c r="AG5279" s="13"/>
      <c r="AH5279" s="13"/>
      <c r="AI5279" s="13"/>
      <c r="AJ5279" s="13"/>
      <c r="AK5279" s="13"/>
      <c r="AL5279" s="13"/>
      <c r="AM5279" s="13"/>
      <c r="AN5279" s="13"/>
      <c r="AO5279" s="13"/>
      <c r="AP5279" s="13"/>
      <c r="AQ5279" s="13"/>
      <c r="AR5279" s="13"/>
      <c r="AS5279" s="13"/>
    </row>
    <row r="5280" ht="14.25" customHeight="1">
      <c r="A5280" s="13"/>
      <c r="B5280" s="13"/>
      <c r="C5280" s="13"/>
      <c r="D5280" s="13"/>
      <c r="E5280" s="13"/>
      <c r="F5280" s="13"/>
      <c r="G5280" s="13"/>
      <c r="H5280" s="13"/>
      <c r="I5280" s="13"/>
      <c r="J5280" s="13"/>
      <c r="K5280" s="15"/>
      <c r="L5280" s="15"/>
      <c r="M5280" s="16"/>
      <c r="N5280" s="16"/>
      <c r="O5280" s="17"/>
      <c r="P5280" s="17"/>
      <c r="Q5280" s="13"/>
      <c r="R5280" s="13"/>
      <c r="S5280" s="13"/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  <c r="AG5280" s="13"/>
      <c r="AH5280" s="13"/>
      <c r="AI5280" s="13"/>
      <c r="AJ5280" s="13"/>
      <c r="AK5280" s="13"/>
      <c r="AL5280" s="13"/>
      <c r="AM5280" s="13"/>
      <c r="AN5280" s="13"/>
      <c r="AO5280" s="13"/>
      <c r="AP5280" s="13"/>
      <c r="AQ5280" s="13"/>
      <c r="AR5280" s="13"/>
      <c r="AS5280" s="13"/>
    </row>
    <row r="5281" ht="14.25" customHeight="1">
      <c r="A5281" s="13"/>
      <c r="B5281" s="13"/>
      <c r="C5281" s="13"/>
      <c r="D5281" s="13"/>
      <c r="E5281" s="13"/>
      <c r="F5281" s="13"/>
      <c r="G5281" s="13"/>
      <c r="H5281" s="13"/>
      <c r="I5281" s="13"/>
      <c r="J5281" s="13"/>
      <c r="K5281" s="15"/>
      <c r="L5281" s="15"/>
      <c r="M5281" s="16"/>
      <c r="N5281" s="16"/>
      <c r="O5281" s="17"/>
      <c r="P5281" s="17"/>
      <c r="Q5281" s="13"/>
      <c r="R5281" s="13"/>
      <c r="S5281" s="13"/>
      <c r="T5281" s="13"/>
      <c r="U5281" s="13"/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  <c r="AG5281" s="13"/>
      <c r="AH5281" s="13"/>
      <c r="AI5281" s="13"/>
      <c r="AJ5281" s="13"/>
      <c r="AK5281" s="13"/>
      <c r="AL5281" s="13"/>
      <c r="AM5281" s="13"/>
      <c r="AN5281" s="13"/>
      <c r="AO5281" s="13"/>
      <c r="AP5281" s="13"/>
      <c r="AQ5281" s="13"/>
      <c r="AR5281" s="13"/>
      <c r="AS5281" s="13"/>
    </row>
    <row r="5282" ht="14.25" customHeight="1">
      <c r="A5282" s="13"/>
      <c r="B5282" s="13"/>
      <c r="C5282" s="13"/>
      <c r="D5282" s="13"/>
      <c r="E5282" s="13"/>
      <c r="F5282" s="13"/>
      <c r="G5282" s="13"/>
      <c r="H5282" s="13"/>
      <c r="I5282" s="13"/>
      <c r="J5282" s="13"/>
      <c r="K5282" s="15"/>
      <c r="L5282" s="15"/>
      <c r="M5282" s="16"/>
      <c r="N5282" s="16"/>
      <c r="O5282" s="17"/>
      <c r="P5282" s="17"/>
      <c r="Q5282" s="13"/>
      <c r="R5282" s="13"/>
      <c r="S5282" s="13"/>
      <c r="T5282" s="13"/>
      <c r="U5282" s="13"/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F5282" s="13"/>
      <c r="AG5282" s="13"/>
      <c r="AH5282" s="13"/>
      <c r="AI5282" s="13"/>
      <c r="AJ5282" s="13"/>
      <c r="AK5282" s="13"/>
      <c r="AL5282" s="13"/>
      <c r="AM5282" s="13"/>
      <c r="AN5282" s="13"/>
      <c r="AO5282" s="13"/>
      <c r="AP5282" s="13"/>
      <c r="AQ5282" s="13"/>
      <c r="AR5282" s="13"/>
      <c r="AS5282" s="13"/>
    </row>
    <row r="5283" ht="14.25" customHeight="1">
      <c r="A5283" s="13"/>
      <c r="B5283" s="13"/>
      <c r="C5283" s="13"/>
      <c r="D5283" s="13"/>
      <c r="E5283" s="13"/>
      <c r="F5283" s="13"/>
      <c r="G5283" s="13"/>
      <c r="H5283" s="13"/>
      <c r="I5283" s="13"/>
      <c r="J5283" s="13"/>
      <c r="K5283" s="15"/>
      <c r="L5283" s="15"/>
      <c r="M5283" s="16"/>
      <c r="N5283" s="16"/>
      <c r="O5283" s="17"/>
      <c r="P5283" s="17"/>
      <c r="Q5283" s="13"/>
      <c r="R5283" s="13"/>
      <c r="S5283" s="13"/>
      <c r="T5283" s="13"/>
      <c r="U5283" s="13"/>
      <c r="V5283" s="13"/>
      <c r="W5283" s="13"/>
      <c r="X5283" s="13"/>
      <c r="Y5283" s="13"/>
      <c r="Z5283" s="13"/>
      <c r="AA5283" s="13"/>
      <c r="AB5283" s="13"/>
      <c r="AC5283" s="13"/>
      <c r="AD5283" s="13"/>
      <c r="AE5283" s="13"/>
      <c r="AF5283" s="13"/>
      <c r="AG5283" s="13"/>
      <c r="AH5283" s="13"/>
      <c r="AI5283" s="13"/>
      <c r="AJ5283" s="13"/>
      <c r="AK5283" s="13"/>
      <c r="AL5283" s="13"/>
      <c r="AM5283" s="13"/>
      <c r="AN5283" s="13"/>
      <c r="AO5283" s="13"/>
      <c r="AP5283" s="13"/>
      <c r="AQ5283" s="13"/>
      <c r="AR5283" s="13"/>
      <c r="AS5283" s="13"/>
    </row>
    <row r="5284" ht="14.25" customHeight="1">
      <c r="A5284" s="13"/>
      <c r="B5284" s="13"/>
      <c r="C5284" s="13"/>
      <c r="D5284" s="13"/>
      <c r="E5284" s="13"/>
      <c r="F5284" s="13"/>
      <c r="G5284" s="13"/>
      <c r="H5284" s="13"/>
      <c r="I5284" s="13"/>
      <c r="J5284" s="13"/>
      <c r="K5284" s="15"/>
      <c r="L5284" s="15"/>
      <c r="M5284" s="16"/>
      <c r="N5284" s="16"/>
      <c r="O5284" s="17"/>
      <c r="P5284" s="17"/>
      <c r="Q5284" s="13"/>
      <c r="R5284" s="13"/>
      <c r="S5284" s="13"/>
      <c r="T5284" s="13"/>
      <c r="U5284" s="13"/>
      <c r="V5284" s="13"/>
      <c r="W5284" s="13"/>
      <c r="X5284" s="13"/>
      <c r="Y5284" s="13"/>
      <c r="Z5284" s="13"/>
      <c r="AA5284" s="13"/>
      <c r="AB5284" s="13"/>
      <c r="AC5284" s="13"/>
      <c r="AD5284" s="13"/>
      <c r="AE5284" s="13"/>
      <c r="AF5284" s="13"/>
      <c r="AG5284" s="13"/>
      <c r="AH5284" s="13"/>
      <c r="AI5284" s="13"/>
      <c r="AJ5284" s="13"/>
      <c r="AK5284" s="13"/>
      <c r="AL5284" s="13"/>
      <c r="AM5284" s="13"/>
      <c r="AN5284" s="13"/>
      <c r="AO5284" s="13"/>
      <c r="AP5284" s="13"/>
      <c r="AQ5284" s="13"/>
      <c r="AR5284" s="13"/>
      <c r="AS5284" s="13"/>
    </row>
    <row r="5285" ht="14.25" customHeight="1">
      <c r="A5285" s="13"/>
      <c r="B5285" s="13"/>
      <c r="C5285" s="13"/>
      <c r="D5285" s="13"/>
      <c r="E5285" s="13"/>
      <c r="F5285" s="13"/>
      <c r="G5285" s="13"/>
      <c r="H5285" s="13"/>
      <c r="I5285" s="13"/>
      <c r="J5285" s="13"/>
      <c r="K5285" s="15"/>
      <c r="L5285" s="15"/>
      <c r="M5285" s="16"/>
      <c r="N5285" s="16"/>
      <c r="O5285" s="17"/>
      <c r="P5285" s="17"/>
      <c r="Q5285" s="13"/>
      <c r="R5285" s="13"/>
      <c r="S5285" s="13"/>
      <c r="T5285" s="13"/>
      <c r="U5285" s="13"/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F5285" s="13"/>
      <c r="AG5285" s="13"/>
      <c r="AH5285" s="13"/>
      <c r="AI5285" s="13"/>
      <c r="AJ5285" s="13"/>
      <c r="AK5285" s="13"/>
      <c r="AL5285" s="13"/>
      <c r="AM5285" s="13"/>
      <c r="AN5285" s="13"/>
      <c r="AO5285" s="13"/>
      <c r="AP5285" s="13"/>
      <c r="AQ5285" s="13"/>
      <c r="AR5285" s="13"/>
      <c r="AS5285" s="13"/>
    </row>
    <row r="5286" ht="14.25" customHeight="1">
      <c r="A5286" s="13"/>
      <c r="B5286" s="13"/>
      <c r="C5286" s="13"/>
      <c r="D5286" s="13"/>
      <c r="E5286" s="13"/>
      <c r="F5286" s="13"/>
      <c r="G5286" s="13"/>
      <c r="H5286" s="13"/>
      <c r="I5286" s="13"/>
      <c r="J5286" s="13"/>
      <c r="K5286" s="15"/>
      <c r="L5286" s="15"/>
      <c r="M5286" s="16"/>
      <c r="N5286" s="16"/>
      <c r="O5286" s="17"/>
      <c r="P5286" s="17"/>
      <c r="Q5286" s="13"/>
      <c r="R5286" s="13"/>
      <c r="S5286" s="13"/>
      <c r="T5286" s="13"/>
      <c r="U5286" s="13"/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F5286" s="13"/>
      <c r="AG5286" s="13"/>
      <c r="AH5286" s="13"/>
      <c r="AI5286" s="13"/>
      <c r="AJ5286" s="13"/>
      <c r="AK5286" s="13"/>
      <c r="AL5286" s="13"/>
      <c r="AM5286" s="13"/>
      <c r="AN5286" s="13"/>
      <c r="AO5286" s="13"/>
      <c r="AP5286" s="13"/>
      <c r="AQ5286" s="13"/>
      <c r="AR5286" s="13"/>
      <c r="AS5286" s="13"/>
    </row>
    <row r="5287" ht="14.25" customHeight="1">
      <c r="A5287" s="13"/>
      <c r="B5287" s="13"/>
      <c r="C5287" s="13"/>
      <c r="D5287" s="13"/>
      <c r="E5287" s="13"/>
      <c r="F5287" s="13"/>
      <c r="G5287" s="13"/>
      <c r="H5287" s="13"/>
      <c r="I5287" s="13"/>
      <c r="J5287" s="13"/>
      <c r="K5287" s="15"/>
      <c r="L5287" s="15"/>
      <c r="M5287" s="16"/>
      <c r="N5287" s="16"/>
      <c r="O5287" s="17"/>
      <c r="P5287" s="17"/>
      <c r="Q5287" s="13"/>
      <c r="R5287" s="13"/>
      <c r="S5287" s="13"/>
      <c r="T5287" s="13"/>
      <c r="U5287" s="13"/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F5287" s="13"/>
      <c r="AG5287" s="13"/>
      <c r="AH5287" s="13"/>
      <c r="AI5287" s="13"/>
      <c r="AJ5287" s="13"/>
      <c r="AK5287" s="13"/>
      <c r="AL5287" s="13"/>
      <c r="AM5287" s="13"/>
      <c r="AN5287" s="13"/>
      <c r="AO5287" s="13"/>
      <c r="AP5287" s="13"/>
      <c r="AQ5287" s="13"/>
      <c r="AR5287" s="13"/>
      <c r="AS5287" s="13"/>
    </row>
    <row r="5288" ht="14.25" customHeight="1">
      <c r="A5288" s="13"/>
      <c r="B5288" s="13"/>
      <c r="C5288" s="13"/>
      <c r="D5288" s="13"/>
      <c r="E5288" s="13"/>
      <c r="F5288" s="13"/>
      <c r="G5288" s="13"/>
      <c r="H5288" s="13"/>
      <c r="I5288" s="13"/>
      <c r="J5288" s="13"/>
      <c r="K5288" s="15"/>
      <c r="L5288" s="15"/>
      <c r="M5288" s="16"/>
      <c r="N5288" s="16"/>
      <c r="O5288" s="17"/>
      <c r="P5288" s="17"/>
      <c r="Q5288" s="13"/>
      <c r="R5288" s="13"/>
      <c r="S5288" s="13"/>
      <c r="T5288" s="13"/>
      <c r="U5288" s="13"/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F5288" s="13"/>
      <c r="AG5288" s="13"/>
      <c r="AH5288" s="13"/>
      <c r="AI5288" s="13"/>
      <c r="AJ5288" s="13"/>
      <c r="AK5288" s="13"/>
      <c r="AL5288" s="13"/>
      <c r="AM5288" s="13"/>
      <c r="AN5288" s="13"/>
      <c r="AO5288" s="13"/>
      <c r="AP5288" s="13"/>
      <c r="AQ5288" s="13"/>
      <c r="AR5288" s="13"/>
      <c r="AS5288" s="13"/>
    </row>
    <row r="5289" ht="14.25" customHeight="1">
      <c r="A5289" s="13"/>
      <c r="B5289" s="13"/>
      <c r="C5289" s="13"/>
      <c r="D5289" s="13"/>
      <c r="E5289" s="13"/>
      <c r="F5289" s="13"/>
      <c r="G5289" s="13"/>
      <c r="H5289" s="13"/>
      <c r="I5289" s="13"/>
      <c r="J5289" s="13"/>
      <c r="K5289" s="15"/>
      <c r="L5289" s="15"/>
      <c r="M5289" s="16"/>
      <c r="N5289" s="16"/>
      <c r="O5289" s="17"/>
      <c r="P5289" s="17"/>
      <c r="Q5289" s="13"/>
      <c r="R5289" s="13"/>
      <c r="S5289" s="13"/>
      <c r="T5289" s="13"/>
      <c r="U5289" s="13"/>
      <c r="V5289" s="13"/>
      <c r="W5289" s="13"/>
      <c r="X5289" s="13"/>
      <c r="Y5289" s="13"/>
      <c r="Z5289" s="13"/>
      <c r="AA5289" s="13"/>
      <c r="AB5289" s="13"/>
      <c r="AC5289" s="13"/>
      <c r="AD5289" s="13"/>
      <c r="AE5289" s="13"/>
      <c r="AF5289" s="13"/>
      <c r="AG5289" s="13"/>
      <c r="AH5289" s="13"/>
      <c r="AI5289" s="13"/>
      <c r="AJ5289" s="13"/>
      <c r="AK5289" s="13"/>
      <c r="AL5289" s="13"/>
      <c r="AM5289" s="13"/>
      <c r="AN5289" s="13"/>
      <c r="AO5289" s="13"/>
      <c r="AP5289" s="13"/>
      <c r="AQ5289" s="13"/>
      <c r="AR5289" s="13"/>
      <c r="AS5289" s="13"/>
    </row>
    <row r="5290" ht="14.25" customHeight="1">
      <c r="A5290" s="13"/>
      <c r="B5290" s="13"/>
      <c r="C5290" s="13"/>
      <c r="D5290" s="13"/>
      <c r="E5290" s="13"/>
      <c r="F5290" s="13"/>
      <c r="G5290" s="13"/>
      <c r="H5290" s="13"/>
      <c r="I5290" s="13"/>
      <c r="J5290" s="13"/>
      <c r="K5290" s="15"/>
      <c r="L5290" s="15"/>
      <c r="M5290" s="16"/>
      <c r="N5290" s="16"/>
      <c r="O5290" s="17"/>
      <c r="P5290" s="17"/>
      <c r="Q5290" s="13"/>
      <c r="R5290" s="13"/>
      <c r="S5290" s="13"/>
      <c r="T5290" s="13"/>
      <c r="U5290" s="13"/>
      <c r="V5290" s="13"/>
      <c r="W5290" s="13"/>
      <c r="X5290" s="13"/>
      <c r="Y5290" s="13"/>
      <c r="Z5290" s="13"/>
      <c r="AA5290" s="13"/>
      <c r="AB5290" s="13"/>
      <c r="AC5290" s="13"/>
      <c r="AD5290" s="13"/>
      <c r="AE5290" s="13"/>
      <c r="AF5290" s="13"/>
      <c r="AG5290" s="13"/>
      <c r="AH5290" s="13"/>
      <c r="AI5290" s="13"/>
      <c r="AJ5290" s="13"/>
      <c r="AK5290" s="13"/>
      <c r="AL5290" s="13"/>
      <c r="AM5290" s="13"/>
      <c r="AN5290" s="13"/>
      <c r="AO5290" s="13"/>
      <c r="AP5290" s="13"/>
      <c r="AQ5290" s="13"/>
      <c r="AR5290" s="13"/>
      <c r="AS5290" s="13"/>
    </row>
    <row r="5291" ht="14.25" customHeight="1">
      <c r="A5291" s="13"/>
      <c r="B5291" s="13"/>
      <c r="C5291" s="13"/>
      <c r="D5291" s="13"/>
      <c r="E5291" s="13"/>
      <c r="F5291" s="13"/>
      <c r="G5291" s="13"/>
      <c r="H5291" s="13"/>
      <c r="I5291" s="13"/>
      <c r="J5291" s="13"/>
      <c r="K5291" s="15"/>
      <c r="L5291" s="15"/>
      <c r="M5291" s="16"/>
      <c r="N5291" s="16"/>
      <c r="O5291" s="17"/>
      <c r="P5291" s="17"/>
      <c r="Q5291" s="13"/>
      <c r="R5291" s="13"/>
      <c r="S5291" s="13"/>
      <c r="T5291" s="13"/>
      <c r="U5291" s="13"/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F5291" s="13"/>
      <c r="AG5291" s="13"/>
      <c r="AH5291" s="13"/>
      <c r="AI5291" s="13"/>
      <c r="AJ5291" s="13"/>
      <c r="AK5291" s="13"/>
      <c r="AL5291" s="13"/>
      <c r="AM5291" s="13"/>
      <c r="AN5291" s="13"/>
      <c r="AO5291" s="13"/>
      <c r="AP5291" s="13"/>
      <c r="AQ5291" s="13"/>
      <c r="AR5291" s="13"/>
      <c r="AS5291" s="13"/>
    </row>
    <row r="5292" ht="14.25" customHeight="1">
      <c r="A5292" s="13"/>
      <c r="B5292" s="13"/>
      <c r="C5292" s="13"/>
      <c r="D5292" s="13"/>
      <c r="E5292" s="13"/>
      <c r="F5292" s="13"/>
      <c r="G5292" s="13"/>
      <c r="H5292" s="13"/>
      <c r="I5292" s="13"/>
      <c r="J5292" s="13"/>
      <c r="K5292" s="15"/>
      <c r="L5292" s="15"/>
      <c r="M5292" s="16"/>
      <c r="N5292" s="16"/>
      <c r="O5292" s="17"/>
      <c r="P5292" s="17"/>
      <c r="Q5292" s="13"/>
      <c r="R5292" s="13"/>
      <c r="S5292" s="13"/>
      <c r="T5292" s="13"/>
      <c r="U5292" s="13"/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F5292" s="13"/>
      <c r="AG5292" s="13"/>
      <c r="AH5292" s="13"/>
      <c r="AI5292" s="13"/>
      <c r="AJ5292" s="13"/>
      <c r="AK5292" s="13"/>
      <c r="AL5292" s="13"/>
      <c r="AM5292" s="13"/>
      <c r="AN5292" s="13"/>
      <c r="AO5292" s="13"/>
      <c r="AP5292" s="13"/>
      <c r="AQ5292" s="13"/>
      <c r="AR5292" s="13"/>
      <c r="AS5292" s="13"/>
    </row>
    <row r="5293" ht="14.25" customHeight="1">
      <c r="A5293" s="13"/>
      <c r="B5293" s="13"/>
      <c r="C5293" s="13"/>
      <c r="D5293" s="13"/>
      <c r="E5293" s="13"/>
      <c r="F5293" s="13"/>
      <c r="G5293" s="13"/>
      <c r="H5293" s="13"/>
      <c r="I5293" s="13"/>
      <c r="J5293" s="13"/>
      <c r="K5293" s="15"/>
      <c r="L5293" s="15"/>
      <c r="M5293" s="16"/>
      <c r="N5293" s="16"/>
      <c r="O5293" s="17"/>
      <c r="P5293" s="17"/>
      <c r="Q5293" s="13"/>
      <c r="R5293" s="13"/>
      <c r="S5293" s="13"/>
      <c r="T5293" s="13"/>
      <c r="U5293" s="13"/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  <c r="AG5293" s="13"/>
      <c r="AH5293" s="13"/>
      <c r="AI5293" s="13"/>
      <c r="AJ5293" s="13"/>
      <c r="AK5293" s="13"/>
      <c r="AL5293" s="13"/>
      <c r="AM5293" s="13"/>
      <c r="AN5293" s="13"/>
      <c r="AO5293" s="13"/>
      <c r="AP5293" s="13"/>
      <c r="AQ5293" s="13"/>
      <c r="AR5293" s="13"/>
      <c r="AS5293" s="13"/>
    </row>
    <row r="5294" ht="14.25" customHeight="1">
      <c r="A5294" s="13"/>
      <c r="B5294" s="13"/>
      <c r="C5294" s="13"/>
      <c r="D5294" s="13"/>
      <c r="E5294" s="13"/>
      <c r="F5294" s="13"/>
      <c r="G5294" s="13"/>
      <c r="H5294" s="13"/>
      <c r="I5294" s="13"/>
      <c r="J5294" s="13"/>
      <c r="K5294" s="15"/>
      <c r="L5294" s="15"/>
      <c r="M5294" s="16"/>
      <c r="N5294" s="16"/>
      <c r="O5294" s="17"/>
      <c r="P5294" s="17"/>
      <c r="Q5294" s="13"/>
      <c r="R5294" s="13"/>
      <c r="S5294" s="13"/>
      <c r="T5294" s="13"/>
      <c r="U5294" s="13"/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13"/>
      <c r="AG5294" s="13"/>
      <c r="AH5294" s="13"/>
      <c r="AI5294" s="13"/>
      <c r="AJ5294" s="13"/>
      <c r="AK5294" s="13"/>
      <c r="AL5294" s="13"/>
      <c r="AM5294" s="13"/>
      <c r="AN5294" s="13"/>
      <c r="AO5294" s="13"/>
      <c r="AP5294" s="13"/>
      <c r="AQ5294" s="13"/>
      <c r="AR5294" s="13"/>
      <c r="AS5294" s="13"/>
    </row>
    <row r="5295" ht="14.25" customHeight="1">
      <c r="A5295" s="13"/>
      <c r="B5295" s="13"/>
      <c r="C5295" s="13"/>
      <c r="D5295" s="13"/>
      <c r="E5295" s="13"/>
      <c r="F5295" s="13"/>
      <c r="G5295" s="13"/>
      <c r="H5295" s="13"/>
      <c r="I5295" s="13"/>
      <c r="J5295" s="13"/>
      <c r="K5295" s="15"/>
      <c r="L5295" s="15"/>
      <c r="M5295" s="16"/>
      <c r="N5295" s="16"/>
      <c r="O5295" s="17"/>
      <c r="P5295" s="17"/>
      <c r="Q5295" s="13"/>
      <c r="R5295" s="13"/>
      <c r="S5295" s="13"/>
      <c r="T5295" s="13"/>
      <c r="U5295" s="13"/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13"/>
      <c r="AG5295" s="13"/>
      <c r="AH5295" s="13"/>
      <c r="AI5295" s="13"/>
      <c r="AJ5295" s="13"/>
      <c r="AK5295" s="13"/>
      <c r="AL5295" s="13"/>
      <c r="AM5295" s="13"/>
      <c r="AN5295" s="13"/>
      <c r="AO5295" s="13"/>
      <c r="AP5295" s="13"/>
      <c r="AQ5295" s="13"/>
      <c r="AR5295" s="13"/>
      <c r="AS5295" s="13"/>
    </row>
    <row r="5296" ht="14.25" customHeight="1">
      <c r="A5296" s="13"/>
      <c r="B5296" s="13"/>
      <c r="C5296" s="13"/>
      <c r="D5296" s="13"/>
      <c r="E5296" s="13"/>
      <c r="F5296" s="13"/>
      <c r="G5296" s="13"/>
      <c r="H5296" s="13"/>
      <c r="I5296" s="13"/>
      <c r="J5296" s="13"/>
      <c r="K5296" s="15"/>
      <c r="L5296" s="15"/>
      <c r="M5296" s="16"/>
      <c r="N5296" s="16"/>
      <c r="O5296" s="17"/>
      <c r="P5296" s="17"/>
      <c r="Q5296" s="13"/>
      <c r="R5296" s="13"/>
      <c r="S5296" s="13"/>
      <c r="T5296" s="13"/>
      <c r="U5296" s="13"/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F5296" s="13"/>
      <c r="AG5296" s="13"/>
      <c r="AH5296" s="13"/>
      <c r="AI5296" s="13"/>
      <c r="AJ5296" s="13"/>
      <c r="AK5296" s="13"/>
      <c r="AL5296" s="13"/>
      <c r="AM5296" s="13"/>
      <c r="AN5296" s="13"/>
      <c r="AO5296" s="13"/>
      <c r="AP5296" s="13"/>
      <c r="AQ5296" s="13"/>
      <c r="AR5296" s="13"/>
      <c r="AS5296" s="13"/>
    </row>
    <row r="5297" ht="14.25" customHeight="1">
      <c r="A5297" s="13"/>
      <c r="B5297" s="13"/>
      <c r="C5297" s="13"/>
      <c r="D5297" s="13"/>
      <c r="E5297" s="13"/>
      <c r="F5297" s="13"/>
      <c r="G5297" s="13"/>
      <c r="H5297" s="13"/>
      <c r="I5297" s="13"/>
      <c r="J5297" s="13"/>
      <c r="K5297" s="15"/>
      <c r="L5297" s="15"/>
      <c r="M5297" s="16"/>
      <c r="N5297" s="16"/>
      <c r="O5297" s="17"/>
      <c r="P5297" s="17"/>
      <c r="Q5297" s="13"/>
      <c r="R5297" s="13"/>
      <c r="S5297" s="13"/>
      <c r="T5297" s="13"/>
      <c r="U5297" s="13"/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F5297" s="13"/>
      <c r="AG5297" s="13"/>
      <c r="AH5297" s="13"/>
      <c r="AI5297" s="13"/>
      <c r="AJ5297" s="13"/>
      <c r="AK5297" s="13"/>
      <c r="AL5297" s="13"/>
      <c r="AM5297" s="13"/>
      <c r="AN5297" s="13"/>
      <c r="AO5297" s="13"/>
      <c r="AP5297" s="13"/>
      <c r="AQ5297" s="13"/>
      <c r="AR5297" s="13"/>
      <c r="AS5297" s="13"/>
    </row>
    <row r="5298" ht="14.25" customHeight="1">
      <c r="A5298" s="13"/>
      <c r="B5298" s="13"/>
      <c r="C5298" s="13"/>
      <c r="D5298" s="13"/>
      <c r="E5298" s="13"/>
      <c r="F5298" s="13"/>
      <c r="G5298" s="13"/>
      <c r="H5298" s="13"/>
      <c r="I5298" s="13"/>
      <c r="J5298" s="13"/>
      <c r="K5298" s="15"/>
      <c r="L5298" s="15"/>
      <c r="M5298" s="16"/>
      <c r="N5298" s="16"/>
      <c r="O5298" s="17"/>
      <c r="P5298" s="17"/>
      <c r="Q5298" s="13"/>
      <c r="R5298" s="13"/>
      <c r="S5298" s="13"/>
      <c r="T5298" s="13"/>
      <c r="U5298" s="13"/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F5298" s="13"/>
      <c r="AG5298" s="13"/>
      <c r="AH5298" s="13"/>
      <c r="AI5298" s="13"/>
      <c r="AJ5298" s="13"/>
      <c r="AK5298" s="13"/>
      <c r="AL5298" s="13"/>
      <c r="AM5298" s="13"/>
      <c r="AN5298" s="13"/>
      <c r="AO5298" s="13"/>
      <c r="AP5298" s="13"/>
      <c r="AQ5298" s="13"/>
      <c r="AR5298" s="13"/>
      <c r="AS5298" s="13"/>
    </row>
    <row r="5299" ht="14.25" customHeight="1">
      <c r="A5299" s="13"/>
      <c r="B5299" s="13"/>
      <c r="C5299" s="13"/>
      <c r="D5299" s="13"/>
      <c r="E5299" s="13"/>
      <c r="F5299" s="13"/>
      <c r="G5299" s="13"/>
      <c r="H5299" s="13"/>
      <c r="I5299" s="13"/>
      <c r="J5299" s="13"/>
      <c r="K5299" s="15"/>
      <c r="L5299" s="15"/>
      <c r="M5299" s="16"/>
      <c r="N5299" s="16"/>
      <c r="O5299" s="17"/>
      <c r="P5299" s="17"/>
      <c r="Q5299" s="13"/>
      <c r="R5299" s="13"/>
      <c r="S5299" s="13"/>
      <c r="T5299" s="13"/>
      <c r="U5299" s="13"/>
      <c r="V5299" s="13"/>
      <c r="W5299" s="13"/>
      <c r="X5299" s="13"/>
      <c r="Y5299" s="13"/>
      <c r="Z5299" s="13"/>
      <c r="AA5299" s="13"/>
      <c r="AB5299" s="13"/>
      <c r="AC5299" s="13"/>
      <c r="AD5299" s="13"/>
      <c r="AE5299" s="13"/>
      <c r="AF5299" s="13"/>
      <c r="AG5299" s="13"/>
      <c r="AH5299" s="13"/>
      <c r="AI5299" s="13"/>
      <c r="AJ5299" s="13"/>
      <c r="AK5299" s="13"/>
      <c r="AL5299" s="13"/>
      <c r="AM5299" s="13"/>
      <c r="AN5299" s="13"/>
      <c r="AO5299" s="13"/>
      <c r="AP5299" s="13"/>
      <c r="AQ5299" s="13"/>
      <c r="AR5299" s="13"/>
      <c r="AS5299" s="13"/>
    </row>
    <row r="5300" ht="14.25" customHeight="1">
      <c r="A5300" s="13"/>
      <c r="B5300" s="13"/>
      <c r="C5300" s="13"/>
      <c r="D5300" s="13"/>
      <c r="E5300" s="13"/>
      <c r="F5300" s="13"/>
      <c r="G5300" s="13"/>
      <c r="H5300" s="13"/>
      <c r="I5300" s="13"/>
      <c r="J5300" s="13"/>
      <c r="K5300" s="15"/>
      <c r="L5300" s="15"/>
      <c r="M5300" s="16"/>
      <c r="N5300" s="16"/>
      <c r="O5300" s="17"/>
      <c r="P5300" s="17"/>
      <c r="Q5300" s="13"/>
      <c r="R5300" s="13"/>
      <c r="S5300" s="13"/>
      <c r="T5300" s="13"/>
      <c r="U5300" s="13"/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F5300" s="13"/>
      <c r="AG5300" s="13"/>
      <c r="AH5300" s="13"/>
      <c r="AI5300" s="13"/>
      <c r="AJ5300" s="13"/>
      <c r="AK5300" s="13"/>
      <c r="AL5300" s="13"/>
      <c r="AM5300" s="13"/>
      <c r="AN5300" s="13"/>
      <c r="AO5300" s="13"/>
      <c r="AP5300" s="13"/>
      <c r="AQ5300" s="13"/>
      <c r="AR5300" s="13"/>
      <c r="AS5300" s="13"/>
    </row>
    <row r="5301" ht="14.25" customHeight="1">
      <c r="A5301" s="13"/>
      <c r="B5301" s="13"/>
      <c r="C5301" s="13"/>
      <c r="D5301" s="13"/>
      <c r="E5301" s="13"/>
      <c r="F5301" s="13"/>
      <c r="G5301" s="13"/>
      <c r="H5301" s="13"/>
      <c r="I5301" s="13"/>
      <c r="J5301" s="13"/>
      <c r="K5301" s="15"/>
      <c r="L5301" s="15"/>
      <c r="M5301" s="16"/>
      <c r="N5301" s="16"/>
      <c r="O5301" s="17"/>
      <c r="P5301" s="17"/>
      <c r="Q5301" s="13"/>
      <c r="R5301" s="13"/>
      <c r="S5301" s="13"/>
      <c r="T5301" s="13"/>
      <c r="U5301" s="13"/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F5301" s="13"/>
      <c r="AG5301" s="13"/>
      <c r="AH5301" s="13"/>
      <c r="AI5301" s="13"/>
      <c r="AJ5301" s="13"/>
      <c r="AK5301" s="13"/>
      <c r="AL5301" s="13"/>
      <c r="AM5301" s="13"/>
      <c r="AN5301" s="13"/>
      <c r="AO5301" s="13"/>
      <c r="AP5301" s="13"/>
      <c r="AQ5301" s="13"/>
      <c r="AR5301" s="13"/>
      <c r="AS5301" s="13"/>
    </row>
    <row r="5302" ht="14.25" customHeight="1">
      <c r="A5302" s="13"/>
      <c r="B5302" s="13"/>
      <c r="C5302" s="13"/>
      <c r="D5302" s="13"/>
      <c r="E5302" s="13"/>
      <c r="F5302" s="13"/>
      <c r="G5302" s="13"/>
      <c r="H5302" s="13"/>
      <c r="I5302" s="13"/>
      <c r="J5302" s="13"/>
      <c r="K5302" s="15"/>
      <c r="L5302" s="15"/>
      <c r="M5302" s="16"/>
      <c r="N5302" s="16"/>
      <c r="O5302" s="17"/>
      <c r="P5302" s="17"/>
      <c r="Q5302" s="13"/>
      <c r="R5302" s="13"/>
      <c r="S5302" s="13"/>
      <c r="T5302" s="13"/>
      <c r="U5302" s="13"/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F5302" s="13"/>
      <c r="AG5302" s="13"/>
      <c r="AH5302" s="13"/>
      <c r="AI5302" s="13"/>
      <c r="AJ5302" s="13"/>
      <c r="AK5302" s="13"/>
      <c r="AL5302" s="13"/>
      <c r="AM5302" s="13"/>
      <c r="AN5302" s="13"/>
      <c r="AO5302" s="13"/>
      <c r="AP5302" s="13"/>
      <c r="AQ5302" s="13"/>
      <c r="AR5302" s="13"/>
      <c r="AS5302" s="13"/>
    </row>
    <row r="5303" ht="14.25" customHeight="1">
      <c r="A5303" s="13"/>
      <c r="B5303" s="13"/>
      <c r="C5303" s="13"/>
      <c r="D5303" s="13"/>
      <c r="E5303" s="13"/>
      <c r="F5303" s="13"/>
      <c r="G5303" s="13"/>
      <c r="H5303" s="13"/>
      <c r="I5303" s="13"/>
      <c r="J5303" s="13"/>
      <c r="K5303" s="15"/>
      <c r="L5303" s="15"/>
      <c r="M5303" s="16"/>
      <c r="N5303" s="16"/>
      <c r="O5303" s="17"/>
      <c r="P5303" s="17"/>
      <c r="Q5303" s="13"/>
      <c r="R5303" s="13"/>
      <c r="S5303" s="13"/>
      <c r="T5303" s="13"/>
      <c r="U5303" s="13"/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F5303" s="13"/>
      <c r="AG5303" s="13"/>
      <c r="AH5303" s="13"/>
      <c r="AI5303" s="13"/>
      <c r="AJ5303" s="13"/>
      <c r="AK5303" s="13"/>
      <c r="AL5303" s="13"/>
      <c r="AM5303" s="13"/>
      <c r="AN5303" s="13"/>
      <c r="AO5303" s="13"/>
      <c r="AP5303" s="13"/>
      <c r="AQ5303" s="13"/>
      <c r="AR5303" s="13"/>
      <c r="AS5303" s="13"/>
    </row>
    <row r="5304" ht="14.25" customHeight="1">
      <c r="A5304" s="13"/>
      <c r="B5304" s="13"/>
      <c r="C5304" s="13"/>
      <c r="D5304" s="13"/>
      <c r="E5304" s="13"/>
      <c r="F5304" s="13"/>
      <c r="G5304" s="13"/>
      <c r="H5304" s="13"/>
      <c r="I5304" s="13"/>
      <c r="J5304" s="13"/>
      <c r="K5304" s="15"/>
      <c r="L5304" s="15"/>
      <c r="M5304" s="16"/>
      <c r="N5304" s="16"/>
      <c r="O5304" s="17"/>
      <c r="P5304" s="17"/>
      <c r="Q5304" s="13"/>
      <c r="R5304" s="13"/>
      <c r="S5304" s="13"/>
      <c r="T5304" s="13"/>
      <c r="U5304" s="13"/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F5304" s="13"/>
      <c r="AG5304" s="13"/>
      <c r="AH5304" s="13"/>
      <c r="AI5304" s="13"/>
      <c r="AJ5304" s="13"/>
      <c r="AK5304" s="13"/>
      <c r="AL5304" s="13"/>
      <c r="AM5304" s="13"/>
      <c r="AN5304" s="13"/>
      <c r="AO5304" s="13"/>
      <c r="AP5304" s="13"/>
      <c r="AQ5304" s="13"/>
      <c r="AR5304" s="13"/>
      <c r="AS5304" s="13"/>
    </row>
    <row r="5305" ht="14.25" customHeight="1">
      <c r="A5305" s="13"/>
      <c r="B5305" s="13"/>
      <c r="C5305" s="13"/>
      <c r="D5305" s="13"/>
      <c r="E5305" s="13"/>
      <c r="F5305" s="13"/>
      <c r="G5305" s="13"/>
      <c r="H5305" s="13"/>
      <c r="I5305" s="13"/>
      <c r="J5305" s="13"/>
      <c r="K5305" s="15"/>
      <c r="L5305" s="15"/>
      <c r="M5305" s="16"/>
      <c r="N5305" s="16"/>
      <c r="O5305" s="17"/>
      <c r="P5305" s="17"/>
      <c r="Q5305" s="13"/>
      <c r="R5305" s="13"/>
      <c r="S5305" s="13"/>
      <c r="T5305" s="13"/>
      <c r="U5305" s="13"/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F5305" s="13"/>
      <c r="AG5305" s="13"/>
      <c r="AH5305" s="13"/>
      <c r="AI5305" s="13"/>
      <c r="AJ5305" s="13"/>
      <c r="AK5305" s="13"/>
      <c r="AL5305" s="13"/>
      <c r="AM5305" s="13"/>
      <c r="AN5305" s="13"/>
      <c r="AO5305" s="13"/>
      <c r="AP5305" s="13"/>
      <c r="AQ5305" s="13"/>
      <c r="AR5305" s="13"/>
      <c r="AS5305" s="13"/>
    </row>
    <row r="5306" ht="14.25" customHeight="1">
      <c r="A5306" s="13"/>
      <c r="B5306" s="13"/>
      <c r="C5306" s="13"/>
      <c r="D5306" s="13"/>
      <c r="E5306" s="13"/>
      <c r="F5306" s="13"/>
      <c r="G5306" s="13"/>
      <c r="H5306" s="13"/>
      <c r="I5306" s="13"/>
      <c r="J5306" s="13"/>
      <c r="K5306" s="15"/>
      <c r="L5306" s="15"/>
      <c r="M5306" s="16"/>
      <c r="N5306" s="16"/>
      <c r="O5306" s="17"/>
      <c r="P5306" s="17"/>
      <c r="Q5306" s="13"/>
      <c r="R5306" s="13"/>
      <c r="S5306" s="13"/>
      <c r="T5306" s="13"/>
      <c r="U5306" s="13"/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F5306" s="13"/>
      <c r="AG5306" s="13"/>
      <c r="AH5306" s="13"/>
      <c r="AI5306" s="13"/>
      <c r="AJ5306" s="13"/>
      <c r="AK5306" s="13"/>
      <c r="AL5306" s="13"/>
      <c r="AM5306" s="13"/>
      <c r="AN5306" s="13"/>
      <c r="AO5306" s="13"/>
      <c r="AP5306" s="13"/>
      <c r="AQ5306" s="13"/>
      <c r="AR5306" s="13"/>
      <c r="AS5306" s="13"/>
    </row>
    <row r="5307" ht="14.25" customHeight="1">
      <c r="A5307" s="13"/>
      <c r="B5307" s="13"/>
      <c r="C5307" s="13"/>
      <c r="D5307" s="13"/>
      <c r="E5307" s="13"/>
      <c r="F5307" s="13"/>
      <c r="G5307" s="13"/>
      <c r="H5307" s="13"/>
      <c r="I5307" s="13"/>
      <c r="J5307" s="13"/>
      <c r="K5307" s="15"/>
      <c r="L5307" s="15"/>
      <c r="M5307" s="16"/>
      <c r="N5307" s="16"/>
      <c r="O5307" s="17"/>
      <c r="P5307" s="17"/>
      <c r="Q5307" s="13"/>
      <c r="R5307" s="13"/>
      <c r="S5307" s="13"/>
      <c r="T5307" s="13"/>
      <c r="U5307" s="13"/>
      <c r="V5307" s="13"/>
      <c r="W5307" s="13"/>
      <c r="X5307" s="13"/>
      <c r="Y5307" s="13"/>
      <c r="Z5307" s="13"/>
      <c r="AA5307" s="13"/>
      <c r="AB5307" s="13"/>
      <c r="AC5307" s="13"/>
      <c r="AD5307" s="13"/>
      <c r="AE5307" s="13"/>
      <c r="AF5307" s="13"/>
      <c r="AG5307" s="13"/>
      <c r="AH5307" s="13"/>
      <c r="AI5307" s="13"/>
      <c r="AJ5307" s="13"/>
      <c r="AK5307" s="13"/>
      <c r="AL5307" s="13"/>
      <c r="AM5307" s="13"/>
      <c r="AN5307" s="13"/>
      <c r="AO5307" s="13"/>
      <c r="AP5307" s="13"/>
      <c r="AQ5307" s="13"/>
      <c r="AR5307" s="13"/>
      <c r="AS5307" s="13"/>
    </row>
    <row r="5308" ht="14.25" customHeight="1">
      <c r="A5308" s="13"/>
      <c r="B5308" s="13"/>
      <c r="C5308" s="13"/>
      <c r="D5308" s="13"/>
      <c r="E5308" s="13"/>
      <c r="F5308" s="13"/>
      <c r="G5308" s="13"/>
      <c r="H5308" s="13"/>
      <c r="I5308" s="13"/>
      <c r="J5308" s="13"/>
      <c r="K5308" s="15"/>
      <c r="L5308" s="15"/>
      <c r="M5308" s="16"/>
      <c r="N5308" s="16"/>
      <c r="O5308" s="17"/>
      <c r="P5308" s="17"/>
      <c r="Q5308" s="13"/>
      <c r="R5308" s="13"/>
      <c r="S5308" s="13"/>
      <c r="T5308" s="13"/>
      <c r="U5308" s="13"/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F5308" s="13"/>
      <c r="AG5308" s="13"/>
      <c r="AH5308" s="13"/>
      <c r="AI5308" s="13"/>
      <c r="AJ5308" s="13"/>
      <c r="AK5308" s="13"/>
      <c r="AL5308" s="13"/>
      <c r="AM5308" s="13"/>
      <c r="AN5308" s="13"/>
      <c r="AO5308" s="13"/>
      <c r="AP5308" s="13"/>
      <c r="AQ5308" s="13"/>
      <c r="AR5308" s="13"/>
      <c r="AS5308" s="13"/>
    </row>
    <row r="5309" ht="14.25" customHeight="1">
      <c r="A5309" s="13"/>
      <c r="B5309" s="13"/>
      <c r="C5309" s="13"/>
      <c r="D5309" s="13"/>
      <c r="E5309" s="13"/>
      <c r="F5309" s="13"/>
      <c r="G5309" s="13"/>
      <c r="H5309" s="13"/>
      <c r="I5309" s="13"/>
      <c r="J5309" s="13"/>
      <c r="K5309" s="15"/>
      <c r="L5309" s="15"/>
      <c r="M5309" s="16"/>
      <c r="N5309" s="16"/>
      <c r="O5309" s="17"/>
      <c r="P5309" s="17"/>
      <c r="Q5309" s="13"/>
      <c r="R5309" s="13"/>
      <c r="S5309" s="13"/>
      <c r="T5309" s="13"/>
      <c r="U5309" s="13"/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F5309" s="13"/>
      <c r="AG5309" s="13"/>
      <c r="AH5309" s="13"/>
      <c r="AI5309" s="13"/>
      <c r="AJ5309" s="13"/>
      <c r="AK5309" s="13"/>
      <c r="AL5309" s="13"/>
      <c r="AM5309" s="13"/>
      <c r="AN5309" s="13"/>
      <c r="AO5309" s="13"/>
      <c r="AP5309" s="13"/>
      <c r="AQ5309" s="13"/>
      <c r="AR5309" s="13"/>
      <c r="AS5309" s="13"/>
    </row>
    <row r="5310" ht="14.25" customHeight="1">
      <c r="A5310" s="13"/>
      <c r="B5310" s="13"/>
      <c r="C5310" s="13"/>
      <c r="D5310" s="13"/>
      <c r="E5310" s="13"/>
      <c r="F5310" s="13"/>
      <c r="G5310" s="13"/>
      <c r="H5310" s="13"/>
      <c r="I5310" s="13"/>
      <c r="J5310" s="13"/>
      <c r="K5310" s="15"/>
      <c r="L5310" s="15"/>
      <c r="M5310" s="16"/>
      <c r="N5310" s="16"/>
      <c r="O5310" s="17"/>
      <c r="P5310" s="17"/>
      <c r="Q5310" s="13"/>
      <c r="R5310" s="13"/>
      <c r="S5310" s="13"/>
      <c r="T5310" s="13"/>
      <c r="U5310" s="13"/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F5310" s="13"/>
      <c r="AG5310" s="13"/>
      <c r="AH5310" s="13"/>
      <c r="AI5310" s="13"/>
      <c r="AJ5310" s="13"/>
      <c r="AK5310" s="13"/>
      <c r="AL5310" s="13"/>
      <c r="AM5310" s="13"/>
      <c r="AN5310" s="13"/>
      <c r="AO5310" s="13"/>
      <c r="AP5310" s="13"/>
      <c r="AQ5310" s="13"/>
      <c r="AR5310" s="13"/>
      <c r="AS5310" s="13"/>
    </row>
    <row r="5311" ht="14.25" customHeight="1">
      <c r="A5311" s="13"/>
      <c r="B5311" s="13"/>
      <c r="C5311" s="13"/>
      <c r="D5311" s="13"/>
      <c r="E5311" s="13"/>
      <c r="F5311" s="13"/>
      <c r="G5311" s="13"/>
      <c r="H5311" s="13"/>
      <c r="I5311" s="13"/>
      <c r="J5311" s="13"/>
      <c r="K5311" s="15"/>
      <c r="L5311" s="15"/>
      <c r="M5311" s="16"/>
      <c r="N5311" s="16"/>
      <c r="O5311" s="17"/>
      <c r="P5311" s="17"/>
      <c r="Q5311" s="13"/>
      <c r="R5311" s="13"/>
      <c r="S5311" s="13"/>
      <c r="T5311" s="13"/>
      <c r="U5311" s="13"/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F5311" s="13"/>
      <c r="AG5311" s="13"/>
      <c r="AH5311" s="13"/>
      <c r="AI5311" s="13"/>
      <c r="AJ5311" s="13"/>
      <c r="AK5311" s="13"/>
      <c r="AL5311" s="13"/>
      <c r="AM5311" s="13"/>
      <c r="AN5311" s="13"/>
      <c r="AO5311" s="13"/>
      <c r="AP5311" s="13"/>
      <c r="AQ5311" s="13"/>
      <c r="AR5311" s="13"/>
      <c r="AS5311" s="13"/>
    </row>
    <row r="5312" ht="14.25" customHeight="1">
      <c r="A5312" s="13"/>
      <c r="B5312" s="13"/>
      <c r="C5312" s="13"/>
      <c r="D5312" s="13"/>
      <c r="E5312" s="13"/>
      <c r="F5312" s="13"/>
      <c r="G5312" s="13"/>
      <c r="H5312" s="13"/>
      <c r="I5312" s="13"/>
      <c r="J5312" s="13"/>
      <c r="K5312" s="15"/>
      <c r="L5312" s="15"/>
      <c r="M5312" s="16"/>
      <c r="N5312" s="16"/>
      <c r="O5312" s="17"/>
      <c r="P5312" s="17"/>
      <c r="Q5312" s="13"/>
      <c r="R5312" s="13"/>
      <c r="S5312" s="13"/>
      <c r="T5312" s="13"/>
      <c r="U5312" s="13"/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13"/>
      <c r="AG5312" s="13"/>
      <c r="AH5312" s="13"/>
      <c r="AI5312" s="13"/>
      <c r="AJ5312" s="13"/>
      <c r="AK5312" s="13"/>
      <c r="AL5312" s="13"/>
      <c r="AM5312" s="13"/>
      <c r="AN5312" s="13"/>
      <c r="AO5312" s="13"/>
      <c r="AP5312" s="13"/>
      <c r="AQ5312" s="13"/>
      <c r="AR5312" s="13"/>
      <c r="AS5312" s="13"/>
    </row>
    <row r="5313" ht="14.25" customHeight="1">
      <c r="A5313" s="13"/>
      <c r="B5313" s="13"/>
      <c r="C5313" s="13"/>
      <c r="D5313" s="13"/>
      <c r="E5313" s="13"/>
      <c r="F5313" s="13"/>
      <c r="G5313" s="13"/>
      <c r="H5313" s="13"/>
      <c r="I5313" s="13"/>
      <c r="J5313" s="13"/>
      <c r="K5313" s="15"/>
      <c r="L5313" s="15"/>
      <c r="M5313" s="16"/>
      <c r="N5313" s="16"/>
      <c r="O5313" s="17"/>
      <c r="P5313" s="17"/>
      <c r="Q5313" s="13"/>
      <c r="R5313" s="13"/>
      <c r="S5313" s="13"/>
      <c r="T5313" s="13"/>
      <c r="U5313" s="13"/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13"/>
      <c r="AG5313" s="13"/>
      <c r="AH5313" s="13"/>
      <c r="AI5313" s="13"/>
      <c r="AJ5313" s="13"/>
      <c r="AK5313" s="13"/>
      <c r="AL5313" s="13"/>
      <c r="AM5313" s="13"/>
      <c r="AN5313" s="13"/>
      <c r="AO5313" s="13"/>
      <c r="AP5313" s="13"/>
      <c r="AQ5313" s="13"/>
      <c r="AR5313" s="13"/>
      <c r="AS5313" s="13"/>
    </row>
    <row r="5314" ht="14.25" customHeight="1">
      <c r="A5314" s="13"/>
      <c r="B5314" s="13"/>
      <c r="C5314" s="13"/>
      <c r="D5314" s="13"/>
      <c r="E5314" s="13"/>
      <c r="F5314" s="13"/>
      <c r="G5314" s="13"/>
      <c r="H5314" s="13"/>
      <c r="I5314" s="13"/>
      <c r="J5314" s="13"/>
      <c r="K5314" s="15"/>
      <c r="L5314" s="15"/>
      <c r="M5314" s="16"/>
      <c r="N5314" s="16"/>
      <c r="O5314" s="17"/>
      <c r="P5314" s="17"/>
      <c r="Q5314" s="13"/>
      <c r="R5314" s="13"/>
      <c r="S5314" s="13"/>
      <c r="T5314" s="13"/>
      <c r="U5314" s="13"/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13"/>
      <c r="AG5314" s="13"/>
      <c r="AH5314" s="13"/>
      <c r="AI5314" s="13"/>
      <c r="AJ5314" s="13"/>
      <c r="AK5314" s="13"/>
      <c r="AL5314" s="13"/>
      <c r="AM5314" s="13"/>
      <c r="AN5314" s="13"/>
      <c r="AO5314" s="13"/>
      <c r="AP5314" s="13"/>
      <c r="AQ5314" s="13"/>
      <c r="AR5314" s="13"/>
      <c r="AS5314" s="13"/>
    </row>
    <row r="5315" ht="14.25" customHeight="1">
      <c r="A5315" s="13"/>
      <c r="B5315" s="13"/>
      <c r="C5315" s="13"/>
      <c r="D5315" s="13"/>
      <c r="E5315" s="13"/>
      <c r="F5315" s="13"/>
      <c r="G5315" s="13"/>
      <c r="H5315" s="13"/>
      <c r="I5315" s="13"/>
      <c r="J5315" s="13"/>
      <c r="K5315" s="15"/>
      <c r="L5315" s="15"/>
      <c r="M5315" s="16"/>
      <c r="N5315" s="16"/>
      <c r="O5315" s="17"/>
      <c r="P5315" s="17"/>
      <c r="Q5315" s="13"/>
      <c r="R5315" s="13"/>
      <c r="S5315" s="13"/>
      <c r="T5315" s="13"/>
      <c r="U5315" s="13"/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F5315" s="13"/>
      <c r="AG5315" s="13"/>
      <c r="AH5315" s="13"/>
      <c r="AI5315" s="13"/>
      <c r="AJ5315" s="13"/>
      <c r="AK5315" s="13"/>
      <c r="AL5315" s="13"/>
      <c r="AM5315" s="13"/>
      <c r="AN5315" s="13"/>
      <c r="AO5315" s="13"/>
      <c r="AP5315" s="13"/>
      <c r="AQ5315" s="13"/>
      <c r="AR5315" s="13"/>
      <c r="AS5315" s="13"/>
    </row>
    <row r="5316" ht="14.25" customHeight="1">
      <c r="A5316" s="13"/>
      <c r="B5316" s="13"/>
      <c r="C5316" s="13"/>
      <c r="D5316" s="13"/>
      <c r="E5316" s="13"/>
      <c r="F5316" s="13"/>
      <c r="G5316" s="13"/>
      <c r="H5316" s="13"/>
      <c r="I5316" s="13"/>
      <c r="J5316" s="13"/>
      <c r="K5316" s="15"/>
      <c r="L5316" s="15"/>
      <c r="M5316" s="16"/>
      <c r="N5316" s="16"/>
      <c r="O5316" s="17"/>
      <c r="P5316" s="17"/>
      <c r="Q5316" s="13"/>
      <c r="R5316" s="13"/>
      <c r="S5316" s="13"/>
      <c r="T5316" s="13"/>
      <c r="U5316" s="13"/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F5316" s="13"/>
      <c r="AG5316" s="13"/>
      <c r="AH5316" s="13"/>
      <c r="AI5316" s="13"/>
      <c r="AJ5316" s="13"/>
      <c r="AK5316" s="13"/>
      <c r="AL5316" s="13"/>
      <c r="AM5316" s="13"/>
      <c r="AN5316" s="13"/>
      <c r="AO5316" s="13"/>
      <c r="AP5316" s="13"/>
      <c r="AQ5316" s="13"/>
      <c r="AR5316" s="13"/>
      <c r="AS5316" s="13"/>
    </row>
    <row r="5317" ht="14.25" customHeight="1">
      <c r="A5317" s="13"/>
      <c r="B5317" s="13"/>
      <c r="C5317" s="13"/>
      <c r="D5317" s="13"/>
      <c r="E5317" s="13"/>
      <c r="F5317" s="13"/>
      <c r="G5317" s="13"/>
      <c r="H5317" s="13"/>
      <c r="I5317" s="13"/>
      <c r="J5317" s="13"/>
      <c r="K5317" s="15"/>
      <c r="L5317" s="15"/>
      <c r="M5317" s="16"/>
      <c r="N5317" s="16"/>
      <c r="O5317" s="17"/>
      <c r="P5317" s="17"/>
      <c r="Q5317" s="13"/>
      <c r="R5317" s="13"/>
      <c r="S5317" s="13"/>
      <c r="T5317" s="13"/>
      <c r="U5317" s="13"/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F5317" s="13"/>
      <c r="AG5317" s="13"/>
      <c r="AH5317" s="13"/>
      <c r="AI5317" s="13"/>
      <c r="AJ5317" s="13"/>
      <c r="AK5317" s="13"/>
      <c r="AL5317" s="13"/>
      <c r="AM5317" s="13"/>
      <c r="AN5317" s="13"/>
      <c r="AO5317" s="13"/>
      <c r="AP5317" s="13"/>
      <c r="AQ5317" s="13"/>
      <c r="AR5317" s="13"/>
      <c r="AS5317" s="13"/>
    </row>
    <row r="5318" ht="14.25" customHeight="1">
      <c r="A5318" s="13"/>
      <c r="B5318" s="13"/>
      <c r="C5318" s="13"/>
      <c r="D5318" s="13"/>
      <c r="E5318" s="13"/>
      <c r="F5318" s="13"/>
      <c r="G5318" s="13"/>
      <c r="H5318" s="13"/>
      <c r="I5318" s="13"/>
      <c r="J5318" s="13"/>
      <c r="K5318" s="15"/>
      <c r="L5318" s="15"/>
      <c r="M5318" s="16"/>
      <c r="N5318" s="16"/>
      <c r="O5318" s="17"/>
      <c r="P5318" s="17"/>
      <c r="Q5318" s="13"/>
      <c r="R5318" s="13"/>
      <c r="S5318" s="13"/>
      <c r="T5318" s="13"/>
      <c r="U5318" s="13"/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13"/>
      <c r="AG5318" s="13"/>
      <c r="AH5318" s="13"/>
      <c r="AI5318" s="13"/>
      <c r="AJ5318" s="13"/>
      <c r="AK5318" s="13"/>
      <c r="AL5318" s="13"/>
      <c r="AM5318" s="13"/>
      <c r="AN5318" s="13"/>
      <c r="AO5318" s="13"/>
      <c r="AP5318" s="13"/>
      <c r="AQ5318" s="13"/>
      <c r="AR5318" s="13"/>
      <c r="AS5318" s="13"/>
    </row>
    <row r="5319" ht="14.25" customHeight="1">
      <c r="A5319" s="13"/>
      <c r="B5319" s="13"/>
      <c r="C5319" s="13"/>
      <c r="D5319" s="13"/>
      <c r="E5319" s="13"/>
      <c r="F5319" s="13"/>
      <c r="G5319" s="13"/>
      <c r="H5319" s="13"/>
      <c r="I5319" s="13"/>
      <c r="J5319" s="13"/>
      <c r="K5319" s="15"/>
      <c r="L5319" s="15"/>
      <c r="M5319" s="16"/>
      <c r="N5319" s="16"/>
      <c r="O5319" s="17"/>
      <c r="P5319" s="17"/>
      <c r="Q5319" s="13"/>
      <c r="R5319" s="13"/>
      <c r="S5319" s="13"/>
      <c r="T5319" s="13"/>
      <c r="U5319" s="13"/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F5319" s="13"/>
      <c r="AG5319" s="13"/>
      <c r="AH5319" s="13"/>
      <c r="AI5319" s="13"/>
      <c r="AJ5319" s="13"/>
      <c r="AK5319" s="13"/>
      <c r="AL5319" s="13"/>
      <c r="AM5319" s="13"/>
      <c r="AN5319" s="13"/>
      <c r="AO5319" s="13"/>
      <c r="AP5319" s="13"/>
      <c r="AQ5319" s="13"/>
      <c r="AR5319" s="13"/>
      <c r="AS5319" s="13"/>
    </row>
    <row r="5320" ht="14.25" customHeight="1">
      <c r="A5320" s="13"/>
      <c r="B5320" s="13"/>
      <c r="C5320" s="13"/>
      <c r="D5320" s="13"/>
      <c r="E5320" s="13"/>
      <c r="F5320" s="13"/>
      <c r="G5320" s="13"/>
      <c r="H5320" s="13"/>
      <c r="I5320" s="13"/>
      <c r="J5320" s="13"/>
      <c r="K5320" s="15"/>
      <c r="L5320" s="15"/>
      <c r="M5320" s="16"/>
      <c r="N5320" s="16"/>
      <c r="O5320" s="17"/>
      <c r="P5320" s="17"/>
      <c r="Q5320" s="13"/>
      <c r="R5320" s="13"/>
      <c r="S5320" s="13"/>
      <c r="T5320" s="13"/>
      <c r="U5320" s="13"/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F5320" s="13"/>
      <c r="AG5320" s="13"/>
      <c r="AH5320" s="13"/>
      <c r="AI5320" s="13"/>
      <c r="AJ5320" s="13"/>
      <c r="AK5320" s="13"/>
      <c r="AL5320" s="13"/>
      <c r="AM5320" s="13"/>
      <c r="AN5320" s="13"/>
      <c r="AO5320" s="13"/>
      <c r="AP5320" s="13"/>
      <c r="AQ5320" s="13"/>
      <c r="AR5320" s="13"/>
      <c r="AS5320" s="13"/>
    </row>
    <row r="5321" ht="14.25" customHeight="1">
      <c r="A5321" s="13"/>
      <c r="B5321" s="13"/>
      <c r="C5321" s="13"/>
      <c r="D5321" s="13"/>
      <c r="E5321" s="13"/>
      <c r="F5321" s="13"/>
      <c r="G5321" s="13"/>
      <c r="H5321" s="13"/>
      <c r="I5321" s="13"/>
      <c r="J5321" s="13"/>
      <c r="K5321" s="15"/>
      <c r="L5321" s="15"/>
      <c r="M5321" s="16"/>
      <c r="N5321" s="16"/>
      <c r="O5321" s="17"/>
      <c r="P5321" s="17"/>
      <c r="Q5321" s="13"/>
      <c r="R5321" s="13"/>
      <c r="S5321" s="13"/>
      <c r="T5321" s="13"/>
      <c r="U5321" s="13"/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F5321" s="13"/>
      <c r="AG5321" s="13"/>
      <c r="AH5321" s="13"/>
      <c r="AI5321" s="13"/>
      <c r="AJ5321" s="13"/>
      <c r="AK5321" s="13"/>
      <c r="AL5321" s="13"/>
      <c r="AM5321" s="13"/>
      <c r="AN5321" s="13"/>
      <c r="AO5321" s="13"/>
      <c r="AP5321" s="13"/>
      <c r="AQ5321" s="13"/>
      <c r="AR5321" s="13"/>
      <c r="AS5321" s="13"/>
    </row>
    <row r="5322" ht="14.25" customHeight="1">
      <c r="A5322" s="13"/>
      <c r="B5322" s="13"/>
      <c r="C5322" s="13"/>
      <c r="D5322" s="13"/>
      <c r="E5322" s="13"/>
      <c r="F5322" s="13"/>
      <c r="G5322" s="13"/>
      <c r="H5322" s="13"/>
      <c r="I5322" s="13"/>
      <c r="J5322" s="13"/>
      <c r="K5322" s="15"/>
      <c r="L5322" s="15"/>
      <c r="M5322" s="16"/>
      <c r="N5322" s="16"/>
      <c r="O5322" s="17"/>
      <c r="P5322" s="17"/>
      <c r="Q5322" s="13"/>
      <c r="R5322" s="13"/>
      <c r="S5322" s="13"/>
      <c r="T5322" s="13"/>
      <c r="U5322" s="13"/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F5322" s="13"/>
      <c r="AG5322" s="13"/>
      <c r="AH5322" s="13"/>
      <c r="AI5322" s="13"/>
      <c r="AJ5322" s="13"/>
      <c r="AK5322" s="13"/>
      <c r="AL5322" s="13"/>
      <c r="AM5322" s="13"/>
      <c r="AN5322" s="13"/>
      <c r="AO5322" s="13"/>
      <c r="AP5322" s="13"/>
      <c r="AQ5322" s="13"/>
      <c r="AR5322" s="13"/>
      <c r="AS5322" s="13"/>
    </row>
    <row r="5323" ht="14.25" customHeight="1">
      <c r="A5323" s="13"/>
      <c r="B5323" s="13"/>
      <c r="C5323" s="13"/>
      <c r="D5323" s="13"/>
      <c r="E5323" s="13"/>
      <c r="F5323" s="13"/>
      <c r="G5323" s="13"/>
      <c r="H5323" s="13"/>
      <c r="I5323" s="13"/>
      <c r="J5323" s="13"/>
      <c r="K5323" s="15"/>
      <c r="L5323" s="15"/>
      <c r="M5323" s="16"/>
      <c r="N5323" s="16"/>
      <c r="O5323" s="17"/>
      <c r="P5323" s="17"/>
      <c r="Q5323" s="13"/>
      <c r="R5323" s="13"/>
      <c r="S5323" s="13"/>
      <c r="T5323" s="13"/>
      <c r="U5323" s="13"/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  <c r="AG5323" s="13"/>
      <c r="AH5323" s="13"/>
      <c r="AI5323" s="13"/>
      <c r="AJ5323" s="13"/>
      <c r="AK5323" s="13"/>
      <c r="AL5323" s="13"/>
      <c r="AM5323" s="13"/>
      <c r="AN5323" s="13"/>
      <c r="AO5323" s="13"/>
      <c r="AP5323" s="13"/>
      <c r="AQ5323" s="13"/>
      <c r="AR5323" s="13"/>
      <c r="AS5323" s="13"/>
    </row>
    <row r="5324" ht="14.25" customHeight="1">
      <c r="A5324" s="13"/>
      <c r="B5324" s="13"/>
      <c r="C5324" s="13"/>
      <c r="D5324" s="13"/>
      <c r="E5324" s="13"/>
      <c r="F5324" s="13"/>
      <c r="G5324" s="13"/>
      <c r="H5324" s="13"/>
      <c r="I5324" s="13"/>
      <c r="J5324" s="13"/>
      <c r="K5324" s="15"/>
      <c r="L5324" s="15"/>
      <c r="M5324" s="16"/>
      <c r="N5324" s="16"/>
      <c r="O5324" s="17"/>
      <c r="P5324" s="17"/>
      <c r="Q5324" s="13"/>
      <c r="R5324" s="13"/>
      <c r="S5324" s="13"/>
      <c r="T5324" s="13"/>
      <c r="U5324" s="13"/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F5324" s="13"/>
      <c r="AG5324" s="13"/>
      <c r="AH5324" s="13"/>
      <c r="AI5324" s="13"/>
      <c r="AJ5324" s="13"/>
      <c r="AK5324" s="13"/>
      <c r="AL5324" s="13"/>
      <c r="AM5324" s="13"/>
      <c r="AN5324" s="13"/>
      <c r="AO5324" s="13"/>
      <c r="AP5324" s="13"/>
      <c r="AQ5324" s="13"/>
      <c r="AR5324" s="13"/>
      <c r="AS5324" s="13"/>
    </row>
    <row r="5325" ht="14.25" customHeight="1">
      <c r="A5325" s="13"/>
      <c r="B5325" s="13"/>
      <c r="C5325" s="13"/>
      <c r="D5325" s="13"/>
      <c r="E5325" s="13"/>
      <c r="F5325" s="13"/>
      <c r="G5325" s="13"/>
      <c r="H5325" s="13"/>
      <c r="I5325" s="13"/>
      <c r="J5325" s="13"/>
      <c r="K5325" s="15"/>
      <c r="L5325" s="15"/>
      <c r="M5325" s="16"/>
      <c r="N5325" s="16"/>
      <c r="O5325" s="17"/>
      <c r="P5325" s="17"/>
      <c r="Q5325" s="13"/>
      <c r="R5325" s="13"/>
      <c r="S5325" s="13"/>
      <c r="T5325" s="13"/>
      <c r="U5325" s="13"/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  <c r="AG5325" s="13"/>
      <c r="AH5325" s="13"/>
      <c r="AI5325" s="13"/>
      <c r="AJ5325" s="13"/>
      <c r="AK5325" s="13"/>
      <c r="AL5325" s="13"/>
      <c r="AM5325" s="13"/>
      <c r="AN5325" s="13"/>
      <c r="AO5325" s="13"/>
      <c r="AP5325" s="13"/>
      <c r="AQ5325" s="13"/>
      <c r="AR5325" s="13"/>
      <c r="AS5325" s="13"/>
    </row>
    <row r="5326" ht="14.25" customHeight="1">
      <c r="A5326" s="13"/>
      <c r="B5326" s="13"/>
      <c r="C5326" s="13"/>
      <c r="D5326" s="13"/>
      <c r="E5326" s="13"/>
      <c r="F5326" s="13"/>
      <c r="G5326" s="13"/>
      <c r="H5326" s="13"/>
      <c r="I5326" s="13"/>
      <c r="J5326" s="13"/>
      <c r="K5326" s="15"/>
      <c r="L5326" s="15"/>
      <c r="M5326" s="16"/>
      <c r="N5326" s="16"/>
      <c r="O5326" s="17"/>
      <c r="P5326" s="17"/>
      <c r="Q5326" s="13"/>
      <c r="R5326" s="13"/>
      <c r="S5326" s="13"/>
      <c r="T5326" s="13"/>
      <c r="U5326" s="13"/>
      <c r="V5326" s="13"/>
      <c r="W5326" s="13"/>
      <c r="X5326" s="13"/>
      <c r="Y5326" s="13"/>
      <c r="Z5326" s="13"/>
      <c r="AA5326" s="13"/>
      <c r="AB5326" s="13"/>
      <c r="AC5326" s="13"/>
      <c r="AD5326" s="13"/>
      <c r="AE5326" s="13"/>
      <c r="AF5326" s="13"/>
      <c r="AG5326" s="13"/>
      <c r="AH5326" s="13"/>
      <c r="AI5326" s="13"/>
      <c r="AJ5326" s="13"/>
      <c r="AK5326" s="13"/>
      <c r="AL5326" s="13"/>
      <c r="AM5326" s="13"/>
      <c r="AN5326" s="13"/>
      <c r="AO5326" s="13"/>
      <c r="AP5326" s="13"/>
      <c r="AQ5326" s="13"/>
      <c r="AR5326" s="13"/>
      <c r="AS5326" s="13"/>
    </row>
    <row r="5327" ht="14.25" customHeight="1">
      <c r="A5327" s="13"/>
      <c r="B5327" s="13"/>
      <c r="C5327" s="13"/>
      <c r="D5327" s="13"/>
      <c r="E5327" s="13"/>
      <c r="F5327" s="13"/>
      <c r="G5327" s="13"/>
      <c r="H5327" s="13"/>
      <c r="I5327" s="13"/>
      <c r="J5327" s="13"/>
      <c r="K5327" s="15"/>
      <c r="L5327" s="15"/>
      <c r="M5327" s="16"/>
      <c r="N5327" s="16"/>
      <c r="O5327" s="17"/>
      <c r="P5327" s="17"/>
      <c r="Q5327" s="13"/>
      <c r="R5327" s="13"/>
      <c r="S5327" s="13"/>
      <c r="T5327" s="13"/>
      <c r="U5327" s="13"/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  <c r="AG5327" s="13"/>
      <c r="AH5327" s="13"/>
      <c r="AI5327" s="13"/>
      <c r="AJ5327" s="13"/>
      <c r="AK5327" s="13"/>
      <c r="AL5327" s="13"/>
      <c r="AM5327" s="13"/>
      <c r="AN5327" s="13"/>
      <c r="AO5327" s="13"/>
      <c r="AP5327" s="13"/>
      <c r="AQ5327" s="13"/>
      <c r="AR5327" s="13"/>
      <c r="AS5327" s="13"/>
    </row>
    <row r="5328" ht="14.25" customHeight="1">
      <c r="A5328" s="13"/>
      <c r="B5328" s="13"/>
      <c r="C5328" s="13"/>
      <c r="D5328" s="13"/>
      <c r="E5328" s="13"/>
      <c r="F5328" s="13"/>
      <c r="G5328" s="13"/>
      <c r="H5328" s="13"/>
      <c r="I5328" s="13"/>
      <c r="J5328" s="13"/>
      <c r="K5328" s="15"/>
      <c r="L5328" s="15"/>
      <c r="M5328" s="16"/>
      <c r="N5328" s="16"/>
      <c r="O5328" s="17"/>
      <c r="P5328" s="17"/>
      <c r="Q5328" s="13"/>
      <c r="R5328" s="13"/>
      <c r="S5328" s="13"/>
      <c r="T5328" s="13"/>
      <c r="U5328" s="13"/>
      <c r="V5328" s="13"/>
      <c r="W5328" s="13"/>
      <c r="X5328" s="13"/>
      <c r="Y5328" s="13"/>
      <c r="Z5328" s="13"/>
      <c r="AA5328" s="13"/>
      <c r="AB5328" s="13"/>
      <c r="AC5328" s="13"/>
      <c r="AD5328" s="13"/>
      <c r="AE5328" s="13"/>
      <c r="AF5328" s="13"/>
      <c r="AG5328" s="13"/>
      <c r="AH5328" s="13"/>
      <c r="AI5328" s="13"/>
      <c r="AJ5328" s="13"/>
      <c r="AK5328" s="13"/>
      <c r="AL5328" s="13"/>
      <c r="AM5328" s="13"/>
      <c r="AN5328" s="13"/>
      <c r="AO5328" s="13"/>
      <c r="AP5328" s="13"/>
      <c r="AQ5328" s="13"/>
      <c r="AR5328" s="13"/>
      <c r="AS5328" s="13"/>
    </row>
    <row r="5329" ht="14.25" customHeight="1">
      <c r="A5329" s="13"/>
      <c r="B5329" s="13"/>
      <c r="C5329" s="13"/>
      <c r="D5329" s="13"/>
      <c r="E5329" s="13"/>
      <c r="F5329" s="13"/>
      <c r="G5329" s="13"/>
      <c r="H5329" s="13"/>
      <c r="I5329" s="13"/>
      <c r="J5329" s="13"/>
      <c r="K5329" s="15"/>
      <c r="L5329" s="15"/>
      <c r="M5329" s="16"/>
      <c r="N5329" s="16"/>
      <c r="O5329" s="17"/>
      <c r="P5329" s="17"/>
      <c r="Q5329" s="13"/>
      <c r="R5329" s="13"/>
      <c r="S5329" s="13"/>
      <c r="T5329" s="13"/>
      <c r="U5329" s="13"/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F5329" s="13"/>
      <c r="AG5329" s="13"/>
      <c r="AH5329" s="13"/>
      <c r="AI5329" s="13"/>
      <c r="AJ5329" s="13"/>
      <c r="AK5329" s="13"/>
      <c r="AL5329" s="13"/>
      <c r="AM5329" s="13"/>
      <c r="AN5329" s="13"/>
      <c r="AO5329" s="13"/>
      <c r="AP5329" s="13"/>
      <c r="AQ5329" s="13"/>
      <c r="AR5329" s="13"/>
      <c r="AS5329" s="13"/>
    </row>
    <row r="5330" ht="14.25" customHeight="1">
      <c r="A5330" s="13"/>
      <c r="B5330" s="13"/>
      <c r="C5330" s="13"/>
      <c r="D5330" s="13"/>
      <c r="E5330" s="13"/>
      <c r="F5330" s="13"/>
      <c r="G5330" s="13"/>
      <c r="H5330" s="13"/>
      <c r="I5330" s="13"/>
      <c r="J5330" s="13"/>
      <c r="K5330" s="15"/>
      <c r="L5330" s="15"/>
      <c r="M5330" s="16"/>
      <c r="N5330" s="16"/>
      <c r="O5330" s="17"/>
      <c r="P5330" s="17"/>
      <c r="Q5330" s="13"/>
      <c r="R5330" s="13"/>
      <c r="S5330" s="13"/>
      <c r="T5330" s="13"/>
      <c r="U5330" s="13"/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F5330" s="13"/>
      <c r="AG5330" s="13"/>
      <c r="AH5330" s="13"/>
      <c r="AI5330" s="13"/>
      <c r="AJ5330" s="13"/>
      <c r="AK5330" s="13"/>
      <c r="AL5330" s="13"/>
      <c r="AM5330" s="13"/>
      <c r="AN5330" s="13"/>
      <c r="AO5330" s="13"/>
      <c r="AP5330" s="13"/>
      <c r="AQ5330" s="13"/>
      <c r="AR5330" s="13"/>
      <c r="AS5330" s="13"/>
    </row>
    <row r="5331" ht="14.25" customHeight="1">
      <c r="A5331" s="13"/>
      <c r="B5331" s="13"/>
      <c r="C5331" s="13"/>
      <c r="D5331" s="13"/>
      <c r="E5331" s="13"/>
      <c r="F5331" s="13"/>
      <c r="G5331" s="13"/>
      <c r="H5331" s="13"/>
      <c r="I5331" s="13"/>
      <c r="J5331" s="13"/>
      <c r="K5331" s="15"/>
      <c r="L5331" s="15"/>
      <c r="M5331" s="16"/>
      <c r="N5331" s="16"/>
      <c r="O5331" s="17"/>
      <c r="P5331" s="17"/>
      <c r="Q5331" s="13"/>
      <c r="R5331" s="13"/>
      <c r="S5331" s="13"/>
      <c r="T5331" s="13"/>
      <c r="U5331" s="13"/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F5331" s="13"/>
      <c r="AG5331" s="13"/>
      <c r="AH5331" s="13"/>
      <c r="AI5331" s="13"/>
      <c r="AJ5331" s="13"/>
      <c r="AK5331" s="13"/>
      <c r="AL5331" s="13"/>
      <c r="AM5331" s="13"/>
      <c r="AN5331" s="13"/>
      <c r="AO5331" s="13"/>
      <c r="AP5331" s="13"/>
      <c r="AQ5331" s="13"/>
      <c r="AR5331" s="13"/>
      <c r="AS5331" s="13"/>
    </row>
    <row r="5332" ht="14.25" customHeight="1">
      <c r="A5332" s="13"/>
      <c r="B5332" s="13"/>
      <c r="C5332" s="13"/>
      <c r="D5332" s="13"/>
      <c r="E5332" s="13"/>
      <c r="F5332" s="13"/>
      <c r="G5332" s="13"/>
      <c r="H5332" s="13"/>
      <c r="I5332" s="13"/>
      <c r="J5332" s="13"/>
      <c r="K5332" s="15"/>
      <c r="L5332" s="15"/>
      <c r="M5332" s="16"/>
      <c r="N5332" s="16"/>
      <c r="O5332" s="17"/>
      <c r="P5332" s="17"/>
      <c r="Q5332" s="13"/>
      <c r="R5332" s="13"/>
      <c r="S5332" s="13"/>
      <c r="T5332" s="13"/>
      <c r="U5332" s="13"/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F5332" s="13"/>
      <c r="AG5332" s="13"/>
      <c r="AH5332" s="13"/>
      <c r="AI5332" s="13"/>
      <c r="AJ5332" s="13"/>
      <c r="AK5332" s="13"/>
      <c r="AL5332" s="13"/>
      <c r="AM5332" s="13"/>
      <c r="AN5332" s="13"/>
      <c r="AO5332" s="13"/>
      <c r="AP5332" s="13"/>
      <c r="AQ5332" s="13"/>
      <c r="AR5332" s="13"/>
      <c r="AS5332" s="13"/>
    </row>
    <row r="5333" ht="14.25" customHeight="1">
      <c r="A5333" s="13"/>
      <c r="B5333" s="13"/>
      <c r="C5333" s="13"/>
      <c r="D5333" s="13"/>
      <c r="E5333" s="13"/>
      <c r="F5333" s="13"/>
      <c r="G5333" s="13"/>
      <c r="H5333" s="13"/>
      <c r="I5333" s="13"/>
      <c r="J5333" s="13"/>
      <c r="K5333" s="15"/>
      <c r="L5333" s="15"/>
      <c r="M5333" s="16"/>
      <c r="N5333" s="16"/>
      <c r="O5333" s="17"/>
      <c r="P5333" s="17"/>
      <c r="Q5333" s="13"/>
      <c r="R5333" s="13"/>
      <c r="S5333" s="13"/>
      <c r="T5333" s="13"/>
      <c r="U5333" s="13"/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F5333" s="13"/>
      <c r="AG5333" s="13"/>
      <c r="AH5333" s="13"/>
      <c r="AI5333" s="13"/>
      <c r="AJ5333" s="13"/>
      <c r="AK5333" s="13"/>
      <c r="AL5333" s="13"/>
      <c r="AM5333" s="13"/>
      <c r="AN5333" s="13"/>
      <c r="AO5333" s="13"/>
      <c r="AP5333" s="13"/>
      <c r="AQ5333" s="13"/>
      <c r="AR5333" s="13"/>
      <c r="AS5333" s="13"/>
    </row>
    <row r="5334" ht="14.25" customHeight="1">
      <c r="A5334" s="13"/>
      <c r="B5334" s="13"/>
      <c r="C5334" s="13"/>
      <c r="D5334" s="13"/>
      <c r="E5334" s="13"/>
      <c r="F5334" s="13"/>
      <c r="G5334" s="13"/>
      <c r="H5334" s="13"/>
      <c r="I5334" s="13"/>
      <c r="J5334" s="13"/>
      <c r="K5334" s="15"/>
      <c r="L5334" s="15"/>
      <c r="M5334" s="16"/>
      <c r="N5334" s="16"/>
      <c r="O5334" s="17"/>
      <c r="P5334" s="17"/>
      <c r="Q5334" s="13"/>
      <c r="R5334" s="13"/>
      <c r="S5334" s="13"/>
      <c r="T5334" s="13"/>
      <c r="U5334" s="13"/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13"/>
      <c r="AG5334" s="13"/>
      <c r="AH5334" s="13"/>
      <c r="AI5334" s="13"/>
      <c r="AJ5334" s="13"/>
      <c r="AK5334" s="13"/>
      <c r="AL5334" s="13"/>
      <c r="AM5334" s="13"/>
      <c r="AN5334" s="13"/>
      <c r="AO5334" s="13"/>
      <c r="AP5334" s="13"/>
      <c r="AQ5334" s="13"/>
      <c r="AR5334" s="13"/>
      <c r="AS5334" s="13"/>
    </row>
    <row r="5335" ht="14.25" customHeight="1">
      <c r="A5335" s="13"/>
      <c r="B5335" s="13"/>
      <c r="C5335" s="13"/>
      <c r="D5335" s="13"/>
      <c r="E5335" s="13"/>
      <c r="F5335" s="13"/>
      <c r="G5335" s="13"/>
      <c r="H5335" s="13"/>
      <c r="I5335" s="13"/>
      <c r="J5335" s="13"/>
      <c r="K5335" s="15"/>
      <c r="L5335" s="15"/>
      <c r="M5335" s="16"/>
      <c r="N5335" s="16"/>
      <c r="O5335" s="17"/>
      <c r="P5335" s="17"/>
      <c r="Q5335" s="13"/>
      <c r="R5335" s="13"/>
      <c r="S5335" s="13"/>
      <c r="T5335" s="13"/>
      <c r="U5335" s="13"/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13"/>
      <c r="AG5335" s="13"/>
      <c r="AH5335" s="13"/>
      <c r="AI5335" s="13"/>
      <c r="AJ5335" s="13"/>
      <c r="AK5335" s="13"/>
      <c r="AL5335" s="13"/>
      <c r="AM5335" s="13"/>
      <c r="AN5335" s="13"/>
      <c r="AO5335" s="13"/>
      <c r="AP5335" s="13"/>
      <c r="AQ5335" s="13"/>
      <c r="AR5335" s="13"/>
      <c r="AS5335" s="13"/>
    </row>
    <row r="5336" ht="14.25" customHeight="1">
      <c r="A5336" s="13"/>
      <c r="B5336" s="13"/>
      <c r="C5336" s="13"/>
      <c r="D5336" s="13"/>
      <c r="E5336" s="13"/>
      <c r="F5336" s="13"/>
      <c r="G5336" s="13"/>
      <c r="H5336" s="13"/>
      <c r="I5336" s="13"/>
      <c r="J5336" s="13"/>
      <c r="K5336" s="15"/>
      <c r="L5336" s="15"/>
      <c r="M5336" s="16"/>
      <c r="N5336" s="16"/>
      <c r="O5336" s="17"/>
      <c r="P5336" s="17"/>
      <c r="Q5336" s="13"/>
      <c r="R5336" s="13"/>
      <c r="S5336" s="13"/>
      <c r="T5336" s="13"/>
      <c r="U5336" s="13"/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F5336" s="13"/>
      <c r="AG5336" s="13"/>
      <c r="AH5336" s="13"/>
      <c r="AI5336" s="13"/>
      <c r="AJ5336" s="13"/>
      <c r="AK5336" s="13"/>
      <c r="AL5336" s="13"/>
      <c r="AM5336" s="13"/>
      <c r="AN5336" s="13"/>
      <c r="AO5336" s="13"/>
      <c r="AP5336" s="13"/>
      <c r="AQ5336" s="13"/>
      <c r="AR5336" s="13"/>
      <c r="AS5336" s="13"/>
    </row>
    <row r="5337" ht="14.25" customHeight="1">
      <c r="A5337" s="13"/>
      <c r="B5337" s="13"/>
      <c r="C5337" s="13"/>
      <c r="D5337" s="13"/>
      <c r="E5337" s="13"/>
      <c r="F5337" s="13"/>
      <c r="G5337" s="13"/>
      <c r="H5337" s="13"/>
      <c r="I5337" s="13"/>
      <c r="J5337" s="13"/>
      <c r="K5337" s="15"/>
      <c r="L5337" s="15"/>
      <c r="M5337" s="16"/>
      <c r="N5337" s="16"/>
      <c r="O5337" s="17"/>
      <c r="P5337" s="17"/>
      <c r="Q5337" s="13"/>
      <c r="R5337" s="13"/>
      <c r="S5337" s="13"/>
      <c r="T5337" s="13"/>
      <c r="U5337" s="13"/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  <c r="AG5337" s="13"/>
      <c r="AH5337" s="13"/>
      <c r="AI5337" s="13"/>
      <c r="AJ5337" s="13"/>
      <c r="AK5337" s="13"/>
      <c r="AL5337" s="13"/>
      <c r="AM5337" s="13"/>
      <c r="AN5337" s="13"/>
      <c r="AO5337" s="13"/>
      <c r="AP5337" s="13"/>
      <c r="AQ5337" s="13"/>
      <c r="AR5337" s="13"/>
      <c r="AS5337" s="13"/>
    </row>
    <row r="5338" ht="14.25" customHeight="1">
      <c r="A5338" s="13"/>
      <c r="B5338" s="13"/>
      <c r="C5338" s="13"/>
      <c r="D5338" s="13"/>
      <c r="E5338" s="13"/>
      <c r="F5338" s="13"/>
      <c r="G5338" s="13"/>
      <c r="H5338" s="13"/>
      <c r="I5338" s="13"/>
      <c r="J5338" s="13"/>
      <c r="K5338" s="15"/>
      <c r="L5338" s="15"/>
      <c r="M5338" s="16"/>
      <c r="N5338" s="16"/>
      <c r="O5338" s="17"/>
      <c r="P5338" s="17"/>
      <c r="Q5338" s="13"/>
      <c r="R5338" s="13"/>
      <c r="S5338" s="13"/>
      <c r="T5338" s="13"/>
      <c r="U5338" s="13"/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13"/>
      <c r="AG5338" s="13"/>
      <c r="AH5338" s="13"/>
      <c r="AI5338" s="13"/>
      <c r="AJ5338" s="13"/>
      <c r="AK5338" s="13"/>
      <c r="AL5338" s="13"/>
      <c r="AM5338" s="13"/>
      <c r="AN5338" s="13"/>
      <c r="AO5338" s="13"/>
      <c r="AP5338" s="13"/>
      <c r="AQ5338" s="13"/>
      <c r="AR5338" s="13"/>
      <c r="AS5338" s="13"/>
    </row>
    <row r="5339" ht="14.25" customHeight="1">
      <c r="A5339" s="13"/>
      <c r="B5339" s="13"/>
      <c r="C5339" s="13"/>
      <c r="D5339" s="13"/>
      <c r="E5339" s="13"/>
      <c r="F5339" s="13"/>
      <c r="G5339" s="13"/>
      <c r="H5339" s="13"/>
      <c r="I5339" s="13"/>
      <c r="J5339" s="13"/>
      <c r="K5339" s="15"/>
      <c r="L5339" s="15"/>
      <c r="M5339" s="16"/>
      <c r="N5339" s="16"/>
      <c r="O5339" s="17"/>
      <c r="P5339" s="17"/>
      <c r="Q5339" s="13"/>
      <c r="R5339" s="13"/>
      <c r="S5339" s="13"/>
      <c r="T5339" s="13"/>
      <c r="U5339" s="13"/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F5339" s="13"/>
      <c r="AG5339" s="13"/>
      <c r="AH5339" s="13"/>
      <c r="AI5339" s="13"/>
      <c r="AJ5339" s="13"/>
      <c r="AK5339" s="13"/>
      <c r="AL5339" s="13"/>
      <c r="AM5339" s="13"/>
      <c r="AN5339" s="13"/>
      <c r="AO5339" s="13"/>
      <c r="AP5339" s="13"/>
      <c r="AQ5339" s="13"/>
      <c r="AR5339" s="13"/>
      <c r="AS5339" s="13"/>
    </row>
    <row r="5340" ht="14.25" customHeight="1">
      <c r="A5340" s="13"/>
      <c r="B5340" s="13"/>
      <c r="C5340" s="13"/>
      <c r="D5340" s="13"/>
      <c r="E5340" s="13"/>
      <c r="F5340" s="13"/>
      <c r="G5340" s="13"/>
      <c r="H5340" s="13"/>
      <c r="I5340" s="13"/>
      <c r="J5340" s="13"/>
      <c r="K5340" s="15"/>
      <c r="L5340" s="15"/>
      <c r="M5340" s="16"/>
      <c r="N5340" s="16"/>
      <c r="O5340" s="17"/>
      <c r="P5340" s="17"/>
      <c r="Q5340" s="13"/>
      <c r="R5340" s="13"/>
      <c r="S5340" s="13"/>
      <c r="T5340" s="13"/>
      <c r="U5340" s="13"/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F5340" s="13"/>
      <c r="AG5340" s="13"/>
      <c r="AH5340" s="13"/>
      <c r="AI5340" s="13"/>
      <c r="AJ5340" s="13"/>
      <c r="AK5340" s="13"/>
      <c r="AL5340" s="13"/>
      <c r="AM5340" s="13"/>
      <c r="AN5340" s="13"/>
      <c r="AO5340" s="13"/>
      <c r="AP5340" s="13"/>
      <c r="AQ5340" s="13"/>
      <c r="AR5340" s="13"/>
      <c r="AS5340" s="13"/>
    </row>
    <row r="5341" ht="14.25" customHeight="1">
      <c r="A5341" s="13"/>
      <c r="B5341" s="13"/>
      <c r="C5341" s="13"/>
      <c r="D5341" s="13"/>
      <c r="E5341" s="13"/>
      <c r="F5341" s="13"/>
      <c r="G5341" s="13"/>
      <c r="H5341" s="13"/>
      <c r="I5341" s="13"/>
      <c r="J5341" s="13"/>
      <c r="K5341" s="15"/>
      <c r="L5341" s="15"/>
      <c r="M5341" s="16"/>
      <c r="N5341" s="16"/>
      <c r="O5341" s="17"/>
      <c r="P5341" s="17"/>
      <c r="Q5341" s="13"/>
      <c r="R5341" s="13"/>
      <c r="S5341" s="13"/>
      <c r="T5341" s="13"/>
      <c r="U5341" s="13"/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13"/>
      <c r="AG5341" s="13"/>
      <c r="AH5341" s="13"/>
      <c r="AI5341" s="13"/>
      <c r="AJ5341" s="13"/>
      <c r="AK5341" s="13"/>
      <c r="AL5341" s="13"/>
      <c r="AM5341" s="13"/>
      <c r="AN5341" s="13"/>
      <c r="AO5341" s="13"/>
      <c r="AP5341" s="13"/>
      <c r="AQ5341" s="13"/>
      <c r="AR5341" s="13"/>
      <c r="AS5341" s="13"/>
    </row>
    <row r="5342" ht="14.25" customHeight="1">
      <c r="A5342" s="13"/>
      <c r="B5342" s="13"/>
      <c r="C5342" s="13"/>
      <c r="D5342" s="13"/>
      <c r="E5342" s="13"/>
      <c r="F5342" s="13"/>
      <c r="G5342" s="13"/>
      <c r="H5342" s="13"/>
      <c r="I5342" s="13"/>
      <c r="J5342" s="13"/>
      <c r="K5342" s="15"/>
      <c r="L5342" s="15"/>
      <c r="M5342" s="16"/>
      <c r="N5342" s="16"/>
      <c r="O5342" s="17"/>
      <c r="P5342" s="17"/>
      <c r="Q5342" s="13"/>
      <c r="R5342" s="13"/>
      <c r="S5342" s="13"/>
      <c r="T5342" s="13"/>
      <c r="U5342" s="13"/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13"/>
      <c r="AG5342" s="13"/>
      <c r="AH5342" s="13"/>
      <c r="AI5342" s="13"/>
      <c r="AJ5342" s="13"/>
      <c r="AK5342" s="13"/>
      <c r="AL5342" s="13"/>
      <c r="AM5342" s="13"/>
      <c r="AN5342" s="13"/>
      <c r="AO5342" s="13"/>
      <c r="AP5342" s="13"/>
      <c r="AQ5342" s="13"/>
      <c r="AR5342" s="13"/>
      <c r="AS5342" s="13"/>
    </row>
    <row r="5343" ht="14.25" customHeight="1">
      <c r="A5343" s="13"/>
      <c r="B5343" s="13"/>
      <c r="C5343" s="13"/>
      <c r="D5343" s="13"/>
      <c r="E5343" s="13"/>
      <c r="F5343" s="13"/>
      <c r="G5343" s="13"/>
      <c r="H5343" s="13"/>
      <c r="I5343" s="13"/>
      <c r="J5343" s="13"/>
      <c r="K5343" s="15"/>
      <c r="L5343" s="15"/>
      <c r="M5343" s="16"/>
      <c r="N5343" s="16"/>
      <c r="O5343" s="17"/>
      <c r="P5343" s="17"/>
      <c r="Q5343" s="13"/>
      <c r="R5343" s="13"/>
      <c r="S5343" s="13"/>
      <c r="T5343" s="13"/>
      <c r="U5343" s="13"/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F5343" s="13"/>
      <c r="AG5343" s="13"/>
      <c r="AH5343" s="13"/>
      <c r="AI5343" s="13"/>
      <c r="AJ5343" s="13"/>
      <c r="AK5343" s="13"/>
      <c r="AL5343" s="13"/>
      <c r="AM5343" s="13"/>
      <c r="AN5343" s="13"/>
      <c r="AO5343" s="13"/>
      <c r="AP5343" s="13"/>
      <c r="AQ5343" s="13"/>
      <c r="AR5343" s="13"/>
      <c r="AS5343" s="13"/>
    </row>
    <row r="5344" ht="14.25" customHeight="1">
      <c r="A5344" s="13"/>
      <c r="B5344" s="13"/>
      <c r="C5344" s="13"/>
      <c r="D5344" s="13"/>
      <c r="E5344" s="13"/>
      <c r="F5344" s="13"/>
      <c r="G5344" s="13"/>
      <c r="H5344" s="13"/>
      <c r="I5344" s="13"/>
      <c r="J5344" s="13"/>
      <c r="K5344" s="15"/>
      <c r="L5344" s="15"/>
      <c r="M5344" s="16"/>
      <c r="N5344" s="16"/>
      <c r="O5344" s="17"/>
      <c r="P5344" s="17"/>
      <c r="Q5344" s="13"/>
      <c r="R5344" s="13"/>
      <c r="S5344" s="13"/>
      <c r="T5344" s="13"/>
      <c r="U5344" s="13"/>
      <c r="V5344" s="13"/>
      <c r="W5344" s="13"/>
      <c r="X5344" s="13"/>
      <c r="Y5344" s="13"/>
      <c r="Z5344" s="13"/>
      <c r="AA5344" s="13"/>
      <c r="AB5344" s="13"/>
      <c r="AC5344" s="13"/>
      <c r="AD5344" s="13"/>
      <c r="AE5344" s="13"/>
      <c r="AF5344" s="13"/>
      <c r="AG5344" s="13"/>
      <c r="AH5344" s="13"/>
      <c r="AI5344" s="13"/>
      <c r="AJ5344" s="13"/>
      <c r="AK5344" s="13"/>
      <c r="AL5344" s="13"/>
      <c r="AM5344" s="13"/>
      <c r="AN5344" s="13"/>
      <c r="AO5344" s="13"/>
      <c r="AP5344" s="13"/>
      <c r="AQ5344" s="13"/>
      <c r="AR5344" s="13"/>
      <c r="AS5344" s="13"/>
    </row>
    <row r="5345" ht="14.25" customHeight="1">
      <c r="A5345" s="13"/>
      <c r="B5345" s="13"/>
      <c r="C5345" s="13"/>
      <c r="D5345" s="13"/>
      <c r="E5345" s="13"/>
      <c r="F5345" s="13"/>
      <c r="G5345" s="13"/>
      <c r="H5345" s="13"/>
      <c r="I5345" s="13"/>
      <c r="J5345" s="13"/>
      <c r="K5345" s="15"/>
      <c r="L5345" s="15"/>
      <c r="M5345" s="16"/>
      <c r="N5345" s="16"/>
      <c r="O5345" s="17"/>
      <c r="P5345" s="17"/>
      <c r="Q5345" s="13"/>
      <c r="R5345" s="13"/>
      <c r="S5345" s="13"/>
      <c r="T5345" s="13"/>
      <c r="U5345" s="13"/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13"/>
      <c r="AG5345" s="13"/>
      <c r="AH5345" s="13"/>
      <c r="AI5345" s="13"/>
      <c r="AJ5345" s="13"/>
      <c r="AK5345" s="13"/>
      <c r="AL5345" s="13"/>
      <c r="AM5345" s="13"/>
      <c r="AN5345" s="13"/>
      <c r="AO5345" s="13"/>
      <c r="AP5345" s="13"/>
      <c r="AQ5345" s="13"/>
      <c r="AR5345" s="13"/>
      <c r="AS5345" s="13"/>
    </row>
    <row r="5346" ht="14.25" customHeight="1">
      <c r="A5346" s="13"/>
      <c r="B5346" s="13"/>
      <c r="C5346" s="13"/>
      <c r="D5346" s="13"/>
      <c r="E5346" s="13"/>
      <c r="F5346" s="13"/>
      <c r="G5346" s="13"/>
      <c r="H5346" s="13"/>
      <c r="I5346" s="13"/>
      <c r="J5346" s="13"/>
      <c r="K5346" s="15"/>
      <c r="L5346" s="15"/>
      <c r="M5346" s="16"/>
      <c r="N5346" s="16"/>
      <c r="O5346" s="17"/>
      <c r="P5346" s="17"/>
      <c r="Q5346" s="13"/>
      <c r="R5346" s="13"/>
      <c r="S5346" s="13"/>
      <c r="T5346" s="13"/>
      <c r="U5346" s="13"/>
      <c r="V5346" s="13"/>
      <c r="W5346" s="13"/>
      <c r="X5346" s="13"/>
      <c r="Y5346" s="13"/>
      <c r="Z5346" s="13"/>
      <c r="AA5346" s="13"/>
      <c r="AB5346" s="13"/>
      <c r="AC5346" s="13"/>
      <c r="AD5346" s="13"/>
      <c r="AE5346" s="13"/>
      <c r="AF5346" s="13"/>
      <c r="AG5346" s="13"/>
      <c r="AH5346" s="13"/>
      <c r="AI5346" s="13"/>
      <c r="AJ5346" s="13"/>
      <c r="AK5346" s="13"/>
      <c r="AL5346" s="13"/>
      <c r="AM5346" s="13"/>
      <c r="AN5346" s="13"/>
      <c r="AO5346" s="13"/>
      <c r="AP5346" s="13"/>
      <c r="AQ5346" s="13"/>
      <c r="AR5346" s="13"/>
      <c r="AS5346" s="13"/>
    </row>
    <row r="5347" ht="14.25" customHeight="1">
      <c r="A5347" s="13"/>
      <c r="B5347" s="13"/>
      <c r="C5347" s="13"/>
      <c r="D5347" s="13"/>
      <c r="E5347" s="13"/>
      <c r="F5347" s="13"/>
      <c r="G5347" s="13"/>
      <c r="H5347" s="13"/>
      <c r="I5347" s="13"/>
      <c r="J5347" s="13"/>
      <c r="K5347" s="15"/>
      <c r="L5347" s="15"/>
      <c r="M5347" s="16"/>
      <c r="N5347" s="16"/>
      <c r="O5347" s="17"/>
      <c r="P5347" s="17"/>
      <c r="Q5347" s="13"/>
      <c r="R5347" s="13"/>
      <c r="S5347" s="13"/>
      <c r="T5347" s="13"/>
      <c r="U5347" s="13"/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F5347" s="13"/>
      <c r="AG5347" s="13"/>
      <c r="AH5347" s="13"/>
      <c r="AI5347" s="13"/>
      <c r="AJ5347" s="13"/>
      <c r="AK5347" s="13"/>
      <c r="AL5347" s="13"/>
      <c r="AM5347" s="13"/>
      <c r="AN5347" s="13"/>
      <c r="AO5347" s="13"/>
      <c r="AP5347" s="13"/>
      <c r="AQ5347" s="13"/>
      <c r="AR5347" s="13"/>
      <c r="AS5347" s="13"/>
    </row>
    <row r="5348" ht="14.25" customHeight="1">
      <c r="A5348" s="13"/>
      <c r="B5348" s="13"/>
      <c r="C5348" s="13"/>
      <c r="D5348" s="13"/>
      <c r="E5348" s="13"/>
      <c r="F5348" s="13"/>
      <c r="G5348" s="13"/>
      <c r="H5348" s="13"/>
      <c r="I5348" s="13"/>
      <c r="J5348" s="13"/>
      <c r="K5348" s="15"/>
      <c r="L5348" s="15"/>
      <c r="M5348" s="16"/>
      <c r="N5348" s="16"/>
      <c r="O5348" s="17"/>
      <c r="P5348" s="17"/>
      <c r="Q5348" s="13"/>
      <c r="R5348" s="13"/>
      <c r="S5348" s="13"/>
      <c r="T5348" s="13"/>
      <c r="U5348" s="13"/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F5348" s="13"/>
      <c r="AG5348" s="13"/>
      <c r="AH5348" s="13"/>
      <c r="AI5348" s="13"/>
      <c r="AJ5348" s="13"/>
      <c r="AK5348" s="13"/>
      <c r="AL5348" s="13"/>
      <c r="AM5348" s="13"/>
      <c r="AN5348" s="13"/>
      <c r="AO5348" s="13"/>
      <c r="AP5348" s="13"/>
      <c r="AQ5348" s="13"/>
      <c r="AR5348" s="13"/>
      <c r="AS5348" s="13"/>
    </row>
    <row r="5349" ht="14.25" customHeight="1">
      <c r="A5349" s="13"/>
      <c r="B5349" s="13"/>
      <c r="C5349" s="13"/>
      <c r="D5349" s="13"/>
      <c r="E5349" s="13"/>
      <c r="F5349" s="13"/>
      <c r="G5349" s="13"/>
      <c r="H5349" s="13"/>
      <c r="I5349" s="13"/>
      <c r="J5349" s="13"/>
      <c r="K5349" s="15"/>
      <c r="L5349" s="15"/>
      <c r="M5349" s="16"/>
      <c r="N5349" s="16"/>
      <c r="O5349" s="17"/>
      <c r="P5349" s="17"/>
      <c r="Q5349" s="13"/>
      <c r="R5349" s="13"/>
      <c r="S5349" s="13"/>
      <c r="T5349" s="13"/>
      <c r="U5349" s="13"/>
      <c r="V5349" s="13"/>
      <c r="W5349" s="13"/>
      <c r="X5349" s="13"/>
      <c r="Y5349" s="13"/>
      <c r="Z5349" s="13"/>
      <c r="AA5349" s="13"/>
      <c r="AB5349" s="13"/>
      <c r="AC5349" s="13"/>
      <c r="AD5349" s="13"/>
      <c r="AE5349" s="13"/>
      <c r="AF5349" s="13"/>
      <c r="AG5349" s="13"/>
      <c r="AH5349" s="13"/>
      <c r="AI5349" s="13"/>
      <c r="AJ5349" s="13"/>
      <c r="AK5349" s="13"/>
      <c r="AL5349" s="13"/>
      <c r="AM5349" s="13"/>
      <c r="AN5349" s="13"/>
      <c r="AO5349" s="13"/>
      <c r="AP5349" s="13"/>
      <c r="AQ5349" s="13"/>
      <c r="AR5349" s="13"/>
      <c r="AS5349" s="13"/>
    </row>
    <row r="5350" ht="14.25" customHeight="1">
      <c r="A5350" s="13"/>
      <c r="B5350" s="13"/>
      <c r="C5350" s="13"/>
      <c r="D5350" s="13"/>
      <c r="E5350" s="13"/>
      <c r="F5350" s="13"/>
      <c r="G5350" s="13"/>
      <c r="H5350" s="13"/>
      <c r="I5350" s="13"/>
      <c r="J5350" s="13"/>
      <c r="K5350" s="15"/>
      <c r="L5350" s="15"/>
      <c r="M5350" s="16"/>
      <c r="N5350" s="16"/>
      <c r="O5350" s="17"/>
      <c r="P5350" s="17"/>
      <c r="Q5350" s="13"/>
      <c r="R5350" s="13"/>
      <c r="S5350" s="13"/>
      <c r="T5350" s="13"/>
      <c r="U5350" s="13"/>
      <c r="V5350" s="13"/>
      <c r="W5350" s="13"/>
      <c r="X5350" s="13"/>
      <c r="Y5350" s="13"/>
      <c r="Z5350" s="13"/>
      <c r="AA5350" s="13"/>
      <c r="AB5350" s="13"/>
      <c r="AC5350" s="13"/>
      <c r="AD5350" s="13"/>
      <c r="AE5350" s="13"/>
      <c r="AF5350" s="13"/>
      <c r="AG5350" s="13"/>
      <c r="AH5350" s="13"/>
      <c r="AI5350" s="13"/>
      <c r="AJ5350" s="13"/>
      <c r="AK5350" s="13"/>
      <c r="AL5350" s="13"/>
      <c r="AM5350" s="13"/>
      <c r="AN5350" s="13"/>
      <c r="AO5350" s="13"/>
      <c r="AP5350" s="13"/>
      <c r="AQ5350" s="13"/>
      <c r="AR5350" s="13"/>
      <c r="AS5350" s="13"/>
    </row>
    <row r="5351" ht="14.25" customHeight="1">
      <c r="A5351" s="13"/>
      <c r="B5351" s="13"/>
      <c r="C5351" s="13"/>
      <c r="D5351" s="13"/>
      <c r="E5351" s="13"/>
      <c r="F5351" s="13"/>
      <c r="G5351" s="13"/>
      <c r="H5351" s="13"/>
      <c r="I5351" s="13"/>
      <c r="J5351" s="13"/>
      <c r="K5351" s="15"/>
      <c r="L5351" s="15"/>
      <c r="M5351" s="16"/>
      <c r="N5351" s="16"/>
      <c r="O5351" s="17"/>
      <c r="P5351" s="17"/>
      <c r="Q5351" s="13"/>
      <c r="R5351" s="13"/>
      <c r="S5351" s="13"/>
      <c r="T5351" s="13"/>
      <c r="U5351" s="13"/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  <c r="AG5351" s="13"/>
      <c r="AH5351" s="13"/>
      <c r="AI5351" s="13"/>
      <c r="AJ5351" s="13"/>
      <c r="AK5351" s="13"/>
      <c r="AL5351" s="13"/>
      <c r="AM5351" s="13"/>
      <c r="AN5351" s="13"/>
      <c r="AO5351" s="13"/>
      <c r="AP5351" s="13"/>
      <c r="AQ5351" s="13"/>
      <c r="AR5351" s="13"/>
      <c r="AS5351" s="13"/>
    </row>
    <row r="5352" ht="14.25" customHeight="1">
      <c r="A5352" s="13"/>
      <c r="B5352" s="13"/>
      <c r="C5352" s="13"/>
      <c r="D5352" s="13"/>
      <c r="E5352" s="13"/>
      <c r="F5352" s="13"/>
      <c r="G5352" s="13"/>
      <c r="H5352" s="13"/>
      <c r="I5352" s="13"/>
      <c r="J5352" s="13"/>
      <c r="K5352" s="15"/>
      <c r="L5352" s="15"/>
      <c r="M5352" s="16"/>
      <c r="N5352" s="16"/>
      <c r="O5352" s="17"/>
      <c r="P5352" s="17"/>
      <c r="Q5352" s="13"/>
      <c r="R5352" s="13"/>
      <c r="S5352" s="13"/>
      <c r="T5352" s="13"/>
      <c r="U5352" s="13"/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  <c r="AG5352" s="13"/>
      <c r="AH5352" s="13"/>
      <c r="AI5352" s="13"/>
      <c r="AJ5352" s="13"/>
      <c r="AK5352" s="13"/>
      <c r="AL5352" s="13"/>
      <c r="AM5352" s="13"/>
      <c r="AN5352" s="13"/>
      <c r="AO5352" s="13"/>
      <c r="AP5352" s="13"/>
      <c r="AQ5352" s="13"/>
      <c r="AR5352" s="13"/>
      <c r="AS5352" s="13"/>
    </row>
    <row r="5353" ht="14.25" customHeight="1">
      <c r="A5353" s="13"/>
      <c r="B5353" s="13"/>
      <c r="C5353" s="13"/>
      <c r="D5353" s="13"/>
      <c r="E5353" s="13"/>
      <c r="F5353" s="13"/>
      <c r="G5353" s="13"/>
      <c r="H5353" s="13"/>
      <c r="I5353" s="13"/>
      <c r="J5353" s="13"/>
      <c r="K5353" s="15"/>
      <c r="L5353" s="15"/>
      <c r="M5353" s="16"/>
      <c r="N5353" s="16"/>
      <c r="O5353" s="17"/>
      <c r="P5353" s="17"/>
      <c r="Q5353" s="13"/>
      <c r="R5353" s="13"/>
      <c r="S5353" s="13"/>
      <c r="T5353" s="13"/>
      <c r="U5353" s="13"/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F5353" s="13"/>
      <c r="AG5353" s="13"/>
      <c r="AH5353" s="13"/>
      <c r="AI5353" s="13"/>
      <c r="AJ5353" s="13"/>
      <c r="AK5353" s="13"/>
      <c r="AL5353" s="13"/>
      <c r="AM5353" s="13"/>
      <c r="AN5353" s="13"/>
      <c r="AO5353" s="13"/>
      <c r="AP5353" s="13"/>
      <c r="AQ5353" s="13"/>
      <c r="AR5353" s="13"/>
      <c r="AS5353" s="13"/>
    </row>
    <row r="5354" ht="14.25" customHeight="1">
      <c r="A5354" s="13"/>
      <c r="B5354" s="13"/>
      <c r="C5354" s="13"/>
      <c r="D5354" s="13"/>
      <c r="E5354" s="13"/>
      <c r="F5354" s="13"/>
      <c r="G5354" s="13"/>
      <c r="H5354" s="13"/>
      <c r="I5354" s="13"/>
      <c r="J5354" s="13"/>
      <c r="K5354" s="15"/>
      <c r="L5354" s="15"/>
      <c r="M5354" s="16"/>
      <c r="N5354" s="16"/>
      <c r="O5354" s="17"/>
      <c r="P5354" s="17"/>
      <c r="Q5354" s="13"/>
      <c r="R5354" s="13"/>
      <c r="S5354" s="13"/>
      <c r="T5354" s="13"/>
      <c r="U5354" s="13"/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  <c r="AG5354" s="13"/>
      <c r="AH5354" s="13"/>
      <c r="AI5354" s="13"/>
      <c r="AJ5354" s="13"/>
      <c r="AK5354" s="13"/>
      <c r="AL5354" s="13"/>
      <c r="AM5354" s="13"/>
      <c r="AN5354" s="13"/>
      <c r="AO5354" s="13"/>
      <c r="AP5354" s="13"/>
      <c r="AQ5354" s="13"/>
      <c r="AR5354" s="13"/>
      <c r="AS5354" s="13"/>
    </row>
    <row r="5355" ht="14.25" customHeight="1">
      <c r="A5355" s="13"/>
      <c r="B5355" s="13"/>
      <c r="C5355" s="13"/>
      <c r="D5355" s="13"/>
      <c r="E5355" s="13"/>
      <c r="F5355" s="13"/>
      <c r="G5355" s="13"/>
      <c r="H5355" s="13"/>
      <c r="I5355" s="13"/>
      <c r="J5355" s="13"/>
      <c r="K5355" s="15"/>
      <c r="L5355" s="15"/>
      <c r="M5355" s="16"/>
      <c r="N5355" s="16"/>
      <c r="O5355" s="17"/>
      <c r="P5355" s="17"/>
      <c r="Q5355" s="13"/>
      <c r="R5355" s="13"/>
      <c r="S5355" s="13"/>
      <c r="T5355" s="13"/>
      <c r="U5355" s="13"/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F5355" s="13"/>
      <c r="AG5355" s="13"/>
      <c r="AH5355" s="13"/>
      <c r="AI5355" s="13"/>
      <c r="AJ5355" s="13"/>
      <c r="AK5355" s="13"/>
      <c r="AL5355" s="13"/>
      <c r="AM5355" s="13"/>
      <c r="AN5355" s="13"/>
      <c r="AO5355" s="13"/>
      <c r="AP5355" s="13"/>
      <c r="AQ5355" s="13"/>
      <c r="AR5355" s="13"/>
      <c r="AS5355" s="13"/>
    </row>
    <row r="5356" ht="14.25" customHeight="1">
      <c r="A5356" s="13"/>
      <c r="B5356" s="13"/>
      <c r="C5356" s="13"/>
      <c r="D5356" s="13"/>
      <c r="E5356" s="13"/>
      <c r="F5356" s="13"/>
      <c r="G5356" s="13"/>
      <c r="H5356" s="13"/>
      <c r="I5356" s="13"/>
      <c r="J5356" s="13"/>
      <c r="K5356" s="15"/>
      <c r="L5356" s="15"/>
      <c r="M5356" s="16"/>
      <c r="N5356" s="16"/>
      <c r="O5356" s="17"/>
      <c r="P5356" s="17"/>
      <c r="Q5356" s="13"/>
      <c r="R5356" s="13"/>
      <c r="S5356" s="13"/>
      <c r="T5356" s="13"/>
      <c r="U5356" s="13"/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F5356" s="13"/>
      <c r="AG5356" s="13"/>
      <c r="AH5356" s="13"/>
      <c r="AI5356" s="13"/>
      <c r="AJ5356" s="13"/>
      <c r="AK5356" s="13"/>
      <c r="AL5356" s="13"/>
      <c r="AM5356" s="13"/>
      <c r="AN5356" s="13"/>
      <c r="AO5356" s="13"/>
      <c r="AP5356" s="13"/>
      <c r="AQ5356" s="13"/>
      <c r="AR5356" s="13"/>
      <c r="AS5356" s="13"/>
    </row>
    <row r="5357" ht="14.25" customHeight="1">
      <c r="A5357" s="13"/>
      <c r="B5357" s="13"/>
      <c r="C5357" s="13"/>
      <c r="D5357" s="13"/>
      <c r="E5357" s="13"/>
      <c r="F5357" s="13"/>
      <c r="G5357" s="13"/>
      <c r="H5357" s="13"/>
      <c r="I5357" s="13"/>
      <c r="J5357" s="13"/>
      <c r="K5357" s="15"/>
      <c r="L5357" s="15"/>
      <c r="M5357" s="16"/>
      <c r="N5357" s="16"/>
      <c r="O5357" s="17"/>
      <c r="P5357" s="17"/>
      <c r="Q5357" s="13"/>
      <c r="R5357" s="13"/>
      <c r="S5357" s="13"/>
      <c r="T5357" s="13"/>
      <c r="U5357" s="13"/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/>
      <c r="AG5357" s="13"/>
      <c r="AH5357" s="13"/>
      <c r="AI5357" s="13"/>
      <c r="AJ5357" s="13"/>
      <c r="AK5357" s="13"/>
      <c r="AL5357" s="13"/>
      <c r="AM5357" s="13"/>
      <c r="AN5357" s="13"/>
      <c r="AO5357" s="13"/>
      <c r="AP5357" s="13"/>
      <c r="AQ5357" s="13"/>
      <c r="AR5357" s="13"/>
      <c r="AS5357" s="13"/>
    </row>
    <row r="5358" ht="14.25" customHeight="1">
      <c r="A5358" s="13"/>
      <c r="B5358" s="13"/>
      <c r="C5358" s="13"/>
      <c r="D5358" s="13"/>
      <c r="E5358" s="13"/>
      <c r="F5358" s="13"/>
      <c r="G5358" s="13"/>
      <c r="H5358" s="13"/>
      <c r="I5358" s="13"/>
      <c r="J5358" s="13"/>
      <c r="K5358" s="15"/>
      <c r="L5358" s="15"/>
      <c r="M5358" s="16"/>
      <c r="N5358" s="16"/>
      <c r="O5358" s="17"/>
      <c r="P5358" s="17"/>
      <c r="Q5358" s="13"/>
      <c r="R5358" s="13"/>
      <c r="S5358" s="13"/>
      <c r="T5358" s="13"/>
      <c r="U5358" s="13"/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F5358" s="13"/>
      <c r="AG5358" s="13"/>
      <c r="AH5358" s="13"/>
      <c r="AI5358" s="13"/>
      <c r="AJ5358" s="13"/>
      <c r="AK5358" s="13"/>
      <c r="AL5358" s="13"/>
      <c r="AM5358" s="13"/>
      <c r="AN5358" s="13"/>
      <c r="AO5358" s="13"/>
      <c r="AP5358" s="13"/>
      <c r="AQ5358" s="13"/>
      <c r="AR5358" s="13"/>
      <c r="AS5358" s="13"/>
    </row>
    <row r="5359" ht="14.25" customHeight="1">
      <c r="A5359" s="13"/>
      <c r="B5359" s="13"/>
      <c r="C5359" s="13"/>
      <c r="D5359" s="13"/>
      <c r="E5359" s="13"/>
      <c r="F5359" s="13"/>
      <c r="G5359" s="13"/>
      <c r="H5359" s="13"/>
      <c r="I5359" s="13"/>
      <c r="J5359" s="13"/>
      <c r="K5359" s="15"/>
      <c r="L5359" s="15"/>
      <c r="M5359" s="16"/>
      <c r="N5359" s="16"/>
      <c r="O5359" s="17"/>
      <c r="P5359" s="17"/>
      <c r="Q5359" s="13"/>
      <c r="R5359" s="13"/>
      <c r="S5359" s="13"/>
      <c r="T5359" s="13"/>
      <c r="U5359" s="13"/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F5359" s="13"/>
      <c r="AG5359" s="13"/>
      <c r="AH5359" s="13"/>
      <c r="AI5359" s="13"/>
      <c r="AJ5359" s="13"/>
      <c r="AK5359" s="13"/>
      <c r="AL5359" s="13"/>
      <c r="AM5359" s="13"/>
      <c r="AN5359" s="13"/>
      <c r="AO5359" s="13"/>
      <c r="AP5359" s="13"/>
      <c r="AQ5359" s="13"/>
      <c r="AR5359" s="13"/>
      <c r="AS5359" s="13"/>
    </row>
    <row r="5360" ht="14.25" customHeight="1">
      <c r="A5360" s="13"/>
      <c r="B5360" s="13"/>
      <c r="C5360" s="13"/>
      <c r="D5360" s="13"/>
      <c r="E5360" s="13"/>
      <c r="F5360" s="13"/>
      <c r="G5360" s="13"/>
      <c r="H5360" s="13"/>
      <c r="I5360" s="13"/>
      <c r="J5360" s="13"/>
      <c r="K5360" s="15"/>
      <c r="L5360" s="15"/>
      <c r="M5360" s="16"/>
      <c r="N5360" s="16"/>
      <c r="O5360" s="17"/>
      <c r="P5360" s="17"/>
      <c r="Q5360" s="13"/>
      <c r="R5360" s="13"/>
      <c r="S5360" s="13"/>
      <c r="T5360" s="13"/>
      <c r="U5360" s="13"/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F5360" s="13"/>
      <c r="AG5360" s="13"/>
      <c r="AH5360" s="13"/>
      <c r="AI5360" s="13"/>
      <c r="AJ5360" s="13"/>
      <c r="AK5360" s="13"/>
      <c r="AL5360" s="13"/>
      <c r="AM5360" s="13"/>
      <c r="AN5360" s="13"/>
      <c r="AO5360" s="13"/>
      <c r="AP5360" s="13"/>
      <c r="AQ5360" s="13"/>
      <c r="AR5360" s="13"/>
      <c r="AS5360" s="13"/>
    </row>
    <row r="5361" ht="14.25" customHeight="1">
      <c r="A5361" s="13"/>
      <c r="B5361" s="13"/>
      <c r="C5361" s="13"/>
      <c r="D5361" s="13"/>
      <c r="E5361" s="13"/>
      <c r="F5361" s="13"/>
      <c r="G5361" s="13"/>
      <c r="H5361" s="13"/>
      <c r="I5361" s="13"/>
      <c r="J5361" s="13"/>
      <c r="K5361" s="15"/>
      <c r="L5361" s="15"/>
      <c r="M5361" s="16"/>
      <c r="N5361" s="16"/>
      <c r="O5361" s="17"/>
      <c r="P5361" s="17"/>
      <c r="Q5361" s="13"/>
      <c r="R5361" s="13"/>
      <c r="S5361" s="13"/>
      <c r="T5361" s="13"/>
      <c r="U5361" s="13"/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  <c r="AG5361" s="13"/>
      <c r="AH5361" s="13"/>
      <c r="AI5361" s="13"/>
      <c r="AJ5361" s="13"/>
      <c r="AK5361" s="13"/>
      <c r="AL5361" s="13"/>
      <c r="AM5361" s="13"/>
      <c r="AN5361" s="13"/>
      <c r="AO5361" s="13"/>
      <c r="AP5361" s="13"/>
      <c r="AQ5361" s="13"/>
      <c r="AR5361" s="13"/>
      <c r="AS5361" s="13"/>
    </row>
    <row r="5362" ht="14.25" customHeight="1">
      <c r="A5362" s="13"/>
      <c r="B5362" s="13"/>
      <c r="C5362" s="13"/>
      <c r="D5362" s="13"/>
      <c r="E5362" s="13"/>
      <c r="F5362" s="13"/>
      <c r="G5362" s="13"/>
      <c r="H5362" s="13"/>
      <c r="I5362" s="13"/>
      <c r="J5362" s="13"/>
      <c r="K5362" s="15"/>
      <c r="L5362" s="15"/>
      <c r="M5362" s="16"/>
      <c r="N5362" s="16"/>
      <c r="O5362" s="17"/>
      <c r="P5362" s="17"/>
      <c r="Q5362" s="13"/>
      <c r="R5362" s="13"/>
      <c r="S5362" s="13"/>
      <c r="T5362" s="13"/>
      <c r="U5362" s="13"/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  <c r="AG5362" s="13"/>
      <c r="AH5362" s="13"/>
      <c r="AI5362" s="13"/>
      <c r="AJ5362" s="13"/>
      <c r="AK5362" s="13"/>
      <c r="AL5362" s="13"/>
      <c r="AM5362" s="13"/>
      <c r="AN5362" s="13"/>
      <c r="AO5362" s="13"/>
      <c r="AP5362" s="13"/>
      <c r="AQ5362" s="13"/>
      <c r="AR5362" s="13"/>
      <c r="AS5362" s="13"/>
    </row>
    <row r="5363" ht="14.25" customHeight="1">
      <c r="A5363" s="13"/>
      <c r="B5363" s="13"/>
      <c r="C5363" s="13"/>
      <c r="D5363" s="13"/>
      <c r="E5363" s="13"/>
      <c r="F5363" s="13"/>
      <c r="G5363" s="13"/>
      <c r="H5363" s="13"/>
      <c r="I5363" s="13"/>
      <c r="J5363" s="13"/>
      <c r="K5363" s="15"/>
      <c r="L5363" s="15"/>
      <c r="M5363" s="16"/>
      <c r="N5363" s="16"/>
      <c r="O5363" s="17"/>
      <c r="P5363" s="17"/>
      <c r="Q5363" s="13"/>
      <c r="R5363" s="13"/>
      <c r="S5363" s="13"/>
      <c r="T5363" s="13"/>
      <c r="U5363" s="13"/>
      <c r="V5363" s="13"/>
      <c r="W5363" s="13"/>
      <c r="X5363" s="13"/>
      <c r="Y5363" s="13"/>
      <c r="Z5363" s="13"/>
      <c r="AA5363" s="13"/>
      <c r="AB5363" s="13"/>
      <c r="AC5363" s="13"/>
      <c r="AD5363" s="13"/>
      <c r="AE5363" s="13"/>
      <c r="AF5363" s="13"/>
      <c r="AG5363" s="13"/>
      <c r="AH5363" s="13"/>
      <c r="AI5363" s="13"/>
      <c r="AJ5363" s="13"/>
      <c r="AK5363" s="13"/>
      <c r="AL5363" s="13"/>
      <c r="AM5363" s="13"/>
      <c r="AN5363" s="13"/>
      <c r="AO5363" s="13"/>
      <c r="AP5363" s="13"/>
      <c r="AQ5363" s="13"/>
      <c r="AR5363" s="13"/>
      <c r="AS5363" s="13"/>
    </row>
    <row r="5364" ht="14.25" customHeight="1">
      <c r="A5364" s="13"/>
      <c r="B5364" s="13"/>
      <c r="C5364" s="13"/>
      <c r="D5364" s="13"/>
      <c r="E5364" s="13"/>
      <c r="F5364" s="13"/>
      <c r="G5364" s="13"/>
      <c r="H5364" s="13"/>
      <c r="I5364" s="13"/>
      <c r="J5364" s="13"/>
      <c r="K5364" s="15"/>
      <c r="L5364" s="15"/>
      <c r="M5364" s="16"/>
      <c r="N5364" s="16"/>
      <c r="O5364" s="17"/>
      <c r="P5364" s="17"/>
      <c r="Q5364" s="13"/>
      <c r="R5364" s="13"/>
      <c r="S5364" s="13"/>
      <c r="T5364" s="13"/>
      <c r="U5364" s="13"/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F5364" s="13"/>
      <c r="AG5364" s="13"/>
      <c r="AH5364" s="13"/>
      <c r="AI5364" s="13"/>
      <c r="AJ5364" s="13"/>
      <c r="AK5364" s="13"/>
      <c r="AL5364" s="13"/>
      <c r="AM5364" s="13"/>
      <c r="AN5364" s="13"/>
      <c r="AO5364" s="13"/>
      <c r="AP5364" s="13"/>
      <c r="AQ5364" s="13"/>
      <c r="AR5364" s="13"/>
      <c r="AS5364" s="13"/>
    </row>
    <row r="5365" ht="14.25" customHeight="1">
      <c r="A5365" s="13"/>
      <c r="B5365" s="13"/>
      <c r="C5365" s="13"/>
      <c r="D5365" s="13"/>
      <c r="E5365" s="13"/>
      <c r="F5365" s="13"/>
      <c r="G5365" s="13"/>
      <c r="H5365" s="13"/>
      <c r="I5365" s="13"/>
      <c r="J5365" s="13"/>
      <c r="K5365" s="15"/>
      <c r="L5365" s="15"/>
      <c r="M5365" s="16"/>
      <c r="N5365" s="16"/>
      <c r="O5365" s="17"/>
      <c r="P5365" s="17"/>
      <c r="Q5365" s="13"/>
      <c r="R5365" s="13"/>
      <c r="S5365" s="13"/>
      <c r="T5365" s="13"/>
      <c r="U5365" s="13"/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F5365" s="13"/>
      <c r="AG5365" s="13"/>
      <c r="AH5365" s="13"/>
      <c r="AI5365" s="13"/>
      <c r="AJ5365" s="13"/>
      <c r="AK5365" s="13"/>
      <c r="AL5365" s="13"/>
      <c r="AM5365" s="13"/>
      <c r="AN5365" s="13"/>
      <c r="AO5365" s="13"/>
      <c r="AP5365" s="13"/>
      <c r="AQ5365" s="13"/>
      <c r="AR5365" s="13"/>
      <c r="AS5365" s="13"/>
    </row>
    <row r="5366" ht="14.25" customHeight="1">
      <c r="A5366" s="13"/>
      <c r="B5366" s="13"/>
      <c r="C5366" s="13"/>
      <c r="D5366" s="13"/>
      <c r="E5366" s="13"/>
      <c r="F5366" s="13"/>
      <c r="G5366" s="13"/>
      <c r="H5366" s="13"/>
      <c r="I5366" s="13"/>
      <c r="J5366" s="13"/>
      <c r="K5366" s="15"/>
      <c r="L5366" s="15"/>
      <c r="M5366" s="16"/>
      <c r="N5366" s="16"/>
      <c r="O5366" s="17"/>
      <c r="P5366" s="17"/>
      <c r="Q5366" s="13"/>
      <c r="R5366" s="13"/>
      <c r="S5366" s="13"/>
      <c r="T5366" s="13"/>
      <c r="U5366" s="13"/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  <c r="AG5366" s="13"/>
      <c r="AH5366" s="13"/>
      <c r="AI5366" s="13"/>
      <c r="AJ5366" s="13"/>
      <c r="AK5366" s="13"/>
      <c r="AL5366" s="13"/>
      <c r="AM5366" s="13"/>
      <c r="AN5366" s="13"/>
      <c r="AO5366" s="13"/>
      <c r="AP5366" s="13"/>
      <c r="AQ5366" s="13"/>
      <c r="AR5366" s="13"/>
      <c r="AS5366" s="13"/>
    </row>
    <row r="5367" ht="14.25" customHeight="1">
      <c r="A5367" s="13"/>
      <c r="B5367" s="13"/>
      <c r="C5367" s="13"/>
      <c r="D5367" s="13"/>
      <c r="E5367" s="13"/>
      <c r="F5367" s="13"/>
      <c r="G5367" s="13"/>
      <c r="H5367" s="13"/>
      <c r="I5367" s="13"/>
      <c r="J5367" s="13"/>
      <c r="K5367" s="15"/>
      <c r="L5367" s="15"/>
      <c r="M5367" s="16"/>
      <c r="N5367" s="16"/>
      <c r="O5367" s="17"/>
      <c r="P5367" s="17"/>
      <c r="Q5367" s="13"/>
      <c r="R5367" s="13"/>
      <c r="S5367" s="13"/>
      <c r="T5367" s="13"/>
      <c r="U5367" s="13"/>
      <c r="V5367" s="13"/>
      <c r="W5367" s="13"/>
      <c r="X5367" s="13"/>
      <c r="Y5367" s="13"/>
      <c r="Z5367" s="13"/>
      <c r="AA5367" s="13"/>
      <c r="AB5367" s="13"/>
      <c r="AC5367" s="13"/>
      <c r="AD5367" s="13"/>
      <c r="AE5367" s="13"/>
      <c r="AF5367" s="13"/>
      <c r="AG5367" s="13"/>
      <c r="AH5367" s="13"/>
      <c r="AI5367" s="13"/>
      <c r="AJ5367" s="13"/>
      <c r="AK5367" s="13"/>
      <c r="AL5367" s="13"/>
      <c r="AM5367" s="13"/>
      <c r="AN5367" s="13"/>
      <c r="AO5367" s="13"/>
      <c r="AP5367" s="13"/>
      <c r="AQ5367" s="13"/>
      <c r="AR5367" s="13"/>
      <c r="AS5367" s="13"/>
    </row>
    <row r="5368" ht="14.25" customHeight="1">
      <c r="A5368" s="13"/>
      <c r="B5368" s="13"/>
      <c r="C5368" s="13"/>
      <c r="D5368" s="13"/>
      <c r="E5368" s="13"/>
      <c r="F5368" s="13"/>
      <c r="G5368" s="13"/>
      <c r="H5368" s="13"/>
      <c r="I5368" s="13"/>
      <c r="J5368" s="13"/>
      <c r="K5368" s="15"/>
      <c r="L5368" s="15"/>
      <c r="M5368" s="16"/>
      <c r="N5368" s="16"/>
      <c r="O5368" s="17"/>
      <c r="P5368" s="17"/>
      <c r="Q5368" s="13"/>
      <c r="R5368" s="13"/>
      <c r="S5368" s="13"/>
      <c r="T5368" s="13"/>
      <c r="U5368" s="13"/>
      <c r="V5368" s="13"/>
      <c r="W5368" s="13"/>
      <c r="X5368" s="13"/>
      <c r="Y5368" s="13"/>
      <c r="Z5368" s="13"/>
      <c r="AA5368" s="13"/>
      <c r="AB5368" s="13"/>
      <c r="AC5368" s="13"/>
      <c r="AD5368" s="13"/>
      <c r="AE5368" s="13"/>
      <c r="AF5368" s="13"/>
      <c r="AG5368" s="13"/>
      <c r="AH5368" s="13"/>
      <c r="AI5368" s="13"/>
      <c r="AJ5368" s="13"/>
      <c r="AK5368" s="13"/>
      <c r="AL5368" s="13"/>
      <c r="AM5368" s="13"/>
      <c r="AN5368" s="13"/>
      <c r="AO5368" s="13"/>
      <c r="AP5368" s="13"/>
      <c r="AQ5368" s="13"/>
      <c r="AR5368" s="13"/>
      <c r="AS5368" s="13"/>
    </row>
    <row r="5369" ht="14.25" customHeight="1">
      <c r="A5369" s="13"/>
      <c r="B5369" s="13"/>
      <c r="C5369" s="13"/>
      <c r="D5369" s="13"/>
      <c r="E5369" s="13"/>
      <c r="F5369" s="13"/>
      <c r="G5369" s="13"/>
      <c r="H5369" s="13"/>
      <c r="I5369" s="13"/>
      <c r="J5369" s="13"/>
      <c r="K5369" s="15"/>
      <c r="L5369" s="15"/>
      <c r="M5369" s="16"/>
      <c r="N5369" s="16"/>
      <c r="O5369" s="17"/>
      <c r="P5369" s="17"/>
      <c r="Q5369" s="13"/>
      <c r="R5369" s="13"/>
      <c r="S5369" s="13"/>
      <c r="T5369" s="13"/>
      <c r="U5369" s="13"/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F5369" s="13"/>
      <c r="AG5369" s="13"/>
      <c r="AH5369" s="13"/>
      <c r="AI5369" s="13"/>
      <c r="AJ5369" s="13"/>
      <c r="AK5369" s="13"/>
      <c r="AL5369" s="13"/>
      <c r="AM5369" s="13"/>
      <c r="AN5369" s="13"/>
      <c r="AO5369" s="13"/>
      <c r="AP5369" s="13"/>
      <c r="AQ5369" s="13"/>
      <c r="AR5369" s="13"/>
      <c r="AS5369" s="13"/>
    </row>
    <row r="5370" ht="14.25" customHeight="1">
      <c r="A5370" s="13"/>
      <c r="B5370" s="13"/>
      <c r="C5370" s="13"/>
      <c r="D5370" s="13"/>
      <c r="E5370" s="13"/>
      <c r="F5370" s="13"/>
      <c r="G5370" s="13"/>
      <c r="H5370" s="13"/>
      <c r="I5370" s="13"/>
      <c r="J5370" s="13"/>
      <c r="K5370" s="15"/>
      <c r="L5370" s="15"/>
      <c r="M5370" s="16"/>
      <c r="N5370" s="16"/>
      <c r="O5370" s="17"/>
      <c r="P5370" s="17"/>
      <c r="Q5370" s="13"/>
      <c r="R5370" s="13"/>
      <c r="S5370" s="13"/>
      <c r="T5370" s="13"/>
      <c r="U5370" s="13"/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F5370" s="13"/>
      <c r="AG5370" s="13"/>
      <c r="AH5370" s="13"/>
      <c r="AI5370" s="13"/>
      <c r="AJ5370" s="13"/>
      <c r="AK5370" s="13"/>
      <c r="AL5370" s="13"/>
      <c r="AM5370" s="13"/>
      <c r="AN5370" s="13"/>
      <c r="AO5370" s="13"/>
      <c r="AP5370" s="13"/>
      <c r="AQ5370" s="13"/>
      <c r="AR5370" s="13"/>
      <c r="AS5370" s="13"/>
    </row>
    <row r="5371" ht="14.25" customHeight="1">
      <c r="A5371" s="13"/>
      <c r="B5371" s="13"/>
      <c r="C5371" s="13"/>
      <c r="D5371" s="13"/>
      <c r="E5371" s="13"/>
      <c r="F5371" s="13"/>
      <c r="G5371" s="13"/>
      <c r="H5371" s="13"/>
      <c r="I5371" s="13"/>
      <c r="J5371" s="13"/>
      <c r="K5371" s="15"/>
      <c r="L5371" s="15"/>
      <c r="M5371" s="16"/>
      <c r="N5371" s="16"/>
      <c r="O5371" s="17"/>
      <c r="P5371" s="17"/>
      <c r="Q5371" s="13"/>
      <c r="R5371" s="13"/>
      <c r="S5371" s="13"/>
      <c r="T5371" s="13"/>
      <c r="U5371" s="13"/>
      <c r="V5371" s="13"/>
      <c r="W5371" s="13"/>
      <c r="X5371" s="13"/>
      <c r="Y5371" s="13"/>
      <c r="Z5371" s="13"/>
      <c r="AA5371" s="13"/>
      <c r="AB5371" s="13"/>
      <c r="AC5371" s="13"/>
      <c r="AD5371" s="13"/>
      <c r="AE5371" s="13"/>
      <c r="AF5371" s="13"/>
      <c r="AG5371" s="13"/>
      <c r="AH5371" s="13"/>
      <c r="AI5371" s="13"/>
      <c r="AJ5371" s="13"/>
      <c r="AK5371" s="13"/>
      <c r="AL5371" s="13"/>
      <c r="AM5371" s="13"/>
      <c r="AN5371" s="13"/>
      <c r="AO5371" s="13"/>
      <c r="AP5371" s="13"/>
      <c r="AQ5371" s="13"/>
      <c r="AR5371" s="13"/>
      <c r="AS5371" s="13"/>
    </row>
    <row r="5372" ht="14.25" customHeight="1">
      <c r="A5372" s="13"/>
      <c r="B5372" s="13"/>
      <c r="C5372" s="13"/>
      <c r="D5372" s="13"/>
      <c r="E5372" s="13"/>
      <c r="F5372" s="13"/>
      <c r="G5372" s="13"/>
      <c r="H5372" s="13"/>
      <c r="I5372" s="13"/>
      <c r="J5372" s="13"/>
      <c r="K5372" s="15"/>
      <c r="L5372" s="15"/>
      <c r="M5372" s="16"/>
      <c r="N5372" s="16"/>
      <c r="O5372" s="17"/>
      <c r="P5372" s="17"/>
      <c r="Q5372" s="13"/>
      <c r="R5372" s="13"/>
      <c r="S5372" s="13"/>
      <c r="T5372" s="13"/>
      <c r="U5372" s="13"/>
      <c r="V5372" s="13"/>
      <c r="W5372" s="13"/>
      <c r="X5372" s="13"/>
      <c r="Y5372" s="13"/>
      <c r="Z5372" s="13"/>
      <c r="AA5372" s="13"/>
      <c r="AB5372" s="13"/>
      <c r="AC5372" s="13"/>
      <c r="AD5372" s="13"/>
      <c r="AE5372" s="13"/>
      <c r="AF5372" s="13"/>
      <c r="AG5372" s="13"/>
      <c r="AH5372" s="13"/>
      <c r="AI5372" s="13"/>
      <c r="AJ5372" s="13"/>
      <c r="AK5372" s="13"/>
      <c r="AL5372" s="13"/>
      <c r="AM5372" s="13"/>
      <c r="AN5372" s="13"/>
      <c r="AO5372" s="13"/>
      <c r="AP5372" s="13"/>
      <c r="AQ5372" s="13"/>
      <c r="AR5372" s="13"/>
      <c r="AS5372" s="13"/>
    </row>
    <row r="5373" ht="14.25" customHeight="1">
      <c r="A5373" s="13"/>
      <c r="B5373" s="13"/>
      <c r="C5373" s="13"/>
      <c r="D5373" s="13"/>
      <c r="E5373" s="13"/>
      <c r="F5373" s="13"/>
      <c r="G5373" s="13"/>
      <c r="H5373" s="13"/>
      <c r="I5373" s="13"/>
      <c r="J5373" s="13"/>
      <c r="K5373" s="15"/>
      <c r="L5373" s="15"/>
      <c r="M5373" s="16"/>
      <c r="N5373" s="16"/>
      <c r="O5373" s="17"/>
      <c r="P5373" s="17"/>
      <c r="Q5373" s="13"/>
      <c r="R5373" s="13"/>
      <c r="S5373" s="13"/>
      <c r="T5373" s="13"/>
      <c r="U5373" s="13"/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  <c r="AG5373" s="13"/>
      <c r="AH5373" s="13"/>
      <c r="AI5373" s="13"/>
      <c r="AJ5373" s="13"/>
      <c r="AK5373" s="13"/>
      <c r="AL5373" s="13"/>
      <c r="AM5373" s="13"/>
      <c r="AN5373" s="13"/>
      <c r="AO5373" s="13"/>
      <c r="AP5373" s="13"/>
      <c r="AQ5373" s="13"/>
      <c r="AR5373" s="13"/>
      <c r="AS5373" s="13"/>
    </row>
    <row r="5374" ht="14.25" customHeight="1">
      <c r="A5374" s="13"/>
      <c r="B5374" s="13"/>
      <c r="C5374" s="13"/>
      <c r="D5374" s="13"/>
      <c r="E5374" s="13"/>
      <c r="F5374" s="13"/>
      <c r="G5374" s="13"/>
      <c r="H5374" s="13"/>
      <c r="I5374" s="13"/>
      <c r="J5374" s="13"/>
      <c r="K5374" s="15"/>
      <c r="L5374" s="15"/>
      <c r="M5374" s="16"/>
      <c r="N5374" s="16"/>
      <c r="O5374" s="17"/>
      <c r="P5374" s="17"/>
      <c r="Q5374" s="13"/>
      <c r="R5374" s="13"/>
      <c r="S5374" s="13"/>
      <c r="T5374" s="13"/>
      <c r="U5374" s="13"/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13"/>
      <c r="AG5374" s="13"/>
      <c r="AH5374" s="13"/>
      <c r="AI5374" s="13"/>
      <c r="AJ5374" s="13"/>
      <c r="AK5374" s="13"/>
      <c r="AL5374" s="13"/>
      <c r="AM5374" s="13"/>
      <c r="AN5374" s="13"/>
      <c r="AO5374" s="13"/>
      <c r="AP5374" s="13"/>
      <c r="AQ5374" s="13"/>
      <c r="AR5374" s="13"/>
      <c r="AS5374" s="13"/>
    </row>
    <row r="5375" ht="14.25" customHeight="1">
      <c r="A5375" s="13"/>
      <c r="B5375" s="13"/>
      <c r="C5375" s="13"/>
      <c r="D5375" s="13"/>
      <c r="E5375" s="13"/>
      <c r="F5375" s="13"/>
      <c r="G5375" s="13"/>
      <c r="H5375" s="13"/>
      <c r="I5375" s="13"/>
      <c r="J5375" s="13"/>
      <c r="K5375" s="15"/>
      <c r="L5375" s="15"/>
      <c r="M5375" s="16"/>
      <c r="N5375" s="16"/>
      <c r="O5375" s="17"/>
      <c r="P5375" s="17"/>
      <c r="Q5375" s="13"/>
      <c r="R5375" s="13"/>
      <c r="S5375" s="13"/>
      <c r="T5375" s="13"/>
      <c r="U5375" s="13"/>
      <c r="V5375" s="13"/>
      <c r="W5375" s="13"/>
      <c r="X5375" s="13"/>
      <c r="Y5375" s="13"/>
      <c r="Z5375" s="13"/>
      <c r="AA5375" s="13"/>
      <c r="AB5375" s="13"/>
      <c r="AC5375" s="13"/>
      <c r="AD5375" s="13"/>
      <c r="AE5375" s="13"/>
      <c r="AF5375" s="13"/>
      <c r="AG5375" s="13"/>
      <c r="AH5375" s="13"/>
      <c r="AI5375" s="13"/>
      <c r="AJ5375" s="13"/>
      <c r="AK5375" s="13"/>
      <c r="AL5375" s="13"/>
      <c r="AM5375" s="13"/>
      <c r="AN5375" s="13"/>
      <c r="AO5375" s="13"/>
      <c r="AP5375" s="13"/>
      <c r="AQ5375" s="13"/>
      <c r="AR5375" s="13"/>
      <c r="AS5375" s="13"/>
    </row>
    <row r="5376" ht="14.25" customHeight="1">
      <c r="A5376" s="13"/>
      <c r="B5376" s="13"/>
      <c r="C5376" s="13"/>
      <c r="D5376" s="13"/>
      <c r="E5376" s="13"/>
      <c r="F5376" s="13"/>
      <c r="G5376" s="13"/>
      <c r="H5376" s="13"/>
      <c r="I5376" s="13"/>
      <c r="J5376" s="13"/>
      <c r="K5376" s="15"/>
      <c r="L5376" s="15"/>
      <c r="M5376" s="16"/>
      <c r="N5376" s="16"/>
      <c r="O5376" s="17"/>
      <c r="P5376" s="17"/>
      <c r="Q5376" s="13"/>
      <c r="R5376" s="13"/>
      <c r="S5376" s="13"/>
      <c r="T5376" s="13"/>
      <c r="U5376" s="13"/>
      <c r="V5376" s="13"/>
      <c r="W5376" s="13"/>
      <c r="X5376" s="13"/>
      <c r="Y5376" s="13"/>
      <c r="Z5376" s="13"/>
      <c r="AA5376" s="13"/>
      <c r="AB5376" s="13"/>
      <c r="AC5376" s="13"/>
      <c r="AD5376" s="13"/>
      <c r="AE5376" s="13"/>
      <c r="AF5376" s="13"/>
      <c r="AG5376" s="13"/>
      <c r="AH5376" s="13"/>
      <c r="AI5376" s="13"/>
      <c r="AJ5376" s="13"/>
      <c r="AK5376" s="13"/>
      <c r="AL5376" s="13"/>
      <c r="AM5376" s="13"/>
      <c r="AN5376" s="13"/>
      <c r="AO5376" s="13"/>
      <c r="AP5376" s="13"/>
      <c r="AQ5376" s="13"/>
      <c r="AR5376" s="13"/>
      <c r="AS5376" s="13"/>
    </row>
    <row r="5377" ht="14.25" customHeight="1">
      <c r="A5377" s="13"/>
      <c r="B5377" s="13"/>
      <c r="C5377" s="13"/>
      <c r="D5377" s="13"/>
      <c r="E5377" s="13"/>
      <c r="F5377" s="13"/>
      <c r="G5377" s="13"/>
      <c r="H5377" s="13"/>
      <c r="I5377" s="13"/>
      <c r="J5377" s="13"/>
      <c r="K5377" s="15"/>
      <c r="L5377" s="15"/>
      <c r="M5377" s="16"/>
      <c r="N5377" s="16"/>
      <c r="O5377" s="17"/>
      <c r="P5377" s="17"/>
      <c r="Q5377" s="13"/>
      <c r="R5377" s="13"/>
      <c r="S5377" s="13"/>
      <c r="T5377" s="13"/>
      <c r="U5377" s="13"/>
      <c r="V5377" s="13"/>
      <c r="W5377" s="13"/>
      <c r="X5377" s="13"/>
      <c r="Y5377" s="13"/>
      <c r="Z5377" s="13"/>
      <c r="AA5377" s="13"/>
      <c r="AB5377" s="13"/>
      <c r="AC5377" s="13"/>
      <c r="AD5377" s="13"/>
      <c r="AE5377" s="13"/>
      <c r="AF5377" s="13"/>
      <c r="AG5377" s="13"/>
      <c r="AH5377" s="13"/>
      <c r="AI5377" s="13"/>
      <c r="AJ5377" s="13"/>
      <c r="AK5377" s="13"/>
      <c r="AL5377" s="13"/>
      <c r="AM5377" s="13"/>
      <c r="AN5377" s="13"/>
      <c r="AO5377" s="13"/>
      <c r="AP5377" s="13"/>
      <c r="AQ5377" s="13"/>
      <c r="AR5377" s="13"/>
      <c r="AS5377" s="13"/>
    </row>
    <row r="5378" ht="14.25" customHeight="1">
      <c r="A5378" s="13"/>
      <c r="B5378" s="13"/>
      <c r="C5378" s="13"/>
      <c r="D5378" s="13"/>
      <c r="E5378" s="13"/>
      <c r="F5378" s="13"/>
      <c r="G5378" s="13"/>
      <c r="H5378" s="13"/>
      <c r="I5378" s="13"/>
      <c r="J5378" s="13"/>
      <c r="K5378" s="15"/>
      <c r="L5378" s="15"/>
      <c r="M5378" s="16"/>
      <c r="N5378" s="16"/>
      <c r="O5378" s="17"/>
      <c r="P5378" s="17"/>
      <c r="Q5378" s="13"/>
      <c r="R5378" s="13"/>
      <c r="S5378" s="13"/>
      <c r="T5378" s="13"/>
      <c r="U5378" s="13"/>
      <c r="V5378" s="13"/>
      <c r="W5378" s="13"/>
      <c r="X5378" s="13"/>
      <c r="Y5378" s="13"/>
      <c r="Z5378" s="13"/>
      <c r="AA5378" s="13"/>
      <c r="AB5378" s="13"/>
      <c r="AC5378" s="13"/>
      <c r="AD5378" s="13"/>
      <c r="AE5378" s="13"/>
      <c r="AF5378" s="13"/>
      <c r="AG5378" s="13"/>
      <c r="AH5378" s="13"/>
      <c r="AI5378" s="13"/>
      <c r="AJ5378" s="13"/>
      <c r="AK5378" s="13"/>
      <c r="AL5378" s="13"/>
      <c r="AM5378" s="13"/>
      <c r="AN5378" s="13"/>
      <c r="AO5378" s="13"/>
      <c r="AP5378" s="13"/>
      <c r="AQ5378" s="13"/>
      <c r="AR5378" s="13"/>
      <c r="AS5378" s="13"/>
    </row>
    <row r="5379" ht="14.25" customHeight="1">
      <c r="A5379" s="13"/>
      <c r="B5379" s="13"/>
      <c r="C5379" s="13"/>
      <c r="D5379" s="13"/>
      <c r="E5379" s="13"/>
      <c r="F5379" s="13"/>
      <c r="G5379" s="13"/>
      <c r="H5379" s="13"/>
      <c r="I5379" s="13"/>
      <c r="J5379" s="13"/>
      <c r="K5379" s="15"/>
      <c r="L5379" s="15"/>
      <c r="M5379" s="16"/>
      <c r="N5379" s="16"/>
      <c r="O5379" s="17"/>
      <c r="P5379" s="17"/>
      <c r="Q5379" s="13"/>
      <c r="R5379" s="13"/>
      <c r="S5379" s="13"/>
      <c r="T5379" s="13"/>
      <c r="U5379" s="13"/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13"/>
      <c r="AG5379" s="13"/>
      <c r="AH5379" s="13"/>
      <c r="AI5379" s="13"/>
      <c r="AJ5379" s="13"/>
      <c r="AK5379" s="13"/>
      <c r="AL5379" s="13"/>
      <c r="AM5379" s="13"/>
      <c r="AN5379" s="13"/>
      <c r="AO5379" s="13"/>
      <c r="AP5379" s="13"/>
      <c r="AQ5379" s="13"/>
      <c r="AR5379" s="13"/>
      <c r="AS5379" s="13"/>
    </row>
    <row r="5380" ht="14.25" customHeight="1">
      <c r="A5380" s="13"/>
      <c r="B5380" s="13"/>
      <c r="C5380" s="13"/>
      <c r="D5380" s="13"/>
      <c r="E5380" s="13"/>
      <c r="F5380" s="13"/>
      <c r="G5380" s="13"/>
      <c r="H5380" s="13"/>
      <c r="I5380" s="13"/>
      <c r="J5380" s="13"/>
      <c r="K5380" s="15"/>
      <c r="L5380" s="15"/>
      <c r="M5380" s="16"/>
      <c r="N5380" s="16"/>
      <c r="O5380" s="17"/>
      <c r="P5380" s="17"/>
      <c r="Q5380" s="13"/>
      <c r="R5380" s="13"/>
      <c r="S5380" s="13"/>
      <c r="T5380" s="13"/>
      <c r="U5380" s="13"/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13"/>
      <c r="AG5380" s="13"/>
      <c r="AH5380" s="13"/>
      <c r="AI5380" s="13"/>
      <c r="AJ5380" s="13"/>
      <c r="AK5380" s="13"/>
      <c r="AL5380" s="13"/>
      <c r="AM5380" s="13"/>
      <c r="AN5380" s="13"/>
      <c r="AO5380" s="13"/>
      <c r="AP5380" s="13"/>
      <c r="AQ5380" s="13"/>
      <c r="AR5380" s="13"/>
      <c r="AS5380" s="13"/>
    </row>
    <row r="5381" ht="14.25" customHeight="1">
      <c r="A5381" s="13"/>
      <c r="B5381" s="13"/>
      <c r="C5381" s="13"/>
      <c r="D5381" s="13"/>
      <c r="E5381" s="13"/>
      <c r="F5381" s="13"/>
      <c r="G5381" s="13"/>
      <c r="H5381" s="13"/>
      <c r="I5381" s="13"/>
      <c r="J5381" s="13"/>
      <c r="K5381" s="15"/>
      <c r="L5381" s="15"/>
      <c r="M5381" s="16"/>
      <c r="N5381" s="16"/>
      <c r="O5381" s="17"/>
      <c r="P5381" s="17"/>
      <c r="Q5381" s="13"/>
      <c r="R5381" s="13"/>
      <c r="S5381" s="13"/>
      <c r="T5381" s="13"/>
      <c r="U5381" s="13"/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F5381" s="13"/>
      <c r="AG5381" s="13"/>
      <c r="AH5381" s="13"/>
      <c r="AI5381" s="13"/>
      <c r="AJ5381" s="13"/>
      <c r="AK5381" s="13"/>
      <c r="AL5381" s="13"/>
      <c r="AM5381" s="13"/>
      <c r="AN5381" s="13"/>
      <c r="AO5381" s="13"/>
      <c r="AP5381" s="13"/>
      <c r="AQ5381" s="13"/>
      <c r="AR5381" s="13"/>
      <c r="AS5381" s="13"/>
    </row>
    <row r="5382" ht="14.25" customHeight="1">
      <c r="A5382" s="13"/>
      <c r="B5382" s="13"/>
      <c r="C5382" s="13"/>
      <c r="D5382" s="13"/>
      <c r="E5382" s="13"/>
      <c r="F5382" s="13"/>
      <c r="G5382" s="13"/>
      <c r="H5382" s="13"/>
      <c r="I5382" s="13"/>
      <c r="J5382" s="13"/>
      <c r="K5382" s="15"/>
      <c r="L5382" s="15"/>
      <c r="M5382" s="16"/>
      <c r="N5382" s="16"/>
      <c r="O5382" s="17"/>
      <c r="P5382" s="17"/>
      <c r="Q5382" s="13"/>
      <c r="R5382" s="13"/>
      <c r="S5382" s="13"/>
      <c r="T5382" s="13"/>
      <c r="U5382" s="13"/>
      <c r="V5382" s="13"/>
      <c r="W5382" s="13"/>
      <c r="X5382" s="13"/>
      <c r="Y5382" s="13"/>
      <c r="Z5382" s="13"/>
      <c r="AA5382" s="13"/>
      <c r="AB5382" s="13"/>
      <c r="AC5382" s="13"/>
      <c r="AD5382" s="13"/>
      <c r="AE5382" s="13"/>
      <c r="AF5382" s="13"/>
      <c r="AG5382" s="13"/>
      <c r="AH5382" s="13"/>
      <c r="AI5382" s="13"/>
      <c r="AJ5382" s="13"/>
      <c r="AK5382" s="13"/>
      <c r="AL5382" s="13"/>
      <c r="AM5382" s="13"/>
      <c r="AN5382" s="13"/>
      <c r="AO5382" s="13"/>
      <c r="AP5382" s="13"/>
      <c r="AQ5382" s="13"/>
      <c r="AR5382" s="13"/>
      <c r="AS5382" s="13"/>
    </row>
    <row r="5383" ht="14.25" customHeight="1">
      <c r="A5383" s="13"/>
      <c r="B5383" s="13"/>
      <c r="C5383" s="13"/>
      <c r="D5383" s="13"/>
      <c r="E5383" s="13"/>
      <c r="F5383" s="13"/>
      <c r="G5383" s="13"/>
      <c r="H5383" s="13"/>
      <c r="I5383" s="13"/>
      <c r="J5383" s="13"/>
      <c r="K5383" s="15"/>
      <c r="L5383" s="15"/>
      <c r="M5383" s="16"/>
      <c r="N5383" s="16"/>
      <c r="O5383" s="17"/>
      <c r="P5383" s="17"/>
      <c r="Q5383" s="13"/>
      <c r="R5383" s="13"/>
      <c r="S5383" s="13"/>
      <c r="T5383" s="13"/>
      <c r="U5383" s="13"/>
      <c r="V5383" s="13"/>
      <c r="W5383" s="13"/>
      <c r="X5383" s="13"/>
      <c r="Y5383" s="13"/>
      <c r="Z5383" s="13"/>
      <c r="AA5383" s="13"/>
      <c r="AB5383" s="13"/>
      <c r="AC5383" s="13"/>
      <c r="AD5383" s="13"/>
      <c r="AE5383" s="13"/>
      <c r="AF5383" s="13"/>
      <c r="AG5383" s="13"/>
      <c r="AH5383" s="13"/>
      <c r="AI5383" s="13"/>
      <c r="AJ5383" s="13"/>
      <c r="AK5383" s="13"/>
      <c r="AL5383" s="13"/>
      <c r="AM5383" s="13"/>
      <c r="AN5383" s="13"/>
      <c r="AO5383" s="13"/>
      <c r="AP5383" s="13"/>
      <c r="AQ5383" s="13"/>
      <c r="AR5383" s="13"/>
      <c r="AS5383" s="13"/>
    </row>
    <row r="5384" ht="14.25" customHeight="1">
      <c r="A5384" s="13"/>
      <c r="B5384" s="13"/>
      <c r="C5384" s="13"/>
      <c r="D5384" s="13"/>
      <c r="E5384" s="13"/>
      <c r="F5384" s="13"/>
      <c r="G5384" s="13"/>
      <c r="H5384" s="13"/>
      <c r="I5384" s="13"/>
      <c r="J5384" s="13"/>
      <c r="K5384" s="15"/>
      <c r="L5384" s="15"/>
      <c r="M5384" s="16"/>
      <c r="N5384" s="16"/>
      <c r="O5384" s="17"/>
      <c r="P5384" s="17"/>
      <c r="Q5384" s="13"/>
      <c r="R5384" s="13"/>
      <c r="S5384" s="13"/>
      <c r="T5384" s="13"/>
      <c r="U5384" s="13"/>
      <c r="V5384" s="13"/>
      <c r="W5384" s="13"/>
      <c r="X5384" s="13"/>
      <c r="Y5384" s="13"/>
      <c r="Z5384" s="13"/>
      <c r="AA5384" s="13"/>
      <c r="AB5384" s="13"/>
      <c r="AC5384" s="13"/>
      <c r="AD5384" s="13"/>
      <c r="AE5384" s="13"/>
      <c r="AF5384" s="13"/>
      <c r="AG5384" s="13"/>
      <c r="AH5384" s="13"/>
      <c r="AI5384" s="13"/>
      <c r="AJ5384" s="13"/>
      <c r="AK5384" s="13"/>
      <c r="AL5384" s="13"/>
      <c r="AM5384" s="13"/>
      <c r="AN5384" s="13"/>
      <c r="AO5384" s="13"/>
      <c r="AP5384" s="13"/>
      <c r="AQ5384" s="13"/>
      <c r="AR5384" s="13"/>
      <c r="AS5384" s="13"/>
    </row>
    <row r="5385" ht="14.25" customHeight="1">
      <c r="A5385" s="13"/>
      <c r="B5385" s="13"/>
      <c r="C5385" s="13"/>
      <c r="D5385" s="13"/>
      <c r="E5385" s="13"/>
      <c r="F5385" s="13"/>
      <c r="G5385" s="13"/>
      <c r="H5385" s="13"/>
      <c r="I5385" s="13"/>
      <c r="J5385" s="13"/>
      <c r="K5385" s="15"/>
      <c r="L5385" s="15"/>
      <c r="M5385" s="16"/>
      <c r="N5385" s="16"/>
      <c r="O5385" s="17"/>
      <c r="P5385" s="17"/>
      <c r="Q5385" s="13"/>
      <c r="R5385" s="13"/>
      <c r="S5385" s="13"/>
      <c r="T5385" s="13"/>
      <c r="U5385" s="13"/>
      <c r="V5385" s="13"/>
      <c r="W5385" s="13"/>
      <c r="X5385" s="13"/>
      <c r="Y5385" s="13"/>
      <c r="Z5385" s="13"/>
      <c r="AA5385" s="13"/>
      <c r="AB5385" s="13"/>
      <c r="AC5385" s="13"/>
      <c r="AD5385" s="13"/>
      <c r="AE5385" s="13"/>
      <c r="AF5385" s="13"/>
      <c r="AG5385" s="13"/>
      <c r="AH5385" s="13"/>
      <c r="AI5385" s="13"/>
      <c r="AJ5385" s="13"/>
      <c r="AK5385" s="13"/>
      <c r="AL5385" s="13"/>
      <c r="AM5385" s="13"/>
      <c r="AN5385" s="13"/>
      <c r="AO5385" s="13"/>
      <c r="AP5385" s="13"/>
      <c r="AQ5385" s="13"/>
      <c r="AR5385" s="13"/>
      <c r="AS5385" s="13"/>
    </row>
    <row r="5386" ht="14.25" customHeight="1">
      <c r="A5386" s="13"/>
      <c r="B5386" s="13"/>
      <c r="C5386" s="13"/>
      <c r="D5386" s="13"/>
      <c r="E5386" s="13"/>
      <c r="F5386" s="13"/>
      <c r="G5386" s="13"/>
      <c r="H5386" s="13"/>
      <c r="I5386" s="13"/>
      <c r="J5386" s="13"/>
      <c r="K5386" s="15"/>
      <c r="L5386" s="15"/>
      <c r="M5386" s="16"/>
      <c r="N5386" s="16"/>
      <c r="O5386" s="17"/>
      <c r="P5386" s="17"/>
      <c r="Q5386" s="13"/>
      <c r="R5386" s="13"/>
      <c r="S5386" s="13"/>
      <c r="T5386" s="13"/>
      <c r="U5386" s="13"/>
      <c r="V5386" s="13"/>
      <c r="W5386" s="13"/>
      <c r="X5386" s="13"/>
      <c r="Y5386" s="13"/>
      <c r="Z5386" s="13"/>
      <c r="AA5386" s="13"/>
      <c r="AB5386" s="13"/>
      <c r="AC5386" s="13"/>
      <c r="AD5386" s="13"/>
      <c r="AE5386" s="13"/>
      <c r="AF5386" s="13"/>
      <c r="AG5386" s="13"/>
      <c r="AH5386" s="13"/>
      <c r="AI5386" s="13"/>
      <c r="AJ5386" s="13"/>
      <c r="AK5386" s="13"/>
      <c r="AL5386" s="13"/>
      <c r="AM5386" s="13"/>
      <c r="AN5386" s="13"/>
      <c r="AO5386" s="13"/>
      <c r="AP5386" s="13"/>
      <c r="AQ5386" s="13"/>
      <c r="AR5386" s="13"/>
      <c r="AS5386" s="13"/>
    </row>
    <row r="5387" ht="14.25" customHeight="1">
      <c r="A5387" s="13"/>
      <c r="B5387" s="13"/>
      <c r="C5387" s="13"/>
      <c r="D5387" s="13"/>
      <c r="E5387" s="13"/>
      <c r="F5387" s="13"/>
      <c r="G5387" s="13"/>
      <c r="H5387" s="13"/>
      <c r="I5387" s="13"/>
      <c r="J5387" s="13"/>
      <c r="K5387" s="15"/>
      <c r="L5387" s="15"/>
      <c r="M5387" s="16"/>
      <c r="N5387" s="16"/>
      <c r="O5387" s="17"/>
      <c r="P5387" s="17"/>
      <c r="Q5387" s="13"/>
      <c r="R5387" s="13"/>
      <c r="S5387" s="13"/>
      <c r="T5387" s="13"/>
      <c r="U5387" s="13"/>
      <c r="V5387" s="13"/>
      <c r="W5387" s="13"/>
      <c r="X5387" s="13"/>
      <c r="Y5387" s="13"/>
      <c r="Z5387" s="13"/>
      <c r="AA5387" s="13"/>
      <c r="AB5387" s="13"/>
      <c r="AC5387" s="13"/>
      <c r="AD5387" s="13"/>
      <c r="AE5387" s="13"/>
      <c r="AF5387" s="13"/>
      <c r="AG5387" s="13"/>
      <c r="AH5387" s="13"/>
      <c r="AI5387" s="13"/>
      <c r="AJ5387" s="13"/>
      <c r="AK5387" s="13"/>
      <c r="AL5387" s="13"/>
      <c r="AM5387" s="13"/>
      <c r="AN5387" s="13"/>
      <c r="AO5387" s="13"/>
      <c r="AP5387" s="13"/>
      <c r="AQ5387" s="13"/>
      <c r="AR5387" s="13"/>
      <c r="AS5387" s="13"/>
    </row>
    <row r="5388" ht="14.25" customHeight="1">
      <c r="A5388" s="13"/>
      <c r="B5388" s="13"/>
      <c r="C5388" s="13"/>
      <c r="D5388" s="13"/>
      <c r="E5388" s="13"/>
      <c r="F5388" s="13"/>
      <c r="G5388" s="13"/>
      <c r="H5388" s="13"/>
      <c r="I5388" s="13"/>
      <c r="J5388" s="13"/>
      <c r="K5388" s="15"/>
      <c r="L5388" s="15"/>
      <c r="M5388" s="16"/>
      <c r="N5388" s="16"/>
      <c r="O5388" s="17"/>
      <c r="P5388" s="17"/>
      <c r="Q5388" s="13"/>
      <c r="R5388" s="13"/>
      <c r="S5388" s="13"/>
      <c r="T5388" s="13"/>
      <c r="U5388" s="13"/>
      <c r="V5388" s="13"/>
      <c r="W5388" s="13"/>
      <c r="X5388" s="13"/>
      <c r="Y5388" s="13"/>
      <c r="Z5388" s="13"/>
      <c r="AA5388" s="13"/>
      <c r="AB5388" s="13"/>
      <c r="AC5388" s="13"/>
      <c r="AD5388" s="13"/>
      <c r="AE5388" s="13"/>
      <c r="AF5388" s="13"/>
      <c r="AG5388" s="13"/>
      <c r="AH5388" s="13"/>
      <c r="AI5388" s="13"/>
      <c r="AJ5388" s="13"/>
      <c r="AK5388" s="13"/>
      <c r="AL5388" s="13"/>
      <c r="AM5388" s="13"/>
      <c r="AN5388" s="13"/>
      <c r="AO5388" s="13"/>
      <c r="AP5388" s="13"/>
      <c r="AQ5388" s="13"/>
      <c r="AR5388" s="13"/>
      <c r="AS5388" s="13"/>
    </row>
    <row r="5389" ht="14.25" customHeight="1">
      <c r="A5389" s="13"/>
      <c r="B5389" s="13"/>
      <c r="C5389" s="13"/>
      <c r="D5389" s="13"/>
      <c r="E5389" s="13"/>
      <c r="F5389" s="13"/>
      <c r="G5389" s="13"/>
      <c r="H5389" s="13"/>
      <c r="I5389" s="13"/>
      <c r="J5389" s="13"/>
      <c r="K5389" s="15"/>
      <c r="L5389" s="15"/>
      <c r="M5389" s="16"/>
      <c r="N5389" s="16"/>
      <c r="O5389" s="17"/>
      <c r="P5389" s="17"/>
      <c r="Q5389" s="13"/>
      <c r="R5389" s="13"/>
      <c r="S5389" s="13"/>
      <c r="T5389" s="13"/>
      <c r="U5389" s="13"/>
      <c r="V5389" s="13"/>
      <c r="W5389" s="13"/>
      <c r="X5389" s="13"/>
      <c r="Y5389" s="13"/>
      <c r="Z5389" s="13"/>
      <c r="AA5389" s="13"/>
      <c r="AB5389" s="13"/>
      <c r="AC5389" s="13"/>
      <c r="AD5389" s="13"/>
      <c r="AE5389" s="13"/>
      <c r="AF5389" s="13"/>
      <c r="AG5389" s="13"/>
      <c r="AH5389" s="13"/>
      <c r="AI5389" s="13"/>
      <c r="AJ5389" s="13"/>
      <c r="AK5389" s="13"/>
      <c r="AL5389" s="13"/>
      <c r="AM5389" s="13"/>
      <c r="AN5389" s="13"/>
      <c r="AO5389" s="13"/>
      <c r="AP5389" s="13"/>
      <c r="AQ5389" s="13"/>
      <c r="AR5389" s="13"/>
      <c r="AS5389" s="13"/>
    </row>
    <row r="5390" ht="14.25" customHeight="1">
      <c r="A5390" s="13"/>
      <c r="B5390" s="13"/>
      <c r="C5390" s="13"/>
      <c r="D5390" s="13"/>
      <c r="E5390" s="13"/>
      <c r="F5390" s="13"/>
      <c r="G5390" s="13"/>
      <c r="H5390" s="13"/>
      <c r="I5390" s="13"/>
      <c r="J5390" s="13"/>
      <c r="K5390" s="15"/>
      <c r="L5390" s="15"/>
      <c r="M5390" s="16"/>
      <c r="N5390" s="16"/>
      <c r="O5390" s="17"/>
      <c r="P5390" s="17"/>
      <c r="Q5390" s="13"/>
      <c r="R5390" s="13"/>
      <c r="S5390" s="13"/>
      <c r="T5390" s="13"/>
      <c r="U5390" s="13"/>
      <c r="V5390" s="13"/>
      <c r="W5390" s="13"/>
      <c r="X5390" s="13"/>
      <c r="Y5390" s="13"/>
      <c r="Z5390" s="13"/>
      <c r="AA5390" s="13"/>
      <c r="AB5390" s="13"/>
      <c r="AC5390" s="13"/>
      <c r="AD5390" s="13"/>
      <c r="AE5390" s="13"/>
      <c r="AF5390" s="13"/>
      <c r="AG5390" s="13"/>
      <c r="AH5390" s="13"/>
      <c r="AI5390" s="13"/>
      <c r="AJ5390" s="13"/>
      <c r="AK5390" s="13"/>
      <c r="AL5390" s="13"/>
      <c r="AM5390" s="13"/>
      <c r="AN5390" s="13"/>
      <c r="AO5390" s="13"/>
      <c r="AP5390" s="13"/>
      <c r="AQ5390" s="13"/>
      <c r="AR5390" s="13"/>
      <c r="AS5390" s="13"/>
    </row>
    <row r="5391" ht="14.25" customHeight="1">
      <c r="A5391" s="13"/>
      <c r="B5391" s="13"/>
      <c r="C5391" s="13"/>
      <c r="D5391" s="13"/>
      <c r="E5391" s="13"/>
      <c r="F5391" s="13"/>
      <c r="G5391" s="13"/>
      <c r="H5391" s="13"/>
      <c r="I5391" s="13"/>
      <c r="J5391" s="13"/>
      <c r="K5391" s="15"/>
      <c r="L5391" s="15"/>
      <c r="M5391" s="16"/>
      <c r="N5391" s="16"/>
      <c r="O5391" s="17"/>
      <c r="P5391" s="17"/>
      <c r="Q5391" s="13"/>
      <c r="R5391" s="13"/>
      <c r="S5391" s="13"/>
      <c r="T5391" s="13"/>
      <c r="U5391" s="13"/>
      <c r="V5391" s="13"/>
      <c r="W5391" s="13"/>
      <c r="X5391" s="13"/>
      <c r="Y5391" s="13"/>
      <c r="Z5391" s="13"/>
      <c r="AA5391" s="13"/>
      <c r="AB5391" s="13"/>
      <c r="AC5391" s="13"/>
      <c r="AD5391" s="13"/>
      <c r="AE5391" s="13"/>
      <c r="AF5391" s="13"/>
      <c r="AG5391" s="13"/>
      <c r="AH5391" s="13"/>
      <c r="AI5391" s="13"/>
      <c r="AJ5391" s="13"/>
      <c r="AK5391" s="13"/>
      <c r="AL5391" s="13"/>
      <c r="AM5391" s="13"/>
      <c r="AN5391" s="13"/>
      <c r="AO5391" s="13"/>
      <c r="AP5391" s="13"/>
      <c r="AQ5391" s="13"/>
      <c r="AR5391" s="13"/>
      <c r="AS5391" s="13"/>
    </row>
    <row r="5392" ht="14.25" customHeight="1">
      <c r="A5392" s="13"/>
      <c r="B5392" s="13"/>
      <c r="C5392" s="13"/>
      <c r="D5392" s="13"/>
      <c r="E5392" s="13"/>
      <c r="F5392" s="13"/>
      <c r="G5392" s="13"/>
      <c r="H5392" s="13"/>
      <c r="I5392" s="13"/>
      <c r="J5392" s="13"/>
      <c r="K5392" s="15"/>
      <c r="L5392" s="15"/>
      <c r="M5392" s="16"/>
      <c r="N5392" s="16"/>
      <c r="O5392" s="17"/>
      <c r="P5392" s="17"/>
      <c r="Q5392" s="13"/>
      <c r="R5392" s="13"/>
      <c r="S5392" s="13"/>
      <c r="T5392" s="13"/>
      <c r="U5392" s="13"/>
      <c r="V5392" s="13"/>
      <c r="W5392" s="13"/>
      <c r="X5392" s="13"/>
      <c r="Y5392" s="13"/>
      <c r="Z5392" s="13"/>
      <c r="AA5392" s="13"/>
      <c r="AB5392" s="13"/>
      <c r="AC5392" s="13"/>
      <c r="AD5392" s="13"/>
      <c r="AE5392" s="13"/>
      <c r="AF5392" s="13"/>
      <c r="AG5392" s="13"/>
      <c r="AH5392" s="13"/>
      <c r="AI5392" s="13"/>
      <c r="AJ5392" s="13"/>
      <c r="AK5392" s="13"/>
      <c r="AL5392" s="13"/>
      <c r="AM5392" s="13"/>
      <c r="AN5392" s="13"/>
      <c r="AO5392" s="13"/>
      <c r="AP5392" s="13"/>
      <c r="AQ5392" s="13"/>
      <c r="AR5392" s="13"/>
      <c r="AS5392" s="13"/>
    </row>
    <row r="5393" ht="14.25" customHeight="1">
      <c r="A5393" s="13"/>
      <c r="B5393" s="13"/>
      <c r="C5393" s="13"/>
      <c r="D5393" s="13"/>
      <c r="E5393" s="13"/>
      <c r="F5393" s="13"/>
      <c r="G5393" s="13"/>
      <c r="H5393" s="13"/>
      <c r="I5393" s="13"/>
      <c r="J5393" s="13"/>
      <c r="K5393" s="15"/>
      <c r="L5393" s="15"/>
      <c r="M5393" s="16"/>
      <c r="N5393" s="16"/>
      <c r="O5393" s="17"/>
      <c r="P5393" s="17"/>
      <c r="Q5393" s="13"/>
      <c r="R5393" s="13"/>
      <c r="S5393" s="13"/>
      <c r="T5393" s="13"/>
      <c r="U5393" s="13"/>
      <c r="V5393" s="13"/>
      <c r="W5393" s="13"/>
      <c r="X5393" s="13"/>
      <c r="Y5393" s="13"/>
      <c r="Z5393" s="13"/>
      <c r="AA5393" s="13"/>
      <c r="AB5393" s="13"/>
      <c r="AC5393" s="13"/>
      <c r="AD5393" s="13"/>
      <c r="AE5393" s="13"/>
      <c r="AF5393" s="13"/>
      <c r="AG5393" s="13"/>
      <c r="AH5393" s="13"/>
      <c r="AI5393" s="13"/>
      <c r="AJ5393" s="13"/>
      <c r="AK5393" s="13"/>
      <c r="AL5393" s="13"/>
      <c r="AM5393" s="13"/>
      <c r="AN5393" s="13"/>
      <c r="AO5393" s="13"/>
      <c r="AP5393" s="13"/>
      <c r="AQ5393" s="13"/>
      <c r="AR5393" s="13"/>
      <c r="AS5393" s="13"/>
    </row>
    <row r="5394" ht="14.25" customHeight="1">
      <c r="A5394" s="13"/>
      <c r="B5394" s="13"/>
      <c r="C5394" s="13"/>
      <c r="D5394" s="13"/>
      <c r="E5394" s="13"/>
      <c r="F5394" s="13"/>
      <c r="G5394" s="13"/>
      <c r="H5394" s="13"/>
      <c r="I5394" s="13"/>
      <c r="J5394" s="13"/>
      <c r="K5394" s="15"/>
      <c r="L5394" s="15"/>
      <c r="M5394" s="16"/>
      <c r="N5394" s="16"/>
      <c r="O5394" s="17"/>
      <c r="P5394" s="17"/>
      <c r="Q5394" s="13"/>
      <c r="R5394" s="13"/>
      <c r="S5394" s="13"/>
      <c r="T5394" s="13"/>
      <c r="U5394" s="13"/>
      <c r="V5394" s="13"/>
      <c r="W5394" s="13"/>
      <c r="X5394" s="13"/>
      <c r="Y5394" s="13"/>
      <c r="Z5394" s="13"/>
      <c r="AA5394" s="13"/>
      <c r="AB5394" s="13"/>
      <c r="AC5394" s="13"/>
      <c r="AD5394" s="13"/>
      <c r="AE5394" s="13"/>
      <c r="AF5394" s="13"/>
      <c r="AG5394" s="13"/>
      <c r="AH5394" s="13"/>
      <c r="AI5394" s="13"/>
      <c r="AJ5394" s="13"/>
      <c r="AK5394" s="13"/>
      <c r="AL5394" s="13"/>
      <c r="AM5394" s="13"/>
      <c r="AN5394" s="13"/>
      <c r="AO5394" s="13"/>
      <c r="AP5394" s="13"/>
      <c r="AQ5394" s="13"/>
      <c r="AR5394" s="13"/>
      <c r="AS5394" s="13"/>
    </row>
    <row r="5395" ht="14.25" customHeight="1">
      <c r="A5395" s="13"/>
      <c r="B5395" s="13"/>
      <c r="C5395" s="13"/>
      <c r="D5395" s="13"/>
      <c r="E5395" s="13"/>
      <c r="F5395" s="13"/>
      <c r="G5395" s="13"/>
      <c r="H5395" s="13"/>
      <c r="I5395" s="13"/>
      <c r="J5395" s="13"/>
      <c r="K5395" s="15"/>
      <c r="L5395" s="15"/>
      <c r="M5395" s="16"/>
      <c r="N5395" s="16"/>
      <c r="O5395" s="17"/>
      <c r="P5395" s="17"/>
      <c r="Q5395" s="13"/>
      <c r="R5395" s="13"/>
      <c r="S5395" s="13"/>
      <c r="T5395" s="13"/>
      <c r="U5395" s="13"/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F5395" s="13"/>
      <c r="AG5395" s="13"/>
      <c r="AH5395" s="13"/>
      <c r="AI5395" s="13"/>
      <c r="AJ5395" s="13"/>
      <c r="AK5395" s="13"/>
      <c r="AL5395" s="13"/>
      <c r="AM5395" s="13"/>
      <c r="AN5395" s="13"/>
      <c r="AO5395" s="13"/>
      <c r="AP5395" s="13"/>
      <c r="AQ5395" s="13"/>
      <c r="AR5395" s="13"/>
      <c r="AS5395" s="13"/>
    </row>
    <row r="5396" ht="14.25" customHeight="1">
      <c r="A5396" s="13"/>
      <c r="B5396" s="13"/>
      <c r="C5396" s="13"/>
      <c r="D5396" s="13"/>
      <c r="E5396" s="13"/>
      <c r="F5396" s="13"/>
      <c r="G5396" s="13"/>
      <c r="H5396" s="13"/>
      <c r="I5396" s="13"/>
      <c r="J5396" s="13"/>
      <c r="K5396" s="15"/>
      <c r="L5396" s="15"/>
      <c r="M5396" s="16"/>
      <c r="N5396" s="16"/>
      <c r="O5396" s="17"/>
      <c r="P5396" s="17"/>
      <c r="Q5396" s="13"/>
      <c r="R5396" s="13"/>
      <c r="S5396" s="13"/>
      <c r="T5396" s="13"/>
      <c r="U5396" s="13"/>
      <c r="V5396" s="13"/>
      <c r="W5396" s="13"/>
      <c r="X5396" s="13"/>
      <c r="Y5396" s="13"/>
      <c r="Z5396" s="13"/>
      <c r="AA5396" s="13"/>
      <c r="AB5396" s="13"/>
      <c r="AC5396" s="13"/>
      <c r="AD5396" s="13"/>
      <c r="AE5396" s="13"/>
      <c r="AF5396" s="13"/>
      <c r="AG5396" s="13"/>
      <c r="AH5396" s="13"/>
      <c r="AI5396" s="13"/>
      <c r="AJ5396" s="13"/>
      <c r="AK5396" s="13"/>
      <c r="AL5396" s="13"/>
      <c r="AM5396" s="13"/>
      <c r="AN5396" s="13"/>
      <c r="AO5396" s="13"/>
      <c r="AP5396" s="13"/>
      <c r="AQ5396" s="13"/>
      <c r="AR5396" s="13"/>
      <c r="AS5396" s="13"/>
    </row>
    <row r="5397" ht="14.25" customHeight="1">
      <c r="A5397" s="13"/>
      <c r="B5397" s="13"/>
      <c r="C5397" s="13"/>
      <c r="D5397" s="13"/>
      <c r="E5397" s="13"/>
      <c r="F5397" s="13"/>
      <c r="G5397" s="13"/>
      <c r="H5397" s="13"/>
      <c r="I5397" s="13"/>
      <c r="J5397" s="13"/>
      <c r="K5397" s="15"/>
      <c r="L5397" s="15"/>
      <c r="M5397" s="16"/>
      <c r="N5397" s="16"/>
      <c r="O5397" s="17"/>
      <c r="P5397" s="17"/>
      <c r="Q5397" s="13"/>
      <c r="R5397" s="13"/>
      <c r="S5397" s="13"/>
      <c r="T5397" s="13"/>
      <c r="U5397" s="13"/>
      <c r="V5397" s="13"/>
      <c r="W5397" s="13"/>
      <c r="X5397" s="13"/>
      <c r="Y5397" s="13"/>
      <c r="Z5397" s="13"/>
      <c r="AA5397" s="13"/>
      <c r="AB5397" s="13"/>
      <c r="AC5397" s="13"/>
      <c r="AD5397" s="13"/>
      <c r="AE5397" s="13"/>
      <c r="AF5397" s="13"/>
      <c r="AG5397" s="13"/>
      <c r="AH5397" s="13"/>
      <c r="AI5397" s="13"/>
      <c r="AJ5397" s="13"/>
      <c r="AK5397" s="13"/>
      <c r="AL5397" s="13"/>
      <c r="AM5397" s="13"/>
      <c r="AN5397" s="13"/>
      <c r="AO5397" s="13"/>
      <c r="AP5397" s="13"/>
      <c r="AQ5397" s="13"/>
      <c r="AR5397" s="13"/>
      <c r="AS5397" s="13"/>
    </row>
    <row r="5398" ht="14.25" customHeight="1">
      <c r="A5398" s="13"/>
      <c r="B5398" s="13"/>
      <c r="C5398" s="13"/>
      <c r="D5398" s="13"/>
      <c r="E5398" s="13"/>
      <c r="F5398" s="13"/>
      <c r="G5398" s="13"/>
      <c r="H5398" s="13"/>
      <c r="I5398" s="13"/>
      <c r="J5398" s="13"/>
      <c r="K5398" s="15"/>
      <c r="L5398" s="15"/>
      <c r="M5398" s="16"/>
      <c r="N5398" s="16"/>
      <c r="O5398" s="17"/>
      <c r="P5398" s="17"/>
      <c r="Q5398" s="13"/>
      <c r="R5398" s="13"/>
      <c r="S5398" s="13"/>
      <c r="T5398" s="13"/>
      <c r="U5398" s="13"/>
      <c r="V5398" s="13"/>
      <c r="W5398" s="13"/>
      <c r="X5398" s="13"/>
      <c r="Y5398" s="13"/>
      <c r="Z5398" s="13"/>
      <c r="AA5398" s="13"/>
      <c r="AB5398" s="13"/>
      <c r="AC5398" s="13"/>
      <c r="AD5398" s="13"/>
      <c r="AE5398" s="13"/>
      <c r="AF5398" s="13"/>
      <c r="AG5398" s="13"/>
      <c r="AH5398" s="13"/>
      <c r="AI5398" s="13"/>
      <c r="AJ5398" s="13"/>
      <c r="AK5398" s="13"/>
      <c r="AL5398" s="13"/>
      <c r="AM5398" s="13"/>
      <c r="AN5398" s="13"/>
      <c r="AO5398" s="13"/>
      <c r="AP5398" s="13"/>
      <c r="AQ5398" s="13"/>
      <c r="AR5398" s="13"/>
      <c r="AS5398" s="13"/>
    </row>
    <row r="5399" ht="14.25" customHeight="1">
      <c r="A5399" s="13"/>
      <c r="B5399" s="13"/>
      <c r="C5399" s="13"/>
      <c r="D5399" s="13"/>
      <c r="E5399" s="13"/>
      <c r="F5399" s="13"/>
      <c r="G5399" s="13"/>
      <c r="H5399" s="13"/>
      <c r="I5399" s="13"/>
      <c r="J5399" s="13"/>
      <c r="K5399" s="15"/>
      <c r="L5399" s="15"/>
      <c r="M5399" s="16"/>
      <c r="N5399" s="16"/>
      <c r="O5399" s="17"/>
      <c r="P5399" s="17"/>
      <c r="Q5399" s="13"/>
      <c r="R5399" s="13"/>
      <c r="S5399" s="13"/>
      <c r="T5399" s="13"/>
      <c r="U5399" s="13"/>
      <c r="V5399" s="13"/>
      <c r="W5399" s="13"/>
      <c r="X5399" s="13"/>
      <c r="Y5399" s="13"/>
      <c r="Z5399" s="13"/>
      <c r="AA5399" s="13"/>
      <c r="AB5399" s="13"/>
      <c r="AC5399" s="13"/>
      <c r="AD5399" s="13"/>
      <c r="AE5399" s="13"/>
      <c r="AF5399" s="13"/>
      <c r="AG5399" s="13"/>
      <c r="AH5399" s="13"/>
      <c r="AI5399" s="13"/>
      <c r="AJ5399" s="13"/>
      <c r="AK5399" s="13"/>
      <c r="AL5399" s="13"/>
      <c r="AM5399" s="13"/>
      <c r="AN5399" s="13"/>
      <c r="AO5399" s="13"/>
      <c r="AP5399" s="13"/>
      <c r="AQ5399" s="13"/>
      <c r="AR5399" s="13"/>
      <c r="AS5399" s="13"/>
    </row>
    <row r="5400" ht="14.25" customHeight="1">
      <c r="A5400" s="13"/>
      <c r="B5400" s="13"/>
      <c r="C5400" s="13"/>
      <c r="D5400" s="13"/>
      <c r="E5400" s="13"/>
      <c r="F5400" s="13"/>
      <c r="G5400" s="13"/>
      <c r="H5400" s="13"/>
      <c r="I5400" s="13"/>
      <c r="J5400" s="13"/>
      <c r="K5400" s="15"/>
      <c r="L5400" s="15"/>
      <c r="M5400" s="16"/>
      <c r="N5400" s="16"/>
      <c r="O5400" s="17"/>
      <c r="P5400" s="17"/>
      <c r="Q5400" s="13"/>
      <c r="R5400" s="13"/>
      <c r="S5400" s="13"/>
      <c r="T5400" s="13"/>
      <c r="U5400" s="13"/>
      <c r="V5400" s="13"/>
      <c r="W5400" s="13"/>
      <c r="X5400" s="13"/>
      <c r="Y5400" s="13"/>
      <c r="Z5400" s="13"/>
      <c r="AA5400" s="13"/>
      <c r="AB5400" s="13"/>
      <c r="AC5400" s="13"/>
      <c r="AD5400" s="13"/>
      <c r="AE5400" s="13"/>
      <c r="AF5400" s="13"/>
      <c r="AG5400" s="13"/>
      <c r="AH5400" s="13"/>
      <c r="AI5400" s="13"/>
      <c r="AJ5400" s="13"/>
      <c r="AK5400" s="13"/>
      <c r="AL5400" s="13"/>
      <c r="AM5400" s="13"/>
      <c r="AN5400" s="13"/>
      <c r="AO5400" s="13"/>
      <c r="AP5400" s="13"/>
      <c r="AQ5400" s="13"/>
      <c r="AR5400" s="13"/>
      <c r="AS5400" s="13"/>
    </row>
    <row r="5401" ht="14.25" customHeight="1">
      <c r="A5401" s="13"/>
      <c r="B5401" s="13"/>
      <c r="C5401" s="13"/>
      <c r="D5401" s="13"/>
      <c r="E5401" s="13"/>
      <c r="F5401" s="13"/>
      <c r="G5401" s="13"/>
      <c r="H5401" s="13"/>
      <c r="I5401" s="13"/>
      <c r="J5401" s="13"/>
      <c r="K5401" s="15"/>
      <c r="L5401" s="15"/>
      <c r="M5401" s="16"/>
      <c r="N5401" s="16"/>
      <c r="O5401" s="17"/>
      <c r="P5401" s="17"/>
      <c r="Q5401" s="13"/>
      <c r="R5401" s="13"/>
      <c r="S5401" s="13"/>
      <c r="T5401" s="13"/>
      <c r="U5401" s="13"/>
      <c r="V5401" s="13"/>
      <c r="W5401" s="13"/>
      <c r="X5401" s="13"/>
      <c r="Y5401" s="13"/>
      <c r="Z5401" s="13"/>
      <c r="AA5401" s="13"/>
      <c r="AB5401" s="13"/>
      <c r="AC5401" s="13"/>
      <c r="AD5401" s="13"/>
      <c r="AE5401" s="13"/>
      <c r="AF5401" s="13"/>
      <c r="AG5401" s="13"/>
      <c r="AH5401" s="13"/>
      <c r="AI5401" s="13"/>
      <c r="AJ5401" s="13"/>
      <c r="AK5401" s="13"/>
      <c r="AL5401" s="13"/>
      <c r="AM5401" s="13"/>
      <c r="AN5401" s="13"/>
      <c r="AO5401" s="13"/>
      <c r="AP5401" s="13"/>
      <c r="AQ5401" s="13"/>
      <c r="AR5401" s="13"/>
      <c r="AS5401" s="13"/>
    </row>
    <row r="5402" ht="14.25" customHeight="1">
      <c r="A5402" s="13"/>
      <c r="B5402" s="13"/>
      <c r="C5402" s="13"/>
      <c r="D5402" s="13"/>
      <c r="E5402" s="13"/>
      <c r="F5402" s="13"/>
      <c r="G5402" s="13"/>
      <c r="H5402" s="13"/>
      <c r="I5402" s="13"/>
      <c r="J5402" s="13"/>
      <c r="K5402" s="15"/>
      <c r="L5402" s="15"/>
      <c r="M5402" s="16"/>
      <c r="N5402" s="16"/>
      <c r="O5402" s="17"/>
      <c r="P5402" s="17"/>
      <c r="Q5402" s="13"/>
      <c r="R5402" s="13"/>
      <c r="S5402" s="13"/>
      <c r="T5402" s="13"/>
      <c r="U5402" s="13"/>
      <c r="V5402" s="13"/>
      <c r="W5402" s="13"/>
      <c r="X5402" s="13"/>
      <c r="Y5402" s="13"/>
      <c r="Z5402" s="13"/>
      <c r="AA5402" s="13"/>
      <c r="AB5402" s="13"/>
      <c r="AC5402" s="13"/>
      <c r="AD5402" s="13"/>
      <c r="AE5402" s="13"/>
      <c r="AF5402" s="13"/>
      <c r="AG5402" s="13"/>
      <c r="AH5402" s="13"/>
      <c r="AI5402" s="13"/>
      <c r="AJ5402" s="13"/>
      <c r="AK5402" s="13"/>
      <c r="AL5402" s="13"/>
      <c r="AM5402" s="13"/>
      <c r="AN5402" s="13"/>
      <c r="AO5402" s="13"/>
      <c r="AP5402" s="13"/>
      <c r="AQ5402" s="13"/>
      <c r="AR5402" s="13"/>
      <c r="AS5402" s="13"/>
    </row>
    <row r="5403" ht="14.25" customHeight="1">
      <c r="A5403" s="13"/>
      <c r="B5403" s="13"/>
      <c r="C5403" s="13"/>
      <c r="D5403" s="13"/>
      <c r="E5403" s="13"/>
      <c r="F5403" s="13"/>
      <c r="G5403" s="13"/>
      <c r="H5403" s="13"/>
      <c r="I5403" s="13"/>
      <c r="J5403" s="13"/>
      <c r="K5403" s="15"/>
      <c r="L5403" s="15"/>
      <c r="M5403" s="16"/>
      <c r="N5403" s="16"/>
      <c r="O5403" s="17"/>
      <c r="P5403" s="17"/>
      <c r="Q5403" s="13"/>
      <c r="R5403" s="13"/>
      <c r="S5403" s="13"/>
      <c r="T5403" s="13"/>
      <c r="U5403" s="13"/>
      <c r="V5403" s="13"/>
      <c r="W5403" s="13"/>
      <c r="X5403" s="13"/>
      <c r="Y5403" s="13"/>
      <c r="Z5403" s="13"/>
      <c r="AA5403" s="13"/>
      <c r="AB5403" s="13"/>
      <c r="AC5403" s="13"/>
      <c r="AD5403" s="13"/>
      <c r="AE5403" s="13"/>
      <c r="AF5403" s="13"/>
      <c r="AG5403" s="13"/>
      <c r="AH5403" s="13"/>
      <c r="AI5403" s="13"/>
      <c r="AJ5403" s="13"/>
      <c r="AK5403" s="13"/>
      <c r="AL5403" s="13"/>
      <c r="AM5403" s="13"/>
      <c r="AN5403" s="13"/>
      <c r="AO5403" s="13"/>
      <c r="AP5403" s="13"/>
      <c r="AQ5403" s="13"/>
      <c r="AR5403" s="13"/>
      <c r="AS5403" s="13"/>
    </row>
    <row r="5404" ht="14.25" customHeight="1">
      <c r="A5404" s="13"/>
      <c r="B5404" s="13"/>
      <c r="C5404" s="13"/>
      <c r="D5404" s="13"/>
      <c r="E5404" s="13"/>
      <c r="F5404" s="13"/>
      <c r="G5404" s="13"/>
      <c r="H5404" s="13"/>
      <c r="I5404" s="13"/>
      <c r="J5404" s="13"/>
      <c r="K5404" s="15"/>
      <c r="L5404" s="15"/>
      <c r="M5404" s="16"/>
      <c r="N5404" s="16"/>
      <c r="O5404" s="17"/>
      <c r="P5404" s="17"/>
      <c r="Q5404" s="13"/>
      <c r="R5404" s="13"/>
      <c r="S5404" s="13"/>
      <c r="T5404" s="13"/>
      <c r="U5404" s="13"/>
      <c r="V5404" s="13"/>
      <c r="W5404" s="13"/>
      <c r="X5404" s="13"/>
      <c r="Y5404" s="13"/>
      <c r="Z5404" s="13"/>
      <c r="AA5404" s="13"/>
      <c r="AB5404" s="13"/>
      <c r="AC5404" s="13"/>
      <c r="AD5404" s="13"/>
      <c r="AE5404" s="13"/>
      <c r="AF5404" s="13"/>
      <c r="AG5404" s="13"/>
      <c r="AH5404" s="13"/>
      <c r="AI5404" s="13"/>
      <c r="AJ5404" s="13"/>
      <c r="AK5404" s="13"/>
      <c r="AL5404" s="13"/>
      <c r="AM5404" s="13"/>
      <c r="AN5404" s="13"/>
      <c r="AO5404" s="13"/>
      <c r="AP5404" s="13"/>
      <c r="AQ5404" s="13"/>
      <c r="AR5404" s="13"/>
      <c r="AS5404" s="13"/>
    </row>
    <row r="5405" ht="14.25" customHeight="1">
      <c r="A5405" s="13"/>
      <c r="B5405" s="13"/>
      <c r="C5405" s="13"/>
      <c r="D5405" s="13"/>
      <c r="E5405" s="13"/>
      <c r="F5405" s="13"/>
      <c r="G5405" s="13"/>
      <c r="H5405" s="13"/>
      <c r="I5405" s="13"/>
      <c r="J5405" s="13"/>
      <c r="K5405" s="15"/>
      <c r="L5405" s="15"/>
      <c r="M5405" s="16"/>
      <c r="N5405" s="16"/>
      <c r="O5405" s="17"/>
      <c r="P5405" s="17"/>
      <c r="Q5405" s="13"/>
      <c r="R5405" s="13"/>
      <c r="S5405" s="13"/>
      <c r="T5405" s="13"/>
      <c r="U5405" s="13"/>
      <c r="V5405" s="13"/>
      <c r="W5405" s="13"/>
      <c r="X5405" s="13"/>
      <c r="Y5405" s="13"/>
      <c r="Z5405" s="13"/>
      <c r="AA5405" s="13"/>
      <c r="AB5405" s="13"/>
      <c r="AC5405" s="13"/>
      <c r="AD5405" s="13"/>
      <c r="AE5405" s="13"/>
      <c r="AF5405" s="13"/>
      <c r="AG5405" s="13"/>
      <c r="AH5405" s="13"/>
      <c r="AI5405" s="13"/>
      <c r="AJ5405" s="13"/>
      <c r="AK5405" s="13"/>
      <c r="AL5405" s="13"/>
      <c r="AM5405" s="13"/>
      <c r="AN5405" s="13"/>
      <c r="AO5405" s="13"/>
      <c r="AP5405" s="13"/>
      <c r="AQ5405" s="13"/>
      <c r="AR5405" s="13"/>
      <c r="AS5405" s="13"/>
    </row>
    <row r="5406" ht="14.25" customHeight="1">
      <c r="A5406" s="13"/>
      <c r="B5406" s="13"/>
      <c r="C5406" s="13"/>
      <c r="D5406" s="13"/>
      <c r="E5406" s="13"/>
      <c r="F5406" s="13"/>
      <c r="G5406" s="13"/>
      <c r="H5406" s="13"/>
      <c r="I5406" s="13"/>
      <c r="J5406" s="13"/>
      <c r="K5406" s="15"/>
      <c r="L5406" s="15"/>
      <c r="M5406" s="16"/>
      <c r="N5406" s="16"/>
      <c r="O5406" s="17"/>
      <c r="P5406" s="17"/>
      <c r="Q5406" s="13"/>
      <c r="R5406" s="13"/>
      <c r="S5406" s="13"/>
      <c r="T5406" s="13"/>
      <c r="U5406" s="13"/>
      <c r="V5406" s="13"/>
      <c r="W5406" s="13"/>
      <c r="X5406" s="13"/>
      <c r="Y5406" s="13"/>
      <c r="Z5406" s="13"/>
      <c r="AA5406" s="13"/>
      <c r="AB5406" s="13"/>
      <c r="AC5406" s="13"/>
      <c r="AD5406" s="13"/>
      <c r="AE5406" s="13"/>
      <c r="AF5406" s="13"/>
      <c r="AG5406" s="13"/>
      <c r="AH5406" s="13"/>
      <c r="AI5406" s="13"/>
      <c r="AJ5406" s="13"/>
      <c r="AK5406" s="13"/>
      <c r="AL5406" s="13"/>
      <c r="AM5406" s="13"/>
      <c r="AN5406" s="13"/>
      <c r="AO5406" s="13"/>
      <c r="AP5406" s="13"/>
      <c r="AQ5406" s="13"/>
      <c r="AR5406" s="13"/>
      <c r="AS5406" s="13"/>
    </row>
    <row r="5407" ht="14.25" customHeight="1">
      <c r="A5407" s="13"/>
      <c r="B5407" s="13"/>
      <c r="C5407" s="13"/>
      <c r="D5407" s="13"/>
      <c r="E5407" s="13"/>
      <c r="F5407" s="13"/>
      <c r="G5407" s="13"/>
      <c r="H5407" s="13"/>
      <c r="I5407" s="13"/>
      <c r="J5407" s="13"/>
      <c r="K5407" s="15"/>
      <c r="L5407" s="15"/>
      <c r="M5407" s="16"/>
      <c r="N5407" s="16"/>
      <c r="O5407" s="17"/>
      <c r="P5407" s="17"/>
      <c r="Q5407" s="13"/>
      <c r="R5407" s="13"/>
      <c r="S5407" s="13"/>
      <c r="T5407" s="13"/>
      <c r="U5407" s="13"/>
      <c r="V5407" s="13"/>
      <c r="W5407" s="13"/>
      <c r="X5407" s="13"/>
      <c r="Y5407" s="13"/>
      <c r="Z5407" s="13"/>
      <c r="AA5407" s="13"/>
      <c r="AB5407" s="13"/>
      <c r="AC5407" s="13"/>
      <c r="AD5407" s="13"/>
      <c r="AE5407" s="13"/>
      <c r="AF5407" s="13"/>
      <c r="AG5407" s="13"/>
      <c r="AH5407" s="13"/>
      <c r="AI5407" s="13"/>
      <c r="AJ5407" s="13"/>
      <c r="AK5407" s="13"/>
      <c r="AL5407" s="13"/>
      <c r="AM5407" s="13"/>
      <c r="AN5407" s="13"/>
      <c r="AO5407" s="13"/>
      <c r="AP5407" s="13"/>
      <c r="AQ5407" s="13"/>
      <c r="AR5407" s="13"/>
      <c r="AS5407" s="13"/>
    </row>
    <row r="5408" ht="14.25" customHeight="1">
      <c r="A5408" s="13"/>
      <c r="B5408" s="13"/>
      <c r="C5408" s="13"/>
      <c r="D5408" s="13"/>
      <c r="E5408" s="13"/>
      <c r="F5408" s="13"/>
      <c r="G5408" s="13"/>
      <c r="H5408" s="13"/>
      <c r="I5408" s="13"/>
      <c r="J5408" s="13"/>
      <c r="K5408" s="15"/>
      <c r="L5408" s="15"/>
      <c r="M5408" s="16"/>
      <c r="N5408" s="16"/>
      <c r="O5408" s="17"/>
      <c r="P5408" s="17"/>
      <c r="Q5408" s="13"/>
      <c r="R5408" s="13"/>
      <c r="S5408" s="13"/>
      <c r="T5408" s="13"/>
      <c r="U5408" s="13"/>
      <c r="V5408" s="13"/>
      <c r="W5408" s="13"/>
      <c r="X5408" s="13"/>
      <c r="Y5408" s="13"/>
      <c r="Z5408" s="13"/>
      <c r="AA5408" s="13"/>
      <c r="AB5408" s="13"/>
      <c r="AC5408" s="13"/>
      <c r="AD5408" s="13"/>
      <c r="AE5408" s="13"/>
      <c r="AF5408" s="13"/>
      <c r="AG5408" s="13"/>
      <c r="AH5408" s="13"/>
      <c r="AI5408" s="13"/>
      <c r="AJ5408" s="13"/>
      <c r="AK5408" s="13"/>
      <c r="AL5408" s="13"/>
      <c r="AM5408" s="13"/>
      <c r="AN5408" s="13"/>
      <c r="AO5408" s="13"/>
      <c r="AP5408" s="13"/>
      <c r="AQ5408" s="13"/>
      <c r="AR5408" s="13"/>
      <c r="AS5408" s="13"/>
    </row>
    <row r="5409" ht="14.25" customHeight="1">
      <c r="A5409" s="13"/>
      <c r="B5409" s="13"/>
      <c r="C5409" s="13"/>
      <c r="D5409" s="13"/>
      <c r="E5409" s="13"/>
      <c r="F5409" s="13"/>
      <c r="G5409" s="13"/>
      <c r="H5409" s="13"/>
      <c r="I5409" s="13"/>
      <c r="J5409" s="13"/>
      <c r="K5409" s="15"/>
      <c r="L5409" s="15"/>
      <c r="M5409" s="16"/>
      <c r="N5409" s="16"/>
      <c r="O5409" s="17"/>
      <c r="P5409" s="17"/>
      <c r="Q5409" s="13"/>
      <c r="R5409" s="13"/>
      <c r="S5409" s="13"/>
      <c r="T5409" s="13"/>
      <c r="U5409" s="13"/>
      <c r="V5409" s="13"/>
      <c r="W5409" s="13"/>
      <c r="X5409" s="13"/>
      <c r="Y5409" s="13"/>
      <c r="Z5409" s="13"/>
      <c r="AA5409" s="13"/>
      <c r="AB5409" s="13"/>
      <c r="AC5409" s="13"/>
      <c r="AD5409" s="13"/>
      <c r="AE5409" s="13"/>
      <c r="AF5409" s="13"/>
      <c r="AG5409" s="13"/>
      <c r="AH5409" s="13"/>
      <c r="AI5409" s="13"/>
      <c r="AJ5409" s="13"/>
      <c r="AK5409" s="13"/>
      <c r="AL5409" s="13"/>
      <c r="AM5409" s="13"/>
      <c r="AN5409" s="13"/>
      <c r="AO5409" s="13"/>
      <c r="AP5409" s="13"/>
      <c r="AQ5409" s="13"/>
      <c r="AR5409" s="13"/>
      <c r="AS5409" s="13"/>
    </row>
    <row r="5410" ht="14.25" customHeight="1">
      <c r="A5410" s="13"/>
      <c r="B5410" s="13"/>
      <c r="C5410" s="13"/>
      <c r="D5410" s="13"/>
      <c r="E5410" s="13"/>
      <c r="F5410" s="13"/>
      <c r="G5410" s="13"/>
      <c r="H5410" s="13"/>
      <c r="I5410" s="13"/>
      <c r="J5410" s="13"/>
      <c r="K5410" s="15"/>
      <c r="L5410" s="15"/>
      <c r="M5410" s="16"/>
      <c r="N5410" s="16"/>
      <c r="O5410" s="17"/>
      <c r="P5410" s="17"/>
      <c r="Q5410" s="13"/>
      <c r="R5410" s="13"/>
      <c r="S5410" s="13"/>
      <c r="T5410" s="13"/>
      <c r="U5410" s="13"/>
      <c r="V5410" s="13"/>
      <c r="W5410" s="13"/>
      <c r="X5410" s="13"/>
      <c r="Y5410" s="13"/>
      <c r="Z5410" s="13"/>
      <c r="AA5410" s="13"/>
      <c r="AB5410" s="13"/>
      <c r="AC5410" s="13"/>
      <c r="AD5410" s="13"/>
      <c r="AE5410" s="13"/>
      <c r="AF5410" s="13"/>
      <c r="AG5410" s="13"/>
      <c r="AH5410" s="13"/>
      <c r="AI5410" s="13"/>
      <c r="AJ5410" s="13"/>
      <c r="AK5410" s="13"/>
      <c r="AL5410" s="13"/>
      <c r="AM5410" s="13"/>
      <c r="AN5410" s="13"/>
      <c r="AO5410" s="13"/>
      <c r="AP5410" s="13"/>
      <c r="AQ5410" s="13"/>
      <c r="AR5410" s="13"/>
      <c r="AS5410" s="13"/>
    </row>
    <row r="5411" ht="14.25" customHeight="1">
      <c r="A5411" s="13"/>
      <c r="B5411" s="13"/>
      <c r="C5411" s="13"/>
      <c r="D5411" s="13"/>
      <c r="E5411" s="13"/>
      <c r="F5411" s="13"/>
      <c r="G5411" s="13"/>
      <c r="H5411" s="13"/>
      <c r="I5411" s="13"/>
      <c r="J5411" s="13"/>
      <c r="K5411" s="15"/>
      <c r="L5411" s="15"/>
      <c r="M5411" s="16"/>
      <c r="N5411" s="16"/>
      <c r="O5411" s="17"/>
      <c r="P5411" s="17"/>
      <c r="Q5411" s="13"/>
      <c r="R5411" s="13"/>
      <c r="S5411" s="13"/>
      <c r="T5411" s="13"/>
      <c r="U5411" s="13"/>
      <c r="V5411" s="13"/>
      <c r="W5411" s="13"/>
      <c r="X5411" s="13"/>
      <c r="Y5411" s="13"/>
      <c r="Z5411" s="13"/>
      <c r="AA5411" s="13"/>
      <c r="AB5411" s="13"/>
      <c r="AC5411" s="13"/>
      <c r="AD5411" s="13"/>
      <c r="AE5411" s="13"/>
      <c r="AF5411" s="13"/>
      <c r="AG5411" s="13"/>
      <c r="AH5411" s="13"/>
      <c r="AI5411" s="13"/>
      <c r="AJ5411" s="13"/>
      <c r="AK5411" s="13"/>
      <c r="AL5411" s="13"/>
      <c r="AM5411" s="13"/>
      <c r="AN5411" s="13"/>
      <c r="AO5411" s="13"/>
      <c r="AP5411" s="13"/>
      <c r="AQ5411" s="13"/>
      <c r="AR5411" s="13"/>
      <c r="AS5411" s="13"/>
    </row>
    <row r="5412" ht="14.25" customHeight="1">
      <c r="A5412" s="13"/>
      <c r="B5412" s="13"/>
      <c r="C5412" s="13"/>
      <c r="D5412" s="13"/>
      <c r="E5412" s="13"/>
      <c r="F5412" s="13"/>
      <c r="G5412" s="13"/>
      <c r="H5412" s="13"/>
      <c r="I5412" s="13"/>
      <c r="J5412" s="13"/>
      <c r="K5412" s="15"/>
      <c r="L5412" s="15"/>
      <c r="M5412" s="16"/>
      <c r="N5412" s="16"/>
      <c r="O5412" s="17"/>
      <c r="P5412" s="17"/>
      <c r="Q5412" s="13"/>
      <c r="R5412" s="13"/>
      <c r="S5412" s="13"/>
      <c r="T5412" s="13"/>
      <c r="U5412" s="13"/>
      <c r="V5412" s="13"/>
      <c r="W5412" s="13"/>
      <c r="X5412" s="13"/>
      <c r="Y5412" s="13"/>
      <c r="Z5412" s="13"/>
      <c r="AA5412" s="13"/>
      <c r="AB5412" s="13"/>
      <c r="AC5412" s="13"/>
      <c r="AD5412" s="13"/>
      <c r="AE5412" s="13"/>
      <c r="AF5412" s="13"/>
      <c r="AG5412" s="13"/>
      <c r="AH5412" s="13"/>
      <c r="AI5412" s="13"/>
      <c r="AJ5412" s="13"/>
      <c r="AK5412" s="13"/>
      <c r="AL5412" s="13"/>
      <c r="AM5412" s="13"/>
      <c r="AN5412" s="13"/>
      <c r="AO5412" s="13"/>
      <c r="AP5412" s="13"/>
      <c r="AQ5412" s="13"/>
      <c r="AR5412" s="13"/>
      <c r="AS5412" s="13"/>
    </row>
    <row r="5413" ht="14.25" customHeight="1">
      <c r="A5413" s="13"/>
      <c r="B5413" s="13"/>
      <c r="C5413" s="13"/>
      <c r="D5413" s="13"/>
      <c r="E5413" s="13"/>
      <c r="F5413" s="13"/>
      <c r="G5413" s="13"/>
      <c r="H5413" s="13"/>
      <c r="I5413" s="13"/>
      <c r="J5413" s="13"/>
      <c r="K5413" s="15"/>
      <c r="L5413" s="15"/>
      <c r="M5413" s="16"/>
      <c r="N5413" s="16"/>
      <c r="O5413" s="17"/>
      <c r="P5413" s="17"/>
      <c r="Q5413" s="13"/>
      <c r="R5413" s="13"/>
      <c r="S5413" s="13"/>
      <c r="T5413" s="13"/>
      <c r="U5413" s="13"/>
      <c r="V5413" s="13"/>
      <c r="W5413" s="13"/>
      <c r="X5413" s="13"/>
      <c r="Y5413" s="13"/>
      <c r="Z5413" s="13"/>
      <c r="AA5413" s="13"/>
      <c r="AB5413" s="13"/>
      <c r="AC5413" s="13"/>
      <c r="AD5413" s="13"/>
      <c r="AE5413" s="13"/>
      <c r="AF5413" s="13"/>
      <c r="AG5413" s="13"/>
      <c r="AH5413" s="13"/>
      <c r="AI5413" s="13"/>
      <c r="AJ5413" s="13"/>
      <c r="AK5413" s="13"/>
      <c r="AL5413" s="13"/>
      <c r="AM5413" s="13"/>
      <c r="AN5413" s="13"/>
      <c r="AO5413" s="13"/>
      <c r="AP5413" s="13"/>
      <c r="AQ5413" s="13"/>
      <c r="AR5413" s="13"/>
      <c r="AS5413" s="13"/>
    </row>
    <row r="5414" ht="14.25" customHeight="1">
      <c r="A5414" s="13"/>
      <c r="B5414" s="13"/>
      <c r="C5414" s="13"/>
      <c r="D5414" s="13"/>
      <c r="E5414" s="13"/>
      <c r="F5414" s="13"/>
      <c r="G5414" s="13"/>
      <c r="H5414" s="13"/>
      <c r="I5414" s="13"/>
      <c r="J5414" s="13"/>
      <c r="K5414" s="15"/>
      <c r="L5414" s="15"/>
      <c r="M5414" s="16"/>
      <c r="N5414" s="16"/>
      <c r="O5414" s="17"/>
      <c r="P5414" s="17"/>
      <c r="Q5414" s="13"/>
      <c r="R5414" s="13"/>
      <c r="S5414" s="13"/>
      <c r="T5414" s="13"/>
      <c r="U5414" s="13"/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  <c r="AG5414" s="13"/>
      <c r="AH5414" s="13"/>
      <c r="AI5414" s="13"/>
      <c r="AJ5414" s="13"/>
      <c r="AK5414" s="13"/>
      <c r="AL5414" s="13"/>
      <c r="AM5414" s="13"/>
      <c r="AN5414" s="13"/>
      <c r="AO5414" s="13"/>
      <c r="AP5414" s="13"/>
      <c r="AQ5414" s="13"/>
      <c r="AR5414" s="13"/>
      <c r="AS5414" s="13"/>
    </row>
    <row r="5415" ht="14.25" customHeight="1">
      <c r="A5415" s="13"/>
      <c r="B5415" s="13"/>
      <c r="C5415" s="13"/>
      <c r="D5415" s="13"/>
      <c r="E5415" s="13"/>
      <c r="F5415" s="13"/>
      <c r="G5415" s="13"/>
      <c r="H5415" s="13"/>
      <c r="I5415" s="13"/>
      <c r="J5415" s="13"/>
      <c r="K5415" s="15"/>
      <c r="L5415" s="15"/>
      <c r="M5415" s="16"/>
      <c r="N5415" s="16"/>
      <c r="O5415" s="17"/>
      <c r="P5415" s="17"/>
      <c r="Q5415" s="13"/>
      <c r="R5415" s="13"/>
      <c r="S5415" s="13"/>
      <c r="T5415" s="13"/>
      <c r="U5415" s="13"/>
      <c r="V5415" s="13"/>
      <c r="W5415" s="13"/>
      <c r="X5415" s="13"/>
      <c r="Y5415" s="13"/>
      <c r="Z5415" s="13"/>
      <c r="AA5415" s="13"/>
      <c r="AB5415" s="13"/>
      <c r="AC5415" s="13"/>
      <c r="AD5415" s="13"/>
      <c r="AE5415" s="13"/>
      <c r="AF5415" s="13"/>
      <c r="AG5415" s="13"/>
      <c r="AH5415" s="13"/>
      <c r="AI5415" s="13"/>
      <c r="AJ5415" s="13"/>
      <c r="AK5415" s="13"/>
      <c r="AL5415" s="13"/>
      <c r="AM5415" s="13"/>
      <c r="AN5415" s="13"/>
      <c r="AO5415" s="13"/>
      <c r="AP5415" s="13"/>
      <c r="AQ5415" s="13"/>
      <c r="AR5415" s="13"/>
      <c r="AS5415" s="13"/>
    </row>
    <row r="5416" ht="14.25" customHeight="1">
      <c r="A5416" s="13"/>
      <c r="B5416" s="13"/>
      <c r="C5416" s="13"/>
      <c r="D5416" s="13"/>
      <c r="E5416" s="13"/>
      <c r="F5416" s="13"/>
      <c r="G5416" s="13"/>
      <c r="H5416" s="13"/>
      <c r="I5416" s="13"/>
      <c r="J5416" s="13"/>
      <c r="K5416" s="15"/>
      <c r="L5416" s="15"/>
      <c r="M5416" s="16"/>
      <c r="N5416" s="16"/>
      <c r="O5416" s="17"/>
      <c r="P5416" s="17"/>
      <c r="Q5416" s="13"/>
      <c r="R5416" s="13"/>
      <c r="S5416" s="13"/>
      <c r="T5416" s="13"/>
      <c r="U5416" s="13"/>
      <c r="V5416" s="13"/>
      <c r="W5416" s="13"/>
      <c r="X5416" s="13"/>
      <c r="Y5416" s="13"/>
      <c r="Z5416" s="13"/>
      <c r="AA5416" s="13"/>
      <c r="AB5416" s="13"/>
      <c r="AC5416" s="13"/>
      <c r="AD5416" s="13"/>
      <c r="AE5416" s="13"/>
      <c r="AF5416" s="13"/>
      <c r="AG5416" s="13"/>
      <c r="AH5416" s="13"/>
      <c r="AI5416" s="13"/>
      <c r="AJ5416" s="13"/>
      <c r="AK5416" s="13"/>
      <c r="AL5416" s="13"/>
      <c r="AM5416" s="13"/>
      <c r="AN5416" s="13"/>
      <c r="AO5416" s="13"/>
      <c r="AP5416" s="13"/>
      <c r="AQ5416" s="13"/>
      <c r="AR5416" s="13"/>
      <c r="AS5416" s="13"/>
    </row>
    <row r="5417" ht="14.25" customHeight="1">
      <c r="A5417" s="13"/>
      <c r="B5417" s="13"/>
      <c r="C5417" s="13"/>
      <c r="D5417" s="13"/>
      <c r="E5417" s="13"/>
      <c r="F5417" s="13"/>
      <c r="G5417" s="13"/>
      <c r="H5417" s="13"/>
      <c r="I5417" s="13"/>
      <c r="J5417" s="13"/>
      <c r="K5417" s="15"/>
      <c r="L5417" s="15"/>
      <c r="M5417" s="16"/>
      <c r="N5417" s="16"/>
      <c r="O5417" s="17"/>
      <c r="P5417" s="17"/>
      <c r="Q5417" s="13"/>
      <c r="R5417" s="13"/>
      <c r="S5417" s="13"/>
      <c r="T5417" s="13"/>
      <c r="U5417" s="13"/>
      <c r="V5417" s="13"/>
      <c r="W5417" s="13"/>
      <c r="X5417" s="13"/>
      <c r="Y5417" s="13"/>
      <c r="Z5417" s="13"/>
      <c r="AA5417" s="13"/>
      <c r="AB5417" s="13"/>
      <c r="AC5417" s="13"/>
      <c r="AD5417" s="13"/>
      <c r="AE5417" s="13"/>
      <c r="AF5417" s="13"/>
      <c r="AG5417" s="13"/>
      <c r="AH5417" s="13"/>
      <c r="AI5417" s="13"/>
      <c r="AJ5417" s="13"/>
      <c r="AK5417" s="13"/>
      <c r="AL5417" s="13"/>
      <c r="AM5417" s="13"/>
      <c r="AN5417" s="13"/>
      <c r="AO5417" s="13"/>
      <c r="AP5417" s="13"/>
      <c r="AQ5417" s="13"/>
      <c r="AR5417" s="13"/>
      <c r="AS5417" s="13"/>
    </row>
    <row r="5418" ht="14.25" customHeight="1">
      <c r="A5418" s="13"/>
      <c r="B5418" s="13"/>
      <c r="C5418" s="13"/>
      <c r="D5418" s="13"/>
      <c r="E5418" s="13"/>
      <c r="F5418" s="13"/>
      <c r="G5418" s="13"/>
      <c r="H5418" s="13"/>
      <c r="I5418" s="13"/>
      <c r="J5418" s="13"/>
      <c r="K5418" s="15"/>
      <c r="L5418" s="15"/>
      <c r="M5418" s="16"/>
      <c r="N5418" s="16"/>
      <c r="O5418" s="17"/>
      <c r="P5418" s="17"/>
      <c r="Q5418" s="13"/>
      <c r="R5418" s="13"/>
      <c r="S5418" s="13"/>
      <c r="T5418" s="13"/>
      <c r="U5418" s="13"/>
      <c r="V5418" s="13"/>
      <c r="W5418" s="13"/>
      <c r="X5418" s="13"/>
      <c r="Y5418" s="13"/>
      <c r="Z5418" s="13"/>
      <c r="AA5418" s="13"/>
      <c r="AB5418" s="13"/>
      <c r="AC5418" s="13"/>
      <c r="AD5418" s="13"/>
      <c r="AE5418" s="13"/>
      <c r="AF5418" s="13"/>
      <c r="AG5418" s="13"/>
      <c r="AH5418" s="13"/>
      <c r="AI5418" s="13"/>
      <c r="AJ5418" s="13"/>
      <c r="AK5418" s="13"/>
      <c r="AL5418" s="13"/>
      <c r="AM5418" s="13"/>
      <c r="AN5418" s="13"/>
      <c r="AO5418" s="13"/>
      <c r="AP5418" s="13"/>
      <c r="AQ5418" s="13"/>
      <c r="AR5418" s="13"/>
      <c r="AS5418" s="13"/>
    </row>
    <row r="5419" ht="14.25" customHeight="1">
      <c r="A5419" s="13"/>
      <c r="B5419" s="13"/>
      <c r="C5419" s="13"/>
      <c r="D5419" s="13"/>
      <c r="E5419" s="13"/>
      <c r="F5419" s="13"/>
      <c r="G5419" s="13"/>
      <c r="H5419" s="13"/>
      <c r="I5419" s="13"/>
      <c r="J5419" s="13"/>
      <c r="K5419" s="15"/>
      <c r="L5419" s="15"/>
      <c r="M5419" s="16"/>
      <c r="N5419" s="16"/>
      <c r="O5419" s="17"/>
      <c r="P5419" s="17"/>
      <c r="Q5419" s="13"/>
      <c r="R5419" s="13"/>
      <c r="S5419" s="13"/>
      <c r="T5419" s="13"/>
      <c r="U5419" s="13"/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F5419" s="13"/>
      <c r="AG5419" s="13"/>
      <c r="AH5419" s="13"/>
      <c r="AI5419" s="13"/>
      <c r="AJ5419" s="13"/>
      <c r="AK5419" s="13"/>
      <c r="AL5419" s="13"/>
      <c r="AM5419" s="13"/>
      <c r="AN5419" s="13"/>
      <c r="AO5419" s="13"/>
      <c r="AP5419" s="13"/>
      <c r="AQ5419" s="13"/>
      <c r="AR5419" s="13"/>
      <c r="AS5419" s="13"/>
    </row>
    <row r="5420" ht="14.25" customHeight="1">
      <c r="A5420" s="13"/>
      <c r="B5420" s="13"/>
      <c r="C5420" s="13"/>
      <c r="D5420" s="13"/>
      <c r="E5420" s="13"/>
      <c r="F5420" s="13"/>
      <c r="G5420" s="13"/>
      <c r="H5420" s="13"/>
      <c r="I5420" s="13"/>
      <c r="J5420" s="13"/>
      <c r="K5420" s="15"/>
      <c r="L5420" s="15"/>
      <c r="M5420" s="16"/>
      <c r="N5420" s="16"/>
      <c r="O5420" s="17"/>
      <c r="P5420" s="17"/>
      <c r="Q5420" s="13"/>
      <c r="R5420" s="13"/>
      <c r="S5420" s="13"/>
      <c r="T5420" s="13"/>
      <c r="U5420" s="13"/>
      <c r="V5420" s="13"/>
      <c r="W5420" s="13"/>
      <c r="X5420" s="13"/>
      <c r="Y5420" s="13"/>
      <c r="Z5420" s="13"/>
      <c r="AA5420" s="13"/>
      <c r="AB5420" s="13"/>
      <c r="AC5420" s="13"/>
      <c r="AD5420" s="13"/>
      <c r="AE5420" s="13"/>
      <c r="AF5420" s="13"/>
      <c r="AG5420" s="13"/>
      <c r="AH5420" s="13"/>
      <c r="AI5420" s="13"/>
      <c r="AJ5420" s="13"/>
      <c r="AK5420" s="13"/>
      <c r="AL5420" s="13"/>
      <c r="AM5420" s="13"/>
      <c r="AN5420" s="13"/>
      <c r="AO5420" s="13"/>
      <c r="AP5420" s="13"/>
      <c r="AQ5420" s="13"/>
      <c r="AR5420" s="13"/>
      <c r="AS5420" s="13"/>
    </row>
    <row r="5421" ht="14.25" customHeight="1">
      <c r="A5421" s="13"/>
      <c r="B5421" s="13"/>
      <c r="C5421" s="13"/>
      <c r="D5421" s="13"/>
      <c r="E5421" s="13"/>
      <c r="F5421" s="13"/>
      <c r="G5421" s="13"/>
      <c r="H5421" s="13"/>
      <c r="I5421" s="13"/>
      <c r="J5421" s="13"/>
      <c r="K5421" s="15"/>
      <c r="L5421" s="15"/>
      <c r="M5421" s="16"/>
      <c r="N5421" s="16"/>
      <c r="O5421" s="17"/>
      <c r="P5421" s="17"/>
      <c r="Q5421" s="13"/>
      <c r="R5421" s="13"/>
      <c r="S5421" s="13"/>
      <c r="T5421" s="13"/>
      <c r="U5421" s="13"/>
      <c r="V5421" s="13"/>
      <c r="W5421" s="13"/>
      <c r="X5421" s="13"/>
      <c r="Y5421" s="13"/>
      <c r="Z5421" s="13"/>
      <c r="AA5421" s="13"/>
      <c r="AB5421" s="13"/>
      <c r="AC5421" s="13"/>
      <c r="AD5421" s="13"/>
      <c r="AE5421" s="13"/>
      <c r="AF5421" s="13"/>
      <c r="AG5421" s="13"/>
      <c r="AH5421" s="13"/>
      <c r="AI5421" s="13"/>
      <c r="AJ5421" s="13"/>
      <c r="AK5421" s="13"/>
      <c r="AL5421" s="13"/>
      <c r="AM5421" s="13"/>
      <c r="AN5421" s="13"/>
      <c r="AO5421" s="13"/>
      <c r="AP5421" s="13"/>
      <c r="AQ5421" s="13"/>
      <c r="AR5421" s="13"/>
      <c r="AS5421" s="13"/>
    </row>
    <row r="5422" ht="14.25" customHeight="1">
      <c r="A5422" s="13"/>
      <c r="B5422" s="13"/>
      <c r="C5422" s="13"/>
      <c r="D5422" s="13"/>
      <c r="E5422" s="13"/>
      <c r="F5422" s="13"/>
      <c r="G5422" s="13"/>
      <c r="H5422" s="13"/>
      <c r="I5422" s="13"/>
      <c r="J5422" s="13"/>
      <c r="K5422" s="15"/>
      <c r="L5422" s="15"/>
      <c r="M5422" s="16"/>
      <c r="N5422" s="16"/>
      <c r="O5422" s="17"/>
      <c r="P5422" s="17"/>
      <c r="Q5422" s="13"/>
      <c r="R5422" s="13"/>
      <c r="S5422" s="13"/>
      <c r="T5422" s="13"/>
      <c r="U5422" s="13"/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F5422" s="13"/>
      <c r="AG5422" s="13"/>
      <c r="AH5422" s="13"/>
      <c r="AI5422" s="13"/>
      <c r="AJ5422" s="13"/>
      <c r="AK5422" s="13"/>
      <c r="AL5422" s="13"/>
      <c r="AM5422" s="13"/>
      <c r="AN5422" s="13"/>
      <c r="AO5422" s="13"/>
      <c r="AP5422" s="13"/>
      <c r="AQ5422" s="13"/>
      <c r="AR5422" s="13"/>
      <c r="AS5422" s="13"/>
    </row>
    <row r="5423" ht="14.25" customHeight="1">
      <c r="A5423" s="13"/>
      <c r="B5423" s="13"/>
      <c r="C5423" s="13"/>
      <c r="D5423" s="13"/>
      <c r="E5423" s="13"/>
      <c r="F5423" s="13"/>
      <c r="G5423" s="13"/>
      <c r="H5423" s="13"/>
      <c r="I5423" s="13"/>
      <c r="J5423" s="13"/>
      <c r="K5423" s="15"/>
      <c r="L5423" s="15"/>
      <c r="M5423" s="16"/>
      <c r="N5423" s="16"/>
      <c r="O5423" s="17"/>
      <c r="P5423" s="17"/>
      <c r="Q5423" s="13"/>
      <c r="R5423" s="13"/>
      <c r="S5423" s="13"/>
      <c r="T5423" s="13"/>
      <c r="U5423" s="13"/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F5423" s="13"/>
      <c r="AG5423" s="13"/>
      <c r="AH5423" s="13"/>
      <c r="AI5423" s="13"/>
      <c r="AJ5423" s="13"/>
      <c r="AK5423" s="13"/>
      <c r="AL5423" s="13"/>
      <c r="AM5423" s="13"/>
      <c r="AN5423" s="13"/>
      <c r="AO5423" s="13"/>
      <c r="AP5423" s="13"/>
      <c r="AQ5423" s="13"/>
      <c r="AR5423" s="13"/>
      <c r="AS5423" s="13"/>
    </row>
    <row r="5424" ht="14.25" customHeight="1">
      <c r="A5424" s="13"/>
      <c r="B5424" s="13"/>
      <c r="C5424" s="13"/>
      <c r="D5424" s="13"/>
      <c r="E5424" s="13"/>
      <c r="F5424" s="13"/>
      <c r="G5424" s="13"/>
      <c r="H5424" s="13"/>
      <c r="I5424" s="13"/>
      <c r="J5424" s="13"/>
      <c r="K5424" s="15"/>
      <c r="L5424" s="15"/>
      <c r="M5424" s="16"/>
      <c r="N5424" s="16"/>
      <c r="O5424" s="17"/>
      <c r="P5424" s="17"/>
      <c r="Q5424" s="13"/>
      <c r="R5424" s="13"/>
      <c r="S5424" s="13"/>
      <c r="T5424" s="13"/>
      <c r="U5424" s="13"/>
      <c r="V5424" s="13"/>
      <c r="W5424" s="13"/>
      <c r="X5424" s="13"/>
      <c r="Y5424" s="13"/>
      <c r="Z5424" s="13"/>
      <c r="AA5424" s="13"/>
      <c r="AB5424" s="13"/>
      <c r="AC5424" s="13"/>
      <c r="AD5424" s="13"/>
      <c r="AE5424" s="13"/>
      <c r="AF5424" s="13"/>
      <c r="AG5424" s="13"/>
      <c r="AH5424" s="13"/>
      <c r="AI5424" s="13"/>
      <c r="AJ5424" s="13"/>
      <c r="AK5424" s="13"/>
      <c r="AL5424" s="13"/>
      <c r="AM5424" s="13"/>
      <c r="AN5424" s="13"/>
      <c r="AO5424" s="13"/>
      <c r="AP5424" s="13"/>
      <c r="AQ5424" s="13"/>
      <c r="AR5424" s="13"/>
      <c r="AS5424" s="13"/>
    </row>
    <row r="5425" ht="14.25" customHeight="1">
      <c r="A5425" s="13"/>
      <c r="B5425" s="13"/>
      <c r="C5425" s="13"/>
      <c r="D5425" s="13"/>
      <c r="E5425" s="13"/>
      <c r="F5425" s="13"/>
      <c r="G5425" s="13"/>
      <c r="H5425" s="13"/>
      <c r="I5425" s="13"/>
      <c r="J5425" s="13"/>
      <c r="K5425" s="15"/>
      <c r="L5425" s="15"/>
      <c r="M5425" s="16"/>
      <c r="N5425" s="16"/>
      <c r="O5425" s="17"/>
      <c r="P5425" s="17"/>
      <c r="Q5425" s="13"/>
      <c r="R5425" s="13"/>
      <c r="S5425" s="13"/>
      <c r="T5425" s="13"/>
      <c r="U5425" s="13"/>
      <c r="V5425" s="13"/>
      <c r="W5425" s="13"/>
      <c r="X5425" s="13"/>
      <c r="Y5425" s="13"/>
      <c r="Z5425" s="13"/>
      <c r="AA5425" s="13"/>
      <c r="AB5425" s="13"/>
      <c r="AC5425" s="13"/>
      <c r="AD5425" s="13"/>
      <c r="AE5425" s="13"/>
      <c r="AF5425" s="13"/>
      <c r="AG5425" s="13"/>
      <c r="AH5425" s="13"/>
      <c r="AI5425" s="13"/>
      <c r="AJ5425" s="13"/>
      <c r="AK5425" s="13"/>
      <c r="AL5425" s="13"/>
      <c r="AM5425" s="13"/>
      <c r="AN5425" s="13"/>
      <c r="AO5425" s="13"/>
      <c r="AP5425" s="13"/>
      <c r="AQ5425" s="13"/>
      <c r="AR5425" s="13"/>
      <c r="AS5425" s="13"/>
    </row>
    <row r="5426" ht="14.25" customHeight="1">
      <c r="A5426" s="13"/>
      <c r="B5426" s="13"/>
      <c r="C5426" s="13"/>
      <c r="D5426" s="13"/>
      <c r="E5426" s="13"/>
      <c r="F5426" s="13"/>
      <c r="G5426" s="13"/>
      <c r="H5426" s="13"/>
      <c r="I5426" s="13"/>
      <c r="J5426" s="13"/>
      <c r="K5426" s="15"/>
      <c r="L5426" s="15"/>
      <c r="M5426" s="16"/>
      <c r="N5426" s="16"/>
      <c r="O5426" s="17"/>
      <c r="P5426" s="17"/>
      <c r="Q5426" s="13"/>
      <c r="R5426" s="13"/>
      <c r="S5426" s="13"/>
      <c r="T5426" s="13"/>
      <c r="U5426" s="13"/>
      <c r="V5426" s="13"/>
      <c r="W5426" s="13"/>
      <c r="X5426" s="13"/>
      <c r="Y5426" s="13"/>
      <c r="Z5426" s="13"/>
      <c r="AA5426" s="13"/>
      <c r="AB5426" s="13"/>
      <c r="AC5426" s="13"/>
      <c r="AD5426" s="13"/>
      <c r="AE5426" s="13"/>
      <c r="AF5426" s="13"/>
      <c r="AG5426" s="13"/>
      <c r="AH5426" s="13"/>
      <c r="AI5426" s="13"/>
      <c r="AJ5426" s="13"/>
      <c r="AK5426" s="13"/>
      <c r="AL5426" s="13"/>
      <c r="AM5426" s="13"/>
      <c r="AN5426" s="13"/>
      <c r="AO5426" s="13"/>
      <c r="AP5426" s="13"/>
      <c r="AQ5426" s="13"/>
      <c r="AR5426" s="13"/>
      <c r="AS5426" s="13"/>
    </row>
    <row r="5427" ht="14.25" customHeight="1">
      <c r="A5427" s="13"/>
      <c r="B5427" s="13"/>
      <c r="C5427" s="13"/>
      <c r="D5427" s="13"/>
      <c r="E5427" s="13"/>
      <c r="F5427" s="13"/>
      <c r="G5427" s="13"/>
      <c r="H5427" s="13"/>
      <c r="I5427" s="13"/>
      <c r="J5427" s="13"/>
      <c r="K5427" s="15"/>
      <c r="L5427" s="15"/>
      <c r="M5427" s="16"/>
      <c r="N5427" s="16"/>
      <c r="O5427" s="17"/>
      <c r="P5427" s="17"/>
      <c r="Q5427" s="13"/>
      <c r="R5427" s="13"/>
      <c r="S5427" s="13"/>
      <c r="T5427" s="13"/>
      <c r="U5427" s="13"/>
      <c r="V5427" s="13"/>
      <c r="W5427" s="13"/>
      <c r="X5427" s="13"/>
      <c r="Y5427" s="13"/>
      <c r="Z5427" s="13"/>
      <c r="AA5427" s="13"/>
      <c r="AB5427" s="13"/>
      <c r="AC5427" s="13"/>
      <c r="AD5427" s="13"/>
      <c r="AE5427" s="13"/>
      <c r="AF5427" s="13"/>
      <c r="AG5427" s="13"/>
      <c r="AH5427" s="13"/>
      <c r="AI5427" s="13"/>
      <c r="AJ5427" s="13"/>
      <c r="AK5427" s="13"/>
      <c r="AL5427" s="13"/>
      <c r="AM5427" s="13"/>
      <c r="AN5427" s="13"/>
      <c r="AO5427" s="13"/>
      <c r="AP5427" s="13"/>
      <c r="AQ5427" s="13"/>
      <c r="AR5427" s="13"/>
      <c r="AS5427" s="13"/>
    </row>
    <row r="5428" ht="14.25" customHeight="1">
      <c r="A5428" s="13"/>
      <c r="B5428" s="13"/>
      <c r="C5428" s="13"/>
      <c r="D5428" s="13"/>
      <c r="E5428" s="13"/>
      <c r="F5428" s="13"/>
      <c r="G5428" s="13"/>
      <c r="H5428" s="13"/>
      <c r="I5428" s="13"/>
      <c r="J5428" s="13"/>
      <c r="K5428" s="15"/>
      <c r="L5428" s="15"/>
      <c r="M5428" s="16"/>
      <c r="N5428" s="16"/>
      <c r="O5428" s="17"/>
      <c r="P5428" s="17"/>
      <c r="Q5428" s="13"/>
      <c r="R5428" s="13"/>
      <c r="S5428" s="13"/>
      <c r="T5428" s="13"/>
      <c r="U5428" s="13"/>
      <c r="V5428" s="13"/>
      <c r="W5428" s="13"/>
      <c r="X5428" s="13"/>
      <c r="Y5428" s="13"/>
      <c r="Z5428" s="13"/>
      <c r="AA5428" s="13"/>
      <c r="AB5428" s="13"/>
      <c r="AC5428" s="13"/>
      <c r="AD5428" s="13"/>
      <c r="AE5428" s="13"/>
      <c r="AF5428" s="13"/>
      <c r="AG5428" s="13"/>
      <c r="AH5428" s="13"/>
      <c r="AI5428" s="13"/>
      <c r="AJ5428" s="13"/>
      <c r="AK5428" s="13"/>
      <c r="AL5428" s="13"/>
      <c r="AM5428" s="13"/>
      <c r="AN5428" s="13"/>
      <c r="AO5428" s="13"/>
      <c r="AP5428" s="13"/>
      <c r="AQ5428" s="13"/>
      <c r="AR5428" s="13"/>
      <c r="AS5428" s="13"/>
    </row>
    <row r="5429" ht="14.25" customHeight="1">
      <c r="A5429" s="13"/>
      <c r="B5429" s="13"/>
      <c r="C5429" s="13"/>
      <c r="D5429" s="13"/>
      <c r="E5429" s="13"/>
      <c r="F5429" s="13"/>
      <c r="G5429" s="13"/>
      <c r="H5429" s="13"/>
      <c r="I5429" s="13"/>
      <c r="J5429" s="13"/>
      <c r="K5429" s="15"/>
      <c r="L5429" s="15"/>
      <c r="M5429" s="16"/>
      <c r="N5429" s="16"/>
      <c r="O5429" s="17"/>
      <c r="P5429" s="17"/>
      <c r="Q5429" s="13"/>
      <c r="R5429" s="13"/>
      <c r="S5429" s="13"/>
      <c r="T5429" s="13"/>
      <c r="U5429" s="13"/>
      <c r="V5429" s="13"/>
      <c r="W5429" s="13"/>
      <c r="X5429" s="13"/>
      <c r="Y5429" s="13"/>
      <c r="Z5429" s="13"/>
      <c r="AA5429" s="13"/>
      <c r="AB5429" s="13"/>
      <c r="AC5429" s="13"/>
      <c r="AD5429" s="13"/>
      <c r="AE5429" s="13"/>
      <c r="AF5429" s="13"/>
      <c r="AG5429" s="13"/>
      <c r="AH5429" s="13"/>
      <c r="AI5429" s="13"/>
      <c r="AJ5429" s="13"/>
      <c r="AK5429" s="13"/>
      <c r="AL5429" s="13"/>
      <c r="AM5429" s="13"/>
      <c r="AN5429" s="13"/>
      <c r="AO5429" s="13"/>
      <c r="AP5429" s="13"/>
      <c r="AQ5429" s="13"/>
      <c r="AR5429" s="13"/>
      <c r="AS5429" s="13"/>
    </row>
    <row r="5430" ht="14.25" customHeight="1">
      <c r="A5430" s="13"/>
      <c r="B5430" s="13"/>
      <c r="C5430" s="13"/>
      <c r="D5430" s="13"/>
      <c r="E5430" s="13"/>
      <c r="F5430" s="13"/>
      <c r="G5430" s="13"/>
      <c r="H5430" s="13"/>
      <c r="I5430" s="13"/>
      <c r="J5430" s="13"/>
      <c r="K5430" s="15"/>
      <c r="L5430" s="15"/>
      <c r="M5430" s="16"/>
      <c r="N5430" s="16"/>
      <c r="O5430" s="17"/>
      <c r="P5430" s="17"/>
      <c r="Q5430" s="13"/>
      <c r="R5430" s="13"/>
      <c r="S5430" s="13"/>
      <c r="T5430" s="13"/>
      <c r="U5430" s="13"/>
      <c r="V5430" s="13"/>
      <c r="W5430" s="13"/>
      <c r="X5430" s="13"/>
      <c r="Y5430" s="13"/>
      <c r="Z5430" s="13"/>
      <c r="AA5430" s="13"/>
      <c r="AB5430" s="13"/>
      <c r="AC5430" s="13"/>
      <c r="AD5430" s="13"/>
      <c r="AE5430" s="13"/>
      <c r="AF5430" s="13"/>
      <c r="AG5430" s="13"/>
      <c r="AH5430" s="13"/>
      <c r="AI5430" s="13"/>
      <c r="AJ5430" s="13"/>
      <c r="AK5430" s="13"/>
      <c r="AL5430" s="13"/>
      <c r="AM5430" s="13"/>
      <c r="AN5430" s="13"/>
      <c r="AO5430" s="13"/>
      <c r="AP5430" s="13"/>
      <c r="AQ5430" s="13"/>
      <c r="AR5430" s="13"/>
      <c r="AS5430" s="13"/>
    </row>
    <row r="5431" ht="14.25" customHeight="1">
      <c r="A5431" s="13"/>
      <c r="B5431" s="13"/>
      <c r="C5431" s="13"/>
      <c r="D5431" s="13"/>
      <c r="E5431" s="13"/>
      <c r="F5431" s="13"/>
      <c r="G5431" s="13"/>
      <c r="H5431" s="13"/>
      <c r="I5431" s="13"/>
      <c r="J5431" s="13"/>
      <c r="K5431" s="15"/>
      <c r="L5431" s="15"/>
      <c r="M5431" s="16"/>
      <c r="N5431" s="16"/>
      <c r="O5431" s="17"/>
      <c r="P5431" s="17"/>
      <c r="Q5431" s="13"/>
      <c r="R5431" s="13"/>
      <c r="S5431" s="13"/>
      <c r="T5431" s="13"/>
      <c r="U5431" s="13"/>
      <c r="V5431" s="13"/>
      <c r="W5431" s="13"/>
      <c r="X5431" s="13"/>
      <c r="Y5431" s="13"/>
      <c r="Z5431" s="13"/>
      <c r="AA5431" s="13"/>
      <c r="AB5431" s="13"/>
      <c r="AC5431" s="13"/>
      <c r="AD5431" s="13"/>
      <c r="AE5431" s="13"/>
      <c r="AF5431" s="13"/>
      <c r="AG5431" s="13"/>
      <c r="AH5431" s="13"/>
      <c r="AI5431" s="13"/>
      <c r="AJ5431" s="13"/>
      <c r="AK5431" s="13"/>
      <c r="AL5431" s="13"/>
      <c r="AM5431" s="13"/>
      <c r="AN5431" s="13"/>
      <c r="AO5431" s="13"/>
      <c r="AP5431" s="13"/>
      <c r="AQ5431" s="13"/>
      <c r="AR5431" s="13"/>
      <c r="AS5431" s="13"/>
    </row>
    <row r="5432" ht="14.25" customHeight="1">
      <c r="A5432" s="13"/>
      <c r="B5432" s="13"/>
      <c r="C5432" s="13"/>
      <c r="D5432" s="13"/>
      <c r="E5432" s="13"/>
      <c r="F5432" s="13"/>
      <c r="G5432" s="13"/>
      <c r="H5432" s="13"/>
      <c r="I5432" s="13"/>
      <c r="J5432" s="13"/>
      <c r="K5432" s="15"/>
      <c r="L5432" s="15"/>
      <c r="M5432" s="16"/>
      <c r="N5432" s="16"/>
      <c r="O5432" s="17"/>
      <c r="P5432" s="17"/>
      <c r="Q5432" s="13"/>
      <c r="R5432" s="13"/>
      <c r="S5432" s="13"/>
      <c r="T5432" s="13"/>
      <c r="U5432" s="13"/>
      <c r="V5432" s="13"/>
      <c r="W5432" s="13"/>
      <c r="X5432" s="13"/>
      <c r="Y5432" s="13"/>
      <c r="Z5432" s="13"/>
      <c r="AA5432" s="13"/>
      <c r="AB5432" s="13"/>
      <c r="AC5432" s="13"/>
      <c r="AD5432" s="13"/>
      <c r="AE5432" s="13"/>
      <c r="AF5432" s="13"/>
      <c r="AG5432" s="13"/>
      <c r="AH5432" s="13"/>
      <c r="AI5432" s="13"/>
      <c r="AJ5432" s="13"/>
      <c r="AK5432" s="13"/>
      <c r="AL5432" s="13"/>
      <c r="AM5432" s="13"/>
      <c r="AN5432" s="13"/>
      <c r="AO5432" s="13"/>
      <c r="AP5432" s="13"/>
      <c r="AQ5432" s="13"/>
      <c r="AR5432" s="13"/>
      <c r="AS5432" s="13"/>
    </row>
    <row r="5433" ht="14.25" customHeight="1">
      <c r="A5433" s="13"/>
      <c r="B5433" s="13"/>
      <c r="C5433" s="13"/>
      <c r="D5433" s="13"/>
      <c r="E5433" s="13"/>
      <c r="F5433" s="13"/>
      <c r="G5433" s="13"/>
      <c r="H5433" s="13"/>
      <c r="I5433" s="13"/>
      <c r="J5433" s="13"/>
      <c r="K5433" s="15"/>
      <c r="L5433" s="15"/>
      <c r="M5433" s="16"/>
      <c r="N5433" s="16"/>
      <c r="O5433" s="17"/>
      <c r="P5433" s="17"/>
      <c r="Q5433" s="13"/>
      <c r="R5433" s="13"/>
      <c r="S5433" s="13"/>
      <c r="T5433" s="13"/>
      <c r="U5433" s="13"/>
      <c r="V5433" s="13"/>
      <c r="W5433" s="13"/>
      <c r="X5433" s="13"/>
      <c r="Y5433" s="13"/>
      <c r="Z5433" s="13"/>
      <c r="AA5433" s="13"/>
      <c r="AB5433" s="13"/>
      <c r="AC5433" s="13"/>
      <c r="AD5433" s="13"/>
      <c r="AE5433" s="13"/>
      <c r="AF5433" s="13"/>
      <c r="AG5433" s="13"/>
      <c r="AH5433" s="13"/>
      <c r="AI5433" s="13"/>
      <c r="AJ5433" s="13"/>
      <c r="AK5433" s="13"/>
      <c r="AL5433" s="13"/>
      <c r="AM5433" s="13"/>
      <c r="AN5433" s="13"/>
      <c r="AO5433" s="13"/>
      <c r="AP5433" s="13"/>
      <c r="AQ5433" s="13"/>
      <c r="AR5433" s="13"/>
      <c r="AS5433" s="13"/>
    </row>
    <row r="5434" ht="14.25" customHeight="1">
      <c r="A5434" s="13"/>
      <c r="B5434" s="13"/>
      <c r="C5434" s="13"/>
      <c r="D5434" s="13"/>
      <c r="E5434" s="13"/>
      <c r="F5434" s="13"/>
      <c r="G5434" s="13"/>
      <c r="H5434" s="13"/>
      <c r="I5434" s="13"/>
      <c r="J5434" s="13"/>
      <c r="K5434" s="15"/>
      <c r="L5434" s="15"/>
      <c r="M5434" s="16"/>
      <c r="N5434" s="16"/>
      <c r="O5434" s="17"/>
      <c r="P5434" s="17"/>
      <c r="Q5434" s="13"/>
      <c r="R5434" s="13"/>
      <c r="S5434" s="13"/>
      <c r="T5434" s="13"/>
      <c r="U5434" s="13"/>
      <c r="V5434" s="13"/>
      <c r="W5434" s="13"/>
      <c r="X5434" s="13"/>
      <c r="Y5434" s="13"/>
      <c r="Z5434" s="13"/>
      <c r="AA5434" s="13"/>
      <c r="AB5434" s="13"/>
      <c r="AC5434" s="13"/>
      <c r="AD5434" s="13"/>
      <c r="AE5434" s="13"/>
      <c r="AF5434" s="13"/>
      <c r="AG5434" s="13"/>
      <c r="AH5434" s="13"/>
      <c r="AI5434" s="13"/>
      <c r="AJ5434" s="13"/>
      <c r="AK5434" s="13"/>
      <c r="AL5434" s="13"/>
      <c r="AM5434" s="13"/>
      <c r="AN5434" s="13"/>
      <c r="AO5434" s="13"/>
      <c r="AP5434" s="13"/>
      <c r="AQ5434" s="13"/>
      <c r="AR5434" s="13"/>
      <c r="AS5434" s="13"/>
    </row>
    <row r="5435" ht="14.25" customHeight="1">
      <c r="A5435" s="13"/>
      <c r="B5435" s="13"/>
      <c r="C5435" s="13"/>
      <c r="D5435" s="13"/>
      <c r="E5435" s="13"/>
      <c r="F5435" s="13"/>
      <c r="G5435" s="13"/>
      <c r="H5435" s="13"/>
      <c r="I5435" s="13"/>
      <c r="J5435" s="13"/>
      <c r="K5435" s="15"/>
      <c r="L5435" s="15"/>
      <c r="M5435" s="16"/>
      <c r="N5435" s="16"/>
      <c r="O5435" s="17"/>
      <c r="P5435" s="17"/>
      <c r="Q5435" s="13"/>
      <c r="R5435" s="13"/>
      <c r="S5435" s="13"/>
      <c r="T5435" s="13"/>
      <c r="U5435" s="13"/>
      <c r="V5435" s="13"/>
      <c r="W5435" s="13"/>
      <c r="X5435" s="13"/>
      <c r="Y5435" s="13"/>
      <c r="Z5435" s="13"/>
      <c r="AA5435" s="13"/>
      <c r="AB5435" s="13"/>
      <c r="AC5435" s="13"/>
      <c r="AD5435" s="13"/>
      <c r="AE5435" s="13"/>
      <c r="AF5435" s="13"/>
      <c r="AG5435" s="13"/>
      <c r="AH5435" s="13"/>
      <c r="AI5435" s="13"/>
      <c r="AJ5435" s="13"/>
      <c r="AK5435" s="13"/>
      <c r="AL5435" s="13"/>
      <c r="AM5435" s="13"/>
      <c r="AN5435" s="13"/>
      <c r="AO5435" s="13"/>
      <c r="AP5435" s="13"/>
      <c r="AQ5435" s="13"/>
      <c r="AR5435" s="13"/>
      <c r="AS5435" s="13"/>
    </row>
    <row r="5436" ht="14.25" customHeight="1">
      <c r="A5436" s="13"/>
      <c r="B5436" s="13"/>
      <c r="C5436" s="13"/>
      <c r="D5436" s="13"/>
      <c r="E5436" s="13"/>
      <c r="F5436" s="13"/>
      <c r="G5436" s="13"/>
      <c r="H5436" s="13"/>
      <c r="I5436" s="13"/>
      <c r="J5436" s="13"/>
      <c r="K5436" s="15"/>
      <c r="L5436" s="15"/>
      <c r="M5436" s="16"/>
      <c r="N5436" s="16"/>
      <c r="O5436" s="17"/>
      <c r="P5436" s="17"/>
      <c r="Q5436" s="13"/>
      <c r="R5436" s="13"/>
      <c r="S5436" s="13"/>
      <c r="T5436" s="13"/>
      <c r="U5436" s="13"/>
      <c r="V5436" s="13"/>
      <c r="W5436" s="13"/>
      <c r="X5436" s="13"/>
      <c r="Y5436" s="13"/>
      <c r="Z5436" s="13"/>
      <c r="AA5436" s="13"/>
      <c r="AB5436" s="13"/>
      <c r="AC5436" s="13"/>
      <c r="AD5436" s="13"/>
      <c r="AE5436" s="13"/>
      <c r="AF5436" s="13"/>
      <c r="AG5436" s="13"/>
      <c r="AH5436" s="13"/>
      <c r="AI5436" s="13"/>
      <c r="AJ5436" s="13"/>
      <c r="AK5436" s="13"/>
      <c r="AL5436" s="13"/>
      <c r="AM5436" s="13"/>
      <c r="AN5436" s="13"/>
      <c r="AO5436" s="13"/>
      <c r="AP5436" s="13"/>
      <c r="AQ5436" s="13"/>
      <c r="AR5436" s="13"/>
      <c r="AS5436" s="13"/>
    </row>
    <row r="5437" ht="14.25" customHeight="1">
      <c r="A5437" s="13"/>
      <c r="B5437" s="13"/>
      <c r="C5437" s="13"/>
      <c r="D5437" s="13"/>
      <c r="E5437" s="13"/>
      <c r="F5437" s="13"/>
      <c r="G5437" s="13"/>
      <c r="H5437" s="13"/>
      <c r="I5437" s="13"/>
      <c r="J5437" s="13"/>
      <c r="K5437" s="15"/>
      <c r="L5437" s="15"/>
      <c r="M5437" s="16"/>
      <c r="N5437" s="16"/>
      <c r="O5437" s="17"/>
      <c r="P5437" s="17"/>
      <c r="Q5437" s="13"/>
      <c r="R5437" s="13"/>
      <c r="S5437" s="13"/>
      <c r="T5437" s="13"/>
      <c r="U5437" s="13"/>
      <c r="V5437" s="13"/>
      <c r="W5437" s="13"/>
      <c r="X5437" s="13"/>
      <c r="Y5437" s="13"/>
      <c r="Z5437" s="13"/>
      <c r="AA5437" s="13"/>
      <c r="AB5437" s="13"/>
      <c r="AC5437" s="13"/>
      <c r="AD5437" s="13"/>
      <c r="AE5437" s="13"/>
      <c r="AF5437" s="13"/>
      <c r="AG5437" s="13"/>
      <c r="AH5437" s="13"/>
      <c r="AI5437" s="13"/>
      <c r="AJ5437" s="13"/>
      <c r="AK5437" s="13"/>
      <c r="AL5437" s="13"/>
      <c r="AM5437" s="13"/>
      <c r="AN5437" s="13"/>
      <c r="AO5437" s="13"/>
      <c r="AP5437" s="13"/>
      <c r="AQ5437" s="13"/>
      <c r="AR5437" s="13"/>
      <c r="AS5437" s="13"/>
    </row>
    <row r="5438" ht="14.25" customHeight="1">
      <c r="A5438" s="13"/>
      <c r="B5438" s="13"/>
      <c r="C5438" s="13"/>
      <c r="D5438" s="13"/>
      <c r="E5438" s="13"/>
      <c r="F5438" s="13"/>
      <c r="G5438" s="13"/>
      <c r="H5438" s="13"/>
      <c r="I5438" s="13"/>
      <c r="J5438" s="13"/>
      <c r="K5438" s="15"/>
      <c r="L5438" s="15"/>
      <c r="M5438" s="16"/>
      <c r="N5438" s="16"/>
      <c r="O5438" s="17"/>
      <c r="P5438" s="17"/>
      <c r="Q5438" s="13"/>
      <c r="R5438" s="13"/>
      <c r="S5438" s="13"/>
      <c r="T5438" s="13"/>
      <c r="U5438" s="13"/>
      <c r="V5438" s="13"/>
      <c r="W5438" s="13"/>
      <c r="X5438" s="13"/>
      <c r="Y5438" s="13"/>
      <c r="Z5438" s="13"/>
      <c r="AA5438" s="13"/>
      <c r="AB5438" s="13"/>
      <c r="AC5438" s="13"/>
      <c r="AD5438" s="13"/>
      <c r="AE5438" s="13"/>
      <c r="AF5438" s="13"/>
      <c r="AG5438" s="13"/>
      <c r="AH5438" s="13"/>
      <c r="AI5438" s="13"/>
      <c r="AJ5438" s="13"/>
      <c r="AK5438" s="13"/>
      <c r="AL5438" s="13"/>
      <c r="AM5438" s="13"/>
      <c r="AN5438" s="13"/>
      <c r="AO5438" s="13"/>
      <c r="AP5438" s="13"/>
      <c r="AQ5438" s="13"/>
      <c r="AR5438" s="13"/>
      <c r="AS5438" s="13"/>
    </row>
    <row r="5439" ht="14.25" customHeight="1">
      <c r="A5439" s="13"/>
      <c r="B5439" s="13"/>
      <c r="C5439" s="13"/>
      <c r="D5439" s="13"/>
      <c r="E5439" s="13"/>
      <c r="F5439" s="13"/>
      <c r="G5439" s="13"/>
      <c r="H5439" s="13"/>
      <c r="I5439" s="13"/>
      <c r="J5439" s="13"/>
      <c r="K5439" s="15"/>
      <c r="L5439" s="15"/>
      <c r="M5439" s="16"/>
      <c r="N5439" s="16"/>
      <c r="O5439" s="17"/>
      <c r="P5439" s="17"/>
      <c r="Q5439" s="13"/>
      <c r="R5439" s="13"/>
      <c r="S5439" s="13"/>
      <c r="T5439" s="13"/>
      <c r="U5439" s="13"/>
      <c r="V5439" s="13"/>
      <c r="W5439" s="13"/>
      <c r="X5439" s="13"/>
      <c r="Y5439" s="13"/>
      <c r="Z5439" s="13"/>
      <c r="AA5439" s="13"/>
      <c r="AB5439" s="13"/>
      <c r="AC5439" s="13"/>
      <c r="AD5439" s="13"/>
      <c r="AE5439" s="13"/>
      <c r="AF5439" s="13"/>
      <c r="AG5439" s="13"/>
      <c r="AH5439" s="13"/>
      <c r="AI5439" s="13"/>
      <c r="AJ5439" s="13"/>
      <c r="AK5439" s="13"/>
      <c r="AL5439" s="13"/>
      <c r="AM5439" s="13"/>
      <c r="AN5439" s="13"/>
      <c r="AO5439" s="13"/>
      <c r="AP5439" s="13"/>
      <c r="AQ5439" s="13"/>
      <c r="AR5439" s="13"/>
      <c r="AS5439" s="13"/>
    </row>
    <row r="5440" ht="14.25" customHeight="1">
      <c r="A5440" s="13"/>
      <c r="B5440" s="13"/>
      <c r="C5440" s="13"/>
      <c r="D5440" s="13"/>
      <c r="E5440" s="13"/>
      <c r="F5440" s="13"/>
      <c r="G5440" s="13"/>
      <c r="H5440" s="13"/>
      <c r="I5440" s="13"/>
      <c r="J5440" s="13"/>
      <c r="K5440" s="15"/>
      <c r="L5440" s="15"/>
      <c r="M5440" s="16"/>
      <c r="N5440" s="16"/>
      <c r="O5440" s="17"/>
      <c r="P5440" s="17"/>
      <c r="Q5440" s="13"/>
      <c r="R5440" s="13"/>
      <c r="S5440" s="13"/>
      <c r="T5440" s="13"/>
      <c r="U5440" s="13"/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F5440" s="13"/>
      <c r="AG5440" s="13"/>
      <c r="AH5440" s="13"/>
      <c r="AI5440" s="13"/>
      <c r="AJ5440" s="13"/>
      <c r="AK5440" s="13"/>
      <c r="AL5440" s="13"/>
      <c r="AM5440" s="13"/>
      <c r="AN5440" s="13"/>
      <c r="AO5440" s="13"/>
      <c r="AP5440" s="13"/>
      <c r="AQ5440" s="13"/>
      <c r="AR5440" s="13"/>
      <c r="AS5440" s="13"/>
    </row>
    <row r="5441" ht="14.25" customHeight="1">
      <c r="A5441" s="13"/>
      <c r="B5441" s="13"/>
      <c r="C5441" s="13"/>
      <c r="D5441" s="13"/>
      <c r="E5441" s="13"/>
      <c r="F5441" s="13"/>
      <c r="G5441" s="13"/>
      <c r="H5441" s="13"/>
      <c r="I5441" s="13"/>
      <c r="J5441" s="13"/>
      <c r="K5441" s="15"/>
      <c r="L5441" s="15"/>
      <c r="M5441" s="16"/>
      <c r="N5441" s="16"/>
      <c r="O5441" s="17"/>
      <c r="P5441" s="17"/>
      <c r="Q5441" s="13"/>
      <c r="R5441" s="13"/>
      <c r="S5441" s="13"/>
      <c r="T5441" s="13"/>
      <c r="U5441" s="13"/>
      <c r="V5441" s="13"/>
      <c r="W5441" s="13"/>
      <c r="X5441" s="13"/>
      <c r="Y5441" s="13"/>
      <c r="Z5441" s="13"/>
      <c r="AA5441" s="13"/>
      <c r="AB5441" s="13"/>
      <c r="AC5441" s="13"/>
      <c r="AD5441" s="13"/>
      <c r="AE5441" s="13"/>
      <c r="AF5441" s="13"/>
      <c r="AG5441" s="13"/>
      <c r="AH5441" s="13"/>
      <c r="AI5441" s="13"/>
      <c r="AJ5441" s="13"/>
      <c r="AK5441" s="13"/>
      <c r="AL5441" s="13"/>
      <c r="AM5441" s="13"/>
      <c r="AN5441" s="13"/>
      <c r="AO5441" s="13"/>
      <c r="AP5441" s="13"/>
      <c r="AQ5441" s="13"/>
      <c r="AR5441" s="13"/>
      <c r="AS5441" s="13"/>
    </row>
    <row r="5442" ht="14.25" customHeight="1">
      <c r="A5442" s="13"/>
      <c r="B5442" s="13"/>
      <c r="C5442" s="13"/>
      <c r="D5442" s="13"/>
      <c r="E5442" s="13"/>
      <c r="F5442" s="13"/>
      <c r="G5442" s="13"/>
      <c r="H5442" s="13"/>
      <c r="I5442" s="13"/>
      <c r="J5442" s="13"/>
      <c r="K5442" s="15"/>
      <c r="L5442" s="15"/>
      <c r="M5442" s="16"/>
      <c r="N5442" s="16"/>
      <c r="O5442" s="17"/>
      <c r="P5442" s="17"/>
      <c r="Q5442" s="13"/>
      <c r="R5442" s="13"/>
      <c r="S5442" s="13"/>
      <c r="T5442" s="13"/>
      <c r="U5442" s="13"/>
      <c r="V5442" s="13"/>
      <c r="W5442" s="13"/>
      <c r="X5442" s="13"/>
      <c r="Y5442" s="13"/>
      <c r="Z5442" s="13"/>
      <c r="AA5442" s="13"/>
      <c r="AB5442" s="13"/>
      <c r="AC5442" s="13"/>
      <c r="AD5442" s="13"/>
      <c r="AE5442" s="13"/>
      <c r="AF5442" s="13"/>
      <c r="AG5442" s="13"/>
      <c r="AH5442" s="13"/>
      <c r="AI5442" s="13"/>
      <c r="AJ5442" s="13"/>
      <c r="AK5442" s="13"/>
      <c r="AL5442" s="13"/>
      <c r="AM5442" s="13"/>
      <c r="AN5442" s="13"/>
      <c r="AO5442" s="13"/>
      <c r="AP5442" s="13"/>
      <c r="AQ5442" s="13"/>
      <c r="AR5442" s="13"/>
      <c r="AS5442" s="13"/>
    </row>
    <row r="5443" ht="14.25" customHeight="1">
      <c r="A5443" s="13"/>
      <c r="B5443" s="13"/>
      <c r="C5443" s="13"/>
      <c r="D5443" s="13"/>
      <c r="E5443" s="13"/>
      <c r="F5443" s="13"/>
      <c r="G5443" s="13"/>
      <c r="H5443" s="13"/>
      <c r="I5443" s="13"/>
      <c r="J5443" s="13"/>
      <c r="K5443" s="15"/>
      <c r="L5443" s="15"/>
      <c r="M5443" s="16"/>
      <c r="N5443" s="16"/>
      <c r="O5443" s="17"/>
      <c r="P5443" s="17"/>
      <c r="Q5443" s="13"/>
      <c r="R5443" s="13"/>
      <c r="S5443" s="13"/>
      <c r="T5443" s="13"/>
      <c r="U5443" s="13"/>
      <c r="V5443" s="13"/>
      <c r="W5443" s="13"/>
      <c r="X5443" s="13"/>
      <c r="Y5443" s="13"/>
      <c r="Z5443" s="13"/>
      <c r="AA5443" s="13"/>
      <c r="AB5443" s="13"/>
      <c r="AC5443" s="13"/>
      <c r="AD5443" s="13"/>
      <c r="AE5443" s="13"/>
      <c r="AF5443" s="13"/>
      <c r="AG5443" s="13"/>
      <c r="AH5443" s="13"/>
      <c r="AI5443" s="13"/>
      <c r="AJ5443" s="13"/>
      <c r="AK5443" s="13"/>
      <c r="AL5443" s="13"/>
      <c r="AM5443" s="13"/>
      <c r="AN5443" s="13"/>
      <c r="AO5443" s="13"/>
      <c r="AP5443" s="13"/>
      <c r="AQ5443" s="13"/>
      <c r="AR5443" s="13"/>
      <c r="AS5443" s="13"/>
    </row>
    <row r="5444" ht="14.25" customHeight="1">
      <c r="A5444" s="13"/>
      <c r="B5444" s="13"/>
      <c r="C5444" s="13"/>
      <c r="D5444" s="13"/>
      <c r="E5444" s="13"/>
      <c r="F5444" s="13"/>
      <c r="G5444" s="13"/>
      <c r="H5444" s="13"/>
      <c r="I5444" s="13"/>
      <c r="J5444" s="13"/>
      <c r="K5444" s="15"/>
      <c r="L5444" s="15"/>
      <c r="M5444" s="16"/>
      <c r="N5444" s="16"/>
      <c r="O5444" s="17"/>
      <c r="P5444" s="17"/>
      <c r="Q5444" s="13"/>
      <c r="R5444" s="13"/>
      <c r="S5444" s="13"/>
      <c r="T5444" s="13"/>
      <c r="U5444" s="13"/>
      <c r="V5444" s="13"/>
      <c r="W5444" s="13"/>
      <c r="X5444" s="13"/>
      <c r="Y5444" s="13"/>
      <c r="Z5444" s="13"/>
      <c r="AA5444" s="13"/>
      <c r="AB5444" s="13"/>
      <c r="AC5444" s="13"/>
      <c r="AD5444" s="13"/>
      <c r="AE5444" s="13"/>
      <c r="AF5444" s="13"/>
      <c r="AG5444" s="13"/>
      <c r="AH5444" s="13"/>
      <c r="AI5444" s="13"/>
      <c r="AJ5444" s="13"/>
      <c r="AK5444" s="13"/>
      <c r="AL5444" s="13"/>
      <c r="AM5444" s="13"/>
      <c r="AN5444" s="13"/>
      <c r="AO5444" s="13"/>
      <c r="AP5444" s="13"/>
      <c r="AQ5444" s="13"/>
      <c r="AR5444" s="13"/>
      <c r="AS5444" s="13"/>
    </row>
    <row r="5445" ht="14.25" customHeight="1">
      <c r="A5445" s="13"/>
      <c r="B5445" s="13"/>
      <c r="C5445" s="13"/>
      <c r="D5445" s="13"/>
      <c r="E5445" s="13"/>
      <c r="F5445" s="13"/>
      <c r="G5445" s="13"/>
      <c r="H5445" s="13"/>
      <c r="I5445" s="13"/>
      <c r="J5445" s="13"/>
      <c r="K5445" s="15"/>
      <c r="L5445" s="15"/>
      <c r="M5445" s="16"/>
      <c r="N5445" s="16"/>
      <c r="O5445" s="17"/>
      <c r="P5445" s="17"/>
      <c r="Q5445" s="13"/>
      <c r="R5445" s="13"/>
      <c r="S5445" s="13"/>
      <c r="T5445" s="13"/>
      <c r="U5445" s="13"/>
      <c r="V5445" s="13"/>
      <c r="W5445" s="13"/>
      <c r="X5445" s="13"/>
      <c r="Y5445" s="13"/>
      <c r="Z5445" s="13"/>
      <c r="AA5445" s="13"/>
      <c r="AB5445" s="13"/>
      <c r="AC5445" s="13"/>
      <c r="AD5445" s="13"/>
      <c r="AE5445" s="13"/>
      <c r="AF5445" s="13"/>
      <c r="AG5445" s="13"/>
      <c r="AH5445" s="13"/>
      <c r="AI5445" s="13"/>
      <c r="AJ5445" s="13"/>
      <c r="AK5445" s="13"/>
      <c r="AL5445" s="13"/>
      <c r="AM5445" s="13"/>
      <c r="AN5445" s="13"/>
      <c r="AO5445" s="13"/>
      <c r="AP5445" s="13"/>
      <c r="AQ5445" s="13"/>
      <c r="AR5445" s="13"/>
      <c r="AS5445" s="13"/>
    </row>
    <row r="5446" ht="14.25" customHeight="1">
      <c r="A5446" s="13"/>
      <c r="B5446" s="13"/>
      <c r="C5446" s="13"/>
      <c r="D5446" s="13"/>
      <c r="E5446" s="13"/>
      <c r="F5446" s="13"/>
      <c r="G5446" s="13"/>
      <c r="H5446" s="13"/>
      <c r="I5446" s="13"/>
      <c r="J5446" s="13"/>
      <c r="K5446" s="15"/>
      <c r="L5446" s="15"/>
      <c r="M5446" s="16"/>
      <c r="N5446" s="16"/>
      <c r="O5446" s="17"/>
      <c r="P5446" s="17"/>
      <c r="Q5446" s="13"/>
      <c r="R5446" s="13"/>
      <c r="S5446" s="13"/>
      <c r="T5446" s="13"/>
      <c r="U5446" s="13"/>
      <c r="V5446" s="13"/>
      <c r="W5446" s="13"/>
      <c r="X5446" s="13"/>
      <c r="Y5446" s="13"/>
      <c r="Z5446" s="13"/>
      <c r="AA5446" s="13"/>
      <c r="AB5446" s="13"/>
      <c r="AC5446" s="13"/>
      <c r="AD5446" s="13"/>
      <c r="AE5446" s="13"/>
      <c r="AF5446" s="13"/>
      <c r="AG5446" s="13"/>
      <c r="AH5446" s="13"/>
      <c r="AI5446" s="13"/>
      <c r="AJ5446" s="13"/>
      <c r="AK5446" s="13"/>
      <c r="AL5446" s="13"/>
      <c r="AM5446" s="13"/>
      <c r="AN5446" s="13"/>
      <c r="AO5446" s="13"/>
      <c r="AP5446" s="13"/>
      <c r="AQ5446" s="13"/>
      <c r="AR5446" s="13"/>
      <c r="AS5446" s="13"/>
    </row>
    <row r="5447" ht="14.25" customHeight="1">
      <c r="A5447" s="13"/>
      <c r="B5447" s="13"/>
      <c r="C5447" s="13"/>
      <c r="D5447" s="13"/>
      <c r="E5447" s="13"/>
      <c r="F5447" s="13"/>
      <c r="G5447" s="13"/>
      <c r="H5447" s="13"/>
      <c r="I5447" s="13"/>
      <c r="J5447" s="13"/>
      <c r="K5447" s="15"/>
      <c r="L5447" s="15"/>
      <c r="M5447" s="16"/>
      <c r="N5447" s="16"/>
      <c r="O5447" s="17"/>
      <c r="P5447" s="17"/>
      <c r="Q5447" s="13"/>
      <c r="R5447" s="13"/>
      <c r="S5447" s="13"/>
      <c r="T5447" s="13"/>
      <c r="U5447" s="13"/>
      <c r="V5447" s="13"/>
      <c r="W5447" s="13"/>
      <c r="X5447" s="13"/>
      <c r="Y5447" s="13"/>
      <c r="Z5447" s="13"/>
      <c r="AA5447" s="13"/>
      <c r="AB5447" s="13"/>
      <c r="AC5447" s="13"/>
      <c r="AD5447" s="13"/>
      <c r="AE5447" s="13"/>
      <c r="AF5447" s="13"/>
      <c r="AG5447" s="13"/>
      <c r="AH5447" s="13"/>
      <c r="AI5447" s="13"/>
      <c r="AJ5447" s="13"/>
      <c r="AK5447" s="13"/>
      <c r="AL5447" s="13"/>
      <c r="AM5447" s="13"/>
      <c r="AN5447" s="13"/>
      <c r="AO5447" s="13"/>
      <c r="AP5447" s="13"/>
      <c r="AQ5447" s="13"/>
      <c r="AR5447" s="13"/>
      <c r="AS5447" s="13"/>
    </row>
    <row r="5448" ht="14.25" customHeight="1">
      <c r="A5448" s="13"/>
      <c r="B5448" s="13"/>
      <c r="C5448" s="13"/>
      <c r="D5448" s="13"/>
      <c r="E5448" s="13"/>
      <c r="F5448" s="13"/>
      <c r="G5448" s="13"/>
      <c r="H5448" s="13"/>
      <c r="I5448" s="13"/>
      <c r="J5448" s="13"/>
      <c r="K5448" s="15"/>
      <c r="L5448" s="15"/>
      <c r="M5448" s="16"/>
      <c r="N5448" s="16"/>
      <c r="O5448" s="17"/>
      <c r="P5448" s="17"/>
      <c r="Q5448" s="13"/>
      <c r="R5448" s="13"/>
      <c r="S5448" s="13"/>
      <c r="T5448" s="13"/>
      <c r="U5448" s="13"/>
      <c r="V5448" s="13"/>
      <c r="W5448" s="13"/>
      <c r="X5448" s="13"/>
      <c r="Y5448" s="13"/>
      <c r="Z5448" s="13"/>
      <c r="AA5448" s="13"/>
      <c r="AB5448" s="13"/>
      <c r="AC5448" s="13"/>
      <c r="AD5448" s="13"/>
      <c r="AE5448" s="13"/>
      <c r="AF5448" s="13"/>
      <c r="AG5448" s="13"/>
      <c r="AH5448" s="13"/>
      <c r="AI5448" s="13"/>
      <c r="AJ5448" s="13"/>
      <c r="AK5448" s="13"/>
      <c r="AL5448" s="13"/>
      <c r="AM5448" s="13"/>
      <c r="AN5448" s="13"/>
      <c r="AO5448" s="13"/>
      <c r="AP5448" s="13"/>
      <c r="AQ5448" s="13"/>
      <c r="AR5448" s="13"/>
      <c r="AS5448" s="13"/>
    </row>
    <row r="5449" ht="14.25" customHeight="1">
      <c r="A5449" s="13"/>
      <c r="B5449" s="13"/>
      <c r="C5449" s="13"/>
      <c r="D5449" s="13"/>
      <c r="E5449" s="13"/>
      <c r="F5449" s="13"/>
      <c r="G5449" s="13"/>
      <c r="H5449" s="13"/>
      <c r="I5449" s="13"/>
      <c r="J5449" s="13"/>
      <c r="K5449" s="15"/>
      <c r="L5449" s="15"/>
      <c r="M5449" s="16"/>
      <c r="N5449" s="16"/>
      <c r="O5449" s="17"/>
      <c r="P5449" s="17"/>
      <c r="Q5449" s="13"/>
      <c r="R5449" s="13"/>
      <c r="S5449" s="13"/>
      <c r="T5449" s="13"/>
      <c r="U5449" s="13"/>
      <c r="V5449" s="13"/>
      <c r="W5449" s="13"/>
      <c r="X5449" s="13"/>
      <c r="Y5449" s="13"/>
      <c r="Z5449" s="13"/>
      <c r="AA5449" s="13"/>
      <c r="AB5449" s="13"/>
      <c r="AC5449" s="13"/>
      <c r="AD5449" s="13"/>
      <c r="AE5449" s="13"/>
      <c r="AF5449" s="13"/>
      <c r="AG5449" s="13"/>
      <c r="AH5449" s="13"/>
      <c r="AI5449" s="13"/>
      <c r="AJ5449" s="13"/>
      <c r="AK5449" s="13"/>
      <c r="AL5449" s="13"/>
      <c r="AM5449" s="13"/>
      <c r="AN5449" s="13"/>
      <c r="AO5449" s="13"/>
      <c r="AP5449" s="13"/>
      <c r="AQ5449" s="13"/>
      <c r="AR5449" s="13"/>
      <c r="AS5449" s="13"/>
    </row>
    <row r="5450" ht="14.25" customHeight="1">
      <c r="A5450" s="13"/>
      <c r="B5450" s="13"/>
      <c r="C5450" s="13"/>
      <c r="D5450" s="13"/>
      <c r="E5450" s="13"/>
      <c r="F5450" s="13"/>
      <c r="G5450" s="13"/>
      <c r="H5450" s="13"/>
      <c r="I5450" s="13"/>
      <c r="J5450" s="13"/>
      <c r="K5450" s="15"/>
      <c r="L5450" s="15"/>
      <c r="M5450" s="16"/>
      <c r="N5450" s="16"/>
      <c r="O5450" s="17"/>
      <c r="P5450" s="17"/>
      <c r="Q5450" s="13"/>
      <c r="R5450" s="13"/>
      <c r="S5450" s="13"/>
      <c r="T5450" s="13"/>
      <c r="U5450" s="13"/>
      <c r="V5450" s="13"/>
      <c r="W5450" s="13"/>
      <c r="X5450" s="13"/>
      <c r="Y5450" s="13"/>
      <c r="Z5450" s="13"/>
      <c r="AA5450" s="13"/>
      <c r="AB5450" s="13"/>
      <c r="AC5450" s="13"/>
      <c r="AD5450" s="13"/>
      <c r="AE5450" s="13"/>
      <c r="AF5450" s="13"/>
      <c r="AG5450" s="13"/>
      <c r="AH5450" s="13"/>
      <c r="AI5450" s="13"/>
      <c r="AJ5450" s="13"/>
      <c r="AK5450" s="13"/>
      <c r="AL5450" s="13"/>
      <c r="AM5450" s="13"/>
      <c r="AN5450" s="13"/>
      <c r="AO5450" s="13"/>
      <c r="AP5450" s="13"/>
      <c r="AQ5450" s="13"/>
      <c r="AR5450" s="13"/>
      <c r="AS5450" s="13"/>
    </row>
    <row r="5451" ht="14.25" customHeight="1">
      <c r="A5451" s="13"/>
      <c r="B5451" s="13"/>
      <c r="C5451" s="13"/>
      <c r="D5451" s="13"/>
      <c r="E5451" s="13"/>
      <c r="F5451" s="13"/>
      <c r="G5451" s="13"/>
      <c r="H5451" s="13"/>
      <c r="I5451" s="13"/>
      <c r="J5451" s="13"/>
      <c r="K5451" s="15"/>
      <c r="L5451" s="15"/>
      <c r="M5451" s="16"/>
      <c r="N5451" s="16"/>
      <c r="O5451" s="17"/>
      <c r="P5451" s="17"/>
      <c r="Q5451" s="13"/>
      <c r="R5451" s="13"/>
      <c r="S5451" s="13"/>
      <c r="T5451" s="13"/>
      <c r="U5451" s="13"/>
      <c r="V5451" s="13"/>
      <c r="W5451" s="13"/>
      <c r="X5451" s="13"/>
      <c r="Y5451" s="13"/>
      <c r="Z5451" s="13"/>
      <c r="AA5451" s="13"/>
      <c r="AB5451" s="13"/>
      <c r="AC5451" s="13"/>
      <c r="AD5451" s="13"/>
      <c r="AE5451" s="13"/>
      <c r="AF5451" s="13"/>
      <c r="AG5451" s="13"/>
      <c r="AH5451" s="13"/>
      <c r="AI5451" s="13"/>
      <c r="AJ5451" s="13"/>
      <c r="AK5451" s="13"/>
      <c r="AL5451" s="13"/>
      <c r="AM5451" s="13"/>
      <c r="AN5451" s="13"/>
      <c r="AO5451" s="13"/>
      <c r="AP5451" s="13"/>
      <c r="AQ5451" s="13"/>
      <c r="AR5451" s="13"/>
      <c r="AS5451" s="13"/>
    </row>
    <row r="5452" ht="14.25" customHeight="1">
      <c r="A5452" s="13"/>
      <c r="B5452" s="13"/>
      <c r="C5452" s="13"/>
      <c r="D5452" s="13"/>
      <c r="E5452" s="13"/>
      <c r="F5452" s="13"/>
      <c r="G5452" s="13"/>
      <c r="H5452" s="13"/>
      <c r="I5452" s="13"/>
      <c r="J5452" s="13"/>
      <c r="K5452" s="15"/>
      <c r="L5452" s="15"/>
      <c r="M5452" s="16"/>
      <c r="N5452" s="16"/>
      <c r="O5452" s="17"/>
      <c r="P5452" s="17"/>
      <c r="Q5452" s="13"/>
      <c r="R5452" s="13"/>
      <c r="S5452" s="13"/>
      <c r="T5452" s="13"/>
      <c r="U5452" s="13"/>
      <c r="V5452" s="13"/>
      <c r="W5452" s="13"/>
      <c r="X5452" s="13"/>
      <c r="Y5452" s="13"/>
      <c r="Z5452" s="13"/>
      <c r="AA5452" s="13"/>
      <c r="AB5452" s="13"/>
      <c r="AC5452" s="13"/>
      <c r="AD5452" s="13"/>
      <c r="AE5452" s="13"/>
      <c r="AF5452" s="13"/>
      <c r="AG5452" s="13"/>
      <c r="AH5452" s="13"/>
      <c r="AI5452" s="13"/>
      <c r="AJ5452" s="13"/>
      <c r="AK5452" s="13"/>
      <c r="AL5452" s="13"/>
      <c r="AM5452" s="13"/>
      <c r="AN5452" s="13"/>
      <c r="AO5452" s="13"/>
      <c r="AP5452" s="13"/>
      <c r="AQ5452" s="13"/>
      <c r="AR5452" s="13"/>
      <c r="AS5452" s="13"/>
    </row>
    <row r="5453" ht="14.25" customHeight="1">
      <c r="A5453" s="13"/>
      <c r="B5453" s="13"/>
      <c r="C5453" s="13"/>
      <c r="D5453" s="13"/>
      <c r="E5453" s="13"/>
      <c r="F5453" s="13"/>
      <c r="G5453" s="13"/>
      <c r="H5453" s="13"/>
      <c r="I5453" s="13"/>
      <c r="J5453" s="13"/>
      <c r="K5453" s="15"/>
      <c r="L5453" s="15"/>
      <c r="M5453" s="16"/>
      <c r="N5453" s="16"/>
      <c r="O5453" s="17"/>
      <c r="P5453" s="17"/>
      <c r="Q5453" s="13"/>
      <c r="R5453" s="13"/>
      <c r="S5453" s="13"/>
      <c r="T5453" s="13"/>
      <c r="U5453" s="13"/>
      <c r="V5453" s="13"/>
      <c r="W5453" s="13"/>
      <c r="X5453" s="13"/>
      <c r="Y5453" s="13"/>
      <c r="Z5453" s="13"/>
      <c r="AA5453" s="13"/>
      <c r="AB5453" s="13"/>
      <c r="AC5453" s="13"/>
      <c r="AD5453" s="13"/>
      <c r="AE5453" s="13"/>
      <c r="AF5453" s="13"/>
      <c r="AG5453" s="13"/>
      <c r="AH5453" s="13"/>
      <c r="AI5453" s="13"/>
      <c r="AJ5453" s="13"/>
      <c r="AK5453" s="13"/>
      <c r="AL5453" s="13"/>
      <c r="AM5453" s="13"/>
      <c r="AN5453" s="13"/>
      <c r="AO5453" s="13"/>
      <c r="AP5453" s="13"/>
      <c r="AQ5453" s="13"/>
      <c r="AR5453" s="13"/>
      <c r="AS5453" s="13"/>
    </row>
    <row r="5454" ht="14.25" customHeight="1">
      <c r="A5454" s="13"/>
      <c r="B5454" s="13"/>
      <c r="C5454" s="13"/>
      <c r="D5454" s="13"/>
      <c r="E5454" s="13"/>
      <c r="F5454" s="13"/>
      <c r="G5454" s="13"/>
      <c r="H5454" s="13"/>
      <c r="I5454" s="13"/>
      <c r="J5454" s="13"/>
      <c r="K5454" s="15"/>
      <c r="L5454" s="15"/>
      <c r="M5454" s="16"/>
      <c r="N5454" s="16"/>
      <c r="O5454" s="17"/>
      <c r="P5454" s="17"/>
      <c r="Q5454" s="13"/>
      <c r="R5454" s="13"/>
      <c r="S5454" s="13"/>
      <c r="T5454" s="13"/>
      <c r="U5454" s="13"/>
      <c r="V5454" s="13"/>
      <c r="W5454" s="13"/>
      <c r="X5454" s="13"/>
      <c r="Y5454" s="13"/>
      <c r="Z5454" s="13"/>
      <c r="AA5454" s="13"/>
      <c r="AB5454" s="13"/>
      <c r="AC5454" s="13"/>
      <c r="AD5454" s="13"/>
      <c r="AE5454" s="13"/>
      <c r="AF5454" s="13"/>
      <c r="AG5454" s="13"/>
      <c r="AH5454" s="13"/>
      <c r="AI5454" s="13"/>
      <c r="AJ5454" s="13"/>
      <c r="AK5454" s="13"/>
      <c r="AL5454" s="13"/>
      <c r="AM5454" s="13"/>
      <c r="AN5454" s="13"/>
      <c r="AO5454" s="13"/>
      <c r="AP5454" s="13"/>
      <c r="AQ5454" s="13"/>
      <c r="AR5454" s="13"/>
      <c r="AS5454" s="13"/>
    </row>
    <row r="5455" ht="14.25" customHeight="1">
      <c r="A5455" s="13"/>
      <c r="B5455" s="13"/>
      <c r="C5455" s="13"/>
      <c r="D5455" s="13"/>
      <c r="E5455" s="13"/>
      <c r="F5455" s="13"/>
      <c r="G5455" s="13"/>
      <c r="H5455" s="13"/>
      <c r="I5455" s="13"/>
      <c r="J5455" s="13"/>
      <c r="K5455" s="15"/>
      <c r="L5455" s="15"/>
      <c r="M5455" s="16"/>
      <c r="N5455" s="16"/>
      <c r="O5455" s="17"/>
      <c r="P5455" s="17"/>
      <c r="Q5455" s="13"/>
      <c r="R5455" s="13"/>
      <c r="S5455" s="13"/>
      <c r="T5455" s="13"/>
      <c r="U5455" s="13"/>
      <c r="V5455" s="13"/>
      <c r="W5455" s="13"/>
      <c r="X5455" s="13"/>
      <c r="Y5455" s="13"/>
      <c r="Z5455" s="13"/>
      <c r="AA5455" s="13"/>
      <c r="AB5455" s="13"/>
      <c r="AC5455" s="13"/>
      <c r="AD5455" s="13"/>
      <c r="AE5455" s="13"/>
      <c r="AF5455" s="13"/>
      <c r="AG5455" s="13"/>
      <c r="AH5455" s="13"/>
      <c r="AI5455" s="13"/>
      <c r="AJ5455" s="13"/>
      <c r="AK5455" s="13"/>
      <c r="AL5455" s="13"/>
      <c r="AM5455" s="13"/>
      <c r="AN5455" s="13"/>
      <c r="AO5455" s="13"/>
      <c r="AP5455" s="13"/>
      <c r="AQ5455" s="13"/>
      <c r="AR5455" s="13"/>
      <c r="AS5455" s="13"/>
    </row>
    <row r="5456" ht="14.25" customHeight="1">
      <c r="A5456" s="13"/>
      <c r="B5456" s="13"/>
      <c r="C5456" s="13"/>
      <c r="D5456" s="13"/>
      <c r="E5456" s="13"/>
      <c r="F5456" s="13"/>
      <c r="G5456" s="13"/>
      <c r="H5456" s="13"/>
      <c r="I5456" s="13"/>
      <c r="J5456" s="13"/>
      <c r="K5456" s="15"/>
      <c r="L5456" s="15"/>
      <c r="M5456" s="16"/>
      <c r="N5456" s="16"/>
      <c r="O5456" s="17"/>
      <c r="P5456" s="17"/>
      <c r="Q5456" s="13"/>
      <c r="R5456" s="13"/>
      <c r="S5456" s="13"/>
      <c r="T5456" s="13"/>
      <c r="U5456" s="13"/>
      <c r="V5456" s="13"/>
      <c r="W5456" s="13"/>
      <c r="X5456" s="13"/>
      <c r="Y5456" s="13"/>
      <c r="Z5456" s="13"/>
      <c r="AA5456" s="13"/>
      <c r="AB5456" s="13"/>
      <c r="AC5456" s="13"/>
      <c r="AD5456" s="13"/>
      <c r="AE5456" s="13"/>
      <c r="AF5456" s="13"/>
      <c r="AG5456" s="13"/>
      <c r="AH5456" s="13"/>
      <c r="AI5456" s="13"/>
      <c r="AJ5456" s="13"/>
      <c r="AK5456" s="13"/>
      <c r="AL5456" s="13"/>
      <c r="AM5456" s="13"/>
      <c r="AN5456" s="13"/>
      <c r="AO5456" s="13"/>
      <c r="AP5456" s="13"/>
      <c r="AQ5456" s="13"/>
      <c r="AR5456" s="13"/>
      <c r="AS5456" s="13"/>
    </row>
    <row r="5457" ht="14.25" customHeight="1">
      <c r="A5457" s="13"/>
      <c r="B5457" s="13"/>
      <c r="C5457" s="13"/>
      <c r="D5457" s="13"/>
      <c r="E5457" s="13"/>
      <c r="F5457" s="13"/>
      <c r="G5457" s="13"/>
      <c r="H5457" s="13"/>
      <c r="I5457" s="13"/>
      <c r="J5457" s="13"/>
      <c r="K5457" s="15"/>
      <c r="L5457" s="15"/>
      <c r="M5457" s="16"/>
      <c r="N5457" s="16"/>
      <c r="O5457" s="17"/>
      <c r="P5457" s="17"/>
      <c r="Q5457" s="13"/>
      <c r="R5457" s="13"/>
      <c r="S5457" s="13"/>
      <c r="T5457" s="13"/>
      <c r="U5457" s="13"/>
      <c r="V5457" s="13"/>
      <c r="W5457" s="13"/>
      <c r="X5457" s="13"/>
      <c r="Y5457" s="13"/>
      <c r="Z5457" s="13"/>
      <c r="AA5457" s="13"/>
      <c r="AB5457" s="13"/>
      <c r="AC5457" s="13"/>
      <c r="AD5457" s="13"/>
      <c r="AE5457" s="13"/>
      <c r="AF5457" s="13"/>
      <c r="AG5457" s="13"/>
      <c r="AH5457" s="13"/>
      <c r="AI5457" s="13"/>
      <c r="AJ5457" s="13"/>
      <c r="AK5457" s="13"/>
      <c r="AL5457" s="13"/>
      <c r="AM5457" s="13"/>
      <c r="AN5457" s="13"/>
      <c r="AO5457" s="13"/>
      <c r="AP5457" s="13"/>
      <c r="AQ5457" s="13"/>
      <c r="AR5457" s="13"/>
      <c r="AS5457" s="13"/>
    </row>
    <row r="5458" ht="14.25" customHeight="1">
      <c r="A5458" s="13"/>
      <c r="B5458" s="13"/>
      <c r="C5458" s="13"/>
      <c r="D5458" s="13"/>
      <c r="E5458" s="13"/>
      <c r="F5458" s="13"/>
      <c r="G5458" s="13"/>
      <c r="H5458" s="13"/>
      <c r="I5458" s="13"/>
      <c r="J5458" s="13"/>
      <c r="K5458" s="15"/>
      <c r="L5458" s="15"/>
      <c r="M5458" s="16"/>
      <c r="N5458" s="16"/>
      <c r="O5458" s="17"/>
      <c r="P5458" s="17"/>
      <c r="Q5458" s="13"/>
      <c r="R5458" s="13"/>
      <c r="S5458" s="13"/>
      <c r="T5458" s="13"/>
      <c r="U5458" s="13"/>
      <c r="V5458" s="13"/>
      <c r="W5458" s="13"/>
      <c r="X5458" s="13"/>
      <c r="Y5458" s="13"/>
      <c r="Z5458" s="13"/>
      <c r="AA5458" s="13"/>
      <c r="AB5458" s="13"/>
      <c r="AC5458" s="13"/>
      <c r="AD5458" s="13"/>
      <c r="AE5458" s="13"/>
      <c r="AF5458" s="13"/>
      <c r="AG5458" s="13"/>
      <c r="AH5458" s="13"/>
      <c r="AI5458" s="13"/>
      <c r="AJ5458" s="13"/>
      <c r="AK5458" s="13"/>
      <c r="AL5458" s="13"/>
      <c r="AM5458" s="13"/>
      <c r="AN5458" s="13"/>
      <c r="AO5458" s="13"/>
      <c r="AP5458" s="13"/>
      <c r="AQ5458" s="13"/>
      <c r="AR5458" s="13"/>
      <c r="AS5458" s="13"/>
    </row>
    <row r="5459" ht="14.25" customHeight="1">
      <c r="A5459" s="13"/>
      <c r="B5459" s="13"/>
      <c r="C5459" s="13"/>
      <c r="D5459" s="13"/>
      <c r="E5459" s="13"/>
      <c r="F5459" s="13"/>
      <c r="G5459" s="13"/>
      <c r="H5459" s="13"/>
      <c r="I5459" s="13"/>
      <c r="J5459" s="13"/>
      <c r="K5459" s="15"/>
      <c r="L5459" s="15"/>
      <c r="M5459" s="16"/>
      <c r="N5459" s="16"/>
      <c r="O5459" s="17"/>
      <c r="P5459" s="17"/>
      <c r="Q5459" s="13"/>
      <c r="R5459" s="13"/>
      <c r="S5459" s="13"/>
      <c r="T5459" s="13"/>
      <c r="U5459" s="13"/>
      <c r="V5459" s="13"/>
      <c r="W5459" s="13"/>
      <c r="X5459" s="13"/>
      <c r="Y5459" s="13"/>
      <c r="Z5459" s="13"/>
      <c r="AA5459" s="13"/>
      <c r="AB5459" s="13"/>
      <c r="AC5459" s="13"/>
      <c r="AD5459" s="13"/>
      <c r="AE5459" s="13"/>
      <c r="AF5459" s="13"/>
      <c r="AG5459" s="13"/>
      <c r="AH5459" s="13"/>
      <c r="AI5459" s="13"/>
      <c r="AJ5459" s="13"/>
      <c r="AK5459" s="13"/>
      <c r="AL5459" s="13"/>
      <c r="AM5459" s="13"/>
      <c r="AN5459" s="13"/>
      <c r="AO5459" s="13"/>
      <c r="AP5459" s="13"/>
      <c r="AQ5459" s="13"/>
      <c r="AR5459" s="13"/>
      <c r="AS5459" s="13"/>
    </row>
    <row r="5460" ht="14.25" customHeight="1">
      <c r="A5460" s="13"/>
      <c r="B5460" s="13"/>
      <c r="C5460" s="13"/>
      <c r="D5460" s="13"/>
      <c r="E5460" s="13"/>
      <c r="F5460" s="13"/>
      <c r="G5460" s="13"/>
      <c r="H5460" s="13"/>
      <c r="I5460" s="13"/>
      <c r="J5460" s="13"/>
      <c r="K5460" s="15"/>
      <c r="L5460" s="15"/>
      <c r="M5460" s="16"/>
      <c r="N5460" s="16"/>
      <c r="O5460" s="17"/>
      <c r="P5460" s="17"/>
      <c r="Q5460" s="13"/>
      <c r="R5460" s="13"/>
      <c r="S5460" s="13"/>
      <c r="T5460" s="13"/>
      <c r="U5460" s="13"/>
      <c r="V5460" s="13"/>
      <c r="W5460" s="13"/>
      <c r="X5460" s="13"/>
      <c r="Y5460" s="13"/>
      <c r="Z5460" s="13"/>
      <c r="AA5460" s="13"/>
      <c r="AB5460" s="13"/>
      <c r="AC5460" s="13"/>
      <c r="AD5460" s="13"/>
      <c r="AE5460" s="13"/>
      <c r="AF5460" s="13"/>
      <c r="AG5460" s="13"/>
      <c r="AH5460" s="13"/>
      <c r="AI5460" s="13"/>
      <c r="AJ5460" s="13"/>
      <c r="AK5460" s="13"/>
      <c r="AL5460" s="13"/>
      <c r="AM5460" s="13"/>
      <c r="AN5460" s="13"/>
      <c r="AO5460" s="13"/>
      <c r="AP5460" s="13"/>
      <c r="AQ5460" s="13"/>
      <c r="AR5460" s="13"/>
      <c r="AS5460" s="13"/>
    </row>
    <row r="5461" ht="14.25" customHeight="1">
      <c r="A5461" s="13"/>
      <c r="B5461" s="13"/>
      <c r="C5461" s="13"/>
      <c r="D5461" s="13"/>
      <c r="E5461" s="13"/>
      <c r="F5461" s="13"/>
      <c r="G5461" s="13"/>
      <c r="H5461" s="13"/>
      <c r="I5461" s="13"/>
      <c r="J5461" s="13"/>
      <c r="K5461" s="15"/>
      <c r="L5461" s="15"/>
      <c r="M5461" s="16"/>
      <c r="N5461" s="16"/>
      <c r="O5461" s="17"/>
      <c r="P5461" s="17"/>
      <c r="Q5461" s="13"/>
      <c r="R5461" s="13"/>
      <c r="S5461" s="13"/>
      <c r="T5461" s="13"/>
      <c r="U5461" s="13"/>
      <c r="V5461" s="13"/>
      <c r="W5461" s="13"/>
      <c r="X5461" s="13"/>
      <c r="Y5461" s="13"/>
      <c r="Z5461" s="13"/>
      <c r="AA5461" s="13"/>
      <c r="AB5461" s="13"/>
      <c r="AC5461" s="13"/>
      <c r="AD5461" s="13"/>
      <c r="AE5461" s="13"/>
      <c r="AF5461" s="13"/>
      <c r="AG5461" s="13"/>
      <c r="AH5461" s="13"/>
      <c r="AI5461" s="13"/>
      <c r="AJ5461" s="13"/>
      <c r="AK5461" s="13"/>
      <c r="AL5461" s="13"/>
      <c r="AM5461" s="13"/>
      <c r="AN5461" s="13"/>
      <c r="AO5461" s="13"/>
      <c r="AP5461" s="13"/>
      <c r="AQ5461" s="13"/>
      <c r="AR5461" s="13"/>
      <c r="AS5461" s="13"/>
    </row>
    <row r="5462" ht="14.25" customHeight="1">
      <c r="A5462" s="13"/>
      <c r="B5462" s="13"/>
      <c r="C5462" s="13"/>
      <c r="D5462" s="13"/>
      <c r="E5462" s="13"/>
      <c r="F5462" s="13"/>
      <c r="G5462" s="13"/>
      <c r="H5462" s="13"/>
      <c r="I5462" s="13"/>
      <c r="J5462" s="13"/>
      <c r="K5462" s="15"/>
      <c r="L5462" s="15"/>
      <c r="M5462" s="16"/>
      <c r="N5462" s="16"/>
      <c r="O5462" s="17"/>
      <c r="P5462" s="17"/>
      <c r="Q5462" s="13"/>
      <c r="R5462" s="13"/>
      <c r="S5462" s="13"/>
      <c r="T5462" s="13"/>
      <c r="U5462" s="13"/>
      <c r="V5462" s="13"/>
      <c r="W5462" s="13"/>
      <c r="X5462" s="13"/>
      <c r="Y5462" s="13"/>
      <c r="Z5462" s="13"/>
      <c r="AA5462" s="13"/>
      <c r="AB5462" s="13"/>
      <c r="AC5462" s="13"/>
      <c r="AD5462" s="13"/>
      <c r="AE5462" s="13"/>
      <c r="AF5462" s="13"/>
      <c r="AG5462" s="13"/>
      <c r="AH5462" s="13"/>
      <c r="AI5462" s="13"/>
      <c r="AJ5462" s="13"/>
      <c r="AK5462" s="13"/>
      <c r="AL5462" s="13"/>
      <c r="AM5462" s="13"/>
      <c r="AN5462" s="13"/>
      <c r="AO5462" s="13"/>
      <c r="AP5462" s="13"/>
      <c r="AQ5462" s="13"/>
      <c r="AR5462" s="13"/>
      <c r="AS5462" s="13"/>
    </row>
    <row r="5463" ht="14.25" customHeight="1">
      <c r="A5463" s="13"/>
      <c r="B5463" s="13"/>
      <c r="C5463" s="13"/>
      <c r="D5463" s="13"/>
      <c r="E5463" s="13"/>
      <c r="F5463" s="13"/>
      <c r="G5463" s="13"/>
      <c r="H5463" s="13"/>
      <c r="I5463" s="13"/>
      <c r="J5463" s="13"/>
      <c r="K5463" s="15"/>
      <c r="L5463" s="15"/>
      <c r="M5463" s="16"/>
      <c r="N5463" s="16"/>
      <c r="O5463" s="17"/>
      <c r="P5463" s="17"/>
      <c r="Q5463" s="13"/>
      <c r="R5463" s="13"/>
      <c r="S5463" s="13"/>
      <c r="T5463" s="13"/>
      <c r="U5463" s="13"/>
      <c r="V5463" s="13"/>
      <c r="W5463" s="13"/>
      <c r="X5463" s="13"/>
      <c r="Y5463" s="13"/>
      <c r="Z5463" s="13"/>
      <c r="AA5463" s="13"/>
      <c r="AB5463" s="13"/>
      <c r="AC5463" s="13"/>
      <c r="AD5463" s="13"/>
      <c r="AE5463" s="13"/>
      <c r="AF5463" s="13"/>
      <c r="AG5463" s="13"/>
      <c r="AH5463" s="13"/>
      <c r="AI5463" s="13"/>
      <c r="AJ5463" s="13"/>
      <c r="AK5463" s="13"/>
      <c r="AL5463" s="13"/>
      <c r="AM5463" s="13"/>
      <c r="AN5463" s="13"/>
      <c r="AO5463" s="13"/>
      <c r="AP5463" s="13"/>
      <c r="AQ5463" s="13"/>
      <c r="AR5463" s="13"/>
      <c r="AS5463" s="13"/>
    </row>
    <row r="5464" ht="14.25" customHeight="1">
      <c r="A5464" s="13"/>
      <c r="B5464" s="13"/>
      <c r="C5464" s="13"/>
      <c r="D5464" s="13"/>
      <c r="E5464" s="13"/>
      <c r="F5464" s="13"/>
      <c r="G5464" s="13"/>
      <c r="H5464" s="13"/>
      <c r="I5464" s="13"/>
      <c r="J5464" s="13"/>
      <c r="K5464" s="15"/>
      <c r="L5464" s="15"/>
      <c r="M5464" s="16"/>
      <c r="N5464" s="16"/>
      <c r="O5464" s="17"/>
      <c r="P5464" s="17"/>
      <c r="Q5464" s="13"/>
      <c r="R5464" s="13"/>
      <c r="S5464" s="13"/>
      <c r="T5464" s="13"/>
      <c r="U5464" s="13"/>
      <c r="V5464" s="13"/>
      <c r="W5464" s="13"/>
      <c r="X5464" s="13"/>
      <c r="Y5464" s="13"/>
      <c r="Z5464" s="13"/>
      <c r="AA5464" s="13"/>
      <c r="AB5464" s="13"/>
      <c r="AC5464" s="13"/>
      <c r="AD5464" s="13"/>
      <c r="AE5464" s="13"/>
      <c r="AF5464" s="13"/>
      <c r="AG5464" s="13"/>
      <c r="AH5464" s="13"/>
      <c r="AI5464" s="13"/>
      <c r="AJ5464" s="13"/>
      <c r="AK5464" s="13"/>
      <c r="AL5464" s="13"/>
      <c r="AM5464" s="13"/>
      <c r="AN5464" s="13"/>
      <c r="AO5464" s="13"/>
      <c r="AP5464" s="13"/>
      <c r="AQ5464" s="13"/>
      <c r="AR5464" s="13"/>
      <c r="AS5464" s="13"/>
    </row>
    <row r="5465" ht="14.25" customHeight="1">
      <c r="A5465" s="13"/>
      <c r="B5465" s="13"/>
      <c r="C5465" s="13"/>
      <c r="D5465" s="13"/>
      <c r="E5465" s="13"/>
      <c r="F5465" s="13"/>
      <c r="G5465" s="13"/>
      <c r="H5465" s="13"/>
      <c r="I5465" s="13"/>
      <c r="J5465" s="13"/>
      <c r="K5465" s="15"/>
      <c r="L5465" s="15"/>
      <c r="M5465" s="16"/>
      <c r="N5465" s="16"/>
      <c r="O5465" s="17"/>
      <c r="P5465" s="17"/>
      <c r="Q5465" s="13"/>
      <c r="R5465" s="13"/>
      <c r="S5465" s="13"/>
      <c r="T5465" s="13"/>
      <c r="U5465" s="13"/>
      <c r="V5465" s="13"/>
      <c r="W5465" s="13"/>
      <c r="X5465" s="13"/>
      <c r="Y5465" s="13"/>
      <c r="Z5465" s="13"/>
      <c r="AA5465" s="13"/>
      <c r="AB5465" s="13"/>
      <c r="AC5465" s="13"/>
      <c r="AD5465" s="13"/>
      <c r="AE5465" s="13"/>
      <c r="AF5465" s="13"/>
      <c r="AG5465" s="13"/>
      <c r="AH5465" s="13"/>
      <c r="AI5465" s="13"/>
      <c r="AJ5465" s="13"/>
      <c r="AK5465" s="13"/>
      <c r="AL5465" s="13"/>
      <c r="AM5465" s="13"/>
      <c r="AN5465" s="13"/>
      <c r="AO5465" s="13"/>
      <c r="AP5465" s="13"/>
      <c r="AQ5465" s="13"/>
      <c r="AR5465" s="13"/>
      <c r="AS5465" s="13"/>
    </row>
    <row r="5466" ht="14.25" customHeight="1">
      <c r="A5466" s="13"/>
      <c r="B5466" s="13"/>
      <c r="C5466" s="13"/>
      <c r="D5466" s="13"/>
      <c r="E5466" s="13"/>
      <c r="F5466" s="13"/>
      <c r="G5466" s="13"/>
      <c r="H5466" s="13"/>
      <c r="I5466" s="13"/>
      <c r="J5466" s="13"/>
      <c r="K5466" s="15"/>
      <c r="L5466" s="15"/>
      <c r="M5466" s="16"/>
      <c r="N5466" s="16"/>
      <c r="O5466" s="17"/>
      <c r="P5466" s="17"/>
      <c r="Q5466" s="13"/>
      <c r="R5466" s="13"/>
      <c r="S5466" s="13"/>
      <c r="T5466" s="13"/>
      <c r="U5466" s="13"/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F5466" s="13"/>
      <c r="AG5466" s="13"/>
      <c r="AH5466" s="13"/>
      <c r="AI5466" s="13"/>
      <c r="AJ5466" s="13"/>
      <c r="AK5466" s="13"/>
      <c r="AL5466" s="13"/>
      <c r="AM5466" s="13"/>
      <c r="AN5466" s="13"/>
      <c r="AO5466" s="13"/>
      <c r="AP5466" s="13"/>
      <c r="AQ5466" s="13"/>
      <c r="AR5466" s="13"/>
      <c r="AS5466" s="13"/>
    </row>
    <row r="5467" ht="14.25" customHeight="1">
      <c r="A5467" s="13"/>
      <c r="B5467" s="13"/>
      <c r="C5467" s="13"/>
      <c r="D5467" s="13"/>
      <c r="E5467" s="13"/>
      <c r="F5467" s="13"/>
      <c r="G5467" s="13"/>
      <c r="H5467" s="13"/>
      <c r="I5467" s="13"/>
      <c r="J5467" s="13"/>
      <c r="K5467" s="15"/>
      <c r="L5467" s="15"/>
      <c r="M5467" s="16"/>
      <c r="N5467" s="16"/>
      <c r="O5467" s="17"/>
      <c r="P5467" s="17"/>
      <c r="Q5467" s="13"/>
      <c r="R5467" s="13"/>
      <c r="S5467" s="13"/>
      <c r="T5467" s="13"/>
      <c r="U5467" s="13"/>
      <c r="V5467" s="13"/>
      <c r="W5467" s="13"/>
      <c r="X5467" s="13"/>
      <c r="Y5467" s="13"/>
      <c r="Z5467" s="13"/>
      <c r="AA5467" s="13"/>
      <c r="AB5467" s="13"/>
      <c r="AC5467" s="13"/>
      <c r="AD5467" s="13"/>
      <c r="AE5467" s="13"/>
      <c r="AF5467" s="13"/>
      <c r="AG5467" s="13"/>
      <c r="AH5467" s="13"/>
      <c r="AI5467" s="13"/>
      <c r="AJ5467" s="13"/>
      <c r="AK5467" s="13"/>
      <c r="AL5467" s="13"/>
      <c r="AM5467" s="13"/>
      <c r="AN5467" s="13"/>
      <c r="AO5467" s="13"/>
      <c r="AP5467" s="13"/>
      <c r="AQ5467" s="13"/>
      <c r="AR5467" s="13"/>
      <c r="AS5467" s="13"/>
    </row>
    <row r="5468" ht="14.25" customHeight="1">
      <c r="A5468" s="13"/>
      <c r="B5468" s="13"/>
      <c r="C5468" s="13"/>
      <c r="D5468" s="13"/>
      <c r="E5468" s="13"/>
      <c r="F5468" s="13"/>
      <c r="G5468" s="13"/>
      <c r="H5468" s="13"/>
      <c r="I5468" s="13"/>
      <c r="J5468" s="13"/>
      <c r="K5468" s="15"/>
      <c r="L5468" s="15"/>
      <c r="M5468" s="16"/>
      <c r="N5468" s="16"/>
      <c r="O5468" s="17"/>
      <c r="P5468" s="17"/>
      <c r="Q5468" s="13"/>
      <c r="R5468" s="13"/>
      <c r="S5468" s="13"/>
      <c r="T5468" s="13"/>
      <c r="U5468" s="13"/>
      <c r="V5468" s="13"/>
      <c r="W5468" s="13"/>
      <c r="X5468" s="13"/>
      <c r="Y5468" s="13"/>
      <c r="Z5468" s="13"/>
      <c r="AA5468" s="13"/>
      <c r="AB5468" s="13"/>
      <c r="AC5468" s="13"/>
      <c r="AD5468" s="13"/>
      <c r="AE5468" s="13"/>
      <c r="AF5468" s="13"/>
      <c r="AG5468" s="13"/>
      <c r="AH5468" s="13"/>
      <c r="AI5468" s="13"/>
      <c r="AJ5468" s="13"/>
      <c r="AK5468" s="13"/>
      <c r="AL5468" s="13"/>
      <c r="AM5468" s="13"/>
      <c r="AN5468" s="13"/>
      <c r="AO5468" s="13"/>
      <c r="AP5468" s="13"/>
      <c r="AQ5468" s="13"/>
      <c r="AR5468" s="13"/>
      <c r="AS5468" s="13"/>
    </row>
    <row r="5469" ht="14.25" customHeight="1">
      <c r="A5469" s="13"/>
      <c r="B5469" s="13"/>
      <c r="C5469" s="13"/>
      <c r="D5469" s="13"/>
      <c r="E5469" s="13"/>
      <c r="F5469" s="13"/>
      <c r="G5469" s="13"/>
      <c r="H5469" s="13"/>
      <c r="I5469" s="13"/>
      <c r="J5469" s="13"/>
      <c r="K5469" s="15"/>
      <c r="L5469" s="15"/>
      <c r="M5469" s="16"/>
      <c r="N5469" s="16"/>
      <c r="O5469" s="17"/>
      <c r="P5469" s="17"/>
      <c r="Q5469" s="13"/>
      <c r="R5469" s="13"/>
      <c r="S5469" s="13"/>
      <c r="T5469" s="13"/>
      <c r="U5469" s="13"/>
      <c r="V5469" s="13"/>
      <c r="W5469" s="13"/>
      <c r="X5469" s="13"/>
      <c r="Y5469" s="13"/>
      <c r="Z5469" s="13"/>
      <c r="AA5469" s="13"/>
      <c r="AB5469" s="13"/>
      <c r="AC5469" s="13"/>
      <c r="AD5469" s="13"/>
      <c r="AE5469" s="13"/>
      <c r="AF5469" s="13"/>
      <c r="AG5469" s="13"/>
      <c r="AH5469" s="13"/>
      <c r="AI5469" s="13"/>
      <c r="AJ5469" s="13"/>
      <c r="AK5469" s="13"/>
      <c r="AL5469" s="13"/>
      <c r="AM5469" s="13"/>
      <c r="AN5469" s="13"/>
      <c r="AO5469" s="13"/>
      <c r="AP5469" s="13"/>
      <c r="AQ5469" s="13"/>
      <c r="AR5469" s="13"/>
      <c r="AS5469" s="13"/>
    </row>
    <row r="5470" ht="14.25" customHeight="1">
      <c r="A5470" s="13"/>
      <c r="B5470" s="13"/>
      <c r="C5470" s="13"/>
      <c r="D5470" s="13"/>
      <c r="E5470" s="13"/>
      <c r="F5470" s="13"/>
      <c r="G5470" s="13"/>
      <c r="H5470" s="13"/>
      <c r="I5470" s="13"/>
      <c r="J5470" s="13"/>
      <c r="K5470" s="15"/>
      <c r="L5470" s="15"/>
      <c r="M5470" s="16"/>
      <c r="N5470" s="16"/>
      <c r="O5470" s="17"/>
      <c r="P5470" s="17"/>
      <c r="Q5470" s="13"/>
      <c r="R5470" s="13"/>
      <c r="S5470" s="13"/>
      <c r="T5470" s="13"/>
      <c r="U5470" s="13"/>
      <c r="V5470" s="13"/>
      <c r="W5470" s="13"/>
      <c r="X5470" s="13"/>
      <c r="Y5470" s="13"/>
      <c r="Z5470" s="13"/>
      <c r="AA5470" s="13"/>
      <c r="AB5470" s="13"/>
      <c r="AC5470" s="13"/>
      <c r="AD5470" s="13"/>
      <c r="AE5470" s="13"/>
      <c r="AF5470" s="13"/>
      <c r="AG5470" s="13"/>
      <c r="AH5470" s="13"/>
      <c r="AI5470" s="13"/>
      <c r="AJ5470" s="13"/>
      <c r="AK5470" s="13"/>
      <c r="AL5470" s="13"/>
      <c r="AM5470" s="13"/>
      <c r="AN5470" s="13"/>
      <c r="AO5470" s="13"/>
      <c r="AP5470" s="13"/>
      <c r="AQ5470" s="13"/>
      <c r="AR5470" s="13"/>
      <c r="AS5470" s="13"/>
    </row>
    <row r="5471" ht="14.25" customHeight="1">
      <c r="A5471" s="13"/>
      <c r="B5471" s="13"/>
      <c r="C5471" s="13"/>
      <c r="D5471" s="13"/>
      <c r="E5471" s="13"/>
      <c r="F5471" s="13"/>
      <c r="G5471" s="13"/>
      <c r="H5471" s="13"/>
      <c r="I5471" s="13"/>
      <c r="J5471" s="13"/>
      <c r="K5471" s="15"/>
      <c r="L5471" s="15"/>
      <c r="M5471" s="16"/>
      <c r="N5471" s="16"/>
      <c r="O5471" s="17"/>
      <c r="P5471" s="17"/>
      <c r="Q5471" s="13"/>
      <c r="R5471" s="13"/>
      <c r="S5471" s="13"/>
      <c r="T5471" s="13"/>
      <c r="U5471" s="13"/>
      <c r="V5471" s="13"/>
      <c r="W5471" s="13"/>
      <c r="X5471" s="13"/>
      <c r="Y5471" s="13"/>
      <c r="Z5471" s="13"/>
      <c r="AA5471" s="13"/>
      <c r="AB5471" s="13"/>
      <c r="AC5471" s="13"/>
      <c r="AD5471" s="13"/>
      <c r="AE5471" s="13"/>
      <c r="AF5471" s="13"/>
      <c r="AG5471" s="13"/>
      <c r="AH5471" s="13"/>
      <c r="AI5471" s="13"/>
      <c r="AJ5471" s="13"/>
      <c r="AK5471" s="13"/>
      <c r="AL5471" s="13"/>
      <c r="AM5471" s="13"/>
      <c r="AN5471" s="13"/>
      <c r="AO5471" s="13"/>
      <c r="AP5471" s="13"/>
      <c r="AQ5471" s="13"/>
      <c r="AR5471" s="13"/>
      <c r="AS5471" s="13"/>
    </row>
    <row r="5472" ht="14.25" customHeight="1">
      <c r="A5472" s="13"/>
      <c r="B5472" s="13"/>
      <c r="C5472" s="13"/>
      <c r="D5472" s="13"/>
      <c r="E5472" s="13"/>
      <c r="F5472" s="13"/>
      <c r="G5472" s="13"/>
      <c r="H5472" s="13"/>
      <c r="I5472" s="13"/>
      <c r="J5472" s="13"/>
      <c r="K5472" s="15"/>
      <c r="L5472" s="15"/>
      <c r="M5472" s="16"/>
      <c r="N5472" s="16"/>
      <c r="O5472" s="17"/>
      <c r="P5472" s="17"/>
      <c r="Q5472" s="13"/>
      <c r="R5472" s="13"/>
      <c r="S5472" s="13"/>
      <c r="T5472" s="13"/>
      <c r="U5472" s="13"/>
      <c r="V5472" s="13"/>
      <c r="W5472" s="13"/>
      <c r="X5472" s="13"/>
      <c r="Y5472" s="13"/>
      <c r="Z5472" s="13"/>
      <c r="AA5472" s="13"/>
      <c r="AB5472" s="13"/>
      <c r="AC5472" s="13"/>
      <c r="AD5472" s="13"/>
      <c r="AE5472" s="13"/>
      <c r="AF5472" s="13"/>
      <c r="AG5472" s="13"/>
      <c r="AH5472" s="13"/>
      <c r="AI5472" s="13"/>
      <c r="AJ5472" s="13"/>
      <c r="AK5472" s="13"/>
      <c r="AL5472" s="13"/>
      <c r="AM5472" s="13"/>
      <c r="AN5472" s="13"/>
      <c r="AO5472" s="13"/>
      <c r="AP5472" s="13"/>
      <c r="AQ5472" s="13"/>
      <c r="AR5472" s="13"/>
      <c r="AS5472" s="13"/>
    </row>
    <row r="5473" ht="14.25" customHeight="1">
      <c r="A5473" s="13"/>
      <c r="B5473" s="13"/>
      <c r="C5473" s="13"/>
      <c r="D5473" s="13"/>
      <c r="E5473" s="13"/>
      <c r="F5473" s="13"/>
      <c r="G5473" s="13"/>
      <c r="H5473" s="13"/>
      <c r="I5473" s="13"/>
      <c r="J5473" s="13"/>
      <c r="K5473" s="15"/>
      <c r="L5473" s="15"/>
      <c r="M5473" s="16"/>
      <c r="N5473" s="16"/>
      <c r="O5473" s="17"/>
      <c r="P5473" s="17"/>
      <c r="Q5473" s="13"/>
      <c r="R5473" s="13"/>
      <c r="S5473" s="13"/>
      <c r="T5473" s="13"/>
      <c r="U5473" s="13"/>
      <c r="V5473" s="13"/>
      <c r="W5473" s="13"/>
      <c r="X5473" s="13"/>
      <c r="Y5473" s="13"/>
      <c r="Z5473" s="13"/>
      <c r="AA5473" s="13"/>
      <c r="AB5473" s="13"/>
      <c r="AC5473" s="13"/>
      <c r="AD5473" s="13"/>
      <c r="AE5473" s="13"/>
      <c r="AF5473" s="13"/>
      <c r="AG5473" s="13"/>
      <c r="AH5473" s="13"/>
      <c r="AI5473" s="13"/>
      <c r="AJ5473" s="13"/>
      <c r="AK5473" s="13"/>
      <c r="AL5473" s="13"/>
      <c r="AM5473" s="13"/>
      <c r="AN5473" s="13"/>
      <c r="AO5473" s="13"/>
      <c r="AP5473" s="13"/>
      <c r="AQ5473" s="13"/>
      <c r="AR5473" s="13"/>
      <c r="AS5473" s="13"/>
    </row>
    <row r="5474" ht="14.25" customHeight="1">
      <c r="A5474" s="13"/>
      <c r="B5474" s="13"/>
      <c r="C5474" s="13"/>
      <c r="D5474" s="13"/>
      <c r="E5474" s="13"/>
      <c r="F5474" s="13"/>
      <c r="G5474" s="13"/>
      <c r="H5474" s="13"/>
      <c r="I5474" s="13"/>
      <c r="J5474" s="13"/>
      <c r="K5474" s="15"/>
      <c r="L5474" s="15"/>
      <c r="M5474" s="16"/>
      <c r="N5474" s="16"/>
      <c r="O5474" s="17"/>
      <c r="P5474" s="17"/>
      <c r="Q5474" s="13"/>
      <c r="R5474" s="13"/>
      <c r="S5474" s="13"/>
      <c r="T5474" s="13"/>
      <c r="U5474" s="13"/>
      <c r="V5474" s="13"/>
      <c r="W5474" s="13"/>
      <c r="X5474" s="13"/>
      <c r="Y5474" s="13"/>
      <c r="Z5474" s="13"/>
      <c r="AA5474" s="13"/>
      <c r="AB5474" s="13"/>
      <c r="AC5474" s="13"/>
      <c r="AD5474" s="13"/>
      <c r="AE5474" s="13"/>
      <c r="AF5474" s="13"/>
      <c r="AG5474" s="13"/>
      <c r="AH5474" s="13"/>
      <c r="AI5474" s="13"/>
      <c r="AJ5474" s="13"/>
      <c r="AK5474" s="13"/>
      <c r="AL5474" s="13"/>
      <c r="AM5474" s="13"/>
      <c r="AN5474" s="13"/>
      <c r="AO5474" s="13"/>
      <c r="AP5474" s="13"/>
      <c r="AQ5474" s="13"/>
      <c r="AR5474" s="13"/>
      <c r="AS5474" s="13"/>
    </row>
    <row r="5475" ht="14.25" customHeight="1">
      <c r="A5475" s="13"/>
      <c r="B5475" s="13"/>
      <c r="C5475" s="13"/>
      <c r="D5475" s="13"/>
      <c r="E5475" s="13"/>
      <c r="F5475" s="13"/>
      <c r="G5475" s="13"/>
      <c r="H5475" s="13"/>
      <c r="I5475" s="13"/>
      <c r="J5475" s="13"/>
      <c r="K5475" s="15"/>
      <c r="L5475" s="15"/>
      <c r="M5475" s="16"/>
      <c r="N5475" s="16"/>
      <c r="O5475" s="17"/>
      <c r="P5475" s="17"/>
      <c r="Q5475" s="13"/>
      <c r="R5475" s="13"/>
      <c r="S5475" s="13"/>
      <c r="T5475" s="13"/>
      <c r="U5475" s="13"/>
      <c r="V5475" s="13"/>
      <c r="W5475" s="13"/>
      <c r="X5475" s="13"/>
      <c r="Y5475" s="13"/>
      <c r="Z5475" s="13"/>
      <c r="AA5475" s="13"/>
      <c r="AB5475" s="13"/>
      <c r="AC5475" s="13"/>
      <c r="AD5475" s="13"/>
      <c r="AE5475" s="13"/>
      <c r="AF5475" s="13"/>
      <c r="AG5475" s="13"/>
      <c r="AH5475" s="13"/>
      <c r="AI5475" s="13"/>
      <c r="AJ5475" s="13"/>
      <c r="AK5475" s="13"/>
      <c r="AL5475" s="13"/>
      <c r="AM5475" s="13"/>
      <c r="AN5475" s="13"/>
      <c r="AO5475" s="13"/>
      <c r="AP5475" s="13"/>
      <c r="AQ5475" s="13"/>
      <c r="AR5475" s="13"/>
      <c r="AS5475" s="13"/>
    </row>
    <row r="5476" ht="14.25" customHeight="1">
      <c r="A5476" s="13"/>
      <c r="B5476" s="13"/>
      <c r="C5476" s="13"/>
      <c r="D5476" s="13"/>
      <c r="E5476" s="13"/>
      <c r="F5476" s="13"/>
      <c r="G5476" s="13"/>
      <c r="H5476" s="13"/>
      <c r="I5476" s="13"/>
      <c r="J5476" s="13"/>
      <c r="K5476" s="15"/>
      <c r="L5476" s="15"/>
      <c r="M5476" s="16"/>
      <c r="N5476" s="16"/>
      <c r="O5476" s="17"/>
      <c r="P5476" s="17"/>
      <c r="Q5476" s="13"/>
      <c r="R5476" s="13"/>
      <c r="S5476" s="13"/>
      <c r="T5476" s="13"/>
      <c r="U5476" s="13"/>
      <c r="V5476" s="13"/>
      <c r="W5476" s="13"/>
      <c r="X5476" s="13"/>
      <c r="Y5476" s="13"/>
      <c r="Z5476" s="13"/>
      <c r="AA5476" s="13"/>
      <c r="AB5476" s="13"/>
      <c r="AC5476" s="13"/>
      <c r="AD5476" s="13"/>
      <c r="AE5476" s="13"/>
      <c r="AF5476" s="13"/>
      <c r="AG5476" s="13"/>
      <c r="AH5476" s="13"/>
      <c r="AI5476" s="13"/>
      <c r="AJ5476" s="13"/>
      <c r="AK5476" s="13"/>
      <c r="AL5476" s="13"/>
      <c r="AM5476" s="13"/>
      <c r="AN5476" s="13"/>
      <c r="AO5476" s="13"/>
      <c r="AP5476" s="13"/>
      <c r="AQ5476" s="13"/>
      <c r="AR5476" s="13"/>
      <c r="AS5476" s="13"/>
    </row>
    <row r="5477" ht="14.25" customHeight="1">
      <c r="A5477" s="13"/>
      <c r="B5477" s="13"/>
      <c r="C5477" s="13"/>
      <c r="D5477" s="13"/>
      <c r="E5477" s="13"/>
      <c r="F5477" s="13"/>
      <c r="G5477" s="13"/>
      <c r="H5477" s="13"/>
      <c r="I5477" s="13"/>
      <c r="J5477" s="13"/>
      <c r="K5477" s="15"/>
      <c r="L5477" s="15"/>
      <c r="M5477" s="16"/>
      <c r="N5477" s="16"/>
      <c r="O5477" s="17"/>
      <c r="P5477" s="17"/>
      <c r="Q5477" s="13"/>
      <c r="R5477" s="13"/>
      <c r="S5477" s="13"/>
      <c r="T5477" s="13"/>
      <c r="U5477" s="13"/>
      <c r="V5477" s="13"/>
      <c r="W5477" s="13"/>
      <c r="X5477" s="13"/>
      <c r="Y5477" s="13"/>
      <c r="Z5477" s="13"/>
      <c r="AA5477" s="13"/>
      <c r="AB5477" s="13"/>
      <c r="AC5477" s="13"/>
      <c r="AD5477" s="13"/>
      <c r="AE5477" s="13"/>
      <c r="AF5477" s="13"/>
      <c r="AG5477" s="13"/>
      <c r="AH5477" s="13"/>
      <c r="AI5477" s="13"/>
      <c r="AJ5477" s="13"/>
      <c r="AK5477" s="13"/>
      <c r="AL5477" s="13"/>
      <c r="AM5477" s="13"/>
      <c r="AN5477" s="13"/>
      <c r="AO5477" s="13"/>
      <c r="AP5477" s="13"/>
      <c r="AQ5477" s="13"/>
      <c r="AR5477" s="13"/>
      <c r="AS5477" s="13"/>
    </row>
    <row r="5478" ht="14.25" customHeight="1">
      <c r="A5478" s="13"/>
      <c r="B5478" s="13"/>
      <c r="C5478" s="13"/>
      <c r="D5478" s="13"/>
      <c r="E5478" s="13"/>
      <c r="F5478" s="13"/>
      <c r="G5478" s="13"/>
      <c r="H5478" s="13"/>
      <c r="I5478" s="13"/>
      <c r="J5478" s="13"/>
      <c r="K5478" s="15"/>
      <c r="L5478" s="15"/>
      <c r="M5478" s="16"/>
      <c r="N5478" s="16"/>
      <c r="O5478" s="17"/>
      <c r="P5478" s="17"/>
      <c r="Q5478" s="13"/>
      <c r="R5478" s="13"/>
      <c r="S5478" s="13"/>
      <c r="T5478" s="13"/>
      <c r="U5478" s="13"/>
      <c r="V5478" s="13"/>
      <c r="W5478" s="13"/>
      <c r="X5478" s="13"/>
      <c r="Y5478" s="13"/>
      <c r="Z5478" s="13"/>
      <c r="AA5478" s="13"/>
      <c r="AB5478" s="13"/>
      <c r="AC5478" s="13"/>
      <c r="AD5478" s="13"/>
      <c r="AE5478" s="13"/>
      <c r="AF5478" s="13"/>
      <c r="AG5478" s="13"/>
      <c r="AH5478" s="13"/>
      <c r="AI5478" s="13"/>
      <c r="AJ5478" s="13"/>
      <c r="AK5478" s="13"/>
      <c r="AL5478" s="13"/>
      <c r="AM5478" s="13"/>
      <c r="AN5478" s="13"/>
      <c r="AO5478" s="13"/>
      <c r="AP5478" s="13"/>
      <c r="AQ5478" s="13"/>
      <c r="AR5478" s="13"/>
      <c r="AS5478" s="13"/>
    </row>
    <row r="5479" ht="14.25" customHeight="1">
      <c r="A5479" s="13"/>
      <c r="B5479" s="13"/>
      <c r="C5479" s="13"/>
      <c r="D5479" s="13"/>
      <c r="E5479" s="13"/>
      <c r="F5479" s="13"/>
      <c r="G5479" s="13"/>
      <c r="H5479" s="13"/>
      <c r="I5479" s="13"/>
      <c r="J5479" s="13"/>
      <c r="K5479" s="15"/>
      <c r="L5479" s="15"/>
      <c r="M5479" s="16"/>
      <c r="N5479" s="16"/>
      <c r="O5479" s="17"/>
      <c r="P5479" s="17"/>
      <c r="Q5479" s="13"/>
      <c r="R5479" s="13"/>
      <c r="S5479" s="13"/>
      <c r="T5479" s="13"/>
      <c r="U5479" s="13"/>
      <c r="V5479" s="13"/>
      <c r="W5479" s="13"/>
      <c r="X5479" s="13"/>
      <c r="Y5479" s="13"/>
      <c r="Z5479" s="13"/>
      <c r="AA5479" s="13"/>
      <c r="AB5479" s="13"/>
      <c r="AC5479" s="13"/>
      <c r="AD5479" s="13"/>
      <c r="AE5479" s="13"/>
      <c r="AF5479" s="13"/>
      <c r="AG5479" s="13"/>
      <c r="AH5479" s="13"/>
      <c r="AI5479" s="13"/>
      <c r="AJ5479" s="13"/>
      <c r="AK5479" s="13"/>
      <c r="AL5479" s="13"/>
      <c r="AM5479" s="13"/>
      <c r="AN5479" s="13"/>
      <c r="AO5479" s="13"/>
      <c r="AP5479" s="13"/>
      <c r="AQ5479" s="13"/>
      <c r="AR5479" s="13"/>
      <c r="AS5479" s="13"/>
    </row>
    <row r="5480" ht="14.25" customHeight="1">
      <c r="A5480" s="13"/>
      <c r="B5480" s="13"/>
      <c r="C5480" s="13"/>
      <c r="D5480" s="13"/>
      <c r="E5480" s="13"/>
      <c r="F5480" s="13"/>
      <c r="G5480" s="13"/>
      <c r="H5480" s="13"/>
      <c r="I5480" s="13"/>
      <c r="J5480" s="13"/>
      <c r="K5480" s="15"/>
      <c r="L5480" s="15"/>
      <c r="M5480" s="16"/>
      <c r="N5480" s="16"/>
      <c r="O5480" s="17"/>
      <c r="P5480" s="17"/>
      <c r="Q5480" s="13"/>
      <c r="R5480" s="13"/>
      <c r="S5480" s="13"/>
      <c r="T5480" s="13"/>
      <c r="U5480" s="13"/>
      <c r="V5480" s="13"/>
      <c r="W5480" s="13"/>
      <c r="X5480" s="13"/>
      <c r="Y5480" s="13"/>
      <c r="Z5480" s="13"/>
      <c r="AA5480" s="13"/>
      <c r="AB5480" s="13"/>
      <c r="AC5480" s="13"/>
      <c r="AD5480" s="13"/>
      <c r="AE5480" s="13"/>
      <c r="AF5480" s="13"/>
      <c r="AG5480" s="13"/>
      <c r="AH5480" s="13"/>
      <c r="AI5480" s="13"/>
      <c r="AJ5480" s="13"/>
      <c r="AK5480" s="13"/>
      <c r="AL5480" s="13"/>
      <c r="AM5480" s="13"/>
      <c r="AN5480" s="13"/>
      <c r="AO5480" s="13"/>
      <c r="AP5480" s="13"/>
      <c r="AQ5480" s="13"/>
      <c r="AR5480" s="13"/>
      <c r="AS5480" s="13"/>
    </row>
    <row r="5481" ht="14.25" customHeight="1">
      <c r="A5481" s="13"/>
      <c r="B5481" s="13"/>
      <c r="C5481" s="13"/>
      <c r="D5481" s="13"/>
      <c r="E5481" s="13"/>
      <c r="F5481" s="13"/>
      <c r="G5481" s="13"/>
      <c r="H5481" s="13"/>
      <c r="I5481" s="13"/>
      <c r="J5481" s="13"/>
      <c r="K5481" s="15"/>
      <c r="L5481" s="15"/>
      <c r="M5481" s="16"/>
      <c r="N5481" s="16"/>
      <c r="O5481" s="17"/>
      <c r="P5481" s="17"/>
      <c r="Q5481" s="13"/>
      <c r="R5481" s="13"/>
      <c r="S5481" s="13"/>
      <c r="T5481" s="13"/>
      <c r="U5481" s="13"/>
      <c r="V5481" s="13"/>
      <c r="W5481" s="13"/>
      <c r="X5481" s="13"/>
      <c r="Y5481" s="13"/>
      <c r="Z5481" s="13"/>
      <c r="AA5481" s="13"/>
      <c r="AB5481" s="13"/>
      <c r="AC5481" s="13"/>
      <c r="AD5481" s="13"/>
      <c r="AE5481" s="13"/>
      <c r="AF5481" s="13"/>
      <c r="AG5481" s="13"/>
      <c r="AH5481" s="13"/>
      <c r="AI5481" s="13"/>
      <c r="AJ5481" s="13"/>
      <c r="AK5481" s="13"/>
      <c r="AL5481" s="13"/>
      <c r="AM5481" s="13"/>
      <c r="AN5481" s="13"/>
      <c r="AO5481" s="13"/>
      <c r="AP5481" s="13"/>
      <c r="AQ5481" s="13"/>
      <c r="AR5481" s="13"/>
      <c r="AS5481" s="13"/>
    </row>
    <row r="5482" ht="14.25" customHeight="1">
      <c r="A5482" s="13"/>
      <c r="B5482" s="13"/>
      <c r="C5482" s="13"/>
      <c r="D5482" s="13"/>
      <c r="E5482" s="13"/>
      <c r="F5482" s="13"/>
      <c r="G5482" s="13"/>
      <c r="H5482" s="13"/>
      <c r="I5482" s="13"/>
      <c r="J5482" s="13"/>
      <c r="K5482" s="15"/>
      <c r="L5482" s="15"/>
      <c r="M5482" s="16"/>
      <c r="N5482" s="16"/>
      <c r="O5482" s="17"/>
      <c r="P5482" s="17"/>
      <c r="Q5482" s="13"/>
      <c r="R5482" s="13"/>
      <c r="S5482" s="13"/>
      <c r="T5482" s="13"/>
      <c r="U5482" s="13"/>
      <c r="V5482" s="13"/>
      <c r="W5482" s="13"/>
      <c r="X5482" s="13"/>
      <c r="Y5482" s="13"/>
      <c r="Z5482" s="13"/>
      <c r="AA5482" s="13"/>
      <c r="AB5482" s="13"/>
      <c r="AC5482" s="13"/>
      <c r="AD5482" s="13"/>
      <c r="AE5482" s="13"/>
      <c r="AF5482" s="13"/>
      <c r="AG5482" s="13"/>
      <c r="AH5482" s="13"/>
      <c r="AI5482" s="13"/>
      <c r="AJ5482" s="13"/>
      <c r="AK5482" s="13"/>
      <c r="AL5482" s="13"/>
      <c r="AM5482" s="13"/>
      <c r="AN5482" s="13"/>
      <c r="AO5482" s="13"/>
      <c r="AP5482" s="13"/>
      <c r="AQ5482" s="13"/>
      <c r="AR5482" s="13"/>
      <c r="AS5482" s="13"/>
    </row>
    <row r="5483" ht="14.25" customHeight="1">
      <c r="A5483" s="13"/>
      <c r="B5483" s="13"/>
      <c r="C5483" s="13"/>
      <c r="D5483" s="13"/>
      <c r="E5483" s="13"/>
      <c r="F5483" s="13"/>
      <c r="G5483" s="13"/>
      <c r="H5483" s="13"/>
      <c r="I5483" s="13"/>
      <c r="J5483" s="13"/>
      <c r="K5483" s="15"/>
      <c r="L5483" s="15"/>
      <c r="M5483" s="16"/>
      <c r="N5483" s="16"/>
      <c r="O5483" s="17"/>
      <c r="P5483" s="17"/>
      <c r="Q5483" s="13"/>
      <c r="R5483" s="13"/>
      <c r="S5483" s="13"/>
      <c r="T5483" s="13"/>
      <c r="U5483" s="13"/>
      <c r="V5483" s="13"/>
      <c r="W5483" s="13"/>
      <c r="X5483" s="13"/>
      <c r="Y5483" s="13"/>
      <c r="Z5483" s="13"/>
      <c r="AA5483" s="13"/>
      <c r="AB5483" s="13"/>
      <c r="AC5483" s="13"/>
      <c r="AD5483" s="13"/>
      <c r="AE5483" s="13"/>
      <c r="AF5483" s="13"/>
      <c r="AG5483" s="13"/>
      <c r="AH5483" s="13"/>
      <c r="AI5483" s="13"/>
      <c r="AJ5483" s="13"/>
      <c r="AK5483" s="13"/>
      <c r="AL5483" s="13"/>
      <c r="AM5483" s="13"/>
      <c r="AN5483" s="13"/>
      <c r="AO5483" s="13"/>
      <c r="AP5483" s="13"/>
      <c r="AQ5483" s="13"/>
      <c r="AR5483" s="13"/>
      <c r="AS5483" s="13"/>
    </row>
    <row r="5484" ht="14.25" customHeight="1">
      <c r="A5484" s="13"/>
      <c r="B5484" s="13"/>
      <c r="C5484" s="13"/>
      <c r="D5484" s="13"/>
      <c r="E5484" s="13"/>
      <c r="F5484" s="13"/>
      <c r="G5484" s="13"/>
      <c r="H5484" s="13"/>
      <c r="I5484" s="13"/>
      <c r="J5484" s="13"/>
      <c r="K5484" s="15"/>
      <c r="L5484" s="15"/>
      <c r="M5484" s="16"/>
      <c r="N5484" s="16"/>
      <c r="O5484" s="17"/>
      <c r="P5484" s="17"/>
      <c r="Q5484" s="13"/>
      <c r="R5484" s="13"/>
      <c r="S5484" s="13"/>
      <c r="T5484" s="13"/>
      <c r="U5484" s="13"/>
      <c r="V5484" s="13"/>
      <c r="W5484" s="13"/>
      <c r="X5484" s="13"/>
      <c r="Y5484" s="13"/>
      <c r="Z5484" s="13"/>
      <c r="AA5484" s="13"/>
      <c r="AB5484" s="13"/>
      <c r="AC5484" s="13"/>
      <c r="AD5484" s="13"/>
      <c r="AE5484" s="13"/>
      <c r="AF5484" s="13"/>
      <c r="AG5484" s="13"/>
      <c r="AH5484" s="13"/>
      <c r="AI5484" s="13"/>
      <c r="AJ5484" s="13"/>
      <c r="AK5484" s="13"/>
      <c r="AL5484" s="13"/>
      <c r="AM5484" s="13"/>
      <c r="AN5484" s="13"/>
      <c r="AO5484" s="13"/>
      <c r="AP5484" s="13"/>
      <c r="AQ5484" s="13"/>
      <c r="AR5484" s="13"/>
      <c r="AS5484" s="13"/>
    </row>
    <row r="5485" ht="14.25" customHeight="1">
      <c r="A5485" s="13"/>
      <c r="B5485" s="13"/>
      <c r="C5485" s="13"/>
      <c r="D5485" s="13"/>
      <c r="E5485" s="13"/>
      <c r="F5485" s="13"/>
      <c r="G5485" s="13"/>
      <c r="H5485" s="13"/>
      <c r="I5485" s="13"/>
      <c r="J5485" s="13"/>
      <c r="K5485" s="15"/>
      <c r="L5485" s="15"/>
      <c r="M5485" s="16"/>
      <c r="N5485" s="16"/>
      <c r="O5485" s="17"/>
      <c r="P5485" s="17"/>
      <c r="Q5485" s="13"/>
      <c r="R5485" s="13"/>
      <c r="S5485" s="13"/>
      <c r="T5485" s="13"/>
      <c r="U5485" s="13"/>
      <c r="V5485" s="13"/>
      <c r="W5485" s="13"/>
      <c r="X5485" s="13"/>
      <c r="Y5485" s="13"/>
      <c r="Z5485" s="13"/>
      <c r="AA5485" s="13"/>
      <c r="AB5485" s="13"/>
      <c r="AC5485" s="13"/>
      <c r="AD5485" s="13"/>
      <c r="AE5485" s="13"/>
      <c r="AF5485" s="13"/>
      <c r="AG5485" s="13"/>
      <c r="AH5485" s="13"/>
      <c r="AI5485" s="13"/>
      <c r="AJ5485" s="13"/>
      <c r="AK5485" s="13"/>
      <c r="AL5485" s="13"/>
      <c r="AM5485" s="13"/>
      <c r="AN5485" s="13"/>
      <c r="AO5485" s="13"/>
      <c r="AP5485" s="13"/>
      <c r="AQ5485" s="13"/>
      <c r="AR5485" s="13"/>
      <c r="AS5485" s="13"/>
    </row>
    <row r="5486" ht="14.25" customHeight="1">
      <c r="A5486" s="13"/>
      <c r="B5486" s="13"/>
      <c r="C5486" s="13"/>
      <c r="D5486" s="13"/>
      <c r="E5486" s="13"/>
      <c r="F5486" s="13"/>
      <c r="G5486" s="13"/>
      <c r="H5486" s="13"/>
      <c r="I5486" s="13"/>
      <c r="J5486" s="13"/>
      <c r="K5486" s="15"/>
      <c r="L5486" s="15"/>
      <c r="M5486" s="16"/>
      <c r="N5486" s="16"/>
      <c r="O5486" s="17"/>
      <c r="P5486" s="17"/>
      <c r="Q5486" s="13"/>
      <c r="R5486" s="13"/>
      <c r="S5486" s="13"/>
      <c r="T5486" s="13"/>
      <c r="U5486" s="13"/>
      <c r="V5486" s="13"/>
      <c r="W5486" s="13"/>
      <c r="X5486" s="13"/>
      <c r="Y5486" s="13"/>
      <c r="Z5486" s="13"/>
      <c r="AA5486" s="13"/>
      <c r="AB5486" s="13"/>
      <c r="AC5486" s="13"/>
      <c r="AD5486" s="13"/>
      <c r="AE5486" s="13"/>
      <c r="AF5486" s="13"/>
      <c r="AG5486" s="13"/>
      <c r="AH5486" s="13"/>
      <c r="AI5486" s="13"/>
      <c r="AJ5486" s="13"/>
      <c r="AK5486" s="13"/>
      <c r="AL5486" s="13"/>
      <c r="AM5486" s="13"/>
      <c r="AN5486" s="13"/>
      <c r="AO5486" s="13"/>
      <c r="AP5486" s="13"/>
      <c r="AQ5486" s="13"/>
      <c r="AR5486" s="13"/>
      <c r="AS5486" s="13"/>
    </row>
    <row r="5487" ht="14.25" customHeight="1">
      <c r="A5487" s="13"/>
      <c r="B5487" s="13"/>
      <c r="C5487" s="13"/>
      <c r="D5487" s="13"/>
      <c r="E5487" s="13"/>
      <c r="F5487" s="13"/>
      <c r="G5487" s="13"/>
      <c r="H5487" s="13"/>
      <c r="I5487" s="13"/>
      <c r="J5487" s="13"/>
      <c r="K5487" s="15"/>
      <c r="L5487" s="15"/>
      <c r="M5487" s="16"/>
      <c r="N5487" s="16"/>
      <c r="O5487" s="17"/>
      <c r="P5487" s="17"/>
      <c r="Q5487" s="13"/>
      <c r="R5487" s="13"/>
      <c r="S5487" s="13"/>
      <c r="T5487" s="13"/>
      <c r="U5487" s="13"/>
      <c r="V5487" s="13"/>
      <c r="W5487" s="13"/>
      <c r="X5487" s="13"/>
      <c r="Y5487" s="13"/>
      <c r="Z5487" s="13"/>
      <c r="AA5487" s="13"/>
      <c r="AB5487" s="13"/>
      <c r="AC5487" s="13"/>
      <c r="AD5487" s="13"/>
      <c r="AE5487" s="13"/>
      <c r="AF5487" s="13"/>
      <c r="AG5487" s="13"/>
      <c r="AH5487" s="13"/>
      <c r="AI5487" s="13"/>
      <c r="AJ5487" s="13"/>
      <c r="AK5487" s="13"/>
      <c r="AL5487" s="13"/>
      <c r="AM5487" s="13"/>
      <c r="AN5487" s="13"/>
      <c r="AO5487" s="13"/>
      <c r="AP5487" s="13"/>
      <c r="AQ5487" s="13"/>
      <c r="AR5487" s="13"/>
      <c r="AS5487" s="13"/>
    </row>
    <row r="5488" ht="14.25" customHeight="1">
      <c r="A5488" s="13"/>
      <c r="B5488" s="13"/>
      <c r="C5488" s="13"/>
      <c r="D5488" s="13"/>
      <c r="E5488" s="13"/>
      <c r="F5488" s="13"/>
      <c r="G5488" s="13"/>
      <c r="H5488" s="13"/>
      <c r="I5488" s="13"/>
      <c r="J5488" s="13"/>
      <c r="K5488" s="15"/>
      <c r="L5488" s="15"/>
      <c r="M5488" s="16"/>
      <c r="N5488" s="16"/>
      <c r="O5488" s="17"/>
      <c r="P5488" s="17"/>
      <c r="Q5488" s="13"/>
      <c r="R5488" s="13"/>
      <c r="S5488" s="13"/>
      <c r="T5488" s="13"/>
      <c r="U5488" s="13"/>
      <c r="V5488" s="13"/>
      <c r="W5488" s="13"/>
      <c r="X5488" s="13"/>
      <c r="Y5488" s="13"/>
      <c r="Z5488" s="13"/>
      <c r="AA5488" s="13"/>
      <c r="AB5488" s="13"/>
      <c r="AC5488" s="13"/>
      <c r="AD5488" s="13"/>
      <c r="AE5488" s="13"/>
      <c r="AF5488" s="13"/>
      <c r="AG5488" s="13"/>
      <c r="AH5488" s="13"/>
      <c r="AI5488" s="13"/>
      <c r="AJ5488" s="13"/>
      <c r="AK5488" s="13"/>
      <c r="AL5488" s="13"/>
      <c r="AM5488" s="13"/>
      <c r="AN5488" s="13"/>
      <c r="AO5488" s="13"/>
      <c r="AP5488" s="13"/>
      <c r="AQ5488" s="13"/>
      <c r="AR5488" s="13"/>
      <c r="AS5488" s="13"/>
    </row>
    <row r="5489" ht="14.25" customHeight="1">
      <c r="A5489" s="13"/>
      <c r="B5489" s="13"/>
      <c r="C5489" s="13"/>
      <c r="D5489" s="13"/>
      <c r="E5489" s="13"/>
      <c r="F5489" s="13"/>
      <c r="G5489" s="13"/>
      <c r="H5489" s="13"/>
      <c r="I5489" s="13"/>
      <c r="J5489" s="13"/>
      <c r="K5489" s="15"/>
      <c r="L5489" s="15"/>
      <c r="M5489" s="16"/>
      <c r="N5489" s="16"/>
      <c r="O5489" s="17"/>
      <c r="P5489" s="17"/>
      <c r="Q5489" s="13"/>
      <c r="R5489" s="13"/>
      <c r="S5489" s="13"/>
      <c r="T5489" s="13"/>
      <c r="U5489" s="13"/>
      <c r="V5489" s="13"/>
      <c r="W5489" s="13"/>
      <c r="X5489" s="13"/>
      <c r="Y5489" s="13"/>
      <c r="Z5489" s="13"/>
      <c r="AA5489" s="13"/>
      <c r="AB5489" s="13"/>
      <c r="AC5489" s="13"/>
      <c r="AD5489" s="13"/>
      <c r="AE5489" s="13"/>
      <c r="AF5489" s="13"/>
      <c r="AG5489" s="13"/>
      <c r="AH5489" s="13"/>
      <c r="AI5489" s="13"/>
      <c r="AJ5489" s="13"/>
      <c r="AK5489" s="13"/>
      <c r="AL5489" s="13"/>
      <c r="AM5489" s="13"/>
      <c r="AN5489" s="13"/>
      <c r="AO5489" s="13"/>
      <c r="AP5489" s="13"/>
      <c r="AQ5489" s="13"/>
      <c r="AR5489" s="13"/>
      <c r="AS5489" s="13"/>
    </row>
    <row r="5490" ht="14.25" customHeight="1">
      <c r="A5490" s="13"/>
      <c r="B5490" s="13"/>
      <c r="C5490" s="13"/>
      <c r="D5490" s="13"/>
      <c r="E5490" s="13"/>
      <c r="F5490" s="13"/>
      <c r="G5490" s="13"/>
      <c r="H5490" s="13"/>
      <c r="I5490" s="13"/>
      <c r="J5490" s="13"/>
      <c r="K5490" s="15"/>
      <c r="L5490" s="15"/>
      <c r="M5490" s="16"/>
      <c r="N5490" s="16"/>
      <c r="O5490" s="17"/>
      <c r="P5490" s="17"/>
      <c r="Q5490" s="13"/>
      <c r="R5490" s="13"/>
      <c r="S5490" s="13"/>
      <c r="T5490" s="13"/>
      <c r="U5490" s="13"/>
      <c r="V5490" s="13"/>
      <c r="W5490" s="13"/>
      <c r="X5490" s="13"/>
      <c r="Y5490" s="13"/>
      <c r="Z5490" s="13"/>
      <c r="AA5490" s="13"/>
      <c r="AB5490" s="13"/>
      <c r="AC5490" s="13"/>
      <c r="AD5490" s="13"/>
      <c r="AE5490" s="13"/>
      <c r="AF5490" s="13"/>
      <c r="AG5490" s="13"/>
      <c r="AH5490" s="13"/>
      <c r="AI5490" s="13"/>
      <c r="AJ5490" s="13"/>
      <c r="AK5490" s="13"/>
      <c r="AL5490" s="13"/>
      <c r="AM5490" s="13"/>
      <c r="AN5490" s="13"/>
      <c r="AO5490" s="13"/>
      <c r="AP5490" s="13"/>
      <c r="AQ5490" s="13"/>
      <c r="AR5490" s="13"/>
      <c r="AS5490" s="13"/>
    </row>
    <row r="5491" ht="14.25" customHeight="1">
      <c r="A5491" s="13"/>
      <c r="B5491" s="13"/>
      <c r="C5491" s="13"/>
      <c r="D5491" s="13"/>
      <c r="E5491" s="13"/>
      <c r="F5491" s="13"/>
      <c r="G5491" s="13"/>
      <c r="H5491" s="13"/>
      <c r="I5491" s="13"/>
      <c r="J5491" s="13"/>
      <c r="K5491" s="15"/>
      <c r="L5491" s="15"/>
      <c r="M5491" s="16"/>
      <c r="N5491" s="16"/>
      <c r="O5491" s="17"/>
      <c r="P5491" s="17"/>
      <c r="Q5491" s="13"/>
      <c r="R5491" s="13"/>
      <c r="S5491" s="13"/>
      <c r="T5491" s="13"/>
      <c r="U5491" s="13"/>
      <c r="V5491" s="13"/>
      <c r="W5491" s="13"/>
      <c r="X5491" s="13"/>
      <c r="Y5491" s="13"/>
      <c r="Z5491" s="13"/>
      <c r="AA5491" s="13"/>
      <c r="AB5491" s="13"/>
      <c r="AC5491" s="13"/>
      <c r="AD5491" s="13"/>
      <c r="AE5491" s="13"/>
      <c r="AF5491" s="13"/>
      <c r="AG5491" s="13"/>
      <c r="AH5491" s="13"/>
      <c r="AI5491" s="13"/>
      <c r="AJ5491" s="13"/>
      <c r="AK5491" s="13"/>
      <c r="AL5491" s="13"/>
      <c r="AM5491" s="13"/>
      <c r="AN5491" s="13"/>
      <c r="AO5491" s="13"/>
      <c r="AP5491" s="13"/>
      <c r="AQ5491" s="13"/>
      <c r="AR5491" s="13"/>
      <c r="AS5491" s="13"/>
    </row>
    <row r="5492" ht="14.25" customHeight="1">
      <c r="A5492" s="13"/>
      <c r="B5492" s="13"/>
      <c r="C5492" s="13"/>
      <c r="D5492" s="13"/>
      <c r="E5492" s="13"/>
      <c r="F5492" s="13"/>
      <c r="G5492" s="13"/>
      <c r="H5492" s="13"/>
      <c r="I5492" s="13"/>
      <c r="J5492" s="13"/>
      <c r="K5492" s="15"/>
      <c r="L5492" s="15"/>
      <c r="M5492" s="16"/>
      <c r="N5492" s="16"/>
      <c r="O5492" s="17"/>
      <c r="P5492" s="17"/>
      <c r="Q5492" s="13"/>
      <c r="R5492" s="13"/>
      <c r="S5492" s="13"/>
      <c r="T5492" s="13"/>
      <c r="U5492" s="13"/>
      <c r="V5492" s="13"/>
      <c r="W5492" s="13"/>
      <c r="X5492" s="13"/>
      <c r="Y5492" s="13"/>
      <c r="Z5492" s="13"/>
      <c r="AA5492" s="13"/>
      <c r="AB5492" s="13"/>
      <c r="AC5492" s="13"/>
      <c r="AD5492" s="13"/>
      <c r="AE5492" s="13"/>
      <c r="AF5492" s="13"/>
      <c r="AG5492" s="13"/>
      <c r="AH5492" s="13"/>
      <c r="AI5492" s="13"/>
      <c r="AJ5492" s="13"/>
      <c r="AK5492" s="13"/>
      <c r="AL5492" s="13"/>
      <c r="AM5492" s="13"/>
      <c r="AN5492" s="13"/>
      <c r="AO5492" s="13"/>
      <c r="AP5492" s="13"/>
      <c r="AQ5492" s="13"/>
      <c r="AR5492" s="13"/>
      <c r="AS5492" s="13"/>
    </row>
    <row r="5493" ht="14.25" customHeight="1">
      <c r="A5493" s="13"/>
      <c r="B5493" s="13"/>
      <c r="C5493" s="13"/>
      <c r="D5493" s="13"/>
      <c r="E5493" s="13"/>
      <c r="F5493" s="13"/>
      <c r="G5493" s="13"/>
      <c r="H5493" s="13"/>
      <c r="I5493" s="13"/>
      <c r="J5493" s="13"/>
      <c r="K5493" s="15"/>
      <c r="L5493" s="15"/>
      <c r="M5493" s="16"/>
      <c r="N5493" s="16"/>
      <c r="O5493" s="17"/>
      <c r="P5493" s="17"/>
      <c r="Q5493" s="13"/>
      <c r="R5493" s="13"/>
      <c r="S5493" s="13"/>
      <c r="T5493" s="13"/>
      <c r="U5493" s="13"/>
      <c r="V5493" s="13"/>
      <c r="W5493" s="13"/>
      <c r="X5493" s="13"/>
      <c r="Y5493" s="13"/>
      <c r="Z5493" s="13"/>
      <c r="AA5493" s="13"/>
      <c r="AB5493" s="13"/>
      <c r="AC5493" s="13"/>
      <c r="AD5493" s="13"/>
      <c r="AE5493" s="13"/>
      <c r="AF5493" s="13"/>
      <c r="AG5493" s="13"/>
      <c r="AH5493" s="13"/>
      <c r="AI5493" s="13"/>
      <c r="AJ5493" s="13"/>
      <c r="AK5493" s="13"/>
      <c r="AL5493" s="13"/>
      <c r="AM5493" s="13"/>
      <c r="AN5493" s="13"/>
      <c r="AO5493" s="13"/>
      <c r="AP5493" s="13"/>
      <c r="AQ5493" s="13"/>
      <c r="AR5493" s="13"/>
      <c r="AS5493" s="13"/>
    </row>
    <row r="5494" ht="14.25" customHeight="1">
      <c r="A5494" s="13"/>
      <c r="B5494" s="13"/>
      <c r="C5494" s="13"/>
      <c r="D5494" s="13"/>
      <c r="E5494" s="13"/>
      <c r="F5494" s="13"/>
      <c r="G5494" s="13"/>
      <c r="H5494" s="13"/>
      <c r="I5494" s="13"/>
      <c r="J5494" s="13"/>
      <c r="K5494" s="15"/>
      <c r="L5494" s="15"/>
      <c r="M5494" s="16"/>
      <c r="N5494" s="16"/>
      <c r="O5494" s="17"/>
      <c r="P5494" s="17"/>
      <c r="Q5494" s="13"/>
      <c r="R5494" s="13"/>
      <c r="S5494" s="13"/>
      <c r="T5494" s="13"/>
      <c r="U5494" s="13"/>
      <c r="V5494" s="13"/>
      <c r="W5494" s="13"/>
      <c r="X5494" s="13"/>
      <c r="Y5494" s="13"/>
      <c r="Z5494" s="13"/>
      <c r="AA5494" s="13"/>
      <c r="AB5494" s="13"/>
      <c r="AC5494" s="13"/>
      <c r="AD5494" s="13"/>
      <c r="AE5494" s="13"/>
      <c r="AF5494" s="13"/>
      <c r="AG5494" s="13"/>
      <c r="AH5494" s="13"/>
      <c r="AI5494" s="13"/>
      <c r="AJ5494" s="13"/>
      <c r="AK5494" s="13"/>
      <c r="AL5494" s="13"/>
      <c r="AM5494" s="13"/>
      <c r="AN5494" s="13"/>
      <c r="AO5494" s="13"/>
      <c r="AP5494" s="13"/>
      <c r="AQ5494" s="13"/>
      <c r="AR5494" s="13"/>
      <c r="AS5494" s="13"/>
    </row>
    <row r="5495" ht="14.25" customHeight="1">
      <c r="A5495" s="13"/>
      <c r="B5495" s="13"/>
      <c r="C5495" s="13"/>
      <c r="D5495" s="13"/>
      <c r="E5495" s="13"/>
      <c r="F5495" s="13"/>
      <c r="G5495" s="13"/>
      <c r="H5495" s="13"/>
      <c r="I5495" s="13"/>
      <c r="J5495" s="13"/>
      <c r="K5495" s="15"/>
      <c r="L5495" s="15"/>
      <c r="M5495" s="16"/>
      <c r="N5495" s="16"/>
      <c r="O5495" s="17"/>
      <c r="P5495" s="17"/>
      <c r="Q5495" s="13"/>
      <c r="R5495" s="13"/>
      <c r="S5495" s="13"/>
      <c r="T5495" s="13"/>
      <c r="U5495" s="13"/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F5495" s="13"/>
      <c r="AG5495" s="13"/>
      <c r="AH5495" s="13"/>
      <c r="AI5495" s="13"/>
      <c r="AJ5495" s="13"/>
      <c r="AK5495" s="13"/>
      <c r="AL5495" s="13"/>
      <c r="AM5495" s="13"/>
      <c r="AN5495" s="13"/>
      <c r="AO5495" s="13"/>
      <c r="AP5495" s="13"/>
      <c r="AQ5495" s="13"/>
      <c r="AR5495" s="13"/>
      <c r="AS5495" s="13"/>
    </row>
    <row r="5496" ht="14.25" customHeight="1">
      <c r="A5496" s="13"/>
      <c r="B5496" s="13"/>
      <c r="C5496" s="13"/>
      <c r="D5496" s="13"/>
      <c r="E5496" s="13"/>
      <c r="F5496" s="13"/>
      <c r="G5496" s="13"/>
      <c r="H5496" s="13"/>
      <c r="I5496" s="13"/>
      <c r="J5496" s="13"/>
      <c r="K5496" s="15"/>
      <c r="L5496" s="15"/>
      <c r="M5496" s="16"/>
      <c r="N5496" s="16"/>
      <c r="O5496" s="17"/>
      <c r="P5496" s="17"/>
      <c r="Q5496" s="13"/>
      <c r="R5496" s="13"/>
      <c r="S5496" s="13"/>
      <c r="T5496" s="13"/>
      <c r="U5496" s="13"/>
      <c r="V5496" s="13"/>
      <c r="W5496" s="13"/>
      <c r="X5496" s="13"/>
      <c r="Y5496" s="13"/>
      <c r="Z5496" s="13"/>
      <c r="AA5496" s="13"/>
      <c r="AB5496" s="13"/>
      <c r="AC5496" s="13"/>
      <c r="AD5496" s="13"/>
      <c r="AE5496" s="13"/>
      <c r="AF5496" s="13"/>
      <c r="AG5496" s="13"/>
      <c r="AH5496" s="13"/>
      <c r="AI5496" s="13"/>
      <c r="AJ5496" s="13"/>
      <c r="AK5496" s="13"/>
      <c r="AL5496" s="13"/>
      <c r="AM5496" s="13"/>
      <c r="AN5496" s="13"/>
      <c r="AO5496" s="13"/>
      <c r="AP5496" s="13"/>
      <c r="AQ5496" s="13"/>
      <c r="AR5496" s="13"/>
      <c r="AS5496" s="13"/>
    </row>
    <row r="5497" ht="14.25" customHeight="1">
      <c r="A5497" s="13"/>
      <c r="B5497" s="13"/>
      <c r="C5497" s="13"/>
      <c r="D5497" s="13"/>
      <c r="E5497" s="13"/>
      <c r="F5497" s="13"/>
      <c r="G5497" s="13"/>
      <c r="H5497" s="13"/>
      <c r="I5497" s="13"/>
      <c r="J5497" s="13"/>
      <c r="K5497" s="15"/>
      <c r="L5497" s="15"/>
      <c r="M5497" s="16"/>
      <c r="N5497" s="16"/>
      <c r="O5497" s="17"/>
      <c r="P5497" s="17"/>
      <c r="Q5497" s="13"/>
      <c r="R5497" s="13"/>
      <c r="S5497" s="13"/>
      <c r="T5497" s="13"/>
      <c r="U5497" s="13"/>
      <c r="V5497" s="13"/>
      <c r="W5497" s="13"/>
      <c r="X5497" s="13"/>
      <c r="Y5497" s="13"/>
      <c r="Z5497" s="13"/>
      <c r="AA5497" s="13"/>
      <c r="AB5497" s="13"/>
      <c r="AC5497" s="13"/>
      <c r="AD5497" s="13"/>
      <c r="AE5497" s="13"/>
      <c r="AF5497" s="13"/>
      <c r="AG5497" s="13"/>
      <c r="AH5497" s="13"/>
      <c r="AI5497" s="13"/>
      <c r="AJ5497" s="13"/>
      <c r="AK5497" s="13"/>
      <c r="AL5497" s="13"/>
      <c r="AM5497" s="13"/>
      <c r="AN5497" s="13"/>
      <c r="AO5497" s="13"/>
      <c r="AP5497" s="13"/>
      <c r="AQ5497" s="13"/>
      <c r="AR5497" s="13"/>
      <c r="AS5497" s="13"/>
    </row>
    <row r="5498" ht="14.25" customHeight="1">
      <c r="A5498" s="13"/>
      <c r="B5498" s="13"/>
      <c r="C5498" s="13"/>
      <c r="D5498" s="13"/>
      <c r="E5498" s="13"/>
      <c r="F5498" s="13"/>
      <c r="G5498" s="13"/>
      <c r="H5498" s="13"/>
      <c r="I5498" s="13"/>
      <c r="J5498" s="13"/>
      <c r="K5498" s="15"/>
      <c r="L5498" s="15"/>
      <c r="M5498" s="16"/>
      <c r="N5498" s="16"/>
      <c r="O5498" s="17"/>
      <c r="P5498" s="17"/>
      <c r="Q5498" s="13"/>
      <c r="R5498" s="13"/>
      <c r="S5498" s="13"/>
      <c r="T5498" s="13"/>
      <c r="U5498" s="13"/>
      <c r="V5498" s="13"/>
      <c r="W5498" s="13"/>
      <c r="X5498" s="13"/>
      <c r="Y5498" s="13"/>
      <c r="Z5498" s="13"/>
      <c r="AA5498" s="13"/>
      <c r="AB5498" s="13"/>
      <c r="AC5498" s="13"/>
      <c r="AD5498" s="13"/>
      <c r="AE5498" s="13"/>
      <c r="AF5498" s="13"/>
      <c r="AG5498" s="13"/>
      <c r="AH5498" s="13"/>
      <c r="AI5498" s="13"/>
      <c r="AJ5498" s="13"/>
      <c r="AK5498" s="13"/>
      <c r="AL5498" s="13"/>
      <c r="AM5498" s="13"/>
      <c r="AN5498" s="13"/>
      <c r="AO5498" s="13"/>
      <c r="AP5498" s="13"/>
      <c r="AQ5498" s="13"/>
      <c r="AR5498" s="13"/>
      <c r="AS5498" s="13"/>
    </row>
    <row r="5499" ht="14.25" customHeight="1">
      <c r="A5499" s="13"/>
      <c r="B5499" s="13"/>
      <c r="C5499" s="13"/>
      <c r="D5499" s="13"/>
      <c r="E5499" s="13"/>
      <c r="F5499" s="13"/>
      <c r="G5499" s="13"/>
      <c r="H5499" s="13"/>
      <c r="I5499" s="13"/>
      <c r="J5499" s="13"/>
      <c r="K5499" s="15"/>
      <c r="L5499" s="15"/>
      <c r="M5499" s="16"/>
      <c r="N5499" s="16"/>
      <c r="O5499" s="17"/>
      <c r="P5499" s="17"/>
      <c r="Q5499" s="13"/>
      <c r="R5499" s="13"/>
      <c r="S5499" s="13"/>
      <c r="T5499" s="13"/>
      <c r="U5499" s="13"/>
      <c r="V5499" s="13"/>
      <c r="W5499" s="13"/>
      <c r="X5499" s="13"/>
      <c r="Y5499" s="13"/>
      <c r="Z5499" s="13"/>
      <c r="AA5499" s="13"/>
      <c r="AB5499" s="13"/>
      <c r="AC5499" s="13"/>
      <c r="AD5499" s="13"/>
      <c r="AE5499" s="13"/>
      <c r="AF5499" s="13"/>
      <c r="AG5499" s="13"/>
      <c r="AH5499" s="13"/>
      <c r="AI5499" s="13"/>
      <c r="AJ5499" s="13"/>
      <c r="AK5499" s="13"/>
      <c r="AL5499" s="13"/>
      <c r="AM5499" s="13"/>
      <c r="AN5499" s="13"/>
      <c r="AO5499" s="13"/>
      <c r="AP5499" s="13"/>
      <c r="AQ5499" s="13"/>
      <c r="AR5499" s="13"/>
      <c r="AS5499" s="13"/>
    </row>
    <row r="5500" ht="14.25" customHeight="1">
      <c r="A5500" s="13"/>
      <c r="B5500" s="13"/>
      <c r="C5500" s="13"/>
      <c r="D5500" s="13"/>
      <c r="E5500" s="13"/>
      <c r="F5500" s="13"/>
      <c r="G5500" s="13"/>
      <c r="H5500" s="13"/>
      <c r="I5500" s="13"/>
      <c r="J5500" s="13"/>
      <c r="K5500" s="15"/>
      <c r="L5500" s="15"/>
      <c r="M5500" s="16"/>
      <c r="N5500" s="16"/>
      <c r="O5500" s="17"/>
      <c r="P5500" s="17"/>
      <c r="Q5500" s="13"/>
      <c r="R5500" s="13"/>
      <c r="S5500" s="13"/>
      <c r="T5500" s="13"/>
      <c r="U5500" s="13"/>
      <c r="V5500" s="13"/>
      <c r="W5500" s="13"/>
      <c r="X5500" s="13"/>
      <c r="Y5500" s="13"/>
      <c r="Z5500" s="13"/>
      <c r="AA5500" s="13"/>
      <c r="AB5500" s="13"/>
      <c r="AC5500" s="13"/>
      <c r="AD5500" s="13"/>
      <c r="AE5500" s="13"/>
      <c r="AF5500" s="13"/>
      <c r="AG5500" s="13"/>
      <c r="AH5500" s="13"/>
      <c r="AI5500" s="13"/>
      <c r="AJ5500" s="13"/>
      <c r="AK5500" s="13"/>
      <c r="AL5500" s="13"/>
      <c r="AM5500" s="13"/>
      <c r="AN5500" s="13"/>
      <c r="AO5500" s="13"/>
      <c r="AP5500" s="13"/>
      <c r="AQ5500" s="13"/>
      <c r="AR5500" s="13"/>
      <c r="AS5500" s="13"/>
    </row>
    <row r="5501" ht="14.25" customHeight="1">
      <c r="A5501" s="13"/>
      <c r="B5501" s="13"/>
      <c r="C5501" s="13"/>
      <c r="D5501" s="13"/>
      <c r="E5501" s="13"/>
      <c r="F5501" s="13"/>
      <c r="G5501" s="13"/>
      <c r="H5501" s="13"/>
      <c r="I5501" s="13"/>
      <c r="J5501" s="13"/>
      <c r="K5501" s="15"/>
      <c r="L5501" s="15"/>
      <c r="M5501" s="16"/>
      <c r="N5501" s="16"/>
      <c r="O5501" s="17"/>
      <c r="P5501" s="17"/>
      <c r="Q5501" s="13"/>
      <c r="R5501" s="13"/>
      <c r="S5501" s="13"/>
      <c r="T5501" s="13"/>
      <c r="U5501" s="13"/>
      <c r="V5501" s="13"/>
      <c r="W5501" s="13"/>
      <c r="X5501" s="13"/>
      <c r="Y5501" s="13"/>
      <c r="Z5501" s="13"/>
      <c r="AA5501" s="13"/>
      <c r="AB5501" s="13"/>
      <c r="AC5501" s="13"/>
      <c r="AD5501" s="13"/>
      <c r="AE5501" s="13"/>
      <c r="AF5501" s="13"/>
      <c r="AG5501" s="13"/>
      <c r="AH5501" s="13"/>
      <c r="AI5501" s="13"/>
      <c r="AJ5501" s="13"/>
      <c r="AK5501" s="13"/>
      <c r="AL5501" s="13"/>
      <c r="AM5501" s="13"/>
      <c r="AN5501" s="13"/>
      <c r="AO5501" s="13"/>
      <c r="AP5501" s="13"/>
      <c r="AQ5501" s="13"/>
      <c r="AR5501" s="13"/>
      <c r="AS5501" s="13"/>
    </row>
    <row r="5502" ht="14.25" customHeight="1">
      <c r="A5502" s="13"/>
      <c r="B5502" s="13"/>
      <c r="C5502" s="13"/>
      <c r="D5502" s="13"/>
      <c r="E5502" s="13"/>
      <c r="F5502" s="13"/>
      <c r="G5502" s="13"/>
      <c r="H5502" s="13"/>
      <c r="I5502" s="13"/>
      <c r="J5502" s="13"/>
      <c r="K5502" s="15"/>
      <c r="L5502" s="15"/>
      <c r="M5502" s="16"/>
      <c r="N5502" s="16"/>
      <c r="O5502" s="17"/>
      <c r="P5502" s="17"/>
      <c r="Q5502" s="13"/>
      <c r="R5502" s="13"/>
      <c r="S5502" s="13"/>
      <c r="T5502" s="13"/>
      <c r="U5502" s="13"/>
      <c r="V5502" s="13"/>
      <c r="W5502" s="13"/>
      <c r="X5502" s="13"/>
      <c r="Y5502" s="13"/>
      <c r="Z5502" s="13"/>
      <c r="AA5502" s="13"/>
      <c r="AB5502" s="13"/>
      <c r="AC5502" s="13"/>
      <c r="AD5502" s="13"/>
      <c r="AE5502" s="13"/>
      <c r="AF5502" s="13"/>
      <c r="AG5502" s="13"/>
      <c r="AH5502" s="13"/>
      <c r="AI5502" s="13"/>
      <c r="AJ5502" s="13"/>
      <c r="AK5502" s="13"/>
      <c r="AL5502" s="13"/>
      <c r="AM5502" s="13"/>
      <c r="AN5502" s="13"/>
      <c r="AO5502" s="13"/>
      <c r="AP5502" s="13"/>
      <c r="AQ5502" s="13"/>
      <c r="AR5502" s="13"/>
      <c r="AS5502" s="13"/>
    </row>
    <row r="5503" ht="14.25" customHeight="1">
      <c r="A5503" s="13"/>
      <c r="B5503" s="13"/>
      <c r="C5503" s="13"/>
      <c r="D5503" s="13"/>
      <c r="E5503" s="13"/>
      <c r="F5503" s="13"/>
      <c r="G5503" s="13"/>
      <c r="H5503" s="13"/>
      <c r="I5503" s="13"/>
      <c r="J5503" s="13"/>
      <c r="K5503" s="15"/>
      <c r="L5503" s="15"/>
      <c r="M5503" s="16"/>
      <c r="N5503" s="16"/>
      <c r="O5503" s="17"/>
      <c r="P5503" s="17"/>
      <c r="Q5503" s="13"/>
      <c r="R5503" s="13"/>
      <c r="S5503" s="13"/>
      <c r="T5503" s="13"/>
      <c r="U5503" s="13"/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F5503" s="13"/>
      <c r="AG5503" s="13"/>
      <c r="AH5503" s="13"/>
      <c r="AI5503" s="13"/>
      <c r="AJ5503" s="13"/>
      <c r="AK5503" s="13"/>
      <c r="AL5503" s="13"/>
      <c r="AM5503" s="13"/>
      <c r="AN5503" s="13"/>
      <c r="AO5503" s="13"/>
      <c r="AP5503" s="13"/>
      <c r="AQ5503" s="13"/>
      <c r="AR5503" s="13"/>
      <c r="AS5503" s="13"/>
    </row>
    <row r="5504" ht="14.25" customHeight="1">
      <c r="A5504" s="13"/>
      <c r="B5504" s="13"/>
      <c r="C5504" s="13"/>
      <c r="D5504" s="13"/>
      <c r="E5504" s="13"/>
      <c r="F5504" s="13"/>
      <c r="G5504" s="13"/>
      <c r="H5504" s="13"/>
      <c r="I5504" s="13"/>
      <c r="J5504" s="13"/>
      <c r="K5504" s="15"/>
      <c r="L5504" s="15"/>
      <c r="M5504" s="16"/>
      <c r="N5504" s="16"/>
      <c r="O5504" s="17"/>
      <c r="P5504" s="17"/>
      <c r="Q5504" s="13"/>
      <c r="R5504" s="13"/>
      <c r="S5504" s="13"/>
      <c r="T5504" s="13"/>
      <c r="U5504" s="13"/>
      <c r="V5504" s="13"/>
      <c r="W5504" s="13"/>
      <c r="X5504" s="13"/>
      <c r="Y5504" s="13"/>
      <c r="Z5504" s="13"/>
      <c r="AA5504" s="13"/>
      <c r="AB5504" s="13"/>
      <c r="AC5504" s="13"/>
      <c r="AD5504" s="13"/>
      <c r="AE5504" s="13"/>
      <c r="AF5504" s="13"/>
      <c r="AG5504" s="13"/>
      <c r="AH5504" s="13"/>
      <c r="AI5504" s="13"/>
      <c r="AJ5504" s="13"/>
      <c r="AK5504" s="13"/>
      <c r="AL5504" s="13"/>
      <c r="AM5504" s="13"/>
      <c r="AN5504" s="13"/>
      <c r="AO5504" s="13"/>
      <c r="AP5504" s="13"/>
      <c r="AQ5504" s="13"/>
      <c r="AR5504" s="13"/>
      <c r="AS5504" s="13"/>
    </row>
    <row r="5505" ht="14.25" customHeight="1">
      <c r="A5505" s="13"/>
      <c r="B5505" s="13"/>
      <c r="C5505" s="13"/>
      <c r="D5505" s="13"/>
      <c r="E5505" s="13"/>
      <c r="F5505" s="13"/>
      <c r="G5505" s="13"/>
      <c r="H5505" s="13"/>
      <c r="I5505" s="13"/>
      <c r="J5505" s="13"/>
      <c r="K5505" s="15"/>
      <c r="L5505" s="15"/>
      <c r="M5505" s="16"/>
      <c r="N5505" s="16"/>
      <c r="O5505" s="17"/>
      <c r="P5505" s="17"/>
      <c r="Q5505" s="13"/>
      <c r="R5505" s="13"/>
      <c r="S5505" s="13"/>
      <c r="T5505" s="13"/>
      <c r="U5505" s="13"/>
      <c r="V5505" s="13"/>
      <c r="W5505" s="13"/>
      <c r="X5505" s="13"/>
      <c r="Y5505" s="13"/>
      <c r="Z5505" s="13"/>
      <c r="AA5505" s="13"/>
      <c r="AB5505" s="13"/>
      <c r="AC5505" s="13"/>
      <c r="AD5505" s="13"/>
      <c r="AE5505" s="13"/>
      <c r="AF5505" s="13"/>
      <c r="AG5505" s="13"/>
      <c r="AH5505" s="13"/>
      <c r="AI5505" s="13"/>
      <c r="AJ5505" s="13"/>
      <c r="AK5505" s="13"/>
      <c r="AL5505" s="13"/>
      <c r="AM5505" s="13"/>
      <c r="AN5505" s="13"/>
      <c r="AO5505" s="13"/>
      <c r="AP5505" s="13"/>
      <c r="AQ5505" s="13"/>
      <c r="AR5505" s="13"/>
      <c r="AS5505" s="13"/>
    </row>
    <row r="5506" ht="14.25" customHeight="1">
      <c r="A5506" s="13"/>
      <c r="B5506" s="13"/>
      <c r="C5506" s="13"/>
      <c r="D5506" s="13"/>
      <c r="E5506" s="13"/>
      <c r="F5506" s="13"/>
      <c r="G5506" s="13"/>
      <c r="H5506" s="13"/>
      <c r="I5506" s="13"/>
      <c r="J5506" s="13"/>
      <c r="K5506" s="15"/>
      <c r="L5506" s="15"/>
      <c r="M5506" s="16"/>
      <c r="N5506" s="16"/>
      <c r="O5506" s="17"/>
      <c r="P5506" s="17"/>
      <c r="Q5506" s="13"/>
      <c r="R5506" s="13"/>
      <c r="S5506" s="13"/>
      <c r="T5506" s="13"/>
      <c r="U5506" s="13"/>
      <c r="V5506" s="13"/>
      <c r="W5506" s="13"/>
      <c r="X5506" s="13"/>
      <c r="Y5506" s="13"/>
      <c r="Z5506" s="13"/>
      <c r="AA5506" s="13"/>
      <c r="AB5506" s="13"/>
      <c r="AC5506" s="13"/>
      <c r="AD5506" s="13"/>
      <c r="AE5506" s="13"/>
      <c r="AF5506" s="13"/>
      <c r="AG5506" s="13"/>
      <c r="AH5506" s="13"/>
      <c r="AI5506" s="13"/>
      <c r="AJ5506" s="13"/>
      <c r="AK5506" s="13"/>
      <c r="AL5506" s="13"/>
      <c r="AM5506" s="13"/>
      <c r="AN5506" s="13"/>
      <c r="AO5506" s="13"/>
      <c r="AP5506" s="13"/>
      <c r="AQ5506" s="13"/>
      <c r="AR5506" s="13"/>
      <c r="AS5506" s="13"/>
    </row>
    <row r="5507" ht="14.25" customHeight="1">
      <c r="A5507" s="13"/>
      <c r="B5507" s="13"/>
      <c r="C5507" s="13"/>
      <c r="D5507" s="13"/>
      <c r="E5507" s="13"/>
      <c r="F5507" s="13"/>
      <c r="G5507" s="13"/>
      <c r="H5507" s="13"/>
      <c r="I5507" s="13"/>
      <c r="J5507" s="13"/>
      <c r="K5507" s="15"/>
      <c r="L5507" s="15"/>
      <c r="M5507" s="16"/>
      <c r="N5507" s="16"/>
      <c r="O5507" s="17"/>
      <c r="P5507" s="17"/>
      <c r="Q5507" s="13"/>
      <c r="R5507" s="13"/>
      <c r="S5507" s="13"/>
      <c r="T5507" s="13"/>
      <c r="U5507" s="13"/>
      <c r="V5507" s="13"/>
      <c r="W5507" s="13"/>
      <c r="X5507" s="13"/>
      <c r="Y5507" s="13"/>
      <c r="Z5507" s="13"/>
      <c r="AA5507" s="13"/>
      <c r="AB5507" s="13"/>
      <c r="AC5507" s="13"/>
      <c r="AD5507" s="13"/>
      <c r="AE5507" s="13"/>
      <c r="AF5507" s="13"/>
      <c r="AG5507" s="13"/>
      <c r="AH5507" s="13"/>
      <c r="AI5507" s="13"/>
      <c r="AJ5507" s="13"/>
      <c r="AK5507" s="13"/>
      <c r="AL5507" s="13"/>
      <c r="AM5507" s="13"/>
      <c r="AN5507" s="13"/>
      <c r="AO5507" s="13"/>
      <c r="AP5507" s="13"/>
      <c r="AQ5507" s="13"/>
      <c r="AR5507" s="13"/>
      <c r="AS5507" s="13"/>
    </row>
    <row r="5508" ht="14.25" customHeight="1">
      <c r="A5508" s="13"/>
      <c r="B5508" s="13"/>
      <c r="C5508" s="13"/>
      <c r="D5508" s="13"/>
      <c r="E5508" s="13"/>
      <c r="F5508" s="13"/>
      <c r="G5508" s="13"/>
      <c r="H5508" s="13"/>
      <c r="I5508" s="13"/>
      <c r="J5508" s="13"/>
      <c r="K5508" s="15"/>
      <c r="L5508" s="15"/>
      <c r="M5508" s="16"/>
      <c r="N5508" s="16"/>
      <c r="O5508" s="17"/>
      <c r="P5508" s="17"/>
      <c r="Q5508" s="13"/>
      <c r="R5508" s="13"/>
      <c r="S5508" s="13"/>
      <c r="T5508" s="13"/>
      <c r="U5508" s="13"/>
      <c r="V5508" s="13"/>
      <c r="W5508" s="13"/>
      <c r="X5508" s="13"/>
      <c r="Y5508" s="13"/>
      <c r="Z5508" s="13"/>
      <c r="AA5508" s="13"/>
      <c r="AB5508" s="13"/>
      <c r="AC5508" s="13"/>
      <c r="AD5508" s="13"/>
      <c r="AE5508" s="13"/>
      <c r="AF5508" s="13"/>
      <c r="AG5508" s="13"/>
      <c r="AH5508" s="13"/>
      <c r="AI5508" s="13"/>
      <c r="AJ5508" s="13"/>
      <c r="AK5508" s="13"/>
      <c r="AL5508" s="13"/>
      <c r="AM5508" s="13"/>
      <c r="AN5508" s="13"/>
      <c r="AO5508" s="13"/>
      <c r="AP5508" s="13"/>
      <c r="AQ5508" s="13"/>
      <c r="AR5508" s="13"/>
      <c r="AS5508" s="13"/>
    </row>
    <row r="5509" ht="14.25" customHeight="1">
      <c r="A5509" s="13"/>
      <c r="B5509" s="13"/>
      <c r="C5509" s="13"/>
      <c r="D5509" s="13"/>
      <c r="E5509" s="13"/>
      <c r="F5509" s="13"/>
      <c r="G5509" s="13"/>
      <c r="H5509" s="13"/>
      <c r="I5509" s="13"/>
      <c r="J5509" s="13"/>
      <c r="K5509" s="15"/>
      <c r="L5509" s="15"/>
      <c r="M5509" s="16"/>
      <c r="N5509" s="16"/>
      <c r="O5509" s="17"/>
      <c r="P5509" s="17"/>
      <c r="Q5509" s="13"/>
      <c r="R5509" s="13"/>
      <c r="S5509" s="13"/>
      <c r="T5509" s="13"/>
      <c r="U5509" s="13"/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F5509" s="13"/>
      <c r="AG5509" s="13"/>
      <c r="AH5509" s="13"/>
      <c r="AI5509" s="13"/>
      <c r="AJ5509" s="13"/>
      <c r="AK5509" s="13"/>
      <c r="AL5509" s="13"/>
      <c r="AM5509" s="13"/>
      <c r="AN5509" s="13"/>
      <c r="AO5509" s="13"/>
      <c r="AP5509" s="13"/>
      <c r="AQ5509" s="13"/>
      <c r="AR5509" s="13"/>
      <c r="AS5509" s="13"/>
    </row>
    <row r="5510" ht="14.25" customHeight="1">
      <c r="A5510" s="13"/>
      <c r="B5510" s="13"/>
      <c r="C5510" s="13"/>
      <c r="D5510" s="13"/>
      <c r="E5510" s="13"/>
      <c r="F5510" s="13"/>
      <c r="G5510" s="13"/>
      <c r="H5510" s="13"/>
      <c r="I5510" s="13"/>
      <c r="J5510" s="13"/>
      <c r="K5510" s="15"/>
      <c r="L5510" s="15"/>
      <c r="M5510" s="16"/>
      <c r="N5510" s="16"/>
      <c r="O5510" s="17"/>
      <c r="P5510" s="17"/>
      <c r="Q5510" s="13"/>
      <c r="R5510" s="13"/>
      <c r="S5510" s="13"/>
      <c r="T5510" s="13"/>
      <c r="U5510" s="13"/>
      <c r="V5510" s="13"/>
      <c r="W5510" s="13"/>
      <c r="X5510" s="13"/>
      <c r="Y5510" s="13"/>
      <c r="Z5510" s="13"/>
      <c r="AA5510" s="13"/>
      <c r="AB5510" s="13"/>
      <c r="AC5510" s="13"/>
      <c r="AD5510" s="13"/>
      <c r="AE5510" s="13"/>
      <c r="AF5510" s="13"/>
      <c r="AG5510" s="13"/>
      <c r="AH5510" s="13"/>
      <c r="AI5510" s="13"/>
      <c r="AJ5510" s="13"/>
      <c r="AK5510" s="13"/>
      <c r="AL5510" s="13"/>
      <c r="AM5510" s="13"/>
      <c r="AN5510" s="13"/>
      <c r="AO5510" s="13"/>
      <c r="AP5510" s="13"/>
      <c r="AQ5510" s="13"/>
      <c r="AR5510" s="13"/>
      <c r="AS5510" s="13"/>
    </row>
    <row r="5511" ht="14.25" customHeight="1">
      <c r="A5511" s="13"/>
      <c r="B5511" s="13"/>
      <c r="C5511" s="13"/>
      <c r="D5511" s="13"/>
      <c r="E5511" s="13"/>
      <c r="F5511" s="13"/>
      <c r="G5511" s="13"/>
      <c r="H5511" s="13"/>
      <c r="I5511" s="13"/>
      <c r="J5511" s="13"/>
      <c r="K5511" s="15"/>
      <c r="L5511" s="15"/>
      <c r="M5511" s="16"/>
      <c r="N5511" s="16"/>
      <c r="O5511" s="17"/>
      <c r="P5511" s="17"/>
      <c r="Q5511" s="13"/>
      <c r="R5511" s="13"/>
      <c r="S5511" s="13"/>
      <c r="T5511" s="13"/>
      <c r="U5511" s="13"/>
      <c r="V5511" s="13"/>
      <c r="W5511" s="13"/>
      <c r="X5511" s="13"/>
      <c r="Y5511" s="13"/>
      <c r="Z5511" s="13"/>
      <c r="AA5511" s="13"/>
      <c r="AB5511" s="13"/>
      <c r="AC5511" s="13"/>
      <c r="AD5511" s="13"/>
      <c r="AE5511" s="13"/>
      <c r="AF5511" s="13"/>
      <c r="AG5511" s="13"/>
      <c r="AH5511" s="13"/>
      <c r="AI5511" s="13"/>
      <c r="AJ5511" s="13"/>
      <c r="AK5511" s="13"/>
      <c r="AL5511" s="13"/>
      <c r="AM5511" s="13"/>
      <c r="AN5511" s="13"/>
      <c r="AO5511" s="13"/>
      <c r="AP5511" s="13"/>
      <c r="AQ5511" s="13"/>
      <c r="AR5511" s="13"/>
      <c r="AS5511" s="13"/>
    </row>
    <row r="5512" ht="14.25" customHeight="1">
      <c r="A5512" s="13"/>
      <c r="B5512" s="13"/>
      <c r="C5512" s="13"/>
      <c r="D5512" s="13"/>
      <c r="E5512" s="13"/>
      <c r="F5512" s="13"/>
      <c r="G5512" s="13"/>
      <c r="H5512" s="13"/>
      <c r="I5512" s="13"/>
      <c r="J5512" s="13"/>
      <c r="K5512" s="15"/>
      <c r="L5512" s="15"/>
      <c r="M5512" s="16"/>
      <c r="N5512" s="16"/>
      <c r="O5512" s="17"/>
      <c r="P5512" s="17"/>
      <c r="Q5512" s="13"/>
      <c r="R5512" s="13"/>
      <c r="S5512" s="13"/>
      <c r="T5512" s="13"/>
      <c r="U5512" s="13"/>
      <c r="V5512" s="13"/>
      <c r="W5512" s="13"/>
      <c r="X5512" s="13"/>
      <c r="Y5512" s="13"/>
      <c r="Z5512" s="13"/>
      <c r="AA5512" s="13"/>
      <c r="AB5512" s="13"/>
      <c r="AC5512" s="13"/>
      <c r="AD5512" s="13"/>
      <c r="AE5512" s="13"/>
      <c r="AF5512" s="13"/>
      <c r="AG5512" s="13"/>
      <c r="AH5512" s="13"/>
      <c r="AI5512" s="13"/>
      <c r="AJ5512" s="13"/>
      <c r="AK5512" s="13"/>
      <c r="AL5512" s="13"/>
      <c r="AM5512" s="13"/>
      <c r="AN5512" s="13"/>
      <c r="AO5512" s="13"/>
      <c r="AP5512" s="13"/>
      <c r="AQ5512" s="13"/>
      <c r="AR5512" s="13"/>
      <c r="AS5512" s="13"/>
    </row>
    <row r="5513" ht="14.25" customHeight="1">
      <c r="A5513" s="13"/>
      <c r="B5513" s="13"/>
      <c r="C5513" s="13"/>
      <c r="D5513" s="13"/>
      <c r="E5513" s="13"/>
      <c r="F5513" s="13"/>
      <c r="G5513" s="13"/>
      <c r="H5513" s="13"/>
      <c r="I5513" s="13"/>
      <c r="J5513" s="13"/>
      <c r="K5513" s="15"/>
      <c r="L5513" s="15"/>
      <c r="M5513" s="16"/>
      <c r="N5513" s="16"/>
      <c r="O5513" s="17"/>
      <c r="P5513" s="17"/>
      <c r="Q5513" s="13"/>
      <c r="R5513" s="13"/>
      <c r="S5513" s="13"/>
      <c r="T5513" s="13"/>
      <c r="U5513" s="13"/>
      <c r="V5513" s="13"/>
      <c r="W5513" s="13"/>
      <c r="X5513" s="13"/>
      <c r="Y5513" s="13"/>
      <c r="Z5513" s="13"/>
      <c r="AA5513" s="13"/>
      <c r="AB5513" s="13"/>
      <c r="AC5513" s="13"/>
      <c r="AD5513" s="13"/>
      <c r="AE5513" s="13"/>
      <c r="AF5513" s="13"/>
      <c r="AG5513" s="13"/>
      <c r="AH5513" s="13"/>
      <c r="AI5513" s="13"/>
      <c r="AJ5513" s="13"/>
      <c r="AK5513" s="13"/>
      <c r="AL5513" s="13"/>
      <c r="AM5513" s="13"/>
      <c r="AN5513" s="13"/>
      <c r="AO5513" s="13"/>
      <c r="AP5513" s="13"/>
      <c r="AQ5513" s="13"/>
      <c r="AR5513" s="13"/>
      <c r="AS5513" s="13"/>
    </row>
    <row r="5514" ht="14.25" customHeight="1">
      <c r="A5514" s="13"/>
      <c r="B5514" s="13"/>
      <c r="C5514" s="13"/>
      <c r="D5514" s="13"/>
      <c r="E5514" s="13"/>
      <c r="F5514" s="13"/>
      <c r="G5514" s="13"/>
      <c r="H5514" s="13"/>
      <c r="I5514" s="13"/>
      <c r="J5514" s="13"/>
      <c r="K5514" s="15"/>
      <c r="L5514" s="15"/>
      <c r="M5514" s="16"/>
      <c r="N5514" s="16"/>
      <c r="O5514" s="17"/>
      <c r="P5514" s="17"/>
      <c r="Q5514" s="13"/>
      <c r="R5514" s="13"/>
      <c r="S5514" s="13"/>
      <c r="T5514" s="13"/>
      <c r="U5514" s="13"/>
      <c r="V5514" s="13"/>
      <c r="W5514" s="13"/>
      <c r="X5514" s="13"/>
      <c r="Y5514" s="13"/>
      <c r="Z5514" s="13"/>
      <c r="AA5514" s="13"/>
      <c r="AB5514" s="13"/>
      <c r="AC5514" s="13"/>
      <c r="AD5514" s="13"/>
      <c r="AE5514" s="13"/>
      <c r="AF5514" s="13"/>
      <c r="AG5514" s="13"/>
      <c r="AH5514" s="13"/>
      <c r="AI5514" s="13"/>
      <c r="AJ5514" s="13"/>
      <c r="AK5514" s="13"/>
      <c r="AL5514" s="13"/>
      <c r="AM5514" s="13"/>
      <c r="AN5514" s="13"/>
      <c r="AO5514" s="13"/>
      <c r="AP5514" s="13"/>
      <c r="AQ5514" s="13"/>
      <c r="AR5514" s="13"/>
      <c r="AS5514" s="13"/>
    </row>
    <row r="5515" ht="14.25" customHeight="1">
      <c r="A5515" s="13"/>
      <c r="B5515" s="13"/>
      <c r="C5515" s="13"/>
      <c r="D5515" s="13"/>
      <c r="E5515" s="13"/>
      <c r="F5515" s="13"/>
      <c r="G5515" s="13"/>
      <c r="H5515" s="13"/>
      <c r="I5515" s="13"/>
      <c r="J5515" s="13"/>
      <c r="K5515" s="15"/>
      <c r="L5515" s="15"/>
      <c r="M5515" s="16"/>
      <c r="N5515" s="16"/>
      <c r="O5515" s="17"/>
      <c r="P5515" s="17"/>
      <c r="Q5515" s="13"/>
      <c r="R5515" s="13"/>
      <c r="S5515" s="13"/>
      <c r="T5515" s="13"/>
      <c r="U5515" s="13"/>
      <c r="V5515" s="13"/>
      <c r="W5515" s="13"/>
      <c r="X5515" s="13"/>
      <c r="Y5515" s="13"/>
      <c r="Z5515" s="13"/>
      <c r="AA5515" s="13"/>
      <c r="AB5515" s="13"/>
      <c r="AC5515" s="13"/>
      <c r="AD5515" s="13"/>
      <c r="AE5515" s="13"/>
      <c r="AF5515" s="13"/>
      <c r="AG5515" s="13"/>
      <c r="AH5515" s="13"/>
      <c r="AI5515" s="13"/>
      <c r="AJ5515" s="13"/>
      <c r="AK5515" s="13"/>
      <c r="AL5515" s="13"/>
      <c r="AM5515" s="13"/>
      <c r="AN5515" s="13"/>
      <c r="AO5515" s="13"/>
      <c r="AP5515" s="13"/>
      <c r="AQ5515" s="13"/>
      <c r="AR5515" s="13"/>
      <c r="AS5515" s="13"/>
    </row>
    <row r="5516" ht="14.25" customHeight="1">
      <c r="A5516" s="13"/>
      <c r="B5516" s="13"/>
      <c r="C5516" s="13"/>
      <c r="D5516" s="13"/>
      <c r="E5516" s="13"/>
      <c r="F5516" s="13"/>
      <c r="G5516" s="13"/>
      <c r="H5516" s="13"/>
      <c r="I5516" s="13"/>
      <c r="J5516" s="13"/>
      <c r="K5516" s="15"/>
      <c r="L5516" s="15"/>
      <c r="M5516" s="16"/>
      <c r="N5516" s="16"/>
      <c r="O5516" s="17"/>
      <c r="P5516" s="17"/>
      <c r="Q5516" s="13"/>
      <c r="R5516" s="13"/>
      <c r="S5516" s="13"/>
      <c r="T5516" s="13"/>
      <c r="U5516" s="13"/>
      <c r="V5516" s="13"/>
      <c r="W5516" s="13"/>
      <c r="X5516" s="13"/>
      <c r="Y5516" s="13"/>
      <c r="Z5516" s="13"/>
      <c r="AA5516" s="13"/>
      <c r="AB5516" s="13"/>
      <c r="AC5516" s="13"/>
      <c r="AD5516" s="13"/>
      <c r="AE5516" s="13"/>
      <c r="AF5516" s="13"/>
      <c r="AG5516" s="13"/>
      <c r="AH5516" s="13"/>
      <c r="AI5516" s="13"/>
      <c r="AJ5516" s="13"/>
      <c r="AK5516" s="13"/>
      <c r="AL5516" s="13"/>
      <c r="AM5516" s="13"/>
      <c r="AN5516" s="13"/>
      <c r="AO5516" s="13"/>
      <c r="AP5516" s="13"/>
      <c r="AQ5516" s="13"/>
      <c r="AR5516" s="13"/>
      <c r="AS5516" s="13"/>
    </row>
    <row r="5517" ht="14.25" customHeight="1">
      <c r="A5517" s="13"/>
      <c r="B5517" s="13"/>
      <c r="C5517" s="13"/>
      <c r="D5517" s="13"/>
      <c r="E5517" s="13"/>
      <c r="F5517" s="13"/>
      <c r="G5517" s="13"/>
      <c r="H5517" s="13"/>
      <c r="I5517" s="13"/>
      <c r="J5517" s="13"/>
      <c r="K5517" s="15"/>
      <c r="L5517" s="15"/>
      <c r="M5517" s="16"/>
      <c r="N5517" s="16"/>
      <c r="O5517" s="17"/>
      <c r="P5517" s="17"/>
      <c r="Q5517" s="13"/>
      <c r="R5517" s="13"/>
      <c r="S5517" s="13"/>
      <c r="T5517" s="13"/>
      <c r="U5517" s="13"/>
      <c r="V5517" s="13"/>
      <c r="W5517" s="13"/>
      <c r="X5517" s="13"/>
      <c r="Y5517" s="13"/>
      <c r="Z5517" s="13"/>
      <c r="AA5517" s="13"/>
      <c r="AB5517" s="13"/>
      <c r="AC5517" s="13"/>
      <c r="AD5517" s="13"/>
      <c r="AE5517" s="13"/>
      <c r="AF5517" s="13"/>
      <c r="AG5517" s="13"/>
      <c r="AH5517" s="13"/>
      <c r="AI5517" s="13"/>
      <c r="AJ5517" s="13"/>
      <c r="AK5517" s="13"/>
      <c r="AL5517" s="13"/>
      <c r="AM5517" s="13"/>
      <c r="AN5517" s="13"/>
      <c r="AO5517" s="13"/>
      <c r="AP5517" s="13"/>
      <c r="AQ5517" s="13"/>
      <c r="AR5517" s="13"/>
      <c r="AS5517" s="13"/>
    </row>
    <row r="5518" ht="14.25" customHeight="1">
      <c r="A5518" s="13"/>
      <c r="B5518" s="13"/>
      <c r="C5518" s="13"/>
      <c r="D5518" s="13"/>
      <c r="E5518" s="13"/>
      <c r="F5518" s="13"/>
      <c r="G5518" s="13"/>
      <c r="H5518" s="13"/>
      <c r="I5518" s="13"/>
      <c r="J5518" s="13"/>
      <c r="K5518" s="15"/>
      <c r="L5518" s="15"/>
      <c r="M5518" s="16"/>
      <c r="N5518" s="16"/>
      <c r="O5518" s="17"/>
      <c r="P5518" s="17"/>
      <c r="Q5518" s="13"/>
      <c r="R5518" s="13"/>
      <c r="S5518" s="13"/>
      <c r="T5518" s="13"/>
      <c r="U5518" s="13"/>
      <c r="V5518" s="13"/>
      <c r="W5518" s="13"/>
      <c r="X5518" s="13"/>
      <c r="Y5518" s="13"/>
      <c r="Z5518" s="13"/>
      <c r="AA5518" s="13"/>
      <c r="AB5518" s="13"/>
      <c r="AC5518" s="13"/>
      <c r="AD5518" s="13"/>
      <c r="AE5518" s="13"/>
      <c r="AF5518" s="13"/>
      <c r="AG5518" s="13"/>
      <c r="AH5518" s="13"/>
      <c r="AI5518" s="13"/>
      <c r="AJ5518" s="13"/>
      <c r="AK5518" s="13"/>
      <c r="AL5518" s="13"/>
      <c r="AM5518" s="13"/>
      <c r="AN5518" s="13"/>
      <c r="AO5518" s="13"/>
      <c r="AP5518" s="13"/>
      <c r="AQ5518" s="13"/>
      <c r="AR5518" s="13"/>
      <c r="AS5518" s="13"/>
    </row>
    <row r="5519" ht="14.25" customHeight="1">
      <c r="A5519" s="13"/>
      <c r="B5519" s="13"/>
      <c r="C5519" s="13"/>
      <c r="D5519" s="13"/>
      <c r="E5519" s="13"/>
      <c r="F5519" s="13"/>
      <c r="G5519" s="13"/>
      <c r="H5519" s="13"/>
      <c r="I5519" s="13"/>
      <c r="J5519" s="13"/>
      <c r="K5519" s="15"/>
      <c r="L5519" s="15"/>
      <c r="M5519" s="16"/>
      <c r="N5519" s="16"/>
      <c r="O5519" s="17"/>
      <c r="P5519" s="17"/>
      <c r="Q5519" s="13"/>
      <c r="R5519" s="13"/>
      <c r="S5519" s="13"/>
      <c r="T5519" s="13"/>
      <c r="U5519" s="13"/>
      <c r="V5519" s="13"/>
      <c r="W5519" s="13"/>
      <c r="X5519" s="13"/>
      <c r="Y5519" s="13"/>
      <c r="Z5519" s="13"/>
      <c r="AA5519" s="13"/>
      <c r="AB5519" s="13"/>
      <c r="AC5519" s="13"/>
      <c r="AD5519" s="13"/>
      <c r="AE5519" s="13"/>
      <c r="AF5519" s="13"/>
      <c r="AG5519" s="13"/>
      <c r="AH5519" s="13"/>
      <c r="AI5519" s="13"/>
      <c r="AJ5519" s="13"/>
      <c r="AK5519" s="13"/>
      <c r="AL5519" s="13"/>
      <c r="AM5519" s="13"/>
      <c r="AN5519" s="13"/>
      <c r="AO5519" s="13"/>
      <c r="AP5519" s="13"/>
      <c r="AQ5519" s="13"/>
      <c r="AR5519" s="13"/>
      <c r="AS5519" s="13"/>
    </row>
    <row r="5520" ht="14.25" customHeight="1">
      <c r="A5520" s="13"/>
      <c r="B5520" s="13"/>
      <c r="C5520" s="13"/>
      <c r="D5520" s="13"/>
      <c r="E5520" s="13"/>
      <c r="F5520" s="13"/>
      <c r="G5520" s="13"/>
      <c r="H5520" s="13"/>
      <c r="I5520" s="13"/>
      <c r="J5520" s="13"/>
      <c r="K5520" s="15"/>
      <c r="L5520" s="15"/>
      <c r="M5520" s="16"/>
      <c r="N5520" s="16"/>
      <c r="O5520" s="17"/>
      <c r="P5520" s="17"/>
      <c r="Q5520" s="13"/>
      <c r="R5520" s="13"/>
      <c r="S5520" s="13"/>
      <c r="T5520" s="13"/>
      <c r="U5520" s="13"/>
      <c r="V5520" s="13"/>
      <c r="W5520" s="13"/>
      <c r="X5520" s="13"/>
      <c r="Y5520" s="13"/>
      <c r="Z5520" s="13"/>
      <c r="AA5520" s="13"/>
      <c r="AB5520" s="13"/>
      <c r="AC5520" s="13"/>
      <c r="AD5520" s="13"/>
      <c r="AE5520" s="13"/>
      <c r="AF5520" s="13"/>
      <c r="AG5520" s="13"/>
      <c r="AH5520" s="13"/>
      <c r="AI5520" s="13"/>
      <c r="AJ5520" s="13"/>
      <c r="AK5520" s="13"/>
      <c r="AL5520" s="13"/>
      <c r="AM5520" s="13"/>
      <c r="AN5520" s="13"/>
      <c r="AO5520" s="13"/>
      <c r="AP5520" s="13"/>
      <c r="AQ5520" s="13"/>
      <c r="AR5520" s="13"/>
      <c r="AS5520" s="13"/>
    </row>
    <row r="5521" ht="14.25" customHeight="1">
      <c r="A5521" s="13"/>
      <c r="B5521" s="13"/>
      <c r="C5521" s="13"/>
      <c r="D5521" s="13"/>
      <c r="E5521" s="13"/>
      <c r="F5521" s="13"/>
      <c r="G5521" s="13"/>
      <c r="H5521" s="13"/>
      <c r="I5521" s="13"/>
      <c r="J5521" s="13"/>
      <c r="K5521" s="15"/>
      <c r="L5521" s="15"/>
      <c r="M5521" s="16"/>
      <c r="N5521" s="16"/>
      <c r="O5521" s="17"/>
      <c r="P5521" s="17"/>
      <c r="Q5521" s="13"/>
      <c r="R5521" s="13"/>
      <c r="S5521" s="13"/>
      <c r="T5521" s="13"/>
      <c r="U5521" s="13"/>
      <c r="V5521" s="13"/>
      <c r="W5521" s="13"/>
      <c r="X5521" s="13"/>
      <c r="Y5521" s="13"/>
      <c r="Z5521" s="13"/>
      <c r="AA5521" s="13"/>
      <c r="AB5521" s="13"/>
      <c r="AC5521" s="13"/>
      <c r="AD5521" s="13"/>
      <c r="AE5521" s="13"/>
      <c r="AF5521" s="13"/>
      <c r="AG5521" s="13"/>
      <c r="AH5521" s="13"/>
      <c r="AI5521" s="13"/>
      <c r="AJ5521" s="13"/>
      <c r="AK5521" s="13"/>
      <c r="AL5521" s="13"/>
      <c r="AM5521" s="13"/>
      <c r="AN5521" s="13"/>
      <c r="AO5521" s="13"/>
      <c r="AP5521" s="13"/>
      <c r="AQ5521" s="13"/>
      <c r="AR5521" s="13"/>
      <c r="AS5521" s="13"/>
    </row>
    <row r="5522" ht="14.25" customHeight="1">
      <c r="A5522" s="13"/>
      <c r="B5522" s="13"/>
      <c r="C5522" s="13"/>
      <c r="D5522" s="13"/>
      <c r="E5522" s="13"/>
      <c r="F5522" s="13"/>
      <c r="G5522" s="13"/>
      <c r="H5522" s="13"/>
      <c r="I5522" s="13"/>
      <c r="J5522" s="13"/>
      <c r="K5522" s="15"/>
      <c r="L5522" s="15"/>
      <c r="M5522" s="16"/>
      <c r="N5522" s="16"/>
      <c r="O5522" s="17"/>
      <c r="P5522" s="17"/>
      <c r="Q5522" s="13"/>
      <c r="R5522" s="13"/>
      <c r="S5522" s="13"/>
      <c r="T5522" s="13"/>
      <c r="U5522" s="13"/>
      <c r="V5522" s="13"/>
      <c r="W5522" s="13"/>
      <c r="X5522" s="13"/>
      <c r="Y5522" s="13"/>
      <c r="Z5522" s="13"/>
      <c r="AA5522" s="13"/>
      <c r="AB5522" s="13"/>
      <c r="AC5522" s="13"/>
      <c r="AD5522" s="13"/>
      <c r="AE5522" s="13"/>
      <c r="AF5522" s="13"/>
      <c r="AG5522" s="13"/>
      <c r="AH5522" s="13"/>
      <c r="AI5522" s="13"/>
      <c r="AJ5522" s="13"/>
      <c r="AK5522" s="13"/>
      <c r="AL5522" s="13"/>
      <c r="AM5522" s="13"/>
      <c r="AN5522" s="13"/>
      <c r="AO5522" s="13"/>
      <c r="AP5522" s="13"/>
      <c r="AQ5522" s="13"/>
      <c r="AR5522" s="13"/>
      <c r="AS5522" s="13"/>
    </row>
    <row r="5523" ht="14.25" customHeight="1">
      <c r="A5523" s="13"/>
      <c r="B5523" s="13"/>
      <c r="C5523" s="13"/>
      <c r="D5523" s="13"/>
      <c r="E5523" s="13"/>
      <c r="F5523" s="13"/>
      <c r="G5523" s="13"/>
      <c r="H5523" s="13"/>
      <c r="I5523" s="13"/>
      <c r="J5523" s="13"/>
      <c r="K5523" s="15"/>
      <c r="L5523" s="15"/>
      <c r="M5523" s="16"/>
      <c r="N5523" s="16"/>
      <c r="O5523" s="17"/>
      <c r="P5523" s="17"/>
      <c r="Q5523" s="13"/>
      <c r="R5523" s="13"/>
      <c r="S5523" s="13"/>
      <c r="T5523" s="13"/>
      <c r="U5523" s="13"/>
      <c r="V5523" s="13"/>
      <c r="W5523" s="13"/>
      <c r="X5523" s="13"/>
      <c r="Y5523" s="13"/>
      <c r="Z5523" s="13"/>
      <c r="AA5523" s="13"/>
      <c r="AB5523" s="13"/>
      <c r="AC5523" s="13"/>
      <c r="AD5523" s="13"/>
      <c r="AE5523" s="13"/>
      <c r="AF5523" s="13"/>
      <c r="AG5523" s="13"/>
      <c r="AH5523" s="13"/>
      <c r="AI5523" s="13"/>
      <c r="AJ5523" s="13"/>
      <c r="AK5523" s="13"/>
      <c r="AL5523" s="13"/>
      <c r="AM5523" s="13"/>
      <c r="AN5523" s="13"/>
      <c r="AO5523" s="13"/>
      <c r="AP5523" s="13"/>
      <c r="AQ5523" s="13"/>
      <c r="AR5523" s="13"/>
      <c r="AS5523" s="13"/>
    </row>
    <row r="5524" ht="14.25" customHeight="1">
      <c r="A5524" s="13"/>
      <c r="B5524" s="13"/>
      <c r="C5524" s="13"/>
      <c r="D5524" s="13"/>
      <c r="E5524" s="13"/>
      <c r="F5524" s="13"/>
      <c r="G5524" s="13"/>
      <c r="H5524" s="13"/>
      <c r="I5524" s="13"/>
      <c r="J5524" s="13"/>
      <c r="K5524" s="15"/>
      <c r="L5524" s="15"/>
      <c r="M5524" s="16"/>
      <c r="N5524" s="16"/>
      <c r="O5524" s="17"/>
      <c r="P5524" s="17"/>
      <c r="Q5524" s="13"/>
      <c r="R5524" s="13"/>
      <c r="S5524" s="13"/>
      <c r="T5524" s="13"/>
      <c r="U5524" s="13"/>
      <c r="V5524" s="13"/>
      <c r="W5524" s="13"/>
      <c r="X5524" s="13"/>
      <c r="Y5524" s="13"/>
      <c r="Z5524" s="13"/>
      <c r="AA5524" s="13"/>
      <c r="AB5524" s="13"/>
      <c r="AC5524" s="13"/>
      <c r="AD5524" s="13"/>
      <c r="AE5524" s="13"/>
      <c r="AF5524" s="13"/>
      <c r="AG5524" s="13"/>
      <c r="AH5524" s="13"/>
      <c r="AI5524" s="13"/>
      <c r="AJ5524" s="13"/>
      <c r="AK5524" s="13"/>
      <c r="AL5524" s="13"/>
      <c r="AM5524" s="13"/>
      <c r="AN5524" s="13"/>
      <c r="AO5524" s="13"/>
      <c r="AP5524" s="13"/>
      <c r="AQ5524" s="13"/>
      <c r="AR5524" s="13"/>
      <c r="AS5524" s="13"/>
    </row>
    <row r="5525" ht="14.25" customHeight="1">
      <c r="A5525" s="13"/>
      <c r="B5525" s="13"/>
      <c r="C5525" s="13"/>
      <c r="D5525" s="13"/>
      <c r="E5525" s="13"/>
      <c r="F5525" s="13"/>
      <c r="G5525" s="13"/>
      <c r="H5525" s="13"/>
      <c r="I5525" s="13"/>
      <c r="J5525" s="13"/>
      <c r="K5525" s="15"/>
      <c r="L5525" s="15"/>
      <c r="M5525" s="16"/>
      <c r="N5525" s="16"/>
      <c r="O5525" s="17"/>
      <c r="P5525" s="17"/>
      <c r="Q5525" s="13"/>
      <c r="R5525" s="13"/>
      <c r="S5525" s="13"/>
      <c r="T5525" s="13"/>
      <c r="U5525" s="13"/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F5525" s="13"/>
      <c r="AG5525" s="13"/>
      <c r="AH5525" s="13"/>
      <c r="AI5525" s="13"/>
      <c r="AJ5525" s="13"/>
      <c r="AK5525" s="13"/>
      <c r="AL5525" s="13"/>
      <c r="AM5525" s="13"/>
      <c r="AN5525" s="13"/>
      <c r="AO5525" s="13"/>
      <c r="AP5525" s="13"/>
      <c r="AQ5525" s="13"/>
      <c r="AR5525" s="13"/>
      <c r="AS5525" s="13"/>
    </row>
    <row r="5526" ht="14.25" customHeight="1">
      <c r="A5526" s="13"/>
      <c r="B5526" s="13"/>
      <c r="C5526" s="13"/>
      <c r="D5526" s="13"/>
      <c r="E5526" s="13"/>
      <c r="F5526" s="13"/>
      <c r="G5526" s="13"/>
      <c r="H5526" s="13"/>
      <c r="I5526" s="13"/>
      <c r="J5526" s="13"/>
      <c r="K5526" s="15"/>
      <c r="L5526" s="15"/>
      <c r="M5526" s="16"/>
      <c r="N5526" s="16"/>
      <c r="O5526" s="17"/>
      <c r="P5526" s="17"/>
      <c r="Q5526" s="13"/>
      <c r="R5526" s="13"/>
      <c r="S5526" s="13"/>
      <c r="T5526" s="13"/>
      <c r="U5526" s="13"/>
      <c r="V5526" s="13"/>
      <c r="W5526" s="13"/>
      <c r="X5526" s="13"/>
      <c r="Y5526" s="13"/>
      <c r="Z5526" s="13"/>
      <c r="AA5526" s="13"/>
      <c r="AB5526" s="13"/>
      <c r="AC5526" s="13"/>
      <c r="AD5526" s="13"/>
      <c r="AE5526" s="13"/>
      <c r="AF5526" s="13"/>
      <c r="AG5526" s="13"/>
      <c r="AH5526" s="13"/>
      <c r="AI5526" s="13"/>
      <c r="AJ5526" s="13"/>
      <c r="AK5526" s="13"/>
      <c r="AL5526" s="13"/>
      <c r="AM5526" s="13"/>
      <c r="AN5526" s="13"/>
      <c r="AO5526" s="13"/>
      <c r="AP5526" s="13"/>
      <c r="AQ5526" s="13"/>
      <c r="AR5526" s="13"/>
      <c r="AS5526" s="13"/>
    </row>
    <row r="5527" ht="14.25" customHeight="1">
      <c r="A5527" s="13"/>
      <c r="B5527" s="13"/>
      <c r="C5527" s="13"/>
      <c r="D5527" s="13"/>
      <c r="E5527" s="13"/>
      <c r="F5527" s="13"/>
      <c r="G5527" s="13"/>
      <c r="H5527" s="13"/>
      <c r="I5527" s="13"/>
      <c r="J5527" s="13"/>
      <c r="K5527" s="15"/>
      <c r="L5527" s="15"/>
      <c r="M5527" s="16"/>
      <c r="N5527" s="16"/>
      <c r="O5527" s="17"/>
      <c r="P5527" s="17"/>
      <c r="Q5527" s="13"/>
      <c r="R5527" s="13"/>
      <c r="S5527" s="13"/>
      <c r="T5527" s="13"/>
      <c r="U5527" s="13"/>
      <c r="V5527" s="13"/>
      <c r="W5527" s="13"/>
      <c r="X5527" s="13"/>
      <c r="Y5527" s="13"/>
      <c r="Z5527" s="13"/>
      <c r="AA5527" s="13"/>
      <c r="AB5527" s="13"/>
      <c r="AC5527" s="13"/>
      <c r="AD5527" s="13"/>
      <c r="AE5527" s="13"/>
      <c r="AF5527" s="13"/>
      <c r="AG5527" s="13"/>
      <c r="AH5527" s="13"/>
      <c r="AI5527" s="13"/>
      <c r="AJ5527" s="13"/>
      <c r="AK5527" s="13"/>
      <c r="AL5527" s="13"/>
      <c r="AM5527" s="13"/>
      <c r="AN5527" s="13"/>
      <c r="AO5527" s="13"/>
      <c r="AP5527" s="13"/>
      <c r="AQ5527" s="13"/>
      <c r="AR5527" s="13"/>
      <c r="AS5527" s="13"/>
    </row>
    <row r="5528" ht="14.25" customHeight="1">
      <c r="A5528" s="13"/>
      <c r="B5528" s="13"/>
      <c r="C5528" s="13"/>
      <c r="D5528" s="13"/>
      <c r="E5528" s="13"/>
      <c r="F5528" s="13"/>
      <c r="G5528" s="13"/>
      <c r="H5528" s="13"/>
      <c r="I5528" s="13"/>
      <c r="J5528" s="13"/>
      <c r="K5528" s="15"/>
      <c r="L5528" s="15"/>
      <c r="M5528" s="16"/>
      <c r="N5528" s="16"/>
      <c r="O5528" s="17"/>
      <c r="P5528" s="17"/>
      <c r="Q5528" s="13"/>
      <c r="R5528" s="13"/>
      <c r="S5528" s="13"/>
      <c r="T5528" s="13"/>
      <c r="U5528" s="13"/>
      <c r="V5528" s="13"/>
      <c r="W5528" s="13"/>
      <c r="X5528" s="13"/>
      <c r="Y5528" s="13"/>
      <c r="Z5528" s="13"/>
      <c r="AA5528" s="13"/>
      <c r="AB5528" s="13"/>
      <c r="AC5528" s="13"/>
      <c r="AD5528" s="13"/>
      <c r="AE5528" s="13"/>
      <c r="AF5528" s="13"/>
      <c r="AG5528" s="13"/>
      <c r="AH5528" s="13"/>
      <c r="AI5528" s="13"/>
      <c r="AJ5528" s="13"/>
      <c r="AK5528" s="13"/>
      <c r="AL5528" s="13"/>
      <c r="AM5528" s="13"/>
      <c r="AN5528" s="13"/>
      <c r="AO5528" s="13"/>
      <c r="AP5528" s="13"/>
      <c r="AQ5528" s="13"/>
      <c r="AR5528" s="13"/>
      <c r="AS5528" s="13"/>
    </row>
    <row r="5529" ht="14.25" customHeight="1">
      <c r="A5529" s="13"/>
      <c r="B5529" s="13"/>
      <c r="C5529" s="13"/>
      <c r="D5529" s="13"/>
      <c r="E5529" s="13"/>
      <c r="F5529" s="13"/>
      <c r="G5529" s="13"/>
      <c r="H5529" s="13"/>
      <c r="I5529" s="13"/>
      <c r="J5529" s="13"/>
      <c r="K5529" s="15"/>
      <c r="L5529" s="15"/>
      <c r="M5529" s="16"/>
      <c r="N5529" s="16"/>
      <c r="O5529" s="17"/>
      <c r="P5529" s="17"/>
      <c r="Q5529" s="13"/>
      <c r="R5529" s="13"/>
      <c r="S5529" s="13"/>
      <c r="T5529" s="13"/>
      <c r="U5529" s="13"/>
      <c r="V5529" s="13"/>
      <c r="W5529" s="13"/>
      <c r="X5529" s="13"/>
      <c r="Y5529" s="13"/>
      <c r="Z5529" s="13"/>
      <c r="AA5529" s="13"/>
      <c r="AB5529" s="13"/>
      <c r="AC5529" s="13"/>
      <c r="AD5529" s="13"/>
      <c r="AE5529" s="13"/>
      <c r="AF5529" s="13"/>
      <c r="AG5529" s="13"/>
      <c r="AH5529" s="13"/>
      <c r="AI5529" s="13"/>
      <c r="AJ5529" s="13"/>
      <c r="AK5529" s="13"/>
      <c r="AL5529" s="13"/>
      <c r="AM5529" s="13"/>
      <c r="AN5529" s="13"/>
      <c r="AO5529" s="13"/>
      <c r="AP5529" s="13"/>
      <c r="AQ5529" s="13"/>
      <c r="AR5529" s="13"/>
      <c r="AS5529" s="13"/>
    </row>
    <row r="5530" ht="14.25" customHeight="1">
      <c r="A5530" s="13"/>
      <c r="B5530" s="13"/>
      <c r="C5530" s="13"/>
      <c r="D5530" s="13"/>
      <c r="E5530" s="13"/>
      <c r="F5530" s="13"/>
      <c r="G5530" s="13"/>
      <c r="H5530" s="13"/>
      <c r="I5530" s="13"/>
      <c r="J5530" s="13"/>
      <c r="K5530" s="15"/>
      <c r="L5530" s="15"/>
      <c r="M5530" s="16"/>
      <c r="N5530" s="16"/>
      <c r="O5530" s="17"/>
      <c r="P5530" s="17"/>
      <c r="Q5530" s="13"/>
      <c r="R5530" s="13"/>
      <c r="S5530" s="13"/>
      <c r="T5530" s="13"/>
      <c r="U5530" s="13"/>
      <c r="V5530" s="13"/>
      <c r="W5530" s="13"/>
      <c r="X5530" s="13"/>
      <c r="Y5530" s="13"/>
      <c r="Z5530" s="13"/>
      <c r="AA5530" s="13"/>
      <c r="AB5530" s="13"/>
      <c r="AC5530" s="13"/>
      <c r="AD5530" s="13"/>
      <c r="AE5530" s="13"/>
      <c r="AF5530" s="13"/>
      <c r="AG5530" s="13"/>
      <c r="AH5530" s="13"/>
      <c r="AI5530" s="13"/>
      <c r="AJ5530" s="13"/>
      <c r="AK5530" s="13"/>
      <c r="AL5530" s="13"/>
      <c r="AM5530" s="13"/>
      <c r="AN5530" s="13"/>
      <c r="AO5530" s="13"/>
      <c r="AP5530" s="13"/>
      <c r="AQ5530" s="13"/>
      <c r="AR5530" s="13"/>
      <c r="AS5530" s="13"/>
    </row>
    <row r="5531" ht="14.25" customHeight="1">
      <c r="A5531" s="13"/>
      <c r="B5531" s="13"/>
      <c r="C5531" s="13"/>
      <c r="D5531" s="13"/>
      <c r="E5531" s="13"/>
      <c r="F5531" s="13"/>
      <c r="G5531" s="13"/>
      <c r="H5531" s="13"/>
      <c r="I5531" s="13"/>
      <c r="J5531" s="13"/>
      <c r="K5531" s="15"/>
      <c r="L5531" s="15"/>
      <c r="M5531" s="16"/>
      <c r="N5531" s="16"/>
      <c r="O5531" s="17"/>
      <c r="P5531" s="17"/>
      <c r="Q5531" s="13"/>
      <c r="R5531" s="13"/>
      <c r="S5531" s="13"/>
      <c r="T5531" s="13"/>
      <c r="U5531" s="13"/>
      <c r="V5531" s="13"/>
      <c r="W5531" s="13"/>
      <c r="X5531" s="13"/>
      <c r="Y5531" s="13"/>
      <c r="Z5531" s="13"/>
      <c r="AA5531" s="13"/>
      <c r="AB5531" s="13"/>
      <c r="AC5531" s="13"/>
      <c r="AD5531" s="13"/>
      <c r="AE5531" s="13"/>
      <c r="AF5531" s="13"/>
      <c r="AG5531" s="13"/>
      <c r="AH5531" s="13"/>
      <c r="AI5531" s="13"/>
      <c r="AJ5531" s="13"/>
      <c r="AK5531" s="13"/>
      <c r="AL5531" s="13"/>
      <c r="AM5531" s="13"/>
      <c r="AN5531" s="13"/>
      <c r="AO5531" s="13"/>
      <c r="AP5531" s="13"/>
      <c r="AQ5531" s="13"/>
      <c r="AR5531" s="13"/>
      <c r="AS5531" s="13"/>
    </row>
    <row r="5532" ht="14.25" customHeight="1">
      <c r="A5532" s="13"/>
      <c r="B5532" s="13"/>
      <c r="C5532" s="13"/>
      <c r="D5532" s="13"/>
      <c r="E5532" s="13"/>
      <c r="F5532" s="13"/>
      <c r="G5532" s="13"/>
      <c r="H5532" s="13"/>
      <c r="I5532" s="13"/>
      <c r="J5532" s="13"/>
      <c r="K5532" s="15"/>
      <c r="L5532" s="15"/>
      <c r="M5532" s="16"/>
      <c r="N5532" s="16"/>
      <c r="O5532" s="17"/>
      <c r="P5532" s="17"/>
      <c r="Q5532" s="13"/>
      <c r="R5532" s="13"/>
      <c r="S5532" s="13"/>
      <c r="T5532" s="13"/>
      <c r="U5532" s="13"/>
      <c r="V5532" s="13"/>
      <c r="W5532" s="13"/>
      <c r="X5532" s="13"/>
      <c r="Y5532" s="13"/>
      <c r="Z5532" s="13"/>
      <c r="AA5532" s="13"/>
      <c r="AB5532" s="13"/>
      <c r="AC5532" s="13"/>
      <c r="AD5532" s="13"/>
      <c r="AE5532" s="13"/>
      <c r="AF5532" s="13"/>
      <c r="AG5532" s="13"/>
      <c r="AH5532" s="13"/>
      <c r="AI5532" s="13"/>
      <c r="AJ5532" s="13"/>
      <c r="AK5532" s="13"/>
      <c r="AL5532" s="13"/>
      <c r="AM5532" s="13"/>
      <c r="AN5532" s="13"/>
      <c r="AO5532" s="13"/>
      <c r="AP5532" s="13"/>
      <c r="AQ5532" s="13"/>
      <c r="AR5532" s="13"/>
      <c r="AS5532" s="13"/>
    </row>
    <row r="5533" ht="14.25" customHeight="1">
      <c r="A5533" s="13"/>
      <c r="B5533" s="13"/>
      <c r="C5533" s="13"/>
      <c r="D5533" s="13"/>
      <c r="E5533" s="13"/>
      <c r="F5533" s="13"/>
      <c r="G5533" s="13"/>
      <c r="H5533" s="13"/>
      <c r="I5533" s="13"/>
      <c r="J5533" s="13"/>
      <c r="K5533" s="15"/>
      <c r="L5533" s="15"/>
      <c r="M5533" s="16"/>
      <c r="N5533" s="16"/>
      <c r="O5533" s="17"/>
      <c r="P5533" s="17"/>
      <c r="Q5533" s="13"/>
      <c r="R5533" s="13"/>
      <c r="S5533" s="13"/>
      <c r="T5533" s="13"/>
      <c r="U5533" s="13"/>
      <c r="V5533" s="13"/>
      <c r="W5533" s="13"/>
      <c r="X5533" s="13"/>
      <c r="Y5533" s="13"/>
      <c r="Z5533" s="13"/>
      <c r="AA5533" s="13"/>
      <c r="AB5533" s="13"/>
      <c r="AC5533" s="13"/>
      <c r="AD5533" s="13"/>
      <c r="AE5533" s="13"/>
      <c r="AF5533" s="13"/>
      <c r="AG5533" s="13"/>
      <c r="AH5533" s="13"/>
      <c r="AI5533" s="13"/>
      <c r="AJ5533" s="13"/>
      <c r="AK5533" s="13"/>
      <c r="AL5533" s="13"/>
      <c r="AM5533" s="13"/>
      <c r="AN5533" s="13"/>
      <c r="AO5533" s="13"/>
      <c r="AP5533" s="13"/>
      <c r="AQ5533" s="13"/>
      <c r="AR5533" s="13"/>
      <c r="AS5533" s="13"/>
    </row>
    <row r="5534" ht="14.25" customHeight="1">
      <c r="A5534" s="13"/>
      <c r="B5534" s="13"/>
      <c r="C5534" s="13"/>
      <c r="D5534" s="13"/>
      <c r="E5534" s="13"/>
      <c r="F5534" s="13"/>
      <c r="G5534" s="13"/>
      <c r="H5534" s="13"/>
      <c r="I5534" s="13"/>
      <c r="J5534" s="13"/>
      <c r="K5534" s="15"/>
      <c r="L5534" s="15"/>
      <c r="M5534" s="16"/>
      <c r="N5534" s="16"/>
      <c r="O5534" s="17"/>
      <c r="P5534" s="17"/>
      <c r="Q5534" s="13"/>
      <c r="R5534" s="13"/>
      <c r="S5534" s="13"/>
      <c r="T5534" s="13"/>
      <c r="U5534" s="13"/>
      <c r="V5534" s="13"/>
      <c r="W5534" s="13"/>
      <c r="X5534" s="13"/>
      <c r="Y5534" s="13"/>
      <c r="Z5534" s="13"/>
      <c r="AA5534" s="13"/>
      <c r="AB5534" s="13"/>
      <c r="AC5534" s="13"/>
      <c r="AD5534" s="13"/>
      <c r="AE5534" s="13"/>
      <c r="AF5534" s="13"/>
      <c r="AG5534" s="13"/>
      <c r="AH5534" s="13"/>
      <c r="AI5534" s="13"/>
      <c r="AJ5534" s="13"/>
      <c r="AK5534" s="13"/>
      <c r="AL5534" s="13"/>
      <c r="AM5534" s="13"/>
      <c r="AN5534" s="13"/>
      <c r="AO5534" s="13"/>
      <c r="AP5534" s="13"/>
      <c r="AQ5534" s="13"/>
      <c r="AR5534" s="13"/>
      <c r="AS5534" s="13"/>
    </row>
    <row r="5535" ht="14.25" customHeight="1">
      <c r="A5535" s="13"/>
      <c r="B5535" s="13"/>
      <c r="C5535" s="13"/>
      <c r="D5535" s="13"/>
      <c r="E5535" s="13"/>
      <c r="F5535" s="13"/>
      <c r="G5535" s="13"/>
      <c r="H5535" s="13"/>
      <c r="I5535" s="13"/>
      <c r="J5535" s="13"/>
      <c r="K5535" s="15"/>
      <c r="L5535" s="15"/>
      <c r="M5535" s="16"/>
      <c r="N5535" s="16"/>
      <c r="O5535" s="17"/>
      <c r="P5535" s="17"/>
      <c r="Q5535" s="13"/>
      <c r="R5535" s="13"/>
      <c r="S5535" s="13"/>
      <c r="T5535" s="13"/>
      <c r="U5535" s="13"/>
      <c r="V5535" s="13"/>
      <c r="W5535" s="13"/>
      <c r="X5535" s="13"/>
      <c r="Y5535" s="13"/>
      <c r="Z5535" s="13"/>
      <c r="AA5535" s="13"/>
      <c r="AB5535" s="13"/>
      <c r="AC5535" s="13"/>
      <c r="AD5535" s="13"/>
      <c r="AE5535" s="13"/>
      <c r="AF5535" s="13"/>
      <c r="AG5535" s="13"/>
      <c r="AH5535" s="13"/>
      <c r="AI5535" s="13"/>
      <c r="AJ5535" s="13"/>
      <c r="AK5535" s="13"/>
      <c r="AL5535" s="13"/>
      <c r="AM5535" s="13"/>
      <c r="AN5535" s="13"/>
      <c r="AO5535" s="13"/>
      <c r="AP5535" s="13"/>
      <c r="AQ5535" s="13"/>
      <c r="AR5535" s="13"/>
      <c r="AS5535" s="13"/>
    </row>
    <row r="5536" ht="14.25" customHeight="1">
      <c r="A5536" s="13"/>
      <c r="B5536" s="13"/>
      <c r="C5536" s="13"/>
      <c r="D5536" s="13"/>
      <c r="E5536" s="13"/>
      <c r="F5536" s="13"/>
      <c r="G5536" s="13"/>
      <c r="H5536" s="13"/>
      <c r="I5536" s="13"/>
      <c r="J5536" s="13"/>
      <c r="K5536" s="15"/>
      <c r="L5536" s="15"/>
      <c r="M5536" s="16"/>
      <c r="N5536" s="16"/>
      <c r="O5536" s="17"/>
      <c r="P5536" s="17"/>
      <c r="Q5536" s="13"/>
      <c r="R5536" s="13"/>
      <c r="S5536" s="13"/>
      <c r="T5536" s="13"/>
      <c r="U5536" s="13"/>
      <c r="V5536" s="13"/>
      <c r="W5536" s="13"/>
      <c r="X5536" s="13"/>
      <c r="Y5536" s="13"/>
      <c r="Z5536" s="13"/>
      <c r="AA5536" s="13"/>
      <c r="AB5536" s="13"/>
      <c r="AC5536" s="13"/>
      <c r="AD5536" s="13"/>
      <c r="AE5536" s="13"/>
      <c r="AF5536" s="13"/>
      <c r="AG5536" s="13"/>
      <c r="AH5536" s="13"/>
      <c r="AI5536" s="13"/>
      <c r="AJ5536" s="13"/>
      <c r="AK5536" s="13"/>
      <c r="AL5536" s="13"/>
      <c r="AM5536" s="13"/>
      <c r="AN5536" s="13"/>
      <c r="AO5536" s="13"/>
      <c r="AP5536" s="13"/>
      <c r="AQ5536" s="13"/>
      <c r="AR5536" s="13"/>
      <c r="AS5536" s="13"/>
    </row>
    <row r="5537" ht="14.25" customHeight="1">
      <c r="A5537" s="13"/>
      <c r="B5537" s="13"/>
      <c r="C5537" s="13"/>
      <c r="D5537" s="13"/>
      <c r="E5537" s="13"/>
      <c r="F5537" s="13"/>
      <c r="G5537" s="13"/>
      <c r="H5537" s="13"/>
      <c r="I5537" s="13"/>
      <c r="J5537" s="13"/>
      <c r="K5537" s="15"/>
      <c r="L5537" s="15"/>
      <c r="M5537" s="16"/>
      <c r="N5537" s="16"/>
      <c r="O5537" s="17"/>
      <c r="P5537" s="17"/>
      <c r="Q5537" s="13"/>
      <c r="R5537" s="13"/>
      <c r="S5537" s="13"/>
      <c r="T5537" s="13"/>
      <c r="U5537" s="13"/>
      <c r="V5537" s="13"/>
      <c r="W5537" s="13"/>
      <c r="X5537" s="13"/>
      <c r="Y5537" s="13"/>
      <c r="Z5537" s="13"/>
      <c r="AA5537" s="13"/>
      <c r="AB5537" s="13"/>
      <c r="AC5537" s="13"/>
      <c r="AD5537" s="13"/>
      <c r="AE5537" s="13"/>
      <c r="AF5537" s="13"/>
      <c r="AG5537" s="13"/>
      <c r="AH5537" s="13"/>
      <c r="AI5537" s="13"/>
      <c r="AJ5537" s="13"/>
      <c r="AK5537" s="13"/>
      <c r="AL5537" s="13"/>
      <c r="AM5537" s="13"/>
      <c r="AN5537" s="13"/>
      <c r="AO5537" s="13"/>
      <c r="AP5537" s="13"/>
      <c r="AQ5537" s="13"/>
      <c r="AR5537" s="13"/>
      <c r="AS5537" s="13"/>
    </row>
    <row r="5538" ht="14.25" customHeight="1">
      <c r="A5538" s="13"/>
      <c r="B5538" s="13"/>
      <c r="C5538" s="13"/>
      <c r="D5538" s="13"/>
      <c r="E5538" s="13"/>
      <c r="F5538" s="13"/>
      <c r="G5538" s="13"/>
      <c r="H5538" s="13"/>
      <c r="I5538" s="13"/>
      <c r="J5538" s="13"/>
      <c r="K5538" s="15"/>
      <c r="L5538" s="15"/>
      <c r="M5538" s="16"/>
      <c r="N5538" s="16"/>
      <c r="O5538" s="17"/>
      <c r="P5538" s="17"/>
      <c r="Q5538" s="13"/>
      <c r="R5538" s="13"/>
      <c r="S5538" s="13"/>
      <c r="T5538" s="13"/>
      <c r="U5538" s="13"/>
      <c r="V5538" s="13"/>
      <c r="W5538" s="13"/>
      <c r="X5538" s="13"/>
      <c r="Y5538" s="13"/>
      <c r="Z5538" s="13"/>
      <c r="AA5538" s="13"/>
      <c r="AB5538" s="13"/>
      <c r="AC5538" s="13"/>
      <c r="AD5538" s="13"/>
      <c r="AE5538" s="13"/>
      <c r="AF5538" s="13"/>
      <c r="AG5538" s="13"/>
      <c r="AH5538" s="13"/>
      <c r="AI5538" s="13"/>
      <c r="AJ5538" s="13"/>
      <c r="AK5538" s="13"/>
      <c r="AL5538" s="13"/>
      <c r="AM5538" s="13"/>
      <c r="AN5538" s="13"/>
      <c r="AO5538" s="13"/>
      <c r="AP5538" s="13"/>
      <c r="AQ5538" s="13"/>
      <c r="AR5538" s="13"/>
      <c r="AS5538" s="13"/>
    </row>
    <row r="5539" ht="14.25" customHeight="1">
      <c r="A5539" s="13"/>
      <c r="B5539" s="13"/>
      <c r="C5539" s="13"/>
      <c r="D5539" s="13"/>
      <c r="E5539" s="13"/>
      <c r="F5539" s="13"/>
      <c r="G5539" s="13"/>
      <c r="H5539" s="13"/>
      <c r="I5539" s="13"/>
      <c r="J5539" s="13"/>
      <c r="K5539" s="15"/>
      <c r="L5539" s="15"/>
      <c r="M5539" s="16"/>
      <c r="N5539" s="16"/>
      <c r="O5539" s="17"/>
      <c r="P5539" s="17"/>
      <c r="Q5539" s="13"/>
      <c r="R5539" s="13"/>
      <c r="S5539" s="13"/>
      <c r="T5539" s="13"/>
      <c r="U5539" s="13"/>
      <c r="V5539" s="13"/>
      <c r="W5539" s="13"/>
      <c r="X5539" s="13"/>
      <c r="Y5539" s="13"/>
      <c r="Z5539" s="13"/>
      <c r="AA5539" s="13"/>
      <c r="AB5539" s="13"/>
      <c r="AC5539" s="13"/>
      <c r="AD5539" s="13"/>
      <c r="AE5539" s="13"/>
      <c r="AF5539" s="13"/>
      <c r="AG5539" s="13"/>
      <c r="AH5539" s="13"/>
      <c r="AI5539" s="13"/>
      <c r="AJ5539" s="13"/>
      <c r="AK5539" s="13"/>
      <c r="AL5539" s="13"/>
      <c r="AM5539" s="13"/>
      <c r="AN5539" s="13"/>
      <c r="AO5539" s="13"/>
      <c r="AP5539" s="13"/>
      <c r="AQ5539" s="13"/>
      <c r="AR5539" s="13"/>
      <c r="AS5539" s="13"/>
    </row>
    <row r="5540" ht="14.25" customHeight="1">
      <c r="A5540" s="13"/>
      <c r="B5540" s="13"/>
      <c r="C5540" s="13"/>
      <c r="D5540" s="13"/>
      <c r="E5540" s="13"/>
      <c r="F5540" s="13"/>
      <c r="G5540" s="13"/>
      <c r="H5540" s="13"/>
      <c r="I5540" s="13"/>
      <c r="J5540" s="13"/>
      <c r="K5540" s="15"/>
      <c r="L5540" s="15"/>
      <c r="M5540" s="16"/>
      <c r="N5540" s="16"/>
      <c r="O5540" s="17"/>
      <c r="P5540" s="17"/>
      <c r="Q5540" s="13"/>
      <c r="R5540" s="13"/>
      <c r="S5540" s="13"/>
      <c r="T5540" s="13"/>
      <c r="U5540" s="13"/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F5540" s="13"/>
      <c r="AG5540" s="13"/>
      <c r="AH5540" s="13"/>
      <c r="AI5540" s="13"/>
      <c r="AJ5540" s="13"/>
      <c r="AK5540" s="13"/>
      <c r="AL5540" s="13"/>
      <c r="AM5540" s="13"/>
      <c r="AN5540" s="13"/>
      <c r="AO5540" s="13"/>
      <c r="AP5540" s="13"/>
      <c r="AQ5540" s="13"/>
      <c r="AR5540" s="13"/>
      <c r="AS5540" s="13"/>
    </row>
    <row r="5541" ht="14.25" customHeight="1">
      <c r="A5541" s="13"/>
      <c r="B5541" s="13"/>
      <c r="C5541" s="13"/>
      <c r="D5541" s="13"/>
      <c r="E5541" s="13"/>
      <c r="F5541" s="13"/>
      <c r="G5541" s="13"/>
      <c r="H5541" s="13"/>
      <c r="I5541" s="13"/>
      <c r="J5541" s="13"/>
      <c r="K5541" s="15"/>
      <c r="L5541" s="15"/>
      <c r="M5541" s="16"/>
      <c r="N5541" s="16"/>
      <c r="O5541" s="17"/>
      <c r="P5541" s="17"/>
      <c r="Q5541" s="13"/>
      <c r="R5541" s="13"/>
      <c r="S5541" s="13"/>
      <c r="T5541" s="13"/>
      <c r="U5541" s="13"/>
      <c r="V5541" s="13"/>
      <c r="W5541" s="13"/>
      <c r="X5541" s="13"/>
      <c r="Y5541" s="13"/>
      <c r="Z5541" s="13"/>
      <c r="AA5541" s="13"/>
      <c r="AB5541" s="13"/>
      <c r="AC5541" s="13"/>
      <c r="AD5541" s="13"/>
      <c r="AE5541" s="13"/>
      <c r="AF5541" s="13"/>
      <c r="AG5541" s="13"/>
      <c r="AH5541" s="13"/>
      <c r="AI5541" s="13"/>
      <c r="AJ5541" s="13"/>
      <c r="AK5541" s="13"/>
      <c r="AL5541" s="13"/>
      <c r="AM5541" s="13"/>
      <c r="AN5541" s="13"/>
      <c r="AO5541" s="13"/>
      <c r="AP5541" s="13"/>
      <c r="AQ5541" s="13"/>
      <c r="AR5541" s="13"/>
      <c r="AS5541" s="13"/>
    </row>
    <row r="5542" ht="14.25" customHeight="1">
      <c r="A5542" s="13"/>
      <c r="B5542" s="13"/>
      <c r="C5542" s="13"/>
      <c r="D5542" s="13"/>
      <c r="E5542" s="13"/>
      <c r="F5542" s="13"/>
      <c r="G5542" s="13"/>
      <c r="H5542" s="13"/>
      <c r="I5542" s="13"/>
      <c r="J5542" s="13"/>
      <c r="K5542" s="15"/>
      <c r="L5542" s="15"/>
      <c r="M5542" s="16"/>
      <c r="N5542" s="16"/>
      <c r="O5542" s="17"/>
      <c r="P5542" s="17"/>
      <c r="Q5542" s="13"/>
      <c r="R5542" s="13"/>
      <c r="S5542" s="13"/>
      <c r="T5542" s="13"/>
      <c r="U5542" s="13"/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F5542" s="13"/>
      <c r="AG5542" s="13"/>
      <c r="AH5542" s="13"/>
      <c r="AI5542" s="13"/>
      <c r="AJ5542" s="13"/>
      <c r="AK5542" s="13"/>
      <c r="AL5542" s="13"/>
      <c r="AM5542" s="13"/>
      <c r="AN5542" s="13"/>
      <c r="AO5542" s="13"/>
      <c r="AP5542" s="13"/>
      <c r="AQ5542" s="13"/>
      <c r="AR5542" s="13"/>
      <c r="AS5542" s="13"/>
    </row>
    <row r="5543" ht="14.25" customHeight="1">
      <c r="A5543" s="13"/>
      <c r="B5543" s="13"/>
      <c r="C5543" s="13"/>
      <c r="D5543" s="13"/>
      <c r="E5543" s="13"/>
      <c r="F5543" s="13"/>
      <c r="G5543" s="13"/>
      <c r="H5543" s="13"/>
      <c r="I5543" s="13"/>
      <c r="J5543" s="13"/>
      <c r="K5543" s="15"/>
      <c r="L5543" s="15"/>
      <c r="M5543" s="16"/>
      <c r="N5543" s="16"/>
      <c r="O5543" s="17"/>
      <c r="P5543" s="17"/>
      <c r="Q5543" s="13"/>
      <c r="R5543" s="13"/>
      <c r="S5543" s="13"/>
      <c r="T5543" s="13"/>
      <c r="U5543" s="13"/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13"/>
      <c r="AG5543" s="13"/>
      <c r="AH5543" s="13"/>
      <c r="AI5543" s="13"/>
      <c r="AJ5543" s="13"/>
      <c r="AK5543" s="13"/>
      <c r="AL5543" s="13"/>
      <c r="AM5543" s="13"/>
      <c r="AN5543" s="13"/>
      <c r="AO5543" s="13"/>
      <c r="AP5543" s="13"/>
      <c r="AQ5543" s="13"/>
      <c r="AR5543" s="13"/>
      <c r="AS5543" s="13"/>
    </row>
    <row r="5544" ht="14.25" customHeight="1">
      <c r="A5544" s="13"/>
      <c r="B5544" s="13"/>
      <c r="C5544" s="13"/>
      <c r="D5544" s="13"/>
      <c r="E5544" s="13"/>
      <c r="F5544" s="13"/>
      <c r="G5544" s="13"/>
      <c r="H5544" s="13"/>
      <c r="I5544" s="13"/>
      <c r="J5544" s="13"/>
      <c r="K5544" s="15"/>
      <c r="L5544" s="15"/>
      <c r="M5544" s="16"/>
      <c r="N5544" s="16"/>
      <c r="O5544" s="17"/>
      <c r="P5544" s="17"/>
      <c r="Q5544" s="13"/>
      <c r="R5544" s="13"/>
      <c r="S5544" s="13"/>
      <c r="T5544" s="13"/>
      <c r="U5544" s="13"/>
      <c r="V5544" s="13"/>
      <c r="W5544" s="13"/>
      <c r="X5544" s="13"/>
      <c r="Y5544" s="13"/>
      <c r="Z5544" s="13"/>
      <c r="AA5544" s="13"/>
      <c r="AB5544" s="13"/>
      <c r="AC5544" s="13"/>
      <c r="AD5544" s="13"/>
      <c r="AE5544" s="13"/>
      <c r="AF5544" s="13"/>
      <c r="AG5544" s="13"/>
      <c r="AH5544" s="13"/>
      <c r="AI5544" s="13"/>
      <c r="AJ5544" s="13"/>
      <c r="AK5544" s="13"/>
      <c r="AL5544" s="13"/>
      <c r="AM5544" s="13"/>
      <c r="AN5544" s="13"/>
      <c r="AO5544" s="13"/>
      <c r="AP5544" s="13"/>
      <c r="AQ5544" s="13"/>
      <c r="AR5544" s="13"/>
      <c r="AS5544" s="13"/>
    </row>
    <row r="5545" ht="14.25" customHeight="1">
      <c r="A5545" s="13"/>
      <c r="B5545" s="13"/>
      <c r="C5545" s="13"/>
      <c r="D5545" s="13"/>
      <c r="E5545" s="13"/>
      <c r="F5545" s="13"/>
      <c r="G5545" s="13"/>
      <c r="H5545" s="13"/>
      <c r="I5545" s="13"/>
      <c r="J5545" s="13"/>
      <c r="K5545" s="15"/>
      <c r="L5545" s="15"/>
      <c r="M5545" s="16"/>
      <c r="N5545" s="16"/>
      <c r="O5545" s="17"/>
      <c r="P5545" s="17"/>
      <c r="Q5545" s="13"/>
      <c r="R5545" s="13"/>
      <c r="S5545" s="13"/>
      <c r="T5545" s="13"/>
      <c r="U5545" s="13"/>
      <c r="V5545" s="13"/>
      <c r="W5545" s="13"/>
      <c r="X5545" s="13"/>
      <c r="Y5545" s="13"/>
      <c r="Z5545" s="13"/>
      <c r="AA5545" s="13"/>
      <c r="AB5545" s="13"/>
      <c r="AC5545" s="13"/>
      <c r="AD5545" s="13"/>
      <c r="AE5545" s="13"/>
      <c r="AF5545" s="13"/>
      <c r="AG5545" s="13"/>
      <c r="AH5545" s="13"/>
      <c r="AI5545" s="13"/>
      <c r="AJ5545" s="13"/>
      <c r="AK5545" s="13"/>
      <c r="AL5545" s="13"/>
      <c r="AM5545" s="13"/>
      <c r="AN5545" s="13"/>
      <c r="AO5545" s="13"/>
      <c r="AP5545" s="13"/>
      <c r="AQ5545" s="13"/>
      <c r="AR5545" s="13"/>
      <c r="AS5545" s="13"/>
    </row>
    <row r="5546" ht="14.25" customHeight="1">
      <c r="A5546" s="13"/>
      <c r="B5546" s="13"/>
      <c r="C5546" s="13"/>
      <c r="D5546" s="13"/>
      <c r="E5546" s="13"/>
      <c r="F5546" s="13"/>
      <c r="G5546" s="13"/>
      <c r="H5546" s="13"/>
      <c r="I5546" s="13"/>
      <c r="J5546" s="13"/>
      <c r="K5546" s="15"/>
      <c r="L5546" s="15"/>
      <c r="M5546" s="16"/>
      <c r="N5546" s="16"/>
      <c r="O5546" s="17"/>
      <c r="P5546" s="17"/>
      <c r="Q5546" s="13"/>
      <c r="R5546" s="13"/>
      <c r="S5546" s="13"/>
      <c r="T5546" s="13"/>
      <c r="U5546" s="13"/>
      <c r="V5546" s="13"/>
      <c r="W5546" s="13"/>
      <c r="X5546" s="13"/>
      <c r="Y5546" s="13"/>
      <c r="Z5546" s="13"/>
      <c r="AA5546" s="13"/>
      <c r="AB5546" s="13"/>
      <c r="AC5546" s="13"/>
      <c r="AD5546" s="13"/>
      <c r="AE5546" s="13"/>
      <c r="AF5546" s="13"/>
      <c r="AG5546" s="13"/>
      <c r="AH5546" s="13"/>
      <c r="AI5546" s="13"/>
      <c r="AJ5546" s="13"/>
      <c r="AK5546" s="13"/>
      <c r="AL5546" s="13"/>
      <c r="AM5546" s="13"/>
      <c r="AN5546" s="13"/>
      <c r="AO5546" s="13"/>
      <c r="AP5546" s="13"/>
      <c r="AQ5546" s="13"/>
      <c r="AR5546" s="13"/>
      <c r="AS5546" s="13"/>
    </row>
    <row r="5547" ht="14.25" customHeight="1">
      <c r="A5547" s="13"/>
      <c r="B5547" s="13"/>
      <c r="C5547" s="13"/>
      <c r="D5547" s="13"/>
      <c r="E5547" s="13"/>
      <c r="F5547" s="13"/>
      <c r="G5547" s="13"/>
      <c r="H5547" s="13"/>
      <c r="I5547" s="13"/>
      <c r="J5547" s="13"/>
      <c r="K5547" s="15"/>
      <c r="L5547" s="15"/>
      <c r="M5547" s="16"/>
      <c r="N5547" s="16"/>
      <c r="O5547" s="17"/>
      <c r="P5547" s="17"/>
      <c r="Q5547" s="13"/>
      <c r="R5547" s="13"/>
      <c r="S5547" s="13"/>
      <c r="T5547" s="13"/>
      <c r="U5547" s="13"/>
      <c r="V5547" s="13"/>
      <c r="W5547" s="13"/>
      <c r="X5547" s="13"/>
      <c r="Y5547" s="13"/>
      <c r="Z5547" s="13"/>
      <c r="AA5547" s="13"/>
      <c r="AB5547" s="13"/>
      <c r="AC5547" s="13"/>
      <c r="AD5547" s="13"/>
      <c r="AE5547" s="13"/>
      <c r="AF5547" s="13"/>
      <c r="AG5547" s="13"/>
      <c r="AH5547" s="13"/>
      <c r="AI5547" s="13"/>
      <c r="AJ5547" s="13"/>
      <c r="AK5547" s="13"/>
      <c r="AL5547" s="13"/>
      <c r="AM5547" s="13"/>
      <c r="AN5547" s="13"/>
      <c r="AO5547" s="13"/>
      <c r="AP5547" s="13"/>
      <c r="AQ5547" s="13"/>
      <c r="AR5547" s="13"/>
      <c r="AS5547" s="13"/>
    </row>
    <row r="5548" ht="14.25" customHeight="1">
      <c r="A5548" s="13"/>
      <c r="B5548" s="13"/>
      <c r="C5548" s="13"/>
      <c r="D5548" s="13"/>
      <c r="E5548" s="13"/>
      <c r="F5548" s="13"/>
      <c r="G5548" s="13"/>
      <c r="H5548" s="13"/>
      <c r="I5548" s="13"/>
      <c r="J5548" s="13"/>
      <c r="K5548" s="15"/>
      <c r="L5548" s="15"/>
      <c r="M5548" s="16"/>
      <c r="N5548" s="16"/>
      <c r="O5548" s="17"/>
      <c r="P5548" s="17"/>
      <c r="Q5548" s="13"/>
      <c r="R5548" s="13"/>
      <c r="S5548" s="13"/>
      <c r="T5548" s="13"/>
      <c r="U5548" s="13"/>
      <c r="V5548" s="13"/>
      <c r="W5548" s="13"/>
      <c r="X5548" s="13"/>
      <c r="Y5548" s="13"/>
      <c r="Z5548" s="13"/>
      <c r="AA5548" s="13"/>
      <c r="AB5548" s="13"/>
      <c r="AC5548" s="13"/>
      <c r="AD5548" s="13"/>
      <c r="AE5548" s="13"/>
      <c r="AF5548" s="13"/>
      <c r="AG5548" s="13"/>
      <c r="AH5548" s="13"/>
      <c r="AI5548" s="13"/>
      <c r="AJ5548" s="13"/>
      <c r="AK5548" s="13"/>
      <c r="AL5548" s="13"/>
      <c r="AM5548" s="13"/>
      <c r="AN5548" s="13"/>
      <c r="AO5548" s="13"/>
      <c r="AP5548" s="13"/>
      <c r="AQ5548" s="13"/>
      <c r="AR5548" s="13"/>
      <c r="AS5548" s="13"/>
    </row>
    <row r="5549" ht="14.25" customHeight="1">
      <c r="A5549" s="13"/>
      <c r="B5549" s="13"/>
      <c r="C5549" s="13"/>
      <c r="D5549" s="13"/>
      <c r="E5549" s="13"/>
      <c r="F5549" s="13"/>
      <c r="G5549" s="13"/>
      <c r="H5549" s="13"/>
      <c r="I5549" s="13"/>
      <c r="J5549" s="13"/>
      <c r="K5549" s="15"/>
      <c r="L5549" s="15"/>
      <c r="M5549" s="16"/>
      <c r="N5549" s="16"/>
      <c r="O5549" s="17"/>
      <c r="P5549" s="17"/>
      <c r="Q5549" s="13"/>
      <c r="R5549" s="13"/>
      <c r="S5549" s="13"/>
      <c r="T5549" s="13"/>
      <c r="U5549" s="13"/>
      <c r="V5549" s="13"/>
      <c r="W5549" s="13"/>
      <c r="X5549" s="13"/>
      <c r="Y5549" s="13"/>
      <c r="Z5549" s="13"/>
      <c r="AA5549" s="13"/>
      <c r="AB5549" s="13"/>
      <c r="AC5549" s="13"/>
      <c r="AD5549" s="13"/>
      <c r="AE5549" s="13"/>
      <c r="AF5549" s="13"/>
      <c r="AG5549" s="13"/>
      <c r="AH5549" s="13"/>
      <c r="AI5549" s="13"/>
      <c r="AJ5549" s="13"/>
      <c r="AK5549" s="13"/>
      <c r="AL5549" s="13"/>
      <c r="AM5549" s="13"/>
      <c r="AN5549" s="13"/>
      <c r="AO5549" s="13"/>
      <c r="AP5549" s="13"/>
      <c r="AQ5549" s="13"/>
      <c r="AR5549" s="13"/>
      <c r="AS5549" s="13"/>
    </row>
    <row r="5550" ht="14.25" customHeight="1">
      <c r="A5550" s="13"/>
      <c r="B5550" s="13"/>
      <c r="C5550" s="13"/>
      <c r="D5550" s="13"/>
      <c r="E5550" s="13"/>
      <c r="F5550" s="13"/>
      <c r="G5550" s="13"/>
      <c r="H5550" s="13"/>
      <c r="I5550" s="13"/>
      <c r="J5550" s="13"/>
      <c r="K5550" s="15"/>
      <c r="L5550" s="15"/>
      <c r="M5550" s="16"/>
      <c r="N5550" s="16"/>
      <c r="O5550" s="17"/>
      <c r="P5550" s="17"/>
      <c r="Q5550" s="13"/>
      <c r="R5550" s="13"/>
      <c r="S5550" s="13"/>
      <c r="T5550" s="13"/>
      <c r="U5550" s="13"/>
      <c r="V5550" s="13"/>
      <c r="W5550" s="13"/>
      <c r="X5550" s="13"/>
      <c r="Y5550" s="13"/>
      <c r="Z5550" s="13"/>
      <c r="AA5550" s="13"/>
      <c r="AB5550" s="13"/>
      <c r="AC5550" s="13"/>
      <c r="AD5550" s="13"/>
      <c r="AE5550" s="13"/>
      <c r="AF5550" s="13"/>
      <c r="AG5550" s="13"/>
      <c r="AH5550" s="13"/>
      <c r="AI5550" s="13"/>
      <c r="AJ5550" s="13"/>
      <c r="AK5550" s="13"/>
      <c r="AL5550" s="13"/>
      <c r="AM5550" s="13"/>
      <c r="AN5550" s="13"/>
      <c r="AO5550" s="13"/>
      <c r="AP5550" s="13"/>
      <c r="AQ5550" s="13"/>
      <c r="AR5550" s="13"/>
      <c r="AS5550" s="13"/>
    </row>
    <row r="5551" ht="14.25" customHeight="1">
      <c r="A5551" s="13"/>
      <c r="B5551" s="13"/>
      <c r="C5551" s="13"/>
      <c r="D5551" s="13"/>
      <c r="E5551" s="13"/>
      <c r="F5551" s="13"/>
      <c r="G5551" s="13"/>
      <c r="H5551" s="13"/>
      <c r="I5551" s="13"/>
      <c r="J5551" s="13"/>
      <c r="K5551" s="15"/>
      <c r="L5551" s="15"/>
      <c r="M5551" s="16"/>
      <c r="N5551" s="16"/>
      <c r="O5551" s="17"/>
      <c r="P5551" s="17"/>
      <c r="Q5551" s="13"/>
      <c r="R5551" s="13"/>
      <c r="S5551" s="13"/>
      <c r="T5551" s="13"/>
      <c r="U5551" s="13"/>
      <c r="V5551" s="13"/>
      <c r="W5551" s="13"/>
      <c r="X5551" s="13"/>
      <c r="Y5551" s="13"/>
      <c r="Z5551" s="13"/>
      <c r="AA5551" s="13"/>
      <c r="AB5551" s="13"/>
      <c r="AC5551" s="13"/>
      <c r="AD5551" s="13"/>
      <c r="AE5551" s="13"/>
      <c r="AF5551" s="13"/>
      <c r="AG5551" s="13"/>
      <c r="AH5551" s="13"/>
      <c r="AI5551" s="13"/>
      <c r="AJ5551" s="13"/>
      <c r="AK5551" s="13"/>
      <c r="AL5551" s="13"/>
      <c r="AM5551" s="13"/>
      <c r="AN5551" s="13"/>
      <c r="AO5551" s="13"/>
      <c r="AP5551" s="13"/>
      <c r="AQ5551" s="13"/>
      <c r="AR5551" s="13"/>
      <c r="AS5551" s="13"/>
    </row>
    <row r="5552" ht="14.25" customHeight="1">
      <c r="A5552" s="13"/>
      <c r="B5552" s="13"/>
      <c r="C5552" s="13"/>
      <c r="D5552" s="13"/>
      <c r="E5552" s="13"/>
      <c r="F5552" s="13"/>
      <c r="G5552" s="13"/>
      <c r="H5552" s="13"/>
      <c r="I5552" s="13"/>
      <c r="J5552" s="13"/>
      <c r="K5552" s="15"/>
      <c r="L5552" s="15"/>
      <c r="M5552" s="16"/>
      <c r="N5552" s="16"/>
      <c r="O5552" s="17"/>
      <c r="P5552" s="17"/>
      <c r="Q5552" s="13"/>
      <c r="R5552" s="13"/>
      <c r="S5552" s="13"/>
      <c r="T5552" s="13"/>
      <c r="U5552" s="13"/>
      <c r="V5552" s="13"/>
      <c r="W5552" s="13"/>
      <c r="X5552" s="13"/>
      <c r="Y5552" s="13"/>
      <c r="Z5552" s="13"/>
      <c r="AA5552" s="13"/>
      <c r="AB5552" s="13"/>
      <c r="AC5552" s="13"/>
      <c r="AD5552" s="13"/>
      <c r="AE5552" s="13"/>
      <c r="AF5552" s="13"/>
      <c r="AG5552" s="13"/>
      <c r="AH5552" s="13"/>
      <c r="AI5552" s="13"/>
      <c r="AJ5552" s="13"/>
      <c r="AK5552" s="13"/>
      <c r="AL5552" s="13"/>
      <c r="AM5552" s="13"/>
      <c r="AN5552" s="13"/>
      <c r="AO5552" s="13"/>
      <c r="AP5552" s="13"/>
      <c r="AQ5552" s="13"/>
      <c r="AR5552" s="13"/>
      <c r="AS5552" s="13"/>
    </row>
    <row r="5553" ht="14.25" customHeight="1">
      <c r="A5553" s="13"/>
      <c r="B5553" s="13"/>
      <c r="C5553" s="13"/>
      <c r="D5553" s="13"/>
      <c r="E5553" s="13"/>
      <c r="F5553" s="13"/>
      <c r="G5553" s="13"/>
      <c r="H5553" s="13"/>
      <c r="I5553" s="13"/>
      <c r="J5553" s="13"/>
      <c r="K5553" s="15"/>
      <c r="L5553" s="15"/>
      <c r="M5553" s="16"/>
      <c r="N5553" s="16"/>
      <c r="O5553" s="17"/>
      <c r="P5553" s="17"/>
      <c r="Q5553" s="13"/>
      <c r="R5553" s="13"/>
      <c r="S5553" s="13"/>
      <c r="T5553" s="13"/>
      <c r="U5553" s="13"/>
      <c r="V5553" s="13"/>
      <c r="W5553" s="13"/>
      <c r="X5553" s="13"/>
      <c r="Y5553" s="13"/>
      <c r="Z5553" s="13"/>
      <c r="AA5553" s="13"/>
      <c r="AB5553" s="13"/>
      <c r="AC5553" s="13"/>
      <c r="AD5553" s="13"/>
      <c r="AE5553" s="13"/>
      <c r="AF5553" s="13"/>
      <c r="AG5553" s="13"/>
      <c r="AH5553" s="13"/>
      <c r="AI5553" s="13"/>
      <c r="AJ5553" s="13"/>
      <c r="AK5553" s="13"/>
      <c r="AL5553" s="13"/>
      <c r="AM5553" s="13"/>
      <c r="AN5553" s="13"/>
      <c r="AO5553" s="13"/>
      <c r="AP5553" s="13"/>
      <c r="AQ5553" s="13"/>
      <c r="AR5553" s="13"/>
      <c r="AS5553" s="13"/>
    </row>
    <row r="5554" ht="14.25" customHeight="1">
      <c r="A5554" s="13"/>
      <c r="B5554" s="13"/>
      <c r="C5554" s="13"/>
      <c r="D5554" s="13"/>
      <c r="E5554" s="13"/>
      <c r="F5554" s="13"/>
      <c r="G5554" s="13"/>
      <c r="H5554" s="13"/>
      <c r="I5554" s="13"/>
      <c r="J5554" s="13"/>
      <c r="K5554" s="15"/>
      <c r="L5554" s="15"/>
      <c r="M5554" s="16"/>
      <c r="N5554" s="16"/>
      <c r="O5554" s="17"/>
      <c r="P5554" s="17"/>
      <c r="Q5554" s="13"/>
      <c r="R5554" s="13"/>
      <c r="S5554" s="13"/>
      <c r="T5554" s="13"/>
      <c r="U5554" s="13"/>
      <c r="V5554" s="13"/>
      <c r="W5554" s="13"/>
      <c r="X5554" s="13"/>
      <c r="Y5554" s="13"/>
      <c r="Z5554" s="13"/>
      <c r="AA5554" s="13"/>
      <c r="AB5554" s="13"/>
      <c r="AC5554" s="13"/>
      <c r="AD5554" s="13"/>
      <c r="AE5554" s="13"/>
      <c r="AF5554" s="13"/>
      <c r="AG5554" s="13"/>
      <c r="AH5554" s="13"/>
      <c r="AI5554" s="13"/>
      <c r="AJ5554" s="13"/>
      <c r="AK5554" s="13"/>
      <c r="AL5554" s="13"/>
      <c r="AM5554" s="13"/>
      <c r="AN5554" s="13"/>
      <c r="AO5554" s="13"/>
      <c r="AP5554" s="13"/>
      <c r="AQ5554" s="13"/>
      <c r="AR5554" s="13"/>
      <c r="AS5554" s="13"/>
    </row>
    <row r="5555" ht="14.25" customHeight="1">
      <c r="A5555" s="13"/>
      <c r="B5555" s="13"/>
      <c r="C5555" s="13"/>
      <c r="D5555" s="13"/>
      <c r="E5555" s="13"/>
      <c r="F5555" s="13"/>
      <c r="G5555" s="13"/>
      <c r="H5555" s="13"/>
      <c r="I5555" s="13"/>
      <c r="J5555" s="13"/>
      <c r="K5555" s="15"/>
      <c r="L5555" s="15"/>
      <c r="M5555" s="16"/>
      <c r="N5555" s="16"/>
      <c r="O5555" s="17"/>
      <c r="P5555" s="17"/>
      <c r="Q5555" s="13"/>
      <c r="R5555" s="13"/>
      <c r="S5555" s="13"/>
      <c r="T5555" s="13"/>
      <c r="U5555" s="13"/>
      <c r="V5555" s="13"/>
      <c r="W5555" s="13"/>
      <c r="X5555" s="13"/>
      <c r="Y5555" s="13"/>
      <c r="Z5555" s="13"/>
      <c r="AA5555" s="13"/>
      <c r="AB5555" s="13"/>
      <c r="AC5555" s="13"/>
      <c r="AD5555" s="13"/>
      <c r="AE5555" s="13"/>
      <c r="AF5555" s="13"/>
      <c r="AG5555" s="13"/>
      <c r="AH5555" s="13"/>
      <c r="AI5555" s="13"/>
      <c r="AJ5555" s="13"/>
      <c r="AK5555" s="13"/>
      <c r="AL5555" s="13"/>
      <c r="AM5555" s="13"/>
      <c r="AN5555" s="13"/>
      <c r="AO5555" s="13"/>
      <c r="AP5555" s="13"/>
      <c r="AQ5555" s="13"/>
      <c r="AR5555" s="13"/>
      <c r="AS5555" s="13"/>
    </row>
    <row r="5556" ht="14.25" customHeight="1">
      <c r="A5556" s="13"/>
      <c r="B5556" s="13"/>
      <c r="C5556" s="13"/>
      <c r="D5556" s="13"/>
      <c r="E5556" s="13"/>
      <c r="F5556" s="13"/>
      <c r="G5556" s="13"/>
      <c r="H5556" s="13"/>
      <c r="I5556" s="13"/>
      <c r="J5556" s="13"/>
      <c r="K5556" s="15"/>
      <c r="L5556" s="15"/>
      <c r="M5556" s="16"/>
      <c r="N5556" s="16"/>
      <c r="O5556" s="17"/>
      <c r="P5556" s="17"/>
      <c r="Q5556" s="13"/>
      <c r="R5556" s="13"/>
      <c r="S5556" s="13"/>
      <c r="T5556" s="13"/>
      <c r="U5556" s="13"/>
      <c r="V5556" s="13"/>
      <c r="W5556" s="13"/>
      <c r="X5556" s="13"/>
      <c r="Y5556" s="13"/>
      <c r="Z5556" s="13"/>
      <c r="AA5556" s="13"/>
      <c r="AB5556" s="13"/>
      <c r="AC5556" s="13"/>
      <c r="AD5556" s="13"/>
      <c r="AE5556" s="13"/>
      <c r="AF5556" s="13"/>
      <c r="AG5556" s="13"/>
      <c r="AH5556" s="13"/>
      <c r="AI5556" s="13"/>
      <c r="AJ5556" s="13"/>
      <c r="AK5556" s="13"/>
      <c r="AL5556" s="13"/>
      <c r="AM5556" s="13"/>
      <c r="AN5556" s="13"/>
      <c r="AO5556" s="13"/>
      <c r="AP5556" s="13"/>
      <c r="AQ5556" s="13"/>
      <c r="AR5556" s="13"/>
      <c r="AS5556" s="13"/>
    </row>
    <row r="5557" ht="14.25" customHeight="1">
      <c r="A5557" s="13"/>
      <c r="B5557" s="13"/>
      <c r="C5557" s="13"/>
      <c r="D5557" s="13"/>
      <c r="E5557" s="13"/>
      <c r="F5557" s="13"/>
      <c r="G5557" s="13"/>
      <c r="H5557" s="13"/>
      <c r="I5557" s="13"/>
      <c r="J5557" s="13"/>
      <c r="K5557" s="15"/>
      <c r="L5557" s="15"/>
      <c r="M5557" s="16"/>
      <c r="N5557" s="16"/>
      <c r="O5557" s="17"/>
      <c r="P5557" s="17"/>
      <c r="Q5557" s="13"/>
      <c r="R5557" s="13"/>
      <c r="S5557" s="13"/>
      <c r="T5557" s="13"/>
      <c r="U5557" s="13"/>
      <c r="V5557" s="13"/>
      <c r="W5557" s="13"/>
      <c r="X5557" s="13"/>
      <c r="Y5557" s="13"/>
      <c r="Z5557" s="13"/>
      <c r="AA5557" s="13"/>
      <c r="AB5557" s="13"/>
      <c r="AC5557" s="13"/>
      <c r="AD5557" s="13"/>
      <c r="AE5557" s="13"/>
      <c r="AF5557" s="13"/>
      <c r="AG5557" s="13"/>
      <c r="AH5557" s="13"/>
      <c r="AI5557" s="13"/>
      <c r="AJ5557" s="13"/>
      <c r="AK5557" s="13"/>
      <c r="AL5557" s="13"/>
      <c r="AM5557" s="13"/>
      <c r="AN5557" s="13"/>
      <c r="AO5557" s="13"/>
      <c r="AP5557" s="13"/>
      <c r="AQ5557" s="13"/>
      <c r="AR5557" s="13"/>
      <c r="AS5557" s="13"/>
    </row>
    <row r="5558" ht="14.25" customHeight="1">
      <c r="A5558" s="13"/>
      <c r="B5558" s="13"/>
      <c r="C5558" s="13"/>
      <c r="D5558" s="13"/>
      <c r="E5558" s="13"/>
      <c r="F5558" s="13"/>
      <c r="G5558" s="13"/>
      <c r="H5558" s="13"/>
      <c r="I5558" s="13"/>
      <c r="J5558" s="13"/>
      <c r="K5558" s="15"/>
      <c r="L5558" s="15"/>
      <c r="M5558" s="16"/>
      <c r="N5558" s="16"/>
      <c r="O5558" s="17"/>
      <c r="P5558" s="17"/>
      <c r="Q5558" s="13"/>
      <c r="R5558" s="13"/>
      <c r="S5558" s="13"/>
      <c r="T5558" s="13"/>
      <c r="U5558" s="13"/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F5558" s="13"/>
      <c r="AG5558" s="13"/>
      <c r="AH5558" s="13"/>
      <c r="AI5558" s="13"/>
      <c r="AJ5558" s="13"/>
      <c r="AK5558" s="13"/>
      <c r="AL5558" s="13"/>
      <c r="AM5558" s="13"/>
      <c r="AN5558" s="13"/>
      <c r="AO5558" s="13"/>
      <c r="AP5558" s="13"/>
      <c r="AQ5558" s="13"/>
      <c r="AR5558" s="13"/>
      <c r="AS5558" s="13"/>
    </row>
    <row r="5559" ht="14.25" customHeight="1">
      <c r="A5559" s="13"/>
      <c r="B5559" s="13"/>
      <c r="C5559" s="13"/>
      <c r="D5559" s="13"/>
      <c r="E5559" s="13"/>
      <c r="F5559" s="13"/>
      <c r="G5559" s="13"/>
      <c r="H5559" s="13"/>
      <c r="I5559" s="13"/>
      <c r="J5559" s="13"/>
      <c r="K5559" s="15"/>
      <c r="L5559" s="15"/>
      <c r="M5559" s="16"/>
      <c r="N5559" s="16"/>
      <c r="O5559" s="17"/>
      <c r="P5559" s="17"/>
      <c r="Q5559" s="13"/>
      <c r="R5559" s="13"/>
      <c r="S5559" s="13"/>
      <c r="T5559" s="13"/>
      <c r="U5559" s="13"/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F5559" s="13"/>
      <c r="AG5559" s="13"/>
      <c r="AH5559" s="13"/>
      <c r="AI5559" s="13"/>
      <c r="AJ5559" s="13"/>
      <c r="AK5559" s="13"/>
      <c r="AL5559" s="13"/>
      <c r="AM5559" s="13"/>
      <c r="AN5559" s="13"/>
      <c r="AO5559" s="13"/>
      <c r="AP5559" s="13"/>
      <c r="AQ5559" s="13"/>
      <c r="AR5559" s="13"/>
      <c r="AS5559" s="13"/>
    </row>
    <row r="5560" ht="14.25" customHeight="1">
      <c r="A5560" s="13"/>
      <c r="B5560" s="13"/>
      <c r="C5560" s="13"/>
      <c r="D5560" s="13"/>
      <c r="E5560" s="13"/>
      <c r="F5560" s="13"/>
      <c r="G5560" s="13"/>
      <c r="H5560" s="13"/>
      <c r="I5560" s="13"/>
      <c r="J5560" s="13"/>
      <c r="K5560" s="15"/>
      <c r="L5560" s="15"/>
      <c r="M5560" s="16"/>
      <c r="N5560" s="16"/>
      <c r="O5560" s="17"/>
      <c r="P5560" s="17"/>
      <c r="Q5560" s="13"/>
      <c r="R5560" s="13"/>
      <c r="S5560" s="13"/>
      <c r="T5560" s="13"/>
      <c r="U5560" s="13"/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F5560" s="13"/>
      <c r="AG5560" s="13"/>
      <c r="AH5560" s="13"/>
      <c r="AI5560" s="13"/>
      <c r="AJ5560" s="13"/>
      <c r="AK5560" s="13"/>
      <c r="AL5560" s="13"/>
      <c r="AM5560" s="13"/>
      <c r="AN5560" s="13"/>
      <c r="AO5560" s="13"/>
      <c r="AP5560" s="13"/>
      <c r="AQ5560" s="13"/>
      <c r="AR5560" s="13"/>
      <c r="AS5560" s="13"/>
    </row>
    <row r="5561" ht="14.25" customHeight="1">
      <c r="A5561" s="13"/>
      <c r="B5561" s="13"/>
      <c r="C5561" s="13"/>
      <c r="D5561" s="13"/>
      <c r="E5561" s="13"/>
      <c r="F5561" s="13"/>
      <c r="G5561" s="13"/>
      <c r="H5561" s="13"/>
      <c r="I5561" s="13"/>
      <c r="J5561" s="13"/>
      <c r="K5561" s="15"/>
      <c r="L5561" s="15"/>
      <c r="M5561" s="16"/>
      <c r="N5561" s="16"/>
      <c r="O5561" s="17"/>
      <c r="P5561" s="17"/>
      <c r="Q5561" s="13"/>
      <c r="R5561" s="13"/>
      <c r="S5561" s="13"/>
      <c r="T5561" s="13"/>
      <c r="U5561" s="13"/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13"/>
      <c r="AG5561" s="13"/>
      <c r="AH5561" s="13"/>
      <c r="AI5561" s="13"/>
      <c r="AJ5561" s="13"/>
      <c r="AK5561" s="13"/>
      <c r="AL5561" s="13"/>
      <c r="AM5561" s="13"/>
      <c r="AN5561" s="13"/>
      <c r="AO5561" s="13"/>
      <c r="AP5561" s="13"/>
      <c r="AQ5561" s="13"/>
      <c r="AR5561" s="13"/>
      <c r="AS5561" s="13"/>
    </row>
    <row r="5562" ht="14.25" customHeight="1">
      <c r="A5562" s="13"/>
      <c r="B5562" s="13"/>
      <c r="C5562" s="13"/>
      <c r="D5562" s="13"/>
      <c r="E5562" s="13"/>
      <c r="F5562" s="13"/>
      <c r="G5562" s="13"/>
      <c r="H5562" s="13"/>
      <c r="I5562" s="13"/>
      <c r="J5562" s="13"/>
      <c r="K5562" s="15"/>
      <c r="L5562" s="15"/>
      <c r="M5562" s="16"/>
      <c r="N5562" s="16"/>
      <c r="O5562" s="17"/>
      <c r="P5562" s="17"/>
      <c r="Q5562" s="13"/>
      <c r="R5562" s="13"/>
      <c r="S5562" s="13"/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13"/>
      <c r="AG5562" s="13"/>
      <c r="AH5562" s="13"/>
      <c r="AI5562" s="13"/>
      <c r="AJ5562" s="13"/>
      <c r="AK5562" s="13"/>
      <c r="AL5562" s="13"/>
      <c r="AM5562" s="13"/>
      <c r="AN5562" s="13"/>
      <c r="AO5562" s="13"/>
      <c r="AP5562" s="13"/>
      <c r="AQ5562" s="13"/>
      <c r="AR5562" s="13"/>
      <c r="AS5562" s="13"/>
    </row>
    <row r="5563" ht="14.25" customHeight="1">
      <c r="A5563" s="13"/>
      <c r="B5563" s="13"/>
      <c r="C5563" s="13"/>
      <c r="D5563" s="13"/>
      <c r="E5563" s="13"/>
      <c r="F5563" s="13"/>
      <c r="G5563" s="13"/>
      <c r="H5563" s="13"/>
      <c r="I5563" s="13"/>
      <c r="J5563" s="13"/>
      <c r="K5563" s="15"/>
      <c r="L5563" s="15"/>
      <c r="M5563" s="16"/>
      <c r="N5563" s="16"/>
      <c r="O5563" s="17"/>
      <c r="P5563" s="17"/>
      <c r="Q5563" s="13"/>
      <c r="R5563" s="13"/>
      <c r="S5563" s="13"/>
      <c r="T5563" s="13"/>
      <c r="U5563" s="13"/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F5563" s="13"/>
      <c r="AG5563" s="13"/>
      <c r="AH5563" s="13"/>
      <c r="AI5563" s="13"/>
      <c r="AJ5563" s="13"/>
      <c r="AK5563" s="13"/>
      <c r="AL5563" s="13"/>
      <c r="AM5563" s="13"/>
      <c r="AN5563" s="13"/>
      <c r="AO5563" s="13"/>
      <c r="AP5563" s="13"/>
      <c r="AQ5563" s="13"/>
      <c r="AR5563" s="13"/>
      <c r="AS5563" s="13"/>
    </row>
    <row r="5564" ht="14.25" customHeight="1">
      <c r="A5564" s="13"/>
      <c r="B5564" s="13"/>
      <c r="C5564" s="13"/>
      <c r="D5564" s="13"/>
      <c r="E5564" s="13"/>
      <c r="F5564" s="13"/>
      <c r="G5564" s="13"/>
      <c r="H5564" s="13"/>
      <c r="I5564" s="13"/>
      <c r="J5564" s="13"/>
      <c r="K5564" s="15"/>
      <c r="L5564" s="15"/>
      <c r="M5564" s="16"/>
      <c r="N5564" s="16"/>
      <c r="O5564" s="17"/>
      <c r="P5564" s="17"/>
      <c r="Q5564" s="13"/>
      <c r="R5564" s="13"/>
      <c r="S5564" s="13"/>
      <c r="T5564" s="13"/>
      <c r="U5564" s="13"/>
      <c r="V5564" s="13"/>
      <c r="W5564" s="13"/>
      <c r="X5564" s="13"/>
      <c r="Y5564" s="13"/>
      <c r="Z5564" s="13"/>
      <c r="AA5564" s="13"/>
      <c r="AB5564" s="13"/>
      <c r="AC5564" s="13"/>
      <c r="AD5564" s="13"/>
      <c r="AE5564" s="13"/>
      <c r="AF5564" s="13"/>
      <c r="AG5564" s="13"/>
      <c r="AH5564" s="13"/>
      <c r="AI5564" s="13"/>
      <c r="AJ5564" s="13"/>
      <c r="AK5564" s="13"/>
      <c r="AL5564" s="13"/>
      <c r="AM5564" s="13"/>
      <c r="AN5564" s="13"/>
      <c r="AO5564" s="13"/>
      <c r="AP5564" s="13"/>
      <c r="AQ5564" s="13"/>
      <c r="AR5564" s="13"/>
      <c r="AS5564" s="13"/>
    </row>
    <row r="5565" ht="14.25" customHeight="1">
      <c r="A5565" s="13"/>
      <c r="B5565" s="13"/>
      <c r="C5565" s="13"/>
      <c r="D5565" s="13"/>
      <c r="E5565" s="13"/>
      <c r="F5565" s="13"/>
      <c r="G5565" s="13"/>
      <c r="H5565" s="13"/>
      <c r="I5565" s="13"/>
      <c r="J5565" s="13"/>
      <c r="K5565" s="15"/>
      <c r="L5565" s="15"/>
      <c r="M5565" s="16"/>
      <c r="N5565" s="16"/>
      <c r="O5565" s="17"/>
      <c r="P5565" s="17"/>
      <c r="Q5565" s="13"/>
      <c r="R5565" s="13"/>
      <c r="S5565" s="13"/>
      <c r="T5565" s="13"/>
      <c r="U5565" s="13"/>
      <c r="V5565" s="13"/>
      <c r="W5565" s="13"/>
      <c r="X5565" s="13"/>
      <c r="Y5565" s="13"/>
      <c r="Z5565" s="13"/>
      <c r="AA5565" s="13"/>
      <c r="AB5565" s="13"/>
      <c r="AC5565" s="13"/>
      <c r="AD5565" s="13"/>
      <c r="AE5565" s="13"/>
      <c r="AF5565" s="13"/>
      <c r="AG5565" s="13"/>
      <c r="AH5565" s="13"/>
      <c r="AI5565" s="13"/>
      <c r="AJ5565" s="13"/>
      <c r="AK5565" s="13"/>
      <c r="AL5565" s="13"/>
      <c r="AM5565" s="13"/>
      <c r="AN5565" s="13"/>
      <c r="AO5565" s="13"/>
      <c r="AP5565" s="13"/>
      <c r="AQ5565" s="13"/>
      <c r="AR5565" s="13"/>
      <c r="AS5565" s="13"/>
    </row>
    <row r="5566" ht="14.25" customHeight="1">
      <c r="A5566" s="13"/>
      <c r="B5566" s="13"/>
      <c r="C5566" s="13"/>
      <c r="D5566" s="13"/>
      <c r="E5566" s="13"/>
      <c r="F5566" s="13"/>
      <c r="G5566" s="13"/>
      <c r="H5566" s="13"/>
      <c r="I5566" s="13"/>
      <c r="J5566" s="13"/>
      <c r="K5566" s="15"/>
      <c r="L5566" s="15"/>
      <c r="M5566" s="16"/>
      <c r="N5566" s="16"/>
      <c r="O5566" s="17"/>
      <c r="P5566" s="17"/>
      <c r="Q5566" s="13"/>
      <c r="R5566" s="13"/>
      <c r="S5566" s="13"/>
      <c r="T5566" s="13"/>
      <c r="U5566" s="13"/>
      <c r="V5566" s="13"/>
      <c r="W5566" s="13"/>
      <c r="X5566" s="13"/>
      <c r="Y5566" s="13"/>
      <c r="Z5566" s="13"/>
      <c r="AA5566" s="13"/>
      <c r="AB5566" s="13"/>
      <c r="AC5566" s="13"/>
      <c r="AD5566" s="13"/>
      <c r="AE5566" s="13"/>
      <c r="AF5566" s="13"/>
      <c r="AG5566" s="13"/>
      <c r="AH5566" s="13"/>
      <c r="AI5566" s="13"/>
      <c r="AJ5566" s="13"/>
      <c r="AK5566" s="13"/>
      <c r="AL5566" s="13"/>
      <c r="AM5566" s="13"/>
      <c r="AN5566" s="13"/>
      <c r="AO5566" s="13"/>
      <c r="AP5566" s="13"/>
      <c r="AQ5566" s="13"/>
      <c r="AR5566" s="13"/>
      <c r="AS5566" s="13"/>
    </row>
    <row r="5567" ht="14.25" customHeight="1">
      <c r="A5567" s="13"/>
      <c r="B5567" s="13"/>
      <c r="C5567" s="13"/>
      <c r="D5567" s="13"/>
      <c r="E5567" s="13"/>
      <c r="F5567" s="13"/>
      <c r="G5567" s="13"/>
      <c r="H5567" s="13"/>
      <c r="I5567" s="13"/>
      <c r="J5567" s="13"/>
      <c r="K5567" s="15"/>
      <c r="L5567" s="15"/>
      <c r="M5567" s="16"/>
      <c r="N5567" s="16"/>
      <c r="O5567" s="17"/>
      <c r="P5567" s="17"/>
      <c r="Q5567" s="13"/>
      <c r="R5567" s="13"/>
      <c r="S5567" s="13"/>
      <c r="T5567" s="13"/>
      <c r="U5567" s="13"/>
      <c r="V5567" s="13"/>
      <c r="W5567" s="13"/>
      <c r="X5567" s="13"/>
      <c r="Y5567" s="13"/>
      <c r="Z5567" s="13"/>
      <c r="AA5567" s="13"/>
      <c r="AB5567" s="13"/>
      <c r="AC5567" s="13"/>
      <c r="AD5567" s="13"/>
      <c r="AE5567" s="13"/>
      <c r="AF5567" s="13"/>
      <c r="AG5567" s="13"/>
      <c r="AH5567" s="13"/>
      <c r="AI5567" s="13"/>
      <c r="AJ5567" s="13"/>
      <c r="AK5567" s="13"/>
      <c r="AL5567" s="13"/>
      <c r="AM5567" s="13"/>
      <c r="AN5567" s="13"/>
      <c r="AO5567" s="13"/>
      <c r="AP5567" s="13"/>
      <c r="AQ5567" s="13"/>
      <c r="AR5567" s="13"/>
      <c r="AS5567" s="13"/>
    </row>
    <row r="5568" ht="14.25" customHeight="1">
      <c r="A5568" s="13"/>
      <c r="B5568" s="13"/>
      <c r="C5568" s="13"/>
      <c r="D5568" s="13"/>
      <c r="E5568" s="13"/>
      <c r="F5568" s="13"/>
      <c r="G5568" s="13"/>
      <c r="H5568" s="13"/>
      <c r="I5568" s="13"/>
      <c r="J5568" s="13"/>
      <c r="K5568" s="15"/>
      <c r="L5568" s="15"/>
      <c r="M5568" s="16"/>
      <c r="N5568" s="16"/>
      <c r="O5568" s="17"/>
      <c r="P5568" s="17"/>
      <c r="Q5568" s="13"/>
      <c r="R5568" s="13"/>
      <c r="S5568" s="13"/>
      <c r="T5568" s="13"/>
      <c r="U5568" s="13"/>
      <c r="V5568" s="13"/>
      <c r="W5568" s="13"/>
      <c r="X5568" s="13"/>
      <c r="Y5568" s="13"/>
      <c r="Z5568" s="13"/>
      <c r="AA5568" s="13"/>
      <c r="AB5568" s="13"/>
      <c r="AC5568" s="13"/>
      <c r="AD5568" s="13"/>
      <c r="AE5568" s="13"/>
      <c r="AF5568" s="13"/>
      <c r="AG5568" s="13"/>
      <c r="AH5568" s="13"/>
      <c r="AI5568" s="13"/>
      <c r="AJ5568" s="13"/>
      <c r="AK5568" s="13"/>
      <c r="AL5568" s="13"/>
      <c r="AM5568" s="13"/>
      <c r="AN5568" s="13"/>
      <c r="AO5568" s="13"/>
      <c r="AP5568" s="13"/>
      <c r="AQ5568" s="13"/>
      <c r="AR5568" s="13"/>
      <c r="AS5568" s="13"/>
    </row>
    <row r="5569" ht="14.25" customHeight="1">
      <c r="A5569" s="13"/>
      <c r="B5569" s="13"/>
      <c r="C5569" s="13"/>
      <c r="D5569" s="13"/>
      <c r="E5569" s="13"/>
      <c r="F5569" s="13"/>
      <c r="G5569" s="13"/>
      <c r="H5569" s="13"/>
      <c r="I5569" s="13"/>
      <c r="J5569" s="13"/>
      <c r="K5569" s="15"/>
      <c r="L5569" s="15"/>
      <c r="M5569" s="16"/>
      <c r="N5569" s="16"/>
      <c r="O5569" s="17"/>
      <c r="P5569" s="17"/>
      <c r="Q5569" s="13"/>
      <c r="R5569" s="13"/>
      <c r="S5569" s="13"/>
      <c r="T5569" s="13"/>
      <c r="U5569" s="13"/>
      <c r="V5569" s="13"/>
      <c r="W5569" s="13"/>
      <c r="X5569" s="13"/>
      <c r="Y5569" s="13"/>
      <c r="Z5569" s="13"/>
      <c r="AA5569" s="13"/>
      <c r="AB5569" s="13"/>
      <c r="AC5569" s="13"/>
      <c r="AD5569" s="13"/>
      <c r="AE5569" s="13"/>
      <c r="AF5569" s="13"/>
      <c r="AG5569" s="13"/>
      <c r="AH5569" s="13"/>
      <c r="AI5569" s="13"/>
      <c r="AJ5569" s="13"/>
      <c r="AK5569" s="13"/>
      <c r="AL5569" s="13"/>
      <c r="AM5569" s="13"/>
      <c r="AN5569" s="13"/>
      <c r="AO5569" s="13"/>
      <c r="AP5569" s="13"/>
      <c r="AQ5569" s="13"/>
      <c r="AR5569" s="13"/>
      <c r="AS5569" s="13"/>
    </row>
    <row r="5570" ht="14.25" customHeight="1">
      <c r="A5570" s="13"/>
      <c r="B5570" s="13"/>
      <c r="C5570" s="13"/>
      <c r="D5570" s="13"/>
      <c r="E5570" s="13"/>
      <c r="F5570" s="13"/>
      <c r="G5570" s="13"/>
      <c r="H5570" s="13"/>
      <c r="I5570" s="13"/>
      <c r="J5570" s="13"/>
      <c r="K5570" s="15"/>
      <c r="L5570" s="15"/>
      <c r="M5570" s="16"/>
      <c r="N5570" s="16"/>
      <c r="O5570" s="17"/>
      <c r="P5570" s="17"/>
      <c r="Q5570" s="13"/>
      <c r="R5570" s="13"/>
      <c r="S5570" s="13"/>
      <c r="T5570" s="13"/>
      <c r="U5570" s="13"/>
      <c r="V5570" s="13"/>
      <c r="W5570" s="13"/>
      <c r="X5570" s="13"/>
      <c r="Y5570" s="13"/>
      <c r="Z5570" s="13"/>
      <c r="AA5570" s="13"/>
      <c r="AB5570" s="13"/>
      <c r="AC5570" s="13"/>
      <c r="AD5570" s="13"/>
      <c r="AE5570" s="13"/>
      <c r="AF5570" s="13"/>
      <c r="AG5570" s="13"/>
      <c r="AH5570" s="13"/>
      <c r="AI5570" s="13"/>
      <c r="AJ5570" s="13"/>
      <c r="AK5570" s="13"/>
      <c r="AL5570" s="13"/>
      <c r="AM5570" s="13"/>
      <c r="AN5570" s="13"/>
      <c r="AO5570" s="13"/>
      <c r="AP5570" s="13"/>
      <c r="AQ5570" s="13"/>
      <c r="AR5570" s="13"/>
      <c r="AS5570" s="13"/>
    </row>
    <row r="5571" ht="14.25" customHeight="1">
      <c r="A5571" s="13"/>
      <c r="B5571" s="13"/>
      <c r="C5571" s="13"/>
      <c r="D5571" s="13"/>
      <c r="E5571" s="13"/>
      <c r="F5571" s="13"/>
      <c r="G5571" s="13"/>
      <c r="H5571" s="13"/>
      <c r="I5571" s="13"/>
      <c r="J5571" s="13"/>
      <c r="K5571" s="15"/>
      <c r="L5571" s="15"/>
      <c r="M5571" s="16"/>
      <c r="N5571" s="16"/>
      <c r="O5571" s="17"/>
      <c r="P5571" s="17"/>
      <c r="Q5571" s="13"/>
      <c r="R5571" s="13"/>
      <c r="S5571" s="13"/>
      <c r="T5571" s="13"/>
      <c r="U5571" s="13"/>
      <c r="V5571" s="13"/>
      <c r="W5571" s="13"/>
      <c r="X5571" s="13"/>
      <c r="Y5571" s="13"/>
      <c r="Z5571" s="13"/>
      <c r="AA5571" s="13"/>
      <c r="AB5571" s="13"/>
      <c r="AC5571" s="13"/>
      <c r="AD5571" s="13"/>
      <c r="AE5571" s="13"/>
      <c r="AF5571" s="13"/>
      <c r="AG5571" s="13"/>
      <c r="AH5571" s="13"/>
      <c r="AI5571" s="13"/>
      <c r="AJ5571" s="13"/>
      <c r="AK5571" s="13"/>
      <c r="AL5571" s="13"/>
      <c r="AM5571" s="13"/>
      <c r="AN5571" s="13"/>
      <c r="AO5571" s="13"/>
      <c r="AP5571" s="13"/>
      <c r="AQ5571" s="13"/>
      <c r="AR5571" s="13"/>
      <c r="AS5571" s="13"/>
    </row>
    <row r="5572" ht="14.25" customHeight="1">
      <c r="A5572" s="13"/>
      <c r="B5572" s="13"/>
      <c r="C5572" s="13"/>
      <c r="D5572" s="13"/>
      <c r="E5572" s="13"/>
      <c r="F5572" s="13"/>
      <c r="G5572" s="13"/>
      <c r="H5572" s="13"/>
      <c r="I5572" s="13"/>
      <c r="J5572" s="13"/>
      <c r="K5572" s="15"/>
      <c r="L5572" s="15"/>
      <c r="M5572" s="16"/>
      <c r="N5572" s="16"/>
      <c r="O5572" s="17"/>
      <c r="P5572" s="17"/>
      <c r="Q5572" s="13"/>
      <c r="R5572" s="13"/>
      <c r="S5572" s="13"/>
      <c r="T5572" s="13"/>
      <c r="U5572" s="13"/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F5572" s="13"/>
      <c r="AG5572" s="13"/>
      <c r="AH5572" s="13"/>
      <c r="AI5572" s="13"/>
      <c r="AJ5572" s="13"/>
      <c r="AK5572" s="13"/>
      <c r="AL5572" s="13"/>
      <c r="AM5572" s="13"/>
      <c r="AN5572" s="13"/>
      <c r="AO5572" s="13"/>
      <c r="AP5572" s="13"/>
      <c r="AQ5572" s="13"/>
      <c r="AR5572" s="13"/>
      <c r="AS5572" s="13"/>
    </row>
    <row r="5573" ht="14.25" customHeight="1">
      <c r="A5573" s="13"/>
      <c r="B5573" s="13"/>
      <c r="C5573" s="13"/>
      <c r="D5573" s="13"/>
      <c r="E5573" s="13"/>
      <c r="F5573" s="13"/>
      <c r="G5573" s="13"/>
      <c r="H5573" s="13"/>
      <c r="I5573" s="13"/>
      <c r="J5573" s="13"/>
      <c r="K5573" s="15"/>
      <c r="L5573" s="15"/>
      <c r="M5573" s="16"/>
      <c r="N5573" s="16"/>
      <c r="O5573" s="17"/>
      <c r="P5573" s="17"/>
      <c r="Q5573" s="13"/>
      <c r="R5573" s="13"/>
      <c r="S5573" s="13"/>
      <c r="T5573" s="13"/>
      <c r="U5573" s="13"/>
      <c r="V5573" s="13"/>
      <c r="W5573" s="13"/>
      <c r="X5573" s="13"/>
      <c r="Y5573" s="13"/>
      <c r="Z5573" s="13"/>
      <c r="AA5573" s="13"/>
      <c r="AB5573" s="13"/>
      <c r="AC5573" s="13"/>
      <c r="AD5573" s="13"/>
      <c r="AE5573" s="13"/>
      <c r="AF5573" s="13"/>
      <c r="AG5573" s="13"/>
      <c r="AH5573" s="13"/>
      <c r="AI5573" s="13"/>
      <c r="AJ5573" s="13"/>
      <c r="AK5573" s="13"/>
      <c r="AL5573" s="13"/>
      <c r="AM5573" s="13"/>
      <c r="AN5573" s="13"/>
      <c r="AO5573" s="13"/>
      <c r="AP5573" s="13"/>
      <c r="AQ5573" s="13"/>
      <c r="AR5573" s="13"/>
      <c r="AS5573" s="13"/>
    </row>
    <row r="5574" ht="14.25" customHeight="1">
      <c r="A5574" s="13"/>
      <c r="B5574" s="13"/>
      <c r="C5574" s="13"/>
      <c r="D5574" s="13"/>
      <c r="E5574" s="13"/>
      <c r="F5574" s="13"/>
      <c r="G5574" s="13"/>
      <c r="H5574" s="13"/>
      <c r="I5574" s="13"/>
      <c r="J5574" s="13"/>
      <c r="K5574" s="15"/>
      <c r="L5574" s="15"/>
      <c r="M5574" s="16"/>
      <c r="N5574" s="16"/>
      <c r="O5574" s="17"/>
      <c r="P5574" s="17"/>
      <c r="Q5574" s="13"/>
      <c r="R5574" s="13"/>
      <c r="S5574" s="13"/>
      <c r="T5574" s="13"/>
      <c r="U5574" s="13"/>
      <c r="V5574" s="13"/>
      <c r="W5574" s="13"/>
      <c r="X5574" s="13"/>
      <c r="Y5574" s="13"/>
      <c r="Z5574" s="13"/>
      <c r="AA5574" s="13"/>
      <c r="AB5574" s="13"/>
      <c r="AC5574" s="13"/>
      <c r="AD5574" s="13"/>
      <c r="AE5574" s="13"/>
      <c r="AF5574" s="13"/>
      <c r="AG5574" s="13"/>
      <c r="AH5574" s="13"/>
      <c r="AI5574" s="13"/>
      <c r="AJ5574" s="13"/>
      <c r="AK5574" s="13"/>
      <c r="AL5574" s="13"/>
      <c r="AM5574" s="13"/>
      <c r="AN5574" s="13"/>
      <c r="AO5574" s="13"/>
      <c r="AP5574" s="13"/>
      <c r="AQ5574" s="13"/>
      <c r="AR5574" s="13"/>
      <c r="AS5574" s="13"/>
    </row>
    <row r="5575" ht="14.25" customHeight="1">
      <c r="A5575" s="13"/>
      <c r="B5575" s="13"/>
      <c r="C5575" s="13"/>
      <c r="D5575" s="13"/>
      <c r="E5575" s="13"/>
      <c r="F5575" s="13"/>
      <c r="G5575" s="13"/>
      <c r="H5575" s="13"/>
      <c r="I5575" s="13"/>
      <c r="J5575" s="13"/>
      <c r="K5575" s="15"/>
      <c r="L5575" s="15"/>
      <c r="M5575" s="16"/>
      <c r="N5575" s="16"/>
      <c r="O5575" s="17"/>
      <c r="P5575" s="17"/>
      <c r="Q5575" s="13"/>
      <c r="R5575" s="13"/>
      <c r="S5575" s="13"/>
      <c r="T5575" s="13"/>
      <c r="U5575" s="13"/>
      <c r="V5575" s="13"/>
      <c r="W5575" s="13"/>
      <c r="X5575" s="13"/>
      <c r="Y5575" s="13"/>
      <c r="Z5575" s="13"/>
      <c r="AA5575" s="13"/>
      <c r="AB5575" s="13"/>
      <c r="AC5575" s="13"/>
      <c r="AD5575" s="13"/>
      <c r="AE5575" s="13"/>
      <c r="AF5575" s="13"/>
      <c r="AG5575" s="13"/>
      <c r="AH5575" s="13"/>
      <c r="AI5575" s="13"/>
      <c r="AJ5575" s="13"/>
      <c r="AK5575" s="13"/>
      <c r="AL5575" s="13"/>
      <c r="AM5575" s="13"/>
      <c r="AN5575" s="13"/>
      <c r="AO5575" s="13"/>
      <c r="AP5575" s="13"/>
      <c r="AQ5575" s="13"/>
      <c r="AR5575" s="13"/>
      <c r="AS5575" s="13"/>
    </row>
    <row r="5576" ht="14.25" customHeight="1">
      <c r="A5576" s="13"/>
      <c r="B5576" s="13"/>
      <c r="C5576" s="13"/>
      <c r="D5576" s="13"/>
      <c r="E5576" s="13"/>
      <c r="F5576" s="13"/>
      <c r="G5576" s="13"/>
      <c r="H5576" s="13"/>
      <c r="I5576" s="13"/>
      <c r="J5576" s="13"/>
      <c r="K5576" s="15"/>
      <c r="L5576" s="15"/>
      <c r="M5576" s="16"/>
      <c r="N5576" s="16"/>
      <c r="O5576" s="17"/>
      <c r="P5576" s="17"/>
      <c r="Q5576" s="13"/>
      <c r="R5576" s="13"/>
      <c r="S5576" s="13"/>
      <c r="T5576" s="13"/>
      <c r="U5576" s="13"/>
      <c r="V5576" s="13"/>
      <c r="W5576" s="13"/>
      <c r="X5576" s="13"/>
      <c r="Y5576" s="13"/>
      <c r="Z5576" s="13"/>
      <c r="AA5576" s="13"/>
      <c r="AB5576" s="13"/>
      <c r="AC5576" s="13"/>
      <c r="AD5576" s="13"/>
      <c r="AE5576" s="13"/>
      <c r="AF5576" s="13"/>
      <c r="AG5576" s="13"/>
      <c r="AH5576" s="13"/>
      <c r="AI5576" s="13"/>
      <c r="AJ5576" s="13"/>
      <c r="AK5576" s="13"/>
      <c r="AL5576" s="13"/>
      <c r="AM5576" s="13"/>
      <c r="AN5576" s="13"/>
      <c r="AO5576" s="13"/>
      <c r="AP5576" s="13"/>
      <c r="AQ5576" s="13"/>
      <c r="AR5576" s="13"/>
      <c r="AS5576" s="13"/>
    </row>
    <row r="5577" ht="14.25" customHeight="1">
      <c r="A5577" s="13"/>
      <c r="B5577" s="13"/>
      <c r="C5577" s="13"/>
      <c r="D5577" s="13"/>
      <c r="E5577" s="13"/>
      <c r="F5577" s="13"/>
      <c r="G5577" s="13"/>
      <c r="H5577" s="13"/>
      <c r="I5577" s="13"/>
      <c r="J5577" s="13"/>
      <c r="K5577" s="15"/>
      <c r="L5577" s="15"/>
      <c r="M5577" s="16"/>
      <c r="N5577" s="16"/>
      <c r="O5577" s="17"/>
      <c r="P5577" s="17"/>
      <c r="Q5577" s="13"/>
      <c r="R5577" s="13"/>
      <c r="S5577" s="13"/>
      <c r="T5577" s="13"/>
      <c r="U5577" s="13"/>
      <c r="V5577" s="13"/>
      <c r="W5577" s="13"/>
      <c r="X5577" s="13"/>
      <c r="Y5577" s="13"/>
      <c r="Z5577" s="13"/>
      <c r="AA5577" s="13"/>
      <c r="AB5577" s="13"/>
      <c r="AC5577" s="13"/>
      <c r="AD5577" s="13"/>
      <c r="AE5577" s="13"/>
      <c r="AF5577" s="13"/>
      <c r="AG5577" s="13"/>
      <c r="AH5577" s="13"/>
      <c r="AI5577" s="13"/>
      <c r="AJ5577" s="13"/>
      <c r="AK5577" s="13"/>
      <c r="AL5577" s="13"/>
      <c r="AM5577" s="13"/>
      <c r="AN5577" s="13"/>
      <c r="AO5577" s="13"/>
      <c r="AP5577" s="13"/>
      <c r="AQ5577" s="13"/>
      <c r="AR5577" s="13"/>
      <c r="AS5577" s="13"/>
    </row>
    <row r="5578" ht="14.25" customHeight="1">
      <c r="A5578" s="13"/>
      <c r="B5578" s="13"/>
      <c r="C5578" s="13"/>
      <c r="D5578" s="13"/>
      <c r="E5578" s="13"/>
      <c r="F5578" s="13"/>
      <c r="G5578" s="13"/>
      <c r="H5578" s="13"/>
      <c r="I5578" s="13"/>
      <c r="J5578" s="13"/>
      <c r="K5578" s="15"/>
      <c r="L5578" s="15"/>
      <c r="M5578" s="16"/>
      <c r="N5578" s="16"/>
      <c r="O5578" s="17"/>
      <c r="P5578" s="17"/>
      <c r="Q5578" s="13"/>
      <c r="R5578" s="13"/>
      <c r="S5578" s="13"/>
      <c r="T5578" s="13"/>
      <c r="U5578" s="13"/>
      <c r="V5578" s="13"/>
      <c r="W5578" s="13"/>
      <c r="X5578" s="13"/>
      <c r="Y5578" s="13"/>
      <c r="Z5578" s="13"/>
      <c r="AA5578" s="13"/>
      <c r="AB5578" s="13"/>
      <c r="AC5578" s="13"/>
      <c r="AD5578" s="13"/>
      <c r="AE5578" s="13"/>
      <c r="AF5578" s="13"/>
      <c r="AG5578" s="13"/>
      <c r="AH5578" s="13"/>
      <c r="AI5578" s="13"/>
      <c r="AJ5578" s="13"/>
      <c r="AK5578" s="13"/>
      <c r="AL5578" s="13"/>
      <c r="AM5578" s="13"/>
      <c r="AN5578" s="13"/>
      <c r="AO5578" s="13"/>
      <c r="AP5578" s="13"/>
      <c r="AQ5578" s="13"/>
      <c r="AR5578" s="13"/>
      <c r="AS5578" s="13"/>
    </row>
    <row r="5579" ht="14.25" customHeight="1">
      <c r="A5579" s="13"/>
      <c r="B5579" s="13"/>
      <c r="C5579" s="13"/>
      <c r="D5579" s="13"/>
      <c r="E5579" s="13"/>
      <c r="F5579" s="13"/>
      <c r="G5579" s="13"/>
      <c r="H5579" s="13"/>
      <c r="I5579" s="13"/>
      <c r="J5579" s="13"/>
      <c r="K5579" s="15"/>
      <c r="L5579" s="15"/>
      <c r="M5579" s="16"/>
      <c r="N5579" s="16"/>
      <c r="O5579" s="17"/>
      <c r="P5579" s="17"/>
      <c r="Q5579" s="13"/>
      <c r="R5579" s="13"/>
      <c r="S5579" s="13"/>
      <c r="T5579" s="13"/>
      <c r="U5579" s="13"/>
      <c r="V5579" s="13"/>
      <c r="W5579" s="13"/>
      <c r="X5579" s="13"/>
      <c r="Y5579" s="13"/>
      <c r="Z5579" s="13"/>
      <c r="AA5579" s="13"/>
      <c r="AB5579" s="13"/>
      <c r="AC5579" s="13"/>
      <c r="AD5579" s="13"/>
      <c r="AE5579" s="13"/>
      <c r="AF5579" s="13"/>
      <c r="AG5579" s="13"/>
      <c r="AH5579" s="13"/>
      <c r="AI5579" s="13"/>
      <c r="AJ5579" s="13"/>
      <c r="AK5579" s="13"/>
      <c r="AL5579" s="13"/>
      <c r="AM5579" s="13"/>
      <c r="AN5579" s="13"/>
      <c r="AO5579" s="13"/>
      <c r="AP5579" s="13"/>
      <c r="AQ5579" s="13"/>
      <c r="AR5579" s="13"/>
      <c r="AS5579" s="13"/>
    </row>
    <row r="5580" ht="14.25" customHeight="1">
      <c r="A5580" s="13"/>
      <c r="B5580" s="13"/>
      <c r="C5580" s="13"/>
      <c r="D5580" s="13"/>
      <c r="E5580" s="13"/>
      <c r="F5580" s="13"/>
      <c r="G5580" s="13"/>
      <c r="H5580" s="13"/>
      <c r="I5580" s="13"/>
      <c r="J5580" s="13"/>
      <c r="K5580" s="15"/>
      <c r="L5580" s="15"/>
      <c r="M5580" s="16"/>
      <c r="N5580" s="16"/>
      <c r="O5580" s="17"/>
      <c r="P5580" s="17"/>
      <c r="Q5580" s="13"/>
      <c r="R5580" s="13"/>
      <c r="S5580" s="13"/>
      <c r="T5580" s="13"/>
      <c r="U5580" s="13"/>
      <c r="V5580" s="13"/>
      <c r="W5580" s="13"/>
      <c r="X5580" s="13"/>
      <c r="Y5580" s="13"/>
      <c r="Z5580" s="13"/>
      <c r="AA5580" s="13"/>
      <c r="AB5580" s="13"/>
      <c r="AC5580" s="13"/>
      <c r="AD5580" s="13"/>
      <c r="AE5580" s="13"/>
      <c r="AF5580" s="13"/>
      <c r="AG5580" s="13"/>
      <c r="AH5580" s="13"/>
      <c r="AI5580" s="13"/>
      <c r="AJ5580" s="13"/>
      <c r="AK5580" s="13"/>
      <c r="AL5580" s="13"/>
      <c r="AM5580" s="13"/>
      <c r="AN5580" s="13"/>
      <c r="AO5580" s="13"/>
      <c r="AP5580" s="13"/>
      <c r="AQ5580" s="13"/>
      <c r="AR5580" s="13"/>
      <c r="AS5580" s="13"/>
    </row>
    <row r="5581" ht="14.25" customHeight="1">
      <c r="A5581" s="13"/>
      <c r="B5581" s="13"/>
      <c r="C5581" s="13"/>
      <c r="D5581" s="13"/>
      <c r="E5581" s="13"/>
      <c r="F5581" s="13"/>
      <c r="G5581" s="13"/>
      <c r="H5581" s="13"/>
      <c r="I5581" s="13"/>
      <c r="J5581" s="13"/>
      <c r="K5581" s="15"/>
      <c r="L5581" s="15"/>
      <c r="M5581" s="16"/>
      <c r="N5581" s="16"/>
      <c r="O5581" s="17"/>
      <c r="P5581" s="17"/>
      <c r="Q5581" s="13"/>
      <c r="R5581" s="13"/>
      <c r="S5581" s="13"/>
      <c r="T5581" s="13"/>
      <c r="U5581" s="13"/>
      <c r="V5581" s="13"/>
      <c r="W5581" s="13"/>
      <c r="X5581" s="13"/>
      <c r="Y5581" s="13"/>
      <c r="Z5581" s="13"/>
      <c r="AA5581" s="13"/>
      <c r="AB5581" s="13"/>
      <c r="AC5581" s="13"/>
      <c r="AD5581" s="13"/>
      <c r="AE5581" s="13"/>
      <c r="AF5581" s="13"/>
      <c r="AG5581" s="13"/>
      <c r="AH5581" s="13"/>
      <c r="AI5581" s="13"/>
      <c r="AJ5581" s="13"/>
      <c r="AK5581" s="13"/>
      <c r="AL5581" s="13"/>
      <c r="AM5581" s="13"/>
      <c r="AN5581" s="13"/>
      <c r="AO5581" s="13"/>
      <c r="AP5581" s="13"/>
      <c r="AQ5581" s="13"/>
      <c r="AR5581" s="13"/>
      <c r="AS5581" s="13"/>
    </row>
    <row r="5582" ht="14.25" customHeight="1">
      <c r="A5582" s="13"/>
      <c r="B5582" s="13"/>
      <c r="C5582" s="13"/>
      <c r="D5582" s="13"/>
      <c r="E5582" s="13"/>
      <c r="F5582" s="13"/>
      <c r="G5582" s="13"/>
      <c r="H5582" s="13"/>
      <c r="I5582" s="13"/>
      <c r="J5582" s="13"/>
      <c r="K5582" s="15"/>
      <c r="L5582" s="15"/>
      <c r="M5582" s="16"/>
      <c r="N5582" s="16"/>
      <c r="O5582" s="17"/>
      <c r="P5582" s="17"/>
      <c r="Q5582" s="13"/>
      <c r="R5582" s="13"/>
      <c r="S5582" s="13"/>
      <c r="T5582" s="13"/>
      <c r="U5582" s="13"/>
      <c r="V5582" s="13"/>
      <c r="W5582" s="13"/>
      <c r="X5582" s="13"/>
      <c r="Y5582" s="13"/>
      <c r="Z5582" s="13"/>
      <c r="AA5582" s="13"/>
      <c r="AB5582" s="13"/>
      <c r="AC5582" s="13"/>
      <c r="AD5582" s="13"/>
      <c r="AE5582" s="13"/>
      <c r="AF5582" s="13"/>
      <c r="AG5582" s="13"/>
      <c r="AH5582" s="13"/>
      <c r="AI5582" s="13"/>
      <c r="AJ5582" s="13"/>
      <c r="AK5582" s="13"/>
      <c r="AL5582" s="13"/>
      <c r="AM5582" s="13"/>
      <c r="AN5582" s="13"/>
      <c r="AO5582" s="13"/>
      <c r="AP5582" s="13"/>
      <c r="AQ5582" s="13"/>
      <c r="AR5582" s="13"/>
      <c r="AS5582" s="13"/>
    </row>
    <row r="5583" ht="14.25" customHeight="1">
      <c r="A5583" s="13"/>
      <c r="B5583" s="13"/>
      <c r="C5583" s="13"/>
      <c r="D5583" s="13"/>
      <c r="E5583" s="13"/>
      <c r="F5583" s="13"/>
      <c r="G5583" s="13"/>
      <c r="H5583" s="13"/>
      <c r="I5583" s="13"/>
      <c r="J5583" s="13"/>
      <c r="K5583" s="15"/>
      <c r="L5583" s="15"/>
      <c r="M5583" s="16"/>
      <c r="N5583" s="16"/>
      <c r="O5583" s="17"/>
      <c r="P5583" s="17"/>
      <c r="Q5583" s="13"/>
      <c r="R5583" s="13"/>
      <c r="S5583" s="13"/>
      <c r="T5583" s="13"/>
      <c r="U5583" s="13"/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F5583" s="13"/>
      <c r="AG5583" s="13"/>
      <c r="AH5583" s="13"/>
      <c r="AI5583" s="13"/>
      <c r="AJ5583" s="13"/>
      <c r="AK5583" s="13"/>
      <c r="AL5583" s="13"/>
      <c r="AM5583" s="13"/>
      <c r="AN5583" s="13"/>
      <c r="AO5583" s="13"/>
      <c r="AP5583" s="13"/>
      <c r="AQ5583" s="13"/>
      <c r="AR5583" s="13"/>
      <c r="AS5583" s="13"/>
    </row>
    <row r="5584" ht="14.25" customHeight="1">
      <c r="A5584" s="13"/>
      <c r="B5584" s="13"/>
      <c r="C5584" s="13"/>
      <c r="D5584" s="13"/>
      <c r="E5584" s="13"/>
      <c r="F5584" s="13"/>
      <c r="G5584" s="13"/>
      <c r="H5584" s="13"/>
      <c r="I5584" s="13"/>
      <c r="J5584" s="13"/>
      <c r="K5584" s="15"/>
      <c r="L5584" s="15"/>
      <c r="M5584" s="16"/>
      <c r="N5584" s="16"/>
      <c r="O5584" s="17"/>
      <c r="P5584" s="17"/>
      <c r="Q5584" s="13"/>
      <c r="R5584" s="13"/>
      <c r="S5584" s="13"/>
      <c r="T5584" s="13"/>
      <c r="U5584" s="13"/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F5584" s="13"/>
      <c r="AG5584" s="13"/>
      <c r="AH5584" s="13"/>
      <c r="AI5584" s="13"/>
      <c r="AJ5584" s="13"/>
      <c r="AK5584" s="13"/>
      <c r="AL5584" s="13"/>
      <c r="AM5584" s="13"/>
      <c r="AN5584" s="13"/>
      <c r="AO5584" s="13"/>
      <c r="AP5584" s="13"/>
      <c r="AQ5584" s="13"/>
      <c r="AR5584" s="13"/>
      <c r="AS5584" s="13"/>
    </row>
    <row r="5585" ht="14.25" customHeight="1">
      <c r="A5585" s="13"/>
      <c r="B5585" s="13"/>
      <c r="C5585" s="13"/>
      <c r="D5585" s="13"/>
      <c r="E5585" s="13"/>
      <c r="F5585" s="13"/>
      <c r="G5585" s="13"/>
      <c r="H5585" s="13"/>
      <c r="I5585" s="13"/>
      <c r="J5585" s="13"/>
      <c r="K5585" s="15"/>
      <c r="L5585" s="15"/>
      <c r="M5585" s="16"/>
      <c r="N5585" s="16"/>
      <c r="O5585" s="17"/>
      <c r="P5585" s="17"/>
      <c r="Q5585" s="13"/>
      <c r="R5585" s="13"/>
      <c r="S5585" s="13"/>
      <c r="T5585" s="13"/>
      <c r="U5585" s="13"/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F5585" s="13"/>
      <c r="AG5585" s="13"/>
      <c r="AH5585" s="13"/>
      <c r="AI5585" s="13"/>
      <c r="AJ5585" s="13"/>
      <c r="AK5585" s="13"/>
      <c r="AL5585" s="13"/>
      <c r="AM5585" s="13"/>
      <c r="AN5585" s="13"/>
      <c r="AO5585" s="13"/>
      <c r="AP5585" s="13"/>
      <c r="AQ5585" s="13"/>
      <c r="AR5585" s="13"/>
      <c r="AS5585" s="13"/>
    </row>
    <row r="5586" ht="14.25" customHeight="1">
      <c r="A5586" s="13"/>
      <c r="B5586" s="13"/>
      <c r="C5586" s="13"/>
      <c r="D5586" s="13"/>
      <c r="E5586" s="13"/>
      <c r="F5586" s="13"/>
      <c r="G5586" s="13"/>
      <c r="H5586" s="13"/>
      <c r="I5586" s="13"/>
      <c r="J5586" s="13"/>
      <c r="K5586" s="15"/>
      <c r="L5586" s="15"/>
      <c r="M5586" s="16"/>
      <c r="N5586" s="16"/>
      <c r="O5586" s="17"/>
      <c r="P5586" s="17"/>
      <c r="Q5586" s="13"/>
      <c r="R5586" s="13"/>
      <c r="S5586" s="13"/>
      <c r="T5586" s="13"/>
      <c r="U5586" s="13"/>
      <c r="V5586" s="13"/>
      <c r="W5586" s="13"/>
      <c r="X5586" s="13"/>
      <c r="Y5586" s="13"/>
      <c r="Z5586" s="13"/>
      <c r="AA5586" s="13"/>
      <c r="AB5586" s="13"/>
      <c r="AC5586" s="13"/>
      <c r="AD5586" s="13"/>
      <c r="AE5586" s="13"/>
      <c r="AF5586" s="13"/>
      <c r="AG5586" s="13"/>
      <c r="AH5586" s="13"/>
      <c r="AI5586" s="13"/>
      <c r="AJ5586" s="13"/>
      <c r="AK5586" s="13"/>
      <c r="AL5586" s="13"/>
      <c r="AM5586" s="13"/>
      <c r="AN5586" s="13"/>
      <c r="AO5586" s="13"/>
      <c r="AP5586" s="13"/>
      <c r="AQ5586" s="13"/>
      <c r="AR5586" s="13"/>
      <c r="AS5586" s="13"/>
    </row>
    <row r="5587" ht="14.25" customHeight="1">
      <c r="A5587" s="13"/>
      <c r="B5587" s="13"/>
      <c r="C5587" s="13"/>
      <c r="D5587" s="13"/>
      <c r="E5587" s="13"/>
      <c r="F5587" s="13"/>
      <c r="G5587" s="13"/>
      <c r="H5587" s="13"/>
      <c r="I5587" s="13"/>
      <c r="J5587" s="13"/>
      <c r="K5587" s="15"/>
      <c r="L5587" s="15"/>
      <c r="M5587" s="16"/>
      <c r="N5587" s="16"/>
      <c r="O5587" s="17"/>
      <c r="P5587" s="17"/>
      <c r="Q5587" s="13"/>
      <c r="R5587" s="13"/>
      <c r="S5587" s="13"/>
      <c r="T5587" s="13"/>
      <c r="U5587" s="13"/>
      <c r="V5587" s="13"/>
      <c r="W5587" s="13"/>
      <c r="X5587" s="13"/>
      <c r="Y5587" s="13"/>
      <c r="Z5587" s="13"/>
      <c r="AA5587" s="13"/>
      <c r="AB5587" s="13"/>
      <c r="AC5587" s="13"/>
      <c r="AD5587" s="13"/>
      <c r="AE5587" s="13"/>
      <c r="AF5587" s="13"/>
      <c r="AG5587" s="13"/>
      <c r="AH5587" s="13"/>
      <c r="AI5587" s="13"/>
      <c r="AJ5587" s="13"/>
      <c r="AK5587" s="13"/>
      <c r="AL5587" s="13"/>
      <c r="AM5587" s="13"/>
      <c r="AN5587" s="13"/>
      <c r="AO5587" s="13"/>
      <c r="AP5587" s="13"/>
      <c r="AQ5587" s="13"/>
      <c r="AR5587" s="13"/>
      <c r="AS5587" s="13"/>
    </row>
    <row r="5588" ht="14.25" customHeight="1">
      <c r="A5588" s="13"/>
      <c r="B5588" s="13"/>
      <c r="C5588" s="13"/>
      <c r="D5588" s="13"/>
      <c r="E5588" s="13"/>
      <c r="F5588" s="13"/>
      <c r="G5588" s="13"/>
      <c r="H5588" s="13"/>
      <c r="I5588" s="13"/>
      <c r="J5588" s="13"/>
      <c r="K5588" s="15"/>
      <c r="L5588" s="15"/>
      <c r="M5588" s="16"/>
      <c r="N5588" s="16"/>
      <c r="O5588" s="17"/>
      <c r="P5588" s="17"/>
      <c r="Q5588" s="13"/>
      <c r="R5588" s="13"/>
      <c r="S5588" s="13"/>
      <c r="T5588" s="13"/>
      <c r="U5588" s="13"/>
      <c r="V5588" s="13"/>
      <c r="W5588" s="13"/>
      <c r="X5588" s="13"/>
      <c r="Y5588" s="13"/>
      <c r="Z5588" s="13"/>
      <c r="AA5588" s="13"/>
      <c r="AB5588" s="13"/>
      <c r="AC5588" s="13"/>
      <c r="AD5588" s="13"/>
      <c r="AE5588" s="13"/>
      <c r="AF5588" s="13"/>
      <c r="AG5588" s="13"/>
      <c r="AH5588" s="13"/>
      <c r="AI5588" s="13"/>
      <c r="AJ5588" s="13"/>
      <c r="AK5588" s="13"/>
      <c r="AL5588" s="13"/>
      <c r="AM5588" s="13"/>
      <c r="AN5588" s="13"/>
      <c r="AO5588" s="13"/>
      <c r="AP5588" s="13"/>
      <c r="AQ5588" s="13"/>
      <c r="AR5588" s="13"/>
      <c r="AS5588" s="13"/>
    </row>
    <row r="5589" ht="14.25" customHeight="1">
      <c r="A5589" s="13"/>
      <c r="B5589" s="13"/>
      <c r="C5589" s="13"/>
      <c r="D5589" s="13"/>
      <c r="E5589" s="13"/>
      <c r="F5589" s="13"/>
      <c r="G5589" s="13"/>
      <c r="H5589" s="13"/>
      <c r="I5589" s="13"/>
      <c r="J5589" s="13"/>
      <c r="K5589" s="15"/>
      <c r="L5589" s="15"/>
      <c r="M5589" s="16"/>
      <c r="N5589" s="16"/>
      <c r="O5589" s="17"/>
      <c r="P5589" s="17"/>
      <c r="Q5589" s="13"/>
      <c r="R5589" s="13"/>
      <c r="S5589" s="13"/>
      <c r="T5589" s="13"/>
      <c r="U5589" s="13"/>
      <c r="V5589" s="13"/>
      <c r="W5589" s="13"/>
      <c r="X5589" s="13"/>
      <c r="Y5589" s="13"/>
      <c r="Z5589" s="13"/>
      <c r="AA5589" s="13"/>
      <c r="AB5589" s="13"/>
      <c r="AC5589" s="13"/>
      <c r="AD5589" s="13"/>
      <c r="AE5589" s="13"/>
      <c r="AF5589" s="13"/>
      <c r="AG5589" s="13"/>
      <c r="AH5589" s="13"/>
      <c r="AI5589" s="13"/>
      <c r="AJ5589" s="13"/>
      <c r="AK5589" s="13"/>
      <c r="AL5589" s="13"/>
      <c r="AM5589" s="13"/>
      <c r="AN5589" s="13"/>
      <c r="AO5589" s="13"/>
      <c r="AP5589" s="13"/>
      <c r="AQ5589" s="13"/>
      <c r="AR5589" s="13"/>
      <c r="AS5589" s="13"/>
    </row>
    <row r="5590" ht="14.25" customHeight="1">
      <c r="A5590" s="13"/>
      <c r="B5590" s="13"/>
      <c r="C5590" s="13"/>
      <c r="D5590" s="13"/>
      <c r="E5590" s="13"/>
      <c r="F5590" s="13"/>
      <c r="G5590" s="13"/>
      <c r="H5590" s="13"/>
      <c r="I5590" s="13"/>
      <c r="J5590" s="13"/>
      <c r="K5590" s="15"/>
      <c r="L5590" s="15"/>
      <c r="M5590" s="16"/>
      <c r="N5590" s="16"/>
      <c r="O5590" s="17"/>
      <c r="P5590" s="17"/>
      <c r="Q5590" s="13"/>
      <c r="R5590" s="13"/>
      <c r="S5590" s="13"/>
      <c r="T5590" s="13"/>
      <c r="U5590" s="13"/>
      <c r="V5590" s="13"/>
      <c r="W5590" s="13"/>
      <c r="X5590" s="13"/>
      <c r="Y5590" s="13"/>
      <c r="Z5590" s="13"/>
      <c r="AA5590" s="13"/>
      <c r="AB5590" s="13"/>
      <c r="AC5590" s="13"/>
      <c r="AD5590" s="13"/>
      <c r="AE5590" s="13"/>
      <c r="AF5590" s="13"/>
      <c r="AG5590" s="13"/>
      <c r="AH5590" s="13"/>
      <c r="AI5590" s="13"/>
      <c r="AJ5590" s="13"/>
      <c r="AK5590" s="13"/>
      <c r="AL5590" s="13"/>
      <c r="AM5590" s="13"/>
      <c r="AN5590" s="13"/>
      <c r="AO5590" s="13"/>
      <c r="AP5590" s="13"/>
      <c r="AQ5590" s="13"/>
      <c r="AR5590" s="13"/>
      <c r="AS5590" s="13"/>
    </row>
    <row r="5591" ht="14.25" customHeight="1">
      <c r="A5591" s="13"/>
      <c r="B5591" s="13"/>
      <c r="C5591" s="13"/>
      <c r="D5591" s="13"/>
      <c r="E5591" s="13"/>
      <c r="F5591" s="13"/>
      <c r="G5591" s="13"/>
      <c r="H5591" s="13"/>
      <c r="I5591" s="13"/>
      <c r="J5591" s="13"/>
      <c r="K5591" s="15"/>
      <c r="L5591" s="15"/>
      <c r="M5591" s="16"/>
      <c r="N5591" s="16"/>
      <c r="O5591" s="17"/>
      <c r="P5591" s="17"/>
      <c r="Q5591" s="13"/>
      <c r="R5591" s="13"/>
      <c r="S5591" s="13"/>
      <c r="T5591" s="13"/>
      <c r="U5591" s="13"/>
      <c r="V5591" s="13"/>
      <c r="W5591" s="13"/>
      <c r="X5591" s="13"/>
      <c r="Y5591" s="13"/>
      <c r="Z5591" s="13"/>
      <c r="AA5591" s="13"/>
      <c r="AB5591" s="13"/>
      <c r="AC5591" s="13"/>
      <c r="AD5591" s="13"/>
      <c r="AE5591" s="13"/>
      <c r="AF5591" s="13"/>
      <c r="AG5591" s="13"/>
      <c r="AH5591" s="13"/>
      <c r="AI5591" s="13"/>
      <c r="AJ5591" s="13"/>
      <c r="AK5591" s="13"/>
      <c r="AL5591" s="13"/>
      <c r="AM5591" s="13"/>
      <c r="AN5591" s="13"/>
      <c r="AO5591" s="13"/>
      <c r="AP5591" s="13"/>
      <c r="AQ5591" s="13"/>
      <c r="AR5591" s="13"/>
      <c r="AS5591" s="13"/>
    </row>
    <row r="5592" ht="14.25" customHeight="1">
      <c r="A5592" s="13"/>
      <c r="B5592" s="13"/>
      <c r="C5592" s="13"/>
      <c r="D5592" s="13"/>
      <c r="E5592" s="13"/>
      <c r="F5592" s="13"/>
      <c r="G5592" s="13"/>
      <c r="H5592" s="13"/>
      <c r="I5592" s="13"/>
      <c r="J5592" s="13"/>
      <c r="K5592" s="15"/>
      <c r="L5592" s="15"/>
      <c r="M5592" s="16"/>
      <c r="N5592" s="16"/>
      <c r="O5592" s="17"/>
      <c r="P5592" s="17"/>
      <c r="Q5592" s="13"/>
      <c r="R5592" s="13"/>
      <c r="S5592" s="13"/>
      <c r="T5592" s="13"/>
      <c r="U5592" s="13"/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F5592" s="13"/>
      <c r="AG5592" s="13"/>
      <c r="AH5592" s="13"/>
      <c r="AI5592" s="13"/>
      <c r="AJ5592" s="13"/>
      <c r="AK5592" s="13"/>
      <c r="AL5592" s="13"/>
      <c r="AM5592" s="13"/>
      <c r="AN5592" s="13"/>
      <c r="AO5592" s="13"/>
      <c r="AP5592" s="13"/>
      <c r="AQ5592" s="13"/>
      <c r="AR5592" s="13"/>
      <c r="AS5592" s="13"/>
    </row>
    <row r="5593" ht="14.25" customHeight="1">
      <c r="A5593" s="13"/>
      <c r="B5593" s="13"/>
      <c r="C5593" s="13"/>
      <c r="D5593" s="13"/>
      <c r="E5593" s="13"/>
      <c r="F5593" s="13"/>
      <c r="G5593" s="13"/>
      <c r="H5593" s="13"/>
      <c r="I5593" s="13"/>
      <c r="J5593" s="13"/>
      <c r="K5593" s="15"/>
      <c r="L5593" s="15"/>
      <c r="M5593" s="16"/>
      <c r="N5593" s="16"/>
      <c r="O5593" s="17"/>
      <c r="P5593" s="17"/>
      <c r="Q5593" s="13"/>
      <c r="R5593" s="13"/>
      <c r="S5593" s="13"/>
      <c r="T5593" s="13"/>
      <c r="U5593" s="13"/>
      <c r="V5593" s="13"/>
      <c r="W5593" s="13"/>
      <c r="X5593" s="13"/>
      <c r="Y5593" s="13"/>
      <c r="Z5593" s="13"/>
      <c r="AA5593" s="13"/>
      <c r="AB5593" s="13"/>
      <c r="AC5593" s="13"/>
      <c r="AD5593" s="13"/>
      <c r="AE5593" s="13"/>
      <c r="AF5593" s="13"/>
      <c r="AG5593" s="13"/>
      <c r="AH5593" s="13"/>
      <c r="AI5593" s="13"/>
      <c r="AJ5593" s="13"/>
      <c r="AK5593" s="13"/>
      <c r="AL5593" s="13"/>
      <c r="AM5593" s="13"/>
      <c r="AN5593" s="13"/>
      <c r="AO5593" s="13"/>
      <c r="AP5593" s="13"/>
      <c r="AQ5593" s="13"/>
      <c r="AR5593" s="13"/>
      <c r="AS5593" s="13"/>
    </row>
    <row r="5594" ht="14.25" customHeight="1">
      <c r="A5594" s="13"/>
      <c r="B5594" s="13"/>
      <c r="C5594" s="13"/>
      <c r="D5594" s="13"/>
      <c r="E5594" s="13"/>
      <c r="F5594" s="13"/>
      <c r="G5594" s="13"/>
      <c r="H5594" s="13"/>
      <c r="I5594" s="13"/>
      <c r="J5594" s="13"/>
      <c r="K5594" s="15"/>
      <c r="L5594" s="15"/>
      <c r="M5594" s="16"/>
      <c r="N5594" s="16"/>
      <c r="O5594" s="17"/>
      <c r="P5594" s="17"/>
      <c r="Q5594" s="13"/>
      <c r="R5594" s="13"/>
      <c r="S5594" s="13"/>
      <c r="T5594" s="13"/>
      <c r="U5594" s="13"/>
      <c r="V5594" s="13"/>
      <c r="W5594" s="13"/>
      <c r="X5594" s="13"/>
      <c r="Y5594" s="13"/>
      <c r="Z5594" s="13"/>
      <c r="AA5594" s="13"/>
      <c r="AB5594" s="13"/>
      <c r="AC5594" s="13"/>
      <c r="AD5594" s="13"/>
      <c r="AE5594" s="13"/>
      <c r="AF5594" s="13"/>
      <c r="AG5594" s="13"/>
      <c r="AH5594" s="13"/>
      <c r="AI5594" s="13"/>
      <c r="AJ5594" s="13"/>
      <c r="AK5594" s="13"/>
      <c r="AL5594" s="13"/>
      <c r="AM5594" s="13"/>
      <c r="AN5594" s="13"/>
      <c r="AO5594" s="13"/>
      <c r="AP5594" s="13"/>
      <c r="AQ5594" s="13"/>
      <c r="AR5594" s="13"/>
      <c r="AS5594" s="13"/>
    </row>
    <row r="5595" ht="14.25" customHeight="1">
      <c r="A5595" s="13"/>
      <c r="B5595" s="13"/>
      <c r="C5595" s="13"/>
      <c r="D5595" s="13"/>
      <c r="E5595" s="13"/>
      <c r="F5595" s="13"/>
      <c r="G5595" s="13"/>
      <c r="H5595" s="13"/>
      <c r="I5595" s="13"/>
      <c r="J5595" s="13"/>
      <c r="K5595" s="15"/>
      <c r="L5595" s="15"/>
      <c r="M5595" s="16"/>
      <c r="N5595" s="16"/>
      <c r="O5595" s="17"/>
      <c r="P5595" s="17"/>
      <c r="Q5595" s="13"/>
      <c r="R5595" s="13"/>
      <c r="S5595" s="13"/>
      <c r="T5595" s="13"/>
      <c r="U5595" s="13"/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F5595" s="13"/>
      <c r="AG5595" s="13"/>
      <c r="AH5595" s="13"/>
      <c r="AI5595" s="13"/>
      <c r="AJ5595" s="13"/>
      <c r="AK5595" s="13"/>
      <c r="AL5595" s="13"/>
      <c r="AM5595" s="13"/>
      <c r="AN5595" s="13"/>
      <c r="AO5595" s="13"/>
      <c r="AP5595" s="13"/>
      <c r="AQ5595" s="13"/>
      <c r="AR5595" s="13"/>
      <c r="AS5595" s="13"/>
    </row>
    <row r="5596" ht="14.25" customHeight="1">
      <c r="A5596" s="13"/>
      <c r="B5596" s="13"/>
      <c r="C5596" s="13"/>
      <c r="D5596" s="13"/>
      <c r="E5596" s="13"/>
      <c r="F5596" s="13"/>
      <c r="G5596" s="13"/>
      <c r="H5596" s="13"/>
      <c r="I5596" s="13"/>
      <c r="J5596" s="13"/>
      <c r="K5596" s="15"/>
      <c r="L5596" s="15"/>
      <c r="M5596" s="16"/>
      <c r="N5596" s="16"/>
      <c r="O5596" s="17"/>
      <c r="P5596" s="17"/>
      <c r="Q5596" s="13"/>
      <c r="R5596" s="13"/>
      <c r="S5596" s="13"/>
      <c r="T5596" s="13"/>
      <c r="U5596" s="13"/>
      <c r="V5596" s="13"/>
      <c r="W5596" s="13"/>
      <c r="X5596" s="13"/>
      <c r="Y5596" s="13"/>
      <c r="Z5596" s="13"/>
      <c r="AA5596" s="13"/>
      <c r="AB5596" s="13"/>
      <c r="AC5596" s="13"/>
      <c r="AD5596" s="13"/>
      <c r="AE5596" s="13"/>
      <c r="AF5596" s="13"/>
      <c r="AG5596" s="13"/>
      <c r="AH5596" s="13"/>
      <c r="AI5596" s="13"/>
      <c r="AJ5596" s="13"/>
      <c r="AK5596" s="13"/>
      <c r="AL5596" s="13"/>
      <c r="AM5596" s="13"/>
      <c r="AN5596" s="13"/>
      <c r="AO5596" s="13"/>
      <c r="AP5596" s="13"/>
      <c r="AQ5596" s="13"/>
      <c r="AR5596" s="13"/>
      <c r="AS5596" s="13"/>
    </row>
    <row r="5597" ht="14.25" customHeight="1">
      <c r="A5597" s="13"/>
      <c r="B5597" s="13"/>
      <c r="C5597" s="13"/>
      <c r="D5597" s="13"/>
      <c r="E5597" s="13"/>
      <c r="F5597" s="13"/>
      <c r="G5597" s="13"/>
      <c r="H5597" s="13"/>
      <c r="I5597" s="13"/>
      <c r="J5597" s="13"/>
      <c r="K5597" s="15"/>
      <c r="L5597" s="15"/>
      <c r="M5597" s="16"/>
      <c r="N5597" s="16"/>
      <c r="O5597" s="17"/>
      <c r="P5597" s="17"/>
      <c r="Q5597" s="13"/>
      <c r="R5597" s="13"/>
      <c r="S5597" s="13"/>
      <c r="T5597" s="13"/>
      <c r="U5597" s="13"/>
      <c r="V5597" s="13"/>
      <c r="W5597" s="13"/>
      <c r="X5597" s="13"/>
      <c r="Y5597" s="13"/>
      <c r="Z5597" s="13"/>
      <c r="AA5597" s="13"/>
      <c r="AB5597" s="13"/>
      <c r="AC5597" s="13"/>
      <c r="AD5597" s="13"/>
      <c r="AE5597" s="13"/>
      <c r="AF5597" s="13"/>
      <c r="AG5597" s="13"/>
      <c r="AH5597" s="13"/>
      <c r="AI5597" s="13"/>
      <c r="AJ5597" s="13"/>
      <c r="AK5597" s="13"/>
      <c r="AL5597" s="13"/>
      <c r="AM5597" s="13"/>
      <c r="AN5597" s="13"/>
      <c r="AO5597" s="13"/>
      <c r="AP5597" s="13"/>
      <c r="AQ5597" s="13"/>
      <c r="AR5597" s="13"/>
      <c r="AS5597" s="13"/>
    </row>
    <row r="5598" ht="14.25" customHeight="1">
      <c r="A5598" s="13"/>
      <c r="B5598" s="13"/>
      <c r="C5598" s="13"/>
      <c r="D5598" s="13"/>
      <c r="E5598" s="13"/>
      <c r="F5598" s="13"/>
      <c r="G5598" s="13"/>
      <c r="H5598" s="13"/>
      <c r="I5598" s="13"/>
      <c r="J5598" s="13"/>
      <c r="K5598" s="15"/>
      <c r="L5598" s="15"/>
      <c r="M5598" s="16"/>
      <c r="N5598" s="16"/>
      <c r="O5598" s="17"/>
      <c r="P5598" s="17"/>
      <c r="Q5598" s="13"/>
      <c r="R5598" s="13"/>
      <c r="S5598" s="13"/>
      <c r="T5598" s="13"/>
      <c r="U5598" s="13"/>
      <c r="V5598" s="13"/>
      <c r="W5598" s="13"/>
      <c r="X5598" s="13"/>
      <c r="Y5598" s="13"/>
      <c r="Z5598" s="13"/>
      <c r="AA5598" s="13"/>
      <c r="AB5598" s="13"/>
      <c r="AC5598" s="13"/>
      <c r="AD5598" s="13"/>
      <c r="AE5598" s="13"/>
      <c r="AF5598" s="13"/>
      <c r="AG5598" s="13"/>
      <c r="AH5598" s="13"/>
      <c r="AI5598" s="13"/>
      <c r="AJ5598" s="13"/>
      <c r="AK5598" s="13"/>
      <c r="AL5598" s="13"/>
      <c r="AM5598" s="13"/>
      <c r="AN5598" s="13"/>
      <c r="AO5598" s="13"/>
      <c r="AP5598" s="13"/>
      <c r="AQ5598" s="13"/>
      <c r="AR5598" s="13"/>
      <c r="AS5598" s="13"/>
    </row>
    <row r="5599" ht="14.25" customHeight="1">
      <c r="A5599" s="13"/>
      <c r="B5599" s="13"/>
      <c r="C5599" s="13"/>
      <c r="D5599" s="13"/>
      <c r="E5599" s="13"/>
      <c r="F5599" s="13"/>
      <c r="G5599" s="13"/>
      <c r="H5599" s="13"/>
      <c r="I5599" s="13"/>
      <c r="J5599" s="13"/>
      <c r="K5599" s="15"/>
      <c r="L5599" s="15"/>
      <c r="M5599" s="16"/>
      <c r="N5599" s="16"/>
      <c r="O5599" s="17"/>
      <c r="P5599" s="17"/>
      <c r="Q5599" s="13"/>
      <c r="R5599" s="13"/>
      <c r="S5599" s="13"/>
      <c r="T5599" s="13"/>
      <c r="U5599" s="13"/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F5599" s="13"/>
      <c r="AG5599" s="13"/>
      <c r="AH5599" s="13"/>
      <c r="AI5599" s="13"/>
      <c r="AJ5599" s="13"/>
      <c r="AK5599" s="13"/>
      <c r="AL5599" s="13"/>
      <c r="AM5599" s="13"/>
      <c r="AN5599" s="13"/>
      <c r="AO5599" s="13"/>
      <c r="AP5599" s="13"/>
      <c r="AQ5599" s="13"/>
      <c r="AR5599" s="13"/>
      <c r="AS5599" s="13"/>
    </row>
    <row r="5600" ht="14.25" customHeight="1">
      <c r="A5600" s="13"/>
      <c r="B5600" s="13"/>
      <c r="C5600" s="13"/>
      <c r="D5600" s="13"/>
      <c r="E5600" s="13"/>
      <c r="F5600" s="13"/>
      <c r="G5600" s="13"/>
      <c r="H5600" s="13"/>
      <c r="I5600" s="13"/>
      <c r="J5600" s="13"/>
      <c r="K5600" s="15"/>
      <c r="L5600" s="15"/>
      <c r="M5600" s="16"/>
      <c r="N5600" s="16"/>
      <c r="O5600" s="17"/>
      <c r="P5600" s="17"/>
      <c r="Q5600" s="13"/>
      <c r="R5600" s="13"/>
      <c r="S5600" s="13"/>
      <c r="T5600" s="13"/>
      <c r="U5600" s="13"/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F5600" s="13"/>
      <c r="AG5600" s="13"/>
      <c r="AH5600" s="13"/>
      <c r="AI5600" s="13"/>
      <c r="AJ5600" s="13"/>
      <c r="AK5600" s="13"/>
      <c r="AL5600" s="13"/>
      <c r="AM5600" s="13"/>
      <c r="AN5600" s="13"/>
      <c r="AO5600" s="13"/>
      <c r="AP5600" s="13"/>
      <c r="AQ5600" s="13"/>
      <c r="AR5600" s="13"/>
      <c r="AS5600" s="13"/>
    </row>
    <row r="5601" ht="14.25" customHeight="1">
      <c r="A5601" s="13"/>
      <c r="B5601" s="13"/>
      <c r="C5601" s="13"/>
      <c r="D5601" s="13"/>
      <c r="E5601" s="13"/>
      <c r="F5601" s="13"/>
      <c r="G5601" s="13"/>
      <c r="H5601" s="13"/>
      <c r="I5601" s="13"/>
      <c r="J5601" s="13"/>
      <c r="K5601" s="15"/>
      <c r="L5601" s="15"/>
      <c r="M5601" s="16"/>
      <c r="N5601" s="16"/>
      <c r="O5601" s="17"/>
      <c r="P5601" s="17"/>
      <c r="Q5601" s="13"/>
      <c r="R5601" s="13"/>
      <c r="S5601" s="13"/>
      <c r="T5601" s="13"/>
      <c r="U5601" s="13"/>
      <c r="V5601" s="13"/>
      <c r="W5601" s="13"/>
      <c r="X5601" s="13"/>
      <c r="Y5601" s="13"/>
      <c r="Z5601" s="13"/>
      <c r="AA5601" s="13"/>
      <c r="AB5601" s="13"/>
      <c r="AC5601" s="13"/>
      <c r="AD5601" s="13"/>
      <c r="AE5601" s="13"/>
      <c r="AF5601" s="13"/>
      <c r="AG5601" s="13"/>
      <c r="AH5601" s="13"/>
      <c r="AI5601" s="13"/>
      <c r="AJ5601" s="13"/>
      <c r="AK5601" s="13"/>
      <c r="AL5601" s="13"/>
      <c r="AM5601" s="13"/>
      <c r="AN5601" s="13"/>
      <c r="AO5601" s="13"/>
      <c r="AP5601" s="13"/>
      <c r="AQ5601" s="13"/>
      <c r="AR5601" s="13"/>
      <c r="AS5601" s="13"/>
    </row>
    <row r="5602" ht="14.25" customHeight="1">
      <c r="A5602" s="13"/>
      <c r="B5602" s="13"/>
      <c r="C5602" s="13"/>
      <c r="D5602" s="13"/>
      <c r="E5602" s="13"/>
      <c r="F5602" s="13"/>
      <c r="G5602" s="13"/>
      <c r="H5602" s="13"/>
      <c r="I5602" s="13"/>
      <c r="J5602" s="13"/>
      <c r="K5602" s="15"/>
      <c r="L5602" s="15"/>
      <c r="M5602" s="16"/>
      <c r="N5602" s="16"/>
      <c r="O5602" s="17"/>
      <c r="P5602" s="17"/>
      <c r="Q5602" s="13"/>
      <c r="R5602" s="13"/>
      <c r="S5602" s="13"/>
      <c r="T5602" s="13"/>
      <c r="U5602" s="13"/>
      <c r="V5602" s="13"/>
      <c r="W5602" s="13"/>
      <c r="X5602" s="13"/>
      <c r="Y5602" s="13"/>
      <c r="Z5602" s="13"/>
      <c r="AA5602" s="13"/>
      <c r="AB5602" s="13"/>
      <c r="AC5602" s="13"/>
      <c r="AD5602" s="13"/>
      <c r="AE5602" s="13"/>
      <c r="AF5602" s="13"/>
      <c r="AG5602" s="13"/>
      <c r="AH5602" s="13"/>
      <c r="AI5602" s="13"/>
      <c r="AJ5602" s="13"/>
      <c r="AK5602" s="13"/>
      <c r="AL5602" s="13"/>
      <c r="AM5602" s="13"/>
      <c r="AN5602" s="13"/>
      <c r="AO5602" s="13"/>
      <c r="AP5602" s="13"/>
      <c r="AQ5602" s="13"/>
      <c r="AR5602" s="13"/>
      <c r="AS5602" s="13"/>
    </row>
    <row r="5603" ht="14.25" customHeight="1">
      <c r="A5603" s="13"/>
      <c r="B5603" s="13"/>
      <c r="C5603" s="13"/>
      <c r="D5603" s="13"/>
      <c r="E5603" s="13"/>
      <c r="F5603" s="13"/>
      <c r="G5603" s="13"/>
      <c r="H5603" s="13"/>
      <c r="I5603" s="13"/>
      <c r="J5603" s="13"/>
      <c r="K5603" s="15"/>
      <c r="L5603" s="15"/>
      <c r="M5603" s="16"/>
      <c r="N5603" s="16"/>
      <c r="O5603" s="17"/>
      <c r="P5603" s="17"/>
      <c r="Q5603" s="13"/>
      <c r="R5603" s="13"/>
      <c r="S5603" s="13"/>
      <c r="T5603" s="13"/>
      <c r="U5603" s="13"/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F5603" s="13"/>
      <c r="AG5603" s="13"/>
      <c r="AH5603" s="13"/>
      <c r="AI5603" s="13"/>
      <c r="AJ5603" s="13"/>
      <c r="AK5603" s="13"/>
      <c r="AL5603" s="13"/>
      <c r="AM5603" s="13"/>
      <c r="AN5603" s="13"/>
      <c r="AO5603" s="13"/>
      <c r="AP5603" s="13"/>
      <c r="AQ5603" s="13"/>
      <c r="AR5603" s="13"/>
      <c r="AS5603" s="13"/>
    </row>
    <row r="5604" ht="14.25" customHeight="1">
      <c r="A5604" s="13"/>
      <c r="B5604" s="13"/>
      <c r="C5604" s="13"/>
      <c r="D5604" s="13"/>
      <c r="E5604" s="13"/>
      <c r="F5604" s="13"/>
      <c r="G5604" s="13"/>
      <c r="H5604" s="13"/>
      <c r="I5604" s="13"/>
      <c r="J5604" s="13"/>
      <c r="K5604" s="15"/>
      <c r="L5604" s="15"/>
      <c r="M5604" s="16"/>
      <c r="N5604" s="16"/>
      <c r="O5604" s="17"/>
      <c r="P5604" s="17"/>
      <c r="Q5604" s="13"/>
      <c r="R5604" s="13"/>
      <c r="S5604" s="13"/>
      <c r="T5604" s="13"/>
      <c r="U5604" s="13"/>
      <c r="V5604" s="13"/>
      <c r="W5604" s="13"/>
      <c r="X5604" s="13"/>
      <c r="Y5604" s="13"/>
      <c r="Z5604" s="13"/>
      <c r="AA5604" s="13"/>
      <c r="AB5604" s="13"/>
      <c r="AC5604" s="13"/>
      <c r="AD5604" s="13"/>
      <c r="AE5604" s="13"/>
      <c r="AF5604" s="13"/>
      <c r="AG5604" s="13"/>
      <c r="AH5604" s="13"/>
      <c r="AI5604" s="13"/>
      <c r="AJ5604" s="13"/>
      <c r="AK5604" s="13"/>
      <c r="AL5604" s="13"/>
      <c r="AM5604" s="13"/>
      <c r="AN5604" s="13"/>
      <c r="AO5604" s="13"/>
      <c r="AP5604" s="13"/>
      <c r="AQ5604" s="13"/>
      <c r="AR5604" s="13"/>
      <c r="AS5604" s="13"/>
    </row>
    <row r="5605" ht="14.25" customHeight="1">
      <c r="A5605" s="13"/>
      <c r="B5605" s="13"/>
      <c r="C5605" s="13"/>
      <c r="D5605" s="13"/>
      <c r="E5605" s="13"/>
      <c r="F5605" s="13"/>
      <c r="G5605" s="13"/>
      <c r="H5605" s="13"/>
      <c r="I5605" s="13"/>
      <c r="J5605" s="13"/>
      <c r="K5605" s="15"/>
      <c r="L5605" s="15"/>
      <c r="M5605" s="16"/>
      <c r="N5605" s="16"/>
      <c r="O5605" s="17"/>
      <c r="P5605" s="17"/>
      <c r="Q5605" s="13"/>
      <c r="R5605" s="13"/>
      <c r="S5605" s="13"/>
      <c r="T5605" s="13"/>
      <c r="U5605" s="13"/>
      <c r="V5605" s="13"/>
      <c r="W5605" s="13"/>
      <c r="X5605" s="13"/>
      <c r="Y5605" s="13"/>
      <c r="Z5605" s="13"/>
      <c r="AA5605" s="13"/>
      <c r="AB5605" s="13"/>
      <c r="AC5605" s="13"/>
      <c r="AD5605" s="13"/>
      <c r="AE5605" s="13"/>
      <c r="AF5605" s="13"/>
      <c r="AG5605" s="13"/>
      <c r="AH5605" s="13"/>
      <c r="AI5605" s="13"/>
      <c r="AJ5605" s="13"/>
      <c r="AK5605" s="13"/>
      <c r="AL5605" s="13"/>
      <c r="AM5605" s="13"/>
      <c r="AN5605" s="13"/>
      <c r="AO5605" s="13"/>
      <c r="AP5605" s="13"/>
      <c r="AQ5605" s="13"/>
      <c r="AR5605" s="13"/>
      <c r="AS5605" s="13"/>
    </row>
    <row r="5606" ht="14.25" customHeight="1">
      <c r="A5606" s="13"/>
      <c r="B5606" s="13"/>
      <c r="C5606" s="13"/>
      <c r="D5606" s="13"/>
      <c r="E5606" s="13"/>
      <c r="F5606" s="13"/>
      <c r="G5606" s="13"/>
      <c r="H5606" s="13"/>
      <c r="I5606" s="13"/>
      <c r="J5606" s="13"/>
      <c r="K5606" s="15"/>
      <c r="L5606" s="15"/>
      <c r="M5606" s="16"/>
      <c r="N5606" s="16"/>
      <c r="O5606" s="17"/>
      <c r="P5606" s="17"/>
      <c r="Q5606" s="13"/>
      <c r="R5606" s="13"/>
      <c r="S5606" s="13"/>
      <c r="T5606" s="13"/>
      <c r="U5606" s="13"/>
      <c r="V5606" s="13"/>
      <c r="W5606" s="13"/>
      <c r="X5606" s="13"/>
      <c r="Y5606" s="13"/>
      <c r="Z5606" s="13"/>
      <c r="AA5606" s="13"/>
      <c r="AB5606" s="13"/>
      <c r="AC5606" s="13"/>
      <c r="AD5606" s="13"/>
      <c r="AE5606" s="13"/>
      <c r="AF5606" s="13"/>
      <c r="AG5606" s="13"/>
      <c r="AH5606" s="13"/>
      <c r="AI5606" s="13"/>
      <c r="AJ5606" s="13"/>
      <c r="AK5606" s="13"/>
      <c r="AL5606" s="13"/>
      <c r="AM5606" s="13"/>
      <c r="AN5606" s="13"/>
      <c r="AO5606" s="13"/>
      <c r="AP5606" s="13"/>
      <c r="AQ5606" s="13"/>
      <c r="AR5606" s="13"/>
      <c r="AS5606" s="13"/>
    </row>
    <row r="5607" ht="14.25" customHeight="1">
      <c r="A5607" s="13"/>
      <c r="B5607" s="13"/>
      <c r="C5607" s="13"/>
      <c r="D5607" s="13"/>
      <c r="E5607" s="13"/>
      <c r="F5607" s="13"/>
      <c r="G5607" s="13"/>
      <c r="H5607" s="13"/>
      <c r="I5607" s="13"/>
      <c r="J5607" s="13"/>
      <c r="K5607" s="15"/>
      <c r="L5607" s="15"/>
      <c r="M5607" s="16"/>
      <c r="N5607" s="16"/>
      <c r="O5607" s="17"/>
      <c r="P5607" s="17"/>
      <c r="Q5607" s="13"/>
      <c r="R5607" s="13"/>
      <c r="S5607" s="13"/>
      <c r="T5607" s="13"/>
      <c r="U5607" s="13"/>
      <c r="V5607" s="13"/>
      <c r="W5607" s="13"/>
      <c r="X5607" s="13"/>
      <c r="Y5607" s="13"/>
      <c r="Z5607" s="13"/>
      <c r="AA5607" s="13"/>
      <c r="AB5607" s="13"/>
      <c r="AC5607" s="13"/>
      <c r="AD5607" s="13"/>
      <c r="AE5607" s="13"/>
      <c r="AF5607" s="13"/>
      <c r="AG5607" s="13"/>
      <c r="AH5607" s="13"/>
      <c r="AI5607" s="13"/>
      <c r="AJ5607" s="13"/>
      <c r="AK5607" s="13"/>
      <c r="AL5607" s="13"/>
      <c r="AM5607" s="13"/>
      <c r="AN5607" s="13"/>
      <c r="AO5607" s="13"/>
      <c r="AP5607" s="13"/>
      <c r="AQ5607" s="13"/>
      <c r="AR5607" s="13"/>
      <c r="AS5607" s="13"/>
    </row>
    <row r="5608" ht="14.25" customHeight="1">
      <c r="A5608" s="13"/>
      <c r="B5608" s="13"/>
      <c r="C5608" s="13"/>
      <c r="D5608" s="13"/>
      <c r="E5608" s="13"/>
      <c r="F5608" s="13"/>
      <c r="G5608" s="13"/>
      <c r="H5608" s="13"/>
      <c r="I5608" s="13"/>
      <c r="J5608" s="13"/>
      <c r="K5608" s="15"/>
      <c r="L5608" s="15"/>
      <c r="M5608" s="16"/>
      <c r="N5608" s="16"/>
      <c r="O5608" s="17"/>
      <c r="P5608" s="17"/>
      <c r="Q5608" s="13"/>
      <c r="R5608" s="13"/>
      <c r="S5608" s="13"/>
      <c r="T5608" s="13"/>
      <c r="U5608" s="13"/>
      <c r="V5608" s="13"/>
      <c r="W5608" s="13"/>
      <c r="X5608" s="13"/>
      <c r="Y5608" s="13"/>
      <c r="Z5608" s="13"/>
      <c r="AA5608" s="13"/>
      <c r="AB5608" s="13"/>
      <c r="AC5608" s="13"/>
      <c r="AD5608" s="13"/>
      <c r="AE5608" s="13"/>
      <c r="AF5608" s="13"/>
      <c r="AG5608" s="13"/>
      <c r="AH5608" s="13"/>
      <c r="AI5608" s="13"/>
      <c r="AJ5608" s="13"/>
      <c r="AK5608" s="13"/>
      <c r="AL5608" s="13"/>
      <c r="AM5608" s="13"/>
      <c r="AN5608" s="13"/>
      <c r="AO5608" s="13"/>
      <c r="AP5608" s="13"/>
      <c r="AQ5608" s="13"/>
      <c r="AR5608" s="13"/>
      <c r="AS5608" s="13"/>
    </row>
    <row r="5609" ht="14.25" customHeight="1">
      <c r="A5609" s="13"/>
      <c r="B5609" s="13"/>
      <c r="C5609" s="13"/>
      <c r="D5609" s="13"/>
      <c r="E5609" s="13"/>
      <c r="F5609" s="13"/>
      <c r="G5609" s="13"/>
      <c r="H5609" s="13"/>
      <c r="I5609" s="13"/>
      <c r="J5609" s="13"/>
      <c r="K5609" s="15"/>
      <c r="L5609" s="15"/>
      <c r="M5609" s="16"/>
      <c r="N5609" s="16"/>
      <c r="O5609" s="17"/>
      <c r="P5609" s="17"/>
      <c r="Q5609" s="13"/>
      <c r="R5609" s="13"/>
      <c r="S5609" s="13"/>
      <c r="T5609" s="13"/>
      <c r="U5609" s="13"/>
      <c r="V5609" s="13"/>
      <c r="W5609" s="13"/>
      <c r="X5609" s="13"/>
      <c r="Y5609" s="13"/>
      <c r="Z5609" s="13"/>
      <c r="AA5609" s="13"/>
      <c r="AB5609" s="13"/>
      <c r="AC5609" s="13"/>
      <c r="AD5609" s="13"/>
      <c r="AE5609" s="13"/>
      <c r="AF5609" s="13"/>
      <c r="AG5609" s="13"/>
      <c r="AH5609" s="13"/>
      <c r="AI5609" s="13"/>
      <c r="AJ5609" s="13"/>
      <c r="AK5609" s="13"/>
      <c r="AL5609" s="13"/>
      <c r="AM5609" s="13"/>
      <c r="AN5609" s="13"/>
      <c r="AO5609" s="13"/>
      <c r="AP5609" s="13"/>
      <c r="AQ5609" s="13"/>
      <c r="AR5609" s="13"/>
      <c r="AS5609" s="13"/>
    </row>
    <row r="5610" ht="14.25" customHeight="1">
      <c r="A5610" s="13"/>
      <c r="B5610" s="13"/>
      <c r="C5610" s="13"/>
      <c r="D5610" s="13"/>
      <c r="E5610" s="13"/>
      <c r="F5610" s="13"/>
      <c r="G5610" s="13"/>
      <c r="H5610" s="13"/>
      <c r="I5610" s="13"/>
      <c r="J5610" s="13"/>
      <c r="K5610" s="15"/>
      <c r="L5610" s="15"/>
      <c r="M5610" s="16"/>
      <c r="N5610" s="16"/>
      <c r="O5610" s="17"/>
      <c r="P5610" s="17"/>
      <c r="Q5610" s="13"/>
      <c r="R5610" s="13"/>
      <c r="S5610" s="13"/>
      <c r="T5610" s="13"/>
      <c r="U5610" s="13"/>
      <c r="V5610" s="13"/>
      <c r="W5610" s="13"/>
      <c r="X5610" s="13"/>
      <c r="Y5610" s="13"/>
      <c r="Z5610" s="13"/>
      <c r="AA5610" s="13"/>
      <c r="AB5610" s="13"/>
      <c r="AC5610" s="13"/>
      <c r="AD5610" s="13"/>
      <c r="AE5610" s="13"/>
      <c r="AF5610" s="13"/>
      <c r="AG5610" s="13"/>
      <c r="AH5610" s="13"/>
      <c r="AI5610" s="13"/>
      <c r="AJ5610" s="13"/>
      <c r="AK5610" s="13"/>
      <c r="AL5610" s="13"/>
      <c r="AM5610" s="13"/>
      <c r="AN5610" s="13"/>
      <c r="AO5610" s="13"/>
      <c r="AP5610" s="13"/>
      <c r="AQ5610" s="13"/>
      <c r="AR5610" s="13"/>
      <c r="AS5610" s="13"/>
    </row>
    <row r="5611" ht="14.25" customHeight="1">
      <c r="A5611" s="13"/>
      <c r="B5611" s="13"/>
      <c r="C5611" s="13"/>
      <c r="D5611" s="13"/>
      <c r="E5611" s="13"/>
      <c r="F5611" s="13"/>
      <c r="G5611" s="13"/>
      <c r="H5611" s="13"/>
      <c r="I5611" s="13"/>
      <c r="J5611" s="13"/>
      <c r="K5611" s="15"/>
      <c r="L5611" s="15"/>
      <c r="M5611" s="16"/>
      <c r="N5611" s="16"/>
      <c r="O5611" s="17"/>
      <c r="P5611" s="17"/>
      <c r="Q5611" s="13"/>
      <c r="R5611" s="13"/>
      <c r="S5611" s="13"/>
      <c r="T5611" s="13"/>
      <c r="U5611" s="13"/>
      <c r="V5611" s="13"/>
      <c r="W5611" s="13"/>
      <c r="X5611" s="13"/>
      <c r="Y5611" s="13"/>
      <c r="Z5611" s="13"/>
      <c r="AA5611" s="13"/>
      <c r="AB5611" s="13"/>
      <c r="AC5611" s="13"/>
      <c r="AD5611" s="13"/>
      <c r="AE5611" s="13"/>
      <c r="AF5611" s="13"/>
      <c r="AG5611" s="13"/>
      <c r="AH5611" s="13"/>
      <c r="AI5611" s="13"/>
      <c r="AJ5611" s="13"/>
      <c r="AK5611" s="13"/>
      <c r="AL5611" s="13"/>
      <c r="AM5611" s="13"/>
      <c r="AN5611" s="13"/>
      <c r="AO5611" s="13"/>
      <c r="AP5611" s="13"/>
      <c r="AQ5611" s="13"/>
      <c r="AR5611" s="13"/>
      <c r="AS5611" s="13"/>
    </row>
    <row r="5612" ht="14.25" customHeight="1">
      <c r="A5612" s="13"/>
      <c r="B5612" s="13"/>
      <c r="C5612" s="13"/>
      <c r="D5612" s="13"/>
      <c r="E5612" s="13"/>
      <c r="F5612" s="13"/>
      <c r="G5612" s="13"/>
      <c r="H5612" s="13"/>
      <c r="I5612" s="13"/>
      <c r="J5612" s="13"/>
      <c r="K5612" s="15"/>
      <c r="L5612" s="15"/>
      <c r="M5612" s="16"/>
      <c r="N5612" s="16"/>
      <c r="O5612" s="17"/>
      <c r="P5612" s="17"/>
      <c r="Q5612" s="13"/>
      <c r="R5612" s="13"/>
      <c r="S5612" s="13"/>
      <c r="T5612" s="13"/>
      <c r="U5612" s="13"/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F5612" s="13"/>
      <c r="AG5612" s="13"/>
      <c r="AH5612" s="13"/>
      <c r="AI5612" s="13"/>
      <c r="AJ5612" s="13"/>
      <c r="AK5612" s="13"/>
      <c r="AL5612" s="13"/>
      <c r="AM5612" s="13"/>
      <c r="AN5612" s="13"/>
      <c r="AO5612" s="13"/>
      <c r="AP5612" s="13"/>
      <c r="AQ5612" s="13"/>
      <c r="AR5612" s="13"/>
      <c r="AS5612" s="13"/>
    </row>
    <row r="5613" ht="14.25" customHeight="1">
      <c r="A5613" s="13"/>
      <c r="B5613" s="13"/>
      <c r="C5613" s="13"/>
      <c r="D5613" s="13"/>
      <c r="E5613" s="13"/>
      <c r="F5613" s="13"/>
      <c r="G5613" s="13"/>
      <c r="H5613" s="13"/>
      <c r="I5613" s="13"/>
      <c r="J5613" s="13"/>
      <c r="K5613" s="15"/>
      <c r="L5613" s="15"/>
      <c r="M5613" s="16"/>
      <c r="N5613" s="16"/>
      <c r="O5613" s="17"/>
      <c r="P5613" s="17"/>
      <c r="Q5613" s="13"/>
      <c r="R5613" s="13"/>
      <c r="S5613" s="13"/>
      <c r="T5613" s="13"/>
      <c r="U5613" s="13"/>
      <c r="V5613" s="13"/>
      <c r="W5613" s="13"/>
      <c r="X5613" s="13"/>
      <c r="Y5613" s="13"/>
      <c r="Z5613" s="13"/>
      <c r="AA5613" s="13"/>
      <c r="AB5613" s="13"/>
      <c r="AC5613" s="13"/>
      <c r="AD5613" s="13"/>
      <c r="AE5613" s="13"/>
      <c r="AF5613" s="13"/>
      <c r="AG5613" s="13"/>
      <c r="AH5613" s="13"/>
      <c r="AI5613" s="13"/>
      <c r="AJ5613" s="13"/>
      <c r="AK5613" s="13"/>
      <c r="AL5613" s="13"/>
      <c r="AM5613" s="13"/>
      <c r="AN5613" s="13"/>
      <c r="AO5613" s="13"/>
      <c r="AP5613" s="13"/>
      <c r="AQ5613" s="13"/>
      <c r="AR5613" s="13"/>
      <c r="AS5613" s="13"/>
    </row>
    <row r="5614" ht="14.25" customHeight="1">
      <c r="A5614" s="13"/>
      <c r="B5614" s="13"/>
      <c r="C5614" s="13"/>
      <c r="D5614" s="13"/>
      <c r="E5614" s="13"/>
      <c r="F5614" s="13"/>
      <c r="G5614" s="13"/>
      <c r="H5614" s="13"/>
      <c r="I5614" s="13"/>
      <c r="J5614" s="13"/>
      <c r="K5614" s="15"/>
      <c r="L5614" s="15"/>
      <c r="M5614" s="16"/>
      <c r="N5614" s="16"/>
      <c r="O5614" s="17"/>
      <c r="P5614" s="17"/>
      <c r="Q5614" s="13"/>
      <c r="R5614" s="13"/>
      <c r="S5614" s="13"/>
      <c r="T5614" s="13"/>
      <c r="U5614" s="13"/>
      <c r="V5614" s="13"/>
      <c r="W5614" s="13"/>
      <c r="X5614" s="13"/>
      <c r="Y5614" s="13"/>
      <c r="Z5614" s="13"/>
      <c r="AA5614" s="13"/>
      <c r="AB5614" s="13"/>
      <c r="AC5614" s="13"/>
      <c r="AD5614" s="13"/>
      <c r="AE5614" s="13"/>
      <c r="AF5614" s="13"/>
      <c r="AG5614" s="13"/>
      <c r="AH5614" s="13"/>
      <c r="AI5614" s="13"/>
      <c r="AJ5614" s="13"/>
      <c r="AK5614" s="13"/>
      <c r="AL5614" s="13"/>
      <c r="AM5614" s="13"/>
      <c r="AN5614" s="13"/>
      <c r="AO5614" s="13"/>
      <c r="AP5614" s="13"/>
      <c r="AQ5614" s="13"/>
      <c r="AR5614" s="13"/>
      <c r="AS5614" s="13"/>
    </row>
    <row r="5615" ht="14.25" customHeight="1">
      <c r="A5615" s="13"/>
      <c r="B5615" s="13"/>
      <c r="C5615" s="13"/>
      <c r="D5615" s="13"/>
      <c r="E5615" s="13"/>
      <c r="F5615" s="13"/>
      <c r="G5615" s="13"/>
      <c r="H5615" s="13"/>
      <c r="I5615" s="13"/>
      <c r="J5615" s="13"/>
      <c r="K5615" s="15"/>
      <c r="L5615" s="15"/>
      <c r="M5615" s="16"/>
      <c r="N5615" s="16"/>
      <c r="O5615" s="17"/>
      <c r="P5615" s="17"/>
      <c r="Q5615" s="13"/>
      <c r="R5615" s="13"/>
      <c r="S5615" s="13"/>
      <c r="T5615" s="13"/>
      <c r="U5615" s="13"/>
      <c r="V5615" s="13"/>
      <c r="W5615" s="13"/>
      <c r="X5615" s="13"/>
      <c r="Y5615" s="13"/>
      <c r="Z5615" s="13"/>
      <c r="AA5615" s="13"/>
      <c r="AB5615" s="13"/>
      <c r="AC5615" s="13"/>
      <c r="AD5615" s="13"/>
      <c r="AE5615" s="13"/>
      <c r="AF5615" s="13"/>
      <c r="AG5615" s="13"/>
      <c r="AH5615" s="13"/>
      <c r="AI5615" s="13"/>
      <c r="AJ5615" s="13"/>
      <c r="AK5615" s="13"/>
      <c r="AL5615" s="13"/>
      <c r="AM5615" s="13"/>
      <c r="AN5615" s="13"/>
      <c r="AO5615" s="13"/>
      <c r="AP5615" s="13"/>
      <c r="AQ5615" s="13"/>
      <c r="AR5615" s="13"/>
      <c r="AS5615" s="13"/>
    </row>
    <row r="5616" ht="14.25" customHeight="1">
      <c r="A5616" s="13"/>
      <c r="B5616" s="13"/>
      <c r="C5616" s="13"/>
      <c r="D5616" s="13"/>
      <c r="E5616" s="13"/>
      <c r="F5616" s="13"/>
      <c r="G5616" s="13"/>
      <c r="H5616" s="13"/>
      <c r="I5616" s="13"/>
      <c r="J5616" s="13"/>
      <c r="K5616" s="15"/>
      <c r="L5616" s="15"/>
      <c r="M5616" s="16"/>
      <c r="N5616" s="16"/>
      <c r="O5616" s="17"/>
      <c r="P5616" s="17"/>
      <c r="Q5616" s="13"/>
      <c r="R5616" s="13"/>
      <c r="S5616" s="13"/>
      <c r="T5616" s="13"/>
      <c r="U5616" s="13"/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F5616" s="13"/>
      <c r="AG5616" s="13"/>
      <c r="AH5616" s="13"/>
      <c r="AI5616" s="13"/>
      <c r="AJ5616" s="13"/>
      <c r="AK5616" s="13"/>
      <c r="AL5616" s="13"/>
      <c r="AM5616" s="13"/>
      <c r="AN5616" s="13"/>
      <c r="AO5616" s="13"/>
      <c r="AP5616" s="13"/>
      <c r="AQ5616" s="13"/>
      <c r="AR5616" s="13"/>
      <c r="AS5616" s="13"/>
    </row>
    <row r="5617" ht="14.25" customHeight="1">
      <c r="A5617" s="13"/>
      <c r="B5617" s="13"/>
      <c r="C5617" s="13"/>
      <c r="D5617" s="13"/>
      <c r="E5617" s="13"/>
      <c r="F5617" s="13"/>
      <c r="G5617" s="13"/>
      <c r="H5617" s="13"/>
      <c r="I5617" s="13"/>
      <c r="J5617" s="13"/>
      <c r="K5617" s="15"/>
      <c r="L5617" s="15"/>
      <c r="M5617" s="16"/>
      <c r="N5617" s="16"/>
      <c r="O5617" s="17"/>
      <c r="P5617" s="17"/>
      <c r="Q5617" s="13"/>
      <c r="R5617" s="13"/>
      <c r="S5617" s="13"/>
      <c r="T5617" s="13"/>
      <c r="U5617" s="13"/>
      <c r="V5617" s="13"/>
      <c r="W5617" s="13"/>
      <c r="X5617" s="13"/>
      <c r="Y5617" s="13"/>
      <c r="Z5617" s="13"/>
      <c r="AA5617" s="13"/>
      <c r="AB5617" s="13"/>
      <c r="AC5617" s="13"/>
      <c r="AD5617" s="13"/>
      <c r="AE5617" s="13"/>
      <c r="AF5617" s="13"/>
      <c r="AG5617" s="13"/>
      <c r="AH5617" s="13"/>
      <c r="AI5617" s="13"/>
      <c r="AJ5617" s="13"/>
      <c r="AK5617" s="13"/>
      <c r="AL5617" s="13"/>
      <c r="AM5617" s="13"/>
      <c r="AN5617" s="13"/>
      <c r="AO5617" s="13"/>
      <c r="AP5617" s="13"/>
      <c r="AQ5617" s="13"/>
      <c r="AR5617" s="13"/>
      <c r="AS5617" s="13"/>
    </row>
    <row r="5618" ht="14.25" customHeight="1">
      <c r="A5618" s="13"/>
      <c r="B5618" s="13"/>
      <c r="C5618" s="13"/>
      <c r="D5618" s="13"/>
      <c r="E5618" s="13"/>
      <c r="F5618" s="13"/>
      <c r="G5618" s="13"/>
      <c r="H5618" s="13"/>
      <c r="I5618" s="13"/>
      <c r="J5618" s="13"/>
      <c r="K5618" s="15"/>
      <c r="L5618" s="15"/>
      <c r="M5618" s="16"/>
      <c r="N5618" s="16"/>
      <c r="O5618" s="17"/>
      <c r="P5618" s="17"/>
      <c r="Q5618" s="13"/>
      <c r="R5618" s="13"/>
      <c r="S5618" s="13"/>
      <c r="T5618" s="13"/>
      <c r="U5618" s="13"/>
      <c r="V5618" s="13"/>
      <c r="W5618" s="13"/>
      <c r="X5618" s="13"/>
      <c r="Y5618" s="13"/>
      <c r="Z5618" s="13"/>
      <c r="AA5618" s="13"/>
      <c r="AB5618" s="13"/>
      <c r="AC5618" s="13"/>
      <c r="AD5618" s="13"/>
      <c r="AE5618" s="13"/>
      <c r="AF5618" s="13"/>
      <c r="AG5618" s="13"/>
      <c r="AH5618" s="13"/>
      <c r="AI5618" s="13"/>
      <c r="AJ5618" s="13"/>
      <c r="AK5618" s="13"/>
      <c r="AL5618" s="13"/>
      <c r="AM5618" s="13"/>
      <c r="AN5618" s="13"/>
      <c r="AO5618" s="13"/>
      <c r="AP5618" s="13"/>
      <c r="AQ5618" s="13"/>
      <c r="AR5618" s="13"/>
      <c r="AS5618" s="13"/>
    </row>
    <row r="5619" ht="14.25" customHeight="1">
      <c r="A5619" s="13"/>
      <c r="B5619" s="13"/>
      <c r="C5619" s="13"/>
      <c r="D5619" s="13"/>
      <c r="E5619" s="13"/>
      <c r="F5619" s="13"/>
      <c r="G5619" s="13"/>
      <c r="H5619" s="13"/>
      <c r="I5619" s="13"/>
      <c r="J5619" s="13"/>
      <c r="K5619" s="15"/>
      <c r="L5619" s="15"/>
      <c r="M5619" s="16"/>
      <c r="N5619" s="16"/>
      <c r="O5619" s="17"/>
      <c r="P5619" s="17"/>
      <c r="Q5619" s="13"/>
      <c r="R5619" s="13"/>
      <c r="S5619" s="13"/>
      <c r="T5619" s="13"/>
      <c r="U5619" s="13"/>
      <c r="V5619" s="13"/>
      <c r="W5619" s="13"/>
      <c r="X5619" s="13"/>
      <c r="Y5619" s="13"/>
      <c r="Z5619" s="13"/>
      <c r="AA5619" s="13"/>
      <c r="AB5619" s="13"/>
      <c r="AC5619" s="13"/>
      <c r="AD5619" s="13"/>
      <c r="AE5619" s="13"/>
      <c r="AF5619" s="13"/>
      <c r="AG5619" s="13"/>
      <c r="AH5619" s="13"/>
      <c r="AI5619" s="13"/>
      <c r="AJ5619" s="13"/>
      <c r="AK5619" s="13"/>
      <c r="AL5619" s="13"/>
      <c r="AM5619" s="13"/>
      <c r="AN5619" s="13"/>
      <c r="AO5619" s="13"/>
      <c r="AP5619" s="13"/>
      <c r="AQ5619" s="13"/>
      <c r="AR5619" s="13"/>
      <c r="AS5619" s="13"/>
    </row>
    <row r="5620" ht="14.25" customHeight="1">
      <c r="A5620" s="13"/>
      <c r="B5620" s="13"/>
      <c r="C5620" s="13"/>
      <c r="D5620" s="13"/>
      <c r="E5620" s="13"/>
      <c r="F5620" s="13"/>
      <c r="G5620" s="13"/>
      <c r="H5620" s="13"/>
      <c r="I5620" s="13"/>
      <c r="J5620" s="13"/>
      <c r="K5620" s="15"/>
      <c r="L5620" s="15"/>
      <c r="M5620" s="16"/>
      <c r="N5620" s="16"/>
      <c r="O5620" s="17"/>
      <c r="P5620" s="17"/>
      <c r="Q5620" s="13"/>
      <c r="R5620" s="13"/>
      <c r="S5620" s="13"/>
      <c r="T5620" s="13"/>
      <c r="U5620" s="13"/>
      <c r="V5620" s="13"/>
      <c r="W5620" s="13"/>
      <c r="X5620" s="13"/>
      <c r="Y5620" s="13"/>
      <c r="Z5620" s="13"/>
      <c r="AA5620" s="13"/>
      <c r="AB5620" s="13"/>
      <c r="AC5620" s="13"/>
      <c r="AD5620" s="13"/>
      <c r="AE5620" s="13"/>
      <c r="AF5620" s="13"/>
      <c r="AG5620" s="13"/>
      <c r="AH5620" s="13"/>
      <c r="AI5620" s="13"/>
      <c r="AJ5620" s="13"/>
      <c r="AK5620" s="13"/>
      <c r="AL5620" s="13"/>
      <c r="AM5620" s="13"/>
      <c r="AN5620" s="13"/>
      <c r="AO5620" s="13"/>
      <c r="AP5620" s="13"/>
      <c r="AQ5620" s="13"/>
      <c r="AR5620" s="13"/>
      <c r="AS5620" s="13"/>
    </row>
    <row r="5621" ht="14.25" customHeight="1">
      <c r="A5621" s="13"/>
      <c r="B5621" s="13"/>
      <c r="C5621" s="13"/>
      <c r="D5621" s="13"/>
      <c r="E5621" s="13"/>
      <c r="F5621" s="13"/>
      <c r="G5621" s="13"/>
      <c r="H5621" s="13"/>
      <c r="I5621" s="13"/>
      <c r="J5621" s="13"/>
      <c r="K5621" s="15"/>
      <c r="L5621" s="15"/>
      <c r="M5621" s="16"/>
      <c r="N5621" s="16"/>
      <c r="O5621" s="17"/>
      <c r="P5621" s="17"/>
      <c r="Q5621" s="13"/>
      <c r="R5621" s="13"/>
      <c r="S5621" s="13"/>
      <c r="T5621" s="13"/>
      <c r="U5621" s="13"/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F5621" s="13"/>
      <c r="AG5621" s="13"/>
      <c r="AH5621" s="13"/>
      <c r="AI5621" s="13"/>
      <c r="AJ5621" s="13"/>
      <c r="AK5621" s="13"/>
      <c r="AL5621" s="13"/>
      <c r="AM5621" s="13"/>
      <c r="AN5621" s="13"/>
      <c r="AO5621" s="13"/>
      <c r="AP5621" s="13"/>
      <c r="AQ5621" s="13"/>
      <c r="AR5621" s="13"/>
      <c r="AS5621" s="13"/>
    </row>
    <row r="5622" ht="14.25" customHeight="1">
      <c r="A5622" s="13"/>
      <c r="B5622" s="13"/>
      <c r="C5622" s="13"/>
      <c r="D5622" s="13"/>
      <c r="E5622" s="13"/>
      <c r="F5622" s="13"/>
      <c r="G5622" s="13"/>
      <c r="H5622" s="13"/>
      <c r="I5622" s="13"/>
      <c r="J5622" s="13"/>
      <c r="K5622" s="15"/>
      <c r="L5622" s="15"/>
      <c r="M5622" s="16"/>
      <c r="N5622" s="16"/>
      <c r="O5622" s="17"/>
      <c r="P5622" s="17"/>
      <c r="Q5622" s="13"/>
      <c r="R5622" s="13"/>
      <c r="S5622" s="13"/>
      <c r="T5622" s="13"/>
      <c r="U5622" s="13"/>
      <c r="V5622" s="13"/>
      <c r="W5622" s="13"/>
      <c r="X5622" s="13"/>
      <c r="Y5622" s="13"/>
      <c r="Z5622" s="13"/>
      <c r="AA5622" s="13"/>
      <c r="AB5622" s="13"/>
      <c r="AC5622" s="13"/>
      <c r="AD5622" s="13"/>
      <c r="AE5622" s="13"/>
      <c r="AF5622" s="13"/>
      <c r="AG5622" s="13"/>
      <c r="AH5622" s="13"/>
      <c r="AI5622" s="13"/>
      <c r="AJ5622" s="13"/>
      <c r="AK5622" s="13"/>
      <c r="AL5622" s="13"/>
      <c r="AM5622" s="13"/>
      <c r="AN5622" s="13"/>
      <c r="AO5622" s="13"/>
      <c r="AP5622" s="13"/>
      <c r="AQ5622" s="13"/>
      <c r="AR5622" s="13"/>
      <c r="AS5622" s="13"/>
    </row>
    <row r="5623" ht="14.25" customHeight="1">
      <c r="A5623" s="13"/>
      <c r="B5623" s="13"/>
      <c r="C5623" s="13"/>
      <c r="D5623" s="13"/>
      <c r="E5623" s="13"/>
      <c r="F5623" s="13"/>
      <c r="G5623" s="13"/>
      <c r="H5623" s="13"/>
      <c r="I5623" s="13"/>
      <c r="J5623" s="13"/>
      <c r="K5623" s="15"/>
      <c r="L5623" s="15"/>
      <c r="M5623" s="16"/>
      <c r="N5623" s="16"/>
      <c r="O5623" s="17"/>
      <c r="P5623" s="17"/>
      <c r="Q5623" s="13"/>
      <c r="R5623" s="13"/>
      <c r="S5623" s="13"/>
      <c r="T5623" s="13"/>
      <c r="U5623" s="13"/>
      <c r="V5623" s="13"/>
      <c r="W5623" s="13"/>
      <c r="X5623" s="13"/>
      <c r="Y5623" s="13"/>
      <c r="Z5623" s="13"/>
      <c r="AA5623" s="13"/>
      <c r="AB5623" s="13"/>
      <c r="AC5623" s="13"/>
      <c r="AD5623" s="13"/>
      <c r="AE5623" s="13"/>
      <c r="AF5623" s="13"/>
      <c r="AG5623" s="13"/>
      <c r="AH5623" s="13"/>
      <c r="AI5623" s="13"/>
      <c r="AJ5623" s="13"/>
      <c r="AK5623" s="13"/>
      <c r="AL5623" s="13"/>
      <c r="AM5623" s="13"/>
      <c r="AN5623" s="13"/>
      <c r="AO5623" s="13"/>
      <c r="AP5623" s="13"/>
      <c r="AQ5623" s="13"/>
      <c r="AR5623" s="13"/>
      <c r="AS5623" s="13"/>
    </row>
    <row r="5624" ht="14.25" customHeight="1">
      <c r="A5624" s="13"/>
      <c r="B5624" s="13"/>
      <c r="C5624" s="13"/>
      <c r="D5624" s="13"/>
      <c r="E5624" s="13"/>
      <c r="F5624" s="13"/>
      <c r="G5624" s="13"/>
      <c r="H5624" s="13"/>
      <c r="I5624" s="13"/>
      <c r="J5624" s="13"/>
      <c r="K5624" s="15"/>
      <c r="L5624" s="15"/>
      <c r="M5624" s="16"/>
      <c r="N5624" s="16"/>
      <c r="O5624" s="17"/>
      <c r="P5624" s="17"/>
      <c r="Q5624" s="13"/>
      <c r="R5624" s="13"/>
      <c r="S5624" s="13"/>
      <c r="T5624" s="13"/>
      <c r="U5624" s="13"/>
      <c r="V5624" s="13"/>
      <c r="W5624" s="13"/>
      <c r="X5624" s="13"/>
      <c r="Y5624" s="13"/>
      <c r="Z5624" s="13"/>
      <c r="AA5624" s="13"/>
      <c r="AB5624" s="13"/>
      <c r="AC5624" s="13"/>
      <c r="AD5624" s="13"/>
      <c r="AE5624" s="13"/>
      <c r="AF5624" s="13"/>
      <c r="AG5624" s="13"/>
      <c r="AH5624" s="13"/>
      <c r="AI5624" s="13"/>
      <c r="AJ5624" s="13"/>
      <c r="AK5624" s="13"/>
      <c r="AL5624" s="13"/>
      <c r="AM5624" s="13"/>
      <c r="AN5624" s="13"/>
      <c r="AO5624" s="13"/>
      <c r="AP5624" s="13"/>
      <c r="AQ5624" s="13"/>
      <c r="AR5624" s="13"/>
      <c r="AS5624" s="13"/>
    </row>
    <row r="5625" ht="14.25" customHeight="1">
      <c r="A5625" s="13"/>
      <c r="B5625" s="13"/>
      <c r="C5625" s="13"/>
      <c r="D5625" s="13"/>
      <c r="E5625" s="13"/>
      <c r="F5625" s="13"/>
      <c r="G5625" s="13"/>
      <c r="H5625" s="13"/>
      <c r="I5625" s="13"/>
      <c r="J5625" s="13"/>
      <c r="K5625" s="15"/>
      <c r="L5625" s="15"/>
      <c r="M5625" s="16"/>
      <c r="N5625" s="16"/>
      <c r="O5625" s="17"/>
      <c r="P5625" s="17"/>
      <c r="Q5625" s="13"/>
      <c r="R5625" s="13"/>
      <c r="S5625" s="13"/>
      <c r="T5625" s="13"/>
      <c r="U5625" s="13"/>
      <c r="V5625" s="13"/>
      <c r="W5625" s="13"/>
      <c r="X5625" s="13"/>
      <c r="Y5625" s="13"/>
      <c r="Z5625" s="13"/>
      <c r="AA5625" s="13"/>
      <c r="AB5625" s="13"/>
      <c r="AC5625" s="13"/>
      <c r="AD5625" s="13"/>
      <c r="AE5625" s="13"/>
      <c r="AF5625" s="13"/>
      <c r="AG5625" s="13"/>
      <c r="AH5625" s="13"/>
      <c r="AI5625" s="13"/>
      <c r="AJ5625" s="13"/>
      <c r="AK5625" s="13"/>
      <c r="AL5625" s="13"/>
      <c r="AM5625" s="13"/>
      <c r="AN5625" s="13"/>
      <c r="AO5625" s="13"/>
      <c r="AP5625" s="13"/>
      <c r="AQ5625" s="13"/>
      <c r="AR5625" s="13"/>
      <c r="AS5625" s="13"/>
    </row>
    <row r="5626" ht="14.25" customHeight="1">
      <c r="A5626" s="13"/>
      <c r="B5626" s="13"/>
      <c r="C5626" s="13"/>
      <c r="D5626" s="13"/>
      <c r="E5626" s="13"/>
      <c r="F5626" s="13"/>
      <c r="G5626" s="13"/>
      <c r="H5626" s="13"/>
      <c r="I5626" s="13"/>
      <c r="J5626" s="13"/>
      <c r="K5626" s="15"/>
      <c r="L5626" s="15"/>
      <c r="M5626" s="16"/>
      <c r="N5626" s="16"/>
      <c r="O5626" s="17"/>
      <c r="P5626" s="17"/>
      <c r="Q5626" s="13"/>
      <c r="R5626" s="13"/>
      <c r="S5626" s="13"/>
      <c r="T5626" s="13"/>
      <c r="U5626" s="13"/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F5626" s="13"/>
      <c r="AG5626" s="13"/>
      <c r="AH5626" s="13"/>
      <c r="AI5626" s="13"/>
      <c r="AJ5626" s="13"/>
      <c r="AK5626" s="13"/>
      <c r="AL5626" s="13"/>
      <c r="AM5626" s="13"/>
      <c r="AN5626" s="13"/>
      <c r="AO5626" s="13"/>
      <c r="AP5626" s="13"/>
      <c r="AQ5626" s="13"/>
      <c r="AR5626" s="13"/>
      <c r="AS5626" s="13"/>
    </row>
    <row r="5627" ht="14.25" customHeight="1">
      <c r="A5627" s="13"/>
      <c r="B5627" s="13"/>
      <c r="C5627" s="13"/>
      <c r="D5627" s="13"/>
      <c r="E5627" s="13"/>
      <c r="F5627" s="13"/>
      <c r="G5627" s="13"/>
      <c r="H5627" s="13"/>
      <c r="I5627" s="13"/>
      <c r="J5627" s="13"/>
      <c r="K5627" s="15"/>
      <c r="L5627" s="15"/>
      <c r="M5627" s="16"/>
      <c r="N5627" s="16"/>
      <c r="O5627" s="17"/>
      <c r="P5627" s="17"/>
      <c r="Q5627" s="13"/>
      <c r="R5627" s="13"/>
      <c r="S5627" s="13"/>
      <c r="T5627" s="13"/>
      <c r="U5627" s="13"/>
      <c r="V5627" s="13"/>
      <c r="W5627" s="13"/>
      <c r="X5627" s="13"/>
      <c r="Y5627" s="13"/>
      <c r="Z5627" s="13"/>
      <c r="AA5627" s="13"/>
      <c r="AB5627" s="13"/>
      <c r="AC5627" s="13"/>
      <c r="AD5627" s="13"/>
      <c r="AE5627" s="13"/>
      <c r="AF5627" s="13"/>
      <c r="AG5627" s="13"/>
      <c r="AH5627" s="13"/>
      <c r="AI5627" s="13"/>
      <c r="AJ5627" s="13"/>
      <c r="AK5627" s="13"/>
      <c r="AL5627" s="13"/>
      <c r="AM5627" s="13"/>
      <c r="AN5627" s="13"/>
      <c r="AO5627" s="13"/>
      <c r="AP5627" s="13"/>
      <c r="AQ5627" s="13"/>
      <c r="AR5627" s="13"/>
      <c r="AS5627" s="13"/>
    </row>
    <row r="5628" ht="14.25" customHeight="1">
      <c r="A5628" s="13"/>
      <c r="B5628" s="13"/>
      <c r="C5628" s="13"/>
      <c r="D5628" s="13"/>
      <c r="E5628" s="13"/>
      <c r="F5628" s="13"/>
      <c r="G5628" s="13"/>
      <c r="H5628" s="13"/>
      <c r="I5628" s="13"/>
      <c r="J5628" s="13"/>
      <c r="K5628" s="15"/>
      <c r="L5628" s="15"/>
      <c r="M5628" s="16"/>
      <c r="N5628" s="16"/>
      <c r="O5628" s="17"/>
      <c r="P5628" s="17"/>
      <c r="Q5628" s="13"/>
      <c r="R5628" s="13"/>
      <c r="S5628" s="13"/>
      <c r="T5628" s="13"/>
      <c r="U5628" s="13"/>
      <c r="V5628" s="13"/>
      <c r="W5628" s="13"/>
      <c r="X5628" s="13"/>
      <c r="Y5628" s="13"/>
      <c r="Z5628" s="13"/>
      <c r="AA5628" s="13"/>
      <c r="AB5628" s="13"/>
      <c r="AC5628" s="13"/>
      <c r="AD5628" s="13"/>
      <c r="AE5628" s="13"/>
      <c r="AF5628" s="13"/>
      <c r="AG5628" s="13"/>
      <c r="AH5628" s="13"/>
      <c r="AI5628" s="13"/>
      <c r="AJ5628" s="13"/>
      <c r="AK5628" s="13"/>
      <c r="AL5628" s="13"/>
      <c r="AM5628" s="13"/>
      <c r="AN5628" s="13"/>
      <c r="AO5628" s="13"/>
      <c r="AP5628" s="13"/>
      <c r="AQ5628" s="13"/>
      <c r="AR5628" s="13"/>
      <c r="AS5628" s="13"/>
    </row>
    <row r="5629" ht="14.25" customHeight="1">
      <c r="A5629" s="13"/>
      <c r="B5629" s="13"/>
      <c r="C5629" s="13"/>
      <c r="D5629" s="13"/>
      <c r="E5629" s="13"/>
      <c r="F5629" s="13"/>
      <c r="G5629" s="13"/>
      <c r="H5629" s="13"/>
      <c r="I5629" s="13"/>
      <c r="J5629" s="13"/>
      <c r="K5629" s="15"/>
      <c r="L5629" s="15"/>
      <c r="M5629" s="16"/>
      <c r="N5629" s="16"/>
      <c r="O5629" s="17"/>
      <c r="P5629" s="17"/>
      <c r="Q5629" s="13"/>
      <c r="R5629" s="13"/>
      <c r="S5629" s="13"/>
      <c r="T5629" s="13"/>
      <c r="U5629" s="13"/>
      <c r="V5629" s="13"/>
      <c r="W5629" s="13"/>
      <c r="X5629" s="13"/>
      <c r="Y5629" s="13"/>
      <c r="Z5629" s="13"/>
      <c r="AA5629" s="13"/>
      <c r="AB5629" s="13"/>
      <c r="AC5629" s="13"/>
      <c r="AD5629" s="13"/>
      <c r="AE5629" s="13"/>
      <c r="AF5629" s="13"/>
      <c r="AG5629" s="13"/>
      <c r="AH5629" s="13"/>
      <c r="AI5629" s="13"/>
      <c r="AJ5629" s="13"/>
      <c r="AK5629" s="13"/>
      <c r="AL5629" s="13"/>
      <c r="AM5629" s="13"/>
      <c r="AN5629" s="13"/>
      <c r="AO5629" s="13"/>
      <c r="AP5629" s="13"/>
      <c r="AQ5629" s="13"/>
      <c r="AR5629" s="13"/>
      <c r="AS5629" s="13"/>
    </row>
    <row r="5630" ht="14.25" customHeight="1">
      <c r="A5630" s="13"/>
      <c r="B5630" s="13"/>
      <c r="C5630" s="13"/>
      <c r="D5630" s="13"/>
      <c r="E5630" s="13"/>
      <c r="F5630" s="13"/>
      <c r="G5630" s="13"/>
      <c r="H5630" s="13"/>
      <c r="I5630" s="13"/>
      <c r="J5630" s="13"/>
      <c r="K5630" s="15"/>
      <c r="L5630" s="15"/>
      <c r="M5630" s="16"/>
      <c r="N5630" s="16"/>
      <c r="O5630" s="17"/>
      <c r="P5630" s="17"/>
      <c r="Q5630" s="13"/>
      <c r="R5630" s="13"/>
      <c r="S5630" s="13"/>
      <c r="T5630" s="13"/>
      <c r="U5630" s="13"/>
      <c r="V5630" s="13"/>
      <c r="W5630" s="13"/>
      <c r="X5630" s="13"/>
      <c r="Y5630" s="13"/>
      <c r="Z5630" s="13"/>
      <c r="AA5630" s="13"/>
      <c r="AB5630" s="13"/>
      <c r="AC5630" s="13"/>
      <c r="AD5630" s="13"/>
      <c r="AE5630" s="13"/>
      <c r="AF5630" s="13"/>
      <c r="AG5630" s="13"/>
      <c r="AH5630" s="13"/>
      <c r="AI5630" s="13"/>
      <c r="AJ5630" s="13"/>
      <c r="AK5630" s="13"/>
      <c r="AL5630" s="13"/>
      <c r="AM5630" s="13"/>
      <c r="AN5630" s="13"/>
      <c r="AO5630" s="13"/>
      <c r="AP5630" s="13"/>
      <c r="AQ5630" s="13"/>
      <c r="AR5630" s="13"/>
      <c r="AS5630" s="13"/>
    </row>
    <row r="5631" ht="14.25" customHeight="1">
      <c r="A5631" s="13"/>
      <c r="B5631" s="13"/>
      <c r="C5631" s="13"/>
      <c r="D5631" s="13"/>
      <c r="E5631" s="13"/>
      <c r="F5631" s="13"/>
      <c r="G5631" s="13"/>
      <c r="H5631" s="13"/>
      <c r="I5631" s="13"/>
      <c r="J5631" s="13"/>
      <c r="K5631" s="15"/>
      <c r="L5631" s="15"/>
      <c r="M5631" s="16"/>
      <c r="N5631" s="16"/>
      <c r="O5631" s="17"/>
      <c r="P5631" s="17"/>
      <c r="Q5631" s="13"/>
      <c r="R5631" s="13"/>
      <c r="S5631" s="13"/>
      <c r="T5631" s="13"/>
      <c r="U5631" s="13"/>
      <c r="V5631" s="13"/>
      <c r="W5631" s="13"/>
      <c r="X5631" s="13"/>
      <c r="Y5631" s="13"/>
      <c r="Z5631" s="13"/>
      <c r="AA5631" s="13"/>
      <c r="AB5631" s="13"/>
      <c r="AC5631" s="13"/>
      <c r="AD5631" s="13"/>
      <c r="AE5631" s="13"/>
      <c r="AF5631" s="13"/>
      <c r="AG5631" s="13"/>
      <c r="AH5631" s="13"/>
      <c r="AI5631" s="13"/>
      <c r="AJ5631" s="13"/>
      <c r="AK5631" s="13"/>
      <c r="AL5631" s="13"/>
      <c r="AM5631" s="13"/>
      <c r="AN5631" s="13"/>
      <c r="AO5631" s="13"/>
      <c r="AP5631" s="13"/>
      <c r="AQ5631" s="13"/>
      <c r="AR5631" s="13"/>
      <c r="AS5631" s="13"/>
    </row>
    <row r="5632" ht="14.25" customHeight="1">
      <c r="A5632" s="13"/>
      <c r="B5632" s="13"/>
      <c r="C5632" s="13"/>
      <c r="D5632" s="13"/>
      <c r="E5632" s="13"/>
      <c r="F5632" s="13"/>
      <c r="G5632" s="13"/>
      <c r="H5632" s="13"/>
      <c r="I5632" s="13"/>
      <c r="J5632" s="13"/>
      <c r="K5632" s="15"/>
      <c r="L5632" s="15"/>
      <c r="M5632" s="16"/>
      <c r="N5632" s="16"/>
      <c r="O5632" s="17"/>
      <c r="P5632" s="17"/>
      <c r="Q5632" s="13"/>
      <c r="R5632" s="13"/>
      <c r="S5632" s="13"/>
      <c r="T5632" s="13"/>
      <c r="U5632" s="13"/>
      <c r="V5632" s="13"/>
      <c r="W5632" s="13"/>
      <c r="X5632" s="13"/>
      <c r="Y5632" s="13"/>
      <c r="Z5632" s="13"/>
      <c r="AA5632" s="13"/>
      <c r="AB5632" s="13"/>
      <c r="AC5632" s="13"/>
      <c r="AD5632" s="13"/>
      <c r="AE5632" s="13"/>
      <c r="AF5632" s="13"/>
      <c r="AG5632" s="13"/>
      <c r="AH5632" s="13"/>
      <c r="AI5632" s="13"/>
      <c r="AJ5632" s="13"/>
      <c r="AK5632" s="13"/>
      <c r="AL5632" s="13"/>
      <c r="AM5632" s="13"/>
      <c r="AN5632" s="13"/>
      <c r="AO5632" s="13"/>
      <c r="AP5632" s="13"/>
      <c r="AQ5632" s="13"/>
      <c r="AR5632" s="13"/>
      <c r="AS5632" s="13"/>
    </row>
    <row r="5633" ht="14.25" customHeight="1">
      <c r="A5633" s="13"/>
      <c r="B5633" s="13"/>
      <c r="C5633" s="13"/>
      <c r="D5633" s="13"/>
      <c r="E5633" s="13"/>
      <c r="F5633" s="13"/>
      <c r="G5633" s="13"/>
      <c r="H5633" s="13"/>
      <c r="I5633" s="13"/>
      <c r="J5633" s="13"/>
      <c r="K5633" s="15"/>
      <c r="L5633" s="15"/>
      <c r="M5633" s="16"/>
      <c r="N5633" s="16"/>
      <c r="O5633" s="17"/>
      <c r="P5633" s="17"/>
      <c r="Q5633" s="13"/>
      <c r="R5633" s="13"/>
      <c r="S5633" s="13"/>
      <c r="T5633" s="13"/>
      <c r="U5633" s="13"/>
      <c r="V5633" s="13"/>
      <c r="W5633" s="13"/>
      <c r="X5633" s="13"/>
      <c r="Y5633" s="13"/>
      <c r="Z5633" s="13"/>
      <c r="AA5633" s="13"/>
      <c r="AB5633" s="13"/>
      <c r="AC5633" s="13"/>
      <c r="AD5633" s="13"/>
      <c r="AE5633" s="13"/>
      <c r="AF5633" s="13"/>
      <c r="AG5633" s="13"/>
      <c r="AH5633" s="13"/>
      <c r="AI5633" s="13"/>
      <c r="AJ5633" s="13"/>
      <c r="AK5633" s="13"/>
      <c r="AL5633" s="13"/>
      <c r="AM5633" s="13"/>
      <c r="AN5633" s="13"/>
      <c r="AO5633" s="13"/>
      <c r="AP5633" s="13"/>
      <c r="AQ5633" s="13"/>
      <c r="AR5633" s="13"/>
      <c r="AS5633" s="13"/>
    </row>
    <row r="5634" ht="14.25" customHeight="1">
      <c r="A5634" s="13"/>
      <c r="B5634" s="13"/>
      <c r="C5634" s="13"/>
      <c r="D5634" s="13"/>
      <c r="E5634" s="13"/>
      <c r="F5634" s="13"/>
      <c r="G5634" s="13"/>
      <c r="H5634" s="13"/>
      <c r="I5634" s="13"/>
      <c r="J5634" s="13"/>
      <c r="K5634" s="15"/>
      <c r="L5634" s="15"/>
      <c r="M5634" s="16"/>
      <c r="N5634" s="16"/>
      <c r="O5634" s="17"/>
      <c r="P5634" s="17"/>
      <c r="Q5634" s="13"/>
      <c r="R5634" s="13"/>
      <c r="S5634" s="13"/>
      <c r="T5634" s="13"/>
      <c r="U5634" s="13"/>
      <c r="V5634" s="13"/>
      <c r="W5634" s="13"/>
      <c r="X5634" s="13"/>
      <c r="Y5634" s="13"/>
      <c r="Z5634" s="13"/>
      <c r="AA5634" s="13"/>
      <c r="AB5634" s="13"/>
      <c r="AC5634" s="13"/>
      <c r="AD5634" s="13"/>
      <c r="AE5634" s="13"/>
      <c r="AF5634" s="13"/>
      <c r="AG5634" s="13"/>
      <c r="AH5634" s="13"/>
      <c r="AI5634" s="13"/>
      <c r="AJ5634" s="13"/>
      <c r="AK5634" s="13"/>
      <c r="AL5634" s="13"/>
      <c r="AM5634" s="13"/>
      <c r="AN5634" s="13"/>
      <c r="AO5634" s="13"/>
      <c r="AP5634" s="13"/>
      <c r="AQ5634" s="13"/>
      <c r="AR5634" s="13"/>
      <c r="AS5634" s="13"/>
    </row>
    <row r="5635" ht="14.25" customHeight="1">
      <c r="A5635" s="13"/>
      <c r="B5635" s="13"/>
      <c r="C5635" s="13"/>
      <c r="D5635" s="13"/>
      <c r="E5635" s="13"/>
      <c r="F5635" s="13"/>
      <c r="G5635" s="13"/>
      <c r="H5635" s="13"/>
      <c r="I5635" s="13"/>
      <c r="J5635" s="13"/>
      <c r="K5635" s="15"/>
      <c r="L5635" s="15"/>
      <c r="M5635" s="16"/>
      <c r="N5635" s="16"/>
      <c r="O5635" s="17"/>
      <c r="P5635" s="17"/>
      <c r="Q5635" s="13"/>
      <c r="R5635" s="13"/>
      <c r="S5635" s="13"/>
      <c r="T5635" s="13"/>
      <c r="U5635" s="13"/>
      <c r="V5635" s="13"/>
      <c r="W5635" s="13"/>
      <c r="X5635" s="13"/>
      <c r="Y5635" s="13"/>
      <c r="Z5635" s="13"/>
      <c r="AA5635" s="13"/>
      <c r="AB5635" s="13"/>
      <c r="AC5635" s="13"/>
      <c r="AD5635" s="13"/>
      <c r="AE5635" s="13"/>
      <c r="AF5635" s="13"/>
      <c r="AG5635" s="13"/>
      <c r="AH5635" s="13"/>
      <c r="AI5635" s="13"/>
      <c r="AJ5635" s="13"/>
      <c r="AK5635" s="13"/>
      <c r="AL5635" s="13"/>
      <c r="AM5635" s="13"/>
      <c r="AN5635" s="13"/>
      <c r="AO5635" s="13"/>
      <c r="AP5635" s="13"/>
      <c r="AQ5635" s="13"/>
      <c r="AR5635" s="13"/>
      <c r="AS5635" s="13"/>
    </row>
    <row r="5636" ht="14.25" customHeight="1">
      <c r="A5636" s="13"/>
      <c r="B5636" s="13"/>
      <c r="C5636" s="13"/>
      <c r="D5636" s="13"/>
      <c r="E5636" s="13"/>
      <c r="F5636" s="13"/>
      <c r="G5636" s="13"/>
      <c r="H5636" s="13"/>
      <c r="I5636" s="13"/>
      <c r="J5636" s="13"/>
      <c r="K5636" s="15"/>
      <c r="L5636" s="15"/>
      <c r="M5636" s="16"/>
      <c r="N5636" s="16"/>
      <c r="O5636" s="17"/>
      <c r="P5636" s="17"/>
      <c r="Q5636" s="13"/>
      <c r="R5636" s="13"/>
      <c r="S5636" s="13"/>
      <c r="T5636" s="13"/>
      <c r="U5636" s="13"/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F5636" s="13"/>
      <c r="AG5636" s="13"/>
      <c r="AH5636" s="13"/>
      <c r="AI5636" s="13"/>
      <c r="AJ5636" s="13"/>
      <c r="AK5636" s="13"/>
      <c r="AL5636" s="13"/>
      <c r="AM5636" s="13"/>
      <c r="AN5636" s="13"/>
      <c r="AO5636" s="13"/>
      <c r="AP5636" s="13"/>
      <c r="AQ5636" s="13"/>
      <c r="AR5636" s="13"/>
      <c r="AS5636" s="13"/>
    </row>
    <row r="5637" ht="14.25" customHeight="1">
      <c r="A5637" s="13"/>
      <c r="B5637" s="13"/>
      <c r="C5637" s="13"/>
      <c r="D5637" s="13"/>
      <c r="E5637" s="13"/>
      <c r="F5637" s="13"/>
      <c r="G5637" s="13"/>
      <c r="H5637" s="13"/>
      <c r="I5637" s="13"/>
      <c r="J5637" s="13"/>
      <c r="K5637" s="15"/>
      <c r="L5637" s="15"/>
      <c r="M5637" s="16"/>
      <c r="N5637" s="16"/>
      <c r="O5637" s="17"/>
      <c r="P5637" s="17"/>
      <c r="Q5637" s="13"/>
      <c r="R5637" s="13"/>
      <c r="S5637" s="13"/>
      <c r="T5637" s="13"/>
      <c r="U5637" s="13"/>
      <c r="V5637" s="13"/>
      <c r="W5637" s="13"/>
      <c r="X5637" s="13"/>
      <c r="Y5637" s="13"/>
      <c r="Z5637" s="13"/>
      <c r="AA5637" s="13"/>
      <c r="AB5637" s="13"/>
      <c r="AC5637" s="13"/>
      <c r="AD5637" s="13"/>
      <c r="AE5637" s="13"/>
      <c r="AF5637" s="13"/>
      <c r="AG5637" s="13"/>
      <c r="AH5637" s="13"/>
      <c r="AI5637" s="13"/>
      <c r="AJ5637" s="13"/>
      <c r="AK5637" s="13"/>
      <c r="AL5637" s="13"/>
      <c r="AM5637" s="13"/>
      <c r="AN5637" s="13"/>
      <c r="AO5637" s="13"/>
      <c r="AP5637" s="13"/>
      <c r="AQ5637" s="13"/>
      <c r="AR5637" s="13"/>
      <c r="AS5637" s="13"/>
    </row>
    <row r="5638" ht="14.25" customHeight="1">
      <c r="A5638" s="13"/>
      <c r="B5638" s="13"/>
      <c r="C5638" s="13"/>
      <c r="D5638" s="13"/>
      <c r="E5638" s="13"/>
      <c r="F5638" s="13"/>
      <c r="G5638" s="13"/>
      <c r="H5638" s="13"/>
      <c r="I5638" s="13"/>
      <c r="J5638" s="13"/>
      <c r="K5638" s="15"/>
      <c r="L5638" s="15"/>
      <c r="M5638" s="16"/>
      <c r="N5638" s="16"/>
      <c r="O5638" s="17"/>
      <c r="P5638" s="17"/>
      <c r="Q5638" s="13"/>
      <c r="R5638" s="13"/>
      <c r="S5638" s="13"/>
      <c r="T5638" s="13"/>
      <c r="U5638" s="13"/>
      <c r="V5638" s="13"/>
      <c r="W5638" s="13"/>
      <c r="X5638" s="13"/>
      <c r="Y5638" s="13"/>
      <c r="Z5638" s="13"/>
      <c r="AA5638" s="13"/>
      <c r="AB5638" s="13"/>
      <c r="AC5638" s="13"/>
      <c r="AD5638" s="13"/>
      <c r="AE5638" s="13"/>
      <c r="AF5638" s="13"/>
      <c r="AG5638" s="13"/>
      <c r="AH5638" s="13"/>
      <c r="AI5638" s="13"/>
      <c r="AJ5638" s="13"/>
      <c r="AK5638" s="13"/>
      <c r="AL5638" s="13"/>
      <c r="AM5638" s="13"/>
      <c r="AN5638" s="13"/>
      <c r="AO5638" s="13"/>
      <c r="AP5638" s="13"/>
      <c r="AQ5638" s="13"/>
      <c r="AR5638" s="13"/>
      <c r="AS5638" s="13"/>
    </row>
    <row r="5639" ht="14.25" customHeight="1">
      <c r="A5639" s="13"/>
      <c r="B5639" s="13"/>
      <c r="C5639" s="13"/>
      <c r="D5639" s="13"/>
      <c r="E5639" s="13"/>
      <c r="F5639" s="13"/>
      <c r="G5639" s="13"/>
      <c r="H5639" s="13"/>
      <c r="I5639" s="13"/>
      <c r="J5639" s="13"/>
      <c r="K5639" s="15"/>
      <c r="L5639" s="15"/>
      <c r="M5639" s="16"/>
      <c r="N5639" s="16"/>
      <c r="O5639" s="17"/>
      <c r="P5639" s="17"/>
      <c r="Q5639" s="13"/>
      <c r="R5639" s="13"/>
      <c r="S5639" s="13"/>
      <c r="T5639" s="13"/>
      <c r="U5639" s="13"/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F5639" s="13"/>
      <c r="AG5639" s="13"/>
      <c r="AH5639" s="13"/>
      <c r="AI5639" s="13"/>
      <c r="AJ5639" s="13"/>
      <c r="AK5639" s="13"/>
      <c r="AL5639" s="13"/>
      <c r="AM5639" s="13"/>
      <c r="AN5639" s="13"/>
      <c r="AO5639" s="13"/>
      <c r="AP5639" s="13"/>
      <c r="AQ5639" s="13"/>
      <c r="AR5639" s="13"/>
      <c r="AS5639" s="13"/>
    </row>
    <row r="5640" ht="14.25" customHeight="1">
      <c r="A5640" s="13"/>
      <c r="B5640" s="13"/>
      <c r="C5640" s="13"/>
      <c r="D5640" s="13"/>
      <c r="E5640" s="13"/>
      <c r="F5640" s="13"/>
      <c r="G5640" s="13"/>
      <c r="H5640" s="13"/>
      <c r="I5640" s="13"/>
      <c r="J5640" s="13"/>
      <c r="K5640" s="15"/>
      <c r="L5640" s="15"/>
      <c r="M5640" s="16"/>
      <c r="N5640" s="16"/>
      <c r="O5640" s="17"/>
      <c r="P5640" s="17"/>
      <c r="Q5640" s="13"/>
      <c r="R5640" s="13"/>
      <c r="S5640" s="13"/>
      <c r="T5640" s="13"/>
      <c r="U5640" s="13"/>
      <c r="V5640" s="13"/>
      <c r="W5640" s="13"/>
      <c r="X5640" s="13"/>
      <c r="Y5640" s="13"/>
      <c r="Z5640" s="13"/>
      <c r="AA5640" s="13"/>
      <c r="AB5640" s="13"/>
      <c r="AC5640" s="13"/>
      <c r="AD5640" s="13"/>
      <c r="AE5640" s="13"/>
      <c r="AF5640" s="13"/>
      <c r="AG5640" s="13"/>
      <c r="AH5640" s="13"/>
      <c r="AI5640" s="13"/>
      <c r="AJ5640" s="13"/>
      <c r="AK5640" s="13"/>
      <c r="AL5640" s="13"/>
      <c r="AM5640" s="13"/>
      <c r="AN5640" s="13"/>
      <c r="AO5640" s="13"/>
      <c r="AP5640" s="13"/>
      <c r="AQ5640" s="13"/>
      <c r="AR5640" s="13"/>
      <c r="AS5640" s="13"/>
    </row>
    <row r="5641" ht="14.25" customHeight="1">
      <c r="A5641" s="13"/>
      <c r="B5641" s="13"/>
      <c r="C5641" s="13"/>
      <c r="D5641" s="13"/>
      <c r="E5641" s="13"/>
      <c r="F5641" s="13"/>
      <c r="G5641" s="13"/>
      <c r="H5641" s="13"/>
      <c r="I5641" s="13"/>
      <c r="J5641" s="13"/>
      <c r="K5641" s="15"/>
      <c r="L5641" s="15"/>
      <c r="M5641" s="16"/>
      <c r="N5641" s="16"/>
      <c r="O5641" s="17"/>
      <c r="P5641" s="17"/>
      <c r="Q5641" s="13"/>
      <c r="R5641" s="13"/>
      <c r="S5641" s="13"/>
      <c r="T5641" s="13"/>
      <c r="U5641" s="13"/>
      <c r="V5641" s="13"/>
      <c r="W5641" s="13"/>
      <c r="X5641" s="13"/>
      <c r="Y5641" s="13"/>
      <c r="Z5641" s="13"/>
      <c r="AA5641" s="13"/>
      <c r="AB5641" s="13"/>
      <c r="AC5641" s="13"/>
      <c r="AD5641" s="13"/>
      <c r="AE5641" s="13"/>
      <c r="AF5641" s="13"/>
      <c r="AG5641" s="13"/>
      <c r="AH5641" s="13"/>
      <c r="AI5641" s="13"/>
      <c r="AJ5641" s="13"/>
      <c r="AK5641" s="13"/>
      <c r="AL5641" s="13"/>
      <c r="AM5641" s="13"/>
      <c r="AN5641" s="13"/>
      <c r="AO5641" s="13"/>
      <c r="AP5641" s="13"/>
      <c r="AQ5641" s="13"/>
      <c r="AR5641" s="13"/>
      <c r="AS5641" s="13"/>
    </row>
    <row r="5642" ht="14.25" customHeight="1">
      <c r="A5642" s="13"/>
      <c r="B5642" s="13"/>
      <c r="C5642" s="13"/>
      <c r="D5642" s="13"/>
      <c r="E5642" s="13"/>
      <c r="F5642" s="13"/>
      <c r="G5642" s="13"/>
      <c r="H5642" s="13"/>
      <c r="I5642" s="13"/>
      <c r="J5642" s="13"/>
      <c r="K5642" s="15"/>
      <c r="L5642" s="15"/>
      <c r="M5642" s="16"/>
      <c r="N5642" s="16"/>
      <c r="O5642" s="17"/>
      <c r="P5642" s="17"/>
      <c r="Q5642" s="13"/>
      <c r="R5642" s="13"/>
      <c r="S5642" s="13"/>
      <c r="T5642" s="13"/>
      <c r="U5642" s="13"/>
      <c r="V5642" s="13"/>
      <c r="W5642" s="13"/>
      <c r="X5642" s="13"/>
      <c r="Y5642" s="13"/>
      <c r="Z5642" s="13"/>
      <c r="AA5642" s="13"/>
      <c r="AB5642" s="13"/>
      <c r="AC5642" s="13"/>
      <c r="AD5642" s="13"/>
      <c r="AE5642" s="13"/>
      <c r="AF5642" s="13"/>
      <c r="AG5642" s="13"/>
      <c r="AH5642" s="13"/>
      <c r="AI5642" s="13"/>
      <c r="AJ5642" s="13"/>
      <c r="AK5642" s="13"/>
      <c r="AL5642" s="13"/>
      <c r="AM5642" s="13"/>
      <c r="AN5642" s="13"/>
      <c r="AO5642" s="13"/>
      <c r="AP5642" s="13"/>
      <c r="AQ5642" s="13"/>
      <c r="AR5642" s="13"/>
      <c r="AS5642" s="13"/>
    </row>
    <row r="5643" ht="14.25" customHeight="1">
      <c r="A5643" s="13"/>
      <c r="B5643" s="13"/>
      <c r="C5643" s="13"/>
      <c r="D5643" s="13"/>
      <c r="E5643" s="13"/>
      <c r="F5643" s="13"/>
      <c r="G5643" s="13"/>
      <c r="H5643" s="13"/>
      <c r="I5643" s="13"/>
      <c r="J5643" s="13"/>
      <c r="K5643" s="15"/>
      <c r="L5643" s="15"/>
      <c r="M5643" s="16"/>
      <c r="N5643" s="16"/>
      <c r="O5643" s="17"/>
      <c r="P5643" s="17"/>
      <c r="Q5643" s="13"/>
      <c r="R5643" s="13"/>
      <c r="S5643" s="13"/>
      <c r="T5643" s="13"/>
      <c r="U5643" s="13"/>
      <c r="V5643" s="13"/>
      <c r="W5643" s="13"/>
      <c r="X5643" s="13"/>
      <c r="Y5643" s="13"/>
      <c r="Z5643" s="13"/>
      <c r="AA5643" s="13"/>
      <c r="AB5643" s="13"/>
      <c r="AC5643" s="13"/>
      <c r="AD5643" s="13"/>
      <c r="AE5643" s="13"/>
      <c r="AF5643" s="13"/>
      <c r="AG5643" s="13"/>
      <c r="AH5643" s="13"/>
      <c r="AI5643" s="13"/>
      <c r="AJ5643" s="13"/>
      <c r="AK5643" s="13"/>
      <c r="AL5643" s="13"/>
      <c r="AM5643" s="13"/>
      <c r="AN5643" s="13"/>
      <c r="AO5643" s="13"/>
      <c r="AP5643" s="13"/>
      <c r="AQ5643" s="13"/>
      <c r="AR5643" s="13"/>
      <c r="AS5643" s="13"/>
    </row>
    <row r="5644" ht="14.25" customHeight="1">
      <c r="A5644" s="13"/>
      <c r="B5644" s="13"/>
      <c r="C5644" s="13"/>
      <c r="D5644" s="13"/>
      <c r="E5644" s="13"/>
      <c r="F5644" s="13"/>
      <c r="G5644" s="13"/>
      <c r="H5644" s="13"/>
      <c r="I5644" s="13"/>
      <c r="J5644" s="13"/>
      <c r="K5644" s="15"/>
      <c r="L5644" s="15"/>
      <c r="M5644" s="16"/>
      <c r="N5644" s="16"/>
      <c r="O5644" s="17"/>
      <c r="P5644" s="17"/>
      <c r="Q5644" s="13"/>
      <c r="R5644" s="13"/>
      <c r="S5644" s="13"/>
      <c r="T5644" s="13"/>
      <c r="U5644" s="13"/>
      <c r="V5644" s="13"/>
      <c r="W5644" s="13"/>
      <c r="X5644" s="13"/>
      <c r="Y5644" s="13"/>
      <c r="Z5644" s="13"/>
      <c r="AA5644" s="13"/>
      <c r="AB5644" s="13"/>
      <c r="AC5644" s="13"/>
      <c r="AD5644" s="13"/>
      <c r="AE5644" s="13"/>
      <c r="AF5644" s="13"/>
      <c r="AG5644" s="13"/>
      <c r="AH5644" s="13"/>
      <c r="AI5644" s="13"/>
      <c r="AJ5644" s="13"/>
      <c r="AK5644" s="13"/>
      <c r="AL5644" s="13"/>
      <c r="AM5644" s="13"/>
      <c r="AN5644" s="13"/>
      <c r="AO5644" s="13"/>
      <c r="AP5644" s="13"/>
      <c r="AQ5644" s="13"/>
      <c r="AR5644" s="13"/>
      <c r="AS5644" s="13"/>
    </row>
    <row r="5645" ht="14.25" customHeight="1">
      <c r="A5645" s="13"/>
      <c r="B5645" s="13"/>
      <c r="C5645" s="13"/>
      <c r="D5645" s="13"/>
      <c r="E5645" s="13"/>
      <c r="F5645" s="13"/>
      <c r="G5645" s="13"/>
      <c r="H5645" s="13"/>
      <c r="I5645" s="13"/>
      <c r="J5645" s="13"/>
      <c r="K5645" s="15"/>
      <c r="L5645" s="15"/>
      <c r="M5645" s="16"/>
      <c r="N5645" s="16"/>
      <c r="O5645" s="17"/>
      <c r="P5645" s="17"/>
      <c r="Q5645" s="13"/>
      <c r="R5645" s="13"/>
      <c r="S5645" s="13"/>
      <c r="T5645" s="13"/>
      <c r="U5645" s="13"/>
      <c r="V5645" s="13"/>
      <c r="W5645" s="13"/>
      <c r="X5645" s="13"/>
      <c r="Y5645" s="13"/>
      <c r="Z5645" s="13"/>
      <c r="AA5645" s="13"/>
      <c r="AB5645" s="13"/>
      <c r="AC5645" s="13"/>
      <c r="AD5645" s="13"/>
      <c r="AE5645" s="13"/>
      <c r="AF5645" s="13"/>
      <c r="AG5645" s="13"/>
      <c r="AH5645" s="13"/>
      <c r="AI5645" s="13"/>
      <c r="AJ5645" s="13"/>
      <c r="AK5645" s="13"/>
      <c r="AL5645" s="13"/>
      <c r="AM5645" s="13"/>
      <c r="AN5645" s="13"/>
      <c r="AO5645" s="13"/>
      <c r="AP5645" s="13"/>
      <c r="AQ5645" s="13"/>
      <c r="AR5645" s="13"/>
      <c r="AS5645" s="13"/>
    </row>
    <row r="5646" ht="14.25" customHeight="1">
      <c r="A5646" s="13"/>
      <c r="B5646" s="13"/>
      <c r="C5646" s="13"/>
      <c r="D5646" s="13"/>
      <c r="E5646" s="13"/>
      <c r="F5646" s="13"/>
      <c r="G5646" s="13"/>
      <c r="H5646" s="13"/>
      <c r="I5646" s="13"/>
      <c r="J5646" s="13"/>
      <c r="K5646" s="15"/>
      <c r="L5646" s="15"/>
      <c r="M5646" s="16"/>
      <c r="N5646" s="16"/>
      <c r="O5646" s="17"/>
      <c r="P5646" s="17"/>
      <c r="Q5646" s="13"/>
      <c r="R5646" s="13"/>
      <c r="S5646" s="13"/>
      <c r="T5646" s="13"/>
      <c r="U5646" s="13"/>
      <c r="V5646" s="13"/>
      <c r="W5646" s="13"/>
      <c r="X5646" s="13"/>
      <c r="Y5646" s="13"/>
      <c r="Z5646" s="13"/>
      <c r="AA5646" s="13"/>
      <c r="AB5646" s="13"/>
      <c r="AC5646" s="13"/>
      <c r="AD5646" s="13"/>
      <c r="AE5646" s="13"/>
      <c r="AF5646" s="13"/>
      <c r="AG5646" s="13"/>
      <c r="AH5646" s="13"/>
      <c r="AI5646" s="13"/>
      <c r="AJ5646" s="13"/>
      <c r="AK5646" s="13"/>
      <c r="AL5646" s="13"/>
      <c r="AM5646" s="13"/>
      <c r="AN5646" s="13"/>
      <c r="AO5646" s="13"/>
      <c r="AP5646" s="13"/>
      <c r="AQ5646" s="13"/>
      <c r="AR5646" s="13"/>
      <c r="AS5646" s="13"/>
    </row>
    <row r="5647" ht="14.25" customHeight="1">
      <c r="A5647" s="13"/>
      <c r="B5647" s="13"/>
      <c r="C5647" s="13"/>
      <c r="D5647" s="13"/>
      <c r="E5647" s="13"/>
      <c r="F5647" s="13"/>
      <c r="G5647" s="13"/>
      <c r="H5647" s="13"/>
      <c r="I5647" s="13"/>
      <c r="J5647" s="13"/>
      <c r="K5647" s="15"/>
      <c r="L5647" s="15"/>
      <c r="M5647" s="16"/>
      <c r="N5647" s="16"/>
      <c r="O5647" s="17"/>
      <c r="P5647" s="17"/>
      <c r="Q5647" s="13"/>
      <c r="R5647" s="13"/>
      <c r="S5647" s="13"/>
      <c r="T5647" s="13"/>
      <c r="U5647" s="13"/>
      <c r="V5647" s="13"/>
      <c r="W5647" s="13"/>
      <c r="X5647" s="13"/>
      <c r="Y5647" s="13"/>
      <c r="Z5647" s="13"/>
      <c r="AA5647" s="13"/>
      <c r="AB5647" s="13"/>
      <c r="AC5647" s="13"/>
      <c r="AD5647" s="13"/>
      <c r="AE5647" s="13"/>
      <c r="AF5647" s="13"/>
      <c r="AG5647" s="13"/>
      <c r="AH5647" s="13"/>
      <c r="AI5647" s="13"/>
      <c r="AJ5647" s="13"/>
      <c r="AK5647" s="13"/>
      <c r="AL5647" s="13"/>
      <c r="AM5647" s="13"/>
      <c r="AN5647" s="13"/>
      <c r="AO5647" s="13"/>
      <c r="AP5647" s="13"/>
      <c r="AQ5647" s="13"/>
      <c r="AR5647" s="13"/>
      <c r="AS5647" s="13"/>
    </row>
    <row r="5648" ht="14.25" customHeight="1">
      <c r="A5648" s="13"/>
      <c r="B5648" s="13"/>
      <c r="C5648" s="13"/>
      <c r="D5648" s="13"/>
      <c r="E5648" s="13"/>
      <c r="F5648" s="13"/>
      <c r="G5648" s="13"/>
      <c r="H5648" s="13"/>
      <c r="I5648" s="13"/>
      <c r="J5648" s="13"/>
      <c r="K5648" s="15"/>
      <c r="L5648" s="15"/>
      <c r="M5648" s="16"/>
      <c r="N5648" s="16"/>
      <c r="O5648" s="17"/>
      <c r="P5648" s="17"/>
      <c r="Q5648" s="13"/>
      <c r="R5648" s="13"/>
      <c r="S5648" s="13"/>
      <c r="T5648" s="13"/>
      <c r="U5648" s="13"/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F5648" s="13"/>
      <c r="AG5648" s="13"/>
      <c r="AH5648" s="13"/>
      <c r="AI5648" s="13"/>
      <c r="AJ5648" s="13"/>
      <c r="AK5648" s="13"/>
      <c r="AL5648" s="13"/>
      <c r="AM5648" s="13"/>
      <c r="AN5648" s="13"/>
      <c r="AO5648" s="13"/>
      <c r="AP5648" s="13"/>
      <c r="AQ5648" s="13"/>
      <c r="AR5648" s="13"/>
      <c r="AS5648" s="13"/>
    </row>
    <row r="5649" ht="14.25" customHeight="1">
      <c r="A5649" s="13"/>
      <c r="B5649" s="13"/>
      <c r="C5649" s="13"/>
      <c r="D5649" s="13"/>
      <c r="E5649" s="13"/>
      <c r="F5649" s="13"/>
      <c r="G5649" s="13"/>
      <c r="H5649" s="13"/>
      <c r="I5649" s="13"/>
      <c r="J5649" s="13"/>
      <c r="K5649" s="15"/>
      <c r="L5649" s="15"/>
      <c r="M5649" s="16"/>
      <c r="N5649" s="16"/>
      <c r="O5649" s="17"/>
      <c r="P5649" s="17"/>
      <c r="Q5649" s="13"/>
      <c r="R5649" s="13"/>
      <c r="S5649" s="13"/>
      <c r="T5649" s="13"/>
      <c r="U5649" s="13"/>
      <c r="V5649" s="13"/>
      <c r="W5649" s="13"/>
      <c r="X5649" s="13"/>
      <c r="Y5649" s="13"/>
      <c r="Z5649" s="13"/>
      <c r="AA5649" s="13"/>
      <c r="AB5649" s="13"/>
      <c r="AC5649" s="13"/>
      <c r="AD5649" s="13"/>
      <c r="AE5649" s="13"/>
      <c r="AF5649" s="13"/>
      <c r="AG5649" s="13"/>
      <c r="AH5649" s="13"/>
      <c r="AI5649" s="13"/>
      <c r="AJ5649" s="13"/>
      <c r="AK5649" s="13"/>
      <c r="AL5649" s="13"/>
      <c r="AM5649" s="13"/>
      <c r="AN5649" s="13"/>
      <c r="AO5649" s="13"/>
      <c r="AP5649" s="13"/>
      <c r="AQ5649" s="13"/>
      <c r="AR5649" s="13"/>
      <c r="AS5649" s="13"/>
    </row>
    <row r="5650" ht="14.25" customHeight="1">
      <c r="A5650" s="13"/>
      <c r="B5650" s="13"/>
      <c r="C5650" s="13"/>
      <c r="D5650" s="13"/>
      <c r="E5650" s="13"/>
      <c r="F5650" s="13"/>
      <c r="G5650" s="13"/>
      <c r="H5650" s="13"/>
      <c r="I5650" s="13"/>
      <c r="J5650" s="13"/>
      <c r="K5650" s="15"/>
      <c r="L5650" s="15"/>
      <c r="M5650" s="16"/>
      <c r="N5650" s="16"/>
      <c r="O5650" s="17"/>
      <c r="P5650" s="17"/>
      <c r="Q5650" s="13"/>
      <c r="R5650" s="13"/>
      <c r="S5650" s="13"/>
      <c r="T5650" s="13"/>
      <c r="U5650" s="13"/>
      <c r="V5650" s="13"/>
      <c r="W5650" s="13"/>
      <c r="X5650" s="13"/>
      <c r="Y5650" s="13"/>
      <c r="Z5650" s="13"/>
      <c r="AA5650" s="13"/>
      <c r="AB5650" s="13"/>
      <c r="AC5650" s="13"/>
      <c r="AD5650" s="13"/>
      <c r="AE5650" s="13"/>
      <c r="AF5650" s="13"/>
      <c r="AG5650" s="13"/>
      <c r="AH5650" s="13"/>
      <c r="AI5650" s="13"/>
      <c r="AJ5650" s="13"/>
      <c r="AK5650" s="13"/>
      <c r="AL5650" s="13"/>
      <c r="AM5650" s="13"/>
      <c r="AN5650" s="13"/>
      <c r="AO5650" s="13"/>
      <c r="AP5650" s="13"/>
      <c r="AQ5650" s="13"/>
      <c r="AR5650" s="13"/>
      <c r="AS5650" s="13"/>
    </row>
    <row r="5651" ht="14.25" customHeight="1">
      <c r="A5651" s="13"/>
      <c r="B5651" s="13"/>
      <c r="C5651" s="13"/>
      <c r="D5651" s="13"/>
      <c r="E5651" s="13"/>
      <c r="F5651" s="13"/>
      <c r="G5651" s="13"/>
      <c r="H5651" s="13"/>
      <c r="I5651" s="13"/>
      <c r="J5651" s="13"/>
      <c r="K5651" s="15"/>
      <c r="L5651" s="15"/>
      <c r="M5651" s="16"/>
      <c r="N5651" s="16"/>
      <c r="O5651" s="17"/>
      <c r="P5651" s="17"/>
      <c r="Q5651" s="13"/>
      <c r="R5651" s="13"/>
      <c r="S5651" s="13"/>
      <c r="T5651" s="13"/>
      <c r="U5651" s="13"/>
      <c r="V5651" s="13"/>
      <c r="W5651" s="13"/>
      <c r="X5651" s="13"/>
      <c r="Y5651" s="13"/>
      <c r="Z5651" s="13"/>
      <c r="AA5651" s="13"/>
      <c r="AB5651" s="13"/>
      <c r="AC5651" s="13"/>
      <c r="AD5651" s="13"/>
      <c r="AE5651" s="13"/>
      <c r="AF5651" s="13"/>
      <c r="AG5651" s="13"/>
      <c r="AH5651" s="13"/>
      <c r="AI5651" s="13"/>
      <c r="AJ5651" s="13"/>
      <c r="AK5651" s="13"/>
      <c r="AL5651" s="13"/>
      <c r="AM5651" s="13"/>
      <c r="AN5651" s="13"/>
      <c r="AO5651" s="13"/>
      <c r="AP5651" s="13"/>
      <c r="AQ5651" s="13"/>
      <c r="AR5651" s="13"/>
      <c r="AS5651" s="13"/>
    </row>
    <row r="5652" ht="14.25" customHeight="1">
      <c r="A5652" s="13"/>
      <c r="B5652" s="13"/>
      <c r="C5652" s="13"/>
      <c r="D5652" s="13"/>
      <c r="E5652" s="13"/>
      <c r="F5652" s="13"/>
      <c r="G5652" s="13"/>
      <c r="H5652" s="13"/>
      <c r="I5652" s="13"/>
      <c r="J5652" s="13"/>
      <c r="K5652" s="15"/>
      <c r="L5652" s="15"/>
      <c r="M5652" s="16"/>
      <c r="N5652" s="16"/>
      <c r="O5652" s="17"/>
      <c r="P5652" s="17"/>
      <c r="Q5652" s="13"/>
      <c r="R5652" s="13"/>
      <c r="S5652" s="13"/>
      <c r="T5652" s="13"/>
      <c r="U5652" s="13"/>
      <c r="V5652" s="13"/>
      <c r="W5652" s="13"/>
      <c r="X5652" s="13"/>
      <c r="Y5652" s="13"/>
      <c r="Z5652" s="13"/>
      <c r="AA5652" s="13"/>
      <c r="AB5652" s="13"/>
      <c r="AC5652" s="13"/>
      <c r="AD5652" s="13"/>
      <c r="AE5652" s="13"/>
      <c r="AF5652" s="13"/>
      <c r="AG5652" s="13"/>
      <c r="AH5652" s="13"/>
      <c r="AI5652" s="13"/>
      <c r="AJ5652" s="13"/>
      <c r="AK5652" s="13"/>
      <c r="AL5652" s="13"/>
      <c r="AM5652" s="13"/>
      <c r="AN5652" s="13"/>
      <c r="AO5652" s="13"/>
      <c r="AP5652" s="13"/>
      <c r="AQ5652" s="13"/>
      <c r="AR5652" s="13"/>
      <c r="AS5652" s="13"/>
    </row>
    <row r="5653" ht="14.25" customHeight="1">
      <c r="A5653" s="13"/>
      <c r="B5653" s="13"/>
      <c r="C5653" s="13"/>
      <c r="D5653" s="13"/>
      <c r="E5653" s="13"/>
      <c r="F5653" s="13"/>
      <c r="G5653" s="13"/>
      <c r="H5653" s="13"/>
      <c r="I5653" s="13"/>
      <c r="J5653" s="13"/>
      <c r="K5653" s="15"/>
      <c r="L5653" s="15"/>
      <c r="M5653" s="16"/>
      <c r="N5653" s="16"/>
      <c r="O5653" s="17"/>
      <c r="P5653" s="17"/>
      <c r="Q5653" s="13"/>
      <c r="R5653" s="13"/>
      <c r="S5653" s="13"/>
      <c r="T5653" s="13"/>
      <c r="U5653" s="13"/>
      <c r="V5653" s="13"/>
      <c r="W5653" s="13"/>
      <c r="X5653" s="13"/>
      <c r="Y5653" s="13"/>
      <c r="Z5653" s="13"/>
      <c r="AA5653" s="13"/>
      <c r="AB5653" s="13"/>
      <c r="AC5653" s="13"/>
      <c r="AD5653" s="13"/>
      <c r="AE5653" s="13"/>
      <c r="AF5653" s="13"/>
      <c r="AG5653" s="13"/>
      <c r="AH5653" s="13"/>
      <c r="AI5653" s="13"/>
      <c r="AJ5653" s="13"/>
      <c r="AK5653" s="13"/>
      <c r="AL5653" s="13"/>
      <c r="AM5653" s="13"/>
      <c r="AN5653" s="13"/>
      <c r="AO5653" s="13"/>
      <c r="AP5653" s="13"/>
      <c r="AQ5653" s="13"/>
      <c r="AR5653" s="13"/>
      <c r="AS5653" s="13"/>
    </row>
    <row r="5654" ht="14.25" customHeight="1">
      <c r="A5654" s="13"/>
      <c r="B5654" s="13"/>
      <c r="C5654" s="13"/>
      <c r="D5654" s="13"/>
      <c r="E5654" s="13"/>
      <c r="F5654" s="13"/>
      <c r="G5654" s="13"/>
      <c r="H5654" s="13"/>
      <c r="I5654" s="13"/>
      <c r="J5654" s="13"/>
      <c r="K5654" s="15"/>
      <c r="L5654" s="15"/>
      <c r="M5654" s="16"/>
      <c r="N5654" s="16"/>
      <c r="O5654" s="17"/>
      <c r="P5654" s="17"/>
      <c r="Q5654" s="13"/>
      <c r="R5654" s="13"/>
      <c r="S5654" s="13"/>
      <c r="T5654" s="13"/>
      <c r="U5654" s="13"/>
      <c r="V5654" s="13"/>
      <c r="W5654" s="13"/>
      <c r="X5654" s="13"/>
      <c r="Y5654" s="13"/>
      <c r="Z5654" s="13"/>
      <c r="AA5654" s="13"/>
      <c r="AB5654" s="13"/>
      <c r="AC5654" s="13"/>
      <c r="AD5654" s="13"/>
      <c r="AE5654" s="13"/>
      <c r="AF5654" s="13"/>
      <c r="AG5654" s="13"/>
      <c r="AH5654" s="13"/>
      <c r="AI5654" s="13"/>
      <c r="AJ5654" s="13"/>
      <c r="AK5654" s="13"/>
      <c r="AL5654" s="13"/>
      <c r="AM5654" s="13"/>
      <c r="AN5654" s="13"/>
      <c r="AO5654" s="13"/>
      <c r="AP5654" s="13"/>
      <c r="AQ5654" s="13"/>
      <c r="AR5654" s="13"/>
      <c r="AS5654" s="13"/>
    </row>
    <row r="5655" ht="14.25" customHeight="1">
      <c r="A5655" s="13"/>
      <c r="B5655" s="13"/>
      <c r="C5655" s="13"/>
      <c r="D5655" s="13"/>
      <c r="E5655" s="13"/>
      <c r="F5655" s="13"/>
      <c r="G5655" s="13"/>
      <c r="H5655" s="13"/>
      <c r="I5655" s="13"/>
      <c r="J5655" s="13"/>
      <c r="K5655" s="15"/>
      <c r="L5655" s="15"/>
      <c r="M5655" s="16"/>
      <c r="N5655" s="16"/>
      <c r="O5655" s="17"/>
      <c r="P5655" s="17"/>
      <c r="Q5655" s="13"/>
      <c r="R5655" s="13"/>
      <c r="S5655" s="13"/>
      <c r="T5655" s="13"/>
      <c r="U5655" s="13"/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F5655" s="13"/>
      <c r="AG5655" s="13"/>
      <c r="AH5655" s="13"/>
      <c r="AI5655" s="13"/>
      <c r="AJ5655" s="13"/>
      <c r="AK5655" s="13"/>
      <c r="AL5655" s="13"/>
      <c r="AM5655" s="13"/>
      <c r="AN5655" s="13"/>
      <c r="AO5655" s="13"/>
      <c r="AP5655" s="13"/>
      <c r="AQ5655" s="13"/>
      <c r="AR5655" s="13"/>
      <c r="AS5655" s="13"/>
    </row>
    <row r="5656" ht="14.25" customHeight="1">
      <c r="A5656" s="13"/>
      <c r="B5656" s="13"/>
      <c r="C5656" s="13"/>
      <c r="D5656" s="13"/>
      <c r="E5656" s="13"/>
      <c r="F5656" s="13"/>
      <c r="G5656" s="13"/>
      <c r="H5656" s="13"/>
      <c r="I5656" s="13"/>
      <c r="J5656" s="13"/>
      <c r="K5656" s="15"/>
      <c r="L5656" s="15"/>
      <c r="M5656" s="16"/>
      <c r="N5656" s="16"/>
      <c r="O5656" s="17"/>
      <c r="P5656" s="17"/>
      <c r="Q5656" s="13"/>
      <c r="R5656" s="13"/>
      <c r="S5656" s="13"/>
      <c r="T5656" s="13"/>
      <c r="U5656" s="13"/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13"/>
      <c r="AG5656" s="13"/>
      <c r="AH5656" s="13"/>
      <c r="AI5656" s="13"/>
      <c r="AJ5656" s="13"/>
      <c r="AK5656" s="13"/>
      <c r="AL5656" s="13"/>
      <c r="AM5656" s="13"/>
      <c r="AN5656" s="13"/>
      <c r="AO5656" s="13"/>
      <c r="AP5656" s="13"/>
      <c r="AQ5656" s="13"/>
      <c r="AR5656" s="13"/>
      <c r="AS5656" s="13"/>
    </row>
    <row r="5657" ht="14.25" customHeight="1">
      <c r="A5657" s="13"/>
      <c r="B5657" s="13"/>
      <c r="C5657" s="13"/>
      <c r="D5657" s="13"/>
      <c r="E5657" s="13"/>
      <c r="F5657" s="13"/>
      <c r="G5657" s="13"/>
      <c r="H5657" s="13"/>
      <c r="I5657" s="13"/>
      <c r="J5657" s="13"/>
      <c r="K5657" s="15"/>
      <c r="L5657" s="15"/>
      <c r="M5657" s="16"/>
      <c r="N5657" s="16"/>
      <c r="O5657" s="17"/>
      <c r="P5657" s="17"/>
      <c r="Q5657" s="13"/>
      <c r="R5657" s="13"/>
      <c r="S5657" s="13"/>
      <c r="T5657" s="13"/>
      <c r="U5657" s="13"/>
      <c r="V5657" s="13"/>
      <c r="W5657" s="13"/>
      <c r="X5657" s="13"/>
      <c r="Y5657" s="13"/>
      <c r="Z5657" s="13"/>
      <c r="AA5657" s="13"/>
      <c r="AB5657" s="13"/>
      <c r="AC5657" s="13"/>
      <c r="AD5657" s="13"/>
      <c r="AE5657" s="13"/>
      <c r="AF5657" s="13"/>
      <c r="AG5657" s="13"/>
      <c r="AH5657" s="13"/>
      <c r="AI5657" s="13"/>
      <c r="AJ5657" s="13"/>
      <c r="AK5657" s="13"/>
      <c r="AL5657" s="13"/>
      <c r="AM5657" s="13"/>
      <c r="AN5657" s="13"/>
      <c r="AO5657" s="13"/>
      <c r="AP5657" s="13"/>
      <c r="AQ5657" s="13"/>
      <c r="AR5657" s="13"/>
      <c r="AS5657" s="13"/>
    </row>
    <row r="5658" ht="14.25" customHeight="1">
      <c r="A5658" s="13"/>
      <c r="B5658" s="13"/>
      <c r="C5658" s="13"/>
      <c r="D5658" s="13"/>
      <c r="E5658" s="13"/>
      <c r="F5658" s="13"/>
      <c r="G5658" s="13"/>
      <c r="H5658" s="13"/>
      <c r="I5658" s="13"/>
      <c r="J5658" s="13"/>
      <c r="K5658" s="15"/>
      <c r="L5658" s="15"/>
      <c r="M5658" s="16"/>
      <c r="N5658" s="16"/>
      <c r="O5658" s="17"/>
      <c r="P5658" s="17"/>
      <c r="Q5658" s="13"/>
      <c r="R5658" s="13"/>
      <c r="S5658" s="13"/>
      <c r="T5658" s="13"/>
      <c r="U5658" s="13"/>
      <c r="V5658" s="13"/>
      <c r="W5658" s="13"/>
      <c r="X5658" s="13"/>
      <c r="Y5658" s="13"/>
      <c r="Z5658" s="13"/>
      <c r="AA5658" s="13"/>
      <c r="AB5658" s="13"/>
      <c r="AC5658" s="13"/>
      <c r="AD5658" s="13"/>
      <c r="AE5658" s="13"/>
      <c r="AF5658" s="13"/>
      <c r="AG5658" s="13"/>
      <c r="AH5658" s="13"/>
      <c r="AI5658" s="13"/>
      <c r="AJ5658" s="13"/>
      <c r="AK5658" s="13"/>
      <c r="AL5658" s="13"/>
      <c r="AM5658" s="13"/>
      <c r="AN5658" s="13"/>
      <c r="AO5658" s="13"/>
      <c r="AP5658" s="13"/>
      <c r="AQ5658" s="13"/>
      <c r="AR5658" s="13"/>
      <c r="AS5658" s="13"/>
    </row>
    <row r="5659" ht="14.25" customHeight="1">
      <c r="A5659" s="13"/>
      <c r="B5659" s="13"/>
      <c r="C5659" s="13"/>
      <c r="D5659" s="13"/>
      <c r="E5659" s="13"/>
      <c r="F5659" s="13"/>
      <c r="G5659" s="13"/>
      <c r="H5659" s="13"/>
      <c r="I5659" s="13"/>
      <c r="J5659" s="13"/>
      <c r="K5659" s="15"/>
      <c r="L5659" s="15"/>
      <c r="M5659" s="16"/>
      <c r="N5659" s="16"/>
      <c r="O5659" s="17"/>
      <c r="P5659" s="17"/>
      <c r="Q5659" s="13"/>
      <c r="R5659" s="13"/>
      <c r="S5659" s="13"/>
      <c r="T5659" s="13"/>
      <c r="U5659" s="13"/>
      <c r="V5659" s="13"/>
      <c r="W5659" s="13"/>
      <c r="X5659" s="13"/>
      <c r="Y5659" s="13"/>
      <c r="Z5659" s="13"/>
      <c r="AA5659" s="13"/>
      <c r="AB5659" s="13"/>
      <c r="AC5659" s="13"/>
      <c r="AD5659" s="13"/>
      <c r="AE5659" s="13"/>
      <c r="AF5659" s="13"/>
      <c r="AG5659" s="13"/>
      <c r="AH5659" s="13"/>
      <c r="AI5659" s="13"/>
      <c r="AJ5659" s="13"/>
      <c r="AK5659" s="13"/>
      <c r="AL5659" s="13"/>
      <c r="AM5659" s="13"/>
      <c r="AN5659" s="13"/>
      <c r="AO5659" s="13"/>
      <c r="AP5659" s="13"/>
      <c r="AQ5659" s="13"/>
      <c r="AR5659" s="13"/>
      <c r="AS5659" s="13"/>
    </row>
    <row r="5660" ht="14.25" customHeight="1">
      <c r="A5660" s="13"/>
      <c r="B5660" s="13"/>
      <c r="C5660" s="13"/>
      <c r="D5660" s="13"/>
      <c r="E5660" s="13"/>
      <c r="F5660" s="13"/>
      <c r="G5660" s="13"/>
      <c r="H5660" s="13"/>
      <c r="I5660" s="13"/>
      <c r="J5660" s="13"/>
      <c r="K5660" s="15"/>
      <c r="L5660" s="15"/>
      <c r="M5660" s="16"/>
      <c r="N5660" s="16"/>
      <c r="O5660" s="17"/>
      <c r="P5660" s="17"/>
      <c r="Q5660" s="13"/>
      <c r="R5660" s="13"/>
      <c r="S5660" s="13"/>
      <c r="T5660" s="13"/>
      <c r="U5660" s="13"/>
      <c r="V5660" s="13"/>
      <c r="W5660" s="13"/>
      <c r="X5660" s="13"/>
      <c r="Y5660" s="13"/>
      <c r="Z5660" s="13"/>
      <c r="AA5660" s="13"/>
      <c r="AB5660" s="13"/>
      <c r="AC5660" s="13"/>
      <c r="AD5660" s="13"/>
      <c r="AE5660" s="13"/>
      <c r="AF5660" s="13"/>
      <c r="AG5660" s="13"/>
      <c r="AH5660" s="13"/>
      <c r="AI5660" s="13"/>
      <c r="AJ5660" s="13"/>
      <c r="AK5660" s="13"/>
      <c r="AL5660" s="13"/>
      <c r="AM5660" s="13"/>
      <c r="AN5660" s="13"/>
      <c r="AO5660" s="13"/>
      <c r="AP5660" s="13"/>
      <c r="AQ5660" s="13"/>
      <c r="AR5660" s="13"/>
      <c r="AS5660" s="13"/>
    </row>
    <row r="5661" ht="14.25" customHeight="1">
      <c r="A5661" s="13"/>
      <c r="B5661" s="13"/>
      <c r="C5661" s="13"/>
      <c r="D5661" s="13"/>
      <c r="E5661" s="13"/>
      <c r="F5661" s="13"/>
      <c r="G5661" s="13"/>
      <c r="H5661" s="13"/>
      <c r="I5661" s="13"/>
      <c r="J5661" s="13"/>
      <c r="K5661" s="15"/>
      <c r="L5661" s="15"/>
      <c r="M5661" s="16"/>
      <c r="N5661" s="16"/>
      <c r="O5661" s="17"/>
      <c r="P5661" s="17"/>
      <c r="Q5661" s="13"/>
      <c r="R5661" s="13"/>
      <c r="S5661" s="13"/>
      <c r="T5661" s="13"/>
      <c r="U5661" s="13"/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F5661" s="13"/>
      <c r="AG5661" s="13"/>
      <c r="AH5661" s="13"/>
      <c r="AI5661" s="13"/>
      <c r="AJ5661" s="13"/>
      <c r="AK5661" s="13"/>
      <c r="AL5661" s="13"/>
      <c r="AM5661" s="13"/>
      <c r="AN5661" s="13"/>
      <c r="AO5661" s="13"/>
      <c r="AP5661" s="13"/>
      <c r="AQ5661" s="13"/>
      <c r="AR5661" s="13"/>
      <c r="AS5661" s="13"/>
    </row>
    <row r="5662" ht="14.25" customHeight="1">
      <c r="A5662" s="13"/>
      <c r="B5662" s="13"/>
      <c r="C5662" s="13"/>
      <c r="D5662" s="13"/>
      <c r="E5662" s="13"/>
      <c r="F5662" s="13"/>
      <c r="G5662" s="13"/>
      <c r="H5662" s="13"/>
      <c r="I5662" s="13"/>
      <c r="J5662" s="13"/>
      <c r="K5662" s="15"/>
      <c r="L5662" s="15"/>
      <c r="M5662" s="16"/>
      <c r="N5662" s="16"/>
      <c r="O5662" s="17"/>
      <c r="P5662" s="17"/>
      <c r="Q5662" s="13"/>
      <c r="R5662" s="13"/>
      <c r="S5662" s="13"/>
      <c r="T5662" s="13"/>
      <c r="U5662" s="13"/>
      <c r="V5662" s="13"/>
      <c r="W5662" s="13"/>
      <c r="X5662" s="13"/>
      <c r="Y5662" s="13"/>
      <c r="Z5662" s="13"/>
      <c r="AA5662" s="13"/>
      <c r="AB5662" s="13"/>
      <c r="AC5662" s="13"/>
      <c r="AD5662" s="13"/>
      <c r="AE5662" s="13"/>
      <c r="AF5662" s="13"/>
      <c r="AG5662" s="13"/>
      <c r="AH5662" s="13"/>
      <c r="AI5662" s="13"/>
      <c r="AJ5662" s="13"/>
      <c r="AK5662" s="13"/>
      <c r="AL5662" s="13"/>
      <c r="AM5662" s="13"/>
      <c r="AN5662" s="13"/>
      <c r="AO5662" s="13"/>
      <c r="AP5662" s="13"/>
      <c r="AQ5662" s="13"/>
      <c r="AR5662" s="13"/>
      <c r="AS5662" s="13"/>
    </row>
    <row r="5663" ht="14.25" customHeight="1">
      <c r="A5663" s="13"/>
      <c r="B5663" s="13"/>
      <c r="C5663" s="13"/>
      <c r="D5663" s="13"/>
      <c r="E5663" s="13"/>
      <c r="F5663" s="13"/>
      <c r="G5663" s="13"/>
      <c r="H5663" s="13"/>
      <c r="I5663" s="13"/>
      <c r="J5663" s="13"/>
      <c r="K5663" s="15"/>
      <c r="L5663" s="15"/>
      <c r="M5663" s="16"/>
      <c r="N5663" s="16"/>
      <c r="O5663" s="17"/>
      <c r="P5663" s="17"/>
      <c r="Q5663" s="13"/>
      <c r="R5663" s="13"/>
      <c r="S5663" s="13"/>
      <c r="T5663" s="13"/>
      <c r="U5663" s="13"/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  <c r="AG5663" s="13"/>
      <c r="AH5663" s="13"/>
      <c r="AI5663" s="13"/>
      <c r="AJ5663" s="13"/>
      <c r="AK5663" s="13"/>
      <c r="AL5663" s="13"/>
      <c r="AM5663" s="13"/>
      <c r="AN5663" s="13"/>
      <c r="AO5663" s="13"/>
      <c r="AP5663" s="13"/>
      <c r="AQ5663" s="13"/>
      <c r="AR5663" s="13"/>
      <c r="AS5663" s="13"/>
    </row>
    <row r="5664" ht="14.25" customHeight="1">
      <c r="A5664" s="13"/>
      <c r="B5664" s="13"/>
      <c r="C5664" s="13"/>
      <c r="D5664" s="13"/>
      <c r="E5664" s="13"/>
      <c r="F5664" s="13"/>
      <c r="G5664" s="13"/>
      <c r="H5664" s="13"/>
      <c r="I5664" s="13"/>
      <c r="J5664" s="13"/>
      <c r="K5664" s="15"/>
      <c r="L5664" s="15"/>
      <c r="M5664" s="16"/>
      <c r="N5664" s="16"/>
      <c r="O5664" s="17"/>
      <c r="P5664" s="17"/>
      <c r="Q5664" s="13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F5664" s="13"/>
      <c r="AG5664" s="13"/>
      <c r="AH5664" s="13"/>
      <c r="AI5664" s="13"/>
      <c r="AJ5664" s="13"/>
      <c r="AK5664" s="13"/>
      <c r="AL5664" s="13"/>
      <c r="AM5664" s="13"/>
      <c r="AN5664" s="13"/>
      <c r="AO5664" s="13"/>
      <c r="AP5664" s="13"/>
      <c r="AQ5664" s="13"/>
      <c r="AR5664" s="13"/>
      <c r="AS5664" s="13"/>
    </row>
    <row r="5665" ht="14.25" customHeight="1">
      <c r="A5665" s="13"/>
      <c r="B5665" s="13"/>
      <c r="C5665" s="13"/>
      <c r="D5665" s="13"/>
      <c r="E5665" s="13"/>
      <c r="F5665" s="13"/>
      <c r="G5665" s="13"/>
      <c r="H5665" s="13"/>
      <c r="I5665" s="13"/>
      <c r="J5665" s="13"/>
      <c r="K5665" s="15"/>
      <c r="L5665" s="15"/>
      <c r="M5665" s="16"/>
      <c r="N5665" s="16"/>
      <c r="O5665" s="17"/>
      <c r="P5665" s="17"/>
      <c r="Q5665" s="13"/>
      <c r="R5665" s="13"/>
      <c r="S5665" s="13"/>
      <c r="T5665" s="13"/>
      <c r="U5665" s="13"/>
      <c r="V5665" s="13"/>
      <c r="W5665" s="13"/>
      <c r="X5665" s="13"/>
      <c r="Y5665" s="13"/>
      <c r="Z5665" s="13"/>
      <c r="AA5665" s="13"/>
      <c r="AB5665" s="13"/>
      <c r="AC5665" s="13"/>
      <c r="AD5665" s="13"/>
      <c r="AE5665" s="13"/>
      <c r="AF5665" s="13"/>
      <c r="AG5665" s="13"/>
      <c r="AH5665" s="13"/>
      <c r="AI5665" s="13"/>
      <c r="AJ5665" s="13"/>
      <c r="AK5665" s="13"/>
      <c r="AL5665" s="13"/>
      <c r="AM5665" s="13"/>
      <c r="AN5665" s="13"/>
      <c r="AO5665" s="13"/>
      <c r="AP5665" s="13"/>
      <c r="AQ5665" s="13"/>
      <c r="AR5665" s="13"/>
      <c r="AS5665" s="13"/>
    </row>
    <row r="5666" ht="14.25" customHeight="1">
      <c r="A5666" s="13"/>
      <c r="B5666" s="13"/>
      <c r="C5666" s="13"/>
      <c r="D5666" s="13"/>
      <c r="E5666" s="13"/>
      <c r="F5666" s="13"/>
      <c r="G5666" s="13"/>
      <c r="H5666" s="13"/>
      <c r="I5666" s="13"/>
      <c r="J5666" s="13"/>
      <c r="K5666" s="15"/>
      <c r="L5666" s="15"/>
      <c r="M5666" s="16"/>
      <c r="N5666" s="16"/>
      <c r="O5666" s="17"/>
      <c r="P5666" s="17"/>
      <c r="Q5666" s="13"/>
      <c r="R5666" s="13"/>
      <c r="S5666" s="13"/>
      <c r="T5666" s="13"/>
      <c r="U5666" s="13"/>
      <c r="V5666" s="13"/>
      <c r="W5666" s="13"/>
      <c r="X5666" s="13"/>
      <c r="Y5666" s="13"/>
      <c r="Z5666" s="13"/>
      <c r="AA5666" s="13"/>
      <c r="AB5666" s="13"/>
      <c r="AC5666" s="13"/>
      <c r="AD5666" s="13"/>
      <c r="AE5666" s="13"/>
      <c r="AF5666" s="13"/>
      <c r="AG5666" s="13"/>
      <c r="AH5666" s="13"/>
      <c r="AI5666" s="13"/>
      <c r="AJ5666" s="13"/>
      <c r="AK5666" s="13"/>
      <c r="AL5666" s="13"/>
      <c r="AM5666" s="13"/>
      <c r="AN5666" s="13"/>
      <c r="AO5666" s="13"/>
      <c r="AP5666" s="13"/>
      <c r="AQ5666" s="13"/>
      <c r="AR5666" s="13"/>
      <c r="AS5666" s="13"/>
    </row>
    <row r="5667" ht="14.25" customHeight="1">
      <c r="A5667" s="13"/>
      <c r="B5667" s="13"/>
      <c r="C5667" s="13"/>
      <c r="D5667" s="13"/>
      <c r="E5667" s="13"/>
      <c r="F5667" s="13"/>
      <c r="G5667" s="13"/>
      <c r="H5667" s="13"/>
      <c r="I5667" s="13"/>
      <c r="J5667" s="13"/>
      <c r="K5667" s="15"/>
      <c r="L5667" s="15"/>
      <c r="M5667" s="16"/>
      <c r="N5667" s="16"/>
      <c r="O5667" s="17"/>
      <c r="P5667" s="17"/>
      <c r="Q5667" s="13"/>
      <c r="R5667" s="13"/>
      <c r="S5667" s="13"/>
      <c r="T5667" s="13"/>
      <c r="U5667" s="13"/>
      <c r="V5667" s="13"/>
      <c r="W5667" s="13"/>
      <c r="X5667" s="13"/>
      <c r="Y5667" s="13"/>
      <c r="Z5667" s="13"/>
      <c r="AA5667" s="13"/>
      <c r="AB5667" s="13"/>
      <c r="AC5667" s="13"/>
      <c r="AD5667" s="13"/>
      <c r="AE5667" s="13"/>
      <c r="AF5667" s="13"/>
      <c r="AG5667" s="13"/>
      <c r="AH5667" s="13"/>
      <c r="AI5667" s="13"/>
      <c r="AJ5667" s="13"/>
      <c r="AK5667" s="13"/>
      <c r="AL5667" s="13"/>
      <c r="AM5667" s="13"/>
      <c r="AN5667" s="13"/>
      <c r="AO5667" s="13"/>
      <c r="AP5667" s="13"/>
      <c r="AQ5667" s="13"/>
      <c r="AR5667" s="13"/>
      <c r="AS5667" s="13"/>
    </row>
    <row r="5668" ht="14.25" customHeight="1">
      <c r="A5668" s="13"/>
      <c r="B5668" s="13"/>
      <c r="C5668" s="13"/>
      <c r="D5668" s="13"/>
      <c r="E5668" s="13"/>
      <c r="F5668" s="13"/>
      <c r="G5668" s="13"/>
      <c r="H5668" s="13"/>
      <c r="I5668" s="13"/>
      <c r="J5668" s="13"/>
      <c r="K5668" s="15"/>
      <c r="L5668" s="15"/>
      <c r="M5668" s="16"/>
      <c r="N5668" s="16"/>
      <c r="O5668" s="17"/>
      <c r="P5668" s="17"/>
      <c r="Q5668" s="13"/>
      <c r="R5668" s="13"/>
      <c r="S5668" s="13"/>
      <c r="T5668" s="13"/>
      <c r="U5668" s="13"/>
      <c r="V5668" s="13"/>
      <c r="W5668" s="13"/>
      <c r="X5668" s="13"/>
      <c r="Y5668" s="13"/>
      <c r="Z5668" s="13"/>
      <c r="AA5668" s="13"/>
      <c r="AB5668" s="13"/>
      <c r="AC5668" s="13"/>
      <c r="AD5668" s="13"/>
      <c r="AE5668" s="13"/>
      <c r="AF5668" s="13"/>
      <c r="AG5668" s="13"/>
      <c r="AH5668" s="13"/>
      <c r="AI5668" s="13"/>
      <c r="AJ5668" s="13"/>
      <c r="AK5668" s="13"/>
      <c r="AL5668" s="13"/>
      <c r="AM5668" s="13"/>
      <c r="AN5668" s="13"/>
      <c r="AO5668" s="13"/>
      <c r="AP5668" s="13"/>
      <c r="AQ5668" s="13"/>
      <c r="AR5668" s="13"/>
      <c r="AS5668" s="13"/>
    </row>
    <row r="5669" ht="14.25" customHeight="1">
      <c r="A5669" s="13"/>
      <c r="B5669" s="13"/>
      <c r="C5669" s="13"/>
      <c r="D5669" s="13"/>
      <c r="E5669" s="13"/>
      <c r="F5669" s="13"/>
      <c r="G5669" s="13"/>
      <c r="H5669" s="13"/>
      <c r="I5669" s="13"/>
      <c r="J5669" s="13"/>
      <c r="K5669" s="15"/>
      <c r="L5669" s="15"/>
      <c r="M5669" s="16"/>
      <c r="N5669" s="16"/>
      <c r="O5669" s="17"/>
      <c r="P5669" s="17"/>
      <c r="Q5669" s="13"/>
      <c r="R5669" s="13"/>
      <c r="S5669" s="13"/>
      <c r="T5669" s="13"/>
      <c r="U5669" s="13"/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F5669" s="13"/>
      <c r="AG5669" s="13"/>
      <c r="AH5669" s="13"/>
      <c r="AI5669" s="13"/>
      <c r="AJ5669" s="13"/>
      <c r="AK5669" s="13"/>
      <c r="AL5669" s="13"/>
      <c r="AM5669" s="13"/>
      <c r="AN5669" s="13"/>
      <c r="AO5669" s="13"/>
      <c r="AP5669" s="13"/>
      <c r="AQ5669" s="13"/>
      <c r="AR5669" s="13"/>
      <c r="AS5669" s="13"/>
    </row>
    <row r="5670" ht="14.25" customHeight="1">
      <c r="A5670" s="13"/>
      <c r="B5670" s="13"/>
      <c r="C5670" s="13"/>
      <c r="D5670" s="13"/>
      <c r="E5670" s="13"/>
      <c r="F5670" s="13"/>
      <c r="G5670" s="13"/>
      <c r="H5670" s="13"/>
      <c r="I5670" s="13"/>
      <c r="J5670" s="13"/>
      <c r="K5670" s="15"/>
      <c r="L5670" s="15"/>
      <c r="M5670" s="16"/>
      <c r="N5670" s="16"/>
      <c r="O5670" s="17"/>
      <c r="P5670" s="17"/>
      <c r="Q5670" s="13"/>
      <c r="R5670" s="13"/>
      <c r="S5670" s="13"/>
      <c r="T5670" s="13"/>
      <c r="U5670" s="13"/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F5670" s="13"/>
      <c r="AG5670" s="13"/>
      <c r="AH5670" s="13"/>
      <c r="AI5670" s="13"/>
      <c r="AJ5670" s="13"/>
      <c r="AK5670" s="13"/>
      <c r="AL5670" s="13"/>
      <c r="AM5670" s="13"/>
      <c r="AN5670" s="13"/>
      <c r="AO5670" s="13"/>
      <c r="AP5670" s="13"/>
      <c r="AQ5670" s="13"/>
      <c r="AR5670" s="13"/>
      <c r="AS5670" s="13"/>
    </row>
    <row r="5671" ht="14.25" customHeight="1">
      <c r="A5671" s="13"/>
      <c r="B5671" s="13"/>
      <c r="C5671" s="13"/>
      <c r="D5671" s="13"/>
      <c r="E5671" s="13"/>
      <c r="F5671" s="13"/>
      <c r="G5671" s="13"/>
      <c r="H5671" s="13"/>
      <c r="I5671" s="13"/>
      <c r="J5671" s="13"/>
      <c r="K5671" s="15"/>
      <c r="L5671" s="15"/>
      <c r="M5671" s="16"/>
      <c r="N5671" s="16"/>
      <c r="O5671" s="17"/>
      <c r="P5671" s="17"/>
      <c r="Q5671" s="13"/>
      <c r="R5671" s="13"/>
      <c r="S5671" s="13"/>
      <c r="T5671" s="13"/>
      <c r="U5671" s="13"/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F5671" s="13"/>
      <c r="AG5671" s="13"/>
      <c r="AH5671" s="13"/>
      <c r="AI5671" s="13"/>
      <c r="AJ5671" s="13"/>
      <c r="AK5671" s="13"/>
      <c r="AL5671" s="13"/>
      <c r="AM5671" s="13"/>
      <c r="AN5671" s="13"/>
      <c r="AO5671" s="13"/>
      <c r="AP5671" s="13"/>
      <c r="AQ5671" s="13"/>
      <c r="AR5671" s="13"/>
      <c r="AS5671" s="13"/>
    </row>
    <row r="5672" ht="14.25" customHeight="1">
      <c r="A5672" s="13"/>
      <c r="B5672" s="13"/>
      <c r="C5672" s="13"/>
      <c r="D5672" s="13"/>
      <c r="E5672" s="13"/>
      <c r="F5672" s="13"/>
      <c r="G5672" s="13"/>
      <c r="H5672" s="13"/>
      <c r="I5672" s="13"/>
      <c r="J5672" s="13"/>
      <c r="K5672" s="15"/>
      <c r="L5672" s="15"/>
      <c r="M5672" s="16"/>
      <c r="N5672" s="16"/>
      <c r="O5672" s="17"/>
      <c r="P5672" s="17"/>
      <c r="Q5672" s="13"/>
      <c r="R5672" s="13"/>
      <c r="S5672" s="13"/>
      <c r="T5672" s="13"/>
      <c r="U5672" s="13"/>
      <c r="V5672" s="13"/>
      <c r="W5672" s="13"/>
      <c r="X5672" s="13"/>
      <c r="Y5672" s="13"/>
      <c r="Z5672" s="13"/>
      <c r="AA5672" s="13"/>
      <c r="AB5672" s="13"/>
      <c r="AC5672" s="13"/>
      <c r="AD5672" s="13"/>
      <c r="AE5672" s="13"/>
      <c r="AF5672" s="13"/>
      <c r="AG5672" s="13"/>
      <c r="AH5672" s="13"/>
      <c r="AI5672" s="13"/>
      <c r="AJ5672" s="13"/>
      <c r="AK5672" s="13"/>
      <c r="AL5672" s="13"/>
      <c r="AM5672" s="13"/>
      <c r="AN5672" s="13"/>
      <c r="AO5672" s="13"/>
      <c r="AP5672" s="13"/>
      <c r="AQ5672" s="13"/>
      <c r="AR5672" s="13"/>
      <c r="AS5672" s="13"/>
    </row>
    <row r="5673" ht="14.25" customHeight="1">
      <c r="A5673" s="13"/>
      <c r="B5673" s="13"/>
      <c r="C5673" s="13"/>
      <c r="D5673" s="13"/>
      <c r="E5673" s="13"/>
      <c r="F5673" s="13"/>
      <c r="G5673" s="13"/>
      <c r="H5673" s="13"/>
      <c r="I5673" s="13"/>
      <c r="J5673" s="13"/>
      <c r="K5673" s="15"/>
      <c r="L5673" s="15"/>
      <c r="M5673" s="16"/>
      <c r="N5673" s="16"/>
      <c r="O5673" s="17"/>
      <c r="P5673" s="17"/>
      <c r="Q5673" s="13"/>
      <c r="R5673" s="13"/>
      <c r="S5673" s="13"/>
      <c r="T5673" s="13"/>
      <c r="U5673" s="13"/>
      <c r="V5673" s="13"/>
      <c r="W5673" s="13"/>
      <c r="X5673" s="13"/>
      <c r="Y5673" s="13"/>
      <c r="Z5673" s="13"/>
      <c r="AA5673" s="13"/>
      <c r="AB5673" s="13"/>
      <c r="AC5673" s="13"/>
      <c r="AD5673" s="13"/>
      <c r="AE5673" s="13"/>
      <c r="AF5673" s="13"/>
      <c r="AG5673" s="13"/>
      <c r="AH5673" s="13"/>
      <c r="AI5673" s="13"/>
      <c r="AJ5673" s="13"/>
      <c r="AK5673" s="13"/>
      <c r="AL5673" s="13"/>
      <c r="AM5673" s="13"/>
      <c r="AN5673" s="13"/>
      <c r="AO5673" s="13"/>
      <c r="AP5673" s="13"/>
      <c r="AQ5673" s="13"/>
      <c r="AR5673" s="13"/>
      <c r="AS5673" s="13"/>
    </row>
    <row r="5674" ht="14.25" customHeight="1">
      <c r="A5674" s="13"/>
      <c r="B5674" s="13"/>
      <c r="C5674" s="13"/>
      <c r="D5674" s="13"/>
      <c r="E5674" s="13"/>
      <c r="F5674" s="13"/>
      <c r="G5674" s="13"/>
      <c r="H5674" s="13"/>
      <c r="I5674" s="13"/>
      <c r="J5674" s="13"/>
      <c r="K5674" s="15"/>
      <c r="L5674" s="15"/>
      <c r="M5674" s="16"/>
      <c r="N5674" s="16"/>
      <c r="O5674" s="17"/>
      <c r="P5674" s="17"/>
      <c r="Q5674" s="13"/>
      <c r="R5674" s="13"/>
      <c r="S5674" s="13"/>
      <c r="T5674" s="13"/>
      <c r="U5674" s="13"/>
      <c r="V5674" s="13"/>
      <c r="W5674" s="13"/>
      <c r="X5674" s="13"/>
      <c r="Y5674" s="13"/>
      <c r="Z5674" s="13"/>
      <c r="AA5674" s="13"/>
      <c r="AB5674" s="13"/>
      <c r="AC5674" s="13"/>
      <c r="AD5674" s="13"/>
      <c r="AE5674" s="13"/>
      <c r="AF5674" s="13"/>
      <c r="AG5674" s="13"/>
      <c r="AH5674" s="13"/>
      <c r="AI5674" s="13"/>
      <c r="AJ5674" s="13"/>
      <c r="AK5674" s="13"/>
      <c r="AL5674" s="13"/>
      <c r="AM5674" s="13"/>
      <c r="AN5674" s="13"/>
      <c r="AO5674" s="13"/>
      <c r="AP5674" s="13"/>
      <c r="AQ5674" s="13"/>
      <c r="AR5674" s="13"/>
      <c r="AS5674" s="13"/>
    </row>
    <row r="5675" ht="14.25" customHeight="1">
      <c r="A5675" s="13"/>
      <c r="B5675" s="13"/>
      <c r="C5675" s="13"/>
      <c r="D5675" s="13"/>
      <c r="E5675" s="13"/>
      <c r="F5675" s="13"/>
      <c r="G5675" s="13"/>
      <c r="H5675" s="13"/>
      <c r="I5675" s="13"/>
      <c r="J5675" s="13"/>
      <c r="K5675" s="15"/>
      <c r="L5675" s="15"/>
      <c r="M5675" s="16"/>
      <c r="N5675" s="16"/>
      <c r="O5675" s="17"/>
      <c r="P5675" s="17"/>
      <c r="Q5675" s="13"/>
      <c r="R5675" s="13"/>
      <c r="S5675" s="13"/>
      <c r="T5675" s="13"/>
      <c r="U5675" s="13"/>
      <c r="V5675" s="13"/>
      <c r="W5675" s="13"/>
      <c r="X5675" s="13"/>
      <c r="Y5675" s="13"/>
      <c r="Z5675" s="13"/>
      <c r="AA5675" s="13"/>
      <c r="AB5675" s="13"/>
      <c r="AC5675" s="13"/>
      <c r="AD5675" s="13"/>
      <c r="AE5675" s="13"/>
      <c r="AF5675" s="13"/>
      <c r="AG5675" s="13"/>
      <c r="AH5675" s="13"/>
      <c r="AI5675" s="13"/>
      <c r="AJ5675" s="13"/>
      <c r="AK5675" s="13"/>
      <c r="AL5675" s="13"/>
      <c r="AM5675" s="13"/>
      <c r="AN5675" s="13"/>
      <c r="AO5675" s="13"/>
      <c r="AP5675" s="13"/>
      <c r="AQ5675" s="13"/>
      <c r="AR5675" s="13"/>
      <c r="AS5675" s="13"/>
    </row>
    <row r="5676" ht="14.25" customHeight="1">
      <c r="A5676" s="13"/>
      <c r="B5676" s="13"/>
      <c r="C5676" s="13"/>
      <c r="D5676" s="13"/>
      <c r="E5676" s="13"/>
      <c r="F5676" s="13"/>
      <c r="G5676" s="13"/>
      <c r="H5676" s="13"/>
      <c r="I5676" s="13"/>
      <c r="J5676" s="13"/>
      <c r="K5676" s="15"/>
      <c r="L5676" s="15"/>
      <c r="M5676" s="16"/>
      <c r="N5676" s="16"/>
      <c r="O5676" s="17"/>
      <c r="P5676" s="17"/>
      <c r="Q5676" s="13"/>
      <c r="R5676" s="13"/>
      <c r="S5676" s="13"/>
      <c r="T5676" s="13"/>
      <c r="U5676" s="13"/>
      <c r="V5676" s="13"/>
      <c r="W5676" s="13"/>
      <c r="X5676" s="13"/>
      <c r="Y5676" s="13"/>
      <c r="Z5676" s="13"/>
      <c r="AA5676" s="13"/>
      <c r="AB5676" s="13"/>
      <c r="AC5676" s="13"/>
      <c r="AD5676" s="13"/>
      <c r="AE5676" s="13"/>
      <c r="AF5676" s="13"/>
      <c r="AG5676" s="13"/>
      <c r="AH5676" s="13"/>
      <c r="AI5676" s="13"/>
      <c r="AJ5676" s="13"/>
      <c r="AK5676" s="13"/>
      <c r="AL5676" s="13"/>
      <c r="AM5676" s="13"/>
      <c r="AN5676" s="13"/>
      <c r="AO5676" s="13"/>
      <c r="AP5676" s="13"/>
      <c r="AQ5676" s="13"/>
      <c r="AR5676" s="13"/>
      <c r="AS5676" s="13"/>
    </row>
    <row r="5677" ht="14.25" customHeight="1">
      <c r="A5677" s="13"/>
      <c r="B5677" s="13"/>
      <c r="C5677" s="13"/>
      <c r="D5677" s="13"/>
      <c r="E5677" s="13"/>
      <c r="F5677" s="13"/>
      <c r="G5677" s="13"/>
      <c r="H5677" s="13"/>
      <c r="I5677" s="13"/>
      <c r="J5677" s="13"/>
      <c r="K5677" s="15"/>
      <c r="L5677" s="15"/>
      <c r="M5677" s="16"/>
      <c r="N5677" s="16"/>
      <c r="O5677" s="17"/>
      <c r="P5677" s="17"/>
      <c r="Q5677" s="13"/>
      <c r="R5677" s="13"/>
      <c r="S5677" s="13"/>
      <c r="T5677" s="13"/>
      <c r="U5677" s="13"/>
      <c r="V5677" s="13"/>
      <c r="W5677" s="13"/>
      <c r="X5677" s="13"/>
      <c r="Y5677" s="13"/>
      <c r="Z5677" s="13"/>
      <c r="AA5677" s="13"/>
      <c r="AB5677" s="13"/>
      <c r="AC5677" s="13"/>
      <c r="AD5677" s="13"/>
      <c r="AE5677" s="13"/>
      <c r="AF5677" s="13"/>
      <c r="AG5677" s="13"/>
      <c r="AH5677" s="13"/>
      <c r="AI5677" s="13"/>
      <c r="AJ5677" s="13"/>
      <c r="AK5677" s="13"/>
      <c r="AL5677" s="13"/>
      <c r="AM5677" s="13"/>
      <c r="AN5677" s="13"/>
      <c r="AO5677" s="13"/>
      <c r="AP5677" s="13"/>
      <c r="AQ5677" s="13"/>
      <c r="AR5677" s="13"/>
      <c r="AS5677" s="13"/>
    </row>
    <row r="5678" ht="14.25" customHeight="1">
      <c r="A5678" s="13"/>
      <c r="B5678" s="13"/>
      <c r="C5678" s="13"/>
      <c r="D5678" s="13"/>
      <c r="E5678" s="13"/>
      <c r="F5678" s="13"/>
      <c r="G5678" s="13"/>
      <c r="H5678" s="13"/>
      <c r="I5678" s="13"/>
      <c r="J5678" s="13"/>
      <c r="K5678" s="15"/>
      <c r="L5678" s="15"/>
      <c r="M5678" s="16"/>
      <c r="N5678" s="16"/>
      <c r="O5678" s="17"/>
      <c r="P5678" s="17"/>
      <c r="Q5678" s="13"/>
      <c r="R5678" s="13"/>
      <c r="S5678" s="13"/>
      <c r="T5678" s="13"/>
      <c r="U5678" s="13"/>
      <c r="V5678" s="13"/>
      <c r="W5678" s="13"/>
      <c r="X5678" s="13"/>
      <c r="Y5678" s="13"/>
      <c r="Z5678" s="13"/>
      <c r="AA5678" s="13"/>
      <c r="AB5678" s="13"/>
      <c r="AC5678" s="13"/>
      <c r="AD5678" s="13"/>
      <c r="AE5678" s="13"/>
      <c r="AF5678" s="13"/>
      <c r="AG5678" s="13"/>
      <c r="AH5678" s="13"/>
      <c r="AI5678" s="13"/>
      <c r="AJ5678" s="13"/>
      <c r="AK5678" s="13"/>
      <c r="AL5678" s="13"/>
      <c r="AM5678" s="13"/>
      <c r="AN5678" s="13"/>
      <c r="AO5678" s="13"/>
      <c r="AP5678" s="13"/>
      <c r="AQ5678" s="13"/>
      <c r="AR5678" s="13"/>
      <c r="AS5678" s="13"/>
    </row>
    <row r="5679" ht="14.25" customHeight="1">
      <c r="A5679" s="13"/>
      <c r="B5679" s="13"/>
      <c r="C5679" s="13"/>
      <c r="D5679" s="13"/>
      <c r="E5679" s="13"/>
      <c r="F5679" s="13"/>
      <c r="G5679" s="13"/>
      <c r="H5679" s="13"/>
      <c r="I5679" s="13"/>
      <c r="J5679" s="13"/>
      <c r="K5679" s="15"/>
      <c r="L5679" s="15"/>
      <c r="M5679" s="16"/>
      <c r="N5679" s="16"/>
      <c r="O5679" s="17"/>
      <c r="P5679" s="17"/>
      <c r="Q5679" s="13"/>
      <c r="R5679" s="13"/>
      <c r="S5679" s="13"/>
      <c r="T5679" s="13"/>
      <c r="U5679" s="13"/>
      <c r="V5679" s="13"/>
      <c r="W5679" s="13"/>
      <c r="X5679" s="13"/>
      <c r="Y5679" s="13"/>
      <c r="Z5679" s="13"/>
      <c r="AA5679" s="13"/>
      <c r="AB5679" s="13"/>
      <c r="AC5679" s="13"/>
      <c r="AD5679" s="13"/>
      <c r="AE5679" s="13"/>
      <c r="AF5679" s="13"/>
      <c r="AG5679" s="13"/>
      <c r="AH5679" s="13"/>
      <c r="AI5679" s="13"/>
      <c r="AJ5679" s="13"/>
      <c r="AK5679" s="13"/>
      <c r="AL5679" s="13"/>
      <c r="AM5679" s="13"/>
      <c r="AN5679" s="13"/>
      <c r="AO5679" s="13"/>
      <c r="AP5679" s="13"/>
      <c r="AQ5679" s="13"/>
      <c r="AR5679" s="13"/>
      <c r="AS5679" s="13"/>
    </row>
    <row r="5680" ht="14.25" customHeight="1">
      <c r="A5680" s="13"/>
      <c r="B5680" s="13"/>
      <c r="C5680" s="13"/>
      <c r="D5680" s="13"/>
      <c r="E5680" s="13"/>
      <c r="F5680" s="13"/>
      <c r="G5680" s="13"/>
      <c r="H5680" s="13"/>
      <c r="I5680" s="13"/>
      <c r="J5680" s="13"/>
      <c r="K5680" s="15"/>
      <c r="L5680" s="15"/>
      <c r="M5680" s="16"/>
      <c r="N5680" s="16"/>
      <c r="O5680" s="17"/>
      <c r="P5680" s="17"/>
      <c r="Q5680" s="13"/>
      <c r="R5680" s="13"/>
      <c r="S5680" s="13"/>
      <c r="T5680" s="13"/>
      <c r="U5680" s="13"/>
      <c r="V5680" s="13"/>
      <c r="W5680" s="13"/>
      <c r="X5680" s="13"/>
      <c r="Y5680" s="13"/>
      <c r="Z5680" s="13"/>
      <c r="AA5680" s="13"/>
      <c r="AB5680" s="13"/>
      <c r="AC5680" s="13"/>
      <c r="AD5680" s="13"/>
      <c r="AE5680" s="13"/>
      <c r="AF5680" s="13"/>
      <c r="AG5680" s="13"/>
      <c r="AH5680" s="13"/>
      <c r="AI5680" s="13"/>
      <c r="AJ5680" s="13"/>
      <c r="AK5680" s="13"/>
      <c r="AL5680" s="13"/>
      <c r="AM5680" s="13"/>
      <c r="AN5680" s="13"/>
      <c r="AO5680" s="13"/>
      <c r="AP5680" s="13"/>
      <c r="AQ5680" s="13"/>
      <c r="AR5680" s="13"/>
      <c r="AS5680" s="13"/>
    </row>
    <row r="5681" ht="14.25" customHeight="1">
      <c r="A5681" s="13"/>
      <c r="B5681" s="13"/>
      <c r="C5681" s="13"/>
      <c r="D5681" s="13"/>
      <c r="E5681" s="13"/>
      <c r="F5681" s="13"/>
      <c r="G5681" s="13"/>
      <c r="H5681" s="13"/>
      <c r="I5681" s="13"/>
      <c r="J5681" s="13"/>
      <c r="K5681" s="15"/>
      <c r="L5681" s="15"/>
      <c r="M5681" s="16"/>
      <c r="N5681" s="16"/>
      <c r="O5681" s="17"/>
      <c r="P5681" s="17"/>
      <c r="Q5681" s="13"/>
      <c r="R5681" s="13"/>
      <c r="S5681" s="13"/>
      <c r="T5681" s="13"/>
      <c r="U5681" s="13"/>
      <c r="V5681" s="13"/>
      <c r="W5681" s="13"/>
      <c r="X5681" s="13"/>
      <c r="Y5681" s="13"/>
      <c r="Z5681" s="13"/>
      <c r="AA5681" s="13"/>
      <c r="AB5681" s="13"/>
      <c r="AC5681" s="13"/>
      <c r="AD5681" s="13"/>
      <c r="AE5681" s="13"/>
      <c r="AF5681" s="13"/>
      <c r="AG5681" s="13"/>
      <c r="AH5681" s="13"/>
      <c r="AI5681" s="13"/>
      <c r="AJ5681" s="13"/>
      <c r="AK5681" s="13"/>
      <c r="AL5681" s="13"/>
      <c r="AM5681" s="13"/>
      <c r="AN5681" s="13"/>
      <c r="AO5681" s="13"/>
      <c r="AP5681" s="13"/>
      <c r="AQ5681" s="13"/>
      <c r="AR5681" s="13"/>
      <c r="AS5681" s="13"/>
    </row>
    <row r="5682" ht="14.25" customHeight="1">
      <c r="A5682" s="13"/>
      <c r="B5682" s="13"/>
      <c r="C5682" s="13"/>
      <c r="D5682" s="13"/>
      <c r="E5682" s="13"/>
      <c r="F5682" s="13"/>
      <c r="G5682" s="13"/>
      <c r="H5682" s="13"/>
      <c r="I5682" s="13"/>
      <c r="J5682" s="13"/>
      <c r="K5682" s="15"/>
      <c r="L5682" s="15"/>
      <c r="M5682" s="16"/>
      <c r="N5682" s="16"/>
      <c r="O5682" s="17"/>
      <c r="P5682" s="17"/>
      <c r="Q5682" s="13"/>
      <c r="R5682" s="13"/>
      <c r="S5682" s="13"/>
      <c r="T5682" s="13"/>
      <c r="U5682" s="13"/>
      <c r="V5682" s="13"/>
      <c r="W5682" s="13"/>
      <c r="X5682" s="13"/>
      <c r="Y5682" s="13"/>
      <c r="Z5682" s="13"/>
      <c r="AA5682" s="13"/>
      <c r="AB5682" s="13"/>
      <c r="AC5682" s="13"/>
      <c r="AD5682" s="13"/>
      <c r="AE5682" s="13"/>
      <c r="AF5682" s="13"/>
      <c r="AG5682" s="13"/>
      <c r="AH5682" s="13"/>
      <c r="AI5682" s="13"/>
      <c r="AJ5682" s="13"/>
      <c r="AK5682" s="13"/>
      <c r="AL5682" s="13"/>
      <c r="AM5682" s="13"/>
      <c r="AN5682" s="13"/>
      <c r="AO5682" s="13"/>
      <c r="AP5682" s="13"/>
      <c r="AQ5682" s="13"/>
      <c r="AR5682" s="13"/>
      <c r="AS5682" s="13"/>
    </row>
    <row r="5683" ht="14.25" customHeight="1">
      <c r="A5683" s="13"/>
      <c r="B5683" s="13"/>
      <c r="C5683" s="13"/>
      <c r="D5683" s="13"/>
      <c r="E5683" s="13"/>
      <c r="F5683" s="13"/>
      <c r="G5683" s="13"/>
      <c r="H5683" s="13"/>
      <c r="I5683" s="13"/>
      <c r="J5683" s="13"/>
      <c r="K5683" s="15"/>
      <c r="L5683" s="15"/>
      <c r="M5683" s="16"/>
      <c r="N5683" s="16"/>
      <c r="O5683" s="17"/>
      <c r="P5683" s="17"/>
      <c r="Q5683" s="13"/>
      <c r="R5683" s="13"/>
      <c r="S5683" s="13"/>
      <c r="T5683" s="13"/>
      <c r="U5683" s="13"/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F5683" s="13"/>
      <c r="AG5683" s="13"/>
      <c r="AH5683" s="13"/>
      <c r="AI5683" s="13"/>
      <c r="AJ5683" s="13"/>
      <c r="AK5683" s="13"/>
      <c r="AL5683" s="13"/>
      <c r="AM5683" s="13"/>
      <c r="AN5683" s="13"/>
      <c r="AO5683" s="13"/>
      <c r="AP5683" s="13"/>
      <c r="AQ5683" s="13"/>
      <c r="AR5683" s="13"/>
      <c r="AS5683" s="13"/>
    </row>
    <row r="5684" ht="14.25" customHeight="1">
      <c r="A5684" s="13"/>
      <c r="B5684" s="13"/>
      <c r="C5684" s="13"/>
      <c r="D5684" s="13"/>
      <c r="E5684" s="13"/>
      <c r="F5684" s="13"/>
      <c r="G5684" s="13"/>
      <c r="H5684" s="13"/>
      <c r="I5684" s="13"/>
      <c r="J5684" s="13"/>
      <c r="K5684" s="15"/>
      <c r="L5684" s="15"/>
      <c r="M5684" s="16"/>
      <c r="N5684" s="16"/>
      <c r="O5684" s="17"/>
      <c r="P5684" s="17"/>
      <c r="Q5684" s="13"/>
      <c r="R5684" s="13"/>
      <c r="S5684" s="13"/>
      <c r="T5684" s="13"/>
      <c r="U5684" s="13"/>
      <c r="V5684" s="13"/>
      <c r="W5684" s="13"/>
      <c r="X5684" s="13"/>
      <c r="Y5684" s="13"/>
      <c r="Z5684" s="13"/>
      <c r="AA5684" s="13"/>
      <c r="AB5684" s="13"/>
      <c r="AC5684" s="13"/>
      <c r="AD5684" s="13"/>
      <c r="AE5684" s="13"/>
      <c r="AF5684" s="13"/>
      <c r="AG5684" s="13"/>
      <c r="AH5684" s="13"/>
      <c r="AI5684" s="13"/>
      <c r="AJ5684" s="13"/>
      <c r="AK5684" s="13"/>
      <c r="AL5684" s="13"/>
      <c r="AM5684" s="13"/>
      <c r="AN5684" s="13"/>
      <c r="AO5684" s="13"/>
      <c r="AP5684" s="13"/>
      <c r="AQ5684" s="13"/>
      <c r="AR5684" s="13"/>
      <c r="AS5684" s="13"/>
    </row>
    <row r="5685" ht="14.25" customHeight="1">
      <c r="A5685" s="13"/>
      <c r="B5685" s="13"/>
      <c r="C5685" s="13"/>
      <c r="D5685" s="13"/>
      <c r="E5685" s="13"/>
      <c r="F5685" s="13"/>
      <c r="G5685" s="13"/>
      <c r="H5685" s="13"/>
      <c r="I5685" s="13"/>
      <c r="J5685" s="13"/>
      <c r="K5685" s="15"/>
      <c r="L5685" s="15"/>
      <c r="M5685" s="16"/>
      <c r="N5685" s="16"/>
      <c r="O5685" s="17"/>
      <c r="P5685" s="17"/>
      <c r="Q5685" s="13"/>
      <c r="R5685" s="13"/>
      <c r="S5685" s="13"/>
      <c r="T5685" s="13"/>
      <c r="U5685" s="13"/>
      <c r="V5685" s="13"/>
      <c r="W5685" s="13"/>
      <c r="X5685" s="13"/>
      <c r="Y5685" s="13"/>
      <c r="Z5685" s="13"/>
      <c r="AA5685" s="13"/>
      <c r="AB5685" s="13"/>
      <c r="AC5685" s="13"/>
      <c r="AD5685" s="13"/>
      <c r="AE5685" s="13"/>
      <c r="AF5685" s="13"/>
      <c r="AG5685" s="13"/>
      <c r="AH5685" s="13"/>
      <c r="AI5685" s="13"/>
      <c r="AJ5685" s="13"/>
      <c r="AK5685" s="13"/>
      <c r="AL5685" s="13"/>
      <c r="AM5685" s="13"/>
      <c r="AN5685" s="13"/>
      <c r="AO5685" s="13"/>
      <c r="AP5685" s="13"/>
      <c r="AQ5685" s="13"/>
      <c r="AR5685" s="13"/>
      <c r="AS5685" s="13"/>
    </row>
    <row r="5686" ht="14.25" customHeight="1">
      <c r="A5686" s="13"/>
      <c r="B5686" s="13"/>
      <c r="C5686" s="13"/>
      <c r="D5686" s="13"/>
      <c r="E5686" s="13"/>
      <c r="F5686" s="13"/>
      <c r="G5686" s="13"/>
      <c r="H5686" s="13"/>
      <c r="I5686" s="13"/>
      <c r="J5686" s="13"/>
      <c r="K5686" s="15"/>
      <c r="L5686" s="15"/>
      <c r="M5686" s="16"/>
      <c r="N5686" s="16"/>
      <c r="O5686" s="17"/>
      <c r="P5686" s="17"/>
      <c r="Q5686" s="13"/>
      <c r="R5686" s="13"/>
      <c r="S5686" s="13"/>
      <c r="T5686" s="13"/>
      <c r="U5686" s="13"/>
      <c r="V5686" s="13"/>
      <c r="W5686" s="13"/>
      <c r="X5686" s="13"/>
      <c r="Y5686" s="13"/>
      <c r="Z5686" s="13"/>
      <c r="AA5686" s="13"/>
      <c r="AB5686" s="13"/>
      <c r="AC5686" s="13"/>
      <c r="AD5686" s="13"/>
      <c r="AE5686" s="13"/>
      <c r="AF5686" s="13"/>
      <c r="AG5686" s="13"/>
      <c r="AH5686" s="13"/>
      <c r="AI5686" s="13"/>
      <c r="AJ5686" s="13"/>
      <c r="AK5686" s="13"/>
      <c r="AL5686" s="13"/>
      <c r="AM5686" s="13"/>
      <c r="AN5686" s="13"/>
      <c r="AO5686" s="13"/>
      <c r="AP5686" s="13"/>
      <c r="AQ5686" s="13"/>
      <c r="AR5686" s="13"/>
      <c r="AS5686" s="13"/>
    </row>
    <row r="5687" ht="14.25" customHeight="1">
      <c r="A5687" s="13"/>
      <c r="B5687" s="13"/>
      <c r="C5687" s="13"/>
      <c r="D5687" s="13"/>
      <c r="E5687" s="13"/>
      <c r="F5687" s="13"/>
      <c r="G5687" s="13"/>
      <c r="H5687" s="13"/>
      <c r="I5687" s="13"/>
      <c r="J5687" s="13"/>
      <c r="K5687" s="15"/>
      <c r="L5687" s="15"/>
      <c r="M5687" s="16"/>
      <c r="N5687" s="16"/>
      <c r="O5687" s="17"/>
      <c r="P5687" s="17"/>
      <c r="Q5687" s="13"/>
      <c r="R5687" s="13"/>
      <c r="S5687" s="13"/>
      <c r="T5687" s="13"/>
      <c r="U5687" s="13"/>
      <c r="V5687" s="13"/>
      <c r="W5687" s="13"/>
      <c r="X5687" s="13"/>
      <c r="Y5687" s="13"/>
      <c r="Z5687" s="13"/>
      <c r="AA5687" s="13"/>
      <c r="AB5687" s="13"/>
      <c r="AC5687" s="13"/>
      <c r="AD5687" s="13"/>
      <c r="AE5687" s="13"/>
      <c r="AF5687" s="13"/>
      <c r="AG5687" s="13"/>
      <c r="AH5687" s="13"/>
      <c r="AI5687" s="13"/>
      <c r="AJ5687" s="13"/>
      <c r="AK5687" s="13"/>
      <c r="AL5687" s="13"/>
      <c r="AM5687" s="13"/>
      <c r="AN5687" s="13"/>
      <c r="AO5687" s="13"/>
      <c r="AP5687" s="13"/>
      <c r="AQ5687" s="13"/>
      <c r="AR5687" s="13"/>
      <c r="AS5687" s="13"/>
    </row>
    <row r="5688" ht="14.25" customHeight="1">
      <c r="A5688" s="13"/>
      <c r="B5688" s="13"/>
      <c r="C5688" s="13"/>
      <c r="D5688" s="13"/>
      <c r="E5688" s="13"/>
      <c r="F5688" s="13"/>
      <c r="G5688" s="13"/>
      <c r="H5688" s="13"/>
      <c r="I5688" s="13"/>
      <c r="J5688" s="13"/>
      <c r="K5688" s="15"/>
      <c r="L5688" s="15"/>
      <c r="M5688" s="16"/>
      <c r="N5688" s="16"/>
      <c r="O5688" s="17"/>
      <c r="P5688" s="17"/>
      <c r="Q5688" s="13"/>
      <c r="R5688" s="13"/>
      <c r="S5688" s="13"/>
      <c r="T5688" s="13"/>
      <c r="U5688" s="13"/>
      <c r="V5688" s="13"/>
      <c r="W5688" s="13"/>
      <c r="X5688" s="13"/>
      <c r="Y5688" s="13"/>
      <c r="Z5688" s="13"/>
      <c r="AA5688" s="13"/>
      <c r="AB5688" s="13"/>
      <c r="AC5688" s="13"/>
      <c r="AD5688" s="13"/>
      <c r="AE5688" s="13"/>
      <c r="AF5688" s="13"/>
      <c r="AG5688" s="13"/>
      <c r="AH5688" s="13"/>
      <c r="AI5688" s="13"/>
      <c r="AJ5688" s="13"/>
      <c r="AK5688" s="13"/>
      <c r="AL5688" s="13"/>
      <c r="AM5688" s="13"/>
      <c r="AN5688" s="13"/>
      <c r="AO5688" s="13"/>
      <c r="AP5688" s="13"/>
      <c r="AQ5688" s="13"/>
      <c r="AR5688" s="13"/>
      <c r="AS5688" s="13"/>
    </row>
    <row r="5689" ht="14.25" customHeight="1">
      <c r="A5689" s="13"/>
      <c r="B5689" s="13"/>
      <c r="C5689" s="13"/>
      <c r="D5689" s="13"/>
      <c r="E5689" s="13"/>
      <c r="F5689" s="13"/>
      <c r="G5689" s="13"/>
      <c r="H5689" s="13"/>
      <c r="I5689" s="13"/>
      <c r="J5689" s="13"/>
      <c r="K5689" s="15"/>
      <c r="L5689" s="15"/>
      <c r="M5689" s="16"/>
      <c r="N5689" s="16"/>
      <c r="O5689" s="17"/>
      <c r="P5689" s="17"/>
      <c r="Q5689" s="13"/>
      <c r="R5689" s="13"/>
      <c r="S5689" s="13"/>
      <c r="T5689" s="13"/>
      <c r="U5689" s="13"/>
      <c r="V5689" s="13"/>
      <c r="W5689" s="13"/>
      <c r="X5689" s="13"/>
      <c r="Y5689" s="13"/>
      <c r="Z5689" s="13"/>
      <c r="AA5689" s="13"/>
      <c r="AB5689" s="13"/>
      <c r="AC5689" s="13"/>
      <c r="AD5689" s="13"/>
      <c r="AE5689" s="13"/>
      <c r="AF5689" s="13"/>
      <c r="AG5689" s="13"/>
      <c r="AH5689" s="13"/>
      <c r="AI5689" s="13"/>
      <c r="AJ5689" s="13"/>
      <c r="AK5689" s="13"/>
      <c r="AL5689" s="13"/>
      <c r="AM5689" s="13"/>
      <c r="AN5689" s="13"/>
      <c r="AO5689" s="13"/>
      <c r="AP5689" s="13"/>
      <c r="AQ5689" s="13"/>
      <c r="AR5689" s="13"/>
      <c r="AS5689" s="13"/>
    </row>
    <row r="5690" ht="14.25" customHeight="1">
      <c r="A5690" s="13"/>
      <c r="B5690" s="13"/>
      <c r="C5690" s="13"/>
      <c r="D5690" s="13"/>
      <c r="E5690" s="13"/>
      <c r="F5690" s="13"/>
      <c r="G5690" s="13"/>
      <c r="H5690" s="13"/>
      <c r="I5690" s="13"/>
      <c r="J5690" s="13"/>
      <c r="K5690" s="15"/>
      <c r="L5690" s="15"/>
      <c r="M5690" s="16"/>
      <c r="N5690" s="16"/>
      <c r="O5690" s="17"/>
      <c r="P5690" s="17"/>
      <c r="Q5690" s="13"/>
      <c r="R5690" s="13"/>
      <c r="S5690" s="13"/>
      <c r="T5690" s="13"/>
      <c r="U5690" s="13"/>
      <c r="V5690" s="13"/>
      <c r="W5690" s="13"/>
      <c r="X5690" s="13"/>
      <c r="Y5690" s="13"/>
      <c r="Z5690" s="13"/>
      <c r="AA5690" s="13"/>
      <c r="AB5690" s="13"/>
      <c r="AC5690" s="13"/>
      <c r="AD5690" s="13"/>
      <c r="AE5690" s="13"/>
      <c r="AF5690" s="13"/>
      <c r="AG5690" s="13"/>
      <c r="AH5690" s="13"/>
      <c r="AI5690" s="13"/>
      <c r="AJ5690" s="13"/>
      <c r="AK5690" s="13"/>
      <c r="AL5690" s="13"/>
      <c r="AM5690" s="13"/>
      <c r="AN5690" s="13"/>
      <c r="AO5690" s="13"/>
      <c r="AP5690" s="13"/>
      <c r="AQ5690" s="13"/>
      <c r="AR5690" s="13"/>
      <c r="AS5690" s="13"/>
    </row>
    <row r="5691" ht="14.25" customHeight="1">
      <c r="A5691" s="13"/>
      <c r="B5691" s="13"/>
      <c r="C5691" s="13"/>
      <c r="D5691" s="13"/>
      <c r="E5691" s="13"/>
      <c r="F5691" s="13"/>
      <c r="G5691" s="13"/>
      <c r="H5691" s="13"/>
      <c r="I5691" s="13"/>
      <c r="J5691" s="13"/>
      <c r="K5691" s="15"/>
      <c r="L5691" s="15"/>
      <c r="M5691" s="16"/>
      <c r="N5691" s="16"/>
      <c r="O5691" s="17"/>
      <c r="P5691" s="17"/>
      <c r="Q5691" s="13"/>
      <c r="R5691" s="13"/>
      <c r="S5691" s="13"/>
      <c r="T5691" s="13"/>
      <c r="U5691" s="13"/>
      <c r="V5691" s="13"/>
      <c r="W5691" s="13"/>
      <c r="X5691" s="13"/>
      <c r="Y5691" s="13"/>
      <c r="Z5691" s="13"/>
      <c r="AA5691" s="13"/>
      <c r="AB5691" s="13"/>
      <c r="AC5691" s="13"/>
      <c r="AD5691" s="13"/>
      <c r="AE5691" s="13"/>
      <c r="AF5691" s="13"/>
      <c r="AG5691" s="13"/>
      <c r="AH5691" s="13"/>
      <c r="AI5691" s="13"/>
      <c r="AJ5691" s="13"/>
      <c r="AK5691" s="13"/>
      <c r="AL5691" s="13"/>
      <c r="AM5691" s="13"/>
      <c r="AN5691" s="13"/>
      <c r="AO5691" s="13"/>
      <c r="AP5691" s="13"/>
      <c r="AQ5691" s="13"/>
      <c r="AR5691" s="13"/>
      <c r="AS5691" s="13"/>
    </row>
    <row r="5692" ht="14.25" customHeight="1">
      <c r="A5692" s="13"/>
      <c r="B5692" s="13"/>
      <c r="C5692" s="13"/>
      <c r="D5692" s="13"/>
      <c r="E5692" s="13"/>
      <c r="F5692" s="13"/>
      <c r="G5692" s="13"/>
      <c r="H5692" s="13"/>
      <c r="I5692" s="13"/>
      <c r="J5692" s="13"/>
      <c r="K5692" s="15"/>
      <c r="L5692" s="15"/>
      <c r="M5692" s="16"/>
      <c r="N5692" s="16"/>
      <c r="O5692" s="17"/>
      <c r="P5692" s="17"/>
      <c r="Q5692" s="13"/>
      <c r="R5692" s="13"/>
      <c r="S5692" s="13"/>
      <c r="T5692" s="13"/>
      <c r="U5692" s="13"/>
      <c r="V5692" s="13"/>
      <c r="W5692" s="13"/>
      <c r="X5692" s="13"/>
      <c r="Y5692" s="13"/>
      <c r="Z5692" s="13"/>
      <c r="AA5692" s="13"/>
      <c r="AB5692" s="13"/>
      <c r="AC5692" s="13"/>
      <c r="AD5692" s="13"/>
      <c r="AE5692" s="13"/>
      <c r="AF5692" s="13"/>
      <c r="AG5692" s="13"/>
      <c r="AH5692" s="13"/>
      <c r="AI5692" s="13"/>
      <c r="AJ5692" s="13"/>
      <c r="AK5692" s="13"/>
      <c r="AL5692" s="13"/>
      <c r="AM5692" s="13"/>
      <c r="AN5692" s="13"/>
      <c r="AO5692" s="13"/>
      <c r="AP5692" s="13"/>
      <c r="AQ5692" s="13"/>
      <c r="AR5692" s="13"/>
      <c r="AS5692" s="13"/>
    </row>
    <row r="5693" ht="14.25" customHeight="1">
      <c r="A5693" s="13"/>
      <c r="B5693" s="13"/>
      <c r="C5693" s="13"/>
      <c r="D5693" s="13"/>
      <c r="E5693" s="13"/>
      <c r="F5693" s="13"/>
      <c r="G5693" s="13"/>
      <c r="H5693" s="13"/>
      <c r="I5693" s="13"/>
      <c r="J5693" s="13"/>
      <c r="K5693" s="15"/>
      <c r="L5693" s="15"/>
      <c r="M5693" s="16"/>
      <c r="N5693" s="16"/>
      <c r="O5693" s="17"/>
      <c r="P5693" s="17"/>
      <c r="Q5693" s="13"/>
      <c r="R5693" s="13"/>
      <c r="S5693" s="13"/>
      <c r="T5693" s="13"/>
      <c r="U5693" s="13"/>
      <c r="V5693" s="13"/>
      <c r="W5693" s="13"/>
      <c r="X5693" s="13"/>
      <c r="Y5693" s="13"/>
      <c r="Z5693" s="13"/>
      <c r="AA5693" s="13"/>
      <c r="AB5693" s="13"/>
      <c r="AC5693" s="13"/>
      <c r="AD5693" s="13"/>
      <c r="AE5693" s="13"/>
      <c r="AF5693" s="13"/>
      <c r="AG5693" s="13"/>
      <c r="AH5693" s="13"/>
      <c r="AI5693" s="13"/>
      <c r="AJ5693" s="13"/>
      <c r="AK5693" s="13"/>
      <c r="AL5693" s="13"/>
      <c r="AM5693" s="13"/>
      <c r="AN5693" s="13"/>
      <c r="AO5693" s="13"/>
      <c r="AP5693" s="13"/>
      <c r="AQ5693" s="13"/>
      <c r="AR5693" s="13"/>
      <c r="AS5693" s="13"/>
    </row>
    <row r="5694" ht="14.25" customHeight="1">
      <c r="A5694" s="13"/>
      <c r="B5694" s="13"/>
      <c r="C5694" s="13"/>
      <c r="D5694" s="13"/>
      <c r="E5694" s="13"/>
      <c r="F5694" s="13"/>
      <c r="G5694" s="13"/>
      <c r="H5694" s="13"/>
      <c r="I5694" s="13"/>
      <c r="J5694" s="13"/>
      <c r="K5694" s="15"/>
      <c r="L5694" s="15"/>
      <c r="M5694" s="16"/>
      <c r="N5694" s="16"/>
      <c r="O5694" s="17"/>
      <c r="P5694" s="17"/>
      <c r="Q5694" s="13"/>
      <c r="R5694" s="13"/>
      <c r="S5694" s="13"/>
      <c r="T5694" s="13"/>
      <c r="U5694" s="13"/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F5694" s="13"/>
      <c r="AG5694" s="13"/>
      <c r="AH5694" s="13"/>
      <c r="AI5694" s="13"/>
      <c r="AJ5694" s="13"/>
      <c r="AK5694" s="13"/>
      <c r="AL5694" s="13"/>
      <c r="AM5694" s="13"/>
      <c r="AN5694" s="13"/>
      <c r="AO5694" s="13"/>
      <c r="AP5694" s="13"/>
      <c r="AQ5694" s="13"/>
      <c r="AR5694" s="13"/>
      <c r="AS5694" s="13"/>
    </row>
    <row r="5695" ht="14.25" customHeight="1">
      <c r="A5695" s="13"/>
      <c r="B5695" s="13"/>
      <c r="C5695" s="13"/>
      <c r="D5695" s="13"/>
      <c r="E5695" s="13"/>
      <c r="F5695" s="13"/>
      <c r="G5695" s="13"/>
      <c r="H5695" s="13"/>
      <c r="I5695" s="13"/>
      <c r="J5695" s="13"/>
      <c r="K5695" s="15"/>
      <c r="L5695" s="15"/>
      <c r="M5695" s="16"/>
      <c r="N5695" s="16"/>
      <c r="O5695" s="17"/>
      <c r="P5695" s="17"/>
      <c r="Q5695" s="13"/>
      <c r="R5695" s="13"/>
      <c r="S5695" s="13"/>
      <c r="T5695" s="13"/>
      <c r="U5695" s="13"/>
      <c r="V5695" s="13"/>
      <c r="W5695" s="13"/>
      <c r="X5695" s="13"/>
      <c r="Y5695" s="13"/>
      <c r="Z5695" s="13"/>
      <c r="AA5695" s="13"/>
      <c r="AB5695" s="13"/>
      <c r="AC5695" s="13"/>
      <c r="AD5695" s="13"/>
      <c r="AE5695" s="13"/>
      <c r="AF5695" s="13"/>
      <c r="AG5695" s="13"/>
      <c r="AH5695" s="13"/>
      <c r="AI5695" s="13"/>
      <c r="AJ5695" s="13"/>
      <c r="AK5695" s="13"/>
      <c r="AL5695" s="13"/>
      <c r="AM5695" s="13"/>
      <c r="AN5695" s="13"/>
      <c r="AO5695" s="13"/>
      <c r="AP5695" s="13"/>
      <c r="AQ5695" s="13"/>
      <c r="AR5695" s="13"/>
      <c r="AS5695" s="13"/>
    </row>
    <row r="5696" ht="14.25" customHeight="1">
      <c r="A5696" s="13"/>
      <c r="B5696" s="13"/>
      <c r="C5696" s="13"/>
      <c r="D5696" s="13"/>
      <c r="E5696" s="13"/>
      <c r="F5696" s="13"/>
      <c r="G5696" s="13"/>
      <c r="H5696" s="13"/>
      <c r="I5696" s="13"/>
      <c r="J5696" s="13"/>
      <c r="K5696" s="15"/>
      <c r="L5696" s="15"/>
      <c r="M5696" s="16"/>
      <c r="N5696" s="16"/>
      <c r="O5696" s="17"/>
      <c r="P5696" s="17"/>
      <c r="Q5696" s="13"/>
      <c r="R5696" s="13"/>
      <c r="S5696" s="13"/>
      <c r="T5696" s="13"/>
      <c r="U5696" s="13"/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F5696" s="13"/>
      <c r="AG5696" s="13"/>
      <c r="AH5696" s="13"/>
      <c r="AI5696" s="13"/>
      <c r="AJ5696" s="13"/>
      <c r="AK5696" s="13"/>
      <c r="AL5696" s="13"/>
      <c r="AM5696" s="13"/>
      <c r="AN5696" s="13"/>
      <c r="AO5696" s="13"/>
      <c r="AP5696" s="13"/>
      <c r="AQ5696" s="13"/>
      <c r="AR5696" s="13"/>
      <c r="AS5696" s="13"/>
    </row>
    <row r="5697" ht="14.25" customHeight="1">
      <c r="A5697" s="13"/>
      <c r="B5697" s="13"/>
      <c r="C5697" s="13"/>
      <c r="D5697" s="13"/>
      <c r="E5697" s="13"/>
      <c r="F5697" s="13"/>
      <c r="G5697" s="13"/>
      <c r="H5697" s="13"/>
      <c r="I5697" s="13"/>
      <c r="J5697" s="13"/>
      <c r="K5697" s="15"/>
      <c r="L5697" s="15"/>
      <c r="M5697" s="16"/>
      <c r="N5697" s="16"/>
      <c r="O5697" s="17"/>
      <c r="P5697" s="17"/>
      <c r="Q5697" s="13"/>
      <c r="R5697" s="13"/>
      <c r="S5697" s="13"/>
      <c r="T5697" s="13"/>
      <c r="U5697" s="13"/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F5697" s="13"/>
      <c r="AG5697" s="13"/>
      <c r="AH5697" s="13"/>
      <c r="AI5697" s="13"/>
      <c r="AJ5697" s="13"/>
      <c r="AK5697" s="13"/>
      <c r="AL5697" s="13"/>
      <c r="AM5697" s="13"/>
      <c r="AN5697" s="13"/>
      <c r="AO5697" s="13"/>
      <c r="AP5697" s="13"/>
      <c r="AQ5697" s="13"/>
      <c r="AR5697" s="13"/>
      <c r="AS5697" s="13"/>
    </row>
    <row r="5698" ht="14.25" customHeight="1">
      <c r="A5698" s="13"/>
      <c r="B5698" s="13"/>
      <c r="C5698" s="13"/>
      <c r="D5698" s="13"/>
      <c r="E5698" s="13"/>
      <c r="F5698" s="13"/>
      <c r="G5698" s="13"/>
      <c r="H5698" s="13"/>
      <c r="I5698" s="13"/>
      <c r="J5698" s="13"/>
      <c r="K5698" s="15"/>
      <c r="L5698" s="15"/>
      <c r="M5698" s="16"/>
      <c r="N5698" s="16"/>
      <c r="O5698" s="17"/>
      <c r="P5698" s="17"/>
      <c r="Q5698" s="13"/>
      <c r="R5698" s="13"/>
      <c r="S5698" s="13"/>
      <c r="T5698" s="13"/>
      <c r="U5698" s="13"/>
      <c r="V5698" s="13"/>
      <c r="W5698" s="13"/>
      <c r="X5698" s="13"/>
      <c r="Y5698" s="13"/>
      <c r="Z5698" s="13"/>
      <c r="AA5698" s="13"/>
      <c r="AB5698" s="13"/>
      <c r="AC5698" s="13"/>
      <c r="AD5698" s="13"/>
      <c r="AE5698" s="13"/>
      <c r="AF5698" s="13"/>
      <c r="AG5698" s="13"/>
      <c r="AH5698" s="13"/>
      <c r="AI5698" s="13"/>
      <c r="AJ5698" s="13"/>
      <c r="AK5698" s="13"/>
      <c r="AL5698" s="13"/>
      <c r="AM5698" s="13"/>
      <c r="AN5698" s="13"/>
      <c r="AO5698" s="13"/>
      <c r="AP5698" s="13"/>
      <c r="AQ5698" s="13"/>
      <c r="AR5698" s="13"/>
      <c r="AS5698" s="13"/>
    </row>
    <row r="5699" ht="14.25" customHeight="1">
      <c r="A5699" s="13"/>
      <c r="B5699" s="13"/>
      <c r="C5699" s="13"/>
      <c r="D5699" s="13"/>
      <c r="E5699" s="13"/>
      <c r="F5699" s="13"/>
      <c r="G5699" s="13"/>
      <c r="H5699" s="13"/>
      <c r="I5699" s="13"/>
      <c r="J5699" s="13"/>
      <c r="K5699" s="15"/>
      <c r="L5699" s="15"/>
      <c r="M5699" s="16"/>
      <c r="N5699" s="16"/>
      <c r="O5699" s="17"/>
      <c r="P5699" s="17"/>
      <c r="Q5699" s="13"/>
      <c r="R5699" s="13"/>
      <c r="S5699" s="13"/>
      <c r="T5699" s="13"/>
      <c r="U5699" s="13"/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F5699" s="13"/>
      <c r="AG5699" s="13"/>
      <c r="AH5699" s="13"/>
      <c r="AI5699" s="13"/>
      <c r="AJ5699" s="13"/>
      <c r="AK5699" s="13"/>
      <c r="AL5699" s="13"/>
      <c r="AM5699" s="13"/>
      <c r="AN5699" s="13"/>
      <c r="AO5699" s="13"/>
      <c r="AP5699" s="13"/>
      <c r="AQ5699" s="13"/>
      <c r="AR5699" s="13"/>
      <c r="AS5699" s="13"/>
    </row>
    <row r="5700" ht="14.25" customHeight="1">
      <c r="A5700" s="13"/>
      <c r="B5700" s="13"/>
      <c r="C5700" s="13"/>
      <c r="D5700" s="13"/>
      <c r="E5700" s="13"/>
      <c r="F5700" s="13"/>
      <c r="G5700" s="13"/>
      <c r="H5700" s="13"/>
      <c r="I5700" s="13"/>
      <c r="J5700" s="13"/>
      <c r="K5700" s="15"/>
      <c r="L5700" s="15"/>
      <c r="M5700" s="16"/>
      <c r="N5700" s="16"/>
      <c r="O5700" s="17"/>
      <c r="P5700" s="17"/>
      <c r="Q5700" s="13"/>
      <c r="R5700" s="13"/>
      <c r="S5700" s="13"/>
      <c r="T5700" s="13"/>
      <c r="U5700" s="13"/>
      <c r="V5700" s="13"/>
      <c r="W5700" s="13"/>
      <c r="X5700" s="13"/>
      <c r="Y5700" s="13"/>
      <c r="Z5700" s="13"/>
      <c r="AA5700" s="13"/>
      <c r="AB5700" s="13"/>
      <c r="AC5700" s="13"/>
      <c r="AD5700" s="13"/>
      <c r="AE5700" s="13"/>
      <c r="AF5700" s="13"/>
      <c r="AG5700" s="13"/>
      <c r="AH5700" s="13"/>
      <c r="AI5700" s="13"/>
      <c r="AJ5700" s="13"/>
      <c r="AK5700" s="13"/>
      <c r="AL5700" s="13"/>
      <c r="AM5700" s="13"/>
      <c r="AN5700" s="13"/>
      <c r="AO5700" s="13"/>
      <c r="AP5700" s="13"/>
      <c r="AQ5700" s="13"/>
      <c r="AR5700" s="13"/>
      <c r="AS5700" s="13"/>
    </row>
    <row r="5701" ht="14.25" customHeight="1">
      <c r="A5701" s="13"/>
      <c r="B5701" s="13"/>
      <c r="C5701" s="13"/>
      <c r="D5701" s="13"/>
      <c r="E5701" s="13"/>
      <c r="F5701" s="13"/>
      <c r="G5701" s="13"/>
      <c r="H5701" s="13"/>
      <c r="I5701" s="13"/>
      <c r="J5701" s="13"/>
      <c r="K5701" s="15"/>
      <c r="L5701" s="15"/>
      <c r="M5701" s="16"/>
      <c r="N5701" s="16"/>
      <c r="O5701" s="17"/>
      <c r="P5701" s="17"/>
      <c r="Q5701" s="13"/>
      <c r="R5701" s="13"/>
      <c r="S5701" s="13"/>
      <c r="T5701" s="13"/>
      <c r="U5701" s="13"/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F5701" s="13"/>
      <c r="AG5701" s="13"/>
      <c r="AH5701" s="13"/>
      <c r="AI5701" s="13"/>
      <c r="AJ5701" s="13"/>
      <c r="AK5701" s="13"/>
      <c r="AL5701" s="13"/>
      <c r="AM5701" s="13"/>
      <c r="AN5701" s="13"/>
      <c r="AO5701" s="13"/>
      <c r="AP5701" s="13"/>
      <c r="AQ5701" s="13"/>
      <c r="AR5701" s="13"/>
      <c r="AS5701" s="13"/>
    </row>
    <row r="5702" ht="14.25" customHeight="1">
      <c r="A5702" s="13"/>
      <c r="B5702" s="13"/>
      <c r="C5702" s="13"/>
      <c r="D5702" s="13"/>
      <c r="E5702" s="13"/>
      <c r="F5702" s="13"/>
      <c r="G5702" s="13"/>
      <c r="H5702" s="13"/>
      <c r="I5702" s="13"/>
      <c r="J5702" s="13"/>
      <c r="K5702" s="15"/>
      <c r="L5702" s="15"/>
      <c r="M5702" s="16"/>
      <c r="N5702" s="16"/>
      <c r="O5702" s="17"/>
      <c r="P5702" s="17"/>
      <c r="Q5702" s="13"/>
      <c r="R5702" s="13"/>
      <c r="S5702" s="13"/>
      <c r="T5702" s="13"/>
      <c r="U5702" s="13"/>
      <c r="V5702" s="13"/>
      <c r="W5702" s="13"/>
      <c r="X5702" s="13"/>
      <c r="Y5702" s="13"/>
      <c r="Z5702" s="13"/>
      <c r="AA5702" s="13"/>
      <c r="AB5702" s="13"/>
      <c r="AC5702" s="13"/>
      <c r="AD5702" s="13"/>
      <c r="AE5702" s="13"/>
      <c r="AF5702" s="13"/>
      <c r="AG5702" s="13"/>
      <c r="AH5702" s="13"/>
      <c r="AI5702" s="13"/>
      <c r="AJ5702" s="13"/>
      <c r="AK5702" s="13"/>
      <c r="AL5702" s="13"/>
      <c r="AM5702" s="13"/>
      <c r="AN5702" s="13"/>
      <c r="AO5702" s="13"/>
      <c r="AP5702" s="13"/>
      <c r="AQ5702" s="13"/>
      <c r="AR5702" s="13"/>
      <c r="AS5702" s="13"/>
    </row>
    <row r="5703" ht="14.25" customHeight="1">
      <c r="A5703" s="13"/>
      <c r="B5703" s="13"/>
      <c r="C5703" s="13"/>
      <c r="D5703" s="13"/>
      <c r="E5703" s="13"/>
      <c r="F5703" s="13"/>
      <c r="G5703" s="13"/>
      <c r="H5703" s="13"/>
      <c r="I5703" s="13"/>
      <c r="J5703" s="13"/>
      <c r="K5703" s="15"/>
      <c r="L5703" s="15"/>
      <c r="M5703" s="16"/>
      <c r="N5703" s="16"/>
      <c r="O5703" s="17"/>
      <c r="P5703" s="17"/>
      <c r="Q5703" s="13"/>
      <c r="R5703" s="13"/>
      <c r="S5703" s="13"/>
      <c r="T5703" s="13"/>
      <c r="U5703" s="13"/>
      <c r="V5703" s="13"/>
      <c r="W5703" s="13"/>
      <c r="X5703" s="13"/>
      <c r="Y5703" s="13"/>
      <c r="Z5703" s="13"/>
      <c r="AA5703" s="13"/>
      <c r="AB5703" s="13"/>
      <c r="AC5703" s="13"/>
      <c r="AD5703" s="13"/>
      <c r="AE5703" s="13"/>
      <c r="AF5703" s="13"/>
      <c r="AG5703" s="13"/>
      <c r="AH5703" s="13"/>
      <c r="AI5703" s="13"/>
      <c r="AJ5703" s="13"/>
      <c r="AK5703" s="13"/>
      <c r="AL5703" s="13"/>
      <c r="AM5703" s="13"/>
      <c r="AN5703" s="13"/>
      <c r="AO5703" s="13"/>
      <c r="AP5703" s="13"/>
      <c r="AQ5703" s="13"/>
      <c r="AR5703" s="13"/>
      <c r="AS5703" s="13"/>
    </row>
    <row r="5704" ht="14.25" customHeight="1">
      <c r="A5704" s="13"/>
      <c r="B5704" s="13"/>
      <c r="C5704" s="13"/>
      <c r="D5704" s="13"/>
      <c r="E5704" s="13"/>
      <c r="F5704" s="13"/>
      <c r="G5704" s="13"/>
      <c r="H5704" s="13"/>
      <c r="I5704" s="13"/>
      <c r="J5704" s="13"/>
      <c r="K5704" s="15"/>
      <c r="L5704" s="15"/>
      <c r="M5704" s="16"/>
      <c r="N5704" s="16"/>
      <c r="O5704" s="17"/>
      <c r="P5704" s="17"/>
      <c r="Q5704" s="13"/>
      <c r="R5704" s="13"/>
      <c r="S5704" s="13"/>
      <c r="T5704" s="13"/>
      <c r="U5704" s="13"/>
      <c r="V5704" s="13"/>
      <c r="W5704" s="13"/>
      <c r="X5704" s="13"/>
      <c r="Y5704" s="13"/>
      <c r="Z5704" s="13"/>
      <c r="AA5704" s="13"/>
      <c r="AB5704" s="13"/>
      <c r="AC5704" s="13"/>
      <c r="AD5704" s="13"/>
      <c r="AE5704" s="13"/>
      <c r="AF5704" s="13"/>
      <c r="AG5704" s="13"/>
      <c r="AH5704" s="13"/>
      <c r="AI5704" s="13"/>
      <c r="AJ5704" s="13"/>
      <c r="AK5704" s="13"/>
      <c r="AL5704" s="13"/>
      <c r="AM5704" s="13"/>
      <c r="AN5704" s="13"/>
      <c r="AO5704" s="13"/>
      <c r="AP5704" s="13"/>
      <c r="AQ5704" s="13"/>
      <c r="AR5704" s="13"/>
      <c r="AS5704" s="13"/>
    </row>
    <row r="5705" ht="14.25" customHeight="1">
      <c r="A5705" s="13"/>
      <c r="B5705" s="13"/>
      <c r="C5705" s="13"/>
      <c r="D5705" s="13"/>
      <c r="E5705" s="13"/>
      <c r="F5705" s="13"/>
      <c r="G5705" s="13"/>
      <c r="H5705" s="13"/>
      <c r="I5705" s="13"/>
      <c r="J5705" s="13"/>
      <c r="K5705" s="15"/>
      <c r="L5705" s="15"/>
      <c r="M5705" s="16"/>
      <c r="N5705" s="16"/>
      <c r="O5705" s="17"/>
      <c r="P5705" s="17"/>
      <c r="Q5705" s="13"/>
      <c r="R5705" s="13"/>
      <c r="S5705" s="13"/>
      <c r="T5705" s="13"/>
      <c r="U5705" s="13"/>
      <c r="V5705" s="13"/>
      <c r="W5705" s="13"/>
      <c r="X5705" s="13"/>
      <c r="Y5705" s="13"/>
      <c r="Z5705" s="13"/>
      <c r="AA5705" s="13"/>
      <c r="AB5705" s="13"/>
      <c r="AC5705" s="13"/>
      <c r="AD5705" s="13"/>
      <c r="AE5705" s="13"/>
      <c r="AF5705" s="13"/>
      <c r="AG5705" s="13"/>
      <c r="AH5705" s="13"/>
      <c r="AI5705" s="13"/>
      <c r="AJ5705" s="13"/>
      <c r="AK5705" s="13"/>
      <c r="AL5705" s="13"/>
      <c r="AM5705" s="13"/>
      <c r="AN5705" s="13"/>
      <c r="AO5705" s="13"/>
      <c r="AP5705" s="13"/>
      <c r="AQ5705" s="13"/>
      <c r="AR5705" s="13"/>
      <c r="AS5705" s="13"/>
    </row>
    <row r="5706" ht="14.25" customHeight="1">
      <c r="A5706" s="13"/>
      <c r="B5706" s="13"/>
      <c r="C5706" s="13"/>
      <c r="D5706" s="13"/>
      <c r="E5706" s="13"/>
      <c r="F5706" s="13"/>
      <c r="G5706" s="13"/>
      <c r="H5706" s="13"/>
      <c r="I5706" s="13"/>
      <c r="J5706" s="13"/>
      <c r="K5706" s="15"/>
      <c r="L5706" s="15"/>
      <c r="M5706" s="16"/>
      <c r="N5706" s="16"/>
      <c r="O5706" s="17"/>
      <c r="P5706" s="17"/>
      <c r="Q5706" s="13"/>
      <c r="R5706" s="13"/>
      <c r="S5706" s="13"/>
      <c r="T5706" s="13"/>
      <c r="U5706" s="13"/>
      <c r="V5706" s="13"/>
      <c r="W5706" s="13"/>
      <c r="X5706" s="13"/>
      <c r="Y5706" s="13"/>
      <c r="Z5706" s="13"/>
      <c r="AA5706" s="13"/>
      <c r="AB5706" s="13"/>
      <c r="AC5706" s="13"/>
      <c r="AD5706" s="13"/>
      <c r="AE5706" s="13"/>
      <c r="AF5706" s="13"/>
      <c r="AG5706" s="13"/>
      <c r="AH5706" s="13"/>
      <c r="AI5706" s="13"/>
      <c r="AJ5706" s="13"/>
      <c r="AK5706" s="13"/>
      <c r="AL5706" s="13"/>
      <c r="AM5706" s="13"/>
      <c r="AN5706" s="13"/>
      <c r="AO5706" s="13"/>
      <c r="AP5706" s="13"/>
      <c r="AQ5706" s="13"/>
      <c r="AR5706" s="13"/>
      <c r="AS5706" s="13"/>
    </row>
    <row r="5707" ht="14.25" customHeight="1">
      <c r="A5707" s="13"/>
      <c r="B5707" s="13"/>
      <c r="C5707" s="13"/>
      <c r="D5707" s="13"/>
      <c r="E5707" s="13"/>
      <c r="F5707" s="13"/>
      <c r="G5707" s="13"/>
      <c r="H5707" s="13"/>
      <c r="I5707" s="13"/>
      <c r="J5707" s="13"/>
      <c r="K5707" s="15"/>
      <c r="L5707" s="15"/>
      <c r="M5707" s="16"/>
      <c r="N5707" s="16"/>
      <c r="O5707" s="17"/>
      <c r="P5707" s="17"/>
      <c r="Q5707" s="13"/>
      <c r="R5707" s="13"/>
      <c r="S5707" s="13"/>
      <c r="T5707" s="13"/>
      <c r="U5707" s="13"/>
      <c r="V5707" s="13"/>
      <c r="W5707" s="13"/>
      <c r="X5707" s="13"/>
      <c r="Y5707" s="13"/>
      <c r="Z5707" s="13"/>
      <c r="AA5707" s="13"/>
      <c r="AB5707" s="13"/>
      <c r="AC5707" s="13"/>
      <c r="AD5707" s="13"/>
      <c r="AE5707" s="13"/>
      <c r="AF5707" s="13"/>
      <c r="AG5707" s="13"/>
      <c r="AH5707" s="13"/>
      <c r="AI5707" s="13"/>
      <c r="AJ5707" s="13"/>
      <c r="AK5707" s="13"/>
      <c r="AL5707" s="13"/>
      <c r="AM5707" s="13"/>
      <c r="AN5707" s="13"/>
      <c r="AO5707" s="13"/>
      <c r="AP5707" s="13"/>
      <c r="AQ5707" s="13"/>
      <c r="AR5707" s="13"/>
      <c r="AS5707" s="13"/>
    </row>
    <row r="5708" ht="14.25" customHeight="1">
      <c r="A5708" s="13"/>
      <c r="B5708" s="13"/>
      <c r="C5708" s="13"/>
      <c r="D5708" s="13"/>
      <c r="E5708" s="13"/>
      <c r="F5708" s="13"/>
      <c r="G5708" s="13"/>
      <c r="H5708" s="13"/>
      <c r="I5708" s="13"/>
      <c r="J5708" s="13"/>
      <c r="K5708" s="15"/>
      <c r="L5708" s="15"/>
      <c r="M5708" s="16"/>
      <c r="N5708" s="16"/>
      <c r="O5708" s="17"/>
      <c r="P5708" s="17"/>
      <c r="Q5708" s="13"/>
      <c r="R5708" s="13"/>
      <c r="S5708" s="13"/>
      <c r="T5708" s="13"/>
      <c r="U5708" s="13"/>
      <c r="V5708" s="13"/>
      <c r="W5708" s="13"/>
      <c r="X5708" s="13"/>
      <c r="Y5708" s="13"/>
      <c r="Z5708" s="13"/>
      <c r="AA5708" s="13"/>
      <c r="AB5708" s="13"/>
      <c r="AC5708" s="13"/>
      <c r="AD5708" s="13"/>
      <c r="AE5708" s="13"/>
      <c r="AF5708" s="13"/>
      <c r="AG5708" s="13"/>
      <c r="AH5708" s="13"/>
      <c r="AI5708" s="13"/>
      <c r="AJ5708" s="13"/>
      <c r="AK5708" s="13"/>
      <c r="AL5708" s="13"/>
      <c r="AM5708" s="13"/>
      <c r="AN5708" s="13"/>
      <c r="AO5708" s="13"/>
      <c r="AP5708" s="13"/>
      <c r="AQ5708" s="13"/>
      <c r="AR5708" s="13"/>
      <c r="AS5708" s="13"/>
    </row>
    <row r="5709" ht="14.25" customHeight="1">
      <c r="A5709" s="13"/>
      <c r="B5709" s="13"/>
      <c r="C5709" s="13"/>
      <c r="D5709" s="13"/>
      <c r="E5709" s="13"/>
      <c r="F5709" s="13"/>
      <c r="G5709" s="13"/>
      <c r="H5709" s="13"/>
      <c r="I5709" s="13"/>
      <c r="J5709" s="13"/>
      <c r="K5709" s="15"/>
      <c r="L5709" s="15"/>
      <c r="M5709" s="16"/>
      <c r="N5709" s="16"/>
      <c r="O5709" s="17"/>
      <c r="P5709" s="17"/>
      <c r="Q5709" s="13"/>
      <c r="R5709" s="13"/>
      <c r="S5709" s="13"/>
      <c r="T5709" s="13"/>
      <c r="U5709" s="13"/>
      <c r="V5709" s="13"/>
      <c r="W5709" s="13"/>
      <c r="X5709" s="13"/>
      <c r="Y5709" s="13"/>
      <c r="Z5709" s="13"/>
      <c r="AA5709" s="13"/>
      <c r="AB5709" s="13"/>
      <c r="AC5709" s="13"/>
      <c r="AD5709" s="13"/>
      <c r="AE5709" s="13"/>
      <c r="AF5709" s="13"/>
      <c r="AG5709" s="13"/>
      <c r="AH5709" s="13"/>
      <c r="AI5709" s="13"/>
      <c r="AJ5709" s="13"/>
      <c r="AK5709" s="13"/>
      <c r="AL5709" s="13"/>
      <c r="AM5709" s="13"/>
      <c r="AN5709" s="13"/>
      <c r="AO5709" s="13"/>
      <c r="AP5709" s="13"/>
      <c r="AQ5709" s="13"/>
      <c r="AR5709" s="13"/>
      <c r="AS5709" s="13"/>
    </row>
    <row r="5710" ht="14.25" customHeight="1">
      <c r="A5710" s="13"/>
      <c r="B5710" s="13"/>
      <c r="C5710" s="13"/>
      <c r="D5710" s="13"/>
      <c r="E5710" s="13"/>
      <c r="F5710" s="13"/>
      <c r="G5710" s="13"/>
      <c r="H5710" s="13"/>
      <c r="I5710" s="13"/>
      <c r="J5710" s="13"/>
      <c r="K5710" s="15"/>
      <c r="L5710" s="15"/>
      <c r="M5710" s="16"/>
      <c r="N5710" s="16"/>
      <c r="O5710" s="17"/>
      <c r="P5710" s="17"/>
      <c r="Q5710" s="13"/>
      <c r="R5710" s="13"/>
      <c r="S5710" s="13"/>
      <c r="T5710" s="13"/>
      <c r="U5710" s="13"/>
      <c r="V5710" s="13"/>
      <c r="W5710" s="13"/>
      <c r="X5710" s="13"/>
      <c r="Y5710" s="13"/>
      <c r="Z5710" s="13"/>
      <c r="AA5710" s="13"/>
      <c r="AB5710" s="13"/>
      <c r="AC5710" s="13"/>
      <c r="AD5710" s="13"/>
      <c r="AE5710" s="13"/>
      <c r="AF5710" s="13"/>
      <c r="AG5710" s="13"/>
      <c r="AH5710" s="13"/>
      <c r="AI5710" s="13"/>
      <c r="AJ5710" s="13"/>
      <c r="AK5710" s="13"/>
      <c r="AL5710" s="13"/>
      <c r="AM5710" s="13"/>
      <c r="AN5710" s="13"/>
      <c r="AO5710" s="13"/>
      <c r="AP5710" s="13"/>
      <c r="AQ5710" s="13"/>
      <c r="AR5710" s="13"/>
      <c r="AS5710" s="13"/>
    </row>
    <row r="5711" ht="14.25" customHeight="1">
      <c r="A5711" s="13"/>
      <c r="B5711" s="13"/>
      <c r="C5711" s="13"/>
      <c r="D5711" s="13"/>
      <c r="E5711" s="13"/>
      <c r="F5711" s="13"/>
      <c r="G5711" s="13"/>
      <c r="H5711" s="13"/>
      <c r="I5711" s="13"/>
      <c r="J5711" s="13"/>
      <c r="K5711" s="15"/>
      <c r="L5711" s="15"/>
      <c r="M5711" s="16"/>
      <c r="N5711" s="16"/>
      <c r="O5711" s="17"/>
      <c r="P5711" s="17"/>
      <c r="Q5711" s="13"/>
      <c r="R5711" s="13"/>
      <c r="S5711" s="13"/>
      <c r="T5711" s="13"/>
      <c r="U5711" s="13"/>
      <c r="V5711" s="13"/>
      <c r="W5711" s="13"/>
      <c r="X5711" s="13"/>
      <c r="Y5711" s="13"/>
      <c r="Z5711" s="13"/>
      <c r="AA5711" s="13"/>
      <c r="AB5711" s="13"/>
      <c r="AC5711" s="13"/>
      <c r="AD5711" s="13"/>
      <c r="AE5711" s="13"/>
      <c r="AF5711" s="13"/>
      <c r="AG5711" s="13"/>
      <c r="AH5711" s="13"/>
      <c r="AI5711" s="13"/>
      <c r="AJ5711" s="13"/>
      <c r="AK5711" s="13"/>
      <c r="AL5711" s="13"/>
      <c r="AM5711" s="13"/>
      <c r="AN5711" s="13"/>
      <c r="AO5711" s="13"/>
      <c r="AP5711" s="13"/>
      <c r="AQ5711" s="13"/>
      <c r="AR5711" s="13"/>
      <c r="AS5711" s="13"/>
    </row>
    <row r="5712" ht="14.25" customHeight="1">
      <c r="A5712" s="13"/>
      <c r="B5712" s="13"/>
      <c r="C5712" s="13"/>
      <c r="D5712" s="13"/>
      <c r="E5712" s="13"/>
      <c r="F5712" s="13"/>
      <c r="G5712" s="13"/>
      <c r="H5712" s="13"/>
      <c r="I5712" s="13"/>
      <c r="J5712" s="13"/>
      <c r="K5712" s="15"/>
      <c r="L5712" s="15"/>
      <c r="M5712" s="16"/>
      <c r="N5712" s="16"/>
      <c r="O5712" s="17"/>
      <c r="P5712" s="17"/>
      <c r="Q5712" s="13"/>
      <c r="R5712" s="13"/>
      <c r="S5712" s="13"/>
      <c r="T5712" s="13"/>
      <c r="U5712" s="13"/>
      <c r="V5712" s="13"/>
      <c r="W5712" s="13"/>
      <c r="X5712" s="13"/>
      <c r="Y5712" s="13"/>
      <c r="Z5712" s="13"/>
      <c r="AA5712" s="13"/>
      <c r="AB5712" s="13"/>
      <c r="AC5712" s="13"/>
      <c r="AD5712" s="13"/>
      <c r="AE5712" s="13"/>
      <c r="AF5712" s="13"/>
      <c r="AG5712" s="13"/>
      <c r="AH5712" s="13"/>
      <c r="AI5712" s="13"/>
      <c r="AJ5712" s="13"/>
      <c r="AK5712" s="13"/>
      <c r="AL5712" s="13"/>
      <c r="AM5712" s="13"/>
      <c r="AN5712" s="13"/>
      <c r="AO5712" s="13"/>
      <c r="AP5712" s="13"/>
      <c r="AQ5712" s="13"/>
      <c r="AR5712" s="13"/>
      <c r="AS5712" s="13"/>
    </row>
    <row r="5713" ht="14.25" customHeight="1">
      <c r="A5713" s="13"/>
      <c r="B5713" s="13"/>
      <c r="C5713" s="13"/>
      <c r="D5713" s="13"/>
      <c r="E5713" s="13"/>
      <c r="F5713" s="13"/>
      <c r="G5713" s="13"/>
      <c r="H5713" s="13"/>
      <c r="I5713" s="13"/>
      <c r="J5713" s="13"/>
      <c r="K5713" s="15"/>
      <c r="L5713" s="15"/>
      <c r="M5713" s="16"/>
      <c r="N5713" s="16"/>
      <c r="O5713" s="17"/>
      <c r="P5713" s="17"/>
      <c r="Q5713" s="13"/>
      <c r="R5713" s="13"/>
      <c r="S5713" s="13"/>
      <c r="T5713" s="13"/>
      <c r="U5713" s="13"/>
      <c r="V5713" s="13"/>
      <c r="W5713" s="13"/>
      <c r="X5713" s="13"/>
      <c r="Y5713" s="13"/>
      <c r="Z5713" s="13"/>
      <c r="AA5713" s="13"/>
      <c r="AB5713" s="13"/>
      <c r="AC5713" s="13"/>
      <c r="AD5713" s="13"/>
      <c r="AE5713" s="13"/>
      <c r="AF5713" s="13"/>
      <c r="AG5713" s="13"/>
      <c r="AH5713" s="13"/>
      <c r="AI5713" s="13"/>
      <c r="AJ5713" s="13"/>
      <c r="AK5713" s="13"/>
      <c r="AL5713" s="13"/>
      <c r="AM5713" s="13"/>
      <c r="AN5713" s="13"/>
      <c r="AO5713" s="13"/>
      <c r="AP5713" s="13"/>
      <c r="AQ5713" s="13"/>
      <c r="AR5713" s="13"/>
      <c r="AS5713" s="13"/>
    </row>
    <row r="5714" ht="14.25" customHeight="1">
      <c r="A5714" s="13"/>
      <c r="B5714" s="13"/>
      <c r="C5714" s="13"/>
      <c r="D5714" s="13"/>
      <c r="E5714" s="13"/>
      <c r="F5714" s="13"/>
      <c r="G5714" s="13"/>
      <c r="H5714" s="13"/>
      <c r="I5714" s="13"/>
      <c r="J5714" s="13"/>
      <c r="K5714" s="15"/>
      <c r="L5714" s="15"/>
      <c r="M5714" s="16"/>
      <c r="N5714" s="16"/>
      <c r="O5714" s="17"/>
      <c r="P5714" s="17"/>
      <c r="Q5714" s="13"/>
      <c r="R5714" s="13"/>
      <c r="S5714" s="13"/>
      <c r="T5714" s="13"/>
      <c r="U5714" s="13"/>
      <c r="V5714" s="13"/>
      <c r="W5714" s="13"/>
      <c r="X5714" s="13"/>
      <c r="Y5714" s="13"/>
      <c r="Z5714" s="13"/>
      <c r="AA5714" s="13"/>
      <c r="AB5714" s="13"/>
      <c r="AC5714" s="13"/>
      <c r="AD5714" s="13"/>
      <c r="AE5714" s="13"/>
      <c r="AF5714" s="13"/>
      <c r="AG5714" s="13"/>
      <c r="AH5714" s="13"/>
      <c r="AI5714" s="13"/>
      <c r="AJ5714" s="13"/>
      <c r="AK5714" s="13"/>
      <c r="AL5714" s="13"/>
      <c r="AM5714" s="13"/>
      <c r="AN5714" s="13"/>
      <c r="AO5714" s="13"/>
      <c r="AP5714" s="13"/>
      <c r="AQ5714" s="13"/>
      <c r="AR5714" s="13"/>
      <c r="AS5714" s="13"/>
    </row>
    <row r="5715" ht="14.25" customHeight="1">
      <c r="A5715" s="13"/>
      <c r="B5715" s="13"/>
      <c r="C5715" s="13"/>
      <c r="D5715" s="13"/>
      <c r="E5715" s="13"/>
      <c r="F5715" s="13"/>
      <c r="G5715" s="13"/>
      <c r="H5715" s="13"/>
      <c r="I5715" s="13"/>
      <c r="J5715" s="13"/>
      <c r="K5715" s="15"/>
      <c r="L5715" s="15"/>
      <c r="M5715" s="16"/>
      <c r="N5715" s="16"/>
      <c r="O5715" s="17"/>
      <c r="P5715" s="17"/>
      <c r="Q5715" s="13"/>
      <c r="R5715" s="13"/>
      <c r="S5715" s="13"/>
      <c r="T5715" s="13"/>
      <c r="U5715" s="13"/>
      <c r="V5715" s="13"/>
      <c r="W5715" s="13"/>
      <c r="X5715" s="13"/>
      <c r="Y5715" s="13"/>
      <c r="Z5715" s="13"/>
      <c r="AA5715" s="13"/>
      <c r="AB5715" s="13"/>
      <c r="AC5715" s="13"/>
      <c r="AD5715" s="13"/>
      <c r="AE5715" s="13"/>
      <c r="AF5715" s="13"/>
      <c r="AG5715" s="13"/>
      <c r="AH5715" s="13"/>
      <c r="AI5715" s="13"/>
      <c r="AJ5715" s="13"/>
      <c r="AK5715" s="13"/>
      <c r="AL5715" s="13"/>
      <c r="AM5715" s="13"/>
      <c r="AN5715" s="13"/>
      <c r="AO5715" s="13"/>
      <c r="AP5715" s="13"/>
      <c r="AQ5715" s="13"/>
      <c r="AR5715" s="13"/>
      <c r="AS5715" s="13"/>
    </row>
    <row r="5716" ht="14.25" customHeight="1">
      <c r="A5716" s="13"/>
      <c r="B5716" s="13"/>
      <c r="C5716" s="13"/>
      <c r="D5716" s="13"/>
      <c r="E5716" s="13"/>
      <c r="F5716" s="13"/>
      <c r="G5716" s="13"/>
      <c r="H5716" s="13"/>
      <c r="I5716" s="13"/>
      <c r="J5716" s="13"/>
      <c r="K5716" s="15"/>
      <c r="L5716" s="15"/>
      <c r="M5716" s="16"/>
      <c r="N5716" s="16"/>
      <c r="O5716" s="17"/>
      <c r="P5716" s="17"/>
      <c r="Q5716" s="13"/>
      <c r="R5716" s="13"/>
      <c r="S5716" s="13"/>
      <c r="T5716" s="13"/>
      <c r="U5716" s="13"/>
      <c r="V5716" s="13"/>
      <c r="W5716" s="13"/>
      <c r="X5716" s="13"/>
      <c r="Y5716" s="13"/>
      <c r="Z5716" s="13"/>
      <c r="AA5716" s="13"/>
      <c r="AB5716" s="13"/>
      <c r="AC5716" s="13"/>
      <c r="AD5716" s="13"/>
      <c r="AE5716" s="13"/>
      <c r="AF5716" s="13"/>
      <c r="AG5716" s="13"/>
      <c r="AH5716" s="13"/>
      <c r="AI5716" s="13"/>
      <c r="AJ5716" s="13"/>
      <c r="AK5716" s="13"/>
      <c r="AL5716" s="13"/>
      <c r="AM5716" s="13"/>
      <c r="AN5716" s="13"/>
      <c r="AO5716" s="13"/>
      <c r="AP5716" s="13"/>
      <c r="AQ5716" s="13"/>
      <c r="AR5716" s="13"/>
      <c r="AS5716" s="13"/>
    </row>
    <row r="5717" ht="14.25" customHeight="1">
      <c r="A5717" s="13"/>
      <c r="B5717" s="13"/>
      <c r="C5717" s="13"/>
      <c r="D5717" s="13"/>
      <c r="E5717" s="13"/>
      <c r="F5717" s="13"/>
      <c r="G5717" s="13"/>
      <c r="H5717" s="13"/>
      <c r="I5717" s="13"/>
      <c r="J5717" s="13"/>
      <c r="K5717" s="15"/>
      <c r="L5717" s="15"/>
      <c r="M5717" s="16"/>
      <c r="N5717" s="16"/>
      <c r="O5717" s="17"/>
      <c r="P5717" s="17"/>
      <c r="Q5717" s="13"/>
      <c r="R5717" s="13"/>
      <c r="S5717" s="13"/>
      <c r="T5717" s="13"/>
      <c r="U5717" s="13"/>
      <c r="V5717" s="13"/>
      <c r="W5717" s="13"/>
      <c r="X5717" s="13"/>
      <c r="Y5717" s="13"/>
      <c r="Z5717" s="13"/>
      <c r="AA5717" s="13"/>
      <c r="AB5717" s="13"/>
      <c r="AC5717" s="13"/>
      <c r="AD5717" s="13"/>
      <c r="AE5717" s="13"/>
      <c r="AF5717" s="13"/>
      <c r="AG5717" s="13"/>
      <c r="AH5717" s="13"/>
      <c r="AI5717" s="13"/>
      <c r="AJ5717" s="13"/>
      <c r="AK5717" s="13"/>
      <c r="AL5717" s="13"/>
      <c r="AM5717" s="13"/>
      <c r="AN5717" s="13"/>
      <c r="AO5717" s="13"/>
      <c r="AP5717" s="13"/>
      <c r="AQ5717" s="13"/>
      <c r="AR5717" s="13"/>
      <c r="AS5717" s="13"/>
    </row>
    <row r="5718" ht="14.25" customHeight="1">
      <c r="A5718" s="13"/>
      <c r="B5718" s="13"/>
      <c r="C5718" s="13"/>
      <c r="D5718" s="13"/>
      <c r="E5718" s="13"/>
      <c r="F5718" s="13"/>
      <c r="G5718" s="13"/>
      <c r="H5718" s="13"/>
      <c r="I5718" s="13"/>
      <c r="J5718" s="13"/>
      <c r="K5718" s="15"/>
      <c r="L5718" s="15"/>
      <c r="M5718" s="16"/>
      <c r="N5718" s="16"/>
      <c r="O5718" s="17"/>
      <c r="P5718" s="17"/>
      <c r="Q5718" s="13"/>
      <c r="R5718" s="13"/>
      <c r="S5718" s="13"/>
      <c r="T5718" s="13"/>
      <c r="U5718" s="13"/>
      <c r="V5718" s="13"/>
      <c r="W5718" s="13"/>
      <c r="X5718" s="13"/>
      <c r="Y5718" s="13"/>
      <c r="Z5718" s="13"/>
      <c r="AA5718" s="13"/>
      <c r="AB5718" s="13"/>
      <c r="AC5718" s="13"/>
      <c r="AD5718" s="13"/>
      <c r="AE5718" s="13"/>
      <c r="AF5718" s="13"/>
      <c r="AG5718" s="13"/>
      <c r="AH5718" s="13"/>
      <c r="AI5718" s="13"/>
      <c r="AJ5718" s="13"/>
      <c r="AK5718" s="13"/>
      <c r="AL5718" s="13"/>
      <c r="AM5718" s="13"/>
      <c r="AN5718" s="13"/>
      <c r="AO5718" s="13"/>
      <c r="AP5718" s="13"/>
      <c r="AQ5718" s="13"/>
      <c r="AR5718" s="13"/>
      <c r="AS5718" s="13"/>
    </row>
    <row r="5719" ht="14.25" customHeight="1">
      <c r="A5719" s="13"/>
      <c r="B5719" s="13"/>
      <c r="C5719" s="13"/>
      <c r="D5719" s="13"/>
      <c r="E5719" s="13"/>
      <c r="F5719" s="13"/>
      <c r="G5719" s="13"/>
      <c r="H5719" s="13"/>
      <c r="I5719" s="13"/>
      <c r="J5719" s="13"/>
      <c r="K5719" s="15"/>
      <c r="L5719" s="15"/>
      <c r="M5719" s="16"/>
      <c r="N5719" s="16"/>
      <c r="O5719" s="17"/>
      <c r="P5719" s="17"/>
      <c r="Q5719" s="13"/>
      <c r="R5719" s="13"/>
      <c r="S5719" s="13"/>
      <c r="T5719" s="13"/>
      <c r="U5719" s="13"/>
      <c r="V5719" s="13"/>
      <c r="W5719" s="13"/>
      <c r="X5719" s="13"/>
      <c r="Y5719" s="13"/>
      <c r="Z5719" s="13"/>
      <c r="AA5719" s="13"/>
      <c r="AB5719" s="13"/>
      <c r="AC5719" s="13"/>
      <c r="AD5719" s="13"/>
      <c r="AE5719" s="13"/>
      <c r="AF5719" s="13"/>
      <c r="AG5719" s="13"/>
      <c r="AH5719" s="13"/>
      <c r="AI5719" s="13"/>
      <c r="AJ5719" s="13"/>
      <c r="AK5719" s="13"/>
      <c r="AL5719" s="13"/>
      <c r="AM5719" s="13"/>
      <c r="AN5719" s="13"/>
      <c r="AO5719" s="13"/>
      <c r="AP5719" s="13"/>
      <c r="AQ5719" s="13"/>
      <c r="AR5719" s="13"/>
      <c r="AS5719" s="13"/>
    </row>
    <row r="5720" ht="14.25" customHeight="1">
      <c r="A5720" s="13"/>
      <c r="B5720" s="13"/>
      <c r="C5720" s="13"/>
      <c r="D5720" s="13"/>
      <c r="E5720" s="13"/>
      <c r="F5720" s="13"/>
      <c r="G5720" s="13"/>
      <c r="H5720" s="13"/>
      <c r="I5720" s="13"/>
      <c r="J5720" s="13"/>
      <c r="K5720" s="15"/>
      <c r="L5720" s="15"/>
      <c r="M5720" s="16"/>
      <c r="N5720" s="16"/>
      <c r="O5720" s="17"/>
      <c r="P5720" s="17"/>
      <c r="Q5720" s="13"/>
      <c r="R5720" s="13"/>
      <c r="S5720" s="13"/>
      <c r="T5720" s="13"/>
      <c r="U5720" s="13"/>
      <c r="V5720" s="13"/>
      <c r="W5720" s="13"/>
      <c r="X5720" s="13"/>
      <c r="Y5720" s="13"/>
      <c r="Z5720" s="13"/>
      <c r="AA5720" s="13"/>
      <c r="AB5720" s="13"/>
      <c r="AC5720" s="13"/>
      <c r="AD5720" s="13"/>
      <c r="AE5720" s="13"/>
      <c r="AF5720" s="13"/>
      <c r="AG5720" s="13"/>
      <c r="AH5720" s="13"/>
      <c r="AI5720" s="13"/>
      <c r="AJ5720" s="13"/>
      <c r="AK5720" s="13"/>
      <c r="AL5720" s="13"/>
      <c r="AM5720" s="13"/>
      <c r="AN5720" s="13"/>
      <c r="AO5720" s="13"/>
      <c r="AP5720" s="13"/>
      <c r="AQ5720" s="13"/>
      <c r="AR5720" s="13"/>
      <c r="AS5720" s="13"/>
    </row>
    <row r="5721" ht="14.25" customHeight="1">
      <c r="A5721" s="13"/>
      <c r="B5721" s="13"/>
      <c r="C5721" s="13"/>
      <c r="D5721" s="13"/>
      <c r="E5721" s="13"/>
      <c r="F5721" s="13"/>
      <c r="G5721" s="13"/>
      <c r="H5721" s="13"/>
      <c r="I5721" s="13"/>
      <c r="J5721" s="13"/>
      <c r="K5721" s="15"/>
      <c r="L5721" s="15"/>
      <c r="M5721" s="16"/>
      <c r="N5721" s="16"/>
      <c r="O5721" s="17"/>
      <c r="P5721" s="17"/>
      <c r="Q5721" s="13"/>
      <c r="R5721" s="13"/>
      <c r="S5721" s="13"/>
      <c r="T5721" s="13"/>
      <c r="U5721" s="13"/>
      <c r="V5721" s="13"/>
      <c r="W5721" s="13"/>
      <c r="X5721" s="13"/>
      <c r="Y5721" s="13"/>
      <c r="Z5721" s="13"/>
      <c r="AA5721" s="13"/>
      <c r="AB5721" s="13"/>
      <c r="AC5721" s="13"/>
      <c r="AD5721" s="13"/>
      <c r="AE5721" s="13"/>
      <c r="AF5721" s="13"/>
      <c r="AG5721" s="13"/>
      <c r="AH5721" s="13"/>
      <c r="AI5721" s="13"/>
      <c r="AJ5721" s="13"/>
      <c r="AK5721" s="13"/>
      <c r="AL5721" s="13"/>
      <c r="AM5721" s="13"/>
      <c r="AN5721" s="13"/>
      <c r="AO5721" s="13"/>
      <c r="AP5721" s="13"/>
      <c r="AQ5721" s="13"/>
      <c r="AR5721" s="13"/>
      <c r="AS5721" s="13"/>
    </row>
    <row r="5722" ht="14.25" customHeight="1">
      <c r="A5722" s="13"/>
      <c r="B5722" s="13"/>
      <c r="C5722" s="13"/>
      <c r="D5722" s="13"/>
      <c r="E5722" s="13"/>
      <c r="F5722" s="13"/>
      <c r="G5722" s="13"/>
      <c r="H5722" s="13"/>
      <c r="I5722" s="13"/>
      <c r="J5722" s="13"/>
      <c r="K5722" s="15"/>
      <c r="L5722" s="15"/>
      <c r="M5722" s="16"/>
      <c r="N5722" s="16"/>
      <c r="O5722" s="17"/>
      <c r="P5722" s="17"/>
      <c r="Q5722" s="13"/>
      <c r="R5722" s="13"/>
      <c r="S5722" s="13"/>
      <c r="T5722" s="13"/>
      <c r="U5722" s="13"/>
      <c r="V5722" s="13"/>
      <c r="W5722" s="13"/>
      <c r="X5722" s="13"/>
      <c r="Y5722" s="13"/>
      <c r="Z5722" s="13"/>
      <c r="AA5722" s="13"/>
      <c r="AB5722" s="13"/>
      <c r="AC5722" s="13"/>
      <c r="AD5722" s="13"/>
      <c r="AE5722" s="13"/>
      <c r="AF5722" s="13"/>
      <c r="AG5722" s="13"/>
      <c r="AH5722" s="13"/>
      <c r="AI5722" s="13"/>
      <c r="AJ5722" s="13"/>
      <c r="AK5722" s="13"/>
      <c r="AL5722" s="13"/>
      <c r="AM5722" s="13"/>
      <c r="AN5722" s="13"/>
      <c r="AO5722" s="13"/>
      <c r="AP5722" s="13"/>
      <c r="AQ5722" s="13"/>
      <c r="AR5722" s="13"/>
      <c r="AS5722" s="13"/>
    </row>
    <row r="5723" ht="14.25" customHeight="1">
      <c r="A5723" s="13"/>
      <c r="B5723" s="13"/>
      <c r="C5723" s="13"/>
      <c r="D5723" s="13"/>
      <c r="E5723" s="13"/>
      <c r="F5723" s="13"/>
      <c r="G5723" s="13"/>
      <c r="H5723" s="13"/>
      <c r="I5723" s="13"/>
      <c r="J5723" s="13"/>
      <c r="K5723" s="15"/>
      <c r="L5723" s="15"/>
      <c r="M5723" s="16"/>
      <c r="N5723" s="16"/>
      <c r="O5723" s="17"/>
      <c r="P5723" s="17"/>
      <c r="Q5723" s="13"/>
      <c r="R5723" s="13"/>
      <c r="S5723" s="13"/>
      <c r="T5723" s="13"/>
      <c r="U5723" s="13"/>
      <c r="V5723" s="13"/>
      <c r="W5723" s="13"/>
      <c r="X5723" s="13"/>
      <c r="Y5723" s="13"/>
      <c r="Z5723" s="13"/>
      <c r="AA5723" s="13"/>
      <c r="AB5723" s="13"/>
      <c r="AC5723" s="13"/>
      <c r="AD5723" s="13"/>
      <c r="AE5723" s="13"/>
      <c r="AF5723" s="13"/>
      <c r="AG5723" s="13"/>
      <c r="AH5723" s="13"/>
      <c r="AI5723" s="13"/>
      <c r="AJ5723" s="13"/>
      <c r="AK5723" s="13"/>
      <c r="AL5723" s="13"/>
      <c r="AM5723" s="13"/>
      <c r="AN5723" s="13"/>
      <c r="AO5723" s="13"/>
      <c r="AP5723" s="13"/>
      <c r="AQ5723" s="13"/>
      <c r="AR5723" s="13"/>
      <c r="AS5723" s="13"/>
    </row>
    <row r="5724" ht="14.25" customHeight="1">
      <c r="A5724" s="13"/>
      <c r="B5724" s="13"/>
      <c r="C5724" s="13"/>
      <c r="D5724" s="13"/>
      <c r="E5724" s="13"/>
      <c r="F5724" s="13"/>
      <c r="G5724" s="13"/>
      <c r="H5724" s="13"/>
      <c r="I5724" s="13"/>
      <c r="J5724" s="13"/>
      <c r="K5724" s="15"/>
      <c r="L5724" s="15"/>
      <c r="M5724" s="16"/>
      <c r="N5724" s="16"/>
      <c r="O5724" s="17"/>
      <c r="P5724" s="17"/>
      <c r="Q5724" s="13"/>
      <c r="R5724" s="13"/>
      <c r="S5724" s="13"/>
      <c r="T5724" s="13"/>
      <c r="U5724" s="13"/>
      <c r="V5724" s="13"/>
      <c r="W5724" s="13"/>
      <c r="X5724" s="13"/>
      <c r="Y5724" s="13"/>
      <c r="Z5724" s="13"/>
      <c r="AA5724" s="13"/>
      <c r="AB5724" s="13"/>
      <c r="AC5724" s="13"/>
      <c r="AD5724" s="13"/>
      <c r="AE5724" s="13"/>
      <c r="AF5724" s="13"/>
      <c r="AG5724" s="13"/>
      <c r="AH5724" s="13"/>
      <c r="AI5724" s="13"/>
      <c r="AJ5724" s="13"/>
      <c r="AK5724" s="13"/>
      <c r="AL5724" s="13"/>
      <c r="AM5724" s="13"/>
      <c r="AN5724" s="13"/>
      <c r="AO5724" s="13"/>
      <c r="AP5724" s="13"/>
      <c r="AQ5724" s="13"/>
      <c r="AR5724" s="13"/>
      <c r="AS5724" s="13"/>
    </row>
    <row r="5725" ht="14.25" customHeight="1">
      <c r="A5725" s="13"/>
      <c r="B5725" s="13"/>
      <c r="C5725" s="13"/>
      <c r="D5725" s="13"/>
      <c r="E5725" s="13"/>
      <c r="F5725" s="13"/>
      <c r="G5725" s="13"/>
      <c r="H5725" s="13"/>
      <c r="I5725" s="13"/>
      <c r="J5725" s="13"/>
      <c r="K5725" s="15"/>
      <c r="L5725" s="15"/>
      <c r="M5725" s="16"/>
      <c r="N5725" s="16"/>
      <c r="O5725" s="17"/>
      <c r="P5725" s="17"/>
      <c r="Q5725" s="13"/>
      <c r="R5725" s="13"/>
      <c r="S5725" s="13"/>
      <c r="T5725" s="13"/>
      <c r="U5725" s="13"/>
      <c r="V5725" s="13"/>
      <c r="W5725" s="13"/>
      <c r="X5725" s="13"/>
      <c r="Y5725" s="13"/>
      <c r="Z5725" s="13"/>
      <c r="AA5725" s="13"/>
      <c r="AB5725" s="13"/>
      <c r="AC5725" s="13"/>
      <c r="AD5725" s="13"/>
      <c r="AE5725" s="13"/>
      <c r="AF5725" s="13"/>
      <c r="AG5725" s="13"/>
      <c r="AH5725" s="13"/>
      <c r="AI5725" s="13"/>
      <c r="AJ5725" s="13"/>
      <c r="AK5725" s="13"/>
      <c r="AL5725" s="13"/>
      <c r="AM5725" s="13"/>
      <c r="AN5725" s="13"/>
      <c r="AO5725" s="13"/>
      <c r="AP5725" s="13"/>
      <c r="AQ5725" s="13"/>
      <c r="AR5725" s="13"/>
      <c r="AS5725" s="13"/>
    </row>
    <row r="5726" ht="14.25" customHeight="1">
      <c r="A5726" s="13"/>
      <c r="B5726" s="13"/>
      <c r="C5726" s="13"/>
      <c r="D5726" s="13"/>
      <c r="E5726" s="13"/>
      <c r="F5726" s="13"/>
      <c r="G5726" s="13"/>
      <c r="H5726" s="13"/>
      <c r="I5726" s="13"/>
      <c r="J5726" s="13"/>
      <c r="K5726" s="15"/>
      <c r="L5726" s="15"/>
      <c r="M5726" s="16"/>
      <c r="N5726" s="16"/>
      <c r="O5726" s="17"/>
      <c r="P5726" s="17"/>
      <c r="Q5726" s="13"/>
      <c r="R5726" s="13"/>
      <c r="S5726" s="13"/>
      <c r="T5726" s="13"/>
      <c r="U5726" s="13"/>
      <c r="V5726" s="13"/>
      <c r="W5726" s="13"/>
      <c r="X5726" s="13"/>
      <c r="Y5726" s="13"/>
      <c r="Z5726" s="13"/>
      <c r="AA5726" s="13"/>
      <c r="AB5726" s="13"/>
      <c r="AC5726" s="13"/>
      <c r="AD5726" s="13"/>
      <c r="AE5726" s="13"/>
      <c r="AF5726" s="13"/>
      <c r="AG5726" s="13"/>
      <c r="AH5726" s="13"/>
      <c r="AI5726" s="13"/>
      <c r="AJ5726" s="13"/>
      <c r="AK5726" s="13"/>
      <c r="AL5726" s="13"/>
      <c r="AM5726" s="13"/>
      <c r="AN5726" s="13"/>
      <c r="AO5726" s="13"/>
      <c r="AP5726" s="13"/>
      <c r="AQ5726" s="13"/>
      <c r="AR5726" s="13"/>
      <c r="AS5726" s="13"/>
    </row>
    <row r="5727" ht="14.25" customHeight="1">
      <c r="A5727" s="13"/>
      <c r="B5727" s="13"/>
      <c r="C5727" s="13"/>
      <c r="D5727" s="13"/>
      <c r="E5727" s="13"/>
      <c r="F5727" s="13"/>
      <c r="G5727" s="13"/>
      <c r="H5727" s="13"/>
      <c r="I5727" s="13"/>
      <c r="J5727" s="13"/>
      <c r="K5727" s="15"/>
      <c r="L5727" s="15"/>
      <c r="M5727" s="16"/>
      <c r="N5727" s="16"/>
      <c r="O5727" s="17"/>
      <c r="P5727" s="17"/>
      <c r="Q5727" s="13"/>
      <c r="R5727" s="13"/>
      <c r="S5727" s="13"/>
      <c r="T5727" s="13"/>
      <c r="U5727" s="13"/>
      <c r="V5727" s="13"/>
      <c r="W5727" s="13"/>
      <c r="X5727" s="13"/>
      <c r="Y5727" s="13"/>
      <c r="Z5727" s="13"/>
      <c r="AA5727" s="13"/>
      <c r="AB5727" s="13"/>
      <c r="AC5727" s="13"/>
      <c r="AD5727" s="13"/>
      <c r="AE5727" s="13"/>
      <c r="AF5727" s="13"/>
      <c r="AG5727" s="13"/>
      <c r="AH5727" s="13"/>
      <c r="AI5727" s="13"/>
      <c r="AJ5727" s="13"/>
      <c r="AK5727" s="13"/>
      <c r="AL5727" s="13"/>
      <c r="AM5727" s="13"/>
      <c r="AN5727" s="13"/>
      <c r="AO5727" s="13"/>
      <c r="AP5727" s="13"/>
      <c r="AQ5727" s="13"/>
      <c r="AR5727" s="13"/>
      <c r="AS5727" s="13"/>
    </row>
    <row r="5728" ht="14.25" customHeight="1">
      <c r="A5728" s="13"/>
      <c r="B5728" s="13"/>
      <c r="C5728" s="13"/>
      <c r="D5728" s="13"/>
      <c r="E5728" s="13"/>
      <c r="F5728" s="13"/>
      <c r="G5728" s="13"/>
      <c r="H5728" s="13"/>
      <c r="I5728" s="13"/>
      <c r="J5728" s="13"/>
      <c r="K5728" s="15"/>
      <c r="L5728" s="15"/>
      <c r="M5728" s="16"/>
      <c r="N5728" s="16"/>
      <c r="O5728" s="17"/>
      <c r="P5728" s="17"/>
      <c r="Q5728" s="13"/>
      <c r="R5728" s="13"/>
      <c r="S5728" s="13"/>
      <c r="T5728" s="13"/>
      <c r="U5728" s="13"/>
      <c r="V5728" s="13"/>
      <c r="W5728" s="13"/>
      <c r="X5728" s="13"/>
      <c r="Y5728" s="13"/>
      <c r="Z5728" s="13"/>
      <c r="AA5728" s="13"/>
      <c r="AB5728" s="13"/>
      <c r="AC5728" s="13"/>
      <c r="AD5728" s="13"/>
      <c r="AE5728" s="13"/>
      <c r="AF5728" s="13"/>
      <c r="AG5728" s="13"/>
      <c r="AH5728" s="13"/>
      <c r="AI5728" s="13"/>
      <c r="AJ5728" s="13"/>
      <c r="AK5728" s="13"/>
      <c r="AL5728" s="13"/>
      <c r="AM5728" s="13"/>
      <c r="AN5728" s="13"/>
      <c r="AO5728" s="13"/>
      <c r="AP5728" s="13"/>
      <c r="AQ5728" s="13"/>
      <c r="AR5728" s="13"/>
      <c r="AS5728" s="13"/>
    </row>
    <row r="5729" ht="14.25" customHeight="1">
      <c r="A5729" s="13"/>
      <c r="B5729" s="13"/>
      <c r="C5729" s="13"/>
      <c r="D5729" s="13"/>
      <c r="E5729" s="13"/>
      <c r="F5729" s="13"/>
      <c r="G5729" s="13"/>
      <c r="H5729" s="13"/>
      <c r="I5729" s="13"/>
      <c r="J5729" s="13"/>
      <c r="K5729" s="15"/>
      <c r="L5729" s="15"/>
      <c r="M5729" s="16"/>
      <c r="N5729" s="16"/>
      <c r="O5729" s="17"/>
      <c r="P5729" s="17"/>
      <c r="Q5729" s="13"/>
      <c r="R5729" s="13"/>
      <c r="S5729" s="13"/>
      <c r="T5729" s="13"/>
      <c r="U5729" s="13"/>
      <c r="V5729" s="13"/>
      <c r="W5729" s="13"/>
      <c r="X5729" s="13"/>
      <c r="Y5729" s="13"/>
      <c r="Z5729" s="13"/>
      <c r="AA5729" s="13"/>
      <c r="AB5729" s="13"/>
      <c r="AC5729" s="13"/>
      <c r="AD5729" s="13"/>
      <c r="AE5729" s="13"/>
      <c r="AF5729" s="13"/>
      <c r="AG5729" s="13"/>
      <c r="AH5729" s="13"/>
      <c r="AI5729" s="13"/>
      <c r="AJ5729" s="13"/>
      <c r="AK5729" s="13"/>
      <c r="AL5729" s="13"/>
      <c r="AM5729" s="13"/>
      <c r="AN5729" s="13"/>
      <c r="AO5729" s="13"/>
      <c r="AP5729" s="13"/>
      <c r="AQ5729" s="13"/>
      <c r="AR5729" s="13"/>
      <c r="AS5729" s="13"/>
    </row>
    <row r="5730" ht="14.25" customHeight="1">
      <c r="A5730" s="13"/>
      <c r="B5730" s="13"/>
      <c r="C5730" s="13"/>
      <c r="D5730" s="13"/>
      <c r="E5730" s="13"/>
      <c r="F5730" s="13"/>
      <c r="G5730" s="13"/>
      <c r="H5730" s="13"/>
      <c r="I5730" s="13"/>
      <c r="J5730" s="13"/>
      <c r="K5730" s="15"/>
      <c r="L5730" s="15"/>
      <c r="M5730" s="16"/>
      <c r="N5730" s="16"/>
      <c r="O5730" s="17"/>
      <c r="P5730" s="17"/>
      <c r="Q5730" s="13"/>
      <c r="R5730" s="13"/>
      <c r="S5730" s="13"/>
      <c r="T5730" s="13"/>
      <c r="U5730" s="13"/>
      <c r="V5730" s="13"/>
      <c r="W5730" s="13"/>
      <c r="X5730" s="13"/>
      <c r="Y5730" s="13"/>
      <c r="Z5730" s="13"/>
      <c r="AA5730" s="13"/>
      <c r="AB5730" s="13"/>
      <c r="AC5730" s="13"/>
      <c r="AD5730" s="13"/>
      <c r="AE5730" s="13"/>
      <c r="AF5730" s="13"/>
      <c r="AG5730" s="13"/>
      <c r="AH5730" s="13"/>
      <c r="AI5730" s="13"/>
      <c r="AJ5730" s="13"/>
      <c r="AK5730" s="13"/>
      <c r="AL5730" s="13"/>
      <c r="AM5730" s="13"/>
      <c r="AN5730" s="13"/>
      <c r="AO5730" s="13"/>
      <c r="AP5730" s="13"/>
      <c r="AQ5730" s="13"/>
      <c r="AR5730" s="13"/>
      <c r="AS5730" s="13"/>
    </row>
    <row r="5731" ht="14.25" customHeight="1">
      <c r="A5731" s="13"/>
      <c r="B5731" s="13"/>
      <c r="C5731" s="13"/>
      <c r="D5731" s="13"/>
      <c r="E5731" s="13"/>
      <c r="F5731" s="13"/>
      <c r="G5731" s="13"/>
      <c r="H5731" s="13"/>
      <c r="I5731" s="13"/>
      <c r="J5731" s="13"/>
      <c r="K5731" s="15"/>
      <c r="L5731" s="15"/>
      <c r="M5731" s="16"/>
      <c r="N5731" s="16"/>
      <c r="O5731" s="17"/>
      <c r="P5731" s="17"/>
      <c r="Q5731" s="13"/>
      <c r="R5731" s="13"/>
      <c r="S5731" s="13"/>
      <c r="T5731" s="13"/>
      <c r="U5731" s="13"/>
      <c r="V5731" s="13"/>
      <c r="W5731" s="13"/>
      <c r="X5731" s="13"/>
      <c r="Y5731" s="13"/>
      <c r="Z5731" s="13"/>
      <c r="AA5731" s="13"/>
      <c r="AB5731" s="13"/>
      <c r="AC5731" s="13"/>
      <c r="AD5731" s="13"/>
      <c r="AE5731" s="13"/>
      <c r="AF5731" s="13"/>
      <c r="AG5731" s="13"/>
      <c r="AH5731" s="13"/>
      <c r="AI5731" s="13"/>
      <c r="AJ5731" s="13"/>
      <c r="AK5731" s="13"/>
      <c r="AL5731" s="13"/>
      <c r="AM5731" s="13"/>
      <c r="AN5731" s="13"/>
      <c r="AO5731" s="13"/>
      <c r="AP5731" s="13"/>
      <c r="AQ5731" s="13"/>
      <c r="AR5731" s="13"/>
      <c r="AS5731" s="13"/>
    </row>
    <row r="5732" ht="14.25" customHeight="1">
      <c r="A5732" s="13"/>
      <c r="B5732" s="13"/>
      <c r="C5732" s="13"/>
      <c r="D5732" s="13"/>
      <c r="E5732" s="13"/>
      <c r="F5732" s="13"/>
      <c r="G5732" s="13"/>
      <c r="H5732" s="13"/>
      <c r="I5732" s="13"/>
      <c r="J5732" s="13"/>
      <c r="K5732" s="15"/>
      <c r="L5732" s="15"/>
      <c r="M5732" s="16"/>
      <c r="N5732" s="16"/>
      <c r="O5732" s="17"/>
      <c r="P5732" s="17"/>
      <c r="Q5732" s="13"/>
      <c r="R5732" s="13"/>
      <c r="S5732" s="13"/>
      <c r="T5732" s="13"/>
      <c r="U5732" s="13"/>
      <c r="V5732" s="13"/>
      <c r="W5732" s="13"/>
      <c r="X5732" s="13"/>
      <c r="Y5732" s="13"/>
      <c r="Z5732" s="13"/>
      <c r="AA5732" s="13"/>
      <c r="AB5732" s="13"/>
      <c r="AC5732" s="13"/>
      <c r="AD5732" s="13"/>
      <c r="AE5732" s="13"/>
      <c r="AF5732" s="13"/>
      <c r="AG5732" s="13"/>
      <c r="AH5732" s="13"/>
      <c r="AI5732" s="13"/>
      <c r="AJ5732" s="13"/>
      <c r="AK5732" s="13"/>
      <c r="AL5732" s="13"/>
      <c r="AM5732" s="13"/>
      <c r="AN5732" s="13"/>
      <c r="AO5732" s="13"/>
      <c r="AP5732" s="13"/>
      <c r="AQ5732" s="13"/>
      <c r="AR5732" s="13"/>
      <c r="AS5732" s="13"/>
    </row>
    <row r="5733" ht="14.25" customHeight="1">
      <c r="A5733" s="13"/>
      <c r="B5733" s="13"/>
      <c r="C5733" s="13"/>
      <c r="D5733" s="13"/>
      <c r="E5733" s="13"/>
      <c r="F5733" s="13"/>
      <c r="G5733" s="13"/>
      <c r="H5733" s="13"/>
      <c r="I5733" s="13"/>
      <c r="J5733" s="13"/>
      <c r="K5733" s="15"/>
      <c r="L5733" s="15"/>
      <c r="M5733" s="16"/>
      <c r="N5733" s="16"/>
      <c r="O5733" s="17"/>
      <c r="P5733" s="17"/>
      <c r="Q5733" s="13"/>
      <c r="R5733" s="13"/>
      <c r="S5733" s="13"/>
      <c r="T5733" s="13"/>
      <c r="U5733" s="13"/>
      <c r="V5733" s="13"/>
      <c r="W5733" s="13"/>
      <c r="X5733" s="13"/>
      <c r="Y5733" s="13"/>
      <c r="Z5733" s="13"/>
      <c r="AA5733" s="13"/>
      <c r="AB5733" s="13"/>
      <c r="AC5733" s="13"/>
      <c r="AD5733" s="13"/>
      <c r="AE5733" s="13"/>
      <c r="AF5733" s="13"/>
      <c r="AG5733" s="13"/>
      <c r="AH5733" s="13"/>
      <c r="AI5733" s="13"/>
      <c r="AJ5733" s="13"/>
      <c r="AK5733" s="13"/>
      <c r="AL5733" s="13"/>
      <c r="AM5733" s="13"/>
      <c r="AN5733" s="13"/>
      <c r="AO5733" s="13"/>
      <c r="AP5733" s="13"/>
      <c r="AQ5733" s="13"/>
      <c r="AR5733" s="13"/>
      <c r="AS5733" s="13"/>
    </row>
    <row r="5734" ht="14.25" customHeight="1">
      <c r="A5734" s="13"/>
      <c r="B5734" s="13"/>
      <c r="C5734" s="13"/>
      <c r="D5734" s="13"/>
      <c r="E5734" s="13"/>
      <c r="F5734" s="13"/>
      <c r="G5734" s="13"/>
      <c r="H5734" s="13"/>
      <c r="I5734" s="13"/>
      <c r="J5734" s="13"/>
      <c r="K5734" s="15"/>
      <c r="L5734" s="15"/>
      <c r="M5734" s="16"/>
      <c r="N5734" s="16"/>
      <c r="O5734" s="17"/>
      <c r="P5734" s="17"/>
      <c r="Q5734" s="13"/>
      <c r="R5734" s="13"/>
      <c r="S5734" s="13"/>
      <c r="T5734" s="13"/>
      <c r="U5734" s="13"/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F5734" s="13"/>
      <c r="AG5734" s="13"/>
      <c r="AH5734" s="13"/>
      <c r="AI5734" s="13"/>
      <c r="AJ5734" s="13"/>
      <c r="AK5734" s="13"/>
      <c r="AL5734" s="13"/>
      <c r="AM5734" s="13"/>
      <c r="AN5734" s="13"/>
      <c r="AO5734" s="13"/>
      <c r="AP5734" s="13"/>
      <c r="AQ5734" s="13"/>
      <c r="AR5734" s="13"/>
      <c r="AS5734" s="13"/>
    </row>
    <row r="5735" ht="14.25" customHeight="1">
      <c r="A5735" s="13"/>
      <c r="B5735" s="13"/>
      <c r="C5735" s="13"/>
      <c r="D5735" s="13"/>
      <c r="E5735" s="13"/>
      <c r="F5735" s="13"/>
      <c r="G5735" s="13"/>
      <c r="H5735" s="13"/>
      <c r="I5735" s="13"/>
      <c r="J5735" s="13"/>
      <c r="K5735" s="15"/>
      <c r="L5735" s="15"/>
      <c r="M5735" s="16"/>
      <c r="N5735" s="16"/>
      <c r="O5735" s="17"/>
      <c r="P5735" s="17"/>
      <c r="Q5735" s="13"/>
      <c r="R5735" s="13"/>
      <c r="S5735" s="13"/>
      <c r="T5735" s="13"/>
      <c r="U5735" s="13"/>
      <c r="V5735" s="13"/>
      <c r="W5735" s="13"/>
      <c r="X5735" s="13"/>
      <c r="Y5735" s="13"/>
      <c r="Z5735" s="13"/>
      <c r="AA5735" s="13"/>
      <c r="AB5735" s="13"/>
      <c r="AC5735" s="13"/>
      <c r="AD5735" s="13"/>
      <c r="AE5735" s="13"/>
      <c r="AF5735" s="13"/>
      <c r="AG5735" s="13"/>
      <c r="AH5735" s="13"/>
      <c r="AI5735" s="13"/>
      <c r="AJ5735" s="13"/>
      <c r="AK5735" s="13"/>
      <c r="AL5735" s="13"/>
      <c r="AM5735" s="13"/>
      <c r="AN5735" s="13"/>
      <c r="AO5735" s="13"/>
      <c r="AP5735" s="13"/>
      <c r="AQ5735" s="13"/>
      <c r="AR5735" s="13"/>
      <c r="AS5735" s="13"/>
    </row>
    <row r="5736" ht="14.25" customHeight="1">
      <c r="A5736" s="13"/>
      <c r="B5736" s="13"/>
      <c r="C5736" s="13"/>
      <c r="D5736" s="13"/>
      <c r="E5736" s="13"/>
      <c r="F5736" s="13"/>
      <c r="G5736" s="13"/>
      <c r="H5736" s="13"/>
      <c r="I5736" s="13"/>
      <c r="J5736" s="13"/>
      <c r="K5736" s="15"/>
      <c r="L5736" s="15"/>
      <c r="M5736" s="16"/>
      <c r="N5736" s="16"/>
      <c r="O5736" s="17"/>
      <c r="P5736" s="17"/>
      <c r="Q5736" s="13"/>
      <c r="R5736" s="13"/>
      <c r="S5736" s="13"/>
      <c r="T5736" s="13"/>
      <c r="U5736" s="13"/>
      <c r="V5736" s="13"/>
      <c r="W5736" s="13"/>
      <c r="X5736" s="13"/>
      <c r="Y5736" s="13"/>
      <c r="Z5736" s="13"/>
      <c r="AA5736" s="13"/>
      <c r="AB5736" s="13"/>
      <c r="AC5736" s="13"/>
      <c r="AD5736" s="13"/>
      <c r="AE5736" s="13"/>
      <c r="AF5736" s="13"/>
      <c r="AG5736" s="13"/>
      <c r="AH5736" s="13"/>
      <c r="AI5736" s="13"/>
      <c r="AJ5736" s="13"/>
      <c r="AK5736" s="13"/>
      <c r="AL5736" s="13"/>
      <c r="AM5736" s="13"/>
      <c r="AN5736" s="13"/>
      <c r="AO5736" s="13"/>
      <c r="AP5736" s="13"/>
      <c r="AQ5736" s="13"/>
      <c r="AR5736" s="13"/>
      <c r="AS5736" s="13"/>
    </row>
    <row r="5737" ht="14.25" customHeight="1">
      <c r="A5737" s="13"/>
      <c r="B5737" s="13"/>
      <c r="C5737" s="13"/>
      <c r="D5737" s="13"/>
      <c r="E5737" s="13"/>
      <c r="F5737" s="13"/>
      <c r="G5737" s="13"/>
      <c r="H5737" s="13"/>
      <c r="I5737" s="13"/>
      <c r="J5737" s="13"/>
      <c r="K5737" s="15"/>
      <c r="L5737" s="15"/>
      <c r="M5737" s="16"/>
      <c r="N5737" s="16"/>
      <c r="O5737" s="17"/>
      <c r="P5737" s="17"/>
      <c r="Q5737" s="13"/>
      <c r="R5737" s="13"/>
      <c r="S5737" s="13"/>
      <c r="T5737" s="13"/>
      <c r="U5737" s="13"/>
      <c r="V5737" s="13"/>
      <c r="W5737" s="13"/>
      <c r="X5737" s="13"/>
      <c r="Y5737" s="13"/>
      <c r="Z5737" s="13"/>
      <c r="AA5737" s="13"/>
      <c r="AB5737" s="13"/>
      <c r="AC5737" s="13"/>
      <c r="AD5737" s="13"/>
      <c r="AE5737" s="13"/>
      <c r="AF5737" s="13"/>
      <c r="AG5737" s="13"/>
      <c r="AH5737" s="13"/>
      <c r="AI5737" s="13"/>
      <c r="AJ5737" s="13"/>
      <c r="AK5737" s="13"/>
      <c r="AL5737" s="13"/>
      <c r="AM5737" s="13"/>
      <c r="AN5737" s="13"/>
      <c r="AO5737" s="13"/>
      <c r="AP5737" s="13"/>
      <c r="AQ5737" s="13"/>
      <c r="AR5737" s="13"/>
      <c r="AS5737" s="13"/>
    </row>
    <row r="5738" ht="14.25" customHeight="1">
      <c r="A5738" s="13"/>
      <c r="B5738" s="13"/>
      <c r="C5738" s="13"/>
      <c r="D5738" s="13"/>
      <c r="E5738" s="13"/>
      <c r="F5738" s="13"/>
      <c r="G5738" s="13"/>
      <c r="H5738" s="13"/>
      <c r="I5738" s="13"/>
      <c r="J5738" s="13"/>
      <c r="K5738" s="15"/>
      <c r="L5738" s="15"/>
      <c r="M5738" s="16"/>
      <c r="N5738" s="16"/>
      <c r="O5738" s="17"/>
      <c r="P5738" s="17"/>
      <c r="Q5738" s="13"/>
      <c r="R5738" s="13"/>
      <c r="S5738" s="13"/>
      <c r="T5738" s="13"/>
      <c r="U5738" s="13"/>
      <c r="V5738" s="13"/>
      <c r="W5738" s="13"/>
      <c r="X5738" s="13"/>
      <c r="Y5738" s="13"/>
      <c r="Z5738" s="13"/>
      <c r="AA5738" s="13"/>
      <c r="AB5738" s="13"/>
      <c r="AC5738" s="13"/>
      <c r="AD5738" s="13"/>
      <c r="AE5738" s="13"/>
      <c r="AF5738" s="13"/>
      <c r="AG5738" s="13"/>
      <c r="AH5738" s="13"/>
      <c r="AI5738" s="13"/>
      <c r="AJ5738" s="13"/>
      <c r="AK5738" s="13"/>
      <c r="AL5738" s="13"/>
      <c r="AM5738" s="13"/>
      <c r="AN5738" s="13"/>
      <c r="AO5738" s="13"/>
      <c r="AP5738" s="13"/>
      <c r="AQ5738" s="13"/>
      <c r="AR5738" s="13"/>
      <c r="AS5738" s="13"/>
    </row>
    <row r="5739" ht="14.25" customHeight="1">
      <c r="A5739" s="13"/>
      <c r="B5739" s="13"/>
      <c r="C5739" s="13"/>
      <c r="D5739" s="13"/>
      <c r="E5739" s="13"/>
      <c r="F5739" s="13"/>
      <c r="G5739" s="13"/>
      <c r="H5739" s="13"/>
      <c r="I5739" s="13"/>
      <c r="J5739" s="13"/>
      <c r="K5739" s="15"/>
      <c r="L5739" s="15"/>
      <c r="M5739" s="16"/>
      <c r="N5739" s="16"/>
      <c r="O5739" s="17"/>
      <c r="P5739" s="17"/>
      <c r="Q5739" s="13"/>
      <c r="R5739" s="13"/>
      <c r="S5739" s="13"/>
      <c r="T5739" s="13"/>
      <c r="U5739" s="13"/>
      <c r="V5739" s="13"/>
      <c r="W5739" s="13"/>
      <c r="X5739" s="13"/>
      <c r="Y5739" s="13"/>
      <c r="Z5739" s="13"/>
      <c r="AA5739" s="13"/>
      <c r="AB5739" s="13"/>
      <c r="AC5739" s="13"/>
      <c r="AD5739" s="13"/>
      <c r="AE5739" s="13"/>
      <c r="AF5739" s="13"/>
      <c r="AG5739" s="13"/>
      <c r="AH5739" s="13"/>
      <c r="AI5739" s="13"/>
      <c r="AJ5739" s="13"/>
      <c r="AK5739" s="13"/>
      <c r="AL5739" s="13"/>
      <c r="AM5739" s="13"/>
      <c r="AN5739" s="13"/>
      <c r="AO5739" s="13"/>
      <c r="AP5739" s="13"/>
      <c r="AQ5739" s="13"/>
      <c r="AR5739" s="13"/>
      <c r="AS5739" s="13"/>
    </row>
    <row r="5740" ht="14.25" customHeight="1">
      <c r="A5740" s="13"/>
      <c r="B5740" s="13"/>
      <c r="C5740" s="13"/>
      <c r="D5740" s="13"/>
      <c r="E5740" s="13"/>
      <c r="F5740" s="13"/>
      <c r="G5740" s="13"/>
      <c r="H5740" s="13"/>
      <c r="I5740" s="13"/>
      <c r="J5740" s="13"/>
      <c r="K5740" s="15"/>
      <c r="L5740" s="15"/>
      <c r="M5740" s="16"/>
      <c r="N5740" s="16"/>
      <c r="O5740" s="17"/>
      <c r="P5740" s="17"/>
      <c r="Q5740" s="13"/>
      <c r="R5740" s="13"/>
      <c r="S5740" s="13"/>
      <c r="T5740" s="13"/>
      <c r="U5740" s="13"/>
      <c r="V5740" s="13"/>
      <c r="W5740" s="13"/>
      <c r="X5740" s="13"/>
      <c r="Y5740" s="13"/>
      <c r="Z5740" s="13"/>
      <c r="AA5740" s="13"/>
      <c r="AB5740" s="13"/>
      <c r="AC5740" s="13"/>
      <c r="AD5740" s="13"/>
      <c r="AE5740" s="13"/>
      <c r="AF5740" s="13"/>
      <c r="AG5740" s="13"/>
      <c r="AH5740" s="13"/>
      <c r="AI5740" s="13"/>
      <c r="AJ5740" s="13"/>
      <c r="AK5740" s="13"/>
      <c r="AL5740" s="13"/>
      <c r="AM5740" s="13"/>
      <c r="AN5740" s="13"/>
      <c r="AO5740" s="13"/>
      <c r="AP5740" s="13"/>
      <c r="AQ5740" s="13"/>
      <c r="AR5740" s="13"/>
      <c r="AS5740" s="13"/>
    </row>
    <row r="5741" ht="14.25" customHeight="1">
      <c r="A5741" s="13"/>
      <c r="B5741" s="13"/>
      <c r="C5741" s="13"/>
      <c r="D5741" s="13"/>
      <c r="E5741" s="13"/>
      <c r="F5741" s="13"/>
      <c r="G5741" s="13"/>
      <c r="H5741" s="13"/>
      <c r="I5741" s="13"/>
      <c r="J5741" s="13"/>
      <c r="K5741" s="15"/>
      <c r="L5741" s="15"/>
      <c r="M5741" s="16"/>
      <c r="N5741" s="16"/>
      <c r="O5741" s="17"/>
      <c r="P5741" s="17"/>
      <c r="Q5741" s="13"/>
      <c r="R5741" s="13"/>
      <c r="S5741" s="13"/>
      <c r="T5741" s="13"/>
      <c r="U5741" s="13"/>
      <c r="V5741" s="13"/>
      <c r="W5741" s="13"/>
      <c r="X5741" s="13"/>
      <c r="Y5741" s="13"/>
      <c r="Z5741" s="13"/>
      <c r="AA5741" s="13"/>
      <c r="AB5741" s="13"/>
      <c r="AC5741" s="13"/>
      <c r="AD5741" s="13"/>
      <c r="AE5741" s="13"/>
      <c r="AF5741" s="13"/>
      <c r="AG5741" s="13"/>
      <c r="AH5741" s="13"/>
      <c r="AI5741" s="13"/>
      <c r="AJ5741" s="13"/>
      <c r="AK5741" s="13"/>
      <c r="AL5741" s="13"/>
      <c r="AM5741" s="13"/>
      <c r="AN5741" s="13"/>
      <c r="AO5741" s="13"/>
      <c r="AP5741" s="13"/>
      <c r="AQ5741" s="13"/>
      <c r="AR5741" s="13"/>
      <c r="AS5741" s="13"/>
    </row>
    <row r="5742" ht="14.25" customHeight="1">
      <c r="A5742" s="13"/>
      <c r="B5742" s="13"/>
      <c r="C5742" s="13"/>
      <c r="D5742" s="13"/>
      <c r="E5742" s="13"/>
      <c r="F5742" s="13"/>
      <c r="G5742" s="13"/>
      <c r="H5742" s="13"/>
      <c r="I5742" s="13"/>
      <c r="J5742" s="13"/>
      <c r="K5742" s="15"/>
      <c r="L5742" s="15"/>
      <c r="M5742" s="16"/>
      <c r="N5742" s="16"/>
      <c r="O5742" s="17"/>
      <c r="P5742" s="17"/>
      <c r="Q5742" s="13"/>
      <c r="R5742" s="13"/>
      <c r="S5742" s="13"/>
      <c r="T5742" s="13"/>
      <c r="U5742" s="13"/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F5742" s="13"/>
      <c r="AG5742" s="13"/>
      <c r="AH5742" s="13"/>
      <c r="AI5742" s="13"/>
      <c r="AJ5742" s="13"/>
      <c r="AK5742" s="13"/>
      <c r="AL5742" s="13"/>
      <c r="AM5742" s="13"/>
      <c r="AN5742" s="13"/>
      <c r="AO5742" s="13"/>
      <c r="AP5742" s="13"/>
      <c r="AQ5742" s="13"/>
      <c r="AR5742" s="13"/>
      <c r="AS5742" s="13"/>
    </row>
    <row r="5743" ht="14.25" customHeight="1">
      <c r="A5743" s="13"/>
      <c r="B5743" s="13"/>
      <c r="C5743" s="13"/>
      <c r="D5743" s="13"/>
      <c r="E5743" s="13"/>
      <c r="F5743" s="13"/>
      <c r="G5743" s="13"/>
      <c r="H5743" s="13"/>
      <c r="I5743" s="13"/>
      <c r="J5743" s="13"/>
      <c r="K5743" s="15"/>
      <c r="L5743" s="15"/>
      <c r="M5743" s="16"/>
      <c r="N5743" s="16"/>
      <c r="O5743" s="17"/>
      <c r="P5743" s="17"/>
      <c r="Q5743" s="13"/>
      <c r="R5743" s="13"/>
      <c r="S5743" s="13"/>
      <c r="T5743" s="13"/>
      <c r="U5743" s="13"/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F5743" s="13"/>
      <c r="AG5743" s="13"/>
      <c r="AH5743" s="13"/>
      <c r="AI5743" s="13"/>
      <c r="AJ5743" s="13"/>
      <c r="AK5743" s="13"/>
      <c r="AL5743" s="13"/>
      <c r="AM5743" s="13"/>
      <c r="AN5743" s="13"/>
      <c r="AO5743" s="13"/>
      <c r="AP5743" s="13"/>
      <c r="AQ5743" s="13"/>
      <c r="AR5743" s="13"/>
      <c r="AS5743" s="13"/>
    </row>
    <row r="5744" ht="14.25" customHeight="1">
      <c r="A5744" s="13"/>
      <c r="B5744" s="13"/>
      <c r="C5744" s="13"/>
      <c r="D5744" s="13"/>
      <c r="E5744" s="13"/>
      <c r="F5744" s="13"/>
      <c r="G5744" s="13"/>
      <c r="H5744" s="13"/>
      <c r="I5744" s="13"/>
      <c r="J5744" s="13"/>
      <c r="K5744" s="15"/>
      <c r="L5744" s="15"/>
      <c r="M5744" s="16"/>
      <c r="N5744" s="16"/>
      <c r="O5744" s="17"/>
      <c r="P5744" s="17"/>
      <c r="Q5744" s="13"/>
      <c r="R5744" s="13"/>
      <c r="S5744" s="13"/>
      <c r="T5744" s="13"/>
      <c r="U5744" s="13"/>
      <c r="V5744" s="13"/>
      <c r="W5744" s="13"/>
      <c r="X5744" s="13"/>
      <c r="Y5744" s="13"/>
      <c r="Z5744" s="13"/>
      <c r="AA5744" s="13"/>
      <c r="AB5744" s="13"/>
      <c r="AC5744" s="13"/>
      <c r="AD5744" s="13"/>
      <c r="AE5744" s="13"/>
      <c r="AF5744" s="13"/>
      <c r="AG5744" s="13"/>
      <c r="AH5744" s="13"/>
      <c r="AI5744" s="13"/>
      <c r="AJ5744" s="13"/>
      <c r="AK5744" s="13"/>
      <c r="AL5744" s="13"/>
      <c r="AM5744" s="13"/>
      <c r="AN5744" s="13"/>
      <c r="AO5744" s="13"/>
      <c r="AP5744" s="13"/>
      <c r="AQ5744" s="13"/>
      <c r="AR5744" s="13"/>
      <c r="AS5744" s="13"/>
    </row>
    <row r="5745" ht="14.25" customHeight="1">
      <c r="A5745" s="13"/>
      <c r="B5745" s="13"/>
      <c r="C5745" s="13"/>
      <c r="D5745" s="13"/>
      <c r="E5745" s="13"/>
      <c r="F5745" s="13"/>
      <c r="G5745" s="13"/>
      <c r="H5745" s="13"/>
      <c r="I5745" s="13"/>
      <c r="J5745" s="13"/>
      <c r="K5745" s="15"/>
      <c r="L5745" s="15"/>
      <c r="M5745" s="16"/>
      <c r="N5745" s="16"/>
      <c r="O5745" s="17"/>
      <c r="P5745" s="17"/>
      <c r="Q5745" s="13"/>
      <c r="R5745" s="13"/>
      <c r="S5745" s="13"/>
      <c r="T5745" s="13"/>
      <c r="U5745" s="13"/>
      <c r="V5745" s="13"/>
      <c r="W5745" s="13"/>
      <c r="X5745" s="13"/>
      <c r="Y5745" s="13"/>
      <c r="Z5745" s="13"/>
      <c r="AA5745" s="13"/>
      <c r="AB5745" s="13"/>
      <c r="AC5745" s="13"/>
      <c r="AD5745" s="13"/>
      <c r="AE5745" s="13"/>
      <c r="AF5745" s="13"/>
      <c r="AG5745" s="13"/>
      <c r="AH5745" s="13"/>
      <c r="AI5745" s="13"/>
      <c r="AJ5745" s="13"/>
      <c r="AK5745" s="13"/>
      <c r="AL5745" s="13"/>
      <c r="AM5745" s="13"/>
      <c r="AN5745" s="13"/>
      <c r="AO5745" s="13"/>
      <c r="AP5745" s="13"/>
      <c r="AQ5745" s="13"/>
      <c r="AR5745" s="13"/>
      <c r="AS5745" s="13"/>
    </row>
    <row r="5746" ht="14.25" customHeight="1">
      <c r="A5746" s="13"/>
      <c r="B5746" s="13"/>
      <c r="C5746" s="13"/>
      <c r="D5746" s="13"/>
      <c r="E5746" s="13"/>
      <c r="F5746" s="13"/>
      <c r="G5746" s="13"/>
      <c r="H5746" s="13"/>
      <c r="I5746" s="13"/>
      <c r="J5746" s="13"/>
      <c r="K5746" s="15"/>
      <c r="L5746" s="15"/>
      <c r="M5746" s="16"/>
      <c r="N5746" s="16"/>
      <c r="O5746" s="17"/>
      <c r="P5746" s="17"/>
      <c r="Q5746" s="13"/>
      <c r="R5746" s="13"/>
      <c r="S5746" s="13"/>
      <c r="T5746" s="13"/>
      <c r="U5746" s="13"/>
      <c r="V5746" s="13"/>
      <c r="W5746" s="13"/>
      <c r="X5746" s="13"/>
      <c r="Y5746" s="13"/>
      <c r="Z5746" s="13"/>
      <c r="AA5746" s="13"/>
      <c r="AB5746" s="13"/>
      <c r="AC5746" s="13"/>
      <c r="AD5746" s="13"/>
      <c r="AE5746" s="13"/>
      <c r="AF5746" s="13"/>
      <c r="AG5746" s="13"/>
      <c r="AH5746" s="13"/>
      <c r="AI5746" s="13"/>
      <c r="AJ5746" s="13"/>
      <c r="AK5746" s="13"/>
      <c r="AL5746" s="13"/>
      <c r="AM5746" s="13"/>
      <c r="AN5746" s="13"/>
      <c r="AO5746" s="13"/>
      <c r="AP5746" s="13"/>
      <c r="AQ5746" s="13"/>
      <c r="AR5746" s="13"/>
      <c r="AS5746" s="13"/>
    </row>
    <row r="5747" ht="14.25" customHeight="1">
      <c r="A5747" s="13"/>
      <c r="B5747" s="13"/>
      <c r="C5747" s="13"/>
      <c r="D5747" s="13"/>
      <c r="E5747" s="13"/>
      <c r="F5747" s="13"/>
      <c r="G5747" s="13"/>
      <c r="H5747" s="13"/>
      <c r="I5747" s="13"/>
      <c r="J5747" s="13"/>
      <c r="K5747" s="15"/>
      <c r="L5747" s="15"/>
      <c r="M5747" s="16"/>
      <c r="N5747" s="16"/>
      <c r="O5747" s="17"/>
      <c r="P5747" s="17"/>
      <c r="Q5747" s="13"/>
      <c r="R5747" s="13"/>
      <c r="S5747" s="13"/>
      <c r="T5747" s="13"/>
      <c r="U5747" s="13"/>
      <c r="V5747" s="13"/>
      <c r="W5747" s="13"/>
      <c r="X5747" s="13"/>
      <c r="Y5747" s="13"/>
      <c r="Z5747" s="13"/>
      <c r="AA5747" s="13"/>
      <c r="AB5747" s="13"/>
      <c r="AC5747" s="13"/>
      <c r="AD5747" s="13"/>
      <c r="AE5747" s="13"/>
      <c r="AF5747" s="13"/>
      <c r="AG5747" s="13"/>
      <c r="AH5747" s="13"/>
      <c r="AI5747" s="13"/>
      <c r="AJ5747" s="13"/>
      <c r="AK5747" s="13"/>
      <c r="AL5747" s="13"/>
      <c r="AM5747" s="13"/>
      <c r="AN5747" s="13"/>
      <c r="AO5747" s="13"/>
      <c r="AP5747" s="13"/>
      <c r="AQ5747" s="13"/>
      <c r="AR5747" s="13"/>
      <c r="AS5747" s="13"/>
    </row>
    <row r="5748" ht="14.25" customHeight="1">
      <c r="A5748" s="13"/>
      <c r="B5748" s="13"/>
      <c r="C5748" s="13"/>
      <c r="D5748" s="13"/>
      <c r="E5748" s="13"/>
      <c r="F5748" s="13"/>
      <c r="G5748" s="13"/>
      <c r="H5748" s="13"/>
      <c r="I5748" s="13"/>
      <c r="J5748" s="13"/>
      <c r="K5748" s="15"/>
      <c r="L5748" s="15"/>
      <c r="M5748" s="16"/>
      <c r="N5748" s="16"/>
      <c r="O5748" s="17"/>
      <c r="P5748" s="17"/>
      <c r="Q5748" s="13"/>
      <c r="R5748" s="13"/>
      <c r="S5748" s="13"/>
      <c r="T5748" s="13"/>
      <c r="U5748" s="13"/>
      <c r="V5748" s="13"/>
      <c r="W5748" s="13"/>
      <c r="X5748" s="13"/>
      <c r="Y5748" s="13"/>
      <c r="Z5748" s="13"/>
      <c r="AA5748" s="13"/>
      <c r="AB5748" s="13"/>
      <c r="AC5748" s="13"/>
      <c r="AD5748" s="13"/>
      <c r="AE5748" s="13"/>
      <c r="AF5748" s="13"/>
      <c r="AG5748" s="13"/>
      <c r="AH5748" s="13"/>
      <c r="AI5748" s="13"/>
      <c r="AJ5748" s="13"/>
      <c r="AK5748" s="13"/>
      <c r="AL5748" s="13"/>
      <c r="AM5748" s="13"/>
      <c r="AN5748" s="13"/>
      <c r="AO5748" s="13"/>
      <c r="AP5748" s="13"/>
      <c r="AQ5748" s="13"/>
      <c r="AR5748" s="13"/>
      <c r="AS5748" s="13"/>
    </row>
    <row r="5749" ht="14.25" customHeight="1">
      <c r="A5749" s="13"/>
      <c r="B5749" s="13"/>
      <c r="C5749" s="13"/>
      <c r="D5749" s="13"/>
      <c r="E5749" s="13"/>
      <c r="F5749" s="13"/>
      <c r="G5749" s="13"/>
      <c r="H5749" s="13"/>
      <c r="I5749" s="13"/>
      <c r="J5749" s="13"/>
      <c r="K5749" s="15"/>
      <c r="L5749" s="15"/>
      <c r="M5749" s="16"/>
      <c r="N5749" s="16"/>
      <c r="O5749" s="17"/>
      <c r="P5749" s="17"/>
      <c r="Q5749" s="13"/>
      <c r="R5749" s="13"/>
      <c r="S5749" s="13"/>
      <c r="T5749" s="13"/>
      <c r="U5749" s="13"/>
      <c r="V5749" s="13"/>
      <c r="W5749" s="13"/>
      <c r="X5749" s="13"/>
      <c r="Y5749" s="13"/>
      <c r="Z5749" s="13"/>
      <c r="AA5749" s="13"/>
      <c r="AB5749" s="13"/>
      <c r="AC5749" s="13"/>
      <c r="AD5749" s="13"/>
      <c r="AE5749" s="13"/>
      <c r="AF5749" s="13"/>
      <c r="AG5749" s="13"/>
      <c r="AH5749" s="13"/>
      <c r="AI5749" s="13"/>
      <c r="AJ5749" s="13"/>
      <c r="AK5749" s="13"/>
      <c r="AL5749" s="13"/>
      <c r="AM5749" s="13"/>
      <c r="AN5749" s="13"/>
      <c r="AO5749" s="13"/>
      <c r="AP5749" s="13"/>
      <c r="AQ5749" s="13"/>
      <c r="AR5749" s="13"/>
      <c r="AS5749" s="13"/>
    </row>
    <row r="5750" ht="14.25" customHeight="1">
      <c r="A5750" s="13"/>
      <c r="B5750" s="13"/>
      <c r="C5750" s="13"/>
      <c r="D5750" s="13"/>
      <c r="E5750" s="13"/>
      <c r="F5750" s="13"/>
      <c r="G5750" s="13"/>
      <c r="H5750" s="13"/>
      <c r="I5750" s="13"/>
      <c r="J5750" s="13"/>
      <c r="K5750" s="15"/>
      <c r="L5750" s="15"/>
      <c r="M5750" s="16"/>
      <c r="N5750" s="16"/>
      <c r="O5750" s="17"/>
      <c r="P5750" s="17"/>
      <c r="Q5750" s="13"/>
      <c r="R5750" s="13"/>
      <c r="S5750" s="13"/>
      <c r="T5750" s="13"/>
      <c r="U5750" s="13"/>
      <c r="V5750" s="13"/>
      <c r="W5750" s="13"/>
      <c r="X5750" s="13"/>
      <c r="Y5750" s="13"/>
      <c r="Z5750" s="13"/>
      <c r="AA5750" s="13"/>
      <c r="AB5750" s="13"/>
      <c r="AC5750" s="13"/>
      <c r="AD5750" s="13"/>
      <c r="AE5750" s="13"/>
      <c r="AF5750" s="13"/>
      <c r="AG5750" s="13"/>
      <c r="AH5750" s="13"/>
      <c r="AI5750" s="13"/>
      <c r="AJ5750" s="13"/>
      <c r="AK5750" s="13"/>
      <c r="AL5750" s="13"/>
      <c r="AM5750" s="13"/>
      <c r="AN5750" s="13"/>
      <c r="AO5750" s="13"/>
      <c r="AP5750" s="13"/>
      <c r="AQ5750" s="13"/>
      <c r="AR5750" s="13"/>
      <c r="AS5750" s="13"/>
    </row>
    <row r="5751" ht="14.25" customHeight="1">
      <c r="A5751" s="13"/>
      <c r="B5751" s="13"/>
      <c r="C5751" s="13"/>
      <c r="D5751" s="13"/>
      <c r="E5751" s="13"/>
      <c r="F5751" s="13"/>
      <c r="G5751" s="13"/>
      <c r="H5751" s="13"/>
      <c r="I5751" s="13"/>
      <c r="J5751" s="13"/>
      <c r="K5751" s="15"/>
      <c r="L5751" s="15"/>
      <c r="M5751" s="16"/>
      <c r="N5751" s="16"/>
      <c r="O5751" s="17"/>
      <c r="P5751" s="17"/>
      <c r="Q5751" s="13"/>
      <c r="R5751" s="13"/>
      <c r="S5751" s="13"/>
      <c r="T5751" s="13"/>
      <c r="U5751" s="13"/>
      <c r="V5751" s="13"/>
      <c r="W5751" s="13"/>
      <c r="X5751" s="13"/>
      <c r="Y5751" s="13"/>
      <c r="Z5751" s="13"/>
      <c r="AA5751" s="13"/>
      <c r="AB5751" s="13"/>
      <c r="AC5751" s="13"/>
      <c r="AD5751" s="13"/>
      <c r="AE5751" s="13"/>
      <c r="AF5751" s="13"/>
      <c r="AG5751" s="13"/>
      <c r="AH5751" s="13"/>
      <c r="AI5751" s="13"/>
      <c r="AJ5751" s="13"/>
      <c r="AK5751" s="13"/>
      <c r="AL5751" s="13"/>
      <c r="AM5751" s="13"/>
      <c r="AN5751" s="13"/>
      <c r="AO5751" s="13"/>
      <c r="AP5751" s="13"/>
      <c r="AQ5751" s="13"/>
      <c r="AR5751" s="13"/>
      <c r="AS5751" s="13"/>
    </row>
    <row r="5752" ht="14.25" customHeight="1">
      <c r="A5752" s="13"/>
      <c r="B5752" s="13"/>
      <c r="C5752" s="13"/>
      <c r="D5752" s="13"/>
      <c r="E5752" s="13"/>
      <c r="F5752" s="13"/>
      <c r="G5752" s="13"/>
      <c r="H5752" s="13"/>
      <c r="I5752" s="13"/>
      <c r="J5752" s="13"/>
      <c r="K5752" s="15"/>
      <c r="L5752" s="15"/>
      <c r="M5752" s="16"/>
      <c r="N5752" s="16"/>
      <c r="O5752" s="17"/>
      <c r="P5752" s="17"/>
      <c r="Q5752" s="13"/>
      <c r="R5752" s="13"/>
      <c r="S5752" s="13"/>
      <c r="T5752" s="13"/>
      <c r="U5752" s="13"/>
      <c r="V5752" s="13"/>
      <c r="W5752" s="13"/>
      <c r="X5752" s="13"/>
      <c r="Y5752" s="13"/>
      <c r="Z5752" s="13"/>
      <c r="AA5752" s="13"/>
      <c r="AB5752" s="13"/>
      <c r="AC5752" s="13"/>
      <c r="AD5752" s="13"/>
      <c r="AE5752" s="13"/>
      <c r="AF5752" s="13"/>
      <c r="AG5752" s="13"/>
      <c r="AH5752" s="13"/>
      <c r="AI5752" s="13"/>
      <c r="AJ5752" s="13"/>
      <c r="AK5752" s="13"/>
      <c r="AL5752" s="13"/>
      <c r="AM5752" s="13"/>
      <c r="AN5752" s="13"/>
      <c r="AO5752" s="13"/>
      <c r="AP5752" s="13"/>
      <c r="AQ5752" s="13"/>
      <c r="AR5752" s="13"/>
      <c r="AS5752" s="13"/>
    </row>
    <row r="5753" ht="14.25" customHeight="1">
      <c r="A5753" s="13"/>
      <c r="B5753" s="13"/>
      <c r="C5753" s="13"/>
      <c r="D5753" s="13"/>
      <c r="E5753" s="13"/>
      <c r="F5753" s="13"/>
      <c r="G5753" s="13"/>
      <c r="H5753" s="13"/>
      <c r="I5753" s="13"/>
      <c r="J5753" s="13"/>
      <c r="K5753" s="15"/>
      <c r="L5753" s="15"/>
      <c r="M5753" s="16"/>
      <c r="N5753" s="16"/>
      <c r="O5753" s="17"/>
      <c r="P5753" s="17"/>
      <c r="Q5753" s="13"/>
      <c r="R5753" s="13"/>
      <c r="S5753" s="13"/>
      <c r="T5753" s="13"/>
      <c r="U5753" s="13"/>
      <c r="V5753" s="13"/>
      <c r="W5753" s="13"/>
      <c r="X5753" s="13"/>
      <c r="Y5753" s="13"/>
      <c r="Z5753" s="13"/>
      <c r="AA5753" s="13"/>
      <c r="AB5753" s="13"/>
      <c r="AC5753" s="13"/>
      <c r="AD5753" s="13"/>
      <c r="AE5753" s="13"/>
      <c r="AF5753" s="13"/>
      <c r="AG5753" s="13"/>
      <c r="AH5753" s="13"/>
      <c r="AI5753" s="13"/>
      <c r="AJ5753" s="13"/>
      <c r="AK5753" s="13"/>
      <c r="AL5753" s="13"/>
      <c r="AM5753" s="13"/>
      <c r="AN5753" s="13"/>
      <c r="AO5753" s="13"/>
      <c r="AP5753" s="13"/>
      <c r="AQ5753" s="13"/>
      <c r="AR5753" s="13"/>
      <c r="AS5753" s="13"/>
    </row>
    <row r="5754" ht="14.25" customHeight="1">
      <c r="A5754" s="13"/>
      <c r="B5754" s="13"/>
      <c r="C5754" s="13"/>
      <c r="D5754" s="13"/>
      <c r="E5754" s="13"/>
      <c r="F5754" s="13"/>
      <c r="G5754" s="13"/>
      <c r="H5754" s="13"/>
      <c r="I5754" s="13"/>
      <c r="J5754" s="13"/>
      <c r="K5754" s="15"/>
      <c r="L5754" s="15"/>
      <c r="M5754" s="16"/>
      <c r="N5754" s="16"/>
      <c r="O5754" s="17"/>
      <c r="P5754" s="17"/>
      <c r="Q5754" s="13"/>
      <c r="R5754" s="13"/>
      <c r="S5754" s="13"/>
      <c r="T5754" s="13"/>
      <c r="U5754" s="13"/>
      <c r="V5754" s="13"/>
      <c r="W5754" s="13"/>
      <c r="X5754" s="13"/>
      <c r="Y5754" s="13"/>
      <c r="Z5754" s="13"/>
      <c r="AA5754" s="13"/>
      <c r="AB5754" s="13"/>
      <c r="AC5754" s="13"/>
      <c r="AD5754" s="13"/>
      <c r="AE5754" s="13"/>
      <c r="AF5754" s="13"/>
      <c r="AG5754" s="13"/>
      <c r="AH5754" s="13"/>
      <c r="AI5754" s="13"/>
      <c r="AJ5754" s="13"/>
      <c r="AK5754" s="13"/>
      <c r="AL5754" s="13"/>
      <c r="AM5754" s="13"/>
      <c r="AN5754" s="13"/>
      <c r="AO5754" s="13"/>
      <c r="AP5754" s="13"/>
      <c r="AQ5754" s="13"/>
      <c r="AR5754" s="13"/>
      <c r="AS5754" s="13"/>
    </row>
    <row r="5755" ht="14.25" customHeight="1">
      <c r="A5755" s="13"/>
      <c r="B5755" s="13"/>
      <c r="C5755" s="13"/>
      <c r="D5755" s="13"/>
      <c r="E5755" s="13"/>
      <c r="F5755" s="13"/>
      <c r="G5755" s="13"/>
      <c r="H5755" s="13"/>
      <c r="I5755" s="13"/>
      <c r="J5755" s="13"/>
      <c r="K5755" s="15"/>
      <c r="L5755" s="15"/>
      <c r="M5755" s="16"/>
      <c r="N5755" s="16"/>
      <c r="O5755" s="17"/>
      <c r="P5755" s="17"/>
      <c r="Q5755" s="13"/>
      <c r="R5755" s="13"/>
      <c r="S5755" s="13"/>
      <c r="T5755" s="13"/>
      <c r="U5755" s="13"/>
      <c r="V5755" s="13"/>
      <c r="W5755" s="13"/>
      <c r="X5755" s="13"/>
      <c r="Y5755" s="13"/>
      <c r="Z5755" s="13"/>
      <c r="AA5755" s="13"/>
      <c r="AB5755" s="13"/>
      <c r="AC5755" s="13"/>
      <c r="AD5755" s="13"/>
      <c r="AE5755" s="13"/>
      <c r="AF5755" s="13"/>
      <c r="AG5755" s="13"/>
      <c r="AH5755" s="13"/>
      <c r="AI5755" s="13"/>
      <c r="AJ5755" s="13"/>
      <c r="AK5755" s="13"/>
      <c r="AL5755" s="13"/>
      <c r="AM5755" s="13"/>
      <c r="AN5755" s="13"/>
      <c r="AO5755" s="13"/>
      <c r="AP5755" s="13"/>
      <c r="AQ5755" s="13"/>
      <c r="AR5755" s="13"/>
      <c r="AS5755" s="13"/>
    </row>
    <row r="5756" ht="14.25" customHeight="1">
      <c r="A5756" s="13"/>
      <c r="B5756" s="13"/>
      <c r="C5756" s="13"/>
      <c r="D5756" s="13"/>
      <c r="E5756" s="13"/>
      <c r="F5756" s="13"/>
      <c r="G5756" s="13"/>
      <c r="H5756" s="13"/>
      <c r="I5756" s="13"/>
      <c r="J5756" s="13"/>
      <c r="K5756" s="15"/>
      <c r="L5756" s="15"/>
      <c r="M5756" s="16"/>
      <c r="N5756" s="16"/>
      <c r="O5756" s="17"/>
      <c r="P5756" s="17"/>
      <c r="Q5756" s="13"/>
      <c r="R5756" s="13"/>
      <c r="S5756" s="13"/>
      <c r="T5756" s="13"/>
      <c r="U5756" s="13"/>
      <c r="V5756" s="13"/>
      <c r="W5756" s="13"/>
      <c r="X5756" s="13"/>
      <c r="Y5756" s="13"/>
      <c r="Z5756" s="13"/>
      <c r="AA5756" s="13"/>
      <c r="AB5756" s="13"/>
      <c r="AC5756" s="13"/>
      <c r="AD5756" s="13"/>
      <c r="AE5756" s="13"/>
      <c r="AF5756" s="13"/>
      <c r="AG5756" s="13"/>
      <c r="AH5756" s="13"/>
      <c r="AI5756" s="13"/>
      <c r="AJ5756" s="13"/>
      <c r="AK5756" s="13"/>
      <c r="AL5756" s="13"/>
      <c r="AM5756" s="13"/>
      <c r="AN5756" s="13"/>
      <c r="AO5756" s="13"/>
      <c r="AP5756" s="13"/>
      <c r="AQ5756" s="13"/>
      <c r="AR5756" s="13"/>
      <c r="AS5756" s="13"/>
    </row>
    <row r="5757" ht="14.25" customHeight="1">
      <c r="A5757" s="13"/>
      <c r="B5757" s="13"/>
      <c r="C5757" s="13"/>
      <c r="D5757" s="13"/>
      <c r="E5757" s="13"/>
      <c r="F5757" s="13"/>
      <c r="G5757" s="13"/>
      <c r="H5757" s="13"/>
      <c r="I5757" s="13"/>
      <c r="J5757" s="13"/>
      <c r="K5757" s="15"/>
      <c r="L5757" s="15"/>
      <c r="M5757" s="16"/>
      <c r="N5757" s="16"/>
      <c r="O5757" s="17"/>
      <c r="P5757" s="17"/>
      <c r="Q5757" s="13"/>
      <c r="R5757" s="13"/>
      <c r="S5757" s="13"/>
      <c r="T5757" s="13"/>
      <c r="U5757" s="13"/>
      <c r="V5757" s="13"/>
      <c r="W5757" s="13"/>
      <c r="X5757" s="13"/>
      <c r="Y5757" s="13"/>
      <c r="Z5757" s="13"/>
      <c r="AA5757" s="13"/>
      <c r="AB5757" s="13"/>
      <c r="AC5757" s="13"/>
      <c r="AD5757" s="13"/>
      <c r="AE5757" s="13"/>
      <c r="AF5757" s="13"/>
      <c r="AG5757" s="13"/>
      <c r="AH5757" s="13"/>
      <c r="AI5757" s="13"/>
      <c r="AJ5757" s="13"/>
      <c r="AK5757" s="13"/>
      <c r="AL5757" s="13"/>
      <c r="AM5757" s="13"/>
      <c r="AN5757" s="13"/>
      <c r="AO5757" s="13"/>
      <c r="AP5757" s="13"/>
      <c r="AQ5757" s="13"/>
      <c r="AR5757" s="13"/>
      <c r="AS5757" s="13"/>
    </row>
    <row r="5758" ht="14.25" customHeight="1">
      <c r="A5758" s="13"/>
      <c r="B5758" s="13"/>
      <c r="C5758" s="13"/>
      <c r="D5758" s="13"/>
      <c r="E5758" s="13"/>
      <c r="F5758" s="13"/>
      <c r="G5758" s="13"/>
      <c r="H5758" s="13"/>
      <c r="I5758" s="13"/>
      <c r="J5758" s="13"/>
      <c r="K5758" s="15"/>
      <c r="L5758" s="15"/>
      <c r="M5758" s="16"/>
      <c r="N5758" s="16"/>
      <c r="O5758" s="17"/>
      <c r="P5758" s="17"/>
      <c r="Q5758" s="13"/>
      <c r="R5758" s="13"/>
      <c r="S5758" s="13"/>
      <c r="T5758" s="13"/>
      <c r="U5758" s="13"/>
      <c r="V5758" s="13"/>
      <c r="W5758" s="13"/>
      <c r="X5758" s="13"/>
      <c r="Y5758" s="13"/>
      <c r="Z5758" s="13"/>
      <c r="AA5758" s="13"/>
      <c r="AB5758" s="13"/>
      <c r="AC5758" s="13"/>
      <c r="AD5758" s="13"/>
      <c r="AE5758" s="13"/>
      <c r="AF5758" s="13"/>
      <c r="AG5758" s="13"/>
      <c r="AH5758" s="13"/>
      <c r="AI5758" s="13"/>
      <c r="AJ5758" s="13"/>
      <c r="AK5758" s="13"/>
      <c r="AL5758" s="13"/>
      <c r="AM5758" s="13"/>
      <c r="AN5758" s="13"/>
      <c r="AO5758" s="13"/>
      <c r="AP5758" s="13"/>
      <c r="AQ5758" s="13"/>
      <c r="AR5758" s="13"/>
      <c r="AS5758" s="13"/>
    </row>
    <row r="5759" ht="14.25" customHeight="1">
      <c r="A5759" s="13"/>
      <c r="B5759" s="13"/>
      <c r="C5759" s="13"/>
      <c r="D5759" s="13"/>
      <c r="E5759" s="13"/>
      <c r="F5759" s="13"/>
      <c r="G5759" s="13"/>
      <c r="H5759" s="13"/>
      <c r="I5759" s="13"/>
      <c r="J5759" s="13"/>
      <c r="K5759" s="15"/>
      <c r="L5759" s="15"/>
      <c r="M5759" s="16"/>
      <c r="N5759" s="16"/>
      <c r="O5759" s="17"/>
      <c r="P5759" s="17"/>
      <c r="Q5759" s="13"/>
      <c r="R5759" s="13"/>
      <c r="S5759" s="13"/>
      <c r="T5759" s="13"/>
      <c r="U5759" s="13"/>
      <c r="V5759" s="13"/>
      <c r="W5759" s="13"/>
      <c r="X5759" s="13"/>
      <c r="Y5759" s="13"/>
      <c r="Z5759" s="13"/>
      <c r="AA5759" s="13"/>
      <c r="AB5759" s="13"/>
      <c r="AC5759" s="13"/>
      <c r="AD5759" s="13"/>
      <c r="AE5759" s="13"/>
      <c r="AF5759" s="13"/>
      <c r="AG5759" s="13"/>
      <c r="AH5759" s="13"/>
      <c r="AI5759" s="13"/>
      <c r="AJ5759" s="13"/>
      <c r="AK5759" s="13"/>
      <c r="AL5759" s="13"/>
      <c r="AM5759" s="13"/>
      <c r="AN5759" s="13"/>
      <c r="AO5759" s="13"/>
      <c r="AP5759" s="13"/>
      <c r="AQ5759" s="13"/>
      <c r="AR5759" s="13"/>
      <c r="AS5759" s="13"/>
    </row>
    <row r="5760" ht="14.25" customHeight="1">
      <c r="A5760" s="13"/>
      <c r="B5760" s="13"/>
      <c r="C5760" s="13"/>
      <c r="D5760" s="13"/>
      <c r="E5760" s="13"/>
      <c r="F5760" s="13"/>
      <c r="G5760" s="13"/>
      <c r="H5760" s="13"/>
      <c r="I5760" s="13"/>
      <c r="J5760" s="13"/>
      <c r="K5760" s="15"/>
      <c r="L5760" s="15"/>
      <c r="M5760" s="16"/>
      <c r="N5760" s="16"/>
      <c r="O5760" s="17"/>
      <c r="P5760" s="17"/>
      <c r="Q5760" s="13"/>
      <c r="R5760" s="13"/>
      <c r="S5760" s="13"/>
      <c r="T5760" s="13"/>
      <c r="U5760" s="13"/>
      <c r="V5760" s="13"/>
      <c r="W5760" s="13"/>
      <c r="X5760" s="13"/>
      <c r="Y5760" s="13"/>
      <c r="Z5760" s="13"/>
      <c r="AA5760" s="13"/>
      <c r="AB5760" s="13"/>
      <c r="AC5760" s="13"/>
      <c r="AD5760" s="13"/>
      <c r="AE5760" s="13"/>
      <c r="AF5760" s="13"/>
      <c r="AG5760" s="13"/>
      <c r="AH5760" s="13"/>
      <c r="AI5760" s="13"/>
      <c r="AJ5760" s="13"/>
      <c r="AK5760" s="13"/>
      <c r="AL5760" s="13"/>
      <c r="AM5760" s="13"/>
      <c r="AN5760" s="13"/>
      <c r="AO5760" s="13"/>
      <c r="AP5760" s="13"/>
      <c r="AQ5760" s="13"/>
      <c r="AR5760" s="13"/>
      <c r="AS5760" s="13"/>
    </row>
    <row r="5761" ht="14.25" customHeight="1">
      <c r="A5761" s="13"/>
      <c r="B5761" s="13"/>
      <c r="C5761" s="13"/>
      <c r="D5761" s="13"/>
      <c r="E5761" s="13"/>
      <c r="F5761" s="13"/>
      <c r="G5761" s="13"/>
      <c r="H5761" s="13"/>
      <c r="I5761" s="13"/>
      <c r="J5761" s="13"/>
      <c r="K5761" s="15"/>
      <c r="L5761" s="15"/>
      <c r="M5761" s="16"/>
      <c r="N5761" s="16"/>
      <c r="O5761" s="17"/>
      <c r="P5761" s="17"/>
      <c r="Q5761" s="13"/>
      <c r="R5761" s="13"/>
      <c r="S5761" s="13"/>
      <c r="T5761" s="13"/>
      <c r="U5761" s="13"/>
      <c r="V5761" s="13"/>
      <c r="W5761" s="13"/>
      <c r="X5761" s="13"/>
      <c r="Y5761" s="13"/>
      <c r="Z5761" s="13"/>
      <c r="AA5761" s="13"/>
      <c r="AB5761" s="13"/>
      <c r="AC5761" s="13"/>
      <c r="AD5761" s="13"/>
      <c r="AE5761" s="13"/>
      <c r="AF5761" s="13"/>
      <c r="AG5761" s="13"/>
      <c r="AH5761" s="13"/>
      <c r="AI5761" s="13"/>
      <c r="AJ5761" s="13"/>
      <c r="AK5761" s="13"/>
      <c r="AL5761" s="13"/>
      <c r="AM5761" s="13"/>
      <c r="AN5761" s="13"/>
      <c r="AO5761" s="13"/>
      <c r="AP5761" s="13"/>
      <c r="AQ5761" s="13"/>
      <c r="AR5761" s="13"/>
      <c r="AS5761" s="13"/>
    </row>
    <row r="5762" ht="14.25" customHeight="1">
      <c r="A5762" s="13"/>
      <c r="B5762" s="13"/>
      <c r="C5762" s="13"/>
      <c r="D5762" s="13"/>
      <c r="E5762" s="13"/>
      <c r="F5762" s="13"/>
      <c r="G5762" s="13"/>
      <c r="H5762" s="13"/>
      <c r="I5762" s="13"/>
      <c r="J5762" s="13"/>
      <c r="K5762" s="15"/>
      <c r="L5762" s="15"/>
      <c r="M5762" s="16"/>
      <c r="N5762" s="16"/>
      <c r="O5762" s="17"/>
      <c r="P5762" s="17"/>
      <c r="Q5762" s="13"/>
      <c r="R5762" s="13"/>
      <c r="S5762" s="13"/>
      <c r="T5762" s="13"/>
      <c r="U5762" s="13"/>
      <c r="V5762" s="13"/>
      <c r="W5762" s="13"/>
      <c r="X5762" s="13"/>
      <c r="Y5762" s="13"/>
      <c r="Z5762" s="13"/>
      <c r="AA5762" s="13"/>
      <c r="AB5762" s="13"/>
      <c r="AC5762" s="13"/>
      <c r="AD5762" s="13"/>
      <c r="AE5762" s="13"/>
      <c r="AF5762" s="13"/>
      <c r="AG5762" s="13"/>
      <c r="AH5762" s="13"/>
      <c r="AI5762" s="13"/>
      <c r="AJ5762" s="13"/>
      <c r="AK5762" s="13"/>
      <c r="AL5762" s="13"/>
      <c r="AM5762" s="13"/>
      <c r="AN5762" s="13"/>
      <c r="AO5762" s="13"/>
      <c r="AP5762" s="13"/>
      <c r="AQ5762" s="13"/>
      <c r="AR5762" s="13"/>
      <c r="AS5762" s="13"/>
    </row>
    <row r="5763" ht="14.25" customHeight="1">
      <c r="A5763" s="13"/>
      <c r="B5763" s="13"/>
      <c r="C5763" s="13"/>
      <c r="D5763" s="13"/>
      <c r="E5763" s="13"/>
      <c r="F5763" s="13"/>
      <c r="G5763" s="13"/>
      <c r="H5763" s="13"/>
      <c r="I5763" s="13"/>
      <c r="J5763" s="13"/>
      <c r="K5763" s="15"/>
      <c r="L5763" s="15"/>
      <c r="M5763" s="16"/>
      <c r="N5763" s="16"/>
      <c r="O5763" s="17"/>
      <c r="P5763" s="17"/>
      <c r="Q5763" s="13"/>
      <c r="R5763" s="13"/>
      <c r="S5763" s="13"/>
      <c r="T5763" s="13"/>
      <c r="U5763" s="13"/>
      <c r="V5763" s="13"/>
      <c r="W5763" s="13"/>
      <c r="X5763" s="13"/>
      <c r="Y5763" s="13"/>
      <c r="Z5763" s="13"/>
      <c r="AA5763" s="13"/>
      <c r="AB5763" s="13"/>
      <c r="AC5763" s="13"/>
      <c r="AD5763" s="13"/>
      <c r="AE5763" s="13"/>
      <c r="AF5763" s="13"/>
      <c r="AG5763" s="13"/>
      <c r="AH5763" s="13"/>
      <c r="AI5763" s="13"/>
      <c r="AJ5763" s="13"/>
      <c r="AK5763" s="13"/>
      <c r="AL5763" s="13"/>
      <c r="AM5763" s="13"/>
      <c r="AN5763" s="13"/>
      <c r="AO5763" s="13"/>
      <c r="AP5763" s="13"/>
      <c r="AQ5763" s="13"/>
      <c r="AR5763" s="13"/>
      <c r="AS5763" s="13"/>
    </row>
    <row r="5764" ht="14.25" customHeight="1">
      <c r="A5764" s="13"/>
      <c r="B5764" s="13"/>
      <c r="C5764" s="13"/>
      <c r="D5764" s="13"/>
      <c r="E5764" s="13"/>
      <c r="F5764" s="13"/>
      <c r="G5764" s="13"/>
      <c r="H5764" s="13"/>
      <c r="I5764" s="13"/>
      <c r="J5764" s="13"/>
      <c r="K5764" s="15"/>
      <c r="L5764" s="15"/>
      <c r="M5764" s="16"/>
      <c r="N5764" s="16"/>
      <c r="O5764" s="17"/>
      <c r="P5764" s="17"/>
      <c r="Q5764" s="13"/>
      <c r="R5764" s="13"/>
      <c r="S5764" s="13"/>
      <c r="T5764" s="13"/>
      <c r="U5764" s="13"/>
      <c r="V5764" s="13"/>
      <c r="W5764" s="13"/>
      <c r="X5764" s="13"/>
      <c r="Y5764" s="13"/>
      <c r="Z5764" s="13"/>
      <c r="AA5764" s="13"/>
      <c r="AB5764" s="13"/>
      <c r="AC5764" s="13"/>
      <c r="AD5764" s="13"/>
      <c r="AE5764" s="13"/>
      <c r="AF5764" s="13"/>
      <c r="AG5764" s="13"/>
      <c r="AH5764" s="13"/>
      <c r="AI5764" s="13"/>
      <c r="AJ5764" s="13"/>
      <c r="AK5764" s="13"/>
      <c r="AL5764" s="13"/>
      <c r="AM5764" s="13"/>
      <c r="AN5764" s="13"/>
      <c r="AO5764" s="13"/>
      <c r="AP5764" s="13"/>
      <c r="AQ5764" s="13"/>
      <c r="AR5764" s="13"/>
      <c r="AS5764" s="13"/>
    </row>
    <row r="5765" ht="14.25" customHeight="1">
      <c r="A5765" s="13"/>
      <c r="B5765" s="13"/>
      <c r="C5765" s="13"/>
      <c r="D5765" s="13"/>
      <c r="E5765" s="13"/>
      <c r="F5765" s="13"/>
      <c r="G5765" s="13"/>
      <c r="H5765" s="13"/>
      <c r="I5765" s="13"/>
      <c r="J5765" s="13"/>
      <c r="K5765" s="15"/>
      <c r="L5765" s="15"/>
      <c r="M5765" s="16"/>
      <c r="N5765" s="16"/>
      <c r="O5765" s="17"/>
      <c r="P5765" s="17"/>
      <c r="Q5765" s="13"/>
      <c r="R5765" s="13"/>
      <c r="S5765" s="13"/>
      <c r="T5765" s="13"/>
      <c r="U5765" s="13"/>
      <c r="V5765" s="13"/>
      <c r="W5765" s="13"/>
      <c r="X5765" s="13"/>
      <c r="Y5765" s="13"/>
      <c r="Z5765" s="13"/>
      <c r="AA5765" s="13"/>
      <c r="AB5765" s="13"/>
      <c r="AC5765" s="13"/>
      <c r="AD5765" s="13"/>
      <c r="AE5765" s="13"/>
      <c r="AF5765" s="13"/>
      <c r="AG5765" s="13"/>
      <c r="AH5765" s="13"/>
      <c r="AI5765" s="13"/>
      <c r="AJ5765" s="13"/>
      <c r="AK5765" s="13"/>
      <c r="AL5765" s="13"/>
      <c r="AM5765" s="13"/>
      <c r="AN5765" s="13"/>
      <c r="AO5765" s="13"/>
      <c r="AP5765" s="13"/>
      <c r="AQ5765" s="13"/>
      <c r="AR5765" s="13"/>
      <c r="AS5765" s="13"/>
    </row>
    <row r="5766" ht="14.25" customHeight="1">
      <c r="A5766" s="13"/>
      <c r="B5766" s="13"/>
      <c r="C5766" s="13"/>
      <c r="D5766" s="13"/>
      <c r="E5766" s="13"/>
      <c r="F5766" s="13"/>
      <c r="G5766" s="13"/>
      <c r="H5766" s="13"/>
      <c r="I5766" s="13"/>
      <c r="J5766" s="13"/>
      <c r="K5766" s="15"/>
      <c r="L5766" s="15"/>
      <c r="M5766" s="16"/>
      <c r="N5766" s="16"/>
      <c r="O5766" s="17"/>
      <c r="P5766" s="17"/>
      <c r="Q5766" s="13"/>
      <c r="R5766" s="13"/>
      <c r="S5766" s="13"/>
      <c r="T5766" s="13"/>
      <c r="U5766" s="13"/>
      <c r="V5766" s="13"/>
      <c r="W5766" s="13"/>
      <c r="X5766" s="13"/>
      <c r="Y5766" s="13"/>
      <c r="Z5766" s="13"/>
      <c r="AA5766" s="13"/>
      <c r="AB5766" s="13"/>
      <c r="AC5766" s="13"/>
      <c r="AD5766" s="13"/>
      <c r="AE5766" s="13"/>
      <c r="AF5766" s="13"/>
      <c r="AG5766" s="13"/>
      <c r="AH5766" s="13"/>
      <c r="AI5766" s="13"/>
      <c r="AJ5766" s="13"/>
      <c r="AK5766" s="13"/>
      <c r="AL5766" s="13"/>
      <c r="AM5766" s="13"/>
      <c r="AN5766" s="13"/>
      <c r="AO5766" s="13"/>
      <c r="AP5766" s="13"/>
      <c r="AQ5766" s="13"/>
      <c r="AR5766" s="13"/>
      <c r="AS5766" s="13"/>
    </row>
    <row r="5767" ht="14.25" customHeight="1">
      <c r="A5767" s="13"/>
      <c r="B5767" s="13"/>
      <c r="C5767" s="13"/>
      <c r="D5767" s="13"/>
      <c r="E5767" s="13"/>
      <c r="F5767" s="13"/>
      <c r="G5767" s="13"/>
      <c r="H5767" s="13"/>
      <c r="I5767" s="13"/>
      <c r="J5767" s="13"/>
      <c r="K5767" s="15"/>
      <c r="L5767" s="15"/>
      <c r="M5767" s="16"/>
      <c r="N5767" s="16"/>
      <c r="O5767" s="17"/>
      <c r="P5767" s="17"/>
      <c r="Q5767" s="13"/>
      <c r="R5767" s="13"/>
      <c r="S5767" s="13"/>
      <c r="T5767" s="13"/>
      <c r="U5767" s="13"/>
      <c r="V5767" s="13"/>
      <c r="W5767" s="13"/>
      <c r="X5767" s="13"/>
      <c r="Y5767" s="13"/>
      <c r="Z5767" s="13"/>
      <c r="AA5767" s="13"/>
      <c r="AB5767" s="13"/>
      <c r="AC5767" s="13"/>
      <c r="AD5767" s="13"/>
      <c r="AE5767" s="13"/>
      <c r="AF5767" s="13"/>
      <c r="AG5767" s="13"/>
      <c r="AH5767" s="13"/>
      <c r="AI5767" s="13"/>
      <c r="AJ5767" s="13"/>
      <c r="AK5767" s="13"/>
      <c r="AL5767" s="13"/>
      <c r="AM5767" s="13"/>
      <c r="AN5767" s="13"/>
      <c r="AO5767" s="13"/>
      <c r="AP5767" s="13"/>
      <c r="AQ5767" s="13"/>
      <c r="AR5767" s="13"/>
      <c r="AS5767" s="13"/>
    </row>
    <row r="5768" ht="14.25" customHeight="1">
      <c r="A5768" s="13"/>
      <c r="B5768" s="13"/>
      <c r="C5768" s="13"/>
      <c r="D5768" s="13"/>
      <c r="E5768" s="13"/>
      <c r="F5768" s="13"/>
      <c r="G5768" s="13"/>
      <c r="H5768" s="13"/>
      <c r="I5768" s="13"/>
      <c r="J5768" s="13"/>
      <c r="K5768" s="15"/>
      <c r="L5768" s="15"/>
      <c r="M5768" s="16"/>
      <c r="N5768" s="16"/>
      <c r="O5768" s="17"/>
      <c r="P5768" s="17"/>
      <c r="Q5768" s="13"/>
      <c r="R5768" s="13"/>
      <c r="S5768" s="13"/>
      <c r="T5768" s="13"/>
      <c r="U5768" s="13"/>
      <c r="V5768" s="13"/>
      <c r="W5768" s="13"/>
      <c r="X5768" s="13"/>
      <c r="Y5768" s="13"/>
      <c r="Z5768" s="13"/>
      <c r="AA5768" s="13"/>
      <c r="AB5768" s="13"/>
      <c r="AC5768" s="13"/>
      <c r="AD5768" s="13"/>
      <c r="AE5768" s="13"/>
      <c r="AF5768" s="13"/>
      <c r="AG5768" s="13"/>
      <c r="AH5768" s="13"/>
      <c r="AI5768" s="13"/>
      <c r="AJ5768" s="13"/>
      <c r="AK5768" s="13"/>
      <c r="AL5768" s="13"/>
      <c r="AM5768" s="13"/>
      <c r="AN5768" s="13"/>
      <c r="AO5768" s="13"/>
      <c r="AP5768" s="13"/>
      <c r="AQ5768" s="13"/>
      <c r="AR5768" s="13"/>
      <c r="AS5768" s="13"/>
    </row>
    <row r="5769" ht="14.25" customHeight="1">
      <c r="A5769" s="13"/>
      <c r="B5769" s="13"/>
      <c r="C5769" s="13"/>
      <c r="D5769" s="13"/>
      <c r="E5769" s="13"/>
      <c r="F5769" s="13"/>
      <c r="G5769" s="13"/>
      <c r="H5769" s="13"/>
      <c r="I5769" s="13"/>
      <c r="J5769" s="13"/>
      <c r="K5769" s="15"/>
      <c r="L5769" s="15"/>
      <c r="M5769" s="16"/>
      <c r="N5769" s="16"/>
      <c r="O5769" s="17"/>
      <c r="P5769" s="17"/>
      <c r="Q5769" s="13"/>
      <c r="R5769" s="13"/>
      <c r="S5769" s="13"/>
      <c r="T5769" s="13"/>
      <c r="U5769" s="13"/>
      <c r="V5769" s="13"/>
      <c r="W5769" s="13"/>
      <c r="X5769" s="13"/>
      <c r="Y5769" s="13"/>
      <c r="Z5769" s="13"/>
      <c r="AA5769" s="13"/>
      <c r="AB5769" s="13"/>
      <c r="AC5769" s="13"/>
      <c r="AD5769" s="13"/>
      <c r="AE5769" s="13"/>
      <c r="AF5769" s="13"/>
      <c r="AG5769" s="13"/>
      <c r="AH5769" s="13"/>
      <c r="AI5769" s="13"/>
      <c r="AJ5769" s="13"/>
      <c r="AK5769" s="13"/>
      <c r="AL5769" s="13"/>
      <c r="AM5769" s="13"/>
      <c r="AN5769" s="13"/>
      <c r="AO5769" s="13"/>
      <c r="AP5769" s="13"/>
      <c r="AQ5769" s="13"/>
      <c r="AR5769" s="13"/>
      <c r="AS5769" s="13"/>
    </row>
    <row r="5770" ht="14.25" customHeight="1">
      <c r="A5770" s="13"/>
      <c r="B5770" s="13"/>
      <c r="C5770" s="13"/>
      <c r="D5770" s="13"/>
      <c r="E5770" s="13"/>
      <c r="F5770" s="13"/>
      <c r="G5770" s="13"/>
      <c r="H5770" s="13"/>
      <c r="I5770" s="13"/>
      <c r="J5770" s="13"/>
      <c r="K5770" s="15"/>
      <c r="L5770" s="15"/>
      <c r="M5770" s="16"/>
      <c r="N5770" s="16"/>
      <c r="O5770" s="17"/>
      <c r="P5770" s="17"/>
      <c r="Q5770" s="13"/>
      <c r="R5770" s="13"/>
      <c r="S5770" s="13"/>
      <c r="T5770" s="13"/>
      <c r="U5770" s="13"/>
      <c r="V5770" s="13"/>
      <c r="W5770" s="13"/>
      <c r="X5770" s="13"/>
      <c r="Y5770" s="13"/>
      <c r="Z5770" s="13"/>
      <c r="AA5770" s="13"/>
      <c r="AB5770" s="13"/>
      <c r="AC5770" s="13"/>
      <c r="AD5770" s="13"/>
      <c r="AE5770" s="13"/>
      <c r="AF5770" s="13"/>
      <c r="AG5770" s="13"/>
      <c r="AH5770" s="13"/>
      <c r="AI5770" s="13"/>
      <c r="AJ5770" s="13"/>
      <c r="AK5770" s="13"/>
      <c r="AL5770" s="13"/>
      <c r="AM5770" s="13"/>
      <c r="AN5770" s="13"/>
      <c r="AO5770" s="13"/>
      <c r="AP5770" s="13"/>
      <c r="AQ5770" s="13"/>
      <c r="AR5770" s="13"/>
      <c r="AS5770" s="13"/>
    </row>
    <row r="5771" ht="14.25" customHeight="1">
      <c r="A5771" s="13"/>
      <c r="B5771" s="13"/>
      <c r="C5771" s="13"/>
      <c r="D5771" s="13"/>
      <c r="E5771" s="13"/>
      <c r="F5771" s="13"/>
      <c r="G5771" s="13"/>
      <c r="H5771" s="13"/>
      <c r="I5771" s="13"/>
      <c r="J5771" s="13"/>
      <c r="K5771" s="15"/>
      <c r="L5771" s="15"/>
      <c r="M5771" s="16"/>
      <c r="N5771" s="16"/>
      <c r="O5771" s="17"/>
      <c r="P5771" s="17"/>
      <c r="Q5771" s="13"/>
      <c r="R5771" s="13"/>
      <c r="S5771" s="13"/>
      <c r="T5771" s="13"/>
      <c r="U5771" s="13"/>
      <c r="V5771" s="13"/>
      <c r="W5771" s="13"/>
      <c r="X5771" s="13"/>
      <c r="Y5771" s="13"/>
      <c r="Z5771" s="13"/>
      <c r="AA5771" s="13"/>
      <c r="AB5771" s="13"/>
      <c r="AC5771" s="13"/>
      <c r="AD5771" s="13"/>
      <c r="AE5771" s="13"/>
      <c r="AF5771" s="13"/>
      <c r="AG5771" s="13"/>
      <c r="AH5771" s="13"/>
      <c r="AI5771" s="13"/>
      <c r="AJ5771" s="13"/>
      <c r="AK5771" s="13"/>
      <c r="AL5771" s="13"/>
      <c r="AM5771" s="13"/>
      <c r="AN5771" s="13"/>
      <c r="AO5771" s="13"/>
      <c r="AP5771" s="13"/>
      <c r="AQ5771" s="13"/>
      <c r="AR5771" s="13"/>
      <c r="AS5771" s="13"/>
    </row>
    <row r="5772" ht="14.25" customHeight="1">
      <c r="A5772" s="13"/>
      <c r="B5772" s="13"/>
      <c r="C5772" s="13"/>
      <c r="D5772" s="13"/>
      <c r="E5772" s="13"/>
      <c r="F5772" s="13"/>
      <c r="G5772" s="13"/>
      <c r="H5772" s="13"/>
      <c r="I5772" s="13"/>
      <c r="J5772" s="13"/>
      <c r="K5772" s="15"/>
      <c r="L5772" s="15"/>
      <c r="M5772" s="16"/>
      <c r="N5772" s="16"/>
      <c r="O5772" s="17"/>
      <c r="P5772" s="17"/>
      <c r="Q5772" s="13"/>
      <c r="R5772" s="13"/>
      <c r="S5772" s="13"/>
      <c r="T5772" s="13"/>
      <c r="U5772" s="13"/>
      <c r="V5772" s="13"/>
      <c r="W5772" s="13"/>
      <c r="X5772" s="13"/>
      <c r="Y5772" s="13"/>
      <c r="Z5772" s="13"/>
      <c r="AA5772" s="13"/>
      <c r="AB5772" s="13"/>
      <c r="AC5772" s="13"/>
      <c r="AD5772" s="13"/>
      <c r="AE5772" s="13"/>
      <c r="AF5772" s="13"/>
      <c r="AG5772" s="13"/>
      <c r="AH5772" s="13"/>
      <c r="AI5772" s="13"/>
      <c r="AJ5772" s="13"/>
      <c r="AK5772" s="13"/>
      <c r="AL5772" s="13"/>
      <c r="AM5772" s="13"/>
      <c r="AN5772" s="13"/>
      <c r="AO5772" s="13"/>
      <c r="AP5772" s="13"/>
      <c r="AQ5772" s="13"/>
      <c r="AR5772" s="13"/>
      <c r="AS5772" s="13"/>
    </row>
    <row r="5773" ht="14.25" customHeight="1">
      <c r="A5773" s="13"/>
      <c r="B5773" s="13"/>
      <c r="C5773" s="13"/>
      <c r="D5773" s="13"/>
      <c r="E5773" s="13"/>
      <c r="F5773" s="13"/>
      <c r="G5773" s="13"/>
      <c r="H5773" s="13"/>
      <c r="I5773" s="13"/>
      <c r="J5773" s="13"/>
      <c r="K5773" s="15"/>
      <c r="L5773" s="15"/>
      <c r="M5773" s="16"/>
      <c r="N5773" s="16"/>
      <c r="O5773" s="17"/>
      <c r="P5773" s="17"/>
      <c r="Q5773" s="13"/>
      <c r="R5773" s="13"/>
      <c r="S5773" s="13"/>
      <c r="T5773" s="13"/>
      <c r="U5773" s="13"/>
      <c r="V5773" s="13"/>
      <c r="W5773" s="13"/>
      <c r="X5773" s="13"/>
      <c r="Y5773" s="13"/>
      <c r="Z5773" s="13"/>
      <c r="AA5773" s="13"/>
      <c r="AB5773" s="13"/>
      <c r="AC5773" s="13"/>
      <c r="AD5773" s="13"/>
      <c r="AE5773" s="13"/>
      <c r="AF5773" s="13"/>
      <c r="AG5773" s="13"/>
      <c r="AH5773" s="13"/>
      <c r="AI5773" s="13"/>
      <c r="AJ5773" s="13"/>
      <c r="AK5773" s="13"/>
      <c r="AL5773" s="13"/>
      <c r="AM5773" s="13"/>
      <c r="AN5773" s="13"/>
      <c r="AO5773" s="13"/>
      <c r="AP5773" s="13"/>
      <c r="AQ5773" s="13"/>
      <c r="AR5773" s="13"/>
      <c r="AS5773" s="13"/>
    </row>
    <row r="5774" ht="14.25" customHeight="1">
      <c r="A5774" s="13"/>
      <c r="B5774" s="13"/>
      <c r="C5774" s="13"/>
      <c r="D5774" s="13"/>
      <c r="E5774" s="13"/>
      <c r="F5774" s="13"/>
      <c r="G5774" s="13"/>
      <c r="H5774" s="13"/>
      <c r="I5774" s="13"/>
      <c r="J5774" s="13"/>
      <c r="K5774" s="15"/>
      <c r="L5774" s="15"/>
      <c r="M5774" s="16"/>
      <c r="N5774" s="16"/>
      <c r="O5774" s="17"/>
      <c r="P5774" s="17"/>
      <c r="Q5774" s="13"/>
      <c r="R5774" s="13"/>
      <c r="S5774" s="13"/>
      <c r="T5774" s="13"/>
      <c r="U5774" s="13"/>
      <c r="V5774" s="13"/>
      <c r="W5774" s="13"/>
      <c r="X5774" s="13"/>
      <c r="Y5774" s="13"/>
      <c r="Z5774" s="13"/>
      <c r="AA5774" s="13"/>
      <c r="AB5774" s="13"/>
      <c r="AC5774" s="13"/>
      <c r="AD5774" s="13"/>
      <c r="AE5774" s="13"/>
      <c r="AF5774" s="13"/>
      <c r="AG5774" s="13"/>
      <c r="AH5774" s="13"/>
      <c r="AI5774" s="13"/>
      <c r="AJ5774" s="13"/>
      <c r="AK5774" s="13"/>
      <c r="AL5774" s="13"/>
      <c r="AM5774" s="13"/>
      <c r="AN5774" s="13"/>
      <c r="AO5774" s="13"/>
      <c r="AP5774" s="13"/>
      <c r="AQ5774" s="13"/>
      <c r="AR5774" s="13"/>
      <c r="AS5774" s="13"/>
    </row>
    <row r="5775" ht="14.25" customHeight="1">
      <c r="A5775" s="13"/>
      <c r="B5775" s="13"/>
      <c r="C5775" s="13"/>
      <c r="D5775" s="13"/>
      <c r="E5775" s="13"/>
      <c r="F5775" s="13"/>
      <c r="G5775" s="13"/>
      <c r="H5775" s="13"/>
      <c r="I5775" s="13"/>
      <c r="J5775" s="13"/>
      <c r="K5775" s="15"/>
      <c r="L5775" s="15"/>
      <c r="M5775" s="16"/>
      <c r="N5775" s="16"/>
      <c r="O5775" s="17"/>
      <c r="P5775" s="17"/>
      <c r="Q5775" s="13"/>
      <c r="R5775" s="13"/>
      <c r="S5775" s="13"/>
      <c r="T5775" s="13"/>
      <c r="U5775" s="13"/>
      <c r="V5775" s="13"/>
      <c r="W5775" s="13"/>
      <c r="X5775" s="13"/>
      <c r="Y5775" s="13"/>
      <c r="Z5775" s="13"/>
      <c r="AA5775" s="13"/>
      <c r="AB5775" s="13"/>
      <c r="AC5775" s="13"/>
      <c r="AD5775" s="13"/>
      <c r="AE5775" s="13"/>
      <c r="AF5775" s="13"/>
      <c r="AG5775" s="13"/>
      <c r="AH5775" s="13"/>
      <c r="AI5775" s="13"/>
      <c r="AJ5775" s="13"/>
      <c r="AK5775" s="13"/>
      <c r="AL5775" s="13"/>
      <c r="AM5775" s="13"/>
      <c r="AN5775" s="13"/>
      <c r="AO5775" s="13"/>
      <c r="AP5775" s="13"/>
      <c r="AQ5775" s="13"/>
      <c r="AR5775" s="13"/>
      <c r="AS5775" s="13"/>
    </row>
    <row r="5776" ht="14.25" customHeight="1">
      <c r="A5776" s="13"/>
      <c r="B5776" s="13"/>
      <c r="C5776" s="13"/>
      <c r="D5776" s="13"/>
      <c r="E5776" s="13"/>
      <c r="F5776" s="13"/>
      <c r="G5776" s="13"/>
      <c r="H5776" s="13"/>
      <c r="I5776" s="13"/>
      <c r="J5776" s="13"/>
      <c r="K5776" s="15"/>
      <c r="L5776" s="15"/>
      <c r="M5776" s="16"/>
      <c r="N5776" s="16"/>
      <c r="O5776" s="17"/>
      <c r="P5776" s="17"/>
      <c r="Q5776" s="13"/>
      <c r="R5776" s="13"/>
      <c r="S5776" s="13"/>
      <c r="T5776" s="13"/>
      <c r="U5776" s="13"/>
      <c r="V5776" s="13"/>
      <c r="W5776" s="13"/>
      <c r="X5776" s="13"/>
      <c r="Y5776" s="13"/>
      <c r="Z5776" s="13"/>
      <c r="AA5776" s="13"/>
      <c r="AB5776" s="13"/>
      <c r="AC5776" s="13"/>
      <c r="AD5776" s="13"/>
      <c r="AE5776" s="13"/>
      <c r="AF5776" s="13"/>
      <c r="AG5776" s="13"/>
      <c r="AH5776" s="13"/>
      <c r="AI5776" s="13"/>
      <c r="AJ5776" s="13"/>
      <c r="AK5776" s="13"/>
      <c r="AL5776" s="13"/>
      <c r="AM5776" s="13"/>
      <c r="AN5776" s="13"/>
      <c r="AO5776" s="13"/>
      <c r="AP5776" s="13"/>
      <c r="AQ5776" s="13"/>
      <c r="AR5776" s="13"/>
      <c r="AS5776" s="13"/>
    </row>
    <row r="5777" ht="14.25" customHeight="1">
      <c r="A5777" s="13"/>
      <c r="B5777" s="13"/>
      <c r="C5777" s="13"/>
      <c r="D5777" s="13"/>
      <c r="E5777" s="13"/>
      <c r="F5777" s="13"/>
      <c r="G5777" s="13"/>
      <c r="H5777" s="13"/>
      <c r="I5777" s="13"/>
      <c r="J5777" s="13"/>
      <c r="K5777" s="15"/>
      <c r="L5777" s="15"/>
      <c r="M5777" s="16"/>
      <c r="N5777" s="16"/>
      <c r="O5777" s="17"/>
      <c r="P5777" s="17"/>
      <c r="Q5777" s="13"/>
      <c r="R5777" s="13"/>
      <c r="S5777" s="13"/>
      <c r="T5777" s="13"/>
      <c r="U5777" s="13"/>
      <c r="V5777" s="13"/>
      <c r="W5777" s="13"/>
      <c r="X5777" s="13"/>
      <c r="Y5777" s="13"/>
      <c r="Z5777" s="13"/>
      <c r="AA5777" s="13"/>
      <c r="AB5777" s="13"/>
      <c r="AC5777" s="13"/>
      <c r="AD5777" s="13"/>
      <c r="AE5777" s="13"/>
      <c r="AF5777" s="13"/>
      <c r="AG5777" s="13"/>
      <c r="AH5777" s="13"/>
      <c r="AI5777" s="13"/>
      <c r="AJ5777" s="13"/>
      <c r="AK5777" s="13"/>
      <c r="AL5777" s="13"/>
      <c r="AM5777" s="13"/>
      <c r="AN5777" s="13"/>
      <c r="AO5777" s="13"/>
      <c r="AP5777" s="13"/>
      <c r="AQ5777" s="13"/>
      <c r="AR5777" s="13"/>
      <c r="AS5777" s="13"/>
    </row>
    <row r="5778" ht="14.25" customHeight="1">
      <c r="A5778" s="13"/>
      <c r="B5778" s="13"/>
      <c r="C5778" s="13"/>
      <c r="D5778" s="13"/>
      <c r="E5778" s="13"/>
      <c r="F5778" s="13"/>
      <c r="G5778" s="13"/>
      <c r="H5778" s="13"/>
      <c r="I5778" s="13"/>
      <c r="J5778" s="13"/>
      <c r="K5778" s="15"/>
      <c r="L5778" s="15"/>
      <c r="M5778" s="16"/>
      <c r="N5778" s="16"/>
      <c r="O5778" s="17"/>
      <c r="P5778" s="17"/>
      <c r="Q5778" s="13"/>
      <c r="R5778" s="13"/>
      <c r="S5778" s="13"/>
      <c r="T5778" s="13"/>
      <c r="U5778" s="13"/>
      <c r="V5778" s="13"/>
      <c r="W5778" s="13"/>
      <c r="X5778" s="13"/>
      <c r="Y5778" s="13"/>
      <c r="Z5778" s="13"/>
      <c r="AA5778" s="13"/>
      <c r="AB5778" s="13"/>
      <c r="AC5778" s="13"/>
      <c r="AD5778" s="13"/>
      <c r="AE5778" s="13"/>
      <c r="AF5778" s="13"/>
      <c r="AG5778" s="13"/>
      <c r="AH5778" s="13"/>
      <c r="AI5778" s="13"/>
      <c r="AJ5778" s="13"/>
      <c r="AK5778" s="13"/>
      <c r="AL5778" s="13"/>
      <c r="AM5778" s="13"/>
      <c r="AN5778" s="13"/>
      <c r="AO5778" s="13"/>
      <c r="AP5778" s="13"/>
      <c r="AQ5778" s="13"/>
      <c r="AR5778" s="13"/>
      <c r="AS5778" s="13"/>
    </row>
    <row r="5779" ht="14.25" customHeight="1">
      <c r="A5779" s="13"/>
      <c r="B5779" s="13"/>
      <c r="C5779" s="13"/>
      <c r="D5779" s="13"/>
      <c r="E5779" s="13"/>
      <c r="F5779" s="13"/>
      <c r="G5779" s="13"/>
      <c r="H5779" s="13"/>
      <c r="I5779" s="13"/>
      <c r="J5779" s="13"/>
      <c r="K5779" s="15"/>
      <c r="L5779" s="15"/>
      <c r="M5779" s="16"/>
      <c r="N5779" s="16"/>
      <c r="O5779" s="17"/>
      <c r="P5779" s="17"/>
      <c r="Q5779" s="13"/>
      <c r="R5779" s="13"/>
      <c r="S5779" s="13"/>
      <c r="T5779" s="13"/>
      <c r="U5779" s="13"/>
      <c r="V5779" s="13"/>
      <c r="W5779" s="13"/>
      <c r="X5779" s="13"/>
      <c r="Y5779" s="13"/>
      <c r="Z5779" s="13"/>
      <c r="AA5779" s="13"/>
      <c r="AB5779" s="13"/>
      <c r="AC5779" s="13"/>
      <c r="AD5779" s="13"/>
      <c r="AE5779" s="13"/>
      <c r="AF5779" s="13"/>
      <c r="AG5779" s="13"/>
      <c r="AH5779" s="13"/>
      <c r="AI5779" s="13"/>
      <c r="AJ5779" s="13"/>
      <c r="AK5779" s="13"/>
      <c r="AL5779" s="13"/>
      <c r="AM5779" s="13"/>
      <c r="AN5779" s="13"/>
      <c r="AO5779" s="13"/>
      <c r="AP5779" s="13"/>
      <c r="AQ5779" s="13"/>
      <c r="AR5779" s="13"/>
      <c r="AS5779" s="13"/>
    </row>
    <row r="5780" ht="14.25" customHeight="1">
      <c r="A5780" s="13"/>
      <c r="B5780" s="13"/>
      <c r="C5780" s="13"/>
      <c r="D5780" s="13"/>
      <c r="E5780" s="13"/>
      <c r="F5780" s="13"/>
      <c r="G5780" s="13"/>
      <c r="H5780" s="13"/>
      <c r="I5780" s="13"/>
      <c r="J5780" s="13"/>
      <c r="K5780" s="15"/>
      <c r="L5780" s="15"/>
      <c r="M5780" s="16"/>
      <c r="N5780" s="16"/>
      <c r="O5780" s="17"/>
      <c r="P5780" s="17"/>
      <c r="Q5780" s="13"/>
      <c r="R5780" s="13"/>
      <c r="S5780" s="13"/>
      <c r="T5780" s="13"/>
      <c r="U5780" s="13"/>
      <c r="V5780" s="13"/>
      <c r="W5780" s="13"/>
      <c r="X5780" s="13"/>
      <c r="Y5780" s="13"/>
      <c r="Z5780" s="13"/>
      <c r="AA5780" s="13"/>
      <c r="AB5780" s="13"/>
      <c r="AC5780" s="13"/>
      <c r="AD5780" s="13"/>
      <c r="AE5780" s="13"/>
      <c r="AF5780" s="13"/>
      <c r="AG5780" s="13"/>
      <c r="AH5780" s="13"/>
      <c r="AI5780" s="13"/>
      <c r="AJ5780" s="13"/>
      <c r="AK5780" s="13"/>
      <c r="AL5780" s="13"/>
      <c r="AM5780" s="13"/>
      <c r="AN5780" s="13"/>
      <c r="AO5780" s="13"/>
      <c r="AP5780" s="13"/>
      <c r="AQ5780" s="13"/>
      <c r="AR5780" s="13"/>
      <c r="AS5780" s="13"/>
    </row>
    <row r="5781" ht="14.25" customHeight="1">
      <c r="A5781" s="13"/>
      <c r="B5781" s="13"/>
      <c r="C5781" s="13"/>
      <c r="D5781" s="13"/>
      <c r="E5781" s="13"/>
      <c r="F5781" s="13"/>
      <c r="G5781" s="13"/>
      <c r="H5781" s="13"/>
      <c r="I5781" s="13"/>
      <c r="J5781" s="13"/>
      <c r="K5781" s="15"/>
      <c r="L5781" s="15"/>
      <c r="M5781" s="16"/>
      <c r="N5781" s="16"/>
      <c r="O5781" s="17"/>
      <c r="P5781" s="17"/>
      <c r="Q5781" s="13"/>
      <c r="R5781" s="13"/>
      <c r="S5781" s="13"/>
      <c r="T5781" s="13"/>
      <c r="U5781" s="13"/>
      <c r="V5781" s="13"/>
      <c r="W5781" s="13"/>
      <c r="X5781" s="13"/>
      <c r="Y5781" s="13"/>
      <c r="Z5781" s="13"/>
      <c r="AA5781" s="13"/>
      <c r="AB5781" s="13"/>
      <c r="AC5781" s="13"/>
      <c r="AD5781" s="13"/>
      <c r="AE5781" s="13"/>
      <c r="AF5781" s="13"/>
      <c r="AG5781" s="13"/>
      <c r="AH5781" s="13"/>
      <c r="AI5781" s="13"/>
      <c r="AJ5781" s="13"/>
      <c r="AK5781" s="13"/>
      <c r="AL5781" s="13"/>
      <c r="AM5781" s="13"/>
      <c r="AN5781" s="13"/>
      <c r="AO5781" s="13"/>
      <c r="AP5781" s="13"/>
      <c r="AQ5781" s="13"/>
      <c r="AR5781" s="13"/>
      <c r="AS5781" s="13"/>
    </row>
    <row r="5782" ht="14.25" customHeight="1">
      <c r="A5782" s="13"/>
      <c r="B5782" s="13"/>
      <c r="C5782" s="13"/>
      <c r="D5782" s="13"/>
      <c r="E5782" s="13"/>
      <c r="F5782" s="13"/>
      <c r="G5782" s="13"/>
      <c r="H5782" s="13"/>
      <c r="I5782" s="13"/>
      <c r="J5782" s="13"/>
      <c r="K5782" s="15"/>
      <c r="L5782" s="15"/>
      <c r="M5782" s="16"/>
      <c r="N5782" s="16"/>
      <c r="O5782" s="17"/>
      <c r="P5782" s="17"/>
      <c r="Q5782" s="13"/>
      <c r="R5782" s="13"/>
      <c r="S5782" s="13"/>
      <c r="T5782" s="13"/>
      <c r="U5782" s="13"/>
      <c r="V5782" s="13"/>
      <c r="W5782" s="13"/>
      <c r="X5782" s="13"/>
      <c r="Y5782" s="13"/>
      <c r="Z5782" s="13"/>
      <c r="AA5782" s="13"/>
      <c r="AB5782" s="13"/>
      <c r="AC5782" s="13"/>
      <c r="AD5782" s="13"/>
      <c r="AE5782" s="13"/>
      <c r="AF5782" s="13"/>
      <c r="AG5782" s="13"/>
      <c r="AH5782" s="13"/>
      <c r="AI5782" s="13"/>
      <c r="AJ5782" s="13"/>
      <c r="AK5782" s="13"/>
      <c r="AL5782" s="13"/>
      <c r="AM5782" s="13"/>
      <c r="AN5782" s="13"/>
      <c r="AO5782" s="13"/>
      <c r="AP5782" s="13"/>
      <c r="AQ5782" s="13"/>
      <c r="AR5782" s="13"/>
      <c r="AS5782" s="13"/>
    </row>
    <row r="5783" ht="14.25" customHeight="1">
      <c r="A5783" s="13"/>
      <c r="B5783" s="13"/>
      <c r="C5783" s="13"/>
      <c r="D5783" s="13"/>
      <c r="E5783" s="13"/>
      <c r="F5783" s="13"/>
      <c r="G5783" s="13"/>
      <c r="H5783" s="13"/>
      <c r="I5783" s="13"/>
      <c r="J5783" s="13"/>
      <c r="K5783" s="15"/>
      <c r="L5783" s="15"/>
      <c r="M5783" s="16"/>
      <c r="N5783" s="16"/>
      <c r="O5783" s="17"/>
      <c r="P5783" s="17"/>
      <c r="Q5783" s="13"/>
      <c r="R5783" s="13"/>
      <c r="S5783" s="13"/>
      <c r="T5783" s="13"/>
      <c r="U5783" s="13"/>
      <c r="V5783" s="13"/>
      <c r="W5783" s="13"/>
      <c r="X5783" s="13"/>
      <c r="Y5783" s="13"/>
      <c r="Z5783" s="13"/>
      <c r="AA5783" s="13"/>
      <c r="AB5783" s="13"/>
      <c r="AC5783" s="13"/>
      <c r="AD5783" s="13"/>
      <c r="AE5783" s="13"/>
      <c r="AF5783" s="13"/>
      <c r="AG5783" s="13"/>
      <c r="AH5783" s="13"/>
      <c r="AI5783" s="13"/>
      <c r="AJ5783" s="13"/>
      <c r="AK5783" s="13"/>
      <c r="AL5783" s="13"/>
      <c r="AM5783" s="13"/>
      <c r="AN5783" s="13"/>
      <c r="AO5783" s="13"/>
      <c r="AP5783" s="13"/>
      <c r="AQ5783" s="13"/>
      <c r="AR5783" s="13"/>
      <c r="AS5783" s="13"/>
    </row>
    <row r="5784" ht="14.25" customHeight="1">
      <c r="A5784" s="13"/>
      <c r="B5784" s="13"/>
      <c r="C5784" s="13"/>
      <c r="D5784" s="13"/>
      <c r="E5784" s="13"/>
      <c r="F5784" s="13"/>
      <c r="G5784" s="13"/>
      <c r="H5784" s="13"/>
      <c r="I5784" s="13"/>
      <c r="J5784" s="13"/>
      <c r="K5784" s="15"/>
      <c r="L5784" s="15"/>
      <c r="M5784" s="16"/>
      <c r="N5784" s="16"/>
      <c r="O5784" s="17"/>
      <c r="P5784" s="17"/>
      <c r="Q5784" s="13"/>
      <c r="R5784" s="13"/>
      <c r="S5784" s="13"/>
      <c r="T5784" s="13"/>
      <c r="U5784" s="13"/>
      <c r="V5784" s="13"/>
      <c r="W5784" s="13"/>
      <c r="X5784" s="13"/>
      <c r="Y5784" s="13"/>
      <c r="Z5784" s="13"/>
      <c r="AA5784" s="13"/>
      <c r="AB5784" s="13"/>
      <c r="AC5784" s="13"/>
      <c r="AD5784" s="13"/>
      <c r="AE5784" s="13"/>
      <c r="AF5784" s="13"/>
      <c r="AG5784" s="13"/>
      <c r="AH5784" s="13"/>
      <c r="AI5784" s="13"/>
      <c r="AJ5784" s="13"/>
      <c r="AK5784" s="13"/>
      <c r="AL5784" s="13"/>
      <c r="AM5784" s="13"/>
      <c r="AN5784" s="13"/>
      <c r="AO5784" s="13"/>
      <c r="AP5784" s="13"/>
      <c r="AQ5784" s="13"/>
      <c r="AR5784" s="13"/>
      <c r="AS5784" s="13"/>
    </row>
    <row r="5785" ht="14.25" customHeight="1">
      <c r="A5785" s="13"/>
      <c r="B5785" s="13"/>
      <c r="C5785" s="13"/>
      <c r="D5785" s="13"/>
      <c r="E5785" s="13"/>
      <c r="F5785" s="13"/>
      <c r="G5785" s="13"/>
      <c r="H5785" s="13"/>
      <c r="I5785" s="13"/>
      <c r="J5785" s="13"/>
      <c r="K5785" s="15"/>
      <c r="L5785" s="15"/>
      <c r="M5785" s="16"/>
      <c r="N5785" s="16"/>
      <c r="O5785" s="17"/>
      <c r="P5785" s="17"/>
      <c r="Q5785" s="13"/>
      <c r="R5785" s="13"/>
      <c r="S5785" s="13"/>
      <c r="T5785" s="13"/>
      <c r="U5785" s="13"/>
      <c r="V5785" s="13"/>
      <c r="W5785" s="13"/>
      <c r="X5785" s="13"/>
      <c r="Y5785" s="13"/>
      <c r="Z5785" s="13"/>
      <c r="AA5785" s="13"/>
      <c r="AB5785" s="13"/>
      <c r="AC5785" s="13"/>
      <c r="AD5785" s="13"/>
      <c r="AE5785" s="13"/>
      <c r="AF5785" s="13"/>
      <c r="AG5785" s="13"/>
      <c r="AH5785" s="13"/>
      <c r="AI5785" s="13"/>
      <c r="AJ5785" s="13"/>
      <c r="AK5785" s="13"/>
      <c r="AL5785" s="13"/>
      <c r="AM5785" s="13"/>
      <c r="AN5785" s="13"/>
      <c r="AO5785" s="13"/>
      <c r="AP5785" s="13"/>
      <c r="AQ5785" s="13"/>
      <c r="AR5785" s="13"/>
      <c r="AS5785" s="13"/>
    </row>
    <row r="5786" ht="14.25" customHeight="1">
      <c r="A5786" s="13"/>
      <c r="B5786" s="13"/>
      <c r="C5786" s="13"/>
      <c r="D5786" s="13"/>
      <c r="E5786" s="13"/>
      <c r="F5786" s="13"/>
      <c r="G5786" s="13"/>
      <c r="H5786" s="13"/>
      <c r="I5786" s="13"/>
      <c r="J5786" s="13"/>
      <c r="K5786" s="15"/>
      <c r="L5786" s="15"/>
      <c r="M5786" s="16"/>
      <c r="N5786" s="16"/>
      <c r="O5786" s="17"/>
      <c r="P5786" s="17"/>
      <c r="Q5786" s="13"/>
      <c r="R5786" s="13"/>
      <c r="S5786" s="13"/>
      <c r="T5786" s="13"/>
      <c r="U5786" s="13"/>
      <c r="V5786" s="13"/>
      <c r="W5786" s="13"/>
      <c r="X5786" s="13"/>
      <c r="Y5786" s="13"/>
      <c r="Z5786" s="13"/>
      <c r="AA5786" s="13"/>
      <c r="AB5786" s="13"/>
      <c r="AC5786" s="13"/>
      <c r="AD5786" s="13"/>
      <c r="AE5786" s="13"/>
      <c r="AF5786" s="13"/>
      <c r="AG5786" s="13"/>
      <c r="AH5786" s="13"/>
      <c r="AI5786" s="13"/>
      <c r="AJ5786" s="13"/>
      <c r="AK5786" s="13"/>
      <c r="AL5786" s="13"/>
      <c r="AM5786" s="13"/>
      <c r="AN5786" s="13"/>
      <c r="AO5786" s="13"/>
      <c r="AP5786" s="13"/>
      <c r="AQ5786" s="13"/>
      <c r="AR5786" s="13"/>
      <c r="AS5786" s="13"/>
    </row>
    <row r="5787" ht="14.25" customHeight="1">
      <c r="A5787" s="13"/>
      <c r="B5787" s="13"/>
      <c r="C5787" s="13"/>
      <c r="D5787" s="13"/>
      <c r="E5787" s="13"/>
      <c r="F5787" s="13"/>
      <c r="G5787" s="13"/>
      <c r="H5787" s="13"/>
      <c r="I5787" s="13"/>
      <c r="J5787" s="13"/>
      <c r="K5787" s="15"/>
      <c r="L5787" s="15"/>
      <c r="M5787" s="16"/>
      <c r="N5787" s="16"/>
      <c r="O5787" s="17"/>
      <c r="P5787" s="17"/>
      <c r="Q5787" s="13"/>
      <c r="R5787" s="13"/>
      <c r="S5787" s="13"/>
      <c r="T5787" s="13"/>
      <c r="U5787" s="13"/>
      <c r="V5787" s="13"/>
      <c r="W5787" s="13"/>
      <c r="X5787" s="13"/>
      <c r="Y5787" s="13"/>
      <c r="Z5787" s="13"/>
      <c r="AA5787" s="13"/>
      <c r="AB5787" s="13"/>
      <c r="AC5787" s="13"/>
      <c r="AD5787" s="13"/>
      <c r="AE5787" s="13"/>
      <c r="AF5787" s="13"/>
      <c r="AG5787" s="13"/>
      <c r="AH5787" s="13"/>
      <c r="AI5787" s="13"/>
      <c r="AJ5787" s="13"/>
      <c r="AK5787" s="13"/>
      <c r="AL5787" s="13"/>
      <c r="AM5787" s="13"/>
      <c r="AN5787" s="13"/>
      <c r="AO5787" s="13"/>
      <c r="AP5787" s="13"/>
      <c r="AQ5787" s="13"/>
      <c r="AR5787" s="13"/>
      <c r="AS5787" s="13"/>
    </row>
    <row r="5788" ht="14.25" customHeight="1">
      <c r="A5788" s="13"/>
      <c r="B5788" s="13"/>
      <c r="C5788" s="13"/>
      <c r="D5788" s="13"/>
      <c r="E5788" s="13"/>
      <c r="F5788" s="13"/>
      <c r="G5788" s="13"/>
      <c r="H5788" s="13"/>
      <c r="I5788" s="13"/>
      <c r="J5788" s="13"/>
      <c r="K5788" s="15"/>
      <c r="L5788" s="15"/>
      <c r="M5788" s="16"/>
      <c r="N5788" s="16"/>
      <c r="O5788" s="17"/>
      <c r="P5788" s="17"/>
      <c r="Q5788" s="13"/>
      <c r="R5788" s="13"/>
      <c r="S5788" s="13"/>
      <c r="T5788" s="13"/>
      <c r="U5788" s="13"/>
      <c r="V5788" s="13"/>
      <c r="W5788" s="13"/>
      <c r="X5788" s="13"/>
      <c r="Y5788" s="13"/>
      <c r="Z5788" s="13"/>
      <c r="AA5788" s="13"/>
      <c r="AB5788" s="13"/>
      <c r="AC5788" s="13"/>
      <c r="AD5788" s="13"/>
      <c r="AE5788" s="13"/>
      <c r="AF5788" s="13"/>
      <c r="AG5788" s="13"/>
      <c r="AH5788" s="13"/>
      <c r="AI5788" s="13"/>
      <c r="AJ5788" s="13"/>
      <c r="AK5788" s="13"/>
      <c r="AL5788" s="13"/>
      <c r="AM5788" s="13"/>
      <c r="AN5788" s="13"/>
      <c r="AO5788" s="13"/>
      <c r="AP5788" s="13"/>
      <c r="AQ5788" s="13"/>
      <c r="AR5788" s="13"/>
      <c r="AS5788" s="13"/>
    </row>
    <row r="5789" ht="14.25" customHeight="1">
      <c r="A5789" s="13"/>
      <c r="B5789" s="13"/>
      <c r="C5789" s="13"/>
      <c r="D5789" s="13"/>
      <c r="E5789" s="13"/>
      <c r="F5789" s="13"/>
      <c r="G5789" s="13"/>
      <c r="H5789" s="13"/>
      <c r="I5789" s="13"/>
      <c r="J5789" s="13"/>
      <c r="K5789" s="15"/>
      <c r="L5789" s="15"/>
      <c r="M5789" s="16"/>
      <c r="N5789" s="16"/>
      <c r="O5789" s="17"/>
      <c r="P5789" s="17"/>
      <c r="Q5789" s="13"/>
      <c r="R5789" s="13"/>
      <c r="S5789" s="13"/>
      <c r="T5789" s="13"/>
      <c r="U5789" s="13"/>
      <c r="V5789" s="13"/>
      <c r="W5789" s="13"/>
      <c r="X5789" s="13"/>
      <c r="Y5789" s="13"/>
      <c r="Z5789" s="13"/>
      <c r="AA5789" s="13"/>
      <c r="AB5789" s="13"/>
      <c r="AC5789" s="13"/>
      <c r="AD5789" s="13"/>
      <c r="AE5789" s="13"/>
      <c r="AF5789" s="13"/>
      <c r="AG5789" s="13"/>
      <c r="AH5789" s="13"/>
      <c r="AI5789" s="13"/>
      <c r="AJ5789" s="13"/>
      <c r="AK5789" s="13"/>
      <c r="AL5789" s="13"/>
      <c r="AM5789" s="13"/>
      <c r="AN5789" s="13"/>
      <c r="AO5789" s="13"/>
      <c r="AP5789" s="13"/>
      <c r="AQ5789" s="13"/>
      <c r="AR5789" s="13"/>
      <c r="AS5789" s="13"/>
    </row>
    <row r="5790" ht="14.25" customHeight="1">
      <c r="A5790" s="13"/>
      <c r="B5790" s="13"/>
      <c r="C5790" s="13"/>
      <c r="D5790" s="13"/>
      <c r="E5790" s="13"/>
      <c r="F5790" s="13"/>
      <c r="G5790" s="13"/>
      <c r="H5790" s="13"/>
      <c r="I5790" s="13"/>
      <c r="J5790" s="13"/>
      <c r="K5790" s="15"/>
      <c r="L5790" s="15"/>
      <c r="M5790" s="16"/>
      <c r="N5790" s="16"/>
      <c r="O5790" s="17"/>
      <c r="P5790" s="17"/>
      <c r="Q5790" s="13"/>
      <c r="R5790" s="13"/>
      <c r="S5790" s="13"/>
      <c r="T5790" s="13"/>
      <c r="U5790" s="13"/>
      <c r="V5790" s="13"/>
      <c r="W5790" s="13"/>
      <c r="X5790" s="13"/>
      <c r="Y5790" s="13"/>
      <c r="Z5790" s="13"/>
      <c r="AA5790" s="13"/>
      <c r="AB5790" s="13"/>
      <c r="AC5790" s="13"/>
      <c r="AD5790" s="13"/>
      <c r="AE5790" s="13"/>
      <c r="AF5790" s="13"/>
      <c r="AG5790" s="13"/>
      <c r="AH5790" s="13"/>
      <c r="AI5790" s="13"/>
      <c r="AJ5790" s="13"/>
      <c r="AK5790" s="13"/>
      <c r="AL5790" s="13"/>
      <c r="AM5790" s="13"/>
      <c r="AN5790" s="13"/>
      <c r="AO5790" s="13"/>
      <c r="AP5790" s="13"/>
      <c r="AQ5790" s="13"/>
      <c r="AR5790" s="13"/>
      <c r="AS5790" s="13"/>
    </row>
    <row r="5791" ht="14.25" customHeight="1">
      <c r="A5791" s="13"/>
      <c r="B5791" s="13"/>
      <c r="C5791" s="13"/>
      <c r="D5791" s="13"/>
      <c r="E5791" s="13"/>
      <c r="F5791" s="13"/>
      <c r="G5791" s="13"/>
      <c r="H5791" s="13"/>
      <c r="I5791" s="13"/>
      <c r="J5791" s="13"/>
      <c r="K5791" s="15"/>
      <c r="L5791" s="15"/>
      <c r="M5791" s="16"/>
      <c r="N5791" s="16"/>
      <c r="O5791" s="17"/>
      <c r="P5791" s="17"/>
      <c r="Q5791" s="13"/>
      <c r="R5791" s="13"/>
      <c r="S5791" s="13"/>
      <c r="T5791" s="13"/>
      <c r="U5791" s="13"/>
      <c r="V5791" s="13"/>
      <c r="W5791" s="13"/>
      <c r="X5791" s="13"/>
      <c r="Y5791" s="13"/>
      <c r="Z5791" s="13"/>
      <c r="AA5791" s="13"/>
      <c r="AB5791" s="13"/>
      <c r="AC5791" s="13"/>
      <c r="AD5791" s="13"/>
      <c r="AE5791" s="13"/>
      <c r="AF5791" s="13"/>
      <c r="AG5791" s="13"/>
      <c r="AH5791" s="13"/>
      <c r="AI5791" s="13"/>
      <c r="AJ5791" s="13"/>
      <c r="AK5791" s="13"/>
      <c r="AL5791" s="13"/>
      <c r="AM5791" s="13"/>
      <c r="AN5791" s="13"/>
      <c r="AO5791" s="13"/>
      <c r="AP5791" s="13"/>
      <c r="AQ5791" s="13"/>
      <c r="AR5791" s="13"/>
      <c r="AS5791" s="13"/>
    </row>
    <row r="5792" ht="14.25" customHeight="1">
      <c r="A5792" s="13"/>
      <c r="B5792" s="13"/>
      <c r="C5792" s="13"/>
      <c r="D5792" s="13"/>
      <c r="E5792" s="13"/>
      <c r="F5792" s="13"/>
      <c r="G5792" s="13"/>
      <c r="H5792" s="13"/>
      <c r="I5792" s="13"/>
      <c r="J5792" s="13"/>
      <c r="K5792" s="15"/>
      <c r="L5792" s="15"/>
      <c r="M5792" s="16"/>
      <c r="N5792" s="16"/>
      <c r="O5792" s="17"/>
      <c r="P5792" s="17"/>
      <c r="Q5792" s="13"/>
      <c r="R5792" s="13"/>
      <c r="S5792" s="13"/>
      <c r="T5792" s="13"/>
      <c r="U5792" s="13"/>
      <c r="V5792" s="13"/>
      <c r="W5792" s="13"/>
      <c r="X5792" s="13"/>
      <c r="Y5792" s="13"/>
      <c r="Z5792" s="13"/>
      <c r="AA5792" s="13"/>
      <c r="AB5792" s="13"/>
      <c r="AC5792" s="13"/>
      <c r="AD5792" s="13"/>
      <c r="AE5792" s="13"/>
      <c r="AF5792" s="13"/>
      <c r="AG5792" s="13"/>
      <c r="AH5792" s="13"/>
      <c r="AI5792" s="13"/>
      <c r="AJ5792" s="13"/>
      <c r="AK5792" s="13"/>
      <c r="AL5792" s="13"/>
      <c r="AM5792" s="13"/>
      <c r="AN5792" s="13"/>
      <c r="AO5792" s="13"/>
      <c r="AP5792" s="13"/>
      <c r="AQ5792" s="13"/>
      <c r="AR5792" s="13"/>
      <c r="AS5792" s="13"/>
    </row>
    <row r="5793" ht="14.25" customHeight="1">
      <c r="A5793" s="13"/>
      <c r="B5793" s="13"/>
      <c r="C5793" s="13"/>
      <c r="D5793" s="13"/>
      <c r="E5793" s="13"/>
      <c r="F5793" s="13"/>
      <c r="G5793" s="13"/>
      <c r="H5793" s="13"/>
      <c r="I5793" s="13"/>
      <c r="J5793" s="13"/>
      <c r="K5793" s="15"/>
      <c r="L5793" s="15"/>
      <c r="M5793" s="16"/>
      <c r="N5793" s="16"/>
      <c r="O5793" s="17"/>
      <c r="P5793" s="17"/>
      <c r="Q5793" s="13"/>
      <c r="R5793" s="13"/>
      <c r="S5793" s="13"/>
      <c r="T5793" s="13"/>
      <c r="U5793" s="13"/>
      <c r="V5793" s="13"/>
      <c r="W5793" s="13"/>
      <c r="X5793" s="13"/>
      <c r="Y5793" s="13"/>
      <c r="Z5793" s="13"/>
      <c r="AA5793" s="13"/>
      <c r="AB5793" s="13"/>
      <c r="AC5793" s="13"/>
      <c r="AD5793" s="13"/>
      <c r="AE5793" s="13"/>
      <c r="AF5793" s="13"/>
      <c r="AG5793" s="13"/>
      <c r="AH5793" s="13"/>
      <c r="AI5793" s="13"/>
      <c r="AJ5793" s="13"/>
      <c r="AK5793" s="13"/>
      <c r="AL5793" s="13"/>
      <c r="AM5793" s="13"/>
      <c r="AN5793" s="13"/>
      <c r="AO5793" s="13"/>
      <c r="AP5793" s="13"/>
      <c r="AQ5793" s="13"/>
      <c r="AR5793" s="13"/>
      <c r="AS5793" s="13"/>
    </row>
    <row r="5794" ht="14.25" customHeight="1">
      <c r="A5794" s="13"/>
      <c r="B5794" s="13"/>
      <c r="C5794" s="13"/>
      <c r="D5794" s="13"/>
      <c r="E5794" s="13"/>
      <c r="F5794" s="13"/>
      <c r="G5794" s="13"/>
      <c r="H5794" s="13"/>
      <c r="I5794" s="13"/>
      <c r="J5794" s="13"/>
      <c r="K5794" s="15"/>
      <c r="L5794" s="15"/>
      <c r="M5794" s="16"/>
      <c r="N5794" s="16"/>
      <c r="O5794" s="17"/>
      <c r="P5794" s="17"/>
      <c r="Q5794" s="13"/>
      <c r="R5794" s="13"/>
      <c r="S5794" s="13"/>
      <c r="T5794" s="13"/>
      <c r="U5794" s="13"/>
      <c r="V5794" s="13"/>
      <c r="W5794" s="13"/>
      <c r="X5794" s="13"/>
      <c r="Y5794" s="13"/>
      <c r="Z5794" s="13"/>
      <c r="AA5794" s="13"/>
      <c r="AB5794" s="13"/>
      <c r="AC5794" s="13"/>
      <c r="AD5794" s="13"/>
      <c r="AE5794" s="13"/>
      <c r="AF5794" s="13"/>
      <c r="AG5794" s="13"/>
      <c r="AH5794" s="13"/>
      <c r="AI5794" s="13"/>
      <c r="AJ5794" s="13"/>
      <c r="AK5794" s="13"/>
      <c r="AL5794" s="13"/>
      <c r="AM5794" s="13"/>
      <c r="AN5794" s="13"/>
      <c r="AO5794" s="13"/>
      <c r="AP5794" s="13"/>
      <c r="AQ5794" s="13"/>
      <c r="AR5794" s="13"/>
      <c r="AS5794" s="13"/>
    </row>
    <row r="5795" ht="14.25" customHeight="1">
      <c r="A5795" s="13"/>
      <c r="B5795" s="13"/>
      <c r="C5795" s="13"/>
      <c r="D5795" s="13"/>
      <c r="E5795" s="13"/>
      <c r="F5795" s="13"/>
      <c r="G5795" s="13"/>
      <c r="H5795" s="13"/>
      <c r="I5795" s="13"/>
      <c r="J5795" s="13"/>
      <c r="K5795" s="15"/>
      <c r="L5795" s="15"/>
      <c r="M5795" s="16"/>
      <c r="N5795" s="16"/>
      <c r="O5795" s="17"/>
      <c r="P5795" s="17"/>
      <c r="Q5795" s="13"/>
      <c r="R5795" s="13"/>
      <c r="S5795" s="13"/>
      <c r="T5795" s="13"/>
      <c r="U5795" s="13"/>
      <c r="V5795" s="13"/>
      <c r="W5795" s="13"/>
      <c r="X5795" s="13"/>
      <c r="Y5795" s="13"/>
      <c r="Z5795" s="13"/>
      <c r="AA5795" s="13"/>
      <c r="AB5795" s="13"/>
      <c r="AC5795" s="13"/>
      <c r="AD5795" s="13"/>
      <c r="AE5795" s="13"/>
      <c r="AF5795" s="13"/>
      <c r="AG5795" s="13"/>
      <c r="AH5795" s="13"/>
      <c r="AI5795" s="13"/>
      <c r="AJ5795" s="13"/>
      <c r="AK5795" s="13"/>
      <c r="AL5795" s="13"/>
      <c r="AM5795" s="13"/>
      <c r="AN5795" s="13"/>
      <c r="AO5795" s="13"/>
      <c r="AP5795" s="13"/>
      <c r="AQ5795" s="13"/>
      <c r="AR5795" s="13"/>
      <c r="AS5795" s="13"/>
    </row>
    <row r="5796" ht="14.25" customHeight="1">
      <c r="A5796" s="13"/>
      <c r="B5796" s="13"/>
      <c r="C5796" s="13"/>
      <c r="D5796" s="13"/>
      <c r="E5796" s="13"/>
      <c r="F5796" s="13"/>
      <c r="G5796" s="13"/>
      <c r="H5796" s="13"/>
      <c r="I5796" s="13"/>
      <c r="J5796" s="13"/>
      <c r="K5796" s="15"/>
      <c r="L5796" s="15"/>
      <c r="M5796" s="16"/>
      <c r="N5796" s="16"/>
      <c r="O5796" s="17"/>
      <c r="P5796" s="17"/>
      <c r="Q5796" s="13"/>
      <c r="R5796" s="13"/>
      <c r="S5796" s="13"/>
      <c r="T5796" s="13"/>
      <c r="U5796" s="13"/>
      <c r="V5796" s="13"/>
      <c r="W5796" s="13"/>
      <c r="X5796" s="13"/>
      <c r="Y5796" s="13"/>
      <c r="Z5796" s="13"/>
      <c r="AA5796" s="13"/>
      <c r="AB5796" s="13"/>
      <c r="AC5796" s="13"/>
      <c r="AD5796" s="13"/>
      <c r="AE5796" s="13"/>
      <c r="AF5796" s="13"/>
      <c r="AG5796" s="13"/>
      <c r="AH5796" s="13"/>
      <c r="AI5796" s="13"/>
      <c r="AJ5796" s="13"/>
      <c r="AK5796" s="13"/>
      <c r="AL5796" s="13"/>
      <c r="AM5796" s="13"/>
      <c r="AN5796" s="13"/>
      <c r="AO5796" s="13"/>
      <c r="AP5796" s="13"/>
      <c r="AQ5796" s="13"/>
      <c r="AR5796" s="13"/>
      <c r="AS5796" s="13"/>
    </row>
    <row r="5797" ht="14.25" customHeight="1">
      <c r="A5797" s="13"/>
      <c r="B5797" s="13"/>
      <c r="C5797" s="13"/>
      <c r="D5797" s="13"/>
      <c r="E5797" s="13"/>
      <c r="F5797" s="13"/>
      <c r="G5797" s="13"/>
      <c r="H5797" s="13"/>
      <c r="I5797" s="13"/>
      <c r="J5797" s="13"/>
      <c r="K5797" s="15"/>
      <c r="L5797" s="15"/>
      <c r="M5797" s="16"/>
      <c r="N5797" s="16"/>
      <c r="O5797" s="17"/>
      <c r="P5797" s="17"/>
      <c r="Q5797" s="13"/>
      <c r="R5797" s="13"/>
      <c r="S5797" s="13"/>
      <c r="T5797" s="13"/>
      <c r="U5797" s="13"/>
      <c r="V5797" s="13"/>
      <c r="W5797" s="13"/>
      <c r="X5797" s="13"/>
      <c r="Y5797" s="13"/>
      <c r="Z5797" s="13"/>
      <c r="AA5797" s="13"/>
      <c r="AB5797" s="13"/>
      <c r="AC5797" s="13"/>
      <c r="AD5797" s="13"/>
      <c r="AE5797" s="13"/>
      <c r="AF5797" s="13"/>
      <c r="AG5797" s="13"/>
      <c r="AH5797" s="13"/>
      <c r="AI5797" s="13"/>
      <c r="AJ5797" s="13"/>
      <c r="AK5797" s="13"/>
      <c r="AL5797" s="13"/>
      <c r="AM5797" s="13"/>
      <c r="AN5797" s="13"/>
      <c r="AO5797" s="13"/>
      <c r="AP5797" s="13"/>
      <c r="AQ5797" s="13"/>
      <c r="AR5797" s="13"/>
      <c r="AS5797" s="13"/>
    </row>
    <row r="5798" ht="14.25" customHeight="1">
      <c r="A5798" s="13"/>
      <c r="B5798" s="13"/>
      <c r="C5798" s="13"/>
      <c r="D5798" s="13"/>
      <c r="E5798" s="13"/>
      <c r="F5798" s="13"/>
      <c r="G5798" s="13"/>
      <c r="H5798" s="13"/>
      <c r="I5798" s="13"/>
      <c r="J5798" s="13"/>
      <c r="K5798" s="15"/>
      <c r="L5798" s="15"/>
      <c r="M5798" s="16"/>
      <c r="N5798" s="16"/>
      <c r="O5798" s="17"/>
      <c r="P5798" s="17"/>
      <c r="Q5798" s="13"/>
      <c r="R5798" s="13"/>
      <c r="S5798" s="13"/>
      <c r="T5798" s="13"/>
      <c r="U5798" s="13"/>
      <c r="V5798" s="13"/>
      <c r="W5798" s="13"/>
      <c r="X5798" s="13"/>
      <c r="Y5798" s="13"/>
      <c r="Z5798" s="13"/>
      <c r="AA5798" s="13"/>
      <c r="AB5798" s="13"/>
      <c r="AC5798" s="13"/>
      <c r="AD5798" s="13"/>
      <c r="AE5798" s="13"/>
      <c r="AF5798" s="13"/>
      <c r="AG5798" s="13"/>
      <c r="AH5798" s="13"/>
      <c r="AI5798" s="13"/>
      <c r="AJ5798" s="13"/>
      <c r="AK5798" s="13"/>
      <c r="AL5798" s="13"/>
      <c r="AM5798" s="13"/>
      <c r="AN5798" s="13"/>
      <c r="AO5798" s="13"/>
      <c r="AP5798" s="13"/>
      <c r="AQ5798" s="13"/>
      <c r="AR5798" s="13"/>
      <c r="AS5798" s="13"/>
    </row>
    <row r="5799" ht="14.25" customHeight="1">
      <c r="A5799" s="13"/>
      <c r="B5799" s="13"/>
      <c r="C5799" s="13"/>
      <c r="D5799" s="13"/>
      <c r="E5799" s="13"/>
      <c r="F5799" s="13"/>
      <c r="G5799" s="13"/>
      <c r="H5799" s="13"/>
      <c r="I5799" s="13"/>
      <c r="J5799" s="13"/>
      <c r="K5799" s="15"/>
      <c r="L5799" s="15"/>
      <c r="M5799" s="16"/>
      <c r="N5799" s="16"/>
      <c r="O5799" s="17"/>
      <c r="P5799" s="17"/>
      <c r="Q5799" s="13"/>
      <c r="R5799" s="13"/>
      <c r="S5799" s="13"/>
      <c r="T5799" s="13"/>
      <c r="U5799" s="13"/>
      <c r="V5799" s="13"/>
      <c r="W5799" s="13"/>
      <c r="X5799" s="13"/>
      <c r="Y5799" s="13"/>
      <c r="Z5799" s="13"/>
      <c r="AA5799" s="13"/>
      <c r="AB5799" s="13"/>
      <c r="AC5799" s="13"/>
      <c r="AD5799" s="13"/>
      <c r="AE5799" s="13"/>
      <c r="AF5799" s="13"/>
      <c r="AG5799" s="13"/>
      <c r="AH5799" s="13"/>
      <c r="AI5799" s="13"/>
      <c r="AJ5799" s="13"/>
      <c r="AK5799" s="13"/>
      <c r="AL5799" s="13"/>
      <c r="AM5799" s="13"/>
      <c r="AN5799" s="13"/>
      <c r="AO5799" s="13"/>
      <c r="AP5799" s="13"/>
      <c r="AQ5799" s="13"/>
      <c r="AR5799" s="13"/>
      <c r="AS5799" s="13"/>
    </row>
    <row r="5800" ht="14.25" customHeight="1">
      <c r="A5800" s="13"/>
      <c r="B5800" s="13"/>
      <c r="C5800" s="13"/>
      <c r="D5800" s="13"/>
      <c r="E5800" s="13"/>
      <c r="F5800" s="13"/>
      <c r="G5800" s="13"/>
      <c r="H5800" s="13"/>
      <c r="I5800" s="13"/>
      <c r="J5800" s="13"/>
      <c r="K5800" s="15"/>
      <c r="L5800" s="15"/>
      <c r="M5800" s="16"/>
      <c r="N5800" s="16"/>
      <c r="O5800" s="17"/>
      <c r="P5800" s="17"/>
      <c r="Q5800" s="13"/>
      <c r="R5800" s="13"/>
      <c r="S5800" s="13"/>
      <c r="T5800" s="13"/>
      <c r="U5800" s="13"/>
      <c r="V5800" s="13"/>
      <c r="W5800" s="13"/>
      <c r="X5800" s="13"/>
      <c r="Y5800" s="13"/>
      <c r="Z5800" s="13"/>
      <c r="AA5800" s="13"/>
      <c r="AB5800" s="13"/>
      <c r="AC5800" s="13"/>
      <c r="AD5800" s="13"/>
      <c r="AE5800" s="13"/>
      <c r="AF5800" s="13"/>
      <c r="AG5800" s="13"/>
      <c r="AH5800" s="13"/>
      <c r="AI5800" s="13"/>
      <c r="AJ5800" s="13"/>
      <c r="AK5800" s="13"/>
      <c r="AL5800" s="13"/>
      <c r="AM5800" s="13"/>
      <c r="AN5800" s="13"/>
      <c r="AO5800" s="13"/>
      <c r="AP5800" s="13"/>
      <c r="AQ5800" s="13"/>
      <c r="AR5800" s="13"/>
      <c r="AS5800" s="13"/>
    </row>
    <row r="5801" ht="14.25" customHeight="1">
      <c r="A5801" s="13"/>
      <c r="B5801" s="13"/>
      <c r="C5801" s="13"/>
      <c r="D5801" s="13"/>
      <c r="E5801" s="13"/>
      <c r="F5801" s="13"/>
      <c r="G5801" s="13"/>
      <c r="H5801" s="13"/>
      <c r="I5801" s="13"/>
      <c r="J5801" s="13"/>
      <c r="K5801" s="15"/>
      <c r="L5801" s="15"/>
      <c r="M5801" s="16"/>
      <c r="N5801" s="16"/>
      <c r="O5801" s="17"/>
      <c r="P5801" s="17"/>
      <c r="Q5801" s="13"/>
      <c r="R5801" s="13"/>
      <c r="S5801" s="13"/>
      <c r="T5801" s="13"/>
      <c r="U5801" s="13"/>
      <c r="V5801" s="13"/>
      <c r="W5801" s="13"/>
      <c r="X5801" s="13"/>
      <c r="Y5801" s="13"/>
      <c r="Z5801" s="13"/>
      <c r="AA5801" s="13"/>
      <c r="AB5801" s="13"/>
      <c r="AC5801" s="13"/>
      <c r="AD5801" s="13"/>
      <c r="AE5801" s="13"/>
      <c r="AF5801" s="13"/>
      <c r="AG5801" s="13"/>
      <c r="AH5801" s="13"/>
      <c r="AI5801" s="13"/>
      <c r="AJ5801" s="13"/>
      <c r="AK5801" s="13"/>
      <c r="AL5801" s="13"/>
      <c r="AM5801" s="13"/>
      <c r="AN5801" s="13"/>
      <c r="AO5801" s="13"/>
      <c r="AP5801" s="13"/>
      <c r="AQ5801" s="13"/>
      <c r="AR5801" s="13"/>
      <c r="AS5801" s="13"/>
    </row>
    <row r="5802" ht="14.25" customHeight="1">
      <c r="A5802" s="13"/>
      <c r="B5802" s="13"/>
      <c r="C5802" s="13"/>
      <c r="D5802" s="13"/>
      <c r="E5802" s="13"/>
      <c r="F5802" s="13"/>
      <c r="G5802" s="13"/>
      <c r="H5802" s="13"/>
      <c r="I5802" s="13"/>
      <c r="J5802" s="13"/>
      <c r="K5802" s="15"/>
      <c r="L5802" s="15"/>
      <c r="M5802" s="16"/>
      <c r="N5802" s="16"/>
      <c r="O5802" s="17"/>
      <c r="P5802" s="17"/>
      <c r="Q5802" s="13"/>
      <c r="R5802" s="13"/>
      <c r="S5802" s="13"/>
      <c r="T5802" s="13"/>
      <c r="U5802" s="13"/>
      <c r="V5802" s="13"/>
      <c r="W5802" s="13"/>
      <c r="X5802" s="13"/>
      <c r="Y5802" s="13"/>
      <c r="Z5802" s="13"/>
      <c r="AA5802" s="13"/>
      <c r="AB5802" s="13"/>
      <c r="AC5802" s="13"/>
      <c r="AD5802" s="13"/>
      <c r="AE5802" s="13"/>
      <c r="AF5802" s="13"/>
      <c r="AG5802" s="13"/>
      <c r="AH5802" s="13"/>
      <c r="AI5802" s="13"/>
      <c r="AJ5802" s="13"/>
      <c r="AK5802" s="13"/>
      <c r="AL5802" s="13"/>
      <c r="AM5802" s="13"/>
      <c r="AN5802" s="13"/>
      <c r="AO5802" s="13"/>
      <c r="AP5802" s="13"/>
      <c r="AQ5802" s="13"/>
      <c r="AR5802" s="13"/>
      <c r="AS5802" s="13"/>
    </row>
    <row r="5803" ht="14.25" customHeight="1">
      <c r="A5803" s="13"/>
      <c r="B5803" s="13"/>
      <c r="C5803" s="13"/>
      <c r="D5803" s="13"/>
      <c r="E5803" s="13"/>
      <c r="F5803" s="13"/>
      <c r="G5803" s="13"/>
      <c r="H5803" s="13"/>
      <c r="I5803" s="13"/>
      <c r="J5803" s="13"/>
      <c r="K5803" s="15"/>
      <c r="L5803" s="15"/>
      <c r="M5803" s="16"/>
      <c r="N5803" s="16"/>
      <c r="O5803" s="17"/>
      <c r="P5803" s="17"/>
      <c r="Q5803" s="13"/>
      <c r="R5803" s="13"/>
      <c r="S5803" s="13"/>
      <c r="T5803" s="13"/>
      <c r="U5803" s="13"/>
      <c r="V5803" s="13"/>
      <c r="W5803" s="13"/>
      <c r="X5803" s="13"/>
      <c r="Y5803" s="13"/>
      <c r="Z5803" s="13"/>
      <c r="AA5803" s="13"/>
      <c r="AB5803" s="13"/>
      <c r="AC5803" s="13"/>
      <c r="AD5803" s="13"/>
      <c r="AE5803" s="13"/>
      <c r="AF5803" s="13"/>
      <c r="AG5803" s="13"/>
      <c r="AH5803" s="13"/>
      <c r="AI5803" s="13"/>
      <c r="AJ5803" s="13"/>
      <c r="AK5803" s="13"/>
      <c r="AL5803" s="13"/>
      <c r="AM5803" s="13"/>
      <c r="AN5803" s="13"/>
      <c r="AO5803" s="13"/>
      <c r="AP5803" s="13"/>
      <c r="AQ5803" s="13"/>
      <c r="AR5803" s="13"/>
      <c r="AS5803" s="13"/>
    </row>
    <row r="5804" ht="14.25" customHeight="1">
      <c r="A5804" s="13"/>
      <c r="B5804" s="13"/>
      <c r="C5804" s="13"/>
      <c r="D5804" s="13"/>
      <c r="E5804" s="13"/>
      <c r="F5804" s="13"/>
      <c r="G5804" s="13"/>
      <c r="H5804" s="13"/>
      <c r="I5804" s="13"/>
      <c r="J5804" s="13"/>
      <c r="K5804" s="15"/>
      <c r="L5804" s="15"/>
      <c r="M5804" s="16"/>
      <c r="N5804" s="16"/>
      <c r="O5804" s="17"/>
      <c r="P5804" s="17"/>
      <c r="Q5804" s="13"/>
      <c r="R5804" s="13"/>
      <c r="S5804" s="13"/>
      <c r="T5804" s="13"/>
      <c r="U5804" s="13"/>
      <c r="V5804" s="13"/>
      <c r="W5804" s="13"/>
      <c r="X5804" s="13"/>
      <c r="Y5804" s="13"/>
      <c r="Z5804" s="13"/>
      <c r="AA5804" s="13"/>
      <c r="AB5804" s="13"/>
      <c r="AC5804" s="13"/>
      <c r="AD5804" s="13"/>
      <c r="AE5804" s="13"/>
      <c r="AF5804" s="13"/>
      <c r="AG5804" s="13"/>
      <c r="AH5804" s="13"/>
      <c r="AI5804" s="13"/>
      <c r="AJ5804" s="13"/>
      <c r="AK5804" s="13"/>
      <c r="AL5804" s="13"/>
      <c r="AM5804" s="13"/>
      <c r="AN5804" s="13"/>
      <c r="AO5804" s="13"/>
      <c r="AP5804" s="13"/>
      <c r="AQ5804" s="13"/>
      <c r="AR5804" s="13"/>
      <c r="AS5804" s="13"/>
    </row>
    <row r="5805" ht="14.25" customHeight="1">
      <c r="A5805" s="13"/>
      <c r="B5805" s="13"/>
      <c r="C5805" s="13"/>
      <c r="D5805" s="13"/>
      <c r="E5805" s="13"/>
      <c r="F5805" s="13"/>
      <c r="G5805" s="13"/>
      <c r="H5805" s="13"/>
      <c r="I5805" s="13"/>
      <c r="J5805" s="13"/>
      <c r="K5805" s="15"/>
      <c r="L5805" s="15"/>
      <c r="M5805" s="16"/>
      <c r="N5805" s="16"/>
      <c r="O5805" s="17"/>
      <c r="P5805" s="17"/>
      <c r="Q5805" s="13"/>
      <c r="R5805" s="13"/>
      <c r="S5805" s="13"/>
      <c r="T5805" s="13"/>
      <c r="U5805" s="13"/>
      <c r="V5805" s="13"/>
      <c r="W5805" s="13"/>
      <c r="X5805" s="13"/>
      <c r="Y5805" s="13"/>
      <c r="Z5805" s="13"/>
      <c r="AA5805" s="13"/>
      <c r="AB5805" s="13"/>
      <c r="AC5805" s="13"/>
      <c r="AD5805" s="13"/>
      <c r="AE5805" s="13"/>
      <c r="AF5805" s="13"/>
      <c r="AG5805" s="13"/>
      <c r="AH5805" s="13"/>
      <c r="AI5805" s="13"/>
      <c r="AJ5805" s="13"/>
      <c r="AK5805" s="13"/>
      <c r="AL5805" s="13"/>
      <c r="AM5805" s="13"/>
      <c r="AN5805" s="13"/>
      <c r="AO5805" s="13"/>
      <c r="AP5805" s="13"/>
      <c r="AQ5805" s="13"/>
      <c r="AR5805" s="13"/>
      <c r="AS5805" s="13"/>
    </row>
    <row r="5806" ht="14.25" customHeight="1">
      <c r="A5806" s="13"/>
      <c r="B5806" s="13"/>
      <c r="C5806" s="13"/>
      <c r="D5806" s="13"/>
      <c r="E5806" s="13"/>
      <c r="F5806" s="13"/>
      <c r="G5806" s="13"/>
      <c r="H5806" s="13"/>
      <c r="I5806" s="13"/>
      <c r="J5806" s="13"/>
      <c r="K5806" s="15"/>
      <c r="L5806" s="15"/>
      <c r="M5806" s="16"/>
      <c r="N5806" s="16"/>
      <c r="O5806" s="17"/>
      <c r="P5806" s="17"/>
      <c r="Q5806" s="13"/>
      <c r="R5806" s="13"/>
      <c r="S5806" s="13"/>
      <c r="T5806" s="13"/>
      <c r="U5806" s="13"/>
      <c r="V5806" s="13"/>
      <c r="W5806" s="13"/>
      <c r="X5806" s="13"/>
      <c r="Y5806" s="13"/>
      <c r="Z5806" s="13"/>
      <c r="AA5806" s="13"/>
      <c r="AB5806" s="13"/>
      <c r="AC5806" s="13"/>
      <c r="AD5806" s="13"/>
      <c r="AE5806" s="13"/>
      <c r="AF5806" s="13"/>
      <c r="AG5806" s="13"/>
      <c r="AH5806" s="13"/>
      <c r="AI5806" s="13"/>
      <c r="AJ5806" s="13"/>
      <c r="AK5806" s="13"/>
      <c r="AL5806" s="13"/>
      <c r="AM5806" s="13"/>
      <c r="AN5806" s="13"/>
      <c r="AO5806" s="13"/>
      <c r="AP5806" s="13"/>
      <c r="AQ5806" s="13"/>
      <c r="AR5806" s="13"/>
      <c r="AS5806" s="13"/>
    </row>
    <row r="5807" ht="14.25" customHeight="1">
      <c r="A5807" s="13"/>
      <c r="B5807" s="13"/>
      <c r="C5807" s="13"/>
      <c r="D5807" s="13"/>
      <c r="E5807" s="13"/>
      <c r="F5807" s="13"/>
      <c r="G5807" s="13"/>
      <c r="H5807" s="13"/>
      <c r="I5807" s="13"/>
      <c r="J5807" s="13"/>
      <c r="K5807" s="15"/>
      <c r="L5807" s="15"/>
      <c r="M5807" s="16"/>
      <c r="N5807" s="16"/>
      <c r="O5807" s="17"/>
      <c r="P5807" s="17"/>
      <c r="Q5807" s="13"/>
      <c r="R5807" s="13"/>
      <c r="S5807" s="13"/>
      <c r="T5807" s="13"/>
      <c r="U5807" s="13"/>
      <c r="V5807" s="13"/>
      <c r="W5807" s="13"/>
      <c r="X5807" s="13"/>
      <c r="Y5807" s="13"/>
      <c r="Z5807" s="13"/>
      <c r="AA5807" s="13"/>
      <c r="AB5807" s="13"/>
      <c r="AC5807" s="13"/>
      <c r="AD5807" s="13"/>
      <c r="AE5807" s="13"/>
      <c r="AF5807" s="13"/>
      <c r="AG5807" s="13"/>
      <c r="AH5807" s="13"/>
      <c r="AI5807" s="13"/>
      <c r="AJ5807" s="13"/>
      <c r="AK5807" s="13"/>
      <c r="AL5807" s="13"/>
      <c r="AM5807" s="13"/>
      <c r="AN5807" s="13"/>
      <c r="AO5807" s="13"/>
      <c r="AP5807" s="13"/>
      <c r="AQ5807" s="13"/>
      <c r="AR5807" s="13"/>
      <c r="AS5807" s="13"/>
    </row>
    <row r="5808" ht="14.25" customHeight="1">
      <c r="A5808" s="13"/>
      <c r="B5808" s="13"/>
      <c r="C5808" s="13"/>
      <c r="D5808" s="13"/>
      <c r="E5808" s="13"/>
      <c r="F5808" s="13"/>
      <c r="G5808" s="13"/>
      <c r="H5808" s="13"/>
      <c r="I5808" s="13"/>
      <c r="J5808" s="13"/>
      <c r="K5808" s="15"/>
      <c r="L5808" s="15"/>
      <c r="M5808" s="16"/>
      <c r="N5808" s="16"/>
      <c r="O5808" s="17"/>
      <c r="P5808" s="17"/>
      <c r="Q5808" s="13"/>
      <c r="R5808" s="13"/>
      <c r="S5808" s="13"/>
      <c r="T5808" s="13"/>
      <c r="U5808" s="13"/>
      <c r="V5808" s="13"/>
      <c r="W5808" s="13"/>
      <c r="X5808" s="13"/>
      <c r="Y5808" s="13"/>
      <c r="Z5808" s="13"/>
      <c r="AA5808" s="13"/>
      <c r="AB5808" s="13"/>
      <c r="AC5808" s="13"/>
      <c r="AD5808" s="13"/>
      <c r="AE5808" s="13"/>
      <c r="AF5808" s="13"/>
      <c r="AG5808" s="13"/>
      <c r="AH5808" s="13"/>
      <c r="AI5808" s="13"/>
      <c r="AJ5808" s="13"/>
      <c r="AK5808" s="13"/>
      <c r="AL5808" s="13"/>
      <c r="AM5808" s="13"/>
      <c r="AN5808" s="13"/>
      <c r="AO5808" s="13"/>
      <c r="AP5808" s="13"/>
      <c r="AQ5808" s="13"/>
      <c r="AR5808" s="13"/>
      <c r="AS5808" s="13"/>
    </row>
    <row r="5809" ht="14.25" customHeight="1">
      <c r="A5809" s="13"/>
      <c r="B5809" s="13"/>
      <c r="C5809" s="13"/>
      <c r="D5809" s="13"/>
      <c r="E5809" s="13"/>
      <c r="F5809" s="13"/>
      <c r="G5809" s="13"/>
      <c r="H5809" s="13"/>
      <c r="I5809" s="13"/>
      <c r="J5809" s="13"/>
      <c r="K5809" s="15"/>
      <c r="L5809" s="15"/>
      <c r="M5809" s="16"/>
      <c r="N5809" s="16"/>
      <c r="O5809" s="17"/>
      <c r="P5809" s="17"/>
      <c r="Q5809" s="13"/>
      <c r="R5809" s="13"/>
      <c r="S5809" s="13"/>
      <c r="T5809" s="13"/>
      <c r="U5809" s="13"/>
      <c r="V5809" s="13"/>
      <c r="W5809" s="13"/>
      <c r="X5809" s="13"/>
      <c r="Y5809" s="13"/>
      <c r="Z5809" s="13"/>
      <c r="AA5809" s="13"/>
      <c r="AB5809" s="13"/>
      <c r="AC5809" s="13"/>
      <c r="AD5809" s="13"/>
      <c r="AE5809" s="13"/>
      <c r="AF5809" s="13"/>
      <c r="AG5809" s="13"/>
      <c r="AH5809" s="13"/>
      <c r="AI5809" s="13"/>
      <c r="AJ5809" s="13"/>
      <c r="AK5809" s="13"/>
      <c r="AL5809" s="13"/>
      <c r="AM5809" s="13"/>
      <c r="AN5809" s="13"/>
      <c r="AO5809" s="13"/>
      <c r="AP5809" s="13"/>
      <c r="AQ5809" s="13"/>
      <c r="AR5809" s="13"/>
      <c r="AS5809" s="13"/>
    </row>
    <row r="5810" ht="14.25" customHeight="1">
      <c r="A5810" s="13"/>
      <c r="B5810" s="13"/>
      <c r="C5810" s="13"/>
      <c r="D5810" s="13"/>
      <c r="E5810" s="13"/>
      <c r="F5810" s="13"/>
      <c r="G5810" s="13"/>
      <c r="H5810" s="13"/>
      <c r="I5810" s="13"/>
      <c r="J5810" s="13"/>
      <c r="K5810" s="15"/>
      <c r="L5810" s="15"/>
      <c r="M5810" s="16"/>
      <c r="N5810" s="16"/>
      <c r="O5810" s="17"/>
      <c r="P5810" s="17"/>
      <c r="Q5810" s="13"/>
      <c r="R5810" s="13"/>
      <c r="S5810" s="13"/>
      <c r="T5810" s="13"/>
      <c r="U5810" s="13"/>
      <c r="V5810" s="13"/>
      <c r="W5810" s="13"/>
      <c r="X5810" s="13"/>
      <c r="Y5810" s="13"/>
      <c r="Z5810" s="13"/>
      <c r="AA5810" s="13"/>
      <c r="AB5810" s="13"/>
      <c r="AC5810" s="13"/>
      <c r="AD5810" s="13"/>
      <c r="AE5810" s="13"/>
      <c r="AF5810" s="13"/>
      <c r="AG5810" s="13"/>
      <c r="AH5810" s="13"/>
      <c r="AI5810" s="13"/>
      <c r="AJ5810" s="13"/>
      <c r="AK5810" s="13"/>
      <c r="AL5810" s="13"/>
      <c r="AM5810" s="13"/>
      <c r="AN5810" s="13"/>
      <c r="AO5810" s="13"/>
      <c r="AP5810" s="13"/>
      <c r="AQ5810" s="13"/>
      <c r="AR5810" s="13"/>
      <c r="AS5810" s="13"/>
    </row>
    <row r="5811" ht="14.25" customHeight="1">
      <c r="A5811" s="13"/>
      <c r="B5811" s="13"/>
      <c r="C5811" s="13"/>
      <c r="D5811" s="13"/>
      <c r="E5811" s="13"/>
      <c r="F5811" s="13"/>
      <c r="G5811" s="13"/>
      <c r="H5811" s="13"/>
      <c r="I5811" s="13"/>
      <c r="J5811" s="13"/>
      <c r="K5811" s="15"/>
      <c r="L5811" s="15"/>
      <c r="M5811" s="16"/>
      <c r="N5811" s="16"/>
      <c r="O5811" s="17"/>
      <c r="P5811" s="17"/>
      <c r="Q5811" s="13"/>
      <c r="R5811" s="13"/>
      <c r="S5811" s="13"/>
      <c r="T5811" s="13"/>
      <c r="U5811" s="13"/>
      <c r="V5811" s="13"/>
      <c r="W5811" s="13"/>
      <c r="X5811" s="13"/>
      <c r="Y5811" s="13"/>
      <c r="Z5811" s="13"/>
      <c r="AA5811" s="13"/>
      <c r="AB5811" s="13"/>
      <c r="AC5811" s="13"/>
      <c r="AD5811" s="13"/>
      <c r="AE5811" s="13"/>
      <c r="AF5811" s="13"/>
      <c r="AG5811" s="13"/>
      <c r="AH5811" s="13"/>
      <c r="AI5811" s="13"/>
      <c r="AJ5811" s="13"/>
      <c r="AK5811" s="13"/>
      <c r="AL5811" s="13"/>
      <c r="AM5811" s="13"/>
      <c r="AN5811" s="13"/>
      <c r="AO5811" s="13"/>
      <c r="AP5811" s="13"/>
      <c r="AQ5811" s="13"/>
      <c r="AR5811" s="13"/>
      <c r="AS5811" s="13"/>
    </row>
    <row r="5812" ht="14.25" customHeight="1">
      <c r="A5812" s="13"/>
      <c r="B5812" s="13"/>
      <c r="C5812" s="13"/>
      <c r="D5812" s="13"/>
      <c r="E5812" s="13"/>
      <c r="F5812" s="13"/>
      <c r="G5812" s="13"/>
      <c r="H5812" s="13"/>
      <c r="I5812" s="13"/>
      <c r="J5812" s="13"/>
      <c r="K5812" s="15"/>
      <c r="L5812" s="15"/>
      <c r="M5812" s="16"/>
      <c r="N5812" s="16"/>
      <c r="O5812" s="17"/>
      <c r="P5812" s="17"/>
      <c r="Q5812" s="13"/>
      <c r="R5812" s="13"/>
      <c r="S5812" s="13"/>
      <c r="T5812" s="13"/>
      <c r="U5812" s="13"/>
      <c r="V5812" s="13"/>
      <c r="W5812" s="13"/>
      <c r="X5812" s="13"/>
      <c r="Y5812" s="13"/>
      <c r="Z5812" s="13"/>
      <c r="AA5812" s="13"/>
      <c r="AB5812" s="13"/>
      <c r="AC5812" s="13"/>
      <c r="AD5812" s="13"/>
      <c r="AE5812" s="13"/>
      <c r="AF5812" s="13"/>
      <c r="AG5812" s="13"/>
      <c r="AH5812" s="13"/>
      <c r="AI5812" s="13"/>
      <c r="AJ5812" s="13"/>
      <c r="AK5812" s="13"/>
      <c r="AL5812" s="13"/>
      <c r="AM5812" s="13"/>
      <c r="AN5812" s="13"/>
      <c r="AO5812" s="13"/>
      <c r="AP5812" s="13"/>
      <c r="AQ5812" s="13"/>
      <c r="AR5812" s="13"/>
      <c r="AS5812" s="13"/>
    </row>
    <row r="5813" ht="14.25" customHeight="1">
      <c r="A5813" s="13"/>
      <c r="B5813" s="13"/>
      <c r="C5813" s="13"/>
      <c r="D5813" s="13"/>
      <c r="E5813" s="13"/>
      <c r="F5813" s="13"/>
      <c r="G5813" s="13"/>
      <c r="H5813" s="13"/>
      <c r="I5813" s="13"/>
      <c r="J5813" s="13"/>
      <c r="K5813" s="15"/>
      <c r="L5813" s="15"/>
      <c r="M5813" s="16"/>
      <c r="N5813" s="16"/>
      <c r="O5813" s="17"/>
      <c r="P5813" s="17"/>
      <c r="Q5813" s="13"/>
      <c r="R5813" s="13"/>
      <c r="S5813" s="13"/>
      <c r="T5813" s="13"/>
      <c r="U5813" s="13"/>
      <c r="V5813" s="13"/>
      <c r="W5813" s="13"/>
      <c r="X5813" s="13"/>
      <c r="Y5813" s="13"/>
      <c r="Z5813" s="13"/>
      <c r="AA5813" s="13"/>
      <c r="AB5813" s="13"/>
      <c r="AC5813" s="13"/>
      <c r="AD5813" s="13"/>
      <c r="AE5813" s="13"/>
      <c r="AF5813" s="13"/>
      <c r="AG5813" s="13"/>
      <c r="AH5813" s="13"/>
      <c r="AI5813" s="13"/>
      <c r="AJ5813" s="13"/>
      <c r="AK5813" s="13"/>
      <c r="AL5813" s="13"/>
      <c r="AM5813" s="13"/>
      <c r="AN5813" s="13"/>
      <c r="AO5813" s="13"/>
      <c r="AP5813" s="13"/>
      <c r="AQ5813" s="13"/>
      <c r="AR5813" s="13"/>
      <c r="AS5813" s="13"/>
    </row>
    <row r="5814" ht="14.25" customHeight="1">
      <c r="A5814" s="13"/>
      <c r="B5814" s="13"/>
      <c r="C5814" s="13"/>
      <c r="D5814" s="13"/>
      <c r="E5814" s="13"/>
      <c r="F5814" s="13"/>
      <c r="G5814" s="13"/>
      <c r="H5814" s="13"/>
      <c r="I5814" s="13"/>
      <c r="J5814" s="13"/>
      <c r="K5814" s="15"/>
      <c r="L5814" s="15"/>
      <c r="M5814" s="16"/>
      <c r="N5814" s="16"/>
      <c r="O5814" s="17"/>
      <c r="P5814" s="17"/>
      <c r="Q5814" s="13"/>
      <c r="R5814" s="13"/>
      <c r="S5814" s="13"/>
      <c r="T5814" s="13"/>
      <c r="U5814" s="13"/>
      <c r="V5814" s="13"/>
      <c r="W5814" s="13"/>
      <c r="X5814" s="13"/>
      <c r="Y5814" s="13"/>
      <c r="Z5814" s="13"/>
      <c r="AA5814" s="13"/>
      <c r="AB5814" s="13"/>
      <c r="AC5814" s="13"/>
      <c r="AD5814" s="13"/>
      <c r="AE5814" s="13"/>
      <c r="AF5814" s="13"/>
      <c r="AG5814" s="13"/>
      <c r="AH5814" s="13"/>
      <c r="AI5814" s="13"/>
      <c r="AJ5814" s="13"/>
      <c r="AK5814" s="13"/>
      <c r="AL5814" s="13"/>
      <c r="AM5814" s="13"/>
      <c r="AN5814" s="13"/>
      <c r="AO5814" s="13"/>
      <c r="AP5814" s="13"/>
      <c r="AQ5814" s="13"/>
      <c r="AR5814" s="13"/>
      <c r="AS5814" s="13"/>
    </row>
    <row r="5815" ht="14.25" customHeight="1">
      <c r="A5815" s="13"/>
      <c r="B5815" s="13"/>
      <c r="C5815" s="13"/>
      <c r="D5815" s="13"/>
      <c r="E5815" s="13"/>
      <c r="F5815" s="13"/>
      <c r="G5815" s="13"/>
      <c r="H5815" s="13"/>
      <c r="I5815" s="13"/>
      <c r="J5815" s="13"/>
      <c r="K5815" s="15"/>
      <c r="L5815" s="15"/>
      <c r="M5815" s="16"/>
      <c r="N5815" s="16"/>
      <c r="O5815" s="17"/>
      <c r="P5815" s="17"/>
      <c r="Q5815" s="13"/>
      <c r="R5815" s="13"/>
      <c r="S5815" s="13"/>
      <c r="T5815" s="13"/>
      <c r="U5815" s="13"/>
      <c r="V5815" s="13"/>
      <c r="W5815" s="13"/>
      <c r="X5815" s="13"/>
      <c r="Y5815" s="13"/>
      <c r="Z5815" s="13"/>
      <c r="AA5815" s="13"/>
      <c r="AB5815" s="13"/>
      <c r="AC5815" s="13"/>
      <c r="AD5815" s="13"/>
      <c r="AE5815" s="13"/>
      <c r="AF5815" s="13"/>
      <c r="AG5815" s="13"/>
      <c r="AH5815" s="13"/>
      <c r="AI5815" s="13"/>
      <c r="AJ5815" s="13"/>
      <c r="AK5815" s="13"/>
      <c r="AL5815" s="13"/>
      <c r="AM5815" s="13"/>
      <c r="AN5815" s="13"/>
      <c r="AO5815" s="13"/>
      <c r="AP5815" s="13"/>
      <c r="AQ5815" s="13"/>
      <c r="AR5815" s="13"/>
      <c r="AS5815" s="13"/>
    </row>
    <row r="5816" ht="14.25" customHeight="1">
      <c r="A5816" s="13"/>
      <c r="B5816" s="13"/>
      <c r="C5816" s="13"/>
      <c r="D5816" s="13"/>
      <c r="E5816" s="13"/>
      <c r="F5816" s="13"/>
      <c r="G5816" s="13"/>
      <c r="H5816" s="13"/>
      <c r="I5816" s="13"/>
      <c r="J5816" s="13"/>
      <c r="K5816" s="15"/>
      <c r="L5816" s="15"/>
      <c r="M5816" s="16"/>
      <c r="N5816" s="16"/>
      <c r="O5816" s="17"/>
      <c r="P5816" s="17"/>
      <c r="Q5816" s="13"/>
      <c r="R5816" s="13"/>
      <c r="S5816" s="13"/>
      <c r="T5816" s="13"/>
      <c r="U5816" s="13"/>
      <c r="V5816" s="13"/>
      <c r="W5816" s="13"/>
      <c r="X5816" s="13"/>
      <c r="Y5816" s="13"/>
      <c r="Z5816" s="13"/>
      <c r="AA5816" s="13"/>
      <c r="AB5816" s="13"/>
      <c r="AC5816" s="13"/>
      <c r="AD5816" s="13"/>
      <c r="AE5816" s="13"/>
      <c r="AF5816" s="13"/>
      <c r="AG5816" s="13"/>
      <c r="AH5816" s="13"/>
      <c r="AI5816" s="13"/>
      <c r="AJ5816" s="13"/>
      <c r="AK5816" s="13"/>
      <c r="AL5816" s="13"/>
      <c r="AM5816" s="13"/>
      <c r="AN5816" s="13"/>
      <c r="AO5816" s="13"/>
      <c r="AP5816" s="13"/>
      <c r="AQ5816" s="13"/>
      <c r="AR5816" s="13"/>
      <c r="AS5816" s="13"/>
    </row>
    <row r="5817" ht="14.25" customHeight="1">
      <c r="A5817" s="13"/>
      <c r="B5817" s="13"/>
      <c r="C5817" s="13"/>
      <c r="D5817" s="13"/>
      <c r="E5817" s="13"/>
      <c r="F5817" s="13"/>
      <c r="G5817" s="13"/>
      <c r="H5817" s="13"/>
      <c r="I5817" s="13"/>
      <c r="J5817" s="13"/>
      <c r="K5817" s="15"/>
      <c r="L5817" s="15"/>
      <c r="M5817" s="16"/>
      <c r="N5817" s="16"/>
      <c r="O5817" s="17"/>
      <c r="P5817" s="17"/>
      <c r="Q5817" s="13"/>
      <c r="R5817" s="13"/>
      <c r="S5817" s="13"/>
      <c r="T5817" s="13"/>
      <c r="U5817" s="13"/>
      <c r="V5817" s="13"/>
      <c r="W5817" s="13"/>
      <c r="X5817" s="13"/>
      <c r="Y5817" s="13"/>
      <c r="Z5817" s="13"/>
      <c r="AA5817" s="13"/>
      <c r="AB5817" s="13"/>
      <c r="AC5817" s="13"/>
      <c r="AD5817" s="13"/>
      <c r="AE5817" s="13"/>
      <c r="AF5817" s="13"/>
      <c r="AG5817" s="13"/>
      <c r="AH5817" s="13"/>
      <c r="AI5817" s="13"/>
      <c r="AJ5817" s="13"/>
      <c r="AK5817" s="13"/>
      <c r="AL5817" s="13"/>
      <c r="AM5817" s="13"/>
      <c r="AN5817" s="13"/>
      <c r="AO5817" s="13"/>
      <c r="AP5817" s="13"/>
      <c r="AQ5817" s="13"/>
      <c r="AR5817" s="13"/>
      <c r="AS5817" s="13"/>
    </row>
    <row r="5818" ht="14.25" customHeight="1">
      <c r="A5818" s="13"/>
      <c r="B5818" s="13"/>
      <c r="C5818" s="13"/>
      <c r="D5818" s="13"/>
      <c r="E5818" s="13"/>
      <c r="F5818" s="13"/>
      <c r="G5818" s="13"/>
      <c r="H5818" s="13"/>
      <c r="I5818" s="13"/>
      <c r="J5818" s="13"/>
      <c r="K5818" s="15"/>
      <c r="L5818" s="15"/>
      <c r="M5818" s="16"/>
      <c r="N5818" s="16"/>
      <c r="O5818" s="17"/>
      <c r="P5818" s="17"/>
      <c r="Q5818" s="13"/>
      <c r="R5818" s="13"/>
      <c r="S5818" s="13"/>
      <c r="T5818" s="13"/>
      <c r="U5818" s="13"/>
      <c r="V5818" s="13"/>
      <c r="W5818" s="13"/>
      <c r="X5818" s="13"/>
      <c r="Y5818" s="13"/>
      <c r="Z5818" s="13"/>
      <c r="AA5818" s="13"/>
      <c r="AB5818" s="13"/>
      <c r="AC5818" s="13"/>
      <c r="AD5818" s="13"/>
      <c r="AE5818" s="13"/>
      <c r="AF5818" s="13"/>
      <c r="AG5818" s="13"/>
      <c r="AH5818" s="13"/>
      <c r="AI5818" s="13"/>
      <c r="AJ5818" s="13"/>
      <c r="AK5818" s="13"/>
      <c r="AL5818" s="13"/>
      <c r="AM5818" s="13"/>
      <c r="AN5818" s="13"/>
      <c r="AO5818" s="13"/>
      <c r="AP5818" s="13"/>
      <c r="AQ5818" s="13"/>
      <c r="AR5818" s="13"/>
      <c r="AS5818" s="13"/>
    </row>
    <row r="5819" ht="14.25" customHeight="1">
      <c r="A5819" s="13"/>
      <c r="B5819" s="13"/>
      <c r="C5819" s="13"/>
      <c r="D5819" s="13"/>
      <c r="E5819" s="13"/>
      <c r="F5819" s="13"/>
      <c r="G5819" s="13"/>
      <c r="H5819" s="13"/>
      <c r="I5819" s="13"/>
      <c r="J5819" s="13"/>
      <c r="K5819" s="15"/>
      <c r="L5819" s="15"/>
      <c r="M5819" s="16"/>
      <c r="N5819" s="16"/>
      <c r="O5819" s="17"/>
      <c r="P5819" s="17"/>
      <c r="Q5819" s="13"/>
      <c r="R5819" s="13"/>
      <c r="S5819" s="13"/>
      <c r="T5819" s="13"/>
      <c r="U5819" s="13"/>
      <c r="V5819" s="13"/>
      <c r="W5819" s="13"/>
      <c r="X5819" s="13"/>
      <c r="Y5819" s="13"/>
      <c r="Z5819" s="13"/>
      <c r="AA5819" s="13"/>
      <c r="AB5819" s="13"/>
      <c r="AC5819" s="13"/>
      <c r="AD5819" s="13"/>
      <c r="AE5819" s="13"/>
      <c r="AF5819" s="13"/>
      <c r="AG5819" s="13"/>
      <c r="AH5819" s="13"/>
      <c r="AI5819" s="13"/>
      <c r="AJ5819" s="13"/>
      <c r="AK5819" s="13"/>
      <c r="AL5819" s="13"/>
      <c r="AM5819" s="13"/>
      <c r="AN5819" s="13"/>
      <c r="AO5819" s="13"/>
      <c r="AP5819" s="13"/>
      <c r="AQ5819" s="13"/>
      <c r="AR5819" s="13"/>
      <c r="AS5819" s="13"/>
    </row>
    <row r="5820" ht="14.25" customHeight="1">
      <c r="A5820" s="13"/>
      <c r="B5820" s="13"/>
      <c r="C5820" s="13"/>
      <c r="D5820" s="13"/>
      <c r="E5820" s="13"/>
      <c r="F5820" s="13"/>
      <c r="G5820" s="13"/>
      <c r="H5820" s="13"/>
      <c r="I5820" s="13"/>
      <c r="J5820" s="13"/>
      <c r="K5820" s="15"/>
      <c r="L5820" s="15"/>
      <c r="M5820" s="16"/>
      <c r="N5820" s="16"/>
      <c r="O5820" s="17"/>
      <c r="P5820" s="17"/>
      <c r="Q5820" s="13"/>
      <c r="R5820" s="13"/>
      <c r="S5820" s="13"/>
      <c r="T5820" s="13"/>
      <c r="U5820" s="13"/>
      <c r="V5820" s="13"/>
      <c r="W5820" s="13"/>
      <c r="X5820" s="13"/>
      <c r="Y5820" s="13"/>
      <c r="Z5820" s="13"/>
      <c r="AA5820" s="13"/>
      <c r="AB5820" s="13"/>
      <c r="AC5820" s="13"/>
      <c r="AD5820" s="13"/>
      <c r="AE5820" s="13"/>
      <c r="AF5820" s="13"/>
      <c r="AG5820" s="13"/>
      <c r="AH5820" s="13"/>
      <c r="AI5820" s="13"/>
      <c r="AJ5820" s="13"/>
      <c r="AK5820" s="13"/>
      <c r="AL5820" s="13"/>
      <c r="AM5820" s="13"/>
      <c r="AN5820" s="13"/>
      <c r="AO5820" s="13"/>
      <c r="AP5820" s="13"/>
      <c r="AQ5820" s="13"/>
      <c r="AR5820" s="13"/>
      <c r="AS5820" s="13"/>
    </row>
    <row r="5821" ht="14.25" customHeight="1">
      <c r="A5821" s="13"/>
      <c r="B5821" s="13"/>
      <c r="C5821" s="13"/>
      <c r="D5821" s="13"/>
      <c r="E5821" s="13"/>
      <c r="F5821" s="13"/>
      <c r="G5821" s="13"/>
      <c r="H5821" s="13"/>
      <c r="I5821" s="13"/>
      <c r="J5821" s="13"/>
      <c r="K5821" s="15"/>
      <c r="L5821" s="15"/>
      <c r="M5821" s="16"/>
      <c r="N5821" s="16"/>
      <c r="O5821" s="17"/>
      <c r="P5821" s="17"/>
      <c r="Q5821" s="13"/>
      <c r="R5821" s="13"/>
      <c r="S5821" s="13"/>
      <c r="T5821" s="13"/>
      <c r="U5821" s="13"/>
      <c r="V5821" s="13"/>
      <c r="W5821" s="13"/>
      <c r="X5821" s="13"/>
      <c r="Y5821" s="13"/>
      <c r="Z5821" s="13"/>
      <c r="AA5821" s="13"/>
      <c r="AB5821" s="13"/>
      <c r="AC5821" s="13"/>
      <c r="AD5821" s="13"/>
      <c r="AE5821" s="13"/>
      <c r="AF5821" s="13"/>
      <c r="AG5821" s="13"/>
      <c r="AH5821" s="13"/>
      <c r="AI5821" s="13"/>
      <c r="AJ5821" s="13"/>
      <c r="AK5821" s="13"/>
      <c r="AL5821" s="13"/>
      <c r="AM5821" s="13"/>
      <c r="AN5821" s="13"/>
      <c r="AO5821" s="13"/>
      <c r="AP5821" s="13"/>
      <c r="AQ5821" s="13"/>
      <c r="AR5821" s="13"/>
      <c r="AS5821" s="13"/>
    </row>
    <row r="5822" ht="14.25" customHeight="1">
      <c r="A5822" s="13"/>
      <c r="B5822" s="13"/>
      <c r="C5822" s="13"/>
      <c r="D5822" s="13"/>
      <c r="E5822" s="13"/>
      <c r="F5822" s="13"/>
      <c r="G5822" s="13"/>
      <c r="H5822" s="13"/>
      <c r="I5822" s="13"/>
      <c r="J5822" s="13"/>
      <c r="K5822" s="15"/>
      <c r="L5822" s="15"/>
      <c r="M5822" s="16"/>
      <c r="N5822" s="16"/>
      <c r="O5822" s="17"/>
      <c r="P5822" s="17"/>
      <c r="Q5822" s="13"/>
      <c r="R5822" s="13"/>
      <c r="S5822" s="13"/>
      <c r="T5822" s="13"/>
      <c r="U5822" s="13"/>
      <c r="V5822" s="13"/>
      <c r="W5822" s="13"/>
      <c r="X5822" s="13"/>
      <c r="Y5822" s="13"/>
      <c r="Z5822" s="13"/>
      <c r="AA5822" s="13"/>
      <c r="AB5822" s="13"/>
      <c r="AC5822" s="13"/>
      <c r="AD5822" s="13"/>
      <c r="AE5822" s="13"/>
      <c r="AF5822" s="13"/>
      <c r="AG5822" s="13"/>
      <c r="AH5822" s="13"/>
      <c r="AI5822" s="13"/>
      <c r="AJ5822" s="13"/>
      <c r="AK5822" s="13"/>
      <c r="AL5822" s="13"/>
      <c r="AM5822" s="13"/>
      <c r="AN5822" s="13"/>
      <c r="AO5822" s="13"/>
      <c r="AP5822" s="13"/>
      <c r="AQ5822" s="13"/>
      <c r="AR5822" s="13"/>
      <c r="AS5822" s="13"/>
    </row>
    <row r="5823" ht="14.25" customHeight="1">
      <c r="A5823" s="13"/>
      <c r="B5823" s="13"/>
      <c r="C5823" s="13"/>
      <c r="D5823" s="13"/>
      <c r="E5823" s="13"/>
      <c r="F5823" s="13"/>
      <c r="G5823" s="13"/>
      <c r="H5823" s="13"/>
      <c r="I5823" s="13"/>
      <c r="J5823" s="13"/>
      <c r="K5823" s="15"/>
      <c r="L5823" s="15"/>
      <c r="M5823" s="16"/>
      <c r="N5823" s="16"/>
      <c r="O5823" s="17"/>
      <c r="P5823" s="17"/>
      <c r="Q5823" s="13"/>
      <c r="R5823" s="13"/>
      <c r="S5823" s="13"/>
      <c r="T5823" s="13"/>
      <c r="U5823" s="13"/>
      <c r="V5823" s="13"/>
      <c r="W5823" s="13"/>
      <c r="X5823" s="13"/>
      <c r="Y5823" s="13"/>
      <c r="Z5823" s="13"/>
      <c r="AA5823" s="13"/>
      <c r="AB5823" s="13"/>
      <c r="AC5823" s="13"/>
      <c r="AD5823" s="13"/>
      <c r="AE5823" s="13"/>
      <c r="AF5823" s="13"/>
      <c r="AG5823" s="13"/>
      <c r="AH5823" s="13"/>
      <c r="AI5823" s="13"/>
      <c r="AJ5823" s="13"/>
      <c r="AK5823" s="13"/>
      <c r="AL5823" s="13"/>
      <c r="AM5823" s="13"/>
      <c r="AN5823" s="13"/>
      <c r="AO5823" s="13"/>
      <c r="AP5823" s="13"/>
      <c r="AQ5823" s="13"/>
      <c r="AR5823" s="13"/>
      <c r="AS5823" s="13"/>
    </row>
    <row r="5824" ht="14.25" customHeight="1">
      <c r="A5824" s="13"/>
      <c r="B5824" s="13"/>
      <c r="C5824" s="13"/>
      <c r="D5824" s="13"/>
      <c r="E5824" s="13"/>
      <c r="F5824" s="13"/>
      <c r="G5824" s="13"/>
      <c r="H5824" s="13"/>
      <c r="I5824" s="13"/>
      <c r="J5824" s="13"/>
      <c r="K5824" s="15"/>
      <c r="L5824" s="15"/>
      <c r="M5824" s="16"/>
      <c r="N5824" s="16"/>
      <c r="O5824" s="17"/>
      <c r="P5824" s="17"/>
      <c r="Q5824" s="13"/>
      <c r="R5824" s="13"/>
      <c r="S5824" s="13"/>
      <c r="T5824" s="13"/>
      <c r="U5824" s="13"/>
      <c r="V5824" s="13"/>
      <c r="W5824" s="13"/>
      <c r="X5824" s="13"/>
      <c r="Y5824" s="13"/>
      <c r="Z5824" s="13"/>
      <c r="AA5824" s="13"/>
      <c r="AB5824" s="13"/>
      <c r="AC5824" s="13"/>
      <c r="AD5824" s="13"/>
      <c r="AE5824" s="13"/>
      <c r="AF5824" s="13"/>
      <c r="AG5824" s="13"/>
      <c r="AH5824" s="13"/>
      <c r="AI5824" s="13"/>
      <c r="AJ5824" s="13"/>
      <c r="AK5824" s="13"/>
      <c r="AL5824" s="13"/>
      <c r="AM5824" s="13"/>
      <c r="AN5824" s="13"/>
      <c r="AO5824" s="13"/>
      <c r="AP5824" s="13"/>
      <c r="AQ5824" s="13"/>
      <c r="AR5824" s="13"/>
      <c r="AS5824" s="13"/>
    </row>
    <row r="5825" ht="14.25" customHeight="1">
      <c r="A5825" s="13"/>
      <c r="B5825" s="13"/>
      <c r="C5825" s="13"/>
      <c r="D5825" s="13"/>
      <c r="E5825" s="13"/>
      <c r="F5825" s="13"/>
      <c r="G5825" s="13"/>
      <c r="H5825" s="13"/>
      <c r="I5825" s="13"/>
      <c r="J5825" s="13"/>
      <c r="K5825" s="15"/>
      <c r="L5825" s="15"/>
      <c r="M5825" s="16"/>
      <c r="N5825" s="16"/>
      <c r="O5825" s="17"/>
      <c r="P5825" s="17"/>
      <c r="Q5825" s="13"/>
      <c r="R5825" s="13"/>
      <c r="S5825" s="13"/>
      <c r="T5825" s="13"/>
      <c r="U5825" s="13"/>
      <c r="V5825" s="13"/>
      <c r="W5825" s="13"/>
      <c r="X5825" s="13"/>
      <c r="Y5825" s="13"/>
      <c r="Z5825" s="13"/>
      <c r="AA5825" s="13"/>
      <c r="AB5825" s="13"/>
      <c r="AC5825" s="13"/>
      <c r="AD5825" s="13"/>
      <c r="AE5825" s="13"/>
      <c r="AF5825" s="13"/>
      <c r="AG5825" s="13"/>
      <c r="AH5825" s="13"/>
      <c r="AI5825" s="13"/>
      <c r="AJ5825" s="13"/>
      <c r="AK5825" s="13"/>
      <c r="AL5825" s="13"/>
      <c r="AM5825" s="13"/>
      <c r="AN5825" s="13"/>
      <c r="AO5825" s="13"/>
      <c r="AP5825" s="13"/>
      <c r="AQ5825" s="13"/>
      <c r="AR5825" s="13"/>
      <c r="AS5825" s="13"/>
    </row>
    <row r="5826" ht="14.25" customHeight="1">
      <c r="A5826" s="13"/>
      <c r="B5826" s="13"/>
      <c r="C5826" s="13"/>
      <c r="D5826" s="13"/>
      <c r="E5826" s="13"/>
      <c r="F5826" s="13"/>
      <c r="G5826" s="13"/>
      <c r="H5826" s="13"/>
      <c r="I5826" s="13"/>
      <c r="J5826" s="13"/>
      <c r="K5826" s="15"/>
      <c r="L5826" s="15"/>
      <c r="M5826" s="16"/>
      <c r="N5826" s="16"/>
      <c r="O5826" s="17"/>
      <c r="P5826" s="17"/>
      <c r="Q5826" s="13"/>
      <c r="R5826" s="13"/>
      <c r="S5826" s="13"/>
      <c r="T5826" s="13"/>
      <c r="U5826" s="13"/>
      <c r="V5826" s="13"/>
      <c r="W5826" s="13"/>
      <c r="X5826" s="13"/>
      <c r="Y5826" s="13"/>
      <c r="Z5826" s="13"/>
      <c r="AA5826" s="13"/>
      <c r="AB5826" s="13"/>
      <c r="AC5826" s="13"/>
      <c r="AD5826" s="13"/>
      <c r="AE5826" s="13"/>
      <c r="AF5826" s="13"/>
      <c r="AG5826" s="13"/>
      <c r="AH5826" s="13"/>
      <c r="AI5826" s="13"/>
      <c r="AJ5826" s="13"/>
      <c r="AK5826" s="13"/>
      <c r="AL5826" s="13"/>
      <c r="AM5826" s="13"/>
      <c r="AN5826" s="13"/>
      <c r="AO5826" s="13"/>
      <c r="AP5826" s="13"/>
      <c r="AQ5826" s="13"/>
      <c r="AR5826" s="13"/>
      <c r="AS5826" s="13"/>
    </row>
    <row r="5827" ht="14.25" customHeight="1">
      <c r="A5827" s="13"/>
      <c r="B5827" s="13"/>
      <c r="C5827" s="13"/>
      <c r="D5827" s="13"/>
      <c r="E5827" s="13"/>
      <c r="F5827" s="13"/>
      <c r="G5827" s="13"/>
      <c r="H5827" s="13"/>
      <c r="I5827" s="13"/>
      <c r="J5827" s="13"/>
      <c r="K5827" s="15"/>
      <c r="L5827" s="15"/>
      <c r="M5827" s="16"/>
      <c r="N5827" s="16"/>
      <c r="O5827" s="17"/>
      <c r="P5827" s="17"/>
      <c r="Q5827" s="13"/>
      <c r="R5827" s="13"/>
      <c r="S5827" s="13"/>
      <c r="T5827" s="13"/>
      <c r="U5827" s="13"/>
      <c r="V5827" s="13"/>
      <c r="W5827" s="13"/>
      <c r="X5827" s="13"/>
      <c r="Y5827" s="13"/>
      <c r="Z5827" s="13"/>
      <c r="AA5827" s="13"/>
      <c r="AB5827" s="13"/>
      <c r="AC5827" s="13"/>
      <c r="AD5827" s="13"/>
      <c r="AE5827" s="13"/>
      <c r="AF5827" s="13"/>
      <c r="AG5827" s="13"/>
      <c r="AH5827" s="13"/>
      <c r="AI5827" s="13"/>
      <c r="AJ5827" s="13"/>
      <c r="AK5827" s="13"/>
      <c r="AL5827" s="13"/>
      <c r="AM5827" s="13"/>
      <c r="AN5827" s="13"/>
      <c r="AO5827" s="13"/>
      <c r="AP5827" s="13"/>
      <c r="AQ5827" s="13"/>
      <c r="AR5827" s="13"/>
      <c r="AS5827" s="13"/>
    </row>
    <row r="5828" ht="14.25" customHeight="1">
      <c r="A5828" s="13"/>
      <c r="B5828" s="13"/>
      <c r="C5828" s="13"/>
      <c r="D5828" s="13"/>
      <c r="E5828" s="13"/>
      <c r="F5828" s="13"/>
      <c r="G5828" s="13"/>
      <c r="H5828" s="13"/>
      <c r="I5828" s="13"/>
      <c r="J5828" s="13"/>
      <c r="K5828" s="15"/>
      <c r="L5828" s="15"/>
      <c r="M5828" s="16"/>
      <c r="N5828" s="16"/>
      <c r="O5828" s="17"/>
      <c r="P5828" s="17"/>
      <c r="Q5828" s="13"/>
      <c r="R5828" s="13"/>
      <c r="S5828" s="13"/>
      <c r="T5828" s="13"/>
      <c r="U5828" s="13"/>
      <c r="V5828" s="13"/>
      <c r="W5828" s="13"/>
      <c r="X5828" s="13"/>
      <c r="Y5828" s="13"/>
      <c r="Z5828" s="13"/>
      <c r="AA5828" s="13"/>
      <c r="AB5828" s="13"/>
      <c r="AC5828" s="13"/>
      <c r="AD5828" s="13"/>
      <c r="AE5828" s="13"/>
      <c r="AF5828" s="13"/>
      <c r="AG5828" s="13"/>
      <c r="AH5828" s="13"/>
      <c r="AI5828" s="13"/>
      <c r="AJ5828" s="13"/>
      <c r="AK5828" s="13"/>
      <c r="AL5828" s="13"/>
      <c r="AM5828" s="13"/>
      <c r="AN5828" s="13"/>
      <c r="AO5828" s="13"/>
      <c r="AP5828" s="13"/>
      <c r="AQ5828" s="13"/>
      <c r="AR5828" s="13"/>
      <c r="AS5828" s="13"/>
    </row>
    <row r="5829" ht="14.25" customHeight="1">
      <c r="A5829" s="13"/>
      <c r="B5829" s="13"/>
      <c r="C5829" s="13"/>
      <c r="D5829" s="13"/>
      <c r="E5829" s="13"/>
      <c r="F5829" s="13"/>
      <c r="G5829" s="13"/>
      <c r="H5829" s="13"/>
      <c r="I5829" s="13"/>
      <c r="J5829" s="13"/>
      <c r="K5829" s="15"/>
      <c r="L5829" s="15"/>
      <c r="M5829" s="16"/>
      <c r="N5829" s="16"/>
      <c r="O5829" s="17"/>
      <c r="P5829" s="17"/>
      <c r="Q5829" s="13"/>
      <c r="R5829" s="13"/>
      <c r="S5829" s="13"/>
      <c r="T5829" s="13"/>
      <c r="U5829" s="13"/>
      <c r="V5829" s="13"/>
      <c r="W5829" s="13"/>
      <c r="X5829" s="13"/>
      <c r="Y5829" s="13"/>
      <c r="Z5829" s="13"/>
      <c r="AA5829" s="13"/>
      <c r="AB5829" s="13"/>
      <c r="AC5829" s="13"/>
      <c r="AD5829" s="13"/>
      <c r="AE5829" s="13"/>
      <c r="AF5829" s="13"/>
      <c r="AG5829" s="13"/>
      <c r="AH5829" s="13"/>
      <c r="AI5829" s="13"/>
      <c r="AJ5829" s="13"/>
      <c r="AK5829" s="13"/>
      <c r="AL5829" s="13"/>
      <c r="AM5829" s="13"/>
      <c r="AN5829" s="13"/>
      <c r="AO5829" s="13"/>
      <c r="AP5829" s="13"/>
      <c r="AQ5829" s="13"/>
      <c r="AR5829" s="13"/>
      <c r="AS5829" s="13"/>
    </row>
    <row r="5830" ht="14.25" customHeight="1">
      <c r="A5830" s="13"/>
      <c r="B5830" s="13"/>
      <c r="C5830" s="13"/>
      <c r="D5830" s="13"/>
      <c r="E5830" s="13"/>
      <c r="F5830" s="13"/>
      <c r="G5830" s="13"/>
      <c r="H5830" s="13"/>
      <c r="I5830" s="13"/>
      <c r="J5830" s="13"/>
      <c r="K5830" s="15"/>
      <c r="L5830" s="15"/>
      <c r="M5830" s="16"/>
      <c r="N5830" s="16"/>
      <c r="O5830" s="17"/>
      <c r="P5830" s="17"/>
      <c r="Q5830" s="13"/>
      <c r="R5830" s="13"/>
      <c r="S5830" s="13"/>
      <c r="T5830" s="13"/>
      <c r="U5830" s="13"/>
      <c r="V5830" s="13"/>
      <c r="W5830" s="13"/>
      <c r="X5830" s="13"/>
      <c r="Y5830" s="13"/>
      <c r="Z5830" s="13"/>
      <c r="AA5830" s="13"/>
      <c r="AB5830" s="13"/>
      <c r="AC5830" s="13"/>
      <c r="AD5830" s="13"/>
      <c r="AE5830" s="13"/>
      <c r="AF5830" s="13"/>
      <c r="AG5830" s="13"/>
      <c r="AH5830" s="13"/>
      <c r="AI5830" s="13"/>
      <c r="AJ5830" s="13"/>
      <c r="AK5830" s="13"/>
      <c r="AL5830" s="13"/>
      <c r="AM5830" s="13"/>
      <c r="AN5830" s="13"/>
      <c r="AO5830" s="13"/>
      <c r="AP5830" s="13"/>
      <c r="AQ5830" s="13"/>
      <c r="AR5830" s="13"/>
      <c r="AS5830" s="13"/>
    </row>
    <row r="5831" ht="14.25" customHeight="1">
      <c r="A5831" s="13"/>
      <c r="B5831" s="13"/>
      <c r="C5831" s="13"/>
      <c r="D5831" s="13"/>
      <c r="E5831" s="13"/>
      <c r="F5831" s="13"/>
      <c r="G5831" s="13"/>
      <c r="H5831" s="13"/>
      <c r="I5831" s="13"/>
      <c r="J5831" s="13"/>
      <c r="K5831" s="15"/>
      <c r="L5831" s="15"/>
      <c r="M5831" s="16"/>
      <c r="N5831" s="16"/>
      <c r="O5831" s="17"/>
      <c r="P5831" s="17"/>
      <c r="Q5831" s="13"/>
      <c r="R5831" s="13"/>
      <c r="S5831" s="13"/>
      <c r="T5831" s="13"/>
      <c r="U5831" s="13"/>
      <c r="V5831" s="13"/>
      <c r="W5831" s="13"/>
      <c r="X5831" s="13"/>
      <c r="Y5831" s="13"/>
      <c r="Z5831" s="13"/>
      <c r="AA5831" s="13"/>
      <c r="AB5831" s="13"/>
      <c r="AC5831" s="13"/>
      <c r="AD5831" s="13"/>
      <c r="AE5831" s="13"/>
      <c r="AF5831" s="13"/>
      <c r="AG5831" s="13"/>
      <c r="AH5831" s="13"/>
      <c r="AI5831" s="13"/>
      <c r="AJ5831" s="13"/>
      <c r="AK5831" s="13"/>
      <c r="AL5831" s="13"/>
      <c r="AM5831" s="13"/>
      <c r="AN5831" s="13"/>
      <c r="AO5831" s="13"/>
      <c r="AP5831" s="13"/>
      <c r="AQ5831" s="13"/>
      <c r="AR5831" s="13"/>
      <c r="AS5831" s="13"/>
    </row>
    <row r="5832" ht="14.25" customHeight="1">
      <c r="A5832" s="13"/>
      <c r="B5832" s="13"/>
      <c r="C5832" s="13"/>
      <c r="D5832" s="13"/>
      <c r="E5832" s="13"/>
      <c r="F5832" s="13"/>
      <c r="G5832" s="13"/>
      <c r="H5832" s="13"/>
      <c r="I5832" s="13"/>
      <c r="J5832" s="13"/>
      <c r="K5832" s="15"/>
      <c r="L5832" s="15"/>
      <c r="M5832" s="16"/>
      <c r="N5832" s="16"/>
      <c r="O5832" s="17"/>
      <c r="P5832" s="17"/>
      <c r="Q5832" s="13"/>
      <c r="R5832" s="13"/>
      <c r="S5832" s="13"/>
      <c r="T5832" s="13"/>
      <c r="U5832" s="13"/>
      <c r="V5832" s="13"/>
      <c r="W5832" s="13"/>
      <c r="X5832" s="13"/>
      <c r="Y5832" s="13"/>
      <c r="Z5832" s="13"/>
      <c r="AA5832" s="13"/>
      <c r="AB5832" s="13"/>
      <c r="AC5832" s="13"/>
      <c r="AD5832" s="13"/>
      <c r="AE5832" s="13"/>
      <c r="AF5832" s="13"/>
      <c r="AG5832" s="13"/>
      <c r="AH5832" s="13"/>
      <c r="AI5832" s="13"/>
      <c r="AJ5832" s="13"/>
      <c r="AK5832" s="13"/>
      <c r="AL5832" s="13"/>
      <c r="AM5832" s="13"/>
      <c r="AN5832" s="13"/>
      <c r="AO5832" s="13"/>
      <c r="AP5832" s="13"/>
      <c r="AQ5832" s="13"/>
      <c r="AR5832" s="13"/>
      <c r="AS5832" s="13"/>
    </row>
    <row r="5833" ht="14.25" customHeight="1">
      <c r="A5833" s="13"/>
      <c r="B5833" s="13"/>
      <c r="C5833" s="13"/>
      <c r="D5833" s="13"/>
      <c r="E5833" s="13"/>
      <c r="F5833" s="13"/>
      <c r="G5833" s="13"/>
      <c r="H5833" s="13"/>
      <c r="I5833" s="13"/>
      <c r="J5833" s="13"/>
      <c r="K5833" s="15"/>
      <c r="L5833" s="15"/>
      <c r="M5833" s="16"/>
      <c r="N5833" s="16"/>
      <c r="O5833" s="17"/>
      <c r="P5833" s="17"/>
      <c r="Q5833" s="13"/>
      <c r="R5833" s="13"/>
      <c r="S5833" s="13"/>
      <c r="T5833" s="13"/>
      <c r="U5833" s="13"/>
      <c r="V5833" s="13"/>
      <c r="W5833" s="13"/>
      <c r="X5833" s="13"/>
      <c r="Y5833" s="13"/>
      <c r="Z5833" s="13"/>
      <c r="AA5833" s="13"/>
      <c r="AB5833" s="13"/>
      <c r="AC5833" s="13"/>
      <c r="AD5833" s="13"/>
      <c r="AE5833" s="13"/>
      <c r="AF5833" s="13"/>
      <c r="AG5833" s="13"/>
      <c r="AH5833" s="13"/>
      <c r="AI5833" s="13"/>
      <c r="AJ5833" s="13"/>
      <c r="AK5833" s="13"/>
      <c r="AL5833" s="13"/>
      <c r="AM5833" s="13"/>
      <c r="AN5833" s="13"/>
      <c r="AO5833" s="13"/>
      <c r="AP5833" s="13"/>
      <c r="AQ5833" s="13"/>
      <c r="AR5833" s="13"/>
      <c r="AS5833" s="13"/>
    </row>
    <row r="5834" ht="14.25" customHeight="1">
      <c r="A5834" s="13"/>
      <c r="B5834" s="13"/>
      <c r="C5834" s="13"/>
      <c r="D5834" s="13"/>
      <c r="E5834" s="13"/>
      <c r="F5834" s="13"/>
      <c r="G5834" s="13"/>
      <c r="H5834" s="13"/>
      <c r="I5834" s="13"/>
      <c r="J5834" s="13"/>
      <c r="K5834" s="15"/>
      <c r="L5834" s="15"/>
      <c r="M5834" s="16"/>
      <c r="N5834" s="16"/>
      <c r="O5834" s="17"/>
      <c r="P5834" s="17"/>
      <c r="Q5834" s="13"/>
      <c r="R5834" s="13"/>
      <c r="S5834" s="13"/>
      <c r="T5834" s="13"/>
      <c r="U5834" s="13"/>
      <c r="V5834" s="13"/>
      <c r="W5834" s="13"/>
      <c r="X5834" s="13"/>
      <c r="Y5834" s="13"/>
      <c r="Z5834" s="13"/>
      <c r="AA5834" s="13"/>
      <c r="AB5834" s="13"/>
      <c r="AC5834" s="13"/>
      <c r="AD5834" s="13"/>
      <c r="AE5834" s="13"/>
      <c r="AF5834" s="13"/>
      <c r="AG5834" s="13"/>
      <c r="AH5834" s="13"/>
      <c r="AI5834" s="13"/>
      <c r="AJ5834" s="13"/>
      <c r="AK5834" s="13"/>
      <c r="AL5834" s="13"/>
      <c r="AM5834" s="13"/>
      <c r="AN5834" s="13"/>
      <c r="AO5834" s="13"/>
      <c r="AP5834" s="13"/>
      <c r="AQ5834" s="13"/>
      <c r="AR5834" s="13"/>
      <c r="AS5834" s="13"/>
    </row>
    <row r="5835" ht="14.25" customHeight="1">
      <c r="A5835" s="13"/>
      <c r="B5835" s="13"/>
      <c r="C5835" s="13"/>
      <c r="D5835" s="13"/>
      <c r="E5835" s="13"/>
      <c r="F5835" s="13"/>
      <c r="G5835" s="13"/>
      <c r="H5835" s="13"/>
      <c r="I5835" s="13"/>
      <c r="J5835" s="13"/>
      <c r="K5835" s="15"/>
      <c r="L5835" s="15"/>
      <c r="M5835" s="16"/>
      <c r="N5835" s="16"/>
      <c r="O5835" s="17"/>
      <c r="P5835" s="17"/>
      <c r="Q5835" s="13"/>
      <c r="R5835" s="13"/>
      <c r="S5835" s="13"/>
      <c r="T5835" s="13"/>
      <c r="U5835" s="13"/>
      <c r="V5835" s="13"/>
      <c r="W5835" s="13"/>
      <c r="X5835" s="13"/>
      <c r="Y5835" s="13"/>
      <c r="Z5835" s="13"/>
      <c r="AA5835" s="13"/>
      <c r="AB5835" s="13"/>
      <c r="AC5835" s="13"/>
      <c r="AD5835" s="13"/>
      <c r="AE5835" s="13"/>
      <c r="AF5835" s="13"/>
      <c r="AG5835" s="13"/>
      <c r="AH5835" s="13"/>
      <c r="AI5835" s="13"/>
      <c r="AJ5835" s="13"/>
      <c r="AK5835" s="13"/>
      <c r="AL5835" s="13"/>
      <c r="AM5835" s="13"/>
      <c r="AN5835" s="13"/>
      <c r="AO5835" s="13"/>
      <c r="AP5835" s="13"/>
      <c r="AQ5835" s="13"/>
      <c r="AR5835" s="13"/>
      <c r="AS5835" s="13"/>
    </row>
    <row r="5836" ht="14.25" customHeight="1">
      <c r="A5836" s="13"/>
      <c r="B5836" s="13"/>
      <c r="C5836" s="13"/>
      <c r="D5836" s="13"/>
      <c r="E5836" s="13"/>
      <c r="F5836" s="13"/>
      <c r="G5836" s="13"/>
      <c r="H5836" s="13"/>
      <c r="I5836" s="13"/>
      <c r="J5836" s="13"/>
      <c r="K5836" s="15"/>
      <c r="L5836" s="15"/>
      <c r="M5836" s="16"/>
      <c r="N5836" s="16"/>
      <c r="O5836" s="17"/>
      <c r="P5836" s="17"/>
      <c r="Q5836" s="13"/>
      <c r="R5836" s="13"/>
      <c r="S5836" s="13"/>
      <c r="T5836" s="13"/>
      <c r="U5836" s="13"/>
      <c r="V5836" s="13"/>
      <c r="W5836" s="13"/>
      <c r="X5836" s="13"/>
      <c r="Y5836" s="13"/>
      <c r="Z5836" s="13"/>
      <c r="AA5836" s="13"/>
      <c r="AB5836" s="13"/>
      <c r="AC5836" s="13"/>
      <c r="AD5836" s="13"/>
      <c r="AE5836" s="13"/>
      <c r="AF5836" s="13"/>
      <c r="AG5836" s="13"/>
      <c r="AH5836" s="13"/>
      <c r="AI5836" s="13"/>
      <c r="AJ5836" s="13"/>
      <c r="AK5836" s="13"/>
      <c r="AL5836" s="13"/>
      <c r="AM5836" s="13"/>
      <c r="AN5836" s="13"/>
      <c r="AO5836" s="13"/>
      <c r="AP5836" s="13"/>
      <c r="AQ5836" s="13"/>
      <c r="AR5836" s="13"/>
      <c r="AS5836" s="13"/>
    </row>
    <row r="5837" ht="14.25" customHeight="1">
      <c r="A5837" s="13"/>
      <c r="B5837" s="13"/>
      <c r="C5837" s="13"/>
      <c r="D5837" s="13"/>
      <c r="E5837" s="13"/>
      <c r="F5837" s="13"/>
      <c r="G5837" s="13"/>
      <c r="H5837" s="13"/>
      <c r="I5837" s="13"/>
      <c r="J5837" s="13"/>
      <c r="K5837" s="15"/>
      <c r="L5837" s="15"/>
      <c r="M5837" s="16"/>
      <c r="N5837" s="16"/>
      <c r="O5837" s="17"/>
      <c r="P5837" s="17"/>
      <c r="Q5837" s="13"/>
      <c r="R5837" s="13"/>
      <c r="S5837" s="13"/>
      <c r="T5837" s="13"/>
      <c r="U5837" s="13"/>
      <c r="V5837" s="13"/>
      <c r="W5837" s="13"/>
      <c r="X5837" s="13"/>
      <c r="Y5837" s="13"/>
      <c r="Z5837" s="13"/>
      <c r="AA5837" s="13"/>
      <c r="AB5837" s="13"/>
      <c r="AC5837" s="13"/>
      <c r="AD5837" s="13"/>
      <c r="AE5837" s="13"/>
      <c r="AF5837" s="13"/>
      <c r="AG5837" s="13"/>
      <c r="AH5837" s="13"/>
      <c r="AI5837" s="13"/>
      <c r="AJ5837" s="13"/>
      <c r="AK5837" s="13"/>
      <c r="AL5837" s="13"/>
      <c r="AM5837" s="13"/>
      <c r="AN5837" s="13"/>
      <c r="AO5837" s="13"/>
      <c r="AP5837" s="13"/>
      <c r="AQ5837" s="13"/>
      <c r="AR5837" s="13"/>
      <c r="AS5837" s="13"/>
    </row>
    <row r="5838" ht="14.25" customHeight="1">
      <c r="A5838" s="13"/>
      <c r="B5838" s="13"/>
      <c r="C5838" s="13"/>
      <c r="D5838" s="13"/>
      <c r="E5838" s="13"/>
      <c r="F5838" s="13"/>
      <c r="G5838" s="13"/>
      <c r="H5838" s="13"/>
      <c r="I5838" s="13"/>
      <c r="J5838" s="13"/>
      <c r="K5838" s="15"/>
      <c r="L5838" s="15"/>
      <c r="M5838" s="16"/>
      <c r="N5838" s="16"/>
      <c r="O5838" s="17"/>
      <c r="P5838" s="17"/>
      <c r="Q5838" s="13"/>
      <c r="R5838" s="13"/>
      <c r="S5838" s="13"/>
      <c r="T5838" s="13"/>
      <c r="U5838" s="13"/>
      <c r="V5838" s="13"/>
      <c r="W5838" s="13"/>
      <c r="X5838" s="13"/>
      <c r="Y5838" s="13"/>
      <c r="Z5838" s="13"/>
      <c r="AA5838" s="13"/>
      <c r="AB5838" s="13"/>
      <c r="AC5838" s="13"/>
      <c r="AD5838" s="13"/>
      <c r="AE5838" s="13"/>
      <c r="AF5838" s="13"/>
      <c r="AG5838" s="13"/>
      <c r="AH5838" s="13"/>
      <c r="AI5838" s="13"/>
      <c r="AJ5838" s="13"/>
      <c r="AK5838" s="13"/>
      <c r="AL5838" s="13"/>
      <c r="AM5838" s="13"/>
      <c r="AN5838" s="13"/>
      <c r="AO5838" s="13"/>
      <c r="AP5838" s="13"/>
      <c r="AQ5838" s="13"/>
      <c r="AR5838" s="13"/>
      <c r="AS5838" s="13"/>
    </row>
    <row r="5839" ht="14.25" customHeight="1">
      <c r="A5839" s="13"/>
      <c r="B5839" s="13"/>
      <c r="C5839" s="13"/>
      <c r="D5839" s="13"/>
      <c r="E5839" s="13"/>
      <c r="F5839" s="13"/>
      <c r="G5839" s="13"/>
      <c r="H5839" s="13"/>
      <c r="I5839" s="13"/>
      <c r="J5839" s="13"/>
      <c r="K5839" s="15"/>
      <c r="L5839" s="15"/>
      <c r="M5839" s="16"/>
      <c r="N5839" s="16"/>
      <c r="O5839" s="17"/>
      <c r="P5839" s="17"/>
      <c r="Q5839" s="13"/>
      <c r="R5839" s="13"/>
      <c r="S5839" s="13"/>
      <c r="T5839" s="13"/>
      <c r="U5839" s="13"/>
      <c r="V5839" s="13"/>
      <c r="W5839" s="13"/>
      <c r="X5839" s="13"/>
      <c r="Y5839" s="13"/>
      <c r="Z5839" s="13"/>
      <c r="AA5839" s="13"/>
      <c r="AB5839" s="13"/>
      <c r="AC5839" s="13"/>
      <c r="AD5839" s="13"/>
      <c r="AE5839" s="13"/>
      <c r="AF5839" s="13"/>
      <c r="AG5839" s="13"/>
      <c r="AH5839" s="13"/>
      <c r="AI5839" s="13"/>
      <c r="AJ5839" s="13"/>
      <c r="AK5839" s="13"/>
      <c r="AL5839" s="13"/>
      <c r="AM5839" s="13"/>
      <c r="AN5839" s="13"/>
      <c r="AO5839" s="13"/>
      <c r="AP5839" s="13"/>
      <c r="AQ5839" s="13"/>
      <c r="AR5839" s="13"/>
      <c r="AS5839" s="13"/>
    </row>
    <row r="5840" ht="14.25" customHeight="1">
      <c r="A5840" s="13"/>
      <c r="B5840" s="13"/>
      <c r="C5840" s="13"/>
      <c r="D5840" s="13"/>
      <c r="E5840" s="13"/>
      <c r="F5840" s="13"/>
      <c r="G5840" s="13"/>
      <c r="H5840" s="13"/>
      <c r="I5840" s="13"/>
      <c r="J5840" s="13"/>
      <c r="K5840" s="15"/>
      <c r="L5840" s="15"/>
      <c r="M5840" s="16"/>
      <c r="N5840" s="16"/>
      <c r="O5840" s="17"/>
      <c r="P5840" s="17"/>
      <c r="Q5840" s="13"/>
      <c r="R5840" s="13"/>
      <c r="S5840" s="13"/>
      <c r="T5840" s="13"/>
      <c r="U5840" s="13"/>
      <c r="V5840" s="13"/>
      <c r="W5840" s="13"/>
      <c r="X5840" s="13"/>
      <c r="Y5840" s="13"/>
      <c r="Z5840" s="13"/>
      <c r="AA5840" s="13"/>
      <c r="AB5840" s="13"/>
      <c r="AC5840" s="13"/>
      <c r="AD5840" s="13"/>
      <c r="AE5840" s="13"/>
      <c r="AF5840" s="13"/>
      <c r="AG5840" s="13"/>
      <c r="AH5840" s="13"/>
      <c r="AI5840" s="13"/>
      <c r="AJ5840" s="13"/>
      <c r="AK5840" s="13"/>
      <c r="AL5840" s="13"/>
      <c r="AM5840" s="13"/>
      <c r="AN5840" s="13"/>
      <c r="AO5840" s="13"/>
      <c r="AP5840" s="13"/>
      <c r="AQ5840" s="13"/>
      <c r="AR5840" s="13"/>
      <c r="AS5840" s="13"/>
    </row>
    <row r="5841" ht="14.25" customHeight="1">
      <c r="A5841" s="13"/>
      <c r="B5841" s="13"/>
      <c r="C5841" s="13"/>
      <c r="D5841" s="13"/>
      <c r="E5841" s="13"/>
      <c r="F5841" s="13"/>
      <c r="G5841" s="13"/>
      <c r="H5841" s="13"/>
      <c r="I5841" s="13"/>
      <c r="J5841" s="13"/>
      <c r="K5841" s="15"/>
      <c r="L5841" s="15"/>
      <c r="M5841" s="16"/>
      <c r="N5841" s="16"/>
      <c r="O5841" s="17"/>
      <c r="P5841" s="17"/>
      <c r="Q5841" s="13"/>
      <c r="R5841" s="13"/>
      <c r="S5841" s="13"/>
      <c r="T5841" s="13"/>
      <c r="U5841" s="13"/>
      <c r="V5841" s="13"/>
      <c r="W5841" s="13"/>
      <c r="X5841" s="13"/>
      <c r="Y5841" s="13"/>
      <c r="Z5841" s="13"/>
      <c r="AA5841" s="13"/>
      <c r="AB5841" s="13"/>
      <c r="AC5841" s="13"/>
      <c r="AD5841" s="13"/>
      <c r="AE5841" s="13"/>
      <c r="AF5841" s="13"/>
      <c r="AG5841" s="13"/>
      <c r="AH5841" s="13"/>
      <c r="AI5841" s="13"/>
      <c r="AJ5841" s="13"/>
      <c r="AK5841" s="13"/>
      <c r="AL5841" s="13"/>
      <c r="AM5841" s="13"/>
      <c r="AN5841" s="13"/>
      <c r="AO5841" s="13"/>
      <c r="AP5841" s="13"/>
      <c r="AQ5841" s="13"/>
      <c r="AR5841" s="13"/>
      <c r="AS5841" s="13"/>
    </row>
    <row r="5842" ht="14.25" customHeight="1">
      <c r="A5842" s="13"/>
      <c r="B5842" s="13"/>
      <c r="C5842" s="13"/>
      <c r="D5842" s="13"/>
      <c r="E5842" s="13"/>
      <c r="F5842" s="13"/>
      <c r="G5842" s="13"/>
      <c r="H5842" s="13"/>
      <c r="I5842" s="13"/>
      <c r="J5842" s="13"/>
      <c r="K5842" s="15"/>
      <c r="L5842" s="15"/>
      <c r="M5842" s="16"/>
      <c r="N5842" s="16"/>
      <c r="O5842" s="17"/>
      <c r="P5842" s="17"/>
      <c r="Q5842" s="13"/>
      <c r="R5842" s="13"/>
      <c r="S5842" s="13"/>
      <c r="T5842" s="13"/>
      <c r="U5842" s="13"/>
      <c r="V5842" s="13"/>
      <c r="W5842" s="13"/>
      <c r="X5842" s="13"/>
      <c r="Y5842" s="13"/>
      <c r="Z5842" s="13"/>
      <c r="AA5842" s="13"/>
      <c r="AB5842" s="13"/>
      <c r="AC5842" s="13"/>
      <c r="AD5842" s="13"/>
      <c r="AE5842" s="13"/>
      <c r="AF5842" s="13"/>
      <c r="AG5842" s="13"/>
      <c r="AH5842" s="13"/>
      <c r="AI5842" s="13"/>
      <c r="AJ5842" s="13"/>
      <c r="AK5842" s="13"/>
      <c r="AL5842" s="13"/>
      <c r="AM5842" s="13"/>
      <c r="AN5842" s="13"/>
      <c r="AO5842" s="13"/>
      <c r="AP5842" s="13"/>
      <c r="AQ5842" s="13"/>
      <c r="AR5842" s="13"/>
      <c r="AS5842" s="13"/>
    </row>
    <row r="5843" ht="14.25" customHeight="1">
      <c r="A5843" s="13"/>
      <c r="B5843" s="13"/>
      <c r="C5843" s="13"/>
      <c r="D5843" s="13"/>
      <c r="E5843" s="13"/>
      <c r="F5843" s="13"/>
      <c r="G5843" s="13"/>
      <c r="H5843" s="13"/>
      <c r="I5843" s="13"/>
      <c r="J5843" s="13"/>
      <c r="K5843" s="15"/>
      <c r="L5843" s="15"/>
      <c r="M5843" s="16"/>
      <c r="N5843" s="16"/>
      <c r="O5843" s="17"/>
      <c r="P5843" s="17"/>
      <c r="Q5843" s="13"/>
      <c r="R5843" s="13"/>
      <c r="S5843" s="13"/>
      <c r="T5843" s="13"/>
      <c r="U5843" s="13"/>
      <c r="V5843" s="13"/>
      <c r="W5843" s="13"/>
      <c r="X5843" s="13"/>
      <c r="Y5843" s="13"/>
      <c r="Z5843" s="13"/>
      <c r="AA5843" s="13"/>
      <c r="AB5843" s="13"/>
      <c r="AC5843" s="13"/>
      <c r="AD5843" s="13"/>
      <c r="AE5843" s="13"/>
      <c r="AF5843" s="13"/>
      <c r="AG5843" s="13"/>
      <c r="AH5843" s="13"/>
      <c r="AI5843" s="13"/>
      <c r="AJ5843" s="13"/>
      <c r="AK5843" s="13"/>
      <c r="AL5843" s="13"/>
      <c r="AM5843" s="13"/>
      <c r="AN5843" s="13"/>
      <c r="AO5843" s="13"/>
      <c r="AP5843" s="13"/>
      <c r="AQ5843" s="13"/>
      <c r="AR5843" s="13"/>
      <c r="AS5843" s="13"/>
    </row>
    <row r="5844" ht="14.25" customHeight="1">
      <c r="A5844" s="13"/>
      <c r="B5844" s="13"/>
      <c r="C5844" s="13"/>
      <c r="D5844" s="13"/>
      <c r="E5844" s="13"/>
      <c r="F5844" s="13"/>
      <c r="G5844" s="13"/>
      <c r="H5844" s="13"/>
      <c r="I5844" s="13"/>
      <c r="J5844" s="13"/>
      <c r="K5844" s="15"/>
      <c r="L5844" s="15"/>
      <c r="M5844" s="16"/>
      <c r="N5844" s="16"/>
      <c r="O5844" s="17"/>
      <c r="P5844" s="17"/>
      <c r="Q5844" s="13"/>
      <c r="R5844" s="13"/>
      <c r="S5844" s="13"/>
      <c r="T5844" s="13"/>
      <c r="U5844" s="13"/>
      <c r="V5844" s="13"/>
      <c r="W5844" s="13"/>
      <c r="X5844" s="13"/>
      <c r="Y5844" s="13"/>
      <c r="Z5844" s="13"/>
      <c r="AA5844" s="13"/>
      <c r="AB5844" s="13"/>
      <c r="AC5844" s="13"/>
      <c r="AD5844" s="13"/>
      <c r="AE5844" s="13"/>
      <c r="AF5844" s="13"/>
      <c r="AG5844" s="13"/>
      <c r="AH5844" s="13"/>
      <c r="AI5844" s="13"/>
      <c r="AJ5844" s="13"/>
      <c r="AK5844" s="13"/>
      <c r="AL5844" s="13"/>
      <c r="AM5844" s="13"/>
      <c r="AN5844" s="13"/>
      <c r="AO5844" s="13"/>
      <c r="AP5844" s="13"/>
      <c r="AQ5844" s="13"/>
      <c r="AR5844" s="13"/>
      <c r="AS5844" s="13"/>
    </row>
    <row r="5845" ht="14.25" customHeight="1">
      <c r="A5845" s="13"/>
      <c r="B5845" s="13"/>
      <c r="C5845" s="13"/>
      <c r="D5845" s="13"/>
      <c r="E5845" s="13"/>
      <c r="F5845" s="13"/>
      <c r="G5845" s="13"/>
      <c r="H5845" s="13"/>
      <c r="I5845" s="13"/>
      <c r="J5845" s="13"/>
      <c r="K5845" s="15"/>
      <c r="L5845" s="15"/>
      <c r="M5845" s="16"/>
      <c r="N5845" s="16"/>
      <c r="O5845" s="17"/>
      <c r="P5845" s="17"/>
      <c r="Q5845" s="13"/>
      <c r="R5845" s="13"/>
      <c r="S5845" s="13"/>
      <c r="T5845" s="13"/>
      <c r="U5845" s="13"/>
      <c r="V5845" s="13"/>
      <c r="W5845" s="13"/>
      <c r="X5845" s="13"/>
      <c r="Y5845" s="13"/>
      <c r="Z5845" s="13"/>
      <c r="AA5845" s="13"/>
      <c r="AB5845" s="13"/>
      <c r="AC5845" s="13"/>
      <c r="AD5845" s="13"/>
      <c r="AE5845" s="13"/>
      <c r="AF5845" s="13"/>
      <c r="AG5845" s="13"/>
      <c r="AH5845" s="13"/>
      <c r="AI5845" s="13"/>
      <c r="AJ5845" s="13"/>
      <c r="AK5845" s="13"/>
      <c r="AL5845" s="13"/>
      <c r="AM5845" s="13"/>
      <c r="AN5845" s="13"/>
      <c r="AO5845" s="13"/>
      <c r="AP5845" s="13"/>
      <c r="AQ5845" s="13"/>
      <c r="AR5845" s="13"/>
      <c r="AS5845" s="13"/>
    </row>
    <row r="5846" ht="14.25" customHeight="1">
      <c r="A5846" s="13"/>
      <c r="B5846" s="13"/>
      <c r="C5846" s="13"/>
      <c r="D5846" s="13"/>
      <c r="E5846" s="13"/>
      <c r="F5846" s="13"/>
      <c r="G5846" s="13"/>
      <c r="H5846" s="13"/>
      <c r="I5846" s="13"/>
      <c r="J5846" s="13"/>
      <c r="K5846" s="15"/>
      <c r="L5846" s="15"/>
      <c r="M5846" s="16"/>
      <c r="N5846" s="16"/>
      <c r="O5846" s="17"/>
      <c r="P5846" s="17"/>
      <c r="Q5846" s="13"/>
      <c r="R5846" s="13"/>
      <c r="S5846" s="13"/>
      <c r="T5846" s="13"/>
      <c r="U5846" s="13"/>
      <c r="V5846" s="13"/>
      <c r="W5846" s="13"/>
      <c r="X5846" s="13"/>
      <c r="Y5846" s="13"/>
      <c r="Z5846" s="13"/>
      <c r="AA5846" s="13"/>
      <c r="AB5846" s="13"/>
      <c r="AC5846" s="13"/>
      <c r="AD5846" s="13"/>
      <c r="AE5846" s="13"/>
      <c r="AF5846" s="13"/>
      <c r="AG5846" s="13"/>
      <c r="AH5846" s="13"/>
      <c r="AI5846" s="13"/>
      <c r="AJ5846" s="13"/>
      <c r="AK5846" s="13"/>
      <c r="AL5846" s="13"/>
      <c r="AM5846" s="13"/>
      <c r="AN5846" s="13"/>
      <c r="AO5846" s="13"/>
      <c r="AP5846" s="13"/>
      <c r="AQ5846" s="13"/>
      <c r="AR5846" s="13"/>
      <c r="AS5846" s="13"/>
    </row>
    <row r="5847" ht="14.25" customHeight="1">
      <c r="A5847" s="13"/>
      <c r="B5847" s="13"/>
      <c r="C5847" s="13"/>
      <c r="D5847" s="13"/>
      <c r="E5847" s="13"/>
      <c r="F5847" s="13"/>
      <c r="G5847" s="13"/>
      <c r="H5847" s="13"/>
      <c r="I5847" s="13"/>
      <c r="J5847" s="13"/>
      <c r="K5847" s="15"/>
      <c r="L5847" s="15"/>
      <c r="M5847" s="16"/>
      <c r="N5847" s="16"/>
      <c r="O5847" s="17"/>
      <c r="P5847" s="17"/>
      <c r="Q5847" s="13"/>
      <c r="R5847" s="13"/>
      <c r="S5847" s="13"/>
      <c r="T5847" s="13"/>
      <c r="U5847" s="13"/>
      <c r="V5847" s="13"/>
      <c r="W5847" s="13"/>
      <c r="X5847" s="13"/>
      <c r="Y5847" s="13"/>
      <c r="Z5847" s="13"/>
      <c r="AA5847" s="13"/>
      <c r="AB5847" s="13"/>
      <c r="AC5847" s="13"/>
      <c r="AD5847" s="13"/>
      <c r="AE5847" s="13"/>
      <c r="AF5847" s="13"/>
      <c r="AG5847" s="13"/>
      <c r="AH5847" s="13"/>
      <c r="AI5847" s="13"/>
      <c r="AJ5847" s="13"/>
      <c r="AK5847" s="13"/>
      <c r="AL5847" s="13"/>
      <c r="AM5847" s="13"/>
      <c r="AN5847" s="13"/>
      <c r="AO5847" s="13"/>
      <c r="AP5847" s="13"/>
      <c r="AQ5847" s="13"/>
      <c r="AR5847" s="13"/>
      <c r="AS5847" s="13"/>
    </row>
    <row r="5848" ht="14.25" customHeight="1">
      <c r="A5848" s="13"/>
      <c r="B5848" s="13"/>
      <c r="C5848" s="13"/>
      <c r="D5848" s="13"/>
      <c r="E5848" s="13"/>
      <c r="F5848" s="13"/>
      <c r="G5848" s="13"/>
      <c r="H5848" s="13"/>
      <c r="I5848" s="13"/>
      <c r="J5848" s="13"/>
      <c r="K5848" s="15"/>
      <c r="L5848" s="15"/>
      <c r="M5848" s="16"/>
      <c r="N5848" s="16"/>
      <c r="O5848" s="17"/>
      <c r="P5848" s="17"/>
      <c r="Q5848" s="13"/>
      <c r="R5848" s="13"/>
      <c r="S5848" s="13"/>
      <c r="T5848" s="13"/>
      <c r="U5848" s="13"/>
      <c r="V5848" s="13"/>
      <c r="W5848" s="13"/>
      <c r="X5848" s="13"/>
      <c r="Y5848" s="13"/>
      <c r="Z5848" s="13"/>
      <c r="AA5848" s="13"/>
      <c r="AB5848" s="13"/>
      <c r="AC5848" s="13"/>
      <c r="AD5848" s="13"/>
      <c r="AE5848" s="13"/>
      <c r="AF5848" s="13"/>
      <c r="AG5848" s="13"/>
      <c r="AH5848" s="13"/>
      <c r="AI5848" s="13"/>
      <c r="AJ5848" s="13"/>
      <c r="AK5848" s="13"/>
      <c r="AL5848" s="13"/>
      <c r="AM5848" s="13"/>
      <c r="AN5848" s="13"/>
      <c r="AO5848" s="13"/>
      <c r="AP5848" s="13"/>
      <c r="AQ5848" s="13"/>
      <c r="AR5848" s="13"/>
      <c r="AS5848" s="13"/>
    </row>
    <row r="5849" ht="14.25" customHeight="1">
      <c r="A5849" s="13"/>
      <c r="B5849" s="13"/>
      <c r="C5849" s="13"/>
      <c r="D5849" s="13"/>
      <c r="E5849" s="13"/>
      <c r="F5849" s="13"/>
      <c r="G5849" s="13"/>
      <c r="H5849" s="13"/>
      <c r="I5849" s="13"/>
      <c r="J5849" s="13"/>
      <c r="K5849" s="15"/>
      <c r="L5849" s="15"/>
      <c r="M5849" s="16"/>
      <c r="N5849" s="16"/>
      <c r="O5849" s="17"/>
      <c r="P5849" s="17"/>
      <c r="Q5849" s="13"/>
      <c r="R5849" s="13"/>
      <c r="S5849" s="13"/>
      <c r="T5849" s="13"/>
      <c r="U5849" s="13"/>
      <c r="V5849" s="13"/>
      <c r="W5849" s="13"/>
      <c r="X5849" s="13"/>
      <c r="Y5849" s="13"/>
      <c r="Z5849" s="13"/>
      <c r="AA5849" s="13"/>
      <c r="AB5849" s="13"/>
      <c r="AC5849" s="13"/>
      <c r="AD5849" s="13"/>
      <c r="AE5849" s="13"/>
      <c r="AF5849" s="13"/>
      <c r="AG5849" s="13"/>
      <c r="AH5849" s="13"/>
      <c r="AI5849" s="13"/>
      <c r="AJ5849" s="13"/>
      <c r="AK5849" s="13"/>
      <c r="AL5849" s="13"/>
      <c r="AM5849" s="13"/>
      <c r="AN5849" s="13"/>
      <c r="AO5849" s="13"/>
      <c r="AP5849" s="13"/>
      <c r="AQ5849" s="13"/>
      <c r="AR5849" s="13"/>
      <c r="AS5849" s="13"/>
    </row>
    <row r="5850" ht="14.25" customHeight="1">
      <c r="A5850" s="13"/>
      <c r="B5850" s="13"/>
      <c r="C5850" s="13"/>
      <c r="D5850" s="13"/>
      <c r="E5850" s="13"/>
      <c r="F5850" s="13"/>
      <c r="G5850" s="13"/>
      <c r="H5850" s="13"/>
      <c r="I5850" s="13"/>
      <c r="J5850" s="13"/>
      <c r="K5850" s="15"/>
      <c r="L5850" s="15"/>
      <c r="M5850" s="16"/>
      <c r="N5850" s="16"/>
      <c r="O5850" s="17"/>
      <c r="P5850" s="17"/>
      <c r="Q5850" s="13"/>
      <c r="R5850" s="13"/>
      <c r="S5850" s="13"/>
      <c r="T5850" s="13"/>
      <c r="U5850" s="13"/>
      <c r="V5850" s="13"/>
      <c r="W5850" s="13"/>
      <c r="X5850" s="13"/>
      <c r="Y5850" s="13"/>
      <c r="Z5850" s="13"/>
      <c r="AA5850" s="13"/>
      <c r="AB5850" s="13"/>
      <c r="AC5850" s="13"/>
      <c r="AD5850" s="13"/>
      <c r="AE5850" s="13"/>
      <c r="AF5850" s="13"/>
      <c r="AG5850" s="13"/>
      <c r="AH5850" s="13"/>
      <c r="AI5850" s="13"/>
      <c r="AJ5850" s="13"/>
      <c r="AK5850" s="13"/>
      <c r="AL5850" s="13"/>
      <c r="AM5850" s="13"/>
      <c r="AN5850" s="13"/>
      <c r="AO5850" s="13"/>
      <c r="AP5850" s="13"/>
      <c r="AQ5850" s="13"/>
      <c r="AR5850" s="13"/>
      <c r="AS5850" s="13"/>
    </row>
    <row r="5851" ht="14.25" customHeight="1">
      <c r="A5851" s="13"/>
      <c r="B5851" s="13"/>
      <c r="C5851" s="13"/>
      <c r="D5851" s="13"/>
      <c r="E5851" s="13"/>
      <c r="F5851" s="13"/>
      <c r="G5851" s="13"/>
      <c r="H5851" s="13"/>
      <c r="I5851" s="13"/>
      <c r="J5851" s="13"/>
      <c r="K5851" s="15"/>
      <c r="L5851" s="15"/>
      <c r="M5851" s="16"/>
      <c r="N5851" s="16"/>
      <c r="O5851" s="17"/>
      <c r="P5851" s="17"/>
      <c r="Q5851" s="13"/>
      <c r="R5851" s="13"/>
      <c r="S5851" s="13"/>
      <c r="T5851" s="13"/>
      <c r="U5851" s="13"/>
      <c r="V5851" s="13"/>
      <c r="W5851" s="13"/>
      <c r="X5851" s="13"/>
      <c r="Y5851" s="13"/>
      <c r="Z5851" s="13"/>
      <c r="AA5851" s="13"/>
      <c r="AB5851" s="13"/>
      <c r="AC5851" s="13"/>
      <c r="AD5851" s="13"/>
      <c r="AE5851" s="13"/>
      <c r="AF5851" s="13"/>
      <c r="AG5851" s="13"/>
      <c r="AH5851" s="13"/>
      <c r="AI5851" s="13"/>
      <c r="AJ5851" s="13"/>
      <c r="AK5851" s="13"/>
      <c r="AL5851" s="13"/>
      <c r="AM5851" s="13"/>
      <c r="AN5851" s="13"/>
      <c r="AO5851" s="13"/>
      <c r="AP5851" s="13"/>
      <c r="AQ5851" s="13"/>
      <c r="AR5851" s="13"/>
      <c r="AS5851" s="13"/>
    </row>
    <row r="5852" ht="14.25" customHeight="1">
      <c r="A5852" s="13"/>
      <c r="B5852" s="13"/>
      <c r="C5852" s="13"/>
      <c r="D5852" s="13"/>
      <c r="E5852" s="13"/>
      <c r="F5852" s="13"/>
      <c r="G5852" s="13"/>
      <c r="H5852" s="13"/>
      <c r="I5852" s="13"/>
      <c r="J5852" s="13"/>
      <c r="K5852" s="15"/>
      <c r="L5852" s="15"/>
      <c r="M5852" s="16"/>
      <c r="N5852" s="16"/>
      <c r="O5852" s="17"/>
      <c r="P5852" s="17"/>
      <c r="Q5852" s="13"/>
      <c r="R5852" s="13"/>
      <c r="S5852" s="13"/>
      <c r="T5852" s="13"/>
      <c r="U5852" s="13"/>
      <c r="V5852" s="13"/>
      <c r="W5852" s="13"/>
      <c r="X5852" s="13"/>
      <c r="Y5852" s="13"/>
      <c r="Z5852" s="13"/>
      <c r="AA5852" s="13"/>
      <c r="AB5852" s="13"/>
      <c r="AC5852" s="13"/>
      <c r="AD5852" s="13"/>
      <c r="AE5852" s="13"/>
      <c r="AF5852" s="13"/>
      <c r="AG5852" s="13"/>
      <c r="AH5852" s="13"/>
      <c r="AI5852" s="13"/>
      <c r="AJ5852" s="13"/>
      <c r="AK5852" s="13"/>
      <c r="AL5852" s="13"/>
      <c r="AM5852" s="13"/>
      <c r="AN5852" s="13"/>
      <c r="AO5852" s="13"/>
      <c r="AP5852" s="13"/>
      <c r="AQ5852" s="13"/>
      <c r="AR5852" s="13"/>
      <c r="AS5852" s="13"/>
    </row>
    <row r="5853" ht="14.25" customHeight="1">
      <c r="A5853" s="13"/>
      <c r="B5853" s="13"/>
      <c r="C5853" s="13"/>
      <c r="D5853" s="13"/>
      <c r="E5853" s="13"/>
      <c r="F5853" s="13"/>
      <c r="G5853" s="13"/>
      <c r="H5853" s="13"/>
      <c r="I5853" s="13"/>
      <c r="J5853" s="13"/>
      <c r="K5853" s="15"/>
      <c r="L5853" s="15"/>
      <c r="M5853" s="16"/>
      <c r="N5853" s="16"/>
      <c r="O5853" s="17"/>
      <c r="P5853" s="17"/>
      <c r="Q5853" s="13"/>
      <c r="R5853" s="13"/>
      <c r="S5853" s="13"/>
      <c r="T5853" s="13"/>
      <c r="U5853" s="13"/>
      <c r="V5853" s="13"/>
      <c r="W5853" s="13"/>
      <c r="X5853" s="13"/>
      <c r="Y5853" s="13"/>
      <c r="Z5853" s="13"/>
      <c r="AA5853" s="13"/>
      <c r="AB5853" s="13"/>
      <c r="AC5853" s="13"/>
      <c r="AD5853" s="13"/>
      <c r="AE5853" s="13"/>
      <c r="AF5853" s="13"/>
      <c r="AG5853" s="13"/>
      <c r="AH5853" s="13"/>
      <c r="AI5853" s="13"/>
      <c r="AJ5853" s="13"/>
      <c r="AK5853" s="13"/>
      <c r="AL5853" s="13"/>
      <c r="AM5853" s="13"/>
      <c r="AN5853" s="13"/>
      <c r="AO5853" s="13"/>
      <c r="AP5853" s="13"/>
      <c r="AQ5853" s="13"/>
      <c r="AR5853" s="13"/>
      <c r="AS5853" s="13"/>
    </row>
    <row r="5854" ht="14.25" customHeight="1">
      <c r="A5854" s="13"/>
      <c r="B5854" s="13"/>
      <c r="C5854" s="13"/>
      <c r="D5854" s="13"/>
      <c r="E5854" s="13"/>
      <c r="F5854" s="13"/>
      <c r="G5854" s="13"/>
      <c r="H5854" s="13"/>
      <c r="I5854" s="13"/>
      <c r="J5854" s="13"/>
      <c r="K5854" s="15"/>
      <c r="L5854" s="15"/>
      <c r="M5854" s="16"/>
      <c r="N5854" s="16"/>
      <c r="O5854" s="17"/>
      <c r="P5854" s="17"/>
      <c r="Q5854" s="13"/>
      <c r="R5854" s="13"/>
      <c r="S5854" s="13"/>
      <c r="T5854" s="13"/>
      <c r="U5854" s="13"/>
      <c r="V5854" s="13"/>
      <c r="W5854" s="13"/>
      <c r="X5854" s="13"/>
      <c r="Y5854" s="13"/>
      <c r="Z5854" s="13"/>
      <c r="AA5854" s="13"/>
      <c r="AB5854" s="13"/>
      <c r="AC5854" s="13"/>
      <c r="AD5854" s="13"/>
      <c r="AE5854" s="13"/>
      <c r="AF5854" s="13"/>
      <c r="AG5854" s="13"/>
      <c r="AH5854" s="13"/>
      <c r="AI5854" s="13"/>
      <c r="AJ5854" s="13"/>
      <c r="AK5854" s="13"/>
      <c r="AL5854" s="13"/>
      <c r="AM5854" s="13"/>
      <c r="AN5854" s="13"/>
      <c r="AO5854" s="13"/>
      <c r="AP5854" s="13"/>
      <c r="AQ5854" s="13"/>
      <c r="AR5854" s="13"/>
      <c r="AS5854" s="13"/>
    </row>
    <row r="5855" ht="14.25" customHeight="1">
      <c r="A5855" s="13"/>
      <c r="B5855" s="13"/>
      <c r="C5855" s="13"/>
      <c r="D5855" s="13"/>
      <c r="E5855" s="13"/>
      <c r="F5855" s="13"/>
      <c r="G5855" s="13"/>
      <c r="H5855" s="13"/>
      <c r="I5855" s="13"/>
      <c r="J5855" s="13"/>
      <c r="K5855" s="15"/>
      <c r="L5855" s="15"/>
      <c r="M5855" s="16"/>
      <c r="N5855" s="16"/>
      <c r="O5855" s="17"/>
      <c r="P5855" s="17"/>
      <c r="Q5855" s="13"/>
      <c r="R5855" s="13"/>
      <c r="S5855" s="13"/>
      <c r="T5855" s="13"/>
      <c r="U5855" s="13"/>
      <c r="V5855" s="13"/>
      <c r="W5855" s="13"/>
      <c r="X5855" s="13"/>
      <c r="Y5855" s="13"/>
      <c r="Z5855" s="13"/>
      <c r="AA5855" s="13"/>
      <c r="AB5855" s="13"/>
      <c r="AC5855" s="13"/>
      <c r="AD5855" s="13"/>
      <c r="AE5855" s="13"/>
      <c r="AF5855" s="13"/>
      <c r="AG5855" s="13"/>
      <c r="AH5855" s="13"/>
      <c r="AI5855" s="13"/>
      <c r="AJ5855" s="13"/>
      <c r="AK5855" s="13"/>
      <c r="AL5855" s="13"/>
      <c r="AM5855" s="13"/>
      <c r="AN5855" s="13"/>
      <c r="AO5855" s="13"/>
      <c r="AP5855" s="13"/>
      <c r="AQ5855" s="13"/>
      <c r="AR5855" s="13"/>
      <c r="AS5855" s="13"/>
    </row>
    <row r="5856" ht="14.25" customHeight="1">
      <c r="A5856" s="13"/>
      <c r="B5856" s="13"/>
      <c r="C5856" s="13"/>
      <c r="D5856" s="13"/>
      <c r="E5856" s="13"/>
      <c r="F5856" s="13"/>
      <c r="G5856" s="13"/>
      <c r="H5856" s="13"/>
      <c r="I5856" s="13"/>
      <c r="J5856" s="13"/>
      <c r="K5856" s="15"/>
      <c r="L5856" s="15"/>
      <c r="M5856" s="16"/>
      <c r="N5856" s="16"/>
      <c r="O5856" s="17"/>
      <c r="P5856" s="17"/>
      <c r="Q5856" s="13"/>
      <c r="R5856" s="13"/>
      <c r="S5856" s="13"/>
      <c r="T5856" s="13"/>
      <c r="U5856" s="13"/>
      <c r="V5856" s="13"/>
      <c r="W5856" s="13"/>
      <c r="X5856" s="13"/>
      <c r="Y5856" s="13"/>
      <c r="Z5856" s="13"/>
      <c r="AA5856" s="13"/>
      <c r="AB5856" s="13"/>
      <c r="AC5856" s="13"/>
      <c r="AD5856" s="13"/>
      <c r="AE5856" s="13"/>
      <c r="AF5856" s="13"/>
      <c r="AG5856" s="13"/>
      <c r="AH5856" s="13"/>
      <c r="AI5856" s="13"/>
      <c r="AJ5856" s="13"/>
      <c r="AK5856" s="13"/>
      <c r="AL5856" s="13"/>
      <c r="AM5856" s="13"/>
      <c r="AN5856" s="13"/>
      <c r="AO5856" s="13"/>
      <c r="AP5856" s="13"/>
      <c r="AQ5856" s="13"/>
      <c r="AR5856" s="13"/>
      <c r="AS5856" s="13"/>
    </row>
    <row r="5857" ht="14.25" customHeight="1">
      <c r="A5857" s="13"/>
      <c r="B5857" s="13"/>
      <c r="C5857" s="13"/>
      <c r="D5857" s="13"/>
      <c r="E5857" s="13"/>
      <c r="F5857" s="13"/>
      <c r="G5857" s="13"/>
      <c r="H5857" s="13"/>
      <c r="I5857" s="13"/>
      <c r="J5857" s="13"/>
      <c r="K5857" s="15"/>
      <c r="L5857" s="15"/>
      <c r="M5857" s="16"/>
      <c r="N5857" s="16"/>
      <c r="O5857" s="17"/>
      <c r="P5857" s="17"/>
      <c r="Q5857" s="13"/>
      <c r="R5857" s="13"/>
      <c r="S5857" s="13"/>
      <c r="T5857" s="13"/>
      <c r="U5857" s="13"/>
      <c r="V5857" s="13"/>
      <c r="W5857" s="13"/>
      <c r="X5857" s="13"/>
      <c r="Y5857" s="13"/>
      <c r="Z5857" s="13"/>
      <c r="AA5857" s="13"/>
      <c r="AB5857" s="13"/>
      <c r="AC5857" s="13"/>
      <c r="AD5857" s="13"/>
      <c r="AE5857" s="13"/>
      <c r="AF5857" s="13"/>
      <c r="AG5857" s="13"/>
      <c r="AH5857" s="13"/>
      <c r="AI5857" s="13"/>
      <c r="AJ5857" s="13"/>
      <c r="AK5857" s="13"/>
      <c r="AL5857" s="13"/>
      <c r="AM5857" s="13"/>
      <c r="AN5857" s="13"/>
      <c r="AO5857" s="13"/>
      <c r="AP5857" s="13"/>
      <c r="AQ5857" s="13"/>
      <c r="AR5857" s="13"/>
      <c r="AS5857" s="13"/>
    </row>
    <row r="5858" ht="14.25" customHeight="1">
      <c r="A5858" s="13"/>
      <c r="B5858" s="13"/>
      <c r="C5858" s="13"/>
      <c r="D5858" s="13"/>
      <c r="E5858" s="13"/>
      <c r="F5858" s="13"/>
      <c r="G5858" s="13"/>
      <c r="H5858" s="13"/>
      <c r="I5858" s="13"/>
      <c r="J5858" s="13"/>
      <c r="K5858" s="15"/>
      <c r="L5858" s="15"/>
      <c r="M5858" s="16"/>
      <c r="N5858" s="16"/>
      <c r="O5858" s="17"/>
      <c r="P5858" s="17"/>
      <c r="Q5858" s="13"/>
      <c r="R5858" s="13"/>
      <c r="S5858" s="13"/>
      <c r="T5858" s="13"/>
      <c r="U5858" s="13"/>
      <c r="V5858" s="13"/>
      <c r="W5858" s="13"/>
      <c r="X5858" s="13"/>
      <c r="Y5858" s="13"/>
      <c r="Z5858" s="13"/>
      <c r="AA5858" s="13"/>
      <c r="AB5858" s="13"/>
      <c r="AC5858" s="13"/>
      <c r="AD5858" s="13"/>
      <c r="AE5858" s="13"/>
      <c r="AF5858" s="13"/>
      <c r="AG5858" s="13"/>
      <c r="AH5858" s="13"/>
      <c r="AI5858" s="13"/>
      <c r="AJ5858" s="13"/>
      <c r="AK5858" s="13"/>
      <c r="AL5858" s="13"/>
      <c r="AM5858" s="13"/>
      <c r="AN5858" s="13"/>
      <c r="AO5858" s="13"/>
      <c r="AP5858" s="13"/>
      <c r="AQ5858" s="13"/>
      <c r="AR5858" s="13"/>
      <c r="AS5858" s="13"/>
    </row>
    <row r="5859" ht="14.25" customHeight="1">
      <c r="A5859" s="13"/>
      <c r="B5859" s="13"/>
      <c r="C5859" s="13"/>
      <c r="D5859" s="13"/>
      <c r="E5859" s="13"/>
      <c r="F5859" s="13"/>
      <c r="G5859" s="13"/>
      <c r="H5859" s="13"/>
      <c r="I5859" s="13"/>
      <c r="J5859" s="13"/>
      <c r="K5859" s="15"/>
      <c r="L5859" s="15"/>
      <c r="M5859" s="16"/>
      <c r="N5859" s="16"/>
      <c r="O5859" s="17"/>
      <c r="P5859" s="17"/>
      <c r="Q5859" s="13"/>
      <c r="R5859" s="13"/>
      <c r="S5859" s="13"/>
      <c r="T5859" s="13"/>
      <c r="U5859" s="13"/>
      <c r="V5859" s="13"/>
      <c r="W5859" s="13"/>
      <c r="X5859" s="13"/>
      <c r="Y5859" s="13"/>
      <c r="Z5859" s="13"/>
      <c r="AA5859" s="13"/>
      <c r="AB5859" s="13"/>
      <c r="AC5859" s="13"/>
      <c r="AD5859" s="13"/>
      <c r="AE5859" s="13"/>
      <c r="AF5859" s="13"/>
      <c r="AG5859" s="13"/>
      <c r="AH5859" s="13"/>
      <c r="AI5859" s="13"/>
      <c r="AJ5859" s="13"/>
      <c r="AK5859" s="13"/>
      <c r="AL5859" s="13"/>
      <c r="AM5859" s="13"/>
      <c r="AN5859" s="13"/>
      <c r="AO5859" s="13"/>
      <c r="AP5859" s="13"/>
      <c r="AQ5859" s="13"/>
      <c r="AR5859" s="13"/>
      <c r="AS5859" s="13"/>
    </row>
    <row r="5860" ht="14.25" customHeight="1">
      <c r="A5860" s="13"/>
      <c r="B5860" s="13"/>
      <c r="C5860" s="13"/>
      <c r="D5860" s="13"/>
      <c r="E5860" s="13"/>
      <c r="F5860" s="13"/>
      <c r="G5860" s="13"/>
      <c r="H5860" s="13"/>
      <c r="I5860" s="13"/>
      <c r="J5860" s="13"/>
      <c r="K5860" s="15"/>
      <c r="L5860" s="15"/>
      <c r="M5860" s="16"/>
      <c r="N5860" s="16"/>
      <c r="O5860" s="17"/>
      <c r="P5860" s="17"/>
      <c r="Q5860" s="13"/>
      <c r="R5860" s="13"/>
      <c r="S5860" s="13"/>
      <c r="T5860" s="13"/>
      <c r="U5860" s="13"/>
      <c r="V5860" s="13"/>
      <c r="W5860" s="13"/>
      <c r="X5860" s="13"/>
      <c r="Y5860" s="13"/>
      <c r="Z5860" s="13"/>
      <c r="AA5860" s="13"/>
      <c r="AB5860" s="13"/>
      <c r="AC5860" s="13"/>
      <c r="AD5860" s="13"/>
      <c r="AE5860" s="13"/>
      <c r="AF5860" s="13"/>
      <c r="AG5860" s="13"/>
      <c r="AH5860" s="13"/>
      <c r="AI5860" s="13"/>
      <c r="AJ5860" s="13"/>
      <c r="AK5860" s="13"/>
      <c r="AL5860" s="13"/>
      <c r="AM5860" s="13"/>
      <c r="AN5860" s="13"/>
      <c r="AO5860" s="13"/>
      <c r="AP5860" s="13"/>
      <c r="AQ5860" s="13"/>
      <c r="AR5860" s="13"/>
      <c r="AS5860" s="13"/>
    </row>
    <row r="5861" ht="14.25" customHeight="1">
      <c r="A5861" s="13"/>
      <c r="B5861" s="13"/>
      <c r="C5861" s="13"/>
      <c r="D5861" s="13"/>
      <c r="E5861" s="13"/>
      <c r="F5861" s="13"/>
      <c r="G5861" s="13"/>
      <c r="H5861" s="13"/>
      <c r="I5861" s="13"/>
      <c r="J5861" s="13"/>
      <c r="K5861" s="15"/>
      <c r="L5861" s="15"/>
      <c r="M5861" s="16"/>
      <c r="N5861" s="16"/>
      <c r="O5861" s="17"/>
      <c r="P5861" s="17"/>
      <c r="Q5861" s="13"/>
      <c r="R5861" s="13"/>
      <c r="S5861" s="13"/>
      <c r="T5861" s="13"/>
      <c r="U5861" s="13"/>
      <c r="V5861" s="13"/>
      <c r="W5861" s="13"/>
      <c r="X5861" s="13"/>
      <c r="Y5861" s="13"/>
      <c r="Z5861" s="13"/>
      <c r="AA5861" s="13"/>
      <c r="AB5861" s="13"/>
      <c r="AC5861" s="13"/>
      <c r="AD5861" s="13"/>
      <c r="AE5861" s="13"/>
      <c r="AF5861" s="13"/>
      <c r="AG5861" s="13"/>
      <c r="AH5861" s="13"/>
      <c r="AI5861" s="13"/>
      <c r="AJ5861" s="13"/>
      <c r="AK5861" s="13"/>
      <c r="AL5861" s="13"/>
      <c r="AM5861" s="13"/>
      <c r="AN5861" s="13"/>
      <c r="AO5861" s="13"/>
      <c r="AP5861" s="13"/>
      <c r="AQ5861" s="13"/>
      <c r="AR5861" s="13"/>
      <c r="AS5861" s="13"/>
    </row>
    <row r="5862" ht="14.25" customHeight="1">
      <c r="A5862" s="13"/>
      <c r="B5862" s="13"/>
      <c r="C5862" s="13"/>
      <c r="D5862" s="13"/>
      <c r="E5862" s="13"/>
      <c r="F5862" s="13"/>
      <c r="G5862" s="13"/>
      <c r="H5862" s="13"/>
      <c r="I5862" s="13"/>
      <c r="J5862" s="13"/>
      <c r="K5862" s="15"/>
      <c r="L5862" s="15"/>
      <c r="M5862" s="16"/>
      <c r="N5862" s="16"/>
      <c r="O5862" s="17"/>
      <c r="P5862" s="17"/>
      <c r="Q5862" s="13"/>
      <c r="R5862" s="13"/>
      <c r="S5862" s="13"/>
      <c r="T5862" s="13"/>
      <c r="U5862" s="13"/>
      <c r="V5862" s="13"/>
      <c r="W5862" s="13"/>
      <c r="X5862" s="13"/>
      <c r="Y5862" s="13"/>
      <c r="Z5862" s="13"/>
      <c r="AA5862" s="13"/>
      <c r="AB5862" s="13"/>
      <c r="AC5862" s="13"/>
      <c r="AD5862" s="13"/>
      <c r="AE5862" s="13"/>
      <c r="AF5862" s="13"/>
      <c r="AG5862" s="13"/>
      <c r="AH5862" s="13"/>
      <c r="AI5862" s="13"/>
      <c r="AJ5862" s="13"/>
      <c r="AK5862" s="13"/>
      <c r="AL5862" s="13"/>
      <c r="AM5862" s="13"/>
      <c r="AN5862" s="13"/>
      <c r="AO5862" s="13"/>
      <c r="AP5862" s="13"/>
      <c r="AQ5862" s="13"/>
      <c r="AR5862" s="13"/>
      <c r="AS5862" s="13"/>
    </row>
    <row r="5863" ht="14.25" customHeight="1">
      <c r="A5863" s="13"/>
      <c r="B5863" s="13"/>
      <c r="C5863" s="13"/>
      <c r="D5863" s="13"/>
      <c r="E5863" s="13"/>
      <c r="F5863" s="13"/>
      <c r="G5863" s="13"/>
      <c r="H5863" s="13"/>
      <c r="I5863" s="13"/>
      <c r="J5863" s="13"/>
      <c r="K5863" s="15"/>
      <c r="L5863" s="15"/>
      <c r="M5863" s="16"/>
      <c r="N5863" s="16"/>
      <c r="O5863" s="17"/>
      <c r="P5863" s="17"/>
      <c r="Q5863" s="13"/>
      <c r="R5863" s="13"/>
      <c r="S5863" s="13"/>
      <c r="T5863" s="13"/>
      <c r="U5863" s="13"/>
      <c r="V5863" s="13"/>
      <c r="W5863" s="13"/>
      <c r="X5863" s="13"/>
      <c r="Y5863" s="13"/>
      <c r="Z5863" s="13"/>
      <c r="AA5863" s="13"/>
      <c r="AB5863" s="13"/>
      <c r="AC5863" s="13"/>
      <c r="AD5863" s="13"/>
      <c r="AE5863" s="13"/>
      <c r="AF5863" s="13"/>
      <c r="AG5863" s="13"/>
      <c r="AH5863" s="13"/>
      <c r="AI5863" s="13"/>
      <c r="AJ5863" s="13"/>
      <c r="AK5863" s="13"/>
      <c r="AL5863" s="13"/>
      <c r="AM5863" s="13"/>
      <c r="AN5863" s="13"/>
      <c r="AO5863" s="13"/>
      <c r="AP5863" s="13"/>
      <c r="AQ5863" s="13"/>
      <c r="AR5863" s="13"/>
      <c r="AS5863" s="13"/>
    </row>
    <row r="5864" ht="14.25" customHeight="1">
      <c r="A5864" s="13"/>
      <c r="B5864" s="13"/>
      <c r="C5864" s="13"/>
      <c r="D5864" s="13"/>
      <c r="E5864" s="13"/>
      <c r="F5864" s="13"/>
      <c r="G5864" s="13"/>
      <c r="H5864" s="13"/>
      <c r="I5864" s="13"/>
      <c r="J5864" s="13"/>
      <c r="K5864" s="15"/>
      <c r="L5864" s="15"/>
      <c r="M5864" s="16"/>
      <c r="N5864" s="16"/>
      <c r="O5864" s="17"/>
      <c r="P5864" s="17"/>
      <c r="Q5864" s="13"/>
      <c r="R5864" s="13"/>
      <c r="S5864" s="13"/>
      <c r="T5864" s="13"/>
      <c r="U5864" s="13"/>
      <c r="V5864" s="13"/>
      <c r="W5864" s="13"/>
      <c r="X5864" s="13"/>
      <c r="Y5864" s="13"/>
      <c r="Z5864" s="13"/>
      <c r="AA5864" s="13"/>
      <c r="AB5864" s="13"/>
      <c r="AC5864" s="13"/>
      <c r="AD5864" s="13"/>
      <c r="AE5864" s="13"/>
      <c r="AF5864" s="13"/>
      <c r="AG5864" s="13"/>
      <c r="AH5864" s="13"/>
      <c r="AI5864" s="13"/>
      <c r="AJ5864" s="13"/>
      <c r="AK5864" s="13"/>
      <c r="AL5864" s="13"/>
      <c r="AM5864" s="13"/>
      <c r="AN5864" s="13"/>
      <c r="AO5864" s="13"/>
      <c r="AP5864" s="13"/>
      <c r="AQ5864" s="13"/>
      <c r="AR5864" s="13"/>
      <c r="AS5864" s="13"/>
    </row>
    <row r="5865" ht="14.25" customHeight="1">
      <c r="A5865" s="13"/>
      <c r="B5865" s="13"/>
      <c r="C5865" s="13"/>
      <c r="D5865" s="13"/>
      <c r="E5865" s="13"/>
      <c r="F5865" s="13"/>
      <c r="G5865" s="13"/>
      <c r="H5865" s="13"/>
      <c r="I5865" s="13"/>
      <c r="J5865" s="13"/>
      <c r="K5865" s="15"/>
      <c r="L5865" s="15"/>
      <c r="M5865" s="16"/>
      <c r="N5865" s="16"/>
      <c r="O5865" s="17"/>
      <c r="P5865" s="17"/>
      <c r="Q5865" s="13"/>
      <c r="R5865" s="13"/>
      <c r="S5865" s="13"/>
      <c r="T5865" s="13"/>
      <c r="U5865" s="13"/>
      <c r="V5865" s="13"/>
      <c r="W5865" s="13"/>
      <c r="X5865" s="13"/>
      <c r="Y5865" s="13"/>
      <c r="Z5865" s="13"/>
      <c r="AA5865" s="13"/>
      <c r="AB5865" s="13"/>
      <c r="AC5865" s="13"/>
      <c r="AD5865" s="13"/>
      <c r="AE5865" s="13"/>
      <c r="AF5865" s="13"/>
      <c r="AG5865" s="13"/>
      <c r="AH5865" s="13"/>
      <c r="AI5865" s="13"/>
      <c r="AJ5865" s="13"/>
      <c r="AK5865" s="13"/>
      <c r="AL5865" s="13"/>
      <c r="AM5865" s="13"/>
      <c r="AN5865" s="13"/>
      <c r="AO5865" s="13"/>
      <c r="AP5865" s="13"/>
      <c r="AQ5865" s="13"/>
      <c r="AR5865" s="13"/>
      <c r="AS5865" s="13"/>
    </row>
    <row r="5866" ht="14.25" customHeight="1">
      <c r="A5866" s="13"/>
      <c r="B5866" s="13"/>
      <c r="C5866" s="13"/>
      <c r="D5866" s="13"/>
      <c r="E5866" s="13"/>
      <c r="F5866" s="13"/>
      <c r="G5866" s="13"/>
      <c r="H5866" s="13"/>
      <c r="I5866" s="13"/>
      <c r="J5866" s="13"/>
      <c r="K5866" s="15"/>
      <c r="L5866" s="15"/>
      <c r="M5866" s="16"/>
      <c r="N5866" s="16"/>
      <c r="O5866" s="17"/>
      <c r="P5866" s="17"/>
      <c r="Q5866" s="13"/>
      <c r="R5866" s="13"/>
      <c r="S5866" s="13"/>
      <c r="T5866" s="13"/>
      <c r="U5866" s="13"/>
      <c r="V5866" s="13"/>
      <c r="W5866" s="13"/>
      <c r="X5866" s="13"/>
      <c r="Y5866" s="13"/>
      <c r="Z5866" s="13"/>
      <c r="AA5866" s="13"/>
      <c r="AB5866" s="13"/>
      <c r="AC5866" s="13"/>
      <c r="AD5866" s="13"/>
      <c r="AE5866" s="13"/>
      <c r="AF5866" s="13"/>
      <c r="AG5866" s="13"/>
      <c r="AH5866" s="13"/>
      <c r="AI5866" s="13"/>
      <c r="AJ5866" s="13"/>
      <c r="AK5866" s="13"/>
      <c r="AL5866" s="13"/>
      <c r="AM5866" s="13"/>
      <c r="AN5866" s="13"/>
      <c r="AO5866" s="13"/>
      <c r="AP5866" s="13"/>
      <c r="AQ5866" s="13"/>
      <c r="AR5866" s="13"/>
      <c r="AS5866" s="13"/>
    </row>
    <row r="5867" ht="14.25" customHeight="1">
      <c r="A5867" s="13"/>
      <c r="B5867" s="13"/>
      <c r="C5867" s="13"/>
      <c r="D5867" s="13"/>
      <c r="E5867" s="13"/>
      <c r="F5867" s="13"/>
      <c r="G5867" s="13"/>
      <c r="H5867" s="13"/>
      <c r="I5867" s="13"/>
      <c r="J5867" s="13"/>
      <c r="K5867" s="15"/>
      <c r="L5867" s="15"/>
      <c r="M5867" s="16"/>
      <c r="N5867" s="16"/>
      <c r="O5867" s="17"/>
      <c r="P5867" s="17"/>
      <c r="Q5867" s="13"/>
      <c r="R5867" s="13"/>
      <c r="S5867" s="13"/>
      <c r="T5867" s="13"/>
      <c r="U5867" s="13"/>
      <c r="V5867" s="13"/>
      <c r="W5867" s="13"/>
      <c r="X5867" s="13"/>
      <c r="Y5867" s="13"/>
      <c r="Z5867" s="13"/>
      <c r="AA5867" s="13"/>
      <c r="AB5867" s="13"/>
      <c r="AC5867" s="13"/>
      <c r="AD5867" s="13"/>
      <c r="AE5867" s="13"/>
      <c r="AF5867" s="13"/>
      <c r="AG5867" s="13"/>
      <c r="AH5867" s="13"/>
      <c r="AI5867" s="13"/>
      <c r="AJ5867" s="13"/>
      <c r="AK5867" s="13"/>
      <c r="AL5867" s="13"/>
      <c r="AM5867" s="13"/>
      <c r="AN5867" s="13"/>
      <c r="AO5867" s="13"/>
      <c r="AP5867" s="13"/>
      <c r="AQ5867" s="13"/>
      <c r="AR5867" s="13"/>
      <c r="AS5867" s="13"/>
    </row>
    <row r="5868" ht="14.25" customHeight="1">
      <c r="A5868" s="13"/>
      <c r="B5868" s="13"/>
      <c r="C5868" s="13"/>
      <c r="D5868" s="13"/>
      <c r="E5868" s="13"/>
      <c r="F5868" s="13"/>
      <c r="G5868" s="13"/>
      <c r="H5868" s="13"/>
      <c r="I5868" s="13"/>
      <c r="J5868" s="13"/>
      <c r="K5868" s="15"/>
      <c r="L5868" s="15"/>
      <c r="M5868" s="16"/>
      <c r="N5868" s="16"/>
      <c r="O5868" s="17"/>
      <c r="P5868" s="17"/>
      <c r="Q5868" s="13"/>
      <c r="R5868" s="13"/>
      <c r="S5868" s="13"/>
      <c r="T5868" s="13"/>
      <c r="U5868" s="13"/>
      <c r="V5868" s="13"/>
      <c r="W5868" s="13"/>
      <c r="X5868" s="13"/>
      <c r="Y5868" s="13"/>
      <c r="Z5868" s="13"/>
      <c r="AA5868" s="13"/>
      <c r="AB5868" s="13"/>
      <c r="AC5868" s="13"/>
      <c r="AD5868" s="13"/>
      <c r="AE5868" s="13"/>
      <c r="AF5868" s="13"/>
      <c r="AG5868" s="13"/>
      <c r="AH5868" s="13"/>
      <c r="AI5868" s="13"/>
      <c r="AJ5868" s="13"/>
      <c r="AK5868" s="13"/>
      <c r="AL5868" s="13"/>
      <c r="AM5868" s="13"/>
      <c r="AN5868" s="13"/>
      <c r="AO5868" s="13"/>
      <c r="AP5868" s="13"/>
      <c r="AQ5868" s="13"/>
      <c r="AR5868" s="13"/>
      <c r="AS5868" s="13"/>
    </row>
    <row r="5869" ht="14.25" customHeight="1">
      <c r="A5869" s="13"/>
      <c r="B5869" s="13"/>
      <c r="C5869" s="13"/>
      <c r="D5869" s="13"/>
      <c r="E5869" s="13"/>
      <c r="F5869" s="13"/>
      <c r="G5869" s="13"/>
      <c r="H5869" s="13"/>
      <c r="I5869" s="13"/>
      <c r="J5869" s="13"/>
      <c r="K5869" s="15"/>
      <c r="L5869" s="15"/>
      <c r="M5869" s="16"/>
      <c r="N5869" s="16"/>
      <c r="O5869" s="17"/>
      <c r="P5869" s="17"/>
      <c r="Q5869" s="13"/>
      <c r="R5869" s="13"/>
      <c r="S5869" s="13"/>
      <c r="T5869" s="13"/>
      <c r="U5869" s="13"/>
      <c r="V5869" s="13"/>
      <c r="W5869" s="13"/>
      <c r="X5869" s="13"/>
      <c r="Y5869" s="13"/>
      <c r="Z5869" s="13"/>
      <c r="AA5869" s="13"/>
      <c r="AB5869" s="13"/>
      <c r="AC5869" s="13"/>
      <c r="AD5869" s="13"/>
      <c r="AE5869" s="13"/>
      <c r="AF5869" s="13"/>
      <c r="AG5869" s="13"/>
      <c r="AH5869" s="13"/>
      <c r="AI5869" s="13"/>
      <c r="AJ5869" s="13"/>
      <c r="AK5869" s="13"/>
      <c r="AL5869" s="13"/>
      <c r="AM5869" s="13"/>
      <c r="AN5869" s="13"/>
      <c r="AO5869" s="13"/>
      <c r="AP5869" s="13"/>
      <c r="AQ5869" s="13"/>
      <c r="AR5869" s="13"/>
      <c r="AS5869" s="13"/>
    </row>
    <row r="5870" ht="14.25" customHeight="1">
      <c r="A5870" s="13"/>
      <c r="B5870" s="13"/>
      <c r="C5870" s="13"/>
      <c r="D5870" s="13"/>
      <c r="E5870" s="13"/>
      <c r="F5870" s="13"/>
      <c r="G5870" s="13"/>
      <c r="H5870" s="13"/>
      <c r="I5870" s="13"/>
      <c r="J5870" s="13"/>
      <c r="K5870" s="15"/>
      <c r="L5870" s="15"/>
      <c r="M5870" s="16"/>
      <c r="N5870" s="16"/>
      <c r="O5870" s="17"/>
      <c r="P5870" s="17"/>
      <c r="Q5870" s="13"/>
      <c r="R5870" s="13"/>
      <c r="S5870" s="13"/>
      <c r="T5870" s="13"/>
      <c r="U5870" s="13"/>
      <c r="V5870" s="13"/>
      <c r="W5870" s="13"/>
      <c r="X5870" s="13"/>
      <c r="Y5870" s="13"/>
      <c r="Z5870" s="13"/>
      <c r="AA5870" s="13"/>
      <c r="AB5870" s="13"/>
      <c r="AC5870" s="13"/>
      <c r="AD5870" s="13"/>
      <c r="AE5870" s="13"/>
      <c r="AF5870" s="13"/>
      <c r="AG5870" s="13"/>
      <c r="AH5870" s="13"/>
      <c r="AI5870" s="13"/>
      <c r="AJ5870" s="13"/>
      <c r="AK5870" s="13"/>
      <c r="AL5870" s="13"/>
      <c r="AM5870" s="13"/>
      <c r="AN5870" s="13"/>
      <c r="AO5870" s="13"/>
      <c r="AP5870" s="13"/>
      <c r="AQ5870" s="13"/>
      <c r="AR5870" s="13"/>
      <c r="AS5870" s="13"/>
    </row>
    <row r="5871" ht="14.25" customHeight="1">
      <c r="A5871" s="13"/>
      <c r="B5871" s="13"/>
      <c r="C5871" s="13"/>
      <c r="D5871" s="13"/>
      <c r="E5871" s="13"/>
      <c r="F5871" s="13"/>
      <c r="G5871" s="13"/>
      <c r="H5871" s="13"/>
      <c r="I5871" s="13"/>
      <c r="J5871" s="13"/>
      <c r="K5871" s="15"/>
      <c r="L5871" s="15"/>
      <c r="M5871" s="16"/>
      <c r="N5871" s="16"/>
      <c r="O5871" s="17"/>
      <c r="P5871" s="17"/>
      <c r="Q5871" s="13"/>
      <c r="R5871" s="13"/>
      <c r="S5871" s="13"/>
      <c r="T5871" s="13"/>
      <c r="U5871" s="13"/>
      <c r="V5871" s="13"/>
      <c r="W5871" s="13"/>
      <c r="X5871" s="13"/>
      <c r="Y5871" s="13"/>
      <c r="Z5871" s="13"/>
      <c r="AA5871" s="13"/>
      <c r="AB5871" s="13"/>
      <c r="AC5871" s="13"/>
      <c r="AD5871" s="13"/>
      <c r="AE5871" s="13"/>
      <c r="AF5871" s="13"/>
      <c r="AG5871" s="13"/>
      <c r="AH5871" s="13"/>
      <c r="AI5871" s="13"/>
      <c r="AJ5871" s="13"/>
      <c r="AK5871" s="13"/>
      <c r="AL5871" s="13"/>
      <c r="AM5871" s="13"/>
      <c r="AN5871" s="13"/>
      <c r="AO5871" s="13"/>
      <c r="AP5871" s="13"/>
      <c r="AQ5871" s="13"/>
      <c r="AR5871" s="13"/>
      <c r="AS5871" s="13"/>
    </row>
    <row r="5872" ht="14.25" customHeight="1">
      <c r="A5872" s="13"/>
      <c r="B5872" s="13"/>
      <c r="C5872" s="13"/>
      <c r="D5872" s="13"/>
      <c r="E5872" s="13"/>
      <c r="F5872" s="13"/>
      <c r="G5872" s="13"/>
      <c r="H5872" s="13"/>
      <c r="I5872" s="13"/>
      <c r="J5872" s="13"/>
      <c r="K5872" s="15"/>
      <c r="L5872" s="15"/>
      <c r="M5872" s="16"/>
      <c r="N5872" s="16"/>
      <c r="O5872" s="17"/>
      <c r="P5872" s="17"/>
      <c r="Q5872" s="13"/>
      <c r="R5872" s="13"/>
      <c r="S5872" s="13"/>
      <c r="T5872" s="13"/>
      <c r="U5872" s="13"/>
      <c r="V5872" s="13"/>
      <c r="W5872" s="13"/>
      <c r="X5872" s="13"/>
      <c r="Y5872" s="13"/>
      <c r="Z5872" s="13"/>
      <c r="AA5872" s="13"/>
      <c r="AB5872" s="13"/>
      <c r="AC5872" s="13"/>
      <c r="AD5872" s="13"/>
      <c r="AE5872" s="13"/>
      <c r="AF5872" s="13"/>
      <c r="AG5872" s="13"/>
      <c r="AH5872" s="13"/>
      <c r="AI5872" s="13"/>
      <c r="AJ5872" s="13"/>
      <c r="AK5872" s="13"/>
      <c r="AL5872" s="13"/>
      <c r="AM5872" s="13"/>
      <c r="AN5872" s="13"/>
      <c r="AO5872" s="13"/>
      <c r="AP5872" s="13"/>
      <c r="AQ5872" s="13"/>
      <c r="AR5872" s="13"/>
      <c r="AS5872" s="13"/>
    </row>
    <row r="5873" ht="14.25" customHeight="1">
      <c r="A5873" s="13"/>
      <c r="B5873" s="13"/>
      <c r="C5873" s="13"/>
      <c r="D5873" s="13"/>
      <c r="E5873" s="13"/>
      <c r="F5873" s="13"/>
      <c r="G5873" s="13"/>
      <c r="H5873" s="13"/>
      <c r="I5873" s="13"/>
      <c r="J5873" s="13"/>
      <c r="K5873" s="15"/>
      <c r="L5873" s="15"/>
      <c r="M5873" s="16"/>
      <c r="N5873" s="16"/>
      <c r="O5873" s="17"/>
      <c r="P5873" s="17"/>
      <c r="Q5873" s="13"/>
      <c r="R5873" s="13"/>
      <c r="S5873" s="13"/>
      <c r="T5873" s="13"/>
      <c r="U5873" s="13"/>
      <c r="V5873" s="13"/>
      <c r="W5873" s="13"/>
      <c r="X5873" s="13"/>
      <c r="Y5873" s="13"/>
      <c r="Z5873" s="13"/>
      <c r="AA5873" s="13"/>
      <c r="AB5873" s="13"/>
      <c r="AC5873" s="13"/>
      <c r="AD5873" s="13"/>
      <c r="AE5873" s="13"/>
      <c r="AF5873" s="13"/>
      <c r="AG5873" s="13"/>
      <c r="AH5873" s="13"/>
      <c r="AI5873" s="13"/>
      <c r="AJ5873" s="13"/>
      <c r="AK5873" s="13"/>
      <c r="AL5873" s="13"/>
      <c r="AM5873" s="13"/>
      <c r="AN5873" s="13"/>
      <c r="AO5873" s="13"/>
      <c r="AP5873" s="13"/>
      <c r="AQ5873" s="13"/>
      <c r="AR5873" s="13"/>
      <c r="AS5873" s="13"/>
    </row>
    <row r="5874" ht="14.25" customHeight="1">
      <c r="A5874" s="13"/>
      <c r="B5874" s="13"/>
      <c r="C5874" s="13"/>
      <c r="D5874" s="13"/>
      <c r="E5874" s="13"/>
      <c r="F5874" s="13"/>
      <c r="G5874" s="13"/>
      <c r="H5874" s="13"/>
      <c r="I5874" s="13"/>
      <c r="J5874" s="13"/>
      <c r="K5874" s="15"/>
      <c r="L5874" s="15"/>
      <c r="M5874" s="16"/>
      <c r="N5874" s="16"/>
      <c r="O5874" s="17"/>
      <c r="P5874" s="17"/>
      <c r="Q5874" s="13"/>
      <c r="R5874" s="13"/>
      <c r="S5874" s="13"/>
      <c r="T5874" s="13"/>
      <c r="U5874" s="13"/>
      <c r="V5874" s="13"/>
      <c r="W5874" s="13"/>
      <c r="X5874" s="13"/>
      <c r="Y5874" s="13"/>
      <c r="Z5874" s="13"/>
      <c r="AA5874" s="13"/>
      <c r="AB5874" s="13"/>
      <c r="AC5874" s="13"/>
      <c r="AD5874" s="13"/>
      <c r="AE5874" s="13"/>
      <c r="AF5874" s="13"/>
      <c r="AG5874" s="13"/>
      <c r="AH5874" s="13"/>
      <c r="AI5874" s="13"/>
      <c r="AJ5874" s="13"/>
      <c r="AK5874" s="13"/>
      <c r="AL5874" s="13"/>
      <c r="AM5874" s="13"/>
      <c r="AN5874" s="13"/>
      <c r="AO5874" s="13"/>
      <c r="AP5874" s="13"/>
      <c r="AQ5874" s="13"/>
      <c r="AR5874" s="13"/>
      <c r="AS5874" s="13"/>
    </row>
    <row r="5875" ht="14.25" customHeight="1">
      <c r="A5875" s="13"/>
      <c r="B5875" s="13"/>
      <c r="C5875" s="13"/>
      <c r="D5875" s="13"/>
      <c r="E5875" s="13"/>
      <c r="F5875" s="13"/>
      <c r="G5875" s="13"/>
      <c r="H5875" s="13"/>
      <c r="I5875" s="13"/>
      <c r="J5875" s="13"/>
      <c r="K5875" s="15"/>
      <c r="L5875" s="15"/>
      <c r="M5875" s="16"/>
      <c r="N5875" s="16"/>
      <c r="O5875" s="17"/>
      <c r="P5875" s="17"/>
      <c r="Q5875" s="13"/>
      <c r="R5875" s="13"/>
      <c r="S5875" s="13"/>
      <c r="T5875" s="13"/>
      <c r="U5875" s="13"/>
      <c r="V5875" s="13"/>
      <c r="W5875" s="13"/>
      <c r="X5875" s="13"/>
      <c r="Y5875" s="13"/>
      <c r="Z5875" s="13"/>
      <c r="AA5875" s="13"/>
      <c r="AB5875" s="13"/>
      <c r="AC5875" s="13"/>
      <c r="AD5875" s="13"/>
      <c r="AE5875" s="13"/>
      <c r="AF5875" s="13"/>
      <c r="AG5875" s="13"/>
      <c r="AH5875" s="13"/>
      <c r="AI5875" s="13"/>
      <c r="AJ5875" s="13"/>
      <c r="AK5875" s="13"/>
      <c r="AL5875" s="13"/>
      <c r="AM5875" s="13"/>
      <c r="AN5875" s="13"/>
      <c r="AO5875" s="13"/>
      <c r="AP5875" s="13"/>
      <c r="AQ5875" s="13"/>
      <c r="AR5875" s="13"/>
      <c r="AS5875" s="13"/>
    </row>
    <row r="5876" ht="14.25" customHeight="1">
      <c r="A5876" s="13"/>
      <c r="B5876" s="13"/>
      <c r="C5876" s="13"/>
      <c r="D5876" s="13"/>
      <c r="E5876" s="13"/>
      <c r="F5876" s="13"/>
      <c r="G5876" s="13"/>
      <c r="H5876" s="13"/>
      <c r="I5876" s="13"/>
      <c r="J5876" s="13"/>
      <c r="K5876" s="15"/>
      <c r="L5876" s="15"/>
      <c r="M5876" s="16"/>
      <c r="N5876" s="16"/>
      <c r="O5876" s="17"/>
      <c r="P5876" s="17"/>
      <c r="Q5876" s="13"/>
      <c r="R5876" s="13"/>
      <c r="S5876" s="13"/>
      <c r="T5876" s="13"/>
      <c r="U5876" s="13"/>
      <c r="V5876" s="13"/>
      <c r="W5876" s="13"/>
      <c r="X5876" s="13"/>
      <c r="Y5876" s="13"/>
      <c r="Z5876" s="13"/>
      <c r="AA5876" s="13"/>
      <c r="AB5876" s="13"/>
      <c r="AC5876" s="13"/>
      <c r="AD5876" s="13"/>
      <c r="AE5876" s="13"/>
      <c r="AF5876" s="13"/>
      <c r="AG5876" s="13"/>
      <c r="AH5876" s="13"/>
      <c r="AI5876" s="13"/>
      <c r="AJ5876" s="13"/>
      <c r="AK5876" s="13"/>
      <c r="AL5876" s="13"/>
      <c r="AM5876" s="13"/>
      <c r="AN5876" s="13"/>
      <c r="AO5876" s="13"/>
      <c r="AP5876" s="13"/>
      <c r="AQ5876" s="13"/>
      <c r="AR5876" s="13"/>
      <c r="AS5876" s="13"/>
    </row>
    <row r="5877" ht="14.25" customHeight="1">
      <c r="A5877" s="13"/>
      <c r="B5877" s="13"/>
      <c r="C5877" s="13"/>
      <c r="D5877" s="13"/>
      <c r="E5877" s="13"/>
      <c r="F5877" s="13"/>
      <c r="G5877" s="13"/>
      <c r="H5877" s="13"/>
      <c r="I5877" s="13"/>
      <c r="J5877" s="13"/>
      <c r="K5877" s="15"/>
      <c r="L5877" s="15"/>
      <c r="M5877" s="16"/>
      <c r="N5877" s="16"/>
      <c r="O5877" s="17"/>
      <c r="P5877" s="17"/>
      <c r="Q5877" s="13"/>
      <c r="R5877" s="13"/>
      <c r="S5877" s="13"/>
      <c r="T5877" s="13"/>
      <c r="U5877" s="13"/>
      <c r="V5877" s="13"/>
      <c r="W5877" s="13"/>
      <c r="X5877" s="13"/>
      <c r="Y5877" s="13"/>
      <c r="Z5877" s="13"/>
      <c r="AA5877" s="13"/>
      <c r="AB5877" s="13"/>
      <c r="AC5877" s="13"/>
      <c r="AD5877" s="13"/>
      <c r="AE5877" s="13"/>
      <c r="AF5877" s="13"/>
      <c r="AG5877" s="13"/>
      <c r="AH5877" s="13"/>
      <c r="AI5877" s="13"/>
      <c r="AJ5877" s="13"/>
      <c r="AK5877" s="13"/>
      <c r="AL5877" s="13"/>
      <c r="AM5877" s="13"/>
      <c r="AN5877" s="13"/>
      <c r="AO5877" s="13"/>
      <c r="AP5877" s="13"/>
      <c r="AQ5877" s="13"/>
      <c r="AR5877" s="13"/>
      <c r="AS5877" s="13"/>
    </row>
    <row r="5878" ht="14.25" customHeight="1">
      <c r="A5878" s="13"/>
      <c r="B5878" s="13"/>
      <c r="C5878" s="13"/>
      <c r="D5878" s="13"/>
      <c r="E5878" s="13"/>
      <c r="F5878" s="13"/>
      <c r="G5878" s="13"/>
      <c r="H5878" s="13"/>
      <c r="I5878" s="13"/>
      <c r="J5878" s="13"/>
      <c r="K5878" s="15"/>
      <c r="L5878" s="15"/>
      <c r="M5878" s="16"/>
      <c r="N5878" s="16"/>
      <c r="O5878" s="17"/>
      <c r="P5878" s="17"/>
      <c r="Q5878" s="13"/>
      <c r="R5878" s="13"/>
      <c r="S5878" s="13"/>
      <c r="T5878" s="13"/>
      <c r="U5878" s="13"/>
      <c r="V5878" s="13"/>
      <c r="W5878" s="13"/>
      <c r="X5878" s="13"/>
      <c r="Y5878" s="13"/>
      <c r="Z5878" s="13"/>
      <c r="AA5878" s="13"/>
      <c r="AB5878" s="13"/>
      <c r="AC5878" s="13"/>
      <c r="AD5878" s="13"/>
      <c r="AE5878" s="13"/>
      <c r="AF5878" s="13"/>
      <c r="AG5878" s="13"/>
      <c r="AH5878" s="13"/>
      <c r="AI5878" s="13"/>
      <c r="AJ5878" s="13"/>
      <c r="AK5878" s="13"/>
      <c r="AL5878" s="13"/>
      <c r="AM5878" s="13"/>
      <c r="AN5878" s="13"/>
      <c r="AO5878" s="13"/>
      <c r="AP5878" s="13"/>
      <c r="AQ5878" s="13"/>
      <c r="AR5878" s="13"/>
      <c r="AS5878" s="13"/>
    </row>
    <row r="5879" ht="14.25" customHeight="1">
      <c r="A5879" s="13"/>
      <c r="B5879" s="13"/>
      <c r="C5879" s="13"/>
      <c r="D5879" s="13"/>
      <c r="E5879" s="13"/>
      <c r="F5879" s="13"/>
      <c r="G5879" s="13"/>
      <c r="H5879" s="13"/>
      <c r="I5879" s="13"/>
      <c r="J5879" s="13"/>
      <c r="K5879" s="15"/>
      <c r="L5879" s="15"/>
      <c r="M5879" s="16"/>
      <c r="N5879" s="16"/>
      <c r="O5879" s="17"/>
      <c r="P5879" s="17"/>
      <c r="Q5879" s="13"/>
      <c r="R5879" s="13"/>
      <c r="S5879" s="13"/>
      <c r="T5879" s="13"/>
      <c r="U5879" s="13"/>
      <c r="V5879" s="13"/>
      <c r="W5879" s="13"/>
      <c r="X5879" s="13"/>
      <c r="Y5879" s="13"/>
      <c r="Z5879" s="13"/>
      <c r="AA5879" s="13"/>
      <c r="AB5879" s="13"/>
      <c r="AC5879" s="13"/>
      <c r="AD5879" s="13"/>
      <c r="AE5879" s="13"/>
      <c r="AF5879" s="13"/>
      <c r="AG5879" s="13"/>
      <c r="AH5879" s="13"/>
      <c r="AI5879" s="13"/>
      <c r="AJ5879" s="13"/>
      <c r="AK5879" s="13"/>
      <c r="AL5879" s="13"/>
      <c r="AM5879" s="13"/>
      <c r="AN5879" s="13"/>
      <c r="AO5879" s="13"/>
      <c r="AP5879" s="13"/>
      <c r="AQ5879" s="13"/>
      <c r="AR5879" s="13"/>
      <c r="AS5879" s="13"/>
    </row>
    <row r="5880" ht="14.25" customHeight="1">
      <c r="A5880" s="13"/>
      <c r="B5880" s="13"/>
      <c r="C5880" s="13"/>
      <c r="D5880" s="13"/>
      <c r="E5880" s="13"/>
      <c r="F5880" s="13"/>
      <c r="G5880" s="13"/>
      <c r="H5880" s="13"/>
      <c r="I5880" s="13"/>
      <c r="J5880" s="13"/>
      <c r="K5880" s="15"/>
      <c r="L5880" s="15"/>
      <c r="M5880" s="16"/>
      <c r="N5880" s="16"/>
      <c r="O5880" s="17"/>
      <c r="P5880" s="17"/>
      <c r="Q5880" s="13"/>
      <c r="R5880" s="13"/>
      <c r="S5880" s="13"/>
      <c r="T5880" s="13"/>
      <c r="U5880" s="13"/>
      <c r="V5880" s="13"/>
      <c r="W5880" s="13"/>
      <c r="X5880" s="13"/>
      <c r="Y5880" s="13"/>
      <c r="Z5880" s="13"/>
      <c r="AA5880" s="13"/>
      <c r="AB5880" s="13"/>
      <c r="AC5880" s="13"/>
      <c r="AD5880" s="13"/>
      <c r="AE5880" s="13"/>
      <c r="AF5880" s="13"/>
      <c r="AG5880" s="13"/>
      <c r="AH5880" s="13"/>
      <c r="AI5880" s="13"/>
      <c r="AJ5880" s="13"/>
      <c r="AK5880" s="13"/>
      <c r="AL5880" s="13"/>
      <c r="AM5880" s="13"/>
      <c r="AN5880" s="13"/>
      <c r="AO5880" s="13"/>
      <c r="AP5880" s="13"/>
      <c r="AQ5880" s="13"/>
      <c r="AR5880" s="13"/>
      <c r="AS5880" s="13"/>
    </row>
    <row r="5881" ht="14.25" customHeight="1">
      <c r="A5881" s="13"/>
      <c r="B5881" s="13"/>
      <c r="C5881" s="13"/>
      <c r="D5881" s="13"/>
      <c r="E5881" s="13"/>
      <c r="F5881" s="13"/>
      <c r="G5881" s="13"/>
      <c r="H5881" s="13"/>
      <c r="I5881" s="13"/>
      <c r="J5881" s="13"/>
      <c r="K5881" s="15"/>
      <c r="L5881" s="15"/>
      <c r="M5881" s="16"/>
      <c r="N5881" s="16"/>
      <c r="O5881" s="17"/>
      <c r="P5881" s="17"/>
      <c r="Q5881" s="13"/>
      <c r="R5881" s="13"/>
      <c r="S5881" s="13"/>
      <c r="T5881" s="13"/>
      <c r="U5881" s="13"/>
      <c r="V5881" s="13"/>
      <c r="W5881" s="13"/>
      <c r="X5881" s="13"/>
      <c r="Y5881" s="13"/>
      <c r="Z5881" s="13"/>
      <c r="AA5881" s="13"/>
      <c r="AB5881" s="13"/>
      <c r="AC5881" s="13"/>
      <c r="AD5881" s="13"/>
      <c r="AE5881" s="13"/>
      <c r="AF5881" s="13"/>
      <c r="AG5881" s="13"/>
      <c r="AH5881" s="13"/>
      <c r="AI5881" s="13"/>
      <c r="AJ5881" s="13"/>
      <c r="AK5881" s="13"/>
      <c r="AL5881" s="13"/>
      <c r="AM5881" s="13"/>
      <c r="AN5881" s="13"/>
      <c r="AO5881" s="13"/>
      <c r="AP5881" s="13"/>
      <c r="AQ5881" s="13"/>
      <c r="AR5881" s="13"/>
      <c r="AS5881" s="13"/>
    </row>
    <row r="5882" ht="14.25" customHeight="1">
      <c r="A5882" s="13"/>
      <c r="B5882" s="13"/>
      <c r="C5882" s="13"/>
      <c r="D5882" s="13"/>
      <c r="E5882" s="13"/>
      <c r="F5882" s="13"/>
      <c r="G5882" s="13"/>
      <c r="H5882" s="13"/>
      <c r="I5882" s="13"/>
      <c r="J5882" s="13"/>
      <c r="K5882" s="15"/>
      <c r="L5882" s="15"/>
      <c r="M5882" s="16"/>
      <c r="N5882" s="16"/>
      <c r="O5882" s="17"/>
      <c r="P5882" s="17"/>
      <c r="Q5882" s="13"/>
      <c r="R5882" s="13"/>
      <c r="S5882" s="13"/>
      <c r="T5882" s="13"/>
      <c r="U5882" s="13"/>
      <c r="V5882" s="13"/>
      <c r="W5882" s="13"/>
      <c r="X5882" s="13"/>
      <c r="Y5882" s="13"/>
      <c r="Z5882" s="13"/>
      <c r="AA5882" s="13"/>
      <c r="AB5882" s="13"/>
      <c r="AC5882" s="13"/>
      <c r="AD5882" s="13"/>
      <c r="AE5882" s="13"/>
      <c r="AF5882" s="13"/>
      <c r="AG5882" s="13"/>
      <c r="AH5882" s="13"/>
      <c r="AI5882" s="13"/>
      <c r="AJ5882" s="13"/>
      <c r="AK5882" s="13"/>
      <c r="AL5882" s="13"/>
      <c r="AM5882" s="13"/>
      <c r="AN5882" s="13"/>
      <c r="AO5882" s="13"/>
      <c r="AP5882" s="13"/>
      <c r="AQ5882" s="13"/>
      <c r="AR5882" s="13"/>
      <c r="AS5882" s="13"/>
    </row>
    <row r="5883" ht="14.25" customHeight="1">
      <c r="A5883" s="13"/>
      <c r="B5883" s="13"/>
      <c r="C5883" s="13"/>
      <c r="D5883" s="13"/>
      <c r="E5883" s="13"/>
      <c r="F5883" s="13"/>
      <c r="G5883" s="13"/>
      <c r="H5883" s="13"/>
      <c r="I5883" s="13"/>
      <c r="J5883" s="13"/>
      <c r="K5883" s="15"/>
      <c r="L5883" s="15"/>
      <c r="M5883" s="16"/>
      <c r="N5883" s="16"/>
      <c r="O5883" s="17"/>
      <c r="P5883" s="17"/>
      <c r="Q5883" s="13"/>
      <c r="R5883" s="13"/>
      <c r="S5883" s="13"/>
      <c r="T5883" s="13"/>
      <c r="U5883" s="13"/>
      <c r="V5883" s="13"/>
      <c r="W5883" s="13"/>
      <c r="X5883" s="13"/>
      <c r="Y5883" s="13"/>
      <c r="Z5883" s="13"/>
      <c r="AA5883" s="13"/>
      <c r="AB5883" s="13"/>
      <c r="AC5883" s="13"/>
      <c r="AD5883" s="13"/>
      <c r="AE5883" s="13"/>
      <c r="AF5883" s="13"/>
      <c r="AG5883" s="13"/>
      <c r="AH5883" s="13"/>
      <c r="AI5883" s="13"/>
      <c r="AJ5883" s="13"/>
      <c r="AK5883" s="13"/>
      <c r="AL5883" s="13"/>
      <c r="AM5883" s="13"/>
      <c r="AN5883" s="13"/>
      <c r="AO5883" s="13"/>
      <c r="AP5883" s="13"/>
      <c r="AQ5883" s="13"/>
      <c r="AR5883" s="13"/>
      <c r="AS5883" s="13"/>
    </row>
    <row r="5884" ht="14.25" customHeight="1">
      <c r="A5884" s="13"/>
      <c r="B5884" s="13"/>
      <c r="C5884" s="13"/>
      <c r="D5884" s="13"/>
      <c r="E5884" s="13"/>
      <c r="F5884" s="13"/>
      <c r="G5884" s="13"/>
      <c r="H5884" s="13"/>
      <c r="I5884" s="13"/>
      <c r="J5884" s="13"/>
      <c r="K5884" s="15"/>
      <c r="L5884" s="15"/>
      <c r="M5884" s="16"/>
      <c r="N5884" s="16"/>
      <c r="O5884" s="17"/>
      <c r="P5884" s="17"/>
      <c r="Q5884" s="13"/>
      <c r="R5884" s="13"/>
      <c r="S5884" s="13"/>
      <c r="T5884" s="13"/>
      <c r="U5884" s="13"/>
      <c r="V5884" s="13"/>
      <c r="W5884" s="13"/>
      <c r="X5884" s="13"/>
      <c r="Y5884" s="13"/>
      <c r="Z5884" s="13"/>
      <c r="AA5884" s="13"/>
      <c r="AB5884" s="13"/>
      <c r="AC5884" s="13"/>
      <c r="AD5884" s="13"/>
      <c r="AE5884" s="13"/>
      <c r="AF5884" s="13"/>
      <c r="AG5884" s="13"/>
      <c r="AH5884" s="13"/>
      <c r="AI5884" s="13"/>
      <c r="AJ5884" s="13"/>
      <c r="AK5884" s="13"/>
      <c r="AL5884" s="13"/>
      <c r="AM5884" s="13"/>
      <c r="AN5884" s="13"/>
      <c r="AO5884" s="13"/>
      <c r="AP5884" s="13"/>
      <c r="AQ5884" s="13"/>
      <c r="AR5884" s="13"/>
      <c r="AS5884" s="13"/>
    </row>
    <row r="5885" ht="14.25" customHeight="1">
      <c r="A5885" s="13"/>
      <c r="B5885" s="13"/>
      <c r="C5885" s="13"/>
      <c r="D5885" s="13"/>
      <c r="E5885" s="13"/>
      <c r="F5885" s="13"/>
      <c r="G5885" s="13"/>
      <c r="H5885" s="13"/>
      <c r="I5885" s="13"/>
      <c r="J5885" s="13"/>
      <c r="K5885" s="15"/>
      <c r="L5885" s="15"/>
      <c r="M5885" s="16"/>
      <c r="N5885" s="16"/>
      <c r="O5885" s="17"/>
      <c r="P5885" s="17"/>
      <c r="Q5885" s="13"/>
      <c r="R5885" s="13"/>
      <c r="S5885" s="13"/>
      <c r="T5885" s="13"/>
      <c r="U5885" s="13"/>
      <c r="V5885" s="13"/>
      <c r="W5885" s="13"/>
      <c r="X5885" s="13"/>
      <c r="Y5885" s="13"/>
      <c r="Z5885" s="13"/>
      <c r="AA5885" s="13"/>
      <c r="AB5885" s="13"/>
      <c r="AC5885" s="13"/>
      <c r="AD5885" s="13"/>
      <c r="AE5885" s="13"/>
      <c r="AF5885" s="13"/>
      <c r="AG5885" s="13"/>
      <c r="AH5885" s="13"/>
      <c r="AI5885" s="13"/>
      <c r="AJ5885" s="13"/>
      <c r="AK5885" s="13"/>
      <c r="AL5885" s="13"/>
      <c r="AM5885" s="13"/>
      <c r="AN5885" s="13"/>
      <c r="AO5885" s="13"/>
      <c r="AP5885" s="13"/>
      <c r="AQ5885" s="13"/>
      <c r="AR5885" s="13"/>
      <c r="AS5885" s="13"/>
    </row>
    <row r="5886" ht="14.25" customHeight="1">
      <c r="A5886" s="13"/>
      <c r="B5886" s="13"/>
      <c r="C5886" s="13"/>
      <c r="D5886" s="13"/>
      <c r="E5886" s="13"/>
      <c r="F5886" s="13"/>
      <c r="G5886" s="13"/>
      <c r="H5886" s="13"/>
      <c r="I5886" s="13"/>
      <c r="J5886" s="13"/>
      <c r="K5886" s="15"/>
      <c r="L5886" s="15"/>
      <c r="M5886" s="16"/>
      <c r="N5886" s="16"/>
      <c r="O5886" s="17"/>
      <c r="P5886" s="17"/>
      <c r="Q5886" s="13"/>
      <c r="R5886" s="13"/>
      <c r="S5886" s="13"/>
      <c r="T5886" s="13"/>
      <c r="U5886" s="13"/>
      <c r="V5886" s="13"/>
      <c r="W5886" s="13"/>
      <c r="X5886" s="13"/>
      <c r="Y5886" s="13"/>
      <c r="Z5886" s="13"/>
      <c r="AA5886" s="13"/>
      <c r="AB5886" s="13"/>
      <c r="AC5886" s="13"/>
      <c r="AD5886" s="13"/>
      <c r="AE5886" s="13"/>
      <c r="AF5886" s="13"/>
      <c r="AG5886" s="13"/>
      <c r="AH5886" s="13"/>
      <c r="AI5886" s="13"/>
      <c r="AJ5886" s="13"/>
      <c r="AK5886" s="13"/>
      <c r="AL5886" s="13"/>
      <c r="AM5886" s="13"/>
      <c r="AN5886" s="13"/>
      <c r="AO5886" s="13"/>
      <c r="AP5886" s="13"/>
      <c r="AQ5886" s="13"/>
      <c r="AR5886" s="13"/>
      <c r="AS5886" s="13"/>
    </row>
    <row r="5887" ht="14.25" customHeight="1">
      <c r="A5887" s="13"/>
      <c r="B5887" s="13"/>
      <c r="C5887" s="13"/>
      <c r="D5887" s="13"/>
      <c r="E5887" s="13"/>
      <c r="F5887" s="13"/>
      <c r="G5887" s="13"/>
      <c r="H5887" s="13"/>
      <c r="I5887" s="13"/>
      <c r="J5887" s="13"/>
      <c r="K5887" s="15"/>
      <c r="L5887" s="15"/>
      <c r="M5887" s="16"/>
      <c r="N5887" s="16"/>
      <c r="O5887" s="17"/>
      <c r="P5887" s="17"/>
      <c r="Q5887" s="13"/>
      <c r="R5887" s="13"/>
      <c r="S5887" s="13"/>
      <c r="T5887" s="13"/>
      <c r="U5887" s="13"/>
      <c r="V5887" s="13"/>
      <c r="W5887" s="13"/>
      <c r="X5887" s="13"/>
      <c r="Y5887" s="13"/>
      <c r="Z5887" s="13"/>
      <c r="AA5887" s="13"/>
      <c r="AB5887" s="13"/>
      <c r="AC5887" s="13"/>
      <c r="AD5887" s="13"/>
      <c r="AE5887" s="13"/>
      <c r="AF5887" s="13"/>
      <c r="AG5887" s="13"/>
      <c r="AH5887" s="13"/>
      <c r="AI5887" s="13"/>
      <c r="AJ5887" s="13"/>
      <c r="AK5887" s="13"/>
      <c r="AL5887" s="13"/>
      <c r="AM5887" s="13"/>
      <c r="AN5887" s="13"/>
      <c r="AO5887" s="13"/>
      <c r="AP5887" s="13"/>
      <c r="AQ5887" s="13"/>
      <c r="AR5887" s="13"/>
      <c r="AS5887" s="13"/>
    </row>
    <row r="5888" ht="14.25" customHeight="1">
      <c r="A5888" s="13"/>
      <c r="B5888" s="13"/>
      <c r="C5888" s="13"/>
      <c r="D5888" s="13"/>
      <c r="E5888" s="13"/>
      <c r="F5888" s="13"/>
      <c r="G5888" s="13"/>
      <c r="H5888" s="13"/>
      <c r="I5888" s="13"/>
      <c r="J5888" s="13"/>
      <c r="K5888" s="15"/>
      <c r="L5888" s="15"/>
      <c r="M5888" s="16"/>
      <c r="N5888" s="16"/>
      <c r="O5888" s="17"/>
      <c r="P5888" s="17"/>
      <c r="Q5888" s="13"/>
      <c r="R5888" s="13"/>
      <c r="S5888" s="13"/>
      <c r="T5888" s="13"/>
      <c r="U5888" s="13"/>
      <c r="V5888" s="13"/>
      <c r="W5888" s="13"/>
      <c r="X5888" s="13"/>
      <c r="Y5888" s="13"/>
      <c r="Z5888" s="13"/>
      <c r="AA5888" s="13"/>
      <c r="AB5888" s="13"/>
      <c r="AC5888" s="13"/>
      <c r="AD5888" s="13"/>
      <c r="AE5888" s="13"/>
      <c r="AF5888" s="13"/>
      <c r="AG5888" s="13"/>
      <c r="AH5888" s="13"/>
      <c r="AI5888" s="13"/>
      <c r="AJ5888" s="13"/>
      <c r="AK5888" s="13"/>
      <c r="AL5888" s="13"/>
      <c r="AM5888" s="13"/>
      <c r="AN5888" s="13"/>
      <c r="AO5888" s="13"/>
      <c r="AP5888" s="13"/>
      <c r="AQ5888" s="13"/>
      <c r="AR5888" s="13"/>
      <c r="AS5888" s="13"/>
    </row>
    <row r="5889" ht="14.25" customHeight="1">
      <c r="A5889" s="13"/>
      <c r="B5889" s="13"/>
      <c r="C5889" s="13"/>
      <c r="D5889" s="13"/>
      <c r="E5889" s="13"/>
      <c r="F5889" s="13"/>
      <c r="G5889" s="13"/>
      <c r="H5889" s="13"/>
      <c r="I5889" s="13"/>
      <c r="J5889" s="13"/>
      <c r="K5889" s="15"/>
      <c r="L5889" s="15"/>
      <c r="M5889" s="16"/>
      <c r="N5889" s="16"/>
      <c r="O5889" s="17"/>
      <c r="P5889" s="17"/>
      <c r="Q5889" s="13"/>
      <c r="R5889" s="13"/>
      <c r="S5889" s="13"/>
      <c r="T5889" s="13"/>
      <c r="U5889" s="13"/>
      <c r="V5889" s="13"/>
      <c r="W5889" s="13"/>
      <c r="X5889" s="13"/>
      <c r="Y5889" s="13"/>
      <c r="Z5889" s="13"/>
      <c r="AA5889" s="13"/>
      <c r="AB5889" s="13"/>
      <c r="AC5889" s="13"/>
      <c r="AD5889" s="13"/>
      <c r="AE5889" s="13"/>
      <c r="AF5889" s="13"/>
      <c r="AG5889" s="13"/>
      <c r="AH5889" s="13"/>
      <c r="AI5889" s="13"/>
      <c r="AJ5889" s="13"/>
      <c r="AK5889" s="13"/>
      <c r="AL5889" s="13"/>
      <c r="AM5889" s="13"/>
      <c r="AN5889" s="13"/>
      <c r="AO5889" s="13"/>
      <c r="AP5889" s="13"/>
      <c r="AQ5889" s="13"/>
      <c r="AR5889" s="13"/>
      <c r="AS5889" s="13"/>
    </row>
    <row r="5890" ht="14.25" customHeight="1">
      <c r="A5890" s="13"/>
      <c r="B5890" s="13"/>
      <c r="C5890" s="13"/>
      <c r="D5890" s="13"/>
      <c r="E5890" s="13"/>
      <c r="F5890" s="13"/>
      <c r="G5890" s="13"/>
      <c r="H5890" s="13"/>
      <c r="I5890" s="13"/>
      <c r="J5890" s="13"/>
      <c r="K5890" s="15"/>
      <c r="L5890" s="15"/>
      <c r="M5890" s="16"/>
      <c r="N5890" s="16"/>
      <c r="O5890" s="17"/>
      <c r="P5890" s="17"/>
      <c r="Q5890" s="13"/>
      <c r="R5890" s="13"/>
      <c r="S5890" s="13"/>
      <c r="T5890" s="13"/>
      <c r="U5890" s="13"/>
      <c r="V5890" s="13"/>
      <c r="W5890" s="13"/>
      <c r="X5890" s="13"/>
      <c r="Y5890" s="13"/>
      <c r="Z5890" s="13"/>
      <c r="AA5890" s="13"/>
      <c r="AB5890" s="13"/>
      <c r="AC5890" s="13"/>
      <c r="AD5890" s="13"/>
      <c r="AE5890" s="13"/>
      <c r="AF5890" s="13"/>
      <c r="AG5890" s="13"/>
      <c r="AH5890" s="13"/>
      <c r="AI5890" s="13"/>
      <c r="AJ5890" s="13"/>
      <c r="AK5890" s="13"/>
      <c r="AL5890" s="13"/>
      <c r="AM5890" s="13"/>
      <c r="AN5890" s="13"/>
      <c r="AO5890" s="13"/>
      <c r="AP5890" s="13"/>
      <c r="AQ5890" s="13"/>
      <c r="AR5890" s="13"/>
      <c r="AS5890" s="13"/>
    </row>
    <row r="5891" ht="14.25" customHeight="1">
      <c r="A5891" s="13"/>
      <c r="B5891" s="13"/>
      <c r="C5891" s="13"/>
      <c r="D5891" s="13"/>
      <c r="E5891" s="13"/>
      <c r="F5891" s="13"/>
      <c r="G5891" s="13"/>
      <c r="H5891" s="13"/>
      <c r="I5891" s="13"/>
      <c r="J5891" s="13"/>
      <c r="K5891" s="15"/>
      <c r="L5891" s="15"/>
      <c r="M5891" s="16"/>
      <c r="N5891" s="16"/>
      <c r="O5891" s="17"/>
      <c r="P5891" s="17"/>
      <c r="Q5891" s="13"/>
      <c r="R5891" s="13"/>
      <c r="S5891" s="13"/>
      <c r="T5891" s="13"/>
      <c r="U5891" s="13"/>
      <c r="V5891" s="13"/>
      <c r="W5891" s="13"/>
      <c r="X5891" s="13"/>
      <c r="Y5891" s="13"/>
      <c r="Z5891" s="13"/>
      <c r="AA5891" s="13"/>
      <c r="AB5891" s="13"/>
      <c r="AC5891" s="13"/>
      <c r="AD5891" s="13"/>
      <c r="AE5891" s="13"/>
      <c r="AF5891" s="13"/>
      <c r="AG5891" s="13"/>
      <c r="AH5891" s="13"/>
      <c r="AI5891" s="13"/>
      <c r="AJ5891" s="13"/>
      <c r="AK5891" s="13"/>
      <c r="AL5891" s="13"/>
      <c r="AM5891" s="13"/>
      <c r="AN5891" s="13"/>
      <c r="AO5891" s="13"/>
      <c r="AP5891" s="13"/>
      <c r="AQ5891" s="13"/>
      <c r="AR5891" s="13"/>
      <c r="AS5891" s="13"/>
    </row>
    <row r="5892" ht="14.25" customHeight="1">
      <c r="A5892" s="13"/>
      <c r="B5892" s="13"/>
      <c r="C5892" s="13"/>
      <c r="D5892" s="13"/>
      <c r="E5892" s="13"/>
      <c r="F5892" s="13"/>
      <c r="G5892" s="13"/>
      <c r="H5892" s="13"/>
      <c r="I5892" s="13"/>
      <c r="J5892" s="13"/>
      <c r="K5892" s="15"/>
      <c r="L5892" s="15"/>
      <c r="M5892" s="16"/>
      <c r="N5892" s="16"/>
      <c r="O5892" s="17"/>
      <c r="P5892" s="17"/>
      <c r="Q5892" s="13"/>
      <c r="R5892" s="13"/>
      <c r="S5892" s="13"/>
      <c r="T5892" s="13"/>
      <c r="U5892" s="13"/>
      <c r="V5892" s="13"/>
      <c r="W5892" s="13"/>
      <c r="X5892" s="13"/>
      <c r="Y5892" s="13"/>
      <c r="Z5892" s="13"/>
      <c r="AA5892" s="13"/>
      <c r="AB5892" s="13"/>
      <c r="AC5892" s="13"/>
      <c r="AD5892" s="13"/>
      <c r="AE5892" s="13"/>
      <c r="AF5892" s="13"/>
      <c r="AG5892" s="13"/>
      <c r="AH5892" s="13"/>
      <c r="AI5892" s="13"/>
      <c r="AJ5892" s="13"/>
      <c r="AK5892" s="13"/>
      <c r="AL5892" s="13"/>
      <c r="AM5892" s="13"/>
      <c r="AN5892" s="13"/>
      <c r="AO5892" s="13"/>
      <c r="AP5892" s="13"/>
      <c r="AQ5892" s="13"/>
      <c r="AR5892" s="13"/>
      <c r="AS5892" s="13"/>
    </row>
    <row r="5893" ht="14.25" customHeight="1">
      <c r="A5893" s="13"/>
      <c r="B5893" s="13"/>
      <c r="C5893" s="13"/>
      <c r="D5893" s="13"/>
      <c r="E5893" s="13"/>
      <c r="F5893" s="13"/>
      <c r="G5893" s="13"/>
      <c r="H5893" s="13"/>
      <c r="I5893" s="13"/>
      <c r="J5893" s="13"/>
      <c r="K5893" s="15"/>
      <c r="L5893" s="15"/>
      <c r="M5893" s="16"/>
      <c r="N5893" s="16"/>
      <c r="O5893" s="17"/>
      <c r="P5893" s="17"/>
      <c r="Q5893" s="13"/>
      <c r="R5893" s="13"/>
      <c r="S5893" s="13"/>
      <c r="T5893" s="13"/>
      <c r="U5893" s="13"/>
      <c r="V5893" s="13"/>
      <c r="W5893" s="13"/>
      <c r="X5893" s="13"/>
      <c r="Y5893" s="13"/>
      <c r="Z5893" s="13"/>
      <c r="AA5893" s="13"/>
      <c r="AB5893" s="13"/>
      <c r="AC5893" s="13"/>
      <c r="AD5893" s="13"/>
      <c r="AE5893" s="13"/>
      <c r="AF5893" s="13"/>
      <c r="AG5893" s="13"/>
      <c r="AH5893" s="13"/>
      <c r="AI5893" s="13"/>
      <c r="AJ5893" s="13"/>
      <c r="AK5893" s="13"/>
      <c r="AL5893" s="13"/>
      <c r="AM5893" s="13"/>
      <c r="AN5893" s="13"/>
      <c r="AO5893" s="13"/>
      <c r="AP5893" s="13"/>
      <c r="AQ5893" s="13"/>
      <c r="AR5893" s="13"/>
      <c r="AS5893" s="13"/>
    </row>
    <row r="5894" ht="14.25" customHeight="1">
      <c r="A5894" s="13"/>
      <c r="B5894" s="13"/>
      <c r="C5894" s="13"/>
      <c r="D5894" s="13"/>
      <c r="E5894" s="13"/>
      <c r="F5894" s="13"/>
      <c r="G5894" s="13"/>
      <c r="H5894" s="13"/>
      <c r="I5894" s="13"/>
      <c r="J5894" s="13"/>
      <c r="K5894" s="15"/>
      <c r="L5894" s="15"/>
      <c r="M5894" s="16"/>
      <c r="N5894" s="16"/>
      <c r="O5894" s="17"/>
      <c r="P5894" s="17"/>
      <c r="Q5894" s="13"/>
      <c r="R5894" s="13"/>
      <c r="S5894" s="13"/>
      <c r="T5894" s="13"/>
      <c r="U5894" s="13"/>
      <c r="V5894" s="13"/>
      <c r="W5894" s="13"/>
      <c r="X5894" s="13"/>
      <c r="Y5894" s="13"/>
      <c r="Z5894" s="13"/>
      <c r="AA5894" s="13"/>
      <c r="AB5894" s="13"/>
      <c r="AC5894" s="13"/>
      <c r="AD5894" s="13"/>
      <c r="AE5894" s="13"/>
      <c r="AF5894" s="13"/>
      <c r="AG5894" s="13"/>
      <c r="AH5894" s="13"/>
      <c r="AI5894" s="13"/>
      <c r="AJ5894" s="13"/>
      <c r="AK5894" s="13"/>
      <c r="AL5894" s="13"/>
      <c r="AM5894" s="13"/>
      <c r="AN5894" s="13"/>
      <c r="AO5894" s="13"/>
      <c r="AP5894" s="13"/>
      <c r="AQ5894" s="13"/>
      <c r="AR5894" s="13"/>
      <c r="AS5894" s="13"/>
    </row>
    <row r="5895" ht="14.25" customHeight="1">
      <c r="A5895" s="13"/>
      <c r="B5895" s="13"/>
      <c r="C5895" s="13"/>
      <c r="D5895" s="13"/>
      <c r="E5895" s="13"/>
      <c r="F5895" s="13"/>
      <c r="G5895" s="13"/>
      <c r="H5895" s="13"/>
      <c r="I5895" s="13"/>
      <c r="J5895" s="13"/>
      <c r="K5895" s="15"/>
      <c r="L5895" s="15"/>
      <c r="M5895" s="16"/>
      <c r="N5895" s="16"/>
      <c r="O5895" s="17"/>
      <c r="P5895" s="17"/>
      <c r="Q5895" s="13"/>
      <c r="R5895" s="13"/>
      <c r="S5895" s="13"/>
      <c r="T5895" s="13"/>
      <c r="U5895" s="13"/>
      <c r="V5895" s="13"/>
      <c r="W5895" s="13"/>
      <c r="X5895" s="13"/>
      <c r="Y5895" s="13"/>
      <c r="Z5895" s="13"/>
      <c r="AA5895" s="13"/>
      <c r="AB5895" s="13"/>
      <c r="AC5895" s="13"/>
      <c r="AD5895" s="13"/>
      <c r="AE5895" s="13"/>
      <c r="AF5895" s="13"/>
      <c r="AG5895" s="13"/>
      <c r="AH5895" s="13"/>
      <c r="AI5895" s="13"/>
      <c r="AJ5895" s="13"/>
      <c r="AK5895" s="13"/>
      <c r="AL5895" s="13"/>
      <c r="AM5895" s="13"/>
      <c r="AN5895" s="13"/>
      <c r="AO5895" s="13"/>
      <c r="AP5895" s="13"/>
      <c r="AQ5895" s="13"/>
      <c r="AR5895" s="13"/>
      <c r="AS5895" s="13"/>
    </row>
    <row r="5896" ht="14.25" customHeight="1">
      <c r="A5896" s="13"/>
      <c r="B5896" s="13"/>
      <c r="C5896" s="13"/>
      <c r="D5896" s="13"/>
      <c r="E5896" s="13"/>
      <c r="F5896" s="13"/>
      <c r="G5896" s="13"/>
      <c r="H5896" s="13"/>
      <c r="I5896" s="13"/>
      <c r="J5896" s="13"/>
      <c r="K5896" s="15"/>
      <c r="L5896" s="15"/>
      <c r="M5896" s="16"/>
      <c r="N5896" s="16"/>
      <c r="O5896" s="17"/>
      <c r="P5896" s="17"/>
      <c r="Q5896" s="13"/>
      <c r="R5896" s="13"/>
      <c r="S5896" s="13"/>
      <c r="T5896" s="13"/>
      <c r="U5896" s="13"/>
      <c r="V5896" s="13"/>
      <c r="W5896" s="13"/>
      <c r="X5896" s="13"/>
      <c r="Y5896" s="13"/>
      <c r="Z5896" s="13"/>
      <c r="AA5896" s="13"/>
      <c r="AB5896" s="13"/>
      <c r="AC5896" s="13"/>
      <c r="AD5896" s="13"/>
      <c r="AE5896" s="13"/>
      <c r="AF5896" s="13"/>
      <c r="AG5896" s="13"/>
      <c r="AH5896" s="13"/>
      <c r="AI5896" s="13"/>
      <c r="AJ5896" s="13"/>
      <c r="AK5896" s="13"/>
      <c r="AL5896" s="13"/>
      <c r="AM5896" s="13"/>
      <c r="AN5896" s="13"/>
      <c r="AO5896" s="13"/>
      <c r="AP5896" s="13"/>
      <c r="AQ5896" s="13"/>
      <c r="AR5896" s="13"/>
      <c r="AS5896" s="13"/>
    </row>
    <row r="5897" ht="14.25" customHeight="1">
      <c r="A5897" s="13"/>
      <c r="B5897" s="13"/>
      <c r="C5897" s="13"/>
      <c r="D5897" s="13"/>
      <c r="E5897" s="13"/>
      <c r="F5897" s="13"/>
      <c r="G5897" s="13"/>
      <c r="H5897" s="13"/>
      <c r="I5897" s="13"/>
      <c r="J5897" s="13"/>
      <c r="K5897" s="15"/>
      <c r="L5897" s="15"/>
      <c r="M5897" s="16"/>
      <c r="N5897" s="16"/>
      <c r="O5897" s="17"/>
      <c r="P5897" s="17"/>
      <c r="Q5897" s="13"/>
      <c r="R5897" s="13"/>
      <c r="S5897" s="13"/>
      <c r="T5897" s="13"/>
      <c r="U5897" s="13"/>
      <c r="V5897" s="13"/>
      <c r="W5897" s="13"/>
      <c r="X5897" s="13"/>
      <c r="Y5897" s="13"/>
      <c r="Z5897" s="13"/>
      <c r="AA5897" s="13"/>
      <c r="AB5897" s="13"/>
      <c r="AC5897" s="13"/>
      <c r="AD5897" s="13"/>
      <c r="AE5897" s="13"/>
      <c r="AF5897" s="13"/>
      <c r="AG5897" s="13"/>
      <c r="AH5897" s="13"/>
      <c r="AI5897" s="13"/>
      <c r="AJ5897" s="13"/>
      <c r="AK5897" s="13"/>
      <c r="AL5897" s="13"/>
      <c r="AM5897" s="13"/>
      <c r="AN5897" s="13"/>
      <c r="AO5897" s="13"/>
      <c r="AP5897" s="13"/>
      <c r="AQ5897" s="13"/>
      <c r="AR5897" s="13"/>
      <c r="AS5897" s="13"/>
    </row>
    <row r="5898" ht="14.25" customHeight="1">
      <c r="A5898" s="13"/>
      <c r="B5898" s="13"/>
      <c r="C5898" s="13"/>
      <c r="D5898" s="13"/>
      <c r="E5898" s="13"/>
      <c r="F5898" s="13"/>
      <c r="G5898" s="13"/>
      <c r="H5898" s="13"/>
      <c r="I5898" s="13"/>
      <c r="J5898" s="13"/>
      <c r="K5898" s="15"/>
      <c r="L5898" s="15"/>
      <c r="M5898" s="16"/>
      <c r="N5898" s="16"/>
      <c r="O5898" s="17"/>
      <c r="P5898" s="17"/>
      <c r="Q5898" s="13"/>
      <c r="R5898" s="13"/>
      <c r="S5898" s="13"/>
      <c r="T5898" s="13"/>
      <c r="U5898" s="13"/>
      <c r="V5898" s="13"/>
      <c r="W5898" s="13"/>
      <c r="X5898" s="13"/>
      <c r="Y5898" s="13"/>
      <c r="Z5898" s="13"/>
      <c r="AA5898" s="13"/>
      <c r="AB5898" s="13"/>
      <c r="AC5898" s="13"/>
      <c r="AD5898" s="13"/>
      <c r="AE5898" s="13"/>
      <c r="AF5898" s="13"/>
      <c r="AG5898" s="13"/>
      <c r="AH5898" s="13"/>
      <c r="AI5898" s="13"/>
      <c r="AJ5898" s="13"/>
      <c r="AK5898" s="13"/>
      <c r="AL5898" s="13"/>
      <c r="AM5898" s="13"/>
      <c r="AN5898" s="13"/>
      <c r="AO5898" s="13"/>
      <c r="AP5898" s="13"/>
      <c r="AQ5898" s="13"/>
      <c r="AR5898" s="13"/>
      <c r="AS5898" s="13"/>
    </row>
    <row r="5899" ht="14.25" customHeight="1">
      <c r="A5899" s="13"/>
      <c r="B5899" s="13"/>
      <c r="C5899" s="13"/>
      <c r="D5899" s="13"/>
      <c r="E5899" s="13"/>
      <c r="F5899" s="13"/>
      <c r="G5899" s="13"/>
      <c r="H5899" s="13"/>
      <c r="I5899" s="13"/>
      <c r="J5899" s="13"/>
      <c r="K5899" s="15"/>
      <c r="L5899" s="15"/>
      <c r="M5899" s="16"/>
      <c r="N5899" s="16"/>
      <c r="O5899" s="17"/>
      <c r="P5899" s="17"/>
      <c r="Q5899" s="13"/>
      <c r="R5899" s="13"/>
      <c r="S5899" s="13"/>
      <c r="T5899" s="13"/>
      <c r="U5899" s="13"/>
      <c r="V5899" s="13"/>
      <c r="W5899" s="13"/>
      <c r="X5899" s="13"/>
      <c r="Y5899" s="13"/>
      <c r="Z5899" s="13"/>
      <c r="AA5899" s="13"/>
      <c r="AB5899" s="13"/>
      <c r="AC5899" s="13"/>
      <c r="AD5899" s="13"/>
      <c r="AE5899" s="13"/>
      <c r="AF5899" s="13"/>
      <c r="AG5899" s="13"/>
      <c r="AH5899" s="13"/>
      <c r="AI5899" s="13"/>
      <c r="AJ5899" s="13"/>
      <c r="AK5899" s="13"/>
      <c r="AL5899" s="13"/>
      <c r="AM5899" s="13"/>
      <c r="AN5899" s="13"/>
      <c r="AO5899" s="13"/>
      <c r="AP5899" s="13"/>
      <c r="AQ5899" s="13"/>
      <c r="AR5899" s="13"/>
      <c r="AS5899" s="13"/>
    </row>
    <row r="5900" ht="14.25" customHeight="1">
      <c r="A5900" s="13"/>
      <c r="B5900" s="13"/>
      <c r="C5900" s="13"/>
      <c r="D5900" s="13"/>
      <c r="E5900" s="13"/>
      <c r="F5900" s="13"/>
      <c r="G5900" s="13"/>
      <c r="H5900" s="13"/>
      <c r="I5900" s="13"/>
      <c r="J5900" s="13"/>
      <c r="K5900" s="15"/>
      <c r="L5900" s="15"/>
      <c r="M5900" s="16"/>
      <c r="N5900" s="16"/>
      <c r="O5900" s="17"/>
      <c r="P5900" s="17"/>
      <c r="Q5900" s="13"/>
      <c r="R5900" s="13"/>
      <c r="S5900" s="13"/>
      <c r="T5900" s="13"/>
      <c r="U5900" s="13"/>
      <c r="V5900" s="13"/>
      <c r="W5900" s="13"/>
      <c r="X5900" s="13"/>
      <c r="Y5900" s="13"/>
      <c r="Z5900" s="13"/>
      <c r="AA5900" s="13"/>
      <c r="AB5900" s="13"/>
      <c r="AC5900" s="13"/>
      <c r="AD5900" s="13"/>
      <c r="AE5900" s="13"/>
      <c r="AF5900" s="13"/>
      <c r="AG5900" s="13"/>
      <c r="AH5900" s="13"/>
      <c r="AI5900" s="13"/>
      <c r="AJ5900" s="13"/>
      <c r="AK5900" s="13"/>
      <c r="AL5900" s="13"/>
      <c r="AM5900" s="13"/>
      <c r="AN5900" s="13"/>
      <c r="AO5900" s="13"/>
      <c r="AP5900" s="13"/>
      <c r="AQ5900" s="13"/>
      <c r="AR5900" s="13"/>
      <c r="AS5900" s="13"/>
    </row>
    <row r="5901" ht="14.25" customHeight="1">
      <c r="A5901" s="13"/>
      <c r="B5901" s="13"/>
      <c r="C5901" s="13"/>
      <c r="D5901" s="13"/>
      <c r="E5901" s="13"/>
      <c r="F5901" s="13"/>
      <c r="G5901" s="13"/>
      <c r="H5901" s="13"/>
      <c r="I5901" s="13"/>
      <c r="J5901" s="13"/>
      <c r="K5901" s="15"/>
      <c r="L5901" s="15"/>
      <c r="M5901" s="16"/>
      <c r="N5901" s="16"/>
      <c r="O5901" s="17"/>
      <c r="P5901" s="17"/>
      <c r="Q5901" s="13"/>
      <c r="R5901" s="13"/>
      <c r="S5901" s="13"/>
      <c r="T5901" s="13"/>
      <c r="U5901" s="13"/>
      <c r="V5901" s="13"/>
      <c r="W5901" s="13"/>
      <c r="X5901" s="13"/>
      <c r="Y5901" s="13"/>
      <c r="Z5901" s="13"/>
      <c r="AA5901" s="13"/>
      <c r="AB5901" s="13"/>
      <c r="AC5901" s="13"/>
      <c r="AD5901" s="13"/>
      <c r="AE5901" s="13"/>
      <c r="AF5901" s="13"/>
      <c r="AG5901" s="13"/>
      <c r="AH5901" s="13"/>
      <c r="AI5901" s="13"/>
      <c r="AJ5901" s="13"/>
      <c r="AK5901" s="13"/>
      <c r="AL5901" s="13"/>
      <c r="AM5901" s="13"/>
      <c r="AN5901" s="13"/>
      <c r="AO5901" s="13"/>
      <c r="AP5901" s="13"/>
      <c r="AQ5901" s="13"/>
      <c r="AR5901" s="13"/>
      <c r="AS5901" s="13"/>
    </row>
    <row r="5902" ht="14.25" customHeight="1">
      <c r="A5902" s="13"/>
      <c r="B5902" s="13"/>
      <c r="C5902" s="13"/>
      <c r="D5902" s="13"/>
      <c r="E5902" s="13"/>
      <c r="F5902" s="13"/>
      <c r="G5902" s="13"/>
      <c r="H5902" s="13"/>
      <c r="I5902" s="13"/>
      <c r="J5902" s="13"/>
      <c r="K5902" s="15"/>
      <c r="L5902" s="15"/>
      <c r="M5902" s="16"/>
      <c r="N5902" s="16"/>
      <c r="O5902" s="17"/>
      <c r="P5902" s="17"/>
      <c r="Q5902" s="13"/>
      <c r="R5902" s="13"/>
      <c r="S5902" s="13"/>
      <c r="T5902" s="13"/>
      <c r="U5902" s="13"/>
      <c r="V5902" s="13"/>
      <c r="W5902" s="13"/>
      <c r="X5902" s="13"/>
      <c r="Y5902" s="13"/>
      <c r="Z5902" s="13"/>
      <c r="AA5902" s="13"/>
      <c r="AB5902" s="13"/>
      <c r="AC5902" s="13"/>
      <c r="AD5902" s="13"/>
      <c r="AE5902" s="13"/>
      <c r="AF5902" s="13"/>
      <c r="AG5902" s="13"/>
      <c r="AH5902" s="13"/>
      <c r="AI5902" s="13"/>
      <c r="AJ5902" s="13"/>
      <c r="AK5902" s="13"/>
      <c r="AL5902" s="13"/>
      <c r="AM5902" s="13"/>
      <c r="AN5902" s="13"/>
      <c r="AO5902" s="13"/>
      <c r="AP5902" s="13"/>
      <c r="AQ5902" s="13"/>
      <c r="AR5902" s="13"/>
      <c r="AS5902" s="13"/>
    </row>
    <row r="5903" ht="14.25" customHeight="1">
      <c r="A5903" s="13"/>
      <c r="B5903" s="13"/>
      <c r="C5903" s="13"/>
      <c r="D5903" s="13"/>
      <c r="E5903" s="13"/>
      <c r="F5903" s="13"/>
      <c r="G5903" s="13"/>
      <c r="H5903" s="13"/>
      <c r="I5903" s="13"/>
      <c r="J5903" s="13"/>
      <c r="K5903" s="15"/>
      <c r="L5903" s="15"/>
      <c r="M5903" s="16"/>
      <c r="N5903" s="16"/>
      <c r="O5903" s="17"/>
      <c r="P5903" s="17"/>
      <c r="Q5903" s="13"/>
      <c r="R5903" s="13"/>
      <c r="S5903" s="13"/>
      <c r="T5903" s="13"/>
      <c r="U5903" s="13"/>
      <c r="V5903" s="13"/>
      <c r="W5903" s="13"/>
      <c r="X5903" s="13"/>
      <c r="Y5903" s="13"/>
      <c r="Z5903" s="13"/>
      <c r="AA5903" s="13"/>
      <c r="AB5903" s="13"/>
      <c r="AC5903" s="13"/>
      <c r="AD5903" s="13"/>
      <c r="AE5903" s="13"/>
      <c r="AF5903" s="13"/>
      <c r="AG5903" s="13"/>
      <c r="AH5903" s="13"/>
      <c r="AI5903" s="13"/>
      <c r="AJ5903" s="13"/>
      <c r="AK5903" s="13"/>
      <c r="AL5903" s="13"/>
      <c r="AM5903" s="13"/>
      <c r="AN5903" s="13"/>
      <c r="AO5903" s="13"/>
      <c r="AP5903" s="13"/>
      <c r="AQ5903" s="13"/>
      <c r="AR5903" s="13"/>
      <c r="AS5903" s="13"/>
    </row>
    <row r="5904" ht="14.25" customHeight="1">
      <c r="A5904" s="13"/>
      <c r="B5904" s="13"/>
      <c r="C5904" s="13"/>
      <c r="D5904" s="13"/>
      <c r="E5904" s="13"/>
      <c r="F5904" s="13"/>
      <c r="G5904" s="13"/>
      <c r="H5904" s="13"/>
      <c r="I5904" s="13"/>
      <c r="J5904" s="13"/>
      <c r="K5904" s="15"/>
      <c r="L5904" s="15"/>
      <c r="M5904" s="16"/>
      <c r="N5904" s="16"/>
      <c r="O5904" s="17"/>
      <c r="P5904" s="17"/>
      <c r="Q5904" s="13"/>
      <c r="R5904" s="13"/>
      <c r="S5904" s="13"/>
      <c r="T5904" s="13"/>
      <c r="U5904" s="13"/>
      <c r="V5904" s="13"/>
      <c r="W5904" s="13"/>
      <c r="X5904" s="13"/>
      <c r="Y5904" s="13"/>
      <c r="Z5904" s="13"/>
      <c r="AA5904" s="13"/>
      <c r="AB5904" s="13"/>
      <c r="AC5904" s="13"/>
      <c r="AD5904" s="13"/>
      <c r="AE5904" s="13"/>
      <c r="AF5904" s="13"/>
      <c r="AG5904" s="13"/>
      <c r="AH5904" s="13"/>
      <c r="AI5904" s="13"/>
      <c r="AJ5904" s="13"/>
      <c r="AK5904" s="13"/>
      <c r="AL5904" s="13"/>
      <c r="AM5904" s="13"/>
      <c r="AN5904" s="13"/>
      <c r="AO5904" s="13"/>
      <c r="AP5904" s="13"/>
      <c r="AQ5904" s="13"/>
      <c r="AR5904" s="13"/>
      <c r="AS5904" s="13"/>
    </row>
    <row r="5905" ht="14.25" customHeight="1">
      <c r="A5905" s="13"/>
      <c r="B5905" s="13"/>
      <c r="C5905" s="13"/>
      <c r="D5905" s="13"/>
      <c r="E5905" s="13"/>
      <c r="F5905" s="13"/>
      <c r="G5905" s="13"/>
      <c r="H5905" s="13"/>
      <c r="I5905" s="13"/>
      <c r="J5905" s="13"/>
      <c r="K5905" s="15"/>
      <c r="L5905" s="15"/>
      <c r="M5905" s="16"/>
      <c r="N5905" s="16"/>
      <c r="O5905" s="17"/>
      <c r="P5905" s="17"/>
      <c r="Q5905" s="13"/>
      <c r="R5905" s="13"/>
      <c r="S5905" s="13"/>
      <c r="T5905" s="13"/>
      <c r="U5905" s="13"/>
      <c r="V5905" s="13"/>
      <c r="W5905" s="13"/>
      <c r="X5905" s="13"/>
      <c r="Y5905" s="13"/>
      <c r="Z5905" s="13"/>
      <c r="AA5905" s="13"/>
      <c r="AB5905" s="13"/>
      <c r="AC5905" s="13"/>
      <c r="AD5905" s="13"/>
      <c r="AE5905" s="13"/>
      <c r="AF5905" s="13"/>
      <c r="AG5905" s="13"/>
      <c r="AH5905" s="13"/>
      <c r="AI5905" s="13"/>
      <c r="AJ5905" s="13"/>
      <c r="AK5905" s="13"/>
      <c r="AL5905" s="13"/>
      <c r="AM5905" s="13"/>
      <c r="AN5905" s="13"/>
      <c r="AO5905" s="13"/>
      <c r="AP5905" s="13"/>
      <c r="AQ5905" s="13"/>
      <c r="AR5905" s="13"/>
      <c r="AS5905" s="13"/>
    </row>
    <row r="5906" ht="14.25" customHeight="1">
      <c r="A5906" s="13"/>
      <c r="B5906" s="13"/>
      <c r="C5906" s="13"/>
      <c r="D5906" s="13"/>
      <c r="E5906" s="13"/>
      <c r="F5906" s="13"/>
      <c r="G5906" s="13"/>
      <c r="H5906" s="13"/>
      <c r="I5906" s="13"/>
      <c r="J5906" s="13"/>
      <c r="K5906" s="15"/>
      <c r="L5906" s="15"/>
      <c r="M5906" s="16"/>
      <c r="N5906" s="16"/>
      <c r="O5906" s="17"/>
      <c r="P5906" s="17"/>
      <c r="Q5906" s="13"/>
      <c r="R5906" s="13"/>
      <c r="S5906" s="13"/>
      <c r="T5906" s="13"/>
      <c r="U5906" s="13"/>
      <c r="V5906" s="13"/>
      <c r="W5906" s="13"/>
      <c r="X5906" s="13"/>
      <c r="Y5906" s="13"/>
      <c r="Z5906" s="13"/>
      <c r="AA5906" s="13"/>
      <c r="AB5906" s="13"/>
      <c r="AC5906" s="13"/>
      <c r="AD5906" s="13"/>
      <c r="AE5906" s="13"/>
      <c r="AF5906" s="13"/>
      <c r="AG5906" s="13"/>
      <c r="AH5906" s="13"/>
      <c r="AI5906" s="13"/>
      <c r="AJ5906" s="13"/>
      <c r="AK5906" s="13"/>
      <c r="AL5906" s="13"/>
      <c r="AM5906" s="13"/>
      <c r="AN5906" s="13"/>
      <c r="AO5906" s="13"/>
      <c r="AP5906" s="13"/>
      <c r="AQ5906" s="13"/>
      <c r="AR5906" s="13"/>
      <c r="AS5906" s="13"/>
    </row>
    <row r="5907" ht="14.25" customHeight="1">
      <c r="A5907" s="13"/>
      <c r="B5907" s="13"/>
      <c r="C5907" s="13"/>
      <c r="D5907" s="13"/>
      <c r="E5907" s="13"/>
      <c r="F5907" s="13"/>
      <c r="G5907" s="13"/>
      <c r="H5907" s="13"/>
      <c r="I5907" s="13"/>
      <c r="J5907" s="13"/>
      <c r="K5907" s="15"/>
      <c r="L5907" s="15"/>
      <c r="M5907" s="16"/>
      <c r="N5907" s="16"/>
      <c r="O5907" s="17"/>
      <c r="P5907" s="17"/>
      <c r="Q5907" s="13"/>
      <c r="R5907" s="13"/>
      <c r="S5907" s="13"/>
      <c r="T5907" s="13"/>
      <c r="U5907" s="13"/>
      <c r="V5907" s="13"/>
      <c r="W5907" s="13"/>
      <c r="X5907" s="13"/>
      <c r="Y5907" s="13"/>
      <c r="Z5907" s="13"/>
      <c r="AA5907" s="13"/>
      <c r="AB5907" s="13"/>
      <c r="AC5907" s="13"/>
      <c r="AD5907" s="13"/>
      <c r="AE5907" s="13"/>
      <c r="AF5907" s="13"/>
      <c r="AG5907" s="13"/>
      <c r="AH5907" s="13"/>
      <c r="AI5907" s="13"/>
      <c r="AJ5907" s="13"/>
      <c r="AK5907" s="13"/>
      <c r="AL5907" s="13"/>
      <c r="AM5907" s="13"/>
      <c r="AN5907" s="13"/>
      <c r="AO5907" s="13"/>
      <c r="AP5907" s="13"/>
      <c r="AQ5907" s="13"/>
      <c r="AR5907" s="13"/>
      <c r="AS5907" s="13"/>
    </row>
    <row r="5908" ht="14.25" customHeight="1">
      <c r="A5908" s="13"/>
      <c r="B5908" s="13"/>
      <c r="C5908" s="13"/>
      <c r="D5908" s="13"/>
      <c r="E5908" s="13"/>
      <c r="F5908" s="13"/>
      <c r="G5908" s="13"/>
      <c r="H5908" s="13"/>
      <c r="I5908" s="13"/>
      <c r="J5908" s="13"/>
      <c r="K5908" s="15"/>
      <c r="L5908" s="15"/>
      <c r="M5908" s="16"/>
      <c r="N5908" s="16"/>
      <c r="O5908" s="17"/>
      <c r="P5908" s="17"/>
      <c r="Q5908" s="13"/>
      <c r="R5908" s="13"/>
      <c r="S5908" s="13"/>
      <c r="T5908" s="13"/>
      <c r="U5908" s="13"/>
      <c r="V5908" s="13"/>
      <c r="W5908" s="13"/>
      <c r="X5908" s="13"/>
      <c r="Y5908" s="13"/>
      <c r="Z5908" s="13"/>
      <c r="AA5908" s="13"/>
      <c r="AB5908" s="13"/>
      <c r="AC5908" s="13"/>
      <c r="AD5908" s="13"/>
      <c r="AE5908" s="13"/>
      <c r="AF5908" s="13"/>
      <c r="AG5908" s="13"/>
      <c r="AH5908" s="13"/>
      <c r="AI5908" s="13"/>
      <c r="AJ5908" s="13"/>
      <c r="AK5908" s="13"/>
      <c r="AL5908" s="13"/>
      <c r="AM5908" s="13"/>
      <c r="AN5908" s="13"/>
      <c r="AO5908" s="13"/>
      <c r="AP5908" s="13"/>
      <c r="AQ5908" s="13"/>
      <c r="AR5908" s="13"/>
      <c r="AS5908" s="13"/>
    </row>
    <row r="5909" ht="14.25" customHeight="1">
      <c r="A5909" s="13"/>
      <c r="B5909" s="13"/>
      <c r="C5909" s="13"/>
      <c r="D5909" s="13"/>
      <c r="E5909" s="13"/>
      <c r="F5909" s="13"/>
      <c r="G5909" s="13"/>
      <c r="H5909" s="13"/>
      <c r="I5909" s="13"/>
      <c r="J5909" s="13"/>
      <c r="K5909" s="15"/>
      <c r="L5909" s="15"/>
      <c r="M5909" s="16"/>
      <c r="N5909" s="16"/>
      <c r="O5909" s="17"/>
      <c r="P5909" s="17"/>
      <c r="Q5909" s="13"/>
      <c r="R5909" s="13"/>
      <c r="S5909" s="13"/>
      <c r="T5909" s="13"/>
      <c r="U5909" s="13"/>
      <c r="V5909" s="13"/>
      <c r="W5909" s="13"/>
      <c r="X5909" s="13"/>
      <c r="Y5909" s="13"/>
      <c r="Z5909" s="13"/>
      <c r="AA5909" s="13"/>
      <c r="AB5909" s="13"/>
      <c r="AC5909" s="13"/>
      <c r="AD5909" s="13"/>
      <c r="AE5909" s="13"/>
      <c r="AF5909" s="13"/>
      <c r="AG5909" s="13"/>
      <c r="AH5909" s="13"/>
      <c r="AI5909" s="13"/>
      <c r="AJ5909" s="13"/>
      <c r="AK5909" s="13"/>
      <c r="AL5909" s="13"/>
      <c r="AM5909" s="13"/>
      <c r="AN5909" s="13"/>
      <c r="AO5909" s="13"/>
      <c r="AP5909" s="13"/>
      <c r="AQ5909" s="13"/>
      <c r="AR5909" s="13"/>
      <c r="AS5909" s="13"/>
    </row>
    <row r="5910" ht="14.25" customHeight="1">
      <c r="A5910" s="13"/>
      <c r="B5910" s="13"/>
      <c r="C5910" s="13"/>
      <c r="D5910" s="13"/>
      <c r="E5910" s="13"/>
      <c r="F5910" s="13"/>
      <c r="G5910" s="13"/>
      <c r="H5910" s="13"/>
      <c r="I5910" s="13"/>
      <c r="J5910" s="13"/>
      <c r="K5910" s="15"/>
      <c r="L5910" s="15"/>
      <c r="M5910" s="16"/>
      <c r="N5910" s="16"/>
      <c r="O5910" s="17"/>
      <c r="P5910" s="17"/>
      <c r="Q5910" s="13"/>
      <c r="R5910" s="13"/>
      <c r="S5910" s="13"/>
      <c r="T5910" s="13"/>
      <c r="U5910" s="13"/>
      <c r="V5910" s="13"/>
      <c r="W5910" s="13"/>
      <c r="X5910" s="13"/>
      <c r="Y5910" s="13"/>
      <c r="Z5910" s="13"/>
      <c r="AA5910" s="13"/>
      <c r="AB5910" s="13"/>
      <c r="AC5910" s="13"/>
      <c r="AD5910" s="13"/>
      <c r="AE5910" s="13"/>
      <c r="AF5910" s="13"/>
      <c r="AG5910" s="13"/>
      <c r="AH5910" s="13"/>
      <c r="AI5910" s="13"/>
      <c r="AJ5910" s="13"/>
      <c r="AK5910" s="13"/>
      <c r="AL5910" s="13"/>
      <c r="AM5910" s="13"/>
      <c r="AN5910" s="13"/>
      <c r="AO5910" s="13"/>
      <c r="AP5910" s="13"/>
      <c r="AQ5910" s="13"/>
      <c r="AR5910" s="13"/>
      <c r="AS5910" s="13"/>
    </row>
    <row r="5911" ht="14.25" customHeight="1">
      <c r="A5911" s="13"/>
      <c r="B5911" s="13"/>
      <c r="C5911" s="13"/>
      <c r="D5911" s="13"/>
      <c r="E5911" s="13"/>
      <c r="F5911" s="13"/>
      <c r="G5911" s="13"/>
      <c r="H5911" s="13"/>
      <c r="I5911" s="13"/>
      <c r="J5911" s="13"/>
      <c r="K5911" s="15"/>
      <c r="L5911" s="15"/>
      <c r="M5911" s="16"/>
      <c r="N5911" s="16"/>
      <c r="O5911" s="17"/>
      <c r="P5911" s="17"/>
      <c r="Q5911" s="13"/>
      <c r="R5911" s="13"/>
      <c r="S5911" s="13"/>
      <c r="T5911" s="13"/>
      <c r="U5911" s="13"/>
      <c r="V5911" s="13"/>
      <c r="W5911" s="13"/>
      <c r="X5911" s="13"/>
      <c r="Y5911" s="13"/>
      <c r="Z5911" s="13"/>
      <c r="AA5911" s="13"/>
      <c r="AB5911" s="13"/>
      <c r="AC5911" s="13"/>
      <c r="AD5911" s="13"/>
      <c r="AE5911" s="13"/>
      <c r="AF5911" s="13"/>
      <c r="AG5911" s="13"/>
      <c r="AH5911" s="13"/>
      <c r="AI5911" s="13"/>
      <c r="AJ5911" s="13"/>
      <c r="AK5911" s="13"/>
      <c r="AL5911" s="13"/>
      <c r="AM5911" s="13"/>
      <c r="AN5911" s="13"/>
      <c r="AO5911" s="13"/>
      <c r="AP5911" s="13"/>
      <c r="AQ5911" s="13"/>
      <c r="AR5911" s="13"/>
      <c r="AS5911" s="13"/>
    </row>
    <row r="5912" ht="14.25" customHeight="1">
      <c r="A5912" s="13"/>
      <c r="B5912" s="13"/>
      <c r="C5912" s="13"/>
      <c r="D5912" s="13"/>
      <c r="E5912" s="13"/>
      <c r="F5912" s="13"/>
      <c r="G5912" s="13"/>
      <c r="H5912" s="13"/>
      <c r="I5912" s="13"/>
      <c r="J5912" s="13"/>
      <c r="K5912" s="15"/>
      <c r="L5912" s="15"/>
      <c r="M5912" s="16"/>
      <c r="N5912" s="16"/>
      <c r="O5912" s="17"/>
      <c r="P5912" s="17"/>
      <c r="Q5912" s="13"/>
      <c r="R5912" s="13"/>
      <c r="S5912" s="13"/>
      <c r="T5912" s="13"/>
      <c r="U5912" s="13"/>
      <c r="V5912" s="13"/>
      <c r="W5912" s="13"/>
      <c r="X5912" s="13"/>
      <c r="Y5912" s="13"/>
      <c r="Z5912" s="13"/>
      <c r="AA5912" s="13"/>
      <c r="AB5912" s="13"/>
      <c r="AC5912" s="13"/>
      <c r="AD5912" s="13"/>
      <c r="AE5912" s="13"/>
      <c r="AF5912" s="13"/>
      <c r="AG5912" s="13"/>
      <c r="AH5912" s="13"/>
      <c r="AI5912" s="13"/>
      <c r="AJ5912" s="13"/>
      <c r="AK5912" s="13"/>
      <c r="AL5912" s="13"/>
      <c r="AM5912" s="13"/>
      <c r="AN5912" s="13"/>
      <c r="AO5912" s="13"/>
      <c r="AP5912" s="13"/>
      <c r="AQ5912" s="13"/>
      <c r="AR5912" s="13"/>
      <c r="AS5912" s="13"/>
    </row>
    <row r="5913" ht="14.25" customHeight="1">
      <c r="A5913" s="13"/>
      <c r="B5913" s="13"/>
      <c r="C5913" s="13"/>
      <c r="D5913" s="13"/>
      <c r="E5913" s="13"/>
      <c r="F5913" s="13"/>
      <c r="G5913" s="13"/>
      <c r="H5913" s="13"/>
      <c r="I5913" s="13"/>
      <c r="J5913" s="13"/>
      <c r="K5913" s="15"/>
      <c r="L5913" s="15"/>
      <c r="M5913" s="16"/>
      <c r="N5913" s="16"/>
      <c r="O5913" s="17"/>
      <c r="P5913" s="17"/>
      <c r="Q5913" s="13"/>
      <c r="R5913" s="13"/>
      <c r="S5913" s="13"/>
      <c r="T5913" s="13"/>
      <c r="U5913" s="13"/>
      <c r="V5913" s="13"/>
      <c r="W5913" s="13"/>
      <c r="X5913" s="13"/>
      <c r="Y5913" s="13"/>
      <c r="Z5913" s="13"/>
      <c r="AA5913" s="13"/>
      <c r="AB5913" s="13"/>
      <c r="AC5913" s="13"/>
      <c r="AD5913" s="13"/>
      <c r="AE5913" s="13"/>
      <c r="AF5913" s="13"/>
      <c r="AG5913" s="13"/>
      <c r="AH5913" s="13"/>
      <c r="AI5913" s="13"/>
      <c r="AJ5913" s="13"/>
      <c r="AK5913" s="13"/>
      <c r="AL5913" s="13"/>
      <c r="AM5913" s="13"/>
      <c r="AN5913" s="13"/>
      <c r="AO5913" s="13"/>
      <c r="AP5913" s="13"/>
      <c r="AQ5913" s="13"/>
      <c r="AR5913" s="13"/>
      <c r="AS5913" s="13"/>
    </row>
    <row r="5914" ht="14.25" customHeight="1">
      <c r="A5914" s="13"/>
      <c r="B5914" s="13"/>
      <c r="C5914" s="13"/>
      <c r="D5914" s="13"/>
      <c r="E5914" s="13"/>
      <c r="F5914" s="13"/>
      <c r="G5914" s="13"/>
      <c r="H5914" s="13"/>
      <c r="I5914" s="13"/>
      <c r="J5914" s="13"/>
      <c r="K5914" s="15"/>
      <c r="L5914" s="15"/>
      <c r="M5914" s="16"/>
      <c r="N5914" s="16"/>
      <c r="O5914" s="17"/>
      <c r="P5914" s="17"/>
      <c r="Q5914" s="13"/>
      <c r="R5914" s="13"/>
      <c r="S5914" s="13"/>
      <c r="T5914" s="13"/>
      <c r="U5914" s="13"/>
      <c r="V5914" s="13"/>
      <c r="W5914" s="13"/>
      <c r="X5914" s="13"/>
      <c r="Y5914" s="13"/>
      <c r="Z5914" s="13"/>
      <c r="AA5914" s="13"/>
      <c r="AB5914" s="13"/>
      <c r="AC5914" s="13"/>
      <c r="AD5914" s="13"/>
      <c r="AE5914" s="13"/>
      <c r="AF5914" s="13"/>
      <c r="AG5914" s="13"/>
      <c r="AH5914" s="13"/>
      <c r="AI5914" s="13"/>
      <c r="AJ5914" s="13"/>
      <c r="AK5914" s="13"/>
      <c r="AL5914" s="13"/>
      <c r="AM5914" s="13"/>
      <c r="AN5914" s="13"/>
      <c r="AO5914" s="13"/>
      <c r="AP5914" s="13"/>
      <c r="AQ5914" s="13"/>
      <c r="AR5914" s="13"/>
      <c r="AS5914" s="13"/>
    </row>
    <row r="5915" ht="14.25" customHeight="1">
      <c r="A5915" s="13"/>
      <c r="B5915" s="13"/>
      <c r="C5915" s="13"/>
      <c r="D5915" s="13"/>
      <c r="E5915" s="13"/>
      <c r="F5915" s="13"/>
      <c r="G5915" s="13"/>
      <c r="H5915" s="13"/>
      <c r="I5915" s="13"/>
      <c r="J5915" s="13"/>
      <c r="K5915" s="15"/>
      <c r="L5915" s="15"/>
      <c r="M5915" s="16"/>
      <c r="N5915" s="16"/>
      <c r="O5915" s="17"/>
      <c r="P5915" s="17"/>
      <c r="Q5915" s="13"/>
      <c r="R5915" s="13"/>
      <c r="S5915" s="13"/>
      <c r="T5915" s="13"/>
      <c r="U5915" s="13"/>
      <c r="V5915" s="13"/>
      <c r="W5915" s="13"/>
      <c r="X5915" s="13"/>
      <c r="Y5915" s="13"/>
      <c r="Z5915" s="13"/>
      <c r="AA5915" s="13"/>
      <c r="AB5915" s="13"/>
      <c r="AC5915" s="13"/>
      <c r="AD5915" s="13"/>
      <c r="AE5915" s="13"/>
      <c r="AF5915" s="13"/>
      <c r="AG5915" s="13"/>
      <c r="AH5915" s="13"/>
      <c r="AI5915" s="13"/>
      <c r="AJ5915" s="13"/>
      <c r="AK5915" s="13"/>
      <c r="AL5915" s="13"/>
      <c r="AM5915" s="13"/>
      <c r="AN5915" s="13"/>
      <c r="AO5915" s="13"/>
      <c r="AP5915" s="13"/>
      <c r="AQ5915" s="13"/>
      <c r="AR5915" s="13"/>
      <c r="AS5915" s="13"/>
    </row>
    <row r="5916" ht="14.25" customHeight="1">
      <c r="A5916" s="13"/>
      <c r="B5916" s="13"/>
      <c r="C5916" s="13"/>
      <c r="D5916" s="13"/>
      <c r="E5916" s="13"/>
      <c r="F5916" s="13"/>
      <c r="G5916" s="13"/>
      <c r="H5916" s="13"/>
      <c r="I5916" s="13"/>
      <c r="J5916" s="13"/>
      <c r="K5916" s="15"/>
      <c r="L5916" s="15"/>
      <c r="M5916" s="16"/>
      <c r="N5916" s="16"/>
      <c r="O5916" s="17"/>
      <c r="P5916" s="17"/>
      <c r="Q5916" s="13"/>
      <c r="R5916" s="13"/>
      <c r="S5916" s="13"/>
      <c r="T5916" s="13"/>
      <c r="U5916" s="13"/>
      <c r="V5916" s="13"/>
      <c r="W5916" s="13"/>
      <c r="X5916" s="13"/>
      <c r="Y5916" s="13"/>
      <c r="Z5916" s="13"/>
      <c r="AA5916" s="13"/>
      <c r="AB5916" s="13"/>
      <c r="AC5916" s="13"/>
      <c r="AD5916" s="13"/>
      <c r="AE5916" s="13"/>
      <c r="AF5916" s="13"/>
      <c r="AG5916" s="13"/>
      <c r="AH5916" s="13"/>
      <c r="AI5916" s="13"/>
      <c r="AJ5916" s="13"/>
      <c r="AK5916" s="13"/>
      <c r="AL5916" s="13"/>
      <c r="AM5916" s="13"/>
      <c r="AN5916" s="13"/>
      <c r="AO5916" s="13"/>
      <c r="AP5916" s="13"/>
      <c r="AQ5916" s="13"/>
      <c r="AR5916" s="13"/>
      <c r="AS5916" s="13"/>
    </row>
    <row r="5917" ht="14.25" customHeight="1">
      <c r="A5917" s="13"/>
      <c r="B5917" s="13"/>
      <c r="C5917" s="13"/>
      <c r="D5917" s="13"/>
      <c r="E5917" s="13"/>
      <c r="F5917" s="13"/>
      <c r="G5917" s="13"/>
      <c r="H5917" s="13"/>
      <c r="I5917" s="13"/>
      <c r="J5917" s="13"/>
      <c r="K5917" s="15"/>
      <c r="L5917" s="15"/>
      <c r="M5917" s="16"/>
      <c r="N5917" s="16"/>
      <c r="O5917" s="17"/>
      <c r="P5917" s="17"/>
      <c r="Q5917" s="13"/>
      <c r="R5917" s="13"/>
      <c r="S5917" s="13"/>
      <c r="T5917" s="13"/>
      <c r="U5917" s="13"/>
      <c r="V5917" s="13"/>
      <c r="W5917" s="13"/>
      <c r="X5917" s="13"/>
      <c r="Y5917" s="13"/>
      <c r="Z5917" s="13"/>
      <c r="AA5917" s="13"/>
      <c r="AB5917" s="13"/>
      <c r="AC5917" s="13"/>
      <c r="AD5917" s="13"/>
      <c r="AE5917" s="13"/>
      <c r="AF5917" s="13"/>
      <c r="AG5917" s="13"/>
      <c r="AH5917" s="13"/>
      <c r="AI5917" s="13"/>
      <c r="AJ5917" s="13"/>
      <c r="AK5917" s="13"/>
      <c r="AL5917" s="13"/>
      <c r="AM5917" s="13"/>
      <c r="AN5917" s="13"/>
      <c r="AO5917" s="13"/>
      <c r="AP5917" s="13"/>
      <c r="AQ5917" s="13"/>
      <c r="AR5917" s="13"/>
      <c r="AS5917" s="13"/>
    </row>
    <row r="5918" ht="14.25" customHeight="1">
      <c r="A5918" s="13"/>
      <c r="B5918" s="13"/>
      <c r="C5918" s="13"/>
      <c r="D5918" s="13"/>
      <c r="E5918" s="13"/>
      <c r="F5918" s="13"/>
      <c r="G5918" s="13"/>
      <c r="H5918" s="13"/>
      <c r="I5918" s="13"/>
      <c r="J5918" s="13"/>
      <c r="K5918" s="15"/>
      <c r="L5918" s="15"/>
      <c r="M5918" s="16"/>
      <c r="N5918" s="16"/>
      <c r="O5918" s="17"/>
      <c r="P5918" s="17"/>
      <c r="Q5918" s="13"/>
      <c r="R5918" s="13"/>
      <c r="S5918" s="13"/>
      <c r="T5918" s="13"/>
      <c r="U5918" s="13"/>
      <c r="V5918" s="13"/>
      <c r="W5918" s="13"/>
      <c r="X5918" s="13"/>
      <c r="Y5918" s="13"/>
      <c r="Z5918" s="13"/>
      <c r="AA5918" s="13"/>
      <c r="AB5918" s="13"/>
      <c r="AC5918" s="13"/>
      <c r="AD5918" s="13"/>
      <c r="AE5918" s="13"/>
      <c r="AF5918" s="13"/>
      <c r="AG5918" s="13"/>
      <c r="AH5918" s="13"/>
      <c r="AI5918" s="13"/>
      <c r="AJ5918" s="13"/>
      <c r="AK5918" s="13"/>
      <c r="AL5918" s="13"/>
      <c r="AM5918" s="13"/>
      <c r="AN5918" s="13"/>
      <c r="AO5918" s="13"/>
      <c r="AP5918" s="13"/>
      <c r="AQ5918" s="13"/>
      <c r="AR5918" s="13"/>
      <c r="AS5918" s="13"/>
    </row>
    <row r="5919" ht="14.25" customHeight="1">
      <c r="A5919" s="13"/>
      <c r="B5919" s="13"/>
      <c r="C5919" s="13"/>
      <c r="D5919" s="13"/>
      <c r="E5919" s="13"/>
      <c r="F5919" s="13"/>
      <c r="G5919" s="13"/>
      <c r="H5919" s="13"/>
      <c r="I5919" s="13"/>
      <c r="J5919" s="13"/>
      <c r="K5919" s="15"/>
      <c r="L5919" s="15"/>
      <c r="M5919" s="16"/>
      <c r="N5919" s="16"/>
      <c r="O5919" s="17"/>
      <c r="P5919" s="17"/>
      <c r="Q5919" s="13"/>
      <c r="R5919" s="13"/>
      <c r="S5919" s="13"/>
      <c r="T5919" s="13"/>
      <c r="U5919" s="13"/>
      <c r="V5919" s="13"/>
      <c r="W5919" s="13"/>
      <c r="X5919" s="13"/>
      <c r="Y5919" s="13"/>
      <c r="Z5919" s="13"/>
      <c r="AA5919" s="13"/>
      <c r="AB5919" s="13"/>
      <c r="AC5919" s="13"/>
      <c r="AD5919" s="13"/>
      <c r="AE5919" s="13"/>
      <c r="AF5919" s="13"/>
      <c r="AG5919" s="13"/>
      <c r="AH5919" s="13"/>
      <c r="AI5919" s="13"/>
      <c r="AJ5919" s="13"/>
      <c r="AK5919" s="13"/>
      <c r="AL5919" s="13"/>
      <c r="AM5919" s="13"/>
      <c r="AN5919" s="13"/>
      <c r="AO5919" s="13"/>
      <c r="AP5919" s="13"/>
      <c r="AQ5919" s="13"/>
      <c r="AR5919" s="13"/>
      <c r="AS5919" s="13"/>
    </row>
    <row r="5920" ht="14.25" customHeight="1">
      <c r="A5920" s="13"/>
      <c r="B5920" s="13"/>
      <c r="C5920" s="13"/>
      <c r="D5920" s="13"/>
      <c r="E5920" s="13"/>
      <c r="F5920" s="13"/>
      <c r="G5920" s="13"/>
      <c r="H5920" s="13"/>
      <c r="I5920" s="13"/>
      <c r="J5920" s="13"/>
      <c r="K5920" s="15"/>
      <c r="L5920" s="15"/>
      <c r="M5920" s="16"/>
      <c r="N5920" s="16"/>
      <c r="O5920" s="17"/>
      <c r="P5920" s="17"/>
      <c r="Q5920" s="13"/>
      <c r="R5920" s="13"/>
      <c r="S5920" s="13"/>
      <c r="T5920" s="13"/>
      <c r="U5920" s="13"/>
      <c r="V5920" s="13"/>
      <c r="W5920" s="13"/>
      <c r="X5920" s="13"/>
      <c r="Y5920" s="13"/>
      <c r="Z5920" s="13"/>
      <c r="AA5920" s="13"/>
      <c r="AB5920" s="13"/>
      <c r="AC5920" s="13"/>
      <c r="AD5920" s="13"/>
      <c r="AE5920" s="13"/>
      <c r="AF5920" s="13"/>
      <c r="AG5920" s="13"/>
      <c r="AH5920" s="13"/>
      <c r="AI5920" s="13"/>
      <c r="AJ5920" s="13"/>
      <c r="AK5920" s="13"/>
      <c r="AL5920" s="13"/>
      <c r="AM5920" s="13"/>
      <c r="AN5920" s="13"/>
      <c r="AO5920" s="13"/>
      <c r="AP5920" s="13"/>
      <c r="AQ5920" s="13"/>
      <c r="AR5920" s="13"/>
      <c r="AS5920" s="13"/>
    </row>
    <row r="5921" ht="14.25" customHeight="1">
      <c r="A5921" s="13"/>
      <c r="B5921" s="13"/>
      <c r="C5921" s="13"/>
      <c r="D5921" s="13"/>
      <c r="E5921" s="13"/>
      <c r="F5921" s="13"/>
      <c r="G5921" s="13"/>
      <c r="H5921" s="13"/>
      <c r="I5921" s="13"/>
      <c r="J5921" s="13"/>
      <c r="K5921" s="15"/>
      <c r="L5921" s="15"/>
      <c r="M5921" s="16"/>
      <c r="N5921" s="16"/>
      <c r="O5921" s="17"/>
      <c r="P5921" s="17"/>
      <c r="Q5921" s="13"/>
      <c r="R5921" s="13"/>
      <c r="S5921" s="13"/>
      <c r="T5921" s="13"/>
      <c r="U5921" s="13"/>
      <c r="V5921" s="13"/>
      <c r="W5921" s="13"/>
      <c r="X5921" s="13"/>
      <c r="Y5921" s="13"/>
      <c r="Z5921" s="13"/>
      <c r="AA5921" s="13"/>
      <c r="AB5921" s="13"/>
      <c r="AC5921" s="13"/>
      <c r="AD5921" s="13"/>
      <c r="AE5921" s="13"/>
      <c r="AF5921" s="13"/>
      <c r="AG5921" s="13"/>
      <c r="AH5921" s="13"/>
      <c r="AI5921" s="13"/>
      <c r="AJ5921" s="13"/>
      <c r="AK5921" s="13"/>
      <c r="AL5921" s="13"/>
      <c r="AM5921" s="13"/>
      <c r="AN5921" s="13"/>
      <c r="AO5921" s="13"/>
      <c r="AP5921" s="13"/>
      <c r="AQ5921" s="13"/>
      <c r="AR5921" s="13"/>
      <c r="AS5921" s="13"/>
    </row>
    <row r="5922" ht="14.25" customHeight="1">
      <c r="A5922" s="13"/>
      <c r="B5922" s="13"/>
      <c r="C5922" s="13"/>
      <c r="D5922" s="13"/>
      <c r="E5922" s="13"/>
      <c r="F5922" s="13"/>
      <c r="G5922" s="13"/>
      <c r="H5922" s="13"/>
      <c r="I5922" s="13"/>
      <c r="J5922" s="13"/>
      <c r="K5922" s="15"/>
      <c r="L5922" s="15"/>
      <c r="M5922" s="16"/>
      <c r="N5922" s="16"/>
      <c r="O5922" s="17"/>
      <c r="P5922" s="17"/>
      <c r="Q5922" s="13"/>
      <c r="R5922" s="13"/>
      <c r="S5922" s="13"/>
      <c r="T5922" s="13"/>
      <c r="U5922" s="13"/>
      <c r="V5922" s="13"/>
      <c r="W5922" s="13"/>
      <c r="X5922" s="13"/>
      <c r="Y5922" s="13"/>
      <c r="Z5922" s="13"/>
      <c r="AA5922" s="13"/>
      <c r="AB5922" s="13"/>
      <c r="AC5922" s="13"/>
      <c r="AD5922" s="13"/>
      <c r="AE5922" s="13"/>
      <c r="AF5922" s="13"/>
      <c r="AG5922" s="13"/>
      <c r="AH5922" s="13"/>
      <c r="AI5922" s="13"/>
      <c r="AJ5922" s="13"/>
      <c r="AK5922" s="13"/>
      <c r="AL5922" s="13"/>
      <c r="AM5922" s="13"/>
      <c r="AN5922" s="13"/>
      <c r="AO5922" s="13"/>
      <c r="AP5922" s="13"/>
      <c r="AQ5922" s="13"/>
      <c r="AR5922" s="13"/>
      <c r="AS5922" s="13"/>
    </row>
    <row r="5923" ht="14.25" customHeight="1">
      <c r="A5923" s="13"/>
      <c r="B5923" s="13"/>
      <c r="C5923" s="13"/>
      <c r="D5923" s="13"/>
      <c r="E5923" s="13"/>
      <c r="F5923" s="13"/>
      <c r="G5923" s="13"/>
      <c r="H5923" s="13"/>
      <c r="I5923" s="13"/>
      <c r="J5923" s="13"/>
      <c r="K5923" s="15"/>
      <c r="L5923" s="15"/>
      <c r="M5923" s="16"/>
      <c r="N5923" s="16"/>
      <c r="O5923" s="17"/>
      <c r="P5923" s="17"/>
      <c r="Q5923" s="13"/>
      <c r="R5923" s="13"/>
      <c r="S5923" s="13"/>
      <c r="T5923" s="13"/>
      <c r="U5923" s="13"/>
      <c r="V5923" s="13"/>
      <c r="W5923" s="13"/>
      <c r="X5923" s="13"/>
      <c r="Y5923" s="13"/>
      <c r="Z5923" s="13"/>
      <c r="AA5923" s="13"/>
      <c r="AB5923" s="13"/>
      <c r="AC5923" s="13"/>
      <c r="AD5923" s="13"/>
      <c r="AE5923" s="13"/>
      <c r="AF5923" s="13"/>
      <c r="AG5923" s="13"/>
      <c r="AH5923" s="13"/>
      <c r="AI5923" s="13"/>
      <c r="AJ5923" s="13"/>
      <c r="AK5923" s="13"/>
      <c r="AL5923" s="13"/>
      <c r="AM5923" s="13"/>
      <c r="AN5923" s="13"/>
      <c r="AO5923" s="13"/>
      <c r="AP5923" s="13"/>
      <c r="AQ5923" s="13"/>
      <c r="AR5923" s="13"/>
      <c r="AS5923" s="13"/>
    </row>
    <row r="5924" ht="14.25" customHeight="1">
      <c r="A5924" s="13"/>
      <c r="B5924" s="13"/>
      <c r="C5924" s="13"/>
      <c r="D5924" s="13"/>
      <c r="E5924" s="13"/>
      <c r="F5924" s="13"/>
      <c r="G5924" s="13"/>
      <c r="H5924" s="13"/>
      <c r="I5924" s="13"/>
      <c r="J5924" s="13"/>
      <c r="K5924" s="15"/>
      <c r="L5924" s="15"/>
      <c r="M5924" s="16"/>
      <c r="N5924" s="16"/>
      <c r="O5924" s="17"/>
      <c r="P5924" s="17"/>
      <c r="Q5924" s="13"/>
      <c r="R5924" s="13"/>
      <c r="S5924" s="13"/>
      <c r="T5924" s="13"/>
      <c r="U5924" s="13"/>
      <c r="V5924" s="13"/>
      <c r="W5924" s="13"/>
      <c r="X5924" s="13"/>
      <c r="Y5924" s="13"/>
      <c r="Z5924" s="13"/>
      <c r="AA5924" s="13"/>
      <c r="AB5924" s="13"/>
      <c r="AC5924" s="13"/>
      <c r="AD5924" s="13"/>
      <c r="AE5924" s="13"/>
      <c r="AF5924" s="13"/>
      <c r="AG5924" s="13"/>
      <c r="AH5924" s="13"/>
      <c r="AI5924" s="13"/>
      <c r="AJ5924" s="13"/>
      <c r="AK5924" s="13"/>
      <c r="AL5924" s="13"/>
      <c r="AM5924" s="13"/>
      <c r="AN5924" s="13"/>
      <c r="AO5924" s="13"/>
      <c r="AP5924" s="13"/>
      <c r="AQ5924" s="13"/>
      <c r="AR5924" s="13"/>
      <c r="AS5924" s="13"/>
    </row>
    <row r="5925" ht="14.25" customHeight="1">
      <c r="A5925" s="13"/>
      <c r="B5925" s="13"/>
      <c r="C5925" s="13"/>
      <c r="D5925" s="13"/>
      <c r="E5925" s="13"/>
      <c r="F5925" s="13"/>
      <c r="G5925" s="13"/>
      <c r="H5925" s="13"/>
      <c r="I5925" s="13"/>
      <c r="J5925" s="13"/>
      <c r="K5925" s="15"/>
      <c r="L5925" s="15"/>
      <c r="M5925" s="16"/>
      <c r="N5925" s="16"/>
      <c r="O5925" s="17"/>
      <c r="P5925" s="17"/>
      <c r="Q5925" s="13"/>
      <c r="R5925" s="13"/>
      <c r="S5925" s="13"/>
      <c r="T5925" s="13"/>
      <c r="U5925" s="13"/>
      <c r="V5925" s="13"/>
      <c r="W5925" s="13"/>
      <c r="X5925" s="13"/>
      <c r="Y5925" s="13"/>
      <c r="Z5925" s="13"/>
      <c r="AA5925" s="13"/>
      <c r="AB5925" s="13"/>
      <c r="AC5925" s="13"/>
      <c r="AD5925" s="13"/>
      <c r="AE5925" s="13"/>
      <c r="AF5925" s="13"/>
      <c r="AG5925" s="13"/>
      <c r="AH5925" s="13"/>
      <c r="AI5925" s="13"/>
      <c r="AJ5925" s="13"/>
      <c r="AK5925" s="13"/>
      <c r="AL5925" s="13"/>
      <c r="AM5925" s="13"/>
      <c r="AN5925" s="13"/>
      <c r="AO5925" s="13"/>
      <c r="AP5925" s="13"/>
      <c r="AQ5925" s="13"/>
      <c r="AR5925" s="13"/>
      <c r="AS5925" s="13"/>
    </row>
    <row r="5926" ht="14.25" customHeight="1">
      <c r="A5926" s="13"/>
      <c r="B5926" s="13"/>
      <c r="C5926" s="13"/>
      <c r="D5926" s="13"/>
      <c r="E5926" s="13"/>
      <c r="F5926" s="13"/>
      <c r="G5926" s="13"/>
      <c r="H5926" s="13"/>
      <c r="I5926" s="13"/>
      <c r="J5926" s="13"/>
      <c r="K5926" s="15"/>
      <c r="L5926" s="15"/>
      <c r="M5926" s="16"/>
      <c r="N5926" s="16"/>
      <c r="O5926" s="17"/>
      <c r="P5926" s="17"/>
      <c r="Q5926" s="13"/>
      <c r="R5926" s="13"/>
      <c r="S5926" s="13"/>
      <c r="T5926" s="13"/>
      <c r="U5926" s="13"/>
      <c r="V5926" s="13"/>
      <c r="W5926" s="13"/>
      <c r="X5926" s="13"/>
      <c r="Y5926" s="13"/>
      <c r="Z5926" s="13"/>
      <c r="AA5926" s="13"/>
      <c r="AB5926" s="13"/>
      <c r="AC5926" s="13"/>
      <c r="AD5926" s="13"/>
      <c r="AE5926" s="13"/>
      <c r="AF5926" s="13"/>
      <c r="AG5926" s="13"/>
      <c r="AH5926" s="13"/>
      <c r="AI5926" s="13"/>
      <c r="AJ5926" s="13"/>
      <c r="AK5926" s="13"/>
      <c r="AL5926" s="13"/>
      <c r="AM5926" s="13"/>
      <c r="AN5926" s="13"/>
      <c r="AO5926" s="13"/>
      <c r="AP5926" s="13"/>
      <c r="AQ5926" s="13"/>
      <c r="AR5926" s="13"/>
      <c r="AS5926" s="13"/>
    </row>
    <row r="5927" ht="14.25" customHeight="1">
      <c r="A5927" s="13"/>
      <c r="B5927" s="13"/>
      <c r="C5927" s="13"/>
      <c r="D5927" s="13"/>
      <c r="E5927" s="13"/>
      <c r="F5927" s="13"/>
      <c r="G5927" s="13"/>
      <c r="H5927" s="13"/>
      <c r="I5927" s="13"/>
      <c r="J5927" s="13"/>
      <c r="K5927" s="15"/>
      <c r="L5927" s="15"/>
      <c r="M5927" s="16"/>
      <c r="N5927" s="16"/>
      <c r="O5927" s="17"/>
      <c r="P5927" s="17"/>
      <c r="Q5927" s="13"/>
      <c r="R5927" s="13"/>
      <c r="S5927" s="13"/>
      <c r="T5927" s="13"/>
      <c r="U5927" s="13"/>
      <c r="V5927" s="13"/>
      <c r="W5927" s="13"/>
      <c r="X5927" s="13"/>
      <c r="Y5927" s="13"/>
      <c r="Z5927" s="13"/>
      <c r="AA5927" s="13"/>
      <c r="AB5927" s="13"/>
      <c r="AC5927" s="13"/>
      <c r="AD5927" s="13"/>
      <c r="AE5927" s="13"/>
      <c r="AF5927" s="13"/>
      <c r="AG5927" s="13"/>
      <c r="AH5927" s="13"/>
      <c r="AI5927" s="13"/>
      <c r="AJ5927" s="13"/>
      <c r="AK5927" s="13"/>
      <c r="AL5927" s="13"/>
      <c r="AM5927" s="13"/>
      <c r="AN5927" s="13"/>
      <c r="AO5927" s="13"/>
      <c r="AP5927" s="13"/>
      <c r="AQ5927" s="13"/>
      <c r="AR5927" s="13"/>
      <c r="AS5927" s="13"/>
    </row>
    <row r="5928" ht="14.25" customHeight="1">
      <c r="A5928" s="13"/>
      <c r="B5928" s="13"/>
      <c r="C5928" s="13"/>
      <c r="D5928" s="13"/>
      <c r="E5928" s="13"/>
      <c r="F5928" s="13"/>
      <c r="G5928" s="13"/>
      <c r="H5928" s="13"/>
      <c r="I5928" s="13"/>
      <c r="J5928" s="13"/>
      <c r="K5928" s="15"/>
      <c r="L5928" s="15"/>
      <c r="M5928" s="16"/>
      <c r="N5928" s="16"/>
      <c r="O5928" s="17"/>
      <c r="P5928" s="17"/>
      <c r="Q5928" s="13"/>
      <c r="R5928" s="13"/>
      <c r="S5928" s="13"/>
      <c r="T5928" s="13"/>
      <c r="U5928" s="13"/>
      <c r="V5928" s="13"/>
      <c r="W5928" s="13"/>
      <c r="X5928" s="13"/>
      <c r="Y5928" s="13"/>
      <c r="Z5928" s="13"/>
      <c r="AA5928" s="13"/>
      <c r="AB5928" s="13"/>
      <c r="AC5928" s="13"/>
      <c r="AD5928" s="13"/>
      <c r="AE5928" s="13"/>
      <c r="AF5928" s="13"/>
      <c r="AG5928" s="13"/>
      <c r="AH5928" s="13"/>
      <c r="AI5928" s="13"/>
      <c r="AJ5928" s="13"/>
      <c r="AK5928" s="13"/>
      <c r="AL5928" s="13"/>
      <c r="AM5928" s="13"/>
      <c r="AN5928" s="13"/>
      <c r="AO5928" s="13"/>
      <c r="AP5928" s="13"/>
      <c r="AQ5928" s="13"/>
      <c r="AR5928" s="13"/>
      <c r="AS5928" s="13"/>
    </row>
    <row r="5929" ht="14.25" customHeight="1">
      <c r="A5929" s="13"/>
      <c r="B5929" s="13"/>
      <c r="C5929" s="13"/>
      <c r="D5929" s="13"/>
      <c r="E5929" s="13"/>
      <c r="F5929" s="13"/>
      <c r="G5929" s="13"/>
      <c r="H5929" s="13"/>
      <c r="I5929" s="13"/>
      <c r="J5929" s="13"/>
      <c r="K5929" s="15"/>
      <c r="L5929" s="15"/>
      <c r="M5929" s="16"/>
      <c r="N5929" s="16"/>
      <c r="O5929" s="17"/>
      <c r="P5929" s="17"/>
      <c r="Q5929" s="13"/>
      <c r="R5929" s="13"/>
      <c r="S5929" s="13"/>
      <c r="T5929" s="13"/>
      <c r="U5929" s="13"/>
      <c r="V5929" s="13"/>
      <c r="W5929" s="13"/>
      <c r="X5929" s="13"/>
      <c r="Y5929" s="13"/>
      <c r="Z5929" s="13"/>
      <c r="AA5929" s="13"/>
      <c r="AB5929" s="13"/>
      <c r="AC5929" s="13"/>
      <c r="AD5929" s="13"/>
      <c r="AE5929" s="13"/>
      <c r="AF5929" s="13"/>
      <c r="AG5929" s="13"/>
      <c r="AH5929" s="13"/>
      <c r="AI5929" s="13"/>
      <c r="AJ5929" s="13"/>
      <c r="AK5929" s="13"/>
      <c r="AL5929" s="13"/>
      <c r="AM5929" s="13"/>
      <c r="AN5929" s="13"/>
      <c r="AO5929" s="13"/>
      <c r="AP5929" s="13"/>
      <c r="AQ5929" s="13"/>
      <c r="AR5929" s="13"/>
      <c r="AS5929" s="13"/>
    </row>
    <row r="5930" ht="14.25" customHeight="1">
      <c r="A5930" s="13"/>
      <c r="B5930" s="13"/>
      <c r="C5930" s="13"/>
      <c r="D5930" s="13"/>
      <c r="E5930" s="13"/>
      <c r="F5930" s="13"/>
      <c r="G5930" s="13"/>
      <c r="H5930" s="13"/>
      <c r="I5930" s="13"/>
      <c r="J5930" s="13"/>
      <c r="K5930" s="15"/>
      <c r="L5930" s="15"/>
      <c r="M5930" s="16"/>
      <c r="N5930" s="16"/>
      <c r="O5930" s="17"/>
      <c r="P5930" s="17"/>
      <c r="Q5930" s="13"/>
      <c r="R5930" s="13"/>
      <c r="S5930" s="13"/>
      <c r="T5930" s="13"/>
      <c r="U5930" s="13"/>
      <c r="V5930" s="13"/>
      <c r="W5930" s="13"/>
      <c r="X5930" s="13"/>
      <c r="Y5930" s="13"/>
      <c r="Z5930" s="13"/>
      <c r="AA5930" s="13"/>
      <c r="AB5930" s="13"/>
      <c r="AC5930" s="13"/>
      <c r="AD5930" s="13"/>
      <c r="AE5930" s="13"/>
      <c r="AF5930" s="13"/>
      <c r="AG5930" s="13"/>
      <c r="AH5930" s="13"/>
      <c r="AI5930" s="13"/>
      <c r="AJ5930" s="13"/>
      <c r="AK5930" s="13"/>
      <c r="AL5930" s="13"/>
      <c r="AM5930" s="13"/>
      <c r="AN5930" s="13"/>
      <c r="AO5930" s="13"/>
      <c r="AP5930" s="13"/>
      <c r="AQ5930" s="13"/>
      <c r="AR5930" s="13"/>
      <c r="AS5930" s="13"/>
    </row>
    <row r="5931" ht="14.25" customHeight="1">
      <c r="A5931" s="13"/>
      <c r="B5931" s="13"/>
      <c r="C5931" s="13"/>
      <c r="D5931" s="13"/>
      <c r="E5931" s="13"/>
      <c r="F5931" s="13"/>
      <c r="G5931" s="13"/>
      <c r="H5931" s="13"/>
      <c r="I5931" s="13"/>
      <c r="J5931" s="13"/>
      <c r="K5931" s="15"/>
      <c r="L5931" s="15"/>
      <c r="M5931" s="16"/>
      <c r="N5931" s="16"/>
      <c r="O5931" s="17"/>
      <c r="P5931" s="17"/>
      <c r="Q5931" s="13"/>
      <c r="R5931" s="13"/>
      <c r="S5931" s="13"/>
      <c r="T5931" s="13"/>
      <c r="U5931" s="13"/>
      <c r="V5931" s="13"/>
      <c r="W5931" s="13"/>
      <c r="X5931" s="13"/>
      <c r="Y5931" s="13"/>
      <c r="Z5931" s="13"/>
      <c r="AA5931" s="13"/>
      <c r="AB5931" s="13"/>
      <c r="AC5931" s="13"/>
      <c r="AD5931" s="13"/>
      <c r="AE5931" s="13"/>
      <c r="AF5931" s="13"/>
      <c r="AG5931" s="13"/>
      <c r="AH5931" s="13"/>
      <c r="AI5931" s="13"/>
      <c r="AJ5931" s="13"/>
      <c r="AK5931" s="13"/>
      <c r="AL5931" s="13"/>
      <c r="AM5931" s="13"/>
      <c r="AN5931" s="13"/>
      <c r="AO5931" s="13"/>
      <c r="AP5931" s="13"/>
      <c r="AQ5931" s="13"/>
      <c r="AR5931" s="13"/>
      <c r="AS5931" s="13"/>
    </row>
    <row r="5932" ht="14.25" customHeight="1">
      <c r="A5932" s="13"/>
      <c r="B5932" s="13"/>
      <c r="C5932" s="13"/>
      <c r="D5932" s="13"/>
      <c r="E5932" s="13"/>
      <c r="F5932" s="13"/>
      <c r="G5932" s="13"/>
      <c r="H5932" s="13"/>
      <c r="I5932" s="13"/>
      <c r="J5932" s="13"/>
      <c r="K5932" s="15"/>
      <c r="L5932" s="15"/>
      <c r="M5932" s="16"/>
      <c r="N5932" s="16"/>
      <c r="O5932" s="17"/>
      <c r="P5932" s="17"/>
      <c r="Q5932" s="13"/>
      <c r="R5932" s="13"/>
      <c r="S5932" s="13"/>
      <c r="T5932" s="13"/>
      <c r="U5932" s="13"/>
      <c r="V5932" s="13"/>
      <c r="W5932" s="13"/>
      <c r="X5932" s="13"/>
      <c r="Y5932" s="13"/>
      <c r="Z5932" s="13"/>
      <c r="AA5932" s="13"/>
      <c r="AB5932" s="13"/>
      <c r="AC5932" s="13"/>
      <c r="AD5932" s="13"/>
      <c r="AE5932" s="13"/>
      <c r="AF5932" s="13"/>
      <c r="AG5932" s="13"/>
      <c r="AH5932" s="13"/>
      <c r="AI5932" s="13"/>
      <c r="AJ5932" s="13"/>
      <c r="AK5932" s="13"/>
      <c r="AL5932" s="13"/>
      <c r="AM5932" s="13"/>
      <c r="AN5932" s="13"/>
      <c r="AO5932" s="13"/>
      <c r="AP5932" s="13"/>
      <c r="AQ5932" s="13"/>
      <c r="AR5932" s="13"/>
      <c r="AS5932" s="13"/>
    </row>
    <row r="5933" ht="14.25" customHeight="1">
      <c r="A5933" s="13"/>
      <c r="B5933" s="13"/>
      <c r="C5933" s="13"/>
      <c r="D5933" s="13"/>
      <c r="E5933" s="13"/>
      <c r="F5933" s="13"/>
      <c r="G5933" s="13"/>
      <c r="H5933" s="13"/>
      <c r="I5933" s="13"/>
      <c r="J5933" s="13"/>
      <c r="K5933" s="15"/>
      <c r="L5933" s="15"/>
      <c r="M5933" s="16"/>
      <c r="N5933" s="16"/>
      <c r="O5933" s="17"/>
      <c r="P5933" s="17"/>
      <c r="Q5933" s="13"/>
      <c r="R5933" s="13"/>
      <c r="S5933" s="13"/>
      <c r="T5933" s="13"/>
      <c r="U5933" s="13"/>
      <c r="V5933" s="13"/>
      <c r="W5933" s="13"/>
      <c r="X5933" s="13"/>
      <c r="Y5933" s="13"/>
      <c r="Z5933" s="13"/>
      <c r="AA5933" s="13"/>
      <c r="AB5933" s="13"/>
      <c r="AC5933" s="13"/>
      <c r="AD5933" s="13"/>
      <c r="AE5933" s="13"/>
      <c r="AF5933" s="13"/>
      <c r="AG5933" s="13"/>
      <c r="AH5933" s="13"/>
      <c r="AI5933" s="13"/>
      <c r="AJ5933" s="13"/>
      <c r="AK5933" s="13"/>
      <c r="AL5933" s="13"/>
      <c r="AM5933" s="13"/>
      <c r="AN5933" s="13"/>
      <c r="AO5933" s="13"/>
      <c r="AP5933" s="13"/>
      <c r="AQ5933" s="13"/>
      <c r="AR5933" s="13"/>
      <c r="AS5933" s="13"/>
    </row>
    <row r="5934" ht="14.25" customHeight="1">
      <c r="A5934" s="13"/>
      <c r="B5934" s="13"/>
      <c r="C5934" s="13"/>
      <c r="D5934" s="13"/>
      <c r="E5934" s="13"/>
      <c r="F5934" s="13"/>
      <c r="G5934" s="13"/>
      <c r="H5934" s="13"/>
      <c r="I5934" s="13"/>
      <c r="J5934" s="13"/>
      <c r="K5934" s="15"/>
      <c r="L5934" s="15"/>
      <c r="M5934" s="16"/>
      <c r="N5934" s="16"/>
      <c r="O5934" s="17"/>
      <c r="P5934" s="17"/>
      <c r="Q5934" s="13"/>
      <c r="R5934" s="13"/>
      <c r="S5934" s="13"/>
      <c r="T5934" s="13"/>
      <c r="U5934" s="13"/>
      <c r="V5934" s="13"/>
      <c r="W5934" s="13"/>
      <c r="X5934" s="13"/>
      <c r="Y5934" s="13"/>
      <c r="Z5934" s="13"/>
      <c r="AA5934" s="13"/>
      <c r="AB5934" s="13"/>
      <c r="AC5934" s="13"/>
      <c r="AD5934" s="13"/>
      <c r="AE5934" s="13"/>
      <c r="AF5934" s="13"/>
      <c r="AG5934" s="13"/>
      <c r="AH5934" s="13"/>
      <c r="AI5934" s="13"/>
      <c r="AJ5934" s="13"/>
      <c r="AK5934" s="13"/>
      <c r="AL5934" s="13"/>
      <c r="AM5934" s="13"/>
      <c r="AN5934" s="13"/>
      <c r="AO5934" s="13"/>
      <c r="AP5934" s="13"/>
      <c r="AQ5934" s="13"/>
      <c r="AR5934" s="13"/>
      <c r="AS5934" s="13"/>
    </row>
    <row r="5935" ht="14.25" customHeight="1">
      <c r="A5935" s="13"/>
      <c r="B5935" s="13"/>
      <c r="C5935" s="13"/>
      <c r="D5935" s="13"/>
      <c r="E5935" s="13"/>
      <c r="F5935" s="13"/>
      <c r="G5935" s="13"/>
      <c r="H5935" s="13"/>
      <c r="I5935" s="13"/>
      <c r="J5935" s="13"/>
      <c r="K5935" s="15"/>
      <c r="L5935" s="15"/>
      <c r="M5935" s="16"/>
      <c r="N5935" s="16"/>
      <c r="O5935" s="17"/>
      <c r="P5935" s="17"/>
      <c r="Q5935" s="13"/>
      <c r="R5935" s="13"/>
      <c r="S5935" s="13"/>
      <c r="T5935" s="13"/>
      <c r="U5935" s="13"/>
      <c r="V5935" s="13"/>
      <c r="W5935" s="13"/>
      <c r="X5935" s="13"/>
      <c r="Y5935" s="13"/>
      <c r="Z5935" s="13"/>
      <c r="AA5935" s="13"/>
      <c r="AB5935" s="13"/>
      <c r="AC5935" s="13"/>
      <c r="AD5935" s="13"/>
      <c r="AE5935" s="13"/>
      <c r="AF5935" s="13"/>
      <c r="AG5935" s="13"/>
      <c r="AH5935" s="13"/>
      <c r="AI5935" s="13"/>
      <c r="AJ5935" s="13"/>
      <c r="AK5935" s="13"/>
      <c r="AL5935" s="13"/>
      <c r="AM5935" s="13"/>
      <c r="AN5935" s="13"/>
      <c r="AO5935" s="13"/>
      <c r="AP5935" s="13"/>
      <c r="AQ5935" s="13"/>
      <c r="AR5935" s="13"/>
      <c r="AS5935" s="13"/>
    </row>
    <row r="5936" ht="14.25" customHeight="1">
      <c r="A5936" s="13"/>
      <c r="B5936" s="13"/>
      <c r="C5936" s="13"/>
      <c r="D5936" s="13"/>
      <c r="E5936" s="13"/>
      <c r="F5936" s="13"/>
      <c r="G5936" s="13"/>
      <c r="H5936" s="13"/>
      <c r="I5936" s="13"/>
      <c r="J5936" s="13"/>
      <c r="K5936" s="15"/>
      <c r="L5936" s="15"/>
      <c r="M5936" s="16"/>
      <c r="N5936" s="16"/>
      <c r="O5936" s="17"/>
      <c r="P5936" s="17"/>
      <c r="Q5936" s="13"/>
      <c r="R5936" s="13"/>
      <c r="S5936" s="13"/>
      <c r="T5936" s="13"/>
      <c r="U5936" s="13"/>
      <c r="V5936" s="13"/>
      <c r="W5936" s="13"/>
      <c r="X5936" s="13"/>
      <c r="Y5936" s="13"/>
      <c r="Z5936" s="13"/>
      <c r="AA5936" s="13"/>
      <c r="AB5936" s="13"/>
      <c r="AC5936" s="13"/>
      <c r="AD5936" s="13"/>
      <c r="AE5936" s="13"/>
      <c r="AF5936" s="13"/>
      <c r="AG5936" s="13"/>
      <c r="AH5936" s="13"/>
      <c r="AI5936" s="13"/>
      <c r="AJ5936" s="13"/>
      <c r="AK5936" s="13"/>
      <c r="AL5936" s="13"/>
      <c r="AM5936" s="13"/>
      <c r="AN5936" s="13"/>
      <c r="AO5936" s="13"/>
      <c r="AP5936" s="13"/>
      <c r="AQ5936" s="13"/>
      <c r="AR5936" s="13"/>
      <c r="AS5936" s="13"/>
    </row>
    <row r="5937" ht="14.25" customHeight="1">
      <c r="A5937" s="13"/>
      <c r="B5937" s="13"/>
      <c r="C5937" s="13"/>
      <c r="D5937" s="13"/>
      <c r="E5937" s="13"/>
      <c r="F5937" s="13"/>
      <c r="G5937" s="13"/>
      <c r="H5937" s="13"/>
      <c r="I5937" s="13"/>
      <c r="J5937" s="13"/>
      <c r="K5937" s="15"/>
      <c r="L5937" s="15"/>
      <c r="M5937" s="16"/>
      <c r="N5937" s="16"/>
      <c r="O5937" s="17"/>
      <c r="P5937" s="17"/>
      <c r="Q5937" s="13"/>
      <c r="R5937" s="13"/>
      <c r="S5937" s="13"/>
      <c r="T5937" s="13"/>
      <c r="U5937" s="13"/>
      <c r="V5937" s="13"/>
      <c r="W5937" s="13"/>
      <c r="X5937" s="13"/>
      <c r="Y5937" s="13"/>
      <c r="Z5937" s="13"/>
      <c r="AA5937" s="13"/>
      <c r="AB5937" s="13"/>
      <c r="AC5937" s="13"/>
      <c r="AD5937" s="13"/>
      <c r="AE5937" s="13"/>
      <c r="AF5937" s="13"/>
      <c r="AG5937" s="13"/>
      <c r="AH5937" s="13"/>
      <c r="AI5937" s="13"/>
      <c r="AJ5937" s="13"/>
      <c r="AK5937" s="13"/>
      <c r="AL5937" s="13"/>
      <c r="AM5937" s="13"/>
      <c r="AN5937" s="13"/>
      <c r="AO5937" s="13"/>
      <c r="AP5937" s="13"/>
      <c r="AQ5937" s="13"/>
      <c r="AR5937" s="13"/>
      <c r="AS5937" s="13"/>
    </row>
    <row r="5938" ht="14.25" customHeight="1">
      <c r="A5938" s="13"/>
      <c r="B5938" s="13"/>
      <c r="C5938" s="13"/>
      <c r="D5938" s="13"/>
      <c r="E5938" s="13"/>
      <c r="F5938" s="13"/>
      <c r="G5938" s="13"/>
      <c r="H5938" s="13"/>
      <c r="I5938" s="13"/>
      <c r="J5938" s="13"/>
      <c r="K5938" s="15"/>
      <c r="L5938" s="15"/>
      <c r="M5938" s="16"/>
      <c r="N5938" s="16"/>
      <c r="O5938" s="17"/>
      <c r="P5938" s="17"/>
      <c r="Q5938" s="13"/>
      <c r="R5938" s="13"/>
      <c r="S5938" s="13"/>
      <c r="T5938" s="13"/>
      <c r="U5938" s="13"/>
      <c r="V5938" s="13"/>
      <c r="W5938" s="13"/>
      <c r="X5938" s="13"/>
      <c r="Y5938" s="13"/>
      <c r="Z5938" s="13"/>
      <c r="AA5938" s="13"/>
      <c r="AB5938" s="13"/>
      <c r="AC5938" s="13"/>
      <c r="AD5938" s="13"/>
      <c r="AE5938" s="13"/>
      <c r="AF5938" s="13"/>
      <c r="AG5938" s="13"/>
      <c r="AH5938" s="13"/>
      <c r="AI5938" s="13"/>
      <c r="AJ5938" s="13"/>
      <c r="AK5938" s="13"/>
      <c r="AL5938" s="13"/>
      <c r="AM5938" s="13"/>
      <c r="AN5938" s="13"/>
      <c r="AO5938" s="13"/>
      <c r="AP5938" s="13"/>
      <c r="AQ5938" s="13"/>
      <c r="AR5938" s="13"/>
      <c r="AS5938" s="13"/>
    </row>
    <row r="5939" ht="14.25" customHeight="1">
      <c r="A5939" s="13"/>
      <c r="B5939" s="13"/>
      <c r="C5939" s="13"/>
      <c r="D5939" s="13"/>
      <c r="E5939" s="13"/>
      <c r="F5939" s="13"/>
      <c r="G5939" s="13"/>
      <c r="H5939" s="13"/>
      <c r="I5939" s="13"/>
      <c r="J5939" s="13"/>
      <c r="K5939" s="15"/>
      <c r="L5939" s="15"/>
      <c r="M5939" s="16"/>
      <c r="N5939" s="16"/>
      <c r="O5939" s="17"/>
      <c r="P5939" s="17"/>
      <c r="Q5939" s="13"/>
      <c r="R5939" s="13"/>
      <c r="S5939" s="13"/>
      <c r="T5939" s="13"/>
      <c r="U5939" s="13"/>
      <c r="V5939" s="13"/>
      <c r="W5939" s="13"/>
      <c r="X5939" s="13"/>
      <c r="Y5939" s="13"/>
      <c r="Z5939" s="13"/>
      <c r="AA5939" s="13"/>
      <c r="AB5939" s="13"/>
      <c r="AC5939" s="13"/>
      <c r="AD5939" s="13"/>
      <c r="AE5939" s="13"/>
      <c r="AF5939" s="13"/>
      <c r="AG5939" s="13"/>
      <c r="AH5939" s="13"/>
      <c r="AI5939" s="13"/>
      <c r="AJ5939" s="13"/>
      <c r="AK5939" s="13"/>
      <c r="AL5939" s="13"/>
      <c r="AM5939" s="13"/>
      <c r="AN5939" s="13"/>
      <c r="AO5939" s="13"/>
      <c r="AP5939" s="13"/>
      <c r="AQ5939" s="13"/>
      <c r="AR5939" s="13"/>
      <c r="AS5939" s="13"/>
    </row>
    <row r="5940" ht="14.25" customHeight="1">
      <c r="A5940" s="13"/>
      <c r="B5940" s="13"/>
      <c r="C5940" s="13"/>
      <c r="D5940" s="13"/>
      <c r="E5940" s="13"/>
      <c r="F5940" s="13"/>
      <c r="G5940" s="13"/>
      <c r="H5940" s="13"/>
      <c r="I5940" s="13"/>
      <c r="J5940" s="13"/>
      <c r="K5940" s="15"/>
      <c r="L5940" s="15"/>
      <c r="M5940" s="16"/>
      <c r="N5940" s="16"/>
      <c r="O5940" s="17"/>
      <c r="P5940" s="17"/>
      <c r="Q5940" s="13"/>
      <c r="R5940" s="13"/>
      <c r="S5940" s="13"/>
      <c r="T5940" s="13"/>
      <c r="U5940" s="13"/>
      <c r="V5940" s="13"/>
      <c r="W5940" s="13"/>
      <c r="X5940" s="13"/>
      <c r="Y5940" s="13"/>
      <c r="Z5940" s="13"/>
      <c r="AA5940" s="13"/>
      <c r="AB5940" s="13"/>
      <c r="AC5940" s="13"/>
      <c r="AD5940" s="13"/>
      <c r="AE5940" s="13"/>
      <c r="AF5940" s="13"/>
      <c r="AG5940" s="13"/>
      <c r="AH5940" s="13"/>
      <c r="AI5940" s="13"/>
      <c r="AJ5940" s="13"/>
      <c r="AK5940" s="13"/>
      <c r="AL5940" s="13"/>
      <c r="AM5940" s="13"/>
      <c r="AN5940" s="13"/>
      <c r="AO5940" s="13"/>
      <c r="AP5940" s="13"/>
      <c r="AQ5940" s="13"/>
      <c r="AR5940" s="13"/>
      <c r="AS5940" s="13"/>
    </row>
    <row r="5941" ht="14.25" customHeight="1">
      <c r="A5941" s="13"/>
      <c r="B5941" s="13"/>
      <c r="C5941" s="13"/>
      <c r="D5941" s="13"/>
      <c r="E5941" s="13"/>
      <c r="F5941" s="13"/>
      <c r="G5941" s="13"/>
      <c r="H5941" s="13"/>
      <c r="I5941" s="13"/>
      <c r="J5941" s="13"/>
      <c r="K5941" s="15"/>
      <c r="L5941" s="15"/>
      <c r="M5941" s="16"/>
      <c r="N5941" s="16"/>
      <c r="O5941" s="17"/>
      <c r="P5941" s="17"/>
      <c r="Q5941" s="13"/>
      <c r="R5941" s="13"/>
      <c r="S5941" s="13"/>
      <c r="T5941" s="13"/>
      <c r="U5941" s="13"/>
      <c r="V5941" s="13"/>
      <c r="W5941" s="13"/>
      <c r="X5941" s="13"/>
      <c r="Y5941" s="13"/>
      <c r="Z5941" s="13"/>
      <c r="AA5941" s="13"/>
      <c r="AB5941" s="13"/>
      <c r="AC5941" s="13"/>
      <c r="AD5941" s="13"/>
      <c r="AE5941" s="13"/>
      <c r="AF5941" s="13"/>
      <c r="AG5941" s="13"/>
      <c r="AH5941" s="13"/>
      <c r="AI5941" s="13"/>
      <c r="AJ5941" s="13"/>
      <c r="AK5941" s="13"/>
      <c r="AL5941" s="13"/>
      <c r="AM5941" s="13"/>
      <c r="AN5941" s="13"/>
      <c r="AO5941" s="13"/>
      <c r="AP5941" s="13"/>
      <c r="AQ5941" s="13"/>
      <c r="AR5941" s="13"/>
      <c r="AS5941" s="13"/>
    </row>
    <row r="5942" ht="14.25" customHeight="1">
      <c r="A5942" s="13"/>
      <c r="B5942" s="13"/>
      <c r="C5942" s="13"/>
      <c r="D5942" s="13"/>
      <c r="E5942" s="13"/>
      <c r="F5942" s="13"/>
      <c r="G5942" s="13"/>
      <c r="H5942" s="13"/>
      <c r="I5942" s="13"/>
      <c r="J5942" s="13"/>
      <c r="K5942" s="15"/>
      <c r="L5942" s="15"/>
      <c r="M5942" s="16"/>
      <c r="N5942" s="16"/>
      <c r="O5942" s="17"/>
      <c r="P5942" s="17"/>
      <c r="Q5942" s="13"/>
      <c r="R5942" s="13"/>
      <c r="S5942" s="13"/>
      <c r="T5942" s="13"/>
      <c r="U5942" s="13"/>
      <c r="V5942" s="13"/>
      <c r="W5942" s="13"/>
      <c r="X5942" s="13"/>
      <c r="Y5942" s="13"/>
      <c r="Z5942" s="13"/>
      <c r="AA5942" s="13"/>
      <c r="AB5942" s="13"/>
      <c r="AC5942" s="13"/>
      <c r="AD5942" s="13"/>
      <c r="AE5942" s="13"/>
      <c r="AF5942" s="13"/>
      <c r="AG5942" s="13"/>
      <c r="AH5942" s="13"/>
      <c r="AI5942" s="13"/>
      <c r="AJ5942" s="13"/>
      <c r="AK5942" s="13"/>
      <c r="AL5942" s="13"/>
      <c r="AM5942" s="13"/>
      <c r="AN5942" s="13"/>
      <c r="AO5942" s="13"/>
      <c r="AP5942" s="13"/>
      <c r="AQ5942" s="13"/>
      <c r="AR5942" s="13"/>
      <c r="AS5942" s="13"/>
    </row>
    <row r="5943" ht="14.25" customHeight="1">
      <c r="A5943" s="13"/>
      <c r="B5943" s="13"/>
      <c r="C5943" s="13"/>
      <c r="D5943" s="13"/>
      <c r="E5943" s="13"/>
      <c r="F5943" s="13"/>
      <c r="G5943" s="13"/>
      <c r="H5943" s="13"/>
      <c r="I5943" s="13"/>
      <c r="J5943" s="13"/>
      <c r="K5943" s="15"/>
      <c r="L5943" s="15"/>
      <c r="M5943" s="16"/>
      <c r="N5943" s="16"/>
      <c r="O5943" s="17"/>
      <c r="P5943" s="17"/>
      <c r="Q5943" s="13"/>
      <c r="R5943" s="13"/>
      <c r="S5943" s="13"/>
      <c r="T5943" s="13"/>
      <c r="U5943" s="13"/>
      <c r="V5943" s="13"/>
      <c r="W5943" s="13"/>
      <c r="X5943" s="13"/>
      <c r="Y5943" s="13"/>
      <c r="Z5943" s="13"/>
      <c r="AA5943" s="13"/>
      <c r="AB5943" s="13"/>
      <c r="AC5943" s="13"/>
      <c r="AD5943" s="13"/>
      <c r="AE5943" s="13"/>
      <c r="AF5943" s="13"/>
      <c r="AG5943" s="13"/>
      <c r="AH5943" s="13"/>
      <c r="AI5943" s="13"/>
      <c r="AJ5943" s="13"/>
      <c r="AK5943" s="13"/>
      <c r="AL5943" s="13"/>
      <c r="AM5943" s="13"/>
      <c r="AN5943" s="13"/>
      <c r="AO5943" s="13"/>
      <c r="AP5943" s="13"/>
      <c r="AQ5943" s="13"/>
      <c r="AR5943" s="13"/>
      <c r="AS5943" s="13"/>
    </row>
    <row r="5944" ht="14.25" customHeight="1">
      <c r="A5944" s="13"/>
      <c r="B5944" s="13"/>
      <c r="C5944" s="13"/>
      <c r="D5944" s="13"/>
      <c r="E5944" s="13"/>
      <c r="F5944" s="13"/>
      <c r="G5944" s="13"/>
      <c r="H5944" s="13"/>
      <c r="I5944" s="13"/>
      <c r="J5944" s="13"/>
      <c r="K5944" s="15"/>
      <c r="L5944" s="15"/>
      <c r="M5944" s="16"/>
      <c r="N5944" s="16"/>
      <c r="O5944" s="17"/>
      <c r="P5944" s="17"/>
      <c r="Q5944" s="13"/>
      <c r="R5944" s="13"/>
      <c r="S5944" s="13"/>
      <c r="T5944" s="13"/>
      <c r="U5944" s="13"/>
      <c r="V5944" s="13"/>
      <c r="W5944" s="13"/>
      <c r="X5944" s="13"/>
      <c r="Y5944" s="13"/>
      <c r="Z5944" s="13"/>
      <c r="AA5944" s="13"/>
      <c r="AB5944" s="13"/>
      <c r="AC5944" s="13"/>
      <c r="AD5944" s="13"/>
      <c r="AE5944" s="13"/>
      <c r="AF5944" s="13"/>
      <c r="AG5944" s="13"/>
      <c r="AH5944" s="13"/>
      <c r="AI5944" s="13"/>
      <c r="AJ5944" s="13"/>
      <c r="AK5944" s="13"/>
      <c r="AL5944" s="13"/>
      <c r="AM5944" s="13"/>
      <c r="AN5944" s="13"/>
      <c r="AO5944" s="13"/>
      <c r="AP5944" s="13"/>
      <c r="AQ5944" s="13"/>
      <c r="AR5944" s="13"/>
      <c r="AS5944" s="13"/>
    </row>
    <row r="5945" ht="14.25" customHeight="1">
      <c r="A5945" s="13"/>
      <c r="B5945" s="13"/>
      <c r="C5945" s="13"/>
      <c r="D5945" s="13"/>
      <c r="E5945" s="13"/>
      <c r="F5945" s="13"/>
      <c r="G5945" s="13"/>
      <c r="H5945" s="13"/>
      <c r="I5945" s="13"/>
      <c r="J5945" s="13"/>
      <c r="K5945" s="15"/>
      <c r="L5945" s="15"/>
      <c r="M5945" s="16"/>
      <c r="N5945" s="16"/>
      <c r="O5945" s="17"/>
      <c r="P5945" s="17"/>
      <c r="Q5945" s="13"/>
      <c r="R5945" s="13"/>
      <c r="S5945" s="13"/>
      <c r="T5945" s="13"/>
      <c r="U5945" s="13"/>
      <c r="V5945" s="13"/>
      <c r="W5945" s="13"/>
      <c r="X5945" s="13"/>
      <c r="Y5945" s="13"/>
      <c r="Z5945" s="13"/>
      <c r="AA5945" s="13"/>
      <c r="AB5945" s="13"/>
      <c r="AC5945" s="13"/>
      <c r="AD5945" s="13"/>
      <c r="AE5945" s="13"/>
      <c r="AF5945" s="13"/>
      <c r="AG5945" s="13"/>
      <c r="AH5945" s="13"/>
      <c r="AI5945" s="13"/>
      <c r="AJ5945" s="13"/>
      <c r="AK5945" s="13"/>
      <c r="AL5945" s="13"/>
      <c r="AM5945" s="13"/>
      <c r="AN5945" s="13"/>
      <c r="AO5945" s="13"/>
      <c r="AP5945" s="13"/>
      <c r="AQ5945" s="13"/>
      <c r="AR5945" s="13"/>
      <c r="AS5945" s="13"/>
    </row>
    <row r="5946" ht="14.25" customHeight="1">
      <c r="A5946" s="13"/>
      <c r="B5946" s="13"/>
      <c r="C5946" s="13"/>
      <c r="D5946" s="13"/>
      <c r="E5946" s="13"/>
      <c r="F5946" s="13"/>
      <c r="G5946" s="13"/>
      <c r="H5946" s="13"/>
      <c r="I5946" s="13"/>
      <c r="J5946" s="13"/>
      <c r="K5946" s="15"/>
      <c r="L5946" s="15"/>
      <c r="M5946" s="16"/>
      <c r="N5946" s="16"/>
      <c r="O5946" s="17"/>
      <c r="P5946" s="17"/>
      <c r="Q5946" s="13"/>
      <c r="R5946" s="13"/>
      <c r="S5946" s="13"/>
      <c r="T5946" s="13"/>
      <c r="U5946" s="13"/>
      <c r="V5946" s="13"/>
      <c r="W5946" s="13"/>
      <c r="X5946" s="13"/>
      <c r="Y5946" s="13"/>
      <c r="Z5946" s="13"/>
      <c r="AA5946" s="13"/>
      <c r="AB5946" s="13"/>
      <c r="AC5946" s="13"/>
      <c r="AD5946" s="13"/>
      <c r="AE5946" s="13"/>
      <c r="AF5946" s="13"/>
      <c r="AG5946" s="13"/>
      <c r="AH5946" s="13"/>
      <c r="AI5946" s="13"/>
      <c r="AJ5946" s="13"/>
      <c r="AK5946" s="13"/>
      <c r="AL5946" s="13"/>
      <c r="AM5946" s="13"/>
      <c r="AN5946" s="13"/>
      <c r="AO5946" s="13"/>
      <c r="AP5946" s="13"/>
      <c r="AQ5946" s="13"/>
      <c r="AR5946" s="13"/>
      <c r="AS5946" s="13"/>
    </row>
    <row r="5947" ht="14.25" customHeight="1">
      <c r="A5947" s="13"/>
      <c r="B5947" s="13"/>
      <c r="C5947" s="13"/>
      <c r="D5947" s="13"/>
      <c r="E5947" s="13"/>
      <c r="F5947" s="13"/>
      <c r="G5947" s="13"/>
      <c r="H5947" s="13"/>
      <c r="I5947" s="13"/>
      <c r="J5947" s="13"/>
      <c r="K5947" s="15"/>
      <c r="L5947" s="15"/>
      <c r="M5947" s="16"/>
      <c r="N5947" s="16"/>
      <c r="O5947" s="17"/>
      <c r="P5947" s="17"/>
      <c r="Q5947" s="13"/>
      <c r="R5947" s="13"/>
      <c r="S5947" s="13"/>
      <c r="T5947" s="13"/>
      <c r="U5947" s="13"/>
      <c r="V5947" s="13"/>
      <c r="W5947" s="13"/>
      <c r="X5947" s="13"/>
      <c r="Y5947" s="13"/>
      <c r="Z5947" s="13"/>
      <c r="AA5947" s="13"/>
      <c r="AB5947" s="13"/>
      <c r="AC5947" s="13"/>
      <c r="AD5947" s="13"/>
      <c r="AE5947" s="13"/>
      <c r="AF5947" s="13"/>
      <c r="AG5947" s="13"/>
      <c r="AH5947" s="13"/>
      <c r="AI5947" s="13"/>
      <c r="AJ5947" s="13"/>
      <c r="AK5947" s="13"/>
      <c r="AL5947" s="13"/>
      <c r="AM5947" s="13"/>
      <c r="AN5947" s="13"/>
      <c r="AO5947" s="13"/>
      <c r="AP5947" s="13"/>
      <c r="AQ5947" s="13"/>
      <c r="AR5947" s="13"/>
      <c r="AS5947" s="13"/>
    </row>
    <row r="5948" ht="14.25" customHeight="1">
      <c r="A5948" s="13"/>
      <c r="B5948" s="13"/>
      <c r="C5948" s="13"/>
      <c r="D5948" s="13"/>
      <c r="E5948" s="13"/>
      <c r="F5948" s="13"/>
      <c r="G5948" s="13"/>
      <c r="H5948" s="13"/>
      <c r="I5948" s="13"/>
      <c r="J5948" s="13"/>
      <c r="K5948" s="15"/>
      <c r="L5948" s="15"/>
      <c r="M5948" s="16"/>
      <c r="N5948" s="16"/>
      <c r="O5948" s="17"/>
      <c r="P5948" s="17"/>
      <c r="Q5948" s="13"/>
      <c r="R5948" s="13"/>
      <c r="S5948" s="13"/>
      <c r="T5948" s="13"/>
      <c r="U5948" s="13"/>
      <c r="V5948" s="13"/>
      <c r="W5948" s="13"/>
      <c r="X5948" s="13"/>
      <c r="Y5948" s="13"/>
      <c r="Z5948" s="13"/>
      <c r="AA5948" s="13"/>
      <c r="AB5948" s="13"/>
      <c r="AC5948" s="13"/>
      <c r="AD5948" s="13"/>
      <c r="AE5948" s="13"/>
      <c r="AF5948" s="13"/>
      <c r="AG5948" s="13"/>
      <c r="AH5948" s="13"/>
      <c r="AI5948" s="13"/>
      <c r="AJ5948" s="13"/>
      <c r="AK5948" s="13"/>
      <c r="AL5948" s="13"/>
      <c r="AM5948" s="13"/>
      <c r="AN5948" s="13"/>
      <c r="AO5948" s="13"/>
      <c r="AP5948" s="13"/>
      <c r="AQ5948" s="13"/>
      <c r="AR5948" s="13"/>
      <c r="AS5948" s="13"/>
    </row>
    <row r="5949" ht="14.25" customHeight="1">
      <c r="A5949" s="13"/>
      <c r="B5949" s="13"/>
      <c r="C5949" s="13"/>
      <c r="D5949" s="13"/>
      <c r="E5949" s="13"/>
      <c r="F5949" s="13"/>
      <c r="G5949" s="13"/>
      <c r="H5949" s="13"/>
      <c r="I5949" s="13"/>
      <c r="J5949" s="13"/>
      <c r="K5949" s="15"/>
      <c r="L5949" s="15"/>
      <c r="M5949" s="16"/>
      <c r="N5949" s="16"/>
      <c r="O5949" s="17"/>
      <c r="P5949" s="17"/>
      <c r="Q5949" s="13"/>
      <c r="R5949" s="13"/>
      <c r="S5949" s="13"/>
      <c r="T5949" s="13"/>
      <c r="U5949" s="13"/>
      <c r="V5949" s="13"/>
      <c r="W5949" s="13"/>
      <c r="X5949" s="13"/>
      <c r="Y5949" s="13"/>
      <c r="Z5949" s="13"/>
      <c r="AA5949" s="13"/>
      <c r="AB5949" s="13"/>
      <c r="AC5949" s="13"/>
      <c r="AD5949" s="13"/>
      <c r="AE5949" s="13"/>
      <c r="AF5949" s="13"/>
      <c r="AG5949" s="13"/>
      <c r="AH5949" s="13"/>
      <c r="AI5949" s="13"/>
      <c r="AJ5949" s="13"/>
      <c r="AK5949" s="13"/>
      <c r="AL5949" s="13"/>
      <c r="AM5949" s="13"/>
      <c r="AN5949" s="13"/>
      <c r="AO5949" s="13"/>
      <c r="AP5949" s="13"/>
      <c r="AQ5949" s="13"/>
      <c r="AR5949" s="13"/>
      <c r="AS5949" s="13"/>
    </row>
    <row r="5950" ht="14.25" customHeight="1">
      <c r="A5950" s="13"/>
      <c r="B5950" s="13"/>
      <c r="C5950" s="13"/>
      <c r="D5950" s="13"/>
      <c r="E5950" s="13"/>
      <c r="F5950" s="13"/>
      <c r="G5950" s="13"/>
      <c r="H5950" s="13"/>
      <c r="I5950" s="13"/>
      <c r="J5950" s="13"/>
      <c r="K5950" s="15"/>
      <c r="L5950" s="15"/>
      <c r="M5950" s="16"/>
      <c r="N5950" s="16"/>
      <c r="O5950" s="17"/>
      <c r="P5950" s="17"/>
      <c r="Q5950" s="13"/>
      <c r="R5950" s="13"/>
      <c r="S5950" s="13"/>
      <c r="T5950" s="13"/>
      <c r="U5950" s="13"/>
      <c r="V5950" s="13"/>
      <c r="W5950" s="13"/>
      <c r="X5950" s="13"/>
      <c r="Y5950" s="13"/>
      <c r="Z5950" s="13"/>
      <c r="AA5950" s="13"/>
      <c r="AB5950" s="13"/>
      <c r="AC5950" s="13"/>
      <c r="AD5950" s="13"/>
      <c r="AE5950" s="13"/>
      <c r="AF5950" s="13"/>
      <c r="AG5950" s="13"/>
      <c r="AH5950" s="13"/>
      <c r="AI5950" s="13"/>
      <c r="AJ5950" s="13"/>
      <c r="AK5950" s="13"/>
      <c r="AL5950" s="13"/>
      <c r="AM5950" s="13"/>
      <c r="AN5950" s="13"/>
      <c r="AO5950" s="13"/>
      <c r="AP5950" s="13"/>
      <c r="AQ5950" s="13"/>
      <c r="AR5950" s="13"/>
      <c r="AS5950" s="13"/>
    </row>
    <row r="5951" ht="14.25" customHeight="1">
      <c r="A5951" s="13"/>
      <c r="B5951" s="13"/>
      <c r="C5951" s="13"/>
      <c r="D5951" s="13"/>
      <c r="E5951" s="13"/>
      <c r="F5951" s="13"/>
      <c r="G5951" s="13"/>
      <c r="H5951" s="13"/>
      <c r="I5951" s="13"/>
      <c r="J5951" s="13"/>
      <c r="K5951" s="15"/>
      <c r="L5951" s="15"/>
      <c r="M5951" s="16"/>
      <c r="N5951" s="16"/>
      <c r="O5951" s="17"/>
      <c r="P5951" s="17"/>
      <c r="Q5951" s="13"/>
      <c r="R5951" s="13"/>
      <c r="S5951" s="13"/>
      <c r="T5951" s="13"/>
      <c r="U5951" s="13"/>
      <c r="V5951" s="13"/>
      <c r="W5951" s="13"/>
      <c r="X5951" s="13"/>
      <c r="Y5951" s="13"/>
      <c r="Z5951" s="13"/>
      <c r="AA5951" s="13"/>
      <c r="AB5951" s="13"/>
      <c r="AC5951" s="13"/>
      <c r="AD5951" s="13"/>
      <c r="AE5951" s="13"/>
      <c r="AF5951" s="13"/>
      <c r="AG5951" s="13"/>
      <c r="AH5951" s="13"/>
      <c r="AI5951" s="13"/>
      <c r="AJ5951" s="13"/>
      <c r="AK5951" s="13"/>
      <c r="AL5951" s="13"/>
      <c r="AM5951" s="13"/>
      <c r="AN5951" s="13"/>
      <c r="AO5951" s="13"/>
      <c r="AP5951" s="13"/>
      <c r="AQ5951" s="13"/>
      <c r="AR5951" s="13"/>
      <c r="AS5951" s="13"/>
    </row>
    <row r="5952" ht="14.25" customHeight="1">
      <c r="A5952" s="13"/>
      <c r="B5952" s="13"/>
      <c r="C5952" s="13"/>
      <c r="D5952" s="13"/>
      <c r="E5952" s="13"/>
      <c r="F5952" s="13"/>
      <c r="G5952" s="13"/>
      <c r="H5952" s="13"/>
      <c r="I5952" s="13"/>
      <c r="J5952" s="13"/>
      <c r="K5952" s="15"/>
      <c r="L5952" s="15"/>
      <c r="M5952" s="16"/>
      <c r="N5952" s="16"/>
      <c r="O5952" s="17"/>
      <c r="P5952" s="17"/>
      <c r="Q5952" s="13"/>
      <c r="R5952" s="13"/>
      <c r="S5952" s="13"/>
      <c r="T5952" s="13"/>
      <c r="U5952" s="13"/>
      <c r="V5952" s="13"/>
      <c r="W5952" s="13"/>
      <c r="X5952" s="13"/>
      <c r="Y5952" s="13"/>
      <c r="Z5952" s="13"/>
      <c r="AA5952" s="13"/>
      <c r="AB5952" s="13"/>
      <c r="AC5952" s="13"/>
      <c r="AD5952" s="13"/>
      <c r="AE5952" s="13"/>
      <c r="AF5952" s="13"/>
      <c r="AG5952" s="13"/>
      <c r="AH5952" s="13"/>
      <c r="AI5952" s="13"/>
      <c r="AJ5952" s="13"/>
      <c r="AK5952" s="13"/>
      <c r="AL5952" s="13"/>
      <c r="AM5952" s="13"/>
      <c r="AN5952" s="13"/>
      <c r="AO5952" s="13"/>
      <c r="AP5952" s="13"/>
      <c r="AQ5952" s="13"/>
      <c r="AR5952" s="13"/>
      <c r="AS5952" s="13"/>
    </row>
    <row r="5953" ht="14.25" customHeight="1">
      <c r="A5953" s="13"/>
      <c r="B5953" s="13"/>
      <c r="C5953" s="13"/>
      <c r="D5953" s="13"/>
      <c r="E5953" s="13"/>
      <c r="F5953" s="13"/>
      <c r="G5953" s="13"/>
      <c r="H5953" s="13"/>
      <c r="I5953" s="13"/>
      <c r="J5953" s="13"/>
      <c r="K5953" s="15"/>
      <c r="L5953" s="15"/>
      <c r="M5953" s="16"/>
      <c r="N5953" s="16"/>
      <c r="O5953" s="17"/>
      <c r="P5953" s="17"/>
      <c r="Q5953" s="13"/>
      <c r="R5953" s="13"/>
      <c r="S5953" s="13"/>
      <c r="T5953" s="13"/>
      <c r="U5953" s="13"/>
      <c r="V5953" s="13"/>
      <c r="W5953" s="13"/>
      <c r="X5953" s="13"/>
      <c r="Y5953" s="13"/>
      <c r="Z5953" s="13"/>
      <c r="AA5953" s="13"/>
      <c r="AB5953" s="13"/>
      <c r="AC5953" s="13"/>
      <c r="AD5953" s="13"/>
      <c r="AE5953" s="13"/>
      <c r="AF5953" s="13"/>
      <c r="AG5953" s="13"/>
      <c r="AH5953" s="13"/>
      <c r="AI5953" s="13"/>
      <c r="AJ5953" s="13"/>
      <c r="AK5953" s="13"/>
      <c r="AL5953" s="13"/>
      <c r="AM5953" s="13"/>
      <c r="AN5953" s="13"/>
      <c r="AO5953" s="13"/>
      <c r="AP5953" s="13"/>
      <c r="AQ5953" s="13"/>
      <c r="AR5953" s="13"/>
      <c r="AS5953" s="13"/>
    </row>
    <row r="5954" ht="14.25" customHeight="1">
      <c r="A5954" s="13"/>
      <c r="B5954" s="13"/>
      <c r="C5954" s="13"/>
      <c r="D5954" s="13"/>
      <c r="E5954" s="13"/>
      <c r="F5954" s="13"/>
      <c r="G5954" s="13"/>
      <c r="H5954" s="13"/>
      <c r="I5954" s="13"/>
      <c r="J5954" s="13"/>
      <c r="K5954" s="15"/>
      <c r="L5954" s="15"/>
      <c r="M5954" s="16"/>
      <c r="N5954" s="16"/>
      <c r="O5954" s="17"/>
      <c r="P5954" s="17"/>
      <c r="Q5954" s="13"/>
      <c r="R5954" s="13"/>
      <c r="S5954" s="13"/>
      <c r="T5954" s="13"/>
      <c r="U5954" s="13"/>
      <c r="V5954" s="13"/>
      <c r="W5954" s="13"/>
      <c r="X5954" s="13"/>
      <c r="Y5954" s="13"/>
      <c r="Z5954" s="13"/>
      <c r="AA5954" s="13"/>
      <c r="AB5954" s="13"/>
      <c r="AC5954" s="13"/>
      <c r="AD5954" s="13"/>
      <c r="AE5954" s="13"/>
      <c r="AF5954" s="13"/>
      <c r="AG5954" s="13"/>
      <c r="AH5954" s="13"/>
      <c r="AI5954" s="13"/>
      <c r="AJ5954" s="13"/>
      <c r="AK5954" s="13"/>
      <c r="AL5954" s="13"/>
      <c r="AM5954" s="13"/>
      <c r="AN5954" s="13"/>
      <c r="AO5954" s="13"/>
      <c r="AP5954" s="13"/>
      <c r="AQ5954" s="13"/>
      <c r="AR5954" s="13"/>
      <c r="AS5954" s="13"/>
    </row>
    <row r="5955" ht="14.25" customHeight="1">
      <c r="A5955" s="13"/>
      <c r="B5955" s="13"/>
      <c r="C5955" s="13"/>
      <c r="D5955" s="13"/>
      <c r="E5955" s="13"/>
      <c r="F5955" s="13"/>
      <c r="G5955" s="13"/>
      <c r="H5955" s="13"/>
      <c r="I5955" s="13"/>
      <c r="J5955" s="13"/>
      <c r="K5955" s="15"/>
      <c r="L5955" s="15"/>
      <c r="M5955" s="16"/>
      <c r="N5955" s="16"/>
      <c r="O5955" s="17"/>
      <c r="P5955" s="17"/>
      <c r="Q5955" s="13"/>
      <c r="R5955" s="13"/>
      <c r="S5955" s="13"/>
      <c r="T5955" s="13"/>
      <c r="U5955" s="13"/>
      <c r="V5955" s="13"/>
      <c r="W5955" s="13"/>
      <c r="X5955" s="13"/>
      <c r="Y5955" s="13"/>
      <c r="Z5955" s="13"/>
      <c r="AA5955" s="13"/>
      <c r="AB5955" s="13"/>
      <c r="AC5955" s="13"/>
      <c r="AD5955" s="13"/>
      <c r="AE5955" s="13"/>
      <c r="AF5955" s="13"/>
      <c r="AG5955" s="13"/>
      <c r="AH5955" s="13"/>
      <c r="AI5955" s="13"/>
      <c r="AJ5955" s="13"/>
      <c r="AK5955" s="13"/>
      <c r="AL5955" s="13"/>
      <c r="AM5955" s="13"/>
      <c r="AN5955" s="13"/>
      <c r="AO5955" s="13"/>
      <c r="AP5955" s="13"/>
      <c r="AQ5955" s="13"/>
      <c r="AR5955" s="13"/>
      <c r="AS5955" s="13"/>
    </row>
    <row r="5956" ht="14.25" customHeight="1">
      <c r="A5956" s="13"/>
      <c r="B5956" s="13"/>
      <c r="C5956" s="13"/>
      <c r="D5956" s="13"/>
      <c r="E5956" s="13"/>
      <c r="F5956" s="13"/>
      <c r="G5956" s="13"/>
      <c r="H5956" s="13"/>
      <c r="I5956" s="13"/>
      <c r="J5956" s="13"/>
      <c r="K5956" s="15"/>
      <c r="L5956" s="15"/>
      <c r="M5956" s="16"/>
      <c r="N5956" s="16"/>
      <c r="O5956" s="17"/>
      <c r="P5956" s="17"/>
      <c r="Q5956" s="13"/>
      <c r="R5956" s="13"/>
      <c r="S5956" s="13"/>
      <c r="T5956" s="13"/>
      <c r="U5956" s="13"/>
      <c r="V5956" s="13"/>
      <c r="W5956" s="13"/>
      <c r="X5956" s="13"/>
      <c r="Y5956" s="13"/>
      <c r="Z5956" s="13"/>
      <c r="AA5956" s="13"/>
      <c r="AB5956" s="13"/>
      <c r="AC5956" s="13"/>
      <c r="AD5956" s="13"/>
      <c r="AE5956" s="13"/>
      <c r="AF5956" s="13"/>
      <c r="AG5956" s="13"/>
      <c r="AH5956" s="13"/>
      <c r="AI5956" s="13"/>
      <c r="AJ5956" s="13"/>
      <c r="AK5956" s="13"/>
      <c r="AL5956" s="13"/>
      <c r="AM5956" s="13"/>
      <c r="AN5956" s="13"/>
      <c r="AO5956" s="13"/>
      <c r="AP5956" s="13"/>
      <c r="AQ5956" s="13"/>
      <c r="AR5956" s="13"/>
      <c r="AS5956" s="13"/>
    </row>
    <row r="5957" ht="14.25" customHeight="1">
      <c r="A5957" s="13"/>
      <c r="B5957" s="13"/>
      <c r="C5957" s="13"/>
      <c r="D5957" s="13"/>
      <c r="E5957" s="13"/>
      <c r="F5957" s="13"/>
      <c r="G5957" s="13"/>
      <c r="H5957" s="13"/>
      <c r="I5957" s="13"/>
      <c r="J5957" s="13"/>
      <c r="K5957" s="15"/>
      <c r="L5957" s="15"/>
      <c r="M5957" s="16"/>
      <c r="N5957" s="16"/>
      <c r="O5957" s="17"/>
      <c r="P5957" s="17"/>
      <c r="Q5957" s="13"/>
      <c r="R5957" s="13"/>
      <c r="S5957" s="13"/>
      <c r="T5957" s="13"/>
      <c r="U5957" s="13"/>
      <c r="V5957" s="13"/>
      <c r="W5957" s="13"/>
      <c r="X5957" s="13"/>
      <c r="Y5957" s="13"/>
      <c r="Z5957" s="13"/>
      <c r="AA5957" s="13"/>
      <c r="AB5957" s="13"/>
      <c r="AC5957" s="13"/>
      <c r="AD5957" s="13"/>
      <c r="AE5957" s="13"/>
      <c r="AF5957" s="13"/>
      <c r="AG5957" s="13"/>
      <c r="AH5957" s="13"/>
      <c r="AI5957" s="13"/>
      <c r="AJ5957" s="13"/>
      <c r="AK5957" s="13"/>
      <c r="AL5957" s="13"/>
      <c r="AM5957" s="13"/>
      <c r="AN5957" s="13"/>
      <c r="AO5957" s="13"/>
      <c r="AP5957" s="13"/>
      <c r="AQ5957" s="13"/>
      <c r="AR5957" s="13"/>
      <c r="AS5957" s="13"/>
    </row>
    <row r="5958" ht="14.25" customHeight="1">
      <c r="A5958" s="13"/>
      <c r="B5958" s="13"/>
      <c r="C5958" s="13"/>
      <c r="D5958" s="13"/>
      <c r="E5958" s="13"/>
      <c r="F5958" s="13"/>
      <c r="G5958" s="13"/>
      <c r="H5958" s="13"/>
      <c r="I5958" s="13"/>
      <c r="J5958" s="13"/>
      <c r="K5958" s="15"/>
      <c r="L5958" s="15"/>
      <c r="M5958" s="16"/>
      <c r="N5958" s="16"/>
      <c r="O5958" s="17"/>
      <c r="P5958" s="17"/>
      <c r="Q5958" s="13"/>
      <c r="R5958" s="13"/>
      <c r="S5958" s="13"/>
      <c r="T5958" s="13"/>
      <c r="U5958" s="13"/>
      <c r="V5958" s="13"/>
      <c r="W5958" s="13"/>
      <c r="X5958" s="13"/>
      <c r="Y5958" s="13"/>
      <c r="Z5958" s="13"/>
      <c r="AA5958" s="13"/>
      <c r="AB5958" s="13"/>
      <c r="AC5958" s="13"/>
      <c r="AD5958" s="13"/>
      <c r="AE5958" s="13"/>
      <c r="AF5958" s="13"/>
      <c r="AG5958" s="13"/>
      <c r="AH5958" s="13"/>
      <c r="AI5958" s="13"/>
      <c r="AJ5958" s="13"/>
      <c r="AK5958" s="13"/>
      <c r="AL5958" s="13"/>
      <c r="AM5958" s="13"/>
      <c r="AN5958" s="13"/>
      <c r="AO5958" s="13"/>
      <c r="AP5958" s="13"/>
      <c r="AQ5958" s="13"/>
      <c r="AR5958" s="13"/>
      <c r="AS5958" s="13"/>
    </row>
    <row r="5959" ht="14.25" customHeight="1">
      <c r="A5959" s="13"/>
      <c r="B5959" s="13"/>
      <c r="C5959" s="13"/>
      <c r="D5959" s="13"/>
      <c r="E5959" s="13"/>
      <c r="F5959" s="13"/>
      <c r="G5959" s="13"/>
      <c r="H5959" s="13"/>
      <c r="I5959" s="13"/>
      <c r="J5959" s="13"/>
      <c r="K5959" s="15"/>
      <c r="L5959" s="15"/>
      <c r="M5959" s="16"/>
      <c r="N5959" s="16"/>
      <c r="O5959" s="17"/>
      <c r="P5959" s="17"/>
      <c r="Q5959" s="13"/>
      <c r="R5959" s="13"/>
      <c r="S5959" s="13"/>
      <c r="T5959" s="13"/>
      <c r="U5959" s="13"/>
      <c r="V5959" s="13"/>
      <c r="W5959" s="13"/>
      <c r="X5959" s="13"/>
      <c r="Y5959" s="13"/>
      <c r="Z5959" s="13"/>
      <c r="AA5959" s="13"/>
      <c r="AB5959" s="13"/>
      <c r="AC5959" s="13"/>
      <c r="AD5959" s="13"/>
      <c r="AE5959" s="13"/>
      <c r="AF5959" s="13"/>
      <c r="AG5959" s="13"/>
      <c r="AH5959" s="13"/>
      <c r="AI5959" s="13"/>
      <c r="AJ5959" s="13"/>
      <c r="AK5959" s="13"/>
      <c r="AL5959" s="13"/>
      <c r="AM5959" s="13"/>
      <c r="AN5959" s="13"/>
      <c r="AO5959" s="13"/>
      <c r="AP5959" s="13"/>
      <c r="AQ5959" s="13"/>
      <c r="AR5959" s="13"/>
      <c r="AS5959" s="13"/>
    </row>
    <row r="5960" ht="14.25" customHeight="1">
      <c r="A5960" s="13"/>
      <c r="B5960" s="13"/>
      <c r="C5960" s="13"/>
      <c r="D5960" s="13"/>
      <c r="E5960" s="13"/>
      <c r="F5960" s="13"/>
      <c r="G5960" s="13"/>
      <c r="H5960" s="13"/>
      <c r="I5960" s="13"/>
      <c r="J5960" s="13"/>
      <c r="K5960" s="15"/>
      <c r="L5960" s="15"/>
      <c r="M5960" s="16"/>
      <c r="N5960" s="16"/>
      <c r="O5960" s="17"/>
      <c r="P5960" s="17"/>
      <c r="Q5960" s="13"/>
      <c r="R5960" s="13"/>
      <c r="S5960" s="13"/>
      <c r="T5960" s="13"/>
      <c r="U5960" s="13"/>
      <c r="V5960" s="13"/>
      <c r="W5960" s="13"/>
      <c r="X5960" s="13"/>
      <c r="Y5960" s="13"/>
      <c r="Z5960" s="13"/>
      <c r="AA5960" s="13"/>
      <c r="AB5960" s="13"/>
      <c r="AC5960" s="13"/>
      <c r="AD5960" s="13"/>
      <c r="AE5960" s="13"/>
      <c r="AF5960" s="13"/>
      <c r="AG5960" s="13"/>
      <c r="AH5960" s="13"/>
      <c r="AI5960" s="13"/>
      <c r="AJ5960" s="13"/>
      <c r="AK5960" s="13"/>
      <c r="AL5960" s="13"/>
      <c r="AM5960" s="13"/>
      <c r="AN5960" s="13"/>
      <c r="AO5960" s="13"/>
      <c r="AP5960" s="13"/>
      <c r="AQ5960" s="13"/>
      <c r="AR5960" s="13"/>
      <c r="AS5960" s="13"/>
    </row>
    <row r="5961" ht="14.25" customHeight="1">
      <c r="A5961" s="13"/>
      <c r="B5961" s="13"/>
      <c r="C5961" s="13"/>
      <c r="D5961" s="13"/>
      <c r="E5961" s="13"/>
      <c r="F5961" s="13"/>
      <c r="G5961" s="13"/>
      <c r="H5961" s="13"/>
      <c r="I5961" s="13"/>
      <c r="J5961" s="13"/>
      <c r="K5961" s="15"/>
      <c r="L5961" s="15"/>
      <c r="M5961" s="16"/>
      <c r="N5961" s="16"/>
      <c r="O5961" s="17"/>
      <c r="P5961" s="17"/>
      <c r="Q5961" s="13"/>
      <c r="R5961" s="13"/>
      <c r="S5961" s="13"/>
      <c r="T5961" s="13"/>
      <c r="U5961" s="13"/>
      <c r="V5961" s="13"/>
      <c r="W5961" s="13"/>
      <c r="X5961" s="13"/>
      <c r="Y5961" s="13"/>
      <c r="Z5961" s="13"/>
      <c r="AA5961" s="13"/>
      <c r="AB5961" s="13"/>
      <c r="AC5961" s="13"/>
      <c r="AD5961" s="13"/>
      <c r="AE5961" s="13"/>
      <c r="AF5961" s="13"/>
      <c r="AG5961" s="13"/>
      <c r="AH5961" s="13"/>
      <c r="AI5961" s="13"/>
      <c r="AJ5961" s="13"/>
      <c r="AK5961" s="13"/>
      <c r="AL5961" s="13"/>
      <c r="AM5961" s="13"/>
      <c r="AN5961" s="13"/>
      <c r="AO5961" s="13"/>
      <c r="AP5961" s="13"/>
      <c r="AQ5961" s="13"/>
      <c r="AR5961" s="13"/>
      <c r="AS5961" s="13"/>
    </row>
    <row r="5962" ht="14.25" customHeight="1">
      <c r="A5962" s="13"/>
      <c r="B5962" s="13"/>
      <c r="C5962" s="13"/>
      <c r="D5962" s="13"/>
      <c r="E5962" s="13"/>
      <c r="F5962" s="13"/>
      <c r="G5962" s="13"/>
      <c r="H5962" s="13"/>
      <c r="I5962" s="13"/>
      <c r="J5962" s="13"/>
      <c r="K5962" s="15"/>
      <c r="L5962" s="15"/>
      <c r="M5962" s="16"/>
      <c r="N5962" s="16"/>
      <c r="O5962" s="17"/>
      <c r="P5962" s="17"/>
      <c r="Q5962" s="13"/>
      <c r="R5962" s="13"/>
      <c r="S5962" s="13"/>
      <c r="T5962" s="13"/>
      <c r="U5962" s="13"/>
      <c r="V5962" s="13"/>
      <c r="W5962" s="13"/>
      <c r="X5962" s="13"/>
      <c r="Y5962" s="13"/>
      <c r="Z5962" s="13"/>
      <c r="AA5962" s="13"/>
      <c r="AB5962" s="13"/>
      <c r="AC5962" s="13"/>
      <c r="AD5962" s="13"/>
      <c r="AE5962" s="13"/>
      <c r="AF5962" s="13"/>
      <c r="AG5962" s="13"/>
      <c r="AH5962" s="13"/>
      <c r="AI5962" s="13"/>
      <c r="AJ5962" s="13"/>
      <c r="AK5962" s="13"/>
      <c r="AL5962" s="13"/>
      <c r="AM5962" s="13"/>
      <c r="AN5962" s="13"/>
      <c r="AO5962" s="13"/>
      <c r="AP5962" s="13"/>
      <c r="AQ5962" s="13"/>
      <c r="AR5962" s="13"/>
      <c r="AS5962" s="13"/>
    </row>
    <row r="5963" ht="14.25" customHeight="1">
      <c r="A5963" s="13"/>
      <c r="B5963" s="13"/>
      <c r="C5963" s="13"/>
      <c r="D5963" s="13"/>
      <c r="E5963" s="13"/>
      <c r="F5963" s="13"/>
      <c r="G5963" s="13"/>
      <c r="H5963" s="13"/>
      <c r="I5963" s="13"/>
      <c r="J5963" s="13"/>
      <c r="K5963" s="15"/>
      <c r="L5963" s="15"/>
      <c r="M5963" s="16"/>
      <c r="N5963" s="16"/>
      <c r="O5963" s="17"/>
      <c r="P5963" s="17"/>
      <c r="Q5963" s="13"/>
      <c r="R5963" s="13"/>
      <c r="S5963" s="13"/>
      <c r="T5963" s="13"/>
      <c r="U5963" s="13"/>
      <c r="V5963" s="13"/>
      <c r="W5963" s="13"/>
      <c r="X5963" s="13"/>
      <c r="Y5963" s="13"/>
      <c r="Z5963" s="13"/>
      <c r="AA5963" s="13"/>
      <c r="AB5963" s="13"/>
      <c r="AC5963" s="13"/>
      <c r="AD5963" s="13"/>
      <c r="AE5963" s="13"/>
      <c r="AF5963" s="13"/>
      <c r="AG5963" s="13"/>
      <c r="AH5963" s="13"/>
      <c r="AI5963" s="13"/>
      <c r="AJ5963" s="13"/>
      <c r="AK5963" s="13"/>
      <c r="AL5963" s="13"/>
      <c r="AM5963" s="13"/>
      <c r="AN5963" s="13"/>
      <c r="AO5963" s="13"/>
      <c r="AP5963" s="13"/>
      <c r="AQ5963" s="13"/>
      <c r="AR5963" s="13"/>
      <c r="AS5963" s="13"/>
    </row>
    <row r="5964" ht="14.25" customHeight="1">
      <c r="A5964" s="13"/>
      <c r="B5964" s="13"/>
      <c r="C5964" s="13"/>
      <c r="D5964" s="13"/>
      <c r="E5964" s="13"/>
      <c r="F5964" s="13"/>
      <c r="G5964" s="13"/>
      <c r="H5964" s="13"/>
      <c r="I5964" s="13"/>
      <c r="J5964" s="13"/>
      <c r="K5964" s="15"/>
      <c r="L5964" s="15"/>
      <c r="M5964" s="16"/>
      <c r="N5964" s="16"/>
      <c r="O5964" s="17"/>
      <c r="P5964" s="17"/>
      <c r="Q5964" s="13"/>
      <c r="R5964" s="13"/>
      <c r="S5964" s="13"/>
      <c r="T5964" s="13"/>
      <c r="U5964" s="13"/>
      <c r="V5964" s="13"/>
      <c r="W5964" s="13"/>
      <c r="X5964" s="13"/>
      <c r="Y5964" s="13"/>
      <c r="Z5964" s="13"/>
      <c r="AA5964" s="13"/>
      <c r="AB5964" s="13"/>
      <c r="AC5964" s="13"/>
      <c r="AD5964" s="13"/>
      <c r="AE5964" s="13"/>
      <c r="AF5964" s="13"/>
      <c r="AG5964" s="13"/>
      <c r="AH5964" s="13"/>
      <c r="AI5964" s="13"/>
      <c r="AJ5964" s="13"/>
      <c r="AK5964" s="13"/>
      <c r="AL5964" s="13"/>
      <c r="AM5964" s="13"/>
      <c r="AN5964" s="13"/>
      <c r="AO5964" s="13"/>
      <c r="AP5964" s="13"/>
      <c r="AQ5964" s="13"/>
      <c r="AR5964" s="13"/>
      <c r="AS5964" s="13"/>
    </row>
    <row r="5965" ht="14.25" customHeight="1">
      <c r="A5965" s="13"/>
      <c r="B5965" s="13"/>
      <c r="C5965" s="13"/>
      <c r="D5965" s="13"/>
      <c r="E5965" s="13"/>
      <c r="F5965" s="13"/>
      <c r="G5965" s="13"/>
      <c r="H5965" s="13"/>
      <c r="I5965" s="13"/>
      <c r="J5965" s="13"/>
      <c r="K5965" s="15"/>
      <c r="L5965" s="15"/>
      <c r="M5965" s="16"/>
      <c r="N5965" s="16"/>
      <c r="O5965" s="17"/>
      <c r="P5965" s="17"/>
      <c r="Q5965" s="13"/>
      <c r="R5965" s="13"/>
      <c r="S5965" s="13"/>
      <c r="T5965" s="13"/>
      <c r="U5965" s="13"/>
      <c r="V5965" s="13"/>
      <c r="W5965" s="13"/>
      <c r="X5965" s="13"/>
      <c r="Y5965" s="13"/>
      <c r="Z5965" s="13"/>
      <c r="AA5965" s="13"/>
      <c r="AB5965" s="13"/>
      <c r="AC5965" s="13"/>
      <c r="AD5965" s="13"/>
      <c r="AE5965" s="13"/>
      <c r="AF5965" s="13"/>
      <c r="AG5965" s="13"/>
      <c r="AH5965" s="13"/>
      <c r="AI5965" s="13"/>
      <c r="AJ5965" s="13"/>
      <c r="AK5965" s="13"/>
      <c r="AL5965" s="13"/>
      <c r="AM5965" s="13"/>
      <c r="AN5965" s="13"/>
      <c r="AO5965" s="13"/>
      <c r="AP5965" s="13"/>
      <c r="AQ5965" s="13"/>
      <c r="AR5965" s="13"/>
      <c r="AS5965" s="13"/>
    </row>
    <row r="5966" ht="14.25" customHeight="1">
      <c r="A5966" s="13"/>
      <c r="B5966" s="13"/>
      <c r="C5966" s="13"/>
      <c r="D5966" s="13"/>
      <c r="E5966" s="13"/>
      <c r="F5966" s="13"/>
      <c r="G5966" s="13"/>
      <c r="H5966" s="13"/>
      <c r="I5966" s="13"/>
      <c r="J5966" s="13"/>
      <c r="K5966" s="15"/>
      <c r="L5966" s="15"/>
      <c r="M5966" s="16"/>
      <c r="N5966" s="16"/>
      <c r="O5966" s="17"/>
      <c r="P5966" s="17"/>
      <c r="Q5966" s="13"/>
      <c r="R5966" s="13"/>
      <c r="S5966" s="13"/>
      <c r="T5966" s="13"/>
      <c r="U5966" s="13"/>
      <c r="V5966" s="13"/>
      <c r="W5966" s="13"/>
      <c r="X5966" s="13"/>
      <c r="Y5966" s="13"/>
      <c r="Z5966" s="13"/>
      <c r="AA5966" s="13"/>
      <c r="AB5966" s="13"/>
      <c r="AC5966" s="13"/>
      <c r="AD5966" s="13"/>
      <c r="AE5966" s="13"/>
      <c r="AF5966" s="13"/>
      <c r="AG5966" s="13"/>
      <c r="AH5966" s="13"/>
      <c r="AI5966" s="13"/>
      <c r="AJ5966" s="13"/>
      <c r="AK5966" s="13"/>
      <c r="AL5966" s="13"/>
      <c r="AM5966" s="13"/>
      <c r="AN5966" s="13"/>
      <c r="AO5966" s="13"/>
      <c r="AP5966" s="13"/>
      <c r="AQ5966" s="13"/>
      <c r="AR5966" s="13"/>
      <c r="AS5966" s="13"/>
    </row>
    <row r="5967" ht="14.25" customHeight="1">
      <c r="A5967" s="13"/>
      <c r="B5967" s="13"/>
      <c r="C5967" s="13"/>
      <c r="D5967" s="13"/>
      <c r="E5967" s="13"/>
      <c r="F5967" s="13"/>
      <c r="G5967" s="13"/>
      <c r="H5967" s="13"/>
      <c r="I5967" s="13"/>
      <c r="J5967" s="13"/>
      <c r="K5967" s="15"/>
      <c r="L5967" s="15"/>
      <c r="M5967" s="16"/>
      <c r="N5967" s="16"/>
      <c r="O5967" s="17"/>
      <c r="P5967" s="17"/>
      <c r="Q5967" s="13"/>
      <c r="R5967" s="13"/>
      <c r="S5967" s="13"/>
      <c r="T5967" s="13"/>
      <c r="U5967" s="13"/>
      <c r="V5967" s="13"/>
      <c r="W5967" s="13"/>
      <c r="X5967" s="13"/>
      <c r="Y5967" s="13"/>
      <c r="Z5967" s="13"/>
      <c r="AA5967" s="13"/>
      <c r="AB5967" s="13"/>
      <c r="AC5967" s="13"/>
      <c r="AD5967" s="13"/>
      <c r="AE5967" s="13"/>
      <c r="AF5967" s="13"/>
      <c r="AG5967" s="13"/>
      <c r="AH5967" s="13"/>
      <c r="AI5967" s="13"/>
      <c r="AJ5967" s="13"/>
      <c r="AK5967" s="13"/>
      <c r="AL5967" s="13"/>
      <c r="AM5967" s="13"/>
      <c r="AN5967" s="13"/>
      <c r="AO5967" s="13"/>
      <c r="AP5967" s="13"/>
      <c r="AQ5967" s="13"/>
      <c r="AR5967" s="13"/>
      <c r="AS5967" s="13"/>
    </row>
    <row r="5968" ht="14.25" customHeight="1">
      <c r="A5968" s="13"/>
      <c r="B5968" s="13"/>
      <c r="C5968" s="13"/>
      <c r="D5968" s="13"/>
      <c r="E5968" s="13"/>
      <c r="F5968" s="13"/>
      <c r="G5968" s="13"/>
      <c r="H5968" s="13"/>
      <c r="I5968" s="13"/>
      <c r="J5968" s="13"/>
      <c r="K5968" s="15"/>
      <c r="L5968" s="15"/>
      <c r="M5968" s="16"/>
      <c r="N5968" s="16"/>
      <c r="O5968" s="17"/>
      <c r="P5968" s="17"/>
      <c r="Q5968" s="13"/>
      <c r="R5968" s="13"/>
      <c r="S5968" s="13"/>
      <c r="T5968" s="13"/>
      <c r="U5968" s="13"/>
      <c r="V5968" s="13"/>
      <c r="W5968" s="13"/>
      <c r="X5968" s="13"/>
      <c r="Y5968" s="13"/>
      <c r="Z5968" s="13"/>
      <c r="AA5968" s="13"/>
      <c r="AB5968" s="13"/>
      <c r="AC5968" s="13"/>
      <c r="AD5968" s="13"/>
      <c r="AE5968" s="13"/>
      <c r="AF5968" s="13"/>
      <c r="AG5968" s="13"/>
      <c r="AH5968" s="13"/>
      <c r="AI5968" s="13"/>
      <c r="AJ5968" s="13"/>
      <c r="AK5968" s="13"/>
      <c r="AL5968" s="13"/>
      <c r="AM5968" s="13"/>
      <c r="AN5968" s="13"/>
      <c r="AO5968" s="13"/>
      <c r="AP5968" s="13"/>
      <c r="AQ5968" s="13"/>
      <c r="AR5968" s="13"/>
      <c r="AS5968" s="13"/>
    </row>
    <row r="5969" ht="14.25" customHeight="1">
      <c r="A5969" s="13"/>
      <c r="B5969" s="13"/>
      <c r="C5969" s="13"/>
      <c r="D5969" s="13"/>
      <c r="E5969" s="13"/>
      <c r="F5969" s="13"/>
      <c r="G5969" s="13"/>
      <c r="H5969" s="13"/>
      <c r="I5969" s="13"/>
      <c r="J5969" s="13"/>
      <c r="K5969" s="15"/>
      <c r="L5969" s="15"/>
      <c r="M5969" s="16"/>
      <c r="N5969" s="16"/>
      <c r="O5969" s="17"/>
      <c r="P5969" s="17"/>
      <c r="Q5969" s="13"/>
      <c r="R5969" s="13"/>
      <c r="S5969" s="13"/>
      <c r="T5969" s="13"/>
      <c r="U5969" s="13"/>
      <c r="V5969" s="13"/>
      <c r="W5969" s="13"/>
      <c r="X5969" s="13"/>
      <c r="Y5969" s="13"/>
      <c r="Z5969" s="13"/>
      <c r="AA5969" s="13"/>
      <c r="AB5969" s="13"/>
      <c r="AC5969" s="13"/>
      <c r="AD5969" s="13"/>
      <c r="AE5969" s="13"/>
      <c r="AF5969" s="13"/>
      <c r="AG5969" s="13"/>
      <c r="AH5969" s="13"/>
      <c r="AI5969" s="13"/>
      <c r="AJ5969" s="13"/>
      <c r="AK5969" s="13"/>
      <c r="AL5969" s="13"/>
      <c r="AM5969" s="13"/>
      <c r="AN5969" s="13"/>
      <c r="AO5969" s="13"/>
      <c r="AP5969" s="13"/>
      <c r="AQ5969" s="13"/>
      <c r="AR5969" s="13"/>
      <c r="AS5969" s="13"/>
    </row>
    <row r="5970" ht="14.25" customHeight="1">
      <c r="A5970" s="13"/>
      <c r="B5970" s="13"/>
      <c r="C5970" s="13"/>
      <c r="D5970" s="13"/>
      <c r="E5970" s="13"/>
      <c r="F5970" s="13"/>
      <c r="G5970" s="13"/>
      <c r="H5970" s="13"/>
      <c r="I5970" s="13"/>
      <c r="J5970" s="13"/>
      <c r="K5970" s="15"/>
      <c r="L5970" s="15"/>
      <c r="M5970" s="16"/>
      <c r="N5970" s="16"/>
      <c r="O5970" s="17"/>
      <c r="P5970" s="17"/>
      <c r="Q5970" s="13"/>
      <c r="R5970" s="13"/>
      <c r="S5970" s="13"/>
      <c r="T5970" s="13"/>
      <c r="U5970" s="13"/>
      <c r="V5970" s="13"/>
      <c r="W5970" s="13"/>
      <c r="X5970" s="13"/>
      <c r="Y5970" s="13"/>
      <c r="Z5970" s="13"/>
      <c r="AA5970" s="13"/>
      <c r="AB5970" s="13"/>
      <c r="AC5970" s="13"/>
      <c r="AD5970" s="13"/>
      <c r="AE5970" s="13"/>
      <c r="AF5970" s="13"/>
      <c r="AG5970" s="13"/>
      <c r="AH5970" s="13"/>
      <c r="AI5970" s="13"/>
      <c r="AJ5970" s="13"/>
      <c r="AK5970" s="13"/>
      <c r="AL5970" s="13"/>
      <c r="AM5970" s="13"/>
      <c r="AN5970" s="13"/>
      <c r="AO5970" s="13"/>
      <c r="AP5970" s="13"/>
      <c r="AQ5970" s="13"/>
      <c r="AR5970" s="13"/>
      <c r="AS5970" s="13"/>
    </row>
    <row r="5971" ht="14.25" customHeight="1">
      <c r="A5971" s="13"/>
      <c r="B5971" s="13"/>
      <c r="C5971" s="13"/>
      <c r="D5971" s="13"/>
      <c r="E5971" s="13"/>
      <c r="F5971" s="13"/>
      <c r="G5971" s="13"/>
      <c r="H5971" s="13"/>
      <c r="I5971" s="13"/>
      <c r="J5971" s="13"/>
      <c r="K5971" s="15"/>
      <c r="L5971" s="15"/>
      <c r="M5971" s="16"/>
      <c r="N5971" s="16"/>
      <c r="O5971" s="17"/>
      <c r="P5971" s="17"/>
      <c r="Q5971" s="13"/>
      <c r="R5971" s="13"/>
      <c r="S5971" s="13"/>
      <c r="T5971" s="13"/>
      <c r="U5971" s="13"/>
      <c r="V5971" s="13"/>
      <c r="W5971" s="13"/>
      <c r="X5971" s="13"/>
      <c r="Y5971" s="13"/>
      <c r="Z5971" s="13"/>
      <c r="AA5971" s="13"/>
      <c r="AB5971" s="13"/>
      <c r="AC5971" s="13"/>
      <c r="AD5971" s="13"/>
      <c r="AE5971" s="13"/>
      <c r="AF5971" s="13"/>
      <c r="AG5971" s="13"/>
      <c r="AH5971" s="13"/>
      <c r="AI5971" s="13"/>
      <c r="AJ5971" s="13"/>
      <c r="AK5971" s="13"/>
      <c r="AL5971" s="13"/>
      <c r="AM5971" s="13"/>
      <c r="AN5971" s="13"/>
      <c r="AO5971" s="13"/>
      <c r="AP5971" s="13"/>
      <c r="AQ5971" s="13"/>
      <c r="AR5971" s="13"/>
      <c r="AS5971" s="13"/>
    </row>
    <row r="5972" ht="14.25" customHeight="1">
      <c r="A5972" s="13"/>
      <c r="B5972" s="13"/>
      <c r="C5972" s="13"/>
      <c r="D5972" s="13"/>
      <c r="E5972" s="13"/>
      <c r="F5972" s="13"/>
      <c r="G5972" s="13"/>
      <c r="H5972" s="13"/>
      <c r="I5972" s="13"/>
      <c r="J5972" s="13"/>
      <c r="K5972" s="15"/>
      <c r="L5972" s="15"/>
      <c r="M5972" s="16"/>
      <c r="N5972" s="16"/>
      <c r="O5972" s="17"/>
      <c r="P5972" s="17"/>
      <c r="Q5972" s="13"/>
      <c r="R5972" s="13"/>
      <c r="S5972" s="13"/>
      <c r="T5972" s="13"/>
      <c r="U5972" s="13"/>
      <c r="V5972" s="13"/>
      <c r="W5972" s="13"/>
      <c r="X5972" s="13"/>
      <c r="Y5972" s="13"/>
      <c r="Z5972" s="13"/>
      <c r="AA5972" s="13"/>
      <c r="AB5972" s="13"/>
      <c r="AC5972" s="13"/>
      <c r="AD5972" s="13"/>
      <c r="AE5972" s="13"/>
      <c r="AF5972" s="13"/>
      <c r="AG5972" s="13"/>
      <c r="AH5972" s="13"/>
      <c r="AI5972" s="13"/>
      <c r="AJ5972" s="13"/>
      <c r="AK5972" s="13"/>
      <c r="AL5972" s="13"/>
      <c r="AM5972" s="13"/>
      <c r="AN5972" s="13"/>
      <c r="AO5972" s="13"/>
      <c r="AP5972" s="13"/>
      <c r="AQ5972" s="13"/>
      <c r="AR5972" s="13"/>
      <c r="AS5972" s="13"/>
    </row>
    <row r="5973" ht="14.25" customHeight="1">
      <c r="A5973" s="13"/>
      <c r="B5973" s="13"/>
      <c r="C5973" s="13"/>
      <c r="D5973" s="13"/>
      <c r="E5973" s="13"/>
      <c r="F5973" s="13"/>
      <c r="G5973" s="13"/>
      <c r="H5973" s="13"/>
      <c r="I5973" s="13"/>
      <c r="J5973" s="13"/>
      <c r="K5973" s="15"/>
      <c r="L5973" s="15"/>
      <c r="M5973" s="16"/>
      <c r="N5973" s="16"/>
      <c r="O5973" s="17"/>
      <c r="P5973" s="17"/>
      <c r="Q5973" s="13"/>
      <c r="R5973" s="13"/>
      <c r="S5973" s="13"/>
      <c r="T5973" s="13"/>
      <c r="U5973" s="13"/>
      <c r="V5973" s="13"/>
      <c r="W5973" s="13"/>
      <c r="X5973" s="13"/>
      <c r="Y5973" s="13"/>
      <c r="Z5973" s="13"/>
      <c r="AA5973" s="13"/>
      <c r="AB5973" s="13"/>
      <c r="AC5973" s="13"/>
      <c r="AD5973" s="13"/>
      <c r="AE5973" s="13"/>
      <c r="AF5973" s="13"/>
      <c r="AG5973" s="13"/>
      <c r="AH5973" s="13"/>
      <c r="AI5973" s="13"/>
      <c r="AJ5973" s="13"/>
      <c r="AK5973" s="13"/>
      <c r="AL5973" s="13"/>
      <c r="AM5973" s="13"/>
      <c r="AN5973" s="13"/>
      <c r="AO5973" s="13"/>
      <c r="AP5973" s="13"/>
      <c r="AQ5973" s="13"/>
      <c r="AR5973" s="13"/>
      <c r="AS5973" s="13"/>
    </row>
    <row r="5974" ht="14.25" customHeight="1">
      <c r="A5974" s="13"/>
      <c r="B5974" s="13"/>
      <c r="C5974" s="13"/>
      <c r="D5974" s="13"/>
      <c r="E5974" s="13"/>
      <c r="F5974" s="13"/>
      <c r="G5974" s="13"/>
      <c r="H5974" s="13"/>
      <c r="I5974" s="13"/>
      <c r="J5974" s="13"/>
      <c r="K5974" s="15"/>
      <c r="L5974" s="15"/>
      <c r="M5974" s="16"/>
      <c r="N5974" s="16"/>
      <c r="O5974" s="17"/>
      <c r="P5974" s="17"/>
      <c r="Q5974" s="13"/>
      <c r="R5974" s="13"/>
      <c r="S5974" s="13"/>
      <c r="T5974" s="13"/>
      <c r="U5974" s="13"/>
      <c r="V5974" s="13"/>
      <c r="W5974" s="13"/>
      <c r="X5974" s="13"/>
      <c r="Y5974" s="13"/>
      <c r="Z5974" s="13"/>
      <c r="AA5974" s="13"/>
      <c r="AB5974" s="13"/>
      <c r="AC5974" s="13"/>
      <c r="AD5974" s="13"/>
      <c r="AE5974" s="13"/>
      <c r="AF5974" s="13"/>
      <c r="AG5974" s="13"/>
      <c r="AH5974" s="13"/>
      <c r="AI5974" s="13"/>
      <c r="AJ5974" s="13"/>
      <c r="AK5974" s="13"/>
      <c r="AL5974" s="13"/>
      <c r="AM5974" s="13"/>
      <c r="AN5974" s="13"/>
      <c r="AO5974" s="13"/>
      <c r="AP5974" s="13"/>
      <c r="AQ5974" s="13"/>
      <c r="AR5974" s="13"/>
      <c r="AS5974" s="13"/>
    </row>
    <row r="5975" ht="14.25" customHeight="1">
      <c r="A5975" s="13"/>
      <c r="B5975" s="13"/>
      <c r="C5975" s="13"/>
      <c r="D5975" s="13"/>
      <c r="E5975" s="13"/>
      <c r="F5975" s="13"/>
      <c r="G5975" s="13"/>
      <c r="H5975" s="13"/>
      <c r="I5975" s="13"/>
      <c r="J5975" s="13"/>
      <c r="K5975" s="15"/>
      <c r="L5975" s="15"/>
      <c r="M5975" s="16"/>
      <c r="N5975" s="16"/>
      <c r="O5975" s="17"/>
      <c r="P5975" s="17"/>
      <c r="Q5975" s="13"/>
      <c r="R5975" s="13"/>
      <c r="S5975" s="13"/>
      <c r="T5975" s="13"/>
      <c r="U5975" s="13"/>
      <c r="V5975" s="13"/>
      <c r="W5975" s="13"/>
      <c r="X5975" s="13"/>
      <c r="Y5975" s="13"/>
      <c r="Z5975" s="13"/>
      <c r="AA5975" s="13"/>
      <c r="AB5975" s="13"/>
      <c r="AC5975" s="13"/>
      <c r="AD5975" s="13"/>
      <c r="AE5975" s="13"/>
      <c r="AF5975" s="13"/>
      <c r="AG5975" s="13"/>
      <c r="AH5975" s="13"/>
      <c r="AI5975" s="13"/>
      <c r="AJ5975" s="13"/>
      <c r="AK5975" s="13"/>
      <c r="AL5975" s="13"/>
      <c r="AM5975" s="13"/>
      <c r="AN5975" s="13"/>
      <c r="AO5975" s="13"/>
      <c r="AP5975" s="13"/>
      <c r="AQ5975" s="13"/>
      <c r="AR5975" s="13"/>
      <c r="AS5975" s="13"/>
    </row>
    <row r="5976" ht="14.25" customHeight="1">
      <c r="A5976" s="13"/>
      <c r="B5976" s="13"/>
      <c r="C5976" s="13"/>
      <c r="D5976" s="13"/>
      <c r="E5976" s="13"/>
      <c r="F5976" s="13"/>
      <c r="G5976" s="13"/>
      <c r="H5976" s="13"/>
      <c r="I5976" s="13"/>
      <c r="J5976" s="13"/>
      <c r="K5976" s="15"/>
      <c r="L5976" s="15"/>
      <c r="M5976" s="16"/>
      <c r="N5976" s="16"/>
      <c r="O5976" s="17"/>
      <c r="P5976" s="17"/>
      <c r="Q5976" s="13"/>
      <c r="R5976" s="13"/>
      <c r="S5976" s="13"/>
      <c r="T5976" s="13"/>
      <c r="U5976" s="13"/>
      <c r="V5976" s="13"/>
      <c r="W5976" s="13"/>
      <c r="X5976" s="13"/>
      <c r="Y5976" s="13"/>
      <c r="Z5976" s="13"/>
      <c r="AA5976" s="13"/>
      <c r="AB5976" s="13"/>
      <c r="AC5976" s="13"/>
      <c r="AD5976" s="13"/>
      <c r="AE5976" s="13"/>
      <c r="AF5976" s="13"/>
      <c r="AG5976" s="13"/>
      <c r="AH5976" s="13"/>
      <c r="AI5976" s="13"/>
      <c r="AJ5976" s="13"/>
      <c r="AK5976" s="13"/>
      <c r="AL5976" s="13"/>
      <c r="AM5976" s="13"/>
      <c r="AN5976" s="13"/>
      <c r="AO5976" s="13"/>
      <c r="AP5976" s="13"/>
      <c r="AQ5976" s="13"/>
      <c r="AR5976" s="13"/>
      <c r="AS5976" s="13"/>
    </row>
    <row r="5977" ht="14.25" customHeight="1">
      <c r="A5977" s="13"/>
      <c r="B5977" s="13"/>
      <c r="C5977" s="13"/>
      <c r="D5977" s="13"/>
      <c r="E5977" s="13"/>
      <c r="F5977" s="13"/>
      <c r="G5977" s="13"/>
      <c r="H5977" s="13"/>
      <c r="I5977" s="13"/>
      <c r="J5977" s="13"/>
      <c r="K5977" s="15"/>
      <c r="L5977" s="15"/>
      <c r="M5977" s="16"/>
      <c r="N5977" s="16"/>
      <c r="O5977" s="17"/>
      <c r="P5977" s="17"/>
      <c r="Q5977" s="13"/>
      <c r="R5977" s="13"/>
      <c r="S5977" s="13"/>
      <c r="T5977" s="13"/>
      <c r="U5977" s="13"/>
      <c r="V5977" s="13"/>
      <c r="W5977" s="13"/>
      <c r="X5977" s="13"/>
      <c r="Y5977" s="13"/>
      <c r="Z5977" s="13"/>
      <c r="AA5977" s="13"/>
      <c r="AB5977" s="13"/>
      <c r="AC5977" s="13"/>
      <c r="AD5977" s="13"/>
      <c r="AE5977" s="13"/>
      <c r="AF5977" s="13"/>
      <c r="AG5977" s="13"/>
      <c r="AH5977" s="13"/>
      <c r="AI5977" s="13"/>
      <c r="AJ5977" s="13"/>
      <c r="AK5977" s="13"/>
      <c r="AL5977" s="13"/>
      <c r="AM5977" s="13"/>
      <c r="AN5977" s="13"/>
      <c r="AO5977" s="13"/>
      <c r="AP5977" s="13"/>
      <c r="AQ5977" s="13"/>
      <c r="AR5977" s="13"/>
      <c r="AS5977" s="13"/>
    </row>
    <row r="5978" ht="14.25" customHeight="1">
      <c r="A5978" s="13"/>
      <c r="B5978" s="13"/>
      <c r="C5978" s="13"/>
      <c r="D5978" s="13"/>
      <c r="E5978" s="13"/>
      <c r="F5978" s="13"/>
      <c r="G5978" s="13"/>
      <c r="H5978" s="13"/>
      <c r="I5978" s="13"/>
      <c r="J5978" s="13"/>
      <c r="K5978" s="15"/>
      <c r="L5978" s="15"/>
      <c r="M5978" s="16"/>
      <c r="N5978" s="16"/>
      <c r="O5978" s="17"/>
      <c r="P5978" s="17"/>
      <c r="Q5978" s="13"/>
      <c r="R5978" s="13"/>
      <c r="S5978" s="13"/>
      <c r="T5978" s="13"/>
      <c r="U5978" s="13"/>
      <c r="V5978" s="13"/>
      <c r="W5978" s="13"/>
      <c r="X5978" s="13"/>
      <c r="Y5978" s="13"/>
      <c r="Z5978" s="13"/>
      <c r="AA5978" s="13"/>
      <c r="AB5978" s="13"/>
      <c r="AC5978" s="13"/>
      <c r="AD5978" s="13"/>
      <c r="AE5978" s="13"/>
      <c r="AF5978" s="13"/>
      <c r="AG5978" s="13"/>
      <c r="AH5978" s="13"/>
      <c r="AI5978" s="13"/>
      <c r="AJ5978" s="13"/>
      <c r="AK5978" s="13"/>
      <c r="AL5978" s="13"/>
      <c r="AM5978" s="13"/>
      <c r="AN5978" s="13"/>
      <c r="AO5978" s="13"/>
      <c r="AP5978" s="13"/>
      <c r="AQ5978" s="13"/>
      <c r="AR5978" s="13"/>
      <c r="AS5978" s="13"/>
    </row>
    <row r="5979" ht="14.25" customHeight="1">
      <c r="A5979" s="13"/>
      <c r="B5979" s="13"/>
      <c r="C5979" s="13"/>
      <c r="D5979" s="13"/>
      <c r="E5979" s="13"/>
      <c r="F5979" s="13"/>
      <c r="G5979" s="13"/>
      <c r="H5979" s="13"/>
      <c r="I5979" s="13"/>
      <c r="J5979" s="13"/>
      <c r="K5979" s="15"/>
      <c r="L5979" s="15"/>
      <c r="M5979" s="16"/>
      <c r="N5979" s="16"/>
      <c r="O5979" s="17"/>
      <c r="P5979" s="17"/>
      <c r="Q5979" s="13"/>
      <c r="R5979" s="13"/>
      <c r="S5979" s="13"/>
      <c r="T5979" s="13"/>
      <c r="U5979" s="13"/>
      <c r="V5979" s="13"/>
      <c r="W5979" s="13"/>
      <c r="X5979" s="13"/>
      <c r="Y5979" s="13"/>
      <c r="Z5979" s="13"/>
      <c r="AA5979" s="13"/>
      <c r="AB5979" s="13"/>
      <c r="AC5979" s="13"/>
      <c r="AD5979" s="13"/>
      <c r="AE5979" s="13"/>
      <c r="AF5979" s="13"/>
      <c r="AG5979" s="13"/>
      <c r="AH5979" s="13"/>
      <c r="AI5979" s="13"/>
      <c r="AJ5979" s="13"/>
      <c r="AK5979" s="13"/>
      <c r="AL5979" s="13"/>
      <c r="AM5979" s="13"/>
      <c r="AN5979" s="13"/>
      <c r="AO5979" s="13"/>
      <c r="AP5979" s="13"/>
      <c r="AQ5979" s="13"/>
      <c r="AR5979" s="13"/>
      <c r="AS5979" s="13"/>
    </row>
    <row r="5980" ht="14.25" customHeight="1">
      <c r="A5980" s="13"/>
      <c r="B5980" s="13"/>
      <c r="C5980" s="13"/>
      <c r="D5980" s="13"/>
      <c r="E5980" s="13"/>
      <c r="F5980" s="13"/>
      <c r="G5980" s="13"/>
      <c r="H5980" s="13"/>
      <c r="I5980" s="13"/>
      <c r="J5980" s="13"/>
      <c r="K5980" s="15"/>
      <c r="L5980" s="15"/>
      <c r="M5980" s="16"/>
      <c r="N5980" s="16"/>
      <c r="O5980" s="17"/>
      <c r="P5980" s="17"/>
      <c r="Q5980" s="13"/>
      <c r="R5980" s="13"/>
      <c r="S5980" s="13"/>
      <c r="T5980" s="13"/>
      <c r="U5980" s="13"/>
      <c r="V5980" s="13"/>
      <c r="W5980" s="13"/>
      <c r="X5980" s="13"/>
      <c r="Y5980" s="13"/>
      <c r="Z5980" s="13"/>
      <c r="AA5980" s="13"/>
      <c r="AB5980" s="13"/>
      <c r="AC5980" s="13"/>
      <c r="AD5980" s="13"/>
      <c r="AE5980" s="13"/>
      <c r="AF5980" s="13"/>
      <c r="AG5980" s="13"/>
      <c r="AH5980" s="13"/>
      <c r="AI5980" s="13"/>
      <c r="AJ5980" s="13"/>
      <c r="AK5980" s="13"/>
      <c r="AL5980" s="13"/>
      <c r="AM5980" s="13"/>
      <c r="AN5980" s="13"/>
      <c r="AO5980" s="13"/>
      <c r="AP5980" s="13"/>
      <c r="AQ5980" s="13"/>
      <c r="AR5980" s="13"/>
      <c r="AS5980" s="13"/>
    </row>
    <row r="5981" ht="14.25" customHeight="1">
      <c r="A5981" s="13"/>
      <c r="B5981" s="13"/>
      <c r="C5981" s="13"/>
      <c r="D5981" s="13"/>
      <c r="E5981" s="13"/>
      <c r="F5981" s="13"/>
      <c r="G5981" s="13"/>
      <c r="H5981" s="13"/>
      <c r="I5981" s="13"/>
      <c r="J5981" s="13"/>
      <c r="K5981" s="15"/>
      <c r="L5981" s="15"/>
      <c r="M5981" s="16"/>
      <c r="N5981" s="16"/>
      <c r="O5981" s="17"/>
      <c r="P5981" s="17"/>
      <c r="Q5981" s="13"/>
      <c r="R5981" s="13"/>
      <c r="S5981" s="13"/>
      <c r="T5981" s="13"/>
      <c r="U5981" s="13"/>
      <c r="V5981" s="13"/>
      <c r="W5981" s="13"/>
      <c r="X5981" s="13"/>
      <c r="Y5981" s="13"/>
      <c r="Z5981" s="13"/>
      <c r="AA5981" s="13"/>
      <c r="AB5981" s="13"/>
      <c r="AC5981" s="13"/>
      <c r="AD5981" s="13"/>
      <c r="AE5981" s="13"/>
      <c r="AF5981" s="13"/>
      <c r="AG5981" s="13"/>
      <c r="AH5981" s="13"/>
      <c r="AI5981" s="13"/>
      <c r="AJ5981" s="13"/>
      <c r="AK5981" s="13"/>
      <c r="AL5981" s="13"/>
      <c r="AM5981" s="13"/>
      <c r="AN5981" s="13"/>
      <c r="AO5981" s="13"/>
      <c r="AP5981" s="13"/>
      <c r="AQ5981" s="13"/>
      <c r="AR5981" s="13"/>
      <c r="AS5981" s="13"/>
    </row>
    <row r="5982" ht="14.25" customHeight="1">
      <c r="A5982" s="13"/>
      <c r="B5982" s="13"/>
      <c r="C5982" s="13"/>
      <c r="D5982" s="13"/>
      <c r="E5982" s="13"/>
      <c r="F5982" s="13"/>
      <c r="G5982" s="13"/>
      <c r="H5982" s="13"/>
      <c r="I5982" s="13"/>
      <c r="J5982" s="13"/>
      <c r="K5982" s="15"/>
      <c r="L5982" s="15"/>
      <c r="M5982" s="16"/>
      <c r="N5982" s="16"/>
      <c r="O5982" s="17"/>
      <c r="P5982" s="17"/>
      <c r="Q5982" s="13"/>
      <c r="R5982" s="13"/>
      <c r="S5982" s="13"/>
      <c r="T5982" s="13"/>
      <c r="U5982" s="13"/>
      <c r="V5982" s="13"/>
      <c r="W5982" s="13"/>
      <c r="X5982" s="13"/>
      <c r="Y5982" s="13"/>
      <c r="Z5982" s="13"/>
      <c r="AA5982" s="13"/>
      <c r="AB5982" s="13"/>
      <c r="AC5982" s="13"/>
      <c r="AD5982" s="13"/>
      <c r="AE5982" s="13"/>
      <c r="AF5982" s="13"/>
      <c r="AG5982" s="13"/>
      <c r="AH5982" s="13"/>
      <c r="AI5982" s="13"/>
      <c r="AJ5982" s="13"/>
      <c r="AK5982" s="13"/>
      <c r="AL5982" s="13"/>
      <c r="AM5982" s="13"/>
      <c r="AN5982" s="13"/>
      <c r="AO5982" s="13"/>
      <c r="AP5982" s="13"/>
      <c r="AQ5982" s="13"/>
      <c r="AR5982" s="13"/>
      <c r="AS5982" s="13"/>
    </row>
    <row r="5983" ht="14.25" customHeight="1">
      <c r="A5983" s="13"/>
      <c r="B5983" s="13"/>
      <c r="C5983" s="13"/>
      <c r="D5983" s="13"/>
      <c r="E5983" s="13"/>
      <c r="F5983" s="13"/>
      <c r="G5983" s="13"/>
      <c r="H5983" s="13"/>
      <c r="I5983" s="13"/>
      <c r="J5983" s="13"/>
      <c r="K5983" s="15"/>
      <c r="L5983" s="15"/>
      <c r="M5983" s="16"/>
      <c r="N5983" s="16"/>
      <c r="O5983" s="17"/>
      <c r="P5983" s="17"/>
      <c r="Q5983" s="13"/>
      <c r="R5983" s="13"/>
      <c r="S5983" s="13"/>
      <c r="T5983" s="13"/>
      <c r="U5983" s="13"/>
      <c r="V5983" s="13"/>
      <c r="W5983" s="13"/>
      <c r="X5983" s="13"/>
      <c r="Y5983" s="13"/>
      <c r="Z5983" s="13"/>
      <c r="AA5983" s="13"/>
      <c r="AB5983" s="13"/>
      <c r="AC5983" s="13"/>
      <c r="AD5983" s="13"/>
      <c r="AE5983" s="13"/>
      <c r="AF5983" s="13"/>
      <c r="AG5983" s="13"/>
      <c r="AH5983" s="13"/>
      <c r="AI5983" s="13"/>
      <c r="AJ5983" s="13"/>
      <c r="AK5983" s="13"/>
      <c r="AL5983" s="13"/>
      <c r="AM5983" s="13"/>
      <c r="AN5983" s="13"/>
      <c r="AO5983" s="13"/>
      <c r="AP5983" s="13"/>
      <c r="AQ5983" s="13"/>
      <c r="AR5983" s="13"/>
      <c r="AS5983" s="13"/>
    </row>
    <row r="5984" ht="14.25" customHeight="1">
      <c r="A5984" s="13"/>
      <c r="B5984" s="13"/>
      <c r="C5984" s="13"/>
      <c r="D5984" s="13"/>
      <c r="E5984" s="13"/>
      <c r="F5984" s="13"/>
      <c r="G5984" s="13"/>
      <c r="H5984" s="13"/>
      <c r="I5984" s="13"/>
      <c r="J5984" s="13"/>
      <c r="K5984" s="15"/>
      <c r="L5984" s="15"/>
      <c r="M5984" s="16"/>
      <c r="N5984" s="16"/>
      <c r="O5984" s="17"/>
      <c r="P5984" s="17"/>
      <c r="Q5984" s="13"/>
      <c r="R5984" s="13"/>
      <c r="S5984" s="13"/>
      <c r="T5984" s="13"/>
      <c r="U5984" s="13"/>
      <c r="V5984" s="13"/>
      <c r="W5984" s="13"/>
      <c r="X5984" s="13"/>
      <c r="Y5984" s="13"/>
      <c r="Z5984" s="13"/>
      <c r="AA5984" s="13"/>
      <c r="AB5984" s="13"/>
      <c r="AC5984" s="13"/>
      <c r="AD5984" s="13"/>
      <c r="AE5984" s="13"/>
      <c r="AF5984" s="13"/>
      <c r="AG5984" s="13"/>
      <c r="AH5984" s="13"/>
      <c r="AI5984" s="13"/>
      <c r="AJ5984" s="13"/>
      <c r="AK5984" s="13"/>
      <c r="AL5984" s="13"/>
      <c r="AM5984" s="13"/>
      <c r="AN5984" s="13"/>
      <c r="AO5984" s="13"/>
      <c r="AP5984" s="13"/>
      <c r="AQ5984" s="13"/>
      <c r="AR5984" s="13"/>
      <c r="AS5984" s="13"/>
    </row>
    <row r="5985" ht="14.25" customHeight="1">
      <c r="A5985" s="13"/>
      <c r="B5985" s="13"/>
      <c r="C5985" s="13"/>
      <c r="D5985" s="13"/>
      <c r="E5985" s="13"/>
      <c r="F5985" s="13"/>
      <c r="G5985" s="13"/>
      <c r="H5985" s="13"/>
      <c r="I5985" s="13"/>
      <c r="J5985" s="13"/>
      <c r="K5985" s="15"/>
      <c r="L5985" s="15"/>
      <c r="M5985" s="16"/>
      <c r="N5985" s="16"/>
      <c r="O5985" s="17"/>
      <c r="P5985" s="17"/>
      <c r="Q5985" s="13"/>
      <c r="R5985" s="13"/>
      <c r="S5985" s="13"/>
      <c r="T5985" s="13"/>
      <c r="U5985" s="13"/>
      <c r="V5985" s="13"/>
      <c r="W5985" s="13"/>
      <c r="X5985" s="13"/>
      <c r="Y5985" s="13"/>
      <c r="Z5985" s="13"/>
      <c r="AA5985" s="13"/>
      <c r="AB5985" s="13"/>
      <c r="AC5985" s="13"/>
      <c r="AD5985" s="13"/>
      <c r="AE5985" s="13"/>
      <c r="AF5985" s="13"/>
      <c r="AG5985" s="13"/>
      <c r="AH5985" s="13"/>
      <c r="AI5985" s="13"/>
      <c r="AJ5985" s="13"/>
      <c r="AK5985" s="13"/>
      <c r="AL5985" s="13"/>
      <c r="AM5985" s="13"/>
      <c r="AN5985" s="13"/>
      <c r="AO5985" s="13"/>
      <c r="AP5985" s="13"/>
      <c r="AQ5985" s="13"/>
      <c r="AR5985" s="13"/>
      <c r="AS5985" s="13"/>
    </row>
    <row r="5986" ht="14.25" customHeight="1">
      <c r="A5986" s="13"/>
      <c r="B5986" s="13"/>
      <c r="C5986" s="13"/>
      <c r="D5986" s="13"/>
      <c r="E5986" s="13"/>
      <c r="F5986" s="13"/>
      <c r="G5986" s="13"/>
      <c r="H5986" s="13"/>
      <c r="I5986" s="13"/>
      <c r="J5986" s="13"/>
      <c r="K5986" s="15"/>
      <c r="L5986" s="15"/>
      <c r="M5986" s="16"/>
      <c r="N5986" s="16"/>
      <c r="O5986" s="17"/>
      <c r="P5986" s="17"/>
      <c r="Q5986" s="13"/>
      <c r="R5986" s="13"/>
      <c r="S5986" s="13"/>
      <c r="T5986" s="13"/>
      <c r="U5986" s="13"/>
      <c r="V5986" s="13"/>
      <c r="W5986" s="13"/>
      <c r="X5986" s="13"/>
      <c r="Y5986" s="13"/>
      <c r="Z5986" s="13"/>
      <c r="AA5986" s="13"/>
      <c r="AB5986" s="13"/>
      <c r="AC5986" s="13"/>
      <c r="AD5986" s="13"/>
      <c r="AE5986" s="13"/>
      <c r="AF5986" s="13"/>
      <c r="AG5986" s="13"/>
      <c r="AH5986" s="13"/>
      <c r="AI5986" s="13"/>
      <c r="AJ5986" s="13"/>
      <c r="AK5986" s="13"/>
      <c r="AL5986" s="13"/>
      <c r="AM5986" s="13"/>
      <c r="AN5986" s="13"/>
      <c r="AO5986" s="13"/>
      <c r="AP5986" s="13"/>
      <c r="AQ5986" s="13"/>
      <c r="AR5986" s="13"/>
      <c r="AS5986" s="13"/>
    </row>
    <row r="5987" ht="14.25" customHeight="1">
      <c r="A5987" s="13"/>
      <c r="B5987" s="13"/>
      <c r="C5987" s="13"/>
      <c r="D5987" s="13"/>
      <c r="E5987" s="13"/>
      <c r="F5987" s="13"/>
      <c r="G5987" s="13"/>
      <c r="H5987" s="13"/>
      <c r="I5987" s="13"/>
      <c r="J5987" s="13"/>
      <c r="K5987" s="15"/>
      <c r="L5987" s="15"/>
      <c r="M5987" s="16"/>
      <c r="N5987" s="16"/>
      <c r="O5987" s="17"/>
      <c r="P5987" s="17"/>
      <c r="Q5987" s="13"/>
      <c r="R5987" s="13"/>
      <c r="S5987" s="13"/>
      <c r="T5987" s="13"/>
      <c r="U5987" s="13"/>
      <c r="V5987" s="13"/>
      <c r="W5987" s="13"/>
      <c r="X5987" s="13"/>
      <c r="Y5987" s="13"/>
      <c r="Z5987" s="13"/>
      <c r="AA5987" s="13"/>
      <c r="AB5987" s="13"/>
      <c r="AC5987" s="13"/>
      <c r="AD5987" s="13"/>
      <c r="AE5987" s="13"/>
      <c r="AF5987" s="13"/>
      <c r="AG5987" s="13"/>
      <c r="AH5987" s="13"/>
      <c r="AI5987" s="13"/>
      <c r="AJ5987" s="13"/>
      <c r="AK5987" s="13"/>
      <c r="AL5987" s="13"/>
      <c r="AM5987" s="13"/>
      <c r="AN5987" s="13"/>
      <c r="AO5987" s="13"/>
      <c r="AP5987" s="13"/>
      <c r="AQ5987" s="13"/>
      <c r="AR5987" s="13"/>
      <c r="AS5987" s="13"/>
    </row>
    <row r="5988" ht="14.25" customHeight="1">
      <c r="A5988" s="13"/>
      <c r="B5988" s="13"/>
      <c r="C5988" s="13"/>
      <c r="D5988" s="13"/>
      <c r="E5988" s="13"/>
      <c r="F5988" s="13"/>
      <c r="G5988" s="13"/>
      <c r="H5988" s="13"/>
      <c r="I5988" s="13"/>
      <c r="J5988" s="13"/>
      <c r="K5988" s="15"/>
      <c r="L5988" s="15"/>
      <c r="M5988" s="16"/>
      <c r="N5988" s="16"/>
      <c r="O5988" s="17"/>
      <c r="P5988" s="17"/>
      <c r="Q5988" s="13"/>
      <c r="R5988" s="13"/>
      <c r="S5988" s="13"/>
      <c r="T5988" s="13"/>
      <c r="U5988" s="13"/>
      <c r="V5988" s="13"/>
      <c r="W5988" s="13"/>
      <c r="X5988" s="13"/>
      <c r="Y5988" s="13"/>
      <c r="Z5988" s="13"/>
      <c r="AA5988" s="13"/>
      <c r="AB5988" s="13"/>
      <c r="AC5988" s="13"/>
      <c r="AD5988" s="13"/>
      <c r="AE5988" s="13"/>
      <c r="AF5988" s="13"/>
      <c r="AG5988" s="13"/>
      <c r="AH5988" s="13"/>
      <c r="AI5988" s="13"/>
      <c r="AJ5988" s="13"/>
      <c r="AK5988" s="13"/>
      <c r="AL5988" s="13"/>
      <c r="AM5988" s="13"/>
      <c r="AN5988" s="13"/>
      <c r="AO5988" s="13"/>
      <c r="AP5988" s="13"/>
      <c r="AQ5988" s="13"/>
      <c r="AR5988" s="13"/>
      <c r="AS5988" s="13"/>
    </row>
    <row r="5989" ht="14.25" customHeight="1">
      <c r="A5989" s="13"/>
      <c r="B5989" s="13"/>
      <c r="C5989" s="13"/>
      <c r="D5989" s="13"/>
      <c r="E5989" s="13"/>
      <c r="F5989" s="13"/>
      <c r="G5989" s="13"/>
      <c r="H5989" s="13"/>
      <c r="I5989" s="13"/>
      <c r="J5989" s="13"/>
      <c r="K5989" s="15"/>
      <c r="L5989" s="15"/>
      <c r="M5989" s="16"/>
      <c r="N5989" s="16"/>
      <c r="O5989" s="17"/>
      <c r="P5989" s="17"/>
      <c r="Q5989" s="13"/>
      <c r="R5989" s="13"/>
      <c r="S5989" s="13"/>
      <c r="T5989" s="13"/>
      <c r="U5989" s="13"/>
      <c r="V5989" s="13"/>
      <c r="W5989" s="13"/>
      <c r="X5989" s="13"/>
      <c r="Y5989" s="13"/>
      <c r="Z5989" s="13"/>
      <c r="AA5989" s="13"/>
      <c r="AB5989" s="13"/>
      <c r="AC5989" s="13"/>
      <c r="AD5989" s="13"/>
      <c r="AE5989" s="13"/>
      <c r="AF5989" s="13"/>
      <c r="AG5989" s="13"/>
      <c r="AH5989" s="13"/>
      <c r="AI5989" s="13"/>
      <c r="AJ5989" s="13"/>
      <c r="AK5989" s="13"/>
      <c r="AL5989" s="13"/>
      <c r="AM5989" s="13"/>
      <c r="AN5989" s="13"/>
      <c r="AO5989" s="13"/>
      <c r="AP5989" s="13"/>
      <c r="AQ5989" s="13"/>
      <c r="AR5989" s="13"/>
      <c r="AS5989" s="13"/>
    </row>
    <row r="5990" ht="14.25" customHeight="1">
      <c r="A5990" s="13"/>
      <c r="B5990" s="13"/>
      <c r="C5990" s="13"/>
      <c r="D5990" s="13"/>
      <c r="E5990" s="13"/>
      <c r="F5990" s="13"/>
      <c r="G5990" s="13"/>
      <c r="H5990" s="13"/>
      <c r="I5990" s="13"/>
      <c r="J5990" s="13"/>
      <c r="K5990" s="15"/>
      <c r="L5990" s="15"/>
      <c r="M5990" s="16"/>
      <c r="N5990" s="16"/>
      <c r="O5990" s="17"/>
      <c r="P5990" s="17"/>
      <c r="Q5990" s="13"/>
      <c r="R5990" s="13"/>
      <c r="S5990" s="13"/>
      <c r="T5990" s="13"/>
      <c r="U5990" s="13"/>
      <c r="V5990" s="13"/>
      <c r="W5990" s="13"/>
      <c r="X5990" s="13"/>
      <c r="Y5990" s="13"/>
      <c r="Z5990" s="13"/>
      <c r="AA5990" s="13"/>
      <c r="AB5990" s="13"/>
      <c r="AC5990" s="13"/>
      <c r="AD5990" s="13"/>
      <c r="AE5990" s="13"/>
      <c r="AF5990" s="13"/>
      <c r="AG5990" s="13"/>
      <c r="AH5990" s="13"/>
      <c r="AI5990" s="13"/>
      <c r="AJ5990" s="13"/>
      <c r="AK5990" s="13"/>
      <c r="AL5990" s="13"/>
      <c r="AM5990" s="13"/>
      <c r="AN5990" s="13"/>
      <c r="AO5990" s="13"/>
      <c r="AP5990" s="13"/>
      <c r="AQ5990" s="13"/>
      <c r="AR5990" s="13"/>
      <c r="AS5990" s="13"/>
    </row>
    <row r="5991" ht="14.25" customHeight="1">
      <c r="A5991" s="13"/>
      <c r="B5991" s="13"/>
      <c r="C5991" s="13"/>
      <c r="D5991" s="13"/>
      <c r="E5991" s="13"/>
      <c r="F5991" s="13"/>
      <c r="G5991" s="13"/>
      <c r="H5991" s="13"/>
      <c r="I5991" s="13"/>
      <c r="J5991" s="13"/>
      <c r="K5991" s="15"/>
      <c r="L5991" s="15"/>
      <c r="M5991" s="16"/>
      <c r="N5991" s="16"/>
      <c r="O5991" s="17"/>
      <c r="P5991" s="17"/>
      <c r="Q5991" s="13"/>
      <c r="R5991" s="13"/>
      <c r="S5991" s="13"/>
      <c r="T5991" s="13"/>
      <c r="U5991" s="13"/>
      <c r="V5991" s="13"/>
      <c r="W5991" s="13"/>
      <c r="X5991" s="13"/>
      <c r="Y5991" s="13"/>
      <c r="Z5991" s="13"/>
      <c r="AA5991" s="13"/>
      <c r="AB5991" s="13"/>
      <c r="AC5991" s="13"/>
      <c r="AD5991" s="13"/>
      <c r="AE5991" s="13"/>
      <c r="AF5991" s="13"/>
      <c r="AG5991" s="13"/>
      <c r="AH5991" s="13"/>
      <c r="AI5991" s="13"/>
      <c r="AJ5991" s="13"/>
      <c r="AK5991" s="13"/>
      <c r="AL5991" s="13"/>
      <c r="AM5991" s="13"/>
      <c r="AN5991" s="13"/>
      <c r="AO5991" s="13"/>
      <c r="AP5991" s="13"/>
      <c r="AQ5991" s="13"/>
      <c r="AR5991" s="13"/>
      <c r="AS5991" s="13"/>
    </row>
    <row r="5992" ht="14.25" customHeight="1">
      <c r="A5992" s="13"/>
      <c r="B5992" s="13"/>
      <c r="C5992" s="13"/>
      <c r="D5992" s="13"/>
      <c r="E5992" s="13"/>
      <c r="F5992" s="13"/>
      <c r="G5992" s="13"/>
      <c r="H5992" s="13"/>
      <c r="I5992" s="13"/>
      <c r="J5992" s="13"/>
      <c r="K5992" s="15"/>
      <c r="L5992" s="15"/>
      <c r="M5992" s="16"/>
      <c r="N5992" s="16"/>
      <c r="O5992" s="17"/>
      <c r="P5992" s="17"/>
      <c r="Q5992" s="13"/>
      <c r="R5992" s="13"/>
      <c r="S5992" s="13"/>
      <c r="T5992" s="13"/>
      <c r="U5992" s="13"/>
      <c r="V5992" s="13"/>
      <c r="W5992" s="13"/>
      <c r="X5992" s="13"/>
      <c r="Y5992" s="13"/>
      <c r="Z5992" s="13"/>
      <c r="AA5992" s="13"/>
      <c r="AB5992" s="13"/>
      <c r="AC5992" s="13"/>
      <c r="AD5992" s="13"/>
      <c r="AE5992" s="13"/>
      <c r="AF5992" s="13"/>
      <c r="AG5992" s="13"/>
      <c r="AH5992" s="13"/>
      <c r="AI5992" s="13"/>
      <c r="AJ5992" s="13"/>
      <c r="AK5992" s="13"/>
      <c r="AL5992" s="13"/>
      <c r="AM5992" s="13"/>
      <c r="AN5992" s="13"/>
      <c r="AO5992" s="13"/>
      <c r="AP5992" s="13"/>
      <c r="AQ5992" s="13"/>
      <c r="AR5992" s="13"/>
      <c r="AS5992" s="13"/>
    </row>
    <row r="5993" ht="14.25" customHeight="1">
      <c r="A5993" s="13"/>
      <c r="B5993" s="13"/>
      <c r="C5993" s="13"/>
      <c r="D5993" s="13"/>
      <c r="E5993" s="13"/>
      <c r="F5993" s="13"/>
      <c r="G5993" s="13"/>
      <c r="H5993" s="13"/>
      <c r="I5993" s="13"/>
      <c r="J5993" s="13"/>
      <c r="K5993" s="15"/>
      <c r="L5993" s="15"/>
      <c r="M5993" s="16"/>
      <c r="N5993" s="16"/>
      <c r="O5993" s="17"/>
      <c r="P5993" s="17"/>
      <c r="Q5993" s="13"/>
      <c r="R5993" s="13"/>
      <c r="S5993" s="13"/>
      <c r="T5993" s="13"/>
      <c r="U5993" s="13"/>
      <c r="V5993" s="13"/>
      <c r="W5993" s="13"/>
      <c r="X5993" s="13"/>
      <c r="Y5993" s="13"/>
      <c r="Z5993" s="13"/>
      <c r="AA5993" s="13"/>
      <c r="AB5993" s="13"/>
      <c r="AC5993" s="13"/>
      <c r="AD5993" s="13"/>
      <c r="AE5993" s="13"/>
      <c r="AF5993" s="13"/>
      <c r="AG5993" s="13"/>
      <c r="AH5993" s="13"/>
      <c r="AI5993" s="13"/>
      <c r="AJ5993" s="13"/>
      <c r="AK5993" s="13"/>
      <c r="AL5993" s="13"/>
      <c r="AM5993" s="13"/>
      <c r="AN5993" s="13"/>
      <c r="AO5993" s="13"/>
      <c r="AP5993" s="13"/>
      <c r="AQ5993" s="13"/>
      <c r="AR5993" s="13"/>
      <c r="AS5993" s="13"/>
    </row>
    <row r="5994" ht="14.25" customHeight="1">
      <c r="A5994" s="13"/>
      <c r="B5994" s="13"/>
      <c r="C5994" s="13"/>
      <c r="D5994" s="13"/>
      <c r="E5994" s="13"/>
      <c r="F5994" s="13"/>
      <c r="G5994" s="13"/>
      <c r="H5994" s="13"/>
      <c r="I5994" s="13"/>
      <c r="J5994" s="13"/>
      <c r="K5994" s="15"/>
      <c r="L5994" s="15"/>
      <c r="M5994" s="16"/>
      <c r="N5994" s="16"/>
      <c r="O5994" s="17"/>
      <c r="P5994" s="17"/>
      <c r="Q5994" s="13"/>
      <c r="R5994" s="13"/>
      <c r="S5994" s="13"/>
      <c r="T5994" s="13"/>
      <c r="U5994" s="13"/>
      <c r="V5994" s="13"/>
      <c r="W5994" s="13"/>
      <c r="X5994" s="13"/>
      <c r="Y5994" s="13"/>
      <c r="Z5994" s="13"/>
      <c r="AA5994" s="13"/>
      <c r="AB5994" s="13"/>
      <c r="AC5994" s="13"/>
      <c r="AD5994" s="13"/>
      <c r="AE5994" s="13"/>
      <c r="AF5994" s="13"/>
      <c r="AG5994" s="13"/>
      <c r="AH5994" s="13"/>
      <c r="AI5994" s="13"/>
      <c r="AJ5994" s="13"/>
      <c r="AK5994" s="13"/>
      <c r="AL5994" s="13"/>
      <c r="AM5994" s="13"/>
      <c r="AN5994" s="13"/>
      <c r="AO5994" s="13"/>
      <c r="AP5994" s="13"/>
      <c r="AQ5994" s="13"/>
      <c r="AR5994" s="13"/>
      <c r="AS5994" s="13"/>
    </row>
    <row r="5995" ht="14.25" customHeight="1">
      <c r="A5995" s="13"/>
      <c r="B5995" s="13"/>
      <c r="C5995" s="13"/>
      <c r="D5995" s="13"/>
      <c r="E5995" s="13"/>
      <c r="F5995" s="13"/>
      <c r="G5995" s="13"/>
      <c r="H5995" s="13"/>
      <c r="I5995" s="13"/>
      <c r="J5995" s="13"/>
      <c r="K5995" s="15"/>
      <c r="L5995" s="15"/>
      <c r="M5995" s="16"/>
      <c r="N5995" s="16"/>
      <c r="O5995" s="17"/>
      <c r="P5995" s="17"/>
      <c r="Q5995" s="13"/>
      <c r="R5995" s="13"/>
      <c r="S5995" s="13"/>
      <c r="T5995" s="13"/>
      <c r="U5995" s="13"/>
      <c r="V5995" s="13"/>
      <c r="W5995" s="13"/>
      <c r="X5995" s="13"/>
      <c r="Y5995" s="13"/>
      <c r="Z5995" s="13"/>
      <c r="AA5995" s="13"/>
      <c r="AB5995" s="13"/>
      <c r="AC5995" s="13"/>
      <c r="AD5995" s="13"/>
      <c r="AE5995" s="13"/>
      <c r="AF5995" s="13"/>
      <c r="AG5995" s="13"/>
      <c r="AH5995" s="13"/>
      <c r="AI5995" s="13"/>
      <c r="AJ5995" s="13"/>
      <c r="AK5995" s="13"/>
      <c r="AL5995" s="13"/>
      <c r="AM5995" s="13"/>
      <c r="AN5995" s="13"/>
      <c r="AO5995" s="13"/>
      <c r="AP5995" s="13"/>
      <c r="AQ5995" s="13"/>
      <c r="AR5995" s="13"/>
      <c r="AS5995" s="13"/>
    </row>
    <row r="5996" ht="14.25" customHeight="1">
      <c r="A5996" s="13"/>
      <c r="B5996" s="13"/>
      <c r="C5996" s="13"/>
      <c r="D5996" s="13"/>
      <c r="E5996" s="13"/>
      <c r="F5996" s="13"/>
      <c r="G5996" s="13"/>
      <c r="H5996" s="13"/>
      <c r="I5996" s="13"/>
      <c r="J5996" s="13"/>
      <c r="K5996" s="15"/>
      <c r="L5996" s="15"/>
      <c r="M5996" s="16"/>
      <c r="N5996" s="16"/>
      <c r="O5996" s="17"/>
      <c r="P5996" s="17"/>
      <c r="Q5996" s="13"/>
      <c r="R5996" s="13"/>
      <c r="S5996" s="13"/>
      <c r="T5996" s="13"/>
      <c r="U5996" s="13"/>
      <c r="V5996" s="13"/>
      <c r="W5996" s="13"/>
      <c r="X5996" s="13"/>
      <c r="Y5996" s="13"/>
      <c r="Z5996" s="13"/>
      <c r="AA5996" s="13"/>
      <c r="AB5996" s="13"/>
      <c r="AC5996" s="13"/>
      <c r="AD5996" s="13"/>
      <c r="AE5996" s="13"/>
      <c r="AF5996" s="13"/>
      <c r="AG5996" s="13"/>
      <c r="AH5996" s="13"/>
      <c r="AI5996" s="13"/>
      <c r="AJ5996" s="13"/>
      <c r="AK5996" s="13"/>
      <c r="AL5996" s="13"/>
      <c r="AM5996" s="13"/>
      <c r="AN5996" s="13"/>
      <c r="AO5996" s="13"/>
      <c r="AP5996" s="13"/>
      <c r="AQ5996" s="13"/>
      <c r="AR5996" s="13"/>
      <c r="AS5996" s="13"/>
    </row>
    <row r="5997" ht="14.25" customHeight="1">
      <c r="A5997" s="13"/>
      <c r="B5997" s="13"/>
      <c r="C5997" s="13"/>
      <c r="D5997" s="13"/>
      <c r="E5997" s="13"/>
      <c r="F5997" s="13"/>
      <c r="G5997" s="13"/>
      <c r="H5997" s="13"/>
      <c r="I5997" s="13"/>
      <c r="J5997" s="13"/>
      <c r="K5997" s="15"/>
      <c r="L5997" s="15"/>
      <c r="M5997" s="16"/>
      <c r="N5997" s="16"/>
      <c r="O5997" s="17"/>
      <c r="P5997" s="17"/>
      <c r="Q5997" s="13"/>
      <c r="R5997" s="13"/>
      <c r="S5997" s="13"/>
      <c r="T5997" s="13"/>
      <c r="U5997" s="13"/>
      <c r="V5997" s="13"/>
      <c r="W5997" s="13"/>
      <c r="X5997" s="13"/>
      <c r="Y5997" s="13"/>
      <c r="Z5997" s="13"/>
      <c r="AA5997" s="13"/>
      <c r="AB5997" s="13"/>
      <c r="AC5997" s="13"/>
      <c r="AD5997" s="13"/>
      <c r="AE5997" s="13"/>
      <c r="AF5997" s="13"/>
      <c r="AG5997" s="13"/>
      <c r="AH5997" s="13"/>
      <c r="AI5997" s="13"/>
      <c r="AJ5997" s="13"/>
      <c r="AK5997" s="13"/>
      <c r="AL5997" s="13"/>
      <c r="AM5997" s="13"/>
      <c r="AN5997" s="13"/>
      <c r="AO5997" s="13"/>
      <c r="AP5997" s="13"/>
      <c r="AQ5997" s="13"/>
      <c r="AR5997" s="13"/>
      <c r="AS5997" s="13"/>
    </row>
    <row r="5998" ht="14.25" customHeight="1">
      <c r="A5998" s="13"/>
      <c r="B5998" s="13"/>
      <c r="C5998" s="13"/>
      <c r="D5998" s="13"/>
      <c r="E5998" s="13"/>
      <c r="F5998" s="13"/>
      <c r="G5998" s="13"/>
      <c r="H5998" s="13"/>
      <c r="I5998" s="13"/>
      <c r="J5998" s="13"/>
      <c r="K5998" s="15"/>
      <c r="L5998" s="15"/>
      <c r="M5998" s="16"/>
      <c r="N5998" s="16"/>
      <c r="O5998" s="17"/>
      <c r="P5998" s="17"/>
      <c r="Q5998" s="13"/>
      <c r="R5998" s="13"/>
      <c r="S5998" s="13"/>
      <c r="T5998" s="13"/>
      <c r="U5998" s="13"/>
      <c r="V5998" s="13"/>
      <c r="W5998" s="13"/>
      <c r="X5998" s="13"/>
      <c r="Y5998" s="13"/>
      <c r="Z5998" s="13"/>
      <c r="AA5998" s="13"/>
      <c r="AB5998" s="13"/>
      <c r="AC5998" s="13"/>
      <c r="AD5998" s="13"/>
      <c r="AE5998" s="13"/>
      <c r="AF5998" s="13"/>
      <c r="AG5998" s="13"/>
      <c r="AH5998" s="13"/>
      <c r="AI5998" s="13"/>
      <c r="AJ5998" s="13"/>
      <c r="AK5998" s="13"/>
      <c r="AL5998" s="13"/>
      <c r="AM5998" s="13"/>
      <c r="AN5998" s="13"/>
      <c r="AO5998" s="13"/>
      <c r="AP5998" s="13"/>
      <c r="AQ5998" s="13"/>
      <c r="AR5998" s="13"/>
      <c r="AS5998" s="13"/>
    </row>
    <row r="5999" ht="14.25" customHeight="1">
      <c r="A5999" s="13"/>
      <c r="B5999" s="13"/>
      <c r="C5999" s="13"/>
      <c r="D5999" s="13"/>
      <c r="E5999" s="13"/>
      <c r="F5999" s="13"/>
      <c r="G5999" s="13"/>
      <c r="H5999" s="13"/>
      <c r="I5999" s="13"/>
      <c r="J5999" s="13"/>
      <c r="K5999" s="15"/>
      <c r="L5999" s="15"/>
      <c r="M5999" s="16"/>
      <c r="N5999" s="16"/>
      <c r="O5999" s="17"/>
      <c r="P5999" s="17"/>
      <c r="Q5999" s="13"/>
      <c r="R5999" s="13"/>
      <c r="S5999" s="13"/>
      <c r="T5999" s="13"/>
      <c r="U5999" s="13"/>
      <c r="V5999" s="13"/>
      <c r="W5999" s="13"/>
      <c r="X5999" s="13"/>
      <c r="Y5999" s="13"/>
      <c r="Z5999" s="13"/>
      <c r="AA5999" s="13"/>
      <c r="AB5999" s="13"/>
      <c r="AC5999" s="13"/>
      <c r="AD5999" s="13"/>
      <c r="AE5999" s="13"/>
      <c r="AF5999" s="13"/>
      <c r="AG5999" s="13"/>
      <c r="AH5999" s="13"/>
      <c r="AI5999" s="13"/>
      <c r="AJ5999" s="13"/>
      <c r="AK5999" s="13"/>
      <c r="AL5999" s="13"/>
      <c r="AM5999" s="13"/>
      <c r="AN5999" s="13"/>
      <c r="AO5999" s="13"/>
      <c r="AP5999" s="13"/>
      <c r="AQ5999" s="13"/>
      <c r="AR5999" s="13"/>
      <c r="AS5999" s="13"/>
    </row>
    <row r="6000" ht="14.25" customHeight="1">
      <c r="A6000" s="13"/>
      <c r="B6000" s="13"/>
      <c r="C6000" s="13"/>
      <c r="D6000" s="13"/>
      <c r="E6000" s="13"/>
      <c r="F6000" s="13"/>
      <c r="G6000" s="13"/>
      <c r="H6000" s="13"/>
      <c r="I6000" s="13"/>
      <c r="J6000" s="13"/>
      <c r="K6000" s="15"/>
      <c r="L6000" s="15"/>
      <c r="M6000" s="16"/>
      <c r="N6000" s="16"/>
      <c r="O6000" s="17"/>
      <c r="P6000" s="17"/>
      <c r="Q6000" s="13"/>
      <c r="R6000" s="13"/>
      <c r="S6000" s="13"/>
      <c r="T6000" s="13"/>
      <c r="U6000" s="13"/>
      <c r="V6000" s="13"/>
      <c r="W6000" s="13"/>
      <c r="X6000" s="13"/>
      <c r="Y6000" s="13"/>
      <c r="Z6000" s="13"/>
      <c r="AA6000" s="13"/>
      <c r="AB6000" s="13"/>
      <c r="AC6000" s="13"/>
      <c r="AD6000" s="13"/>
      <c r="AE6000" s="13"/>
      <c r="AF6000" s="13"/>
      <c r="AG6000" s="13"/>
      <c r="AH6000" s="13"/>
      <c r="AI6000" s="13"/>
      <c r="AJ6000" s="13"/>
      <c r="AK6000" s="13"/>
      <c r="AL6000" s="13"/>
      <c r="AM6000" s="13"/>
      <c r="AN6000" s="13"/>
      <c r="AO6000" s="13"/>
      <c r="AP6000" s="13"/>
      <c r="AQ6000" s="13"/>
      <c r="AR6000" s="13"/>
      <c r="AS6000" s="13"/>
    </row>
    <row r="6001" ht="14.25" customHeight="1">
      <c r="A6001" s="13"/>
      <c r="B6001" s="13"/>
      <c r="C6001" s="13"/>
      <c r="D6001" s="13"/>
      <c r="E6001" s="13"/>
      <c r="F6001" s="13"/>
      <c r="G6001" s="13"/>
      <c r="H6001" s="13"/>
      <c r="I6001" s="13"/>
      <c r="J6001" s="13"/>
      <c r="K6001" s="15"/>
      <c r="L6001" s="15"/>
      <c r="M6001" s="16"/>
      <c r="N6001" s="16"/>
      <c r="O6001" s="17"/>
      <c r="P6001" s="17"/>
      <c r="Q6001" s="13"/>
      <c r="R6001" s="13"/>
      <c r="S6001" s="13"/>
      <c r="T6001" s="13"/>
      <c r="U6001" s="13"/>
      <c r="V6001" s="13"/>
      <c r="W6001" s="13"/>
      <c r="X6001" s="13"/>
      <c r="Y6001" s="13"/>
      <c r="Z6001" s="13"/>
      <c r="AA6001" s="13"/>
      <c r="AB6001" s="13"/>
      <c r="AC6001" s="13"/>
      <c r="AD6001" s="13"/>
      <c r="AE6001" s="13"/>
      <c r="AF6001" s="13"/>
      <c r="AG6001" s="13"/>
      <c r="AH6001" s="13"/>
      <c r="AI6001" s="13"/>
      <c r="AJ6001" s="13"/>
      <c r="AK6001" s="13"/>
      <c r="AL6001" s="13"/>
      <c r="AM6001" s="13"/>
      <c r="AN6001" s="13"/>
      <c r="AO6001" s="13"/>
      <c r="AP6001" s="13"/>
      <c r="AQ6001" s="13"/>
      <c r="AR6001" s="13"/>
      <c r="AS6001" s="13"/>
    </row>
    <row r="6002" ht="14.25" customHeight="1">
      <c r="A6002" s="13"/>
      <c r="B6002" s="13"/>
      <c r="C6002" s="13"/>
      <c r="D6002" s="13"/>
      <c r="E6002" s="13"/>
      <c r="F6002" s="13"/>
      <c r="G6002" s="13"/>
      <c r="H6002" s="13"/>
      <c r="I6002" s="13"/>
      <c r="J6002" s="13"/>
      <c r="K6002" s="15"/>
      <c r="L6002" s="15"/>
      <c r="M6002" s="16"/>
      <c r="N6002" s="16"/>
      <c r="O6002" s="17"/>
      <c r="P6002" s="17"/>
      <c r="Q6002" s="13"/>
      <c r="R6002" s="13"/>
      <c r="S6002" s="13"/>
      <c r="T6002" s="13"/>
      <c r="U6002" s="13"/>
      <c r="V6002" s="13"/>
      <c r="W6002" s="13"/>
      <c r="X6002" s="13"/>
      <c r="Y6002" s="13"/>
      <c r="Z6002" s="13"/>
      <c r="AA6002" s="13"/>
      <c r="AB6002" s="13"/>
      <c r="AC6002" s="13"/>
      <c r="AD6002" s="13"/>
      <c r="AE6002" s="13"/>
      <c r="AF6002" s="13"/>
      <c r="AG6002" s="13"/>
      <c r="AH6002" s="13"/>
      <c r="AI6002" s="13"/>
      <c r="AJ6002" s="13"/>
      <c r="AK6002" s="13"/>
      <c r="AL6002" s="13"/>
      <c r="AM6002" s="13"/>
      <c r="AN6002" s="13"/>
      <c r="AO6002" s="13"/>
      <c r="AP6002" s="13"/>
      <c r="AQ6002" s="13"/>
      <c r="AR6002" s="13"/>
      <c r="AS6002" s="13"/>
    </row>
    <row r="6003" ht="14.25" customHeight="1">
      <c r="A6003" s="13"/>
      <c r="B6003" s="13"/>
      <c r="C6003" s="13"/>
      <c r="D6003" s="13"/>
      <c r="E6003" s="13"/>
      <c r="F6003" s="13"/>
      <c r="G6003" s="13"/>
      <c r="H6003" s="13"/>
      <c r="I6003" s="13"/>
      <c r="J6003" s="13"/>
      <c r="K6003" s="15"/>
      <c r="L6003" s="15"/>
      <c r="M6003" s="16"/>
      <c r="N6003" s="16"/>
      <c r="O6003" s="17"/>
      <c r="P6003" s="17"/>
      <c r="Q6003" s="13"/>
      <c r="R6003" s="13"/>
      <c r="S6003" s="13"/>
      <c r="T6003" s="13"/>
      <c r="U6003" s="13"/>
      <c r="V6003" s="13"/>
      <c r="W6003" s="13"/>
      <c r="X6003" s="13"/>
      <c r="Y6003" s="13"/>
      <c r="Z6003" s="13"/>
      <c r="AA6003" s="13"/>
      <c r="AB6003" s="13"/>
      <c r="AC6003" s="13"/>
      <c r="AD6003" s="13"/>
      <c r="AE6003" s="13"/>
      <c r="AF6003" s="13"/>
      <c r="AG6003" s="13"/>
      <c r="AH6003" s="13"/>
      <c r="AI6003" s="13"/>
      <c r="AJ6003" s="13"/>
      <c r="AK6003" s="13"/>
      <c r="AL6003" s="13"/>
      <c r="AM6003" s="13"/>
      <c r="AN6003" s="13"/>
      <c r="AO6003" s="13"/>
      <c r="AP6003" s="13"/>
      <c r="AQ6003" s="13"/>
      <c r="AR6003" s="13"/>
      <c r="AS6003" s="13"/>
    </row>
    <row r="6004" ht="14.25" customHeight="1">
      <c r="A6004" s="13"/>
      <c r="B6004" s="13"/>
      <c r="C6004" s="13"/>
      <c r="D6004" s="13"/>
      <c r="E6004" s="13"/>
      <c r="F6004" s="13"/>
      <c r="G6004" s="13"/>
      <c r="H6004" s="13"/>
      <c r="I6004" s="13"/>
      <c r="J6004" s="13"/>
      <c r="K6004" s="15"/>
      <c r="L6004" s="15"/>
      <c r="M6004" s="16"/>
      <c r="N6004" s="16"/>
      <c r="O6004" s="17"/>
      <c r="P6004" s="17"/>
      <c r="Q6004" s="13"/>
      <c r="R6004" s="13"/>
      <c r="S6004" s="13"/>
      <c r="T6004" s="13"/>
      <c r="U6004" s="13"/>
      <c r="V6004" s="13"/>
      <c r="W6004" s="13"/>
      <c r="X6004" s="13"/>
      <c r="Y6004" s="13"/>
      <c r="Z6004" s="13"/>
      <c r="AA6004" s="13"/>
      <c r="AB6004" s="13"/>
      <c r="AC6004" s="13"/>
      <c r="AD6004" s="13"/>
      <c r="AE6004" s="13"/>
      <c r="AF6004" s="13"/>
      <c r="AG6004" s="13"/>
      <c r="AH6004" s="13"/>
      <c r="AI6004" s="13"/>
      <c r="AJ6004" s="13"/>
      <c r="AK6004" s="13"/>
      <c r="AL6004" s="13"/>
      <c r="AM6004" s="13"/>
      <c r="AN6004" s="13"/>
      <c r="AO6004" s="13"/>
      <c r="AP6004" s="13"/>
      <c r="AQ6004" s="13"/>
      <c r="AR6004" s="13"/>
      <c r="AS6004" s="13"/>
    </row>
    <row r="6005" ht="14.25" customHeight="1">
      <c r="A6005" s="13"/>
      <c r="B6005" s="13"/>
      <c r="C6005" s="13"/>
      <c r="D6005" s="13"/>
      <c r="E6005" s="13"/>
      <c r="F6005" s="13"/>
      <c r="G6005" s="13"/>
      <c r="H6005" s="13"/>
      <c r="I6005" s="13"/>
      <c r="J6005" s="13"/>
      <c r="K6005" s="15"/>
      <c r="L6005" s="15"/>
      <c r="M6005" s="16"/>
      <c r="N6005" s="16"/>
      <c r="O6005" s="17"/>
      <c r="P6005" s="17"/>
      <c r="Q6005" s="13"/>
      <c r="R6005" s="13"/>
      <c r="S6005" s="13"/>
      <c r="T6005" s="13"/>
      <c r="U6005" s="13"/>
      <c r="V6005" s="13"/>
      <c r="W6005" s="13"/>
      <c r="X6005" s="13"/>
      <c r="Y6005" s="13"/>
      <c r="Z6005" s="13"/>
      <c r="AA6005" s="13"/>
      <c r="AB6005" s="13"/>
      <c r="AC6005" s="13"/>
      <c r="AD6005" s="13"/>
      <c r="AE6005" s="13"/>
      <c r="AF6005" s="13"/>
      <c r="AG6005" s="13"/>
      <c r="AH6005" s="13"/>
      <c r="AI6005" s="13"/>
      <c r="AJ6005" s="13"/>
      <c r="AK6005" s="13"/>
      <c r="AL6005" s="13"/>
      <c r="AM6005" s="13"/>
      <c r="AN6005" s="13"/>
      <c r="AO6005" s="13"/>
      <c r="AP6005" s="13"/>
      <c r="AQ6005" s="13"/>
      <c r="AR6005" s="13"/>
      <c r="AS6005" s="13"/>
    </row>
    <row r="6006" ht="14.25" customHeight="1">
      <c r="A6006" s="13"/>
      <c r="B6006" s="13"/>
      <c r="C6006" s="13"/>
      <c r="D6006" s="13"/>
      <c r="E6006" s="13"/>
      <c r="F6006" s="13"/>
      <c r="G6006" s="13"/>
      <c r="H6006" s="13"/>
      <c r="I6006" s="13"/>
      <c r="J6006" s="13"/>
      <c r="K6006" s="15"/>
      <c r="L6006" s="15"/>
      <c r="M6006" s="16"/>
      <c r="N6006" s="16"/>
      <c r="O6006" s="17"/>
      <c r="P6006" s="17"/>
      <c r="Q6006" s="13"/>
      <c r="R6006" s="13"/>
      <c r="S6006" s="13"/>
      <c r="T6006" s="13"/>
      <c r="U6006" s="13"/>
      <c r="V6006" s="13"/>
      <c r="W6006" s="13"/>
      <c r="X6006" s="13"/>
      <c r="Y6006" s="13"/>
      <c r="Z6006" s="13"/>
      <c r="AA6006" s="13"/>
      <c r="AB6006" s="13"/>
      <c r="AC6006" s="13"/>
      <c r="AD6006" s="13"/>
      <c r="AE6006" s="13"/>
      <c r="AF6006" s="13"/>
      <c r="AG6006" s="13"/>
      <c r="AH6006" s="13"/>
      <c r="AI6006" s="13"/>
      <c r="AJ6006" s="13"/>
      <c r="AK6006" s="13"/>
      <c r="AL6006" s="13"/>
      <c r="AM6006" s="13"/>
      <c r="AN6006" s="13"/>
      <c r="AO6006" s="13"/>
      <c r="AP6006" s="13"/>
      <c r="AQ6006" s="13"/>
      <c r="AR6006" s="13"/>
      <c r="AS6006" s="13"/>
    </row>
    <row r="6007" ht="14.25" customHeight="1">
      <c r="A6007" s="13"/>
      <c r="B6007" s="13"/>
      <c r="C6007" s="13"/>
      <c r="D6007" s="13"/>
      <c r="E6007" s="13"/>
      <c r="F6007" s="13"/>
      <c r="G6007" s="13"/>
      <c r="H6007" s="13"/>
      <c r="I6007" s="13"/>
      <c r="J6007" s="13"/>
      <c r="K6007" s="15"/>
      <c r="L6007" s="15"/>
      <c r="M6007" s="16"/>
      <c r="N6007" s="16"/>
      <c r="O6007" s="17"/>
      <c r="P6007" s="17"/>
      <c r="Q6007" s="13"/>
      <c r="R6007" s="13"/>
      <c r="S6007" s="13"/>
      <c r="T6007" s="13"/>
      <c r="U6007" s="13"/>
      <c r="V6007" s="13"/>
      <c r="W6007" s="13"/>
      <c r="X6007" s="13"/>
      <c r="Y6007" s="13"/>
      <c r="Z6007" s="13"/>
      <c r="AA6007" s="13"/>
      <c r="AB6007" s="13"/>
      <c r="AC6007" s="13"/>
      <c r="AD6007" s="13"/>
      <c r="AE6007" s="13"/>
      <c r="AF6007" s="13"/>
      <c r="AG6007" s="13"/>
      <c r="AH6007" s="13"/>
      <c r="AI6007" s="13"/>
      <c r="AJ6007" s="13"/>
      <c r="AK6007" s="13"/>
      <c r="AL6007" s="13"/>
      <c r="AM6007" s="13"/>
      <c r="AN6007" s="13"/>
      <c r="AO6007" s="13"/>
      <c r="AP6007" s="13"/>
      <c r="AQ6007" s="13"/>
      <c r="AR6007" s="13"/>
      <c r="AS6007" s="13"/>
    </row>
    <row r="6008" ht="14.25" customHeight="1">
      <c r="A6008" s="13"/>
      <c r="B6008" s="13"/>
      <c r="C6008" s="13"/>
      <c r="D6008" s="13"/>
      <c r="E6008" s="13"/>
      <c r="F6008" s="13"/>
      <c r="G6008" s="13"/>
      <c r="H6008" s="13"/>
      <c r="I6008" s="13"/>
      <c r="J6008" s="13"/>
      <c r="K6008" s="15"/>
      <c r="L6008" s="15"/>
      <c r="M6008" s="16"/>
      <c r="N6008" s="16"/>
      <c r="O6008" s="17"/>
      <c r="P6008" s="17"/>
      <c r="Q6008" s="13"/>
      <c r="R6008" s="13"/>
      <c r="S6008" s="13"/>
      <c r="T6008" s="13"/>
      <c r="U6008" s="13"/>
      <c r="V6008" s="13"/>
      <c r="W6008" s="13"/>
      <c r="X6008" s="13"/>
      <c r="Y6008" s="13"/>
      <c r="Z6008" s="13"/>
      <c r="AA6008" s="13"/>
      <c r="AB6008" s="13"/>
      <c r="AC6008" s="13"/>
      <c r="AD6008" s="13"/>
      <c r="AE6008" s="13"/>
      <c r="AF6008" s="13"/>
      <c r="AG6008" s="13"/>
      <c r="AH6008" s="13"/>
      <c r="AI6008" s="13"/>
      <c r="AJ6008" s="13"/>
      <c r="AK6008" s="13"/>
      <c r="AL6008" s="13"/>
      <c r="AM6008" s="13"/>
      <c r="AN6008" s="13"/>
      <c r="AO6008" s="13"/>
      <c r="AP6008" s="13"/>
      <c r="AQ6008" s="13"/>
      <c r="AR6008" s="13"/>
      <c r="AS6008" s="13"/>
    </row>
    <row r="6009" ht="14.25" customHeight="1">
      <c r="A6009" s="13"/>
      <c r="B6009" s="13"/>
      <c r="C6009" s="13"/>
      <c r="D6009" s="13"/>
      <c r="E6009" s="13"/>
      <c r="F6009" s="13"/>
      <c r="G6009" s="13"/>
      <c r="H6009" s="13"/>
      <c r="I6009" s="13"/>
      <c r="J6009" s="13"/>
      <c r="K6009" s="15"/>
      <c r="L6009" s="15"/>
      <c r="M6009" s="16"/>
      <c r="N6009" s="16"/>
      <c r="O6009" s="17"/>
      <c r="P6009" s="17"/>
      <c r="Q6009" s="13"/>
      <c r="R6009" s="13"/>
      <c r="S6009" s="13"/>
      <c r="T6009" s="13"/>
      <c r="U6009" s="13"/>
      <c r="V6009" s="13"/>
      <c r="W6009" s="13"/>
      <c r="X6009" s="13"/>
      <c r="Y6009" s="13"/>
      <c r="Z6009" s="13"/>
      <c r="AA6009" s="13"/>
      <c r="AB6009" s="13"/>
      <c r="AC6009" s="13"/>
      <c r="AD6009" s="13"/>
      <c r="AE6009" s="13"/>
      <c r="AF6009" s="13"/>
      <c r="AG6009" s="13"/>
      <c r="AH6009" s="13"/>
      <c r="AI6009" s="13"/>
      <c r="AJ6009" s="13"/>
      <c r="AK6009" s="13"/>
      <c r="AL6009" s="13"/>
      <c r="AM6009" s="13"/>
      <c r="AN6009" s="13"/>
      <c r="AO6009" s="13"/>
      <c r="AP6009" s="13"/>
      <c r="AQ6009" s="13"/>
      <c r="AR6009" s="13"/>
      <c r="AS6009" s="13"/>
    </row>
    <row r="6010" ht="14.25" customHeight="1">
      <c r="A6010" s="13"/>
      <c r="B6010" s="13"/>
      <c r="C6010" s="13"/>
      <c r="D6010" s="13"/>
      <c r="E6010" s="13"/>
      <c r="F6010" s="13"/>
      <c r="G6010" s="13"/>
      <c r="H6010" s="13"/>
      <c r="I6010" s="13"/>
      <c r="J6010" s="13"/>
      <c r="K6010" s="15"/>
      <c r="L6010" s="15"/>
      <c r="M6010" s="16"/>
      <c r="N6010" s="16"/>
      <c r="O6010" s="17"/>
      <c r="P6010" s="17"/>
      <c r="Q6010" s="13"/>
      <c r="R6010" s="13"/>
      <c r="S6010" s="13"/>
      <c r="T6010" s="13"/>
      <c r="U6010" s="13"/>
      <c r="V6010" s="13"/>
      <c r="W6010" s="13"/>
      <c r="X6010" s="13"/>
      <c r="Y6010" s="13"/>
      <c r="Z6010" s="13"/>
      <c r="AA6010" s="13"/>
      <c r="AB6010" s="13"/>
      <c r="AC6010" s="13"/>
      <c r="AD6010" s="13"/>
      <c r="AE6010" s="13"/>
      <c r="AF6010" s="13"/>
      <c r="AG6010" s="13"/>
      <c r="AH6010" s="13"/>
      <c r="AI6010" s="13"/>
      <c r="AJ6010" s="13"/>
      <c r="AK6010" s="13"/>
      <c r="AL6010" s="13"/>
      <c r="AM6010" s="13"/>
      <c r="AN6010" s="13"/>
      <c r="AO6010" s="13"/>
      <c r="AP6010" s="13"/>
      <c r="AQ6010" s="13"/>
      <c r="AR6010" s="13"/>
      <c r="AS6010" s="13"/>
    </row>
    <row r="6011" ht="14.25" customHeight="1">
      <c r="A6011" s="13"/>
      <c r="B6011" s="13"/>
      <c r="C6011" s="13"/>
      <c r="D6011" s="13"/>
      <c r="E6011" s="13"/>
      <c r="F6011" s="13"/>
      <c r="G6011" s="13"/>
      <c r="H6011" s="13"/>
      <c r="I6011" s="13"/>
      <c r="J6011" s="13"/>
      <c r="K6011" s="15"/>
      <c r="L6011" s="15"/>
      <c r="M6011" s="16"/>
      <c r="N6011" s="16"/>
      <c r="O6011" s="17"/>
      <c r="P6011" s="17"/>
      <c r="Q6011" s="13"/>
      <c r="R6011" s="13"/>
      <c r="S6011" s="13"/>
      <c r="T6011" s="13"/>
      <c r="U6011" s="13"/>
      <c r="V6011" s="13"/>
      <c r="W6011" s="13"/>
      <c r="X6011" s="13"/>
      <c r="Y6011" s="13"/>
      <c r="Z6011" s="13"/>
      <c r="AA6011" s="13"/>
      <c r="AB6011" s="13"/>
      <c r="AC6011" s="13"/>
      <c r="AD6011" s="13"/>
      <c r="AE6011" s="13"/>
      <c r="AF6011" s="13"/>
      <c r="AG6011" s="13"/>
      <c r="AH6011" s="13"/>
      <c r="AI6011" s="13"/>
      <c r="AJ6011" s="13"/>
      <c r="AK6011" s="13"/>
      <c r="AL6011" s="13"/>
      <c r="AM6011" s="13"/>
      <c r="AN6011" s="13"/>
      <c r="AO6011" s="13"/>
      <c r="AP6011" s="13"/>
      <c r="AQ6011" s="13"/>
      <c r="AR6011" s="13"/>
      <c r="AS6011" s="13"/>
    </row>
    <row r="6012" ht="14.25" customHeight="1">
      <c r="A6012" s="13"/>
      <c r="B6012" s="13"/>
      <c r="C6012" s="13"/>
      <c r="D6012" s="13"/>
      <c r="E6012" s="13"/>
      <c r="F6012" s="13"/>
      <c r="G6012" s="13"/>
      <c r="H6012" s="13"/>
      <c r="I6012" s="13"/>
      <c r="J6012" s="13"/>
      <c r="K6012" s="15"/>
      <c r="L6012" s="15"/>
      <c r="M6012" s="16"/>
      <c r="N6012" s="16"/>
      <c r="O6012" s="17"/>
      <c r="P6012" s="17"/>
      <c r="Q6012" s="13"/>
      <c r="R6012" s="13"/>
      <c r="S6012" s="13"/>
      <c r="T6012" s="13"/>
      <c r="U6012" s="13"/>
      <c r="V6012" s="13"/>
      <c r="W6012" s="13"/>
      <c r="X6012" s="13"/>
      <c r="Y6012" s="13"/>
      <c r="Z6012" s="13"/>
      <c r="AA6012" s="13"/>
      <c r="AB6012" s="13"/>
      <c r="AC6012" s="13"/>
      <c r="AD6012" s="13"/>
      <c r="AE6012" s="13"/>
      <c r="AF6012" s="13"/>
      <c r="AG6012" s="13"/>
      <c r="AH6012" s="13"/>
      <c r="AI6012" s="13"/>
      <c r="AJ6012" s="13"/>
      <c r="AK6012" s="13"/>
      <c r="AL6012" s="13"/>
      <c r="AM6012" s="13"/>
      <c r="AN6012" s="13"/>
      <c r="AO6012" s="13"/>
      <c r="AP6012" s="13"/>
      <c r="AQ6012" s="13"/>
      <c r="AR6012" s="13"/>
      <c r="AS6012" s="13"/>
    </row>
    <row r="6013" ht="14.25" customHeight="1">
      <c r="A6013" s="13"/>
      <c r="B6013" s="13"/>
      <c r="C6013" s="13"/>
      <c r="D6013" s="13"/>
      <c r="E6013" s="13"/>
      <c r="F6013" s="13"/>
      <c r="G6013" s="13"/>
      <c r="H6013" s="13"/>
      <c r="I6013" s="13"/>
      <c r="J6013" s="13"/>
      <c r="K6013" s="15"/>
      <c r="L6013" s="15"/>
      <c r="M6013" s="16"/>
      <c r="N6013" s="16"/>
      <c r="O6013" s="17"/>
      <c r="P6013" s="17"/>
      <c r="Q6013" s="13"/>
      <c r="R6013" s="13"/>
      <c r="S6013" s="13"/>
      <c r="T6013" s="13"/>
      <c r="U6013" s="13"/>
      <c r="V6013" s="13"/>
      <c r="W6013" s="13"/>
      <c r="X6013" s="13"/>
      <c r="Y6013" s="13"/>
      <c r="Z6013" s="13"/>
      <c r="AA6013" s="13"/>
      <c r="AB6013" s="13"/>
      <c r="AC6013" s="13"/>
      <c r="AD6013" s="13"/>
      <c r="AE6013" s="13"/>
      <c r="AF6013" s="13"/>
      <c r="AG6013" s="13"/>
      <c r="AH6013" s="13"/>
      <c r="AI6013" s="13"/>
      <c r="AJ6013" s="13"/>
      <c r="AK6013" s="13"/>
      <c r="AL6013" s="13"/>
      <c r="AM6013" s="13"/>
      <c r="AN6013" s="13"/>
      <c r="AO6013" s="13"/>
      <c r="AP6013" s="13"/>
      <c r="AQ6013" s="13"/>
      <c r="AR6013" s="13"/>
      <c r="AS6013" s="13"/>
    </row>
    <row r="6014" ht="14.25" customHeight="1">
      <c r="A6014" s="13"/>
      <c r="B6014" s="13"/>
      <c r="C6014" s="13"/>
      <c r="D6014" s="13"/>
      <c r="E6014" s="13"/>
      <c r="F6014" s="13"/>
      <c r="G6014" s="13"/>
      <c r="H6014" s="13"/>
      <c r="I6014" s="13"/>
      <c r="J6014" s="13"/>
      <c r="K6014" s="15"/>
      <c r="L6014" s="15"/>
      <c r="M6014" s="16"/>
      <c r="N6014" s="16"/>
      <c r="O6014" s="17"/>
      <c r="P6014" s="17"/>
      <c r="Q6014" s="13"/>
      <c r="R6014" s="13"/>
      <c r="S6014" s="13"/>
      <c r="T6014" s="13"/>
      <c r="U6014" s="13"/>
      <c r="V6014" s="13"/>
      <c r="W6014" s="13"/>
      <c r="X6014" s="13"/>
      <c r="Y6014" s="13"/>
      <c r="Z6014" s="13"/>
      <c r="AA6014" s="13"/>
      <c r="AB6014" s="13"/>
      <c r="AC6014" s="13"/>
      <c r="AD6014" s="13"/>
      <c r="AE6014" s="13"/>
      <c r="AF6014" s="13"/>
      <c r="AG6014" s="13"/>
      <c r="AH6014" s="13"/>
      <c r="AI6014" s="13"/>
      <c r="AJ6014" s="13"/>
      <c r="AK6014" s="13"/>
      <c r="AL6014" s="13"/>
      <c r="AM6014" s="13"/>
      <c r="AN6014" s="13"/>
      <c r="AO6014" s="13"/>
      <c r="AP6014" s="13"/>
      <c r="AQ6014" s="13"/>
      <c r="AR6014" s="13"/>
      <c r="AS6014" s="13"/>
    </row>
    <row r="6015" ht="14.25" customHeight="1">
      <c r="A6015" s="13"/>
      <c r="B6015" s="13"/>
      <c r="C6015" s="13"/>
      <c r="D6015" s="13"/>
      <c r="E6015" s="13"/>
      <c r="F6015" s="13"/>
      <c r="G6015" s="13"/>
      <c r="H6015" s="13"/>
      <c r="I6015" s="13"/>
      <c r="J6015" s="13"/>
      <c r="K6015" s="15"/>
      <c r="L6015" s="15"/>
      <c r="M6015" s="16"/>
      <c r="N6015" s="16"/>
      <c r="O6015" s="17"/>
      <c r="P6015" s="17"/>
      <c r="Q6015" s="13"/>
      <c r="R6015" s="13"/>
      <c r="S6015" s="13"/>
      <c r="T6015" s="13"/>
      <c r="U6015" s="13"/>
      <c r="V6015" s="13"/>
      <c r="W6015" s="13"/>
      <c r="X6015" s="13"/>
      <c r="Y6015" s="13"/>
      <c r="Z6015" s="13"/>
      <c r="AA6015" s="13"/>
      <c r="AB6015" s="13"/>
      <c r="AC6015" s="13"/>
      <c r="AD6015" s="13"/>
      <c r="AE6015" s="13"/>
      <c r="AF6015" s="13"/>
      <c r="AG6015" s="13"/>
      <c r="AH6015" s="13"/>
      <c r="AI6015" s="13"/>
      <c r="AJ6015" s="13"/>
      <c r="AK6015" s="13"/>
      <c r="AL6015" s="13"/>
      <c r="AM6015" s="13"/>
      <c r="AN6015" s="13"/>
      <c r="AO6015" s="13"/>
      <c r="AP6015" s="13"/>
      <c r="AQ6015" s="13"/>
      <c r="AR6015" s="13"/>
      <c r="AS6015" s="13"/>
    </row>
    <row r="6016" ht="14.25" customHeight="1">
      <c r="A6016" s="13"/>
      <c r="B6016" s="13"/>
      <c r="C6016" s="13"/>
      <c r="D6016" s="13"/>
      <c r="E6016" s="13"/>
      <c r="F6016" s="13"/>
      <c r="G6016" s="13"/>
      <c r="H6016" s="13"/>
      <c r="I6016" s="13"/>
      <c r="J6016" s="13"/>
      <c r="K6016" s="15"/>
      <c r="L6016" s="15"/>
      <c r="M6016" s="16"/>
      <c r="N6016" s="16"/>
      <c r="O6016" s="17"/>
      <c r="P6016" s="17"/>
      <c r="Q6016" s="13"/>
      <c r="R6016" s="13"/>
      <c r="S6016" s="13"/>
      <c r="T6016" s="13"/>
      <c r="U6016" s="13"/>
      <c r="V6016" s="13"/>
      <c r="W6016" s="13"/>
      <c r="X6016" s="13"/>
      <c r="Y6016" s="13"/>
      <c r="Z6016" s="13"/>
      <c r="AA6016" s="13"/>
      <c r="AB6016" s="13"/>
      <c r="AC6016" s="13"/>
      <c r="AD6016" s="13"/>
      <c r="AE6016" s="13"/>
      <c r="AF6016" s="13"/>
      <c r="AG6016" s="13"/>
      <c r="AH6016" s="13"/>
      <c r="AI6016" s="13"/>
      <c r="AJ6016" s="13"/>
      <c r="AK6016" s="13"/>
      <c r="AL6016" s="13"/>
      <c r="AM6016" s="13"/>
      <c r="AN6016" s="13"/>
      <c r="AO6016" s="13"/>
      <c r="AP6016" s="13"/>
      <c r="AQ6016" s="13"/>
      <c r="AR6016" s="13"/>
      <c r="AS6016" s="13"/>
    </row>
    <row r="6017" ht="14.25" customHeight="1">
      <c r="A6017" s="13"/>
      <c r="B6017" s="13"/>
      <c r="C6017" s="13"/>
      <c r="D6017" s="13"/>
      <c r="E6017" s="13"/>
      <c r="F6017" s="13"/>
      <c r="G6017" s="13"/>
      <c r="H6017" s="13"/>
      <c r="I6017" s="13"/>
      <c r="J6017" s="13"/>
      <c r="K6017" s="15"/>
      <c r="L6017" s="15"/>
      <c r="M6017" s="16"/>
      <c r="N6017" s="16"/>
      <c r="O6017" s="17"/>
      <c r="P6017" s="17"/>
      <c r="Q6017" s="13"/>
      <c r="R6017" s="13"/>
      <c r="S6017" s="13"/>
      <c r="T6017" s="13"/>
      <c r="U6017" s="13"/>
      <c r="V6017" s="13"/>
      <c r="W6017" s="13"/>
      <c r="X6017" s="13"/>
      <c r="Y6017" s="13"/>
      <c r="Z6017" s="13"/>
      <c r="AA6017" s="13"/>
      <c r="AB6017" s="13"/>
      <c r="AC6017" s="13"/>
      <c r="AD6017" s="13"/>
      <c r="AE6017" s="13"/>
      <c r="AF6017" s="13"/>
      <c r="AG6017" s="13"/>
      <c r="AH6017" s="13"/>
      <c r="AI6017" s="13"/>
      <c r="AJ6017" s="13"/>
      <c r="AK6017" s="13"/>
      <c r="AL6017" s="13"/>
      <c r="AM6017" s="13"/>
      <c r="AN6017" s="13"/>
      <c r="AO6017" s="13"/>
      <c r="AP6017" s="13"/>
      <c r="AQ6017" s="13"/>
      <c r="AR6017" s="13"/>
      <c r="AS6017" s="13"/>
    </row>
    <row r="6018" ht="14.25" customHeight="1">
      <c r="A6018" s="13"/>
      <c r="B6018" s="13"/>
      <c r="C6018" s="13"/>
      <c r="D6018" s="13"/>
      <c r="E6018" s="13"/>
      <c r="F6018" s="13"/>
      <c r="G6018" s="13"/>
      <c r="H6018" s="13"/>
      <c r="I6018" s="13"/>
      <c r="J6018" s="13"/>
      <c r="K6018" s="15"/>
      <c r="L6018" s="15"/>
      <c r="M6018" s="16"/>
      <c r="N6018" s="16"/>
      <c r="O6018" s="17"/>
      <c r="P6018" s="17"/>
      <c r="Q6018" s="13"/>
      <c r="R6018" s="13"/>
      <c r="S6018" s="13"/>
      <c r="T6018" s="13"/>
      <c r="U6018" s="13"/>
      <c r="V6018" s="13"/>
      <c r="W6018" s="13"/>
      <c r="X6018" s="13"/>
      <c r="Y6018" s="13"/>
      <c r="Z6018" s="13"/>
      <c r="AA6018" s="13"/>
      <c r="AB6018" s="13"/>
      <c r="AC6018" s="13"/>
      <c r="AD6018" s="13"/>
      <c r="AE6018" s="13"/>
      <c r="AF6018" s="13"/>
      <c r="AG6018" s="13"/>
      <c r="AH6018" s="13"/>
      <c r="AI6018" s="13"/>
      <c r="AJ6018" s="13"/>
      <c r="AK6018" s="13"/>
      <c r="AL6018" s="13"/>
      <c r="AM6018" s="13"/>
      <c r="AN6018" s="13"/>
      <c r="AO6018" s="13"/>
      <c r="AP6018" s="13"/>
      <c r="AQ6018" s="13"/>
      <c r="AR6018" s="13"/>
      <c r="AS6018" s="13"/>
    </row>
    <row r="6019" ht="14.25" customHeight="1">
      <c r="A6019" s="13"/>
      <c r="B6019" s="13"/>
      <c r="C6019" s="13"/>
      <c r="D6019" s="13"/>
      <c r="E6019" s="13"/>
      <c r="F6019" s="13"/>
      <c r="G6019" s="13"/>
      <c r="H6019" s="13"/>
      <c r="I6019" s="13"/>
      <c r="J6019" s="13"/>
      <c r="K6019" s="15"/>
      <c r="L6019" s="15"/>
      <c r="M6019" s="16"/>
      <c r="N6019" s="16"/>
      <c r="O6019" s="17"/>
      <c r="P6019" s="17"/>
      <c r="Q6019" s="13"/>
      <c r="R6019" s="13"/>
      <c r="S6019" s="13"/>
      <c r="T6019" s="13"/>
      <c r="U6019" s="13"/>
      <c r="V6019" s="13"/>
      <c r="W6019" s="13"/>
      <c r="X6019" s="13"/>
      <c r="Y6019" s="13"/>
      <c r="Z6019" s="13"/>
      <c r="AA6019" s="13"/>
      <c r="AB6019" s="13"/>
      <c r="AC6019" s="13"/>
      <c r="AD6019" s="13"/>
      <c r="AE6019" s="13"/>
      <c r="AF6019" s="13"/>
      <c r="AG6019" s="13"/>
      <c r="AH6019" s="13"/>
      <c r="AI6019" s="13"/>
      <c r="AJ6019" s="13"/>
      <c r="AK6019" s="13"/>
      <c r="AL6019" s="13"/>
      <c r="AM6019" s="13"/>
      <c r="AN6019" s="13"/>
      <c r="AO6019" s="13"/>
      <c r="AP6019" s="13"/>
      <c r="AQ6019" s="13"/>
      <c r="AR6019" s="13"/>
      <c r="AS6019" s="13"/>
    </row>
    <row r="6020" ht="14.25" customHeight="1">
      <c r="A6020" s="13"/>
      <c r="B6020" s="13"/>
      <c r="C6020" s="13"/>
      <c r="D6020" s="13"/>
      <c r="E6020" s="13"/>
      <c r="F6020" s="13"/>
      <c r="G6020" s="13"/>
      <c r="H6020" s="13"/>
      <c r="I6020" s="13"/>
      <c r="J6020" s="13"/>
      <c r="K6020" s="15"/>
      <c r="L6020" s="15"/>
      <c r="M6020" s="16"/>
      <c r="N6020" s="16"/>
      <c r="O6020" s="17"/>
      <c r="P6020" s="17"/>
      <c r="Q6020" s="13"/>
      <c r="R6020" s="13"/>
      <c r="S6020" s="13"/>
      <c r="T6020" s="13"/>
      <c r="U6020" s="13"/>
      <c r="V6020" s="13"/>
      <c r="W6020" s="13"/>
      <c r="X6020" s="13"/>
      <c r="Y6020" s="13"/>
      <c r="Z6020" s="13"/>
      <c r="AA6020" s="13"/>
      <c r="AB6020" s="13"/>
      <c r="AC6020" s="13"/>
      <c r="AD6020" s="13"/>
      <c r="AE6020" s="13"/>
      <c r="AF6020" s="13"/>
      <c r="AG6020" s="13"/>
      <c r="AH6020" s="13"/>
      <c r="AI6020" s="13"/>
      <c r="AJ6020" s="13"/>
      <c r="AK6020" s="13"/>
      <c r="AL6020" s="13"/>
      <c r="AM6020" s="13"/>
      <c r="AN6020" s="13"/>
      <c r="AO6020" s="13"/>
      <c r="AP6020" s="13"/>
      <c r="AQ6020" s="13"/>
      <c r="AR6020" s="13"/>
      <c r="AS6020" s="13"/>
    </row>
    <row r="6021" ht="14.25" customHeight="1">
      <c r="A6021" s="13"/>
      <c r="B6021" s="13"/>
      <c r="C6021" s="13"/>
      <c r="D6021" s="13"/>
      <c r="E6021" s="13"/>
      <c r="F6021" s="13"/>
      <c r="G6021" s="13"/>
      <c r="H6021" s="13"/>
      <c r="I6021" s="13"/>
      <c r="J6021" s="13"/>
      <c r="K6021" s="15"/>
      <c r="L6021" s="15"/>
      <c r="M6021" s="16"/>
      <c r="N6021" s="16"/>
      <c r="O6021" s="17"/>
      <c r="P6021" s="17"/>
      <c r="Q6021" s="13"/>
      <c r="R6021" s="13"/>
      <c r="S6021" s="13"/>
      <c r="T6021" s="13"/>
      <c r="U6021" s="13"/>
      <c r="V6021" s="13"/>
      <c r="W6021" s="13"/>
      <c r="X6021" s="13"/>
      <c r="Y6021" s="13"/>
      <c r="Z6021" s="13"/>
      <c r="AA6021" s="13"/>
      <c r="AB6021" s="13"/>
      <c r="AC6021" s="13"/>
      <c r="AD6021" s="13"/>
      <c r="AE6021" s="13"/>
      <c r="AF6021" s="13"/>
      <c r="AG6021" s="13"/>
      <c r="AH6021" s="13"/>
      <c r="AI6021" s="13"/>
      <c r="AJ6021" s="13"/>
      <c r="AK6021" s="13"/>
      <c r="AL6021" s="13"/>
      <c r="AM6021" s="13"/>
      <c r="AN6021" s="13"/>
      <c r="AO6021" s="13"/>
      <c r="AP6021" s="13"/>
      <c r="AQ6021" s="13"/>
      <c r="AR6021" s="13"/>
      <c r="AS6021" s="13"/>
    </row>
    <row r="6022" ht="14.25" customHeight="1">
      <c r="A6022" s="13"/>
      <c r="B6022" s="13"/>
      <c r="C6022" s="13"/>
      <c r="D6022" s="13"/>
      <c r="E6022" s="13"/>
      <c r="F6022" s="13"/>
      <c r="G6022" s="13"/>
      <c r="H6022" s="13"/>
      <c r="I6022" s="13"/>
      <c r="J6022" s="13"/>
      <c r="K6022" s="15"/>
      <c r="L6022" s="15"/>
      <c r="M6022" s="16"/>
      <c r="N6022" s="16"/>
      <c r="O6022" s="17"/>
      <c r="P6022" s="17"/>
      <c r="Q6022" s="13"/>
      <c r="R6022" s="13"/>
      <c r="S6022" s="13"/>
      <c r="T6022" s="13"/>
      <c r="U6022" s="13"/>
      <c r="V6022" s="13"/>
      <c r="W6022" s="13"/>
      <c r="X6022" s="13"/>
      <c r="Y6022" s="13"/>
      <c r="Z6022" s="13"/>
      <c r="AA6022" s="13"/>
      <c r="AB6022" s="13"/>
      <c r="AC6022" s="13"/>
      <c r="AD6022" s="13"/>
      <c r="AE6022" s="13"/>
      <c r="AF6022" s="13"/>
      <c r="AG6022" s="13"/>
      <c r="AH6022" s="13"/>
      <c r="AI6022" s="13"/>
      <c r="AJ6022" s="13"/>
      <c r="AK6022" s="13"/>
      <c r="AL6022" s="13"/>
      <c r="AM6022" s="13"/>
      <c r="AN6022" s="13"/>
      <c r="AO6022" s="13"/>
      <c r="AP6022" s="13"/>
      <c r="AQ6022" s="13"/>
      <c r="AR6022" s="13"/>
      <c r="AS6022" s="13"/>
    </row>
    <row r="6023" ht="14.25" customHeight="1">
      <c r="A6023" s="13"/>
      <c r="B6023" s="13"/>
      <c r="C6023" s="13"/>
      <c r="D6023" s="13"/>
      <c r="E6023" s="13"/>
      <c r="F6023" s="13"/>
      <c r="G6023" s="13"/>
      <c r="H6023" s="13"/>
      <c r="I6023" s="13"/>
      <c r="J6023" s="13"/>
      <c r="K6023" s="15"/>
      <c r="L6023" s="15"/>
      <c r="M6023" s="16"/>
      <c r="N6023" s="16"/>
      <c r="O6023" s="17"/>
      <c r="P6023" s="17"/>
      <c r="Q6023" s="13"/>
      <c r="R6023" s="13"/>
      <c r="S6023" s="13"/>
      <c r="T6023" s="13"/>
      <c r="U6023" s="13"/>
      <c r="V6023" s="13"/>
      <c r="W6023" s="13"/>
      <c r="X6023" s="13"/>
      <c r="Y6023" s="13"/>
      <c r="Z6023" s="13"/>
      <c r="AA6023" s="13"/>
      <c r="AB6023" s="13"/>
      <c r="AC6023" s="13"/>
      <c r="AD6023" s="13"/>
      <c r="AE6023" s="13"/>
      <c r="AF6023" s="13"/>
      <c r="AG6023" s="13"/>
      <c r="AH6023" s="13"/>
      <c r="AI6023" s="13"/>
      <c r="AJ6023" s="13"/>
      <c r="AK6023" s="13"/>
      <c r="AL6023" s="13"/>
      <c r="AM6023" s="13"/>
      <c r="AN6023" s="13"/>
      <c r="AO6023" s="13"/>
      <c r="AP6023" s="13"/>
      <c r="AQ6023" s="13"/>
      <c r="AR6023" s="13"/>
      <c r="AS6023" s="13"/>
    </row>
    <row r="6024" ht="14.25" customHeight="1">
      <c r="A6024" s="13"/>
      <c r="B6024" s="13"/>
      <c r="C6024" s="13"/>
      <c r="D6024" s="13"/>
      <c r="E6024" s="13"/>
      <c r="F6024" s="13"/>
      <c r="G6024" s="13"/>
      <c r="H6024" s="13"/>
      <c r="I6024" s="13"/>
      <c r="J6024" s="13"/>
      <c r="K6024" s="15"/>
      <c r="L6024" s="15"/>
      <c r="M6024" s="16"/>
      <c r="N6024" s="16"/>
      <c r="O6024" s="17"/>
      <c r="P6024" s="17"/>
      <c r="Q6024" s="13"/>
      <c r="R6024" s="13"/>
      <c r="S6024" s="13"/>
      <c r="T6024" s="13"/>
      <c r="U6024" s="13"/>
      <c r="V6024" s="13"/>
      <c r="W6024" s="13"/>
      <c r="X6024" s="13"/>
      <c r="Y6024" s="13"/>
      <c r="Z6024" s="13"/>
      <c r="AA6024" s="13"/>
      <c r="AB6024" s="13"/>
      <c r="AC6024" s="13"/>
      <c r="AD6024" s="13"/>
      <c r="AE6024" s="13"/>
      <c r="AF6024" s="13"/>
      <c r="AG6024" s="13"/>
      <c r="AH6024" s="13"/>
      <c r="AI6024" s="13"/>
      <c r="AJ6024" s="13"/>
      <c r="AK6024" s="13"/>
      <c r="AL6024" s="13"/>
      <c r="AM6024" s="13"/>
      <c r="AN6024" s="13"/>
      <c r="AO6024" s="13"/>
      <c r="AP6024" s="13"/>
      <c r="AQ6024" s="13"/>
      <c r="AR6024" s="13"/>
      <c r="AS6024" s="13"/>
    </row>
    <row r="6025" ht="14.25" customHeight="1">
      <c r="A6025" s="13"/>
      <c r="B6025" s="13"/>
      <c r="C6025" s="13"/>
      <c r="D6025" s="13"/>
      <c r="E6025" s="13"/>
      <c r="F6025" s="13"/>
      <c r="G6025" s="13"/>
      <c r="H6025" s="13"/>
      <c r="I6025" s="13"/>
      <c r="J6025" s="13"/>
      <c r="K6025" s="15"/>
      <c r="L6025" s="15"/>
      <c r="M6025" s="16"/>
      <c r="N6025" s="16"/>
      <c r="O6025" s="17"/>
      <c r="P6025" s="17"/>
      <c r="Q6025" s="13"/>
      <c r="R6025" s="13"/>
      <c r="S6025" s="13"/>
      <c r="T6025" s="13"/>
      <c r="U6025" s="13"/>
      <c r="V6025" s="13"/>
      <c r="W6025" s="13"/>
      <c r="X6025" s="13"/>
      <c r="Y6025" s="13"/>
      <c r="Z6025" s="13"/>
      <c r="AA6025" s="13"/>
      <c r="AB6025" s="13"/>
      <c r="AC6025" s="13"/>
      <c r="AD6025" s="13"/>
      <c r="AE6025" s="13"/>
      <c r="AF6025" s="13"/>
      <c r="AG6025" s="13"/>
      <c r="AH6025" s="13"/>
      <c r="AI6025" s="13"/>
      <c r="AJ6025" s="13"/>
      <c r="AK6025" s="13"/>
      <c r="AL6025" s="13"/>
      <c r="AM6025" s="13"/>
      <c r="AN6025" s="13"/>
      <c r="AO6025" s="13"/>
      <c r="AP6025" s="13"/>
      <c r="AQ6025" s="13"/>
      <c r="AR6025" s="13"/>
      <c r="AS6025" s="13"/>
    </row>
    <row r="6026" ht="14.25" customHeight="1">
      <c r="A6026" s="13"/>
      <c r="B6026" s="13"/>
      <c r="C6026" s="13"/>
      <c r="D6026" s="13"/>
      <c r="E6026" s="13"/>
      <c r="F6026" s="13"/>
      <c r="G6026" s="13"/>
      <c r="H6026" s="13"/>
      <c r="I6026" s="13"/>
      <c r="J6026" s="13"/>
      <c r="K6026" s="15"/>
      <c r="L6026" s="15"/>
      <c r="M6026" s="16"/>
      <c r="N6026" s="16"/>
      <c r="O6026" s="17"/>
      <c r="P6026" s="17"/>
      <c r="Q6026" s="13"/>
      <c r="R6026" s="13"/>
      <c r="S6026" s="13"/>
      <c r="T6026" s="13"/>
      <c r="U6026" s="13"/>
      <c r="V6026" s="13"/>
      <c r="W6026" s="13"/>
      <c r="X6026" s="13"/>
      <c r="Y6026" s="13"/>
      <c r="Z6026" s="13"/>
      <c r="AA6026" s="13"/>
      <c r="AB6026" s="13"/>
      <c r="AC6026" s="13"/>
      <c r="AD6026" s="13"/>
      <c r="AE6026" s="13"/>
      <c r="AF6026" s="13"/>
      <c r="AG6026" s="13"/>
      <c r="AH6026" s="13"/>
      <c r="AI6026" s="13"/>
      <c r="AJ6026" s="13"/>
      <c r="AK6026" s="13"/>
      <c r="AL6026" s="13"/>
      <c r="AM6026" s="13"/>
      <c r="AN6026" s="13"/>
      <c r="AO6026" s="13"/>
      <c r="AP6026" s="13"/>
      <c r="AQ6026" s="13"/>
      <c r="AR6026" s="13"/>
      <c r="AS6026" s="13"/>
    </row>
    <row r="6027" ht="14.25" customHeight="1">
      <c r="A6027" s="13"/>
      <c r="B6027" s="13"/>
      <c r="C6027" s="13"/>
      <c r="D6027" s="13"/>
      <c r="E6027" s="13"/>
      <c r="F6027" s="13"/>
      <c r="G6027" s="13"/>
      <c r="H6027" s="13"/>
      <c r="I6027" s="13"/>
      <c r="J6027" s="13"/>
      <c r="K6027" s="15"/>
      <c r="L6027" s="15"/>
      <c r="M6027" s="16"/>
      <c r="N6027" s="16"/>
      <c r="O6027" s="17"/>
      <c r="P6027" s="17"/>
      <c r="Q6027" s="13"/>
      <c r="R6027" s="13"/>
      <c r="S6027" s="13"/>
      <c r="T6027" s="13"/>
      <c r="U6027" s="13"/>
      <c r="V6027" s="13"/>
      <c r="W6027" s="13"/>
      <c r="X6027" s="13"/>
      <c r="Y6027" s="13"/>
      <c r="Z6027" s="13"/>
      <c r="AA6027" s="13"/>
      <c r="AB6027" s="13"/>
      <c r="AC6027" s="13"/>
      <c r="AD6027" s="13"/>
      <c r="AE6027" s="13"/>
      <c r="AF6027" s="13"/>
      <c r="AG6027" s="13"/>
      <c r="AH6027" s="13"/>
      <c r="AI6027" s="13"/>
      <c r="AJ6027" s="13"/>
      <c r="AK6027" s="13"/>
      <c r="AL6027" s="13"/>
      <c r="AM6027" s="13"/>
      <c r="AN6027" s="13"/>
      <c r="AO6027" s="13"/>
      <c r="AP6027" s="13"/>
      <c r="AQ6027" s="13"/>
      <c r="AR6027" s="13"/>
      <c r="AS6027" s="13"/>
    </row>
    <row r="6028" ht="14.25" customHeight="1">
      <c r="A6028" s="13"/>
      <c r="B6028" s="13"/>
      <c r="C6028" s="13"/>
      <c r="D6028" s="13"/>
      <c r="E6028" s="13"/>
      <c r="F6028" s="13"/>
      <c r="G6028" s="13"/>
      <c r="H6028" s="13"/>
      <c r="I6028" s="13"/>
      <c r="J6028" s="13"/>
      <c r="K6028" s="15"/>
      <c r="L6028" s="15"/>
      <c r="M6028" s="16"/>
      <c r="N6028" s="16"/>
      <c r="O6028" s="17"/>
      <c r="P6028" s="17"/>
      <c r="Q6028" s="13"/>
      <c r="R6028" s="13"/>
      <c r="S6028" s="13"/>
      <c r="T6028" s="13"/>
      <c r="U6028" s="13"/>
      <c r="V6028" s="13"/>
      <c r="W6028" s="13"/>
      <c r="X6028" s="13"/>
      <c r="Y6028" s="13"/>
      <c r="Z6028" s="13"/>
      <c r="AA6028" s="13"/>
      <c r="AB6028" s="13"/>
      <c r="AC6028" s="13"/>
      <c r="AD6028" s="13"/>
      <c r="AE6028" s="13"/>
      <c r="AF6028" s="13"/>
      <c r="AG6028" s="13"/>
      <c r="AH6028" s="13"/>
      <c r="AI6028" s="13"/>
      <c r="AJ6028" s="13"/>
      <c r="AK6028" s="13"/>
      <c r="AL6028" s="13"/>
      <c r="AM6028" s="13"/>
      <c r="AN6028" s="13"/>
      <c r="AO6028" s="13"/>
      <c r="AP6028" s="13"/>
      <c r="AQ6028" s="13"/>
      <c r="AR6028" s="13"/>
      <c r="AS6028" s="13"/>
    </row>
    <row r="6029" ht="14.25" customHeight="1">
      <c r="A6029" s="13"/>
      <c r="B6029" s="13"/>
      <c r="C6029" s="13"/>
      <c r="D6029" s="13"/>
      <c r="E6029" s="13"/>
      <c r="F6029" s="13"/>
      <c r="G6029" s="13"/>
      <c r="H6029" s="13"/>
      <c r="I6029" s="13"/>
      <c r="J6029" s="13"/>
      <c r="K6029" s="15"/>
      <c r="L6029" s="15"/>
      <c r="M6029" s="16"/>
      <c r="N6029" s="16"/>
      <c r="O6029" s="17"/>
      <c r="P6029" s="17"/>
      <c r="Q6029" s="13"/>
      <c r="R6029" s="13"/>
      <c r="S6029" s="13"/>
      <c r="T6029" s="13"/>
      <c r="U6029" s="13"/>
      <c r="V6029" s="13"/>
      <c r="W6029" s="13"/>
      <c r="X6029" s="13"/>
      <c r="Y6029" s="13"/>
      <c r="Z6029" s="13"/>
      <c r="AA6029" s="13"/>
      <c r="AB6029" s="13"/>
      <c r="AC6029" s="13"/>
      <c r="AD6029" s="13"/>
      <c r="AE6029" s="13"/>
      <c r="AF6029" s="13"/>
      <c r="AG6029" s="13"/>
      <c r="AH6029" s="13"/>
      <c r="AI6029" s="13"/>
      <c r="AJ6029" s="13"/>
      <c r="AK6029" s="13"/>
      <c r="AL6029" s="13"/>
      <c r="AM6029" s="13"/>
      <c r="AN6029" s="13"/>
      <c r="AO6029" s="13"/>
      <c r="AP6029" s="13"/>
      <c r="AQ6029" s="13"/>
      <c r="AR6029" s="13"/>
      <c r="AS6029" s="13"/>
    </row>
    <row r="6030" ht="14.25" customHeight="1">
      <c r="A6030" s="13"/>
      <c r="B6030" s="13"/>
      <c r="C6030" s="13"/>
      <c r="D6030" s="13"/>
      <c r="E6030" s="13"/>
      <c r="F6030" s="13"/>
      <c r="G6030" s="13"/>
      <c r="H6030" s="13"/>
      <c r="I6030" s="13"/>
      <c r="J6030" s="13"/>
      <c r="K6030" s="15"/>
      <c r="L6030" s="15"/>
      <c r="M6030" s="16"/>
      <c r="N6030" s="16"/>
      <c r="O6030" s="17"/>
      <c r="P6030" s="17"/>
      <c r="Q6030" s="13"/>
      <c r="R6030" s="13"/>
      <c r="S6030" s="13"/>
      <c r="T6030" s="13"/>
      <c r="U6030" s="13"/>
      <c r="V6030" s="13"/>
      <c r="W6030" s="13"/>
      <c r="X6030" s="13"/>
      <c r="Y6030" s="13"/>
      <c r="Z6030" s="13"/>
      <c r="AA6030" s="13"/>
      <c r="AB6030" s="13"/>
      <c r="AC6030" s="13"/>
      <c r="AD6030" s="13"/>
      <c r="AE6030" s="13"/>
      <c r="AF6030" s="13"/>
      <c r="AG6030" s="13"/>
      <c r="AH6030" s="13"/>
      <c r="AI6030" s="13"/>
      <c r="AJ6030" s="13"/>
      <c r="AK6030" s="13"/>
      <c r="AL6030" s="13"/>
      <c r="AM6030" s="13"/>
      <c r="AN6030" s="13"/>
      <c r="AO6030" s="13"/>
      <c r="AP6030" s="13"/>
      <c r="AQ6030" s="13"/>
      <c r="AR6030" s="13"/>
      <c r="AS6030" s="13"/>
    </row>
    <row r="6031" ht="14.25" customHeight="1">
      <c r="A6031" s="13"/>
      <c r="B6031" s="13"/>
      <c r="C6031" s="13"/>
      <c r="D6031" s="13"/>
      <c r="E6031" s="13"/>
      <c r="F6031" s="13"/>
      <c r="G6031" s="13"/>
      <c r="H6031" s="13"/>
      <c r="I6031" s="13"/>
      <c r="J6031" s="13"/>
      <c r="K6031" s="15"/>
      <c r="L6031" s="15"/>
      <c r="M6031" s="16"/>
      <c r="N6031" s="16"/>
      <c r="O6031" s="17"/>
      <c r="P6031" s="17"/>
      <c r="Q6031" s="13"/>
      <c r="R6031" s="13"/>
      <c r="S6031" s="13"/>
      <c r="T6031" s="13"/>
      <c r="U6031" s="13"/>
      <c r="V6031" s="13"/>
      <c r="W6031" s="13"/>
      <c r="X6031" s="13"/>
      <c r="Y6031" s="13"/>
      <c r="Z6031" s="13"/>
      <c r="AA6031" s="13"/>
      <c r="AB6031" s="13"/>
      <c r="AC6031" s="13"/>
      <c r="AD6031" s="13"/>
      <c r="AE6031" s="13"/>
      <c r="AF6031" s="13"/>
      <c r="AG6031" s="13"/>
      <c r="AH6031" s="13"/>
      <c r="AI6031" s="13"/>
      <c r="AJ6031" s="13"/>
      <c r="AK6031" s="13"/>
      <c r="AL6031" s="13"/>
      <c r="AM6031" s="13"/>
      <c r="AN6031" s="13"/>
      <c r="AO6031" s="13"/>
      <c r="AP6031" s="13"/>
      <c r="AQ6031" s="13"/>
      <c r="AR6031" s="13"/>
      <c r="AS6031" s="13"/>
    </row>
    <row r="6032" ht="14.25" customHeight="1">
      <c r="A6032" s="13"/>
      <c r="B6032" s="13"/>
      <c r="C6032" s="13"/>
      <c r="D6032" s="13"/>
      <c r="E6032" s="13"/>
      <c r="F6032" s="13"/>
      <c r="G6032" s="13"/>
      <c r="H6032" s="13"/>
      <c r="I6032" s="13"/>
      <c r="J6032" s="13"/>
      <c r="K6032" s="15"/>
      <c r="L6032" s="15"/>
      <c r="M6032" s="16"/>
      <c r="N6032" s="16"/>
      <c r="O6032" s="17"/>
      <c r="P6032" s="17"/>
      <c r="Q6032" s="13"/>
      <c r="R6032" s="13"/>
      <c r="S6032" s="13"/>
      <c r="T6032" s="13"/>
      <c r="U6032" s="13"/>
      <c r="V6032" s="13"/>
      <c r="W6032" s="13"/>
      <c r="X6032" s="13"/>
      <c r="Y6032" s="13"/>
      <c r="Z6032" s="13"/>
      <c r="AA6032" s="13"/>
      <c r="AB6032" s="13"/>
      <c r="AC6032" s="13"/>
      <c r="AD6032" s="13"/>
      <c r="AE6032" s="13"/>
      <c r="AF6032" s="13"/>
      <c r="AG6032" s="13"/>
      <c r="AH6032" s="13"/>
      <c r="AI6032" s="13"/>
      <c r="AJ6032" s="13"/>
      <c r="AK6032" s="13"/>
      <c r="AL6032" s="13"/>
      <c r="AM6032" s="13"/>
      <c r="AN6032" s="13"/>
      <c r="AO6032" s="13"/>
      <c r="AP6032" s="13"/>
      <c r="AQ6032" s="13"/>
      <c r="AR6032" s="13"/>
      <c r="AS6032" s="13"/>
    </row>
    <row r="6033" ht="14.25" customHeight="1">
      <c r="A6033" s="13"/>
      <c r="B6033" s="13"/>
      <c r="C6033" s="13"/>
      <c r="D6033" s="13"/>
      <c r="E6033" s="13"/>
      <c r="F6033" s="13"/>
      <c r="G6033" s="13"/>
      <c r="H6033" s="13"/>
      <c r="I6033" s="13"/>
      <c r="J6033" s="13"/>
      <c r="K6033" s="15"/>
      <c r="L6033" s="15"/>
      <c r="M6033" s="16"/>
      <c r="N6033" s="16"/>
      <c r="O6033" s="17"/>
      <c r="P6033" s="17"/>
      <c r="Q6033" s="13"/>
      <c r="R6033" s="13"/>
      <c r="S6033" s="13"/>
      <c r="T6033" s="13"/>
      <c r="U6033" s="13"/>
      <c r="V6033" s="13"/>
      <c r="W6033" s="13"/>
      <c r="X6033" s="13"/>
      <c r="Y6033" s="13"/>
      <c r="Z6033" s="13"/>
      <c r="AA6033" s="13"/>
      <c r="AB6033" s="13"/>
      <c r="AC6033" s="13"/>
      <c r="AD6033" s="13"/>
      <c r="AE6033" s="13"/>
      <c r="AF6033" s="13"/>
      <c r="AG6033" s="13"/>
      <c r="AH6033" s="13"/>
      <c r="AI6033" s="13"/>
      <c r="AJ6033" s="13"/>
      <c r="AK6033" s="13"/>
      <c r="AL6033" s="13"/>
      <c r="AM6033" s="13"/>
      <c r="AN6033" s="13"/>
      <c r="AO6033" s="13"/>
      <c r="AP6033" s="13"/>
      <c r="AQ6033" s="13"/>
      <c r="AR6033" s="13"/>
      <c r="AS6033" s="13"/>
    </row>
    <row r="6034" ht="14.25" customHeight="1">
      <c r="A6034" s="13"/>
      <c r="B6034" s="13"/>
      <c r="C6034" s="13"/>
      <c r="D6034" s="13"/>
      <c r="E6034" s="13"/>
      <c r="F6034" s="13"/>
      <c r="G6034" s="13"/>
      <c r="H6034" s="13"/>
      <c r="I6034" s="13"/>
      <c r="J6034" s="13"/>
      <c r="K6034" s="15"/>
      <c r="L6034" s="15"/>
      <c r="M6034" s="16"/>
      <c r="N6034" s="16"/>
      <c r="O6034" s="17"/>
      <c r="P6034" s="17"/>
      <c r="Q6034" s="13"/>
      <c r="R6034" s="13"/>
      <c r="S6034" s="13"/>
      <c r="T6034" s="13"/>
      <c r="U6034" s="13"/>
      <c r="V6034" s="13"/>
      <c r="W6034" s="13"/>
      <c r="X6034" s="13"/>
      <c r="Y6034" s="13"/>
      <c r="Z6034" s="13"/>
      <c r="AA6034" s="13"/>
      <c r="AB6034" s="13"/>
      <c r="AC6034" s="13"/>
      <c r="AD6034" s="13"/>
      <c r="AE6034" s="13"/>
      <c r="AF6034" s="13"/>
      <c r="AG6034" s="13"/>
      <c r="AH6034" s="13"/>
      <c r="AI6034" s="13"/>
      <c r="AJ6034" s="13"/>
      <c r="AK6034" s="13"/>
      <c r="AL6034" s="13"/>
      <c r="AM6034" s="13"/>
      <c r="AN6034" s="13"/>
      <c r="AO6034" s="13"/>
      <c r="AP6034" s="13"/>
      <c r="AQ6034" s="13"/>
      <c r="AR6034" s="13"/>
      <c r="AS6034" s="13"/>
    </row>
    <row r="6035" ht="14.25" customHeight="1">
      <c r="A6035" s="13"/>
      <c r="B6035" s="13"/>
      <c r="C6035" s="13"/>
      <c r="D6035" s="13"/>
      <c r="E6035" s="13"/>
      <c r="F6035" s="13"/>
      <c r="G6035" s="13"/>
      <c r="H6035" s="13"/>
      <c r="I6035" s="13"/>
      <c r="J6035" s="13"/>
      <c r="K6035" s="15"/>
      <c r="L6035" s="15"/>
      <c r="M6035" s="16"/>
      <c r="N6035" s="16"/>
      <c r="O6035" s="17"/>
      <c r="P6035" s="17"/>
      <c r="Q6035" s="13"/>
      <c r="R6035" s="13"/>
      <c r="S6035" s="13"/>
      <c r="T6035" s="13"/>
      <c r="U6035" s="13"/>
      <c r="V6035" s="13"/>
      <c r="W6035" s="13"/>
      <c r="X6035" s="13"/>
      <c r="Y6035" s="13"/>
      <c r="Z6035" s="13"/>
      <c r="AA6035" s="13"/>
      <c r="AB6035" s="13"/>
      <c r="AC6035" s="13"/>
      <c r="AD6035" s="13"/>
      <c r="AE6035" s="13"/>
      <c r="AF6035" s="13"/>
      <c r="AG6035" s="13"/>
      <c r="AH6035" s="13"/>
      <c r="AI6035" s="13"/>
      <c r="AJ6035" s="13"/>
      <c r="AK6035" s="13"/>
      <c r="AL6035" s="13"/>
      <c r="AM6035" s="13"/>
      <c r="AN6035" s="13"/>
      <c r="AO6035" s="13"/>
      <c r="AP6035" s="13"/>
      <c r="AQ6035" s="13"/>
      <c r="AR6035" s="13"/>
      <c r="AS6035" s="13"/>
    </row>
    <row r="6036" ht="14.25" customHeight="1">
      <c r="A6036" s="13"/>
      <c r="B6036" s="13"/>
      <c r="C6036" s="13"/>
      <c r="D6036" s="13"/>
      <c r="E6036" s="13"/>
      <c r="F6036" s="13"/>
      <c r="G6036" s="13"/>
      <c r="H6036" s="13"/>
      <c r="I6036" s="13"/>
      <c r="J6036" s="13"/>
      <c r="K6036" s="15"/>
      <c r="L6036" s="15"/>
      <c r="M6036" s="16"/>
      <c r="N6036" s="16"/>
      <c r="O6036" s="17"/>
      <c r="P6036" s="17"/>
      <c r="Q6036" s="13"/>
      <c r="R6036" s="13"/>
      <c r="S6036" s="13"/>
      <c r="T6036" s="13"/>
      <c r="U6036" s="13"/>
      <c r="V6036" s="13"/>
      <c r="W6036" s="13"/>
      <c r="X6036" s="13"/>
      <c r="Y6036" s="13"/>
      <c r="Z6036" s="13"/>
      <c r="AA6036" s="13"/>
      <c r="AB6036" s="13"/>
      <c r="AC6036" s="13"/>
      <c r="AD6036" s="13"/>
      <c r="AE6036" s="13"/>
      <c r="AF6036" s="13"/>
      <c r="AG6036" s="13"/>
      <c r="AH6036" s="13"/>
      <c r="AI6036" s="13"/>
      <c r="AJ6036" s="13"/>
      <c r="AK6036" s="13"/>
      <c r="AL6036" s="13"/>
      <c r="AM6036" s="13"/>
      <c r="AN6036" s="13"/>
      <c r="AO6036" s="13"/>
      <c r="AP6036" s="13"/>
      <c r="AQ6036" s="13"/>
      <c r="AR6036" s="13"/>
      <c r="AS6036" s="13"/>
    </row>
    <row r="6037" ht="14.25" customHeight="1">
      <c r="A6037" s="13"/>
      <c r="B6037" s="13"/>
      <c r="C6037" s="13"/>
      <c r="D6037" s="13"/>
      <c r="E6037" s="13"/>
      <c r="F6037" s="13"/>
      <c r="G6037" s="13"/>
      <c r="H6037" s="13"/>
      <c r="I6037" s="13"/>
      <c r="J6037" s="13"/>
      <c r="K6037" s="15"/>
      <c r="L6037" s="15"/>
      <c r="M6037" s="16"/>
      <c r="N6037" s="16"/>
      <c r="O6037" s="17"/>
      <c r="P6037" s="17"/>
      <c r="Q6037" s="13"/>
      <c r="R6037" s="13"/>
      <c r="S6037" s="13"/>
      <c r="T6037" s="13"/>
      <c r="U6037" s="13"/>
      <c r="V6037" s="13"/>
      <c r="W6037" s="13"/>
      <c r="X6037" s="13"/>
      <c r="Y6037" s="13"/>
      <c r="Z6037" s="13"/>
      <c r="AA6037" s="13"/>
      <c r="AB6037" s="13"/>
      <c r="AC6037" s="13"/>
      <c r="AD6037" s="13"/>
      <c r="AE6037" s="13"/>
      <c r="AF6037" s="13"/>
      <c r="AG6037" s="13"/>
      <c r="AH6037" s="13"/>
      <c r="AI6037" s="13"/>
      <c r="AJ6037" s="13"/>
      <c r="AK6037" s="13"/>
      <c r="AL6037" s="13"/>
      <c r="AM6037" s="13"/>
      <c r="AN6037" s="13"/>
      <c r="AO6037" s="13"/>
      <c r="AP6037" s="13"/>
      <c r="AQ6037" s="13"/>
      <c r="AR6037" s="13"/>
      <c r="AS6037" s="13"/>
    </row>
    <row r="6038" ht="14.25" customHeight="1">
      <c r="A6038" s="13"/>
      <c r="B6038" s="13"/>
      <c r="C6038" s="13"/>
      <c r="D6038" s="13"/>
      <c r="E6038" s="13"/>
      <c r="F6038" s="13"/>
      <c r="G6038" s="13"/>
      <c r="H6038" s="13"/>
      <c r="I6038" s="13"/>
      <c r="J6038" s="13"/>
      <c r="K6038" s="15"/>
      <c r="L6038" s="15"/>
      <c r="M6038" s="16"/>
      <c r="N6038" s="16"/>
      <c r="O6038" s="17"/>
      <c r="P6038" s="17"/>
      <c r="Q6038" s="13"/>
      <c r="R6038" s="13"/>
      <c r="S6038" s="13"/>
      <c r="T6038" s="13"/>
      <c r="U6038" s="13"/>
      <c r="V6038" s="13"/>
      <c r="W6038" s="13"/>
      <c r="X6038" s="13"/>
      <c r="Y6038" s="13"/>
      <c r="Z6038" s="13"/>
      <c r="AA6038" s="13"/>
      <c r="AB6038" s="13"/>
      <c r="AC6038" s="13"/>
      <c r="AD6038" s="13"/>
      <c r="AE6038" s="13"/>
      <c r="AF6038" s="13"/>
      <c r="AG6038" s="13"/>
      <c r="AH6038" s="13"/>
      <c r="AI6038" s="13"/>
      <c r="AJ6038" s="13"/>
      <c r="AK6038" s="13"/>
      <c r="AL6038" s="13"/>
      <c r="AM6038" s="13"/>
      <c r="AN6038" s="13"/>
      <c r="AO6038" s="13"/>
      <c r="AP6038" s="13"/>
      <c r="AQ6038" s="13"/>
      <c r="AR6038" s="13"/>
      <c r="AS6038" s="13"/>
    </row>
    <row r="6039" ht="14.25" customHeight="1">
      <c r="A6039" s="13"/>
      <c r="B6039" s="13"/>
      <c r="C6039" s="13"/>
      <c r="D6039" s="13"/>
      <c r="E6039" s="13"/>
      <c r="F6039" s="13"/>
      <c r="G6039" s="13"/>
      <c r="H6039" s="13"/>
      <c r="I6039" s="13"/>
      <c r="J6039" s="13"/>
      <c r="K6039" s="15"/>
      <c r="L6039" s="15"/>
      <c r="M6039" s="16"/>
      <c r="N6039" s="16"/>
      <c r="O6039" s="17"/>
      <c r="P6039" s="17"/>
      <c r="Q6039" s="13"/>
      <c r="R6039" s="13"/>
      <c r="S6039" s="13"/>
      <c r="T6039" s="13"/>
      <c r="U6039" s="13"/>
      <c r="V6039" s="13"/>
      <c r="W6039" s="13"/>
      <c r="X6039" s="13"/>
      <c r="Y6039" s="13"/>
      <c r="Z6039" s="13"/>
      <c r="AA6039" s="13"/>
      <c r="AB6039" s="13"/>
      <c r="AC6039" s="13"/>
      <c r="AD6039" s="13"/>
      <c r="AE6039" s="13"/>
      <c r="AF6039" s="13"/>
      <c r="AG6039" s="13"/>
      <c r="AH6039" s="13"/>
      <c r="AI6039" s="13"/>
      <c r="AJ6039" s="13"/>
      <c r="AK6039" s="13"/>
      <c r="AL6039" s="13"/>
      <c r="AM6039" s="13"/>
      <c r="AN6039" s="13"/>
      <c r="AO6039" s="13"/>
      <c r="AP6039" s="13"/>
      <c r="AQ6039" s="13"/>
      <c r="AR6039" s="13"/>
      <c r="AS6039" s="13"/>
    </row>
    <row r="6040" ht="14.25" customHeight="1">
      <c r="A6040" s="13"/>
      <c r="B6040" s="13"/>
      <c r="C6040" s="13"/>
      <c r="D6040" s="13"/>
      <c r="E6040" s="13"/>
      <c r="F6040" s="13"/>
      <c r="G6040" s="13"/>
      <c r="H6040" s="13"/>
      <c r="I6040" s="13"/>
      <c r="J6040" s="13"/>
      <c r="K6040" s="15"/>
      <c r="L6040" s="15"/>
      <c r="M6040" s="16"/>
      <c r="N6040" s="16"/>
      <c r="O6040" s="17"/>
      <c r="P6040" s="17"/>
      <c r="Q6040" s="13"/>
      <c r="R6040" s="13"/>
      <c r="S6040" s="13"/>
      <c r="T6040" s="13"/>
      <c r="U6040" s="13"/>
      <c r="V6040" s="13"/>
      <c r="W6040" s="13"/>
      <c r="X6040" s="13"/>
      <c r="Y6040" s="13"/>
      <c r="Z6040" s="13"/>
      <c r="AA6040" s="13"/>
      <c r="AB6040" s="13"/>
      <c r="AC6040" s="13"/>
      <c r="AD6040" s="13"/>
      <c r="AE6040" s="13"/>
      <c r="AF6040" s="13"/>
      <c r="AG6040" s="13"/>
      <c r="AH6040" s="13"/>
      <c r="AI6040" s="13"/>
      <c r="AJ6040" s="13"/>
      <c r="AK6040" s="13"/>
      <c r="AL6040" s="13"/>
      <c r="AM6040" s="13"/>
      <c r="AN6040" s="13"/>
      <c r="AO6040" s="13"/>
      <c r="AP6040" s="13"/>
      <c r="AQ6040" s="13"/>
      <c r="AR6040" s="13"/>
      <c r="AS6040" s="13"/>
    </row>
    <row r="6041" ht="14.25" customHeight="1">
      <c r="A6041" s="13"/>
      <c r="B6041" s="13"/>
      <c r="C6041" s="13"/>
      <c r="D6041" s="13"/>
      <c r="E6041" s="13"/>
      <c r="F6041" s="13"/>
      <c r="G6041" s="13"/>
      <c r="H6041" s="13"/>
      <c r="I6041" s="13"/>
      <c r="J6041" s="13"/>
      <c r="K6041" s="15"/>
      <c r="L6041" s="15"/>
      <c r="M6041" s="16"/>
      <c r="N6041" s="16"/>
      <c r="O6041" s="17"/>
      <c r="P6041" s="17"/>
      <c r="Q6041" s="13"/>
      <c r="R6041" s="13"/>
      <c r="S6041" s="13"/>
      <c r="T6041" s="13"/>
      <c r="U6041" s="13"/>
      <c r="V6041" s="13"/>
      <c r="W6041" s="13"/>
      <c r="X6041" s="13"/>
      <c r="Y6041" s="13"/>
      <c r="Z6041" s="13"/>
      <c r="AA6041" s="13"/>
      <c r="AB6041" s="13"/>
      <c r="AC6041" s="13"/>
      <c r="AD6041" s="13"/>
      <c r="AE6041" s="13"/>
      <c r="AF6041" s="13"/>
      <c r="AG6041" s="13"/>
      <c r="AH6041" s="13"/>
      <c r="AI6041" s="13"/>
      <c r="AJ6041" s="13"/>
      <c r="AK6041" s="13"/>
      <c r="AL6041" s="13"/>
      <c r="AM6041" s="13"/>
      <c r="AN6041" s="13"/>
      <c r="AO6041" s="13"/>
      <c r="AP6041" s="13"/>
      <c r="AQ6041" s="13"/>
      <c r="AR6041" s="13"/>
      <c r="AS6041" s="13"/>
    </row>
    <row r="6042" ht="14.25" customHeight="1">
      <c r="A6042" s="13"/>
      <c r="B6042" s="13"/>
      <c r="C6042" s="13"/>
      <c r="D6042" s="13"/>
      <c r="E6042" s="13"/>
      <c r="F6042" s="13"/>
      <c r="G6042" s="13"/>
      <c r="H6042" s="13"/>
      <c r="I6042" s="13"/>
      <c r="J6042" s="13"/>
      <c r="K6042" s="15"/>
      <c r="L6042" s="15"/>
      <c r="M6042" s="16"/>
      <c r="N6042" s="16"/>
      <c r="O6042" s="17"/>
      <c r="P6042" s="17"/>
      <c r="Q6042" s="13"/>
      <c r="R6042" s="13"/>
      <c r="S6042" s="13"/>
      <c r="T6042" s="13"/>
      <c r="U6042" s="13"/>
      <c r="V6042" s="13"/>
      <c r="W6042" s="13"/>
      <c r="X6042" s="13"/>
      <c r="Y6042" s="13"/>
      <c r="Z6042" s="13"/>
      <c r="AA6042" s="13"/>
      <c r="AB6042" s="13"/>
      <c r="AC6042" s="13"/>
      <c r="AD6042" s="13"/>
      <c r="AE6042" s="13"/>
      <c r="AF6042" s="13"/>
      <c r="AG6042" s="13"/>
      <c r="AH6042" s="13"/>
      <c r="AI6042" s="13"/>
      <c r="AJ6042" s="13"/>
      <c r="AK6042" s="13"/>
      <c r="AL6042" s="13"/>
      <c r="AM6042" s="13"/>
      <c r="AN6042" s="13"/>
      <c r="AO6042" s="13"/>
      <c r="AP6042" s="13"/>
      <c r="AQ6042" s="13"/>
      <c r="AR6042" s="13"/>
      <c r="AS6042" s="13"/>
    </row>
    <row r="6043" ht="14.25" customHeight="1">
      <c r="A6043" s="13"/>
      <c r="B6043" s="13"/>
      <c r="C6043" s="13"/>
      <c r="D6043" s="13"/>
      <c r="E6043" s="13"/>
      <c r="F6043" s="13"/>
      <c r="G6043" s="13"/>
      <c r="H6043" s="13"/>
      <c r="I6043" s="13"/>
      <c r="J6043" s="13"/>
      <c r="K6043" s="15"/>
      <c r="L6043" s="15"/>
      <c r="M6043" s="16"/>
      <c r="N6043" s="16"/>
      <c r="O6043" s="17"/>
      <c r="P6043" s="17"/>
      <c r="Q6043" s="13"/>
      <c r="R6043" s="13"/>
      <c r="S6043" s="13"/>
      <c r="T6043" s="13"/>
      <c r="U6043" s="13"/>
      <c r="V6043" s="13"/>
      <c r="W6043" s="13"/>
      <c r="X6043" s="13"/>
      <c r="Y6043" s="13"/>
      <c r="Z6043" s="13"/>
      <c r="AA6043" s="13"/>
      <c r="AB6043" s="13"/>
      <c r="AC6043" s="13"/>
      <c r="AD6043" s="13"/>
      <c r="AE6043" s="13"/>
      <c r="AF6043" s="13"/>
      <c r="AG6043" s="13"/>
      <c r="AH6043" s="13"/>
      <c r="AI6043" s="13"/>
      <c r="AJ6043" s="13"/>
      <c r="AK6043" s="13"/>
      <c r="AL6043" s="13"/>
      <c r="AM6043" s="13"/>
      <c r="AN6043" s="13"/>
      <c r="AO6043" s="13"/>
      <c r="AP6043" s="13"/>
      <c r="AQ6043" s="13"/>
      <c r="AR6043" s="13"/>
      <c r="AS6043" s="13"/>
    </row>
    <row r="6044" ht="14.25" customHeight="1">
      <c r="A6044" s="13"/>
      <c r="B6044" s="13"/>
      <c r="C6044" s="13"/>
      <c r="D6044" s="13"/>
      <c r="E6044" s="13"/>
      <c r="F6044" s="13"/>
      <c r="G6044" s="13"/>
      <c r="H6044" s="13"/>
      <c r="I6044" s="13"/>
      <c r="J6044" s="13"/>
      <c r="K6044" s="15"/>
      <c r="L6044" s="15"/>
      <c r="M6044" s="16"/>
      <c r="N6044" s="16"/>
      <c r="O6044" s="17"/>
      <c r="P6044" s="17"/>
      <c r="Q6044" s="13"/>
      <c r="R6044" s="13"/>
      <c r="S6044" s="13"/>
      <c r="T6044" s="13"/>
      <c r="U6044" s="13"/>
      <c r="V6044" s="13"/>
      <c r="W6044" s="13"/>
      <c r="X6044" s="13"/>
      <c r="Y6044" s="13"/>
      <c r="Z6044" s="13"/>
      <c r="AA6044" s="13"/>
      <c r="AB6044" s="13"/>
      <c r="AC6044" s="13"/>
      <c r="AD6044" s="13"/>
      <c r="AE6044" s="13"/>
      <c r="AF6044" s="13"/>
      <c r="AG6044" s="13"/>
      <c r="AH6044" s="13"/>
      <c r="AI6044" s="13"/>
      <c r="AJ6044" s="13"/>
      <c r="AK6044" s="13"/>
      <c r="AL6044" s="13"/>
      <c r="AM6044" s="13"/>
      <c r="AN6044" s="13"/>
      <c r="AO6044" s="13"/>
      <c r="AP6044" s="13"/>
      <c r="AQ6044" s="13"/>
      <c r="AR6044" s="13"/>
      <c r="AS6044" s="13"/>
    </row>
    <row r="6045" ht="14.25" customHeight="1">
      <c r="A6045" s="13"/>
      <c r="B6045" s="13"/>
      <c r="C6045" s="13"/>
      <c r="D6045" s="13"/>
      <c r="E6045" s="13"/>
      <c r="F6045" s="13"/>
      <c r="G6045" s="13"/>
      <c r="H6045" s="13"/>
      <c r="I6045" s="13"/>
      <c r="J6045" s="13"/>
      <c r="K6045" s="15"/>
      <c r="L6045" s="15"/>
      <c r="M6045" s="16"/>
      <c r="N6045" s="16"/>
      <c r="O6045" s="17"/>
      <c r="P6045" s="17"/>
      <c r="Q6045" s="13"/>
      <c r="R6045" s="13"/>
      <c r="S6045" s="13"/>
      <c r="T6045" s="13"/>
      <c r="U6045" s="13"/>
      <c r="V6045" s="13"/>
      <c r="W6045" s="13"/>
      <c r="X6045" s="13"/>
      <c r="Y6045" s="13"/>
      <c r="Z6045" s="13"/>
      <c r="AA6045" s="13"/>
      <c r="AB6045" s="13"/>
      <c r="AC6045" s="13"/>
      <c r="AD6045" s="13"/>
      <c r="AE6045" s="13"/>
      <c r="AF6045" s="13"/>
      <c r="AG6045" s="13"/>
      <c r="AH6045" s="13"/>
      <c r="AI6045" s="13"/>
      <c r="AJ6045" s="13"/>
      <c r="AK6045" s="13"/>
      <c r="AL6045" s="13"/>
      <c r="AM6045" s="13"/>
      <c r="AN6045" s="13"/>
      <c r="AO6045" s="13"/>
      <c r="AP6045" s="13"/>
      <c r="AQ6045" s="13"/>
      <c r="AR6045" s="13"/>
      <c r="AS6045" s="13"/>
    </row>
    <row r="6046" ht="14.25" customHeight="1">
      <c r="A6046" s="13"/>
      <c r="B6046" s="13"/>
      <c r="C6046" s="13"/>
      <c r="D6046" s="13"/>
      <c r="E6046" s="13"/>
      <c r="F6046" s="13"/>
      <c r="G6046" s="13"/>
      <c r="H6046" s="13"/>
      <c r="I6046" s="13"/>
      <c r="J6046" s="13"/>
      <c r="K6046" s="15"/>
      <c r="L6046" s="15"/>
      <c r="M6046" s="16"/>
      <c r="N6046" s="16"/>
      <c r="O6046" s="17"/>
      <c r="P6046" s="17"/>
      <c r="Q6046" s="13"/>
      <c r="R6046" s="13"/>
      <c r="S6046" s="13"/>
      <c r="T6046" s="13"/>
      <c r="U6046" s="13"/>
      <c r="V6046" s="13"/>
      <c r="W6046" s="13"/>
      <c r="X6046" s="13"/>
      <c r="Y6046" s="13"/>
      <c r="Z6046" s="13"/>
      <c r="AA6046" s="13"/>
      <c r="AB6046" s="13"/>
      <c r="AC6046" s="13"/>
      <c r="AD6046" s="13"/>
      <c r="AE6046" s="13"/>
      <c r="AF6046" s="13"/>
      <c r="AG6046" s="13"/>
      <c r="AH6046" s="13"/>
      <c r="AI6046" s="13"/>
      <c r="AJ6046" s="13"/>
      <c r="AK6046" s="13"/>
      <c r="AL6046" s="13"/>
      <c r="AM6046" s="13"/>
      <c r="AN6046" s="13"/>
      <c r="AO6046" s="13"/>
      <c r="AP6046" s="13"/>
      <c r="AQ6046" s="13"/>
      <c r="AR6046" s="13"/>
      <c r="AS6046" s="13"/>
    </row>
    <row r="6047" ht="14.25" customHeight="1">
      <c r="A6047" s="13"/>
      <c r="B6047" s="13"/>
      <c r="C6047" s="13"/>
      <c r="D6047" s="13"/>
      <c r="E6047" s="13"/>
      <c r="F6047" s="13"/>
      <c r="G6047" s="13"/>
      <c r="H6047" s="13"/>
      <c r="I6047" s="13"/>
      <c r="J6047" s="13"/>
      <c r="K6047" s="15"/>
      <c r="L6047" s="15"/>
      <c r="M6047" s="16"/>
      <c r="N6047" s="16"/>
      <c r="O6047" s="17"/>
      <c r="P6047" s="17"/>
      <c r="Q6047" s="13"/>
      <c r="R6047" s="13"/>
      <c r="S6047" s="13"/>
      <c r="T6047" s="13"/>
      <c r="U6047" s="13"/>
      <c r="V6047" s="13"/>
      <c r="W6047" s="13"/>
      <c r="X6047" s="13"/>
      <c r="Y6047" s="13"/>
      <c r="Z6047" s="13"/>
      <c r="AA6047" s="13"/>
      <c r="AB6047" s="13"/>
      <c r="AC6047" s="13"/>
      <c r="AD6047" s="13"/>
      <c r="AE6047" s="13"/>
      <c r="AF6047" s="13"/>
      <c r="AG6047" s="13"/>
      <c r="AH6047" s="13"/>
      <c r="AI6047" s="13"/>
      <c r="AJ6047" s="13"/>
      <c r="AK6047" s="13"/>
      <c r="AL6047" s="13"/>
      <c r="AM6047" s="13"/>
      <c r="AN6047" s="13"/>
      <c r="AO6047" s="13"/>
      <c r="AP6047" s="13"/>
      <c r="AQ6047" s="13"/>
      <c r="AR6047" s="13"/>
      <c r="AS6047" s="13"/>
    </row>
    <row r="6048" ht="14.25" customHeight="1">
      <c r="A6048" s="13"/>
      <c r="B6048" s="13"/>
      <c r="C6048" s="13"/>
      <c r="D6048" s="13"/>
      <c r="E6048" s="13"/>
      <c r="F6048" s="13"/>
      <c r="G6048" s="13"/>
      <c r="H6048" s="13"/>
      <c r="I6048" s="13"/>
      <c r="J6048" s="13"/>
      <c r="K6048" s="15"/>
      <c r="L6048" s="15"/>
      <c r="M6048" s="16"/>
      <c r="N6048" s="16"/>
      <c r="O6048" s="17"/>
      <c r="P6048" s="17"/>
      <c r="Q6048" s="13"/>
      <c r="R6048" s="13"/>
      <c r="S6048" s="13"/>
      <c r="T6048" s="13"/>
      <c r="U6048" s="13"/>
      <c r="V6048" s="13"/>
      <c r="W6048" s="13"/>
      <c r="X6048" s="13"/>
      <c r="Y6048" s="13"/>
      <c r="Z6048" s="13"/>
      <c r="AA6048" s="13"/>
      <c r="AB6048" s="13"/>
      <c r="AC6048" s="13"/>
      <c r="AD6048" s="13"/>
      <c r="AE6048" s="13"/>
      <c r="AF6048" s="13"/>
      <c r="AG6048" s="13"/>
      <c r="AH6048" s="13"/>
      <c r="AI6048" s="13"/>
      <c r="AJ6048" s="13"/>
      <c r="AK6048" s="13"/>
      <c r="AL6048" s="13"/>
      <c r="AM6048" s="13"/>
      <c r="AN6048" s="13"/>
      <c r="AO6048" s="13"/>
      <c r="AP6048" s="13"/>
      <c r="AQ6048" s="13"/>
      <c r="AR6048" s="13"/>
      <c r="AS6048" s="13"/>
    </row>
    <row r="6049" ht="14.25" customHeight="1">
      <c r="A6049" s="13"/>
      <c r="B6049" s="13"/>
      <c r="C6049" s="13"/>
      <c r="D6049" s="13"/>
      <c r="E6049" s="13"/>
      <c r="F6049" s="13"/>
      <c r="G6049" s="13"/>
      <c r="H6049" s="13"/>
      <c r="I6049" s="13"/>
      <c r="J6049" s="13"/>
      <c r="K6049" s="15"/>
      <c r="L6049" s="15"/>
      <c r="M6049" s="16"/>
      <c r="N6049" s="16"/>
      <c r="O6049" s="17"/>
      <c r="P6049" s="17"/>
      <c r="Q6049" s="13"/>
      <c r="R6049" s="13"/>
      <c r="S6049" s="13"/>
      <c r="T6049" s="13"/>
      <c r="U6049" s="13"/>
      <c r="V6049" s="13"/>
      <c r="W6049" s="13"/>
      <c r="X6049" s="13"/>
      <c r="Y6049" s="13"/>
      <c r="Z6049" s="13"/>
      <c r="AA6049" s="13"/>
      <c r="AB6049" s="13"/>
      <c r="AC6049" s="13"/>
      <c r="AD6049" s="13"/>
      <c r="AE6049" s="13"/>
      <c r="AF6049" s="13"/>
      <c r="AG6049" s="13"/>
      <c r="AH6049" s="13"/>
      <c r="AI6049" s="13"/>
      <c r="AJ6049" s="13"/>
      <c r="AK6049" s="13"/>
      <c r="AL6049" s="13"/>
      <c r="AM6049" s="13"/>
      <c r="AN6049" s="13"/>
      <c r="AO6049" s="13"/>
      <c r="AP6049" s="13"/>
      <c r="AQ6049" s="13"/>
      <c r="AR6049" s="13"/>
      <c r="AS6049" s="13"/>
    </row>
    <row r="6050" ht="14.25" customHeight="1">
      <c r="A6050" s="13"/>
      <c r="B6050" s="13"/>
      <c r="C6050" s="13"/>
      <c r="D6050" s="13"/>
      <c r="E6050" s="13"/>
      <c r="F6050" s="13"/>
      <c r="G6050" s="13"/>
      <c r="H6050" s="13"/>
      <c r="I6050" s="13"/>
      <c r="J6050" s="13"/>
      <c r="K6050" s="15"/>
      <c r="L6050" s="15"/>
      <c r="M6050" s="16"/>
      <c r="N6050" s="16"/>
      <c r="O6050" s="17"/>
      <c r="P6050" s="17"/>
      <c r="Q6050" s="13"/>
      <c r="R6050" s="13"/>
      <c r="S6050" s="13"/>
      <c r="T6050" s="13"/>
      <c r="U6050" s="13"/>
      <c r="V6050" s="13"/>
      <c r="W6050" s="13"/>
      <c r="X6050" s="13"/>
      <c r="Y6050" s="13"/>
      <c r="Z6050" s="13"/>
      <c r="AA6050" s="13"/>
      <c r="AB6050" s="13"/>
      <c r="AC6050" s="13"/>
      <c r="AD6050" s="13"/>
      <c r="AE6050" s="13"/>
      <c r="AF6050" s="13"/>
      <c r="AG6050" s="13"/>
      <c r="AH6050" s="13"/>
      <c r="AI6050" s="13"/>
      <c r="AJ6050" s="13"/>
      <c r="AK6050" s="13"/>
      <c r="AL6050" s="13"/>
      <c r="AM6050" s="13"/>
      <c r="AN6050" s="13"/>
      <c r="AO6050" s="13"/>
      <c r="AP6050" s="13"/>
      <c r="AQ6050" s="13"/>
      <c r="AR6050" s="13"/>
      <c r="AS6050" s="13"/>
    </row>
    <row r="6051" ht="14.25" customHeight="1">
      <c r="A6051" s="13"/>
      <c r="B6051" s="13"/>
      <c r="C6051" s="13"/>
      <c r="D6051" s="13"/>
      <c r="E6051" s="13"/>
      <c r="F6051" s="13"/>
      <c r="G6051" s="13"/>
      <c r="H6051" s="13"/>
      <c r="I6051" s="13"/>
      <c r="J6051" s="13"/>
      <c r="K6051" s="15"/>
      <c r="L6051" s="15"/>
      <c r="M6051" s="16"/>
      <c r="N6051" s="16"/>
      <c r="O6051" s="17"/>
      <c r="P6051" s="17"/>
      <c r="Q6051" s="13"/>
      <c r="R6051" s="13"/>
      <c r="S6051" s="13"/>
      <c r="T6051" s="13"/>
      <c r="U6051" s="13"/>
      <c r="V6051" s="13"/>
      <c r="W6051" s="13"/>
      <c r="X6051" s="13"/>
      <c r="Y6051" s="13"/>
      <c r="Z6051" s="13"/>
      <c r="AA6051" s="13"/>
      <c r="AB6051" s="13"/>
      <c r="AC6051" s="13"/>
      <c r="AD6051" s="13"/>
      <c r="AE6051" s="13"/>
      <c r="AF6051" s="13"/>
      <c r="AG6051" s="13"/>
      <c r="AH6051" s="13"/>
      <c r="AI6051" s="13"/>
      <c r="AJ6051" s="13"/>
      <c r="AK6051" s="13"/>
      <c r="AL6051" s="13"/>
      <c r="AM6051" s="13"/>
      <c r="AN6051" s="13"/>
      <c r="AO6051" s="13"/>
      <c r="AP6051" s="13"/>
      <c r="AQ6051" s="13"/>
      <c r="AR6051" s="13"/>
      <c r="AS6051" s="13"/>
    </row>
    <row r="6052" ht="14.25" customHeight="1">
      <c r="A6052" s="13"/>
      <c r="B6052" s="13"/>
      <c r="C6052" s="13"/>
      <c r="D6052" s="13"/>
      <c r="E6052" s="13"/>
      <c r="F6052" s="13"/>
      <c r="G6052" s="13"/>
      <c r="H6052" s="13"/>
      <c r="I6052" s="13"/>
      <c r="J6052" s="13"/>
      <c r="K6052" s="15"/>
      <c r="L6052" s="15"/>
      <c r="M6052" s="16"/>
      <c r="N6052" s="16"/>
      <c r="O6052" s="17"/>
      <c r="P6052" s="17"/>
      <c r="Q6052" s="13"/>
      <c r="R6052" s="13"/>
      <c r="S6052" s="13"/>
      <c r="T6052" s="13"/>
      <c r="U6052" s="13"/>
      <c r="V6052" s="13"/>
      <c r="W6052" s="13"/>
      <c r="X6052" s="13"/>
      <c r="Y6052" s="13"/>
      <c r="Z6052" s="13"/>
      <c r="AA6052" s="13"/>
      <c r="AB6052" s="13"/>
      <c r="AC6052" s="13"/>
      <c r="AD6052" s="13"/>
      <c r="AE6052" s="13"/>
      <c r="AF6052" s="13"/>
      <c r="AG6052" s="13"/>
      <c r="AH6052" s="13"/>
      <c r="AI6052" s="13"/>
      <c r="AJ6052" s="13"/>
      <c r="AK6052" s="13"/>
      <c r="AL6052" s="13"/>
      <c r="AM6052" s="13"/>
      <c r="AN6052" s="13"/>
      <c r="AO6052" s="13"/>
      <c r="AP6052" s="13"/>
      <c r="AQ6052" s="13"/>
      <c r="AR6052" s="13"/>
      <c r="AS6052" s="13"/>
    </row>
    <row r="6053" ht="14.25" customHeight="1">
      <c r="A6053" s="13"/>
      <c r="B6053" s="13"/>
      <c r="C6053" s="13"/>
      <c r="D6053" s="13"/>
      <c r="E6053" s="13"/>
      <c r="F6053" s="13"/>
      <c r="G6053" s="13"/>
      <c r="H6053" s="13"/>
      <c r="I6053" s="13"/>
      <c r="J6053" s="13"/>
      <c r="K6053" s="15"/>
      <c r="L6053" s="15"/>
      <c r="M6053" s="16"/>
      <c r="N6053" s="16"/>
      <c r="O6053" s="17"/>
      <c r="P6053" s="17"/>
      <c r="Q6053" s="13"/>
      <c r="R6053" s="13"/>
      <c r="S6053" s="13"/>
      <c r="T6053" s="13"/>
      <c r="U6053" s="13"/>
      <c r="V6053" s="13"/>
      <c r="W6053" s="13"/>
      <c r="X6053" s="13"/>
      <c r="Y6053" s="13"/>
      <c r="Z6053" s="13"/>
      <c r="AA6053" s="13"/>
      <c r="AB6053" s="13"/>
      <c r="AC6053" s="13"/>
      <c r="AD6053" s="13"/>
      <c r="AE6053" s="13"/>
      <c r="AF6053" s="13"/>
      <c r="AG6053" s="13"/>
      <c r="AH6053" s="13"/>
      <c r="AI6053" s="13"/>
      <c r="AJ6053" s="13"/>
      <c r="AK6053" s="13"/>
      <c r="AL6053" s="13"/>
      <c r="AM6053" s="13"/>
      <c r="AN6053" s="13"/>
      <c r="AO6053" s="13"/>
      <c r="AP6053" s="13"/>
      <c r="AQ6053" s="13"/>
      <c r="AR6053" s="13"/>
      <c r="AS6053" s="13"/>
    </row>
    <row r="6054" ht="14.25" customHeight="1">
      <c r="A6054" s="13"/>
      <c r="B6054" s="13"/>
      <c r="C6054" s="13"/>
      <c r="D6054" s="13"/>
      <c r="E6054" s="13"/>
      <c r="F6054" s="13"/>
      <c r="G6054" s="13"/>
      <c r="H6054" s="13"/>
      <c r="I6054" s="13"/>
      <c r="J6054" s="13"/>
      <c r="K6054" s="15"/>
      <c r="L6054" s="15"/>
      <c r="M6054" s="16"/>
      <c r="N6054" s="16"/>
      <c r="O6054" s="17"/>
      <c r="P6054" s="17"/>
      <c r="Q6054" s="13"/>
      <c r="R6054" s="13"/>
      <c r="S6054" s="13"/>
      <c r="T6054" s="13"/>
      <c r="U6054" s="13"/>
      <c r="V6054" s="13"/>
      <c r="W6054" s="13"/>
      <c r="X6054" s="13"/>
      <c r="Y6054" s="13"/>
      <c r="Z6054" s="13"/>
      <c r="AA6054" s="13"/>
      <c r="AB6054" s="13"/>
      <c r="AC6054" s="13"/>
      <c r="AD6054" s="13"/>
      <c r="AE6054" s="13"/>
      <c r="AF6054" s="13"/>
      <c r="AG6054" s="13"/>
      <c r="AH6054" s="13"/>
      <c r="AI6054" s="13"/>
      <c r="AJ6054" s="13"/>
      <c r="AK6054" s="13"/>
      <c r="AL6054" s="13"/>
      <c r="AM6054" s="13"/>
      <c r="AN6054" s="13"/>
      <c r="AO6054" s="13"/>
      <c r="AP6054" s="13"/>
      <c r="AQ6054" s="13"/>
      <c r="AR6054" s="13"/>
      <c r="AS6054" s="13"/>
    </row>
    <row r="6055" ht="14.25" customHeight="1">
      <c r="A6055" s="13"/>
      <c r="B6055" s="13"/>
      <c r="C6055" s="13"/>
      <c r="D6055" s="13"/>
      <c r="E6055" s="13"/>
      <c r="F6055" s="13"/>
      <c r="G6055" s="13"/>
      <c r="H6055" s="13"/>
      <c r="I6055" s="13"/>
      <c r="J6055" s="13"/>
      <c r="K6055" s="15"/>
      <c r="L6055" s="15"/>
      <c r="M6055" s="16"/>
      <c r="N6055" s="16"/>
      <c r="O6055" s="17"/>
      <c r="P6055" s="17"/>
      <c r="Q6055" s="13"/>
      <c r="R6055" s="13"/>
      <c r="S6055" s="13"/>
      <c r="T6055" s="13"/>
      <c r="U6055" s="13"/>
      <c r="V6055" s="13"/>
      <c r="W6055" s="13"/>
      <c r="X6055" s="13"/>
      <c r="Y6055" s="13"/>
      <c r="Z6055" s="13"/>
      <c r="AA6055" s="13"/>
      <c r="AB6055" s="13"/>
      <c r="AC6055" s="13"/>
      <c r="AD6055" s="13"/>
      <c r="AE6055" s="13"/>
      <c r="AF6055" s="13"/>
      <c r="AG6055" s="13"/>
      <c r="AH6055" s="13"/>
      <c r="AI6055" s="13"/>
      <c r="AJ6055" s="13"/>
      <c r="AK6055" s="13"/>
      <c r="AL6055" s="13"/>
      <c r="AM6055" s="13"/>
      <c r="AN6055" s="13"/>
      <c r="AO6055" s="13"/>
      <c r="AP6055" s="13"/>
      <c r="AQ6055" s="13"/>
      <c r="AR6055" s="13"/>
      <c r="AS6055" s="13"/>
    </row>
    <row r="6056" ht="14.25" customHeight="1">
      <c r="A6056" s="13"/>
      <c r="B6056" s="13"/>
      <c r="C6056" s="13"/>
      <c r="D6056" s="13"/>
      <c r="E6056" s="13"/>
      <c r="F6056" s="13"/>
      <c r="G6056" s="13"/>
      <c r="H6056" s="13"/>
      <c r="I6056" s="13"/>
      <c r="J6056" s="13"/>
      <c r="K6056" s="15"/>
      <c r="L6056" s="15"/>
      <c r="M6056" s="16"/>
      <c r="N6056" s="16"/>
      <c r="O6056" s="17"/>
      <c r="P6056" s="17"/>
      <c r="Q6056" s="13"/>
      <c r="R6056" s="13"/>
      <c r="S6056" s="13"/>
      <c r="T6056" s="13"/>
      <c r="U6056" s="13"/>
      <c r="V6056" s="13"/>
      <c r="W6056" s="13"/>
      <c r="X6056" s="13"/>
      <c r="Y6056" s="13"/>
      <c r="Z6056" s="13"/>
      <c r="AA6056" s="13"/>
      <c r="AB6056" s="13"/>
      <c r="AC6056" s="13"/>
      <c r="AD6056" s="13"/>
      <c r="AE6056" s="13"/>
      <c r="AF6056" s="13"/>
      <c r="AG6056" s="13"/>
      <c r="AH6056" s="13"/>
      <c r="AI6056" s="13"/>
      <c r="AJ6056" s="13"/>
      <c r="AK6056" s="13"/>
      <c r="AL6056" s="13"/>
      <c r="AM6056" s="13"/>
      <c r="AN6056" s="13"/>
      <c r="AO6056" s="13"/>
      <c r="AP6056" s="13"/>
      <c r="AQ6056" s="13"/>
      <c r="AR6056" s="13"/>
      <c r="AS6056" s="13"/>
    </row>
    <row r="6057" ht="14.25" customHeight="1">
      <c r="A6057" s="13"/>
      <c r="B6057" s="13"/>
      <c r="C6057" s="13"/>
      <c r="D6057" s="13"/>
      <c r="E6057" s="13"/>
      <c r="F6057" s="13"/>
      <c r="G6057" s="13"/>
      <c r="H6057" s="13"/>
      <c r="I6057" s="13"/>
      <c r="J6057" s="13"/>
      <c r="K6057" s="15"/>
      <c r="L6057" s="15"/>
      <c r="M6057" s="16"/>
      <c r="N6057" s="16"/>
      <c r="O6057" s="17"/>
      <c r="P6057" s="17"/>
      <c r="Q6057" s="13"/>
      <c r="R6057" s="13"/>
      <c r="S6057" s="13"/>
      <c r="T6057" s="13"/>
      <c r="U6057" s="13"/>
      <c r="V6057" s="13"/>
      <c r="W6057" s="13"/>
      <c r="X6057" s="13"/>
      <c r="Y6057" s="13"/>
      <c r="Z6057" s="13"/>
      <c r="AA6057" s="13"/>
      <c r="AB6057" s="13"/>
      <c r="AC6057" s="13"/>
      <c r="AD6057" s="13"/>
      <c r="AE6057" s="13"/>
      <c r="AF6057" s="13"/>
      <c r="AG6057" s="13"/>
      <c r="AH6057" s="13"/>
      <c r="AI6057" s="13"/>
      <c r="AJ6057" s="13"/>
      <c r="AK6057" s="13"/>
      <c r="AL6057" s="13"/>
      <c r="AM6057" s="13"/>
      <c r="AN6057" s="13"/>
      <c r="AO6057" s="13"/>
      <c r="AP6057" s="13"/>
      <c r="AQ6057" s="13"/>
      <c r="AR6057" s="13"/>
      <c r="AS6057" s="13"/>
    </row>
    <row r="6058" ht="14.25" customHeight="1">
      <c r="A6058" s="13"/>
      <c r="B6058" s="13"/>
      <c r="C6058" s="13"/>
      <c r="D6058" s="13"/>
      <c r="E6058" s="13"/>
      <c r="F6058" s="13"/>
      <c r="G6058" s="13"/>
      <c r="H6058" s="13"/>
      <c r="I6058" s="13"/>
      <c r="J6058" s="13"/>
      <c r="K6058" s="15"/>
      <c r="L6058" s="15"/>
      <c r="M6058" s="16"/>
      <c r="N6058" s="16"/>
      <c r="O6058" s="17"/>
      <c r="P6058" s="17"/>
      <c r="Q6058" s="13"/>
      <c r="R6058" s="13"/>
      <c r="S6058" s="13"/>
      <c r="T6058" s="13"/>
      <c r="U6058" s="13"/>
      <c r="V6058" s="13"/>
      <c r="W6058" s="13"/>
      <c r="X6058" s="13"/>
      <c r="Y6058" s="13"/>
      <c r="Z6058" s="13"/>
      <c r="AA6058" s="13"/>
      <c r="AB6058" s="13"/>
      <c r="AC6058" s="13"/>
      <c r="AD6058" s="13"/>
      <c r="AE6058" s="13"/>
      <c r="AF6058" s="13"/>
      <c r="AG6058" s="13"/>
      <c r="AH6058" s="13"/>
      <c r="AI6058" s="13"/>
      <c r="AJ6058" s="13"/>
      <c r="AK6058" s="13"/>
      <c r="AL6058" s="13"/>
      <c r="AM6058" s="13"/>
      <c r="AN6058" s="13"/>
      <c r="AO6058" s="13"/>
      <c r="AP6058" s="13"/>
      <c r="AQ6058" s="13"/>
      <c r="AR6058" s="13"/>
      <c r="AS6058" s="13"/>
    </row>
    <row r="6059" ht="14.25" customHeight="1">
      <c r="A6059" s="13"/>
      <c r="B6059" s="13"/>
      <c r="C6059" s="13"/>
      <c r="D6059" s="13"/>
      <c r="E6059" s="13"/>
      <c r="F6059" s="13"/>
      <c r="G6059" s="13"/>
      <c r="H6059" s="13"/>
      <c r="I6059" s="13"/>
      <c r="J6059" s="13"/>
      <c r="K6059" s="15"/>
      <c r="L6059" s="15"/>
      <c r="M6059" s="16"/>
      <c r="N6059" s="16"/>
      <c r="O6059" s="17"/>
      <c r="P6059" s="17"/>
      <c r="Q6059" s="13"/>
      <c r="R6059" s="13"/>
      <c r="S6059" s="13"/>
      <c r="T6059" s="13"/>
      <c r="U6059" s="13"/>
      <c r="V6059" s="13"/>
      <c r="W6059" s="13"/>
      <c r="X6059" s="13"/>
      <c r="Y6059" s="13"/>
      <c r="Z6059" s="13"/>
      <c r="AA6059" s="13"/>
      <c r="AB6059" s="13"/>
      <c r="AC6059" s="13"/>
      <c r="AD6059" s="13"/>
      <c r="AE6059" s="13"/>
      <c r="AF6059" s="13"/>
      <c r="AG6059" s="13"/>
      <c r="AH6059" s="13"/>
      <c r="AI6059" s="13"/>
      <c r="AJ6059" s="13"/>
      <c r="AK6059" s="13"/>
      <c r="AL6059" s="13"/>
      <c r="AM6059" s="13"/>
      <c r="AN6059" s="13"/>
      <c r="AO6059" s="13"/>
      <c r="AP6059" s="13"/>
      <c r="AQ6059" s="13"/>
      <c r="AR6059" s="13"/>
      <c r="AS6059" s="13"/>
    </row>
    <row r="6060" ht="14.25" customHeight="1">
      <c r="A6060" s="13"/>
      <c r="B6060" s="13"/>
      <c r="C6060" s="13"/>
      <c r="D6060" s="13"/>
      <c r="E6060" s="13"/>
      <c r="F6060" s="13"/>
      <c r="G6060" s="13"/>
      <c r="H6060" s="13"/>
      <c r="I6060" s="13"/>
      <c r="J6060" s="13"/>
      <c r="K6060" s="15"/>
      <c r="L6060" s="15"/>
      <c r="M6060" s="16"/>
      <c r="N6060" s="16"/>
      <c r="O6060" s="17"/>
      <c r="P6060" s="17"/>
      <c r="Q6060" s="13"/>
      <c r="R6060" s="13"/>
      <c r="S6060" s="13"/>
      <c r="T6060" s="13"/>
      <c r="U6060" s="13"/>
      <c r="V6060" s="13"/>
      <c r="W6060" s="13"/>
      <c r="X6060" s="13"/>
      <c r="Y6060" s="13"/>
      <c r="Z6060" s="13"/>
      <c r="AA6060" s="13"/>
      <c r="AB6060" s="13"/>
      <c r="AC6060" s="13"/>
      <c r="AD6060" s="13"/>
      <c r="AE6060" s="13"/>
      <c r="AF6060" s="13"/>
      <c r="AG6060" s="13"/>
      <c r="AH6060" s="13"/>
      <c r="AI6060" s="13"/>
      <c r="AJ6060" s="13"/>
      <c r="AK6060" s="13"/>
      <c r="AL6060" s="13"/>
      <c r="AM6060" s="13"/>
      <c r="AN6060" s="13"/>
      <c r="AO6060" s="13"/>
      <c r="AP6060" s="13"/>
      <c r="AQ6060" s="13"/>
      <c r="AR6060" s="13"/>
      <c r="AS6060" s="13"/>
    </row>
    <row r="6061" ht="14.25" customHeight="1">
      <c r="A6061" s="13"/>
      <c r="B6061" s="13"/>
      <c r="C6061" s="13"/>
      <c r="D6061" s="13"/>
      <c r="E6061" s="13"/>
      <c r="F6061" s="13"/>
      <c r="G6061" s="13"/>
      <c r="H6061" s="13"/>
      <c r="I6061" s="13"/>
      <c r="J6061" s="13"/>
      <c r="K6061" s="15"/>
      <c r="L6061" s="15"/>
      <c r="M6061" s="16"/>
      <c r="N6061" s="16"/>
      <c r="O6061" s="17"/>
      <c r="P6061" s="17"/>
      <c r="Q6061" s="13"/>
      <c r="R6061" s="13"/>
      <c r="S6061" s="13"/>
      <c r="T6061" s="13"/>
      <c r="U6061" s="13"/>
      <c r="V6061" s="13"/>
      <c r="W6061" s="13"/>
      <c r="X6061" s="13"/>
      <c r="Y6061" s="13"/>
      <c r="Z6061" s="13"/>
      <c r="AA6061" s="13"/>
      <c r="AB6061" s="13"/>
      <c r="AC6061" s="13"/>
      <c r="AD6061" s="13"/>
      <c r="AE6061" s="13"/>
      <c r="AF6061" s="13"/>
      <c r="AG6061" s="13"/>
      <c r="AH6061" s="13"/>
      <c r="AI6061" s="13"/>
      <c r="AJ6061" s="13"/>
      <c r="AK6061" s="13"/>
      <c r="AL6061" s="13"/>
      <c r="AM6061" s="13"/>
      <c r="AN6061" s="13"/>
      <c r="AO6061" s="13"/>
      <c r="AP6061" s="13"/>
      <c r="AQ6061" s="13"/>
      <c r="AR6061" s="13"/>
      <c r="AS6061" s="13"/>
    </row>
    <row r="6062" ht="14.25" customHeight="1">
      <c r="A6062" s="13"/>
      <c r="B6062" s="13"/>
      <c r="C6062" s="13"/>
      <c r="D6062" s="13"/>
      <c r="E6062" s="13"/>
      <c r="F6062" s="13"/>
      <c r="G6062" s="13"/>
      <c r="H6062" s="13"/>
      <c r="I6062" s="13"/>
      <c r="J6062" s="13"/>
      <c r="K6062" s="15"/>
      <c r="L6062" s="15"/>
      <c r="M6062" s="16"/>
      <c r="N6062" s="16"/>
      <c r="O6062" s="17"/>
      <c r="P6062" s="17"/>
      <c r="Q6062" s="13"/>
      <c r="R6062" s="13"/>
      <c r="S6062" s="13"/>
      <c r="T6062" s="13"/>
      <c r="U6062" s="13"/>
      <c r="V6062" s="13"/>
      <c r="W6062" s="13"/>
      <c r="X6062" s="13"/>
      <c r="Y6062" s="13"/>
      <c r="Z6062" s="13"/>
      <c r="AA6062" s="13"/>
      <c r="AB6062" s="13"/>
      <c r="AC6062" s="13"/>
      <c r="AD6062" s="13"/>
      <c r="AE6062" s="13"/>
      <c r="AF6062" s="13"/>
      <c r="AG6062" s="13"/>
      <c r="AH6062" s="13"/>
      <c r="AI6062" s="13"/>
      <c r="AJ6062" s="13"/>
      <c r="AK6062" s="13"/>
      <c r="AL6062" s="13"/>
      <c r="AM6062" s="13"/>
      <c r="AN6062" s="13"/>
      <c r="AO6062" s="13"/>
      <c r="AP6062" s="13"/>
      <c r="AQ6062" s="13"/>
      <c r="AR6062" s="13"/>
      <c r="AS6062" s="13"/>
    </row>
    <row r="6063" ht="14.25" customHeight="1">
      <c r="A6063" s="13"/>
      <c r="B6063" s="13"/>
      <c r="C6063" s="13"/>
      <c r="D6063" s="13"/>
      <c r="E6063" s="13"/>
      <c r="F6063" s="13"/>
      <c r="G6063" s="13"/>
      <c r="H6063" s="13"/>
      <c r="I6063" s="13"/>
      <c r="J6063" s="13"/>
      <c r="K6063" s="15"/>
      <c r="L6063" s="15"/>
      <c r="M6063" s="16"/>
      <c r="N6063" s="16"/>
      <c r="O6063" s="17"/>
      <c r="P6063" s="17"/>
      <c r="Q6063" s="13"/>
      <c r="R6063" s="13"/>
      <c r="S6063" s="13"/>
      <c r="T6063" s="13"/>
      <c r="U6063" s="13"/>
      <c r="V6063" s="13"/>
      <c r="W6063" s="13"/>
      <c r="X6063" s="13"/>
      <c r="Y6063" s="13"/>
      <c r="Z6063" s="13"/>
      <c r="AA6063" s="13"/>
      <c r="AB6063" s="13"/>
      <c r="AC6063" s="13"/>
      <c r="AD6063" s="13"/>
      <c r="AE6063" s="13"/>
      <c r="AF6063" s="13"/>
      <c r="AG6063" s="13"/>
      <c r="AH6063" s="13"/>
      <c r="AI6063" s="13"/>
      <c r="AJ6063" s="13"/>
      <c r="AK6063" s="13"/>
      <c r="AL6063" s="13"/>
      <c r="AM6063" s="13"/>
      <c r="AN6063" s="13"/>
      <c r="AO6063" s="13"/>
      <c r="AP6063" s="13"/>
      <c r="AQ6063" s="13"/>
      <c r="AR6063" s="13"/>
      <c r="AS6063" s="13"/>
    </row>
    <row r="6064" ht="14.25" customHeight="1">
      <c r="A6064" s="13"/>
      <c r="B6064" s="13"/>
      <c r="C6064" s="13"/>
      <c r="D6064" s="13"/>
      <c r="E6064" s="13"/>
      <c r="F6064" s="13"/>
      <c r="G6064" s="13"/>
      <c r="H6064" s="13"/>
      <c r="I6064" s="13"/>
      <c r="J6064" s="13"/>
      <c r="K6064" s="15"/>
      <c r="L6064" s="15"/>
      <c r="M6064" s="16"/>
      <c r="N6064" s="16"/>
      <c r="O6064" s="17"/>
      <c r="P6064" s="17"/>
      <c r="Q6064" s="13"/>
      <c r="R6064" s="13"/>
      <c r="S6064" s="13"/>
      <c r="T6064" s="13"/>
      <c r="U6064" s="13"/>
      <c r="V6064" s="13"/>
      <c r="W6064" s="13"/>
      <c r="X6064" s="13"/>
      <c r="Y6064" s="13"/>
      <c r="Z6064" s="13"/>
      <c r="AA6064" s="13"/>
      <c r="AB6064" s="13"/>
      <c r="AC6064" s="13"/>
      <c r="AD6064" s="13"/>
      <c r="AE6064" s="13"/>
      <c r="AF6064" s="13"/>
      <c r="AG6064" s="13"/>
      <c r="AH6064" s="13"/>
      <c r="AI6064" s="13"/>
      <c r="AJ6064" s="13"/>
      <c r="AK6064" s="13"/>
      <c r="AL6064" s="13"/>
      <c r="AM6064" s="13"/>
      <c r="AN6064" s="13"/>
      <c r="AO6064" s="13"/>
      <c r="AP6064" s="13"/>
      <c r="AQ6064" s="13"/>
      <c r="AR6064" s="13"/>
      <c r="AS6064" s="13"/>
    </row>
    <row r="6065" ht="14.25" customHeight="1">
      <c r="A6065" s="13"/>
      <c r="B6065" s="13"/>
      <c r="C6065" s="13"/>
      <c r="D6065" s="13"/>
      <c r="E6065" s="13"/>
      <c r="F6065" s="13"/>
      <c r="G6065" s="13"/>
      <c r="H6065" s="13"/>
      <c r="I6065" s="13"/>
      <c r="J6065" s="13"/>
      <c r="K6065" s="15"/>
      <c r="L6065" s="15"/>
      <c r="M6065" s="16"/>
      <c r="N6065" s="16"/>
      <c r="O6065" s="17"/>
      <c r="P6065" s="17"/>
      <c r="Q6065" s="13"/>
      <c r="R6065" s="13"/>
      <c r="S6065" s="13"/>
      <c r="T6065" s="13"/>
      <c r="U6065" s="13"/>
      <c r="V6065" s="13"/>
      <c r="W6065" s="13"/>
      <c r="X6065" s="13"/>
      <c r="Y6065" s="13"/>
      <c r="Z6065" s="13"/>
      <c r="AA6065" s="13"/>
      <c r="AB6065" s="13"/>
      <c r="AC6065" s="13"/>
      <c r="AD6065" s="13"/>
      <c r="AE6065" s="13"/>
      <c r="AF6065" s="13"/>
      <c r="AG6065" s="13"/>
      <c r="AH6065" s="13"/>
      <c r="AI6065" s="13"/>
      <c r="AJ6065" s="13"/>
      <c r="AK6065" s="13"/>
      <c r="AL6065" s="13"/>
      <c r="AM6065" s="13"/>
      <c r="AN6065" s="13"/>
      <c r="AO6065" s="13"/>
      <c r="AP6065" s="13"/>
      <c r="AQ6065" s="13"/>
      <c r="AR6065" s="13"/>
      <c r="AS6065" s="13"/>
    </row>
    <row r="6066" ht="14.25" customHeight="1">
      <c r="A6066" s="13"/>
      <c r="B6066" s="13"/>
      <c r="C6066" s="13"/>
      <c r="D6066" s="13"/>
      <c r="E6066" s="13"/>
      <c r="F6066" s="13"/>
      <c r="G6066" s="13"/>
      <c r="H6066" s="13"/>
      <c r="I6066" s="13"/>
      <c r="J6066" s="13"/>
      <c r="K6066" s="15"/>
      <c r="L6066" s="15"/>
      <c r="M6066" s="16"/>
      <c r="N6066" s="16"/>
      <c r="O6066" s="17"/>
      <c r="P6066" s="17"/>
      <c r="Q6066" s="13"/>
      <c r="R6066" s="13"/>
      <c r="S6066" s="13"/>
      <c r="T6066" s="13"/>
      <c r="U6066" s="13"/>
      <c r="V6066" s="13"/>
      <c r="W6066" s="13"/>
      <c r="X6066" s="13"/>
      <c r="Y6066" s="13"/>
      <c r="Z6066" s="13"/>
      <c r="AA6066" s="13"/>
      <c r="AB6066" s="13"/>
      <c r="AC6066" s="13"/>
      <c r="AD6066" s="13"/>
      <c r="AE6066" s="13"/>
      <c r="AF6066" s="13"/>
      <c r="AG6066" s="13"/>
      <c r="AH6066" s="13"/>
      <c r="AI6066" s="13"/>
      <c r="AJ6066" s="13"/>
      <c r="AK6066" s="13"/>
      <c r="AL6066" s="13"/>
      <c r="AM6066" s="13"/>
      <c r="AN6066" s="13"/>
      <c r="AO6066" s="13"/>
      <c r="AP6066" s="13"/>
      <c r="AQ6066" s="13"/>
      <c r="AR6066" s="13"/>
      <c r="AS6066" s="13"/>
    </row>
    <row r="6067" ht="14.25" customHeight="1">
      <c r="A6067" s="13"/>
      <c r="B6067" s="13"/>
      <c r="C6067" s="13"/>
      <c r="D6067" s="13"/>
      <c r="E6067" s="13"/>
      <c r="F6067" s="13"/>
      <c r="G6067" s="13"/>
      <c r="H6067" s="13"/>
      <c r="I6067" s="13"/>
      <c r="J6067" s="13"/>
      <c r="K6067" s="15"/>
      <c r="L6067" s="15"/>
      <c r="M6067" s="16"/>
      <c r="N6067" s="16"/>
      <c r="O6067" s="17"/>
      <c r="P6067" s="17"/>
      <c r="Q6067" s="13"/>
      <c r="R6067" s="13"/>
      <c r="S6067" s="13"/>
      <c r="T6067" s="13"/>
      <c r="U6067" s="13"/>
      <c r="V6067" s="13"/>
      <c r="W6067" s="13"/>
      <c r="X6067" s="13"/>
      <c r="Y6067" s="13"/>
      <c r="Z6067" s="13"/>
      <c r="AA6067" s="13"/>
      <c r="AB6067" s="13"/>
      <c r="AC6067" s="13"/>
      <c r="AD6067" s="13"/>
      <c r="AE6067" s="13"/>
      <c r="AF6067" s="13"/>
      <c r="AG6067" s="13"/>
      <c r="AH6067" s="13"/>
      <c r="AI6067" s="13"/>
      <c r="AJ6067" s="13"/>
      <c r="AK6067" s="13"/>
      <c r="AL6067" s="13"/>
      <c r="AM6067" s="13"/>
      <c r="AN6067" s="13"/>
      <c r="AO6067" s="13"/>
      <c r="AP6067" s="13"/>
      <c r="AQ6067" s="13"/>
      <c r="AR6067" s="13"/>
      <c r="AS6067" s="13"/>
    </row>
    <row r="6068" ht="14.25" customHeight="1">
      <c r="A6068" s="13"/>
      <c r="B6068" s="13"/>
      <c r="C6068" s="13"/>
      <c r="D6068" s="13"/>
      <c r="E6068" s="13"/>
      <c r="F6068" s="13"/>
      <c r="G6068" s="13"/>
      <c r="H6068" s="13"/>
      <c r="I6068" s="13"/>
      <c r="J6068" s="13"/>
      <c r="K6068" s="15"/>
      <c r="L6068" s="15"/>
      <c r="M6068" s="16"/>
      <c r="N6068" s="16"/>
      <c r="O6068" s="17"/>
      <c r="P6068" s="17"/>
      <c r="Q6068" s="13"/>
      <c r="R6068" s="13"/>
      <c r="S6068" s="13"/>
      <c r="T6068" s="13"/>
      <c r="U6068" s="13"/>
      <c r="V6068" s="13"/>
      <c r="W6068" s="13"/>
      <c r="X6068" s="13"/>
      <c r="Y6068" s="13"/>
      <c r="Z6068" s="13"/>
      <c r="AA6068" s="13"/>
      <c r="AB6068" s="13"/>
      <c r="AC6068" s="13"/>
      <c r="AD6068" s="13"/>
      <c r="AE6068" s="13"/>
      <c r="AF6068" s="13"/>
      <c r="AG6068" s="13"/>
      <c r="AH6068" s="13"/>
      <c r="AI6068" s="13"/>
      <c r="AJ6068" s="13"/>
      <c r="AK6068" s="13"/>
      <c r="AL6068" s="13"/>
      <c r="AM6068" s="13"/>
      <c r="AN6068" s="13"/>
      <c r="AO6068" s="13"/>
      <c r="AP6068" s="13"/>
      <c r="AQ6068" s="13"/>
      <c r="AR6068" s="13"/>
      <c r="AS6068" s="13"/>
    </row>
    <row r="6069" ht="14.25" customHeight="1">
      <c r="A6069" s="13"/>
      <c r="B6069" s="13"/>
      <c r="C6069" s="13"/>
      <c r="D6069" s="13"/>
      <c r="E6069" s="13"/>
      <c r="F6069" s="13"/>
      <c r="G6069" s="13"/>
      <c r="H6069" s="13"/>
      <c r="I6069" s="13"/>
      <c r="J6069" s="13"/>
      <c r="K6069" s="15"/>
      <c r="L6069" s="15"/>
      <c r="M6069" s="16"/>
      <c r="N6069" s="16"/>
      <c r="O6069" s="17"/>
      <c r="P6069" s="17"/>
      <c r="Q6069" s="13"/>
      <c r="R6069" s="13"/>
      <c r="S6069" s="13"/>
      <c r="T6069" s="13"/>
      <c r="U6069" s="13"/>
      <c r="V6069" s="13"/>
      <c r="W6069" s="13"/>
      <c r="X6069" s="13"/>
      <c r="Y6069" s="13"/>
      <c r="Z6069" s="13"/>
      <c r="AA6069" s="13"/>
      <c r="AB6069" s="13"/>
      <c r="AC6069" s="13"/>
      <c r="AD6069" s="13"/>
      <c r="AE6069" s="13"/>
      <c r="AF6069" s="13"/>
      <c r="AG6069" s="13"/>
      <c r="AH6069" s="13"/>
      <c r="AI6069" s="13"/>
      <c r="AJ6069" s="13"/>
      <c r="AK6069" s="13"/>
      <c r="AL6069" s="13"/>
      <c r="AM6069" s="13"/>
      <c r="AN6069" s="13"/>
      <c r="AO6069" s="13"/>
      <c r="AP6069" s="13"/>
      <c r="AQ6069" s="13"/>
      <c r="AR6069" s="13"/>
      <c r="AS6069" s="13"/>
    </row>
    <row r="6070" ht="14.25" customHeight="1">
      <c r="A6070" s="13"/>
      <c r="B6070" s="13"/>
      <c r="C6070" s="13"/>
      <c r="D6070" s="13"/>
      <c r="E6070" s="13"/>
      <c r="F6070" s="13"/>
      <c r="G6070" s="13"/>
      <c r="H6070" s="13"/>
      <c r="I6070" s="13"/>
      <c r="J6070" s="13"/>
      <c r="K6070" s="15"/>
      <c r="L6070" s="15"/>
      <c r="M6070" s="16"/>
      <c r="N6070" s="16"/>
      <c r="O6070" s="17"/>
      <c r="P6070" s="17"/>
      <c r="Q6070" s="13"/>
      <c r="R6070" s="13"/>
      <c r="S6070" s="13"/>
      <c r="T6070" s="13"/>
      <c r="U6070" s="13"/>
      <c r="V6070" s="13"/>
      <c r="W6070" s="13"/>
      <c r="X6070" s="13"/>
      <c r="Y6070" s="13"/>
      <c r="Z6070" s="13"/>
      <c r="AA6070" s="13"/>
      <c r="AB6070" s="13"/>
      <c r="AC6070" s="13"/>
      <c r="AD6070" s="13"/>
      <c r="AE6070" s="13"/>
      <c r="AF6070" s="13"/>
      <c r="AG6070" s="13"/>
      <c r="AH6070" s="13"/>
      <c r="AI6070" s="13"/>
      <c r="AJ6070" s="13"/>
      <c r="AK6070" s="13"/>
      <c r="AL6070" s="13"/>
      <c r="AM6070" s="13"/>
      <c r="AN6070" s="13"/>
      <c r="AO6070" s="13"/>
      <c r="AP6070" s="13"/>
      <c r="AQ6070" s="13"/>
      <c r="AR6070" s="13"/>
      <c r="AS6070" s="13"/>
    </row>
    <row r="6071" ht="14.25" customHeight="1">
      <c r="A6071" s="13"/>
      <c r="B6071" s="13"/>
      <c r="C6071" s="13"/>
      <c r="D6071" s="13"/>
      <c r="E6071" s="13"/>
      <c r="F6071" s="13"/>
      <c r="G6071" s="13"/>
      <c r="H6071" s="13"/>
      <c r="I6071" s="13"/>
      <c r="J6071" s="13"/>
      <c r="K6071" s="15"/>
      <c r="L6071" s="15"/>
      <c r="M6071" s="16"/>
      <c r="N6071" s="16"/>
      <c r="O6071" s="17"/>
      <c r="P6071" s="17"/>
      <c r="Q6071" s="13"/>
      <c r="R6071" s="13"/>
      <c r="S6071" s="13"/>
      <c r="T6071" s="13"/>
      <c r="U6071" s="13"/>
      <c r="V6071" s="13"/>
      <c r="W6071" s="13"/>
      <c r="X6071" s="13"/>
      <c r="Y6071" s="13"/>
      <c r="Z6071" s="13"/>
      <c r="AA6071" s="13"/>
      <c r="AB6071" s="13"/>
      <c r="AC6071" s="13"/>
      <c r="AD6071" s="13"/>
      <c r="AE6071" s="13"/>
      <c r="AF6071" s="13"/>
      <c r="AG6071" s="13"/>
      <c r="AH6071" s="13"/>
      <c r="AI6071" s="13"/>
      <c r="AJ6071" s="13"/>
      <c r="AK6071" s="13"/>
      <c r="AL6071" s="13"/>
      <c r="AM6071" s="13"/>
      <c r="AN6071" s="13"/>
      <c r="AO6071" s="13"/>
      <c r="AP6071" s="13"/>
      <c r="AQ6071" s="13"/>
      <c r="AR6071" s="13"/>
      <c r="AS6071" s="13"/>
    </row>
    <row r="6072" ht="14.25" customHeight="1">
      <c r="A6072" s="13"/>
      <c r="B6072" s="13"/>
      <c r="C6072" s="13"/>
      <c r="D6072" s="13"/>
      <c r="E6072" s="13"/>
      <c r="F6072" s="13"/>
      <c r="G6072" s="13"/>
      <c r="H6072" s="13"/>
      <c r="I6072" s="13"/>
      <c r="J6072" s="13"/>
      <c r="K6072" s="15"/>
      <c r="L6072" s="15"/>
      <c r="M6072" s="16"/>
      <c r="N6072" s="16"/>
      <c r="O6072" s="17"/>
      <c r="P6072" s="17"/>
      <c r="Q6072" s="13"/>
      <c r="R6072" s="13"/>
      <c r="S6072" s="13"/>
      <c r="T6072" s="13"/>
      <c r="U6072" s="13"/>
      <c r="V6072" s="13"/>
      <c r="W6072" s="13"/>
      <c r="X6072" s="13"/>
      <c r="Y6072" s="13"/>
      <c r="Z6072" s="13"/>
      <c r="AA6072" s="13"/>
      <c r="AB6072" s="13"/>
      <c r="AC6072" s="13"/>
      <c r="AD6072" s="13"/>
      <c r="AE6072" s="13"/>
      <c r="AF6072" s="13"/>
      <c r="AG6072" s="13"/>
      <c r="AH6072" s="13"/>
      <c r="AI6072" s="13"/>
      <c r="AJ6072" s="13"/>
      <c r="AK6072" s="13"/>
      <c r="AL6072" s="13"/>
      <c r="AM6072" s="13"/>
      <c r="AN6072" s="13"/>
      <c r="AO6072" s="13"/>
      <c r="AP6072" s="13"/>
      <c r="AQ6072" s="13"/>
      <c r="AR6072" s="13"/>
      <c r="AS6072" s="13"/>
    </row>
    <row r="6073" ht="14.25" customHeight="1">
      <c r="A6073" s="13"/>
      <c r="B6073" s="13"/>
      <c r="C6073" s="13"/>
      <c r="D6073" s="13"/>
      <c r="E6073" s="13"/>
      <c r="F6073" s="13"/>
      <c r="G6073" s="13"/>
      <c r="H6073" s="13"/>
      <c r="I6073" s="13"/>
      <c r="J6073" s="13"/>
      <c r="K6073" s="15"/>
      <c r="L6073" s="15"/>
      <c r="M6073" s="16"/>
      <c r="N6073" s="16"/>
      <c r="O6073" s="17"/>
      <c r="P6073" s="17"/>
      <c r="Q6073" s="13"/>
      <c r="R6073" s="13"/>
      <c r="S6073" s="13"/>
      <c r="T6073" s="13"/>
      <c r="U6073" s="13"/>
      <c r="V6073" s="13"/>
      <c r="W6073" s="13"/>
      <c r="X6073" s="13"/>
      <c r="Y6073" s="13"/>
      <c r="Z6073" s="13"/>
      <c r="AA6073" s="13"/>
      <c r="AB6073" s="13"/>
      <c r="AC6073" s="13"/>
      <c r="AD6073" s="13"/>
      <c r="AE6073" s="13"/>
      <c r="AF6073" s="13"/>
      <c r="AG6073" s="13"/>
      <c r="AH6073" s="13"/>
      <c r="AI6073" s="13"/>
      <c r="AJ6073" s="13"/>
      <c r="AK6073" s="13"/>
      <c r="AL6073" s="13"/>
      <c r="AM6073" s="13"/>
      <c r="AN6073" s="13"/>
      <c r="AO6073" s="13"/>
      <c r="AP6073" s="13"/>
      <c r="AQ6073" s="13"/>
      <c r="AR6073" s="13"/>
      <c r="AS6073" s="13"/>
    </row>
    <row r="6074" ht="14.25" customHeight="1">
      <c r="A6074" s="13"/>
      <c r="B6074" s="13"/>
      <c r="C6074" s="13"/>
      <c r="D6074" s="13"/>
      <c r="E6074" s="13"/>
      <c r="F6074" s="13"/>
      <c r="G6074" s="13"/>
      <c r="H6074" s="13"/>
      <c r="I6074" s="13"/>
      <c r="J6074" s="13"/>
      <c r="K6074" s="15"/>
      <c r="L6074" s="15"/>
      <c r="M6074" s="16"/>
      <c r="N6074" s="16"/>
      <c r="O6074" s="17"/>
      <c r="P6074" s="17"/>
      <c r="Q6074" s="13"/>
      <c r="R6074" s="13"/>
      <c r="S6074" s="13"/>
      <c r="T6074" s="13"/>
      <c r="U6074" s="13"/>
      <c r="V6074" s="13"/>
      <c r="W6074" s="13"/>
      <c r="X6074" s="13"/>
      <c r="Y6074" s="13"/>
      <c r="Z6074" s="13"/>
      <c r="AA6074" s="13"/>
      <c r="AB6074" s="13"/>
      <c r="AC6074" s="13"/>
      <c r="AD6074" s="13"/>
      <c r="AE6074" s="13"/>
      <c r="AF6074" s="13"/>
      <c r="AG6074" s="13"/>
      <c r="AH6074" s="13"/>
      <c r="AI6074" s="13"/>
      <c r="AJ6074" s="13"/>
      <c r="AK6074" s="13"/>
      <c r="AL6074" s="13"/>
      <c r="AM6074" s="13"/>
      <c r="AN6074" s="13"/>
      <c r="AO6074" s="13"/>
      <c r="AP6074" s="13"/>
      <c r="AQ6074" s="13"/>
      <c r="AR6074" s="13"/>
      <c r="AS6074" s="13"/>
    </row>
    <row r="6075" ht="14.25" customHeight="1">
      <c r="A6075" s="13"/>
      <c r="B6075" s="13"/>
      <c r="C6075" s="13"/>
      <c r="D6075" s="13"/>
      <c r="E6075" s="13"/>
      <c r="F6075" s="13"/>
      <c r="G6075" s="13"/>
      <c r="H6075" s="13"/>
      <c r="I6075" s="13"/>
      <c r="J6075" s="13"/>
      <c r="K6075" s="15"/>
      <c r="L6075" s="15"/>
      <c r="M6075" s="16"/>
      <c r="N6075" s="16"/>
      <c r="O6075" s="17"/>
      <c r="P6075" s="17"/>
      <c r="Q6075" s="13"/>
      <c r="R6075" s="13"/>
      <c r="S6075" s="13"/>
      <c r="T6075" s="13"/>
      <c r="U6075" s="13"/>
      <c r="V6075" s="13"/>
      <c r="W6075" s="13"/>
      <c r="X6075" s="13"/>
      <c r="Y6075" s="13"/>
      <c r="Z6075" s="13"/>
      <c r="AA6075" s="13"/>
      <c r="AB6075" s="13"/>
      <c r="AC6075" s="13"/>
      <c r="AD6075" s="13"/>
      <c r="AE6075" s="13"/>
      <c r="AF6075" s="13"/>
      <c r="AG6075" s="13"/>
      <c r="AH6075" s="13"/>
      <c r="AI6075" s="13"/>
      <c r="AJ6075" s="13"/>
      <c r="AK6075" s="13"/>
      <c r="AL6075" s="13"/>
      <c r="AM6075" s="13"/>
      <c r="AN6075" s="13"/>
      <c r="AO6075" s="13"/>
      <c r="AP6075" s="13"/>
      <c r="AQ6075" s="13"/>
      <c r="AR6075" s="13"/>
      <c r="AS6075" s="13"/>
    </row>
    <row r="6076" ht="14.25" customHeight="1">
      <c r="A6076" s="13"/>
      <c r="B6076" s="13"/>
      <c r="C6076" s="13"/>
      <c r="D6076" s="13"/>
      <c r="E6076" s="13"/>
      <c r="F6076" s="13"/>
      <c r="G6076" s="13"/>
      <c r="H6076" s="13"/>
      <c r="I6076" s="13"/>
      <c r="J6076" s="13"/>
      <c r="K6076" s="15"/>
      <c r="L6076" s="15"/>
      <c r="M6076" s="16"/>
      <c r="N6076" s="16"/>
      <c r="O6076" s="17"/>
      <c r="P6076" s="17"/>
      <c r="Q6076" s="13"/>
      <c r="R6076" s="13"/>
      <c r="S6076" s="13"/>
      <c r="T6076" s="13"/>
      <c r="U6076" s="13"/>
      <c r="V6076" s="13"/>
      <c r="W6076" s="13"/>
      <c r="X6076" s="13"/>
      <c r="Y6076" s="13"/>
      <c r="Z6076" s="13"/>
      <c r="AA6076" s="13"/>
      <c r="AB6076" s="13"/>
      <c r="AC6076" s="13"/>
      <c r="AD6076" s="13"/>
      <c r="AE6076" s="13"/>
      <c r="AF6076" s="13"/>
      <c r="AG6076" s="13"/>
      <c r="AH6076" s="13"/>
      <c r="AI6076" s="13"/>
      <c r="AJ6076" s="13"/>
      <c r="AK6076" s="13"/>
      <c r="AL6076" s="13"/>
      <c r="AM6076" s="13"/>
      <c r="AN6076" s="13"/>
      <c r="AO6076" s="13"/>
      <c r="AP6076" s="13"/>
      <c r="AQ6076" s="13"/>
      <c r="AR6076" s="13"/>
      <c r="AS6076" s="13"/>
    </row>
    <row r="6077" ht="14.25" customHeight="1">
      <c r="A6077" s="13"/>
      <c r="B6077" s="13"/>
      <c r="C6077" s="13"/>
      <c r="D6077" s="13"/>
      <c r="E6077" s="13"/>
      <c r="F6077" s="13"/>
      <c r="G6077" s="13"/>
      <c r="H6077" s="13"/>
      <c r="I6077" s="13"/>
      <c r="J6077" s="13"/>
      <c r="K6077" s="15"/>
      <c r="L6077" s="15"/>
      <c r="M6077" s="16"/>
      <c r="N6077" s="16"/>
      <c r="O6077" s="17"/>
      <c r="P6077" s="17"/>
      <c r="Q6077" s="13"/>
      <c r="R6077" s="13"/>
      <c r="S6077" s="13"/>
      <c r="T6077" s="13"/>
      <c r="U6077" s="13"/>
      <c r="V6077" s="13"/>
      <c r="W6077" s="13"/>
      <c r="X6077" s="13"/>
      <c r="Y6077" s="13"/>
      <c r="Z6077" s="13"/>
      <c r="AA6077" s="13"/>
      <c r="AB6077" s="13"/>
      <c r="AC6077" s="13"/>
      <c r="AD6077" s="13"/>
      <c r="AE6077" s="13"/>
      <c r="AF6077" s="13"/>
      <c r="AG6077" s="13"/>
      <c r="AH6077" s="13"/>
      <c r="AI6077" s="13"/>
      <c r="AJ6077" s="13"/>
      <c r="AK6077" s="13"/>
      <c r="AL6077" s="13"/>
      <c r="AM6077" s="13"/>
      <c r="AN6077" s="13"/>
      <c r="AO6077" s="13"/>
      <c r="AP6077" s="13"/>
      <c r="AQ6077" s="13"/>
      <c r="AR6077" s="13"/>
      <c r="AS6077" s="13"/>
    </row>
    <row r="6078" ht="14.25" customHeight="1">
      <c r="A6078" s="13"/>
      <c r="B6078" s="13"/>
      <c r="C6078" s="13"/>
      <c r="D6078" s="13"/>
      <c r="E6078" s="13"/>
      <c r="F6078" s="13"/>
      <c r="G6078" s="13"/>
      <c r="H6078" s="13"/>
      <c r="I6078" s="13"/>
      <c r="J6078" s="13"/>
      <c r="K6078" s="15"/>
      <c r="L6078" s="15"/>
      <c r="M6078" s="16"/>
      <c r="N6078" s="16"/>
      <c r="O6078" s="17"/>
      <c r="P6078" s="17"/>
      <c r="Q6078" s="13"/>
      <c r="R6078" s="13"/>
      <c r="S6078" s="13"/>
      <c r="T6078" s="13"/>
      <c r="U6078" s="13"/>
      <c r="V6078" s="13"/>
      <c r="W6078" s="13"/>
      <c r="X6078" s="13"/>
      <c r="Y6078" s="13"/>
      <c r="Z6078" s="13"/>
      <c r="AA6078" s="13"/>
      <c r="AB6078" s="13"/>
      <c r="AC6078" s="13"/>
      <c r="AD6078" s="13"/>
      <c r="AE6078" s="13"/>
      <c r="AF6078" s="13"/>
      <c r="AG6078" s="13"/>
      <c r="AH6078" s="13"/>
      <c r="AI6078" s="13"/>
      <c r="AJ6078" s="13"/>
      <c r="AK6078" s="13"/>
      <c r="AL6078" s="13"/>
      <c r="AM6078" s="13"/>
      <c r="AN6078" s="13"/>
      <c r="AO6078" s="13"/>
      <c r="AP6078" s="13"/>
      <c r="AQ6078" s="13"/>
      <c r="AR6078" s="13"/>
      <c r="AS6078" s="13"/>
    </row>
    <row r="6079" ht="14.25" customHeight="1">
      <c r="A6079" s="13"/>
      <c r="B6079" s="13"/>
      <c r="C6079" s="13"/>
      <c r="D6079" s="13"/>
      <c r="E6079" s="13"/>
      <c r="F6079" s="13"/>
      <c r="G6079" s="13"/>
      <c r="H6079" s="13"/>
      <c r="I6079" s="13"/>
      <c r="J6079" s="13"/>
      <c r="K6079" s="15"/>
      <c r="L6079" s="15"/>
      <c r="M6079" s="16"/>
      <c r="N6079" s="16"/>
      <c r="O6079" s="17"/>
      <c r="P6079" s="17"/>
      <c r="Q6079" s="13"/>
      <c r="R6079" s="13"/>
      <c r="S6079" s="13"/>
      <c r="T6079" s="13"/>
      <c r="U6079" s="13"/>
      <c r="V6079" s="13"/>
      <c r="W6079" s="13"/>
      <c r="X6079" s="13"/>
      <c r="Y6079" s="13"/>
      <c r="Z6079" s="13"/>
      <c r="AA6079" s="13"/>
      <c r="AB6079" s="13"/>
      <c r="AC6079" s="13"/>
      <c r="AD6079" s="13"/>
      <c r="AE6079" s="13"/>
      <c r="AF6079" s="13"/>
      <c r="AG6079" s="13"/>
      <c r="AH6079" s="13"/>
      <c r="AI6079" s="13"/>
      <c r="AJ6079" s="13"/>
      <c r="AK6079" s="13"/>
      <c r="AL6079" s="13"/>
      <c r="AM6079" s="13"/>
      <c r="AN6079" s="13"/>
      <c r="AO6079" s="13"/>
      <c r="AP6079" s="13"/>
      <c r="AQ6079" s="13"/>
      <c r="AR6079" s="13"/>
      <c r="AS6079" s="13"/>
    </row>
    <row r="6080" ht="14.25" customHeight="1">
      <c r="A6080" s="13"/>
      <c r="B6080" s="13"/>
      <c r="C6080" s="13"/>
      <c r="D6080" s="13"/>
      <c r="E6080" s="13"/>
      <c r="F6080" s="13"/>
      <c r="G6080" s="13"/>
      <c r="H6080" s="13"/>
      <c r="I6080" s="13"/>
      <c r="J6080" s="13"/>
      <c r="K6080" s="15"/>
      <c r="L6080" s="15"/>
      <c r="M6080" s="16"/>
      <c r="N6080" s="16"/>
      <c r="O6080" s="17"/>
      <c r="P6080" s="17"/>
      <c r="Q6080" s="13"/>
      <c r="R6080" s="13"/>
      <c r="S6080" s="13"/>
      <c r="T6080" s="13"/>
      <c r="U6080" s="13"/>
      <c r="V6080" s="13"/>
      <c r="W6080" s="13"/>
      <c r="X6080" s="13"/>
      <c r="Y6080" s="13"/>
      <c r="Z6080" s="13"/>
      <c r="AA6080" s="13"/>
      <c r="AB6080" s="13"/>
      <c r="AC6080" s="13"/>
      <c r="AD6080" s="13"/>
      <c r="AE6080" s="13"/>
      <c r="AF6080" s="13"/>
      <c r="AG6080" s="13"/>
      <c r="AH6080" s="13"/>
      <c r="AI6080" s="13"/>
      <c r="AJ6080" s="13"/>
      <c r="AK6080" s="13"/>
      <c r="AL6080" s="13"/>
      <c r="AM6080" s="13"/>
      <c r="AN6080" s="13"/>
      <c r="AO6080" s="13"/>
      <c r="AP6080" s="13"/>
      <c r="AQ6080" s="13"/>
      <c r="AR6080" s="13"/>
      <c r="AS6080" s="13"/>
    </row>
    <row r="6081" ht="14.25" customHeight="1">
      <c r="A6081" s="13"/>
      <c r="B6081" s="13"/>
      <c r="C6081" s="13"/>
      <c r="D6081" s="13"/>
      <c r="E6081" s="13"/>
      <c r="F6081" s="13"/>
      <c r="G6081" s="13"/>
      <c r="H6081" s="13"/>
      <c r="I6081" s="13"/>
      <c r="J6081" s="13"/>
      <c r="K6081" s="15"/>
      <c r="L6081" s="15"/>
      <c r="M6081" s="16"/>
      <c r="N6081" s="16"/>
      <c r="O6081" s="17"/>
      <c r="P6081" s="17"/>
      <c r="Q6081" s="13"/>
      <c r="R6081" s="13"/>
      <c r="S6081" s="13"/>
      <c r="T6081" s="13"/>
      <c r="U6081" s="13"/>
      <c r="V6081" s="13"/>
      <c r="W6081" s="13"/>
      <c r="X6081" s="13"/>
      <c r="Y6081" s="13"/>
      <c r="Z6081" s="13"/>
      <c r="AA6081" s="13"/>
      <c r="AB6081" s="13"/>
      <c r="AC6081" s="13"/>
      <c r="AD6081" s="13"/>
      <c r="AE6081" s="13"/>
      <c r="AF6081" s="13"/>
      <c r="AG6081" s="13"/>
      <c r="AH6081" s="13"/>
      <c r="AI6081" s="13"/>
      <c r="AJ6081" s="13"/>
      <c r="AK6081" s="13"/>
      <c r="AL6081" s="13"/>
      <c r="AM6081" s="13"/>
      <c r="AN6081" s="13"/>
      <c r="AO6081" s="13"/>
      <c r="AP6081" s="13"/>
      <c r="AQ6081" s="13"/>
      <c r="AR6081" s="13"/>
      <c r="AS6081" s="13"/>
    </row>
    <row r="6082" ht="14.25" customHeight="1">
      <c r="A6082" s="13"/>
      <c r="B6082" s="13"/>
      <c r="C6082" s="13"/>
      <c r="D6082" s="13"/>
      <c r="E6082" s="13"/>
      <c r="F6082" s="13"/>
      <c r="G6082" s="13"/>
      <c r="H6082" s="13"/>
      <c r="I6082" s="13"/>
      <c r="J6082" s="13"/>
      <c r="K6082" s="15"/>
      <c r="L6082" s="15"/>
      <c r="M6082" s="16"/>
      <c r="N6082" s="16"/>
      <c r="O6082" s="17"/>
      <c r="P6082" s="17"/>
      <c r="Q6082" s="13"/>
      <c r="R6082" s="13"/>
      <c r="S6082" s="13"/>
      <c r="T6082" s="13"/>
      <c r="U6082" s="13"/>
      <c r="V6082" s="13"/>
      <c r="W6082" s="13"/>
      <c r="X6082" s="13"/>
      <c r="Y6082" s="13"/>
      <c r="Z6082" s="13"/>
      <c r="AA6082" s="13"/>
      <c r="AB6082" s="13"/>
      <c r="AC6082" s="13"/>
      <c r="AD6082" s="13"/>
      <c r="AE6082" s="13"/>
      <c r="AF6082" s="13"/>
      <c r="AG6082" s="13"/>
      <c r="AH6082" s="13"/>
      <c r="AI6082" s="13"/>
      <c r="AJ6082" s="13"/>
      <c r="AK6082" s="13"/>
      <c r="AL6082" s="13"/>
      <c r="AM6082" s="13"/>
      <c r="AN6082" s="13"/>
      <c r="AO6082" s="13"/>
      <c r="AP6082" s="13"/>
      <c r="AQ6082" s="13"/>
      <c r="AR6082" s="13"/>
      <c r="AS6082" s="13"/>
    </row>
    <row r="6083" ht="14.25" customHeight="1">
      <c r="A6083" s="13"/>
      <c r="B6083" s="13"/>
      <c r="C6083" s="13"/>
      <c r="D6083" s="13"/>
      <c r="E6083" s="13"/>
      <c r="F6083" s="13"/>
      <c r="G6083" s="13"/>
      <c r="H6083" s="13"/>
      <c r="I6083" s="13"/>
      <c r="J6083" s="13"/>
      <c r="K6083" s="15"/>
      <c r="L6083" s="15"/>
      <c r="M6083" s="16"/>
      <c r="N6083" s="16"/>
      <c r="O6083" s="17"/>
      <c r="P6083" s="17"/>
      <c r="Q6083" s="13"/>
      <c r="R6083" s="13"/>
      <c r="S6083" s="13"/>
      <c r="T6083" s="13"/>
      <c r="U6083" s="13"/>
      <c r="V6083" s="13"/>
      <c r="W6083" s="13"/>
      <c r="X6083" s="13"/>
      <c r="Y6083" s="13"/>
      <c r="Z6083" s="13"/>
      <c r="AA6083" s="13"/>
      <c r="AB6083" s="13"/>
      <c r="AC6083" s="13"/>
      <c r="AD6083" s="13"/>
      <c r="AE6083" s="13"/>
      <c r="AF6083" s="13"/>
      <c r="AG6083" s="13"/>
      <c r="AH6083" s="13"/>
      <c r="AI6083" s="13"/>
      <c r="AJ6083" s="13"/>
      <c r="AK6083" s="13"/>
      <c r="AL6083" s="13"/>
      <c r="AM6083" s="13"/>
      <c r="AN6083" s="13"/>
      <c r="AO6083" s="13"/>
      <c r="AP6083" s="13"/>
      <c r="AQ6083" s="13"/>
      <c r="AR6083" s="13"/>
      <c r="AS6083" s="13"/>
    </row>
    <row r="6084" ht="14.25" customHeight="1">
      <c r="A6084" s="13"/>
      <c r="B6084" s="13"/>
      <c r="C6084" s="13"/>
      <c r="D6084" s="13"/>
      <c r="E6084" s="13"/>
      <c r="F6084" s="13"/>
      <c r="G6084" s="13"/>
      <c r="H6084" s="13"/>
      <c r="I6084" s="13"/>
      <c r="J6084" s="13"/>
      <c r="K6084" s="15"/>
      <c r="L6084" s="15"/>
      <c r="M6084" s="16"/>
      <c r="N6084" s="16"/>
      <c r="O6084" s="17"/>
      <c r="P6084" s="17"/>
      <c r="Q6084" s="13"/>
      <c r="R6084" s="13"/>
      <c r="S6084" s="13"/>
      <c r="T6084" s="13"/>
      <c r="U6084" s="13"/>
      <c r="V6084" s="13"/>
      <c r="W6084" s="13"/>
      <c r="X6084" s="13"/>
      <c r="Y6084" s="13"/>
      <c r="Z6084" s="13"/>
      <c r="AA6084" s="13"/>
      <c r="AB6084" s="13"/>
      <c r="AC6084" s="13"/>
      <c r="AD6084" s="13"/>
      <c r="AE6084" s="13"/>
      <c r="AF6084" s="13"/>
      <c r="AG6084" s="13"/>
      <c r="AH6084" s="13"/>
      <c r="AI6084" s="13"/>
      <c r="AJ6084" s="13"/>
      <c r="AK6084" s="13"/>
      <c r="AL6084" s="13"/>
      <c r="AM6084" s="13"/>
      <c r="AN6084" s="13"/>
      <c r="AO6084" s="13"/>
      <c r="AP6084" s="13"/>
      <c r="AQ6084" s="13"/>
      <c r="AR6084" s="13"/>
      <c r="AS6084" s="13"/>
    </row>
    <row r="6085" ht="14.25" customHeight="1">
      <c r="A6085" s="13"/>
      <c r="B6085" s="13"/>
      <c r="C6085" s="13"/>
      <c r="D6085" s="13"/>
      <c r="E6085" s="13"/>
      <c r="F6085" s="13"/>
      <c r="G6085" s="13"/>
      <c r="H6085" s="13"/>
      <c r="I6085" s="13"/>
      <c r="J6085" s="13"/>
      <c r="K6085" s="15"/>
      <c r="L6085" s="15"/>
      <c r="M6085" s="16"/>
      <c r="N6085" s="16"/>
      <c r="O6085" s="17"/>
      <c r="P6085" s="17"/>
      <c r="Q6085" s="13"/>
      <c r="R6085" s="13"/>
      <c r="S6085" s="13"/>
      <c r="T6085" s="13"/>
      <c r="U6085" s="13"/>
      <c r="V6085" s="13"/>
      <c r="W6085" s="13"/>
      <c r="X6085" s="13"/>
      <c r="Y6085" s="13"/>
      <c r="Z6085" s="13"/>
      <c r="AA6085" s="13"/>
      <c r="AB6085" s="13"/>
      <c r="AC6085" s="13"/>
      <c r="AD6085" s="13"/>
      <c r="AE6085" s="13"/>
      <c r="AF6085" s="13"/>
      <c r="AG6085" s="13"/>
      <c r="AH6085" s="13"/>
      <c r="AI6085" s="13"/>
      <c r="AJ6085" s="13"/>
      <c r="AK6085" s="13"/>
      <c r="AL6085" s="13"/>
      <c r="AM6085" s="13"/>
      <c r="AN6085" s="13"/>
      <c r="AO6085" s="13"/>
      <c r="AP6085" s="13"/>
      <c r="AQ6085" s="13"/>
      <c r="AR6085" s="13"/>
      <c r="AS6085" s="13"/>
    </row>
    <row r="6086" ht="14.25" customHeight="1">
      <c r="A6086" s="13"/>
      <c r="B6086" s="13"/>
      <c r="C6086" s="13"/>
      <c r="D6086" s="13"/>
      <c r="E6086" s="13"/>
      <c r="F6086" s="13"/>
      <c r="G6086" s="13"/>
      <c r="H6086" s="13"/>
      <c r="I6086" s="13"/>
      <c r="J6086" s="13"/>
      <c r="K6086" s="15"/>
      <c r="L6086" s="15"/>
      <c r="M6086" s="16"/>
      <c r="N6086" s="16"/>
      <c r="O6086" s="17"/>
      <c r="P6086" s="17"/>
      <c r="Q6086" s="13"/>
      <c r="R6086" s="13"/>
      <c r="S6086" s="13"/>
      <c r="T6086" s="13"/>
      <c r="U6086" s="13"/>
      <c r="V6086" s="13"/>
      <c r="W6086" s="13"/>
      <c r="X6086" s="13"/>
      <c r="Y6086" s="13"/>
      <c r="Z6086" s="13"/>
      <c r="AA6086" s="13"/>
      <c r="AB6086" s="13"/>
      <c r="AC6086" s="13"/>
      <c r="AD6086" s="13"/>
      <c r="AE6086" s="13"/>
      <c r="AF6086" s="13"/>
      <c r="AG6086" s="13"/>
      <c r="AH6086" s="13"/>
      <c r="AI6086" s="13"/>
      <c r="AJ6086" s="13"/>
      <c r="AK6086" s="13"/>
      <c r="AL6086" s="13"/>
      <c r="AM6086" s="13"/>
      <c r="AN6086" s="13"/>
      <c r="AO6086" s="13"/>
      <c r="AP6086" s="13"/>
      <c r="AQ6086" s="13"/>
      <c r="AR6086" s="13"/>
      <c r="AS6086" s="13"/>
    </row>
    <row r="6087" ht="14.25" customHeight="1">
      <c r="A6087" s="13"/>
      <c r="B6087" s="13"/>
      <c r="C6087" s="13"/>
      <c r="D6087" s="13"/>
      <c r="E6087" s="13"/>
      <c r="F6087" s="13"/>
      <c r="G6087" s="13"/>
      <c r="H6087" s="13"/>
      <c r="I6087" s="13"/>
      <c r="J6087" s="13"/>
      <c r="K6087" s="15"/>
      <c r="L6087" s="15"/>
      <c r="M6087" s="16"/>
      <c r="N6087" s="16"/>
      <c r="O6087" s="17"/>
      <c r="P6087" s="17"/>
      <c r="Q6087" s="13"/>
      <c r="R6087" s="13"/>
      <c r="S6087" s="13"/>
      <c r="T6087" s="13"/>
      <c r="U6087" s="13"/>
      <c r="V6087" s="13"/>
      <c r="W6087" s="13"/>
      <c r="X6087" s="13"/>
      <c r="Y6087" s="13"/>
      <c r="Z6087" s="13"/>
      <c r="AA6087" s="13"/>
      <c r="AB6087" s="13"/>
      <c r="AC6087" s="13"/>
      <c r="AD6087" s="13"/>
      <c r="AE6087" s="13"/>
      <c r="AF6087" s="13"/>
      <c r="AG6087" s="13"/>
      <c r="AH6087" s="13"/>
      <c r="AI6087" s="13"/>
      <c r="AJ6087" s="13"/>
      <c r="AK6087" s="13"/>
      <c r="AL6087" s="13"/>
      <c r="AM6087" s="13"/>
      <c r="AN6087" s="13"/>
      <c r="AO6087" s="13"/>
      <c r="AP6087" s="13"/>
      <c r="AQ6087" s="13"/>
      <c r="AR6087" s="13"/>
      <c r="AS6087" s="13"/>
    </row>
    <row r="6088" ht="14.25" customHeight="1">
      <c r="A6088" s="13"/>
      <c r="B6088" s="13"/>
      <c r="C6088" s="13"/>
      <c r="D6088" s="13"/>
      <c r="E6088" s="13"/>
      <c r="F6088" s="13"/>
      <c r="G6088" s="13"/>
      <c r="H6088" s="13"/>
      <c r="I6088" s="13"/>
      <c r="J6088" s="13"/>
      <c r="K6088" s="15"/>
      <c r="L6088" s="15"/>
      <c r="M6088" s="16"/>
      <c r="N6088" s="16"/>
      <c r="O6088" s="17"/>
      <c r="P6088" s="17"/>
      <c r="Q6088" s="13"/>
      <c r="R6088" s="13"/>
      <c r="S6088" s="13"/>
      <c r="T6088" s="13"/>
      <c r="U6088" s="13"/>
      <c r="V6088" s="13"/>
      <c r="W6088" s="13"/>
      <c r="X6088" s="13"/>
      <c r="Y6088" s="13"/>
      <c r="Z6088" s="13"/>
      <c r="AA6088" s="13"/>
      <c r="AB6088" s="13"/>
      <c r="AC6088" s="13"/>
      <c r="AD6088" s="13"/>
      <c r="AE6088" s="13"/>
      <c r="AF6088" s="13"/>
      <c r="AG6088" s="13"/>
      <c r="AH6088" s="13"/>
      <c r="AI6088" s="13"/>
      <c r="AJ6088" s="13"/>
      <c r="AK6088" s="13"/>
      <c r="AL6088" s="13"/>
      <c r="AM6088" s="13"/>
      <c r="AN6088" s="13"/>
      <c r="AO6088" s="13"/>
      <c r="AP6088" s="13"/>
      <c r="AQ6088" s="13"/>
      <c r="AR6088" s="13"/>
      <c r="AS6088" s="13"/>
    </row>
    <row r="6089" ht="14.25" customHeight="1">
      <c r="A6089" s="13"/>
      <c r="B6089" s="13"/>
      <c r="C6089" s="13"/>
      <c r="D6089" s="13"/>
      <c r="E6089" s="13"/>
      <c r="F6089" s="13"/>
      <c r="G6089" s="13"/>
      <c r="H6089" s="13"/>
      <c r="I6089" s="13"/>
      <c r="J6089" s="13"/>
      <c r="K6089" s="15"/>
      <c r="L6089" s="15"/>
      <c r="M6089" s="16"/>
      <c r="N6089" s="16"/>
      <c r="O6089" s="17"/>
      <c r="P6089" s="17"/>
      <c r="Q6089" s="13"/>
      <c r="R6089" s="13"/>
      <c r="S6089" s="13"/>
      <c r="T6089" s="13"/>
      <c r="U6089" s="13"/>
      <c r="V6089" s="13"/>
      <c r="W6089" s="13"/>
      <c r="X6089" s="13"/>
      <c r="Y6089" s="13"/>
      <c r="Z6089" s="13"/>
      <c r="AA6089" s="13"/>
      <c r="AB6089" s="13"/>
      <c r="AC6089" s="13"/>
      <c r="AD6089" s="13"/>
      <c r="AE6089" s="13"/>
      <c r="AF6089" s="13"/>
      <c r="AG6089" s="13"/>
      <c r="AH6089" s="13"/>
      <c r="AI6089" s="13"/>
      <c r="AJ6089" s="13"/>
      <c r="AK6089" s="13"/>
      <c r="AL6089" s="13"/>
      <c r="AM6089" s="13"/>
      <c r="AN6089" s="13"/>
      <c r="AO6089" s="13"/>
      <c r="AP6089" s="13"/>
      <c r="AQ6089" s="13"/>
      <c r="AR6089" s="13"/>
      <c r="AS6089" s="13"/>
    </row>
    <row r="6090" ht="14.25" customHeight="1">
      <c r="A6090" s="13"/>
      <c r="B6090" s="13"/>
      <c r="C6090" s="13"/>
      <c r="D6090" s="13"/>
      <c r="E6090" s="13"/>
      <c r="F6090" s="13"/>
      <c r="G6090" s="13"/>
      <c r="H6090" s="13"/>
      <c r="I6090" s="13"/>
      <c r="J6090" s="13"/>
      <c r="K6090" s="15"/>
      <c r="L6090" s="15"/>
      <c r="M6090" s="16"/>
      <c r="N6090" s="16"/>
      <c r="O6090" s="17"/>
      <c r="P6090" s="17"/>
      <c r="Q6090" s="13"/>
      <c r="R6090" s="13"/>
      <c r="S6090" s="13"/>
      <c r="T6090" s="13"/>
      <c r="U6090" s="13"/>
      <c r="V6090" s="13"/>
      <c r="W6090" s="13"/>
      <c r="X6090" s="13"/>
      <c r="Y6090" s="13"/>
      <c r="Z6090" s="13"/>
      <c r="AA6090" s="13"/>
      <c r="AB6090" s="13"/>
      <c r="AC6090" s="13"/>
      <c r="AD6090" s="13"/>
      <c r="AE6090" s="13"/>
      <c r="AF6090" s="13"/>
      <c r="AG6090" s="13"/>
      <c r="AH6090" s="13"/>
      <c r="AI6090" s="13"/>
      <c r="AJ6090" s="13"/>
      <c r="AK6090" s="13"/>
      <c r="AL6090" s="13"/>
      <c r="AM6090" s="13"/>
      <c r="AN6090" s="13"/>
      <c r="AO6090" s="13"/>
      <c r="AP6090" s="13"/>
      <c r="AQ6090" s="13"/>
      <c r="AR6090" s="13"/>
      <c r="AS6090" s="13"/>
    </row>
    <row r="6091" ht="14.25" customHeight="1">
      <c r="A6091" s="13"/>
      <c r="B6091" s="13"/>
      <c r="C6091" s="13"/>
      <c r="D6091" s="13"/>
      <c r="E6091" s="13"/>
      <c r="F6091" s="13"/>
      <c r="G6091" s="13"/>
      <c r="H6091" s="13"/>
      <c r="I6091" s="13"/>
      <c r="J6091" s="13"/>
      <c r="K6091" s="15"/>
      <c r="L6091" s="15"/>
      <c r="M6091" s="16"/>
      <c r="N6091" s="16"/>
      <c r="O6091" s="17"/>
      <c r="P6091" s="17"/>
      <c r="Q6091" s="13"/>
      <c r="R6091" s="13"/>
      <c r="S6091" s="13"/>
      <c r="T6091" s="13"/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F6091" s="13"/>
      <c r="AG6091" s="13"/>
      <c r="AH6091" s="13"/>
      <c r="AI6091" s="13"/>
      <c r="AJ6091" s="13"/>
      <c r="AK6091" s="13"/>
      <c r="AL6091" s="13"/>
      <c r="AM6091" s="13"/>
      <c r="AN6091" s="13"/>
      <c r="AO6091" s="13"/>
      <c r="AP6091" s="13"/>
      <c r="AQ6091" s="13"/>
      <c r="AR6091" s="13"/>
      <c r="AS6091" s="13"/>
    </row>
    <row r="6092" ht="14.25" customHeight="1">
      <c r="A6092" s="13"/>
      <c r="B6092" s="13"/>
      <c r="C6092" s="13"/>
      <c r="D6092" s="13"/>
      <c r="E6092" s="13"/>
      <c r="F6092" s="13"/>
      <c r="G6092" s="13"/>
      <c r="H6092" s="13"/>
      <c r="I6092" s="13"/>
      <c r="J6092" s="13"/>
      <c r="K6092" s="15"/>
      <c r="L6092" s="15"/>
      <c r="M6092" s="16"/>
      <c r="N6092" s="16"/>
      <c r="O6092" s="17"/>
      <c r="P6092" s="17"/>
      <c r="Q6092" s="13"/>
      <c r="R6092" s="13"/>
      <c r="S6092" s="13"/>
      <c r="T6092" s="13"/>
      <c r="U6092" s="13"/>
      <c r="V6092" s="13"/>
      <c r="W6092" s="13"/>
      <c r="X6092" s="13"/>
      <c r="Y6092" s="13"/>
      <c r="Z6092" s="13"/>
      <c r="AA6092" s="13"/>
      <c r="AB6092" s="13"/>
      <c r="AC6092" s="13"/>
      <c r="AD6092" s="13"/>
      <c r="AE6092" s="13"/>
      <c r="AF6092" s="13"/>
      <c r="AG6092" s="13"/>
      <c r="AH6092" s="13"/>
      <c r="AI6092" s="13"/>
      <c r="AJ6092" s="13"/>
      <c r="AK6092" s="13"/>
      <c r="AL6092" s="13"/>
      <c r="AM6092" s="13"/>
      <c r="AN6092" s="13"/>
      <c r="AO6092" s="13"/>
      <c r="AP6092" s="13"/>
      <c r="AQ6092" s="13"/>
      <c r="AR6092" s="13"/>
      <c r="AS6092" s="13"/>
    </row>
    <row r="6093" ht="14.25" customHeight="1">
      <c r="A6093" s="13"/>
      <c r="B6093" s="13"/>
      <c r="C6093" s="13"/>
      <c r="D6093" s="13"/>
      <c r="E6093" s="13"/>
      <c r="F6093" s="13"/>
      <c r="G6093" s="13"/>
      <c r="H6093" s="13"/>
      <c r="I6093" s="13"/>
      <c r="J6093" s="13"/>
      <c r="K6093" s="15"/>
      <c r="L6093" s="15"/>
      <c r="M6093" s="16"/>
      <c r="N6093" s="16"/>
      <c r="O6093" s="17"/>
      <c r="P6093" s="17"/>
      <c r="Q6093" s="13"/>
      <c r="R6093" s="13"/>
      <c r="S6093" s="13"/>
      <c r="T6093" s="13"/>
      <c r="U6093" s="13"/>
      <c r="V6093" s="13"/>
      <c r="W6093" s="13"/>
      <c r="X6093" s="13"/>
      <c r="Y6093" s="13"/>
      <c r="Z6093" s="13"/>
      <c r="AA6093" s="13"/>
      <c r="AB6093" s="13"/>
      <c r="AC6093" s="13"/>
      <c r="AD6093" s="13"/>
      <c r="AE6093" s="13"/>
      <c r="AF6093" s="13"/>
      <c r="AG6093" s="13"/>
      <c r="AH6093" s="13"/>
      <c r="AI6093" s="13"/>
      <c r="AJ6093" s="13"/>
      <c r="AK6093" s="13"/>
      <c r="AL6093" s="13"/>
      <c r="AM6093" s="13"/>
      <c r="AN6093" s="13"/>
      <c r="AO6093" s="13"/>
      <c r="AP6093" s="13"/>
      <c r="AQ6093" s="13"/>
      <c r="AR6093" s="13"/>
      <c r="AS6093" s="13"/>
    </row>
    <row r="6094" ht="14.25" customHeight="1">
      <c r="A6094" s="13"/>
      <c r="B6094" s="13"/>
      <c r="C6094" s="13"/>
      <c r="D6094" s="13"/>
      <c r="E6094" s="13"/>
      <c r="F6094" s="13"/>
      <c r="G6094" s="13"/>
      <c r="H6094" s="13"/>
      <c r="I6094" s="13"/>
      <c r="J6094" s="13"/>
      <c r="K6094" s="15"/>
      <c r="L6094" s="15"/>
      <c r="M6094" s="16"/>
      <c r="N6094" s="16"/>
      <c r="O6094" s="17"/>
      <c r="P6094" s="17"/>
      <c r="Q6094" s="13"/>
      <c r="R6094" s="13"/>
      <c r="S6094" s="13"/>
      <c r="T6094" s="13"/>
      <c r="U6094" s="13"/>
      <c r="V6094" s="13"/>
      <c r="W6094" s="13"/>
      <c r="X6094" s="13"/>
      <c r="Y6094" s="13"/>
      <c r="Z6094" s="13"/>
      <c r="AA6094" s="13"/>
      <c r="AB6094" s="13"/>
      <c r="AC6094" s="13"/>
      <c r="AD6094" s="13"/>
      <c r="AE6094" s="13"/>
      <c r="AF6094" s="13"/>
      <c r="AG6094" s="13"/>
      <c r="AH6094" s="13"/>
      <c r="AI6094" s="13"/>
      <c r="AJ6094" s="13"/>
      <c r="AK6094" s="13"/>
      <c r="AL6094" s="13"/>
      <c r="AM6094" s="13"/>
      <c r="AN6094" s="13"/>
      <c r="AO6094" s="13"/>
      <c r="AP6094" s="13"/>
      <c r="AQ6094" s="13"/>
      <c r="AR6094" s="13"/>
      <c r="AS6094" s="13"/>
    </row>
    <row r="6095" ht="14.25" customHeight="1">
      <c r="A6095" s="13"/>
      <c r="B6095" s="13"/>
      <c r="C6095" s="13"/>
      <c r="D6095" s="13"/>
      <c r="E6095" s="13"/>
      <c r="F6095" s="13"/>
      <c r="G6095" s="13"/>
      <c r="H6095" s="13"/>
      <c r="I6095" s="13"/>
      <c r="J6095" s="13"/>
      <c r="K6095" s="15"/>
      <c r="L6095" s="15"/>
      <c r="M6095" s="16"/>
      <c r="N6095" s="16"/>
      <c r="O6095" s="17"/>
      <c r="P6095" s="17"/>
      <c r="Q6095" s="13"/>
      <c r="R6095" s="13"/>
      <c r="S6095" s="13"/>
      <c r="T6095" s="13"/>
      <c r="U6095" s="13"/>
      <c r="V6095" s="13"/>
      <c r="W6095" s="13"/>
      <c r="X6095" s="13"/>
      <c r="Y6095" s="13"/>
      <c r="Z6095" s="13"/>
      <c r="AA6095" s="13"/>
      <c r="AB6095" s="13"/>
      <c r="AC6095" s="13"/>
      <c r="AD6095" s="13"/>
      <c r="AE6095" s="13"/>
      <c r="AF6095" s="13"/>
      <c r="AG6095" s="13"/>
      <c r="AH6095" s="13"/>
      <c r="AI6095" s="13"/>
      <c r="AJ6095" s="13"/>
      <c r="AK6095" s="13"/>
      <c r="AL6095" s="13"/>
      <c r="AM6095" s="13"/>
      <c r="AN6095" s="13"/>
      <c r="AO6095" s="13"/>
      <c r="AP6095" s="13"/>
      <c r="AQ6095" s="13"/>
      <c r="AR6095" s="13"/>
      <c r="AS6095" s="13"/>
    </row>
    <row r="6096" ht="14.25" customHeight="1">
      <c r="A6096" s="13"/>
      <c r="B6096" s="13"/>
      <c r="C6096" s="13"/>
      <c r="D6096" s="13"/>
      <c r="E6096" s="13"/>
      <c r="F6096" s="13"/>
      <c r="G6096" s="13"/>
      <c r="H6096" s="13"/>
      <c r="I6096" s="13"/>
      <c r="J6096" s="13"/>
      <c r="K6096" s="15"/>
      <c r="L6096" s="15"/>
      <c r="M6096" s="16"/>
      <c r="N6096" s="16"/>
      <c r="O6096" s="17"/>
      <c r="P6096" s="17"/>
      <c r="Q6096" s="13"/>
      <c r="R6096" s="13"/>
      <c r="S6096" s="13"/>
      <c r="T6096" s="13"/>
      <c r="U6096" s="13"/>
      <c r="V6096" s="13"/>
      <c r="W6096" s="13"/>
      <c r="X6096" s="13"/>
      <c r="Y6096" s="13"/>
      <c r="Z6096" s="13"/>
      <c r="AA6096" s="13"/>
      <c r="AB6096" s="13"/>
      <c r="AC6096" s="13"/>
      <c r="AD6096" s="13"/>
      <c r="AE6096" s="13"/>
      <c r="AF6096" s="13"/>
      <c r="AG6096" s="13"/>
      <c r="AH6096" s="13"/>
      <c r="AI6096" s="13"/>
      <c r="AJ6096" s="13"/>
      <c r="AK6096" s="13"/>
      <c r="AL6096" s="13"/>
      <c r="AM6096" s="13"/>
      <c r="AN6096" s="13"/>
      <c r="AO6096" s="13"/>
      <c r="AP6096" s="13"/>
      <c r="AQ6096" s="13"/>
      <c r="AR6096" s="13"/>
      <c r="AS6096" s="13"/>
    </row>
    <row r="6097" ht="14.25" customHeight="1">
      <c r="A6097" s="13"/>
      <c r="B6097" s="13"/>
      <c r="C6097" s="13"/>
      <c r="D6097" s="13"/>
      <c r="E6097" s="13"/>
      <c r="F6097" s="13"/>
      <c r="G6097" s="13"/>
      <c r="H6097" s="13"/>
      <c r="I6097" s="13"/>
      <c r="J6097" s="13"/>
      <c r="K6097" s="15"/>
      <c r="L6097" s="15"/>
      <c r="M6097" s="16"/>
      <c r="N6097" s="16"/>
      <c r="O6097" s="17"/>
      <c r="P6097" s="17"/>
      <c r="Q6097" s="13"/>
      <c r="R6097" s="13"/>
      <c r="S6097" s="13"/>
      <c r="T6097" s="13"/>
      <c r="U6097" s="13"/>
      <c r="V6097" s="13"/>
      <c r="W6097" s="13"/>
      <c r="X6097" s="13"/>
      <c r="Y6097" s="13"/>
      <c r="Z6097" s="13"/>
      <c r="AA6097" s="13"/>
      <c r="AB6097" s="13"/>
      <c r="AC6097" s="13"/>
      <c r="AD6097" s="13"/>
      <c r="AE6097" s="13"/>
      <c r="AF6097" s="13"/>
      <c r="AG6097" s="13"/>
      <c r="AH6097" s="13"/>
      <c r="AI6097" s="13"/>
      <c r="AJ6097" s="13"/>
      <c r="AK6097" s="13"/>
      <c r="AL6097" s="13"/>
      <c r="AM6097" s="13"/>
      <c r="AN6097" s="13"/>
      <c r="AO6097" s="13"/>
      <c r="AP6097" s="13"/>
      <c r="AQ6097" s="13"/>
      <c r="AR6097" s="13"/>
      <c r="AS6097" s="13"/>
    </row>
    <row r="6098" ht="14.25" customHeight="1">
      <c r="A6098" s="13"/>
      <c r="B6098" s="13"/>
      <c r="C6098" s="13"/>
      <c r="D6098" s="13"/>
      <c r="E6098" s="13"/>
      <c r="F6098" s="13"/>
      <c r="G6098" s="13"/>
      <c r="H6098" s="13"/>
      <c r="I6098" s="13"/>
      <c r="J6098" s="13"/>
      <c r="K6098" s="15"/>
      <c r="L6098" s="15"/>
      <c r="M6098" s="16"/>
      <c r="N6098" s="16"/>
      <c r="O6098" s="17"/>
      <c r="P6098" s="17"/>
      <c r="Q6098" s="13"/>
      <c r="R6098" s="13"/>
      <c r="S6098" s="13"/>
      <c r="T6098" s="13"/>
      <c r="U6098" s="13"/>
      <c r="V6098" s="13"/>
      <c r="W6098" s="13"/>
      <c r="X6098" s="13"/>
      <c r="Y6098" s="13"/>
      <c r="Z6098" s="13"/>
      <c r="AA6098" s="13"/>
      <c r="AB6098" s="13"/>
      <c r="AC6098" s="13"/>
      <c r="AD6098" s="13"/>
      <c r="AE6098" s="13"/>
      <c r="AF6098" s="13"/>
      <c r="AG6098" s="13"/>
      <c r="AH6098" s="13"/>
      <c r="AI6098" s="13"/>
      <c r="AJ6098" s="13"/>
      <c r="AK6098" s="13"/>
      <c r="AL6098" s="13"/>
      <c r="AM6098" s="13"/>
      <c r="AN6098" s="13"/>
      <c r="AO6098" s="13"/>
      <c r="AP6098" s="13"/>
      <c r="AQ6098" s="13"/>
      <c r="AR6098" s="13"/>
      <c r="AS6098" s="13"/>
    </row>
    <row r="6099" ht="14.25" customHeight="1">
      <c r="A6099" s="13"/>
      <c r="B6099" s="13"/>
      <c r="C6099" s="13"/>
      <c r="D6099" s="13"/>
      <c r="E6099" s="13"/>
      <c r="F6099" s="13"/>
      <c r="G6099" s="13"/>
      <c r="H6099" s="13"/>
      <c r="I6099" s="13"/>
      <c r="J6099" s="13"/>
      <c r="K6099" s="15"/>
      <c r="L6099" s="15"/>
      <c r="M6099" s="16"/>
      <c r="N6099" s="16"/>
      <c r="O6099" s="17"/>
      <c r="P6099" s="17"/>
      <c r="Q6099" s="13"/>
      <c r="R6099" s="13"/>
      <c r="S6099" s="13"/>
      <c r="T6099" s="13"/>
      <c r="U6099" s="13"/>
      <c r="V6099" s="13"/>
      <c r="W6099" s="13"/>
      <c r="X6099" s="13"/>
      <c r="Y6099" s="13"/>
      <c r="Z6099" s="13"/>
      <c r="AA6099" s="13"/>
      <c r="AB6099" s="13"/>
      <c r="AC6099" s="13"/>
      <c r="AD6099" s="13"/>
      <c r="AE6099" s="13"/>
      <c r="AF6099" s="13"/>
      <c r="AG6099" s="13"/>
      <c r="AH6099" s="13"/>
      <c r="AI6099" s="13"/>
      <c r="AJ6099" s="13"/>
      <c r="AK6099" s="13"/>
      <c r="AL6099" s="13"/>
      <c r="AM6099" s="13"/>
      <c r="AN6099" s="13"/>
      <c r="AO6099" s="13"/>
      <c r="AP6099" s="13"/>
      <c r="AQ6099" s="13"/>
      <c r="AR6099" s="13"/>
      <c r="AS6099" s="13"/>
    </row>
    <row r="6100" ht="14.25" customHeight="1">
      <c r="A6100" s="13"/>
      <c r="B6100" s="13"/>
      <c r="C6100" s="13"/>
      <c r="D6100" s="13"/>
      <c r="E6100" s="13"/>
      <c r="F6100" s="13"/>
      <c r="G6100" s="13"/>
      <c r="H6100" s="13"/>
      <c r="I6100" s="13"/>
      <c r="J6100" s="13"/>
      <c r="K6100" s="15"/>
      <c r="L6100" s="15"/>
      <c r="M6100" s="16"/>
      <c r="N6100" s="16"/>
      <c r="O6100" s="17"/>
      <c r="P6100" s="17"/>
      <c r="Q6100" s="13"/>
      <c r="R6100" s="13"/>
      <c r="S6100" s="13"/>
      <c r="T6100" s="13"/>
      <c r="U6100" s="13"/>
      <c r="V6100" s="13"/>
      <c r="W6100" s="13"/>
      <c r="X6100" s="13"/>
      <c r="Y6100" s="13"/>
      <c r="Z6100" s="13"/>
      <c r="AA6100" s="13"/>
      <c r="AB6100" s="13"/>
      <c r="AC6100" s="13"/>
      <c r="AD6100" s="13"/>
      <c r="AE6100" s="13"/>
      <c r="AF6100" s="13"/>
      <c r="AG6100" s="13"/>
      <c r="AH6100" s="13"/>
      <c r="AI6100" s="13"/>
      <c r="AJ6100" s="13"/>
      <c r="AK6100" s="13"/>
      <c r="AL6100" s="13"/>
      <c r="AM6100" s="13"/>
      <c r="AN6100" s="13"/>
      <c r="AO6100" s="13"/>
      <c r="AP6100" s="13"/>
      <c r="AQ6100" s="13"/>
      <c r="AR6100" s="13"/>
      <c r="AS6100" s="13"/>
    </row>
    <row r="6101" ht="14.25" customHeight="1">
      <c r="A6101" s="13"/>
      <c r="B6101" s="13"/>
      <c r="C6101" s="13"/>
      <c r="D6101" s="13"/>
      <c r="E6101" s="13"/>
      <c r="F6101" s="13"/>
      <c r="G6101" s="13"/>
      <c r="H6101" s="13"/>
      <c r="I6101" s="13"/>
      <c r="J6101" s="13"/>
      <c r="K6101" s="15"/>
      <c r="L6101" s="15"/>
      <c r="M6101" s="16"/>
      <c r="N6101" s="16"/>
      <c r="O6101" s="17"/>
      <c r="P6101" s="17"/>
      <c r="Q6101" s="13"/>
      <c r="R6101" s="13"/>
      <c r="S6101" s="13"/>
      <c r="T6101" s="13"/>
      <c r="U6101" s="13"/>
      <c r="V6101" s="13"/>
      <c r="W6101" s="13"/>
      <c r="X6101" s="13"/>
      <c r="Y6101" s="13"/>
      <c r="Z6101" s="13"/>
      <c r="AA6101" s="13"/>
      <c r="AB6101" s="13"/>
      <c r="AC6101" s="13"/>
      <c r="AD6101" s="13"/>
      <c r="AE6101" s="13"/>
      <c r="AF6101" s="13"/>
      <c r="AG6101" s="13"/>
      <c r="AH6101" s="13"/>
      <c r="AI6101" s="13"/>
      <c r="AJ6101" s="13"/>
      <c r="AK6101" s="13"/>
      <c r="AL6101" s="13"/>
      <c r="AM6101" s="13"/>
      <c r="AN6101" s="13"/>
      <c r="AO6101" s="13"/>
      <c r="AP6101" s="13"/>
      <c r="AQ6101" s="13"/>
      <c r="AR6101" s="13"/>
      <c r="AS6101" s="13"/>
    </row>
    <row r="6102" ht="14.25" customHeight="1">
      <c r="A6102" s="13"/>
      <c r="B6102" s="13"/>
      <c r="C6102" s="13"/>
      <c r="D6102" s="13"/>
      <c r="E6102" s="13"/>
      <c r="F6102" s="13"/>
      <c r="G6102" s="13"/>
      <c r="H6102" s="13"/>
      <c r="I6102" s="13"/>
      <c r="J6102" s="13"/>
      <c r="K6102" s="15"/>
      <c r="L6102" s="15"/>
      <c r="M6102" s="16"/>
      <c r="N6102" s="16"/>
      <c r="O6102" s="17"/>
      <c r="P6102" s="17"/>
      <c r="Q6102" s="13"/>
      <c r="R6102" s="13"/>
      <c r="S6102" s="13"/>
      <c r="T6102" s="13"/>
      <c r="U6102" s="13"/>
      <c r="V6102" s="13"/>
      <c r="W6102" s="13"/>
      <c r="X6102" s="13"/>
      <c r="Y6102" s="13"/>
      <c r="Z6102" s="13"/>
      <c r="AA6102" s="13"/>
      <c r="AB6102" s="13"/>
      <c r="AC6102" s="13"/>
      <c r="AD6102" s="13"/>
      <c r="AE6102" s="13"/>
      <c r="AF6102" s="13"/>
      <c r="AG6102" s="13"/>
      <c r="AH6102" s="13"/>
      <c r="AI6102" s="13"/>
      <c r="AJ6102" s="13"/>
      <c r="AK6102" s="13"/>
      <c r="AL6102" s="13"/>
      <c r="AM6102" s="13"/>
      <c r="AN6102" s="13"/>
      <c r="AO6102" s="13"/>
      <c r="AP6102" s="13"/>
      <c r="AQ6102" s="13"/>
      <c r="AR6102" s="13"/>
      <c r="AS6102" s="13"/>
    </row>
    <row r="6103" ht="14.25" customHeight="1">
      <c r="A6103" s="13"/>
      <c r="B6103" s="13"/>
      <c r="C6103" s="13"/>
      <c r="D6103" s="13"/>
      <c r="E6103" s="13"/>
      <c r="F6103" s="13"/>
      <c r="G6103" s="13"/>
      <c r="H6103" s="13"/>
      <c r="I6103" s="13"/>
      <c r="J6103" s="13"/>
      <c r="K6103" s="15"/>
      <c r="L6103" s="15"/>
      <c r="M6103" s="16"/>
      <c r="N6103" s="16"/>
      <c r="O6103" s="17"/>
      <c r="P6103" s="17"/>
      <c r="Q6103" s="13"/>
      <c r="R6103" s="13"/>
      <c r="S6103" s="13"/>
      <c r="T6103" s="13"/>
      <c r="U6103" s="13"/>
      <c r="V6103" s="13"/>
      <c r="W6103" s="13"/>
      <c r="X6103" s="13"/>
      <c r="Y6103" s="13"/>
      <c r="Z6103" s="13"/>
      <c r="AA6103" s="13"/>
      <c r="AB6103" s="13"/>
      <c r="AC6103" s="13"/>
      <c r="AD6103" s="13"/>
      <c r="AE6103" s="13"/>
      <c r="AF6103" s="13"/>
      <c r="AG6103" s="13"/>
      <c r="AH6103" s="13"/>
      <c r="AI6103" s="13"/>
      <c r="AJ6103" s="13"/>
      <c r="AK6103" s="13"/>
      <c r="AL6103" s="13"/>
      <c r="AM6103" s="13"/>
      <c r="AN6103" s="13"/>
      <c r="AO6103" s="13"/>
      <c r="AP6103" s="13"/>
      <c r="AQ6103" s="13"/>
      <c r="AR6103" s="13"/>
      <c r="AS6103" s="13"/>
    </row>
    <row r="6104" ht="14.25" customHeight="1">
      <c r="A6104" s="13"/>
      <c r="B6104" s="13"/>
      <c r="C6104" s="13"/>
      <c r="D6104" s="13"/>
      <c r="E6104" s="13"/>
      <c r="F6104" s="13"/>
      <c r="G6104" s="13"/>
      <c r="H6104" s="13"/>
      <c r="I6104" s="13"/>
      <c r="J6104" s="13"/>
      <c r="K6104" s="15"/>
      <c r="L6104" s="15"/>
      <c r="M6104" s="16"/>
      <c r="N6104" s="16"/>
      <c r="O6104" s="17"/>
      <c r="P6104" s="17"/>
      <c r="Q6104" s="13"/>
      <c r="R6104" s="13"/>
      <c r="S6104" s="13"/>
      <c r="T6104" s="13"/>
      <c r="U6104" s="13"/>
      <c r="V6104" s="13"/>
      <c r="W6104" s="13"/>
      <c r="X6104" s="13"/>
      <c r="Y6104" s="13"/>
      <c r="Z6104" s="13"/>
      <c r="AA6104" s="13"/>
      <c r="AB6104" s="13"/>
      <c r="AC6104" s="13"/>
      <c r="AD6104" s="13"/>
      <c r="AE6104" s="13"/>
      <c r="AF6104" s="13"/>
      <c r="AG6104" s="13"/>
      <c r="AH6104" s="13"/>
      <c r="AI6104" s="13"/>
      <c r="AJ6104" s="13"/>
      <c r="AK6104" s="13"/>
      <c r="AL6104" s="13"/>
      <c r="AM6104" s="13"/>
      <c r="AN6104" s="13"/>
      <c r="AO6104" s="13"/>
      <c r="AP6104" s="13"/>
      <c r="AQ6104" s="13"/>
      <c r="AR6104" s="13"/>
      <c r="AS6104" s="13"/>
    </row>
    <row r="6105" ht="14.25" customHeight="1">
      <c r="A6105" s="13"/>
      <c r="B6105" s="13"/>
      <c r="C6105" s="13"/>
      <c r="D6105" s="13"/>
      <c r="E6105" s="13"/>
      <c r="F6105" s="13"/>
      <c r="G6105" s="13"/>
      <c r="H6105" s="13"/>
      <c r="I6105" s="13"/>
      <c r="J6105" s="13"/>
      <c r="K6105" s="15"/>
      <c r="L6105" s="15"/>
      <c r="M6105" s="16"/>
      <c r="N6105" s="16"/>
      <c r="O6105" s="17"/>
      <c r="P6105" s="17"/>
      <c r="Q6105" s="13"/>
      <c r="R6105" s="13"/>
      <c r="S6105" s="13"/>
      <c r="T6105" s="13"/>
      <c r="U6105" s="13"/>
      <c r="V6105" s="13"/>
      <c r="W6105" s="13"/>
      <c r="X6105" s="13"/>
      <c r="Y6105" s="13"/>
      <c r="Z6105" s="13"/>
      <c r="AA6105" s="13"/>
      <c r="AB6105" s="13"/>
      <c r="AC6105" s="13"/>
      <c r="AD6105" s="13"/>
      <c r="AE6105" s="13"/>
      <c r="AF6105" s="13"/>
      <c r="AG6105" s="13"/>
      <c r="AH6105" s="13"/>
      <c r="AI6105" s="13"/>
      <c r="AJ6105" s="13"/>
      <c r="AK6105" s="13"/>
      <c r="AL6105" s="13"/>
      <c r="AM6105" s="13"/>
      <c r="AN6105" s="13"/>
      <c r="AO6105" s="13"/>
      <c r="AP6105" s="13"/>
      <c r="AQ6105" s="13"/>
      <c r="AR6105" s="13"/>
      <c r="AS6105" s="13"/>
    </row>
    <row r="6106" ht="14.25" customHeight="1">
      <c r="A6106" s="13"/>
      <c r="B6106" s="13"/>
      <c r="C6106" s="13"/>
      <c r="D6106" s="13"/>
      <c r="E6106" s="13"/>
      <c r="F6106" s="13"/>
      <c r="G6106" s="13"/>
      <c r="H6106" s="13"/>
      <c r="I6106" s="13"/>
      <c r="J6106" s="13"/>
      <c r="K6106" s="15"/>
      <c r="L6106" s="15"/>
      <c r="M6106" s="16"/>
      <c r="N6106" s="16"/>
      <c r="O6106" s="17"/>
      <c r="P6106" s="17"/>
      <c r="Q6106" s="13"/>
      <c r="R6106" s="13"/>
      <c r="S6106" s="13"/>
      <c r="T6106" s="13"/>
      <c r="U6106" s="13"/>
      <c r="V6106" s="13"/>
      <c r="W6106" s="13"/>
      <c r="X6106" s="13"/>
      <c r="Y6106" s="13"/>
      <c r="Z6106" s="13"/>
      <c r="AA6106" s="13"/>
      <c r="AB6106" s="13"/>
      <c r="AC6106" s="13"/>
      <c r="AD6106" s="13"/>
      <c r="AE6106" s="13"/>
      <c r="AF6106" s="13"/>
      <c r="AG6106" s="13"/>
      <c r="AH6106" s="13"/>
      <c r="AI6106" s="13"/>
      <c r="AJ6106" s="13"/>
      <c r="AK6106" s="13"/>
      <c r="AL6106" s="13"/>
      <c r="AM6106" s="13"/>
      <c r="AN6106" s="13"/>
      <c r="AO6106" s="13"/>
      <c r="AP6106" s="13"/>
      <c r="AQ6106" s="13"/>
      <c r="AR6106" s="13"/>
      <c r="AS6106" s="13"/>
    </row>
    <row r="6107" ht="14.25" customHeight="1">
      <c r="A6107" s="13"/>
      <c r="B6107" s="13"/>
      <c r="C6107" s="13"/>
      <c r="D6107" s="13"/>
      <c r="E6107" s="13"/>
      <c r="F6107" s="13"/>
      <c r="G6107" s="13"/>
      <c r="H6107" s="13"/>
      <c r="I6107" s="13"/>
      <c r="J6107" s="13"/>
      <c r="K6107" s="15"/>
      <c r="L6107" s="15"/>
      <c r="M6107" s="16"/>
      <c r="N6107" s="16"/>
      <c r="O6107" s="17"/>
      <c r="P6107" s="17"/>
      <c r="Q6107" s="13"/>
      <c r="R6107" s="13"/>
      <c r="S6107" s="13"/>
      <c r="T6107" s="13"/>
      <c r="U6107" s="13"/>
      <c r="V6107" s="13"/>
      <c r="W6107" s="13"/>
      <c r="X6107" s="13"/>
      <c r="Y6107" s="13"/>
      <c r="Z6107" s="13"/>
      <c r="AA6107" s="13"/>
      <c r="AB6107" s="13"/>
      <c r="AC6107" s="13"/>
      <c r="AD6107" s="13"/>
      <c r="AE6107" s="13"/>
      <c r="AF6107" s="13"/>
      <c r="AG6107" s="13"/>
      <c r="AH6107" s="13"/>
      <c r="AI6107" s="13"/>
      <c r="AJ6107" s="13"/>
      <c r="AK6107" s="13"/>
      <c r="AL6107" s="13"/>
      <c r="AM6107" s="13"/>
      <c r="AN6107" s="13"/>
      <c r="AO6107" s="13"/>
      <c r="AP6107" s="13"/>
      <c r="AQ6107" s="13"/>
      <c r="AR6107" s="13"/>
      <c r="AS6107" s="13"/>
    </row>
    <row r="6108" ht="14.25" customHeight="1">
      <c r="A6108" s="13"/>
      <c r="B6108" s="13"/>
      <c r="C6108" s="13"/>
      <c r="D6108" s="13"/>
      <c r="E6108" s="13"/>
      <c r="F6108" s="13"/>
      <c r="G6108" s="13"/>
      <c r="H6108" s="13"/>
      <c r="I6108" s="13"/>
      <c r="J6108" s="13"/>
      <c r="K6108" s="15"/>
      <c r="L6108" s="15"/>
      <c r="M6108" s="16"/>
      <c r="N6108" s="16"/>
      <c r="O6108" s="17"/>
      <c r="P6108" s="17"/>
      <c r="Q6108" s="13"/>
      <c r="R6108" s="13"/>
      <c r="S6108" s="13"/>
      <c r="T6108" s="13"/>
      <c r="U6108" s="13"/>
      <c r="V6108" s="13"/>
      <c r="W6108" s="13"/>
      <c r="X6108" s="13"/>
      <c r="Y6108" s="13"/>
      <c r="Z6108" s="13"/>
      <c r="AA6108" s="13"/>
      <c r="AB6108" s="13"/>
      <c r="AC6108" s="13"/>
      <c r="AD6108" s="13"/>
      <c r="AE6108" s="13"/>
      <c r="AF6108" s="13"/>
      <c r="AG6108" s="13"/>
      <c r="AH6108" s="13"/>
      <c r="AI6108" s="13"/>
      <c r="AJ6108" s="13"/>
      <c r="AK6108" s="13"/>
      <c r="AL6108" s="13"/>
      <c r="AM6108" s="13"/>
      <c r="AN6108" s="13"/>
      <c r="AO6108" s="13"/>
      <c r="AP6108" s="13"/>
      <c r="AQ6108" s="13"/>
      <c r="AR6108" s="13"/>
      <c r="AS6108" s="13"/>
    </row>
    <row r="6109" ht="14.25" customHeight="1">
      <c r="A6109" s="13"/>
      <c r="B6109" s="13"/>
      <c r="C6109" s="13"/>
      <c r="D6109" s="13"/>
      <c r="E6109" s="13"/>
      <c r="F6109" s="13"/>
      <c r="G6109" s="13"/>
      <c r="H6109" s="13"/>
      <c r="I6109" s="13"/>
      <c r="J6109" s="13"/>
      <c r="K6109" s="15"/>
      <c r="L6109" s="15"/>
      <c r="M6109" s="16"/>
      <c r="N6109" s="16"/>
      <c r="O6109" s="17"/>
      <c r="P6109" s="17"/>
      <c r="Q6109" s="13"/>
      <c r="R6109" s="13"/>
      <c r="S6109" s="13"/>
      <c r="T6109" s="13"/>
      <c r="U6109" s="13"/>
      <c r="V6109" s="13"/>
      <c r="W6109" s="13"/>
      <c r="X6109" s="13"/>
      <c r="Y6109" s="13"/>
      <c r="Z6109" s="13"/>
      <c r="AA6109" s="13"/>
      <c r="AB6109" s="13"/>
      <c r="AC6109" s="13"/>
      <c r="AD6109" s="13"/>
      <c r="AE6109" s="13"/>
      <c r="AF6109" s="13"/>
      <c r="AG6109" s="13"/>
      <c r="AH6109" s="13"/>
      <c r="AI6109" s="13"/>
      <c r="AJ6109" s="13"/>
      <c r="AK6109" s="13"/>
      <c r="AL6109" s="13"/>
      <c r="AM6109" s="13"/>
      <c r="AN6109" s="13"/>
      <c r="AO6109" s="13"/>
      <c r="AP6109" s="13"/>
      <c r="AQ6109" s="13"/>
      <c r="AR6109" s="13"/>
      <c r="AS6109" s="13"/>
    </row>
    <row r="6110" ht="14.25" customHeight="1">
      <c r="A6110" s="13"/>
      <c r="B6110" s="13"/>
      <c r="C6110" s="13"/>
      <c r="D6110" s="13"/>
      <c r="E6110" s="13"/>
      <c r="F6110" s="13"/>
      <c r="G6110" s="13"/>
      <c r="H6110" s="13"/>
      <c r="I6110" s="13"/>
      <c r="J6110" s="13"/>
      <c r="K6110" s="15"/>
      <c r="L6110" s="15"/>
      <c r="M6110" s="16"/>
      <c r="N6110" s="16"/>
      <c r="O6110" s="17"/>
      <c r="P6110" s="17"/>
      <c r="Q6110" s="13"/>
      <c r="R6110" s="13"/>
      <c r="S6110" s="13"/>
      <c r="T6110" s="13"/>
      <c r="U6110" s="13"/>
      <c r="V6110" s="13"/>
      <c r="W6110" s="13"/>
      <c r="X6110" s="13"/>
      <c r="Y6110" s="13"/>
      <c r="Z6110" s="13"/>
      <c r="AA6110" s="13"/>
      <c r="AB6110" s="13"/>
      <c r="AC6110" s="13"/>
      <c r="AD6110" s="13"/>
      <c r="AE6110" s="13"/>
      <c r="AF6110" s="13"/>
      <c r="AG6110" s="13"/>
      <c r="AH6110" s="13"/>
      <c r="AI6110" s="13"/>
      <c r="AJ6110" s="13"/>
      <c r="AK6110" s="13"/>
      <c r="AL6110" s="13"/>
      <c r="AM6110" s="13"/>
      <c r="AN6110" s="13"/>
      <c r="AO6110" s="13"/>
      <c r="AP6110" s="13"/>
      <c r="AQ6110" s="13"/>
      <c r="AR6110" s="13"/>
      <c r="AS6110" s="13"/>
    </row>
    <row r="6111" ht="14.25" customHeight="1">
      <c r="A6111" s="13"/>
      <c r="B6111" s="13"/>
      <c r="C6111" s="13"/>
      <c r="D6111" s="13"/>
      <c r="E6111" s="13"/>
      <c r="F6111" s="13"/>
      <c r="G6111" s="13"/>
      <c r="H6111" s="13"/>
      <c r="I6111" s="13"/>
      <c r="J6111" s="13"/>
      <c r="K6111" s="15"/>
      <c r="L6111" s="15"/>
      <c r="M6111" s="16"/>
      <c r="N6111" s="16"/>
      <c r="O6111" s="17"/>
      <c r="P6111" s="17"/>
      <c r="Q6111" s="13"/>
      <c r="R6111" s="13"/>
      <c r="S6111" s="13"/>
      <c r="T6111" s="13"/>
      <c r="U6111" s="13"/>
      <c r="V6111" s="13"/>
      <c r="W6111" s="13"/>
      <c r="X6111" s="13"/>
      <c r="Y6111" s="13"/>
      <c r="Z6111" s="13"/>
      <c r="AA6111" s="13"/>
      <c r="AB6111" s="13"/>
      <c r="AC6111" s="13"/>
      <c r="AD6111" s="13"/>
      <c r="AE6111" s="13"/>
      <c r="AF6111" s="13"/>
      <c r="AG6111" s="13"/>
      <c r="AH6111" s="13"/>
      <c r="AI6111" s="13"/>
      <c r="AJ6111" s="13"/>
      <c r="AK6111" s="13"/>
      <c r="AL6111" s="13"/>
      <c r="AM6111" s="13"/>
      <c r="AN6111" s="13"/>
      <c r="AO6111" s="13"/>
      <c r="AP6111" s="13"/>
      <c r="AQ6111" s="13"/>
      <c r="AR6111" s="13"/>
      <c r="AS6111" s="13"/>
    </row>
    <row r="6112" ht="14.25" customHeight="1">
      <c r="A6112" s="13"/>
      <c r="B6112" s="13"/>
      <c r="C6112" s="13"/>
      <c r="D6112" s="13"/>
      <c r="E6112" s="13"/>
      <c r="F6112" s="13"/>
      <c r="G6112" s="13"/>
      <c r="H6112" s="13"/>
      <c r="I6112" s="13"/>
      <c r="J6112" s="13"/>
      <c r="K6112" s="15"/>
      <c r="L6112" s="15"/>
      <c r="M6112" s="16"/>
      <c r="N6112" s="16"/>
      <c r="O6112" s="17"/>
      <c r="P6112" s="17"/>
      <c r="Q6112" s="13"/>
      <c r="R6112" s="13"/>
      <c r="S6112" s="13"/>
      <c r="T6112" s="13"/>
      <c r="U6112" s="13"/>
      <c r="V6112" s="13"/>
      <c r="W6112" s="13"/>
      <c r="X6112" s="13"/>
      <c r="Y6112" s="13"/>
      <c r="Z6112" s="13"/>
      <c r="AA6112" s="13"/>
      <c r="AB6112" s="13"/>
      <c r="AC6112" s="13"/>
      <c r="AD6112" s="13"/>
      <c r="AE6112" s="13"/>
      <c r="AF6112" s="13"/>
      <c r="AG6112" s="13"/>
      <c r="AH6112" s="13"/>
      <c r="AI6112" s="13"/>
      <c r="AJ6112" s="13"/>
      <c r="AK6112" s="13"/>
      <c r="AL6112" s="13"/>
      <c r="AM6112" s="13"/>
      <c r="AN6112" s="13"/>
      <c r="AO6112" s="13"/>
      <c r="AP6112" s="13"/>
      <c r="AQ6112" s="13"/>
      <c r="AR6112" s="13"/>
      <c r="AS6112" s="13"/>
    </row>
    <row r="6113" ht="14.25" customHeight="1">
      <c r="A6113" s="13"/>
      <c r="B6113" s="13"/>
      <c r="C6113" s="13"/>
      <c r="D6113" s="13"/>
      <c r="E6113" s="13"/>
      <c r="F6113" s="13"/>
      <c r="G6113" s="13"/>
      <c r="H6113" s="13"/>
      <c r="I6113" s="13"/>
      <c r="J6113" s="13"/>
      <c r="K6113" s="15"/>
      <c r="L6113" s="15"/>
      <c r="M6113" s="16"/>
      <c r="N6113" s="16"/>
      <c r="O6113" s="17"/>
      <c r="P6113" s="17"/>
      <c r="Q6113" s="13"/>
      <c r="R6113" s="13"/>
      <c r="S6113" s="13"/>
      <c r="T6113" s="13"/>
      <c r="U6113" s="13"/>
      <c r="V6113" s="13"/>
      <c r="W6113" s="13"/>
      <c r="X6113" s="13"/>
      <c r="Y6113" s="13"/>
      <c r="Z6113" s="13"/>
      <c r="AA6113" s="13"/>
      <c r="AB6113" s="13"/>
      <c r="AC6113" s="13"/>
      <c r="AD6113" s="13"/>
      <c r="AE6113" s="13"/>
      <c r="AF6113" s="13"/>
      <c r="AG6113" s="13"/>
      <c r="AH6113" s="13"/>
      <c r="AI6113" s="13"/>
      <c r="AJ6113" s="13"/>
      <c r="AK6113" s="13"/>
      <c r="AL6113" s="13"/>
      <c r="AM6113" s="13"/>
      <c r="AN6113" s="13"/>
      <c r="AO6113" s="13"/>
      <c r="AP6113" s="13"/>
      <c r="AQ6113" s="13"/>
      <c r="AR6113" s="13"/>
      <c r="AS6113" s="13"/>
    </row>
    <row r="6114" ht="14.25" customHeight="1">
      <c r="A6114" s="13"/>
      <c r="B6114" s="13"/>
      <c r="C6114" s="13"/>
      <c r="D6114" s="13"/>
      <c r="E6114" s="13"/>
      <c r="F6114" s="13"/>
      <c r="G6114" s="13"/>
      <c r="H6114" s="13"/>
      <c r="I6114" s="13"/>
      <c r="J6114" s="13"/>
      <c r="K6114" s="15"/>
      <c r="L6114" s="15"/>
      <c r="M6114" s="16"/>
      <c r="N6114" s="16"/>
      <c r="O6114" s="17"/>
      <c r="P6114" s="17"/>
      <c r="Q6114" s="13"/>
      <c r="R6114" s="13"/>
      <c r="S6114" s="13"/>
      <c r="T6114" s="13"/>
      <c r="U6114" s="13"/>
      <c r="V6114" s="13"/>
      <c r="W6114" s="13"/>
      <c r="X6114" s="13"/>
      <c r="Y6114" s="13"/>
      <c r="Z6114" s="13"/>
      <c r="AA6114" s="13"/>
      <c r="AB6114" s="13"/>
      <c r="AC6114" s="13"/>
      <c r="AD6114" s="13"/>
      <c r="AE6114" s="13"/>
      <c r="AF6114" s="13"/>
      <c r="AG6114" s="13"/>
      <c r="AH6114" s="13"/>
      <c r="AI6114" s="13"/>
      <c r="AJ6114" s="13"/>
      <c r="AK6114" s="13"/>
      <c r="AL6114" s="13"/>
      <c r="AM6114" s="13"/>
      <c r="AN6114" s="13"/>
      <c r="AO6114" s="13"/>
      <c r="AP6114" s="13"/>
      <c r="AQ6114" s="13"/>
      <c r="AR6114" s="13"/>
      <c r="AS6114" s="13"/>
    </row>
    <row r="6115" ht="14.25" customHeight="1">
      <c r="A6115" s="13"/>
      <c r="B6115" s="13"/>
      <c r="C6115" s="13"/>
      <c r="D6115" s="13"/>
      <c r="E6115" s="13"/>
      <c r="F6115" s="13"/>
      <c r="G6115" s="13"/>
      <c r="H6115" s="13"/>
      <c r="I6115" s="13"/>
      <c r="J6115" s="13"/>
      <c r="K6115" s="15"/>
      <c r="L6115" s="15"/>
      <c r="M6115" s="16"/>
      <c r="N6115" s="16"/>
      <c r="O6115" s="17"/>
      <c r="P6115" s="17"/>
      <c r="Q6115" s="13"/>
      <c r="R6115" s="13"/>
      <c r="S6115" s="13"/>
      <c r="T6115" s="13"/>
      <c r="U6115" s="13"/>
      <c r="V6115" s="13"/>
      <c r="W6115" s="13"/>
      <c r="X6115" s="13"/>
      <c r="Y6115" s="13"/>
      <c r="Z6115" s="13"/>
      <c r="AA6115" s="13"/>
      <c r="AB6115" s="13"/>
      <c r="AC6115" s="13"/>
      <c r="AD6115" s="13"/>
      <c r="AE6115" s="13"/>
      <c r="AF6115" s="13"/>
      <c r="AG6115" s="13"/>
      <c r="AH6115" s="13"/>
      <c r="AI6115" s="13"/>
      <c r="AJ6115" s="13"/>
      <c r="AK6115" s="13"/>
      <c r="AL6115" s="13"/>
      <c r="AM6115" s="13"/>
      <c r="AN6115" s="13"/>
      <c r="AO6115" s="13"/>
      <c r="AP6115" s="13"/>
      <c r="AQ6115" s="13"/>
      <c r="AR6115" s="13"/>
      <c r="AS6115" s="13"/>
    </row>
    <row r="6116" ht="14.25" customHeight="1">
      <c r="A6116" s="13"/>
      <c r="B6116" s="13"/>
      <c r="C6116" s="13"/>
      <c r="D6116" s="13"/>
      <c r="E6116" s="13"/>
      <c r="F6116" s="13"/>
      <c r="G6116" s="13"/>
      <c r="H6116" s="13"/>
      <c r="I6116" s="13"/>
      <c r="J6116" s="13"/>
      <c r="K6116" s="15"/>
      <c r="L6116" s="15"/>
      <c r="M6116" s="16"/>
      <c r="N6116" s="16"/>
      <c r="O6116" s="17"/>
      <c r="P6116" s="17"/>
      <c r="Q6116" s="13"/>
      <c r="R6116" s="13"/>
      <c r="S6116" s="13"/>
      <c r="T6116" s="13"/>
      <c r="U6116" s="13"/>
      <c r="V6116" s="13"/>
      <c r="W6116" s="13"/>
      <c r="X6116" s="13"/>
      <c r="Y6116" s="13"/>
      <c r="Z6116" s="13"/>
      <c r="AA6116" s="13"/>
      <c r="AB6116" s="13"/>
      <c r="AC6116" s="13"/>
      <c r="AD6116" s="13"/>
      <c r="AE6116" s="13"/>
      <c r="AF6116" s="13"/>
      <c r="AG6116" s="13"/>
      <c r="AH6116" s="13"/>
      <c r="AI6116" s="13"/>
      <c r="AJ6116" s="13"/>
      <c r="AK6116" s="13"/>
      <c r="AL6116" s="13"/>
      <c r="AM6116" s="13"/>
      <c r="AN6116" s="13"/>
      <c r="AO6116" s="13"/>
      <c r="AP6116" s="13"/>
      <c r="AQ6116" s="13"/>
      <c r="AR6116" s="13"/>
      <c r="AS6116" s="13"/>
    </row>
    <row r="6117" ht="14.25" customHeight="1">
      <c r="A6117" s="13"/>
      <c r="B6117" s="13"/>
      <c r="C6117" s="13"/>
      <c r="D6117" s="13"/>
      <c r="E6117" s="13"/>
      <c r="F6117" s="13"/>
      <c r="G6117" s="13"/>
      <c r="H6117" s="13"/>
      <c r="I6117" s="13"/>
      <c r="J6117" s="13"/>
      <c r="K6117" s="15"/>
      <c r="L6117" s="15"/>
      <c r="M6117" s="16"/>
      <c r="N6117" s="16"/>
      <c r="O6117" s="17"/>
      <c r="P6117" s="17"/>
      <c r="Q6117" s="13"/>
      <c r="R6117" s="13"/>
      <c r="S6117" s="13"/>
      <c r="T6117" s="13"/>
      <c r="U6117" s="13"/>
      <c r="V6117" s="13"/>
      <c r="W6117" s="13"/>
      <c r="X6117" s="13"/>
      <c r="Y6117" s="13"/>
      <c r="Z6117" s="13"/>
      <c r="AA6117" s="13"/>
      <c r="AB6117" s="13"/>
      <c r="AC6117" s="13"/>
      <c r="AD6117" s="13"/>
      <c r="AE6117" s="13"/>
      <c r="AF6117" s="13"/>
      <c r="AG6117" s="13"/>
      <c r="AH6117" s="13"/>
      <c r="AI6117" s="13"/>
      <c r="AJ6117" s="13"/>
      <c r="AK6117" s="13"/>
      <c r="AL6117" s="13"/>
      <c r="AM6117" s="13"/>
      <c r="AN6117" s="13"/>
      <c r="AO6117" s="13"/>
      <c r="AP6117" s="13"/>
      <c r="AQ6117" s="13"/>
      <c r="AR6117" s="13"/>
      <c r="AS6117" s="13"/>
    </row>
    <row r="6118" ht="14.25" customHeight="1">
      <c r="A6118" s="13"/>
      <c r="B6118" s="13"/>
      <c r="C6118" s="13"/>
      <c r="D6118" s="13"/>
      <c r="E6118" s="13"/>
      <c r="F6118" s="13"/>
      <c r="G6118" s="13"/>
      <c r="H6118" s="13"/>
      <c r="I6118" s="13"/>
      <c r="J6118" s="13"/>
      <c r="K6118" s="15"/>
      <c r="L6118" s="15"/>
      <c r="M6118" s="16"/>
      <c r="N6118" s="16"/>
      <c r="O6118" s="17"/>
      <c r="P6118" s="17"/>
      <c r="Q6118" s="13"/>
      <c r="R6118" s="13"/>
      <c r="S6118" s="13"/>
      <c r="T6118" s="13"/>
      <c r="U6118" s="13"/>
      <c r="V6118" s="13"/>
      <c r="W6118" s="13"/>
      <c r="X6118" s="13"/>
      <c r="Y6118" s="13"/>
      <c r="Z6118" s="13"/>
      <c r="AA6118" s="13"/>
      <c r="AB6118" s="13"/>
      <c r="AC6118" s="13"/>
      <c r="AD6118" s="13"/>
      <c r="AE6118" s="13"/>
      <c r="AF6118" s="13"/>
      <c r="AG6118" s="13"/>
      <c r="AH6118" s="13"/>
      <c r="AI6118" s="13"/>
      <c r="AJ6118" s="13"/>
      <c r="AK6118" s="13"/>
      <c r="AL6118" s="13"/>
      <c r="AM6118" s="13"/>
      <c r="AN6118" s="13"/>
      <c r="AO6118" s="13"/>
      <c r="AP6118" s="13"/>
      <c r="AQ6118" s="13"/>
      <c r="AR6118" s="13"/>
      <c r="AS6118" s="13"/>
    </row>
    <row r="6119" ht="14.25" customHeight="1">
      <c r="A6119" s="13"/>
      <c r="B6119" s="13"/>
      <c r="C6119" s="13"/>
      <c r="D6119" s="13"/>
      <c r="E6119" s="13"/>
      <c r="F6119" s="13"/>
      <c r="G6119" s="13"/>
      <c r="H6119" s="13"/>
      <c r="I6119" s="13"/>
      <c r="J6119" s="13"/>
      <c r="K6119" s="15"/>
      <c r="L6119" s="15"/>
      <c r="M6119" s="16"/>
      <c r="N6119" s="16"/>
      <c r="O6119" s="17"/>
      <c r="P6119" s="17"/>
      <c r="Q6119" s="13"/>
      <c r="R6119" s="13"/>
      <c r="S6119" s="13"/>
      <c r="T6119" s="13"/>
      <c r="U6119" s="13"/>
      <c r="V6119" s="13"/>
      <c r="W6119" s="13"/>
      <c r="X6119" s="13"/>
      <c r="Y6119" s="13"/>
      <c r="Z6119" s="13"/>
      <c r="AA6119" s="13"/>
      <c r="AB6119" s="13"/>
      <c r="AC6119" s="13"/>
      <c r="AD6119" s="13"/>
      <c r="AE6119" s="13"/>
      <c r="AF6119" s="13"/>
      <c r="AG6119" s="13"/>
      <c r="AH6119" s="13"/>
      <c r="AI6119" s="13"/>
      <c r="AJ6119" s="13"/>
      <c r="AK6119" s="13"/>
      <c r="AL6119" s="13"/>
      <c r="AM6119" s="13"/>
      <c r="AN6119" s="13"/>
      <c r="AO6119" s="13"/>
      <c r="AP6119" s="13"/>
      <c r="AQ6119" s="13"/>
      <c r="AR6119" s="13"/>
      <c r="AS6119" s="13"/>
    </row>
    <row r="6120" ht="14.25" customHeight="1">
      <c r="A6120" s="13"/>
      <c r="B6120" s="13"/>
      <c r="C6120" s="13"/>
      <c r="D6120" s="13"/>
      <c r="E6120" s="13"/>
      <c r="F6120" s="13"/>
      <c r="G6120" s="13"/>
      <c r="H6120" s="13"/>
      <c r="I6120" s="13"/>
      <c r="J6120" s="13"/>
      <c r="K6120" s="15"/>
      <c r="L6120" s="15"/>
      <c r="M6120" s="16"/>
      <c r="N6120" s="16"/>
      <c r="O6120" s="17"/>
      <c r="P6120" s="17"/>
      <c r="Q6120" s="13"/>
      <c r="R6120" s="13"/>
      <c r="S6120" s="13"/>
      <c r="T6120" s="13"/>
      <c r="U6120" s="13"/>
      <c r="V6120" s="13"/>
      <c r="W6120" s="13"/>
      <c r="X6120" s="13"/>
      <c r="Y6120" s="13"/>
      <c r="Z6120" s="13"/>
      <c r="AA6120" s="13"/>
      <c r="AB6120" s="13"/>
      <c r="AC6120" s="13"/>
      <c r="AD6120" s="13"/>
      <c r="AE6120" s="13"/>
      <c r="AF6120" s="13"/>
      <c r="AG6120" s="13"/>
      <c r="AH6120" s="13"/>
      <c r="AI6120" s="13"/>
      <c r="AJ6120" s="13"/>
      <c r="AK6120" s="13"/>
      <c r="AL6120" s="13"/>
      <c r="AM6120" s="13"/>
      <c r="AN6120" s="13"/>
      <c r="AO6120" s="13"/>
      <c r="AP6120" s="13"/>
      <c r="AQ6120" s="13"/>
      <c r="AR6120" s="13"/>
      <c r="AS6120" s="13"/>
    </row>
    <row r="6121" ht="14.25" customHeight="1">
      <c r="A6121" s="13"/>
      <c r="B6121" s="13"/>
      <c r="C6121" s="13"/>
      <c r="D6121" s="13"/>
      <c r="E6121" s="13"/>
      <c r="F6121" s="13"/>
      <c r="G6121" s="13"/>
      <c r="H6121" s="13"/>
      <c r="I6121" s="13"/>
      <c r="J6121" s="13"/>
      <c r="K6121" s="15"/>
      <c r="L6121" s="15"/>
      <c r="M6121" s="16"/>
      <c r="N6121" s="16"/>
      <c r="O6121" s="17"/>
      <c r="P6121" s="17"/>
      <c r="Q6121" s="13"/>
      <c r="R6121" s="13"/>
      <c r="S6121" s="13"/>
      <c r="T6121" s="13"/>
      <c r="U6121" s="13"/>
      <c r="V6121" s="13"/>
      <c r="W6121" s="13"/>
      <c r="X6121" s="13"/>
      <c r="Y6121" s="13"/>
      <c r="Z6121" s="13"/>
      <c r="AA6121" s="13"/>
      <c r="AB6121" s="13"/>
      <c r="AC6121" s="13"/>
      <c r="AD6121" s="13"/>
      <c r="AE6121" s="13"/>
      <c r="AF6121" s="13"/>
      <c r="AG6121" s="13"/>
      <c r="AH6121" s="13"/>
      <c r="AI6121" s="13"/>
      <c r="AJ6121" s="13"/>
      <c r="AK6121" s="13"/>
      <c r="AL6121" s="13"/>
      <c r="AM6121" s="13"/>
      <c r="AN6121" s="13"/>
      <c r="AO6121" s="13"/>
      <c r="AP6121" s="13"/>
      <c r="AQ6121" s="13"/>
      <c r="AR6121" s="13"/>
      <c r="AS6121" s="13"/>
    </row>
    <row r="6122" ht="14.25" customHeight="1">
      <c r="A6122" s="13"/>
      <c r="B6122" s="13"/>
      <c r="C6122" s="13"/>
      <c r="D6122" s="13"/>
      <c r="E6122" s="13"/>
      <c r="F6122" s="13"/>
      <c r="G6122" s="13"/>
      <c r="H6122" s="13"/>
      <c r="I6122" s="13"/>
      <c r="J6122" s="13"/>
      <c r="K6122" s="15"/>
      <c r="L6122" s="15"/>
      <c r="M6122" s="16"/>
      <c r="N6122" s="16"/>
      <c r="O6122" s="17"/>
      <c r="P6122" s="17"/>
      <c r="Q6122" s="13"/>
      <c r="R6122" s="13"/>
      <c r="S6122" s="13"/>
      <c r="T6122" s="13"/>
      <c r="U6122" s="13"/>
      <c r="V6122" s="13"/>
      <c r="W6122" s="13"/>
      <c r="X6122" s="13"/>
      <c r="Y6122" s="13"/>
      <c r="Z6122" s="13"/>
      <c r="AA6122" s="13"/>
      <c r="AB6122" s="13"/>
      <c r="AC6122" s="13"/>
      <c r="AD6122" s="13"/>
      <c r="AE6122" s="13"/>
      <c r="AF6122" s="13"/>
      <c r="AG6122" s="13"/>
      <c r="AH6122" s="13"/>
      <c r="AI6122" s="13"/>
      <c r="AJ6122" s="13"/>
      <c r="AK6122" s="13"/>
      <c r="AL6122" s="13"/>
      <c r="AM6122" s="13"/>
      <c r="AN6122" s="13"/>
      <c r="AO6122" s="13"/>
      <c r="AP6122" s="13"/>
      <c r="AQ6122" s="13"/>
      <c r="AR6122" s="13"/>
      <c r="AS6122" s="13"/>
    </row>
    <row r="6123" ht="14.25" customHeight="1">
      <c r="A6123" s="13"/>
      <c r="B6123" s="13"/>
      <c r="C6123" s="13"/>
      <c r="D6123" s="13"/>
      <c r="E6123" s="13"/>
      <c r="F6123" s="13"/>
      <c r="G6123" s="13"/>
      <c r="H6123" s="13"/>
      <c r="I6123" s="13"/>
      <c r="J6123" s="13"/>
      <c r="K6123" s="15"/>
      <c r="L6123" s="15"/>
      <c r="M6123" s="16"/>
      <c r="N6123" s="16"/>
      <c r="O6123" s="17"/>
      <c r="P6123" s="17"/>
      <c r="Q6123" s="13"/>
      <c r="R6123" s="13"/>
      <c r="S6123" s="13"/>
      <c r="T6123" s="13"/>
      <c r="U6123" s="13"/>
      <c r="V6123" s="13"/>
      <c r="W6123" s="13"/>
      <c r="X6123" s="13"/>
      <c r="Y6123" s="13"/>
      <c r="Z6123" s="13"/>
      <c r="AA6123" s="13"/>
      <c r="AB6123" s="13"/>
      <c r="AC6123" s="13"/>
      <c r="AD6123" s="13"/>
      <c r="AE6123" s="13"/>
      <c r="AF6123" s="13"/>
      <c r="AG6123" s="13"/>
      <c r="AH6123" s="13"/>
      <c r="AI6123" s="13"/>
      <c r="AJ6123" s="13"/>
      <c r="AK6123" s="13"/>
      <c r="AL6123" s="13"/>
      <c r="AM6123" s="13"/>
      <c r="AN6123" s="13"/>
      <c r="AO6123" s="13"/>
      <c r="AP6123" s="13"/>
      <c r="AQ6123" s="13"/>
      <c r="AR6123" s="13"/>
      <c r="AS6123" s="13"/>
    </row>
    <row r="6124" ht="14.25" customHeight="1">
      <c r="A6124" s="13"/>
      <c r="B6124" s="13"/>
      <c r="C6124" s="13"/>
      <c r="D6124" s="13"/>
      <c r="E6124" s="13"/>
      <c r="F6124" s="13"/>
      <c r="G6124" s="13"/>
      <c r="H6124" s="13"/>
      <c r="I6124" s="13"/>
      <c r="J6124" s="13"/>
      <c r="K6124" s="15"/>
      <c r="L6124" s="15"/>
      <c r="M6124" s="16"/>
      <c r="N6124" s="16"/>
      <c r="O6124" s="17"/>
      <c r="P6124" s="17"/>
      <c r="Q6124" s="13"/>
      <c r="R6124" s="13"/>
      <c r="S6124" s="13"/>
      <c r="T6124" s="13"/>
      <c r="U6124" s="13"/>
      <c r="V6124" s="13"/>
      <c r="W6124" s="13"/>
      <c r="X6124" s="13"/>
      <c r="Y6124" s="13"/>
      <c r="Z6124" s="13"/>
      <c r="AA6124" s="13"/>
      <c r="AB6124" s="13"/>
      <c r="AC6124" s="13"/>
      <c r="AD6124" s="13"/>
      <c r="AE6124" s="13"/>
      <c r="AF6124" s="13"/>
      <c r="AG6124" s="13"/>
      <c r="AH6124" s="13"/>
      <c r="AI6124" s="13"/>
      <c r="AJ6124" s="13"/>
      <c r="AK6124" s="13"/>
      <c r="AL6124" s="13"/>
      <c r="AM6124" s="13"/>
      <c r="AN6124" s="13"/>
      <c r="AO6124" s="13"/>
      <c r="AP6124" s="13"/>
      <c r="AQ6124" s="13"/>
      <c r="AR6124" s="13"/>
      <c r="AS6124" s="13"/>
    </row>
    <row r="6125" ht="14.25" customHeight="1">
      <c r="A6125" s="13"/>
      <c r="B6125" s="13"/>
      <c r="C6125" s="13"/>
      <c r="D6125" s="13"/>
      <c r="E6125" s="13"/>
      <c r="F6125" s="13"/>
      <c r="G6125" s="13"/>
      <c r="H6125" s="13"/>
      <c r="I6125" s="13"/>
      <c r="J6125" s="13"/>
      <c r="K6125" s="15"/>
      <c r="L6125" s="15"/>
      <c r="M6125" s="16"/>
      <c r="N6125" s="16"/>
      <c r="O6125" s="17"/>
      <c r="P6125" s="17"/>
      <c r="Q6125" s="13"/>
      <c r="R6125" s="13"/>
      <c r="S6125" s="13"/>
      <c r="T6125" s="13"/>
      <c r="U6125" s="13"/>
      <c r="V6125" s="13"/>
      <c r="W6125" s="13"/>
      <c r="X6125" s="13"/>
      <c r="Y6125" s="13"/>
      <c r="Z6125" s="13"/>
      <c r="AA6125" s="13"/>
      <c r="AB6125" s="13"/>
      <c r="AC6125" s="13"/>
      <c r="AD6125" s="13"/>
      <c r="AE6125" s="13"/>
      <c r="AF6125" s="13"/>
      <c r="AG6125" s="13"/>
      <c r="AH6125" s="13"/>
      <c r="AI6125" s="13"/>
      <c r="AJ6125" s="13"/>
      <c r="AK6125" s="13"/>
      <c r="AL6125" s="13"/>
      <c r="AM6125" s="13"/>
      <c r="AN6125" s="13"/>
      <c r="AO6125" s="13"/>
      <c r="AP6125" s="13"/>
      <c r="AQ6125" s="13"/>
      <c r="AR6125" s="13"/>
      <c r="AS6125" s="13"/>
    </row>
    <row r="6126" ht="14.25" customHeight="1">
      <c r="A6126" s="13"/>
      <c r="B6126" s="13"/>
      <c r="C6126" s="13"/>
      <c r="D6126" s="13"/>
      <c r="E6126" s="13"/>
      <c r="F6126" s="13"/>
      <c r="G6126" s="13"/>
      <c r="H6126" s="13"/>
      <c r="I6126" s="13"/>
      <c r="J6126" s="13"/>
      <c r="K6126" s="15"/>
      <c r="L6126" s="15"/>
      <c r="M6126" s="16"/>
      <c r="N6126" s="16"/>
      <c r="O6126" s="17"/>
      <c r="P6126" s="17"/>
      <c r="Q6126" s="13"/>
      <c r="R6126" s="13"/>
      <c r="S6126" s="13"/>
      <c r="T6126" s="13"/>
      <c r="U6126" s="13"/>
      <c r="V6126" s="13"/>
      <c r="W6126" s="13"/>
      <c r="X6126" s="13"/>
      <c r="Y6126" s="13"/>
      <c r="Z6126" s="13"/>
      <c r="AA6126" s="13"/>
      <c r="AB6126" s="13"/>
      <c r="AC6126" s="13"/>
      <c r="AD6126" s="13"/>
      <c r="AE6126" s="13"/>
      <c r="AF6126" s="13"/>
      <c r="AG6126" s="13"/>
      <c r="AH6126" s="13"/>
      <c r="AI6126" s="13"/>
      <c r="AJ6126" s="13"/>
      <c r="AK6126" s="13"/>
      <c r="AL6126" s="13"/>
      <c r="AM6126" s="13"/>
      <c r="AN6126" s="13"/>
      <c r="AO6126" s="13"/>
      <c r="AP6126" s="13"/>
      <c r="AQ6126" s="13"/>
      <c r="AR6126" s="13"/>
      <c r="AS6126" s="13"/>
    </row>
    <row r="6127" ht="14.25" customHeight="1">
      <c r="A6127" s="13"/>
      <c r="B6127" s="13"/>
      <c r="C6127" s="13"/>
      <c r="D6127" s="13"/>
      <c r="E6127" s="13"/>
      <c r="F6127" s="13"/>
      <c r="G6127" s="13"/>
      <c r="H6127" s="13"/>
      <c r="I6127" s="13"/>
      <c r="J6127" s="13"/>
      <c r="K6127" s="15"/>
      <c r="L6127" s="15"/>
      <c r="M6127" s="16"/>
      <c r="N6127" s="16"/>
      <c r="O6127" s="17"/>
      <c r="P6127" s="17"/>
      <c r="Q6127" s="13"/>
      <c r="R6127" s="13"/>
      <c r="S6127" s="13"/>
      <c r="T6127" s="13"/>
      <c r="U6127" s="13"/>
      <c r="V6127" s="13"/>
      <c r="W6127" s="13"/>
      <c r="X6127" s="13"/>
      <c r="Y6127" s="13"/>
      <c r="Z6127" s="13"/>
      <c r="AA6127" s="13"/>
      <c r="AB6127" s="13"/>
      <c r="AC6127" s="13"/>
      <c r="AD6127" s="13"/>
      <c r="AE6127" s="13"/>
      <c r="AF6127" s="13"/>
      <c r="AG6127" s="13"/>
      <c r="AH6127" s="13"/>
      <c r="AI6127" s="13"/>
      <c r="AJ6127" s="13"/>
      <c r="AK6127" s="13"/>
      <c r="AL6127" s="13"/>
      <c r="AM6127" s="13"/>
      <c r="AN6127" s="13"/>
      <c r="AO6127" s="13"/>
      <c r="AP6127" s="13"/>
      <c r="AQ6127" s="13"/>
      <c r="AR6127" s="13"/>
      <c r="AS6127" s="13"/>
    </row>
    <row r="6128" ht="14.25" customHeight="1">
      <c r="A6128" s="13"/>
      <c r="B6128" s="13"/>
      <c r="C6128" s="13"/>
      <c r="D6128" s="13"/>
      <c r="E6128" s="13"/>
      <c r="F6128" s="13"/>
      <c r="G6128" s="13"/>
      <c r="H6128" s="13"/>
      <c r="I6128" s="13"/>
      <c r="J6128" s="13"/>
      <c r="K6128" s="15"/>
      <c r="L6128" s="15"/>
      <c r="M6128" s="16"/>
      <c r="N6128" s="16"/>
      <c r="O6128" s="17"/>
      <c r="P6128" s="17"/>
      <c r="Q6128" s="13"/>
      <c r="R6128" s="13"/>
      <c r="S6128" s="13"/>
      <c r="T6128" s="13"/>
      <c r="U6128" s="13"/>
      <c r="V6128" s="13"/>
      <c r="W6128" s="13"/>
      <c r="X6128" s="13"/>
      <c r="Y6128" s="13"/>
      <c r="Z6128" s="13"/>
      <c r="AA6128" s="13"/>
      <c r="AB6128" s="13"/>
      <c r="AC6128" s="13"/>
      <c r="AD6128" s="13"/>
      <c r="AE6128" s="13"/>
      <c r="AF6128" s="13"/>
      <c r="AG6128" s="13"/>
      <c r="AH6128" s="13"/>
      <c r="AI6128" s="13"/>
      <c r="AJ6128" s="13"/>
      <c r="AK6128" s="13"/>
      <c r="AL6128" s="13"/>
      <c r="AM6128" s="13"/>
      <c r="AN6128" s="13"/>
      <c r="AO6128" s="13"/>
      <c r="AP6128" s="13"/>
      <c r="AQ6128" s="13"/>
      <c r="AR6128" s="13"/>
      <c r="AS6128" s="13"/>
    </row>
    <row r="6129" ht="14.25" customHeight="1">
      <c r="A6129" s="13"/>
      <c r="B6129" s="13"/>
      <c r="C6129" s="13"/>
      <c r="D6129" s="13"/>
      <c r="E6129" s="13"/>
      <c r="F6129" s="13"/>
      <c r="G6129" s="13"/>
      <c r="H6129" s="13"/>
      <c r="I6129" s="13"/>
      <c r="J6129" s="13"/>
      <c r="K6129" s="15"/>
      <c r="L6129" s="15"/>
      <c r="M6129" s="16"/>
      <c r="N6129" s="16"/>
      <c r="O6129" s="17"/>
      <c r="P6129" s="17"/>
      <c r="Q6129" s="13"/>
      <c r="R6129" s="13"/>
      <c r="S6129" s="13"/>
      <c r="T6129" s="13"/>
      <c r="U6129" s="13"/>
      <c r="V6129" s="13"/>
      <c r="W6129" s="13"/>
      <c r="X6129" s="13"/>
      <c r="Y6129" s="13"/>
      <c r="Z6129" s="13"/>
      <c r="AA6129" s="13"/>
      <c r="AB6129" s="13"/>
      <c r="AC6129" s="13"/>
      <c r="AD6129" s="13"/>
      <c r="AE6129" s="13"/>
      <c r="AF6129" s="13"/>
      <c r="AG6129" s="13"/>
      <c r="AH6129" s="13"/>
      <c r="AI6129" s="13"/>
      <c r="AJ6129" s="13"/>
      <c r="AK6129" s="13"/>
      <c r="AL6129" s="13"/>
      <c r="AM6129" s="13"/>
      <c r="AN6129" s="13"/>
      <c r="AO6129" s="13"/>
      <c r="AP6129" s="13"/>
      <c r="AQ6129" s="13"/>
      <c r="AR6129" s="13"/>
      <c r="AS6129" s="13"/>
    </row>
    <row r="6130" ht="14.25" customHeight="1">
      <c r="A6130" s="13"/>
      <c r="B6130" s="13"/>
      <c r="C6130" s="13"/>
      <c r="D6130" s="13"/>
      <c r="E6130" s="13"/>
      <c r="F6130" s="13"/>
      <c r="G6130" s="13"/>
      <c r="H6130" s="13"/>
      <c r="I6130" s="13"/>
      <c r="J6130" s="13"/>
      <c r="K6130" s="15"/>
      <c r="L6130" s="15"/>
      <c r="M6130" s="16"/>
      <c r="N6130" s="16"/>
      <c r="O6130" s="17"/>
      <c r="P6130" s="17"/>
      <c r="Q6130" s="13"/>
      <c r="R6130" s="13"/>
      <c r="S6130" s="13"/>
      <c r="T6130" s="13"/>
      <c r="U6130" s="13"/>
      <c r="V6130" s="13"/>
      <c r="W6130" s="13"/>
      <c r="X6130" s="13"/>
      <c r="Y6130" s="13"/>
      <c r="Z6130" s="13"/>
      <c r="AA6130" s="13"/>
      <c r="AB6130" s="13"/>
      <c r="AC6130" s="13"/>
      <c r="AD6130" s="13"/>
      <c r="AE6130" s="13"/>
      <c r="AF6130" s="13"/>
      <c r="AG6130" s="13"/>
      <c r="AH6130" s="13"/>
      <c r="AI6130" s="13"/>
      <c r="AJ6130" s="13"/>
      <c r="AK6130" s="13"/>
      <c r="AL6130" s="13"/>
      <c r="AM6130" s="13"/>
      <c r="AN6130" s="13"/>
      <c r="AO6130" s="13"/>
      <c r="AP6130" s="13"/>
      <c r="AQ6130" s="13"/>
      <c r="AR6130" s="13"/>
      <c r="AS6130" s="13"/>
    </row>
    <row r="6131" ht="14.25" customHeight="1">
      <c r="A6131" s="13"/>
      <c r="B6131" s="13"/>
      <c r="C6131" s="13"/>
      <c r="D6131" s="13"/>
      <c r="E6131" s="13"/>
      <c r="F6131" s="13"/>
      <c r="G6131" s="13"/>
      <c r="H6131" s="13"/>
      <c r="I6131" s="13"/>
      <c r="J6131" s="13"/>
      <c r="K6131" s="15"/>
      <c r="L6131" s="15"/>
      <c r="M6131" s="16"/>
      <c r="N6131" s="16"/>
      <c r="O6131" s="17"/>
      <c r="P6131" s="17"/>
      <c r="Q6131" s="13"/>
      <c r="R6131" s="13"/>
      <c r="S6131" s="13"/>
      <c r="T6131" s="13"/>
      <c r="U6131" s="13"/>
      <c r="V6131" s="13"/>
      <c r="W6131" s="13"/>
      <c r="X6131" s="13"/>
      <c r="Y6131" s="13"/>
      <c r="Z6131" s="13"/>
      <c r="AA6131" s="13"/>
      <c r="AB6131" s="13"/>
      <c r="AC6131" s="13"/>
      <c r="AD6131" s="13"/>
      <c r="AE6131" s="13"/>
      <c r="AF6131" s="13"/>
      <c r="AG6131" s="13"/>
      <c r="AH6131" s="13"/>
      <c r="AI6131" s="13"/>
      <c r="AJ6131" s="13"/>
      <c r="AK6131" s="13"/>
      <c r="AL6131" s="13"/>
      <c r="AM6131" s="13"/>
      <c r="AN6131" s="13"/>
      <c r="AO6131" s="13"/>
      <c r="AP6131" s="13"/>
      <c r="AQ6131" s="13"/>
      <c r="AR6131" s="13"/>
      <c r="AS6131" s="13"/>
    </row>
    <row r="6132" ht="14.25" customHeight="1">
      <c r="A6132" s="13"/>
      <c r="B6132" s="13"/>
      <c r="C6132" s="13"/>
      <c r="D6132" s="13"/>
      <c r="E6132" s="13"/>
      <c r="F6132" s="13"/>
      <c r="G6132" s="13"/>
      <c r="H6132" s="13"/>
      <c r="I6132" s="13"/>
      <c r="J6132" s="13"/>
      <c r="K6132" s="15"/>
      <c r="L6132" s="15"/>
      <c r="M6132" s="16"/>
      <c r="N6132" s="16"/>
      <c r="O6132" s="17"/>
      <c r="P6132" s="17"/>
      <c r="Q6132" s="13"/>
      <c r="R6132" s="13"/>
      <c r="S6132" s="13"/>
      <c r="T6132" s="13"/>
      <c r="U6132" s="13"/>
      <c r="V6132" s="13"/>
      <c r="W6132" s="13"/>
      <c r="X6132" s="13"/>
      <c r="Y6132" s="13"/>
      <c r="Z6132" s="13"/>
      <c r="AA6132" s="13"/>
      <c r="AB6132" s="13"/>
      <c r="AC6132" s="13"/>
      <c r="AD6132" s="13"/>
      <c r="AE6132" s="13"/>
      <c r="AF6132" s="13"/>
      <c r="AG6132" s="13"/>
      <c r="AH6132" s="13"/>
      <c r="AI6132" s="13"/>
      <c r="AJ6132" s="13"/>
      <c r="AK6132" s="13"/>
      <c r="AL6132" s="13"/>
      <c r="AM6132" s="13"/>
      <c r="AN6132" s="13"/>
      <c r="AO6132" s="13"/>
      <c r="AP6132" s="13"/>
      <c r="AQ6132" s="13"/>
      <c r="AR6132" s="13"/>
      <c r="AS6132" s="13"/>
    </row>
    <row r="6133" ht="14.25" customHeight="1">
      <c r="A6133" s="13"/>
      <c r="B6133" s="13"/>
      <c r="C6133" s="13"/>
      <c r="D6133" s="13"/>
      <c r="E6133" s="13"/>
      <c r="F6133" s="13"/>
      <c r="G6133" s="13"/>
      <c r="H6133" s="13"/>
      <c r="I6133" s="13"/>
      <c r="J6133" s="13"/>
      <c r="K6133" s="15"/>
      <c r="L6133" s="15"/>
      <c r="M6133" s="16"/>
      <c r="N6133" s="16"/>
      <c r="O6133" s="17"/>
      <c r="P6133" s="17"/>
      <c r="Q6133" s="13"/>
      <c r="R6133" s="13"/>
      <c r="S6133" s="13"/>
      <c r="T6133" s="13"/>
      <c r="U6133" s="13"/>
      <c r="V6133" s="13"/>
      <c r="W6133" s="13"/>
      <c r="X6133" s="13"/>
      <c r="Y6133" s="13"/>
      <c r="Z6133" s="13"/>
      <c r="AA6133" s="13"/>
      <c r="AB6133" s="13"/>
      <c r="AC6133" s="13"/>
      <c r="AD6133" s="13"/>
      <c r="AE6133" s="13"/>
      <c r="AF6133" s="13"/>
      <c r="AG6133" s="13"/>
      <c r="AH6133" s="13"/>
      <c r="AI6133" s="13"/>
      <c r="AJ6133" s="13"/>
      <c r="AK6133" s="13"/>
      <c r="AL6133" s="13"/>
      <c r="AM6133" s="13"/>
      <c r="AN6133" s="13"/>
      <c r="AO6133" s="13"/>
      <c r="AP6133" s="13"/>
      <c r="AQ6133" s="13"/>
      <c r="AR6133" s="13"/>
      <c r="AS6133" s="13"/>
    </row>
    <row r="6134" ht="14.25" customHeight="1">
      <c r="A6134" s="13"/>
      <c r="B6134" s="13"/>
      <c r="C6134" s="13"/>
      <c r="D6134" s="13"/>
      <c r="E6134" s="13"/>
      <c r="F6134" s="13"/>
      <c r="G6134" s="13"/>
      <c r="H6134" s="13"/>
      <c r="I6134" s="13"/>
      <c r="J6134" s="13"/>
      <c r="K6134" s="15"/>
      <c r="L6134" s="15"/>
      <c r="M6134" s="16"/>
      <c r="N6134" s="16"/>
      <c r="O6134" s="17"/>
      <c r="P6134" s="17"/>
      <c r="Q6134" s="13"/>
      <c r="R6134" s="13"/>
      <c r="S6134" s="13"/>
      <c r="T6134" s="13"/>
      <c r="U6134" s="13"/>
      <c r="V6134" s="13"/>
      <c r="W6134" s="13"/>
      <c r="X6134" s="13"/>
      <c r="Y6134" s="13"/>
      <c r="Z6134" s="13"/>
      <c r="AA6134" s="13"/>
      <c r="AB6134" s="13"/>
      <c r="AC6134" s="13"/>
      <c r="AD6134" s="13"/>
      <c r="AE6134" s="13"/>
      <c r="AF6134" s="13"/>
      <c r="AG6134" s="13"/>
      <c r="AH6134" s="13"/>
      <c r="AI6134" s="13"/>
      <c r="AJ6134" s="13"/>
      <c r="AK6134" s="13"/>
      <c r="AL6134" s="13"/>
      <c r="AM6134" s="13"/>
      <c r="AN6134" s="13"/>
      <c r="AO6134" s="13"/>
      <c r="AP6134" s="13"/>
      <c r="AQ6134" s="13"/>
      <c r="AR6134" s="13"/>
      <c r="AS6134" s="13"/>
    </row>
    <row r="6135" ht="14.25" customHeight="1">
      <c r="A6135" s="13"/>
      <c r="B6135" s="13"/>
      <c r="C6135" s="13"/>
      <c r="D6135" s="13"/>
      <c r="E6135" s="13"/>
      <c r="F6135" s="13"/>
      <c r="G6135" s="13"/>
      <c r="H6135" s="13"/>
      <c r="I6135" s="13"/>
      <c r="J6135" s="13"/>
      <c r="K6135" s="15"/>
      <c r="L6135" s="15"/>
      <c r="M6135" s="16"/>
      <c r="N6135" s="16"/>
      <c r="O6135" s="17"/>
      <c r="P6135" s="17"/>
      <c r="Q6135" s="13"/>
      <c r="R6135" s="13"/>
      <c r="S6135" s="13"/>
      <c r="T6135" s="13"/>
      <c r="U6135" s="13"/>
      <c r="V6135" s="13"/>
      <c r="W6135" s="13"/>
      <c r="X6135" s="13"/>
      <c r="Y6135" s="13"/>
      <c r="Z6135" s="13"/>
      <c r="AA6135" s="13"/>
      <c r="AB6135" s="13"/>
      <c r="AC6135" s="13"/>
      <c r="AD6135" s="13"/>
      <c r="AE6135" s="13"/>
      <c r="AF6135" s="13"/>
      <c r="AG6135" s="13"/>
      <c r="AH6135" s="13"/>
      <c r="AI6135" s="13"/>
      <c r="AJ6135" s="13"/>
      <c r="AK6135" s="13"/>
      <c r="AL6135" s="13"/>
      <c r="AM6135" s="13"/>
      <c r="AN6135" s="13"/>
      <c r="AO6135" s="13"/>
      <c r="AP6135" s="13"/>
      <c r="AQ6135" s="13"/>
      <c r="AR6135" s="13"/>
      <c r="AS6135" s="13"/>
    </row>
    <row r="6136" ht="14.25" customHeight="1">
      <c r="A6136" s="13"/>
      <c r="B6136" s="13"/>
      <c r="C6136" s="13"/>
      <c r="D6136" s="13"/>
      <c r="E6136" s="13"/>
      <c r="F6136" s="13"/>
      <c r="G6136" s="13"/>
      <c r="H6136" s="13"/>
      <c r="I6136" s="13"/>
      <c r="J6136" s="13"/>
      <c r="K6136" s="15"/>
      <c r="L6136" s="15"/>
      <c r="M6136" s="16"/>
      <c r="N6136" s="16"/>
      <c r="O6136" s="17"/>
      <c r="P6136" s="17"/>
      <c r="Q6136" s="13"/>
      <c r="R6136" s="13"/>
      <c r="S6136" s="13"/>
      <c r="T6136" s="13"/>
      <c r="U6136" s="13"/>
      <c r="V6136" s="13"/>
      <c r="W6136" s="13"/>
      <c r="X6136" s="13"/>
      <c r="Y6136" s="13"/>
      <c r="Z6136" s="13"/>
      <c r="AA6136" s="13"/>
      <c r="AB6136" s="13"/>
      <c r="AC6136" s="13"/>
      <c r="AD6136" s="13"/>
      <c r="AE6136" s="13"/>
      <c r="AF6136" s="13"/>
      <c r="AG6136" s="13"/>
      <c r="AH6136" s="13"/>
      <c r="AI6136" s="13"/>
      <c r="AJ6136" s="13"/>
      <c r="AK6136" s="13"/>
      <c r="AL6136" s="13"/>
      <c r="AM6136" s="13"/>
      <c r="AN6136" s="13"/>
      <c r="AO6136" s="13"/>
      <c r="AP6136" s="13"/>
      <c r="AQ6136" s="13"/>
      <c r="AR6136" s="13"/>
      <c r="AS6136" s="13"/>
    </row>
    <row r="6137" ht="14.25" customHeight="1">
      <c r="A6137" s="13"/>
      <c r="B6137" s="13"/>
      <c r="C6137" s="13"/>
      <c r="D6137" s="13"/>
      <c r="E6137" s="13"/>
      <c r="F6137" s="13"/>
      <c r="G6137" s="13"/>
      <c r="H6137" s="13"/>
      <c r="I6137" s="13"/>
      <c r="J6137" s="13"/>
      <c r="K6137" s="15"/>
      <c r="L6137" s="15"/>
      <c r="M6137" s="16"/>
      <c r="N6137" s="16"/>
      <c r="O6137" s="17"/>
      <c r="P6137" s="17"/>
      <c r="Q6137" s="13"/>
      <c r="R6137" s="13"/>
      <c r="S6137" s="13"/>
      <c r="T6137" s="13"/>
      <c r="U6137" s="13"/>
      <c r="V6137" s="13"/>
      <c r="W6137" s="13"/>
      <c r="X6137" s="13"/>
      <c r="Y6137" s="13"/>
      <c r="Z6137" s="13"/>
      <c r="AA6137" s="13"/>
      <c r="AB6137" s="13"/>
      <c r="AC6137" s="13"/>
      <c r="AD6137" s="13"/>
      <c r="AE6137" s="13"/>
      <c r="AF6137" s="13"/>
      <c r="AG6137" s="13"/>
      <c r="AH6137" s="13"/>
      <c r="AI6137" s="13"/>
      <c r="AJ6137" s="13"/>
      <c r="AK6137" s="13"/>
      <c r="AL6137" s="13"/>
      <c r="AM6137" s="13"/>
      <c r="AN6137" s="13"/>
      <c r="AO6137" s="13"/>
      <c r="AP6137" s="13"/>
      <c r="AQ6137" s="13"/>
      <c r="AR6137" s="13"/>
      <c r="AS6137" s="13"/>
    </row>
    <row r="6138" ht="14.25" customHeight="1">
      <c r="A6138" s="13"/>
      <c r="B6138" s="13"/>
      <c r="C6138" s="13"/>
      <c r="D6138" s="13"/>
      <c r="E6138" s="13"/>
      <c r="F6138" s="13"/>
      <c r="G6138" s="13"/>
      <c r="H6138" s="13"/>
      <c r="I6138" s="13"/>
      <c r="J6138" s="13"/>
      <c r="K6138" s="15"/>
      <c r="L6138" s="15"/>
      <c r="M6138" s="16"/>
      <c r="N6138" s="16"/>
      <c r="O6138" s="17"/>
      <c r="P6138" s="17"/>
      <c r="Q6138" s="13"/>
      <c r="R6138" s="13"/>
      <c r="S6138" s="13"/>
      <c r="T6138" s="13"/>
      <c r="U6138" s="13"/>
      <c r="V6138" s="13"/>
      <c r="W6138" s="13"/>
      <c r="X6138" s="13"/>
      <c r="Y6138" s="13"/>
      <c r="Z6138" s="13"/>
      <c r="AA6138" s="13"/>
      <c r="AB6138" s="13"/>
      <c r="AC6138" s="13"/>
      <c r="AD6138" s="13"/>
      <c r="AE6138" s="13"/>
      <c r="AF6138" s="13"/>
      <c r="AG6138" s="13"/>
      <c r="AH6138" s="13"/>
      <c r="AI6138" s="13"/>
      <c r="AJ6138" s="13"/>
      <c r="AK6138" s="13"/>
      <c r="AL6138" s="13"/>
      <c r="AM6138" s="13"/>
      <c r="AN6138" s="13"/>
      <c r="AO6138" s="13"/>
      <c r="AP6138" s="13"/>
      <c r="AQ6138" s="13"/>
      <c r="AR6138" s="13"/>
      <c r="AS6138" s="13"/>
    </row>
    <row r="6139" ht="14.25" customHeight="1">
      <c r="A6139" s="13"/>
      <c r="B6139" s="13"/>
      <c r="C6139" s="13"/>
      <c r="D6139" s="13"/>
      <c r="E6139" s="13"/>
      <c r="F6139" s="13"/>
      <c r="G6139" s="13"/>
      <c r="H6139" s="13"/>
      <c r="I6139" s="13"/>
      <c r="J6139" s="13"/>
      <c r="K6139" s="15"/>
      <c r="L6139" s="15"/>
      <c r="M6139" s="16"/>
      <c r="N6139" s="16"/>
      <c r="O6139" s="17"/>
      <c r="P6139" s="17"/>
      <c r="Q6139" s="13"/>
      <c r="R6139" s="13"/>
      <c r="S6139" s="13"/>
      <c r="T6139" s="13"/>
      <c r="U6139" s="13"/>
      <c r="V6139" s="13"/>
      <c r="W6139" s="13"/>
      <c r="X6139" s="13"/>
      <c r="Y6139" s="13"/>
      <c r="Z6139" s="13"/>
      <c r="AA6139" s="13"/>
      <c r="AB6139" s="13"/>
      <c r="AC6139" s="13"/>
      <c r="AD6139" s="13"/>
      <c r="AE6139" s="13"/>
      <c r="AF6139" s="13"/>
      <c r="AG6139" s="13"/>
      <c r="AH6139" s="13"/>
      <c r="AI6139" s="13"/>
      <c r="AJ6139" s="13"/>
      <c r="AK6139" s="13"/>
      <c r="AL6139" s="13"/>
      <c r="AM6139" s="13"/>
      <c r="AN6139" s="13"/>
      <c r="AO6139" s="13"/>
      <c r="AP6139" s="13"/>
      <c r="AQ6139" s="13"/>
      <c r="AR6139" s="13"/>
      <c r="AS6139" s="13"/>
    </row>
    <row r="6140" ht="14.25" customHeight="1">
      <c r="A6140" s="13"/>
      <c r="B6140" s="13"/>
      <c r="C6140" s="13"/>
      <c r="D6140" s="13"/>
      <c r="E6140" s="13"/>
      <c r="F6140" s="13"/>
      <c r="G6140" s="13"/>
      <c r="H6140" s="13"/>
      <c r="I6140" s="13"/>
      <c r="J6140" s="13"/>
      <c r="K6140" s="15"/>
      <c r="L6140" s="15"/>
      <c r="M6140" s="16"/>
      <c r="N6140" s="16"/>
      <c r="O6140" s="17"/>
      <c r="P6140" s="17"/>
      <c r="Q6140" s="13"/>
      <c r="R6140" s="13"/>
      <c r="S6140" s="13"/>
      <c r="T6140" s="13"/>
      <c r="U6140" s="13"/>
      <c r="V6140" s="13"/>
      <c r="W6140" s="13"/>
      <c r="X6140" s="13"/>
      <c r="Y6140" s="13"/>
      <c r="Z6140" s="13"/>
      <c r="AA6140" s="13"/>
      <c r="AB6140" s="13"/>
      <c r="AC6140" s="13"/>
      <c r="AD6140" s="13"/>
      <c r="AE6140" s="13"/>
      <c r="AF6140" s="13"/>
      <c r="AG6140" s="13"/>
      <c r="AH6140" s="13"/>
      <c r="AI6140" s="13"/>
      <c r="AJ6140" s="13"/>
      <c r="AK6140" s="13"/>
      <c r="AL6140" s="13"/>
      <c r="AM6140" s="13"/>
      <c r="AN6140" s="13"/>
      <c r="AO6140" s="13"/>
      <c r="AP6140" s="13"/>
      <c r="AQ6140" s="13"/>
      <c r="AR6140" s="13"/>
      <c r="AS6140" s="13"/>
    </row>
    <row r="6141" ht="14.25" customHeight="1">
      <c r="A6141" s="13"/>
      <c r="B6141" s="13"/>
      <c r="C6141" s="13"/>
      <c r="D6141" s="13"/>
      <c r="E6141" s="13"/>
      <c r="F6141" s="13"/>
      <c r="G6141" s="13"/>
      <c r="H6141" s="13"/>
      <c r="I6141" s="13"/>
      <c r="J6141" s="13"/>
      <c r="K6141" s="15"/>
      <c r="L6141" s="15"/>
      <c r="M6141" s="16"/>
      <c r="N6141" s="16"/>
      <c r="O6141" s="17"/>
      <c r="P6141" s="17"/>
      <c r="Q6141" s="13"/>
      <c r="R6141" s="13"/>
      <c r="S6141" s="13"/>
      <c r="T6141" s="13"/>
      <c r="U6141" s="13"/>
      <c r="V6141" s="13"/>
      <c r="W6141" s="13"/>
      <c r="X6141" s="13"/>
      <c r="Y6141" s="13"/>
      <c r="Z6141" s="13"/>
      <c r="AA6141" s="13"/>
      <c r="AB6141" s="13"/>
      <c r="AC6141" s="13"/>
      <c r="AD6141" s="13"/>
      <c r="AE6141" s="13"/>
      <c r="AF6141" s="13"/>
      <c r="AG6141" s="13"/>
      <c r="AH6141" s="13"/>
      <c r="AI6141" s="13"/>
      <c r="AJ6141" s="13"/>
      <c r="AK6141" s="13"/>
      <c r="AL6141" s="13"/>
      <c r="AM6141" s="13"/>
      <c r="AN6141" s="13"/>
      <c r="AO6141" s="13"/>
      <c r="AP6141" s="13"/>
      <c r="AQ6141" s="13"/>
      <c r="AR6141" s="13"/>
      <c r="AS6141" s="13"/>
    </row>
    <row r="6142" ht="14.25" customHeight="1">
      <c r="A6142" s="13"/>
      <c r="B6142" s="13"/>
      <c r="C6142" s="13"/>
      <c r="D6142" s="13"/>
      <c r="E6142" s="13"/>
      <c r="F6142" s="13"/>
      <c r="G6142" s="13"/>
      <c r="H6142" s="13"/>
      <c r="I6142" s="13"/>
      <c r="J6142" s="13"/>
      <c r="K6142" s="15"/>
      <c r="L6142" s="15"/>
      <c r="M6142" s="16"/>
      <c r="N6142" s="16"/>
      <c r="O6142" s="17"/>
      <c r="P6142" s="17"/>
      <c r="Q6142" s="13"/>
      <c r="R6142" s="13"/>
      <c r="S6142" s="13"/>
      <c r="T6142" s="13"/>
      <c r="U6142" s="13"/>
      <c r="V6142" s="13"/>
      <c r="W6142" s="13"/>
      <c r="X6142" s="13"/>
      <c r="Y6142" s="13"/>
      <c r="Z6142" s="13"/>
      <c r="AA6142" s="13"/>
      <c r="AB6142" s="13"/>
      <c r="AC6142" s="13"/>
      <c r="AD6142" s="13"/>
      <c r="AE6142" s="13"/>
      <c r="AF6142" s="13"/>
      <c r="AG6142" s="13"/>
      <c r="AH6142" s="13"/>
      <c r="AI6142" s="13"/>
      <c r="AJ6142" s="13"/>
      <c r="AK6142" s="13"/>
      <c r="AL6142" s="13"/>
      <c r="AM6142" s="13"/>
      <c r="AN6142" s="13"/>
      <c r="AO6142" s="13"/>
      <c r="AP6142" s="13"/>
      <c r="AQ6142" s="13"/>
      <c r="AR6142" s="13"/>
      <c r="AS6142" s="13"/>
    </row>
    <row r="6143" ht="14.25" customHeight="1">
      <c r="A6143" s="13"/>
      <c r="B6143" s="13"/>
      <c r="C6143" s="13"/>
      <c r="D6143" s="13"/>
      <c r="E6143" s="13"/>
      <c r="F6143" s="13"/>
      <c r="G6143" s="13"/>
      <c r="H6143" s="13"/>
      <c r="I6143" s="13"/>
      <c r="J6143" s="13"/>
      <c r="K6143" s="15"/>
      <c r="L6143" s="15"/>
      <c r="M6143" s="16"/>
      <c r="N6143" s="16"/>
      <c r="O6143" s="17"/>
      <c r="P6143" s="17"/>
      <c r="Q6143" s="13"/>
      <c r="R6143" s="13"/>
      <c r="S6143" s="13"/>
      <c r="T6143" s="13"/>
      <c r="U6143" s="13"/>
      <c r="V6143" s="13"/>
      <c r="W6143" s="13"/>
      <c r="X6143" s="13"/>
      <c r="Y6143" s="13"/>
      <c r="Z6143" s="13"/>
      <c r="AA6143" s="13"/>
      <c r="AB6143" s="13"/>
      <c r="AC6143" s="13"/>
      <c r="AD6143" s="13"/>
      <c r="AE6143" s="13"/>
      <c r="AF6143" s="13"/>
      <c r="AG6143" s="13"/>
      <c r="AH6143" s="13"/>
      <c r="AI6143" s="13"/>
      <c r="AJ6143" s="13"/>
      <c r="AK6143" s="13"/>
      <c r="AL6143" s="13"/>
      <c r="AM6143" s="13"/>
      <c r="AN6143" s="13"/>
      <c r="AO6143" s="13"/>
      <c r="AP6143" s="13"/>
      <c r="AQ6143" s="13"/>
      <c r="AR6143" s="13"/>
      <c r="AS6143" s="13"/>
    </row>
    <row r="6144" ht="14.25" customHeight="1">
      <c r="A6144" s="13"/>
      <c r="B6144" s="13"/>
      <c r="C6144" s="13"/>
      <c r="D6144" s="13"/>
      <c r="E6144" s="13"/>
      <c r="F6144" s="13"/>
      <c r="G6144" s="13"/>
      <c r="H6144" s="13"/>
      <c r="I6144" s="13"/>
      <c r="J6144" s="13"/>
      <c r="K6144" s="15"/>
      <c r="L6144" s="15"/>
      <c r="M6144" s="16"/>
      <c r="N6144" s="16"/>
      <c r="O6144" s="17"/>
      <c r="P6144" s="17"/>
      <c r="Q6144" s="13"/>
      <c r="R6144" s="13"/>
      <c r="S6144" s="13"/>
      <c r="T6144" s="13"/>
      <c r="U6144" s="13"/>
      <c r="V6144" s="13"/>
      <c r="W6144" s="13"/>
      <c r="X6144" s="13"/>
      <c r="Y6144" s="13"/>
      <c r="Z6144" s="13"/>
      <c r="AA6144" s="13"/>
      <c r="AB6144" s="13"/>
      <c r="AC6144" s="13"/>
      <c r="AD6144" s="13"/>
      <c r="AE6144" s="13"/>
      <c r="AF6144" s="13"/>
      <c r="AG6144" s="13"/>
      <c r="AH6144" s="13"/>
      <c r="AI6144" s="13"/>
      <c r="AJ6144" s="13"/>
      <c r="AK6144" s="13"/>
      <c r="AL6144" s="13"/>
      <c r="AM6144" s="13"/>
      <c r="AN6144" s="13"/>
      <c r="AO6144" s="13"/>
      <c r="AP6144" s="13"/>
      <c r="AQ6144" s="13"/>
      <c r="AR6144" s="13"/>
      <c r="AS6144" s="13"/>
    </row>
    <row r="6145" ht="14.25" customHeight="1">
      <c r="A6145" s="13"/>
      <c r="B6145" s="13"/>
      <c r="C6145" s="13"/>
      <c r="D6145" s="13"/>
      <c r="E6145" s="13"/>
      <c r="F6145" s="13"/>
      <c r="G6145" s="13"/>
      <c r="H6145" s="13"/>
      <c r="I6145" s="13"/>
      <c r="J6145" s="13"/>
      <c r="K6145" s="15"/>
      <c r="L6145" s="15"/>
      <c r="M6145" s="16"/>
      <c r="N6145" s="16"/>
      <c r="O6145" s="17"/>
      <c r="P6145" s="17"/>
      <c r="Q6145" s="13"/>
      <c r="R6145" s="13"/>
      <c r="S6145" s="13"/>
      <c r="T6145" s="13"/>
      <c r="U6145" s="13"/>
      <c r="V6145" s="13"/>
      <c r="W6145" s="13"/>
      <c r="X6145" s="13"/>
      <c r="Y6145" s="13"/>
      <c r="Z6145" s="13"/>
      <c r="AA6145" s="13"/>
      <c r="AB6145" s="13"/>
      <c r="AC6145" s="13"/>
      <c r="AD6145" s="13"/>
      <c r="AE6145" s="13"/>
      <c r="AF6145" s="13"/>
      <c r="AG6145" s="13"/>
      <c r="AH6145" s="13"/>
      <c r="AI6145" s="13"/>
      <c r="AJ6145" s="13"/>
      <c r="AK6145" s="13"/>
      <c r="AL6145" s="13"/>
      <c r="AM6145" s="13"/>
      <c r="AN6145" s="13"/>
      <c r="AO6145" s="13"/>
      <c r="AP6145" s="13"/>
      <c r="AQ6145" s="13"/>
      <c r="AR6145" s="13"/>
      <c r="AS6145" s="13"/>
    </row>
    <row r="6146" ht="14.25" customHeight="1">
      <c r="A6146" s="13"/>
      <c r="B6146" s="13"/>
      <c r="C6146" s="13"/>
      <c r="D6146" s="13"/>
      <c r="E6146" s="13"/>
      <c r="F6146" s="13"/>
      <c r="G6146" s="13"/>
      <c r="H6146" s="13"/>
      <c r="I6146" s="13"/>
      <c r="J6146" s="13"/>
      <c r="K6146" s="15"/>
      <c r="L6146" s="15"/>
      <c r="M6146" s="16"/>
      <c r="N6146" s="16"/>
      <c r="O6146" s="17"/>
      <c r="P6146" s="17"/>
      <c r="Q6146" s="13"/>
      <c r="R6146" s="13"/>
      <c r="S6146" s="13"/>
      <c r="T6146" s="13"/>
      <c r="U6146" s="13"/>
      <c r="V6146" s="13"/>
      <c r="W6146" s="13"/>
      <c r="X6146" s="13"/>
      <c r="Y6146" s="13"/>
      <c r="Z6146" s="13"/>
      <c r="AA6146" s="13"/>
      <c r="AB6146" s="13"/>
      <c r="AC6146" s="13"/>
      <c r="AD6146" s="13"/>
      <c r="AE6146" s="13"/>
      <c r="AF6146" s="13"/>
      <c r="AG6146" s="13"/>
      <c r="AH6146" s="13"/>
      <c r="AI6146" s="13"/>
      <c r="AJ6146" s="13"/>
      <c r="AK6146" s="13"/>
      <c r="AL6146" s="13"/>
      <c r="AM6146" s="13"/>
      <c r="AN6146" s="13"/>
      <c r="AO6146" s="13"/>
      <c r="AP6146" s="13"/>
      <c r="AQ6146" s="13"/>
      <c r="AR6146" s="13"/>
      <c r="AS6146" s="13"/>
    </row>
    <row r="6147" ht="14.25" customHeight="1">
      <c r="A6147" s="13"/>
      <c r="B6147" s="13"/>
      <c r="C6147" s="13"/>
      <c r="D6147" s="13"/>
      <c r="E6147" s="13"/>
      <c r="F6147" s="13"/>
      <c r="G6147" s="13"/>
      <c r="H6147" s="13"/>
      <c r="I6147" s="13"/>
      <c r="J6147" s="13"/>
      <c r="K6147" s="15"/>
      <c r="L6147" s="15"/>
      <c r="M6147" s="16"/>
      <c r="N6147" s="16"/>
      <c r="O6147" s="17"/>
      <c r="P6147" s="17"/>
      <c r="Q6147" s="13"/>
      <c r="R6147" s="13"/>
      <c r="S6147" s="13"/>
      <c r="T6147" s="13"/>
      <c r="U6147" s="13"/>
      <c r="V6147" s="13"/>
      <c r="W6147" s="13"/>
      <c r="X6147" s="13"/>
      <c r="Y6147" s="13"/>
      <c r="Z6147" s="13"/>
      <c r="AA6147" s="13"/>
      <c r="AB6147" s="13"/>
      <c r="AC6147" s="13"/>
      <c r="AD6147" s="13"/>
      <c r="AE6147" s="13"/>
      <c r="AF6147" s="13"/>
      <c r="AG6147" s="13"/>
      <c r="AH6147" s="13"/>
      <c r="AI6147" s="13"/>
      <c r="AJ6147" s="13"/>
      <c r="AK6147" s="13"/>
      <c r="AL6147" s="13"/>
      <c r="AM6147" s="13"/>
      <c r="AN6147" s="13"/>
      <c r="AO6147" s="13"/>
      <c r="AP6147" s="13"/>
      <c r="AQ6147" s="13"/>
      <c r="AR6147" s="13"/>
      <c r="AS6147" s="13"/>
    </row>
    <row r="6148" ht="14.25" customHeight="1">
      <c r="A6148" s="13"/>
      <c r="B6148" s="13"/>
      <c r="C6148" s="13"/>
      <c r="D6148" s="13"/>
      <c r="E6148" s="13"/>
      <c r="F6148" s="13"/>
      <c r="G6148" s="13"/>
      <c r="H6148" s="13"/>
      <c r="I6148" s="13"/>
      <c r="J6148" s="13"/>
      <c r="K6148" s="15"/>
      <c r="L6148" s="15"/>
      <c r="M6148" s="16"/>
      <c r="N6148" s="16"/>
      <c r="O6148" s="17"/>
      <c r="P6148" s="17"/>
      <c r="Q6148" s="13"/>
      <c r="R6148" s="13"/>
      <c r="S6148" s="13"/>
      <c r="T6148" s="13"/>
      <c r="U6148" s="13"/>
      <c r="V6148" s="13"/>
      <c r="W6148" s="13"/>
      <c r="X6148" s="13"/>
      <c r="Y6148" s="13"/>
      <c r="Z6148" s="13"/>
      <c r="AA6148" s="13"/>
      <c r="AB6148" s="13"/>
      <c r="AC6148" s="13"/>
      <c r="AD6148" s="13"/>
      <c r="AE6148" s="13"/>
      <c r="AF6148" s="13"/>
      <c r="AG6148" s="13"/>
      <c r="AH6148" s="13"/>
      <c r="AI6148" s="13"/>
      <c r="AJ6148" s="13"/>
      <c r="AK6148" s="13"/>
      <c r="AL6148" s="13"/>
      <c r="AM6148" s="13"/>
      <c r="AN6148" s="13"/>
      <c r="AO6148" s="13"/>
      <c r="AP6148" s="13"/>
      <c r="AQ6148" s="13"/>
      <c r="AR6148" s="13"/>
      <c r="AS6148" s="13"/>
    </row>
    <row r="6149" ht="14.25" customHeight="1">
      <c r="A6149" s="13"/>
      <c r="B6149" s="13"/>
      <c r="C6149" s="13"/>
      <c r="D6149" s="13"/>
      <c r="E6149" s="13"/>
      <c r="F6149" s="13"/>
      <c r="G6149" s="13"/>
      <c r="H6149" s="13"/>
      <c r="I6149" s="13"/>
      <c r="J6149" s="13"/>
      <c r="K6149" s="15"/>
      <c r="L6149" s="15"/>
      <c r="M6149" s="16"/>
      <c r="N6149" s="16"/>
      <c r="O6149" s="17"/>
      <c r="P6149" s="17"/>
      <c r="Q6149" s="13"/>
      <c r="R6149" s="13"/>
      <c r="S6149" s="13"/>
      <c r="T6149" s="13"/>
      <c r="U6149" s="13"/>
      <c r="V6149" s="13"/>
      <c r="W6149" s="13"/>
      <c r="X6149" s="13"/>
      <c r="Y6149" s="13"/>
      <c r="Z6149" s="13"/>
      <c r="AA6149" s="13"/>
      <c r="AB6149" s="13"/>
      <c r="AC6149" s="13"/>
      <c r="AD6149" s="13"/>
      <c r="AE6149" s="13"/>
      <c r="AF6149" s="13"/>
      <c r="AG6149" s="13"/>
      <c r="AH6149" s="13"/>
      <c r="AI6149" s="13"/>
      <c r="AJ6149" s="13"/>
      <c r="AK6149" s="13"/>
      <c r="AL6149" s="13"/>
      <c r="AM6149" s="13"/>
      <c r="AN6149" s="13"/>
      <c r="AO6149" s="13"/>
      <c r="AP6149" s="13"/>
      <c r="AQ6149" s="13"/>
      <c r="AR6149" s="13"/>
      <c r="AS6149" s="13"/>
    </row>
    <row r="6150" ht="14.25" customHeight="1">
      <c r="A6150" s="13"/>
      <c r="B6150" s="13"/>
      <c r="C6150" s="13"/>
      <c r="D6150" s="13"/>
      <c r="E6150" s="13"/>
      <c r="F6150" s="13"/>
      <c r="G6150" s="13"/>
      <c r="H6150" s="13"/>
      <c r="I6150" s="13"/>
      <c r="J6150" s="13"/>
      <c r="K6150" s="15"/>
      <c r="L6150" s="15"/>
      <c r="M6150" s="16"/>
      <c r="N6150" s="16"/>
      <c r="O6150" s="17"/>
      <c r="P6150" s="17"/>
      <c r="Q6150" s="13"/>
      <c r="R6150" s="13"/>
      <c r="S6150" s="13"/>
      <c r="T6150" s="13"/>
      <c r="U6150" s="13"/>
      <c r="V6150" s="13"/>
      <c r="W6150" s="13"/>
      <c r="X6150" s="13"/>
      <c r="Y6150" s="13"/>
      <c r="Z6150" s="13"/>
      <c r="AA6150" s="13"/>
      <c r="AB6150" s="13"/>
      <c r="AC6150" s="13"/>
      <c r="AD6150" s="13"/>
      <c r="AE6150" s="13"/>
      <c r="AF6150" s="13"/>
      <c r="AG6150" s="13"/>
      <c r="AH6150" s="13"/>
      <c r="AI6150" s="13"/>
      <c r="AJ6150" s="13"/>
      <c r="AK6150" s="13"/>
      <c r="AL6150" s="13"/>
      <c r="AM6150" s="13"/>
      <c r="AN6150" s="13"/>
      <c r="AO6150" s="13"/>
      <c r="AP6150" s="13"/>
      <c r="AQ6150" s="13"/>
      <c r="AR6150" s="13"/>
      <c r="AS6150" s="13"/>
    </row>
    <row r="6151" ht="14.25" customHeight="1">
      <c r="A6151" s="13"/>
      <c r="B6151" s="13"/>
      <c r="C6151" s="13"/>
      <c r="D6151" s="13"/>
      <c r="E6151" s="13"/>
      <c r="F6151" s="13"/>
      <c r="G6151" s="13"/>
      <c r="H6151" s="13"/>
      <c r="I6151" s="13"/>
      <c r="J6151" s="13"/>
      <c r="K6151" s="15"/>
      <c r="L6151" s="15"/>
      <c r="M6151" s="16"/>
      <c r="N6151" s="16"/>
      <c r="O6151" s="17"/>
      <c r="P6151" s="17"/>
      <c r="Q6151" s="13"/>
      <c r="R6151" s="13"/>
      <c r="S6151" s="13"/>
      <c r="T6151" s="13"/>
      <c r="U6151" s="13"/>
      <c r="V6151" s="13"/>
      <c r="W6151" s="13"/>
      <c r="X6151" s="13"/>
      <c r="Y6151" s="13"/>
      <c r="Z6151" s="13"/>
      <c r="AA6151" s="13"/>
      <c r="AB6151" s="13"/>
      <c r="AC6151" s="13"/>
      <c r="AD6151" s="13"/>
      <c r="AE6151" s="13"/>
      <c r="AF6151" s="13"/>
      <c r="AG6151" s="13"/>
      <c r="AH6151" s="13"/>
      <c r="AI6151" s="13"/>
      <c r="AJ6151" s="13"/>
      <c r="AK6151" s="13"/>
      <c r="AL6151" s="13"/>
      <c r="AM6151" s="13"/>
      <c r="AN6151" s="13"/>
      <c r="AO6151" s="13"/>
      <c r="AP6151" s="13"/>
      <c r="AQ6151" s="13"/>
      <c r="AR6151" s="13"/>
      <c r="AS6151" s="13"/>
    </row>
    <row r="6152" ht="14.25" customHeight="1">
      <c r="A6152" s="13"/>
      <c r="B6152" s="13"/>
      <c r="C6152" s="13"/>
      <c r="D6152" s="13"/>
      <c r="E6152" s="13"/>
      <c r="F6152" s="13"/>
      <c r="G6152" s="13"/>
      <c r="H6152" s="13"/>
      <c r="I6152" s="13"/>
      <c r="J6152" s="13"/>
      <c r="K6152" s="15"/>
      <c r="L6152" s="15"/>
      <c r="M6152" s="16"/>
      <c r="N6152" s="16"/>
      <c r="O6152" s="17"/>
      <c r="P6152" s="17"/>
      <c r="Q6152" s="13"/>
      <c r="R6152" s="13"/>
      <c r="S6152" s="13"/>
      <c r="T6152" s="13"/>
      <c r="U6152" s="13"/>
      <c r="V6152" s="13"/>
      <c r="W6152" s="13"/>
      <c r="X6152" s="13"/>
      <c r="Y6152" s="13"/>
      <c r="Z6152" s="13"/>
      <c r="AA6152" s="13"/>
      <c r="AB6152" s="13"/>
      <c r="AC6152" s="13"/>
      <c r="AD6152" s="13"/>
      <c r="AE6152" s="13"/>
      <c r="AF6152" s="13"/>
      <c r="AG6152" s="13"/>
      <c r="AH6152" s="13"/>
      <c r="AI6152" s="13"/>
      <c r="AJ6152" s="13"/>
      <c r="AK6152" s="13"/>
      <c r="AL6152" s="13"/>
      <c r="AM6152" s="13"/>
      <c r="AN6152" s="13"/>
      <c r="AO6152" s="13"/>
      <c r="AP6152" s="13"/>
      <c r="AQ6152" s="13"/>
      <c r="AR6152" s="13"/>
      <c r="AS6152" s="13"/>
    </row>
    <row r="6153" ht="14.25" customHeight="1">
      <c r="A6153" s="13"/>
      <c r="B6153" s="13"/>
      <c r="C6153" s="13"/>
      <c r="D6153" s="13"/>
      <c r="E6153" s="13"/>
      <c r="F6153" s="13"/>
      <c r="G6153" s="13"/>
      <c r="H6153" s="13"/>
      <c r="I6153" s="13"/>
      <c r="J6153" s="13"/>
      <c r="K6153" s="15"/>
      <c r="L6153" s="15"/>
      <c r="M6153" s="16"/>
      <c r="N6153" s="16"/>
      <c r="O6153" s="17"/>
      <c r="P6153" s="17"/>
      <c r="Q6153" s="13"/>
      <c r="R6153" s="13"/>
      <c r="S6153" s="13"/>
      <c r="T6153" s="13"/>
      <c r="U6153" s="13"/>
      <c r="V6153" s="13"/>
      <c r="W6153" s="13"/>
      <c r="X6153" s="13"/>
      <c r="Y6153" s="13"/>
      <c r="Z6153" s="13"/>
      <c r="AA6153" s="13"/>
      <c r="AB6153" s="13"/>
      <c r="AC6153" s="13"/>
      <c r="AD6153" s="13"/>
      <c r="AE6153" s="13"/>
      <c r="AF6153" s="13"/>
      <c r="AG6153" s="13"/>
      <c r="AH6153" s="13"/>
      <c r="AI6153" s="13"/>
      <c r="AJ6153" s="13"/>
      <c r="AK6153" s="13"/>
      <c r="AL6153" s="13"/>
      <c r="AM6153" s="13"/>
      <c r="AN6153" s="13"/>
      <c r="AO6153" s="13"/>
      <c r="AP6153" s="13"/>
      <c r="AQ6153" s="13"/>
      <c r="AR6153" s="13"/>
      <c r="AS6153" s="13"/>
    </row>
    <row r="6154" ht="14.25" customHeight="1">
      <c r="A6154" s="13"/>
      <c r="B6154" s="13"/>
      <c r="C6154" s="13"/>
      <c r="D6154" s="13"/>
      <c r="E6154" s="13"/>
      <c r="F6154" s="13"/>
      <c r="G6154" s="13"/>
      <c r="H6154" s="13"/>
      <c r="I6154" s="13"/>
      <c r="J6154" s="13"/>
      <c r="K6154" s="15"/>
      <c r="L6154" s="15"/>
      <c r="M6154" s="16"/>
      <c r="N6154" s="16"/>
      <c r="O6154" s="17"/>
      <c r="P6154" s="17"/>
      <c r="Q6154" s="13"/>
      <c r="R6154" s="13"/>
      <c r="S6154" s="13"/>
      <c r="T6154" s="13"/>
      <c r="U6154" s="13"/>
      <c r="V6154" s="13"/>
      <c r="W6154" s="13"/>
      <c r="X6154" s="13"/>
      <c r="Y6154" s="13"/>
      <c r="Z6154" s="13"/>
      <c r="AA6154" s="13"/>
      <c r="AB6154" s="13"/>
      <c r="AC6154" s="13"/>
      <c r="AD6154" s="13"/>
      <c r="AE6154" s="13"/>
      <c r="AF6154" s="13"/>
      <c r="AG6154" s="13"/>
      <c r="AH6154" s="13"/>
      <c r="AI6154" s="13"/>
      <c r="AJ6154" s="13"/>
      <c r="AK6154" s="13"/>
      <c r="AL6154" s="13"/>
      <c r="AM6154" s="13"/>
      <c r="AN6154" s="13"/>
      <c r="AO6154" s="13"/>
      <c r="AP6154" s="13"/>
      <c r="AQ6154" s="13"/>
      <c r="AR6154" s="13"/>
      <c r="AS6154" s="13"/>
    </row>
    <row r="6155" ht="14.25" customHeight="1">
      <c r="A6155" s="13"/>
      <c r="B6155" s="13"/>
      <c r="C6155" s="13"/>
      <c r="D6155" s="13"/>
      <c r="E6155" s="13"/>
      <c r="F6155" s="13"/>
      <c r="G6155" s="13"/>
      <c r="H6155" s="13"/>
      <c r="I6155" s="13"/>
      <c r="J6155" s="13"/>
      <c r="K6155" s="15"/>
      <c r="L6155" s="15"/>
      <c r="M6155" s="16"/>
      <c r="N6155" s="16"/>
      <c r="O6155" s="17"/>
      <c r="P6155" s="17"/>
      <c r="Q6155" s="13"/>
      <c r="R6155" s="13"/>
      <c r="S6155" s="13"/>
      <c r="T6155" s="13"/>
      <c r="U6155" s="13"/>
      <c r="V6155" s="13"/>
      <c r="W6155" s="13"/>
      <c r="X6155" s="13"/>
      <c r="Y6155" s="13"/>
      <c r="Z6155" s="13"/>
      <c r="AA6155" s="13"/>
      <c r="AB6155" s="13"/>
      <c r="AC6155" s="13"/>
      <c r="AD6155" s="13"/>
      <c r="AE6155" s="13"/>
      <c r="AF6155" s="13"/>
      <c r="AG6155" s="13"/>
      <c r="AH6155" s="13"/>
      <c r="AI6155" s="13"/>
      <c r="AJ6155" s="13"/>
      <c r="AK6155" s="13"/>
      <c r="AL6155" s="13"/>
      <c r="AM6155" s="13"/>
      <c r="AN6155" s="13"/>
      <c r="AO6155" s="13"/>
      <c r="AP6155" s="13"/>
      <c r="AQ6155" s="13"/>
      <c r="AR6155" s="13"/>
      <c r="AS6155" s="13"/>
    </row>
    <row r="6156" ht="14.25" customHeight="1">
      <c r="A6156" s="13"/>
      <c r="B6156" s="13"/>
      <c r="C6156" s="13"/>
      <c r="D6156" s="13"/>
      <c r="E6156" s="13"/>
      <c r="F6156" s="13"/>
      <c r="G6156" s="13"/>
      <c r="H6156" s="13"/>
      <c r="I6156" s="13"/>
      <c r="J6156" s="13"/>
      <c r="K6156" s="15"/>
      <c r="L6156" s="15"/>
      <c r="M6156" s="16"/>
      <c r="N6156" s="16"/>
      <c r="O6156" s="17"/>
      <c r="P6156" s="17"/>
      <c r="Q6156" s="13"/>
      <c r="R6156" s="13"/>
      <c r="S6156" s="13"/>
      <c r="T6156" s="13"/>
      <c r="U6156" s="13"/>
      <c r="V6156" s="13"/>
      <c r="W6156" s="13"/>
      <c r="X6156" s="13"/>
      <c r="Y6156" s="13"/>
      <c r="Z6156" s="13"/>
      <c r="AA6156" s="13"/>
      <c r="AB6156" s="13"/>
      <c r="AC6156" s="13"/>
      <c r="AD6156" s="13"/>
      <c r="AE6156" s="13"/>
      <c r="AF6156" s="13"/>
      <c r="AG6156" s="13"/>
      <c r="AH6156" s="13"/>
      <c r="AI6156" s="13"/>
      <c r="AJ6156" s="13"/>
      <c r="AK6156" s="13"/>
      <c r="AL6156" s="13"/>
      <c r="AM6156" s="13"/>
      <c r="AN6156" s="13"/>
      <c r="AO6156" s="13"/>
      <c r="AP6156" s="13"/>
      <c r="AQ6156" s="13"/>
      <c r="AR6156" s="13"/>
      <c r="AS6156" s="13"/>
    </row>
    <row r="6157" ht="14.25" customHeight="1">
      <c r="A6157" s="13"/>
      <c r="B6157" s="13"/>
      <c r="C6157" s="13"/>
      <c r="D6157" s="13"/>
      <c r="E6157" s="13"/>
      <c r="F6157" s="13"/>
      <c r="G6157" s="13"/>
      <c r="H6157" s="13"/>
      <c r="I6157" s="13"/>
      <c r="J6157" s="13"/>
      <c r="K6157" s="15"/>
      <c r="L6157" s="15"/>
      <c r="M6157" s="16"/>
      <c r="N6157" s="16"/>
      <c r="O6157" s="17"/>
      <c r="P6157" s="17"/>
      <c r="Q6157" s="13"/>
      <c r="R6157" s="13"/>
      <c r="S6157" s="13"/>
      <c r="T6157" s="13"/>
      <c r="U6157" s="13"/>
      <c r="V6157" s="13"/>
      <c r="W6157" s="13"/>
      <c r="X6157" s="13"/>
      <c r="Y6157" s="13"/>
      <c r="Z6157" s="13"/>
      <c r="AA6157" s="13"/>
      <c r="AB6157" s="13"/>
      <c r="AC6157" s="13"/>
      <c r="AD6157" s="13"/>
      <c r="AE6157" s="13"/>
      <c r="AF6157" s="13"/>
      <c r="AG6157" s="13"/>
      <c r="AH6157" s="13"/>
      <c r="AI6157" s="13"/>
      <c r="AJ6157" s="13"/>
      <c r="AK6157" s="13"/>
      <c r="AL6157" s="13"/>
      <c r="AM6157" s="13"/>
      <c r="AN6157" s="13"/>
      <c r="AO6157" s="13"/>
      <c r="AP6157" s="13"/>
      <c r="AQ6157" s="13"/>
      <c r="AR6157" s="13"/>
      <c r="AS6157" s="13"/>
    </row>
    <row r="6158" ht="14.25" customHeight="1">
      <c r="A6158" s="13"/>
      <c r="B6158" s="13"/>
      <c r="C6158" s="13"/>
      <c r="D6158" s="13"/>
      <c r="E6158" s="13"/>
      <c r="F6158" s="13"/>
      <c r="G6158" s="13"/>
      <c r="H6158" s="13"/>
      <c r="I6158" s="13"/>
      <c r="J6158" s="13"/>
      <c r="K6158" s="15"/>
      <c r="L6158" s="15"/>
      <c r="M6158" s="16"/>
      <c r="N6158" s="16"/>
      <c r="O6158" s="17"/>
      <c r="P6158" s="17"/>
      <c r="Q6158" s="13"/>
      <c r="R6158" s="13"/>
      <c r="S6158" s="13"/>
      <c r="T6158" s="13"/>
      <c r="U6158" s="13"/>
      <c r="V6158" s="13"/>
      <c r="W6158" s="13"/>
      <c r="X6158" s="13"/>
      <c r="Y6158" s="13"/>
      <c r="Z6158" s="13"/>
      <c r="AA6158" s="13"/>
      <c r="AB6158" s="13"/>
      <c r="AC6158" s="13"/>
      <c r="AD6158" s="13"/>
      <c r="AE6158" s="13"/>
      <c r="AF6158" s="13"/>
      <c r="AG6158" s="13"/>
      <c r="AH6158" s="13"/>
      <c r="AI6158" s="13"/>
      <c r="AJ6158" s="13"/>
      <c r="AK6158" s="13"/>
      <c r="AL6158" s="13"/>
      <c r="AM6158" s="13"/>
      <c r="AN6158" s="13"/>
      <c r="AO6158" s="13"/>
      <c r="AP6158" s="13"/>
      <c r="AQ6158" s="13"/>
      <c r="AR6158" s="13"/>
      <c r="AS6158" s="13"/>
    </row>
    <row r="6159" ht="14.25" customHeight="1">
      <c r="A6159" s="13"/>
      <c r="B6159" s="13"/>
      <c r="C6159" s="13"/>
      <c r="D6159" s="13"/>
      <c r="E6159" s="13"/>
      <c r="F6159" s="13"/>
      <c r="G6159" s="13"/>
      <c r="H6159" s="13"/>
      <c r="I6159" s="13"/>
      <c r="J6159" s="13"/>
      <c r="K6159" s="15"/>
      <c r="L6159" s="15"/>
      <c r="M6159" s="16"/>
      <c r="N6159" s="16"/>
      <c r="O6159" s="17"/>
      <c r="P6159" s="17"/>
      <c r="Q6159" s="13"/>
      <c r="R6159" s="13"/>
      <c r="S6159" s="13"/>
      <c r="T6159" s="13"/>
      <c r="U6159" s="13"/>
      <c r="V6159" s="13"/>
      <c r="W6159" s="13"/>
      <c r="X6159" s="13"/>
      <c r="Y6159" s="13"/>
      <c r="Z6159" s="13"/>
      <c r="AA6159" s="13"/>
      <c r="AB6159" s="13"/>
      <c r="AC6159" s="13"/>
      <c r="AD6159" s="13"/>
      <c r="AE6159" s="13"/>
      <c r="AF6159" s="13"/>
      <c r="AG6159" s="13"/>
      <c r="AH6159" s="13"/>
      <c r="AI6159" s="13"/>
      <c r="AJ6159" s="13"/>
      <c r="AK6159" s="13"/>
      <c r="AL6159" s="13"/>
      <c r="AM6159" s="13"/>
      <c r="AN6159" s="13"/>
      <c r="AO6159" s="13"/>
      <c r="AP6159" s="13"/>
      <c r="AQ6159" s="13"/>
      <c r="AR6159" s="13"/>
      <c r="AS6159" s="13"/>
    </row>
    <row r="6160" ht="14.25" customHeight="1">
      <c r="A6160" s="13"/>
      <c r="B6160" s="13"/>
      <c r="C6160" s="13"/>
      <c r="D6160" s="13"/>
      <c r="E6160" s="13"/>
      <c r="F6160" s="13"/>
      <c r="G6160" s="13"/>
      <c r="H6160" s="13"/>
      <c r="I6160" s="13"/>
      <c r="J6160" s="13"/>
      <c r="K6160" s="15"/>
      <c r="L6160" s="15"/>
      <c r="M6160" s="16"/>
      <c r="N6160" s="16"/>
      <c r="O6160" s="17"/>
      <c r="P6160" s="17"/>
      <c r="Q6160" s="13"/>
      <c r="R6160" s="13"/>
      <c r="S6160" s="13"/>
      <c r="T6160" s="13"/>
      <c r="U6160" s="13"/>
      <c r="V6160" s="13"/>
      <c r="W6160" s="13"/>
      <c r="X6160" s="13"/>
      <c r="Y6160" s="13"/>
      <c r="Z6160" s="13"/>
      <c r="AA6160" s="13"/>
      <c r="AB6160" s="13"/>
      <c r="AC6160" s="13"/>
      <c r="AD6160" s="13"/>
      <c r="AE6160" s="13"/>
      <c r="AF6160" s="13"/>
      <c r="AG6160" s="13"/>
      <c r="AH6160" s="13"/>
      <c r="AI6160" s="13"/>
      <c r="AJ6160" s="13"/>
      <c r="AK6160" s="13"/>
      <c r="AL6160" s="13"/>
      <c r="AM6160" s="13"/>
      <c r="AN6160" s="13"/>
      <c r="AO6160" s="13"/>
      <c r="AP6160" s="13"/>
      <c r="AQ6160" s="13"/>
      <c r="AR6160" s="13"/>
      <c r="AS6160" s="13"/>
    </row>
    <row r="6161" ht="14.25" customHeight="1">
      <c r="A6161" s="13"/>
      <c r="B6161" s="13"/>
      <c r="C6161" s="13"/>
      <c r="D6161" s="13"/>
      <c r="E6161" s="13"/>
      <c r="F6161" s="13"/>
      <c r="G6161" s="13"/>
      <c r="H6161" s="13"/>
      <c r="I6161" s="13"/>
      <c r="J6161" s="13"/>
      <c r="K6161" s="15"/>
      <c r="L6161" s="15"/>
      <c r="M6161" s="16"/>
      <c r="N6161" s="16"/>
      <c r="O6161" s="17"/>
      <c r="P6161" s="17"/>
      <c r="Q6161" s="13"/>
      <c r="R6161" s="13"/>
      <c r="S6161" s="13"/>
      <c r="T6161" s="13"/>
      <c r="U6161" s="13"/>
      <c r="V6161" s="13"/>
      <c r="W6161" s="13"/>
      <c r="X6161" s="13"/>
      <c r="Y6161" s="13"/>
      <c r="Z6161" s="13"/>
      <c r="AA6161" s="13"/>
      <c r="AB6161" s="13"/>
      <c r="AC6161" s="13"/>
      <c r="AD6161" s="13"/>
      <c r="AE6161" s="13"/>
      <c r="AF6161" s="13"/>
      <c r="AG6161" s="13"/>
      <c r="AH6161" s="13"/>
      <c r="AI6161" s="13"/>
      <c r="AJ6161" s="13"/>
      <c r="AK6161" s="13"/>
      <c r="AL6161" s="13"/>
      <c r="AM6161" s="13"/>
      <c r="AN6161" s="13"/>
      <c r="AO6161" s="13"/>
      <c r="AP6161" s="13"/>
      <c r="AQ6161" s="13"/>
      <c r="AR6161" s="13"/>
      <c r="AS6161" s="13"/>
    </row>
    <row r="6162" ht="14.25" customHeight="1">
      <c r="A6162" s="13"/>
      <c r="B6162" s="13"/>
      <c r="C6162" s="13"/>
      <c r="D6162" s="13"/>
      <c r="E6162" s="13"/>
      <c r="F6162" s="13"/>
      <c r="G6162" s="13"/>
      <c r="H6162" s="13"/>
      <c r="I6162" s="13"/>
      <c r="J6162" s="13"/>
      <c r="K6162" s="15"/>
      <c r="L6162" s="15"/>
      <c r="M6162" s="16"/>
      <c r="N6162" s="16"/>
      <c r="O6162" s="17"/>
      <c r="P6162" s="17"/>
      <c r="Q6162" s="13"/>
      <c r="R6162" s="13"/>
      <c r="S6162" s="13"/>
      <c r="T6162" s="13"/>
      <c r="U6162" s="13"/>
      <c r="V6162" s="13"/>
      <c r="W6162" s="13"/>
      <c r="X6162" s="13"/>
      <c r="Y6162" s="13"/>
      <c r="Z6162" s="13"/>
      <c r="AA6162" s="13"/>
      <c r="AB6162" s="13"/>
      <c r="AC6162" s="13"/>
      <c r="AD6162" s="13"/>
      <c r="AE6162" s="13"/>
      <c r="AF6162" s="13"/>
      <c r="AG6162" s="13"/>
      <c r="AH6162" s="13"/>
      <c r="AI6162" s="13"/>
      <c r="AJ6162" s="13"/>
      <c r="AK6162" s="13"/>
      <c r="AL6162" s="13"/>
      <c r="AM6162" s="13"/>
      <c r="AN6162" s="13"/>
      <c r="AO6162" s="13"/>
      <c r="AP6162" s="13"/>
      <c r="AQ6162" s="13"/>
      <c r="AR6162" s="13"/>
      <c r="AS6162" s="13"/>
    </row>
    <row r="6163" ht="14.25" customHeight="1">
      <c r="A6163" s="13"/>
      <c r="B6163" s="13"/>
      <c r="C6163" s="13"/>
      <c r="D6163" s="13"/>
      <c r="E6163" s="13"/>
      <c r="F6163" s="13"/>
      <c r="G6163" s="13"/>
      <c r="H6163" s="13"/>
      <c r="I6163" s="13"/>
      <c r="J6163" s="13"/>
      <c r="K6163" s="15"/>
      <c r="L6163" s="15"/>
      <c r="M6163" s="16"/>
      <c r="N6163" s="16"/>
      <c r="O6163" s="17"/>
      <c r="P6163" s="17"/>
      <c r="Q6163" s="13"/>
      <c r="R6163" s="13"/>
      <c r="S6163" s="13"/>
      <c r="T6163" s="13"/>
      <c r="U6163" s="13"/>
      <c r="V6163" s="13"/>
      <c r="W6163" s="13"/>
      <c r="X6163" s="13"/>
      <c r="Y6163" s="13"/>
      <c r="Z6163" s="13"/>
      <c r="AA6163" s="13"/>
      <c r="AB6163" s="13"/>
      <c r="AC6163" s="13"/>
      <c r="AD6163" s="13"/>
      <c r="AE6163" s="13"/>
      <c r="AF6163" s="13"/>
      <c r="AG6163" s="13"/>
      <c r="AH6163" s="13"/>
      <c r="AI6163" s="13"/>
      <c r="AJ6163" s="13"/>
      <c r="AK6163" s="13"/>
      <c r="AL6163" s="13"/>
      <c r="AM6163" s="13"/>
      <c r="AN6163" s="13"/>
      <c r="AO6163" s="13"/>
      <c r="AP6163" s="13"/>
      <c r="AQ6163" s="13"/>
      <c r="AR6163" s="13"/>
      <c r="AS6163" s="13"/>
    </row>
    <row r="6164" ht="14.25" customHeight="1">
      <c r="A6164" s="13"/>
      <c r="B6164" s="13"/>
      <c r="C6164" s="13"/>
      <c r="D6164" s="13"/>
      <c r="E6164" s="13"/>
      <c r="F6164" s="13"/>
      <c r="G6164" s="13"/>
      <c r="H6164" s="13"/>
      <c r="I6164" s="13"/>
      <c r="J6164" s="13"/>
      <c r="K6164" s="15"/>
      <c r="L6164" s="15"/>
      <c r="M6164" s="16"/>
      <c r="N6164" s="16"/>
      <c r="O6164" s="17"/>
      <c r="P6164" s="17"/>
      <c r="Q6164" s="13"/>
      <c r="R6164" s="13"/>
      <c r="S6164" s="13"/>
      <c r="T6164" s="13"/>
      <c r="U6164" s="13"/>
      <c r="V6164" s="13"/>
      <c r="W6164" s="13"/>
      <c r="X6164" s="13"/>
      <c r="Y6164" s="13"/>
      <c r="Z6164" s="13"/>
      <c r="AA6164" s="13"/>
      <c r="AB6164" s="13"/>
      <c r="AC6164" s="13"/>
      <c r="AD6164" s="13"/>
      <c r="AE6164" s="13"/>
      <c r="AF6164" s="13"/>
      <c r="AG6164" s="13"/>
      <c r="AH6164" s="13"/>
      <c r="AI6164" s="13"/>
      <c r="AJ6164" s="13"/>
      <c r="AK6164" s="13"/>
      <c r="AL6164" s="13"/>
      <c r="AM6164" s="13"/>
      <c r="AN6164" s="13"/>
      <c r="AO6164" s="13"/>
      <c r="AP6164" s="13"/>
      <c r="AQ6164" s="13"/>
      <c r="AR6164" s="13"/>
      <c r="AS6164" s="13"/>
    </row>
    <row r="6165" ht="14.25" customHeight="1">
      <c r="A6165" s="13"/>
      <c r="B6165" s="13"/>
      <c r="C6165" s="13"/>
      <c r="D6165" s="13"/>
      <c r="E6165" s="13"/>
      <c r="F6165" s="13"/>
      <c r="G6165" s="13"/>
      <c r="H6165" s="13"/>
      <c r="I6165" s="13"/>
      <c r="J6165" s="13"/>
      <c r="K6165" s="15"/>
      <c r="L6165" s="15"/>
      <c r="M6165" s="16"/>
      <c r="N6165" s="16"/>
      <c r="O6165" s="17"/>
      <c r="P6165" s="17"/>
      <c r="Q6165" s="13"/>
      <c r="R6165" s="13"/>
      <c r="S6165" s="13"/>
      <c r="T6165" s="13"/>
      <c r="U6165" s="13"/>
      <c r="V6165" s="13"/>
      <c r="W6165" s="13"/>
      <c r="X6165" s="13"/>
      <c r="Y6165" s="13"/>
      <c r="Z6165" s="13"/>
      <c r="AA6165" s="13"/>
      <c r="AB6165" s="13"/>
      <c r="AC6165" s="13"/>
      <c r="AD6165" s="13"/>
      <c r="AE6165" s="13"/>
      <c r="AF6165" s="13"/>
      <c r="AG6165" s="13"/>
      <c r="AH6165" s="13"/>
      <c r="AI6165" s="13"/>
      <c r="AJ6165" s="13"/>
      <c r="AK6165" s="13"/>
      <c r="AL6165" s="13"/>
      <c r="AM6165" s="13"/>
      <c r="AN6165" s="13"/>
      <c r="AO6165" s="13"/>
      <c r="AP6165" s="13"/>
      <c r="AQ6165" s="13"/>
      <c r="AR6165" s="13"/>
      <c r="AS6165" s="13"/>
    </row>
    <row r="6166" ht="14.25" customHeight="1">
      <c r="A6166" s="13"/>
      <c r="B6166" s="13"/>
      <c r="C6166" s="13"/>
      <c r="D6166" s="13"/>
      <c r="E6166" s="13"/>
      <c r="F6166" s="13"/>
      <c r="G6166" s="13"/>
      <c r="H6166" s="13"/>
      <c r="I6166" s="13"/>
      <c r="J6166" s="13"/>
      <c r="K6166" s="15"/>
      <c r="L6166" s="15"/>
      <c r="M6166" s="16"/>
      <c r="N6166" s="16"/>
      <c r="O6166" s="17"/>
      <c r="P6166" s="17"/>
      <c r="Q6166" s="13"/>
      <c r="R6166" s="13"/>
      <c r="S6166" s="13"/>
      <c r="T6166" s="13"/>
      <c r="U6166" s="13"/>
      <c r="V6166" s="13"/>
      <c r="W6166" s="13"/>
      <c r="X6166" s="13"/>
      <c r="Y6166" s="13"/>
      <c r="Z6166" s="13"/>
      <c r="AA6166" s="13"/>
      <c r="AB6166" s="13"/>
      <c r="AC6166" s="13"/>
      <c r="AD6166" s="13"/>
      <c r="AE6166" s="13"/>
      <c r="AF6166" s="13"/>
      <c r="AG6166" s="13"/>
      <c r="AH6166" s="13"/>
      <c r="AI6166" s="13"/>
      <c r="AJ6166" s="13"/>
      <c r="AK6166" s="13"/>
      <c r="AL6166" s="13"/>
      <c r="AM6166" s="13"/>
      <c r="AN6166" s="13"/>
      <c r="AO6166" s="13"/>
      <c r="AP6166" s="13"/>
      <c r="AQ6166" s="13"/>
      <c r="AR6166" s="13"/>
      <c r="AS6166" s="13"/>
    </row>
    <row r="6167" ht="14.25" customHeight="1">
      <c r="A6167" s="13"/>
      <c r="B6167" s="13"/>
      <c r="C6167" s="13"/>
      <c r="D6167" s="13"/>
      <c r="E6167" s="13"/>
      <c r="F6167" s="13"/>
      <c r="G6167" s="13"/>
      <c r="H6167" s="13"/>
      <c r="I6167" s="13"/>
      <c r="J6167" s="13"/>
      <c r="K6167" s="15"/>
      <c r="L6167" s="15"/>
      <c r="M6167" s="16"/>
      <c r="N6167" s="16"/>
      <c r="O6167" s="17"/>
      <c r="P6167" s="17"/>
      <c r="Q6167" s="13"/>
      <c r="R6167" s="13"/>
      <c r="S6167" s="13"/>
      <c r="T6167" s="13"/>
      <c r="U6167" s="13"/>
      <c r="V6167" s="13"/>
      <c r="W6167" s="13"/>
      <c r="X6167" s="13"/>
      <c r="Y6167" s="13"/>
      <c r="Z6167" s="13"/>
      <c r="AA6167" s="13"/>
      <c r="AB6167" s="13"/>
      <c r="AC6167" s="13"/>
      <c r="AD6167" s="13"/>
      <c r="AE6167" s="13"/>
      <c r="AF6167" s="13"/>
      <c r="AG6167" s="13"/>
      <c r="AH6167" s="13"/>
      <c r="AI6167" s="13"/>
      <c r="AJ6167" s="13"/>
      <c r="AK6167" s="13"/>
      <c r="AL6167" s="13"/>
      <c r="AM6167" s="13"/>
      <c r="AN6167" s="13"/>
      <c r="AO6167" s="13"/>
      <c r="AP6167" s="13"/>
      <c r="AQ6167" s="13"/>
      <c r="AR6167" s="13"/>
      <c r="AS6167" s="13"/>
    </row>
    <row r="6168" ht="14.25" customHeight="1">
      <c r="A6168" s="13"/>
      <c r="B6168" s="13"/>
      <c r="C6168" s="13"/>
      <c r="D6168" s="13"/>
      <c r="E6168" s="13"/>
      <c r="F6168" s="13"/>
      <c r="G6168" s="13"/>
      <c r="H6168" s="13"/>
      <c r="I6168" s="13"/>
      <c r="J6168" s="13"/>
      <c r="K6168" s="15"/>
      <c r="L6168" s="15"/>
      <c r="M6168" s="16"/>
      <c r="N6168" s="16"/>
      <c r="O6168" s="17"/>
      <c r="P6168" s="17"/>
      <c r="Q6168" s="13"/>
      <c r="R6168" s="13"/>
      <c r="S6168" s="13"/>
      <c r="T6168" s="13"/>
      <c r="U6168" s="13"/>
      <c r="V6168" s="13"/>
      <c r="W6168" s="13"/>
      <c r="X6168" s="13"/>
      <c r="Y6168" s="13"/>
      <c r="Z6168" s="13"/>
      <c r="AA6168" s="13"/>
      <c r="AB6168" s="13"/>
      <c r="AC6168" s="13"/>
      <c r="AD6168" s="13"/>
      <c r="AE6168" s="13"/>
      <c r="AF6168" s="13"/>
      <c r="AG6168" s="13"/>
      <c r="AH6168" s="13"/>
      <c r="AI6168" s="13"/>
      <c r="AJ6168" s="13"/>
      <c r="AK6168" s="13"/>
      <c r="AL6168" s="13"/>
      <c r="AM6168" s="13"/>
      <c r="AN6168" s="13"/>
      <c r="AO6168" s="13"/>
      <c r="AP6168" s="13"/>
      <c r="AQ6168" s="13"/>
      <c r="AR6168" s="13"/>
      <c r="AS6168" s="13"/>
    </row>
    <row r="6169" ht="14.25" customHeight="1">
      <c r="A6169" s="13"/>
      <c r="B6169" s="13"/>
      <c r="C6169" s="13"/>
      <c r="D6169" s="13"/>
      <c r="E6169" s="13"/>
      <c r="F6169" s="13"/>
      <c r="G6169" s="13"/>
      <c r="H6169" s="13"/>
      <c r="I6169" s="13"/>
      <c r="J6169" s="13"/>
      <c r="K6169" s="15"/>
      <c r="L6169" s="15"/>
      <c r="M6169" s="16"/>
      <c r="N6169" s="16"/>
      <c r="O6169" s="17"/>
      <c r="P6169" s="17"/>
      <c r="Q6169" s="13"/>
      <c r="R6169" s="13"/>
      <c r="S6169" s="13"/>
      <c r="T6169" s="13"/>
      <c r="U6169" s="13"/>
      <c r="V6169" s="13"/>
      <c r="W6169" s="13"/>
      <c r="X6169" s="13"/>
      <c r="Y6169" s="13"/>
      <c r="Z6169" s="13"/>
      <c r="AA6169" s="13"/>
      <c r="AB6169" s="13"/>
      <c r="AC6169" s="13"/>
      <c r="AD6169" s="13"/>
      <c r="AE6169" s="13"/>
      <c r="AF6169" s="13"/>
      <c r="AG6169" s="13"/>
      <c r="AH6169" s="13"/>
      <c r="AI6169" s="13"/>
      <c r="AJ6169" s="13"/>
      <c r="AK6169" s="13"/>
      <c r="AL6169" s="13"/>
      <c r="AM6169" s="13"/>
      <c r="AN6169" s="13"/>
      <c r="AO6169" s="13"/>
      <c r="AP6169" s="13"/>
      <c r="AQ6169" s="13"/>
      <c r="AR6169" s="13"/>
      <c r="AS6169" s="13"/>
    </row>
    <row r="6170" ht="14.25" customHeight="1">
      <c r="A6170" s="13"/>
      <c r="B6170" s="13"/>
      <c r="C6170" s="13"/>
      <c r="D6170" s="13"/>
      <c r="E6170" s="13"/>
      <c r="F6170" s="13"/>
      <c r="G6170" s="13"/>
      <c r="H6170" s="13"/>
      <c r="I6170" s="13"/>
      <c r="J6170" s="13"/>
      <c r="K6170" s="15"/>
      <c r="L6170" s="15"/>
      <c r="M6170" s="16"/>
      <c r="N6170" s="16"/>
      <c r="O6170" s="17"/>
      <c r="P6170" s="17"/>
      <c r="Q6170" s="13"/>
      <c r="R6170" s="13"/>
      <c r="S6170" s="13"/>
      <c r="T6170" s="13"/>
      <c r="U6170" s="13"/>
      <c r="V6170" s="13"/>
      <c r="W6170" s="13"/>
      <c r="X6170" s="13"/>
      <c r="Y6170" s="13"/>
      <c r="Z6170" s="13"/>
      <c r="AA6170" s="13"/>
      <c r="AB6170" s="13"/>
      <c r="AC6170" s="13"/>
      <c r="AD6170" s="13"/>
      <c r="AE6170" s="13"/>
      <c r="AF6170" s="13"/>
      <c r="AG6170" s="13"/>
      <c r="AH6170" s="13"/>
      <c r="AI6170" s="13"/>
      <c r="AJ6170" s="13"/>
      <c r="AK6170" s="13"/>
      <c r="AL6170" s="13"/>
      <c r="AM6170" s="13"/>
      <c r="AN6170" s="13"/>
      <c r="AO6170" s="13"/>
      <c r="AP6170" s="13"/>
      <c r="AQ6170" s="13"/>
      <c r="AR6170" s="13"/>
      <c r="AS6170" s="13"/>
    </row>
    <row r="6171" ht="14.25" customHeight="1">
      <c r="A6171" s="13"/>
      <c r="B6171" s="13"/>
      <c r="C6171" s="13"/>
      <c r="D6171" s="13"/>
      <c r="E6171" s="13"/>
      <c r="F6171" s="13"/>
      <c r="G6171" s="13"/>
      <c r="H6171" s="13"/>
      <c r="I6171" s="13"/>
      <c r="J6171" s="13"/>
      <c r="K6171" s="15"/>
      <c r="L6171" s="15"/>
      <c r="M6171" s="16"/>
      <c r="N6171" s="16"/>
      <c r="O6171" s="17"/>
      <c r="P6171" s="17"/>
      <c r="Q6171" s="13"/>
      <c r="R6171" s="13"/>
      <c r="S6171" s="13"/>
      <c r="T6171" s="13"/>
      <c r="U6171" s="13"/>
      <c r="V6171" s="13"/>
      <c r="W6171" s="13"/>
      <c r="X6171" s="13"/>
      <c r="Y6171" s="13"/>
      <c r="Z6171" s="13"/>
      <c r="AA6171" s="13"/>
      <c r="AB6171" s="13"/>
      <c r="AC6171" s="13"/>
      <c r="AD6171" s="13"/>
      <c r="AE6171" s="13"/>
      <c r="AF6171" s="13"/>
      <c r="AG6171" s="13"/>
      <c r="AH6171" s="13"/>
      <c r="AI6171" s="13"/>
      <c r="AJ6171" s="13"/>
      <c r="AK6171" s="13"/>
      <c r="AL6171" s="13"/>
      <c r="AM6171" s="13"/>
      <c r="AN6171" s="13"/>
      <c r="AO6171" s="13"/>
      <c r="AP6171" s="13"/>
      <c r="AQ6171" s="13"/>
      <c r="AR6171" s="13"/>
      <c r="AS6171" s="13"/>
    </row>
    <row r="6172" ht="14.25" customHeight="1">
      <c r="A6172" s="13"/>
      <c r="B6172" s="13"/>
      <c r="C6172" s="13"/>
      <c r="D6172" s="13"/>
      <c r="E6172" s="13"/>
      <c r="F6172" s="13"/>
      <c r="G6172" s="13"/>
      <c r="H6172" s="13"/>
      <c r="I6172" s="13"/>
      <c r="J6172" s="13"/>
      <c r="K6172" s="15"/>
      <c r="L6172" s="15"/>
      <c r="M6172" s="16"/>
      <c r="N6172" s="16"/>
      <c r="O6172" s="17"/>
      <c r="P6172" s="17"/>
      <c r="Q6172" s="13"/>
      <c r="R6172" s="13"/>
      <c r="S6172" s="13"/>
      <c r="T6172" s="13"/>
      <c r="U6172" s="13"/>
      <c r="V6172" s="13"/>
      <c r="W6172" s="13"/>
      <c r="X6172" s="13"/>
      <c r="Y6172" s="13"/>
      <c r="Z6172" s="13"/>
      <c r="AA6172" s="13"/>
      <c r="AB6172" s="13"/>
      <c r="AC6172" s="13"/>
      <c r="AD6172" s="13"/>
      <c r="AE6172" s="13"/>
      <c r="AF6172" s="13"/>
      <c r="AG6172" s="13"/>
      <c r="AH6172" s="13"/>
      <c r="AI6172" s="13"/>
      <c r="AJ6172" s="13"/>
      <c r="AK6172" s="13"/>
      <c r="AL6172" s="13"/>
      <c r="AM6172" s="13"/>
      <c r="AN6172" s="13"/>
      <c r="AO6172" s="13"/>
      <c r="AP6172" s="13"/>
      <c r="AQ6172" s="13"/>
      <c r="AR6172" s="13"/>
      <c r="AS6172" s="13"/>
    </row>
    <row r="6173" ht="14.25" customHeight="1">
      <c r="A6173" s="13"/>
      <c r="B6173" s="13"/>
      <c r="C6173" s="13"/>
      <c r="D6173" s="13"/>
      <c r="E6173" s="13"/>
      <c r="F6173" s="13"/>
      <c r="G6173" s="13"/>
      <c r="H6173" s="13"/>
      <c r="I6173" s="13"/>
      <c r="J6173" s="13"/>
      <c r="K6173" s="15"/>
      <c r="L6173" s="15"/>
      <c r="M6173" s="16"/>
      <c r="N6173" s="16"/>
      <c r="O6173" s="17"/>
      <c r="P6173" s="17"/>
      <c r="Q6173" s="13"/>
      <c r="R6173" s="13"/>
      <c r="S6173" s="13"/>
      <c r="T6173" s="13"/>
      <c r="U6173" s="13"/>
      <c r="V6173" s="13"/>
      <c r="W6173" s="13"/>
      <c r="X6173" s="13"/>
      <c r="Y6173" s="13"/>
      <c r="Z6173" s="13"/>
      <c r="AA6173" s="13"/>
      <c r="AB6173" s="13"/>
      <c r="AC6173" s="13"/>
      <c r="AD6173" s="13"/>
      <c r="AE6173" s="13"/>
      <c r="AF6173" s="13"/>
      <c r="AG6173" s="13"/>
      <c r="AH6173" s="13"/>
      <c r="AI6173" s="13"/>
      <c r="AJ6173" s="13"/>
      <c r="AK6173" s="13"/>
      <c r="AL6173" s="13"/>
      <c r="AM6173" s="13"/>
      <c r="AN6173" s="13"/>
      <c r="AO6173" s="13"/>
      <c r="AP6173" s="13"/>
      <c r="AQ6173" s="13"/>
      <c r="AR6173" s="13"/>
      <c r="AS6173" s="13"/>
    </row>
    <row r="6174" ht="14.25" customHeight="1">
      <c r="A6174" s="13"/>
      <c r="B6174" s="13"/>
      <c r="C6174" s="13"/>
      <c r="D6174" s="13"/>
      <c r="E6174" s="13"/>
      <c r="F6174" s="13"/>
      <c r="G6174" s="13"/>
      <c r="H6174" s="13"/>
      <c r="I6174" s="13"/>
      <c r="J6174" s="13"/>
      <c r="K6174" s="15"/>
      <c r="L6174" s="15"/>
      <c r="M6174" s="16"/>
      <c r="N6174" s="16"/>
      <c r="O6174" s="17"/>
      <c r="P6174" s="17"/>
      <c r="Q6174" s="13"/>
      <c r="R6174" s="13"/>
      <c r="S6174" s="13"/>
      <c r="T6174" s="13"/>
      <c r="U6174" s="13"/>
      <c r="V6174" s="13"/>
      <c r="W6174" s="13"/>
      <c r="X6174" s="13"/>
      <c r="Y6174" s="13"/>
      <c r="Z6174" s="13"/>
      <c r="AA6174" s="13"/>
      <c r="AB6174" s="13"/>
      <c r="AC6174" s="13"/>
      <c r="AD6174" s="13"/>
      <c r="AE6174" s="13"/>
      <c r="AF6174" s="13"/>
      <c r="AG6174" s="13"/>
      <c r="AH6174" s="13"/>
      <c r="AI6174" s="13"/>
      <c r="AJ6174" s="13"/>
      <c r="AK6174" s="13"/>
      <c r="AL6174" s="13"/>
      <c r="AM6174" s="13"/>
      <c r="AN6174" s="13"/>
      <c r="AO6174" s="13"/>
      <c r="AP6174" s="13"/>
      <c r="AQ6174" s="13"/>
      <c r="AR6174" s="13"/>
      <c r="AS6174" s="13"/>
    </row>
    <row r="6175" ht="14.25" customHeight="1">
      <c r="A6175" s="13"/>
      <c r="B6175" s="13"/>
      <c r="C6175" s="13"/>
      <c r="D6175" s="13"/>
      <c r="E6175" s="13"/>
      <c r="F6175" s="13"/>
      <c r="G6175" s="13"/>
      <c r="H6175" s="13"/>
      <c r="I6175" s="13"/>
      <c r="J6175" s="13"/>
      <c r="K6175" s="15"/>
      <c r="L6175" s="15"/>
      <c r="M6175" s="16"/>
      <c r="N6175" s="16"/>
      <c r="O6175" s="17"/>
      <c r="P6175" s="17"/>
      <c r="Q6175" s="13"/>
      <c r="R6175" s="13"/>
      <c r="S6175" s="13"/>
      <c r="T6175" s="13"/>
      <c r="U6175" s="13"/>
      <c r="V6175" s="13"/>
      <c r="W6175" s="13"/>
      <c r="X6175" s="13"/>
      <c r="Y6175" s="13"/>
      <c r="Z6175" s="13"/>
      <c r="AA6175" s="13"/>
      <c r="AB6175" s="13"/>
      <c r="AC6175" s="13"/>
      <c r="AD6175" s="13"/>
      <c r="AE6175" s="13"/>
      <c r="AF6175" s="13"/>
      <c r="AG6175" s="13"/>
      <c r="AH6175" s="13"/>
      <c r="AI6175" s="13"/>
      <c r="AJ6175" s="13"/>
      <c r="AK6175" s="13"/>
      <c r="AL6175" s="13"/>
      <c r="AM6175" s="13"/>
      <c r="AN6175" s="13"/>
      <c r="AO6175" s="13"/>
      <c r="AP6175" s="13"/>
      <c r="AQ6175" s="13"/>
      <c r="AR6175" s="13"/>
      <c r="AS6175" s="13"/>
    </row>
    <row r="6176" ht="14.25" customHeight="1">
      <c r="A6176" s="13"/>
      <c r="B6176" s="13"/>
      <c r="C6176" s="13"/>
      <c r="D6176" s="13"/>
      <c r="E6176" s="13"/>
      <c r="F6176" s="13"/>
      <c r="G6176" s="13"/>
      <c r="H6176" s="13"/>
      <c r="I6176" s="13"/>
      <c r="J6176" s="13"/>
      <c r="K6176" s="15"/>
      <c r="L6176" s="15"/>
      <c r="M6176" s="16"/>
      <c r="N6176" s="16"/>
      <c r="O6176" s="17"/>
      <c r="P6176" s="17"/>
      <c r="Q6176" s="13"/>
      <c r="R6176" s="13"/>
      <c r="S6176" s="13"/>
      <c r="T6176" s="13"/>
      <c r="U6176" s="13"/>
      <c r="V6176" s="13"/>
      <c r="W6176" s="13"/>
      <c r="X6176" s="13"/>
      <c r="Y6176" s="13"/>
      <c r="Z6176" s="13"/>
      <c r="AA6176" s="13"/>
      <c r="AB6176" s="13"/>
      <c r="AC6176" s="13"/>
      <c r="AD6176" s="13"/>
      <c r="AE6176" s="13"/>
      <c r="AF6176" s="13"/>
      <c r="AG6176" s="13"/>
      <c r="AH6176" s="13"/>
      <c r="AI6176" s="13"/>
      <c r="AJ6176" s="13"/>
      <c r="AK6176" s="13"/>
      <c r="AL6176" s="13"/>
      <c r="AM6176" s="13"/>
      <c r="AN6176" s="13"/>
      <c r="AO6176" s="13"/>
      <c r="AP6176" s="13"/>
      <c r="AQ6176" s="13"/>
      <c r="AR6176" s="13"/>
      <c r="AS6176" s="13"/>
    </row>
    <row r="6177" ht="14.25" customHeight="1">
      <c r="A6177" s="13"/>
      <c r="B6177" s="13"/>
      <c r="C6177" s="13"/>
      <c r="D6177" s="13"/>
      <c r="E6177" s="13"/>
      <c r="F6177" s="13"/>
      <c r="G6177" s="13"/>
      <c r="H6177" s="13"/>
      <c r="I6177" s="13"/>
      <c r="J6177" s="13"/>
      <c r="K6177" s="15"/>
      <c r="L6177" s="15"/>
      <c r="M6177" s="16"/>
      <c r="N6177" s="16"/>
      <c r="O6177" s="17"/>
      <c r="P6177" s="17"/>
      <c r="Q6177" s="13"/>
      <c r="R6177" s="13"/>
      <c r="S6177" s="13"/>
      <c r="T6177" s="13"/>
      <c r="U6177" s="13"/>
      <c r="V6177" s="13"/>
      <c r="W6177" s="13"/>
      <c r="X6177" s="13"/>
      <c r="Y6177" s="13"/>
      <c r="Z6177" s="13"/>
      <c r="AA6177" s="13"/>
      <c r="AB6177" s="13"/>
      <c r="AC6177" s="13"/>
      <c r="AD6177" s="13"/>
      <c r="AE6177" s="13"/>
      <c r="AF6177" s="13"/>
      <c r="AG6177" s="13"/>
      <c r="AH6177" s="13"/>
      <c r="AI6177" s="13"/>
      <c r="AJ6177" s="13"/>
      <c r="AK6177" s="13"/>
      <c r="AL6177" s="13"/>
      <c r="AM6177" s="13"/>
      <c r="AN6177" s="13"/>
      <c r="AO6177" s="13"/>
      <c r="AP6177" s="13"/>
      <c r="AQ6177" s="13"/>
      <c r="AR6177" s="13"/>
      <c r="AS6177" s="13"/>
    </row>
    <row r="6178" ht="14.25" customHeight="1">
      <c r="A6178" s="13"/>
      <c r="B6178" s="13"/>
      <c r="C6178" s="13"/>
      <c r="D6178" s="13"/>
      <c r="E6178" s="13"/>
      <c r="F6178" s="13"/>
      <c r="G6178" s="13"/>
      <c r="H6178" s="13"/>
      <c r="I6178" s="13"/>
      <c r="J6178" s="13"/>
      <c r="K6178" s="15"/>
      <c r="L6178" s="15"/>
      <c r="M6178" s="16"/>
      <c r="N6178" s="16"/>
      <c r="O6178" s="17"/>
      <c r="P6178" s="17"/>
      <c r="Q6178" s="13"/>
      <c r="R6178" s="13"/>
      <c r="S6178" s="13"/>
      <c r="T6178" s="13"/>
      <c r="U6178" s="13"/>
      <c r="V6178" s="13"/>
      <c r="W6178" s="13"/>
      <c r="X6178" s="13"/>
      <c r="Y6178" s="13"/>
      <c r="Z6178" s="13"/>
      <c r="AA6178" s="13"/>
      <c r="AB6178" s="13"/>
      <c r="AC6178" s="13"/>
      <c r="AD6178" s="13"/>
      <c r="AE6178" s="13"/>
      <c r="AF6178" s="13"/>
      <c r="AG6178" s="13"/>
      <c r="AH6178" s="13"/>
      <c r="AI6178" s="13"/>
      <c r="AJ6178" s="13"/>
      <c r="AK6178" s="13"/>
      <c r="AL6178" s="13"/>
      <c r="AM6178" s="13"/>
      <c r="AN6178" s="13"/>
      <c r="AO6178" s="13"/>
      <c r="AP6178" s="13"/>
      <c r="AQ6178" s="13"/>
      <c r="AR6178" s="13"/>
      <c r="AS6178" s="13"/>
    </row>
    <row r="6179" ht="14.25" customHeight="1">
      <c r="A6179" s="13"/>
      <c r="B6179" s="13"/>
      <c r="C6179" s="13"/>
      <c r="D6179" s="13"/>
      <c r="E6179" s="13"/>
      <c r="F6179" s="13"/>
      <c r="G6179" s="13"/>
      <c r="H6179" s="13"/>
      <c r="I6179" s="13"/>
      <c r="J6179" s="13"/>
      <c r="K6179" s="15"/>
      <c r="L6179" s="15"/>
      <c r="M6179" s="16"/>
      <c r="N6179" s="16"/>
      <c r="O6179" s="17"/>
      <c r="P6179" s="17"/>
      <c r="Q6179" s="13"/>
      <c r="R6179" s="13"/>
      <c r="S6179" s="13"/>
      <c r="T6179" s="13"/>
      <c r="U6179" s="13"/>
      <c r="V6179" s="13"/>
      <c r="W6179" s="13"/>
      <c r="X6179" s="13"/>
      <c r="Y6179" s="13"/>
      <c r="Z6179" s="13"/>
      <c r="AA6179" s="13"/>
      <c r="AB6179" s="13"/>
      <c r="AC6179" s="13"/>
      <c r="AD6179" s="13"/>
      <c r="AE6179" s="13"/>
      <c r="AF6179" s="13"/>
      <c r="AG6179" s="13"/>
      <c r="AH6179" s="13"/>
      <c r="AI6179" s="13"/>
      <c r="AJ6179" s="13"/>
      <c r="AK6179" s="13"/>
      <c r="AL6179" s="13"/>
      <c r="AM6179" s="13"/>
      <c r="AN6179" s="13"/>
      <c r="AO6179" s="13"/>
      <c r="AP6179" s="13"/>
      <c r="AQ6179" s="13"/>
      <c r="AR6179" s="13"/>
      <c r="AS6179" s="13"/>
    </row>
    <row r="6180" ht="14.25" customHeight="1">
      <c r="A6180" s="13"/>
      <c r="B6180" s="13"/>
      <c r="C6180" s="13"/>
      <c r="D6180" s="13"/>
      <c r="E6180" s="13"/>
      <c r="F6180" s="13"/>
      <c r="G6180" s="13"/>
      <c r="H6180" s="13"/>
      <c r="I6180" s="13"/>
      <c r="J6180" s="13"/>
      <c r="K6180" s="15"/>
      <c r="L6180" s="15"/>
      <c r="M6180" s="16"/>
      <c r="N6180" s="16"/>
      <c r="O6180" s="17"/>
      <c r="P6180" s="17"/>
      <c r="Q6180" s="13"/>
      <c r="R6180" s="13"/>
      <c r="S6180" s="13"/>
      <c r="T6180" s="13"/>
      <c r="U6180" s="13"/>
      <c r="V6180" s="13"/>
      <c r="W6180" s="13"/>
      <c r="X6180" s="13"/>
      <c r="Y6180" s="13"/>
      <c r="Z6180" s="13"/>
      <c r="AA6180" s="13"/>
      <c r="AB6180" s="13"/>
      <c r="AC6180" s="13"/>
      <c r="AD6180" s="13"/>
      <c r="AE6180" s="13"/>
      <c r="AF6180" s="13"/>
      <c r="AG6180" s="13"/>
      <c r="AH6180" s="13"/>
      <c r="AI6180" s="13"/>
      <c r="AJ6180" s="13"/>
      <c r="AK6180" s="13"/>
      <c r="AL6180" s="13"/>
      <c r="AM6180" s="13"/>
      <c r="AN6180" s="13"/>
      <c r="AO6180" s="13"/>
      <c r="AP6180" s="13"/>
      <c r="AQ6180" s="13"/>
      <c r="AR6180" s="13"/>
      <c r="AS6180" s="13"/>
    </row>
    <row r="6181" ht="14.25" customHeight="1">
      <c r="A6181" s="13"/>
      <c r="B6181" s="13"/>
      <c r="C6181" s="13"/>
      <c r="D6181" s="13"/>
      <c r="E6181" s="13"/>
      <c r="F6181" s="13"/>
      <c r="G6181" s="13"/>
      <c r="H6181" s="13"/>
      <c r="I6181" s="13"/>
      <c r="J6181" s="13"/>
      <c r="K6181" s="15"/>
      <c r="L6181" s="15"/>
      <c r="M6181" s="16"/>
      <c r="N6181" s="16"/>
      <c r="O6181" s="17"/>
      <c r="P6181" s="17"/>
      <c r="Q6181" s="13"/>
      <c r="R6181" s="13"/>
      <c r="S6181" s="13"/>
      <c r="T6181" s="13"/>
      <c r="U6181" s="13"/>
      <c r="V6181" s="13"/>
      <c r="W6181" s="13"/>
      <c r="X6181" s="13"/>
      <c r="Y6181" s="13"/>
      <c r="Z6181" s="13"/>
      <c r="AA6181" s="13"/>
      <c r="AB6181" s="13"/>
      <c r="AC6181" s="13"/>
      <c r="AD6181" s="13"/>
      <c r="AE6181" s="13"/>
      <c r="AF6181" s="13"/>
      <c r="AG6181" s="13"/>
      <c r="AH6181" s="13"/>
      <c r="AI6181" s="13"/>
      <c r="AJ6181" s="13"/>
      <c r="AK6181" s="13"/>
      <c r="AL6181" s="13"/>
      <c r="AM6181" s="13"/>
      <c r="AN6181" s="13"/>
      <c r="AO6181" s="13"/>
      <c r="AP6181" s="13"/>
      <c r="AQ6181" s="13"/>
      <c r="AR6181" s="13"/>
      <c r="AS6181" s="13"/>
    </row>
    <row r="6182" ht="14.25" customHeight="1">
      <c r="A6182" s="13"/>
      <c r="B6182" s="13"/>
      <c r="C6182" s="13"/>
      <c r="D6182" s="13"/>
      <c r="E6182" s="13"/>
      <c r="F6182" s="13"/>
      <c r="G6182" s="13"/>
      <c r="H6182" s="13"/>
      <c r="I6182" s="13"/>
      <c r="J6182" s="13"/>
      <c r="K6182" s="15"/>
      <c r="L6182" s="15"/>
      <c r="M6182" s="16"/>
      <c r="N6182" s="16"/>
      <c r="O6182" s="17"/>
      <c r="P6182" s="17"/>
      <c r="Q6182" s="13"/>
      <c r="R6182" s="13"/>
      <c r="S6182" s="13"/>
      <c r="T6182" s="13"/>
      <c r="U6182" s="13"/>
      <c r="V6182" s="13"/>
      <c r="W6182" s="13"/>
      <c r="X6182" s="13"/>
      <c r="Y6182" s="13"/>
      <c r="Z6182" s="13"/>
      <c r="AA6182" s="13"/>
      <c r="AB6182" s="13"/>
      <c r="AC6182" s="13"/>
      <c r="AD6182" s="13"/>
      <c r="AE6182" s="13"/>
      <c r="AF6182" s="13"/>
      <c r="AG6182" s="13"/>
      <c r="AH6182" s="13"/>
      <c r="AI6182" s="13"/>
      <c r="AJ6182" s="13"/>
      <c r="AK6182" s="13"/>
      <c r="AL6182" s="13"/>
      <c r="AM6182" s="13"/>
      <c r="AN6182" s="13"/>
      <c r="AO6182" s="13"/>
      <c r="AP6182" s="13"/>
      <c r="AQ6182" s="13"/>
      <c r="AR6182" s="13"/>
      <c r="AS6182" s="13"/>
    </row>
    <row r="6183" ht="14.25" customHeight="1">
      <c r="A6183" s="13"/>
      <c r="B6183" s="13"/>
      <c r="C6183" s="13"/>
      <c r="D6183" s="13"/>
      <c r="E6183" s="13"/>
      <c r="F6183" s="13"/>
      <c r="G6183" s="13"/>
      <c r="H6183" s="13"/>
      <c r="I6183" s="13"/>
      <c r="J6183" s="13"/>
      <c r="K6183" s="15"/>
      <c r="L6183" s="15"/>
      <c r="M6183" s="16"/>
      <c r="N6183" s="16"/>
      <c r="O6183" s="17"/>
      <c r="P6183" s="17"/>
      <c r="Q6183" s="13"/>
      <c r="R6183" s="13"/>
      <c r="S6183" s="13"/>
      <c r="T6183" s="13"/>
      <c r="U6183" s="13"/>
      <c r="V6183" s="13"/>
      <c r="W6183" s="13"/>
      <c r="X6183" s="13"/>
      <c r="Y6183" s="13"/>
      <c r="Z6183" s="13"/>
      <c r="AA6183" s="13"/>
      <c r="AB6183" s="13"/>
      <c r="AC6183" s="13"/>
      <c r="AD6183" s="13"/>
      <c r="AE6183" s="13"/>
      <c r="AF6183" s="13"/>
      <c r="AG6183" s="13"/>
      <c r="AH6183" s="13"/>
      <c r="AI6183" s="13"/>
      <c r="AJ6183" s="13"/>
      <c r="AK6183" s="13"/>
      <c r="AL6183" s="13"/>
      <c r="AM6183" s="13"/>
      <c r="AN6183" s="13"/>
      <c r="AO6183" s="13"/>
      <c r="AP6183" s="13"/>
      <c r="AQ6183" s="13"/>
      <c r="AR6183" s="13"/>
      <c r="AS6183" s="13"/>
    </row>
    <row r="6184" ht="14.25" customHeight="1">
      <c r="A6184" s="13"/>
      <c r="B6184" s="13"/>
      <c r="C6184" s="13"/>
      <c r="D6184" s="13"/>
      <c r="E6184" s="13"/>
      <c r="F6184" s="13"/>
      <c r="G6184" s="13"/>
      <c r="H6184" s="13"/>
      <c r="I6184" s="13"/>
      <c r="J6184" s="13"/>
      <c r="K6184" s="15"/>
      <c r="L6184" s="15"/>
      <c r="M6184" s="16"/>
      <c r="N6184" s="16"/>
      <c r="O6184" s="17"/>
      <c r="P6184" s="17"/>
      <c r="Q6184" s="13"/>
      <c r="R6184" s="13"/>
      <c r="S6184" s="13"/>
      <c r="T6184" s="13"/>
      <c r="U6184" s="13"/>
      <c r="V6184" s="13"/>
      <c r="W6184" s="13"/>
      <c r="X6184" s="13"/>
      <c r="Y6184" s="13"/>
      <c r="Z6184" s="13"/>
      <c r="AA6184" s="13"/>
      <c r="AB6184" s="13"/>
      <c r="AC6184" s="13"/>
      <c r="AD6184" s="13"/>
      <c r="AE6184" s="13"/>
      <c r="AF6184" s="13"/>
      <c r="AG6184" s="13"/>
      <c r="AH6184" s="13"/>
      <c r="AI6184" s="13"/>
      <c r="AJ6184" s="13"/>
      <c r="AK6184" s="13"/>
      <c r="AL6184" s="13"/>
      <c r="AM6184" s="13"/>
      <c r="AN6184" s="13"/>
      <c r="AO6184" s="13"/>
      <c r="AP6184" s="13"/>
      <c r="AQ6184" s="13"/>
      <c r="AR6184" s="13"/>
      <c r="AS6184" s="13"/>
    </row>
    <row r="6185" ht="14.25" customHeight="1">
      <c r="A6185" s="13"/>
      <c r="B6185" s="13"/>
      <c r="C6185" s="13"/>
      <c r="D6185" s="13"/>
      <c r="E6185" s="13"/>
      <c r="F6185" s="13"/>
      <c r="G6185" s="13"/>
      <c r="H6185" s="13"/>
      <c r="I6185" s="13"/>
      <c r="J6185" s="13"/>
      <c r="K6185" s="15"/>
      <c r="L6185" s="15"/>
      <c r="M6185" s="16"/>
      <c r="N6185" s="16"/>
      <c r="O6185" s="17"/>
      <c r="P6185" s="17"/>
      <c r="Q6185" s="13"/>
      <c r="R6185" s="13"/>
      <c r="S6185" s="13"/>
      <c r="T6185" s="13"/>
      <c r="U6185" s="13"/>
      <c r="V6185" s="13"/>
      <c r="W6185" s="13"/>
      <c r="X6185" s="13"/>
      <c r="Y6185" s="13"/>
      <c r="Z6185" s="13"/>
      <c r="AA6185" s="13"/>
      <c r="AB6185" s="13"/>
      <c r="AC6185" s="13"/>
      <c r="AD6185" s="13"/>
      <c r="AE6185" s="13"/>
      <c r="AF6185" s="13"/>
      <c r="AG6185" s="13"/>
      <c r="AH6185" s="13"/>
      <c r="AI6185" s="13"/>
      <c r="AJ6185" s="13"/>
      <c r="AK6185" s="13"/>
      <c r="AL6185" s="13"/>
      <c r="AM6185" s="13"/>
      <c r="AN6185" s="13"/>
      <c r="AO6185" s="13"/>
      <c r="AP6185" s="13"/>
      <c r="AQ6185" s="13"/>
      <c r="AR6185" s="13"/>
      <c r="AS6185" s="13"/>
    </row>
    <row r="6186" ht="14.25" customHeight="1">
      <c r="A6186" s="13"/>
      <c r="B6186" s="13"/>
      <c r="C6186" s="13"/>
      <c r="D6186" s="13"/>
      <c r="E6186" s="13"/>
      <c r="F6186" s="13"/>
      <c r="G6186" s="13"/>
      <c r="H6186" s="13"/>
      <c r="I6186" s="13"/>
      <c r="J6186" s="13"/>
      <c r="K6186" s="15"/>
      <c r="L6186" s="15"/>
      <c r="M6186" s="16"/>
      <c r="N6186" s="16"/>
      <c r="O6186" s="17"/>
      <c r="P6186" s="17"/>
      <c r="Q6186" s="13"/>
      <c r="R6186" s="13"/>
      <c r="S6186" s="13"/>
      <c r="T6186" s="13"/>
      <c r="U6186" s="13"/>
      <c r="V6186" s="13"/>
      <c r="W6186" s="13"/>
      <c r="X6186" s="13"/>
      <c r="Y6186" s="13"/>
      <c r="Z6186" s="13"/>
      <c r="AA6186" s="13"/>
      <c r="AB6186" s="13"/>
      <c r="AC6186" s="13"/>
      <c r="AD6186" s="13"/>
      <c r="AE6186" s="13"/>
      <c r="AF6186" s="13"/>
      <c r="AG6186" s="13"/>
      <c r="AH6186" s="13"/>
      <c r="AI6186" s="13"/>
      <c r="AJ6186" s="13"/>
      <c r="AK6186" s="13"/>
      <c r="AL6186" s="13"/>
      <c r="AM6186" s="13"/>
      <c r="AN6186" s="13"/>
      <c r="AO6186" s="13"/>
      <c r="AP6186" s="13"/>
      <c r="AQ6186" s="13"/>
      <c r="AR6186" s="13"/>
      <c r="AS6186" s="13"/>
    </row>
    <row r="6187" ht="14.25" customHeight="1">
      <c r="A6187" s="13"/>
      <c r="B6187" s="13"/>
      <c r="C6187" s="13"/>
      <c r="D6187" s="13"/>
      <c r="E6187" s="13"/>
      <c r="F6187" s="13"/>
      <c r="G6187" s="13"/>
      <c r="H6187" s="13"/>
      <c r="I6187" s="13"/>
      <c r="J6187" s="13"/>
      <c r="K6187" s="15"/>
      <c r="L6187" s="15"/>
      <c r="M6187" s="16"/>
      <c r="N6187" s="16"/>
      <c r="O6187" s="17"/>
      <c r="P6187" s="17"/>
      <c r="Q6187" s="13"/>
      <c r="R6187" s="13"/>
      <c r="S6187" s="13"/>
      <c r="T6187" s="13"/>
      <c r="U6187" s="13"/>
      <c r="V6187" s="13"/>
      <c r="W6187" s="13"/>
      <c r="X6187" s="13"/>
      <c r="Y6187" s="13"/>
      <c r="Z6187" s="13"/>
      <c r="AA6187" s="13"/>
      <c r="AB6187" s="13"/>
      <c r="AC6187" s="13"/>
      <c r="AD6187" s="13"/>
      <c r="AE6187" s="13"/>
      <c r="AF6187" s="13"/>
      <c r="AG6187" s="13"/>
      <c r="AH6187" s="13"/>
      <c r="AI6187" s="13"/>
      <c r="AJ6187" s="13"/>
      <c r="AK6187" s="13"/>
      <c r="AL6187" s="13"/>
      <c r="AM6187" s="13"/>
      <c r="AN6187" s="13"/>
      <c r="AO6187" s="13"/>
      <c r="AP6187" s="13"/>
      <c r="AQ6187" s="13"/>
      <c r="AR6187" s="13"/>
      <c r="AS6187" s="13"/>
    </row>
    <row r="6188" ht="14.25" customHeight="1">
      <c r="A6188" s="13"/>
      <c r="B6188" s="13"/>
      <c r="C6188" s="13"/>
      <c r="D6188" s="13"/>
      <c r="E6188" s="13"/>
      <c r="F6188" s="13"/>
      <c r="G6188" s="13"/>
      <c r="H6188" s="13"/>
      <c r="I6188" s="13"/>
      <c r="J6188" s="13"/>
      <c r="K6188" s="15"/>
      <c r="L6188" s="15"/>
      <c r="M6188" s="16"/>
      <c r="N6188" s="16"/>
      <c r="O6188" s="17"/>
      <c r="P6188" s="17"/>
      <c r="Q6188" s="13"/>
      <c r="R6188" s="13"/>
      <c r="S6188" s="13"/>
      <c r="T6188" s="13"/>
      <c r="U6188" s="13"/>
      <c r="V6188" s="13"/>
      <c r="W6188" s="13"/>
      <c r="X6188" s="13"/>
      <c r="Y6188" s="13"/>
      <c r="Z6188" s="13"/>
      <c r="AA6188" s="13"/>
      <c r="AB6188" s="13"/>
      <c r="AC6188" s="13"/>
      <c r="AD6188" s="13"/>
      <c r="AE6188" s="13"/>
      <c r="AF6188" s="13"/>
      <c r="AG6188" s="13"/>
      <c r="AH6188" s="13"/>
      <c r="AI6188" s="13"/>
      <c r="AJ6188" s="13"/>
      <c r="AK6188" s="13"/>
      <c r="AL6188" s="13"/>
      <c r="AM6188" s="13"/>
      <c r="AN6188" s="13"/>
      <c r="AO6188" s="13"/>
      <c r="AP6188" s="13"/>
      <c r="AQ6188" s="13"/>
      <c r="AR6188" s="13"/>
      <c r="AS6188" s="13"/>
    </row>
    <row r="6189" ht="14.25" customHeight="1">
      <c r="A6189" s="13"/>
      <c r="B6189" s="13"/>
      <c r="C6189" s="13"/>
      <c r="D6189" s="13"/>
      <c r="E6189" s="13"/>
      <c r="F6189" s="13"/>
      <c r="G6189" s="13"/>
      <c r="H6189" s="13"/>
      <c r="I6189" s="13"/>
      <c r="J6189" s="13"/>
      <c r="K6189" s="15"/>
      <c r="L6189" s="15"/>
      <c r="M6189" s="16"/>
      <c r="N6189" s="16"/>
      <c r="O6189" s="17"/>
      <c r="P6189" s="17"/>
      <c r="Q6189" s="13"/>
      <c r="R6189" s="13"/>
      <c r="S6189" s="13"/>
      <c r="T6189" s="13"/>
      <c r="U6189" s="13"/>
      <c r="V6189" s="13"/>
      <c r="W6189" s="13"/>
      <c r="X6189" s="13"/>
      <c r="Y6189" s="13"/>
      <c r="Z6189" s="13"/>
      <c r="AA6189" s="13"/>
      <c r="AB6189" s="13"/>
      <c r="AC6189" s="13"/>
      <c r="AD6189" s="13"/>
      <c r="AE6189" s="13"/>
      <c r="AF6189" s="13"/>
      <c r="AG6189" s="13"/>
      <c r="AH6189" s="13"/>
      <c r="AI6189" s="13"/>
      <c r="AJ6189" s="13"/>
      <c r="AK6189" s="13"/>
      <c r="AL6189" s="13"/>
      <c r="AM6189" s="13"/>
      <c r="AN6189" s="13"/>
      <c r="AO6189" s="13"/>
      <c r="AP6189" s="13"/>
      <c r="AQ6189" s="13"/>
      <c r="AR6189" s="13"/>
      <c r="AS6189" s="13"/>
    </row>
    <row r="6190" ht="14.25" customHeight="1">
      <c r="A6190" s="13"/>
      <c r="B6190" s="13"/>
      <c r="C6190" s="13"/>
      <c r="D6190" s="13"/>
      <c r="E6190" s="13"/>
      <c r="F6190" s="13"/>
      <c r="G6190" s="13"/>
      <c r="H6190" s="13"/>
      <c r="I6190" s="13"/>
      <c r="J6190" s="13"/>
      <c r="K6190" s="15"/>
      <c r="L6190" s="15"/>
      <c r="M6190" s="16"/>
      <c r="N6190" s="16"/>
      <c r="O6190" s="17"/>
      <c r="P6190" s="17"/>
      <c r="Q6190" s="13"/>
      <c r="R6190" s="13"/>
      <c r="S6190" s="13"/>
      <c r="T6190" s="13"/>
      <c r="U6190" s="13"/>
      <c r="V6190" s="13"/>
      <c r="W6190" s="13"/>
      <c r="X6190" s="13"/>
      <c r="Y6190" s="13"/>
      <c r="Z6190" s="13"/>
      <c r="AA6190" s="13"/>
      <c r="AB6190" s="13"/>
      <c r="AC6190" s="13"/>
      <c r="AD6190" s="13"/>
      <c r="AE6190" s="13"/>
      <c r="AF6190" s="13"/>
      <c r="AG6190" s="13"/>
      <c r="AH6190" s="13"/>
      <c r="AI6190" s="13"/>
      <c r="AJ6190" s="13"/>
      <c r="AK6190" s="13"/>
      <c r="AL6190" s="13"/>
      <c r="AM6190" s="13"/>
      <c r="AN6190" s="13"/>
      <c r="AO6190" s="13"/>
      <c r="AP6190" s="13"/>
      <c r="AQ6190" s="13"/>
      <c r="AR6190" s="13"/>
      <c r="AS6190" s="13"/>
    </row>
    <row r="6191" ht="14.25" customHeight="1">
      <c r="A6191" s="13"/>
      <c r="B6191" s="13"/>
      <c r="C6191" s="13"/>
      <c r="D6191" s="13"/>
      <c r="E6191" s="13"/>
      <c r="F6191" s="13"/>
      <c r="G6191" s="13"/>
      <c r="H6191" s="13"/>
      <c r="I6191" s="13"/>
      <c r="J6191" s="13"/>
      <c r="K6191" s="15"/>
      <c r="L6191" s="15"/>
      <c r="M6191" s="16"/>
      <c r="N6191" s="16"/>
      <c r="O6191" s="17"/>
      <c r="P6191" s="17"/>
      <c r="Q6191" s="13"/>
      <c r="R6191" s="13"/>
      <c r="S6191" s="13"/>
      <c r="T6191" s="13"/>
      <c r="U6191" s="13"/>
      <c r="V6191" s="13"/>
      <c r="W6191" s="13"/>
      <c r="X6191" s="13"/>
      <c r="Y6191" s="13"/>
      <c r="Z6191" s="13"/>
      <c r="AA6191" s="13"/>
      <c r="AB6191" s="13"/>
      <c r="AC6191" s="13"/>
      <c r="AD6191" s="13"/>
      <c r="AE6191" s="13"/>
      <c r="AF6191" s="13"/>
      <c r="AG6191" s="13"/>
      <c r="AH6191" s="13"/>
      <c r="AI6191" s="13"/>
      <c r="AJ6191" s="13"/>
      <c r="AK6191" s="13"/>
      <c r="AL6191" s="13"/>
      <c r="AM6191" s="13"/>
      <c r="AN6191" s="13"/>
      <c r="AO6191" s="13"/>
      <c r="AP6191" s="13"/>
      <c r="AQ6191" s="13"/>
      <c r="AR6191" s="13"/>
      <c r="AS6191" s="13"/>
    </row>
    <row r="6192" ht="14.25" customHeight="1">
      <c r="A6192" s="13"/>
      <c r="B6192" s="13"/>
      <c r="C6192" s="13"/>
      <c r="D6192" s="13"/>
      <c r="E6192" s="13"/>
      <c r="F6192" s="13"/>
      <c r="G6192" s="13"/>
      <c r="H6192" s="13"/>
      <c r="I6192" s="13"/>
      <c r="J6192" s="13"/>
      <c r="K6192" s="15"/>
      <c r="L6192" s="15"/>
      <c r="M6192" s="16"/>
      <c r="N6192" s="16"/>
      <c r="O6192" s="17"/>
      <c r="P6192" s="17"/>
      <c r="Q6192" s="13"/>
      <c r="R6192" s="13"/>
      <c r="S6192" s="13"/>
      <c r="T6192" s="13"/>
      <c r="U6192" s="13"/>
      <c r="V6192" s="13"/>
      <c r="W6192" s="13"/>
      <c r="X6192" s="13"/>
      <c r="Y6192" s="13"/>
      <c r="Z6192" s="13"/>
      <c r="AA6192" s="13"/>
      <c r="AB6192" s="13"/>
      <c r="AC6192" s="13"/>
      <c r="AD6192" s="13"/>
      <c r="AE6192" s="13"/>
      <c r="AF6192" s="13"/>
      <c r="AG6192" s="13"/>
      <c r="AH6192" s="13"/>
      <c r="AI6192" s="13"/>
      <c r="AJ6192" s="13"/>
      <c r="AK6192" s="13"/>
      <c r="AL6192" s="13"/>
      <c r="AM6192" s="13"/>
      <c r="AN6192" s="13"/>
      <c r="AO6192" s="13"/>
      <c r="AP6192" s="13"/>
      <c r="AQ6192" s="13"/>
      <c r="AR6192" s="13"/>
      <c r="AS6192" s="13"/>
    </row>
    <row r="6193" ht="14.25" customHeight="1">
      <c r="A6193" s="13"/>
      <c r="B6193" s="13"/>
      <c r="C6193" s="13"/>
      <c r="D6193" s="13"/>
      <c r="E6193" s="13"/>
      <c r="F6193" s="13"/>
      <c r="G6193" s="13"/>
      <c r="H6193" s="13"/>
      <c r="I6193" s="13"/>
      <c r="J6193" s="13"/>
      <c r="K6193" s="15"/>
      <c r="L6193" s="15"/>
      <c r="M6193" s="16"/>
      <c r="N6193" s="16"/>
      <c r="O6193" s="17"/>
      <c r="P6193" s="17"/>
      <c r="Q6193" s="13"/>
      <c r="R6193" s="13"/>
      <c r="S6193" s="13"/>
      <c r="T6193" s="13"/>
      <c r="U6193" s="13"/>
      <c r="V6193" s="13"/>
      <c r="W6193" s="13"/>
      <c r="X6193" s="13"/>
      <c r="Y6193" s="13"/>
      <c r="Z6193" s="13"/>
      <c r="AA6193" s="13"/>
      <c r="AB6193" s="13"/>
      <c r="AC6193" s="13"/>
      <c r="AD6193" s="13"/>
      <c r="AE6193" s="13"/>
      <c r="AF6193" s="13"/>
      <c r="AG6193" s="13"/>
      <c r="AH6193" s="13"/>
      <c r="AI6193" s="13"/>
      <c r="AJ6193" s="13"/>
      <c r="AK6193" s="13"/>
      <c r="AL6193" s="13"/>
      <c r="AM6193" s="13"/>
      <c r="AN6193" s="13"/>
      <c r="AO6193" s="13"/>
      <c r="AP6193" s="13"/>
      <c r="AQ6193" s="13"/>
      <c r="AR6193" s="13"/>
      <c r="AS6193" s="13"/>
    </row>
    <row r="6194" ht="14.25" customHeight="1">
      <c r="A6194" s="13"/>
      <c r="B6194" s="13"/>
      <c r="C6194" s="13"/>
      <c r="D6194" s="13"/>
      <c r="E6194" s="13"/>
      <c r="F6194" s="13"/>
      <c r="G6194" s="13"/>
      <c r="H6194" s="13"/>
      <c r="I6194" s="13"/>
      <c r="J6194" s="13"/>
      <c r="K6194" s="15"/>
      <c r="L6194" s="15"/>
      <c r="M6194" s="16"/>
      <c r="N6194" s="16"/>
      <c r="O6194" s="17"/>
      <c r="P6194" s="17"/>
      <c r="Q6194" s="13"/>
      <c r="R6194" s="13"/>
      <c r="S6194" s="13"/>
      <c r="T6194" s="13"/>
      <c r="U6194" s="13"/>
      <c r="V6194" s="13"/>
      <c r="W6194" s="13"/>
      <c r="X6194" s="13"/>
      <c r="Y6194" s="13"/>
      <c r="Z6194" s="13"/>
      <c r="AA6194" s="13"/>
      <c r="AB6194" s="13"/>
      <c r="AC6194" s="13"/>
      <c r="AD6194" s="13"/>
      <c r="AE6194" s="13"/>
      <c r="AF6194" s="13"/>
      <c r="AG6194" s="13"/>
      <c r="AH6194" s="13"/>
      <c r="AI6194" s="13"/>
      <c r="AJ6194" s="13"/>
      <c r="AK6194" s="13"/>
      <c r="AL6194" s="13"/>
      <c r="AM6194" s="13"/>
      <c r="AN6194" s="13"/>
      <c r="AO6194" s="13"/>
      <c r="AP6194" s="13"/>
      <c r="AQ6194" s="13"/>
      <c r="AR6194" s="13"/>
      <c r="AS6194" s="13"/>
    </row>
    <row r="6195" ht="14.25" customHeight="1">
      <c r="A6195" s="13"/>
      <c r="B6195" s="13"/>
      <c r="C6195" s="13"/>
      <c r="D6195" s="13"/>
      <c r="E6195" s="13"/>
      <c r="F6195" s="13"/>
      <c r="G6195" s="13"/>
      <c r="H6195" s="13"/>
      <c r="I6195" s="13"/>
      <c r="J6195" s="13"/>
      <c r="K6195" s="15"/>
      <c r="L6195" s="15"/>
      <c r="M6195" s="16"/>
      <c r="N6195" s="16"/>
      <c r="O6195" s="17"/>
      <c r="P6195" s="17"/>
      <c r="Q6195" s="13"/>
      <c r="R6195" s="13"/>
      <c r="S6195" s="13"/>
      <c r="T6195" s="13"/>
      <c r="U6195" s="13"/>
      <c r="V6195" s="13"/>
      <c r="W6195" s="13"/>
      <c r="X6195" s="13"/>
      <c r="Y6195" s="13"/>
      <c r="Z6195" s="13"/>
      <c r="AA6195" s="13"/>
      <c r="AB6195" s="13"/>
      <c r="AC6195" s="13"/>
      <c r="AD6195" s="13"/>
      <c r="AE6195" s="13"/>
      <c r="AF6195" s="13"/>
      <c r="AG6195" s="13"/>
      <c r="AH6195" s="13"/>
      <c r="AI6195" s="13"/>
      <c r="AJ6195" s="13"/>
      <c r="AK6195" s="13"/>
      <c r="AL6195" s="13"/>
      <c r="AM6195" s="13"/>
      <c r="AN6195" s="13"/>
      <c r="AO6195" s="13"/>
      <c r="AP6195" s="13"/>
      <c r="AQ6195" s="13"/>
      <c r="AR6195" s="13"/>
      <c r="AS6195" s="13"/>
    </row>
    <row r="6196" ht="14.25" customHeight="1">
      <c r="A6196" s="13"/>
      <c r="B6196" s="13"/>
      <c r="C6196" s="13"/>
      <c r="D6196" s="13"/>
      <c r="E6196" s="13"/>
      <c r="F6196" s="13"/>
      <c r="G6196" s="13"/>
      <c r="H6196" s="13"/>
      <c r="I6196" s="13"/>
      <c r="J6196" s="13"/>
      <c r="K6196" s="15"/>
      <c r="L6196" s="15"/>
      <c r="M6196" s="16"/>
      <c r="N6196" s="16"/>
      <c r="O6196" s="17"/>
      <c r="P6196" s="17"/>
      <c r="Q6196" s="13"/>
      <c r="R6196" s="13"/>
      <c r="S6196" s="13"/>
      <c r="T6196" s="13"/>
      <c r="U6196" s="13"/>
      <c r="V6196" s="13"/>
      <c r="W6196" s="13"/>
      <c r="X6196" s="13"/>
      <c r="Y6196" s="13"/>
      <c r="Z6196" s="13"/>
      <c r="AA6196" s="13"/>
      <c r="AB6196" s="13"/>
      <c r="AC6196" s="13"/>
      <c r="AD6196" s="13"/>
      <c r="AE6196" s="13"/>
      <c r="AF6196" s="13"/>
      <c r="AG6196" s="13"/>
      <c r="AH6196" s="13"/>
      <c r="AI6196" s="13"/>
      <c r="AJ6196" s="13"/>
      <c r="AK6196" s="13"/>
      <c r="AL6196" s="13"/>
      <c r="AM6196" s="13"/>
      <c r="AN6196" s="13"/>
      <c r="AO6196" s="13"/>
      <c r="AP6196" s="13"/>
      <c r="AQ6196" s="13"/>
      <c r="AR6196" s="13"/>
      <c r="AS6196" s="13"/>
    </row>
    <row r="6197" ht="14.25" customHeight="1">
      <c r="A6197" s="13"/>
      <c r="B6197" s="13"/>
      <c r="C6197" s="13"/>
      <c r="D6197" s="13"/>
      <c r="E6197" s="13"/>
      <c r="F6197" s="13"/>
      <c r="G6197" s="13"/>
      <c r="H6197" s="13"/>
      <c r="I6197" s="13"/>
      <c r="J6197" s="13"/>
      <c r="K6197" s="15"/>
      <c r="L6197" s="15"/>
      <c r="M6197" s="16"/>
      <c r="N6197" s="16"/>
      <c r="O6197" s="17"/>
      <c r="P6197" s="17"/>
      <c r="Q6197" s="13"/>
      <c r="R6197" s="13"/>
      <c r="S6197" s="13"/>
      <c r="T6197" s="13"/>
      <c r="U6197" s="13"/>
      <c r="V6197" s="13"/>
      <c r="W6197" s="13"/>
      <c r="X6197" s="13"/>
      <c r="Y6197" s="13"/>
      <c r="Z6197" s="13"/>
      <c r="AA6197" s="13"/>
      <c r="AB6197" s="13"/>
      <c r="AC6197" s="13"/>
      <c r="AD6197" s="13"/>
      <c r="AE6197" s="13"/>
      <c r="AF6197" s="13"/>
      <c r="AG6197" s="13"/>
      <c r="AH6197" s="13"/>
      <c r="AI6197" s="13"/>
      <c r="AJ6197" s="13"/>
      <c r="AK6197" s="13"/>
      <c r="AL6197" s="13"/>
      <c r="AM6197" s="13"/>
      <c r="AN6197" s="13"/>
      <c r="AO6197" s="13"/>
      <c r="AP6197" s="13"/>
      <c r="AQ6197" s="13"/>
      <c r="AR6197" s="13"/>
      <c r="AS6197" s="13"/>
    </row>
    <row r="6198" ht="14.25" customHeight="1">
      <c r="A6198" s="13"/>
      <c r="B6198" s="13"/>
      <c r="C6198" s="13"/>
      <c r="D6198" s="13"/>
      <c r="E6198" s="13"/>
      <c r="F6198" s="13"/>
      <c r="G6198" s="13"/>
      <c r="H6198" s="13"/>
      <c r="I6198" s="13"/>
      <c r="J6198" s="13"/>
      <c r="K6198" s="15"/>
      <c r="L6198" s="15"/>
      <c r="M6198" s="16"/>
      <c r="N6198" s="16"/>
      <c r="O6198" s="17"/>
      <c r="P6198" s="17"/>
      <c r="Q6198" s="13"/>
      <c r="R6198" s="13"/>
      <c r="S6198" s="13"/>
      <c r="T6198" s="13"/>
      <c r="U6198" s="13"/>
      <c r="V6198" s="13"/>
      <c r="W6198" s="13"/>
      <c r="X6198" s="13"/>
      <c r="Y6198" s="13"/>
      <c r="Z6198" s="13"/>
      <c r="AA6198" s="13"/>
      <c r="AB6198" s="13"/>
      <c r="AC6198" s="13"/>
      <c r="AD6198" s="13"/>
      <c r="AE6198" s="13"/>
      <c r="AF6198" s="13"/>
      <c r="AG6198" s="13"/>
      <c r="AH6198" s="13"/>
      <c r="AI6198" s="13"/>
      <c r="AJ6198" s="13"/>
      <c r="AK6198" s="13"/>
      <c r="AL6198" s="13"/>
      <c r="AM6198" s="13"/>
      <c r="AN6198" s="13"/>
      <c r="AO6198" s="13"/>
      <c r="AP6198" s="13"/>
      <c r="AQ6198" s="13"/>
      <c r="AR6198" s="13"/>
      <c r="AS6198" s="13"/>
    </row>
    <row r="6199" ht="14.25" customHeight="1">
      <c r="A6199" s="13"/>
      <c r="B6199" s="13"/>
      <c r="C6199" s="13"/>
      <c r="D6199" s="13"/>
      <c r="E6199" s="13"/>
      <c r="F6199" s="13"/>
      <c r="G6199" s="13"/>
      <c r="H6199" s="13"/>
      <c r="I6199" s="13"/>
      <c r="J6199" s="13"/>
      <c r="K6199" s="15"/>
      <c r="L6199" s="15"/>
      <c r="M6199" s="16"/>
      <c r="N6199" s="16"/>
      <c r="O6199" s="17"/>
      <c r="P6199" s="17"/>
      <c r="Q6199" s="13"/>
      <c r="R6199" s="13"/>
      <c r="S6199" s="13"/>
      <c r="T6199" s="13"/>
      <c r="U6199" s="13"/>
      <c r="V6199" s="13"/>
      <c r="W6199" s="13"/>
      <c r="X6199" s="13"/>
      <c r="Y6199" s="13"/>
      <c r="Z6199" s="13"/>
      <c r="AA6199" s="13"/>
      <c r="AB6199" s="13"/>
      <c r="AC6199" s="13"/>
      <c r="AD6199" s="13"/>
      <c r="AE6199" s="13"/>
      <c r="AF6199" s="13"/>
      <c r="AG6199" s="13"/>
      <c r="AH6199" s="13"/>
      <c r="AI6199" s="13"/>
      <c r="AJ6199" s="13"/>
      <c r="AK6199" s="13"/>
      <c r="AL6199" s="13"/>
      <c r="AM6199" s="13"/>
      <c r="AN6199" s="13"/>
      <c r="AO6199" s="13"/>
      <c r="AP6199" s="13"/>
      <c r="AQ6199" s="13"/>
      <c r="AR6199" s="13"/>
      <c r="AS6199" s="13"/>
    </row>
    <row r="6200" ht="14.25" customHeight="1">
      <c r="A6200" s="13"/>
      <c r="B6200" s="13"/>
      <c r="C6200" s="13"/>
      <c r="D6200" s="13"/>
      <c r="E6200" s="13"/>
      <c r="F6200" s="13"/>
      <c r="G6200" s="13"/>
      <c r="H6200" s="13"/>
      <c r="I6200" s="13"/>
      <c r="J6200" s="13"/>
      <c r="K6200" s="15"/>
      <c r="L6200" s="15"/>
      <c r="M6200" s="16"/>
      <c r="N6200" s="16"/>
      <c r="O6200" s="17"/>
      <c r="P6200" s="17"/>
      <c r="Q6200" s="13"/>
      <c r="R6200" s="13"/>
      <c r="S6200" s="13"/>
      <c r="T6200" s="13"/>
      <c r="U6200" s="13"/>
      <c r="V6200" s="13"/>
      <c r="W6200" s="13"/>
      <c r="X6200" s="13"/>
      <c r="Y6200" s="13"/>
      <c r="Z6200" s="13"/>
      <c r="AA6200" s="13"/>
      <c r="AB6200" s="13"/>
      <c r="AC6200" s="13"/>
      <c r="AD6200" s="13"/>
      <c r="AE6200" s="13"/>
      <c r="AF6200" s="13"/>
      <c r="AG6200" s="13"/>
      <c r="AH6200" s="13"/>
      <c r="AI6200" s="13"/>
      <c r="AJ6200" s="13"/>
      <c r="AK6200" s="13"/>
      <c r="AL6200" s="13"/>
      <c r="AM6200" s="13"/>
      <c r="AN6200" s="13"/>
      <c r="AO6200" s="13"/>
      <c r="AP6200" s="13"/>
      <c r="AQ6200" s="13"/>
      <c r="AR6200" s="13"/>
      <c r="AS6200" s="13"/>
    </row>
    <row r="6201" ht="14.25" customHeight="1">
      <c r="A6201" s="13"/>
      <c r="B6201" s="13"/>
      <c r="C6201" s="13"/>
      <c r="D6201" s="13"/>
      <c r="E6201" s="13"/>
      <c r="F6201" s="13"/>
      <c r="G6201" s="13"/>
      <c r="H6201" s="13"/>
      <c r="I6201" s="13"/>
      <c r="J6201" s="13"/>
      <c r="K6201" s="15"/>
      <c r="L6201" s="15"/>
      <c r="M6201" s="16"/>
      <c r="N6201" s="16"/>
      <c r="O6201" s="17"/>
      <c r="P6201" s="17"/>
      <c r="Q6201" s="13"/>
      <c r="R6201" s="13"/>
      <c r="S6201" s="13"/>
      <c r="T6201" s="13"/>
      <c r="U6201" s="13"/>
      <c r="V6201" s="13"/>
      <c r="W6201" s="13"/>
      <c r="X6201" s="13"/>
      <c r="Y6201" s="13"/>
      <c r="Z6201" s="13"/>
      <c r="AA6201" s="13"/>
      <c r="AB6201" s="13"/>
      <c r="AC6201" s="13"/>
      <c r="AD6201" s="13"/>
      <c r="AE6201" s="13"/>
      <c r="AF6201" s="13"/>
      <c r="AG6201" s="13"/>
      <c r="AH6201" s="13"/>
      <c r="AI6201" s="13"/>
      <c r="AJ6201" s="13"/>
      <c r="AK6201" s="13"/>
      <c r="AL6201" s="13"/>
      <c r="AM6201" s="13"/>
      <c r="AN6201" s="13"/>
      <c r="AO6201" s="13"/>
      <c r="AP6201" s="13"/>
      <c r="AQ6201" s="13"/>
      <c r="AR6201" s="13"/>
      <c r="AS6201" s="13"/>
    </row>
    <row r="6202" ht="14.25" customHeight="1">
      <c r="A6202" s="13"/>
      <c r="B6202" s="13"/>
      <c r="C6202" s="13"/>
      <c r="D6202" s="13"/>
      <c r="E6202" s="13"/>
      <c r="F6202" s="13"/>
      <c r="G6202" s="13"/>
      <c r="H6202" s="13"/>
      <c r="I6202" s="13"/>
      <c r="J6202" s="13"/>
      <c r="K6202" s="15"/>
      <c r="L6202" s="15"/>
      <c r="M6202" s="16"/>
      <c r="N6202" s="16"/>
      <c r="O6202" s="17"/>
      <c r="P6202" s="17"/>
      <c r="Q6202" s="13"/>
      <c r="R6202" s="13"/>
      <c r="S6202" s="13"/>
      <c r="T6202" s="13"/>
      <c r="U6202" s="13"/>
      <c r="V6202" s="13"/>
      <c r="W6202" s="13"/>
      <c r="X6202" s="13"/>
      <c r="Y6202" s="13"/>
      <c r="Z6202" s="13"/>
      <c r="AA6202" s="13"/>
      <c r="AB6202" s="13"/>
      <c r="AC6202" s="13"/>
      <c r="AD6202" s="13"/>
      <c r="AE6202" s="13"/>
      <c r="AF6202" s="13"/>
      <c r="AG6202" s="13"/>
      <c r="AH6202" s="13"/>
      <c r="AI6202" s="13"/>
      <c r="AJ6202" s="13"/>
      <c r="AK6202" s="13"/>
      <c r="AL6202" s="13"/>
      <c r="AM6202" s="13"/>
      <c r="AN6202" s="13"/>
      <c r="AO6202" s="13"/>
      <c r="AP6202" s="13"/>
      <c r="AQ6202" s="13"/>
      <c r="AR6202" s="13"/>
      <c r="AS6202" s="13"/>
    </row>
    <row r="6203" ht="14.25" customHeight="1">
      <c r="A6203" s="13"/>
      <c r="B6203" s="13"/>
      <c r="C6203" s="13"/>
      <c r="D6203" s="13"/>
      <c r="E6203" s="13"/>
      <c r="F6203" s="13"/>
      <c r="G6203" s="13"/>
      <c r="H6203" s="13"/>
      <c r="I6203" s="13"/>
      <c r="J6203" s="13"/>
      <c r="K6203" s="15"/>
      <c r="L6203" s="15"/>
      <c r="M6203" s="16"/>
      <c r="N6203" s="16"/>
      <c r="O6203" s="17"/>
      <c r="P6203" s="17"/>
      <c r="Q6203" s="13"/>
      <c r="R6203" s="13"/>
      <c r="S6203" s="13"/>
      <c r="T6203" s="13"/>
      <c r="U6203" s="13"/>
      <c r="V6203" s="13"/>
      <c r="W6203" s="13"/>
      <c r="X6203" s="13"/>
      <c r="Y6203" s="13"/>
      <c r="Z6203" s="13"/>
      <c r="AA6203" s="13"/>
      <c r="AB6203" s="13"/>
      <c r="AC6203" s="13"/>
      <c r="AD6203" s="13"/>
      <c r="AE6203" s="13"/>
      <c r="AF6203" s="13"/>
      <c r="AG6203" s="13"/>
      <c r="AH6203" s="13"/>
      <c r="AI6203" s="13"/>
      <c r="AJ6203" s="13"/>
      <c r="AK6203" s="13"/>
      <c r="AL6203" s="13"/>
      <c r="AM6203" s="13"/>
      <c r="AN6203" s="13"/>
      <c r="AO6203" s="13"/>
      <c r="AP6203" s="13"/>
      <c r="AQ6203" s="13"/>
      <c r="AR6203" s="13"/>
      <c r="AS6203" s="13"/>
    </row>
    <row r="6204" ht="14.25" customHeight="1">
      <c r="A6204" s="13"/>
      <c r="B6204" s="13"/>
      <c r="C6204" s="13"/>
      <c r="D6204" s="13"/>
      <c r="E6204" s="13"/>
      <c r="F6204" s="13"/>
      <c r="G6204" s="13"/>
      <c r="H6204" s="13"/>
      <c r="I6204" s="13"/>
      <c r="J6204" s="13"/>
      <c r="K6204" s="15"/>
      <c r="L6204" s="15"/>
      <c r="M6204" s="16"/>
      <c r="N6204" s="16"/>
      <c r="O6204" s="17"/>
      <c r="P6204" s="17"/>
      <c r="Q6204" s="13"/>
      <c r="R6204" s="13"/>
      <c r="S6204" s="13"/>
      <c r="T6204" s="13"/>
      <c r="U6204" s="13"/>
      <c r="V6204" s="13"/>
      <c r="W6204" s="13"/>
      <c r="X6204" s="13"/>
      <c r="Y6204" s="13"/>
      <c r="Z6204" s="13"/>
      <c r="AA6204" s="13"/>
      <c r="AB6204" s="13"/>
      <c r="AC6204" s="13"/>
      <c r="AD6204" s="13"/>
      <c r="AE6204" s="13"/>
      <c r="AF6204" s="13"/>
      <c r="AG6204" s="13"/>
      <c r="AH6204" s="13"/>
      <c r="AI6204" s="13"/>
      <c r="AJ6204" s="13"/>
      <c r="AK6204" s="13"/>
      <c r="AL6204" s="13"/>
      <c r="AM6204" s="13"/>
      <c r="AN6204" s="13"/>
      <c r="AO6204" s="13"/>
      <c r="AP6204" s="13"/>
      <c r="AQ6204" s="13"/>
      <c r="AR6204" s="13"/>
      <c r="AS6204" s="13"/>
    </row>
    <row r="6205" ht="14.25" customHeight="1">
      <c r="A6205" s="13"/>
      <c r="B6205" s="13"/>
      <c r="C6205" s="13"/>
      <c r="D6205" s="13"/>
      <c r="E6205" s="13"/>
      <c r="F6205" s="13"/>
      <c r="G6205" s="13"/>
      <c r="H6205" s="13"/>
      <c r="I6205" s="13"/>
      <c r="J6205" s="13"/>
      <c r="K6205" s="15"/>
      <c r="L6205" s="15"/>
      <c r="M6205" s="16"/>
      <c r="N6205" s="16"/>
      <c r="O6205" s="17"/>
      <c r="P6205" s="17"/>
      <c r="Q6205" s="13"/>
      <c r="R6205" s="13"/>
      <c r="S6205" s="13"/>
      <c r="T6205" s="13"/>
      <c r="U6205" s="13"/>
      <c r="V6205" s="13"/>
      <c r="W6205" s="13"/>
      <c r="X6205" s="13"/>
      <c r="Y6205" s="13"/>
      <c r="Z6205" s="13"/>
      <c r="AA6205" s="13"/>
      <c r="AB6205" s="13"/>
      <c r="AC6205" s="13"/>
      <c r="AD6205" s="13"/>
      <c r="AE6205" s="13"/>
      <c r="AF6205" s="13"/>
      <c r="AG6205" s="13"/>
      <c r="AH6205" s="13"/>
      <c r="AI6205" s="13"/>
      <c r="AJ6205" s="13"/>
      <c r="AK6205" s="13"/>
      <c r="AL6205" s="13"/>
      <c r="AM6205" s="13"/>
      <c r="AN6205" s="13"/>
      <c r="AO6205" s="13"/>
      <c r="AP6205" s="13"/>
      <c r="AQ6205" s="13"/>
      <c r="AR6205" s="13"/>
      <c r="AS6205" s="13"/>
    </row>
    <row r="6206" ht="14.25" customHeight="1">
      <c r="A6206" s="13"/>
      <c r="B6206" s="13"/>
      <c r="C6206" s="13"/>
      <c r="D6206" s="13"/>
      <c r="E6206" s="13"/>
      <c r="F6206" s="13"/>
      <c r="G6206" s="13"/>
      <c r="H6206" s="13"/>
      <c r="I6206" s="13"/>
      <c r="J6206" s="13"/>
      <c r="K6206" s="15"/>
      <c r="L6206" s="15"/>
      <c r="M6206" s="16"/>
      <c r="N6206" s="16"/>
      <c r="O6206" s="17"/>
      <c r="P6206" s="17"/>
      <c r="Q6206" s="13"/>
      <c r="R6206" s="13"/>
      <c r="S6206" s="13"/>
      <c r="T6206" s="13"/>
      <c r="U6206" s="13"/>
      <c r="V6206" s="13"/>
      <c r="W6206" s="13"/>
      <c r="X6206" s="13"/>
      <c r="Y6206" s="13"/>
      <c r="Z6206" s="13"/>
      <c r="AA6206" s="13"/>
      <c r="AB6206" s="13"/>
      <c r="AC6206" s="13"/>
      <c r="AD6206" s="13"/>
      <c r="AE6206" s="13"/>
      <c r="AF6206" s="13"/>
      <c r="AG6206" s="13"/>
      <c r="AH6206" s="13"/>
      <c r="AI6206" s="13"/>
      <c r="AJ6206" s="13"/>
      <c r="AK6206" s="13"/>
      <c r="AL6206" s="13"/>
      <c r="AM6206" s="13"/>
      <c r="AN6206" s="13"/>
      <c r="AO6206" s="13"/>
      <c r="AP6206" s="13"/>
      <c r="AQ6206" s="13"/>
      <c r="AR6206" s="13"/>
      <c r="AS6206" s="13"/>
    </row>
    <row r="6207" ht="14.25" customHeight="1">
      <c r="A6207" s="13"/>
      <c r="B6207" s="13"/>
      <c r="C6207" s="13"/>
      <c r="D6207" s="13"/>
      <c r="E6207" s="13"/>
      <c r="F6207" s="13"/>
      <c r="G6207" s="13"/>
      <c r="H6207" s="13"/>
      <c r="I6207" s="13"/>
      <c r="J6207" s="13"/>
      <c r="K6207" s="15"/>
      <c r="L6207" s="15"/>
      <c r="M6207" s="16"/>
      <c r="N6207" s="16"/>
      <c r="O6207" s="17"/>
      <c r="P6207" s="17"/>
      <c r="Q6207" s="13"/>
      <c r="R6207" s="13"/>
      <c r="S6207" s="13"/>
      <c r="T6207" s="13"/>
      <c r="U6207" s="13"/>
      <c r="V6207" s="13"/>
      <c r="W6207" s="13"/>
      <c r="X6207" s="13"/>
      <c r="Y6207" s="13"/>
      <c r="Z6207" s="13"/>
      <c r="AA6207" s="13"/>
      <c r="AB6207" s="13"/>
      <c r="AC6207" s="13"/>
      <c r="AD6207" s="13"/>
      <c r="AE6207" s="13"/>
      <c r="AF6207" s="13"/>
      <c r="AG6207" s="13"/>
      <c r="AH6207" s="13"/>
      <c r="AI6207" s="13"/>
      <c r="AJ6207" s="13"/>
      <c r="AK6207" s="13"/>
      <c r="AL6207" s="13"/>
      <c r="AM6207" s="13"/>
      <c r="AN6207" s="13"/>
      <c r="AO6207" s="13"/>
      <c r="AP6207" s="13"/>
      <c r="AQ6207" s="13"/>
      <c r="AR6207" s="13"/>
      <c r="AS6207" s="13"/>
    </row>
    <row r="6208" ht="14.25" customHeight="1">
      <c r="A6208" s="13"/>
      <c r="B6208" s="13"/>
      <c r="C6208" s="13"/>
      <c r="D6208" s="13"/>
      <c r="E6208" s="13"/>
      <c r="F6208" s="13"/>
      <c r="G6208" s="13"/>
      <c r="H6208" s="13"/>
      <c r="I6208" s="13"/>
      <c r="J6208" s="13"/>
      <c r="K6208" s="15"/>
      <c r="L6208" s="15"/>
      <c r="M6208" s="16"/>
      <c r="N6208" s="16"/>
      <c r="O6208" s="17"/>
      <c r="P6208" s="17"/>
      <c r="Q6208" s="13"/>
      <c r="R6208" s="13"/>
      <c r="S6208" s="13"/>
      <c r="T6208" s="13"/>
      <c r="U6208" s="13"/>
      <c r="V6208" s="13"/>
      <c r="W6208" s="13"/>
      <c r="X6208" s="13"/>
      <c r="Y6208" s="13"/>
      <c r="Z6208" s="13"/>
      <c r="AA6208" s="13"/>
      <c r="AB6208" s="13"/>
      <c r="AC6208" s="13"/>
      <c r="AD6208" s="13"/>
      <c r="AE6208" s="13"/>
      <c r="AF6208" s="13"/>
      <c r="AG6208" s="13"/>
      <c r="AH6208" s="13"/>
      <c r="AI6208" s="13"/>
      <c r="AJ6208" s="13"/>
      <c r="AK6208" s="13"/>
      <c r="AL6208" s="13"/>
      <c r="AM6208" s="13"/>
      <c r="AN6208" s="13"/>
      <c r="AO6208" s="13"/>
      <c r="AP6208" s="13"/>
      <c r="AQ6208" s="13"/>
      <c r="AR6208" s="13"/>
      <c r="AS6208" s="13"/>
    </row>
    <row r="6209" ht="14.25" customHeight="1">
      <c r="A6209" s="13"/>
      <c r="B6209" s="13"/>
      <c r="C6209" s="13"/>
      <c r="D6209" s="13"/>
      <c r="E6209" s="13"/>
      <c r="F6209" s="13"/>
      <c r="G6209" s="13"/>
      <c r="H6209" s="13"/>
      <c r="I6209" s="13"/>
      <c r="J6209" s="13"/>
      <c r="K6209" s="15"/>
      <c r="L6209" s="15"/>
      <c r="M6209" s="16"/>
      <c r="N6209" s="16"/>
      <c r="O6209" s="17"/>
      <c r="P6209" s="17"/>
      <c r="Q6209" s="13"/>
      <c r="R6209" s="13"/>
      <c r="S6209" s="13"/>
      <c r="T6209" s="13"/>
      <c r="U6209" s="13"/>
      <c r="V6209" s="13"/>
      <c r="W6209" s="13"/>
      <c r="X6209" s="13"/>
      <c r="Y6209" s="13"/>
      <c r="Z6209" s="13"/>
      <c r="AA6209" s="13"/>
      <c r="AB6209" s="13"/>
      <c r="AC6209" s="13"/>
      <c r="AD6209" s="13"/>
      <c r="AE6209" s="13"/>
      <c r="AF6209" s="13"/>
      <c r="AG6209" s="13"/>
      <c r="AH6209" s="13"/>
      <c r="AI6209" s="13"/>
      <c r="AJ6209" s="13"/>
      <c r="AK6209" s="13"/>
      <c r="AL6209" s="13"/>
      <c r="AM6209" s="13"/>
      <c r="AN6209" s="13"/>
      <c r="AO6209" s="13"/>
      <c r="AP6209" s="13"/>
      <c r="AQ6209" s="13"/>
      <c r="AR6209" s="13"/>
      <c r="AS6209" s="13"/>
    </row>
    <row r="6210" ht="14.25" customHeight="1">
      <c r="A6210" s="13"/>
      <c r="B6210" s="13"/>
      <c r="C6210" s="13"/>
      <c r="D6210" s="13"/>
      <c r="E6210" s="13"/>
      <c r="F6210" s="13"/>
      <c r="G6210" s="13"/>
      <c r="H6210" s="13"/>
      <c r="I6210" s="13"/>
      <c r="J6210" s="13"/>
      <c r="K6210" s="15"/>
      <c r="L6210" s="15"/>
      <c r="M6210" s="16"/>
      <c r="N6210" s="16"/>
      <c r="O6210" s="17"/>
      <c r="P6210" s="17"/>
      <c r="Q6210" s="13"/>
      <c r="R6210" s="13"/>
      <c r="S6210" s="13"/>
      <c r="T6210" s="13"/>
      <c r="U6210" s="13"/>
      <c r="V6210" s="13"/>
      <c r="W6210" s="13"/>
      <c r="X6210" s="13"/>
      <c r="Y6210" s="13"/>
      <c r="Z6210" s="13"/>
      <c r="AA6210" s="13"/>
      <c r="AB6210" s="13"/>
      <c r="AC6210" s="13"/>
      <c r="AD6210" s="13"/>
      <c r="AE6210" s="13"/>
      <c r="AF6210" s="13"/>
      <c r="AG6210" s="13"/>
      <c r="AH6210" s="13"/>
      <c r="AI6210" s="13"/>
      <c r="AJ6210" s="13"/>
      <c r="AK6210" s="13"/>
      <c r="AL6210" s="13"/>
      <c r="AM6210" s="13"/>
      <c r="AN6210" s="13"/>
      <c r="AO6210" s="13"/>
      <c r="AP6210" s="13"/>
      <c r="AQ6210" s="13"/>
      <c r="AR6210" s="13"/>
      <c r="AS6210" s="13"/>
    </row>
    <row r="6211" ht="14.25" customHeight="1">
      <c r="A6211" s="13"/>
      <c r="B6211" s="13"/>
      <c r="C6211" s="13"/>
      <c r="D6211" s="13"/>
      <c r="E6211" s="13"/>
      <c r="F6211" s="13"/>
      <c r="G6211" s="13"/>
      <c r="H6211" s="13"/>
      <c r="I6211" s="13"/>
      <c r="J6211" s="13"/>
      <c r="K6211" s="15"/>
      <c r="L6211" s="15"/>
      <c r="M6211" s="16"/>
      <c r="N6211" s="16"/>
      <c r="O6211" s="17"/>
      <c r="P6211" s="17"/>
      <c r="Q6211" s="13"/>
      <c r="R6211" s="13"/>
      <c r="S6211" s="13"/>
      <c r="T6211" s="13"/>
      <c r="U6211" s="13"/>
      <c r="V6211" s="13"/>
      <c r="W6211" s="13"/>
      <c r="X6211" s="13"/>
      <c r="Y6211" s="13"/>
      <c r="Z6211" s="13"/>
      <c r="AA6211" s="13"/>
      <c r="AB6211" s="13"/>
      <c r="AC6211" s="13"/>
      <c r="AD6211" s="13"/>
      <c r="AE6211" s="13"/>
      <c r="AF6211" s="13"/>
      <c r="AG6211" s="13"/>
      <c r="AH6211" s="13"/>
      <c r="AI6211" s="13"/>
      <c r="AJ6211" s="13"/>
      <c r="AK6211" s="13"/>
      <c r="AL6211" s="13"/>
      <c r="AM6211" s="13"/>
      <c r="AN6211" s="13"/>
      <c r="AO6211" s="13"/>
      <c r="AP6211" s="13"/>
      <c r="AQ6211" s="13"/>
      <c r="AR6211" s="13"/>
      <c r="AS6211" s="13"/>
    </row>
    <row r="6212" ht="14.25" customHeight="1">
      <c r="A6212" s="13"/>
      <c r="B6212" s="13"/>
      <c r="C6212" s="13"/>
      <c r="D6212" s="13"/>
      <c r="E6212" s="13"/>
      <c r="F6212" s="13"/>
      <c r="G6212" s="13"/>
      <c r="H6212" s="13"/>
      <c r="I6212" s="13"/>
      <c r="J6212" s="13"/>
      <c r="K6212" s="15"/>
      <c r="L6212" s="15"/>
      <c r="M6212" s="16"/>
      <c r="N6212" s="16"/>
      <c r="O6212" s="17"/>
      <c r="P6212" s="17"/>
      <c r="Q6212" s="13"/>
      <c r="R6212" s="13"/>
      <c r="S6212" s="13"/>
      <c r="T6212" s="13"/>
      <c r="U6212" s="13"/>
      <c r="V6212" s="13"/>
      <c r="W6212" s="13"/>
      <c r="X6212" s="13"/>
      <c r="Y6212" s="13"/>
      <c r="Z6212" s="13"/>
      <c r="AA6212" s="13"/>
      <c r="AB6212" s="13"/>
      <c r="AC6212" s="13"/>
      <c r="AD6212" s="13"/>
      <c r="AE6212" s="13"/>
      <c r="AF6212" s="13"/>
      <c r="AG6212" s="13"/>
      <c r="AH6212" s="13"/>
      <c r="AI6212" s="13"/>
      <c r="AJ6212" s="13"/>
      <c r="AK6212" s="13"/>
      <c r="AL6212" s="13"/>
      <c r="AM6212" s="13"/>
      <c r="AN6212" s="13"/>
      <c r="AO6212" s="13"/>
      <c r="AP6212" s="13"/>
      <c r="AQ6212" s="13"/>
      <c r="AR6212" s="13"/>
      <c r="AS6212" s="13"/>
    </row>
    <row r="6213" ht="14.25" customHeight="1">
      <c r="A6213" s="13"/>
      <c r="B6213" s="13"/>
      <c r="C6213" s="13"/>
      <c r="D6213" s="13"/>
      <c r="E6213" s="13"/>
      <c r="F6213" s="13"/>
      <c r="G6213" s="13"/>
      <c r="H6213" s="13"/>
      <c r="I6213" s="13"/>
      <c r="J6213" s="13"/>
      <c r="K6213" s="15"/>
      <c r="L6213" s="15"/>
      <c r="M6213" s="16"/>
      <c r="N6213" s="16"/>
      <c r="O6213" s="17"/>
      <c r="P6213" s="17"/>
      <c r="Q6213" s="13"/>
      <c r="R6213" s="13"/>
      <c r="S6213" s="13"/>
      <c r="T6213" s="13"/>
      <c r="U6213" s="13"/>
      <c r="V6213" s="13"/>
      <c r="W6213" s="13"/>
      <c r="X6213" s="13"/>
      <c r="Y6213" s="13"/>
      <c r="Z6213" s="13"/>
      <c r="AA6213" s="13"/>
      <c r="AB6213" s="13"/>
      <c r="AC6213" s="13"/>
      <c r="AD6213" s="13"/>
      <c r="AE6213" s="13"/>
      <c r="AF6213" s="13"/>
      <c r="AG6213" s="13"/>
      <c r="AH6213" s="13"/>
      <c r="AI6213" s="13"/>
      <c r="AJ6213" s="13"/>
      <c r="AK6213" s="13"/>
      <c r="AL6213" s="13"/>
      <c r="AM6213" s="13"/>
      <c r="AN6213" s="13"/>
      <c r="AO6213" s="13"/>
      <c r="AP6213" s="13"/>
      <c r="AQ6213" s="13"/>
      <c r="AR6213" s="13"/>
      <c r="AS6213" s="13"/>
    </row>
    <row r="6214" ht="14.25" customHeight="1">
      <c r="A6214" s="13"/>
      <c r="B6214" s="13"/>
      <c r="C6214" s="13"/>
      <c r="D6214" s="13"/>
      <c r="E6214" s="13"/>
      <c r="F6214" s="13"/>
      <c r="G6214" s="13"/>
      <c r="H6214" s="13"/>
      <c r="I6214" s="13"/>
      <c r="J6214" s="13"/>
      <c r="K6214" s="15"/>
      <c r="L6214" s="15"/>
      <c r="M6214" s="16"/>
      <c r="N6214" s="16"/>
      <c r="O6214" s="17"/>
      <c r="P6214" s="17"/>
      <c r="Q6214" s="13"/>
      <c r="R6214" s="13"/>
      <c r="S6214" s="13"/>
      <c r="T6214" s="13"/>
      <c r="U6214" s="13"/>
      <c r="V6214" s="13"/>
      <c r="W6214" s="13"/>
      <c r="X6214" s="13"/>
      <c r="Y6214" s="13"/>
      <c r="Z6214" s="13"/>
      <c r="AA6214" s="13"/>
      <c r="AB6214" s="13"/>
      <c r="AC6214" s="13"/>
      <c r="AD6214" s="13"/>
      <c r="AE6214" s="13"/>
      <c r="AF6214" s="13"/>
      <c r="AG6214" s="13"/>
      <c r="AH6214" s="13"/>
      <c r="AI6214" s="13"/>
      <c r="AJ6214" s="13"/>
      <c r="AK6214" s="13"/>
      <c r="AL6214" s="13"/>
      <c r="AM6214" s="13"/>
      <c r="AN6214" s="13"/>
      <c r="AO6214" s="13"/>
      <c r="AP6214" s="13"/>
      <c r="AQ6214" s="13"/>
      <c r="AR6214" s="13"/>
      <c r="AS6214" s="13"/>
    </row>
    <row r="6215" ht="14.25" customHeight="1">
      <c r="A6215" s="13"/>
      <c r="B6215" s="13"/>
      <c r="C6215" s="13"/>
      <c r="D6215" s="13"/>
      <c r="E6215" s="13"/>
      <c r="F6215" s="13"/>
      <c r="G6215" s="13"/>
      <c r="H6215" s="13"/>
      <c r="I6215" s="13"/>
      <c r="J6215" s="13"/>
      <c r="K6215" s="15"/>
      <c r="L6215" s="15"/>
      <c r="M6215" s="16"/>
      <c r="N6215" s="16"/>
      <c r="O6215" s="17"/>
      <c r="P6215" s="17"/>
      <c r="Q6215" s="13"/>
      <c r="R6215" s="13"/>
      <c r="S6215" s="13"/>
      <c r="T6215" s="13"/>
      <c r="U6215" s="13"/>
      <c r="V6215" s="13"/>
      <c r="W6215" s="13"/>
      <c r="X6215" s="13"/>
      <c r="Y6215" s="13"/>
      <c r="Z6215" s="13"/>
      <c r="AA6215" s="13"/>
      <c r="AB6215" s="13"/>
      <c r="AC6215" s="13"/>
      <c r="AD6215" s="13"/>
      <c r="AE6215" s="13"/>
      <c r="AF6215" s="13"/>
      <c r="AG6215" s="13"/>
      <c r="AH6215" s="13"/>
      <c r="AI6215" s="13"/>
      <c r="AJ6215" s="13"/>
      <c r="AK6215" s="13"/>
      <c r="AL6215" s="13"/>
      <c r="AM6215" s="13"/>
      <c r="AN6215" s="13"/>
      <c r="AO6215" s="13"/>
      <c r="AP6215" s="13"/>
      <c r="AQ6215" s="13"/>
      <c r="AR6215" s="13"/>
      <c r="AS6215" s="13"/>
    </row>
    <row r="6216" ht="14.25" customHeight="1">
      <c r="A6216" s="13"/>
      <c r="B6216" s="13"/>
      <c r="C6216" s="13"/>
      <c r="D6216" s="13"/>
      <c r="E6216" s="13"/>
      <c r="F6216" s="13"/>
      <c r="G6216" s="13"/>
      <c r="H6216" s="13"/>
      <c r="I6216" s="13"/>
      <c r="J6216" s="13"/>
      <c r="K6216" s="15"/>
      <c r="L6216" s="15"/>
      <c r="M6216" s="16"/>
      <c r="N6216" s="16"/>
      <c r="O6216" s="17"/>
      <c r="P6216" s="17"/>
      <c r="Q6216" s="13"/>
      <c r="R6216" s="13"/>
      <c r="S6216" s="13"/>
      <c r="T6216" s="13"/>
      <c r="U6216" s="13"/>
      <c r="V6216" s="13"/>
      <c r="W6216" s="13"/>
      <c r="X6216" s="13"/>
      <c r="Y6216" s="13"/>
      <c r="Z6216" s="13"/>
      <c r="AA6216" s="13"/>
      <c r="AB6216" s="13"/>
      <c r="AC6216" s="13"/>
      <c r="AD6216" s="13"/>
      <c r="AE6216" s="13"/>
      <c r="AF6216" s="13"/>
      <c r="AG6216" s="13"/>
      <c r="AH6216" s="13"/>
      <c r="AI6216" s="13"/>
      <c r="AJ6216" s="13"/>
      <c r="AK6216" s="13"/>
      <c r="AL6216" s="13"/>
      <c r="AM6216" s="13"/>
      <c r="AN6216" s="13"/>
      <c r="AO6216" s="13"/>
      <c r="AP6216" s="13"/>
      <c r="AQ6216" s="13"/>
      <c r="AR6216" s="13"/>
      <c r="AS6216" s="13"/>
    </row>
    <row r="6217" ht="14.25" customHeight="1">
      <c r="A6217" s="13"/>
      <c r="B6217" s="13"/>
      <c r="C6217" s="13"/>
      <c r="D6217" s="13"/>
      <c r="E6217" s="13"/>
      <c r="F6217" s="13"/>
      <c r="G6217" s="13"/>
      <c r="H6217" s="13"/>
      <c r="I6217" s="13"/>
      <c r="J6217" s="13"/>
      <c r="K6217" s="15"/>
      <c r="L6217" s="15"/>
      <c r="M6217" s="16"/>
      <c r="N6217" s="16"/>
      <c r="O6217" s="17"/>
      <c r="P6217" s="17"/>
      <c r="Q6217" s="13"/>
      <c r="R6217" s="13"/>
      <c r="S6217" s="13"/>
      <c r="T6217" s="13"/>
      <c r="U6217" s="13"/>
      <c r="V6217" s="13"/>
      <c r="W6217" s="13"/>
      <c r="X6217" s="13"/>
      <c r="Y6217" s="13"/>
      <c r="Z6217" s="13"/>
      <c r="AA6217" s="13"/>
      <c r="AB6217" s="13"/>
      <c r="AC6217" s="13"/>
      <c r="AD6217" s="13"/>
      <c r="AE6217" s="13"/>
      <c r="AF6217" s="13"/>
      <c r="AG6217" s="13"/>
      <c r="AH6217" s="13"/>
      <c r="AI6217" s="13"/>
      <c r="AJ6217" s="13"/>
      <c r="AK6217" s="13"/>
      <c r="AL6217" s="13"/>
      <c r="AM6217" s="13"/>
      <c r="AN6217" s="13"/>
      <c r="AO6217" s="13"/>
      <c r="AP6217" s="13"/>
      <c r="AQ6217" s="13"/>
      <c r="AR6217" s="13"/>
      <c r="AS6217" s="13"/>
    </row>
    <row r="6218" ht="14.25" customHeight="1">
      <c r="A6218" s="13"/>
      <c r="B6218" s="13"/>
      <c r="C6218" s="13"/>
      <c r="D6218" s="13"/>
      <c r="E6218" s="13"/>
      <c r="F6218" s="13"/>
      <c r="G6218" s="13"/>
      <c r="H6218" s="13"/>
      <c r="I6218" s="13"/>
      <c r="J6218" s="13"/>
      <c r="K6218" s="15"/>
      <c r="L6218" s="15"/>
      <c r="M6218" s="16"/>
      <c r="N6218" s="16"/>
      <c r="O6218" s="17"/>
      <c r="P6218" s="17"/>
      <c r="Q6218" s="13"/>
      <c r="R6218" s="13"/>
      <c r="S6218" s="13"/>
      <c r="T6218" s="13"/>
      <c r="U6218" s="13"/>
      <c r="V6218" s="13"/>
      <c r="W6218" s="13"/>
      <c r="X6218" s="13"/>
      <c r="Y6218" s="13"/>
      <c r="Z6218" s="13"/>
      <c r="AA6218" s="13"/>
      <c r="AB6218" s="13"/>
      <c r="AC6218" s="13"/>
      <c r="AD6218" s="13"/>
      <c r="AE6218" s="13"/>
      <c r="AF6218" s="13"/>
      <c r="AG6218" s="13"/>
      <c r="AH6218" s="13"/>
      <c r="AI6218" s="13"/>
      <c r="AJ6218" s="13"/>
      <c r="AK6218" s="13"/>
      <c r="AL6218" s="13"/>
      <c r="AM6218" s="13"/>
      <c r="AN6218" s="13"/>
      <c r="AO6218" s="13"/>
      <c r="AP6218" s="13"/>
      <c r="AQ6218" s="13"/>
      <c r="AR6218" s="13"/>
      <c r="AS6218" s="13"/>
    </row>
    <row r="6219" ht="14.25" customHeight="1">
      <c r="A6219" s="13"/>
      <c r="B6219" s="13"/>
      <c r="C6219" s="13"/>
      <c r="D6219" s="13"/>
      <c r="E6219" s="13"/>
      <c r="F6219" s="13"/>
      <c r="G6219" s="13"/>
      <c r="H6219" s="13"/>
      <c r="I6219" s="13"/>
      <c r="J6219" s="13"/>
      <c r="K6219" s="15"/>
      <c r="L6219" s="15"/>
      <c r="M6219" s="16"/>
      <c r="N6219" s="16"/>
      <c r="O6219" s="17"/>
      <c r="P6219" s="17"/>
      <c r="Q6219" s="13"/>
      <c r="R6219" s="13"/>
      <c r="S6219" s="13"/>
      <c r="T6219" s="13"/>
      <c r="U6219" s="13"/>
      <c r="V6219" s="13"/>
      <c r="W6219" s="13"/>
      <c r="X6219" s="13"/>
      <c r="Y6219" s="13"/>
      <c r="Z6219" s="13"/>
      <c r="AA6219" s="13"/>
      <c r="AB6219" s="13"/>
      <c r="AC6219" s="13"/>
      <c r="AD6219" s="13"/>
      <c r="AE6219" s="13"/>
      <c r="AF6219" s="13"/>
      <c r="AG6219" s="13"/>
      <c r="AH6219" s="13"/>
      <c r="AI6219" s="13"/>
      <c r="AJ6219" s="13"/>
      <c r="AK6219" s="13"/>
      <c r="AL6219" s="13"/>
      <c r="AM6219" s="13"/>
      <c r="AN6219" s="13"/>
      <c r="AO6219" s="13"/>
      <c r="AP6219" s="13"/>
      <c r="AQ6219" s="13"/>
      <c r="AR6219" s="13"/>
      <c r="AS6219" s="13"/>
    </row>
    <row r="6220" ht="14.25" customHeight="1">
      <c r="A6220" s="13"/>
      <c r="B6220" s="13"/>
      <c r="C6220" s="13"/>
      <c r="D6220" s="13"/>
      <c r="E6220" s="13"/>
      <c r="F6220" s="13"/>
      <c r="G6220" s="13"/>
      <c r="H6220" s="13"/>
      <c r="I6220" s="13"/>
      <c r="J6220" s="13"/>
      <c r="K6220" s="15"/>
      <c r="L6220" s="15"/>
      <c r="M6220" s="16"/>
      <c r="N6220" s="16"/>
      <c r="O6220" s="17"/>
      <c r="P6220" s="17"/>
      <c r="Q6220" s="13"/>
      <c r="R6220" s="13"/>
      <c r="S6220" s="13"/>
      <c r="T6220" s="13"/>
      <c r="U6220" s="13"/>
      <c r="V6220" s="13"/>
      <c r="W6220" s="13"/>
      <c r="X6220" s="13"/>
      <c r="Y6220" s="13"/>
      <c r="Z6220" s="13"/>
      <c r="AA6220" s="13"/>
      <c r="AB6220" s="13"/>
      <c r="AC6220" s="13"/>
      <c r="AD6220" s="13"/>
      <c r="AE6220" s="13"/>
      <c r="AF6220" s="13"/>
      <c r="AG6220" s="13"/>
      <c r="AH6220" s="13"/>
      <c r="AI6220" s="13"/>
      <c r="AJ6220" s="13"/>
      <c r="AK6220" s="13"/>
      <c r="AL6220" s="13"/>
      <c r="AM6220" s="13"/>
      <c r="AN6220" s="13"/>
      <c r="AO6220" s="13"/>
      <c r="AP6220" s="13"/>
      <c r="AQ6220" s="13"/>
      <c r="AR6220" s="13"/>
      <c r="AS6220" s="13"/>
    </row>
    <row r="6221" ht="14.25" customHeight="1">
      <c r="A6221" s="13"/>
      <c r="B6221" s="13"/>
      <c r="C6221" s="13"/>
      <c r="D6221" s="13"/>
      <c r="E6221" s="13"/>
      <c r="F6221" s="13"/>
      <c r="G6221" s="13"/>
      <c r="H6221" s="13"/>
      <c r="I6221" s="13"/>
      <c r="J6221" s="13"/>
      <c r="K6221" s="15"/>
      <c r="L6221" s="15"/>
      <c r="M6221" s="16"/>
      <c r="N6221" s="16"/>
      <c r="O6221" s="17"/>
      <c r="P6221" s="17"/>
      <c r="Q6221" s="13"/>
      <c r="R6221" s="13"/>
      <c r="S6221" s="13"/>
      <c r="T6221" s="13"/>
      <c r="U6221" s="13"/>
      <c r="V6221" s="13"/>
      <c r="W6221" s="13"/>
      <c r="X6221" s="13"/>
      <c r="Y6221" s="13"/>
      <c r="Z6221" s="13"/>
      <c r="AA6221" s="13"/>
      <c r="AB6221" s="13"/>
      <c r="AC6221" s="13"/>
      <c r="AD6221" s="13"/>
      <c r="AE6221" s="13"/>
      <c r="AF6221" s="13"/>
      <c r="AG6221" s="13"/>
      <c r="AH6221" s="13"/>
      <c r="AI6221" s="13"/>
      <c r="AJ6221" s="13"/>
      <c r="AK6221" s="13"/>
      <c r="AL6221" s="13"/>
      <c r="AM6221" s="13"/>
      <c r="AN6221" s="13"/>
      <c r="AO6221" s="13"/>
      <c r="AP6221" s="13"/>
      <c r="AQ6221" s="13"/>
      <c r="AR6221" s="13"/>
      <c r="AS6221" s="13"/>
    </row>
    <row r="6222" ht="14.25" customHeight="1">
      <c r="A6222" s="13"/>
      <c r="B6222" s="13"/>
      <c r="C6222" s="13"/>
      <c r="D6222" s="13"/>
      <c r="E6222" s="13"/>
      <c r="F6222" s="13"/>
      <c r="G6222" s="13"/>
      <c r="H6222" s="13"/>
      <c r="I6222" s="13"/>
      <c r="J6222" s="13"/>
      <c r="K6222" s="15"/>
      <c r="L6222" s="15"/>
      <c r="M6222" s="16"/>
      <c r="N6222" s="16"/>
      <c r="O6222" s="17"/>
      <c r="P6222" s="17"/>
      <c r="Q6222" s="13"/>
      <c r="R6222" s="13"/>
      <c r="S6222" s="13"/>
      <c r="T6222" s="13"/>
      <c r="U6222" s="13"/>
      <c r="V6222" s="13"/>
      <c r="W6222" s="13"/>
      <c r="X6222" s="13"/>
      <c r="Y6222" s="13"/>
      <c r="Z6222" s="13"/>
      <c r="AA6222" s="13"/>
      <c r="AB6222" s="13"/>
      <c r="AC6222" s="13"/>
      <c r="AD6222" s="13"/>
      <c r="AE6222" s="13"/>
      <c r="AF6222" s="13"/>
      <c r="AG6222" s="13"/>
      <c r="AH6222" s="13"/>
      <c r="AI6222" s="13"/>
      <c r="AJ6222" s="13"/>
      <c r="AK6222" s="13"/>
      <c r="AL6222" s="13"/>
      <c r="AM6222" s="13"/>
      <c r="AN6222" s="13"/>
      <c r="AO6222" s="13"/>
      <c r="AP6222" s="13"/>
      <c r="AQ6222" s="13"/>
      <c r="AR6222" s="13"/>
      <c r="AS6222" s="13"/>
    </row>
    <row r="6223" ht="14.25" customHeight="1">
      <c r="A6223" s="13"/>
      <c r="B6223" s="13"/>
      <c r="C6223" s="13"/>
      <c r="D6223" s="13"/>
      <c r="E6223" s="13"/>
      <c r="F6223" s="13"/>
      <c r="G6223" s="13"/>
      <c r="H6223" s="13"/>
      <c r="I6223" s="13"/>
      <c r="J6223" s="13"/>
      <c r="K6223" s="15"/>
      <c r="L6223" s="15"/>
      <c r="M6223" s="16"/>
      <c r="N6223" s="16"/>
      <c r="O6223" s="17"/>
      <c r="P6223" s="17"/>
      <c r="Q6223" s="13"/>
      <c r="R6223" s="13"/>
      <c r="S6223" s="13"/>
      <c r="T6223" s="13"/>
      <c r="U6223" s="13"/>
      <c r="V6223" s="13"/>
      <c r="W6223" s="13"/>
      <c r="X6223" s="13"/>
      <c r="Y6223" s="13"/>
      <c r="Z6223" s="13"/>
      <c r="AA6223" s="13"/>
      <c r="AB6223" s="13"/>
      <c r="AC6223" s="13"/>
      <c r="AD6223" s="13"/>
      <c r="AE6223" s="13"/>
      <c r="AF6223" s="13"/>
      <c r="AG6223" s="13"/>
      <c r="AH6223" s="13"/>
      <c r="AI6223" s="13"/>
      <c r="AJ6223" s="13"/>
      <c r="AK6223" s="13"/>
      <c r="AL6223" s="13"/>
      <c r="AM6223" s="13"/>
      <c r="AN6223" s="13"/>
      <c r="AO6223" s="13"/>
      <c r="AP6223" s="13"/>
      <c r="AQ6223" s="13"/>
      <c r="AR6223" s="13"/>
      <c r="AS6223" s="13"/>
    </row>
    <row r="6224" ht="14.25" customHeight="1">
      <c r="A6224" s="13"/>
      <c r="B6224" s="13"/>
      <c r="C6224" s="13"/>
      <c r="D6224" s="13"/>
      <c r="E6224" s="13"/>
      <c r="F6224" s="13"/>
      <c r="G6224" s="13"/>
      <c r="H6224" s="13"/>
      <c r="I6224" s="13"/>
      <c r="J6224" s="13"/>
      <c r="K6224" s="15"/>
      <c r="L6224" s="15"/>
      <c r="M6224" s="16"/>
      <c r="N6224" s="16"/>
      <c r="O6224" s="17"/>
      <c r="P6224" s="17"/>
      <c r="Q6224" s="13"/>
      <c r="R6224" s="13"/>
      <c r="S6224" s="13"/>
      <c r="T6224" s="13"/>
      <c r="U6224" s="13"/>
      <c r="V6224" s="13"/>
      <c r="W6224" s="13"/>
      <c r="X6224" s="13"/>
      <c r="Y6224" s="13"/>
      <c r="Z6224" s="13"/>
      <c r="AA6224" s="13"/>
      <c r="AB6224" s="13"/>
      <c r="AC6224" s="13"/>
      <c r="AD6224" s="13"/>
      <c r="AE6224" s="13"/>
      <c r="AF6224" s="13"/>
      <c r="AG6224" s="13"/>
      <c r="AH6224" s="13"/>
      <c r="AI6224" s="13"/>
      <c r="AJ6224" s="13"/>
      <c r="AK6224" s="13"/>
      <c r="AL6224" s="13"/>
      <c r="AM6224" s="13"/>
      <c r="AN6224" s="13"/>
      <c r="AO6224" s="13"/>
      <c r="AP6224" s="13"/>
      <c r="AQ6224" s="13"/>
      <c r="AR6224" s="13"/>
      <c r="AS6224" s="13"/>
    </row>
    <row r="6225" ht="14.25" customHeight="1">
      <c r="A6225" s="13"/>
      <c r="B6225" s="13"/>
      <c r="C6225" s="13"/>
      <c r="D6225" s="13"/>
      <c r="E6225" s="13"/>
      <c r="F6225" s="13"/>
      <c r="G6225" s="13"/>
      <c r="H6225" s="13"/>
      <c r="I6225" s="13"/>
      <c r="J6225" s="13"/>
      <c r="K6225" s="15"/>
      <c r="L6225" s="15"/>
      <c r="M6225" s="16"/>
      <c r="N6225" s="16"/>
      <c r="O6225" s="17"/>
      <c r="P6225" s="17"/>
      <c r="Q6225" s="13"/>
      <c r="R6225" s="13"/>
      <c r="S6225" s="13"/>
      <c r="T6225" s="13"/>
      <c r="U6225" s="13"/>
      <c r="V6225" s="13"/>
      <c r="W6225" s="13"/>
      <c r="X6225" s="13"/>
      <c r="Y6225" s="13"/>
      <c r="Z6225" s="13"/>
      <c r="AA6225" s="13"/>
      <c r="AB6225" s="13"/>
      <c r="AC6225" s="13"/>
      <c r="AD6225" s="13"/>
      <c r="AE6225" s="13"/>
      <c r="AF6225" s="13"/>
      <c r="AG6225" s="13"/>
      <c r="AH6225" s="13"/>
      <c r="AI6225" s="13"/>
      <c r="AJ6225" s="13"/>
      <c r="AK6225" s="13"/>
      <c r="AL6225" s="13"/>
      <c r="AM6225" s="13"/>
      <c r="AN6225" s="13"/>
      <c r="AO6225" s="13"/>
      <c r="AP6225" s="13"/>
      <c r="AQ6225" s="13"/>
      <c r="AR6225" s="13"/>
      <c r="AS6225" s="13"/>
    </row>
    <row r="6226" ht="14.25" customHeight="1">
      <c r="A6226" s="13"/>
      <c r="B6226" s="13"/>
      <c r="C6226" s="13"/>
      <c r="D6226" s="13"/>
      <c r="E6226" s="13"/>
      <c r="F6226" s="13"/>
      <c r="G6226" s="13"/>
      <c r="H6226" s="13"/>
      <c r="I6226" s="13"/>
      <c r="J6226" s="13"/>
      <c r="K6226" s="15"/>
      <c r="L6226" s="15"/>
      <c r="M6226" s="16"/>
      <c r="N6226" s="16"/>
      <c r="O6226" s="17"/>
      <c r="P6226" s="17"/>
      <c r="Q6226" s="13"/>
      <c r="R6226" s="13"/>
      <c r="S6226" s="13"/>
      <c r="T6226" s="13"/>
      <c r="U6226" s="13"/>
      <c r="V6226" s="13"/>
      <c r="W6226" s="13"/>
      <c r="X6226" s="13"/>
      <c r="Y6226" s="13"/>
      <c r="Z6226" s="13"/>
      <c r="AA6226" s="13"/>
      <c r="AB6226" s="13"/>
      <c r="AC6226" s="13"/>
      <c r="AD6226" s="13"/>
      <c r="AE6226" s="13"/>
      <c r="AF6226" s="13"/>
      <c r="AG6226" s="13"/>
      <c r="AH6226" s="13"/>
      <c r="AI6226" s="13"/>
      <c r="AJ6226" s="13"/>
      <c r="AK6226" s="13"/>
      <c r="AL6226" s="13"/>
      <c r="AM6226" s="13"/>
      <c r="AN6226" s="13"/>
      <c r="AO6226" s="13"/>
      <c r="AP6226" s="13"/>
      <c r="AQ6226" s="13"/>
      <c r="AR6226" s="13"/>
      <c r="AS6226" s="13"/>
    </row>
    <row r="6227" ht="14.25" customHeight="1">
      <c r="A6227" s="13"/>
      <c r="B6227" s="13"/>
      <c r="C6227" s="13"/>
      <c r="D6227" s="13"/>
      <c r="E6227" s="13"/>
      <c r="F6227" s="13"/>
      <c r="G6227" s="13"/>
      <c r="H6227" s="13"/>
      <c r="I6227" s="13"/>
      <c r="J6227" s="13"/>
      <c r="K6227" s="15"/>
      <c r="L6227" s="15"/>
      <c r="M6227" s="16"/>
      <c r="N6227" s="16"/>
      <c r="O6227" s="17"/>
      <c r="P6227" s="17"/>
      <c r="Q6227" s="13"/>
      <c r="R6227" s="13"/>
      <c r="S6227" s="13"/>
      <c r="T6227" s="13"/>
      <c r="U6227" s="13"/>
      <c r="V6227" s="13"/>
      <c r="W6227" s="13"/>
      <c r="X6227" s="13"/>
      <c r="Y6227" s="13"/>
      <c r="Z6227" s="13"/>
      <c r="AA6227" s="13"/>
      <c r="AB6227" s="13"/>
      <c r="AC6227" s="13"/>
      <c r="AD6227" s="13"/>
      <c r="AE6227" s="13"/>
      <c r="AF6227" s="13"/>
      <c r="AG6227" s="13"/>
      <c r="AH6227" s="13"/>
      <c r="AI6227" s="13"/>
      <c r="AJ6227" s="13"/>
      <c r="AK6227" s="13"/>
      <c r="AL6227" s="13"/>
      <c r="AM6227" s="13"/>
      <c r="AN6227" s="13"/>
      <c r="AO6227" s="13"/>
      <c r="AP6227" s="13"/>
      <c r="AQ6227" s="13"/>
      <c r="AR6227" s="13"/>
      <c r="AS6227" s="13"/>
    </row>
    <row r="6228" ht="14.25" customHeight="1">
      <c r="A6228" s="13"/>
      <c r="B6228" s="13"/>
      <c r="C6228" s="13"/>
      <c r="D6228" s="13"/>
      <c r="E6228" s="13"/>
      <c r="F6228" s="13"/>
      <c r="G6228" s="13"/>
      <c r="H6228" s="13"/>
      <c r="I6228" s="13"/>
      <c r="J6228" s="13"/>
      <c r="K6228" s="15"/>
      <c r="L6228" s="15"/>
      <c r="M6228" s="16"/>
      <c r="N6228" s="16"/>
      <c r="O6228" s="17"/>
      <c r="P6228" s="17"/>
      <c r="Q6228" s="13"/>
      <c r="R6228" s="13"/>
      <c r="S6228" s="13"/>
      <c r="T6228" s="13"/>
      <c r="U6228" s="13"/>
      <c r="V6228" s="13"/>
      <c r="W6228" s="13"/>
      <c r="X6228" s="13"/>
      <c r="Y6228" s="13"/>
      <c r="Z6228" s="13"/>
      <c r="AA6228" s="13"/>
      <c r="AB6228" s="13"/>
      <c r="AC6228" s="13"/>
      <c r="AD6228" s="13"/>
      <c r="AE6228" s="13"/>
      <c r="AF6228" s="13"/>
      <c r="AG6228" s="13"/>
      <c r="AH6228" s="13"/>
      <c r="AI6228" s="13"/>
      <c r="AJ6228" s="13"/>
      <c r="AK6228" s="13"/>
      <c r="AL6228" s="13"/>
      <c r="AM6228" s="13"/>
      <c r="AN6228" s="13"/>
      <c r="AO6228" s="13"/>
      <c r="AP6228" s="13"/>
      <c r="AQ6228" s="13"/>
      <c r="AR6228" s="13"/>
      <c r="AS6228" s="13"/>
    </row>
    <row r="6229" ht="14.25" customHeight="1">
      <c r="A6229" s="13"/>
      <c r="B6229" s="13"/>
      <c r="C6229" s="13"/>
      <c r="D6229" s="13"/>
      <c r="E6229" s="13"/>
      <c r="F6229" s="13"/>
      <c r="G6229" s="13"/>
      <c r="H6229" s="13"/>
      <c r="I6229" s="13"/>
      <c r="J6229" s="13"/>
      <c r="K6229" s="15"/>
      <c r="L6229" s="15"/>
      <c r="M6229" s="16"/>
      <c r="N6229" s="16"/>
      <c r="O6229" s="17"/>
      <c r="P6229" s="17"/>
      <c r="Q6229" s="13"/>
      <c r="R6229" s="13"/>
      <c r="S6229" s="13"/>
      <c r="T6229" s="13"/>
      <c r="U6229" s="13"/>
      <c r="V6229" s="13"/>
      <c r="W6229" s="13"/>
      <c r="X6229" s="13"/>
      <c r="Y6229" s="13"/>
      <c r="Z6229" s="13"/>
      <c r="AA6229" s="13"/>
      <c r="AB6229" s="13"/>
      <c r="AC6229" s="13"/>
      <c r="AD6229" s="13"/>
      <c r="AE6229" s="13"/>
      <c r="AF6229" s="13"/>
      <c r="AG6229" s="13"/>
      <c r="AH6229" s="13"/>
      <c r="AI6229" s="13"/>
      <c r="AJ6229" s="13"/>
      <c r="AK6229" s="13"/>
      <c r="AL6229" s="13"/>
      <c r="AM6229" s="13"/>
      <c r="AN6229" s="13"/>
      <c r="AO6229" s="13"/>
      <c r="AP6229" s="13"/>
      <c r="AQ6229" s="13"/>
      <c r="AR6229" s="13"/>
      <c r="AS6229" s="13"/>
    </row>
    <row r="6230" ht="14.25" customHeight="1">
      <c r="A6230" s="13"/>
      <c r="B6230" s="13"/>
      <c r="C6230" s="13"/>
      <c r="D6230" s="13"/>
      <c r="E6230" s="13"/>
      <c r="F6230" s="13"/>
      <c r="G6230" s="13"/>
      <c r="H6230" s="13"/>
      <c r="I6230" s="13"/>
      <c r="J6230" s="13"/>
      <c r="K6230" s="15"/>
      <c r="L6230" s="15"/>
      <c r="M6230" s="16"/>
      <c r="N6230" s="16"/>
      <c r="O6230" s="17"/>
      <c r="P6230" s="17"/>
      <c r="Q6230" s="13"/>
      <c r="R6230" s="13"/>
      <c r="S6230" s="13"/>
      <c r="T6230" s="13"/>
      <c r="U6230" s="13"/>
      <c r="V6230" s="13"/>
      <c r="W6230" s="13"/>
      <c r="X6230" s="13"/>
      <c r="Y6230" s="13"/>
      <c r="Z6230" s="13"/>
      <c r="AA6230" s="13"/>
      <c r="AB6230" s="13"/>
      <c r="AC6230" s="13"/>
      <c r="AD6230" s="13"/>
      <c r="AE6230" s="13"/>
      <c r="AF6230" s="13"/>
      <c r="AG6230" s="13"/>
      <c r="AH6230" s="13"/>
      <c r="AI6230" s="13"/>
      <c r="AJ6230" s="13"/>
      <c r="AK6230" s="13"/>
      <c r="AL6230" s="13"/>
      <c r="AM6230" s="13"/>
      <c r="AN6230" s="13"/>
      <c r="AO6230" s="13"/>
      <c r="AP6230" s="13"/>
      <c r="AQ6230" s="13"/>
      <c r="AR6230" s="13"/>
      <c r="AS6230" s="13"/>
    </row>
    <row r="6231" ht="14.25" customHeight="1">
      <c r="A6231" s="13"/>
      <c r="B6231" s="13"/>
      <c r="C6231" s="13"/>
      <c r="D6231" s="13"/>
      <c r="E6231" s="13"/>
      <c r="F6231" s="13"/>
      <c r="G6231" s="13"/>
      <c r="H6231" s="13"/>
      <c r="I6231" s="13"/>
      <c r="J6231" s="13"/>
      <c r="K6231" s="15"/>
      <c r="L6231" s="15"/>
      <c r="M6231" s="16"/>
      <c r="N6231" s="16"/>
      <c r="O6231" s="17"/>
      <c r="P6231" s="17"/>
      <c r="Q6231" s="13"/>
      <c r="R6231" s="13"/>
      <c r="S6231" s="13"/>
      <c r="T6231" s="13"/>
      <c r="U6231" s="13"/>
      <c r="V6231" s="13"/>
      <c r="W6231" s="13"/>
      <c r="X6231" s="13"/>
      <c r="Y6231" s="13"/>
      <c r="Z6231" s="13"/>
      <c r="AA6231" s="13"/>
      <c r="AB6231" s="13"/>
      <c r="AC6231" s="13"/>
      <c r="AD6231" s="13"/>
      <c r="AE6231" s="13"/>
      <c r="AF6231" s="13"/>
      <c r="AG6231" s="13"/>
      <c r="AH6231" s="13"/>
      <c r="AI6231" s="13"/>
      <c r="AJ6231" s="13"/>
      <c r="AK6231" s="13"/>
      <c r="AL6231" s="13"/>
      <c r="AM6231" s="13"/>
      <c r="AN6231" s="13"/>
      <c r="AO6231" s="13"/>
      <c r="AP6231" s="13"/>
      <c r="AQ6231" s="13"/>
      <c r="AR6231" s="13"/>
      <c r="AS6231" s="13"/>
    </row>
    <row r="6232" ht="14.25" customHeight="1">
      <c r="A6232" s="13"/>
      <c r="B6232" s="13"/>
      <c r="C6232" s="13"/>
      <c r="D6232" s="13"/>
      <c r="E6232" s="13"/>
      <c r="F6232" s="13"/>
      <c r="G6232" s="13"/>
      <c r="H6232" s="13"/>
      <c r="I6232" s="13"/>
      <c r="J6232" s="13"/>
      <c r="K6232" s="15"/>
      <c r="L6232" s="15"/>
      <c r="M6232" s="16"/>
      <c r="N6232" s="16"/>
      <c r="O6232" s="17"/>
      <c r="P6232" s="17"/>
      <c r="Q6232" s="13"/>
      <c r="R6232" s="13"/>
      <c r="S6232" s="13"/>
      <c r="T6232" s="13"/>
      <c r="U6232" s="13"/>
      <c r="V6232" s="13"/>
      <c r="W6232" s="13"/>
      <c r="X6232" s="13"/>
      <c r="Y6232" s="13"/>
      <c r="Z6232" s="13"/>
      <c r="AA6232" s="13"/>
      <c r="AB6232" s="13"/>
      <c r="AC6232" s="13"/>
      <c r="AD6232" s="13"/>
      <c r="AE6232" s="13"/>
      <c r="AF6232" s="13"/>
      <c r="AG6232" s="13"/>
      <c r="AH6232" s="13"/>
      <c r="AI6232" s="13"/>
      <c r="AJ6232" s="13"/>
      <c r="AK6232" s="13"/>
      <c r="AL6232" s="13"/>
      <c r="AM6232" s="13"/>
      <c r="AN6232" s="13"/>
      <c r="AO6232" s="13"/>
      <c r="AP6232" s="13"/>
      <c r="AQ6232" s="13"/>
      <c r="AR6232" s="13"/>
      <c r="AS6232" s="13"/>
    </row>
    <row r="6233" ht="14.25" customHeight="1">
      <c r="A6233" s="13"/>
      <c r="B6233" s="13"/>
      <c r="C6233" s="13"/>
      <c r="D6233" s="13"/>
      <c r="E6233" s="13"/>
      <c r="F6233" s="13"/>
      <c r="G6233" s="13"/>
      <c r="H6233" s="13"/>
      <c r="I6233" s="13"/>
      <c r="J6233" s="13"/>
      <c r="K6233" s="15"/>
      <c r="L6233" s="15"/>
      <c r="M6233" s="16"/>
      <c r="N6233" s="16"/>
      <c r="O6233" s="17"/>
      <c r="P6233" s="17"/>
      <c r="Q6233" s="13"/>
      <c r="R6233" s="13"/>
      <c r="S6233" s="13"/>
      <c r="T6233" s="13"/>
      <c r="U6233" s="13"/>
      <c r="V6233" s="13"/>
      <c r="W6233" s="13"/>
      <c r="X6233" s="13"/>
      <c r="Y6233" s="13"/>
      <c r="Z6233" s="13"/>
      <c r="AA6233" s="13"/>
      <c r="AB6233" s="13"/>
      <c r="AC6233" s="13"/>
      <c r="AD6233" s="13"/>
      <c r="AE6233" s="13"/>
      <c r="AF6233" s="13"/>
      <c r="AG6233" s="13"/>
      <c r="AH6233" s="13"/>
      <c r="AI6233" s="13"/>
      <c r="AJ6233" s="13"/>
      <c r="AK6233" s="13"/>
      <c r="AL6233" s="13"/>
      <c r="AM6233" s="13"/>
      <c r="AN6233" s="13"/>
      <c r="AO6233" s="13"/>
      <c r="AP6233" s="13"/>
      <c r="AQ6233" s="13"/>
      <c r="AR6233" s="13"/>
      <c r="AS6233" s="13"/>
    </row>
    <row r="6234" ht="14.25" customHeight="1">
      <c r="A6234" s="13"/>
      <c r="B6234" s="13"/>
      <c r="C6234" s="13"/>
      <c r="D6234" s="13"/>
      <c r="E6234" s="13"/>
      <c r="F6234" s="13"/>
      <c r="G6234" s="13"/>
      <c r="H6234" s="13"/>
      <c r="I6234" s="13"/>
      <c r="J6234" s="13"/>
      <c r="K6234" s="15"/>
      <c r="L6234" s="15"/>
      <c r="M6234" s="16"/>
      <c r="N6234" s="16"/>
      <c r="O6234" s="17"/>
      <c r="P6234" s="17"/>
      <c r="Q6234" s="13"/>
      <c r="R6234" s="13"/>
      <c r="S6234" s="13"/>
      <c r="T6234" s="13"/>
      <c r="U6234" s="13"/>
      <c r="V6234" s="13"/>
      <c r="W6234" s="13"/>
      <c r="X6234" s="13"/>
      <c r="Y6234" s="13"/>
      <c r="Z6234" s="13"/>
      <c r="AA6234" s="13"/>
      <c r="AB6234" s="13"/>
      <c r="AC6234" s="13"/>
      <c r="AD6234" s="13"/>
      <c r="AE6234" s="13"/>
      <c r="AF6234" s="13"/>
      <c r="AG6234" s="13"/>
      <c r="AH6234" s="13"/>
      <c r="AI6234" s="13"/>
      <c r="AJ6234" s="13"/>
      <c r="AK6234" s="13"/>
      <c r="AL6234" s="13"/>
      <c r="AM6234" s="13"/>
      <c r="AN6234" s="13"/>
      <c r="AO6234" s="13"/>
      <c r="AP6234" s="13"/>
      <c r="AQ6234" s="13"/>
      <c r="AR6234" s="13"/>
      <c r="AS6234" s="13"/>
    </row>
    <row r="6235" ht="14.25" customHeight="1">
      <c r="A6235" s="13"/>
      <c r="B6235" s="13"/>
      <c r="C6235" s="13"/>
      <c r="D6235" s="13"/>
      <c r="E6235" s="13"/>
      <c r="F6235" s="13"/>
      <c r="G6235" s="13"/>
      <c r="H6235" s="13"/>
      <c r="I6235" s="13"/>
      <c r="J6235" s="13"/>
      <c r="K6235" s="15"/>
      <c r="L6235" s="15"/>
      <c r="M6235" s="16"/>
      <c r="N6235" s="16"/>
      <c r="O6235" s="17"/>
      <c r="P6235" s="17"/>
      <c r="Q6235" s="13"/>
      <c r="R6235" s="13"/>
      <c r="S6235" s="13"/>
      <c r="T6235" s="13"/>
      <c r="U6235" s="13"/>
      <c r="V6235" s="13"/>
      <c r="W6235" s="13"/>
      <c r="X6235" s="13"/>
      <c r="Y6235" s="13"/>
      <c r="Z6235" s="13"/>
      <c r="AA6235" s="13"/>
      <c r="AB6235" s="13"/>
      <c r="AC6235" s="13"/>
      <c r="AD6235" s="13"/>
      <c r="AE6235" s="13"/>
      <c r="AF6235" s="13"/>
      <c r="AG6235" s="13"/>
      <c r="AH6235" s="13"/>
      <c r="AI6235" s="13"/>
      <c r="AJ6235" s="13"/>
      <c r="AK6235" s="13"/>
      <c r="AL6235" s="13"/>
      <c r="AM6235" s="13"/>
      <c r="AN6235" s="13"/>
      <c r="AO6235" s="13"/>
      <c r="AP6235" s="13"/>
      <c r="AQ6235" s="13"/>
      <c r="AR6235" s="13"/>
      <c r="AS6235" s="13"/>
    </row>
    <row r="6236" ht="14.25" customHeight="1">
      <c r="A6236" s="13"/>
      <c r="B6236" s="13"/>
      <c r="C6236" s="13"/>
      <c r="D6236" s="13"/>
      <c r="E6236" s="13"/>
      <c r="F6236" s="13"/>
      <c r="G6236" s="13"/>
      <c r="H6236" s="13"/>
      <c r="I6236" s="13"/>
      <c r="J6236" s="13"/>
      <c r="K6236" s="15"/>
      <c r="L6236" s="15"/>
      <c r="M6236" s="16"/>
      <c r="N6236" s="16"/>
      <c r="O6236" s="17"/>
      <c r="P6236" s="17"/>
      <c r="Q6236" s="13"/>
      <c r="R6236" s="13"/>
      <c r="S6236" s="13"/>
      <c r="T6236" s="13"/>
      <c r="U6236" s="13"/>
      <c r="V6236" s="13"/>
      <c r="W6236" s="13"/>
      <c r="X6236" s="13"/>
      <c r="Y6236" s="13"/>
      <c r="Z6236" s="13"/>
      <c r="AA6236" s="13"/>
      <c r="AB6236" s="13"/>
      <c r="AC6236" s="13"/>
      <c r="AD6236" s="13"/>
      <c r="AE6236" s="13"/>
      <c r="AF6236" s="13"/>
      <c r="AG6236" s="13"/>
      <c r="AH6236" s="13"/>
      <c r="AI6236" s="13"/>
      <c r="AJ6236" s="13"/>
      <c r="AK6236" s="13"/>
      <c r="AL6236" s="13"/>
      <c r="AM6236" s="13"/>
      <c r="AN6236" s="13"/>
      <c r="AO6236" s="13"/>
      <c r="AP6236" s="13"/>
      <c r="AQ6236" s="13"/>
      <c r="AR6236" s="13"/>
      <c r="AS6236" s="13"/>
    </row>
    <row r="6237" ht="14.25" customHeight="1">
      <c r="A6237" s="13"/>
      <c r="B6237" s="13"/>
      <c r="C6237" s="13"/>
      <c r="D6237" s="13"/>
      <c r="E6237" s="13"/>
      <c r="F6237" s="13"/>
      <c r="G6237" s="13"/>
      <c r="H6237" s="13"/>
      <c r="I6237" s="13"/>
      <c r="J6237" s="13"/>
      <c r="K6237" s="15"/>
      <c r="L6237" s="15"/>
      <c r="M6237" s="16"/>
      <c r="N6237" s="16"/>
      <c r="O6237" s="17"/>
      <c r="P6237" s="17"/>
      <c r="Q6237" s="13"/>
      <c r="R6237" s="13"/>
      <c r="S6237" s="13"/>
      <c r="T6237" s="13"/>
      <c r="U6237" s="13"/>
      <c r="V6237" s="13"/>
      <c r="W6237" s="13"/>
      <c r="X6237" s="13"/>
      <c r="Y6237" s="13"/>
      <c r="Z6237" s="13"/>
      <c r="AA6237" s="13"/>
      <c r="AB6237" s="13"/>
      <c r="AC6237" s="13"/>
      <c r="AD6237" s="13"/>
      <c r="AE6237" s="13"/>
      <c r="AF6237" s="13"/>
      <c r="AG6237" s="13"/>
      <c r="AH6237" s="13"/>
      <c r="AI6237" s="13"/>
      <c r="AJ6237" s="13"/>
      <c r="AK6237" s="13"/>
      <c r="AL6237" s="13"/>
      <c r="AM6237" s="13"/>
      <c r="AN6237" s="13"/>
      <c r="AO6237" s="13"/>
      <c r="AP6237" s="13"/>
      <c r="AQ6237" s="13"/>
      <c r="AR6237" s="13"/>
      <c r="AS6237" s="13"/>
    </row>
    <row r="6238" ht="14.25" customHeight="1">
      <c r="A6238" s="13"/>
      <c r="B6238" s="13"/>
      <c r="C6238" s="13"/>
      <c r="D6238" s="13"/>
      <c r="E6238" s="13"/>
      <c r="F6238" s="13"/>
      <c r="G6238" s="13"/>
      <c r="H6238" s="13"/>
      <c r="I6238" s="13"/>
      <c r="J6238" s="13"/>
      <c r="K6238" s="15"/>
      <c r="L6238" s="15"/>
      <c r="M6238" s="16"/>
      <c r="N6238" s="16"/>
      <c r="O6238" s="17"/>
      <c r="P6238" s="17"/>
      <c r="Q6238" s="13"/>
      <c r="R6238" s="13"/>
      <c r="S6238" s="13"/>
      <c r="T6238" s="13"/>
      <c r="U6238" s="13"/>
      <c r="V6238" s="13"/>
      <c r="W6238" s="13"/>
      <c r="X6238" s="13"/>
      <c r="Y6238" s="13"/>
      <c r="Z6238" s="13"/>
      <c r="AA6238" s="13"/>
      <c r="AB6238" s="13"/>
      <c r="AC6238" s="13"/>
      <c r="AD6238" s="13"/>
      <c r="AE6238" s="13"/>
      <c r="AF6238" s="13"/>
      <c r="AG6238" s="13"/>
      <c r="AH6238" s="13"/>
      <c r="AI6238" s="13"/>
      <c r="AJ6238" s="13"/>
      <c r="AK6238" s="13"/>
      <c r="AL6238" s="13"/>
      <c r="AM6238" s="13"/>
      <c r="AN6238" s="13"/>
      <c r="AO6238" s="13"/>
      <c r="AP6238" s="13"/>
      <c r="AQ6238" s="13"/>
      <c r="AR6238" s="13"/>
      <c r="AS6238" s="13"/>
    </row>
    <row r="6239" ht="14.25" customHeight="1">
      <c r="A6239" s="13"/>
      <c r="B6239" s="13"/>
      <c r="C6239" s="13"/>
      <c r="D6239" s="13"/>
      <c r="E6239" s="13"/>
      <c r="F6239" s="13"/>
      <c r="G6239" s="13"/>
      <c r="H6239" s="13"/>
      <c r="I6239" s="13"/>
      <c r="J6239" s="13"/>
      <c r="K6239" s="15"/>
      <c r="L6239" s="15"/>
      <c r="M6239" s="16"/>
      <c r="N6239" s="16"/>
      <c r="O6239" s="17"/>
      <c r="P6239" s="17"/>
      <c r="Q6239" s="13"/>
      <c r="R6239" s="13"/>
      <c r="S6239" s="13"/>
      <c r="T6239" s="13"/>
      <c r="U6239" s="13"/>
      <c r="V6239" s="13"/>
      <c r="W6239" s="13"/>
      <c r="X6239" s="13"/>
      <c r="Y6239" s="13"/>
      <c r="Z6239" s="13"/>
      <c r="AA6239" s="13"/>
      <c r="AB6239" s="13"/>
      <c r="AC6239" s="13"/>
      <c r="AD6239" s="13"/>
      <c r="AE6239" s="13"/>
      <c r="AF6239" s="13"/>
      <c r="AG6239" s="13"/>
      <c r="AH6239" s="13"/>
      <c r="AI6239" s="13"/>
      <c r="AJ6239" s="13"/>
      <c r="AK6239" s="13"/>
      <c r="AL6239" s="13"/>
      <c r="AM6239" s="13"/>
      <c r="AN6239" s="13"/>
      <c r="AO6239" s="13"/>
      <c r="AP6239" s="13"/>
      <c r="AQ6239" s="13"/>
      <c r="AR6239" s="13"/>
      <c r="AS6239" s="13"/>
    </row>
    <row r="6240" ht="14.25" customHeight="1">
      <c r="A6240" s="13"/>
      <c r="B6240" s="13"/>
      <c r="C6240" s="13"/>
      <c r="D6240" s="13"/>
      <c r="E6240" s="13"/>
      <c r="F6240" s="13"/>
      <c r="G6240" s="13"/>
      <c r="H6240" s="13"/>
      <c r="I6240" s="13"/>
      <c r="J6240" s="13"/>
      <c r="K6240" s="15"/>
      <c r="L6240" s="15"/>
      <c r="M6240" s="16"/>
      <c r="N6240" s="16"/>
      <c r="O6240" s="17"/>
      <c r="P6240" s="17"/>
      <c r="Q6240" s="13"/>
      <c r="R6240" s="13"/>
      <c r="S6240" s="13"/>
      <c r="T6240" s="13"/>
      <c r="U6240" s="13"/>
      <c r="V6240" s="13"/>
      <c r="W6240" s="13"/>
      <c r="X6240" s="13"/>
      <c r="Y6240" s="13"/>
      <c r="Z6240" s="13"/>
      <c r="AA6240" s="13"/>
      <c r="AB6240" s="13"/>
      <c r="AC6240" s="13"/>
      <c r="AD6240" s="13"/>
      <c r="AE6240" s="13"/>
      <c r="AF6240" s="13"/>
      <c r="AG6240" s="13"/>
      <c r="AH6240" s="13"/>
      <c r="AI6240" s="13"/>
      <c r="AJ6240" s="13"/>
      <c r="AK6240" s="13"/>
      <c r="AL6240" s="13"/>
      <c r="AM6240" s="13"/>
      <c r="AN6240" s="13"/>
      <c r="AO6240" s="13"/>
      <c r="AP6240" s="13"/>
      <c r="AQ6240" s="13"/>
      <c r="AR6240" s="13"/>
      <c r="AS6240" s="13"/>
    </row>
    <row r="6241" ht="14.25" customHeight="1">
      <c r="A6241" s="13"/>
      <c r="B6241" s="13"/>
      <c r="C6241" s="13"/>
      <c r="D6241" s="13"/>
      <c r="E6241" s="13"/>
      <c r="F6241" s="13"/>
      <c r="G6241" s="13"/>
      <c r="H6241" s="13"/>
      <c r="I6241" s="13"/>
      <c r="J6241" s="13"/>
      <c r="K6241" s="15"/>
      <c r="L6241" s="15"/>
      <c r="M6241" s="16"/>
      <c r="N6241" s="16"/>
      <c r="O6241" s="17"/>
      <c r="P6241" s="17"/>
      <c r="Q6241" s="13"/>
      <c r="R6241" s="13"/>
      <c r="S6241" s="13"/>
      <c r="T6241" s="13"/>
      <c r="U6241" s="13"/>
      <c r="V6241" s="13"/>
      <c r="W6241" s="13"/>
      <c r="X6241" s="13"/>
      <c r="Y6241" s="13"/>
      <c r="Z6241" s="13"/>
      <c r="AA6241" s="13"/>
      <c r="AB6241" s="13"/>
      <c r="AC6241" s="13"/>
      <c r="AD6241" s="13"/>
      <c r="AE6241" s="13"/>
      <c r="AF6241" s="13"/>
      <c r="AG6241" s="13"/>
      <c r="AH6241" s="13"/>
      <c r="AI6241" s="13"/>
      <c r="AJ6241" s="13"/>
      <c r="AK6241" s="13"/>
      <c r="AL6241" s="13"/>
      <c r="AM6241" s="13"/>
      <c r="AN6241" s="13"/>
      <c r="AO6241" s="13"/>
      <c r="AP6241" s="13"/>
      <c r="AQ6241" s="13"/>
      <c r="AR6241" s="13"/>
      <c r="AS6241" s="13"/>
    </row>
    <row r="6242" ht="14.25" customHeight="1">
      <c r="A6242" s="13"/>
      <c r="B6242" s="13"/>
      <c r="C6242" s="13"/>
      <c r="D6242" s="13"/>
      <c r="E6242" s="13"/>
      <c r="F6242" s="13"/>
      <c r="G6242" s="13"/>
      <c r="H6242" s="13"/>
      <c r="I6242" s="13"/>
      <c r="J6242" s="13"/>
      <c r="K6242" s="15"/>
      <c r="L6242" s="15"/>
      <c r="M6242" s="16"/>
      <c r="N6242" s="16"/>
      <c r="O6242" s="17"/>
      <c r="P6242" s="17"/>
      <c r="Q6242" s="13"/>
      <c r="R6242" s="13"/>
      <c r="S6242" s="13"/>
      <c r="T6242" s="13"/>
      <c r="U6242" s="13"/>
      <c r="V6242" s="13"/>
      <c r="W6242" s="13"/>
      <c r="X6242" s="13"/>
      <c r="Y6242" s="13"/>
      <c r="Z6242" s="13"/>
      <c r="AA6242" s="13"/>
      <c r="AB6242" s="13"/>
      <c r="AC6242" s="13"/>
      <c r="AD6242" s="13"/>
      <c r="AE6242" s="13"/>
      <c r="AF6242" s="13"/>
      <c r="AG6242" s="13"/>
      <c r="AH6242" s="13"/>
      <c r="AI6242" s="13"/>
      <c r="AJ6242" s="13"/>
      <c r="AK6242" s="13"/>
      <c r="AL6242" s="13"/>
      <c r="AM6242" s="13"/>
      <c r="AN6242" s="13"/>
      <c r="AO6242" s="13"/>
      <c r="AP6242" s="13"/>
      <c r="AQ6242" s="13"/>
      <c r="AR6242" s="13"/>
      <c r="AS6242" s="13"/>
    </row>
  </sheetData>
  <autoFilter ref="$A$1:$AB$2812">
    <filterColumn colId="0">
      <filters>
        <filter val="POAU"/>
      </filters>
    </filterColumn>
    <filterColumn colId="1">
      <filters>
        <filter val="LA7"/>
        <filter val="LPEF"/>
        <filter val="COHR"/>
        <filter val="ZC"/>
        <filter val="SJC"/>
        <filter val="JLP"/>
        <filter val="HUNT"/>
        <filter val="PALM"/>
        <filter val="RL5"/>
        <filter val="SFAEF"/>
        <filter val="SHS"/>
      </filters>
    </filterColumn>
  </autoFilter>
  <customSheetViews>
    <customSheetView guid="{23C93939-78C2-4AD6-A7B4-8983D30DC1B2}" filter="1" showAutoFilter="1">
      <autoFilter ref="$K$5"/>
      <extLst>
        <ext uri="GoogleSheetsCustomDataVersion1">
          <go:sheetsCustomData xmlns:go="http://customooxmlschemas.google.com/" filterViewId="117743156"/>
        </ext>
      </extLst>
    </customSheetView>
    <customSheetView guid="{B1C1A5C1-D915-4884-93F4-2F69B7A8FB3D}" filter="1" showAutoFilter="1">
      <autoFilter ref="$A$1:$AB$2812"/>
      <extLst>
        <ext uri="GoogleSheetsCustomDataVersion1">
          <go:sheetsCustomData xmlns:go="http://customooxmlschemas.google.com/" filterViewId="615531049"/>
        </ext>
      </extLst>
    </customSheetView>
  </customSheetView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17.43"/>
    <col customWidth="1" min="3" max="4" width="20.86"/>
    <col customWidth="1" min="5" max="6" width="18.71"/>
    <col customWidth="1" min="7" max="7" width="16.14"/>
    <col customWidth="1" min="8" max="8" width="56.86"/>
    <col customWidth="1" min="9" max="9" width="25.14"/>
    <col customWidth="1" min="10" max="10" width="22.43"/>
    <col customWidth="1" min="11" max="11" width="21.43"/>
    <col customWidth="1" min="12" max="12" width="19.86"/>
    <col customWidth="1" min="13" max="13" width="16.43"/>
    <col customWidth="1" min="14" max="14" width="17.43"/>
    <col customWidth="1" min="15" max="15" width="15.0"/>
    <col customWidth="1" min="16" max="26" width="8.71"/>
  </cols>
  <sheetData>
    <row r="1" ht="14.25" customHeight="1">
      <c r="A1" s="4" t="s">
        <v>2166</v>
      </c>
      <c r="B1" s="4" t="s">
        <v>2167</v>
      </c>
      <c r="C1" s="4" t="s">
        <v>2168</v>
      </c>
      <c r="D1" s="4" t="s">
        <v>2169</v>
      </c>
      <c r="E1" s="4" t="s">
        <v>2170</v>
      </c>
      <c r="F1" s="4" t="s">
        <v>2171</v>
      </c>
      <c r="G1" s="4" t="s">
        <v>2172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29</v>
      </c>
      <c r="B2" s="4" t="s">
        <v>2173</v>
      </c>
      <c r="C2" s="4" t="s">
        <v>2174</v>
      </c>
      <c r="D2" s="4" t="s">
        <v>2175</v>
      </c>
      <c r="E2" s="44">
        <v>44748.0</v>
      </c>
      <c r="F2" s="44">
        <f t="shared" ref="F2:F8" si="1">E2+14</f>
        <v>44762</v>
      </c>
      <c r="G2" s="4">
        <v>144.0</v>
      </c>
      <c r="H2" s="4"/>
      <c r="I2" s="45" t="s">
        <v>2176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29</v>
      </c>
      <c r="B3" s="4" t="s">
        <v>30</v>
      </c>
      <c r="C3" s="4" t="s">
        <v>2177</v>
      </c>
      <c r="D3" s="4" t="s">
        <v>2175</v>
      </c>
      <c r="E3" s="44">
        <v>44748.0</v>
      </c>
      <c r="F3" s="44">
        <f t="shared" si="1"/>
        <v>44762</v>
      </c>
      <c r="G3" s="4">
        <v>144.0</v>
      </c>
      <c r="H3" s="4"/>
      <c r="I3" s="46" t="s">
        <v>24</v>
      </c>
      <c r="J3" s="47" t="s">
        <v>25</v>
      </c>
      <c r="K3" s="47" t="s">
        <v>2175</v>
      </c>
      <c r="L3" s="48" t="s">
        <v>2178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29</v>
      </c>
      <c r="B4" s="4" t="s">
        <v>30</v>
      </c>
      <c r="C4" s="4" t="s">
        <v>2179</v>
      </c>
      <c r="D4" s="4" t="s">
        <v>2180</v>
      </c>
      <c r="E4" s="44">
        <v>44749.0</v>
      </c>
      <c r="F4" s="44">
        <f t="shared" si="1"/>
        <v>44763</v>
      </c>
      <c r="G4" s="4">
        <v>72.0</v>
      </c>
      <c r="H4" s="4"/>
      <c r="I4" s="49" t="s">
        <v>29</v>
      </c>
      <c r="J4" s="4"/>
      <c r="K4" s="50">
        <f t="shared" ref="K4:L4" si="2">K5+K6+K7</f>
        <v>2160</v>
      </c>
      <c r="L4" s="51">
        <f t="shared" si="2"/>
        <v>2160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29</v>
      </c>
      <c r="B5" s="4" t="s">
        <v>30</v>
      </c>
      <c r="C5" s="4" t="s">
        <v>2181</v>
      </c>
      <c r="D5" s="4" t="s">
        <v>2180</v>
      </c>
      <c r="E5" s="44">
        <v>44749.0</v>
      </c>
      <c r="F5" s="44">
        <f t="shared" si="1"/>
        <v>44763</v>
      </c>
      <c r="G5" s="4">
        <v>216.0</v>
      </c>
      <c r="H5" s="4"/>
      <c r="I5" s="49"/>
      <c r="J5" s="4" t="s">
        <v>30</v>
      </c>
      <c r="K5" s="52">
        <f>360+36+180+144</f>
        <v>720</v>
      </c>
      <c r="L5" s="53">
        <f>360+108+108+36+108</f>
        <v>720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 t="s">
        <v>29</v>
      </c>
      <c r="B6" s="4" t="s">
        <v>30</v>
      </c>
      <c r="C6" s="4" t="s">
        <v>2182</v>
      </c>
      <c r="D6" s="4" t="s">
        <v>2180</v>
      </c>
      <c r="E6" s="44">
        <v>44753.0</v>
      </c>
      <c r="F6" s="44">
        <f t="shared" si="1"/>
        <v>44767</v>
      </c>
      <c r="G6" s="4">
        <v>36.0</v>
      </c>
      <c r="H6" s="4"/>
      <c r="I6" s="49"/>
      <c r="J6" s="4" t="s">
        <v>32</v>
      </c>
      <c r="K6" s="52">
        <f>360+36+36+144+144</f>
        <v>720</v>
      </c>
      <c r="L6" s="53">
        <f>360+72+288</f>
        <v>720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29</v>
      </c>
      <c r="B7" s="4" t="s">
        <v>30</v>
      </c>
      <c r="C7" s="4" t="s">
        <v>2183</v>
      </c>
      <c r="D7" s="4" t="s">
        <v>2180</v>
      </c>
      <c r="E7" s="44">
        <v>44753.0</v>
      </c>
      <c r="F7" s="44">
        <f t="shared" si="1"/>
        <v>44767</v>
      </c>
      <c r="G7" s="4">
        <v>36.0</v>
      </c>
      <c r="H7" s="4"/>
      <c r="I7" s="49"/>
      <c r="J7" s="4" t="s">
        <v>34</v>
      </c>
      <c r="K7" s="52">
        <f>684+36</f>
        <v>720</v>
      </c>
      <c r="L7" s="53">
        <f>576+144</f>
        <v>720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 t="s">
        <v>29</v>
      </c>
      <c r="B8" s="4" t="s">
        <v>30</v>
      </c>
      <c r="C8" s="4" t="s">
        <v>2184</v>
      </c>
      <c r="D8" s="4" t="s">
        <v>2175</v>
      </c>
      <c r="E8" s="44">
        <v>44753.0</v>
      </c>
      <c r="F8" s="44">
        <f t="shared" si="1"/>
        <v>44767</v>
      </c>
      <c r="G8" s="4">
        <v>72.0</v>
      </c>
      <c r="H8" s="4"/>
      <c r="I8" s="49" t="s">
        <v>36</v>
      </c>
      <c r="J8" s="4"/>
      <c r="K8" s="54">
        <f>K9+K10+K11+K12</f>
        <v>1652</v>
      </c>
      <c r="L8" s="55">
        <f>L9+L10+L12+L11</f>
        <v>1756</v>
      </c>
      <c r="M8" s="4"/>
      <c r="N8" s="4" t="s">
        <v>2175</v>
      </c>
      <c r="O8" s="4" t="s">
        <v>2178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4"/>
      <c r="F9" s="44"/>
      <c r="G9" s="4"/>
      <c r="H9" s="4"/>
      <c r="I9" s="49"/>
      <c r="J9" s="4" t="s">
        <v>37</v>
      </c>
      <c r="K9" s="4">
        <f>36*3+54+18+18+14</f>
        <v>212</v>
      </c>
      <c r="L9" s="56">
        <f>36*8+28+72+72</f>
        <v>460</v>
      </c>
      <c r="M9" s="4" t="s">
        <v>724</v>
      </c>
      <c r="N9" s="4">
        <v>216.0</v>
      </c>
      <c r="O9" s="4">
        <f>216+72</f>
        <v>288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 t="s">
        <v>29</v>
      </c>
      <c r="B10" s="4" t="s">
        <v>32</v>
      </c>
      <c r="C10" s="4" t="s">
        <v>2185</v>
      </c>
      <c r="D10" s="4" t="s">
        <v>2180</v>
      </c>
      <c r="E10" s="44">
        <v>44753.0</v>
      </c>
      <c r="F10" s="44">
        <f t="shared" ref="F10:F19" si="3">E10+14</f>
        <v>44767</v>
      </c>
      <c r="G10" s="4">
        <v>144.0</v>
      </c>
      <c r="H10" s="4"/>
      <c r="I10" s="49"/>
      <c r="J10" s="4" t="s">
        <v>39</v>
      </c>
      <c r="K10" s="57">
        <f>144+144+72</f>
        <v>360</v>
      </c>
      <c r="L10" s="58">
        <f>252+180</f>
        <v>432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 t="s">
        <v>29</v>
      </c>
      <c r="B11" s="4" t="s">
        <v>32</v>
      </c>
      <c r="C11" s="4" t="s">
        <v>2186</v>
      </c>
      <c r="D11" s="4" t="s">
        <v>2180</v>
      </c>
      <c r="E11" s="44">
        <v>44754.0</v>
      </c>
      <c r="F11" s="44">
        <f t="shared" si="3"/>
        <v>44768</v>
      </c>
      <c r="G11" s="4">
        <v>216.0</v>
      </c>
      <c r="H11" s="4"/>
      <c r="I11" s="49"/>
      <c r="J11" s="4" t="s">
        <v>41</v>
      </c>
      <c r="K11" s="57">
        <v>432.0</v>
      </c>
      <c r="L11" s="59">
        <f>144+72</f>
        <v>216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 t="s">
        <v>29</v>
      </c>
      <c r="B12" s="4" t="s">
        <v>32</v>
      </c>
      <c r="C12" s="4" t="s">
        <v>2187</v>
      </c>
      <c r="D12" s="4" t="s">
        <v>2175</v>
      </c>
      <c r="E12" s="44">
        <v>44755.0</v>
      </c>
      <c r="F12" s="44">
        <f t="shared" si="3"/>
        <v>44769</v>
      </c>
      <c r="G12" s="4">
        <v>144.0</v>
      </c>
      <c r="H12" s="4"/>
      <c r="I12" s="49"/>
      <c r="J12" s="4" t="s">
        <v>42</v>
      </c>
      <c r="K12" s="57">
        <f>396+36+108+108</f>
        <v>648</v>
      </c>
      <c r="L12" s="58">
        <v>648.0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 t="s">
        <v>29</v>
      </c>
      <c r="B13" s="4" t="s">
        <v>32</v>
      </c>
      <c r="C13" s="4" t="s">
        <v>2188</v>
      </c>
      <c r="D13" s="4" t="s">
        <v>2175</v>
      </c>
      <c r="E13" s="44">
        <v>44756.0</v>
      </c>
      <c r="F13" s="44">
        <f t="shared" si="3"/>
        <v>44770</v>
      </c>
      <c r="G13" s="4">
        <v>216.0</v>
      </c>
      <c r="H13" s="4"/>
      <c r="I13" s="60"/>
      <c r="J13" s="61" t="s">
        <v>44</v>
      </c>
      <c r="K13" s="62">
        <f>72+144+36+36+108+108</f>
        <v>504</v>
      </c>
      <c r="L13" s="63">
        <f>360+108</f>
        <v>468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 t="s">
        <v>29</v>
      </c>
      <c r="B14" s="4" t="s">
        <v>34</v>
      </c>
      <c r="C14" s="4" t="s">
        <v>2189</v>
      </c>
      <c r="D14" s="4" t="s">
        <v>2180</v>
      </c>
      <c r="E14" s="44">
        <v>44742.0</v>
      </c>
      <c r="F14" s="44">
        <f t="shared" si="3"/>
        <v>44756</v>
      </c>
      <c r="G14" s="4">
        <v>216.0</v>
      </c>
      <c r="H14" s="4"/>
      <c r="I14" s="4"/>
      <c r="J14" s="4"/>
      <c r="K14" s="4"/>
      <c r="L14" s="4" t="s">
        <v>2190</v>
      </c>
      <c r="M14" s="64">
        <f>K4+L4+K8+L8+L13+K13</f>
        <v>8700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 t="s">
        <v>29</v>
      </c>
      <c r="B15" s="4" t="s">
        <v>34</v>
      </c>
      <c r="C15" s="4" t="s">
        <v>2191</v>
      </c>
      <c r="D15" s="4" t="s">
        <v>2175</v>
      </c>
      <c r="E15" s="44">
        <v>44742.0</v>
      </c>
      <c r="F15" s="44">
        <f t="shared" si="3"/>
        <v>44756</v>
      </c>
      <c r="G15" s="4">
        <v>288.0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 t="s">
        <v>29</v>
      </c>
      <c r="B16" s="4" t="s">
        <v>34</v>
      </c>
      <c r="C16" s="4" t="s">
        <v>2192</v>
      </c>
      <c r="D16" s="4" t="s">
        <v>2193</v>
      </c>
      <c r="E16" s="44">
        <v>44740.0</v>
      </c>
      <c r="F16" s="44">
        <f t="shared" si="3"/>
        <v>44754</v>
      </c>
      <c r="G16" s="4">
        <v>144.0</v>
      </c>
      <c r="H16" s="4"/>
      <c r="I16" s="46" t="s">
        <v>46</v>
      </c>
      <c r="J16" s="47"/>
      <c r="K16" s="47" t="s">
        <v>2175</v>
      </c>
      <c r="L16" s="48" t="s">
        <v>2178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 t="s">
        <v>29</v>
      </c>
      <c r="B17" s="4" t="s">
        <v>34</v>
      </c>
      <c r="C17" s="4" t="s">
        <v>2194</v>
      </c>
      <c r="D17" s="4" t="s">
        <v>2178</v>
      </c>
      <c r="E17" s="44">
        <v>44742.0</v>
      </c>
      <c r="F17" s="44">
        <f t="shared" si="3"/>
        <v>44756</v>
      </c>
      <c r="G17" s="4">
        <v>216.0</v>
      </c>
      <c r="H17" s="4"/>
      <c r="I17" s="49"/>
      <c r="J17" s="4" t="s">
        <v>47</v>
      </c>
      <c r="K17" s="4">
        <v>49.0</v>
      </c>
      <c r="L17" s="59">
        <v>49.0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 t="s">
        <v>29</v>
      </c>
      <c r="B18" s="4" t="s">
        <v>34</v>
      </c>
      <c r="C18" s="4" t="s">
        <v>2195</v>
      </c>
      <c r="D18" s="4" t="s">
        <v>2175</v>
      </c>
      <c r="E18" s="44">
        <v>44743.0</v>
      </c>
      <c r="F18" s="44">
        <f t="shared" si="3"/>
        <v>44757</v>
      </c>
      <c r="G18" s="4">
        <v>216.0</v>
      </c>
      <c r="H18" s="4"/>
      <c r="I18" s="49"/>
      <c r="J18" s="4" t="s">
        <v>51</v>
      </c>
      <c r="K18" s="4">
        <v>98.0</v>
      </c>
      <c r="L18" s="59">
        <v>98.0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 t="s">
        <v>29</v>
      </c>
      <c r="B19" s="4" t="s">
        <v>34</v>
      </c>
      <c r="C19" s="4" t="s">
        <v>2196</v>
      </c>
      <c r="D19" s="4" t="s">
        <v>2175</v>
      </c>
      <c r="E19" s="44">
        <v>44743.0</v>
      </c>
      <c r="F19" s="44">
        <f t="shared" si="3"/>
        <v>44757</v>
      </c>
      <c r="G19" s="4">
        <v>180.0</v>
      </c>
      <c r="H19" s="4"/>
      <c r="I19" s="49"/>
      <c r="J19" s="4" t="s">
        <v>53</v>
      </c>
      <c r="K19" s="4">
        <v>98.0</v>
      </c>
      <c r="L19" s="59">
        <v>98.0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 t="s">
        <v>36</v>
      </c>
      <c r="B20" s="4" t="s">
        <v>41</v>
      </c>
      <c r="C20" s="4" t="s">
        <v>2197</v>
      </c>
      <c r="D20" s="4" t="s">
        <v>2175</v>
      </c>
      <c r="E20" s="44">
        <v>44757.0</v>
      </c>
      <c r="F20" s="44">
        <f>E20+21</f>
        <v>44778</v>
      </c>
      <c r="G20" s="4">
        <v>72.0</v>
      </c>
      <c r="H20" s="4"/>
      <c r="I20" s="49"/>
      <c r="J20" s="4"/>
      <c r="K20" s="4"/>
      <c r="L20" s="59"/>
      <c r="M20" s="44"/>
      <c r="N20" s="4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 t="s">
        <v>36</v>
      </c>
      <c r="B21" s="4" t="s">
        <v>41</v>
      </c>
      <c r="C21" s="4" t="s">
        <v>2198</v>
      </c>
      <c r="D21" s="4" t="s">
        <v>2175</v>
      </c>
      <c r="E21" s="44">
        <v>44757.0</v>
      </c>
      <c r="F21" s="44">
        <f t="shared" ref="F21:F53" si="5">21+E21</f>
        <v>44778</v>
      </c>
      <c r="G21" s="4">
        <v>72.0</v>
      </c>
      <c r="H21" s="4"/>
      <c r="I21" s="60"/>
      <c r="J21" s="61"/>
      <c r="K21" s="61">
        <f t="shared" ref="K21:L21" si="4">K17+K18+K19</f>
        <v>245</v>
      </c>
      <c r="L21" s="65">
        <f t="shared" si="4"/>
        <v>245</v>
      </c>
      <c r="M21" s="44"/>
      <c r="N21" s="4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 t="s">
        <v>36</v>
      </c>
      <c r="B22" s="4" t="s">
        <v>41</v>
      </c>
      <c r="C22" s="4" t="s">
        <v>2199</v>
      </c>
      <c r="D22" s="4" t="s">
        <v>2175</v>
      </c>
      <c r="E22" s="44">
        <v>44757.0</v>
      </c>
      <c r="F22" s="44">
        <f t="shared" si="5"/>
        <v>44778</v>
      </c>
      <c r="G22" s="4">
        <v>72.0</v>
      </c>
      <c r="H22" s="4"/>
      <c r="I22" s="4"/>
      <c r="J22" s="4"/>
      <c r="K22" s="4"/>
      <c r="L22" s="4" t="s">
        <v>2200</v>
      </c>
      <c r="M22" s="66">
        <f>K21+L21</f>
        <v>490</v>
      </c>
      <c r="N22" s="4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 t="s">
        <v>36</v>
      </c>
      <c r="B23" s="4" t="s">
        <v>41</v>
      </c>
      <c r="C23" s="4" t="s">
        <v>2201</v>
      </c>
      <c r="D23" s="4" t="s">
        <v>2175</v>
      </c>
      <c r="E23" s="44">
        <v>44760.0</v>
      </c>
      <c r="F23" s="44">
        <f t="shared" si="5"/>
        <v>44781</v>
      </c>
      <c r="G23" s="4">
        <v>108.0</v>
      </c>
      <c r="H23" s="4"/>
      <c r="I23" s="4"/>
      <c r="J23" s="4"/>
      <c r="K23" s="4"/>
      <c r="L23" s="4"/>
      <c r="M23" s="44"/>
      <c r="N23" s="4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 t="s">
        <v>36</v>
      </c>
      <c r="B24" s="4" t="s">
        <v>39</v>
      </c>
      <c r="C24" s="4" t="s">
        <v>2202</v>
      </c>
      <c r="D24" s="4" t="s">
        <v>2175</v>
      </c>
      <c r="E24" s="44">
        <v>44760.0</v>
      </c>
      <c r="F24" s="44">
        <f t="shared" si="5"/>
        <v>44781</v>
      </c>
      <c r="G24" s="4">
        <v>36.0</v>
      </c>
      <c r="H24" s="4"/>
      <c r="I24" s="46" t="s">
        <v>2203</v>
      </c>
      <c r="J24" s="47" t="s">
        <v>2175</v>
      </c>
      <c r="K24" s="48" t="s">
        <v>2178</v>
      </c>
      <c r="L24" s="4"/>
      <c r="M24" s="44"/>
      <c r="N24" s="4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 t="s">
        <v>36</v>
      </c>
      <c r="B25" s="4" t="s">
        <v>39</v>
      </c>
      <c r="C25" s="4" t="s">
        <v>2204</v>
      </c>
      <c r="D25" s="4" t="s">
        <v>2205</v>
      </c>
      <c r="E25" s="44">
        <v>44760.0</v>
      </c>
      <c r="F25" s="44">
        <f t="shared" si="5"/>
        <v>44781</v>
      </c>
      <c r="G25" s="4">
        <v>36.0</v>
      </c>
      <c r="H25" s="4"/>
      <c r="I25" s="49" t="s">
        <v>29</v>
      </c>
      <c r="J25" s="4">
        <v>700.0</v>
      </c>
      <c r="K25" s="59">
        <v>700.0</v>
      </c>
      <c r="L25" s="4"/>
      <c r="M25" s="44"/>
      <c r="N25" s="4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 t="s">
        <v>36</v>
      </c>
      <c r="B26" s="4" t="s">
        <v>39</v>
      </c>
      <c r="C26" s="4" t="s">
        <v>2206</v>
      </c>
      <c r="D26" s="4" t="s">
        <v>2178</v>
      </c>
      <c r="E26" s="44">
        <v>44760.0</v>
      </c>
      <c r="F26" s="44">
        <f t="shared" si="5"/>
        <v>44781</v>
      </c>
      <c r="G26" s="4">
        <v>36.0</v>
      </c>
      <c r="H26" s="4"/>
      <c r="I26" s="49" t="s">
        <v>36</v>
      </c>
      <c r="J26" s="4">
        <v>700.0</v>
      </c>
      <c r="K26" s="59">
        <v>700.0</v>
      </c>
      <c r="L26" s="4"/>
      <c r="M26" s="44"/>
      <c r="N26" s="4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 t="s">
        <v>36</v>
      </c>
      <c r="B27" s="4" t="s">
        <v>37</v>
      </c>
      <c r="C27" s="4" t="s">
        <v>2207</v>
      </c>
      <c r="D27" s="4" t="s">
        <v>2178</v>
      </c>
      <c r="E27" s="44">
        <v>44760.0</v>
      </c>
      <c r="F27" s="44">
        <f t="shared" si="5"/>
        <v>44781</v>
      </c>
      <c r="G27" s="4">
        <v>36.0</v>
      </c>
      <c r="H27" s="4"/>
      <c r="I27" s="60" t="s">
        <v>46</v>
      </c>
      <c r="J27" s="61">
        <v>700.0</v>
      </c>
      <c r="K27" s="65">
        <v>700.0</v>
      </c>
      <c r="L27" s="4"/>
      <c r="M27" s="44"/>
      <c r="N27" s="4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 t="s">
        <v>36</v>
      </c>
      <c r="B28" s="4" t="s">
        <v>39</v>
      </c>
      <c r="C28" s="4" t="s">
        <v>2208</v>
      </c>
      <c r="D28" s="4" t="s">
        <v>2178</v>
      </c>
      <c r="E28" s="44">
        <v>44761.0</v>
      </c>
      <c r="F28" s="44">
        <f t="shared" si="5"/>
        <v>44782</v>
      </c>
      <c r="G28" s="4">
        <v>36.0</v>
      </c>
      <c r="H28" s="4"/>
      <c r="I28" s="4"/>
      <c r="J28" s="4"/>
      <c r="K28" s="4"/>
      <c r="L28" s="4"/>
      <c r="M28" s="44"/>
      <c r="N28" s="4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 t="s">
        <v>36</v>
      </c>
      <c r="B29" s="4" t="s">
        <v>39</v>
      </c>
      <c r="C29" s="4" t="s">
        <v>2209</v>
      </c>
      <c r="D29" s="4" t="s">
        <v>2178</v>
      </c>
      <c r="E29" s="44">
        <v>44761.0</v>
      </c>
      <c r="F29" s="44">
        <f t="shared" si="5"/>
        <v>44782</v>
      </c>
      <c r="G29" s="4">
        <v>36.0</v>
      </c>
      <c r="H29" s="4"/>
      <c r="I29" s="4"/>
      <c r="J29" s="4"/>
      <c r="K29" s="4"/>
      <c r="L29" s="4"/>
      <c r="M29" s="44"/>
      <c r="N29" s="4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 t="s">
        <v>36</v>
      </c>
      <c r="B30" s="4" t="s">
        <v>39</v>
      </c>
      <c r="C30" s="67" t="s">
        <v>2210</v>
      </c>
      <c r="D30" s="4" t="s">
        <v>2205</v>
      </c>
      <c r="E30" s="44">
        <v>44761.0</v>
      </c>
      <c r="F30" s="44">
        <f t="shared" si="5"/>
        <v>44782</v>
      </c>
      <c r="G30" s="4">
        <v>72.0</v>
      </c>
      <c r="H30" s="4"/>
      <c r="I30" s="4"/>
      <c r="J30" s="4"/>
      <c r="K30" s="4"/>
      <c r="L30" s="4"/>
      <c r="M30" s="44"/>
      <c r="N30" s="4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 t="s">
        <v>36</v>
      </c>
      <c r="B31" s="4" t="s">
        <v>39</v>
      </c>
      <c r="C31" s="4" t="s">
        <v>2204</v>
      </c>
      <c r="D31" s="4" t="s">
        <v>2205</v>
      </c>
      <c r="E31" s="44">
        <v>44762.0</v>
      </c>
      <c r="F31" s="44">
        <f t="shared" si="5"/>
        <v>44783</v>
      </c>
      <c r="G31" s="4">
        <v>36.0</v>
      </c>
      <c r="H31" s="4"/>
      <c r="I31" s="4"/>
      <c r="J31" s="4"/>
      <c r="K31" s="4"/>
      <c r="L31" s="4"/>
      <c r="M31" s="44"/>
      <c r="N31" s="4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 t="s">
        <v>36</v>
      </c>
      <c r="B32" s="4" t="s">
        <v>39</v>
      </c>
      <c r="C32" s="4" t="s">
        <v>2211</v>
      </c>
      <c r="D32" s="4" t="s">
        <v>2175</v>
      </c>
      <c r="E32" s="44">
        <v>44762.0</v>
      </c>
      <c r="F32" s="44">
        <f t="shared" si="5"/>
        <v>44783</v>
      </c>
      <c r="G32" s="4">
        <v>36.0</v>
      </c>
      <c r="H32" s="4"/>
      <c r="I32" s="4"/>
      <c r="J32" s="4"/>
      <c r="K32" s="4"/>
      <c r="L32" s="4"/>
      <c r="M32" s="44"/>
      <c r="N32" s="4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 t="s">
        <v>36</v>
      </c>
      <c r="B33" s="4" t="s">
        <v>41</v>
      </c>
      <c r="C33" s="67" t="s">
        <v>2197</v>
      </c>
      <c r="D33" s="4" t="s">
        <v>2175</v>
      </c>
      <c r="E33" s="44">
        <v>44762.0</v>
      </c>
      <c r="F33" s="44">
        <f t="shared" si="5"/>
        <v>44783</v>
      </c>
      <c r="G33" s="4">
        <v>36.0</v>
      </c>
      <c r="H33" s="4"/>
      <c r="I33" s="4"/>
      <c r="J33" s="4"/>
      <c r="K33" s="4"/>
      <c r="L33" s="4"/>
      <c r="M33" s="44"/>
      <c r="N33" s="4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 t="s">
        <v>36</v>
      </c>
      <c r="B34" s="4" t="s">
        <v>41</v>
      </c>
      <c r="C34" s="4" t="s">
        <v>2198</v>
      </c>
      <c r="D34" s="4" t="s">
        <v>2175</v>
      </c>
      <c r="E34" s="44">
        <v>44762.0</v>
      </c>
      <c r="F34" s="44">
        <f t="shared" si="5"/>
        <v>44783</v>
      </c>
      <c r="G34" s="4">
        <v>36.0</v>
      </c>
      <c r="H34" s="4"/>
      <c r="I34" s="4"/>
      <c r="J34" s="4"/>
      <c r="K34" s="4"/>
      <c r="L34" s="4"/>
      <c r="M34" s="44"/>
      <c r="N34" s="4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 t="s">
        <v>36</v>
      </c>
      <c r="B35" s="4" t="s">
        <v>41</v>
      </c>
      <c r="C35" s="4" t="s">
        <v>2201</v>
      </c>
      <c r="D35" s="4" t="s">
        <v>2175</v>
      </c>
      <c r="E35" s="44">
        <v>44762.0</v>
      </c>
      <c r="F35" s="44">
        <f t="shared" si="5"/>
        <v>44783</v>
      </c>
      <c r="G35" s="4">
        <v>36.0</v>
      </c>
      <c r="H35" s="4"/>
      <c r="I35" s="4"/>
      <c r="J35" s="4"/>
      <c r="K35" s="4"/>
      <c r="L35" s="4"/>
      <c r="M35" s="44"/>
      <c r="N35" s="4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 t="s">
        <v>36</v>
      </c>
      <c r="B36" s="4" t="s">
        <v>39</v>
      </c>
      <c r="C36" s="4" t="s">
        <v>2212</v>
      </c>
      <c r="D36" s="4" t="s">
        <v>2175</v>
      </c>
      <c r="E36" s="44">
        <v>44762.0</v>
      </c>
      <c r="F36" s="44">
        <f t="shared" si="5"/>
        <v>44783</v>
      </c>
      <c r="G36" s="4">
        <v>72.0</v>
      </c>
      <c r="H36" s="4"/>
      <c r="I36" s="4"/>
      <c r="J36" s="4"/>
      <c r="K36" s="4"/>
      <c r="L36" s="4"/>
      <c r="M36" s="44"/>
      <c r="N36" s="4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 t="s">
        <v>36</v>
      </c>
      <c r="B37" s="4" t="s">
        <v>42</v>
      </c>
      <c r="C37" s="4"/>
      <c r="D37" s="4" t="s">
        <v>2213</v>
      </c>
      <c r="E37" s="44">
        <v>44763.0</v>
      </c>
      <c r="F37" s="44">
        <f t="shared" si="5"/>
        <v>44784</v>
      </c>
      <c r="G37" s="4">
        <v>396.0</v>
      </c>
      <c r="H37" s="4"/>
      <c r="I37" s="4"/>
      <c r="J37" s="4"/>
      <c r="K37" s="4"/>
      <c r="L37" s="4"/>
      <c r="M37" s="44"/>
      <c r="N37" s="4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 t="s">
        <v>36</v>
      </c>
      <c r="B38" s="4" t="s">
        <v>42</v>
      </c>
      <c r="C38" s="4"/>
      <c r="D38" s="4" t="s">
        <v>2214</v>
      </c>
      <c r="E38" s="44">
        <v>44767.0</v>
      </c>
      <c r="F38" s="44">
        <f t="shared" si="5"/>
        <v>44788</v>
      </c>
      <c r="G38" s="4">
        <f>468</f>
        <v>468</v>
      </c>
      <c r="H38" s="4"/>
      <c r="I38" s="4"/>
      <c r="J38" s="4"/>
      <c r="K38" s="4"/>
      <c r="L38" s="4"/>
      <c r="M38" s="44"/>
      <c r="N38" s="4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 t="s">
        <v>36</v>
      </c>
      <c r="B39" s="4" t="s">
        <v>42</v>
      </c>
      <c r="C39" s="4"/>
      <c r="D39" s="4" t="s">
        <v>2214</v>
      </c>
      <c r="E39" s="44">
        <v>44769.0</v>
      </c>
      <c r="F39" s="44">
        <f t="shared" si="5"/>
        <v>44790</v>
      </c>
      <c r="G39" s="4">
        <v>180.0</v>
      </c>
      <c r="H39" s="4"/>
      <c r="I39" s="4"/>
      <c r="J39" s="4"/>
      <c r="K39" s="4"/>
      <c r="L39" s="4"/>
      <c r="M39" s="44"/>
      <c r="N39" s="4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 t="s">
        <v>36</v>
      </c>
      <c r="B40" s="1" t="s">
        <v>39</v>
      </c>
      <c r="C40" s="1" t="s">
        <v>2215</v>
      </c>
      <c r="D40" s="1" t="s">
        <v>2178</v>
      </c>
      <c r="E40" s="68">
        <v>44777.0</v>
      </c>
      <c r="F40" s="44">
        <f t="shared" si="5"/>
        <v>44798</v>
      </c>
      <c r="G40" s="1">
        <v>108.0</v>
      </c>
      <c r="H40" s="69"/>
    </row>
    <row r="41" ht="14.25" customHeight="1">
      <c r="A41" s="4" t="s">
        <v>36</v>
      </c>
      <c r="B41" s="1" t="s">
        <v>39</v>
      </c>
      <c r="C41" s="1" t="s">
        <v>2216</v>
      </c>
      <c r="D41" s="1" t="s">
        <v>2178</v>
      </c>
      <c r="E41" s="68">
        <v>44777.0</v>
      </c>
      <c r="F41" s="44">
        <f t="shared" si="5"/>
        <v>44798</v>
      </c>
      <c r="G41" s="1">
        <v>36.0</v>
      </c>
    </row>
    <row r="42" ht="14.25" customHeight="1">
      <c r="A42" s="4" t="s">
        <v>36</v>
      </c>
      <c r="B42" s="1" t="s">
        <v>39</v>
      </c>
      <c r="C42" s="1" t="s">
        <v>2217</v>
      </c>
      <c r="D42" s="1" t="s">
        <v>2178</v>
      </c>
      <c r="E42" s="68">
        <v>44777.0</v>
      </c>
      <c r="F42" s="44">
        <f t="shared" si="5"/>
        <v>44798</v>
      </c>
      <c r="G42" s="1">
        <v>36.0</v>
      </c>
      <c r="H42" s="69"/>
    </row>
    <row r="43" ht="14.25" customHeight="1">
      <c r="A43" s="1" t="s">
        <v>36</v>
      </c>
      <c r="B43" s="1" t="s">
        <v>39</v>
      </c>
      <c r="C43" s="1" t="s">
        <v>2218</v>
      </c>
      <c r="D43" s="1" t="s">
        <v>2219</v>
      </c>
      <c r="E43" s="68">
        <v>44778.0</v>
      </c>
      <c r="F43" s="44">
        <f t="shared" si="5"/>
        <v>44799</v>
      </c>
      <c r="G43" s="1">
        <v>144.0</v>
      </c>
    </row>
    <row r="44" ht="14.25" customHeight="1">
      <c r="A44" s="1" t="s">
        <v>36</v>
      </c>
      <c r="B44" s="1" t="s">
        <v>37</v>
      </c>
      <c r="C44" s="1" t="s">
        <v>2220</v>
      </c>
      <c r="D44" s="1" t="s">
        <v>2221</v>
      </c>
      <c r="E44" s="68">
        <v>44781.0</v>
      </c>
      <c r="F44" s="44">
        <f t="shared" si="5"/>
        <v>44802</v>
      </c>
      <c r="G44" s="1">
        <f>36*4</f>
        <v>144</v>
      </c>
      <c r="H44" s="69"/>
    </row>
    <row r="45" ht="14.25" customHeight="1">
      <c r="A45" s="1" t="s">
        <v>36</v>
      </c>
      <c r="B45" s="1" t="s">
        <v>37</v>
      </c>
      <c r="C45" s="1" t="s">
        <v>2222</v>
      </c>
      <c r="D45" s="1" t="s">
        <v>2221</v>
      </c>
      <c r="E45" s="68">
        <v>44782.0</v>
      </c>
      <c r="F45" s="44">
        <f t="shared" si="5"/>
        <v>44803</v>
      </c>
      <c r="G45" s="1">
        <v>36.0</v>
      </c>
    </row>
    <row r="46" ht="14.25" customHeight="1">
      <c r="A46" s="1" t="s">
        <v>36</v>
      </c>
      <c r="B46" s="1" t="s">
        <v>37</v>
      </c>
      <c r="C46" s="1" t="s">
        <v>2223</v>
      </c>
      <c r="D46" s="1" t="s">
        <v>2224</v>
      </c>
      <c r="E46" s="68">
        <v>44782.0</v>
      </c>
      <c r="F46" s="44">
        <f t="shared" si="5"/>
        <v>44803</v>
      </c>
      <c r="G46" s="1">
        <v>36.0</v>
      </c>
    </row>
    <row r="47" ht="14.25" customHeight="1">
      <c r="A47" s="1" t="s">
        <v>36</v>
      </c>
      <c r="B47" s="1" t="s">
        <v>37</v>
      </c>
      <c r="C47" s="1" t="s">
        <v>2220</v>
      </c>
      <c r="D47" s="1" t="s">
        <v>2221</v>
      </c>
      <c r="E47" s="68">
        <v>44783.0</v>
      </c>
      <c r="F47" s="44">
        <f t="shared" si="5"/>
        <v>44804</v>
      </c>
      <c r="G47" s="1">
        <f t="shared" ref="G47:G48" si="6">36</f>
        <v>36</v>
      </c>
      <c r="H47" s="69"/>
    </row>
    <row r="48" ht="14.25" customHeight="1">
      <c r="A48" s="1" t="s">
        <v>36</v>
      </c>
      <c r="B48" s="1" t="s">
        <v>37</v>
      </c>
      <c r="C48" s="1" t="s">
        <v>2225</v>
      </c>
      <c r="D48" s="1" t="s">
        <v>74</v>
      </c>
      <c r="E48" s="68">
        <v>44783.0</v>
      </c>
      <c r="F48" s="44">
        <f t="shared" si="5"/>
        <v>44804</v>
      </c>
      <c r="G48" s="1">
        <f t="shared" si="6"/>
        <v>36</v>
      </c>
    </row>
    <row r="49" ht="14.25" customHeight="1">
      <c r="A49" s="1" t="s">
        <v>36</v>
      </c>
      <c r="B49" s="1" t="s">
        <v>37</v>
      </c>
      <c r="C49" s="1" t="s">
        <v>2226</v>
      </c>
      <c r="D49" s="1" t="s">
        <v>74</v>
      </c>
      <c r="E49" s="68">
        <v>44783.0</v>
      </c>
      <c r="F49" s="44">
        <f t="shared" si="5"/>
        <v>44804</v>
      </c>
      <c r="G49" s="1">
        <f>72</f>
        <v>72</v>
      </c>
    </row>
    <row r="50" ht="14.25" customHeight="1">
      <c r="A50" s="1" t="s">
        <v>36</v>
      </c>
      <c r="B50" s="1" t="s">
        <v>37</v>
      </c>
      <c r="C50" s="1" t="s">
        <v>2226</v>
      </c>
      <c r="D50" s="1" t="s">
        <v>74</v>
      </c>
      <c r="E50" s="68">
        <v>44784.0</v>
      </c>
      <c r="F50" s="44">
        <f t="shared" si="5"/>
        <v>44805</v>
      </c>
      <c r="G50" s="1">
        <v>54.0</v>
      </c>
    </row>
    <row r="51" ht="14.25" customHeight="1">
      <c r="A51" s="1" t="s">
        <v>36</v>
      </c>
      <c r="B51" s="1" t="s">
        <v>37</v>
      </c>
      <c r="C51" s="1" t="s">
        <v>2223</v>
      </c>
      <c r="D51" s="1" t="s">
        <v>2224</v>
      </c>
      <c r="E51" s="68">
        <v>44784.0</v>
      </c>
      <c r="F51" s="44">
        <f t="shared" si="5"/>
        <v>44805</v>
      </c>
      <c r="G51" s="1">
        <v>28.0</v>
      </c>
    </row>
    <row r="52" ht="14.25" customHeight="1">
      <c r="A52" s="1" t="s">
        <v>36</v>
      </c>
      <c r="B52" s="1" t="s">
        <v>37</v>
      </c>
      <c r="C52" s="1" t="s">
        <v>2225</v>
      </c>
      <c r="D52" s="1" t="s">
        <v>74</v>
      </c>
      <c r="E52" s="68">
        <v>44784.0</v>
      </c>
      <c r="F52" s="44">
        <f t="shared" si="5"/>
        <v>44805</v>
      </c>
      <c r="G52" s="1">
        <f>18</f>
        <v>18</v>
      </c>
    </row>
    <row r="53" ht="14.25" customHeight="1">
      <c r="A53" s="1" t="s">
        <v>36</v>
      </c>
      <c r="B53" s="1" t="s">
        <v>37</v>
      </c>
      <c r="C53" s="1" t="s">
        <v>2227</v>
      </c>
      <c r="D53" s="1" t="s">
        <v>74</v>
      </c>
      <c r="E53" s="68">
        <v>44784.0</v>
      </c>
      <c r="F53" s="44">
        <f t="shared" si="5"/>
        <v>44805</v>
      </c>
      <c r="G53" s="1">
        <v>72.0</v>
      </c>
    </row>
    <row r="54" ht="14.25" customHeight="1">
      <c r="A54" s="1" t="s">
        <v>36</v>
      </c>
      <c r="B54" s="1" t="s">
        <v>44</v>
      </c>
      <c r="D54" s="1" t="s">
        <v>2224</v>
      </c>
      <c r="E54" s="68">
        <v>44790.0</v>
      </c>
      <c r="F54" s="68">
        <f t="shared" ref="F54:F62" si="7">E54+21</f>
        <v>44811</v>
      </c>
      <c r="G54" s="1">
        <v>360.0</v>
      </c>
    </row>
    <row r="55" ht="14.25" customHeight="1">
      <c r="A55" s="1" t="s">
        <v>36</v>
      </c>
      <c r="B55" s="1" t="s">
        <v>44</v>
      </c>
      <c r="D55" s="1" t="s">
        <v>74</v>
      </c>
      <c r="E55" s="68">
        <v>44790.0</v>
      </c>
      <c r="F55" s="68">
        <f t="shared" si="7"/>
        <v>44811</v>
      </c>
      <c r="G55" s="1">
        <v>72.0</v>
      </c>
    </row>
    <row r="56" ht="14.25" customHeight="1">
      <c r="A56" s="1" t="s">
        <v>36</v>
      </c>
      <c r="B56" s="1" t="s">
        <v>44</v>
      </c>
      <c r="D56" s="1" t="s">
        <v>74</v>
      </c>
      <c r="E56" s="68">
        <v>44790.0</v>
      </c>
      <c r="F56" s="68">
        <f t="shared" si="7"/>
        <v>44811</v>
      </c>
      <c r="G56" s="1">
        <f>36*4</f>
        <v>144</v>
      </c>
    </row>
    <row r="57" ht="14.25" customHeight="1">
      <c r="A57" s="1" t="s">
        <v>36</v>
      </c>
      <c r="B57" s="1" t="s">
        <v>44</v>
      </c>
      <c r="D57" s="1" t="s">
        <v>2219</v>
      </c>
      <c r="E57" s="68">
        <v>44799.0</v>
      </c>
      <c r="F57" s="68">
        <f t="shared" si="7"/>
        <v>44820</v>
      </c>
      <c r="G57" s="1">
        <v>36.0</v>
      </c>
    </row>
    <row r="58" ht="14.25" customHeight="1">
      <c r="A58" s="1" t="s">
        <v>36</v>
      </c>
      <c r="B58" s="1" t="s">
        <v>44</v>
      </c>
      <c r="D58" s="1" t="s">
        <v>2219</v>
      </c>
      <c r="E58" s="68">
        <v>44802.0</v>
      </c>
      <c r="F58" s="68">
        <f t="shared" si="7"/>
        <v>44823</v>
      </c>
      <c r="G58" s="1">
        <v>36.0</v>
      </c>
    </row>
    <row r="59" ht="14.25" customHeight="1">
      <c r="A59" s="1" t="s">
        <v>36</v>
      </c>
      <c r="B59" s="1" t="s">
        <v>44</v>
      </c>
      <c r="D59" s="1" t="s">
        <v>2219</v>
      </c>
      <c r="E59" s="68">
        <v>44803.0</v>
      </c>
      <c r="F59" s="68">
        <f t="shared" si="7"/>
        <v>44824</v>
      </c>
      <c r="G59" s="1">
        <v>108.0</v>
      </c>
    </row>
    <row r="60" ht="14.25" customHeight="1">
      <c r="A60" s="1" t="s">
        <v>36</v>
      </c>
      <c r="B60" s="1" t="s">
        <v>37</v>
      </c>
      <c r="C60" s="1" t="s">
        <v>2222</v>
      </c>
      <c r="D60" s="1" t="s">
        <v>2221</v>
      </c>
      <c r="E60" s="68">
        <v>44803.0</v>
      </c>
      <c r="F60" s="68">
        <f t="shared" si="7"/>
        <v>44824</v>
      </c>
      <c r="G60" s="1">
        <v>72.0</v>
      </c>
    </row>
    <row r="61" ht="14.25" customHeight="1">
      <c r="A61" s="1" t="s">
        <v>36</v>
      </c>
      <c r="B61" s="1" t="s">
        <v>37</v>
      </c>
      <c r="C61" s="1" t="s">
        <v>2228</v>
      </c>
      <c r="D61" s="1" t="s">
        <v>2175</v>
      </c>
      <c r="E61" s="68">
        <v>44810.0</v>
      </c>
      <c r="F61" s="68">
        <f t="shared" si="7"/>
        <v>44831</v>
      </c>
      <c r="G61" s="1">
        <v>18.0</v>
      </c>
    </row>
    <row r="62" ht="14.25" customHeight="1">
      <c r="A62" s="1" t="s">
        <v>36</v>
      </c>
      <c r="B62" s="1" t="s">
        <v>37</v>
      </c>
      <c r="C62" s="1" t="s">
        <v>2229</v>
      </c>
      <c r="D62" s="1" t="s">
        <v>2175</v>
      </c>
      <c r="E62" s="68">
        <v>44810.0</v>
      </c>
      <c r="F62" s="68">
        <f t="shared" si="7"/>
        <v>44831</v>
      </c>
      <c r="G62" s="1">
        <v>14.0</v>
      </c>
    </row>
    <row r="63" ht="14.25" customHeight="1">
      <c r="A63" s="1" t="s">
        <v>29</v>
      </c>
      <c r="B63" s="1" t="s">
        <v>30</v>
      </c>
      <c r="C63" s="1" t="s">
        <v>2174</v>
      </c>
      <c r="D63" s="1" t="s">
        <v>2219</v>
      </c>
      <c r="E63" s="68">
        <v>44810.0</v>
      </c>
      <c r="F63" s="68">
        <f t="shared" ref="F63:F71" si="8">E63+14</f>
        <v>44824</v>
      </c>
      <c r="G63" s="1">
        <v>36.0</v>
      </c>
    </row>
    <row r="64" ht="14.25" customHeight="1">
      <c r="A64" s="1" t="s">
        <v>29</v>
      </c>
      <c r="B64" s="1" t="s">
        <v>30</v>
      </c>
      <c r="C64" s="1" t="s">
        <v>2174</v>
      </c>
      <c r="D64" s="1" t="s">
        <v>2219</v>
      </c>
      <c r="E64" s="68">
        <v>44816.0</v>
      </c>
      <c r="F64" s="68">
        <f t="shared" si="8"/>
        <v>44830</v>
      </c>
      <c r="G64" s="1">
        <f>36*5</f>
        <v>180</v>
      </c>
    </row>
    <row r="65" ht="14.25" customHeight="1">
      <c r="A65" s="1" t="s">
        <v>29</v>
      </c>
      <c r="B65" s="1" t="s">
        <v>30</v>
      </c>
      <c r="C65" s="1" t="s">
        <v>2230</v>
      </c>
      <c r="D65" s="1" t="s">
        <v>2219</v>
      </c>
      <c r="E65" s="68">
        <v>44817.0</v>
      </c>
      <c r="F65" s="68">
        <f t="shared" si="8"/>
        <v>44831</v>
      </c>
      <c r="G65" s="1">
        <v>144.0</v>
      </c>
    </row>
    <row r="66" ht="14.25" customHeight="1">
      <c r="A66" s="1" t="s">
        <v>29</v>
      </c>
      <c r="B66" s="1" t="s">
        <v>30</v>
      </c>
      <c r="C66" s="1" t="s">
        <v>2231</v>
      </c>
      <c r="D66" s="1" t="s">
        <v>2232</v>
      </c>
      <c r="E66" s="68">
        <v>44818.0</v>
      </c>
      <c r="F66" s="68">
        <f t="shared" si="8"/>
        <v>44832</v>
      </c>
      <c r="G66" s="1">
        <v>108.0</v>
      </c>
    </row>
    <row r="67" ht="14.25" customHeight="1">
      <c r="A67" s="1" t="s">
        <v>29</v>
      </c>
      <c r="B67" s="1" t="s">
        <v>30</v>
      </c>
      <c r="C67" s="1" t="s">
        <v>2231</v>
      </c>
      <c r="D67" s="1" t="s">
        <v>2232</v>
      </c>
      <c r="E67" s="68">
        <v>44819.0</v>
      </c>
      <c r="F67" s="68">
        <f t="shared" si="8"/>
        <v>44833</v>
      </c>
      <c r="G67" s="1">
        <v>108.0</v>
      </c>
    </row>
    <row r="68" ht="14.25" customHeight="1">
      <c r="A68" s="1" t="s">
        <v>29</v>
      </c>
      <c r="B68" s="1" t="s">
        <v>30</v>
      </c>
      <c r="C68" s="1" t="s">
        <v>2231</v>
      </c>
      <c r="D68" s="1" t="s">
        <v>2232</v>
      </c>
      <c r="E68" s="68">
        <v>44820.0</v>
      </c>
      <c r="F68" s="68">
        <f t="shared" si="8"/>
        <v>44834</v>
      </c>
      <c r="G68" s="1">
        <v>36.0</v>
      </c>
    </row>
    <row r="69" ht="14.25" customHeight="1">
      <c r="A69" s="1" t="s">
        <v>29</v>
      </c>
      <c r="B69" s="1" t="s">
        <v>30</v>
      </c>
      <c r="C69" s="1" t="s">
        <v>2231</v>
      </c>
      <c r="D69" s="1" t="s">
        <v>2232</v>
      </c>
      <c r="E69" s="68">
        <v>44824.0</v>
      </c>
      <c r="F69" s="68">
        <f t="shared" si="8"/>
        <v>44838</v>
      </c>
      <c r="G69" s="1">
        <v>108.0</v>
      </c>
    </row>
    <row r="70" ht="14.25" customHeight="1">
      <c r="A70" s="1" t="s">
        <v>29</v>
      </c>
      <c r="B70" s="1" t="s">
        <v>32</v>
      </c>
      <c r="C70" s="1" t="s">
        <v>2233</v>
      </c>
      <c r="D70" s="1" t="s">
        <v>2219</v>
      </c>
      <c r="E70" s="68">
        <v>44827.0</v>
      </c>
      <c r="F70" s="68">
        <f t="shared" si="8"/>
        <v>44841</v>
      </c>
      <c r="G70" s="1">
        <v>36.0</v>
      </c>
    </row>
    <row r="71" ht="14.25" customHeight="1">
      <c r="A71" s="1" t="s">
        <v>29</v>
      </c>
      <c r="B71" s="1" t="s">
        <v>32</v>
      </c>
      <c r="C71" s="1" t="s">
        <v>2234</v>
      </c>
      <c r="D71" s="1" t="s">
        <v>2219</v>
      </c>
      <c r="E71" s="68">
        <v>44830.0</v>
      </c>
      <c r="F71" s="68">
        <f t="shared" si="8"/>
        <v>44844</v>
      </c>
      <c r="G71" s="1">
        <v>36.0</v>
      </c>
    </row>
    <row r="72" ht="14.25" customHeight="1">
      <c r="A72" s="1" t="s">
        <v>29</v>
      </c>
      <c r="B72" s="1" t="s">
        <v>32</v>
      </c>
      <c r="C72" s="1" t="s">
        <v>2233</v>
      </c>
      <c r="D72" s="1" t="s">
        <v>74</v>
      </c>
      <c r="E72" s="68">
        <v>44838.0</v>
      </c>
      <c r="F72" s="68">
        <f t="shared" ref="F72:F90" si="9">E72+7</f>
        <v>44845</v>
      </c>
      <c r="G72" s="1">
        <v>144.0</v>
      </c>
    </row>
    <row r="73" ht="14.25" customHeight="1">
      <c r="A73" s="1" t="s">
        <v>29</v>
      </c>
      <c r="B73" s="1" t="s">
        <v>32</v>
      </c>
      <c r="C73" s="1" t="s">
        <v>2233</v>
      </c>
      <c r="D73" s="1" t="s">
        <v>2219</v>
      </c>
      <c r="E73" s="68">
        <v>44840.0</v>
      </c>
      <c r="F73" s="68">
        <f t="shared" si="9"/>
        <v>44847</v>
      </c>
      <c r="G73" s="1">
        <v>144.0</v>
      </c>
    </row>
    <row r="74" ht="14.25" customHeight="1">
      <c r="A74" s="1" t="s">
        <v>29</v>
      </c>
      <c r="B74" s="1" t="s">
        <v>32</v>
      </c>
      <c r="C74" s="1" t="s">
        <v>2235</v>
      </c>
      <c r="D74" s="1" t="s">
        <v>2236</v>
      </c>
      <c r="E74" s="68">
        <v>44841.0</v>
      </c>
      <c r="F74" s="68">
        <f t="shared" si="9"/>
        <v>44848</v>
      </c>
      <c r="G74" s="1">
        <v>72.0</v>
      </c>
    </row>
    <row r="75" ht="14.25" customHeight="1">
      <c r="A75" s="1" t="s">
        <v>29</v>
      </c>
      <c r="B75" s="1" t="s">
        <v>32</v>
      </c>
      <c r="C75" s="1" t="s">
        <v>2186</v>
      </c>
      <c r="D75" s="1" t="s">
        <v>2236</v>
      </c>
      <c r="E75" s="68">
        <v>44845.0</v>
      </c>
      <c r="F75" s="68">
        <f t="shared" si="9"/>
        <v>44852</v>
      </c>
      <c r="G75" s="1">
        <v>72.0</v>
      </c>
    </row>
    <row r="76" ht="14.25" customHeight="1">
      <c r="A76" s="1" t="s">
        <v>29</v>
      </c>
      <c r="B76" s="1" t="s">
        <v>32</v>
      </c>
      <c r="C76" s="1" t="s">
        <v>2237</v>
      </c>
      <c r="D76" s="1" t="s">
        <v>2236</v>
      </c>
      <c r="E76" s="68">
        <v>44845.0</v>
      </c>
      <c r="F76" s="68">
        <f t="shared" si="9"/>
        <v>44852</v>
      </c>
      <c r="G76" s="1">
        <v>216.0</v>
      </c>
    </row>
    <row r="77" ht="14.25" customHeight="1">
      <c r="A77" s="1" t="s">
        <v>36</v>
      </c>
      <c r="B77" s="1" t="s">
        <v>37</v>
      </c>
      <c r="C77" s="1" t="s">
        <v>2238</v>
      </c>
      <c r="D77" s="1" t="s">
        <v>2236</v>
      </c>
      <c r="E77" s="68">
        <v>44847.0</v>
      </c>
      <c r="F77" s="68">
        <f t="shared" si="9"/>
        <v>44854</v>
      </c>
      <c r="G77" s="1">
        <v>72.0</v>
      </c>
    </row>
    <row r="78" ht="14.25" customHeight="1">
      <c r="A78" s="1" t="s">
        <v>36</v>
      </c>
      <c r="B78" s="1" t="s">
        <v>41</v>
      </c>
      <c r="C78" s="1" t="s">
        <v>2239</v>
      </c>
      <c r="D78" s="1" t="s">
        <v>2236</v>
      </c>
      <c r="E78" s="68">
        <v>44853.0</v>
      </c>
      <c r="F78" s="68">
        <f t="shared" si="9"/>
        <v>44860</v>
      </c>
      <c r="G78" s="1">
        <v>144.0</v>
      </c>
    </row>
    <row r="79" ht="14.25" customHeight="1">
      <c r="A79" s="1" t="s">
        <v>36</v>
      </c>
      <c r="B79" s="1" t="s">
        <v>44</v>
      </c>
      <c r="D79" s="1" t="s">
        <v>2219</v>
      </c>
      <c r="E79" s="70">
        <v>44845.0</v>
      </c>
      <c r="F79" s="68">
        <f t="shared" si="9"/>
        <v>44852</v>
      </c>
      <c r="G79" s="1">
        <f t="shared" ref="G79:G80" si="10">36*3</f>
        <v>108</v>
      </c>
    </row>
    <row r="80" ht="14.25" customHeight="1">
      <c r="A80" s="1" t="s">
        <v>36</v>
      </c>
      <c r="B80" s="1" t="s">
        <v>44</v>
      </c>
      <c r="D80" s="1" t="s">
        <v>2236</v>
      </c>
      <c r="E80" s="68">
        <v>44853.0</v>
      </c>
      <c r="F80" s="68">
        <f t="shared" si="9"/>
        <v>44860</v>
      </c>
      <c r="G80" s="1">
        <f t="shared" si="10"/>
        <v>108</v>
      </c>
    </row>
    <row r="81" ht="14.25" customHeight="1">
      <c r="A81" s="1" t="s">
        <v>36</v>
      </c>
      <c r="B81" s="1" t="s">
        <v>42</v>
      </c>
      <c r="D81" s="1" t="s">
        <v>2219</v>
      </c>
      <c r="E81" s="68">
        <v>44853.0</v>
      </c>
      <c r="F81" s="68">
        <f t="shared" si="9"/>
        <v>44860</v>
      </c>
      <c r="G81" s="1">
        <v>36.0</v>
      </c>
    </row>
    <row r="82" ht="14.25" customHeight="1">
      <c r="A82" s="1" t="s">
        <v>29</v>
      </c>
      <c r="B82" s="1" t="s">
        <v>34</v>
      </c>
      <c r="C82" s="1" t="s">
        <v>2240</v>
      </c>
      <c r="D82" s="1" t="s">
        <v>2236</v>
      </c>
      <c r="E82" s="68">
        <v>44854.0</v>
      </c>
      <c r="F82" s="68">
        <f t="shared" si="9"/>
        <v>44861</v>
      </c>
      <c r="G82" s="1">
        <v>144.0</v>
      </c>
    </row>
    <row r="83" ht="14.25" customHeight="1">
      <c r="A83" s="1" t="s">
        <v>29</v>
      </c>
      <c r="B83" s="1" t="s">
        <v>34</v>
      </c>
      <c r="C83" s="1" t="s">
        <v>2241</v>
      </c>
      <c r="D83" s="1" t="s">
        <v>2219</v>
      </c>
      <c r="E83" s="68">
        <v>44854.0</v>
      </c>
      <c r="F83" s="68">
        <f t="shared" si="9"/>
        <v>44861</v>
      </c>
      <c r="G83" s="1">
        <v>36.0</v>
      </c>
    </row>
    <row r="84" ht="14.25" customHeight="1">
      <c r="A84" s="1" t="s">
        <v>36</v>
      </c>
      <c r="B84" s="1" t="s">
        <v>42</v>
      </c>
      <c r="D84" s="1" t="s">
        <v>2219</v>
      </c>
      <c r="E84" s="68">
        <v>44855.0</v>
      </c>
      <c r="F84" s="68">
        <f t="shared" si="9"/>
        <v>44862</v>
      </c>
      <c r="G84" s="1">
        <v>108.0</v>
      </c>
    </row>
    <row r="85" ht="14.25" customHeight="1">
      <c r="A85" s="1" t="s">
        <v>36</v>
      </c>
      <c r="B85" s="1" t="s">
        <v>42</v>
      </c>
      <c r="D85" s="1" t="s">
        <v>2219</v>
      </c>
      <c r="E85" s="68">
        <v>44858.0</v>
      </c>
      <c r="F85" s="68">
        <f t="shared" si="9"/>
        <v>44865</v>
      </c>
      <c r="G85" s="1">
        <v>108.0</v>
      </c>
    </row>
    <row r="86" ht="14.25" customHeight="1">
      <c r="A86" s="1" t="s">
        <v>36</v>
      </c>
      <c r="B86" s="1" t="s">
        <v>41</v>
      </c>
      <c r="C86" s="71">
        <v>43497.0</v>
      </c>
      <c r="D86" s="1" t="s">
        <v>2236</v>
      </c>
      <c r="E86" s="68">
        <v>44860.0</v>
      </c>
      <c r="F86" s="68">
        <f t="shared" si="9"/>
        <v>44867</v>
      </c>
      <c r="G86" s="1">
        <v>72.0</v>
      </c>
    </row>
    <row r="87" ht="14.25" customHeight="1">
      <c r="A87" s="1" t="s">
        <v>36</v>
      </c>
      <c r="B87" s="1" t="s">
        <v>724</v>
      </c>
      <c r="D87" s="1" t="s">
        <v>2219</v>
      </c>
      <c r="E87" s="68">
        <v>44872.0</v>
      </c>
      <c r="F87" s="68">
        <f t="shared" si="9"/>
        <v>44879</v>
      </c>
      <c r="G87" s="1">
        <v>216.0</v>
      </c>
    </row>
    <row r="88" ht="14.25" customHeight="1">
      <c r="A88" s="1" t="s">
        <v>36</v>
      </c>
      <c r="B88" s="1" t="s">
        <v>724</v>
      </c>
      <c r="D88" s="1" t="s">
        <v>2236</v>
      </c>
      <c r="E88" s="68">
        <v>44874.0</v>
      </c>
      <c r="F88" s="68">
        <f t="shared" si="9"/>
        <v>44881</v>
      </c>
      <c r="G88" s="1">
        <v>108.0</v>
      </c>
    </row>
    <row r="89" ht="14.25" customHeight="1">
      <c r="A89" s="1" t="s">
        <v>36</v>
      </c>
      <c r="B89" s="1" t="s">
        <v>724</v>
      </c>
      <c r="D89" s="1" t="s">
        <v>2236</v>
      </c>
      <c r="E89" s="68">
        <v>44875.0</v>
      </c>
      <c r="F89" s="68">
        <f t="shared" si="9"/>
        <v>44882</v>
      </c>
      <c r="G89" s="1">
        <v>108.0</v>
      </c>
    </row>
    <row r="90" ht="14.25" customHeight="1">
      <c r="A90" s="1" t="s">
        <v>36</v>
      </c>
      <c r="B90" s="1" t="s">
        <v>724</v>
      </c>
      <c r="D90" s="1" t="s">
        <v>2236</v>
      </c>
      <c r="E90" s="68">
        <v>44882.0</v>
      </c>
      <c r="F90" s="68">
        <f t="shared" si="9"/>
        <v>44889</v>
      </c>
      <c r="G90" s="1">
        <v>72.0</v>
      </c>
    </row>
    <row r="91" ht="14.25" customHeight="1">
      <c r="A91" s="1" t="s">
        <v>29</v>
      </c>
      <c r="B91" s="1" t="s">
        <v>32</v>
      </c>
      <c r="C91" s="1" t="s">
        <v>2242</v>
      </c>
      <c r="D91" s="1" t="s">
        <v>2236</v>
      </c>
      <c r="E91" s="68">
        <v>44882.0</v>
      </c>
      <c r="F91" s="68">
        <v>44889.0</v>
      </c>
      <c r="G91" s="1">
        <v>144.0</v>
      </c>
    </row>
    <row r="92" ht="14.25" customHeight="1">
      <c r="A92" s="1" t="s">
        <v>29</v>
      </c>
      <c r="B92" s="1" t="s">
        <v>32</v>
      </c>
      <c r="C92" s="1" t="s">
        <v>2235</v>
      </c>
      <c r="D92" s="1" t="s">
        <v>2236</v>
      </c>
      <c r="E92" s="68">
        <v>44882.0</v>
      </c>
      <c r="F92" s="68">
        <v>44889.0</v>
      </c>
      <c r="G92" s="1">
        <v>36.0</v>
      </c>
    </row>
    <row r="93" ht="14.25" customHeight="1">
      <c r="A93" s="1" t="s">
        <v>29</v>
      </c>
      <c r="B93" s="1" t="s">
        <v>30</v>
      </c>
      <c r="C93" s="1" t="s">
        <v>2177</v>
      </c>
      <c r="D93" s="1" t="s">
        <v>2219</v>
      </c>
      <c r="E93" s="68">
        <v>44887.0</v>
      </c>
      <c r="F93" s="68">
        <f t="shared" ref="F93:F94" si="11">E93+7</f>
        <v>44894</v>
      </c>
      <c r="G93" s="1">
        <v>180.0</v>
      </c>
    </row>
    <row r="94" ht="14.25" customHeight="1">
      <c r="A94" s="1" t="s">
        <v>29</v>
      </c>
      <c r="B94" s="1" t="s">
        <v>30</v>
      </c>
      <c r="C94" s="1" t="s">
        <v>2177</v>
      </c>
      <c r="D94" s="1" t="s">
        <v>2219</v>
      </c>
      <c r="E94" s="68">
        <v>44888.0</v>
      </c>
      <c r="F94" s="68">
        <f t="shared" si="11"/>
        <v>44895</v>
      </c>
      <c r="G94" s="1">
        <v>108.0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71" ht="15.0" customHeight="1">
      <c r="A71" s="73"/>
      <c r="B71" s="74"/>
      <c r="C71" s="75"/>
      <c r="D71" s="74"/>
      <c r="E71" s="76"/>
      <c r="F71" s="77"/>
    </row>
    <row r="72">
      <c r="A72" s="74"/>
      <c r="B72" s="75"/>
      <c r="C72" s="75"/>
      <c r="D72" s="74"/>
      <c r="E72" s="76"/>
      <c r="F72" s="77"/>
    </row>
    <row r="73" ht="15.0" customHeight="1">
      <c r="A73" s="78"/>
      <c r="B73" s="79"/>
      <c r="C73" s="79"/>
      <c r="D73" s="78"/>
      <c r="E73" s="80"/>
      <c r="F73" s="81"/>
    </row>
  </sheetData>
  <printOptions/>
  <pageMargins bottom="0.0" footer="0.0" header="0.0" left="0.0" right="0.0" top="0.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3" max="3" width="25.43"/>
    <col customWidth="1" min="4" max="4" width="23.43"/>
  </cols>
  <sheetData>
    <row r="1" ht="15.0" customHeight="1">
      <c r="A1" s="82"/>
      <c r="B1" s="82"/>
    </row>
    <row r="3">
      <c r="A3" s="83" t="s">
        <v>7</v>
      </c>
      <c r="B3" s="84" t="s">
        <v>13</v>
      </c>
      <c r="C3" s="84" t="s">
        <v>9</v>
      </c>
      <c r="D3" s="83" t="s">
        <v>2243</v>
      </c>
      <c r="E3" s="85" t="s">
        <v>2244</v>
      </c>
    </row>
    <row r="4">
      <c r="A4" s="83" t="s">
        <v>29</v>
      </c>
      <c r="B4" s="83" t="s">
        <v>74</v>
      </c>
      <c r="C4" s="83" t="s">
        <v>32</v>
      </c>
      <c r="D4" s="83">
        <v>223.0</v>
      </c>
      <c r="E4" s="86">
        <v>152.0</v>
      </c>
    </row>
    <row r="5">
      <c r="A5" s="83"/>
      <c r="B5" s="83"/>
      <c r="C5" s="83" t="s">
        <v>34</v>
      </c>
      <c r="D5" s="83">
        <v>4.0</v>
      </c>
      <c r="E5" s="86">
        <v>0.0</v>
      </c>
    </row>
    <row r="6">
      <c r="A6" s="87"/>
      <c r="B6" s="87"/>
      <c r="C6" s="88" t="s">
        <v>30</v>
      </c>
      <c r="D6" s="88">
        <v>126.0</v>
      </c>
      <c r="E6" s="89">
        <v>10.0</v>
      </c>
    </row>
    <row r="7">
      <c r="A7" s="87"/>
      <c r="B7" s="87" t="s">
        <v>2266</v>
      </c>
      <c r="C7" s="88"/>
      <c r="D7" s="88">
        <v>353.0</v>
      </c>
      <c r="E7" s="89">
        <v>162.0</v>
      </c>
    </row>
    <row r="8">
      <c r="A8" s="87"/>
      <c r="B8" s="83" t="s">
        <v>111</v>
      </c>
      <c r="C8" s="84" t="s">
        <v>32</v>
      </c>
      <c r="D8" s="83">
        <v>256.0</v>
      </c>
      <c r="E8" s="86">
        <v>193.0</v>
      </c>
    </row>
    <row r="9">
      <c r="A9" s="87"/>
      <c r="B9" s="83"/>
      <c r="C9" s="83" t="s">
        <v>34</v>
      </c>
      <c r="D9" s="83">
        <v>147.0</v>
      </c>
      <c r="E9" s="86">
        <v>108.0</v>
      </c>
    </row>
    <row r="10">
      <c r="A10" s="87"/>
      <c r="B10" s="87"/>
      <c r="C10" s="88" t="s">
        <v>30</v>
      </c>
      <c r="D10" s="88">
        <v>140.0</v>
      </c>
      <c r="E10" s="89">
        <v>51.0</v>
      </c>
    </row>
    <row r="11">
      <c r="A11" s="87"/>
      <c r="B11" s="87" t="s">
        <v>2267</v>
      </c>
      <c r="C11" s="88"/>
      <c r="D11" s="88">
        <v>543.0</v>
      </c>
      <c r="E11" s="89">
        <v>352.0</v>
      </c>
    </row>
    <row r="12">
      <c r="A12" s="87" t="s">
        <v>2251</v>
      </c>
      <c r="B12" s="83"/>
      <c r="C12" s="84"/>
      <c r="D12" s="83">
        <v>896.0</v>
      </c>
      <c r="E12" s="86">
        <v>514.0</v>
      </c>
    </row>
    <row r="13">
      <c r="A13" s="83" t="s">
        <v>46</v>
      </c>
      <c r="B13" s="84" t="s">
        <v>74</v>
      </c>
      <c r="C13" s="84" t="s">
        <v>47</v>
      </c>
      <c r="D13" s="83">
        <v>41.0</v>
      </c>
      <c r="E13" s="86">
        <v>0.0</v>
      </c>
    </row>
    <row r="14">
      <c r="A14" s="83"/>
      <c r="B14" s="83"/>
      <c r="C14" s="83" t="s">
        <v>55</v>
      </c>
      <c r="D14" s="83">
        <v>147.0</v>
      </c>
      <c r="E14" s="86">
        <v>112.0</v>
      </c>
    </row>
    <row r="15">
      <c r="A15" s="87"/>
      <c r="B15" s="87"/>
      <c r="C15" s="88" t="s">
        <v>2268</v>
      </c>
      <c r="D15" s="88">
        <v>232.0</v>
      </c>
      <c r="E15" s="89">
        <v>143.0</v>
      </c>
    </row>
    <row r="16">
      <c r="A16" s="87"/>
      <c r="B16" s="87"/>
      <c r="C16" s="88" t="s">
        <v>51</v>
      </c>
      <c r="D16" s="88">
        <v>66.0</v>
      </c>
      <c r="E16" s="89">
        <v>0.0</v>
      </c>
    </row>
    <row r="17">
      <c r="A17" s="87"/>
      <c r="B17" s="87"/>
      <c r="C17" s="88" t="s">
        <v>49</v>
      </c>
      <c r="D17" s="88">
        <v>98.0</v>
      </c>
      <c r="E17" s="89">
        <v>47.0</v>
      </c>
    </row>
    <row r="18">
      <c r="A18" s="87"/>
      <c r="B18" s="87" t="s">
        <v>2266</v>
      </c>
      <c r="C18" s="88"/>
      <c r="D18" s="88">
        <v>584.0</v>
      </c>
      <c r="E18" s="89">
        <v>302.0</v>
      </c>
    </row>
    <row r="19">
      <c r="A19" s="87"/>
      <c r="B19" s="83" t="s">
        <v>111</v>
      </c>
      <c r="C19" s="84" t="s">
        <v>47</v>
      </c>
      <c r="D19" s="83">
        <v>24.0</v>
      </c>
      <c r="E19" s="86">
        <v>0.0</v>
      </c>
    </row>
    <row r="20">
      <c r="A20" s="87"/>
      <c r="B20" s="83"/>
      <c r="C20" s="83" t="s">
        <v>55</v>
      </c>
      <c r="D20" s="83">
        <v>165.0</v>
      </c>
      <c r="E20" s="86">
        <v>0.0</v>
      </c>
    </row>
    <row r="21" ht="15.0" customHeight="1">
      <c r="A21" s="87"/>
      <c r="B21" s="87"/>
      <c r="C21" s="88" t="s">
        <v>2268</v>
      </c>
      <c r="D21" s="88">
        <v>354.0</v>
      </c>
      <c r="E21" s="89">
        <v>234.0</v>
      </c>
    </row>
    <row r="22" ht="15.0" customHeight="1">
      <c r="A22" s="87"/>
      <c r="B22" s="87"/>
      <c r="C22" s="88" t="s">
        <v>51</v>
      </c>
      <c r="D22" s="88">
        <v>85.0</v>
      </c>
      <c r="E22" s="89">
        <v>14.0</v>
      </c>
    </row>
    <row r="23" ht="15.0" customHeight="1">
      <c r="A23" s="87"/>
      <c r="B23" s="87" t="s">
        <v>2267</v>
      </c>
      <c r="C23" s="88"/>
      <c r="D23" s="88">
        <v>628.0</v>
      </c>
      <c r="E23" s="89">
        <v>248.0</v>
      </c>
    </row>
    <row r="24" ht="15.0" customHeight="1">
      <c r="A24" s="87" t="s">
        <v>2257</v>
      </c>
      <c r="B24" s="83"/>
      <c r="C24" s="84"/>
      <c r="D24" s="83">
        <v>1212.0</v>
      </c>
      <c r="E24" s="86">
        <v>550.0</v>
      </c>
    </row>
    <row r="25" ht="15.0" customHeight="1">
      <c r="A25" s="83" t="s">
        <v>36</v>
      </c>
      <c r="B25" s="84" t="s">
        <v>1724</v>
      </c>
      <c r="C25" s="84" t="s">
        <v>1723</v>
      </c>
      <c r="D25" s="83">
        <v>9.0</v>
      </c>
      <c r="E25" s="86">
        <v>0.0</v>
      </c>
    </row>
    <row r="26" ht="15.0" customHeight="1">
      <c r="A26" s="83"/>
      <c r="B26" s="83" t="s">
        <v>2269</v>
      </c>
      <c r="C26" s="83"/>
      <c r="D26" s="83">
        <v>9.0</v>
      </c>
      <c r="E26" s="86">
        <v>0.0</v>
      </c>
    </row>
    <row r="27" ht="15.0" customHeight="1">
      <c r="A27" s="87"/>
      <c r="B27" s="83" t="s">
        <v>74</v>
      </c>
      <c r="C27" s="84" t="s">
        <v>39</v>
      </c>
      <c r="D27" s="83">
        <v>192.0</v>
      </c>
      <c r="E27" s="86">
        <v>192.0</v>
      </c>
    </row>
    <row r="28" ht="15.0" customHeight="1">
      <c r="A28" s="87"/>
      <c r="B28" s="83"/>
      <c r="C28" s="83" t="s">
        <v>41</v>
      </c>
      <c r="D28" s="83">
        <v>336.0</v>
      </c>
      <c r="E28" s="86">
        <v>332.0</v>
      </c>
    </row>
    <row r="29" ht="15.0" customHeight="1">
      <c r="A29" s="87"/>
      <c r="B29" s="87"/>
      <c r="C29" s="88" t="s">
        <v>37</v>
      </c>
      <c r="D29" s="88">
        <v>40.0</v>
      </c>
      <c r="E29" s="89">
        <v>36.0</v>
      </c>
    </row>
    <row r="30" ht="15.0" customHeight="1">
      <c r="A30" s="87"/>
      <c r="B30" s="87"/>
      <c r="C30" s="88" t="s">
        <v>724</v>
      </c>
      <c r="D30" s="88">
        <v>14.0</v>
      </c>
      <c r="E30" s="89">
        <v>0.0</v>
      </c>
    </row>
    <row r="31" ht="15.0" customHeight="1">
      <c r="A31" s="87"/>
      <c r="B31" s="87"/>
      <c r="C31" s="88" t="s">
        <v>42</v>
      </c>
      <c r="D31" s="88">
        <v>47.0</v>
      </c>
      <c r="E31" s="89">
        <v>7.0</v>
      </c>
    </row>
    <row r="32" ht="15.0" customHeight="1">
      <c r="A32" s="87"/>
      <c r="B32" s="87" t="s">
        <v>2266</v>
      </c>
      <c r="C32" s="88"/>
      <c r="D32" s="88">
        <v>629.0</v>
      </c>
      <c r="E32" s="89">
        <v>567.0</v>
      </c>
    </row>
    <row r="33" ht="15.0" customHeight="1">
      <c r="A33" s="87"/>
      <c r="B33" s="83" t="s">
        <v>111</v>
      </c>
      <c r="C33" s="84" t="s">
        <v>39</v>
      </c>
      <c r="D33" s="83">
        <v>84.0</v>
      </c>
      <c r="E33" s="86">
        <v>82.0</v>
      </c>
    </row>
    <row r="34" ht="15.0" customHeight="1">
      <c r="A34" s="87"/>
      <c r="B34" s="83"/>
      <c r="C34" s="83" t="s">
        <v>41</v>
      </c>
      <c r="D34" s="83">
        <v>20.0</v>
      </c>
      <c r="E34" s="86">
        <v>0.0</v>
      </c>
    </row>
    <row r="35" ht="15.0" customHeight="1">
      <c r="A35" s="87"/>
      <c r="B35" s="87"/>
      <c r="C35" s="88" t="s">
        <v>37</v>
      </c>
      <c r="D35" s="88">
        <v>75.0</v>
      </c>
      <c r="E35" s="89">
        <v>64.0</v>
      </c>
    </row>
    <row r="36" ht="15.0" customHeight="1">
      <c r="A36" s="87"/>
      <c r="B36" s="87"/>
      <c r="C36" s="88" t="s">
        <v>724</v>
      </c>
      <c r="D36" s="88">
        <v>9.0</v>
      </c>
      <c r="E36" s="89">
        <v>0.0</v>
      </c>
    </row>
    <row r="37" ht="15.0" customHeight="1">
      <c r="A37" s="87"/>
      <c r="B37" s="87"/>
      <c r="C37" s="88" t="s">
        <v>42</v>
      </c>
      <c r="D37" s="88">
        <v>361.0</v>
      </c>
      <c r="E37" s="89">
        <v>329.0</v>
      </c>
    </row>
    <row r="38" ht="15.0" customHeight="1">
      <c r="A38" s="87"/>
      <c r="B38" s="87" t="s">
        <v>2267</v>
      </c>
      <c r="C38" s="88"/>
      <c r="D38" s="88">
        <v>549.0</v>
      </c>
      <c r="E38" s="89">
        <v>475.0</v>
      </c>
    </row>
    <row r="39" ht="15.0" customHeight="1">
      <c r="A39" s="87" t="s">
        <v>2264</v>
      </c>
      <c r="B39" s="83"/>
      <c r="C39" s="84"/>
      <c r="D39" s="83">
        <v>1187.0</v>
      </c>
      <c r="E39" s="86">
        <v>1042.0</v>
      </c>
    </row>
    <row r="40" ht="15.0" customHeight="1">
      <c r="A40" s="83" t="s">
        <v>2265</v>
      </c>
      <c r="B40" s="84"/>
      <c r="C40" s="84"/>
      <c r="D40" s="83">
        <v>3295.0</v>
      </c>
      <c r="E40" s="86">
        <v>2106.0</v>
      </c>
    </row>
    <row r="41" ht="15.0" customHeight="1">
      <c r="A41" s="90"/>
      <c r="B41" s="91"/>
      <c r="C41" s="91"/>
      <c r="D41" s="90"/>
      <c r="E41" s="9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5.43"/>
    <col customWidth="1" min="10" max="10" width="15.71"/>
  </cols>
  <sheetData>
    <row r="1">
      <c r="A1" s="93" t="s">
        <v>46</v>
      </c>
      <c r="B1" s="94" t="s">
        <v>47</v>
      </c>
      <c r="C1" s="95"/>
      <c r="D1" s="94" t="s">
        <v>49</v>
      </c>
      <c r="E1" s="95"/>
      <c r="F1" s="94" t="s">
        <v>51</v>
      </c>
      <c r="G1" s="95"/>
      <c r="H1" s="94" t="s">
        <v>53</v>
      </c>
      <c r="I1" s="95"/>
      <c r="J1" s="94" t="s">
        <v>55</v>
      </c>
      <c r="K1" s="95"/>
    </row>
    <row r="2">
      <c r="A2" s="96"/>
      <c r="B2" s="97" t="s">
        <v>2175</v>
      </c>
      <c r="C2" s="97" t="s">
        <v>2178</v>
      </c>
      <c r="D2" s="97" t="s">
        <v>2175</v>
      </c>
      <c r="E2" s="97" t="s">
        <v>2178</v>
      </c>
      <c r="F2" s="98" t="s">
        <v>2175</v>
      </c>
      <c r="G2" s="98" t="s">
        <v>2178</v>
      </c>
      <c r="H2" s="98" t="s">
        <v>2175</v>
      </c>
      <c r="I2" s="97" t="s">
        <v>2178</v>
      </c>
      <c r="J2" s="97" t="s">
        <v>2175</v>
      </c>
      <c r="K2" s="98" t="s">
        <v>2178</v>
      </c>
    </row>
    <row r="3">
      <c r="A3" s="99">
        <v>1.0</v>
      </c>
      <c r="B3" s="97" t="s">
        <v>2270</v>
      </c>
      <c r="C3" s="97" t="s">
        <v>1925</v>
      </c>
      <c r="D3" s="97" t="s">
        <v>2271</v>
      </c>
      <c r="E3" s="100"/>
      <c r="F3" s="98" t="s">
        <v>2272</v>
      </c>
      <c r="G3" s="98" t="s">
        <v>2273</v>
      </c>
      <c r="H3" s="98" t="s">
        <v>2274</v>
      </c>
      <c r="I3" s="97" t="s">
        <v>2275</v>
      </c>
      <c r="J3" s="97" t="s">
        <v>2276</v>
      </c>
      <c r="K3" s="98" t="s">
        <v>1855</v>
      </c>
    </row>
    <row r="4">
      <c r="A4" s="99">
        <v>2.0</v>
      </c>
      <c r="B4" s="97" t="s">
        <v>2277</v>
      </c>
      <c r="C4" s="97" t="s">
        <v>1923</v>
      </c>
      <c r="D4" s="97" t="s">
        <v>2278</v>
      </c>
      <c r="E4" s="101"/>
      <c r="F4" s="98" t="s">
        <v>1125</v>
      </c>
      <c r="G4" s="98" t="s">
        <v>1893</v>
      </c>
      <c r="H4" s="98" t="s">
        <v>2048</v>
      </c>
      <c r="I4" s="97" t="s">
        <v>2279</v>
      </c>
      <c r="J4" s="97" t="s">
        <v>2280</v>
      </c>
      <c r="K4" s="98" t="s">
        <v>1854</v>
      </c>
    </row>
    <row r="5">
      <c r="A5" s="99">
        <v>3.0</v>
      </c>
      <c r="B5" s="97" t="s">
        <v>2281</v>
      </c>
      <c r="C5" s="97" t="s">
        <v>1926</v>
      </c>
      <c r="D5" s="97" t="s">
        <v>2282</v>
      </c>
      <c r="E5" s="101"/>
      <c r="F5" s="98" t="s">
        <v>2283</v>
      </c>
      <c r="G5" s="98" t="s">
        <v>2284</v>
      </c>
      <c r="H5" s="98" t="s">
        <v>2285</v>
      </c>
      <c r="I5" s="97" t="s">
        <v>2286</v>
      </c>
      <c r="J5" s="97" t="s">
        <v>2287</v>
      </c>
      <c r="K5" s="98" t="s">
        <v>1861</v>
      </c>
    </row>
    <row r="6">
      <c r="A6" s="99">
        <v>4.0</v>
      </c>
      <c r="B6" s="97" t="s">
        <v>416</v>
      </c>
      <c r="C6" s="97" t="s">
        <v>2288</v>
      </c>
      <c r="D6" s="97" t="s">
        <v>1263</v>
      </c>
      <c r="E6" s="101"/>
      <c r="F6" s="98" t="s">
        <v>2289</v>
      </c>
      <c r="G6" s="98" t="s">
        <v>1068</v>
      </c>
      <c r="H6" s="98" t="s">
        <v>2290</v>
      </c>
      <c r="I6" s="97" t="s">
        <v>2291</v>
      </c>
      <c r="J6" s="97" t="s">
        <v>2292</v>
      </c>
      <c r="K6" s="98" t="s">
        <v>1791</v>
      </c>
    </row>
    <row r="7">
      <c r="A7" s="99">
        <v>5.0</v>
      </c>
      <c r="B7" s="97" t="s">
        <v>413</v>
      </c>
      <c r="C7" s="102" t="s">
        <v>428</v>
      </c>
      <c r="D7" s="97" t="s">
        <v>1277</v>
      </c>
      <c r="E7" s="101"/>
      <c r="F7" s="98" t="s">
        <v>2106</v>
      </c>
      <c r="G7" s="98" t="s">
        <v>1078</v>
      </c>
      <c r="H7" s="98" t="s">
        <v>1020</v>
      </c>
      <c r="I7" s="97" t="s">
        <v>2293</v>
      </c>
      <c r="J7" s="97" t="s">
        <v>2294</v>
      </c>
      <c r="K7" s="98" t="s">
        <v>1848</v>
      </c>
    </row>
    <row r="8">
      <c r="A8" s="103" t="s">
        <v>36</v>
      </c>
      <c r="B8" s="104" t="s">
        <v>37</v>
      </c>
      <c r="C8" s="105"/>
      <c r="D8" s="104" t="s">
        <v>39</v>
      </c>
      <c r="E8" s="105"/>
      <c r="F8" s="104" t="s">
        <v>41</v>
      </c>
      <c r="G8" s="105"/>
      <c r="H8" s="104" t="s">
        <v>42</v>
      </c>
      <c r="I8" s="105"/>
      <c r="J8" s="101"/>
      <c r="K8" s="101"/>
    </row>
    <row r="9">
      <c r="A9" s="96"/>
      <c r="B9" s="97" t="s">
        <v>2175</v>
      </c>
      <c r="C9" s="97" t="s">
        <v>2178</v>
      </c>
      <c r="D9" s="97" t="s">
        <v>2175</v>
      </c>
      <c r="E9" s="97" t="s">
        <v>2178</v>
      </c>
      <c r="F9" s="97" t="s">
        <v>2175</v>
      </c>
      <c r="G9" s="97" t="s">
        <v>2178</v>
      </c>
      <c r="H9" s="97" t="s">
        <v>2175</v>
      </c>
      <c r="I9" s="97" t="s">
        <v>2178</v>
      </c>
      <c r="J9" s="101"/>
      <c r="K9" s="101"/>
    </row>
    <row r="10">
      <c r="A10" s="99">
        <v>1.0</v>
      </c>
      <c r="B10" s="98"/>
      <c r="C10" s="97" t="s">
        <v>2295</v>
      </c>
      <c r="D10" s="97" t="s">
        <v>2296</v>
      </c>
      <c r="E10" s="97" t="s">
        <v>2297</v>
      </c>
      <c r="F10" s="97" t="s">
        <v>2298</v>
      </c>
      <c r="G10" s="102" t="s">
        <v>575</v>
      </c>
      <c r="H10" s="97" t="s">
        <v>2299</v>
      </c>
      <c r="I10" s="97" t="s">
        <v>2300</v>
      </c>
      <c r="J10" s="101"/>
      <c r="K10" s="101"/>
    </row>
    <row r="11">
      <c r="A11" s="99">
        <v>2.0</v>
      </c>
      <c r="B11" s="98"/>
      <c r="C11" s="97" t="s">
        <v>2301</v>
      </c>
      <c r="D11" s="97" t="s">
        <v>2302</v>
      </c>
      <c r="E11" s="97" t="s">
        <v>2303</v>
      </c>
      <c r="F11" s="97" t="s">
        <v>2201</v>
      </c>
      <c r="G11" s="102" t="s">
        <v>574</v>
      </c>
      <c r="H11" s="97" t="s">
        <v>2304</v>
      </c>
      <c r="I11" s="97" t="s">
        <v>2305</v>
      </c>
      <c r="J11" s="101"/>
      <c r="K11" s="101"/>
    </row>
    <row r="12">
      <c r="A12" s="99">
        <v>3.0</v>
      </c>
      <c r="B12" s="98"/>
      <c r="C12" s="97" t="s">
        <v>2306</v>
      </c>
      <c r="D12" s="97" t="s">
        <v>2307</v>
      </c>
      <c r="E12" s="97" t="s">
        <v>2308</v>
      </c>
      <c r="F12" s="97" t="s">
        <v>2309</v>
      </c>
      <c r="G12" s="102" t="s">
        <v>573</v>
      </c>
      <c r="H12" s="97" t="s">
        <v>2310</v>
      </c>
      <c r="I12" s="97" t="s">
        <v>2311</v>
      </c>
      <c r="J12" s="101"/>
      <c r="K12" s="101"/>
    </row>
    <row r="13">
      <c r="A13" s="99">
        <v>4.0</v>
      </c>
      <c r="B13" s="98"/>
      <c r="C13" s="97" t="s">
        <v>2312</v>
      </c>
      <c r="D13" s="97" t="s">
        <v>2313</v>
      </c>
      <c r="E13" s="97" t="s">
        <v>2314</v>
      </c>
      <c r="F13" s="97" t="s">
        <v>2315</v>
      </c>
      <c r="G13" s="102" t="s">
        <v>572</v>
      </c>
      <c r="H13" s="97" t="s">
        <v>2316</v>
      </c>
      <c r="I13" s="97" t="s">
        <v>2317</v>
      </c>
      <c r="J13" s="101"/>
      <c r="K13" s="101"/>
    </row>
    <row r="14">
      <c r="A14" s="99">
        <v>5.0</v>
      </c>
      <c r="B14" s="98"/>
      <c r="C14" s="97" t="s">
        <v>2318</v>
      </c>
      <c r="D14" s="97" t="s">
        <v>2319</v>
      </c>
      <c r="E14" s="97" t="s">
        <v>2320</v>
      </c>
      <c r="F14" s="102" t="s">
        <v>567</v>
      </c>
      <c r="G14" s="102" t="s">
        <v>571</v>
      </c>
      <c r="H14" s="97" t="s">
        <v>2321</v>
      </c>
      <c r="I14" s="97" t="s">
        <v>2322</v>
      </c>
      <c r="J14" s="101"/>
      <c r="K14" s="101"/>
    </row>
    <row r="15">
      <c r="A15" s="103" t="s">
        <v>29</v>
      </c>
      <c r="B15" s="104" t="s">
        <v>32</v>
      </c>
      <c r="C15" s="105"/>
      <c r="D15" s="104" t="s">
        <v>34</v>
      </c>
      <c r="E15" s="105"/>
      <c r="F15" s="104" t="s">
        <v>30</v>
      </c>
      <c r="G15" s="105"/>
      <c r="H15" s="101"/>
      <c r="I15" s="101"/>
      <c r="J15" s="101"/>
      <c r="K15" s="101"/>
    </row>
    <row r="16">
      <c r="A16" s="96"/>
      <c r="B16" s="97" t="s">
        <v>2175</v>
      </c>
      <c r="C16" s="97" t="s">
        <v>2178</v>
      </c>
      <c r="D16" s="97" t="s">
        <v>2175</v>
      </c>
      <c r="E16" s="97" t="s">
        <v>2178</v>
      </c>
      <c r="F16" s="97" t="s">
        <v>2175</v>
      </c>
      <c r="G16" s="97" t="s">
        <v>2178</v>
      </c>
      <c r="H16" s="101"/>
      <c r="I16" s="101"/>
      <c r="J16" s="101"/>
      <c r="K16" s="101"/>
    </row>
    <row r="17">
      <c r="A17" s="99">
        <v>1.0</v>
      </c>
      <c r="B17" s="97" t="s">
        <v>2323</v>
      </c>
      <c r="C17" s="97" t="s">
        <v>316</v>
      </c>
      <c r="D17" s="102" t="s">
        <v>1972</v>
      </c>
      <c r="E17" s="97" t="s">
        <v>2324</v>
      </c>
      <c r="F17" s="102" t="s">
        <v>1545</v>
      </c>
      <c r="G17" s="97" t="s">
        <v>2325</v>
      </c>
      <c r="H17" s="101"/>
      <c r="I17" s="101"/>
      <c r="J17" s="101"/>
      <c r="K17" s="101"/>
    </row>
    <row r="18">
      <c r="A18" s="99">
        <v>2.0</v>
      </c>
      <c r="B18" s="97" t="s">
        <v>318</v>
      </c>
      <c r="C18" s="97" t="s">
        <v>324</v>
      </c>
      <c r="D18" s="106" t="s">
        <v>690</v>
      </c>
      <c r="E18" s="107" t="s">
        <v>685</v>
      </c>
      <c r="F18" s="102" t="s">
        <v>1486</v>
      </c>
      <c r="G18" s="97" t="s">
        <v>1605</v>
      </c>
      <c r="H18" s="101"/>
      <c r="I18" s="101"/>
      <c r="J18" s="101"/>
      <c r="K18" s="101"/>
    </row>
    <row r="19">
      <c r="A19" s="99">
        <v>3.0</v>
      </c>
      <c r="B19" s="97" t="s">
        <v>344</v>
      </c>
      <c r="C19" s="97" t="s">
        <v>2326</v>
      </c>
      <c r="D19" s="106" t="s">
        <v>689</v>
      </c>
      <c r="E19" s="97" t="s">
        <v>2327</v>
      </c>
      <c r="F19" s="102" t="s">
        <v>1480</v>
      </c>
      <c r="G19" s="97" t="s">
        <v>1516</v>
      </c>
      <c r="H19" s="101"/>
      <c r="I19" s="101"/>
      <c r="J19" s="101"/>
      <c r="K19" s="101"/>
    </row>
    <row r="20">
      <c r="A20" s="99">
        <v>4.0</v>
      </c>
      <c r="B20" s="97" t="s">
        <v>2328</v>
      </c>
      <c r="C20" s="97" t="s">
        <v>2329</v>
      </c>
      <c r="D20" s="106" t="s">
        <v>695</v>
      </c>
      <c r="E20" s="107" t="s">
        <v>680</v>
      </c>
      <c r="F20" s="102" t="s">
        <v>1477</v>
      </c>
      <c r="G20" s="97" t="s">
        <v>1525</v>
      </c>
      <c r="H20" s="101"/>
      <c r="I20" s="101"/>
      <c r="J20" s="101"/>
      <c r="K20" s="101"/>
    </row>
    <row r="21">
      <c r="A21" s="99">
        <v>5.0</v>
      </c>
      <c r="B21" s="97" t="s">
        <v>2330</v>
      </c>
      <c r="C21" s="97" t="s">
        <v>2331</v>
      </c>
      <c r="D21" s="106" t="s">
        <v>696</v>
      </c>
      <c r="E21" s="107" t="s">
        <v>686</v>
      </c>
      <c r="F21" s="102" t="s">
        <v>1478</v>
      </c>
      <c r="G21" s="97" t="s">
        <v>1545</v>
      </c>
      <c r="H21" s="101"/>
      <c r="I21" s="101"/>
      <c r="J21" s="101"/>
      <c r="K21" s="101"/>
    </row>
    <row r="24">
      <c r="A24" s="108" t="s">
        <v>2332</v>
      </c>
      <c r="E24" s="109" t="s">
        <v>2333</v>
      </c>
    </row>
    <row r="25">
      <c r="A25" s="3" t="s">
        <v>2334</v>
      </c>
      <c r="E25" s="3"/>
      <c r="F25" s="3"/>
    </row>
  </sheetData>
  <mergeCells count="12">
    <mergeCell ref="F8:G8"/>
    <mergeCell ref="H8:I8"/>
    <mergeCell ref="B15:C15"/>
    <mergeCell ref="D15:E15"/>
    <mergeCell ref="F15:G15"/>
    <mergeCell ref="B1:C1"/>
    <mergeCell ref="D1:E1"/>
    <mergeCell ref="F1:G1"/>
    <mergeCell ref="H1:I1"/>
    <mergeCell ref="J1:K1"/>
    <mergeCell ref="B8:C8"/>
    <mergeCell ref="D8:E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2022-09-19T16:38:16Z</dcterms:created>
  <dc:creator>Karl Schrader</dc:creator>
</cp:coreProperties>
</file>